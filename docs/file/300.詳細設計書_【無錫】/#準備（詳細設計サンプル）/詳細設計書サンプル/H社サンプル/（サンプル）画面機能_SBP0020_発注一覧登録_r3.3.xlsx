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filterPrivacy="1" defaultThemeVersion="124226"/>
  <xr:revisionPtr revIDLastSave="0" documentId="13_ncr:1_{708FC513-4129-461D-A5C5-AB926270C137}" xr6:coauthVersionLast="47" xr6:coauthVersionMax="47" xr10:uidLastSave="{00000000-0000-0000-0000-000000000000}"/>
  <bookViews>
    <workbookView xWindow="-110" yWindow="-110" windowWidth="19420" windowHeight="10420" tabRatio="958" xr2:uid="{00000000-000D-0000-FFFF-FFFF00000000}"/>
  </bookViews>
  <sheets>
    <sheet name="表紙" sheetId="3" r:id="rId1"/>
    <sheet name="処理概要" sheetId="17" r:id="rId2"/>
    <sheet name="処理詳細 " sheetId="22" r:id="rId3"/>
    <sheet name="サービス呼出編集仕様" sheetId="23" r:id="rId4"/>
  </sheets>
  <externalReferences>
    <externalReference r:id="rId5"/>
  </externalReferences>
  <definedNames>
    <definedName name="_____________a1" hidden="1">{"'Sheet1'!$A$3:$I$11"}</definedName>
    <definedName name="____________a1" hidden="1">{"'Sheet1'!$A$3:$I$11"}</definedName>
    <definedName name="___________a1" hidden="1">{"'Sheet1'!$A$3:$I$11"}</definedName>
    <definedName name="__________a1" localSheetId="2" hidden="1">{"'Sheet1'!$A$3:$I$11"}</definedName>
    <definedName name="_________a1" hidden="1">{"'Sheet1'!$A$3:$I$11"}</definedName>
    <definedName name="________a1" hidden="1">{"'Sheet1'!$A$3:$I$11"}</definedName>
    <definedName name="______a1" hidden="1">{"'Sheet1'!$A$3:$I$11"}</definedName>
    <definedName name="_____a1" hidden="1">{"'Sheet1'!$A$3:$I$11"}</definedName>
    <definedName name="____a1" hidden="1">{"'Sheet1'!$A$3:$I$11"}</definedName>
    <definedName name="___a1" hidden="1">{"'Sheet1'!$A$3:$I$11"}</definedName>
    <definedName name="__a1" hidden="1">{"'Sheet1'!$A$3:$I$11"}</definedName>
    <definedName name="_Order1" hidden="1">255</definedName>
    <definedName name="_Table2_In1" hidden="1">[1]LIST!#REF!</definedName>
    <definedName name="_Table2_In2" hidden="1">[1]LIST!#REF!</definedName>
    <definedName name="a" localSheetId="3" hidden="1">{"'Sheet1'!$A$3:$I$11"}</definedName>
    <definedName name="a" localSheetId="2" hidden="1">{"'Sheet1'!$A$3:$I$11"}</definedName>
    <definedName name="A" hidden="1">#REF!</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hidden="1">{"'その他費用'!$B$3:$J$22"}</definedName>
    <definedName name="ADDON_2" hidden="1">{"'その他費用'!$B$3:$J$22"}</definedName>
    <definedName name="B" hidden="1">{"'その他費用'!$B$3:$J$22"}</definedName>
    <definedName name="cc" hidden="1">{"'その他費用'!$B$3:$J$22"}</definedName>
    <definedName name="dd" hidden="1">{"'その他費用'!$B$3:$J$22"}</definedName>
    <definedName name="ee" hidden="1">{"'その他費用'!$B$3:$J$22"}</definedName>
    <definedName name="f" hidden="1">{"'その他費用'!$B$3:$J$22"}</definedName>
    <definedName name="ffff" hidden="1">{"'その他費用'!$B$3:$J$22"}</definedName>
    <definedName name="HTML_CodePage" hidden="1">932</definedName>
    <definedName name="HTML_Control" hidden="1">{"'その他費用'!$B$3:$J$22"}</definedName>
    <definedName name="HTML_Control1" hidden="1">{"'その他費用'!$B$3:$J$22"}</definedName>
    <definedName name="HTML_Control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hidden="1">{"'その他費用'!$B$3:$J$22"}</definedName>
    <definedName name="_xlnm.Print_Area" localSheetId="3">サービス呼出編集仕様!$A$1:$AY$99</definedName>
    <definedName name="_xlnm.Print_Area" localSheetId="1">処理概要!$A$1:$AY$363</definedName>
    <definedName name="_xlnm.Print_Area" localSheetId="2">'処理詳細 '!$A$1:$AZ$951</definedName>
    <definedName name="_xlnm.Print_Area" localSheetId="0">表紙!$A$1:$AX$47</definedName>
    <definedName name="_xlnm.Print_Titles" localSheetId="3">サービス呼出編集仕様!$1:$4</definedName>
    <definedName name="_xlnm.Print_Titles" localSheetId="1">処理概要!$1:$5</definedName>
    <definedName name="_xlnm.Print_Titles" localSheetId="2">'処理詳細 '!$1:$5</definedName>
    <definedName name="Rev.">表紙!$V$23</definedName>
    <definedName name="RR" hidden="1">{"'その他費用'!$B$3:$J$22"}</definedName>
    <definedName name="Ver.">表紙!$AF$27</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hidden="1">{"'その他費用'!$B$3:$J$22"}</definedName>
    <definedName name="アドオン" hidden="1">{"'その他費用'!$B$3:$J$22"}</definedName>
    <definedName name="こ" hidden="1">{"'その他費用'!$B$3:$J$22"}</definedName>
    <definedName name="ご確認者">表紙!$AH$41</definedName>
    <definedName name="ご確認日">表紙!$AH$43</definedName>
    <definedName name="サブシステム名">表紙!$V$29</definedName>
    <definedName name="システム名">表紙!$V$27</definedName>
    <definedName name="プロジェクト名">表紙!$V$19</definedName>
    <definedName name="開発区分">表紙!$V$37</definedName>
    <definedName name="機能ＩＤ">表紙!$V$33</definedName>
    <definedName name="機能区分">表紙!$V$35</definedName>
    <definedName name="機能名称">表紙!$V$31</definedName>
    <definedName name="顧客名">表紙!$V$17</definedName>
    <definedName name="最終更新者">表紙!$AC$41</definedName>
    <definedName name="最終更新日">表紙!$AC$43</definedName>
    <definedName name="作成者">表紙!$X$41</definedName>
    <definedName name="作成日">表紙!$X$43</definedName>
    <definedName name="章">表紙!$N$11</definedName>
    <definedName name="文書番号">表紙!$V$21</definedName>
    <definedName name="文書名">表紙!$N$8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3" l="1"/>
  <c r="AD3" i="22" l="1"/>
  <c r="S3" i="22"/>
  <c r="AV2" i="22"/>
  <c r="AD2" i="22"/>
  <c r="S2" i="22"/>
  <c r="K2" i="22"/>
  <c r="AD1" i="22"/>
  <c r="S1" i="22"/>
  <c r="A1" i="22"/>
  <c r="AD3" i="23"/>
  <c r="S3" i="23"/>
  <c r="AV2" i="23"/>
  <c r="AD2" i="23"/>
  <c r="S2" i="23"/>
  <c r="K2" i="23"/>
  <c r="AD1" i="23"/>
  <c r="S1" i="23"/>
  <c r="AD3" i="17"/>
  <c r="S3" i="17"/>
  <c r="AV2" i="17"/>
  <c r="AD2" i="17"/>
  <c r="S2" i="17"/>
  <c r="K2" i="17"/>
  <c r="AD1" i="17"/>
  <c r="S1" i="17"/>
  <c r="A1" i="17"/>
  <c r="V23" i="3"/>
  <c r="AR1" i="22" l="1"/>
  <c r="AR1" i="23"/>
  <c r="AR1" i="17"/>
  <c r="AL1" i="22"/>
  <c r="AL1" i="23"/>
  <c r="AL1" i="17"/>
  <c r="AR3" i="23"/>
  <c r="AR3" i="17"/>
  <c r="AR2" i="23"/>
  <c r="AR2" i="17"/>
  <c r="AR2" i="22"/>
  <c r="AL2" i="17"/>
  <c r="AL2" i="22"/>
  <c r="AR3" i="22"/>
  <c r="AL2"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J5" authorId="0" shapeId="0" xr:uid="{00000000-0006-0000-0600-000001000000}">
      <text>
        <r>
          <rPr>
            <sz val="9"/>
            <color indexed="81"/>
            <rFont val="ＭＳ Ｐゴシック"/>
            <family val="3"/>
            <charset val="128"/>
          </rPr>
          <t>C：クライアント処理
S：サーバ処理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J5" authorId="0" shapeId="0" xr:uid="{00000000-0006-0000-0A00-000001000000}">
      <text>
        <r>
          <rPr>
            <sz val="9"/>
            <color indexed="81"/>
            <rFont val="ＭＳ Ｐゴシック"/>
            <family val="3"/>
            <charset val="128"/>
          </rPr>
          <t>C：クライアント処理
S：サーバ処理</t>
        </r>
      </text>
    </comment>
  </commentList>
</comments>
</file>

<file path=xl/sharedStrings.xml><?xml version="1.0" encoding="utf-8"?>
<sst xmlns="http://schemas.openxmlformats.org/spreadsheetml/2006/main" count="2182" uniqueCount="1153">
  <si>
    <t>機能名</t>
    <rPh sb="0" eb="2">
      <t>キノウ</t>
    </rPh>
    <rPh sb="2" eb="3">
      <t>メイ</t>
    </rPh>
    <phoneticPr fontId="4"/>
  </si>
  <si>
    <t>画面機能</t>
    <rPh sb="0" eb="2">
      <t>ガメン</t>
    </rPh>
    <rPh sb="2" eb="4">
      <t>キノウ</t>
    </rPh>
    <phoneticPr fontId="4"/>
  </si>
  <si>
    <t>顧客</t>
    <rPh sb="0" eb="2">
      <t>コキャク</t>
    </rPh>
    <phoneticPr fontId="4"/>
  </si>
  <si>
    <t>プロジェクト名</t>
    <rPh sb="6" eb="7">
      <t>メイ</t>
    </rPh>
    <phoneticPr fontId="4"/>
  </si>
  <si>
    <t>文書番号</t>
    <rPh sb="0" eb="2">
      <t>ブンショ</t>
    </rPh>
    <rPh sb="2" eb="4">
      <t>バンゴウ</t>
    </rPh>
    <phoneticPr fontId="4"/>
  </si>
  <si>
    <t>Ｒｅｖ．</t>
    <phoneticPr fontId="4"/>
  </si>
  <si>
    <t>機密性区分</t>
    <rPh sb="0" eb="2">
      <t>キミツ</t>
    </rPh>
    <rPh sb="2" eb="3">
      <t>セイ</t>
    </rPh>
    <rPh sb="3" eb="5">
      <t>クブン</t>
    </rPh>
    <phoneticPr fontId="4"/>
  </si>
  <si>
    <t>取扱注意（Ｃ）</t>
    <rPh sb="0" eb="2">
      <t>トリアツカ</t>
    </rPh>
    <rPh sb="2" eb="4">
      <t>チュウイ</t>
    </rPh>
    <phoneticPr fontId="4"/>
  </si>
  <si>
    <t>システム名</t>
    <rPh sb="4" eb="5">
      <t>メイ</t>
    </rPh>
    <phoneticPr fontId="4"/>
  </si>
  <si>
    <t>MCFrameXA</t>
    <phoneticPr fontId="4"/>
  </si>
  <si>
    <t>Ver.</t>
    <phoneticPr fontId="4"/>
  </si>
  <si>
    <t>サブモジュール</t>
    <phoneticPr fontId="4"/>
  </si>
  <si>
    <t>販売物流</t>
    <rPh sb="0" eb="2">
      <t>ハンバイ</t>
    </rPh>
    <rPh sb="2" eb="4">
      <t>ブツリュウ</t>
    </rPh>
    <phoneticPr fontId="4"/>
  </si>
  <si>
    <t>業務共通</t>
    <rPh sb="0" eb="2">
      <t>ギョウム</t>
    </rPh>
    <rPh sb="2" eb="4">
      <t>キョウツウ</t>
    </rPh>
    <phoneticPr fontId="4"/>
  </si>
  <si>
    <t>原価管理</t>
    <rPh sb="0" eb="2">
      <t>ゲンカ</t>
    </rPh>
    <rPh sb="2" eb="4">
      <t>カンリ</t>
    </rPh>
    <phoneticPr fontId="4"/>
  </si>
  <si>
    <t>生産管理</t>
    <rPh sb="0" eb="2">
      <t>セイサン</t>
    </rPh>
    <rPh sb="2" eb="4">
      <t>カンリ</t>
    </rPh>
    <phoneticPr fontId="4"/>
  </si>
  <si>
    <t>機能ID</t>
    <rPh sb="0" eb="2">
      <t>キノウ</t>
    </rPh>
    <phoneticPr fontId="4"/>
  </si>
  <si>
    <t>機能区分</t>
    <rPh sb="0" eb="2">
      <t>キノウ</t>
    </rPh>
    <rPh sb="2" eb="4">
      <t>クブン</t>
    </rPh>
    <phoneticPr fontId="4"/>
  </si>
  <si>
    <t>画面</t>
    <rPh sb="0" eb="2">
      <t>ガメン</t>
    </rPh>
    <phoneticPr fontId="4"/>
  </si>
  <si>
    <t>帳票</t>
    <rPh sb="0" eb="2">
      <t>チョウヒョウ</t>
    </rPh>
    <phoneticPr fontId="4"/>
  </si>
  <si>
    <t>開発区分</t>
    <rPh sb="0" eb="2">
      <t>カイハツ</t>
    </rPh>
    <rPh sb="2" eb="4">
      <t>クブン</t>
    </rPh>
    <phoneticPr fontId="4"/>
  </si>
  <si>
    <t>カスタマイズ</t>
  </si>
  <si>
    <t>バッチ</t>
    <phoneticPr fontId="4"/>
  </si>
  <si>
    <t>カスタマイズ</t>
    <phoneticPr fontId="4"/>
  </si>
  <si>
    <t>作成</t>
    <rPh sb="0" eb="2">
      <t>サクセイ</t>
    </rPh>
    <phoneticPr fontId="4"/>
  </si>
  <si>
    <t>最終更新</t>
    <rPh sb="0" eb="2">
      <t>サイシュウ</t>
    </rPh>
    <rPh sb="2" eb="4">
      <t>コウシン</t>
    </rPh>
    <phoneticPr fontId="4"/>
  </si>
  <si>
    <t>アドオン</t>
    <phoneticPr fontId="4"/>
  </si>
  <si>
    <t>顧客名</t>
    <rPh sb="0" eb="2">
      <t>コキャク</t>
    </rPh>
    <rPh sb="2" eb="3">
      <t>メイ</t>
    </rPh>
    <phoneticPr fontId="4"/>
  </si>
  <si>
    <t>システム</t>
    <phoneticPr fontId="4"/>
  </si>
  <si>
    <t>作成者</t>
    <rPh sb="0" eb="3">
      <t>サクセイシャ</t>
    </rPh>
    <phoneticPr fontId="4"/>
  </si>
  <si>
    <t>作成日</t>
    <rPh sb="0" eb="3">
      <t>サクセイビ</t>
    </rPh>
    <phoneticPr fontId="4"/>
  </si>
  <si>
    <t>プロジェクト</t>
    <phoneticPr fontId="4"/>
  </si>
  <si>
    <t>ｻﾌﾞｼｽﾃﾑ</t>
    <phoneticPr fontId="4"/>
  </si>
  <si>
    <t>改定者</t>
    <rPh sb="0" eb="2">
      <t>カイテイ</t>
    </rPh>
    <rPh sb="2" eb="3">
      <t>シャ</t>
    </rPh>
    <phoneticPr fontId="4"/>
  </si>
  <si>
    <t>改定日</t>
    <rPh sb="0" eb="2">
      <t>カイテイ</t>
    </rPh>
    <rPh sb="2" eb="3">
      <t>ヒ</t>
    </rPh>
    <phoneticPr fontId="4"/>
  </si>
  <si>
    <t>画面ID</t>
    <rPh sb="0" eb="2">
      <t>ガメン</t>
    </rPh>
    <phoneticPr fontId="4"/>
  </si>
  <si>
    <t>画面名称</t>
    <rPh sb="0" eb="2">
      <t>ガメン</t>
    </rPh>
    <rPh sb="2" eb="4">
      <t>メイショウ</t>
    </rPh>
    <phoneticPr fontId="4"/>
  </si>
  <si>
    <t>Rev.</t>
    <phoneticPr fontId="4"/>
  </si>
  <si>
    <t>備考</t>
    <rPh sb="0" eb="2">
      <t>ビコウ</t>
    </rPh>
    <phoneticPr fontId="4"/>
  </si>
  <si>
    <t>処理</t>
    <rPh sb="0" eb="2">
      <t>ショリ</t>
    </rPh>
    <phoneticPr fontId="4"/>
  </si>
  <si>
    <t>画面機能</t>
  </si>
  <si>
    <t>6.3.1.3</t>
    <phoneticPr fontId="4"/>
  </si>
  <si>
    <t>No</t>
    <phoneticPr fontId="4"/>
  </si>
  <si>
    <t>No</t>
  </si>
  <si>
    <t>C/S</t>
    <phoneticPr fontId="4"/>
  </si>
  <si>
    <t>画面操作</t>
    <rPh sb="2" eb="4">
      <t>ソウサ</t>
    </rPh>
    <phoneticPr fontId="4"/>
  </si>
  <si>
    <t>編集仕様</t>
    <rPh sb="0" eb="2">
      <t>ヘンシュウ</t>
    </rPh>
    <rPh sb="2" eb="4">
      <t>シヨウ</t>
    </rPh>
    <phoneticPr fontId="3"/>
  </si>
  <si>
    <t>No</t>
    <phoneticPr fontId="4"/>
  </si>
  <si>
    <t>-</t>
    <phoneticPr fontId="4"/>
  </si>
  <si>
    <t>オペレーションＩＤ</t>
  </si>
  <si>
    <t>ブロック名</t>
    <rPh sb="4" eb="5">
      <t>メイ</t>
    </rPh>
    <phoneticPr fontId="4"/>
  </si>
  <si>
    <t>検索【F1】</t>
    <rPh sb="0" eb="2">
      <t>ケンサク</t>
    </rPh>
    <phoneticPr fontId="4"/>
  </si>
  <si>
    <t>C</t>
  </si>
  <si>
    <t>標準機能では明細が複数存在し、発注ヘッダのキー項目が同一の明細に対して</t>
    <rPh sb="0" eb="2">
      <t>ヒョウジュン</t>
    </rPh>
    <rPh sb="2" eb="4">
      <t>キノウ</t>
    </rPh>
    <rPh sb="6" eb="8">
      <t>メイサイ</t>
    </rPh>
    <rPh sb="9" eb="11">
      <t>フクスウ</t>
    </rPh>
    <rPh sb="11" eb="13">
      <t>ソンザイ</t>
    </rPh>
    <rPh sb="15" eb="17">
      <t>ハッチュウ</t>
    </rPh>
    <rPh sb="23" eb="25">
      <t>コウモク</t>
    </rPh>
    <rPh sb="26" eb="28">
      <t>ドウイツ</t>
    </rPh>
    <rPh sb="29" eb="31">
      <t>メイサイ</t>
    </rPh>
    <rPh sb="32" eb="33">
      <t>タイ</t>
    </rPh>
    <phoneticPr fontId="4"/>
  </si>
  <si>
    <t>発注情報をまとめる処理を行うが、カスタマイズで当機能を削除する。</t>
    <rPh sb="0" eb="2">
      <t>ハッチュウ</t>
    </rPh>
    <rPh sb="2" eb="4">
      <t>ジョウホウ</t>
    </rPh>
    <rPh sb="9" eb="11">
      <t>ショリ</t>
    </rPh>
    <rPh sb="12" eb="13">
      <t>オコナ</t>
    </rPh>
    <rPh sb="23" eb="24">
      <t>トウ</t>
    </rPh>
    <rPh sb="24" eb="26">
      <t>キノウ</t>
    </rPh>
    <rPh sb="27" eb="29">
      <t>サクジョ</t>
    </rPh>
    <phoneticPr fontId="4"/>
  </si>
  <si>
    <t>初期表示</t>
    <phoneticPr fontId="3"/>
  </si>
  <si>
    <t>S</t>
    <phoneticPr fontId="3"/>
  </si>
  <si>
    <t>DB項目転送</t>
  </si>
  <si>
    <t>メッセージNo1</t>
    <phoneticPr fontId="4"/>
  </si>
  <si>
    <t>-</t>
    <phoneticPr fontId="3"/>
  </si>
  <si>
    <t>電文項目</t>
    <rPh sb="0" eb="2">
      <t>デンブン</t>
    </rPh>
    <rPh sb="2" eb="4">
      <t>コウモク</t>
    </rPh>
    <phoneticPr fontId="4"/>
  </si>
  <si>
    <t>形式</t>
    <rPh sb="0" eb="2">
      <t>ケイシキ</t>
    </rPh>
    <phoneticPr fontId="4"/>
  </si>
  <si>
    <t>サービス名</t>
    <rPh sb="4" eb="5">
      <t>メイ</t>
    </rPh>
    <phoneticPr fontId="4"/>
  </si>
  <si>
    <t>転送元オブジェクト</t>
    <rPh sb="0" eb="2">
      <t>テンソウ</t>
    </rPh>
    <rPh sb="2" eb="3">
      <t>モト</t>
    </rPh>
    <phoneticPr fontId="4"/>
  </si>
  <si>
    <t>転送元項目</t>
    <rPh sb="0" eb="2">
      <t>テンソウ</t>
    </rPh>
    <rPh sb="2" eb="3">
      <t>モト</t>
    </rPh>
    <rPh sb="3" eb="5">
      <t>コウモク</t>
    </rPh>
    <phoneticPr fontId="4"/>
  </si>
  <si>
    <t>オペレーション</t>
  </si>
  <si>
    <t>オペレーション</t>
    <phoneticPr fontId="4"/>
  </si>
  <si>
    <t>関連仕様・備考</t>
  </si>
  <si>
    <t>ロジックＩＤ</t>
  </si>
  <si>
    <t>SBP0020</t>
    <phoneticPr fontId="3"/>
  </si>
  <si>
    <t>発注一覧登録</t>
    <rPh sb="0" eb="2">
      <t>ハッチュウ</t>
    </rPh>
    <rPh sb="2" eb="4">
      <t>イチラン</t>
    </rPh>
    <rPh sb="4" eb="6">
      <t>トウロク</t>
    </rPh>
    <phoneticPr fontId="3"/>
  </si>
  <si>
    <t>50-1</t>
    <phoneticPr fontId="3"/>
  </si>
  <si>
    <t>取引先マスタ</t>
    <rPh sb="0" eb="3">
      <t>トリヒキサキ</t>
    </rPh>
    <phoneticPr fontId="4"/>
  </si>
  <si>
    <t>確定【F9】</t>
    <rPh sb="0" eb="2">
      <t>カクテイ</t>
    </rPh>
    <phoneticPr fontId="4"/>
  </si>
  <si>
    <t>全選択【SF1】</t>
    <phoneticPr fontId="3"/>
  </si>
  <si>
    <t>全解除【SF2】</t>
    <phoneticPr fontId="3"/>
  </si>
  <si>
    <t>単価再取得【SF3】</t>
    <rPh sb="0" eb="2">
      <t>タンカ</t>
    </rPh>
    <rPh sb="2" eb="5">
      <t>サイシュトク</t>
    </rPh>
    <phoneticPr fontId="4"/>
  </si>
  <si>
    <t>画面項目転送</t>
    <phoneticPr fontId="3"/>
  </si>
  <si>
    <t>Srch01①：購買依頼検索</t>
    <phoneticPr fontId="3"/>
  </si>
  <si>
    <t>Srch01②：発注検索</t>
    <rPh sb="8" eb="10">
      <t>ハッチュウ</t>
    </rPh>
    <phoneticPr fontId="3"/>
  </si>
  <si>
    <t>選択チェックをすべてオンにする。</t>
    <rPh sb="0" eb="2">
      <t>センタク</t>
    </rPh>
    <phoneticPr fontId="4"/>
  </si>
  <si>
    <t>選択チェックをすべてオフにする。</t>
    <rPh sb="0" eb="2">
      <t>センタク</t>
    </rPh>
    <phoneticPr fontId="4"/>
  </si>
  <si>
    <t>単位</t>
    <rPh sb="0" eb="2">
      <t>タンイ</t>
    </rPh>
    <phoneticPr fontId="3"/>
  </si>
  <si>
    <t>発注先</t>
    <rPh sb="0" eb="2">
      <t>ハッチュウ</t>
    </rPh>
    <rPh sb="2" eb="3">
      <t>サキ</t>
    </rPh>
    <phoneticPr fontId="3"/>
  </si>
  <si>
    <t>確定</t>
    <rPh sb="0" eb="2">
      <t>カクテイ</t>
    </rPh>
    <phoneticPr fontId="3"/>
  </si>
  <si>
    <t>RO</t>
    <phoneticPr fontId="3"/>
  </si>
  <si>
    <t>価格区分</t>
    <rPh sb="0" eb="4">
      <t>カカククブン</t>
    </rPh>
    <phoneticPr fontId="3"/>
  </si>
  <si>
    <t>画面</t>
    <rPh sb="0" eb="2">
      <t>ガメン</t>
    </rPh>
    <phoneticPr fontId="3"/>
  </si>
  <si>
    <t>〇</t>
    <phoneticPr fontId="3"/>
  </si>
  <si>
    <t>数量</t>
    <rPh sb="0" eb="2">
      <t>スウリョウ</t>
    </rPh>
    <phoneticPr fontId="3"/>
  </si>
  <si>
    <t>通貨</t>
    <rPh sb="0" eb="2">
      <t>ツウカ</t>
    </rPh>
    <phoneticPr fontId="3"/>
  </si>
  <si>
    <t>消費税区分</t>
    <rPh sb="0" eb="5">
      <t>ショウヒゼイクブン</t>
    </rPh>
    <phoneticPr fontId="3"/>
  </si>
  <si>
    <t>25</t>
    <phoneticPr fontId="3"/>
  </si>
  <si>
    <t>ログインユーザのバイヤコードを[検索枠]購買担当者に初期設定する。</t>
    <rPh sb="16" eb="18">
      <t>ケンサク</t>
    </rPh>
    <rPh sb="18" eb="19">
      <t>ワク</t>
    </rPh>
    <rPh sb="20" eb="25">
      <t>コウバイタントウシャ</t>
    </rPh>
    <rPh sb="26" eb="28">
      <t>ショキ</t>
    </rPh>
    <rPh sb="28" eb="30">
      <t>セッテイ</t>
    </rPh>
    <phoneticPr fontId="4"/>
  </si>
  <si>
    <t>J052-0-0001</t>
    <phoneticPr fontId="3"/>
  </si>
  <si>
    <t>一覧で選択チェックがオンになっている明細を元に、発注情報（ヘッダ／明細）を登録する。</t>
    <rPh sb="0" eb="2">
      <t>イチラン</t>
    </rPh>
    <rPh sb="3" eb="5">
      <t>センタク</t>
    </rPh>
    <rPh sb="18" eb="20">
      <t>メイサイ</t>
    </rPh>
    <rPh sb="21" eb="22">
      <t>モト</t>
    </rPh>
    <rPh sb="24" eb="26">
      <t>ハッチュウ</t>
    </rPh>
    <rPh sb="26" eb="28">
      <t>ジョウホウ</t>
    </rPh>
    <rPh sb="33" eb="35">
      <t>メイサイ</t>
    </rPh>
    <rPh sb="37" eb="39">
      <t>トウロク</t>
    </rPh>
    <phoneticPr fontId="3"/>
  </si>
  <si>
    <t>カスタマイズ内容</t>
    <rPh sb="6" eb="8">
      <t>ナイヨウ</t>
    </rPh>
    <phoneticPr fontId="3"/>
  </si>
  <si>
    <t>※品目購買マスタの自動登録は未登録の場合のみ</t>
  </si>
  <si>
    <t>品目ＣＤ</t>
    <rPh sb="0" eb="2">
      <t>ヒンモク</t>
    </rPh>
    <phoneticPr fontId="3"/>
  </si>
  <si>
    <t>発注先ＣＤ</t>
    <rPh sb="0" eb="2">
      <t>ハッチュウ</t>
    </rPh>
    <rPh sb="2" eb="3">
      <t>サキ</t>
    </rPh>
    <phoneticPr fontId="3"/>
  </si>
  <si>
    <t>購買担当者ＣＤ</t>
    <rPh sb="0" eb="5">
      <t>コウバイタントウシャ</t>
    </rPh>
    <phoneticPr fontId="3"/>
  </si>
  <si>
    <t>品目</t>
    <rPh sb="0" eb="2">
      <t>ヒンモク</t>
    </rPh>
    <phoneticPr fontId="3"/>
  </si>
  <si>
    <t>Upd02：確定</t>
    <rPh sb="6" eb="8">
      <t>カクテイ</t>
    </rPh>
    <phoneticPr fontId="3"/>
  </si>
  <si>
    <t>1.一覧の選択チェックをオンにした明細行に対して、当該明細行の購買担当者がNULLの場合に、</t>
    <phoneticPr fontId="3"/>
  </si>
  <si>
    <t>購買担当条件M</t>
    <phoneticPr fontId="3"/>
  </si>
  <si>
    <t>備考</t>
    <rPh sb="0" eb="2">
      <t>ビコウ</t>
    </rPh>
    <phoneticPr fontId="3"/>
  </si>
  <si>
    <t>完全一致</t>
    <rPh sb="0" eb="2">
      <t>カンゼン</t>
    </rPh>
    <rPh sb="2" eb="4">
      <t>イッチ</t>
    </rPh>
    <phoneticPr fontId="3"/>
  </si>
  <si>
    <t>注文状況を3（確定済）にする。</t>
    <rPh sb="0" eb="4">
      <t>チュウモンジョウキョウ</t>
    </rPh>
    <rPh sb="7" eb="9">
      <t>カクテイ</t>
    </rPh>
    <rPh sb="9" eb="10">
      <t>ズ</t>
    </rPh>
    <phoneticPr fontId="3"/>
  </si>
  <si>
    <t>S</t>
    <phoneticPr fontId="3"/>
  </si>
  <si>
    <t>①</t>
    <phoneticPr fontId="3"/>
  </si>
  <si>
    <t>発注先ＣＤがダミー発注先の場合、エラーメッセージを表示する。</t>
    <rPh sb="0" eb="2">
      <t>ハッチュウ</t>
    </rPh>
    <rPh sb="2" eb="3">
      <t>サキ</t>
    </rPh>
    <rPh sb="9" eb="12">
      <t>ハッチュウサキ</t>
    </rPh>
    <rPh sb="13" eb="15">
      <t>バアイ</t>
    </rPh>
    <rPh sb="25" eb="27">
      <t>ヒョウジ</t>
    </rPh>
    <phoneticPr fontId="3"/>
  </si>
  <si>
    <t>1.確定時入力チェック</t>
    <rPh sb="2" eb="4">
      <t>カクテイ</t>
    </rPh>
    <rPh sb="4" eb="5">
      <t>ジ</t>
    </rPh>
    <rPh sb="5" eb="7">
      <t>ニュウリョク</t>
    </rPh>
    <phoneticPr fontId="4"/>
  </si>
  <si>
    <t>特記事項</t>
    <rPh sb="0" eb="4">
      <t>トッキジコウ</t>
    </rPh>
    <phoneticPr fontId="3"/>
  </si>
  <si>
    <t>関連仕様備考</t>
    <rPh sb="0" eb="2">
      <t>カンレン</t>
    </rPh>
    <rPh sb="2" eb="4">
      <t>シヨウ</t>
    </rPh>
    <rPh sb="4" eb="6">
      <t>ビコウ</t>
    </rPh>
    <phoneticPr fontId="4"/>
  </si>
  <si>
    <t>・以下の項目が設定されていない場合処理できない</t>
    <rPh sb="1" eb="3">
      <t>イカ</t>
    </rPh>
    <rPh sb="4" eb="6">
      <t>コウモク</t>
    </rPh>
    <rPh sb="7" eb="9">
      <t>セッテイ</t>
    </rPh>
    <rPh sb="15" eb="17">
      <t>バアイ</t>
    </rPh>
    <rPh sb="17" eb="19">
      <t>ショリ</t>
    </rPh>
    <phoneticPr fontId="4"/>
  </si>
  <si>
    <t>通貨ＣＤ</t>
    <rPh sb="0" eb="2">
      <t>ツウカ</t>
    </rPh>
    <phoneticPr fontId="3"/>
  </si>
  <si>
    <t>品目ＣＤ</t>
    <phoneticPr fontId="3"/>
  </si>
  <si>
    <t>単位ＣＤ</t>
    <rPh sb="0" eb="2">
      <t>タンイ</t>
    </rPh>
    <phoneticPr fontId="3"/>
  </si>
  <si>
    <t>通常購買取引条件ＣＤ１</t>
    <phoneticPr fontId="4"/>
  </si>
  <si>
    <t>単価</t>
    <rPh sb="0" eb="2">
      <t>タンカ</t>
    </rPh>
    <phoneticPr fontId="3"/>
  </si>
  <si>
    <t>内税ＦＬＧ</t>
    <rPh sb="0" eb="2">
      <t>ウチゼイ</t>
    </rPh>
    <phoneticPr fontId="3"/>
  </si>
  <si>
    <t>■工具システム手配品の場合</t>
    <rPh sb="1" eb="3">
      <t>コウグ</t>
    </rPh>
    <rPh sb="7" eb="9">
      <t>テハイ</t>
    </rPh>
    <rPh sb="9" eb="10">
      <t>ヒン</t>
    </rPh>
    <rPh sb="11" eb="13">
      <t>バアイ</t>
    </rPh>
    <phoneticPr fontId="3"/>
  </si>
  <si>
    <t>内税ＦＬＧ</t>
    <rPh sb="0" eb="2">
      <t>ウチゼイ</t>
    </rPh>
    <phoneticPr fontId="4"/>
  </si>
  <si>
    <t>ロット数</t>
    <rPh sb="3" eb="4">
      <t>スウ</t>
    </rPh>
    <phoneticPr fontId="3"/>
  </si>
  <si>
    <t>（要求数量-ロット数）≧0のうち、最小となるレコード。</t>
    <rPh sb="9" eb="10">
      <t>スウ</t>
    </rPh>
    <phoneticPr fontId="3"/>
  </si>
  <si>
    <t>※工具単価契約は「補足シート　4.工具単価契約対応について」を参照。</t>
    <rPh sb="1" eb="3">
      <t>コウグ</t>
    </rPh>
    <rPh sb="3" eb="5">
      <t>タンカ</t>
    </rPh>
    <rPh sb="5" eb="7">
      <t>ケイヤク</t>
    </rPh>
    <rPh sb="9" eb="11">
      <t>ホソク</t>
    </rPh>
    <rPh sb="31" eb="33">
      <t>サンショウ</t>
    </rPh>
    <phoneticPr fontId="3"/>
  </si>
  <si>
    <t>RO：読取専用</t>
    <rPh sb="3" eb="7">
      <t>ヨミトリセンヨウ</t>
    </rPh>
    <phoneticPr fontId="3"/>
  </si>
  <si>
    <t>価格区分</t>
    <phoneticPr fontId="3"/>
  </si>
  <si>
    <t>消費税区分</t>
    <phoneticPr fontId="3"/>
  </si>
  <si>
    <t>支払条件ＣＤ</t>
    <phoneticPr fontId="3"/>
  </si>
  <si>
    <t>単価</t>
    <phoneticPr fontId="3"/>
  </si>
  <si>
    <t>税ＣＤ</t>
    <rPh sb="0" eb="1">
      <t>ゼイ</t>
    </rPh>
    <phoneticPr fontId="3"/>
  </si>
  <si>
    <t>RO</t>
    <phoneticPr fontId="3"/>
  </si>
  <si>
    <t>RO</t>
    <phoneticPr fontId="3"/>
  </si>
  <si>
    <t>製造元</t>
    <rPh sb="0" eb="2">
      <t>セイゾウ</t>
    </rPh>
    <rPh sb="2" eb="3">
      <t>モト</t>
    </rPh>
    <phoneticPr fontId="3"/>
  </si>
  <si>
    <t>製造元名</t>
    <rPh sb="0" eb="2">
      <t>セイゾウ</t>
    </rPh>
    <rPh sb="2" eb="3">
      <t>モト</t>
    </rPh>
    <rPh sb="3" eb="4">
      <t>メイ</t>
    </rPh>
    <phoneticPr fontId="3"/>
  </si>
  <si>
    <t>RO</t>
    <phoneticPr fontId="3"/>
  </si>
  <si>
    <t>I</t>
    <phoneticPr fontId="3"/>
  </si>
  <si>
    <t>I：非表示</t>
    <rPh sb="2" eb="5">
      <t>ヒヒョウジ</t>
    </rPh>
    <phoneticPr fontId="3"/>
  </si>
  <si>
    <t>発注先ＣＤを変更すると、単価をクリアする。</t>
    <rPh sb="0" eb="2">
      <t>ハッチュウ</t>
    </rPh>
    <rPh sb="2" eb="3">
      <t>サキ</t>
    </rPh>
    <rPh sb="6" eb="8">
      <t>ヘンコウ</t>
    </rPh>
    <rPh sb="12" eb="14">
      <t>タンカ</t>
    </rPh>
    <phoneticPr fontId="3"/>
  </si>
  <si>
    <t>発注先ＣＤを変更すると、マスタの通貨ＣＤで再設定。</t>
    <phoneticPr fontId="3"/>
  </si>
  <si>
    <t>発注先ＣＤを変更すると、消費税区分、税ＣＤ、内税ＦＬＧをクリアする。</t>
    <rPh sb="12" eb="17">
      <t>ショウヒゼイクブン</t>
    </rPh>
    <rPh sb="18" eb="19">
      <t>ゼイ</t>
    </rPh>
    <rPh sb="22" eb="24">
      <t>ウチゼイ</t>
    </rPh>
    <phoneticPr fontId="3"/>
  </si>
  <si>
    <t>通貨ＣＤを変更すると、単価をクリアする。</t>
    <rPh sb="0" eb="2">
      <t>ツウカ</t>
    </rPh>
    <rPh sb="5" eb="7">
      <t>ヘンコウ</t>
    </rPh>
    <rPh sb="11" eb="13">
      <t>タンカ</t>
    </rPh>
    <phoneticPr fontId="3"/>
  </si>
  <si>
    <t>価格区分を変更すると、単価をクリアする。</t>
    <rPh sb="0" eb="2">
      <t>カカク</t>
    </rPh>
    <rPh sb="2" eb="4">
      <t>クブン</t>
    </rPh>
    <rPh sb="5" eb="7">
      <t>ヘンコウ</t>
    </rPh>
    <rPh sb="11" eb="13">
      <t>タンカ</t>
    </rPh>
    <phoneticPr fontId="3"/>
  </si>
  <si>
    <t>消費税区分を変更すると、単価をクリアする。</t>
    <rPh sb="0" eb="5">
      <t>ショウヒゼイクブン</t>
    </rPh>
    <rPh sb="6" eb="8">
      <t>ヘンコウ</t>
    </rPh>
    <rPh sb="12" eb="14">
      <t>タンカ</t>
    </rPh>
    <phoneticPr fontId="3"/>
  </si>
  <si>
    <t>消費税区分を変更すると、税ＣＤ、内税ＦＬＧは合わせて連動する。</t>
    <rPh sb="12" eb="13">
      <t>ゼイ</t>
    </rPh>
    <rPh sb="16" eb="18">
      <t>ウチゼイ</t>
    </rPh>
    <rPh sb="22" eb="23">
      <t>ア</t>
    </rPh>
    <rPh sb="26" eb="28">
      <t>レンドウ</t>
    </rPh>
    <phoneticPr fontId="3"/>
  </si>
  <si>
    <t>41</t>
    <phoneticPr fontId="3"/>
  </si>
  <si>
    <t>発注明細ＮＯ</t>
    <rPh sb="0" eb="2">
      <t>ハッチュウ</t>
    </rPh>
    <rPh sb="2" eb="4">
      <t>メイサイ</t>
    </rPh>
    <phoneticPr fontId="4"/>
  </si>
  <si>
    <t>連番</t>
    <rPh sb="0" eb="2">
      <t>レンバン</t>
    </rPh>
    <phoneticPr fontId="4"/>
  </si>
  <si>
    <t>発注明細ＮＯ</t>
  </si>
  <si>
    <t>連番</t>
  </si>
  <si>
    <t>画面明細部（隠し項目）</t>
    <rPh sb="0" eb="2">
      <t>ガメン</t>
    </rPh>
    <rPh sb="2" eb="4">
      <t>メイサイ</t>
    </rPh>
    <rPh sb="4" eb="5">
      <t>ブ</t>
    </rPh>
    <rPh sb="6" eb="7">
      <t>カク</t>
    </rPh>
    <rPh sb="8" eb="10">
      <t>コウモク</t>
    </rPh>
    <phoneticPr fontId="4"/>
  </si>
  <si>
    <t>画面明細部（隠し項目）</t>
    <phoneticPr fontId="4"/>
  </si>
  <si>
    <t>SILZ161</t>
    <phoneticPr fontId="4"/>
  </si>
  <si>
    <t>サービス呼出編集仕様</t>
    <phoneticPr fontId="3"/>
  </si>
  <si>
    <t>手配データ送信</t>
    <phoneticPr fontId="4"/>
  </si>
  <si>
    <t>手配データ送信</t>
    <rPh sb="0" eb="2">
      <t>テハイ</t>
    </rPh>
    <rPh sb="5" eb="7">
      <t>ソウシン</t>
    </rPh>
    <phoneticPr fontId="3"/>
  </si>
  <si>
    <t>76</t>
    <phoneticPr fontId="3"/>
  </si>
  <si>
    <t>76</t>
    <phoneticPr fontId="3"/>
  </si>
  <si>
    <t>2.ArcSuite図面参照</t>
    <rPh sb="10" eb="12">
      <t>ズメン</t>
    </rPh>
    <rPh sb="12" eb="14">
      <t>サンショウ</t>
    </rPh>
    <phoneticPr fontId="3"/>
  </si>
  <si>
    <t>※対象セルの値（品目ＣＤ）をSILZ260に渡す</t>
    <rPh sb="22" eb="23">
      <t>ワタ</t>
    </rPh>
    <phoneticPr fontId="3"/>
  </si>
  <si>
    <t>明細枠の「品目」をダブルクリックすると、「SILZ260：ArcSuite図面参照」を起動する。</t>
    <rPh sb="0" eb="2">
      <t>メイサイ</t>
    </rPh>
    <rPh sb="2" eb="3">
      <t>ワク</t>
    </rPh>
    <rPh sb="43" eb="45">
      <t>キドウ</t>
    </rPh>
    <phoneticPr fontId="3"/>
  </si>
  <si>
    <t>手配ＮＯ１の先頭2桁</t>
    <rPh sb="0" eb="2">
      <t>テハイ</t>
    </rPh>
    <rPh sb="6" eb="8">
      <t>セントウ</t>
    </rPh>
    <rPh sb="9" eb="10">
      <t>ケタ</t>
    </rPh>
    <phoneticPr fontId="3"/>
  </si>
  <si>
    <t>オーダシンボル</t>
    <phoneticPr fontId="3"/>
  </si>
  <si>
    <t>品目属性２</t>
    <rPh sb="0" eb="2">
      <t>ヒンモク</t>
    </rPh>
    <rPh sb="2" eb="4">
      <t>ゾクセイ</t>
    </rPh>
    <phoneticPr fontId="3"/>
  </si>
  <si>
    <t>エラー処理</t>
    <rPh sb="3" eb="5">
      <t>ショリ</t>
    </rPh>
    <phoneticPr fontId="3"/>
  </si>
  <si>
    <t>単価取得後、下記関連項目を変更すると、単価を再取得する必要がある。</t>
    <rPh sb="0" eb="2">
      <t>タンカ</t>
    </rPh>
    <rPh sb="2" eb="4">
      <t>シュトク</t>
    </rPh>
    <rPh sb="4" eb="5">
      <t>ゴ</t>
    </rPh>
    <rPh sb="6" eb="8">
      <t>カキ</t>
    </rPh>
    <rPh sb="8" eb="10">
      <t>カンレン</t>
    </rPh>
    <rPh sb="10" eb="12">
      <t>コウモク</t>
    </rPh>
    <rPh sb="13" eb="15">
      <t>ヘンコウ</t>
    </rPh>
    <rPh sb="19" eb="21">
      <t>タンカ</t>
    </rPh>
    <rPh sb="22" eb="25">
      <t>サイシュトク</t>
    </rPh>
    <rPh sb="27" eb="29">
      <t>ヒツヨウ</t>
    </rPh>
    <phoneticPr fontId="3"/>
  </si>
  <si>
    <t>画面明細行</t>
    <rPh sb="0" eb="2">
      <t>ガメン</t>
    </rPh>
    <rPh sb="2" eb="4">
      <t>メイサイ</t>
    </rPh>
    <rPh sb="4" eb="5">
      <t>ギョウ</t>
    </rPh>
    <phoneticPr fontId="3"/>
  </si>
  <si>
    <t>Upd01：発注情報登録</t>
    <rPh sb="6" eb="8">
      <t>ハッチュウ</t>
    </rPh>
    <rPh sb="8" eb="10">
      <t>ジョウホウ</t>
    </rPh>
    <rPh sb="10" eb="12">
      <t>トウロク</t>
    </rPh>
    <phoneticPr fontId="3"/>
  </si>
  <si>
    <t>Upd02：確定</t>
    <rPh sb="6" eb="8">
      <t>カクテイ</t>
    </rPh>
    <phoneticPr fontId="3"/>
  </si>
  <si>
    <t>（3.発注明細）</t>
    <rPh sb="3" eb="5">
      <t>ハッチュウ</t>
    </rPh>
    <rPh sb="5" eb="7">
      <t>メイサイ</t>
    </rPh>
    <phoneticPr fontId="3"/>
  </si>
  <si>
    <t>（1.品目購買Ｍ登録）</t>
    <rPh sb="3" eb="5">
      <t>ヒンモク</t>
    </rPh>
    <rPh sb="5" eb="7">
      <t>コウバイ</t>
    </rPh>
    <rPh sb="8" eb="10">
      <t>トウロク</t>
    </rPh>
    <phoneticPr fontId="3"/>
  </si>
  <si>
    <t>※1</t>
    <phoneticPr fontId="3"/>
  </si>
  <si>
    <t>※2</t>
    <phoneticPr fontId="3"/>
  </si>
  <si>
    <t>注文状況</t>
    <rPh sb="0" eb="2">
      <t>チュウモン</t>
    </rPh>
    <rPh sb="2" eb="4">
      <t>ジョウキョウ</t>
    </rPh>
    <phoneticPr fontId="3"/>
  </si>
  <si>
    <t>資材コード</t>
    <rPh sb="0" eb="2">
      <t>シザイ</t>
    </rPh>
    <phoneticPr fontId="3"/>
  </si>
  <si>
    <t>単価登録【F9】</t>
    <rPh sb="0" eb="2">
      <t>タンカ</t>
    </rPh>
    <rPh sb="2" eb="4">
      <t>トウロク</t>
    </rPh>
    <phoneticPr fontId="4"/>
  </si>
  <si>
    <t>条件：</t>
    <rPh sb="0" eb="2">
      <t>ジョウケン</t>
    </rPh>
    <phoneticPr fontId="3"/>
  </si>
  <si>
    <t>※発注先が非ＥＤＩ取引先であること</t>
    <rPh sb="1" eb="3">
      <t>ハッチュウ</t>
    </rPh>
    <rPh sb="3" eb="4">
      <t>サキ</t>
    </rPh>
    <rPh sb="5" eb="6">
      <t>ヒ</t>
    </rPh>
    <rPh sb="9" eb="11">
      <t>トリヒキ</t>
    </rPh>
    <rPh sb="11" eb="12">
      <t>サキ</t>
    </rPh>
    <phoneticPr fontId="3"/>
  </si>
  <si>
    <t>1.単価登録時入力チェック</t>
    <rPh sb="2" eb="4">
      <t>タンカ</t>
    </rPh>
    <rPh sb="4" eb="6">
      <t>トウロク</t>
    </rPh>
    <rPh sb="6" eb="7">
      <t>ジ</t>
    </rPh>
    <rPh sb="7" eb="9">
      <t>ニュウリョク</t>
    </rPh>
    <phoneticPr fontId="4"/>
  </si>
  <si>
    <t>Upd03：単価登録</t>
    <rPh sb="6" eb="8">
      <t>タンカ</t>
    </rPh>
    <rPh sb="8" eb="10">
      <t>トウロク</t>
    </rPh>
    <phoneticPr fontId="3"/>
  </si>
  <si>
    <t>AND 単価 IS NULL</t>
    <rPh sb="4" eb="6">
      <t>タンカ</t>
    </rPh>
    <phoneticPr fontId="3"/>
  </si>
  <si>
    <t>※単価未入力であること</t>
    <rPh sb="1" eb="3">
      <t>タンカ</t>
    </rPh>
    <rPh sb="3" eb="6">
      <t>ミニュウリョク</t>
    </rPh>
    <phoneticPr fontId="3"/>
  </si>
  <si>
    <t>5.入力チェック</t>
  </si>
  <si>
    <t>又は</t>
    <rPh sb="0" eb="1">
      <t>マタ</t>
    </rPh>
    <phoneticPr fontId="4"/>
  </si>
  <si>
    <t>消費税区分</t>
    <rPh sb="0" eb="3">
      <t>ショウヒゼイ</t>
    </rPh>
    <rPh sb="3" eb="5">
      <t>クブン</t>
    </rPh>
    <phoneticPr fontId="3"/>
  </si>
  <si>
    <t>0：消費税非課税</t>
    <phoneticPr fontId="3"/>
  </si>
  <si>
    <t>9：輸入消費税</t>
    <phoneticPr fontId="3"/>
  </si>
  <si>
    <t>画面上入力不可の項目</t>
    <rPh sb="0" eb="2">
      <t>ガメン</t>
    </rPh>
    <rPh sb="2" eb="3">
      <t>ジョウ</t>
    </rPh>
    <rPh sb="3" eb="5">
      <t>ニュウリョク</t>
    </rPh>
    <rPh sb="5" eb="7">
      <t>フカ</t>
    </rPh>
    <rPh sb="8" eb="10">
      <t>コウモク</t>
    </rPh>
    <phoneticPr fontId="3"/>
  </si>
  <si>
    <t>補足</t>
  </si>
  <si>
    <t>1.登録時入力チェック</t>
    <rPh sb="2" eb="4">
      <t>トウロク</t>
    </rPh>
    <rPh sb="4" eb="5">
      <t>ジ</t>
    </rPh>
    <rPh sb="5" eb="7">
      <t>ニュウリョク</t>
    </rPh>
    <phoneticPr fontId="4"/>
  </si>
  <si>
    <t>2.【品目購買マスタ】の自動登録。</t>
    <rPh sb="3" eb="5">
      <t>ヒンモク</t>
    </rPh>
    <rPh sb="5" eb="7">
      <t>コウバイ</t>
    </rPh>
    <rPh sb="12" eb="14">
      <t>ジドウ</t>
    </rPh>
    <rPh sb="14" eb="16">
      <t>トウロク</t>
    </rPh>
    <phoneticPr fontId="3"/>
  </si>
  <si>
    <t>3.発注情報のまとめ処理の削除</t>
    <rPh sb="2" eb="4">
      <t>ハッチュウ</t>
    </rPh>
    <rPh sb="4" eb="6">
      <t>ジョウホウ</t>
    </rPh>
    <rPh sb="10" eb="12">
      <t>ショリ</t>
    </rPh>
    <rPh sb="13" eb="15">
      <t>サクジョ</t>
    </rPh>
    <phoneticPr fontId="4"/>
  </si>
  <si>
    <t>4.発注情報登録</t>
    <rPh sb="2" eb="4">
      <t>ハッチュウ</t>
    </rPh>
    <rPh sb="4" eb="6">
      <t>ジョウホウ</t>
    </rPh>
    <rPh sb="6" eb="8">
      <t>トウロク</t>
    </rPh>
    <phoneticPr fontId="4"/>
  </si>
  <si>
    <t>2.発注情報の単価関連項目を更新</t>
    <rPh sb="2" eb="4">
      <t>ハッチュウ</t>
    </rPh>
    <rPh sb="4" eb="6">
      <t>ジョウホウ</t>
    </rPh>
    <rPh sb="7" eb="9">
      <t>タンカ</t>
    </rPh>
    <rPh sb="9" eb="11">
      <t>カンレン</t>
    </rPh>
    <rPh sb="11" eb="13">
      <t>コウモク</t>
    </rPh>
    <rPh sb="14" eb="16">
      <t>コウシン</t>
    </rPh>
    <phoneticPr fontId="4"/>
  </si>
  <si>
    <t>①</t>
    <phoneticPr fontId="3"/>
  </si>
  <si>
    <t>②</t>
    <phoneticPr fontId="3"/>
  </si>
  <si>
    <t>その他整合性チェック</t>
    <rPh sb="2" eb="3">
      <t>タ</t>
    </rPh>
    <rPh sb="3" eb="6">
      <t>セイゴウセイ</t>
    </rPh>
    <phoneticPr fontId="3"/>
  </si>
  <si>
    <t>補足</t>
    <phoneticPr fontId="3"/>
  </si>
  <si>
    <t>41</t>
    <phoneticPr fontId="3"/>
  </si>
  <si>
    <t>25</t>
    <phoneticPr fontId="3"/>
  </si>
  <si>
    <t>50-1</t>
    <phoneticPr fontId="3"/>
  </si>
  <si>
    <t>41</t>
    <phoneticPr fontId="3"/>
  </si>
  <si>
    <t>消費税（※1）</t>
    <phoneticPr fontId="3"/>
  </si>
  <si>
    <t>消費税（※1）</t>
    <phoneticPr fontId="3"/>
  </si>
  <si>
    <t>非課税（※2）</t>
    <rPh sb="0" eb="3">
      <t>ヒカゼイ</t>
    </rPh>
    <phoneticPr fontId="3"/>
  </si>
  <si>
    <t>輸入消費税（※2）</t>
    <rPh sb="0" eb="2">
      <t>ユニュウ</t>
    </rPh>
    <rPh sb="2" eb="5">
      <t>ショウヒゼイ</t>
    </rPh>
    <phoneticPr fontId="3"/>
  </si>
  <si>
    <t>以下「消費税区分」、「税ＣＤ」、「内税ＦＬＧ」のマッピング関係は汎用マスタから取得。</t>
    <rPh sb="0" eb="2">
      <t>イカ</t>
    </rPh>
    <rPh sb="3" eb="6">
      <t>ショウヒゼイ</t>
    </rPh>
    <rPh sb="6" eb="8">
      <t>クブン</t>
    </rPh>
    <rPh sb="11" eb="12">
      <t>ゼイ</t>
    </rPh>
    <rPh sb="17" eb="19">
      <t>ウチゼイ</t>
    </rPh>
    <rPh sb="29" eb="31">
      <t>カンケイ</t>
    </rPh>
    <rPh sb="32" eb="34">
      <t>ハンヨウ</t>
    </rPh>
    <rPh sb="39" eb="41">
      <t>シュトク</t>
    </rPh>
    <phoneticPr fontId="3"/>
  </si>
  <si>
    <t>※1 MCFrameの消費税ＣＤ決定ロジックを流用し、発注先ＣＤに対する税ＣＤを設定する。</t>
    <rPh sb="11" eb="14">
      <t>ショウヒゼイ</t>
    </rPh>
    <rPh sb="16" eb="18">
      <t>ケッテイ</t>
    </rPh>
    <rPh sb="23" eb="25">
      <t>リュウヨウ</t>
    </rPh>
    <rPh sb="27" eb="29">
      <t>ハッチュウ</t>
    </rPh>
    <rPh sb="29" eb="30">
      <t>サキ</t>
    </rPh>
    <rPh sb="33" eb="34">
      <t>タイ</t>
    </rPh>
    <rPh sb="36" eb="37">
      <t>ゼイ</t>
    </rPh>
    <rPh sb="40" eb="42">
      <t>セッテイ</t>
    </rPh>
    <phoneticPr fontId="3"/>
  </si>
  <si>
    <t>0（※2）</t>
    <phoneticPr fontId="3"/>
  </si>
  <si>
    <t>※2 汎用マスタの値を設定する。</t>
    <rPh sb="3" eb="5">
      <t>ハンヨウ</t>
    </rPh>
    <rPh sb="9" eb="10">
      <t>アタイ</t>
    </rPh>
    <rPh sb="11" eb="13">
      <t>セッテイ</t>
    </rPh>
    <phoneticPr fontId="3"/>
  </si>
  <si>
    <t>NULL</t>
    <phoneticPr fontId="3"/>
  </si>
  <si>
    <t>83</t>
    <phoneticPr fontId="3"/>
  </si>
  <si>
    <t>支給品登録【F3】</t>
    <rPh sb="0" eb="2">
      <t>シキュウ</t>
    </rPh>
    <rPh sb="2" eb="3">
      <t>ヒン</t>
    </rPh>
    <rPh sb="3" eb="5">
      <t>トウロク</t>
    </rPh>
    <phoneticPr fontId="4"/>
  </si>
  <si>
    <t>1.支給品登録画面に遷移する。</t>
    <rPh sb="2" eb="4">
      <t>シキュウ</t>
    </rPh>
    <rPh sb="4" eb="5">
      <t>ヒン</t>
    </rPh>
    <rPh sb="5" eb="7">
      <t>トウロク</t>
    </rPh>
    <rPh sb="7" eb="9">
      <t>ガメン</t>
    </rPh>
    <rPh sb="10" eb="12">
      <t>センイ</t>
    </rPh>
    <phoneticPr fontId="4"/>
  </si>
  <si>
    <t>83</t>
    <phoneticPr fontId="3"/>
  </si>
  <si>
    <t>　拡張子に対して起動プログラムの割り当てがある。</t>
    <phoneticPr fontId="3"/>
  </si>
  <si>
    <t>発注明細</t>
    <rPh sb="0" eb="2">
      <t>ハッチュウ</t>
    </rPh>
    <rPh sb="2" eb="4">
      <t>メイサイ</t>
    </rPh>
    <phoneticPr fontId="3"/>
  </si>
  <si>
    <t>生産管理システム（生産管理・調達系）</t>
    <rPh sb="0" eb="2">
      <t>セイサン</t>
    </rPh>
    <rPh sb="2" eb="4">
      <t>カンリ</t>
    </rPh>
    <rPh sb="9" eb="11">
      <t>セイサン</t>
    </rPh>
    <rPh sb="11" eb="13">
      <t>カンリ</t>
    </rPh>
    <rPh sb="14" eb="16">
      <t>チョウタツ</t>
    </rPh>
    <rPh sb="16" eb="17">
      <t>ケイ</t>
    </rPh>
    <phoneticPr fontId="4"/>
  </si>
  <si>
    <t>保留</t>
    <rPh sb="0" eb="2">
      <t>ホリュウ</t>
    </rPh>
    <phoneticPr fontId="3"/>
  </si>
  <si>
    <t>③</t>
    <phoneticPr fontId="3"/>
  </si>
  <si>
    <t>確定</t>
    <rPh sb="0" eb="2">
      <t>カクテイ</t>
    </rPh>
    <phoneticPr fontId="3"/>
  </si>
  <si>
    <t>④</t>
    <phoneticPr fontId="3"/>
  </si>
  <si>
    <t>確定解除</t>
    <rPh sb="0" eb="2">
      <t>カクテイ</t>
    </rPh>
    <rPh sb="2" eb="4">
      <t>カイジョ</t>
    </rPh>
    <phoneticPr fontId="3"/>
  </si>
  <si>
    <t>⑤</t>
    <phoneticPr fontId="3"/>
  </si>
  <si>
    <t>確定解除【F9】</t>
    <rPh sb="0" eb="4">
      <t>カクテイカイジョ</t>
    </rPh>
    <phoneticPr fontId="4"/>
  </si>
  <si>
    <t>・発注情報未登録の場合</t>
    <rPh sb="9" eb="11">
      <t>バアイ</t>
    </rPh>
    <phoneticPr fontId="3"/>
  </si>
  <si>
    <t>・発注情報登録済みの場合</t>
    <rPh sb="5" eb="7">
      <t>トウロク</t>
    </rPh>
    <rPh sb="7" eb="8">
      <t>ズ</t>
    </rPh>
    <rPh sb="10" eb="12">
      <t>バアイ</t>
    </rPh>
    <phoneticPr fontId="3"/>
  </si>
  <si>
    <t>購買依頼</t>
    <rPh sb="0" eb="2">
      <t>コウバイ</t>
    </rPh>
    <rPh sb="2" eb="4">
      <t>イライ</t>
    </rPh>
    <phoneticPr fontId="3"/>
  </si>
  <si>
    <t>発注明細</t>
    <rPh sb="0" eb="2">
      <t>ハッチュウ</t>
    </rPh>
    <rPh sb="2" eb="4">
      <t>メイサイ</t>
    </rPh>
    <phoneticPr fontId="3"/>
  </si>
  <si>
    <t>-</t>
    <phoneticPr fontId="3"/>
  </si>
  <si>
    <t>2:保留</t>
    <rPh sb="2" eb="4">
      <t>ホリュウ</t>
    </rPh>
    <phoneticPr fontId="3"/>
  </si>
  <si>
    <t>3:確定済</t>
    <rPh sb="2" eb="4">
      <t>カクテイ</t>
    </rPh>
    <rPh sb="4" eb="5">
      <t>ズ</t>
    </rPh>
    <phoneticPr fontId="3"/>
  </si>
  <si>
    <t>〇</t>
    <phoneticPr fontId="3"/>
  </si>
  <si>
    <t>-</t>
    <phoneticPr fontId="3"/>
  </si>
  <si>
    <t>〇</t>
    <phoneticPr fontId="3"/>
  </si>
  <si>
    <t>-</t>
    <phoneticPr fontId="3"/>
  </si>
  <si>
    <t>単価インプット</t>
    <rPh sb="0" eb="2">
      <t>タンカ</t>
    </rPh>
    <phoneticPr fontId="3"/>
  </si>
  <si>
    <t>△</t>
    <phoneticPr fontId="3"/>
  </si>
  <si>
    <t>注文状況</t>
    <rPh sb="0" eb="2">
      <t>チュウモン</t>
    </rPh>
    <rPh sb="2" eb="4">
      <t>ジョウキョウ</t>
    </rPh>
    <phoneticPr fontId="3"/>
  </si>
  <si>
    <t>非EDIで単価未入力のデータを単価インプットの対象データとして抽出する</t>
    <rPh sb="0" eb="1">
      <t>ヒ</t>
    </rPh>
    <rPh sb="5" eb="7">
      <t>タンカ</t>
    </rPh>
    <rPh sb="7" eb="10">
      <t>ミニュウリョク</t>
    </rPh>
    <rPh sb="15" eb="17">
      <t>タンカ</t>
    </rPh>
    <rPh sb="23" eb="25">
      <t>タイショウ</t>
    </rPh>
    <rPh sb="31" eb="33">
      <t>チュウシュツ</t>
    </rPh>
    <phoneticPr fontId="3"/>
  </si>
  <si>
    <t>〇：全データを画面に表示</t>
    <rPh sb="2" eb="3">
      <t>ゼン</t>
    </rPh>
    <rPh sb="7" eb="9">
      <t>ガメン</t>
    </rPh>
    <rPh sb="10" eb="12">
      <t>ヒョウジ</t>
    </rPh>
    <phoneticPr fontId="3"/>
  </si>
  <si>
    <t>△：一部データを画面に表示</t>
    <rPh sb="2" eb="4">
      <t>イチブ</t>
    </rPh>
    <rPh sb="8" eb="10">
      <t>ガメン</t>
    </rPh>
    <rPh sb="11" eb="13">
      <t>ヒョウジ</t>
    </rPh>
    <phoneticPr fontId="3"/>
  </si>
  <si>
    <t>―：表示対象外</t>
    <rPh sb="2" eb="4">
      <t>ヒョウジ</t>
    </rPh>
    <rPh sb="4" eb="7">
      <t>タイショウガイ</t>
    </rPh>
    <phoneticPr fontId="3"/>
  </si>
  <si>
    <t>2.確定時データチェック</t>
    <rPh sb="2" eb="4">
      <t>カクテイ</t>
    </rPh>
    <rPh sb="4" eb="5">
      <t>ジ</t>
    </rPh>
    <phoneticPr fontId="3"/>
  </si>
  <si>
    <t>1.確定解除時入力チェック</t>
    <rPh sb="2" eb="4">
      <t>カクテイ</t>
    </rPh>
    <rPh sb="4" eb="6">
      <t>カイジョ</t>
    </rPh>
    <rPh sb="6" eb="7">
      <t>ジ</t>
    </rPh>
    <rPh sb="7" eb="9">
      <t>ニュウリョク</t>
    </rPh>
    <phoneticPr fontId="4"/>
  </si>
  <si>
    <t>Upd04：確定解除</t>
    <phoneticPr fontId="3"/>
  </si>
  <si>
    <t>65</t>
    <phoneticPr fontId="3"/>
  </si>
  <si>
    <t>※重複ＦＬＧがオンのデータを検索対象外にする。</t>
    <rPh sb="1" eb="3">
      <t>ジュウフク</t>
    </rPh>
    <rPh sb="14" eb="16">
      <t>ケンサク</t>
    </rPh>
    <rPh sb="16" eb="19">
      <t>タイショウガイ</t>
    </rPh>
    <phoneticPr fontId="3"/>
  </si>
  <si>
    <t>製名</t>
    <rPh sb="1" eb="2">
      <t>メイ</t>
    </rPh>
    <phoneticPr fontId="3"/>
  </si>
  <si>
    <t>E：消費税別</t>
    <phoneticPr fontId="3"/>
  </si>
  <si>
    <t>I：消費税込</t>
    <phoneticPr fontId="3"/>
  </si>
  <si>
    <t>品目グループ</t>
    <phoneticPr fontId="3"/>
  </si>
  <si>
    <t>1.一覧の選択チェックをオンにした明細行に対して、当該明細行の査定担当者がNULLの場合に、</t>
    <phoneticPr fontId="3"/>
  </si>
  <si>
    <t>メッセージNo2</t>
    <phoneticPr fontId="4"/>
  </si>
  <si>
    <t>0:未処置</t>
    <phoneticPr fontId="3"/>
  </si>
  <si>
    <t>1:一時保存</t>
    <rPh sb="2" eb="4">
      <t>イチジ</t>
    </rPh>
    <rPh sb="4" eb="6">
      <t>ホゾン</t>
    </rPh>
    <phoneticPr fontId="3"/>
  </si>
  <si>
    <t>種別</t>
    <phoneticPr fontId="3"/>
  </si>
  <si>
    <t>-</t>
    <phoneticPr fontId="3"/>
  </si>
  <si>
    <t>全選択（保留）</t>
    <phoneticPr fontId="3"/>
  </si>
  <si>
    <t>全解除（保留）</t>
    <phoneticPr fontId="3"/>
  </si>
  <si>
    <t>全選択（緊急）</t>
    <phoneticPr fontId="3"/>
  </si>
  <si>
    <t>保存【F8】</t>
    <rPh sb="0" eb="2">
      <t>ホゾン</t>
    </rPh>
    <phoneticPr fontId="4"/>
  </si>
  <si>
    <t>全選択（保留）</t>
    <phoneticPr fontId="3"/>
  </si>
  <si>
    <t>全解除（保留）</t>
    <phoneticPr fontId="3"/>
  </si>
  <si>
    <t>全選択（緊急）</t>
    <phoneticPr fontId="3"/>
  </si>
  <si>
    <t>全解除（緊急）</t>
    <phoneticPr fontId="3"/>
  </si>
  <si>
    <t>一覧の選択チェックをオンにした明細行に対して、全部保留チェックをオンにする。</t>
    <rPh sb="0" eb="2">
      <t>イチラン</t>
    </rPh>
    <rPh sb="3" eb="5">
      <t>センタク</t>
    </rPh>
    <rPh sb="15" eb="17">
      <t>メイサイ</t>
    </rPh>
    <rPh sb="17" eb="18">
      <t>ギョウ</t>
    </rPh>
    <rPh sb="19" eb="20">
      <t>タイ</t>
    </rPh>
    <phoneticPr fontId="4"/>
  </si>
  <si>
    <t>一覧の選択チェックをオンにした明細行に対して、全部保留チェックをオフにする。</t>
    <rPh sb="0" eb="2">
      <t>イチラン</t>
    </rPh>
    <rPh sb="3" eb="5">
      <t>センタク</t>
    </rPh>
    <rPh sb="15" eb="17">
      <t>メイサイ</t>
    </rPh>
    <rPh sb="17" eb="18">
      <t>ギョウ</t>
    </rPh>
    <rPh sb="19" eb="20">
      <t>タイ</t>
    </rPh>
    <phoneticPr fontId="4"/>
  </si>
  <si>
    <t>一覧の選択チェックをオンにした明細行に対して、全部緊急チェックをオンにする。</t>
    <rPh sb="0" eb="2">
      <t>イチラン</t>
    </rPh>
    <rPh sb="3" eb="5">
      <t>センタク</t>
    </rPh>
    <rPh sb="15" eb="17">
      <t>メイサイ</t>
    </rPh>
    <rPh sb="17" eb="18">
      <t>ギョウ</t>
    </rPh>
    <rPh sb="19" eb="20">
      <t>タイ</t>
    </rPh>
    <rPh sb="25" eb="27">
      <t>キンキュウ</t>
    </rPh>
    <phoneticPr fontId="4"/>
  </si>
  <si>
    <t>一覧の選択チェックをオンにした明細行に対して、全部緊急チェックをオフにする。</t>
    <rPh sb="0" eb="2">
      <t>イチラン</t>
    </rPh>
    <rPh sb="3" eb="5">
      <t>センタク</t>
    </rPh>
    <rPh sb="15" eb="17">
      <t>メイサイ</t>
    </rPh>
    <rPh sb="17" eb="18">
      <t>ギョウ</t>
    </rPh>
    <rPh sb="19" eb="20">
      <t>タイ</t>
    </rPh>
    <rPh sb="25" eb="27">
      <t>キンキュウ</t>
    </rPh>
    <phoneticPr fontId="4"/>
  </si>
  <si>
    <t>2.発注情報の注文状況を「1：一時保存」に戻す。</t>
    <rPh sb="2" eb="4">
      <t>ハッチュウ</t>
    </rPh>
    <rPh sb="4" eb="6">
      <t>ジョウホウ</t>
    </rPh>
    <rPh sb="7" eb="9">
      <t>チュウモン</t>
    </rPh>
    <rPh sb="9" eb="11">
      <t>ジョウキョウ</t>
    </rPh>
    <rPh sb="15" eb="17">
      <t>イチジ</t>
    </rPh>
    <rPh sb="17" eb="19">
      <t>ホゾン</t>
    </rPh>
    <rPh sb="21" eb="22">
      <t>モド</t>
    </rPh>
    <phoneticPr fontId="3"/>
  </si>
  <si>
    <t>※取得できない場合には、'X’+品目グループの先頭１桁とする。</t>
    <rPh sb="1" eb="3">
      <t>シュトク</t>
    </rPh>
    <rPh sb="7" eb="9">
      <t>バアイ</t>
    </rPh>
    <rPh sb="16" eb="18">
      <t>ヒンモク</t>
    </rPh>
    <rPh sb="23" eb="25">
      <t>セントウ</t>
    </rPh>
    <rPh sb="26" eb="27">
      <t>ケタ</t>
    </rPh>
    <phoneticPr fontId="3"/>
  </si>
  <si>
    <t>※購買担当条件マスタ．オーダシンボルが'$$'の場合、手配ＮＯ１（製番）なしとして扱う。</t>
    <rPh sb="1" eb="3">
      <t>コウバイ</t>
    </rPh>
    <rPh sb="3" eb="5">
      <t>タントウ</t>
    </rPh>
    <rPh sb="5" eb="7">
      <t>ジョウケン</t>
    </rPh>
    <rPh sb="24" eb="26">
      <t>バアイ</t>
    </rPh>
    <rPh sb="27" eb="29">
      <t>テハイ</t>
    </rPh>
    <rPh sb="33" eb="35">
      <t>セイバン</t>
    </rPh>
    <rPh sb="41" eb="42">
      <t>アツカ</t>
    </rPh>
    <phoneticPr fontId="3"/>
  </si>
  <si>
    <t>　購買担当者（バイヤ）を提案し、（購買担当条件マスタの購買担当者ＣＤを）画面に反映する。</t>
    <rPh sb="17" eb="23">
      <t>コウバイタントウジョウケン</t>
    </rPh>
    <rPh sb="27" eb="29">
      <t>コウバイ</t>
    </rPh>
    <rPh sb="29" eb="32">
      <t>タントウシャ</t>
    </rPh>
    <rPh sb="36" eb="38">
      <t>ガメン</t>
    </rPh>
    <rPh sb="39" eb="41">
      <t>ハンエイ</t>
    </rPh>
    <phoneticPr fontId="3"/>
  </si>
  <si>
    <t>査定担当者ＣＤ</t>
    <phoneticPr fontId="4"/>
  </si>
  <si>
    <t>71</t>
    <phoneticPr fontId="3"/>
  </si>
  <si>
    <t>71</t>
    <phoneticPr fontId="3"/>
  </si>
  <si>
    <t>1.注文書ＮＯがNULLの場合、登録サービスを実行する。</t>
    <rPh sb="13" eb="15">
      <t>バアイ</t>
    </rPh>
    <rPh sb="16" eb="18">
      <t>トウロク</t>
    </rPh>
    <rPh sb="23" eb="25">
      <t>ジッコウ</t>
    </rPh>
    <phoneticPr fontId="3"/>
  </si>
  <si>
    <t>-</t>
    <phoneticPr fontId="3"/>
  </si>
  <si>
    <t>-</t>
    <phoneticPr fontId="3"/>
  </si>
  <si>
    <t>※1</t>
    <phoneticPr fontId="3"/>
  </si>
  <si>
    <t>※2</t>
    <phoneticPr fontId="3"/>
  </si>
  <si>
    <t>6.保存</t>
    <rPh sb="2" eb="4">
      <t>ホゾン</t>
    </rPh>
    <phoneticPr fontId="3"/>
  </si>
  <si>
    <t>発注先ＣＤを変更すると、マスタの取引条件１（支払条件）で再設定。</t>
    <rPh sb="16" eb="18">
      <t>トリヒキ</t>
    </rPh>
    <rPh sb="18" eb="20">
      <t>ジョウケン</t>
    </rPh>
    <phoneticPr fontId="3"/>
  </si>
  <si>
    <t>※価格要素ではないため、単価は製造元の変更から影響を受けない。</t>
    <rPh sb="1" eb="3">
      <t>カカク</t>
    </rPh>
    <rPh sb="3" eb="5">
      <t>ヨウソ</t>
    </rPh>
    <rPh sb="12" eb="14">
      <t>タンカ</t>
    </rPh>
    <rPh sb="15" eb="18">
      <t>セイゾウモト</t>
    </rPh>
    <rPh sb="19" eb="21">
      <t>ヘンコウ</t>
    </rPh>
    <rPh sb="23" eb="25">
      <t>エイキョウ</t>
    </rPh>
    <rPh sb="26" eb="27">
      <t>ウ</t>
    </rPh>
    <phoneticPr fontId="3"/>
  </si>
  <si>
    <t>※価格要素ではないため、単価は製造元名の変更から影響を受けない。</t>
    <rPh sb="12" eb="14">
      <t>タンカ</t>
    </rPh>
    <rPh sb="15" eb="17">
      <t>セイゾウ</t>
    </rPh>
    <rPh sb="17" eb="18">
      <t>モト</t>
    </rPh>
    <rPh sb="18" eb="19">
      <t>メイ</t>
    </rPh>
    <rPh sb="20" eb="22">
      <t>ヘンコウ</t>
    </rPh>
    <rPh sb="24" eb="26">
      <t>エイキョウ</t>
    </rPh>
    <rPh sb="27" eb="28">
      <t>ウ</t>
    </rPh>
    <phoneticPr fontId="3"/>
  </si>
  <si>
    <t>※確定時品目購買単価マスタチェック</t>
    <rPh sb="1" eb="3">
      <t>カクテイ</t>
    </rPh>
    <rPh sb="3" eb="4">
      <t>ジ</t>
    </rPh>
    <rPh sb="4" eb="10">
      <t>ヒンモクコウバイタンカ</t>
    </rPh>
    <phoneticPr fontId="3"/>
  </si>
  <si>
    <t>3.「消費税区分」を設定すると、「税ＣＤ」や「内税ＦＬＧ」と連動する。</t>
    <rPh sb="3" eb="6">
      <t>ショウヒゼイ</t>
    </rPh>
    <rPh sb="6" eb="8">
      <t>クブン</t>
    </rPh>
    <rPh sb="10" eb="12">
      <t>セッテイ</t>
    </rPh>
    <rPh sb="17" eb="18">
      <t>ゼイ</t>
    </rPh>
    <rPh sb="23" eb="25">
      <t>ウチゼイ</t>
    </rPh>
    <rPh sb="30" eb="32">
      <t>レンドウ</t>
    </rPh>
    <phoneticPr fontId="3"/>
  </si>
  <si>
    <t>4.共通項目を設定すると、選択チェックされた明細の該当項目にコピーされる。</t>
    <rPh sb="2" eb="4">
      <t>キョウツウ</t>
    </rPh>
    <rPh sb="4" eb="6">
      <t>コウモク</t>
    </rPh>
    <rPh sb="7" eb="9">
      <t>セッテイ</t>
    </rPh>
    <rPh sb="13" eb="15">
      <t>センタク</t>
    </rPh>
    <rPh sb="22" eb="24">
      <t>メイサイ</t>
    </rPh>
    <rPh sb="25" eb="27">
      <t>ガイトウ</t>
    </rPh>
    <rPh sb="27" eb="29">
      <t>コウモク</t>
    </rPh>
    <phoneticPr fontId="3"/>
  </si>
  <si>
    <t>※選択行の該当項目（値がある場合でも）が上書きされる</t>
    <rPh sb="1" eb="3">
      <t>センタク</t>
    </rPh>
    <rPh sb="3" eb="4">
      <t>ギョウ</t>
    </rPh>
    <rPh sb="5" eb="7">
      <t>ガイトウ</t>
    </rPh>
    <rPh sb="7" eb="9">
      <t>コウモク</t>
    </rPh>
    <rPh sb="10" eb="11">
      <t>アタイ</t>
    </rPh>
    <rPh sb="14" eb="16">
      <t>バアイ</t>
    </rPh>
    <rPh sb="20" eb="22">
      <t>ウワガ</t>
    </rPh>
    <phoneticPr fontId="3"/>
  </si>
  <si>
    <t>共通項目</t>
    <rPh sb="0" eb="2">
      <t>キョウツウ</t>
    </rPh>
    <rPh sb="2" eb="4">
      <t>コウモク</t>
    </rPh>
    <phoneticPr fontId="3"/>
  </si>
  <si>
    <t>明細項目</t>
    <rPh sb="0" eb="2">
      <t>メイサイ</t>
    </rPh>
    <rPh sb="2" eb="4">
      <t>コウモク</t>
    </rPh>
    <phoneticPr fontId="3"/>
  </si>
  <si>
    <t>選択行のうち、メーカＣＤが「XXX」または「ZZZ」</t>
    <rPh sb="0" eb="2">
      <t>センタク</t>
    </rPh>
    <rPh sb="2" eb="3">
      <t>ギョウ</t>
    </rPh>
    <phoneticPr fontId="3"/>
  </si>
  <si>
    <t>の明細行のみ反映対象とする</t>
    <rPh sb="6" eb="8">
      <t>ハンエイ</t>
    </rPh>
    <rPh sb="8" eb="10">
      <t>タイショウ</t>
    </rPh>
    <phoneticPr fontId="3"/>
  </si>
  <si>
    <t>バ</t>
    <phoneticPr fontId="3"/>
  </si>
  <si>
    <t>品</t>
    <phoneticPr fontId="3"/>
  </si>
  <si>
    <t>製</t>
    <phoneticPr fontId="3"/>
  </si>
  <si>
    <t>メーカＣＤ</t>
    <phoneticPr fontId="3"/>
  </si>
  <si>
    <t>メーカ名</t>
    <rPh sb="3" eb="4">
      <t>メイ</t>
    </rPh>
    <phoneticPr fontId="3"/>
  </si>
  <si>
    <t>取</t>
    <phoneticPr fontId="3"/>
  </si>
  <si>
    <t>価</t>
    <phoneticPr fontId="3"/>
  </si>
  <si>
    <t>価格区分</t>
    <rPh sb="0" eb="2">
      <t>カカク</t>
    </rPh>
    <rPh sb="2" eb="4">
      <t>クブン</t>
    </rPh>
    <phoneticPr fontId="3"/>
  </si>
  <si>
    <t>通</t>
    <phoneticPr fontId="3"/>
  </si>
  <si>
    <t>税</t>
    <phoneticPr fontId="3"/>
  </si>
  <si>
    <t>資ｺ</t>
    <phoneticPr fontId="3"/>
  </si>
  <si>
    <t>希</t>
    <rPh sb="0" eb="1">
      <t>マレ</t>
    </rPh>
    <phoneticPr fontId="3"/>
  </si>
  <si>
    <t>希望単価</t>
    <rPh sb="0" eb="4">
      <t>キボウタンカ</t>
    </rPh>
    <phoneticPr fontId="3"/>
  </si>
  <si>
    <t>目</t>
    <rPh sb="0" eb="1">
      <t>モク</t>
    </rPh>
    <phoneticPr fontId="3"/>
  </si>
  <si>
    <t>目標単価</t>
    <rPh sb="0" eb="4">
      <t>モクヒョウタンカ</t>
    </rPh>
    <phoneticPr fontId="3"/>
  </si>
  <si>
    <t>ｺﾒ</t>
    <phoneticPr fontId="3"/>
  </si>
  <si>
    <t>取引コメント</t>
    <rPh sb="0" eb="2">
      <t>トリヒキ</t>
    </rPh>
    <phoneticPr fontId="3"/>
  </si>
  <si>
    <t>生産品目属性２</t>
    <phoneticPr fontId="3"/>
  </si>
  <si>
    <t>（品目グループ）</t>
    <phoneticPr fontId="3"/>
  </si>
  <si>
    <t>■工具以外の場合</t>
    <rPh sb="1" eb="3">
      <t>コウグ</t>
    </rPh>
    <rPh sb="3" eb="5">
      <t>イガイ</t>
    </rPh>
    <rPh sb="6" eb="8">
      <t>バアイ</t>
    </rPh>
    <phoneticPr fontId="3"/>
  </si>
  <si>
    <t>必須</t>
    <rPh sb="0" eb="2">
      <t>ヒッス</t>
    </rPh>
    <phoneticPr fontId="3"/>
  </si>
  <si>
    <t>支払条件</t>
    <rPh sb="0" eb="2">
      <t>シハライ</t>
    </rPh>
    <rPh sb="2" eb="4">
      <t>ジョウケン</t>
    </rPh>
    <phoneticPr fontId="3"/>
  </si>
  <si>
    <t>任意</t>
    <rPh sb="0" eb="2">
      <t>ニンイ</t>
    </rPh>
    <phoneticPr fontId="3"/>
  </si>
  <si>
    <t>IN/OUT</t>
    <phoneticPr fontId="3"/>
  </si>
  <si>
    <t>IN</t>
    <phoneticPr fontId="3"/>
  </si>
  <si>
    <t>OUT</t>
    <phoneticPr fontId="3"/>
  </si>
  <si>
    <t>IN</t>
    <phoneticPr fontId="3"/>
  </si>
  <si>
    <t>消費税区分</t>
    <phoneticPr fontId="3"/>
  </si>
  <si>
    <t>指示納期</t>
    <rPh sb="0" eb="4">
      <t>シジノウキ</t>
    </rPh>
    <phoneticPr fontId="3"/>
  </si>
  <si>
    <t>運用日付</t>
  </si>
  <si>
    <t>（MIN/QTY）</t>
    <phoneticPr fontId="3"/>
  </si>
  <si>
    <t>単契適用</t>
    <rPh sb="0" eb="2">
      <t>タンケイ</t>
    </rPh>
    <rPh sb="2" eb="4">
      <t>テキヨウ</t>
    </rPh>
    <phoneticPr fontId="3"/>
  </si>
  <si>
    <t>ベース</t>
  </si>
  <si>
    <t>完全一致</t>
    <rPh sb="0" eb="4">
      <t>カンゼンイッチ</t>
    </rPh>
    <phoneticPr fontId="3"/>
  </si>
  <si>
    <t>（発注）数量≧ロット数</t>
    <rPh sb="1" eb="3">
      <t>ハッチュウ</t>
    </rPh>
    <phoneticPr fontId="3"/>
  </si>
  <si>
    <t>適用開始日</t>
    <rPh sb="0" eb="5">
      <t>テキヨウカイシビ</t>
    </rPh>
    <phoneticPr fontId="3"/>
  </si>
  <si>
    <t>適用終了日</t>
    <rPh sb="0" eb="2">
      <t>テキヨウ</t>
    </rPh>
    <rPh sb="2" eb="5">
      <t>シュウリョウビ</t>
    </rPh>
    <phoneticPr fontId="3"/>
  </si>
  <si>
    <t>運用日付 between（適用開始日、適用終了日）</t>
    <rPh sb="0" eb="2">
      <t>ウンヨウ</t>
    </rPh>
    <rPh sb="2" eb="4">
      <t>ヒヅケ</t>
    </rPh>
    <rPh sb="13" eb="15">
      <t>テキヨウ</t>
    </rPh>
    <rPh sb="15" eb="17">
      <t>カイシ</t>
    </rPh>
    <rPh sb="17" eb="18">
      <t>ビ</t>
    </rPh>
    <rPh sb="19" eb="21">
      <t>テキヨウ</t>
    </rPh>
    <rPh sb="21" eb="24">
      <t>シュウリョウビ</t>
    </rPh>
    <phoneticPr fontId="3"/>
  </si>
  <si>
    <t>指示納期 between（適用開始日、適用終了日）</t>
    <rPh sb="0" eb="2">
      <t>シジ</t>
    </rPh>
    <rPh sb="2" eb="4">
      <t>ノウキ</t>
    </rPh>
    <rPh sb="13" eb="15">
      <t>テキヨウ</t>
    </rPh>
    <rPh sb="15" eb="17">
      <t>カイシ</t>
    </rPh>
    <rPh sb="17" eb="18">
      <t>ビ</t>
    </rPh>
    <rPh sb="19" eb="21">
      <t>テキヨウ</t>
    </rPh>
    <rPh sb="21" eb="24">
      <t>シュウリョウビ</t>
    </rPh>
    <phoneticPr fontId="3"/>
  </si>
  <si>
    <t>備考</t>
    <rPh sb="0" eb="2">
      <t>ビコウ</t>
    </rPh>
    <phoneticPr fontId="3"/>
  </si>
  <si>
    <t>※品目購買単価Ｍ（契約単価）、品目購買単価Ｍ（有効見積単価）の単価取得仕様は</t>
    <rPh sb="23" eb="25">
      <t>ユウコウ</t>
    </rPh>
    <rPh sb="25" eb="27">
      <t>ミツモリ</t>
    </rPh>
    <rPh sb="27" eb="29">
      <t>タンカ</t>
    </rPh>
    <rPh sb="31" eb="33">
      <t>タンカ</t>
    </rPh>
    <rPh sb="33" eb="35">
      <t>シュトク</t>
    </rPh>
    <rPh sb="35" eb="37">
      <t>シヨウ</t>
    </rPh>
    <phoneticPr fontId="3"/>
  </si>
  <si>
    <t>　「工具以外」と同様。</t>
    <rPh sb="8" eb="10">
      <t>ドウヨウ</t>
    </rPh>
    <phoneticPr fontId="3"/>
  </si>
  <si>
    <t>必須チェック</t>
    <rPh sb="0" eb="2">
      <t>ヒッス</t>
    </rPh>
    <phoneticPr fontId="4"/>
  </si>
  <si>
    <t>必須：単価取得する前に、必須チェックを実施</t>
    <rPh sb="0" eb="2">
      <t>ヒッス</t>
    </rPh>
    <rPh sb="3" eb="5">
      <t>タンカ</t>
    </rPh>
    <rPh sb="5" eb="7">
      <t>シュトク</t>
    </rPh>
    <rPh sb="9" eb="10">
      <t>マエ</t>
    </rPh>
    <rPh sb="12" eb="14">
      <t>ヒッス</t>
    </rPh>
    <rPh sb="19" eb="21">
      <t>ジッシ</t>
    </rPh>
    <phoneticPr fontId="3"/>
  </si>
  <si>
    <t>単契適用ベースが「1：注文日ベース」の場合、</t>
    <rPh sb="0" eb="2">
      <t>タンケイ</t>
    </rPh>
    <rPh sb="2" eb="4">
      <t>テキヨウ</t>
    </rPh>
    <rPh sb="19" eb="21">
      <t>バアイ</t>
    </rPh>
    <phoneticPr fontId="3"/>
  </si>
  <si>
    <t>取引条件１</t>
    <rPh sb="0" eb="2">
      <t>トリヒキ</t>
    </rPh>
    <rPh sb="2" eb="4">
      <t>ジョウケン</t>
    </rPh>
    <phoneticPr fontId="3"/>
  </si>
  <si>
    <t>IN：画面→単価提案ロジック</t>
    <rPh sb="3" eb="5">
      <t>ガメン</t>
    </rPh>
    <rPh sb="6" eb="8">
      <t>タンカ</t>
    </rPh>
    <rPh sb="8" eb="10">
      <t>テイアン</t>
    </rPh>
    <phoneticPr fontId="3"/>
  </si>
  <si>
    <t>OUT：単価提案ロジック→画面</t>
    <rPh sb="13" eb="15">
      <t>ガメン</t>
    </rPh>
    <phoneticPr fontId="3"/>
  </si>
  <si>
    <t>単価マスタ：品目購買単価マスタ</t>
    <rPh sb="6" eb="8">
      <t>ヒンモク</t>
    </rPh>
    <rPh sb="8" eb="12">
      <t>コウバイタンカ</t>
    </rPh>
    <phoneticPr fontId="3"/>
  </si>
  <si>
    <t>単価マスタ</t>
    <rPh sb="0" eb="2">
      <t>タンカ</t>
    </rPh>
    <phoneticPr fontId="3"/>
  </si>
  <si>
    <t>単価マスタ合致判定の条件（※1）</t>
    <rPh sb="0" eb="2">
      <t>タンカ</t>
    </rPh>
    <rPh sb="5" eb="7">
      <t>ガッチ</t>
    </rPh>
    <rPh sb="7" eb="9">
      <t>ハンテイ</t>
    </rPh>
    <rPh sb="10" eb="12">
      <t>ジョウケン</t>
    </rPh>
    <phoneticPr fontId="3"/>
  </si>
  <si>
    <t>(※2)</t>
    <phoneticPr fontId="3"/>
  </si>
  <si>
    <t>(※3)</t>
    <phoneticPr fontId="3"/>
  </si>
  <si>
    <t>※2 当画面は表示項目で、発注先ＣＤと連動する。</t>
    <rPh sb="3" eb="4">
      <t>トウ</t>
    </rPh>
    <rPh sb="4" eb="6">
      <t>ガメン</t>
    </rPh>
    <rPh sb="7" eb="9">
      <t>ヒョウジ</t>
    </rPh>
    <rPh sb="9" eb="11">
      <t>コウモク</t>
    </rPh>
    <rPh sb="13" eb="15">
      <t>ハッチュウ</t>
    </rPh>
    <rPh sb="15" eb="16">
      <t>サキ</t>
    </rPh>
    <rPh sb="19" eb="21">
      <t>レンドウ</t>
    </rPh>
    <phoneticPr fontId="3"/>
  </si>
  <si>
    <t>品目、単位、数量、適用基準日</t>
    <rPh sb="9" eb="11">
      <t>テキヨウ</t>
    </rPh>
    <rPh sb="11" eb="14">
      <t>キジュンビ</t>
    </rPh>
    <phoneticPr fontId="4"/>
  </si>
  <si>
    <t>単契適用ベースが「1：注文日ベース」の場合、ボタン押下日（運用日付）を適用基準日とする。</t>
    <rPh sb="29" eb="31">
      <t>ウンヨウ</t>
    </rPh>
    <rPh sb="31" eb="33">
      <t>ヒヅケ</t>
    </rPh>
    <rPh sb="35" eb="37">
      <t>テキヨウ</t>
    </rPh>
    <rPh sb="37" eb="40">
      <t>キジュンビ</t>
    </rPh>
    <phoneticPr fontId="3"/>
  </si>
  <si>
    <t>10.単価再取得</t>
    <rPh sb="3" eb="5">
      <t>タンカ</t>
    </rPh>
    <rPh sb="5" eb="8">
      <t>サイシュトク</t>
    </rPh>
    <phoneticPr fontId="3"/>
  </si>
  <si>
    <t>画面入力値があれば検索条件、なければ提案</t>
    <rPh sb="0" eb="2">
      <t>ガメン</t>
    </rPh>
    <rPh sb="2" eb="4">
      <t>ニュウリョク</t>
    </rPh>
    <phoneticPr fontId="3"/>
  </si>
  <si>
    <t>画面入力値があれば検索条件、なければ提案</t>
    <phoneticPr fontId="3"/>
  </si>
  <si>
    <t>画面入力値があれば検索条件、なければ提案</t>
    <phoneticPr fontId="3"/>
  </si>
  <si>
    <t>画面入力値があれば検索条件、なければ提案</t>
    <phoneticPr fontId="3"/>
  </si>
  <si>
    <t>画面入力値があれば検索条件、なければ提案</t>
    <phoneticPr fontId="3"/>
  </si>
  <si>
    <t>単価マスタから有効単価取得できない場合、メッセージを出力する。</t>
    <rPh sb="0" eb="2">
      <t>タンカ</t>
    </rPh>
    <rPh sb="7" eb="9">
      <t>ユウコウ</t>
    </rPh>
    <rPh sb="9" eb="11">
      <t>タンカ</t>
    </rPh>
    <rPh sb="11" eb="13">
      <t>シュトク</t>
    </rPh>
    <rPh sb="17" eb="19">
      <t>バアイ</t>
    </rPh>
    <rPh sb="26" eb="28">
      <t>シュツリョク</t>
    </rPh>
    <phoneticPr fontId="3"/>
  </si>
  <si>
    <t>※購買依頼情報（注文状況＝0：未処置）の場合、単価再取得処理</t>
    <rPh sb="1" eb="3">
      <t>コウバイ</t>
    </rPh>
    <rPh sb="3" eb="5">
      <t>イライ</t>
    </rPh>
    <rPh sb="5" eb="7">
      <t>ジョウホウ</t>
    </rPh>
    <rPh sb="8" eb="10">
      <t>チュウモン</t>
    </rPh>
    <rPh sb="10" eb="12">
      <t>ジョウキョウ</t>
    </rPh>
    <rPh sb="15" eb="16">
      <t>ミ</t>
    </rPh>
    <rPh sb="16" eb="18">
      <t>ショチ</t>
    </rPh>
    <rPh sb="20" eb="22">
      <t>バアイ</t>
    </rPh>
    <rPh sb="23" eb="25">
      <t>タンカ</t>
    </rPh>
    <rPh sb="25" eb="28">
      <t>サイシュトク</t>
    </rPh>
    <rPh sb="28" eb="30">
      <t>ショリ</t>
    </rPh>
    <phoneticPr fontId="3"/>
  </si>
  <si>
    <t>　（単価提案、メッセージ出力なし）を実施する。</t>
    <phoneticPr fontId="3"/>
  </si>
  <si>
    <t>　　優先順は「補足シート　1.品目購買単価マスタの適用優先順」を参照。</t>
    <phoneticPr fontId="3"/>
  </si>
  <si>
    <t>※3 下請対象の場合、単価マスタの適用終了日が1年より先の場合、</t>
    <rPh sb="3" eb="5">
      <t>シタウ</t>
    </rPh>
    <rPh sb="5" eb="7">
      <t>タイショウ</t>
    </rPh>
    <rPh sb="8" eb="10">
      <t>バアイ</t>
    </rPh>
    <rPh sb="11" eb="13">
      <t>タンカ</t>
    </rPh>
    <rPh sb="17" eb="19">
      <t>テキヨウ</t>
    </rPh>
    <rPh sb="19" eb="21">
      <t>シュウリョウ</t>
    </rPh>
    <rPh sb="21" eb="22">
      <t>ビ</t>
    </rPh>
    <rPh sb="24" eb="25">
      <t>ネン</t>
    </rPh>
    <rPh sb="27" eb="28">
      <t>サキ</t>
    </rPh>
    <rPh sb="29" eb="31">
      <t>バアイ</t>
    </rPh>
    <phoneticPr fontId="3"/>
  </si>
  <si>
    <t>　　（単価適用期間）を適用開始日から1年間にする。</t>
    <phoneticPr fontId="3"/>
  </si>
  <si>
    <t>適用基準日</t>
    <rPh sb="0" eb="2">
      <t>テキヨウ</t>
    </rPh>
    <rPh sb="2" eb="5">
      <t>キジュンビ</t>
    </rPh>
    <phoneticPr fontId="3"/>
  </si>
  <si>
    <t>購買依頼から、承認状況区分＝承認済のデータを検索する。</t>
    <rPh sb="0" eb="2">
      <t>コウバイ</t>
    </rPh>
    <rPh sb="2" eb="4">
      <t>イライ</t>
    </rPh>
    <rPh sb="7" eb="9">
      <t>ショウニン</t>
    </rPh>
    <rPh sb="9" eb="11">
      <t>ジョウキョウ</t>
    </rPh>
    <rPh sb="11" eb="13">
      <t>クブン</t>
    </rPh>
    <rPh sb="14" eb="16">
      <t>ショウニン</t>
    </rPh>
    <rPh sb="16" eb="17">
      <t>ズ</t>
    </rPh>
    <rPh sb="22" eb="24">
      <t>ケンサク</t>
    </rPh>
    <phoneticPr fontId="3"/>
  </si>
  <si>
    <t>取得元</t>
    <rPh sb="0" eb="2">
      <t>シュトク</t>
    </rPh>
    <rPh sb="2" eb="3">
      <t>モト</t>
    </rPh>
    <phoneticPr fontId="3"/>
  </si>
  <si>
    <t>1.購買依頼および発注明細からデータを取得する。</t>
    <rPh sb="2" eb="4">
      <t>コウバイ</t>
    </rPh>
    <rPh sb="4" eb="6">
      <t>イライ</t>
    </rPh>
    <rPh sb="9" eb="11">
      <t>ハッチュウ</t>
    </rPh>
    <rPh sb="11" eb="13">
      <t>メイサイ</t>
    </rPh>
    <rPh sb="19" eb="21">
      <t>シュトク</t>
    </rPh>
    <phoneticPr fontId="4"/>
  </si>
  <si>
    <t>2.種別にあわせて、（1の検索結果から）対象データを画面に表示する。</t>
    <rPh sb="2" eb="4">
      <t>シュベツ</t>
    </rPh>
    <rPh sb="13" eb="15">
      <t>ケンサク</t>
    </rPh>
    <rPh sb="15" eb="17">
      <t>ケッカ</t>
    </rPh>
    <rPh sb="20" eb="22">
      <t>タイショウ</t>
    </rPh>
    <rPh sb="26" eb="28">
      <t>ガメン</t>
    </rPh>
    <rPh sb="29" eb="31">
      <t>ヒョウジ</t>
    </rPh>
    <phoneticPr fontId="3"/>
  </si>
  <si>
    <t>ＥＤＩ対象ＦＬＧ ='0'</t>
    <phoneticPr fontId="3"/>
  </si>
  <si>
    <t>1.単価関連項目の動作。</t>
    <rPh sb="2" eb="4">
      <t>タンカ</t>
    </rPh>
    <rPh sb="4" eb="6">
      <t>カンレン</t>
    </rPh>
    <rPh sb="6" eb="8">
      <t>コウモク</t>
    </rPh>
    <rPh sb="9" eb="11">
      <t>ドウサ</t>
    </rPh>
    <phoneticPr fontId="4"/>
  </si>
  <si>
    <t>（複数）選択行をリストのカタチでバッチへ渡し、一括処理する。</t>
    <rPh sb="1" eb="3">
      <t>フクスウ</t>
    </rPh>
    <rPh sb="4" eb="6">
      <t>センタク</t>
    </rPh>
    <rPh sb="6" eb="7">
      <t>ギョウ</t>
    </rPh>
    <rPh sb="20" eb="21">
      <t>ワタ</t>
    </rPh>
    <rPh sb="23" eb="25">
      <t>イッカツ</t>
    </rPh>
    <rPh sb="25" eb="27">
      <t>ショリ</t>
    </rPh>
    <phoneticPr fontId="4"/>
  </si>
  <si>
    <t>1.一覧の選択チェックをオンにした明細行に対して、以下の項目（単価関連項目）のマスタ値を</t>
    <phoneticPr fontId="3"/>
  </si>
  <si>
    <t>　再取得する。</t>
    <phoneticPr fontId="3"/>
  </si>
  <si>
    <t>工具単価契約→品目購買単価Ｍ（契約単価）→品目購買単価Ｍ（有効見積単価）の順に単価取得を</t>
    <rPh sb="29" eb="31">
      <t>ユウコウ</t>
    </rPh>
    <rPh sb="31" eb="33">
      <t>ミツモリ</t>
    </rPh>
    <rPh sb="33" eb="35">
      <t>タンカ</t>
    </rPh>
    <phoneticPr fontId="3"/>
  </si>
  <si>
    <t>実施する。</t>
    <phoneticPr fontId="3"/>
  </si>
  <si>
    <t>単価 NOT NULLの場合、確定時マスタチェックを行う。</t>
    <rPh sb="0" eb="2">
      <t>タンカ</t>
    </rPh>
    <rPh sb="12" eb="14">
      <t>バアイ</t>
    </rPh>
    <rPh sb="15" eb="17">
      <t>カクテイ</t>
    </rPh>
    <rPh sb="17" eb="18">
      <t>ジ</t>
    </rPh>
    <rPh sb="26" eb="27">
      <t>オコナ</t>
    </rPh>
    <phoneticPr fontId="3"/>
  </si>
  <si>
    <t>　を参照。</t>
    <phoneticPr fontId="3"/>
  </si>
  <si>
    <t xml:space="preserve"> 記載シート</t>
    <rPh sb="1" eb="3">
      <t>キサイ</t>
    </rPh>
    <phoneticPr fontId="3"/>
  </si>
  <si>
    <t>記載</t>
    <rPh sb="0" eb="2">
      <t>キサイ</t>
    </rPh>
    <phoneticPr fontId="3"/>
  </si>
  <si>
    <t xml:space="preserve"> 表紙</t>
    <rPh sb="1" eb="3">
      <t>ヒョウシ</t>
    </rPh>
    <phoneticPr fontId="3"/>
  </si>
  <si>
    <t xml:space="preserve"> 変更履歴</t>
    <rPh sb="1" eb="3">
      <t>ヘンコウ</t>
    </rPh>
    <rPh sb="3" eb="5">
      <t>リレキ</t>
    </rPh>
    <phoneticPr fontId="3"/>
  </si>
  <si>
    <t xml:space="preserve"> 開発一覧</t>
  </si>
  <si>
    <t xml:space="preserve"> 機能概要</t>
  </si>
  <si>
    <t xml:space="preserve"> 処理概要</t>
  </si>
  <si>
    <t xml:space="preserve"> 機能遷移</t>
  </si>
  <si>
    <t xml:space="preserve"> 処理詳細</t>
  </si>
  <si>
    <t xml:space="preserve"> DB項目転送</t>
  </si>
  <si>
    <t xml:space="preserve"> 画面項目転送</t>
  </si>
  <si>
    <t xml:space="preserve"> 画面遷移</t>
  </si>
  <si>
    <t xml:space="preserve"> 画面レイアウト</t>
  </si>
  <si>
    <t xml:space="preserve"> サービス呼出編集仕様</t>
  </si>
  <si>
    <t xml:space="preserve"> 帳票項目仕様書</t>
  </si>
  <si>
    <t xml:space="preserve"> 帳票レイアウト</t>
  </si>
  <si>
    <t xml:space="preserve"> 入力制御</t>
  </si>
  <si>
    <t xml:space="preserve"> メッセージ一覧</t>
  </si>
  <si>
    <t xml:space="preserve"> 電文編集仕様</t>
  </si>
  <si>
    <t xml:space="preserve"> 補足</t>
    <rPh sb="1" eb="3">
      <t>ホソク</t>
    </rPh>
    <phoneticPr fontId="3"/>
  </si>
  <si>
    <t xml:space="preserve"> 参考資料</t>
    <rPh sb="1" eb="3">
      <t>サンコウ</t>
    </rPh>
    <rPh sb="3" eb="5">
      <t>シリョウ</t>
    </rPh>
    <phoneticPr fontId="3"/>
  </si>
  <si>
    <t>記載：〇　省略：－</t>
  </si>
  <si>
    <t>〇</t>
    <phoneticPr fontId="3"/>
  </si>
  <si>
    <t xml:space="preserve"> 機能概要説明</t>
    <phoneticPr fontId="3"/>
  </si>
  <si>
    <t xml:space="preserve"> 画面項目仕様</t>
    <phoneticPr fontId="3"/>
  </si>
  <si>
    <t>※「原版型費」、「特別送料」に関する仕様は「補足シート　7.「原版型費」、「特別送料」について」</t>
    <rPh sb="15" eb="16">
      <t>カン</t>
    </rPh>
    <rPh sb="18" eb="20">
      <t>シヨウ</t>
    </rPh>
    <rPh sb="22" eb="24">
      <t>ホソク</t>
    </rPh>
    <phoneticPr fontId="3"/>
  </si>
  <si>
    <t>査</t>
    <rPh sb="0" eb="1">
      <t>サ</t>
    </rPh>
    <phoneticPr fontId="3"/>
  </si>
  <si>
    <t>査定担当者ＣＤ</t>
    <rPh sb="0" eb="2">
      <t>サテイ</t>
    </rPh>
    <rPh sb="2" eb="5">
      <t>タントウシャ</t>
    </rPh>
    <phoneticPr fontId="3"/>
  </si>
  <si>
    <t>発注明細から、注文状況が一時保存、保留、確定済、見積照会のデータを検索する。</t>
    <rPh sb="0" eb="2">
      <t>ハッチュウ</t>
    </rPh>
    <rPh sb="2" eb="4">
      <t>メイサイ</t>
    </rPh>
    <rPh sb="7" eb="9">
      <t>チュウモン</t>
    </rPh>
    <rPh sb="9" eb="11">
      <t>ジョウキョウ</t>
    </rPh>
    <rPh sb="12" eb="14">
      <t>イチジ</t>
    </rPh>
    <rPh sb="14" eb="16">
      <t>ホゾン</t>
    </rPh>
    <rPh sb="17" eb="19">
      <t>ホリュウ</t>
    </rPh>
    <rPh sb="20" eb="22">
      <t>カクテイ</t>
    </rPh>
    <rPh sb="22" eb="23">
      <t>ズミ</t>
    </rPh>
    <rPh sb="24" eb="26">
      <t>ミツモリ</t>
    </rPh>
    <rPh sb="26" eb="28">
      <t>ショウカイ</t>
    </rPh>
    <rPh sb="33" eb="35">
      <t>ケンサク</t>
    </rPh>
    <phoneticPr fontId="3"/>
  </si>
  <si>
    <t>4:見積照会</t>
    <rPh sb="2" eb="4">
      <t>ミツモリ</t>
    </rPh>
    <rPh sb="4" eb="6">
      <t>ショウカイ</t>
    </rPh>
    <phoneticPr fontId="3"/>
  </si>
  <si>
    <t>価格区分</t>
    <rPh sb="0" eb="1">
      <t>カカク</t>
    </rPh>
    <rPh sb="1" eb="3">
      <t>クブン</t>
    </rPh>
    <phoneticPr fontId="3"/>
  </si>
  <si>
    <t>「3：継続単価」→「4：次回再見積」以外の変更の場合、エラーとする。</t>
    <rPh sb="2" eb="4">
      <t>ケイゾク</t>
    </rPh>
    <rPh sb="4" eb="6">
      <t>タンカ</t>
    </rPh>
    <rPh sb="11" eb="13">
      <t>ジカイ</t>
    </rPh>
    <rPh sb="13" eb="16">
      <t>サイミツ</t>
    </rPh>
    <rPh sb="17" eb="19">
      <t>イガイ</t>
    </rPh>
    <rPh sb="20" eb="22">
      <t>ヘンコウ</t>
    </rPh>
    <rPh sb="23" eb="25">
      <t>バアイ</t>
    </rPh>
    <phoneticPr fontId="3"/>
  </si>
  <si>
    <t>適用終了日：適用開始日 ＋ 1年 － 1日</t>
    <rPh sb="0" eb="2">
      <t>テキヨウ</t>
    </rPh>
    <rPh sb="2" eb="5">
      <t>シュウリョウビ</t>
    </rPh>
    <rPh sb="6" eb="8">
      <t>テキヨウ</t>
    </rPh>
    <rPh sb="8" eb="10">
      <t>カイシ</t>
    </rPh>
    <rPh sb="10" eb="11">
      <t>ビ</t>
    </rPh>
    <rPh sb="15" eb="16">
      <t>ネン</t>
    </rPh>
    <rPh sb="20" eb="21">
      <t>ニチ</t>
    </rPh>
    <phoneticPr fontId="3"/>
  </si>
  <si>
    <t>例：適用開始日が2018/4/12の場合、適用終了日＝2019/4/11</t>
    <phoneticPr fontId="3"/>
  </si>
  <si>
    <t>※1 ・（単価マスタ情報）複数件合致した場合、</t>
    <rPh sb="10" eb="12">
      <t>ジョウホウ</t>
    </rPh>
    <rPh sb="13" eb="15">
      <t>フクスウ</t>
    </rPh>
    <rPh sb="15" eb="16">
      <t>ケン</t>
    </rPh>
    <rPh sb="16" eb="18">
      <t>ガッチ</t>
    </rPh>
    <rPh sb="20" eb="22">
      <t>バアイ</t>
    </rPh>
    <phoneticPr fontId="3"/>
  </si>
  <si>
    <t>　　・単価マスタの無効区分 IS NULL</t>
    <rPh sb="3" eb="5">
      <t>タンカ</t>
    </rPh>
    <rPh sb="9" eb="11">
      <t>ムコウ</t>
    </rPh>
    <rPh sb="11" eb="13">
      <t>クブン</t>
    </rPh>
    <phoneticPr fontId="3"/>
  </si>
  <si>
    <t>③</t>
    <phoneticPr fontId="3"/>
  </si>
  <si>
    <t>ASSY品の場合（品目属性１(部品種)＝「I:ASSY外注」）、</t>
    <rPh sb="4" eb="5">
      <t>ヒン</t>
    </rPh>
    <rPh sb="6" eb="8">
      <t>バアイ</t>
    </rPh>
    <rPh sb="9" eb="11">
      <t>ヒンモク</t>
    </rPh>
    <rPh sb="11" eb="13">
      <t>ゾクセイ</t>
    </rPh>
    <rPh sb="15" eb="17">
      <t>ブヒン</t>
    </rPh>
    <rPh sb="17" eb="18">
      <t>シュ</t>
    </rPh>
    <phoneticPr fontId="3"/>
  </si>
  <si>
    <t>ASSY品に対する支給品情報が1件でも未確定の場合、エラーとする。</t>
    <phoneticPr fontId="3"/>
  </si>
  <si>
    <t>①</t>
    <phoneticPr fontId="3"/>
  </si>
  <si>
    <t>整合性チェック</t>
    <rPh sb="0" eb="3">
      <t>セイゴウセイ</t>
    </rPh>
    <phoneticPr fontId="3"/>
  </si>
  <si>
    <t>見積提出期限</t>
    <rPh sb="0" eb="2">
      <t>ミツモリ</t>
    </rPh>
    <rPh sb="2" eb="4">
      <t>テイシュツ</t>
    </rPh>
    <rPh sb="4" eb="6">
      <t>キゲン</t>
    </rPh>
    <phoneticPr fontId="3"/>
  </si>
  <si>
    <t>過去日の場合、エラーとする。</t>
    <rPh sb="0" eb="2">
      <t>カコ</t>
    </rPh>
    <rPh sb="2" eb="3">
      <t>ビ</t>
    </rPh>
    <rPh sb="4" eb="6">
      <t>バアイ</t>
    </rPh>
    <phoneticPr fontId="3"/>
  </si>
  <si>
    <t>見積有効期限</t>
    <rPh sb="0" eb="2">
      <t>ミツモリ</t>
    </rPh>
    <rPh sb="2" eb="4">
      <t>ユウコウ</t>
    </rPh>
    <rPh sb="4" eb="6">
      <t>キゲン</t>
    </rPh>
    <phoneticPr fontId="3"/>
  </si>
  <si>
    <t>　</t>
    <phoneticPr fontId="3"/>
  </si>
  <si>
    <t>→入力可能な日付は1年未満とする</t>
    <phoneticPr fontId="3"/>
  </si>
  <si>
    <t>③-1 過去日の場合、エラーとする。</t>
    <rPh sb="4" eb="6">
      <t>カコ</t>
    </rPh>
    <rPh sb="6" eb="7">
      <t>ビ</t>
    </rPh>
    <rPh sb="8" eb="10">
      <t>バアイ</t>
    </rPh>
    <phoneticPr fontId="3"/>
  </si>
  <si>
    <t>③-2 下請対象の場合、</t>
    <rPh sb="4" eb="6">
      <t>シタウ</t>
    </rPh>
    <phoneticPr fontId="3"/>
  </si>
  <si>
    <t>⑥</t>
    <phoneticPr fontId="3"/>
  </si>
  <si>
    <t>保留</t>
    <rPh sb="0" eb="2">
      <t>ホリュウ</t>
    </rPh>
    <phoneticPr fontId="3"/>
  </si>
  <si>
    <t>・保留がオンの場合、エラーとする。</t>
    <rPh sb="1" eb="3">
      <t>ホリュウ</t>
    </rPh>
    <rPh sb="7" eb="9">
      <t>バアイ</t>
    </rPh>
    <phoneticPr fontId="3"/>
  </si>
  <si>
    <t>・（更新前）注文状況が「2：保留」の場合、エラーとする。</t>
    <rPh sb="2" eb="4">
      <t>コウシン</t>
    </rPh>
    <rPh sb="4" eb="5">
      <t>マエ</t>
    </rPh>
    <rPh sb="6" eb="8">
      <t>チュウモン</t>
    </rPh>
    <rPh sb="8" eb="10">
      <t>ジョウキョウ</t>
    </rPh>
    <rPh sb="14" eb="16">
      <t>ホリュウ</t>
    </rPh>
    <rPh sb="18" eb="20">
      <t>バアイ</t>
    </rPh>
    <phoneticPr fontId="3"/>
  </si>
  <si>
    <t>エラーとする。</t>
    <phoneticPr fontId="3"/>
  </si>
  <si>
    <t>処理中の手配内容変更情報が存在する場合（状態＝「1：未処置」or「2:確認中」）、</t>
    <rPh sb="0" eb="3">
      <t>ショリチュウ</t>
    </rPh>
    <rPh sb="4" eb="6">
      <t>テハイ</t>
    </rPh>
    <rPh sb="6" eb="8">
      <t>ナイヨウ</t>
    </rPh>
    <rPh sb="8" eb="10">
      <t>ヘンコウ</t>
    </rPh>
    <rPh sb="10" eb="12">
      <t>ジョウホウ</t>
    </rPh>
    <rPh sb="13" eb="15">
      <t>ソンザイ</t>
    </rPh>
    <rPh sb="17" eb="19">
      <t>バアイ</t>
    </rPh>
    <rPh sb="20" eb="22">
      <t>ジョウタイ</t>
    </rPh>
    <phoneticPr fontId="3"/>
  </si>
  <si>
    <t>「Y50」は定数定義</t>
    <phoneticPr fontId="3"/>
  </si>
  <si>
    <t>金額チェック</t>
    <rPh sb="0" eb="2">
      <t>キンガク</t>
    </rPh>
    <phoneticPr fontId="3"/>
  </si>
  <si>
    <t>相違がある場合、エラーとする。</t>
    <rPh sb="0" eb="2">
      <t>ソウイ</t>
    </rPh>
    <rPh sb="5" eb="7">
      <t>バアイ</t>
    </rPh>
    <phoneticPr fontId="3"/>
  </si>
  <si>
    <t>明細．金額ﾁｪｯｸと該当明細行の金額が同じかどうかをチェックする。</t>
    <rPh sb="0" eb="2">
      <t>メイサイ</t>
    </rPh>
    <rPh sb="3" eb="5">
      <t>キンガク</t>
    </rPh>
    <rPh sb="10" eb="12">
      <t>ガイトウ</t>
    </rPh>
    <rPh sb="12" eb="14">
      <t>メイサイ</t>
    </rPh>
    <rPh sb="14" eb="15">
      <t>ギョウ</t>
    </rPh>
    <rPh sb="16" eb="18">
      <t>キンガク</t>
    </rPh>
    <rPh sb="19" eb="20">
      <t>オナ</t>
    </rPh>
    <phoneticPr fontId="3"/>
  </si>
  <si>
    <t>※該当明細行の金額：単価×数量＋原版型費＋特別送料</t>
    <rPh sb="10" eb="12">
      <t>タンカ</t>
    </rPh>
    <rPh sb="13" eb="15">
      <t>スウリョウ</t>
    </rPh>
    <rPh sb="21" eb="23">
      <t>トクベツ</t>
    </rPh>
    <rPh sb="23" eb="25">
      <t>ソウリョウ</t>
    </rPh>
    <phoneticPr fontId="3"/>
  </si>
  <si>
    <t>3.単価区分が「3：未定」の場合、見積照会番号を採番する。</t>
    <rPh sb="2" eb="4">
      <t>タンカ</t>
    </rPh>
    <rPh sb="4" eb="6">
      <t>クブン</t>
    </rPh>
    <rPh sb="10" eb="12">
      <t>ミテイ</t>
    </rPh>
    <rPh sb="14" eb="16">
      <t>バアイ</t>
    </rPh>
    <rPh sb="17" eb="23">
      <t>ミツモリショウカイバンゴウ</t>
    </rPh>
    <rPh sb="24" eb="26">
      <t>サイバン</t>
    </rPh>
    <phoneticPr fontId="3"/>
  </si>
  <si>
    <t>見積照会番号</t>
    <rPh sb="0" eb="6">
      <t>ミツモリショウカイバンゴウ</t>
    </rPh>
    <phoneticPr fontId="3"/>
  </si>
  <si>
    <t>単価区分</t>
  </si>
  <si>
    <t>単価区分を変更すると、単価をクリアする。</t>
    <rPh sb="5" eb="7">
      <t>ヘンコウ</t>
    </rPh>
    <rPh sb="11" eb="13">
      <t>タンカ</t>
    </rPh>
    <phoneticPr fontId="3"/>
  </si>
  <si>
    <t>単価区分</t>
    <phoneticPr fontId="3"/>
  </si>
  <si>
    <t>種別が単価インプットの場合、単価区分を「1：本単価」にし、固定表示</t>
    <rPh sb="31" eb="33">
      <t>ヒョウジ</t>
    </rPh>
    <phoneticPr fontId="3"/>
  </si>
  <si>
    <t>①「価格区分」と「単価区分」</t>
    <rPh sb="2" eb="4">
      <t>カカク</t>
    </rPh>
    <rPh sb="4" eb="6">
      <t>クブン</t>
    </rPh>
    <phoneticPr fontId="3"/>
  </si>
  <si>
    <t>3.価格区分と単価区分</t>
  </si>
  <si>
    <t>MIN QTY</t>
    <phoneticPr fontId="3"/>
  </si>
  <si>
    <t>参照見積照会番号</t>
    <rPh sb="0" eb="2">
      <t>サンショウ</t>
    </rPh>
    <rPh sb="2" eb="8">
      <t>ミツモリショウカイバンゴウ</t>
    </rPh>
    <phoneticPr fontId="3"/>
  </si>
  <si>
    <t>⑥</t>
    <phoneticPr fontId="4"/>
  </si>
  <si>
    <t>※フルパス＝シスパラに登録した基準パス＋ＤＢ．要求元添付</t>
    <rPh sb="11" eb="13">
      <t>トウロク</t>
    </rPh>
    <rPh sb="15" eb="17">
      <t>キジュン</t>
    </rPh>
    <rPh sb="23" eb="25">
      <t>ヨウキュウ</t>
    </rPh>
    <rPh sb="25" eb="26">
      <t>モト</t>
    </rPh>
    <rPh sb="26" eb="28">
      <t>テンプ</t>
    </rPh>
    <phoneticPr fontId="3"/>
  </si>
  <si>
    <t>※複数バイヤコードは「^」で結合する</t>
    <phoneticPr fontId="4"/>
  </si>
  <si>
    <t>【抽出項目】</t>
    <rPh sb="1" eb="3">
      <t>チュウシュツ</t>
    </rPh>
    <rPh sb="3" eb="5">
      <t>コウモク</t>
    </rPh>
    <phoneticPr fontId="3"/>
  </si>
  <si>
    <t>【対象テーブル】</t>
    <rPh sb="1" eb="3">
      <t>タイショウ</t>
    </rPh>
    <phoneticPr fontId="3"/>
  </si>
  <si>
    <t>汎用マスタ</t>
    <rPh sb="0" eb="2">
      <t>ハンヨウ</t>
    </rPh>
    <phoneticPr fontId="4"/>
  </si>
  <si>
    <t>【抽出条件】</t>
    <rPh sb="1" eb="3">
      <t>チュウシュツ</t>
    </rPh>
    <rPh sb="3" eb="5">
      <t>ジョウケン</t>
    </rPh>
    <phoneticPr fontId="3"/>
  </si>
  <si>
    <t>汎用区分　＝　014（バイヤコード定義）</t>
    <rPh sb="0" eb="2">
      <t>ハンヨウ</t>
    </rPh>
    <rPh sb="2" eb="4">
      <t>クブン</t>
    </rPh>
    <phoneticPr fontId="4"/>
  </si>
  <si>
    <t>文字項目１　＝　ログインユーザＣＤ</t>
    <phoneticPr fontId="4"/>
  </si>
  <si>
    <t>汎用キー値１</t>
    <phoneticPr fontId="4"/>
  </si>
  <si>
    <t>ログインユーザのバイヤコードを検索条件．購買担当者に初期設定する。</t>
    <rPh sb="17" eb="19">
      <t>ジョウケン</t>
    </rPh>
    <phoneticPr fontId="4"/>
  </si>
  <si>
    <t>発注先ＣＤを変更すると、取引先マスタの通貨ＣＤで再設定。</t>
    <rPh sb="12" eb="14">
      <t>トリヒキ</t>
    </rPh>
    <rPh sb="14" eb="15">
      <t>サキ</t>
    </rPh>
    <phoneticPr fontId="3"/>
  </si>
  <si>
    <t>発注先ＣＤを変更すると、取引先マスタの取引条件１（支払条件）で再設定。</t>
    <rPh sb="12" eb="14">
      <t>トリヒキ</t>
    </rPh>
    <rPh sb="14" eb="15">
      <t>サキ</t>
    </rPh>
    <rPh sb="19" eb="21">
      <t>トリヒキ</t>
    </rPh>
    <rPh sb="21" eb="23">
      <t>ジョウケン</t>
    </rPh>
    <phoneticPr fontId="3"/>
  </si>
  <si>
    <t>→ただし、建業法対象（建業法取引区分＝1）の場合、支払条件は「Y50」固定</t>
    <rPh sb="5" eb="8">
      <t>ケンギョウホウ</t>
    </rPh>
    <rPh sb="8" eb="10">
      <t>タイショウ</t>
    </rPh>
    <rPh sb="22" eb="24">
      <t>バアイ</t>
    </rPh>
    <rPh sb="25" eb="27">
      <t>シハライ</t>
    </rPh>
    <rPh sb="27" eb="29">
      <t>ジョウケン</t>
    </rPh>
    <rPh sb="35" eb="37">
      <t>コテイ</t>
    </rPh>
    <phoneticPr fontId="3"/>
  </si>
  <si>
    <t>ＵＲＬ区分</t>
    <phoneticPr fontId="3"/>
  </si>
  <si>
    <t>ＵＲＬ識別コード</t>
    <phoneticPr fontId="3"/>
  </si>
  <si>
    <t>SILZ260引数設定仕様</t>
    <rPh sb="7" eb="9">
      <t>ヒキスウ</t>
    </rPh>
    <rPh sb="9" eb="11">
      <t>セッテイ</t>
    </rPh>
    <rPh sb="11" eb="13">
      <t>シヨウ</t>
    </rPh>
    <phoneticPr fontId="4"/>
  </si>
  <si>
    <t>対象セルの値（品目ＣＤ）</t>
    <rPh sb="0" eb="2">
      <t>タイショウ</t>
    </rPh>
    <rPh sb="5" eb="6">
      <t>アタイ</t>
    </rPh>
    <rPh sb="7" eb="9">
      <t>ヒンモク</t>
    </rPh>
    <phoneticPr fontId="3"/>
  </si>
  <si>
    <t>固定値（CC_URL_TYP.BUHIN）</t>
    <rPh sb="0" eb="3">
      <t>コテイチ</t>
    </rPh>
    <phoneticPr fontId="3"/>
  </si>
  <si>
    <t>汎用区分　＝　015（消費税区分）</t>
    <rPh sb="0" eb="2">
      <t>ハンヨウ</t>
    </rPh>
    <rPh sb="2" eb="4">
      <t>クブン</t>
    </rPh>
    <phoneticPr fontId="4"/>
  </si>
  <si>
    <t>汎用キー値１　＝　明細．消費税区分</t>
    <rPh sb="9" eb="11">
      <t>メイサイ</t>
    </rPh>
    <rPh sb="12" eb="15">
      <t>ショウヒゼイ</t>
    </rPh>
    <rPh sb="15" eb="17">
      <t>クブン</t>
    </rPh>
    <phoneticPr fontId="4"/>
  </si>
  <si>
    <t>文字項目１</t>
    <phoneticPr fontId="4"/>
  </si>
  <si>
    <t>税ＣＤ</t>
    <phoneticPr fontId="4"/>
  </si>
  <si>
    <t>ＦＬＧ項目１</t>
    <phoneticPr fontId="4"/>
  </si>
  <si>
    <t>・運用日付が新仕入消費税ＣＤ採用日以降の場合、会社マスタ．新仕入消費税ＣＤを設定する。</t>
    <rPh sb="1" eb="3">
      <t>ウンヨウ</t>
    </rPh>
    <rPh sb="3" eb="5">
      <t>ヒヅケ</t>
    </rPh>
    <rPh sb="17" eb="19">
      <t>イコウ</t>
    </rPh>
    <rPh sb="20" eb="22">
      <t>バアイ</t>
    </rPh>
    <rPh sb="23" eb="25">
      <t>カイシャ</t>
    </rPh>
    <rPh sb="38" eb="40">
      <t>セッテイ</t>
    </rPh>
    <phoneticPr fontId="4"/>
  </si>
  <si>
    <t>・それ以外の場合、会社マスタ．現仕入消費税ＣＤを設定する。</t>
    <rPh sb="3" eb="5">
      <t>イガイ</t>
    </rPh>
    <rPh sb="6" eb="8">
      <t>バアイ</t>
    </rPh>
    <rPh sb="9" eb="11">
      <t>カイシャ</t>
    </rPh>
    <rPh sb="15" eb="16">
      <t>ゲン</t>
    </rPh>
    <rPh sb="16" eb="18">
      <t>シイレ</t>
    </rPh>
    <rPh sb="24" eb="26">
      <t>セッテイ</t>
    </rPh>
    <phoneticPr fontId="4"/>
  </si>
  <si>
    <t>国外発注（海調案件）で、契約条件作成済み以降の状態の場合、確定解除できない（エラーとする）。</t>
    <rPh sb="0" eb="4">
      <t>コクガイハッチュウ</t>
    </rPh>
    <rPh sb="12" eb="14">
      <t>ケイヤク</t>
    </rPh>
    <rPh sb="14" eb="16">
      <t>ジョウケン</t>
    </rPh>
    <rPh sb="16" eb="18">
      <t>サクセイ</t>
    </rPh>
    <rPh sb="18" eb="19">
      <t>ズ</t>
    </rPh>
    <rPh sb="20" eb="22">
      <t>イコウ</t>
    </rPh>
    <rPh sb="23" eb="25">
      <t>ジョウタイ</t>
    </rPh>
    <rPh sb="26" eb="28">
      <t>バアイ</t>
    </rPh>
    <rPh sb="29" eb="31">
      <t>カクテイ</t>
    </rPh>
    <rPh sb="31" eb="33">
      <t>カイジョ</t>
    </rPh>
    <phoneticPr fontId="3"/>
  </si>
  <si>
    <t>詳細判別条件：</t>
    <rPh sb="0" eb="1">
      <t>ショウサイ</t>
    </rPh>
    <rPh sb="1" eb="3">
      <t>ハンベツ</t>
    </rPh>
    <rPh sb="3" eb="5">
      <t>ジョウケン</t>
    </rPh>
    <phoneticPr fontId="3"/>
  </si>
  <si>
    <t>S</t>
    <phoneticPr fontId="4"/>
  </si>
  <si>
    <t>　「原版型費」、「特別送料」レコードを更新しない。（SILZ163注文決済のタイミングで更新する。）</t>
    <rPh sb="19" eb="21">
      <t>コウシン</t>
    </rPh>
    <rPh sb="33" eb="35">
      <t>チュウモン</t>
    </rPh>
    <rPh sb="35" eb="37">
      <t>ケッサイ</t>
    </rPh>
    <rPh sb="44" eb="46">
      <t>コウシン</t>
    </rPh>
    <phoneticPr fontId="4"/>
  </si>
  <si>
    <t>※当処理では、メイン発注明細の「原版型費」、「特別送料」項目を更新するが、</t>
    <rPh sb="1" eb="2">
      <t>トウ</t>
    </rPh>
    <rPh sb="2" eb="4">
      <t>ショリ</t>
    </rPh>
    <rPh sb="10" eb="12">
      <t>ハッチュウ</t>
    </rPh>
    <rPh sb="12" eb="14">
      <t>メイサイ</t>
    </rPh>
    <rPh sb="28" eb="30">
      <t>コウモク</t>
    </rPh>
    <rPh sb="31" eb="33">
      <t>コウシン</t>
    </rPh>
    <phoneticPr fontId="4"/>
  </si>
  <si>
    <t>※「原版型費」、「特別送料」に関する仕様は「補足シート　7.「原版型費」、「特別送料」について」</t>
    <phoneticPr fontId="4"/>
  </si>
  <si>
    <t>　を参照。</t>
    <phoneticPr fontId="4"/>
  </si>
  <si>
    <t>手配内容変更番号</t>
    <rPh sb="0" eb="8">
      <t>テハイナイヨウヘンコウバンゴウ</t>
    </rPh>
    <phoneticPr fontId="4"/>
  </si>
  <si>
    <t>手配内容変更</t>
    <rPh sb="0" eb="2">
      <t>テハイ</t>
    </rPh>
    <rPh sb="2" eb="4">
      <t>ナイヨウ</t>
    </rPh>
    <rPh sb="4" eb="6">
      <t>ヘンコウ</t>
    </rPh>
    <phoneticPr fontId="4"/>
  </si>
  <si>
    <t>状態＝「1：未処置」or「2:確認中」</t>
    <rPh sb="0" eb="2">
      <t>ジョウタイ</t>
    </rPh>
    <rPh sb="6" eb="7">
      <t>ミ</t>
    </rPh>
    <rPh sb="7" eb="9">
      <t>ショチ</t>
    </rPh>
    <rPh sb="15" eb="18">
      <t>カクニンチュウ</t>
    </rPh>
    <phoneticPr fontId="4"/>
  </si>
  <si>
    <t>注文書ＮＯ＝明細．注文書ＮＯ</t>
    <rPh sb="0" eb="3">
      <t>チュウモンショ</t>
    </rPh>
    <rPh sb="6" eb="8">
      <t>メイサイ</t>
    </rPh>
    <rPh sb="9" eb="12">
      <t>チュウモンショ</t>
    </rPh>
    <phoneticPr fontId="4"/>
  </si>
  <si>
    <t>購買担当条件マスタ</t>
    <rPh sb="0" eb="2">
      <t>コウバイ</t>
    </rPh>
    <rPh sb="2" eb="4">
      <t>タントウ</t>
    </rPh>
    <rPh sb="4" eb="6">
      <t>ジョウケン</t>
    </rPh>
    <phoneticPr fontId="4"/>
  </si>
  <si>
    <t>購買担当者ＣＤ</t>
    <rPh sb="0" eb="2">
      <t>コウバイ</t>
    </rPh>
    <rPh sb="2" eb="5">
      <t>タントウシャ</t>
    </rPh>
    <phoneticPr fontId="4"/>
  </si>
  <si>
    <t>品目グループＣＤ＝明細．品目属性２</t>
    <rPh sb="0" eb="2">
      <t>ヒンモク</t>
    </rPh>
    <rPh sb="9" eb="11">
      <t>メイサイ</t>
    </rPh>
    <rPh sb="12" eb="14">
      <t>ヒンモク</t>
    </rPh>
    <rPh sb="14" eb="16">
      <t>ゾクセイ</t>
    </rPh>
    <phoneticPr fontId="4"/>
  </si>
  <si>
    <t>オーダシンボル＝明細．手配ＮＯ１の先頭2桁 OR (オーダシンボル＝'$$' AND 明細．手配ＮＯ１＝'*')</t>
    <rPh sb="8" eb="10">
      <t>メイサイ</t>
    </rPh>
    <rPh sb="43" eb="45">
      <t>メイサイ</t>
    </rPh>
    <rPh sb="46" eb="48">
      <t>テハイ</t>
    </rPh>
    <phoneticPr fontId="4"/>
  </si>
  <si>
    <t>・提案対象行の品目属性２がNULLの場合、メッセージを表示する。</t>
    <rPh sb="1" eb="3">
      <t>テイアン</t>
    </rPh>
    <rPh sb="3" eb="5">
      <t>タイショウ</t>
    </rPh>
    <rPh sb="5" eb="6">
      <t>ギョウ</t>
    </rPh>
    <rPh sb="7" eb="9">
      <t>ヒンモク</t>
    </rPh>
    <rPh sb="9" eb="11">
      <t>ゾクセイ</t>
    </rPh>
    <rPh sb="18" eb="20">
      <t>バアイ</t>
    </rPh>
    <rPh sb="27" eb="29">
      <t>ヒョウジ</t>
    </rPh>
    <phoneticPr fontId="4"/>
  </si>
  <si>
    <t>査定担当条件マスタ</t>
    <rPh sb="0" eb="2">
      <t>サテイ</t>
    </rPh>
    <rPh sb="2" eb="4">
      <t>タントウ</t>
    </rPh>
    <rPh sb="4" eb="6">
      <t>ジョウケン</t>
    </rPh>
    <phoneticPr fontId="4"/>
  </si>
  <si>
    <t>支給品情報</t>
    <rPh sb="0" eb="2">
      <t>シキュウ</t>
    </rPh>
    <rPh sb="2" eb="3">
      <t>ヒン</t>
    </rPh>
    <rPh sb="3" eb="5">
      <t>ジョウホウ</t>
    </rPh>
    <phoneticPr fontId="4"/>
  </si>
  <si>
    <t>親品目ＣＤ＝明細．品目ＣＤ</t>
    <rPh sb="0" eb="1">
      <t>オヤ</t>
    </rPh>
    <rPh sb="1" eb="3">
      <t>ヒンモク</t>
    </rPh>
    <rPh sb="6" eb="8">
      <t>メイサイ</t>
    </rPh>
    <rPh sb="9" eb="11">
      <t>ヒンモク</t>
    </rPh>
    <phoneticPr fontId="4"/>
  </si>
  <si>
    <t>改訂リビジョン＝「DEL」</t>
    <rPh sb="0" eb="2">
      <t>カイテイ</t>
    </rPh>
    <phoneticPr fontId="4"/>
  </si>
  <si>
    <t>未確定支給品情報</t>
    <rPh sb="0" eb="3">
      <t>ミカクテイ</t>
    </rPh>
    <rPh sb="3" eb="8">
      <t>シキュウヒンジョウホウ</t>
    </rPh>
    <phoneticPr fontId="4"/>
  </si>
  <si>
    <t>汎用区分　＝　013（ダミー発注先）</t>
    <rPh sb="0" eb="2">
      <t>ハンヨウ</t>
    </rPh>
    <rPh sb="2" eb="4">
      <t>クブン</t>
    </rPh>
    <phoneticPr fontId="4"/>
  </si>
  <si>
    <t>ROWNUM ＝ 1</t>
    <phoneticPr fontId="4"/>
  </si>
  <si>
    <t>ダミー発注先ＣＤ</t>
    <rPh sb="3" eb="5">
      <t>ハッチュウ</t>
    </rPh>
    <rPh sb="5" eb="6">
      <t>サキ</t>
    </rPh>
    <phoneticPr fontId="4"/>
  </si>
  <si>
    <t>採番キー（ＥＤＩ取引先の場合）：CC_NUM_SYS_TYP.MITSUMORI_SHOKAI_E</t>
    <rPh sb="0" eb="2">
      <t>サイバン</t>
    </rPh>
    <rPh sb="8" eb="10">
      <t>トリヒキ</t>
    </rPh>
    <rPh sb="10" eb="11">
      <t>サキ</t>
    </rPh>
    <rPh sb="12" eb="14">
      <t>バアイ</t>
    </rPh>
    <phoneticPr fontId="4"/>
  </si>
  <si>
    <t>採番キー（非ＥＤＩ取引先の場合）：CC_NUM_SYS_TYP.MITSUMORI_SHOKAI_N</t>
    <rPh sb="0" eb="2">
      <t>サイバン</t>
    </rPh>
    <rPh sb="5" eb="6">
      <t>ヒ</t>
    </rPh>
    <rPh sb="9" eb="11">
      <t>トリヒキ</t>
    </rPh>
    <rPh sb="11" eb="12">
      <t>サキ</t>
    </rPh>
    <rPh sb="13" eb="15">
      <t>バアイ</t>
    </rPh>
    <phoneticPr fontId="4"/>
  </si>
  <si>
    <t>「画面項目転送」シートを参照(Srch01①：購買依頼検索)</t>
    <phoneticPr fontId="4"/>
  </si>
  <si>
    <t>【結合条件】</t>
    <rPh sb="1" eb="3">
      <t>ケツゴウ</t>
    </rPh>
    <rPh sb="3" eb="5">
      <t>ジョウケン</t>
    </rPh>
    <phoneticPr fontId="3"/>
  </si>
  <si>
    <t>AND 購買依頼．査定担当者ＣＤ = 担当者ビュー.担当者ＣＤ(+)</t>
    <phoneticPr fontId="4"/>
  </si>
  <si>
    <t>[AND 品目オーダビュー．アイテム LIKE 検索.アイテム]</t>
  </si>
  <si>
    <t>[AND 生産品目ビュー.生産品目属性ＣＤ９ LIKE 検索.品目属性９]</t>
  </si>
  <si>
    <t>[AND 購買依頼．査定担当者ＣＤ LIKE 検索.査定担当者]</t>
  </si>
  <si>
    <t>[AND 部門マスタ.部門名 LIKE 検索.依頼元部門名]</t>
  </si>
  <si>
    <t>[AND 購買依頼．メーカ名 LIKE 検索.メーカ名]</t>
  </si>
  <si>
    <t>[AND 品目オーダビュー．要領書番号 LIKE 検索.要領書番号]</t>
  </si>
  <si>
    <t>[AND 購買依頼．部品型式 LIKE 検索.部品型式]</t>
  </si>
  <si>
    <t>[AND 購買依頼．購入要求日 &gt;= 検索.購入要求日ＦＲＯＭ]</t>
  </si>
  <si>
    <t>[AND 購買依頼．購入要求日 &lt;= 検索.購入要求日ＴＯ]</t>
  </si>
  <si>
    <t>[AND 購買依頼．依頼元納入希望日 &gt;= 検索.指示納期ＦＲＯＭ]</t>
  </si>
  <si>
    <t>[AND 購買依頼．依頼元納入希望日 &lt;= 検索.指示納期ＴＯ]</t>
  </si>
  <si>
    <t>[AND 品目オーダビュー．機械番号 LIKE 検索.機械番号]</t>
  </si>
  <si>
    <t>[AND 購買依頼．購入要求番号 LIKE 検索.購入要求番号]</t>
  </si>
  <si>
    <t>「画面項目転送」シートを参照(Srch01②：発注検索)</t>
    <phoneticPr fontId="4"/>
  </si>
  <si>
    <t>[AND 発注明細．アイテム LIKE 検索.アイテム]</t>
  </si>
  <si>
    <t>[AND 発注明細．注文状況 LIKE 検索.注文状況]</t>
  </si>
  <si>
    <t>[AND 発注明細．製品グループＣＤ LIKE 検索.品目属性９]</t>
  </si>
  <si>
    <t>[AND 発注ヘッダ．査定担当者 LIKE 検索.査定担当者]</t>
  </si>
  <si>
    <t>[AND 発注明細．依頼元部門名 LIKE 検索.依頼元部門名]</t>
  </si>
  <si>
    <t>[AND 発注明細．メーカ名 LIKE 検索.メーカ名]</t>
  </si>
  <si>
    <t>[AND 発注明細．要領書番号 LIKE 検索.要領書番号]</t>
  </si>
  <si>
    <t>[AND 発注明細．部品型式 LIKE 検索.部品型式]</t>
  </si>
  <si>
    <t>[AND 発注明細．購入要求日 &gt;= 検索.購入要求日ＦＲＯＭ]</t>
  </si>
  <si>
    <t>[AND 発注明細．購入要求日 &lt;= 検索.購入要求日ＴＯ]</t>
  </si>
  <si>
    <t>[AND 発注明細．依頼元納入希望日 &gt;= 検索.指示納期ＦＲＯＭ]</t>
  </si>
  <si>
    <t>[AND 発注明細．依頼元納入希望日 &lt;= 検索.指示納期ＴＯ]</t>
  </si>
  <si>
    <t>[AND 発注ヘッダ．手配番号 LIKE 検索.手配番号]</t>
  </si>
  <si>
    <t>[AND 発注明細．機械番号 LIKE 検索.機械番号]</t>
  </si>
  <si>
    <t>補足 (2)</t>
    <phoneticPr fontId="4"/>
  </si>
  <si>
    <t>OR</t>
  </si>
  <si>
    <t>)</t>
  </si>
  <si>
    <t>　査定担当者を提案し、（査定担当条件マスタの査定担当者ＣＤを）画面に反映する。</t>
    <rPh sb="22" eb="24">
      <t>サテイ</t>
    </rPh>
    <rPh sb="31" eb="33">
      <t>ガメン</t>
    </rPh>
    <rPh sb="34" eb="36">
      <t>ハンエイ</t>
    </rPh>
    <phoneticPr fontId="3"/>
  </si>
  <si>
    <t>査定担当条件M</t>
  </si>
  <si>
    <t>※査定担当条件マスタ．オーダシンボルが'$$'の場合、手配ＮＯ１（製番）なしとして扱う。</t>
    <rPh sb="5" eb="7">
      <t>ジョウケン</t>
    </rPh>
    <rPh sb="24" eb="26">
      <t>バアイ</t>
    </rPh>
    <rPh sb="27" eb="29">
      <t>テハイ</t>
    </rPh>
    <rPh sb="33" eb="35">
      <t>セイバン</t>
    </rPh>
    <rPh sb="41" eb="42">
      <t>アツカ</t>
    </rPh>
    <phoneticPr fontId="3"/>
  </si>
  <si>
    <t>購買担当者提案【SF11】</t>
    <phoneticPr fontId="4"/>
  </si>
  <si>
    <t>査定担当者提案【SF12】</t>
    <rPh sb="5" eb="7">
      <t>テイアン</t>
    </rPh>
    <phoneticPr fontId="4"/>
  </si>
  <si>
    <t>プロシージャ名：CPA_PURC_Z.P_PURC_MONEY_NE</t>
    <phoneticPr fontId="4"/>
  </si>
  <si>
    <t>C</t>
    <phoneticPr fontId="4"/>
  </si>
  <si>
    <t>S</t>
    <phoneticPr fontId="4"/>
  </si>
  <si>
    <t>AND</t>
    <phoneticPr fontId="4"/>
  </si>
  <si>
    <t>CPA_CTAX.F_GET_PURC_CTAX_CD_NE</t>
    <phoneticPr fontId="4"/>
  </si>
  <si>
    <t>COUNT(支給品情報.ＢＯＭキー)</t>
    <phoneticPr fontId="4"/>
  </si>
  <si>
    <t>ASSY品に対する支給品情報が1件でも未確定の場合(未確定支給品情報 &gt; 0)、エラーとする。</t>
    <phoneticPr fontId="3"/>
  </si>
  <si>
    <t>・発注情報未登録の場合(依頼状況区分：確定)</t>
    <rPh sb="9" eb="11">
      <t>バアイ</t>
    </rPh>
    <phoneticPr fontId="3"/>
  </si>
  <si>
    <t>・発注情報登録済みの場合(依頼状況区分：確定以外)</t>
    <rPh sb="5" eb="7">
      <t>トウロク</t>
    </rPh>
    <rPh sb="7" eb="8">
      <t>ズ</t>
    </rPh>
    <rPh sb="10" eb="12">
      <t>バアイ</t>
    </rPh>
    <rPh sb="22" eb="24">
      <t>イガイ</t>
    </rPh>
    <phoneticPr fontId="3"/>
  </si>
  <si>
    <t>【ソート条件】</t>
    <rPh sb="4" eb="6">
      <t>ジョウケン</t>
    </rPh>
    <phoneticPr fontId="3"/>
  </si>
  <si>
    <t>標準から変更なし</t>
    <phoneticPr fontId="4"/>
  </si>
  <si>
    <t>承認情報ヘッダ</t>
    <rPh sb="0" eb="4">
      <t>ショウニンジョウホウ</t>
    </rPh>
    <phoneticPr fontId="4"/>
  </si>
  <si>
    <t>AND 購買依頼．承認ＮＯ = 承認情報ヘッダ.承認ＮＯ(+)</t>
    <rPh sb="9" eb="11">
      <t>ショウニン</t>
    </rPh>
    <rPh sb="16" eb="18">
      <t>ショウニン</t>
    </rPh>
    <rPh sb="18" eb="20">
      <t>ジョウホウ</t>
    </rPh>
    <phoneticPr fontId="4"/>
  </si>
  <si>
    <t>下記テーブルは、標準から変更無し</t>
    <rPh sb="0" eb="2">
      <t>カキ</t>
    </rPh>
    <rPh sb="8" eb="10">
      <t>ヒョウジュン</t>
    </rPh>
    <rPh sb="12" eb="14">
      <t>ヘンコウ</t>
    </rPh>
    <rPh sb="14" eb="15">
      <t>ナ</t>
    </rPh>
    <phoneticPr fontId="3"/>
  </si>
  <si>
    <t>購買依頼</t>
    <rPh sb="0" eb="2">
      <t>コウバイ</t>
    </rPh>
    <rPh sb="2" eb="4">
      <t>イライ</t>
    </rPh>
    <phoneticPr fontId="4"/>
  </si>
  <si>
    <t>品目オーダビュー</t>
    <rPh sb="0" eb="2">
      <t>ヒンモク</t>
    </rPh>
    <phoneticPr fontId="4"/>
  </si>
  <si>
    <t>生産品目ビュー</t>
    <rPh sb="0" eb="2">
      <t>セイサン</t>
    </rPh>
    <rPh sb="2" eb="4">
      <t>ヒンモク</t>
    </rPh>
    <phoneticPr fontId="4"/>
  </si>
  <si>
    <t>部門マスタ</t>
    <rPh sb="0" eb="2">
      <t>ブモン</t>
    </rPh>
    <phoneticPr fontId="4"/>
  </si>
  <si>
    <t>AND 承認情報ヘッダ．承認状況区分(+) = 「9:承認済」</t>
    <rPh sb="4" eb="8">
      <t>ショウニンジョウホウ</t>
    </rPh>
    <rPh sb="12" eb="14">
      <t>ショウニン</t>
    </rPh>
    <rPh sb="14" eb="16">
      <t>ジョウキョウ</t>
    </rPh>
    <rPh sb="16" eb="18">
      <t>クブン</t>
    </rPh>
    <rPh sb="27" eb="29">
      <t>ショウニン</t>
    </rPh>
    <rPh sb="29" eb="30">
      <t>ズ</t>
    </rPh>
    <phoneticPr fontId="4"/>
  </si>
  <si>
    <t xml:space="preserve">AND ((検索.注文状況 = 4:見積照会 AND 発注ヘッダ．ＥＤＩ対象ＦＬＧ = オフ AND </t>
    <rPh sb="18" eb="20">
      <t>ミツモリ</t>
    </rPh>
    <rPh sb="20" eb="22">
      <t>ショウカイ</t>
    </rPh>
    <phoneticPr fontId="4"/>
  </si>
  <si>
    <t>種別が単価インプットの場合、単価区分を「1：本単価」にし、固定表示</t>
    <phoneticPr fontId="4"/>
  </si>
  <si>
    <t>DECODE(:注文状況, 4:見積照会, 1:本単価, 発注明細.単価区分)　単価区分</t>
    <rPh sb="24" eb="25">
      <t>ホン</t>
    </rPh>
    <rPh sb="25" eb="27">
      <t>タンカ</t>
    </rPh>
    <phoneticPr fontId="4"/>
  </si>
  <si>
    <t>種別：単価インプットの対象データ ＋ 種別：単価インプット以外の対象データ</t>
    <rPh sb="0" eb="2">
      <t>シュベツ</t>
    </rPh>
    <rPh sb="3" eb="5">
      <t>タンカ</t>
    </rPh>
    <rPh sb="11" eb="13">
      <t>タイショウ</t>
    </rPh>
    <rPh sb="22" eb="24">
      <t>タンカ</t>
    </rPh>
    <rPh sb="29" eb="31">
      <t>イガイ</t>
    </rPh>
    <rPh sb="32" eb="34">
      <t>タイショウ</t>
    </rPh>
    <phoneticPr fontId="4"/>
  </si>
  <si>
    <t>発注明細．単価 IS NULL) OR 検索.注文状況 IN (1:一時保存、2:保留、3:確定済))</t>
    <rPh sb="41" eb="43">
      <t>ホリュウ</t>
    </rPh>
    <rPh sb="46" eb="48">
      <t>カクテイ</t>
    </rPh>
    <rPh sb="48" eb="49">
      <t>ズ</t>
    </rPh>
    <phoneticPr fontId="4"/>
  </si>
  <si>
    <t>下記テーブルは、標準から変更なし</t>
    <phoneticPr fontId="4"/>
  </si>
  <si>
    <t>発注明細</t>
    <rPh sb="0" eb="2">
      <t>ハッチュウ</t>
    </rPh>
    <rPh sb="2" eb="4">
      <t>メイサイ</t>
    </rPh>
    <phoneticPr fontId="4"/>
  </si>
  <si>
    <t>発注ヘッダ</t>
    <rPh sb="0" eb="2">
      <t>ハッチュウ</t>
    </rPh>
    <phoneticPr fontId="4"/>
  </si>
  <si>
    <t>未登録の判定条件</t>
    <phoneticPr fontId="4"/>
  </si>
  <si>
    <t>品目購買マスタ</t>
    <rPh sb="0" eb="2">
      <t>ヒンモク</t>
    </rPh>
    <rPh sb="2" eb="4">
      <t>コウバイ</t>
    </rPh>
    <phoneticPr fontId="4"/>
  </si>
  <si>
    <t>品目ＣＤ = 画面．品目</t>
    <rPh sb="0" eb="2">
      <t>ヒンモク</t>
    </rPh>
    <rPh sb="7" eb="9">
      <t>ガメン</t>
    </rPh>
    <rPh sb="10" eb="12">
      <t>ヒンモク</t>
    </rPh>
    <phoneticPr fontId="4"/>
  </si>
  <si>
    <t>発注先ＣＤ = 画面．発注先</t>
    <rPh sb="0" eb="2">
      <t>ハッチュウ</t>
    </rPh>
    <rPh sb="2" eb="3">
      <t>サキ</t>
    </rPh>
    <rPh sb="8" eb="10">
      <t>ガメン</t>
    </rPh>
    <rPh sb="11" eb="14">
      <t>ハッチュウサキ</t>
    </rPh>
    <phoneticPr fontId="4"/>
  </si>
  <si>
    <t>AND</t>
    <phoneticPr fontId="4"/>
  </si>
  <si>
    <t>ＥＤＩ取引先：(隠し項目)ＥＤＩ対象ＦＬＧ＝オン</t>
    <rPh sb="8" eb="9">
      <t>カク</t>
    </rPh>
    <rPh sb="10" eb="12">
      <t>コウモク</t>
    </rPh>
    <phoneticPr fontId="4"/>
  </si>
  <si>
    <t>非ＥＤＩ取引先：(隠し項目)ＥＤＩ対象ＦＬＧ＝オフ</t>
    <rPh sb="0" eb="1">
      <t>ヒ</t>
    </rPh>
    <rPh sb="9" eb="10">
      <t>カク</t>
    </rPh>
    <rPh sb="11" eb="13">
      <t>コウモク</t>
    </rPh>
    <phoneticPr fontId="4"/>
  </si>
  <si>
    <t>確定時エラーとする。</t>
    <phoneticPr fontId="4"/>
  </si>
  <si>
    <t>AND 「単価区分」が1：本単価 AND 単価がNULLの場合、確定時エラーとする。</t>
  </si>
  <si>
    <t>①-3 「単価区分」が3：未決定 AND 単価 IS NOT NULLの場合、確定時エラーとする。</t>
    <rPh sb="36" eb="38">
      <t>バアイ</t>
    </rPh>
    <rPh sb="39" eb="41">
      <t>カクテイ</t>
    </rPh>
    <rPh sb="41" eb="42">
      <t>ジ</t>
    </rPh>
    <phoneticPr fontId="3"/>
  </si>
  <si>
    <t>AND　「単価区分」が1：本単価の場合、確定時エラーとする。</t>
  </si>
  <si>
    <t>①-5 「価格区分」≠3：継続単価、4：次回再見積　AND　「単価区分」が2：仮単価の場合、</t>
    <rPh sb="13" eb="15">
      <t>ケイゾク</t>
    </rPh>
    <rPh sb="15" eb="17">
      <t>タンカ</t>
    </rPh>
    <rPh sb="20" eb="22">
      <t>ジカイ</t>
    </rPh>
    <rPh sb="22" eb="23">
      <t>サイ</t>
    </rPh>
    <rPh sb="23" eb="25">
      <t>ミツモリ</t>
    </rPh>
    <rPh sb="39" eb="40">
      <t>カリ</t>
    </rPh>
    <rPh sb="43" eb="45">
      <t>バアイ</t>
    </rPh>
    <phoneticPr fontId="3"/>
  </si>
  <si>
    <t>①-6 「価格区分」≠3：継続単価、4：次回再見積　AND　「単価区分」が3：未定の場合、</t>
    <rPh sb="13" eb="15">
      <t>ケイゾク</t>
    </rPh>
    <rPh sb="15" eb="17">
      <t>タンカ</t>
    </rPh>
    <rPh sb="20" eb="22">
      <t>ジカイ</t>
    </rPh>
    <rPh sb="22" eb="23">
      <t>サイ</t>
    </rPh>
    <rPh sb="23" eb="25">
      <t>ミツモリ</t>
    </rPh>
    <rPh sb="39" eb="41">
      <t>ミテイ</t>
    </rPh>
    <rPh sb="42" eb="44">
      <t>バアイ</t>
    </rPh>
    <phoneticPr fontId="3"/>
  </si>
  <si>
    <t>②-2 品目購買単価マスタの存在チェック</t>
    <rPh sb="4" eb="10">
      <t>ヒンモクコウバイタンカ</t>
    </rPh>
    <rPh sb="14" eb="16">
      <t>ソンザイ</t>
    </rPh>
    <phoneticPr fontId="4"/>
  </si>
  <si>
    <t>原材料資材コードの取得方法</t>
    <rPh sb="0" eb="3">
      <t>ゲンザイリョウ</t>
    </rPh>
    <rPh sb="3" eb="5">
      <t>シザイ</t>
    </rPh>
    <rPh sb="9" eb="11">
      <t>シュトク</t>
    </rPh>
    <rPh sb="11" eb="13">
      <t>ホウホウ</t>
    </rPh>
    <phoneticPr fontId="4"/>
  </si>
  <si>
    <t>汎用区分 = 036（資材コード（チェック用））</t>
    <rPh sb="0" eb="2">
      <t>ハンヨウ</t>
    </rPh>
    <rPh sb="2" eb="4">
      <t>クブン</t>
    </rPh>
    <phoneticPr fontId="4"/>
  </si>
  <si>
    <t>AND</t>
    <phoneticPr fontId="4"/>
  </si>
  <si>
    <t>経費資材コードの取得方法</t>
    <rPh sb="0" eb="2">
      <t>ケイヒ</t>
    </rPh>
    <rPh sb="2" eb="4">
      <t>シザイ</t>
    </rPh>
    <rPh sb="8" eb="10">
      <t>シュトク</t>
    </rPh>
    <rPh sb="10" eb="12">
      <t>ホウホウ</t>
    </rPh>
    <phoneticPr fontId="4"/>
  </si>
  <si>
    <t>ＦＬＧ項目２ = オン</t>
    <phoneticPr fontId="4"/>
  </si>
  <si>
    <t>※経費資材コード識別ＦＬＧ</t>
    <rPh sb="1" eb="3">
      <t>ケイヒ</t>
    </rPh>
    <rPh sb="3" eb="5">
      <t>シザイ</t>
    </rPh>
    <rPh sb="8" eb="10">
      <t>シキベツ</t>
    </rPh>
    <phoneticPr fontId="4"/>
  </si>
  <si>
    <t>※原材料資材コード識別ＦＬＧ</t>
    <rPh sb="1" eb="4">
      <t>ゲンザイリョウ</t>
    </rPh>
    <rPh sb="4" eb="6">
      <t>シザイ</t>
    </rPh>
    <rPh sb="9" eb="11">
      <t>シキベツ</t>
    </rPh>
    <phoneticPr fontId="4"/>
  </si>
  <si>
    <t>※汎用マスタから原材料資材コードを取得できない場合、当該チェックをスキップする。</t>
    <rPh sb="1" eb="3">
      <t>ハンヨウ</t>
    </rPh>
    <rPh sb="8" eb="11">
      <t>ゲンザイリョウ</t>
    </rPh>
    <rPh sb="11" eb="13">
      <t>シザイ</t>
    </rPh>
    <rPh sb="17" eb="19">
      <t>シュトク</t>
    </rPh>
    <rPh sb="23" eb="25">
      <t>バアイ</t>
    </rPh>
    <rPh sb="26" eb="28">
      <t>トウガイ</t>
    </rPh>
    <phoneticPr fontId="4"/>
  </si>
  <si>
    <t>※汎用マスタから経費資材コードを取得できない場合、当該チェックをスキップする。</t>
    <rPh sb="1" eb="3">
      <t>ハンヨウ</t>
    </rPh>
    <rPh sb="8" eb="10">
      <t>ケイヒ</t>
    </rPh>
    <rPh sb="10" eb="12">
      <t>シザイ</t>
    </rPh>
    <rPh sb="16" eb="18">
      <t>シュトク</t>
    </rPh>
    <rPh sb="22" eb="24">
      <t>バアイ</t>
    </rPh>
    <rPh sb="25" eb="27">
      <t>トウガイ</t>
    </rPh>
    <phoneticPr fontId="4"/>
  </si>
  <si>
    <t>※詳細判別条件は「7 確定【F9】」と同じ</t>
    <rPh sb="1" eb="3">
      <t>ショウサイ</t>
    </rPh>
    <rPh sb="3" eb="5">
      <t>ハンベツ</t>
    </rPh>
    <rPh sb="5" eb="7">
      <t>ジョウケン</t>
    </rPh>
    <rPh sb="11" eb="13">
      <t>カクテイ</t>
    </rPh>
    <rPh sb="19" eb="20">
      <t>オナ</t>
    </rPh>
    <phoneticPr fontId="4"/>
  </si>
  <si>
    <t>②-1 「管理コード」、「勘定コード」、「資材コード」、「手配ＮＯ１」の組み合わせチェック</t>
    <rPh sb="5" eb="7">
      <t>カンリ</t>
    </rPh>
    <rPh sb="13" eb="15">
      <t>カンジョウ</t>
    </rPh>
    <rPh sb="21" eb="23">
      <t>シザイ</t>
    </rPh>
    <rPh sb="29" eb="31">
      <t>テハイ</t>
    </rPh>
    <rPh sb="36" eb="37">
      <t>ク</t>
    </rPh>
    <rPh sb="38" eb="39">
      <t>ア</t>
    </rPh>
    <phoneticPr fontId="4"/>
  </si>
  <si>
    <t>「管理コード」、「勘定コード」、「資材コード」、「手配ＮＯ１」の組み合わせチェック</t>
    <rPh sb="1" eb="3">
      <t>カンリ</t>
    </rPh>
    <rPh sb="9" eb="11">
      <t>カンジョウ</t>
    </rPh>
    <rPh sb="17" eb="19">
      <t>シザイ</t>
    </rPh>
    <rPh sb="25" eb="27">
      <t>テハイ</t>
    </rPh>
    <rPh sb="32" eb="33">
      <t>ク</t>
    </rPh>
    <rPh sb="34" eb="35">
      <t>ア</t>
    </rPh>
    <phoneticPr fontId="3"/>
  </si>
  <si>
    <t>①「価格区分」と「単価区分」の組み合わせチェック</t>
    <rPh sb="2" eb="4">
      <t>カカク</t>
    </rPh>
    <rPh sb="4" eb="6">
      <t>クブン</t>
    </rPh>
    <rPh sb="15" eb="16">
      <t>ク</t>
    </rPh>
    <rPh sb="17" eb="18">
      <t>ア</t>
    </rPh>
    <phoneticPr fontId="3"/>
  </si>
  <si>
    <t xml:space="preserve">(「勘定コード」＝ "5" AND 「管理コード」＝ "1L") OR </t>
    <rPh sb="19" eb="21">
      <t>カンリ</t>
    </rPh>
    <phoneticPr fontId="4"/>
  </si>
  <si>
    <t>(「勘定コード」＝ "6" AND 「管理コード」＝ NULL)以外 の場合、確定時エラーとする。</t>
    <phoneticPr fontId="4"/>
  </si>
  <si>
    <t>品目購買単価マスタ</t>
    <rPh sb="0" eb="6">
      <t>ヒンモクコウバイタンカ</t>
    </rPh>
    <phoneticPr fontId="3"/>
  </si>
  <si>
    <t>AND</t>
  </si>
  <si>
    <t>品目購買単価マスタ．無効区分 IS NULL</t>
    <rPh sb="10" eb="12">
      <t>ムコウ</t>
    </rPh>
    <rPh sb="12" eb="14">
      <t>クブン</t>
    </rPh>
    <phoneticPr fontId="3"/>
  </si>
  <si>
    <t>[品目購買単価マスタ．見積照会番号 = 画面．参照見積照会番号]</t>
    <rPh sb="20" eb="22">
      <t>ガメン</t>
    </rPh>
    <rPh sb="23" eb="31">
      <t>サンショウミツモリショウカイバンゴウ</t>
    </rPh>
    <phoneticPr fontId="3"/>
  </si>
  <si>
    <t>--以下,適用期間チェック</t>
  </si>
  <si>
    <t>(</t>
  </si>
  <si>
    <t xml:space="preserve">(品目購買単価マスタ．単契適用ベース = 1：注文日ベース AND </t>
    <rPh sb="23" eb="26">
      <t>チュウモンビ</t>
    </rPh>
    <phoneticPr fontId="3"/>
  </si>
  <si>
    <t>運用日付 BETWEEN 品目購買単価マスタ．適用開始日 AND 品目購買単価マスタ．適用終了日)</t>
  </si>
  <si>
    <t>発注明細．依頼元納入希望日 BETWEEN 品目購買単価マスタ．適用開始日 AND 品目購買単価マスタ．適用終了日)</t>
  </si>
  <si>
    <t xml:space="preserve">(品目購買単価マスタ．単契適用ベース = 1：注文日ベース AND </t>
  </si>
  <si>
    <t xml:space="preserve">運用日付 BETWEEN 品目購買単価マスタ．適用開始日 AND </t>
  </si>
  <si>
    <t>品目購買単価マスタ．適用開始日 + １年 - 1日)</t>
  </si>
  <si>
    <t>品目購買単価マスタ．品目ＣＤ = 画面．品目</t>
    <rPh sb="17" eb="19">
      <t>ガメン</t>
    </rPh>
    <phoneticPr fontId="3"/>
  </si>
  <si>
    <t>品目購買単価マスタ．単位ＣＤ = 画面．単位</t>
    <rPh sb="17" eb="19">
      <t>ガメン</t>
    </rPh>
    <rPh sb="20" eb="22">
      <t>タンイ</t>
    </rPh>
    <phoneticPr fontId="3"/>
  </si>
  <si>
    <t>品目購買単価マスタ．発注先ＣＤ = 画面．発注先</t>
    <rPh sb="18" eb="20">
      <t>ガメン</t>
    </rPh>
    <phoneticPr fontId="3"/>
  </si>
  <si>
    <t>品目購買単価マスタ．単価区分 = 画面．単価区分</t>
    <rPh sb="17" eb="19">
      <t>ガメン</t>
    </rPh>
    <phoneticPr fontId="3"/>
  </si>
  <si>
    <t>品目購買単価マスタ．価格区分 = 画面．価格区分</t>
    <rPh sb="17" eb="19">
      <t>ガメン</t>
    </rPh>
    <phoneticPr fontId="3"/>
  </si>
  <si>
    <t>品目購買単価マスタ．ロット数 &lt;= 画面．数量</t>
    <rPh sb="13" eb="14">
      <t>スウ</t>
    </rPh>
    <rPh sb="18" eb="20">
      <t>ガメン</t>
    </rPh>
    <rPh sb="21" eb="23">
      <t>スウリョウ</t>
    </rPh>
    <phoneticPr fontId="3"/>
  </si>
  <si>
    <t>品目購買単価マスタ．通貨ＣＤ = 画面．通貨</t>
    <rPh sb="17" eb="19">
      <t>ガメン</t>
    </rPh>
    <phoneticPr fontId="3"/>
  </si>
  <si>
    <t>品目購買単価マスタ．消費税区分 = 画面．消費税区分</t>
    <rPh sb="18" eb="20">
      <t>ガメン</t>
    </rPh>
    <phoneticPr fontId="3"/>
  </si>
  <si>
    <t>品目購買単価マスタ．支払条件ＣＤ = 画面．取引条件１</t>
    <rPh sb="19" eb="21">
      <t>ガメン</t>
    </rPh>
    <rPh sb="22" eb="24">
      <t>トリヒキ</t>
    </rPh>
    <rPh sb="24" eb="26">
      <t>ジョウケン</t>
    </rPh>
    <phoneticPr fontId="3"/>
  </si>
  <si>
    <t>品目購買単価マスタ．単価 = 画面．単価</t>
    <rPh sb="10" eb="12">
      <t>タンカ</t>
    </rPh>
    <rPh sb="18" eb="20">
      <t>タンカ</t>
    </rPh>
    <phoneticPr fontId="3"/>
  </si>
  <si>
    <t>単価区分＜＞ 2:仮単価 AND 画面．単価NOT NULLの場合、品目購買単価マスタの存在チェックを行う。</t>
    <rPh sb="0" eb="2">
      <t>タンカ</t>
    </rPh>
    <rPh sb="2" eb="4">
      <t>クブン</t>
    </rPh>
    <rPh sb="9" eb="10">
      <t>カリ</t>
    </rPh>
    <rPh sb="10" eb="12">
      <t>タンカ</t>
    </rPh>
    <rPh sb="17" eb="18">
      <t>ガメン</t>
    </rPh>
    <rPh sb="33" eb="39">
      <t>ヒンモクコウバイタンカ</t>
    </rPh>
    <phoneticPr fontId="4"/>
  </si>
  <si>
    <t>画面.下請対象ＦＬＧ =オフ</t>
    <rPh sb="0" eb="2">
      <t>ガメン</t>
    </rPh>
    <phoneticPr fontId="3"/>
  </si>
  <si>
    <t xml:space="preserve">画面．指示納期 BETWEEN 品目購買単価マスタ．適用開始日 AND </t>
    <rPh sb="0" eb="2">
      <t>ガメン</t>
    </rPh>
    <rPh sb="3" eb="5">
      <t>シジ</t>
    </rPh>
    <rPh sb="5" eb="7">
      <t>ノウキ</t>
    </rPh>
    <phoneticPr fontId="4"/>
  </si>
  <si>
    <t>※チェック詳細仕様は「7 確定【F9】→1.確定時データチェック→②-1 」を参照</t>
    <rPh sb="5" eb="7">
      <t>ショウサイ</t>
    </rPh>
    <rPh sb="7" eb="9">
      <t>シヨウ</t>
    </rPh>
    <rPh sb="13" eb="15">
      <t>カクテイ</t>
    </rPh>
    <rPh sb="39" eb="41">
      <t>サンショウ</t>
    </rPh>
    <phoneticPr fontId="4"/>
  </si>
  <si>
    <t>【検索項目】</t>
    <rPh sb="1" eb="3">
      <t>ケンサク</t>
    </rPh>
    <rPh sb="3" eb="5">
      <t>コウモク</t>
    </rPh>
    <phoneticPr fontId="3"/>
  </si>
  <si>
    <t>発注明細の全項目</t>
    <rPh sb="0" eb="4">
      <t>ハッチュウメイサイ</t>
    </rPh>
    <rPh sb="5" eb="8">
      <t>ゼンコウモク</t>
    </rPh>
    <phoneticPr fontId="3"/>
  </si>
  <si>
    <t>【検索テーブル】</t>
    <rPh sb="1" eb="3">
      <t>ケンサク</t>
    </rPh>
    <phoneticPr fontId="3"/>
  </si>
  <si>
    <t>発注明細</t>
    <rPh sb="0" eb="4">
      <t>ハッチュウメイサイ</t>
    </rPh>
    <phoneticPr fontId="3"/>
  </si>
  <si>
    <t>【検索条件】</t>
    <rPh sb="1" eb="3">
      <t>ケンサク</t>
    </rPh>
    <rPh sb="3" eb="5">
      <t>ジョウケン</t>
    </rPh>
    <phoneticPr fontId="3"/>
  </si>
  <si>
    <t>AND</t>
    <phoneticPr fontId="3"/>
  </si>
  <si>
    <t>発注明細.発注ＮＯ = （隠し項目）発注ＮＯ</t>
    <rPh sb="5" eb="7">
      <t>ハッチュウ</t>
    </rPh>
    <rPh sb="13" eb="14">
      <t>カク</t>
    </rPh>
    <rPh sb="15" eb="17">
      <t>コウモク</t>
    </rPh>
    <rPh sb="18" eb="20">
      <t>ハッチュウ</t>
    </rPh>
    <phoneticPr fontId="3"/>
  </si>
  <si>
    <t>発注明細.発注ヘッダ連番 = （隠し項目）発注ヘッダ連番</t>
    <rPh sb="5" eb="7">
      <t>ハッチュウ</t>
    </rPh>
    <rPh sb="10" eb="12">
      <t>レンバン</t>
    </rPh>
    <rPh sb="16" eb="17">
      <t>カク</t>
    </rPh>
    <rPh sb="18" eb="20">
      <t>コウモク</t>
    </rPh>
    <rPh sb="21" eb="23">
      <t>ハッチュウ</t>
    </rPh>
    <rPh sb="26" eb="28">
      <t>レンバン</t>
    </rPh>
    <phoneticPr fontId="3"/>
  </si>
  <si>
    <t>発注明細.重複ＦＬＧ = オン</t>
    <rPh sb="5" eb="7">
      <t>ジュウフク</t>
    </rPh>
    <phoneticPr fontId="3"/>
  </si>
  <si>
    <t>発注明細.取消ＦＬＧ = オフ</t>
    <rPh sb="5" eb="7">
      <t>トリケシ</t>
    </rPh>
    <phoneticPr fontId="3"/>
  </si>
  <si>
    <t>発注情報登録サービス</t>
    <rPh sb="0" eb="2">
      <t>ハッチュウ</t>
    </rPh>
    <rPh sb="2" eb="4">
      <t>ジョウホウ</t>
    </rPh>
    <rPh sb="4" eb="6">
      <t>トウロク</t>
    </rPh>
    <phoneticPr fontId="4"/>
  </si>
  <si>
    <t>詳細は、「19.発注情報登録サービス」を参照</t>
    <rPh sb="0" eb="2">
      <t>ショウサイ</t>
    </rPh>
    <rPh sb="20" eb="22">
      <t>サンショウ</t>
    </rPh>
    <phoneticPr fontId="4"/>
  </si>
  <si>
    <t>・入荷予定作成を抑制する</t>
    <rPh sb="0" eb="2">
      <t>ニュウカ</t>
    </rPh>
    <rPh sb="2" eb="4">
      <t>ヨテイ</t>
    </rPh>
    <rPh sb="5" eb="7">
      <t>サクセイ</t>
    </rPh>
    <rPh sb="7" eb="9">
      <t>ヨクセイ</t>
    </rPh>
    <phoneticPr fontId="4"/>
  </si>
  <si>
    <t>購買依頼</t>
    <rPh sb="0" eb="4">
      <t>コウバイイライ</t>
    </rPh>
    <phoneticPr fontId="3"/>
  </si>
  <si>
    <t>購買依頼.発注予定ＮＯ = （隠し項目）発注予定ＮＯ</t>
    <rPh sb="5" eb="7">
      <t>ハッチュウ</t>
    </rPh>
    <rPh sb="7" eb="9">
      <t>ヨテイ</t>
    </rPh>
    <rPh sb="15" eb="16">
      <t>カク</t>
    </rPh>
    <rPh sb="17" eb="19">
      <t>コウモク</t>
    </rPh>
    <rPh sb="20" eb="22">
      <t>ハッチュウ</t>
    </rPh>
    <rPh sb="22" eb="24">
      <t>ヨテイ</t>
    </rPh>
    <phoneticPr fontId="3"/>
  </si>
  <si>
    <t>購買依頼.重複ＦＬＧ = オン</t>
    <rPh sb="5" eb="7">
      <t>ジュウフク</t>
    </rPh>
    <phoneticPr fontId="3"/>
  </si>
  <si>
    <t>購買依頼.取消ＦＬＧ = オフ</t>
    <rPh sb="5" eb="7">
      <t>トリケシ</t>
    </rPh>
    <phoneticPr fontId="3"/>
  </si>
  <si>
    <t>購買依頼の全項目</t>
    <rPh sb="5" eb="8">
      <t>ゼンコウモク</t>
    </rPh>
    <phoneticPr fontId="3"/>
  </si>
  <si>
    <t>1.購買依頼．まとめＦＬＧがオンの場合、メインデータに対する重複データを抽出し、処理対象に追加する。</t>
    <rPh sb="2" eb="4">
      <t>コウバイ</t>
    </rPh>
    <rPh sb="4" eb="6">
      <t>イライ</t>
    </rPh>
    <rPh sb="17" eb="19">
      <t>バアイ</t>
    </rPh>
    <rPh sb="27" eb="28">
      <t>タイ</t>
    </rPh>
    <rPh sb="30" eb="32">
      <t>ジュウフク</t>
    </rPh>
    <rPh sb="36" eb="38">
      <t>チュウシュツ</t>
    </rPh>
    <rPh sb="40" eb="42">
      <t>ショリ</t>
    </rPh>
    <rPh sb="42" eb="44">
      <t>タイショウ</t>
    </rPh>
    <rPh sb="45" eb="47">
      <t>ツイカ</t>
    </rPh>
    <phoneticPr fontId="3"/>
  </si>
  <si>
    <t>・依頼状況区分が 2:確定の場合</t>
    <rPh sb="14" eb="16">
      <t>バアイ</t>
    </rPh>
    <phoneticPr fontId="4"/>
  </si>
  <si>
    <t>・依頼状況区分が 2:確定以外の場合</t>
    <rPh sb="13" eb="15">
      <t>イガイ</t>
    </rPh>
    <rPh sb="16" eb="18">
      <t>バアイ</t>
    </rPh>
    <phoneticPr fontId="4"/>
  </si>
  <si>
    <t>SBL0140.Ins01(発注登録)を呼び出す。</t>
    <rPh sb="14" eb="16">
      <t>ハッチュウ</t>
    </rPh>
    <rPh sb="16" eb="18">
      <t>トウロク</t>
    </rPh>
    <rPh sb="20" eb="21">
      <t>ヨ</t>
    </rPh>
    <rPh sb="22" eb="23">
      <t>ダ</t>
    </rPh>
    <phoneticPr fontId="3"/>
  </si>
  <si>
    <t>発注登録</t>
    <rPh sb="2" eb="4">
      <t>トウロク</t>
    </rPh>
    <phoneticPr fontId="3"/>
  </si>
  <si>
    <t>2.新規・更新リストの編集</t>
    <rPh sb="2" eb="4">
      <t>シンキ</t>
    </rPh>
    <rPh sb="5" eb="7">
      <t>コウシン</t>
    </rPh>
    <rPh sb="11" eb="13">
      <t>ヘンシュウ</t>
    </rPh>
    <phoneticPr fontId="4"/>
  </si>
  <si>
    <t>上り電文に対して、ループ処理を行う。</t>
    <rPh sb="0" eb="1">
      <t>ノボ</t>
    </rPh>
    <rPh sb="2" eb="4">
      <t>デンブン</t>
    </rPh>
    <rPh sb="5" eb="6">
      <t>タイ</t>
    </rPh>
    <rPh sb="12" eb="14">
      <t>ショリ</t>
    </rPh>
    <rPh sb="15" eb="16">
      <t>オコナ</t>
    </rPh>
    <phoneticPr fontId="4"/>
  </si>
  <si>
    <t>2.1 画面．注文状況(更新前)が0:未処置の場合、</t>
    <rPh sb="4" eb="6">
      <t>ガメン</t>
    </rPh>
    <rPh sb="7" eb="9">
      <t>チュウモン</t>
    </rPh>
    <rPh sb="9" eb="11">
      <t>ジョウキョウ</t>
    </rPh>
    <rPh sb="12" eb="14">
      <t>コウシン</t>
    </rPh>
    <rPh sb="14" eb="15">
      <t>マエ</t>
    </rPh>
    <rPh sb="19" eb="20">
      <t>ミ</t>
    </rPh>
    <rPh sb="20" eb="22">
      <t>ショチ</t>
    </rPh>
    <rPh sb="23" eb="25">
      <t>バアイ</t>
    </rPh>
    <phoneticPr fontId="4"/>
  </si>
  <si>
    <t>2.2 画面．注文状況(更新前)が0:未処置以外の場合、</t>
    <rPh sb="4" eb="6">
      <t>ガメン</t>
    </rPh>
    <rPh sb="7" eb="9">
      <t>チュウモン</t>
    </rPh>
    <rPh sb="9" eb="11">
      <t>ジョウキョウ</t>
    </rPh>
    <rPh sb="12" eb="14">
      <t>コウシン</t>
    </rPh>
    <rPh sb="14" eb="15">
      <t>マエ</t>
    </rPh>
    <rPh sb="19" eb="20">
      <t>ミ</t>
    </rPh>
    <rPh sb="20" eb="22">
      <t>ショチ</t>
    </rPh>
    <rPh sb="22" eb="24">
      <t>イガイ</t>
    </rPh>
    <rPh sb="25" eb="27">
      <t>バアイ</t>
    </rPh>
    <phoneticPr fontId="4"/>
  </si>
  <si>
    <t>新規リストに追加する。</t>
    <rPh sb="0" eb="2">
      <t>シンキ</t>
    </rPh>
    <rPh sb="6" eb="8">
      <t>ツイカ</t>
    </rPh>
    <phoneticPr fontId="4"/>
  </si>
  <si>
    <t>更新リストに追加する。</t>
    <rPh sb="0" eb="2">
      <t>コウシン</t>
    </rPh>
    <rPh sb="6" eb="8">
      <t>ツイカ</t>
    </rPh>
    <phoneticPr fontId="4"/>
  </si>
  <si>
    <t>ループ</t>
    <phoneticPr fontId="4"/>
  </si>
  <si>
    <t>発注情報更新</t>
    <rPh sb="2" eb="4">
      <t>ジョウホウ</t>
    </rPh>
    <rPh sb="4" eb="6">
      <t>コウシン</t>
    </rPh>
    <phoneticPr fontId="3"/>
  </si>
  <si>
    <t>3.新規リストに対して、発注情報登録を行う。</t>
    <rPh sb="2" eb="4">
      <t>シンキ</t>
    </rPh>
    <rPh sb="8" eb="9">
      <t>タイ</t>
    </rPh>
    <rPh sb="12" eb="14">
      <t>ハッチュウ</t>
    </rPh>
    <rPh sb="14" eb="16">
      <t>ジョウホウ</t>
    </rPh>
    <rPh sb="16" eb="18">
      <t>トウロク</t>
    </rPh>
    <rPh sb="19" eb="20">
      <t>オコナ</t>
    </rPh>
    <phoneticPr fontId="4"/>
  </si>
  <si>
    <t>4.更新リストに対して、発注情報の更新処理を行う。</t>
    <rPh sb="2" eb="4">
      <t>コウシン</t>
    </rPh>
    <rPh sb="8" eb="9">
      <t>タイ</t>
    </rPh>
    <rPh sb="12" eb="14">
      <t>ハッチュウ</t>
    </rPh>
    <rPh sb="14" eb="16">
      <t>ジョウホウ</t>
    </rPh>
    <rPh sb="17" eb="19">
      <t>コウシン</t>
    </rPh>
    <rPh sb="19" eb="21">
      <t>ショリ</t>
    </rPh>
    <rPh sb="22" eb="23">
      <t>オコナ</t>
    </rPh>
    <phoneticPr fontId="4"/>
  </si>
  <si>
    <t>4.1 保存の場合、発注明細を更新する。</t>
    <rPh sb="4" eb="6">
      <t>ホゾン</t>
    </rPh>
    <rPh sb="7" eb="9">
      <t>バアイ</t>
    </rPh>
    <rPh sb="10" eb="12">
      <t>ハッチュウ</t>
    </rPh>
    <rPh sb="12" eb="14">
      <t>メイサイ</t>
    </rPh>
    <rPh sb="15" eb="17">
      <t>コウシン</t>
    </rPh>
    <phoneticPr fontId="3"/>
  </si>
  <si>
    <t>4.2 確定の場合、SBL0140.Upd01(発注情報更新)を呼び出す。</t>
    <rPh sb="4" eb="6">
      <t>カクテイ</t>
    </rPh>
    <rPh sb="7" eb="9">
      <t>バアイ</t>
    </rPh>
    <rPh sb="24" eb="26">
      <t>ハッチュウ</t>
    </rPh>
    <rPh sb="26" eb="28">
      <t>ジョウホウ</t>
    </rPh>
    <rPh sb="28" eb="30">
      <t>コウシン</t>
    </rPh>
    <rPh sb="32" eb="33">
      <t>ヨ</t>
    </rPh>
    <rPh sb="34" eb="35">
      <t>ダ</t>
    </rPh>
    <phoneticPr fontId="3"/>
  </si>
  <si>
    <t>5.確定の場合、後処理を行う。</t>
    <rPh sb="2" eb="4">
      <t>カクテイ</t>
    </rPh>
    <rPh sb="5" eb="7">
      <t>バアイ</t>
    </rPh>
    <rPh sb="8" eb="9">
      <t>アト</t>
    </rPh>
    <rPh sb="9" eb="11">
      <t>ショリ</t>
    </rPh>
    <rPh sb="12" eb="13">
      <t>オコナ</t>
    </rPh>
    <phoneticPr fontId="4"/>
  </si>
  <si>
    <t>5.1 受払予定の更新</t>
    <rPh sb="4" eb="6">
      <t>ウケハライ</t>
    </rPh>
    <rPh sb="6" eb="8">
      <t>ヨテイ</t>
    </rPh>
    <rPh sb="9" eb="11">
      <t>コウシン</t>
    </rPh>
    <phoneticPr fontId="4"/>
  </si>
  <si>
    <t>5.2 外注製造指図サービスの実行を抑制する</t>
    <rPh sb="4" eb="6">
      <t>ガイチュウ</t>
    </rPh>
    <rPh sb="6" eb="8">
      <t>セイゾウ</t>
    </rPh>
    <rPh sb="8" eb="10">
      <t>サシズ</t>
    </rPh>
    <rPh sb="15" eb="17">
      <t>ジッコウ</t>
    </rPh>
    <rPh sb="18" eb="20">
      <t>ヨクセイ</t>
    </rPh>
    <phoneticPr fontId="4"/>
  </si>
  <si>
    <t>発注情報更新</t>
    <phoneticPr fontId="4"/>
  </si>
  <si>
    <t>SBL0140</t>
    <phoneticPr fontId="4"/>
  </si>
  <si>
    <t>Upd01</t>
    <phoneticPr fontId="4"/>
  </si>
  <si>
    <t>Ins01</t>
    <phoneticPr fontId="4"/>
  </si>
  <si>
    <t>発注登録</t>
    <phoneticPr fontId="4"/>
  </si>
  <si>
    <t>入荷予定作成ＦＬＧ</t>
    <rPh sb="0" eb="2">
      <t>ニュウカ</t>
    </rPh>
    <rPh sb="2" eb="4">
      <t>ヨテイ</t>
    </rPh>
    <rPh sb="4" eb="6">
      <t>サクセイ</t>
    </rPh>
    <phoneticPr fontId="36"/>
  </si>
  <si>
    <t>Po_Dtl</t>
    <phoneticPr fontId="4"/>
  </si>
  <si>
    <t>List</t>
    <phoneticPr fontId="4"/>
  </si>
  <si>
    <t>■保存の場合
 オフを設定する。
■確定の場合
 オンを設定する。</t>
    <rPh sb="1" eb="3">
      <t>ホゾン</t>
    </rPh>
    <rPh sb="4" eb="6">
      <t>バアイ</t>
    </rPh>
    <rPh sb="11" eb="13">
      <t>セッテイ</t>
    </rPh>
    <rPh sb="18" eb="20">
      <t>カクテイ</t>
    </rPh>
    <rPh sb="21" eb="23">
      <t>バアイ</t>
    </rPh>
    <rPh sb="28" eb="30">
      <t>セッテイ</t>
    </rPh>
    <phoneticPr fontId="4"/>
  </si>
  <si>
    <t>-</t>
    <phoneticPr fontId="4"/>
  </si>
  <si>
    <t>6.画面．単価区分が「1:本単価」の場合、当該行の見積提出期限を入力不可とする。</t>
    <rPh sb="2" eb="4">
      <t>ガメン</t>
    </rPh>
    <rPh sb="5" eb="7">
      <t>タンカ</t>
    </rPh>
    <rPh sb="7" eb="9">
      <t>クブン</t>
    </rPh>
    <rPh sb="13" eb="14">
      <t>ホン</t>
    </rPh>
    <rPh sb="14" eb="16">
      <t>タンカ</t>
    </rPh>
    <rPh sb="18" eb="20">
      <t>バアイ</t>
    </rPh>
    <rPh sb="21" eb="23">
      <t>トウガイ</t>
    </rPh>
    <rPh sb="23" eb="24">
      <t>ギョウ</t>
    </rPh>
    <rPh sb="25" eb="31">
      <t>ミツモリテイシュツキゲン</t>
    </rPh>
    <rPh sb="32" eb="34">
      <t>ニュウリョク</t>
    </rPh>
    <rPh sb="34" eb="36">
      <t>フカ</t>
    </rPh>
    <phoneticPr fontId="4"/>
  </si>
  <si>
    <t>　単価区分が「1：本単価」以外の場合、見積照会番号を採番する。</t>
    <phoneticPr fontId="4"/>
  </si>
  <si>
    <t>S</t>
    <phoneticPr fontId="4"/>
  </si>
  <si>
    <t>3.見積照会番号の採番</t>
    <rPh sb="2" eb="8">
      <t>ミツモリショウカイバンゴウ</t>
    </rPh>
    <rPh sb="9" eb="11">
      <t>サイバン</t>
    </rPh>
    <phoneticPr fontId="3"/>
  </si>
  <si>
    <t>2.確定時チェック</t>
    <rPh sb="2" eb="4">
      <t>カクテイ</t>
    </rPh>
    <rPh sb="4" eb="5">
      <t>ジ</t>
    </rPh>
    <phoneticPr fontId="3"/>
  </si>
  <si>
    <t>⑦</t>
    <phoneticPr fontId="3"/>
  </si>
  <si>
    <t>⑧</t>
    <phoneticPr fontId="3"/>
  </si>
  <si>
    <t>画面．取引条件１（支払条件）＜＞取引先マスタ．通常購買取引条件ＣＤ１（支払条件）の場合、</t>
    <rPh sb="0" eb="2">
      <t>ガメン</t>
    </rPh>
    <rPh sb="9" eb="11">
      <t>シハライ</t>
    </rPh>
    <rPh sb="11" eb="13">
      <t>ジョウケン</t>
    </rPh>
    <rPh sb="16" eb="19">
      <t>トリヒキサキ</t>
    </rPh>
    <rPh sb="41" eb="43">
      <t>バアイ</t>
    </rPh>
    <phoneticPr fontId="3"/>
  </si>
  <si>
    <t>エラーとする。</t>
    <phoneticPr fontId="4"/>
  </si>
  <si>
    <t>⑨</t>
    <phoneticPr fontId="4"/>
  </si>
  <si>
    <t>画面．建業法取引区分が1の場合、画面．取引条件１（支払条件）＜＞「Y50」の場合、</t>
    <rPh sb="0" eb="2">
      <t>ガメン</t>
    </rPh>
    <rPh sb="13" eb="15">
      <t>バアイ</t>
    </rPh>
    <rPh sb="38" eb="40">
      <t>バアイ</t>
    </rPh>
    <phoneticPr fontId="4"/>
  </si>
  <si>
    <t>取引先ＣＤ　＝　画面．発注先</t>
    <rPh sb="0" eb="3">
      <t>トリヒキサキ</t>
    </rPh>
    <rPh sb="8" eb="10">
      <t>ガメン</t>
    </rPh>
    <rPh sb="11" eb="13">
      <t>ハッチュウ</t>
    </rPh>
    <rPh sb="13" eb="14">
      <t>サキ</t>
    </rPh>
    <phoneticPr fontId="4"/>
  </si>
  <si>
    <t>AND 発注明細．重複ＦＬＧ = オフ</t>
    <phoneticPr fontId="4"/>
  </si>
  <si>
    <t>[AND DECODE(発注明細．諸口品ＦＬＧ, オン, 発注明細．品名, 品目マスタ.品名) LIKE 検索.品名]</t>
    <phoneticPr fontId="4"/>
  </si>
  <si>
    <t>ＥＤＩ対象ＦＬＧ =オフ</t>
    <phoneticPr fontId="3"/>
  </si>
  <si>
    <t>[AND DECODE(購買依頼．諸口品ＦＬＧ, オン, 購買依頼．品名, 生産品目ビュー.品名) LIKE 検索.品名]</t>
    <phoneticPr fontId="4"/>
  </si>
  <si>
    <t>※保存の場合、当処理1.重複データ抽出　を行わない。</t>
    <rPh sb="1" eb="3">
      <t>ホゾン</t>
    </rPh>
    <rPh sb="4" eb="6">
      <t>バアイ</t>
    </rPh>
    <rPh sb="7" eb="8">
      <t>トウ</t>
    </rPh>
    <rPh sb="8" eb="10">
      <t>ショリ</t>
    </rPh>
    <rPh sb="12" eb="14">
      <t>ジュウフク</t>
    </rPh>
    <rPh sb="17" eb="19">
      <t>チュウシュツ</t>
    </rPh>
    <rPh sb="21" eb="22">
      <t>オコナ</t>
    </rPh>
    <phoneticPr fontId="4"/>
  </si>
  <si>
    <t>定数：CC_HANYOU_TYP.BUYER_CD</t>
    <rPh sb="0" eb="2">
      <t>テイスウ</t>
    </rPh>
    <phoneticPr fontId="4"/>
  </si>
  <si>
    <t>定数：SHOHIZEI_KUBUN</t>
    <rPh sb="0" eb="2">
      <t>テイスウ</t>
    </rPh>
    <phoneticPr fontId="4"/>
  </si>
  <si>
    <t>定数：CC_HANYOU_TYP.SHIZAI_CD_CHK</t>
    <rPh sb="0" eb="2">
      <t>テイスウ</t>
    </rPh>
    <phoneticPr fontId="4"/>
  </si>
  <si>
    <t>定数：CC_HANYOU_TYP.SPPL_CD</t>
    <rPh sb="0" eb="2">
      <t>テイスウ</t>
    </rPh>
    <phoneticPr fontId="4"/>
  </si>
  <si>
    <t>※未登録の判定条件は6.保存を参照</t>
    <rPh sb="12" eb="14">
      <t>ホゾン</t>
    </rPh>
    <rPh sb="15" eb="17">
      <t>サンショウ</t>
    </rPh>
    <phoneticPr fontId="4"/>
  </si>
  <si>
    <t>品目購買単価マスタに存在しない場合、エラーとする。</t>
    <rPh sb="9" eb="11">
      <t>ソンザイ</t>
    </rPh>
    <rPh sb="14" eb="16">
      <t>バアイ</t>
    </rPh>
    <phoneticPr fontId="4"/>
  </si>
  <si>
    <t>定数：CC_BUHINSHU_TYP.ASSY</t>
    <rPh sb="0" eb="2">
      <t>テイスウ</t>
    </rPh>
    <phoneticPr fontId="4"/>
  </si>
  <si>
    <t>品目オーダＮＯ＝（隠し項目）品目オーダＮＯ</t>
    <rPh sb="0" eb="2">
      <t>ヒンモク</t>
    </rPh>
    <rPh sb="9" eb="10">
      <t>カク</t>
    </rPh>
    <rPh sb="11" eb="13">
      <t>コウモク</t>
    </rPh>
    <rPh sb="14" eb="16">
      <t>ヒンモク</t>
    </rPh>
    <phoneticPr fontId="4"/>
  </si>
  <si>
    <t>画面．見積提出期限 NOT NULLで、過去日となる場合、エラーとする。</t>
    <rPh sb="0" eb="2">
      <t>ガメン</t>
    </rPh>
    <rPh sb="20" eb="22">
      <t>カコ</t>
    </rPh>
    <rPh sb="22" eb="23">
      <t>ビ</t>
    </rPh>
    <rPh sb="26" eb="28">
      <t>バアイ</t>
    </rPh>
    <phoneticPr fontId="3"/>
  </si>
  <si>
    <t>・画面．保留がオンの場合、エラーとする。</t>
    <rPh sb="1" eb="3">
      <t>ガメン</t>
    </rPh>
    <rPh sb="4" eb="6">
      <t>ホリュウ</t>
    </rPh>
    <rPh sb="10" eb="12">
      <t>バアイ</t>
    </rPh>
    <phoneticPr fontId="3"/>
  </si>
  <si>
    <t>画面．発注先ＣＤがダミー発注先の場合、エラーメッセージを表示する。</t>
    <rPh sb="3" eb="5">
      <t>ハッチュウ</t>
    </rPh>
    <rPh sb="5" eb="6">
      <t>サキ</t>
    </rPh>
    <rPh sb="12" eb="15">
      <t>ハッチュウサキ</t>
    </rPh>
    <rPh sb="16" eb="18">
      <t>バアイ</t>
    </rPh>
    <rPh sb="28" eb="30">
      <t>ヒョウジ</t>
    </rPh>
    <phoneticPr fontId="3"/>
  </si>
  <si>
    <t>（2.発注ヘッダ）</t>
    <rPh sb="3" eb="5">
      <t>ハッチュウ</t>
    </rPh>
    <phoneticPr fontId="3"/>
  </si>
  <si>
    <t>②-1 過去日の場合、エラーとする。</t>
    <rPh sb="4" eb="6">
      <t>カコ</t>
    </rPh>
    <rPh sb="6" eb="7">
      <t>ビ</t>
    </rPh>
    <rPh sb="8" eb="10">
      <t>バアイ</t>
    </rPh>
    <phoneticPr fontId="3"/>
  </si>
  <si>
    <t>②-2 下請対象の場合、</t>
    <rPh sb="4" eb="6">
      <t>シタウ</t>
    </rPh>
    <phoneticPr fontId="3"/>
  </si>
  <si>
    <t>※基準パスはシステムパラメータ（ATTACH_FILE_PATH）に保持する</t>
    <rPh sb="1" eb="3">
      <t>キジュン</t>
    </rPh>
    <rPh sb="34" eb="36">
      <t>ホジ</t>
    </rPh>
    <phoneticPr fontId="3"/>
  </si>
  <si>
    <t>7.一覧．要求元添付に入力値がある場合、ダブルクリックすると、基準パスを組み合わせて添付ファイルを開く。</t>
    <rPh sb="2" eb="4">
      <t>イチラン</t>
    </rPh>
    <rPh sb="5" eb="7">
      <t>ヨウキュウ</t>
    </rPh>
    <rPh sb="7" eb="8">
      <t>モト</t>
    </rPh>
    <rPh sb="8" eb="10">
      <t>テンプ</t>
    </rPh>
    <rPh sb="11" eb="13">
      <t>ニュウリョク</t>
    </rPh>
    <rPh sb="13" eb="14">
      <t>チ</t>
    </rPh>
    <rPh sb="17" eb="19">
      <t>バアイ</t>
    </rPh>
    <rPh sb="31" eb="33">
      <t>キジュン</t>
    </rPh>
    <rPh sb="36" eb="37">
      <t>ク</t>
    </rPh>
    <rPh sb="38" eb="39">
      <t>ア</t>
    </rPh>
    <rPh sb="42" eb="44">
      <t>テンプ</t>
    </rPh>
    <rPh sb="49" eb="50">
      <t>ヒラ</t>
    </rPh>
    <phoneticPr fontId="3"/>
  </si>
  <si>
    <t>※前提：インフラ設定でファイルパスに対するアクセス権が与えられており、</t>
    <rPh sb="1" eb="3">
      <t>ゼンテイ</t>
    </rPh>
    <phoneticPr fontId="3"/>
  </si>
  <si>
    <t>⑩</t>
    <phoneticPr fontId="4"/>
  </si>
  <si>
    <t>単価区分＝ 2:仮単価 AND 単価 IS NULLの場合、エラーとする。</t>
    <rPh sb="0" eb="2">
      <t>タンカ</t>
    </rPh>
    <rPh sb="2" eb="4">
      <t>クブン</t>
    </rPh>
    <rPh sb="16" eb="18">
      <t>タンカ</t>
    </rPh>
    <rPh sb="27" eb="29">
      <t>バアイ</t>
    </rPh>
    <phoneticPr fontId="4"/>
  </si>
  <si>
    <t>詳細は処理詳細シート参照</t>
    <rPh sb="0" eb="2">
      <t>ショウサイ</t>
    </rPh>
    <rPh sb="3" eb="5">
      <t>ショリ</t>
    </rPh>
    <rPh sb="5" eb="7">
      <t>ショウサイ</t>
    </rPh>
    <rPh sb="10" eb="12">
      <t>サンショウ</t>
    </rPh>
    <phoneticPr fontId="3"/>
  </si>
  <si>
    <t>S</t>
    <phoneticPr fontId="3"/>
  </si>
  <si>
    <t>C</t>
    <phoneticPr fontId="3"/>
  </si>
  <si>
    <t>※対象セルの値をSILZ260に渡す</t>
    <rPh sb="16" eb="17">
      <t>ワタ</t>
    </rPh>
    <phoneticPr fontId="3"/>
  </si>
  <si>
    <t>明細枠の「品目」項目などをダブルクリックすると、「SILZ260：ArcSuite図面参照」を起動する。</t>
    <rPh sb="0" eb="2">
      <t>メイサイ</t>
    </rPh>
    <rPh sb="2" eb="3">
      <t>ワク</t>
    </rPh>
    <rPh sb="8" eb="10">
      <t>コウモク</t>
    </rPh>
    <rPh sb="47" eb="49">
      <t>キドウ</t>
    </rPh>
    <phoneticPr fontId="3"/>
  </si>
  <si>
    <t>ダブルクリック可能な項目と、引数の組合せは「SILZ260：ArcSuite図面参照」の設計書に記載</t>
    <rPh sb="7" eb="9">
      <t>カノウ</t>
    </rPh>
    <rPh sb="10" eb="12">
      <t>コウモク</t>
    </rPh>
    <rPh sb="14" eb="16">
      <t>ヒキスウ</t>
    </rPh>
    <rPh sb="17" eb="19">
      <t>クミアワ</t>
    </rPh>
    <rPh sb="44" eb="46">
      <t>セッケイ</t>
    </rPh>
    <rPh sb="46" eb="47">
      <t>ショ</t>
    </rPh>
    <rPh sb="48" eb="50">
      <t>キサイ</t>
    </rPh>
    <phoneticPr fontId="3"/>
  </si>
  <si>
    <t>ArcSuite連携</t>
    <rPh sb="7" eb="9">
      <t>レンケイ</t>
    </rPh>
    <phoneticPr fontId="4"/>
  </si>
  <si>
    <t>SILZ260</t>
    <phoneticPr fontId="4"/>
  </si>
  <si>
    <t>（呼出引数）</t>
    <rPh sb="1" eb="2">
      <t>ヨ</t>
    </rPh>
    <rPh sb="2" eb="3">
      <t>ダ</t>
    </rPh>
    <rPh sb="3" eb="5">
      <t>ヒキスウ</t>
    </rPh>
    <phoneticPr fontId="4"/>
  </si>
  <si>
    <t>呼出引数はダブルクリックした項目により代わる。仕様はSILZ260に記載</t>
    <rPh sb="0" eb="1">
      <t>ヨ</t>
    </rPh>
    <rPh sb="1" eb="2">
      <t>ダ</t>
    </rPh>
    <rPh sb="2" eb="4">
      <t>ヒキスウ</t>
    </rPh>
    <rPh sb="14" eb="16">
      <t>コウモク</t>
    </rPh>
    <rPh sb="19" eb="20">
      <t>カ</t>
    </rPh>
    <rPh sb="23" eb="25">
      <t>シヨウ</t>
    </rPh>
    <rPh sb="34" eb="36">
      <t>キサイ</t>
    </rPh>
    <phoneticPr fontId="4"/>
  </si>
  <si>
    <t>6.種別が「確定」で、選択行の単価区分が2：仮単価の場合、当該行の原版型費と特別送料を入力可能とする。</t>
    <rPh sb="2" eb="4">
      <t>シュベツ</t>
    </rPh>
    <rPh sb="6" eb="8">
      <t>カクテイ</t>
    </rPh>
    <rPh sb="11" eb="13">
      <t>センタク</t>
    </rPh>
    <rPh sb="13" eb="14">
      <t>ギョウ</t>
    </rPh>
    <rPh sb="15" eb="19">
      <t>タンカクブン</t>
    </rPh>
    <rPh sb="22" eb="25">
      <t>カリタンカ</t>
    </rPh>
    <rPh sb="26" eb="28">
      <t>バアイ</t>
    </rPh>
    <rPh sb="29" eb="31">
      <t>トウガイ</t>
    </rPh>
    <rPh sb="31" eb="32">
      <t>ギョウ</t>
    </rPh>
    <rPh sb="33" eb="35">
      <t>ゲンバンカタ</t>
    </rPh>
    <rPh sb="35" eb="37">
      <t>ヒト</t>
    </rPh>
    <rPh sb="38" eb="42">
      <t>クベツソウリョウ</t>
    </rPh>
    <rPh sb="43" eb="47">
      <t>ニュウリョクカノウ</t>
    </rPh>
    <phoneticPr fontId="3"/>
  </si>
  <si>
    <t>8.種別が「確定」で、選択行の単価区分が「2：仮単価」の場合、当該行の原版型費と特別送料を入力可能とする。</t>
    <rPh sb="2" eb="4">
      <t>シュベツ</t>
    </rPh>
    <rPh sb="6" eb="8">
      <t>カクテイ</t>
    </rPh>
    <rPh sb="11" eb="13">
      <t>センタク</t>
    </rPh>
    <rPh sb="13" eb="14">
      <t>ギョウ</t>
    </rPh>
    <rPh sb="15" eb="19">
      <t>タンカクブン</t>
    </rPh>
    <rPh sb="23" eb="26">
      <t>カリタンカ</t>
    </rPh>
    <rPh sb="28" eb="30">
      <t>バアイ</t>
    </rPh>
    <rPh sb="31" eb="33">
      <t>トウガイ</t>
    </rPh>
    <rPh sb="33" eb="34">
      <t>ギョウ</t>
    </rPh>
    <rPh sb="35" eb="37">
      <t>ゲンバンカタ</t>
    </rPh>
    <rPh sb="37" eb="39">
      <t>ヒト</t>
    </rPh>
    <rPh sb="40" eb="44">
      <t>クベツソウリョウ</t>
    </rPh>
    <rPh sb="45" eb="49">
      <t>ニュウリョクカノウ</t>
    </rPh>
    <phoneticPr fontId="3"/>
  </si>
  <si>
    <t>購買依頼書再発行</t>
    <rPh sb="0" eb="2">
      <t>コウバイ</t>
    </rPh>
    <rPh sb="2" eb="5">
      <t>イライショ</t>
    </rPh>
    <rPh sb="5" eb="8">
      <t>サイハッコウ</t>
    </rPh>
    <phoneticPr fontId="3"/>
  </si>
  <si>
    <t>ボタン活性化条件</t>
    <rPh sb="3" eb="6">
      <t>カッセイカ</t>
    </rPh>
    <rPh sb="6" eb="8">
      <t>ジョウケン</t>
    </rPh>
    <phoneticPr fontId="3"/>
  </si>
  <si>
    <t>種別が確定で、検索結果が表示されている場合は活性化する。</t>
    <rPh sb="0" eb="2">
      <t>シュベツ</t>
    </rPh>
    <rPh sb="3" eb="5">
      <t>カクテイ</t>
    </rPh>
    <rPh sb="7" eb="9">
      <t>ケンサク</t>
    </rPh>
    <rPh sb="9" eb="11">
      <t>ケッカ</t>
    </rPh>
    <rPh sb="12" eb="14">
      <t>ヒョウジ</t>
    </rPh>
    <rPh sb="19" eb="21">
      <t>バアイ</t>
    </rPh>
    <rPh sb="22" eb="25">
      <t>カッセイカ</t>
    </rPh>
    <phoneticPr fontId="3"/>
  </si>
  <si>
    <t>帳票システム連携</t>
    <rPh sb="0" eb="2">
      <t>チョウヒョウ</t>
    </rPh>
    <rPh sb="6" eb="8">
      <t>レンケイ</t>
    </rPh>
    <phoneticPr fontId="3"/>
  </si>
  <si>
    <t>ボタン押下により、一覧の選択チェックをオンにした明細行に対して、帳票システムと連携して購買依頼書を発行する。</t>
    <rPh sb="3" eb="5">
      <t>オウカ</t>
    </rPh>
    <rPh sb="9" eb="11">
      <t>イチラン</t>
    </rPh>
    <rPh sb="43" eb="45">
      <t>コウバイ</t>
    </rPh>
    <rPh sb="45" eb="48">
      <t>イライショ</t>
    </rPh>
    <rPh sb="49" eb="51">
      <t>ハッコウ</t>
    </rPh>
    <phoneticPr fontId="3"/>
  </si>
  <si>
    <t>帳票番号（購買依頼書(再発行用)）、発注予定ＮＯをキー項目として帳票システム連携</t>
    <rPh sb="5" eb="7">
      <t>コウバイ</t>
    </rPh>
    <rPh sb="7" eb="10">
      <t>イライショ</t>
    </rPh>
    <rPh sb="11" eb="14">
      <t>サイハッコウ</t>
    </rPh>
    <rPh sb="14" eb="15">
      <t>ヨウ</t>
    </rPh>
    <rPh sb="32" eb="34">
      <t>チョウヒョウ</t>
    </rPh>
    <rPh sb="38" eb="40">
      <t>レンケイ</t>
    </rPh>
    <phoneticPr fontId="3"/>
  </si>
  <si>
    <t>テーブルに設定する。</t>
    <rPh sb="5" eb="7">
      <t>セッテイ</t>
    </rPh>
    <phoneticPr fontId="3"/>
  </si>
  <si>
    <t>即時印刷として帳票システムが提供するＷＥＢサービスを呼び出す。</t>
    <rPh sb="0" eb="2">
      <t>ソクジ</t>
    </rPh>
    <rPh sb="2" eb="4">
      <t>インサツ</t>
    </rPh>
    <rPh sb="7" eb="9">
      <t>チョウヒョウ</t>
    </rPh>
    <rPh sb="14" eb="16">
      <t>テイキョウ</t>
    </rPh>
    <rPh sb="26" eb="27">
      <t>ヨ</t>
    </rPh>
    <rPh sb="28" eb="29">
      <t>ダ</t>
    </rPh>
    <phoneticPr fontId="3"/>
  </si>
  <si>
    <t>単契適用ベースが「2：指示納期ベース」の場合、</t>
    <rPh sb="0" eb="2">
      <t>タンケイ</t>
    </rPh>
    <rPh sb="2" eb="4">
      <t>テキヨウ</t>
    </rPh>
    <rPh sb="20" eb="22">
      <t>バアイ</t>
    </rPh>
    <phoneticPr fontId="3"/>
  </si>
  <si>
    <t xml:space="preserve">(品目購買単価マスタ．単契適用ベース = 2：指示納期ベース AND </t>
    <rPh sb="23" eb="25">
      <t>シジ</t>
    </rPh>
    <rPh sb="25" eb="27">
      <t>ノウキ</t>
    </rPh>
    <phoneticPr fontId="3"/>
  </si>
  <si>
    <t xml:space="preserve">(品目購買単価マスタ．単契適用ベース = 2：指示納期ベース AND </t>
    <phoneticPr fontId="4"/>
  </si>
  <si>
    <t>印刷区分を「3：直接印刷」とし、帳票システムが提供するＷＥＢサービスを呼び出す。</t>
    <rPh sb="0" eb="2">
      <t>インサツ</t>
    </rPh>
    <rPh sb="2" eb="4">
      <t>クブン</t>
    </rPh>
    <rPh sb="8" eb="10">
      <t>チョクセツ</t>
    </rPh>
    <rPh sb="10" eb="12">
      <t>インサツ</t>
    </rPh>
    <rPh sb="16" eb="18">
      <t>チョウヒョウ</t>
    </rPh>
    <rPh sb="23" eb="25">
      <t>テイキョウ</t>
    </rPh>
    <rPh sb="35" eb="36">
      <t>ヨ</t>
    </rPh>
    <rPh sb="37" eb="38">
      <t>ダ</t>
    </rPh>
    <phoneticPr fontId="3"/>
  </si>
  <si>
    <t>見積照会書（兼）見積書を発行する。</t>
    <phoneticPr fontId="3"/>
  </si>
  <si>
    <t>納品書を発行する。</t>
    <phoneticPr fontId="3"/>
  </si>
  <si>
    <t>として帳票システム連携テーブルに設定する。</t>
  </si>
  <si>
    <t>・ＥＤＩ対象ＦＬＧ＝オフ</t>
    <phoneticPr fontId="4"/>
  </si>
  <si>
    <t>・国外発注ＦＬＧ＝オフ</t>
    <phoneticPr fontId="4"/>
  </si>
  <si>
    <t>・単価区分&lt;&gt;本単価</t>
    <phoneticPr fontId="4"/>
  </si>
  <si>
    <t>下記条件を(AND関係)満たす場合、帳票番号（納品書）、注文書ＮＯ、注文書リビジョンをキー項目</t>
    <phoneticPr fontId="4"/>
  </si>
  <si>
    <t>支給品情報送信</t>
    <phoneticPr fontId="4"/>
  </si>
  <si>
    <t>SILZ340</t>
    <phoneticPr fontId="4"/>
  </si>
  <si>
    <t>ＢＯＭキー</t>
    <phoneticPr fontId="4"/>
  </si>
  <si>
    <t>品目オーダ情報</t>
    <rPh sb="0" eb="2">
      <t>ヒンモク</t>
    </rPh>
    <rPh sb="5" eb="7">
      <t>ジョウホウ</t>
    </rPh>
    <phoneticPr fontId="4"/>
  </si>
  <si>
    <t>ＢＯＭキー</t>
    <phoneticPr fontId="4"/>
  </si>
  <si>
    <t>品目オーダＮＯ</t>
    <rPh sb="0" eb="2">
      <t>ヒンモク</t>
    </rPh>
    <phoneticPr fontId="4"/>
  </si>
  <si>
    <t>品目オーダＮＯ</t>
    <phoneticPr fontId="4"/>
  </si>
  <si>
    <t>品目オーダＮＯ</t>
    <phoneticPr fontId="4"/>
  </si>
  <si>
    <t>工程指図ＮＯ</t>
    <phoneticPr fontId="4"/>
  </si>
  <si>
    <t>-</t>
    <phoneticPr fontId="4"/>
  </si>
  <si>
    <t>固定値:NULL</t>
    <phoneticPr fontId="4"/>
  </si>
  <si>
    <t>※ただし、単価取得後の製造元、製造元名変更は可能。</t>
    <rPh sb="5" eb="7">
      <t>タンカ</t>
    </rPh>
    <rPh sb="7" eb="9">
      <t>シュトク</t>
    </rPh>
    <rPh sb="9" eb="10">
      <t>ゴ</t>
    </rPh>
    <rPh sb="11" eb="14">
      <t>セイゾウモト</t>
    </rPh>
    <rPh sb="15" eb="18">
      <t>セイゾウモト</t>
    </rPh>
    <rPh sb="18" eb="19">
      <t>メイ</t>
    </rPh>
    <rPh sb="19" eb="21">
      <t>ヘンコウ</t>
    </rPh>
    <rPh sb="22" eb="24">
      <t>カノウ</t>
    </rPh>
    <phoneticPr fontId="3"/>
  </si>
  <si>
    <t>※1 会社マスタの税ＣＤを設定する。</t>
    <rPh sb="3" eb="5">
      <t>カイシャ</t>
    </rPh>
    <rPh sb="9" eb="10">
      <t>ゼイ</t>
    </rPh>
    <rPh sb="13" eb="15">
      <t>セッテイ</t>
    </rPh>
    <phoneticPr fontId="3"/>
  </si>
  <si>
    <t>　緊急フラグがオンの明細に対して、「SILZ340_支給品情報送信」バッチを起動する。</t>
  </si>
  <si>
    <t>　緊急フラグがオンの明細に対して、「SILZ340_支給品情報送信」バッチを起動する。</t>
    <phoneticPr fontId="4"/>
  </si>
  <si>
    <t>支給品情報送信</t>
    <phoneticPr fontId="3"/>
  </si>
  <si>
    <t>「SILZ340_支給品情報送信」の起動条件：</t>
    <rPh sb="18" eb="20">
      <t>キドウ</t>
    </rPh>
    <rPh sb="20" eb="22">
      <t>ジョウケン</t>
    </rPh>
    <phoneticPr fontId="4"/>
  </si>
  <si>
    <t>支給有無区分 = 「1：有」</t>
    <phoneticPr fontId="4"/>
  </si>
  <si>
    <t>フォーカス行の購買依頼ＮＯ、注文書ＮＯを検索条件として引継ぎ、支給品登録画面の検索処理を実行する。</t>
    <rPh sb="7" eb="11">
      <t>コウバイイライ</t>
    </rPh>
    <rPh sb="31" eb="33">
      <t>シキュウ</t>
    </rPh>
    <rPh sb="33" eb="34">
      <t>ヒン</t>
    </rPh>
    <rPh sb="34" eb="36">
      <t>トウロク</t>
    </rPh>
    <phoneticPr fontId="3"/>
  </si>
  <si>
    <t>SBP0020</t>
    <phoneticPr fontId="4"/>
  </si>
  <si>
    <t>SDPZ010</t>
    <phoneticPr fontId="4"/>
  </si>
  <si>
    <t>明細．購買依頼ＮＯ</t>
    <rPh sb="0" eb="2">
      <t>メイサイ</t>
    </rPh>
    <rPh sb="3" eb="7">
      <t>コウバイイライ</t>
    </rPh>
    <phoneticPr fontId="4"/>
  </si>
  <si>
    <t>明細．注文書ＮＯ</t>
    <rPh sb="0" eb="2">
      <t>メイサイ</t>
    </rPh>
    <rPh sb="3" eb="5">
      <t>チュウモン</t>
    </rPh>
    <rPh sb="5" eb="6">
      <t>ショ</t>
    </rPh>
    <phoneticPr fontId="4"/>
  </si>
  <si>
    <t>検索条件．注文書ＮＯ</t>
    <rPh sb="0" eb="2">
      <t>ケンサク</t>
    </rPh>
    <rPh sb="2" eb="4">
      <t>ジョウケン</t>
    </rPh>
    <rPh sb="5" eb="8">
      <t>チュウモンショ</t>
    </rPh>
    <phoneticPr fontId="4"/>
  </si>
  <si>
    <t>検索条件．品目オーダＮＯ</t>
    <rPh sb="0" eb="2">
      <t>ケンサク</t>
    </rPh>
    <rPh sb="2" eb="4">
      <t>ジョウケン</t>
    </rPh>
    <rPh sb="5" eb="7">
      <t>ヒンモク</t>
    </rPh>
    <phoneticPr fontId="4"/>
  </si>
  <si>
    <t>→</t>
    <phoneticPr fontId="4"/>
  </si>
  <si>
    <t>－</t>
    <phoneticPr fontId="3"/>
  </si>
  <si>
    <t>システム設計</t>
    <rPh sb="4" eb="6">
      <t>セッケイ</t>
    </rPh>
    <phoneticPr fontId="4"/>
  </si>
  <si>
    <t>照査</t>
    <rPh sb="0" eb="2">
      <t>ショウサ</t>
    </rPh>
    <phoneticPr fontId="4"/>
  </si>
  <si>
    <t>システム設計</t>
    <rPh sb="4" eb="6">
      <t>セッケイ</t>
    </rPh>
    <phoneticPr fontId="3"/>
  </si>
  <si>
    <t>下記条件を(AND関係)満たす場合、帳票番号（見積照会書（兼）見積書）、注文書ＮＯ、</t>
    <phoneticPr fontId="4"/>
  </si>
  <si>
    <t>注文書リビジョンをキー項目として帳票システム連携テーブルに設定する。</t>
    <phoneticPr fontId="4"/>
  </si>
  <si>
    <t>国外発注ＦＬＧがオンで、発注明細．要求イン状況　＜＞　「0：契約待ち」の場合、</t>
    <phoneticPr fontId="3"/>
  </si>
  <si>
    <t>メッセージを表示する。</t>
  </si>
  <si>
    <t>国外発注ＦＬＧがオンで、発注明細．要求イン状況　＜＞　「0：契約待ち」の場合、</t>
    <phoneticPr fontId="3"/>
  </si>
  <si>
    <t>担当者ビュー</t>
    <phoneticPr fontId="4"/>
  </si>
  <si>
    <t>5.工程外注の場合、発注先を入力不可とする。</t>
    <rPh sb="14" eb="16">
      <t>ニュウリョク</t>
    </rPh>
    <rPh sb="16" eb="18">
      <t>フカ</t>
    </rPh>
    <phoneticPr fontId="3"/>
  </si>
  <si>
    <t>5.工程外注（購買依頼元区分が「8：工程外注」）の場合、明細の当該行の発注先を入力不可とする。</t>
    <rPh sb="28" eb="30">
      <t>メイサイ</t>
    </rPh>
    <rPh sb="31" eb="33">
      <t>トウガイ</t>
    </rPh>
    <rPh sb="33" eb="34">
      <t>ギョウ</t>
    </rPh>
    <rPh sb="35" eb="37">
      <t>ハッチュウ</t>
    </rPh>
    <rPh sb="39" eb="43">
      <t>ニュウリョクフカ</t>
    </rPh>
    <phoneticPr fontId="4"/>
  </si>
  <si>
    <t>1. 「管理コード」がNULLの場合、「手配ＮＯ１」が"*"の場合、</t>
    <rPh sb="4" eb="6">
      <t>カンリ</t>
    </rPh>
    <rPh sb="20" eb="22">
      <t>テハイ</t>
    </rPh>
    <rPh sb="31" eb="33">
      <t>バアイ</t>
    </rPh>
    <phoneticPr fontId="4"/>
  </si>
  <si>
    <t>2. 「勘定コード」が"5", "6"の場合、「手配ＮＯ１」の先頭１桁目≠"W"の場合、</t>
    <rPh sb="4" eb="6">
      <t>カンジョウ</t>
    </rPh>
    <rPh sb="24" eb="26">
      <t>テハイ</t>
    </rPh>
    <rPh sb="41" eb="43">
      <t>バアイ</t>
    </rPh>
    <phoneticPr fontId="4"/>
  </si>
  <si>
    <t>4. 「勘定コード」が "2"の場合、「手配ＮＯ１」がNULL以外の場合、確定時エラーとする。</t>
    <rPh sb="4" eb="6">
      <t>カンジョウ</t>
    </rPh>
    <rPh sb="20" eb="22">
      <t>テハイ</t>
    </rPh>
    <rPh sb="31" eb="33">
      <t>イガイ</t>
    </rPh>
    <rPh sb="34" eb="36">
      <t>バアイ</t>
    </rPh>
    <rPh sb="37" eb="39">
      <t>カクテイ</t>
    </rPh>
    <rPh sb="39" eb="40">
      <t>ジ</t>
    </rPh>
    <phoneticPr fontId="4"/>
  </si>
  <si>
    <t>5. 「勘定コード」が "1", "5"の場合、</t>
    <rPh sb="4" eb="6">
      <t>カンジョウ</t>
    </rPh>
    <phoneticPr fontId="4"/>
  </si>
  <si>
    <t>6. 「勘定コード」が "2", "6", "7", "8"の場合、「管理コード」がNULL以外の場合、</t>
    <rPh sb="4" eb="6">
      <t>カンジョウ</t>
    </rPh>
    <rPh sb="35" eb="37">
      <t>カンリ</t>
    </rPh>
    <rPh sb="46" eb="48">
      <t>イガイ</t>
    </rPh>
    <rPh sb="49" eb="51">
      <t>バアイ</t>
    </rPh>
    <phoneticPr fontId="4"/>
  </si>
  <si>
    <t>7. 「勘定コード」が "1", "2", "5"の場合、</t>
    <rPh sb="4" eb="6">
      <t>カンジョウ</t>
    </rPh>
    <phoneticPr fontId="4"/>
  </si>
  <si>
    <t>8. 「勘定コード」が "6", "7", "8"の場合、</t>
    <rPh sb="4" eb="6">
      <t>カンジョウ</t>
    </rPh>
    <phoneticPr fontId="4"/>
  </si>
  <si>
    <t>購買担当者の先頭１桁目が「X」の場合、エラーとする。</t>
    <rPh sb="0" eb="5">
      <t>コウバイタントウシャ</t>
    </rPh>
    <rPh sb="6" eb="8">
      <t>セントウ</t>
    </rPh>
    <rPh sb="9" eb="11">
      <t>ケタメ</t>
    </rPh>
    <rPh sb="16" eb="18">
      <t>バアイ</t>
    </rPh>
    <phoneticPr fontId="4"/>
  </si>
  <si>
    <t>査定担当者の先頭１桁目が「X」の場合、エラーとする。</t>
    <rPh sb="0" eb="2">
      <t>サテイ</t>
    </rPh>
    <rPh sb="2" eb="5">
      <t>タントウシャ</t>
    </rPh>
    <rPh sb="6" eb="8">
      <t>セントウ</t>
    </rPh>
    <rPh sb="9" eb="11">
      <t>ケタメ</t>
    </rPh>
    <rPh sb="16" eb="18">
      <t>バアイ</t>
    </rPh>
    <phoneticPr fontId="4"/>
  </si>
  <si>
    <t>メッセージ№9</t>
  </si>
  <si>
    <t>メッセージ№41</t>
  </si>
  <si>
    <t>「価格区分」が契約単価で 単価がNULLの場合、エラーとする</t>
    <phoneticPr fontId="4"/>
  </si>
  <si>
    <t>「価格区分」が前値で「単区」が1：本単価、且つ単価がNULLの場合、エラーとする</t>
    <rPh sb="21" eb="22">
      <t>カ</t>
    </rPh>
    <phoneticPr fontId="4"/>
  </si>
  <si>
    <t>メッセージ№16</t>
  </si>
  <si>
    <t>メッセージ№17</t>
  </si>
  <si>
    <t>メッセージ№18</t>
  </si>
  <si>
    <t>メッセージ№19</t>
  </si>
  <si>
    <t>メッセージ№29</t>
  </si>
  <si>
    <t>メッセージ№10</t>
  </si>
  <si>
    <t>メッセージ№11</t>
  </si>
  <si>
    <t>メッセージ№30</t>
    <phoneticPr fontId="4"/>
  </si>
  <si>
    <t>消費税区分≠NULL、且つ税ＣＤがブランクの場合、エラーとする。</t>
    <rPh sb="0" eb="3">
      <t>ショウヒゼイ</t>
    </rPh>
    <rPh sb="3" eb="5">
      <t>クブン</t>
    </rPh>
    <rPh sb="11" eb="12">
      <t>カ</t>
    </rPh>
    <rPh sb="13" eb="14">
      <t>ゼイ</t>
    </rPh>
    <rPh sb="22" eb="24">
      <t>バアイ</t>
    </rPh>
    <phoneticPr fontId="4"/>
  </si>
  <si>
    <t>為替レート指定＝オン、且つ為替レートが未設定の場合、エラーとする。</t>
    <rPh sb="0" eb="2">
      <t>カワセ</t>
    </rPh>
    <rPh sb="5" eb="7">
      <t>シテイ</t>
    </rPh>
    <rPh sb="11" eb="12">
      <t>カ</t>
    </rPh>
    <rPh sb="13" eb="15">
      <t>カワセ</t>
    </rPh>
    <rPh sb="19" eb="22">
      <t>ミセッテイ</t>
    </rPh>
    <rPh sb="23" eb="25">
      <t>バアイ</t>
    </rPh>
    <phoneticPr fontId="4"/>
  </si>
  <si>
    <t>メッセージ№50</t>
  </si>
  <si>
    <t>メッセージ№8</t>
  </si>
  <si>
    <t>メッセージ№25</t>
  </si>
  <si>
    <t>メッセージ№20</t>
  </si>
  <si>
    <t>メッセージ№21</t>
  </si>
  <si>
    <t>メッセージ№22</t>
  </si>
  <si>
    <t>メッセージ№23</t>
  </si>
  <si>
    <t>メッセージ№24</t>
  </si>
  <si>
    <t>メッセージ№7</t>
  </si>
  <si>
    <t>メッセージ№1</t>
  </si>
  <si>
    <t>メッセージ№27</t>
  </si>
  <si>
    <t>メッセージ№28</t>
  </si>
  <si>
    <t>メッセージ№3</t>
  </si>
  <si>
    <t>メッセージ№4</t>
  </si>
  <si>
    <t>メッセージ№5</t>
  </si>
  <si>
    <t>メッセージ№6</t>
  </si>
  <si>
    <t>メッセージ№2</t>
  </si>
  <si>
    <t>メッセージ№42</t>
    <phoneticPr fontId="4"/>
  </si>
  <si>
    <t>メッセージ№26</t>
    <phoneticPr fontId="4"/>
  </si>
  <si>
    <t>1.入力チェック</t>
    <rPh sb="2" eb="4">
      <t>ニュウリョク</t>
    </rPh>
    <phoneticPr fontId="4"/>
  </si>
  <si>
    <t>問合せメッセージを表示し、「はい」を押下した場合のみ後続の処理を行う。</t>
    <rPh sb="0" eb="2">
      <t>トイアワ</t>
    </rPh>
    <rPh sb="9" eb="11">
      <t>ヒョウジ</t>
    </rPh>
    <rPh sb="18" eb="20">
      <t>オウカ</t>
    </rPh>
    <rPh sb="22" eb="24">
      <t>バアイ</t>
    </rPh>
    <rPh sb="26" eb="28">
      <t>コウゾク</t>
    </rPh>
    <rPh sb="29" eb="31">
      <t>ショリ</t>
    </rPh>
    <rPh sb="32" eb="33">
      <t>オコナ</t>
    </rPh>
    <phoneticPr fontId="4"/>
  </si>
  <si>
    <t>メッセージ№31</t>
    <phoneticPr fontId="4"/>
  </si>
  <si>
    <t>メッセージ№32</t>
    <phoneticPr fontId="4"/>
  </si>
  <si>
    <t>メッセージ№33</t>
    <phoneticPr fontId="4"/>
  </si>
  <si>
    <t>処理終了メッセージを表示する。</t>
    <rPh sb="0" eb="2">
      <t>ショリ</t>
    </rPh>
    <rPh sb="2" eb="4">
      <t>シュウリョウ</t>
    </rPh>
    <rPh sb="10" eb="12">
      <t>ヒョウジ</t>
    </rPh>
    <phoneticPr fontId="4"/>
  </si>
  <si>
    <t>メッセージ№34</t>
    <phoneticPr fontId="4"/>
  </si>
  <si>
    <t>メッセージ№35</t>
    <phoneticPr fontId="4"/>
  </si>
  <si>
    <t>メッセージ№36</t>
    <phoneticPr fontId="4"/>
  </si>
  <si>
    <t>メッセージ№37</t>
    <phoneticPr fontId="4"/>
  </si>
  <si>
    <t>メッセージ№38</t>
    <phoneticPr fontId="4"/>
  </si>
  <si>
    <t>C</t>
    <phoneticPr fontId="4"/>
  </si>
  <si>
    <t>メッセージ№40</t>
    <phoneticPr fontId="4"/>
  </si>
  <si>
    <t>メッセージ№39</t>
    <phoneticPr fontId="4"/>
  </si>
  <si>
    <t>メッセージ№44</t>
    <phoneticPr fontId="4"/>
  </si>
  <si>
    <t>メッセージ№45</t>
    <phoneticPr fontId="4"/>
  </si>
  <si>
    <t>メッセージ№48</t>
    <phoneticPr fontId="4"/>
  </si>
  <si>
    <t>メッセージ№49</t>
    <phoneticPr fontId="4"/>
  </si>
  <si>
    <t>④</t>
    <phoneticPr fontId="3"/>
  </si>
  <si>
    <t>メッセージ№46</t>
    <phoneticPr fontId="3"/>
  </si>
  <si>
    <t>メッセージ№47</t>
    <phoneticPr fontId="3"/>
  </si>
  <si>
    <t>メッセージ№51</t>
    <phoneticPr fontId="4"/>
  </si>
  <si>
    <t>製品グループコードの定数に含まない値の場合、エラーとし処理を中止する。</t>
    <rPh sb="0" eb="2">
      <t>セイヒン</t>
    </rPh>
    <rPh sb="10" eb="12">
      <t>テイスウ</t>
    </rPh>
    <rPh sb="13" eb="14">
      <t>フク</t>
    </rPh>
    <rPh sb="17" eb="18">
      <t>アタイ</t>
    </rPh>
    <rPh sb="19" eb="21">
      <t>バアイ</t>
    </rPh>
    <rPh sb="27" eb="29">
      <t>ショリ</t>
    </rPh>
    <rPh sb="30" eb="32">
      <t>チュウシ</t>
    </rPh>
    <phoneticPr fontId="3"/>
  </si>
  <si>
    <t>メッセージ№52</t>
    <phoneticPr fontId="3"/>
  </si>
  <si>
    <t>実行した結果にエラーがあった場合、エラーメッセージを表示する。</t>
    <rPh sb="0" eb="2">
      <t>ジッコウ</t>
    </rPh>
    <rPh sb="4" eb="6">
      <t>ケッカ</t>
    </rPh>
    <rPh sb="14" eb="16">
      <t>バアイ</t>
    </rPh>
    <rPh sb="26" eb="28">
      <t>ヒョウジ</t>
    </rPh>
    <phoneticPr fontId="3"/>
  </si>
  <si>
    <t>メッセージ№53</t>
    <phoneticPr fontId="3"/>
  </si>
  <si>
    <t>海調案件の場合、発注明細．ＲＦＱ　ＮＯがNULLの場合、単価の登録を不可とし、エラーにする。</t>
    <rPh sb="28" eb="30">
      <t>タンカ</t>
    </rPh>
    <rPh sb="31" eb="33">
      <t>トウロク</t>
    </rPh>
    <rPh sb="34" eb="36">
      <t>フカ</t>
    </rPh>
    <phoneticPr fontId="3"/>
  </si>
  <si>
    <t>メッセージ№54</t>
    <phoneticPr fontId="3"/>
  </si>
  <si>
    <t>エラー処理：</t>
    <rPh sb="3" eb="5">
      <t>ショリ</t>
    </rPh>
    <phoneticPr fontId="3"/>
  </si>
  <si>
    <t>消費税ＣＤが未設定の場合、エラーとする。</t>
    <rPh sb="0" eb="3">
      <t>ショウヒゼイ</t>
    </rPh>
    <rPh sb="6" eb="9">
      <t>ミセッテイ</t>
    </rPh>
    <rPh sb="10" eb="12">
      <t>バアイ</t>
    </rPh>
    <phoneticPr fontId="3"/>
  </si>
  <si>
    <t>メッセージ№55</t>
    <phoneticPr fontId="3"/>
  </si>
  <si>
    <t>DB項目転送</t>
    <phoneticPr fontId="3"/>
  </si>
  <si>
    <t>メッセージ№56</t>
    <phoneticPr fontId="4"/>
  </si>
  <si>
    <t>※手配番号の発番に例外が発生した場合、メッセージを出力する。</t>
    <rPh sb="1" eb="3">
      <t>テハイ</t>
    </rPh>
    <rPh sb="3" eb="5">
      <t>バンゴウ</t>
    </rPh>
    <rPh sb="6" eb="8">
      <t>ハツバン</t>
    </rPh>
    <rPh sb="9" eb="11">
      <t>レイガイ</t>
    </rPh>
    <rPh sb="12" eb="14">
      <t>ハッセイ</t>
    </rPh>
    <rPh sb="16" eb="18">
      <t>バアイ</t>
    </rPh>
    <rPh sb="25" eb="27">
      <t>シュツリョク</t>
    </rPh>
    <phoneticPr fontId="4"/>
  </si>
  <si>
    <t>メッセージ No.57</t>
    <phoneticPr fontId="4"/>
  </si>
  <si>
    <t>品目購買単価マスタに該当条件のデータが存在しない場合、メッセージを出力する。</t>
    <rPh sb="0" eb="2">
      <t>ヒンモク</t>
    </rPh>
    <rPh sb="2" eb="4">
      <t>コウバイ</t>
    </rPh>
    <rPh sb="4" eb="6">
      <t>タンカ</t>
    </rPh>
    <rPh sb="10" eb="12">
      <t>ガイトウ</t>
    </rPh>
    <rPh sb="12" eb="14">
      <t>ジョウケン</t>
    </rPh>
    <rPh sb="19" eb="21">
      <t>ソンザイ</t>
    </rPh>
    <rPh sb="24" eb="26">
      <t>バアイ</t>
    </rPh>
    <rPh sb="33" eb="35">
      <t>シュツリョク</t>
    </rPh>
    <phoneticPr fontId="4"/>
  </si>
  <si>
    <t>工具システム手配品の場合、単価検索時にエラーが発生した場合、メッセージを出力する。</t>
    <rPh sb="13" eb="15">
      <t>タンカ</t>
    </rPh>
    <rPh sb="15" eb="17">
      <t>ケンサク</t>
    </rPh>
    <rPh sb="17" eb="18">
      <t>ジ</t>
    </rPh>
    <rPh sb="23" eb="25">
      <t>ハッセイ</t>
    </rPh>
    <rPh sb="27" eb="29">
      <t>バアイ</t>
    </rPh>
    <rPh sb="36" eb="38">
      <t>シュツリョク</t>
    </rPh>
    <phoneticPr fontId="4"/>
  </si>
  <si>
    <t>メッセージ№58</t>
    <phoneticPr fontId="4"/>
  </si>
  <si>
    <t>削除フラグ</t>
    <phoneticPr fontId="4"/>
  </si>
  <si>
    <t>帳票システムＩＦ</t>
    <phoneticPr fontId="4"/>
  </si>
  <si>
    <t>【更新項目】</t>
    <rPh sb="1" eb="3">
      <t>コウシン</t>
    </rPh>
    <rPh sb="3" eb="5">
      <t>コウモク</t>
    </rPh>
    <phoneticPr fontId="3"/>
  </si>
  <si>
    <t>帳票ID　IN（'MCFA010001','MCFA010007'）</t>
    <phoneticPr fontId="4"/>
  </si>
  <si>
    <t>AND　印刷区分　＝　スケジュール印刷(依頼あり)</t>
    <phoneticPr fontId="4"/>
  </si>
  <si>
    <t>AND　抽出条件値01　＝　注文書No</t>
    <rPh sb="14" eb="17">
      <t>チュウモンショ</t>
    </rPh>
    <phoneticPr fontId="4"/>
  </si>
  <si>
    <t>AND　抽出条件値02　＝　注文書リビジョン</t>
    <rPh sb="14" eb="17">
      <t>チュウモンショ</t>
    </rPh>
    <phoneticPr fontId="4"/>
  </si>
  <si>
    <t>Upd05：帳票取消</t>
    <rPh sb="6" eb="8">
      <t>チョウヒョウ</t>
    </rPh>
    <rPh sb="8" eb="10">
      <t>トリケシ</t>
    </rPh>
    <phoneticPr fontId="3"/>
  </si>
  <si>
    <t>支給品登録画面の検索種別確定</t>
    <rPh sb="10" eb="12">
      <t>シュベツ</t>
    </rPh>
    <rPh sb="12" eb="14">
      <t>カクテイ</t>
    </rPh>
    <phoneticPr fontId="4"/>
  </si>
  <si>
    <t>【抽出項目】</t>
    <rPh sb="3" eb="5">
      <t>コウモク</t>
    </rPh>
    <phoneticPr fontId="3"/>
  </si>
  <si>
    <t>支給品情報</t>
  </si>
  <si>
    <t>品目オーダＮＯ　＝　明細．購買依頼ＮＯ</t>
    <phoneticPr fontId="4"/>
  </si>
  <si>
    <t>AND　削除フラグ　＝　オフ</t>
    <phoneticPr fontId="4"/>
  </si>
  <si>
    <t>それ以外の場合、支給品登録画面の検索種別を「更新」に設定する。</t>
    <rPh sb="2" eb="4">
      <t>イガイ</t>
    </rPh>
    <phoneticPr fontId="6"/>
  </si>
  <si>
    <t>AND</t>
    <phoneticPr fontId="4"/>
  </si>
  <si>
    <t>下記検索結果＝０件の場合、支給品登録画面の検索種別を「新規」に設定する。</t>
    <rPh sb="8" eb="9">
      <t>ケン</t>
    </rPh>
    <phoneticPr fontId="4"/>
  </si>
  <si>
    <t>新規レコードＦＬＧ　＝　オフ</t>
    <phoneticPr fontId="4"/>
  </si>
  <si>
    <t>注文書No、注文書リビジョンに対する印刷待ちの帳票印刷依頼データを論理削除する。</t>
    <rPh sb="0" eb="3">
      <t>チュウモンショ</t>
    </rPh>
    <rPh sb="6" eb="9">
      <t>チュウモンショ</t>
    </rPh>
    <rPh sb="15" eb="16">
      <t>タイ</t>
    </rPh>
    <rPh sb="18" eb="20">
      <t>インサツ</t>
    </rPh>
    <rPh sb="20" eb="21">
      <t>マ</t>
    </rPh>
    <rPh sb="23" eb="25">
      <t>チョウヒョウ</t>
    </rPh>
    <rPh sb="25" eb="27">
      <t>インサツ</t>
    </rPh>
    <rPh sb="27" eb="29">
      <t>イライ</t>
    </rPh>
    <rPh sb="33" eb="37">
      <t>ロンリサクジョ</t>
    </rPh>
    <phoneticPr fontId="4"/>
  </si>
  <si>
    <t>3.帳票印刷依頼の取消</t>
    <rPh sb="2" eb="4">
      <t>チョウヒョウ</t>
    </rPh>
    <rPh sb="4" eb="6">
      <t>インサツ</t>
    </rPh>
    <rPh sb="6" eb="8">
      <t>イライ</t>
    </rPh>
    <rPh sb="9" eb="11">
      <t>トリケシ</t>
    </rPh>
    <phoneticPr fontId="4"/>
  </si>
  <si>
    <t>AND　作成状況　＝　1(印刷待)</t>
    <phoneticPr fontId="4"/>
  </si>
  <si>
    <t>帳票印刷</t>
    <phoneticPr fontId="4"/>
  </si>
  <si>
    <t>CILZ020</t>
    <phoneticPr fontId="4"/>
  </si>
  <si>
    <t>Print01</t>
    <phoneticPr fontId="3"/>
  </si>
  <si>
    <t>Print01_CndR</t>
    <phoneticPr fontId="4"/>
  </si>
  <si>
    <t>依頼ID</t>
  </si>
  <si>
    <t>分割ID</t>
  </si>
  <si>
    <t>印刷区分</t>
  </si>
  <si>
    <t xml:space="preserve">■見積照会書(兼)見積書発行の場合
1：スケジュール印刷(依頼あり)
■納品書発行の場合
1：スケジュール印刷(依頼あり)
■購入要求書（再発行用）発行の場合
3：直接印刷
</t>
    <rPh sb="77" eb="79">
      <t>バアイ</t>
    </rPh>
    <phoneticPr fontId="4"/>
  </si>
  <si>
    <t>依頼種別区分</t>
  </si>
  <si>
    <t>■見積照会書(兼)見積書発行の場合
1: 新規/変更
■納品書発行の場合
1: 新規/変更
■購入要求書（再発行用）発行の場合
3: 再発行</t>
    <phoneticPr fontId="4"/>
  </si>
  <si>
    <t>個別帳票ID</t>
  </si>
  <si>
    <t>■見積照会書(兼)見積書発行の場合
MCFA010001
■納品書発行の場合
MCFA010007
■購入要求書（再発行用）発行の場合
MCFA010025</t>
    <phoneticPr fontId="4"/>
  </si>
  <si>
    <t>抽出条件値01</t>
  </si>
  <si>
    <t>発注ヘッダ
発注明細</t>
    <rPh sb="0" eb="2">
      <t>ハッチュウ</t>
    </rPh>
    <rPh sb="6" eb="10">
      <t>ハッチュウメイサイ</t>
    </rPh>
    <phoneticPr fontId="3"/>
  </si>
  <si>
    <t>注文書NO
発注予定ＮＯ</t>
    <phoneticPr fontId="3"/>
  </si>
  <si>
    <t>■見積照会書(兼)見積書発行の場合
注文書NO
■納品書発行の場合
注文書NO
■購入要求書（再発行用）発行の場合
発注予定ＮＯ</t>
    <phoneticPr fontId="4"/>
  </si>
  <si>
    <t>抽出条件値02</t>
  </si>
  <si>
    <t>発注ヘッダ</t>
    <phoneticPr fontId="3"/>
  </si>
  <si>
    <t>注文書リビジョン</t>
    <phoneticPr fontId="3"/>
  </si>
  <si>
    <t>抽出条件値03</t>
  </si>
  <si>
    <t>抽出条件値04</t>
  </si>
  <si>
    <t>抽出条件値05</t>
  </si>
  <si>
    <t>抽出条件値06</t>
  </si>
  <si>
    <t>抽出条件値07</t>
  </si>
  <si>
    <t>抽出条件値08</t>
  </si>
  <si>
    <t>抽出条件値09</t>
  </si>
  <si>
    <t>抽出条件値10</t>
  </si>
  <si>
    <t>抽出条件値11</t>
  </si>
  <si>
    <t>抽出条件値12</t>
  </si>
  <si>
    <t>抽出条件値13</t>
  </si>
  <si>
    <t>抽出条件値14</t>
  </si>
  <si>
    <t>抽出条件値15</t>
  </si>
  <si>
    <t>抽出条件値16</t>
  </si>
  <si>
    <t>抽出条件値17</t>
  </si>
  <si>
    <t>抽出条件値18</t>
  </si>
  <si>
    <t>抽出条件値19</t>
  </si>
  <si>
    <t>抽出条件値20</t>
  </si>
  <si>
    <t>印刷ソート値01</t>
  </si>
  <si>
    <t>印刷ソート値02</t>
  </si>
  <si>
    <t>印刷ソート値03</t>
  </si>
  <si>
    <t>印刷ソート値04</t>
  </si>
  <si>
    <t>印刷ソート値05</t>
  </si>
  <si>
    <t>印刷ソート値06</t>
  </si>
  <si>
    <t>印刷ソート値07</t>
  </si>
  <si>
    <t>印刷ソート値08</t>
  </si>
  <si>
    <t>印刷ソート値09</t>
  </si>
  <si>
    <t>印刷ソート値10</t>
  </si>
  <si>
    <t>印刷ソート種類01</t>
  </si>
  <si>
    <t>固定値:0</t>
    <phoneticPr fontId="4"/>
  </si>
  <si>
    <t>印刷ソート種類02</t>
  </si>
  <si>
    <t>印刷ソート種類03</t>
  </si>
  <si>
    <t>印刷ソート種類04</t>
  </si>
  <si>
    <t>印刷ソート種類05</t>
  </si>
  <si>
    <t>印刷ソート種類06</t>
  </si>
  <si>
    <t>印刷ソート種類07</t>
  </si>
  <si>
    <t>印刷ソート種類08</t>
  </si>
  <si>
    <t>印刷ソート種類09</t>
  </si>
  <si>
    <t>印刷ソート種類10</t>
  </si>
  <si>
    <t>依頼ユーザID</t>
  </si>
  <si>
    <t>ログインユーザCD</t>
    <phoneticPr fontId="4"/>
  </si>
  <si>
    <t>依頼ユーザ氏名</t>
  </si>
  <si>
    <t>ログインユーザ名</t>
    <rPh sb="7" eb="8">
      <t>メイ</t>
    </rPh>
    <phoneticPr fontId="4"/>
  </si>
  <si>
    <t>依頼所属コード</t>
  </si>
  <si>
    <t>担当者の主務部門</t>
    <phoneticPr fontId="4"/>
  </si>
  <si>
    <t>依頼所属名</t>
  </si>
  <si>
    <t>担当者の主務部門名</t>
    <rPh sb="8" eb="9">
      <t>ナ</t>
    </rPh>
    <phoneticPr fontId="4"/>
  </si>
  <si>
    <t>依頼日時</t>
  </si>
  <si>
    <t>指定プリンタ名</t>
  </si>
  <si>
    <t>FAX送信フラグ</t>
  </si>
  <si>
    <t>作成状況</t>
  </si>
  <si>
    <t>固定値:1</t>
    <phoneticPr fontId="4"/>
  </si>
  <si>
    <t>印刷状況</t>
  </si>
  <si>
    <t>帳票ファイルパス（EXCEL）</t>
  </si>
  <si>
    <t>帳票ファイル名（EXCEL）</t>
  </si>
  <si>
    <t>帳票ファイル生成日時（EXCEL）</t>
  </si>
  <si>
    <t>ダウンロードファイルURL</t>
  </si>
  <si>
    <t>ダウンロードファイルサイズ</t>
  </si>
  <si>
    <t>印刷日時</t>
  </si>
  <si>
    <t>備考</t>
  </si>
  <si>
    <t>削除フラグ</t>
  </si>
  <si>
    <t>緊急印刷フラグ</t>
  </si>
  <si>
    <t>サービス呼出編集仕様</t>
    <phoneticPr fontId="4"/>
  </si>
  <si>
    <t>帳票印刷</t>
    <phoneticPr fontId="4"/>
  </si>
  <si>
    <t xml:space="preserve">■見積照会書(兼)見積書発行の場合
注文書リビジョン
■納品書発行の場合
注文書リビジョン
■購入要求書（再発行用）発行の場合
NULL
</t>
    <phoneticPr fontId="4"/>
  </si>
  <si>
    <t>3.帳票印刷依頼の取消。</t>
    <rPh sb="2" eb="4">
      <t>チョウヒョウ</t>
    </rPh>
    <rPh sb="4" eb="6">
      <t>インサツ</t>
    </rPh>
    <rPh sb="6" eb="8">
      <t>イライ</t>
    </rPh>
    <rPh sb="9" eb="11">
      <t>トリケシ</t>
    </rPh>
    <phoneticPr fontId="4"/>
  </si>
  <si>
    <t>※注文状況が4の場合、見積有効期限をNULL固定とする。</t>
    <rPh sb="11" eb="13">
      <t>ミツモリ</t>
    </rPh>
    <rPh sb="13" eb="15">
      <t>ユウコウ</t>
    </rPh>
    <rPh sb="15" eb="17">
      <t>キゲン</t>
    </rPh>
    <rPh sb="22" eb="24">
      <t>コテイ</t>
    </rPh>
    <phoneticPr fontId="3"/>
  </si>
  <si>
    <t>※単価インプット時、見積有効期限をNULL固定とする。</t>
    <rPh sb="1" eb="3">
      <t>タンカ</t>
    </rPh>
    <rPh sb="8" eb="9">
      <t>ジ</t>
    </rPh>
    <rPh sb="10" eb="12">
      <t>ミツモリ</t>
    </rPh>
    <rPh sb="12" eb="14">
      <t>ユウコウ</t>
    </rPh>
    <rPh sb="14" eb="16">
      <t>キゲン</t>
    </rPh>
    <rPh sb="21" eb="23">
      <t>コテイ</t>
    </rPh>
    <phoneticPr fontId="3"/>
  </si>
  <si>
    <t>見</t>
    <rPh sb="0" eb="1">
      <t>ミ</t>
    </rPh>
    <phoneticPr fontId="3"/>
  </si>
  <si>
    <t>見積有効期限</t>
    <rPh sb="0" eb="6">
      <t>ミツモリユウコウキゲン</t>
    </rPh>
    <phoneticPr fontId="3"/>
  </si>
  <si>
    <t>発注先ＣＤを変更すると、見積有効期限を提案する。</t>
    <rPh sb="12" eb="14">
      <t>ミツモリ</t>
    </rPh>
    <rPh sb="14" eb="16">
      <t>ユウコウ</t>
    </rPh>
    <rPh sb="16" eb="18">
      <t>キゲン</t>
    </rPh>
    <rPh sb="19" eb="21">
      <t>テイアン</t>
    </rPh>
    <phoneticPr fontId="3"/>
  </si>
  <si>
    <t>単価区分を変更すると、見積有効期限を提案する。</t>
    <rPh sb="5" eb="7">
      <t>ヘンコウ</t>
    </rPh>
    <rPh sb="11" eb="13">
      <t>ミツモリ</t>
    </rPh>
    <rPh sb="13" eb="15">
      <t>ユウコウ</t>
    </rPh>
    <rPh sb="15" eb="17">
      <t>キゲン</t>
    </rPh>
    <rPh sb="18" eb="20">
      <t>テイアン</t>
    </rPh>
    <phoneticPr fontId="3"/>
  </si>
  <si>
    <t>発注先ＣＤを変更すると、見積有効期限（※1）を提案する。</t>
    <rPh sb="12" eb="14">
      <t>ミツモリ</t>
    </rPh>
    <rPh sb="14" eb="16">
      <t>ユウコウ</t>
    </rPh>
    <rPh sb="16" eb="18">
      <t>キゲン</t>
    </rPh>
    <rPh sb="23" eb="25">
      <t>テイアン</t>
    </rPh>
    <phoneticPr fontId="3"/>
  </si>
  <si>
    <t>単価区分を変更すると、見積有効期限（※1）を提案する。</t>
    <rPh sb="5" eb="7">
      <t>ヘンコウ</t>
    </rPh>
    <rPh sb="11" eb="13">
      <t>ミツモリ</t>
    </rPh>
    <rPh sb="13" eb="15">
      <t>ユウコウ</t>
    </rPh>
    <rPh sb="15" eb="17">
      <t>キゲン</t>
    </rPh>
    <rPh sb="22" eb="24">
      <t>テイアン</t>
    </rPh>
    <phoneticPr fontId="3"/>
  </si>
  <si>
    <t>※1 下請法対象の取引先かつ、単区：3（見積依頼）の場合のみ、見積有効期限を提案する</t>
    <rPh sb="3" eb="6">
      <t>シタウケホウ</t>
    </rPh>
    <rPh sb="6" eb="8">
      <t>タイショウ</t>
    </rPh>
    <rPh sb="9" eb="11">
      <t>トリヒキ</t>
    </rPh>
    <rPh sb="11" eb="12">
      <t>サキ</t>
    </rPh>
    <rPh sb="15" eb="16">
      <t>タン</t>
    </rPh>
    <rPh sb="16" eb="17">
      <t>ク</t>
    </rPh>
    <rPh sb="20" eb="22">
      <t>ミツモリ</t>
    </rPh>
    <rPh sb="22" eb="24">
      <t>イライ</t>
    </rPh>
    <rPh sb="26" eb="28">
      <t>バアイ</t>
    </rPh>
    <rPh sb="31" eb="33">
      <t>ミツモリ</t>
    </rPh>
    <rPh sb="33" eb="35">
      <t>ユウコウ</t>
    </rPh>
    <rPh sb="35" eb="37">
      <t>キゲン</t>
    </rPh>
    <rPh sb="38" eb="40">
      <t>テイアン</t>
    </rPh>
    <phoneticPr fontId="3"/>
  </si>
  <si>
    <t xml:space="preserve"> 提案ロジックは運用日付+1年‐1日</t>
    <phoneticPr fontId="4"/>
  </si>
  <si>
    <t>※見積有効期限を提案する。</t>
    <rPh sb="1" eb="7">
      <t>ミツモリユウコウキゲン</t>
    </rPh>
    <rPh sb="8" eb="10">
      <t>テイアン</t>
    </rPh>
    <phoneticPr fontId="3"/>
  </si>
  <si>
    <t>・依頼元納入希望日（指示納期）＜運用日付（手配日）の場合、エラーとする。</t>
    <rPh sb="1" eb="4">
      <t>イライモト</t>
    </rPh>
    <rPh sb="4" eb="6">
      <t>ノウニュウ</t>
    </rPh>
    <rPh sb="6" eb="9">
      <t>キボウビ</t>
    </rPh>
    <rPh sb="10" eb="12">
      <t>シジ</t>
    </rPh>
    <rPh sb="12" eb="14">
      <t>ノウキ</t>
    </rPh>
    <rPh sb="16" eb="20">
      <t>ウンヨウヒヅケ</t>
    </rPh>
    <rPh sb="26" eb="28">
      <t>バアイ</t>
    </rPh>
    <phoneticPr fontId="3"/>
  </si>
  <si>
    <t>下記標準チェックを外す（指示納期が過去日の発注データを確定できるようにする）</t>
    <rPh sb="0" eb="2">
      <t>カキ</t>
    </rPh>
    <rPh sb="2" eb="4">
      <t>ヒョウジュン</t>
    </rPh>
    <rPh sb="9" eb="10">
      <t>ハズ</t>
    </rPh>
    <rPh sb="12" eb="14">
      <t>シジ</t>
    </rPh>
    <rPh sb="14" eb="16">
      <t>ノウキ</t>
    </rPh>
    <rPh sb="21" eb="23">
      <t>ハッチュウ</t>
    </rPh>
    <rPh sb="27" eb="29">
      <t>カクテイ</t>
    </rPh>
    <phoneticPr fontId="3"/>
  </si>
  <si>
    <t>⑪</t>
    <phoneticPr fontId="3"/>
  </si>
  <si>
    <t>　・見積有効期限がNULLの場合、確認ダイアログを表示する。</t>
    <rPh sb="17" eb="19">
      <t>カクニン</t>
    </rPh>
    <rPh sb="25" eb="27">
      <t>ヒョウジ</t>
    </rPh>
    <phoneticPr fontId="3"/>
  </si>
  <si>
    <t>上記以外の税区</t>
    <rPh sb="0" eb="2">
      <t>ジョウキ</t>
    </rPh>
    <rPh sb="2" eb="4">
      <t>イガイ</t>
    </rPh>
    <rPh sb="5" eb="6">
      <t>ゼイ</t>
    </rPh>
    <rPh sb="6" eb="7">
      <t>ク</t>
    </rPh>
    <phoneticPr fontId="3"/>
  </si>
  <si>
    <t>3：消費税別（３）</t>
    <phoneticPr fontId="4"/>
  </si>
  <si>
    <t>5：消費税別（５）</t>
    <phoneticPr fontId="4"/>
  </si>
  <si>
    <t>A：消費税込（旧）</t>
    <rPh sb="7" eb="8">
      <t>キュウ</t>
    </rPh>
    <phoneticPr fontId="3"/>
  </si>
  <si>
    <t>汎用マスタ設定（※2）</t>
    <rPh sb="0" eb="2">
      <t>ハンヨウ</t>
    </rPh>
    <rPh sb="5" eb="7">
      <t>セッテイ</t>
    </rPh>
    <phoneticPr fontId="3"/>
  </si>
  <si>
    <t>汎用マスタ設定（※2）</t>
    <phoneticPr fontId="3"/>
  </si>
  <si>
    <t>※画面指定不可（移行データ対応）</t>
    <rPh sb="1" eb="3">
      <t>ガメン</t>
    </rPh>
    <rPh sb="3" eb="5">
      <t>シテイ</t>
    </rPh>
    <rPh sb="5" eb="7">
      <t>フカ</t>
    </rPh>
    <rPh sb="8" eb="10">
      <t>イコウ</t>
    </rPh>
    <rPh sb="13" eb="15">
      <t>タイオウ</t>
    </rPh>
    <phoneticPr fontId="4"/>
  </si>
  <si>
    <t>※画面指定不可（移行データ対応）</t>
    <rPh sb="1" eb="3">
      <t>ガメン</t>
    </rPh>
    <rPh sb="3" eb="5">
      <t>シテイ</t>
    </rPh>
    <rPh sb="5" eb="7">
      <t>フカ</t>
    </rPh>
    <phoneticPr fontId="4"/>
  </si>
  <si>
    <t>　・見積有効期限＞発注明細の見積提出期限 + 1年 - 1日の場合、エラーとする。</t>
    <rPh sb="2" eb="4">
      <t>ミツモリ</t>
    </rPh>
    <rPh sb="4" eb="6">
      <t>ユウコウ</t>
    </rPh>
    <rPh sb="6" eb="8">
      <t>キゲン</t>
    </rPh>
    <rPh sb="9" eb="11">
      <t>ハッチュウ</t>
    </rPh>
    <rPh sb="11" eb="13">
      <t>メイサイ</t>
    </rPh>
    <rPh sb="14" eb="16">
      <t>ミツモリ</t>
    </rPh>
    <rPh sb="16" eb="18">
      <t>テイシュツ</t>
    </rPh>
    <rPh sb="18" eb="20">
      <t>キゲン</t>
    </rPh>
    <rPh sb="24" eb="25">
      <t>ネン</t>
    </rPh>
    <rPh sb="29" eb="30">
      <t>ニチ</t>
    </rPh>
    <rPh sb="31" eb="33">
      <t>バアイ</t>
    </rPh>
    <phoneticPr fontId="3"/>
  </si>
  <si>
    <t>※重複データの設定仕様は補足 (3)を参照</t>
    <rPh sb="1" eb="3">
      <t>ジュウフク</t>
    </rPh>
    <rPh sb="7" eb="9">
      <t>セッテイ</t>
    </rPh>
    <rPh sb="9" eb="11">
      <t>シヨウ</t>
    </rPh>
    <rPh sb="19" eb="21">
      <t>サンショウ</t>
    </rPh>
    <phoneticPr fontId="4"/>
  </si>
  <si>
    <t>・ＥＤＩ対象ＦＬＧ＝オン</t>
    <phoneticPr fontId="4"/>
  </si>
  <si>
    <t>・ＥＤＩ納品書発行ＦＬＧ＝オフ</t>
    <phoneticPr fontId="4"/>
  </si>
  <si>
    <t>[AND 発注明細．部品種 LIKE 検索.品目属性１]</t>
    <rPh sb="10" eb="13">
      <t>ブヒンシュ</t>
    </rPh>
    <rPh sb="22" eb="26">
      <t>ヒンモクゾクセイ</t>
    </rPh>
    <phoneticPr fontId="4"/>
  </si>
  <si>
    <t>[AND 発注明細．品目グループコード LIKE 検索.品目属性２]</t>
    <rPh sb="10" eb="12">
      <t>ヒンモク</t>
    </rPh>
    <rPh sb="28" eb="30">
      <t>ヒンモク</t>
    </rPh>
    <rPh sb="30" eb="32">
      <t>ゾクセイ</t>
    </rPh>
    <phoneticPr fontId="4"/>
  </si>
  <si>
    <t>[AND 発注明細．DS区分 LIKE 検索.品目属性３]</t>
    <phoneticPr fontId="4"/>
  </si>
  <si>
    <t>[AND 発注明細．管理コード LIKE 検索.品目属性４]</t>
    <rPh sb="10" eb="12">
      <t>カンリ</t>
    </rPh>
    <rPh sb="24" eb="28">
      <t>ヒンモクゾクセイ</t>
    </rPh>
    <phoneticPr fontId="4"/>
  </si>
  <si>
    <t>[AND 発注明細．購入要求番号 LIKE 検索.購入要求番号]</t>
    <phoneticPr fontId="4"/>
  </si>
  <si>
    <t>[AND 発注明細．購買担当者ＣＤ LIKE 検索.購買担当者]</t>
    <phoneticPr fontId="4"/>
  </si>
  <si>
    <t>[AND 購買依頼．購買担当者ＣＤ LIKE 検索.購買担当者]</t>
    <phoneticPr fontId="4"/>
  </si>
  <si>
    <t>4.前回単価の設定</t>
    <rPh sb="2" eb="6">
      <t>ゼンカイタンカ</t>
    </rPh>
    <rPh sb="7" eb="9">
      <t>セッテイ</t>
    </rPh>
    <phoneticPr fontId="4"/>
  </si>
  <si>
    <t>5.【品目購買マスタ】の自動登録。</t>
    <rPh sb="3" eb="5">
      <t>ヒンモク</t>
    </rPh>
    <rPh sb="5" eb="7">
      <t>コウバイ</t>
    </rPh>
    <rPh sb="12" eb="14">
      <t>ジドウ</t>
    </rPh>
    <rPh sb="14" eb="16">
      <t>トウロク</t>
    </rPh>
    <phoneticPr fontId="3"/>
  </si>
  <si>
    <t>6.発注情報のまとめ処理の削除</t>
    <rPh sb="2" eb="4">
      <t>ハッチュウ</t>
    </rPh>
    <rPh sb="4" eb="6">
      <t>ジョウホウ</t>
    </rPh>
    <rPh sb="10" eb="12">
      <t>ショリ</t>
    </rPh>
    <rPh sb="13" eb="15">
      <t>サクジョ</t>
    </rPh>
    <phoneticPr fontId="4"/>
  </si>
  <si>
    <t>7.発注情報登録</t>
    <rPh sb="2" eb="4">
      <t>ハッチュウ</t>
    </rPh>
    <rPh sb="4" eb="6">
      <t>ジョウホウ</t>
    </rPh>
    <rPh sb="6" eb="8">
      <t>トウロク</t>
    </rPh>
    <phoneticPr fontId="4"/>
  </si>
  <si>
    <t>8.発注情報のステータス更新</t>
    <rPh sb="2" eb="4">
      <t>ハッチュウ</t>
    </rPh>
    <rPh sb="4" eb="6">
      <t>ジョウホウ</t>
    </rPh>
    <rPh sb="12" eb="14">
      <t>コウシン</t>
    </rPh>
    <phoneticPr fontId="4"/>
  </si>
  <si>
    <t>9.緊急フラグがオンの明細に対して、「SILZ161_手配データ送信」バッチを起動する。</t>
    <rPh sb="2" eb="4">
      <t>キンキュウ</t>
    </rPh>
    <rPh sb="11" eb="13">
      <t>メイサイ</t>
    </rPh>
    <rPh sb="14" eb="15">
      <t>タイ</t>
    </rPh>
    <phoneticPr fontId="4"/>
  </si>
  <si>
    <t>10.帳票発行</t>
    <phoneticPr fontId="4"/>
  </si>
  <si>
    <t>10.1見積照会書（兼）見積書の発行　</t>
    <phoneticPr fontId="4"/>
  </si>
  <si>
    <t>10.2 納品書の発行</t>
    <phoneticPr fontId="4"/>
  </si>
  <si>
    <t>設定ロジック:</t>
    <phoneticPr fontId="3"/>
  </si>
  <si>
    <t>諸口品</t>
    <rPh sb="0" eb="2">
      <t>ショクチ</t>
    </rPh>
    <rPh sb="2" eb="3">
      <t>ヒン</t>
    </rPh>
    <phoneticPr fontId="3"/>
  </si>
  <si>
    <t>諸口品以外</t>
    <rPh sb="0" eb="1">
      <t>ショ</t>
    </rPh>
    <rPh sb="1" eb="2">
      <t>グチ</t>
    </rPh>
    <rPh sb="2" eb="3">
      <t>ヒン</t>
    </rPh>
    <rPh sb="3" eb="5">
      <t>イガイ</t>
    </rPh>
    <phoneticPr fontId="3"/>
  </si>
  <si>
    <t>品目購買単価マスタにて品目CD、単位でレコードを抽出し、</t>
    <rPh sb="0" eb="2">
      <t>ヒンモク</t>
    </rPh>
    <rPh sb="2" eb="4">
      <t>コウバイ</t>
    </rPh>
    <rPh sb="4" eb="6">
      <t>タンカ</t>
    </rPh>
    <rPh sb="11" eb="13">
      <t>ヒンモク</t>
    </rPh>
    <rPh sb="16" eb="18">
      <t>タンイ</t>
    </rPh>
    <rPh sb="24" eb="26">
      <t>チュウシュツ</t>
    </rPh>
    <phoneticPr fontId="3"/>
  </si>
  <si>
    <t>登録日時（アドオン項目）が最新の単価を設定する。</t>
    <rPh sb="0" eb="2">
      <t>トウロク</t>
    </rPh>
    <rPh sb="2" eb="4">
      <t>ニチジ</t>
    </rPh>
    <rPh sb="9" eb="11">
      <t>コウモク</t>
    </rPh>
    <rPh sb="13" eb="15">
      <t>サイシン</t>
    </rPh>
    <rPh sb="16" eb="18">
      <t>タンカ</t>
    </rPh>
    <rPh sb="19" eb="21">
      <t>セッテイ</t>
    </rPh>
    <phoneticPr fontId="3"/>
  </si>
  <si>
    <t>無効区分が設定されているものは抽出対象外</t>
    <rPh sb="0" eb="2">
      <t>ムコウ</t>
    </rPh>
    <rPh sb="2" eb="4">
      <t>クブン</t>
    </rPh>
    <rPh sb="5" eb="7">
      <t>セッテイ</t>
    </rPh>
    <rPh sb="15" eb="17">
      <t>チュウシュツ</t>
    </rPh>
    <rPh sb="17" eb="20">
      <t>タイショウガイ</t>
    </rPh>
    <phoneticPr fontId="3"/>
  </si>
  <si>
    <t>適応開始/終了日は考慮しない（期限切れであっても抽出対象とする）</t>
    <rPh sb="0" eb="2">
      <t>テキオウ</t>
    </rPh>
    <rPh sb="2" eb="4">
      <t>カイシ</t>
    </rPh>
    <rPh sb="5" eb="8">
      <t>シュウリョウビ</t>
    </rPh>
    <rPh sb="9" eb="11">
      <t>コウリョ</t>
    </rPh>
    <rPh sb="15" eb="17">
      <t>キゲン</t>
    </rPh>
    <rPh sb="17" eb="18">
      <t>ギ</t>
    </rPh>
    <rPh sb="24" eb="26">
      <t>チュウシュツ</t>
    </rPh>
    <rPh sb="26" eb="28">
      <t>タイショウ</t>
    </rPh>
    <phoneticPr fontId="3"/>
  </si>
  <si>
    <t>価格区分も無視</t>
    <rPh sb="0" eb="2">
      <t>カカク</t>
    </rPh>
    <rPh sb="2" eb="4">
      <t>クブン</t>
    </rPh>
    <rPh sb="5" eb="7">
      <t>ムシ</t>
    </rPh>
    <phoneticPr fontId="3"/>
  </si>
  <si>
    <t>3.未注文入荷関連項目の更新</t>
    <rPh sb="2" eb="7">
      <t>ミチュウモンニュウカ</t>
    </rPh>
    <rPh sb="7" eb="9">
      <t>カンレン</t>
    </rPh>
    <rPh sb="9" eb="11">
      <t>コウモク</t>
    </rPh>
    <rPh sb="12" eb="14">
      <t>コウシン</t>
    </rPh>
    <phoneticPr fontId="4"/>
  </si>
  <si>
    <t>4.「SILZ161_手配データ送信」バッチを起動する。</t>
    <phoneticPr fontId="4"/>
  </si>
  <si>
    <t>品目購買単価マスタ．品目ＣＤ = 上り電文．(後)品目</t>
    <rPh sb="17" eb="18">
      <t>ノボ</t>
    </rPh>
    <rPh sb="19" eb="21">
      <t>デンブン</t>
    </rPh>
    <phoneticPr fontId="3"/>
  </si>
  <si>
    <t>品目購買単価マスタ．単位ＣＤ = 上り電文．(後)単位</t>
    <rPh sb="23" eb="24">
      <t>ゴ</t>
    </rPh>
    <rPh sb="25" eb="27">
      <t>タンイ</t>
    </rPh>
    <phoneticPr fontId="3"/>
  </si>
  <si>
    <t>品目購買単価マスタ．発注先ＣＤ = NVL(上り電文．(後)発注先、発注ヘッダ．発注先ＣＤ)</t>
    <rPh sb="22" eb="23">
      <t>ノボ</t>
    </rPh>
    <rPh sb="24" eb="26">
      <t>デンブン</t>
    </rPh>
    <rPh sb="28" eb="29">
      <t>アト</t>
    </rPh>
    <rPh sb="30" eb="32">
      <t>ハッチュウ</t>
    </rPh>
    <rPh sb="32" eb="33">
      <t>サキ</t>
    </rPh>
    <rPh sb="34" eb="36">
      <t>ハッチュウ</t>
    </rPh>
    <rPh sb="40" eb="42">
      <t>ハッチュウ</t>
    </rPh>
    <rPh sb="42" eb="43">
      <t>サキ</t>
    </rPh>
    <phoneticPr fontId="3"/>
  </si>
  <si>
    <t>品目購買単価マスタ．単価区分 = NVL(上り電文．(後)単区、発注明細．単価区分)</t>
    <rPh sb="21" eb="22">
      <t>ノボ</t>
    </rPh>
    <rPh sb="23" eb="25">
      <t>デンブン</t>
    </rPh>
    <rPh sb="27" eb="28">
      <t>アト</t>
    </rPh>
    <rPh sb="32" eb="34">
      <t>ハッチュウ</t>
    </rPh>
    <rPh sb="34" eb="36">
      <t>メイサイ</t>
    </rPh>
    <rPh sb="37" eb="39">
      <t>タンカ</t>
    </rPh>
    <rPh sb="39" eb="41">
      <t>クブン</t>
    </rPh>
    <phoneticPr fontId="3"/>
  </si>
  <si>
    <t>品目購買単価マスタ．価格区分 = NVL(上り電文．(後)価区、発注明細．価格区分)</t>
    <rPh sb="21" eb="22">
      <t>ノボ</t>
    </rPh>
    <rPh sb="23" eb="25">
      <t>デンブン</t>
    </rPh>
    <rPh sb="27" eb="28">
      <t>アト</t>
    </rPh>
    <rPh sb="32" eb="37">
      <t>ハッチュウメイサイ。</t>
    </rPh>
    <rPh sb="37" eb="41">
      <t>カカククブン</t>
    </rPh>
    <phoneticPr fontId="3"/>
  </si>
  <si>
    <t>品目購買単価マスタ．通貨ＣＤ = NVL(上り電文．(後)通貨、発注明細．取引通貨ＣＤ)</t>
    <rPh sb="21" eb="22">
      <t>ノボ</t>
    </rPh>
    <rPh sb="23" eb="25">
      <t>デンブン</t>
    </rPh>
    <rPh sb="27" eb="28">
      <t>アト</t>
    </rPh>
    <rPh sb="32" eb="34">
      <t>ハッチュウ</t>
    </rPh>
    <rPh sb="34" eb="36">
      <t>メイサイ</t>
    </rPh>
    <rPh sb="37" eb="39">
      <t>トリヒキ</t>
    </rPh>
    <rPh sb="39" eb="41">
      <t>ツウカ</t>
    </rPh>
    <phoneticPr fontId="3"/>
  </si>
  <si>
    <t>品目購買単価マスタ．消費税区分 = NVL(上り電文．(後)税区、発注明細．消費税区分)</t>
    <rPh sb="22" eb="23">
      <t>ノボ</t>
    </rPh>
    <rPh sb="24" eb="26">
      <t>デンブン</t>
    </rPh>
    <rPh sb="28" eb="29">
      <t>アト</t>
    </rPh>
    <rPh sb="33" eb="35">
      <t>ハッチュウ</t>
    </rPh>
    <rPh sb="35" eb="37">
      <t>メイサイ</t>
    </rPh>
    <rPh sb="38" eb="41">
      <t>ショウヒゼイ</t>
    </rPh>
    <rPh sb="41" eb="43">
      <t>クブン</t>
    </rPh>
    <phoneticPr fontId="3"/>
  </si>
  <si>
    <t>品目購買単価マスタ．支払条件ＣＤ = NVL(上り電文．(後)支払、発注明細．支払条件ＣＤ)</t>
    <rPh sb="23" eb="24">
      <t>ノボ</t>
    </rPh>
    <rPh sb="25" eb="27">
      <t>デンブン</t>
    </rPh>
    <rPh sb="29" eb="30">
      <t>ゴ</t>
    </rPh>
    <rPh sb="34" eb="39">
      <t>ハッチュウメイサイ。</t>
    </rPh>
    <rPh sb="39" eb="41">
      <t>シハライ</t>
    </rPh>
    <rPh sb="41" eb="43">
      <t>ジョウケン</t>
    </rPh>
    <phoneticPr fontId="3"/>
  </si>
  <si>
    <t>品目購買単価マスタ．単価 = 上り電文．(後)単価</t>
    <rPh sb="10" eb="12">
      <t>タンカ</t>
    </rPh>
    <rPh sb="23" eb="25">
      <t>タンカ</t>
    </rPh>
    <phoneticPr fontId="3"/>
  </si>
  <si>
    <t>品目購買単価マスタ．見積照会番号 = 上り電文．(後)参照見積照会番号</t>
    <rPh sb="19" eb="20">
      <t>ノボ</t>
    </rPh>
    <rPh sb="21" eb="23">
      <t>デンブン</t>
    </rPh>
    <rPh sb="25" eb="26">
      <t>ゴ</t>
    </rPh>
    <rPh sb="27" eb="35">
      <t>サンショウミツモリショウカイバンゴウ</t>
    </rPh>
    <phoneticPr fontId="3"/>
  </si>
  <si>
    <t>品目購買単価マスタ.適用終了日）</t>
    <phoneticPr fontId="3"/>
  </si>
  <si>
    <t>5.発注情報のステータス更新</t>
    <rPh sb="2" eb="4">
      <t>ハッチュウ</t>
    </rPh>
    <rPh sb="4" eb="6">
      <t>ジョウホウ</t>
    </rPh>
    <rPh sb="12" eb="14">
      <t>コウシン</t>
    </rPh>
    <phoneticPr fontId="4"/>
  </si>
  <si>
    <t>6.緊急フラグがオンの明細に対して、「SILZ161_手配データ送信」バッチを起動する。</t>
    <rPh sb="2" eb="4">
      <t>キンキュウ</t>
    </rPh>
    <rPh sb="11" eb="13">
      <t>メイサイ</t>
    </rPh>
    <rPh sb="14" eb="15">
      <t>タイ</t>
    </rPh>
    <phoneticPr fontId="4"/>
  </si>
  <si>
    <t>7.帳票発行</t>
    <phoneticPr fontId="3"/>
  </si>
  <si>
    <t>3.未注文入荷関連項目更新</t>
    <rPh sb="2" eb="7">
      <t>ミチュウモンニュウカ</t>
    </rPh>
    <rPh sb="7" eb="9">
      <t>カンレン</t>
    </rPh>
    <rPh sb="9" eb="11">
      <t>コウモク</t>
    </rPh>
    <rPh sb="11" eb="13">
      <t>コウシン</t>
    </rPh>
    <phoneticPr fontId="3"/>
  </si>
  <si>
    <t>4.前回単価の設定。</t>
    <phoneticPr fontId="3"/>
  </si>
  <si>
    <t>※品目購買単価マスタより、見積有効期限を再取得する。</t>
    <rPh sb="13" eb="15">
      <t>ミツモリ</t>
    </rPh>
    <rPh sb="15" eb="17">
      <t>ユウコウ</t>
    </rPh>
    <rPh sb="17" eb="19">
      <t>キゲン</t>
    </rPh>
    <rPh sb="20" eb="23">
      <t>サイシュトク</t>
    </rPh>
    <phoneticPr fontId="3"/>
  </si>
  <si>
    <t>　、見積有効期限を再取得する</t>
    <phoneticPr fontId="3"/>
  </si>
  <si>
    <t>見積有効期限＝品目購買単価マスタ.適用終了日</t>
  </si>
  <si>
    <t>・発注ヘッダ.下請対象ＦＬＧ =オフ</t>
  </si>
  <si>
    <t>・発注ヘッダ.下請対象ＦＬＧ =オン</t>
  </si>
  <si>
    <t>見積有効期限＝MIN（品目購買単価マスタ.適用開始日＋１年ー１日、</t>
    <rPh sb="28" eb="29">
      <t>ネン</t>
    </rPh>
    <rPh sb="31" eb="32">
      <t>ビ</t>
    </rPh>
    <phoneticPr fontId="3"/>
  </si>
  <si>
    <t>未注文入荷の場合、入荷明細、仕入明細、入荷予定の発注明細連番を最新化する。</t>
    <rPh sb="0" eb="5">
      <t>ミチュウモンニュウカ</t>
    </rPh>
    <rPh sb="6" eb="8">
      <t>バアイ</t>
    </rPh>
    <rPh sb="9" eb="13">
      <t>ニュウカメイサイ</t>
    </rPh>
    <rPh sb="14" eb="16">
      <t>シイレ</t>
    </rPh>
    <rPh sb="16" eb="18">
      <t>メイサイ</t>
    </rPh>
    <rPh sb="19" eb="21">
      <t>ニュウカ</t>
    </rPh>
    <rPh sb="21" eb="23">
      <t>ヨテイ</t>
    </rPh>
    <rPh sb="24" eb="30">
      <t>ハッチュウメイサイレンバン</t>
    </rPh>
    <rPh sb="31" eb="33">
      <t>サイシン</t>
    </rPh>
    <rPh sb="33" eb="34">
      <t>カ</t>
    </rPh>
    <phoneticPr fontId="4"/>
  </si>
  <si>
    <t>※未注文入荷の判定条件：注文書番号に対する入荷明細（DEL_FLG=0）が存在すること</t>
    <rPh sb="12" eb="17">
      <t>チュウモンショバンゴウ</t>
    </rPh>
    <rPh sb="18" eb="19">
      <t>タイ</t>
    </rPh>
    <rPh sb="21" eb="25">
      <t>ニュウカメイサイ</t>
    </rPh>
    <rPh sb="37" eb="39">
      <t>ソンザイ</t>
    </rPh>
    <phoneticPr fontId="4"/>
  </si>
  <si>
    <t>　条件：価格区分 ＝ 3:継続単価 AND 見積有効期限 IS NULL AND 参照見積照会番号が変わった場合</t>
    <rPh sb="1" eb="3">
      <t>ジョウケン</t>
    </rPh>
    <phoneticPr fontId="4"/>
  </si>
  <si>
    <t>9.管理・勘定・資材コードの組み合わせは管勘資マスタ(PG00M508)に存在しない場合、エラーとする。</t>
    <rPh sb="14" eb="15">
      <t>ク</t>
    </rPh>
    <rPh sb="16" eb="17">
      <t>ア</t>
    </rPh>
    <phoneticPr fontId="4"/>
  </si>
  <si>
    <t>メッセージ№59</t>
    <phoneticPr fontId="4"/>
  </si>
  <si>
    <t>管理コードが「1L」の場合はエラーとする。</t>
    <phoneticPr fontId="4"/>
  </si>
  <si>
    <t>メッセージ№60</t>
    <phoneticPr fontId="4"/>
  </si>
  <si>
    <t>メッセージ№61</t>
    <phoneticPr fontId="4"/>
  </si>
  <si>
    <t>10.経費発注ＦＬＧ＝オフの場合、</t>
    <rPh sb="3" eb="5">
      <t>ケイヒ</t>
    </rPh>
    <rPh sb="5" eb="7">
      <t>ハッチュウ</t>
    </rPh>
    <rPh sb="14" eb="16">
      <t>バアイ</t>
    </rPh>
    <phoneticPr fontId="4"/>
  </si>
  <si>
    <t>11.経費発注ＦＬＧ＝オフの場合、</t>
    <rPh sb="3" eb="5">
      <t>ケイヒ</t>
    </rPh>
    <rPh sb="5" eb="7">
      <t>ハッチュウ</t>
    </rPh>
    <rPh sb="14" eb="16">
      <t>バアイ</t>
    </rPh>
    <phoneticPr fontId="4"/>
  </si>
  <si>
    <t>12.経費発注ＦＬＧ＝オンの場合、</t>
    <rPh sb="3" eb="5">
      <t>ケイヒ</t>
    </rPh>
    <rPh sb="5" eb="7">
      <t>ハッチュウ</t>
    </rPh>
    <rPh sb="14" eb="16">
      <t>バアイ</t>
    </rPh>
    <phoneticPr fontId="4"/>
  </si>
  <si>
    <t>「勘定コード」が 6、7、8の場合はエラーとする。</t>
    <phoneticPr fontId="4"/>
  </si>
  <si>
    <t>メッセージ№63</t>
    <phoneticPr fontId="4"/>
  </si>
  <si>
    <t>・管理コード&lt;&gt;NULL、「1L」の場合はエラーとする。</t>
    <phoneticPr fontId="4"/>
  </si>
  <si>
    <t>・勘定コード＝2の場合はエラーとする。</t>
    <rPh sb="1" eb="3">
      <t>カンジョウ</t>
    </rPh>
    <phoneticPr fontId="4"/>
  </si>
  <si>
    <t>メッセージ№62</t>
    <phoneticPr fontId="4"/>
  </si>
  <si>
    <t>・勘定コード＝1,5 AND 管理コード &lt;&gt; 「1L」の場合はエラーとする。</t>
    <rPh sb="1" eb="3">
      <t>カンジョウ</t>
    </rPh>
    <rPh sb="15" eb="17">
      <t>カンリ</t>
    </rPh>
    <phoneticPr fontId="4"/>
  </si>
  <si>
    <t>メッセージ№64</t>
    <phoneticPr fontId="4"/>
  </si>
  <si>
    <t>・管理コード=「1L」 AND 勘定コードが1,5以外の場合、当該チェックをスキップする。</t>
    <rPh sb="31" eb="33">
      <t>トウガイ</t>
    </rPh>
    <phoneticPr fontId="4"/>
  </si>
  <si>
    <t>・手配ＮＯ１=NULL AND 勘定コード NOT NULLの場合、エラーとする。</t>
    <rPh sb="1" eb="3">
      <t>テハイ</t>
    </rPh>
    <rPh sb="16" eb="18">
      <t>カンジョウ</t>
    </rPh>
    <phoneticPr fontId="4"/>
  </si>
  <si>
    <t>・管理コード=NULL AND 勘定コードが6,7,8以外の場合、エラーとする。</t>
    <phoneticPr fontId="4"/>
  </si>
  <si>
    <t>メッセージ№65</t>
    <phoneticPr fontId="4"/>
  </si>
  <si>
    <t>・手配ＮＯ１の１桁目=W AND 勘定コードが1,7,8の場合、エラーとする。</t>
    <rPh sb="1" eb="3">
      <t>テハイ</t>
    </rPh>
    <rPh sb="8" eb="9">
      <t>ケタ</t>
    </rPh>
    <rPh sb="9" eb="10">
      <t>メ</t>
    </rPh>
    <rPh sb="17" eb="19">
      <t>カンジョウ</t>
    </rPh>
    <phoneticPr fontId="4"/>
  </si>
  <si>
    <t>メッセージ№66</t>
    <phoneticPr fontId="4"/>
  </si>
  <si>
    <t>・手配ＮＯ１の１桁目&lt;&gt;W AND 勘定コードが5,6の場合、エラーとする。</t>
    <rPh sb="1" eb="3">
      <t>テハイ</t>
    </rPh>
    <rPh sb="8" eb="9">
      <t>ケタ</t>
    </rPh>
    <rPh sb="9" eb="10">
      <t>メ</t>
    </rPh>
    <rPh sb="18" eb="20">
      <t>カンジョウ</t>
    </rPh>
    <phoneticPr fontId="4"/>
  </si>
  <si>
    <t>メッセージ№67</t>
    <phoneticPr fontId="4"/>
  </si>
  <si>
    <t>⑤ 単価が０の場合、エラーとする。</t>
    <rPh sb="2" eb="4">
      <t>タンカ</t>
    </rPh>
    <rPh sb="7" eb="9">
      <t>バアイ</t>
    </rPh>
    <phoneticPr fontId="4"/>
  </si>
  <si>
    <t>メッセージ№68</t>
    <phoneticPr fontId="3"/>
  </si>
  <si>
    <t>単価が０の場合、エラーとする。</t>
    <rPh sb="0" eb="2">
      <t>タンカ</t>
    </rPh>
    <rPh sb="5" eb="7">
      <t>バアイ</t>
    </rPh>
    <phoneticPr fontId="4"/>
  </si>
  <si>
    <t>④ 単価が０の場合、エラーとする。</t>
    <rPh sb="2" eb="4">
      <t>タンカ</t>
    </rPh>
    <rPh sb="7" eb="9">
      <t>バアイ</t>
    </rPh>
    <phoneticPr fontId="4"/>
  </si>
  <si>
    <t>⑧ 単価が０の場合、エラーとする。</t>
    <rPh sb="2" eb="4">
      <t>タンカ</t>
    </rPh>
    <rPh sb="7" eb="9">
      <t>バアイ</t>
    </rPh>
    <phoneticPr fontId="3"/>
  </si>
  <si>
    <t>④ 単価が０の場合、エラーとする。</t>
    <rPh sb="2" eb="4">
      <t>タンカ</t>
    </rPh>
    <rPh sb="7" eb="9">
      <t>バアイ</t>
    </rPh>
    <phoneticPr fontId="3"/>
  </si>
  <si>
    <t>⑥ 発注先が無効発注先の場合、エラーとする。</t>
    <rPh sb="2" eb="5">
      <t>ハッチュウサキ</t>
    </rPh>
    <rPh sb="6" eb="8">
      <t>ムコウ</t>
    </rPh>
    <rPh sb="8" eb="11">
      <t>ハッチュウサキ</t>
    </rPh>
    <rPh sb="12" eb="14">
      <t>バアイ</t>
    </rPh>
    <phoneticPr fontId="4"/>
  </si>
  <si>
    <t>メッセージ№69</t>
    <phoneticPr fontId="3"/>
  </si>
  <si>
    <t>⑨</t>
    <phoneticPr fontId="3"/>
  </si>
  <si>
    <t>発注先が無効発注先の場合、エラーとする。</t>
    <rPh sb="0" eb="3">
      <t>ハッチュウサキ</t>
    </rPh>
    <rPh sb="4" eb="9">
      <t>ムコウハッチュウサキ</t>
    </rPh>
    <rPh sb="10" eb="12">
      <t>バアイ</t>
    </rPh>
    <phoneticPr fontId="3"/>
  </si>
  <si>
    <t>発注先が無効発注先の場合、エラーとする。</t>
    <rPh sb="0" eb="3">
      <t>ハッチュウサキ</t>
    </rPh>
    <rPh sb="4" eb="9">
      <t>ムコウハッチュウサキ</t>
    </rPh>
    <rPh sb="10" eb="12">
      <t>バアイ</t>
    </rPh>
    <phoneticPr fontId="4"/>
  </si>
  <si>
    <t>⑤ 発注先が無効取引先の場合、エラーとする。</t>
    <rPh sb="2" eb="5">
      <t>ハッチュウサキ</t>
    </rPh>
    <rPh sb="6" eb="8">
      <t>ムコウ</t>
    </rPh>
    <rPh sb="8" eb="10">
      <t>トリヒキ</t>
    </rPh>
    <rPh sb="10" eb="11">
      <t>サキ</t>
    </rPh>
    <rPh sb="12" eb="14">
      <t>バアイ</t>
    </rPh>
    <phoneticPr fontId="3"/>
  </si>
  <si>
    <t>発注先が無効取引先の場合、エラーとする。</t>
    <rPh sb="0" eb="3">
      <t>ハッチュウサキ</t>
    </rPh>
    <rPh sb="4" eb="6">
      <t>ムコウ</t>
    </rPh>
    <rPh sb="6" eb="8">
      <t>トリヒキ</t>
    </rPh>
    <rPh sb="8" eb="9">
      <t>サキ</t>
    </rPh>
    <rPh sb="10" eb="12">
      <t>バアイ</t>
    </rPh>
    <phoneticPr fontId="4"/>
  </si>
  <si>
    <t>3.0</t>
    <phoneticPr fontId="4"/>
  </si>
  <si>
    <t>■見積照会書(兼)見積書発行以外の場合
　NULLをセットする
■見積照会書(兼)見積書発行の場合
     帳票ＩＤ、端末ＩＤをキーに、
     汎用マスタから文字項目１を取得し、
     指定プリンタ名を設定する。
     取得できない場合、NULL
     汎用マスタ条件：
       汎用区分 = 049(出力プリンタCD)
       AND 汎用キー値１ = 端末ＩＤ
       AND 汎用キー値２ = 帳票ＩＤ</t>
    <rPh sb="14" eb="16">
      <t>イガイ</t>
    </rPh>
    <phoneticPr fontId="4"/>
  </si>
  <si>
    <t>※工具単価契約提案ロジックは「補足（4）シート」を参照。</t>
    <rPh sb="1" eb="3">
      <t>コウグ</t>
    </rPh>
    <rPh sb="3" eb="5">
      <t>タンカ</t>
    </rPh>
    <rPh sb="5" eb="7">
      <t>ケイヤク</t>
    </rPh>
    <rPh sb="7" eb="9">
      <t>テイアン</t>
    </rPh>
    <rPh sb="15" eb="17">
      <t>ホソク</t>
    </rPh>
    <rPh sb="25" eb="27">
      <t>サンショウ</t>
    </rPh>
    <phoneticPr fontId="3"/>
  </si>
  <si>
    <t>※工具の場合、工具単契単価マスタの存在チェックを行う。</t>
    <rPh sb="1" eb="3">
      <t>コウグ</t>
    </rPh>
    <rPh sb="4" eb="6">
      <t>バアイ</t>
    </rPh>
    <rPh sb="7" eb="9">
      <t>コウグ</t>
    </rPh>
    <rPh sb="9" eb="11">
      <t>タンケイ</t>
    </rPh>
    <phoneticPr fontId="3"/>
  </si>
  <si>
    <t>工具単契単価マスタに存在しない場合、品目購買単価マスタの存在チェックを行う。</t>
    <rPh sb="0" eb="2">
      <t>コウグ</t>
    </rPh>
    <rPh sb="4" eb="6">
      <t>タンカ</t>
    </rPh>
    <phoneticPr fontId="4"/>
  </si>
  <si>
    <t>工具材料単契マスタ．無効区分 IS NULL</t>
    <rPh sb="10" eb="12">
      <t>ムコウ</t>
    </rPh>
    <rPh sb="12" eb="14">
      <t>クブン</t>
    </rPh>
    <phoneticPr fontId="3"/>
  </si>
  <si>
    <t>工具材料単契マスタ．単位ＣＤ = 画面．単位</t>
    <rPh sb="17" eb="19">
      <t>ガメン</t>
    </rPh>
    <rPh sb="20" eb="22">
      <t>タンイ</t>
    </rPh>
    <phoneticPr fontId="3"/>
  </si>
  <si>
    <t>工具材料単契マスタ．発注先ＣＤ = 画面．発注先</t>
    <rPh sb="18" eb="20">
      <t>ガメン</t>
    </rPh>
    <phoneticPr fontId="3"/>
  </si>
  <si>
    <t>工具材料単契マスタ．単価区分 = 画面．単価区分</t>
    <rPh sb="17" eb="19">
      <t>ガメン</t>
    </rPh>
    <phoneticPr fontId="3"/>
  </si>
  <si>
    <t>工具材料単契マスタ．価格区分 = 画面．価格区分</t>
    <rPh sb="17" eb="19">
      <t>ガメン</t>
    </rPh>
    <phoneticPr fontId="3"/>
  </si>
  <si>
    <t>工具材料単契マスタ．ロット数 &lt;= 画面．数量</t>
    <rPh sb="13" eb="14">
      <t>スウ</t>
    </rPh>
    <rPh sb="18" eb="20">
      <t>ガメン</t>
    </rPh>
    <rPh sb="21" eb="23">
      <t>スウリョウ</t>
    </rPh>
    <phoneticPr fontId="3"/>
  </si>
  <si>
    <t>工具材料単契マスタ．通貨ＣＤ = 画面．通貨</t>
    <rPh sb="17" eb="19">
      <t>ガメン</t>
    </rPh>
    <phoneticPr fontId="3"/>
  </si>
  <si>
    <t>工具材料単契マスタ．消費税区分 = 画面．消費税区分</t>
    <rPh sb="18" eb="20">
      <t>ガメン</t>
    </rPh>
    <phoneticPr fontId="3"/>
  </si>
  <si>
    <t>工具材料単契マスタ．支払条件ＣＤ = 画面．取引条件１</t>
    <rPh sb="19" eb="21">
      <t>ガメン</t>
    </rPh>
    <rPh sb="22" eb="24">
      <t>トリヒキ</t>
    </rPh>
    <rPh sb="24" eb="26">
      <t>ジョウケン</t>
    </rPh>
    <phoneticPr fontId="3"/>
  </si>
  <si>
    <t>工具材料単契マスタ．単価（計算後） = 画面．単価</t>
    <rPh sb="10" eb="12">
      <t>タンカ</t>
    </rPh>
    <rPh sb="13" eb="15">
      <t>ケイサン</t>
    </rPh>
    <rPh sb="15" eb="16">
      <t>ゴ</t>
    </rPh>
    <rPh sb="23" eb="25">
      <t>タンカ</t>
    </rPh>
    <phoneticPr fontId="3"/>
  </si>
  <si>
    <t xml:space="preserve">(工具材料単契マスタ．単契適用ベース = 1：注文日ベース AND </t>
    <rPh sb="23" eb="26">
      <t>チュウモンビ</t>
    </rPh>
    <phoneticPr fontId="3"/>
  </si>
  <si>
    <t>運用日付 BETWEEN 工具材料単契マスタ．適用開始日 AND 工具材料単契マスタ．適用終了日)</t>
    <phoneticPr fontId="4"/>
  </si>
  <si>
    <t xml:space="preserve">(工具材料単契マスタ．単契適用ベース = 2：指示納期ベース AND </t>
    <rPh sb="23" eb="25">
      <t>シジ</t>
    </rPh>
    <rPh sb="25" eb="27">
      <t>ノウキ</t>
    </rPh>
    <phoneticPr fontId="3"/>
  </si>
  <si>
    <t>発注明細．依頼元納入希望日 BETWEEN 工具材料単契マスタ．適用開始日 AND 工具材料単契マスタ．適用終了日)</t>
    <phoneticPr fontId="4"/>
  </si>
  <si>
    <t xml:space="preserve">(工具材料単契マスタ．単契適用ベース = 1：注文日ベース AND </t>
    <phoneticPr fontId="4"/>
  </si>
  <si>
    <t>工具材料単契マスタ．適用開始日 + １年 - 1日)</t>
    <phoneticPr fontId="4"/>
  </si>
  <si>
    <t xml:space="preserve">運用日付 BETWEEN 工具材料単契マスタ．適用開始日 AND </t>
    <phoneticPr fontId="4"/>
  </si>
  <si>
    <t xml:space="preserve">(工具材料単契マスタ．単契適用ベース = 2：指示納期ベース AND </t>
    <phoneticPr fontId="4"/>
  </si>
  <si>
    <t xml:space="preserve">画面．指示納期 BETWEEN 工具材料単契マスタ．適用開始日 AND </t>
    <rPh sb="0" eb="2">
      <t>ガメン</t>
    </rPh>
    <rPh sb="3" eb="5">
      <t>シジ</t>
    </rPh>
    <rPh sb="5" eb="7">
      <t>ノウキ</t>
    </rPh>
    <phoneticPr fontId="4"/>
  </si>
  <si>
    <t>工具外注単契マスタ．無効区分 IS NULL</t>
    <rPh sb="9" eb="11">
      <t>ムコウ</t>
    </rPh>
    <rPh sb="11" eb="13">
      <t>クブン</t>
    </rPh>
    <phoneticPr fontId="3"/>
  </si>
  <si>
    <t>工具外注単契マスタ．単位ＣＤ = 画面．単位</t>
    <rPh sb="16" eb="18">
      <t>ガメン</t>
    </rPh>
    <rPh sb="19" eb="21">
      <t>タンイ</t>
    </rPh>
    <phoneticPr fontId="3"/>
  </si>
  <si>
    <t>工具外注単契マスタ．発注先ＣＤ = 画面．発注先</t>
    <rPh sb="17" eb="19">
      <t>ガメン</t>
    </rPh>
    <phoneticPr fontId="3"/>
  </si>
  <si>
    <t>工具外注単契マスタ．単価区分 = 画面．単価区分</t>
    <rPh sb="16" eb="18">
      <t>ガメン</t>
    </rPh>
    <phoneticPr fontId="3"/>
  </si>
  <si>
    <t>工具外注単契マスタ．価格区分 = 画面．価格区分</t>
    <rPh sb="16" eb="18">
      <t>ガメン</t>
    </rPh>
    <phoneticPr fontId="3"/>
  </si>
  <si>
    <t>工具外注単契マスタ．ロット数 &lt;= 画面．数量</t>
    <rPh sb="12" eb="13">
      <t>スウ</t>
    </rPh>
    <rPh sb="17" eb="19">
      <t>ガメン</t>
    </rPh>
    <rPh sb="20" eb="22">
      <t>スウリョウ</t>
    </rPh>
    <phoneticPr fontId="3"/>
  </si>
  <si>
    <t>工具外注単契マスタ．通貨ＣＤ = 画面．通貨</t>
    <rPh sb="16" eb="18">
      <t>ガメン</t>
    </rPh>
    <phoneticPr fontId="3"/>
  </si>
  <si>
    <t>工具外注単契マスタ．消費税区分 = 画面．消費税区分</t>
    <rPh sb="17" eb="19">
      <t>ガメン</t>
    </rPh>
    <phoneticPr fontId="3"/>
  </si>
  <si>
    <t>工具外注単契マスタ．支払条件ＣＤ = 画面．取引条件１</t>
    <rPh sb="18" eb="20">
      <t>ガメン</t>
    </rPh>
    <rPh sb="21" eb="23">
      <t>トリヒキ</t>
    </rPh>
    <rPh sb="23" eb="25">
      <t>ジョウケン</t>
    </rPh>
    <phoneticPr fontId="3"/>
  </si>
  <si>
    <t>工具外注単契マスタ．単価（計算後） = 画面．単価</t>
    <rPh sb="9" eb="11">
      <t>タンカ</t>
    </rPh>
    <rPh sb="12" eb="14">
      <t>ケイサン</t>
    </rPh>
    <rPh sb="14" eb="15">
      <t>ゴ</t>
    </rPh>
    <rPh sb="22" eb="24">
      <t>タンカ</t>
    </rPh>
    <phoneticPr fontId="3"/>
  </si>
  <si>
    <t xml:space="preserve">(工具外注単契マスタ．単契適用ベース = 1：注文日ベース AND </t>
  </si>
  <si>
    <t xml:space="preserve">(工具外注単契マスタ．単契適用ベース = 1：注文日ベース AND </t>
    <rPh sb="23" eb="26">
      <t>チュウモンビ</t>
    </rPh>
    <phoneticPr fontId="3"/>
  </si>
  <si>
    <t>運用日付 BETWEEN 工具外注単契マスタ．適用開始日 AND 工具外注単契マスタ．適用終了日)</t>
  </si>
  <si>
    <t xml:space="preserve">(工具外注単契マスタ．単契適用ベース = 2：指示納期ベース AND </t>
  </si>
  <si>
    <t xml:space="preserve">(工具外注単契マスタ．単契適用ベース = 2：指示納期ベース AND </t>
    <rPh sb="23" eb="25">
      <t>シジ</t>
    </rPh>
    <rPh sb="25" eb="27">
      <t>ノウキ</t>
    </rPh>
    <phoneticPr fontId="3"/>
  </si>
  <si>
    <t>発注明細．依頼元納入希望日 BETWEEN 工具外注単契マスタ．適用開始日 AND 工具外注単契マスタ．適用終了日)</t>
  </si>
  <si>
    <t xml:space="preserve">運用日付 BETWEEN 工具外注単契マスタ．適用開始日 AND </t>
  </si>
  <si>
    <t>工具外注単契マスタ．適用開始日 + １年 - 1日)</t>
  </si>
  <si>
    <t xml:space="preserve">画面．指示納期 BETWEEN 工具外注単契マスタ．適用開始日 AND </t>
    <rPh sb="0" eb="2">
      <t>ガメン</t>
    </rPh>
    <rPh sb="3" eb="5">
      <t>シジ</t>
    </rPh>
    <rPh sb="5" eb="7">
      <t>ノウキ</t>
    </rPh>
    <phoneticPr fontId="4"/>
  </si>
  <si>
    <t>工具外注単契マスタ（材外区分 = G）</t>
    <rPh sb="10" eb="11">
      <t>ザイ</t>
    </rPh>
    <rPh sb="11" eb="12">
      <t>ガイ</t>
    </rPh>
    <rPh sb="12" eb="14">
      <t>クブン</t>
    </rPh>
    <phoneticPr fontId="4"/>
  </si>
  <si>
    <t>工具材料単契マスタ（材外区分 = Z）</t>
    <phoneticPr fontId="3"/>
  </si>
  <si>
    <t>工具外注単契マスタ．工事区分 = 上り電文．工事区分</t>
    <rPh sb="10" eb="14">
      <t>コウジクブンガメン</t>
    </rPh>
    <rPh sb="17" eb="18">
      <t>アガ</t>
    </rPh>
    <rPh sb="19" eb="21">
      <t>デンブン</t>
    </rPh>
    <phoneticPr fontId="3"/>
  </si>
  <si>
    <t>工具外注単契マスタ．品種コード LIKE REPLACE　上り電文．発注先</t>
    <rPh sb="10" eb="12">
      <t>ヒンシュガメン</t>
    </rPh>
    <rPh sb="29" eb="30">
      <t>アガ</t>
    </rPh>
    <rPh sb="31" eb="33">
      <t>デンブン</t>
    </rPh>
    <phoneticPr fontId="3"/>
  </si>
  <si>
    <t>工具外注単契マスタ．外注単契ID = 画面．参照見積照会番号</t>
    <rPh sb="9" eb="11">
      <t>ガイチュウ</t>
    </rPh>
    <rPh sb="11" eb="13">
      <t>タンケイ</t>
    </rPh>
    <rPh sb="18" eb="20">
      <t>ガメン</t>
    </rPh>
    <rPh sb="21" eb="29">
      <t>サンショウミツモリショウカイバンゴウ</t>
    </rPh>
    <phoneticPr fontId="3"/>
  </si>
  <si>
    <t>工具材料単契マスタ．外注単契ID = 画面．参照見積照会番号</t>
    <rPh sb="10" eb="12">
      <t>ガイチュウ</t>
    </rPh>
    <rPh sb="12" eb="14">
      <t>タンケイ</t>
    </rPh>
    <rPh sb="19" eb="21">
      <t>ガメン</t>
    </rPh>
    <rPh sb="22" eb="30">
      <t>サンショウミツモリショウカイバンゴウ</t>
    </rPh>
    <phoneticPr fontId="3"/>
  </si>
  <si>
    <t>⑥ 発注先が休眠取引先の場合、エラーとする。</t>
    <rPh sb="2" eb="5">
      <t>ハッチュウサキ</t>
    </rPh>
    <rPh sb="6" eb="8">
      <t>キュウミン</t>
    </rPh>
    <rPh sb="8" eb="10">
      <t>トリヒキ</t>
    </rPh>
    <rPh sb="10" eb="11">
      <t>サキ</t>
    </rPh>
    <rPh sb="12" eb="14">
      <t>バアイ</t>
    </rPh>
    <phoneticPr fontId="3"/>
  </si>
  <si>
    <t>⑦ 発注先が廃棄取引先の場合、エラーとする。</t>
    <rPh sb="2" eb="5">
      <t>ハッチュウサキ</t>
    </rPh>
    <rPh sb="6" eb="8">
      <t>ハイキ</t>
    </rPh>
    <rPh sb="8" eb="10">
      <t>トリヒキ</t>
    </rPh>
    <rPh sb="10" eb="11">
      <t>サキ</t>
    </rPh>
    <rPh sb="12" eb="14">
      <t>バアイ</t>
    </rPh>
    <phoneticPr fontId="3"/>
  </si>
  <si>
    <t>⑩</t>
    <phoneticPr fontId="3"/>
  </si>
  <si>
    <t>発注先が休眠発注先の場合、エラーとする。</t>
    <rPh sb="0" eb="3">
      <t>ハッチュウサキ</t>
    </rPh>
    <rPh sb="4" eb="6">
      <t>キュウミン</t>
    </rPh>
    <rPh sb="6" eb="9">
      <t>ハッチュウサキ</t>
    </rPh>
    <rPh sb="10" eb="12">
      <t>バアイ</t>
    </rPh>
    <phoneticPr fontId="3"/>
  </si>
  <si>
    <t>⑪</t>
    <phoneticPr fontId="3"/>
  </si>
  <si>
    <t>発注先が廃棄発注先の場合、エラーとする。</t>
    <rPh sb="0" eb="3">
      <t>ハッチュウサキ</t>
    </rPh>
    <rPh sb="4" eb="6">
      <t>ハイキ</t>
    </rPh>
    <rPh sb="6" eb="9">
      <t>ハッチュウサキ</t>
    </rPh>
    <rPh sb="10" eb="12">
      <t>バアイ</t>
    </rPh>
    <phoneticPr fontId="3"/>
  </si>
  <si>
    <t>⑦ 発注先が休眠発注先の場合、エラーとする。</t>
    <rPh sb="2" eb="5">
      <t>ハッチュウサキ</t>
    </rPh>
    <rPh sb="6" eb="8">
      <t>キュウミン</t>
    </rPh>
    <rPh sb="8" eb="11">
      <t>ハッチュウサキ</t>
    </rPh>
    <rPh sb="12" eb="14">
      <t>バアイ</t>
    </rPh>
    <phoneticPr fontId="4"/>
  </si>
  <si>
    <t>メッセージ№70</t>
    <phoneticPr fontId="3"/>
  </si>
  <si>
    <t>⑧ 発注先が廃棄発注先の場合、エラーとする。</t>
    <rPh sb="2" eb="5">
      <t>ハッチュウサキ</t>
    </rPh>
    <rPh sb="6" eb="8">
      <t>ハイキ</t>
    </rPh>
    <rPh sb="8" eb="11">
      <t>ハッチュウサキ</t>
    </rPh>
    <rPh sb="12" eb="14">
      <t>バアイ</t>
    </rPh>
    <phoneticPr fontId="4"/>
  </si>
  <si>
    <t>メッセージ№71</t>
    <phoneticPr fontId="3"/>
  </si>
  <si>
    <t>「単区」が3：未決定、単価がNULLでない場合、エラーとする</t>
    <phoneticPr fontId="4"/>
  </si>
  <si>
    <t>メッセージ№43</t>
    <phoneticPr fontId="4"/>
  </si>
  <si>
    <t>確定時エラーとする。</t>
    <phoneticPr fontId="4"/>
  </si>
  <si>
    <t>確定時エラーとする。</t>
    <phoneticPr fontId="4"/>
  </si>
  <si>
    <t>3. 「手配ＮＯ１」の先頭１桁目＝"W"の場合、</t>
    <phoneticPr fontId="4"/>
  </si>
  <si>
    <t>「管理コード」が"11", "1L", "1D"以外の場合、確定時エラーとする。</t>
    <phoneticPr fontId="4"/>
  </si>
  <si>
    <t>「資材コード」の上２桁が原材料資材コードと合致しない場合、確定時エラーとする。</t>
    <phoneticPr fontId="4"/>
  </si>
  <si>
    <t>【抽出項目】</t>
    <rPh sb="1" eb="3">
      <t>チュウシュツ</t>
    </rPh>
    <rPh sb="3" eb="5">
      <t>コウモク</t>
    </rPh>
    <phoneticPr fontId="4"/>
  </si>
  <si>
    <t>【対象テーブル】</t>
    <rPh sb="1" eb="3">
      <t>タイショウ</t>
    </rPh>
    <phoneticPr fontId="4"/>
  </si>
  <si>
    <t>【抽出条件】</t>
    <rPh sb="1" eb="3">
      <t>チュウシュツ</t>
    </rPh>
    <rPh sb="3" eb="5">
      <t>ジョウケン</t>
    </rPh>
    <phoneticPr fontId="4"/>
  </si>
  <si>
    <t>汎用キー値１</t>
    <phoneticPr fontId="4"/>
  </si>
  <si>
    <t>ＦＬＧ項目１ = オン</t>
    <phoneticPr fontId="4"/>
  </si>
  <si>
    <t>AND</t>
    <phoneticPr fontId="4"/>
  </si>
  <si>
    <t>「資材コード」の上２桁が経費資材コードと合致しない場合、確定時エラーとする。</t>
    <phoneticPr fontId="4"/>
  </si>
  <si>
    <t>汎用キー値１</t>
    <phoneticPr fontId="4"/>
  </si>
  <si>
    <t>メッセージ№41</t>
    <phoneticPr fontId="4"/>
  </si>
  <si>
    <t>メッセージ№42</t>
    <phoneticPr fontId="4"/>
  </si>
  <si>
    <t>メッセージ№43</t>
    <phoneticPr fontId="4"/>
  </si>
  <si>
    <t xml:space="preserve">    ダミー発注先：汎用マスタ（汎用区分：013（ダミー発注先（複数指定不可）））の文字項目１</t>
    <rPh sb="11" eb="13">
      <t>ハンヨウ</t>
    </rPh>
    <rPh sb="17" eb="19">
      <t>ハンヨウ</t>
    </rPh>
    <rPh sb="19" eb="21">
      <t>クブン</t>
    </rPh>
    <rPh sb="29" eb="31">
      <t>ハッチュウ</t>
    </rPh>
    <rPh sb="31" eb="32">
      <t>サキ</t>
    </rPh>
    <rPh sb="33" eb="35">
      <t>フクスウ</t>
    </rPh>
    <rPh sb="35" eb="37">
      <t>シテイ</t>
    </rPh>
    <rPh sb="37" eb="39">
      <t>フカ</t>
    </rPh>
    <rPh sb="43" eb="47">
      <t>モンジコウモク</t>
    </rPh>
    <phoneticPr fontId="4"/>
  </si>
  <si>
    <t>※4 ダミー発注先の場合、発注先、通貨、取引条件１（支払条件）にNULLを設定し単価取得する。</t>
    <rPh sb="6" eb="8">
      <t>ハッチュウ</t>
    </rPh>
    <rPh sb="8" eb="9">
      <t>サキ</t>
    </rPh>
    <rPh sb="10" eb="12">
      <t>バアイ</t>
    </rPh>
    <rPh sb="13" eb="15">
      <t>ハッチュウ</t>
    </rPh>
    <rPh sb="15" eb="16">
      <t>サキ</t>
    </rPh>
    <rPh sb="17" eb="19">
      <t>ツウカ</t>
    </rPh>
    <rPh sb="20" eb="22">
      <t>トリヒキ</t>
    </rPh>
    <rPh sb="22" eb="24">
      <t>ジョウケン</t>
    </rPh>
    <rPh sb="26" eb="30">
      <t>シハライジョウケン</t>
    </rPh>
    <rPh sb="37" eb="39">
      <t>セッテイ</t>
    </rPh>
    <rPh sb="40" eb="42">
      <t>タンカ</t>
    </rPh>
    <rPh sb="42" eb="44">
      <t>シュトク</t>
    </rPh>
    <phoneticPr fontId="3"/>
  </si>
  <si>
    <r>
      <t>①-1 「価格区分」が契約単価(1：協定単価、</t>
    </r>
    <r>
      <rPr>
        <strike/>
        <sz val="10"/>
        <color rgb="FFFF0000"/>
        <rFont val="ＭＳ ゴシック"/>
        <family val="3"/>
        <charset val="128"/>
      </rPr>
      <t>5：延長単価</t>
    </r>
    <r>
      <rPr>
        <sz val="10"/>
        <color rgb="FFFF0000"/>
        <rFont val="ＭＳ ゴシック"/>
        <family val="3"/>
        <charset val="128"/>
      </rPr>
      <t>) AND 単価がNULLの場合、</t>
    </r>
    <phoneticPr fontId="4"/>
  </si>
  <si>
    <r>
      <t>①-2 「価格区分」が有効見積(</t>
    </r>
    <r>
      <rPr>
        <strike/>
        <sz val="10"/>
        <color rgb="FFFF0000"/>
        <rFont val="ＭＳ ゴシック"/>
        <family val="3"/>
        <charset val="128"/>
      </rPr>
      <t>2：事前折衝単価、</t>
    </r>
    <r>
      <rPr>
        <sz val="10"/>
        <color rgb="FFFF0000"/>
        <rFont val="ＭＳ ゴシック"/>
        <family val="3"/>
        <charset val="128"/>
      </rPr>
      <t xml:space="preserve">3：継続単価、4：次回再見積) </t>
    </r>
    <rPh sb="11" eb="13">
      <t>ユウコウ</t>
    </rPh>
    <rPh sb="13" eb="15">
      <t>ミツモリ</t>
    </rPh>
    <phoneticPr fontId="4"/>
  </si>
  <si>
    <r>
      <t>①-4 「価格区分」≠1：協定単価、3：継続単価</t>
    </r>
    <r>
      <rPr>
        <strike/>
        <sz val="10"/>
        <color rgb="FFFF0000"/>
        <rFont val="ＭＳ ゴシック"/>
        <family val="3"/>
        <charset val="128"/>
      </rPr>
      <t>、5：延長単価</t>
    </r>
    <r>
      <rPr>
        <sz val="10"/>
        <color rgb="FFFF0000"/>
        <rFont val="ＭＳ ゴシック"/>
        <family val="3"/>
        <charset val="128"/>
      </rPr>
      <t>　</t>
    </r>
    <rPh sb="13" eb="15">
      <t>キョウテイ</t>
    </rPh>
    <rPh sb="15" eb="17">
      <t>タンカ</t>
    </rPh>
    <rPh sb="20" eb="22">
      <t>ケイゾク</t>
    </rPh>
    <rPh sb="22" eb="24">
      <t>タンカ</t>
    </rPh>
    <rPh sb="27" eb="29">
      <t>エンチョウ</t>
    </rPh>
    <rPh sb="29" eb="31">
      <t>タンカ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</si>
</sst>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Red]&quot;¥&quot;\-#,##0"/>
    <numFmt numFmtId="8" formatCode="&quot;¥&quot;#,##0.00;[Red]&quot;¥&quot;\-#,##0.00"/>
    <numFmt numFmtId="43" formatCode="_ * #,##0.00_ ;_ * \-#,##0.00_ ;_ * &quot;-&quot;??_ ;_ @_ "/>
    <numFmt numFmtId="176" formatCode="yyyy/mm/dd"/>
    <numFmt numFmtId="177" formatCode="0.0_);[Red]\(0.0\)"/>
    <numFmt numFmtId="178" formatCode="0.0;&quot;▲ &quot;0.0"/>
    <numFmt numFmtId="179" formatCode="0.0_ "/>
    <numFmt numFmtId="180" formatCode="?"/>
    <numFmt numFmtId="181" formatCode="#,##0;\-#,##0;&quot;-&quot;"/>
    <numFmt numFmtId="182" formatCode="#,##0_);[Red]\(#,##0\)"/>
    <numFmt numFmtId="183" formatCode="_-* #,##0\ _F_-;\-* #,##0\ _F_-;_-* &quot;-&quot;\ _F_-;_-@_-"/>
    <numFmt numFmtId="184" formatCode="&quot;$&quot;#,##0_);[Red]\(&quot;$&quot;#,##0\)"/>
    <numFmt numFmtId="185" formatCode="&quot;$&quot;#,##0.00_);[Red]\(&quot;$&quot;#,##0.00\)"/>
    <numFmt numFmtId="186" formatCode="0.00_)"/>
    <numFmt numFmtId="187" formatCode="#,##0_ ;[Red]\-#,##0\ "/>
    <numFmt numFmtId="188" formatCode="#,##0.0&quot;人月&quot;"/>
    <numFmt numFmtId="189" formatCode="0_);\(0\)"/>
    <numFmt numFmtId="190" formatCode="#,##0_ ;[Red]&quot;¥&quot;\!\-#,##0&quot;¥&quot;\!\ "/>
    <numFmt numFmtId="191" formatCode="0_ ;[Red]\-0\ "/>
    <numFmt numFmtId="192" formatCode="#,##0_ "/>
    <numFmt numFmtId="193" formatCode="0.00000_ "/>
    <numFmt numFmtId="194" formatCode="0.00_ "/>
  </numFmts>
  <fonts count="110">
    <font>
      <sz val="11"/>
      <color theme="1"/>
      <name val="ＭＳ Ｐゴシック"/>
      <family val="2"/>
      <scheme val="minor"/>
    </font>
    <font>
      <sz val="11"/>
      <color theme="1"/>
      <name val="ＭＳ Ｐゴシック"/>
      <family val="2"/>
      <charset val="128"/>
      <scheme val="minor"/>
    </font>
    <font>
      <sz val="11"/>
      <name val="ＭＳ Ｐゴシック"/>
      <family val="3"/>
      <charset val="128"/>
    </font>
    <font>
      <sz val="6"/>
      <name val="ＭＳ Ｐゴシック"/>
      <family val="3"/>
      <charset val="128"/>
      <scheme val="minor"/>
    </font>
    <font>
      <sz val="6"/>
      <name val="ＭＳ Ｐゴシック"/>
      <family val="3"/>
      <charset val="128"/>
    </font>
    <font>
      <b/>
      <sz val="12"/>
      <name val="ＭＳ Ｐゴシック"/>
      <family val="3"/>
      <charset val="128"/>
    </font>
    <font>
      <sz val="10"/>
      <name val="ＭＳ Ｐゴシック"/>
      <family val="3"/>
      <charset val="128"/>
    </font>
    <font>
      <sz val="9"/>
      <name val="ＭＳ Ｐゴシック"/>
      <family val="3"/>
      <charset val="128"/>
    </font>
    <font>
      <b/>
      <sz val="11"/>
      <name val="ＭＳ Ｐゴシック"/>
      <family val="3"/>
      <charset val="128"/>
    </font>
    <font>
      <sz val="28"/>
      <color indexed="62"/>
      <name val="Wunderlich-BoldItalic"/>
      <family val="2"/>
    </font>
    <font>
      <sz val="9"/>
      <color indexed="62"/>
      <name val="ＭＳ Ｐゴシック"/>
      <family val="3"/>
      <charset val="128"/>
    </font>
    <font>
      <sz val="11"/>
      <name val="Times New Roman"/>
      <family val="1"/>
    </font>
    <font>
      <sz val="20"/>
      <name val="ＭＳ Ｐゴシック"/>
      <family val="3"/>
      <charset val="128"/>
    </font>
    <font>
      <sz val="24"/>
      <name val="ＭＳ Ｐゴシック"/>
      <family val="3"/>
      <charset val="128"/>
    </font>
    <font>
      <b/>
      <sz val="18"/>
      <name val="ＭＳ Ｐゴシック"/>
      <family val="3"/>
      <charset val="128"/>
    </font>
    <font>
      <sz val="12"/>
      <name val="ＭＳ Ｐゴシック"/>
      <family val="3"/>
      <charset val="128"/>
    </font>
    <font>
      <b/>
      <sz val="9"/>
      <name val="ＭＳ Ｐゴシック"/>
      <family val="3"/>
      <charset val="128"/>
    </font>
    <font>
      <sz val="14"/>
      <name val="ＭＳ Ｐゴシック"/>
      <family val="3"/>
      <charset val="128"/>
    </font>
    <font>
      <b/>
      <sz val="10"/>
      <name val="Wunderlich-BoldItalic"/>
      <family val="2"/>
    </font>
    <font>
      <sz val="10"/>
      <name val="Wunderlich-BoldItalic"/>
      <family val="2"/>
    </font>
    <font>
      <b/>
      <sz val="10"/>
      <name val="ＭＳ Ｐゴシック"/>
      <family val="3"/>
      <charset val="128"/>
    </font>
    <font>
      <sz val="10"/>
      <name val="ＭＳ Ｐ明朝"/>
      <family val="1"/>
      <charset val="128"/>
    </font>
    <font>
      <sz val="9"/>
      <color indexed="81"/>
      <name val="ＭＳ Ｐゴシック"/>
      <family val="3"/>
      <charset val="128"/>
    </font>
    <font>
      <sz val="10"/>
      <name val="ＭＳ ゴシック"/>
      <family val="3"/>
      <charset val="128"/>
    </font>
    <font>
      <b/>
      <sz val="10"/>
      <name val="ＭＳ ゴシック"/>
      <family val="3"/>
      <charset val="128"/>
    </font>
    <font>
      <sz val="11"/>
      <name val="ＭＳ Ｐ明朝"/>
      <family val="1"/>
      <charset val="128"/>
    </font>
    <font>
      <sz val="11"/>
      <name val="ＭＳ 明朝"/>
      <family val="1"/>
      <charset val="128"/>
    </font>
    <font>
      <b/>
      <sz val="18"/>
      <color indexed="12"/>
      <name val="ＭＳ ゴシック"/>
      <family val="3"/>
      <charset val="128"/>
    </font>
    <font>
      <sz val="11"/>
      <color indexed="8"/>
      <name val="ＭＳ Ｐゴシック"/>
      <family val="3"/>
      <charset val="128"/>
    </font>
    <font>
      <sz val="11"/>
      <color indexed="9"/>
      <name val="ＭＳ Ｐゴシック"/>
      <family val="3"/>
      <charset val="128"/>
    </font>
    <font>
      <sz val="8"/>
      <name val="Times New Roman"/>
      <family val="1"/>
    </font>
    <font>
      <sz val="10"/>
      <color indexed="8"/>
      <name val="Arial"/>
      <family val="2"/>
    </font>
    <font>
      <sz val="10"/>
      <name val="Helv"/>
      <family val="2"/>
    </font>
    <font>
      <sz val="10"/>
      <name val="MS Sans Serif"/>
      <family val="2"/>
    </font>
    <font>
      <sz val="10"/>
      <name val="Arial"/>
      <family val="2"/>
    </font>
    <font>
      <b/>
      <sz val="12"/>
      <name val="Helv"/>
      <family val="2"/>
    </font>
    <font>
      <sz val="11"/>
      <name val="明朝"/>
      <family val="1"/>
      <charset val="128"/>
    </font>
    <font>
      <sz val="9"/>
      <name val="Times New Roman"/>
      <family val="1"/>
    </font>
    <font>
      <sz val="8"/>
      <name val="Arial"/>
      <family val="2"/>
    </font>
    <font>
      <sz val="8"/>
      <name val="ＭＳ 明朝"/>
      <family val="1"/>
      <charset val="128"/>
    </font>
    <font>
      <b/>
      <sz val="12"/>
      <name val="Arial"/>
      <family val="2"/>
    </font>
    <font>
      <sz val="10"/>
      <name val="Geneva"/>
      <family val="2"/>
    </font>
    <font>
      <sz val="7"/>
      <name val="Small Fonts"/>
      <family val="3"/>
      <charset val="128"/>
    </font>
    <font>
      <b/>
      <i/>
      <sz val="16"/>
      <name val="Helv"/>
      <family val="2"/>
    </font>
    <font>
      <b/>
      <sz val="10"/>
      <name val="MS Sans Serif"/>
      <family val="2"/>
    </font>
    <font>
      <sz val="8"/>
      <color indexed="16"/>
      <name val="Century Schoolbook"/>
      <family val="1"/>
    </font>
    <font>
      <b/>
      <i/>
      <sz val="10"/>
      <name val="Times New Roman"/>
      <family val="1"/>
    </font>
    <font>
      <sz val="10"/>
      <name val="Times New Roman"/>
      <family val="1"/>
    </font>
    <font>
      <b/>
      <sz val="11"/>
      <name val="Helv"/>
      <family val="2"/>
    </font>
    <font>
      <b/>
      <sz val="9"/>
      <name val="Times New Roman"/>
      <family val="1"/>
    </font>
    <font>
      <b/>
      <sz val="18"/>
      <color indexed="62"/>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19"/>
      <name val="ＭＳ Ｐゴシック"/>
      <family val="3"/>
      <charset val="128"/>
    </font>
    <font>
      <sz val="11"/>
      <color indexed="60"/>
      <name val="ＭＳ Ｐゴシック"/>
      <family val="3"/>
      <charset val="128"/>
    </font>
    <font>
      <sz val="7"/>
      <name val="ＭＳ 明朝"/>
      <family val="1"/>
      <charset val="128"/>
    </font>
    <font>
      <sz val="11"/>
      <name val="ＭＳ ゴシック"/>
      <family val="3"/>
      <charset val="128"/>
    </font>
    <font>
      <sz val="11"/>
      <color indexed="1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10"/>
      <name val="ＭＳ Ｐゴシック"/>
      <family val="3"/>
      <charset val="128"/>
    </font>
    <font>
      <b/>
      <sz val="11"/>
      <color indexed="52"/>
      <name val="ＭＳ Ｐゴシック"/>
      <family val="3"/>
      <charset val="128"/>
    </font>
    <font>
      <sz val="11"/>
      <name val="・団"/>
      <family val="1"/>
      <charset val="128"/>
    </font>
    <font>
      <sz val="10"/>
      <name val="ＨＧｺﾞｼｯｸE-PRO"/>
      <family val="3"/>
      <charset val="128"/>
    </font>
    <font>
      <sz val="9"/>
      <name val="ＭＳ 明朝"/>
      <family val="1"/>
      <charset val="128"/>
    </font>
    <font>
      <b/>
      <sz val="12"/>
      <name val="標準ゴシック"/>
      <family val="3"/>
      <charset val="128"/>
    </font>
    <font>
      <b/>
      <sz val="15"/>
      <color indexed="62"/>
      <name val="ＭＳ Ｐゴシック"/>
      <family val="3"/>
      <charset val="128"/>
    </font>
    <font>
      <b/>
      <sz val="15"/>
      <color indexed="56"/>
      <name val="ＭＳ Ｐゴシック"/>
      <family val="3"/>
      <charset val="128"/>
    </font>
    <font>
      <b/>
      <sz val="13"/>
      <color indexed="62"/>
      <name val="ＭＳ Ｐゴシック"/>
      <family val="3"/>
      <charset val="128"/>
    </font>
    <font>
      <b/>
      <sz val="13"/>
      <color indexed="56"/>
      <name val="ＭＳ Ｐゴシック"/>
      <family val="3"/>
      <charset val="128"/>
    </font>
    <font>
      <b/>
      <sz val="11"/>
      <color indexed="62"/>
      <name val="ＭＳ Ｐゴシック"/>
      <family val="3"/>
      <charset val="128"/>
    </font>
    <font>
      <b/>
      <sz val="11"/>
      <color indexed="56"/>
      <name val="ＭＳ Ｐゴシック"/>
      <family val="3"/>
      <charset val="128"/>
    </font>
    <font>
      <sz val="14"/>
      <name val="ＭＳ 明朝"/>
      <family val="1"/>
      <charset val="128"/>
    </font>
    <font>
      <sz val="9"/>
      <color indexed="18"/>
      <name val="ＭＳ 明朝"/>
      <family val="1"/>
      <charset val="128"/>
    </font>
    <font>
      <b/>
      <sz val="11"/>
      <color indexed="8"/>
      <name val="ＭＳ Ｐゴシック"/>
      <family val="3"/>
      <charset val="128"/>
    </font>
    <font>
      <b/>
      <sz val="11"/>
      <color indexed="63"/>
      <name val="ＭＳ Ｐゴシック"/>
      <family val="3"/>
      <charset val="128"/>
    </font>
    <font>
      <sz val="11"/>
      <color theme="1"/>
      <name val="ＭＳ Ｐゴシック"/>
      <family val="3"/>
      <charset val="128"/>
      <scheme val="minor"/>
    </font>
    <font>
      <i/>
      <sz val="11"/>
      <color indexed="23"/>
      <name val="ＭＳ Ｐゴシック"/>
      <family val="3"/>
      <charset val="128"/>
    </font>
    <font>
      <sz val="12"/>
      <name val="Osaka"/>
      <family val="3"/>
      <charset val="128"/>
    </font>
    <font>
      <sz val="11"/>
      <color indexed="62"/>
      <name val="ＭＳ Ｐゴシック"/>
      <family val="3"/>
      <charset val="128"/>
    </font>
    <font>
      <sz val="10"/>
      <color theme="1"/>
      <name val="ＭＳ ゴシック"/>
      <family val="3"/>
      <charset val="128"/>
    </font>
    <font>
      <sz val="10"/>
      <name val="ＭＳ 明朝"/>
      <family val="1"/>
      <charset val="128"/>
    </font>
    <font>
      <u/>
      <sz val="11"/>
      <color indexed="36"/>
      <name val="ＭＳ Ｐゴシック"/>
      <family val="3"/>
      <charset val="128"/>
    </font>
    <font>
      <sz val="11"/>
      <color indexed="17"/>
      <name val="ＭＳ Ｐゴシック"/>
      <family val="3"/>
      <charset val="128"/>
    </font>
    <font>
      <sz val="11"/>
      <name val="明朝"/>
      <family val="3"/>
      <charset val="128"/>
    </font>
    <font>
      <b/>
      <sz val="9"/>
      <name val="ＭＳ ゴシック"/>
      <family val="3"/>
      <charset val="128"/>
    </font>
    <font>
      <sz val="9"/>
      <name val="ＭＳ ゴシック"/>
      <family val="3"/>
      <charset val="128"/>
    </font>
    <font>
      <sz val="10"/>
      <color indexed="8"/>
      <name val="ＭＳ ゴシック"/>
      <family val="3"/>
      <charset val="128"/>
    </font>
    <font>
      <u/>
      <sz val="11"/>
      <color indexed="12"/>
      <name val="ＭＳ Ｐゴシック"/>
      <family val="3"/>
      <charset val="128"/>
    </font>
    <font>
      <sz val="10"/>
      <name val="MS UI Gothic"/>
      <family val="3"/>
      <charset val="128"/>
    </font>
    <font>
      <sz val="10"/>
      <color rgb="FFFF0000"/>
      <name val="ＭＳ ゴシック"/>
      <family val="3"/>
      <charset val="128"/>
    </font>
    <font>
      <sz val="11"/>
      <color rgb="FFFF0000"/>
      <name val="ＭＳ Ｐゴシック"/>
      <family val="3"/>
      <charset val="128"/>
    </font>
    <font>
      <b/>
      <sz val="10"/>
      <color rgb="FFFF0000"/>
      <name val="ＭＳ ゴシック"/>
      <family val="3"/>
      <charset val="128"/>
    </font>
    <font>
      <sz val="11"/>
      <color rgb="FF0000FF"/>
      <name val="ＭＳ Ｐゴシック"/>
      <family val="3"/>
      <charset val="128"/>
    </font>
    <font>
      <strike/>
      <sz val="10"/>
      <name val="ＭＳ ゴシック"/>
      <family val="3"/>
      <charset val="128"/>
    </font>
    <font>
      <strike/>
      <sz val="10"/>
      <color rgb="FFFF0000"/>
      <name val="ＭＳ ゴシック"/>
      <family val="3"/>
      <charset val="128"/>
    </font>
    <font>
      <strike/>
      <sz val="9"/>
      <name val="ＭＳ ゴシック"/>
      <family val="3"/>
      <charset val="128"/>
    </font>
    <font>
      <sz val="8"/>
      <name val="ＭＳ Ｐゴシック"/>
      <family val="3"/>
      <charset val="128"/>
    </font>
    <font>
      <sz val="8"/>
      <name val="ＭＳ ゴシック"/>
      <family val="3"/>
      <charset val="128"/>
    </font>
    <font>
      <sz val="8"/>
      <color theme="1"/>
      <name val="ＭＳ Ｐゴシック"/>
      <family val="3"/>
      <charset val="128"/>
      <scheme val="minor"/>
    </font>
    <font>
      <b/>
      <sz val="8"/>
      <name val="ＭＳ Ｐゴシック"/>
      <family val="3"/>
      <charset val="128"/>
    </font>
    <font>
      <strike/>
      <sz val="10"/>
      <color rgb="FF0000FF"/>
      <name val="ＭＳ ゴシック"/>
      <family val="3"/>
      <charset val="128"/>
    </font>
    <font>
      <i/>
      <sz val="10"/>
      <color rgb="FFFF0000"/>
      <name val="ＭＳ ゴシック"/>
      <family val="3"/>
      <charset val="128"/>
    </font>
    <font>
      <sz val="11"/>
      <name val="ＭＳ Ｐゴシック"/>
      <family val="2"/>
      <scheme val="minor"/>
    </font>
    <font>
      <sz val="10"/>
      <color rgb="FF0000FF"/>
      <name val="ＭＳ Ｐ明朝"/>
      <family val="1"/>
      <charset val="128"/>
    </font>
    <font>
      <sz val="10"/>
      <color rgb="FF0000FF"/>
      <name val="ＭＳ Ｐゴシック"/>
      <family val="3"/>
      <charset val="128"/>
    </font>
    <font>
      <sz val="9"/>
      <color rgb="FFFF0000"/>
      <name val="ＭＳ ゴシック"/>
      <family val="3"/>
      <charset val="128"/>
    </font>
    <font>
      <sz val="11"/>
      <color rgb="FFFF0000"/>
      <name val="ＭＳ ゴシック"/>
      <family val="3"/>
      <charset val="128"/>
    </font>
    <font>
      <sz val="10"/>
      <color rgb="FFFF0000"/>
      <name val="ＭＳ Ｐゴシック"/>
      <family val="3"/>
      <charset val="128"/>
    </font>
    <font>
      <b/>
      <strike/>
      <sz val="10"/>
      <color rgb="FFFF0000"/>
      <name val="ＭＳ ゴシック"/>
      <family val="3"/>
      <charset val="128"/>
    </font>
  </fonts>
  <fills count="43">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41"/>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9"/>
        <bgColor indexed="64"/>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solid">
        <fgColor indexed="9"/>
      </patternFill>
    </fill>
    <fill>
      <patternFill patternType="solid">
        <fgColor indexed="22"/>
      </patternFill>
    </fill>
    <fill>
      <patternFill patternType="solid">
        <fgColor rgb="FFCCFFCC"/>
        <bgColor indexed="64"/>
      </patternFill>
    </fill>
    <fill>
      <patternFill patternType="solid">
        <fgColor theme="0"/>
        <bgColor indexed="64"/>
      </patternFill>
    </fill>
    <fill>
      <patternFill patternType="solid">
        <fgColor rgb="FFFFFF9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66FFCC"/>
        <bgColor indexed="64"/>
      </patternFill>
    </fill>
  </fills>
  <borders count="10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double">
        <color indexed="64"/>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top/>
      <bottom style="dotted">
        <color indexed="64"/>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style="thin">
        <color indexed="64"/>
      </right>
      <top style="medium">
        <color indexed="64"/>
      </top>
      <bottom style="double">
        <color indexed="64"/>
      </bottom>
      <diagonal/>
    </border>
    <border>
      <left style="medium">
        <color indexed="64"/>
      </left>
      <right/>
      <top style="medium">
        <color indexed="64"/>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double">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auto="1"/>
      </left>
      <right/>
      <top/>
      <bottom style="medium">
        <color indexed="64"/>
      </bottom>
      <diagonal/>
    </border>
    <border>
      <left/>
      <right/>
      <top/>
      <bottom style="medium">
        <color indexed="64"/>
      </bottom>
      <diagonal/>
    </border>
    <border>
      <left/>
      <right style="medium">
        <color auto="1"/>
      </right>
      <top/>
      <bottom style="medium">
        <color indexed="64"/>
      </bottom>
      <diagonal/>
    </border>
    <border>
      <left/>
      <right style="thin">
        <color indexed="64"/>
      </right>
      <top style="thin">
        <color auto="1"/>
      </top>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style="double">
        <color indexed="64"/>
      </top>
      <bottom style="thin">
        <color indexed="64"/>
      </bottom>
      <diagonal/>
    </border>
    <border>
      <left/>
      <right/>
      <top style="thin">
        <color indexed="64"/>
      </top>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style="double">
        <color indexed="64"/>
      </top>
      <bottom style="medium">
        <color indexed="64"/>
      </bottom>
      <diagonal/>
    </border>
  </borders>
  <cellStyleXfs count="2269">
    <xf numFmtId="0" fontId="0" fillId="0" borderId="0"/>
    <xf numFmtId="0" fontId="2" fillId="0" borderId="0"/>
    <xf numFmtId="0" fontId="7" fillId="0" borderId="0"/>
    <xf numFmtId="0" fontId="7" fillId="0" borderId="0"/>
    <xf numFmtId="0" fontId="2" fillId="0" borderId="0">
      <alignment vertical="center"/>
    </xf>
    <xf numFmtId="0" fontId="2" fillId="0" borderId="0"/>
    <xf numFmtId="0" fontId="26" fillId="0" borderId="0"/>
    <xf numFmtId="0" fontId="26" fillId="0" borderId="0"/>
    <xf numFmtId="0" fontId="25" fillId="0" borderId="61">
      <alignment vertical="center"/>
    </xf>
    <xf numFmtId="180" fontId="27" fillId="0" borderId="28">
      <alignment horizontal="right"/>
    </xf>
    <xf numFmtId="0" fontId="28" fillId="9" borderId="0" applyNumberFormat="0" applyBorder="0" applyAlignment="0" applyProtection="0">
      <alignment vertical="center"/>
    </xf>
    <xf numFmtId="0" fontId="28" fillId="9"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5"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9"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9"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20"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11" borderId="0" applyNumberFormat="0" applyBorder="0" applyAlignment="0" applyProtection="0">
      <alignment vertical="center"/>
    </xf>
    <xf numFmtId="0" fontId="29" fillId="20" borderId="0" applyNumberFormat="0" applyBorder="0" applyAlignment="0" applyProtection="0">
      <alignment vertical="center"/>
    </xf>
    <xf numFmtId="0" fontId="29" fillId="20" borderId="0" applyNumberFormat="0" applyBorder="0" applyAlignment="0" applyProtection="0">
      <alignment vertical="center"/>
    </xf>
    <xf numFmtId="0" fontId="29" fillId="20" borderId="0" applyNumberFormat="0" applyBorder="0" applyAlignment="0" applyProtection="0">
      <alignment vertical="center"/>
    </xf>
    <xf numFmtId="0" fontId="29" fillId="19" borderId="0" applyNumberFormat="0" applyBorder="0" applyAlignment="0" applyProtection="0">
      <alignment vertical="center"/>
    </xf>
    <xf numFmtId="0" fontId="29" fillId="12" borderId="0" applyNumberFormat="0" applyBorder="0" applyAlignment="0" applyProtection="0">
      <alignment vertical="center"/>
    </xf>
    <xf numFmtId="0" fontId="29" fillId="12" borderId="0" applyNumberFormat="0" applyBorder="0" applyAlignment="0" applyProtection="0">
      <alignment vertical="center"/>
    </xf>
    <xf numFmtId="0" fontId="29" fillId="12" borderId="0" applyNumberFormat="0" applyBorder="0" applyAlignment="0" applyProtection="0">
      <alignment vertical="center"/>
    </xf>
    <xf numFmtId="0" fontId="29" fillId="23"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24"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25" borderId="0" applyNumberFormat="0" applyBorder="0" applyAlignment="0" applyProtection="0">
      <alignment vertical="center"/>
    </xf>
    <xf numFmtId="0" fontId="30" fillId="0" borderId="0">
      <alignment horizontal="center" wrapText="1"/>
      <protection locked="0"/>
    </xf>
    <xf numFmtId="181" fontId="31" fillId="0" borderId="0" applyFill="0" applyBorder="0" applyAlignment="0"/>
    <xf numFmtId="182" fontId="32" fillId="0" borderId="0" applyFont="0" applyFill="0" applyBorder="0" applyAlignment="0" applyProtection="0"/>
    <xf numFmtId="40" fontId="33" fillId="0" borderId="0" applyFont="0" applyFill="0" applyBorder="0" applyAlignment="0" applyProtection="0"/>
    <xf numFmtId="183" fontId="34" fillId="0" borderId="0" applyFont="0" applyFill="0" applyBorder="0" applyAlignment="0" applyProtection="0"/>
    <xf numFmtId="184" fontId="32" fillId="0" borderId="0" applyFont="0" applyFill="0" applyBorder="0" applyAlignment="0" applyProtection="0"/>
    <xf numFmtId="185" fontId="33" fillId="0" borderId="0" applyFont="0" applyFill="0" applyBorder="0" applyAlignment="0" applyProtection="0"/>
    <xf numFmtId="0" fontId="35" fillId="0" borderId="44" applyNumberFormat="0" applyBorder="0">
      <alignment horizontal="centerContinuous"/>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7" fillId="0" borderId="0">
      <alignment horizontal="left"/>
    </xf>
    <xf numFmtId="38" fontId="38" fillId="2" borderId="0" applyNumberFormat="0" applyBorder="0" applyAlignment="0" applyProtection="0"/>
    <xf numFmtId="0" fontId="39" fillId="0" borderId="0" applyNumberFormat="0" applyFill="0" applyBorder="0" applyAlignment="0">
      <alignment vertical="center"/>
    </xf>
    <xf numFmtId="0" fontId="40" fillId="0" borderId="49" applyNumberFormat="0" applyAlignment="0" applyProtection="0">
      <alignment horizontal="left" vertical="center"/>
    </xf>
    <xf numFmtId="0" fontId="40" fillId="0" borderId="2">
      <alignment horizontal="left" vertical="center"/>
    </xf>
    <xf numFmtId="0" fontId="23" fillId="0" borderId="0" applyBorder="0"/>
    <xf numFmtId="10" fontId="38" fillId="5" borderId="28" applyNumberFormat="0" applyBorder="0" applyAlignment="0" applyProtection="0"/>
    <xf numFmtId="38" fontId="41" fillId="0" borderId="0" applyFont="0" applyFill="0" applyBorder="0" applyAlignment="0" applyProtection="0"/>
    <xf numFmtId="40" fontId="41" fillId="0" borderId="0" applyFont="0" applyFill="0" applyBorder="0" applyAlignment="0" applyProtection="0"/>
    <xf numFmtId="38" fontId="33" fillId="0" borderId="0" applyFont="0" applyFill="0" applyBorder="0" applyAlignment="0" applyProtection="0"/>
    <xf numFmtId="40" fontId="33"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184" fontId="33" fillId="0" borderId="0" applyFont="0" applyFill="0" applyBorder="0" applyAlignment="0" applyProtection="0"/>
    <xf numFmtId="185" fontId="33" fillId="0" borderId="0" applyFont="0" applyFill="0" applyBorder="0" applyAlignment="0" applyProtection="0"/>
    <xf numFmtId="2" fontId="37" fillId="8" borderId="0"/>
    <xf numFmtId="37" fontId="42" fillId="0" borderId="0"/>
    <xf numFmtId="186" fontId="43" fillId="0" borderId="0"/>
    <xf numFmtId="0" fontId="43" fillId="0" borderId="0"/>
    <xf numFmtId="0" fontId="43" fillId="0" borderId="0"/>
    <xf numFmtId="0" fontId="34" fillId="0" borderId="0"/>
    <xf numFmtId="14" fontId="30" fillId="0" borderId="0">
      <alignment horizontal="center" wrapText="1"/>
      <protection locked="0"/>
    </xf>
    <xf numFmtId="10" fontId="34" fillId="0" borderId="0" applyFont="0" applyFill="0" applyBorder="0" applyAlignment="0" applyProtection="0"/>
    <xf numFmtId="4" fontId="37" fillId="0" borderId="0">
      <alignment horizontal="right"/>
    </xf>
    <xf numFmtId="0" fontId="33" fillId="0" borderId="0" applyNumberFormat="0" applyFont="0" applyFill="0" applyBorder="0" applyAlignment="0" applyProtection="0">
      <alignment horizontal="left"/>
    </xf>
    <xf numFmtId="0" fontId="44" fillId="0" borderId="33">
      <alignment horizontal="center"/>
    </xf>
    <xf numFmtId="4" fontId="45" fillId="0" borderId="0">
      <alignment horizontal="right"/>
    </xf>
    <xf numFmtId="0" fontId="46" fillId="0" borderId="0">
      <alignment horizontal="left"/>
    </xf>
    <xf numFmtId="1" fontId="47" fillId="0" borderId="0" applyBorder="0">
      <alignment horizontal="left" vertical="top" wrapText="1"/>
    </xf>
    <xf numFmtId="0" fontId="48" fillId="0" borderId="0"/>
    <xf numFmtId="0" fontId="49" fillId="0" borderId="0">
      <alignment horizontal="center"/>
    </xf>
    <xf numFmtId="0" fontId="6" fillId="0" borderId="0">
      <alignment wrapText="1"/>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8" borderId="0" applyNumberFormat="0" applyBorder="0" applyAlignment="0" applyProtection="0">
      <alignment vertical="center"/>
    </xf>
    <xf numFmtId="0" fontId="29" fillId="20" borderId="0" applyNumberFormat="0" applyBorder="0" applyAlignment="0" applyProtection="0">
      <alignment vertical="center"/>
    </xf>
    <xf numFmtId="0" fontId="29" fillId="20" borderId="0" applyNumberFormat="0" applyBorder="0" applyAlignment="0" applyProtection="0">
      <alignment vertical="center"/>
    </xf>
    <xf numFmtId="0" fontId="29" fillId="20"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4" borderId="0" applyNumberFormat="0" applyBorder="0" applyAlignment="0" applyProtection="0">
      <alignment vertical="center"/>
    </xf>
    <xf numFmtId="0" fontId="29" fillId="24" borderId="0" applyNumberFormat="0" applyBorder="0" applyAlignment="0" applyProtection="0">
      <alignment vertical="center"/>
    </xf>
    <xf numFmtId="0" fontId="29" fillId="28" borderId="0" applyNumberFormat="0" applyBorder="0" applyAlignment="0" applyProtection="0">
      <alignment vertical="center"/>
    </xf>
    <xf numFmtId="0" fontId="29" fillId="28" borderId="0" applyNumberFormat="0" applyBorder="0" applyAlignment="0" applyProtection="0">
      <alignment vertical="center"/>
    </xf>
    <xf numFmtId="0" fontId="29" fillId="28" borderId="0" applyNumberFormat="0" applyBorder="0" applyAlignment="0" applyProtection="0">
      <alignment vertical="center"/>
    </xf>
    <xf numFmtId="0" fontId="29" fillId="22" borderId="0" applyNumberFormat="0" applyBorder="0" applyAlignment="0" applyProtection="0">
      <alignment vertical="center"/>
    </xf>
    <xf numFmtId="0" fontId="32" fillId="0" borderId="0"/>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31" borderId="62" applyNumberFormat="0" applyAlignment="0" applyProtection="0">
      <alignment vertical="center"/>
    </xf>
    <xf numFmtId="0" fontId="52" fillId="31" borderId="62" applyNumberFormat="0" applyAlignment="0" applyProtection="0">
      <alignment vertical="center"/>
    </xf>
    <xf numFmtId="0" fontId="52" fillId="31" borderId="62" applyNumberFormat="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3" fillId="18" borderId="0" applyNumberFormat="0" applyBorder="0" applyAlignment="0" applyProtection="0">
      <alignment vertical="center"/>
    </xf>
    <xf numFmtId="0" fontId="54" fillId="18" borderId="0" applyNumberFormat="0" applyBorder="0" applyAlignment="0" applyProtection="0">
      <alignment vertical="center"/>
    </xf>
    <xf numFmtId="9" fontId="28" fillId="0" borderId="0" applyFont="0" applyFill="0" applyBorder="0" applyAlignment="0" applyProtection="0">
      <alignment vertical="center"/>
    </xf>
    <xf numFmtId="0" fontId="55" fillId="0" borderId="63" applyBorder="0" applyAlignment="0">
      <alignment vertical="center" textRotation="255"/>
    </xf>
    <xf numFmtId="0" fontId="2" fillId="13" borderId="64" applyNumberFormat="0" applyFont="0" applyAlignment="0" applyProtection="0">
      <alignment vertical="center"/>
    </xf>
    <xf numFmtId="0" fontId="2" fillId="13" borderId="64" applyNumberFormat="0" applyFont="0" applyAlignment="0" applyProtection="0">
      <alignment vertical="center"/>
    </xf>
    <xf numFmtId="0" fontId="2" fillId="13" borderId="64" applyNumberFormat="0" applyFont="0" applyAlignment="0" applyProtection="0">
      <alignment vertical="center"/>
    </xf>
    <xf numFmtId="0" fontId="56" fillId="13" borderId="64" applyNumberFormat="0" applyFont="0" applyAlignment="0" applyProtection="0">
      <alignment vertical="center"/>
    </xf>
    <xf numFmtId="0" fontId="57" fillId="0" borderId="65" applyNumberFormat="0" applyFill="0" applyAlignment="0" applyProtection="0">
      <alignment vertical="center"/>
    </xf>
    <xf numFmtId="0" fontId="57" fillId="0" borderId="65" applyNumberFormat="0" applyFill="0" applyAlignment="0" applyProtection="0">
      <alignment vertical="center"/>
    </xf>
    <xf numFmtId="0" fontId="57" fillId="0" borderId="65" applyNumberFormat="0" applyFill="0" applyAlignment="0" applyProtection="0">
      <alignment vertical="center"/>
    </xf>
    <xf numFmtId="0" fontId="58" fillId="0" borderId="66" applyNumberFormat="0" applyFill="0" applyAlignment="0" applyProtection="0">
      <alignment vertical="center"/>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2" borderId="0" applyNumberFormat="0" applyBorder="0" applyAlignment="0" applyProtection="0">
      <alignment vertical="center"/>
    </xf>
    <xf numFmtId="187" fontId="6" fillId="0" borderId="0" applyBorder="0">
      <alignment horizontal="right"/>
    </xf>
    <xf numFmtId="49" fontId="2" fillId="0" borderId="0" applyFont="0"/>
    <xf numFmtId="0" fontId="60" fillId="32" borderId="67" applyNumberFormat="0" applyAlignment="0" applyProtection="0">
      <alignment vertical="center"/>
    </xf>
    <xf numFmtId="0" fontId="60" fillId="32" borderId="67" applyNumberFormat="0" applyAlignment="0" applyProtection="0">
      <alignment vertical="center"/>
    </xf>
    <xf numFmtId="0" fontId="60" fillId="32" borderId="67" applyNumberFormat="0" applyAlignment="0" applyProtection="0">
      <alignment vertical="center"/>
    </xf>
    <xf numFmtId="0" fontId="61" fillId="33" borderId="67" applyNumberFormat="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43" fontId="34" fillId="0" borderId="0" applyFont="0" applyFill="0" applyBorder="0" applyAlignment="0" applyProtection="0"/>
    <xf numFmtId="38" fontId="62" fillId="0" borderId="0" applyFont="0" applyFill="0" applyBorder="0" applyAlignment="0" applyProtection="0"/>
    <xf numFmtId="0" fontId="63" fillId="0" borderId="48" applyBorder="0"/>
    <xf numFmtId="4" fontId="41" fillId="0" borderId="0" applyFont="0" applyFill="0" applyBorder="0" applyAlignment="0" applyProtection="0"/>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38" fontId="2" fillId="0" borderId="0" applyFont="0" applyFill="0" applyBorder="0" applyAlignment="0" applyProtection="0"/>
    <xf numFmtId="38" fontId="2" fillId="0" borderId="0" applyFont="0" applyFill="0" applyBorder="0" applyAlignment="0" applyProtection="0"/>
    <xf numFmtId="38" fontId="28" fillId="0" borderId="0" applyFont="0" applyFill="0" applyBorder="0" applyAlignment="0" applyProtection="0">
      <alignment vertical="center"/>
    </xf>
    <xf numFmtId="38" fontId="64" fillId="0" borderId="0" applyFont="0" applyFill="0" applyBorder="0" applyAlignment="0" applyProtection="0"/>
    <xf numFmtId="38" fontId="2" fillId="0" borderId="0" applyFont="0" applyFill="0" applyBorder="0" applyAlignment="0" applyProtection="0">
      <alignment vertical="center"/>
    </xf>
    <xf numFmtId="0" fontId="65" fillId="0" borderId="0"/>
    <xf numFmtId="0" fontId="66" fillId="0" borderId="68" applyNumberFormat="0" applyFill="0" applyAlignment="0" applyProtection="0">
      <alignment vertical="center"/>
    </xf>
    <xf numFmtId="0" fontId="66" fillId="0" borderId="68" applyNumberFormat="0" applyFill="0" applyAlignment="0" applyProtection="0">
      <alignment vertical="center"/>
    </xf>
    <xf numFmtId="0" fontId="66" fillId="0" borderId="68" applyNumberFormat="0" applyFill="0" applyAlignment="0" applyProtection="0">
      <alignment vertical="center"/>
    </xf>
    <xf numFmtId="0" fontId="67" fillId="0" borderId="69" applyNumberFormat="0" applyFill="0" applyAlignment="0" applyProtection="0">
      <alignment vertical="center"/>
    </xf>
    <xf numFmtId="0" fontId="68" fillId="0" borderId="70" applyNumberFormat="0" applyFill="0" applyAlignment="0" applyProtection="0">
      <alignment vertical="center"/>
    </xf>
    <xf numFmtId="0" fontId="68" fillId="0" borderId="70" applyNumberFormat="0" applyFill="0" applyAlignment="0" applyProtection="0">
      <alignment vertical="center"/>
    </xf>
    <xf numFmtId="0" fontId="68" fillId="0" borderId="70" applyNumberFormat="0" applyFill="0" applyAlignment="0" applyProtection="0">
      <alignment vertical="center"/>
    </xf>
    <xf numFmtId="0" fontId="69" fillId="0" borderId="71" applyNumberFormat="0" applyFill="0" applyAlignment="0" applyProtection="0">
      <alignment vertical="center"/>
    </xf>
    <xf numFmtId="0" fontId="70" fillId="0" borderId="72" applyNumberFormat="0" applyFill="0" applyAlignment="0" applyProtection="0">
      <alignment vertical="center"/>
    </xf>
    <xf numFmtId="0" fontId="70" fillId="0" borderId="72" applyNumberFormat="0" applyFill="0" applyAlignment="0" applyProtection="0">
      <alignment vertical="center"/>
    </xf>
    <xf numFmtId="0" fontId="70" fillId="0" borderId="72" applyNumberFormat="0" applyFill="0" applyAlignment="0" applyProtection="0">
      <alignment vertical="center"/>
    </xf>
    <xf numFmtId="0" fontId="71" fillId="0" borderId="73" applyNumberFormat="0" applyFill="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0"/>
    <xf numFmtId="0" fontId="56" fillId="0" borderId="0"/>
    <xf numFmtId="0" fontId="73" fillId="0" borderId="0" applyBorder="0">
      <alignment vertical="center"/>
    </xf>
    <xf numFmtId="0" fontId="56" fillId="0" borderId="0" applyNumberFormat="0"/>
    <xf numFmtId="0" fontId="23" fillId="0" borderId="0" applyBorder="0" applyAlignment="0"/>
    <xf numFmtId="0" fontId="74" fillId="0" borderId="74" applyNumberFormat="0" applyFill="0" applyAlignment="0" applyProtection="0">
      <alignment vertical="center"/>
    </xf>
    <xf numFmtId="0" fontId="74" fillId="0" borderId="74" applyNumberFormat="0" applyFill="0" applyAlignment="0" applyProtection="0">
      <alignment vertical="center"/>
    </xf>
    <xf numFmtId="0" fontId="74" fillId="0" borderId="74" applyNumberFormat="0" applyFill="0" applyAlignment="0" applyProtection="0">
      <alignment vertical="center"/>
    </xf>
    <xf numFmtId="0" fontId="74" fillId="0" borderId="75" applyNumberFormat="0" applyFill="0" applyAlignment="0" applyProtection="0">
      <alignment vertical="center"/>
    </xf>
    <xf numFmtId="0" fontId="75" fillId="32" borderId="76" applyNumberFormat="0" applyAlignment="0" applyProtection="0">
      <alignment vertical="center"/>
    </xf>
    <xf numFmtId="0" fontId="75" fillId="32" borderId="76" applyNumberFormat="0" applyAlignment="0" applyProtection="0">
      <alignment vertical="center"/>
    </xf>
    <xf numFmtId="0" fontId="75" fillId="32" borderId="76" applyNumberFormat="0" applyAlignment="0" applyProtection="0">
      <alignment vertical="center"/>
    </xf>
    <xf numFmtId="0" fontId="75" fillId="33" borderId="76" applyNumberFormat="0" applyAlignment="0" applyProtection="0">
      <alignment vertical="center"/>
    </xf>
    <xf numFmtId="0" fontId="76" fillId="0" borderId="0">
      <alignment vertical="center"/>
    </xf>
    <xf numFmtId="188" fontId="36" fillId="0" borderId="0"/>
    <xf numFmtId="188" fontId="36" fillId="0" borderId="0"/>
    <xf numFmtId="189" fontId="6" fillId="0" borderId="0" applyBorder="0">
      <alignment horizontal="left"/>
    </xf>
    <xf numFmtId="190" fontId="6" fillId="0" borderId="0" applyFill="0" applyBorder="0"/>
    <xf numFmtId="191" fontId="6" fillId="0" borderId="0" applyFill="0" applyBorder="0"/>
    <xf numFmtId="49" fontId="6" fillId="8" borderId="42">
      <alignment horizontal="center"/>
    </xf>
    <xf numFmtId="192" fontId="6" fillId="8" borderId="42">
      <alignment horizontal="right"/>
    </xf>
    <xf numFmtId="14" fontId="6" fillId="8" borderId="0" applyBorder="0">
      <alignment horizontal="center"/>
    </xf>
    <xf numFmtId="49" fontId="6" fillId="0" borderId="42"/>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46" applyBorder="0"/>
    <xf numFmtId="8" fontId="62" fillId="0" borderId="0" applyFont="0" applyFill="0" applyBorder="0" applyAlignment="0" applyProtection="0"/>
    <xf numFmtId="6" fontId="62" fillId="0" borderId="0" applyFont="0" applyFill="0" applyBorder="0" applyAlignment="0" applyProtection="0"/>
    <xf numFmtId="193" fontId="2" fillId="0" borderId="0" applyFont="0" applyFill="0" applyBorder="0" applyAlignment="0" applyProtection="0"/>
    <xf numFmtId="6" fontId="6" fillId="0" borderId="0" applyFont="0" applyFill="0" applyBorder="0" applyAlignment="0" applyProtection="0">
      <alignment vertical="center"/>
    </xf>
    <xf numFmtId="14" fontId="6" fillId="0" borderId="7" applyBorder="0">
      <alignment horizontal="left"/>
    </xf>
    <xf numFmtId="0" fontId="79" fillId="18" borderId="67" applyNumberFormat="0" applyAlignment="0" applyProtection="0">
      <alignment vertical="center"/>
    </xf>
    <xf numFmtId="0" fontId="79" fillId="18" borderId="67" applyNumberFormat="0" applyAlignment="0" applyProtection="0">
      <alignment vertical="center"/>
    </xf>
    <xf numFmtId="0" fontId="79" fillId="18" borderId="67" applyNumberFormat="0" applyAlignment="0" applyProtection="0">
      <alignment vertical="center"/>
    </xf>
    <xf numFmtId="0" fontId="79" fillId="15" borderId="67" applyNumberFormat="0" applyAlignment="0" applyProtection="0">
      <alignment vertical="center"/>
    </xf>
    <xf numFmtId="14" fontId="6" fillId="0" borderId="0" applyFill="0" applyBorder="0"/>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1"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6" fillId="0" borderId="0">
      <alignment vertical="top" wrapText="1"/>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 fillId="0" borderId="0"/>
    <xf numFmtId="0" fontId="2" fillId="0" borderId="0"/>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0" borderId="0"/>
    <xf numFmtId="0" fontId="36"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 fillId="0" borderId="0"/>
    <xf numFmtId="0" fontId="28" fillId="0" borderId="0">
      <alignment vertical="center"/>
    </xf>
    <xf numFmtId="0" fontId="28" fillId="0" borderId="0">
      <alignment vertical="center"/>
    </xf>
    <xf numFmtId="0" fontId="76" fillId="0" borderId="0">
      <alignment vertical="center"/>
    </xf>
    <xf numFmtId="0" fontId="76"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6" fillId="0" borderId="0">
      <alignment vertical="top"/>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6"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6"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76"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76"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6" fillId="0" borderId="0">
      <alignment vertical="top"/>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76"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1"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 fillId="0" borderId="0"/>
    <xf numFmtId="0" fontId="56" fillId="0" borderId="0" applyNumberFormat="0"/>
    <xf numFmtId="0" fontId="23" fillId="0" borderId="0">
      <alignment vertical="center"/>
    </xf>
    <xf numFmtId="0" fontId="56" fillId="0" borderId="0" applyNumberFormat="0"/>
    <xf numFmtId="0" fontId="82" fillId="0" borderId="0" applyNumberFormat="0" applyFill="0" applyBorder="0" applyAlignment="0" applyProtection="0">
      <alignment vertical="top"/>
      <protection locked="0"/>
    </xf>
    <xf numFmtId="49" fontId="6" fillId="0" borderId="0" applyBorder="0">
      <alignment horizontal="left"/>
    </xf>
    <xf numFmtId="0" fontId="72" fillId="0" borderId="0"/>
    <xf numFmtId="0" fontId="15" fillId="0" borderId="0"/>
    <xf numFmtId="0" fontId="15" fillId="0" borderId="0"/>
    <xf numFmtId="0" fontId="83" fillId="17" borderId="0" applyNumberFormat="0" applyBorder="0" applyAlignment="0" applyProtection="0">
      <alignment vertical="center"/>
    </xf>
    <xf numFmtId="0" fontId="83" fillId="17" borderId="0" applyNumberFormat="0" applyBorder="0" applyAlignment="0" applyProtection="0">
      <alignment vertical="center"/>
    </xf>
    <xf numFmtId="0" fontId="83" fillId="17" borderId="0" applyNumberFormat="0" applyBorder="0" applyAlignment="0" applyProtection="0">
      <alignment vertical="center"/>
    </xf>
    <xf numFmtId="0" fontId="83" fillId="14" borderId="0" applyNumberFormat="0" applyBorder="0" applyAlignment="0" applyProtection="0">
      <alignment vertical="center"/>
    </xf>
    <xf numFmtId="0" fontId="2" fillId="0" borderId="0"/>
    <xf numFmtId="0" fontId="2" fillId="0" borderId="0">
      <alignment vertical="center"/>
    </xf>
    <xf numFmtId="0" fontId="2" fillId="0" borderId="0">
      <alignment vertical="center"/>
    </xf>
    <xf numFmtId="0" fontId="25" fillId="0" borderId="61">
      <alignment vertical="center"/>
    </xf>
    <xf numFmtId="0" fontId="28" fillId="17" borderId="0" applyNumberFormat="0" applyBorder="0" applyAlignment="0" applyProtection="0">
      <alignment vertical="center"/>
    </xf>
    <xf numFmtId="0" fontId="28" fillId="11" borderId="0" applyNumberFormat="0" applyBorder="0" applyAlignment="0" applyProtection="0">
      <alignment vertical="center"/>
    </xf>
    <xf numFmtId="0" fontId="84" fillId="0" borderId="0"/>
    <xf numFmtId="0" fontId="84" fillId="0" borderId="0"/>
    <xf numFmtId="0" fontId="84" fillId="0" borderId="0"/>
    <xf numFmtId="0" fontId="84" fillId="0" borderId="0"/>
    <xf numFmtId="0" fontId="84" fillId="0" borderId="0"/>
    <xf numFmtId="0" fontId="29" fillId="24" borderId="0" applyNumberFormat="0" applyBorder="0" applyAlignment="0" applyProtection="0">
      <alignment vertical="center"/>
    </xf>
    <xf numFmtId="0" fontId="52" fillId="31" borderId="62" applyNumberFormat="0" applyAlignment="0" applyProtection="0">
      <alignment vertical="center"/>
    </xf>
    <xf numFmtId="0" fontId="88" fillId="0" borderId="0" applyNumberFormat="0" applyFill="0" applyBorder="0" applyAlignment="0" applyProtection="0">
      <alignment vertical="top"/>
      <protection locked="0"/>
    </xf>
    <xf numFmtId="0" fontId="84" fillId="0" borderId="0"/>
    <xf numFmtId="0" fontId="84" fillId="0" borderId="0"/>
    <xf numFmtId="0" fontId="84" fillId="0" borderId="0"/>
    <xf numFmtId="0" fontId="84" fillId="0" borderId="0"/>
    <xf numFmtId="0" fontId="84" fillId="0" borderId="0"/>
    <xf numFmtId="0" fontId="57" fillId="0" borderId="0" applyNumberFormat="0" applyFill="0" applyBorder="0" applyAlignment="0" applyProtection="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188" fontId="84" fillId="0" borderId="0"/>
    <xf numFmtId="0" fontId="77" fillId="0" borderId="0" applyNumberFormat="0" applyFill="0" applyBorder="0" applyAlignment="0" applyProtection="0">
      <alignment vertical="center"/>
    </xf>
    <xf numFmtId="6" fontId="7" fillId="0" borderId="0" applyFont="0" applyFill="0" applyBorder="0" applyAlignment="0" applyProtection="0"/>
    <xf numFmtId="6" fontId="6" fillId="0" borderId="0" applyFont="0" applyFill="0" applyBorder="0" applyAlignment="0" applyProtection="0">
      <alignment vertical="center"/>
    </xf>
    <xf numFmtId="6" fontId="6" fillId="0" borderId="0" applyFont="0" applyFill="0" applyBorder="0" applyAlignment="0" applyProtection="0">
      <alignment vertical="center"/>
    </xf>
    <xf numFmtId="0" fontId="2" fillId="0" borderId="0"/>
    <xf numFmtId="0" fontId="87" fillId="0" borderId="0">
      <alignment vertical="center"/>
    </xf>
    <xf numFmtId="0" fontId="87" fillId="0" borderId="0">
      <alignment vertical="center"/>
    </xf>
    <xf numFmtId="0" fontId="28" fillId="0" borderId="0">
      <alignment vertical="center"/>
    </xf>
    <xf numFmtId="0" fontId="81" fillId="0" borderId="0"/>
    <xf numFmtId="0" fontId="28" fillId="0" borderId="0">
      <alignment vertical="center"/>
    </xf>
    <xf numFmtId="0" fontId="87" fillId="0" borderId="0">
      <alignment vertical="center"/>
    </xf>
    <xf numFmtId="0" fontId="28" fillId="0" borderId="0">
      <alignment vertical="center"/>
    </xf>
    <xf numFmtId="0" fontId="28" fillId="0" borderId="0">
      <alignment vertical="center"/>
    </xf>
    <xf numFmtId="0" fontId="2" fillId="0" borderId="0"/>
    <xf numFmtId="0" fontId="84" fillId="0" borderId="0"/>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 fillId="0" borderId="0">
      <alignment vertical="center"/>
    </xf>
    <xf numFmtId="0" fontId="56" fillId="0" borderId="0">
      <alignment vertical="top" wrapText="1"/>
    </xf>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8" fillId="0" borderId="0">
      <alignment vertical="center"/>
    </xf>
    <xf numFmtId="0" fontId="56" fillId="0" borderId="0">
      <alignment vertical="top" wrapText="1"/>
    </xf>
    <xf numFmtId="0" fontId="28" fillId="0" borderId="0">
      <alignment vertical="center"/>
    </xf>
    <xf numFmtId="0" fontId="2"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8" fillId="0" borderId="0">
      <alignment vertical="center"/>
    </xf>
    <xf numFmtId="0" fontId="2" fillId="0" borderId="0"/>
    <xf numFmtId="0" fontId="2"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6" fillId="0" borderId="0">
      <alignment vertical="top"/>
    </xf>
    <xf numFmtId="0" fontId="56" fillId="0" borderId="0">
      <alignment vertical="top"/>
    </xf>
    <xf numFmtId="0" fontId="7" fillId="0" borderId="0"/>
    <xf numFmtId="0" fontId="2" fillId="0" borderId="0">
      <alignment vertical="center"/>
    </xf>
    <xf numFmtId="0" fontId="56" fillId="0" borderId="0">
      <alignment vertical="top"/>
    </xf>
    <xf numFmtId="0" fontId="28" fillId="0" borderId="0">
      <alignment vertical="center"/>
    </xf>
    <xf numFmtId="0" fontId="2"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7" fillId="0" borderId="0"/>
    <xf numFmtId="0" fontId="56" fillId="0" borderId="0">
      <alignment vertical="center"/>
    </xf>
    <xf numFmtId="0" fontId="28" fillId="0" borderId="0">
      <alignment vertical="center"/>
    </xf>
    <xf numFmtId="0" fontId="56" fillId="0" borderId="0">
      <alignment vertical="center"/>
    </xf>
    <xf numFmtId="0" fontId="28" fillId="0" borderId="0">
      <alignment vertical="center"/>
    </xf>
    <xf numFmtId="0" fontId="28" fillId="0" borderId="0">
      <alignment vertical="center"/>
    </xf>
    <xf numFmtId="0" fontId="28" fillId="0" borderId="0"/>
    <xf numFmtId="0" fontId="28" fillId="0" borderId="0"/>
    <xf numFmtId="0" fontId="28" fillId="0" borderId="0">
      <alignment vertical="center"/>
    </xf>
    <xf numFmtId="0" fontId="28" fillId="0" borderId="0">
      <alignment vertical="center"/>
    </xf>
    <xf numFmtId="0" fontId="28" fillId="0" borderId="0">
      <alignment vertical="center"/>
    </xf>
    <xf numFmtId="0" fontId="56" fillId="0" borderId="0">
      <alignment vertical="top"/>
    </xf>
    <xf numFmtId="0" fontId="28" fillId="0" borderId="0">
      <alignment vertical="center"/>
    </xf>
    <xf numFmtId="0" fontId="28" fillId="0" borderId="0">
      <alignment vertical="center"/>
    </xf>
    <xf numFmtId="0" fontId="28" fillId="0" borderId="0">
      <alignment vertical="center"/>
    </xf>
    <xf numFmtId="0" fontId="28" fillId="0" borderId="0"/>
    <xf numFmtId="0" fontId="81" fillId="0" borderId="0"/>
    <xf numFmtId="0" fontId="28" fillId="0" borderId="0">
      <alignment vertical="center"/>
    </xf>
    <xf numFmtId="0" fontId="28"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76" fillId="0" borderId="0" applyFont="0" applyFill="0" applyBorder="0" applyAlignment="0" applyProtection="0">
      <alignment vertical="center"/>
    </xf>
    <xf numFmtId="6" fontId="76" fillId="0" borderId="0" applyFont="0" applyFill="0" applyBorder="0" applyAlignment="0" applyProtection="0">
      <alignment vertical="center"/>
    </xf>
    <xf numFmtId="0" fontId="76"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89" fillId="0" borderId="0"/>
    <xf numFmtId="0" fontId="76" fillId="0" borderId="0">
      <alignment vertical="center"/>
    </xf>
    <xf numFmtId="0" fontId="8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825">
    <xf numFmtId="0" fontId="0" fillId="0" borderId="0" xfId="0"/>
    <xf numFmtId="0" fontId="7" fillId="0" borderId="0" xfId="2" applyBorder="1" applyProtection="1">
      <protection locked="0"/>
    </xf>
    <xf numFmtId="0" fontId="7" fillId="0" borderId="0" xfId="2" applyProtection="1">
      <protection locked="0"/>
    </xf>
    <xf numFmtId="0" fontId="7" fillId="0" borderId="0" xfId="2" applyFill="1" applyBorder="1" applyProtection="1">
      <protection locked="0"/>
    </xf>
    <xf numFmtId="0" fontId="8" fillId="0" borderId="0" xfId="2" applyFont="1" applyFill="1" applyBorder="1" applyAlignment="1" applyProtection="1">
      <alignment horizontal="center" vertical="center"/>
      <protection locked="0"/>
    </xf>
    <xf numFmtId="0" fontId="9" fillId="0" borderId="0" xfId="2" applyFont="1" applyFill="1" applyBorder="1" applyProtection="1">
      <protection locked="0"/>
    </xf>
    <xf numFmtId="0" fontId="10" fillId="0" borderId="0" xfId="2" applyFont="1" applyFill="1" applyBorder="1" applyProtection="1">
      <protection locked="0"/>
    </xf>
    <xf numFmtId="177" fontId="11" fillId="0" borderId="0" xfId="2" applyNumberFormat="1" applyFont="1" applyFill="1" applyBorder="1" applyAlignment="1" applyProtection="1">
      <alignment horizontal="center" vertical="center"/>
      <protection locked="0"/>
    </xf>
    <xf numFmtId="0" fontId="12" fillId="0" borderId="0" xfId="2" applyFont="1" applyFill="1" applyBorder="1" applyProtection="1">
      <protection locked="0"/>
    </xf>
    <xf numFmtId="0" fontId="13" fillId="0" borderId="4" xfId="2" applyFont="1" applyFill="1" applyBorder="1" applyAlignment="1" applyProtection="1">
      <alignment vertical="center" wrapText="1"/>
      <protection locked="0"/>
    </xf>
    <xf numFmtId="0" fontId="7" fillId="0" borderId="0" xfId="2" applyFont="1" applyProtection="1">
      <protection locked="0"/>
    </xf>
    <xf numFmtId="178" fontId="5" fillId="0" borderId="8" xfId="2" applyNumberFormat="1" applyFont="1" applyFill="1" applyBorder="1" applyAlignment="1" applyProtection="1">
      <alignment vertical="center"/>
      <protection locked="0"/>
    </xf>
    <xf numFmtId="178" fontId="16" fillId="0" borderId="0" xfId="2" applyNumberFormat="1" applyFont="1" applyBorder="1" applyAlignment="1" applyProtection="1">
      <alignment vertical="center"/>
      <protection locked="0"/>
    </xf>
    <xf numFmtId="0" fontId="7" fillId="0" borderId="0" xfId="2" applyFill="1" applyBorder="1" applyAlignment="1" applyProtection="1">
      <protection locked="0"/>
    </xf>
    <xf numFmtId="178" fontId="16" fillId="0" borderId="8" xfId="2" applyNumberFormat="1" applyFont="1" applyBorder="1" applyAlignment="1" applyProtection="1">
      <alignment vertical="center"/>
      <protection locked="0"/>
    </xf>
    <xf numFmtId="0" fontId="2" fillId="0" borderId="0" xfId="2" applyFont="1" applyProtection="1">
      <protection locked="0"/>
    </xf>
    <xf numFmtId="0" fontId="17" fillId="0" borderId="0" xfId="2" applyFont="1" applyFill="1" applyBorder="1" applyAlignment="1" applyProtection="1">
      <alignment horizontal="center" vertical="center"/>
      <protection locked="0"/>
    </xf>
    <xf numFmtId="0" fontId="2" fillId="0" borderId="0" xfId="2" applyFont="1" applyFill="1" applyBorder="1" applyAlignment="1" applyProtection="1">
      <alignment horizontal="center" vertical="center"/>
      <protection locked="0"/>
    </xf>
    <xf numFmtId="0" fontId="7" fillId="0" borderId="0" xfId="2" applyFont="1" applyBorder="1" applyAlignment="1" applyProtection="1">
      <alignment horizontal="center"/>
      <protection locked="0"/>
    </xf>
    <xf numFmtId="0" fontId="7" fillId="0" borderId="0" xfId="2" applyBorder="1" applyAlignment="1" applyProtection="1">
      <protection locked="0"/>
    </xf>
    <xf numFmtId="0" fontId="7" fillId="0" borderId="0" xfId="2" applyBorder="1" applyAlignment="1" applyProtection="1">
      <alignment horizontal="center"/>
      <protection locked="0"/>
    </xf>
    <xf numFmtId="176" fontId="7" fillId="0" borderId="0" xfId="2" applyNumberFormat="1" applyBorder="1" applyAlignment="1" applyProtection="1">
      <alignment horizontal="center"/>
      <protection locked="0"/>
    </xf>
    <xf numFmtId="0" fontId="2" fillId="0" borderId="0" xfId="2132" applyFont="1" applyAlignment="1">
      <alignment vertical="top"/>
    </xf>
    <xf numFmtId="0" fontId="6" fillId="0" borderId="0" xfId="2132" applyFont="1">
      <alignment vertical="center"/>
    </xf>
    <xf numFmtId="0" fontId="6" fillId="0" borderId="45" xfId="2132" applyFont="1" applyBorder="1">
      <alignment vertical="center"/>
    </xf>
    <xf numFmtId="0" fontId="6" fillId="0" borderId="44" xfId="2132" applyFont="1" applyBorder="1">
      <alignment vertical="center"/>
    </xf>
    <xf numFmtId="0" fontId="6" fillId="0" borderId="43" xfId="2132" applyFont="1" applyBorder="1">
      <alignment vertical="center"/>
    </xf>
    <xf numFmtId="0" fontId="21" fillId="0" borderId="0" xfId="2132" applyFont="1" applyAlignment="1">
      <alignment vertical="center"/>
    </xf>
    <xf numFmtId="0" fontId="2" fillId="0" borderId="0" xfId="2132" applyAlignment="1">
      <alignment vertical="top"/>
    </xf>
    <xf numFmtId="0" fontId="2" fillId="0" borderId="0" xfId="2132" applyFont="1">
      <alignment vertical="center"/>
    </xf>
    <xf numFmtId="0" fontId="23" fillId="0" borderId="0" xfId="2132" applyFont="1" applyBorder="1">
      <alignment vertical="center"/>
    </xf>
    <xf numFmtId="0" fontId="2" fillId="0" borderId="0" xfId="2132" applyBorder="1">
      <alignment vertical="center"/>
    </xf>
    <xf numFmtId="0" fontId="23" fillId="0" borderId="0" xfId="2132" applyFont="1">
      <alignment vertical="center"/>
    </xf>
    <xf numFmtId="0" fontId="24" fillId="6" borderId="40" xfId="2132" applyFont="1" applyFill="1" applyBorder="1">
      <alignment vertical="center"/>
    </xf>
    <xf numFmtId="0" fontId="24" fillId="6" borderId="82" xfId="2132" applyFont="1" applyFill="1" applyBorder="1">
      <alignment vertical="center"/>
    </xf>
    <xf numFmtId="0" fontId="24" fillId="6" borderId="81" xfId="2132" applyFont="1" applyFill="1" applyBorder="1">
      <alignment vertical="center"/>
    </xf>
    <xf numFmtId="0" fontId="24" fillId="6" borderId="39" xfId="2132" applyFont="1" applyFill="1" applyBorder="1">
      <alignment vertical="center"/>
    </xf>
    <xf numFmtId="0" fontId="24" fillId="6" borderId="80" xfId="2132" applyFont="1" applyFill="1" applyBorder="1">
      <alignment vertical="center"/>
    </xf>
    <xf numFmtId="0" fontId="2" fillId="0" borderId="0" xfId="2132">
      <alignment vertical="center"/>
    </xf>
    <xf numFmtId="0" fontId="25" fillId="0" borderId="0" xfId="2132" applyFont="1" applyAlignment="1">
      <alignment vertical="center"/>
    </xf>
    <xf numFmtId="0" fontId="23" fillId="0" borderId="0" xfId="2142" quotePrefix="1" applyFont="1" applyBorder="1">
      <alignment vertical="center"/>
    </xf>
    <xf numFmtId="49" fontId="24" fillId="7" borderId="2" xfId="2142" applyNumberFormat="1" applyFont="1" applyFill="1" applyBorder="1">
      <alignment vertical="center"/>
    </xf>
    <xf numFmtId="49" fontId="24" fillId="7" borderId="77" xfId="2142" applyNumberFormat="1" applyFont="1" applyFill="1" applyBorder="1">
      <alignment vertical="center"/>
    </xf>
    <xf numFmtId="0" fontId="24" fillId="0" borderId="56" xfId="2142" applyNumberFormat="1" applyFont="1" applyFill="1" applyBorder="1">
      <alignment vertical="center"/>
    </xf>
    <xf numFmtId="0" fontId="24" fillId="0" borderId="85" xfId="2142" applyNumberFormat="1" applyFont="1" applyFill="1" applyBorder="1">
      <alignment vertical="center"/>
    </xf>
    <xf numFmtId="0" fontId="24" fillId="0" borderId="46" xfId="2142" applyNumberFormat="1" applyFont="1" applyFill="1" applyBorder="1">
      <alignment vertical="center"/>
    </xf>
    <xf numFmtId="0" fontId="23" fillId="0" borderId="0" xfId="2142" applyFont="1" applyBorder="1">
      <alignment vertical="center"/>
    </xf>
    <xf numFmtId="49" fontId="24" fillId="7" borderId="83" xfId="2142" applyNumberFormat="1" applyFont="1" applyFill="1" applyBorder="1">
      <alignment vertical="center"/>
    </xf>
    <xf numFmtId="49" fontId="23" fillId="7" borderId="77" xfId="2142" applyNumberFormat="1" applyFont="1" applyFill="1" applyBorder="1">
      <alignment vertical="center"/>
    </xf>
    <xf numFmtId="49" fontId="23" fillId="0" borderId="0" xfId="2142" applyNumberFormat="1" applyFont="1" applyBorder="1">
      <alignment vertical="center"/>
    </xf>
    <xf numFmtId="49" fontId="23" fillId="0" borderId="8" xfId="2142" applyNumberFormat="1" applyFont="1" applyBorder="1">
      <alignment vertical="center"/>
    </xf>
    <xf numFmtId="49" fontId="23" fillId="0" borderId="9" xfId="2142" applyNumberFormat="1" applyFont="1" applyBorder="1">
      <alignment vertical="center"/>
    </xf>
    <xf numFmtId="49" fontId="23" fillId="0" borderId="47" xfId="2142" applyNumberFormat="1" applyFont="1" applyBorder="1">
      <alignment vertical="center"/>
    </xf>
    <xf numFmtId="49" fontId="24" fillId="7" borderId="1" xfId="2142" applyNumberFormat="1" applyFont="1" applyFill="1" applyBorder="1">
      <alignment vertical="center"/>
    </xf>
    <xf numFmtId="49" fontId="23" fillId="7" borderId="2" xfId="2142" applyNumberFormat="1" applyFont="1" applyFill="1" applyBorder="1">
      <alignment vertical="center"/>
    </xf>
    <xf numFmtId="49" fontId="23" fillId="7" borderId="53" xfId="2142" applyNumberFormat="1" applyFont="1" applyFill="1" applyBorder="1">
      <alignment vertical="center"/>
    </xf>
    <xf numFmtId="0" fontId="23" fillId="0" borderId="46" xfId="2142" applyNumberFormat="1" applyFont="1" applyBorder="1">
      <alignment vertical="center"/>
    </xf>
    <xf numFmtId="49" fontId="23" fillId="0" borderId="4" xfId="2142" applyNumberFormat="1" applyFont="1" applyBorder="1">
      <alignment vertical="center"/>
    </xf>
    <xf numFmtId="49" fontId="23" fillId="0" borderId="10" xfId="2142" applyNumberFormat="1" applyFont="1" applyBorder="1">
      <alignment vertical="center"/>
    </xf>
    <xf numFmtId="49" fontId="23" fillId="0" borderId="11" xfId="2142" applyNumberFormat="1" applyFont="1" applyBorder="1">
      <alignment vertical="center"/>
    </xf>
    <xf numFmtId="49" fontId="23" fillId="0" borderId="50" xfId="2142" applyNumberFormat="1" applyFont="1" applyBorder="1">
      <alignment vertical="center"/>
    </xf>
    <xf numFmtId="0" fontId="23" fillId="0" borderId="60" xfId="2142" applyNumberFormat="1" applyFont="1" applyBorder="1">
      <alignment vertical="center"/>
    </xf>
    <xf numFmtId="0" fontId="23" fillId="0" borderId="46" xfId="2142" applyNumberFormat="1" applyFont="1" applyFill="1" applyBorder="1">
      <alignment vertical="center"/>
    </xf>
    <xf numFmtId="49" fontId="23" fillId="7" borderId="4" xfId="2142" applyNumberFormat="1" applyFont="1" applyFill="1" applyBorder="1">
      <alignment vertical="center"/>
    </xf>
    <xf numFmtId="49" fontId="24" fillId="7" borderId="10" xfId="2142" applyNumberFormat="1" applyFont="1" applyFill="1" applyBorder="1">
      <alignment vertical="center"/>
    </xf>
    <xf numFmtId="0" fontId="86" fillId="36" borderId="87" xfId="2059" applyFont="1" applyFill="1" applyBorder="1" applyAlignment="1">
      <alignment horizontal="left" vertical="top"/>
    </xf>
    <xf numFmtId="0" fontId="86" fillId="36" borderId="88" xfId="2059" applyFont="1" applyFill="1" applyBorder="1" applyAlignment="1">
      <alignment horizontal="left" vertical="top"/>
    </xf>
    <xf numFmtId="0" fontId="86" fillId="36" borderId="88" xfId="2060" applyFont="1" applyFill="1" applyBorder="1" applyAlignment="1">
      <alignment vertical="top"/>
    </xf>
    <xf numFmtId="0" fontId="85" fillId="36" borderId="90" xfId="2059" applyFont="1" applyFill="1" applyBorder="1" applyAlignment="1">
      <alignment horizontal="left" vertical="top"/>
    </xf>
    <xf numFmtId="0" fontId="2" fillId="0" borderId="44" xfId="2132" applyFont="1" applyFill="1" applyBorder="1" applyAlignment="1">
      <alignment vertical="top"/>
    </xf>
    <xf numFmtId="0" fontId="85" fillId="36" borderId="52" xfId="2164" applyFont="1" applyFill="1" applyBorder="1" applyAlignment="1">
      <alignment vertical="top"/>
    </xf>
    <xf numFmtId="0" fontId="86" fillId="0" borderId="44" xfId="2059" applyFont="1" applyFill="1" applyBorder="1" applyAlignment="1">
      <alignment horizontal="left" vertical="top"/>
    </xf>
    <xf numFmtId="0" fontId="86" fillId="0" borderId="24" xfId="2164" applyFont="1" applyFill="1" applyBorder="1" applyAlignment="1">
      <alignment vertical="top"/>
    </xf>
    <xf numFmtId="0" fontId="86" fillId="35" borderId="34" xfId="2059" applyFont="1" applyFill="1" applyBorder="1" applyAlignment="1">
      <alignment horizontal="left" vertical="top"/>
    </xf>
    <xf numFmtId="0" fontId="86" fillId="0" borderId="0" xfId="2132" applyFont="1" applyBorder="1" applyAlignment="1">
      <alignment vertical="top"/>
    </xf>
    <xf numFmtId="0" fontId="86" fillId="0" borderId="46" xfId="2132" applyFont="1" applyBorder="1" applyAlignment="1">
      <alignment vertical="top"/>
    </xf>
    <xf numFmtId="0" fontId="86" fillId="34" borderId="26" xfId="2164" applyFont="1" applyFill="1" applyBorder="1" applyAlignment="1">
      <alignment vertical="top"/>
    </xf>
    <xf numFmtId="0" fontId="86" fillId="34" borderId="24" xfId="2059" applyFont="1" applyFill="1" applyBorder="1" applyAlignment="1">
      <alignment horizontal="left" vertical="top"/>
    </xf>
    <xf numFmtId="0" fontId="86" fillId="34" borderId="24" xfId="2060" applyFont="1" applyFill="1" applyBorder="1" applyAlignment="1">
      <alignment vertical="top"/>
    </xf>
    <xf numFmtId="0" fontId="86" fillId="34" borderId="23" xfId="2164" quotePrefix="1" applyFont="1" applyFill="1" applyBorder="1" applyAlignment="1">
      <alignment vertical="top"/>
    </xf>
    <xf numFmtId="0" fontId="86" fillId="34" borderId="24" xfId="2164" applyFont="1" applyFill="1" applyBorder="1" applyAlignment="1">
      <alignment vertical="top"/>
    </xf>
    <xf numFmtId="0" fontId="85" fillId="34" borderId="52" xfId="2164" applyFont="1" applyFill="1" applyBorder="1" applyAlignment="1">
      <alignment vertical="top"/>
    </xf>
    <xf numFmtId="0" fontId="86" fillId="34" borderId="37" xfId="2164" applyFont="1" applyFill="1" applyBorder="1" applyAlignment="1">
      <alignment vertical="top"/>
    </xf>
    <xf numFmtId="0" fontId="86" fillId="34" borderId="36" xfId="2059" applyFont="1" applyFill="1" applyBorder="1" applyAlignment="1">
      <alignment vertical="top"/>
    </xf>
    <xf numFmtId="0" fontId="86" fillId="34" borderId="36" xfId="2164" applyFont="1" applyFill="1" applyBorder="1" applyAlignment="1">
      <alignment vertical="top"/>
    </xf>
    <xf numFmtId="0" fontId="85" fillId="34" borderId="59" xfId="2164" applyFont="1" applyFill="1" applyBorder="1" applyAlignment="1">
      <alignment vertical="top"/>
    </xf>
    <xf numFmtId="0" fontId="86" fillId="0" borderId="25" xfId="2060" applyFont="1" applyFill="1" applyBorder="1" applyAlignment="1">
      <alignment vertical="top"/>
    </xf>
    <xf numFmtId="0" fontId="86" fillId="36" borderId="24" xfId="2164" applyFont="1" applyFill="1" applyBorder="1" applyAlignment="1">
      <alignment vertical="top"/>
    </xf>
    <xf numFmtId="0" fontId="86" fillId="36" borderId="24" xfId="2059" applyFont="1" applyFill="1" applyBorder="1" applyAlignment="1">
      <alignment vertical="top"/>
    </xf>
    <xf numFmtId="0" fontId="86" fillId="36" borderId="25" xfId="2164" applyFont="1" applyFill="1" applyBorder="1" applyAlignment="1">
      <alignment vertical="top"/>
    </xf>
    <xf numFmtId="0" fontId="85" fillId="36" borderId="86" xfId="2059" applyFont="1" applyFill="1" applyBorder="1" applyAlignment="1">
      <alignment horizontal="left" vertical="top"/>
    </xf>
    <xf numFmtId="0" fontId="85" fillId="36" borderId="88" xfId="2059" applyFont="1" applyFill="1" applyBorder="1" applyAlignment="1">
      <alignment horizontal="left" vertical="top"/>
    </xf>
    <xf numFmtId="0" fontId="85" fillId="36" borderId="88" xfId="2164" applyFont="1" applyFill="1" applyBorder="1" applyAlignment="1">
      <alignment vertical="top"/>
    </xf>
    <xf numFmtId="0" fontId="85" fillId="36" borderId="86" xfId="2164" applyFont="1" applyFill="1" applyBorder="1" applyAlignment="1">
      <alignment vertical="top"/>
    </xf>
    <xf numFmtId="0" fontId="85" fillId="36" borderId="89" xfId="2164" applyFont="1" applyFill="1" applyBorder="1" applyAlignment="1">
      <alignment vertical="top"/>
    </xf>
    <xf numFmtId="0" fontId="86" fillId="0" borderId="44" xfId="2060" applyFont="1" applyFill="1" applyBorder="1" applyAlignment="1">
      <alignment vertical="top"/>
    </xf>
    <xf numFmtId="0" fontId="86" fillId="0" borderId="44" xfId="2164" applyFont="1" applyFill="1" applyBorder="1" applyAlignment="1">
      <alignment vertical="top"/>
    </xf>
    <xf numFmtId="0" fontId="86" fillId="0" borderId="45" xfId="2164" applyFont="1" applyFill="1" applyBorder="1" applyAlignment="1">
      <alignment vertical="top"/>
    </xf>
    <xf numFmtId="49" fontId="24" fillId="7" borderId="4" xfId="2142" applyNumberFormat="1" applyFont="1" applyFill="1" applyBorder="1">
      <alignment vertical="center"/>
    </xf>
    <xf numFmtId="0" fontId="24" fillId="0" borderId="56" xfId="2142" applyNumberFormat="1" applyFont="1" applyFill="1" applyBorder="1" applyAlignment="1">
      <alignment vertical="center" shrinkToFit="1"/>
    </xf>
    <xf numFmtId="0" fontId="23" fillId="0" borderId="0" xfId="3" applyFont="1" applyFill="1" applyBorder="1" applyAlignment="1">
      <alignment vertical="center"/>
    </xf>
    <xf numFmtId="49" fontId="23" fillId="0" borderId="8" xfId="2142" applyNumberFormat="1" applyFont="1" applyFill="1" applyBorder="1">
      <alignment vertical="center"/>
    </xf>
    <xf numFmtId="49" fontId="23" fillId="0" borderId="0" xfId="2142" applyNumberFormat="1" applyFont="1" applyFill="1" applyBorder="1">
      <alignment vertical="center"/>
    </xf>
    <xf numFmtId="49" fontId="23" fillId="0" borderId="0" xfId="2142" quotePrefix="1" applyNumberFormat="1" applyFont="1" applyFill="1" applyBorder="1">
      <alignment vertical="center"/>
    </xf>
    <xf numFmtId="49" fontId="23" fillId="0" borderId="10" xfId="2142" applyNumberFormat="1" applyFont="1" applyFill="1" applyBorder="1">
      <alignment vertical="center"/>
    </xf>
    <xf numFmtId="49" fontId="23" fillId="0" borderId="4" xfId="2142" applyNumberFormat="1" applyFont="1" applyFill="1" applyBorder="1">
      <alignment vertical="center"/>
    </xf>
    <xf numFmtId="0" fontId="23" fillId="0" borderId="0" xfId="2142" applyFont="1" applyFill="1" applyBorder="1">
      <alignment vertical="center"/>
    </xf>
    <xf numFmtId="0" fontId="23" fillId="39" borderId="1" xfId="2142" applyFont="1" applyFill="1" applyBorder="1">
      <alignment vertical="center"/>
    </xf>
    <xf numFmtId="49" fontId="23" fillId="39" borderId="2" xfId="2142" applyNumberFormat="1" applyFont="1" applyFill="1" applyBorder="1">
      <alignment vertical="center"/>
    </xf>
    <xf numFmtId="49" fontId="23" fillId="39" borderId="3" xfId="2142" applyNumberFormat="1" applyFont="1" applyFill="1" applyBorder="1">
      <alignment vertical="center"/>
    </xf>
    <xf numFmtId="49" fontId="23" fillId="39" borderId="1" xfId="2142" applyNumberFormat="1" applyFont="1" applyFill="1" applyBorder="1">
      <alignment vertical="center"/>
    </xf>
    <xf numFmtId="0" fontId="23" fillId="0" borderId="1" xfId="2142" applyFont="1" applyBorder="1">
      <alignment vertical="center"/>
    </xf>
    <xf numFmtId="49" fontId="23" fillId="0" borderId="2" xfId="2142" applyNumberFormat="1" applyFont="1" applyBorder="1">
      <alignment vertical="center"/>
    </xf>
    <xf numFmtId="49" fontId="23" fillId="0" borderId="3" xfId="2142" applyNumberFormat="1" applyFont="1" applyBorder="1">
      <alignment vertical="center"/>
    </xf>
    <xf numFmtId="49" fontId="23" fillId="0" borderId="1" xfId="2142" applyNumberFormat="1" applyFont="1" applyBorder="1">
      <alignment vertical="center"/>
    </xf>
    <xf numFmtId="0" fontId="23" fillId="35" borderId="1" xfId="2142" applyFont="1" applyFill="1" applyBorder="1">
      <alignment vertical="center"/>
    </xf>
    <xf numFmtId="49" fontId="23" fillId="35" borderId="2" xfId="2142" applyNumberFormat="1" applyFont="1" applyFill="1" applyBorder="1">
      <alignment vertical="center"/>
    </xf>
    <xf numFmtId="49" fontId="23" fillId="35" borderId="3" xfId="2142" applyNumberFormat="1" applyFont="1" applyFill="1" applyBorder="1">
      <alignment vertical="center"/>
    </xf>
    <xf numFmtId="49" fontId="23" fillId="35" borderId="1" xfId="2142" applyNumberFormat="1" applyFont="1" applyFill="1" applyBorder="1">
      <alignment vertical="center"/>
    </xf>
    <xf numFmtId="0" fontId="23" fillId="38" borderId="1" xfId="2142" applyFont="1" applyFill="1" applyBorder="1">
      <alignment vertical="center"/>
    </xf>
    <xf numFmtId="49" fontId="23" fillId="38" borderId="2" xfId="2142" applyNumberFormat="1" applyFont="1" applyFill="1" applyBorder="1">
      <alignment vertical="center"/>
    </xf>
    <xf numFmtId="49" fontId="23" fillId="38" borderId="3" xfId="2142" applyNumberFormat="1" applyFont="1" applyFill="1" applyBorder="1">
      <alignment vertical="center"/>
    </xf>
    <xf numFmtId="49" fontId="23" fillId="0" borderId="1" xfId="2142" applyNumberFormat="1" applyFont="1" applyFill="1" applyBorder="1">
      <alignment vertical="center"/>
    </xf>
    <xf numFmtId="49" fontId="23" fillId="0" borderId="2" xfId="2142" applyNumberFormat="1" applyFont="1" applyFill="1" applyBorder="1">
      <alignment vertical="center"/>
    </xf>
    <xf numFmtId="49" fontId="23" fillId="0" borderId="5" xfId="2142" applyNumberFormat="1" applyFont="1" applyFill="1" applyBorder="1">
      <alignment vertical="center"/>
    </xf>
    <xf numFmtId="49" fontId="23" fillId="38" borderId="1" xfId="2142" applyNumberFormat="1" applyFont="1" applyFill="1" applyBorder="1">
      <alignment vertical="center"/>
    </xf>
    <xf numFmtId="49" fontId="23" fillId="38" borderId="0" xfId="2142" applyNumberFormat="1" applyFont="1" applyFill="1" applyBorder="1">
      <alignment vertical="center"/>
    </xf>
    <xf numFmtId="0" fontId="23" fillId="0" borderId="0" xfId="2142" quotePrefix="1" applyFont="1" applyFill="1" applyBorder="1">
      <alignment vertical="center"/>
    </xf>
    <xf numFmtId="0" fontId="23" fillId="0" borderId="1" xfId="3" applyFont="1" applyBorder="1"/>
    <xf numFmtId="0" fontId="23" fillId="0" borderId="2" xfId="3" applyFont="1" applyBorder="1"/>
    <xf numFmtId="0" fontId="23" fillId="0" borderId="3" xfId="3" applyFont="1" applyBorder="1"/>
    <xf numFmtId="0" fontId="23" fillId="39" borderId="1" xfId="3" applyFont="1" applyFill="1" applyBorder="1"/>
    <xf numFmtId="0" fontId="23" fillId="39" borderId="2" xfId="3" applyFont="1" applyFill="1" applyBorder="1"/>
    <xf numFmtId="0" fontId="23" fillId="39" borderId="3" xfId="3" applyFont="1" applyFill="1" applyBorder="1"/>
    <xf numFmtId="49" fontId="23" fillId="0" borderId="3" xfId="2142" applyNumberFormat="1" applyFont="1" applyFill="1" applyBorder="1">
      <alignment vertical="center"/>
    </xf>
    <xf numFmtId="49" fontId="23" fillId="7" borderId="53" xfId="2142" applyNumberFormat="1" applyFont="1" applyFill="1" applyBorder="1" applyAlignment="1">
      <alignment horizontal="right" vertical="center"/>
    </xf>
    <xf numFmtId="49" fontId="23" fillId="0" borderId="47" xfId="2142" applyNumberFormat="1" applyFont="1" applyBorder="1" applyAlignment="1">
      <alignment horizontal="right" vertical="center"/>
    </xf>
    <xf numFmtId="49" fontId="23" fillId="7" borderId="78" xfId="2142" applyNumberFormat="1" applyFont="1" applyFill="1" applyBorder="1" applyAlignment="1">
      <alignment horizontal="right" vertical="center"/>
    </xf>
    <xf numFmtId="0" fontId="90" fillId="0" borderId="46" xfId="2142" applyNumberFormat="1" applyFont="1" applyBorder="1">
      <alignment vertical="center"/>
    </xf>
    <xf numFmtId="49" fontId="90" fillId="0" borderId="0" xfId="2142" applyNumberFormat="1" applyFont="1" applyBorder="1">
      <alignment vertical="center"/>
    </xf>
    <xf numFmtId="49" fontId="90" fillId="0" borderId="9" xfId="2142" applyNumberFormat="1" applyFont="1" applyBorder="1">
      <alignment vertical="center"/>
    </xf>
    <xf numFmtId="49" fontId="90" fillId="0" borderId="8" xfId="2142" applyNumberFormat="1" applyFont="1" applyBorder="1">
      <alignment vertical="center"/>
    </xf>
    <xf numFmtId="49" fontId="23" fillId="0" borderId="0" xfId="2142" quotePrefix="1" applyNumberFormat="1" applyFont="1" applyBorder="1">
      <alignment vertical="center"/>
    </xf>
    <xf numFmtId="49" fontId="23" fillId="41" borderId="5" xfId="2142" applyNumberFormat="1" applyFont="1" applyFill="1" applyBorder="1">
      <alignment vertical="center"/>
    </xf>
    <xf numFmtId="49" fontId="23" fillId="41" borderId="2" xfId="2142" applyNumberFormat="1" applyFont="1" applyFill="1" applyBorder="1">
      <alignment vertical="center"/>
    </xf>
    <xf numFmtId="49" fontId="23" fillId="41" borderId="3" xfId="2142" applyNumberFormat="1" applyFont="1" applyFill="1" applyBorder="1">
      <alignment vertical="center"/>
    </xf>
    <xf numFmtId="49" fontId="23" fillId="41" borderId="10" xfId="2142" applyNumberFormat="1" applyFont="1" applyFill="1" applyBorder="1">
      <alignment vertical="center"/>
    </xf>
    <xf numFmtId="49" fontId="23" fillId="41" borderId="4" xfId="2142" applyNumberFormat="1" applyFont="1" applyFill="1" applyBorder="1">
      <alignment vertical="center"/>
    </xf>
    <xf numFmtId="49" fontId="23" fillId="41" borderId="11" xfId="2142" applyNumberFormat="1" applyFont="1" applyFill="1" applyBorder="1">
      <alignment vertical="center"/>
    </xf>
    <xf numFmtId="0" fontId="23" fillId="41" borderId="10" xfId="2132" applyFont="1" applyFill="1" applyBorder="1">
      <alignment vertical="center"/>
    </xf>
    <xf numFmtId="0" fontId="23" fillId="41" borderId="4" xfId="2132" applyFont="1" applyFill="1" applyBorder="1">
      <alignment vertical="center"/>
    </xf>
    <xf numFmtId="0" fontId="23" fillId="41" borderId="11" xfId="2132" applyFont="1" applyFill="1" applyBorder="1">
      <alignment vertical="center"/>
    </xf>
    <xf numFmtId="49" fontId="23" fillId="0" borderId="5" xfId="2142" applyNumberFormat="1" applyFont="1" applyBorder="1">
      <alignment vertical="center"/>
    </xf>
    <xf numFmtId="0" fontId="91" fillId="0" borderId="0" xfId="2132" applyFont="1">
      <alignment vertical="center"/>
    </xf>
    <xf numFmtId="49" fontId="90" fillId="0" borderId="8" xfId="2142" applyNumberFormat="1" applyFont="1" applyBorder="1" applyAlignment="1">
      <alignment horizontal="center" vertical="center"/>
    </xf>
    <xf numFmtId="49" fontId="90" fillId="0" borderId="9" xfId="2142" applyNumberFormat="1" applyFont="1" applyBorder="1" applyAlignment="1">
      <alignment horizontal="center" vertical="center"/>
    </xf>
    <xf numFmtId="0" fontId="2" fillId="0" borderId="0" xfId="2132" applyFont="1" applyBorder="1">
      <alignment vertical="center"/>
    </xf>
    <xf numFmtId="49" fontId="94" fillId="0" borderId="8" xfId="2142" applyNumberFormat="1" applyFont="1" applyFill="1" applyBorder="1">
      <alignment vertical="center"/>
    </xf>
    <xf numFmtId="49" fontId="94" fillId="0" borderId="0" xfId="2142" applyNumberFormat="1" applyFont="1" applyFill="1" applyBorder="1">
      <alignment vertical="center"/>
    </xf>
    <xf numFmtId="49" fontId="94" fillId="0" borderId="0" xfId="2142" applyNumberFormat="1" applyFont="1" applyBorder="1">
      <alignment vertical="center"/>
    </xf>
    <xf numFmtId="49" fontId="94" fillId="0" borderId="9" xfId="2142" applyNumberFormat="1" applyFont="1" applyBorder="1">
      <alignment vertical="center"/>
    </xf>
    <xf numFmtId="49" fontId="94" fillId="0" borderId="47" xfId="2142" applyNumberFormat="1" applyFont="1" applyBorder="1">
      <alignment vertical="center"/>
    </xf>
    <xf numFmtId="0" fontId="23" fillId="35" borderId="5" xfId="2142" applyFont="1" applyFill="1" applyBorder="1">
      <alignment vertical="center"/>
    </xf>
    <xf numFmtId="0" fontId="23" fillId="35" borderId="10" xfId="2142" applyFont="1" applyFill="1" applyBorder="1">
      <alignment vertical="center"/>
    </xf>
    <xf numFmtId="49" fontId="23" fillId="35" borderId="4" xfId="2142" applyNumberFormat="1" applyFont="1" applyFill="1" applyBorder="1">
      <alignment vertical="center"/>
    </xf>
    <xf numFmtId="49" fontId="23" fillId="35" borderId="11" xfId="2142" applyNumberFormat="1" applyFont="1" applyFill="1" applyBorder="1">
      <alignment vertical="center"/>
    </xf>
    <xf numFmtId="0" fontId="23" fillId="38" borderId="5" xfId="2142" applyFont="1" applyFill="1" applyBorder="1">
      <alignment vertical="center"/>
    </xf>
    <xf numFmtId="0" fontId="23" fillId="38" borderId="10" xfId="2142" applyFont="1" applyFill="1" applyBorder="1">
      <alignment vertical="center"/>
    </xf>
    <xf numFmtId="49" fontId="23" fillId="38" borderId="4" xfId="2142" applyNumberFormat="1" applyFont="1" applyFill="1" applyBorder="1">
      <alignment vertical="center"/>
    </xf>
    <xf numFmtId="49" fontId="23" fillId="38" borderId="11" xfId="2142" applyNumberFormat="1" applyFont="1" applyFill="1" applyBorder="1">
      <alignment vertical="center"/>
    </xf>
    <xf numFmtId="0" fontId="23" fillId="0" borderId="5" xfId="2142" applyFont="1" applyBorder="1">
      <alignment vertical="center"/>
    </xf>
    <xf numFmtId="0" fontId="23" fillId="0" borderId="10" xfId="2142" applyFont="1" applyBorder="1">
      <alignment vertical="center"/>
    </xf>
    <xf numFmtId="0" fontId="23" fillId="39" borderId="5" xfId="2142" applyFont="1" applyFill="1" applyBorder="1">
      <alignment vertical="center"/>
    </xf>
    <xf numFmtId="49" fontId="23" fillId="39" borderId="5" xfId="2142" applyNumberFormat="1" applyFont="1" applyFill="1" applyBorder="1" applyAlignment="1">
      <alignment vertical="center"/>
    </xf>
    <xf numFmtId="0" fontId="23" fillId="39" borderId="10" xfId="2142" applyFont="1" applyFill="1" applyBorder="1">
      <alignment vertical="center"/>
    </xf>
    <xf numFmtId="49" fontId="23" fillId="39" borderId="4" xfId="2142" applyNumberFormat="1" applyFont="1" applyFill="1" applyBorder="1">
      <alignment vertical="center"/>
    </xf>
    <xf numFmtId="49" fontId="23" fillId="39" borderId="11" xfId="2142" applyNumberFormat="1" applyFont="1" applyFill="1" applyBorder="1">
      <alignment vertical="center"/>
    </xf>
    <xf numFmtId="49" fontId="23" fillId="39" borderId="10" xfId="2142" applyNumberFormat="1" applyFont="1" applyFill="1" applyBorder="1" applyAlignment="1">
      <alignment vertical="center"/>
    </xf>
    <xf numFmtId="49" fontId="23" fillId="35" borderId="5" xfId="2142" applyNumberFormat="1" applyFont="1" applyFill="1" applyBorder="1">
      <alignment vertical="center"/>
    </xf>
    <xf numFmtId="49" fontId="23" fillId="35" borderId="10" xfId="2142" applyNumberFormat="1" applyFont="1" applyFill="1" applyBorder="1">
      <alignment vertical="center"/>
    </xf>
    <xf numFmtId="49" fontId="23" fillId="40" borderId="5" xfId="2142" applyNumberFormat="1" applyFont="1" applyFill="1" applyBorder="1">
      <alignment vertical="center"/>
    </xf>
    <xf numFmtId="49" fontId="23" fillId="40" borderId="10" xfId="2142" applyNumberFormat="1" applyFont="1" applyFill="1" applyBorder="1">
      <alignment vertical="center"/>
    </xf>
    <xf numFmtId="49" fontId="23" fillId="40" borderId="11" xfId="2142" applyNumberFormat="1" applyFont="1" applyFill="1" applyBorder="1">
      <alignment vertical="center"/>
    </xf>
    <xf numFmtId="49" fontId="23" fillId="40" borderId="4" xfId="2142" applyNumberFormat="1" applyFont="1" applyFill="1" applyBorder="1">
      <alignment vertical="center"/>
    </xf>
    <xf numFmtId="49" fontId="23" fillId="7" borderId="50" xfId="2142" applyNumberFormat="1" applyFont="1" applyFill="1" applyBorder="1">
      <alignment vertical="center"/>
    </xf>
    <xf numFmtId="0" fontId="24" fillId="0" borderId="46" xfId="2142" applyNumberFormat="1" applyFont="1" applyFill="1" applyBorder="1" applyAlignment="1">
      <alignment vertical="center" shrinkToFit="1"/>
    </xf>
    <xf numFmtId="49" fontId="23" fillId="7" borderId="50" xfId="2142" applyNumberFormat="1" applyFont="1" applyFill="1" applyBorder="1" applyAlignment="1">
      <alignment horizontal="right" vertical="center"/>
    </xf>
    <xf numFmtId="49" fontId="86" fillId="0" borderId="1" xfId="2142" applyNumberFormat="1" applyFont="1" applyBorder="1">
      <alignment vertical="center"/>
    </xf>
    <xf numFmtId="49" fontId="86" fillId="0" borderId="2" xfId="2142" applyNumberFormat="1" applyFont="1" applyBorder="1">
      <alignment vertical="center"/>
    </xf>
    <xf numFmtId="49" fontId="86" fillId="0" borderId="3" xfId="2142" applyNumberFormat="1" applyFont="1" applyBorder="1">
      <alignment vertical="center"/>
    </xf>
    <xf numFmtId="49" fontId="86" fillId="0" borderId="5" xfId="2142" applyNumberFormat="1" applyFont="1" applyBorder="1">
      <alignment vertical="center"/>
    </xf>
    <xf numFmtId="49" fontId="86" fillId="0" borderId="10" xfId="2142" applyNumberFormat="1" applyFont="1" applyBorder="1">
      <alignment vertical="center"/>
    </xf>
    <xf numFmtId="49" fontId="86" fillId="0" borderId="4" xfId="2142" applyNumberFormat="1" applyFont="1" applyBorder="1">
      <alignment vertical="center"/>
    </xf>
    <xf numFmtId="49" fontId="86" fillId="0" borderId="11" xfId="2142" applyNumberFormat="1" applyFont="1" applyBorder="1">
      <alignment vertical="center"/>
    </xf>
    <xf numFmtId="49" fontId="86" fillId="35" borderId="2" xfId="2142" applyNumberFormat="1" applyFont="1" applyFill="1" applyBorder="1">
      <alignment vertical="center"/>
    </xf>
    <xf numFmtId="49" fontId="86" fillId="35" borderId="3" xfId="2142" applyNumberFormat="1" applyFont="1" applyFill="1" applyBorder="1">
      <alignment vertical="center"/>
    </xf>
    <xf numFmtId="49" fontId="86" fillId="35" borderId="5" xfId="2142" applyNumberFormat="1" applyFont="1" applyFill="1" applyBorder="1">
      <alignment vertical="center"/>
    </xf>
    <xf numFmtId="49" fontId="86" fillId="35" borderId="10" xfId="2142" applyNumberFormat="1" applyFont="1" applyFill="1" applyBorder="1">
      <alignment vertical="center"/>
    </xf>
    <xf numFmtId="49" fontId="86" fillId="35" borderId="4" xfId="2142" applyNumberFormat="1" applyFont="1" applyFill="1" applyBorder="1">
      <alignment vertical="center"/>
    </xf>
    <xf numFmtId="49" fontId="86" fillId="35" borderId="11" xfId="2142" applyNumberFormat="1" applyFont="1" applyFill="1" applyBorder="1">
      <alignment vertical="center"/>
    </xf>
    <xf numFmtId="0" fontId="86" fillId="35" borderId="92" xfId="2164" applyFont="1" applyFill="1" applyBorder="1" applyAlignment="1">
      <alignment vertical="top"/>
    </xf>
    <xf numFmtId="0" fontId="86" fillId="35" borderId="92" xfId="2059" applyFont="1" applyFill="1" applyBorder="1" applyAlignment="1">
      <alignment horizontal="left" vertical="top"/>
    </xf>
    <xf numFmtId="0" fontId="2" fillId="0" borderId="92" xfId="2132" applyFont="1" applyBorder="1" applyAlignment="1">
      <alignment vertical="top"/>
    </xf>
    <xf numFmtId="0" fontId="86" fillId="35" borderId="92" xfId="2060" applyFont="1" applyFill="1" applyBorder="1" applyAlignment="1">
      <alignment vertical="top"/>
    </xf>
    <xf numFmtId="0" fontId="86" fillId="35" borderId="93" xfId="2164" applyFont="1" applyFill="1" applyBorder="1" applyAlignment="1">
      <alignment vertical="top"/>
    </xf>
    <xf numFmtId="0" fontId="56" fillId="0" borderId="0" xfId="2132" applyFont="1" applyBorder="1">
      <alignment vertical="center"/>
    </xf>
    <xf numFmtId="49" fontId="23" fillId="0" borderId="0" xfId="2142" applyNumberFormat="1" applyFont="1" applyBorder="1" applyAlignment="1">
      <alignment horizontal="center" vertical="center"/>
    </xf>
    <xf numFmtId="49" fontId="86" fillId="0" borderId="8" xfId="2142" applyNumberFormat="1" applyFont="1" applyBorder="1" applyAlignment="1">
      <alignment horizontal="left" vertical="center"/>
    </xf>
    <xf numFmtId="49" fontId="86" fillId="0" borderId="0" xfId="2142" applyNumberFormat="1" applyFont="1" applyBorder="1">
      <alignment vertical="center"/>
    </xf>
    <xf numFmtId="0" fontId="7" fillId="0" borderId="0" xfId="2132" applyFont="1">
      <alignment vertical="center"/>
    </xf>
    <xf numFmtId="0" fontId="85" fillId="6" borderId="39" xfId="2132" applyFont="1" applyFill="1" applyBorder="1">
      <alignment vertical="center"/>
    </xf>
    <xf numFmtId="49" fontId="86" fillId="7" borderId="77" xfId="2142" applyNumberFormat="1" applyFont="1" applyFill="1" applyBorder="1">
      <alignment vertical="center"/>
    </xf>
    <xf numFmtId="49" fontId="86" fillId="7" borderId="2" xfId="2142" applyNumberFormat="1" applyFont="1" applyFill="1" applyBorder="1">
      <alignment vertical="center"/>
    </xf>
    <xf numFmtId="0" fontId="86" fillId="0" borderId="8" xfId="2132" applyFont="1" applyBorder="1">
      <alignment vertical="center"/>
    </xf>
    <xf numFmtId="49" fontId="86" fillId="7" borderId="4" xfId="2142" applyNumberFormat="1" applyFont="1" applyFill="1" applyBorder="1">
      <alignment vertical="center"/>
    </xf>
    <xf numFmtId="49" fontId="96" fillId="0" borderId="0" xfId="2142" applyNumberFormat="1" applyFont="1" applyBorder="1">
      <alignment vertical="center"/>
    </xf>
    <xf numFmtId="0" fontId="92" fillId="8" borderId="0" xfId="3" applyFont="1" applyFill="1" applyBorder="1" applyAlignment="1">
      <alignment vertical="center"/>
    </xf>
    <xf numFmtId="49" fontId="98" fillId="0" borderId="2" xfId="2142" applyNumberFormat="1" applyFont="1" applyBorder="1">
      <alignment vertical="center"/>
    </xf>
    <xf numFmtId="0" fontId="7" fillId="0" borderId="86" xfId="2" applyFont="1" applyBorder="1" applyProtection="1">
      <protection locked="0"/>
    </xf>
    <xf numFmtId="0" fontId="7" fillId="0" borderId="88" xfId="2" applyFont="1" applyFill="1" applyBorder="1" applyProtection="1">
      <protection locked="0"/>
    </xf>
    <xf numFmtId="0" fontId="7" fillId="0" borderId="87" xfId="2" applyFont="1" applyBorder="1" applyProtection="1">
      <protection locked="0"/>
    </xf>
    <xf numFmtId="0" fontId="99" fillId="0" borderId="10" xfId="0" applyFont="1" applyBorder="1"/>
    <xf numFmtId="0" fontId="97" fillId="0" borderId="4" xfId="2" applyFont="1" applyFill="1" applyBorder="1" applyProtection="1">
      <protection locked="0"/>
    </xf>
    <xf numFmtId="0" fontId="7" fillId="0" borderId="11" xfId="2" applyFill="1" applyBorder="1" applyProtection="1">
      <protection locked="0"/>
    </xf>
    <xf numFmtId="0" fontId="7" fillId="0" borderId="4" xfId="2" applyFont="1" applyBorder="1" applyProtection="1">
      <protection locked="0"/>
    </xf>
    <xf numFmtId="0" fontId="7" fillId="0" borderId="11" xfId="2" applyBorder="1" applyProtection="1">
      <protection locked="0"/>
    </xf>
    <xf numFmtId="0" fontId="99" fillId="0" borderId="1" xfId="0" applyFont="1" applyBorder="1"/>
    <xf numFmtId="0" fontId="97" fillId="0" borderId="2" xfId="2" applyFont="1" applyFill="1" applyBorder="1" applyProtection="1">
      <protection locked="0"/>
    </xf>
    <xf numFmtId="0" fontId="7" fillId="0" borderId="3" xfId="2" applyFill="1" applyBorder="1" applyProtection="1">
      <protection locked="0"/>
    </xf>
    <xf numFmtId="0" fontId="7" fillId="0" borderId="2" xfId="2" applyFont="1" applyBorder="1" applyProtection="1">
      <protection locked="0"/>
    </xf>
    <xf numFmtId="0" fontId="7" fillId="0" borderId="3" xfId="2" applyBorder="1" applyProtection="1">
      <protection locked="0"/>
    </xf>
    <xf numFmtId="178" fontId="100" fillId="0" borderId="2" xfId="2" applyNumberFormat="1" applyFont="1" applyBorder="1" applyAlignment="1" applyProtection="1">
      <alignment vertical="center"/>
      <protection locked="0"/>
    </xf>
    <xf numFmtId="178" fontId="16" fillId="0" borderId="3" xfId="2" applyNumberFormat="1" applyFont="1" applyBorder="1" applyAlignment="1" applyProtection="1">
      <alignment vertical="center"/>
      <protection locked="0"/>
    </xf>
    <xf numFmtId="178" fontId="7" fillId="0" borderId="2" xfId="2" applyNumberFormat="1" applyFont="1" applyBorder="1" applyAlignment="1" applyProtection="1">
      <alignment vertical="center"/>
      <protection locked="0"/>
    </xf>
    <xf numFmtId="0" fontId="97" fillId="0" borderId="2" xfId="2" applyFont="1" applyFill="1" applyBorder="1" applyAlignment="1" applyProtection="1">
      <protection locked="0"/>
    </xf>
    <xf numFmtId="0" fontId="2" fillId="0" borderId="44" xfId="2132" applyFont="1" applyBorder="1">
      <alignment vertical="center"/>
    </xf>
    <xf numFmtId="0" fontId="93" fillId="0" borderId="0" xfId="2132" applyFont="1">
      <alignment vertical="center"/>
    </xf>
    <xf numFmtId="49" fontId="101" fillId="0" borderId="0" xfId="2142" applyNumberFormat="1" applyFont="1" applyBorder="1">
      <alignment vertical="center"/>
    </xf>
    <xf numFmtId="0" fontId="101" fillId="0" borderId="0" xfId="2142" quotePrefix="1" applyFont="1" applyBorder="1">
      <alignment vertical="center"/>
    </xf>
    <xf numFmtId="49" fontId="101" fillId="0" borderId="9" xfId="2142" applyNumberFormat="1" applyFont="1" applyBorder="1">
      <alignment vertical="center"/>
    </xf>
    <xf numFmtId="49" fontId="101" fillId="0" borderId="47" xfId="2142" applyNumberFormat="1" applyFont="1" applyBorder="1">
      <alignment vertical="center"/>
    </xf>
    <xf numFmtId="49" fontId="23" fillId="0" borderId="0" xfId="2263" applyNumberFormat="1" applyFont="1" applyBorder="1">
      <alignment vertical="center"/>
    </xf>
    <xf numFmtId="0" fontId="23" fillId="0" borderId="51" xfId="2262" applyNumberFormat="1" applyFont="1" applyFill="1" applyBorder="1">
      <alignment vertical="center"/>
    </xf>
    <xf numFmtId="49" fontId="23" fillId="0" borderId="8" xfId="2264" applyNumberFormat="1" applyFont="1" applyBorder="1" applyAlignment="1">
      <alignment horizontal="center" vertical="center"/>
    </xf>
    <xf numFmtId="49" fontId="23" fillId="0" borderId="0" xfId="2264" applyNumberFormat="1" applyFont="1" applyBorder="1" applyAlignment="1">
      <alignment horizontal="center" vertical="center"/>
    </xf>
    <xf numFmtId="49" fontId="23" fillId="0" borderId="0" xfId="2264" applyNumberFormat="1" applyFont="1" applyBorder="1">
      <alignment vertical="center"/>
    </xf>
    <xf numFmtId="49" fontId="23" fillId="0" borderId="9" xfId="2264" applyNumberFormat="1" applyFont="1" applyBorder="1" applyAlignment="1">
      <alignment horizontal="center" vertical="center"/>
    </xf>
    <xf numFmtId="49" fontId="23" fillId="0" borderId="8" xfId="2263" applyNumberFormat="1" applyFont="1" applyBorder="1">
      <alignment vertical="center"/>
    </xf>
    <xf numFmtId="49" fontId="23" fillId="0" borderId="9" xfId="2263" applyNumberFormat="1" applyFont="1" applyBorder="1">
      <alignment vertical="center"/>
    </xf>
    <xf numFmtId="49" fontId="23" fillId="0" borderId="47" xfId="2263" applyNumberFormat="1" applyFont="1" applyBorder="1">
      <alignment vertical="center"/>
    </xf>
    <xf numFmtId="0" fontId="23" fillId="0" borderId="46" xfId="2262" applyNumberFormat="1" applyFont="1" applyFill="1" applyBorder="1">
      <alignment vertical="center"/>
    </xf>
    <xf numFmtId="49" fontId="23" fillId="0" borderId="8" xfId="2264" applyNumberFormat="1" applyFont="1" applyFill="1" applyBorder="1" applyAlignment="1">
      <alignment horizontal="left" vertical="center"/>
    </xf>
    <xf numFmtId="49" fontId="23" fillId="0" borderId="0" xfId="2264" applyNumberFormat="1" applyFont="1" applyFill="1" applyBorder="1" applyAlignment="1">
      <alignment horizontal="center" vertical="center"/>
    </xf>
    <xf numFmtId="49" fontId="23" fillId="0" borderId="8" xfId="2264" applyNumberFormat="1" applyFont="1" applyBorder="1" applyAlignment="1">
      <alignment horizontal="left" vertical="center"/>
    </xf>
    <xf numFmtId="49" fontId="23" fillId="37" borderId="0" xfId="2142" applyNumberFormat="1" applyFont="1" applyFill="1" applyBorder="1">
      <alignment vertical="center"/>
    </xf>
    <xf numFmtId="49" fontId="23" fillId="37" borderId="5" xfId="2142" applyNumberFormat="1" applyFont="1" applyFill="1" applyBorder="1">
      <alignment vertical="center"/>
    </xf>
    <xf numFmtId="49" fontId="23" fillId="37" borderId="10" xfId="2142" applyNumberFormat="1" applyFont="1" applyFill="1" applyBorder="1">
      <alignment vertical="center"/>
    </xf>
    <xf numFmtId="49" fontId="23" fillId="37" borderId="4" xfId="2142" applyNumberFormat="1" applyFont="1" applyFill="1" applyBorder="1">
      <alignment vertical="center"/>
    </xf>
    <xf numFmtId="49" fontId="23" fillId="37" borderId="11" xfId="2142" applyNumberFormat="1" applyFont="1" applyFill="1" applyBorder="1">
      <alignment vertical="center"/>
    </xf>
    <xf numFmtId="49" fontId="23" fillId="37" borderId="8" xfId="2142" applyNumberFormat="1" applyFont="1" applyFill="1" applyBorder="1">
      <alignment vertical="center"/>
    </xf>
    <xf numFmtId="49" fontId="23" fillId="37" borderId="9" xfId="2142" applyNumberFormat="1" applyFont="1" applyFill="1" applyBorder="1">
      <alignment vertical="center"/>
    </xf>
    <xf numFmtId="49" fontId="102" fillId="0" borderId="0" xfId="2142" applyNumberFormat="1" applyFont="1" applyFill="1" applyBorder="1">
      <alignment vertical="center"/>
    </xf>
    <xf numFmtId="49" fontId="23" fillId="0" borderId="0" xfId="2263" applyNumberFormat="1" applyFont="1" applyFill="1" applyBorder="1">
      <alignment vertical="center"/>
    </xf>
    <xf numFmtId="0" fontId="86" fillId="0" borderId="92" xfId="2164" applyFont="1" applyFill="1" applyBorder="1" applyAlignment="1">
      <alignment vertical="top"/>
    </xf>
    <xf numFmtId="0" fontId="85" fillId="36" borderId="43" xfId="2164" applyFont="1" applyFill="1" applyBorder="1" applyAlignment="1">
      <alignment vertical="top"/>
    </xf>
    <xf numFmtId="0" fontId="86" fillId="36" borderId="44" xfId="2164" applyFont="1" applyFill="1" applyBorder="1" applyAlignment="1">
      <alignment vertical="top"/>
    </xf>
    <xf numFmtId="0" fontId="86" fillId="36" borderId="44" xfId="2059" applyFont="1" applyFill="1" applyBorder="1" applyAlignment="1">
      <alignment vertical="top"/>
    </xf>
    <xf numFmtId="0" fontId="86" fillId="36" borderId="55" xfId="2164" applyFont="1" applyFill="1" applyBorder="1" applyAlignment="1">
      <alignment vertical="top"/>
    </xf>
    <xf numFmtId="0" fontId="86" fillId="36" borderId="55" xfId="2060" applyFont="1" applyFill="1" applyBorder="1" applyAlignment="1">
      <alignment vertical="top"/>
    </xf>
    <xf numFmtId="0" fontId="85" fillId="36" borderId="80" xfId="2059" applyFont="1" applyFill="1" applyBorder="1" applyAlignment="1">
      <alignment horizontal="left" vertical="top"/>
    </xf>
    <xf numFmtId="0" fontId="85" fillId="36" borderId="39" xfId="2059" applyFont="1" applyFill="1" applyBorder="1" applyAlignment="1">
      <alignment horizontal="left" vertical="top"/>
    </xf>
    <xf numFmtId="0" fontId="85" fillId="36" borderId="81" xfId="2059" applyFont="1" applyFill="1" applyBorder="1" applyAlignment="1">
      <alignment horizontal="left" vertical="top"/>
    </xf>
    <xf numFmtId="0" fontId="86" fillId="36" borderId="39" xfId="2060" applyFont="1" applyFill="1" applyBorder="1" applyAlignment="1">
      <alignment vertical="top"/>
    </xf>
    <xf numFmtId="0" fontId="86" fillId="36" borderId="39" xfId="2059" applyFont="1" applyFill="1" applyBorder="1" applyAlignment="1">
      <alignment horizontal="left" vertical="top"/>
    </xf>
    <xf numFmtId="0" fontId="86" fillId="36" borderId="82" xfId="2059" applyFont="1" applyFill="1" applyBorder="1" applyAlignment="1">
      <alignment horizontal="left" vertical="top"/>
    </xf>
    <xf numFmtId="0" fontId="85" fillId="36" borderId="39" xfId="2164" applyFont="1" applyFill="1" applyBorder="1" applyAlignment="1">
      <alignment vertical="top"/>
    </xf>
    <xf numFmtId="0" fontId="85" fillId="36" borderId="81" xfId="2164" applyFont="1" applyFill="1" applyBorder="1" applyAlignment="1">
      <alignment vertical="top"/>
    </xf>
    <xf numFmtId="0" fontId="85" fillId="36" borderId="40" xfId="2164" applyFont="1" applyFill="1" applyBorder="1" applyAlignment="1">
      <alignment vertical="top"/>
    </xf>
    <xf numFmtId="0" fontId="86" fillId="0" borderId="85" xfId="2132" applyFont="1" applyBorder="1" applyAlignment="1">
      <alignment vertical="top"/>
    </xf>
    <xf numFmtId="0" fontId="86" fillId="0" borderId="41" xfId="2132" applyFont="1" applyBorder="1" applyAlignment="1">
      <alignment vertical="top"/>
    </xf>
    <xf numFmtId="0" fontId="86" fillId="8" borderId="83" xfId="2164" applyFont="1" applyFill="1" applyBorder="1" applyAlignment="1">
      <alignment vertical="top"/>
    </xf>
    <xf numFmtId="0" fontId="86" fillId="8" borderId="77" xfId="2164" applyFont="1" applyFill="1" applyBorder="1" applyAlignment="1">
      <alignment vertical="top"/>
    </xf>
    <xf numFmtId="0" fontId="86" fillId="8" borderId="97" xfId="2164" applyFont="1" applyFill="1" applyBorder="1" applyAlignment="1">
      <alignment vertical="top"/>
    </xf>
    <xf numFmtId="49" fontId="23" fillId="0" borderId="98" xfId="2142" applyNumberFormat="1" applyFont="1" applyFill="1" applyBorder="1">
      <alignment vertical="center"/>
    </xf>
    <xf numFmtId="49" fontId="23" fillId="0" borderId="98" xfId="2142" applyNumberFormat="1" applyFont="1" applyBorder="1">
      <alignment vertical="center"/>
    </xf>
    <xf numFmtId="49" fontId="23" fillId="0" borderId="94" xfId="2142" applyNumberFormat="1" applyFont="1" applyBorder="1">
      <alignment vertical="center"/>
    </xf>
    <xf numFmtId="49" fontId="86" fillId="0" borderId="98" xfId="2142" applyNumberFormat="1" applyFont="1" applyBorder="1">
      <alignment vertical="center"/>
    </xf>
    <xf numFmtId="49" fontId="23" fillId="0" borderId="29" xfId="2142" applyNumberFormat="1" applyFont="1" applyBorder="1">
      <alignment vertical="center"/>
    </xf>
    <xf numFmtId="194" fontId="93" fillId="0" borderId="0" xfId="2132" applyNumberFormat="1" applyFont="1">
      <alignment vertical="center"/>
    </xf>
    <xf numFmtId="0" fontId="8" fillId="0" borderId="0" xfId="2" applyFont="1" applyFill="1" applyBorder="1" applyAlignment="1" applyProtection="1">
      <alignment horizontal="center" vertical="center"/>
      <protection locked="0"/>
    </xf>
    <xf numFmtId="0" fontId="11" fillId="0" borderId="0" xfId="2" applyFont="1" applyFill="1" applyBorder="1" applyAlignment="1" applyProtection="1">
      <alignment horizontal="center" vertical="center"/>
      <protection locked="0"/>
    </xf>
    <xf numFmtId="177" fontId="11" fillId="0" borderId="0" xfId="2" applyNumberFormat="1" applyFont="1" applyFill="1" applyBorder="1" applyAlignment="1" applyProtection="1">
      <alignment horizontal="center" vertical="center"/>
      <protection locked="0"/>
    </xf>
    <xf numFmtId="14" fontId="11" fillId="0" borderId="0" xfId="2" applyNumberFormat="1" applyFont="1" applyFill="1" applyBorder="1" applyAlignment="1" applyProtection="1">
      <alignment horizontal="center" vertical="center"/>
      <protection locked="0"/>
    </xf>
    <xf numFmtId="0" fontId="7" fillId="0" borderId="0" xfId="2" applyFill="1" applyBorder="1" applyAlignment="1" applyProtection="1">
      <alignment horizontal="center" vertical="center"/>
      <protection locked="0"/>
    </xf>
    <xf numFmtId="0" fontId="56" fillId="0" borderId="0" xfId="2132" applyFont="1">
      <alignment vertical="center"/>
    </xf>
    <xf numFmtId="0" fontId="103" fillId="0" borderId="8" xfId="0" applyFont="1" applyBorder="1" applyAlignment="1"/>
    <xf numFmtId="0" fontId="6" fillId="0" borderId="98" xfId="2132" applyFont="1" applyBorder="1">
      <alignment vertical="center"/>
    </xf>
    <xf numFmtId="0" fontId="6" fillId="0" borderId="0" xfId="2132" applyFont="1" applyBorder="1">
      <alignment vertical="center"/>
    </xf>
    <xf numFmtId="0" fontId="104" fillId="0" borderId="0" xfId="2132" applyFont="1" applyAlignment="1">
      <alignment horizontal="right" vertical="center"/>
    </xf>
    <xf numFmtId="0" fontId="105" fillId="0" borderId="0" xfId="2132" applyFont="1" applyAlignment="1">
      <alignment horizontal="right" vertical="center"/>
    </xf>
    <xf numFmtId="194" fontId="105" fillId="0" borderId="0" xfId="2132" applyNumberFormat="1" applyFont="1" applyAlignment="1">
      <alignment horizontal="right" vertical="center"/>
    </xf>
    <xf numFmtId="0" fontId="105" fillId="0" borderId="0" xfId="2132" applyFont="1" applyBorder="1" applyAlignment="1">
      <alignment horizontal="right"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10" xfId="2142" applyNumberFormat="1" applyFont="1" applyBorder="1" applyAlignment="1">
      <alignment horizontal="center" vertical="center"/>
    </xf>
    <xf numFmtId="49" fontId="23" fillId="0" borderId="11" xfId="2142" applyNumberFormat="1" applyFont="1" applyBorder="1" applyAlignment="1">
      <alignment horizontal="center" vertical="center"/>
    </xf>
    <xf numFmtId="49" fontId="23" fillId="41" borderId="98" xfId="2142" applyNumberFormat="1" applyFont="1" applyFill="1" applyBorder="1">
      <alignment vertical="center"/>
    </xf>
    <xf numFmtId="49" fontId="23" fillId="41" borderId="94" xfId="2142" applyNumberFormat="1" applyFont="1" applyFill="1" applyBorder="1">
      <alignment vertical="center"/>
    </xf>
    <xf numFmtId="49" fontId="23" fillId="39" borderId="98" xfId="2142" applyNumberFormat="1" applyFont="1" applyFill="1" applyBorder="1">
      <alignment vertical="center"/>
    </xf>
    <xf numFmtId="49" fontId="23" fillId="39" borderId="94" xfId="2142" applyNumberFormat="1" applyFont="1" applyFill="1" applyBorder="1">
      <alignment vertical="center"/>
    </xf>
    <xf numFmtId="49" fontId="23" fillId="40" borderId="94" xfId="2142" applyNumberFormat="1" applyFont="1" applyFill="1" applyBorder="1">
      <alignment vertical="center"/>
    </xf>
    <xf numFmtId="49" fontId="23" fillId="40" borderId="98" xfId="2142" applyNumberFormat="1" applyFont="1" applyFill="1" applyBorder="1">
      <alignment vertical="center"/>
    </xf>
    <xf numFmtId="49" fontId="23" fillId="38" borderId="98" xfId="2142" applyNumberFormat="1" applyFont="1" applyFill="1" applyBorder="1">
      <alignment vertical="center"/>
    </xf>
    <xf numFmtId="49" fontId="23" fillId="38" borderId="94" xfId="2142" applyNumberFormat="1" applyFont="1" applyFill="1" applyBorder="1">
      <alignment vertical="center"/>
    </xf>
    <xf numFmtId="49" fontId="86" fillId="0" borderId="94" xfId="2142" applyNumberFormat="1" applyFont="1" applyBorder="1">
      <alignment vertical="center"/>
    </xf>
    <xf numFmtId="49" fontId="23" fillId="35" borderId="98" xfId="2142" applyNumberFormat="1" applyFont="1" applyFill="1" applyBorder="1">
      <alignment vertical="center"/>
    </xf>
    <xf numFmtId="49" fontId="23" fillId="35" borderId="94" xfId="2142" applyNumberFormat="1" applyFont="1" applyFill="1" applyBorder="1">
      <alignment vertical="center"/>
    </xf>
    <xf numFmtId="49" fontId="86" fillId="35" borderId="98" xfId="2142" applyNumberFormat="1" applyFont="1" applyFill="1" applyBorder="1">
      <alignment vertical="center"/>
    </xf>
    <xf numFmtId="49" fontId="98" fillId="35" borderId="98" xfId="2142" applyNumberFormat="1" applyFont="1" applyFill="1" applyBorder="1">
      <alignment vertical="center"/>
    </xf>
    <xf numFmtId="49" fontId="86" fillId="35" borderId="94" xfId="2142" applyNumberFormat="1" applyFont="1" applyFill="1" applyBorder="1">
      <alignment vertical="center"/>
    </xf>
    <xf numFmtId="0" fontId="103" fillId="0" borderId="0" xfId="0" applyFont="1" applyBorder="1" applyAlignment="1"/>
    <xf numFmtId="0" fontId="23" fillId="0" borderId="91" xfId="2142" applyNumberFormat="1" applyFont="1" applyBorder="1">
      <alignment vertical="center"/>
    </xf>
    <xf numFmtId="49" fontId="23" fillId="0" borderId="32" xfId="2142" applyNumberFormat="1" applyFont="1" applyBorder="1">
      <alignment vertical="center"/>
    </xf>
    <xf numFmtId="49" fontId="23" fillId="0" borderId="92" xfId="2142" applyNumberFormat="1" applyFont="1" applyBorder="1">
      <alignment vertical="center"/>
    </xf>
    <xf numFmtId="49" fontId="23" fillId="0" borderId="34" xfId="2142" applyNumberFormat="1" applyFont="1" applyBorder="1">
      <alignment vertical="center"/>
    </xf>
    <xf numFmtId="49" fontId="23" fillId="0" borderId="32" xfId="2142" applyNumberFormat="1" applyFont="1" applyBorder="1" applyAlignment="1">
      <alignment horizontal="center" vertical="center"/>
    </xf>
    <xf numFmtId="49" fontId="23" fillId="0" borderId="34" xfId="2142" applyNumberFormat="1" applyFont="1" applyBorder="1" applyAlignment="1">
      <alignment horizontal="center" vertical="center"/>
    </xf>
    <xf numFmtId="49" fontId="86" fillId="0" borderId="92" xfId="2142" applyNumberFormat="1" applyFont="1" applyBorder="1">
      <alignment vertical="center"/>
    </xf>
    <xf numFmtId="49" fontId="23" fillId="0" borderId="93" xfId="2142" applyNumberFormat="1" applyFont="1" applyBorder="1">
      <alignment vertical="center"/>
    </xf>
    <xf numFmtId="49" fontId="23" fillId="37" borderId="98" xfId="2142" applyNumberFormat="1" applyFont="1" applyFill="1" applyBorder="1">
      <alignment vertical="center"/>
    </xf>
    <xf numFmtId="49" fontId="23" fillId="37" borderId="94" xfId="2142" applyNumberFormat="1" applyFont="1" applyFill="1" applyBorder="1">
      <alignment vertical="center"/>
    </xf>
    <xf numFmtId="0" fontId="2" fillId="0" borderId="49" xfId="2132" applyFont="1" applyBorder="1">
      <alignment vertical="center"/>
    </xf>
    <xf numFmtId="0" fontId="86" fillId="8" borderId="102" xfId="2164" applyFont="1" applyFill="1" applyBorder="1" applyAlignment="1">
      <alignment vertical="top"/>
    </xf>
    <xf numFmtId="0" fontId="86" fillId="8" borderId="100" xfId="2164" applyFont="1" applyFill="1" applyBorder="1" applyAlignment="1">
      <alignment vertical="top"/>
    </xf>
    <xf numFmtId="0" fontId="86" fillId="8" borderId="101" xfId="2164" applyFont="1" applyFill="1" applyBorder="1" applyAlignment="1">
      <alignment vertical="top"/>
    </xf>
    <xf numFmtId="0" fontId="23" fillId="0" borderId="91" xfId="2142" applyNumberFormat="1" applyFont="1" applyFill="1" applyBorder="1">
      <alignment vertical="center"/>
    </xf>
    <xf numFmtId="49" fontId="23" fillId="0" borderId="32" xfId="2142" applyNumberFormat="1" applyFont="1" applyFill="1" applyBorder="1">
      <alignment vertical="center"/>
    </xf>
    <xf numFmtId="0" fontId="23" fillId="0" borderId="92" xfId="2142" applyFont="1" applyFill="1" applyBorder="1">
      <alignment vertical="center"/>
    </xf>
    <xf numFmtId="49" fontId="23" fillId="0" borderId="92" xfId="2142" applyNumberFormat="1" applyFont="1" applyFill="1" applyBorder="1">
      <alignment vertical="center"/>
    </xf>
    <xf numFmtId="0" fontId="23" fillId="0" borderId="4" xfId="2142" applyFont="1" applyFill="1" applyBorder="1">
      <alignment vertical="center"/>
    </xf>
    <xf numFmtId="0" fontId="23" fillId="38" borderId="35" xfId="2142" applyFont="1" applyFill="1" applyBorder="1">
      <alignment vertical="center"/>
    </xf>
    <xf numFmtId="49" fontId="23" fillId="38" borderId="36" xfId="2142" applyNumberFormat="1" applyFont="1" applyFill="1" applyBorder="1">
      <alignment vertical="center"/>
    </xf>
    <xf numFmtId="49" fontId="23" fillId="38" borderId="37" xfId="2142" applyNumberFormat="1" applyFont="1" applyFill="1" applyBorder="1">
      <alignment vertical="center"/>
    </xf>
    <xf numFmtId="0" fontId="23" fillId="0" borderId="35" xfId="2142" applyFont="1" applyBorder="1">
      <alignment vertical="center"/>
    </xf>
    <xf numFmtId="49" fontId="23" fillId="0" borderId="36" xfId="2142" applyNumberFormat="1" applyFont="1" applyBorder="1">
      <alignment vertical="center"/>
    </xf>
    <xf numFmtId="49" fontId="23" fillId="0" borderId="37" xfId="2142" applyNumberFormat="1" applyFont="1" applyBorder="1">
      <alignment vertical="center"/>
    </xf>
    <xf numFmtId="49" fontId="23" fillId="0" borderId="35" xfId="2142" applyNumberFormat="1" applyFont="1" applyBorder="1">
      <alignment vertical="center"/>
    </xf>
    <xf numFmtId="49" fontId="86" fillId="0" borderId="35" xfId="2142" applyNumberFormat="1" applyFont="1" applyBorder="1">
      <alignment vertical="center"/>
    </xf>
    <xf numFmtId="49" fontId="86" fillId="0" borderId="36" xfId="2142" applyNumberFormat="1" applyFont="1" applyBorder="1">
      <alignment vertical="center"/>
    </xf>
    <xf numFmtId="49" fontId="86" fillId="0" borderId="37" xfId="2142" applyNumberFormat="1" applyFont="1" applyBorder="1">
      <alignment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10" xfId="2142" applyNumberFormat="1" applyFont="1" applyBorder="1" applyAlignment="1">
      <alignment horizontal="center" vertical="center"/>
    </xf>
    <xf numFmtId="49" fontId="23" fillId="0" borderId="11" xfId="2142" applyNumberFormat="1" applyFont="1" applyBorder="1" applyAlignment="1">
      <alignment horizontal="center" vertical="center"/>
    </xf>
    <xf numFmtId="49" fontId="23" fillId="0" borderId="32" xfId="2142" applyNumberFormat="1" applyFont="1" applyBorder="1" applyAlignment="1">
      <alignment horizontal="center" vertical="center"/>
    </xf>
    <xf numFmtId="49" fontId="23" fillId="0" borderId="34" xfId="2142" applyNumberFormat="1" applyFont="1" applyBorder="1" applyAlignment="1">
      <alignment horizontal="center" vertical="center"/>
    </xf>
    <xf numFmtId="49" fontId="23" fillId="0" borderId="0" xfId="2142" applyNumberFormat="1" applyFont="1" applyBorder="1" applyAlignment="1">
      <alignment horizontal="left" vertical="center" shrinkToFit="1"/>
    </xf>
    <xf numFmtId="49" fontId="23" fillId="0" borderId="47" xfId="2142" applyNumberFormat="1" applyFont="1" applyBorder="1" applyAlignment="1">
      <alignment horizontal="left" vertical="center" shrinkToFit="1"/>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0" fontId="56" fillId="0" borderId="8" xfId="0" applyFont="1" applyBorder="1" applyAlignment="1"/>
    <xf numFmtId="0" fontId="56" fillId="0" borderId="0" xfId="0" applyFont="1" applyBorder="1" applyAlignment="1"/>
    <xf numFmtId="0" fontId="23" fillId="0" borderId="98" xfId="2132" applyFont="1" applyBorder="1">
      <alignment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0" fontId="86" fillId="35" borderId="8" xfId="2164" applyFont="1" applyFill="1" applyBorder="1" applyAlignment="1">
      <alignment horizontal="center" vertical="top"/>
    </xf>
    <xf numFmtId="0" fontId="86" fillId="35" borderId="9" xfId="2164" applyFont="1" applyFill="1" applyBorder="1" applyAlignment="1">
      <alignment horizontal="center" vertical="top"/>
    </xf>
    <xf numFmtId="0" fontId="86" fillId="35" borderId="10" xfId="2164" applyFont="1" applyFill="1" applyBorder="1" applyAlignment="1">
      <alignment horizontal="left" vertical="top" wrapText="1"/>
    </xf>
    <xf numFmtId="0" fontId="86" fillId="35" borderId="4" xfId="2164" applyFont="1" applyFill="1" applyBorder="1" applyAlignment="1">
      <alignment horizontal="left" vertical="top" wrapText="1"/>
    </xf>
    <xf numFmtId="0" fontId="86" fillId="35" borderId="50" xfId="2164" applyFont="1" applyFill="1" applyBorder="1" applyAlignment="1">
      <alignment horizontal="left" vertical="top" wrapText="1"/>
    </xf>
    <xf numFmtId="0" fontId="86" fillId="35" borderId="10" xfId="2164" applyFont="1" applyFill="1" applyBorder="1" applyAlignment="1">
      <alignment horizontal="left" vertical="top"/>
    </xf>
    <xf numFmtId="0" fontId="86" fillId="35" borderId="4" xfId="2164" applyFont="1" applyFill="1" applyBorder="1" applyAlignment="1">
      <alignment horizontal="left" vertical="top"/>
    </xf>
    <xf numFmtId="0" fontId="86" fillId="35" borderId="11" xfId="2164" applyFont="1" applyFill="1" applyBorder="1" applyAlignment="1">
      <alignment horizontal="left" vertical="top"/>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9" xfId="2142" applyNumberFormat="1" applyFont="1" applyFill="1" applyBorder="1">
      <alignment vertical="center"/>
    </xf>
    <xf numFmtId="0" fontId="6" fillId="0" borderId="0" xfId="2132" applyFont="1" applyFill="1">
      <alignment vertical="center"/>
    </xf>
    <xf numFmtId="0" fontId="86" fillId="0" borderId="92" xfId="2164" applyFont="1" applyBorder="1" applyAlignment="1">
      <alignment vertical="top"/>
    </xf>
    <xf numFmtId="0" fontId="2" fillId="0" borderId="92" xfId="2132" applyBorder="1" applyAlignment="1">
      <alignment vertical="top"/>
    </xf>
    <xf numFmtId="0" fontId="86" fillId="0" borderId="44" xfId="2060" applyFont="1" applyBorder="1" applyAlignment="1">
      <alignment vertical="top"/>
    </xf>
    <xf numFmtId="0" fontId="86" fillId="0" borderId="44" xfId="2059" applyFont="1" applyBorder="1" applyAlignment="1">
      <alignment horizontal="left" vertical="top"/>
    </xf>
    <xf numFmtId="0" fontId="86" fillId="0" borderId="44" xfId="2164" applyFont="1" applyBorder="1" applyAlignment="1">
      <alignment vertical="top"/>
    </xf>
    <xf numFmtId="0" fontId="2" fillId="0" borderId="44" xfId="2132" applyBorder="1" applyAlignment="1">
      <alignment vertical="top"/>
    </xf>
    <xf numFmtId="0" fontId="86" fillId="0" borderId="45" xfId="2164" applyFont="1" applyBorder="1" applyAlignment="1">
      <alignment vertical="top"/>
    </xf>
    <xf numFmtId="0" fontId="86" fillId="8" borderId="1" xfId="2164" applyFont="1" applyFill="1" applyBorder="1" applyAlignment="1">
      <alignment vertical="top"/>
    </xf>
    <xf numFmtId="0" fontId="86" fillId="8" borderId="2" xfId="2164" applyFont="1" applyFill="1" applyBorder="1" applyAlignment="1">
      <alignment vertical="top"/>
    </xf>
    <xf numFmtId="0" fontId="86" fillId="8" borderId="3" xfId="2164" applyFont="1" applyFill="1" applyBorder="1" applyAlignment="1">
      <alignment vertical="top"/>
    </xf>
    <xf numFmtId="0" fontId="86" fillId="0" borderId="0" xfId="2132" applyFont="1" applyAlignment="1">
      <alignment vertical="top"/>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86" fillId="0" borderId="0" xfId="2142" applyNumberFormat="1" applyFont="1" applyFill="1" applyBorder="1">
      <alignment vertical="center"/>
    </xf>
    <xf numFmtId="0" fontId="23" fillId="0" borderId="0" xfId="3" applyFont="1" applyFill="1" applyAlignment="1">
      <alignment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47" xfId="2142" applyNumberFormat="1" applyFont="1" applyFill="1" applyBorder="1">
      <alignment vertical="center"/>
    </xf>
    <xf numFmtId="49" fontId="23" fillId="0" borderId="0" xfId="2132" applyNumberFormat="1" applyFont="1" applyFill="1">
      <alignment vertical="center"/>
    </xf>
    <xf numFmtId="49" fontId="23" fillId="0" borderId="9" xfId="2132" applyNumberFormat="1" applyFont="1" applyFill="1" applyBorder="1">
      <alignment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Fill="1" applyBorder="1" applyAlignment="1">
      <alignment horizontal="center" vertical="center"/>
    </xf>
    <xf numFmtId="49" fontId="23" fillId="0" borderId="9" xfId="2142" applyNumberFormat="1" applyFont="1" applyFill="1" applyBorder="1" applyAlignment="1">
      <alignment horizontal="center" vertical="center"/>
    </xf>
    <xf numFmtId="49" fontId="2" fillId="0" borderId="0" xfId="2132" applyNumberFormat="1">
      <alignment vertical="center"/>
    </xf>
    <xf numFmtId="49" fontId="23" fillId="0" borderId="0" xfId="2142" applyNumberFormat="1" applyFont="1" applyBorder="1" applyAlignment="1">
      <alignment horizontal="left" vertical="center" shrinkToFit="1"/>
    </xf>
    <xf numFmtId="49" fontId="23" fillId="0" borderId="47" xfId="2142" applyNumberFormat="1" applyFont="1" applyBorder="1" applyAlignment="1">
      <alignment horizontal="left" vertical="center" shrinkToFit="1"/>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Fill="1" applyBorder="1" applyAlignment="1">
      <alignment horizontal="center" vertical="center"/>
    </xf>
    <xf numFmtId="49" fontId="23" fillId="0" borderId="9" xfId="2142" applyNumberFormat="1" applyFont="1" applyFill="1" applyBorder="1" applyAlignment="1">
      <alignment horizontal="center" vertical="center"/>
    </xf>
    <xf numFmtId="0" fontId="6" fillId="42" borderId="0" xfId="2132" applyFont="1" applyFill="1">
      <alignment vertical="center"/>
    </xf>
    <xf numFmtId="49" fontId="23" fillId="0" borderId="8" xfId="2142" applyNumberFormat="1" applyFont="1" applyFill="1" applyBorder="1" applyAlignment="1">
      <alignment horizontal="center" vertical="center"/>
    </xf>
    <xf numFmtId="49" fontId="23" fillId="0" borderId="9" xfId="2142" applyNumberFormat="1" applyFont="1" applyFill="1" applyBorder="1" applyAlignment="1">
      <alignment horizontal="center" vertical="center"/>
    </xf>
    <xf numFmtId="49" fontId="23" fillId="0" borderId="8" xfId="2142" applyNumberFormat="1" applyFont="1" applyFill="1" applyBorder="1" applyAlignment="1">
      <alignment horizontal="center" vertical="center"/>
    </xf>
    <xf numFmtId="49" fontId="23" fillId="0" borderId="9" xfId="2142" applyNumberFormat="1" applyFont="1" applyFill="1" applyBorder="1" applyAlignment="1">
      <alignment horizontal="center" vertical="center"/>
    </xf>
    <xf numFmtId="49" fontId="23" fillId="0" borderId="34" xfId="2142" applyNumberFormat="1" applyFont="1" applyFill="1" applyBorder="1">
      <alignment vertical="center"/>
    </xf>
    <xf numFmtId="49" fontId="23" fillId="0" borderId="32" xfId="2142" applyNumberFormat="1" applyFont="1" applyFill="1" applyBorder="1" applyAlignment="1">
      <alignment horizontal="center" vertical="center"/>
    </xf>
    <xf numFmtId="49" fontId="23" fillId="0" borderId="34" xfId="2142" applyNumberFormat="1" applyFont="1" applyFill="1" applyBorder="1" applyAlignment="1">
      <alignment horizontal="center" vertical="center"/>
    </xf>
    <xf numFmtId="49" fontId="86" fillId="0" borderId="92" xfId="2142" applyNumberFormat="1" applyFont="1" applyFill="1" applyBorder="1">
      <alignment vertical="center"/>
    </xf>
    <xf numFmtId="49" fontId="23" fillId="0" borderId="93" xfId="2142" applyNumberFormat="1" applyFont="1" applyFill="1" applyBorder="1">
      <alignment vertical="center"/>
    </xf>
    <xf numFmtId="0" fontId="94" fillId="0" borderId="0" xfId="3" applyFont="1" applyFill="1" applyBorder="1" applyAlignment="1">
      <alignment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8" xfId="2142" applyNumberFormat="1" applyFont="1" applyFill="1" applyBorder="1" applyAlignment="1">
      <alignment horizontal="center" vertical="center"/>
    </xf>
    <xf numFmtId="49" fontId="23" fillId="0" borderId="9" xfId="2142" applyNumberFormat="1" applyFont="1" applyFill="1" applyBorder="1" applyAlignment="1">
      <alignment horizontal="center" vertical="center"/>
    </xf>
    <xf numFmtId="49" fontId="23" fillId="0" borderId="0" xfId="2142" applyNumberFormat="1" applyFont="1" applyFill="1">
      <alignment vertical="center"/>
    </xf>
    <xf numFmtId="0" fontId="94" fillId="0" borderId="5" xfId="2142" applyFont="1" applyFill="1" applyBorder="1">
      <alignment vertical="center"/>
    </xf>
    <xf numFmtId="49" fontId="94" fillId="0" borderId="98" xfId="2142" applyNumberFormat="1" applyFont="1" applyFill="1" applyBorder="1">
      <alignment vertical="center"/>
    </xf>
    <xf numFmtId="49" fontId="94" fillId="0" borderId="94" xfId="2142" applyNumberFormat="1" applyFont="1" applyFill="1" applyBorder="1">
      <alignment vertical="center"/>
    </xf>
    <xf numFmtId="49" fontId="94" fillId="0" borderId="5" xfId="2142" applyNumberFormat="1" applyFont="1" applyFill="1" applyBorder="1">
      <alignment vertical="center"/>
    </xf>
    <xf numFmtId="49" fontId="96" fillId="0" borderId="5" xfId="2142" applyNumberFormat="1" applyFont="1" applyFill="1" applyBorder="1">
      <alignment vertical="center"/>
    </xf>
    <xf numFmtId="49" fontId="96" fillId="0" borderId="98" xfId="2142" applyNumberFormat="1" applyFont="1" applyFill="1" applyBorder="1">
      <alignment vertical="center"/>
    </xf>
    <xf numFmtId="49" fontId="96" fillId="0" borderId="94" xfId="2142" applyNumberFormat="1" applyFont="1" applyFill="1" applyBorder="1">
      <alignment vertical="center"/>
    </xf>
    <xf numFmtId="49" fontId="96" fillId="0" borderId="9" xfId="2142" applyNumberFormat="1" applyFont="1" applyBorder="1">
      <alignment vertical="center"/>
    </xf>
    <xf numFmtId="0" fontId="94" fillId="0" borderId="8" xfId="2142" applyFont="1" applyFill="1" applyBorder="1">
      <alignment vertical="center"/>
    </xf>
    <xf numFmtId="49" fontId="94" fillId="0" borderId="9" xfId="2142" applyNumberFormat="1" applyFont="1" applyFill="1" applyBorder="1">
      <alignment vertical="center"/>
    </xf>
    <xf numFmtId="49" fontId="96" fillId="0" borderId="8" xfId="2142" applyNumberFormat="1" applyFont="1" applyFill="1" applyBorder="1">
      <alignment vertical="center"/>
    </xf>
    <xf numFmtId="49" fontId="96" fillId="0" borderId="0" xfId="2142" applyNumberFormat="1" applyFont="1" applyFill="1" applyBorder="1">
      <alignment vertical="center"/>
    </xf>
    <xf numFmtId="49" fontId="96" fillId="0" borderId="9" xfId="2142" applyNumberFormat="1" applyFont="1" applyFill="1" applyBorder="1">
      <alignment vertical="center"/>
    </xf>
    <xf numFmtId="0" fontId="94" fillId="0" borderId="10" xfId="2142" applyFont="1" applyFill="1" applyBorder="1">
      <alignment vertical="center"/>
    </xf>
    <xf numFmtId="49" fontId="94" fillId="0" borderId="4" xfId="2142" applyNumberFormat="1" applyFont="1" applyFill="1" applyBorder="1">
      <alignment vertical="center"/>
    </xf>
    <xf numFmtId="49" fontId="94" fillId="0" borderId="11" xfId="2142" applyNumberFormat="1" applyFont="1" applyFill="1" applyBorder="1">
      <alignment vertical="center"/>
    </xf>
    <xf numFmtId="49" fontId="94" fillId="0" borderId="10" xfId="2142" applyNumberFormat="1" applyFont="1" applyFill="1" applyBorder="1">
      <alignment vertical="center"/>
    </xf>
    <xf numFmtId="49" fontId="96" fillId="0" borderId="10" xfId="2142" applyNumberFormat="1" applyFont="1" applyFill="1" applyBorder="1">
      <alignment vertical="center"/>
    </xf>
    <xf numFmtId="49" fontId="96" fillId="0" borderId="4" xfId="2142" applyNumberFormat="1" applyFont="1" applyFill="1" applyBorder="1">
      <alignment vertical="center"/>
    </xf>
    <xf numFmtId="49" fontId="96" fillId="0" borderId="11" xfId="2142" applyNumberFormat="1" applyFont="1" applyFill="1" applyBorder="1">
      <alignment vertical="center"/>
    </xf>
    <xf numFmtId="0" fontId="94" fillId="38" borderId="5" xfId="2142" applyFont="1" applyFill="1" applyBorder="1">
      <alignment vertical="center"/>
    </xf>
    <xf numFmtId="49" fontId="94" fillId="38" borderId="98" xfId="2142" applyNumberFormat="1" applyFont="1" applyFill="1" applyBorder="1">
      <alignment vertical="center"/>
    </xf>
    <xf numFmtId="49" fontId="94" fillId="38" borderId="94" xfId="2142" applyNumberFormat="1" applyFont="1" applyFill="1" applyBorder="1">
      <alignment vertical="center"/>
    </xf>
    <xf numFmtId="0" fontId="94" fillId="35" borderId="5" xfId="2142" applyFont="1" applyFill="1" applyBorder="1">
      <alignment vertical="center"/>
    </xf>
    <xf numFmtId="49" fontId="94" fillId="35" borderId="98" xfId="2142" applyNumberFormat="1" applyFont="1" applyFill="1" applyBorder="1">
      <alignment vertical="center"/>
    </xf>
    <xf numFmtId="49" fontId="94" fillId="35" borderId="94" xfId="2142" applyNumberFormat="1" applyFont="1" applyFill="1" applyBorder="1">
      <alignment vertical="center"/>
    </xf>
    <xf numFmtId="49" fontId="94" fillId="35" borderId="5" xfId="2142" applyNumberFormat="1" applyFont="1" applyFill="1" applyBorder="1">
      <alignment vertical="center"/>
    </xf>
    <xf numFmtId="49" fontId="96" fillId="35" borderId="98" xfId="2142" applyNumberFormat="1" applyFont="1" applyFill="1" applyBorder="1">
      <alignment vertical="center"/>
    </xf>
    <xf numFmtId="49" fontId="96" fillId="35" borderId="94" xfId="2142" applyNumberFormat="1" applyFont="1" applyFill="1" applyBorder="1">
      <alignment vertical="center"/>
    </xf>
    <xf numFmtId="0" fontId="94" fillId="38" borderId="8" xfId="2142" applyFont="1" applyFill="1" applyBorder="1">
      <alignment vertical="center"/>
    </xf>
    <xf numFmtId="49" fontId="94" fillId="38" borderId="0" xfId="2142" applyNumberFormat="1" applyFont="1" applyFill="1" applyBorder="1">
      <alignment vertical="center"/>
    </xf>
    <xf numFmtId="49" fontId="94" fillId="38" borderId="9" xfId="2142" applyNumberFormat="1" applyFont="1" applyFill="1" applyBorder="1">
      <alignment vertical="center"/>
    </xf>
    <xf numFmtId="0" fontId="94" fillId="35" borderId="8" xfId="2142" applyFont="1" applyFill="1" applyBorder="1">
      <alignment vertical="center"/>
    </xf>
    <xf numFmtId="49" fontId="94" fillId="35" borderId="0" xfId="2142" applyNumberFormat="1" applyFont="1" applyFill="1" applyBorder="1">
      <alignment vertical="center"/>
    </xf>
    <xf numFmtId="49" fontId="94" fillId="35" borderId="9" xfId="2142" applyNumberFormat="1" applyFont="1" applyFill="1" applyBorder="1">
      <alignment vertical="center"/>
    </xf>
    <xf numFmtId="49" fontId="94" fillId="35" borderId="8" xfId="2142" applyNumberFormat="1" applyFont="1" applyFill="1" applyBorder="1">
      <alignment vertical="center"/>
    </xf>
    <xf numFmtId="49" fontId="96" fillId="35" borderId="0" xfId="2142" applyNumberFormat="1" applyFont="1" applyFill="1" applyBorder="1">
      <alignment vertical="center"/>
    </xf>
    <xf numFmtId="49" fontId="96" fillId="35" borderId="9" xfId="2142" applyNumberFormat="1" applyFont="1" applyFill="1" applyBorder="1">
      <alignment vertical="center"/>
    </xf>
    <xf numFmtId="0" fontId="94" fillId="38" borderId="10" xfId="2142" applyFont="1" applyFill="1" applyBorder="1">
      <alignment vertical="center"/>
    </xf>
    <xf numFmtId="49" fontId="94" fillId="38" borderId="4" xfId="2142" applyNumberFormat="1" applyFont="1" applyFill="1" applyBorder="1">
      <alignment vertical="center"/>
    </xf>
    <xf numFmtId="49" fontId="94" fillId="38" borderId="11" xfId="2142" applyNumberFormat="1" applyFont="1" applyFill="1" applyBorder="1">
      <alignment vertical="center"/>
    </xf>
    <xf numFmtId="0" fontId="94" fillId="35" borderId="10" xfId="2142" applyFont="1" applyFill="1" applyBorder="1">
      <alignment vertical="center"/>
    </xf>
    <xf numFmtId="49" fontId="94" fillId="35" borderId="4" xfId="2142" applyNumberFormat="1" applyFont="1" applyFill="1" applyBorder="1">
      <alignment vertical="center"/>
    </xf>
    <xf numFmtId="49" fontId="94" fillId="35" borderId="11" xfId="2142" applyNumberFormat="1" applyFont="1" applyFill="1" applyBorder="1">
      <alignment vertical="center"/>
    </xf>
    <xf numFmtId="49" fontId="94" fillId="35" borderId="10" xfId="2142" applyNumberFormat="1" applyFont="1" applyFill="1" applyBorder="1">
      <alignment vertical="center"/>
    </xf>
    <xf numFmtId="49" fontId="96" fillId="35" borderId="4" xfId="2142" applyNumberFormat="1" applyFont="1" applyFill="1" applyBorder="1">
      <alignment vertical="center"/>
    </xf>
    <xf numFmtId="49" fontId="96" fillId="35" borderId="11" xfId="2142" applyNumberFormat="1" applyFont="1" applyFill="1" applyBorder="1">
      <alignment vertical="center"/>
    </xf>
    <xf numFmtId="0" fontId="94" fillId="0" borderId="0" xfId="2142" applyFont="1" applyFill="1" applyBorder="1">
      <alignment vertical="center"/>
    </xf>
    <xf numFmtId="0" fontId="96" fillId="0" borderId="46" xfId="2132" applyFont="1" applyBorder="1" applyAlignment="1">
      <alignment vertical="top"/>
    </xf>
    <xf numFmtId="0" fontId="96" fillId="0" borderId="0" xfId="2132" applyFont="1" applyBorder="1" applyAlignment="1">
      <alignment vertical="top"/>
    </xf>
    <xf numFmtId="0" fontId="96" fillId="0" borderId="91" xfId="2132" applyFont="1" applyBorder="1" applyAlignment="1">
      <alignment vertical="top"/>
    </xf>
    <xf numFmtId="0" fontId="96" fillId="0" borderId="92" xfId="2132" applyFont="1" applyBorder="1" applyAlignment="1">
      <alignment vertical="top"/>
    </xf>
    <xf numFmtId="0" fontId="96" fillId="35" borderId="35" xfId="2164" applyFont="1" applyFill="1" applyBorder="1" applyAlignment="1">
      <alignment vertical="top"/>
    </xf>
    <xf numFmtId="0" fontId="96" fillId="35" borderId="36" xfId="2164" applyFont="1" applyFill="1" applyBorder="1" applyAlignment="1">
      <alignment vertical="top"/>
    </xf>
    <xf numFmtId="0" fontId="96" fillId="35" borderId="37" xfId="2164" applyFont="1" applyFill="1" applyBorder="1" applyAlignment="1">
      <alignment vertical="top"/>
    </xf>
    <xf numFmtId="0" fontId="96" fillId="35" borderId="54" xfId="2164" applyFont="1" applyFill="1" applyBorder="1" applyAlignment="1">
      <alignment vertical="top"/>
    </xf>
    <xf numFmtId="49" fontId="106" fillId="0" borderId="0" xfId="2142" applyNumberFormat="1" applyFont="1" applyBorder="1">
      <alignment vertical="center"/>
    </xf>
    <xf numFmtId="49" fontId="90" fillId="0" borderId="0" xfId="2142" applyNumberFormat="1" applyFont="1" applyFill="1" applyBorder="1">
      <alignment vertical="center"/>
    </xf>
    <xf numFmtId="0" fontId="90" fillId="39" borderId="1" xfId="2132" applyFont="1" applyFill="1" applyBorder="1">
      <alignment vertical="center"/>
    </xf>
    <xf numFmtId="0" fontId="90" fillId="39" borderId="2" xfId="2132" applyFont="1" applyFill="1" applyBorder="1">
      <alignment vertical="center"/>
    </xf>
    <xf numFmtId="49" fontId="90" fillId="39" borderId="2" xfId="2263" quotePrefix="1" applyNumberFormat="1" applyFont="1" applyFill="1" applyBorder="1" applyAlignment="1">
      <alignment vertical="center"/>
    </xf>
    <xf numFmtId="49" fontId="90" fillId="39" borderId="2" xfId="2263" applyNumberFormat="1" applyFont="1" applyFill="1" applyBorder="1">
      <alignment vertical="center"/>
    </xf>
    <xf numFmtId="49" fontId="90" fillId="39" borderId="3" xfId="2263" applyNumberFormat="1" applyFont="1" applyFill="1" applyBorder="1">
      <alignment vertical="center"/>
    </xf>
    <xf numFmtId="49" fontId="90" fillId="39" borderId="1" xfId="2263" applyNumberFormat="1" applyFont="1" applyFill="1" applyBorder="1">
      <alignment vertical="center"/>
    </xf>
    <xf numFmtId="49" fontId="90" fillId="39" borderId="3" xfId="2263" quotePrefix="1" applyNumberFormat="1" applyFont="1" applyFill="1" applyBorder="1" applyAlignment="1">
      <alignment vertical="center"/>
    </xf>
    <xf numFmtId="0" fontId="90" fillId="0" borderId="1" xfId="2132" applyFont="1" applyBorder="1">
      <alignment vertical="center"/>
    </xf>
    <xf numFmtId="0" fontId="90" fillId="0" borderId="2" xfId="2132" applyFont="1" applyBorder="1">
      <alignment vertical="center"/>
    </xf>
    <xf numFmtId="49" fontId="90" fillId="0" borderId="2" xfId="2263" quotePrefix="1" applyNumberFormat="1" applyFont="1" applyBorder="1" applyAlignment="1">
      <alignment vertical="center"/>
    </xf>
    <xf numFmtId="49" fontId="90" fillId="0" borderId="2" xfId="2263" applyNumberFormat="1" applyFont="1" applyBorder="1">
      <alignment vertical="center"/>
    </xf>
    <xf numFmtId="49" fontId="90" fillId="0" borderId="3" xfId="2263" applyNumberFormat="1" applyFont="1" applyBorder="1">
      <alignment vertical="center"/>
    </xf>
    <xf numFmtId="49" fontId="90" fillId="0" borderId="1" xfId="2263" applyNumberFormat="1" applyFont="1" applyBorder="1">
      <alignment vertical="center"/>
    </xf>
    <xf numFmtId="49" fontId="90" fillId="0" borderId="3" xfId="2263" quotePrefix="1" applyNumberFormat="1" applyFont="1" applyBorder="1" applyAlignment="1">
      <alignment vertical="center"/>
    </xf>
    <xf numFmtId="49" fontId="90" fillId="0" borderId="8" xfId="2142" applyNumberFormat="1" applyFont="1" applyFill="1" applyBorder="1">
      <alignment vertical="center"/>
    </xf>
    <xf numFmtId="0" fontId="90" fillId="0" borderId="0" xfId="2132" applyFont="1" applyBorder="1">
      <alignment vertical="center"/>
    </xf>
    <xf numFmtId="49" fontId="90" fillId="0" borderId="8" xfId="2263" applyNumberFormat="1" applyFont="1" applyBorder="1">
      <alignment vertical="center"/>
    </xf>
    <xf numFmtId="0" fontId="107" fillId="0" borderId="0" xfId="2132" applyFont="1" applyBorder="1">
      <alignment vertical="center"/>
    </xf>
    <xf numFmtId="49" fontId="90" fillId="0" borderId="0" xfId="2263" applyNumberFormat="1" applyFont="1" applyBorder="1">
      <alignment vertical="center"/>
    </xf>
    <xf numFmtId="49" fontId="90" fillId="0" borderId="0" xfId="2263" quotePrefix="1" applyNumberFormat="1" applyFont="1" applyBorder="1">
      <alignment vertical="center"/>
    </xf>
    <xf numFmtId="49" fontId="90" fillId="0" borderId="0" xfId="2263" quotePrefix="1" applyNumberFormat="1" applyFont="1" applyBorder="1" applyAlignment="1">
      <alignment horizontal="right" vertical="center"/>
    </xf>
    <xf numFmtId="0" fontId="92" fillId="0" borderId="0" xfId="3" applyFont="1" applyFill="1" applyBorder="1" applyAlignment="1">
      <alignment vertical="center"/>
    </xf>
    <xf numFmtId="49" fontId="90" fillId="0" borderId="0" xfId="2263" applyNumberFormat="1" applyFont="1" applyFill="1" applyBorder="1">
      <alignment vertical="center"/>
    </xf>
    <xf numFmtId="49" fontId="90" fillId="0" borderId="0" xfId="2263" quotePrefix="1" applyNumberFormat="1" applyFont="1" applyFill="1" applyBorder="1" applyAlignment="1">
      <alignment horizontal="right" vertical="center"/>
    </xf>
    <xf numFmtId="49" fontId="95" fillId="0" borderId="0" xfId="2142" applyNumberFormat="1" applyFont="1" applyFill="1" applyBorder="1">
      <alignment vertical="center"/>
    </xf>
    <xf numFmtId="49" fontId="95" fillId="0" borderId="0" xfId="2142" applyNumberFormat="1" applyFont="1" applyBorder="1">
      <alignment vertical="center"/>
    </xf>
    <xf numFmtId="49" fontId="90" fillId="0" borderId="32" xfId="2142" applyNumberFormat="1" applyFont="1" applyBorder="1">
      <alignment vertical="center"/>
    </xf>
    <xf numFmtId="49" fontId="90" fillId="0" borderId="92" xfId="2142" applyNumberFormat="1" applyFont="1" applyBorder="1">
      <alignment vertical="center"/>
    </xf>
    <xf numFmtId="49" fontId="90" fillId="0" borderId="92" xfId="2263" quotePrefix="1" applyNumberFormat="1" applyFont="1" applyBorder="1" applyAlignment="1">
      <alignment horizontal="right" vertical="center"/>
    </xf>
    <xf numFmtId="49" fontId="90" fillId="0" borderId="92" xfId="2263" applyNumberFormat="1" applyFont="1" applyBorder="1">
      <alignment vertical="center"/>
    </xf>
    <xf numFmtId="49" fontId="92" fillId="0" borderId="0" xfId="2142" applyNumberFormat="1" applyFont="1" applyFill="1" applyBorder="1">
      <alignment vertical="center"/>
    </xf>
    <xf numFmtId="49" fontId="90" fillId="40" borderId="8" xfId="2142" applyNumberFormat="1" applyFont="1" applyFill="1" applyBorder="1">
      <alignment vertical="center"/>
    </xf>
    <xf numFmtId="49" fontId="90" fillId="0" borderId="92" xfId="2142" applyNumberFormat="1" applyFont="1" applyFill="1" applyBorder="1">
      <alignment vertical="center"/>
    </xf>
    <xf numFmtId="0" fontId="90" fillId="0" borderId="0" xfId="2142" applyFont="1" applyBorder="1">
      <alignment vertical="center"/>
    </xf>
    <xf numFmtId="0" fontId="90" fillId="0" borderId="0" xfId="2132" applyFont="1" applyFill="1" applyBorder="1">
      <alignment vertical="center"/>
    </xf>
    <xf numFmtId="0" fontId="90" fillId="0" borderId="0" xfId="2142" applyFont="1" applyFill="1" applyBorder="1">
      <alignment vertical="center"/>
    </xf>
    <xf numFmtId="0" fontId="108" fillId="0" borderId="0" xfId="2132" applyFont="1" applyFill="1">
      <alignment vertical="center"/>
    </xf>
    <xf numFmtId="49" fontId="90" fillId="0" borderId="0" xfId="2142" quotePrefix="1" applyNumberFormat="1" applyFont="1" applyFill="1" applyBorder="1">
      <alignment vertical="center"/>
    </xf>
    <xf numFmtId="49" fontId="90" fillId="0" borderId="10" xfId="2142" applyNumberFormat="1" applyFont="1" applyBorder="1">
      <alignment vertical="center"/>
    </xf>
    <xf numFmtId="49" fontId="90" fillId="0" borderId="4" xfId="2142" applyNumberFormat="1" applyFont="1" applyBorder="1">
      <alignment vertical="center"/>
    </xf>
    <xf numFmtId="49" fontId="90" fillId="0" borderId="32" xfId="2142" applyNumberFormat="1" applyFont="1" applyFill="1" applyBorder="1">
      <alignment vertical="center"/>
    </xf>
    <xf numFmtId="49" fontId="90" fillId="0" borderId="92" xfId="2142" quotePrefix="1" applyNumberFormat="1" applyFont="1" applyFill="1" applyBorder="1">
      <alignment vertical="center"/>
    </xf>
    <xf numFmtId="0" fontId="90" fillId="0" borderId="0" xfId="3" applyFont="1" applyFill="1" applyAlignment="1">
      <alignment vertical="center"/>
    </xf>
    <xf numFmtId="0" fontId="90" fillId="0" borderId="0" xfId="0" applyFont="1" applyFill="1"/>
    <xf numFmtId="49" fontId="90" fillId="0" borderId="0" xfId="2132" applyNumberFormat="1" applyFont="1" applyFill="1">
      <alignment vertical="center"/>
    </xf>
    <xf numFmtId="0" fontId="92" fillId="0" borderId="0" xfId="3" applyFont="1" applyFill="1" applyAlignment="1">
      <alignment vertical="center"/>
    </xf>
    <xf numFmtId="0" fontId="90" fillId="0" borderId="0" xfId="0" quotePrefix="1" applyFont="1" applyFill="1"/>
    <xf numFmtId="49" fontId="95" fillId="0" borderId="0" xfId="2142" quotePrefix="1" applyNumberFormat="1" applyFont="1" applyFill="1" applyBorder="1">
      <alignment vertical="center"/>
    </xf>
    <xf numFmtId="49" fontId="109" fillId="0" borderId="0" xfId="2142" applyNumberFormat="1" applyFont="1" applyFill="1" applyBorder="1">
      <alignment vertical="center"/>
    </xf>
    <xf numFmtId="49" fontId="95" fillId="0" borderId="92" xfId="2142" applyNumberFormat="1" applyFont="1" applyFill="1" applyBorder="1">
      <alignment vertical="center"/>
    </xf>
    <xf numFmtId="0" fontId="90" fillId="0" borderId="92" xfId="2132" applyFont="1" applyFill="1" applyBorder="1">
      <alignment vertical="center"/>
    </xf>
    <xf numFmtId="49" fontId="90" fillId="0" borderId="0" xfId="2142" applyNumberFormat="1" applyFont="1" applyFill="1">
      <alignment vertical="center"/>
    </xf>
    <xf numFmtId="0" fontId="107" fillId="0" borderId="0" xfId="0" applyFont="1" applyBorder="1"/>
    <xf numFmtId="176" fontId="7" fillId="0" borderId="15" xfId="2" applyNumberFormat="1" applyBorder="1" applyAlignment="1" applyProtection="1">
      <alignment horizontal="center" vertical="center"/>
    </xf>
    <xf numFmtId="176" fontId="7" fillId="0" borderId="16" xfId="2" applyNumberFormat="1" applyBorder="1" applyAlignment="1" applyProtection="1">
      <alignment horizontal="center" vertical="center"/>
    </xf>
    <xf numFmtId="176" fontId="7" fillId="0" borderId="17" xfId="2" applyNumberFormat="1" applyBorder="1" applyAlignment="1" applyProtection="1">
      <alignment horizontal="center" vertical="center"/>
    </xf>
    <xf numFmtId="176" fontId="7" fillId="0" borderId="18" xfId="2" applyNumberFormat="1" applyBorder="1" applyAlignment="1" applyProtection="1">
      <alignment horizontal="center" vertical="center"/>
    </xf>
    <xf numFmtId="176" fontId="7" fillId="0" borderId="19" xfId="2" applyNumberFormat="1" applyBorder="1" applyAlignment="1" applyProtection="1">
      <alignment horizontal="center" vertical="center"/>
    </xf>
    <xf numFmtId="176" fontId="7" fillId="0" borderId="20" xfId="2" applyNumberFormat="1" applyBorder="1" applyAlignment="1" applyProtection="1">
      <alignment horizontal="center" vertical="center"/>
    </xf>
    <xf numFmtId="176" fontId="7" fillId="5" borderId="15" xfId="2" applyNumberFormat="1" applyFill="1" applyBorder="1" applyAlignment="1" applyProtection="1">
      <alignment horizontal="center" vertical="center"/>
      <protection locked="0"/>
    </xf>
    <xf numFmtId="176" fontId="7" fillId="5" borderId="16" xfId="2" applyNumberFormat="1" applyFill="1" applyBorder="1" applyAlignment="1" applyProtection="1">
      <alignment horizontal="center" vertical="center"/>
      <protection locked="0"/>
    </xf>
    <xf numFmtId="176" fontId="7" fillId="5" borderId="17" xfId="2" applyNumberFormat="1" applyFill="1" applyBorder="1" applyAlignment="1" applyProtection="1">
      <alignment horizontal="center" vertical="center"/>
      <protection locked="0"/>
    </xf>
    <xf numFmtId="176" fontId="7" fillId="5" borderId="18" xfId="2" applyNumberFormat="1" applyFill="1" applyBorder="1" applyAlignment="1" applyProtection="1">
      <alignment horizontal="center" vertical="center"/>
      <protection locked="0"/>
    </xf>
    <xf numFmtId="176" fontId="7" fillId="5" borderId="19" xfId="2" applyNumberFormat="1" applyFill="1" applyBorder="1" applyAlignment="1" applyProtection="1">
      <alignment horizontal="center" vertical="center"/>
      <protection locked="0"/>
    </xf>
    <xf numFmtId="176" fontId="7" fillId="5" borderId="20" xfId="2" applyNumberFormat="1" applyFill="1" applyBorder="1" applyAlignment="1" applyProtection="1">
      <alignment horizontal="center" vertical="center"/>
      <protection locked="0"/>
    </xf>
    <xf numFmtId="0" fontId="8" fillId="0" borderId="0" xfId="2" applyFont="1" applyFill="1" applyBorder="1" applyAlignment="1" applyProtection="1">
      <alignment horizontal="center" vertical="center"/>
      <protection locked="0"/>
    </xf>
    <xf numFmtId="14" fontId="11" fillId="0" borderId="0" xfId="2" applyNumberFormat="1" applyFont="1" applyFill="1" applyBorder="1" applyAlignment="1" applyProtection="1">
      <alignment horizontal="center" vertical="center"/>
      <protection locked="0"/>
    </xf>
    <xf numFmtId="0" fontId="7" fillId="0" borderId="12" xfId="2" applyBorder="1" applyAlignment="1" applyProtection="1">
      <alignment horizontal="center" vertical="center"/>
    </xf>
    <xf numFmtId="0" fontId="7" fillId="0" borderId="13" xfId="2" applyBorder="1" applyAlignment="1" applyProtection="1">
      <alignment horizontal="center" vertical="center"/>
    </xf>
    <xf numFmtId="0" fontId="7" fillId="0" borderId="14" xfId="2" applyBorder="1" applyAlignment="1" applyProtection="1">
      <alignment horizontal="center" vertical="center"/>
    </xf>
    <xf numFmtId="0" fontId="7" fillId="0" borderId="15" xfId="2" applyBorder="1" applyAlignment="1" applyProtection="1">
      <alignment horizontal="center" vertical="center"/>
    </xf>
    <xf numFmtId="0" fontId="7" fillId="0" borderId="16" xfId="2" applyBorder="1" applyAlignment="1" applyProtection="1">
      <alignment horizontal="center" vertical="center"/>
    </xf>
    <xf numFmtId="0" fontId="7" fillId="0" borderId="17" xfId="2" applyBorder="1" applyAlignment="1" applyProtection="1">
      <alignment horizontal="center" vertical="center"/>
    </xf>
    <xf numFmtId="0" fontId="7" fillId="5" borderId="12" xfId="2" applyFill="1" applyBorder="1" applyAlignment="1" applyProtection="1">
      <alignment horizontal="center" vertical="center"/>
      <protection locked="0"/>
    </xf>
    <xf numFmtId="0" fontId="7" fillId="5" borderId="13" xfId="2" applyFill="1" applyBorder="1" applyAlignment="1" applyProtection="1">
      <alignment horizontal="center" vertical="center"/>
      <protection locked="0"/>
    </xf>
    <xf numFmtId="0" fontId="7" fillId="5" borderId="14" xfId="2" applyFill="1" applyBorder="1" applyAlignment="1" applyProtection="1">
      <alignment horizontal="center" vertical="center"/>
      <protection locked="0"/>
    </xf>
    <xf numFmtId="0" fontId="7" fillId="5" borderId="15" xfId="2" applyFill="1" applyBorder="1" applyAlignment="1" applyProtection="1">
      <alignment horizontal="center" vertical="center"/>
      <protection locked="0"/>
    </xf>
    <xf numFmtId="0" fontId="7" fillId="5" borderId="16" xfId="2" applyFill="1" applyBorder="1" applyAlignment="1" applyProtection="1">
      <alignment horizontal="center" vertical="center"/>
      <protection locked="0"/>
    </xf>
    <xf numFmtId="0" fontId="7" fillId="5" borderId="17" xfId="2" applyFill="1" applyBorder="1" applyAlignment="1" applyProtection="1">
      <alignment horizontal="center" vertical="center"/>
      <protection locked="0"/>
    </xf>
    <xf numFmtId="0" fontId="15" fillId="3" borderId="5" xfId="2" applyFont="1" applyFill="1" applyBorder="1" applyAlignment="1" applyProtection="1">
      <alignment horizontal="left" vertical="center" indent="1"/>
      <protection locked="0"/>
    </xf>
    <xf numFmtId="0" fontId="15" fillId="3" borderId="6" xfId="2" applyFont="1" applyFill="1" applyBorder="1" applyAlignment="1" applyProtection="1">
      <alignment horizontal="left" vertical="center" indent="1"/>
      <protection locked="0"/>
    </xf>
    <xf numFmtId="0" fontId="15" fillId="3" borderId="7" xfId="2" applyFont="1" applyFill="1" applyBorder="1" applyAlignment="1" applyProtection="1">
      <alignment horizontal="left" vertical="center" indent="1"/>
      <protection locked="0"/>
    </xf>
    <xf numFmtId="0" fontId="15" fillId="3" borderId="10" xfId="2" applyFont="1" applyFill="1" applyBorder="1" applyAlignment="1" applyProtection="1">
      <alignment horizontal="left" vertical="center" indent="1"/>
      <protection locked="0"/>
    </xf>
    <xf numFmtId="0" fontId="15" fillId="3" borderId="4" xfId="2" applyFont="1" applyFill="1" applyBorder="1" applyAlignment="1" applyProtection="1">
      <alignment horizontal="left" vertical="center" indent="1"/>
      <protection locked="0"/>
    </xf>
    <xf numFmtId="0" fontId="15" fillId="3" borderId="11" xfId="2" applyFont="1" applyFill="1" applyBorder="1" applyAlignment="1" applyProtection="1">
      <alignment horizontal="left" vertical="center" indent="1"/>
      <protection locked="0"/>
    </xf>
    <xf numFmtId="0" fontId="5" fillId="5" borderId="5" xfId="2" applyFont="1" applyFill="1" applyBorder="1" applyAlignment="1" applyProtection="1">
      <alignment horizontal="left" vertical="center" indent="1"/>
      <protection locked="0"/>
    </xf>
    <xf numFmtId="0" fontId="16" fillId="5" borderId="6" xfId="2" applyFont="1" applyFill="1" applyBorder="1" applyAlignment="1" applyProtection="1">
      <alignment horizontal="left" vertical="center" indent="1"/>
      <protection locked="0"/>
    </xf>
    <xf numFmtId="0" fontId="16" fillId="5" borderId="7" xfId="2" applyFont="1" applyFill="1" applyBorder="1" applyAlignment="1" applyProtection="1">
      <alignment horizontal="left" vertical="center" indent="1"/>
      <protection locked="0"/>
    </xf>
    <xf numFmtId="0" fontId="16" fillId="5" borderId="10" xfId="2" applyFont="1" applyFill="1" applyBorder="1" applyAlignment="1" applyProtection="1">
      <alignment horizontal="left" vertical="center" indent="1"/>
      <protection locked="0"/>
    </xf>
    <xf numFmtId="0" fontId="16" fillId="5" borderId="4" xfId="2" applyFont="1" applyFill="1" applyBorder="1" applyAlignment="1" applyProtection="1">
      <alignment horizontal="left" vertical="center" indent="1"/>
      <protection locked="0"/>
    </xf>
    <xf numFmtId="0" fontId="16" fillId="5" borderId="11" xfId="2" applyFont="1" applyFill="1" applyBorder="1" applyAlignment="1" applyProtection="1">
      <alignment horizontal="left" vertical="center" indent="1"/>
      <protection locked="0"/>
    </xf>
    <xf numFmtId="178" fontId="5" fillId="5" borderId="5" xfId="2" applyNumberFormat="1" applyFont="1" applyFill="1" applyBorder="1" applyAlignment="1" applyProtection="1">
      <alignment horizontal="left" vertical="center" indent="1"/>
      <protection locked="0"/>
    </xf>
    <xf numFmtId="178" fontId="16" fillId="5" borderId="6" xfId="2" applyNumberFormat="1" applyFont="1" applyFill="1" applyBorder="1" applyAlignment="1" applyProtection="1">
      <alignment horizontal="left" vertical="center" indent="1"/>
      <protection locked="0"/>
    </xf>
    <xf numFmtId="178" fontId="16" fillId="5" borderId="7" xfId="2" applyNumberFormat="1" applyFont="1" applyFill="1" applyBorder="1" applyAlignment="1" applyProtection="1">
      <alignment horizontal="left" vertical="center" indent="1"/>
      <protection locked="0"/>
    </xf>
    <xf numFmtId="178" fontId="16" fillId="5" borderId="10" xfId="2" applyNumberFormat="1" applyFont="1" applyFill="1" applyBorder="1" applyAlignment="1" applyProtection="1">
      <alignment horizontal="left" vertical="center" indent="1"/>
      <protection locked="0"/>
    </xf>
    <xf numFmtId="178" fontId="16" fillId="5" borderId="4" xfId="2" applyNumberFormat="1" applyFont="1" applyFill="1" applyBorder="1" applyAlignment="1" applyProtection="1">
      <alignment horizontal="left" vertical="center" indent="1"/>
      <protection locked="0"/>
    </xf>
    <xf numFmtId="178" fontId="16" fillId="5" borderId="11" xfId="2" applyNumberFormat="1" applyFont="1" applyFill="1" applyBorder="1" applyAlignment="1" applyProtection="1">
      <alignment horizontal="left" vertical="center" indent="1"/>
      <protection locked="0"/>
    </xf>
    <xf numFmtId="0" fontId="7" fillId="4" borderId="1" xfId="2" applyFont="1" applyFill="1" applyBorder="1" applyAlignment="1" applyProtection="1">
      <alignment horizontal="center" vertical="center"/>
      <protection locked="0"/>
    </xf>
    <xf numFmtId="0" fontId="7" fillId="4" borderId="2" xfId="2" applyFont="1" applyFill="1" applyBorder="1" applyAlignment="1" applyProtection="1">
      <alignment horizontal="center" vertical="center"/>
      <protection locked="0"/>
    </xf>
    <xf numFmtId="0" fontId="7" fillId="4" borderId="3" xfId="2" applyFont="1" applyFill="1" applyBorder="1" applyAlignment="1" applyProtection="1">
      <alignment horizontal="center" vertical="center"/>
      <protection locked="0"/>
    </xf>
    <xf numFmtId="178" fontId="5" fillId="0" borderId="5" xfId="2" applyNumberFormat="1" applyFont="1" applyFill="1" applyBorder="1" applyAlignment="1" applyProtection="1">
      <alignment horizontal="left" vertical="center" indent="1"/>
      <protection locked="0"/>
    </xf>
    <xf numFmtId="178" fontId="5" fillId="0" borderId="6" xfId="2" applyNumberFormat="1" applyFont="1" applyFill="1" applyBorder="1" applyAlignment="1" applyProtection="1">
      <alignment horizontal="left" vertical="center" indent="1"/>
      <protection locked="0"/>
    </xf>
    <xf numFmtId="178" fontId="5" fillId="0" borderId="7" xfId="2" applyNumberFormat="1" applyFont="1" applyFill="1" applyBorder="1" applyAlignment="1" applyProtection="1">
      <alignment horizontal="left" vertical="center" indent="1"/>
      <protection locked="0"/>
    </xf>
    <xf numFmtId="178" fontId="5" fillId="0" borderId="10" xfId="2" applyNumberFormat="1" applyFont="1" applyFill="1" applyBorder="1" applyAlignment="1" applyProtection="1">
      <alignment horizontal="left" vertical="center" indent="1"/>
      <protection locked="0"/>
    </xf>
    <xf numFmtId="178" fontId="5" fillId="0" borderId="4" xfId="2" applyNumberFormat="1" applyFont="1" applyFill="1" applyBorder="1" applyAlignment="1" applyProtection="1">
      <alignment horizontal="left" vertical="center" indent="1"/>
      <protection locked="0"/>
    </xf>
    <xf numFmtId="178" fontId="5" fillId="0" borderId="11" xfId="2" applyNumberFormat="1" applyFont="1" applyFill="1" applyBorder="1" applyAlignment="1" applyProtection="1">
      <alignment horizontal="left" vertical="center" indent="1"/>
      <protection locked="0"/>
    </xf>
    <xf numFmtId="178" fontId="15" fillId="4" borderId="5" xfId="2" applyNumberFormat="1" applyFont="1" applyFill="1" applyBorder="1" applyAlignment="1" applyProtection="1">
      <alignment horizontal="center" vertical="center"/>
      <protection locked="0"/>
    </xf>
    <xf numFmtId="178" fontId="15" fillId="4" borderId="7" xfId="2" applyNumberFormat="1" applyFont="1" applyFill="1" applyBorder="1" applyAlignment="1" applyProtection="1">
      <alignment horizontal="center" vertical="center"/>
      <protection locked="0"/>
    </xf>
    <xf numFmtId="178" fontId="15" fillId="4" borderId="10" xfId="2" applyNumberFormat="1" applyFont="1" applyFill="1" applyBorder="1" applyAlignment="1" applyProtection="1">
      <alignment horizontal="center" vertical="center"/>
      <protection locked="0"/>
    </xf>
    <xf numFmtId="178" fontId="15" fillId="4" borderId="11" xfId="2" applyNumberFormat="1" applyFont="1" applyFill="1" applyBorder="1" applyAlignment="1" applyProtection="1">
      <alignment horizontal="center" vertical="center"/>
      <protection locked="0"/>
    </xf>
    <xf numFmtId="178" fontId="5" fillId="0" borderId="5" xfId="2" applyNumberFormat="1" applyFont="1" applyBorder="1" applyAlignment="1" applyProtection="1">
      <alignment horizontal="left" vertical="center" indent="1"/>
      <protection locked="0"/>
    </xf>
    <xf numFmtId="178" fontId="5" fillId="0" borderId="6" xfId="2" applyNumberFormat="1" applyFont="1" applyBorder="1" applyAlignment="1" applyProtection="1">
      <alignment horizontal="left" vertical="center" indent="1"/>
      <protection locked="0"/>
    </xf>
    <xf numFmtId="178" fontId="5" fillId="0" borderId="7" xfId="2" applyNumberFormat="1" applyFont="1" applyBorder="1" applyAlignment="1" applyProtection="1">
      <alignment horizontal="left" vertical="center" indent="1"/>
      <protection locked="0"/>
    </xf>
    <xf numFmtId="178" fontId="5" fillId="0" borderId="10" xfId="2" applyNumberFormat="1" applyFont="1" applyBorder="1" applyAlignment="1" applyProtection="1">
      <alignment horizontal="left" vertical="center" indent="1"/>
      <protection locked="0"/>
    </xf>
    <xf numFmtId="178" fontId="5" fillId="0" borderId="4" xfId="2" applyNumberFormat="1" applyFont="1" applyBorder="1" applyAlignment="1" applyProtection="1">
      <alignment horizontal="left" vertical="center" indent="1"/>
      <protection locked="0"/>
    </xf>
    <xf numFmtId="178" fontId="5" fillId="0" borderId="11" xfId="2" applyNumberFormat="1" applyFont="1" applyBorder="1" applyAlignment="1" applyProtection="1">
      <alignment horizontal="left" vertical="center" indent="1"/>
      <protection locked="0"/>
    </xf>
    <xf numFmtId="0" fontId="5" fillId="0" borderId="5" xfId="2" applyFont="1" applyFill="1" applyBorder="1" applyAlignment="1" applyProtection="1">
      <alignment horizontal="left" vertical="center" indent="1"/>
      <protection locked="0"/>
    </xf>
    <xf numFmtId="0" fontId="5" fillId="0" borderId="6" xfId="2" applyFont="1" applyFill="1" applyBorder="1" applyAlignment="1" applyProtection="1">
      <alignment horizontal="left" vertical="center" indent="1"/>
      <protection locked="0"/>
    </xf>
    <xf numFmtId="0" fontId="5" fillId="0" borderId="7" xfId="2" applyFont="1" applyFill="1" applyBorder="1" applyAlignment="1" applyProtection="1">
      <alignment horizontal="left" vertical="center" indent="1"/>
      <protection locked="0"/>
    </xf>
    <xf numFmtId="0" fontId="5" fillId="0" borderId="10" xfId="2" applyFont="1" applyFill="1" applyBorder="1" applyAlignment="1" applyProtection="1">
      <alignment horizontal="left" vertical="center" indent="1"/>
      <protection locked="0"/>
    </xf>
    <xf numFmtId="0" fontId="5" fillId="0" borderId="4" xfId="2" applyFont="1" applyFill="1" applyBorder="1" applyAlignment="1" applyProtection="1">
      <alignment horizontal="left" vertical="center" indent="1"/>
      <protection locked="0"/>
    </xf>
    <xf numFmtId="0" fontId="5" fillId="0" borderId="11" xfId="2" applyFont="1" applyFill="1" applyBorder="1" applyAlignment="1" applyProtection="1">
      <alignment horizontal="left" vertical="center" indent="1"/>
      <protection locked="0"/>
    </xf>
    <xf numFmtId="179" fontId="5" fillId="0" borderId="5" xfId="2" applyNumberFormat="1" applyFont="1" applyFill="1" applyBorder="1" applyAlignment="1" applyProtection="1">
      <alignment horizontal="left" vertical="center" indent="1"/>
    </xf>
    <xf numFmtId="179" fontId="16" fillId="0" borderId="6" xfId="2" applyNumberFormat="1" applyFont="1" applyBorder="1" applyAlignment="1" applyProtection="1">
      <alignment horizontal="left" vertical="center" indent="1"/>
    </xf>
    <xf numFmtId="179" fontId="16" fillId="0" borderId="7" xfId="2" applyNumberFormat="1" applyFont="1" applyBorder="1" applyAlignment="1" applyProtection="1">
      <alignment horizontal="left" vertical="center" indent="1"/>
    </xf>
    <xf numFmtId="179" fontId="16" fillId="0" borderId="10" xfId="2" applyNumberFormat="1" applyFont="1" applyBorder="1" applyAlignment="1" applyProtection="1">
      <alignment horizontal="left" vertical="center" indent="1"/>
    </xf>
    <xf numFmtId="179" fontId="16" fillId="0" borderId="4" xfId="2" applyNumberFormat="1" applyFont="1" applyBorder="1" applyAlignment="1" applyProtection="1">
      <alignment horizontal="left" vertical="center" indent="1"/>
    </xf>
    <xf numFmtId="179" fontId="16" fillId="0" borderId="11" xfId="2" applyNumberFormat="1" applyFont="1" applyBorder="1" applyAlignment="1" applyProtection="1">
      <alignment horizontal="left" vertical="center" indent="1"/>
    </xf>
    <xf numFmtId="178" fontId="16" fillId="0" borderId="6" xfId="2" applyNumberFormat="1" applyFont="1" applyBorder="1" applyAlignment="1" applyProtection="1">
      <alignment horizontal="left" vertical="center" indent="1"/>
      <protection locked="0"/>
    </xf>
    <xf numFmtId="178" fontId="16" fillId="0" borderId="7" xfId="2" applyNumberFormat="1" applyFont="1" applyBorder="1" applyAlignment="1" applyProtection="1">
      <alignment horizontal="left" vertical="center" indent="1"/>
      <protection locked="0"/>
    </xf>
    <xf numFmtId="178" fontId="16" fillId="0" borderId="10" xfId="2" applyNumberFormat="1" applyFont="1" applyBorder="1" applyAlignment="1" applyProtection="1">
      <alignment horizontal="left" vertical="center" indent="1"/>
      <protection locked="0"/>
    </xf>
    <xf numFmtId="178" fontId="16" fillId="0" borderId="4" xfId="2" applyNumberFormat="1" applyFont="1" applyBorder="1" applyAlignment="1" applyProtection="1">
      <alignment horizontal="left" vertical="center" indent="1"/>
      <protection locked="0"/>
    </xf>
    <xf numFmtId="178" fontId="16" fillId="0" borderId="11" xfId="2" applyNumberFormat="1" applyFont="1" applyBorder="1" applyAlignment="1" applyProtection="1">
      <alignment horizontal="left" vertical="center" indent="1"/>
      <protection locked="0"/>
    </xf>
    <xf numFmtId="0" fontId="13" fillId="0" borderId="8" xfId="2" applyFont="1" applyFill="1" applyBorder="1" applyAlignment="1" applyProtection="1">
      <alignment horizontal="center" vertical="center" wrapText="1"/>
      <protection locked="0"/>
    </xf>
    <xf numFmtId="0" fontId="13" fillId="0" borderId="0" xfId="2" applyFont="1" applyFill="1" applyBorder="1" applyAlignment="1" applyProtection="1">
      <alignment horizontal="center" vertical="center" wrapText="1"/>
      <protection locked="0"/>
    </xf>
    <xf numFmtId="0" fontId="13" fillId="0" borderId="9" xfId="2" applyFont="1" applyFill="1" applyBorder="1" applyAlignment="1" applyProtection="1">
      <alignment horizontal="center" vertical="center" wrapText="1"/>
      <protection locked="0"/>
    </xf>
    <xf numFmtId="0" fontId="14" fillId="0" borderId="8" xfId="2" applyFont="1" applyFill="1" applyBorder="1" applyAlignment="1" applyProtection="1">
      <alignment horizontal="center" vertical="center"/>
      <protection locked="0"/>
    </xf>
    <xf numFmtId="0" fontId="14" fillId="0" borderId="0" xfId="2" applyFont="1" applyFill="1" applyBorder="1" applyAlignment="1" applyProtection="1">
      <alignment horizontal="center" vertical="center"/>
      <protection locked="0"/>
    </xf>
    <xf numFmtId="0" fontId="14" fillId="0" borderId="9" xfId="2" applyFont="1" applyFill="1" applyBorder="1" applyAlignment="1" applyProtection="1">
      <alignment horizontal="center" vertical="center"/>
      <protection locked="0"/>
    </xf>
    <xf numFmtId="0" fontId="14" fillId="0" borderId="10" xfId="2" applyFont="1" applyFill="1" applyBorder="1" applyAlignment="1" applyProtection="1">
      <alignment horizontal="center" vertical="center"/>
      <protection locked="0"/>
    </xf>
    <xf numFmtId="0" fontId="14" fillId="0" borderId="4" xfId="2" applyFont="1" applyFill="1" applyBorder="1" applyAlignment="1" applyProtection="1">
      <alignment horizontal="center" vertical="center"/>
      <protection locked="0"/>
    </xf>
    <xf numFmtId="0" fontId="14" fillId="0" borderId="11" xfId="2" applyFont="1" applyFill="1" applyBorder="1" applyAlignment="1" applyProtection="1">
      <alignment horizontal="center" vertical="center"/>
      <protection locked="0"/>
    </xf>
    <xf numFmtId="0" fontId="16" fillId="0" borderId="6" xfId="2" applyFont="1" applyBorder="1" applyAlignment="1" applyProtection="1">
      <alignment horizontal="left" vertical="center" indent="1"/>
      <protection locked="0"/>
    </xf>
    <xf numFmtId="0" fontId="16" fillId="0" borderId="7" xfId="2" applyFont="1" applyBorder="1" applyAlignment="1" applyProtection="1">
      <alignment horizontal="left" vertical="center" indent="1"/>
      <protection locked="0"/>
    </xf>
    <xf numFmtId="0" fontId="16" fillId="0" borderId="10" xfId="2" applyFont="1" applyBorder="1" applyAlignment="1" applyProtection="1">
      <alignment horizontal="left" vertical="center" indent="1"/>
      <protection locked="0"/>
    </xf>
    <xf numFmtId="0" fontId="16" fillId="0" borderId="4" xfId="2" applyFont="1" applyBorder="1" applyAlignment="1" applyProtection="1">
      <alignment horizontal="left" vertical="center" indent="1"/>
      <protection locked="0"/>
    </xf>
    <xf numFmtId="0" fontId="16" fillId="0" borderId="11" xfId="2" applyFont="1" applyBorder="1" applyAlignment="1" applyProtection="1">
      <alignment horizontal="left" vertical="center" indent="1"/>
      <protection locked="0"/>
    </xf>
    <xf numFmtId="49" fontId="23" fillId="0" borderId="8" xfId="2142" applyNumberFormat="1" applyFont="1" applyBorder="1" applyAlignment="1">
      <alignment horizontal="left" vertical="center" shrinkToFit="1"/>
    </xf>
    <xf numFmtId="49" fontId="23" fillId="0" borderId="0" xfId="2142" applyNumberFormat="1" applyFont="1" applyBorder="1" applyAlignment="1">
      <alignment horizontal="left" vertical="center" shrinkToFit="1"/>
    </xf>
    <xf numFmtId="49" fontId="23" fillId="0" borderId="47" xfId="2142" applyNumberFormat="1" applyFont="1" applyBorder="1" applyAlignment="1">
      <alignment horizontal="left" vertical="center" shrinkToFit="1"/>
    </xf>
    <xf numFmtId="49" fontId="23" fillId="0" borderId="8" xfId="2142" applyNumberFormat="1" applyFont="1" applyBorder="1" applyAlignment="1">
      <alignment horizontal="center" vertical="center"/>
    </xf>
    <xf numFmtId="49" fontId="23" fillId="0" borderId="9" xfId="2142" applyNumberFormat="1" applyFont="1" applyBorder="1" applyAlignment="1">
      <alignment horizontal="center" vertical="center"/>
    </xf>
    <xf numFmtId="49" fontId="23" fillId="0" borderId="10" xfId="2142" applyNumberFormat="1" applyFont="1" applyBorder="1" applyAlignment="1">
      <alignment horizontal="center" vertical="center"/>
    </xf>
    <xf numFmtId="49" fontId="23" fillId="0" borderId="11" xfId="2142" applyNumberFormat="1" applyFont="1" applyBorder="1" applyAlignment="1">
      <alignment horizontal="center" vertical="center"/>
    </xf>
    <xf numFmtId="0" fontId="20" fillId="7" borderId="22" xfId="2" applyFont="1" applyFill="1" applyBorder="1" applyAlignment="1">
      <alignment horizontal="left"/>
    </xf>
    <xf numFmtId="0" fontId="6" fillId="0" borderId="22" xfId="2" applyFont="1" applyBorder="1" applyAlignment="1">
      <alignment horizontal="left"/>
    </xf>
    <xf numFmtId="0" fontId="6" fillId="0" borderId="23" xfId="2" applyFont="1" applyBorder="1" applyAlignment="1"/>
    <xf numFmtId="0" fontId="6" fillId="0" borderId="24" xfId="2" applyFont="1" applyBorder="1" applyAlignment="1"/>
    <xf numFmtId="0" fontId="6" fillId="0" borderId="25" xfId="2" applyFont="1" applyBorder="1" applyAlignment="1"/>
    <xf numFmtId="0" fontId="20" fillId="7" borderId="23" xfId="2" applyFont="1" applyFill="1" applyBorder="1" applyAlignment="1"/>
    <xf numFmtId="0" fontId="20" fillId="7" borderId="24" xfId="2" applyFont="1" applyFill="1" applyBorder="1" applyAlignment="1"/>
    <xf numFmtId="0" fontId="20" fillId="7" borderId="25" xfId="2" applyFont="1" applyFill="1" applyBorder="1" applyAlignment="1"/>
    <xf numFmtId="0" fontId="20" fillId="7" borderId="31" xfId="2" applyFont="1" applyFill="1" applyBorder="1" applyAlignment="1">
      <alignment horizontal="left"/>
    </xf>
    <xf numFmtId="0" fontId="6" fillId="0" borderId="35" xfId="2" applyFont="1" applyFill="1" applyBorder="1" applyAlignment="1"/>
    <xf numFmtId="0" fontId="6" fillId="0" borderId="36" xfId="2" applyFont="1" applyFill="1" applyBorder="1" applyAlignment="1"/>
    <xf numFmtId="0" fontId="6" fillId="0" borderId="37" xfId="2" applyFont="1" applyFill="1" applyBorder="1" applyAlignment="1"/>
    <xf numFmtId="0" fontId="20" fillId="7" borderId="35" xfId="2" applyFont="1" applyFill="1" applyBorder="1" applyAlignment="1"/>
    <xf numFmtId="0" fontId="20" fillId="7" borderId="36" xfId="2" applyFont="1" applyFill="1" applyBorder="1" applyAlignment="1"/>
    <xf numFmtId="0" fontId="20" fillId="7" borderId="37" xfId="2" applyFont="1" applyFill="1" applyBorder="1" applyAlignment="1"/>
    <xf numFmtId="0" fontId="20" fillId="7" borderId="28" xfId="2" applyFont="1" applyFill="1" applyBorder="1" applyAlignment="1">
      <alignment horizontal="left"/>
    </xf>
    <xf numFmtId="0" fontId="6" fillId="0" borderId="28" xfId="2" applyFont="1" applyBorder="1" applyAlignment="1">
      <alignment horizontal="left"/>
    </xf>
    <xf numFmtId="0" fontId="6" fillId="0" borderId="1" xfId="2" applyFont="1" applyBorder="1" applyAlignment="1">
      <alignment shrinkToFit="1"/>
    </xf>
    <xf numFmtId="0" fontId="6" fillId="0" borderId="2" xfId="2" applyFont="1" applyBorder="1" applyAlignment="1">
      <alignment shrinkToFit="1"/>
    </xf>
    <xf numFmtId="0" fontId="6" fillId="0" borderId="3" xfId="2" applyFont="1" applyBorder="1" applyAlignment="1">
      <alignment shrinkToFit="1"/>
    </xf>
    <xf numFmtId="0" fontId="20" fillId="7" borderId="1" xfId="2" applyFont="1" applyFill="1" applyBorder="1" applyAlignment="1"/>
    <xf numFmtId="0" fontId="20" fillId="7" borderId="2" xfId="2" applyFont="1" applyFill="1" applyBorder="1" applyAlignment="1"/>
    <xf numFmtId="0" fontId="20" fillId="7" borderId="3" xfId="2" applyFont="1" applyFill="1" applyBorder="1" applyAlignment="1"/>
    <xf numFmtId="0" fontId="20" fillId="7" borderId="23" xfId="2" applyFont="1" applyFill="1" applyBorder="1" applyAlignment="1">
      <alignment horizontal="center"/>
    </xf>
    <xf numFmtId="0" fontId="7" fillId="0" borderId="24" xfId="2" applyBorder="1"/>
    <xf numFmtId="0" fontId="7" fillId="0" borderId="26" xfId="2" applyBorder="1"/>
    <xf numFmtId="176" fontId="6" fillId="0" borderId="28" xfId="2" applyNumberFormat="1" applyFont="1" applyBorder="1" applyAlignment="1">
      <alignment horizontal="center"/>
    </xf>
    <xf numFmtId="0" fontId="21" fillId="0" borderId="5" xfId="2" applyFont="1" applyBorder="1" applyAlignment="1">
      <alignment horizontal="center" vertical="center" shrinkToFit="1"/>
    </xf>
    <xf numFmtId="0" fontId="7" fillId="0" borderId="6" xfId="2" applyBorder="1" applyAlignment="1">
      <alignment shrinkToFit="1"/>
    </xf>
    <xf numFmtId="0" fontId="7" fillId="0" borderId="29" xfId="2" applyBorder="1" applyAlignment="1">
      <alignment shrinkToFit="1"/>
    </xf>
    <xf numFmtId="0" fontId="7" fillId="0" borderId="32" xfId="2" applyBorder="1" applyAlignment="1">
      <alignment shrinkToFit="1"/>
    </xf>
    <xf numFmtId="0" fontId="7" fillId="0" borderId="33" xfId="2" applyBorder="1" applyAlignment="1">
      <alignment shrinkToFit="1"/>
    </xf>
    <xf numFmtId="0" fontId="7" fillId="0" borderId="38" xfId="2" applyBorder="1" applyAlignment="1">
      <alignment shrinkToFit="1"/>
    </xf>
    <xf numFmtId="0" fontId="20" fillId="7" borderId="22" xfId="2" applyFont="1" applyFill="1" applyBorder="1" applyAlignment="1">
      <alignment horizontal="center"/>
    </xf>
    <xf numFmtId="0" fontId="6" fillId="0" borderId="22" xfId="2" applyFont="1" applyBorder="1" applyAlignment="1">
      <alignment horizontal="center" shrinkToFit="1"/>
    </xf>
    <xf numFmtId="0" fontId="6" fillId="0" borderId="28" xfId="2" applyFont="1" applyBorder="1" applyAlignment="1">
      <alignment horizontal="center" shrinkToFit="1"/>
    </xf>
    <xf numFmtId="0" fontId="20" fillId="7" borderId="28" xfId="2" applyFont="1" applyFill="1" applyBorder="1" applyAlignment="1">
      <alignment horizontal="center"/>
    </xf>
    <xf numFmtId="0" fontId="20" fillId="7" borderId="31" xfId="2" applyFont="1" applyFill="1" applyBorder="1" applyAlignment="1">
      <alignment horizontal="center"/>
    </xf>
    <xf numFmtId="179" fontId="6" fillId="0" borderId="31" xfId="2" applyNumberFormat="1" applyFont="1" applyFill="1" applyBorder="1" applyAlignment="1">
      <alignment horizontal="center"/>
    </xf>
    <xf numFmtId="176" fontId="6" fillId="0" borderId="22" xfId="2" applyNumberFormat="1" applyFont="1" applyFill="1" applyBorder="1" applyAlignment="1">
      <alignment horizontal="center"/>
    </xf>
    <xf numFmtId="0" fontId="6" fillId="0" borderId="1" xfId="2" applyFont="1" applyBorder="1" applyAlignment="1"/>
    <xf numFmtId="0" fontId="6" fillId="0" borderId="2" xfId="2" applyFont="1" applyBorder="1" applyAlignment="1"/>
    <xf numFmtId="0" fontId="6" fillId="0" borderId="3" xfId="2" applyFont="1" applyBorder="1" applyAlignment="1"/>
    <xf numFmtId="0" fontId="18" fillId="6" borderId="21" xfId="2" applyFont="1" applyFill="1" applyBorder="1" applyAlignment="1">
      <alignment horizontal="center" vertical="center" wrapText="1"/>
    </xf>
    <xf numFmtId="0" fontId="19" fillId="0" borderId="22" xfId="2" applyFont="1" applyBorder="1" applyAlignment="1">
      <alignment horizontal="center" vertical="center"/>
    </xf>
    <xf numFmtId="0" fontId="19" fillId="0" borderId="27" xfId="2" applyFont="1" applyBorder="1" applyAlignment="1">
      <alignment horizontal="center" vertical="center"/>
    </xf>
    <xf numFmtId="0" fontId="19" fillId="0" borderId="28" xfId="2" applyFont="1" applyBorder="1" applyAlignment="1">
      <alignment horizontal="center" vertical="center"/>
    </xf>
    <xf numFmtId="0" fontId="19" fillId="0" borderId="30" xfId="2" applyFont="1" applyBorder="1" applyAlignment="1">
      <alignment horizontal="center" vertical="center"/>
    </xf>
    <xf numFmtId="0" fontId="19" fillId="0" borderId="31" xfId="2" applyFont="1" applyBorder="1" applyAlignment="1">
      <alignment horizontal="center" vertical="center"/>
    </xf>
    <xf numFmtId="0" fontId="20" fillId="7" borderId="22" xfId="2" applyFont="1" applyFill="1" applyBorder="1" applyAlignment="1">
      <alignment horizontal="center" vertical="center" wrapText="1"/>
    </xf>
    <xf numFmtId="0" fontId="20" fillId="7" borderId="22" xfId="2" applyFont="1" applyFill="1" applyBorder="1" applyAlignment="1">
      <alignment vertical="center"/>
    </xf>
    <xf numFmtId="0" fontId="20" fillId="7" borderId="28" xfId="2" applyFont="1" applyFill="1" applyBorder="1" applyAlignment="1">
      <alignment vertical="center"/>
    </xf>
    <xf numFmtId="0" fontId="20" fillId="7" borderId="31" xfId="2" applyFont="1" applyFill="1" applyBorder="1" applyAlignment="1">
      <alignment vertical="center"/>
    </xf>
    <xf numFmtId="49" fontId="23" fillId="0" borderId="32" xfId="2142" applyNumberFormat="1" applyFont="1" applyBorder="1" applyAlignment="1">
      <alignment horizontal="center" vertical="center"/>
    </xf>
    <xf numFmtId="49" fontId="23" fillId="0" borderId="34" xfId="2142" applyNumberFormat="1" applyFont="1" applyBorder="1" applyAlignment="1">
      <alignment horizontal="center" vertical="center"/>
    </xf>
    <xf numFmtId="0" fontId="24" fillId="6" borderId="81" xfId="2132" applyFont="1" applyFill="1" applyBorder="1" applyAlignment="1">
      <alignment horizontal="center" vertical="center"/>
    </xf>
    <xf numFmtId="0" fontId="24" fillId="6" borderId="82" xfId="2132" applyFont="1" applyFill="1" applyBorder="1" applyAlignment="1">
      <alignment horizontal="center" vertical="center"/>
    </xf>
    <xf numFmtId="49" fontId="23" fillId="0" borderId="5" xfId="2142" applyNumberFormat="1" applyFont="1" applyBorder="1" applyAlignment="1">
      <alignment horizontal="center" vertical="center"/>
    </xf>
    <xf numFmtId="49" fontId="23" fillId="0" borderId="94" xfId="2142" applyNumberFormat="1" applyFont="1" applyBorder="1" applyAlignment="1">
      <alignment horizontal="center" vertical="center"/>
    </xf>
    <xf numFmtId="0" fontId="20" fillId="0" borderId="5" xfId="2" applyFont="1" applyBorder="1" applyAlignment="1">
      <alignment horizontal="center" vertical="center" shrinkToFit="1"/>
    </xf>
    <xf numFmtId="0" fontId="20" fillId="0" borderId="6" xfId="2" applyFont="1" applyBorder="1" applyAlignment="1">
      <alignment horizontal="center" vertical="center" shrinkToFit="1"/>
    </xf>
    <xf numFmtId="0" fontId="20" fillId="0" borderId="7" xfId="2" applyFont="1" applyBorder="1" applyAlignment="1">
      <alignment horizontal="center" vertical="center" shrinkToFit="1"/>
    </xf>
    <xf numFmtId="0" fontId="20" fillId="0" borderId="32" xfId="2" applyFont="1" applyBorder="1" applyAlignment="1">
      <alignment horizontal="center" vertical="center" shrinkToFit="1"/>
    </xf>
    <xf numFmtId="0" fontId="20" fillId="0" borderId="33" xfId="2" applyFont="1" applyBorder="1" applyAlignment="1">
      <alignment horizontal="center" vertical="center" shrinkToFit="1"/>
    </xf>
    <xf numFmtId="0" fontId="20" fillId="0" borderId="34" xfId="2" applyFont="1" applyBorder="1" applyAlignment="1">
      <alignment horizontal="center" vertical="center" shrinkToFit="1"/>
    </xf>
    <xf numFmtId="0" fontId="20" fillId="7" borderId="22" xfId="2" applyFont="1" applyFill="1" applyBorder="1" applyAlignment="1">
      <alignment horizontal="center" wrapText="1"/>
    </xf>
    <xf numFmtId="49" fontId="23" fillId="0" borderId="5" xfId="2142" applyNumberFormat="1" applyFont="1" applyFill="1" applyBorder="1" applyAlignment="1">
      <alignment horizontal="center" vertical="center"/>
    </xf>
    <xf numFmtId="49" fontId="23" fillId="0" borderId="94" xfId="2142" applyNumberFormat="1" applyFont="1" applyFill="1" applyBorder="1" applyAlignment="1">
      <alignment horizontal="center" vertical="center"/>
    </xf>
    <xf numFmtId="49" fontId="23" fillId="0" borderId="8" xfId="2142" applyNumberFormat="1" applyFont="1" applyFill="1" applyBorder="1" applyAlignment="1">
      <alignment horizontal="center" vertical="center"/>
    </xf>
    <xf numFmtId="49" fontId="23" fillId="0" borderId="9" xfId="2142" applyNumberFormat="1" applyFont="1" applyFill="1" applyBorder="1" applyAlignment="1">
      <alignment horizontal="center" vertical="center"/>
    </xf>
    <xf numFmtId="49" fontId="90" fillId="40" borderId="8" xfId="2142" applyNumberFormat="1" applyFont="1" applyFill="1" applyBorder="1" applyAlignment="1">
      <alignment horizontal="center" vertical="center" textRotation="255"/>
    </xf>
    <xf numFmtId="0" fontId="86" fillId="35" borderId="28" xfId="2164" applyFont="1" applyFill="1" applyBorder="1" applyAlignment="1">
      <alignment horizontal="center" vertical="top"/>
    </xf>
    <xf numFmtId="0" fontId="86" fillId="8" borderId="10" xfId="2164" applyFont="1" applyFill="1" applyBorder="1" applyAlignment="1">
      <alignment horizontal="left" vertical="top" wrapText="1"/>
    </xf>
    <xf numFmtId="0" fontId="86" fillId="8" borderId="4" xfId="2164" applyFont="1" applyFill="1" applyBorder="1" applyAlignment="1">
      <alignment horizontal="left" vertical="top" wrapText="1"/>
    </xf>
    <xf numFmtId="0" fontId="86" fillId="8" borderId="11" xfId="2164" applyFont="1" applyFill="1" applyBorder="1" applyAlignment="1">
      <alignment horizontal="left" vertical="top" wrapText="1"/>
    </xf>
    <xf numFmtId="0" fontId="86" fillId="35" borderId="10" xfId="2164" applyFont="1" applyFill="1" applyBorder="1" applyAlignment="1">
      <alignment horizontal="left" vertical="top"/>
    </xf>
    <xf numFmtId="0" fontId="86" fillId="35" borderId="4" xfId="2164" applyFont="1" applyFill="1" applyBorder="1" applyAlignment="1">
      <alignment horizontal="left" vertical="top"/>
    </xf>
    <xf numFmtId="0" fontId="86" fillId="35" borderId="11" xfId="2164" applyFont="1" applyFill="1" applyBorder="1" applyAlignment="1">
      <alignment horizontal="left" vertical="top"/>
    </xf>
    <xf numFmtId="0" fontId="86" fillId="35" borderId="1" xfId="2164" applyFont="1" applyFill="1" applyBorder="1" applyAlignment="1">
      <alignment horizontal="left" vertical="top" wrapText="1"/>
    </xf>
    <xf numFmtId="0" fontId="86" fillId="35" borderId="2" xfId="2164" applyFont="1" applyFill="1" applyBorder="1" applyAlignment="1">
      <alignment horizontal="left" vertical="top" wrapText="1"/>
    </xf>
    <xf numFmtId="0" fontId="86" fillId="35" borderId="53" xfId="2164" applyFont="1" applyFill="1" applyBorder="1" applyAlignment="1">
      <alignment horizontal="left" vertical="top" wrapText="1"/>
    </xf>
    <xf numFmtId="0" fontId="86" fillId="35" borderId="8" xfId="2164" applyFont="1" applyFill="1" applyBorder="1" applyAlignment="1">
      <alignment horizontal="center" vertical="top"/>
    </xf>
    <xf numFmtId="0" fontId="86" fillId="35" borderId="9" xfId="2164" applyFont="1" applyFill="1" applyBorder="1" applyAlignment="1">
      <alignment horizontal="center" vertical="top"/>
    </xf>
    <xf numFmtId="0" fontId="86" fillId="35" borderId="10" xfId="2164" applyFont="1" applyFill="1" applyBorder="1" applyAlignment="1">
      <alignment horizontal="left" vertical="top" wrapText="1"/>
    </xf>
    <xf numFmtId="0" fontId="86" fillId="35" borderId="83" xfId="2164" applyFont="1" applyFill="1" applyBorder="1" applyAlignment="1">
      <alignment horizontal="left" vertical="top"/>
    </xf>
    <xf numFmtId="0" fontId="86" fillId="35" borderId="77" xfId="2164" applyFont="1" applyFill="1" applyBorder="1" applyAlignment="1">
      <alignment horizontal="left" vertical="top"/>
    </xf>
    <xf numFmtId="0" fontId="86" fillId="35" borderId="97" xfId="2164" applyFont="1" applyFill="1" applyBorder="1" applyAlignment="1">
      <alignment horizontal="left" vertical="top"/>
    </xf>
    <xf numFmtId="0" fontId="86" fillId="35" borderId="83" xfId="2164" applyFont="1" applyFill="1" applyBorder="1" applyAlignment="1">
      <alignment horizontal="left" vertical="top" wrapText="1"/>
    </xf>
    <xf numFmtId="0" fontId="86" fillId="35" borderId="77" xfId="2164" applyFont="1" applyFill="1" applyBorder="1" applyAlignment="1">
      <alignment horizontal="left" vertical="top" wrapText="1"/>
    </xf>
    <xf numFmtId="0" fontId="86" fillId="35" borderId="78" xfId="2164" applyFont="1" applyFill="1" applyBorder="1" applyAlignment="1">
      <alignment horizontal="left" vertical="top" wrapText="1"/>
    </xf>
    <xf numFmtId="0" fontId="85" fillId="36" borderId="79" xfId="2164" applyFont="1" applyFill="1" applyBorder="1" applyAlignment="1">
      <alignment horizontal="center" vertical="top"/>
    </xf>
    <xf numFmtId="0" fontId="86" fillId="35" borderId="95" xfId="2164" applyFont="1" applyFill="1" applyBorder="1" applyAlignment="1">
      <alignment horizontal="center" vertical="top"/>
    </xf>
    <xf numFmtId="0" fontId="86" fillId="35" borderId="96" xfId="2164" applyFont="1" applyFill="1" applyBorder="1" applyAlignment="1">
      <alignment horizontal="center" vertical="top"/>
    </xf>
    <xf numFmtId="0" fontId="86" fillId="8" borderId="83" xfId="2164" applyFont="1" applyFill="1" applyBorder="1" applyAlignment="1">
      <alignment horizontal="left" vertical="top" wrapText="1"/>
    </xf>
    <xf numFmtId="0" fontId="86" fillId="8" borderId="77" xfId="2164" applyFont="1" applyFill="1" applyBorder="1" applyAlignment="1">
      <alignment horizontal="left" vertical="top" wrapText="1"/>
    </xf>
    <xf numFmtId="0" fontId="86" fillId="8" borderId="97" xfId="2164" applyFont="1" applyFill="1" applyBorder="1" applyAlignment="1">
      <alignment horizontal="left" vertical="top" wrapText="1"/>
    </xf>
    <xf numFmtId="0" fontId="86" fillId="0" borderId="99" xfId="2132" applyFont="1" applyBorder="1" applyAlignment="1">
      <alignment vertical="top"/>
    </xf>
    <xf numFmtId="0" fontId="0" fillId="0" borderId="100" xfId="0" applyBorder="1" applyAlignment="1">
      <alignment vertical="top"/>
    </xf>
    <xf numFmtId="0" fontId="0" fillId="0" borderId="101" xfId="0" applyBorder="1" applyAlignment="1">
      <alignment vertical="top"/>
    </xf>
    <xf numFmtId="0" fontId="20" fillId="0" borderId="5" xfId="2" applyFont="1" applyBorder="1" applyAlignment="1">
      <alignment horizontal="center" vertical="center" wrapText="1" shrinkToFit="1"/>
    </xf>
    <xf numFmtId="0" fontId="20" fillId="0" borderId="6" xfId="2" applyFont="1" applyBorder="1" applyAlignment="1">
      <alignment horizontal="center" vertical="center" wrapText="1" shrinkToFit="1"/>
    </xf>
    <xf numFmtId="0" fontId="20" fillId="0" borderId="7" xfId="2" applyFont="1" applyBorder="1" applyAlignment="1">
      <alignment horizontal="center" vertical="center" wrapText="1" shrinkToFit="1"/>
    </xf>
    <xf numFmtId="0" fontId="20" fillId="0" borderId="32" xfId="2" applyFont="1" applyBorder="1" applyAlignment="1">
      <alignment horizontal="center" vertical="center" wrapText="1" shrinkToFit="1"/>
    </xf>
    <xf numFmtId="0" fontId="20" fillId="0" borderId="33" xfId="2" applyFont="1" applyBorder="1" applyAlignment="1">
      <alignment horizontal="center" vertical="center" wrapText="1" shrinkToFit="1"/>
    </xf>
    <xf numFmtId="0" fontId="20" fillId="0" borderId="34" xfId="2" applyFont="1" applyBorder="1" applyAlignment="1">
      <alignment horizontal="center" vertical="center" wrapText="1" shrinkToFit="1"/>
    </xf>
    <xf numFmtId="0" fontId="85" fillId="36" borderId="57" xfId="2164" applyFont="1" applyFill="1" applyBorder="1" applyAlignment="1">
      <alignment horizontal="center" vertical="top"/>
    </xf>
    <xf numFmtId="0" fontId="86" fillId="35" borderId="58" xfId="2164" applyFont="1" applyFill="1" applyBorder="1" applyAlignment="1">
      <alignment horizontal="center" vertical="top"/>
    </xf>
    <xf numFmtId="0" fontId="86" fillId="35" borderId="4" xfId="2164" applyFont="1" applyFill="1" applyBorder="1" applyAlignment="1">
      <alignment horizontal="left" vertical="top" wrapText="1"/>
    </xf>
    <xf numFmtId="0" fontId="86" fillId="35" borderId="50" xfId="2164" applyFont="1" applyFill="1" applyBorder="1" applyAlignment="1">
      <alignment horizontal="left" vertical="top" wrapText="1"/>
    </xf>
    <xf numFmtId="0" fontId="86" fillId="8" borderId="10" xfId="2164" applyFont="1" applyFill="1" applyBorder="1" applyAlignment="1">
      <alignment horizontal="left" vertical="top"/>
    </xf>
    <xf numFmtId="0" fontId="86" fillId="8" borderId="4" xfId="2164" applyFont="1" applyFill="1" applyBorder="1" applyAlignment="1">
      <alignment horizontal="left" vertical="top"/>
    </xf>
    <xf numFmtId="0" fontId="86" fillId="8" borderId="11" xfId="2164" applyFont="1" applyFill="1" applyBorder="1" applyAlignment="1">
      <alignment horizontal="left" vertical="top"/>
    </xf>
    <xf numFmtId="0" fontId="86" fillId="8" borderId="1" xfId="2164" applyFont="1" applyFill="1" applyBorder="1" applyAlignment="1">
      <alignment horizontal="left" vertical="top"/>
    </xf>
    <xf numFmtId="0" fontId="86" fillId="8" borderId="2" xfId="2164" applyFont="1" applyFill="1" applyBorder="1" applyAlignment="1">
      <alignment horizontal="left" vertical="top"/>
    </xf>
    <xf numFmtId="0" fontId="86" fillId="8" borderId="3" xfId="2164" applyFont="1" applyFill="1" applyBorder="1" applyAlignment="1">
      <alignment horizontal="left" vertical="top"/>
    </xf>
    <xf numFmtId="0" fontId="86" fillId="8" borderId="1" xfId="2164" applyFont="1" applyFill="1" applyBorder="1" applyAlignment="1">
      <alignment horizontal="left" vertical="top" wrapText="1"/>
    </xf>
    <xf numFmtId="0" fontId="86" fillId="8" borderId="2" xfId="2164" applyFont="1" applyFill="1" applyBorder="1" applyAlignment="1">
      <alignment horizontal="left" vertical="top" wrapText="1"/>
    </xf>
    <xf numFmtId="0" fontId="86" fillId="8" borderId="3" xfId="2164" applyFont="1" applyFill="1" applyBorder="1" applyAlignment="1">
      <alignment horizontal="left" vertical="top" wrapText="1"/>
    </xf>
    <xf numFmtId="0" fontId="86" fillId="35" borderId="1" xfId="2164" applyFont="1" applyFill="1" applyBorder="1" applyAlignment="1">
      <alignment horizontal="left" vertical="top"/>
    </xf>
    <xf numFmtId="0" fontId="86" fillId="35" borderId="2" xfId="2164" applyFont="1" applyFill="1" applyBorder="1" applyAlignment="1">
      <alignment horizontal="left" vertical="top"/>
    </xf>
    <xf numFmtId="0" fontId="86" fillId="35" borderId="3" xfId="2164" applyFont="1" applyFill="1" applyBorder="1" applyAlignment="1">
      <alignment horizontal="left" vertical="top"/>
    </xf>
    <xf numFmtId="0" fontId="86" fillId="35" borderId="84" xfId="2164" applyFont="1" applyFill="1" applyBorder="1" applyAlignment="1">
      <alignment horizontal="center" vertical="top"/>
    </xf>
    <xf numFmtId="0" fontId="96" fillId="35" borderId="1" xfId="2164" applyFont="1" applyFill="1" applyBorder="1" applyAlignment="1">
      <alignment horizontal="left" vertical="top"/>
    </xf>
    <xf numFmtId="0" fontId="96" fillId="35" borderId="2" xfId="2164" applyFont="1" applyFill="1" applyBorder="1" applyAlignment="1">
      <alignment horizontal="left" vertical="top"/>
    </xf>
    <xf numFmtId="0" fontId="96" fillId="35" borderId="3" xfId="2164" applyFont="1" applyFill="1" applyBorder="1" applyAlignment="1">
      <alignment horizontal="left" vertical="top"/>
    </xf>
    <xf numFmtId="0" fontId="96" fillId="35" borderId="1" xfId="2164" applyFont="1" applyFill="1" applyBorder="1" applyAlignment="1">
      <alignment horizontal="left" vertical="top" wrapText="1"/>
    </xf>
    <xf numFmtId="0" fontId="96" fillId="35" borderId="2" xfId="2164" applyFont="1" applyFill="1" applyBorder="1" applyAlignment="1">
      <alignment horizontal="left" vertical="top" wrapText="1"/>
    </xf>
    <xf numFmtId="0" fontId="96" fillId="35" borderId="53" xfId="2164" applyFont="1" applyFill="1" applyBorder="1" applyAlignment="1">
      <alignment horizontal="left" vertical="top" wrapText="1"/>
    </xf>
    <xf numFmtId="0" fontId="86" fillId="35" borderId="102" xfId="2164" applyFont="1" applyFill="1" applyBorder="1" applyAlignment="1">
      <alignment horizontal="left" vertical="top"/>
    </xf>
    <xf numFmtId="0" fontId="86" fillId="35" borderId="100" xfId="2164" applyFont="1" applyFill="1" applyBorder="1" applyAlignment="1">
      <alignment horizontal="left" vertical="top"/>
    </xf>
    <xf numFmtId="0" fontId="86" fillId="35" borderId="101" xfId="2164" applyFont="1" applyFill="1" applyBorder="1" applyAlignment="1">
      <alignment horizontal="left" vertical="top"/>
    </xf>
    <xf numFmtId="0" fontId="86" fillId="35" borderId="102" xfId="2164" applyFont="1" applyFill="1" applyBorder="1" applyAlignment="1">
      <alignment horizontal="left" vertical="top" wrapText="1"/>
    </xf>
    <xf numFmtId="0" fontId="86" fillId="35" borderId="100" xfId="2164" applyFont="1" applyFill="1" applyBorder="1" applyAlignment="1">
      <alignment horizontal="left" vertical="top" wrapText="1"/>
    </xf>
    <xf numFmtId="0" fontId="86" fillId="35" borderId="104" xfId="2164" applyFont="1" applyFill="1" applyBorder="1" applyAlignment="1">
      <alignment horizontal="left" vertical="top" wrapText="1"/>
    </xf>
    <xf numFmtId="0" fontId="96" fillId="35" borderId="8" xfId="2164" applyFont="1" applyFill="1" applyBorder="1" applyAlignment="1">
      <alignment horizontal="center" vertical="top"/>
    </xf>
    <xf numFmtId="0" fontId="96" fillId="35" borderId="9" xfId="2164" applyFont="1" applyFill="1" applyBorder="1" applyAlignment="1">
      <alignment horizontal="center" vertical="top"/>
    </xf>
    <xf numFmtId="0" fontId="96" fillId="35" borderId="58" xfId="2164" applyFont="1" applyFill="1" applyBorder="1" applyAlignment="1">
      <alignment horizontal="center" vertical="top"/>
    </xf>
    <xf numFmtId="0" fontId="96" fillId="8" borderId="10" xfId="2164" applyFont="1" applyFill="1" applyBorder="1" applyAlignment="1">
      <alignment horizontal="left" vertical="top"/>
    </xf>
    <xf numFmtId="0" fontId="96" fillId="8" borderId="4" xfId="2164" applyFont="1" applyFill="1" applyBorder="1" applyAlignment="1">
      <alignment horizontal="left" vertical="top"/>
    </xf>
    <xf numFmtId="0" fontId="96" fillId="8" borderId="11" xfId="2164" applyFont="1" applyFill="1" applyBorder="1" applyAlignment="1">
      <alignment horizontal="left" vertical="top"/>
    </xf>
    <xf numFmtId="0" fontId="96" fillId="35" borderId="32" xfId="2164" applyFont="1" applyFill="1" applyBorder="1" applyAlignment="1">
      <alignment horizontal="center" vertical="top"/>
    </xf>
    <xf numFmtId="0" fontId="96" fillId="35" borderId="34" xfId="2164" applyFont="1" applyFill="1" applyBorder="1" applyAlignment="1">
      <alignment horizontal="center" vertical="top"/>
    </xf>
    <xf numFmtId="0" fontId="96" fillId="35" borderId="31" xfId="2164" applyFont="1" applyFill="1" applyBorder="1" applyAlignment="1">
      <alignment horizontal="center" vertical="top"/>
    </xf>
    <xf numFmtId="0" fontId="96" fillId="8" borderId="10" xfId="2164" applyFont="1" applyFill="1" applyBorder="1" applyAlignment="1">
      <alignment horizontal="left" vertical="top" wrapText="1"/>
    </xf>
    <xf numFmtId="0" fontId="96" fillId="8" borderId="4" xfId="2164" applyFont="1" applyFill="1" applyBorder="1" applyAlignment="1">
      <alignment horizontal="left" vertical="top" wrapText="1"/>
    </xf>
    <xf numFmtId="0" fontId="96" fillId="8" borderId="11" xfId="2164" applyFont="1" applyFill="1" applyBorder="1" applyAlignment="1">
      <alignment horizontal="left" vertical="top" wrapText="1"/>
    </xf>
    <xf numFmtId="0" fontId="96" fillId="35" borderId="10" xfId="2164" applyFont="1" applyFill="1" applyBorder="1" applyAlignment="1">
      <alignment horizontal="left" vertical="top"/>
    </xf>
    <xf numFmtId="0" fontId="96" fillId="35" borderId="4" xfId="2164" applyFont="1" applyFill="1" applyBorder="1" applyAlignment="1">
      <alignment horizontal="left" vertical="top"/>
    </xf>
    <xf numFmtId="0" fontId="96" fillId="35" borderId="11" xfId="2164" applyFont="1" applyFill="1" applyBorder="1" applyAlignment="1">
      <alignment horizontal="left" vertical="top"/>
    </xf>
    <xf numFmtId="0" fontId="96" fillId="35" borderId="10" xfId="2164" applyFont="1" applyFill="1" applyBorder="1" applyAlignment="1">
      <alignment horizontal="left" vertical="top" wrapText="1"/>
    </xf>
    <xf numFmtId="0" fontId="96" fillId="35" borderId="4" xfId="2164" applyFont="1" applyFill="1" applyBorder="1" applyAlignment="1">
      <alignment horizontal="left" vertical="top" wrapText="1"/>
    </xf>
    <xf numFmtId="0" fontId="96" fillId="35" borderId="50" xfId="2164" applyFont="1" applyFill="1" applyBorder="1" applyAlignment="1">
      <alignment horizontal="left" vertical="top" wrapText="1"/>
    </xf>
    <xf numFmtId="0" fontId="96" fillId="35" borderId="28" xfId="2164" applyFont="1" applyFill="1" applyBorder="1" applyAlignment="1">
      <alignment horizontal="center" vertical="top"/>
    </xf>
    <xf numFmtId="0" fontId="96" fillId="8" borderId="1" xfId="2164" applyFont="1" applyFill="1" applyBorder="1" applyAlignment="1">
      <alignment horizontal="left" vertical="top"/>
    </xf>
    <xf numFmtId="0" fontId="96" fillId="8" borderId="2" xfId="2164" applyFont="1" applyFill="1" applyBorder="1" applyAlignment="1">
      <alignment horizontal="left" vertical="top"/>
    </xf>
    <xf numFmtId="0" fontId="96" fillId="8" borderId="3" xfId="2164" applyFont="1" applyFill="1" applyBorder="1" applyAlignment="1">
      <alignment horizontal="left" vertical="top"/>
    </xf>
    <xf numFmtId="0" fontId="96" fillId="8" borderId="1" xfId="2164" applyFont="1" applyFill="1" applyBorder="1" applyAlignment="1">
      <alignment horizontal="left" vertical="top" wrapText="1"/>
    </xf>
    <xf numFmtId="0" fontId="96" fillId="8" borderId="2" xfId="2164" applyFont="1" applyFill="1" applyBorder="1" applyAlignment="1">
      <alignment horizontal="left" vertical="top" wrapText="1"/>
    </xf>
    <xf numFmtId="0" fontId="96" fillId="8" borderId="3" xfId="2164" applyFont="1" applyFill="1" applyBorder="1" applyAlignment="1">
      <alignment horizontal="left" vertical="top" wrapText="1"/>
    </xf>
    <xf numFmtId="0" fontId="86" fillId="35" borderId="102" xfId="2164" applyFont="1" applyFill="1" applyBorder="1" applyAlignment="1">
      <alignment horizontal="center" vertical="top"/>
    </xf>
    <xf numFmtId="0" fontId="86" fillId="35" borderId="101" xfId="2164" applyFont="1" applyFill="1" applyBorder="1" applyAlignment="1">
      <alignment horizontal="center" vertical="top"/>
    </xf>
    <xf numFmtId="0" fontId="86" fillId="35" borderId="103" xfId="2164" applyFont="1" applyFill="1" applyBorder="1" applyAlignment="1">
      <alignment horizontal="center" vertical="top"/>
    </xf>
    <xf numFmtId="0" fontId="86" fillId="8" borderId="102" xfId="2164" applyFont="1" applyFill="1" applyBorder="1" applyAlignment="1">
      <alignment horizontal="left" vertical="top" wrapText="1"/>
    </xf>
    <xf numFmtId="0" fontId="86" fillId="8" borderId="100" xfId="2164" applyFont="1" applyFill="1" applyBorder="1" applyAlignment="1">
      <alignment horizontal="left" vertical="top" wrapText="1"/>
    </xf>
    <xf numFmtId="0" fontId="86" fillId="8" borderId="101" xfId="2164" applyFont="1" applyFill="1" applyBorder="1" applyAlignment="1">
      <alignment horizontal="left" vertical="top" wrapText="1"/>
    </xf>
  </cellXfs>
  <cellStyles count="2269">
    <cellStyle name="0,0_x000d__x000a_NA_x000d__x000a_" xfId="5" xr:uid="{00000000-0005-0000-0000-000000000000}"/>
    <cellStyle name="0301" xfId="6" xr:uid="{00000000-0005-0000-0000-000001000000}"/>
    <cellStyle name="0_x0014_標準_F_02?P_Dd080301" xfId="7" xr:uid="{00000000-0005-0000-0000-000002000000}"/>
    <cellStyle name="1" xfId="8" xr:uid="{00000000-0005-0000-0000-000003000000}"/>
    <cellStyle name="1_変更来歴" xfId="2076" xr:uid="{00000000-0005-0000-0000-000004000000}"/>
    <cellStyle name="11.5" xfId="9" xr:uid="{00000000-0005-0000-0000-000005000000}"/>
    <cellStyle name="20% - アクセント 1 2" xfId="10" xr:uid="{00000000-0005-0000-0000-000006000000}"/>
    <cellStyle name="20% - アクセント 1 3" xfId="11" xr:uid="{00000000-0005-0000-0000-000007000000}"/>
    <cellStyle name="20% - アクセント 1 4" xfId="12" xr:uid="{00000000-0005-0000-0000-000008000000}"/>
    <cellStyle name="20% - アクセント 1 5" xfId="13" xr:uid="{00000000-0005-0000-0000-000009000000}"/>
    <cellStyle name="20% - アクセント 2 2" xfId="14" xr:uid="{00000000-0005-0000-0000-00000A000000}"/>
    <cellStyle name="20% - アクセント 2 3" xfId="15" xr:uid="{00000000-0005-0000-0000-00000B000000}"/>
    <cellStyle name="20% - アクセント 2 4" xfId="16" xr:uid="{00000000-0005-0000-0000-00000C000000}"/>
    <cellStyle name="20% - アクセント 2 5" xfId="17" xr:uid="{00000000-0005-0000-0000-00000D000000}"/>
    <cellStyle name="20% - アクセント 3 2" xfId="18" xr:uid="{00000000-0005-0000-0000-00000E000000}"/>
    <cellStyle name="20% - アクセント 3 3" xfId="19" xr:uid="{00000000-0005-0000-0000-00000F000000}"/>
    <cellStyle name="20% - アクセント 3 4" xfId="20" xr:uid="{00000000-0005-0000-0000-000010000000}"/>
    <cellStyle name="20% - アクセント 3 5" xfId="21" xr:uid="{00000000-0005-0000-0000-000011000000}"/>
    <cellStyle name="20% - アクセント 4 2" xfId="22" xr:uid="{00000000-0005-0000-0000-000012000000}"/>
    <cellStyle name="20% - アクセント 4 3" xfId="23" xr:uid="{00000000-0005-0000-0000-000013000000}"/>
    <cellStyle name="20% - アクセント 4 4" xfId="24" xr:uid="{00000000-0005-0000-0000-000014000000}"/>
    <cellStyle name="20% - アクセント 4 5" xfId="25" xr:uid="{00000000-0005-0000-0000-000015000000}"/>
    <cellStyle name="20% - アクセント 5 2" xfId="26" xr:uid="{00000000-0005-0000-0000-000016000000}"/>
    <cellStyle name="20% - アクセント 5 3" xfId="27" xr:uid="{00000000-0005-0000-0000-000017000000}"/>
    <cellStyle name="20% - アクセント 5 4" xfId="28" xr:uid="{00000000-0005-0000-0000-000018000000}"/>
    <cellStyle name="20% - アクセント 5 5" xfId="2077" xr:uid="{00000000-0005-0000-0000-000019000000}"/>
    <cellStyle name="20% - アクセント 6 2" xfId="29" xr:uid="{00000000-0005-0000-0000-00001A000000}"/>
    <cellStyle name="20% - アクセント 6 3" xfId="30" xr:uid="{00000000-0005-0000-0000-00001B000000}"/>
    <cellStyle name="20% - アクセント 6 4" xfId="31" xr:uid="{00000000-0005-0000-0000-00001C000000}"/>
    <cellStyle name="20% - アクセント 6 5" xfId="32" xr:uid="{00000000-0005-0000-0000-00001D000000}"/>
    <cellStyle name="40% - アクセント 1 2" xfId="33" xr:uid="{00000000-0005-0000-0000-00001E000000}"/>
    <cellStyle name="40% - アクセント 1 3" xfId="34" xr:uid="{00000000-0005-0000-0000-00001F000000}"/>
    <cellStyle name="40% - アクセント 1 4" xfId="35" xr:uid="{00000000-0005-0000-0000-000020000000}"/>
    <cellStyle name="40% - アクセント 1 5" xfId="36" xr:uid="{00000000-0005-0000-0000-000021000000}"/>
    <cellStyle name="40% - アクセント 2 2" xfId="37" xr:uid="{00000000-0005-0000-0000-000022000000}"/>
    <cellStyle name="40% - アクセント 2 3" xfId="38" xr:uid="{00000000-0005-0000-0000-000023000000}"/>
    <cellStyle name="40% - アクセント 2 4" xfId="39" xr:uid="{00000000-0005-0000-0000-000024000000}"/>
    <cellStyle name="40% - アクセント 2 5" xfId="2078" xr:uid="{00000000-0005-0000-0000-000025000000}"/>
    <cellStyle name="40% - アクセント 3 2" xfId="40" xr:uid="{00000000-0005-0000-0000-000026000000}"/>
    <cellStyle name="40% - アクセント 3 3" xfId="41" xr:uid="{00000000-0005-0000-0000-000027000000}"/>
    <cellStyle name="40% - アクセント 3 4" xfId="42" xr:uid="{00000000-0005-0000-0000-000028000000}"/>
    <cellStyle name="40% - アクセント 3 5" xfId="43" xr:uid="{00000000-0005-0000-0000-000029000000}"/>
    <cellStyle name="40% - アクセント 4 2" xfId="44" xr:uid="{00000000-0005-0000-0000-00002A000000}"/>
    <cellStyle name="40% - アクセント 4 3" xfId="45" xr:uid="{00000000-0005-0000-0000-00002B000000}"/>
    <cellStyle name="40% - アクセント 4 4" xfId="46" xr:uid="{00000000-0005-0000-0000-00002C000000}"/>
    <cellStyle name="40% - アクセント 4 5" xfId="47" xr:uid="{00000000-0005-0000-0000-00002D000000}"/>
    <cellStyle name="40% - アクセント 5 2" xfId="48" xr:uid="{00000000-0005-0000-0000-00002E000000}"/>
    <cellStyle name="40% - アクセント 5 3" xfId="49" xr:uid="{00000000-0005-0000-0000-00002F000000}"/>
    <cellStyle name="40% - アクセント 5 4" xfId="50" xr:uid="{00000000-0005-0000-0000-000030000000}"/>
    <cellStyle name="40% - アクセント 5 5" xfId="51" xr:uid="{00000000-0005-0000-0000-000031000000}"/>
    <cellStyle name="40% - アクセント 6 2" xfId="52" xr:uid="{00000000-0005-0000-0000-000032000000}"/>
    <cellStyle name="40% - アクセント 6 3" xfId="53" xr:uid="{00000000-0005-0000-0000-000033000000}"/>
    <cellStyle name="40% - アクセント 6 4" xfId="54" xr:uid="{00000000-0005-0000-0000-000034000000}"/>
    <cellStyle name="40% - アクセント 6 5" xfId="55" xr:uid="{00000000-0005-0000-0000-000035000000}"/>
    <cellStyle name="60% - アクセント 1 2" xfId="56" xr:uid="{00000000-0005-0000-0000-000036000000}"/>
    <cellStyle name="60% - アクセント 1 3" xfId="57" xr:uid="{00000000-0005-0000-0000-000037000000}"/>
    <cellStyle name="60% - アクセント 1 4" xfId="58" xr:uid="{00000000-0005-0000-0000-000038000000}"/>
    <cellStyle name="60% - アクセント 1 5" xfId="59" xr:uid="{00000000-0005-0000-0000-000039000000}"/>
    <cellStyle name="60% - アクセント 2 2" xfId="60" xr:uid="{00000000-0005-0000-0000-00003A000000}"/>
    <cellStyle name="60% - アクセント 2 3" xfId="61" xr:uid="{00000000-0005-0000-0000-00003B000000}"/>
    <cellStyle name="60% - アクセント 2 4" xfId="62" xr:uid="{00000000-0005-0000-0000-00003C000000}"/>
    <cellStyle name="60% - アクセント 2 5" xfId="63" xr:uid="{00000000-0005-0000-0000-00003D000000}"/>
    <cellStyle name="60% - アクセント 3 2" xfId="64" xr:uid="{00000000-0005-0000-0000-00003E000000}"/>
    <cellStyle name="60% - アクセント 3 3" xfId="65" xr:uid="{00000000-0005-0000-0000-00003F000000}"/>
    <cellStyle name="60% - アクセント 3 4" xfId="66" xr:uid="{00000000-0005-0000-0000-000040000000}"/>
    <cellStyle name="60% - アクセント 3 5" xfId="67" xr:uid="{00000000-0005-0000-0000-000041000000}"/>
    <cellStyle name="60% - アクセント 4 2" xfId="68" xr:uid="{00000000-0005-0000-0000-000042000000}"/>
    <cellStyle name="60% - アクセント 4 3" xfId="69" xr:uid="{00000000-0005-0000-0000-000043000000}"/>
    <cellStyle name="60% - アクセント 4 4" xfId="70" xr:uid="{00000000-0005-0000-0000-000044000000}"/>
    <cellStyle name="60% - アクセント 4 5" xfId="71" xr:uid="{00000000-0005-0000-0000-000045000000}"/>
    <cellStyle name="60% - アクセント 5 2" xfId="72" xr:uid="{00000000-0005-0000-0000-000046000000}"/>
    <cellStyle name="60% - アクセント 5 3" xfId="73" xr:uid="{00000000-0005-0000-0000-000047000000}"/>
    <cellStyle name="60% - アクセント 5 4" xfId="74" xr:uid="{00000000-0005-0000-0000-000048000000}"/>
    <cellStyle name="60% - アクセント 5 5" xfId="75" xr:uid="{00000000-0005-0000-0000-000049000000}"/>
    <cellStyle name="60% - アクセント 6 2" xfId="76" xr:uid="{00000000-0005-0000-0000-00004A000000}"/>
    <cellStyle name="60% - アクセント 6 3" xfId="77" xr:uid="{00000000-0005-0000-0000-00004B000000}"/>
    <cellStyle name="60% - アクセント 6 4" xfId="78" xr:uid="{00000000-0005-0000-0000-00004C000000}"/>
    <cellStyle name="60% - アクセント 6 5" xfId="79" xr:uid="{00000000-0005-0000-0000-00004D000000}"/>
    <cellStyle name="args.style" xfId="80" xr:uid="{00000000-0005-0000-0000-00004E000000}"/>
    <cellStyle name="Calc Currency (0)" xfId="81" xr:uid="{00000000-0005-0000-0000-00004F000000}"/>
    <cellStyle name="Comma [0]" xfId="82" xr:uid="{00000000-0005-0000-0000-000050000000}"/>
    <cellStyle name="Comma_FON95-03" xfId="83" xr:uid="{00000000-0005-0000-0000-000051000000}"/>
    <cellStyle name="Co姼ma [0]_laroux_3" xfId="84" xr:uid="{00000000-0005-0000-0000-000052000000}"/>
    <cellStyle name="Currency [0]" xfId="85" xr:uid="{00000000-0005-0000-0000-000053000000}"/>
    <cellStyle name="Currency_FON95-03" xfId="86" xr:uid="{00000000-0005-0000-0000-000054000000}"/>
    <cellStyle name="dak" xfId="87" xr:uid="{00000000-0005-0000-0000-000055000000}"/>
    <cellStyle name="dialog" xfId="88" xr:uid="{00000000-0005-0000-0000-000056000000}"/>
    <cellStyle name="dialog 2" xfId="89" xr:uid="{00000000-0005-0000-0000-000057000000}"/>
    <cellStyle name="dialog 2 2" xfId="90" xr:uid="{00000000-0005-0000-0000-000058000000}"/>
    <cellStyle name="dialog 2 2 2" xfId="91" xr:uid="{00000000-0005-0000-0000-000059000000}"/>
    <cellStyle name="dialog 2 2 3" xfId="2081" xr:uid="{00000000-0005-0000-0000-00005A000000}"/>
    <cellStyle name="dialog 2 3" xfId="92" xr:uid="{00000000-0005-0000-0000-00005B000000}"/>
    <cellStyle name="dialog 2 3 2" xfId="93" xr:uid="{00000000-0005-0000-0000-00005C000000}"/>
    <cellStyle name="dialog 2 4" xfId="94" xr:uid="{00000000-0005-0000-0000-00005D000000}"/>
    <cellStyle name="dialog 2 5" xfId="95" xr:uid="{00000000-0005-0000-0000-00005E000000}"/>
    <cellStyle name="dialog 2 6" xfId="2080" xr:uid="{00000000-0005-0000-0000-00005F000000}"/>
    <cellStyle name="dialog 3" xfId="96" xr:uid="{00000000-0005-0000-0000-000060000000}"/>
    <cellStyle name="dialog 3 2" xfId="97" xr:uid="{00000000-0005-0000-0000-000061000000}"/>
    <cellStyle name="dialog 3 3" xfId="98" xr:uid="{00000000-0005-0000-0000-000062000000}"/>
    <cellStyle name="dialog 3 4" xfId="2082" xr:uid="{00000000-0005-0000-0000-000063000000}"/>
    <cellStyle name="dialog 4" xfId="99" xr:uid="{00000000-0005-0000-0000-000064000000}"/>
    <cellStyle name="dialog 4 2" xfId="100" xr:uid="{00000000-0005-0000-0000-000065000000}"/>
    <cellStyle name="dialog 4 3" xfId="2083" xr:uid="{00000000-0005-0000-0000-000066000000}"/>
    <cellStyle name="dialog 5" xfId="101" xr:uid="{00000000-0005-0000-0000-000067000000}"/>
    <cellStyle name="dialog 5 2" xfId="102" xr:uid="{00000000-0005-0000-0000-000068000000}"/>
    <cellStyle name="dialog 6" xfId="2079" xr:uid="{00000000-0005-0000-0000-000069000000}"/>
    <cellStyle name="entry" xfId="103" xr:uid="{00000000-0005-0000-0000-00006A000000}"/>
    <cellStyle name="Grey" xfId="104" xr:uid="{00000000-0005-0000-0000-00006B000000}"/>
    <cellStyle name="handbook" xfId="105" xr:uid="{00000000-0005-0000-0000-00006C000000}"/>
    <cellStyle name="Header1" xfId="106" xr:uid="{00000000-0005-0000-0000-00006D000000}"/>
    <cellStyle name="Header2" xfId="107" xr:uid="{00000000-0005-0000-0000-00006E000000}"/>
    <cellStyle name="IBM(401K)" xfId="108" xr:uid="{00000000-0005-0000-0000-00006F000000}"/>
    <cellStyle name="Input [yellow]" xfId="109" xr:uid="{00000000-0005-0000-0000-000070000000}"/>
    <cellStyle name="Millares [0]_Compra" xfId="110" xr:uid="{00000000-0005-0000-0000-000071000000}"/>
    <cellStyle name="Millares_Compra" xfId="111" xr:uid="{00000000-0005-0000-0000-000072000000}"/>
    <cellStyle name="Milliers [0]_AR1194" xfId="112" xr:uid="{00000000-0005-0000-0000-000073000000}"/>
    <cellStyle name="Milliers_AR1194" xfId="113" xr:uid="{00000000-0005-0000-0000-000074000000}"/>
    <cellStyle name="Moneda [0]_Compra" xfId="114" xr:uid="{00000000-0005-0000-0000-000075000000}"/>
    <cellStyle name="Moneda_Compra" xfId="115" xr:uid="{00000000-0005-0000-0000-000076000000}"/>
    <cellStyle name="Mon騁aire [0]_AR1194" xfId="116" xr:uid="{00000000-0005-0000-0000-000077000000}"/>
    <cellStyle name="Mon騁aire_AR1194" xfId="117" xr:uid="{00000000-0005-0000-0000-000078000000}"/>
    <cellStyle name="new" xfId="118" xr:uid="{00000000-0005-0000-0000-000079000000}"/>
    <cellStyle name="no dec" xfId="119" xr:uid="{00000000-0005-0000-0000-00007A000000}"/>
    <cellStyle name="Normal - Style1" xfId="120" xr:uid="{00000000-0005-0000-0000-00007B000000}"/>
    <cellStyle name="Normal - Style1 2" xfId="121" xr:uid="{00000000-0005-0000-0000-00007C000000}"/>
    <cellStyle name="Normal - Style1 3" xfId="122" xr:uid="{00000000-0005-0000-0000-00007D000000}"/>
    <cellStyle name="Normal_#18-Internet" xfId="123" xr:uid="{00000000-0005-0000-0000-00007E000000}"/>
    <cellStyle name="per.style" xfId="124" xr:uid="{00000000-0005-0000-0000-00007F000000}"/>
    <cellStyle name="Percent [2]" xfId="125" xr:uid="{00000000-0005-0000-0000-000080000000}"/>
    <cellStyle name="price" xfId="126" xr:uid="{00000000-0005-0000-0000-000081000000}"/>
    <cellStyle name="PSChar" xfId="127" xr:uid="{00000000-0005-0000-0000-000082000000}"/>
    <cellStyle name="PSHeading" xfId="128" xr:uid="{00000000-0005-0000-0000-000083000000}"/>
    <cellStyle name="revised" xfId="129" xr:uid="{00000000-0005-0000-0000-000084000000}"/>
    <cellStyle name="section" xfId="130" xr:uid="{00000000-0005-0000-0000-000085000000}"/>
    <cellStyle name="SPOl" xfId="131" xr:uid="{00000000-0005-0000-0000-000086000000}"/>
    <cellStyle name="subhead" xfId="132" xr:uid="{00000000-0005-0000-0000-000087000000}"/>
    <cellStyle name="title" xfId="133" xr:uid="{00000000-0005-0000-0000-000088000000}"/>
    <cellStyle name="u" xfId="134" xr:uid="{00000000-0005-0000-0000-000089000000}"/>
    <cellStyle name="アクセント 1 2" xfId="135" xr:uid="{00000000-0005-0000-0000-00008A000000}"/>
    <cellStyle name="アクセント 1 3" xfId="136" xr:uid="{00000000-0005-0000-0000-00008B000000}"/>
    <cellStyle name="アクセント 1 4" xfId="137" xr:uid="{00000000-0005-0000-0000-00008C000000}"/>
    <cellStyle name="アクセント 1 5" xfId="138" xr:uid="{00000000-0005-0000-0000-00008D000000}"/>
    <cellStyle name="アクセント 2 2" xfId="139" xr:uid="{00000000-0005-0000-0000-00008E000000}"/>
    <cellStyle name="アクセント 2 3" xfId="140" xr:uid="{00000000-0005-0000-0000-00008F000000}"/>
    <cellStyle name="アクセント 2 4" xfId="141" xr:uid="{00000000-0005-0000-0000-000090000000}"/>
    <cellStyle name="アクセント 2 5" xfId="142" xr:uid="{00000000-0005-0000-0000-000091000000}"/>
    <cellStyle name="アクセント 3 2" xfId="143" xr:uid="{00000000-0005-0000-0000-000092000000}"/>
    <cellStyle name="アクセント 3 3" xfId="144" xr:uid="{00000000-0005-0000-0000-000093000000}"/>
    <cellStyle name="アクセント 3 4" xfId="145" xr:uid="{00000000-0005-0000-0000-000094000000}"/>
    <cellStyle name="アクセント 3 5" xfId="146" xr:uid="{00000000-0005-0000-0000-000095000000}"/>
    <cellStyle name="アクセント 4 2" xfId="147" xr:uid="{00000000-0005-0000-0000-000096000000}"/>
    <cellStyle name="アクセント 4 3" xfId="148" xr:uid="{00000000-0005-0000-0000-000097000000}"/>
    <cellStyle name="アクセント 4 4" xfId="149" xr:uid="{00000000-0005-0000-0000-000098000000}"/>
    <cellStyle name="アクセント 4 5" xfId="150" xr:uid="{00000000-0005-0000-0000-000099000000}"/>
    <cellStyle name="アクセント 5 2" xfId="151" xr:uid="{00000000-0005-0000-0000-00009A000000}"/>
    <cellStyle name="アクセント 5 3" xfId="152" xr:uid="{00000000-0005-0000-0000-00009B000000}"/>
    <cellStyle name="アクセント 5 4" xfId="153" xr:uid="{00000000-0005-0000-0000-00009C000000}"/>
    <cellStyle name="アクセント 5 5" xfId="2084" xr:uid="{00000000-0005-0000-0000-00009D000000}"/>
    <cellStyle name="アクセント 6 2" xfId="154" xr:uid="{00000000-0005-0000-0000-00009E000000}"/>
    <cellStyle name="アクセント 6 3" xfId="155" xr:uid="{00000000-0005-0000-0000-00009F000000}"/>
    <cellStyle name="アクセント 6 4" xfId="156" xr:uid="{00000000-0005-0000-0000-0000A0000000}"/>
    <cellStyle name="アクセント 6 5" xfId="157" xr:uid="{00000000-0005-0000-0000-0000A1000000}"/>
    <cellStyle name="スタイル 1" xfId="158" xr:uid="{00000000-0005-0000-0000-0000A2000000}"/>
    <cellStyle name="タイトル 2" xfId="159" xr:uid="{00000000-0005-0000-0000-0000A3000000}"/>
    <cellStyle name="タイトル 3" xfId="160" xr:uid="{00000000-0005-0000-0000-0000A4000000}"/>
    <cellStyle name="タイトル 4" xfId="161" xr:uid="{00000000-0005-0000-0000-0000A5000000}"/>
    <cellStyle name="タイトル 5" xfId="162" xr:uid="{00000000-0005-0000-0000-0000A6000000}"/>
    <cellStyle name="チェック セル 2" xfId="163" xr:uid="{00000000-0005-0000-0000-0000A7000000}"/>
    <cellStyle name="チェック セル 3" xfId="164" xr:uid="{00000000-0005-0000-0000-0000A8000000}"/>
    <cellStyle name="チェック セル 4" xfId="165" xr:uid="{00000000-0005-0000-0000-0000A9000000}"/>
    <cellStyle name="チェック セル 5" xfId="2085" xr:uid="{00000000-0005-0000-0000-0000AA000000}"/>
    <cellStyle name="どちらでもない 2" xfId="166" xr:uid="{00000000-0005-0000-0000-0000AB000000}"/>
    <cellStyle name="どちらでもない 3" xfId="167" xr:uid="{00000000-0005-0000-0000-0000AC000000}"/>
    <cellStyle name="どちらでもない 4" xfId="168" xr:uid="{00000000-0005-0000-0000-0000AD000000}"/>
    <cellStyle name="どちらでもない 5" xfId="169" xr:uid="{00000000-0005-0000-0000-0000AE000000}"/>
    <cellStyle name="パーセント 2" xfId="170" xr:uid="{00000000-0005-0000-0000-0000AF000000}"/>
    <cellStyle name="ハイパーリンク 2" xfId="2086" xr:uid="{00000000-0005-0000-0000-0000B0000000}"/>
    <cellStyle name="ﾊﾝﾄﾞﾌﾞｯｸ" xfId="171" xr:uid="{00000000-0005-0000-0000-0000B1000000}"/>
    <cellStyle name="メモ 2" xfId="172" xr:uid="{00000000-0005-0000-0000-0000B2000000}"/>
    <cellStyle name="メモ 3" xfId="173" xr:uid="{00000000-0005-0000-0000-0000B3000000}"/>
    <cellStyle name="メモ 4" xfId="174" xr:uid="{00000000-0005-0000-0000-0000B4000000}"/>
    <cellStyle name="メモ 5" xfId="175" xr:uid="{00000000-0005-0000-0000-0000B5000000}"/>
    <cellStyle name="リンク セル 2" xfId="176" xr:uid="{00000000-0005-0000-0000-0000B6000000}"/>
    <cellStyle name="リンク セル 3" xfId="177" xr:uid="{00000000-0005-0000-0000-0000B7000000}"/>
    <cellStyle name="リンク セル 4" xfId="178" xr:uid="{00000000-0005-0000-0000-0000B8000000}"/>
    <cellStyle name="リンク セル 5" xfId="179" xr:uid="{00000000-0005-0000-0000-0000B9000000}"/>
    <cellStyle name="_x001d__x000c_K_x0014__x000d_&gt;V_x0001_&gt;_x0014_n_x001e__x0007__x0001__x0001_" xfId="180" xr:uid="{00000000-0005-0000-0000-0000BA000000}"/>
    <cellStyle name="_x001d__x000c_K_x0014__x000d_&gt;V_x0001_&gt;_x0014_n_x001e__x0007__x0001__x0001_ 2" xfId="181" xr:uid="{00000000-0005-0000-0000-0000BB000000}"/>
    <cellStyle name="_x001d__x000c_K_x0014__x000d_&gt;V_x0001_&gt;_x0014_n_x001e__x0007__x0001__x0001_ 2 2" xfId="182" xr:uid="{00000000-0005-0000-0000-0000BC000000}"/>
    <cellStyle name="_x001d__x000c_K_x0014__x000d_&gt;V_x0001_&gt;_x0014_n_x001e__x0007__x0001__x0001_ 2 2 2" xfId="183" xr:uid="{00000000-0005-0000-0000-0000BD000000}"/>
    <cellStyle name="_x001d__x000c_K_x0014__x000d_&gt;V_x0001_&gt;_x0014_n_x001e__x0007__x0001__x0001_ 2 2 2 2" xfId="2233" xr:uid="{00000000-0005-0000-0000-0000BE000000}"/>
    <cellStyle name="_x001d__x000c_K_x0014__x000d_&gt;V_x0001_&gt;_x0014_n_x001e__x0007__x0001__x0001_ 2 2 2_変更来歴" xfId="2232" xr:uid="{00000000-0005-0000-0000-0000BF000000}"/>
    <cellStyle name="_x001d__x000c_K_x0014__x000d_&gt;V_x0001_&gt;_x0014_n_x001e__x0007__x0001__x0001_ 2 2 3" xfId="2089" xr:uid="{00000000-0005-0000-0000-0000C0000000}"/>
    <cellStyle name="_x001d__x000c_K_x0014__x000d_&gt;V_x0001_&gt;_x0014_n_x001e__x0007__x0001__x0001_ 2 2 4" xfId="2231" xr:uid="{00000000-0005-0000-0000-0000C1000000}"/>
    <cellStyle name="_x001d__x000c_K_x0014__x000d_&gt;V_x0001_&gt;_x0014_n_x001e__x0007__x0001__x0001_ 2 2 5" xfId="2230" xr:uid="{00000000-0005-0000-0000-0000C2000000}"/>
    <cellStyle name="_x001d__x000c_K_x0014__x000d_&gt;V_x0001_&gt;_x0014_n_x001e__x0007__x0001__x0001_ 2 2 6" xfId="2229" xr:uid="{00000000-0005-0000-0000-0000C3000000}"/>
    <cellStyle name="_x001d__x000c_K_x0014__x000d_&gt;V_x0001_&gt;_x0014_n_x001e__x0007__x0001__x0001_ 2 2_変更来歴" xfId="2228" xr:uid="{00000000-0005-0000-0000-0000C4000000}"/>
    <cellStyle name="_x001d__x000c_K_x0014__x000d_&gt;V_x0001_&gt;_x0014_n_x001e__x0007__x0001__x0001_ 2 3" xfId="184" xr:uid="{00000000-0005-0000-0000-0000C5000000}"/>
    <cellStyle name="_x001d__x000c_K_x0014__x000d_&gt;V_x0001_&gt;_x0014_n_x001e__x0007__x0001__x0001_ 2 3 2" xfId="185" xr:uid="{00000000-0005-0000-0000-0000C6000000}"/>
    <cellStyle name="_x001d__x000c_K_x0014__x000d_&gt;V_x0001_&gt;_x0014_n_x001e__x0007__x0001__x0001_ 2 3_変更来歴" xfId="2227" xr:uid="{00000000-0005-0000-0000-0000C7000000}"/>
    <cellStyle name="_x001d__x000c_K_x0014__x000d_&gt;V_x0001_&gt;_x0014_n_x001e__x0007__x0001__x0001_ 2 4" xfId="186" xr:uid="{00000000-0005-0000-0000-0000C8000000}"/>
    <cellStyle name="_x001d__x000c_K_x0014__x000d_&gt;V_x0001_&gt;_x0014_n_x001e__x0007__x0001__x0001_ 2 5" xfId="187" xr:uid="{00000000-0005-0000-0000-0000C9000000}"/>
    <cellStyle name="_x001d__x000c_K_x0014__x000d_&gt;V_x0001_&gt;_x0014_n_x001e__x0007__x0001__x0001_ 2 6" xfId="2088" xr:uid="{00000000-0005-0000-0000-0000CA000000}"/>
    <cellStyle name="_x001d__x000c_K_x0014__x000d_&gt;V_x0001_&gt;_x0014_n_x001e__x0007__x0001__x0001_ 2 7" xfId="2226" xr:uid="{00000000-0005-0000-0000-0000CB000000}"/>
    <cellStyle name="_x001d__x000c_K_x0014__x000d_&gt;V_x0001_&gt;_x0014_n_x001e__x0007__x0001__x0001_ 2_変更来歴" xfId="2225" xr:uid="{00000000-0005-0000-0000-0000CC000000}"/>
    <cellStyle name="_x001d__x000c_K_x0014__x000d_&gt;V_x0001_&gt;_x0014_n_x001e__x0007__x0001__x0001_ 3" xfId="188" xr:uid="{00000000-0005-0000-0000-0000CD000000}"/>
    <cellStyle name="_x001d__x000c_K_x0014__x000d_&gt;V_x0001_&gt;_x0014_n_x001e__x0007__x0001__x0001_ 3 2" xfId="189" xr:uid="{00000000-0005-0000-0000-0000CE000000}"/>
    <cellStyle name="_x001d__x000c_K_x0014__x000d_&gt;V_x0001_&gt;_x0014_n_x001e__x0007__x0001__x0001_ 3 2 2" xfId="2224" xr:uid="{00000000-0005-0000-0000-0000CF000000}"/>
    <cellStyle name="_x001d__x000c_K_x0014__x000d_&gt;V_x0001_&gt;_x0014_n_x001e__x0007__x0001__x0001_ 3 2_変更来歴" xfId="2223" xr:uid="{00000000-0005-0000-0000-0000D0000000}"/>
    <cellStyle name="_x001d__x000c_K_x0014__x000d_&gt;V_x0001_&gt;_x0014_n_x001e__x0007__x0001__x0001_ 3 3" xfId="190" xr:uid="{00000000-0005-0000-0000-0000D1000000}"/>
    <cellStyle name="_x001d__x000c_K_x0014__x000d_&gt;V_x0001_&gt;_x0014_n_x001e__x0007__x0001__x0001_ 3 4" xfId="2090" xr:uid="{00000000-0005-0000-0000-0000D2000000}"/>
    <cellStyle name="_x001d__x000c_K_x0014__x000d_&gt;V_x0001_&gt;_x0014_n_x001e__x0007__x0001__x0001_ 3 5" xfId="2222" xr:uid="{00000000-0005-0000-0000-0000D3000000}"/>
    <cellStyle name="_x001d__x000c_K_x0014__x000d_&gt;V_x0001_&gt;_x0014_n_x001e__x0007__x0001__x0001_ 3 6" xfId="2221" xr:uid="{00000000-0005-0000-0000-0000D4000000}"/>
    <cellStyle name="_x001d__x000c_K_x0014__x000d_&gt;V_x0001_&gt;_x0014_n_x001e__x0007__x0001__x0001_ 3_変更来歴" xfId="2220" xr:uid="{00000000-0005-0000-0000-0000D5000000}"/>
    <cellStyle name="_x001d__x000c_K_x0014__x000d_&gt;V_x0001_&gt;_x0014_n_x001e__x0007__x0001__x0001_ 4" xfId="191" xr:uid="{00000000-0005-0000-0000-0000D6000000}"/>
    <cellStyle name="_x001d__x000c_K_x0014__x000d_&gt;V_x0001_&gt;_x0014_n_x001e__x0007__x0001__x0001_ 4 2" xfId="192" xr:uid="{00000000-0005-0000-0000-0000D7000000}"/>
    <cellStyle name="_x001d__x000c_K_x0014__x000d_&gt;V_x0001_&gt;_x0014_n_x001e__x0007__x0001__x0001_ 4 3" xfId="2091" xr:uid="{00000000-0005-0000-0000-0000D8000000}"/>
    <cellStyle name="_x001d__x000c_K_x0014__x000d_&gt;V_x0001_&gt;_x0014_n_x001e__x0007__x0001__x0001_ 4 4" xfId="2219" xr:uid="{00000000-0005-0000-0000-0000D9000000}"/>
    <cellStyle name="_x001d__x000c_K_x0014__x000d_&gt;V_x0001_&gt;_x0014_n_x001e__x0007__x0001__x0001_ 4 5" xfId="2218" xr:uid="{00000000-0005-0000-0000-0000DA000000}"/>
    <cellStyle name="_x001d__x000c_K_x0014__x000d_&gt;V_x0001_&gt;_x0014_n_x001e__x0007__x0001__x0001_ 4_変更来歴" xfId="2217" xr:uid="{00000000-0005-0000-0000-0000DB000000}"/>
    <cellStyle name="_x001d__x000c_K_x0014__x000d_&gt;V_x0001_&gt;_x0014_n_x001e__x0007__x0001__x0001_ 5" xfId="193" xr:uid="{00000000-0005-0000-0000-0000DC000000}"/>
    <cellStyle name="_x001d__x000c_K_x0014__x000d_&gt;V_x0001_&gt;_x0014_n_x001e__x0007__x0001__x0001_ 5 2" xfId="194" xr:uid="{00000000-0005-0000-0000-0000DD000000}"/>
    <cellStyle name="_x001d__x000c_K_x0014__x000d_&gt;V_x0001_&gt;_x0014_n_x001e__x0007__x0001__x0001_ 5_変更来歴" xfId="2216" xr:uid="{00000000-0005-0000-0000-0000DE000000}"/>
    <cellStyle name="_x001d__x000c_K_x0014__x000d_&gt;V_x0001_&gt;_x0014_n_x001e__x0007__x0001__x0001_ 6" xfId="2087" xr:uid="{00000000-0005-0000-0000-0000DF000000}"/>
    <cellStyle name="_x001d__x000c_K_x0014__x000d_&gt;V_x0001_&gt;_x0014_n_x001e__x0007__x0001__x0001_ 7" xfId="2215" xr:uid="{00000000-0005-0000-0000-0000E0000000}"/>
    <cellStyle name="_x001d__x000c_K_x0014__x000d_&gt;V_x0001_&gt;_x0014_n_x001e__x0007__x0001__x0001_ 8" xfId="2214" xr:uid="{00000000-0005-0000-0000-0000E1000000}"/>
    <cellStyle name="_x001d__x000c_K_x0014__x000d_&gt;V_x0001_&gt;_x0014_n_x001e__x0007__x0001__x0001_ 9" xfId="2213" xr:uid="{00000000-0005-0000-0000-0000E2000000}"/>
    <cellStyle name="悪い 2" xfId="195" xr:uid="{00000000-0005-0000-0000-0000E3000000}"/>
    <cellStyle name="悪い 3" xfId="196" xr:uid="{00000000-0005-0000-0000-0000E4000000}"/>
    <cellStyle name="悪い 4" xfId="197" xr:uid="{00000000-0005-0000-0000-0000E5000000}"/>
    <cellStyle name="悪い 5" xfId="198" xr:uid="{00000000-0005-0000-0000-0000E6000000}"/>
    <cellStyle name="価格桁区切り" xfId="199" xr:uid="{00000000-0005-0000-0000-0000E7000000}"/>
    <cellStyle name="型番" xfId="200" xr:uid="{00000000-0005-0000-0000-0000E8000000}"/>
    <cellStyle name="計算 2" xfId="201" xr:uid="{00000000-0005-0000-0000-0000E9000000}"/>
    <cellStyle name="計算 3" xfId="202" xr:uid="{00000000-0005-0000-0000-0000EA000000}"/>
    <cellStyle name="計算 4" xfId="203" xr:uid="{00000000-0005-0000-0000-0000EB000000}"/>
    <cellStyle name="計算 5" xfId="204" xr:uid="{00000000-0005-0000-0000-0000EC000000}"/>
    <cellStyle name="警告文 2" xfId="205" xr:uid="{00000000-0005-0000-0000-0000ED000000}"/>
    <cellStyle name="警告文 3" xfId="206" xr:uid="{00000000-0005-0000-0000-0000EE000000}"/>
    <cellStyle name="警告文 4" xfId="207" xr:uid="{00000000-0005-0000-0000-0000EF000000}"/>
    <cellStyle name="警告文 5" xfId="2092" xr:uid="{00000000-0005-0000-0000-0000F0000000}"/>
    <cellStyle name="桁蟻唇Ｆ [0.00]_laroux" xfId="208" xr:uid="{00000000-0005-0000-0000-0000F1000000}"/>
    <cellStyle name="桁蟻唇Ｆ_A°DAU±ATIsA" xfId="209" xr:uid="{00000000-0005-0000-0000-0000F2000000}"/>
    <cellStyle name="桁区切り [0.0]" xfId="210" xr:uid="{00000000-0005-0000-0000-0000F3000000}"/>
    <cellStyle name="桁区切り [0.00]???瑳?倨???渭湯??:l search ; *.xla; *.xlt; *.xlm; *t match these search criteria:" xfId="211" xr:uid="{00000000-0005-0000-0000-0000F4000000}"/>
    <cellStyle name="桁区切り 2" xfId="212" xr:uid="{00000000-0005-0000-0000-0000F5000000}"/>
    <cellStyle name="桁区切り 2 2" xfId="213" xr:uid="{00000000-0005-0000-0000-0000F6000000}"/>
    <cellStyle name="桁区切り 2 3" xfId="2093" xr:uid="{00000000-0005-0000-0000-0000F7000000}"/>
    <cellStyle name="桁区切り 2 4" xfId="2249" xr:uid="{00000000-0005-0000-0000-0000F8000000}"/>
    <cellStyle name="桁区切り 3" xfId="214" xr:uid="{00000000-0005-0000-0000-0000F9000000}"/>
    <cellStyle name="桁区切り 3 2" xfId="215" xr:uid="{00000000-0005-0000-0000-0000FA000000}"/>
    <cellStyle name="桁区切り 4" xfId="216" xr:uid="{00000000-0005-0000-0000-0000FB000000}"/>
    <cellStyle name="桁区切り 4 2" xfId="2095" xr:uid="{00000000-0005-0000-0000-0000FC000000}"/>
    <cellStyle name="桁区切り 4 3" xfId="2096" xr:uid="{00000000-0005-0000-0000-0000FD000000}"/>
    <cellStyle name="桁区切り 4 4" xfId="2094" xr:uid="{00000000-0005-0000-0000-0000FE000000}"/>
    <cellStyle name="桁区切り 5" xfId="217" xr:uid="{00000000-0005-0000-0000-0000FF000000}"/>
    <cellStyle name="桁区切り 6" xfId="218" xr:uid="{00000000-0005-0000-0000-000000010000}"/>
    <cellStyle name="見出し" xfId="219" xr:uid="{00000000-0005-0000-0000-000001010000}"/>
    <cellStyle name="見出し 1 2" xfId="220" xr:uid="{00000000-0005-0000-0000-000002010000}"/>
    <cellStyle name="見出し 1 3" xfId="221" xr:uid="{00000000-0005-0000-0000-000003010000}"/>
    <cellStyle name="見出し 1 4" xfId="222" xr:uid="{00000000-0005-0000-0000-000004010000}"/>
    <cellStyle name="見出し 1 5" xfId="223" xr:uid="{00000000-0005-0000-0000-000005010000}"/>
    <cellStyle name="見出し 2 2" xfId="224" xr:uid="{00000000-0005-0000-0000-000006010000}"/>
    <cellStyle name="見出し 2 3" xfId="225" xr:uid="{00000000-0005-0000-0000-000007010000}"/>
    <cellStyle name="見出し 2 4" xfId="226" xr:uid="{00000000-0005-0000-0000-000008010000}"/>
    <cellStyle name="見出し 2 5" xfId="227" xr:uid="{00000000-0005-0000-0000-000009010000}"/>
    <cellStyle name="見出し 3 2" xfId="228" xr:uid="{00000000-0005-0000-0000-00000A010000}"/>
    <cellStyle name="見出し 3 3" xfId="229" xr:uid="{00000000-0005-0000-0000-00000B010000}"/>
    <cellStyle name="見出し 3 4" xfId="230" xr:uid="{00000000-0005-0000-0000-00000C010000}"/>
    <cellStyle name="見出し 3 5" xfId="231" xr:uid="{00000000-0005-0000-0000-00000D010000}"/>
    <cellStyle name="見出し 4 2" xfId="232" xr:uid="{00000000-0005-0000-0000-00000E010000}"/>
    <cellStyle name="見出し 4 3" xfId="233" xr:uid="{00000000-0005-0000-0000-00000F010000}"/>
    <cellStyle name="見出し 4 4" xfId="234" xr:uid="{00000000-0005-0000-0000-000010010000}"/>
    <cellStyle name="見出し 4 5" xfId="235" xr:uid="{00000000-0005-0000-0000-000011010000}"/>
    <cellStyle name="工数内訳" xfId="236" xr:uid="{00000000-0005-0000-0000-000012010000}"/>
    <cellStyle name="作業ﾌﾛｰ" xfId="237" xr:uid="{00000000-0005-0000-0000-000013010000}"/>
    <cellStyle name="仕様書標準" xfId="238" xr:uid="{00000000-0005-0000-0000-000014010000}"/>
    <cellStyle name="資料" xfId="239" xr:uid="{00000000-0005-0000-0000-000015010000}"/>
    <cellStyle name="資料２" xfId="240" xr:uid="{00000000-0005-0000-0000-000016010000}"/>
    <cellStyle name="集計 2" xfId="241" xr:uid="{00000000-0005-0000-0000-000017010000}"/>
    <cellStyle name="集計 3" xfId="242" xr:uid="{00000000-0005-0000-0000-000018010000}"/>
    <cellStyle name="集計 4" xfId="243" xr:uid="{00000000-0005-0000-0000-000019010000}"/>
    <cellStyle name="集計 5" xfId="244" xr:uid="{00000000-0005-0000-0000-00001A010000}"/>
    <cellStyle name="出力 2" xfId="245" xr:uid="{00000000-0005-0000-0000-00001B010000}"/>
    <cellStyle name="出力 3" xfId="246" xr:uid="{00000000-0005-0000-0000-00001C010000}"/>
    <cellStyle name="出力 4" xfId="247" xr:uid="{00000000-0005-0000-0000-00001D010000}"/>
    <cellStyle name="出力 5" xfId="248" xr:uid="{00000000-0005-0000-0000-00001E010000}"/>
    <cellStyle name="常规 2" xfId="249" xr:uid="{00000000-0005-0000-0000-00001F010000}"/>
    <cellStyle name="人月" xfId="250" xr:uid="{00000000-0005-0000-0000-000020010000}"/>
    <cellStyle name="人月 2" xfId="251" xr:uid="{00000000-0005-0000-0000-000021010000}"/>
    <cellStyle name="人月 3" xfId="2097" xr:uid="{00000000-0005-0000-0000-000022010000}"/>
    <cellStyle name="数値" xfId="252" xr:uid="{00000000-0005-0000-0000-000023010000}"/>
    <cellStyle name="数値（桁区切り）" xfId="253" xr:uid="{00000000-0005-0000-0000-000024010000}"/>
    <cellStyle name="数値_5-2-16-01_iStorage_new" xfId="254" xr:uid="{00000000-0005-0000-0000-000025010000}"/>
    <cellStyle name="製品通知&quot;-&quot;" xfId="255" xr:uid="{00000000-0005-0000-0000-000026010000}"/>
    <cellStyle name="製品通知価格" xfId="256" xr:uid="{00000000-0005-0000-0000-000027010000}"/>
    <cellStyle name="製品通知日付" xfId="257" xr:uid="{00000000-0005-0000-0000-000028010000}"/>
    <cellStyle name="製品通知文字列" xfId="258" xr:uid="{00000000-0005-0000-0000-000029010000}"/>
    <cellStyle name="説明文 2" xfId="259" xr:uid="{00000000-0005-0000-0000-00002A010000}"/>
    <cellStyle name="説明文 3" xfId="260" xr:uid="{00000000-0005-0000-0000-00002B010000}"/>
    <cellStyle name="説明文 4" xfId="261" xr:uid="{00000000-0005-0000-0000-00002C010000}"/>
    <cellStyle name="説明文 5" xfId="2098" xr:uid="{00000000-0005-0000-0000-00002D010000}"/>
    <cellStyle name="大分類境界" xfId="262" xr:uid="{00000000-0005-0000-0000-00002E010000}"/>
    <cellStyle name="脱浦 [0.00]_・覧形山" xfId="263" xr:uid="{00000000-0005-0000-0000-00002F010000}"/>
    <cellStyle name="脱浦_・覧形山" xfId="264" xr:uid="{00000000-0005-0000-0000-000030010000}"/>
    <cellStyle name="通貨 [0.00]0]???瑳?倨???渭湯畳?????earch ;riteria *.xlt; *.xlm;hat match these searc" xfId="265" xr:uid="{00000000-0005-0000-0000-000031010000}"/>
    <cellStyle name="通貨 2" xfId="266" xr:uid="{00000000-0005-0000-0000-000032010000}"/>
    <cellStyle name="通貨 2 2" xfId="2100" xr:uid="{00000000-0005-0000-0000-000033010000}"/>
    <cellStyle name="通貨 2 3" xfId="2101" xr:uid="{00000000-0005-0000-0000-000034010000}"/>
    <cellStyle name="通貨 2 4" xfId="2099" xr:uid="{00000000-0005-0000-0000-000035010000}"/>
    <cellStyle name="通貨 2 5" xfId="2250" xr:uid="{00000000-0005-0000-0000-000036010000}"/>
    <cellStyle name="日付" xfId="267" xr:uid="{00000000-0005-0000-0000-000037010000}"/>
    <cellStyle name="入力 2" xfId="268" xr:uid="{00000000-0005-0000-0000-000038010000}"/>
    <cellStyle name="入力 3" xfId="269" xr:uid="{00000000-0005-0000-0000-000039010000}"/>
    <cellStyle name="入力 4" xfId="270" xr:uid="{00000000-0005-0000-0000-00003A010000}"/>
    <cellStyle name="入力 5" xfId="271" xr:uid="{00000000-0005-0000-0000-00003B010000}"/>
    <cellStyle name="年月日" xfId="272" xr:uid="{00000000-0005-0000-0000-00003C010000}"/>
    <cellStyle name="標準" xfId="0" builtinId="0"/>
    <cellStyle name="標準 10" xfId="273" xr:uid="{00000000-0005-0000-0000-00003E010000}"/>
    <cellStyle name="標準 10 10" xfId="274" xr:uid="{00000000-0005-0000-0000-00003F010000}"/>
    <cellStyle name="標準 10 10 2" xfId="275" xr:uid="{00000000-0005-0000-0000-000040010000}"/>
    <cellStyle name="標準 10 11" xfId="276" xr:uid="{00000000-0005-0000-0000-000041010000}"/>
    <cellStyle name="標準 10 12" xfId="277" xr:uid="{00000000-0005-0000-0000-000042010000}"/>
    <cellStyle name="標準 10 13" xfId="278" xr:uid="{00000000-0005-0000-0000-000043010000}"/>
    <cellStyle name="標準 10 14" xfId="2102" xr:uid="{00000000-0005-0000-0000-000044010000}"/>
    <cellStyle name="標準 10 2" xfId="279" xr:uid="{00000000-0005-0000-0000-000045010000}"/>
    <cellStyle name="標準 10 2 2" xfId="280" xr:uid="{00000000-0005-0000-0000-000046010000}"/>
    <cellStyle name="標準 10 2 2 2" xfId="281" xr:uid="{00000000-0005-0000-0000-000047010000}"/>
    <cellStyle name="標準 10 2 2 2 2" xfId="282" xr:uid="{00000000-0005-0000-0000-000048010000}"/>
    <cellStyle name="標準 10 2 2 3" xfId="283" xr:uid="{00000000-0005-0000-0000-000049010000}"/>
    <cellStyle name="標準 10 2 3" xfId="284" xr:uid="{00000000-0005-0000-0000-00004A010000}"/>
    <cellStyle name="標準 10 2 3 2" xfId="285" xr:uid="{00000000-0005-0000-0000-00004B010000}"/>
    <cellStyle name="標準 10 2 4" xfId="286" xr:uid="{00000000-0005-0000-0000-00004C010000}"/>
    <cellStyle name="標準 10 2 4 2" xfId="287" xr:uid="{00000000-0005-0000-0000-00004D010000}"/>
    <cellStyle name="標準 10 2 5" xfId="288" xr:uid="{00000000-0005-0000-0000-00004E010000}"/>
    <cellStyle name="標準 10 2 6" xfId="289" xr:uid="{00000000-0005-0000-0000-00004F010000}"/>
    <cellStyle name="標準 10 2 7" xfId="2104" xr:uid="{00000000-0005-0000-0000-000050010000}"/>
    <cellStyle name="標準 10 2 8" xfId="2103" xr:uid="{00000000-0005-0000-0000-000051010000}"/>
    <cellStyle name="標準 10 2_処理詳細" xfId="2105" xr:uid="{00000000-0005-0000-0000-000052010000}"/>
    <cellStyle name="標準 10 3" xfId="290" xr:uid="{00000000-0005-0000-0000-000053010000}"/>
    <cellStyle name="標準 10 3 2" xfId="291" xr:uid="{00000000-0005-0000-0000-000054010000}"/>
    <cellStyle name="標準 10 3 2 2" xfId="292" xr:uid="{00000000-0005-0000-0000-000055010000}"/>
    <cellStyle name="標準 10 3 2 2 2" xfId="293" xr:uid="{00000000-0005-0000-0000-000056010000}"/>
    <cellStyle name="標準 10 3 2 3" xfId="294" xr:uid="{00000000-0005-0000-0000-000057010000}"/>
    <cellStyle name="標準 10 3 3" xfId="295" xr:uid="{00000000-0005-0000-0000-000058010000}"/>
    <cellStyle name="標準 10 3 3 2" xfId="296" xr:uid="{00000000-0005-0000-0000-000059010000}"/>
    <cellStyle name="標準 10 3 4" xfId="297" xr:uid="{00000000-0005-0000-0000-00005A010000}"/>
    <cellStyle name="標準 10 3 4 2" xfId="298" xr:uid="{00000000-0005-0000-0000-00005B010000}"/>
    <cellStyle name="標準 10 3 5" xfId="299" xr:uid="{00000000-0005-0000-0000-00005C010000}"/>
    <cellStyle name="標準 10 3 6" xfId="300" xr:uid="{00000000-0005-0000-0000-00005D010000}"/>
    <cellStyle name="標準 10 3 7" xfId="2106" xr:uid="{00000000-0005-0000-0000-00005E010000}"/>
    <cellStyle name="標準 10 3_処理詳細" xfId="2107" xr:uid="{00000000-0005-0000-0000-00005F010000}"/>
    <cellStyle name="標準 10 4" xfId="301" xr:uid="{00000000-0005-0000-0000-000060010000}"/>
    <cellStyle name="標準 10 4 2" xfId="302" xr:uid="{00000000-0005-0000-0000-000061010000}"/>
    <cellStyle name="標準 10 4 2 2" xfId="303" xr:uid="{00000000-0005-0000-0000-000062010000}"/>
    <cellStyle name="標準 10 4 3" xfId="304" xr:uid="{00000000-0005-0000-0000-000063010000}"/>
    <cellStyle name="標準 10 4 3 2" xfId="305" xr:uid="{00000000-0005-0000-0000-000064010000}"/>
    <cellStyle name="標準 10 4 4" xfId="306" xr:uid="{00000000-0005-0000-0000-000065010000}"/>
    <cellStyle name="標準 10 4 4 2" xfId="307" xr:uid="{00000000-0005-0000-0000-000066010000}"/>
    <cellStyle name="標準 10 4 5" xfId="308" xr:uid="{00000000-0005-0000-0000-000067010000}"/>
    <cellStyle name="標準 10 4 6" xfId="309" xr:uid="{00000000-0005-0000-0000-000068010000}"/>
    <cellStyle name="標準 10 4 7" xfId="2108" xr:uid="{00000000-0005-0000-0000-000069010000}"/>
    <cellStyle name="標準 10 4_処理詳細" xfId="2109" xr:uid="{00000000-0005-0000-0000-00006A010000}"/>
    <cellStyle name="標準 10 5" xfId="310" xr:uid="{00000000-0005-0000-0000-00006B010000}"/>
    <cellStyle name="標準 10 5 2" xfId="311" xr:uid="{00000000-0005-0000-0000-00006C010000}"/>
    <cellStyle name="標準 10 5 2 2" xfId="312" xr:uid="{00000000-0005-0000-0000-00006D010000}"/>
    <cellStyle name="標準 10 5 3" xfId="313" xr:uid="{00000000-0005-0000-0000-00006E010000}"/>
    <cellStyle name="標準 10 5 3 2" xfId="314" xr:uid="{00000000-0005-0000-0000-00006F010000}"/>
    <cellStyle name="標準 10 5 4" xfId="315" xr:uid="{00000000-0005-0000-0000-000070010000}"/>
    <cellStyle name="標準 10 5 4 2" xfId="316" xr:uid="{00000000-0005-0000-0000-000071010000}"/>
    <cellStyle name="標準 10 5 5" xfId="317" xr:uid="{00000000-0005-0000-0000-000072010000}"/>
    <cellStyle name="標準 10 6" xfId="318" xr:uid="{00000000-0005-0000-0000-000073010000}"/>
    <cellStyle name="標準 10 6 2" xfId="319" xr:uid="{00000000-0005-0000-0000-000074010000}"/>
    <cellStyle name="標準 10 6 2 2" xfId="320" xr:uid="{00000000-0005-0000-0000-000075010000}"/>
    <cellStyle name="標準 10 6 3" xfId="321" xr:uid="{00000000-0005-0000-0000-000076010000}"/>
    <cellStyle name="標準 10 6 3 2" xfId="322" xr:uid="{00000000-0005-0000-0000-000077010000}"/>
    <cellStyle name="標準 10 6 4" xfId="323" xr:uid="{00000000-0005-0000-0000-000078010000}"/>
    <cellStyle name="標準 10 7" xfId="324" xr:uid="{00000000-0005-0000-0000-000079010000}"/>
    <cellStyle name="標準 10 7 2" xfId="325" xr:uid="{00000000-0005-0000-0000-00007A010000}"/>
    <cellStyle name="標準 10 8" xfId="326" xr:uid="{00000000-0005-0000-0000-00007B010000}"/>
    <cellStyle name="標準 10 8 2" xfId="327" xr:uid="{00000000-0005-0000-0000-00007C010000}"/>
    <cellStyle name="標準 10 9" xfId="328" xr:uid="{00000000-0005-0000-0000-00007D010000}"/>
    <cellStyle name="標準 10 9 2" xfId="329" xr:uid="{00000000-0005-0000-0000-00007E010000}"/>
    <cellStyle name="標準 10_処理詳細" xfId="2110" xr:uid="{00000000-0005-0000-0000-00007F010000}"/>
    <cellStyle name="標準 11" xfId="330" xr:uid="{00000000-0005-0000-0000-000080010000}"/>
    <cellStyle name="標準 11 10" xfId="331" xr:uid="{00000000-0005-0000-0000-000081010000}"/>
    <cellStyle name="標準 11 10 2" xfId="332" xr:uid="{00000000-0005-0000-0000-000082010000}"/>
    <cellStyle name="標準 11 11" xfId="333" xr:uid="{00000000-0005-0000-0000-000083010000}"/>
    <cellStyle name="標準 11 12" xfId="334" xr:uid="{00000000-0005-0000-0000-000084010000}"/>
    <cellStyle name="標準 11 13" xfId="335" xr:uid="{00000000-0005-0000-0000-000085010000}"/>
    <cellStyle name="標準 11 13 2" xfId="2112" xr:uid="{00000000-0005-0000-0000-000086010000}"/>
    <cellStyle name="標準 11 14" xfId="2111" xr:uid="{00000000-0005-0000-0000-000087010000}"/>
    <cellStyle name="標準 11 2" xfId="336" xr:uid="{00000000-0005-0000-0000-000088010000}"/>
    <cellStyle name="標準 11 2 2" xfId="337" xr:uid="{00000000-0005-0000-0000-000089010000}"/>
    <cellStyle name="標準 11 2 2 2" xfId="338" xr:uid="{00000000-0005-0000-0000-00008A010000}"/>
    <cellStyle name="標準 11 2 2 2 2" xfId="339" xr:uid="{00000000-0005-0000-0000-00008B010000}"/>
    <cellStyle name="標準 11 2 2 3" xfId="340" xr:uid="{00000000-0005-0000-0000-00008C010000}"/>
    <cellStyle name="標準 11 2 3" xfId="341" xr:uid="{00000000-0005-0000-0000-00008D010000}"/>
    <cellStyle name="標準 11 2 3 2" xfId="342" xr:uid="{00000000-0005-0000-0000-00008E010000}"/>
    <cellStyle name="標準 11 2 4" xfId="343" xr:uid="{00000000-0005-0000-0000-00008F010000}"/>
    <cellStyle name="標準 11 2 4 2" xfId="344" xr:uid="{00000000-0005-0000-0000-000090010000}"/>
    <cellStyle name="標準 11 2 5" xfId="345" xr:uid="{00000000-0005-0000-0000-000091010000}"/>
    <cellStyle name="標準 11 3" xfId="346" xr:uid="{00000000-0005-0000-0000-000092010000}"/>
    <cellStyle name="標準 11 3 2" xfId="347" xr:uid="{00000000-0005-0000-0000-000093010000}"/>
    <cellStyle name="標準 11 3 2 2" xfId="348" xr:uid="{00000000-0005-0000-0000-000094010000}"/>
    <cellStyle name="標準 11 3 2 2 2" xfId="349" xr:uid="{00000000-0005-0000-0000-000095010000}"/>
    <cellStyle name="標準 11 3 2 3" xfId="350" xr:uid="{00000000-0005-0000-0000-000096010000}"/>
    <cellStyle name="標準 11 3 3" xfId="351" xr:uid="{00000000-0005-0000-0000-000097010000}"/>
    <cellStyle name="標準 11 3 3 2" xfId="352" xr:uid="{00000000-0005-0000-0000-000098010000}"/>
    <cellStyle name="標準 11 3 4" xfId="353" xr:uid="{00000000-0005-0000-0000-000099010000}"/>
    <cellStyle name="標準 11 3 4 2" xfId="354" xr:uid="{00000000-0005-0000-0000-00009A010000}"/>
    <cellStyle name="標準 11 3 5" xfId="355" xr:uid="{00000000-0005-0000-0000-00009B010000}"/>
    <cellStyle name="標準 11 4" xfId="356" xr:uid="{00000000-0005-0000-0000-00009C010000}"/>
    <cellStyle name="標準 11 4 2" xfId="357" xr:uid="{00000000-0005-0000-0000-00009D010000}"/>
    <cellStyle name="標準 11 4 2 2" xfId="358" xr:uid="{00000000-0005-0000-0000-00009E010000}"/>
    <cellStyle name="標準 11 4 3" xfId="359" xr:uid="{00000000-0005-0000-0000-00009F010000}"/>
    <cellStyle name="標準 11 4 3 2" xfId="360" xr:uid="{00000000-0005-0000-0000-0000A0010000}"/>
    <cellStyle name="標準 11 4 4" xfId="361" xr:uid="{00000000-0005-0000-0000-0000A1010000}"/>
    <cellStyle name="標準 11 4 4 2" xfId="362" xr:uid="{00000000-0005-0000-0000-0000A2010000}"/>
    <cellStyle name="標準 11 4 5" xfId="363" xr:uid="{00000000-0005-0000-0000-0000A3010000}"/>
    <cellStyle name="標準 11 5" xfId="364" xr:uid="{00000000-0005-0000-0000-0000A4010000}"/>
    <cellStyle name="標準 11 5 2" xfId="365" xr:uid="{00000000-0005-0000-0000-0000A5010000}"/>
    <cellStyle name="標準 11 5 2 2" xfId="366" xr:uid="{00000000-0005-0000-0000-0000A6010000}"/>
    <cellStyle name="標準 11 5 3" xfId="367" xr:uid="{00000000-0005-0000-0000-0000A7010000}"/>
    <cellStyle name="標準 11 5 3 2" xfId="368" xr:uid="{00000000-0005-0000-0000-0000A8010000}"/>
    <cellStyle name="標準 11 5 4" xfId="369" xr:uid="{00000000-0005-0000-0000-0000A9010000}"/>
    <cellStyle name="標準 11 5 4 2" xfId="370" xr:uid="{00000000-0005-0000-0000-0000AA010000}"/>
    <cellStyle name="標準 11 5 5" xfId="371" xr:uid="{00000000-0005-0000-0000-0000AB010000}"/>
    <cellStyle name="標準 11 6" xfId="372" xr:uid="{00000000-0005-0000-0000-0000AC010000}"/>
    <cellStyle name="標準 11 6 2" xfId="373" xr:uid="{00000000-0005-0000-0000-0000AD010000}"/>
    <cellStyle name="標準 11 6 2 2" xfId="374" xr:uid="{00000000-0005-0000-0000-0000AE010000}"/>
    <cellStyle name="標準 11 6 3" xfId="375" xr:uid="{00000000-0005-0000-0000-0000AF010000}"/>
    <cellStyle name="標準 11 6 3 2" xfId="376" xr:uid="{00000000-0005-0000-0000-0000B0010000}"/>
    <cellStyle name="標準 11 6 4" xfId="377" xr:uid="{00000000-0005-0000-0000-0000B1010000}"/>
    <cellStyle name="標準 11 7" xfId="378" xr:uid="{00000000-0005-0000-0000-0000B2010000}"/>
    <cellStyle name="標準 11 7 2" xfId="379" xr:uid="{00000000-0005-0000-0000-0000B3010000}"/>
    <cellStyle name="標準 11 8" xfId="380" xr:uid="{00000000-0005-0000-0000-0000B4010000}"/>
    <cellStyle name="標準 11 8 2" xfId="381" xr:uid="{00000000-0005-0000-0000-0000B5010000}"/>
    <cellStyle name="標準 11 9" xfId="382" xr:uid="{00000000-0005-0000-0000-0000B6010000}"/>
    <cellStyle name="標準 11 9 2" xfId="383" xr:uid="{00000000-0005-0000-0000-0000B7010000}"/>
    <cellStyle name="標準 11_処理詳細" xfId="2113" xr:uid="{00000000-0005-0000-0000-0000B8010000}"/>
    <cellStyle name="標準 12" xfId="384" xr:uid="{00000000-0005-0000-0000-0000B9010000}"/>
    <cellStyle name="標準 12 10" xfId="2251" xr:uid="{00000000-0005-0000-0000-0000BA010000}"/>
    <cellStyle name="標準 12 2" xfId="385" xr:uid="{00000000-0005-0000-0000-0000BB010000}"/>
    <cellStyle name="標準 12 2 2" xfId="386" xr:uid="{00000000-0005-0000-0000-0000BC010000}"/>
    <cellStyle name="標準 12 2 2 2" xfId="387" xr:uid="{00000000-0005-0000-0000-0000BD010000}"/>
    <cellStyle name="標準 12 2 3" xfId="388" xr:uid="{00000000-0005-0000-0000-0000BE010000}"/>
    <cellStyle name="標準 12 2 3 2" xfId="389" xr:uid="{00000000-0005-0000-0000-0000BF010000}"/>
    <cellStyle name="標準 12 2 4" xfId="390" xr:uid="{00000000-0005-0000-0000-0000C0010000}"/>
    <cellStyle name="標準 12 2 4 2" xfId="391" xr:uid="{00000000-0005-0000-0000-0000C1010000}"/>
    <cellStyle name="標準 12 2 5" xfId="392" xr:uid="{00000000-0005-0000-0000-0000C2010000}"/>
    <cellStyle name="標準 12 3" xfId="393" xr:uid="{00000000-0005-0000-0000-0000C3010000}"/>
    <cellStyle name="標準 12 3 2" xfId="394" xr:uid="{00000000-0005-0000-0000-0000C4010000}"/>
    <cellStyle name="標準 12 4" xfId="395" xr:uid="{00000000-0005-0000-0000-0000C5010000}"/>
    <cellStyle name="標準 12 4 2" xfId="396" xr:uid="{00000000-0005-0000-0000-0000C6010000}"/>
    <cellStyle name="標準 12 5" xfId="397" xr:uid="{00000000-0005-0000-0000-0000C7010000}"/>
    <cellStyle name="標準 12 5 2" xfId="398" xr:uid="{00000000-0005-0000-0000-0000C8010000}"/>
    <cellStyle name="標準 12 6" xfId="399" xr:uid="{00000000-0005-0000-0000-0000C9010000}"/>
    <cellStyle name="標準 12 6 2" xfId="400" xr:uid="{00000000-0005-0000-0000-0000CA010000}"/>
    <cellStyle name="標準 12 7" xfId="401" xr:uid="{00000000-0005-0000-0000-0000CB010000}"/>
    <cellStyle name="標準 12 8" xfId="402" xr:uid="{00000000-0005-0000-0000-0000CC010000}"/>
    <cellStyle name="標準 12 9" xfId="2114" xr:uid="{00000000-0005-0000-0000-0000CD010000}"/>
    <cellStyle name="標準 12_処理詳細" xfId="2115" xr:uid="{00000000-0005-0000-0000-0000CE010000}"/>
    <cellStyle name="標準 13" xfId="403" xr:uid="{00000000-0005-0000-0000-0000CF010000}"/>
    <cellStyle name="標準 13 2" xfId="404" xr:uid="{00000000-0005-0000-0000-0000D0010000}"/>
    <cellStyle name="標準 13 2 2" xfId="405" xr:uid="{00000000-0005-0000-0000-0000D1010000}"/>
    <cellStyle name="標準 13 2 2 2" xfId="406" xr:uid="{00000000-0005-0000-0000-0000D2010000}"/>
    <cellStyle name="標準 13 2 3" xfId="407" xr:uid="{00000000-0005-0000-0000-0000D3010000}"/>
    <cellStyle name="標準 13 2 3 2" xfId="408" xr:uid="{00000000-0005-0000-0000-0000D4010000}"/>
    <cellStyle name="標準 13 2 4" xfId="409" xr:uid="{00000000-0005-0000-0000-0000D5010000}"/>
    <cellStyle name="標準 13 2 4 2" xfId="410" xr:uid="{00000000-0005-0000-0000-0000D6010000}"/>
    <cellStyle name="標準 13 2 5" xfId="411" xr:uid="{00000000-0005-0000-0000-0000D7010000}"/>
    <cellStyle name="標準 13 3" xfId="412" xr:uid="{00000000-0005-0000-0000-0000D8010000}"/>
    <cellStyle name="標準 13 3 2" xfId="413" xr:uid="{00000000-0005-0000-0000-0000D9010000}"/>
    <cellStyle name="標準 13 4" xfId="414" xr:uid="{00000000-0005-0000-0000-0000DA010000}"/>
    <cellStyle name="標準 13 4 2" xfId="415" xr:uid="{00000000-0005-0000-0000-0000DB010000}"/>
    <cellStyle name="標準 13 5" xfId="416" xr:uid="{00000000-0005-0000-0000-0000DC010000}"/>
    <cellStyle name="標準 13 5 2" xfId="417" xr:uid="{00000000-0005-0000-0000-0000DD010000}"/>
    <cellStyle name="標準 13 6" xfId="418" xr:uid="{00000000-0005-0000-0000-0000DE010000}"/>
    <cellStyle name="標準 13 6 2" xfId="419" xr:uid="{00000000-0005-0000-0000-0000DF010000}"/>
    <cellStyle name="標準 13 7" xfId="420" xr:uid="{00000000-0005-0000-0000-0000E0010000}"/>
    <cellStyle name="標準 13 8" xfId="421" xr:uid="{00000000-0005-0000-0000-0000E1010000}"/>
    <cellStyle name="標準 13 9" xfId="2116" xr:uid="{00000000-0005-0000-0000-0000E2010000}"/>
    <cellStyle name="標準 13_処理詳細" xfId="2117" xr:uid="{00000000-0005-0000-0000-0000E3010000}"/>
    <cellStyle name="標準 14" xfId="422" xr:uid="{00000000-0005-0000-0000-0000E4010000}"/>
    <cellStyle name="標準 14 2" xfId="423" xr:uid="{00000000-0005-0000-0000-0000E5010000}"/>
    <cellStyle name="標準 14 2 2" xfId="424" xr:uid="{00000000-0005-0000-0000-0000E6010000}"/>
    <cellStyle name="標準 14 2 2 2" xfId="425" xr:uid="{00000000-0005-0000-0000-0000E7010000}"/>
    <cellStyle name="標準 14 2 3" xfId="426" xr:uid="{00000000-0005-0000-0000-0000E8010000}"/>
    <cellStyle name="標準 14 3" xfId="427" xr:uid="{00000000-0005-0000-0000-0000E9010000}"/>
    <cellStyle name="標準 14 3 2" xfId="428" xr:uid="{00000000-0005-0000-0000-0000EA010000}"/>
    <cellStyle name="標準 14 4" xfId="429" xr:uid="{00000000-0005-0000-0000-0000EB010000}"/>
    <cellStyle name="標準 14 4 2" xfId="430" xr:uid="{00000000-0005-0000-0000-0000EC010000}"/>
    <cellStyle name="標準 14 5" xfId="431" xr:uid="{00000000-0005-0000-0000-0000ED010000}"/>
    <cellStyle name="標準 14 5 2" xfId="432" xr:uid="{00000000-0005-0000-0000-0000EE010000}"/>
    <cellStyle name="標準 14 6" xfId="433" xr:uid="{00000000-0005-0000-0000-0000EF010000}"/>
    <cellStyle name="標準 14 7" xfId="434" xr:uid="{00000000-0005-0000-0000-0000F0010000}"/>
    <cellStyle name="標準 14 8" xfId="2118" xr:uid="{00000000-0005-0000-0000-0000F1010000}"/>
    <cellStyle name="標準 14_処理詳細" xfId="2119" xr:uid="{00000000-0005-0000-0000-0000F2010000}"/>
    <cellStyle name="標準 15" xfId="435" xr:uid="{00000000-0005-0000-0000-0000F3010000}"/>
    <cellStyle name="標準 15 2" xfId="436" xr:uid="{00000000-0005-0000-0000-0000F4010000}"/>
    <cellStyle name="標準 15 2 2" xfId="437" xr:uid="{00000000-0005-0000-0000-0000F5010000}"/>
    <cellStyle name="標準 15 2 2 2" xfId="438" xr:uid="{00000000-0005-0000-0000-0000F6010000}"/>
    <cellStyle name="標準 15 2 3" xfId="439" xr:uid="{00000000-0005-0000-0000-0000F7010000}"/>
    <cellStyle name="標準 15 3" xfId="440" xr:uid="{00000000-0005-0000-0000-0000F8010000}"/>
    <cellStyle name="標準 15 3 2" xfId="441" xr:uid="{00000000-0005-0000-0000-0000F9010000}"/>
    <cellStyle name="標準 15 4" xfId="442" xr:uid="{00000000-0005-0000-0000-0000FA010000}"/>
    <cellStyle name="標準 15 4 2" xfId="443" xr:uid="{00000000-0005-0000-0000-0000FB010000}"/>
    <cellStyle name="標準 15 5" xfId="444" xr:uid="{00000000-0005-0000-0000-0000FC010000}"/>
    <cellStyle name="標準 15 5 2" xfId="445" xr:uid="{00000000-0005-0000-0000-0000FD010000}"/>
    <cellStyle name="標準 15 6" xfId="446" xr:uid="{00000000-0005-0000-0000-0000FE010000}"/>
    <cellStyle name="標準 15 7" xfId="447" xr:uid="{00000000-0005-0000-0000-0000FF010000}"/>
    <cellStyle name="標準 15 8" xfId="2120" xr:uid="{00000000-0005-0000-0000-000000020000}"/>
    <cellStyle name="標準 15_処理詳細" xfId="2121" xr:uid="{00000000-0005-0000-0000-000001020000}"/>
    <cellStyle name="標準 16" xfId="448" xr:uid="{00000000-0005-0000-0000-000002020000}"/>
    <cellStyle name="標準 16 2" xfId="449" xr:uid="{00000000-0005-0000-0000-000003020000}"/>
    <cellStyle name="標準 16 2 2" xfId="450" xr:uid="{00000000-0005-0000-0000-000004020000}"/>
    <cellStyle name="標準 16 2 2 2" xfId="451" xr:uid="{00000000-0005-0000-0000-000005020000}"/>
    <cellStyle name="標準 16 2 3" xfId="452" xr:uid="{00000000-0005-0000-0000-000006020000}"/>
    <cellStyle name="標準 16 3" xfId="453" xr:uid="{00000000-0005-0000-0000-000007020000}"/>
    <cellStyle name="標準 16 3 2" xfId="454" xr:uid="{00000000-0005-0000-0000-000008020000}"/>
    <cellStyle name="標準 16 4" xfId="455" xr:uid="{00000000-0005-0000-0000-000009020000}"/>
    <cellStyle name="標準 16 4 2" xfId="456" xr:uid="{00000000-0005-0000-0000-00000A020000}"/>
    <cellStyle name="標準 16 5" xfId="457" xr:uid="{00000000-0005-0000-0000-00000B020000}"/>
    <cellStyle name="標準 16 5 2" xfId="458" xr:uid="{00000000-0005-0000-0000-00000C020000}"/>
    <cellStyle name="標準 16 6" xfId="459" xr:uid="{00000000-0005-0000-0000-00000D020000}"/>
    <cellStyle name="標準 16 7" xfId="460" xr:uid="{00000000-0005-0000-0000-00000E020000}"/>
    <cellStyle name="標準 16 8" xfId="2122" xr:uid="{00000000-0005-0000-0000-00000F020000}"/>
    <cellStyle name="標準 16_処理詳細" xfId="2123" xr:uid="{00000000-0005-0000-0000-000010020000}"/>
    <cellStyle name="標準 17" xfId="461" xr:uid="{00000000-0005-0000-0000-000011020000}"/>
    <cellStyle name="標準 17 2" xfId="462" xr:uid="{00000000-0005-0000-0000-000012020000}"/>
    <cellStyle name="標準 17 2 2" xfId="463" xr:uid="{00000000-0005-0000-0000-000013020000}"/>
    <cellStyle name="標準 17 2 2 2" xfId="464" xr:uid="{00000000-0005-0000-0000-000014020000}"/>
    <cellStyle name="標準 17 2 3" xfId="465" xr:uid="{00000000-0005-0000-0000-000015020000}"/>
    <cellStyle name="標準 17 3" xfId="466" xr:uid="{00000000-0005-0000-0000-000016020000}"/>
    <cellStyle name="標準 17 3 2" xfId="467" xr:uid="{00000000-0005-0000-0000-000017020000}"/>
    <cellStyle name="標準 17 4" xfId="468" xr:uid="{00000000-0005-0000-0000-000018020000}"/>
    <cellStyle name="標準 17 4 2" xfId="469" xr:uid="{00000000-0005-0000-0000-000019020000}"/>
    <cellStyle name="標準 17 5" xfId="470" xr:uid="{00000000-0005-0000-0000-00001A020000}"/>
    <cellStyle name="標準 17 5 2" xfId="471" xr:uid="{00000000-0005-0000-0000-00001B020000}"/>
    <cellStyle name="標準 17 6" xfId="472" xr:uid="{00000000-0005-0000-0000-00001C020000}"/>
    <cellStyle name="標準 17 7" xfId="473" xr:uid="{00000000-0005-0000-0000-00001D020000}"/>
    <cellStyle name="標準 17 8" xfId="2126" xr:uid="{00000000-0005-0000-0000-00001E020000}"/>
    <cellStyle name="標準 17 9" xfId="2124" xr:uid="{00000000-0005-0000-0000-00001F020000}"/>
    <cellStyle name="標準 17_処理詳細" xfId="2127" xr:uid="{00000000-0005-0000-0000-000020020000}"/>
    <cellStyle name="標準 18" xfId="474" xr:uid="{00000000-0005-0000-0000-000021020000}"/>
    <cellStyle name="標準 18 2" xfId="475" xr:uid="{00000000-0005-0000-0000-000022020000}"/>
    <cellStyle name="標準 18 2 2" xfId="476" xr:uid="{00000000-0005-0000-0000-000023020000}"/>
    <cellStyle name="標準 18 3" xfId="477" xr:uid="{00000000-0005-0000-0000-000024020000}"/>
    <cellStyle name="標準 18 4" xfId="2128" xr:uid="{00000000-0005-0000-0000-000025020000}"/>
    <cellStyle name="標準 18_処理詳細" xfId="2129" xr:uid="{00000000-0005-0000-0000-000026020000}"/>
    <cellStyle name="標準 19" xfId="478" xr:uid="{00000000-0005-0000-0000-000027020000}"/>
    <cellStyle name="標準 19 2" xfId="479" xr:uid="{00000000-0005-0000-0000-000028020000}"/>
    <cellStyle name="標準 19 2 2" xfId="480" xr:uid="{00000000-0005-0000-0000-000029020000}"/>
    <cellStyle name="標準 19 3" xfId="481" xr:uid="{00000000-0005-0000-0000-00002A020000}"/>
    <cellStyle name="標準 19 4" xfId="2130" xr:uid="{00000000-0005-0000-0000-00002B020000}"/>
    <cellStyle name="標準 19_処理詳細" xfId="2131" xr:uid="{00000000-0005-0000-0000-00002C020000}"/>
    <cellStyle name="標準 2" xfId="1" xr:uid="{00000000-0005-0000-0000-00002D020000}"/>
    <cellStyle name="標準 2 10" xfId="482" xr:uid="{00000000-0005-0000-0000-00002E020000}"/>
    <cellStyle name="標準 2 10 2" xfId="483" xr:uid="{00000000-0005-0000-0000-00002F020000}"/>
    <cellStyle name="標準 2 10 2 2" xfId="484" xr:uid="{00000000-0005-0000-0000-000030020000}"/>
    <cellStyle name="標準 2 10 3" xfId="485" xr:uid="{00000000-0005-0000-0000-000031020000}"/>
    <cellStyle name="標準 2 10 3 2" xfId="486" xr:uid="{00000000-0005-0000-0000-000032020000}"/>
    <cellStyle name="標準 2 10 4" xfId="487" xr:uid="{00000000-0005-0000-0000-000033020000}"/>
    <cellStyle name="標準 2 10 4 2" xfId="488" xr:uid="{00000000-0005-0000-0000-000034020000}"/>
    <cellStyle name="標準 2 10 5" xfId="489" xr:uid="{00000000-0005-0000-0000-000035020000}"/>
    <cellStyle name="標準 2 11" xfId="490" xr:uid="{00000000-0005-0000-0000-000036020000}"/>
    <cellStyle name="標準 2 11 2" xfId="491" xr:uid="{00000000-0005-0000-0000-000037020000}"/>
    <cellStyle name="標準 2 11 2 2" xfId="492" xr:uid="{00000000-0005-0000-0000-000038020000}"/>
    <cellStyle name="標準 2 11 3" xfId="493" xr:uid="{00000000-0005-0000-0000-000039020000}"/>
    <cellStyle name="標準 2 11 3 2" xfId="494" xr:uid="{00000000-0005-0000-0000-00003A020000}"/>
    <cellStyle name="標準 2 11 4" xfId="495" xr:uid="{00000000-0005-0000-0000-00003B020000}"/>
    <cellStyle name="標準 2 11 4 2" xfId="496" xr:uid="{00000000-0005-0000-0000-00003C020000}"/>
    <cellStyle name="標準 2 11 5" xfId="497" xr:uid="{00000000-0005-0000-0000-00003D020000}"/>
    <cellStyle name="標準 2 12" xfId="498" xr:uid="{00000000-0005-0000-0000-00003E020000}"/>
    <cellStyle name="標準 2 12 2" xfId="499" xr:uid="{00000000-0005-0000-0000-00003F020000}"/>
    <cellStyle name="標準 2 12 2 2" xfId="500" xr:uid="{00000000-0005-0000-0000-000040020000}"/>
    <cellStyle name="標準 2 12 3" xfId="501" xr:uid="{00000000-0005-0000-0000-000041020000}"/>
    <cellStyle name="標準 2 12 3 2" xfId="502" xr:uid="{00000000-0005-0000-0000-000042020000}"/>
    <cellStyle name="標準 2 12 4" xfId="503" xr:uid="{00000000-0005-0000-0000-000043020000}"/>
    <cellStyle name="標準 2 12 4 2" xfId="504" xr:uid="{00000000-0005-0000-0000-000044020000}"/>
    <cellStyle name="標準 2 12 5" xfId="505" xr:uid="{00000000-0005-0000-0000-000045020000}"/>
    <cellStyle name="標準 2 13" xfId="506" xr:uid="{00000000-0005-0000-0000-000046020000}"/>
    <cellStyle name="標準 2 13 2" xfId="507" xr:uid="{00000000-0005-0000-0000-000047020000}"/>
    <cellStyle name="標準 2 13 2 2" xfId="508" xr:uid="{00000000-0005-0000-0000-000048020000}"/>
    <cellStyle name="標準 2 13 3" xfId="509" xr:uid="{00000000-0005-0000-0000-000049020000}"/>
    <cellStyle name="標準 2 13 3 2" xfId="510" xr:uid="{00000000-0005-0000-0000-00004A020000}"/>
    <cellStyle name="標準 2 13 4" xfId="511" xr:uid="{00000000-0005-0000-0000-00004B020000}"/>
    <cellStyle name="標準 2 13 4 2" xfId="512" xr:uid="{00000000-0005-0000-0000-00004C020000}"/>
    <cellStyle name="標準 2 13 5" xfId="513" xr:uid="{00000000-0005-0000-0000-00004D020000}"/>
    <cellStyle name="標準 2 14" xfId="514" xr:uid="{00000000-0005-0000-0000-00004E020000}"/>
    <cellStyle name="標準 2 14 2" xfId="515" xr:uid="{00000000-0005-0000-0000-00004F020000}"/>
    <cellStyle name="標準 2 14 2 2" xfId="516" xr:uid="{00000000-0005-0000-0000-000050020000}"/>
    <cellStyle name="標準 2 14 3" xfId="517" xr:uid="{00000000-0005-0000-0000-000051020000}"/>
    <cellStyle name="標準 2 15" xfId="518" xr:uid="{00000000-0005-0000-0000-000052020000}"/>
    <cellStyle name="標準 2 15 2" xfId="519" xr:uid="{00000000-0005-0000-0000-000053020000}"/>
    <cellStyle name="標準 2 15 2 2" xfId="520" xr:uid="{00000000-0005-0000-0000-000054020000}"/>
    <cellStyle name="標準 2 15 3" xfId="521" xr:uid="{00000000-0005-0000-0000-000055020000}"/>
    <cellStyle name="標準 2 16" xfId="522" xr:uid="{00000000-0005-0000-0000-000056020000}"/>
    <cellStyle name="標準 2 16 2" xfId="523" xr:uid="{00000000-0005-0000-0000-000057020000}"/>
    <cellStyle name="標準 2 16 2 2" xfId="524" xr:uid="{00000000-0005-0000-0000-000058020000}"/>
    <cellStyle name="標準 2 16 3" xfId="525" xr:uid="{00000000-0005-0000-0000-000059020000}"/>
    <cellStyle name="標準 2 17" xfId="526" xr:uid="{00000000-0005-0000-0000-00005A020000}"/>
    <cellStyle name="標準 2 17 2" xfId="527" xr:uid="{00000000-0005-0000-0000-00005B020000}"/>
    <cellStyle name="標準 2 17 2 2" xfId="528" xr:uid="{00000000-0005-0000-0000-00005C020000}"/>
    <cellStyle name="標準 2 17 3" xfId="529" xr:uid="{00000000-0005-0000-0000-00005D020000}"/>
    <cellStyle name="標準 2 18" xfId="530" xr:uid="{00000000-0005-0000-0000-00005E020000}"/>
    <cellStyle name="標準 2 18 2" xfId="531" xr:uid="{00000000-0005-0000-0000-00005F020000}"/>
    <cellStyle name="標準 2 19" xfId="532" xr:uid="{00000000-0005-0000-0000-000060020000}"/>
    <cellStyle name="標準 2 19 2" xfId="533" xr:uid="{00000000-0005-0000-0000-000061020000}"/>
    <cellStyle name="標準 2 2" xfId="534" xr:uid="{00000000-0005-0000-0000-000062020000}"/>
    <cellStyle name="標準 2 2 10" xfId="535" xr:uid="{00000000-0005-0000-0000-000063020000}"/>
    <cellStyle name="標準 2 2 10 2" xfId="536" xr:uid="{00000000-0005-0000-0000-000064020000}"/>
    <cellStyle name="標準 2 2 10 2 2" xfId="537" xr:uid="{00000000-0005-0000-0000-000065020000}"/>
    <cellStyle name="標準 2 2 10 3" xfId="538" xr:uid="{00000000-0005-0000-0000-000066020000}"/>
    <cellStyle name="標準 2 2 11" xfId="539" xr:uid="{00000000-0005-0000-0000-000067020000}"/>
    <cellStyle name="標準 2 2 11 2" xfId="540" xr:uid="{00000000-0005-0000-0000-000068020000}"/>
    <cellStyle name="標準 2 2 12" xfId="541" xr:uid="{00000000-0005-0000-0000-000069020000}"/>
    <cellStyle name="標準 2 2 13" xfId="542" xr:uid="{00000000-0005-0000-0000-00006A020000}"/>
    <cellStyle name="標準 2 2 2" xfId="543" xr:uid="{00000000-0005-0000-0000-00006B020000}"/>
    <cellStyle name="標準 2 2 2 2" xfId="544" xr:uid="{00000000-0005-0000-0000-00006C020000}"/>
    <cellStyle name="標準 2 2 2 2 2" xfId="545" xr:uid="{00000000-0005-0000-0000-00006D020000}"/>
    <cellStyle name="標準 2 2 2 2 2 2" xfId="546" xr:uid="{00000000-0005-0000-0000-00006E020000}"/>
    <cellStyle name="標準 2 2 2 2 3" xfId="547" xr:uid="{00000000-0005-0000-0000-00006F020000}"/>
    <cellStyle name="標準 2 2 2 3" xfId="548" xr:uid="{00000000-0005-0000-0000-000070020000}"/>
    <cellStyle name="標準 2 2 2 3 2" xfId="549" xr:uid="{00000000-0005-0000-0000-000071020000}"/>
    <cellStyle name="標準 2 2 2 4" xfId="550" xr:uid="{00000000-0005-0000-0000-000072020000}"/>
    <cellStyle name="標準 2 2 2 4 2" xfId="551" xr:uid="{00000000-0005-0000-0000-000073020000}"/>
    <cellStyle name="標準 2 2 2 5" xfId="552" xr:uid="{00000000-0005-0000-0000-000074020000}"/>
    <cellStyle name="標準 2 2 3" xfId="553" xr:uid="{00000000-0005-0000-0000-000075020000}"/>
    <cellStyle name="標準 2 2 3 2" xfId="554" xr:uid="{00000000-0005-0000-0000-000076020000}"/>
    <cellStyle name="標準 2 2 3 2 2" xfId="555" xr:uid="{00000000-0005-0000-0000-000077020000}"/>
    <cellStyle name="標準 2 2 3 2 2 2" xfId="556" xr:uid="{00000000-0005-0000-0000-000078020000}"/>
    <cellStyle name="標準 2 2 3 2 3" xfId="557" xr:uid="{00000000-0005-0000-0000-000079020000}"/>
    <cellStyle name="標準 2 2 3 3" xfId="558" xr:uid="{00000000-0005-0000-0000-00007A020000}"/>
    <cellStyle name="標準 2 2 3 3 2" xfId="559" xr:uid="{00000000-0005-0000-0000-00007B020000}"/>
    <cellStyle name="標準 2 2 3 4" xfId="560" xr:uid="{00000000-0005-0000-0000-00007C020000}"/>
    <cellStyle name="標準 2 2 3 4 2" xfId="561" xr:uid="{00000000-0005-0000-0000-00007D020000}"/>
    <cellStyle name="標準 2 2 3 5" xfId="562" xr:uid="{00000000-0005-0000-0000-00007E020000}"/>
    <cellStyle name="標準 2 2 4" xfId="563" xr:uid="{00000000-0005-0000-0000-00007F020000}"/>
    <cellStyle name="標準 2 2 4 2" xfId="564" xr:uid="{00000000-0005-0000-0000-000080020000}"/>
    <cellStyle name="標準 2 2 4 2 2" xfId="565" xr:uid="{00000000-0005-0000-0000-000081020000}"/>
    <cellStyle name="標準 2 2 4 3" xfId="566" xr:uid="{00000000-0005-0000-0000-000082020000}"/>
    <cellStyle name="標準 2 2 4 3 2" xfId="567" xr:uid="{00000000-0005-0000-0000-000083020000}"/>
    <cellStyle name="標準 2 2 4 4" xfId="568" xr:uid="{00000000-0005-0000-0000-000084020000}"/>
    <cellStyle name="標準 2 2 4 4 2" xfId="569" xr:uid="{00000000-0005-0000-0000-000085020000}"/>
    <cellStyle name="標準 2 2 4 5" xfId="570" xr:uid="{00000000-0005-0000-0000-000086020000}"/>
    <cellStyle name="標準 2 2 5" xfId="571" xr:uid="{00000000-0005-0000-0000-000087020000}"/>
    <cellStyle name="標準 2 2 5 2" xfId="572" xr:uid="{00000000-0005-0000-0000-000088020000}"/>
    <cellStyle name="標準 2 2 5 2 2" xfId="573" xr:uid="{00000000-0005-0000-0000-000089020000}"/>
    <cellStyle name="標準 2 2 5 3" xfId="574" xr:uid="{00000000-0005-0000-0000-00008A020000}"/>
    <cellStyle name="標準 2 2 5 3 2" xfId="575" xr:uid="{00000000-0005-0000-0000-00008B020000}"/>
    <cellStyle name="標準 2 2 5 4" xfId="576" xr:uid="{00000000-0005-0000-0000-00008C020000}"/>
    <cellStyle name="標準 2 2 5 4 2" xfId="577" xr:uid="{00000000-0005-0000-0000-00008D020000}"/>
    <cellStyle name="標準 2 2 5 5" xfId="578" xr:uid="{00000000-0005-0000-0000-00008E020000}"/>
    <cellStyle name="標準 2 2 6" xfId="579" xr:uid="{00000000-0005-0000-0000-00008F020000}"/>
    <cellStyle name="標準 2 2 6 2" xfId="580" xr:uid="{00000000-0005-0000-0000-000090020000}"/>
    <cellStyle name="標準 2 2 6 2 2" xfId="581" xr:uid="{00000000-0005-0000-0000-000091020000}"/>
    <cellStyle name="標準 2 2 6 3" xfId="582" xr:uid="{00000000-0005-0000-0000-000092020000}"/>
    <cellStyle name="標準 2 2 6 3 2" xfId="583" xr:uid="{00000000-0005-0000-0000-000093020000}"/>
    <cellStyle name="標準 2 2 6 4" xfId="584" xr:uid="{00000000-0005-0000-0000-000094020000}"/>
    <cellStyle name="標準 2 2 6 4 2" xfId="585" xr:uid="{00000000-0005-0000-0000-000095020000}"/>
    <cellStyle name="標準 2 2 6 5" xfId="586" xr:uid="{00000000-0005-0000-0000-000096020000}"/>
    <cellStyle name="標準 2 2 7" xfId="587" xr:uid="{00000000-0005-0000-0000-000097020000}"/>
    <cellStyle name="標準 2 2 7 2" xfId="588" xr:uid="{00000000-0005-0000-0000-000098020000}"/>
    <cellStyle name="標準 2 2 7 2 2" xfId="589" xr:uid="{00000000-0005-0000-0000-000099020000}"/>
    <cellStyle name="標準 2 2 7 3" xfId="590" xr:uid="{00000000-0005-0000-0000-00009A020000}"/>
    <cellStyle name="標準 2 2 7 4" xfId="591" xr:uid="{00000000-0005-0000-0000-00009B020000}"/>
    <cellStyle name="標準 2 2 7 5" xfId="592" xr:uid="{00000000-0005-0000-0000-00009C020000}"/>
    <cellStyle name="標準 2 2 8" xfId="593" xr:uid="{00000000-0005-0000-0000-00009D020000}"/>
    <cellStyle name="標準 2 2 8 2" xfId="594" xr:uid="{00000000-0005-0000-0000-00009E020000}"/>
    <cellStyle name="標準 2 2 8 2 2" xfId="595" xr:uid="{00000000-0005-0000-0000-00009F020000}"/>
    <cellStyle name="標準 2 2 8 3" xfId="596" xr:uid="{00000000-0005-0000-0000-0000A0020000}"/>
    <cellStyle name="標準 2 2 9" xfId="597" xr:uid="{00000000-0005-0000-0000-0000A1020000}"/>
    <cellStyle name="標準 2 2 9 2" xfId="598" xr:uid="{00000000-0005-0000-0000-0000A2020000}"/>
    <cellStyle name="標準 2 2 9 2 2" xfId="599" xr:uid="{00000000-0005-0000-0000-0000A3020000}"/>
    <cellStyle name="標準 2 2 9 3" xfId="600" xr:uid="{00000000-0005-0000-0000-0000A4020000}"/>
    <cellStyle name="標準 2 20" xfId="601" xr:uid="{00000000-0005-0000-0000-0000A5020000}"/>
    <cellStyle name="標準 2 20 2" xfId="602" xr:uid="{00000000-0005-0000-0000-0000A6020000}"/>
    <cellStyle name="標準 2 21" xfId="603" xr:uid="{00000000-0005-0000-0000-0000A7020000}"/>
    <cellStyle name="標準 2 21 2" xfId="604" xr:uid="{00000000-0005-0000-0000-0000A8020000}"/>
    <cellStyle name="標準 2 22" xfId="605" xr:uid="{00000000-0005-0000-0000-0000A9020000}"/>
    <cellStyle name="標準 2 22 2" xfId="606" xr:uid="{00000000-0005-0000-0000-0000AA020000}"/>
    <cellStyle name="標準 2 23" xfId="607" xr:uid="{00000000-0005-0000-0000-0000AB020000}"/>
    <cellStyle name="標準 2 23 2" xfId="608" xr:uid="{00000000-0005-0000-0000-0000AC020000}"/>
    <cellStyle name="標準 2 24" xfId="609" xr:uid="{00000000-0005-0000-0000-0000AD020000}"/>
    <cellStyle name="標準 2 25" xfId="610" xr:uid="{00000000-0005-0000-0000-0000AE020000}"/>
    <cellStyle name="標準 2 26" xfId="611" xr:uid="{00000000-0005-0000-0000-0000AF020000}"/>
    <cellStyle name="標準 2 27" xfId="612" xr:uid="{00000000-0005-0000-0000-0000B0020000}"/>
    <cellStyle name="標準 2 28" xfId="613" xr:uid="{00000000-0005-0000-0000-0000B1020000}"/>
    <cellStyle name="標準 2 28 2" xfId="614" xr:uid="{00000000-0005-0000-0000-0000B2020000}"/>
    <cellStyle name="標準 2 29" xfId="615" xr:uid="{00000000-0005-0000-0000-0000B3020000}"/>
    <cellStyle name="標準 2 29 2" xfId="616" xr:uid="{00000000-0005-0000-0000-0000B4020000}"/>
    <cellStyle name="標準 2 3" xfId="617" xr:uid="{00000000-0005-0000-0000-0000B5020000}"/>
    <cellStyle name="標準 2 3 10" xfId="618" xr:uid="{00000000-0005-0000-0000-0000B6020000}"/>
    <cellStyle name="標準 2 3 10 2" xfId="619" xr:uid="{00000000-0005-0000-0000-0000B7020000}"/>
    <cellStyle name="標準 2 3 10 2 2" xfId="620" xr:uid="{00000000-0005-0000-0000-0000B8020000}"/>
    <cellStyle name="標準 2 3 10 3" xfId="621" xr:uid="{00000000-0005-0000-0000-0000B9020000}"/>
    <cellStyle name="標準 2 3 11" xfId="622" xr:uid="{00000000-0005-0000-0000-0000BA020000}"/>
    <cellStyle name="標準 2 3 11 2" xfId="623" xr:uid="{00000000-0005-0000-0000-0000BB020000}"/>
    <cellStyle name="標準 2 3 12" xfId="624" xr:uid="{00000000-0005-0000-0000-0000BC020000}"/>
    <cellStyle name="標準 2 3 2" xfId="625" xr:uid="{00000000-0005-0000-0000-0000BD020000}"/>
    <cellStyle name="標準 2 3 2 2" xfId="626" xr:uid="{00000000-0005-0000-0000-0000BE020000}"/>
    <cellStyle name="標準 2 3 2 2 2" xfId="627" xr:uid="{00000000-0005-0000-0000-0000BF020000}"/>
    <cellStyle name="標準 2 3 2 2 2 2" xfId="628" xr:uid="{00000000-0005-0000-0000-0000C0020000}"/>
    <cellStyle name="標準 2 3 2 2 3" xfId="629" xr:uid="{00000000-0005-0000-0000-0000C1020000}"/>
    <cellStyle name="標準 2 3 2 3" xfId="630" xr:uid="{00000000-0005-0000-0000-0000C2020000}"/>
    <cellStyle name="標準 2 3 2 3 2" xfId="631" xr:uid="{00000000-0005-0000-0000-0000C3020000}"/>
    <cellStyle name="標準 2 3 2 4" xfId="632" xr:uid="{00000000-0005-0000-0000-0000C4020000}"/>
    <cellStyle name="標準 2 3 2 4 2" xfId="633" xr:uid="{00000000-0005-0000-0000-0000C5020000}"/>
    <cellStyle name="標準 2 3 2 5" xfId="634" xr:uid="{00000000-0005-0000-0000-0000C6020000}"/>
    <cellStyle name="標準 2 3 3" xfId="635" xr:uid="{00000000-0005-0000-0000-0000C7020000}"/>
    <cellStyle name="標準 2 3 3 2" xfId="636" xr:uid="{00000000-0005-0000-0000-0000C8020000}"/>
    <cellStyle name="標準 2 3 3 2 2" xfId="637" xr:uid="{00000000-0005-0000-0000-0000C9020000}"/>
    <cellStyle name="標準 2 3 3 2 2 2" xfId="638" xr:uid="{00000000-0005-0000-0000-0000CA020000}"/>
    <cellStyle name="標準 2 3 3 2 3" xfId="639" xr:uid="{00000000-0005-0000-0000-0000CB020000}"/>
    <cellStyle name="標準 2 3 3 3" xfId="640" xr:uid="{00000000-0005-0000-0000-0000CC020000}"/>
    <cellStyle name="標準 2 3 3 3 2" xfId="641" xr:uid="{00000000-0005-0000-0000-0000CD020000}"/>
    <cellStyle name="標準 2 3 3 4" xfId="642" xr:uid="{00000000-0005-0000-0000-0000CE020000}"/>
    <cellStyle name="標準 2 3 3 4 2" xfId="643" xr:uid="{00000000-0005-0000-0000-0000CF020000}"/>
    <cellStyle name="標準 2 3 3 5" xfId="644" xr:uid="{00000000-0005-0000-0000-0000D0020000}"/>
    <cellStyle name="標準 2 3 4" xfId="645" xr:uid="{00000000-0005-0000-0000-0000D1020000}"/>
    <cellStyle name="標準 2 3 4 2" xfId="646" xr:uid="{00000000-0005-0000-0000-0000D2020000}"/>
    <cellStyle name="標準 2 3 4 2 2" xfId="647" xr:uid="{00000000-0005-0000-0000-0000D3020000}"/>
    <cellStyle name="標準 2 3 4 3" xfId="648" xr:uid="{00000000-0005-0000-0000-0000D4020000}"/>
    <cellStyle name="標準 2 3 4 3 2" xfId="649" xr:uid="{00000000-0005-0000-0000-0000D5020000}"/>
    <cellStyle name="標準 2 3 4 4" xfId="650" xr:uid="{00000000-0005-0000-0000-0000D6020000}"/>
    <cellStyle name="標準 2 3 4 4 2" xfId="651" xr:uid="{00000000-0005-0000-0000-0000D7020000}"/>
    <cellStyle name="標準 2 3 4 5" xfId="652" xr:uid="{00000000-0005-0000-0000-0000D8020000}"/>
    <cellStyle name="標準 2 3 5" xfId="653" xr:uid="{00000000-0005-0000-0000-0000D9020000}"/>
    <cellStyle name="標準 2 3 5 2" xfId="654" xr:uid="{00000000-0005-0000-0000-0000DA020000}"/>
    <cellStyle name="標準 2 3 5 2 2" xfId="655" xr:uid="{00000000-0005-0000-0000-0000DB020000}"/>
    <cellStyle name="標準 2 3 5 3" xfId="656" xr:uid="{00000000-0005-0000-0000-0000DC020000}"/>
    <cellStyle name="標準 2 3 5 3 2" xfId="657" xr:uid="{00000000-0005-0000-0000-0000DD020000}"/>
    <cellStyle name="標準 2 3 5 4" xfId="658" xr:uid="{00000000-0005-0000-0000-0000DE020000}"/>
    <cellStyle name="標準 2 3 5 4 2" xfId="659" xr:uid="{00000000-0005-0000-0000-0000DF020000}"/>
    <cellStyle name="標準 2 3 5 5" xfId="660" xr:uid="{00000000-0005-0000-0000-0000E0020000}"/>
    <cellStyle name="標準 2 3 6" xfId="661" xr:uid="{00000000-0005-0000-0000-0000E1020000}"/>
    <cellStyle name="標準 2 3 6 2" xfId="662" xr:uid="{00000000-0005-0000-0000-0000E2020000}"/>
    <cellStyle name="標準 2 3 6 2 2" xfId="663" xr:uid="{00000000-0005-0000-0000-0000E3020000}"/>
    <cellStyle name="標準 2 3 6 3" xfId="664" xr:uid="{00000000-0005-0000-0000-0000E4020000}"/>
    <cellStyle name="標準 2 3 6 3 2" xfId="665" xr:uid="{00000000-0005-0000-0000-0000E5020000}"/>
    <cellStyle name="標準 2 3 6 4" xfId="666" xr:uid="{00000000-0005-0000-0000-0000E6020000}"/>
    <cellStyle name="標準 2 3 6 4 2" xfId="667" xr:uid="{00000000-0005-0000-0000-0000E7020000}"/>
    <cellStyle name="標準 2 3 6 5" xfId="668" xr:uid="{00000000-0005-0000-0000-0000E8020000}"/>
    <cellStyle name="標準 2 3 7" xfId="669" xr:uid="{00000000-0005-0000-0000-0000E9020000}"/>
    <cellStyle name="標準 2 3 7 2" xfId="670" xr:uid="{00000000-0005-0000-0000-0000EA020000}"/>
    <cellStyle name="標準 2 3 7 2 2" xfId="671" xr:uid="{00000000-0005-0000-0000-0000EB020000}"/>
    <cellStyle name="標準 2 3 7 3" xfId="672" xr:uid="{00000000-0005-0000-0000-0000EC020000}"/>
    <cellStyle name="標準 2 3 8" xfId="673" xr:uid="{00000000-0005-0000-0000-0000ED020000}"/>
    <cellStyle name="標準 2 3 8 2" xfId="674" xr:uid="{00000000-0005-0000-0000-0000EE020000}"/>
    <cellStyle name="標準 2 3 8 2 2" xfId="675" xr:uid="{00000000-0005-0000-0000-0000EF020000}"/>
    <cellStyle name="標準 2 3 8 3" xfId="676" xr:uid="{00000000-0005-0000-0000-0000F0020000}"/>
    <cellStyle name="標準 2 3 9" xfId="677" xr:uid="{00000000-0005-0000-0000-0000F1020000}"/>
    <cellStyle name="標準 2 3 9 2" xfId="678" xr:uid="{00000000-0005-0000-0000-0000F2020000}"/>
    <cellStyle name="標準 2 3 9 2 2" xfId="679" xr:uid="{00000000-0005-0000-0000-0000F3020000}"/>
    <cellStyle name="標準 2 3 9 3" xfId="680" xr:uid="{00000000-0005-0000-0000-0000F4020000}"/>
    <cellStyle name="標準 2 3_変更来歴" xfId="2212" xr:uid="{00000000-0005-0000-0000-0000F5020000}"/>
    <cellStyle name="標準 2 30" xfId="681" xr:uid="{00000000-0005-0000-0000-0000F6020000}"/>
    <cellStyle name="標準 2 30 2" xfId="682" xr:uid="{00000000-0005-0000-0000-0000F7020000}"/>
    <cellStyle name="標準 2 31" xfId="683" xr:uid="{00000000-0005-0000-0000-0000F8020000}"/>
    <cellStyle name="標準 2 31 2" xfId="684" xr:uid="{00000000-0005-0000-0000-0000F9020000}"/>
    <cellStyle name="標準 2 32" xfId="685" xr:uid="{00000000-0005-0000-0000-0000FA020000}"/>
    <cellStyle name="標準 2 33" xfId="686" xr:uid="{00000000-0005-0000-0000-0000FB020000}"/>
    <cellStyle name="標準 2 33 2" xfId="687" xr:uid="{00000000-0005-0000-0000-0000FC020000}"/>
    <cellStyle name="標準 2 33 3" xfId="2138" xr:uid="{00000000-0005-0000-0000-0000FD020000}"/>
    <cellStyle name="標準 2 34" xfId="2139" xr:uid="{00000000-0005-0000-0000-0000FE020000}"/>
    <cellStyle name="標準 2 35" xfId="2132" xr:uid="{00000000-0005-0000-0000-0000FF020000}"/>
    <cellStyle name="標準 2 36" xfId="2204" xr:uid="{00000000-0005-0000-0000-000000030000}"/>
    <cellStyle name="標準 2 37" xfId="2133" xr:uid="{00000000-0005-0000-0000-000001030000}"/>
    <cellStyle name="標準 2 38" xfId="2203" xr:uid="{00000000-0005-0000-0000-000002030000}"/>
    <cellStyle name="標準 2 39" xfId="2134" xr:uid="{00000000-0005-0000-0000-000003030000}"/>
    <cellStyle name="標準 2 4" xfId="688" xr:uid="{00000000-0005-0000-0000-000004030000}"/>
    <cellStyle name="標準 2 4 10" xfId="689" xr:uid="{00000000-0005-0000-0000-000005030000}"/>
    <cellStyle name="標準 2 4 10 2" xfId="690" xr:uid="{00000000-0005-0000-0000-000006030000}"/>
    <cellStyle name="標準 2 4 10 2 2" xfId="691" xr:uid="{00000000-0005-0000-0000-000007030000}"/>
    <cellStyle name="標準 2 4 10 3" xfId="692" xr:uid="{00000000-0005-0000-0000-000008030000}"/>
    <cellStyle name="標準 2 4 11" xfId="693" xr:uid="{00000000-0005-0000-0000-000009030000}"/>
    <cellStyle name="標準 2 4 11 2" xfId="694" xr:uid="{00000000-0005-0000-0000-00000A030000}"/>
    <cellStyle name="標準 2 4 12" xfId="695" xr:uid="{00000000-0005-0000-0000-00000B030000}"/>
    <cellStyle name="標準 2 4 13" xfId="2140" xr:uid="{00000000-0005-0000-0000-00000C030000}"/>
    <cellStyle name="標準 2 4 2" xfId="696" xr:uid="{00000000-0005-0000-0000-00000D030000}"/>
    <cellStyle name="標準 2 4 2 2" xfId="697" xr:uid="{00000000-0005-0000-0000-00000E030000}"/>
    <cellStyle name="標準 2 4 2 2 2" xfId="698" xr:uid="{00000000-0005-0000-0000-00000F030000}"/>
    <cellStyle name="標準 2 4 2 2 2 2" xfId="699" xr:uid="{00000000-0005-0000-0000-000010030000}"/>
    <cellStyle name="標準 2 4 2 2 3" xfId="700" xr:uid="{00000000-0005-0000-0000-000011030000}"/>
    <cellStyle name="標準 2 4 2 3" xfId="701" xr:uid="{00000000-0005-0000-0000-000012030000}"/>
    <cellStyle name="標準 2 4 2 3 2" xfId="702" xr:uid="{00000000-0005-0000-0000-000013030000}"/>
    <cellStyle name="標準 2 4 2 4" xfId="703" xr:uid="{00000000-0005-0000-0000-000014030000}"/>
    <cellStyle name="標準 2 4 2 4 2" xfId="704" xr:uid="{00000000-0005-0000-0000-000015030000}"/>
    <cellStyle name="標準 2 4 2 5" xfId="705" xr:uid="{00000000-0005-0000-0000-000016030000}"/>
    <cellStyle name="標準 2 4 3" xfId="706" xr:uid="{00000000-0005-0000-0000-000017030000}"/>
    <cellStyle name="標準 2 4 3 2" xfId="707" xr:uid="{00000000-0005-0000-0000-000018030000}"/>
    <cellStyle name="標準 2 4 3 2 2" xfId="708" xr:uid="{00000000-0005-0000-0000-000019030000}"/>
    <cellStyle name="標準 2 4 3 2 2 2" xfId="709" xr:uid="{00000000-0005-0000-0000-00001A030000}"/>
    <cellStyle name="標準 2 4 3 2 3" xfId="710" xr:uid="{00000000-0005-0000-0000-00001B030000}"/>
    <cellStyle name="標準 2 4 3 3" xfId="711" xr:uid="{00000000-0005-0000-0000-00001C030000}"/>
    <cellStyle name="標準 2 4 3 3 2" xfId="712" xr:uid="{00000000-0005-0000-0000-00001D030000}"/>
    <cellStyle name="標準 2 4 3 4" xfId="713" xr:uid="{00000000-0005-0000-0000-00001E030000}"/>
    <cellStyle name="標準 2 4 3 4 2" xfId="714" xr:uid="{00000000-0005-0000-0000-00001F030000}"/>
    <cellStyle name="標準 2 4 3 5" xfId="715" xr:uid="{00000000-0005-0000-0000-000020030000}"/>
    <cellStyle name="標準 2 4 4" xfId="716" xr:uid="{00000000-0005-0000-0000-000021030000}"/>
    <cellStyle name="標準 2 4 4 2" xfId="717" xr:uid="{00000000-0005-0000-0000-000022030000}"/>
    <cellStyle name="標準 2 4 4 2 2" xfId="718" xr:uid="{00000000-0005-0000-0000-000023030000}"/>
    <cellStyle name="標準 2 4 4 3" xfId="719" xr:uid="{00000000-0005-0000-0000-000024030000}"/>
    <cellStyle name="標準 2 4 4 3 2" xfId="720" xr:uid="{00000000-0005-0000-0000-000025030000}"/>
    <cellStyle name="標準 2 4 4 4" xfId="721" xr:uid="{00000000-0005-0000-0000-000026030000}"/>
    <cellStyle name="標準 2 4 4 4 2" xfId="722" xr:uid="{00000000-0005-0000-0000-000027030000}"/>
    <cellStyle name="標準 2 4 4 5" xfId="723" xr:uid="{00000000-0005-0000-0000-000028030000}"/>
    <cellStyle name="標準 2 4 5" xfId="724" xr:uid="{00000000-0005-0000-0000-000029030000}"/>
    <cellStyle name="標準 2 4 5 2" xfId="725" xr:uid="{00000000-0005-0000-0000-00002A030000}"/>
    <cellStyle name="標準 2 4 5 2 2" xfId="726" xr:uid="{00000000-0005-0000-0000-00002B030000}"/>
    <cellStyle name="標準 2 4 5 3" xfId="727" xr:uid="{00000000-0005-0000-0000-00002C030000}"/>
    <cellStyle name="標準 2 4 5 3 2" xfId="728" xr:uid="{00000000-0005-0000-0000-00002D030000}"/>
    <cellStyle name="標準 2 4 5 4" xfId="729" xr:uid="{00000000-0005-0000-0000-00002E030000}"/>
    <cellStyle name="標準 2 4 5 4 2" xfId="730" xr:uid="{00000000-0005-0000-0000-00002F030000}"/>
    <cellStyle name="標準 2 4 5 5" xfId="731" xr:uid="{00000000-0005-0000-0000-000030030000}"/>
    <cellStyle name="標準 2 4 6" xfId="732" xr:uid="{00000000-0005-0000-0000-000031030000}"/>
    <cellStyle name="標準 2 4 6 2" xfId="733" xr:uid="{00000000-0005-0000-0000-000032030000}"/>
    <cellStyle name="標準 2 4 6 2 2" xfId="734" xr:uid="{00000000-0005-0000-0000-000033030000}"/>
    <cellStyle name="標準 2 4 6 3" xfId="735" xr:uid="{00000000-0005-0000-0000-000034030000}"/>
    <cellStyle name="標準 2 4 6 3 2" xfId="736" xr:uid="{00000000-0005-0000-0000-000035030000}"/>
    <cellStyle name="標準 2 4 6 4" xfId="737" xr:uid="{00000000-0005-0000-0000-000036030000}"/>
    <cellStyle name="標準 2 4 6 4 2" xfId="738" xr:uid="{00000000-0005-0000-0000-000037030000}"/>
    <cellStyle name="標準 2 4 6 5" xfId="739" xr:uid="{00000000-0005-0000-0000-000038030000}"/>
    <cellStyle name="標準 2 4 7" xfId="740" xr:uid="{00000000-0005-0000-0000-000039030000}"/>
    <cellStyle name="標準 2 4 7 2" xfId="741" xr:uid="{00000000-0005-0000-0000-00003A030000}"/>
    <cellStyle name="標準 2 4 7 2 2" xfId="742" xr:uid="{00000000-0005-0000-0000-00003B030000}"/>
    <cellStyle name="標準 2 4 7 3" xfId="743" xr:uid="{00000000-0005-0000-0000-00003C030000}"/>
    <cellStyle name="標準 2 4 8" xfId="744" xr:uid="{00000000-0005-0000-0000-00003D030000}"/>
    <cellStyle name="標準 2 4 8 2" xfId="745" xr:uid="{00000000-0005-0000-0000-00003E030000}"/>
    <cellStyle name="標準 2 4 8 2 2" xfId="746" xr:uid="{00000000-0005-0000-0000-00003F030000}"/>
    <cellStyle name="標準 2 4 8 3" xfId="747" xr:uid="{00000000-0005-0000-0000-000040030000}"/>
    <cellStyle name="標準 2 4 9" xfId="748" xr:uid="{00000000-0005-0000-0000-000041030000}"/>
    <cellStyle name="標準 2 4 9 2" xfId="749" xr:uid="{00000000-0005-0000-0000-000042030000}"/>
    <cellStyle name="標準 2 4 9 2 2" xfId="750" xr:uid="{00000000-0005-0000-0000-000043030000}"/>
    <cellStyle name="標準 2 4 9 3" xfId="751" xr:uid="{00000000-0005-0000-0000-000044030000}"/>
    <cellStyle name="標準 2 4_処理詳細" xfId="2141" xr:uid="{00000000-0005-0000-0000-000045030000}"/>
    <cellStyle name="標準 2 40" xfId="2202" xr:uid="{00000000-0005-0000-0000-000046030000}"/>
    <cellStyle name="標準 2 41" xfId="2135" xr:uid="{00000000-0005-0000-0000-000047030000}"/>
    <cellStyle name="標準 2 42" xfId="2200" xr:uid="{00000000-0005-0000-0000-000048030000}"/>
    <cellStyle name="標準 2 43" xfId="2136" xr:uid="{00000000-0005-0000-0000-000049030000}"/>
    <cellStyle name="標準 2 44" xfId="2201" xr:uid="{00000000-0005-0000-0000-00004A030000}"/>
    <cellStyle name="標準 2 45" xfId="2137" xr:uid="{00000000-0005-0000-0000-00004B030000}"/>
    <cellStyle name="標準 2 46" xfId="2199" xr:uid="{00000000-0005-0000-0000-00004C030000}"/>
    <cellStyle name="標準 2 47" xfId="2196" xr:uid="{00000000-0005-0000-0000-00004D030000}"/>
    <cellStyle name="標準 2 48" xfId="2240" xr:uid="{00000000-0005-0000-0000-00004E030000}"/>
    <cellStyle name="標準 2 49" xfId="2253" xr:uid="{00000000-0005-0000-0000-00004F030000}"/>
    <cellStyle name="標準 2 5" xfId="752" xr:uid="{00000000-0005-0000-0000-000050030000}"/>
    <cellStyle name="標準 2 5 10" xfId="753" xr:uid="{00000000-0005-0000-0000-000051030000}"/>
    <cellStyle name="標準 2 5 10 2" xfId="754" xr:uid="{00000000-0005-0000-0000-000052030000}"/>
    <cellStyle name="標準 2 5 10 2 2" xfId="755" xr:uid="{00000000-0005-0000-0000-000053030000}"/>
    <cellStyle name="標準 2 5 10 3" xfId="756" xr:uid="{00000000-0005-0000-0000-000054030000}"/>
    <cellStyle name="標準 2 5 11" xfId="757" xr:uid="{00000000-0005-0000-0000-000055030000}"/>
    <cellStyle name="標準 2 5 11 2" xfId="758" xr:uid="{00000000-0005-0000-0000-000056030000}"/>
    <cellStyle name="標準 2 5 12" xfId="759" xr:uid="{00000000-0005-0000-0000-000057030000}"/>
    <cellStyle name="標準 2 5 2" xfId="760" xr:uid="{00000000-0005-0000-0000-000058030000}"/>
    <cellStyle name="標準 2 5 2 2" xfId="761" xr:uid="{00000000-0005-0000-0000-000059030000}"/>
    <cellStyle name="標準 2 5 2 2 2" xfId="762" xr:uid="{00000000-0005-0000-0000-00005A030000}"/>
    <cellStyle name="標準 2 5 2 2 2 2" xfId="763" xr:uid="{00000000-0005-0000-0000-00005B030000}"/>
    <cellStyle name="標準 2 5 2 2 3" xfId="764" xr:uid="{00000000-0005-0000-0000-00005C030000}"/>
    <cellStyle name="標準 2 5 2 3" xfId="765" xr:uid="{00000000-0005-0000-0000-00005D030000}"/>
    <cellStyle name="標準 2 5 2 3 2" xfId="766" xr:uid="{00000000-0005-0000-0000-00005E030000}"/>
    <cellStyle name="標準 2 5 2 4" xfId="767" xr:uid="{00000000-0005-0000-0000-00005F030000}"/>
    <cellStyle name="標準 2 5 2 4 2" xfId="768" xr:uid="{00000000-0005-0000-0000-000060030000}"/>
    <cellStyle name="標準 2 5 2 5" xfId="769" xr:uid="{00000000-0005-0000-0000-000061030000}"/>
    <cellStyle name="標準 2 5 3" xfId="770" xr:uid="{00000000-0005-0000-0000-000062030000}"/>
    <cellStyle name="標準 2 5 3 2" xfId="771" xr:uid="{00000000-0005-0000-0000-000063030000}"/>
    <cellStyle name="標準 2 5 3 2 2" xfId="772" xr:uid="{00000000-0005-0000-0000-000064030000}"/>
    <cellStyle name="標準 2 5 3 2 2 2" xfId="773" xr:uid="{00000000-0005-0000-0000-000065030000}"/>
    <cellStyle name="標準 2 5 3 2 3" xfId="774" xr:uid="{00000000-0005-0000-0000-000066030000}"/>
    <cellStyle name="標準 2 5 3 3" xfId="775" xr:uid="{00000000-0005-0000-0000-000067030000}"/>
    <cellStyle name="標準 2 5 3 3 2" xfId="776" xr:uid="{00000000-0005-0000-0000-000068030000}"/>
    <cellStyle name="標準 2 5 3 4" xfId="777" xr:uid="{00000000-0005-0000-0000-000069030000}"/>
    <cellStyle name="標準 2 5 3 4 2" xfId="778" xr:uid="{00000000-0005-0000-0000-00006A030000}"/>
    <cellStyle name="標準 2 5 3 5" xfId="779" xr:uid="{00000000-0005-0000-0000-00006B030000}"/>
    <cellStyle name="標準 2 5 4" xfId="780" xr:uid="{00000000-0005-0000-0000-00006C030000}"/>
    <cellStyle name="標準 2 5 4 2" xfId="781" xr:uid="{00000000-0005-0000-0000-00006D030000}"/>
    <cellStyle name="標準 2 5 4 2 2" xfId="782" xr:uid="{00000000-0005-0000-0000-00006E030000}"/>
    <cellStyle name="標準 2 5 4 3" xfId="783" xr:uid="{00000000-0005-0000-0000-00006F030000}"/>
    <cellStyle name="標準 2 5 4 3 2" xfId="784" xr:uid="{00000000-0005-0000-0000-000070030000}"/>
    <cellStyle name="標準 2 5 4 4" xfId="785" xr:uid="{00000000-0005-0000-0000-000071030000}"/>
    <cellStyle name="標準 2 5 4 4 2" xfId="786" xr:uid="{00000000-0005-0000-0000-000072030000}"/>
    <cellStyle name="標準 2 5 4 5" xfId="787" xr:uid="{00000000-0005-0000-0000-000073030000}"/>
    <cellStyle name="標準 2 5 5" xfId="788" xr:uid="{00000000-0005-0000-0000-000074030000}"/>
    <cellStyle name="標準 2 5 5 2" xfId="789" xr:uid="{00000000-0005-0000-0000-000075030000}"/>
    <cellStyle name="標準 2 5 5 2 2" xfId="790" xr:uid="{00000000-0005-0000-0000-000076030000}"/>
    <cellStyle name="標準 2 5 5 3" xfId="791" xr:uid="{00000000-0005-0000-0000-000077030000}"/>
    <cellStyle name="標準 2 5 5 3 2" xfId="792" xr:uid="{00000000-0005-0000-0000-000078030000}"/>
    <cellStyle name="標準 2 5 5 4" xfId="793" xr:uid="{00000000-0005-0000-0000-000079030000}"/>
    <cellStyle name="標準 2 5 5 4 2" xfId="794" xr:uid="{00000000-0005-0000-0000-00007A030000}"/>
    <cellStyle name="標準 2 5 5 5" xfId="795" xr:uid="{00000000-0005-0000-0000-00007B030000}"/>
    <cellStyle name="標準 2 5 6" xfId="796" xr:uid="{00000000-0005-0000-0000-00007C030000}"/>
    <cellStyle name="標準 2 5 6 2" xfId="797" xr:uid="{00000000-0005-0000-0000-00007D030000}"/>
    <cellStyle name="標準 2 5 6 2 2" xfId="798" xr:uid="{00000000-0005-0000-0000-00007E030000}"/>
    <cellStyle name="標準 2 5 6 3" xfId="799" xr:uid="{00000000-0005-0000-0000-00007F030000}"/>
    <cellStyle name="標準 2 5 6 3 2" xfId="800" xr:uid="{00000000-0005-0000-0000-000080030000}"/>
    <cellStyle name="標準 2 5 6 4" xfId="801" xr:uid="{00000000-0005-0000-0000-000081030000}"/>
    <cellStyle name="標準 2 5 6 4 2" xfId="802" xr:uid="{00000000-0005-0000-0000-000082030000}"/>
    <cellStyle name="標準 2 5 6 5" xfId="803" xr:uid="{00000000-0005-0000-0000-000083030000}"/>
    <cellStyle name="標準 2 5 7" xfId="804" xr:uid="{00000000-0005-0000-0000-000084030000}"/>
    <cellStyle name="標準 2 5 7 2" xfId="805" xr:uid="{00000000-0005-0000-0000-000085030000}"/>
    <cellStyle name="標準 2 5 7 2 2" xfId="806" xr:uid="{00000000-0005-0000-0000-000086030000}"/>
    <cellStyle name="標準 2 5 7 3" xfId="807" xr:uid="{00000000-0005-0000-0000-000087030000}"/>
    <cellStyle name="標準 2 5 8" xfId="808" xr:uid="{00000000-0005-0000-0000-000088030000}"/>
    <cellStyle name="標準 2 5 8 2" xfId="809" xr:uid="{00000000-0005-0000-0000-000089030000}"/>
    <cellStyle name="標準 2 5 8 2 2" xfId="810" xr:uid="{00000000-0005-0000-0000-00008A030000}"/>
    <cellStyle name="標準 2 5 8 3" xfId="811" xr:uid="{00000000-0005-0000-0000-00008B030000}"/>
    <cellStyle name="標準 2 5 9" xfId="812" xr:uid="{00000000-0005-0000-0000-00008C030000}"/>
    <cellStyle name="標準 2 5 9 2" xfId="813" xr:uid="{00000000-0005-0000-0000-00008D030000}"/>
    <cellStyle name="標準 2 5 9 2 2" xfId="814" xr:uid="{00000000-0005-0000-0000-00008E030000}"/>
    <cellStyle name="標準 2 5 9 3" xfId="815" xr:uid="{00000000-0005-0000-0000-00008F030000}"/>
    <cellStyle name="標準 2 50" xfId="2246" xr:uid="{00000000-0005-0000-0000-000090030000}"/>
    <cellStyle name="標準 2 51" xfId="2252" xr:uid="{00000000-0005-0000-0000-000091030000}"/>
    <cellStyle name="標準 2 52" xfId="2245" xr:uid="{00000000-0005-0000-0000-000092030000}"/>
    <cellStyle name="標準 2 53" xfId="2254" xr:uid="{00000000-0005-0000-0000-000093030000}"/>
    <cellStyle name="標準 2 54" xfId="2247" xr:uid="{00000000-0005-0000-0000-000094030000}"/>
    <cellStyle name="標準 2 55" xfId="2259" xr:uid="{00000000-0005-0000-0000-000095030000}"/>
    <cellStyle name="標準 2 56" xfId="2248" xr:uid="{00000000-0005-0000-0000-000096030000}"/>
    <cellStyle name="標準 2 57" xfId="2260" xr:uid="{00000000-0005-0000-0000-000097030000}"/>
    <cellStyle name="標準 2 6" xfId="816" xr:uid="{00000000-0005-0000-0000-000098030000}"/>
    <cellStyle name="標準 2 6 10" xfId="817" xr:uid="{00000000-0005-0000-0000-000099030000}"/>
    <cellStyle name="標準 2 6 2" xfId="818" xr:uid="{00000000-0005-0000-0000-00009A030000}"/>
    <cellStyle name="標準 2 6 2 2" xfId="819" xr:uid="{00000000-0005-0000-0000-00009B030000}"/>
    <cellStyle name="標準 2 6 2 2 2" xfId="820" xr:uid="{00000000-0005-0000-0000-00009C030000}"/>
    <cellStyle name="標準 2 6 2 3" xfId="821" xr:uid="{00000000-0005-0000-0000-00009D030000}"/>
    <cellStyle name="標準 2 6 2 3 2" xfId="822" xr:uid="{00000000-0005-0000-0000-00009E030000}"/>
    <cellStyle name="標準 2 6 2 4" xfId="823" xr:uid="{00000000-0005-0000-0000-00009F030000}"/>
    <cellStyle name="標準 2 6 2 4 2" xfId="824" xr:uid="{00000000-0005-0000-0000-0000A0030000}"/>
    <cellStyle name="標準 2 6 2 5" xfId="825" xr:uid="{00000000-0005-0000-0000-0000A1030000}"/>
    <cellStyle name="標準 2 6 3" xfId="826" xr:uid="{00000000-0005-0000-0000-0000A2030000}"/>
    <cellStyle name="標準 2 6 3 2" xfId="827" xr:uid="{00000000-0005-0000-0000-0000A3030000}"/>
    <cellStyle name="標準 2 6 3 2 2" xfId="828" xr:uid="{00000000-0005-0000-0000-0000A4030000}"/>
    <cellStyle name="標準 2 6 3 3" xfId="829" xr:uid="{00000000-0005-0000-0000-0000A5030000}"/>
    <cellStyle name="標準 2 6 3 3 2" xfId="830" xr:uid="{00000000-0005-0000-0000-0000A6030000}"/>
    <cellStyle name="標準 2 6 3 4" xfId="831" xr:uid="{00000000-0005-0000-0000-0000A7030000}"/>
    <cellStyle name="標準 2 6 3 4 2" xfId="832" xr:uid="{00000000-0005-0000-0000-0000A8030000}"/>
    <cellStyle name="標準 2 6 3 5" xfId="833" xr:uid="{00000000-0005-0000-0000-0000A9030000}"/>
    <cellStyle name="標準 2 6 4" xfId="834" xr:uid="{00000000-0005-0000-0000-0000AA030000}"/>
    <cellStyle name="標準 2 6 4 2" xfId="835" xr:uid="{00000000-0005-0000-0000-0000AB030000}"/>
    <cellStyle name="標準 2 6 4 2 2" xfId="836" xr:uid="{00000000-0005-0000-0000-0000AC030000}"/>
    <cellStyle name="標準 2 6 4 3" xfId="837" xr:uid="{00000000-0005-0000-0000-0000AD030000}"/>
    <cellStyle name="標準 2 6 4 3 2" xfId="838" xr:uid="{00000000-0005-0000-0000-0000AE030000}"/>
    <cellStyle name="標準 2 6 4 4" xfId="839" xr:uid="{00000000-0005-0000-0000-0000AF030000}"/>
    <cellStyle name="標準 2 6 4 4 2" xfId="840" xr:uid="{00000000-0005-0000-0000-0000B0030000}"/>
    <cellStyle name="標準 2 6 4 5" xfId="841" xr:uid="{00000000-0005-0000-0000-0000B1030000}"/>
    <cellStyle name="標準 2 6 5" xfId="842" xr:uid="{00000000-0005-0000-0000-0000B2030000}"/>
    <cellStyle name="標準 2 6 5 2" xfId="843" xr:uid="{00000000-0005-0000-0000-0000B3030000}"/>
    <cellStyle name="標準 2 6 5 2 2" xfId="844" xr:uid="{00000000-0005-0000-0000-0000B4030000}"/>
    <cellStyle name="標準 2 6 5 3" xfId="845" xr:uid="{00000000-0005-0000-0000-0000B5030000}"/>
    <cellStyle name="標準 2 6 6" xfId="846" xr:uid="{00000000-0005-0000-0000-0000B6030000}"/>
    <cellStyle name="標準 2 6 6 2" xfId="847" xr:uid="{00000000-0005-0000-0000-0000B7030000}"/>
    <cellStyle name="標準 2 6 6 2 2" xfId="848" xr:uid="{00000000-0005-0000-0000-0000B8030000}"/>
    <cellStyle name="標準 2 6 6 3" xfId="849" xr:uid="{00000000-0005-0000-0000-0000B9030000}"/>
    <cellStyle name="標準 2 6 7" xfId="850" xr:uid="{00000000-0005-0000-0000-0000BA030000}"/>
    <cellStyle name="標準 2 6 7 2" xfId="851" xr:uid="{00000000-0005-0000-0000-0000BB030000}"/>
    <cellStyle name="標準 2 6 7 2 2" xfId="852" xr:uid="{00000000-0005-0000-0000-0000BC030000}"/>
    <cellStyle name="標準 2 6 7 3" xfId="853" xr:uid="{00000000-0005-0000-0000-0000BD030000}"/>
    <cellStyle name="標準 2 6 8" xfId="854" xr:uid="{00000000-0005-0000-0000-0000BE030000}"/>
    <cellStyle name="標準 2 6 8 2" xfId="855" xr:uid="{00000000-0005-0000-0000-0000BF030000}"/>
    <cellStyle name="標準 2 6 8 2 2" xfId="856" xr:uid="{00000000-0005-0000-0000-0000C0030000}"/>
    <cellStyle name="標準 2 6 8 3" xfId="857" xr:uid="{00000000-0005-0000-0000-0000C1030000}"/>
    <cellStyle name="標準 2 6 9" xfId="858" xr:uid="{00000000-0005-0000-0000-0000C2030000}"/>
    <cellStyle name="標準 2 6 9 2" xfId="859" xr:uid="{00000000-0005-0000-0000-0000C3030000}"/>
    <cellStyle name="標準 2 7" xfId="860" xr:uid="{00000000-0005-0000-0000-0000C4030000}"/>
    <cellStyle name="標準 2 7 10" xfId="861" xr:uid="{00000000-0005-0000-0000-0000C5030000}"/>
    <cellStyle name="標準 2 7 2" xfId="862" xr:uid="{00000000-0005-0000-0000-0000C6030000}"/>
    <cellStyle name="標準 2 7 2 2" xfId="863" xr:uid="{00000000-0005-0000-0000-0000C7030000}"/>
    <cellStyle name="標準 2 7 2 2 2" xfId="864" xr:uid="{00000000-0005-0000-0000-0000C8030000}"/>
    <cellStyle name="標準 2 7 2 3" xfId="865" xr:uid="{00000000-0005-0000-0000-0000C9030000}"/>
    <cellStyle name="標準 2 7 2 3 2" xfId="866" xr:uid="{00000000-0005-0000-0000-0000CA030000}"/>
    <cellStyle name="標準 2 7 2 4" xfId="867" xr:uid="{00000000-0005-0000-0000-0000CB030000}"/>
    <cellStyle name="標準 2 7 2 4 2" xfId="868" xr:uid="{00000000-0005-0000-0000-0000CC030000}"/>
    <cellStyle name="標準 2 7 2 5" xfId="869" xr:uid="{00000000-0005-0000-0000-0000CD030000}"/>
    <cellStyle name="標準 2 7 3" xfId="870" xr:uid="{00000000-0005-0000-0000-0000CE030000}"/>
    <cellStyle name="標準 2 7 3 2" xfId="871" xr:uid="{00000000-0005-0000-0000-0000CF030000}"/>
    <cellStyle name="標準 2 7 3 2 2" xfId="872" xr:uid="{00000000-0005-0000-0000-0000D0030000}"/>
    <cellStyle name="標準 2 7 3 3" xfId="873" xr:uid="{00000000-0005-0000-0000-0000D1030000}"/>
    <cellStyle name="標準 2 7 3 3 2" xfId="874" xr:uid="{00000000-0005-0000-0000-0000D2030000}"/>
    <cellStyle name="標準 2 7 3 4" xfId="875" xr:uid="{00000000-0005-0000-0000-0000D3030000}"/>
    <cellStyle name="標準 2 7 3 4 2" xfId="876" xr:uid="{00000000-0005-0000-0000-0000D4030000}"/>
    <cellStyle name="標準 2 7 3 5" xfId="877" xr:uid="{00000000-0005-0000-0000-0000D5030000}"/>
    <cellStyle name="標準 2 7 4" xfId="878" xr:uid="{00000000-0005-0000-0000-0000D6030000}"/>
    <cellStyle name="標準 2 7 4 2" xfId="879" xr:uid="{00000000-0005-0000-0000-0000D7030000}"/>
    <cellStyle name="標準 2 7 4 2 2" xfId="880" xr:uid="{00000000-0005-0000-0000-0000D8030000}"/>
    <cellStyle name="標準 2 7 4 3" xfId="881" xr:uid="{00000000-0005-0000-0000-0000D9030000}"/>
    <cellStyle name="標準 2 7 4 3 2" xfId="882" xr:uid="{00000000-0005-0000-0000-0000DA030000}"/>
    <cellStyle name="標準 2 7 4 4" xfId="883" xr:uid="{00000000-0005-0000-0000-0000DB030000}"/>
    <cellStyle name="標準 2 7 4 4 2" xfId="884" xr:uid="{00000000-0005-0000-0000-0000DC030000}"/>
    <cellStyle name="標準 2 7 4 5" xfId="885" xr:uid="{00000000-0005-0000-0000-0000DD030000}"/>
    <cellStyle name="標準 2 7 5" xfId="886" xr:uid="{00000000-0005-0000-0000-0000DE030000}"/>
    <cellStyle name="標準 2 7 5 2" xfId="887" xr:uid="{00000000-0005-0000-0000-0000DF030000}"/>
    <cellStyle name="標準 2 7 5 2 2" xfId="888" xr:uid="{00000000-0005-0000-0000-0000E0030000}"/>
    <cellStyle name="標準 2 7 5 3" xfId="889" xr:uid="{00000000-0005-0000-0000-0000E1030000}"/>
    <cellStyle name="標準 2 7 6" xfId="890" xr:uid="{00000000-0005-0000-0000-0000E2030000}"/>
    <cellStyle name="標準 2 7 6 2" xfId="891" xr:uid="{00000000-0005-0000-0000-0000E3030000}"/>
    <cellStyle name="標準 2 7 6 2 2" xfId="892" xr:uid="{00000000-0005-0000-0000-0000E4030000}"/>
    <cellStyle name="標準 2 7 6 3" xfId="893" xr:uid="{00000000-0005-0000-0000-0000E5030000}"/>
    <cellStyle name="標準 2 7 7" xfId="894" xr:uid="{00000000-0005-0000-0000-0000E6030000}"/>
    <cellStyle name="標準 2 7 7 2" xfId="895" xr:uid="{00000000-0005-0000-0000-0000E7030000}"/>
    <cellStyle name="標準 2 7 7 2 2" xfId="896" xr:uid="{00000000-0005-0000-0000-0000E8030000}"/>
    <cellStyle name="標準 2 7 7 3" xfId="897" xr:uid="{00000000-0005-0000-0000-0000E9030000}"/>
    <cellStyle name="標準 2 7 8" xfId="898" xr:uid="{00000000-0005-0000-0000-0000EA030000}"/>
    <cellStyle name="標準 2 7 8 2" xfId="899" xr:uid="{00000000-0005-0000-0000-0000EB030000}"/>
    <cellStyle name="標準 2 7 8 2 2" xfId="900" xr:uid="{00000000-0005-0000-0000-0000EC030000}"/>
    <cellStyle name="標準 2 7 8 3" xfId="901" xr:uid="{00000000-0005-0000-0000-0000ED030000}"/>
    <cellStyle name="標準 2 7 9" xfId="902" xr:uid="{00000000-0005-0000-0000-0000EE030000}"/>
    <cellStyle name="標準 2 7 9 2" xfId="903" xr:uid="{00000000-0005-0000-0000-0000EF030000}"/>
    <cellStyle name="標準 2 8" xfId="904" xr:uid="{00000000-0005-0000-0000-0000F0030000}"/>
    <cellStyle name="標準 2 8 2" xfId="905" xr:uid="{00000000-0005-0000-0000-0000F1030000}"/>
    <cellStyle name="標準 2 8 2 2" xfId="906" xr:uid="{00000000-0005-0000-0000-0000F2030000}"/>
    <cellStyle name="標準 2 8 2 2 2" xfId="907" xr:uid="{00000000-0005-0000-0000-0000F3030000}"/>
    <cellStyle name="標準 2 8 2 3" xfId="908" xr:uid="{00000000-0005-0000-0000-0000F4030000}"/>
    <cellStyle name="標準 2 8 3" xfId="909" xr:uid="{00000000-0005-0000-0000-0000F5030000}"/>
    <cellStyle name="標準 2 8 3 2" xfId="910" xr:uid="{00000000-0005-0000-0000-0000F6030000}"/>
    <cellStyle name="標準 2 8 3 2 2" xfId="911" xr:uid="{00000000-0005-0000-0000-0000F7030000}"/>
    <cellStyle name="標準 2 8 3 3" xfId="912" xr:uid="{00000000-0005-0000-0000-0000F8030000}"/>
    <cellStyle name="標準 2 8 4" xfId="913" xr:uid="{00000000-0005-0000-0000-0000F9030000}"/>
    <cellStyle name="標準 2 8 4 2" xfId="914" xr:uid="{00000000-0005-0000-0000-0000FA030000}"/>
    <cellStyle name="標準 2 8 4 2 2" xfId="915" xr:uid="{00000000-0005-0000-0000-0000FB030000}"/>
    <cellStyle name="標準 2 8 4 3" xfId="916" xr:uid="{00000000-0005-0000-0000-0000FC030000}"/>
    <cellStyle name="標準 2 8 5" xfId="917" xr:uid="{00000000-0005-0000-0000-0000FD030000}"/>
    <cellStyle name="標準 2 8 5 2" xfId="918" xr:uid="{00000000-0005-0000-0000-0000FE030000}"/>
    <cellStyle name="標準 2 8 6" xfId="919" xr:uid="{00000000-0005-0000-0000-0000FF030000}"/>
    <cellStyle name="標準 2 8 6 2" xfId="920" xr:uid="{00000000-0005-0000-0000-000000040000}"/>
    <cellStyle name="標準 2 8 7" xfId="921" xr:uid="{00000000-0005-0000-0000-000001040000}"/>
    <cellStyle name="標準 2 8 7 2" xfId="922" xr:uid="{00000000-0005-0000-0000-000002040000}"/>
    <cellStyle name="標準 2 8 8" xfId="923" xr:uid="{00000000-0005-0000-0000-000003040000}"/>
    <cellStyle name="標準 2 8 8 2" xfId="924" xr:uid="{00000000-0005-0000-0000-000004040000}"/>
    <cellStyle name="標準 2 8 9" xfId="925" xr:uid="{00000000-0005-0000-0000-000005040000}"/>
    <cellStyle name="標準 2 9" xfId="926" xr:uid="{00000000-0005-0000-0000-000006040000}"/>
    <cellStyle name="標準 2 9 2" xfId="927" xr:uid="{00000000-0005-0000-0000-000007040000}"/>
    <cellStyle name="標準 2 9 2 2" xfId="928" xr:uid="{00000000-0005-0000-0000-000008040000}"/>
    <cellStyle name="標準 2 9 2 2 2" xfId="929" xr:uid="{00000000-0005-0000-0000-000009040000}"/>
    <cellStyle name="標準 2 9 2 3" xfId="930" xr:uid="{00000000-0005-0000-0000-00000A040000}"/>
    <cellStyle name="標準 2 9 3" xfId="931" xr:uid="{00000000-0005-0000-0000-00000B040000}"/>
    <cellStyle name="標準 2 9 3 2" xfId="932" xr:uid="{00000000-0005-0000-0000-00000C040000}"/>
    <cellStyle name="標準 2 9 3 2 2" xfId="933" xr:uid="{00000000-0005-0000-0000-00000D040000}"/>
    <cellStyle name="標準 2 9 3 3" xfId="934" xr:uid="{00000000-0005-0000-0000-00000E040000}"/>
    <cellStyle name="標準 2 9 4" xfId="935" xr:uid="{00000000-0005-0000-0000-00000F040000}"/>
    <cellStyle name="標準 2 9 4 2" xfId="936" xr:uid="{00000000-0005-0000-0000-000010040000}"/>
    <cellStyle name="標準 2 9 4 2 2" xfId="937" xr:uid="{00000000-0005-0000-0000-000011040000}"/>
    <cellStyle name="標準 2 9 4 3" xfId="938" xr:uid="{00000000-0005-0000-0000-000012040000}"/>
    <cellStyle name="標準 2 9 5" xfId="939" xr:uid="{00000000-0005-0000-0000-000013040000}"/>
    <cellStyle name="標準 2 9 5 2" xfId="940" xr:uid="{00000000-0005-0000-0000-000014040000}"/>
    <cellStyle name="標準 2 9 6" xfId="941" xr:uid="{00000000-0005-0000-0000-000015040000}"/>
    <cellStyle name="標準 2 9 6 2" xfId="942" xr:uid="{00000000-0005-0000-0000-000016040000}"/>
    <cellStyle name="標準 2 9 7" xfId="943" xr:uid="{00000000-0005-0000-0000-000017040000}"/>
    <cellStyle name="標準 2 9 7 2" xfId="944" xr:uid="{00000000-0005-0000-0000-000018040000}"/>
    <cellStyle name="標準 2 9 8" xfId="945" xr:uid="{00000000-0005-0000-0000-000019040000}"/>
    <cellStyle name="標準 2_【見積検討会】ハイブリッド生産_見積根拠20091027" xfId="946" xr:uid="{00000000-0005-0000-0000-00001A040000}"/>
    <cellStyle name="標準 20" xfId="947" xr:uid="{00000000-0005-0000-0000-00001B040000}"/>
    <cellStyle name="標準 20 2" xfId="948" xr:uid="{00000000-0005-0000-0000-00001C040000}"/>
    <cellStyle name="標準 20 2 2" xfId="949" xr:uid="{00000000-0005-0000-0000-00001D040000}"/>
    <cellStyle name="標準 20 3" xfId="950" xr:uid="{00000000-0005-0000-0000-00001E040000}"/>
    <cellStyle name="標準 20 4" xfId="2143" xr:uid="{00000000-0005-0000-0000-00001F040000}"/>
    <cellStyle name="標準 20_処理詳細" xfId="2144" xr:uid="{00000000-0005-0000-0000-000020040000}"/>
    <cellStyle name="標準 21" xfId="951" xr:uid="{00000000-0005-0000-0000-000021040000}"/>
    <cellStyle name="標準 21 2" xfId="952" xr:uid="{00000000-0005-0000-0000-000022040000}"/>
    <cellStyle name="標準 21 3" xfId="2145" xr:uid="{00000000-0005-0000-0000-000023040000}"/>
    <cellStyle name="標準 21_処理詳細" xfId="2146" xr:uid="{00000000-0005-0000-0000-000024040000}"/>
    <cellStyle name="標準 22" xfId="953" xr:uid="{00000000-0005-0000-0000-000025040000}"/>
    <cellStyle name="標準 22 2" xfId="954" xr:uid="{00000000-0005-0000-0000-000026040000}"/>
    <cellStyle name="標準 22 3" xfId="2147" xr:uid="{00000000-0005-0000-0000-000027040000}"/>
    <cellStyle name="標準 22_処理詳細" xfId="2148" xr:uid="{00000000-0005-0000-0000-000028040000}"/>
    <cellStyle name="標準 23" xfId="955" xr:uid="{00000000-0005-0000-0000-000029040000}"/>
    <cellStyle name="標準 23 2" xfId="956" xr:uid="{00000000-0005-0000-0000-00002A040000}"/>
    <cellStyle name="標準 23 3" xfId="2149" xr:uid="{00000000-0005-0000-0000-00002B040000}"/>
    <cellStyle name="標準 23_処理詳細" xfId="2150" xr:uid="{00000000-0005-0000-0000-00002C040000}"/>
    <cellStyle name="標準 24" xfId="957" xr:uid="{00000000-0005-0000-0000-00002D040000}"/>
    <cellStyle name="標準 24 2" xfId="958" xr:uid="{00000000-0005-0000-0000-00002E040000}"/>
    <cellStyle name="標準 24 3" xfId="2151" xr:uid="{00000000-0005-0000-0000-00002F040000}"/>
    <cellStyle name="標準 24_処理詳細" xfId="2152" xr:uid="{00000000-0005-0000-0000-000030040000}"/>
    <cellStyle name="標準 25" xfId="959" xr:uid="{00000000-0005-0000-0000-000031040000}"/>
    <cellStyle name="標準 25 2" xfId="960" xr:uid="{00000000-0005-0000-0000-000032040000}"/>
    <cellStyle name="標準 25 3" xfId="2153" xr:uid="{00000000-0005-0000-0000-000033040000}"/>
    <cellStyle name="標準 25_処理詳細" xfId="2154" xr:uid="{00000000-0005-0000-0000-000034040000}"/>
    <cellStyle name="標準 26" xfId="961" xr:uid="{00000000-0005-0000-0000-000035040000}"/>
    <cellStyle name="標準 26 2" xfId="2155" xr:uid="{00000000-0005-0000-0000-000036040000}"/>
    <cellStyle name="標準 27" xfId="962" xr:uid="{00000000-0005-0000-0000-000037040000}"/>
    <cellStyle name="標準 27 2" xfId="963" xr:uid="{00000000-0005-0000-0000-000038040000}"/>
    <cellStyle name="標準 27 3" xfId="2255" xr:uid="{00000000-0005-0000-0000-000039040000}"/>
    <cellStyle name="標準 27_変更来歴" xfId="2211" xr:uid="{00000000-0005-0000-0000-00003A040000}"/>
    <cellStyle name="標準 28" xfId="964" xr:uid="{00000000-0005-0000-0000-00003B040000}"/>
    <cellStyle name="標準 28 2" xfId="965" xr:uid="{00000000-0005-0000-0000-00003C040000}"/>
    <cellStyle name="標準 29" xfId="966" xr:uid="{00000000-0005-0000-0000-00003D040000}"/>
    <cellStyle name="標準 29 2" xfId="967" xr:uid="{00000000-0005-0000-0000-00003E040000}"/>
    <cellStyle name="標準 3" xfId="2" xr:uid="{00000000-0005-0000-0000-00003F040000}"/>
    <cellStyle name="標準 3 2" xfId="968" xr:uid="{00000000-0005-0000-0000-000040040000}"/>
    <cellStyle name="標準 3 2 2" xfId="969" xr:uid="{00000000-0005-0000-0000-000041040000}"/>
    <cellStyle name="標準 3 2 2 2" xfId="2156" xr:uid="{00000000-0005-0000-0000-000042040000}"/>
    <cellStyle name="標準 3 2 2_変更来歴" xfId="2157" xr:uid="{00000000-0005-0000-0000-000043040000}"/>
    <cellStyle name="標準 3 2 3" xfId="970" xr:uid="{00000000-0005-0000-0000-000044040000}"/>
    <cellStyle name="標準 3 3" xfId="971" xr:uid="{00000000-0005-0000-0000-000045040000}"/>
    <cellStyle name="標準 3 3 2" xfId="2158" xr:uid="{00000000-0005-0000-0000-000046040000}"/>
    <cellStyle name="標準 3 3_変更来歴" xfId="2159" xr:uid="{00000000-0005-0000-0000-000047040000}"/>
    <cellStyle name="標準 3 4" xfId="972" xr:uid="{00000000-0005-0000-0000-000048040000}"/>
    <cellStyle name="標準 3 4 2" xfId="2160" xr:uid="{00000000-0005-0000-0000-000049040000}"/>
    <cellStyle name="標準 3 5" xfId="973" xr:uid="{00000000-0005-0000-0000-00004A040000}"/>
    <cellStyle name="標準 3 5 2" xfId="2161" xr:uid="{00000000-0005-0000-0000-00004B040000}"/>
    <cellStyle name="標準 3_NM" xfId="974" xr:uid="{00000000-0005-0000-0000-00004C040000}"/>
    <cellStyle name="標準 30" xfId="975" xr:uid="{00000000-0005-0000-0000-00004D040000}"/>
    <cellStyle name="標準 30 2" xfId="976" xr:uid="{00000000-0005-0000-0000-00004E040000}"/>
    <cellStyle name="標準 31" xfId="977" xr:uid="{00000000-0005-0000-0000-00004F040000}"/>
    <cellStyle name="標準 31 2" xfId="978" xr:uid="{00000000-0005-0000-0000-000050040000}"/>
    <cellStyle name="標準 32" xfId="979" xr:uid="{00000000-0005-0000-0000-000051040000}"/>
    <cellStyle name="標準 33" xfId="2162" xr:uid="{00000000-0005-0000-0000-000052040000}"/>
    <cellStyle name="標準 34" xfId="2163" xr:uid="{00000000-0005-0000-0000-000053040000}"/>
    <cellStyle name="標準 35" xfId="2075" xr:uid="{00000000-0005-0000-0000-000054040000}"/>
    <cellStyle name="標準 36" xfId="2195" xr:uid="{00000000-0005-0000-0000-000055040000}"/>
    <cellStyle name="標準 37" xfId="2197" xr:uid="{00000000-0005-0000-0000-000056040000}"/>
    <cellStyle name="標準 38" xfId="2194" xr:uid="{00000000-0005-0000-0000-000057040000}"/>
    <cellStyle name="標準 39" xfId="2198" xr:uid="{00000000-0005-0000-0000-000058040000}"/>
    <cellStyle name="標準 4" xfId="4" xr:uid="{00000000-0005-0000-0000-000059040000}"/>
    <cellStyle name="標準 4 10" xfId="980" xr:uid="{00000000-0005-0000-0000-00005A040000}"/>
    <cellStyle name="標準 4 10 2" xfId="981" xr:uid="{00000000-0005-0000-0000-00005B040000}"/>
    <cellStyle name="標準 4 10 2 2" xfId="982" xr:uid="{00000000-0005-0000-0000-00005C040000}"/>
    <cellStyle name="標準 4 10 3" xfId="983" xr:uid="{00000000-0005-0000-0000-00005D040000}"/>
    <cellStyle name="標準 4 10 3 2" xfId="984" xr:uid="{00000000-0005-0000-0000-00005E040000}"/>
    <cellStyle name="標準 4 10 4" xfId="985" xr:uid="{00000000-0005-0000-0000-00005F040000}"/>
    <cellStyle name="標準 4 10 4 2" xfId="986" xr:uid="{00000000-0005-0000-0000-000060040000}"/>
    <cellStyle name="標準 4 10 5" xfId="987" xr:uid="{00000000-0005-0000-0000-000061040000}"/>
    <cellStyle name="標準 4 11" xfId="988" xr:uid="{00000000-0005-0000-0000-000062040000}"/>
    <cellStyle name="標準 4 11 2" xfId="989" xr:uid="{00000000-0005-0000-0000-000063040000}"/>
    <cellStyle name="標準 4 11 2 2" xfId="990" xr:uid="{00000000-0005-0000-0000-000064040000}"/>
    <cellStyle name="標準 4 11 3" xfId="991" xr:uid="{00000000-0005-0000-0000-000065040000}"/>
    <cellStyle name="標準 4 12" xfId="992" xr:uid="{00000000-0005-0000-0000-000066040000}"/>
    <cellStyle name="標準 4 12 2" xfId="993" xr:uid="{00000000-0005-0000-0000-000067040000}"/>
    <cellStyle name="標準 4 12 2 2" xfId="994" xr:uid="{00000000-0005-0000-0000-000068040000}"/>
    <cellStyle name="標準 4 12 3" xfId="995" xr:uid="{00000000-0005-0000-0000-000069040000}"/>
    <cellStyle name="標準 4 13" xfId="996" xr:uid="{00000000-0005-0000-0000-00006A040000}"/>
    <cellStyle name="標準 4 13 2" xfId="997" xr:uid="{00000000-0005-0000-0000-00006B040000}"/>
    <cellStyle name="標準 4 13 2 2" xfId="998" xr:uid="{00000000-0005-0000-0000-00006C040000}"/>
    <cellStyle name="標準 4 13 3" xfId="999" xr:uid="{00000000-0005-0000-0000-00006D040000}"/>
    <cellStyle name="標準 4 14" xfId="1000" xr:uid="{00000000-0005-0000-0000-00006E040000}"/>
    <cellStyle name="標準 4 14 2" xfId="1001" xr:uid="{00000000-0005-0000-0000-00006F040000}"/>
    <cellStyle name="標準 4 14 2 2" xfId="1002" xr:uid="{00000000-0005-0000-0000-000070040000}"/>
    <cellStyle name="標準 4 14 3" xfId="1003" xr:uid="{00000000-0005-0000-0000-000071040000}"/>
    <cellStyle name="標準 4 15" xfId="1004" xr:uid="{00000000-0005-0000-0000-000072040000}"/>
    <cellStyle name="標準 4 15 2" xfId="1005" xr:uid="{00000000-0005-0000-0000-000073040000}"/>
    <cellStyle name="標準 4 16" xfId="1006" xr:uid="{00000000-0005-0000-0000-000074040000}"/>
    <cellStyle name="標準 4 16 2" xfId="1007" xr:uid="{00000000-0005-0000-0000-000075040000}"/>
    <cellStyle name="標準 4 17" xfId="1008" xr:uid="{00000000-0005-0000-0000-000076040000}"/>
    <cellStyle name="標準 4 18" xfId="2164" xr:uid="{00000000-0005-0000-0000-000077040000}"/>
    <cellStyle name="標準 4 2" xfId="1009" xr:uid="{00000000-0005-0000-0000-000078040000}"/>
    <cellStyle name="標準 4 2 10" xfId="1010" xr:uid="{00000000-0005-0000-0000-000079040000}"/>
    <cellStyle name="標準 4 2 10 2" xfId="1011" xr:uid="{00000000-0005-0000-0000-00007A040000}"/>
    <cellStyle name="標準 4 2 11" xfId="1012" xr:uid="{00000000-0005-0000-0000-00007B040000}"/>
    <cellStyle name="標準 4 2 12" xfId="1013" xr:uid="{00000000-0005-0000-0000-00007C040000}"/>
    <cellStyle name="標準 4 2 13" xfId="1014" xr:uid="{00000000-0005-0000-0000-00007D040000}"/>
    <cellStyle name="標準 4 2 14" xfId="1015" xr:uid="{00000000-0005-0000-0000-00007E040000}"/>
    <cellStyle name="標準 4 2 15" xfId="2166" xr:uid="{00000000-0005-0000-0000-00007F040000}"/>
    <cellStyle name="標準 4 2 16" xfId="2165" xr:uid="{00000000-0005-0000-0000-000080040000}"/>
    <cellStyle name="標準 4 2 2" xfId="1016" xr:uid="{00000000-0005-0000-0000-000081040000}"/>
    <cellStyle name="標準 4 2 2 2" xfId="1017" xr:uid="{00000000-0005-0000-0000-000082040000}"/>
    <cellStyle name="標準 4 2 2 2 2" xfId="1018" xr:uid="{00000000-0005-0000-0000-000083040000}"/>
    <cellStyle name="標準 4 2 2 2 2 2" xfId="1019" xr:uid="{00000000-0005-0000-0000-000084040000}"/>
    <cellStyle name="標準 4 2 2 2 3" xfId="1020" xr:uid="{00000000-0005-0000-0000-000085040000}"/>
    <cellStyle name="標準 4 2 2 3" xfId="1021" xr:uid="{00000000-0005-0000-0000-000086040000}"/>
    <cellStyle name="標準 4 2 2 3 2" xfId="1022" xr:uid="{00000000-0005-0000-0000-000087040000}"/>
    <cellStyle name="標準 4 2 2 4" xfId="1023" xr:uid="{00000000-0005-0000-0000-000088040000}"/>
    <cellStyle name="標準 4 2 2 4 2" xfId="1024" xr:uid="{00000000-0005-0000-0000-000089040000}"/>
    <cellStyle name="標準 4 2 2 5" xfId="1025" xr:uid="{00000000-0005-0000-0000-00008A040000}"/>
    <cellStyle name="標準 4 2 3" xfId="1026" xr:uid="{00000000-0005-0000-0000-00008B040000}"/>
    <cellStyle name="標準 4 2 3 2" xfId="1027" xr:uid="{00000000-0005-0000-0000-00008C040000}"/>
    <cellStyle name="標準 4 2 3 2 2" xfId="1028" xr:uid="{00000000-0005-0000-0000-00008D040000}"/>
    <cellStyle name="標準 4 2 3 2 2 2" xfId="1029" xr:uid="{00000000-0005-0000-0000-00008E040000}"/>
    <cellStyle name="標準 4 2 3 2 3" xfId="1030" xr:uid="{00000000-0005-0000-0000-00008F040000}"/>
    <cellStyle name="標準 4 2 3 3" xfId="1031" xr:uid="{00000000-0005-0000-0000-000090040000}"/>
    <cellStyle name="標準 4 2 3 3 2" xfId="1032" xr:uid="{00000000-0005-0000-0000-000091040000}"/>
    <cellStyle name="標準 4 2 3 4" xfId="1033" xr:uid="{00000000-0005-0000-0000-000092040000}"/>
    <cellStyle name="標準 4 2 3 4 2" xfId="1034" xr:uid="{00000000-0005-0000-0000-000093040000}"/>
    <cellStyle name="標準 4 2 3 5" xfId="1035" xr:uid="{00000000-0005-0000-0000-000094040000}"/>
    <cellStyle name="標準 4 2 4" xfId="1036" xr:uid="{00000000-0005-0000-0000-000095040000}"/>
    <cellStyle name="標準 4 2 4 2" xfId="1037" xr:uid="{00000000-0005-0000-0000-000096040000}"/>
    <cellStyle name="標準 4 2 4 2 2" xfId="1038" xr:uid="{00000000-0005-0000-0000-000097040000}"/>
    <cellStyle name="標準 4 2 4 3" xfId="1039" xr:uid="{00000000-0005-0000-0000-000098040000}"/>
    <cellStyle name="標準 4 2 4 3 2" xfId="1040" xr:uid="{00000000-0005-0000-0000-000099040000}"/>
    <cellStyle name="標準 4 2 4 4" xfId="1041" xr:uid="{00000000-0005-0000-0000-00009A040000}"/>
    <cellStyle name="標準 4 2 4 4 2" xfId="1042" xr:uid="{00000000-0005-0000-0000-00009B040000}"/>
    <cellStyle name="標準 4 2 4 5" xfId="1043" xr:uid="{00000000-0005-0000-0000-00009C040000}"/>
    <cellStyle name="標準 4 2 5" xfId="1044" xr:uid="{00000000-0005-0000-0000-00009D040000}"/>
    <cellStyle name="標準 4 2 5 2" xfId="1045" xr:uid="{00000000-0005-0000-0000-00009E040000}"/>
    <cellStyle name="標準 4 2 5 2 2" xfId="1046" xr:uid="{00000000-0005-0000-0000-00009F040000}"/>
    <cellStyle name="標準 4 2 5 3" xfId="1047" xr:uid="{00000000-0005-0000-0000-0000A0040000}"/>
    <cellStyle name="標準 4 2 5 3 2" xfId="1048" xr:uid="{00000000-0005-0000-0000-0000A1040000}"/>
    <cellStyle name="標準 4 2 5 4" xfId="1049" xr:uid="{00000000-0005-0000-0000-0000A2040000}"/>
    <cellStyle name="標準 4 2 5 4 2" xfId="1050" xr:uid="{00000000-0005-0000-0000-0000A3040000}"/>
    <cellStyle name="標準 4 2 5 5" xfId="1051" xr:uid="{00000000-0005-0000-0000-0000A4040000}"/>
    <cellStyle name="標準 4 2 6" xfId="1052" xr:uid="{00000000-0005-0000-0000-0000A5040000}"/>
    <cellStyle name="標準 4 2 6 2" xfId="1053" xr:uid="{00000000-0005-0000-0000-0000A6040000}"/>
    <cellStyle name="標準 4 2 6 2 2" xfId="1054" xr:uid="{00000000-0005-0000-0000-0000A7040000}"/>
    <cellStyle name="標準 4 2 6 3" xfId="1055" xr:uid="{00000000-0005-0000-0000-0000A8040000}"/>
    <cellStyle name="標準 4 2 6 3 2" xfId="1056" xr:uid="{00000000-0005-0000-0000-0000A9040000}"/>
    <cellStyle name="標準 4 2 6 4" xfId="1057" xr:uid="{00000000-0005-0000-0000-0000AA040000}"/>
    <cellStyle name="標準 4 2 7" xfId="1058" xr:uid="{00000000-0005-0000-0000-0000AB040000}"/>
    <cellStyle name="標準 4 2 7 2" xfId="1059" xr:uid="{00000000-0005-0000-0000-0000AC040000}"/>
    <cellStyle name="標準 4 2 7 3" xfId="1060" xr:uid="{00000000-0005-0000-0000-0000AD040000}"/>
    <cellStyle name="標準 4 2 7 4" xfId="1061" xr:uid="{00000000-0005-0000-0000-0000AE040000}"/>
    <cellStyle name="標準 4 2 7 5" xfId="1062" xr:uid="{00000000-0005-0000-0000-0000AF040000}"/>
    <cellStyle name="標準 4 2 8" xfId="1063" xr:uid="{00000000-0005-0000-0000-0000B0040000}"/>
    <cellStyle name="標準 4 2 8 2" xfId="1064" xr:uid="{00000000-0005-0000-0000-0000B1040000}"/>
    <cellStyle name="標準 4 2 8 3" xfId="1065" xr:uid="{00000000-0005-0000-0000-0000B2040000}"/>
    <cellStyle name="標準 4 2 9" xfId="1066" xr:uid="{00000000-0005-0000-0000-0000B3040000}"/>
    <cellStyle name="標準 4 2 9 2" xfId="1067" xr:uid="{00000000-0005-0000-0000-0000B4040000}"/>
    <cellStyle name="標準 4 2_処理詳細" xfId="2167" xr:uid="{00000000-0005-0000-0000-0000B5040000}"/>
    <cellStyle name="標準 4 3" xfId="1068" xr:uid="{00000000-0005-0000-0000-0000B6040000}"/>
    <cellStyle name="標準 4 3 10" xfId="1069" xr:uid="{00000000-0005-0000-0000-0000B7040000}"/>
    <cellStyle name="標準 4 3 10 2" xfId="1070" xr:uid="{00000000-0005-0000-0000-0000B8040000}"/>
    <cellStyle name="標準 4 3 11" xfId="1071" xr:uid="{00000000-0005-0000-0000-0000B9040000}"/>
    <cellStyle name="標準 4 3 12" xfId="1072" xr:uid="{00000000-0005-0000-0000-0000BA040000}"/>
    <cellStyle name="標準 4 3 13" xfId="2168" xr:uid="{00000000-0005-0000-0000-0000BB040000}"/>
    <cellStyle name="標準 4 3 2" xfId="1073" xr:uid="{00000000-0005-0000-0000-0000BC040000}"/>
    <cellStyle name="標準 4 3 2 2" xfId="1074" xr:uid="{00000000-0005-0000-0000-0000BD040000}"/>
    <cellStyle name="標準 4 3 2 2 2" xfId="1075" xr:uid="{00000000-0005-0000-0000-0000BE040000}"/>
    <cellStyle name="標準 4 3 2 2 2 2" xfId="1076" xr:uid="{00000000-0005-0000-0000-0000BF040000}"/>
    <cellStyle name="標準 4 3 2 2 3" xfId="1077" xr:uid="{00000000-0005-0000-0000-0000C0040000}"/>
    <cellStyle name="標準 4 3 2 3" xfId="1078" xr:uid="{00000000-0005-0000-0000-0000C1040000}"/>
    <cellStyle name="標準 4 3 2 3 2" xfId="1079" xr:uid="{00000000-0005-0000-0000-0000C2040000}"/>
    <cellStyle name="標準 4 3 2 4" xfId="1080" xr:uid="{00000000-0005-0000-0000-0000C3040000}"/>
    <cellStyle name="標準 4 3 2 4 2" xfId="1081" xr:uid="{00000000-0005-0000-0000-0000C4040000}"/>
    <cellStyle name="標準 4 3 2 5" xfId="1082" xr:uid="{00000000-0005-0000-0000-0000C5040000}"/>
    <cellStyle name="標準 4 3 3" xfId="1083" xr:uid="{00000000-0005-0000-0000-0000C6040000}"/>
    <cellStyle name="標準 4 3 3 2" xfId="1084" xr:uid="{00000000-0005-0000-0000-0000C7040000}"/>
    <cellStyle name="標準 4 3 3 2 2" xfId="1085" xr:uid="{00000000-0005-0000-0000-0000C8040000}"/>
    <cellStyle name="標準 4 3 3 2 2 2" xfId="1086" xr:uid="{00000000-0005-0000-0000-0000C9040000}"/>
    <cellStyle name="標準 4 3 3 2 3" xfId="1087" xr:uid="{00000000-0005-0000-0000-0000CA040000}"/>
    <cellStyle name="標準 4 3 3 3" xfId="1088" xr:uid="{00000000-0005-0000-0000-0000CB040000}"/>
    <cellStyle name="標準 4 3 3 3 2" xfId="1089" xr:uid="{00000000-0005-0000-0000-0000CC040000}"/>
    <cellStyle name="標準 4 3 3 4" xfId="1090" xr:uid="{00000000-0005-0000-0000-0000CD040000}"/>
    <cellStyle name="標準 4 3 3 4 2" xfId="1091" xr:uid="{00000000-0005-0000-0000-0000CE040000}"/>
    <cellStyle name="標準 4 3 3 5" xfId="1092" xr:uid="{00000000-0005-0000-0000-0000CF040000}"/>
    <cellStyle name="標準 4 3 4" xfId="1093" xr:uid="{00000000-0005-0000-0000-0000D0040000}"/>
    <cellStyle name="標準 4 3 4 2" xfId="1094" xr:uid="{00000000-0005-0000-0000-0000D1040000}"/>
    <cellStyle name="標準 4 3 4 2 2" xfId="1095" xr:uid="{00000000-0005-0000-0000-0000D2040000}"/>
    <cellStyle name="標準 4 3 4 3" xfId="1096" xr:uid="{00000000-0005-0000-0000-0000D3040000}"/>
    <cellStyle name="標準 4 3 4 3 2" xfId="1097" xr:uid="{00000000-0005-0000-0000-0000D4040000}"/>
    <cellStyle name="標準 4 3 4 4" xfId="1098" xr:uid="{00000000-0005-0000-0000-0000D5040000}"/>
    <cellStyle name="標準 4 3 4 4 2" xfId="1099" xr:uid="{00000000-0005-0000-0000-0000D6040000}"/>
    <cellStyle name="標準 4 3 4 5" xfId="1100" xr:uid="{00000000-0005-0000-0000-0000D7040000}"/>
    <cellStyle name="標準 4 3 5" xfId="1101" xr:uid="{00000000-0005-0000-0000-0000D8040000}"/>
    <cellStyle name="標準 4 3 5 2" xfId="1102" xr:uid="{00000000-0005-0000-0000-0000D9040000}"/>
    <cellStyle name="標準 4 3 5 2 2" xfId="1103" xr:uid="{00000000-0005-0000-0000-0000DA040000}"/>
    <cellStyle name="標準 4 3 5 3" xfId="1104" xr:uid="{00000000-0005-0000-0000-0000DB040000}"/>
    <cellStyle name="標準 4 3 5 3 2" xfId="1105" xr:uid="{00000000-0005-0000-0000-0000DC040000}"/>
    <cellStyle name="標準 4 3 5 4" xfId="1106" xr:uid="{00000000-0005-0000-0000-0000DD040000}"/>
    <cellStyle name="標準 4 3 5 4 2" xfId="1107" xr:uid="{00000000-0005-0000-0000-0000DE040000}"/>
    <cellStyle name="標準 4 3 5 5" xfId="1108" xr:uid="{00000000-0005-0000-0000-0000DF040000}"/>
    <cellStyle name="標準 4 3 6" xfId="1109" xr:uid="{00000000-0005-0000-0000-0000E0040000}"/>
    <cellStyle name="標準 4 3 6 2" xfId="1110" xr:uid="{00000000-0005-0000-0000-0000E1040000}"/>
    <cellStyle name="標準 4 3 6 2 2" xfId="1111" xr:uid="{00000000-0005-0000-0000-0000E2040000}"/>
    <cellStyle name="標準 4 3 6 3" xfId="1112" xr:uid="{00000000-0005-0000-0000-0000E3040000}"/>
    <cellStyle name="標準 4 3 6 3 2" xfId="1113" xr:uid="{00000000-0005-0000-0000-0000E4040000}"/>
    <cellStyle name="標準 4 3 6 4" xfId="1114" xr:uid="{00000000-0005-0000-0000-0000E5040000}"/>
    <cellStyle name="標準 4 3 7" xfId="1115" xr:uid="{00000000-0005-0000-0000-0000E6040000}"/>
    <cellStyle name="標準 4 3 7 2" xfId="1116" xr:uid="{00000000-0005-0000-0000-0000E7040000}"/>
    <cellStyle name="標準 4 3 8" xfId="1117" xr:uid="{00000000-0005-0000-0000-0000E8040000}"/>
    <cellStyle name="標準 4 3 8 2" xfId="1118" xr:uid="{00000000-0005-0000-0000-0000E9040000}"/>
    <cellStyle name="標準 4 3 9" xfId="1119" xr:uid="{00000000-0005-0000-0000-0000EA040000}"/>
    <cellStyle name="標準 4 3 9 2" xfId="1120" xr:uid="{00000000-0005-0000-0000-0000EB040000}"/>
    <cellStyle name="標準 4 3_処理詳細" xfId="2169" xr:uid="{00000000-0005-0000-0000-0000EC040000}"/>
    <cellStyle name="標準 4 4" xfId="1121" xr:uid="{00000000-0005-0000-0000-0000ED040000}"/>
    <cellStyle name="標準 4 4 10" xfId="1122" xr:uid="{00000000-0005-0000-0000-0000EE040000}"/>
    <cellStyle name="標準 4 4 10 2" xfId="1123" xr:uid="{00000000-0005-0000-0000-0000EF040000}"/>
    <cellStyle name="標準 4 4 11" xfId="1124" xr:uid="{00000000-0005-0000-0000-0000F0040000}"/>
    <cellStyle name="標準 4 4 12" xfId="1125" xr:uid="{00000000-0005-0000-0000-0000F1040000}"/>
    <cellStyle name="標準 4 4 13" xfId="2170" xr:uid="{00000000-0005-0000-0000-0000F2040000}"/>
    <cellStyle name="標準 4 4 2" xfId="1126" xr:uid="{00000000-0005-0000-0000-0000F3040000}"/>
    <cellStyle name="標準 4 4 2 2" xfId="1127" xr:uid="{00000000-0005-0000-0000-0000F4040000}"/>
    <cellStyle name="標準 4 4 2 2 2" xfId="1128" xr:uid="{00000000-0005-0000-0000-0000F5040000}"/>
    <cellStyle name="標準 4 4 2 2 2 2" xfId="1129" xr:uid="{00000000-0005-0000-0000-0000F6040000}"/>
    <cellStyle name="標準 4 4 2 2 3" xfId="1130" xr:uid="{00000000-0005-0000-0000-0000F7040000}"/>
    <cellStyle name="標準 4 4 2 3" xfId="1131" xr:uid="{00000000-0005-0000-0000-0000F8040000}"/>
    <cellStyle name="標準 4 4 2 3 2" xfId="1132" xr:uid="{00000000-0005-0000-0000-0000F9040000}"/>
    <cellStyle name="標準 4 4 2 4" xfId="1133" xr:uid="{00000000-0005-0000-0000-0000FA040000}"/>
    <cellStyle name="標準 4 4 2 4 2" xfId="1134" xr:uid="{00000000-0005-0000-0000-0000FB040000}"/>
    <cellStyle name="標準 4 4 2 5" xfId="1135" xr:uid="{00000000-0005-0000-0000-0000FC040000}"/>
    <cellStyle name="標準 4 4 3" xfId="1136" xr:uid="{00000000-0005-0000-0000-0000FD040000}"/>
    <cellStyle name="標準 4 4 3 2" xfId="1137" xr:uid="{00000000-0005-0000-0000-0000FE040000}"/>
    <cellStyle name="標準 4 4 3 2 2" xfId="1138" xr:uid="{00000000-0005-0000-0000-0000FF040000}"/>
    <cellStyle name="標準 4 4 3 2 2 2" xfId="1139" xr:uid="{00000000-0005-0000-0000-000000050000}"/>
    <cellStyle name="標準 4 4 3 2 3" xfId="1140" xr:uid="{00000000-0005-0000-0000-000001050000}"/>
    <cellStyle name="標準 4 4 3 3" xfId="1141" xr:uid="{00000000-0005-0000-0000-000002050000}"/>
    <cellStyle name="標準 4 4 3 3 2" xfId="1142" xr:uid="{00000000-0005-0000-0000-000003050000}"/>
    <cellStyle name="標準 4 4 3 4" xfId="1143" xr:uid="{00000000-0005-0000-0000-000004050000}"/>
    <cellStyle name="標準 4 4 3 4 2" xfId="1144" xr:uid="{00000000-0005-0000-0000-000005050000}"/>
    <cellStyle name="標準 4 4 3 5" xfId="1145" xr:uid="{00000000-0005-0000-0000-000006050000}"/>
    <cellStyle name="標準 4 4 4" xfId="1146" xr:uid="{00000000-0005-0000-0000-000007050000}"/>
    <cellStyle name="標準 4 4 4 2" xfId="1147" xr:uid="{00000000-0005-0000-0000-000008050000}"/>
    <cellStyle name="標準 4 4 4 2 2" xfId="1148" xr:uid="{00000000-0005-0000-0000-000009050000}"/>
    <cellStyle name="標準 4 4 4 3" xfId="1149" xr:uid="{00000000-0005-0000-0000-00000A050000}"/>
    <cellStyle name="標準 4 4 4 3 2" xfId="1150" xr:uid="{00000000-0005-0000-0000-00000B050000}"/>
    <cellStyle name="標準 4 4 4 4" xfId="1151" xr:uid="{00000000-0005-0000-0000-00000C050000}"/>
    <cellStyle name="標準 4 4 4 4 2" xfId="1152" xr:uid="{00000000-0005-0000-0000-00000D050000}"/>
    <cellStyle name="標準 4 4 4 5" xfId="1153" xr:uid="{00000000-0005-0000-0000-00000E050000}"/>
    <cellStyle name="標準 4 4 5" xfId="1154" xr:uid="{00000000-0005-0000-0000-00000F050000}"/>
    <cellStyle name="標準 4 4 5 2" xfId="1155" xr:uid="{00000000-0005-0000-0000-000010050000}"/>
    <cellStyle name="標準 4 4 5 2 2" xfId="1156" xr:uid="{00000000-0005-0000-0000-000011050000}"/>
    <cellStyle name="標準 4 4 5 3" xfId="1157" xr:uid="{00000000-0005-0000-0000-000012050000}"/>
    <cellStyle name="標準 4 4 5 3 2" xfId="1158" xr:uid="{00000000-0005-0000-0000-000013050000}"/>
    <cellStyle name="標準 4 4 5 4" xfId="1159" xr:uid="{00000000-0005-0000-0000-000014050000}"/>
    <cellStyle name="標準 4 4 5 4 2" xfId="1160" xr:uid="{00000000-0005-0000-0000-000015050000}"/>
    <cellStyle name="標準 4 4 5 5" xfId="1161" xr:uid="{00000000-0005-0000-0000-000016050000}"/>
    <cellStyle name="標準 4 4 6" xfId="1162" xr:uid="{00000000-0005-0000-0000-000017050000}"/>
    <cellStyle name="標準 4 4 6 2" xfId="1163" xr:uid="{00000000-0005-0000-0000-000018050000}"/>
    <cellStyle name="標準 4 4 6 2 2" xfId="1164" xr:uid="{00000000-0005-0000-0000-000019050000}"/>
    <cellStyle name="標準 4 4 6 3" xfId="1165" xr:uid="{00000000-0005-0000-0000-00001A050000}"/>
    <cellStyle name="標準 4 4 6 3 2" xfId="1166" xr:uid="{00000000-0005-0000-0000-00001B050000}"/>
    <cellStyle name="標準 4 4 6 4" xfId="1167" xr:uid="{00000000-0005-0000-0000-00001C050000}"/>
    <cellStyle name="標準 4 4 7" xfId="1168" xr:uid="{00000000-0005-0000-0000-00001D050000}"/>
    <cellStyle name="標準 4 4 7 2" xfId="1169" xr:uid="{00000000-0005-0000-0000-00001E050000}"/>
    <cellStyle name="標準 4 4 8" xfId="1170" xr:uid="{00000000-0005-0000-0000-00001F050000}"/>
    <cellStyle name="標準 4 4 8 2" xfId="1171" xr:uid="{00000000-0005-0000-0000-000020050000}"/>
    <cellStyle name="標準 4 4 9" xfId="1172" xr:uid="{00000000-0005-0000-0000-000021050000}"/>
    <cellStyle name="標準 4 4 9 2" xfId="1173" xr:uid="{00000000-0005-0000-0000-000022050000}"/>
    <cellStyle name="標準 4 4_処理詳細" xfId="2171" xr:uid="{00000000-0005-0000-0000-000023050000}"/>
    <cellStyle name="標準 4 5" xfId="1174" xr:uid="{00000000-0005-0000-0000-000024050000}"/>
    <cellStyle name="標準 4 5 2" xfId="1175" xr:uid="{00000000-0005-0000-0000-000025050000}"/>
    <cellStyle name="標準 4 5 2 2" xfId="1176" xr:uid="{00000000-0005-0000-0000-000026050000}"/>
    <cellStyle name="標準 4 5 2 2 2" xfId="1177" xr:uid="{00000000-0005-0000-0000-000027050000}"/>
    <cellStyle name="標準 4 5 2 3" xfId="1178" xr:uid="{00000000-0005-0000-0000-000028050000}"/>
    <cellStyle name="標準 4 5 2 3 2" xfId="1179" xr:uid="{00000000-0005-0000-0000-000029050000}"/>
    <cellStyle name="標準 4 5 2 4" xfId="1180" xr:uid="{00000000-0005-0000-0000-00002A050000}"/>
    <cellStyle name="標準 4 5 2 4 2" xfId="1181" xr:uid="{00000000-0005-0000-0000-00002B050000}"/>
    <cellStyle name="標準 4 5 2 5" xfId="1182" xr:uid="{00000000-0005-0000-0000-00002C050000}"/>
    <cellStyle name="標準 4 5 3" xfId="1183" xr:uid="{00000000-0005-0000-0000-00002D050000}"/>
    <cellStyle name="標準 4 5 3 2" xfId="1184" xr:uid="{00000000-0005-0000-0000-00002E050000}"/>
    <cellStyle name="標準 4 5 3 2 2" xfId="1185" xr:uid="{00000000-0005-0000-0000-00002F050000}"/>
    <cellStyle name="標準 4 5 3 3" xfId="1186" xr:uid="{00000000-0005-0000-0000-000030050000}"/>
    <cellStyle name="標準 4 5 3 3 2" xfId="1187" xr:uid="{00000000-0005-0000-0000-000031050000}"/>
    <cellStyle name="標準 4 5 3 4" xfId="1188" xr:uid="{00000000-0005-0000-0000-000032050000}"/>
    <cellStyle name="標準 4 5 3 4 2" xfId="1189" xr:uid="{00000000-0005-0000-0000-000033050000}"/>
    <cellStyle name="標準 4 5 3 5" xfId="1190" xr:uid="{00000000-0005-0000-0000-000034050000}"/>
    <cellStyle name="標準 4 5 4" xfId="1191" xr:uid="{00000000-0005-0000-0000-000035050000}"/>
    <cellStyle name="標準 4 5 4 2" xfId="1192" xr:uid="{00000000-0005-0000-0000-000036050000}"/>
    <cellStyle name="標準 4 5 4 2 2" xfId="1193" xr:uid="{00000000-0005-0000-0000-000037050000}"/>
    <cellStyle name="標準 4 5 4 3" xfId="1194" xr:uid="{00000000-0005-0000-0000-000038050000}"/>
    <cellStyle name="標準 4 5 4 3 2" xfId="1195" xr:uid="{00000000-0005-0000-0000-000039050000}"/>
    <cellStyle name="標準 4 5 4 4" xfId="1196" xr:uid="{00000000-0005-0000-0000-00003A050000}"/>
    <cellStyle name="標準 4 5 5" xfId="1197" xr:uid="{00000000-0005-0000-0000-00003B050000}"/>
    <cellStyle name="標準 4 5 5 2" xfId="1198" xr:uid="{00000000-0005-0000-0000-00003C050000}"/>
    <cellStyle name="標準 4 5 6" xfId="1199" xr:uid="{00000000-0005-0000-0000-00003D050000}"/>
    <cellStyle name="標準 4 5 6 2" xfId="1200" xr:uid="{00000000-0005-0000-0000-00003E050000}"/>
    <cellStyle name="標準 4 5 7" xfId="1201" xr:uid="{00000000-0005-0000-0000-00003F050000}"/>
    <cellStyle name="標準 4 5 7 2" xfId="1202" xr:uid="{00000000-0005-0000-0000-000040050000}"/>
    <cellStyle name="標準 4 5 8" xfId="1203" xr:uid="{00000000-0005-0000-0000-000041050000}"/>
    <cellStyle name="標準 4 5 8 2" xfId="1204" xr:uid="{00000000-0005-0000-0000-000042050000}"/>
    <cellStyle name="標準 4 5 9" xfId="1205" xr:uid="{00000000-0005-0000-0000-000043050000}"/>
    <cellStyle name="標準 4 6" xfId="1206" xr:uid="{00000000-0005-0000-0000-000044050000}"/>
    <cellStyle name="標準 4 6 2" xfId="1207" xr:uid="{00000000-0005-0000-0000-000045050000}"/>
    <cellStyle name="標準 4 6 2 2" xfId="1208" xr:uid="{00000000-0005-0000-0000-000046050000}"/>
    <cellStyle name="標準 4 6 2 2 2" xfId="1209" xr:uid="{00000000-0005-0000-0000-000047050000}"/>
    <cellStyle name="標準 4 6 2 3" xfId="1210" xr:uid="{00000000-0005-0000-0000-000048050000}"/>
    <cellStyle name="標準 4 6 3" xfId="1211" xr:uid="{00000000-0005-0000-0000-000049050000}"/>
    <cellStyle name="標準 4 6 3 2" xfId="1212" xr:uid="{00000000-0005-0000-0000-00004A050000}"/>
    <cellStyle name="標準 4 6 4" xfId="1213" xr:uid="{00000000-0005-0000-0000-00004B050000}"/>
    <cellStyle name="標準 4 6 4 2" xfId="1214" xr:uid="{00000000-0005-0000-0000-00004C050000}"/>
    <cellStyle name="標準 4 6 5" xfId="1215" xr:uid="{00000000-0005-0000-0000-00004D050000}"/>
    <cellStyle name="標準 4 7" xfId="1216" xr:uid="{00000000-0005-0000-0000-00004E050000}"/>
    <cellStyle name="標準 4 7 2" xfId="1217" xr:uid="{00000000-0005-0000-0000-00004F050000}"/>
    <cellStyle name="標準 4 7 2 2" xfId="1218" xr:uid="{00000000-0005-0000-0000-000050050000}"/>
    <cellStyle name="標準 4 7 3" xfId="1219" xr:uid="{00000000-0005-0000-0000-000051050000}"/>
    <cellStyle name="標準 4 7 3 2" xfId="1220" xr:uid="{00000000-0005-0000-0000-000052050000}"/>
    <cellStyle name="標準 4 7 4" xfId="1221" xr:uid="{00000000-0005-0000-0000-000053050000}"/>
    <cellStyle name="標準 4 7 4 2" xfId="1222" xr:uid="{00000000-0005-0000-0000-000054050000}"/>
    <cellStyle name="標準 4 7 5" xfId="1223" xr:uid="{00000000-0005-0000-0000-000055050000}"/>
    <cellStyle name="標準 4 8" xfId="1224" xr:uid="{00000000-0005-0000-0000-000056050000}"/>
    <cellStyle name="標準 4 8 2" xfId="1225" xr:uid="{00000000-0005-0000-0000-000057050000}"/>
    <cellStyle name="標準 4 8 2 2" xfId="1226" xr:uid="{00000000-0005-0000-0000-000058050000}"/>
    <cellStyle name="標準 4 8 3" xfId="1227" xr:uid="{00000000-0005-0000-0000-000059050000}"/>
    <cellStyle name="標準 4 8 3 2" xfId="1228" xr:uid="{00000000-0005-0000-0000-00005A050000}"/>
    <cellStyle name="標準 4 8 4" xfId="1229" xr:uid="{00000000-0005-0000-0000-00005B050000}"/>
    <cellStyle name="標準 4 8 4 2" xfId="1230" xr:uid="{00000000-0005-0000-0000-00005C050000}"/>
    <cellStyle name="標準 4 8 5" xfId="1231" xr:uid="{00000000-0005-0000-0000-00005D050000}"/>
    <cellStyle name="標準 4 9" xfId="1232" xr:uid="{00000000-0005-0000-0000-00005E050000}"/>
    <cellStyle name="標準 4 9 2" xfId="1233" xr:uid="{00000000-0005-0000-0000-00005F050000}"/>
    <cellStyle name="標準 4 9 2 2" xfId="1234" xr:uid="{00000000-0005-0000-0000-000060050000}"/>
    <cellStyle name="標準 4 9 3" xfId="1235" xr:uid="{00000000-0005-0000-0000-000061050000}"/>
    <cellStyle name="標準 4 9 3 2" xfId="1236" xr:uid="{00000000-0005-0000-0000-000062050000}"/>
    <cellStyle name="標準 4 9 4" xfId="1237" xr:uid="{00000000-0005-0000-0000-000063050000}"/>
    <cellStyle name="標準 4 9 4 2" xfId="1238" xr:uid="{00000000-0005-0000-0000-000064050000}"/>
    <cellStyle name="標準 4 9 5" xfId="1239" xr:uid="{00000000-0005-0000-0000-000065050000}"/>
    <cellStyle name="標準 4_NM" xfId="1240" xr:uid="{00000000-0005-0000-0000-000066050000}"/>
    <cellStyle name="標準 40" xfId="2142" xr:uid="{00000000-0005-0000-0000-000067050000}"/>
    <cellStyle name="標準 41" xfId="2209" xr:uid="{00000000-0005-0000-0000-000068050000}"/>
    <cellStyle name="標準 42" xfId="2234" xr:uid="{00000000-0005-0000-0000-000069050000}"/>
    <cellStyle name="標準 43" xfId="2208" xr:uid="{00000000-0005-0000-0000-00006A050000}"/>
    <cellStyle name="標準 44" xfId="2235" xr:uid="{00000000-0005-0000-0000-00006B050000}"/>
    <cellStyle name="標準 45" xfId="2207" xr:uid="{00000000-0005-0000-0000-00006C050000}"/>
    <cellStyle name="標準 46" xfId="2236" xr:uid="{00000000-0005-0000-0000-00006D050000}"/>
    <cellStyle name="標準 47" xfId="2206" xr:uid="{00000000-0005-0000-0000-00006E050000}"/>
    <cellStyle name="標準 48" xfId="2237" xr:uid="{00000000-0005-0000-0000-00006F050000}"/>
    <cellStyle name="標準 49" xfId="2238" xr:uid="{00000000-0005-0000-0000-000070050000}"/>
    <cellStyle name="標準 5" xfId="1241" xr:uid="{00000000-0005-0000-0000-000071050000}"/>
    <cellStyle name="標準 5 10" xfId="1242" xr:uid="{00000000-0005-0000-0000-000072050000}"/>
    <cellStyle name="標準 5 10 2" xfId="1243" xr:uid="{00000000-0005-0000-0000-000073050000}"/>
    <cellStyle name="標準 5 10 2 2" xfId="1244" xr:uid="{00000000-0005-0000-0000-000074050000}"/>
    <cellStyle name="標準 5 10 3" xfId="1245" xr:uid="{00000000-0005-0000-0000-000075050000}"/>
    <cellStyle name="標準 5 10 3 2" xfId="1246" xr:uid="{00000000-0005-0000-0000-000076050000}"/>
    <cellStyle name="標準 5 10 4" xfId="1247" xr:uid="{00000000-0005-0000-0000-000077050000}"/>
    <cellStyle name="標準 5 10 4 2" xfId="1248" xr:uid="{00000000-0005-0000-0000-000078050000}"/>
    <cellStyle name="標準 5 10 5" xfId="1249" xr:uid="{00000000-0005-0000-0000-000079050000}"/>
    <cellStyle name="標準 5 11" xfId="1250" xr:uid="{00000000-0005-0000-0000-00007A050000}"/>
    <cellStyle name="標準 5 11 2" xfId="1251" xr:uid="{00000000-0005-0000-0000-00007B050000}"/>
    <cellStyle name="標準 5 11 2 2" xfId="1252" xr:uid="{00000000-0005-0000-0000-00007C050000}"/>
    <cellStyle name="標準 5 11 3" xfId="1253" xr:uid="{00000000-0005-0000-0000-00007D050000}"/>
    <cellStyle name="標準 5 12" xfId="1254" xr:uid="{00000000-0005-0000-0000-00007E050000}"/>
    <cellStyle name="標準 5 12 2" xfId="1255" xr:uid="{00000000-0005-0000-0000-00007F050000}"/>
    <cellStyle name="標準 5 12 2 2" xfId="1256" xr:uid="{00000000-0005-0000-0000-000080050000}"/>
    <cellStyle name="標準 5 12 3" xfId="1257" xr:uid="{00000000-0005-0000-0000-000081050000}"/>
    <cellStyle name="標準 5 13" xfId="1258" xr:uid="{00000000-0005-0000-0000-000082050000}"/>
    <cellStyle name="標準 5 13 2" xfId="1259" xr:uid="{00000000-0005-0000-0000-000083050000}"/>
    <cellStyle name="標準 5 13 2 2" xfId="1260" xr:uid="{00000000-0005-0000-0000-000084050000}"/>
    <cellStyle name="標準 5 13 3" xfId="1261" xr:uid="{00000000-0005-0000-0000-000085050000}"/>
    <cellStyle name="標準 5 14" xfId="1262" xr:uid="{00000000-0005-0000-0000-000086050000}"/>
    <cellStyle name="標準 5 14 2" xfId="1263" xr:uid="{00000000-0005-0000-0000-000087050000}"/>
    <cellStyle name="標準 5 14 2 2" xfId="1264" xr:uid="{00000000-0005-0000-0000-000088050000}"/>
    <cellStyle name="標準 5 14 3" xfId="1265" xr:uid="{00000000-0005-0000-0000-000089050000}"/>
    <cellStyle name="標準 5 15" xfId="1266" xr:uid="{00000000-0005-0000-0000-00008A050000}"/>
    <cellStyle name="標準 5 15 2" xfId="1267" xr:uid="{00000000-0005-0000-0000-00008B050000}"/>
    <cellStyle name="標準 5 16" xfId="1268" xr:uid="{00000000-0005-0000-0000-00008C050000}"/>
    <cellStyle name="標準 5 2" xfId="1269" xr:uid="{00000000-0005-0000-0000-00008D050000}"/>
    <cellStyle name="標準 5 2 10" xfId="1270" xr:uid="{00000000-0005-0000-0000-00008E050000}"/>
    <cellStyle name="標準 5 2 10 2" xfId="1271" xr:uid="{00000000-0005-0000-0000-00008F050000}"/>
    <cellStyle name="標準 5 2 11" xfId="1272" xr:uid="{00000000-0005-0000-0000-000090050000}"/>
    <cellStyle name="標準 5 2 12" xfId="1273" xr:uid="{00000000-0005-0000-0000-000091050000}"/>
    <cellStyle name="標準 5 2 13" xfId="1274" xr:uid="{00000000-0005-0000-0000-000092050000}"/>
    <cellStyle name="標準 5 2 14" xfId="1275" xr:uid="{00000000-0005-0000-0000-000093050000}"/>
    <cellStyle name="標準 5 2 2" xfId="1276" xr:uid="{00000000-0005-0000-0000-000094050000}"/>
    <cellStyle name="標準 5 2 2 2" xfId="1277" xr:uid="{00000000-0005-0000-0000-000095050000}"/>
    <cellStyle name="標準 5 2 2 2 2" xfId="1278" xr:uid="{00000000-0005-0000-0000-000096050000}"/>
    <cellStyle name="標準 5 2 2 2 2 2" xfId="1279" xr:uid="{00000000-0005-0000-0000-000097050000}"/>
    <cellStyle name="標準 5 2 2 2 3" xfId="1280" xr:uid="{00000000-0005-0000-0000-000098050000}"/>
    <cellStyle name="標準 5 2 2 3" xfId="1281" xr:uid="{00000000-0005-0000-0000-000099050000}"/>
    <cellStyle name="標準 5 2 2 3 2" xfId="1282" xr:uid="{00000000-0005-0000-0000-00009A050000}"/>
    <cellStyle name="標準 5 2 2 4" xfId="1283" xr:uid="{00000000-0005-0000-0000-00009B050000}"/>
    <cellStyle name="標準 5 2 2 4 2" xfId="1284" xr:uid="{00000000-0005-0000-0000-00009C050000}"/>
    <cellStyle name="標準 5 2 2 5" xfId="1285" xr:uid="{00000000-0005-0000-0000-00009D050000}"/>
    <cellStyle name="標準 5 2 3" xfId="1286" xr:uid="{00000000-0005-0000-0000-00009E050000}"/>
    <cellStyle name="標準 5 2 3 2" xfId="1287" xr:uid="{00000000-0005-0000-0000-00009F050000}"/>
    <cellStyle name="標準 5 2 3 2 2" xfId="1288" xr:uid="{00000000-0005-0000-0000-0000A0050000}"/>
    <cellStyle name="標準 5 2 3 2 2 2" xfId="1289" xr:uid="{00000000-0005-0000-0000-0000A1050000}"/>
    <cellStyle name="標準 5 2 3 2 3" xfId="1290" xr:uid="{00000000-0005-0000-0000-0000A2050000}"/>
    <cellStyle name="標準 5 2 3 3" xfId="1291" xr:uid="{00000000-0005-0000-0000-0000A3050000}"/>
    <cellStyle name="標準 5 2 3 3 2" xfId="1292" xr:uid="{00000000-0005-0000-0000-0000A4050000}"/>
    <cellStyle name="標準 5 2 3 4" xfId="1293" xr:uid="{00000000-0005-0000-0000-0000A5050000}"/>
    <cellStyle name="標準 5 2 3 4 2" xfId="1294" xr:uid="{00000000-0005-0000-0000-0000A6050000}"/>
    <cellStyle name="標準 5 2 3 5" xfId="1295" xr:uid="{00000000-0005-0000-0000-0000A7050000}"/>
    <cellStyle name="標準 5 2 4" xfId="1296" xr:uid="{00000000-0005-0000-0000-0000A8050000}"/>
    <cellStyle name="標準 5 2 4 2" xfId="1297" xr:uid="{00000000-0005-0000-0000-0000A9050000}"/>
    <cellStyle name="標準 5 2 4 2 2" xfId="1298" xr:uid="{00000000-0005-0000-0000-0000AA050000}"/>
    <cellStyle name="標準 5 2 4 3" xfId="1299" xr:uid="{00000000-0005-0000-0000-0000AB050000}"/>
    <cellStyle name="標準 5 2 4 3 2" xfId="1300" xr:uid="{00000000-0005-0000-0000-0000AC050000}"/>
    <cellStyle name="標準 5 2 4 4" xfId="1301" xr:uid="{00000000-0005-0000-0000-0000AD050000}"/>
    <cellStyle name="標準 5 2 4 4 2" xfId="1302" xr:uid="{00000000-0005-0000-0000-0000AE050000}"/>
    <cellStyle name="標準 5 2 4 5" xfId="1303" xr:uid="{00000000-0005-0000-0000-0000AF050000}"/>
    <cellStyle name="標準 5 2 5" xfId="1304" xr:uid="{00000000-0005-0000-0000-0000B0050000}"/>
    <cellStyle name="標準 5 2 5 2" xfId="1305" xr:uid="{00000000-0005-0000-0000-0000B1050000}"/>
    <cellStyle name="標準 5 2 5 2 2" xfId="1306" xr:uid="{00000000-0005-0000-0000-0000B2050000}"/>
    <cellStyle name="標準 5 2 5 3" xfId="1307" xr:uid="{00000000-0005-0000-0000-0000B3050000}"/>
    <cellStyle name="標準 5 2 5 3 2" xfId="1308" xr:uid="{00000000-0005-0000-0000-0000B4050000}"/>
    <cellStyle name="標準 5 2 5 4" xfId="1309" xr:uid="{00000000-0005-0000-0000-0000B5050000}"/>
    <cellStyle name="標準 5 2 5 4 2" xfId="1310" xr:uid="{00000000-0005-0000-0000-0000B6050000}"/>
    <cellStyle name="標準 5 2 5 5" xfId="1311" xr:uid="{00000000-0005-0000-0000-0000B7050000}"/>
    <cellStyle name="標準 5 2 6" xfId="1312" xr:uid="{00000000-0005-0000-0000-0000B8050000}"/>
    <cellStyle name="標準 5 2 6 2" xfId="1313" xr:uid="{00000000-0005-0000-0000-0000B9050000}"/>
    <cellStyle name="標準 5 2 6 2 2" xfId="1314" xr:uid="{00000000-0005-0000-0000-0000BA050000}"/>
    <cellStyle name="標準 5 2 6 3" xfId="1315" xr:uid="{00000000-0005-0000-0000-0000BB050000}"/>
    <cellStyle name="標準 5 2 6 3 2" xfId="1316" xr:uid="{00000000-0005-0000-0000-0000BC050000}"/>
    <cellStyle name="標準 5 2 6 4" xfId="1317" xr:uid="{00000000-0005-0000-0000-0000BD050000}"/>
    <cellStyle name="標準 5 2 7" xfId="1318" xr:uid="{00000000-0005-0000-0000-0000BE050000}"/>
    <cellStyle name="標準 5 2 7 2" xfId="1319" xr:uid="{00000000-0005-0000-0000-0000BF050000}"/>
    <cellStyle name="標準 5 2 7 3" xfId="1320" xr:uid="{00000000-0005-0000-0000-0000C0050000}"/>
    <cellStyle name="標準 5 2 7 4" xfId="1321" xr:uid="{00000000-0005-0000-0000-0000C1050000}"/>
    <cellStyle name="標準 5 2 7 5" xfId="1322" xr:uid="{00000000-0005-0000-0000-0000C2050000}"/>
    <cellStyle name="標準 5 2 8" xfId="1323" xr:uid="{00000000-0005-0000-0000-0000C3050000}"/>
    <cellStyle name="標準 5 2 8 2" xfId="1324" xr:uid="{00000000-0005-0000-0000-0000C4050000}"/>
    <cellStyle name="標準 5 2 8 3" xfId="1325" xr:uid="{00000000-0005-0000-0000-0000C5050000}"/>
    <cellStyle name="標準 5 2 9" xfId="1326" xr:uid="{00000000-0005-0000-0000-0000C6050000}"/>
    <cellStyle name="標準 5 2 9 2" xfId="1327" xr:uid="{00000000-0005-0000-0000-0000C7050000}"/>
    <cellStyle name="標準 5 2_処理詳細" xfId="2172" xr:uid="{00000000-0005-0000-0000-0000C8050000}"/>
    <cellStyle name="標準 5 3" xfId="1328" xr:uid="{00000000-0005-0000-0000-0000C9050000}"/>
    <cellStyle name="標準 5 3 10" xfId="1329" xr:uid="{00000000-0005-0000-0000-0000CA050000}"/>
    <cellStyle name="標準 5 3 10 2" xfId="1330" xr:uid="{00000000-0005-0000-0000-0000CB050000}"/>
    <cellStyle name="標準 5 3 11" xfId="1331" xr:uid="{00000000-0005-0000-0000-0000CC050000}"/>
    <cellStyle name="標準 5 3 12" xfId="1332" xr:uid="{00000000-0005-0000-0000-0000CD050000}"/>
    <cellStyle name="標準 5 3 13" xfId="2173" xr:uid="{00000000-0005-0000-0000-0000CE050000}"/>
    <cellStyle name="標準 5 3 2" xfId="1333" xr:uid="{00000000-0005-0000-0000-0000CF050000}"/>
    <cellStyle name="標準 5 3 2 2" xfId="1334" xr:uid="{00000000-0005-0000-0000-0000D0050000}"/>
    <cellStyle name="標準 5 3 2 2 2" xfId="1335" xr:uid="{00000000-0005-0000-0000-0000D1050000}"/>
    <cellStyle name="標準 5 3 2 2 2 2" xfId="1336" xr:uid="{00000000-0005-0000-0000-0000D2050000}"/>
    <cellStyle name="標準 5 3 2 2 3" xfId="1337" xr:uid="{00000000-0005-0000-0000-0000D3050000}"/>
    <cellStyle name="標準 5 3 2 3" xfId="1338" xr:uid="{00000000-0005-0000-0000-0000D4050000}"/>
    <cellStyle name="標準 5 3 2 3 2" xfId="1339" xr:uid="{00000000-0005-0000-0000-0000D5050000}"/>
    <cellStyle name="標準 5 3 2 4" xfId="1340" xr:uid="{00000000-0005-0000-0000-0000D6050000}"/>
    <cellStyle name="標準 5 3 2 4 2" xfId="1341" xr:uid="{00000000-0005-0000-0000-0000D7050000}"/>
    <cellStyle name="標準 5 3 2 5" xfId="1342" xr:uid="{00000000-0005-0000-0000-0000D8050000}"/>
    <cellStyle name="標準 5 3 3" xfId="1343" xr:uid="{00000000-0005-0000-0000-0000D9050000}"/>
    <cellStyle name="標準 5 3 3 2" xfId="1344" xr:uid="{00000000-0005-0000-0000-0000DA050000}"/>
    <cellStyle name="標準 5 3 3 2 2" xfId="1345" xr:uid="{00000000-0005-0000-0000-0000DB050000}"/>
    <cellStyle name="標準 5 3 3 2 2 2" xfId="1346" xr:uid="{00000000-0005-0000-0000-0000DC050000}"/>
    <cellStyle name="標準 5 3 3 2 3" xfId="1347" xr:uid="{00000000-0005-0000-0000-0000DD050000}"/>
    <cellStyle name="標準 5 3 3 3" xfId="1348" xr:uid="{00000000-0005-0000-0000-0000DE050000}"/>
    <cellStyle name="標準 5 3 3 3 2" xfId="1349" xr:uid="{00000000-0005-0000-0000-0000DF050000}"/>
    <cellStyle name="標準 5 3 3 4" xfId="1350" xr:uid="{00000000-0005-0000-0000-0000E0050000}"/>
    <cellStyle name="標準 5 3 3 4 2" xfId="1351" xr:uid="{00000000-0005-0000-0000-0000E1050000}"/>
    <cellStyle name="標準 5 3 3 5" xfId="1352" xr:uid="{00000000-0005-0000-0000-0000E2050000}"/>
    <cellStyle name="標準 5 3 4" xfId="1353" xr:uid="{00000000-0005-0000-0000-0000E3050000}"/>
    <cellStyle name="標準 5 3 4 2" xfId="1354" xr:uid="{00000000-0005-0000-0000-0000E4050000}"/>
    <cellStyle name="標準 5 3 4 2 2" xfId="1355" xr:uid="{00000000-0005-0000-0000-0000E5050000}"/>
    <cellStyle name="標準 5 3 4 3" xfId="1356" xr:uid="{00000000-0005-0000-0000-0000E6050000}"/>
    <cellStyle name="標準 5 3 4 3 2" xfId="1357" xr:uid="{00000000-0005-0000-0000-0000E7050000}"/>
    <cellStyle name="標準 5 3 4 4" xfId="1358" xr:uid="{00000000-0005-0000-0000-0000E8050000}"/>
    <cellStyle name="標準 5 3 4 4 2" xfId="1359" xr:uid="{00000000-0005-0000-0000-0000E9050000}"/>
    <cellStyle name="標準 5 3 4 5" xfId="1360" xr:uid="{00000000-0005-0000-0000-0000EA050000}"/>
    <cellStyle name="標準 5 3 5" xfId="1361" xr:uid="{00000000-0005-0000-0000-0000EB050000}"/>
    <cellStyle name="標準 5 3 5 2" xfId="1362" xr:uid="{00000000-0005-0000-0000-0000EC050000}"/>
    <cellStyle name="標準 5 3 5 2 2" xfId="1363" xr:uid="{00000000-0005-0000-0000-0000ED050000}"/>
    <cellStyle name="標準 5 3 5 3" xfId="1364" xr:uid="{00000000-0005-0000-0000-0000EE050000}"/>
    <cellStyle name="標準 5 3 5 3 2" xfId="1365" xr:uid="{00000000-0005-0000-0000-0000EF050000}"/>
    <cellStyle name="標準 5 3 5 4" xfId="1366" xr:uid="{00000000-0005-0000-0000-0000F0050000}"/>
    <cellStyle name="標準 5 3 5 4 2" xfId="1367" xr:uid="{00000000-0005-0000-0000-0000F1050000}"/>
    <cellStyle name="標準 5 3 5 5" xfId="1368" xr:uid="{00000000-0005-0000-0000-0000F2050000}"/>
    <cellStyle name="標準 5 3 6" xfId="1369" xr:uid="{00000000-0005-0000-0000-0000F3050000}"/>
    <cellStyle name="標準 5 3 6 2" xfId="1370" xr:uid="{00000000-0005-0000-0000-0000F4050000}"/>
    <cellStyle name="標準 5 3 6 2 2" xfId="1371" xr:uid="{00000000-0005-0000-0000-0000F5050000}"/>
    <cellStyle name="標準 5 3 6 3" xfId="1372" xr:uid="{00000000-0005-0000-0000-0000F6050000}"/>
    <cellStyle name="標準 5 3 6 3 2" xfId="1373" xr:uid="{00000000-0005-0000-0000-0000F7050000}"/>
    <cellStyle name="標準 5 3 6 4" xfId="1374" xr:uid="{00000000-0005-0000-0000-0000F8050000}"/>
    <cellStyle name="標準 5 3 7" xfId="1375" xr:uid="{00000000-0005-0000-0000-0000F9050000}"/>
    <cellStyle name="標準 5 3 7 2" xfId="1376" xr:uid="{00000000-0005-0000-0000-0000FA050000}"/>
    <cellStyle name="標準 5 3 8" xfId="1377" xr:uid="{00000000-0005-0000-0000-0000FB050000}"/>
    <cellStyle name="標準 5 3 8 2" xfId="1378" xr:uid="{00000000-0005-0000-0000-0000FC050000}"/>
    <cellStyle name="標準 5 3 9" xfId="1379" xr:uid="{00000000-0005-0000-0000-0000FD050000}"/>
    <cellStyle name="標準 5 3 9 2" xfId="1380" xr:uid="{00000000-0005-0000-0000-0000FE050000}"/>
    <cellStyle name="標準 5 3_処理詳細" xfId="2174" xr:uid="{00000000-0005-0000-0000-0000FF050000}"/>
    <cellStyle name="標準 5 4" xfId="1381" xr:uid="{00000000-0005-0000-0000-000000060000}"/>
    <cellStyle name="標準 5 4 10" xfId="1382" xr:uid="{00000000-0005-0000-0000-000001060000}"/>
    <cellStyle name="標準 5 4 10 2" xfId="1383" xr:uid="{00000000-0005-0000-0000-000002060000}"/>
    <cellStyle name="標準 5 4 11" xfId="1384" xr:uid="{00000000-0005-0000-0000-000003060000}"/>
    <cellStyle name="標準 5 4 2" xfId="1385" xr:uid="{00000000-0005-0000-0000-000004060000}"/>
    <cellStyle name="標準 5 4 2 2" xfId="1386" xr:uid="{00000000-0005-0000-0000-000005060000}"/>
    <cellStyle name="標準 5 4 2 2 2" xfId="1387" xr:uid="{00000000-0005-0000-0000-000006060000}"/>
    <cellStyle name="標準 5 4 2 2 2 2" xfId="1388" xr:uid="{00000000-0005-0000-0000-000007060000}"/>
    <cellStyle name="標準 5 4 2 2 3" xfId="1389" xr:uid="{00000000-0005-0000-0000-000008060000}"/>
    <cellStyle name="標準 5 4 2 3" xfId="1390" xr:uid="{00000000-0005-0000-0000-000009060000}"/>
    <cellStyle name="標準 5 4 2 3 2" xfId="1391" xr:uid="{00000000-0005-0000-0000-00000A060000}"/>
    <cellStyle name="標準 5 4 2 4" xfId="1392" xr:uid="{00000000-0005-0000-0000-00000B060000}"/>
    <cellStyle name="標準 5 4 2 4 2" xfId="1393" xr:uid="{00000000-0005-0000-0000-00000C060000}"/>
    <cellStyle name="標準 5 4 2 5" xfId="1394" xr:uid="{00000000-0005-0000-0000-00000D060000}"/>
    <cellStyle name="標準 5 4 3" xfId="1395" xr:uid="{00000000-0005-0000-0000-00000E060000}"/>
    <cellStyle name="標準 5 4 3 2" xfId="1396" xr:uid="{00000000-0005-0000-0000-00000F060000}"/>
    <cellStyle name="標準 5 4 3 2 2" xfId="1397" xr:uid="{00000000-0005-0000-0000-000010060000}"/>
    <cellStyle name="標準 5 4 3 2 2 2" xfId="1398" xr:uid="{00000000-0005-0000-0000-000011060000}"/>
    <cellStyle name="標準 5 4 3 2 3" xfId="1399" xr:uid="{00000000-0005-0000-0000-000012060000}"/>
    <cellStyle name="標準 5 4 3 3" xfId="1400" xr:uid="{00000000-0005-0000-0000-000013060000}"/>
    <cellStyle name="標準 5 4 3 3 2" xfId="1401" xr:uid="{00000000-0005-0000-0000-000014060000}"/>
    <cellStyle name="標準 5 4 3 4" xfId="1402" xr:uid="{00000000-0005-0000-0000-000015060000}"/>
    <cellStyle name="標準 5 4 3 4 2" xfId="1403" xr:uid="{00000000-0005-0000-0000-000016060000}"/>
    <cellStyle name="標準 5 4 3 5" xfId="1404" xr:uid="{00000000-0005-0000-0000-000017060000}"/>
    <cellStyle name="標準 5 4 4" xfId="1405" xr:uid="{00000000-0005-0000-0000-000018060000}"/>
    <cellStyle name="標準 5 4 4 2" xfId="1406" xr:uid="{00000000-0005-0000-0000-000019060000}"/>
    <cellStyle name="標準 5 4 4 2 2" xfId="1407" xr:uid="{00000000-0005-0000-0000-00001A060000}"/>
    <cellStyle name="標準 5 4 4 3" xfId="1408" xr:uid="{00000000-0005-0000-0000-00001B060000}"/>
    <cellStyle name="標準 5 4 4 3 2" xfId="1409" xr:uid="{00000000-0005-0000-0000-00001C060000}"/>
    <cellStyle name="標準 5 4 4 4" xfId="1410" xr:uid="{00000000-0005-0000-0000-00001D060000}"/>
    <cellStyle name="標準 5 4 4 4 2" xfId="1411" xr:uid="{00000000-0005-0000-0000-00001E060000}"/>
    <cellStyle name="標準 5 4 4 5" xfId="1412" xr:uid="{00000000-0005-0000-0000-00001F060000}"/>
    <cellStyle name="標準 5 4 5" xfId="1413" xr:uid="{00000000-0005-0000-0000-000020060000}"/>
    <cellStyle name="標準 5 4 5 2" xfId="1414" xr:uid="{00000000-0005-0000-0000-000021060000}"/>
    <cellStyle name="標準 5 4 5 2 2" xfId="1415" xr:uid="{00000000-0005-0000-0000-000022060000}"/>
    <cellStyle name="標準 5 4 5 3" xfId="1416" xr:uid="{00000000-0005-0000-0000-000023060000}"/>
    <cellStyle name="標準 5 4 5 3 2" xfId="1417" xr:uid="{00000000-0005-0000-0000-000024060000}"/>
    <cellStyle name="標準 5 4 5 4" xfId="1418" xr:uid="{00000000-0005-0000-0000-000025060000}"/>
    <cellStyle name="標準 5 4 5 4 2" xfId="1419" xr:uid="{00000000-0005-0000-0000-000026060000}"/>
    <cellStyle name="標準 5 4 5 5" xfId="1420" xr:uid="{00000000-0005-0000-0000-000027060000}"/>
    <cellStyle name="標準 5 4 6" xfId="1421" xr:uid="{00000000-0005-0000-0000-000028060000}"/>
    <cellStyle name="標準 5 4 6 2" xfId="1422" xr:uid="{00000000-0005-0000-0000-000029060000}"/>
    <cellStyle name="標準 5 4 6 2 2" xfId="1423" xr:uid="{00000000-0005-0000-0000-00002A060000}"/>
    <cellStyle name="標準 5 4 6 3" xfId="1424" xr:uid="{00000000-0005-0000-0000-00002B060000}"/>
    <cellStyle name="標準 5 4 6 3 2" xfId="1425" xr:uid="{00000000-0005-0000-0000-00002C060000}"/>
    <cellStyle name="標準 5 4 6 4" xfId="1426" xr:uid="{00000000-0005-0000-0000-00002D060000}"/>
    <cellStyle name="標準 5 4 7" xfId="1427" xr:uid="{00000000-0005-0000-0000-00002E060000}"/>
    <cellStyle name="標準 5 4 7 2" xfId="1428" xr:uid="{00000000-0005-0000-0000-00002F060000}"/>
    <cellStyle name="標準 5 4 8" xfId="1429" xr:uid="{00000000-0005-0000-0000-000030060000}"/>
    <cellStyle name="標準 5 4 8 2" xfId="1430" xr:uid="{00000000-0005-0000-0000-000031060000}"/>
    <cellStyle name="標準 5 4 9" xfId="1431" xr:uid="{00000000-0005-0000-0000-000032060000}"/>
    <cellStyle name="標準 5 4 9 2" xfId="1432" xr:uid="{00000000-0005-0000-0000-000033060000}"/>
    <cellStyle name="標準 5 5" xfId="1433" xr:uid="{00000000-0005-0000-0000-000034060000}"/>
    <cellStyle name="標準 5 5 2" xfId="1434" xr:uid="{00000000-0005-0000-0000-000035060000}"/>
    <cellStyle name="標準 5 5 2 2" xfId="1435" xr:uid="{00000000-0005-0000-0000-000036060000}"/>
    <cellStyle name="標準 5 5 2 2 2" xfId="1436" xr:uid="{00000000-0005-0000-0000-000037060000}"/>
    <cellStyle name="標準 5 5 2 3" xfId="1437" xr:uid="{00000000-0005-0000-0000-000038060000}"/>
    <cellStyle name="標準 5 5 3" xfId="1438" xr:uid="{00000000-0005-0000-0000-000039060000}"/>
    <cellStyle name="標準 5 5 3 2" xfId="1439" xr:uid="{00000000-0005-0000-0000-00003A060000}"/>
    <cellStyle name="標準 5 5 4" xfId="1440" xr:uid="{00000000-0005-0000-0000-00003B060000}"/>
    <cellStyle name="標準 5 5 4 2" xfId="1441" xr:uid="{00000000-0005-0000-0000-00003C060000}"/>
    <cellStyle name="標準 5 5 5" xfId="1442" xr:uid="{00000000-0005-0000-0000-00003D060000}"/>
    <cellStyle name="標準 5 6" xfId="1443" xr:uid="{00000000-0005-0000-0000-00003E060000}"/>
    <cellStyle name="標準 5 6 2" xfId="1444" xr:uid="{00000000-0005-0000-0000-00003F060000}"/>
    <cellStyle name="標準 5 6 2 2" xfId="1445" xr:uid="{00000000-0005-0000-0000-000040060000}"/>
    <cellStyle name="標準 5 6 2 2 2" xfId="1446" xr:uid="{00000000-0005-0000-0000-000041060000}"/>
    <cellStyle name="標準 5 6 2 3" xfId="1447" xr:uid="{00000000-0005-0000-0000-000042060000}"/>
    <cellStyle name="標準 5 6 3" xfId="1448" xr:uid="{00000000-0005-0000-0000-000043060000}"/>
    <cellStyle name="標準 5 6 3 2" xfId="1449" xr:uid="{00000000-0005-0000-0000-000044060000}"/>
    <cellStyle name="標準 5 6 4" xfId="1450" xr:uid="{00000000-0005-0000-0000-000045060000}"/>
    <cellStyle name="標準 5 6 4 2" xfId="1451" xr:uid="{00000000-0005-0000-0000-000046060000}"/>
    <cellStyle name="標準 5 6 5" xfId="1452" xr:uid="{00000000-0005-0000-0000-000047060000}"/>
    <cellStyle name="標準 5 7" xfId="1453" xr:uid="{00000000-0005-0000-0000-000048060000}"/>
    <cellStyle name="標準 5 7 2" xfId="1454" xr:uid="{00000000-0005-0000-0000-000049060000}"/>
    <cellStyle name="標準 5 7 2 2" xfId="1455" xr:uid="{00000000-0005-0000-0000-00004A060000}"/>
    <cellStyle name="標準 5 7 3" xfId="1456" xr:uid="{00000000-0005-0000-0000-00004B060000}"/>
    <cellStyle name="標準 5 7 3 2" xfId="1457" xr:uid="{00000000-0005-0000-0000-00004C060000}"/>
    <cellStyle name="標準 5 7 4" xfId="1458" xr:uid="{00000000-0005-0000-0000-00004D060000}"/>
    <cellStyle name="標準 5 7 4 2" xfId="1459" xr:uid="{00000000-0005-0000-0000-00004E060000}"/>
    <cellStyle name="標準 5 7 5" xfId="1460" xr:uid="{00000000-0005-0000-0000-00004F060000}"/>
    <cellStyle name="標準 5 8" xfId="1461" xr:uid="{00000000-0005-0000-0000-000050060000}"/>
    <cellStyle name="標準 5 8 2" xfId="1462" xr:uid="{00000000-0005-0000-0000-000051060000}"/>
    <cellStyle name="標準 5 8 2 2" xfId="1463" xr:uid="{00000000-0005-0000-0000-000052060000}"/>
    <cellStyle name="標準 5 8 3" xfId="1464" xr:uid="{00000000-0005-0000-0000-000053060000}"/>
    <cellStyle name="標準 5 8 3 2" xfId="1465" xr:uid="{00000000-0005-0000-0000-000054060000}"/>
    <cellStyle name="標準 5 8 4" xfId="1466" xr:uid="{00000000-0005-0000-0000-000055060000}"/>
    <cellStyle name="標準 5 8 4 2" xfId="1467" xr:uid="{00000000-0005-0000-0000-000056060000}"/>
    <cellStyle name="標準 5 8 5" xfId="1468" xr:uid="{00000000-0005-0000-0000-000057060000}"/>
    <cellStyle name="標準 5 9" xfId="1469" xr:uid="{00000000-0005-0000-0000-000058060000}"/>
    <cellStyle name="標準 5 9 2" xfId="1470" xr:uid="{00000000-0005-0000-0000-000059060000}"/>
    <cellStyle name="標準 5 9 2 2" xfId="1471" xr:uid="{00000000-0005-0000-0000-00005A060000}"/>
    <cellStyle name="標準 5 9 3" xfId="1472" xr:uid="{00000000-0005-0000-0000-00005B060000}"/>
    <cellStyle name="標準 5 9 3 2" xfId="1473" xr:uid="{00000000-0005-0000-0000-00005C060000}"/>
    <cellStyle name="標準 5 9 4" xfId="1474" xr:uid="{00000000-0005-0000-0000-00005D060000}"/>
    <cellStyle name="標準 5 9 4 2" xfId="1475" xr:uid="{00000000-0005-0000-0000-00005E060000}"/>
    <cellStyle name="標準 5 9 5" xfId="1476" xr:uid="{00000000-0005-0000-0000-00005F060000}"/>
    <cellStyle name="標準 5_NM" xfId="1477" xr:uid="{00000000-0005-0000-0000-000060060000}"/>
    <cellStyle name="標準 50" xfId="2239" xr:uid="{00000000-0005-0000-0000-000061060000}"/>
    <cellStyle name="標準 51" xfId="2205" xr:uid="{00000000-0005-0000-0000-000062060000}"/>
    <cellStyle name="標準 52" xfId="2125" xr:uid="{00000000-0005-0000-0000-000063060000}"/>
    <cellStyle name="標準 53" xfId="2241" xr:uid="{00000000-0005-0000-0000-000064060000}"/>
    <cellStyle name="標準 54" xfId="2242" xr:uid="{00000000-0005-0000-0000-000065060000}"/>
    <cellStyle name="標準 55" xfId="2261" xr:uid="{00000000-0005-0000-0000-000066060000}"/>
    <cellStyle name="標準 56" xfId="2263" xr:uid="{00000000-0005-0000-0000-000067060000}"/>
    <cellStyle name="標準 57" xfId="2264" xr:uid="{00000000-0005-0000-0000-000068060000}"/>
    <cellStyle name="標準 58" xfId="2262" xr:uid="{00000000-0005-0000-0000-000069060000}"/>
    <cellStyle name="標準 59" xfId="2265" xr:uid="{00000000-0005-0000-0000-00006A060000}"/>
    <cellStyle name="標準 6" xfId="1478" xr:uid="{00000000-0005-0000-0000-00006B060000}"/>
    <cellStyle name="標準 6 10" xfId="1479" xr:uid="{00000000-0005-0000-0000-00006C060000}"/>
    <cellStyle name="標準 6 10 2" xfId="1480" xr:uid="{00000000-0005-0000-0000-00006D060000}"/>
    <cellStyle name="標準 6 10 2 2" xfId="1481" xr:uid="{00000000-0005-0000-0000-00006E060000}"/>
    <cellStyle name="標準 6 10 3" xfId="1482" xr:uid="{00000000-0005-0000-0000-00006F060000}"/>
    <cellStyle name="標準 6 10 4" xfId="1483" xr:uid="{00000000-0005-0000-0000-000070060000}"/>
    <cellStyle name="標準 6 10 5" xfId="1484" xr:uid="{00000000-0005-0000-0000-000071060000}"/>
    <cellStyle name="標準 6 11" xfId="1485" xr:uid="{00000000-0005-0000-0000-000072060000}"/>
    <cellStyle name="標準 6 11 2" xfId="1486" xr:uid="{00000000-0005-0000-0000-000073060000}"/>
    <cellStyle name="標準 6 11 2 2" xfId="1487" xr:uid="{00000000-0005-0000-0000-000074060000}"/>
    <cellStyle name="標準 6 11 3" xfId="1488" xr:uid="{00000000-0005-0000-0000-000075060000}"/>
    <cellStyle name="標準 6 12" xfId="1489" xr:uid="{00000000-0005-0000-0000-000076060000}"/>
    <cellStyle name="標準 6 12 2" xfId="1490" xr:uid="{00000000-0005-0000-0000-000077060000}"/>
    <cellStyle name="標準 6 12 2 2" xfId="1491" xr:uid="{00000000-0005-0000-0000-000078060000}"/>
    <cellStyle name="標準 6 12 3" xfId="1492" xr:uid="{00000000-0005-0000-0000-000079060000}"/>
    <cellStyle name="標準 6 13" xfId="1493" xr:uid="{00000000-0005-0000-0000-00007A060000}"/>
    <cellStyle name="標準 6 13 2" xfId="1494" xr:uid="{00000000-0005-0000-0000-00007B060000}"/>
    <cellStyle name="標準 6 13 2 2" xfId="1495" xr:uid="{00000000-0005-0000-0000-00007C060000}"/>
    <cellStyle name="標準 6 13 3" xfId="1496" xr:uid="{00000000-0005-0000-0000-00007D060000}"/>
    <cellStyle name="標準 6 14" xfId="1497" xr:uid="{00000000-0005-0000-0000-00007E060000}"/>
    <cellStyle name="標準 6 14 2" xfId="1498" xr:uid="{00000000-0005-0000-0000-00007F060000}"/>
    <cellStyle name="標準 6 15" xfId="1499" xr:uid="{00000000-0005-0000-0000-000080060000}"/>
    <cellStyle name="標準 6 16" xfId="1500" xr:uid="{00000000-0005-0000-0000-000081060000}"/>
    <cellStyle name="標準 6 2" xfId="1501" xr:uid="{00000000-0005-0000-0000-000082060000}"/>
    <cellStyle name="標準 6 2 10" xfId="1502" xr:uid="{00000000-0005-0000-0000-000083060000}"/>
    <cellStyle name="標準 6 2 10 2" xfId="1503" xr:uid="{00000000-0005-0000-0000-000084060000}"/>
    <cellStyle name="標準 6 2 11" xfId="1504" xr:uid="{00000000-0005-0000-0000-000085060000}"/>
    <cellStyle name="標準 6 2 11 2" xfId="1505" xr:uid="{00000000-0005-0000-0000-000086060000}"/>
    <cellStyle name="標準 6 2 12" xfId="1506" xr:uid="{00000000-0005-0000-0000-000087060000}"/>
    <cellStyle name="標準 6 2 13" xfId="1507" xr:uid="{00000000-0005-0000-0000-000088060000}"/>
    <cellStyle name="標準 6 2 14" xfId="2176" xr:uid="{00000000-0005-0000-0000-000089060000}"/>
    <cellStyle name="標準 6 2 15" xfId="2175" xr:uid="{00000000-0005-0000-0000-00008A060000}"/>
    <cellStyle name="標準 6 2 2" xfId="1508" xr:uid="{00000000-0005-0000-0000-00008B060000}"/>
    <cellStyle name="標準 6 2 2 2" xfId="1509" xr:uid="{00000000-0005-0000-0000-00008C060000}"/>
    <cellStyle name="標準 6 2 2 2 2" xfId="1510" xr:uid="{00000000-0005-0000-0000-00008D060000}"/>
    <cellStyle name="標準 6 2 2 2 2 2" xfId="1511" xr:uid="{00000000-0005-0000-0000-00008E060000}"/>
    <cellStyle name="標準 6 2 2 2 3" xfId="1512" xr:uid="{00000000-0005-0000-0000-00008F060000}"/>
    <cellStyle name="標準 6 2 2 3" xfId="1513" xr:uid="{00000000-0005-0000-0000-000090060000}"/>
    <cellStyle name="標準 6 2 2 3 2" xfId="1514" xr:uid="{00000000-0005-0000-0000-000091060000}"/>
    <cellStyle name="標準 6 2 2 4" xfId="1515" xr:uid="{00000000-0005-0000-0000-000092060000}"/>
    <cellStyle name="標準 6 2 2 4 2" xfId="1516" xr:uid="{00000000-0005-0000-0000-000093060000}"/>
    <cellStyle name="標準 6 2 2 5" xfId="1517" xr:uid="{00000000-0005-0000-0000-000094060000}"/>
    <cellStyle name="標準 6 2 3" xfId="1518" xr:uid="{00000000-0005-0000-0000-000095060000}"/>
    <cellStyle name="標準 6 2 3 2" xfId="1519" xr:uid="{00000000-0005-0000-0000-000096060000}"/>
    <cellStyle name="標準 6 2 3 2 2" xfId="1520" xr:uid="{00000000-0005-0000-0000-000097060000}"/>
    <cellStyle name="標準 6 2 3 2 2 2" xfId="1521" xr:uid="{00000000-0005-0000-0000-000098060000}"/>
    <cellStyle name="標準 6 2 3 2 3" xfId="1522" xr:uid="{00000000-0005-0000-0000-000099060000}"/>
    <cellStyle name="標準 6 2 3 3" xfId="1523" xr:uid="{00000000-0005-0000-0000-00009A060000}"/>
    <cellStyle name="標準 6 2 3 3 2" xfId="1524" xr:uid="{00000000-0005-0000-0000-00009B060000}"/>
    <cellStyle name="標準 6 2 3 4" xfId="1525" xr:uid="{00000000-0005-0000-0000-00009C060000}"/>
    <cellStyle name="標準 6 2 3 4 2" xfId="1526" xr:uid="{00000000-0005-0000-0000-00009D060000}"/>
    <cellStyle name="標準 6 2 3 5" xfId="1527" xr:uid="{00000000-0005-0000-0000-00009E060000}"/>
    <cellStyle name="標準 6 2 4" xfId="1528" xr:uid="{00000000-0005-0000-0000-00009F060000}"/>
    <cellStyle name="標準 6 2 4 2" xfId="1529" xr:uid="{00000000-0005-0000-0000-0000A0060000}"/>
    <cellStyle name="標準 6 2 4 2 2" xfId="1530" xr:uid="{00000000-0005-0000-0000-0000A1060000}"/>
    <cellStyle name="標準 6 2 4 3" xfId="1531" xr:uid="{00000000-0005-0000-0000-0000A2060000}"/>
    <cellStyle name="標準 6 2 4 3 2" xfId="1532" xr:uid="{00000000-0005-0000-0000-0000A3060000}"/>
    <cellStyle name="標準 6 2 4 4" xfId="1533" xr:uid="{00000000-0005-0000-0000-0000A4060000}"/>
    <cellStyle name="標準 6 2 4 4 2" xfId="1534" xr:uid="{00000000-0005-0000-0000-0000A5060000}"/>
    <cellStyle name="標準 6 2 4 5" xfId="1535" xr:uid="{00000000-0005-0000-0000-0000A6060000}"/>
    <cellStyle name="標準 6 2 5" xfId="1536" xr:uid="{00000000-0005-0000-0000-0000A7060000}"/>
    <cellStyle name="標準 6 2 5 2" xfId="1537" xr:uid="{00000000-0005-0000-0000-0000A8060000}"/>
    <cellStyle name="標準 6 2 5 2 2" xfId="1538" xr:uid="{00000000-0005-0000-0000-0000A9060000}"/>
    <cellStyle name="標準 6 2 5 3" xfId="1539" xr:uid="{00000000-0005-0000-0000-0000AA060000}"/>
    <cellStyle name="標準 6 2 5 3 2" xfId="1540" xr:uid="{00000000-0005-0000-0000-0000AB060000}"/>
    <cellStyle name="標準 6 2 5 4" xfId="1541" xr:uid="{00000000-0005-0000-0000-0000AC060000}"/>
    <cellStyle name="標準 6 2 5 4 2" xfId="1542" xr:uid="{00000000-0005-0000-0000-0000AD060000}"/>
    <cellStyle name="標準 6 2 5 5" xfId="1543" xr:uid="{00000000-0005-0000-0000-0000AE060000}"/>
    <cellStyle name="標準 6 2 6" xfId="1544" xr:uid="{00000000-0005-0000-0000-0000AF060000}"/>
    <cellStyle name="標準 6 2 6 2" xfId="1545" xr:uid="{00000000-0005-0000-0000-0000B0060000}"/>
    <cellStyle name="標準 6 2 6 2 2" xfId="1546" xr:uid="{00000000-0005-0000-0000-0000B1060000}"/>
    <cellStyle name="標準 6 2 6 3" xfId="1547" xr:uid="{00000000-0005-0000-0000-0000B2060000}"/>
    <cellStyle name="標準 6 2 6 3 2" xfId="1548" xr:uid="{00000000-0005-0000-0000-0000B3060000}"/>
    <cellStyle name="標準 6 2 6 4" xfId="1549" xr:uid="{00000000-0005-0000-0000-0000B4060000}"/>
    <cellStyle name="標準 6 2 7" xfId="1550" xr:uid="{00000000-0005-0000-0000-0000B5060000}"/>
    <cellStyle name="標準 6 2 7 2" xfId="1551" xr:uid="{00000000-0005-0000-0000-0000B6060000}"/>
    <cellStyle name="標準 6 2 7 2 2" xfId="1552" xr:uid="{00000000-0005-0000-0000-0000B7060000}"/>
    <cellStyle name="標準 6 2 7 3" xfId="1553" xr:uid="{00000000-0005-0000-0000-0000B8060000}"/>
    <cellStyle name="標準 6 2 7 3 2" xfId="1554" xr:uid="{00000000-0005-0000-0000-0000B9060000}"/>
    <cellStyle name="標準 6 2 7 4" xfId="1555" xr:uid="{00000000-0005-0000-0000-0000BA060000}"/>
    <cellStyle name="標準 6 2 8" xfId="1556" xr:uid="{00000000-0005-0000-0000-0000BB060000}"/>
    <cellStyle name="標準 6 2 8 2" xfId="1557" xr:uid="{00000000-0005-0000-0000-0000BC060000}"/>
    <cellStyle name="標準 6 2 9" xfId="1558" xr:uid="{00000000-0005-0000-0000-0000BD060000}"/>
    <cellStyle name="標準 6 2 9 2" xfId="1559" xr:uid="{00000000-0005-0000-0000-0000BE060000}"/>
    <cellStyle name="標準 6 2_処理詳細" xfId="2177" xr:uid="{00000000-0005-0000-0000-0000BF060000}"/>
    <cellStyle name="標準 6 3" xfId="1560" xr:uid="{00000000-0005-0000-0000-0000C0060000}"/>
    <cellStyle name="標準 6 3 10" xfId="1561" xr:uid="{00000000-0005-0000-0000-0000C1060000}"/>
    <cellStyle name="標準 6 3 10 2" xfId="1562" xr:uid="{00000000-0005-0000-0000-0000C2060000}"/>
    <cellStyle name="標準 6 3 11" xfId="1563" xr:uid="{00000000-0005-0000-0000-0000C3060000}"/>
    <cellStyle name="標準 6 3 12" xfId="1564" xr:uid="{00000000-0005-0000-0000-0000C4060000}"/>
    <cellStyle name="標準 6 3 13" xfId="1565" xr:uid="{00000000-0005-0000-0000-0000C5060000}"/>
    <cellStyle name="標準 6 3 14" xfId="2178" xr:uid="{00000000-0005-0000-0000-0000C6060000}"/>
    <cellStyle name="標準 6 3 2" xfId="1566" xr:uid="{00000000-0005-0000-0000-0000C7060000}"/>
    <cellStyle name="標準 6 3 2 2" xfId="1567" xr:uid="{00000000-0005-0000-0000-0000C8060000}"/>
    <cellStyle name="標準 6 3 2 2 2" xfId="1568" xr:uid="{00000000-0005-0000-0000-0000C9060000}"/>
    <cellStyle name="標準 6 3 2 2 2 2" xfId="1569" xr:uid="{00000000-0005-0000-0000-0000CA060000}"/>
    <cellStyle name="標準 6 3 2 2 3" xfId="1570" xr:uid="{00000000-0005-0000-0000-0000CB060000}"/>
    <cellStyle name="標準 6 3 2 3" xfId="1571" xr:uid="{00000000-0005-0000-0000-0000CC060000}"/>
    <cellStyle name="標準 6 3 2 3 2" xfId="1572" xr:uid="{00000000-0005-0000-0000-0000CD060000}"/>
    <cellStyle name="標準 6 3 2 4" xfId="1573" xr:uid="{00000000-0005-0000-0000-0000CE060000}"/>
    <cellStyle name="標準 6 3 2 4 2" xfId="1574" xr:uid="{00000000-0005-0000-0000-0000CF060000}"/>
    <cellStyle name="標準 6 3 2 5" xfId="1575" xr:uid="{00000000-0005-0000-0000-0000D0060000}"/>
    <cellStyle name="標準 6 3 3" xfId="1576" xr:uid="{00000000-0005-0000-0000-0000D1060000}"/>
    <cellStyle name="標準 6 3 3 2" xfId="1577" xr:uid="{00000000-0005-0000-0000-0000D2060000}"/>
    <cellStyle name="標準 6 3 3 2 2" xfId="1578" xr:uid="{00000000-0005-0000-0000-0000D3060000}"/>
    <cellStyle name="標準 6 3 3 2 2 2" xfId="1579" xr:uid="{00000000-0005-0000-0000-0000D4060000}"/>
    <cellStyle name="標準 6 3 3 2 3" xfId="1580" xr:uid="{00000000-0005-0000-0000-0000D5060000}"/>
    <cellStyle name="標準 6 3 3 3" xfId="1581" xr:uid="{00000000-0005-0000-0000-0000D6060000}"/>
    <cellStyle name="標準 6 3 3 3 2" xfId="1582" xr:uid="{00000000-0005-0000-0000-0000D7060000}"/>
    <cellStyle name="標準 6 3 3 4" xfId="1583" xr:uid="{00000000-0005-0000-0000-0000D8060000}"/>
    <cellStyle name="標準 6 3 3 4 2" xfId="1584" xr:uid="{00000000-0005-0000-0000-0000D9060000}"/>
    <cellStyle name="標準 6 3 3 5" xfId="1585" xr:uid="{00000000-0005-0000-0000-0000DA060000}"/>
    <cellStyle name="標準 6 3 4" xfId="1586" xr:uid="{00000000-0005-0000-0000-0000DB060000}"/>
    <cellStyle name="標準 6 3 4 2" xfId="1587" xr:uid="{00000000-0005-0000-0000-0000DC060000}"/>
    <cellStyle name="標準 6 3 4 2 2" xfId="1588" xr:uid="{00000000-0005-0000-0000-0000DD060000}"/>
    <cellStyle name="標準 6 3 4 3" xfId="1589" xr:uid="{00000000-0005-0000-0000-0000DE060000}"/>
    <cellStyle name="標準 6 3 4 3 2" xfId="1590" xr:uid="{00000000-0005-0000-0000-0000DF060000}"/>
    <cellStyle name="標準 6 3 4 4" xfId="1591" xr:uid="{00000000-0005-0000-0000-0000E0060000}"/>
    <cellStyle name="標準 6 3 4 4 2" xfId="1592" xr:uid="{00000000-0005-0000-0000-0000E1060000}"/>
    <cellStyle name="標準 6 3 4 5" xfId="1593" xr:uid="{00000000-0005-0000-0000-0000E2060000}"/>
    <cellStyle name="標準 6 3 5" xfId="1594" xr:uid="{00000000-0005-0000-0000-0000E3060000}"/>
    <cellStyle name="標準 6 3 5 2" xfId="1595" xr:uid="{00000000-0005-0000-0000-0000E4060000}"/>
    <cellStyle name="標準 6 3 5 2 2" xfId="1596" xr:uid="{00000000-0005-0000-0000-0000E5060000}"/>
    <cellStyle name="標準 6 3 5 3" xfId="1597" xr:uid="{00000000-0005-0000-0000-0000E6060000}"/>
    <cellStyle name="標準 6 3 5 3 2" xfId="1598" xr:uid="{00000000-0005-0000-0000-0000E7060000}"/>
    <cellStyle name="標準 6 3 5 4" xfId="1599" xr:uid="{00000000-0005-0000-0000-0000E8060000}"/>
    <cellStyle name="標準 6 3 5 4 2" xfId="1600" xr:uid="{00000000-0005-0000-0000-0000E9060000}"/>
    <cellStyle name="標準 6 3 5 5" xfId="1601" xr:uid="{00000000-0005-0000-0000-0000EA060000}"/>
    <cellStyle name="標準 6 3 6" xfId="1602" xr:uid="{00000000-0005-0000-0000-0000EB060000}"/>
    <cellStyle name="標準 6 3 6 2" xfId="1603" xr:uid="{00000000-0005-0000-0000-0000EC060000}"/>
    <cellStyle name="標準 6 3 6 2 2" xfId="1604" xr:uid="{00000000-0005-0000-0000-0000ED060000}"/>
    <cellStyle name="標準 6 3 6 3" xfId="1605" xr:uid="{00000000-0005-0000-0000-0000EE060000}"/>
    <cellStyle name="標準 6 3 6 3 2" xfId="1606" xr:uid="{00000000-0005-0000-0000-0000EF060000}"/>
    <cellStyle name="標準 6 3 6 4" xfId="1607" xr:uid="{00000000-0005-0000-0000-0000F0060000}"/>
    <cellStyle name="標準 6 3 7" xfId="1608" xr:uid="{00000000-0005-0000-0000-0000F1060000}"/>
    <cellStyle name="標準 6 3 7 2" xfId="1609" xr:uid="{00000000-0005-0000-0000-0000F2060000}"/>
    <cellStyle name="標準 6 3 8" xfId="1610" xr:uid="{00000000-0005-0000-0000-0000F3060000}"/>
    <cellStyle name="標準 6 3 8 2" xfId="1611" xr:uid="{00000000-0005-0000-0000-0000F4060000}"/>
    <cellStyle name="標準 6 3 9" xfId="1612" xr:uid="{00000000-0005-0000-0000-0000F5060000}"/>
    <cellStyle name="標準 6 3 9 2" xfId="1613" xr:uid="{00000000-0005-0000-0000-0000F6060000}"/>
    <cellStyle name="標準 6 3_処理詳細" xfId="2179" xr:uid="{00000000-0005-0000-0000-0000F7060000}"/>
    <cellStyle name="標準 6 4" xfId="1614" xr:uid="{00000000-0005-0000-0000-0000F8060000}"/>
    <cellStyle name="標準 6 4 10" xfId="1615" xr:uid="{00000000-0005-0000-0000-0000F9060000}"/>
    <cellStyle name="標準 6 4 10 2" xfId="1616" xr:uid="{00000000-0005-0000-0000-0000FA060000}"/>
    <cellStyle name="標準 6 4 11" xfId="1617" xr:uid="{00000000-0005-0000-0000-0000FB060000}"/>
    <cellStyle name="標準 6 4 12" xfId="1618" xr:uid="{00000000-0005-0000-0000-0000FC060000}"/>
    <cellStyle name="標準 6 4 2" xfId="1619" xr:uid="{00000000-0005-0000-0000-0000FD060000}"/>
    <cellStyle name="標準 6 4 2 2" xfId="1620" xr:uid="{00000000-0005-0000-0000-0000FE060000}"/>
    <cellStyle name="標準 6 4 2 2 2" xfId="1621" xr:uid="{00000000-0005-0000-0000-0000FF060000}"/>
    <cellStyle name="標準 6 4 2 2 2 2" xfId="1622" xr:uid="{00000000-0005-0000-0000-000000070000}"/>
    <cellStyle name="標準 6 4 2 2 3" xfId="1623" xr:uid="{00000000-0005-0000-0000-000001070000}"/>
    <cellStyle name="標準 6 4 2 3" xfId="1624" xr:uid="{00000000-0005-0000-0000-000002070000}"/>
    <cellStyle name="標準 6 4 2 3 2" xfId="1625" xr:uid="{00000000-0005-0000-0000-000003070000}"/>
    <cellStyle name="標準 6 4 2 4" xfId="1626" xr:uid="{00000000-0005-0000-0000-000004070000}"/>
    <cellStyle name="標準 6 4 2 4 2" xfId="1627" xr:uid="{00000000-0005-0000-0000-000005070000}"/>
    <cellStyle name="標準 6 4 2 5" xfId="1628" xr:uid="{00000000-0005-0000-0000-000006070000}"/>
    <cellStyle name="標準 6 4 3" xfId="1629" xr:uid="{00000000-0005-0000-0000-000007070000}"/>
    <cellStyle name="標準 6 4 3 2" xfId="1630" xr:uid="{00000000-0005-0000-0000-000008070000}"/>
    <cellStyle name="標準 6 4 3 2 2" xfId="1631" xr:uid="{00000000-0005-0000-0000-000009070000}"/>
    <cellStyle name="標準 6 4 3 2 2 2" xfId="1632" xr:uid="{00000000-0005-0000-0000-00000A070000}"/>
    <cellStyle name="標準 6 4 3 2 3" xfId="1633" xr:uid="{00000000-0005-0000-0000-00000B070000}"/>
    <cellStyle name="標準 6 4 3 3" xfId="1634" xr:uid="{00000000-0005-0000-0000-00000C070000}"/>
    <cellStyle name="標準 6 4 3 3 2" xfId="1635" xr:uid="{00000000-0005-0000-0000-00000D070000}"/>
    <cellStyle name="標準 6 4 3 4" xfId="1636" xr:uid="{00000000-0005-0000-0000-00000E070000}"/>
    <cellStyle name="標準 6 4 3 4 2" xfId="1637" xr:uid="{00000000-0005-0000-0000-00000F070000}"/>
    <cellStyle name="標準 6 4 3 5" xfId="1638" xr:uid="{00000000-0005-0000-0000-000010070000}"/>
    <cellStyle name="標準 6 4 4" xfId="1639" xr:uid="{00000000-0005-0000-0000-000011070000}"/>
    <cellStyle name="標準 6 4 4 2" xfId="1640" xr:uid="{00000000-0005-0000-0000-000012070000}"/>
    <cellStyle name="標準 6 4 4 2 2" xfId="1641" xr:uid="{00000000-0005-0000-0000-000013070000}"/>
    <cellStyle name="標準 6 4 4 3" xfId="1642" xr:uid="{00000000-0005-0000-0000-000014070000}"/>
    <cellStyle name="標準 6 4 4 3 2" xfId="1643" xr:uid="{00000000-0005-0000-0000-000015070000}"/>
    <cellStyle name="標準 6 4 4 4" xfId="1644" xr:uid="{00000000-0005-0000-0000-000016070000}"/>
    <cellStyle name="標準 6 4 4 4 2" xfId="1645" xr:uid="{00000000-0005-0000-0000-000017070000}"/>
    <cellStyle name="標準 6 4 4 5" xfId="1646" xr:uid="{00000000-0005-0000-0000-000018070000}"/>
    <cellStyle name="標準 6 4 5" xfId="1647" xr:uid="{00000000-0005-0000-0000-000019070000}"/>
    <cellStyle name="標準 6 4 5 2" xfId="1648" xr:uid="{00000000-0005-0000-0000-00001A070000}"/>
    <cellStyle name="標準 6 4 5 2 2" xfId="1649" xr:uid="{00000000-0005-0000-0000-00001B070000}"/>
    <cellStyle name="標準 6 4 5 3" xfId="1650" xr:uid="{00000000-0005-0000-0000-00001C070000}"/>
    <cellStyle name="標準 6 4 5 3 2" xfId="1651" xr:uid="{00000000-0005-0000-0000-00001D070000}"/>
    <cellStyle name="標準 6 4 5 4" xfId="1652" xr:uid="{00000000-0005-0000-0000-00001E070000}"/>
    <cellStyle name="標準 6 4 5 4 2" xfId="1653" xr:uid="{00000000-0005-0000-0000-00001F070000}"/>
    <cellStyle name="標準 6 4 5 5" xfId="1654" xr:uid="{00000000-0005-0000-0000-000020070000}"/>
    <cellStyle name="標準 6 4 6" xfId="1655" xr:uid="{00000000-0005-0000-0000-000021070000}"/>
    <cellStyle name="標準 6 4 6 2" xfId="1656" xr:uid="{00000000-0005-0000-0000-000022070000}"/>
    <cellStyle name="標準 6 4 6 2 2" xfId="1657" xr:uid="{00000000-0005-0000-0000-000023070000}"/>
    <cellStyle name="標準 6 4 6 3" xfId="1658" xr:uid="{00000000-0005-0000-0000-000024070000}"/>
    <cellStyle name="標準 6 4 6 3 2" xfId="1659" xr:uid="{00000000-0005-0000-0000-000025070000}"/>
    <cellStyle name="標準 6 4 6 4" xfId="1660" xr:uid="{00000000-0005-0000-0000-000026070000}"/>
    <cellStyle name="標準 6 4 7" xfId="1661" xr:uid="{00000000-0005-0000-0000-000027070000}"/>
    <cellStyle name="標準 6 4 7 2" xfId="1662" xr:uid="{00000000-0005-0000-0000-000028070000}"/>
    <cellStyle name="標準 6 4 8" xfId="1663" xr:uid="{00000000-0005-0000-0000-000029070000}"/>
    <cellStyle name="標準 6 4 8 2" xfId="1664" xr:uid="{00000000-0005-0000-0000-00002A070000}"/>
    <cellStyle name="標準 6 4 9" xfId="1665" xr:uid="{00000000-0005-0000-0000-00002B070000}"/>
    <cellStyle name="標準 6 4 9 2" xfId="1666" xr:uid="{00000000-0005-0000-0000-00002C070000}"/>
    <cellStyle name="標準 6 4_処理詳細" xfId="2180" xr:uid="{00000000-0005-0000-0000-00002D070000}"/>
    <cellStyle name="標準 6 5" xfId="1667" xr:uid="{00000000-0005-0000-0000-00002E070000}"/>
    <cellStyle name="標準 6 5 2" xfId="1668" xr:uid="{00000000-0005-0000-0000-00002F070000}"/>
    <cellStyle name="標準 6 5 2 2" xfId="1669" xr:uid="{00000000-0005-0000-0000-000030070000}"/>
    <cellStyle name="標準 6 5 2 2 2" xfId="1670" xr:uid="{00000000-0005-0000-0000-000031070000}"/>
    <cellStyle name="標準 6 5 2 3" xfId="1671" xr:uid="{00000000-0005-0000-0000-000032070000}"/>
    <cellStyle name="標準 6 5 3" xfId="1672" xr:uid="{00000000-0005-0000-0000-000033070000}"/>
    <cellStyle name="標準 6 5 3 2" xfId="1673" xr:uid="{00000000-0005-0000-0000-000034070000}"/>
    <cellStyle name="標準 6 5 4" xfId="1674" xr:uid="{00000000-0005-0000-0000-000035070000}"/>
    <cellStyle name="標準 6 5 4 2" xfId="1675" xr:uid="{00000000-0005-0000-0000-000036070000}"/>
    <cellStyle name="標準 6 5 5" xfId="1676" xr:uid="{00000000-0005-0000-0000-000037070000}"/>
    <cellStyle name="標準 6 5 6" xfId="1677" xr:uid="{00000000-0005-0000-0000-000038070000}"/>
    <cellStyle name="標準 6 5 7" xfId="1678" xr:uid="{00000000-0005-0000-0000-000039070000}"/>
    <cellStyle name="標準 6 5 8" xfId="1679" xr:uid="{00000000-0005-0000-0000-00003A070000}"/>
    <cellStyle name="標準 6 6" xfId="1680" xr:uid="{00000000-0005-0000-0000-00003B070000}"/>
    <cellStyle name="標準 6 6 2" xfId="1681" xr:uid="{00000000-0005-0000-0000-00003C070000}"/>
    <cellStyle name="標準 6 6 2 2" xfId="1682" xr:uid="{00000000-0005-0000-0000-00003D070000}"/>
    <cellStyle name="標準 6 6 2 2 2" xfId="1683" xr:uid="{00000000-0005-0000-0000-00003E070000}"/>
    <cellStyle name="標準 6 6 2 3" xfId="1684" xr:uid="{00000000-0005-0000-0000-00003F070000}"/>
    <cellStyle name="標準 6 6 3" xfId="1685" xr:uid="{00000000-0005-0000-0000-000040070000}"/>
    <cellStyle name="標準 6 6 3 2" xfId="1686" xr:uid="{00000000-0005-0000-0000-000041070000}"/>
    <cellStyle name="標準 6 6 4" xfId="1687" xr:uid="{00000000-0005-0000-0000-000042070000}"/>
    <cellStyle name="標準 6 6 4 2" xfId="1688" xr:uid="{00000000-0005-0000-0000-000043070000}"/>
    <cellStyle name="標準 6 6 5" xfId="1689" xr:uid="{00000000-0005-0000-0000-000044070000}"/>
    <cellStyle name="標準 6 7" xfId="1690" xr:uid="{00000000-0005-0000-0000-000045070000}"/>
    <cellStyle name="標準 6 7 2" xfId="1691" xr:uid="{00000000-0005-0000-0000-000046070000}"/>
    <cellStyle name="標準 6 7 2 2" xfId="1692" xr:uid="{00000000-0005-0000-0000-000047070000}"/>
    <cellStyle name="標準 6 7 3" xfId="1693" xr:uid="{00000000-0005-0000-0000-000048070000}"/>
    <cellStyle name="標準 6 7 3 2" xfId="1694" xr:uid="{00000000-0005-0000-0000-000049070000}"/>
    <cellStyle name="標準 6 7 4" xfId="1695" xr:uid="{00000000-0005-0000-0000-00004A070000}"/>
    <cellStyle name="標準 6 7 4 2" xfId="1696" xr:uid="{00000000-0005-0000-0000-00004B070000}"/>
    <cellStyle name="標準 6 7 5" xfId="1697" xr:uid="{00000000-0005-0000-0000-00004C070000}"/>
    <cellStyle name="標準 6 8" xfId="1698" xr:uid="{00000000-0005-0000-0000-00004D070000}"/>
    <cellStyle name="標準 6 8 2" xfId="1699" xr:uid="{00000000-0005-0000-0000-00004E070000}"/>
    <cellStyle name="標準 6 8 2 2" xfId="1700" xr:uid="{00000000-0005-0000-0000-00004F070000}"/>
    <cellStyle name="標準 6 8 3" xfId="1701" xr:uid="{00000000-0005-0000-0000-000050070000}"/>
    <cellStyle name="標準 6 8 3 2" xfId="1702" xr:uid="{00000000-0005-0000-0000-000051070000}"/>
    <cellStyle name="標準 6 8 4" xfId="1703" xr:uid="{00000000-0005-0000-0000-000052070000}"/>
    <cellStyle name="標準 6 8 4 2" xfId="1704" xr:uid="{00000000-0005-0000-0000-000053070000}"/>
    <cellStyle name="標準 6 8 5" xfId="1705" xr:uid="{00000000-0005-0000-0000-000054070000}"/>
    <cellStyle name="標準 6 9" xfId="1706" xr:uid="{00000000-0005-0000-0000-000055070000}"/>
    <cellStyle name="標準 6 9 2" xfId="1707" xr:uid="{00000000-0005-0000-0000-000056070000}"/>
    <cellStyle name="標準 6 9 2 2" xfId="1708" xr:uid="{00000000-0005-0000-0000-000057070000}"/>
    <cellStyle name="標準 6 9 3" xfId="1709" xr:uid="{00000000-0005-0000-0000-000058070000}"/>
    <cellStyle name="標準 6 9 3 2" xfId="1710" xr:uid="{00000000-0005-0000-0000-000059070000}"/>
    <cellStyle name="標準 6 9 4" xfId="1711" xr:uid="{00000000-0005-0000-0000-00005A070000}"/>
    <cellStyle name="標準 6 9 4 2" xfId="1712" xr:uid="{00000000-0005-0000-0000-00005B070000}"/>
    <cellStyle name="標準 6 9 5" xfId="1713" xr:uid="{00000000-0005-0000-0000-00005C070000}"/>
    <cellStyle name="標準 6_NM" xfId="1714" xr:uid="{00000000-0005-0000-0000-00005D070000}"/>
    <cellStyle name="標準 60" xfId="2244" xr:uid="{00000000-0005-0000-0000-00005E070000}"/>
    <cellStyle name="標準 61" xfId="2266" xr:uid="{00000000-0005-0000-0000-00005F070000}"/>
    <cellStyle name="標準 62" xfId="2267" xr:uid="{00000000-0005-0000-0000-000060070000}"/>
    <cellStyle name="標準 63" xfId="2268" xr:uid="{00000000-0005-0000-0000-000061070000}"/>
    <cellStyle name="標準 7" xfId="1715" xr:uid="{00000000-0005-0000-0000-000062070000}"/>
    <cellStyle name="標準 7 10" xfId="1716" xr:uid="{00000000-0005-0000-0000-000063070000}"/>
    <cellStyle name="標準 7 10 2" xfId="1717" xr:uid="{00000000-0005-0000-0000-000064070000}"/>
    <cellStyle name="標準 7 10 2 2" xfId="1718" xr:uid="{00000000-0005-0000-0000-000065070000}"/>
    <cellStyle name="標準 7 10 3" xfId="1719" xr:uid="{00000000-0005-0000-0000-000066070000}"/>
    <cellStyle name="標準 7 10 4" xfId="1720" xr:uid="{00000000-0005-0000-0000-000067070000}"/>
    <cellStyle name="標準 7 10 5" xfId="1721" xr:uid="{00000000-0005-0000-0000-000068070000}"/>
    <cellStyle name="標準 7 11" xfId="1722" xr:uid="{00000000-0005-0000-0000-000069070000}"/>
    <cellStyle name="標準 7 11 2" xfId="1723" xr:uid="{00000000-0005-0000-0000-00006A070000}"/>
    <cellStyle name="標準 7 12" xfId="1724" xr:uid="{00000000-0005-0000-0000-00006B070000}"/>
    <cellStyle name="標準 7 12 2" xfId="1725" xr:uid="{00000000-0005-0000-0000-00006C070000}"/>
    <cellStyle name="標準 7 13" xfId="1726" xr:uid="{00000000-0005-0000-0000-00006D070000}"/>
    <cellStyle name="標準 7 13 2" xfId="1727" xr:uid="{00000000-0005-0000-0000-00006E070000}"/>
    <cellStyle name="標準 7 14" xfId="1728" xr:uid="{00000000-0005-0000-0000-00006F070000}"/>
    <cellStyle name="標準 7 15" xfId="1729" xr:uid="{00000000-0005-0000-0000-000070070000}"/>
    <cellStyle name="標準 7 16" xfId="1730" xr:uid="{00000000-0005-0000-0000-000071070000}"/>
    <cellStyle name="標準 7 17" xfId="1731" xr:uid="{00000000-0005-0000-0000-000072070000}"/>
    <cellStyle name="標準 7 2" xfId="1732" xr:uid="{00000000-0005-0000-0000-000073070000}"/>
    <cellStyle name="標準 7 2 10" xfId="1733" xr:uid="{00000000-0005-0000-0000-000074070000}"/>
    <cellStyle name="標準 7 2 10 2" xfId="1734" xr:uid="{00000000-0005-0000-0000-000075070000}"/>
    <cellStyle name="標準 7 2 11" xfId="1735" xr:uid="{00000000-0005-0000-0000-000076070000}"/>
    <cellStyle name="標準 7 2 12" xfId="1736" xr:uid="{00000000-0005-0000-0000-000077070000}"/>
    <cellStyle name="標準 7 2 13" xfId="1737" xr:uid="{00000000-0005-0000-0000-000078070000}"/>
    <cellStyle name="標準 7 2 14" xfId="2182" xr:uid="{00000000-0005-0000-0000-000079070000}"/>
    <cellStyle name="標準 7 2 15" xfId="2181" xr:uid="{00000000-0005-0000-0000-00007A070000}"/>
    <cellStyle name="標準 7 2 2" xfId="1738" xr:uid="{00000000-0005-0000-0000-00007B070000}"/>
    <cellStyle name="標準 7 2 2 2" xfId="1739" xr:uid="{00000000-0005-0000-0000-00007C070000}"/>
    <cellStyle name="標準 7 2 2 2 2" xfId="1740" xr:uid="{00000000-0005-0000-0000-00007D070000}"/>
    <cellStyle name="標準 7 2 2 2 2 2" xfId="1741" xr:uid="{00000000-0005-0000-0000-00007E070000}"/>
    <cellStyle name="標準 7 2 2 2 3" xfId="1742" xr:uid="{00000000-0005-0000-0000-00007F070000}"/>
    <cellStyle name="標準 7 2 2 3" xfId="1743" xr:uid="{00000000-0005-0000-0000-000080070000}"/>
    <cellStyle name="標準 7 2 2 3 2" xfId="1744" xr:uid="{00000000-0005-0000-0000-000081070000}"/>
    <cellStyle name="標準 7 2 2 4" xfId="1745" xr:uid="{00000000-0005-0000-0000-000082070000}"/>
    <cellStyle name="標準 7 2 2 4 2" xfId="1746" xr:uid="{00000000-0005-0000-0000-000083070000}"/>
    <cellStyle name="標準 7 2 2 5" xfId="1747" xr:uid="{00000000-0005-0000-0000-000084070000}"/>
    <cellStyle name="標準 7 2 3" xfId="1748" xr:uid="{00000000-0005-0000-0000-000085070000}"/>
    <cellStyle name="標準 7 2 3 2" xfId="1749" xr:uid="{00000000-0005-0000-0000-000086070000}"/>
    <cellStyle name="標準 7 2 3 2 2" xfId="1750" xr:uid="{00000000-0005-0000-0000-000087070000}"/>
    <cellStyle name="標準 7 2 3 2 2 2" xfId="1751" xr:uid="{00000000-0005-0000-0000-000088070000}"/>
    <cellStyle name="標準 7 2 3 2 3" xfId="1752" xr:uid="{00000000-0005-0000-0000-000089070000}"/>
    <cellStyle name="標準 7 2 3 3" xfId="1753" xr:uid="{00000000-0005-0000-0000-00008A070000}"/>
    <cellStyle name="標準 7 2 3 3 2" xfId="1754" xr:uid="{00000000-0005-0000-0000-00008B070000}"/>
    <cellStyle name="標準 7 2 3 4" xfId="1755" xr:uid="{00000000-0005-0000-0000-00008C070000}"/>
    <cellStyle name="標準 7 2 3 4 2" xfId="1756" xr:uid="{00000000-0005-0000-0000-00008D070000}"/>
    <cellStyle name="標準 7 2 3 5" xfId="1757" xr:uid="{00000000-0005-0000-0000-00008E070000}"/>
    <cellStyle name="標準 7 2 4" xfId="1758" xr:uid="{00000000-0005-0000-0000-00008F070000}"/>
    <cellStyle name="標準 7 2 4 2" xfId="1759" xr:uid="{00000000-0005-0000-0000-000090070000}"/>
    <cellStyle name="標準 7 2 4 2 2" xfId="1760" xr:uid="{00000000-0005-0000-0000-000091070000}"/>
    <cellStyle name="標準 7 2 4 3" xfId="1761" xr:uid="{00000000-0005-0000-0000-000092070000}"/>
    <cellStyle name="標準 7 2 4 3 2" xfId="1762" xr:uid="{00000000-0005-0000-0000-000093070000}"/>
    <cellStyle name="標準 7 2 4 4" xfId="1763" xr:uid="{00000000-0005-0000-0000-000094070000}"/>
    <cellStyle name="標準 7 2 4 4 2" xfId="1764" xr:uid="{00000000-0005-0000-0000-000095070000}"/>
    <cellStyle name="標準 7 2 4 5" xfId="1765" xr:uid="{00000000-0005-0000-0000-000096070000}"/>
    <cellStyle name="標準 7 2 5" xfId="1766" xr:uid="{00000000-0005-0000-0000-000097070000}"/>
    <cellStyle name="標準 7 2 5 2" xfId="1767" xr:uid="{00000000-0005-0000-0000-000098070000}"/>
    <cellStyle name="標準 7 2 5 2 2" xfId="1768" xr:uid="{00000000-0005-0000-0000-000099070000}"/>
    <cellStyle name="標準 7 2 5 3" xfId="1769" xr:uid="{00000000-0005-0000-0000-00009A070000}"/>
    <cellStyle name="標準 7 2 5 3 2" xfId="1770" xr:uid="{00000000-0005-0000-0000-00009B070000}"/>
    <cellStyle name="標準 7 2 5 4" xfId="1771" xr:uid="{00000000-0005-0000-0000-00009C070000}"/>
    <cellStyle name="標準 7 2 5 4 2" xfId="1772" xr:uid="{00000000-0005-0000-0000-00009D070000}"/>
    <cellStyle name="標準 7 2 5 5" xfId="1773" xr:uid="{00000000-0005-0000-0000-00009E070000}"/>
    <cellStyle name="標準 7 2 6" xfId="1774" xr:uid="{00000000-0005-0000-0000-00009F070000}"/>
    <cellStyle name="標準 7 2 6 2" xfId="1775" xr:uid="{00000000-0005-0000-0000-0000A0070000}"/>
    <cellStyle name="標準 7 2 6 2 2" xfId="1776" xr:uid="{00000000-0005-0000-0000-0000A1070000}"/>
    <cellStyle name="標準 7 2 6 3" xfId="1777" xr:uid="{00000000-0005-0000-0000-0000A2070000}"/>
    <cellStyle name="標準 7 2 6 3 2" xfId="1778" xr:uid="{00000000-0005-0000-0000-0000A3070000}"/>
    <cellStyle name="標準 7 2 6 4" xfId="1779" xr:uid="{00000000-0005-0000-0000-0000A4070000}"/>
    <cellStyle name="標準 7 2 7" xfId="1780" xr:uid="{00000000-0005-0000-0000-0000A5070000}"/>
    <cellStyle name="標準 7 2 7 2" xfId="1781" xr:uid="{00000000-0005-0000-0000-0000A6070000}"/>
    <cellStyle name="標準 7 2 8" xfId="1782" xr:uid="{00000000-0005-0000-0000-0000A7070000}"/>
    <cellStyle name="標準 7 2 8 2" xfId="1783" xr:uid="{00000000-0005-0000-0000-0000A8070000}"/>
    <cellStyle name="標準 7 2 9" xfId="1784" xr:uid="{00000000-0005-0000-0000-0000A9070000}"/>
    <cellStyle name="標準 7 2 9 2" xfId="1785" xr:uid="{00000000-0005-0000-0000-0000AA070000}"/>
    <cellStyle name="標準 7 2_処理詳細" xfId="2183" xr:uid="{00000000-0005-0000-0000-0000AB070000}"/>
    <cellStyle name="標準 7 3" xfId="1786" xr:uid="{00000000-0005-0000-0000-0000AC070000}"/>
    <cellStyle name="標準 7 3 10" xfId="1787" xr:uid="{00000000-0005-0000-0000-0000AD070000}"/>
    <cellStyle name="標準 7 3 10 2" xfId="1788" xr:uid="{00000000-0005-0000-0000-0000AE070000}"/>
    <cellStyle name="標準 7 3 11" xfId="1789" xr:uid="{00000000-0005-0000-0000-0000AF070000}"/>
    <cellStyle name="標準 7 3 11 2" xfId="1790" xr:uid="{00000000-0005-0000-0000-0000B0070000}"/>
    <cellStyle name="標準 7 3 12" xfId="1791" xr:uid="{00000000-0005-0000-0000-0000B1070000}"/>
    <cellStyle name="標準 7 3 2" xfId="1792" xr:uid="{00000000-0005-0000-0000-0000B2070000}"/>
    <cellStyle name="標準 7 3 2 2" xfId="1793" xr:uid="{00000000-0005-0000-0000-0000B3070000}"/>
    <cellStyle name="標準 7 3 2 2 2" xfId="1794" xr:uid="{00000000-0005-0000-0000-0000B4070000}"/>
    <cellStyle name="標準 7 3 2 2 2 2" xfId="1795" xr:uid="{00000000-0005-0000-0000-0000B5070000}"/>
    <cellStyle name="標準 7 3 2 2 3" xfId="1796" xr:uid="{00000000-0005-0000-0000-0000B6070000}"/>
    <cellStyle name="標準 7 3 2 3" xfId="1797" xr:uid="{00000000-0005-0000-0000-0000B7070000}"/>
    <cellStyle name="標準 7 3 2 3 2" xfId="1798" xr:uid="{00000000-0005-0000-0000-0000B8070000}"/>
    <cellStyle name="標準 7 3 2 4" xfId="1799" xr:uid="{00000000-0005-0000-0000-0000B9070000}"/>
    <cellStyle name="標準 7 3 2 4 2" xfId="1800" xr:uid="{00000000-0005-0000-0000-0000BA070000}"/>
    <cellStyle name="標準 7 3 2 5" xfId="1801" xr:uid="{00000000-0005-0000-0000-0000BB070000}"/>
    <cellStyle name="標準 7 3 3" xfId="1802" xr:uid="{00000000-0005-0000-0000-0000BC070000}"/>
    <cellStyle name="標準 7 3 3 2" xfId="1803" xr:uid="{00000000-0005-0000-0000-0000BD070000}"/>
    <cellStyle name="標準 7 3 3 2 2" xfId="1804" xr:uid="{00000000-0005-0000-0000-0000BE070000}"/>
    <cellStyle name="標準 7 3 3 2 2 2" xfId="1805" xr:uid="{00000000-0005-0000-0000-0000BF070000}"/>
    <cellStyle name="標準 7 3 3 2 3" xfId="1806" xr:uid="{00000000-0005-0000-0000-0000C0070000}"/>
    <cellStyle name="標準 7 3 3 3" xfId="1807" xr:uid="{00000000-0005-0000-0000-0000C1070000}"/>
    <cellStyle name="標準 7 3 3 3 2" xfId="1808" xr:uid="{00000000-0005-0000-0000-0000C2070000}"/>
    <cellStyle name="標準 7 3 3 4" xfId="1809" xr:uid="{00000000-0005-0000-0000-0000C3070000}"/>
    <cellStyle name="標準 7 3 3 4 2" xfId="1810" xr:uid="{00000000-0005-0000-0000-0000C4070000}"/>
    <cellStyle name="標準 7 3 3 5" xfId="1811" xr:uid="{00000000-0005-0000-0000-0000C5070000}"/>
    <cellStyle name="標準 7 3 4" xfId="1812" xr:uid="{00000000-0005-0000-0000-0000C6070000}"/>
    <cellStyle name="標準 7 3 4 2" xfId="1813" xr:uid="{00000000-0005-0000-0000-0000C7070000}"/>
    <cellStyle name="標準 7 3 4 2 2" xfId="1814" xr:uid="{00000000-0005-0000-0000-0000C8070000}"/>
    <cellStyle name="標準 7 3 4 3" xfId="1815" xr:uid="{00000000-0005-0000-0000-0000C9070000}"/>
    <cellStyle name="標準 7 3 4 3 2" xfId="1816" xr:uid="{00000000-0005-0000-0000-0000CA070000}"/>
    <cellStyle name="標準 7 3 4 4" xfId="1817" xr:uid="{00000000-0005-0000-0000-0000CB070000}"/>
    <cellStyle name="標準 7 3 4 4 2" xfId="1818" xr:uid="{00000000-0005-0000-0000-0000CC070000}"/>
    <cellStyle name="標準 7 3 4 5" xfId="1819" xr:uid="{00000000-0005-0000-0000-0000CD070000}"/>
    <cellStyle name="標準 7 3 5" xfId="1820" xr:uid="{00000000-0005-0000-0000-0000CE070000}"/>
    <cellStyle name="標準 7 3 5 2" xfId="1821" xr:uid="{00000000-0005-0000-0000-0000CF070000}"/>
    <cellStyle name="標準 7 3 5 2 2" xfId="1822" xr:uid="{00000000-0005-0000-0000-0000D0070000}"/>
    <cellStyle name="標準 7 3 5 3" xfId="1823" xr:uid="{00000000-0005-0000-0000-0000D1070000}"/>
    <cellStyle name="標準 7 3 5 3 2" xfId="1824" xr:uid="{00000000-0005-0000-0000-0000D2070000}"/>
    <cellStyle name="標準 7 3 5 4" xfId="1825" xr:uid="{00000000-0005-0000-0000-0000D3070000}"/>
    <cellStyle name="標準 7 3 5 4 2" xfId="1826" xr:uid="{00000000-0005-0000-0000-0000D4070000}"/>
    <cellStyle name="標準 7 3 5 5" xfId="1827" xr:uid="{00000000-0005-0000-0000-0000D5070000}"/>
    <cellStyle name="標準 7 3 6" xfId="1828" xr:uid="{00000000-0005-0000-0000-0000D6070000}"/>
    <cellStyle name="標準 7 3 6 2" xfId="1829" xr:uid="{00000000-0005-0000-0000-0000D7070000}"/>
    <cellStyle name="標準 7 3 6 2 2" xfId="1830" xr:uid="{00000000-0005-0000-0000-0000D8070000}"/>
    <cellStyle name="標準 7 3 6 3" xfId="1831" xr:uid="{00000000-0005-0000-0000-0000D9070000}"/>
    <cellStyle name="標準 7 3 6 3 2" xfId="1832" xr:uid="{00000000-0005-0000-0000-0000DA070000}"/>
    <cellStyle name="標準 7 3 6 4" xfId="1833" xr:uid="{00000000-0005-0000-0000-0000DB070000}"/>
    <cellStyle name="標準 7 3 7" xfId="1834" xr:uid="{00000000-0005-0000-0000-0000DC070000}"/>
    <cellStyle name="標準 7 3 7 2" xfId="1835" xr:uid="{00000000-0005-0000-0000-0000DD070000}"/>
    <cellStyle name="標準 7 3 7 2 2" xfId="1836" xr:uid="{00000000-0005-0000-0000-0000DE070000}"/>
    <cellStyle name="標準 7 3 7 3" xfId="1837" xr:uid="{00000000-0005-0000-0000-0000DF070000}"/>
    <cellStyle name="標準 7 3 7 3 2" xfId="1838" xr:uid="{00000000-0005-0000-0000-0000E0070000}"/>
    <cellStyle name="標準 7 3 7 4" xfId="1839" xr:uid="{00000000-0005-0000-0000-0000E1070000}"/>
    <cellStyle name="標準 7 3 8" xfId="1840" xr:uid="{00000000-0005-0000-0000-0000E2070000}"/>
    <cellStyle name="標準 7 3 8 2" xfId="1841" xr:uid="{00000000-0005-0000-0000-0000E3070000}"/>
    <cellStyle name="標準 7 3 9" xfId="1842" xr:uid="{00000000-0005-0000-0000-0000E4070000}"/>
    <cellStyle name="標準 7 3 9 2" xfId="1843" xr:uid="{00000000-0005-0000-0000-0000E5070000}"/>
    <cellStyle name="標準 7 3_処理詳細" xfId="2184" xr:uid="{00000000-0005-0000-0000-0000E6070000}"/>
    <cellStyle name="標準 7 4" xfId="1844" xr:uid="{00000000-0005-0000-0000-0000E7070000}"/>
    <cellStyle name="標準 7 4 10" xfId="1845" xr:uid="{00000000-0005-0000-0000-0000E8070000}"/>
    <cellStyle name="標準 7 4 10 2" xfId="1846" xr:uid="{00000000-0005-0000-0000-0000E9070000}"/>
    <cellStyle name="標準 7 4 11" xfId="1847" xr:uid="{00000000-0005-0000-0000-0000EA070000}"/>
    <cellStyle name="標準 7 4 11 2" xfId="1848" xr:uid="{00000000-0005-0000-0000-0000EB070000}"/>
    <cellStyle name="標準 7 4 12" xfId="1849" xr:uid="{00000000-0005-0000-0000-0000EC070000}"/>
    <cellStyle name="標準 7 4 2" xfId="1850" xr:uid="{00000000-0005-0000-0000-0000ED070000}"/>
    <cellStyle name="標準 7 4 2 2" xfId="1851" xr:uid="{00000000-0005-0000-0000-0000EE070000}"/>
    <cellStyle name="標準 7 4 2 2 2" xfId="1852" xr:uid="{00000000-0005-0000-0000-0000EF070000}"/>
    <cellStyle name="標準 7 4 2 2 2 2" xfId="1853" xr:uid="{00000000-0005-0000-0000-0000F0070000}"/>
    <cellStyle name="標準 7 4 2 2 3" xfId="1854" xr:uid="{00000000-0005-0000-0000-0000F1070000}"/>
    <cellStyle name="標準 7 4 2 3" xfId="1855" xr:uid="{00000000-0005-0000-0000-0000F2070000}"/>
    <cellStyle name="標準 7 4 2 3 2" xfId="1856" xr:uid="{00000000-0005-0000-0000-0000F3070000}"/>
    <cellStyle name="標準 7 4 2 4" xfId="1857" xr:uid="{00000000-0005-0000-0000-0000F4070000}"/>
    <cellStyle name="標準 7 4 2 4 2" xfId="1858" xr:uid="{00000000-0005-0000-0000-0000F5070000}"/>
    <cellStyle name="標準 7 4 2 5" xfId="1859" xr:uid="{00000000-0005-0000-0000-0000F6070000}"/>
    <cellStyle name="標準 7 4 3" xfId="1860" xr:uid="{00000000-0005-0000-0000-0000F7070000}"/>
    <cellStyle name="標準 7 4 3 2" xfId="1861" xr:uid="{00000000-0005-0000-0000-0000F8070000}"/>
    <cellStyle name="標準 7 4 3 2 2" xfId="1862" xr:uid="{00000000-0005-0000-0000-0000F9070000}"/>
    <cellStyle name="標準 7 4 3 2 2 2" xfId="1863" xr:uid="{00000000-0005-0000-0000-0000FA070000}"/>
    <cellStyle name="標準 7 4 3 2 3" xfId="1864" xr:uid="{00000000-0005-0000-0000-0000FB070000}"/>
    <cellStyle name="標準 7 4 3 3" xfId="1865" xr:uid="{00000000-0005-0000-0000-0000FC070000}"/>
    <cellStyle name="標準 7 4 3 3 2" xfId="1866" xr:uid="{00000000-0005-0000-0000-0000FD070000}"/>
    <cellStyle name="標準 7 4 3 4" xfId="1867" xr:uid="{00000000-0005-0000-0000-0000FE070000}"/>
    <cellStyle name="標準 7 4 3 4 2" xfId="1868" xr:uid="{00000000-0005-0000-0000-0000FF070000}"/>
    <cellStyle name="標準 7 4 3 5" xfId="1869" xr:uid="{00000000-0005-0000-0000-000000080000}"/>
    <cellStyle name="標準 7 4 4" xfId="1870" xr:uid="{00000000-0005-0000-0000-000001080000}"/>
    <cellStyle name="標準 7 4 4 2" xfId="1871" xr:uid="{00000000-0005-0000-0000-000002080000}"/>
    <cellStyle name="標準 7 4 4 2 2" xfId="1872" xr:uid="{00000000-0005-0000-0000-000003080000}"/>
    <cellStyle name="標準 7 4 4 3" xfId="1873" xr:uid="{00000000-0005-0000-0000-000004080000}"/>
    <cellStyle name="標準 7 4 4 3 2" xfId="1874" xr:uid="{00000000-0005-0000-0000-000005080000}"/>
    <cellStyle name="標準 7 4 4 4" xfId="1875" xr:uid="{00000000-0005-0000-0000-000006080000}"/>
    <cellStyle name="標準 7 4 4 4 2" xfId="1876" xr:uid="{00000000-0005-0000-0000-000007080000}"/>
    <cellStyle name="標準 7 4 4 5" xfId="1877" xr:uid="{00000000-0005-0000-0000-000008080000}"/>
    <cellStyle name="標準 7 4 5" xfId="1878" xr:uid="{00000000-0005-0000-0000-000009080000}"/>
    <cellStyle name="標準 7 4 5 2" xfId="1879" xr:uid="{00000000-0005-0000-0000-00000A080000}"/>
    <cellStyle name="標準 7 4 5 2 2" xfId="1880" xr:uid="{00000000-0005-0000-0000-00000B080000}"/>
    <cellStyle name="標準 7 4 5 3" xfId="1881" xr:uid="{00000000-0005-0000-0000-00000C080000}"/>
    <cellStyle name="標準 7 4 5 3 2" xfId="1882" xr:uid="{00000000-0005-0000-0000-00000D080000}"/>
    <cellStyle name="標準 7 4 5 4" xfId="1883" xr:uid="{00000000-0005-0000-0000-00000E080000}"/>
    <cellStyle name="標準 7 4 5 4 2" xfId="1884" xr:uid="{00000000-0005-0000-0000-00000F080000}"/>
    <cellStyle name="標準 7 4 5 5" xfId="1885" xr:uid="{00000000-0005-0000-0000-000010080000}"/>
    <cellStyle name="標準 7 4 6" xfId="1886" xr:uid="{00000000-0005-0000-0000-000011080000}"/>
    <cellStyle name="標準 7 4 6 2" xfId="1887" xr:uid="{00000000-0005-0000-0000-000012080000}"/>
    <cellStyle name="標準 7 4 6 2 2" xfId="1888" xr:uid="{00000000-0005-0000-0000-000013080000}"/>
    <cellStyle name="標準 7 4 6 3" xfId="1889" xr:uid="{00000000-0005-0000-0000-000014080000}"/>
    <cellStyle name="標準 7 4 6 3 2" xfId="1890" xr:uid="{00000000-0005-0000-0000-000015080000}"/>
    <cellStyle name="標準 7 4 6 4" xfId="1891" xr:uid="{00000000-0005-0000-0000-000016080000}"/>
    <cellStyle name="標準 7 4 7" xfId="1892" xr:uid="{00000000-0005-0000-0000-000017080000}"/>
    <cellStyle name="標準 7 4 7 2" xfId="1893" xr:uid="{00000000-0005-0000-0000-000018080000}"/>
    <cellStyle name="標準 7 4 7 2 2" xfId="1894" xr:uid="{00000000-0005-0000-0000-000019080000}"/>
    <cellStyle name="標準 7 4 7 3" xfId="1895" xr:uid="{00000000-0005-0000-0000-00001A080000}"/>
    <cellStyle name="標準 7 4 7 3 2" xfId="1896" xr:uid="{00000000-0005-0000-0000-00001B080000}"/>
    <cellStyle name="標準 7 4 7 4" xfId="1897" xr:uid="{00000000-0005-0000-0000-00001C080000}"/>
    <cellStyle name="標準 7 4 8" xfId="1898" xr:uid="{00000000-0005-0000-0000-00001D080000}"/>
    <cellStyle name="標準 7 4 8 2" xfId="1899" xr:uid="{00000000-0005-0000-0000-00001E080000}"/>
    <cellStyle name="標準 7 4 9" xfId="1900" xr:uid="{00000000-0005-0000-0000-00001F080000}"/>
    <cellStyle name="標準 7 4 9 2" xfId="1901" xr:uid="{00000000-0005-0000-0000-000020080000}"/>
    <cellStyle name="標準 7 5" xfId="1902" xr:uid="{00000000-0005-0000-0000-000021080000}"/>
    <cellStyle name="標準 7 5 2" xfId="1903" xr:uid="{00000000-0005-0000-0000-000022080000}"/>
    <cellStyle name="標準 7 5 2 2" xfId="1904" xr:uid="{00000000-0005-0000-0000-000023080000}"/>
    <cellStyle name="標準 7 5 2 2 2" xfId="1905" xr:uid="{00000000-0005-0000-0000-000024080000}"/>
    <cellStyle name="標準 7 5 2 3" xfId="1906" xr:uid="{00000000-0005-0000-0000-000025080000}"/>
    <cellStyle name="標準 7 5 3" xfId="1907" xr:uid="{00000000-0005-0000-0000-000026080000}"/>
    <cellStyle name="標準 7 5 3 2" xfId="1908" xr:uid="{00000000-0005-0000-0000-000027080000}"/>
    <cellStyle name="標準 7 5 4" xfId="1909" xr:uid="{00000000-0005-0000-0000-000028080000}"/>
    <cellStyle name="標準 7 5 4 2" xfId="1910" xr:uid="{00000000-0005-0000-0000-000029080000}"/>
    <cellStyle name="標準 7 5 5" xfId="1911" xr:uid="{00000000-0005-0000-0000-00002A080000}"/>
    <cellStyle name="標準 7 5 6" xfId="1912" xr:uid="{00000000-0005-0000-0000-00002B080000}"/>
    <cellStyle name="標準 7 5 7" xfId="1913" xr:uid="{00000000-0005-0000-0000-00002C080000}"/>
    <cellStyle name="標準 7 5 8" xfId="1914" xr:uid="{00000000-0005-0000-0000-00002D080000}"/>
    <cellStyle name="標準 7 6" xfId="1915" xr:uid="{00000000-0005-0000-0000-00002E080000}"/>
    <cellStyle name="標準 7 6 2" xfId="1916" xr:uid="{00000000-0005-0000-0000-00002F080000}"/>
    <cellStyle name="標準 7 6 2 2" xfId="1917" xr:uid="{00000000-0005-0000-0000-000030080000}"/>
    <cellStyle name="標準 7 6 2 2 2" xfId="1918" xr:uid="{00000000-0005-0000-0000-000031080000}"/>
    <cellStyle name="標準 7 6 2 3" xfId="1919" xr:uid="{00000000-0005-0000-0000-000032080000}"/>
    <cellStyle name="標準 7 6 3" xfId="1920" xr:uid="{00000000-0005-0000-0000-000033080000}"/>
    <cellStyle name="標準 7 6 3 2" xfId="1921" xr:uid="{00000000-0005-0000-0000-000034080000}"/>
    <cellStyle name="標準 7 6 4" xfId="1922" xr:uid="{00000000-0005-0000-0000-000035080000}"/>
    <cellStyle name="標準 7 6 4 2" xfId="1923" xr:uid="{00000000-0005-0000-0000-000036080000}"/>
    <cellStyle name="標準 7 6 5" xfId="1924" xr:uid="{00000000-0005-0000-0000-000037080000}"/>
    <cellStyle name="標準 7 7" xfId="1925" xr:uid="{00000000-0005-0000-0000-000038080000}"/>
    <cellStyle name="標準 7 7 2" xfId="1926" xr:uid="{00000000-0005-0000-0000-000039080000}"/>
    <cellStyle name="標準 7 7 2 2" xfId="1927" xr:uid="{00000000-0005-0000-0000-00003A080000}"/>
    <cellStyle name="標準 7 7 3" xfId="1928" xr:uid="{00000000-0005-0000-0000-00003B080000}"/>
    <cellStyle name="標準 7 7 3 2" xfId="1929" xr:uid="{00000000-0005-0000-0000-00003C080000}"/>
    <cellStyle name="標準 7 7 4" xfId="1930" xr:uid="{00000000-0005-0000-0000-00003D080000}"/>
    <cellStyle name="標準 7 7 4 2" xfId="1931" xr:uid="{00000000-0005-0000-0000-00003E080000}"/>
    <cellStyle name="標準 7 7 5" xfId="1932" xr:uid="{00000000-0005-0000-0000-00003F080000}"/>
    <cellStyle name="標準 7 8" xfId="1933" xr:uid="{00000000-0005-0000-0000-000040080000}"/>
    <cellStyle name="標準 7 8 2" xfId="1934" xr:uid="{00000000-0005-0000-0000-000041080000}"/>
    <cellStyle name="標準 7 8 2 2" xfId="1935" xr:uid="{00000000-0005-0000-0000-000042080000}"/>
    <cellStyle name="標準 7 8 3" xfId="1936" xr:uid="{00000000-0005-0000-0000-000043080000}"/>
    <cellStyle name="標準 7 8 3 2" xfId="1937" xr:uid="{00000000-0005-0000-0000-000044080000}"/>
    <cellStyle name="標準 7 8 4" xfId="1938" xr:uid="{00000000-0005-0000-0000-000045080000}"/>
    <cellStyle name="標準 7 8 4 2" xfId="1939" xr:uid="{00000000-0005-0000-0000-000046080000}"/>
    <cellStyle name="標準 7 8 5" xfId="1940" xr:uid="{00000000-0005-0000-0000-000047080000}"/>
    <cellStyle name="標準 7 9" xfId="1941" xr:uid="{00000000-0005-0000-0000-000048080000}"/>
    <cellStyle name="標準 7 9 2" xfId="1942" xr:uid="{00000000-0005-0000-0000-000049080000}"/>
    <cellStyle name="標準 7 9 2 2" xfId="1943" xr:uid="{00000000-0005-0000-0000-00004A080000}"/>
    <cellStyle name="標準 7 9 3" xfId="1944" xr:uid="{00000000-0005-0000-0000-00004B080000}"/>
    <cellStyle name="標準 7 9 3 2" xfId="1945" xr:uid="{00000000-0005-0000-0000-00004C080000}"/>
    <cellStyle name="標準 7 9 4" xfId="1946" xr:uid="{00000000-0005-0000-0000-00004D080000}"/>
    <cellStyle name="標準 7 9 4 2" xfId="1947" xr:uid="{00000000-0005-0000-0000-00004E080000}"/>
    <cellStyle name="標準 7 9 5" xfId="1948" xr:uid="{00000000-0005-0000-0000-00004F080000}"/>
    <cellStyle name="標準 7_NM" xfId="1949" xr:uid="{00000000-0005-0000-0000-000050080000}"/>
    <cellStyle name="標準 8" xfId="1950" xr:uid="{00000000-0005-0000-0000-000051080000}"/>
    <cellStyle name="標準 8 10" xfId="1951" xr:uid="{00000000-0005-0000-0000-000052080000}"/>
    <cellStyle name="標準 8 10 2" xfId="1952" xr:uid="{00000000-0005-0000-0000-000053080000}"/>
    <cellStyle name="標準 8 11" xfId="1953" xr:uid="{00000000-0005-0000-0000-000054080000}"/>
    <cellStyle name="標準 8 12" xfId="1954" xr:uid="{00000000-0005-0000-0000-000055080000}"/>
    <cellStyle name="標準 8 13" xfId="1955" xr:uid="{00000000-0005-0000-0000-000056080000}"/>
    <cellStyle name="標準 8 2" xfId="1956" xr:uid="{00000000-0005-0000-0000-000057080000}"/>
    <cellStyle name="標準 8 2 10" xfId="2258" xr:uid="{00000000-0005-0000-0000-000058080000}"/>
    <cellStyle name="標準 8 2 2" xfId="1957" xr:uid="{00000000-0005-0000-0000-000059080000}"/>
    <cellStyle name="標準 8 2 2 2" xfId="1958" xr:uid="{00000000-0005-0000-0000-00005A080000}"/>
    <cellStyle name="標準 8 2 2 2 2" xfId="1959" xr:uid="{00000000-0005-0000-0000-00005B080000}"/>
    <cellStyle name="標準 8 2 2 3" xfId="1960" xr:uid="{00000000-0005-0000-0000-00005C080000}"/>
    <cellStyle name="標準 8 2 2_処理詳細" xfId="2185" xr:uid="{00000000-0005-0000-0000-00005D080000}"/>
    <cellStyle name="標準 8 2 3" xfId="1961" xr:uid="{00000000-0005-0000-0000-00005E080000}"/>
    <cellStyle name="標準 8 2 3 2" xfId="1962" xr:uid="{00000000-0005-0000-0000-00005F080000}"/>
    <cellStyle name="標準 8 2 4" xfId="1963" xr:uid="{00000000-0005-0000-0000-000060080000}"/>
    <cellStyle name="標準 8 2 4 2" xfId="1964" xr:uid="{00000000-0005-0000-0000-000061080000}"/>
    <cellStyle name="標準 8 2 5" xfId="1965" xr:uid="{00000000-0005-0000-0000-000062080000}"/>
    <cellStyle name="標準 8 2 6" xfId="1966" xr:uid="{00000000-0005-0000-0000-000063080000}"/>
    <cellStyle name="標準 8 2 7" xfId="2186" xr:uid="{00000000-0005-0000-0000-000064080000}"/>
    <cellStyle name="標準 8 2 8" xfId="2256" xr:uid="{00000000-0005-0000-0000-000065080000}"/>
    <cellStyle name="標準 8 2 9" xfId="2243" xr:uid="{00000000-0005-0000-0000-000066080000}"/>
    <cellStyle name="標準 8 2_処理詳細" xfId="2187" xr:uid="{00000000-0005-0000-0000-000067080000}"/>
    <cellStyle name="標準 8 3" xfId="1967" xr:uid="{00000000-0005-0000-0000-000068080000}"/>
    <cellStyle name="標準 8 3 2" xfId="1968" xr:uid="{00000000-0005-0000-0000-000069080000}"/>
    <cellStyle name="標準 8 3 2 2" xfId="1969" xr:uid="{00000000-0005-0000-0000-00006A080000}"/>
    <cellStyle name="標準 8 3 2 2 2" xfId="1970" xr:uid="{00000000-0005-0000-0000-00006B080000}"/>
    <cellStyle name="標準 8 3 2 3" xfId="1971" xr:uid="{00000000-0005-0000-0000-00006C080000}"/>
    <cellStyle name="標準 8 3 3" xfId="1972" xr:uid="{00000000-0005-0000-0000-00006D080000}"/>
    <cellStyle name="標準 8 3 3 2" xfId="1973" xr:uid="{00000000-0005-0000-0000-00006E080000}"/>
    <cellStyle name="標準 8 3 4" xfId="1974" xr:uid="{00000000-0005-0000-0000-00006F080000}"/>
    <cellStyle name="標準 8 3 4 2" xfId="1975" xr:uid="{00000000-0005-0000-0000-000070080000}"/>
    <cellStyle name="標準 8 3 5" xfId="1976" xr:uid="{00000000-0005-0000-0000-000071080000}"/>
    <cellStyle name="標準 8 3_処理詳細" xfId="2188" xr:uid="{00000000-0005-0000-0000-000072080000}"/>
    <cellStyle name="標準 8 4" xfId="1977" xr:uid="{00000000-0005-0000-0000-000073080000}"/>
    <cellStyle name="標準 8 4 2" xfId="1978" xr:uid="{00000000-0005-0000-0000-000074080000}"/>
    <cellStyle name="標準 8 4 2 2" xfId="1979" xr:uid="{00000000-0005-0000-0000-000075080000}"/>
    <cellStyle name="標準 8 4 3" xfId="1980" xr:uid="{00000000-0005-0000-0000-000076080000}"/>
    <cellStyle name="標準 8 4 3 2" xfId="1981" xr:uid="{00000000-0005-0000-0000-000077080000}"/>
    <cellStyle name="標準 8 4 4" xfId="1982" xr:uid="{00000000-0005-0000-0000-000078080000}"/>
    <cellStyle name="標準 8 4 4 2" xfId="1983" xr:uid="{00000000-0005-0000-0000-000079080000}"/>
    <cellStyle name="標準 8 4 5" xfId="1984" xr:uid="{00000000-0005-0000-0000-00007A080000}"/>
    <cellStyle name="標準 8 4_変更来歴" xfId="2210" xr:uid="{00000000-0005-0000-0000-00007B080000}"/>
    <cellStyle name="標準 8 5" xfId="1985" xr:uid="{00000000-0005-0000-0000-00007C080000}"/>
    <cellStyle name="標準 8 5 2" xfId="1986" xr:uid="{00000000-0005-0000-0000-00007D080000}"/>
    <cellStyle name="標準 8 5 2 2" xfId="1987" xr:uid="{00000000-0005-0000-0000-00007E080000}"/>
    <cellStyle name="標準 8 5 3" xfId="1988" xr:uid="{00000000-0005-0000-0000-00007F080000}"/>
    <cellStyle name="標準 8 5 3 2" xfId="1989" xr:uid="{00000000-0005-0000-0000-000080080000}"/>
    <cellStyle name="標準 8 5 4" xfId="1990" xr:uid="{00000000-0005-0000-0000-000081080000}"/>
    <cellStyle name="標準 8 5 4 2" xfId="1991" xr:uid="{00000000-0005-0000-0000-000082080000}"/>
    <cellStyle name="標準 8 5 5" xfId="1992" xr:uid="{00000000-0005-0000-0000-000083080000}"/>
    <cellStyle name="標準 8 6" xfId="1993" xr:uid="{00000000-0005-0000-0000-000084080000}"/>
    <cellStyle name="標準 8 6 2" xfId="1994" xr:uid="{00000000-0005-0000-0000-000085080000}"/>
    <cellStyle name="標準 8 6 2 2" xfId="1995" xr:uid="{00000000-0005-0000-0000-000086080000}"/>
    <cellStyle name="標準 8 6 3" xfId="1996" xr:uid="{00000000-0005-0000-0000-000087080000}"/>
    <cellStyle name="標準 8 6 3 2" xfId="1997" xr:uid="{00000000-0005-0000-0000-000088080000}"/>
    <cellStyle name="標準 8 6 4" xfId="1998" xr:uid="{00000000-0005-0000-0000-000089080000}"/>
    <cellStyle name="標準 8 7" xfId="1999" xr:uid="{00000000-0005-0000-0000-00008A080000}"/>
    <cellStyle name="標準 8 7 2" xfId="2000" xr:uid="{00000000-0005-0000-0000-00008B080000}"/>
    <cellStyle name="標準 8 8" xfId="2001" xr:uid="{00000000-0005-0000-0000-00008C080000}"/>
    <cellStyle name="標準 8 8 2" xfId="2002" xr:uid="{00000000-0005-0000-0000-00008D080000}"/>
    <cellStyle name="標準 8 9" xfId="2003" xr:uid="{00000000-0005-0000-0000-00008E080000}"/>
    <cellStyle name="標準 8 9 2" xfId="2004" xr:uid="{00000000-0005-0000-0000-00008F080000}"/>
    <cellStyle name="標準 8_画面項目仕様" xfId="2189" xr:uid="{00000000-0005-0000-0000-000090080000}"/>
    <cellStyle name="標準 9" xfId="2005" xr:uid="{00000000-0005-0000-0000-000091080000}"/>
    <cellStyle name="標準 9 10" xfId="2006" xr:uid="{00000000-0005-0000-0000-000092080000}"/>
    <cellStyle name="標準 9 10 2" xfId="2007" xr:uid="{00000000-0005-0000-0000-000093080000}"/>
    <cellStyle name="標準 9 11" xfId="2008" xr:uid="{00000000-0005-0000-0000-000094080000}"/>
    <cellStyle name="標準 9 12" xfId="2009" xr:uid="{00000000-0005-0000-0000-000095080000}"/>
    <cellStyle name="標準 9 13" xfId="2190" xr:uid="{00000000-0005-0000-0000-000096080000}"/>
    <cellStyle name="標準 9 14" xfId="2257" xr:uid="{00000000-0005-0000-0000-000097080000}"/>
    <cellStyle name="標準 9 2" xfId="2010" xr:uid="{00000000-0005-0000-0000-000098080000}"/>
    <cellStyle name="標準 9 2 2" xfId="2011" xr:uid="{00000000-0005-0000-0000-000099080000}"/>
    <cellStyle name="標準 9 2 2 2" xfId="2012" xr:uid="{00000000-0005-0000-0000-00009A080000}"/>
    <cellStyle name="標準 9 2 2 2 2" xfId="2013" xr:uid="{00000000-0005-0000-0000-00009B080000}"/>
    <cellStyle name="標準 9 2 2 3" xfId="2014" xr:uid="{00000000-0005-0000-0000-00009C080000}"/>
    <cellStyle name="標準 9 2 3" xfId="2015" xr:uid="{00000000-0005-0000-0000-00009D080000}"/>
    <cellStyle name="標準 9 2 3 2" xfId="2016" xr:uid="{00000000-0005-0000-0000-00009E080000}"/>
    <cellStyle name="標準 9 2 4" xfId="2017" xr:uid="{00000000-0005-0000-0000-00009F080000}"/>
    <cellStyle name="標準 9 2 4 2" xfId="2018" xr:uid="{00000000-0005-0000-0000-0000A0080000}"/>
    <cellStyle name="標準 9 2 5" xfId="2019" xr:uid="{00000000-0005-0000-0000-0000A1080000}"/>
    <cellStyle name="標準 9 2 6" xfId="2020" xr:uid="{00000000-0005-0000-0000-0000A2080000}"/>
    <cellStyle name="標準 9 2 7" xfId="2191" xr:uid="{00000000-0005-0000-0000-0000A3080000}"/>
    <cellStyle name="標準 9 2_処理詳細" xfId="2192" xr:uid="{00000000-0005-0000-0000-0000A4080000}"/>
    <cellStyle name="標準 9 3" xfId="2021" xr:uid="{00000000-0005-0000-0000-0000A5080000}"/>
    <cellStyle name="標準 9 3 2" xfId="2022" xr:uid="{00000000-0005-0000-0000-0000A6080000}"/>
    <cellStyle name="標準 9 3 2 2" xfId="2023" xr:uid="{00000000-0005-0000-0000-0000A7080000}"/>
    <cellStyle name="標準 9 3 2 2 2" xfId="2024" xr:uid="{00000000-0005-0000-0000-0000A8080000}"/>
    <cellStyle name="標準 9 3 2 3" xfId="2025" xr:uid="{00000000-0005-0000-0000-0000A9080000}"/>
    <cellStyle name="標準 9 3 3" xfId="2026" xr:uid="{00000000-0005-0000-0000-0000AA080000}"/>
    <cellStyle name="標準 9 3 3 2" xfId="2027" xr:uid="{00000000-0005-0000-0000-0000AB080000}"/>
    <cellStyle name="標準 9 3 4" xfId="2028" xr:uid="{00000000-0005-0000-0000-0000AC080000}"/>
    <cellStyle name="標準 9 3 4 2" xfId="2029" xr:uid="{00000000-0005-0000-0000-0000AD080000}"/>
    <cellStyle name="標準 9 3 5" xfId="2030" xr:uid="{00000000-0005-0000-0000-0000AE080000}"/>
    <cellStyle name="標準 9 4" xfId="2031" xr:uid="{00000000-0005-0000-0000-0000AF080000}"/>
    <cellStyle name="標準 9 4 2" xfId="2032" xr:uid="{00000000-0005-0000-0000-0000B0080000}"/>
    <cellStyle name="標準 9 4 2 2" xfId="2033" xr:uid="{00000000-0005-0000-0000-0000B1080000}"/>
    <cellStyle name="標準 9 4 3" xfId="2034" xr:uid="{00000000-0005-0000-0000-0000B2080000}"/>
    <cellStyle name="標準 9 4 3 2" xfId="2035" xr:uid="{00000000-0005-0000-0000-0000B3080000}"/>
    <cellStyle name="標準 9 4 4" xfId="2036" xr:uid="{00000000-0005-0000-0000-0000B4080000}"/>
    <cellStyle name="標準 9 4 4 2" xfId="2037" xr:uid="{00000000-0005-0000-0000-0000B5080000}"/>
    <cellStyle name="標準 9 4 5" xfId="2038" xr:uid="{00000000-0005-0000-0000-0000B6080000}"/>
    <cellStyle name="標準 9 5" xfId="2039" xr:uid="{00000000-0005-0000-0000-0000B7080000}"/>
    <cellStyle name="標準 9 5 2" xfId="2040" xr:uid="{00000000-0005-0000-0000-0000B8080000}"/>
    <cellStyle name="標準 9 5 2 2" xfId="2041" xr:uid="{00000000-0005-0000-0000-0000B9080000}"/>
    <cellStyle name="標準 9 5 3" xfId="2042" xr:uid="{00000000-0005-0000-0000-0000BA080000}"/>
    <cellStyle name="標準 9 5 3 2" xfId="2043" xr:uid="{00000000-0005-0000-0000-0000BB080000}"/>
    <cellStyle name="標準 9 5 4" xfId="2044" xr:uid="{00000000-0005-0000-0000-0000BC080000}"/>
    <cellStyle name="標準 9 5 4 2" xfId="2045" xr:uid="{00000000-0005-0000-0000-0000BD080000}"/>
    <cellStyle name="標準 9 5 5" xfId="2046" xr:uid="{00000000-0005-0000-0000-0000BE080000}"/>
    <cellStyle name="標準 9 6" xfId="2047" xr:uid="{00000000-0005-0000-0000-0000BF080000}"/>
    <cellStyle name="標準 9 6 2" xfId="2048" xr:uid="{00000000-0005-0000-0000-0000C0080000}"/>
    <cellStyle name="標準 9 6 2 2" xfId="2049" xr:uid="{00000000-0005-0000-0000-0000C1080000}"/>
    <cellStyle name="標準 9 6 3" xfId="2050" xr:uid="{00000000-0005-0000-0000-0000C2080000}"/>
    <cellStyle name="標準 9 6 3 2" xfId="2051" xr:uid="{00000000-0005-0000-0000-0000C3080000}"/>
    <cellStyle name="標準 9 6 4" xfId="2052" xr:uid="{00000000-0005-0000-0000-0000C4080000}"/>
    <cellStyle name="標準 9 7" xfId="2053" xr:uid="{00000000-0005-0000-0000-0000C5080000}"/>
    <cellStyle name="標準 9 7 2" xfId="2054" xr:uid="{00000000-0005-0000-0000-0000C6080000}"/>
    <cellStyle name="標準 9 8" xfId="2055" xr:uid="{00000000-0005-0000-0000-0000C7080000}"/>
    <cellStyle name="標準 9 8 2" xfId="2056" xr:uid="{00000000-0005-0000-0000-0000C8080000}"/>
    <cellStyle name="標準 9 9" xfId="2057" xr:uid="{00000000-0005-0000-0000-0000C9080000}"/>
    <cellStyle name="標準 9 9 2" xfId="2058" xr:uid="{00000000-0005-0000-0000-0000CA080000}"/>
    <cellStyle name="標準 9_画面項目仕様" xfId="2193" xr:uid="{00000000-0005-0000-0000-0000CB080000}"/>
    <cellStyle name="標準_20020311　キックオフ資料2(阪村産業ASPROVA)" xfId="2059" xr:uid="{00000000-0005-0000-0000-0000CC080000}"/>
    <cellStyle name="標準_NCA00200_機能設計書（売上情報受信）" xfId="2060" xr:uid="{00000000-0005-0000-0000-0000CE080000}"/>
    <cellStyle name="標準_画面説明書（詳細）_画面ID_画面名称_vx.x" xfId="3" xr:uid="{00000000-0005-0000-0000-0000D0080000}"/>
    <cellStyle name="標準2" xfId="2061" xr:uid="{00000000-0005-0000-0000-0000D2080000}"/>
    <cellStyle name="標準２" xfId="2062" xr:uid="{00000000-0005-0000-0000-0000D3080000}"/>
    <cellStyle name="標準2_DAIICH" xfId="2063" xr:uid="{00000000-0005-0000-0000-0000D4080000}"/>
    <cellStyle name="表旨巧・・ハイパーリンク" xfId="2064" xr:uid="{00000000-0005-0000-0000-0000D5080000}"/>
    <cellStyle name="文字列" xfId="2065" xr:uid="{00000000-0005-0000-0000-0000D6080000}"/>
    <cellStyle name="未定義" xfId="2066" xr:uid="{00000000-0005-0000-0000-0000D7080000}"/>
    <cellStyle name="未定義 2" xfId="2067" xr:uid="{00000000-0005-0000-0000-0000D8080000}"/>
    <cellStyle name="未定義 3" xfId="2068" xr:uid="{00000000-0005-0000-0000-0000D9080000}"/>
    <cellStyle name="良い 2" xfId="2069" xr:uid="{00000000-0005-0000-0000-0000DA080000}"/>
    <cellStyle name="良い 3" xfId="2070" xr:uid="{00000000-0005-0000-0000-0000DB080000}"/>
    <cellStyle name="良い 4" xfId="2071" xr:uid="{00000000-0005-0000-0000-0000DC080000}"/>
    <cellStyle name="良い 5" xfId="2072" xr:uid="{00000000-0005-0000-0000-0000DD080000}"/>
    <cellStyle name="湪　〰〰〰0" xfId="2073" xr:uid="{00000000-0005-0000-0000-0000DE080000}"/>
    <cellStyle name="湪＀_xffff_剑〰0ÿ" xfId="2074" xr:uid="{00000000-0005-0000-0000-0000DF080000}"/>
  </cellStyles>
  <dxfs count="0"/>
  <tableStyles count="0" defaultTableStyle="TableStyleMedium2" defaultPivotStyle="PivotStyleMedium9"/>
  <colors>
    <mruColors>
      <color rgb="FFFF99FF"/>
      <color rgb="FF66FFCC"/>
      <color rgb="FF99CC00"/>
      <color rgb="FF0000FF"/>
      <color rgb="FFCCFFCC"/>
      <color rgb="FFFFFF99"/>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42</xdr:col>
      <xdr:colOff>28575</xdr:colOff>
      <xdr:row>264</xdr:row>
      <xdr:rowOff>95250</xdr:rowOff>
    </xdr:from>
    <xdr:to>
      <xdr:col>43</xdr:col>
      <xdr:colOff>9525</xdr:colOff>
      <xdr:row>264</xdr:row>
      <xdr:rowOff>95250</xdr:rowOff>
    </xdr:to>
    <xdr:cxnSp macro="">
      <xdr:nvCxnSpPr>
        <xdr:cNvPr id="3" name="直線矢印コネクタ 2">
          <a:extLst>
            <a:ext uri="{FF2B5EF4-FFF2-40B4-BE49-F238E27FC236}">
              <a16:creationId xmlns:a16="http://schemas.microsoft.com/office/drawing/2014/main" id="{00000000-0008-0000-0600-000003000000}"/>
            </a:ext>
          </a:extLst>
        </xdr:cNvPr>
        <xdr:cNvCxnSpPr/>
      </xdr:nvCxnSpPr>
      <xdr:spPr>
        <a:xfrm flipH="1">
          <a:off x="8829675" y="36356925"/>
          <a:ext cx="1905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42</xdr:col>
      <xdr:colOff>28575</xdr:colOff>
      <xdr:row>751</xdr:row>
      <xdr:rowOff>95250</xdr:rowOff>
    </xdr:from>
    <xdr:to>
      <xdr:col>43</xdr:col>
      <xdr:colOff>9525</xdr:colOff>
      <xdr:row>751</xdr:row>
      <xdr:rowOff>95250</xdr:rowOff>
    </xdr:to>
    <xdr:cxnSp macro="">
      <xdr:nvCxnSpPr>
        <xdr:cNvPr id="3" name="直線矢印コネクタ 2">
          <a:extLst>
            <a:ext uri="{FF2B5EF4-FFF2-40B4-BE49-F238E27FC236}">
              <a16:creationId xmlns:a16="http://schemas.microsoft.com/office/drawing/2014/main" id="{00000000-0008-0000-0A00-000003000000}"/>
            </a:ext>
          </a:extLst>
        </xdr:cNvPr>
        <xdr:cNvCxnSpPr/>
      </xdr:nvCxnSpPr>
      <xdr:spPr>
        <a:xfrm flipH="1">
          <a:off x="8029575" y="40811450"/>
          <a:ext cx="1841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xdr:colOff>
      <xdr:row>215</xdr:row>
      <xdr:rowOff>123825</xdr:rowOff>
    </xdr:from>
    <xdr:to>
      <xdr:col>11</xdr:col>
      <xdr:colOff>95250</xdr:colOff>
      <xdr:row>219</xdr:row>
      <xdr:rowOff>0</xdr:rowOff>
    </xdr:to>
    <xdr:sp macro="" textlink="">
      <xdr:nvSpPr>
        <xdr:cNvPr id="14" name="四角形吹き出し 13">
          <a:extLst>
            <a:ext uri="{FF2B5EF4-FFF2-40B4-BE49-F238E27FC236}">
              <a16:creationId xmlns:a16="http://schemas.microsoft.com/office/drawing/2014/main" id="{00000000-0008-0000-0A00-00000E000000}"/>
            </a:ext>
          </a:extLst>
        </xdr:cNvPr>
        <xdr:cNvSpPr/>
      </xdr:nvSpPr>
      <xdr:spPr>
        <a:xfrm>
          <a:off x="638175" y="28670250"/>
          <a:ext cx="1762125" cy="561975"/>
        </a:xfrm>
        <a:prstGeom prst="wedgeRectCallout">
          <a:avLst>
            <a:gd name="adj1" fmla="val 57752"/>
            <a:gd name="adj2" fmla="val 53926"/>
          </a:avLst>
        </a:prstGeom>
        <a:solidFill>
          <a:schemeClr val="accent2">
            <a:lumMod val="40000"/>
            <a:lumOff val="60000"/>
          </a:schemeClr>
        </a:solidFill>
        <a:ln w="3175">
          <a:solidFill>
            <a:schemeClr val="accent2">
              <a:lumMod val="10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2"/>
              </a:solidFill>
              <a:latin typeface="ＭＳ ゴシック"/>
              <a:ea typeface="ＭＳ ゴシック"/>
            </a:rPr>
            <a:t>発注未登録データ検索</a:t>
          </a:r>
        </a:p>
      </xdr:txBody>
    </xdr:sp>
    <xdr:clientData/>
  </xdr:twoCellAnchor>
  <xdr:twoCellAnchor>
    <xdr:from>
      <xdr:col>3</xdr:col>
      <xdr:colOff>28575</xdr:colOff>
      <xdr:row>220</xdr:row>
      <xdr:rowOff>19050</xdr:rowOff>
    </xdr:from>
    <xdr:to>
      <xdr:col>11</xdr:col>
      <xdr:colOff>114300</xdr:colOff>
      <xdr:row>223</xdr:row>
      <xdr:rowOff>66675</xdr:rowOff>
    </xdr:to>
    <xdr:sp macro="" textlink="">
      <xdr:nvSpPr>
        <xdr:cNvPr id="15" name="四角形吹き出し 14">
          <a:extLst>
            <a:ext uri="{FF2B5EF4-FFF2-40B4-BE49-F238E27FC236}">
              <a16:creationId xmlns:a16="http://schemas.microsoft.com/office/drawing/2014/main" id="{00000000-0008-0000-0A00-00000F000000}"/>
            </a:ext>
          </a:extLst>
        </xdr:cNvPr>
        <xdr:cNvSpPr/>
      </xdr:nvSpPr>
      <xdr:spPr>
        <a:xfrm>
          <a:off x="657225" y="29422725"/>
          <a:ext cx="1762125" cy="561975"/>
        </a:xfrm>
        <a:prstGeom prst="wedgeRectCallout">
          <a:avLst>
            <a:gd name="adj1" fmla="val 57752"/>
            <a:gd name="adj2" fmla="val 53926"/>
          </a:avLst>
        </a:prstGeom>
        <a:solidFill>
          <a:schemeClr val="accent2">
            <a:lumMod val="40000"/>
            <a:lumOff val="60000"/>
          </a:schemeClr>
        </a:solidFill>
        <a:ln w="3175">
          <a:solidFill>
            <a:schemeClr val="accent2">
              <a:lumMod val="10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2"/>
              </a:solidFill>
              <a:latin typeface="ＭＳ ゴシック"/>
              <a:ea typeface="ＭＳ ゴシック"/>
            </a:rPr>
            <a:t>発注登録済データ検索</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A47"/>
  <sheetViews>
    <sheetView showGridLines="0" tabSelected="1" view="pageBreakPreview" topLeftCell="A25" zoomScaleNormal="100" zoomScaleSheetLayoutView="100" workbookViewId="0">
      <selection activeCell="AH43" sqref="AH43:AK44"/>
    </sheetView>
  </sheetViews>
  <sheetFormatPr defaultRowHeight="11"/>
  <cols>
    <col min="1" max="49" width="2.453125" style="2" customWidth="1"/>
    <col min="50" max="50" width="0" style="2" hidden="1" customWidth="1"/>
    <col min="51" max="256" width="9" style="2"/>
    <col min="257" max="305" width="2.453125" style="2" customWidth="1"/>
    <col min="306" max="306" width="0" style="2" hidden="1" customWidth="1"/>
    <col min="307" max="512" width="9" style="2"/>
    <col min="513" max="561" width="2.453125" style="2" customWidth="1"/>
    <col min="562" max="562" width="0" style="2" hidden="1" customWidth="1"/>
    <col min="563" max="768" width="9" style="2"/>
    <col min="769" max="817" width="2.453125" style="2" customWidth="1"/>
    <col min="818" max="818" width="0" style="2" hidden="1" customWidth="1"/>
    <col min="819" max="1024" width="9" style="2"/>
    <col min="1025" max="1073" width="2.453125" style="2" customWidth="1"/>
    <col min="1074" max="1074" width="0" style="2" hidden="1" customWidth="1"/>
    <col min="1075" max="1280" width="9" style="2"/>
    <col min="1281" max="1329" width="2.453125" style="2" customWidth="1"/>
    <col min="1330" max="1330" width="0" style="2" hidden="1" customWidth="1"/>
    <col min="1331" max="1536" width="9" style="2"/>
    <col min="1537" max="1585" width="2.453125" style="2" customWidth="1"/>
    <col min="1586" max="1586" width="0" style="2" hidden="1" customWidth="1"/>
    <col min="1587" max="1792" width="9" style="2"/>
    <col min="1793" max="1841" width="2.453125" style="2" customWidth="1"/>
    <col min="1842" max="1842" width="0" style="2" hidden="1" customWidth="1"/>
    <col min="1843" max="2048" width="9" style="2"/>
    <col min="2049" max="2097" width="2.453125" style="2" customWidth="1"/>
    <col min="2098" max="2098" width="0" style="2" hidden="1" customWidth="1"/>
    <col min="2099" max="2304" width="9" style="2"/>
    <col min="2305" max="2353" width="2.453125" style="2" customWidth="1"/>
    <col min="2354" max="2354" width="0" style="2" hidden="1" customWidth="1"/>
    <col min="2355" max="2560" width="9" style="2"/>
    <col min="2561" max="2609" width="2.453125" style="2" customWidth="1"/>
    <col min="2610" max="2610" width="0" style="2" hidden="1" customWidth="1"/>
    <col min="2611" max="2816" width="9" style="2"/>
    <col min="2817" max="2865" width="2.453125" style="2" customWidth="1"/>
    <col min="2866" max="2866" width="0" style="2" hidden="1" customWidth="1"/>
    <col min="2867" max="3072" width="9" style="2"/>
    <col min="3073" max="3121" width="2.453125" style="2" customWidth="1"/>
    <col min="3122" max="3122" width="0" style="2" hidden="1" customWidth="1"/>
    <col min="3123" max="3328" width="9" style="2"/>
    <col min="3329" max="3377" width="2.453125" style="2" customWidth="1"/>
    <col min="3378" max="3378" width="0" style="2" hidden="1" customWidth="1"/>
    <col min="3379" max="3584" width="9" style="2"/>
    <col min="3585" max="3633" width="2.453125" style="2" customWidth="1"/>
    <col min="3634" max="3634" width="0" style="2" hidden="1" customWidth="1"/>
    <col min="3635" max="3840" width="9" style="2"/>
    <col min="3841" max="3889" width="2.453125" style="2" customWidth="1"/>
    <col min="3890" max="3890" width="0" style="2" hidden="1" customWidth="1"/>
    <col min="3891" max="4096" width="9" style="2"/>
    <col min="4097" max="4145" width="2.453125" style="2" customWidth="1"/>
    <col min="4146" max="4146" width="0" style="2" hidden="1" customWidth="1"/>
    <col min="4147" max="4352" width="9" style="2"/>
    <col min="4353" max="4401" width="2.453125" style="2" customWidth="1"/>
    <col min="4402" max="4402" width="0" style="2" hidden="1" customWidth="1"/>
    <col min="4403" max="4608" width="9" style="2"/>
    <col min="4609" max="4657" width="2.453125" style="2" customWidth="1"/>
    <col min="4658" max="4658" width="0" style="2" hidden="1" customWidth="1"/>
    <col min="4659" max="4864" width="9" style="2"/>
    <col min="4865" max="4913" width="2.453125" style="2" customWidth="1"/>
    <col min="4914" max="4914" width="0" style="2" hidden="1" customWidth="1"/>
    <col min="4915" max="5120" width="9" style="2"/>
    <col min="5121" max="5169" width="2.453125" style="2" customWidth="1"/>
    <col min="5170" max="5170" width="0" style="2" hidden="1" customWidth="1"/>
    <col min="5171" max="5376" width="9" style="2"/>
    <col min="5377" max="5425" width="2.453125" style="2" customWidth="1"/>
    <col min="5426" max="5426" width="0" style="2" hidden="1" customWidth="1"/>
    <col min="5427" max="5632" width="9" style="2"/>
    <col min="5633" max="5681" width="2.453125" style="2" customWidth="1"/>
    <col min="5682" max="5682" width="0" style="2" hidden="1" customWidth="1"/>
    <col min="5683" max="5888" width="9" style="2"/>
    <col min="5889" max="5937" width="2.453125" style="2" customWidth="1"/>
    <col min="5938" max="5938" width="0" style="2" hidden="1" customWidth="1"/>
    <col min="5939" max="6144" width="9" style="2"/>
    <col min="6145" max="6193" width="2.453125" style="2" customWidth="1"/>
    <col min="6194" max="6194" width="0" style="2" hidden="1" customWidth="1"/>
    <col min="6195" max="6400" width="9" style="2"/>
    <col min="6401" max="6449" width="2.453125" style="2" customWidth="1"/>
    <col min="6450" max="6450" width="0" style="2" hidden="1" customWidth="1"/>
    <col min="6451" max="6656" width="9" style="2"/>
    <col min="6657" max="6705" width="2.453125" style="2" customWidth="1"/>
    <col min="6706" max="6706" width="0" style="2" hidden="1" customWidth="1"/>
    <col min="6707" max="6912" width="9" style="2"/>
    <col min="6913" max="6961" width="2.453125" style="2" customWidth="1"/>
    <col min="6962" max="6962" width="0" style="2" hidden="1" customWidth="1"/>
    <col min="6963" max="7168" width="9" style="2"/>
    <col min="7169" max="7217" width="2.453125" style="2" customWidth="1"/>
    <col min="7218" max="7218" width="0" style="2" hidden="1" customWidth="1"/>
    <col min="7219" max="7424" width="9" style="2"/>
    <col min="7425" max="7473" width="2.453125" style="2" customWidth="1"/>
    <col min="7474" max="7474" width="0" style="2" hidden="1" customWidth="1"/>
    <col min="7475" max="7680" width="9" style="2"/>
    <col min="7681" max="7729" width="2.453125" style="2" customWidth="1"/>
    <col min="7730" max="7730" width="0" style="2" hidden="1" customWidth="1"/>
    <col min="7731" max="7936" width="9" style="2"/>
    <col min="7937" max="7985" width="2.453125" style="2" customWidth="1"/>
    <col min="7986" max="7986" width="0" style="2" hidden="1" customWidth="1"/>
    <col min="7987" max="8192" width="9" style="2"/>
    <col min="8193" max="8241" width="2.453125" style="2" customWidth="1"/>
    <col min="8242" max="8242" width="0" style="2" hidden="1" customWidth="1"/>
    <col min="8243" max="8448" width="9" style="2"/>
    <col min="8449" max="8497" width="2.453125" style="2" customWidth="1"/>
    <col min="8498" max="8498" width="0" style="2" hidden="1" customWidth="1"/>
    <col min="8499" max="8704" width="9" style="2"/>
    <col min="8705" max="8753" width="2.453125" style="2" customWidth="1"/>
    <col min="8754" max="8754" width="0" style="2" hidden="1" customWidth="1"/>
    <col min="8755" max="8960" width="9" style="2"/>
    <col min="8961" max="9009" width="2.453125" style="2" customWidth="1"/>
    <col min="9010" max="9010" width="0" style="2" hidden="1" customWidth="1"/>
    <col min="9011" max="9216" width="9" style="2"/>
    <col min="9217" max="9265" width="2.453125" style="2" customWidth="1"/>
    <col min="9266" max="9266" width="0" style="2" hidden="1" customWidth="1"/>
    <col min="9267" max="9472" width="9" style="2"/>
    <col min="9473" max="9521" width="2.453125" style="2" customWidth="1"/>
    <col min="9522" max="9522" width="0" style="2" hidden="1" customWidth="1"/>
    <col min="9523" max="9728" width="9" style="2"/>
    <col min="9729" max="9777" width="2.453125" style="2" customWidth="1"/>
    <col min="9778" max="9778" width="0" style="2" hidden="1" customWidth="1"/>
    <col min="9779" max="9984" width="9" style="2"/>
    <col min="9985" max="10033" width="2.453125" style="2" customWidth="1"/>
    <col min="10034" max="10034" width="0" style="2" hidden="1" customWidth="1"/>
    <col min="10035" max="10240" width="9" style="2"/>
    <col min="10241" max="10289" width="2.453125" style="2" customWidth="1"/>
    <col min="10290" max="10290" width="0" style="2" hidden="1" customWidth="1"/>
    <col min="10291" max="10496" width="9" style="2"/>
    <col min="10497" max="10545" width="2.453125" style="2" customWidth="1"/>
    <col min="10546" max="10546" width="0" style="2" hidden="1" customWidth="1"/>
    <col min="10547" max="10752" width="9" style="2"/>
    <col min="10753" max="10801" width="2.453125" style="2" customWidth="1"/>
    <col min="10802" max="10802" width="0" style="2" hidden="1" customWidth="1"/>
    <col min="10803" max="11008" width="9" style="2"/>
    <col min="11009" max="11057" width="2.453125" style="2" customWidth="1"/>
    <col min="11058" max="11058" width="0" style="2" hidden="1" customWidth="1"/>
    <col min="11059" max="11264" width="9" style="2"/>
    <col min="11265" max="11313" width="2.453125" style="2" customWidth="1"/>
    <col min="11314" max="11314" width="0" style="2" hidden="1" customWidth="1"/>
    <col min="11315" max="11520" width="9" style="2"/>
    <col min="11521" max="11569" width="2.453125" style="2" customWidth="1"/>
    <col min="11570" max="11570" width="0" style="2" hidden="1" customWidth="1"/>
    <col min="11571" max="11776" width="9" style="2"/>
    <col min="11777" max="11825" width="2.453125" style="2" customWidth="1"/>
    <col min="11826" max="11826" width="0" style="2" hidden="1" customWidth="1"/>
    <col min="11827" max="12032" width="9" style="2"/>
    <col min="12033" max="12081" width="2.453125" style="2" customWidth="1"/>
    <col min="12082" max="12082" width="0" style="2" hidden="1" customWidth="1"/>
    <col min="12083" max="12288" width="9" style="2"/>
    <col min="12289" max="12337" width="2.453125" style="2" customWidth="1"/>
    <col min="12338" max="12338" width="0" style="2" hidden="1" customWidth="1"/>
    <col min="12339" max="12544" width="9" style="2"/>
    <col min="12545" max="12593" width="2.453125" style="2" customWidth="1"/>
    <col min="12594" max="12594" width="0" style="2" hidden="1" customWidth="1"/>
    <col min="12595" max="12800" width="9" style="2"/>
    <col min="12801" max="12849" width="2.453125" style="2" customWidth="1"/>
    <col min="12850" max="12850" width="0" style="2" hidden="1" customWidth="1"/>
    <col min="12851" max="13056" width="9" style="2"/>
    <col min="13057" max="13105" width="2.453125" style="2" customWidth="1"/>
    <col min="13106" max="13106" width="0" style="2" hidden="1" customWidth="1"/>
    <col min="13107" max="13312" width="9" style="2"/>
    <col min="13313" max="13361" width="2.453125" style="2" customWidth="1"/>
    <col min="13362" max="13362" width="0" style="2" hidden="1" customWidth="1"/>
    <col min="13363" max="13568" width="9" style="2"/>
    <col min="13569" max="13617" width="2.453125" style="2" customWidth="1"/>
    <col min="13618" max="13618" width="0" style="2" hidden="1" customWidth="1"/>
    <col min="13619" max="13824" width="9" style="2"/>
    <col min="13825" max="13873" width="2.453125" style="2" customWidth="1"/>
    <col min="13874" max="13874" width="0" style="2" hidden="1" customWidth="1"/>
    <col min="13875" max="14080" width="9" style="2"/>
    <col min="14081" max="14129" width="2.453125" style="2" customWidth="1"/>
    <col min="14130" max="14130" width="0" style="2" hidden="1" customWidth="1"/>
    <col min="14131" max="14336" width="9" style="2"/>
    <col min="14337" max="14385" width="2.453125" style="2" customWidth="1"/>
    <col min="14386" max="14386" width="0" style="2" hidden="1" customWidth="1"/>
    <col min="14387" max="14592" width="9" style="2"/>
    <col min="14593" max="14641" width="2.453125" style="2" customWidth="1"/>
    <col min="14642" max="14642" width="0" style="2" hidden="1" customWidth="1"/>
    <col min="14643" max="14848" width="9" style="2"/>
    <col min="14849" max="14897" width="2.453125" style="2" customWidth="1"/>
    <col min="14898" max="14898" width="0" style="2" hidden="1" customWidth="1"/>
    <col min="14899" max="15104" width="9" style="2"/>
    <col min="15105" max="15153" width="2.453125" style="2" customWidth="1"/>
    <col min="15154" max="15154" width="0" style="2" hidden="1" customWidth="1"/>
    <col min="15155" max="15360" width="9" style="2"/>
    <col min="15361" max="15409" width="2.453125" style="2" customWidth="1"/>
    <col min="15410" max="15410" width="0" style="2" hidden="1" customWidth="1"/>
    <col min="15411" max="15616" width="9" style="2"/>
    <col min="15617" max="15665" width="2.453125" style="2" customWidth="1"/>
    <col min="15666" max="15666" width="0" style="2" hidden="1" customWidth="1"/>
    <col min="15667" max="15872" width="9" style="2"/>
    <col min="15873" max="15921" width="2.453125" style="2" customWidth="1"/>
    <col min="15922" max="15922" width="0" style="2" hidden="1" customWidth="1"/>
    <col min="15923" max="16128" width="9" style="2"/>
    <col min="16129" max="16177" width="2.453125" style="2" customWidth="1"/>
    <col min="16178" max="16178" width="0" style="2" hidden="1" customWidth="1"/>
    <col min="16179" max="16384" width="9" style="2"/>
  </cols>
  <sheetData>
    <row r="1" spans="1:4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spans="1:48" ht="11.2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289"/>
      <c r="AE3" s="293"/>
      <c r="AF3" s="293"/>
      <c r="AG3" s="293"/>
      <c r="AH3" s="293"/>
      <c r="AI3" s="293"/>
      <c r="AJ3" s="289"/>
      <c r="AK3" s="289"/>
      <c r="AL3" s="289"/>
      <c r="AM3" s="289"/>
      <c r="AN3" s="289"/>
      <c r="AO3" s="289"/>
      <c r="AP3" s="289"/>
      <c r="AQ3" s="289"/>
      <c r="AR3" s="289"/>
      <c r="AS3" s="289"/>
      <c r="AT3" s="289"/>
      <c r="AU3" s="289"/>
      <c r="AV3" s="4"/>
    </row>
    <row r="4" spans="1:48" ht="11.25" customHeight="1">
      <c r="A4" s="3"/>
      <c r="B4" s="5"/>
      <c r="C4" s="6"/>
      <c r="D4" s="6"/>
      <c r="E4" s="6"/>
      <c r="F4" s="6"/>
      <c r="G4" s="6"/>
      <c r="H4" s="6"/>
      <c r="I4" s="6"/>
      <c r="J4" s="6"/>
      <c r="K4" s="3"/>
      <c r="L4" s="3"/>
      <c r="M4" s="3"/>
      <c r="N4" s="3"/>
      <c r="O4" s="3"/>
      <c r="P4" s="3"/>
      <c r="Q4" s="3"/>
      <c r="R4" s="3"/>
      <c r="S4" s="3"/>
      <c r="T4" s="3"/>
      <c r="U4" s="3"/>
      <c r="V4" s="3"/>
      <c r="W4" s="3"/>
      <c r="X4" s="3"/>
      <c r="Y4" s="3"/>
      <c r="Z4" s="3"/>
      <c r="AA4" s="3"/>
      <c r="AB4" s="3"/>
      <c r="AC4" s="3"/>
      <c r="AD4" s="293"/>
      <c r="AE4" s="293"/>
      <c r="AF4" s="293"/>
      <c r="AG4" s="293"/>
      <c r="AH4" s="293"/>
      <c r="AI4" s="293"/>
      <c r="AJ4" s="289"/>
      <c r="AK4" s="289"/>
      <c r="AL4" s="289"/>
      <c r="AM4" s="289"/>
      <c r="AN4" s="289"/>
      <c r="AO4" s="289"/>
      <c r="AP4" s="289"/>
      <c r="AQ4" s="289"/>
      <c r="AR4" s="289"/>
      <c r="AS4" s="289"/>
      <c r="AT4" s="289"/>
      <c r="AU4" s="289"/>
      <c r="AV4" s="4"/>
    </row>
    <row r="5" spans="1:48" ht="11.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292"/>
      <c r="AE5" s="293"/>
      <c r="AF5" s="293"/>
      <c r="AG5" s="293"/>
      <c r="AH5" s="293"/>
      <c r="AI5" s="293"/>
      <c r="AJ5" s="290"/>
      <c r="AK5" s="290"/>
      <c r="AL5" s="290"/>
      <c r="AM5" s="290"/>
      <c r="AN5" s="290"/>
      <c r="AO5" s="291"/>
      <c r="AP5" s="291"/>
      <c r="AQ5" s="291"/>
      <c r="AR5" s="291"/>
      <c r="AS5" s="291"/>
      <c r="AT5" s="291"/>
      <c r="AU5" s="291"/>
      <c r="AV5" s="7"/>
    </row>
    <row r="6" spans="1:48" ht="11.25"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293"/>
      <c r="AE6" s="293"/>
      <c r="AF6" s="293"/>
      <c r="AG6" s="293"/>
      <c r="AH6" s="293"/>
      <c r="AI6" s="293"/>
      <c r="AJ6" s="290"/>
      <c r="AK6" s="290"/>
      <c r="AL6" s="290"/>
      <c r="AM6" s="290"/>
      <c r="AN6" s="290"/>
      <c r="AO6" s="291"/>
      <c r="AP6" s="291"/>
      <c r="AQ6" s="291"/>
      <c r="AR6" s="291"/>
      <c r="AS6" s="291"/>
      <c r="AT6" s="291"/>
      <c r="AU6" s="291"/>
      <c r="AV6" s="7"/>
    </row>
    <row r="7" spans="1:48" ht="12.75" customHeight="1">
      <c r="A7" s="3"/>
      <c r="B7" s="8"/>
      <c r="C7" s="3"/>
      <c r="D7" s="3"/>
      <c r="E7" s="3"/>
      <c r="F7" s="3"/>
      <c r="G7" s="3"/>
      <c r="H7" s="3"/>
      <c r="I7" s="3"/>
      <c r="J7" s="3"/>
      <c r="K7" s="3"/>
      <c r="L7" s="3"/>
      <c r="M7" s="3"/>
      <c r="N7" s="9"/>
      <c r="O7" s="9"/>
      <c r="P7" s="9"/>
      <c r="Q7" s="9"/>
      <c r="R7" s="9"/>
      <c r="S7" s="9"/>
      <c r="T7" s="9"/>
      <c r="U7" s="9"/>
      <c r="V7" s="9"/>
      <c r="W7" s="9"/>
      <c r="X7" s="9"/>
      <c r="Y7" s="9"/>
      <c r="Z7" s="9"/>
      <c r="AA7" s="9"/>
      <c r="AB7" s="9"/>
      <c r="AC7" s="9"/>
      <c r="AD7" s="9"/>
      <c r="AE7" s="9"/>
      <c r="AF7" s="9"/>
      <c r="AG7" s="9"/>
      <c r="AH7" s="9"/>
      <c r="AI7" s="9"/>
      <c r="AJ7" s="9"/>
      <c r="AK7" s="9"/>
      <c r="AL7" s="3"/>
      <c r="AM7" s="3"/>
      <c r="AN7" s="3"/>
      <c r="AO7" s="3"/>
      <c r="AP7" s="3"/>
      <c r="AQ7" s="3"/>
      <c r="AR7" s="3"/>
      <c r="AS7" s="3"/>
      <c r="AT7" s="3"/>
      <c r="AU7" s="3"/>
      <c r="AV7" s="3"/>
    </row>
    <row r="8" spans="1:48" ht="11.25" customHeight="1">
      <c r="A8" s="3"/>
      <c r="B8" s="3"/>
      <c r="C8" s="3"/>
      <c r="D8" s="3"/>
      <c r="E8" s="3"/>
      <c r="F8" s="3"/>
      <c r="G8" s="3"/>
      <c r="H8" s="3"/>
      <c r="I8" s="3"/>
      <c r="J8" s="3"/>
      <c r="K8" s="3"/>
      <c r="L8" s="3"/>
      <c r="M8" s="3"/>
      <c r="N8" s="639" t="s">
        <v>761</v>
      </c>
      <c r="O8" s="640"/>
      <c r="P8" s="640"/>
      <c r="Q8" s="640"/>
      <c r="R8" s="640"/>
      <c r="S8" s="640"/>
      <c r="T8" s="640"/>
      <c r="U8" s="640"/>
      <c r="V8" s="640"/>
      <c r="W8" s="640"/>
      <c r="X8" s="640"/>
      <c r="Y8" s="640"/>
      <c r="Z8" s="640"/>
      <c r="AA8" s="640"/>
      <c r="AB8" s="640"/>
      <c r="AC8" s="640"/>
      <c r="AD8" s="640"/>
      <c r="AE8" s="640"/>
      <c r="AF8" s="640"/>
      <c r="AG8" s="640"/>
      <c r="AH8" s="640"/>
      <c r="AI8" s="640"/>
      <c r="AJ8" s="640"/>
      <c r="AK8" s="641"/>
      <c r="AL8" s="3"/>
      <c r="AM8" s="3"/>
      <c r="AN8" s="3"/>
      <c r="AO8" s="3"/>
      <c r="AP8" s="3"/>
      <c r="AQ8" s="3"/>
      <c r="AR8" s="3"/>
      <c r="AS8" s="3"/>
      <c r="AT8" s="3"/>
      <c r="AU8" s="3"/>
      <c r="AV8" s="3"/>
    </row>
    <row r="9" spans="1:48" ht="11.25" customHeight="1">
      <c r="A9" s="3"/>
      <c r="B9" s="3"/>
      <c r="C9" s="3"/>
      <c r="D9" s="3"/>
      <c r="E9" s="3"/>
      <c r="F9" s="3"/>
      <c r="G9" s="3"/>
      <c r="H9" s="3"/>
      <c r="I9" s="3"/>
      <c r="J9" s="3"/>
      <c r="K9" s="3"/>
      <c r="L9" s="3"/>
      <c r="M9" s="3"/>
      <c r="N9" s="639"/>
      <c r="O9" s="640"/>
      <c r="P9" s="640"/>
      <c r="Q9" s="640"/>
      <c r="R9" s="640"/>
      <c r="S9" s="640"/>
      <c r="T9" s="640"/>
      <c r="U9" s="640"/>
      <c r="V9" s="640"/>
      <c r="W9" s="640"/>
      <c r="X9" s="640"/>
      <c r="Y9" s="640"/>
      <c r="Z9" s="640"/>
      <c r="AA9" s="640"/>
      <c r="AB9" s="640"/>
      <c r="AC9" s="640"/>
      <c r="AD9" s="640"/>
      <c r="AE9" s="640"/>
      <c r="AF9" s="640"/>
      <c r="AG9" s="640"/>
      <c r="AH9" s="640"/>
      <c r="AI9" s="640"/>
      <c r="AJ9" s="640"/>
      <c r="AK9" s="641"/>
      <c r="AL9" s="3"/>
      <c r="AM9" s="3"/>
      <c r="AN9" s="3"/>
      <c r="AO9" s="3"/>
      <c r="AP9" s="3"/>
      <c r="AQ9" s="3"/>
      <c r="AR9" s="3"/>
      <c r="AS9" s="3"/>
      <c r="AT9" s="3"/>
      <c r="AU9" s="3"/>
      <c r="AV9" s="3"/>
    </row>
    <row r="10" spans="1:48" ht="11.25" customHeight="1">
      <c r="A10" s="3"/>
      <c r="B10" s="3"/>
      <c r="C10" s="3"/>
      <c r="D10" s="3"/>
      <c r="E10" s="3"/>
      <c r="F10" s="3"/>
      <c r="G10" s="3"/>
      <c r="H10" s="3"/>
      <c r="I10" s="3"/>
      <c r="J10" s="3"/>
      <c r="K10" s="3"/>
      <c r="L10" s="3"/>
      <c r="M10" s="3"/>
      <c r="N10" s="639"/>
      <c r="O10" s="640"/>
      <c r="P10" s="640"/>
      <c r="Q10" s="640"/>
      <c r="R10" s="640"/>
      <c r="S10" s="640"/>
      <c r="T10" s="640"/>
      <c r="U10" s="640"/>
      <c r="V10" s="640"/>
      <c r="W10" s="640"/>
      <c r="X10" s="640"/>
      <c r="Y10" s="640"/>
      <c r="Z10" s="640"/>
      <c r="AA10" s="640"/>
      <c r="AB10" s="640"/>
      <c r="AC10" s="640"/>
      <c r="AD10" s="640"/>
      <c r="AE10" s="640"/>
      <c r="AF10" s="640"/>
      <c r="AG10" s="640"/>
      <c r="AH10" s="640"/>
      <c r="AI10" s="640"/>
      <c r="AJ10" s="640"/>
      <c r="AK10" s="641"/>
      <c r="AL10" s="3"/>
      <c r="AM10" s="3"/>
      <c r="AN10" s="3"/>
      <c r="AO10" s="3"/>
      <c r="AP10" s="3"/>
      <c r="AQ10" s="3"/>
      <c r="AR10" s="3"/>
      <c r="AS10" s="3"/>
      <c r="AT10" s="3"/>
      <c r="AU10" s="3"/>
      <c r="AV10" s="3"/>
    </row>
    <row r="11" spans="1:48" ht="11.25" customHeight="1">
      <c r="A11" s="3"/>
      <c r="B11" s="3"/>
      <c r="C11" s="3"/>
      <c r="D11" s="3"/>
      <c r="E11" s="3"/>
      <c r="F11" s="3"/>
      <c r="G11" s="3"/>
      <c r="H11" s="3"/>
      <c r="I11" s="3"/>
      <c r="J11" s="3"/>
      <c r="K11" s="3"/>
      <c r="L11" s="3"/>
      <c r="M11" s="3"/>
      <c r="N11" s="642" t="s">
        <v>1</v>
      </c>
      <c r="O11" s="643"/>
      <c r="P11" s="643"/>
      <c r="Q11" s="643"/>
      <c r="R11" s="643"/>
      <c r="S11" s="643"/>
      <c r="T11" s="643"/>
      <c r="U11" s="643"/>
      <c r="V11" s="643"/>
      <c r="W11" s="643"/>
      <c r="X11" s="643"/>
      <c r="Y11" s="643"/>
      <c r="Z11" s="643"/>
      <c r="AA11" s="643"/>
      <c r="AB11" s="643"/>
      <c r="AC11" s="643"/>
      <c r="AD11" s="643"/>
      <c r="AE11" s="643"/>
      <c r="AF11" s="643"/>
      <c r="AG11" s="643"/>
      <c r="AH11" s="643"/>
      <c r="AI11" s="643"/>
      <c r="AJ11" s="643"/>
      <c r="AK11" s="644"/>
      <c r="AL11" s="3"/>
      <c r="AM11" s="3"/>
      <c r="AN11" s="3"/>
      <c r="AO11" s="3"/>
      <c r="AP11" s="3"/>
      <c r="AQ11" s="3"/>
      <c r="AR11" s="3"/>
      <c r="AS11" s="3"/>
      <c r="AT11" s="3"/>
      <c r="AU11" s="3"/>
      <c r="AV11" s="3"/>
    </row>
    <row r="12" spans="1:48" ht="11.25" customHeight="1">
      <c r="A12" s="3"/>
      <c r="B12" s="3"/>
      <c r="C12" s="3"/>
      <c r="D12" s="3"/>
      <c r="E12" s="3"/>
      <c r="F12" s="3"/>
      <c r="G12" s="3"/>
      <c r="H12" s="3"/>
      <c r="I12" s="3"/>
      <c r="J12" s="3"/>
      <c r="K12" s="3"/>
      <c r="L12" s="3"/>
      <c r="M12" s="3"/>
      <c r="N12" s="642"/>
      <c r="O12" s="643"/>
      <c r="P12" s="643"/>
      <c r="Q12" s="643"/>
      <c r="R12" s="643"/>
      <c r="S12" s="643"/>
      <c r="T12" s="643"/>
      <c r="U12" s="643"/>
      <c r="V12" s="643"/>
      <c r="W12" s="643"/>
      <c r="X12" s="643"/>
      <c r="Y12" s="643"/>
      <c r="Z12" s="643"/>
      <c r="AA12" s="643"/>
      <c r="AB12" s="643"/>
      <c r="AC12" s="643"/>
      <c r="AD12" s="643"/>
      <c r="AE12" s="643"/>
      <c r="AF12" s="643"/>
      <c r="AG12" s="643"/>
      <c r="AH12" s="643"/>
      <c r="AI12" s="643"/>
      <c r="AJ12" s="643"/>
      <c r="AK12" s="644"/>
      <c r="AL12" s="3"/>
      <c r="AM12" s="3"/>
      <c r="AN12" s="3"/>
      <c r="AO12" s="3"/>
      <c r="AP12" s="3"/>
      <c r="AQ12" s="3"/>
      <c r="AR12" s="3"/>
      <c r="AS12" s="3"/>
      <c r="AT12" s="3"/>
      <c r="AU12" s="3"/>
      <c r="AV12" s="3"/>
    </row>
    <row r="13" spans="1:48" ht="11.25" customHeight="1">
      <c r="A13" s="3"/>
      <c r="B13" s="3"/>
      <c r="C13" s="3"/>
      <c r="D13" s="3"/>
      <c r="E13" s="3"/>
      <c r="F13" s="3"/>
      <c r="G13" s="3"/>
      <c r="H13" s="3"/>
      <c r="I13" s="3"/>
      <c r="J13" s="3"/>
      <c r="K13" s="3"/>
      <c r="L13" s="3"/>
      <c r="M13" s="3"/>
      <c r="N13" s="645"/>
      <c r="O13" s="646"/>
      <c r="P13" s="646"/>
      <c r="Q13" s="646"/>
      <c r="R13" s="646"/>
      <c r="S13" s="646"/>
      <c r="T13" s="646"/>
      <c r="U13" s="646"/>
      <c r="V13" s="646"/>
      <c r="W13" s="646"/>
      <c r="X13" s="646"/>
      <c r="Y13" s="646"/>
      <c r="Z13" s="646"/>
      <c r="AA13" s="646"/>
      <c r="AB13" s="646"/>
      <c r="AC13" s="646"/>
      <c r="AD13" s="646"/>
      <c r="AE13" s="646"/>
      <c r="AF13" s="646"/>
      <c r="AG13" s="646"/>
      <c r="AH13" s="646"/>
      <c r="AI13" s="646"/>
      <c r="AJ13" s="646"/>
      <c r="AK13" s="647"/>
      <c r="AL13" s="3"/>
      <c r="AM13" s="3"/>
      <c r="AN13" s="3"/>
      <c r="AO13" s="3"/>
      <c r="AP13" s="3"/>
      <c r="AQ13" s="3"/>
      <c r="AR13" s="3"/>
      <c r="AS13" s="3"/>
      <c r="AT13" s="3"/>
      <c r="AU13" s="3"/>
      <c r="AV13" s="3"/>
    </row>
    <row r="14" spans="1:48">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row>
    <row r="15" spans="1:48">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row>
    <row r="16" spans="1:48">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row>
    <row r="17" spans="1:53" ht="11.5" thickBot="1">
      <c r="A17" s="3"/>
      <c r="B17" s="3"/>
      <c r="C17" s="3"/>
      <c r="D17" s="3"/>
      <c r="E17" s="3"/>
      <c r="F17" s="3"/>
      <c r="G17" s="3"/>
      <c r="H17" s="3"/>
      <c r="I17" s="3"/>
      <c r="J17" s="3"/>
      <c r="K17" s="3"/>
      <c r="L17" s="3"/>
      <c r="N17" s="585" t="s">
        <v>2</v>
      </c>
      <c r="O17" s="586"/>
      <c r="P17" s="586"/>
      <c r="Q17" s="586"/>
      <c r="R17" s="586"/>
      <c r="S17" s="586"/>
      <c r="T17" s="586"/>
      <c r="U17" s="587"/>
      <c r="V17" s="622"/>
      <c r="W17" s="648"/>
      <c r="X17" s="648"/>
      <c r="Y17" s="648"/>
      <c r="Z17" s="648"/>
      <c r="AA17" s="648"/>
      <c r="AB17" s="648"/>
      <c r="AC17" s="648"/>
      <c r="AD17" s="648"/>
      <c r="AE17" s="648"/>
      <c r="AF17" s="648"/>
      <c r="AG17" s="648"/>
      <c r="AH17" s="648"/>
      <c r="AI17" s="648"/>
      <c r="AJ17" s="648"/>
      <c r="AK17" s="649"/>
      <c r="AL17" s="3"/>
      <c r="AM17" s="218" t="s">
        <v>377</v>
      </c>
      <c r="AN17" s="219"/>
      <c r="AO17" s="219"/>
      <c r="AP17" s="219"/>
      <c r="AQ17" s="219"/>
      <c r="AR17" s="219"/>
      <c r="AS17" s="219"/>
      <c r="AT17" s="219"/>
      <c r="AU17" s="218" t="s">
        <v>378</v>
      </c>
      <c r="AV17" s="220"/>
    </row>
    <row r="18" spans="1:53" ht="11.5" thickTop="1">
      <c r="A18" s="3"/>
      <c r="B18" s="3"/>
      <c r="C18" s="3"/>
      <c r="D18" s="3"/>
      <c r="E18" s="3"/>
      <c r="F18" s="3"/>
      <c r="G18" s="3"/>
      <c r="H18" s="3"/>
      <c r="I18" s="3"/>
      <c r="J18" s="3"/>
      <c r="K18" s="3"/>
      <c r="L18" s="3"/>
      <c r="N18" s="588"/>
      <c r="O18" s="589"/>
      <c r="P18" s="589"/>
      <c r="Q18" s="589"/>
      <c r="R18" s="589"/>
      <c r="S18" s="589"/>
      <c r="T18" s="589"/>
      <c r="U18" s="590"/>
      <c r="V18" s="650"/>
      <c r="W18" s="651"/>
      <c r="X18" s="651"/>
      <c r="Y18" s="651"/>
      <c r="Z18" s="651"/>
      <c r="AA18" s="651"/>
      <c r="AB18" s="651"/>
      <c r="AC18" s="651"/>
      <c r="AD18" s="651"/>
      <c r="AE18" s="651"/>
      <c r="AF18" s="651"/>
      <c r="AG18" s="651"/>
      <c r="AH18" s="651"/>
      <c r="AI18" s="651"/>
      <c r="AJ18" s="651"/>
      <c r="AK18" s="652"/>
      <c r="AL18" s="3"/>
      <c r="AM18" s="221" t="s">
        <v>379</v>
      </c>
      <c r="AN18" s="222"/>
      <c r="AO18" s="222"/>
      <c r="AP18" s="222"/>
      <c r="AQ18" s="222"/>
      <c r="AR18" s="222"/>
      <c r="AS18" s="222"/>
      <c r="AT18" s="223"/>
      <c r="AU18" s="224" t="s">
        <v>399</v>
      </c>
      <c r="AV18" s="225"/>
    </row>
    <row r="19" spans="1:53">
      <c r="A19" s="3"/>
      <c r="B19" s="3"/>
      <c r="C19" s="3"/>
      <c r="D19" s="3"/>
      <c r="E19" s="3"/>
      <c r="F19" s="3"/>
      <c r="G19" s="3"/>
      <c r="H19" s="3"/>
      <c r="I19" s="3"/>
      <c r="J19" s="3"/>
      <c r="K19" s="3"/>
      <c r="L19" s="3"/>
      <c r="N19" s="585" t="s">
        <v>3</v>
      </c>
      <c r="O19" s="586"/>
      <c r="P19" s="586"/>
      <c r="Q19" s="586"/>
      <c r="R19" s="586"/>
      <c r="S19" s="586"/>
      <c r="T19" s="586"/>
      <c r="U19" s="587"/>
      <c r="V19" s="622" t="s">
        <v>218</v>
      </c>
      <c r="W19" s="648"/>
      <c r="X19" s="648"/>
      <c r="Y19" s="648"/>
      <c r="Z19" s="648"/>
      <c r="AA19" s="648"/>
      <c r="AB19" s="648"/>
      <c r="AC19" s="648"/>
      <c r="AD19" s="648"/>
      <c r="AE19" s="648"/>
      <c r="AF19" s="648"/>
      <c r="AG19" s="648"/>
      <c r="AH19" s="648"/>
      <c r="AI19" s="648"/>
      <c r="AJ19" s="648"/>
      <c r="AK19" s="649"/>
      <c r="AL19" s="3"/>
      <c r="AM19" s="226" t="s">
        <v>380</v>
      </c>
      <c r="AN19" s="227"/>
      <c r="AO19" s="227"/>
      <c r="AP19" s="227"/>
      <c r="AQ19" s="227"/>
      <c r="AR19" s="227"/>
      <c r="AS19" s="227"/>
      <c r="AT19" s="228"/>
      <c r="AU19" s="229" t="s">
        <v>399</v>
      </c>
      <c r="AV19" s="230"/>
    </row>
    <row r="20" spans="1:53">
      <c r="A20" s="3"/>
      <c r="B20" s="3"/>
      <c r="C20" s="3"/>
      <c r="D20" s="3"/>
      <c r="E20" s="3"/>
      <c r="F20" s="3"/>
      <c r="G20" s="3"/>
      <c r="H20" s="3"/>
      <c r="I20" s="3"/>
      <c r="J20" s="3"/>
      <c r="K20" s="3"/>
      <c r="L20" s="3"/>
      <c r="N20" s="588"/>
      <c r="O20" s="589"/>
      <c r="P20" s="589"/>
      <c r="Q20" s="589"/>
      <c r="R20" s="589"/>
      <c r="S20" s="589"/>
      <c r="T20" s="589"/>
      <c r="U20" s="590"/>
      <c r="V20" s="650"/>
      <c r="W20" s="651"/>
      <c r="X20" s="651"/>
      <c r="Y20" s="651"/>
      <c r="Z20" s="651"/>
      <c r="AA20" s="651"/>
      <c r="AB20" s="651"/>
      <c r="AC20" s="651"/>
      <c r="AD20" s="651"/>
      <c r="AE20" s="651"/>
      <c r="AF20" s="651"/>
      <c r="AG20" s="651"/>
      <c r="AH20" s="651"/>
      <c r="AI20" s="651"/>
      <c r="AJ20" s="651"/>
      <c r="AK20" s="652"/>
      <c r="AL20" s="3"/>
      <c r="AM20" s="226" t="s">
        <v>381</v>
      </c>
      <c r="AN20" s="227"/>
      <c r="AO20" s="227"/>
      <c r="AP20" s="227"/>
      <c r="AQ20" s="227"/>
      <c r="AR20" s="227"/>
      <c r="AS20" s="227"/>
      <c r="AT20" s="228"/>
      <c r="AU20" s="229"/>
      <c r="AV20" s="230"/>
    </row>
    <row r="21" spans="1:53" ht="11.25" customHeight="1">
      <c r="A21" s="3"/>
      <c r="B21" s="3"/>
      <c r="C21" s="3"/>
      <c r="D21" s="3"/>
      <c r="E21" s="3"/>
      <c r="F21" s="3"/>
      <c r="G21" s="3"/>
      <c r="H21" s="3"/>
      <c r="I21" s="3"/>
      <c r="J21" s="3"/>
      <c r="K21" s="3"/>
      <c r="L21" s="3"/>
      <c r="N21" s="585" t="s">
        <v>4</v>
      </c>
      <c r="O21" s="586"/>
      <c r="P21" s="586"/>
      <c r="Q21" s="586"/>
      <c r="R21" s="586"/>
      <c r="S21" s="586"/>
      <c r="T21" s="586"/>
      <c r="U21" s="587"/>
      <c r="V21" s="622" t="s">
        <v>94</v>
      </c>
      <c r="W21" s="623"/>
      <c r="X21" s="623"/>
      <c r="Y21" s="623"/>
      <c r="Z21" s="623"/>
      <c r="AA21" s="623"/>
      <c r="AB21" s="623"/>
      <c r="AC21" s="623"/>
      <c r="AD21" s="623"/>
      <c r="AE21" s="623"/>
      <c r="AF21" s="623"/>
      <c r="AG21" s="623"/>
      <c r="AH21" s="623"/>
      <c r="AI21" s="623"/>
      <c r="AJ21" s="623"/>
      <c r="AK21" s="624"/>
      <c r="AL21" s="3"/>
      <c r="AM21" s="226" t="s">
        <v>400</v>
      </c>
      <c r="AN21" s="227"/>
      <c r="AO21" s="227"/>
      <c r="AP21" s="227"/>
      <c r="AQ21" s="227"/>
      <c r="AR21" s="227"/>
      <c r="AS21" s="227"/>
      <c r="AT21" s="228"/>
      <c r="AU21" s="229"/>
      <c r="AV21" s="230"/>
    </row>
    <row r="22" spans="1:53" ht="11.25" customHeight="1">
      <c r="A22" s="3"/>
      <c r="B22" s="3"/>
      <c r="C22" s="3"/>
      <c r="D22" s="3"/>
      <c r="E22" s="3"/>
      <c r="F22" s="3"/>
      <c r="G22" s="3"/>
      <c r="H22" s="3"/>
      <c r="I22" s="3"/>
      <c r="J22" s="3"/>
      <c r="K22" s="3"/>
      <c r="L22" s="3"/>
      <c r="N22" s="588"/>
      <c r="O22" s="589"/>
      <c r="P22" s="589"/>
      <c r="Q22" s="589"/>
      <c r="R22" s="589"/>
      <c r="S22" s="589"/>
      <c r="T22" s="589"/>
      <c r="U22" s="590"/>
      <c r="V22" s="625"/>
      <c r="W22" s="626"/>
      <c r="X22" s="626"/>
      <c r="Y22" s="626"/>
      <c r="Z22" s="626"/>
      <c r="AA22" s="626"/>
      <c r="AB22" s="626"/>
      <c r="AC22" s="626"/>
      <c r="AD22" s="626"/>
      <c r="AE22" s="626"/>
      <c r="AF22" s="626"/>
      <c r="AG22" s="626"/>
      <c r="AH22" s="626"/>
      <c r="AI22" s="626"/>
      <c r="AJ22" s="626"/>
      <c r="AK22" s="627"/>
      <c r="AL22" s="3"/>
      <c r="AM22" s="226" t="s">
        <v>382</v>
      </c>
      <c r="AN22" s="227"/>
      <c r="AO22" s="227"/>
      <c r="AP22" s="227"/>
      <c r="AQ22" s="227"/>
      <c r="AR22" s="227"/>
      <c r="AS22" s="227"/>
      <c r="AT22" s="228"/>
      <c r="AU22" s="229" t="s">
        <v>399</v>
      </c>
      <c r="AV22" s="230"/>
    </row>
    <row r="23" spans="1:53">
      <c r="A23" s="3"/>
      <c r="B23" s="3"/>
      <c r="C23" s="3"/>
      <c r="D23" s="3"/>
      <c r="E23" s="3"/>
      <c r="F23" s="3"/>
      <c r="G23" s="3"/>
      <c r="H23" s="3"/>
      <c r="I23" s="3"/>
      <c r="J23" s="3"/>
      <c r="K23" s="3"/>
      <c r="L23" s="3"/>
      <c r="N23" s="585" t="s">
        <v>5</v>
      </c>
      <c r="O23" s="586"/>
      <c r="P23" s="586"/>
      <c r="Q23" s="586"/>
      <c r="R23" s="586"/>
      <c r="S23" s="586"/>
      <c r="T23" s="586"/>
      <c r="U23" s="587"/>
      <c r="V23" s="628" t="e">
        <f>#REF!</f>
        <v>#REF!</v>
      </c>
      <c r="W23" s="629"/>
      <c r="X23" s="629"/>
      <c r="Y23" s="629"/>
      <c r="Z23" s="629"/>
      <c r="AA23" s="629"/>
      <c r="AB23" s="629"/>
      <c r="AC23" s="629"/>
      <c r="AD23" s="629"/>
      <c r="AE23" s="629"/>
      <c r="AF23" s="629"/>
      <c r="AG23" s="629"/>
      <c r="AH23" s="629"/>
      <c r="AI23" s="629"/>
      <c r="AJ23" s="629"/>
      <c r="AK23" s="630"/>
      <c r="AL23" s="3"/>
      <c r="AM23" s="226" t="s">
        <v>383</v>
      </c>
      <c r="AN23" s="227"/>
      <c r="AO23" s="227"/>
      <c r="AP23" s="227"/>
      <c r="AQ23" s="227"/>
      <c r="AR23" s="227"/>
      <c r="AS23" s="227"/>
      <c r="AT23" s="228"/>
      <c r="AU23" s="229" t="s">
        <v>88</v>
      </c>
      <c r="AV23" s="230"/>
    </row>
    <row r="24" spans="1:53">
      <c r="A24" s="3"/>
      <c r="B24" s="3"/>
      <c r="C24" s="3"/>
      <c r="D24" s="3"/>
      <c r="E24" s="3"/>
      <c r="F24" s="3"/>
      <c r="G24" s="3"/>
      <c r="H24" s="3"/>
      <c r="I24" s="3"/>
      <c r="J24" s="3"/>
      <c r="K24" s="3"/>
      <c r="L24" s="3"/>
      <c r="N24" s="588"/>
      <c r="O24" s="589"/>
      <c r="P24" s="589"/>
      <c r="Q24" s="589"/>
      <c r="R24" s="589"/>
      <c r="S24" s="589"/>
      <c r="T24" s="589"/>
      <c r="U24" s="590"/>
      <c r="V24" s="631"/>
      <c r="W24" s="632"/>
      <c r="X24" s="632"/>
      <c r="Y24" s="632"/>
      <c r="Z24" s="632"/>
      <c r="AA24" s="632"/>
      <c r="AB24" s="632"/>
      <c r="AC24" s="632"/>
      <c r="AD24" s="632"/>
      <c r="AE24" s="632"/>
      <c r="AF24" s="632"/>
      <c r="AG24" s="632"/>
      <c r="AH24" s="632"/>
      <c r="AI24" s="632"/>
      <c r="AJ24" s="632"/>
      <c r="AK24" s="633"/>
      <c r="AL24" s="3"/>
      <c r="AM24" s="226" t="s">
        <v>384</v>
      </c>
      <c r="AN24" s="227"/>
      <c r="AO24" s="227"/>
      <c r="AP24" s="227"/>
      <c r="AQ24" s="227"/>
      <c r="AR24" s="227"/>
      <c r="AS24" s="227"/>
      <c r="AT24" s="228"/>
      <c r="AU24" s="229" t="s">
        <v>760</v>
      </c>
      <c r="AV24" s="230"/>
    </row>
    <row r="25" spans="1:53">
      <c r="A25" s="3"/>
      <c r="B25" s="3"/>
      <c r="C25" s="3"/>
      <c r="D25" s="3"/>
      <c r="E25" s="3"/>
      <c r="F25" s="3"/>
      <c r="G25" s="3"/>
      <c r="H25" s="3"/>
      <c r="I25" s="3"/>
      <c r="J25" s="3"/>
      <c r="K25" s="3"/>
      <c r="L25" s="3"/>
      <c r="N25" s="585" t="s">
        <v>6</v>
      </c>
      <c r="O25" s="586"/>
      <c r="P25" s="586"/>
      <c r="Q25" s="586"/>
      <c r="R25" s="586"/>
      <c r="S25" s="586"/>
      <c r="T25" s="586"/>
      <c r="U25" s="587"/>
      <c r="V25" s="606" t="s">
        <v>7</v>
      </c>
      <c r="W25" s="634"/>
      <c r="X25" s="634"/>
      <c r="Y25" s="634"/>
      <c r="Z25" s="634"/>
      <c r="AA25" s="634"/>
      <c r="AB25" s="634"/>
      <c r="AC25" s="634"/>
      <c r="AD25" s="634"/>
      <c r="AE25" s="634"/>
      <c r="AF25" s="634"/>
      <c r="AG25" s="634"/>
      <c r="AH25" s="634"/>
      <c r="AI25" s="634"/>
      <c r="AJ25" s="634"/>
      <c r="AK25" s="635"/>
      <c r="AL25" s="3"/>
      <c r="AM25" s="226" t="s">
        <v>385</v>
      </c>
      <c r="AN25" s="227"/>
      <c r="AO25" s="227"/>
      <c r="AP25" s="227"/>
      <c r="AQ25" s="227"/>
      <c r="AR25" s="227"/>
      <c r="AS25" s="227"/>
      <c r="AT25" s="228"/>
      <c r="AU25" s="229" t="s">
        <v>88</v>
      </c>
      <c r="AV25" s="230"/>
    </row>
    <row r="26" spans="1:53">
      <c r="A26" s="3"/>
      <c r="B26" s="3"/>
      <c r="C26" s="3"/>
      <c r="D26" s="3"/>
      <c r="E26" s="3"/>
      <c r="F26" s="3"/>
      <c r="G26" s="3"/>
      <c r="H26" s="3"/>
      <c r="I26" s="3"/>
      <c r="J26" s="3"/>
      <c r="K26" s="3"/>
      <c r="L26" s="3"/>
      <c r="N26" s="588"/>
      <c r="O26" s="589"/>
      <c r="P26" s="589"/>
      <c r="Q26" s="589"/>
      <c r="R26" s="589"/>
      <c r="S26" s="589"/>
      <c r="T26" s="589"/>
      <c r="U26" s="590"/>
      <c r="V26" s="636"/>
      <c r="W26" s="637"/>
      <c r="X26" s="637"/>
      <c r="Y26" s="637"/>
      <c r="Z26" s="637"/>
      <c r="AA26" s="637"/>
      <c r="AB26" s="637"/>
      <c r="AC26" s="637"/>
      <c r="AD26" s="637"/>
      <c r="AE26" s="637"/>
      <c r="AF26" s="637"/>
      <c r="AG26" s="637"/>
      <c r="AH26" s="637"/>
      <c r="AI26" s="637"/>
      <c r="AJ26" s="637"/>
      <c r="AK26" s="638"/>
      <c r="AL26" s="3"/>
      <c r="AM26" s="226" t="s">
        <v>386</v>
      </c>
      <c r="AN26" s="231"/>
      <c r="AO26" s="231"/>
      <c r="AP26" s="231"/>
      <c r="AQ26" s="231"/>
      <c r="AR26" s="231"/>
      <c r="AS26" s="231"/>
      <c r="AT26" s="232"/>
      <c r="AU26" s="233" t="s">
        <v>88</v>
      </c>
      <c r="AV26" s="232"/>
      <c r="AY26" s="10"/>
    </row>
    <row r="27" spans="1:53" ht="11.25" customHeight="1">
      <c r="A27" s="3"/>
      <c r="B27" s="3"/>
      <c r="C27" s="3"/>
      <c r="D27" s="3"/>
      <c r="E27" s="3"/>
      <c r="F27" s="3"/>
      <c r="G27" s="3"/>
      <c r="H27" s="3"/>
      <c r="I27" s="3"/>
      <c r="J27" s="3"/>
      <c r="K27" s="3"/>
      <c r="L27" s="3"/>
      <c r="M27" s="3"/>
      <c r="N27" s="585" t="s">
        <v>8</v>
      </c>
      <c r="O27" s="586"/>
      <c r="P27" s="586"/>
      <c r="Q27" s="586"/>
      <c r="R27" s="586"/>
      <c r="S27" s="586"/>
      <c r="T27" s="586"/>
      <c r="U27" s="587"/>
      <c r="V27" s="606" t="s">
        <v>9</v>
      </c>
      <c r="W27" s="607"/>
      <c r="X27" s="607"/>
      <c r="Y27" s="607"/>
      <c r="Z27" s="607"/>
      <c r="AA27" s="607"/>
      <c r="AB27" s="607"/>
      <c r="AC27" s="608"/>
      <c r="AD27" s="612" t="s">
        <v>10</v>
      </c>
      <c r="AE27" s="613"/>
      <c r="AF27" s="616" t="s">
        <v>41</v>
      </c>
      <c r="AG27" s="617"/>
      <c r="AH27" s="617"/>
      <c r="AI27" s="617"/>
      <c r="AJ27" s="617"/>
      <c r="AK27" s="618"/>
      <c r="AL27" s="11"/>
      <c r="AM27" s="226" t="s">
        <v>401</v>
      </c>
      <c r="AN27" s="231"/>
      <c r="AO27" s="231"/>
      <c r="AP27" s="231"/>
      <c r="AQ27" s="231"/>
      <c r="AR27" s="231"/>
      <c r="AS27" s="231"/>
      <c r="AT27" s="232"/>
      <c r="AU27" s="233" t="s">
        <v>399</v>
      </c>
      <c r="AV27" s="232"/>
      <c r="AW27" s="12"/>
      <c r="AX27" s="12"/>
      <c r="AY27" s="12"/>
      <c r="AZ27" s="12"/>
      <c r="BA27" s="12"/>
    </row>
    <row r="28" spans="1:53">
      <c r="A28" s="3"/>
      <c r="B28" s="3"/>
      <c r="C28" s="3"/>
      <c r="D28" s="3"/>
      <c r="E28" s="3"/>
      <c r="F28" s="3"/>
      <c r="G28" s="3"/>
      <c r="H28" s="3"/>
      <c r="I28" s="3"/>
      <c r="J28" s="3"/>
      <c r="K28" s="3"/>
      <c r="L28" s="13"/>
      <c r="M28" s="13"/>
      <c r="N28" s="588"/>
      <c r="O28" s="589"/>
      <c r="P28" s="589"/>
      <c r="Q28" s="589"/>
      <c r="R28" s="589"/>
      <c r="S28" s="589"/>
      <c r="T28" s="589"/>
      <c r="U28" s="590"/>
      <c r="V28" s="609"/>
      <c r="W28" s="610"/>
      <c r="X28" s="610"/>
      <c r="Y28" s="610"/>
      <c r="Z28" s="610"/>
      <c r="AA28" s="610"/>
      <c r="AB28" s="610"/>
      <c r="AC28" s="611"/>
      <c r="AD28" s="614"/>
      <c r="AE28" s="615"/>
      <c r="AF28" s="619"/>
      <c r="AG28" s="620"/>
      <c r="AH28" s="620"/>
      <c r="AI28" s="620"/>
      <c r="AJ28" s="620"/>
      <c r="AK28" s="621"/>
      <c r="AL28" s="14"/>
      <c r="AM28" s="226" t="s">
        <v>387</v>
      </c>
      <c r="AN28" s="234"/>
      <c r="AO28" s="227"/>
      <c r="AP28" s="227"/>
      <c r="AQ28" s="227"/>
      <c r="AR28" s="227"/>
      <c r="AS28" s="227"/>
      <c r="AT28" s="228"/>
      <c r="AU28" s="229" t="s">
        <v>399</v>
      </c>
      <c r="AV28" s="230"/>
      <c r="AW28" s="12"/>
      <c r="AX28" s="12"/>
      <c r="AY28" s="12"/>
      <c r="AZ28" s="12"/>
      <c r="BA28" s="12"/>
    </row>
    <row r="29" spans="1:53" ht="13">
      <c r="A29" s="3"/>
      <c r="B29" s="3"/>
      <c r="C29" s="3"/>
      <c r="D29" s="3"/>
      <c r="E29" s="3"/>
      <c r="F29" s="3"/>
      <c r="G29" s="3"/>
      <c r="H29" s="3"/>
      <c r="I29" s="3"/>
      <c r="J29" s="3"/>
      <c r="K29" s="3"/>
      <c r="L29" s="3"/>
      <c r="M29" s="13"/>
      <c r="N29" s="585" t="s">
        <v>11</v>
      </c>
      <c r="O29" s="586"/>
      <c r="P29" s="586"/>
      <c r="Q29" s="586"/>
      <c r="R29" s="586"/>
      <c r="S29" s="586"/>
      <c r="T29" s="586"/>
      <c r="U29" s="587"/>
      <c r="V29" s="591" t="s">
        <v>15</v>
      </c>
      <c r="W29" s="592"/>
      <c r="X29" s="592"/>
      <c r="Y29" s="592"/>
      <c r="Z29" s="592"/>
      <c r="AA29" s="592"/>
      <c r="AB29" s="592"/>
      <c r="AC29" s="592"/>
      <c r="AD29" s="592"/>
      <c r="AE29" s="592"/>
      <c r="AF29" s="592"/>
      <c r="AG29" s="592"/>
      <c r="AH29" s="592"/>
      <c r="AI29" s="592"/>
      <c r="AJ29" s="592"/>
      <c r="AK29" s="593"/>
      <c r="AL29" s="13"/>
      <c r="AM29" s="226" t="s">
        <v>388</v>
      </c>
      <c r="AN29" s="234"/>
      <c r="AO29" s="227"/>
      <c r="AP29" s="227"/>
      <c r="AQ29" s="227"/>
      <c r="AR29" s="227"/>
      <c r="AS29" s="227"/>
      <c r="AT29" s="228"/>
      <c r="AU29" s="229" t="s">
        <v>399</v>
      </c>
      <c r="AV29" s="230"/>
      <c r="AX29" s="15" t="s">
        <v>13</v>
      </c>
      <c r="AY29" s="10"/>
    </row>
    <row r="30" spans="1:53" ht="11.25" customHeight="1">
      <c r="A30" s="3"/>
      <c r="B30" s="3"/>
      <c r="C30" s="3"/>
      <c r="D30" s="3"/>
      <c r="E30" s="3"/>
      <c r="F30" s="3"/>
      <c r="G30" s="3"/>
      <c r="H30" s="3"/>
      <c r="I30" s="3"/>
      <c r="J30" s="3"/>
      <c r="K30" s="3"/>
      <c r="L30" s="3"/>
      <c r="M30" s="13"/>
      <c r="N30" s="588"/>
      <c r="O30" s="589"/>
      <c r="P30" s="589"/>
      <c r="Q30" s="589"/>
      <c r="R30" s="589"/>
      <c r="S30" s="589"/>
      <c r="T30" s="589"/>
      <c r="U30" s="590"/>
      <c r="V30" s="594"/>
      <c r="W30" s="595"/>
      <c r="X30" s="595"/>
      <c r="Y30" s="595"/>
      <c r="Z30" s="595"/>
      <c r="AA30" s="595"/>
      <c r="AB30" s="595"/>
      <c r="AC30" s="595"/>
      <c r="AD30" s="595"/>
      <c r="AE30" s="595"/>
      <c r="AF30" s="595"/>
      <c r="AG30" s="595"/>
      <c r="AH30" s="595"/>
      <c r="AI30" s="595"/>
      <c r="AJ30" s="595"/>
      <c r="AK30" s="596"/>
      <c r="AL30" s="13"/>
      <c r="AM30" s="226" t="s">
        <v>389</v>
      </c>
      <c r="AN30" s="234"/>
      <c r="AO30" s="227"/>
      <c r="AP30" s="227"/>
      <c r="AQ30" s="227"/>
      <c r="AR30" s="227"/>
      <c r="AS30" s="227"/>
      <c r="AT30" s="228"/>
      <c r="AU30" s="229" t="s">
        <v>399</v>
      </c>
      <c r="AV30" s="230"/>
      <c r="AX30" s="15" t="s">
        <v>14</v>
      </c>
      <c r="AY30" s="15"/>
    </row>
    <row r="31" spans="1:53" ht="11.25" customHeight="1">
      <c r="A31" s="3"/>
      <c r="B31" s="3"/>
      <c r="C31" s="3"/>
      <c r="D31" s="3"/>
      <c r="E31" s="3"/>
      <c r="F31" s="3"/>
      <c r="G31" s="3"/>
      <c r="H31" s="3"/>
      <c r="I31" s="3"/>
      <c r="J31" s="3"/>
      <c r="K31" s="3"/>
      <c r="L31" s="3"/>
      <c r="M31" s="13"/>
      <c r="N31" s="585" t="s">
        <v>0</v>
      </c>
      <c r="O31" s="586"/>
      <c r="P31" s="586"/>
      <c r="Q31" s="586"/>
      <c r="R31" s="586"/>
      <c r="S31" s="586"/>
      <c r="T31" s="586"/>
      <c r="U31" s="587"/>
      <c r="V31" s="591" t="s">
        <v>70</v>
      </c>
      <c r="W31" s="592"/>
      <c r="X31" s="592"/>
      <c r="Y31" s="592"/>
      <c r="Z31" s="592"/>
      <c r="AA31" s="592"/>
      <c r="AB31" s="592"/>
      <c r="AC31" s="592"/>
      <c r="AD31" s="592"/>
      <c r="AE31" s="592"/>
      <c r="AF31" s="592"/>
      <c r="AG31" s="592"/>
      <c r="AH31" s="592"/>
      <c r="AI31" s="592"/>
      <c r="AJ31" s="592"/>
      <c r="AK31" s="593"/>
      <c r="AL31" s="13"/>
      <c r="AM31" s="226" t="s">
        <v>390</v>
      </c>
      <c r="AN31" s="234"/>
      <c r="AO31" s="227"/>
      <c r="AP31" s="227"/>
      <c r="AQ31" s="227"/>
      <c r="AR31" s="227"/>
      <c r="AS31" s="227"/>
      <c r="AT31" s="228"/>
      <c r="AU31" s="229" t="s">
        <v>399</v>
      </c>
      <c r="AV31" s="230"/>
      <c r="AX31" s="15" t="s">
        <v>12</v>
      </c>
      <c r="AY31" s="15"/>
    </row>
    <row r="32" spans="1:53" ht="11.25" customHeight="1">
      <c r="A32" s="3"/>
      <c r="B32" s="3"/>
      <c r="C32" s="3"/>
      <c r="D32" s="3"/>
      <c r="E32" s="3"/>
      <c r="F32" s="3"/>
      <c r="G32" s="3"/>
      <c r="H32" s="3"/>
      <c r="I32" s="3"/>
      <c r="J32" s="3"/>
      <c r="K32" s="3"/>
      <c r="L32" s="3"/>
      <c r="M32" s="13"/>
      <c r="N32" s="588"/>
      <c r="O32" s="589"/>
      <c r="P32" s="589"/>
      <c r="Q32" s="589"/>
      <c r="R32" s="589"/>
      <c r="S32" s="589"/>
      <c r="T32" s="589"/>
      <c r="U32" s="590"/>
      <c r="V32" s="594"/>
      <c r="W32" s="595"/>
      <c r="X32" s="595"/>
      <c r="Y32" s="595"/>
      <c r="Z32" s="595"/>
      <c r="AA32" s="595"/>
      <c r="AB32" s="595"/>
      <c r="AC32" s="595"/>
      <c r="AD32" s="595"/>
      <c r="AE32" s="595"/>
      <c r="AF32" s="595"/>
      <c r="AG32" s="595"/>
      <c r="AH32" s="595"/>
      <c r="AI32" s="595"/>
      <c r="AJ32" s="595"/>
      <c r="AK32" s="596"/>
      <c r="AL32" s="13"/>
      <c r="AM32" s="226" t="s">
        <v>391</v>
      </c>
      <c r="AN32" s="234"/>
      <c r="AO32" s="227"/>
      <c r="AP32" s="227"/>
      <c r="AQ32" s="227"/>
      <c r="AR32" s="227"/>
      <c r="AS32" s="227"/>
      <c r="AT32" s="228"/>
      <c r="AU32" s="229"/>
      <c r="AV32" s="230"/>
      <c r="AX32" s="15" t="s">
        <v>15</v>
      </c>
    </row>
    <row r="33" spans="1:50" ht="11.25" customHeight="1">
      <c r="A33" s="3"/>
      <c r="B33" s="3"/>
      <c r="C33" s="3"/>
      <c r="D33" s="3"/>
      <c r="E33" s="3"/>
      <c r="F33" s="3"/>
      <c r="G33" s="3"/>
      <c r="H33" s="3"/>
      <c r="I33" s="3"/>
      <c r="J33" s="3"/>
      <c r="K33" s="3"/>
      <c r="L33" s="3"/>
      <c r="M33" s="13"/>
      <c r="N33" s="585" t="s">
        <v>16</v>
      </c>
      <c r="O33" s="586"/>
      <c r="P33" s="586"/>
      <c r="Q33" s="586"/>
      <c r="R33" s="586"/>
      <c r="S33" s="586"/>
      <c r="T33" s="586"/>
      <c r="U33" s="587"/>
      <c r="V33" s="591" t="s">
        <v>69</v>
      </c>
      <c r="W33" s="592"/>
      <c r="X33" s="592"/>
      <c r="Y33" s="592"/>
      <c r="Z33" s="592"/>
      <c r="AA33" s="592"/>
      <c r="AB33" s="592"/>
      <c r="AC33" s="592"/>
      <c r="AD33" s="592"/>
      <c r="AE33" s="592"/>
      <c r="AF33" s="592"/>
      <c r="AG33" s="592"/>
      <c r="AH33" s="592"/>
      <c r="AI33" s="592"/>
      <c r="AJ33" s="592"/>
      <c r="AK33" s="593"/>
      <c r="AL33" s="13"/>
      <c r="AM33" s="226" t="s">
        <v>392</v>
      </c>
      <c r="AN33" s="234"/>
      <c r="AO33" s="227"/>
      <c r="AP33" s="227"/>
      <c r="AQ33" s="227"/>
      <c r="AR33" s="227"/>
      <c r="AS33" s="227"/>
      <c r="AT33" s="228"/>
      <c r="AU33" s="229"/>
      <c r="AV33" s="230"/>
    </row>
    <row r="34" spans="1:50" ht="11.25" customHeight="1">
      <c r="A34" s="3"/>
      <c r="B34" s="3"/>
      <c r="C34" s="3"/>
      <c r="D34" s="3"/>
      <c r="E34" s="3"/>
      <c r="F34" s="3"/>
      <c r="G34" s="3"/>
      <c r="H34" s="3"/>
      <c r="I34" s="3"/>
      <c r="J34" s="3"/>
      <c r="K34" s="3"/>
      <c r="L34" s="3"/>
      <c r="M34" s="13"/>
      <c r="N34" s="588"/>
      <c r="O34" s="589"/>
      <c r="P34" s="589"/>
      <c r="Q34" s="589"/>
      <c r="R34" s="589"/>
      <c r="S34" s="589"/>
      <c r="T34" s="589"/>
      <c r="U34" s="590"/>
      <c r="V34" s="594"/>
      <c r="W34" s="595"/>
      <c r="X34" s="595"/>
      <c r="Y34" s="595"/>
      <c r="Z34" s="595"/>
      <c r="AA34" s="595"/>
      <c r="AB34" s="595"/>
      <c r="AC34" s="595"/>
      <c r="AD34" s="595"/>
      <c r="AE34" s="595"/>
      <c r="AF34" s="595"/>
      <c r="AG34" s="595"/>
      <c r="AH34" s="595"/>
      <c r="AI34" s="595"/>
      <c r="AJ34" s="595"/>
      <c r="AK34" s="596"/>
      <c r="AL34" s="13"/>
      <c r="AM34" s="226" t="s">
        <v>393</v>
      </c>
      <c r="AN34" s="234"/>
      <c r="AO34" s="227"/>
      <c r="AP34" s="227"/>
      <c r="AQ34" s="227"/>
      <c r="AR34" s="227"/>
      <c r="AS34" s="227"/>
      <c r="AT34" s="228"/>
      <c r="AU34" s="229" t="s">
        <v>399</v>
      </c>
      <c r="AV34" s="230"/>
    </row>
    <row r="35" spans="1:50" ht="13.5" customHeight="1">
      <c r="A35" s="3"/>
      <c r="B35" s="3"/>
      <c r="C35" s="3"/>
      <c r="D35" s="3"/>
      <c r="E35" s="3"/>
      <c r="F35" s="3"/>
      <c r="G35" s="3"/>
      <c r="H35" s="3"/>
      <c r="I35" s="3"/>
      <c r="J35" s="3"/>
      <c r="K35" s="3"/>
      <c r="L35" s="3"/>
      <c r="M35" s="13"/>
      <c r="N35" s="585" t="s">
        <v>17</v>
      </c>
      <c r="O35" s="586"/>
      <c r="P35" s="586"/>
      <c r="Q35" s="586"/>
      <c r="R35" s="586"/>
      <c r="S35" s="586"/>
      <c r="T35" s="586"/>
      <c r="U35" s="587"/>
      <c r="V35" s="597" t="s">
        <v>18</v>
      </c>
      <c r="W35" s="598"/>
      <c r="X35" s="598"/>
      <c r="Y35" s="598"/>
      <c r="Z35" s="598"/>
      <c r="AA35" s="598"/>
      <c r="AB35" s="598"/>
      <c r="AC35" s="598"/>
      <c r="AD35" s="598"/>
      <c r="AE35" s="598"/>
      <c r="AF35" s="598"/>
      <c r="AG35" s="598"/>
      <c r="AH35" s="598"/>
      <c r="AI35" s="598"/>
      <c r="AJ35" s="598"/>
      <c r="AK35" s="599"/>
      <c r="AL35" s="13"/>
      <c r="AM35" s="226" t="s">
        <v>394</v>
      </c>
      <c r="AN35" s="234"/>
      <c r="AO35" s="227"/>
      <c r="AP35" s="227"/>
      <c r="AQ35" s="227"/>
      <c r="AR35" s="227"/>
      <c r="AS35" s="227"/>
      <c r="AT35" s="228"/>
      <c r="AU35" s="229" t="s">
        <v>399</v>
      </c>
      <c r="AV35" s="230"/>
      <c r="AX35" s="15" t="s">
        <v>18</v>
      </c>
    </row>
    <row r="36" spans="1:50" ht="11.25" customHeight="1">
      <c r="A36" s="3"/>
      <c r="B36" s="3"/>
      <c r="C36" s="3"/>
      <c r="D36" s="3"/>
      <c r="E36" s="3"/>
      <c r="F36" s="3"/>
      <c r="G36" s="3"/>
      <c r="H36" s="3"/>
      <c r="I36" s="3"/>
      <c r="J36" s="3"/>
      <c r="K36" s="3"/>
      <c r="L36" s="3"/>
      <c r="M36" s="13"/>
      <c r="N36" s="588"/>
      <c r="O36" s="589"/>
      <c r="P36" s="589"/>
      <c r="Q36" s="589"/>
      <c r="R36" s="589"/>
      <c r="S36" s="589"/>
      <c r="T36" s="589"/>
      <c r="U36" s="590"/>
      <c r="V36" s="600"/>
      <c r="W36" s="601"/>
      <c r="X36" s="601"/>
      <c r="Y36" s="601"/>
      <c r="Z36" s="601"/>
      <c r="AA36" s="601"/>
      <c r="AB36" s="601"/>
      <c r="AC36" s="601"/>
      <c r="AD36" s="601"/>
      <c r="AE36" s="601"/>
      <c r="AF36" s="601"/>
      <c r="AG36" s="601"/>
      <c r="AH36" s="601"/>
      <c r="AI36" s="601"/>
      <c r="AJ36" s="601"/>
      <c r="AK36" s="602"/>
      <c r="AL36" s="13"/>
      <c r="AM36" s="226" t="s">
        <v>395</v>
      </c>
      <c r="AN36" s="234"/>
      <c r="AO36" s="227"/>
      <c r="AP36" s="227"/>
      <c r="AQ36" s="227"/>
      <c r="AR36" s="227"/>
      <c r="AS36" s="227"/>
      <c r="AT36" s="228"/>
      <c r="AU36" s="229" t="s">
        <v>760</v>
      </c>
      <c r="AV36" s="230"/>
      <c r="AX36" s="15" t="s">
        <v>19</v>
      </c>
    </row>
    <row r="37" spans="1:50" ht="11.25" customHeight="1">
      <c r="A37" s="3"/>
      <c r="B37" s="3"/>
      <c r="C37" s="3"/>
      <c r="D37" s="3"/>
      <c r="E37" s="3"/>
      <c r="F37" s="3"/>
      <c r="G37" s="3"/>
      <c r="H37" s="3"/>
      <c r="I37" s="3"/>
      <c r="J37" s="3"/>
      <c r="K37" s="3"/>
      <c r="L37" s="3"/>
      <c r="M37" s="13"/>
      <c r="N37" s="585" t="s">
        <v>20</v>
      </c>
      <c r="O37" s="586"/>
      <c r="P37" s="586"/>
      <c r="Q37" s="586"/>
      <c r="R37" s="586"/>
      <c r="S37" s="586"/>
      <c r="T37" s="586"/>
      <c r="U37" s="587"/>
      <c r="V37" s="597" t="s">
        <v>21</v>
      </c>
      <c r="W37" s="598"/>
      <c r="X37" s="598"/>
      <c r="Y37" s="598"/>
      <c r="Z37" s="598"/>
      <c r="AA37" s="598"/>
      <c r="AB37" s="598"/>
      <c r="AC37" s="598"/>
      <c r="AD37" s="598"/>
      <c r="AE37" s="598"/>
      <c r="AF37" s="598"/>
      <c r="AG37" s="598"/>
      <c r="AH37" s="598"/>
      <c r="AI37" s="598"/>
      <c r="AJ37" s="598"/>
      <c r="AK37" s="599"/>
      <c r="AL37" s="13"/>
      <c r="AM37" s="226" t="s">
        <v>396</v>
      </c>
      <c r="AN37" s="234"/>
      <c r="AO37" s="227"/>
      <c r="AP37" s="227"/>
      <c r="AQ37" s="227"/>
      <c r="AR37" s="227"/>
      <c r="AS37" s="227"/>
      <c r="AT37" s="228"/>
      <c r="AU37" s="229" t="s">
        <v>399</v>
      </c>
      <c r="AV37" s="230"/>
      <c r="AX37" s="15" t="s">
        <v>22</v>
      </c>
    </row>
    <row r="38" spans="1:50" ht="11.25" customHeight="1">
      <c r="A38" s="3"/>
      <c r="B38" s="16"/>
      <c r="C38" s="16"/>
      <c r="D38" s="16"/>
      <c r="E38" s="3"/>
      <c r="F38" s="3"/>
      <c r="G38" s="3"/>
      <c r="H38" s="3"/>
      <c r="I38" s="3"/>
      <c r="J38" s="3"/>
      <c r="K38" s="3"/>
      <c r="L38" s="3"/>
      <c r="M38" s="13"/>
      <c r="N38" s="588"/>
      <c r="O38" s="589"/>
      <c r="P38" s="589"/>
      <c r="Q38" s="589"/>
      <c r="R38" s="589"/>
      <c r="S38" s="589"/>
      <c r="T38" s="589"/>
      <c r="U38" s="590"/>
      <c r="V38" s="600"/>
      <c r="W38" s="601"/>
      <c r="X38" s="601"/>
      <c r="Y38" s="601"/>
      <c r="Z38" s="601"/>
      <c r="AA38" s="601"/>
      <c r="AB38" s="601"/>
      <c r="AC38" s="601"/>
      <c r="AD38" s="601"/>
      <c r="AE38" s="601"/>
      <c r="AF38" s="601"/>
      <c r="AG38" s="601"/>
      <c r="AH38" s="601"/>
      <c r="AI38" s="601"/>
      <c r="AJ38" s="601"/>
      <c r="AK38" s="602"/>
      <c r="AL38" s="13"/>
      <c r="AM38" s="226" t="s">
        <v>397</v>
      </c>
      <c r="AN38" s="234"/>
      <c r="AO38" s="227"/>
      <c r="AP38" s="227"/>
      <c r="AQ38" s="227"/>
      <c r="AR38" s="227"/>
      <c r="AS38" s="227"/>
      <c r="AT38" s="228"/>
      <c r="AU38" s="229" t="s">
        <v>760</v>
      </c>
      <c r="AV38" s="230"/>
    </row>
    <row r="39" spans="1:50" ht="13.5" customHeight="1">
      <c r="A39" s="3"/>
      <c r="B39" s="3"/>
      <c r="C39" s="3"/>
      <c r="D39" s="3"/>
      <c r="E39" s="3"/>
      <c r="F39" s="3"/>
      <c r="G39" s="3"/>
      <c r="H39" s="3"/>
      <c r="I39" s="3"/>
      <c r="J39" s="3"/>
      <c r="K39" s="3"/>
      <c r="L39" s="13"/>
      <c r="M39" s="13"/>
      <c r="N39" s="13"/>
      <c r="O39" s="13"/>
      <c r="P39" s="13"/>
      <c r="Q39" s="13"/>
      <c r="R39" s="13"/>
      <c r="S39" s="13"/>
      <c r="T39" s="13"/>
      <c r="U39" s="13"/>
      <c r="V39" s="17"/>
      <c r="W39" s="17"/>
      <c r="X39" s="17"/>
      <c r="Y39" s="17"/>
      <c r="Z39" s="17"/>
      <c r="AA39" s="17"/>
      <c r="AB39" s="17"/>
      <c r="AC39" s="17"/>
      <c r="AD39" s="17"/>
      <c r="AE39" s="17"/>
      <c r="AF39" s="17"/>
      <c r="AG39" s="17"/>
      <c r="AH39" s="13"/>
      <c r="AI39" s="13"/>
      <c r="AJ39" s="13"/>
      <c r="AK39" s="13"/>
      <c r="AL39" s="13"/>
      <c r="AM39" s="13"/>
      <c r="AO39" s="3"/>
      <c r="AQ39" s="13" t="s">
        <v>398</v>
      </c>
      <c r="AR39" s="3"/>
      <c r="AS39" s="3"/>
      <c r="AT39" s="3"/>
      <c r="AX39" s="10" t="s">
        <v>23</v>
      </c>
    </row>
    <row r="40" spans="1:50" ht="13.5" customHeight="1">
      <c r="A40" s="3"/>
      <c r="B40" s="3"/>
      <c r="C40" s="3"/>
      <c r="D40" s="3"/>
      <c r="E40" s="3"/>
      <c r="F40" s="3"/>
      <c r="G40" s="3"/>
      <c r="H40" s="3"/>
      <c r="I40" s="3"/>
      <c r="J40" s="3"/>
      <c r="K40" s="3"/>
      <c r="L40" s="3"/>
      <c r="M40" s="3"/>
      <c r="N40" s="18"/>
      <c r="O40" s="18"/>
      <c r="P40" s="18"/>
      <c r="Q40" s="18"/>
      <c r="R40" s="19"/>
      <c r="S40" s="18"/>
      <c r="T40" s="18"/>
      <c r="U40" s="18"/>
      <c r="V40" s="18"/>
      <c r="X40" s="603" t="s">
        <v>24</v>
      </c>
      <c r="Y40" s="604"/>
      <c r="Z40" s="604"/>
      <c r="AA40" s="605"/>
      <c r="AC40" s="603" t="s">
        <v>25</v>
      </c>
      <c r="AD40" s="604"/>
      <c r="AE40" s="604"/>
      <c r="AF40" s="605"/>
      <c r="AH40" s="603" t="s">
        <v>762</v>
      </c>
      <c r="AI40" s="604"/>
      <c r="AJ40" s="604"/>
      <c r="AK40" s="605"/>
      <c r="AL40" s="3"/>
      <c r="AM40" s="3"/>
      <c r="AN40" s="3"/>
      <c r="AO40" s="3"/>
      <c r="AP40" s="3"/>
      <c r="AQ40" s="3"/>
      <c r="AR40" s="3"/>
      <c r="AS40" s="3"/>
      <c r="AT40" s="3"/>
      <c r="AU40" s="3"/>
      <c r="AV40" s="3"/>
      <c r="AX40" s="10" t="s">
        <v>26</v>
      </c>
    </row>
    <row r="41" spans="1:50" ht="11.25" customHeight="1">
      <c r="A41" s="3"/>
      <c r="B41" s="3"/>
      <c r="C41" s="3"/>
      <c r="D41" s="3"/>
      <c r="E41" s="3"/>
      <c r="F41" s="3"/>
      <c r="G41" s="3"/>
      <c r="H41" s="3"/>
      <c r="I41" s="3"/>
      <c r="J41" s="3"/>
      <c r="K41" s="3"/>
      <c r="L41" s="3"/>
      <c r="M41" s="3"/>
      <c r="N41" s="18"/>
      <c r="O41" s="20"/>
      <c r="P41" s="20"/>
      <c r="Q41" s="20"/>
      <c r="R41" s="19"/>
      <c r="S41" s="20"/>
      <c r="T41" s="20"/>
      <c r="U41" s="20"/>
      <c r="V41" s="20"/>
      <c r="X41" s="573"/>
      <c r="Y41" s="574"/>
      <c r="Z41" s="574"/>
      <c r="AA41" s="575"/>
      <c r="AC41" s="573"/>
      <c r="AD41" s="574"/>
      <c r="AE41" s="574"/>
      <c r="AF41" s="575"/>
      <c r="AH41" s="579"/>
      <c r="AI41" s="580"/>
      <c r="AJ41" s="580"/>
      <c r="AK41" s="581"/>
      <c r="AL41" s="3"/>
      <c r="AM41" s="3"/>
      <c r="AN41" s="3"/>
      <c r="AO41" s="3"/>
      <c r="AP41" s="3"/>
      <c r="AQ41" s="3"/>
      <c r="AR41" s="3"/>
      <c r="AS41" s="3"/>
      <c r="AT41" s="3"/>
      <c r="AU41" s="3"/>
      <c r="AV41" s="3"/>
    </row>
    <row r="42" spans="1:50">
      <c r="A42" s="3"/>
      <c r="B42" s="3"/>
      <c r="C42" s="3"/>
      <c r="D42" s="3"/>
      <c r="E42" s="3"/>
      <c r="F42" s="3"/>
      <c r="G42" s="3"/>
      <c r="H42" s="3"/>
      <c r="I42" s="3"/>
      <c r="J42" s="3"/>
      <c r="K42" s="3"/>
      <c r="L42" s="3"/>
      <c r="M42" s="3"/>
      <c r="N42" s="20"/>
      <c r="O42" s="20"/>
      <c r="P42" s="20"/>
      <c r="Q42" s="20"/>
      <c r="R42" s="19"/>
      <c r="S42" s="20"/>
      <c r="T42" s="20"/>
      <c r="U42" s="20"/>
      <c r="V42" s="20"/>
      <c r="X42" s="576"/>
      <c r="Y42" s="577"/>
      <c r="Z42" s="577"/>
      <c r="AA42" s="578"/>
      <c r="AC42" s="576"/>
      <c r="AD42" s="577"/>
      <c r="AE42" s="577"/>
      <c r="AF42" s="578"/>
      <c r="AH42" s="582"/>
      <c r="AI42" s="583"/>
      <c r="AJ42" s="583"/>
      <c r="AK42" s="584"/>
      <c r="AL42" s="3"/>
      <c r="AM42" s="3"/>
      <c r="AN42" s="3"/>
      <c r="AO42" s="3"/>
      <c r="AP42" s="3"/>
      <c r="AQ42" s="3"/>
      <c r="AR42" s="3"/>
      <c r="AS42" s="3"/>
      <c r="AT42" s="3"/>
      <c r="AU42" s="3"/>
      <c r="AV42" s="3"/>
    </row>
    <row r="43" spans="1:50">
      <c r="A43" s="3"/>
      <c r="B43" s="3"/>
      <c r="C43" s="3"/>
      <c r="D43" s="3"/>
      <c r="E43" s="3"/>
      <c r="F43" s="3"/>
      <c r="G43" s="3"/>
      <c r="H43" s="3"/>
      <c r="I43" s="3"/>
      <c r="J43" s="3"/>
      <c r="K43" s="3"/>
      <c r="L43" s="3"/>
      <c r="M43" s="3"/>
      <c r="N43" s="21"/>
      <c r="O43" s="21"/>
      <c r="P43" s="21"/>
      <c r="Q43" s="21"/>
      <c r="R43" s="19"/>
      <c r="S43" s="21"/>
      <c r="T43" s="21"/>
      <c r="U43" s="21"/>
      <c r="V43" s="21"/>
      <c r="X43" s="559"/>
      <c r="Y43" s="560"/>
      <c r="Z43" s="560"/>
      <c r="AA43" s="561"/>
      <c r="AC43" s="559"/>
      <c r="AD43" s="560"/>
      <c r="AE43" s="560"/>
      <c r="AF43" s="561"/>
      <c r="AH43" s="565"/>
      <c r="AI43" s="566"/>
      <c r="AJ43" s="566"/>
      <c r="AK43" s="567"/>
      <c r="AL43" s="3"/>
      <c r="AM43" s="3"/>
      <c r="AN43" s="3"/>
      <c r="AO43" s="3"/>
      <c r="AP43" s="3"/>
      <c r="AQ43" s="3"/>
      <c r="AR43" s="3"/>
      <c r="AS43" s="3"/>
      <c r="AT43" s="3"/>
      <c r="AU43" s="3"/>
      <c r="AV43" s="3"/>
    </row>
    <row r="44" spans="1:50">
      <c r="A44" s="3"/>
      <c r="B44" s="3"/>
      <c r="C44" s="571"/>
      <c r="D44" s="571"/>
      <c r="E44" s="571"/>
      <c r="F44" s="571"/>
      <c r="G44" s="571"/>
      <c r="H44" s="571"/>
      <c r="I44" s="3"/>
      <c r="J44" s="3"/>
      <c r="K44" s="3"/>
      <c r="L44" s="3"/>
      <c r="M44" s="3"/>
      <c r="N44" s="21"/>
      <c r="O44" s="21"/>
      <c r="P44" s="21"/>
      <c r="Q44" s="21"/>
      <c r="R44" s="19"/>
      <c r="S44" s="21"/>
      <c r="T44" s="21"/>
      <c r="U44" s="21"/>
      <c r="V44" s="21"/>
      <c r="X44" s="562"/>
      <c r="Y44" s="563"/>
      <c r="Z44" s="563"/>
      <c r="AA44" s="564"/>
      <c r="AC44" s="562"/>
      <c r="AD44" s="563"/>
      <c r="AE44" s="563"/>
      <c r="AF44" s="564"/>
      <c r="AH44" s="568"/>
      <c r="AI44" s="569"/>
      <c r="AJ44" s="569"/>
      <c r="AK44" s="570"/>
      <c r="AL44" s="3"/>
      <c r="AM44" s="3"/>
      <c r="AN44" s="3"/>
      <c r="AO44" s="3"/>
      <c r="AP44" s="3"/>
      <c r="AQ44" s="3"/>
      <c r="AR44" s="3"/>
      <c r="AS44" s="3"/>
      <c r="AT44" s="3"/>
      <c r="AU44" s="3"/>
      <c r="AV44" s="3"/>
    </row>
    <row r="45" spans="1:50">
      <c r="A45" s="3"/>
      <c r="B45" s="3"/>
      <c r="C45" s="571"/>
      <c r="D45" s="571"/>
      <c r="E45" s="571"/>
      <c r="F45" s="571"/>
      <c r="G45" s="571"/>
      <c r="H45" s="571"/>
      <c r="I45" s="3"/>
      <c r="J45" s="3"/>
      <c r="K45" s="3"/>
      <c r="L45" s="3"/>
      <c r="M45" s="3"/>
      <c r="AL45" s="3"/>
      <c r="AM45" s="3"/>
      <c r="AN45" s="3"/>
      <c r="AO45" s="3"/>
      <c r="AP45" s="3"/>
      <c r="AQ45" s="3"/>
      <c r="AR45" s="3"/>
      <c r="AS45" s="3"/>
      <c r="AT45" s="3"/>
      <c r="AU45" s="3"/>
      <c r="AV45" s="3"/>
    </row>
    <row r="46" spans="1:50">
      <c r="A46" s="3"/>
      <c r="B46" s="3"/>
      <c r="C46" s="572"/>
      <c r="D46" s="572"/>
      <c r="E46" s="572"/>
      <c r="F46" s="572"/>
      <c r="G46" s="572"/>
      <c r="H46" s="572"/>
      <c r="I46" s="3"/>
      <c r="J46" s="3"/>
      <c r="K46" s="3"/>
      <c r="L46" s="3"/>
      <c r="M46" s="3"/>
      <c r="AL46" s="3"/>
      <c r="AM46" s="3"/>
      <c r="AN46" s="3"/>
      <c r="AO46" s="3"/>
      <c r="AP46" s="3"/>
      <c r="AQ46" s="3"/>
      <c r="AR46" s="3"/>
      <c r="AS46" s="3"/>
      <c r="AT46" s="3"/>
      <c r="AU46" s="3"/>
      <c r="AV46" s="3"/>
    </row>
    <row r="47" spans="1:50">
      <c r="A47" s="3"/>
      <c r="B47" s="3"/>
      <c r="C47" s="572"/>
      <c r="D47" s="572"/>
      <c r="E47" s="572"/>
      <c r="F47" s="572"/>
      <c r="G47" s="572"/>
      <c r="H47" s="572"/>
      <c r="I47" s="3"/>
      <c r="J47" s="3"/>
      <c r="K47" s="3"/>
      <c r="L47" s="3"/>
      <c r="M47" s="3"/>
      <c r="AL47" s="3"/>
      <c r="AM47" s="3"/>
      <c r="AN47" s="3"/>
      <c r="AO47" s="3"/>
      <c r="AP47" s="3"/>
      <c r="AQ47" s="3"/>
      <c r="AR47" s="3"/>
      <c r="AS47" s="3"/>
      <c r="AT47" s="3"/>
      <c r="AU47" s="3"/>
      <c r="AV47" s="3"/>
    </row>
  </sheetData>
  <mergeCells count="37">
    <mergeCell ref="N8:AK10"/>
    <mergeCell ref="N11:AK13"/>
    <mergeCell ref="N17:U18"/>
    <mergeCell ref="V17:AK18"/>
    <mergeCell ref="N19:U20"/>
    <mergeCell ref="V19:AK20"/>
    <mergeCell ref="N21:U22"/>
    <mergeCell ref="V21:AK22"/>
    <mergeCell ref="N23:U24"/>
    <mergeCell ref="V23:AK24"/>
    <mergeCell ref="N25:U26"/>
    <mergeCell ref="V25:AK26"/>
    <mergeCell ref="N27:U28"/>
    <mergeCell ref="V27:AC28"/>
    <mergeCell ref="AD27:AE28"/>
    <mergeCell ref="AF27:AK28"/>
    <mergeCell ref="N29:U30"/>
    <mergeCell ref="V29:AK30"/>
    <mergeCell ref="X41:AA42"/>
    <mergeCell ref="AC41:AF42"/>
    <mergeCell ref="AH41:AK42"/>
    <mergeCell ref="N31:U32"/>
    <mergeCell ref="V31:AK32"/>
    <mergeCell ref="N33:U34"/>
    <mergeCell ref="V33:AK34"/>
    <mergeCell ref="N35:U36"/>
    <mergeCell ref="V35:AK36"/>
    <mergeCell ref="N37:U38"/>
    <mergeCell ref="V37:AK38"/>
    <mergeCell ref="X40:AA40"/>
    <mergeCell ref="AC40:AF40"/>
    <mergeCell ref="AH40:AK40"/>
    <mergeCell ref="X43:AA44"/>
    <mergeCell ref="AC43:AF44"/>
    <mergeCell ref="AH43:AK44"/>
    <mergeCell ref="C44:H45"/>
    <mergeCell ref="C46:H47"/>
  </mergeCells>
  <phoneticPr fontId="3"/>
  <dataValidations count="3">
    <dataValidation type="list" allowBlank="1" showInputMessage="1" showErrorMessage="1" sqref="V37:AK38 JR37:KG38 TN37:UC38 ADJ37:ADY38 ANF37:ANU38 AXB37:AXQ38 BGX37:BHM38 BQT37:BRI38 CAP37:CBE38 CKL37:CLA38 CUH37:CUW38 DED37:DES38 DNZ37:DOO38 DXV37:DYK38 EHR37:EIG38 ERN37:ESC38 FBJ37:FBY38 FLF37:FLU38 FVB37:FVQ38 GEX37:GFM38 GOT37:GPI38 GYP37:GZE38 HIL37:HJA38 HSH37:HSW38 ICD37:ICS38 ILZ37:IMO38 IVV37:IWK38 JFR37:JGG38 JPN37:JQC38 JZJ37:JZY38 KJF37:KJU38 KTB37:KTQ38 LCX37:LDM38 LMT37:LNI38 LWP37:LXE38 MGL37:MHA38 MQH37:MQW38 NAD37:NAS38 NJZ37:NKO38 NTV37:NUK38 ODR37:OEG38 ONN37:OOC38 OXJ37:OXY38 PHF37:PHU38 PRB37:PRQ38 QAX37:QBM38 QKT37:QLI38 QUP37:QVE38 REL37:RFA38 ROH37:ROW38 RYD37:RYS38 SHZ37:SIO38 SRV37:SSK38 TBR37:TCG38 TLN37:TMC38 TVJ37:TVY38 UFF37:UFU38 UPB37:UPQ38 UYX37:UZM38 VIT37:VJI38 VSP37:VTE38 WCL37:WDA38 WMH37:WMW38 WWD37:WWS38 V65573:AK65574 JR65573:KG65574 TN65573:UC65574 ADJ65573:ADY65574 ANF65573:ANU65574 AXB65573:AXQ65574 BGX65573:BHM65574 BQT65573:BRI65574 CAP65573:CBE65574 CKL65573:CLA65574 CUH65573:CUW65574 DED65573:DES65574 DNZ65573:DOO65574 DXV65573:DYK65574 EHR65573:EIG65574 ERN65573:ESC65574 FBJ65573:FBY65574 FLF65573:FLU65574 FVB65573:FVQ65574 GEX65573:GFM65574 GOT65573:GPI65574 GYP65573:GZE65574 HIL65573:HJA65574 HSH65573:HSW65574 ICD65573:ICS65574 ILZ65573:IMO65574 IVV65573:IWK65574 JFR65573:JGG65574 JPN65573:JQC65574 JZJ65573:JZY65574 KJF65573:KJU65574 KTB65573:KTQ65574 LCX65573:LDM65574 LMT65573:LNI65574 LWP65573:LXE65574 MGL65573:MHA65574 MQH65573:MQW65574 NAD65573:NAS65574 NJZ65573:NKO65574 NTV65573:NUK65574 ODR65573:OEG65574 ONN65573:OOC65574 OXJ65573:OXY65574 PHF65573:PHU65574 PRB65573:PRQ65574 QAX65573:QBM65574 QKT65573:QLI65574 QUP65573:QVE65574 REL65573:RFA65574 ROH65573:ROW65574 RYD65573:RYS65574 SHZ65573:SIO65574 SRV65573:SSK65574 TBR65573:TCG65574 TLN65573:TMC65574 TVJ65573:TVY65574 UFF65573:UFU65574 UPB65573:UPQ65574 UYX65573:UZM65574 VIT65573:VJI65574 VSP65573:VTE65574 WCL65573:WDA65574 WMH65573:WMW65574 WWD65573:WWS65574 V131109:AK131110 JR131109:KG131110 TN131109:UC131110 ADJ131109:ADY131110 ANF131109:ANU131110 AXB131109:AXQ131110 BGX131109:BHM131110 BQT131109:BRI131110 CAP131109:CBE131110 CKL131109:CLA131110 CUH131109:CUW131110 DED131109:DES131110 DNZ131109:DOO131110 DXV131109:DYK131110 EHR131109:EIG131110 ERN131109:ESC131110 FBJ131109:FBY131110 FLF131109:FLU131110 FVB131109:FVQ131110 GEX131109:GFM131110 GOT131109:GPI131110 GYP131109:GZE131110 HIL131109:HJA131110 HSH131109:HSW131110 ICD131109:ICS131110 ILZ131109:IMO131110 IVV131109:IWK131110 JFR131109:JGG131110 JPN131109:JQC131110 JZJ131109:JZY131110 KJF131109:KJU131110 KTB131109:KTQ131110 LCX131109:LDM131110 LMT131109:LNI131110 LWP131109:LXE131110 MGL131109:MHA131110 MQH131109:MQW131110 NAD131109:NAS131110 NJZ131109:NKO131110 NTV131109:NUK131110 ODR131109:OEG131110 ONN131109:OOC131110 OXJ131109:OXY131110 PHF131109:PHU131110 PRB131109:PRQ131110 QAX131109:QBM131110 QKT131109:QLI131110 QUP131109:QVE131110 REL131109:RFA131110 ROH131109:ROW131110 RYD131109:RYS131110 SHZ131109:SIO131110 SRV131109:SSK131110 TBR131109:TCG131110 TLN131109:TMC131110 TVJ131109:TVY131110 UFF131109:UFU131110 UPB131109:UPQ131110 UYX131109:UZM131110 VIT131109:VJI131110 VSP131109:VTE131110 WCL131109:WDA131110 WMH131109:WMW131110 WWD131109:WWS131110 V196645:AK196646 JR196645:KG196646 TN196645:UC196646 ADJ196645:ADY196646 ANF196645:ANU196646 AXB196645:AXQ196646 BGX196645:BHM196646 BQT196645:BRI196646 CAP196645:CBE196646 CKL196645:CLA196646 CUH196645:CUW196646 DED196645:DES196646 DNZ196645:DOO196646 DXV196645:DYK196646 EHR196645:EIG196646 ERN196645:ESC196646 FBJ196645:FBY196646 FLF196645:FLU196646 FVB196645:FVQ196646 GEX196645:GFM196646 GOT196645:GPI196646 GYP196645:GZE196646 HIL196645:HJA196646 HSH196645:HSW196646 ICD196645:ICS196646 ILZ196645:IMO196646 IVV196645:IWK196646 JFR196645:JGG196646 JPN196645:JQC196646 JZJ196645:JZY196646 KJF196645:KJU196646 KTB196645:KTQ196646 LCX196645:LDM196646 LMT196645:LNI196646 LWP196645:LXE196646 MGL196645:MHA196646 MQH196645:MQW196646 NAD196645:NAS196646 NJZ196645:NKO196646 NTV196645:NUK196646 ODR196645:OEG196646 ONN196645:OOC196646 OXJ196645:OXY196646 PHF196645:PHU196646 PRB196645:PRQ196646 QAX196645:QBM196646 QKT196645:QLI196646 QUP196645:QVE196646 REL196645:RFA196646 ROH196645:ROW196646 RYD196645:RYS196646 SHZ196645:SIO196646 SRV196645:SSK196646 TBR196645:TCG196646 TLN196645:TMC196646 TVJ196645:TVY196646 UFF196645:UFU196646 UPB196645:UPQ196646 UYX196645:UZM196646 VIT196645:VJI196646 VSP196645:VTE196646 WCL196645:WDA196646 WMH196645:WMW196646 WWD196645:WWS196646 V262181:AK262182 JR262181:KG262182 TN262181:UC262182 ADJ262181:ADY262182 ANF262181:ANU262182 AXB262181:AXQ262182 BGX262181:BHM262182 BQT262181:BRI262182 CAP262181:CBE262182 CKL262181:CLA262182 CUH262181:CUW262182 DED262181:DES262182 DNZ262181:DOO262182 DXV262181:DYK262182 EHR262181:EIG262182 ERN262181:ESC262182 FBJ262181:FBY262182 FLF262181:FLU262182 FVB262181:FVQ262182 GEX262181:GFM262182 GOT262181:GPI262182 GYP262181:GZE262182 HIL262181:HJA262182 HSH262181:HSW262182 ICD262181:ICS262182 ILZ262181:IMO262182 IVV262181:IWK262182 JFR262181:JGG262182 JPN262181:JQC262182 JZJ262181:JZY262182 KJF262181:KJU262182 KTB262181:KTQ262182 LCX262181:LDM262182 LMT262181:LNI262182 LWP262181:LXE262182 MGL262181:MHA262182 MQH262181:MQW262182 NAD262181:NAS262182 NJZ262181:NKO262182 NTV262181:NUK262182 ODR262181:OEG262182 ONN262181:OOC262182 OXJ262181:OXY262182 PHF262181:PHU262182 PRB262181:PRQ262182 QAX262181:QBM262182 QKT262181:QLI262182 QUP262181:QVE262182 REL262181:RFA262182 ROH262181:ROW262182 RYD262181:RYS262182 SHZ262181:SIO262182 SRV262181:SSK262182 TBR262181:TCG262182 TLN262181:TMC262182 TVJ262181:TVY262182 UFF262181:UFU262182 UPB262181:UPQ262182 UYX262181:UZM262182 VIT262181:VJI262182 VSP262181:VTE262182 WCL262181:WDA262182 WMH262181:WMW262182 WWD262181:WWS262182 V327717:AK327718 JR327717:KG327718 TN327717:UC327718 ADJ327717:ADY327718 ANF327717:ANU327718 AXB327717:AXQ327718 BGX327717:BHM327718 BQT327717:BRI327718 CAP327717:CBE327718 CKL327717:CLA327718 CUH327717:CUW327718 DED327717:DES327718 DNZ327717:DOO327718 DXV327717:DYK327718 EHR327717:EIG327718 ERN327717:ESC327718 FBJ327717:FBY327718 FLF327717:FLU327718 FVB327717:FVQ327718 GEX327717:GFM327718 GOT327717:GPI327718 GYP327717:GZE327718 HIL327717:HJA327718 HSH327717:HSW327718 ICD327717:ICS327718 ILZ327717:IMO327718 IVV327717:IWK327718 JFR327717:JGG327718 JPN327717:JQC327718 JZJ327717:JZY327718 KJF327717:KJU327718 KTB327717:KTQ327718 LCX327717:LDM327718 LMT327717:LNI327718 LWP327717:LXE327718 MGL327717:MHA327718 MQH327717:MQW327718 NAD327717:NAS327718 NJZ327717:NKO327718 NTV327717:NUK327718 ODR327717:OEG327718 ONN327717:OOC327718 OXJ327717:OXY327718 PHF327717:PHU327718 PRB327717:PRQ327718 QAX327717:QBM327718 QKT327717:QLI327718 QUP327717:QVE327718 REL327717:RFA327718 ROH327717:ROW327718 RYD327717:RYS327718 SHZ327717:SIO327718 SRV327717:SSK327718 TBR327717:TCG327718 TLN327717:TMC327718 TVJ327717:TVY327718 UFF327717:UFU327718 UPB327717:UPQ327718 UYX327717:UZM327718 VIT327717:VJI327718 VSP327717:VTE327718 WCL327717:WDA327718 WMH327717:WMW327718 WWD327717:WWS327718 V393253:AK393254 JR393253:KG393254 TN393253:UC393254 ADJ393253:ADY393254 ANF393253:ANU393254 AXB393253:AXQ393254 BGX393253:BHM393254 BQT393253:BRI393254 CAP393253:CBE393254 CKL393253:CLA393254 CUH393253:CUW393254 DED393253:DES393254 DNZ393253:DOO393254 DXV393253:DYK393254 EHR393253:EIG393254 ERN393253:ESC393254 FBJ393253:FBY393254 FLF393253:FLU393254 FVB393253:FVQ393254 GEX393253:GFM393254 GOT393253:GPI393254 GYP393253:GZE393254 HIL393253:HJA393254 HSH393253:HSW393254 ICD393253:ICS393254 ILZ393253:IMO393254 IVV393253:IWK393254 JFR393253:JGG393254 JPN393253:JQC393254 JZJ393253:JZY393254 KJF393253:KJU393254 KTB393253:KTQ393254 LCX393253:LDM393254 LMT393253:LNI393254 LWP393253:LXE393254 MGL393253:MHA393254 MQH393253:MQW393254 NAD393253:NAS393254 NJZ393253:NKO393254 NTV393253:NUK393254 ODR393253:OEG393254 ONN393253:OOC393254 OXJ393253:OXY393254 PHF393253:PHU393254 PRB393253:PRQ393254 QAX393253:QBM393254 QKT393253:QLI393254 QUP393253:QVE393254 REL393253:RFA393254 ROH393253:ROW393254 RYD393253:RYS393254 SHZ393253:SIO393254 SRV393253:SSK393254 TBR393253:TCG393254 TLN393253:TMC393254 TVJ393253:TVY393254 UFF393253:UFU393254 UPB393253:UPQ393254 UYX393253:UZM393254 VIT393253:VJI393254 VSP393253:VTE393254 WCL393253:WDA393254 WMH393253:WMW393254 WWD393253:WWS393254 V458789:AK458790 JR458789:KG458790 TN458789:UC458790 ADJ458789:ADY458790 ANF458789:ANU458790 AXB458789:AXQ458790 BGX458789:BHM458790 BQT458789:BRI458790 CAP458789:CBE458790 CKL458789:CLA458790 CUH458789:CUW458790 DED458789:DES458790 DNZ458789:DOO458790 DXV458789:DYK458790 EHR458789:EIG458790 ERN458789:ESC458790 FBJ458789:FBY458790 FLF458789:FLU458790 FVB458789:FVQ458790 GEX458789:GFM458790 GOT458789:GPI458790 GYP458789:GZE458790 HIL458789:HJA458790 HSH458789:HSW458790 ICD458789:ICS458790 ILZ458789:IMO458790 IVV458789:IWK458790 JFR458789:JGG458790 JPN458789:JQC458790 JZJ458789:JZY458790 KJF458789:KJU458790 KTB458789:KTQ458790 LCX458789:LDM458790 LMT458789:LNI458790 LWP458789:LXE458790 MGL458789:MHA458790 MQH458789:MQW458790 NAD458789:NAS458790 NJZ458789:NKO458790 NTV458789:NUK458790 ODR458789:OEG458790 ONN458789:OOC458790 OXJ458789:OXY458790 PHF458789:PHU458790 PRB458789:PRQ458790 QAX458789:QBM458790 QKT458789:QLI458790 QUP458789:QVE458790 REL458789:RFA458790 ROH458789:ROW458790 RYD458789:RYS458790 SHZ458789:SIO458790 SRV458789:SSK458790 TBR458789:TCG458790 TLN458789:TMC458790 TVJ458789:TVY458790 UFF458789:UFU458790 UPB458789:UPQ458790 UYX458789:UZM458790 VIT458789:VJI458790 VSP458789:VTE458790 WCL458789:WDA458790 WMH458789:WMW458790 WWD458789:WWS458790 V524325:AK524326 JR524325:KG524326 TN524325:UC524326 ADJ524325:ADY524326 ANF524325:ANU524326 AXB524325:AXQ524326 BGX524325:BHM524326 BQT524325:BRI524326 CAP524325:CBE524326 CKL524325:CLA524326 CUH524325:CUW524326 DED524325:DES524326 DNZ524325:DOO524326 DXV524325:DYK524326 EHR524325:EIG524326 ERN524325:ESC524326 FBJ524325:FBY524326 FLF524325:FLU524326 FVB524325:FVQ524326 GEX524325:GFM524326 GOT524325:GPI524326 GYP524325:GZE524326 HIL524325:HJA524326 HSH524325:HSW524326 ICD524325:ICS524326 ILZ524325:IMO524326 IVV524325:IWK524326 JFR524325:JGG524326 JPN524325:JQC524326 JZJ524325:JZY524326 KJF524325:KJU524326 KTB524325:KTQ524326 LCX524325:LDM524326 LMT524325:LNI524326 LWP524325:LXE524326 MGL524325:MHA524326 MQH524325:MQW524326 NAD524325:NAS524326 NJZ524325:NKO524326 NTV524325:NUK524326 ODR524325:OEG524326 ONN524325:OOC524326 OXJ524325:OXY524326 PHF524325:PHU524326 PRB524325:PRQ524326 QAX524325:QBM524326 QKT524325:QLI524326 QUP524325:QVE524326 REL524325:RFA524326 ROH524325:ROW524326 RYD524325:RYS524326 SHZ524325:SIO524326 SRV524325:SSK524326 TBR524325:TCG524326 TLN524325:TMC524326 TVJ524325:TVY524326 UFF524325:UFU524326 UPB524325:UPQ524326 UYX524325:UZM524326 VIT524325:VJI524326 VSP524325:VTE524326 WCL524325:WDA524326 WMH524325:WMW524326 WWD524325:WWS524326 V589861:AK589862 JR589861:KG589862 TN589861:UC589862 ADJ589861:ADY589862 ANF589861:ANU589862 AXB589861:AXQ589862 BGX589861:BHM589862 BQT589861:BRI589862 CAP589861:CBE589862 CKL589861:CLA589862 CUH589861:CUW589862 DED589861:DES589862 DNZ589861:DOO589862 DXV589861:DYK589862 EHR589861:EIG589862 ERN589861:ESC589862 FBJ589861:FBY589862 FLF589861:FLU589862 FVB589861:FVQ589862 GEX589861:GFM589862 GOT589861:GPI589862 GYP589861:GZE589862 HIL589861:HJA589862 HSH589861:HSW589862 ICD589861:ICS589862 ILZ589861:IMO589862 IVV589861:IWK589862 JFR589861:JGG589862 JPN589861:JQC589862 JZJ589861:JZY589862 KJF589861:KJU589862 KTB589861:KTQ589862 LCX589861:LDM589862 LMT589861:LNI589862 LWP589861:LXE589862 MGL589861:MHA589862 MQH589861:MQW589862 NAD589861:NAS589862 NJZ589861:NKO589862 NTV589861:NUK589862 ODR589861:OEG589862 ONN589861:OOC589862 OXJ589861:OXY589862 PHF589861:PHU589862 PRB589861:PRQ589862 QAX589861:QBM589862 QKT589861:QLI589862 QUP589861:QVE589862 REL589861:RFA589862 ROH589861:ROW589862 RYD589861:RYS589862 SHZ589861:SIO589862 SRV589861:SSK589862 TBR589861:TCG589862 TLN589861:TMC589862 TVJ589861:TVY589862 UFF589861:UFU589862 UPB589861:UPQ589862 UYX589861:UZM589862 VIT589861:VJI589862 VSP589861:VTE589862 WCL589861:WDA589862 WMH589861:WMW589862 WWD589861:WWS589862 V655397:AK655398 JR655397:KG655398 TN655397:UC655398 ADJ655397:ADY655398 ANF655397:ANU655398 AXB655397:AXQ655398 BGX655397:BHM655398 BQT655397:BRI655398 CAP655397:CBE655398 CKL655397:CLA655398 CUH655397:CUW655398 DED655397:DES655398 DNZ655397:DOO655398 DXV655397:DYK655398 EHR655397:EIG655398 ERN655397:ESC655398 FBJ655397:FBY655398 FLF655397:FLU655398 FVB655397:FVQ655398 GEX655397:GFM655398 GOT655397:GPI655398 GYP655397:GZE655398 HIL655397:HJA655398 HSH655397:HSW655398 ICD655397:ICS655398 ILZ655397:IMO655398 IVV655397:IWK655398 JFR655397:JGG655398 JPN655397:JQC655398 JZJ655397:JZY655398 KJF655397:KJU655398 KTB655397:KTQ655398 LCX655397:LDM655398 LMT655397:LNI655398 LWP655397:LXE655398 MGL655397:MHA655398 MQH655397:MQW655398 NAD655397:NAS655398 NJZ655397:NKO655398 NTV655397:NUK655398 ODR655397:OEG655398 ONN655397:OOC655398 OXJ655397:OXY655398 PHF655397:PHU655398 PRB655397:PRQ655398 QAX655397:QBM655398 QKT655397:QLI655398 QUP655397:QVE655398 REL655397:RFA655398 ROH655397:ROW655398 RYD655397:RYS655398 SHZ655397:SIO655398 SRV655397:SSK655398 TBR655397:TCG655398 TLN655397:TMC655398 TVJ655397:TVY655398 UFF655397:UFU655398 UPB655397:UPQ655398 UYX655397:UZM655398 VIT655397:VJI655398 VSP655397:VTE655398 WCL655397:WDA655398 WMH655397:WMW655398 WWD655397:WWS655398 V720933:AK720934 JR720933:KG720934 TN720933:UC720934 ADJ720933:ADY720934 ANF720933:ANU720934 AXB720933:AXQ720934 BGX720933:BHM720934 BQT720933:BRI720934 CAP720933:CBE720934 CKL720933:CLA720934 CUH720933:CUW720934 DED720933:DES720934 DNZ720933:DOO720934 DXV720933:DYK720934 EHR720933:EIG720934 ERN720933:ESC720934 FBJ720933:FBY720934 FLF720933:FLU720934 FVB720933:FVQ720934 GEX720933:GFM720934 GOT720933:GPI720934 GYP720933:GZE720934 HIL720933:HJA720934 HSH720933:HSW720934 ICD720933:ICS720934 ILZ720933:IMO720934 IVV720933:IWK720934 JFR720933:JGG720934 JPN720933:JQC720934 JZJ720933:JZY720934 KJF720933:KJU720934 KTB720933:KTQ720934 LCX720933:LDM720934 LMT720933:LNI720934 LWP720933:LXE720934 MGL720933:MHA720934 MQH720933:MQW720934 NAD720933:NAS720934 NJZ720933:NKO720934 NTV720933:NUK720934 ODR720933:OEG720934 ONN720933:OOC720934 OXJ720933:OXY720934 PHF720933:PHU720934 PRB720933:PRQ720934 QAX720933:QBM720934 QKT720933:QLI720934 QUP720933:QVE720934 REL720933:RFA720934 ROH720933:ROW720934 RYD720933:RYS720934 SHZ720933:SIO720934 SRV720933:SSK720934 TBR720933:TCG720934 TLN720933:TMC720934 TVJ720933:TVY720934 UFF720933:UFU720934 UPB720933:UPQ720934 UYX720933:UZM720934 VIT720933:VJI720934 VSP720933:VTE720934 WCL720933:WDA720934 WMH720933:WMW720934 WWD720933:WWS720934 V786469:AK786470 JR786469:KG786470 TN786469:UC786470 ADJ786469:ADY786470 ANF786469:ANU786470 AXB786469:AXQ786470 BGX786469:BHM786470 BQT786469:BRI786470 CAP786469:CBE786470 CKL786469:CLA786470 CUH786469:CUW786470 DED786469:DES786470 DNZ786469:DOO786470 DXV786469:DYK786470 EHR786469:EIG786470 ERN786469:ESC786470 FBJ786469:FBY786470 FLF786469:FLU786470 FVB786469:FVQ786470 GEX786469:GFM786470 GOT786469:GPI786470 GYP786469:GZE786470 HIL786469:HJA786470 HSH786469:HSW786470 ICD786469:ICS786470 ILZ786469:IMO786470 IVV786469:IWK786470 JFR786469:JGG786470 JPN786469:JQC786470 JZJ786469:JZY786470 KJF786469:KJU786470 KTB786469:KTQ786470 LCX786469:LDM786470 LMT786469:LNI786470 LWP786469:LXE786470 MGL786469:MHA786470 MQH786469:MQW786470 NAD786469:NAS786470 NJZ786469:NKO786470 NTV786469:NUK786470 ODR786469:OEG786470 ONN786469:OOC786470 OXJ786469:OXY786470 PHF786469:PHU786470 PRB786469:PRQ786470 QAX786469:QBM786470 QKT786469:QLI786470 QUP786469:QVE786470 REL786469:RFA786470 ROH786469:ROW786470 RYD786469:RYS786470 SHZ786469:SIO786470 SRV786469:SSK786470 TBR786469:TCG786470 TLN786469:TMC786470 TVJ786469:TVY786470 UFF786469:UFU786470 UPB786469:UPQ786470 UYX786469:UZM786470 VIT786469:VJI786470 VSP786469:VTE786470 WCL786469:WDA786470 WMH786469:WMW786470 WWD786469:WWS786470 V852005:AK852006 JR852005:KG852006 TN852005:UC852006 ADJ852005:ADY852006 ANF852005:ANU852006 AXB852005:AXQ852006 BGX852005:BHM852006 BQT852005:BRI852006 CAP852005:CBE852006 CKL852005:CLA852006 CUH852005:CUW852006 DED852005:DES852006 DNZ852005:DOO852006 DXV852005:DYK852006 EHR852005:EIG852006 ERN852005:ESC852006 FBJ852005:FBY852006 FLF852005:FLU852006 FVB852005:FVQ852006 GEX852005:GFM852006 GOT852005:GPI852006 GYP852005:GZE852006 HIL852005:HJA852006 HSH852005:HSW852006 ICD852005:ICS852006 ILZ852005:IMO852006 IVV852005:IWK852006 JFR852005:JGG852006 JPN852005:JQC852006 JZJ852005:JZY852006 KJF852005:KJU852006 KTB852005:KTQ852006 LCX852005:LDM852006 LMT852005:LNI852006 LWP852005:LXE852006 MGL852005:MHA852006 MQH852005:MQW852006 NAD852005:NAS852006 NJZ852005:NKO852006 NTV852005:NUK852006 ODR852005:OEG852006 ONN852005:OOC852006 OXJ852005:OXY852006 PHF852005:PHU852006 PRB852005:PRQ852006 QAX852005:QBM852006 QKT852005:QLI852006 QUP852005:QVE852006 REL852005:RFA852006 ROH852005:ROW852006 RYD852005:RYS852006 SHZ852005:SIO852006 SRV852005:SSK852006 TBR852005:TCG852006 TLN852005:TMC852006 TVJ852005:TVY852006 UFF852005:UFU852006 UPB852005:UPQ852006 UYX852005:UZM852006 VIT852005:VJI852006 VSP852005:VTE852006 WCL852005:WDA852006 WMH852005:WMW852006 WWD852005:WWS852006 V917541:AK917542 JR917541:KG917542 TN917541:UC917542 ADJ917541:ADY917542 ANF917541:ANU917542 AXB917541:AXQ917542 BGX917541:BHM917542 BQT917541:BRI917542 CAP917541:CBE917542 CKL917541:CLA917542 CUH917541:CUW917542 DED917541:DES917542 DNZ917541:DOO917542 DXV917541:DYK917542 EHR917541:EIG917542 ERN917541:ESC917542 FBJ917541:FBY917542 FLF917541:FLU917542 FVB917541:FVQ917542 GEX917541:GFM917542 GOT917541:GPI917542 GYP917541:GZE917542 HIL917541:HJA917542 HSH917541:HSW917542 ICD917541:ICS917542 ILZ917541:IMO917542 IVV917541:IWK917542 JFR917541:JGG917542 JPN917541:JQC917542 JZJ917541:JZY917542 KJF917541:KJU917542 KTB917541:KTQ917542 LCX917541:LDM917542 LMT917541:LNI917542 LWP917541:LXE917542 MGL917541:MHA917542 MQH917541:MQW917542 NAD917541:NAS917542 NJZ917541:NKO917542 NTV917541:NUK917542 ODR917541:OEG917542 ONN917541:OOC917542 OXJ917541:OXY917542 PHF917541:PHU917542 PRB917541:PRQ917542 QAX917541:QBM917542 QKT917541:QLI917542 QUP917541:QVE917542 REL917541:RFA917542 ROH917541:ROW917542 RYD917541:RYS917542 SHZ917541:SIO917542 SRV917541:SSK917542 TBR917541:TCG917542 TLN917541:TMC917542 TVJ917541:TVY917542 UFF917541:UFU917542 UPB917541:UPQ917542 UYX917541:UZM917542 VIT917541:VJI917542 VSP917541:VTE917542 WCL917541:WDA917542 WMH917541:WMW917542 WWD917541:WWS917542 V983077:AK983078 JR983077:KG983078 TN983077:UC983078 ADJ983077:ADY983078 ANF983077:ANU983078 AXB983077:AXQ983078 BGX983077:BHM983078 BQT983077:BRI983078 CAP983077:CBE983078 CKL983077:CLA983078 CUH983077:CUW983078 DED983077:DES983078 DNZ983077:DOO983078 DXV983077:DYK983078 EHR983077:EIG983078 ERN983077:ESC983078 FBJ983077:FBY983078 FLF983077:FLU983078 FVB983077:FVQ983078 GEX983077:GFM983078 GOT983077:GPI983078 GYP983077:GZE983078 HIL983077:HJA983078 HSH983077:HSW983078 ICD983077:ICS983078 ILZ983077:IMO983078 IVV983077:IWK983078 JFR983077:JGG983078 JPN983077:JQC983078 JZJ983077:JZY983078 KJF983077:KJU983078 KTB983077:KTQ983078 LCX983077:LDM983078 LMT983077:LNI983078 LWP983077:LXE983078 MGL983077:MHA983078 MQH983077:MQW983078 NAD983077:NAS983078 NJZ983077:NKO983078 NTV983077:NUK983078 ODR983077:OEG983078 ONN983077:OOC983078 OXJ983077:OXY983078 PHF983077:PHU983078 PRB983077:PRQ983078 QAX983077:QBM983078 QKT983077:QLI983078 QUP983077:QVE983078 REL983077:RFA983078 ROH983077:ROW983078 RYD983077:RYS983078 SHZ983077:SIO983078 SRV983077:SSK983078 TBR983077:TCG983078 TLN983077:TMC983078 TVJ983077:TVY983078 UFF983077:UFU983078 UPB983077:UPQ983078 UYX983077:UZM983078 VIT983077:VJI983078 VSP983077:VTE983078 WCL983077:WDA983078 WMH983077:WMW983078 WWD983077:WWS983078" xr:uid="{00000000-0002-0000-0000-000000000000}">
      <formula1>$AX$39:$AX$40</formula1>
    </dataValidation>
    <dataValidation type="list" allowBlank="1" showInputMessage="1" showErrorMessage="1" sqref="V35:AK36 JR35:KG36 TN35:UC36 ADJ35:ADY36 ANF35:ANU36 AXB35:AXQ36 BGX35:BHM36 BQT35:BRI36 CAP35:CBE36 CKL35:CLA36 CUH35:CUW36 DED35:DES36 DNZ35:DOO36 DXV35:DYK36 EHR35:EIG36 ERN35:ESC36 FBJ35:FBY36 FLF35:FLU36 FVB35:FVQ36 GEX35:GFM36 GOT35:GPI36 GYP35:GZE36 HIL35:HJA36 HSH35:HSW36 ICD35:ICS36 ILZ35:IMO36 IVV35:IWK36 JFR35:JGG36 JPN35:JQC36 JZJ35:JZY36 KJF35:KJU36 KTB35:KTQ36 LCX35:LDM36 LMT35:LNI36 LWP35:LXE36 MGL35:MHA36 MQH35:MQW36 NAD35:NAS36 NJZ35:NKO36 NTV35:NUK36 ODR35:OEG36 ONN35:OOC36 OXJ35:OXY36 PHF35:PHU36 PRB35:PRQ36 QAX35:QBM36 QKT35:QLI36 QUP35:QVE36 REL35:RFA36 ROH35:ROW36 RYD35:RYS36 SHZ35:SIO36 SRV35:SSK36 TBR35:TCG36 TLN35:TMC36 TVJ35:TVY36 UFF35:UFU36 UPB35:UPQ36 UYX35:UZM36 VIT35:VJI36 VSP35:VTE36 WCL35:WDA36 WMH35:WMW36 WWD35:WWS36 V65571:AK65572 JR65571:KG65572 TN65571:UC65572 ADJ65571:ADY65572 ANF65571:ANU65572 AXB65571:AXQ65572 BGX65571:BHM65572 BQT65571:BRI65572 CAP65571:CBE65572 CKL65571:CLA65572 CUH65571:CUW65572 DED65571:DES65572 DNZ65571:DOO65572 DXV65571:DYK65572 EHR65571:EIG65572 ERN65571:ESC65572 FBJ65571:FBY65572 FLF65571:FLU65572 FVB65571:FVQ65572 GEX65571:GFM65572 GOT65571:GPI65572 GYP65571:GZE65572 HIL65571:HJA65572 HSH65571:HSW65572 ICD65571:ICS65572 ILZ65571:IMO65572 IVV65571:IWK65572 JFR65571:JGG65572 JPN65571:JQC65572 JZJ65571:JZY65572 KJF65571:KJU65572 KTB65571:KTQ65572 LCX65571:LDM65572 LMT65571:LNI65572 LWP65571:LXE65572 MGL65571:MHA65572 MQH65571:MQW65572 NAD65571:NAS65572 NJZ65571:NKO65572 NTV65571:NUK65572 ODR65571:OEG65572 ONN65571:OOC65572 OXJ65571:OXY65572 PHF65571:PHU65572 PRB65571:PRQ65572 QAX65571:QBM65572 QKT65571:QLI65572 QUP65571:QVE65572 REL65571:RFA65572 ROH65571:ROW65572 RYD65571:RYS65572 SHZ65571:SIO65572 SRV65571:SSK65572 TBR65571:TCG65572 TLN65571:TMC65572 TVJ65571:TVY65572 UFF65571:UFU65572 UPB65571:UPQ65572 UYX65571:UZM65572 VIT65571:VJI65572 VSP65571:VTE65572 WCL65571:WDA65572 WMH65571:WMW65572 WWD65571:WWS65572 V131107:AK131108 JR131107:KG131108 TN131107:UC131108 ADJ131107:ADY131108 ANF131107:ANU131108 AXB131107:AXQ131108 BGX131107:BHM131108 BQT131107:BRI131108 CAP131107:CBE131108 CKL131107:CLA131108 CUH131107:CUW131108 DED131107:DES131108 DNZ131107:DOO131108 DXV131107:DYK131108 EHR131107:EIG131108 ERN131107:ESC131108 FBJ131107:FBY131108 FLF131107:FLU131108 FVB131107:FVQ131108 GEX131107:GFM131108 GOT131107:GPI131108 GYP131107:GZE131108 HIL131107:HJA131108 HSH131107:HSW131108 ICD131107:ICS131108 ILZ131107:IMO131108 IVV131107:IWK131108 JFR131107:JGG131108 JPN131107:JQC131108 JZJ131107:JZY131108 KJF131107:KJU131108 KTB131107:KTQ131108 LCX131107:LDM131108 LMT131107:LNI131108 LWP131107:LXE131108 MGL131107:MHA131108 MQH131107:MQW131108 NAD131107:NAS131108 NJZ131107:NKO131108 NTV131107:NUK131108 ODR131107:OEG131108 ONN131107:OOC131108 OXJ131107:OXY131108 PHF131107:PHU131108 PRB131107:PRQ131108 QAX131107:QBM131108 QKT131107:QLI131108 QUP131107:QVE131108 REL131107:RFA131108 ROH131107:ROW131108 RYD131107:RYS131108 SHZ131107:SIO131108 SRV131107:SSK131108 TBR131107:TCG131108 TLN131107:TMC131108 TVJ131107:TVY131108 UFF131107:UFU131108 UPB131107:UPQ131108 UYX131107:UZM131108 VIT131107:VJI131108 VSP131107:VTE131108 WCL131107:WDA131108 WMH131107:WMW131108 WWD131107:WWS131108 V196643:AK196644 JR196643:KG196644 TN196643:UC196644 ADJ196643:ADY196644 ANF196643:ANU196644 AXB196643:AXQ196644 BGX196643:BHM196644 BQT196643:BRI196644 CAP196643:CBE196644 CKL196643:CLA196644 CUH196643:CUW196644 DED196643:DES196644 DNZ196643:DOO196644 DXV196643:DYK196644 EHR196643:EIG196644 ERN196643:ESC196644 FBJ196643:FBY196644 FLF196643:FLU196644 FVB196643:FVQ196644 GEX196643:GFM196644 GOT196643:GPI196644 GYP196643:GZE196644 HIL196643:HJA196644 HSH196643:HSW196644 ICD196643:ICS196644 ILZ196643:IMO196644 IVV196643:IWK196644 JFR196643:JGG196644 JPN196643:JQC196644 JZJ196643:JZY196644 KJF196643:KJU196644 KTB196643:KTQ196644 LCX196643:LDM196644 LMT196643:LNI196644 LWP196643:LXE196644 MGL196643:MHA196644 MQH196643:MQW196644 NAD196643:NAS196644 NJZ196643:NKO196644 NTV196643:NUK196644 ODR196643:OEG196644 ONN196643:OOC196644 OXJ196643:OXY196644 PHF196643:PHU196644 PRB196643:PRQ196644 QAX196643:QBM196644 QKT196643:QLI196644 QUP196643:QVE196644 REL196643:RFA196644 ROH196643:ROW196644 RYD196643:RYS196644 SHZ196643:SIO196644 SRV196643:SSK196644 TBR196643:TCG196644 TLN196643:TMC196644 TVJ196643:TVY196644 UFF196643:UFU196644 UPB196643:UPQ196644 UYX196643:UZM196644 VIT196643:VJI196644 VSP196643:VTE196644 WCL196643:WDA196644 WMH196643:WMW196644 WWD196643:WWS196644 V262179:AK262180 JR262179:KG262180 TN262179:UC262180 ADJ262179:ADY262180 ANF262179:ANU262180 AXB262179:AXQ262180 BGX262179:BHM262180 BQT262179:BRI262180 CAP262179:CBE262180 CKL262179:CLA262180 CUH262179:CUW262180 DED262179:DES262180 DNZ262179:DOO262180 DXV262179:DYK262180 EHR262179:EIG262180 ERN262179:ESC262180 FBJ262179:FBY262180 FLF262179:FLU262180 FVB262179:FVQ262180 GEX262179:GFM262180 GOT262179:GPI262180 GYP262179:GZE262180 HIL262179:HJA262180 HSH262179:HSW262180 ICD262179:ICS262180 ILZ262179:IMO262180 IVV262179:IWK262180 JFR262179:JGG262180 JPN262179:JQC262180 JZJ262179:JZY262180 KJF262179:KJU262180 KTB262179:KTQ262180 LCX262179:LDM262180 LMT262179:LNI262180 LWP262179:LXE262180 MGL262179:MHA262180 MQH262179:MQW262180 NAD262179:NAS262180 NJZ262179:NKO262180 NTV262179:NUK262180 ODR262179:OEG262180 ONN262179:OOC262180 OXJ262179:OXY262180 PHF262179:PHU262180 PRB262179:PRQ262180 QAX262179:QBM262180 QKT262179:QLI262180 QUP262179:QVE262180 REL262179:RFA262180 ROH262179:ROW262180 RYD262179:RYS262180 SHZ262179:SIO262180 SRV262179:SSK262180 TBR262179:TCG262180 TLN262179:TMC262180 TVJ262179:TVY262180 UFF262179:UFU262180 UPB262179:UPQ262180 UYX262179:UZM262180 VIT262179:VJI262180 VSP262179:VTE262180 WCL262179:WDA262180 WMH262179:WMW262180 WWD262179:WWS262180 V327715:AK327716 JR327715:KG327716 TN327715:UC327716 ADJ327715:ADY327716 ANF327715:ANU327716 AXB327715:AXQ327716 BGX327715:BHM327716 BQT327715:BRI327716 CAP327715:CBE327716 CKL327715:CLA327716 CUH327715:CUW327716 DED327715:DES327716 DNZ327715:DOO327716 DXV327715:DYK327716 EHR327715:EIG327716 ERN327715:ESC327716 FBJ327715:FBY327716 FLF327715:FLU327716 FVB327715:FVQ327716 GEX327715:GFM327716 GOT327715:GPI327716 GYP327715:GZE327716 HIL327715:HJA327716 HSH327715:HSW327716 ICD327715:ICS327716 ILZ327715:IMO327716 IVV327715:IWK327716 JFR327715:JGG327716 JPN327715:JQC327716 JZJ327715:JZY327716 KJF327715:KJU327716 KTB327715:KTQ327716 LCX327715:LDM327716 LMT327715:LNI327716 LWP327715:LXE327716 MGL327715:MHA327716 MQH327715:MQW327716 NAD327715:NAS327716 NJZ327715:NKO327716 NTV327715:NUK327716 ODR327715:OEG327716 ONN327715:OOC327716 OXJ327715:OXY327716 PHF327715:PHU327716 PRB327715:PRQ327716 QAX327715:QBM327716 QKT327715:QLI327716 QUP327715:QVE327716 REL327715:RFA327716 ROH327715:ROW327716 RYD327715:RYS327716 SHZ327715:SIO327716 SRV327715:SSK327716 TBR327715:TCG327716 TLN327715:TMC327716 TVJ327715:TVY327716 UFF327715:UFU327716 UPB327715:UPQ327716 UYX327715:UZM327716 VIT327715:VJI327716 VSP327715:VTE327716 WCL327715:WDA327716 WMH327715:WMW327716 WWD327715:WWS327716 V393251:AK393252 JR393251:KG393252 TN393251:UC393252 ADJ393251:ADY393252 ANF393251:ANU393252 AXB393251:AXQ393252 BGX393251:BHM393252 BQT393251:BRI393252 CAP393251:CBE393252 CKL393251:CLA393252 CUH393251:CUW393252 DED393251:DES393252 DNZ393251:DOO393252 DXV393251:DYK393252 EHR393251:EIG393252 ERN393251:ESC393252 FBJ393251:FBY393252 FLF393251:FLU393252 FVB393251:FVQ393252 GEX393251:GFM393252 GOT393251:GPI393252 GYP393251:GZE393252 HIL393251:HJA393252 HSH393251:HSW393252 ICD393251:ICS393252 ILZ393251:IMO393252 IVV393251:IWK393252 JFR393251:JGG393252 JPN393251:JQC393252 JZJ393251:JZY393252 KJF393251:KJU393252 KTB393251:KTQ393252 LCX393251:LDM393252 LMT393251:LNI393252 LWP393251:LXE393252 MGL393251:MHA393252 MQH393251:MQW393252 NAD393251:NAS393252 NJZ393251:NKO393252 NTV393251:NUK393252 ODR393251:OEG393252 ONN393251:OOC393252 OXJ393251:OXY393252 PHF393251:PHU393252 PRB393251:PRQ393252 QAX393251:QBM393252 QKT393251:QLI393252 QUP393251:QVE393252 REL393251:RFA393252 ROH393251:ROW393252 RYD393251:RYS393252 SHZ393251:SIO393252 SRV393251:SSK393252 TBR393251:TCG393252 TLN393251:TMC393252 TVJ393251:TVY393252 UFF393251:UFU393252 UPB393251:UPQ393252 UYX393251:UZM393252 VIT393251:VJI393252 VSP393251:VTE393252 WCL393251:WDA393252 WMH393251:WMW393252 WWD393251:WWS393252 V458787:AK458788 JR458787:KG458788 TN458787:UC458788 ADJ458787:ADY458788 ANF458787:ANU458788 AXB458787:AXQ458788 BGX458787:BHM458788 BQT458787:BRI458788 CAP458787:CBE458788 CKL458787:CLA458788 CUH458787:CUW458788 DED458787:DES458788 DNZ458787:DOO458788 DXV458787:DYK458788 EHR458787:EIG458788 ERN458787:ESC458788 FBJ458787:FBY458788 FLF458787:FLU458788 FVB458787:FVQ458788 GEX458787:GFM458788 GOT458787:GPI458788 GYP458787:GZE458788 HIL458787:HJA458788 HSH458787:HSW458788 ICD458787:ICS458788 ILZ458787:IMO458788 IVV458787:IWK458788 JFR458787:JGG458788 JPN458787:JQC458788 JZJ458787:JZY458788 KJF458787:KJU458788 KTB458787:KTQ458788 LCX458787:LDM458788 LMT458787:LNI458788 LWP458787:LXE458788 MGL458787:MHA458788 MQH458787:MQW458788 NAD458787:NAS458788 NJZ458787:NKO458788 NTV458787:NUK458788 ODR458787:OEG458788 ONN458787:OOC458788 OXJ458787:OXY458788 PHF458787:PHU458788 PRB458787:PRQ458788 QAX458787:QBM458788 QKT458787:QLI458788 QUP458787:QVE458788 REL458787:RFA458788 ROH458787:ROW458788 RYD458787:RYS458788 SHZ458787:SIO458788 SRV458787:SSK458788 TBR458787:TCG458788 TLN458787:TMC458788 TVJ458787:TVY458788 UFF458787:UFU458788 UPB458787:UPQ458788 UYX458787:UZM458788 VIT458787:VJI458788 VSP458787:VTE458788 WCL458787:WDA458788 WMH458787:WMW458788 WWD458787:WWS458788 V524323:AK524324 JR524323:KG524324 TN524323:UC524324 ADJ524323:ADY524324 ANF524323:ANU524324 AXB524323:AXQ524324 BGX524323:BHM524324 BQT524323:BRI524324 CAP524323:CBE524324 CKL524323:CLA524324 CUH524323:CUW524324 DED524323:DES524324 DNZ524323:DOO524324 DXV524323:DYK524324 EHR524323:EIG524324 ERN524323:ESC524324 FBJ524323:FBY524324 FLF524323:FLU524324 FVB524323:FVQ524324 GEX524323:GFM524324 GOT524323:GPI524324 GYP524323:GZE524324 HIL524323:HJA524324 HSH524323:HSW524324 ICD524323:ICS524324 ILZ524323:IMO524324 IVV524323:IWK524324 JFR524323:JGG524324 JPN524323:JQC524324 JZJ524323:JZY524324 KJF524323:KJU524324 KTB524323:KTQ524324 LCX524323:LDM524324 LMT524323:LNI524324 LWP524323:LXE524324 MGL524323:MHA524324 MQH524323:MQW524324 NAD524323:NAS524324 NJZ524323:NKO524324 NTV524323:NUK524324 ODR524323:OEG524324 ONN524323:OOC524324 OXJ524323:OXY524324 PHF524323:PHU524324 PRB524323:PRQ524324 QAX524323:QBM524324 QKT524323:QLI524324 QUP524323:QVE524324 REL524323:RFA524324 ROH524323:ROW524324 RYD524323:RYS524324 SHZ524323:SIO524324 SRV524323:SSK524324 TBR524323:TCG524324 TLN524323:TMC524324 TVJ524323:TVY524324 UFF524323:UFU524324 UPB524323:UPQ524324 UYX524323:UZM524324 VIT524323:VJI524324 VSP524323:VTE524324 WCL524323:WDA524324 WMH524323:WMW524324 WWD524323:WWS524324 V589859:AK589860 JR589859:KG589860 TN589859:UC589860 ADJ589859:ADY589860 ANF589859:ANU589860 AXB589859:AXQ589860 BGX589859:BHM589860 BQT589859:BRI589860 CAP589859:CBE589860 CKL589859:CLA589860 CUH589859:CUW589860 DED589859:DES589860 DNZ589859:DOO589860 DXV589859:DYK589860 EHR589859:EIG589860 ERN589859:ESC589860 FBJ589859:FBY589860 FLF589859:FLU589860 FVB589859:FVQ589860 GEX589859:GFM589860 GOT589859:GPI589860 GYP589859:GZE589860 HIL589859:HJA589860 HSH589859:HSW589860 ICD589859:ICS589860 ILZ589859:IMO589860 IVV589859:IWK589860 JFR589859:JGG589860 JPN589859:JQC589860 JZJ589859:JZY589860 KJF589859:KJU589860 KTB589859:KTQ589860 LCX589859:LDM589860 LMT589859:LNI589860 LWP589859:LXE589860 MGL589859:MHA589860 MQH589859:MQW589860 NAD589859:NAS589860 NJZ589859:NKO589860 NTV589859:NUK589860 ODR589859:OEG589860 ONN589859:OOC589860 OXJ589859:OXY589860 PHF589859:PHU589860 PRB589859:PRQ589860 QAX589859:QBM589860 QKT589859:QLI589860 QUP589859:QVE589860 REL589859:RFA589860 ROH589859:ROW589860 RYD589859:RYS589860 SHZ589859:SIO589860 SRV589859:SSK589860 TBR589859:TCG589860 TLN589859:TMC589860 TVJ589859:TVY589860 UFF589859:UFU589860 UPB589859:UPQ589860 UYX589859:UZM589860 VIT589859:VJI589860 VSP589859:VTE589860 WCL589859:WDA589860 WMH589859:WMW589860 WWD589859:WWS589860 V655395:AK655396 JR655395:KG655396 TN655395:UC655396 ADJ655395:ADY655396 ANF655395:ANU655396 AXB655395:AXQ655396 BGX655395:BHM655396 BQT655395:BRI655396 CAP655395:CBE655396 CKL655395:CLA655396 CUH655395:CUW655396 DED655395:DES655396 DNZ655395:DOO655396 DXV655395:DYK655396 EHR655395:EIG655396 ERN655395:ESC655396 FBJ655395:FBY655396 FLF655395:FLU655396 FVB655395:FVQ655396 GEX655395:GFM655396 GOT655395:GPI655396 GYP655395:GZE655396 HIL655395:HJA655396 HSH655395:HSW655396 ICD655395:ICS655396 ILZ655395:IMO655396 IVV655395:IWK655396 JFR655395:JGG655396 JPN655395:JQC655396 JZJ655395:JZY655396 KJF655395:KJU655396 KTB655395:KTQ655396 LCX655395:LDM655396 LMT655395:LNI655396 LWP655395:LXE655396 MGL655395:MHA655396 MQH655395:MQW655396 NAD655395:NAS655396 NJZ655395:NKO655396 NTV655395:NUK655396 ODR655395:OEG655396 ONN655395:OOC655396 OXJ655395:OXY655396 PHF655395:PHU655396 PRB655395:PRQ655396 QAX655395:QBM655396 QKT655395:QLI655396 QUP655395:QVE655396 REL655395:RFA655396 ROH655395:ROW655396 RYD655395:RYS655396 SHZ655395:SIO655396 SRV655395:SSK655396 TBR655395:TCG655396 TLN655395:TMC655396 TVJ655395:TVY655396 UFF655395:UFU655396 UPB655395:UPQ655396 UYX655395:UZM655396 VIT655395:VJI655396 VSP655395:VTE655396 WCL655395:WDA655396 WMH655395:WMW655396 WWD655395:WWS655396 V720931:AK720932 JR720931:KG720932 TN720931:UC720932 ADJ720931:ADY720932 ANF720931:ANU720932 AXB720931:AXQ720932 BGX720931:BHM720932 BQT720931:BRI720932 CAP720931:CBE720932 CKL720931:CLA720932 CUH720931:CUW720932 DED720931:DES720932 DNZ720931:DOO720932 DXV720931:DYK720932 EHR720931:EIG720932 ERN720931:ESC720932 FBJ720931:FBY720932 FLF720931:FLU720932 FVB720931:FVQ720932 GEX720931:GFM720932 GOT720931:GPI720932 GYP720931:GZE720932 HIL720931:HJA720932 HSH720931:HSW720932 ICD720931:ICS720932 ILZ720931:IMO720932 IVV720931:IWK720932 JFR720931:JGG720932 JPN720931:JQC720932 JZJ720931:JZY720932 KJF720931:KJU720932 KTB720931:KTQ720932 LCX720931:LDM720932 LMT720931:LNI720932 LWP720931:LXE720932 MGL720931:MHA720932 MQH720931:MQW720932 NAD720931:NAS720932 NJZ720931:NKO720932 NTV720931:NUK720932 ODR720931:OEG720932 ONN720931:OOC720932 OXJ720931:OXY720932 PHF720931:PHU720932 PRB720931:PRQ720932 QAX720931:QBM720932 QKT720931:QLI720932 QUP720931:QVE720932 REL720931:RFA720932 ROH720931:ROW720932 RYD720931:RYS720932 SHZ720931:SIO720932 SRV720931:SSK720932 TBR720931:TCG720932 TLN720931:TMC720932 TVJ720931:TVY720932 UFF720931:UFU720932 UPB720931:UPQ720932 UYX720931:UZM720932 VIT720931:VJI720932 VSP720931:VTE720932 WCL720931:WDA720932 WMH720931:WMW720932 WWD720931:WWS720932 V786467:AK786468 JR786467:KG786468 TN786467:UC786468 ADJ786467:ADY786468 ANF786467:ANU786468 AXB786467:AXQ786468 BGX786467:BHM786468 BQT786467:BRI786468 CAP786467:CBE786468 CKL786467:CLA786468 CUH786467:CUW786468 DED786467:DES786468 DNZ786467:DOO786468 DXV786467:DYK786468 EHR786467:EIG786468 ERN786467:ESC786468 FBJ786467:FBY786468 FLF786467:FLU786468 FVB786467:FVQ786468 GEX786467:GFM786468 GOT786467:GPI786468 GYP786467:GZE786468 HIL786467:HJA786468 HSH786467:HSW786468 ICD786467:ICS786468 ILZ786467:IMO786468 IVV786467:IWK786468 JFR786467:JGG786468 JPN786467:JQC786468 JZJ786467:JZY786468 KJF786467:KJU786468 KTB786467:KTQ786468 LCX786467:LDM786468 LMT786467:LNI786468 LWP786467:LXE786468 MGL786467:MHA786468 MQH786467:MQW786468 NAD786467:NAS786468 NJZ786467:NKO786468 NTV786467:NUK786468 ODR786467:OEG786468 ONN786467:OOC786468 OXJ786467:OXY786468 PHF786467:PHU786468 PRB786467:PRQ786468 QAX786467:QBM786468 QKT786467:QLI786468 QUP786467:QVE786468 REL786467:RFA786468 ROH786467:ROW786468 RYD786467:RYS786468 SHZ786467:SIO786468 SRV786467:SSK786468 TBR786467:TCG786468 TLN786467:TMC786468 TVJ786467:TVY786468 UFF786467:UFU786468 UPB786467:UPQ786468 UYX786467:UZM786468 VIT786467:VJI786468 VSP786467:VTE786468 WCL786467:WDA786468 WMH786467:WMW786468 WWD786467:WWS786468 V852003:AK852004 JR852003:KG852004 TN852003:UC852004 ADJ852003:ADY852004 ANF852003:ANU852004 AXB852003:AXQ852004 BGX852003:BHM852004 BQT852003:BRI852004 CAP852003:CBE852004 CKL852003:CLA852004 CUH852003:CUW852004 DED852003:DES852004 DNZ852003:DOO852004 DXV852003:DYK852004 EHR852003:EIG852004 ERN852003:ESC852004 FBJ852003:FBY852004 FLF852003:FLU852004 FVB852003:FVQ852004 GEX852003:GFM852004 GOT852003:GPI852004 GYP852003:GZE852004 HIL852003:HJA852004 HSH852003:HSW852004 ICD852003:ICS852004 ILZ852003:IMO852004 IVV852003:IWK852004 JFR852003:JGG852004 JPN852003:JQC852004 JZJ852003:JZY852004 KJF852003:KJU852004 KTB852003:KTQ852004 LCX852003:LDM852004 LMT852003:LNI852004 LWP852003:LXE852004 MGL852003:MHA852004 MQH852003:MQW852004 NAD852003:NAS852004 NJZ852003:NKO852004 NTV852003:NUK852004 ODR852003:OEG852004 ONN852003:OOC852004 OXJ852003:OXY852004 PHF852003:PHU852004 PRB852003:PRQ852004 QAX852003:QBM852004 QKT852003:QLI852004 QUP852003:QVE852004 REL852003:RFA852004 ROH852003:ROW852004 RYD852003:RYS852004 SHZ852003:SIO852004 SRV852003:SSK852004 TBR852003:TCG852004 TLN852003:TMC852004 TVJ852003:TVY852004 UFF852003:UFU852004 UPB852003:UPQ852004 UYX852003:UZM852004 VIT852003:VJI852004 VSP852003:VTE852004 WCL852003:WDA852004 WMH852003:WMW852004 WWD852003:WWS852004 V917539:AK917540 JR917539:KG917540 TN917539:UC917540 ADJ917539:ADY917540 ANF917539:ANU917540 AXB917539:AXQ917540 BGX917539:BHM917540 BQT917539:BRI917540 CAP917539:CBE917540 CKL917539:CLA917540 CUH917539:CUW917540 DED917539:DES917540 DNZ917539:DOO917540 DXV917539:DYK917540 EHR917539:EIG917540 ERN917539:ESC917540 FBJ917539:FBY917540 FLF917539:FLU917540 FVB917539:FVQ917540 GEX917539:GFM917540 GOT917539:GPI917540 GYP917539:GZE917540 HIL917539:HJA917540 HSH917539:HSW917540 ICD917539:ICS917540 ILZ917539:IMO917540 IVV917539:IWK917540 JFR917539:JGG917540 JPN917539:JQC917540 JZJ917539:JZY917540 KJF917539:KJU917540 KTB917539:KTQ917540 LCX917539:LDM917540 LMT917539:LNI917540 LWP917539:LXE917540 MGL917539:MHA917540 MQH917539:MQW917540 NAD917539:NAS917540 NJZ917539:NKO917540 NTV917539:NUK917540 ODR917539:OEG917540 ONN917539:OOC917540 OXJ917539:OXY917540 PHF917539:PHU917540 PRB917539:PRQ917540 QAX917539:QBM917540 QKT917539:QLI917540 QUP917539:QVE917540 REL917539:RFA917540 ROH917539:ROW917540 RYD917539:RYS917540 SHZ917539:SIO917540 SRV917539:SSK917540 TBR917539:TCG917540 TLN917539:TMC917540 TVJ917539:TVY917540 UFF917539:UFU917540 UPB917539:UPQ917540 UYX917539:UZM917540 VIT917539:VJI917540 VSP917539:VTE917540 WCL917539:WDA917540 WMH917539:WMW917540 WWD917539:WWS917540 V983075:AK983076 JR983075:KG983076 TN983075:UC983076 ADJ983075:ADY983076 ANF983075:ANU983076 AXB983075:AXQ983076 BGX983075:BHM983076 BQT983075:BRI983076 CAP983075:CBE983076 CKL983075:CLA983076 CUH983075:CUW983076 DED983075:DES983076 DNZ983075:DOO983076 DXV983075:DYK983076 EHR983075:EIG983076 ERN983075:ESC983076 FBJ983075:FBY983076 FLF983075:FLU983076 FVB983075:FVQ983076 GEX983075:GFM983076 GOT983075:GPI983076 GYP983075:GZE983076 HIL983075:HJA983076 HSH983075:HSW983076 ICD983075:ICS983076 ILZ983075:IMO983076 IVV983075:IWK983076 JFR983075:JGG983076 JPN983075:JQC983076 JZJ983075:JZY983076 KJF983075:KJU983076 KTB983075:KTQ983076 LCX983075:LDM983076 LMT983075:LNI983076 LWP983075:LXE983076 MGL983075:MHA983076 MQH983075:MQW983076 NAD983075:NAS983076 NJZ983075:NKO983076 NTV983075:NUK983076 ODR983075:OEG983076 ONN983075:OOC983076 OXJ983075:OXY983076 PHF983075:PHU983076 PRB983075:PRQ983076 QAX983075:QBM983076 QKT983075:QLI983076 QUP983075:QVE983076 REL983075:RFA983076 ROH983075:ROW983076 RYD983075:RYS983076 SHZ983075:SIO983076 SRV983075:SSK983076 TBR983075:TCG983076 TLN983075:TMC983076 TVJ983075:TVY983076 UFF983075:UFU983076 UPB983075:UPQ983076 UYX983075:UZM983076 VIT983075:VJI983076 VSP983075:VTE983076 WCL983075:WDA983076 WMH983075:WMW983076 WWD983075:WWS983076" xr:uid="{00000000-0002-0000-0000-000001000000}">
      <formula1>$AX$35:$AX$37</formula1>
    </dataValidation>
    <dataValidation type="list" allowBlank="1" showInputMessage="1" showErrorMessage="1" sqref="V29:AK30 JR29:KG30 TN29:UC30 ADJ29:ADY30 ANF29:ANU30 AXB29:AXQ30 BGX29:BHM30 BQT29:BRI30 CAP29:CBE30 CKL29:CLA30 CUH29:CUW30 DED29:DES30 DNZ29:DOO30 DXV29:DYK30 EHR29:EIG30 ERN29:ESC30 FBJ29:FBY30 FLF29:FLU30 FVB29:FVQ30 GEX29:GFM30 GOT29:GPI30 GYP29:GZE30 HIL29:HJA30 HSH29:HSW30 ICD29:ICS30 ILZ29:IMO30 IVV29:IWK30 JFR29:JGG30 JPN29:JQC30 JZJ29:JZY30 KJF29:KJU30 KTB29:KTQ30 LCX29:LDM30 LMT29:LNI30 LWP29:LXE30 MGL29:MHA30 MQH29:MQW30 NAD29:NAS30 NJZ29:NKO30 NTV29:NUK30 ODR29:OEG30 ONN29:OOC30 OXJ29:OXY30 PHF29:PHU30 PRB29:PRQ30 QAX29:QBM30 QKT29:QLI30 QUP29:QVE30 REL29:RFA30 ROH29:ROW30 RYD29:RYS30 SHZ29:SIO30 SRV29:SSK30 TBR29:TCG30 TLN29:TMC30 TVJ29:TVY30 UFF29:UFU30 UPB29:UPQ30 UYX29:UZM30 VIT29:VJI30 VSP29:VTE30 WCL29:WDA30 WMH29:WMW30 WWD29:WWS30 V65565:AK65566 JR65565:KG65566 TN65565:UC65566 ADJ65565:ADY65566 ANF65565:ANU65566 AXB65565:AXQ65566 BGX65565:BHM65566 BQT65565:BRI65566 CAP65565:CBE65566 CKL65565:CLA65566 CUH65565:CUW65566 DED65565:DES65566 DNZ65565:DOO65566 DXV65565:DYK65566 EHR65565:EIG65566 ERN65565:ESC65566 FBJ65565:FBY65566 FLF65565:FLU65566 FVB65565:FVQ65566 GEX65565:GFM65566 GOT65565:GPI65566 GYP65565:GZE65566 HIL65565:HJA65566 HSH65565:HSW65566 ICD65565:ICS65566 ILZ65565:IMO65566 IVV65565:IWK65566 JFR65565:JGG65566 JPN65565:JQC65566 JZJ65565:JZY65566 KJF65565:KJU65566 KTB65565:KTQ65566 LCX65565:LDM65566 LMT65565:LNI65566 LWP65565:LXE65566 MGL65565:MHA65566 MQH65565:MQW65566 NAD65565:NAS65566 NJZ65565:NKO65566 NTV65565:NUK65566 ODR65565:OEG65566 ONN65565:OOC65566 OXJ65565:OXY65566 PHF65565:PHU65566 PRB65565:PRQ65566 QAX65565:QBM65566 QKT65565:QLI65566 QUP65565:QVE65566 REL65565:RFA65566 ROH65565:ROW65566 RYD65565:RYS65566 SHZ65565:SIO65566 SRV65565:SSK65566 TBR65565:TCG65566 TLN65565:TMC65566 TVJ65565:TVY65566 UFF65565:UFU65566 UPB65565:UPQ65566 UYX65565:UZM65566 VIT65565:VJI65566 VSP65565:VTE65566 WCL65565:WDA65566 WMH65565:WMW65566 WWD65565:WWS65566 V131101:AK131102 JR131101:KG131102 TN131101:UC131102 ADJ131101:ADY131102 ANF131101:ANU131102 AXB131101:AXQ131102 BGX131101:BHM131102 BQT131101:BRI131102 CAP131101:CBE131102 CKL131101:CLA131102 CUH131101:CUW131102 DED131101:DES131102 DNZ131101:DOO131102 DXV131101:DYK131102 EHR131101:EIG131102 ERN131101:ESC131102 FBJ131101:FBY131102 FLF131101:FLU131102 FVB131101:FVQ131102 GEX131101:GFM131102 GOT131101:GPI131102 GYP131101:GZE131102 HIL131101:HJA131102 HSH131101:HSW131102 ICD131101:ICS131102 ILZ131101:IMO131102 IVV131101:IWK131102 JFR131101:JGG131102 JPN131101:JQC131102 JZJ131101:JZY131102 KJF131101:KJU131102 KTB131101:KTQ131102 LCX131101:LDM131102 LMT131101:LNI131102 LWP131101:LXE131102 MGL131101:MHA131102 MQH131101:MQW131102 NAD131101:NAS131102 NJZ131101:NKO131102 NTV131101:NUK131102 ODR131101:OEG131102 ONN131101:OOC131102 OXJ131101:OXY131102 PHF131101:PHU131102 PRB131101:PRQ131102 QAX131101:QBM131102 QKT131101:QLI131102 QUP131101:QVE131102 REL131101:RFA131102 ROH131101:ROW131102 RYD131101:RYS131102 SHZ131101:SIO131102 SRV131101:SSK131102 TBR131101:TCG131102 TLN131101:TMC131102 TVJ131101:TVY131102 UFF131101:UFU131102 UPB131101:UPQ131102 UYX131101:UZM131102 VIT131101:VJI131102 VSP131101:VTE131102 WCL131101:WDA131102 WMH131101:WMW131102 WWD131101:WWS131102 V196637:AK196638 JR196637:KG196638 TN196637:UC196638 ADJ196637:ADY196638 ANF196637:ANU196638 AXB196637:AXQ196638 BGX196637:BHM196638 BQT196637:BRI196638 CAP196637:CBE196638 CKL196637:CLA196638 CUH196637:CUW196638 DED196637:DES196638 DNZ196637:DOO196638 DXV196637:DYK196638 EHR196637:EIG196638 ERN196637:ESC196638 FBJ196637:FBY196638 FLF196637:FLU196638 FVB196637:FVQ196638 GEX196637:GFM196638 GOT196637:GPI196638 GYP196637:GZE196638 HIL196637:HJA196638 HSH196637:HSW196638 ICD196637:ICS196638 ILZ196637:IMO196638 IVV196637:IWK196638 JFR196637:JGG196638 JPN196637:JQC196638 JZJ196637:JZY196638 KJF196637:KJU196638 KTB196637:KTQ196638 LCX196637:LDM196638 LMT196637:LNI196638 LWP196637:LXE196638 MGL196637:MHA196638 MQH196637:MQW196638 NAD196637:NAS196638 NJZ196637:NKO196638 NTV196637:NUK196638 ODR196637:OEG196638 ONN196637:OOC196638 OXJ196637:OXY196638 PHF196637:PHU196638 PRB196637:PRQ196638 QAX196637:QBM196638 QKT196637:QLI196638 QUP196637:QVE196638 REL196637:RFA196638 ROH196637:ROW196638 RYD196637:RYS196638 SHZ196637:SIO196638 SRV196637:SSK196638 TBR196637:TCG196638 TLN196637:TMC196638 TVJ196637:TVY196638 UFF196637:UFU196638 UPB196637:UPQ196638 UYX196637:UZM196638 VIT196637:VJI196638 VSP196637:VTE196638 WCL196637:WDA196638 WMH196637:WMW196638 WWD196637:WWS196638 V262173:AK262174 JR262173:KG262174 TN262173:UC262174 ADJ262173:ADY262174 ANF262173:ANU262174 AXB262173:AXQ262174 BGX262173:BHM262174 BQT262173:BRI262174 CAP262173:CBE262174 CKL262173:CLA262174 CUH262173:CUW262174 DED262173:DES262174 DNZ262173:DOO262174 DXV262173:DYK262174 EHR262173:EIG262174 ERN262173:ESC262174 FBJ262173:FBY262174 FLF262173:FLU262174 FVB262173:FVQ262174 GEX262173:GFM262174 GOT262173:GPI262174 GYP262173:GZE262174 HIL262173:HJA262174 HSH262173:HSW262174 ICD262173:ICS262174 ILZ262173:IMO262174 IVV262173:IWK262174 JFR262173:JGG262174 JPN262173:JQC262174 JZJ262173:JZY262174 KJF262173:KJU262174 KTB262173:KTQ262174 LCX262173:LDM262174 LMT262173:LNI262174 LWP262173:LXE262174 MGL262173:MHA262174 MQH262173:MQW262174 NAD262173:NAS262174 NJZ262173:NKO262174 NTV262173:NUK262174 ODR262173:OEG262174 ONN262173:OOC262174 OXJ262173:OXY262174 PHF262173:PHU262174 PRB262173:PRQ262174 QAX262173:QBM262174 QKT262173:QLI262174 QUP262173:QVE262174 REL262173:RFA262174 ROH262173:ROW262174 RYD262173:RYS262174 SHZ262173:SIO262174 SRV262173:SSK262174 TBR262173:TCG262174 TLN262173:TMC262174 TVJ262173:TVY262174 UFF262173:UFU262174 UPB262173:UPQ262174 UYX262173:UZM262174 VIT262173:VJI262174 VSP262173:VTE262174 WCL262173:WDA262174 WMH262173:WMW262174 WWD262173:WWS262174 V327709:AK327710 JR327709:KG327710 TN327709:UC327710 ADJ327709:ADY327710 ANF327709:ANU327710 AXB327709:AXQ327710 BGX327709:BHM327710 BQT327709:BRI327710 CAP327709:CBE327710 CKL327709:CLA327710 CUH327709:CUW327710 DED327709:DES327710 DNZ327709:DOO327710 DXV327709:DYK327710 EHR327709:EIG327710 ERN327709:ESC327710 FBJ327709:FBY327710 FLF327709:FLU327710 FVB327709:FVQ327710 GEX327709:GFM327710 GOT327709:GPI327710 GYP327709:GZE327710 HIL327709:HJA327710 HSH327709:HSW327710 ICD327709:ICS327710 ILZ327709:IMO327710 IVV327709:IWK327710 JFR327709:JGG327710 JPN327709:JQC327710 JZJ327709:JZY327710 KJF327709:KJU327710 KTB327709:KTQ327710 LCX327709:LDM327710 LMT327709:LNI327710 LWP327709:LXE327710 MGL327709:MHA327710 MQH327709:MQW327710 NAD327709:NAS327710 NJZ327709:NKO327710 NTV327709:NUK327710 ODR327709:OEG327710 ONN327709:OOC327710 OXJ327709:OXY327710 PHF327709:PHU327710 PRB327709:PRQ327710 QAX327709:QBM327710 QKT327709:QLI327710 QUP327709:QVE327710 REL327709:RFA327710 ROH327709:ROW327710 RYD327709:RYS327710 SHZ327709:SIO327710 SRV327709:SSK327710 TBR327709:TCG327710 TLN327709:TMC327710 TVJ327709:TVY327710 UFF327709:UFU327710 UPB327709:UPQ327710 UYX327709:UZM327710 VIT327709:VJI327710 VSP327709:VTE327710 WCL327709:WDA327710 WMH327709:WMW327710 WWD327709:WWS327710 V393245:AK393246 JR393245:KG393246 TN393245:UC393246 ADJ393245:ADY393246 ANF393245:ANU393246 AXB393245:AXQ393246 BGX393245:BHM393246 BQT393245:BRI393246 CAP393245:CBE393246 CKL393245:CLA393246 CUH393245:CUW393246 DED393245:DES393246 DNZ393245:DOO393246 DXV393245:DYK393246 EHR393245:EIG393246 ERN393245:ESC393246 FBJ393245:FBY393246 FLF393245:FLU393246 FVB393245:FVQ393246 GEX393245:GFM393246 GOT393245:GPI393246 GYP393245:GZE393246 HIL393245:HJA393246 HSH393245:HSW393246 ICD393245:ICS393246 ILZ393245:IMO393246 IVV393245:IWK393246 JFR393245:JGG393246 JPN393245:JQC393246 JZJ393245:JZY393246 KJF393245:KJU393246 KTB393245:KTQ393246 LCX393245:LDM393246 LMT393245:LNI393246 LWP393245:LXE393246 MGL393245:MHA393246 MQH393245:MQW393246 NAD393245:NAS393246 NJZ393245:NKO393246 NTV393245:NUK393246 ODR393245:OEG393246 ONN393245:OOC393246 OXJ393245:OXY393246 PHF393245:PHU393246 PRB393245:PRQ393246 QAX393245:QBM393246 QKT393245:QLI393246 QUP393245:QVE393246 REL393245:RFA393246 ROH393245:ROW393246 RYD393245:RYS393246 SHZ393245:SIO393246 SRV393245:SSK393246 TBR393245:TCG393246 TLN393245:TMC393246 TVJ393245:TVY393246 UFF393245:UFU393246 UPB393245:UPQ393246 UYX393245:UZM393246 VIT393245:VJI393246 VSP393245:VTE393246 WCL393245:WDA393246 WMH393245:WMW393246 WWD393245:WWS393246 V458781:AK458782 JR458781:KG458782 TN458781:UC458782 ADJ458781:ADY458782 ANF458781:ANU458782 AXB458781:AXQ458782 BGX458781:BHM458782 BQT458781:BRI458782 CAP458781:CBE458782 CKL458781:CLA458782 CUH458781:CUW458782 DED458781:DES458782 DNZ458781:DOO458782 DXV458781:DYK458782 EHR458781:EIG458782 ERN458781:ESC458782 FBJ458781:FBY458782 FLF458781:FLU458782 FVB458781:FVQ458782 GEX458781:GFM458782 GOT458781:GPI458782 GYP458781:GZE458782 HIL458781:HJA458782 HSH458781:HSW458782 ICD458781:ICS458782 ILZ458781:IMO458782 IVV458781:IWK458782 JFR458781:JGG458782 JPN458781:JQC458782 JZJ458781:JZY458782 KJF458781:KJU458782 KTB458781:KTQ458782 LCX458781:LDM458782 LMT458781:LNI458782 LWP458781:LXE458782 MGL458781:MHA458782 MQH458781:MQW458782 NAD458781:NAS458782 NJZ458781:NKO458782 NTV458781:NUK458782 ODR458781:OEG458782 ONN458781:OOC458782 OXJ458781:OXY458782 PHF458781:PHU458782 PRB458781:PRQ458782 QAX458781:QBM458782 QKT458781:QLI458782 QUP458781:QVE458782 REL458781:RFA458782 ROH458781:ROW458782 RYD458781:RYS458782 SHZ458781:SIO458782 SRV458781:SSK458782 TBR458781:TCG458782 TLN458781:TMC458782 TVJ458781:TVY458782 UFF458781:UFU458782 UPB458781:UPQ458782 UYX458781:UZM458782 VIT458781:VJI458782 VSP458781:VTE458782 WCL458781:WDA458782 WMH458781:WMW458782 WWD458781:WWS458782 V524317:AK524318 JR524317:KG524318 TN524317:UC524318 ADJ524317:ADY524318 ANF524317:ANU524318 AXB524317:AXQ524318 BGX524317:BHM524318 BQT524317:BRI524318 CAP524317:CBE524318 CKL524317:CLA524318 CUH524317:CUW524318 DED524317:DES524318 DNZ524317:DOO524318 DXV524317:DYK524318 EHR524317:EIG524318 ERN524317:ESC524318 FBJ524317:FBY524318 FLF524317:FLU524318 FVB524317:FVQ524318 GEX524317:GFM524318 GOT524317:GPI524318 GYP524317:GZE524318 HIL524317:HJA524318 HSH524317:HSW524318 ICD524317:ICS524318 ILZ524317:IMO524318 IVV524317:IWK524318 JFR524317:JGG524318 JPN524317:JQC524318 JZJ524317:JZY524318 KJF524317:KJU524318 KTB524317:KTQ524318 LCX524317:LDM524318 LMT524317:LNI524318 LWP524317:LXE524318 MGL524317:MHA524318 MQH524317:MQW524318 NAD524317:NAS524318 NJZ524317:NKO524318 NTV524317:NUK524318 ODR524317:OEG524318 ONN524317:OOC524318 OXJ524317:OXY524318 PHF524317:PHU524318 PRB524317:PRQ524318 QAX524317:QBM524318 QKT524317:QLI524318 QUP524317:QVE524318 REL524317:RFA524318 ROH524317:ROW524318 RYD524317:RYS524318 SHZ524317:SIO524318 SRV524317:SSK524318 TBR524317:TCG524318 TLN524317:TMC524318 TVJ524317:TVY524318 UFF524317:UFU524318 UPB524317:UPQ524318 UYX524317:UZM524318 VIT524317:VJI524318 VSP524317:VTE524318 WCL524317:WDA524318 WMH524317:WMW524318 WWD524317:WWS524318 V589853:AK589854 JR589853:KG589854 TN589853:UC589854 ADJ589853:ADY589854 ANF589853:ANU589854 AXB589853:AXQ589854 BGX589853:BHM589854 BQT589853:BRI589854 CAP589853:CBE589854 CKL589853:CLA589854 CUH589853:CUW589854 DED589853:DES589854 DNZ589853:DOO589854 DXV589853:DYK589854 EHR589853:EIG589854 ERN589853:ESC589854 FBJ589853:FBY589854 FLF589853:FLU589854 FVB589853:FVQ589854 GEX589853:GFM589854 GOT589853:GPI589854 GYP589853:GZE589854 HIL589853:HJA589854 HSH589853:HSW589854 ICD589853:ICS589854 ILZ589853:IMO589854 IVV589853:IWK589854 JFR589853:JGG589854 JPN589853:JQC589854 JZJ589853:JZY589854 KJF589853:KJU589854 KTB589853:KTQ589854 LCX589853:LDM589854 LMT589853:LNI589854 LWP589853:LXE589854 MGL589853:MHA589854 MQH589853:MQW589854 NAD589853:NAS589854 NJZ589853:NKO589854 NTV589853:NUK589854 ODR589853:OEG589854 ONN589853:OOC589854 OXJ589853:OXY589854 PHF589853:PHU589854 PRB589853:PRQ589854 QAX589853:QBM589854 QKT589853:QLI589854 QUP589853:QVE589854 REL589853:RFA589854 ROH589853:ROW589854 RYD589853:RYS589854 SHZ589853:SIO589854 SRV589853:SSK589854 TBR589853:TCG589854 TLN589853:TMC589854 TVJ589853:TVY589854 UFF589853:UFU589854 UPB589853:UPQ589854 UYX589853:UZM589854 VIT589853:VJI589854 VSP589853:VTE589854 WCL589853:WDA589854 WMH589853:WMW589854 WWD589853:WWS589854 V655389:AK655390 JR655389:KG655390 TN655389:UC655390 ADJ655389:ADY655390 ANF655389:ANU655390 AXB655389:AXQ655390 BGX655389:BHM655390 BQT655389:BRI655390 CAP655389:CBE655390 CKL655389:CLA655390 CUH655389:CUW655390 DED655389:DES655390 DNZ655389:DOO655390 DXV655389:DYK655390 EHR655389:EIG655390 ERN655389:ESC655390 FBJ655389:FBY655390 FLF655389:FLU655390 FVB655389:FVQ655390 GEX655389:GFM655390 GOT655389:GPI655390 GYP655389:GZE655390 HIL655389:HJA655390 HSH655389:HSW655390 ICD655389:ICS655390 ILZ655389:IMO655390 IVV655389:IWK655390 JFR655389:JGG655390 JPN655389:JQC655390 JZJ655389:JZY655390 KJF655389:KJU655390 KTB655389:KTQ655390 LCX655389:LDM655390 LMT655389:LNI655390 LWP655389:LXE655390 MGL655389:MHA655390 MQH655389:MQW655390 NAD655389:NAS655390 NJZ655389:NKO655390 NTV655389:NUK655390 ODR655389:OEG655390 ONN655389:OOC655390 OXJ655389:OXY655390 PHF655389:PHU655390 PRB655389:PRQ655390 QAX655389:QBM655390 QKT655389:QLI655390 QUP655389:QVE655390 REL655389:RFA655390 ROH655389:ROW655390 RYD655389:RYS655390 SHZ655389:SIO655390 SRV655389:SSK655390 TBR655389:TCG655390 TLN655389:TMC655390 TVJ655389:TVY655390 UFF655389:UFU655390 UPB655389:UPQ655390 UYX655389:UZM655390 VIT655389:VJI655390 VSP655389:VTE655390 WCL655389:WDA655390 WMH655389:WMW655390 WWD655389:WWS655390 V720925:AK720926 JR720925:KG720926 TN720925:UC720926 ADJ720925:ADY720926 ANF720925:ANU720926 AXB720925:AXQ720926 BGX720925:BHM720926 BQT720925:BRI720926 CAP720925:CBE720926 CKL720925:CLA720926 CUH720925:CUW720926 DED720925:DES720926 DNZ720925:DOO720926 DXV720925:DYK720926 EHR720925:EIG720926 ERN720925:ESC720926 FBJ720925:FBY720926 FLF720925:FLU720926 FVB720925:FVQ720926 GEX720925:GFM720926 GOT720925:GPI720926 GYP720925:GZE720926 HIL720925:HJA720926 HSH720925:HSW720926 ICD720925:ICS720926 ILZ720925:IMO720926 IVV720925:IWK720926 JFR720925:JGG720926 JPN720925:JQC720926 JZJ720925:JZY720926 KJF720925:KJU720926 KTB720925:KTQ720926 LCX720925:LDM720926 LMT720925:LNI720926 LWP720925:LXE720926 MGL720925:MHA720926 MQH720925:MQW720926 NAD720925:NAS720926 NJZ720925:NKO720926 NTV720925:NUK720926 ODR720925:OEG720926 ONN720925:OOC720926 OXJ720925:OXY720926 PHF720925:PHU720926 PRB720925:PRQ720926 QAX720925:QBM720926 QKT720925:QLI720926 QUP720925:QVE720926 REL720925:RFA720926 ROH720925:ROW720926 RYD720925:RYS720926 SHZ720925:SIO720926 SRV720925:SSK720926 TBR720925:TCG720926 TLN720925:TMC720926 TVJ720925:TVY720926 UFF720925:UFU720926 UPB720925:UPQ720926 UYX720925:UZM720926 VIT720925:VJI720926 VSP720925:VTE720926 WCL720925:WDA720926 WMH720925:WMW720926 WWD720925:WWS720926 V786461:AK786462 JR786461:KG786462 TN786461:UC786462 ADJ786461:ADY786462 ANF786461:ANU786462 AXB786461:AXQ786462 BGX786461:BHM786462 BQT786461:BRI786462 CAP786461:CBE786462 CKL786461:CLA786462 CUH786461:CUW786462 DED786461:DES786462 DNZ786461:DOO786462 DXV786461:DYK786462 EHR786461:EIG786462 ERN786461:ESC786462 FBJ786461:FBY786462 FLF786461:FLU786462 FVB786461:FVQ786462 GEX786461:GFM786462 GOT786461:GPI786462 GYP786461:GZE786462 HIL786461:HJA786462 HSH786461:HSW786462 ICD786461:ICS786462 ILZ786461:IMO786462 IVV786461:IWK786462 JFR786461:JGG786462 JPN786461:JQC786462 JZJ786461:JZY786462 KJF786461:KJU786462 KTB786461:KTQ786462 LCX786461:LDM786462 LMT786461:LNI786462 LWP786461:LXE786462 MGL786461:MHA786462 MQH786461:MQW786462 NAD786461:NAS786462 NJZ786461:NKO786462 NTV786461:NUK786462 ODR786461:OEG786462 ONN786461:OOC786462 OXJ786461:OXY786462 PHF786461:PHU786462 PRB786461:PRQ786462 QAX786461:QBM786462 QKT786461:QLI786462 QUP786461:QVE786462 REL786461:RFA786462 ROH786461:ROW786462 RYD786461:RYS786462 SHZ786461:SIO786462 SRV786461:SSK786462 TBR786461:TCG786462 TLN786461:TMC786462 TVJ786461:TVY786462 UFF786461:UFU786462 UPB786461:UPQ786462 UYX786461:UZM786462 VIT786461:VJI786462 VSP786461:VTE786462 WCL786461:WDA786462 WMH786461:WMW786462 WWD786461:WWS786462 V851997:AK851998 JR851997:KG851998 TN851997:UC851998 ADJ851997:ADY851998 ANF851997:ANU851998 AXB851997:AXQ851998 BGX851997:BHM851998 BQT851997:BRI851998 CAP851997:CBE851998 CKL851997:CLA851998 CUH851997:CUW851998 DED851997:DES851998 DNZ851997:DOO851998 DXV851997:DYK851998 EHR851997:EIG851998 ERN851997:ESC851998 FBJ851997:FBY851998 FLF851997:FLU851998 FVB851997:FVQ851998 GEX851997:GFM851998 GOT851997:GPI851998 GYP851997:GZE851998 HIL851997:HJA851998 HSH851997:HSW851998 ICD851997:ICS851998 ILZ851997:IMO851998 IVV851997:IWK851998 JFR851997:JGG851998 JPN851997:JQC851998 JZJ851997:JZY851998 KJF851997:KJU851998 KTB851997:KTQ851998 LCX851997:LDM851998 LMT851997:LNI851998 LWP851997:LXE851998 MGL851997:MHA851998 MQH851997:MQW851998 NAD851997:NAS851998 NJZ851997:NKO851998 NTV851997:NUK851998 ODR851997:OEG851998 ONN851997:OOC851998 OXJ851997:OXY851998 PHF851997:PHU851998 PRB851997:PRQ851998 QAX851997:QBM851998 QKT851997:QLI851998 QUP851997:QVE851998 REL851997:RFA851998 ROH851997:ROW851998 RYD851997:RYS851998 SHZ851997:SIO851998 SRV851997:SSK851998 TBR851997:TCG851998 TLN851997:TMC851998 TVJ851997:TVY851998 UFF851997:UFU851998 UPB851997:UPQ851998 UYX851997:UZM851998 VIT851997:VJI851998 VSP851997:VTE851998 WCL851997:WDA851998 WMH851997:WMW851998 WWD851997:WWS851998 V917533:AK917534 JR917533:KG917534 TN917533:UC917534 ADJ917533:ADY917534 ANF917533:ANU917534 AXB917533:AXQ917534 BGX917533:BHM917534 BQT917533:BRI917534 CAP917533:CBE917534 CKL917533:CLA917534 CUH917533:CUW917534 DED917533:DES917534 DNZ917533:DOO917534 DXV917533:DYK917534 EHR917533:EIG917534 ERN917533:ESC917534 FBJ917533:FBY917534 FLF917533:FLU917534 FVB917533:FVQ917534 GEX917533:GFM917534 GOT917533:GPI917534 GYP917533:GZE917534 HIL917533:HJA917534 HSH917533:HSW917534 ICD917533:ICS917534 ILZ917533:IMO917534 IVV917533:IWK917534 JFR917533:JGG917534 JPN917533:JQC917534 JZJ917533:JZY917534 KJF917533:KJU917534 KTB917533:KTQ917534 LCX917533:LDM917534 LMT917533:LNI917534 LWP917533:LXE917534 MGL917533:MHA917534 MQH917533:MQW917534 NAD917533:NAS917534 NJZ917533:NKO917534 NTV917533:NUK917534 ODR917533:OEG917534 ONN917533:OOC917534 OXJ917533:OXY917534 PHF917533:PHU917534 PRB917533:PRQ917534 QAX917533:QBM917534 QKT917533:QLI917534 QUP917533:QVE917534 REL917533:RFA917534 ROH917533:ROW917534 RYD917533:RYS917534 SHZ917533:SIO917534 SRV917533:SSK917534 TBR917533:TCG917534 TLN917533:TMC917534 TVJ917533:TVY917534 UFF917533:UFU917534 UPB917533:UPQ917534 UYX917533:UZM917534 VIT917533:VJI917534 VSP917533:VTE917534 WCL917533:WDA917534 WMH917533:WMW917534 WWD917533:WWS917534 V983069:AK983070 JR983069:KG983070 TN983069:UC983070 ADJ983069:ADY983070 ANF983069:ANU983070 AXB983069:AXQ983070 BGX983069:BHM983070 BQT983069:BRI983070 CAP983069:CBE983070 CKL983069:CLA983070 CUH983069:CUW983070 DED983069:DES983070 DNZ983069:DOO983070 DXV983069:DYK983070 EHR983069:EIG983070 ERN983069:ESC983070 FBJ983069:FBY983070 FLF983069:FLU983070 FVB983069:FVQ983070 GEX983069:GFM983070 GOT983069:GPI983070 GYP983069:GZE983070 HIL983069:HJA983070 HSH983069:HSW983070 ICD983069:ICS983070 ILZ983069:IMO983070 IVV983069:IWK983070 JFR983069:JGG983070 JPN983069:JQC983070 JZJ983069:JZY983070 KJF983069:KJU983070 KTB983069:KTQ983070 LCX983069:LDM983070 LMT983069:LNI983070 LWP983069:LXE983070 MGL983069:MHA983070 MQH983069:MQW983070 NAD983069:NAS983070 NJZ983069:NKO983070 NTV983069:NUK983070 ODR983069:OEG983070 ONN983069:OOC983070 OXJ983069:OXY983070 PHF983069:PHU983070 PRB983069:PRQ983070 QAX983069:QBM983070 QKT983069:QLI983070 QUP983069:QVE983070 REL983069:RFA983070 ROH983069:ROW983070 RYD983069:RYS983070 SHZ983069:SIO983070 SRV983069:SSK983070 TBR983069:TCG983070 TLN983069:TMC983070 TVJ983069:TVY983070 UFF983069:UFU983070 UPB983069:UPQ983070 UYX983069:UZM983070 VIT983069:VJI983070 VSP983069:VTE983070 WCL983069:WDA983070 WMH983069:WMW983070 WWD983069:WWS983070" xr:uid="{00000000-0002-0000-0000-000002000000}">
      <formula1>AX29:AX32</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horizontalDpi="300" verticalDpi="300" r:id="rId1"/>
  <headerFooter alignWithMargins="0">
    <oddFooter>&amp;C&amp;P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F363"/>
  <sheetViews>
    <sheetView showGridLines="0" view="pageBreakPreview" zoomScale="85" zoomScaleNormal="85" zoomScaleSheetLayoutView="85" workbookViewId="0">
      <selection activeCell="S3" sqref="S3:Y3"/>
    </sheetView>
  </sheetViews>
  <sheetFormatPr defaultRowHeight="13.5" customHeight="1"/>
  <cols>
    <col min="1" max="42" width="2.7265625" style="38" customWidth="1"/>
    <col min="43" max="43" width="2.90625" style="38" customWidth="1"/>
    <col min="44" max="44" width="2.7265625" style="209" customWidth="1"/>
    <col min="45" max="51" width="2.7265625" style="38" customWidth="1"/>
    <col min="52" max="52" width="6.453125" style="299" hidden="1" customWidth="1"/>
    <col min="53" max="53" width="3.08984375" style="38" hidden="1" customWidth="1"/>
    <col min="54" max="54" width="0" style="38" hidden="1" customWidth="1"/>
    <col min="55" max="55" width="5.7265625" style="38" customWidth="1"/>
    <col min="56" max="57" width="9" style="38"/>
    <col min="58" max="58" width="0" style="38" hidden="1" customWidth="1"/>
    <col min="59" max="256" width="9" style="38"/>
    <col min="257" max="307" width="2.7265625" style="38" customWidth="1"/>
    <col min="308" max="512" width="9" style="38"/>
    <col min="513" max="563" width="2.7265625" style="38" customWidth="1"/>
    <col min="564" max="768" width="9" style="38"/>
    <col min="769" max="819" width="2.7265625" style="38" customWidth="1"/>
    <col min="820" max="1024" width="9" style="38"/>
    <col min="1025" max="1075" width="2.7265625" style="38" customWidth="1"/>
    <col min="1076" max="1280" width="9" style="38"/>
    <col min="1281" max="1331" width="2.7265625" style="38" customWidth="1"/>
    <col min="1332" max="1536" width="9" style="38"/>
    <col min="1537" max="1587" width="2.7265625" style="38" customWidth="1"/>
    <col min="1588" max="1792" width="9" style="38"/>
    <col min="1793" max="1843" width="2.7265625" style="38" customWidth="1"/>
    <col min="1844" max="2048" width="9" style="38"/>
    <col min="2049" max="2099" width="2.7265625" style="38" customWidth="1"/>
    <col min="2100" max="2304" width="9" style="38"/>
    <col min="2305" max="2355" width="2.7265625" style="38" customWidth="1"/>
    <col min="2356" max="2560" width="9" style="38"/>
    <col min="2561" max="2611" width="2.7265625" style="38" customWidth="1"/>
    <col min="2612" max="2816" width="9" style="38"/>
    <col min="2817" max="2867" width="2.7265625" style="38" customWidth="1"/>
    <col min="2868" max="3072" width="9" style="38"/>
    <col min="3073" max="3123" width="2.7265625" style="38" customWidth="1"/>
    <col min="3124" max="3328" width="9" style="38"/>
    <col min="3329" max="3379" width="2.7265625" style="38" customWidth="1"/>
    <col min="3380" max="3584" width="9" style="38"/>
    <col min="3585" max="3635" width="2.7265625" style="38" customWidth="1"/>
    <col min="3636" max="3840" width="9" style="38"/>
    <col min="3841" max="3891" width="2.7265625" style="38" customWidth="1"/>
    <col min="3892" max="4096" width="9" style="38"/>
    <col min="4097" max="4147" width="2.7265625" style="38" customWidth="1"/>
    <col min="4148" max="4352" width="9" style="38"/>
    <col min="4353" max="4403" width="2.7265625" style="38" customWidth="1"/>
    <col min="4404" max="4608" width="9" style="38"/>
    <col min="4609" max="4659" width="2.7265625" style="38" customWidth="1"/>
    <col min="4660" max="4864" width="9" style="38"/>
    <col min="4865" max="4915" width="2.7265625" style="38" customWidth="1"/>
    <col min="4916" max="5120" width="9" style="38"/>
    <col min="5121" max="5171" width="2.7265625" style="38" customWidth="1"/>
    <col min="5172" max="5376" width="9" style="38"/>
    <col min="5377" max="5427" width="2.7265625" style="38" customWidth="1"/>
    <col min="5428" max="5632" width="9" style="38"/>
    <col min="5633" max="5683" width="2.7265625" style="38" customWidth="1"/>
    <col min="5684" max="5888" width="9" style="38"/>
    <col min="5889" max="5939" width="2.7265625" style="38" customWidth="1"/>
    <col min="5940" max="6144" width="9" style="38"/>
    <col min="6145" max="6195" width="2.7265625" style="38" customWidth="1"/>
    <col min="6196" max="6400" width="9" style="38"/>
    <col min="6401" max="6451" width="2.7265625" style="38" customWidth="1"/>
    <col min="6452" max="6656" width="9" style="38"/>
    <col min="6657" max="6707" width="2.7265625" style="38" customWidth="1"/>
    <col min="6708" max="6912" width="9" style="38"/>
    <col min="6913" max="6963" width="2.7265625" style="38" customWidth="1"/>
    <col min="6964" max="7168" width="9" style="38"/>
    <col min="7169" max="7219" width="2.7265625" style="38" customWidth="1"/>
    <col min="7220" max="7424" width="9" style="38"/>
    <col min="7425" max="7475" width="2.7265625" style="38" customWidth="1"/>
    <col min="7476" max="7680" width="9" style="38"/>
    <col min="7681" max="7731" width="2.7265625" style="38" customWidth="1"/>
    <col min="7732" max="7936" width="9" style="38"/>
    <col min="7937" max="7987" width="2.7265625" style="38" customWidth="1"/>
    <col min="7988" max="8192" width="9" style="38"/>
    <col min="8193" max="8243" width="2.7265625" style="38" customWidth="1"/>
    <col min="8244" max="8448" width="9" style="38"/>
    <col min="8449" max="8499" width="2.7265625" style="38" customWidth="1"/>
    <col min="8500" max="8704" width="9" style="38"/>
    <col min="8705" max="8755" width="2.7265625" style="38" customWidth="1"/>
    <col min="8756" max="8960" width="9" style="38"/>
    <col min="8961" max="9011" width="2.7265625" style="38" customWidth="1"/>
    <col min="9012" max="9216" width="9" style="38"/>
    <col min="9217" max="9267" width="2.7265625" style="38" customWidth="1"/>
    <col min="9268" max="9472" width="9" style="38"/>
    <col min="9473" max="9523" width="2.7265625" style="38" customWidth="1"/>
    <col min="9524" max="9728" width="9" style="38"/>
    <col min="9729" max="9779" width="2.7265625" style="38" customWidth="1"/>
    <col min="9780" max="9984" width="9" style="38"/>
    <col min="9985" max="10035" width="2.7265625" style="38" customWidth="1"/>
    <col min="10036" max="10240" width="9" style="38"/>
    <col min="10241" max="10291" width="2.7265625" style="38" customWidth="1"/>
    <col min="10292" max="10496" width="9" style="38"/>
    <col min="10497" max="10547" width="2.7265625" style="38" customWidth="1"/>
    <col min="10548" max="10752" width="9" style="38"/>
    <col min="10753" max="10803" width="2.7265625" style="38" customWidth="1"/>
    <col min="10804" max="11008" width="9" style="38"/>
    <col min="11009" max="11059" width="2.7265625" style="38" customWidth="1"/>
    <col min="11060" max="11264" width="9" style="38"/>
    <col min="11265" max="11315" width="2.7265625" style="38" customWidth="1"/>
    <col min="11316" max="11520" width="9" style="38"/>
    <col min="11521" max="11571" width="2.7265625" style="38" customWidth="1"/>
    <col min="11572" max="11776" width="9" style="38"/>
    <col min="11777" max="11827" width="2.7265625" style="38" customWidth="1"/>
    <col min="11828" max="12032" width="9" style="38"/>
    <col min="12033" max="12083" width="2.7265625" style="38" customWidth="1"/>
    <col min="12084" max="12288" width="9" style="38"/>
    <col min="12289" max="12339" width="2.7265625" style="38" customWidth="1"/>
    <col min="12340" max="12544" width="9" style="38"/>
    <col min="12545" max="12595" width="2.7265625" style="38" customWidth="1"/>
    <col min="12596" max="12800" width="9" style="38"/>
    <col min="12801" max="12851" width="2.7265625" style="38" customWidth="1"/>
    <col min="12852" max="13056" width="9" style="38"/>
    <col min="13057" max="13107" width="2.7265625" style="38" customWidth="1"/>
    <col min="13108" max="13312" width="9" style="38"/>
    <col min="13313" max="13363" width="2.7265625" style="38" customWidth="1"/>
    <col min="13364" max="13568" width="9" style="38"/>
    <col min="13569" max="13619" width="2.7265625" style="38" customWidth="1"/>
    <col min="13620" max="13824" width="9" style="38"/>
    <col min="13825" max="13875" width="2.7265625" style="38" customWidth="1"/>
    <col min="13876" max="14080" width="9" style="38"/>
    <col min="14081" max="14131" width="2.7265625" style="38" customWidth="1"/>
    <col min="14132" max="14336" width="9" style="38"/>
    <col min="14337" max="14387" width="2.7265625" style="38" customWidth="1"/>
    <col min="14388" max="14592" width="9" style="38"/>
    <col min="14593" max="14643" width="2.7265625" style="38" customWidth="1"/>
    <col min="14644" max="14848" width="9" style="38"/>
    <col min="14849" max="14899" width="2.7265625" style="38" customWidth="1"/>
    <col min="14900" max="15104" width="9" style="38"/>
    <col min="15105" max="15155" width="2.7265625" style="38" customWidth="1"/>
    <col min="15156" max="15360" width="9" style="38"/>
    <col min="15361" max="15411" width="2.7265625" style="38" customWidth="1"/>
    <col min="15412" max="15616" width="9" style="38"/>
    <col min="15617" max="15667" width="2.7265625" style="38" customWidth="1"/>
    <col min="15668" max="15872" width="9" style="38"/>
    <col min="15873" max="15923" width="2.7265625" style="38" customWidth="1"/>
    <col min="15924" max="16128" width="9" style="38"/>
    <col min="16129" max="16179" width="2.7265625" style="38" customWidth="1"/>
    <col min="16180" max="16384" width="9" style="38"/>
  </cols>
  <sheetData>
    <row r="1" spans="1:52" s="39" customFormat="1" ht="13.5" customHeight="1">
      <c r="A1" s="703" t="str">
        <f>表紙!V27 &amp; CHAR(10) &amp;表紙!AF27</f>
        <v>MCFrameXA
6.3.1.3</v>
      </c>
      <c r="B1" s="704"/>
      <c r="C1" s="704"/>
      <c r="D1" s="704"/>
      <c r="E1" s="704"/>
      <c r="F1" s="709" t="s">
        <v>763</v>
      </c>
      <c r="G1" s="710"/>
      <c r="H1" s="710"/>
      <c r="I1" s="710"/>
      <c r="J1" s="710"/>
      <c r="K1" s="725" t="s">
        <v>40</v>
      </c>
      <c r="L1" s="725"/>
      <c r="M1" s="725"/>
      <c r="N1" s="725"/>
      <c r="O1" s="660" t="s">
        <v>27</v>
      </c>
      <c r="P1" s="661"/>
      <c r="Q1" s="661"/>
      <c r="R1" s="661"/>
      <c r="S1" s="662">
        <f>顧客名</f>
        <v>0</v>
      </c>
      <c r="T1" s="663"/>
      <c r="U1" s="663"/>
      <c r="V1" s="663"/>
      <c r="W1" s="663"/>
      <c r="X1" s="663"/>
      <c r="Y1" s="664"/>
      <c r="Z1" s="665" t="s">
        <v>28</v>
      </c>
      <c r="AA1" s="666"/>
      <c r="AB1" s="666"/>
      <c r="AC1" s="667"/>
      <c r="AD1" s="662" t="str">
        <f>システム名</f>
        <v>MCFrameXA</v>
      </c>
      <c r="AE1" s="663"/>
      <c r="AF1" s="663"/>
      <c r="AG1" s="663"/>
      <c r="AH1" s="664"/>
      <c r="AI1" s="693" t="s">
        <v>29</v>
      </c>
      <c r="AJ1" s="693"/>
      <c r="AK1" s="693"/>
      <c r="AL1" s="694">
        <f>作成者</f>
        <v>0</v>
      </c>
      <c r="AM1" s="694"/>
      <c r="AN1" s="694"/>
      <c r="AO1" s="693" t="s">
        <v>30</v>
      </c>
      <c r="AP1" s="693"/>
      <c r="AQ1" s="693"/>
      <c r="AR1" s="699">
        <f>作成日</f>
        <v>0</v>
      </c>
      <c r="AS1" s="699"/>
      <c r="AT1" s="699"/>
      <c r="AU1" s="699"/>
      <c r="AV1" s="683" t="s">
        <v>4</v>
      </c>
      <c r="AW1" s="684"/>
      <c r="AX1" s="684"/>
      <c r="AY1" s="685"/>
      <c r="AZ1" s="298"/>
    </row>
    <row r="2" spans="1:52" s="39" customFormat="1" ht="12" customHeight="1">
      <c r="A2" s="705"/>
      <c r="B2" s="706"/>
      <c r="C2" s="706"/>
      <c r="D2" s="706"/>
      <c r="E2" s="706"/>
      <c r="F2" s="711"/>
      <c r="G2" s="711"/>
      <c r="H2" s="711"/>
      <c r="I2" s="711"/>
      <c r="J2" s="711"/>
      <c r="K2" s="719" t="str">
        <f ca="1">RIGHT(CELL("filename",A2),LEN(CELL("filename",A2))-FIND("]",CELL("filename",A2)))</f>
        <v>処理概要</v>
      </c>
      <c r="L2" s="720"/>
      <c r="M2" s="720"/>
      <c r="N2" s="721"/>
      <c r="O2" s="675" t="s">
        <v>31</v>
      </c>
      <c r="P2" s="676"/>
      <c r="Q2" s="676"/>
      <c r="R2" s="676"/>
      <c r="S2" s="677" t="str">
        <f>プロジェクト名</f>
        <v>生産管理システム（生産管理・調達系）</v>
      </c>
      <c r="T2" s="678"/>
      <c r="U2" s="678"/>
      <c r="V2" s="678"/>
      <c r="W2" s="678"/>
      <c r="X2" s="678"/>
      <c r="Y2" s="679"/>
      <c r="Z2" s="680" t="s">
        <v>32</v>
      </c>
      <c r="AA2" s="681"/>
      <c r="AB2" s="681"/>
      <c r="AC2" s="682"/>
      <c r="AD2" s="700" t="str">
        <f>サブシステム名</f>
        <v>生産管理</v>
      </c>
      <c r="AE2" s="701"/>
      <c r="AF2" s="701"/>
      <c r="AG2" s="701"/>
      <c r="AH2" s="702"/>
      <c r="AI2" s="696" t="s">
        <v>33</v>
      </c>
      <c r="AJ2" s="696"/>
      <c r="AK2" s="696"/>
      <c r="AL2" s="695">
        <f>最終更新者</f>
        <v>0</v>
      </c>
      <c r="AM2" s="695"/>
      <c r="AN2" s="695"/>
      <c r="AO2" s="696" t="s">
        <v>34</v>
      </c>
      <c r="AP2" s="696"/>
      <c r="AQ2" s="696"/>
      <c r="AR2" s="686">
        <f>最終更新日</f>
        <v>0</v>
      </c>
      <c r="AS2" s="686"/>
      <c r="AT2" s="686"/>
      <c r="AU2" s="686"/>
      <c r="AV2" s="687" t="str">
        <f>文書番号</f>
        <v>J052-0-0001</v>
      </c>
      <c r="AW2" s="688"/>
      <c r="AX2" s="688"/>
      <c r="AY2" s="689"/>
      <c r="AZ2" s="298"/>
    </row>
    <row r="3" spans="1:52" s="39" customFormat="1" ht="13.5" customHeight="1" thickBot="1">
      <c r="A3" s="707"/>
      <c r="B3" s="708"/>
      <c r="C3" s="708"/>
      <c r="D3" s="708"/>
      <c r="E3" s="708"/>
      <c r="F3" s="712"/>
      <c r="G3" s="712"/>
      <c r="H3" s="712"/>
      <c r="I3" s="712"/>
      <c r="J3" s="712"/>
      <c r="K3" s="722"/>
      <c r="L3" s="723"/>
      <c r="M3" s="723"/>
      <c r="N3" s="724"/>
      <c r="O3" s="668" t="s">
        <v>35</v>
      </c>
      <c r="P3" s="668"/>
      <c r="Q3" s="668"/>
      <c r="R3" s="668"/>
      <c r="S3" s="669" t="str">
        <f>機能ＩＤ</f>
        <v>SBP0020</v>
      </c>
      <c r="T3" s="670"/>
      <c r="U3" s="670"/>
      <c r="V3" s="670"/>
      <c r="W3" s="670"/>
      <c r="X3" s="670"/>
      <c r="Y3" s="671"/>
      <c r="Z3" s="672" t="s">
        <v>36</v>
      </c>
      <c r="AA3" s="673"/>
      <c r="AB3" s="673"/>
      <c r="AC3" s="674"/>
      <c r="AD3" s="669" t="str">
        <f>機能名称</f>
        <v>発注一覧登録</v>
      </c>
      <c r="AE3" s="670"/>
      <c r="AF3" s="670"/>
      <c r="AG3" s="670"/>
      <c r="AH3" s="670"/>
      <c r="AI3" s="670"/>
      <c r="AJ3" s="670"/>
      <c r="AK3" s="670"/>
      <c r="AL3" s="670"/>
      <c r="AM3" s="670"/>
      <c r="AN3" s="671"/>
      <c r="AO3" s="697" t="s">
        <v>37</v>
      </c>
      <c r="AP3" s="697"/>
      <c r="AQ3" s="697"/>
      <c r="AR3" s="698" t="e">
        <f>Rev.</f>
        <v>#REF!</v>
      </c>
      <c r="AS3" s="698"/>
      <c r="AT3" s="698"/>
      <c r="AU3" s="698"/>
      <c r="AV3" s="690"/>
      <c r="AW3" s="691"/>
      <c r="AX3" s="691"/>
      <c r="AY3" s="692"/>
      <c r="AZ3" s="298"/>
    </row>
    <row r="4" spans="1:52" ht="6.75" customHeight="1" thickBot="1"/>
    <row r="5" spans="1:52" ht="13.5" customHeight="1" thickBot="1">
      <c r="A5" s="37" t="s">
        <v>42</v>
      </c>
      <c r="B5" s="35" t="s">
        <v>66</v>
      </c>
      <c r="C5" s="36"/>
      <c r="D5" s="36"/>
      <c r="E5" s="36"/>
      <c r="F5" s="36"/>
      <c r="G5" s="36"/>
      <c r="H5" s="36"/>
      <c r="I5" s="34"/>
      <c r="J5" s="715" t="s">
        <v>44</v>
      </c>
      <c r="K5" s="716"/>
      <c r="L5" s="35" t="s">
        <v>39</v>
      </c>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4"/>
      <c r="AR5" s="210" t="s">
        <v>113</v>
      </c>
      <c r="AS5" s="36"/>
      <c r="AT5" s="36"/>
      <c r="AU5" s="36"/>
      <c r="AV5" s="36"/>
      <c r="AW5" s="36"/>
      <c r="AX5" s="36"/>
      <c r="AY5" s="33"/>
    </row>
    <row r="6" spans="1:52" ht="13.5" customHeight="1" thickTop="1">
      <c r="A6" s="44">
        <v>1</v>
      </c>
      <c r="B6" s="47" t="s">
        <v>55</v>
      </c>
      <c r="C6" s="48"/>
      <c r="D6" s="48"/>
      <c r="E6" s="48"/>
      <c r="F6" s="48"/>
      <c r="G6" s="48"/>
      <c r="H6" s="48"/>
      <c r="I6" s="48"/>
      <c r="J6" s="42"/>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211"/>
      <c r="AS6" s="48"/>
      <c r="AT6" s="48"/>
      <c r="AU6" s="48"/>
      <c r="AV6" s="48"/>
      <c r="AW6" s="48"/>
      <c r="AX6" s="48"/>
      <c r="AY6" s="137"/>
    </row>
    <row r="7" spans="1:52" ht="13.5" customHeight="1">
      <c r="A7" s="62"/>
      <c r="B7" s="50"/>
      <c r="C7" s="49"/>
      <c r="D7" s="49"/>
      <c r="E7" s="49"/>
      <c r="F7" s="49"/>
      <c r="G7" s="49"/>
      <c r="H7" s="49"/>
      <c r="I7" s="51"/>
      <c r="J7" s="717" t="s">
        <v>704</v>
      </c>
      <c r="K7" s="718"/>
      <c r="L7" s="50" t="s">
        <v>93</v>
      </c>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51"/>
      <c r="AR7" s="208"/>
      <c r="AS7" s="49"/>
      <c r="AT7" s="49"/>
      <c r="AU7" s="49"/>
      <c r="AV7" s="49"/>
      <c r="AW7" s="49"/>
      <c r="AX7" s="49"/>
      <c r="AY7" s="52"/>
    </row>
    <row r="8" spans="1:52" ht="13.5" customHeight="1">
      <c r="A8" s="62"/>
      <c r="B8" s="50"/>
      <c r="C8" s="49"/>
      <c r="D8" s="49"/>
      <c r="E8" s="49"/>
      <c r="F8" s="49"/>
      <c r="G8" s="49"/>
      <c r="H8" s="49"/>
      <c r="I8" s="51"/>
      <c r="J8" s="302"/>
      <c r="K8" s="303"/>
      <c r="L8" s="50"/>
      <c r="M8" s="49" t="s">
        <v>703</v>
      </c>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51"/>
      <c r="AR8" s="208"/>
      <c r="AS8" s="49"/>
      <c r="AT8" s="49"/>
      <c r="AU8" s="49"/>
      <c r="AV8" s="49"/>
      <c r="AW8" s="49"/>
      <c r="AX8" s="49"/>
      <c r="AY8" s="52"/>
    </row>
    <row r="9" spans="1:52" ht="13.5" customHeight="1">
      <c r="A9" s="62"/>
      <c r="B9" s="50"/>
      <c r="C9" s="49"/>
      <c r="D9" s="49"/>
      <c r="E9" s="49"/>
      <c r="F9" s="49"/>
      <c r="G9" s="49"/>
      <c r="H9" s="49"/>
      <c r="I9" s="51"/>
      <c r="J9" s="656"/>
      <c r="K9" s="657"/>
      <c r="L9" s="50"/>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51"/>
      <c r="AR9" s="208"/>
      <c r="AS9" s="49"/>
      <c r="AT9" s="49"/>
      <c r="AU9" s="49"/>
      <c r="AV9" s="49"/>
      <c r="AW9" s="49"/>
      <c r="AX9" s="49"/>
      <c r="AY9" s="52"/>
    </row>
    <row r="10" spans="1:52" ht="13.5" customHeight="1">
      <c r="A10" s="43">
        <v>2</v>
      </c>
      <c r="B10" s="53" t="s">
        <v>45</v>
      </c>
      <c r="C10" s="54"/>
      <c r="D10" s="54"/>
      <c r="E10" s="54"/>
      <c r="F10" s="54"/>
      <c r="G10" s="54"/>
      <c r="H10" s="54"/>
      <c r="I10" s="54"/>
      <c r="J10" s="41"/>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212"/>
      <c r="AS10" s="54"/>
      <c r="AT10" s="54"/>
      <c r="AU10" s="54"/>
      <c r="AV10" s="54"/>
      <c r="AW10" s="54"/>
      <c r="AX10" s="54"/>
      <c r="AY10" s="55"/>
    </row>
    <row r="11" spans="1:52" ht="13.5" customHeight="1">
      <c r="A11" s="62"/>
      <c r="B11" s="101"/>
      <c r="C11" s="49"/>
      <c r="D11" s="49"/>
      <c r="E11" s="49"/>
      <c r="F11" s="49"/>
      <c r="G11" s="49"/>
      <c r="H11" s="49"/>
      <c r="I11" s="51"/>
      <c r="J11" s="717" t="s">
        <v>705</v>
      </c>
      <c r="K11" s="718"/>
      <c r="L11" s="101" t="s">
        <v>369</v>
      </c>
      <c r="M11" s="102"/>
      <c r="N11" s="102"/>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51"/>
      <c r="AR11" s="208"/>
      <c r="AS11" s="49"/>
      <c r="AT11" s="49"/>
      <c r="AU11" s="49"/>
      <c r="AV11" s="49"/>
      <c r="AW11" s="49"/>
      <c r="AX11" s="49"/>
      <c r="AY11" s="52" t="s">
        <v>200</v>
      </c>
    </row>
    <row r="12" spans="1:52" ht="13.5" customHeight="1">
      <c r="A12" s="62"/>
      <c r="B12" s="101"/>
      <c r="C12" s="49"/>
      <c r="D12" s="49"/>
      <c r="E12" s="49"/>
      <c r="F12" s="49"/>
      <c r="G12" s="49"/>
      <c r="H12" s="49"/>
      <c r="I12" s="51"/>
      <c r="J12" s="302"/>
      <c r="K12" s="303"/>
      <c r="L12" s="101"/>
      <c r="M12" s="102" t="s">
        <v>166</v>
      </c>
      <c r="N12" s="102"/>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51"/>
      <c r="AR12" s="208"/>
      <c r="AS12" s="49"/>
      <c r="AT12" s="49"/>
      <c r="AU12" s="49"/>
      <c r="AV12" s="49"/>
      <c r="AW12" s="49"/>
      <c r="AX12" s="49"/>
      <c r="AY12" s="52"/>
    </row>
    <row r="13" spans="1:52" ht="13.5" customHeight="1">
      <c r="A13" s="62"/>
      <c r="B13" s="101"/>
      <c r="C13" s="49"/>
      <c r="D13" s="49"/>
      <c r="E13" s="49"/>
      <c r="F13" s="49"/>
      <c r="G13" s="49"/>
      <c r="H13" s="49"/>
      <c r="I13" s="51"/>
      <c r="J13" s="302"/>
      <c r="K13" s="303"/>
      <c r="L13" s="101"/>
      <c r="M13" s="102" t="s">
        <v>745</v>
      </c>
      <c r="N13" s="102"/>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51"/>
      <c r="AR13" s="208"/>
      <c r="AS13" s="49"/>
      <c r="AT13" s="49"/>
      <c r="AU13" s="49"/>
      <c r="AV13" s="49"/>
      <c r="AW13" s="49"/>
      <c r="AX13" s="49"/>
      <c r="AY13" s="52"/>
    </row>
    <row r="14" spans="1:52" ht="13.5" customHeight="1">
      <c r="A14" s="62"/>
      <c r="B14" s="101"/>
      <c r="C14" s="49"/>
      <c r="D14" s="49"/>
      <c r="E14" s="49"/>
      <c r="F14" s="49"/>
      <c r="G14" s="49"/>
      <c r="H14" s="49"/>
      <c r="I14" s="51"/>
      <c r="J14" s="302"/>
      <c r="K14" s="303"/>
      <c r="L14" s="101"/>
      <c r="M14" s="102"/>
      <c r="N14" s="102"/>
      <c r="O14" s="49"/>
      <c r="P14" s="49"/>
      <c r="Q14" s="49"/>
      <c r="R14" s="49"/>
      <c r="S14" s="49"/>
      <c r="T14" s="49"/>
      <c r="U14" s="49"/>
      <c r="V14" s="49"/>
      <c r="W14" s="49"/>
      <c r="X14" s="49"/>
      <c r="Y14" s="49"/>
      <c r="Z14" s="49"/>
      <c r="AA14" s="49"/>
      <c r="AB14" s="49"/>
      <c r="AC14" s="49"/>
      <c r="AD14" s="49"/>
      <c r="AE14" s="49"/>
      <c r="AF14" s="49"/>
      <c r="AG14" s="49"/>
      <c r="AH14" s="49"/>
      <c r="AI14" s="49" t="s">
        <v>126</v>
      </c>
      <c r="AJ14" s="49"/>
      <c r="AK14" s="49"/>
      <c r="AL14" s="49"/>
      <c r="AM14" s="205"/>
      <c r="AN14" s="205"/>
      <c r="AO14" s="205"/>
      <c r="AP14" s="49"/>
      <c r="AQ14" s="51"/>
      <c r="AR14" s="208"/>
      <c r="AS14" s="49"/>
      <c r="AT14" s="49"/>
      <c r="AU14" s="49"/>
      <c r="AV14" s="49"/>
      <c r="AW14" s="49"/>
      <c r="AX14" s="49"/>
      <c r="AY14" s="52"/>
    </row>
    <row r="15" spans="1:52" ht="13.5" customHeight="1">
      <c r="A15" s="62"/>
      <c r="B15" s="101"/>
      <c r="C15" s="49"/>
      <c r="D15" s="49"/>
      <c r="E15" s="49"/>
      <c r="F15" s="49"/>
      <c r="G15" s="49"/>
      <c r="H15" s="49"/>
      <c r="I15" s="51"/>
      <c r="J15" s="302"/>
      <c r="K15" s="303"/>
      <c r="L15" s="101"/>
      <c r="M15" s="125" t="s">
        <v>98</v>
      </c>
      <c r="N15" s="120"/>
      <c r="O15" s="120"/>
      <c r="P15" s="120"/>
      <c r="Q15" s="121"/>
      <c r="R15" s="30" t="s">
        <v>132</v>
      </c>
      <c r="S15" s="49"/>
      <c r="T15" s="49"/>
      <c r="U15" s="49"/>
      <c r="V15" s="49"/>
      <c r="W15" s="49"/>
      <c r="X15" s="49"/>
      <c r="Y15" s="49"/>
      <c r="Z15" s="49"/>
      <c r="AA15" s="49"/>
      <c r="AB15" s="49"/>
      <c r="AC15" s="49"/>
      <c r="AD15" s="49"/>
      <c r="AE15" s="49"/>
      <c r="AF15" s="49"/>
      <c r="AG15" s="49"/>
      <c r="AH15" s="49"/>
      <c r="AI15" s="49" t="s">
        <v>138</v>
      </c>
      <c r="AJ15" s="49"/>
      <c r="AK15" s="49"/>
      <c r="AL15" s="49"/>
      <c r="AM15" s="205"/>
      <c r="AN15" s="205"/>
      <c r="AO15" s="205"/>
      <c r="AP15" s="49"/>
      <c r="AQ15" s="51"/>
      <c r="AR15" s="208"/>
      <c r="AS15" s="49"/>
      <c r="AT15" s="49"/>
      <c r="AU15" s="49"/>
      <c r="AV15" s="49"/>
      <c r="AW15" s="49"/>
      <c r="AX15" s="49"/>
      <c r="AY15" s="52"/>
    </row>
    <row r="16" spans="1:52" ht="13.5" customHeight="1">
      <c r="A16" s="62"/>
      <c r="B16" s="101"/>
      <c r="C16" s="49"/>
      <c r="D16" s="49"/>
      <c r="E16" s="49"/>
      <c r="F16" s="49"/>
      <c r="G16" s="49"/>
      <c r="H16" s="49"/>
      <c r="I16" s="51"/>
      <c r="J16" s="302"/>
      <c r="K16" s="303"/>
      <c r="L16" s="101"/>
      <c r="M16" s="125" t="s">
        <v>117</v>
      </c>
      <c r="N16" s="120"/>
      <c r="O16" s="120"/>
      <c r="P16" s="120"/>
      <c r="Q16" s="121"/>
      <c r="R16" s="49" t="s">
        <v>133</v>
      </c>
      <c r="S16" s="49"/>
      <c r="T16" s="49"/>
      <c r="U16" s="49"/>
      <c r="V16" s="49"/>
      <c r="W16" s="49"/>
      <c r="X16" s="49"/>
      <c r="Y16" s="49"/>
      <c r="Z16" s="49"/>
      <c r="AA16" s="49"/>
      <c r="AB16" s="49"/>
      <c r="AC16" s="49"/>
      <c r="AD16" s="49"/>
      <c r="AE16" s="49"/>
      <c r="AF16" s="49"/>
      <c r="AG16" s="49"/>
      <c r="AH16" s="49"/>
      <c r="AI16" s="126"/>
      <c r="AJ16" s="49" t="s">
        <v>188</v>
      </c>
      <c r="AK16" s="49"/>
      <c r="AL16" s="49"/>
      <c r="AM16" s="49"/>
      <c r="AN16" s="51"/>
      <c r="AO16" s="49"/>
      <c r="AP16" s="49"/>
      <c r="AQ16" s="51"/>
      <c r="AR16" s="208"/>
      <c r="AS16" s="49"/>
      <c r="AT16" s="49"/>
      <c r="AU16" s="49"/>
      <c r="AV16" s="49"/>
      <c r="AW16" s="49"/>
      <c r="AX16" s="49"/>
      <c r="AY16" s="52"/>
    </row>
    <row r="17" spans="1:55" ht="13.5" customHeight="1">
      <c r="A17" s="62"/>
      <c r="B17" s="101"/>
      <c r="C17" s="49"/>
      <c r="D17" s="49"/>
      <c r="E17" s="49"/>
      <c r="F17" s="49"/>
      <c r="G17" s="49"/>
      <c r="H17" s="49"/>
      <c r="I17" s="51"/>
      <c r="J17" s="302"/>
      <c r="K17" s="303"/>
      <c r="L17" s="101"/>
      <c r="M17" s="124" t="s">
        <v>99</v>
      </c>
      <c r="N17" s="283"/>
      <c r="O17" s="284"/>
      <c r="P17" s="284"/>
      <c r="Q17" s="285"/>
      <c r="R17" s="49" t="s">
        <v>139</v>
      </c>
      <c r="S17" s="49"/>
      <c r="T17" s="49"/>
      <c r="U17" s="49"/>
      <c r="V17" s="49"/>
      <c r="W17" s="49"/>
      <c r="X17" s="49"/>
      <c r="Y17" s="49"/>
      <c r="Z17" s="49"/>
      <c r="AA17" s="49"/>
      <c r="AB17" s="49"/>
      <c r="AC17" s="49"/>
      <c r="AD17" s="49"/>
      <c r="AE17" s="49"/>
      <c r="AF17" s="49"/>
      <c r="AG17" s="49"/>
      <c r="AH17" s="49"/>
      <c r="AI17" s="205"/>
      <c r="AJ17" s="205"/>
      <c r="AK17" s="205"/>
      <c r="AL17" s="205"/>
      <c r="AM17" s="205"/>
      <c r="AN17" s="205"/>
      <c r="AO17" s="205"/>
      <c r="AP17" s="205"/>
      <c r="AQ17" s="205"/>
      <c r="AR17" s="213"/>
      <c r="AS17" s="205"/>
      <c r="AT17" s="49"/>
      <c r="AU17" s="49"/>
      <c r="AV17" s="49"/>
      <c r="AW17" s="49"/>
      <c r="AX17" s="49"/>
      <c r="AY17" s="52"/>
    </row>
    <row r="18" spans="1:55" ht="13.5" customHeight="1">
      <c r="A18" s="62"/>
      <c r="B18" s="101"/>
      <c r="C18" s="49"/>
      <c r="D18" s="49"/>
      <c r="E18" s="49"/>
      <c r="F18" s="49"/>
      <c r="G18" s="49"/>
      <c r="H18" s="49"/>
      <c r="I18" s="51"/>
      <c r="J18" s="302"/>
      <c r="K18" s="303"/>
      <c r="L18" s="101"/>
      <c r="M18" s="101"/>
      <c r="N18" s="102"/>
      <c r="O18" s="49"/>
      <c r="P18" s="49"/>
      <c r="Q18" s="51"/>
      <c r="R18" s="49" t="s">
        <v>140</v>
      </c>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51"/>
      <c r="AR18" s="208"/>
      <c r="AS18" s="49"/>
      <c r="AT18" s="49"/>
      <c r="AU18" s="49"/>
      <c r="AV18" s="49"/>
      <c r="AW18" s="49"/>
      <c r="AX18" s="49"/>
      <c r="AY18" s="52"/>
    </row>
    <row r="19" spans="1:55" ht="13.5" customHeight="1">
      <c r="A19" s="62"/>
      <c r="B19" s="101"/>
      <c r="C19" s="49"/>
      <c r="D19" s="49"/>
      <c r="E19" s="49"/>
      <c r="F19" s="49"/>
      <c r="G19" s="49"/>
      <c r="H19" s="49"/>
      <c r="I19" s="51"/>
      <c r="J19" s="302"/>
      <c r="K19" s="303"/>
      <c r="L19" s="101"/>
      <c r="M19" s="101"/>
      <c r="N19" s="102"/>
      <c r="O19" s="49"/>
      <c r="P19" s="49"/>
      <c r="Q19" s="51"/>
      <c r="R19" s="49" t="s">
        <v>284</v>
      </c>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51"/>
      <c r="AR19" s="208"/>
      <c r="AS19" s="49"/>
      <c r="AT19" s="49"/>
      <c r="AU19" s="49"/>
      <c r="AV19" s="49"/>
      <c r="AW19" s="49"/>
      <c r="AX19" s="49"/>
      <c r="AY19" s="52"/>
    </row>
    <row r="20" spans="1:55" ht="13.5" customHeight="1">
      <c r="A20" s="62"/>
      <c r="B20" s="101"/>
      <c r="C20" s="49"/>
      <c r="D20" s="49"/>
      <c r="E20" s="49"/>
      <c r="F20" s="49"/>
      <c r="G20" s="49"/>
      <c r="H20" s="49"/>
      <c r="I20" s="51"/>
      <c r="J20" s="302"/>
      <c r="K20" s="303"/>
      <c r="L20" s="101"/>
      <c r="M20" s="101"/>
      <c r="N20" s="102"/>
      <c r="O20" s="49"/>
      <c r="P20" s="49"/>
      <c r="Q20" s="51"/>
      <c r="R20" s="49" t="s">
        <v>459</v>
      </c>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51"/>
      <c r="AR20" s="49"/>
      <c r="AS20" s="49"/>
      <c r="AT20" s="49"/>
      <c r="AU20" s="49"/>
      <c r="AV20" s="49"/>
      <c r="AW20" s="49"/>
      <c r="AX20" s="49"/>
      <c r="AY20" s="52"/>
      <c r="AZ20" s="299">
        <v>0.6</v>
      </c>
      <c r="BB20" s="38" t="s">
        <v>431</v>
      </c>
    </row>
    <row r="21" spans="1:55" ht="13.5" customHeight="1">
      <c r="A21" s="62"/>
      <c r="B21" s="101"/>
      <c r="C21" s="49"/>
      <c r="D21" s="49"/>
      <c r="E21" s="49"/>
      <c r="F21" s="49"/>
      <c r="G21" s="49"/>
      <c r="H21" s="49"/>
      <c r="I21" s="51"/>
      <c r="J21" s="390"/>
      <c r="K21" s="391"/>
      <c r="L21" s="101"/>
      <c r="M21" s="101"/>
      <c r="N21" s="102"/>
      <c r="O21" s="49"/>
      <c r="P21" s="49"/>
      <c r="Q21" s="51"/>
      <c r="R21" s="49" t="s">
        <v>141</v>
      </c>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51"/>
      <c r="AR21" s="49"/>
      <c r="AS21" s="49"/>
      <c r="AT21" s="49"/>
      <c r="AU21" s="49"/>
      <c r="AV21" s="49"/>
      <c r="AW21" s="49"/>
      <c r="AX21" s="49"/>
      <c r="AY21" s="52"/>
    </row>
    <row r="22" spans="1:55" ht="13.5" customHeight="1">
      <c r="A22" s="62"/>
      <c r="B22" s="101"/>
      <c r="C22" s="49"/>
      <c r="D22" s="49"/>
      <c r="E22" s="49"/>
      <c r="F22" s="49"/>
      <c r="G22" s="49"/>
      <c r="H22" s="49"/>
      <c r="I22" s="51"/>
      <c r="J22" s="302"/>
      <c r="K22" s="303"/>
      <c r="L22" s="101"/>
      <c r="M22" s="104"/>
      <c r="N22" s="105"/>
      <c r="O22" s="57"/>
      <c r="P22" s="57"/>
      <c r="Q22" s="59"/>
      <c r="R22" s="49" t="s">
        <v>961</v>
      </c>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51"/>
      <c r="AR22" s="208"/>
      <c r="AS22" s="49"/>
      <c r="AT22" s="49"/>
      <c r="AU22" s="49"/>
      <c r="AV22" s="49"/>
      <c r="AW22" s="49"/>
      <c r="AX22" s="49"/>
      <c r="AY22" s="52"/>
      <c r="BC22" s="38">
        <v>2.2999999999999998</v>
      </c>
    </row>
    <row r="23" spans="1:55" ht="13.5" customHeight="1">
      <c r="A23" s="62"/>
      <c r="B23" s="101"/>
      <c r="C23" s="49"/>
      <c r="D23" s="49"/>
      <c r="E23" s="49"/>
      <c r="F23" s="49"/>
      <c r="G23" s="49"/>
      <c r="H23" s="49"/>
      <c r="I23" s="51"/>
      <c r="J23" s="302"/>
      <c r="K23" s="303"/>
      <c r="L23" s="101"/>
      <c r="M23" s="122" t="s">
        <v>115</v>
      </c>
      <c r="N23" s="123"/>
      <c r="O23" s="112"/>
      <c r="P23" s="112"/>
      <c r="Q23" s="113"/>
      <c r="R23" s="49" t="s">
        <v>142</v>
      </c>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51"/>
      <c r="AR23" s="208"/>
      <c r="AS23" s="49"/>
      <c r="AT23" s="49"/>
      <c r="AU23" s="49"/>
      <c r="AV23" s="49"/>
      <c r="AW23" s="49"/>
      <c r="AX23" s="49"/>
      <c r="AY23" s="52"/>
    </row>
    <row r="24" spans="1:55" ht="13.5" customHeight="1">
      <c r="A24" s="62"/>
      <c r="B24" s="101"/>
      <c r="C24" s="49"/>
      <c r="D24" s="49"/>
      <c r="E24" s="49"/>
      <c r="F24" s="49"/>
      <c r="G24" s="49"/>
      <c r="H24" s="49"/>
      <c r="I24" s="51"/>
      <c r="J24" s="302"/>
      <c r="K24" s="303"/>
      <c r="L24" s="101"/>
      <c r="M24" s="124" t="s">
        <v>438</v>
      </c>
      <c r="N24" s="283"/>
      <c r="O24" s="284"/>
      <c r="P24" s="284"/>
      <c r="Q24" s="285"/>
      <c r="R24" s="102" t="s">
        <v>439</v>
      </c>
      <c r="S24" s="102"/>
      <c r="T24" s="102"/>
      <c r="U24" s="102"/>
      <c r="V24" s="102"/>
      <c r="W24" s="102"/>
      <c r="X24" s="102"/>
      <c r="Y24" s="102"/>
      <c r="Z24" s="102"/>
      <c r="AA24" s="49"/>
      <c r="AB24" s="49"/>
      <c r="AC24" s="49"/>
      <c r="AD24" s="49"/>
      <c r="AE24" s="49"/>
      <c r="AF24" s="49"/>
      <c r="AG24" s="49"/>
      <c r="AH24" s="49"/>
      <c r="AI24" s="49"/>
      <c r="AJ24" s="49"/>
      <c r="AK24" s="49"/>
      <c r="AL24" s="49"/>
      <c r="AM24" s="49"/>
      <c r="AN24" s="49"/>
      <c r="AO24" s="49"/>
      <c r="AP24" s="49"/>
      <c r="AQ24" s="51"/>
      <c r="AR24" s="208"/>
      <c r="AS24" s="49"/>
      <c r="AT24" s="49"/>
      <c r="AU24" s="49"/>
      <c r="AV24" s="49"/>
      <c r="AW24" s="49"/>
      <c r="AX24" s="49"/>
      <c r="AY24" s="52"/>
    </row>
    <row r="25" spans="1:55" ht="13.5" customHeight="1">
      <c r="A25" s="62"/>
      <c r="B25" s="101"/>
      <c r="C25" s="49"/>
      <c r="D25" s="49"/>
      <c r="E25" s="49"/>
      <c r="F25" s="49"/>
      <c r="G25" s="49"/>
      <c r="H25" s="49"/>
      <c r="I25" s="51"/>
      <c r="J25" s="390"/>
      <c r="K25" s="391"/>
      <c r="L25" s="101"/>
      <c r="M25" s="104"/>
      <c r="N25" s="105"/>
      <c r="O25" s="57"/>
      <c r="P25" s="57"/>
      <c r="Q25" s="59"/>
      <c r="R25" s="102" t="s">
        <v>962</v>
      </c>
      <c r="S25" s="102"/>
      <c r="T25" s="102"/>
      <c r="U25" s="102"/>
      <c r="V25" s="102"/>
      <c r="W25" s="102"/>
      <c r="X25" s="102"/>
      <c r="Y25" s="102"/>
      <c r="Z25" s="102"/>
      <c r="AA25" s="49"/>
      <c r="AB25" s="49"/>
      <c r="AC25" s="49"/>
      <c r="AD25" s="49"/>
      <c r="AE25" s="49"/>
      <c r="AF25" s="49"/>
      <c r="AG25" s="49"/>
      <c r="AH25" s="49"/>
      <c r="AI25" s="49"/>
      <c r="AJ25" s="49"/>
      <c r="AK25" s="49"/>
      <c r="AL25" s="49"/>
      <c r="AM25" s="49"/>
      <c r="AN25" s="49"/>
      <c r="AO25" s="49"/>
      <c r="AP25" s="49"/>
      <c r="AQ25" s="51"/>
      <c r="AR25" s="208"/>
      <c r="AS25" s="49"/>
      <c r="AT25" s="49"/>
      <c r="AU25" s="49"/>
      <c r="AV25" s="49"/>
      <c r="AW25" s="49"/>
      <c r="AX25" s="49"/>
      <c r="AY25" s="52"/>
      <c r="BC25" s="38">
        <v>2.2999999999999998</v>
      </c>
    </row>
    <row r="26" spans="1:55" ht="13.5" customHeight="1">
      <c r="A26" s="62"/>
      <c r="B26" s="101"/>
      <c r="C26" s="49"/>
      <c r="D26" s="49"/>
      <c r="E26" s="49"/>
      <c r="F26" s="49"/>
      <c r="G26" s="49"/>
      <c r="H26" s="49"/>
      <c r="I26" s="51"/>
      <c r="J26" s="302"/>
      <c r="K26" s="303"/>
      <c r="L26" s="101"/>
      <c r="M26" s="122" t="s">
        <v>127</v>
      </c>
      <c r="N26" s="123"/>
      <c r="O26" s="112"/>
      <c r="P26" s="112"/>
      <c r="Q26" s="113"/>
      <c r="R26" s="49" t="s">
        <v>143</v>
      </c>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51"/>
      <c r="AR26" s="208"/>
      <c r="AS26" s="49"/>
      <c r="AT26" s="49"/>
      <c r="AU26" s="49"/>
      <c r="AV26" s="49"/>
      <c r="AW26" s="49"/>
      <c r="AX26" s="49"/>
      <c r="AY26" s="52"/>
    </row>
    <row r="27" spans="1:55" ht="13.5" customHeight="1">
      <c r="A27" s="62"/>
      <c r="B27" s="50"/>
      <c r="C27" s="49"/>
      <c r="D27" s="49"/>
      <c r="E27" s="49"/>
      <c r="F27" s="49"/>
      <c r="G27" s="49"/>
      <c r="H27" s="49"/>
      <c r="I27" s="51"/>
      <c r="J27" s="302"/>
      <c r="K27" s="303"/>
      <c r="L27" s="101"/>
      <c r="M27" s="124" t="s">
        <v>128</v>
      </c>
      <c r="N27" s="283"/>
      <c r="O27" s="284"/>
      <c r="P27" s="284"/>
      <c r="Q27" s="285"/>
      <c r="R27" s="49" t="s">
        <v>144</v>
      </c>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51"/>
      <c r="AR27" s="208"/>
      <c r="AS27" s="49"/>
      <c r="AT27" s="49"/>
      <c r="AU27" s="49"/>
      <c r="AV27" s="49"/>
      <c r="AW27" s="49"/>
      <c r="AX27" s="49"/>
      <c r="AY27" s="52"/>
    </row>
    <row r="28" spans="1:55" ht="13.5" customHeight="1">
      <c r="A28" s="62"/>
      <c r="B28" s="50"/>
      <c r="C28" s="49"/>
      <c r="D28" s="49"/>
      <c r="E28" s="49"/>
      <c r="F28" s="49"/>
      <c r="G28" s="49"/>
      <c r="H28" s="49"/>
      <c r="I28" s="51"/>
      <c r="J28" s="302"/>
      <c r="K28" s="303"/>
      <c r="L28" s="101"/>
      <c r="M28" s="104"/>
      <c r="N28" s="105"/>
      <c r="O28" s="57"/>
      <c r="P28" s="57"/>
      <c r="Q28" s="59"/>
      <c r="R28" s="49" t="s">
        <v>145</v>
      </c>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51"/>
      <c r="AR28" s="208"/>
      <c r="AS28" s="49"/>
      <c r="AT28" s="49"/>
      <c r="AU28" s="49"/>
      <c r="AV28" s="49"/>
      <c r="AW28" s="49"/>
      <c r="AX28" s="49"/>
      <c r="AY28" s="52"/>
    </row>
    <row r="29" spans="1:55" ht="13.5" customHeight="1">
      <c r="A29" s="62"/>
      <c r="B29" s="50"/>
      <c r="C29" s="49"/>
      <c r="D29" s="49"/>
      <c r="E29" s="49"/>
      <c r="F29" s="49"/>
      <c r="G29" s="49"/>
      <c r="H29" s="49"/>
      <c r="I29" s="51"/>
      <c r="J29" s="302"/>
      <c r="K29" s="303"/>
      <c r="L29" s="101"/>
      <c r="M29" s="125" t="s">
        <v>129</v>
      </c>
      <c r="N29" s="120"/>
      <c r="O29" s="120"/>
      <c r="P29" s="120"/>
      <c r="Q29" s="121"/>
      <c r="R29" s="49" t="s">
        <v>133</v>
      </c>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51"/>
      <c r="AR29" s="208"/>
      <c r="AS29" s="49"/>
      <c r="AT29" s="49"/>
      <c r="AU29" s="49"/>
      <c r="AV29" s="49"/>
      <c r="AW29" s="49"/>
      <c r="AX29" s="49"/>
      <c r="AY29" s="52"/>
    </row>
    <row r="30" spans="1:55" ht="13.5" customHeight="1">
      <c r="A30" s="62"/>
      <c r="B30" s="50"/>
      <c r="C30" s="49"/>
      <c r="D30" s="49"/>
      <c r="E30" s="49"/>
      <c r="F30" s="49"/>
      <c r="G30" s="49"/>
      <c r="H30" s="49"/>
      <c r="I30" s="51"/>
      <c r="J30" s="302"/>
      <c r="K30" s="303"/>
      <c r="L30" s="101"/>
      <c r="M30" s="125" t="s">
        <v>89</v>
      </c>
      <c r="N30" s="120"/>
      <c r="O30" s="120"/>
      <c r="P30" s="120"/>
      <c r="Q30" s="121"/>
      <c r="R30" s="49" t="s">
        <v>136</v>
      </c>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51"/>
      <c r="AR30" s="208"/>
      <c r="AS30" s="49"/>
      <c r="AT30" s="49"/>
      <c r="AU30" s="49"/>
      <c r="AV30" s="49"/>
      <c r="AW30" s="49"/>
      <c r="AX30" s="49"/>
      <c r="AY30" s="52"/>
    </row>
    <row r="31" spans="1:55" ht="13.5" customHeight="1">
      <c r="A31" s="62"/>
      <c r="B31" s="50"/>
      <c r="C31" s="49"/>
      <c r="D31" s="49"/>
      <c r="E31" s="49"/>
      <c r="F31" s="49"/>
      <c r="G31" s="49"/>
      <c r="H31" s="49"/>
      <c r="I31" s="51"/>
      <c r="J31" s="302"/>
      <c r="K31" s="303"/>
      <c r="L31" s="101"/>
      <c r="M31" s="125" t="s">
        <v>444</v>
      </c>
      <c r="N31" s="120"/>
      <c r="O31" s="120"/>
      <c r="P31" s="120"/>
      <c r="Q31" s="121"/>
      <c r="R31" s="49" t="s">
        <v>85</v>
      </c>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51"/>
      <c r="AR31" s="208"/>
      <c r="AS31" s="49"/>
      <c r="AT31" s="49"/>
      <c r="AU31" s="49"/>
      <c r="AV31" s="49"/>
      <c r="AW31" s="49"/>
      <c r="AX31" s="49"/>
      <c r="AY31" s="52"/>
      <c r="AZ31" s="299">
        <v>0.6</v>
      </c>
    </row>
    <row r="32" spans="1:55" ht="13.5" customHeight="1">
      <c r="A32" s="62"/>
      <c r="B32" s="50"/>
      <c r="C32" s="49"/>
      <c r="D32" s="49"/>
      <c r="E32" s="49"/>
      <c r="F32" s="49"/>
      <c r="G32" s="49"/>
      <c r="H32" s="49"/>
      <c r="I32" s="51"/>
      <c r="J32" s="302"/>
      <c r="K32" s="303"/>
      <c r="L32" s="101"/>
      <c r="M32" s="122" t="s">
        <v>130</v>
      </c>
      <c r="N32" s="123"/>
      <c r="O32" s="123"/>
      <c r="P32" s="123"/>
      <c r="Q32" s="134"/>
      <c r="R32" s="49" t="s">
        <v>287</v>
      </c>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51"/>
      <c r="AR32" s="208"/>
      <c r="AS32" s="49"/>
      <c r="AT32" s="49"/>
      <c r="AU32" s="49"/>
      <c r="AV32" s="49"/>
      <c r="AW32" s="49"/>
      <c r="AX32" s="49"/>
      <c r="AY32" s="52"/>
    </row>
    <row r="33" spans="1:51" ht="13.5" customHeight="1">
      <c r="A33" s="62"/>
      <c r="B33" s="50"/>
      <c r="C33" s="49"/>
      <c r="D33" s="49"/>
      <c r="E33" s="49"/>
      <c r="F33" s="49"/>
      <c r="G33" s="49"/>
      <c r="H33" s="49"/>
      <c r="I33" s="51"/>
      <c r="J33" s="302"/>
      <c r="K33" s="303"/>
      <c r="L33" s="101"/>
      <c r="M33" s="125" t="s">
        <v>131</v>
      </c>
      <c r="N33" s="120"/>
      <c r="O33" s="120"/>
      <c r="P33" s="120"/>
      <c r="Q33" s="121"/>
      <c r="R33" s="49" t="s">
        <v>137</v>
      </c>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51"/>
      <c r="AR33" s="208"/>
      <c r="AS33" s="49"/>
      <c r="AT33" s="49"/>
      <c r="AU33" s="49"/>
      <c r="AV33" s="49"/>
      <c r="AW33" s="49"/>
      <c r="AX33" s="49"/>
      <c r="AY33" s="52"/>
    </row>
    <row r="34" spans="1:51" ht="13.5" customHeight="1">
      <c r="A34" s="62"/>
      <c r="B34" s="50"/>
      <c r="C34" s="49"/>
      <c r="D34" s="49"/>
      <c r="E34" s="49"/>
      <c r="F34" s="49"/>
      <c r="G34" s="49"/>
      <c r="H34" s="49"/>
      <c r="I34" s="51"/>
      <c r="J34" s="302"/>
      <c r="K34" s="303"/>
      <c r="L34" s="101"/>
      <c r="M34" s="125" t="s">
        <v>120</v>
      </c>
      <c r="N34" s="120"/>
      <c r="O34" s="120"/>
      <c r="P34" s="120"/>
      <c r="Q34" s="121"/>
      <c r="R34" s="49" t="s">
        <v>137</v>
      </c>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51"/>
      <c r="AR34" s="208"/>
      <c r="AS34" s="49"/>
      <c r="AT34" s="49"/>
      <c r="AU34" s="49"/>
      <c r="AV34" s="49"/>
      <c r="AW34" s="49"/>
      <c r="AX34" s="49"/>
      <c r="AY34" s="52"/>
    </row>
    <row r="35" spans="1:51" ht="13.5" customHeight="1">
      <c r="A35" s="62"/>
      <c r="B35" s="50"/>
      <c r="C35" s="49"/>
      <c r="D35" s="49"/>
      <c r="E35" s="49"/>
      <c r="F35" s="49"/>
      <c r="G35" s="49"/>
      <c r="H35" s="49"/>
      <c r="I35" s="51"/>
      <c r="J35" s="302"/>
      <c r="K35" s="303"/>
      <c r="L35" s="101"/>
      <c r="M35" s="122" t="s">
        <v>134</v>
      </c>
      <c r="N35" s="123"/>
      <c r="O35" s="112"/>
      <c r="P35" s="112"/>
      <c r="Q35" s="113"/>
      <c r="R35" s="102" t="s">
        <v>285</v>
      </c>
      <c r="S35" s="102"/>
      <c r="T35" s="102"/>
      <c r="U35" s="102"/>
      <c r="V35" s="102"/>
      <c r="W35" s="102"/>
      <c r="X35" s="102"/>
      <c r="Y35" s="102"/>
      <c r="Z35" s="102"/>
      <c r="AA35" s="49"/>
      <c r="AB35" s="49"/>
      <c r="AC35" s="49"/>
      <c r="AD35" s="49"/>
      <c r="AE35" s="49"/>
      <c r="AF35" s="49"/>
      <c r="AG35" s="49"/>
      <c r="AH35" s="49"/>
      <c r="AI35" s="49"/>
      <c r="AJ35" s="49"/>
      <c r="AK35" s="49"/>
      <c r="AL35" s="49"/>
      <c r="AM35" s="49"/>
      <c r="AN35" s="49"/>
      <c r="AO35" s="49"/>
      <c r="AP35" s="49"/>
      <c r="AQ35" s="51"/>
      <c r="AR35" s="208"/>
      <c r="AS35" s="49"/>
      <c r="AT35" s="49"/>
      <c r="AU35" s="49"/>
      <c r="AV35" s="49"/>
      <c r="AW35" s="49"/>
      <c r="AX35" s="49"/>
      <c r="AY35" s="52"/>
    </row>
    <row r="36" spans="1:51" ht="13.5" customHeight="1">
      <c r="A36" s="62"/>
      <c r="B36" s="50"/>
      <c r="C36" s="49"/>
      <c r="D36" s="49"/>
      <c r="E36" s="49"/>
      <c r="F36" s="49"/>
      <c r="G36" s="49"/>
      <c r="H36" s="49"/>
      <c r="I36" s="51"/>
      <c r="J36" s="302"/>
      <c r="K36" s="303"/>
      <c r="L36" s="101"/>
      <c r="M36" s="122" t="s">
        <v>135</v>
      </c>
      <c r="N36" s="123"/>
      <c r="O36" s="112"/>
      <c r="P36" s="112"/>
      <c r="Q36" s="113"/>
      <c r="R36" s="102" t="s">
        <v>286</v>
      </c>
      <c r="S36" s="102"/>
      <c r="T36" s="102"/>
      <c r="U36" s="102"/>
      <c r="V36" s="102"/>
      <c r="W36" s="102"/>
      <c r="X36" s="102"/>
      <c r="Y36" s="102"/>
      <c r="Z36" s="102"/>
      <c r="AA36" s="49"/>
      <c r="AB36" s="49"/>
      <c r="AC36" s="49"/>
      <c r="AD36" s="49"/>
      <c r="AE36" s="49"/>
      <c r="AF36" s="49"/>
      <c r="AG36" s="49"/>
      <c r="AH36" s="49"/>
      <c r="AI36" s="49"/>
      <c r="AJ36" s="49"/>
      <c r="AK36" s="49"/>
      <c r="AL36" s="49"/>
      <c r="AM36" s="49"/>
      <c r="AN36" s="49"/>
      <c r="AO36" s="49"/>
      <c r="AP36" s="49"/>
      <c r="AQ36" s="51"/>
      <c r="AR36" s="208"/>
      <c r="AS36" s="49"/>
      <c r="AT36" s="49"/>
      <c r="AU36" s="49"/>
      <c r="AV36" s="49"/>
      <c r="AW36" s="49"/>
      <c r="AX36" s="49"/>
      <c r="AY36" s="52"/>
    </row>
    <row r="37" spans="1:51" ht="13.5" customHeight="1">
      <c r="A37" s="62"/>
      <c r="B37" s="50"/>
      <c r="C37" s="49"/>
      <c r="D37" s="49"/>
      <c r="E37" s="49"/>
      <c r="F37" s="49"/>
      <c r="G37" s="49"/>
      <c r="H37" s="49"/>
      <c r="I37" s="51"/>
      <c r="J37" s="302"/>
      <c r="K37" s="303"/>
      <c r="L37" s="101"/>
      <c r="M37" s="102"/>
      <c r="N37" s="102"/>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51"/>
      <c r="AR37" s="208"/>
      <c r="AS37" s="49"/>
      <c r="AT37" s="49"/>
      <c r="AU37" s="49"/>
      <c r="AV37" s="49"/>
      <c r="AW37" s="49"/>
      <c r="AX37" s="49"/>
      <c r="AY37" s="52"/>
    </row>
    <row r="38" spans="1:51" ht="13.5" customHeight="1">
      <c r="A38" s="62"/>
      <c r="B38" s="50"/>
      <c r="C38" s="49"/>
      <c r="D38" s="49"/>
      <c r="E38" s="49"/>
      <c r="F38" s="49"/>
      <c r="G38" s="49"/>
      <c r="H38" s="49"/>
      <c r="I38" s="51"/>
      <c r="J38" s="302"/>
      <c r="K38" s="303"/>
      <c r="L38" s="50" t="s">
        <v>159</v>
      </c>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51"/>
      <c r="AR38" s="208"/>
      <c r="AS38" s="49"/>
      <c r="AT38" s="49"/>
      <c r="AU38" s="49"/>
      <c r="AV38" s="49"/>
      <c r="AW38" s="49"/>
      <c r="AX38" s="49"/>
      <c r="AY38" s="136"/>
    </row>
    <row r="39" spans="1:51" ht="13.5" customHeight="1">
      <c r="A39" s="62"/>
      <c r="B39" s="50"/>
      <c r="C39" s="49"/>
      <c r="D39" s="49"/>
      <c r="E39" s="49"/>
      <c r="F39" s="49"/>
      <c r="G39" s="49"/>
      <c r="H39" s="49"/>
      <c r="I39" s="51"/>
      <c r="J39" s="302"/>
      <c r="K39" s="303"/>
      <c r="L39" s="50"/>
      <c r="M39" s="49" t="s">
        <v>707</v>
      </c>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51"/>
      <c r="AR39" s="208"/>
      <c r="AS39" s="49"/>
      <c r="AT39" s="49"/>
      <c r="AU39" s="49"/>
      <c r="AV39" s="49"/>
      <c r="AW39" s="49"/>
      <c r="AX39" s="49"/>
      <c r="AY39" s="52"/>
    </row>
    <row r="40" spans="1:51" ht="13.5" customHeight="1">
      <c r="A40" s="62"/>
      <c r="B40" s="50"/>
      <c r="C40" s="49"/>
      <c r="D40" s="49"/>
      <c r="E40" s="49"/>
      <c r="F40" s="49"/>
      <c r="G40" s="49"/>
      <c r="H40" s="49"/>
      <c r="I40" s="51"/>
      <c r="J40" s="302"/>
      <c r="K40" s="303"/>
      <c r="L40" s="50"/>
      <c r="M40" s="49" t="s">
        <v>706</v>
      </c>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51"/>
      <c r="AR40" s="208"/>
      <c r="AS40" s="49"/>
      <c r="AT40" s="49"/>
      <c r="AU40" s="49"/>
      <c r="AV40" s="49"/>
      <c r="AW40" s="49"/>
      <c r="AX40" s="49"/>
      <c r="AY40" s="52"/>
    </row>
    <row r="41" spans="1:51" ht="13.5" customHeight="1">
      <c r="A41" s="62"/>
      <c r="B41" s="50"/>
      <c r="C41" s="49"/>
      <c r="D41" s="49"/>
      <c r="E41" s="49"/>
      <c r="F41" s="49"/>
      <c r="G41" s="49"/>
      <c r="H41" s="49"/>
      <c r="I41" s="51"/>
      <c r="J41" s="302"/>
      <c r="K41" s="303"/>
      <c r="L41" s="50"/>
      <c r="M41" s="49" t="s">
        <v>708</v>
      </c>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51"/>
      <c r="AR41" s="208"/>
      <c r="AS41" s="49"/>
      <c r="AT41" s="49"/>
      <c r="AU41" s="49"/>
      <c r="AV41" s="49"/>
      <c r="AW41" s="49"/>
      <c r="AX41" s="49"/>
      <c r="AY41" s="52"/>
    </row>
    <row r="42" spans="1:51" ht="13.5" customHeight="1" thickBot="1">
      <c r="A42" s="335"/>
      <c r="B42" s="322"/>
      <c r="C42" s="323"/>
      <c r="D42" s="323"/>
      <c r="E42" s="323"/>
      <c r="F42" s="323"/>
      <c r="G42" s="323"/>
      <c r="H42" s="323"/>
      <c r="I42" s="324"/>
      <c r="J42" s="325"/>
      <c r="K42" s="326"/>
      <c r="L42" s="322"/>
      <c r="M42" s="323"/>
      <c r="N42" s="323"/>
      <c r="O42" s="323"/>
      <c r="P42" s="323"/>
      <c r="Q42" s="323"/>
      <c r="R42" s="323"/>
      <c r="S42" s="323"/>
      <c r="T42" s="323"/>
      <c r="U42" s="323"/>
      <c r="V42" s="323"/>
      <c r="W42" s="323"/>
      <c r="X42" s="323"/>
      <c r="Y42" s="323"/>
      <c r="Z42" s="323"/>
      <c r="AA42" s="323"/>
      <c r="AB42" s="323"/>
      <c r="AC42" s="323"/>
      <c r="AD42" s="323"/>
      <c r="AE42" s="323"/>
      <c r="AF42" s="323"/>
      <c r="AG42" s="323"/>
      <c r="AH42" s="323"/>
      <c r="AI42" s="323"/>
      <c r="AJ42" s="323"/>
      <c r="AK42" s="323"/>
      <c r="AL42" s="323"/>
      <c r="AM42" s="323"/>
      <c r="AN42" s="323"/>
      <c r="AO42" s="323"/>
      <c r="AP42" s="323"/>
      <c r="AQ42" s="324"/>
      <c r="AR42" s="327"/>
      <c r="AS42" s="323"/>
      <c r="AT42" s="323"/>
      <c r="AU42" s="323"/>
      <c r="AV42" s="323"/>
      <c r="AW42" s="323"/>
      <c r="AX42" s="323"/>
      <c r="AY42" s="328"/>
    </row>
    <row r="43" spans="1:51" ht="13.5" customHeight="1">
      <c r="A43" s="62"/>
      <c r="B43" s="50"/>
      <c r="C43" s="49"/>
      <c r="D43" s="49"/>
      <c r="E43" s="49"/>
      <c r="F43" s="49"/>
      <c r="G43" s="49"/>
      <c r="H43" s="49"/>
      <c r="I43" s="51"/>
      <c r="J43" s="302"/>
      <c r="K43" s="303"/>
      <c r="L43" s="50" t="s">
        <v>288</v>
      </c>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51"/>
      <c r="AR43" s="208"/>
      <c r="AS43" s="49"/>
      <c r="AT43" s="49"/>
      <c r="AU43" s="49"/>
      <c r="AV43" s="49"/>
      <c r="AW43" s="49"/>
      <c r="AX43" s="49"/>
      <c r="AY43" s="136"/>
    </row>
    <row r="44" spans="1:51" ht="13.5" customHeight="1">
      <c r="A44" s="62"/>
      <c r="B44" s="50"/>
      <c r="C44" s="49"/>
      <c r="D44" s="49"/>
      <c r="E44" s="49"/>
      <c r="F44" s="49"/>
      <c r="G44" s="49"/>
      <c r="H44" s="49"/>
      <c r="I44" s="51"/>
      <c r="J44" s="302"/>
      <c r="K44" s="303"/>
      <c r="L44" s="50"/>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51"/>
      <c r="AR44" s="208"/>
      <c r="AS44" s="49"/>
      <c r="AT44" s="49"/>
      <c r="AU44" s="49"/>
      <c r="AV44" s="49"/>
      <c r="AW44" s="49"/>
      <c r="AX44" s="49"/>
      <c r="AY44" s="52"/>
    </row>
    <row r="45" spans="1:51" ht="13.5" customHeight="1">
      <c r="A45" s="62"/>
      <c r="B45" s="50"/>
      <c r="C45" s="49"/>
      <c r="D45" s="49"/>
      <c r="E45" s="49"/>
      <c r="F45" s="49"/>
      <c r="G45" s="49"/>
      <c r="H45" s="49"/>
      <c r="I45" s="51"/>
      <c r="J45" s="302"/>
      <c r="K45" s="303"/>
      <c r="L45" s="50"/>
      <c r="M45" s="49" t="s">
        <v>207</v>
      </c>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51"/>
      <c r="AR45" s="208"/>
      <c r="AS45" s="49"/>
      <c r="AT45" s="49"/>
      <c r="AU45" s="49"/>
      <c r="AV45" s="49"/>
      <c r="AW45" s="49"/>
      <c r="AX45" s="49"/>
      <c r="AY45" s="52"/>
    </row>
    <row r="46" spans="1:51" ht="13.5" customHeight="1">
      <c r="A46" s="62"/>
      <c r="B46" s="50"/>
      <c r="C46" s="49"/>
      <c r="D46" s="49"/>
      <c r="E46" s="49"/>
      <c r="F46" s="49"/>
      <c r="G46" s="49"/>
      <c r="H46" s="49"/>
      <c r="I46" s="51"/>
      <c r="J46" s="302"/>
      <c r="K46" s="303"/>
      <c r="L46" s="50"/>
      <c r="M46" s="131" t="s">
        <v>185</v>
      </c>
      <c r="N46" s="132"/>
      <c r="O46" s="132"/>
      <c r="P46" s="132"/>
      <c r="Q46" s="132"/>
      <c r="R46" s="133"/>
      <c r="S46" s="131" t="s">
        <v>131</v>
      </c>
      <c r="T46" s="132"/>
      <c r="U46" s="132"/>
      <c r="V46" s="132"/>
      <c r="W46" s="132"/>
      <c r="X46" s="132"/>
      <c r="Y46" s="133"/>
      <c r="Z46" s="131" t="s">
        <v>120</v>
      </c>
      <c r="AA46" s="132"/>
      <c r="AB46" s="132"/>
      <c r="AC46" s="132"/>
      <c r="AD46" s="132"/>
      <c r="AE46" s="132"/>
      <c r="AF46" s="132"/>
      <c r="AG46" s="133"/>
      <c r="AH46" s="49"/>
      <c r="AI46" s="49"/>
      <c r="AJ46" s="49"/>
      <c r="AK46" s="49"/>
      <c r="AL46" s="49"/>
      <c r="AM46" s="49"/>
      <c r="AN46" s="49"/>
      <c r="AO46" s="49"/>
      <c r="AP46" s="49"/>
      <c r="AQ46" s="51"/>
      <c r="AR46" s="208"/>
      <c r="AS46" s="49"/>
      <c r="AT46" s="49"/>
      <c r="AU46" s="49"/>
      <c r="AV46" s="49"/>
      <c r="AW46" s="49"/>
      <c r="AX46" s="49"/>
      <c r="AY46" s="52"/>
    </row>
    <row r="47" spans="1:51" ht="13.5" customHeight="1">
      <c r="A47" s="62"/>
      <c r="B47" s="50"/>
      <c r="C47" s="49"/>
      <c r="D47" s="49"/>
      <c r="E47" s="49"/>
      <c r="F47" s="49"/>
      <c r="G47" s="49"/>
      <c r="H47" s="49"/>
      <c r="I47" s="51"/>
      <c r="J47" s="302"/>
      <c r="K47" s="303"/>
      <c r="L47" s="50"/>
      <c r="M47" s="128" t="s">
        <v>250</v>
      </c>
      <c r="N47" s="129"/>
      <c r="O47" s="129"/>
      <c r="P47" s="129"/>
      <c r="Q47" s="129"/>
      <c r="R47" s="130"/>
      <c r="S47" s="128" t="s">
        <v>203</v>
      </c>
      <c r="T47" s="129"/>
      <c r="U47" s="129"/>
      <c r="V47" s="129"/>
      <c r="W47" s="129"/>
      <c r="X47" s="129"/>
      <c r="Y47" s="130"/>
      <c r="Z47" s="128">
        <v>0</v>
      </c>
      <c r="AA47" s="129"/>
      <c r="AB47" s="129"/>
      <c r="AC47" s="129"/>
      <c r="AD47" s="129"/>
      <c r="AE47" s="129"/>
      <c r="AF47" s="129"/>
      <c r="AG47" s="130"/>
      <c r="AH47" s="49"/>
      <c r="AI47" s="49"/>
      <c r="AJ47" s="49"/>
      <c r="AK47" s="49"/>
      <c r="AL47" s="49"/>
      <c r="AM47" s="49"/>
      <c r="AN47" s="49"/>
      <c r="AO47" s="49"/>
      <c r="AP47" s="49"/>
      <c r="AQ47" s="51"/>
      <c r="AR47" s="208"/>
      <c r="AS47" s="49"/>
      <c r="AT47" s="49"/>
      <c r="AU47" s="49"/>
      <c r="AV47" s="49"/>
      <c r="AW47" s="49"/>
      <c r="AX47" s="49"/>
      <c r="AY47" s="52"/>
    </row>
    <row r="48" spans="1:51" ht="13.5" customHeight="1">
      <c r="A48" s="62"/>
      <c r="B48" s="50"/>
      <c r="C48" s="49"/>
      <c r="D48" s="49"/>
      <c r="E48" s="49"/>
      <c r="F48" s="49"/>
      <c r="G48" s="49"/>
      <c r="H48" s="49"/>
      <c r="I48" s="51"/>
      <c r="J48" s="302"/>
      <c r="K48" s="303"/>
      <c r="L48" s="50"/>
      <c r="M48" s="128" t="s">
        <v>251</v>
      </c>
      <c r="N48" s="129"/>
      <c r="O48" s="129"/>
      <c r="P48" s="129"/>
      <c r="Q48" s="129"/>
      <c r="R48" s="130"/>
      <c r="S48" s="128" t="s">
        <v>204</v>
      </c>
      <c r="T48" s="129"/>
      <c r="U48" s="129"/>
      <c r="V48" s="129"/>
      <c r="W48" s="129"/>
      <c r="X48" s="129"/>
      <c r="Y48" s="130"/>
      <c r="Z48" s="128">
        <v>1</v>
      </c>
      <c r="AA48" s="129"/>
      <c r="AB48" s="129"/>
      <c r="AC48" s="129"/>
      <c r="AD48" s="129"/>
      <c r="AE48" s="129"/>
      <c r="AF48" s="129"/>
      <c r="AG48" s="130"/>
      <c r="AH48" s="49"/>
      <c r="AI48" s="49"/>
      <c r="AJ48" s="49"/>
      <c r="AK48" s="49"/>
      <c r="AL48" s="49"/>
      <c r="AM48" s="49"/>
      <c r="AN48" s="49"/>
      <c r="AO48" s="49"/>
      <c r="AP48" s="49"/>
      <c r="AQ48" s="51"/>
      <c r="AR48" s="208"/>
      <c r="AS48" s="49"/>
      <c r="AT48" s="49"/>
      <c r="AU48" s="49"/>
      <c r="AV48" s="49"/>
      <c r="AW48" s="49"/>
      <c r="AX48" s="49"/>
      <c r="AY48" s="52"/>
    </row>
    <row r="49" spans="1:55" ht="13.5" customHeight="1">
      <c r="A49" s="62"/>
      <c r="B49" s="50"/>
      <c r="C49" s="49"/>
      <c r="D49" s="49"/>
      <c r="E49" s="49"/>
      <c r="F49" s="49"/>
      <c r="G49" s="49"/>
      <c r="H49" s="49"/>
      <c r="I49" s="51"/>
      <c r="J49" s="302"/>
      <c r="K49" s="303"/>
      <c r="L49" s="50"/>
      <c r="M49" s="128" t="s">
        <v>186</v>
      </c>
      <c r="N49" s="129"/>
      <c r="O49" s="129"/>
      <c r="P49" s="129"/>
      <c r="Q49" s="129"/>
      <c r="R49" s="130"/>
      <c r="S49" s="128" t="s">
        <v>205</v>
      </c>
      <c r="T49" s="129"/>
      <c r="U49" s="129"/>
      <c r="V49" s="129"/>
      <c r="W49" s="129"/>
      <c r="X49" s="129"/>
      <c r="Y49" s="130"/>
      <c r="Z49" s="128" t="s">
        <v>209</v>
      </c>
      <c r="AA49" s="129"/>
      <c r="AB49" s="129"/>
      <c r="AC49" s="129"/>
      <c r="AD49" s="129"/>
      <c r="AE49" s="129"/>
      <c r="AF49" s="129"/>
      <c r="AG49" s="130"/>
      <c r="AH49" s="49"/>
      <c r="AI49" s="49"/>
      <c r="AJ49" s="49"/>
      <c r="AK49" s="49"/>
      <c r="AL49" s="49"/>
      <c r="AM49" s="49"/>
      <c r="AN49" s="49"/>
      <c r="AO49" s="49"/>
      <c r="AP49" s="49"/>
      <c r="AQ49" s="51"/>
      <c r="AR49" s="208"/>
      <c r="AS49" s="49"/>
      <c r="AT49" s="49"/>
      <c r="AU49" s="49"/>
      <c r="AV49" s="49"/>
      <c r="AW49" s="49"/>
      <c r="AX49" s="49"/>
      <c r="AY49" s="52"/>
    </row>
    <row r="50" spans="1:55" ht="13.5" customHeight="1">
      <c r="A50" s="62"/>
      <c r="B50" s="50"/>
      <c r="C50" s="49"/>
      <c r="D50" s="49"/>
      <c r="E50" s="49"/>
      <c r="F50" s="49"/>
      <c r="G50" s="49"/>
      <c r="H50" s="49"/>
      <c r="I50" s="51"/>
      <c r="J50" s="302"/>
      <c r="K50" s="303"/>
      <c r="L50" s="50"/>
      <c r="M50" s="128" t="s">
        <v>187</v>
      </c>
      <c r="N50" s="129"/>
      <c r="O50" s="129"/>
      <c r="P50" s="129"/>
      <c r="Q50" s="129"/>
      <c r="R50" s="130"/>
      <c r="S50" s="128" t="s">
        <v>206</v>
      </c>
      <c r="T50" s="129"/>
      <c r="U50" s="129"/>
      <c r="V50" s="129"/>
      <c r="W50" s="129"/>
      <c r="X50" s="129"/>
      <c r="Y50" s="130"/>
      <c r="Z50" s="128" t="s">
        <v>209</v>
      </c>
      <c r="AA50" s="129"/>
      <c r="AB50" s="129"/>
      <c r="AC50" s="129"/>
      <c r="AD50" s="129"/>
      <c r="AE50" s="129"/>
      <c r="AF50" s="129"/>
      <c r="AG50" s="130"/>
      <c r="AH50" s="49"/>
      <c r="AI50" s="49"/>
      <c r="AJ50" s="49"/>
      <c r="AK50" s="49"/>
      <c r="AL50" s="49"/>
      <c r="AM50" s="49"/>
      <c r="AN50" s="49"/>
      <c r="AO50" s="49"/>
      <c r="AP50" s="49"/>
      <c r="AQ50" s="51"/>
      <c r="AR50" s="208"/>
      <c r="AS50" s="49"/>
      <c r="AT50" s="49"/>
      <c r="AU50" s="49"/>
      <c r="AV50" s="49"/>
      <c r="AW50" s="49"/>
      <c r="AX50" s="49"/>
      <c r="AY50" s="52"/>
    </row>
    <row r="51" spans="1:55" s="23" customFormat="1" ht="13.5" customHeight="1">
      <c r="A51" s="62"/>
      <c r="B51" s="50"/>
      <c r="C51" s="49"/>
      <c r="D51" s="49"/>
      <c r="E51" s="49"/>
      <c r="F51" s="49"/>
      <c r="G51" s="49"/>
      <c r="H51" s="49"/>
      <c r="I51" s="51"/>
      <c r="J51" s="394"/>
      <c r="K51" s="395"/>
      <c r="L51" s="50"/>
      <c r="M51" s="128" t="s">
        <v>973</v>
      </c>
      <c r="N51" s="129"/>
      <c r="O51" s="129"/>
      <c r="P51" s="129"/>
      <c r="Q51" s="129"/>
      <c r="R51" s="130"/>
      <c r="S51" s="128" t="s">
        <v>203</v>
      </c>
      <c r="T51" s="129"/>
      <c r="U51" s="129"/>
      <c r="V51" s="129"/>
      <c r="W51" s="129"/>
      <c r="X51" s="129"/>
      <c r="Y51" s="130"/>
      <c r="Z51" s="128">
        <v>0</v>
      </c>
      <c r="AA51" s="129"/>
      <c r="AB51" s="129"/>
      <c r="AC51" s="129"/>
      <c r="AD51" s="129"/>
      <c r="AE51" s="129"/>
      <c r="AF51" s="129"/>
      <c r="AG51" s="130"/>
      <c r="AH51" s="49" t="s">
        <v>978</v>
      </c>
      <c r="AI51" s="49"/>
      <c r="AJ51" s="49"/>
      <c r="AK51" s="49"/>
      <c r="AL51" s="49"/>
      <c r="AM51" s="49"/>
      <c r="AN51" s="49"/>
      <c r="AO51" s="49"/>
      <c r="AP51" s="49"/>
      <c r="AQ51" s="51"/>
      <c r="AR51" s="208"/>
      <c r="AS51" s="49"/>
      <c r="AT51" s="49"/>
      <c r="AU51" s="49"/>
      <c r="AV51" s="49"/>
      <c r="AW51" s="49"/>
      <c r="AX51" s="49"/>
      <c r="AY51" s="52"/>
      <c r="BA51" s="23">
        <v>2.2999999999999998</v>
      </c>
      <c r="BC51" s="23">
        <v>2.2999999999999998</v>
      </c>
    </row>
    <row r="52" spans="1:55" s="23" customFormat="1" ht="13.5" customHeight="1">
      <c r="A52" s="62"/>
      <c r="B52" s="50"/>
      <c r="C52" s="49"/>
      <c r="D52" s="49"/>
      <c r="E52" s="49"/>
      <c r="F52" s="49"/>
      <c r="G52" s="49"/>
      <c r="H52" s="49"/>
      <c r="I52" s="51"/>
      <c r="J52" s="394"/>
      <c r="K52" s="395"/>
      <c r="L52" s="50"/>
      <c r="M52" s="128" t="s">
        <v>974</v>
      </c>
      <c r="N52" s="129"/>
      <c r="O52" s="129"/>
      <c r="P52" s="129"/>
      <c r="Q52" s="129"/>
      <c r="R52" s="130"/>
      <c r="S52" s="128" t="s">
        <v>203</v>
      </c>
      <c r="T52" s="129"/>
      <c r="U52" s="129"/>
      <c r="V52" s="129"/>
      <c r="W52" s="129"/>
      <c r="X52" s="129"/>
      <c r="Y52" s="130"/>
      <c r="Z52" s="128">
        <v>0</v>
      </c>
      <c r="AA52" s="129"/>
      <c r="AB52" s="129"/>
      <c r="AC52" s="129"/>
      <c r="AD52" s="129"/>
      <c r="AE52" s="129"/>
      <c r="AF52" s="129"/>
      <c r="AG52" s="130"/>
      <c r="AH52" s="49" t="s">
        <v>979</v>
      </c>
      <c r="AI52" s="49"/>
      <c r="AJ52" s="49"/>
      <c r="AK52" s="49"/>
      <c r="AL52" s="49"/>
      <c r="AM52" s="49"/>
      <c r="AN52" s="49"/>
      <c r="AO52" s="49"/>
      <c r="AP52" s="49"/>
      <c r="AQ52" s="51"/>
      <c r="AR52" s="208"/>
      <c r="AS52" s="49"/>
      <c r="AT52" s="49"/>
      <c r="AU52" s="49"/>
      <c r="AV52" s="49"/>
      <c r="AW52" s="49"/>
      <c r="AX52" s="49"/>
      <c r="AY52" s="52"/>
      <c r="BA52" s="23">
        <v>2.2999999999999998</v>
      </c>
      <c r="BC52" s="23">
        <v>2.2999999999999998</v>
      </c>
    </row>
    <row r="53" spans="1:55" s="23" customFormat="1" ht="13.5" customHeight="1">
      <c r="A53" s="62"/>
      <c r="B53" s="50"/>
      <c r="C53" s="49"/>
      <c r="D53" s="49"/>
      <c r="E53" s="49"/>
      <c r="F53" s="49"/>
      <c r="G53" s="49"/>
      <c r="H53" s="49"/>
      <c r="I53" s="51"/>
      <c r="J53" s="394"/>
      <c r="K53" s="395"/>
      <c r="L53" s="50"/>
      <c r="M53" s="128" t="s">
        <v>975</v>
      </c>
      <c r="N53" s="129"/>
      <c r="O53" s="129"/>
      <c r="P53" s="129"/>
      <c r="Q53" s="129"/>
      <c r="R53" s="130"/>
      <c r="S53" s="128" t="s">
        <v>203</v>
      </c>
      <c r="T53" s="129"/>
      <c r="U53" s="129"/>
      <c r="V53" s="129"/>
      <c r="W53" s="129"/>
      <c r="X53" s="129"/>
      <c r="Y53" s="130"/>
      <c r="Z53" s="128">
        <v>1</v>
      </c>
      <c r="AA53" s="129"/>
      <c r="AB53" s="129"/>
      <c r="AC53" s="129"/>
      <c r="AD53" s="129"/>
      <c r="AE53" s="129"/>
      <c r="AF53" s="129"/>
      <c r="AG53" s="130"/>
      <c r="AH53" s="49" t="s">
        <v>979</v>
      </c>
      <c r="AI53" s="49"/>
      <c r="AJ53" s="49"/>
      <c r="AK53" s="49"/>
      <c r="AL53" s="49"/>
      <c r="AM53" s="49"/>
      <c r="AN53" s="49"/>
      <c r="AO53" s="49"/>
      <c r="AP53" s="49"/>
      <c r="AQ53" s="51"/>
      <c r="AR53" s="208"/>
      <c r="AS53" s="49"/>
      <c r="AT53" s="49"/>
      <c r="AU53" s="49"/>
      <c r="AV53" s="49"/>
      <c r="AW53" s="49"/>
      <c r="AX53" s="49"/>
      <c r="AY53" s="52"/>
      <c r="BA53" s="23">
        <v>2.2999999999999998</v>
      </c>
      <c r="BC53" s="23">
        <v>2.2999999999999998</v>
      </c>
    </row>
    <row r="54" spans="1:55" s="23" customFormat="1" ht="13.5" customHeight="1">
      <c r="A54" s="62"/>
      <c r="B54" s="50"/>
      <c r="C54" s="49"/>
      <c r="D54" s="49"/>
      <c r="E54" s="49"/>
      <c r="F54" s="49"/>
      <c r="G54" s="49"/>
      <c r="H54" s="49"/>
      <c r="I54" s="51"/>
      <c r="J54" s="394"/>
      <c r="K54" s="395"/>
      <c r="L54" s="50"/>
      <c r="M54" s="128" t="s">
        <v>972</v>
      </c>
      <c r="N54" s="129"/>
      <c r="O54" s="129"/>
      <c r="P54" s="129"/>
      <c r="Q54" s="129"/>
      <c r="R54" s="130"/>
      <c r="S54" s="128" t="s">
        <v>976</v>
      </c>
      <c r="T54" s="129"/>
      <c r="U54" s="129"/>
      <c r="V54" s="129"/>
      <c r="W54" s="129"/>
      <c r="X54" s="129"/>
      <c r="Y54" s="130"/>
      <c r="Z54" s="128" t="s">
        <v>977</v>
      </c>
      <c r="AA54" s="129"/>
      <c r="AB54" s="129"/>
      <c r="AC54" s="129"/>
      <c r="AD54" s="129"/>
      <c r="AE54" s="129"/>
      <c r="AF54" s="129"/>
      <c r="AG54" s="130"/>
      <c r="AH54" s="49"/>
      <c r="AI54" s="49"/>
      <c r="AJ54" s="49"/>
      <c r="AK54" s="49"/>
      <c r="AL54" s="49"/>
      <c r="AM54" s="49"/>
      <c r="AN54" s="49"/>
      <c r="AO54" s="49"/>
      <c r="AP54" s="49"/>
      <c r="AQ54" s="51"/>
      <c r="AR54" s="208"/>
      <c r="AS54" s="49"/>
      <c r="AT54" s="49"/>
      <c r="AU54" s="49"/>
      <c r="AV54" s="49"/>
      <c r="AW54" s="49"/>
      <c r="AX54" s="49"/>
      <c r="AY54" s="52"/>
      <c r="BA54" s="23">
        <v>2.2999999999999998</v>
      </c>
      <c r="BC54" s="23">
        <v>2.2999999999999998</v>
      </c>
    </row>
    <row r="55" spans="1:55" ht="13.5" customHeight="1">
      <c r="A55" s="62"/>
      <c r="B55" s="50"/>
      <c r="C55" s="49"/>
      <c r="D55" s="49"/>
      <c r="E55" s="49"/>
      <c r="F55" s="49"/>
      <c r="G55" s="49"/>
      <c r="H55" s="49"/>
      <c r="I55" s="51"/>
      <c r="J55" s="302"/>
      <c r="K55" s="303"/>
      <c r="L55" s="50"/>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51"/>
      <c r="AR55" s="208"/>
      <c r="AS55" s="49"/>
      <c r="AT55" s="49"/>
      <c r="AU55" s="49"/>
      <c r="AV55" s="49"/>
      <c r="AW55" s="49"/>
      <c r="AX55" s="49"/>
      <c r="AY55" s="52"/>
    </row>
    <row r="56" spans="1:55" ht="13.5" customHeight="1">
      <c r="A56" s="62"/>
      <c r="B56" s="50"/>
      <c r="C56" s="49"/>
      <c r="D56" s="49"/>
      <c r="E56" s="49"/>
      <c r="F56" s="49"/>
      <c r="G56" s="49"/>
      <c r="H56" s="49"/>
      <c r="I56" s="51"/>
      <c r="J56" s="302"/>
      <c r="K56" s="303"/>
      <c r="L56" s="50"/>
      <c r="M56" s="49" t="s">
        <v>208</v>
      </c>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51"/>
      <c r="AR56" s="208"/>
      <c r="AS56" s="49"/>
      <c r="AT56" s="49"/>
      <c r="AU56" s="49"/>
      <c r="AV56" s="49"/>
      <c r="AW56" s="49"/>
      <c r="AX56" s="49"/>
      <c r="AY56" s="52"/>
    </row>
    <row r="57" spans="1:55" ht="13.5" customHeight="1">
      <c r="A57" s="62"/>
      <c r="B57" s="50"/>
      <c r="C57" s="49"/>
      <c r="D57" s="49"/>
      <c r="E57" s="49"/>
      <c r="F57" s="49"/>
      <c r="G57" s="49"/>
      <c r="H57" s="49"/>
      <c r="I57" s="51"/>
      <c r="J57" s="302"/>
      <c r="K57" s="303"/>
      <c r="L57" s="50"/>
      <c r="M57" s="49" t="s">
        <v>210</v>
      </c>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51"/>
      <c r="AR57" s="208"/>
      <c r="AS57" s="49"/>
      <c r="AT57" s="49"/>
      <c r="AU57" s="49"/>
      <c r="AV57" s="49"/>
      <c r="AW57" s="49"/>
      <c r="AX57" s="49"/>
      <c r="AY57" s="52"/>
    </row>
    <row r="58" spans="1:55" ht="13.5" customHeight="1">
      <c r="A58" s="62"/>
      <c r="B58" s="50"/>
      <c r="C58" s="49"/>
      <c r="D58" s="49"/>
      <c r="E58" s="49"/>
      <c r="F58" s="49"/>
      <c r="G58" s="49"/>
      <c r="H58" s="49"/>
      <c r="I58" s="51"/>
      <c r="J58" s="302"/>
      <c r="K58" s="303"/>
      <c r="L58" s="50"/>
      <c r="M58" s="49" t="s">
        <v>703</v>
      </c>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51"/>
      <c r="AR58" s="208"/>
      <c r="AS58" s="49"/>
      <c r="AT58" s="49"/>
      <c r="AU58" s="49"/>
      <c r="AV58" s="49"/>
      <c r="AW58" s="49"/>
      <c r="AX58" s="49"/>
      <c r="AY58" s="52"/>
    </row>
    <row r="59" spans="1:55" ht="13.5" customHeight="1">
      <c r="A59" s="62"/>
      <c r="B59" s="50"/>
      <c r="C59" s="49"/>
      <c r="D59" s="49"/>
      <c r="E59" s="49"/>
      <c r="F59" s="49"/>
      <c r="G59" s="49"/>
      <c r="H59" s="49"/>
      <c r="I59" s="51"/>
      <c r="J59" s="302"/>
      <c r="K59" s="303"/>
      <c r="L59" s="50"/>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51"/>
      <c r="AR59" s="208"/>
      <c r="AS59" s="49"/>
      <c r="AT59" s="49"/>
      <c r="AU59" s="49"/>
      <c r="AV59" s="49"/>
      <c r="AW59" s="49"/>
      <c r="AX59" s="49"/>
      <c r="AY59" s="52"/>
    </row>
    <row r="60" spans="1:55" ht="13.5" customHeight="1">
      <c r="A60" s="62"/>
      <c r="B60" s="50"/>
      <c r="C60" s="49"/>
      <c r="D60" s="49"/>
      <c r="E60" s="49"/>
      <c r="F60" s="49"/>
      <c r="G60" s="49"/>
      <c r="H60" s="49"/>
      <c r="I60" s="51"/>
      <c r="J60" s="302"/>
      <c r="K60" s="303"/>
      <c r="L60" s="50" t="s">
        <v>289</v>
      </c>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51"/>
      <c r="AR60" s="208"/>
      <c r="AS60" s="49"/>
      <c r="AT60" s="49"/>
      <c r="AU60" s="49"/>
      <c r="AV60" s="49"/>
      <c r="AW60" s="49"/>
      <c r="AX60" s="49"/>
      <c r="AY60" s="52"/>
    </row>
    <row r="61" spans="1:55" ht="13.5" customHeight="1">
      <c r="A61" s="62"/>
      <c r="B61" s="50"/>
      <c r="C61" s="49"/>
      <c r="D61" s="49"/>
      <c r="E61" s="49"/>
      <c r="F61" s="49"/>
      <c r="G61" s="49"/>
      <c r="H61" s="49"/>
      <c r="I61" s="51"/>
      <c r="J61" s="302"/>
      <c r="K61" s="303"/>
      <c r="L61" s="50"/>
      <c r="M61" s="49" t="s">
        <v>290</v>
      </c>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51"/>
      <c r="AR61" s="208"/>
      <c r="AS61" s="49"/>
      <c r="AT61" s="49"/>
      <c r="AU61" s="49"/>
      <c r="AV61" s="49"/>
      <c r="AW61" s="49"/>
      <c r="AX61" s="49"/>
      <c r="AY61" s="52"/>
    </row>
    <row r="62" spans="1:55" ht="13.5" customHeight="1">
      <c r="A62" s="62"/>
      <c r="B62" s="50"/>
      <c r="C62" s="49"/>
      <c r="D62" s="49"/>
      <c r="E62" s="49"/>
      <c r="F62" s="49"/>
      <c r="G62" s="49"/>
      <c r="H62" s="49"/>
      <c r="I62" s="51"/>
      <c r="J62" s="302"/>
      <c r="K62" s="303"/>
      <c r="L62" s="50"/>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51"/>
      <c r="AR62" s="208"/>
      <c r="AS62" s="49"/>
      <c r="AT62" s="49"/>
      <c r="AU62" s="49"/>
      <c r="AV62" s="49"/>
      <c r="AW62" s="49"/>
      <c r="AX62" s="49"/>
      <c r="AY62" s="52"/>
    </row>
    <row r="63" spans="1:55" ht="13.5" customHeight="1">
      <c r="A63" s="62"/>
      <c r="B63" s="50"/>
      <c r="C63" s="49"/>
      <c r="D63" s="49"/>
      <c r="E63" s="49"/>
      <c r="F63" s="49"/>
      <c r="G63" s="49"/>
      <c r="H63" s="49"/>
      <c r="I63" s="51"/>
      <c r="J63" s="302"/>
      <c r="K63" s="303"/>
      <c r="L63" s="50"/>
      <c r="M63" s="110" t="s">
        <v>291</v>
      </c>
      <c r="N63" s="108"/>
      <c r="O63" s="108"/>
      <c r="P63" s="109"/>
      <c r="Q63" s="110" t="s">
        <v>292</v>
      </c>
      <c r="R63" s="108"/>
      <c r="S63" s="108"/>
      <c r="T63" s="108"/>
      <c r="U63" s="108"/>
      <c r="V63" s="108"/>
      <c r="W63" s="108"/>
      <c r="X63" s="108"/>
      <c r="Y63" s="108"/>
      <c r="Z63" s="109"/>
      <c r="AA63" s="110" t="s">
        <v>105</v>
      </c>
      <c r="AB63" s="108"/>
      <c r="AC63" s="108"/>
      <c r="AD63" s="108"/>
      <c r="AE63" s="108"/>
      <c r="AF63" s="108"/>
      <c r="AG63" s="108"/>
      <c r="AH63" s="108"/>
      <c r="AI63" s="108"/>
      <c r="AJ63" s="108"/>
      <c r="AK63" s="108"/>
      <c r="AL63" s="108"/>
      <c r="AM63" s="108"/>
      <c r="AN63" s="108"/>
      <c r="AO63" s="108"/>
      <c r="AP63" s="109"/>
      <c r="AQ63" s="51"/>
      <c r="AR63" s="208"/>
      <c r="AS63" s="49"/>
      <c r="AT63" s="49"/>
      <c r="AU63" s="49"/>
      <c r="AV63" s="49"/>
      <c r="AW63" s="49"/>
      <c r="AX63" s="49"/>
      <c r="AY63" s="52"/>
    </row>
    <row r="64" spans="1:55" ht="13.5" customHeight="1">
      <c r="A64" s="62"/>
      <c r="B64" s="50"/>
      <c r="C64" s="49"/>
      <c r="D64" s="49"/>
      <c r="E64" s="49"/>
      <c r="F64" s="49"/>
      <c r="G64" s="49"/>
      <c r="H64" s="49"/>
      <c r="I64" s="51"/>
      <c r="J64" s="302"/>
      <c r="K64" s="303"/>
      <c r="L64" s="50"/>
      <c r="M64" s="114" t="s">
        <v>295</v>
      </c>
      <c r="N64" s="112"/>
      <c r="O64" s="112"/>
      <c r="P64" s="113"/>
      <c r="Q64" s="114" t="s">
        <v>100</v>
      </c>
      <c r="R64" s="112"/>
      <c r="S64" s="112"/>
      <c r="T64" s="112"/>
      <c r="U64" s="112"/>
      <c r="V64" s="112"/>
      <c r="W64" s="112"/>
      <c r="X64" s="112"/>
      <c r="Y64" s="112"/>
      <c r="Z64" s="113"/>
      <c r="AA64" s="114"/>
      <c r="AB64" s="112"/>
      <c r="AC64" s="112"/>
      <c r="AD64" s="112"/>
      <c r="AE64" s="112"/>
      <c r="AF64" s="112"/>
      <c r="AG64" s="112"/>
      <c r="AH64" s="112"/>
      <c r="AI64" s="112"/>
      <c r="AJ64" s="112"/>
      <c r="AK64" s="112"/>
      <c r="AL64" s="112"/>
      <c r="AM64" s="112"/>
      <c r="AN64" s="112"/>
      <c r="AO64" s="112"/>
      <c r="AP64" s="113"/>
      <c r="AQ64" s="51"/>
      <c r="AR64" s="208"/>
      <c r="AS64" s="49"/>
      <c r="AT64" s="49"/>
      <c r="AU64" s="49"/>
      <c r="AV64" s="49"/>
      <c r="AW64" s="49"/>
      <c r="AX64" s="49"/>
      <c r="AY64" s="52"/>
    </row>
    <row r="65" spans="1:51" ht="13.5" customHeight="1">
      <c r="A65" s="62"/>
      <c r="B65" s="50"/>
      <c r="C65" s="49"/>
      <c r="D65" s="49"/>
      <c r="E65" s="49"/>
      <c r="F65" s="49"/>
      <c r="G65" s="49"/>
      <c r="H65" s="49"/>
      <c r="I65" s="51"/>
      <c r="J65" s="302"/>
      <c r="K65" s="303"/>
      <c r="L65" s="50"/>
      <c r="M65" s="114" t="s">
        <v>403</v>
      </c>
      <c r="N65" s="112"/>
      <c r="O65" s="112"/>
      <c r="P65" s="113"/>
      <c r="Q65" s="114" t="s">
        <v>404</v>
      </c>
      <c r="R65" s="112"/>
      <c r="S65" s="112"/>
      <c r="T65" s="112"/>
      <c r="U65" s="112"/>
      <c r="V65" s="112"/>
      <c r="W65" s="112"/>
      <c r="X65" s="112"/>
      <c r="Y65" s="112"/>
      <c r="Z65" s="113"/>
      <c r="AA65" s="114"/>
      <c r="AB65" s="112"/>
      <c r="AC65" s="112"/>
      <c r="AD65" s="112"/>
      <c r="AE65" s="112"/>
      <c r="AF65" s="112"/>
      <c r="AG65" s="112"/>
      <c r="AH65" s="112"/>
      <c r="AI65" s="112"/>
      <c r="AJ65" s="112"/>
      <c r="AK65" s="112"/>
      <c r="AL65" s="112"/>
      <c r="AM65" s="112"/>
      <c r="AN65" s="112"/>
      <c r="AO65" s="112"/>
      <c r="AP65" s="113"/>
      <c r="AQ65" s="51"/>
      <c r="AR65" s="208"/>
      <c r="AS65" s="49"/>
      <c r="AT65" s="49"/>
      <c r="AU65" s="49"/>
      <c r="AV65" s="49"/>
      <c r="AW65" s="49"/>
      <c r="AX65" s="49"/>
      <c r="AY65" s="52"/>
    </row>
    <row r="66" spans="1:51" ht="13.5" customHeight="1">
      <c r="A66" s="62"/>
      <c r="B66" s="50"/>
      <c r="C66" s="49"/>
      <c r="D66" s="49"/>
      <c r="E66" s="49"/>
      <c r="F66" s="49"/>
      <c r="G66" s="49"/>
      <c r="H66" s="49"/>
      <c r="I66" s="51"/>
      <c r="J66" s="302"/>
      <c r="K66" s="303"/>
      <c r="L66" s="50"/>
      <c r="M66" s="152" t="s">
        <v>296</v>
      </c>
      <c r="N66" s="284"/>
      <c r="O66" s="284"/>
      <c r="P66" s="285"/>
      <c r="Q66" s="152" t="s">
        <v>312</v>
      </c>
      <c r="R66" s="284"/>
      <c r="S66" s="284"/>
      <c r="T66" s="284"/>
      <c r="U66" s="284"/>
      <c r="V66" s="284"/>
      <c r="W66" s="284"/>
      <c r="X66" s="284"/>
      <c r="Y66" s="284"/>
      <c r="Z66" s="285"/>
      <c r="AA66" s="152"/>
      <c r="AB66" s="284"/>
      <c r="AC66" s="284"/>
      <c r="AD66" s="284"/>
      <c r="AE66" s="284"/>
      <c r="AF66" s="284"/>
      <c r="AG66" s="284"/>
      <c r="AH66" s="284"/>
      <c r="AI66" s="284"/>
      <c r="AJ66" s="284"/>
      <c r="AK66" s="284"/>
      <c r="AL66" s="284"/>
      <c r="AM66" s="284"/>
      <c r="AN66" s="284"/>
      <c r="AO66" s="284"/>
      <c r="AP66" s="285"/>
      <c r="AQ66" s="51"/>
      <c r="AR66" s="208"/>
      <c r="AS66" s="49"/>
      <c r="AT66" s="49"/>
      <c r="AU66" s="49"/>
      <c r="AV66" s="49"/>
      <c r="AW66" s="49"/>
      <c r="AX66" s="49"/>
      <c r="AY66" s="52"/>
    </row>
    <row r="67" spans="1:51" ht="13.5" customHeight="1">
      <c r="A67" s="62"/>
      <c r="B67" s="50"/>
      <c r="C67" s="49"/>
      <c r="D67" s="49"/>
      <c r="E67" s="49"/>
      <c r="F67" s="49"/>
      <c r="G67" s="49"/>
      <c r="H67" s="49"/>
      <c r="I67" s="51"/>
      <c r="J67" s="302"/>
      <c r="K67" s="303"/>
      <c r="L67" s="50"/>
      <c r="M67" s="58"/>
      <c r="N67" s="57"/>
      <c r="O67" s="57"/>
      <c r="P67" s="59"/>
      <c r="Q67" s="58" t="s">
        <v>313</v>
      </c>
      <c r="R67" s="57"/>
      <c r="S67" s="57"/>
      <c r="T67" s="57"/>
      <c r="U67" s="57"/>
      <c r="V67" s="57"/>
      <c r="W67" s="57"/>
      <c r="X67" s="57"/>
      <c r="Y67" s="57"/>
      <c r="Z67" s="59"/>
      <c r="AA67" s="58"/>
      <c r="AB67" s="57"/>
      <c r="AC67" s="57"/>
      <c r="AD67" s="57"/>
      <c r="AE67" s="57"/>
      <c r="AF67" s="57"/>
      <c r="AG67" s="57"/>
      <c r="AH67" s="57"/>
      <c r="AI67" s="57"/>
      <c r="AJ67" s="57"/>
      <c r="AK67" s="57"/>
      <c r="AL67" s="57"/>
      <c r="AM67" s="57"/>
      <c r="AN67" s="57"/>
      <c r="AO67" s="57"/>
      <c r="AP67" s="59"/>
      <c r="AQ67" s="51"/>
      <c r="AR67" s="208"/>
      <c r="AS67" s="49"/>
      <c r="AT67" s="49"/>
      <c r="AU67" s="49"/>
      <c r="AV67" s="49"/>
      <c r="AW67" s="49"/>
      <c r="AX67" s="49"/>
      <c r="AY67" s="52"/>
    </row>
    <row r="68" spans="1:51" ht="13.5" customHeight="1">
      <c r="A68" s="62"/>
      <c r="B68" s="50"/>
      <c r="C68" s="49"/>
      <c r="D68" s="49"/>
      <c r="E68" s="49"/>
      <c r="F68" s="49"/>
      <c r="G68" s="49"/>
      <c r="H68" s="49"/>
      <c r="I68" s="51"/>
      <c r="J68" s="302"/>
      <c r="K68" s="303"/>
      <c r="L68" s="50"/>
      <c r="M68" s="114" t="s">
        <v>297</v>
      </c>
      <c r="N68" s="112"/>
      <c r="O68" s="112"/>
      <c r="P68" s="113"/>
      <c r="Q68" s="114" t="s">
        <v>298</v>
      </c>
      <c r="R68" s="112"/>
      <c r="S68" s="112"/>
      <c r="T68" s="112"/>
      <c r="U68" s="112"/>
      <c r="V68" s="112"/>
      <c r="W68" s="112"/>
      <c r="X68" s="112"/>
      <c r="Y68" s="112"/>
      <c r="Z68" s="113"/>
      <c r="AA68" s="114"/>
      <c r="AB68" s="112"/>
      <c r="AC68" s="112"/>
      <c r="AD68" s="112"/>
      <c r="AE68" s="112"/>
      <c r="AF68" s="112"/>
      <c r="AG68" s="112"/>
      <c r="AH68" s="112"/>
      <c r="AI68" s="112"/>
      <c r="AJ68" s="112"/>
      <c r="AK68" s="112"/>
      <c r="AL68" s="112"/>
      <c r="AM68" s="112"/>
      <c r="AN68" s="112"/>
      <c r="AO68" s="112"/>
      <c r="AP68" s="113"/>
      <c r="AQ68" s="51"/>
      <c r="AR68" s="208"/>
      <c r="AS68" s="49"/>
      <c r="AT68" s="49"/>
      <c r="AU68" s="49"/>
      <c r="AV68" s="49"/>
      <c r="AW68" s="49"/>
      <c r="AX68" s="49"/>
      <c r="AY68" s="52"/>
    </row>
    <row r="69" spans="1:51" ht="13.5" customHeight="1">
      <c r="A69" s="62"/>
      <c r="B69" s="50"/>
      <c r="C69" s="49"/>
      <c r="D69" s="49"/>
      <c r="E69" s="49"/>
      <c r="F69" s="49"/>
      <c r="G69" s="49"/>
      <c r="H69" s="49"/>
      <c r="I69" s="51"/>
      <c r="J69" s="302"/>
      <c r="K69" s="303"/>
      <c r="L69" s="50"/>
      <c r="M69" s="152" t="s">
        <v>249</v>
      </c>
      <c r="N69" s="284"/>
      <c r="O69" s="284"/>
      <c r="P69" s="285"/>
      <c r="Q69" s="152" t="s">
        <v>299</v>
      </c>
      <c r="R69" s="284"/>
      <c r="S69" s="284"/>
      <c r="T69" s="284"/>
      <c r="U69" s="284"/>
      <c r="V69" s="284"/>
      <c r="W69" s="284"/>
      <c r="X69" s="284"/>
      <c r="Y69" s="284"/>
      <c r="Z69" s="285"/>
      <c r="AA69" s="152" t="s">
        <v>293</v>
      </c>
      <c r="AB69" s="284"/>
      <c r="AC69" s="284"/>
      <c r="AD69" s="284"/>
      <c r="AE69" s="284"/>
      <c r="AF69" s="284"/>
      <c r="AG69" s="284"/>
      <c r="AH69" s="284"/>
      <c r="AI69" s="284"/>
      <c r="AJ69" s="284"/>
      <c r="AK69" s="284"/>
      <c r="AL69" s="284"/>
      <c r="AM69" s="284"/>
      <c r="AN69" s="284"/>
      <c r="AO69" s="284"/>
      <c r="AP69" s="285"/>
      <c r="AQ69" s="51"/>
      <c r="AR69" s="208"/>
      <c r="AS69" s="49"/>
      <c r="AT69" s="49"/>
      <c r="AU69" s="49"/>
      <c r="AV69" s="49"/>
      <c r="AW69" s="49"/>
      <c r="AX69" s="49"/>
      <c r="AY69" s="52"/>
    </row>
    <row r="70" spans="1:51" ht="13.5" customHeight="1">
      <c r="A70" s="62"/>
      <c r="B70" s="50"/>
      <c r="C70" s="49"/>
      <c r="D70" s="49"/>
      <c r="E70" s="49"/>
      <c r="F70" s="49"/>
      <c r="G70" s="49"/>
      <c r="H70" s="49"/>
      <c r="I70" s="51"/>
      <c r="J70" s="302"/>
      <c r="K70" s="303"/>
      <c r="L70" s="50"/>
      <c r="M70" s="58"/>
      <c r="N70" s="57"/>
      <c r="O70" s="57"/>
      <c r="P70" s="59"/>
      <c r="Q70" s="58"/>
      <c r="R70" s="57"/>
      <c r="S70" s="57"/>
      <c r="T70" s="57"/>
      <c r="U70" s="57"/>
      <c r="V70" s="57"/>
      <c r="W70" s="57"/>
      <c r="X70" s="57"/>
      <c r="Y70" s="57"/>
      <c r="Z70" s="59"/>
      <c r="AA70" s="58" t="s">
        <v>294</v>
      </c>
      <c r="AB70" s="57"/>
      <c r="AC70" s="57"/>
      <c r="AD70" s="57"/>
      <c r="AE70" s="57"/>
      <c r="AF70" s="57"/>
      <c r="AG70" s="57"/>
      <c r="AH70" s="57"/>
      <c r="AI70" s="57"/>
      <c r="AJ70" s="57"/>
      <c r="AK70" s="57"/>
      <c r="AL70" s="57"/>
      <c r="AM70" s="57"/>
      <c r="AN70" s="57"/>
      <c r="AO70" s="57"/>
      <c r="AP70" s="59"/>
      <c r="AQ70" s="51"/>
      <c r="AR70" s="208"/>
      <c r="AS70" s="49"/>
      <c r="AT70" s="49"/>
      <c r="AU70" s="49"/>
      <c r="AV70" s="49"/>
      <c r="AW70" s="49"/>
      <c r="AX70" s="49"/>
      <c r="AY70" s="52"/>
    </row>
    <row r="71" spans="1:51" ht="13.5" customHeight="1">
      <c r="A71" s="62"/>
      <c r="B71" s="50"/>
      <c r="C71" s="49"/>
      <c r="D71" s="49"/>
      <c r="E71" s="49"/>
      <c r="F71" s="49"/>
      <c r="G71" s="49"/>
      <c r="H71" s="49"/>
      <c r="I71" s="51"/>
      <c r="J71" s="302"/>
      <c r="K71" s="303"/>
      <c r="L71" s="50"/>
      <c r="M71" s="114" t="s">
        <v>300</v>
      </c>
      <c r="N71" s="112"/>
      <c r="O71" s="112"/>
      <c r="P71" s="113"/>
      <c r="Q71" s="114" t="s">
        <v>99</v>
      </c>
      <c r="R71" s="112"/>
      <c r="S71" s="112"/>
      <c r="T71" s="112"/>
      <c r="U71" s="112"/>
      <c r="V71" s="112"/>
      <c r="W71" s="112"/>
      <c r="X71" s="112"/>
      <c r="Y71" s="112"/>
      <c r="Z71" s="113"/>
      <c r="AA71" s="114"/>
      <c r="AB71" s="112"/>
      <c r="AC71" s="112"/>
      <c r="AD71" s="112"/>
      <c r="AE71" s="112"/>
      <c r="AF71" s="112"/>
      <c r="AG71" s="112"/>
      <c r="AH71" s="112"/>
      <c r="AI71" s="112"/>
      <c r="AJ71" s="112"/>
      <c r="AK71" s="112"/>
      <c r="AL71" s="112"/>
      <c r="AM71" s="112"/>
      <c r="AN71" s="112"/>
      <c r="AO71" s="112"/>
      <c r="AP71" s="113"/>
      <c r="AQ71" s="51"/>
      <c r="AR71" s="208"/>
      <c r="AS71" s="49"/>
      <c r="AT71" s="49"/>
      <c r="AU71" s="49"/>
      <c r="AV71" s="49"/>
      <c r="AW71" s="49"/>
      <c r="AX71" s="49"/>
      <c r="AY71" s="52"/>
    </row>
    <row r="72" spans="1:51" ht="13.5" customHeight="1">
      <c r="A72" s="62"/>
      <c r="B72" s="50"/>
      <c r="C72" s="49"/>
      <c r="D72" s="49"/>
      <c r="E72" s="49"/>
      <c r="F72" s="49"/>
      <c r="G72" s="49"/>
      <c r="H72" s="49"/>
      <c r="I72" s="51"/>
      <c r="J72" s="302"/>
      <c r="K72" s="303"/>
      <c r="L72" s="50"/>
      <c r="M72" s="114" t="s">
        <v>438</v>
      </c>
      <c r="N72" s="112"/>
      <c r="O72" s="112"/>
      <c r="P72" s="113"/>
      <c r="Q72" s="114" t="s">
        <v>440</v>
      </c>
      <c r="R72" s="112"/>
      <c r="S72" s="112"/>
      <c r="T72" s="112"/>
      <c r="U72" s="112"/>
      <c r="V72" s="112"/>
      <c r="W72" s="112"/>
      <c r="X72" s="112"/>
      <c r="Y72" s="112"/>
      <c r="Z72" s="113"/>
      <c r="AA72" s="114"/>
      <c r="AB72" s="112"/>
      <c r="AC72" s="112"/>
      <c r="AD72" s="112"/>
      <c r="AE72" s="112"/>
      <c r="AF72" s="112"/>
      <c r="AG72" s="112"/>
      <c r="AH72" s="112"/>
      <c r="AI72" s="112"/>
      <c r="AJ72" s="112"/>
      <c r="AK72" s="112"/>
      <c r="AL72" s="112"/>
      <c r="AM72" s="112"/>
      <c r="AN72" s="112"/>
      <c r="AO72" s="112"/>
      <c r="AP72" s="113"/>
      <c r="AQ72" s="51"/>
      <c r="AR72" s="208"/>
      <c r="AS72" s="49"/>
      <c r="AT72" s="49"/>
      <c r="AU72" s="49"/>
      <c r="AV72" s="49"/>
      <c r="AW72" s="49"/>
      <c r="AX72" s="49"/>
      <c r="AY72" s="52"/>
    </row>
    <row r="73" spans="1:51" ht="13.5" customHeight="1">
      <c r="A73" s="62"/>
      <c r="B73" s="50"/>
      <c r="C73" s="49"/>
      <c r="D73" s="49"/>
      <c r="E73" s="49"/>
      <c r="F73" s="49"/>
      <c r="G73" s="49"/>
      <c r="H73" s="49"/>
      <c r="I73" s="51"/>
      <c r="J73" s="302"/>
      <c r="K73" s="303"/>
      <c r="L73" s="50"/>
      <c r="M73" s="114" t="s">
        <v>301</v>
      </c>
      <c r="N73" s="112"/>
      <c r="O73" s="112"/>
      <c r="P73" s="113"/>
      <c r="Q73" s="114" t="s">
        <v>302</v>
      </c>
      <c r="R73" s="112"/>
      <c r="S73" s="112"/>
      <c r="T73" s="112"/>
      <c r="U73" s="112"/>
      <c r="V73" s="112"/>
      <c r="W73" s="112"/>
      <c r="X73" s="112"/>
      <c r="Y73" s="112"/>
      <c r="Z73" s="113"/>
      <c r="AA73" s="114"/>
      <c r="AB73" s="112"/>
      <c r="AC73" s="112"/>
      <c r="AD73" s="112"/>
      <c r="AE73" s="112"/>
      <c r="AF73" s="112"/>
      <c r="AG73" s="112"/>
      <c r="AH73" s="112"/>
      <c r="AI73" s="112"/>
      <c r="AJ73" s="112"/>
      <c r="AK73" s="112"/>
      <c r="AL73" s="112"/>
      <c r="AM73" s="112"/>
      <c r="AN73" s="112"/>
      <c r="AO73" s="112"/>
      <c r="AP73" s="113"/>
      <c r="AQ73" s="51"/>
      <c r="AR73" s="208"/>
      <c r="AS73" s="49"/>
      <c r="AT73" s="49"/>
      <c r="AU73" s="49"/>
      <c r="AV73" s="49"/>
      <c r="AW73" s="49"/>
      <c r="AX73" s="49"/>
      <c r="AY73" s="52"/>
    </row>
    <row r="74" spans="1:51" ht="13.5" customHeight="1">
      <c r="A74" s="62"/>
      <c r="B74" s="50"/>
      <c r="C74" s="49"/>
      <c r="D74" s="49"/>
      <c r="E74" s="49"/>
      <c r="F74" s="49"/>
      <c r="G74" s="49"/>
      <c r="H74" s="49"/>
      <c r="I74" s="51"/>
      <c r="J74" s="302"/>
      <c r="K74" s="303"/>
      <c r="L74" s="50"/>
      <c r="M74" s="114" t="s">
        <v>303</v>
      </c>
      <c r="N74" s="112"/>
      <c r="O74" s="112"/>
      <c r="P74" s="113"/>
      <c r="Q74" s="114" t="s">
        <v>115</v>
      </c>
      <c r="R74" s="112"/>
      <c r="S74" s="112"/>
      <c r="T74" s="112"/>
      <c r="U74" s="112"/>
      <c r="V74" s="112"/>
      <c r="W74" s="112"/>
      <c r="X74" s="112"/>
      <c r="Y74" s="112"/>
      <c r="Z74" s="113"/>
      <c r="AA74" s="114"/>
      <c r="AB74" s="112"/>
      <c r="AC74" s="112"/>
      <c r="AD74" s="112"/>
      <c r="AE74" s="112"/>
      <c r="AF74" s="112"/>
      <c r="AG74" s="112"/>
      <c r="AH74" s="112"/>
      <c r="AI74" s="112"/>
      <c r="AJ74" s="112"/>
      <c r="AK74" s="112"/>
      <c r="AL74" s="112"/>
      <c r="AM74" s="112"/>
      <c r="AN74" s="112"/>
      <c r="AO74" s="112"/>
      <c r="AP74" s="113"/>
      <c r="AQ74" s="51"/>
      <c r="AR74" s="208"/>
      <c r="AS74" s="49"/>
      <c r="AT74" s="49"/>
      <c r="AU74" s="49"/>
      <c r="AV74" s="49"/>
      <c r="AW74" s="49"/>
      <c r="AX74" s="49"/>
      <c r="AY74" s="52"/>
    </row>
    <row r="75" spans="1:51" ht="13.5" customHeight="1">
      <c r="A75" s="62"/>
      <c r="B75" s="50"/>
      <c r="C75" s="49"/>
      <c r="D75" s="49"/>
      <c r="E75" s="49"/>
      <c r="F75" s="49"/>
      <c r="G75" s="49"/>
      <c r="H75" s="49"/>
      <c r="I75" s="51"/>
      <c r="J75" s="302"/>
      <c r="K75" s="303"/>
      <c r="L75" s="50"/>
      <c r="M75" s="114" t="s">
        <v>304</v>
      </c>
      <c r="N75" s="112"/>
      <c r="O75" s="112"/>
      <c r="P75" s="113"/>
      <c r="Q75" s="114" t="s">
        <v>91</v>
      </c>
      <c r="R75" s="112"/>
      <c r="S75" s="112"/>
      <c r="T75" s="112"/>
      <c r="U75" s="112"/>
      <c r="V75" s="112"/>
      <c r="W75" s="112"/>
      <c r="X75" s="112"/>
      <c r="Y75" s="112"/>
      <c r="Z75" s="113"/>
      <c r="AA75" s="114"/>
      <c r="AB75" s="112"/>
      <c r="AC75" s="112"/>
      <c r="AD75" s="112"/>
      <c r="AE75" s="112"/>
      <c r="AF75" s="112"/>
      <c r="AG75" s="112"/>
      <c r="AH75" s="112"/>
      <c r="AI75" s="112"/>
      <c r="AJ75" s="112"/>
      <c r="AK75" s="112"/>
      <c r="AL75" s="112"/>
      <c r="AM75" s="112"/>
      <c r="AN75" s="112"/>
      <c r="AO75" s="112"/>
      <c r="AP75" s="113"/>
      <c r="AQ75" s="51"/>
      <c r="AR75" s="208"/>
      <c r="AS75" s="49"/>
      <c r="AT75" s="49"/>
      <c r="AU75" s="49"/>
      <c r="AV75" s="49"/>
      <c r="AW75" s="49"/>
      <c r="AX75" s="49"/>
      <c r="AY75" s="52"/>
    </row>
    <row r="76" spans="1:51" ht="13.5" customHeight="1">
      <c r="A76" s="62"/>
      <c r="B76" s="50"/>
      <c r="C76" s="49"/>
      <c r="D76" s="49"/>
      <c r="E76" s="49"/>
      <c r="F76" s="49"/>
      <c r="G76" s="49"/>
      <c r="H76" s="49"/>
      <c r="I76" s="51"/>
      <c r="J76" s="302"/>
      <c r="K76" s="303"/>
      <c r="L76" s="50"/>
      <c r="M76" s="114" t="s">
        <v>305</v>
      </c>
      <c r="N76" s="112"/>
      <c r="O76" s="112"/>
      <c r="P76" s="113"/>
      <c r="Q76" s="114" t="s">
        <v>175</v>
      </c>
      <c r="R76" s="112"/>
      <c r="S76" s="112"/>
      <c r="T76" s="112"/>
      <c r="U76" s="112"/>
      <c r="V76" s="112"/>
      <c r="W76" s="112"/>
      <c r="X76" s="112"/>
      <c r="Y76" s="112"/>
      <c r="Z76" s="113"/>
      <c r="AA76" s="114"/>
      <c r="AB76" s="112"/>
      <c r="AC76" s="112"/>
      <c r="AD76" s="112"/>
      <c r="AE76" s="112"/>
      <c r="AF76" s="112"/>
      <c r="AG76" s="112"/>
      <c r="AH76" s="112"/>
      <c r="AI76" s="112"/>
      <c r="AJ76" s="112"/>
      <c r="AK76" s="112"/>
      <c r="AL76" s="112"/>
      <c r="AM76" s="112"/>
      <c r="AN76" s="112"/>
      <c r="AO76" s="112"/>
      <c r="AP76" s="113"/>
      <c r="AQ76" s="51"/>
      <c r="AR76" s="208"/>
      <c r="AS76" s="49"/>
      <c r="AT76" s="49"/>
      <c r="AU76" s="49"/>
      <c r="AV76" s="49"/>
      <c r="AW76" s="49"/>
      <c r="AX76" s="49"/>
      <c r="AY76" s="52"/>
    </row>
    <row r="77" spans="1:51" ht="13.5" customHeight="1">
      <c r="A77" s="62"/>
      <c r="B77" s="50"/>
      <c r="C77" s="49"/>
      <c r="D77" s="49"/>
      <c r="E77" s="49"/>
      <c r="F77" s="49"/>
      <c r="G77" s="49"/>
      <c r="H77" s="49"/>
      <c r="I77" s="51"/>
      <c r="J77" s="302"/>
      <c r="K77" s="303"/>
      <c r="L77" s="50"/>
      <c r="M77" s="114" t="s">
        <v>306</v>
      </c>
      <c r="N77" s="112"/>
      <c r="O77" s="112"/>
      <c r="P77" s="113"/>
      <c r="Q77" s="114" t="s">
        <v>307</v>
      </c>
      <c r="R77" s="112"/>
      <c r="S77" s="112"/>
      <c r="T77" s="112"/>
      <c r="U77" s="112"/>
      <c r="V77" s="112"/>
      <c r="W77" s="112"/>
      <c r="X77" s="112"/>
      <c r="Y77" s="112"/>
      <c r="Z77" s="113"/>
      <c r="AA77" s="114"/>
      <c r="AB77" s="112"/>
      <c r="AC77" s="112"/>
      <c r="AD77" s="112"/>
      <c r="AE77" s="112"/>
      <c r="AF77" s="112"/>
      <c r="AG77" s="112"/>
      <c r="AH77" s="112"/>
      <c r="AI77" s="112"/>
      <c r="AJ77" s="112"/>
      <c r="AK77" s="112"/>
      <c r="AL77" s="112"/>
      <c r="AM77" s="112"/>
      <c r="AN77" s="112"/>
      <c r="AO77" s="112"/>
      <c r="AP77" s="113"/>
      <c r="AQ77" s="51"/>
      <c r="AR77" s="208"/>
      <c r="AS77" s="49"/>
      <c r="AT77" s="49"/>
      <c r="AU77" s="49"/>
      <c r="AV77" s="49"/>
      <c r="AW77" s="49"/>
      <c r="AX77" s="49"/>
      <c r="AY77" s="52"/>
    </row>
    <row r="78" spans="1:51" ht="13.5" customHeight="1">
      <c r="A78" s="62"/>
      <c r="B78" s="50"/>
      <c r="C78" s="49"/>
      <c r="D78" s="49"/>
      <c r="E78" s="49"/>
      <c r="F78" s="49"/>
      <c r="G78" s="49"/>
      <c r="H78" s="49"/>
      <c r="I78" s="51"/>
      <c r="J78" s="302"/>
      <c r="K78" s="303"/>
      <c r="L78" s="50"/>
      <c r="M78" s="114" t="s">
        <v>308</v>
      </c>
      <c r="N78" s="112"/>
      <c r="O78" s="112"/>
      <c r="P78" s="113"/>
      <c r="Q78" s="114" t="s">
        <v>309</v>
      </c>
      <c r="R78" s="112"/>
      <c r="S78" s="112"/>
      <c r="T78" s="112"/>
      <c r="U78" s="112"/>
      <c r="V78" s="112"/>
      <c r="W78" s="112"/>
      <c r="X78" s="112"/>
      <c r="Y78" s="112"/>
      <c r="Z78" s="113"/>
      <c r="AA78" s="114"/>
      <c r="AB78" s="112"/>
      <c r="AC78" s="112"/>
      <c r="AD78" s="112"/>
      <c r="AE78" s="112"/>
      <c r="AF78" s="112"/>
      <c r="AG78" s="112"/>
      <c r="AH78" s="112"/>
      <c r="AI78" s="112"/>
      <c r="AJ78" s="112"/>
      <c r="AK78" s="112"/>
      <c r="AL78" s="112"/>
      <c r="AM78" s="112"/>
      <c r="AN78" s="112"/>
      <c r="AO78" s="112"/>
      <c r="AP78" s="113"/>
      <c r="AQ78" s="51"/>
      <c r="AR78" s="208"/>
      <c r="AS78" s="49"/>
      <c r="AT78" s="49"/>
      <c r="AU78" s="49"/>
      <c r="AV78" s="49"/>
      <c r="AW78" s="49"/>
      <c r="AX78" s="49"/>
      <c r="AY78" s="52"/>
    </row>
    <row r="79" spans="1:51" ht="13.5" customHeight="1">
      <c r="A79" s="62"/>
      <c r="B79" s="50"/>
      <c r="C79" s="49"/>
      <c r="D79" s="49"/>
      <c r="E79" s="49"/>
      <c r="F79" s="49"/>
      <c r="G79" s="49"/>
      <c r="H79" s="49"/>
      <c r="I79" s="51"/>
      <c r="J79" s="302"/>
      <c r="K79" s="303"/>
      <c r="L79" s="50"/>
      <c r="M79" s="114" t="s">
        <v>310</v>
      </c>
      <c r="N79" s="112"/>
      <c r="O79" s="112"/>
      <c r="P79" s="113"/>
      <c r="Q79" s="114" t="s">
        <v>311</v>
      </c>
      <c r="R79" s="112"/>
      <c r="S79" s="112"/>
      <c r="T79" s="112"/>
      <c r="U79" s="112"/>
      <c r="V79" s="112"/>
      <c r="W79" s="112"/>
      <c r="X79" s="112"/>
      <c r="Y79" s="112"/>
      <c r="Z79" s="113"/>
      <c r="AA79" s="114"/>
      <c r="AB79" s="112"/>
      <c r="AC79" s="112"/>
      <c r="AD79" s="112"/>
      <c r="AE79" s="112"/>
      <c r="AF79" s="112"/>
      <c r="AG79" s="112"/>
      <c r="AH79" s="112"/>
      <c r="AI79" s="112"/>
      <c r="AJ79" s="112"/>
      <c r="AK79" s="112"/>
      <c r="AL79" s="112"/>
      <c r="AM79" s="112"/>
      <c r="AN79" s="112"/>
      <c r="AO79" s="112"/>
      <c r="AP79" s="113"/>
      <c r="AQ79" s="51"/>
      <c r="AR79" s="208"/>
      <c r="AS79" s="49"/>
      <c r="AT79" s="49"/>
      <c r="AU79" s="49"/>
      <c r="AV79" s="49"/>
      <c r="AW79" s="49"/>
      <c r="AX79" s="49"/>
      <c r="AY79" s="52"/>
    </row>
    <row r="80" spans="1:51" ht="13.5" customHeight="1">
      <c r="A80" s="62"/>
      <c r="B80" s="50"/>
      <c r="C80" s="49"/>
      <c r="D80" s="49"/>
      <c r="E80" s="49"/>
      <c r="F80" s="49"/>
      <c r="G80" s="49"/>
      <c r="H80" s="49"/>
      <c r="I80" s="51"/>
      <c r="J80" s="390"/>
      <c r="K80" s="391"/>
      <c r="L80" s="50"/>
      <c r="M80" s="114" t="s">
        <v>959</v>
      </c>
      <c r="N80" s="112"/>
      <c r="O80" s="112"/>
      <c r="P80" s="113"/>
      <c r="Q80" s="114" t="s">
        <v>960</v>
      </c>
      <c r="R80" s="112"/>
      <c r="S80" s="112"/>
      <c r="T80" s="112"/>
      <c r="U80" s="112"/>
      <c r="V80" s="112"/>
      <c r="W80" s="112"/>
      <c r="X80" s="112"/>
      <c r="Y80" s="112"/>
      <c r="Z80" s="113"/>
      <c r="AA80" s="114"/>
      <c r="AB80" s="112"/>
      <c r="AC80" s="112"/>
      <c r="AD80" s="112"/>
      <c r="AE80" s="112"/>
      <c r="AF80" s="112"/>
      <c r="AG80" s="112"/>
      <c r="AH80" s="112"/>
      <c r="AI80" s="112"/>
      <c r="AJ80" s="112"/>
      <c r="AK80" s="112"/>
      <c r="AL80" s="112"/>
      <c r="AM80" s="112"/>
      <c r="AN80" s="112"/>
      <c r="AO80" s="112"/>
      <c r="AP80" s="113"/>
      <c r="AQ80" s="51"/>
      <c r="AR80" s="208"/>
      <c r="AS80" s="49"/>
      <c r="AT80" s="49"/>
      <c r="AU80" s="49"/>
      <c r="AV80" s="49"/>
      <c r="AW80" s="49"/>
      <c r="AX80" s="49"/>
      <c r="AY80" s="52"/>
    </row>
    <row r="81" spans="1:55" ht="13.5" customHeight="1">
      <c r="A81" s="62"/>
      <c r="B81" s="50"/>
      <c r="C81" s="49"/>
      <c r="D81" s="49"/>
      <c r="E81" s="49"/>
      <c r="F81" s="49"/>
      <c r="G81" s="49"/>
      <c r="H81" s="49"/>
      <c r="I81" s="51"/>
      <c r="J81" s="302"/>
      <c r="K81" s="303"/>
      <c r="L81" s="50"/>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49"/>
      <c r="AQ81" s="51"/>
      <c r="AR81" s="208"/>
      <c r="AS81" s="49"/>
      <c r="AT81" s="49"/>
      <c r="AU81" s="49"/>
      <c r="AV81" s="49"/>
      <c r="AW81" s="49"/>
      <c r="AX81" s="49"/>
      <c r="AY81" s="52"/>
    </row>
    <row r="82" spans="1:55" ht="13.5" customHeight="1">
      <c r="A82" s="56"/>
      <c r="B82" s="50"/>
      <c r="C82" s="49"/>
      <c r="D82" s="49"/>
      <c r="E82" s="49"/>
      <c r="F82" s="49"/>
      <c r="G82" s="49"/>
      <c r="H82" s="49"/>
      <c r="I82" s="51"/>
      <c r="J82" s="302"/>
      <c r="K82" s="303"/>
      <c r="L82" s="101" t="s">
        <v>770</v>
      </c>
      <c r="M82" s="102"/>
      <c r="N82" s="102"/>
      <c r="O82" s="102"/>
      <c r="P82" s="102"/>
      <c r="Q82" s="102"/>
      <c r="R82" s="102"/>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51"/>
      <c r="AR82" s="208"/>
      <c r="AS82" s="49"/>
      <c r="AT82" s="49"/>
      <c r="AU82" s="49"/>
      <c r="AV82" s="49"/>
      <c r="AW82" s="49"/>
      <c r="AX82" s="49"/>
      <c r="AY82" s="52"/>
      <c r="AZ82" s="299">
        <v>0.6</v>
      </c>
    </row>
    <row r="83" spans="1:55" ht="13.5" customHeight="1">
      <c r="A83" s="56"/>
      <c r="B83" s="50"/>
      <c r="C83" s="49"/>
      <c r="D83" s="49"/>
      <c r="E83" s="49"/>
      <c r="F83" s="49"/>
      <c r="G83" s="49"/>
      <c r="H83" s="49"/>
      <c r="I83" s="51"/>
      <c r="J83" s="302"/>
      <c r="K83" s="303"/>
      <c r="L83" s="101"/>
      <c r="M83" s="102"/>
      <c r="N83" s="102"/>
      <c r="O83" s="102"/>
      <c r="P83" s="102"/>
      <c r="Q83" s="102"/>
      <c r="R83" s="102"/>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51"/>
      <c r="AR83" s="208"/>
      <c r="AS83" s="49"/>
      <c r="AT83" s="49"/>
      <c r="AU83" s="49"/>
      <c r="AV83" s="49"/>
      <c r="AW83" s="49"/>
      <c r="AX83" s="49"/>
      <c r="AY83" s="52"/>
    </row>
    <row r="84" spans="1:55" ht="13.5" customHeight="1" thickBot="1">
      <c r="A84" s="335"/>
      <c r="B84" s="322"/>
      <c r="C84" s="323"/>
      <c r="D84" s="323"/>
      <c r="E84" s="323"/>
      <c r="F84" s="323"/>
      <c r="G84" s="323"/>
      <c r="H84" s="323"/>
      <c r="I84" s="324"/>
      <c r="J84" s="325"/>
      <c r="K84" s="326"/>
      <c r="L84" s="322" t="s">
        <v>713</v>
      </c>
      <c r="M84" s="323"/>
      <c r="N84" s="323"/>
      <c r="O84" s="323"/>
      <c r="P84" s="323"/>
      <c r="Q84" s="323"/>
      <c r="R84" s="323"/>
      <c r="S84" s="323"/>
      <c r="T84" s="323"/>
      <c r="U84" s="323"/>
      <c r="V84" s="323"/>
      <c r="W84" s="323"/>
      <c r="X84" s="323"/>
      <c r="Y84" s="323"/>
      <c r="Z84" s="323"/>
      <c r="AA84" s="323"/>
      <c r="AB84" s="323"/>
      <c r="AC84" s="323"/>
      <c r="AD84" s="323"/>
      <c r="AE84" s="323"/>
      <c r="AF84" s="323"/>
      <c r="AG84" s="323"/>
      <c r="AH84" s="323"/>
      <c r="AI84" s="323"/>
      <c r="AJ84" s="323"/>
      <c r="AK84" s="323"/>
      <c r="AL84" s="323"/>
      <c r="AM84" s="323"/>
      <c r="AN84" s="323"/>
      <c r="AO84" s="323"/>
      <c r="AP84" s="323"/>
      <c r="AQ84" s="324"/>
      <c r="AR84" s="327"/>
      <c r="AS84" s="323"/>
      <c r="AT84" s="323"/>
      <c r="AU84" s="323"/>
      <c r="AV84" s="323"/>
      <c r="AW84" s="323"/>
      <c r="AX84" s="323"/>
      <c r="AY84" s="328"/>
      <c r="AZ84" s="300">
        <v>0.1</v>
      </c>
    </row>
    <row r="85" spans="1:55" s="29" customFormat="1" ht="13.5" customHeight="1">
      <c r="A85" s="45">
        <v>3</v>
      </c>
      <c r="B85" s="64" t="s">
        <v>51</v>
      </c>
      <c r="C85" s="63"/>
      <c r="D85" s="63"/>
      <c r="E85" s="63"/>
      <c r="F85" s="63"/>
      <c r="G85" s="63"/>
      <c r="H85" s="63"/>
      <c r="I85" s="63"/>
      <c r="J85" s="98"/>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214"/>
      <c r="AS85" s="63"/>
      <c r="AT85" s="63"/>
      <c r="AU85" s="63"/>
      <c r="AV85" s="63"/>
      <c r="AW85" s="63"/>
      <c r="AX85" s="63"/>
      <c r="AY85" s="186"/>
      <c r="AZ85" s="299"/>
    </row>
    <row r="86" spans="1:55" s="29" customFormat="1" ht="13.5" customHeight="1">
      <c r="A86" s="56"/>
      <c r="B86" s="101"/>
      <c r="C86" s="49"/>
      <c r="D86" s="49"/>
      <c r="E86" s="49"/>
      <c r="F86" s="49"/>
      <c r="G86" s="49"/>
      <c r="H86" s="49"/>
      <c r="I86" s="51"/>
      <c r="J86" s="717" t="s">
        <v>56</v>
      </c>
      <c r="K86" s="718"/>
      <c r="L86" s="50" t="s">
        <v>366</v>
      </c>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51"/>
      <c r="AR86" s="208"/>
      <c r="AS86" s="49"/>
      <c r="AT86" s="49"/>
      <c r="AU86" s="49"/>
      <c r="AV86" s="49"/>
      <c r="AW86" s="49"/>
      <c r="AX86" s="49"/>
      <c r="AY86" s="52"/>
      <c r="AZ86" s="299"/>
    </row>
    <row r="87" spans="1:55" s="29" customFormat="1" ht="13.5" customHeight="1">
      <c r="A87" s="56"/>
      <c r="B87" s="101"/>
      <c r="C87" s="49"/>
      <c r="D87" s="49"/>
      <c r="E87" s="49"/>
      <c r="F87" s="49"/>
      <c r="G87" s="49"/>
      <c r="H87" s="49"/>
      <c r="I87" s="51"/>
      <c r="J87" s="302"/>
      <c r="K87" s="303"/>
      <c r="L87" s="50"/>
      <c r="M87" s="49" t="s">
        <v>703</v>
      </c>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51"/>
      <c r="AR87" s="208"/>
      <c r="AS87" s="49"/>
      <c r="AT87" s="49"/>
      <c r="AU87" s="49"/>
      <c r="AV87" s="49"/>
      <c r="AW87" s="49"/>
      <c r="AX87" s="49"/>
      <c r="AY87" s="52"/>
      <c r="AZ87" s="299"/>
    </row>
    <row r="88" spans="1:55" s="29" customFormat="1" ht="13.5" customHeight="1">
      <c r="A88" s="56"/>
      <c r="B88" s="101"/>
      <c r="C88" s="49"/>
      <c r="D88" s="49"/>
      <c r="E88" s="49"/>
      <c r="F88" s="49"/>
      <c r="G88" s="49"/>
      <c r="H88" s="49"/>
      <c r="I88" s="51"/>
      <c r="J88" s="656"/>
      <c r="K88" s="657"/>
      <c r="L88" s="50"/>
      <c r="M88" s="142"/>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51"/>
      <c r="AR88" s="208"/>
      <c r="AS88" s="49"/>
      <c r="AT88" s="49"/>
      <c r="AU88" s="49"/>
      <c r="AV88" s="49"/>
      <c r="AW88" s="49"/>
      <c r="AX88" s="49"/>
      <c r="AY88" s="52"/>
      <c r="AZ88" s="299"/>
    </row>
    <row r="89" spans="1:55" s="29" customFormat="1" ht="13.5" customHeight="1">
      <c r="A89" s="56"/>
      <c r="B89" s="101"/>
      <c r="C89" s="49"/>
      <c r="D89" s="49"/>
      <c r="E89" s="49"/>
      <c r="F89" s="49"/>
      <c r="G89" s="49"/>
      <c r="H89" s="49"/>
      <c r="I89" s="51"/>
      <c r="J89" s="656"/>
      <c r="K89" s="657"/>
      <c r="L89" s="50"/>
      <c r="M89" s="49" t="s">
        <v>226</v>
      </c>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51"/>
      <c r="AR89" s="208" t="s">
        <v>77</v>
      </c>
      <c r="AS89" s="49"/>
      <c r="AT89" s="49"/>
      <c r="AU89" s="49"/>
      <c r="AV89" s="49"/>
      <c r="AW89" s="49"/>
      <c r="AX89" s="49"/>
      <c r="AY89" s="52"/>
      <c r="AZ89" s="299"/>
    </row>
    <row r="90" spans="1:55" s="29" customFormat="1" ht="13.5" customHeight="1">
      <c r="A90" s="56"/>
      <c r="B90" s="101"/>
      <c r="C90" s="49"/>
      <c r="D90" s="49"/>
      <c r="E90" s="49"/>
      <c r="F90" s="49"/>
      <c r="G90" s="49"/>
      <c r="H90" s="49"/>
      <c r="I90" s="51"/>
      <c r="J90" s="656"/>
      <c r="K90" s="657"/>
      <c r="L90" s="50"/>
      <c r="M90" s="49"/>
      <c r="N90" s="49" t="s">
        <v>364</v>
      </c>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51"/>
      <c r="AR90" s="207" t="s">
        <v>78</v>
      </c>
      <c r="AS90" s="206"/>
      <c r="AT90" s="206"/>
      <c r="AU90" s="206"/>
      <c r="AV90" s="206"/>
      <c r="AW90" s="206"/>
      <c r="AX90" s="206"/>
      <c r="AY90" s="52" t="s">
        <v>158</v>
      </c>
      <c r="AZ90" s="299"/>
    </row>
    <row r="91" spans="1:55" s="29" customFormat="1" ht="13.5" customHeight="1">
      <c r="A91" s="56"/>
      <c r="B91" s="101"/>
      <c r="C91" s="49"/>
      <c r="D91" s="49"/>
      <c r="E91" s="49"/>
      <c r="F91" s="49"/>
      <c r="G91" s="49"/>
      <c r="H91" s="49"/>
      <c r="I91" s="51"/>
      <c r="J91" s="656"/>
      <c r="K91" s="657"/>
      <c r="L91" s="50"/>
      <c r="M91" s="49"/>
      <c r="N91" s="49" t="s">
        <v>248</v>
      </c>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51"/>
      <c r="AR91" s="208"/>
      <c r="AS91" s="49"/>
      <c r="AT91" s="49"/>
      <c r="AU91" s="49"/>
      <c r="AV91" s="49"/>
      <c r="AW91" s="49"/>
      <c r="AX91" s="49"/>
      <c r="AY91" s="52" t="s">
        <v>247</v>
      </c>
      <c r="AZ91" s="299"/>
    </row>
    <row r="92" spans="1:55" s="29" customFormat="1" ht="13.5" customHeight="1">
      <c r="A92" s="56"/>
      <c r="B92" s="101"/>
      <c r="C92" s="49"/>
      <c r="D92" s="49"/>
      <c r="E92" s="49"/>
      <c r="F92" s="49"/>
      <c r="G92" s="49"/>
      <c r="H92" s="49"/>
      <c r="I92" s="51"/>
      <c r="J92" s="302"/>
      <c r="K92" s="303"/>
      <c r="L92" s="50"/>
      <c r="M92" s="49"/>
      <c r="N92" s="49" t="s">
        <v>358</v>
      </c>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51"/>
      <c r="AR92" s="208" t="s">
        <v>351</v>
      </c>
      <c r="AS92" s="49"/>
      <c r="AT92" s="49"/>
      <c r="AU92" s="49"/>
      <c r="AV92" s="49"/>
      <c r="AW92" s="49"/>
      <c r="AX92" s="49"/>
      <c r="AY92" s="52"/>
      <c r="AZ92" s="299"/>
    </row>
    <row r="93" spans="1:55" s="29" customFormat="1" ht="13.5" customHeight="1">
      <c r="A93" s="56"/>
      <c r="B93" s="101"/>
      <c r="C93" s="49"/>
      <c r="D93" s="49"/>
      <c r="E93" s="49"/>
      <c r="F93" s="49"/>
      <c r="G93" s="49"/>
      <c r="H93" s="49"/>
      <c r="I93" s="51"/>
      <c r="J93" s="302"/>
      <c r="K93" s="303"/>
      <c r="L93" s="50"/>
      <c r="M93" s="49"/>
      <c r="N93" s="49" t="s">
        <v>359</v>
      </c>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51"/>
      <c r="AR93" s="208"/>
      <c r="AS93" s="49"/>
      <c r="AT93" s="49"/>
      <c r="AU93" s="49"/>
      <c r="AV93" s="49"/>
      <c r="AW93" s="49"/>
      <c r="AX93" s="49"/>
      <c r="AY93" s="52"/>
      <c r="AZ93" s="299"/>
    </row>
    <row r="94" spans="1:55" s="29" customFormat="1" ht="13.5" customHeight="1">
      <c r="A94" s="56"/>
      <c r="B94" s="101"/>
      <c r="C94" s="49"/>
      <c r="D94" s="49"/>
      <c r="E94" s="49"/>
      <c r="F94" s="49"/>
      <c r="G94" s="49"/>
      <c r="H94" s="49"/>
      <c r="I94" s="51"/>
      <c r="J94" s="390"/>
      <c r="K94" s="391"/>
      <c r="L94" s="50"/>
      <c r="M94" s="49"/>
      <c r="N94" s="49" t="s">
        <v>967</v>
      </c>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51"/>
      <c r="AR94" s="208"/>
      <c r="AS94" s="49"/>
      <c r="AT94" s="49"/>
      <c r="AU94" s="49"/>
      <c r="AV94" s="49"/>
      <c r="AW94" s="49"/>
      <c r="AX94" s="49"/>
      <c r="AY94" s="52"/>
      <c r="AZ94" s="299"/>
      <c r="BC94" s="29">
        <v>2.2999999999999998</v>
      </c>
    </row>
    <row r="95" spans="1:55" s="29" customFormat="1" ht="13.5" customHeight="1">
      <c r="A95" s="56"/>
      <c r="B95" s="101"/>
      <c r="C95" s="49"/>
      <c r="D95" s="49"/>
      <c r="E95" s="49"/>
      <c r="F95" s="49"/>
      <c r="G95" s="49"/>
      <c r="H95" s="49"/>
      <c r="I95" s="51"/>
      <c r="J95" s="302"/>
      <c r="K95" s="303"/>
      <c r="L95" s="50"/>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51"/>
      <c r="AR95" s="208"/>
      <c r="AS95" s="49"/>
      <c r="AT95" s="49"/>
      <c r="AU95" s="49"/>
      <c r="AV95" s="49"/>
      <c r="AW95" s="49"/>
      <c r="AX95" s="49"/>
      <c r="AY95" s="52"/>
      <c r="AZ95" s="299"/>
    </row>
    <row r="96" spans="1:55" s="29" customFormat="1" ht="13.5" customHeight="1">
      <c r="A96" s="56"/>
      <c r="B96" s="101"/>
      <c r="C96" s="49"/>
      <c r="D96" s="49"/>
      <c r="E96" s="49"/>
      <c r="F96" s="49"/>
      <c r="G96" s="49"/>
      <c r="H96" s="49"/>
      <c r="I96" s="51"/>
      <c r="J96" s="656"/>
      <c r="K96" s="657"/>
      <c r="L96" s="50"/>
      <c r="M96" s="49" t="s">
        <v>227</v>
      </c>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51"/>
      <c r="AR96" s="208" t="s">
        <v>77</v>
      </c>
      <c r="AS96" s="49"/>
      <c r="AT96" s="49"/>
      <c r="AU96" s="49"/>
      <c r="AV96" s="49"/>
      <c r="AW96" s="49"/>
      <c r="AX96" s="49"/>
      <c r="AY96" s="52"/>
      <c r="AZ96" s="299"/>
    </row>
    <row r="97" spans="1:55" s="29" customFormat="1" ht="13.5" customHeight="1">
      <c r="A97" s="56"/>
      <c r="B97" s="101"/>
      <c r="C97" s="49"/>
      <c r="D97" s="49"/>
      <c r="E97" s="49"/>
      <c r="F97" s="49"/>
      <c r="G97" s="49"/>
      <c r="H97" s="49"/>
      <c r="I97" s="51"/>
      <c r="J97" s="656"/>
      <c r="K97" s="657"/>
      <c r="L97" s="50"/>
      <c r="M97" s="49"/>
      <c r="N97" s="49" t="s">
        <v>405</v>
      </c>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51"/>
      <c r="AR97" s="208" t="s">
        <v>79</v>
      </c>
      <c r="AS97" s="49"/>
      <c r="AT97" s="49"/>
      <c r="AU97" s="49"/>
      <c r="AV97" s="49"/>
      <c r="AW97" s="49"/>
      <c r="AX97" s="49"/>
      <c r="AY97" s="52"/>
      <c r="AZ97" s="299"/>
    </row>
    <row r="98" spans="1:55" s="29" customFormat="1" ht="13.5" customHeight="1">
      <c r="A98" s="56"/>
      <c r="B98" s="101"/>
      <c r="C98" s="49"/>
      <c r="D98" s="49"/>
      <c r="E98" s="49"/>
      <c r="F98" s="49"/>
      <c r="G98" s="49"/>
      <c r="H98" s="49"/>
      <c r="I98" s="51"/>
      <c r="J98" s="302"/>
      <c r="K98" s="303"/>
      <c r="L98" s="50"/>
      <c r="M98" s="49"/>
      <c r="N98" s="49" t="s">
        <v>248</v>
      </c>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51"/>
      <c r="AR98" s="208"/>
      <c r="AS98" s="49"/>
      <c r="AT98" s="49"/>
      <c r="AU98" s="49"/>
      <c r="AV98" s="49"/>
      <c r="AW98" s="49"/>
      <c r="AX98" s="49"/>
      <c r="AY98" s="52" t="s">
        <v>247</v>
      </c>
      <c r="AZ98" s="299"/>
    </row>
    <row r="99" spans="1:55" s="29" customFormat="1" ht="13.5" customHeight="1">
      <c r="A99" s="56"/>
      <c r="B99" s="101"/>
      <c r="C99" s="49"/>
      <c r="D99" s="49"/>
      <c r="E99" s="49"/>
      <c r="F99" s="49"/>
      <c r="G99" s="49"/>
      <c r="H99" s="49"/>
      <c r="I99" s="51"/>
      <c r="J99" s="390"/>
      <c r="K99" s="391"/>
      <c r="L99" s="50"/>
      <c r="M99" s="49"/>
      <c r="N99" s="49" t="s">
        <v>958</v>
      </c>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51"/>
      <c r="AR99" s="208"/>
      <c r="AS99" s="49"/>
      <c r="AT99" s="49"/>
      <c r="AU99" s="49"/>
      <c r="AV99" s="49"/>
      <c r="AW99" s="49"/>
      <c r="AX99" s="49"/>
      <c r="AY99" s="52"/>
      <c r="AZ99" s="299"/>
    </row>
    <row r="100" spans="1:55" s="29" customFormat="1" ht="13.5" customHeight="1">
      <c r="A100" s="56"/>
      <c r="B100" s="101"/>
      <c r="C100" s="49"/>
      <c r="D100" s="49"/>
      <c r="E100" s="49"/>
      <c r="F100" s="49"/>
      <c r="G100" s="49"/>
      <c r="H100" s="49"/>
      <c r="I100" s="51"/>
      <c r="J100" s="390"/>
      <c r="K100" s="391"/>
      <c r="L100" s="50"/>
      <c r="M100" s="49"/>
      <c r="N100" s="49" t="s">
        <v>967</v>
      </c>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51"/>
      <c r="AR100" s="208"/>
      <c r="AS100" s="49"/>
      <c r="AT100" s="49"/>
      <c r="AU100" s="49"/>
      <c r="AV100" s="49"/>
      <c r="AW100" s="49"/>
      <c r="AX100" s="49"/>
      <c r="AY100" s="52"/>
      <c r="AZ100" s="299"/>
      <c r="BC100" s="29">
        <v>2.2999999999999998</v>
      </c>
    </row>
    <row r="101" spans="1:55" s="29" customFormat="1" ht="13.5" customHeight="1">
      <c r="A101" s="56"/>
      <c r="B101" s="101"/>
      <c r="C101" s="49"/>
      <c r="D101" s="49"/>
      <c r="E101" s="49"/>
      <c r="F101" s="49"/>
      <c r="G101" s="49"/>
      <c r="H101" s="49"/>
      <c r="I101" s="51"/>
      <c r="J101" s="302"/>
      <c r="K101" s="303"/>
      <c r="L101" s="50" t="s">
        <v>367</v>
      </c>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51"/>
      <c r="AR101" s="208"/>
      <c r="AS101" s="49"/>
      <c r="AT101" s="49"/>
      <c r="AU101" s="49"/>
      <c r="AV101" s="49"/>
      <c r="AW101" s="49"/>
      <c r="AX101" s="49"/>
      <c r="AY101" s="52"/>
      <c r="AZ101" s="299"/>
    </row>
    <row r="102" spans="1:55" s="29" customFormat="1" ht="13.5" customHeight="1">
      <c r="A102" s="56"/>
      <c r="B102" s="101"/>
      <c r="C102" s="49"/>
      <c r="D102" s="49"/>
      <c r="E102" s="49"/>
      <c r="F102" s="49"/>
      <c r="G102" s="49"/>
      <c r="H102" s="49"/>
      <c r="I102" s="51"/>
      <c r="J102" s="302"/>
      <c r="K102" s="303"/>
      <c r="L102" s="50"/>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t="s">
        <v>241</v>
      </c>
      <c r="AJ102" s="49"/>
      <c r="AK102" s="205"/>
      <c r="AL102" s="49"/>
      <c r="AM102" s="49"/>
      <c r="AN102" s="49"/>
      <c r="AO102" s="49"/>
      <c r="AP102" s="49"/>
      <c r="AQ102" s="51"/>
      <c r="AR102" s="208"/>
      <c r="AS102" s="49"/>
      <c r="AT102" s="49"/>
      <c r="AU102" s="49"/>
      <c r="AV102" s="49"/>
      <c r="AW102" s="49"/>
      <c r="AX102" s="49"/>
      <c r="AY102" s="52"/>
      <c r="AZ102" s="299"/>
    </row>
    <row r="103" spans="1:55" s="29" customFormat="1" ht="13.5" customHeight="1">
      <c r="A103" s="56"/>
      <c r="B103" s="101"/>
      <c r="C103" s="49"/>
      <c r="D103" s="49"/>
      <c r="E103" s="49"/>
      <c r="F103" s="49"/>
      <c r="G103" s="49"/>
      <c r="H103" s="49"/>
      <c r="I103" s="51"/>
      <c r="J103" s="302"/>
      <c r="K103" s="303"/>
      <c r="L103" s="50"/>
      <c r="M103" s="143" t="s">
        <v>365</v>
      </c>
      <c r="N103" s="306"/>
      <c r="O103" s="306"/>
      <c r="P103" s="307"/>
      <c r="Q103" s="143" t="s">
        <v>239</v>
      </c>
      <c r="R103" s="306"/>
      <c r="S103" s="306"/>
      <c r="T103" s="306"/>
      <c r="U103" s="307"/>
      <c r="V103" s="144" t="s">
        <v>257</v>
      </c>
      <c r="W103" s="144"/>
      <c r="X103" s="144"/>
      <c r="Y103" s="144"/>
      <c r="Z103" s="144"/>
      <c r="AA103" s="144"/>
      <c r="AB103" s="144"/>
      <c r="AC103" s="144"/>
      <c r="AD103" s="144"/>
      <c r="AE103" s="144"/>
      <c r="AF103" s="144"/>
      <c r="AG103" s="145"/>
      <c r="AH103" s="205"/>
      <c r="AI103" s="49" t="s">
        <v>242</v>
      </c>
      <c r="AJ103" s="49"/>
      <c r="AK103" s="205"/>
      <c r="AL103" s="49"/>
      <c r="AM103" s="49"/>
      <c r="AN103" s="49"/>
      <c r="AO103" s="49"/>
      <c r="AP103" s="49"/>
      <c r="AQ103" s="51"/>
      <c r="AR103" s="208"/>
      <c r="AS103" s="49"/>
      <c r="AT103" s="49"/>
      <c r="AU103" s="49"/>
      <c r="AV103" s="49"/>
      <c r="AW103" s="49"/>
      <c r="AX103" s="49"/>
      <c r="AY103" s="52"/>
      <c r="AZ103" s="299"/>
    </row>
    <row r="104" spans="1:55" s="29" customFormat="1" ht="13.5" customHeight="1">
      <c r="A104" s="56"/>
      <c r="B104" s="101"/>
      <c r="C104" s="49"/>
      <c r="D104" s="49"/>
      <c r="E104" s="49"/>
      <c r="F104" s="49"/>
      <c r="G104" s="49"/>
      <c r="H104" s="49"/>
      <c r="I104" s="51"/>
      <c r="J104" s="302"/>
      <c r="K104" s="303"/>
      <c r="L104" s="50"/>
      <c r="M104" s="146"/>
      <c r="N104" s="147"/>
      <c r="O104" s="147"/>
      <c r="P104" s="148"/>
      <c r="Q104" s="149"/>
      <c r="R104" s="147"/>
      <c r="S104" s="147"/>
      <c r="T104" s="150"/>
      <c r="U104" s="151"/>
      <c r="V104" s="114" t="s">
        <v>221</v>
      </c>
      <c r="W104" s="113"/>
      <c r="X104" s="114" t="s">
        <v>223</v>
      </c>
      <c r="Y104" s="112"/>
      <c r="Z104" s="112"/>
      <c r="AA104" s="113"/>
      <c r="AB104" s="114" t="s">
        <v>237</v>
      </c>
      <c r="AC104" s="112"/>
      <c r="AD104" s="112"/>
      <c r="AE104" s="112"/>
      <c r="AF104" s="112"/>
      <c r="AG104" s="113"/>
      <c r="AH104" s="205"/>
      <c r="AI104" s="49" t="s">
        <v>243</v>
      </c>
      <c r="AJ104" s="49"/>
      <c r="AK104" s="205"/>
      <c r="AL104" s="49"/>
      <c r="AM104" s="49"/>
      <c r="AN104" s="49"/>
      <c r="AO104" s="49"/>
      <c r="AP104" s="49"/>
      <c r="AQ104" s="51"/>
      <c r="AR104" s="208"/>
      <c r="AS104" s="49"/>
      <c r="AT104" s="49"/>
      <c r="AU104" s="49"/>
      <c r="AV104" s="49"/>
      <c r="AW104" s="49"/>
      <c r="AX104" s="49"/>
      <c r="AY104" s="52"/>
      <c r="AZ104" s="299"/>
    </row>
    <row r="105" spans="1:55" s="29" customFormat="1" ht="13.5" customHeight="1">
      <c r="A105" s="56"/>
      <c r="B105" s="101"/>
      <c r="C105" s="49"/>
      <c r="D105" s="49"/>
      <c r="E105" s="49"/>
      <c r="F105" s="49"/>
      <c r="G105" s="49"/>
      <c r="H105" s="49"/>
      <c r="I105" s="51"/>
      <c r="J105" s="302"/>
      <c r="K105" s="303"/>
      <c r="L105" s="50"/>
      <c r="M105" s="152" t="s">
        <v>228</v>
      </c>
      <c r="N105" s="284"/>
      <c r="O105" s="284"/>
      <c r="P105" s="285"/>
      <c r="Q105" s="152" t="s">
        <v>255</v>
      </c>
      <c r="R105" s="284"/>
      <c r="S105" s="284"/>
      <c r="T105" s="284"/>
      <c r="U105" s="285"/>
      <c r="V105" s="152" t="s">
        <v>233</v>
      </c>
      <c r="W105" s="285"/>
      <c r="X105" s="152" t="s">
        <v>230</v>
      </c>
      <c r="Y105" s="284"/>
      <c r="Z105" s="284"/>
      <c r="AA105" s="285"/>
      <c r="AB105" s="152" t="s">
        <v>230</v>
      </c>
      <c r="AC105" s="284"/>
      <c r="AD105" s="284"/>
      <c r="AE105" s="284"/>
      <c r="AF105" s="284"/>
      <c r="AG105" s="285"/>
      <c r="AH105" s="205"/>
      <c r="AI105" s="49"/>
      <c r="AJ105" s="49"/>
      <c r="AK105" s="49"/>
      <c r="AL105" s="49"/>
      <c r="AM105" s="49"/>
      <c r="AN105" s="49"/>
      <c r="AO105" s="49"/>
      <c r="AP105" s="49"/>
      <c r="AQ105" s="51"/>
      <c r="AR105" s="208"/>
      <c r="AS105" s="49"/>
      <c r="AT105" s="49"/>
      <c r="AU105" s="49"/>
      <c r="AV105" s="49"/>
      <c r="AW105" s="49"/>
      <c r="AX105" s="49"/>
      <c r="AY105" s="52"/>
      <c r="AZ105" s="299"/>
    </row>
    <row r="106" spans="1:55" s="29" customFormat="1" ht="13.5" customHeight="1">
      <c r="A106" s="56"/>
      <c r="B106" s="101"/>
      <c r="C106" s="49"/>
      <c r="D106" s="49"/>
      <c r="E106" s="49"/>
      <c r="F106" s="49"/>
      <c r="G106" s="49"/>
      <c r="H106" s="49"/>
      <c r="I106" s="51"/>
      <c r="J106" s="302"/>
      <c r="K106" s="303"/>
      <c r="L106" s="50"/>
      <c r="M106" s="58"/>
      <c r="N106" s="57"/>
      <c r="O106" s="57"/>
      <c r="P106" s="59"/>
      <c r="Q106" s="58"/>
      <c r="R106" s="57"/>
      <c r="S106" s="57"/>
      <c r="T106" s="57"/>
      <c r="U106" s="59"/>
      <c r="V106" s="58"/>
      <c r="W106" s="59"/>
      <c r="X106" s="58"/>
      <c r="Y106" s="57"/>
      <c r="Z106" s="57"/>
      <c r="AA106" s="59"/>
      <c r="AB106" s="58"/>
      <c r="AC106" s="57"/>
      <c r="AD106" s="57"/>
      <c r="AE106" s="57"/>
      <c r="AF106" s="57"/>
      <c r="AG106" s="59"/>
      <c r="AH106" s="205"/>
      <c r="AI106" s="49"/>
      <c r="AJ106" s="49"/>
      <c r="AK106" s="49"/>
      <c r="AL106" s="49"/>
      <c r="AM106" s="49"/>
      <c r="AN106" s="49"/>
      <c r="AO106" s="49"/>
      <c r="AP106" s="49"/>
      <c r="AQ106" s="51"/>
      <c r="AR106" s="208"/>
      <c r="AS106" s="49"/>
      <c r="AT106" s="49"/>
      <c r="AU106" s="49"/>
      <c r="AV106" s="49"/>
      <c r="AW106" s="49"/>
      <c r="AX106" s="49"/>
      <c r="AY106" s="52"/>
      <c r="AZ106" s="299"/>
    </row>
    <row r="107" spans="1:55" s="29" customFormat="1" ht="13.5" customHeight="1">
      <c r="A107" s="56"/>
      <c r="B107" s="101"/>
      <c r="C107" s="49"/>
      <c r="D107" s="49"/>
      <c r="E107" s="49"/>
      <c r="F107" s="49"/>
      <c r="G107" s="49"/>
      <c r="H107" s="49"/>
      <c r="I107" s="51"/>
      <c r="J107" s="302"/>
      <c r="K107" s="303"/>
      <c r="L107" s="50"/>
      <c r="M107" s="152" t="s">
        <v>229</v>
      </c>
      <c r="N107" s="284"/>
      <c r="O107" s="284"/>
      <c r="P107" s="285"/>
      <c r="Q107" s="58" t="s">
        <v>256</v>
      </c>
      <c r="R107" s="57"/>
      <c r="S107" s="57"/>
      <c r="T107" s="57"/>
      <c r="U107" s="59"/>
      <c r="V107" s="58" t="s">
        <v>235</v>
      </c>
      <c r="W107" s="59"/>
      <c r="X107" s="58" t="s">
        <v>234</v>
      </c>
      <c r="Y107" s="57"/>
      <c r="Z107" s="57"/>
      <c r="AA107" s="59"/>
      <c r="AB107" s="58" t="s">
        <v>234</v>
      </c>
      <c r="AC107" s="57"/>
      <c r="AD107" s="57"/>
      <c r="AE107" s="57"/>
      <c r="AF107" s="57"/>
      <c r="AG107" s="59"/>
      <c r="AH107" s="205"/>
      <c r="AI107" s="49"/>
      <c r="AJ107" s="49"/>
      <c r="AK107" s="49"/>
      <c r="AL107" s="49"/>
      <c r="AM107" s="49"/>
      <c r="AN107" s="49"/>
      <c r="AO107" s="49"/>
      <c r="AP107" s="49"/>
      <c r="AQ107" s="51"/>
      <c r="AR107" s="208"/>
      <c r="AS107" s="49"/>
      <c r="AT107" s="49"/>
      <c r="AU107" s="49"/>
      <c r="AV107" s="49"/>
      <c r="AW107" s="49"/>
      <c r="AX107" s="49"/>
      <c r="AY107" s="52"/>
      <c r="AZ107" s="299"/>
    </row>
    <row r="108" spans="1:55" s="29" customFormat="1" ht="13.5" customHeight="1">
      <c r="A108" s="56"/>
      <c r="B108" s="101"/>
      <c r="C108" s="49"/>
      <c r="D108" s="49"/>
      <c r="E108" s="49"/>
      <c r="F108" s="49"/>
      <c r="G108" s="49"/>
      <c r="H108" s="49"/>
      <c r="I108" s="51"/>
      <c r="J108" s="302"/>
      <c r="K108" s="303"/>
      <c r="L108" s="50"/>
      <c r="M108" s="50"/>
      <c r="N108" s="49"/>
      <c r="O108" s="49"/>
      <c r="P108" s="51"/>
      <c r="Q108" s="58" t="s">
        <v>231</v>
      </c>
      <c r="R108" s="57"/>
      <c r="S108" s="57"/>
      <c r="T108" s="57"/>
      <c r="U108" s="59"/>
      <c r="V108" s="58" t="s">
        <v>88</v>
      </c>
      <c r="W108" s="59"/>
      <c r="X108" s="58" t="s">
        <v>236</v>
      </c>
      <c r="Y108" s="57"/>
      <c r="Z108" s="57"/>
      <c r="AA108" s="59"/>
      <c r="AB108" s="58" t="s">
        <v>234</v>
      </c>
      <c r="AC108" s="57"/>
      <c r="AD108" s="57"/>
      <c r="AE108" s="57"/>
      <c r="AF108" s="57"/>
      <c r="AG108" s="59"/>
      <c r="AH108" s="205"/>
      <c r="AI108" s="49"/>
      <c r="AJ108" s="49"/>
      <c r="AK108" s="49"/>
      <c r="AL108" s="49"/>
      <c r="AM108" s="49"/>
      <c r="AN108" s="49"/>
      <c r="AO108" s="49"/>
      <c r="AP108" s="49"/>
      <c r="AQ108" s="51"/>
      <c r="AR108" s="208"/>
      <c r="AS108" s="49"/>
      <c r="AT108" s="49"/>
      <c r="AU108" s="49"/>
      <c r="AV108" s="49"/>
      <c r="AW108" s="49"/>
      <c r="AX108" s="49"/>
      <c r="AY108" s="52"/>
      <c r="AZ108" s="299"/>
    </row>
    <row r="109" spans="1:55" s="29" customFormat="1" ht="13.5" customHeight="1">
      <c r="A109" s="56"/>
      <c r="B109" s="101"/>
      <c r="C109" s="49"/>
      <c r="D109" s="49"/>
      <c r="E109" s="49"/>
      <c r="F109" s="49"/>
      <c r="G109" s="49"/>
      <c r="H109" s="49"/>
      <c r="I109" s="51"/>
      <c r="J109" s="302"/>
      <c r="K109" s="303"/>
      <c r="L109" s="50"/>
      <c r="M109" s="50"/>
      <c r="N109" s="49"/>
      <c r="O109" s="49"/>
      <c r="P109" s="51"/>
      <c r="Q109" s="152" t="s">
        <v>232</v>
      </c>
      <c r="R109" s="284"/>
      <c r="S109" s="284"/>
      <c r="T109" s="284"/>
      <c r="U109" s="285"/>
      <c r="V109" s="152" t="s">
        <v>258</v>
      </c>
      <c r="W109" s="285"/>
      <c r="X109" s="152" t="s">
        <v>88</v>
      </c>
      <c r="Y109" s="284"/>
      <c r="Z109" s="284"/>
      <c r="AA109" s="285"/>
      <c r="AB109" s="152" t="s">
        <v>280</v>
      </c>
      <c r="AC109" s="284"/>
      <c r="AD109" s="284"/>
      <c r="AE109" s="284"/>
      <c r="AF109" s="284"/>
      <c r="AG109" s="285"/>
      <c r="AH109" s="205"/>
      <c r="AI109" s="49"/>
      <c r="AJ109" s="49"/>
      <c r="AK109" s="49"/>
      <c r="AL109" s="49"/>
      <c r="AM109" s="49"/>
      <c r="AN109" s="49"/>
      <c r="AO109" s="49"/>
      <c r="AP109" s="49"/>
      <c r="AQ109" s="51"/>
      <c r="AR109" s="208"/>
      <c r="AS109" s="49"/>
      <c r="AT109" s="49"/>
      <c r="AU109" s="49"/>
      <c r="AV109" s="49"/>
      <c r="AW109" s="49"/>
      <c r="AX109" s="49"/>
      <c r="AY109" s="52"/>
      <c r="AZ109" s="299"/>
    </row>
    <row r="110" spans="1:55" s="29" customFormat="1" ht="13.5" customHeight="1">
      <c r="A110" s="56"/>
      <c r="B110" s="101"/>
      <c r="C110" s="49"/>
      <c r="D110" s="49"/>
      <c r="E110" s="49"/>
      <c r="F110" s="49"/>
      <c r="G110" s="49"/>
      <c r="H110" s="49"/>
      <c r="I110" s="51"/>
      <c r="J110" s="302"/>
      <c r="K110" s="303"/>
      <c r="L110" s="50"/>
      <c r="M110" s="50"/>
      <c r="N110" s="49"/>
      <c r="O110" s="49"/>
      <c r="P110" s="51"/>
      <c r="Q110" s="58"/>
      <c r="R110" s="57"/>
      <c r="S110" s="57"/>
      <c r="T110" s="57"/>
      <c r="U110" s="59"/>
      <c r="V110" s="58"/>
      <c r="W110" s="59"/>
      <c r="X110" s="58"/>
      <c r="Y110" s="57"/>
      <c r="Z110" s="57"/>
      <c r="AA110" s="59"/>
      <c r="AB110" s="58"/>
      <c r="AC110" s="57"/>
      <c r="AD110" s="57"/>
      <c r="AE110" s="57"/>
      <c r="AF110" s="57"/>
      <c r="AG110" s="59"/>
      <c r="AH110" s="205"/>
      <c r="AI110" s="49"/>
      <c r="AJ110" s="49"/>
      <c r="AK110" s="49"/>
      <c r="AL110" s="49"/>
      <c r="AM110" s="49"/>
      <c r="AN110" s="49"/>
      <c r="AO110" s="49"/>
      <c r="AP110" s="49"/>
      <c r="AQ110" s="51"/>
      <c r="AR110" s="208"/>
      <c r="AS110" s="49"/>
      <c r="AT110" s="49"/>
      <c r="AU110" s="49"/>
      <c r="AV110" s="49"/>
      <c r="AW110" s="49"/>
      <c r="AX110" s="49"/>
      <c r="AY110" s="52"/>
      <c r="AZ110" s="299"/>
    </row>
    <row r="111" spans="1:55" s="29" customFormat="1" ht="13.5" customHeight="1">
      <c r="A111" s="56"/>
      <c r="B111" s="101"/>
      <c r="C111" s="49"/>
      <c r="D111" s="49"/>
      <c r="E111" s="49"/>
      <c r="F111" s="49"/>
      <c r="G111" s="49"/>
      <c r="H111" s="49"/>
      <c r="I111" s="51"/>
      <c r="J111" s="302"/>
      <c r="K111" s="303"/>
      <c r="L111" s="50"/>
      <c r="M111" s="50"/>
      <c r="N111" s="49"/>
      <c r="O111" s="49"/>
      <c r="P111" s="51"/>
      <c r="Q111" s="152" t="s">
        <v>406</v>
      </c>
      <c r="R111" s="284"/>
      <c r="S111" s="284"/>
      <c r="T111" s="284"/>
      <c r="U111" s="285"/>
      <c r="V111" s="152" t="s">
        <v>59</v>
      </c>
      <c r="W111" s="285"/>
      <c r="X111" s="152" t="s">
        <v>279</v>
      </c>
      <c r="Y111" s="284"/>
      <c r="Z111" s="284"/>
      <c r="AA111" s="285"/>
      <c r="AB111" s="152" t="s">
        <v>238</v>
      </c>
      <c r="AC111" s="284"/>
      <c r="AD111" s="284"/>
      <c r="AE111" s="284"/>
      <c r="AF111" s="284"/>
      <c r="AG111" s="285"/>
      <c r="AH111" s="205"/>
      <c r="AI111" s="49"/>
      <c r="AJ111" s="49"/>
      <c r="AK111" s="49"/>
      <c r="AL111" s="49"/>
      <c r="AM111" s="49"/>
      <c r="AN111" s="49"/>
      <c r="AO111" s="49"/>
      <c r="AP111" s="49"/>
      <c r="AQ111" s="51"/>
      <c r="AR111" s="208"/>
      <c r="AS111" s="49"/>
      <c r="AT111" s="49"/>
      <c r="AU111" s="49"/>
      <c r="AV111" s="49"/>
      <c r="AW111" s="49"/>
      <c r="AX111" s="49"/>
      <c r="AY111" s="52"/>
      <c r="AZ111" s="299"/>
    </row>
    <row r="112" spans="1:55" s="29" customFormat="1" ht="13.5" customHeight="1">
      <c r="A112" s="56"/>
      <c r="B112" s="101"/>
      <c r="C112" s="49"/>
      <c r="D112" s="49"/>
      <c r="E112" s="49"/>
      <c r="F112" s="49"/>
      <c r="G112" s="49"/>
      <c r="H112" s="49"/>
      <c r="I112" s="51"/>
      <c r="J112" s="302"/>
      <c r="K112" s="303"/>
      <c r="L112" s="50"/>
      <c r="M112" s="58"/>
      <c r="N112" s="57"/>
      <c r="O112" s="57"/>
      <c r="P112" s="59"/>
      <c r="Q112" s="58"/>
      <c r="R112" s="57"/>
      <c r="S112" s="57"/>
      <c r="T112" s="57"/>
      <c r="U112" s="59"/>
      <c r="V112" s="58"/>
      <c r="W112" s="59"/>
      <c r="X112" s="58"/>
      <c r="Y112" s="57"/>
      <c r="Z112" s="57"/>
      <c r="AA112" s="59"/>
      <c r="AB112" s="58" t="s">
        <v>281</v>
      </c>
      <c r="AC112" s="57"/>
      <c r="AD112" s="57" t="s">
        <v>282</v>
      </c>
      <c r="AE112" s="57"/>
      <c r="AF112" s="57"/>
      <c r="AG112" s="59"/>
      <c r="AH112" s="205"/>
      <c r="AI112" s="49"/>
      <c r="AJ112" s="49"/>
      <c r="AK112" s="49"/>
      <c r="AL112" s="49"/>
      <c r="AM112" s="49"/>
      <c r="AN112" s="49"/>
      <c r="AO112" s="49"/>
      <c r="AP112" s="49"/>
      <c r="AQ112" s="51"/>
      <c r="AR112" s="208"/>
      <c r="AS112" s="49"/>
      <c r="AT112" s="49"/>
      <c r="AU112" s="49"/>
      <c r="AV112" s="49"/>
      <c r="AW112" s="49"/>
      <c r="AX112" s="49"/>
      <c r="AY112" s="52"/>
      <c r="AZ112" s="299"/>
    </row>
    <row r="113" spans="1:52" s="29" customFormat="1" ht="13.5" customHeight="1">
      <c r="A113" s="56"/>
      <c r="B113" s="101"/>
      <c r="C113" s="49"/>
      <c r="D113" s="49"/>
      <c r="E113" s="49"/>
      <c r="F113" s="49"/>
      <c r="G113" s="49"/>
      <c r="H113" s="49"/>
      <c r="I113" s="51"/>
      <c r="J113" s="302"/>
      <c r="K113" s="303"/>
      <c r="L113" s="50"/>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51"/>
      <c r="AR113" s="208"/>
      <c r="AS113" s="49"/>
      <c r="AT113" s="49"/>
      <c r="AU113" s="49"/>
      <c r="AV113" s="49"/>
      <c r="AW113" s="49"/>
      <c r="AX113" s="49"/>
      <c r="AY113" s="52"/>
      <c r="AZ113" s="299"/>
    </row>
    <row r="114" spans="1:52" s="29" customFormat="1" ht="13.5" customHeight="1">
      <c r="A114" s="56"/>
      <c r="B114" s="101"/>
      <c r="C114" s="49"/>
      <c r="D114" s="49"/>
      <c r="E114" s="49"/>
      <c r="F114" s="49"/>
      <c r="G114" s="49"/>
      <c r="H114" s="49"/>
      <c r="I114" s="51"/>
      <c r="J114" s="302"/>
      <c r="K114" s="303"/>
      <c r="L114" s="50"/>
      <c r="M114" s="49" t="s">
        <v>281</v>
      </c>
      <c r="N114" s="49"/>
      <c r="O114" s="49" t="s">
        <v>240</v>
      </c>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51"/>
      <c r="AR114" s="208"/>
      <c r="AS114" s="49"/>
      <c r="AT114" s="49"/>
      <c r="AU114" s="49"/>
      <c r="AV114" s="49"/>
      <c r="AW114" s="49"/>
      <c r="AX114" s="49"/>
      <c r="AY114" s="52"/>
      <c r="AZ114" s="299"/>
    </row>
    <row r="115" spans="1:52" s="29" customFormat="1" ht="13.5" customHeight="1">
      <c r="A115" s="56"/>
      <c r="B115" s="101"/>
      <c r="C115" s="49"/>
      <c r="D115" s="49"/>
      <c r="E115" s="49"/>
      <c r="F115" s="49"/>
      <c r="G115" s="49"/>
      <c r="H115" s="49"/>
      <c r="I115" s="51"/>
      <c r="J115" s="302"/>
      <c r="K115" s="303"/>
      <c r="L115" s="50"/>
      <c r="M115" s="49"/>
      <c r="N115" s="49"/>
      <c r="O115" s="49" t="s">
        <v>177</v>
      </c>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51"/>
      <c r="AR115" s="208"/>
      <c r="AS115" s="49"/>
      <c r="AT115" s="49"/>
      <c r="AU115" s="49"/>
      <c r="AV115" s="49"/>
      <c r="AW115" s="49"/>
      <c r="AX115" s="49"/>
      <c r="AY115" s="52"/>
      <c r="AZ115" s="299"/>
    </row>
    <row r="116" spans="1:52" s="29" customFormat="1" ht="13.5" customHeight="1">
      <c r="A116" s="56"/>
      <c r="B116" s="101"/>
      <c r="C116" s="49"/>
      <c r="D116" s="49"/>
      <c r="E116" s="49"/>
      <c r="F116" s="49"/>
      <c r="G116" s="49"/>
      <c r="H116" s="49"/>
      <c r="I116" s="51"/>
      <c r="J116" s="302"/>
      <c r="K116" s="303"/>
      <c r="L116" s="50"/>
      <c r="M116" s="49"/>
      <c r="N116" s="49"/>
      <c r="O116" s="49"/>
      <c r="P116" s="49" t="s">
        <v>368</v>
      </c>
      <c r="Q116" s="49"/>
      <c r="R116" s="49"/>
      <c r="S116" s="49"/>
      <c r="T116" s="49"/>
      <c r="U116" s="49"/>
      <c r="V116" s="49"/>
      <c r="W116" s="49"/>
      <c r="X116" s="49"/>
      <c r="Y116" s="49"/>
      <c r="Z116" s="49" t="s">
        <v>178</v>
      </c>
      <c r="AA116" s="49"/>
      <c r="AB116" s="49"/>
      <c r="AC116" s="49"/>
      <c r="AD116" s="49"/>
      <c r="AE116" s="49"/>
      <c r="AF116" s="49"/>
      <c r="AG116" s="49"/>
      <c r="AH116" s="49"/>
      <c r="AI116" s="49"/>
      <c r="AJ116" s="49"/>
      <c r="AK116" s="49"/>
      <c r="AL116" s="49"/>
      <c r="AM116" s="49"/>
      <c r="AN116" s="49"/>
      <c r="AO116" s="49"/>
      <c r="AP116" s="49"/>
      <c r="AQ116" s="51"/>
      <c r="AR116" s="208"/>
      <c r="AS116" s="49"/>
      <c r="AT116" s="49"/>
      <c r="AU116" s="49"/>
      <c r="AV116" s="49"/>
      <c r="AW116" s="49"/>
      <c r="AX116" s="49"/>
      <c r="AY116" s="52"/>
      <c r="AZ116" s="299"/>
    </row>
    <row r="117" spans="1:52" s="29" customFormat="1" ht="13.5" customHeight="1">
      <c r="A117" s="56"/>
      <c r="B117" s="50"/>
      <c r="C117" s="49"/>
      <c r="D117" s="49"/>
      <c r="E117" s="49"/>
      <c r="F117" s="49"/>
      <c r="G117" s="49"/>
      <c r="H117" s="49"/>
      <c r="I117" s="51"/>
      <c r="J117" s="302"/>
      <c r="K117" s="303"/>
      <c r="L117" s="50"/>
      <c r="M117" s="49"/>
      <c r="N117" s="49"/>
      <c r="O117" s="49" t="s">
        <v>181</v>
      </c>
      <c r="P117" s="49"/>
      <c r="Q117" s="49"/>
      <c r="R117" s="49"/>
      <c r="S117" s="49"/>
      <c r="T117" s="49"/>
      <c r="U117" s="49"/>
      <c r="V117" s="49"/>
      <c r="W117" s="49"/>
      <c r="X117" s="49"/>
      <c r="Y117" s="49"/>
      <c r="Z117" s="49" t="s">
        <v>182</v>
      </c>
      <c r="AA117" s="49"/>
      <c r="AB117" s="49"/>
      <c r="AC117" s="49"/>
      <c r="AD117" s="49"/>
      <c r="AE117" s="49"/>
      <c r="AF117" s="49"/>
      <c r="AG117" s="49"/>
      <c r="AH117" s="49"/>
      <c r="AI117" s="49"/>
      <c r="AJ117" s="49"/>
      <c r="AK117" s="49"/>
      <c r="AL117" s="49"/>
      <c r="AM117" s="49"/>
      <c r="AN117" s="49"/>
      <c r="AO117" s="49"/>
      <c r="AP117" s="49"/>
      <c r="AQ117" s="51"/>
      <c r="AR117" s="208"/>
      <c r="AS117" s="49"/>
      <c r="AT117" s="49"/>
      <c r="AU117" s="49"/>
      <c r="AV117" s="49"/>
      <c r="AW117" s="49"/>
      <c r="AX117" s="49"/>
      <c r="AY117" s="52"/>
      <c r="AZ117" s="299"/>
    </row>
    <row r="118" spans="1:52" s="29" customFormat="1" ht="13.5" customHeight="1">
      <c r="A118" s="56"/>
      <c r="B118" s="50"/>
      <c r="C118" s="49"/>
      <c r="D118" s="49"/>
      <c r="E118" s="49"/>
      <c r="F118" s="49"/>
      <c r="G118" s="49"/>
      <c r="H118" s="49"/>
      <c r="I118" s="51"/>
      <c r="J118" s="302"/>
      <c r="K118" s="303"/>
      <c r="L118" s="50"/>
      <c r="M118" s="49" t="s">
        <v>282</v>
      </c>
      <c r="N118" s="49"/>
      <c r="O118" s="49" t="s">
        <v>441</v>
      </c>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51"/>
      <c r="AR118" s="208"/>
      <c r="AS118" s="49"/>
      <c r="AT118" s="49"/>
      <c r="AU118" s="49"/>
      <c r="AV118" s="49"/>
      <c r="AW118" s="49"/>
      <c r="AX118" s="49"/>
      <c r="AY118" s="52"/>
      <c r="AZ118" s="299"/>
    </row>
    <row r="119" spans="1:52" s="29" customFormat="1" ht="13.5" customHeight="1">
      <c r="A119" s="56"/>
      <c r="B119" s="50"/>
      <c r="C119" s="49"/>
      <c r="D119" s="49"/>
      <c r="E119" s="49"/>
      <c r="F119" s="49"/>
      <c r="G119" s="49"/>
      <c r="H119" s="49"/>
      <c r="I119" s="51"/>
      <c r="J119" s="302"/>
      <c r="K119" s="303"/>
      <c r="L119" s="50"/>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51"/>
      <c r="AR119" s="208"/>
      <c r="AS119" s="49"/>
      <c r="AT119" s="49"/>
      <c r="AU119" s="49"/>
      <c r="AV119" s="49"/>
      <c r="AW119" s="49"/>
      <c r="AX119" s="49"/>
      <c r="AY119" s="52"/>
      <c r="AZ119" s="299"/>
    </row>
    <row r="120" spans="1:52" s="29" customFormat="1" ht="13.5" customHeight="1">
      <c r="A120" s="56"/>
      <c r="B120" s="50"/>
      <c r="C120" s="49"/>
      <c r="D120" s="49"/>
      <c r="E120" s="49"/>
      <c r="F120" s="49"/>
      <c r="G120" s="49"/>
      <c r="H120" s="49"/>
      <c r="I120" s="51"/>
      <c r="J120" s="302"/>
      <c r="K120" s="303"/>
      <c r="L120" s="50"/>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51"/>
      <c r="AR120" s="208"/>
      <c r="AS120" s="49"/>
      <c r="AT120" s="49"/>
      <c r="AU120" s="49"/>
      <c r="AV120" s="49"/>
      <c r="AW120" s="49"/>
      <c r="AX120" s="49"/>
      <c r="AY120" s="52"/>
      <c r="AZ120" s="299"/>
    </row>
    <row r="121" spans="1:52" s="29" customFormat="1" ht="13.5" customHeight="1">
      <c r="A121" s="61"/>
      <c r="B121" s="58"/>
      <c r="C121" s="57"/>
      <c r="D121" s="57"/>
      <c r="E121" s="57"/>
      <c r="F121" s="57"/>
      <c r="G121" s="57"/>
      <c r="H121" s="57"/>
      <c r="I121" s="59"/>
      <c r="J121" s="304"/>
      <c r="K121" s="305"/>
      <c r="L121" s="58"/>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9"/>
      <c r="AR121" s="192"/>
      <c r="AS121" s="57"/>
      <c r="AT121" s="57"/>
      <c r="AU121" s="57"/>
      <c r="AV121" s="57"/>
      <c r="AW121" s="57"/>
      <c r="AX121" s="57"/>
      <c r="AY121" s="60"/>
      <c r="AZ121" s="299"/>
    </row>
    <row r="122" spans="1:52" ht="13.5" customHeight="1">
      <c r="A122" s="45">
        <v>4</v>
      </c>
      <c r="B122" s="64" t="s">
        <v>74</v>
      </c>
      <c r="C122" s="63"/>
      <c r="D122" s="63"/>
      <c r="E122" s="63"/>
      <c r="F122" s="63"/>
      <c r="G122" s="63"/>
      <c r="H122" s="63"/>
      <c r="I122" s="63"/>
      <c r="J122" s="98"/>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214"/>
      <c r="AS122" s="63"/>
      <c r="AT122" s="63"/>
      <c r="AU122" s="63"/>
      <c r="AV122" s="63"/>
      <c r="AW122" s="63"/>
      <c r="AX122" s="63"/>
      <c r="AY122" s="184"/>
    </row>
    <row r="123" spans="1:52" ht="13.5" customHeight="1">
      <c r="A123" s="56"/>
      <c r="B123" s="50"/>
      <c r="C123" s="49"/>
      <c r="D123" s="49"/>
      <c r="E123" s="49"/>
      <c r="F123" s="49"/>
      <c r="G123" s="49"/>
      <c r="H123" s="49"/>
      <c r="I123" s="51"/>
      <c r="J123" s="656" t="s">
        <v>705</v>
      </c>
      <c r="K123" s="657"/>
      <c r="L123" s="50" t="s">
        <v>80</v>
      </c>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51"/>
      <c r="AR123" s="208"/>
      <c r="AS123" s="49"/>
      <c r="AT123" s="49"/>
      <c r="AU123" s="49"/>
      <c r="AV123" s="49"/>
      <c r="AW123" s="49"/>
      <c r="AX123" s="49"/>
      <c r="AY123" s="52"/>
    </row>
    <row r="124" spans="1:52" ht="13.5" customHeight="1" thickBot="1">
      <c r="A124" s="321"/>
      <c r="B124" s="322"/>
      <c r="C124" s="323"/>
      <c r="D124" s="323"/>
      <c r="E124" s="323"/>
      <c r="F124" s="323"/>
      <c r="G124" s="323"/>
      <c r="H124" s="323"/>
      <c r="I124" s="324"/>
      <c r="J124" s="713"/>
      <c r="K124" s="714"/>
      <c r="L124" s="322"/>
      <c r="M124" s="323"/>
      <c r="N124" s="323"/>
      <c r="O124" s="323"/>
      <c r="P124" s="323"/>
      <c r="Q124" s="323"/>
      <c r="R124" s="323"/>
      <c r="S124" s="323"/>
      <c r="T124" s="323"/>
      <c r="U124" s="323"/>
      <c r="V124" s="323"/>
      <c r="W124" s="323"/>
      <c r="X124" s="323"/>
      <c r="Y124" s="323"/>
      <c r="Z124" s="323"/>
      <c r="AA124" s="323"/>
      <c r="AB124" s="323"/>
      <c r="AC124" s="323"/>
      <c r="AD124" s="323"/>
      <c r="AE124" s="323"/>
      <c r="AF124" s="323"/>
      <c r="AG124" s="323"/>
      <c r="AH124" s="323"/>
      <c r="AI124" s="323"/>
      <c r="AJ124" s="323"/>
      <c r="AK124" s="323"/>
      <c r="AL124" s="323"/>
      <c r="AM124" s="323"/>
      <c r="AN124" s="323"/>
      <c r="AO124" s="323"/>
      <c r="AP124" s="323"/>
      <c r="AQ124" s="324"/>
      <c r="AR124" s="327"/>
      <c r="AS124" s="323"/>
      <c r="AT124" s="323"/>
      <c r="AU124" s="323"/>
      <c r="AV124" s="323"/>
      <c r="AW124" s="323"/>
      <c r="AX124" s="323"/>
      <c r="AY124" s="328"/>
    </row>
    <row r="125" spans="1:52" ht="13.5" customHeight="1">
      <c r="A125" s="45">
        <v>5</v>
      </c>
      <c r="B125" s="64" t="s">
        <v>75</v>
      </c>
      <c r="C125" s="63"/>
      <c r="D125" s="63"/>
      <c r="E125" s="63"/>
      <c r="F125" s="63"/>
      <c r="G125" s="63"/>
      <c r="H125" s="63"/>
      <c r="I125" s="63"/>
      <c r="J125" s="98"/>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214"/>
      <c r="AS125" s="63"/>
      <c r="AT125" s="63"/>
      <c r="AU125" s="63"/>
      <c r="AV125" s="63"/>
      <c r="AW125" s="63"/>
      <c r="AX125" s="63"/>
      <c r="AY125" s="184"/>
    </row>
    <row r="126" spans="1:52" ht="13.5" customHeight="1">
      <c r="A126" s="56"/>
      <c r="B126" s="50"/>
      <c r="C126" s="49"/>
      <c r="D126" s="49"/>
      <c r="E126" s="49"/>
      <c r="F126" s="49"/>
      <c r="G126" s="49"/>
      <c r="H126" s="49"/>
      <c r="I126" s="51"/>
      <c r="J126" s="656" t="s">
        <v>705</v>
      </c>
      <c r="K126" s="657"/>
      <c r="L126" s="50" t="s">
        <v>81</v>
      </c>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51"/>
      <c r="AR126" s="208"/>
      <c r="AS126" s="49"/>
      <c r="AT126" s="49"/>
      <c r="AU126" s="49"/>
      <c r="AV126" s="49"/>
      <c r="AW126" s="49"/>
      <c r="AX126" s="49"/>
      <c r="AY126" s="52"/>
    </row>
    <row r="127" spans="1:52" ht="13.5" customHeight="1">
      <c r="A127" s="61"/>
      <c r="B127" s="58"/>
      <c r="C127" s="57"/>
      <c r="D127" s="57"/>
      <c r="E127" s="57"/>
      <c r="F127" s="57"/>
      <c r="G127" s="57"/>
      <c r="H127" s="57"/>
      <c r="I127" s="59"/>
      <c r="J127" s="658"/>
      <c r="K127" s="659"/>
      <c r="L127" s="58"/>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9"/>
      <c r="AR127" s="192"/>
      <c r="AS127" s="57"/>
      <c r="AT127" s="57"/>
      <c r="AU127" s="57"/>
      <c r="AV127" s="57"/>
      <c r="AW127" s="57"/>
      <c r="AX127" s="57"/>
      <c r="AY127" s="60"/>
    </row>
    <row r="128" spans="1:52" ht="13.5" customHeight="1">
      <c r="A128" s="45">
        <v>6</v>
      </c>
      <c r="B128" s="64" t="s">
        <v>262</v>
      </c>
      <c r="C128" s="63"/>
      <c r="D128" s="63"/>
      <c r="E128" s="63"/>
      <c r="F128" s="63"/>
      <c r="G128" s="63"/>
      <c r="H128" s="63"/>
      <c r="I128" s="63"/>
      <c r="J128" s="98"/>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214"/>
      <c r="AS128" s="63"/>
      <c r="AT128" s="63"/>
      <c r="AU128" s="63"/>
      <c r="AV128" s="63"/>
      <c r="AW128" s="63"/>
      <c r="AX128" s="63"/>
      <c r="AY128" s="135"/>
    </row>
    <row r="129" spans="1:55" ht="13.5" customHeight="1">
      <c r="A129" s="56"/>
      <c r="B129" s="50"/>
      <c r="C129" s="49"/>
      <c r="D129" s="49"/>
      <c r="E129" s="49"/>
      <c r="F129" s="49"/>
      <c r="G129" s="49"/>
      <c r="H129" s="49"/>
      <c r="I129" s="51"/>
      <c r="J129" s="656" t="s">
        <v>704</v>
      </c>
      <c r="K129" s="657"/>
      <c r="L129" s="101" t="s">
        <v>190</v>
      </c>
      <c r="M129" s="102"/>
      <c r="N129" s="103"/>
      <c r="O129" s="102"/>
      <c r="P129" s="102"/>
      <c r="Q129" s="102"/>
      <c r="R129" s="102"/>
      <c r="S129" s="102"/>
      <c r="T129" s="102"/>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51"/>
      <c r="AR129" s="208"/>
      <c r="AS129" s="49"/>
      <c r="AT129" s="49"/>
      <c r="AU129" s="49"/>
      <c r="AV129" s="49"/>
      <c r="AW129" s="49"/>
      <c r="AX129" s="49"/>
      <c r="AY129" s="52"/>
    </row>
    <row r="130" spans="1:55" ht="13.5" customHeight="1">
      <c r="A130" s="56"/>
      <c r="B130" s="50"/>
      <c r="C130" s="49"/>
      <c r="D130" s="49"/>
      <c r="E130" s="49"/>
      <c r="F130" s="49"/>
      <c r="G130" s="49"/>
      <c r="H130" s="49"/>
      <c r="I130" s="51"/>
      <c r="J130" s="302"/>
      <c r="K130" s="303"/>
      <c r="L130" s="101"/>
      <c r="M130" s="102" t="s">
        <v>416</v>
      </c>
      <c r="N130" s="102" t="s">
        <v>417</v>
      </c>
      <c r="O130" s="102"/>
      <c r="P130" s="102"/>
      <c r="Q130" s="102"/>
      <c r="R130" s="102"/>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51"/>
      <c r="AR130" s="208" t="s">
        <v>189</v>
      </c>
      <c r="AS130" s="49"/>
      <c r="AT130" s="49"/>
      <c r="AU130" s="49"/>
      <c r="AV130" s="49"/>
      <c r="AW130" s="49"/>
      <c r="AX130" s="49"/>
      <c r="AY130" s="52"/>
    </row>
    <row r="131" spans="1:55" ht="13.5" customHeight="1">
      <c r="A131" s="56"/>
      <c r="B131" s="50"/>
      <c r="C131" s="49"/>
      <c r="D131" s="49"/>
      <c r="E131" s="49"/>
      <c r="F131" s="49"/>
      <c r="G131" s="49"/>
      <c r="H131" s="49"/>
      <c r="I131" s="51"/>
      <c r="J131" s="302"/>
      <c r="K131" s="303"/>
      <c r="L131" s="101"/>
      <c r="M131" s="102"/>
      <c r="N131" s="102"/>
      <c r="O131" s="102"/>
      <c r="P131" s="102"/>
      <c r="Q131" s="102"/>
      <c r="R131" s="102"/>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51"/>
      <c r="AR131" s="208" t="s">
        <v>183</v>
      </c>
      <c r="AS131" s="49"/>
      <c r="AT131" s="49"/>
      <c r="AU131" s="49"/>
      <c r="AV131" s="49"/>
      <c r="AW131" s="49"/>
      <c r="AX131" s="49"/>
      <c r="AY131" s="52"/>
    </row>
    <row r="132" spans="1:55" ht="13.5" customHeight="1">
      <c r="A132" s="56"/>
      <c r="B132" s="50"/>
      <c r="C132" s="49"/>
      <c r="D132" s="49"/>
      <c r="E132" s="49"/>
      <c r="F132" s="49"/>
      <c r="G132" s="49"/>
      <c r="H132" s="49"/>
      <c r="I132" s="51"/>
      <c r="J132" s="302"/>
      <c r="K132" s="303"/>
      <c r="L132" s="101"/>
      <c r="M132" s="102" t="s">
        <v>196</v>
      </c>
      <c r="N132" s="102" t="s">
        <v>430</v>
      </c>
      <c r="O132" s="102"/>
      <c r="P132" s="102"/>
      <c r="Q132" s="102"/>
      <c r="R132" s="102"/>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51"/>
      <c r="AR132" s="208"/>
      <c r="AS132" s="49"/>
      <c r="AT132" s="49"/>
      <c r="AU132" s="49"/>
      <c r="AV132" s="49"/>
      <c r="AW132" s="49"/>
      <c r="AX132" s="49"/>
      <c r="AY132" s="52"/>
    </row>
    <row r="133" spans="1:55" ht="13.5" customHeight="1">
      <c r="A133" s="56"/>
      <c r="B133" s="50"/>
      <c r="C133" s="49"/>
      <c r="D133" s="49"/>
      <c r="E133" s="49"/>
      <c r="F133" s="49"/>
      <c r="G133" s="49"/>
      <c r="H133" s="49"/>
      <c r="I133" s="51"/>
      <c r="J133" s="302"/>
      <c r="K133" s="303"/>
      <c r="L133" s="101"/>
      <c r="M133" s="102"/>
      <c r="N133" s="102" t="s">
        <v>429</v>
      </c>
      <c r="O133" s="102"/>
      <c r="P133" s="102"/>
      <c r="Q133" s="102"/>
      <c r="R133" s="102"/>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51"/>
      <c r="AR133" s="208"/>
      <c r="AS133" s="49"/>
      <c r="AT133" s="49"/>
      <c r="AU133" s="49"/>
      <c r="AV133" s="49"/>
      <c r="AW133" s="49"/>
      <c r="AX133" s="49"/>
      <c r="AY133" s="52"/>
    </row>
    <row r="134" spans="1:55" ht="13.5" customHeight="1">
      <c r="A134" s="56"/>
      <c r="B134" s="50"/>
      <c r="C134" s="49"/>
      <c r="D134" s="49"/>
      <c r="E134" s="49"/>
      <c r="F134" s="49"/>
      <c r="G134" s="49"/>
      <c r="H134" s="49"/>
      <c r="I134" s="51"/>
      <c r="J134" s="302"/>
      <c r="K134" s="303"/>
      <c r="L134" s="101"/>
      <c r="M134" s="102"/>
      <c r="N134" s="102"/>
      <c r="O134" s="102"/>
      <c r="P134" s="102"/>
      <c r="Q134" s="102"/>
      <c r="R134" s="102"/>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51"/>
      <c r="AR134" s="208"/>
      <c r="AS134" s="49"/>
      <c r="AT134" s="49"/>
      <c r="AU134" s="49"/>
      <c r="AV134" s="49"/>
      <c r="AW134" s="49"/>
      <c r="AX134" s="49"/>
      <c r="AY134" s="52"/>
    </row>
    <row r="135" spans="1:55" ht="13.5" customHeight="1">
      <c r="A135" s="56"/>
      <c r="B135" s="50"/>
      <c r="C135" s="49"/>
      <c r="D135" s="49"/>
      <c r="E135" s="49"/>
      <c r="F135" s="49"/>
      <c r="G135" s="49"/>
      <c r="H135" s="49"/>
      <c r="I135" s="51"/>
      <c r="J135" s="302"/>
      <c r="K135" s="303"/>
      <c r="L135" s="101"/>
      <c r="M135" s="102" t="s">
        <v>220</v>
      </c>
      <c r="N135" s="102" t="s">
        <v>418</v>
      </c>
      <c r="O135" s="102"/>
      <c r="P135" s="102"/>
      <c r="Q135" s="102"/>
      <c r="R135" s="102"/>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51"/>
      <c r="AR135" s="208"/>
      <c r="AS135" s="49"/>
      <c r="AT135" s="49"/>
      <c r="AU135" s="49"/>
      <c r="AV135" s="49"/>
      <c r="AW135" s="49"/>
      <c r="AX135" s="49"/>
      <c r="AY135" s="52"/>
    </row>
    <row r="136" spans="1:55" ht="13.5" customHeight="1">
      <c r="A136" s="56"/>
      <c r="B136" s="50"/>
      <c r="C136" s="49"/>
      <c r="D136" s="49"/>
      <c r="E136" s="49"/>
      <c r="F136" s="49"/>
      <c r="G136" s="49"/>
      <c r="H136" s="49"/>
      <c r="I136" s="51"/>
      <c r="J136" s="302"/>
      <c r="K136" s="303"/>
      <c r="L136" s="101"/>
      <c r="M136" s="102"/>
      <c r="N136" s="102" t="s">
        <v>419</v>
      </c>
      <c r="O136" s="102"/>
      <c r="P136" s="102"/>
      <c r="Q136" s="102"/>
      <c r="R136" s="102"/>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51"/>
      <c r="AR136" s="208"/>
      <c r="AS136" s="49"/>
      <c r="AT136" s="49"/>
      <c r="AU136" s="49"/>
      <c r="AV136" s="49"/>
      <c r="AW136" s="49"/>
      <c r="AX136" s="49"/>
      <c r="AY136" s="52"/>
    </row>
    <row r="137" spans="1:55" ht="13.5" customHeight="1">
      <c r="A137" s="56"/>
      <c r="B137" s="50"/>
      <c r="C137" s="49"/>
      <c r="D137" s="49"/>
      <c r="E137" s="49"/>
      <c r="F137" s="49"/>
      <c r="G137" s="49"/>
      <c r="H137" s="49"/>
      <c r="I137" s="51"/>
      <c r="J137" s="415"/>
      <c r="K137" s="416"/>
      <c r="L137" s="101"/>
      <c r="M137" s="102"/>
      <c r="N137" s="102"/>
      <c r="O137" s="102"/>
      <c r="P137" s="102"/>
      <c r="Q137" s="102"/>
      <c r="R137" s="102"/>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51"/>
      <c r="AR137" s="208"/>
      <c r="AS137" s="49"/>
      <c r="AT137" s="49"/>
      <c r="AU137" s="49"/>
      <c r="AV137" s="49"/>
      <c r="AW137" s="49"/>
      <c r="AX137" s="49"/>
      <c r="AY137" s="52"/>
    </row>
    <row r="138" spans="1:55" ht="13.5" customHeight="1">
      <c r="A138" s="56"/>
      <c r="B138" s="50"/>
      <c r="C138" s="49"/>
      <c r="D138" s="49"/>
      <c r="E138" s="49"/>
      <c r="F138" s="49"/>
      <c r="G138" s="49"/>
      <c r="H138" s="49"/>
      <c r="I138" s="51"/>
      <c r="J138" s="419"/>
      <c r="K138" s="420"/>
      <c r="L138" s="101"/>
      <c r="M138" s="102" t="s">
        <v>1061</v>
      </c>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377"/>
      <c r="AR138" s="396"/>
      <c r="AS138" s="102"/>
      <c r="AT138" s="102"/>
      <c r="AU138" s="102"/>
      <c r="AV138" s="102"/>
      <c r="AW138" s="102"/>
      <c r="AX138" s="102"/>
      <c r="AY138" s="52"/>
      <c r="BC138" s="38">
        <v>2.9</v>
      </c>
    </row>
    <row r="139" spans="1:55" ht="13.5" customHeight="1">
      <c r="A139" s="56"/>
      <c r="B139" s="50"/>
      <c r="C139" s="49"/>
      <c r="D139" s="49"/>
      <c r="E139" s="49"/>
      <c r="F139" s="49"/>
      <c r="G139" s="49"/>
      <c r="H139" s="49"/>
      <c r="I139" s="51"/>
      <c r="J139" s="419"/>
      <c r="K139" s="420"/>
      <c r="L139" s="101"/>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377"/>
      <c r="AR139" s="396"/>
      <c r="AS139" s="102"/>
      <c r="AT139" s="102"/>
      <c r="AU139" s="102"/>
      <c r="AV139" s="102"/>
      <c r="AW139" s="102"/>
      <c r="AX139" s="102"/>
      <c r="AY139" s="52"/>
    </row>
    <row r="140" spans="1:55" ht="13.5" customHeight="1">
      <c r="A140" s="56"/>
      <c r="B140" s="50"/>
      <c r="C140" s="49"/>
      <c r="D140" s="49"/>
      <c r="E140" s="49"/>
      <c r="F140" s="49"/>
      <c r="G140" s="49"/>
      <c r="H140" s="49"/>
      <c r="I140" s="51"/>
      <c r="J140" s="419"/>
      <c r="K140" s="420"/>
      <c r="L140" s="101"/>
      <c r="M140" s="102" t="s">
        <v>1069</v>
      </c>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377"/>
      <c r="AR140" s="396"/>
      <c r="AS140" s="102"/>
      <c r="AT140" s="102"/>
      <c r="AU140" s="102"/>
      <c r="AV140" s="102"/>
      <c r="AW140" s="102"/>
      <c r="AX140" s="102"/>
      <c r="AY140" s="52"/>
      <c r="BC140" s="38">
        <v>2.9</v>
      </c>
    </row>
    <row r="141" spans="1:55" ht="13.5" customHeight="1">
      <c r="A141" s="56"/>
      <c r="B141" s="50"/>
      <c r="C141" s="49"/>
      <c r="D141" s="49"/>
      <c r="E141" s="49"/>
      <c r="F141" s="49"/>
      <c r="G141" s="49"/>
      <c r="H141" s="49"/>
      <c r="I141" s="51"/>
      <c r="J141" s="428"/>
      <c r="K141" s="429"/>
      <c r="L141" s="101"/>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377"/>
      <c r="AR141" s="396"/>
      <c r="AS141" s="102"/>
      <c r="AT141" s="102"/>
      <c r="AU141" s="102"/>
      <c r="AV141" s="102"/>
      <c r="AW141" s="102"/>
      <c r="AX141" s="102"/>
      <c r="AY141" s="52"/>
    </row>
    <row r="142" spans="1:55" ht="13.5" customHeight="1">
      <c r="A142" s="62"/>
      <c r="B142" s="101"/>
      <c r="C142" s="102"/>
      <c r="D142" s="102"/>
      <c r="E142" s="102"/>
      <c r="F142" s="102"/>
      <c r="G142" s="102"/>
      <c r="H142" s="102"/>
      <c r="I142" s="377"/>
      <c r="J142" s="433"/>
      <c r="K142" s="434"/>
      <c r="L142" s="101"/>
      <c r="M142" s="102" t="s">
        <v>1120</v>
      </c>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377"/>
      <c r="AR142" s="396"/>
      <c r="AS142" s="102"/>
      <c r="AT142" s="102"/>
      <c r="AU142" s="102"/>
      <c r="AV142" s="102"/>
      <c r="AW142" s="102"/>
      <c r="AX142" s="102"/>
      <c r="AY142" s="406"/>
      <c r="BC142" s="38">
        <v>3.1</v>
      </c>
    </row>
    <row r="143" spans="1:55" ht="13.5" customHeight="1">
      <c r="A143" s="62"/>
      <c r="B143" s="101"/>
      <c r="C143" s="102"/>
      <c r="D143" s="102"/>
      <c r="E143" s="102"/>
      <c r="F143" s="102"/>
      <c r="G143" s="102"/>
      <c r="H143" s="102"/>
      <c r="I143" s="377"/>
      <c r="J143" s="433"/>
      <c r="K143" s="434"/>
      <c r="L143" s="101"/>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377"/>
      <c r="AR143" s="396"/>
      <c r="AS143" s="102"/>
      <c r="AT143" s="102"/>
      <c r="AU143" s="102"/>
      <c r="AV143" s="102"/>
      <c r="AW143" s="102"/>
      <c r="AX143" s="102"/>
      <c r="AY143" s="406"/>
    </row>
    <row r="144" spans="1:55" ht="13.5" customHeight="1">
      <c r="A144" s="62"/>
      <c r="B144" s="101"/>
      <c r="C144" s="102"/>
      <c r="D144" s="102"/>
      <c r="E144" s="102"/>
      <c r="F144" s="102"/>
      <c r="G144" s="102"/>
      <c r="H144" s="102"/>
      <c r="I144" s="377"/>
      <c r="J144" s="433"/>
      <c r="K144" s="434"/>
      <c r="L144" s="101"/>
      <c r="M144" s="102" t="s">
        <v>1121</v>
      </c>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377"/>
      <c r="AR144" s="396"/>
      <c r="AS144" s="102"/>
      <c r="AT144" s="102"/>
      <c r="AU144" s="102"/>
      <c r="AV144" s="102"/>
      <c r="AW144" s="102"/>
      <c r="AX144" s="102"/>
      <c r="AY144" s="406"/>
      <c r="BC144" s="38">
        <v>3.1</v>
      </c>
    </row>
    <row r="145" spans="1:52" ht="13.5" customHeight="1">
      <c r="A145" s="62"/>
      <c r="B145" s="101"/>
      <c r="C145" s="102"/>
      <c r="D145" s="102"/>
      <c r="E145" s="102"/>
      <c r="F145" s="102"/>
      <c r="G145" s="102"/>
      <c r="H145" s="102"/>
      <c r="I145" s="377"/>
      <c r="J145" s="433"/>
      <c r="K145" s="434"/>
      <c r="L145" s="101"/>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377"/>
      <c r="AR145" s="396"/>
      <c r="AS145" s="102"/>
      <c r="AT145" s="102"/>
      <c r="AU145" s="102"/>
      <c r="AV145" s="102"/>
      <c r="AW145" s="102"/>
      <c r="AX145" s="102"/>
      <c r="AY145" s="406"/>
    </row>
    <row r="146" spans="1:52" ht="13.5" customHeight="1">
      <c r="A146" s="56"/>
      <c r="B146" s="50"/>
      <c r="C146" s="49"/>
      <c r="D146" s="49"/>
      <c r="E146" s="49"/>
      <c r="F146" s="49"/>
      <c r="G146" s="49"/>
      <c r="H146" s="49"/>
      <c r="I146" s="51"/>
      <c r="J146" s="656"/>
      <c r="K146" s="657"/>
      <c r="L146" s="101" t="s">
        <v>191</v>
      </c>
      <c r="M146" s="102"/>
      <c r="N146" s="102"/>
      <c r="O146" s="102"/>
      <c r="P146" s="102"/>
      <c r="Q146" s="102"/>
      <c r="R146" s="102"/>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51"/>
      <c r="AR146" s="208" t="s">
        <v>57</v>
      </c>
      <c r="AS146" s="49"/>
      <c r="AT146" s="49"/>
      <c r="AU146" s="49"/>
      <c r="AV146" s="49"/>
      <c r="AW146" s="49"/>
      <c r="AX146" s="49"/>
      <c r="AY146" s="52"/>
    </row>
    <row r="147" spans="1:52" ht="13.5" customHeight="1">
      <c r="A147" s="56"/>
      <c r="B147" s="50"/>
      <c r="C147" s="49"/>
      <c r="D147" s="49"/>
      <c r="E147" s="49"/>
      <c r="F147" s="49"/>
      <c r="G147" s="49"/>
      <c r="H147" s="49"/>
      <c r="I147" s="51"/>
      <c r="J147" s="302"/>
      <c r="K147" s="303"/>
      <c r="L147" s="101"/>
      <c r="M147" s="102" t="s">
        <v>97</v>
      </c>
      <c r="N147" s="102"/>
      <c r="O147" s="102"/>
      <c r="P147" s="102"/>
      <c r="Q147" s="102"/>
      <c r="R147" s="102"/>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51"/>
      <c r="AR147" s="208" t="s">
        <v>168</v>
      </c>
      <c r="AS147" s="49"/>
      <c r="AT147" s="49"/>
      <c r="AU147" s="49"/>
      <c r="AV147" s="49"/>
      <c r="AW147" s="49"/>
      <c r="AX147" s="49"/>
      <c r="AY147" s="52"/>
    </row>
    <row r="148" spans="1:52" ht="13.5" customHeight="1">
      <c r="A148" s="56"/>
      <c r="B148" s="50"/>
      <c r="C148" s="49"/>
      <c r="D148" s="49"/>
      <c r="E148" s="49"/>
      <c r="F148" s="49"/>
      <c r="G148" s="49"/>
      <c r="H148" s="49"/>
      <c r="I148" s="51"/>
      <c r="J148" s="302"/>
      <c r="K148" s="303"/>
      <c r="L148" s="101"/>
      <c r="M148" s="49" t="s">
        <v>703</v>
      </c>
      <c r="N148" s="102"/>
      <c r="O148" s="102"/>
      <c r="P148" s="102"/>
      <c r="Q148" s="102"/>
      <c r="R148" s="102"/>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51"/>
      <c r="AR148" s="208" t="s">
        <v>171</v>
      </c>
      <c r="AS148" s="49"/>
      <c r="AT148" s="49"/>
      <c r="AU148" s="49"/>
      <c r="AV148" s="49"/>
      <c r="AW148" s="49"/>
      <c r="AX148" s="49"/>
      <c r="AY148" s="52"/>
    </row>
    <row r="149" spans="1:52" ht="13.5" customHeight="1">
      <c r="A149" s="56"/>
      <c r="B149" s="50"/>
      <c r="C149" s="49"/>
      <c r="D149" s="49"/>
      <c r="E149" s="49"/>
      <c r="F149" s="49"/>
      <c r="G149" s="49"/>
      <c r="H149" s="49"/>
      <c r="I149" s="51"/>
      <c r="J149" s="302"/>
      <c r="K149" s="303"/>
      <c r="L149" s="101"/>
      <c r="M149" s="102"/>
      <c r="N149" s="102"/>
      <c r="O149" s="102"/>
      <c r="P149" s="102"/>
      <c r="Q149" s="102"/>
      <c r="R149" s="102"/>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51"/>
      <c r="AR149" s="208"/>
      <c r="AS149" s="49"/>
      <c r="AT149" s="49"/>
      <c r="AU149" s="49"/>
      <c r="AV149" s="49"/>
      <c r="AW149" s="49"/>
      <c r="AX149" s="49"/>
      <c r="AY149" s="52"/>
    </row>
    <row r="150" spans="1:52" ht="13.5" customHeight="1">
      <c r="A150" s="56"/>
      <c r="B150" s="50"/>
      <c r="C150" s="49"/>
      <c r="D150" s="49"/>
      <c r="E150" s="49"/>
      <c r="F150" s="49"/>
      <c r="G150" s="49"/>
      <c r="H150" s="49"/>
      <c r="I150" s="51"/>
      <c r="J150" s="656"/>
      <c r="K150" s="657"/>
      <c r="L150" s="101" t="s">
        <v>192</v>
      </c>
      <c r="M150" s="102"/>
      <c r="N150" s="102"/>
      <c r="O150" s="102"/>
      <c r="P150" s="102"/>
      <c r="Q150" s="102"/>
      <c r="R150" s="102"/>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51"/>
      <c r="AR150" s="208"/>
      <c r="AS150" s="49"/>
      <c r="AT150" s="49"/>
      <c r="AU150" s="49"/>
      <c r="AV150" s="49"/>
      <c r="AW150" s="49"/>
      <c r="AX150" s="49"/>
      <c r="AY150" s="52"/>
    </row>
    <row r="151" spans="1:52" ht="13.5" customHeight="1">
      <c r="A151" s="56"/>
      <c r="B151" s="50"/>
      <c r="C151" s="49"/>
      <c r="D151" s="49"/>
      <c r="E151" s="49"/>
      <c r="F151" s="49"/>
      <c r="G151" s="49"/>
      <c r="H151" s="49"/>
      <c r="I151" s="51"/>
      <c r="J151" s="302"/>
      <c r="K151" s="303"/>
      <c r="L151" s="101"/>
      <c r="M151" s="102" t="s">
        <v>53</v>
      </c>
      <c r="N151" s="102"/>
      <c r="O151" s="102"/>
      <c r="P151" s="102"/>
      <c r="Q151" s="102"/>
      <c r="R151" s="102"/>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51"/>
      <c r="AR151" s="208"/>
      <c r="AS151" s="49"/>
      <c r="AT151" s="49"/>
      <c r="AU151" s="49"/>
      <c r="AV151" s="49"/>
      <c r="AW151" s="49"/>
      <c r="AX151" s="49"/>
      <c r="AY151" s="52"/>
    </row>
    <row r="152" spans="1:52" s="31" customFormat="1" ht="13.5" customHeight="1">
      <c r="A152" s="56"/>
      <c r="B152" s="50"/>
      <c r="C152" s="49"/>
      <c r="D152" s="49"/>
      <c r="E152" s="49"/>
      <c r="F152" s="49"/>
      <c r="G152" s="49"/>
      <c r="H152" s="49"/>
      <c r="I152" s="51"/>
      <c r="J152" s="302"/>
      <c r="K152" s="303"/>
      <c r="L152" s="101"/>
      <c r="M152" s="102" t="s">
        <v>54</v>
      </c>
      <c r="N152" s="102"/>
      <c r="O152" s="102"/>
      <c r="P152" s="102"/>
      <c r="Q152" s="102"/>
      <c r="R152" s="102"/>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51"/>
      <c r="AR152" s="208"/>
      <c r="AS152" s="49"/>
      <c r="AT152" s="49"/>
      <c r="AU152" s="49"/>
      <c r="AV152" s="49"/>
      <c r="AW152" s="49"/>
      <c r="AX152" s="49"/>
      <c r="AY152" s="52"/>
      <c r="AZ152" s="301"/>
    </row>
    <row r="153" spans="1:52" ht="13.5" customHeight="1">
      <c r="A153" s="56"/>
      <c r="B153" s="50"/>
      <c r="C153" s="49"/>
      <c r="D153" s="49"/>
      <c r="E153" s="49"/>
      <c r="F153" s="49"/>
      <c r="G153" s="49"/>
      <c r="H153" s="49"/>
      <c r="I153" s="51"/>
      <c r="J153" s="302"/>
      <c r="K153" s="303"/>
      <c r="L153" s="101"/>
      <c r="M153" s="102"/>
      <c r="N153" s="102"/>
      <c r="O153" s="102"/>
      <c r="P153" s="102"/>
      <c r="Q153" s="102"/>
      <c r="R153" s="102"/>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51"/>
      <c r="AR153" s="208"/>
      <c r="AS153" s="49"/>
      <c r="AT153" s="49"/>
      <c r="AU153" s="49"/>
      <c r="AV153" s="49"/>
      <c r="AW153" s="49"/>
      <c r="AX153" s="49"/>
      <c r="AY153" s="52"/>
    </row>
    <row r="154" spans="1:52" ht="13.5" customHeight="1">
      <c r="A154" s="56"/>
      <c r="B154" s="50"/>
      <c r="C154" s="49"/>
      <c r="D154" s="49"/>
      <c r="E154" s="49"/>
      <c r="F154" s="49"/>
      <c r="G154" s="49"/>
      <c r="H154" s="49"/>
      <c r="I154" s="51"/>
      <c r="J154" s="302"/>
      <c r="K154" s="303"/>
      <c r="L154" s="101" t="s">
        <v>193</v>
      </c>
      <c r="M154" s="102"/>
      <c r="N154" s="102"/>
      <c r="O154" s="106"/>
      <c r="P154" s="106"/>
      <c r="Q154" s="106"/>
      <c r="R154" s="106"/>
      <c r="S154" s="46"/>
      <c r="T154" s="46"/>
      <c r="U154" s="46"/>
      <c r="V154" s="46"/>
      <c r="W154" s="49"/>
      <c r="X154" s="49"/>
      <c r="Y154" s="49"/>
      <c r="Z154" s="49"/>
      <c r="AA154" s="49"/>
      <c r="AB154" s="49"/>
      <c r="AC154" s="49"/>
      <c r="AD154" s="49"/>
      <c r="AE154" s="49"/>
      <c r="AF154" s="49"/>
      <c r="AG154" s="49"/>
      <c r="AH154" s="49"/>
      <c r="AI154" s="49"/>
      <c r="AJ154" s="49"/>
      <c r="AK154" s="49"/>
      <c r="AL154" s="49"/>
      <c r="AM154" s="49"/>
      <c r="AN154" s="49"/>
      <c r="AO154" s="49"/>
      <c r="AP154" s="49"/>
      <c r="AQ154" s="51"/>
      <c r="AR154" s="208"/>
      <c r="AS154" s="49"/>
      <c r="AT154" s="49"/>
      <c r="AU154" s="49"/>
      <c r="AV154" s="49"/>
      <c r="AW154" s="49"/>
      <c r="AX154" s="49"/>
      <c r="AY154" s="52"/>
    </row>
    <row r="155" spans="1:52" ht="13.5" customHeight="1">
      <c r="A155" s="56"/>
      <c r="B155" s="50"/>
      <c r="C155" s="49"/>
      <c r="D155" s="49"/>
      <c r="E155" s="49"/>
      <c r="F155" s="49"/>
      <c r="G155" s="49"/>
      <c r="H155" s="49"/>
      <c r="I155" s="51"/>
      <c r="J155" s="302"/>
      <c r="K155" s="303"/>
      <c r="L155" s="101"/>
      <c r="M155" s="106" t="s">
        <v>95</v>
      </c>
      <c r="N155" s="102"/>
      <c r="O155" s="102"/>
      <c r="P155" s="102"/>
      <c r="Q155" s="102"/>
      <c r="R155" s="102"/>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51"/>
      <c r="AR155" s="208" t="s">
        <v>57</v>
      </c>
      <c r="AS155" s="49"/>
      <c r="AT155" s="49"/>
      <c r="AU155" s="49"/>
      <c r="AV155" s="49"/>
      <c r="AW155" s="49"/>
      <c r="AX155" s="49"/>
      <c r="AY155" s="52"/>
    </row>
    <row r="156" spans="1:52" s="29" customFormat="1" ht="13.5" customHeight="1">
      <c r="A156" s="56"/>
      <c r="B156" s="50"/>
      <c r="C156" s="49"/>
      <c r="D156" s="49"/>
      <c r="E156" s="49"/>
      <c r="F156" s="49"/>
      <c r="G156" s="49"/>
      <c r="H156" s="49"/>
      <c r="I156" s="51"/>
      <c r="J156" s="302"/>
      <c r="K156" s="303"/>
      <c r="L156" s="50"/>
      <c r="M156" s="49" t="s">
        <v>703</v>
      </c>
      <c r="N156" s="40"/>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51"/>
      <c r="AR156" s="208" t="s">
        <v>168</v>
      </c>
      <c r="AS156" s="49"/>
      <c r="AT156" s="49"/>
      <c r="AU156" s="49"/>
      <c r="AV156" s="49"/>
      <c r="AW156" s="49"/>
      <c r="AX156" s="49"/>
      <c r="AY156" s="52"/>
      <c r="AZ156" s="299"/>
    </row>
    <row r="157" spans="1:52" ht="13.5" customHeight="1">
      <c r="A157" s="56"/>
      <c r="B157" s="50"/>
      <c r="C157" s="49"/>
      <c r="D157" s="49"/>
      <c r="E157" s="49"/>
      <c r="F157" s="49"/>
      <c r="G157" s="49"/>
      <c r="H157" s="49"/>
      <c r="I157" s="51"/>
      <c r="J157" s="302"/>
      <c r="K157" s="303"/>
      <c r="L157" s="101"/>
      <c r="M157" s="102" t="s">
        <v>96</v>
      </c>
      <c r="N157" s="127"/>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51"/>
      <c r="AR157" s="208" t="s">
        <v>170</v>
      </c>
      <c r="AS157" s="49"/>
      <c r="AT157" s="49"/>
      <c r="AU157" s="49"/>
      <c r="AV157" s="49"/>
      <c r="AW157" s="49"/>
      <c r="AX157" s="49"/>
      <c r="AY157" s="52"/>
    </row>
    <row r="158" spans="1:52" ht="13.5" customHeight="1">
      <c r="A158" s="56"/>
      <c r="B158" s="50"/>
      <c r="C158" s="49"/>
      <c r="D158" s="49"/>
      <c r="E158" s="49"/>
      <c r="F158" s="49"/>
      <c r="G158" s="49"/>
      <c r="H158" s="49"/>
      <c r="I158" s="51"/>
      <c r="J158" s="302"/>
      <c r="K158" s="303"/>
      <c r="L158" s="50"/>
      <c r="M158" s="49"/>
      <c r="N158" s="40" t="s">
        <v>631</v>
      </c>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51"/>
      <c r="AR158" s="208"/>
      <c r="AS158" s="49"/>
      <c r="AT158" s="49"/>
      <c r="AU158" s="49"/>
      <c r="AV158" s="49"/>
      <c r="AW158" s="49"/>
      <c r="AX158" s="49"/>
      <c r="AY158" s="52"/>
    </row>
    <row r="159" spans="1:52" ht="13.5" customHeight="1">
      <c r="A159" s="56"/>
      <c r="B159" s="50"/>
      <c r="C159" s="49"/>
      <c r="D159" s="49"/>
      <c r="E159" s="49"/>
      <c r="F159" s="49"/>
      <c r="G159" s="49"/>
      <c r="H159" s="49"/>
      <c r="I159" s="51"/>
      <c r="J159" s="304"/>
      <c r="K159" s="305"/>
      <c r="L159" s="58"/>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9"/>
      <c r="AR159" s="192"/>
      <c r="AS159" s="57"/>
      <c r="AT159" s="57"/>
      <c r="AU159" s="57"/>
      <c r="AV159" s="57"/>
      <c r="AW159" s="57"/>
      <c r="AX159" s="57"/>
      <c r="AY159" s="60"/>
    </row>
    <row r="160" spans="1:52" ht="13.5" customHeight="1">
      <c r="A160" s="43">
        <v>7</v>
      </c>
      <c r="B160" s="53" t="s">
        <v>73</v>
      </c>
      <c r="C160" s="54"/>
      <c r="D160" s="54"/>
      <c r="E160" s="54"/>
      <c r="F160" s="54"/>
      <c r="G160" s="54"/>
      <c r="H160" s="54"/>
      <c r="I160" s="54"/>
      <c r="J160" s="41"/>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212"/>
      <c r="AS160" s="54"/>
      <c r="AT160" s="54"/>
      <c r="AU160" s="54"/>
      <c r="AV160" s="54"/>
      <c r="AW160" s="54"/>
      <c r="AX160" s="54"/>
      <c r="AY160" s="135"/>
    </row>
    <row r="161" spans="1:51" ht="13.5" customHeight="1">
      <c r="A161" s="56"/>
      <c r="B161" s="50"/>
      <c r="C161" s="49"/>
      <c r="D161" s="49"/>
      <c r="E161" s="49"/>
      <c r="F161" s="49"/>
      <c r="G161" s="49"/>
      <c r="H161" s="49"/>
      <c r="I161" s="51"/>
      <c r="J161" s="656" t="s">
        <v>52</v>
      </c>
      <c r="K161" s="657"/>
      <c r="L161" s="101" t="s">
        <v>111</v>
      </c>
      <c r="M161" s="102"/>
      <c r="N161" s="103"/>
      <c r="O161" s="102"/>
      <c r="P161" s="102"/>
      <c r="Q161" s="102"/>
      <c r="R161" s="102"/>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51"/>
      <c r="AR161" s="208"/>
      <c r="AS161" s="49"/>
      <c r="AT161" s="49"/>
      <c r="AU161" s="49"/>
      <c r="AV161" s="49"/>
      <c r="AW161" s="49"/>
      <c r="AX161" s="49"/>
      <c r="AY161" s="52"/>
    </row>
    <row r="162" spans="1:51" ht="13.5" customHeight="1">
      <c r="A162" s="56"/>
      <c r="B162" s="50"/>
      <c r="C162" s="49"/>
      <c r="D162" s="49"/>
      <c r="E162" s="49"/>
      <c r="F162" s="49"/>
      <c r="G162" s="49"/>
      <c r="H162" s="49"/>
      <c r="I162" s="51"/>
      <c r="J162" s="302"/>
      <c r="K162" s="303"/>
      <c r="L162" s="101"/>
      <c r="M162" s="102" t="s">
        <v>109</v>
      </c>
      <c r="N162" s="102" t="s">
        <v>110</v>
      </c>
      <c r="O162" s="102"/>
      <c r="P162" s="102"/>
      <c r="Q162" s="102"/>
      <c r="R162" s="102"/>
      <c r="S162" s="49"/>
      <c r="T162" s="49"/>
      <c r="U162" s="49"/>
      <c r="V162" s="49"/>
      <c r="W162" s="49"/>
      <c r="X162" s="49"/>
      <c r="Y162" s="46"/>
      <c r="Z162" s="49"/>
      <c r="AA162" s="49"/>
      <c r="AB162" s="49"/>
      <c r="AC162" s="49"/>
      <c r="AD162" s="49"/>
      <c r="AE162" s="49"/>
      <c r="AF162" s="49"/>
      <c r="AG162" s="49"/>
      <c r="AH162" s="49"/>
      <c r="AI162" s="49"/>
      <c r="AJ162" s="49"/>
      <c r="AK162" s="49"/>
      <c r="AL162" s="49"/>
      <c r="AM162" s="49"/>
      <c r="AN162" s="49"/>
      <c r="AO162" s="49"/>
      <c r="AP162" s="49"/>
      <c r="AQ162" s="51"/>
      <c r="AR162" s="208" t="s">
        <v>58</v>
      </c>
      <c r="AS162" s="49"/>
      <c r="AT162" s="49"/>
      <c r="AU162" s="49"/>
      <c r="AV162" s="49"/>
      <c r="AW162" s="49"/>
      <c r="AX162" s="49"/>
      <c r="AY162" s="52"/>
    </row>
    <row r="163" spans="1:51" ht="13.5" customHeight="1">
      <c r="A163" s="56"/>
      <c r="B163" s="50"/>
      <c r="C163" s="49"/>
      <c r="D163" s="49"/>
      <c r="E163" s="49"/>
      <c r="F163" s="49"/>
      <c r="G163" s="49"/>
      <c r="H163" s="49"/>
      <c r="I163" s="51"/>
      <c r="J163" s="304"/>
      <c r="K163" s="305"/>
      <c r="L163" s="104"/>
      <c r="M163" s="105"/>
      <c r="N163" s="105"/>
      <c r="O163" s="105"/>
      <c r="P163" s="105"/>
      <c r="Q163" s="105"/>
      <c r="R163" s="105"/>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9"/>
      <c r="AR163" s="192"/>
      <c r="AS163" s="57"/>
      <c r="AT163" s="57"/>
      <c r="AU163" s="57"/>
      <c r="AV163" s="57"/>
      <c r="AW163" s="57"/>
      <c r="AX163" s="57"/>
      <c r="AY163" s="60"/>
    </row>
    <row r="164" spans="1:51" ht="13.5" customHeight="1">
      <c r="A164" s="56"/>
      <c r="B164" s="50"/>
      <c r="C164" s="49"/>
      <c r="D164" s="49"/>
      <c r="E164" s="49"/>
      <c r="F164" s="49"/>
      <c r="G164" s="49"/>
      <c r="H164" s="49"/>
      <c r="I164" s="51"/>
      <c r="J164" s="656" t="s">
        <v>108</v>
      </c>
      <c r="K164" s="657"/>
      <c r="L164" s="101" t="s">
        <v>278</v>
      </c>
      <c r="M164" s="102"/>
      <c r="N164" s="102"/>
      <c r="O164" s="102"/>
      <c r="P164" s="102"/>
      <c r="Q164" s="102"/>
      <c r="R164" s="102"/>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51"/>
      <c r="AR164" s="208" t="s">
        <v>283</v>
      </c>
      <c r="AS164" s="49"/>
      <c r="AT164" s="49"/>
      <c r="AU164" s="49"/>
      <c r="AV164" s="49"/>
      <c r="AW164" s="49"/>
      <c r="AX164" s="49"/>
      <c r="AY164" s="52"/>
    </row>
    <row r="165" spans="1:51" ht="13.5" customHeight="1">
      <c r="A165" s="56"/>
      <c r="B165" s="50"/>
      <c r="C165" s="49"/>
      <c r="D165" s="49"/>
      <c r="E165" s="49"/>
      <c r="F165" s="49"/>
      <c r="G165" s="49"/>
      <c r="H165" s="49"/>
      <c r="I165" s="51"/>
      <c r="J165" s="426"/>
      <c r="K165" s="427"/>
      <c r="L165" s="101"/>
      <c r="M165" s="106"/>
      <c r="N165" s="102"/>
      <c r="O165" s="102"/>
      <c r="P165" s="102"/>
      <c r="Q165" s="102"/>
      <c r="R165" s="102"/>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51"/>
      <c r="AR165" s="208"/>
      <c r="AS165" s="49"/>
      <c r="AT165" s="49"/>
      <c r="AU165" s="49"/>
      <c r="AV165" s="49"/>
      <c r="AW165" s="49"/>
      <c r="AX165" s="49"/>
      <c r="AY165" s="52"/>
    </row>
    <row r="166" spans="1:51" ht="13.5" customHeight="1">
      <c r="A166" s="56"/>
      <c r="B166" s="50"/>
      <c r="C166" s="49"/>
      <c r="D166" s="49"/>
      <c r="E166" s="49"/>
      <c r="F166" s="49"/>
      <c r="G166" s="49"/>
      <c r="H166" s="49"/>
      <c r="I166" s="51"/>
      <c r="J166" s="302"/>
      <c r="K166" s="303"/>
      <c r="L166" s="101" t="s">
        <v>244</v>
      </c>
      <c r="M166" s="102"/>
      <c r="N166" s="102"/>
      <c r="O166" s="103"/>
      <c r="P166" s="102"/>
      <c r="Q166" s="102"/>
      <c r="R166" s="102"/>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51"/>
      <c r="AR166" s="208" t="s">
        <v>198</v>
      </c>
      <c r="AS166" s="49"/>
      <c r="AT166" s="49"/>
      <c r="AU166" s="49"/>
      <c r="AV166" s="49"/>
      <c r="AW166" s="49"/>
      <c r="AX166" s="49"/>
      <c r="AY166" s="52"/>
    </row>
    <row r="167" spans="1:51" ht="13.5" customHeight="1">
      <c r="A167" s="56"/>
      <c r="B167" s="50"/>
      <c r="C167" s="49"/>
      <c r="D167" s="49"/>
      <c r="E167" s="49"/>
      <c r="F167" s="49"/>
      <c r="G167" s="49"/>
      <c r="H167" s="49"/>
      <c r="I167" s="51"/>
      <c r="J167" s="302"/>
      <c r="K167" s="303"/>
      <c r="L167" s="101"/>
      <c r="M167" s="102" t="s">
        <v>442</v>
      </c>
      <c r="N167" s="102"/>
      <c r="O167" s="103"/>
      <c r="P167" s="102"/>
      <c r="Q167" s="102"/>
      <c r="R167" s="102"/>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51"/>
      <c r="AR167" s="653" t="s">
        <v>443</v>
      </c>
      <c r="AS167" s="654"/>
      <c r="AT167" s="654"/>
      <c r="AU167" s="654"/>
      <c r="AV167" s="654"/>
      <c r="AW167" s="654"/>
      <c r="AX167" s="654"/>
      <c r="AY167" s="655"/>
    </row>
    <row r="168" spans="1:51" ht="13.5" customHeight="1">
      <c r="A168" s="56"/>
      <c r="B168" s="50"/>
      <c r="C168" s="49"/>
      <c r="D168" s="49"/>
      <c r="E168" s="49"/>
      <c r="F168" s="49"/>
      <c r="G168" s="49"/>
      <c r="H168" s="49"/>
      <c r="I168" s="51"/>
      <c r="J168" s="302"/>
      <c r="K168" s="303"/>
      <c r="L168" s="101"/>
      <c r="M168" s="102"/>
      <c r="N168" s="102"/>
      <c r="O168" s="103"/>
      <c r="P168" s="102"/>
      <c r="Q168" s="102"/>
      <c r="R168" s="102"/>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51"/>
      <c r="AR168" s="208"/>
      <c r="AS168" s="49"/>
      <c r="AT168" s="49"/>
      <c r="AU168" s="49"/>
      <c r="AV168" s="49"/>
      <c r="AW168" s="49"/>
      <c r="AX168" s="49"/>
      <c r="AY168" s="52"/>
    </row>
    <row r="169" spans="1:51" ht="13.5" customHeight="1">
      <c r="A169" s="56"/>
      <c r="B169" s="50"/>
      <c r="C169" s="49"/>
      <c r="D169" s="49"/>
      <c r="E169" s="49"/>
      <c r="F169" s="49"/>
      <c r="G169" s="49"/>
      <c r="H169" s="49"/>
      <c r="I169" s="51"/>
      <c r="J169" s="302"/>
      <c r="K169" s="303"/>
      <c r="L169" s="101"/>
      <c r="M169" s="102" t="s">
        <v>196</v>
      </c>
      <c r="N169" s="102" t="s">
        <v>197</v>
      </c>
      <c r="O169" s="103"/>
      <c r="P169" s="102"/>
      <c r="Q169" s="102"/>
      <c r="R169" s="102"/>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51"/>
      <c r="AR169" s="208" t="s">
        <v>189</v>
      </c>
      <c r="AS169" s="49"/>
      <c r="AT169" s="49"/>
      <c r="AU169" s="49"/>
      <c r="AV169" s="49"/>
      <c r="AW169" s="49"/>
      <c r="AX169" s="49"/>
      <c r="AY169" s="52"/>
    </row>
    <row r="170" spans="1:51" ht="13.5" customHeight="1">
      <c r="A170" s="56"/>
      <c r="B170" s="50"/>
      <c r="C170" s="49"/>
      <c r="D170" s="49"/>
      <c r="E170" s="49"/>
      <c r="F170" s="49"/>
      <c r="G170" s="49"/>
      <c r="H170" s="49"/>
      <c r="I170" s="51"/>
      <c r="J170" s="302"/>
      <c r="K170" s="303"/>
      <c r="L170" s="101"/>
      <c r="M170" s="102"/>
      <c r="N170" s="102"/>
      <c r="O170" s="103"/>
      <c r="P170" s="102"/>
      <c r="Q170" s="102"/>
      <c r="R170" s="102"/>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51"/>
      <c r="AR170" s="208" t="s">
        <v>183</v>
      </c>
      <c r="AS170" s="49"/>
      <c r="AT170" s="49"/>
      <c r="AU170" s="49"/>
      <c r="AV170" s="49"/>
      <c r="AW170" s="49"/>
      <c r="AX170" s="49"/>
      <c r="AY170" s="52"/>
    </row>
    <row r="171" spans="1:51" ht="13.5" customHeight="1">
      <c r="A171" s="56"/>
      <c r="B171" s="50"/>
      <c r="C171" s="49"/>
      <c r="D171" s="49"/>
      <c r="E171" s="49"/>
      <c r="F171" s="49"/>
      <c r="G171" s="49"/>
      <c r="H171" s="49"/>
      <c r="I171" s="51"/>
      <c r="J171" s="302"/>
      <c r="K171" s="303"/>
      <c r="L171" s="101"/>
      <c r="M171" s="102" t="s">
        <v>413</v>
      </c>
      <c r="N171" s="102" t="s">
        <v>414</v>
      </c>
      <c r="O171" s="103"/>
      <c r="P171" s="102"/>
      <c r="Q171" s="102"/>
      <c r="R171" s="102"/>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51"/>
      <c r="AR171" s="208"/>
      <c r="AS171" s="49"/>
      <c r="AT171" s="49"/>
      <c r="AU171" s="49"/>
      <c r="AV171" s="49"/>
      <c r="AW171" s="49"/>
      <c r="AX171" s="49"/>
      <c r="AY171" s="52"/>
    </row>
    <row r="172" spans="1:51" ht="13.5" customHeight="1">
      <c r="A172" s="56"/>
      <c r="B172" s="50"/>
      <c r="C172" s="49"/>
      <c r="D172" s="49"/>
      <c r="E172" s="49"/>
      <c r="F172" s="49"/>
      <c r="G172" s="49"/>
      <c r="H172" s="49"/>
      <c r="I172" s="51"/>
      <c r="J172" s="302"/>
      <c r="K172" s="303"/>
      <c r="L172" s="101"/>
      <c r="M172" s="102"/>
      <c r="N172" s="102" t="s">
        <v>415</v>
      </c>
      <c r="O172" s="103"/>
      <c r="P172" s="102"/>
      <c r="Q172" s="102"/>
      <c r="R172" s="102"/>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51"/>
      <c r="AR172" s="208"/>
      <c r="AS172" s="49"/>
      <c r="AT172" s="49"/>
      <c r="AU172" s="49"/>
      <c r="AV172" s="49"/>
      <c r="AW172" s="49"/>
      <c r="AX172" s="49"/>
      <c r="AY172" s="52"/>
    </row>
    <row r="173" spans="1:51" ht="13.5" customHeight="1">
      <c r="A173" s="56"/>
      <c r="B173" s="50"/>
      <c r="C173" s="49"/>
      <c r="D173" s="49"/>
      <c r="E173" s="49"/>
      <c r="F173" s="49"/>
      <c r="G173" s="49"/>
      <c r="H173" s="49"/>
      <c r="I173" s="51"/>
      <c r="J173" s="302"/>
      <c r="K173" s="303"/>
      <c r="L173" s="101"/>
      <c r="M173" s="102"/>
      <c r="N173" s="49" t="s">
        <v>703</v>
      </c>
      <c r="O173" s="103"/>
      <c r="P173" s="102"/>
      <c r="Q173" s="102"/>
      <c r="R173" s="102"/>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51"/>
      <c r="AR173" s="208"/>
      <c r="AS173" s="49"/>
      <c r="AT173" s="49"/>
      <c r="AU173" s="49"/>
      <c r="AV173" s="49"/>
      <c r="AW173" s="49"/>
      <c r="AX173" s="49"/>
      <c r="AY173" s="52"/>
    </row>
    <row r="174" spans="1:51" ht="13.5" customHeight="1">
      <c r="A174" s="56"/>
      <c r="B174" s="50"/>
      <c r="C174" s="49"/>
      <c r="D174" s="49"/>
      <c r="E174" s="49"/>
      <c r="F174" s="49"/>
      <c r="G174" s="49"/>
      <c r="H174" s="49"/>
      <c r="I174" s="51"/>
      <c r="J174" s="302"/>
      <c r="K174" s="303"/>
      <c r="L174" s="101"/>
      <c r="M174" s="102"/>
      <c r="N174" s="102"/>
      <c r="O174" s="103"/>
      <c r="P174" s="102"/>
      <c r="Q174" s="102"/>
      <c r="R174" s="102"/>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51"/>
      <c r="AR174" s="208"/>
      <c r="AS174" s="49"/>
      <c r="AT174" s="49"/>
      <c r="AU174" s="49"/>
      <c r="AV174" s="49"/>
      <c r="AW174" s="49"/>
      <c r="AX174" s="49"/>
      <c r="AY174" s="52"/>
    </row>
    <row r="175" spans="1:51" ht="13.5" customHeight="1">
      <c r="A175" s="56"/>
      <c r="B175" s="50"/>
      <c r="C175" s="49"/>
      <c r="D175" s="49"/>
      <c r="E175" s="49"/>
      <c r="F175" s="49"/>
      <c r="G175" s="49"/>
      <c r="H175" s="49"/>
      <c r="I175" s="51"/>
      <c r="J175" s="302"/>
      <c r="K175" s="303"/>
      <c r="L175" s="101"/>
      <c r="M175" s="102" t="s">
        <v>222</v>
      </c>
      <c r="N175" s="102" t="s">
        <v>430</v>
      </c>
      <c r="O175" s="102"/>
      <c r="P175" s="102"/>
      <c r="Q175" s="102"/>
      <c r="R175" s="102"/>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51"/>
      <c r="AR175" s="208"/>
      <c r="AS175" s="49"/>
      <c r="AT175" s="49"/>
      <c r="AU175" s="49"/>
      <c r="AV175" s="49"/>
      <c r="AW175" s="49"/>
      <c r="AX175" s="49"/>
      <c r="AY175" s="52"/>
    </row>
    <row r="176" spans="1:51" ht="13.5" customHeight="1">
      <c r="A176" s="56"/>
      <c r="B176" s="50"/>
      <c r="C176" s="49"/>
      <c r="D176" s="49"/>
      <c r="E176" s="49"/>
      <c r="F176" s="49"/>
      <c r="G176" s="49"/>
      <c r="H176" s="49"/>
      <c r="I176" s="51"/>
      <c r="J176" s="302"/>
      <c r="K176" s="303"/>
      <c r="L176" s="101"/>
      <c r="M176" s="102"/>
      <c r="N176" s="102" t="s">
        <v>429</v>
      </c>
      <c r="O176" s="102"/>
      <c r="P176" s="102"/>
      <c r="Q176" s="102"/>
      <c r="R176" s="102"/>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51"/>
      <c r="AR176" s="208"/>
      <c r="AS176" s="49"/>
      <c r="AT176" s="49"/>
      <c r="AU176" s="49"/>
      <c r="AV176" s="49"/>
      <c r="AW176" s="49"/>
      <c r="AX176" s="49"/>
      <c r="AY176" s="52"/>
    </row>
    <row r="177" spans="1:55" ht="13.5" customHeight="1">
      <c r="A177" s="56"/>
      <c r="B177" s="50"/>
      <c r="C177" s="49"/>
      <c r="D177" s="49"/>
      <c r="E177" s="49"/>
      <c r="F177" s="49"/>
      <c r="G177" s="49"/>
      <c r="H177" s="49"/>
      <c r="I177" s="51"/>
      <c r="J177" s="302"/>
      <c r="K177" s="303"/>
      <c r="L177" s="101"/>
      <c r="M177" s="102"/>
      <c r="N177" s="49" t="s">
        <v>703</v>
      </c>
      <c r="O177" s="103"/>
      <c r="P177" s="102"/>
      <c r="Q177" s="102"/>
      <c r="R177" s="102"/>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51"/>
      <c r="AR177" s="208"/>
      <c r="AS177" s="49"/>
      <c r="AT177" s="49"/>
      <c r="AU177" s="49"/>
      <c r="AV177" s="49"/>
      <c r="AW177" s="49"/>
      <c r="AX177" s="49"/>
      <c r="AY177" s="52"/>
    </row>
    <row r="178" spans="1:55" ht="13.5" customHeight="1">
      <c r="A178" s="56"/>
      <c r="B178" s="50"/>
      <c r="C178" s="49"/>
      <c r="D178" s="49"/>
      <c r="E178" s="49"/>
      <c r="F178" s="49"/>
      <c r="G178" s="49"/>
      <c r="H178" s="49"/>
      <c r="I178" s="51"/>
      <c r="J178" s="302"/>
      <c r="K178" s="303"/>
      <c r="L178" s="101"/>
      <c r="M178" s="102"/>
      <c r="N178" s="102"/>
      <c r="O178" s="102"/>
      <c r="P178" s="102"/>
      <c r="Q178" s="102"/>
      <c r="R178" s="102"/>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51"/>
      <c r="AR178" s="208"/>
      <c r="AS178" s="49"/>
      <c r="AT178" s="49"/>
      <c r="AU178" s="49"/>
      <c r="AV178" s="49"/>
      <c r="AW178" s="49"/>
      <c r="AX178" s="49"/>
      <c r="AY178" s="52"/>
    </row>
    <row r="179" spans="1:55" ht="13.5" customHeight="1">
      <c r="A179" s="56"/>
      <c r="B179" s="50"/>
      <c r="C179" s="49"/>
      <c r="D179" s="49"/>
      <c r="E179" s="49"/>
      <c r="F179" s="49"/>
      <c r="G179" s="49"/>
      <c r="H179" s="49"/>
      <c r="I179" s="51"/>
      <c r="J179" s="302"/>
      <c r="K179" s="303"/>
      <c r="L179" s="101"/>
      <c r="M179" s="102" t="s">
        <v>224</v>
      </c>
      <c r="N179" s="102" t="s">
        <v>418</v>
      </c>
      <c r="O179" s="102"/>
      <c r="P179" s="102"/>
      <c r="Q179" s="102"/>
      <c r="R179" s="102"/>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51"/>
      <c r="AR179" s="208"/>
      <c r="AS179" s="49"/>
      <c r="AT179" s="49"/>
      <c r="AU179" s="49"/>
      <c r="AV179" s="49"/>
      <c r="AW179" s="49"/>
      <c r="AX179" s="49"/>
      <c r="AY179" s="52"/>
    </row>
    <row r="180" spans="1:55" ht="13.5" customHeight="1">
      <c r="A180" s="56"/>
      <c r="B180" s="50"/>
      <c r="C180" s="49"/>
      <c r="D180" s="49"/>
      <c r="E180" s="49"/>
      <c r="F180" s="49"/>
      <c r="G180" s="49"/>
      <c r="H180" s="49"/>
      <c r="I180" s="51"/>
      <c r="J180" s="302"/>
      <c r="K180" s="303"/>
      <c r="L180" s="101"/>
      <c r="M180" s="102"/>
      <c r="N180" s="102" t="s">
        <v>419</v>
      </c>
      <c r="O180" s="102"/>
      <c r="P180" s="102"/>
      <c r="Q180" s="102"/>
      <c r="R180" s="102"/>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51"/>
      <c r="AR180" s="208"/>
      <c r="AS180" s="49"/>
      <c r="AT180" s="49"/>
      <c r="AU180" s="49"/>
      <c r="AV180" s="49"/>
      <c r="AW180" s="49"/>
      <c r="AX180" s="49"/>
      <c r="AY180" s="52"/>
    </row>
    <row r="181" spans="1:55" ht="13.5" customHeight="1">
      <c r="A181" s="56"/>
      <c r="B181" s="50"/>
      <c r="C181" s="49"/>
      <c r="D181" s="49"/>
      <c r="E181" s="49"/>
      <c r="F181" s="49"/>
      <c r="G181" s="49"/>
      <c r="H181" s="49"/>
      <c r="I181" s="51"/>
      <c r="J181" s="302"/>
      <c r="K181" s="303"/>
      <c r="L181" s="101"/>
      <c r="M181" s="102"/>
      <c r="N181" s="102"/>
      <c r="O181" s="102"/>
      <c r="P181" s="102"/>
      <c r="Q181" s="102"/>
      <c r="R181" s="102"/>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51"/>
      <c r="AR181" s="208"/>
      <c r="AS181" s="49"/>
      <c r="AT181" s="49"/>
      <c r="AU181" s="49"/>
      <c r="AV181" s="49"/>
      <c r="AW181" s="49"/>
      <c r="AX181" s="49"/>
      <c r="AY181" s="52"/>
    </row>
    <row r="182" spans="1:55" ht="13.5" customHeight="1">
      <c r="A182" s="56"/>
      <c r="B182" s="50"/>
      <c r="C182" s="49"/>
      <c r="D182" s="49"/>
      <c r="E182" s="49"/>
      <c r="F182" s="49"/>
      <c r="G182" s="49"/>
      <c r="H182" s="49"/>
      <c r="I182" s="51"/>
      <c r="J182" s="302"/>
      <c r="K182" s="303"/>
      <c r="L182" s="101"/>
      <c r="M182" s="102" t="s">
        <v>425</v>
      </c>
      <c r="N182" s="102" t="s">
        <v>426</v>
      </c>
      <c r="O182" s="102"/>
      <c r="P182" s="102"/>
      <c r="Q182" s="102"/>
      <c r="R182" s="102"/>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51"/>
      <c r="AR182" s="208"/>
      <c r="AS182" s="49"/>
      <c r="AT182" s="49"/>
      <c r="AU182" s="49"/>
      <c r="AV182" s="49"/>
      <c r="AW182" s="49"/>
      <c r="AX182" s="49"/>
      <c r="AY182" s="52"/>
    </row>
    <row r="183" spans="1:55" ht="13.5" customHeight="1">
      <c r="A183" s="56"/>
      <c r="B183" s="50"/>
      <c r="C183" s="49"/>
      <c r="D183" s="49"/>
      <c r="E183" s="49"/>
      <c r="F183" s="49"/>
      <c r="G183" s="49"/>
      <c r="H183" s="49"/>
      <c r="I183" s="51"/>
      <c r="J183" s="302"/>
      <c r="K183" s="303"/>
      <c r="L183" s="101"/>
      <c r="M183" s="102"/>
      <c r="N183" s="102" t="s">
        <v>427</v>
      </c>
      <c r="O183" s="102"/>
      <c r="P183" s="102"/>
      <c r="Q183" s="102"/>
      <c r="R183" s="102"/>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51"/>
      <c r="AR183" s="208"/>
      <c r="AS183" s="49"/>
      <c r="AT183" s="49"/>
      <c r="AU183" s="49"/>
      <c r="AV183" s="49"/>
      <c r="AW183" s="49"/>
      <c r="AX183" s="49"/>
      <c r="AY183" s="52"/>
    </row>
    <row r="184" spans="1:55" ht="13.5" customHeight="1">
      <c r="A184" s="56"/>
      <c r="B184" s="50"/>
      <c r="C184" s="49"/>
      <c r="D184" s="49"/>
      <c r="E184" s="49"/>
      <c r="F184" s="49"/>
      <c r="G184" s="49"/>
      <c r="H184" s="49"/>
      <c r="I184" s="51"/>
      <c r="J184" s="302"/>
      <c r="K184" s="303"/>
      <c r="L184" s="101"/>
      <c r="M184" s="102"/>
      <c r="N184" s="102" t="s">
        <v>428</v>
      </c>
      <c r="O184" s="102"/>
      <c r="P184" s="102"/>
      <c r="Q184" s="102"/>
      <c r="R184" s="102"/>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51"/>
      <c r="AR184" s="208"/>
      <c r="AS184" s="49"/>
      <c r="AT184" s="49"/>
      <c r="AU184" s="49"/>
      <c r="AV184" s="49"/>
      <c r="AW184" s="49"/>
      <c r="AX184" s="49"/>
      <c r="AY184" s="52"/>
    </row>
    <row r="185" spans="1:55" ht="13.5" customHeight="1">
      <c r="A185" s="56"/>
      <c r="B185" s="50"/>
      <c r="C185" s="49"/>
      <c r="D185" s="49"/>
      <c r="E185" s="49"/>
      <c r="F185" s="49"/>
      <c r="G185" s="49"/>
      <c r="H185" s="49"/>
      <c r="I185" s="51"/>
      <c r="J185" s="390"/>
      <c r="K185" s="391"/>
      <c r="L185" s="101"/>
      <c r="M185" s="102"/>
      <c r="N185" s="102"/>
      <c r="O185" s="102"/>
      <c r="P185" s="102"/>
      <c r="Q185" s="102"/>
      <c r="R185" s="102"/>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51"/>
      <c r="AR185" s="208"/>
      <c r="AS185" s="49"/>
      <c r="AT185" s="49"/>
      <c r="AU185" s="49"/>
      <c r="AV185" s="49"/>
      <c r="AW185" s="49"/>
      <c r="AX185" s="49"/>
      <c r="AY185" s="52"/>
    </row>
    <row r="186" spans="1:55" ht="13.5" customHeight="1">
      <c r="A186" s="56"/>
      <c r="B186" s="50"/>
      <c r="C186" s="49"/>
      <c r="D186" s="49"/>
      <c r="E186" s="49"/>
      <c r="F186" s="49"/>
      <c r="G186" s="49"/>
      <c r="H186" s="49"/>
      <c r="I186" s="51"/>
      <c r="J186" s="390"/>
      <c r="K186" s="391"/>
      <c r="L186" s="101"/>
      <c r="M186" s="102" t="s">
        <v>672</v>
      </c>
      <c r="N186" s="102" t="s">
        <v>969</v>
      </c>
      <c r="O186" s="102"/>
      <c r="P186" s="102"/>
      <c r="Q186" s="102"/>
      <c r="R186" s="102"/>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51"/>
      <c r="AR186" s="208"/>
      <c r="AS186" s="49"/>
      <c r="AT186" s="49"/>
      <c r="AU186" s="49"/>
      <c r="AV186" s="49"/>
      <c r="AW186" s="49"/>
      <c r="AX186" s="49"/>
      <c r="AY186" s="52"/>
      <c r="BC186" s="38">
        <v>2.2999999999999998</v>
      </c>
    </row>
    <row r="187" spans="1:55" ht="13.5" customHeight="1">
      <c r="A187" s="56"/>
      <c r="B187" s="50"/>
      <c r="C187" s="49"/>
      <c r="D187" s="49"/>
      <c r="E187" s="49"/>
      <c r="F187" s="49"/>
      <c r="G187" s="49"/>
      <c r="H187" s="49"/>
      <c r="I187" s="51"/>
      <c r="J187" s="390"/>
      <c r="K187" s="391"/>
      <c r="L187" s="101"/>
      <c r="M187" s="102"/>
      <c r="N187" s="102" t="s">
        <v>968</v>
      </c>
      <c r="O187" s="102"/>
      <c r="P187" s="102"/>
      <c r="Q187" s="102"/>
      <c r="R187" s="102"/>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51"/>
      <c r="AR187" s="208"/>
      <c r="AS187" s="49"/>
      <c r="AT187" s="49"/>
      <c r="AU187" s="49"/>
      <c r="AV187" s="49"/>
      <c r="AW187" s="49"/>
      <c r="AX187" s="49"/>
      <c r="AY187" s="52"/>
      <c r="BC187" s="38">
        <v>2.2999999999999998</v>
      </c>
    </row>
    <row r="188" spans="1:55" ht="13.5" customHeight="1">
      <c r="A188" s="56"/>
      <c r="B188" s="50"/>
      <c r="C188" s="49"/>
      <c r="D188" s="49"/>
      <c r="E188" s="49"/>
      <c r="F188" s="49"/>
      <c r="G188" s="49"/>
      <c r="H188" s="49"/>
      <c r="I188" s="51"/>
      <c r="J188" s="415"/>
      <c r="K188" s="416"/>
      <c r="L188" s="101"/>
      <c r="M188" s="102"/>
      <c r="N188" s="102"/>
      <c r="O188" s="102"/>
      <c r="P188" s="102"/>
      <c r="Q188" s="102"/>
      <c r="R188" s="102"/>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51"/>
      <c r="AR188" s="208"/>
      <c r="AS188" s="49"/>
      <c r="AT188" s="49"/>
      <c r="AU188" s="49"/>
      <c r="AV188" s="49"/>
      <c r="AW188" s="49"/>
      <c r="AX188" s="49"/>
      <c r="AY188" s="52"/>
    </row>
    <row r="189" spans="1:55" ht="13.5" customHeight="1">
      <c r="A189" s="56"/>
      <c r="B189" s="50"/>
      <c r="C189" s="49"/>
      <c r="D189" s="49"/>
      <c r="E189" s="49"/>
      <c r="F189" s="49"/>
      <c r="G189" s="49"/>
      <c r="H189" s="49"/>
      <c r="I189" s="51"/>
      <c r="J189" s="415"/>
      <c r="K189" s="416"/>
      <c r="L189" s="101"/>
      <c r="M189" s="49" t="s">
        <v>1062</v>
      </c>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51"/>
      <c r="AR189" s="208"/>
      <c r="AS189" s="49"/>
      <c r="AT189" s="49"/>
      <c r="AU189" s="49"/>
      <c r="AV189" s="49"/>
      <c r="AW189" s="49"/>
      <c r="AX189" s="49"/>
      <c r="AY189" s="52"/>
      <c r="BC189" s="38">
        <v>2.9</v>
      </c>
    </row>
    <row r="190" spans="1:55" ht="13.5" customHeight="1">
      <c r="A190" s="56"/>
      <c r="B190" s="50"/>
      <c r="C190" s="49"/>
      <c r="D190" s="49"/>
      <c r="E190" s="49"/>
      <c r="F190" s="49"/>
      <c r="G190" s="49"/>
      <c r="H190" s="49"/>
      <c r="I190" s="51"/>
      <c r="J190" s="417"/>
      <c r="K190" s="418"/>
      <c r="L190" s="101"/>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51"/>
      <c r="AR190" s="208"/>
      <c r="AS190" s="49"/>
      <c r="AT190" s="49"/>
      <c r="AU190" s="49"/>
      <c r="AV190" s="49"/>
      <c r="AW190" s="49"/>
      <c r="AX190" s="49"/>
      <c r="AY190" s="52"/>
    </row>
    <row r="191" spans="1:55" ht="13.5" customHeight="1">
      <c r="A191" s="56"/>
      <c r="B191" s="50"/>
      <c r="C191" s="49"/>
      <c r="D191" s="49"/>
      <c r="E191" s="49"/>
      <c r="F191" s="49"/>
      <c r="G191" s="49"/>
      <c r="H191" s="49"/>
      <c r="I191" s="51"/>
      <c r="J191" s="417"/>
      <c r="K191" s="418"/>
      <c r="L191" s="101"/>
      <c r="M191" s="49" t="s">
        <v>1066</v>
      </c>
      <c r="N191" s="49" t="s">
        <v>1067</v>
      </c>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51"/>
      <c r="AR191" s="208"/>
      <c r="AS191" s="49"/>
      <c r="AT191" s="49"/>
      <c r="AU191" s="49"/>
      <c r="AV191" s="49"/>
      <c r="AW191" s="49"/>
      <c r="AX191" s="49"/>
      <c r="AY191" s="52"/>
      <c r="BC191" s="38">
        <v>2.9</v>
      </c>
    </row>
    <row r="192" spans="1:55" ht="13.5" customHeight="1">
      <c r="A192" s="56"/>
      <c r="B192" s="50"/>
      <c r="C192" s="49"/>
      <c r="D192" s="49"/>
      <c r="E192" s="49"/>
      <c r="F192" s="49"/>
      <c r="G192" s="49"/>
      <c r="H192" s="49"/>
      <c r="I192" s="51"/>
      <c r="J192" s="426"/>
      <c r="K192" s="427"/>
      <c r="L192" s="101"/>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51"/>
      <c r="AR192" s="208"/>
      <c r="AS192" s="49"/>
      <c r="AT192" s="49"/>
      <c r="AU192" s="49"/>
      <c r="AV192" s="49"/>
      <c r="AW192" s="49"/>
      <c r="AX192" s="49"/>
      <c r="AY192" s="52"/>
    </row>
    <row r="193" spans="1:55" ht="13.5" customHeight="1">
      <c r="A193" s="62"/>
      <c r="B193" s="101"/>
      <c r="C193" s="102"/>
      <c r="D193" s="102"/>
      <c r="E193" s="102"/>
      <c r="F193" s="102"/>
      <c r="G193" s="102"/>
      <c r="H193" s="102"/>
      <c r="I193" s="377"/>
      <c r="J193" s="433"/>
      <c r="K193" s="434"/>
      <c r="L193" s="101"/>
      <c r="M193" s="102" t="s">
        <v>1122</v>
      </c>
      <c r="N193" s="102" t="s">
        <v>1123</v>
      </c>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377"/>
      <c r="AR193" s="396"/>
      <c r="AS193" s="102"/>
      <c r="AT193" s="102"/>
      <c r="AU193" s="102"/>
      <c r="AV193" s="102"/>
      <c r="AW193" s="102"/>
      <c r="AX193" s="102"/>
      <c r="AY193" s="406"/>
      <c r="BC193" s="38">
        <v>3.1</v>
      </c>
    </row>
    <row r="194" spans="1:55" ht="13.5" customHeight="1">
      <c r="A194" s="62"/>
      <c r="B194" s="101"/>
      <c r="C194" s="102"/>
      <c r="D194" s="102"/>
      <c r="E194" s="102"/>
      <c r="F194" s="102"/>
      <c r="G194" s="102"/>
      <c r="H194" s="102"/>
      <c r="I194" s="377"/>
      <c r="J194" s="433"/>
      <c r="K194" s="434"/>
      <c r="L194" s="101"/>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377"/>
      <c r="AR194" s="396"/>
      <c r="AS194" s="102"/>
      <c r="AT194" s="102"/>
      <c r="AU194" s="102"/>
      <c r="AV194" s="102"/>
      <c r="AW194" s="102"/>
      <c r="AX194" s="102"/>
      <c r="AY194" s="406"/>
    </row>
    <row r="195" spans="1:55" ht="13.5" customHeight="1">
      <c r="A195" s="62"/>
      <c r="B195" s="101"/>
      <c r="C195" s="102"/>
      <c r="D195" s="102"/>
      <c r="E195" s="102"/>
      <c r="F195" s="102"/>
      <c r="G195" s="102"/>
      <c r="H195" s="102"/>
      <c r="I195" s="377"/>
      <c r="J195" s="433"/>
      <c r="K195" s="434"/>
      <c r="L195" s="101"/>
      <c r="M195" s="102" t="s">
        <v>1124</v>
      </c>
      <c r="N195" s="102" t="s">
        <v>1125</v>
      </c>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377"/>
      <c r="AR195" s="396"/>
      <c r="AS195" s="102"/>
      <c r="AT195" s="102"/>
      <c r="AU195" s="102"/>
      <c r="AV195" s="102"/>
      <c r="AW195" s="102"/>
      <c r="AX195" s="102"/>
      <c r="AY195" s="406"/>
      <c r="BC195" s="38">
        <v>3.1</v>
      </c>
    </row>
    <row r="196" spans="1:55" ht="13.5" customHeight="1">
      <c r="A196" s="62"/>
      <c r="B196" s="101"/>
      <c r="C196" s="102"/>
      <c r="D196" s="102"/>
      <c r="E196" s="102"/>
      <c r="F196" s="102"/>
      <c r="G196" s="102"/>
      <c r="H196" s="102"/>
      <c r="I196" s="377"/>
      <c r="J196" s="433"/>
      <c r="K196" s="434"/>
      <c r="L196" s="101"/>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377"/>
      <c r="AR196" s="396"/>
      <c r="AS196" s="102"/>
      <c r="AT196" s="102"/>
      <c r="AU196" s="102"/>
      <c r="AV196" s="102"/>
      <c r="AW196" s="102"/>
      <c r="AX196" s="102"/>
      <c r="AY196" s="406"/>
    </row>
    <row r="197" spans="1:55" ht="13.5" customHeight="1">
      <c r="A197" s="56"/>
      <c r="B197" s="50"/>
      <c r="C197" s="49"/>
      <c r="D197" s="49"/>
      <c r="E197" s="49"/>
      <c r="F197" s="49"/>
      <c r="G197" s="49"/>
      <c r="H197" s="49"/>
      <c r="I197" s="51"/>
      <c r="J197" s="302"/>
      <c r="K197" s="303"/>
      <c r="L197" s="101"/>
      <c r="M197" s="102"/>
      <c r="N197" s="102"/>
      <c r="O197" s="102"/>
      <c r="P197" s="102"/>
      <c r="Q197" s="102"/>
      <c r="R197" s="102"/>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51"/>
      <c r="AR197" s="208"/>
      <c r="AS197" s="49"/>
      <c r="AT197" s="49"/>
      <c r="AU197" s="49"/>
      <c r="AV197" s="49"/>
      <c r="AW197" s="49"/>
      <c r="AX197" s="49"/>
      <c r="AY197" s="52"/>
    </row>
    <row r="198" spans="1:55" ht="13.5" customHeight="1">
      <c r="A198" s="56"/>
      <c r="B198" s="50"/>
      <c r="C198" s="49"/>
      <c r="D198" s="49"/>
      <c r="E198" s="49"/>
      <c r="F198" s="49"/>
      <c r="G198" s="49"/>
      <c r="H198" s="49"/>
      <c r="I198" s="51"/>
      <c r="J198" s="302"/>
      <c r="K198" s="303"/>
      <c r="L198" s="101" t="s">
        <v>436</v>
      </c>
      <c r="M198" s="102"/>
      <c r="N198" s="102"/>
      <c r="O198" s="102"/>
      <c r="P198" s="102"/>
      <c r="Q198" s="102"/>
      <c r="R198" s="102"/>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51"/>
      <c r="AR198" s="208"/>
      <c r="AS198" s="49"/>
      <c r="AT198" s="49"/>
      <c r="AU198" s="49"/>
      <c r="AV198" s="49"/>
      <c r="AW198" s="49"/>
      <c r="AX198" s="49"/>
      <c r="AY198" s="52"/>
      <c r="AZ198" s="299">
        <v>0.6</v>
      </c>
    </row>
    <row r="199" spans="1:55" ht="13.5" customHeight="1">
      <c r="A199" s="56"/>
      <c r="B199" s="50"/>
      <c r="C199" s="49"/>
      <c r="D199" s="49"/>
      <c r="E199" s="49"/>
      <c r="F199" s="49"/>
      <c r="G199" s="49"/>
      <c r="H199" s="49"/>
      <c r="I199" s="51"/>
      <c r="J199" s="402"/>
      <c r="K199" s="403"/>
      <c r="L199" s="101"/>
      <c r="M199" s="102"/>
      <c r="N199" s="102"/>
      <c r="O199" s="102"/>
      <c r="P199" s="102"/>
      <c r="Q199" s="102"/>
      <c r="R199" s="102"/>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51"/>
      <c r="AR199" s="208"/>
      <c r="AS199" s="49"/>
      <c r="AT199" s="49"/>
      <c r="AU199" s="49"/>
      <c r="AV199" s="49"/>
      <c r="AW199" s="49"/>
      <c r="AX199" s="49"/>
      <c r="AY199" s="52"/>
    </row>
    <row r="200" spans="1:55" ht="13.5" customHeight="1">
      <c r="A200" s="56"/>
      <c r="B200" s="50"/>
      <c r="C200" s="49"/>
      <c r="D200" s="49"/>
      <c r="E200" s="49"/>
      <c r="F200" s="49"/>
      <c r="G200" s="49"/>
      <c r="H200" s="49"/>
      <c r="I200" s="51"/>
      <c r="J200" s="402"/>
      <c r="K200" s="403"/>
      <c r="L200" s="101" t="s">
        <v>1025</v>
      </c>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377"/>
      <c r="AR200" s="208"/>
      <c r="AS200" s="49"/>
      <c r="AT200" s="49"/>
      <c r="AU200" s="49"/>
      <c r="AV200" s="49"/>
      <c r="AW200" s="49"/>
      <c r="AX200" s="49"/>
      <c r="AY200" s="52"/>
      <c r="BC200" s="38">
        <v>2.7</v>
      </c>
    </row>
    <row r="201" spans="1:55" ht="13.5" customHeight="1">
      <c r="A201" s="56"/>
      <c r="B201" s="50"/>
      <c r="C201" s="49"/>
      <c r="D201" s="49"/>
      <c r="E201" s="49"/>
      <c r="F201" s="49"/>
      <c r="G201" s="49"/>
      <c r="H201" s="49"/>
      <c r="I201" s="51"/>
      <c r="J201" s="302"/>
      <c r="K201" s="303"/>
      <c r="L201" s="101"/>
      <c r="M201" s="102"/>
      <c r="N201" s="102"/>
      <c r="O201" s="102"/>
      <c r="P201" s="102"/>
      <c r="Q201" s="102"/>
      <c r="R201" s="102"/>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51"/>
      <c r="AR201" s="208"/>
      <c r="AS201" s="49"/>
      <c r="AT201" s="49"/>
      <c r="AU201" s="49"/>
      <c r="AV201" s="49"/>
      <c r="AW201" s="49"/>
      <c r="AX201" s="49"/>
      <c r="AY201" s="52"/>
    </row>
    <row r="202" spans="1:55" ht="13.5" customHeight="1">
      <c r="A202" s="56"/>
      <c r="B202" s="50"/>
      <c r="C202" s="49"/>
      <c r="D202" s="49"/>
      <c r="E202" s="49"/>
      <c r="F202" s="49"/>
      <c r="G202" s="49"/>
      <c r="H202" s="49"/>
      <c r="I202" s="51"/>
      <c r="J202" s="302"/>
      <c r="K202" s="303"/>
      <c r="L202" s="101" t="s">
        <v>1021</v>
      </c>
      <c r="M202" s="102"/>
      <c r="N202" s="102"/>
      <c r="O202" s="103"/>
      <c r="P202" s="102"/>
      <c r="Q202" s="102"/>
      <c r="R202" s="102"/>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51"/>
      <c r="AR202" s="208" t="s">
        <v>57</v>
      </c>
      <c r="AS202" s="49"/>
      <c r="AT202" s="49"/>
      <c r="AU202" s="49"/>
      <c r="AV202" s="49"/>
      <c r="AW202" s="49"/>
      <c r="AX202" s="49"/>
      <c r="AY202" s="52"/>
    </row>
    <row r="203" spans="1:55" ht="13.5" customHeight="1">
      <c r="A203" s="56"/>
      <c r="B203" s="50"/>
      <c r="C203" s="49"/>
      <c r="D203" s="49"/>
      <c r="E203" s="49"/>
      <c r="F203" s="49"/>
      <c r="G203" s="49"/>
      <c r="H203" s="49"/>
      <c r="I203" s="51"/>
      <c r="J203" s="302"/>
      <c r="K203" s="303"/>
      <c r="L203" s="101"/>
      <c r="M203" s="106" t="s">
        <v>107</v>
      </c>
      <c r="N203" s="102"/>
      <c r="O203" s="102"/>
      <c r="P203" s="102"/>
      <c r="Q203" s="102"/>
      <c r="R203" s="102"/>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51"/>
      <c r="AR203" s="208" t="s">
        <v>169</v>
      </c>
      <c r="AS203" s="49"/>
      <c r="AT203" s="49"/>
      <c r="AU203" s="49"/>
      <c r="AV203" s="49"/>
      <c r="AW203" s="49"/>
      <c r="AX203" s="49"/>
      <c r="AY203" s="52"/>
    </row>
    <row r="204" spans="1:55" ht="13.5" customHeight="1">
      <c r="A204" s="56"/>
      <c r="B204" s="50"/>
      <c r="C204" s="49"/>
      <c r="D204" s="49"/>
      <c r="E204" s="49"/>
      <c r="F204" s="49"/>
      <c r="G204" s="49"/>
      <c r="H204" s="49"/>
      <c r="I204" s="51"/>
      <c r="J204" s="302"/>
      <c r="K204" s="303"/>
      <c r="L204" s="101"/>
      <c r="M204" s="106"/>
      <c r="N204" s="102"/>
      <c r="O204" s="102"/>
      <c r="P204" s="102"/>
      <c r="Q204" s="102"/>
      <c r="R204" s="102"/>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51"/>
      <c r="AR204" s="208"/>
      <c r="AS204" s="49"/>
      <c r="AT204" s="49"/>
      <c r="AU204" s="49"/>
      <c r="AV204" s="49"/>
      <c r="AW204" s="49"/>
      <c r="AX204" s="49"/>
      <c r="AY204" s="52"/>
    </row>
    <row r="205" spans="1:55" ht="13.5" customHeight="1">
      <c r="A205" s="56"/>
      <c r="B205" s="50"/>
      <c r="C205" s="49"/>
      <c r="D205" s="49"/>
      <c r="E205" s="49"/>
      <c r="F205" s="49"/>
      <c r="G205" s="49"/>
      <c r="H205" s="49"/>
      <c r="I205" s="51"/>
      <c r="J205" s="302"/>
      <c r="K205" s="303"/>
      <c r="L205" s="101" t="s">
        <v>1022</v>
      </c>
      <c r="M205" s="106"/>
      <c r="N205" s="102"/>
      <c r="O205" s="102"/>
      <c r="P205" s="102"/>
      <c r="Q205" s="102"/>
      <c r="R205" s="102"/>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51"/>
      <c r="AR205" s="208" t="s">
        <v>154</v>
      </c>
      <c r="AS205" s="49"/>
      <c r="AT205" s="49"/>
      <c r="AU205" s="49"/>
      <c r="AV205" s="49"/>
      <c r="AW205" s="49"/>
      <c r="AX205" s="49"/>
      <c r="AY205" s="52" t="s">
        <v>202</v>
      </c>
    </row>
    <row r="206" spans="1:55" ht="13.5" customHeight="1">
      <c r="A206" s="56"/>
      <c r="B206" s="50"/>
      <c r="C206" s="49"/>
      <c r="D206" s="49"/>
      <c r="E206" s="49"/>
      <c r="F206" s="49"/>
      <c r="G206" s="49"/>
      <c r="H206" s="49"/>
      <c r="I206" s="51"/>
      <c r="J206" s="302"/>
      <c r="K206" s="303"/>
      <c r="L206" s="101"/>
      <c r="M206" s="106"/>
      <c r="N206" s="102"/>
      <c r="O206" s="102"/>
      <c r="P206" s="102"/>
      <c r="Q206" s="102"/>
      <c r="R206" s="102"/>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51"/>
      <c r="AR206" s="208" t="s">
        <v>156</v>
      </c>
      <c r="AS206" s="49"/>
      <c r="AT206" s="49"/>
      <c r="AU206" s="49"/>
      <c r="AV206" s="49"/>
      <c r="AW206" s="49"/>
      <c r="AX206" s="49"/>
      <c r="AY206" s="52"/>
    </row>
    <row r="207" spans="1:55" ht="13.5" customHeight="1">
      <c r="A207" s="56"/>
      <c r="B207" s="50"/>
      <c r="C207" s="49"/>
      <c r="D207" s="49"/>
      <c r="E207" s="49"/>
      <c r="F207" s="49"/>
      <c r="G207" s="49"/>
      <c r="H207" s="49"/>
      <c r="I207" s="51"/>
      <c r="J207" s="302"/>
      <c r="K207" s="303"/>
      <c r="L207" s="157" t="s">
        <v>747</v>
      </c>
      <c r="M207" s="495"/>
      <c r="N207" s="158"/>
      <c r="O207" s="158"/>
      <c r="P207" s="158"/>
      <c r="Q207" s="158"/>
      <c r="R207" s="158"/>
      <c r="S207" s="159"/>
      <c r="T207" s="159"/>
      <c r="U207" s="159"/>
      <c r="V207" s="159"/>
      <c r="W207" s="159"/>
      <c r="X207" s="159"/>
      <c r="Y207" s="159"/>
      <c r="Z207" s="159"/>
      <c r="AA207" s="159"/>
      <c r="AB207" s="159"/>
      <c r="AC207" s="159"/>
      <c r="AD207" s="159"/>
      <c r="AE207" s="159"/>
      <c r="AF207" s="159"/>
      <c r="AG207" s="159"/>
      <c r="AH207" s="159"/>
      <c r="AI207" s="159"/>
      <c r="AJ207" s="159"/>
      <c r="AK207" s="159"/>
      <c r="AL207" s="159"/>
      <c r="AM207" s="159"/>
      <c r="AN207" s="159"/>
      <c r="AO207" s="159"/>
      <c r="AP207" s="159"/>
      <c r="AQ207" s="160"/>
      <c r="AR207" s="215" t="s">
        <v>154</v>
      </c>
      <c r="AS207" s="159"/>
      <c r="AT207" s="159"/>
      <c r="AU207" s="159"/>
      <c r="AV207" s="159"/>
      <c r="AW207" s="159"/>
      <c r="AX207" s="159"/>
      <c r="AY207" s="52"/>
      <c r="BC207" s="38">
        <v>3.3</v>
      </c>
    </row>
    <row r="208" spans="1:55" ht="13.5" customHeight="1">
      <c r="A208" s="56"/>
      <c r="B208" s="50"/>
      <c r="C208" s="49"/>
      <c r="D208" s="49"/>
      <c r="E208" s="49"/>
      <c r="F208" s="49"/>
      <c r="G208" s="49"/>
      <c r="H208" s="49"/>
      <c r="I208" s="51"/>
      <c r="J208" s="302"/>
      <c r="K208" s="303"/>
      <c r="L208" s="157"/>
      <c r="M208" s="495"/>
      <c r="N208" s="158"/>
      <c r="O208" s="158"/>
      <c r="P208" s="158"/>
      <c r="Q208" s="158"/>
      <c r="R208" s="158"/>
      <c r="S208" s="159"/>
      <c r="T208" s="159"/>
      <c r="U208" s="159"/>
      <c r="V208" s="159"/>
      <c r="W208" s="159"/>
      <c r="X208" s="159"/>
      <c r="Y208" s="159"/>
      <c r="Z208" s="159"/>
      <c r="AA208" s="159"/>
      <c r="AB208" s="159"/>
      <c r="AC208" s="159"/>
      <c r="AD208" s="159"/>
      <c r="AE208" s="159"/>
      <c r="AF208" s="159"/>
      <c r="AG208" s="159"/>
      <c r="AH208" s="159"/>
      <c r="AI208" s="159"/>
      <c r="AJ208" s="159"/>
      <c r="AK208" s="159"/>
      <c r="AL208" s="159"/>
      <c r="AM208" s="159"/>
      <c r="AN208" s="159"/>
      <c r="AO208" s="159"/>
      <c r="AP208" s="159"/>
      <c r="AQ208" s="160"/>
      <c r="AR208" s="215" t="s">
        <v>749</v>
      </c>
      <c r="AS208" s="159"/>
      <c r="AT208" s="159"/>
      <c r="AU208" s="159"/>
      <c r="AV208" s="159"/>
      <c r="AW208" s="159"/>
      <c r="AX208" s="159"/>
      <c r="AY208" s="52"/>
      <c r="BC208" s="38">
        <v>3.3</v>
      </c>
    </row>
    <row r="209" spans="1:52" ht="13.5" customHeight="1">
      <c r="A209" s="56"/>
      <c r="B209" s="50"/>
      <c r="C209" s="49"/>
      <c r="D209" s="49"/>
      <c r="E209" s="49"/>
      <c r="F209" s="49"/>
      <c r="G209" s="49"/>
      <c r="H209" s="49"/>
      <c r="I209" s="51"/>
      <c r="J209" s="302"/>
      <c r="K209" s="303"/>
      <c r="L209" s="101" t="s">
        <v>1023</v>
      </c>
      <c r="M209" s="106"/>
      <c r="N209" s="102"/>
      <c r="O209" s="102"/>
      <c r="P209" s="102"/>
      <c r="Q209" s="102"/>
      <c r="R209" s="102"/>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51"/>
      <c r="AR209" s="208"/>
      <c r="AS209" s="49"/>
      <c r="AT209" s="49"/>
      <c r="AU209" s="49"/>
      <c r="AV209" s="49"/>
      <c r="AW209" s="49"/>
      <c r="AX209" s="49"/>
      <c r="AY209" s="52"/>
      <c r="AZ209" s="299">
        <v>0.11</v>
      </c>
    </row>
    <row r="210" spans="1:52" ht="13.5" customHeight="1">
      <c r="A210" s="56"/>
      <c r="B210" s="50"/>
      <c r="C210" s="49"/>
      <c r="D210" s="49"/>
      <c r="E210" s="49"/>
      <c r="F210" s="49"/>
      <c r="G210" s="49"/>
      <c r="H210" s="49"/>
      <c r="I210" s="51"/>
      <c r="J210" s="302"/>
      <c r="K210" s="303"/>
      <c r="L210" s="101"/>
      <c r="M210" s="106" t="s">
        <v>727</v>
      </c>
      <c r="N210" s="102"/>
      <c r="O210" s="102"/>
      <c r="P210" s="102"/>
      <c r="Q210" s="102"/>
      <c r="R210" s="102"/>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51"/>
      <c r="AR210" s="208"/>
      <c r="AS210" s="49"/>
      <c r="AT210" s="49"/>
      <c r="AU210" s="49"/>
      <c r="AV210" s="49"/>
      <c r="AW210" s="49"/>
      <c r="AX210" s="49"/>
      <c r="AY210" s="52"/>
      <c r="AZ210" s="299">
        <v>0.11</v>
      </c>
    </row>
    <row r="211" spans="1:52" s="153" customFormat="1" ht="13.5" customHeight="1">
      <c r="A211" s="138"/>
      <c r="B211" s="141"/>
      <c r="C211" s="139"/>
      <c r="D211" s="139"/>
      <c r="E211" s="139"/>
      <c r="F211" s="139"/>
      <c r="G211" s="139"/>
      <c r="H211" s="139"/>
      <c r="I211" s="140"/>
      <c r="J211" s="154"/>
      <c r="K211" s="155"/>
      <c r="L211" s="157"/>
      <c r="M211" s="106" t="s">
        <v>728</v>
      </c>
      <c r="N211" s="102"/>
      <c r="O211" s="102"/>
      <c r="P211" s="102"/>
      <c r="Q211" s="102"/>
      <c r="R211" s="102"/>
      <c r="S211" s="159"/>
      <c r="T211" s="159"/>
      <c r="U211" s="159"/>
      <c r="V211" s="159"/>
      <c r="W211" s="159"/>
      <c r="X211" s="159"/>
      <c r="Y211" s="159"/>
      <c r="Z211" s="159"/>
      <c r="AA211" s="159"/>
      <c r="AB211" s="159"/>
      <c r="AC211" s="159"/>
      <c r="AD211" s="159"/>
      <c r="AE211" s="159"/>
      <c r="AF211" s="159"/>
      <c r="AG211" s="159"/>
      <c r="AH211" s="159"/>
      <c r="AI211" s="159"/>
      <c r="AJ211" s="159"/>
      <c r="AK211" s="159"/>
      <c r="AL211" s="159"/>
      <c r="AM211" s="159"/>
      <c r="AN211" s="159"/>
      <c r="AO211" s="159"/>
      <c r="AP211" s="159"/>
      <c r="AQ211" s="160"/>
      <c r="AR211" s="215"/>
      <c r="AS211" s="159"/>
      <c r="AT211" s="159"/>
      <c r="AU211" s="159"/>
      <c r="AV211" s="159"/>
      <c r="AW211" s="159"/>
      <c r="AX211" s="159"/>
      <c r="AY211" s="161"/>
      <c r="AZ211" s="299">
        <v>0.11</v>
      </c>
    </row>
    <row r="212" spans="1:52" ht="13.5" customHeight="1" thickBot="1">
      <c r="A212" s="321"/>
      <c r="B212" s="322"/>
      <c r="C212" s="323"/>
      <c r="D212" s="323"/>
      <c r="E212" s="323"/>
      <c r="F212" s="323"/>
      <c r="G212" s="323"/>
      <c r="H212" s="323"/>
      <c r="I212" s="324"/>
      <c r="J212" s="325"/>
      <c r="K212" s="326"/>
      <c r="L212" s="322"/>
      <c r="M212" s="323"/>
      <c r="N212" s="323"/>
      <c r="O212" s="323"/>
      <c r="P212" s="323"/>
      <c r="Q212" s="323"/>
      <c r="R212" s="323"/>
      <c r="S212" s="323"/>
      <c r="T212" s="323"/>
      <c r="U212" s="323"/>
      <c r="V212" s="323"/>
      <c r="W212" s="323"/>
      <c r="X212" s="323"/>
      <c r="Y212" s="323"/>
      <c r="Z212" s="323"/>
      <c r="AA212" s="323"/>
      <c r="AB212" s="323"/>
      <c r="AC212" s="323"/>
      <c r="AD212" s="323"/>
      <c r="AE212" s="323"/>
      <c r="AF212" s="323"/>
      <c r="AG212" s="323"/>
      <c r="AH212" s="323"/>
      <c r="AI212" s="323"/>
      <c r="AJ212" s="323"/>
      <c r="AK212" s="323"/>
      <c r="AL212" s="323"/>
      <c r="AM212" s="323"/>
      <c r="AN212" s="323"/>
      <c r="AO212" s="323"/>
      <c r="AP212" s="323"/>
      <c r="AQ212" s="324"/>
      <c r="AR212" s="327"/>
      <c r="AS212" s="323"/>
      <c r="AT212" s="323"/>
      <c r="AU212" s="323"/>
      <c r="AV212" s="323"/>
      <c r="AW212" s="323"/>
      <c r="AX212" s="323"/>
      <c r="AY212" s="328"/>
    </row>
    <row r="213" spans="1:52" ht="13.5" customHeight="1">
      <c r="A213" s="45">
        <v>8</v>
      </c>
      <c r="B213" s="64" t="s">
        <v>535</v>
      </c>
      <c r="C213" s="63"/>
      <c r="D213" s="63"/>
      <c r="E213" s="63"/>
      <c r="F213" s="63"/>
      <c r="G213" s="63"/>
      <c r="H213" s="63"/>
      <c r="I213" s="63"/>
      <c r="J213" s="98"/>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214"/>
      <c r="AS213" s="63"/>
      <c r="AT213" s="63"/>
      <c r="AU213" s="63"/>
      <c r="AV213" s="63"/>
      <c r="AW213" s="63"/>
      <c r="AX213" s="63"/>
      <c r="AY213" s="186" t="s">
        <v>201</v>
      </c>
    </row>
    <row r="214" spans="1:52" ht="13.5" customHeight="1">
      <c r="A214" s="56"/>
      <c r="B214" s="50"/>
      <c r="C214" s="49"/>
      <c r="D214" s="49"/>
      <c r="E214" s="49"/>
      <c r="F214" s="49"/>
      <c r="G214" s="49"/>
      <c r="H214" s="49"/>
      <c r="I214" s="51"/>
      <c r="J214" s="656" t="s">
        <v>704</v>
      </c>
      <c r="K214" s="657"/>
      <c r="L214" s="101" t="s">
        <v>103</v>
      </c>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51"/>
      <c r="AR214" s="208"/>
      <c r="AS214" s="49"/>
      <c r="AT214" s="49"/>
      <c r="AU214" s="49"/>
      <c r="AV214" s="49"/>
      <c r="AW214" s="49"/>
      <c r="AX214" s="49"/>
      <c r="AY214" s="52"/>
    </row>
    <row r="215" spans="1:52" ht="13.5" customHeight="1">
      <c r="A215" s="56"/>
      <c r="B215" s="50"/>
      <c r="C215" s="49"/>
      <c r="D215" s="49"/>
      <c r="E215" s="49"/>
      <c r="F215" s="49"/>
      <c r="G215" s="49"/>
      <c r="H215" s="49"/>
      <c r="I215" s="51"/>
      <c r="J215" s="302"/>
      <c r="K215" s="303"/>
      <c r="L215" s="101" t="s">
        <v>274</v>
      </c>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51"/>
      <c r="AR215" s="208"/>
      <c r="AS215" s="49"/>
      <c r="AT215" s="49"/>
      <c r="AU215" s="49"/>
      <c r="AV215" s="49"/>
      <c r="AW215" s="49"/>
      <c r="AX215" s="49"/>
      <c r="AY215" s="52"/>
    </row>
    <row r="216" spans="1:52" ht="13.5" customHeight="1">
      <c r="A216" s="56"/>
      <c r="B216" s="50"/>
      <c r="C216" s="49"/>
      <c r="D216" s="49"/>
      <c r="E216" s="49"/>
      <c r="F216" s="49"/>
      <c r="G216" s="49"/>
      <c r="H216" s="49"/>
      <c r="I216" s="51"/>
      <c r="J216" s="302"/>
      <c r="K216" s="303"/>
      <c r="L216" s="101"/>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51"/>
      <c r="AR216" s="208"/>
      <c r="AS216" s="49"/>
      <c r="AT216" s="49"/>
      <c r="AU216" s="49"/>
      <c r="AV216" s="49"/>
      <c r="AW216" s="49"/>
      <c r="AX216" s="49"/>
      <c r="AY216" s="52"/>
    </row>
    <row r="217" spans="1:52" ht="13.5" customHeight="1">
      <c r="A217" s="56"/>
      <c r="B217" s="50"/>
      <c r="C217" s="49"/>
      <c r="D217" s="49"/>
      <c r="E217" s="49"/>
      <c r="F217" s="49"/>
      <c r="G217" s="49"/>
      <c r="H217" s="49"/>
      <c r="I217" s="51"/>
      <c r="J217" s="302"/>
      <c r="K217" s="303"/>
      <c r="L217" s="101"/>
      <c r="M217" s="107" t="s">
        <v>167</v>
      </c>
      <c r="N217" s="108"/>
      <c r="O217" s="108"/>
      <c r="P217" s="108"/>
      <c r="Q217" s="108"/>
      <c r="R217" s="108"/>
      <c r="S217" s="108"/>
      <c r="T217" s="108"/>
      <c r="U217" s="108"/>
      <c r="V217" s="108"/>
      <c r="W217" s="108"/>
      <c r="X217" s="108"/>
      <c r="Y217" s="108"/>
      <c r="Z217" s="108"/>
      <c r="AA217" s="109"/>
      <c r="AB217" s="107" t="s">
        <v>104</v>
      </c>
      <c r="AC217" s="108"/>
      <c r="AD217" s="108"/>
      <c r="AE217" s="108"/>
      <c r="AF217" s="108"/>
      <c r="AG217" s="108"/>
      <c r="AH217" s="109"/>
      <c r="AI217" s="110" t="s">
        <v>105</v>
      </c>
      <c r="AJ217" s="108"/>
      <c r="AK217" s="108"/>
      <c r="AL217" s="108"/>
      <c r="AM217" s="108"/>
      <c r="AN217" s="109"/>
      <c r="AO217" s="49"/>
      <c r="AP217" s="49"/>
      <c r="AQ217" s="51"/>
      <c r="AR217" s="208"/>
      <c r="AS217" s="49"/>
      <c r="AT217" s="49"/>
      <c r="AU217" s="49"/>
      <c r="AV217" s="49"/>
      <c r="AW217" s="49"/>
      <c r="AX217" s="49"/>
      <c r="AY217" s="52"/>
    </row>
    <row r="218" spans="1:52" ht="13.5" customHeight="1">
      <c r="A218" s="56"/>
      <c r="B218" s="50"/>
      <c r="C218" s="49"/>
      <c r="D218" s="49"/>
      <c r="E218" s="49"/>
      <c r="F218" s="49"/>
      <c r="G218" s="49"/>
      <c r="H218" s="49"/>
      <c r="I218" s="51"/>
      <c r="J218" s="302"/>
      <c r="K218" s="303"/>
      <c r="L218" s="101"/>
      <c r="M218" s="111" t="s">
        <v>162</v>
      </c>
      <c r="N218" s="112"/>
      <c r="O218" s="112"/>
      <c r="P218" s="112"/>
      <c r="Q218" s="112"/>
      <c r="R218" s="112"/>
      <c r="S218" s="112"/>
      <c r="T218" s="112"/>
      <c r="U218" s="112"/>
      <c r="V218" s="112"/>
      <c r="W218" s="112"/>
      <c r="X218" s="112"/>
      <c r="Y218" s="112"/>
      <c r="Z218" s="112"/>
      <c r="AA218" s="113"/>
      <c r="AB218" s="111" t="s">
        <v>163</v>
      </c>
      <c r="AC218" s="112"/>
      <c r="AD218" s="112"/>
      <c r="AE218" s="112"/>
      <c r="AF218" s="112"/>
      <c r="AG218" s="112"/>
      <c r="AH218" s="113"/>
      <c r="AI218" s="114" t="s">
        <v>106</v>
      </c>
      <c r="AJ218" s="112"/>
      <c r="AK218" s="112"/>
      <c r="AL218" s="112"/>
      <c r="AM218" s="112"/>
      <c r="AN218" s="113"/>
      <c r="AO218" s="49"/>
      <c r="AP218" s="49"/>
      <c r="AQ218" s="51"/>
      <c r="AR218" s="208"/>
      <c r="AS218" s="49"/>
      <c r="AT218" s="49"/>
      <c r="AU218" s="49"/>
      <c r="AV218" s="49"/>
      <c r="AW218" s="49"/>
      <c r="AX218" s="49"/>
      <c r="AY218" s="52"/>
    </row>
    <row r="219" spans="1:52" ht="13.5" customHeight="1">
      <c r="A219" s="56"/>
      <c r="B219" s="50"/>
      <c r="C219" s="49"/>
      <c r="D219" s="49"/>
      <c r="E219" s="49"/>
      <c r="F219" s="49"/>
      <c r="G219" s="49"/>
      <c r="H219" s="49"/>
      <c r="I219" s="51"/>
      <c r="J219" s="302"/>
      <c r="K219" s="303"/>
      <c r="L219" s="101"/>
      <c r="M219" s="111" t="s">
        <v>164</v>
      </c>
      <c r="N219" s="112"/>
      <c r="O219" s="112"/>
      <c r="P219" s="112"/>
      <c r="Q219" s="112"/>
      <c r="R219" s="112"/>
      <c r="S219" s="112"/>
      <c r="T219" s="112"/>
      <c r="U219" s="112"/>
      <c r="V219" s="112"/>
      <c r="W219" s="112"/>
      <c r="X219" s="112"/>
      <c r="Y219" s="112"/>
      <c r="Z219" s="112"/>
      <c r="AA219" s="113"/>
      <c r="AB219" s="111" t="s">
        <v>252</v>
      </c>
      <c r="AC219" s="112"/>
      <c r="AD219" s="112"/>
      <c r="AE219" s="112"/>
      <c r="AF219" s="112"/>
      <c r="AG219" s="112"/>
      <c r="AH219" s="113"/>
      <c r="AI219" s="114" t="s">
        <v>106</v>
      </c>
      <c r="AJ219" s="112"/>
      <c r="AK219" s="112"/>
      <c r="AL219" s="112"/>
      <c r="AM219" s="112"/>
      <c r="AN219" s="113"/>
      <c r="AO219" s="49"/>
      <c r="AP219" s="49"/>
      <c r="AQ219" s="51"/>
      <c r="AR219" s="208"/>
      <c r="AS219" s="49"/>
      <c r="AT219" s="49"/>
      <c r="AU219" s="49"/>
      <c r="AV219" s="49"/>
      <c r="AW219" s="49"/>
      <c r="AX219" s="49"/>
      <c r="AY219" s="52"/>
    </row>
    <row r="220" spans="1:52" ht="13.5" customHeight="1">
      <c r="A220" s="56"/>
      <c r="B220" s="50"/>
      <c r="C220" s="49"/>
      <c r="D220" s="49"/>
      <c r="E220" s="49"/>
      <c r="F220" s="49"/>
      <c r="G220" s="49"/>
      <c r="H220" s="49"/>
      <c r="I220" s="51"/>
      <c r="J220" s="302"/>
      <c r="K220" s="303"/>
      <c r="L220" s="101"/>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51"/>
      <c r="AR220" s="208"/>
      <c r="AS220" s="49"/>
      <c r="AT220" s="49"/>
      <c r="AU220" s="49"/>
      <c r="AV220" s="49"/>
      <c r="AW220" s="49"/>
      <c r="AX220" s="49"/>
      <c r="AY220" s="52"/>
    </row>
    <row r="221" spans="1:52" ht="13.5" customHeight="1">
      <c r="A221" s="56"/>
      <c r="B221" s="50"/>
      <c r="C221" s="49"/>
      <c r="D221" s="49"/>
      <c r="E221" s="49"/>
      <c r="F221" s="49"/>
      <c r="G221" s="49"/>
      <c r="H221" s="49"/>
      <c r="I221" s="51"/>
      <c r="J221" s="302"/>
      <c r="K221" s="303"/>
      <c r="L221" s="101"/>
      <c r="M221" s="49" t="s">
        <v>273</v>
      </c>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51"/>
      <c r="AR221" s="208"/>
      <c r="AS221" s="49"/>
      <c r="AT221" s="49"/>
      <c r="AU221" s="49"/>
      <c r="AV221" s="49"/>
      <c r="AW221" s="49"/>
      <c r="AX221" s="49"/>
      <c r="AY221" s="52"/>
    </row>
    <row r="222" spans="1:52" ht="13.5" customHeight="1">
      <c r="A222" s="56"/>
      <c r="B222" s="50"/>
      <c r="C222" s="49"/>
      <c r="D222" s="49"/>
      <c r="E222" s="49"/>
      <c r="F222" s="49"/>
      <c r="G222" s="49"/>
      <c r="H222" s="49"/>
      <c r="I222" s="51"/>
      <c r="J222" s="302"/>
      <c r="K222" s="303"/>
      <c r="L222" s="101"/>
      <c r="M222" s="49" t="s">
        <v>272</v>
      </c>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51"/>
      <c r="AR222" s="208"/>
      <c r="AS222" s="49"/>
      <c r="AT222" s="49"/>
      <c r="AU222" s="49"/>
      <c r="AV222" s="49"/>
      <c r="AW222" s="49"/>
      <c r="AX222" s="49"/>
      <c r="AY222" s="52"/>
    </row>
    <row r="223" spans="1:52" ht="13.5" customHeight="1">
      <c r="A223" s="56"/>
      <c r="B223" s="50"/>
      <c r="C223" s="49"/>
      <c r="D223" s="49"/>
      <c r="E223" s="49"/>
      <c r="F223" s="49"/>
      <c r="G223" s="49"/>
      <c r="H223" s="49"/>
      <c r="I223" s="51"/>
      <c r="J223" s="302"/>
      <c r="K223" s="303"/>
      <c r="L223" s="101"/>
      <c r="M223" s="49" t="s">
        <v>703</v>
      </c>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51"/>
      <c r="AR223" s="208"/>
      <c r="AS223" s="49"/>
      <c r="AT223" s="49"/>
      <c r="AU223" s="49"/>
      <c r="AV223" s="49"/>
      <c r="AW223" s="49"/>
      <c r="AX223" s="49"/>
      <c r="AY223" s="52"/>
    </row>
    <row r="224" spans="1:52" ht="13.5" customHeight="1">
      <c r="A224" s="56"/>
      <c r="B224" s="50"/>
      <c r="C224" s="49"/>
      <c r="D224" s="49"/>
      <c r="E224" s="49"/>
      <c r="F224" s="49"/>
      <c r="G224" s="49"/>
      <c r="H224" s="49"/>
      <c r="I224" s="51"/>
      <c r="J224" s="302"/>
      <c r="K224" s="303"/>
      <c r="L224" s="50"/>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51"/>
      <c r="AR224" s="208"/>
      <c r="AS224" s="49"/>
      <c r="AT224" s="49"/>
      <c r="AU224" s="49"/>
      <c r="AV224" s="49"/>
      <c r="AW224" s="49"/>
      <c r="AX224" s="49"/>
      <c r="AY224" s="52"/>
    </row>
    <row r="225" spans="1:51" ht="13.5" customHeight="1">
      <c r="A225" s="61"/>
      <c r="B225" s="58"/>
      <c r="C225" s="57"/>
      <c r="D225" s="57"/>
      <c r="E225" s="57"/>
      <c r="F225" s="57"/>
      <c r="G225" s="57"/>
      <c r="H225" s="57"/>
      <c r="I225" s="59"/>
      <c r="J225" s="658"/>
      <c r="K225" s="659"/>
      <c r="L225" s="58"/>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9"/>
      <c r="AR225" s="192"/>
      <c r="AS225" s="57"/>
      <c r="AT225" s="57"/>
      <c r="AU225" s="57"/>
      <c r="AV225" s="57"/>
      <c r="AW225" s="57"/>
      <c r="AX225" s="57"/>
      <c r="AY225" s="60"/>
    </row>
    <row r="226" spans="1:51" ht="13.5" customHeight="1">
      <c r="A226" s="43">
        <v>9</v>
      </c>
      <c r="B226" s="53" t="s">
        <v>536</v>
      </c>
      <c r="C226" s="54"/>
      <c r="D226" s="54"/>
      <c r="E226" s="54"/>
      <c r="F226" s="54"/>
      <c r="G226" s="54"/>
      <c r="H226" s="54"/>
      <c r="I226" s="54"/>
      <c r="J226" s="41"/>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212"/>
      <c r="AS226" s="54"/>
      <c r="AT226" s="54"/>
      <c r="AU226" s="54"/>
      <c r="AV226" s="54"/>
      <c r="AW226" s="54"/>
      <c r="AX226" s="54"/>
      <c r="AY226" s="135" t="s">
        <v>201</v>
      </c>
    </row>
    <row r="227" spans="1:51" ht="13.5" customHeight="1">
      <c r="A227" s="56"/>
      <c r="B227" s="50"/>
      <c r="C227" s="49"/>
      <c r="D227" s="49"/>
      <c r="E227" s="49"/>
      <c r="F227" s="49"/>
      <c r="G227" s="49"/>
      <c r="H227" s="49"/>
      <c r="I227" s="51"/>
      <c r="J227" s="656" t="s">
        <v>704</v>
      </c>
      <c r="K227" s="657"/>
      <c r="L227" s="101" t="s">
        <v>253</v>
      </c>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51"/>
      <c r="AR227" s="208"/>
      <c r="AS227" s="49"/>
      <c r="AT227" s="49"/>
      <c r="AU227" s="49"/>
      <c r="AV227" s="49"/>
      <c r="AW227" s="49"/>
      <c r="AX227" s="49"/>
      <c r="AY227" s="52"/>
    </row>
    <row r="228" spans="1:51" ht="13.5" customHeight="1">
      <c r="A228" s="56"/>
      <c r="B228" s="50"/>
      <c r="C228" s="49"/>
      <c r="D228" s="49"/>
      <c r="E228" s="49"/>
      <c r="F228" s="49"/>
      <c r="G228" s="49"/>
      <c r="H228" s="49"/>
      <c r="I228" s="51"/>
      <c r="J228" s="302"/>
      <c r="K228" s="303"/>
      <c r="L228" s="101" t="s">
        <v>532</v>
      </c>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51"/>
      <c r="AR228" s="208"/>
      <c r="AS228" s="49"/>
      <c r="AT228" s="49"/>
      <c r="AU228" s="49"/>
      <c r="AV228" s="49"/>
      <c r="AW228" s="49"/>
      <c r="AX228" s="49"/>
      <c r="AY228" s="52"/>
    </row>
    <row r="229" spans="1:51" ht="13.5" customHeight="1">
      <c r="A229" s="56"/>
      <c r="B229" s="50"/>
      <c r="C229" s="49"/>
      <c r="D229" s="49"/>
      <c r="E229" s="49"/>
      <c r="F229" s="49"/>
      <c r="G229" s="49"/>
      <c r="H229" s="49"/>
      <c r="I229" s="51"/>
      <c r="J229" s="302"/>
      <c r="K229" s="303"/>
      <c r="L229" s="101"/>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51"/>
      <c r="AR229" s="208"/>
      <c r="AS229" s="49"/>
      <c r="AT229" s="49"/>
      <c r="AU229" s="49"/>
      <c r="AV229" s="49"/>
      <c r="AW229" s="49"/>
      <c r="AX229" s="49"/>
      <c r="AY229" s="52"/>
    </row>
    <row r="230" spans="1:51" ht="13.5" customHeight="1">
      <c r="A230" s="56"/>
      <c r="B230" s="50"/>
      <c r="C230" s="49"/>
      <c r="D230" s="49"/>
      <c r="E230" s="49"/>
      <c r="F230" s="49"/>
      <c r="G230" s="49"/>
      <c r="H230" s="49"/>
      <c r="I230" s="51"/>
      <c r="J230" s="302"/>
      <c r="K230" s="303"/>
      <c r="L230" s="101"/>
      <c r="M230" s="107" t="s">
        <v>167</v>
      </c>
      <c r="N230" s="108"/>
      <c r="O230" s="108"/>
      <c r="P230" s="108"/>
      <c r="Q230" s="108"/>
      <c r="R230" s="108"/>
      <c r="S230" s="108"/>
      <c r="T230" s="108"/>
      <c r="U230" s="108"/>
      <c r="V230" s="108"/>
      <c r="W230" s="108"/>
      <c r="X230" s="108"/>
      <c r="Y230" s="108"/>
      <c r="Z230" s="108"/>
      <c r="AA230" s="109"/>
      <c r="AB230" s="107" t="s">
        <v>533</v>
      </c>
      <c r="AC230" s="108"/>
      <c r="AD230" s="108"/>
      <c r="AE230" s="108"/>
      <c r="AF230" s="108"/>
      <c r="AG230" s="108"/>
      <c r="AH230" s="109"/>
      <c r="AI230" s="110" t="s">
        <v>105</v>
      </c>
      <c r="AJ230" s="108"/>
      <c r="AK230" s="108"/>
      <c r="AL230" s="108"/>
      <c r="AM230" s="108"/>
      <c r="AN230" s="109"/>
      <c r="AO230" s="49"/>
      <c r="AP230" s="49"/>
      <c r="AQ230" s="51"/>
      <c r="AR230" s="208"/>
      <c r="AS230" s="49"/>
      <c r="AT230" s="49"/>
      <c r="AU230" s="49"/>
      <c r="AV230" s="49"/>
      <c r="AW230" s="49"/>
      <c r="AX230" s="49"/>
      <c r="AY230" s="52"/>
    </row>
    <row r="231" spans="1:51" ht="13.5" customHeight="1">
      <c r="A231" s="56"/>
      <c r="B231" s="50"/>
      <c r="C231" s="49"/>
      <c r="D231" s="49"/>
      <c r="E231" s="49"/>
      <c r="F231" s="49"/>
      <c r="G231" s="49"/>
      <c r="H231" s="49"/>
      <c r="I231" s="51"/>
      <c r="J231" s="302"/>
      <c r="K231" s="303"/>
      <c r="L231" s="101"/>
      <c r="M231" s="111" t="s">
        <v>162</v>
      </c>
      <c r="N231" s="112"/>
      <c r="O231" s="112"/>
      <c r="P231" s="112"/>
      <c r="Q231" s="112"/>
      <c r="R231" s="112"/>
      <c r="S231" s="112"/>
      <c r="T231" s="112"/>
      <c r="U231" s="112"/>
      <c r="V231" s="112"/>
      <c r="W231" s="112"/>
      <c r="X231" s="112"/>
      <c r="Y231" s="112"/>
      <c r="Z231" s="112"/>
      <c r="AA231" s="113"/>
      <c r="AB231" s="111" t="s">
        <v>163</v>
      </c>
      <c r="AC231" s="112"/>
      <c r="AD231" s="112"/>
      <c r="AE231" s="112"/>
      <c r="AF231" s="112"/>
      <c r="AG231" s="112"/>
      <c r="AH231" s="113"/>
      <c r="AI231" s="114" t="s">
        <v>106</v>
      </c>
      <c r="AJ231" s="112"/>
      <c r="AK231" s="112"/>
      <c r="AL231" s="112"/>
      <c r="AM231" s="112"/>
      <c r="AN231" s="113"/>
      <c r="AO231" s="49"/>
      <c r="AP231" s="49"/>
      <c r="AQ231" s="51"/>
      <c r="AR231" s="208"/>
      <c r="AS231" s="49"/>
      <c r="AT231" s="49"/>
      <c r="AU231" s="49"/>
      <c r="AV231" s="49"/>
      <c r="AW231" s="49"/>
      <c r="AX231" s="49"/>
      <c r="AY231" s="52"/>
    </row>
    <row r="232" spans="1:51" ht="13.5" customHeight="1">
      <c r="A232" s="56"/>
      <c r="B232" s="50"/>
      <c r="C232" s="49"/>
      <c r="D232" s="49"/>
      <c r="E232" s="49"/>
      <c r="F232" s="49"/>
      <c r="G232" s="49"/>
      <c r="H232" s="49"/>
      <c r="I232" s="51"/>
      <c r="J232" s="302"/>
      <c r="K232" s="303"/>
      <c r="L232" s="101"/>
      <c r="M232" s="111" t="s">
        <v>164</v>
      </c>
      <c r="N232" s="112"/>
      <c r="O232" s="112"/>
      <c r="P232" s="112"/>
      <c r="Q232" s="112"/>
      <c r="R232" s="112"/>
      <c r="S232" s="112"/>
      <c r="T232" s="112"/>
      <c r="U232" s="112"/>
      <c r="V232" s="112"/>
      <c r="W232" s="112"/>
      <c r="X232" s="112"/>
      <c r="Y232" s="112"/>
      <c r="Z232" s="112"/>
      <c r="AA232" s="113"/>
      <c r="AB232" s="111" t="s">
        <v>252</v>
      </c>
      <c r="AC232" s="112"/>
      <c r="AD232" s="112"/>
      <c r="AE232" s="112"/>
      <c r="AF232" s="112"/>
      <c r="AG232" s="112"/>
      <c r="AH232" s="113"/>
      <c r="AI232" s="114" t="s">
        <v>106</v>
      </c>
      <c r="AJ232" s="112"/>
      <c r="AK232" s="112"/>
      <c r="AL232" s="112"/>
      <c r="AM232" s="112"/>
      <c r="AN232" s="113"/>
      <c r="AO232" s="49"/>
      <c r="AP232" s="49"/>
      <c r="AQ232" s="51"/>
      <c r="AR232" s="208"/>
      <c r="AS232" s="49"/>
      <c r="AT232" s="49"/>
      <c r="AU232" s="49"/>
      <c r="AV232" s="49"/>
      <c r="AW232" s="49"/>
      <c r="AX232" s="49"/>
      <c r="AY232" s="52"/>
    </row>
    <row r="233" spans="1:51" ht="13.5" customHeight="1">
      <c r="A233" s="56"/>
      <c r="B233" s="50"/>
      <c r="C233" s="49"/>
      <c r="D233" s="49"/>
      <c r="E233" s="49"/>
      <c r="F233" s="49"/>
      <c r="G233" s="49"/>
      <c r="H233" s="49"/>
      <c r="I233" s="51"/>
      <c r="J233" s="302"/>
      <c r="K233" s="303"/>
      <c r="L233" s="101"/>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51"/>
      <c r="AR233" s="208"/>
      <c r="AS233" s="49"/>
      <c r="AT233" s="49"/>
      <c r="AU233" s="49"/>
      <c r="AV233" s="49"/>
      <c r="AW233" s="49"/>
      <c r="AX233" s="49"/>
      <c r="AY233" s="52"/>
    </row>
    <row r="234" spans="1:51" ht="13.5" customHeight="1">
      <c r="A234" s="56"/>
      <c r="B234" s="50"/>
      <c r="C234" s="49"/>
      <c r="D234" s="49"/>
      <c r="E234" s="49"/>
      <c r="F234" s="49"/>
      <c r="G234" s="49"/>
      <c r="H234" s="49"/>
      <c r="I234" s="51"/>
      <c r="J234" s="302"/>
      <c r="K234" s="303"/>
      <c r="L234" s="101"/>
      <c r="M234" s="49" t="s">
        <v>534</v>
      </c>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51"/>
      <c r="AR234" s="208"/>
      <c r="AS234" s="49"/>
      <c r="AT234" s="49"/>
      <c r="AU234" s="49"/>
      <c r="AV234" s="49"/>
      <c r="AW234" s="49"/>
      <c r="AX234" s="49"/>
      <c r="AY234" s="52"/>
    </row>
    <row r="235" spans="1:51" ht="13.5" customHeight="1">
      <c r="A235" s="56"/>
      <c r="B235" s="50"/>
      <c r="C235" s="49"/>
      <c r="D235" s="49"/>
      <c r="E235" s="49"/>
      <c r="F235" s="49"/>
      <c r="G235" s="49"/>
      <c r="H235" s="49"/>
      <c r="I235" s="51"/>
      <c r="J235" s="302"/>
      <c r="K235" s="303"/>
      <c r="L235" s="101"/>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51"/>
      <c r="AR235" s="208"/>
      <c r="AS235" s="49"/>
      <c r="AT235" s="49"/>
      <c r="AU235" s="49"/>
      <c r="AV235" s="49"/>
      <c r="AW235" s="49"/>
      <c r="AX235" s="49"/>
      <c r="AY235" s="52"/>
    </row>
    <row r="236" spans="1:51" ht="13.5" customHeight="1">
      <c r="A236" s="56"/>
      <c r="B236" s="50"/>
      <c r="C236" s="49"/>
      <c r="D236" s="49"/>
      <c r="E236" s="49"/>
      <c r="F236" s="49"/>
      <c r="G236" s="49"/>
      <c r="H236" s="49"/>
      <c r="I236" s="51"/>
      <c r="J236" s="302"/>
      <c r="K236" s="303"/>
      <c r="L236" s="101"/>
      <c r="M236" s="49" t="s">
        <v>703</v>
      </c>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51"/>
      <c r="AR236" s="208"/>
      <c r="AS236" s="49"/>
      <c r="AT236" s="49"/>
      <c r="AU236" s="49"/>
      <c r="AV236" s="49"/>
      <c r="AW236" s="49"/>
      <c r="AX236" s="49"/>
      <c r="AY236" s="52"/>
    </row>
    <row r="237" spans="1:51" ht="13.5" customHeight="1">
      <c r="A237" s="61"/>
      <c r="B237" s="58"/>
      <c r="C237" s="57"/>
      <c r="D237" s="57"/>
      <c r="E237" s="57"/>
      <c r="F237" s="57"/>
      <c r="G237" s="57"/>
      <c r="H237" s="57"/>
      <c r="I237" s="59"/>
      <c r="J237" s="658"/>
      <c r="K237" s="659"/>
      <c r="L237" s="58"/>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9"/>
      <c r="AR237" s="192"/>
      <c r="AS237" s="57"/>
      <c r="AT237" s="57"/>
      <c r="AU237" s="57"/>
      <c r="AV237" s="57"/>
      <c r="AW237" s="57"/>
      <c r="AX237" s="57"/>
      <c r="AY237" s="60"/>
    </row>
    <row r="238" spans="1:51" ht="13.5" customHeight="1">
      <c r="A238" s="99">
        <v>10</v>
      </c>
      <c r="B238" s="53" t="s">
        <v>76</v>
      </c>
      <c r="C238" s="54"/>
      <c r="D238" s="54"/>
      <c r="E238" s="54"/>
      <c r="F238" s="54"/>
      <c r="G238" s="54"/>
      <c r="H238" s="54"/>
      <c r="I238" s="54"/>
      <c r="J238" s="41"/>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212"/>
      <c r="AS238" s="54"/>
      <c r="AT238" s="54"/>
      <c r="AU238" s="54"/>
      <c r="AV238" s="54"/>
      <c r="AW238" s="54"/>
      <c r="AX238" s="54"/>
      <c r="AY238" s="55" t="s">
        <v>200</v>
      </c>
    </row>
    <row r="239" spans="1:51" ht="13.5" customHeight="1">
      <c r="A239" s="56"/>
      <c r="B239" s="50"/>
      <c r="C239" s="49"/>
      <c r="D239" s="49"/>
      <c r="E239" s="49"/>
      <c r="F239" s="49"/>
      <c r="G239" s="49"/>
      <c r="H239" s="49"/>
      <c r="I239" s="51"/>
      <c r="J239" s="656" t="s">
        <v>704</v>
      </c>
      <c r="K239" s="657"/>
      <c r="L239" s="101" t="s">
        <v>371</v>
      </c>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51"/>
      <c r="AR239" s="208"/>
      <c r="AS239" s="49"/>
      <c r="AT239" s="49"/>
      <c r="AU239" s="49"/>
      <c r="AV239" s="49"/>
      <c r="AW239" s="49"/>
      <c r="AX239" s="49"/>
      <c r="AY239" s="52"/>
    </row>
    <row r="240" spans="1:51" ht="13.5" customHeight="1">
      <c r="A240" s="56"/>
      <c r="B240" s="50"/>
      <c r="C240" s="49"/>
      <c r="D240" s="49"/>
      <c r="E240" s="49"/>
      <c r="F240" s="49"/>
      <c r="G240" s="49"/>
      <c r="H240" s="49"/>
      <c r="I240" s="51"/>
      <c r="J240" s="302"/>
      <c r="K240" s="303"/>
      <c r="L240" s="101" t="s">
        <v>372</v>
      </c>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51"/>
      <c r="AR240" s="208"/>
      <c r="AS240" s="49"/>
      <c r="AT240" s="49"/>
      <c r="AU240" s="49"/>
      <c r="AV240" s="49"/>
      <c r="AW240" s="49"/>
      <c r="AX240" s="49"/>
      <c r="AY240" s="52"/>
    </row>
    <row r="241" spans="1:51" ht="13.5" customHeight="1">
      <c r="A241" s="56"/>
      <c r="B241" s="50"/>
      <c r="C241" s="49"/>
      <c r="D241" s="49"/>
      <c r="E241" s="49"/>
      <c r="F241" s="49"/>
      <c r="G241" s="49"/>
      <c r="H241" s="49"/>
      <c r="I241" s="51"/>
      <c r="J241" s="302"/>
      <c r="K241" s="303"/>
      <c r="L241" s="101"/>
      <c r="M241" s="49" t="s">
        <v>121</v>
      </c>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51"/>
      <c r="AR241" s="208"/>
      <c r="AS241" s="49"/>
      <c r="AT241" s="49"/>
      <c r="AU241" s="49"/>
      <c r="AV241" s="49"/>
      <c r="AW241" s="49"/>
      <c r="AX241" s="49"/>
      <c r="AY241" s="52"/>
    </row>
    <row r="242" spans="1:51" ht="13.5" customHeight="1">
      <c r="A242" s="56"/>
      <c r="B242" s="50"/>
      <c r="C242" s="49"/>
      <c r="D242" s="49"/>
      <c r="E242" s="49"/>
      <c r="F242" s="49"/>
      <c r="G242" s="49"/>
      <c r="H242" s="49"/>
      <c r="I242" s="51"/>
      <c r="J242" s="302"/>
      <c r="K242" s="303"/>
      <c r="L242" s="101"/>
      <c r="M242" s="49" t="s">
        <v>373</v>
      </c>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51"/>
      <c r="AR242" s="208"/>
      <c r="AS242" s="49"/>
      <c r="AT242" s="49"/>
      <c r="AU242" s="49"/>
      <c r="AV242" s="49"/>
      <c r="AW242" s="49"/>
      <c r="AX242" s="49"/>
      <c r="AY242" s="52"/>
    </row>
    <row r="243" spans="1:51" ht="13.5" customHeight="1">
      <c r="A243" s="56"/>
      <c r="B243" s="50"/>
      <c r="C243" s="49"/>
      <c r="D243" s="49"/>
      <c r="E243" s="49"/>
      <c r="F243" s="49"/>
      <c r="G243" s="49"/>
      <c r="H243" s="49"/>
      <c r="I243" s="51"/>
      <c r="J243" s="302"/>
      <c r="K243" s="303"/>
      <c r="L243" s="101"/>
      <c r="M243" s="49" t="s">
        <v>374</v>
      </c>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51"/>
      <c r="AR243" s="208"/>
      <c r="AS243" s="49"/>
      <c r="AT243" s="49"/>
      <c r="AU243" s="49"/>
      <c r="AV243" s="49"/>
      <c r="AW243" s="49"/>
      <c r="AX243" s="49"/>
      <c r="AY243" s="52"/>
    </row>
    <row r="244" spans="1:51" ht="13.5" customHeight="1">
      <c r="A244" s="56"/>
      <c r="B244" s="50"/>
      <c r="C244" s="49"/>
      <c r="D244" s="49"/>
      <c r="E244" s="49"/>
      <c r="F244" s="49"/>
      <c r="G244" s="49"/>
      <c r="H244" s="49"/>
      <c r="I244" s="51"/>
      <c r="J244" s="302"/>
      <c r="K244" s="303"/>
      <c r="L244" s="101"/>
      <c r="M244" s="49" t="s">
        <v>125</v>
      </c>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51"/>
      <c r="AR244" s="653"/>
      <c r="AS244" s="654"/>
      <c r="AT244" s="654"/>
      <c r="AU244" s="654"/>
      <c r="AV244" s="654"/>
      <c r="AW244" s="654"/>
      <c r="AX244" s="654"/>
      <c r="AY244" s="655"/>
    </row>
    <row r="245" spans="1:51" ht="13.5" customHeight="1">
      <c r="A245" s="56"/>
      <c r="B245" s="50"/>
      <c r="C245" s="49"/>
      <c r="D245" s="49"/>
      <c r="E245" s="49"/>
      <c r="F245" s="49"/>
      <c r="G245" s="49"/>
      <c r="H245" s="49"/>
      <c r="I245" s="51"/>
      <c r="J245" s="302"/>
      <c r="K245" s="303"/>
      <c r="L245" s="101"/>
      <c r="M245" s="49" t="s">
        <v>335</v>
      </c>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51"/>
      <c r="AR245" s="208"/>
      <c r="AS245" s="49"/>
      <c r="AT245" s="49"/>
      <c r="AU245" s="49"/>
      <c r="AV245" s="49"/>
      <c r="AW245" s="49"/>
      <c r="AX245" s="49"/>
      <c r="AY245" s="52"/>
    </row>
    <row r="246" spans="1:51" ht="13.5" customHeight="1" thickBot="1">
      <c r="A246" s="321"/>
      <c r="B246" s="322"/>
      <c r="C246" s="323"/>
      <c r="D246" s="323"/>
      <c r="E246" s="323"/>
      <c r="F246" s="323"/>
      <c r="G246" s="323"/>
      <c r="H246" s="323"/>
      <c r="I246" s="324"/>
      <c r="J246" s="325"/>
      <c r="K246" s="326"/>
      <c r="L246" s="336"/>
      <c r="M246" s="323" t="s">
        <v>336</v>
      </c>
      <c r="N246" s="323"/>
      <c r="O246" s="323"/>
      <c r="P246" s="323"/>
      <c r="Q246" s="323"/>
      <c r="R246" s="323"/>
      <c r="S246" s="323"/>
      <c r="T246" s="323"/>
      <c r="U246" s="323"/>
      <c r="V246" s="323"/>
      <c r="W246" s="323"/>
      <c r="X246" s="323"/>
      <c r="Y246" s="323"/>
      <c r="Z246" s="323"/>
      <c r="AA246" s="323"/>
      <c r="AB246" s="323"/>
      <c r="AC246" s="323"/>
      <c r="AD246" s="323"/>
      <c r="AE246" s="323"/>
      <c r="AF246" s="323"/>
      <c r="AG246" s="323"/>
      <c r="AH246" s="323"/>
      <c r="AI246" s="323"/>
      <c r="AJ246" s="323"/>
      <c r="AK246" s="323"/>
      <c r="AL246" s="323"/>
      <c r="AM246" s="323"/>
      <c r="AN246" s="323"/>
      <c r="AO246" s="323"/>
      <c r="AP246" s="323"/>
      <c r="AQ246" s="324"/>
      <c r="AR246" s="327"/>
      <c r="AS246" s="323"/>
      <c r="AT246" s="323"/>
      <c r="AU246" s="323"/>
      <c r="AV246" s="323"/>
      <c r="AW246" s="323"/>
      <c r="AX246" s="323"/>
      <c r="AY246" s="328"/>
    </row>
    <row r="247" spans="1:51" ht="13.5" customHeight="1">
      <c r="A247" s="56"/>
      <c r="B247" s="50"/>
      <c r="C247" s="49"/>
      <c r="D247" s="49"/>
      <c r="E247" s="49"/>
      <c r="F247" s="49"/>
      <c r="G247" s="49"/>
      <c r="H247" s="49"/>
      <c r="I247" s="51"/>
      <c r="J247" s="302"/>
      <c r="K247" s="303"/>
      <c r="L247" s="101"/>
      <c r="M247" s="49"/>
      <c r="N247" s="49"/>
      <c r="O247" s="49"/>
      <c r="P247" s="49"/>
      <c r="Q247" s="49"/>
      <c r="R247" s="49"/>
      <c r="S247" s="49"/>
      <c r="T247" s="49"/>
      <c r="U247" s="49"/>
      <c r="V247" s="49"/>
      <c r="W247" s="49"/>
      <c r="X247" s="49"/>
      <c r="Y247" s="49"/>
      <c r="Z247" s="49"/>
      <c r="AA247" s="49"/>
      <c r="AB247" s="126"/>
      <c r="AC247" s="49" t="s">
        <v>188</v>
      </c>
      <c r="AD247" s="49"/>
      <c r="AE247" s="49"/>
      <c r="AF247" s="49"/>
      <c r="AG247" s="49"/>
      <c r="AH247" s="49"/>
      <c r="AI247" s="49"/>
      <c r="AJ247" s="49"/>
      <c r="AK247" s="49"/>
      <c r="AL247" s="49"/>
      <c r="AM247" s="49"/>
      <c r="AN247" s="49"/>
      <c r="AO247" s="49"/>
      <c r="AP247" s="49"/>
      <c r="AQ247" s="51"/>
      <c r="AR247" s="208"/>
      <c r="AS247" s="49"/>
      <c r="AT247" s="49"/>
      <c r="AU247" s="49"/>
      <c r="AV247" s="49"/>
      <c r="AW247" s="49"/>
      <c r="AX247" s="49"/>
      <c r="AY247" s="52"/>
    </row>
    <row r="248" spans="1:51" ht="13.5" customHeight="1">
      <c r="A248" s="56"/>
      <c r="B248" s="50"/>
      <c r="C248" s="49"/>
      <c r="D248" s="49"/>
      <c r="E248" s="49"/>
      <c r="F248" s="49"/>
      <c r="G248" s="49"/>
      <c r="H248" s="49"/>
      <c r="I248" s="51"/>
      <c r="J248" s="302"/>
      <c r="K248" s="303"/>
      <c r="L248" s="101"/>
      <c r="M248" s="205"/>
      <c r="N248" s="49"/>
      <c r="O248" s="49"/>
      <c r="P248" s="49"/>
      <c r="Q248" s="49"/>
      <c r="R248" s="49"/>
      <c r="S248" s="49"/>
      <c r="T248" s="49"/>
      <c r="U248" s="49"/>
      <c r="V248" s="49"/>
      <c r="W248" s="49"/>
      <c r="X248" s="49"/>
      <c r="Y248" s="49"/>
      <c r="Z248" s="49"/>
      <c r="AA248" s="49"/>
      <c r="AB248" s="49" t="s">
        <v>338</v>
      </c>
      <c r="AC248" s="49"/>
      <c r="AD248" s="49"/>
      <c r="AE248" s="49"/>
      <c r="AF248" s="49"/>
      <c r="AG248" s="49"/>
      <c r="AH248" s="49"/>
      <c r="AI248" s="49"/>
      <c r="AJ248" s="49"/>
      <c r="AK248" s="49"/>
      <c r="AL248" s="49"/>
      <c r="AM248" s="49"/>
      <c r="AN248" s="49"/>
      <c r="AO248" s="49"/>
      <c r="AP248" s="49"/>
      <c r="AQ248" s="51"/>
      <c r="AR248" s="208"/>
      <c r="AS248" s="49"/>
      <c r="AT248" s="49"/>
      <c r="AU248" s="49"/>
      <c r="AV248" s="49"/>
      <c r="AW248" s="49"/>
      <c r="AX248" s="49"/>
      <c r="AY248" s="52"/>
    </row>
    <row r="249" spans="1:51" ht="13.5" customHeight="1">
      <c r="A249" s="56"/>
      <c r="B249" s="50"/>
      <c r="C249" s="49"/>
      <c r="D249" s="49"/>
      <c r="E249" s="49"/>
      <c r="F249" s="49"/>
      <c r="G249" s="49"/>
      <c r="H249" s="49"/>
      <c r="I249" s="51"/>
      <c r="J249" s="302"/>
      <c r="K249" s="303"/>
      <c r="L249" s="101"/>
      <c r="M249" s="49" t="s">
        <v>314</v>
      </c>
      <c r="N249" s="49"/>
      <c r="O249" s="49"/>
      <c r="P249" s="49"/>
      <c r="Q249" s="49"/>
      <c r="R249" s="49"/>
      <c r="S249" s="49"/>
      <c r="T249" s="49"/>
      <c r="U249" s="49"/>
      <c r="V249" s="49"/>
      <c r="W249" s="49"/>
      <c r="X249" s="49"/>
      <c r="Y249" s="49"/>
      <c r="Z249" s="49"/>
      <c r="AA249" s="49"/>
      <c r="AB249" s="49" t="s">
        <v>341</v>
      </c>
      <c r="AC249" s="49"/>
      <c r="AD249" s="49"/>
      <c r="AE249" s="49"/>
      <c r="AF249" s="49"/>
      <c r="AG249" s="49"/>
      <c r="AH249" s="49"/>
      <c r="AI249" s="49"/>
      <c r="AJ249" s="49"/>
      <c r="AK249" s="49"/>
      <c r="AL249" s="49"/>
      <c r="AM249" s="49"/>
      <c r="AN249" s="49"/>
      <c r="AO249" s="49"/>
      <c r="AP249" s="49"/>
      <c r="AQ249" s="51"/>
      <c r="AR249" s="208"/>
      <c r="AS249" s="49"/>
      <c r="AT249" s="49"/>
      <c r="AU249" s="49"/>
      <c r="AV249" s="49"/>
      <c r="AW249" s="49"/>
      <c r="AX249" s="49"/>
      <c r="AY249" s="52"/>
    </row>
    <row r="250" spans="1:51" ht="13.5" customHeight="1">
      <c r="A250" s="56"/>
      <c r="B250" s="50"/>
      <c r="C250" s="49"/>
      <c r="D250" s="49"/>
      <c r="E250" s="49"/>
      <c r="F250" s="49"/>
      <c r="G250" s="49"/>
      <c r="H250" s="49"/>
      <c r="I250" s="51"/>
      <c r="J250" s="302"/>
      <c r="K250" s="303"/>
      <c r="L250" s="101"/>
      <c r="M250" s="49"/>
      <c r="N250" s="49"/>
      <c r="O250" s="49"/>
      <c r="P250" s="49"/>
      <c r="Q250" s="49"/>
      <c r="R250" s="49"/>
      <c r="S250" s="49"/>
      <c r="T250" s="49"/>
      <c r="U250" s="49"/>
      <c r="V250" s="49"/>
      <c r="W250" s="49"/>
      <c r="X250" s="49"/>
      <c r="Y250" s="49"/>
      <c r="Z250" s="49"/>
      <c r="AA250" s="49"/>
      <c r="AB250" s="49" t="s">
        <v>342</v>
      </c>
      <c r="AC250" s="49"/>
      <c r="AD250" s="49"/>
      <c r="AE250" s="49"/>
      <c r="AF250" s="49"/>
      <c r="AG250" s="49"/>
      <c r="AH250" s="49"/>
      <c r="AI250" s="49"/>
      <c r="AJ250" s="49"/>
      <c r="AK250" s="49"/>
      <c r="AL250" s="49"/>
      <c r="AM250" s="49"/>
      <c r="AN250" s="49"/>
      <c r="AO250" s="49"/>
      <c r="AP250" s="49"/>
      <c r="AQ250" s="51"/>
      <c r="AR250" s="208"/>
      <c r="AS250" s="49"/>
      <c r="AT250" s="49"/>
      <c r="AU250" s="49"/>
      <c r="AV250" s="49"/>
      <c r="AW250" s="49"/>
      <c r="AX250" s="49"/>
      <c r="AY250" s="52"/>
    </row>
    <row r="251" spans="1:51" ht="13.5" customHeight="1">
      <c r="A251" s="56"/>
      <c r="B251" s="50"/>
      <c r="C251" s="49"/>
      <c r="D251" s="49"/>
      <c r="E251" s="49"/>
      <c r="F251" s="49"/>
      <c r="G251" s="49"/>
      <c r="H251" s="49"/>
      <c r="I251" s="51"/>
      <c r="J251" s="302"/>
      <c r="K251" s="303"/>
      <c r="L251" s="101"/>
      <c r="M251" s="49" t="s">
        <v>345</v>
      </c>
      <c r="N251" s="49"/>
      <c r="O251" s="49"/>
      <c r="P251" s="49"/>
      <c r="Q251" s="49"/>
      <c r="R251" s="49"/>
      <c r="S251" s="49"/>
      <c r="T251" s="49"/>
      <c r="U251" s="49"/>
      <c r="V251" s="49"/>
      <c r="W251" s="49"/>
      <c r="X251" s="49"/>
      <c r="Y251" s="49"/>
      <c r="Z251" s="49"/>
      <c r="AA251" s="49"/>
      <c r="AB251" s="49" t="s">
        <v>343</v>
      </c>
      <c r="AC251" s="49"/>
      <c r="AD251" s="49"/>
      <c r="AE251" s="49"/>
      <c r="AF251" s="49"/>
      <c r="AG251" s="49"/>
      <c r="AH251" s="49"/>
      <c r="AI251" s="49"/>
      <c r="AJ251" s="49"/>
      <c r="AK251" s="49"/>
      <c r="AL251" s="49"/>
      <c r="AM251" s="49"/>
      <c r="AN251" s="49"/>
      <c r="AO251" s="49"/>
      <c r="AP251" s="49"/>
      <c r="AQ251" s="51"/>
      <c r="AR251" s="208"/>
      <c r="AS251" s="49"/>
      <c r="AT251" s="49"/>
      <c r="AU251" s="49"/>
      <c r="AV251" s="49"/>
      <c r="AW251" s="49"/>
      <c r="AX251" s="49"/>
      <c r="AY251" s="52"/>
    </row>
    <row r="252" spans="1:51" ht="13.5" customHeight="1">
      <c r="A252" s="56"/>
      <c r="B252" s="50"/>
      <c r="C252" s="49"/>
      <c r="D252" s="49"/>
      <c r="E252" s="49"/>
      <c r="F252" s="49"/>
      <c r="G252" s="49"/>
      <c r="H252" s="49"/>
      <c r="I252" s="51"/>
      <c r="J252" s="302"/>
      <c r="K252" s="303"/>
      <c r="L252" s="101"/>
      <c r="M252" s="172" t="s">
        <v>87</v>
      </c>
      <c r="N252" s="308"/>
      <c r="O252" s="308"/>
      <c r="P252" s="308"/>
      <c r="Q252" s="309"/>
      <c r="R252" s="173" t="s">
        <v>344</v>
      </c>
      <c r="S252" s="308"/>
      <c r="T252" s="308"/>
      <c r="U252" s="308"/>
      <c r="V252" s="309"/>
      <c r="W252" s="180" t="s">
        <v>315</v>
      </c>
      <c r="X252" s="310"/>
      <c r="Y252" s="180" t="s">
        <v>318</v>
      </c>
      <c r="Z252" s="311"/>
      <c r="AA252" s="310"/>
      <c r="AB252" s="180" t="s">
        <v>334</v>
      </c>
      <c r="AC252" s="311"/>
      <c r="AD252" s="311"/>
      <c r="AE252" s="311"/>
      <c r="AF252" s="311"/>
      <c r="AG252" s="311"/>
      <c r="AH252" s="311"/>
      <c r="AI252" s="311"/>
      <c r="AJ252" s="311"/>
      <c r="AK252" s="311"/>
      <c r="AL252" s="311"/>
      <c r="AM252" s="311"/>
      <c r="AN252" s="311"/>
      <c r="AO252" s="311"/>
      <c r="AP252" s="310"/>
      <c r="AQ252" s="51"/>
      <c r="AR252" s="208"/>
      <c r="AS252" s="49"/>
      <c r="AT252" s="49"/>
      <c r="AU252" s="49"/>
      <c r="AV252" s="49"/>
      <c r="AW252" s="49"/>
      <c r="AX252" s="49"/>
      <c r="AY252" s="52"/>
    </row>
    <row r="253" spans="1:51" ht="13.5" customHeight="1">
      <c r="A253" s="56"/>
      <c r="B253" s="50"/>
      <c r="C253" s="49"/>
      <c r="D253" s="49"/>
      <c r="E253" s="49"/>
      <c r="F253" s="49"/>
      <c r="G253" s="49"/>
      <c r="H253" s="49"/>
      <c r="I253" s="51"/>
      <c r="J253" s="302"/>
      <c r="K253" s="303"/>
      <c r="L253" s="101"/>
      <c r="M253" s="174"/>
      <c r="N253" s="175"/>
      <c r="O253" s="175"/>
      <c r="P253" s="175"/>
      <c r="Q253" s="176"/>
      <c r="R253" s="177"/>
      <c r="S253" s="175"/>
      <c r="T253" s="175"/>
      <c r="U253" s="175"/>
      <c r="V253" s="176"/>
      <c r="W253" s="181"/>
      <c r="X253" s="182"/>
      <c r="Y253" s="181"/>
      <c r="Z253" s="183"/>
      <c r="AA253" s="182"/>
      <c r="AB253" s="181"/>
      <c r="AC253" s="183"/>
      <c r="AD253" s="183"/>
      <c r="AE253" s="183"/>
      <c r="AF253" s="183"/>
      <c r="AG253" s="183"/>
      <c r="AH253" s="183"/>
      <c r="AI253" s="183"/>
      <c r="AJ253" s="183"/>
      <c r="AK253" s="183"/>
      <c r="AL253" s="183"/>
      <c r="AM253" s="183"/>
      <c r="AN253" s="183"/>
      <c r="AO253" s="183"/>
      <c r="AP253" s="182"/>
      <c r="AQ253" s="51"/>
      <c r="AR253" s="208"/>
      <c r="AS253" s="49"/>
      <c r="AT253" s="49"/>
      <c r="AU253" s="49"/>
      <c r="AV253" s="49"/>
      <c r="AW253" s="49"/>
      <c r="AX253" s="49"/>
      <c r="AY253" s="52"/>
    </row>
    <row r="254" spans="1:51" ht="13.5" customHeight="1">
      <c r="A254" s="56"/>
      <c r="B254" s="50"/>
      <c r="C254" s="49"/>
      <c r="D254" s="49"/>
      <c r="E254" s="49"/>
      <c r="F254" s="49"/>
      <c r="G254" s="49"/>
      <c r="H254" s="49"/>
      <c r="I254" s="51"/>
      <c r="J254" s="302"/>
      <c r="K254" s="303"/>
      <c r="L254" s="101"/>
      <c r="M254" s="119" t="s">
        <v>101</v>
      </c>
      <c r="N254" s="120"/>
      <c r="O254" s="120"/>
      <c r="P254" s="120"/>
      <c r="Q254" s="121"/>
      <c r="R254" s="111" t="s">
        <v>116</v>
      </c>
      <c r="S254" s="112"/>
      <c r="T254" s="112"/>
      <c r="U254" s="112"/>
      <c r="V254" s="113"/>
      <c r="W254" s="114" t="s">
        <v>315</v>
      </c>
      <c r="X254" s="113"/>
      <c r="Y254" s="114" t="s">
        <v>319</v>
      </c>
      <c r="Z254" s="112"/>
      <c r="AA254" s="113"/>
      <c r="AB254" s="187" t="s">
        <v>328</v>
      </c>
      <c r="AC254" s="188"/>
      <c r="AD254" s="188"/>
      <c r="AE254" s="188"/>
      <c r="AF254" s="188"/>
      <c r="AG254" s="188"/>
      <c r="AH254" s="188"/>
      <c r="AI254" s="188"/>
      <c r="AJ254" s="188"/>
      <c r="AK254" s="188"/>
      <c r="AL254" s="188"/>
      <c r="AM254" s="188"/>
      <c r="AN254" s="188"/>
      <c r="AO254" s="188"/>
      <c r="AP254" s="189"/>
      <c r="AQ254" s="51"/>
      <c r="AR254" s="208"/>
      <c r="AS254" s="49"/>
      <c r="AT254" s="49"/>
      <c r="AU254" s="49"/>
      <c r="AV254" s="49"/>
      <c r="AW254" s="49"/>
      <c r="AX254" s="49"/>
      <c r="AY254" s="52"/>
    </row>
    <row r="255" spans="1:51" ht="13.5" customHeight="1">
      <c r="A255" s="56"/>
      <c r="B255" s="50"/>
      <c r="C255" s="49"/>
      <c r="D255" s="49"/>
      <c r="E255" s="49"/>
      <c r="F255" s="49"/>
      <c r="G255" s="49"/>
      <c r="H255" s="49"/>
      <c r="I255" s="51"/>
      <c r="J255" s="302"/>
      <c r="K255" s="303"/>
      <c r="L255" s="101"/>
      <c r="M255" s="119" t="s">
        <v>82</v>
      </c>
      <c r="N255" s="120"/>
      <c r="O255" s="120"/>
      <c r="P255" s="120"/>
      <c r="Q255" s="121"/>
      <c r="R255" s="111" t="s">
        <v>117</v>
      </c>
      <c r="S255" s="112"/>
      <c r="T255" s="112"/>
      <c r="U255" s="112"/>
      <c r="V255" s="113"/>
      <c r="W255" s="114" t="s">
        <v>315</v>
      </c>
      <c r="X255" s="113"/>
      <c r="Y255" s="114" t="s">
        <v>319</v>
      </c>
      <c r="Z255" s="112"/>
      <c r="AA255" s="113"/>
      <c r="AB255" s="187" t="s">
        <v>328</v>
      </c>
      <c r="AC255" s="188"/>
      <c r="AD255" s="188"/>
      <c r="AE255" s="188"/>
      <c r="AF255" s="188"/>
      <c r="AG255" s="188"/>
      <c r="AH255" s="188"/>
      <c r="AI255" s="188"/>
      <c r="AJ255" s="188"/>
      <c r="AK255" s="188"/>
      <c r="AL255" s="188"/>
      <c r="AM255" s="188"/>
      <c r="AN255" s="188"/>
      <c r="AO255" s="188"/>
      <c r="AP255" s="189"/>
      <c r="AQ255" s="51"/>
      <c r="AR255" s="208"/>
      <c r="AS255" s="49"/>
      <c r="AT255" s="49"/>
      <c r="AU255" s="49"/>
      <c r="AV255" s="49"/>
      <c r="AW255" s="49"/>
      <c r="AX255" s="49"/>
      <c r="AY255" s="52"/>
    </row>
    <row r="256" spans="1:51" ht="13.5" customHeight="1">
      <c r="A256" s="56"/>
      <c r="B256" s="50"/>
      <c r="C256" s="49"/>
      <c r="D256" s="49"/>
      <c r="E256" s="49"/>
      <c r="F256" s="49"/>
      <c r="G256" s="49"/>
      <c r="H256" s="49"/>
      <c r="I256" s="51"/>
      <c r="J256" s="302"/>
      <c r="K256" s="303"/>
      <c r="L256" s="101"/>
      <c r="M256" s="111" t="s">
        <v>83</v>
      </c>
      <c r="N256" s="112"/>
      <c r="O256" s="112"/>
      <c r="P256" s="112"/>
      <c r="Q256" s="113"/>
      <c r="R256" s="111" t="s">
        <v>99</v>
      </c>
      <c r="S256" s="112"/>
      <c r="T256" s="112"/>
      <c r="U256" s="112"/>
      <c r="V256" s="113"/>
      <c r="W256" s="114" t="s">
        <v>317</v>
      </c>
      <c r="X256" s="113"/>
      <c r="Y256" s="114" t="s">
        <v>318</v>
      </c>
      <c r="Z256" s="112"/>
      <c r="AA256" s="113"/>
      <c r="AB256" s="187" t="s">
        <v>328</v>
      </c>
      <c r="AC256" s="188"/>
      <c r="AD256" s="188"/>
      <c r="AE256" s="217" t="s">
        <v>352</v>
      </c>
      <c r="AF256" s="188"/>
      <c r="AG256" s="188"/>
      <c r="AH256" s="188"/>
      <c r="AI256" s="188"/>
      <c r="AJ256" s="188"/>
      <c r="AK256" s="188"/>
      <c r="AL256" s="188"/>
      <c r="AM256" s="188"/>
      <c r="AN256" s="188"/>
      <c r="AO256" s="188"/>
      <c r="AP256" s="189"/>
      <c r="AQ256" s="51"/>
      <c r="AR256" s="208"/>
      <c r="AS256" s="49"/>
      <c r="AT256" s="49"/>
      <c r="AU256" s="49"/>
      <c r="AV256" s="49"/>
      <c r="AW256" s="49"/>
      <c r="AX256" s="49"/>
      <c r="AY256" s="52"/>
    </row>
    <row r="257" spans="1:58" ht="13.5" customHeight="1">
      <c r="A257" s="56"/>
      <c r="B257" s="50"/>
      <c r="C257" s="49"/>
      <c r="D257" s="49"/>
      <c r="E257" s="49"/>
      <c r="F257" s="49"/>
      <c r="G257" s="49"/>
      <c r="H257" s="49"/>
      <c r="I257" s="51"/>
      <c r="J257" s="302"/>
      <c r="K257" s="303"/>
      <c r="L257" s="101"/>
      <c r="M257" s="111" t="s">
        <v>440</v>
      </c>
      <c r="N257" s="112"/>
      <c r="O257" s="112"/>
      <c r="P257" s="112"/>
      <c r="Q257" s="113"/>
      <c r="R257" s="111" t="s">
        <v>440</v>
      </c>
      <c r="S257" s="112"/>
      <c r="T257" s="112"/>
      <c r="U257" s="112"/>
      <c r="V257" s="113"/>
      <c r="W257" s="114" t="s">
        <v>317</v>
      </c>
      <c r="X257" s="113"/>
      <c r="Y257" s="114" t="s">
        <v>318</v>
      </c>
      <c r="Z257" s="112"/>
      <c r="AA257" s="113"/>
      <c r="AB257" s="187" t="s">
        <v>328</v>
      </c>
      <c r="AC257" s="188"/>
      <c r="AD257" s="188"/>
      <c r="AE257" s="217" t="s">
        <v>353</v>
      </c>
      <c r="AF257" s="188"/>
      <c r="AG257" s="188"/>
      <c r="AH257" s="188"/>
      <c r="AI257" s="188"/>
      <c r="AJ257" s="188"/>
      <c r="AK257" s="188"/>
      <c r="AL257" s="188"/>
      <c r="AM257" s="188"/>
      <c r="AN257" s="188"/>
      <c r="AO257" s="188"/>
      <c r="AP257" s="189"/>
      <c r="AQ257" s="51"/>
      <c r="AR257" s="208"/>
      <c r="AS257" s="49"/>
      <c r="AT257" s="49"/>
      <c r="AU257" s="49"/>
      <c r="AV257" s="49"/>
      <c r="AW257" s="49"/>
      <c r="AX257" s="49"/>
      <c r="AY257" s="52"/>
      <c r="BF257" s="38" t="s">
        <v>124</v>
      </c>
    </row>
    <row r="258" spans="1:58" ht="13.5" customHeight="1">
      <c r="A258" s="56"/>
      <c r="B258" s="50"/>
      <c r="C258" s="49"/>
      <c r="D258" s="49"/>
      <c r="E258" s="49"/>
      <c r="F258" s="49"/>
      <c r="G258" s="49"/>
      <c r="H258" s="49"/>
      <c r="I258" s="51"/>
      <c r="J258" s="302"/>
      <c r="K258" s="303"/>
      <c r="L258" s="101"/>
      <c r="M258" s="166" t="s">
        <v>89</v>
      </c>
      <c r="N258" s="312"/>
      <c r="O258" s="312"/>
      <c r="P258" s="312"/>
      <c r="Q258" s="313"/>
      <c r="R258" s="170" t="s">
        <v>123</v>
      </c>
      <c r="S258" s="284"/>
      <c r="T258" s="284"/>
      <c r="U258" s="284"/>
      <c r="V258" s="285"/>
      <c r="W258" s="152" t="s">
        <v>315</v>
      </c>
      <c r="X258" s="285"/>
      <c r="Y258" s="152" t="s">
        <v>319</v>
      </c>
      <c r="Z258" s="284"/>
      <c r="AA258" s="285"/>
      <c r="AB258" s="190" t="s">
        <v>329</v>
      </c>
      <c r="AC258" s="286"/>
      <c r="AD258" s="286"/>
      <c r="AE258" s="286"/>
      <c r="AF258" s="286"/>
      <c r="AG258" s="286"/>
      <c r="AH258" s="286"/>
      <c r="AI258" s="286"/>
      <c r="AJ258" s="286"/>
      <c r="AK258" s="286"/>
      <c r="AL258" s="286"/>
      <c r="AM258" s="286"/>
      <c r="AN258" s="286"/>
      <c r="AO258" s="286"/>
      <c r="AP258" s="314"/>
      <c r="AQ258" s="51"/>
      <c r="AR258" s="208"/>
      <c r="AS258" s="49"/>
      <c r="AT258" s="49"/>
      <c r="AU258" s="49"/>
      <c r="AV258" s="49"/>
      <c r="AW258" s="49"/>
      <c r="AX258" s="49"/>
      <c r="AY258" s="52"/>
    </row>
    <row r="259" spans="1:58" ht="13.5" customHeight="1">
      <c r="A259" s="56"/>
      <c r="B259" s="50"/>
      <c r="C259" s="49"/>
      <c r="D259" s="49"/>
      <c r="E259" s="49"/>
      <c r="F259" s="49"/>
      <c r="G259" s="49"/>
      <c r="H259" s="49"/>
      <c r="I259" s="51"/>
      <c r="J259" s="302"/>
      <c r="K259" s="303"/>
      <c r="L259" s="101"/>
      <c r="M259" s="167"/>
      <c r="N259" s="168"/>
      <c r="O259" s="168"/>
      <c r="P259" s="168"/>
      <c r="Q259" s="169"/>
      <c r="R259" s="171" t="s">
        <v>325</v>
      </c>
      <c r="S259" s="57"/>
      <c r="T259" s="57"/>
      <c r="U259" s="57"/>
      <c r="V259" s="59"/>
      <c r="W259" s="58"/>
      <c r="X259" s="59"/>
      <c r="Y259" s="58"/>
      <c r="Z259" s="57"/>
      <c r="AA259" s="59"/>
      <c r="AB259" s="191"/>
      <c r="AC259" s="192"/>
      <c r="AD259" s="192"/>
      <c r="AE259" s="192"/>
      <c r="AF259" s="192"/>
      <c r="AG259" s="192"/>
      <c r="AH259" s="192"/>
      <c r="AI259" s="192"/>
      <c r="AJ259" s="192"/>
      <c r="AK259" s="192"/>
      <c r="AL259" s="192"/>
      <c r="AM259" s="192"/>
      <c r="AN259" s="192"/>
      <c r="AO259" s="192"/>
      <c r="AP259" s="193"/>
      <c r="AQ259" s="51"/>
      <c r="AR259" s="208"/>
      <c r="AS259" s="49"/>
      <c r="AT259" s="49"/>
      <c r="AU259" s="49"/>
      <c r="AV259" s="49"/>
      <c r="AW259" s="49"/>
      <c r="AX259" s="49"/>
      <c r="AY259" s="52"/>
    </row>
    <row r="260" spans="1:58" ht="13.5" customHeight="1">
      <c r="A260" s="56"/>
      <c r="B260" s="50"/>
      <c r="C260" s="49"/>
      <c r="D260" s="49"/>
      <c r="E260" s="49"/>
      <c r="F260" s="49"/>
      <c r="G260" s="49"/>
      <c r="H260" s="49"/>
      <c r="I260" s="51"/>
      <c r="J260" s="302"/>
      <c r="K260" s="303"/>
      <c r="L260" s="101"/>
      <c r="M260" s="111" t="s">
        <v>86</v>
      </c>
      <c r="N260" s="112"/>
      <c r="O260" s="112"/>
      <c r="P260" s="112"/>
      <c r="Q260" s="113"/>
      <c r="R260" s="111" t="s">
        <v>86</v>
      </c>
      <c r="S260" s="112"/>
      <c r="T260" s="112"/>
      <c r="U260" s="112"/>
      <c r="V260" s="113"/>
      <c r="W260" s="114" t="s">
        <v>317</v>
      </c>
      <c r="X260" s="113"/>
      <c r="Y260" s="114" t="s">
        <v>318</v>
      </c>
      <c r="Z260" s="112"/>
      <c r="AA260" s="113"/>
      <c r="AB260" s="187" t="s">
        <v>328</v>
      </c>
      <c r="AC260" s="188"/>
      <c r="AD260" s="188"/>
      <c r="AE260" s="217" t="s">
        <v>354</v>
      </c>
      <c r="AF260" s="188"/>
      <c r="AG260" s="188"/>
      <c r="AH260" s="188"/>
      <c r="AI260" s="188"/>
      <c r="AJ260" s="188"/>
      <c r="AK260" s="188"/>
      <c r="AL260" s="188"/>
      <c r="AM260" s="188"/>
      <c r="AN260" s="188"/>
      <c r="AO260" s="188"/>
      <c r="AP260" s="189"/>
      <c r="AQ260" s="51"/>
      <c r="AR260" s="208"/>
      <c r="AS260" s="49"/>
      <c r="AT260" s="49"/>
      <c r="AU260" s="49"/>
      <c r="AV260" s="49"/>
      <c r="AW260" s="49"/>
      <c r="AX260" s="49"/>
      <c r="AY260" s="52"/>
    </row>
    <row r="261" spans="1:58" ht="13.5" customHeight="1">
      <c r="A261" s="56"/>
      <c r="B261" s="50"/>
      <c r="C261" s="49"/>
      <c r="D261" s="49"/>
      <c r="E261" s="49"/>
      <c r="F261" s="49"/>
      <c r="G261" s="49"/>
      <c r="H261" s="49"/>
      <c r="I261" s="51"/>
      <c r="J261" s="302"/>
      <c r="K261" s="303"/>
      <c r="L261" s="101"/>
      <c r="M261" s="111" t="s">
        <v>90</v>
      </c>
      <c r="N261" s="112"/>
      <c r="O261" s="112"/>
      <c r="P261" s="112"/>
      <c r="Q261" s="113"/>
      <c r="R261" s="111" t="s">
        <v>115</v>
      </c>
      <c r="S261" s="112"/>
      <c r="T261" s="112"/>
      <c r="U261" s="112"/>
      <c r="V261" s="113"/>
      <c r="W261" s="114" t="s">
        <v>317</v>
      </c>
      <c r="X261" s="113"/>
      <c r="Y261" s="114" t="s">
        <v>318</v>
      </c>
      <c r="Z261" s="112"/>
      <c r="AA261" s="113"/>
      <c r="AB261" s="187" t="s">
        <v>328</v>
      </c>
      <c r="AC261" s="188"/>
      <c r="AD261" s="188"/>
      <c r="AE261" s="217" t="s">
        <v>353</v>
      </c>
      <c r="AF261" s="188"/>
      <c r="AG261" s="188"/>
      <c r="AH261" s="188"/>
      <c r="AI261" s="188"/>
      <c r="AJ261" s="188"/>
      <c r="AK261" s="188"/>
      <c r="AL261" s="188"/>
      <c r="AM261" s="188"/>
      <c r="AN261" s="188"/>
      <c r="AO261" s="188"/>
      <c r="AP261" s="189"/>
      <c r="AQ261" s="51"/>
      <c r="AR261" s="208"/>
      <c r="AS261" s="49"/>
      <c r="AT261" s="49"/>
      <c r="AU261" s="49"/>
      <c r="AV261" s="49"/>
      <c r="AW261" s="49"/>
      <c r="AX261" s="49"/>
      <c r="AY261" s="52"/>
    </row>
    <row r="262" spans="1:58" ht="13.5" customHeight="1">
      <c r="A262" s="56"/>
      <c r="B262" s="50"/>
      <c r="C262" s="49"/>
      <c r="D262" s="49"/>
      <c r="E262" s="49"/>
      <c r="F262" s="49"/>
      <c r="G262" s="49"/>
      <c r="H262" s="49"/>
      <c r="I262" s="51"/>
      <c r="J262" s="302"/>
      <c r="K262" s="303"/>
      <c r="L262" s="101"/>
      <c r="M262" s="115" t="s">
        <v>322</v>
      </c>
      <c r="N262" s="116"/>
      <c r="O262" s="116"/>
      <c r="P262" s="116"/>
      <c r="Q262" s="117"/>
      <c r="R262" s="115" t="s">
        <v>91</v>
      </c>
      <c r="S262" s="116"/>
      <c r="T262" s="116"/>
      <c r="U262" s="116"/>
      <c r="V262" s="117"/>
      <c r="W262" s="118" t="s">
        <v>317</v>
      </c>
      <c r="X262" s="117"/>
      <c r="Y262" s="114" t="s">
        <v>318</v>
      </c>
      <c r="Z262" s="116"/>
      <c r="AA262" s="117"/>
      <c r="AB262" s="187" t="s">
        <v>328</v>
      </c>
      <c r="AC262" s="194"/>
      <c r="AD262" s="194"/>
      <c r="AE262" s="217" t="s">
        <v>355</v>
      </c>
      <c r="AF262" s="194"/>
      <c r="AG262" s="194"/>
      <c r="AH262" s="194"/>
      <c r="AI262" s="194"/>
      <c r="AJ262" s="194"/>
      <c r="AK262" s="194"/>
      <c r="AL262" s="194"/>
      <c r="AM262" s="194"/>
      <c r="AN262" s="194"/>
      <c r="AO262" s="194"/>
      <c r="AP262" s="195"/>
      <c r="AQ262" s="51"/>
      <c r="AR262" s="208"/>
      <c r="AS262" s="49"/>
      <c r="AT262" s="49"/>
      <c r="AU262" s="49"/>
      <c r="AV262" s="49"/>
      <c r="AW262" s="49"/>
      <c r="AX262" s="49"/>
      <c r="AY262" s="52"/>
    </row>
    <row r="263" spans="1:58" ht="13.5" customHeight="1">
      <c r="A263" s="56"/>
      <c r="B263" s="50"/>
      <c r="C263" s="49"/>
      <c r="D263" s="49"/>
      <c r="E263" s="49"/>
      <c r="F263" s="49"/>
      <c r="G263" s="49"/>
      <c r="H263" s="49"/>
      <c r="I263" s="51"/>
      <c r="J263" s="302"/>
      <c r="K263" s="303"/>
      <c r="L263" s="101"/>
      <c r="M263" s="166" t="s">
        <v>340</v>
      </c>
      <c r="N263" s="312"/>
      <c r="O263" s="312"/>
      <c r="P263" s="312"/>
      <c r="Q263" s="313"/>
      <c r="R263" s="162" t="s">
        <v>316</v>
      </c>
      <c r="S263" s="315"/>
      <c r="T263" s="315"/>
      <c r="U263" s="315"/>
      <c r="V263" s="316"/>
      <c r="W263" s="178" t="s">
        <v>317</v>
      </c>
      <c r="X263" s="316"/>
      <c r="Y263" s="152" t="s">
        <v>318</v>
      </c>
      <c r="Z263" s="315"/>
      <c r="AA263" s="316"/>
      <c r="AB263" s="196" t="s">
        <v>328</v>
      </c>
      <c r="AC263" s="317"/>
      <c r="AD263" s="317"/>
      <c r="AE263" s="318" t="s">
        <v>356</v>
      </c>
      <c r="AF263" s="317"/>
      <c r="AG263" s="317"/>
      <c r="AH263" s="317"/>
      <c r="AI263" s="317"/>
      <c r="AJ263" s="317"/>
      <c r="AK263" s="317"/>
      <c r="AL263" s="317"/>
      <c r="AM263" s="317"/>
      <c r="AN263" s="317"/>
      <c r="AO263" s="317"/>
      <c r="AP263" s="319"/>
      <c r="AQ263" s="51"/>
      <c r="AR263" s="208"/>
      <c r="AS263" s="49"/>
      <c r="AT263" s="49"/>
      <c r="AU263" s="49"/>
      <c r="AV263" s="49"/>
      <c r="AW263" s="49"/>
      <c r="AX263" s="49"/>
      <c r="AY263" s="52"/>
    </row>
    <row r="264" spans="1:58" ht="13.5" customHeight="1">
      <c r="A264" s="56"/>
      <c r="B264" s="50"/>
      <c r="C264" s="49"/>
      <c r="D264" s="49"/>
      <c r="E264" s="49"/>
      <c r="F264" s="49"/>
      <c r="G264" s="49"/>
      <c r="H264" s="49"/>
      <c r="I264" s="51"/>
      <c r="J264" s="302"/>
      <c r="K264" s="303"/>
      <c r="L264" s="101"/>
      <c r="M264" s="167" t="s">
        <v>346</v>
      </c>
      <c r="N264" s="168"/>
      <c r="O264" s="168"/>
      <c r="P264" s="168"/>
      <c r="Q264" s="169"/>
      <c r="R264" s="163"/>
      <c r="S264" s="164"/>
      <c r="T264" s="164"/>
      <c r="U264" s="164"/>
      <c r="V264" s="165"/>
      <c r="W264" s="179"/>
      <c r="X264" s="165"/>
      <c r="Y264" s="58"/>
      <c r="Z264" s="164"/>
      <c r="AA264" s="165"/>
      <c r="AB264" s="197"/>
      <c r="AC264" s="198"/>
      <c r="AD264" s="198"/>
      <c r="AE264" s="198"/>
      <c r="AF264" s="198"/>
      <c r="AG264" s="198"/>
      <c r="AH264" s="198"/>
      <c r="AI264" s="198"/>
      <c r="AJ264" s="198"/>
      <c r="AK264" s="198"/>
      <c r="AL264" s="198"/>
      <c r="AM264" s="198"/>
      <c r="AN264" s="198"/>
      <c r="AO264" s="198"/>
      <c r="AP264" s="199"/>
      <c r="AQ264" s="51"/>
      <c r="AR264" s="208"/>
      <c r="AS264" s="49"/>
      <c r="AT264" s="49"/>
      <c r="AU264" s="49"/>
      <c r="AV264" s="49"/>
      <c r="AW264" s="49"/>
      <c r="AX264" s="49"/>
      <c r="AY264" s="52"/>
    </row>
    <row r="265" spans="1:58" ht="13.5" customHeight="1">
      <c r="A265" s="56"/>
      <c r="B265" s="50"/>
      <c r="C265" s="49"/>
      <c r="D265" s="49"/>
      <c r="E265" s="49"/>
      <c r="F265" s="49"/>
      <c r="G265" s="49"/>
      <c r="H265" s="49"/>
      <c r="I265" s="51"/>
      <c r="J265" s="302"/>
      <c r="K265" s="303"/>
      <c r="L265" s="101"/>
      <c r="M265" s="468" t="s">
        <v>323</v>
      </c>
      <c r="N265" s="469"/>
      <c r="O265" s="469"/>
      <c r="P265" s="469"/>
      <c r="Q265" s="470"/>
      <c r="R265" s="471" t="s">
        <v>326</v>
      </c>
      <c r="S265" s="472"/>
      <c r="T265" s="472"/>
      <c r="U265" s="472"/>
      <c r="V265" s="473"/>
      <c r="W265" s="474" t="s">
        <v>315</v>
      </c>
      <c r="X265" s="473"/>
      <c r="Y265" s="474" t="s">
        <v>321</v>
      </c>
      <c r="Z265" s="472"/>
      <c r="AA265" s="473"/>
      <c r="AB265" s="452" t="s">
        <v>339</v>
      </c>
      <c r="AC265" s="475"/>
      <c r="AD265" s="475"/>
      <c r="AE265" s="475"/>
      <c r="AF265" s="475"/>
      <c r="AG265" s="475"/>
      <c r="AH265" s="475"/>
      <c r="AI265" s="475"/>
      <c r="AJ265" s="475"/>
      <c r="AK265" s="475"/>
      <c r="AL265" s="475"/>
      <c r="AM265" s="475"/>
      <c r="AN265" s="475"/>
      <c r="AO265" s="475"/>
      <c r="AP265" s="476"/>
      <c r="AQ265" s="160"/>
      <c r="AR265" s="455" t="s">
        <v>363</v>
      </c>
      <c r="AS265" s="159"/>
      <c r="AT265" s="159"/>
      <c r="AU265" s="49"/>
      <c r="AV265" s="49"/>
      <c r="AW265" s="49"/>
      <c r="AX265" s="49"/>
      <c r="AY265" s="52"/>
      <c r="BC265" s="38">
        <v>3.2</v>
      </c>
    </row>
    <row r="266" spans="1:58" ht="13.5" customHeight="1">
      <c r="A266" s="56"/>
      <c r="B266" s="50"/>
      <c r="C266" s="49"/>
      <c r="D266" s="49"/>
      <c r="E266" s="49"/>
      <c r="F266" s="49"/>
      <c r="G266" s="49"/>
      <c r="H266" s="49"/>
      <c r="I266" s="51"/>
      <c r="J266" s="302"/>
      <c r="K266" s="303"/>
      <c r="L266" s="101"/>
      <c r="M266" s="477" t="s">
        <v>324</v>
      </c>
      <c r="N266" s="478"/>
      <c r="O266" s="478"/>
      <c r="P266" s="478"/>
      <c r="Q266" s="479"/>
      <c r="R266" s="480" t="s">
        <v>327</v>
      </c>
      <c r="S266" s="481"/>
      <c r="T266" s="481"/>
      <c r="U266" s="481"/>
      <c r="V266" s="482"/>
      <c r="W266" s="483"/>
      <c r="X266" s="482"/>
      <c r="Y266" s="483"/>
      <c r="Z266" s="481"/>
      <c r="AA266" s="482"/>
      <c r="AB266" s="458"/>
      <c r="AC266" s="484" t="s">
        <v>332</v>
      </c>
      <c r="AD266" s="484"/>
      <c r="AE266" s="484"/>
      <c r="AF266" s="484"/>
      <c r="AG266" s="484"/>
      <c r="AH266" s="484"/>
      <c r="AI266" s="484"/>
      <c r="AJ266" s="484"/>
      <c r="AK266" s="484"/>
      <c r="AL266" s="484"/>
      <c r="AM266" s="484"/>
      <c r="AN266" s="484"/>
      <c r="AO266" s="484"/>
      <c r="AP266" s="485"/>
      <c r="AQ266" s="160"/>
      <c r="AR266" s="215"/>
      <c r="AS266" s="159"/>
      <c r="AT266" s="159"/>
      <c r="AU266" s="49"/>
      <c r="AV266" s="49"/>
      <c r="AW266" s="49"/>
      <c r="AX266" s="49"/>
      <c r="AY266" s="52"/>
      <c r="BC266" s="38">
        <v>3.2</v>
      </c>
    </row>
    <row r="267" spans="1:58" ht="13.5" customHeight="1">
      <c r="A267" s="56"/>
      <c r="B267" s="50"/>
      <c r="C267" s="49"/>
      <c r="D267" s="49"/>
      <c r="E267" s="49"/>
      <c r="F267" s="49"/>
      <c r="G267" s="49"/>
      <c r="H267" s="49"/>
      <c r="I267" s="51"/>
      <c r="J267" s="302"/>
      <c r="K267" s="303"/>
      <c r="L267" s="101"/>
      <c r="M267" s="477" t="s">
        <v>347</v>
      </c>
      <c r="N267" s="478"/>
      <c r="O267" s="478"/>
      <c r="P267" s="478"/>
      <c r="Q267" s="479"/>
      <c r="R267" s="480" t="s">
        <v>330</v>
      </c>
      <c r="S267" s="481"/>
      <c r="T267" s="481"/>
      <c r="U267" s="481"/>
      <c r="V267" s="482"/>
      <c r="W267" s="483"/>
      <c r="X267" s="482"/>
      <c r="Y267" s="483"/>
      <c r="Z267" s="481"/>
      <c r="AA267" s="482"/>
      <c r="AB267" s="458" t="s">
        <v>723</v>
      </c>
      <c r="AC267" s="484"/>
      <c r="AD267" s="484"/>
      <c r="AE267" s="484"/>
      <c r="AF267" s="484"/>
      <c r="AG267" s="484"/>
      <c r="AH267" s="484"/>
      <c r="AI267" s="484"/>
      <c r="AJ267" s="484"/>
      <c r="AK267" s="484"/>
      <c r="AL267" s="484"/>
      <c r="AM267" s="484"/>
      <c r="AN267" s="484"/>
      <c r="AO267" s="484"/>
      <c r="AP267" s="485"/>
      <c r="AQ267" s="160"/>
      <c r="AR267" s="215"/>
      <c r="AS267" s="159"/>
      <c r="AT267" s="159"/>
      <c r="AU267" s="49"/>
      <c r="AV267" s="49"/>
      <c r="AW267" s="49"/>
      <c r="AX267" s="49"/>
      <c r="AY267" s="52"/>
      <c r="BC267" s="38">
        <v>3.2</v>
      </c>
    </row>
    <row r="268" spans="1:58" ht="13.5" customHeight="1">
      <c r="A268" s="56"/>
      <c r="B268" s="50"/>
      <c r="C268" s="49"/>
      <c r="D268" s="49"/>
      <c r="E268" s="49"/>
      <c r="F268" s="49"/>
      <c r="G268" s="49"/>
      <c r="H268" s="49"/>
      <c r="I268" s="51"/>
      <c r="J268" s="302"/>
      <c r="K268" s="303"/>
      <c r="L268" s="101"/>
      <c r="M268" s="486"/>
      <c r="N268" s="487"/>
      <c r="O268" s="487"/>
      <c r="P268" s="487"/>
      <c r="Q268" s="488"/>
      <c r="R268" s="489" t="s">
        <v>331</v>
      </c>
      <c r="S268" s="490"/>
      <c r="T268" s="490"/>
      <c r="U268" s="490"/>
      <c r="V268" s="491"/>
      <c r="W268" s="492"/>
      <c r="X268" s="491"/>
      <c r="Y268" s="492"/>
      <c r="Z268" s="490"/>
      <c r="AA268" s="491"/>
      <c r="AB268" s="465"/>
      <c r="AC268" s="493" t="s">
        <v>333</v>
      </c>
      <c r="AD268" s="493"/>
      <c r="AE268" s="493"/>
      <c r="AF268" s="493"/>
      <c r="AG268" s="493"/>
      <c r="AH268" s="493"/>
      <c r="AI268" s="493"/>
      <c r="AJ268" s="493"/>
      <c r="AK268" s="493"/>
      <c r="AL268" s="493"/>
      <c r="AM268" s="493"/>
      <c r="AN268" s="493"/>
      <c r="AO268" s="493"/>
      <c r="AP268" s="494"/>
      <c r="AQ268" s="160"/>
      <c r="AR268" s="215"/>
      <c r="AS268" s="159"/>
      <c r="AT268" s="159"/>
      <c r="AU268" s="49"/>
      <c r="AV268" s="49"/>
      <c r="AW268" s="49"/>
      <c r="AX268" s="49"/>
      <c r="AY268" s="52"/>
      <c r="BC268" s="38">
        <v>3.2</v>
      </c>
    </row>
    <row r="269" spans="1:58" ht="13.5" customHeight="1">
      <c r="A269" s="56"/>
      <c r="B269" s="50"/>
      <c r="C269" s="49"/>
      <c r="D269" s="49"/>
      <c r="E269" s="49"/>
      <c r="F269" s="49"/>
      <c r="G269" s="49"/>
      <c r="H269" s="49"/>
      <c r="I269" s="51"/>
      <c r="J269" s="302"/>
      <c r="K269" s="303"/>
      <c r="L269" s="101"/>
      <c r="M269" s="111" t="s">
        <v>119</v>
      </c>
      <c r="N269" s="112"/>
      <c r="O269" s="112"/>
      <c r="P269" s="112"/>
      <c r="Q269" s="113"/>
      <c r="R269" s="111" t="s">
        <v>119</v>
      </c>
      <c r="S269" s="112"/>
      <c r="T269" s="112"/>
      <c r="U269" s="112"/>
      <c r="V269" s="113"/>
      <c r="W269" s="114" t="s">
        <v>59</v>
      </c>
      <c r="X269" s="113"/>
      <c r="Y269" s="114" t="s">
        <v>320</v>
      </c>
      <c r="Z269" s="112"/>
      <c r="AA269" s="113"/>
      <c r="AB269" s="187" t="s">
        <v>375</v>
      </c>
      <c r="AC269" s="188"/>
      <c r="AD269" s="188"/>
      <c r="AE269" s="188"/>
      <c r="AF269" s="188"/>
      <c r="AG269" s="188"/>
      <c r="AH269" s="188"/>
      <c r="AI269" s="188"/>
      <c r="AJ269" s="188"/>
      <c r="AK269" s="188"/>
      <c r="AL269" s="188"/>
      <c r="AM269" s="188"/>
      <c r="AN269" s="188"/>
      <c r="AO269" s="188"/>
      <c r="AP269" s="189"/>
      <c r="AQ269" s="51"/>
      <c r="AR269" s="208"/>
      <c r="AS269" s="49"/>
      <c r="AT269" s="49"/>
      <c r="AU269" s="49"/>
      <c r="AV269" s="49"/>
      <c r="AW269" s="49"/>
      <c r="AX269" s="49"/>
      <c r="AY269" s="52"/>
    </row>
    <row r="270" spans="1:58" ht="13.5" customHeight="1">
      <c r="A270" s="56"/>
      <c r="B270" s="50"/>
      <c r="C270" s="49"/>
      <c r="D270" s="49"/>
      <c r="E270" s="49"/>
      <c r="F270" s="49"/>
      <c r="G270" s="49"/>
      <c r="H270" s="49"/>
      <c r="I270" s="51"/>
      <c r="J270" s="302"/>
      <c r="K270" s="303"/>
      <c r="L270" s="101"/>
      <c r="M270" s="119" t="s">
        <v>444</v>
      </c>
      <c r="N270" s="120"/>
      <c r="O270" s="120"/>
      <c r="P270" s="120"/>
      <c r="Q270" s="121"/>
      <c r="R270" s="111" t="s">
        <v>123</v>
      </c>
      <c r="S270" s="112"/>
      <c r="T270" s="112"/>
      <c r="U270" s="112"/>
      <c r="V270" s="113"/>
      <c r="W270" s="114" t="s">
        <v>59</v>
      </c>
      <c r="X270" s="113"/>
      <c r="Y270" s="114" t="s">
        <v>320</v>
      </c>
      <c r="Z270" s="112"/>
      <c r="AA270" s="113"/>
      <c r="AB270" s="187" t="s">
        <v>59</v>
      </c>
      <c r="AC270" s="188"/>
      <c r="AD270" s="188"/>
      <c r="AE270" s="188"/>
      <c r="AF270" s="188"/>
      <c r="AG270" s="188"/>
      <c r="AH270" s="188"/>
      <c r="AI270" s="188"/>
      <c r="AJ270" s="188"/>
      <c r="AK270" s="188"/>
      <c r="AL270" s="188"/>
      <c r="AM270" s="188"/>
      <c r="AN270" s="188"/>
      <c r="AO270" s="188"/>
      <c r="AP270" s="189"/>
      <c r="AQ270" s="51"/>
      <c r="AR270" s="208"/>
      <c r="AS270" s="49"/>
      <c r="AT270" s="49"/>
      <c r="AU270" s="49"/>
      <c r="AV270" s="49"/>
      <c r="AW270" s="49"/>
      <c r="AX270" s="49"/>
      <c r="AY270" s="52"/>
      <c r="AZ270" s="299">
        <v>0.6</v>
      </c>
    </row>
    <row r="271" spans="1:58" ht="13.5" customHeight="1">
      <c r="A271" s="56"/>
      <c r="B271" s="50"/>
      <c r="C271" s="49"/>
      <c r="D271" s="49"/>
      <c r="E271" s="49"/>
      <c r="F271" s="49"/>
      <c r="G271" s="49"/>
      <c r="H271" s="49"/>
      <c r="I271" s="51"/>
      <c r="J271" s="302"/>
      <c r="K271" s="303"/>
      <c r="L271" s="101"/>
      <c r="M271" s="119" t="s">
        <v>445</v>
      </c>
      <c r="N271" s="120"/>
      <c r="O271" s="120"/>
      <c r="P271" s="120"/>
      <c r="Q271" s="121"/>
      <c r="R271" s="111" t="s">
        <v>437</v>
      </c>
      <c r="S271" s="112"/>
      <c r="T271" s="112"/>
      <c r="U271" s="112"/>
      <c r="V271" s="113"/>
      <c r="W271" s="114" t="s">
        <v>59</v>
      </c>
      <c r="X271" s="113"/>
      <c r="Y271" s="114" t="s">
        <v>320</v>
      </c>
      <c r="Z271" s="112"/>
      <c r="AA271" s="113"/>
      <c r="AB271" s="187" t="s">
        <v>59</v>
      </c>
      <c r="AC271" s="188"/>
      <c r="AD271" s="188"/>
      <c r="AE271" s="188"/>
      <c r="AF271" s="188"/>
      <c r="AG271" s="188"/>
      <c r="AH271" s="188"/>
      <c r="AI271" s="188"/>
      <c r="AJ271" s="188"/>
      <c r="AK271" s="188"/>
      <c r="AL271" s="188"/>
      <c r="AM271" s="188"/>
      <c r="AN271" s="188"/>
      <c r="AO271" s="188"/>
      <c r="AP271" s="189"/>
      <c r="AQ271" s="51"/>
      <c r="AR271" s="208"/>
      <c r="AS271" s="49"/>
      <c r="AT271" s="49"/>
      <c r="AU271" s="49"/>
      <c r="AV271" s="49"/>
      <c r="AW271" s="49"/>
      <c r="AX271" s="49"/>
      <c r="AY271" s="52"/>
      <c r="AZ271" s="299">
        <v>0.6</v>
      </c>
    </row>
    <row r="272" spans="1:58" ht="13.5" customHeight="1">
      <c r="A272" s="56"/>
      <c r="B272" s="50"/>
      <c r="C272" s="49"/>
      <c r="D272" s="49"/>
      <c r="E272" s="49"/>
      <c r="F272" s="49"/>
      <c r="G272" s="49"/>
      <c r="H272" s="49"/>
      <c r="I272" s="51"/>
      <c r="J272" s="302"/>
      <c r="K272" s="303"/>
      <c r="L272" s="101"/>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51"/>
      <c r="AR272" s="208"/>
      <c r="AS272" s="49"/>
      <c r="AT272" s="49"/>
      <c r="AU272" s="49"/>
      <c r="AV272" s="49"/>
      <c r="AW272" s="49"/>
      <c r="AX272" s="49"/>
      <c r="AY272" s="52"/>
    </row>
    <row r="273" spans="1:55" ht="13.5" customHeight="1">
      <c r="A273" s="56"/>
      <c r="B273" s="50"/>
      <c r="C273" s="49"/>
      <c r="D273" s="49"/>
      <c r="E273" s="49"/>
      <c r="F273" s="49"/>
      <c r="G273" s="49"/>
      <c r="H273" s="49"/>
      <c r="I273" s="51"/>
      <c r="J273" s="302"/>
      <c r="K273" s="303"/>
      <c r="L273" s="101"/>
      <c r="M273" s="106" t="s">
        <v>411</v>
      </c>
      <c r="N273" s="102"/>
      <c r="O273" s="102"/>
      <c r="P273" s="102"/>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51"/>
      <c r="AR273" s="208"/>
      <c r="AS273" s="49"/>
      <c r="AT273" s="49"/>
      <c r="AU273" s="49"/>
      <c r="AV273" s="49"/>
      <c r="AW273" s="49"/>
      <c r="AX273" s="49"/>
      <c r="AY273" s="52"/>
    </row>
    <row r="274" spans="1:55" ht="13.5" customHeight="1">
      <c r="A274" s="56"/>
      <c r="B274" s="50"/>
      <c r="C274" s="49"/>
      <c r="D274" s="49"/>
      <c r="E274" s="49"/>
      <c r="F274" s="49"/>
      <c r="G274" s="49"/>
      <c r="H274" s="49"/>
      <c r="I274" s="51"/>
      <c r="J274" s="302"/>
      <c r="K274" s="303"/>
      <c r="L274" s="101"/>
      <c r="M274" s="106" t="s">
        <v>360</v>
      </c>
      <c r="N274" s="102"/>
      <c r="O274" s="102"/>
      <c r="P274" s="102"/>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51"/>
      <c r="AR274" s="208"/>
      <c r="AS274" s="49"/>
      <c r="AT274" s="49"/>
      <c r="AU274" s="49"/>
      <c r="AV274" s="49"/>
      <c r="AW274" s="49"/>
      <c r="AX274" s="49"/>
      <c r="AY274" s="52"/>
    </row>
    <row r="275" spans="1:55" ht="13.5" customHeight="1">
      <c r="A275" s="56"/>
      <c r="B275" s="50"/>
      <c r="C275" s="49"/>
      <c r="D275" s="49"/>
      <c r="E275" s="49"/>
      <c r="F275" s="49"/>
      <c r="G275" s="49"/>
      <c r="H275" s="49"/>
      <c r="I275" s="51"/>
      <c r="J275" s="302"/>
      <c r="K275" s="303"/>
      <c r="L275" s="101"/>
      <c r="M275" s="106" t="s">
        <v>412</v>
      </c>
      <c r="N275" s="102"/>
      <c r="O275" s="102"/>
      <c r="P275" s="102"/>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51"/>
      <c r="AR275" s="208"/>
      <c r="AS275" s="49"/>
      <c r="AT275" s="49"/>
      <c r="AU275" s="49"/>
      <c r="AV275" s="49"/>
      <c r="AW275" s="49"/>
      <c r="AX275" s="49"/>
      <c r="AY275" s="52"/>
    </row>
    <row r="276" spans="1:55" ht="13.5" customHeight="1">
      <c r="A276" s="56"/>
      <c r="B276" s="50"/>
      <c r="C276" s="49"/>
      <c r="D276" s="49"/>
      <c r="E276" s="49"/>
      <c r="F276" s="49"/>
      <c r="G276" s="49"/>
      <c r="H276" s="49"/>
      <c r="I276" s="51"/>
      <c r="J276" s="302"/>
      <c r="K276" s="303"/>
      <c r="L276" s="101"/>
      <c r="M276" s="440" t="s">
        <v>348</v>
      </c>
      <c r="N276" s="158"/>
      <c r="O276" s="158"/>
      <c r="P276" s="158"/>
      <c r="Q276" s="159"/>
      <c r="R276" s="159"/>
      <c r="S276" s="159"/>
      <c r="T276" s="159"/>
      <c r="U276" s="159"/>
      <c r="V276" s="159"/>
      <c r="W276" s="159"/>
      <c r="X276" s="159"/>
      <c r="Y276" s="159"/>
      <c r="Z276" s="159"/>
      <c r="AA276" s="159"/>
      <c r="AB276" s="49"/>
      <c r="AC276" s="49"/>
      <c r="AD276" s="49"/>
      <c r="AE276" s="49"/>
      <c r="AF276" s="49"/>
      <c r="AG276" s="49"/>
      <c r="AH276" s="49"/>
      <c r="AI276" s="49"/>
      <c r="AJ276" s="49"/>
      <c r="AK276" s="49"/>
      <c r="AL276" s="49"/>
      <c r="AM276" s="49"/>
      <c r="AN276" s="49"/>
      <c r="AO276" s="49"/>
      <c r="AP276" s="49"/>
      <c r="AQ276" s="51"/>
      <c r="AR276" s="208"/>
      <c r="AS276" s="49"/>
      <c r="AT276" s="49"/>
      <c r="AU276" s="49"/>
      <c r="AV276" s="49"/>
      <c r="AW276" s="49"/>
      <c r="AX276" s="49"/>
      <c r="AY276" s="52"/>
      <c r="BC276" s="38">
        <v>3.2</v>
      </c>
    </row>
    <row r="277" spans="1:55" ht="13.5" customHeight="1">
      <c r="A277" s="56"/>
      <c r="B277" s="50"/>
      <c r="C277" s="49"/>
      <c r="D277" s="49"/>
      <c r="E277" s="49"/>
      <c r="F277" s="49"/>
      <c r="G277" s="49"/>
      <c r="H277" s="49"/>
      <c r="I277" s="51"/>
      <c r="J277" s="302"/>
      <c r="K277" s="303"/>
      <c r="L277" s="101"/>
      <c r="M277" s="100" t="s">
        <v>361</v>
      </c>
      <c r="N277" s="102"/>
      <c r="O277" s="102"/>
      <c r="P277" s="102"/>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51"/>
      <c r="AR277" s="208"/>
      <c r="AS277" s="49"/>
      <c r="AT277" s="49"/>
      <c r="AU277" s="49"/>
      <c r="AV277" s="49"/>
      <c r="AW277" s="49"/>
      <c r="AX277" s="49"/>
      <c r="AY277" s="52"/>
    </row>
    <row r="278" spans="1:55" ht="13.5" customHeight="1">
      <c r="A278" s="56"/>
      <c r="B278" s="50"/>
      <c r="C278" s="49"/>
      <c r="D278" s="49"/>
      <c r="E278" s="49"/>
      <c r="F278" s="49"/>
      <c r="G278" s="49"/>
      <c r="H278" s="49"/>
      <c r="I278" s="51"/>
      <c r="J278" s="302"/>
      <c r="K278" s="303"/>
      <c r="L278" s="101"/>
      <c r="M278" s="100" t="s">
        <v>362</v>
      </c>
      <c r="N278" s="102"/>
      <c r="O278" s="102"/>
      <c r="P278" s="102"/>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51"/>
      <c r="AR278" s="208"/>
      <c r="AS278" s="49"/>
      <c r="AT278" s="49"/>
      <c r="AU278" s="49"/>
      <c r="AV278" s="49"/>
      <c r="AW278" s="49"/>
      <c r="AX278" s="49"/>
      <c r="AY278" s="52"/>
    </row>
    <row r="279" spans="1:55" ht="13.5" customHeight="1">
      <c r="A279" s="56"/>
      <c r="B279" s="50"/>
      <c r="C279" s="49"/>
      <c r="D279" s="49"/>
      <c r="E279" s="49"/>
      <c r="F279" s="49"/>
      <c r="G279" s="49"/>
      <c r="H279" s="49"/>
      <c r="I279" s="51"/>
      <c r="J279" s="302"/>
      <c r="K279" s="303"/>
      <c r="L279" s="101"/>
      <c r="M279" s="205"/>
      <c r="N279" s="49" t="s">
        <v>409</v>
      </c>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51"/>
      <c r="AR279" s="208"/>
      <c r="AS279" s="49"/>
      <c r="AT279" s="49"/>
      <c r="AU279" s="49"/>
      <c r="AV279" s="49"/>
      <c r="AW279" s="49"/>
      <c r="AX279" s="49"/>
      <c r="AY279" s="52"/>
    </row>
    <row r="280" spans="1:55" ht="13.5" customHeight="1">
      <c r="A280" s="56"/>
      <c r="B280" s="50"/>
      <c r="C280" s="49"/>
      <c r="D280" s="49"/>
      <c r="E280" s="49"/>
      <c r="F280" s="49"/>
      <c r="G280" s="49"/>
      <c r="H280" s="49"/>
      <c r="I280" s="51"/>
      <c r="J280" s="302"/>
      <c r="K280" s="303"/>
      <c r="L280" s="101"/>
      <c r="M280" s="205"/>
      <c r="N280" s="49" t="s">
        <v>410</v>
      </c>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51"/>
      <c r="AR280" s="208"/>
      <c r="AS280" s="49"/>
      <c r="AT280" s="49"/>
      <c r="AU280" s="49"/>
      <c r="AV280" s="49"/>
      <c r="AW280" s="49"/>
      <c r="AX280" s="49"/>
      <c r="AY280" s="52"/>
    </row>
    <row r="281" spans="1:55" s="23" customFormat="1" ht="13.5" customHeight="1">
      <c r="A281" s="56"/>
      <c r="B281" s="50"/>
      <c r="C281" s="49"/>
      <c r="D281" s="49"/>
      <c r="E281" s="49"/>
      <c r="F281" s="49"/>
      <c r="G281" s="49"/>
      <c r="H281" s="49"/>
      <c r="I281" s="51"/>
      <c r="J281" s="443"/>
      <c r="K281" s="444"/>
      <c r="L281" s="101"/>
      <c r="M281" s="100" t="s">
        <v>1149</v>
      </c>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51"/>
      <c r="AR281" s="208"/>
      <c r="AS281" s="49"/>
      <c r="AT281" s="49"/>
      <c r="AU281" s="49"/>
      <c r="AV281" s="49"/>
      <c r="AW281" s="49"/>
      <c r="AX281" s="49"/>
      <c r="AY281" s="52"/>
      <c r="BA281" s="23">
        <v>3.2</v>
      </c>
      <c r="BC281" s="23">
        <v>3.2</v>
      </c>
    </row>
    <row r="282" spans="1:55" s="23" customFormat="1" ht="13.5" customHeight="1">
      <c r="A282" s="56"/>
      <c r="B282" s="50"/>
      <c r="C282" s="49"/>
      <c r="D282" s="49"/>
      <c r="E282" s="49"/>
      <c r="F282" s="49"/>
      <c r="G282" s="49"/>
      <c r="H282" s="49"/>
      <c r="I282" s="51"/>
      <c r="J282" s="443"/>
      <c r="K282" s="444"/>
      <c r="L282" s="101"/>
      <c r="M282" s="100" t="s">
        <v>1148</v>
      </c>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51"/>
      <c r="AR282" s="208"/>
      <c r="AS282" s="49"/>
      <c r="AT282" s="49"/>
      <c r="AU282" s="49"/>
      <c r="AV282" s="49"/>
      <c r="AW282" s="49"/>
      <c r="AX282" s="49"/>
      <c r="AY282" s="52"/>
      <c r="BA282" s="23">
        <v>3.2</v>
      </c>
      <c r="BC282" s="23">
        <v>3.2</v>
      </c>
    </row>
    <row r="283" spans="1:55" ht="13.5" customHeight="1" thickBot="1">
      <c r="A283" s="321"/>
      <c r="B283" s="322"/>
      <c r="C283" s="323"/>
      <c r="D283" s="323"/>
      <c r="E283" s="323"/>
      <c r="F283" s="323"/>
      <c r="G283" s="323"/>
      <c r="H283" s="323"/>
      <c r="I283" s="324"/>
      <c r="J283" s="325"/>
      <c r="K283" s="326"/>
      <c r="L283" s="336"/>
      <c r="M283" s="323"/>
      <c r="N283" s="323"/>
      <c r="O283" s="323"/>
      <c r="P283" s="323"/>
      <c r="Q283" s="323"/>
      <c r="R283" s="323"/>
      <c r="S283" s="323"/>
      <c r="T283" s="323"/>
      <c r="U283" s="323"/>
      <c r="V283" s="323"/>
      <c r="W283" s="323"/>
      <c r="X283" s="323"/>
      <c r="Y283" s="323"/>
      <c r="Z283" s="323"/>
      <c r="AA283" s="323"/>
      <c r="AB283" s="323"/>
      <c r="AC283" s="323"/>
      <c r="AD283" s="323"/>
      <c r="AE283" s="323"/>
      <c r="AF283" s="323"/>
      <c r="AG283" s="323"/>
      <c r="AH283" s="323"/>
      <c r="AI283" s="323"/>
      <c r="AJ283" s="323"/>
      <c r="AK283" s="323"/>
      <c r="AL283" s="323"/>
      <c r="AM283" s="323"/>
      <c r="AN283" s="323"/>
      <c r="AO283" s="323"/>
      <c r="AP283" s="323"/>
      <c r="AQ283" s="324"/>
      <c r="AR283" s="327"/>
      <c r="AS283" s="323"/>
      <c r="AT283" s="323"/>
      <c r="AU283" s="323"/>
      <c r="AV283" s="323"/>
      <c r="AW283" s="323"/>
      <c r="AX283" s="323"/>
      <c r="AY283" s="328"/>
    </row>
    <row r="284" spans="1:55" ht="13.5" customHeight="1">
      <c r="A284" s="56"/>
      <c r="B284" s="50"/>
      <c r="C284" s="49"/>
      <c r="D284" s="49"/>
      <c r="E284" s="49"/>
      <c r="F284" s="49"/>
      <c r="G284" s="49"/>
      <c r="H284" s="49"/>
      <c r="I284" s="51"/>
      <c r="J284" s="302"/>
      <c r="K284" s="303"/>
      <c r="L284" s="101"/>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51"/>
      <c r="AR284" s="208"/>
      <c r="AS284" s="49"/>
      <c r="AT284" s="49"/>
      <c r="AU284" s="49"/>
      <c r="AV284" s="49"/>
      <c r="AW284" s="49"/>
      <c r="AX284" s="49"/>
      <c r="AY284" s="52"/>
    </row>
    <row r="285" spans="1:55" ht="13.5" customHeight="1">
      <c r="A285" s="56"/>
      <c r="B285" s="50"/>
      <c r="C285" s="49"/>
      <c r="D285" s="49"/>
      <c r="E285" s="49"/>
      <c r="F285" s="49"/>
      <c r="G285" s="49"/>
      <c r="H285" s="49"/>
      <c r="I285" s="51"/>
      <c r="J285" s="302"/>
      <c r="K285" s="303"/>
      <c r="L285" s="101" t="s">
        <v>337</v>
      </c>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51"/>
      <c r="AR285" s="208"/>
      <c r="AS285" s="49"/>
      <c r="AT285" s="49"/>
      <c r="AU285" s="49"/>
      <c r="AV285" s="49"/>
      <c r="AW285" s="49"/>
      <c r="AX285" s="49"/>
      <c r="AY285" s="52"/>
    </row>
    <row r="286" spans="1:55" ht="13.5" customHeight="1">
      <c r="A286" s="56"/>
      <c r="B286" s="50"/>
      <c r="C286" s="49"/>
      <c r="D286" s="49"/>
      <c r="E286" s="49"/>
      <c r="F286" s="49"/>
      <c r="G286" s="49"/>
      <c r="H286" s="49"/>
      <c r="I286" s="51"/>
      <c r="J286" s="302"/>
      <c r="K286" s="303"/>
      <c r="L286" s="101"/>
      <c r="M286" s="49" t="s">
        <v>114</v>
      </c>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51"/>
      <c r="AR286" s="208"/>
      <c r="AS286" s="49"/>
      <c r="AT286" s="49"/>
      <c r="AU286" s="49"/>
      <c r="AV286" s="49"/>
      <c r="AW286" s="49"/>
      <c r="AX286" s="49"/>
      <c r="AY286" s="52"/>
    </row>
    <row r="287" spans="1:55" ht="13.5" customHeight="1">
      <c r="A287" s="56"/>
      <c r="B287" s="50"/>
      <c r="C287" s="49"/>
      <c r="D287" s="49"/>
      <c r="E287" s="49"/>
      <c r="F287" s="49"/>
      <c r="G287" s="49"/>
      <c r="H287" s="49"/>
      <c r="I287" s="51"/>
      <c r="J287" s="302"/>
      <c r="K287" s="303"/>
      <c r="L287" s="101"/>
      <c r="M287" s="49"/>
      <c r="N287" s="49" t="s">
        <v>349</v>
      </c>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51"/>
      <c r="AR287" s="208"/>
      <c r="AS287" s="49"/>
      <c r="AT287" s="49"/>
      <c r="AU287" s="49"/>
      <c r="AV287" s="49"/>
      <c r="AW287" s="49"/>
      <c r="AX287" s="49"/>
      <c r="AY287" s="52"/>
    </row>
    <row r="288" spans="1:55" ht="13.5" customHeight="1">
      <c r="A288" s="56"/>
      <c r="B288" s="50"/>
      <c r="C288" s="49"/>
      <c r="D288" s="49"/>
      <c r="E288" s="49"/>
      <c r="F288" s="49"/>
      <c r="G288" s="49"/>
      <c r="H288" s="49"/>
      <c r="I288" s="51"/>
      <c r="J288" s="302"/>
      <c r="K288" s="303"/>
      <c r="L288" s="101"/>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51"/>
      <c r="AR288" s="208"/>
      <c r="AS288" s="49"/>
      <c r="AT288" s="49"/>
      <c r="AU288" s="49"/>
      <c r="AV288" s="49"/>
      <c r="AW288" s="49"/>
      <c r="AX288" s="49"/>
      <c r="AY288" s="52"/>
    </row>
    <row r="289" spans="1:55" ht="13.5" customHeight="1">
      <c r="A289" s="56"/>
      <c r="B289" s="50"/>
      <c r="C289" s="49"/>
      <c r="D289" s="49"/>
      <c r="E289" s="49"/>
      <c r="F289" s="49"/>
      <c r="G289" s="49"/>
      <c r="H289" s="49"/>
      <c r="I289" s="51"/>
      <c r="J289" s="302"/>
      <c r="K289" s="303"/>
      <c r="L289" s="101" t="s">
        <v>112</v>
      </c>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51"/>
      <c r="AR289" s="208"/>
      <c r="AS289" s="49"/>
      <c r="AT289" s="49"/>
      <c r="AU289" s="49"/>
      <c r="AV289" s="49"/>
      <c r="AW289" s="49"/>
      <c r="AX289" s="49"/>
      <c r="AY289" s="52"/>
    </row>
    <row r="290" spans="1:55" ht="13.5" customHeight="1">
      <c r="A290" s="56"/>
      <c r="B290" s="50"/>
      <c r="C290" s="49"/>
      <c r="D290" s="49"/>
      <c r="E290" s="49"/>
      <c r="F290" s="49"/>
      <c r="G290" s="49"/>
      <c r="H290" s="49"/>
      <c r="I290" s="51"/>
      <c r="J290" s="302"/>
      <c r="K290" s="303"/>
      <c r="L290" s="101"/>
      <c r="M290" s="49" t="s">
        <v>350</v>
      </c>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51"/>
      <c r="AR290" s="208"/>
      <c r="AS290" s="49"/>
      <c r="AT290" s="49"/>
      <c r="AU290" s="49"/>
      <c r="AV290" s="49"/>
      <c r="AW290" s="49"/>
      <c r="AX290" s="49"/>
      <c r="AY290" s="52"/>
    </row>
    <row r="291" spans="1:55" ht="13.5" customHeight="1">
      <c r="A291" s="56"/>
      <c r="B291" s="50"/>
      <c r="C291" s="49"/>
      <c r="D291" s="49"/>
      <c r="E291" s="49"/>
      <c r="F291" s="49"/>
      <c r="G291" s="49"/>
      <c r="H291" s="49"/>
      <c r="I291" s="51"/>
      <c r="J291" s="302"/>
      <c r="K291" s="303"/>
      <c r="L291" s="101"/>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51"/>
      <c r="AR291" s="208"/>
      <c r="AS291" s="49"/>
      <c r="AT291" s="49"/>
      <c r="AU291" s="49"/>
      <c r="AV291" s="49"/>
      <c r="AW291" s="49"/>
      <c r="AX291" s="49"/>
      <c r="AY291" s="52"/>
    </row>
    <row r="292" spans="1:55" ht="13.5" customHeight="1">
      <c r="A292" s="56"/>
      <c r="B292" s="50"/>
      <c r="C292" s="49"/>
      <c r="D292" s="49"/>
      <c r="E292" s="49"/>
      <c r="F292" s="49"/>
      <c r="G292" s="49"/>
      <c r="H292" s="49"/>
      <c r="I292" s="51"/>
      <c r="J292" s="302"/>
      <c r="K292" s="303"/>
      <c r="L292" s="101" t="s">
        <v>165</v>
      </c>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51"/>
      <c r="AR292" s="208"/>
      <c r="AS292" s="49"/>
      <c r="AT292" s="49"/>
      <c r="AU292" s="49"/>
      <c r="AV292" s="49"/>
      <c r="AW292" s="49"/>
      <c r="AX292" s="49"/>
      <c r="AY292" s="52"/>
    </row>
    <row r="293" spans="1:55" ht="13.5" customHeight="1">
      <c r="A293" s="56"/>
      <c r="B293" s="50"/>
      <c r="C293" s="49"/>
      <c r="D293" s="49"/>
      <c r="E293" s="49"/>
      <c r="F293" s="49"/>
      <c r="G293" s="49"/>
      <c r="H293" s="49"/>
      <c r="I293" s="51"/>
      <c r="J293" s="302"/>
      <c r="K293" s="303"/>
      <c r="L293" s="50"/>
      <c r="M293" s="49" t="s">
        <v>357</v>
      </c>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51"/>
      <c r="AR293" s="208"/>
      <c r="AS293" s="49"/>
      <c r="AT293" s="49"/>
      <c r="AU293" s="49"/>
      <c r="AV293" s="49"/>
      <c r="AW293" s="49"/>
      <c r="AX293" s="49"/>
      <c r="AY293" s="52"/>
    </row>
    <row r="294" spans="1:55" ht="13.5" customHeight="1">
      <c r="A294" s="56"/>
      <c r="B294" s="50"/>
      <c r="C294" s="49"/>
      <c r="D294" s="49"/>
      <c r="E294" s="49"/>
      <c r="F294" s="49"/>
      <c r="G294" s="49"/>
      <c r="H294" s="49"/>
      <c r="I294" s="51"/>
      <c r="J294" s="302"/>
      <c r="K294" s="303"/>
      <c r="L294" s="50"/>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51"/>
      <c r="AR294" s="208"/>
      <c r="AS294" s="49"/>
      <c r="AT294" s="49"/>
      <c r="AU294" s="49"/>
      <c r="AV294" s="49"/>
      <c r="AW294" s="49"/>
      <c r="AX294" s="49"/>
      <c r="AY294" s="52"/>
    </row>
    <row r="295" spans="1:55" ht="13.5" customHeight="1">
      <c r="A295" s="61"/>
      <c r="B295" s="58"/>
      <c r="C295" s="57"/>
      <c r="D295" s="57"/>
      <c r="E295" s="57"/>
      <c r="F295" s="57"/>
      <c r="G295" s="57"/>
      <c r="H295" s="57"/>
      <c r="I295" s="59"/>
      <c r="J295" s="658"/>
      <c r="K295" s="659"/>
      <c r="L295" s="58"/>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9"/>
      <c r="AR295" s="192"/>
      <c r="AS295" s="57"/>
      <c r="AT295" s="57"/>
      <c r="AU295" s="57"/>
      <c r="AV295" s="57"/>
      <c r="AW295" s="57"/>
      <c r="AX295" s="57"/>
      <c r="AY295" s="60"/>
    </row>
    <row r="296" spans="1:55" ht="13.5" customHeight="1">
      <c r="A296" s="185">
        <v>11</v>
      </c>
      <c r="B296" s="64" t="s">
        <v>176</v>
      </c>
      <c r="C296" s="63"/>
      <c r="D296" s="63"/>
      <c r="E296" s="63"/>
      <c r="F296" s="63"/>
      <c r="G296" s="63"/>
      <c r="H296" s="63"/>
      <c r="I296" s="63"/>
      <c r="J296" s="98"/>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214"/>
      <c r="AS296" s="63"/>
      <c r="AT296" s="63"/>
      <c r="AU296" s="63"/>
      <c r="AV296" s="63"/>
      <c r="AW296" s="63"/>
      <c r="AX296" s="63"/>
      <c r="AY296" s="186"/>
    </row>
    <row r="297" spans="1:55" ht="13.5" customHeight="1">
      <c r="A297" s="56"/>
      <c r="B297" s="50"/>
      <c r="C297" s="49"/>
      <c r="D297" s="49"/>
      <c r="E297" s="49"/>
      <c r="F297" s="49"/>
      <c r="G297" s="49"/>
      <c r="H297" s="49"/>
      <c r="I297" s="51"/>
      <c r="J297" s="656" t="s">
        <v>704</v>
      </c>
      <c r="K297" s="657"/>
      <c r="L297" s="101" t="s">
        <v>179</v>
      </c>
      <c r="M297" s="102"/>
      <c r="N297" s="103"/>
      <c r="O297" s="102"/>
      <c r="P297" s="102"/>
      <c r="Q297" s="102"/>
      <c r="R297" s="102"/>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51"/>
      <c r="AR297" s="208"/>
      <c r="AS297" s="49"/>
      <c r="AT297" s="49"/>
      <c r="AU297" s="49"/>
      <c r="AV297" s="49"/>
      <c r="AW297" s="49"/>
      <c r="AX297" s="49"/>
      <c r="AY297" s="52"/>
    </row>
    <row r="298" spans="1:55" ht="13.5" customHeight="1">
      <c r="A298" s="56"/>
      <c r="B298" s="50"/>
      <c r="C298" s="49"/>
      <c r="D298" s="49"/>
      <c r="E298" s="49"/>
      <c r="F298" s="49"/>
      <c r="G298" s="49"/>
      <c r="H298" s="49"/>
      <c r="I298" s="51"/>
      <c r="J298" s="302"/>
      <c r="K298" s="303"/>
      <c r="L298" s="101"/>
      <c r="M298" s="102" t="s">
        <v>109</v>
      </c>
      <c r="N298" s="103" t="s">
        <v>407</v>
      </c>
      <c r="O298" s="102"/>
      <c r="P298" s="102"/>
      <c r="Q298" s="102"/>
      <c r="R298" s="102"/>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51"/>
      <c r="AR298" s="208"/>
      <c r="AS298" s="49"/>
      <c r="AT298" s="49"/>
      <c r="AU298" s="49"/>
      <c r="AV298" s="49"/>
      <c r="AW298" s="49"/>
      <c r="AX298" s="49"/>
      <c r="AY298" s="52"/>
    </row>
    <row r="299" spans="1:55" ht="13.5" customHeight="1">
      <c r="A299" s="56"/>
      <c r="B299" s="50"/>
      <c r="C299" s="49"/>
      <c r="D299" s="49"/>
      <c r="E299" s="49"/>
      <c r="F299" s="49"/>
      <c r="G299" s="49"/>
      <c r="H299" s="49"/>
      <c r="I299" s="51"/>
      <c r="J299" s="302"/>
      <c r="K299" s="303"/>
      <c r="L299" s="101"/>
      <c r="M299" s="102"/>
      <c r="N299" s="103" t="s">
        <v>408</v>
      </c>
      <c r="O299" s="102"/>
      <c r="P299" s="102"/>
      <c r="Q299" s="102"/>
      <c r="R299" s="102"/>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51"/>
      <c r="AR299" s="208"/>
      <c r="AS299" s="49"/>
      <c r="AT299" s="49"/>
      <c r="AU299" s="49"/>
      <c r="AV299" s="49"/>
      <c r="AW299" s="49"/>
      <c r="AX299" s="49"/>
      <c r="AY299" s="52"/>
    </row>
    <row r="300" spans="1:55" ht="13.5" customHeight="1">
      <c r="A300" s="56"/>
      <c r="B300" s="50"/>
      <c r="C300" s="49"/>
      <c r="D300" s="49"/>
      <c r="E300" s="49"/>
      <c r="F300" s="49"/>
      <c r="G300" s="49"/>
      <c r="H300" s="49"/>
      <c r="I300" s="51"/>
      <c r="J300" s="302"/>
      <c r="K300" s="303"/>
      <c r="L300" s="101"/>
      <c r="M300" s="102"/>
      <c r="N300" s="102"/>
      <c r="O300" s="102"/>
      <c r="P300" s="102"/>
      <c r="Q300" s="102"/>
      <c r="R300" s="102"/>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51"/>
      <c r="AR300" s="208"/>
      <c r="AS300" s="49"/>
      <c r="AT300" s="49"/>
      <c r="AU300" s="49"/>
      <c r="AV300" s="49"/>
      <c r="AW300" s="49"/>
      <c r="AX300" s="49"/>
      <c r="AY300" s="52"/>
    </row>
    <row r="301" spans="1:55" ht="13.5" customHeight="1">
      <c r="A301" s="56"/>
      <c r="B301" s="50"/>
      <c r="C301" s="49"/>
      <c r="D301" s="49"/>
      <c r="E301" s="49"/>
      <c r="F301" s="49"/>
      <c r="G301" s="49"/>
      <c r="H301" s="49"/>
      <c r="I301" s="51"/>
      <c r="J301" s="302"/>
      <c r="K301" s="303"/>
      <c r="L301" s="101"/>
      <c r="M301" s="102" t="s">
        <v>196</v>
      </c>
      <c r="N301" s="102" t="s">
        <v>420</v>
      </c>
      <c r="O301" s="102"/>
      <c r="P301" s="102"/>
      <c r="Q301" s="102"/>
      <c r="R301" s="102"/>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51"/>
      <c r="AR301" s="208"/>
      <c r="AS301" s="49"/>
      <c r="AT301" s="49"/>
      <c r="AU301" s="49"/>
      <c r="AV301" s="49"/>
      <c r="AW301" s="49"/>
      <c r="AX301" s="49"/>
      <c r="AY301" s="52"/>
    </row>
    <row r="302" spans="1:55" ht="13.5" customHeight="1">
      <c r="A302" s="56"/>
      <c r="B302" s="50"/>
      <c r="C302" s="49"/>
      <c r="D302" s="49"/>
      <c r="E302" s="49"/>
      <c r="F302" s="49"/>
      <c r="G302" s="49"/>
      <c r="H302" s="49"/>
      <c r="I302" s="51"/>
      <c r="J302" s="302"/>
      <c r="K302" s="303"/>
      <c r="L302" s="101"/>
      <c r="M302" s="102"/>
      <c r="N302" s="102" t="s">
        <v>423</v>
      </c>
      <c r="O302" s="102"/>
      <c r="P302" s="102"/>
      <c r="Q302" s="102"/>
      <c r="R302" s="102"/>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51"/>
      <c r="AR302" s="208"/>
      <c r="AS302" s="49"/>
      <c r="AT302" s="49"/>
      <c r="AU302" s="49"/>
      <c r="AV302" s="49"/>
      <c r="AW302" s="49"/>
      <c r="AX302" s="49"/>
      <c r="AY302" s="52"/>
    </row>
    <row r="303" spans="1:55" ht="13.5" customHeight="1">
      <c r="A303" s="56"/>
      <c r="B303" s="50"/>
      <c r="C303" s="49"/>
      <c r="D303" s="49"/>
      <c r="E303" s="49"/>
      <c r="F303" s="49"/>
      <c r="G303" s="49"/>
      <c r="H303" s="49"/>
      <c r="I303" s="51"/>
      <c r="J303" s="302"/>
      <c r="K303" s="303"/>
      <c r="L303" s="101"/>
      <c r="M303" s="102"/>
      <c r="N303" s="102" t="s">
        <v>424</v>
      </c>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49"/>
      <c r="AM303" s="49"/>
      <c r="AN303" s="49"/>
      <c r="AO303" s="49"/>
      <c r="AP303" s="49"/>
      <c r="AQ303" s="51"/>
      <c r="AR303" s="208"/>
      <c r="AS303" s="49"/>
      <c r="AT303" s="49"/>
      <c r="AU303" s="49"/>
      <c r="AV303" s="49"/>
      <c r="AW303" s="49"/>
      <c r="AX303" s="49"/>
      <c r="AY303" s="52"/>
    </row>
    <row r="304" spans="1:55" ht="13.5" customHeight="1">
      <c r="A304" s="56"/>
      <c r="B304" s="50"/>
      <c r="C304" s="49"/>
      <c r="D304" s="49"/>
      <c r="E304" s="49"/>
      <c r="F304" s="49"/>
      <c r="G304" s="49"/>
      <c r="H304" s="49"/>
      <c r="I304" s="51"/>
      <c r="J304" s="302"/>
      <c r="K304" s="303"/>
      <c r="L304" s="101"/>
      <c r="M304" s="102"/>
      <c r="N304" s="102" t="s">
        <v>971</v>
      </c>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49"/>
      <c r="AM304" s="49"/>
      <c r="AN304" s="49"/>
      <c r="AO304" s="49"/>
      <c r="AP304" s="49"/>
      <c r="AQ304" s="51"/>
      <c r="AR304" s="208"/>
      <c r="AS304" s="49"/>
      <c r="AT304" s="49"/>
      <c r="AU304" s="49"/>
      <c r="AV304" s="49"/>
      <c r="AW304" s="49"/>
      <c r="AX304" s="49"/>
      <c r="AY304" s="52"/>
      <c r="BC304" s="38">
        <v>2.2999999999999998</v>
      </c>
    </row>
    <row r="305" spans="1:55" ht="13.5" customHeight="1">
      <c r="A305" s="56"/>
      <c r="B305" s="50"/>
      <c r="C305" s="49"/>
      <c r="D305" s="49"/>
      <c r="E305" s="49"/>
      <c r="F305" s="49"/>
      <c r="G305" s="49"/>
      <c r="H305" s="49"/>
      <c r="I305" s="51"/>
      <c r="J305" s="302"/>
      <c r="K305" s="303"/>
      <c r="L305" s="101"/>
      <c r="M305" s="102"/>
      <c r="N305" s="102" t="s">
        <v>980</v>
      </c>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49"/>
      <c r="AM305" s="49"/>
      <c r="AN305" s="49"/>
      <c r="AO305" s="49"/>
      <c r="AP305" s="49"/>
      <c r="AQ305" s="51"/>
      <c r="AR305" s="208"/>
      <c r="AS305" s="49"/>
      <c r="AT305" s="49"/>
      <c r="AU305" s="49"/>
      <c r="AV305" s="49"/>
      <c r="AW305" s="49"/>
      <c r="AX305" s="49"/>
      <c r="AY305" s="52"/>
    </row>
    <row r="306" spans="1:55" ht="13.5" customHeight="1">
      <c r="A306" s="56"/>
      <c r="B306" s="50"/>
      <c r="C306" s="49"/>
      <c r="D306" s="49"/>
      <c r="E306" s="49"/>
      <c r="F306" s="49"/>
      <c r="G306" s="49"/>
      <c r="H306" s="49"/>
      <c r="I306" s="51"/>
      <c r="J306" s="302"/>
      <c r="K306" s="303"/>
      <c r="L306" s="101"/>
      <c r="M306" s="102"/>
      <c r="N306" s="102" t="s">
        <v>421</v>
      </c>
      <c r="O306" s="102" t="s">
        <v>422</v>
      </c>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49"/>
      <c r="AM306" s="49"/>
      <c r="AN306" s="49"/>
      <c r="AO306" s="49"/>
      <c r="AP306" s="49"/>
      <c r="AQ306" s="51"/>
      <c r="AR306" s="208"/>
      <c r="AS306" s="49"/>
      <c r="AT306" s="49"/>
      <c r="AU306" s="49"/>
      <c r="AV306" s="49"/>
      <c r="AW306" s="49"/>
      <c r="AX306" s="49"/>
      <c r="AY306" s="52"/>
    </row>
    <row r="307" spans="1:55" ht="13.5" customHeight="1">
      <c r="A307" s="56"/>
      <c r="B307" s="50"/>
      <c r="C307" s="49"/>
      <c r="D307" s="49"/>
      <c r="E307" s="49"/>
      <c r="F307" s="49"/>
      <c r="G307" s="49"/>
      <c r="H307" s="49"/>
      <c r="I307" s="51"/>
      <c r="J307" s="302"/>
      <c r="K307" s="303"/>
      <c r="L307" s="101"/>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49"/>
      <c r="AM307" s="49"/>
      <c r="AN307" s="49"/>
      <c r="AO307" s="49"/>
      <c r="AP307" s="49"/>
      <c r="AQ307" s="51"/>
      <c r="AR307" s="208"/>
      <c r="AS307" s="49"/>
      <c r="AT307" s="49"/>
      <c r="AU307" s="49"/>
      <c r="AV307" s="49"/>
      <c r="AW307" s="49"/>
      <c r="AX307" s="49"/>
      <c r="AY307" s="52"/>
    </row>
    <row r="308" spans="1:55" ht="13.5" customHeight="1">
      <c r="A308" s="56"/>
      <c r="B308" s="50"/>
      <c r="C308" s="49"/>
      <c r="D308" s="49"/>
      <c r="E308" s="49"/>
      <c r="F308" s="49"/>
      <c r="G308" s="49"/>
      <c r="H308" s="49"/>
      <c r="I308" s="51"/>
      <c r="J308" s="302"/>
      <c r="K308" s="303"/>
      <c r="L308" s="101"/>
      <c r="M308" s="102" t="s">
        <v>220</v>
      </c>
      <c r="N308" s="102" t="s">
        <v>432</v>
      </c>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49"/>
      <c r="AM308" s="49"/>
      <c r="AN308" s="49"/>
      <c r="AO308" s="49"/>
      <c r="AP308" s="49"/>
      <c r="AQ308" s="51"/>
      <c r="AR308" s="208"/>
      <c r="AS308" s="49"/>
      <c r="AT308" s="49"/>
      <c r="AU308" s="49"/>
      <c r="AV308" s="49"/>
      <c r="AW308" s="49"/>
      <c r="AX308" s="49"/>
      <c r="AY308" s="52"/>
      <c r="AZ308" s="299">
        <v>0.6</v>
      </c>
    </row>
    <row r="309" spans="1:55" ht="13.5" customHeight="1">
      <c r="A309" s="56"/>
      <c r="B309" s="50"/>
      <c r="C309" s="49"/>
      <c r="D309" s="49"/>
      <c r="E309" s="49"/>
      <c r="F309" s="49"/>
      <c r="G309" s="49"/>
      <c r="H309" s="49"/>
      <c r="I309" s="51"/>
      <c r="J309" s="302"/>
      <c r="K309" s="303"/>
      <c r="L309" s="101"/>
      <c r="M309" s="102"/>
      <c r="N309" s="102" t="s">
        <v>434</v>
      </c>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49"/>
      <c r="AM309" s="49"/>
      <c r="AN309" s="49"/>
      <c r="AO309" s="49"/>
      <c r="AP309" s="49"/>
      <c r="AQ309" s="51"/>
      <c r="AR309" s="208"/>
      <c r="AS309" s="49"/>
      <c r="AT309" s="49"/>
      <c r="AU309" s="49"/>
      <c r="AV309" s="49"/>
      <c r="AW309" s="49"/>
      <c r="AX309" s="49"/>
      <c r="AY309" s="52"/>
      <c r="AZ309" s="299">
        <v>0.6</v>
      </c>
    </row>
    <row r="310" spans="1:55" ht="13.5" customHeight="1">
      <c r="A310" s="56"/>
      <c r="B310" s="50"/>
      <c r="C310" s="49"/>
      <c r="D310" s="49"/>
      <c r="E310" s="49"/>
      <c r="F310" s="49"/>
      <c r="G310" s="49"/>
      <c r="H310" s="49"/>
      <c r="I310" s="51"/>
      <c r="J310" s="302"/>
      <c r="K310" s="303"/>
      <c r="L310" s="101"/>
      <c r="M310" s="102"/>
      <c r="N310" s="102" t="s">
        <v>433</v>
      </c>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49"/>
      <c r="AM310" s="49"/>
      <c r="AN310" s="49"/>
      <c r="AO310" s="49"/>
      <c r="AP310" s="49"/>
      <c r="AQ310" s="51"/>
      <c r="AR310" s="208"/>
      <c r="AS310" s="49"/>
      <c r="AT310" s="49"/>
      <c r="AU310" s="49"/>
      <c r="AV310" s="49"/>
      <c r="AW310" s="49"/>
      <c r="AX310" s="49"/>
      <c r="AY310" s="52"/>
      <c r="AZ310" s="299">
        <v>0.6</v>
      </c>
    </row>
    <row r="311" spans="1:55" ht="13.5" customHeight="1">
      <c r="A311" s="56"/>
      <c r="B311" s="50"/>
      <c r="C311" s="49"/>
      <c r="D311" s="49"/>
      <c r="E311" s="49"/>
      <c r="F311" s="49"/>
      <c r="G311" s="49"/>
      <c r="H311" s="49"/>
      <c r="I311" s="51"/>
      <c r="J311" s="302"/>
      <c r="K311" s="303"/>
      <c r="L311" s="101"/>
      <c r="M311" s="102"/>
      <c r="N311" s="102" t="s">
        <v>435</v>
      </c>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49"/>
      <c r="AM311" s="49"/>
      <c r="AN311" s="49"/>
      <c r="AO311" s="49"/>
      <c r="AP311" s="49"/>
      <c r="AQ311" s="51"/>
      <c r="AR311" s="208"/>
      <c r="AS311" s="49"/>
      <c r="AT311" s="49"/>
      <c r="AU311" s="49"/>
      <c r="AV311" s="49"/>
      <c r="AW311" s="49"/>
      <c r="AX311" s="49"/>
      <c r="AY311" s="52"/>
      <c r="AZ311" s="299">
        <v>0.6</v>
      </c>
    </row>
    <row r="312" spans="1:55" ht="13.5" customHeight="1">
      <c r="A312" s="56"/>
      <c r="B312" s="50"/>
      <c r="C312" s="49"/>
      <c r="D312" s="49"/>
      <c r="E312" s="49"/>
      <c r="F312" s="49"/>
      <c r="G312" s="49"/>
      <c r="H312" s="49"/>
      <c r="I312" s="51"/>
      <c r="J312" s="415"/>
      <c r="K312" s="416"/>
      <c r="L312" s="101"/>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49"/>
      <c r="AM312" s="49"/>
      <c r="AN312" s="49"/>
      <c r="AO312" s="49"/>
      <c r="AP312" s="49"/>
      <c r="AQ312" s="51"/>
      <c r="AR312" s="208"/>
      <c r="AS312" s="49"/>
      <c r="AT312" s="49"/>
      <c r="AU312" s="49"/>
      <c r="AV312" s="49"/>
      <c r="AW312" s="49"/>
      <c r="AX312" s="49"/>
      <c r="AY312" s="52"/>
    </row>
    <row r="313" spans="1:55" ht="13.5" customHeight="1">
      <c r="A313" s="56"/>
      <c r="B313" s="50"/>
      <c r="C313" s="49"/>
      <c r="D313" s="49"/>
      <c r="E313" s="49"/>
      <c r="F313" s="49"/>
      <c r="G313" s="49"/>
      <c r="H313" s="49"/>
      <c r="I313" s="51"/>
      <c r="J313" s="415"/>
      <c r="K313" s="416"/>
      <c r="L313" s="101"/>
      <c r="M313" s="102" t="s">
        <v>1063</v>
      </c>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49"/>
      <c r="AM313" s="49"/>
      <c r="AN313" s="49"/>
      <c r="AO313" s="49"/>
      <c r="AP313" s="49"/>
      <c r="AQ313" s="51"/>
      <c r="AR313" s="208"/>
      <c r="AS313" s="49"/>
      <c r="AT313" s="49"/>
      <c r="AU313" s="49"/>
      <c r="AV313" s="49"/>
      <c r="AW313" s="49"/>
      <c r="AX313" s="49"/>
      <c r="AY313" s="52"/>
      <c r="BC313" s="38">
        <v>2.9</v>
      </c>
    </row>
    <row r="314" spans="1:55" ht="13.5" customHeight="1">
      <c r="A314" s="56"/>
      <c r="B314" s="50"/>
      <c r="C314" s="49"/>
      <c r="D314" s="49"/>
      <c r="E314" s="49"/>
      <c r="F314" s="49"/>
      <c r="G314" s="49"/>
      <c r="H314" s="49"/>
      <c r="I314" s="51"/>
      <c r="J314" s="417"/>
      <c r="K314" s="418"/>
      <c r="L314" s="101"/>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49"/>
      <c r="AM314" s="49"/>
      <c r="AN314" s="49"/>
      <c r="AO314" s="49"/>
      <c r="AP314" s="49"/>
      <c r="AQ314" s="51"/>
      <c r="AR314" s="208"/>
      <c r="AS314" s="49"/>
      <c r="AT314" s="49"/>
      <c r="AU314" s="49"/>
      <c r="AV314" s="49"/>
      <c r="AW314" s="49"/>
      <c r="AX314" s="49"/>
      <c r="AY314" s="52"/>
    </row>
    <row r="315" spans="1:55" ht="13.5" customHeight="1">
      <c r="A315" s="56"/>
      <c r="B315" s="50"/>
      <c r="C315" s="49"/>
      <c r="D315" s="49"/>
      <c r="E315" s="49"/>
      <c r="F315" s="49"/>
      <c r="G315" s="49"/>
      <c r="H315" s="49"/>
      <c r="I315" s="51"/>
      <c r="J315" s="417"/>
      <c r="K315" s="418"/>
      <c r="L315" s="101"/>
      <c r="M315" s="102" t="s">
        <v>224</v>
      </c>
      <c r="N315" s="102" t="s">
        <v>1067</v>
      </c>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49"/>
      <c r="AM315" s="49"/>
      <c r="AN315" s="49"/>
      <c r="AO315" s="49"/>
      <c r="AP315" s="49"/>
      <c r="AQ315" s="51"/>
      <c r="AR315" s="208"/>
      <c r="AS315" s="49"/>
      <c r="AT315" s="49"/>
      <c r="AU315" s="49"/>
      <c r="AV315" s="49"/>
      <c r="AW315" s="49"/>
      <c r="AX315" s="49"/>
      <c r="AY315" s="52"/>
      <c r="BC315" s="38">
        <v>2.9</v>
      </c>
    </row>
    <row r="316" spans="1:55" ht="13.5" customHeight="1">
      <c r="A316" s="56"/>
      <c r="B316" s="50"/>
      <c r="C316" s="49"/>
      <c r="D316" s="49"/>
      <c r="E316" s="49"/>
      <c r="F316" s="49"/>
      <c r="G316" s="49"/>
      <c r="H316" s="49"/>
      <c r="I316" s="51"/>
      <c r="J316" s="426"/>
      <c r="K316" s="427"/>
      <c r="L316" s="101"/>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49"/>
      <c r="AM316" s="49"/>
      <c r="AN316" s="49"/>
      <c r="AO316" s="49"/>
      <c r="AP316" s="49"/>
      <c r="AQ316" s="51"/>
      <c r="AR316" s="208"/>
      <c r="AS316" s="49"/>
      <c r="AT316" s="49"/>
      <c r="AU316" s="49"/>
      <c r="AV316" s="49"/>
      <c r="AW316" s="49"/>
      <c r="AX316" s="49"/>
      <c r="AY316" s="52"/>
    </row>
    <row r="317" spans="1:55" ht="13.5" customHeight="1">
      <c r="A317" s="56"/>
      <c r="B317" s="50"/>
      <c r="C317" s="49"/>
      <c r="D317" s="49"/>
      <c r="E317" s="49"/>
      <c r="F317" s="49"/>
      <c r="G317" s="49"/>
      <c r="H317" s="49"/>
      <c r="I317" s="51"/>
      <c r="J317" s="656"/>
      <c r="K317" s="657"/>
      <c r="L317" s="101" t="s">
        <v>194</v>
      </c>
      <c r="M317" s="102"/>
      <c r="N317" s="102"/>
      <c r="O317" s="106"/>
      <c r="P317" s="106"/>
      <c r="Q317" s="106"/>
      <c r="R317" s="106"/>
      <c r="S317" s="46"/>
      <c r="T317" s="46"/>
      <c r="U317" s="46"/>
      <c r="V317" s="46"/>
      <c r="W317" s="49"/>
      <c r="X317" s="49"/>
      <c r="Y317" s="49"/>
      <c r="Z317" s="49"/>
      <c r="AA317" s="49"/>
      <c r="AB317" s="49"/>
      <c r="AC317" s="49"/>
      <c r="AD317" s="49"/>
      <c r="AE317" s="49"/>
      <c r="AF317" s="49"/>
      <c r="AG317" s="49"/>
      <c r="AH317" s="49"/>
      <c r="AI317" s="49"/>
      <c r="AJ317" s="49"/>
      <c r="AK317" s="49"/>
      <c r="AL317" s="49"/>
      <c r="AM317" s="49"/>
      <c r="AN317" s="49"/>
      <c r="AO317" s="49"/>
      <c r="AP317" s="49"/>
      <c r="AQ317" s="51"/>
      <c r="AR317" s="208" t="s">
        <v>57</v>
      </c>
      <c r="AS317" s="49"/>
      <c r="AT317" s="49"/>
      <c r="AU317" s="49"/>
      <c r="AV317" s="49"/>
      <c r="AW317" s="49"/>
      <c r="AX317" s="49"/>
      <c r="AY317" s="52"/>
    </row>
    <row r="318" spans="1:55" ht="13.5" customHeight="1">
      <c r="A318" s="56"/>
      <c r="B318" s="50"/>
      <c r="C318" s="49"/>
      <c r="D318" s="49"/>
      <c r="E318" s="49"/>
      <c r="F318" s="49"/>
      <c r="G318" s="49"/>
      <c r="H318" s="49"/>
      <c r="I318" s="51"/>
      <c r="J318" s="302"/>
      <c r="K318" s="303"/>
      <c r="L318" s="101"/>
      <c r="M318" s="106"/>
      <c r="N318" s="102"/>
      <c r="O318" s="102"/>
      <c r="P318" s="102"/>
      <c r="Q318" s="102"/>
      <c r="R318" s="102"/>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51"/>
      <c r="AR318" s="208" t="s">
        <v>180</v>
      </c>
      <c r="AS318" s="49"/>
      <c r="AT318" s="49"/>
      <c r="AU318" s="49"/>
      <c r="AV318" s="49"/>
      <c r="AW318" s="49"/>
      <c r="AX318" s="49"/>
      <c r="AY318" s="52"/>
    </row>
    <row r="319" spans="1:55" ht="13.5" customHeight="1">
      <c r="A319" s="56"/>
      <c r="B319" s="50"/>
      <c r="C319" s="49"/>
      <c r="D319" s="49"/>
      <c r="E319" s="49"/>
      <c r="F319" s="49"/>
      <c r="G319" s="49"/>
      <c r="H319" s="49"/>
      <c r="I319" s="51"/>
      <c r="J319" s="402"/>
      <c r="K319" s="403"/>
      <c r="L319" s="101" t="s">
        <v>1024</v>
      </c>
      <c r="M319" s="106"/>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377"/>
      <c r="AR319" s="208"/>
      <c r="AS319" s="49"/>
      <c r="AT319" s="49"/>
      <c r="AU319" s="49"/>
      <c r="AV319" s="49"/>
      <c r="AW319" s="49"/>
      <c r="AX319" s="49"/>
      <c r="AY319" s="52"/>
      <c r="BC319" s="38">
        <v>2.7</v>
      </c>
    </row>
    <row r="320" spans="1:55" ht="13.5" customHeight="1">
      <c r="A320" s="56"/>
      <c r="B320" s="50"/>
      <c r="C320" s="49"/>
      <c r="D320" s="49"/>
      <c r="E320" s="49"/>
      <c r="F320" s="49"/>
      <c r="G320" s="49"/>
      <c r="H320" s="49"/>
      <c r="I320" s="51"/>
      <c r="J320" s="302"/>
      <c r="K320" s="303"/>
      <c r="L320" s="101"/>
      <c r="M320" s="106"/>
      <c r="N320" s="102"/>
      <c r="O320" s="102"/>
      <c r="P320" s="102"/>
      <c r="Q320" s="102"/>
      <c r="R320" s="102"/>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51"/>
      <c r="AR320" s="208"/>
      <c r="AS320" s="49"/>
      <c r="AT320" s="49"/>
      <c r="AU320" s="49"/>
      <c r="AV320" s="49"/>
      <c r="AW320" s="49"/>
      <c r="AX320" s="49"/>
      <c r="AY320" s="52"/>
    </row>
    <row r="321" spans="1:55" ht="13.5" customHeight="1">
      <c r="A321" s="56"/>
      <c r="B321" s="50"/>
      <c r="C321" s="49"/>
      <c r="D321" s="49"/>
      <c r="E321" s="49"/>
      <c r="F321" s="49"/>
      <c r="G321" s="49"/>
      <c r="H321" s="49"/>
      <c r="I321" s="51"/>
      <c r="J321" s="302"/>
      <c r="K321" s="303"/>
      <c r="L321" s="101" t="s">
        <v>1009</v>
      </c>
      <c r="M321" s="106"/>
      <c r="N321" s="102"/>
      <c r="O321" s="102"/>
      <c r="P321" s="102"/>
      <c r="Q321" s="102"/>
      <c r="R321" s="102"/>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51"/>
      <c r="AR321" s="208" t="s">
        <v>154</v>
      </c>
      <c r="AS321" s="49"/>
      <c r="AT321" s="49"/>
      <c r="AU321" s="49"/>
      <c r="AV321" s="49"/>
      <c r="AW321" s="49"/>
      <c r="AX321" s="49"/>
      <c r="AY321" s="52" t="s">
        <v>199</v>
      </c>
    </row>
    <row r="322" spans="1:55" ht="13.5" customHeight="1">
      <c r="A322" s="56"/>
      <c r="B322" s="50"/>
      <c r="C322" s="49"/>
      <c r="D322" s="49"/>
      <c r="E322" s="49"/>
      <c r="F322" s="49"/>
      <c r="G322" s="49"/>
      <c r="H322" s="49"/>
      <c r="I322" s="51"/>
      <c r="J322" s="302"/>
      <c r="K322" s="303"/>
      <c r="L322" s="101"/>
      <c r="M322" s="106"/>
      <c r="N322" s="102"/>
      <c r="O322" s="102"/>
      <c r="P322" s="102"/>
      <c r="Q322" s="102"/>
      <c r="R322" s="102"/>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51"/>
      <c r="AR322" s="208" t="s">
        <v>156</v>
      </c>
      <c r="AS322" s="49"/>
      <c r="AT322" s="49"/>
      <c r="AU322" s="49"/>
      <c r="AV322" s="49"/>
      <c r="AW322" s="49"/>
      <c r="AX322" s="49"/>
      <c r="AY322" s="52"/>
    </row>
    <row r="323" spans="1:55" ht="13.5" customHeight="1">
      <c r="A323" s="56"/>
      <c r="B323" s="50"/>
      <c r="C323" s="49"/>
      <c r="D323" s="49"/>
      <c r="E323" s="49"/>
      <c r="F323" s="49"/>
      <c r="G323" s="49"/>
      <c r="H323" s="49"/>
      <c r="I323" s="51"/>
      <c r="J323" s="302"/>
      <c r="K323" s="303"/>
      <c r="L323" s="101" t="s">
        <v>402</v>
      </c>
      <c r="M323" s="106"/>
      <c r="N323" s="102"/>
      <c r="O323" s="102"/>
      <c r="P323" s="102"/>
      <c r="Q323" s="102"/>
      <c r="R323" s="102"/>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51"/>
      <c r="AR323" s="208"/>
      <c r="AS323" s="49"/>
      <c r="AT323" s="49"/>
      <c r="AU323" s="49"/>
      <c r="AV323" s="49"/>
      <c r="AW323" s="49"/>
      <c r="AX323" s="49"/>
      <c r="AY323" s="52"/>
    </row>
    <row r="324" spans="1:55" ht="13.5" customHeight="1">
      <c r="A324" s="56"/>
      <c r="B324" s="50"/>
      <c r="C324" s="49"/>
      <c r="D324" s="49"/>
      <c r="E324" s="49"/>
      <c r="F324" s="49"/>
      <c r="G324" s="49"/>
      <c r="H324" s="49"/>
      <c r="I324" s="51"/>
      <c r="J324" s="302"/>
      <c r="K324" s="303"/>
      <c r="L324" s="101" t="s">
        <v>376</v>
      </c>
      <c r="M324" s="106"/>
      <c r="N324" s="102"/>
      <c r="O324" s="102"/>
      <c r="P324" s="102"/>
      <c r="Q324" s="102"/>
      <c r="R324" s="102"/>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51"/>
      <c r="AR324" s="208"/>
      <c r="AS324" s="49"/>
      <c r="AT324" s="49"/>
      <c r="AU324" s="49"/>
      <c r="AV324" s="49"/>
      <c r="AW324" s="49"/>
      <c r="AX324" s="49"/>
      <c r="AY324" s="52"/>
    </row>
    <row r="325" spans="1:55" ht="13.5" customHeight="1" thickBot="1">
      <c r="A325" s="321"/>
      <c r="B325" s="322"/>
      <c r="C325" s="323"/>
      <c r="D325" s="323"/>
      <c r="E325" s="323"/>
      <c r="F325" s="323"/>
      <c r="G325" s="323"/>
      <c r="H325" s="323"/>
      <c r="I325" s="324"/>
      <c r="J325" s="713"/>
      <c r="K325" s="714"/>
      <c r="L325" s="322"/>
      <c r="M325" s="323"/>
      <c r="N325" s="323"/>
      <c r="O325" s="323"/>
      <c r="P325" s="323"/>
      <c r="Q325" s="323"/>
      <c r="R325" s="323"/>
      <c r="S325" s="323"/>
      <c r="T325" s="323"/>
      <c r="U325" s="323"/>
      <c r="V325" s="323"/>
      <c r="W325" s="323"/>
      <c r="X325" s="323"/>
      <c r="Y325" s="323"/>
      <c r="Z325" s="323"/>
      <c r="AA325" s="323"/>
      <c r="AB325" s="323"/>
      <c r="AC325" s="323"/>
      <c r="AD325" s="323"/>
      <c r="AE325" s="323"/>
      <c r="AF325" s="323"/>
      <c r="AG325" s="323"/>
      <c r="AH325" s="323"/>
      <c r="AI325" s="323"/>
      <c r="AJ325" s="323"/>
      <c r="AK325" s="323"/>
      <c r="AL325" s="323"/>
      <c r="AM325" s="323"/>
      <c r="AN325" s="323"/>
      <c r="AO325" s="323"/>
      <c r="AP325" s="323"/>
      <c r="AQ325" s="324"/>
      <c r="AR325" s="327"/>
      <c r="AS325" s="323"/>
      <c r="AT325" s="323"/>
      <c r="AU325" s="323"/>
      <c r="AV325" s="323"/>
      <c r="AW325" s="323"/>
      <c r="AX325" s="323"/>
      <c r="AY325" s="328"/>
    </row>
    <row r="326" spans="1:55" ht="13.5" customHeight="1">
      <c r="A326" s="185">
        <v>12</v>
      </c>
      <c r="B326" s="64" t="s">
        <v>225</v>
      </c>
      <c r="C326" s="63"/>
      <c r="D326" s="63"/>
      <c r="E326" s="63"/>
      <c r="F326" s="63"/>
      <c r="G326" s="63"/>
      <c r="H326" s="63"/>
      <c r="I326" s="63"/>
      <c r="J326" s="98"/>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214"/>
      <c r="AS326" s="63"/>
      <c r="AT326" s="63"/>
      <c r="AU326" s="63"/>
      <c r="AV326" s="63"/>
      <c r="AW326" s="63"/>
      <c r="AX326" s="63"/>
      <c r="AY326" s="186"/>
    </row>
    <row r="327" spans="1:55" ht="13.5" customHeight="1">
      <c r="A327" s="56"/>
      <c r="B327" s="50"/>
      <c r="C327" s="49"/>
      <c r="D327" s="49"/>
      <c r="E327" s="49"/>
      <c r="F327" s="49"/>
      <c r="G327" s="49"/>
      <c r="H327" s="49"/>
      <c r="I327" s="51"/>
      <c r="J327" s="656" t="s">
        <v>704</v>
      </c>
      <c r="K327" s="657"/>
      <c r="L327" s="101" t="s">
        <v>245</v>
      </c>
      <c r="M327" s="102"/>
      <c r="N327" s="103"/>
      <c r="O327" s="102"/>
      <c r="P327" s="102"/>
      <c r="Q327" s="102"/>
      <c r="R327" s="102"/>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51"/>
      <c r="AR327" s="208"/>
      <c r="AS327" s="49"/>
      <c r="AT327" s="49"/>
      <c r="AU327" s="49"/>
      <c r="AV327" s="49"/>
      <c r="AW327" s="49"/>
      <c r="AX327" s="49"/>
      <c r="AY327" s="52"/>
    </row>
    <row r="328" spans="1:55" ht="13.5" customHeight="1">
      <c r="A328" s="56"/>
      <c r="B328" s="50"/>
      <c r="C328" s="49"/>
      <c r="D328" s="49"/>
      <c r="E328" s="49"/>
      <c r="F328" s="49"/>
      <c r="G328" s="49"/>
      <c r="H328" s="49"/>
      <c r="I328" s="51"/>
      <c r="J328" s="302"/>
      <c r="K328" s="303"/>
      <c r="L328" s="101"/>
      <c r="M328" s="102" t="s">
        <v>195</v>
      </c>
      <c r="N328" s="102" t="s">
        <v>472</v>
      </c>
      <c r="O328" s="102"/>
      <c r="P328" s="102"/>
      <c r="Q328" s="102"/>
      <c r="R328" s="102"/>
      <c r="S328" s="49"/>
      <c r="T328" s="49"/>
      <c r="U328" s="49"/>
      <c r="V328" s="49"/>
      <c r="W328" s="49"/>
      <c r="X328" s="49"/>
      <c r="Y328" s="46"/>
      <c r="Z328" s="49"/>
      <c r="AA328" s="49"/>
      <c r="AB328" s="49"/>
      <c r="AC328" s="49"/>
      <c r="AD328" s="49"/>
      <c r="AE328" s="49"/>
      <c r="AF328" s="49"/>
      <c r="AG328" s="49"/>
      <c r="AH328" s="49"/>
      <c r="AI328" s="49"/>
      <c r="AJ328" s="49"/>
      <c r="AK328" s="49"/>
      <c r="AL328" s="49"/>
      <c r="AM328" s="49"/>
      <c r="AN328" s="49"/>
      <c r="AO328" s="49"/>
      <c r="AP328" s="49"/>
      <c r="AQ328" s="51"/>
      <c r="AR328" s="208" t="s">
        <v>254</v>
      </c>
      <c r="AS328" s="49"/>
      <c r="AT328" s="49"/>
      <c r="AU328" s="49"/>
      <c r="AV328" s="49"/>
      <c r="AW328" s="49"/>
      <c r="AX328" s="49"/>
      <c r="AY328" s="52" t="s">
        <v>277</v>
      </c>
    </row>
    <row r="329" spans="1:55" ht="13.5" customHeight="1">
      <c r="A329" s="56"/>
      <c r="B329" s="50"/>
      <c r="C329" s="49"/>
      <c r="D329" s="49"/>
      <c r="E329" s="49"/>
      <c r="F329" s="49"/>
      <c r="G329" s="49"/>
      <c r="H329" s="49"/>
      <c r="I329" s="51"/>
      <c r="J329" s="302"/>
      <c r="K329" s="303"/>
      <c r="L329" s="101"/>
      <c r="M329" s="102"/>
      <c r="N329" s="103" t="s">
        <v>473</v>
      </c>
      <c r="O329" s="102"/>
      <c r="P329" s="102"/>
      <c r="Q329" s="102"/>
      <c r="R329" s="102"/>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51"/>
      <c r="AR329" s="208"/>
      <c r="AS329" s="49"/>
      <c r="AT329" s="49"/>
      <c r="AU329" s="49"/>
      <c r="AV329" s="49"/>
      <c r="AW329" s="49"/>
      <c r="AX329" s="49"/>
      <c r="AY329" s="52" t="s">
        <v>277</v>
      </c>
    </row>
    <row r="330" spans="1:55" ht="13.5" customHeight="1">
      <c r="A330" s="56"/>
      <c r="B330" s="50"/>
      <c r="C330" s="49"/>
      <c r="D330" s="49"/>
      <c r="E330" s="49"/>
      <c r="F330" s="49"/>
      <c r="G330" s="49"/>
      <c r="H330" s="49"/>
      <c r="I330" s="51"/>
      <c r="J330" s="302"/>
      <c r="K330" s="303"/>
      <c r="L330" s="101"/>
      <c r="M330" s="102"/>
      <c r="N330" s="103"/>
      <c r="O330" s="102" t="s">
        <v>768</v>
      </c>
      <c r="P330" s="102"/>
      <c r="Q330" s="102"/>
      <c r="R330" s="102"/>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51"/>
      <c r="AR330" s="208"/>
      <c r="AS330" s="49"/>
      <c r="AT330" s="49"/>
      <c r="AU330" s="49"/>
      <c r="AV330" s="49"/>
      <c r="AW330" s="49"/>
      <c r="AX330" s="49"/>
      <c r="AY330" s="52"/>
    </row>
    <row r="331" spans="1:55" ht="13.5" customHeight="1">
      <c r="A331" s="56"/>
      <c r="B331" s="50"/>
      <c r="C331" s="49"/>
      <c r="D331" s="49"/>
      <c r="E331" s="49"/>
      <c r="F331" s="49"/>
      <c r="G331" s="49"/>
      <c r="H331" s="49"/>
      <c r="I331" s="51"/>
      <c r="J331" s="302"/>
      <c r="K331" s="303"/>
      <c r="L331" s="101"/>
      <c r="M331" s="102"/>
      <c r="N331" s="103"/>
      <c r="O331" s="102" t="s">
        <v>767</v>
      </c>
      <c r="P331" s="102"/>
      <c r="Q331" s="102"/>
      <c r="R331" s="102"/>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51"/>
      <c r="AR331" s="208"/>
      <c r="AS331" s="49"/>
      <c r="AT331" s="49"/>
      <c r="AU331" s="49"/>
      <c r="AV331" s="49"/>
      <c r="AW331" s="49"/>
      <c r="AX331" s="49"/>
      <c r="AY331" s="52"/>
    </row>
    <row r="332" spans="1:55" ht="13.5" customHeight="1">
      <c r="A332" s="56"/>
      <c r="B332" s="50"/>
      <c r="C332" s="49"/>
      <c r="D332" s="49"/>
      <c r="E332" s="49"/>
      <c r="F332" s="49"/>
      <c r="G332" s="49"/>
      <c r="H332" s="49"/>
      <c r="I332" s="51"/>
      <c r="J332" s="302"/>
      <c r="K332" s="303"/>
      <c r="L332" s="101"/>
      <c r="M332" s="102"/>
      <c r="N332" s="103"/>
      <c r="O332" s="102"/>
      <c r="P332" s="102"/>
      <c r="Q332" s="102"/>
      <c r="R332" s="102"/>
      <c r="S332" s="49"/>
      <c r="T332" s="49"/>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51"/>
      <c r="AR332" s="208"/>
      <c r="AS332" s="49"/>
      <c r="AT332" s="49"/>
      <c r="AU332" s="49"/>
      <c r="AV332" s="49"/>
      <c r="AW332" s="49"/>
      <c r="AX332" s="49"/>
      <c r="AY332" s="52"/>
    </row>
    <row r="333" spans="1:55" ht="13.5" customHeight="1">
      <c r="A333" s="56"/>
      <c r="B333" s="50"/>
      <c r="C333" s="49"/>
      <c r="D333" s="49"/>
      <c r="E333" s="49"/>
      <c r="F333" s="49"/>
      <c r="G333" s="49"/>
      <c r="H333" s="49"/>
      <c r="I333" s="51"/>
      <c r="J333" s="302"/>
      <c r="K333" s="303"/>
      <c r="L333" s="101" t="s">
        <v>271</v>
      </c>
      <c r="M333" s="102"/>
      <c r="N333" s="103"/>
      <c r="O333" s="102"/>
      <c r="P333" s="102"/>
      <c r="Q333" s="102"/>
      <c r="R333" s="102"/>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51"/>
      <c r="AR333" s="208" t="s">
        <v>57</v>
      </c>
      <c r="AS333" s="49"/>
      <c r="AT333" s="49"/>
      <c r="AU333" s="49"/>
      <c r="AV333" s="49"/>
      <c r="AW333" s="49"/>
      <c r="AX333" s="49"/>
      <c r="AY333" s="52"/>
    </row>
    <row r="334" spans="1:55" ht="13.5" customHeight="1">
      <c r="A334" s="56"/>
      <c r="B334" s="50"/>
      <c r="C334" s="49"/>
      <c r="D334" s="49"/>
      <c r="E334" s="49"/>
      <c r="F334" s="49"/>
      <c r="G334" s="49"/>
      <c r="H334" s="49"/>
      <c r="I334" s="51"/>
      <c r="J334" s="302"/>
      <c r="K334" s="303"/>
      <c r="L334" s="101"/>
      <c r="M334" s="102"/>
      <c r="N334" s="103"/>
      <c r="O334" s="102"/>
      <c r="P334" s="102"/>
      <c r="Q334" s="102"/>
      <c r="R334" s="102"/>
      <c r="S334" s="49"/>
      <c r="T334" s="49"/>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51"/>
      <c r="AR334" s="208" t="s">
        <v>246</v>
      </c>
      <c r="AS334" s="49"/>
      <c r="AT334" s="49"/>
      <c r="AU334" s="49"/>
      <c r="AV334" s="49"/>
      <c r="AW334" s="49"/>
      <c r="AX334" s="49"/>
      <c r="AY334" s="52"/>
    </row>
    <row r="335" spans="1:55" ht="13.5" customHeight="1">
      <c r="A335" s="56"/>
      <c r="B335" s="50"/>
      <c r="C335" s="49"/>
      <c r="D335" s="49"/>
      <c r="E335" s="49"/>
      <c r="F335" s="49"/>
      <c r="G335" s="49"/>
      <c r="H335" s="49"/>
      <c r="I335" s="51"/>
      <c r="J335" s="375"/>
      <c r="K335" s="376"/>
      <c r="L335" s="101" t="s">
        <v>956</v>
      </c>
      <c r="M335" s="102"/>
      <c r="N335" s="103"/>
      <c r="O335" s="102"/>
      <c r="P335" s="102"/>
      <c r="Q335" s="102"/>
      <c r="R335" s="102"/>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51"/>
      <c r="AR335" s="208"/>
      <c r="AS335" s="49"/>
      <c r="AT335" s="49"/>
      <c r="AU335" s="49"/>
      <c r="AV335" s="49"/>
      <c r="AW335" s="49"/>
      <c r="AX335" s="49"/>
      <c r="AY335" s="52"/>
      <c r="BC335" s="38">
        <v>2.1</v>
      </c>
    </row>
    <row r="336" spans="1:55" ht="13.5" customHeight="1">
      <c r="A336" s="61"/>
      <c r="B336" s="58"/>
      <c r="C336" s="57"/>
      <c r="D336" s="57"/>
      <c r="E336" s="57"/>
      <c r="F336" s="57"/>
      <c r="G336" s="57"/>
      <c r="H336" s="57"/>
      <c r="I336" s="59"/>
      <c r="J336" s="658"/>
      <c r="K336" s="659"/>
      <c r="L336" s="58"/>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9"/>
      <c r="AR336" s="192"/>
      <c r="AS336" s="57"/>
      <c r="AT336" s="57"/>
      <c r="AU336" s="57"/>
      <c r="AV336" s="57"/>
      <c r="AW336" s="57"/>
      <c r="AX336" s="57"/>
      <c r="AY336" s="60"/>
    </row>
    <row r="337" spans="1:52" ht="13" customHeight="1">
      <c r="A337" s="185">
        <v>13</v>
      </c>
      <c r="B337" s="64" t="s">
        <v>213</v>
      </c>
      <c r="C337" s="63"/>
      <c r="D337" s="63"/>
      <c r="E337" s="63"/>
      <c r="F337" s="63"/>
      <c r="G337" s="63"/>
      <c r="H337" s="63"/>
      <c r="I337" s="63"/>
      <c r="J337" s="98"/>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214"/>
      <c r="AS337" s="63"/>
      <c r="AT337" s="63"/>
      <c r="AU337" s="63"/>
      <c r="AV337" s="63"/>
      <c r="AW337" s="63"/>
      <c r="AX337" s="63"/>
      <c r="AY337" s="186" t="s">
        <v>215</v>
      </c>
    </row>
    <row r="338" spans="1:52" ht="13.5" customHeight="1">
      <c r="A338" s="56"/>
      <c r="B338" s="50"/>
      <c r="C338" s="49"/>
      <c r="D338" s="49"/>
      <c r="E338" s="49"/>
      <c r="F338" s="49"/>
      <c r="G338" s="49"/>
      <c r="H338" s="49"/>
      <c r="I338" s="51"/>
      <c r="J338" s="656" t="s">
        <v>705</v>
      </c>
      <c r="K338" s="657"/>
      <c r="L338" s="101" t="s">
        <v>214</v>
      </c>
      <c r="M338" s="102"/>
      <c r="N338" s="103"/>
      <c r="O338" s="102"/>
      <c r="P338" s="102"/>
      <c r="Q338" s="102"/>
      <c r="R338" s="102"/>
      <c r="S338" s="49"/>
      <c r="T338" s="49"/>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51"/>
      <c r="AR338" s="208"/>
      <c r="AS338" s="49"/>
      <c r="AT338" s="49"/>
      <c r="AU338" s="49"/>
      <c r="AV338" s="49"/>
      <c r="AW338" s="49"/>
      <c r="AX338" s="49"/>
      <c r="AY338" s="52"/>
    </row>
    <row r="339" spans="1:52" ht="13.5" customHeight="1">
      <c r="A339" s="56"/>
      <c r="B339" s="50"/>
      <c r="C339" s="49"/>
      <c r="D339" s="49"/>
      <c r="E339" s="49"/>
      <c r="F339" s="49"/>
      <c r="G339" s="49"/>
      <c r="H339" s="49"/>
      <c r="I339" s="51"/>
      <c r="J339" s="302"/>
      <c r="K339" s="303"/>
      <c r="L339" s="101"/>
      <c r="M339" s="102" t="s">
        <v>752</v>
      </c>
      <c r="N339" s="102"/>
      <c r="O339" s="102"/>
      <c r="P339" s="102"/>
      <c r="Q339" s="102"/>
      <c r="R339" s="102"/>
      <c r="S339" s="49"/>
      <c r="T339" s="49"/>
      <c r="U339" s="49"/>
      <c r="V339" s="49"/>
      <c r="W339" s="49"/>
      <c r="X339" s="49"/>
      <c r="Y339" s="46"/>
      <c r="Z339" s="49"/>
      <c r="AA339" s="49"/>
      <c r="AB339" s="49"/>
      <c r="AC339" s="49"/>
      <c r="AD339" s="49"/>
      <c r="AE339" s="49"/>
      <c r="AF339" s="49"/>
      <c r="AG339" s="49"/>
      <c r="AH339" s="49"/>
      <c r="AI339" s="49"/>
      <c r="AJ339" s="49"/>
      <c r="AK339" s="49"/>
      <c r="AL339" s="49"/>
      <c r="AM339" s="49"/>
      <c r="AN339" s="49"/>
      <c r="AO339" s="49"/>
      <c r="AP339" s="49"/>
      <c r="AQ339" s="51"/>
      <c r="AR339" s="208"/>
      <c r="AS339" s="49"/>
      <c r="AT339" s="49"/>
      <c r="AU339" s="49"/>
      <c r="AV339" s="49"/>
      <c r="AW339" s="49"/>
      <c r="AX339" s="49"/>
      <c r="AY339" s="52"/>
      <c r="AZ339" s="299">
        <v>0.11</v>
      </c>
    </row>
    <row r="340" spans="1:52" ht="13.5" customHeight="1">
      <c r="A340" s="61"/>
      <c r="B340" s="58"/>
      <c r="C340" s="57"/>
      <c r="D340" s="57"/>
      <c r="E340" s="57"/>
      <c r="F340" s="57"/>
      <c r="G340" s="57"/>
      <c r="H340" s="57"/>
      <c r="I340" s="59"/>
      <c r="J340" s="304"/>
      <c r="K340" s="305"/>
      <c r="L340" s="58"/>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9"/>
      <c r="AR340" s="192"/>
      <c r="AS340" s="57"/>
      <c r="AT340" s="57"/>
      <c r="AU340" s="57"/>
      <c r="AV340" s="57"/>
      <c r="AW340" s="57"/>
      <c r="AX340" s="57"/>
      <c r="AY340" s="60"/>
    </row>
    <row r="341" spans="1:52" ht="13.5" customHeight="1">
      <c r="A341" s="185">
        <v>14</v>
      </c>
      <c r="B341" s="64" t="s">
        <v>263</v>
      </c>
      <c r="C341" s="63"/>
      <c r="D341" s="63"/>
      <c r="E341" s="63"/>
      <c r="F341" s="63"/>
      <c r="G341" s="63"/>
      <c r="H341" s="63"/>
      <c r="I341" s="63"/>
      <c r="J341" s="98"/>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214"/>
      <c r="AS341" s="63"/>
      <c r="AT341" s="63"/>
      <c r="AU341" s="63"/>
      <c r="AV341" s="63"/>
      <c r="AW341" s="63"/>
      <c r="AX341" s="63"/>
      <c r="AY341" s="184"/>
    </row>
    <row r="342" spans="1:52" ht="13.5" customHeight="1">
      <c r="A342" s="56"/>
      <c r="B342" s="50"/>
      <c r="C342" s="49"/>
      <c r="D342" s="49"/>
      <c r="E342" s="49"/>
      <c r="F342" s="49"/>
      <c r="G342" s="49"/>
      <c r="H342" s="49"/>
      <c r="I342" s="51"/>
      <c r="J342" s="656" t="s">
        <v>705</v>
      </c>
      <c r="K342" s="657"/>
      <c r="L342" s="50" t="s">
        <v>267</v>
      </c>
      <c r="M342" s="49"/>
      <c r="N342" s="49"/>
      <c r="O342" s="49"/>
      <c r="P342" s="49"/>
      <c r="Q342" s="49"/>
      <c r="R342" s="49"/>
      <c r="S342" s="49"/>
      <c r="T342" s="49"/>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51"/>
      <c r="AR342" s="208"/>
      <c r="AS342" s="49"/>
      <c r="AT342" s="49"/>
      <c r="AU342" s="49"/>
      <c r="AV342" s="49"/>
      <c r="AW342" s="49"/>
      <c r="AX342" s="49"/>
      <c r="AY342" s="52"/>
    </row>
    <row r="343" spans="1:52" ht="13.5" customHeight="1">
      <c r="A343" s="56"/>
      <c r="B343" s="50"/>
      <c r="C343" s="49"/>
      <c r="D343" s="49"/>
      <c r="E343" s="49"/>
      <c r="F343" s="49"/>
      <c r="G343" s="49"/>
      <c r="H343" s="49"/>
      <c r="I343" s="51"/>
      <c r="J343" s="656"/>
      <c r="K343" s="657"/>
      <c r="L343" s="50"/>
      <c r="M343" s="49"/>
      <c r="N343" s="49"/>
      <c r="O343" s="49"/>
      <c r="P343" s="49"/>
      <c r="Q343" s="49"/>
      <c r="R343" s="49"/>
      <c r="S343" s="49"/>
      <c r="T343" s="49"/>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51"/>
      <c r="AR343" s="208"/>
      <c r="AS343" s="49"/>
      <c r="AT343" s="49"/>
      <c r="AU343" s="49"/>
      <c r="AV343" s="49"/>
      <c r="AW343" s="49"/>
      <c r="AX343" s="49"/>
      <c r="AY343" s="52"/>
    </row>
    <row r="344" spans="1:52" ht="13.5" customHeight="1">
      <c r="A344" s="99">
        <v>15</v>
      </c>
      <c r="B344" s="53" t="s">
        <v>264</v>
      </c>
      <c r="C344" s="54"/>
      <c r="D344" s="54"/>
      <c r="E344" s="54"/>
      <c r="F344" s="54"/>
      <c r="G344" s="54"/>
      <c r="H344" s="54"/>
      <c r="I344" s="54"/>
      <c r="J344" s="41"/>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c r="AL344" s="54"/>
      <c r="AM344" s="54"/>
      <c r="AN344" s="54"/>
      <c r="AO344" s="54"/>
      <c r="AP344" s="54"/>
      <c r="AQ344" s="54"/>
      <c r="AR344" s="212"/>
      <c r="AS344" s="54"/>
      <c r="AT344" s="54"/>
      <c r="AU344" s="54"/>
      <c r="AV344" s="54"/>
      <c r="AW344" s="54"/>
      <c r="AX344" s="54"/>
      <c r="AY344" s="55"/>
    </row>
    <row r="345" spans="1:52" ht="13.5" customHeight="1">
      <c r="A345" s="56"/>
      <c r="B345" s="50"/>
      <c r="C345" s="49"/>
      <c r="D345" s="49"/>
      <c r="E345" s="49"/>
      <c r="F345" s="49"/>
      <c r="G345" s="49"/>
      <c r="H345" s="49"/>
      <c r="I345" s="51"/>
      <c r="J345" s="656" t="s">
        <v>705</v>
      </c>
      <c r="K345" s="657"/>
      <c r="L345" s="50" t="s">
        <v>268</v>
      </c>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51"/>
      <c r="AR345" s="208"/>
      <c r="AS345" s="49"/>
      <c r="AT345" s="49"/>
      <c r="AU345" s="49"/>
      <c r="AV345" s="49"/>
      <c r="AW345" s="49"/>
      <c r="AX345" s="49"/>
      <c r="AY345" s="52"/>
    </row>
    <row r="346" spans="1:52" ht="13.5" customHeight="1">
      <c r="A346" s="61"/>
      <c r="B346" s="58"/>
      <c r="C346" s="57"/>
      <c r="D346" s="57"/>
      <c r="E346" s="57"/>
      <c r="F346" s="57"/>
      <c r="G346" s="57"/>
      <c r="H346" s="57"/>
      <c r="I346" s="59"/>
      <c r="J346" s="658"/>
      <c r="K346" s="659"/>
      <c r="L346" s="58"/>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9"/>
      <c r="AR346" s="192"/>
      <c r="AS346" s="57"/>
      <c r="AT346" s="57"/>
      <c r="AU346" s="57"/>
      <c r="AV346" s="57"/>
      <c r="AW346" s="57"/>
      <c r="AX346" s="57"/>
      <c r="AY346" s="60"/>
    </row>
    <row r="347" spans="1:52" ht="13.5" customHeight="1">
      <c r="A347" s="185">
        <v>16</v>
      </c>
      <c r="B347" s="64" t="s">
        <v>265</v>
      </c>
      <c r="C347" s="63"/>
      <c r="D347" s="63"/>
      <c r="E347" s="63"/>
      <c r="F347" s="63"/>
      <c r="G347" s="63"/>
      <c r="H347" s="63"/>
      <c r="I347" s="63"/>
      <c r="J347" s="98"/>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214"/>
      <c r="AS347" s="63"/>
      <c r="AT347" s="63"/>
      <c r="AU347" s="63"/>
      <c r="AV347" s="63"/>
      <c r="AW347" s="63"/>
      <c r="AX347" s="63"/>
      <c r="AY347" s="184"/>
    </row>
    <row r="348" spans="1:52" ht="13.5" customHeight="1">
      <c r="A348" s="56"/>
      <c r="B348" s="50"/>
      <c r="C348" s="49"/>
      <c r="D348" s="49"/>
      <c r="E348" s="49"/>
      <c r="F348" s="49"/>
      <c r="G348" s="49"/>
      <c r="H348" s="49"/>
      <c r="I348" s="51"/>
      <c r="J348" s="656" t="s">
        <v>705</v>
      </c>
      <c r="K348" s="657"/>
      <c r="L348" s="50" t="s">
        <v>269</v>
      </c>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51"/>
      <c r="AR348" s="208"/>
      <c r="AS348" s="49"/>
      <c r="AT348" s="49"/>
      <c r="AU348" s="49"/>
      <c r="AV348" s="49"/>
      <c r="AW348" s="49"/>
      <c r="AX348" s="49"/>
      <c r="AY348" s="52"/>
    </row>
    <row r="349" spans="1:52" ht="13.5" customHeight="1">
      <c r="A349" s="56"/>
      <c r="B349" s="50"/>
      <c r="C349" s="49"/>
      <c r="D349" s="49"/>
      <c r="E349" s="49"/>
      <c r="F349" s="49"/>
      <c r="G349" s="49"/>
      <c r="H349" s="49"/>
      <c r="I349" s="51"/>
      <c r="J349" s="656"/>
      <c r="K349" s="657"/>
      <c r="L349" s="50"/>
      <c r="M349" s="49"/>
      <c r="N349" s="49"/>
      <c r="O349" s="49"/>
      <c r="P349" s="49"/>
      <c r="Q349" s="49"/>
      <c r="R349" s="49"/>
      <c r="S349" s="49"/>
      <c r="T349" s="49"/>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51"/>
      <c r="AR349" s="208"/>
      <c r="AS349" s="49"/>
      <c r="AT349" s="49"/>
      <c r="AU349" s="49"/>
      <c r="AV349" s="49"/>
      <c r="AW349" s="49"/>
      <c r="AX349" s="49"/>
      <c r="AY349" s="52"/>
    </row>
    <row r="350" spans="1:52" ht="13.5" customHeight="1">
      <c r="A350" s="99">
        <v>17</v>
      </c>
      <c r="B350" s="53" t="s">
        <v>266</v>
      </c>
      <c r="C350" s="54"/>
      <c r="D350" s="54"/>
      <c r="E350" s="54"/>
      <c r="F350" s="54"/>
      <c r="G350" s="54"/>
      <c r="H350" s="54"/>
      <c r="I350" s="54"/>
      <c r="J350" s="41"/>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c r="AL350" s="54"/>
      <c r="AM350" s="54"/>
      <c r="AN350" s="54"/>
      <c r="AO350" s="54"/>
      <c r="AP350" s="54"/>
      <c r="AQ350" s="54"/>
      <c r="AR350" s="212"/>
      <c r="AS350" s="54"/>
      <c r="AT350" s="54"/>
      <c r="AU350" s="54"/>
      <c r="AV350" s="54"/>
      <c r="AW350" s="54"/>
      <c r="AX350" s="54"/>
      <c r="AY350" s="55"/>
    </row>
    <row r="351" spans="1:52" ht="13.5" customHeight="1">
      <c r="A351" s="56"/>
      <c r="B351" s="50"/>
      <c r="C351" s="49"/>
      <c r="D351" s="49"/>
      <c r="E351" s="49"/>
      <c r="F351" s="49"/>
      <c r="G351" s="49"/>
      <c r="H351" s="49"/>
      <c r="I351" s="51"/>
      <c r="J351" s="656" t="s">
        <v>705</v>
      </c>
      <c r="K351" s="657"/>
      <c r="L351" s="50" t="s">
        <v>270</v>
      </c>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51"/>
      <c r="AR351" s="208"/>
      <c r="AS351" s="49"/>
      <c r="AT351" s="49"/>
      <c r="AU351" s="49"/>
      <c r="AV351" s="49"/>
      <c r="AW351" s="49"/>
      <c r="AX351" s="49"/>
      <c r="AY351" s="52"/>
    </row>
    <row r="352" spans="1:52" ht="13.5" customHeight="1">
      <c r="A352" s="56"/>
      <c r="B352" s="50"/>
      <c r="C352" s="49"/>
      <c r="D352" s="49"/>
      <c r="E352" s="49"/>
      <c r="F352" s="49"/>
      <c r="G352" s="49"/>
      <c r="H352" s="49"/>
      <c r="I352" s="51"/>
      <c r="J352" s="302"/>
      <c r="K352" s="303"/>
      <c r="L352" s="50"/>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51"/>
      <c r="AR352" s="208"/>
      <c r="AS352" s="49"/>
      <c r="AT352" s="49"/>
      <c r="AU352" s="49"/>
      <c r="AV352" s="49"/>
      <c r="AW352" s="49"/>
      <c r="AX352" s="49"/>
      <c r="AY352" s="52"/>
    </row>
    <row r="353" spans="1:53" ht="13.5" customHeight="1">
      <c r="A353" s="99">
        <v>18</v>
      </c>
      <c r="B353" s="53" t="s">
        <v>715</v>
      </c>
      <c r="C353" s="54"/>
      <c r="D353" s="54"/>
      <c r="E353" s="54"/>
      <c r="F353" s="54"/>
      <c r="G353" s="54"/>
      <c r="H353" s="54"/>
      <c r="I353" s="54"/>
      <c r="J353" s="41"/>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c r="AL353" s="54"/>
      <c r="AM353" s="54"/>
      <c r="AN353" s="54"/>
      <c r="AO353" s="54"/>
      <c r="AP353" s="54"/>
      <c r="AQ353" s="54"/>
      <c r="AR353" s="212"/>
      <c r="AS353" s="54"/>
      <c r="AT353" s="54"/>
      <c r="AU353" s="54"/>
      <c r="AV353" s="54"/>
      <c r="AW353" s="54"/>
      <c r="AX353" s="54"/>
      <c r="AY353" s="55"/>
      <c r="AZ353" s="299">
        <v>0.11</v>
      </c>
    </row>
    <row r="354" spans="1:53" ht="13.5" customHeight="1">
      <c r="A354" s="62"/>
      <c r="B354" s="50"/>
      <c r="C354" s="49"/>
      <c r="D354" s="49"/>
      <c r="E354" s="49"/>
      <c r="F354" s="49"/>
      <c r="G354" s="49"/>
      <c r="H354" s="49"/>
      <c r="I354" s="51"/>
      <c r="J354" s="717" t="s">
        <v>705</v>
      </c>
      <c r="K354" s="718"/>
      <c r="L354" s="50" t="s">
        <v>716</v>
      </c>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51"/>
      <c r="AR354" s="49"/>
      <c r="AS354" s="49"/>
      <c r="AT354" s="49"/>
      <c r="AU354" s="49"/>
      <c r="AV354" s="49"/>
      <c r="AW354" s="49"/>
      <c r="AX354" s="49"/>
      <c r="AY354" s="52"/>
      <c r="AZ354" s="299">
        <v>0.11</v>
      </c>
      <c r="BA354" s="294"/>
    </row>
    <row r="355" spans="1:53" ht="13.5" customHeight="1">
      <c r="A355" s="62"/>
      <c r="B355" s="50"/>
      <c r="C355" s="49"/>
      <c r="D355" s="49"/>
      <c r="E355" s="49"/>
      <c r="F355" s="49"/>
      <c r="G355" s="49"/>
      <c r="H355" s="49"/>
      <c r="I355" s="51"/>
      <c r="J355" s="302"/>
      <c r="K355" s="303"/>
      <c r="L355" s="50"/>
      <c r="M355" s="49" t="s">
        <v>717</v>
      </c>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51"/>
      <c r="AR355" s="49"/>
      <c r="AS355" s="49"/>
      <c r="AT355" s="49"/>
      <c r="AU355" s="49"/>
      <c r="AV355" s="49"/>
      <c r="AW355" s="49"/>
      <c r="AX355" s="49"/>
      <c r="AY355" s="52"/>
      <c r="AZ355" s="299">
        <v>0.11</v>
      </c>
      <c r="BA355" s="294"/>
    </row>
    <row r="356" spans="1:53" ht="13.5" customHeight="1">
      <c r="A356" s="62"/>
      <c r="B356" s="50"/>
      <c r="C356" s="49"/>
      <c r="D356" s="49"/>
      <c r="E356" s="49"/>
      <c r="F356" s="49"/>
      <c r="G356" s="49"/>
      <c r="H356" s="49"/>
      <c r="I356" s="51"/>
      <c r="J356" s="302"/>
      <c r="K356" s="303"/>
      <c r="L356" s="50"/>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51"/>
      <c r="AR356" s="49"/>
      <c r="AS356" s="49"/>
      <c r="AT356" s="49"/>
      <c r="AU356" s="49"/>
      <c r="AV356" s="49"/>
      <c r="AW356" s="49"/>
      <c r="AX356" s="49"/>
      <c r="AY356" s="52"/>
      <c r="AZ356" s="299">
        <v>0.11</v>
      </c>
      <c r="BA356" s="294"/>
    </row>
    <row r="357" spans="1:53" ht="13.5" customHeight="1">
      <c r="A357" s="62"/>
      <c r="B357" s="50"/>
      <c r="C357" s="49"/>
      <c r="D357" s="49"/>
      <c r="E357" s="49"/>
      <c r="F357" s="49"/>
      <c r="G357" s="49"/>
      <c r="H357" s="49"/>
      <c r="I357" s="51"/>
      <c r="J357" s="302"/>
      <c r="K357" s="303"/>
      <c r="L357" s="50"/>
      <c r="M357" s="156"/>
      <c r="N357" s="49"/>
      <c r="O357" s="49"/>
      <c r="P357" s="49"/>
      <c r="Q357" s="49"/>
      <c r="R357" s="49"/>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51"/>
      <c r="AR357" s="49"/>
      <c r="AS357" s="49"/>
      <c r="AT357" s="49"/>
      <c r="AU357" s="49"/>
      <c r="AV357" s="49"/>
      <c r="AW357" s="49"/>
      <c r="AX357" s="49"/>
      <c r="AY357" s="52"/>
      <c r="AZ357" s="299">
        <v>0.11</v>
      </c>
      <c r="BA357" s="294"/>
    </row>
    <row r="358" spans="1:53" ht="13.5" customHeight="1">
      <c r="A358" s="62"/>
      <c r="B358" s="295"/>
      <c r="C358" s="320"/>
      <c r="D358" s="320"/>
      <c r="E358" s="49"/>
      <c r="F358" s="49"/>
      <c r="G358" s="49"/>
      <c r="H358" s="49"/>
      <c r="I358" s="51"/>
      <c r="J358" s="717" t="s">
        <v>56</v>
      </c>
      <c r="K358" s="718"/>
      <c r="L358" s="152" t="s">
        <v>718</v>
      </c>
      <c r="M358" s="296"/>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5"/>
      <c r="AR358" s="284"/>
      <c r="AS358" s="284"/>
      <c r="AT358" s="284"/>
      <c r="AU358" s="284"/>
      <c r="AV358" s="284"/>
      <c r="AW358" s="284"/>
      <c r="AX358" s="284"/>
      <c r="AY358" s="287"/>
      <c r="AZ358" s="299">
        <v>0.11</v>
      </c>
      <c r="BA358" s="294"/>
    </row>
    <row r="359" spans="1:53" ht="13.5" customHeight="1">
      <c r="A359" s="62"/>
      <c r="B359" s="295"/>
      <c r="C359" s="320"/>
      <c r="D359" s="320"/>
      <c r="E359" s="49"/>
      <c r="F359" s="49"/>
      <c r="G359" s="49"/>
      <c r="H359" s="49"/>
      <c r="I359" s="51"/>
      <c r="J359" s="302"/>
      <c r="K359" s="303"/>
      <c r="L359" s="50"/>
      <c r="M359" s="297" t="s">
        <v>719</v>
      </c>
      <c r="N359" s="49"/>
      <c r="O359" s="49"/>
      <c r="P359" s="49"/>
      <c r="Q359" s="49"/>
      <c r="R359" s="49"/>
      <c r="S359" s="49"/>
      <c r="T359" s="49"/>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51"/>
      <c r="AR359" s="49"/>
      <c r="AS359" s="49"/>
      <c r="AT359" s="49"/>
      <c r="AU359" s="49"/>
      <c r="AV359" s="49"/>
      <c r="AW359" s="49"/>
      <c r="AX359" s="49"/>
      <c r="AY359" s="52"/>
      <c r="AZ359" s="299">
        <v>0.11</v>
      </c>
      <c r="BA359" s="294"/>
    </row>
    <row r="360" spans="1:53" ht="13.5" customHeight="1">
      <c r="A360" s="62"/>
      <c r="B360" s="295"/>
      <c r="C360" s="320"/>
      <c r="D360" s="320"/>
      <c r="E360" s="49"/>
      <c r="F360" s="49"/>
      <c r="G360" s="49"/>
      <c r="H360" s="49"/>
      <c r="I360" s="51"/>
      <c r="J360" s="302"/>
      <c r="K360" s="303"/>
      <c r="L360" s="50"/>
      <c r="M360" s="156"/>
      <c r="N360" s="297" t="s">
        <v>109</v>
      </c>
      <c r="O360" s="49" t="s">
        <v>720</v>
      </c>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51"/>
      <c r="AR360" s="49"/>
      <c r="AS360" s="49"/>
      <c r="AT360" s="49"/>
      <c r="AU360" s="49"/>
      <c r="AV360" s="49"/>
      <c r="AW360" s="49"/>
      <c r="AX360" s="49"/>
      <c r="AY360" s="52"/>
      <c r="AZ360" s="299">
        <v>0.11</v>
      </c>
      <c r="BA360" s="294"/>
    </row>
    <row r="361" spans="1:53" ht="13.5" customHeight="1">
      <c r="A361" s="62"/>
      <c r="B361" s="50"/>
      <c r="C361" s="49"/>
      <c r="D361" s="49"/>
      <c r="E361" s="49"/>
      <c r="F361" s="49"/>
      <c r="G361" s="49"/>
      <c r="H361" s="49"/>
      <c r="I361" s="51"/>
      <c r="J361" s="302"/>
      <c r="K361" s="303"/>
      <c r="L361" s="50"/>
      <c r="M361" s="156"/>
      <c r="N361" s="156" t="s">
        <v>421</v>
      </c>
      <c r="O361" s="49" t="s">
        <v>721</v>
      </c>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51"/>
      <c r="AR361" s="49"/>
      <c r="AS361" s="49"/>
      <c r="AT361" s="49"/>
      <c r="AU361" s="49"/>
      <c r="AV361" s="49"/>
      <c r="AW361" s="49"/>
      <c r="AX361" s="49"/>
      <c r="AY361" s="52"/>
      <c r="AZ361" s="299">
        <v>0.11</v>
      </c>
      <c r="BA361" s="294"/>
    </row>
    <row r="362" spans="1:53" ht="13.5" customHeight="1">
      <c r="A362" s="62"/>
      <c r="B362" s="50"/>
      <c r="C362" s="49"/>
      <c r="D362" s="49"/>
      <c r="E362" s="49"/>
      <c r="F362" s="49"/>
      <c r="G362" s="49"/>
      <c r="H362" s="49"/>
      <c r="I362" s="51"/>
      <c r="J362" s="302"/>
      <c r="K362" s="303"/>
      <c r="L362" s="50"/>
      <c r="M362" s="297"/>
      <c r="N362" s="156" t="s">
        <v>196</v>
      </c>
      <c r="O362" s="49" t="s">
        <v>722</v>
      </c>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51"/>
      <c r="AR362" s="49"/>
      <c r="AS362" s="49"/>
      <c r="AT362" s="49"/>
      <c r="AU362" s="49"/>
      <c r="AV362" s="49"/>
      <c r="AW362" s="49"/>
      <c r="AX362" s="49"/>
      <c r="AY362" s="52"/>
      <c r="AZ362" s="299">
        <v>0.11</v>
      </c>
      <c r="BA362" s="294"/>
    </row>
    <row r="363" spans="1:53" ht="13.5" customHeight="1" thickBot="1">
      <c r="A363" s="321"/>
      <c r="B363" s="322"/>
      <c r="C363" s="323"/>
      <c r="D363" s="323"/>
      <c r="E363" s="323"/>
      <c r="F363" s="323"/>
      <c r="G363" s="323"/>
      <c r="H363" s="323"/>
      <c r="I363" s="324"/>
      <c r="J363" s="325"/>
      <c r="K363" s="326"/>
      <c r="L363" s="322"/>
      <c r="M363" s="323"/>
      <c r="N363" s="323"/>
      <c r="O363" s="323"/>
      <c r="P363" s="323"/>
      <c r="Q363" s="323"/>
      <c r="R363" s="323"/>
      <c r="S363" s="323"/>
      <c r="T363" s="323"/>
      <c r="U363" s="323"/>
      <c r="V363" s="323"/>
      <c r="W363" s="323"/>
      <c r="X363" s="323"/>
      <c r="Y363" s="323"/>
      <c r="Z363" s="323"/>
      <c r="AA363" s="323"/>
      <c r="AB363" s="323"/>
      <c r="AC363" s="323"/>
      <c r="AD363" s="323"/>
      <c r="AE363" s="323"/>
      <c r="AF363" s="323"/>
      <c r="AG363" s="323"/>
      <c r="AH363" s="323"/>
      <c r="AI363" s="323"/>
      <c r="AJ363" s="323"/>
      <c r="AK363" s="323"/>
      <c r="AL363" s="323"/>
      <c r="AM363" s="323"/>
      <c r="AN363" s="323"/>
      <c r="AO363" s="323"/>
      <c r="AP363" s="323"/>
      <c r="AQ363" s="324"/>
      <c r="AR363" s="327"/>
      <c r="AS363" s="323"/>
      <c r="AT363" s="323"/>
      <c r="AU363" s="323"/>
      <c r="AV363" s="323"/>
      <c r="AW363" s="323"/>
      <c r="AX363" s="323"/>
      <c r="AY363" s="328"/>
    </row>
  </sheetData>
  <mergeCells count="71">
    <mergeCell ref="J345:K345"/>
    <mergeCell ref="J346:K346"/>
    <mergeCell ref="J348:K348"/>
    <mergeCell ref="J354:K354"/>
    <mergeCell ref="J358:K358"/>
    <mergeCell ref="J349:K349"/>
    <mergeCell ref="J351:K351"/>
    <mergeCell ref="J342:K342"/>
    <mergeCell ref="J343:K343"/>
    <mergeCell ref="J161:K161"/>
    <mergeCell ref="J239:K239"/>
    <mergeCell ref="J295:K295"/>
    <mergeCell ref="J227:K227"/>
    <mergeCell ref="J237:K237"/>
    <mergeCell ref="J336:K336"/>
    <mergeCell ref="J338:K338"/>
    <mergeCell ref="J297:K297"/>
    <mergeCell ref="J317:K317"/>
    <mergeCell ref="J325:K325"/>
    <mergeCell ref="J327:K327"/>
    <mergeCell ref="A1:E3"/>
    <mergeCell ref="F1:J3"/>
    <mergeCell ref="J129:K129"/>
    <mergeCell ref="J123:K123"/>
    <mergeCell ref="J124:K124"/>
    <mergeCell ref="J5:K5"/>
    <mergeCell ref="J86:K86"/>
    <mergeCell ref="J7:K7"/>
    <mergeCell ref="J9:K9"/>
    <mergeCell ref="J11:K11"/>
    <mergeCell ref="K2:N3"/>
    <mergeCell ref="K1:N1"/>
    <mergeCell ref="J89:K89"/>
    <mergeCell ref="J90:K90"/>
    <mergeCell ref="J91:K91"/>
    <mergeCell ref="AV1:AY1"/>
    <mergeCell ref="AR2:AU2"/>
    <mergeCell ref="AV2:AY3"/>
    <mergeCell ref="AI1:AK1"/>
    <mergeCell ref="AL1:AN1"/>
    <mergeCell ref="AL2:AN2"/>
    <mergeCell ref="AO2:AQ2"/>
    <mergeCell ref="AO3:AQ3"/>
    <mergeCell ref="AR3:AU3"/>
    <mergeCell ref="AO1:AQ1"/>
    <mergeCell ref="AR1:AU1"/>
    <mergeCell ref="AI2:AK2"/>
    <mergeCell ref="AD3:AN3"/>
    <mergeCell ref="AD2:AH2"/>
    <mergeCell ref="O1:R1"/>
    <mergeCell ref="S1:Y1"/>
    <mergeCell ref="Z1:AC1"/>
    <mergeCell ref="AD1:AH1"/>
    <mergeCell ref="J97:K97"/>
    <mergeCell ref="J88:K88"/>
    <mergeCell ref="O3:R3"/>
    <mergeCell ref="S3:Y3"/>
    <mergeCell ref="Z3:AC3"/>
    <mergeCell ref="J96:K96"/>
    <mergeCell ref="O2:R2"/>
    <mergeCell ref="S2:Y2"/>
    <mergeCell ref="Z2:AC2"/>
    <mergeCell ref="AR167:AY167"/>
    <mergeCell ref="AR244:AY244"/>
    <mergeCell ref="J126:K126"/>
    <mergeCell ref="J127:K127"/>
    <mergeCell ref="J214:K214"/>
    <mergeCell ref="J225:K225"/>
    <mergeCell ref="J146:K146"/>
    <mergeCell ref="J150:K150"/>
    <mergeCell ref="J164:K164"/>
  </mergeCells>
  <phoneticPr fontId="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&amp;L&amp;F&amp;C&amp;P / &amp;N&amp;R&amp;A</oddFooter>
  </headerFooter>
  <rowBreaks count="9" manualBreakCount="9">
    <brk id="42" max="50" man="1"/>
    <brk id="79" max="50" man="1"/>
    <brk id="116" max="50" man="1"/>
    <brk id="152" max="50" man="1"/>
    <brk id="155" max="50" man="1"/>
    <brk id="212" max="50" man="1"/>
    <brk id="246" max="50" man="1"/>
    <brk id="283" max="50" man="1"/>
    <brk id="325" max="50"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O951"/>
  <sheetViews>
    <sheetView showGridLines="0" view="pageBreakPreview" zoomScale="85" zoomScaleNormal="70" zoomScaleSheetLayoutView="85" workbookViewId="0">
      <selection activeCell="AR1" sqref="AR1:AU1"/>
    </sheetView>
  </sheetViews>
  <sheetFormatPr defaultRowHeight="13.5" customHeight="1"/>
  <cols>
    <col min="1" max="51" width="2.7265625" style="23" customWidth="1"/>
    <col min="52" max="52" width="5.26953125" style="23" hidden="1" customWidth="1"/>
    <col min="53" max="53" width="9" style="23"/>
    <col min="54" max="54" width="1.08984375" style="23" hidden="1" customWidth="1"/>
    <col min="55" max="256" width="9" style="23"/>
    <col min="257" max="307" width="2.7265625" style="23" customWidth="1"/>
    <col min="308" max="308" width="3.6328125" style="23" customWidth="1"/>
    <col min="309" max="512" width="9" style="23"/>
    <col min="513" max="563" width="2.7265625" style="23" customWidth="1"/>
    <col min="564" max="564" width="3.6328125" style="23" customWidth="1"/>
    <col min="565" max="768" width="9" style="23"/>
    <col min="769" max="819" width="2.7265625" style="23" customWidth="1"/>
    <col min="820" max="820" width="3.6328125" style="23" customWidth="1"/>
    <col min="821" max="1024" width="9" style="23"/>
    <col min="1025" max="1075" width="2.7265625" style="23" customWidth="1"/>
    <col min="1076" max="1076" width="3.6328125" style="23" customWidth="1"/>
    <col min="1077" max="1280" width="9" style="23"/>
    <col min="1281" max="1331" width="2.7265625" style="23" customWidth="1"/>
    <col min="1332" max="1332" width="3.6328125" style="23" customWidth="1"/>
    <col min="1333" max="1536" width="9" style="23"/>
    <col min="1537" max="1587" width="2.7265625" style="23" customWidth="1"/>
    <col min="1588" max="1588" width="3.6328125" style="23" customWidth="1"/>
    <col min="1589" max="1792" width="9" style="23"/>
    <col min="1793" max="1843" width="2.7265625" style="23" customWidth="1"/>
    <col min="1844" max="1844" width="3.6328125" style="23" customWidth="1"/>
    <col min="1845" max="2048" width="9" style="23"/>
    <col min="2049" max="2099" width="2.7265625" style="23" customWidth="1"/>
    <col min="2100" max="2100" width="3.6328125" style="23" customWidth="1"/>
    <col min="2101" max="2304" width="9" style="23"/>
    <col min="2305" max="2355" width="2.7265625" style="23" customWidth="1"/>
    <col min="2356" max="2356" width="3.6328125" style="23" customWidth="1"/>
    <col min="2357" max="2560" width="9" style="23"/>
    <col min="2561" max="2611" width="2.7265625" style="23" customWidth="1"/>
    <col min="2612" max="2612" width="3.6328125" style="23" customWidth="1"/>
    <col min="2613" max="2816" width="9" style="23"/>
    <col min="2817" max="2867" width="2.7265625" style="23" customWidth="1"/>
    <col min="2868" max="2868" width="3.6328125" style="23" customWidth="1"/>
    <col min="2869" max="3072" width="9" style="23"/>
    <col min="3073" max="3123" width="2.7265625" style="23" customWidth="1"/>
    <col min="3124" max="3124" width="3.6328125" style="23" customWidth="1"/>
    <col min="3125" max="3328" width="9" style="23"/>
    <col min="3329" max="3379" width="2.7265625" style="23" customWidth="1"/>
    <col min="3380" max="3380" width="3.6328125" style="23" customWidth="1"/>
    <col min="3381" max="3584" width="9" style="23"/>
    <col min="3585" max="3635" width="2.7265625" style="23" customWidth="1"/>
    <col min="3636" max="3636" width="3.6328125" style="23" customWidth="1"/>
    <col min="3637" max="3840" width="9" style="23"/>
    <col min="3841" max="3891" width="2.7265625" style="23" customWidth="1"/>
    <col min="3892" max="3892" width="3.6328125" style="23" customWidth="1"/>
    <col min="3893" max="4096" width="9" style="23"/>
    <col min="4097" max="4147" width="2.7265625" style="23" customWidth="1"/>
    <col min="4148" max="4148" width="3.6328125" style="23" customWidth="1"/>
    <col min="4149" max="4352" width="9" style="23"/>
    <col min="4353" max="4403" width="2.7265625" style="23" customWidth="1"/>
    <col min="4404" max="4404" width="3.6328125" style="23" customWidth="1"/>
    <col min="4405" max="4608" width="9" style="23"/>
    <col min="4609" max="4659" width="2.7265625" style="23" customWidth="1"/>
    <col min="4660" max="4660" width="3.6328125" style="23" customWidth="1"/>
    <col min="4661" max="4864" width="9" style="23"/>
    <col min="4865" max="4915" width="2.7265625" style="23" customWidth="1"/>
    <col min="4916" max="4916" width="3.6328125" style="23" customWidth="1"/>
    <col min="4917" max="5120" width="9" style="23"/>
    <col min="5121" max="5171" width="2.7265625" style="23" customWidth="1"/>
    <col min="5172" max="5172" width="3.6328125" style="23" customWidth="1"/>
    <col min="5173" max="5376" width="9" style="23"/>
    <col min="5377" max="5427" width="2.7265625" style="23" customWidth="1"/>
    <col min="5428" max="5428" width="3.6328125" style="23" customWidth="1"/>
    <col min="5429" max="5632" width="9" style="23"/>
    <col min="5633" max="5683" width="2.7265625" style="23" customWidth="1"/>
    <col min="5684" max="5684" width="3.6328125" style="23" customWidth="1"/>
    <col min="5685" max="5888" width="9" style="23"/>
    <col min="5889" max="5939" width="2.7265625" style="23" customWidth="1"/>
    <col min="5940" max="5940" width="3.6328125" style="23" customWidth="1"/>
    <col min="5941" max="6144" width="9" style="23"/>
    <col min="6145" max="6195" width="2.7265625" style="23" customWidth="1"/>
    <col min="6196" max="6196" width="3.6328125" style="23" customWidth="1"/>
    <col min="6197" max="6400" width="9" style="23"/>
    <col min="6401" max="6451" width="2.7265625" style="23" customWidth="1"/>
    <col min="6452" max="6452" width="3.6328125" style="23" customWidth="1"/>
    <col min="6453" max="6656" width="9" style="23"/>
    <col min="6657" max="6707" width="2.7265625" style="23" customWidth="1"/>
    <col min="6708" max="6708" width="3.6328125" style="23" customWidth="1"/>
    <col min="6709" max="6912" width="9" style="23"/>
    <col min="6913" max="6963" width="2.7265625" style="23" customWidth="1"/>
    <col min="6964" max="6964" width="3.6328125" style="23" customWidth="1"/>
    <col min="6965" max="7168" width="9" style="23"/>
    <col min="7169" max="7219" width="2.7265625" style="23" customWidth="1"/>
    <col min="7220" max="7220" width="3.6328125" style="23" customWidth="1"/>
    <col min="7221" max="7424" width="9" style="23"/>
    <col min="7425" max="7475" width="2.7265625" style="23" customWidth="1"/>
    <col min="7476" max="7476" width="3.6328125" style="23" customWidth="1"/>
    <col min="7477" max="7680" width="9" style="23"/>
    <col min="7681" max="7731" width="2.7265625" style="23" customWidth="1"/>
    <col min="7732" max="7732" width="3.6328125" style="23" customWidth="1"/>
    <col min="7733" max="7936" width="9" style="23"/>
    <col min="7937" max="7987" width="2.7265625" style="23" customWidth="1"/>
    <col min="7988" max="7988" width="3.6328125" style="23" customWidth="1"/>
    <col min="7989" max="8192" width="9" style="23"/>
    <col min="8193" max="8243" width="2.7265625" style="23" customWidth="1"/>
    <col min="8244" max="8244" width="3.6328125" style="23" customWidth="1"/>
    <col min="8245" max="8448" width="9" style="23"/>
    <col min="8449" max="8499" width="2.7265625" style="23" customWidth="1"/>
    <col min="8500" max="8500" width="3.6328125" style="23" customWidth="1"/>
    <col min="8501" max="8704" width="9" style="23"/>
    <col min="8705" max="8755" width="2.7265625" style="23" customWidth="1"/>
    <col min="8756" max="8756" width="3.6328125" style="23" customWidth="1"/>
    <col min="8757" max="8960" width="9" style="23"/>
    <col min="8961" max="9011" width="2.7265625" style="23" customWidth="1"/>
    <col min="9012" max="9012" width="3.6328125" style="23" customWidth="1"/>
    <col min="9013" max="9216" width="9" style="23"/>
    <col min="9217" max="9267" width="2.7265625" style="23" customWidth="1"/>
    <col min="9268" max="9268" width="3.6328125" style="23" customWidth="1"/>
    <col min="9269" max="9472" width="9" style="23"/>
    <col min="9473" max="9523" width="2.7265625" style="23" customWidth="1"/>
    <col min="9524" max="9524" width="3.6328125" style="23" customWidth="1"/>
    <col min="9525" max="9728" width="9" style="23"/>
    <col min="9729" max="9779" width="2.7265625" style="23" customWidth="1"/>
    <col min="9780" max="9780" width="3.6328125" style="23" customWidth="1"/>
    <col min="9781" max="9984" width="9" style="23"/>
    <col min="9985" max="10035" width="2.7265625" style="23" customWidth="1"/>
    <col min="10036" max="10036" width="3.6328125" style="23" customWidth="1"/>
    <col min="10037" max="10240" width="9" style="23"/>
    <col min="10241" max="10291" width="2.7265625" style="23" customWidth="1"/>
    <col min="10292" max="10292" width="3.6328125" style="23" customWidth="1"/>
    <col min="10293" max="10496" width="9" style="23"/>
    <col min="10497" max="10547" width="2.7265625" style="23" customWidth="1"/>
    <col min="10548" max="10548" width="3.6328125" style="23" customWidth="1"/>
    <col min="10549" max="10752" width="9" style="23"/>
    <col min="10753" max="10803" width="2.7265625" style="23" customWidth="1"/>
    <col min="10804" max="10804" width="3.6328125" style="23" customWidth="1"/>
    <col min="10805" max="11008" width="9" style="23"/>
    <col min="11009" max="11059" width="2.7265625" style="23" customWidth="1"/>
    <col min="11060" max="11060" width="3.6328125" style="23" customWidth="1"/>
    <col min="11061" max="11264" width="9" style="23"/>
    <col min="11265" max="11315" width="2.7265625" style="23" customWidth="1"/>
    <col min="11316" max="11316" width="3.6328125" style="23" customWidth="1"/>
    <col min="11317" max="11520" width="9" style="23"/>
    <col min="11521" max="11571" width="2.7265625" style="23" customWidth="1"/>
    <col min="11572" max="11572" width="3.6328125" style="23" customWidth="1"/>
    <col min="11573" max="11776" width="9" style="23"/>
    <col min="11777" max="11827" width="2.7265625" style="23" customWidth="1"/>
    <col min="11828" max="11828" width="3.6328125" style="23" customWidth="1"/>
    <col min="11829" max="12032" width="9" style="23"/>
    <col min="12033" max="12083" width="2.7265625" style="23" customWidth="1"/>
    <col min="12084" max="12084" width="3.6328125" style="23" customWidth="1"/>
    <col min="12085" max="12288" width="9" style="23"/>
    <col min="12289" max="12339" width="2.7265625" style="23" customWidth="1"/>
    <col min="12340" max="12340" width="3.6328125" style="23" customWidth="1"/>
    <col min="12341" max="12544" width="9" style="23"/>
    <col min="12545" max="12595" width="2.7265625" style="23" customWidth="1"/>
    <col min="12596" max="12596" width="3.6328125" style="23" customWidth="1"/>
    <col min="12597" max="12800" width="9" style="23"/>
    <col min="12801" max="12851" width="2.7265625" style="23" customWidth="1"/>
    <col min="12852" max="12852" width="3.6328125" style="23" customWidth="1"/>
    <col min="12853" max="13056" width="9" style="23"/>
    <col min="13057" max="13107" width="2.7265625" style="23" customWidth="1"/>
    <col min="13108" max="13108" width="3.6328125" style="23" customWidth="1"/>
    <col min="13109" max="13312" width="9" style="23"/>
    <col min="13313" max="13363" width="2.7265625" style="23" customWidth="1"/>
    <col min="13364" max="13364" width="3.6328125" style="23" customWidth="1"/>
    <col min="13365" max="13568" width="9" style="23"/>
    <col min="13569" max="13619" width="2.7265625" style="23" customWidth="1"/>
    <col min="13620" max="13620" width="3.6328125" style="23" customWidth="1"/>
    <col min="13621" max="13824" width="9" style="23"/>
    <col min="13825" max="13875" width="2.7265625" style="23" customWidth="1"/>
    <col min="13876" max="13876" width="3.6328125" style="23" customWidth="1"/>
    <col min="13877" max="14080" width="9" style="23"/>
    <col min="14081" max="14131" width="2.7265625" style="23" customWidth="1"/>
    <col min="14132" max="14132" width="3.6328125" style="23" customWidth="1"/>
    <col min="14133" max="14336" width="9" style="23"/>
    <col min="14337" max="14387" width="2.7265625" style="23" customWidth="1"/>
    <col min="14388" max="14388" width="3.6328125" style="23" customWidth="1"/>
    <col min="14389" max="14592" width="9" style="23"/>
    <col min="14593" max="14643" width="2.7265625" style="23" customWidth="1"/>
    <col min="14644" max="14644" width="3.6328125" style="23" customWidth="1"/>
    <col min="14645" max="14848" width="9" style="23"/>
    <col min="14849" max="14899" width="2.7265625" style="23" customWidth="1"/>
    <col min="14900" max="14900" width="3.6328125" style="23" customWidth="1"/>
    <col min="14901" max="15104" width="9" style="23"/>
    <col min="15105" max="15155" width="2.7265625" style="23" customWidth="1"/>
    <col min="15156" max="15156" width="3.6328125" style="23" customWidth="1"/>
    <col min="15157" max="15360" width="9" style="23"/>
    <col min="15361" max="15411" width="2.7265625" style="23" customWidth="1"/>
    <col min="15412" max="15412" width="3.6328125" style="23" customWidth="1"/>
    <col min="15413" max="15616" width="9" style="23"/>
    <col min="15617" max="15667" width="2.7265625" style="23" customWidth="1"/>
    <col min="15668" max="15668" width="3.6328125" style="23" customWidth="1"/>
    <col min="15669" max="15872" width="9" style="23"/>
    <col min="15873" max="15923" width="2.7265625" style="23" customWidth="1"/>
    <col min="15924" max="15924" width="3.6328125" style="23" customWidth="1"/>
    <col min="15925" max="16128" width="9" style="23"/>
    <col min="16129" max="16179" width="2.7265625" style="23" customWidth="1"/>
    <col min="16180" max="16180" width="3.6328125" style="23" customWidth="1"/>
    <col min="16181" max="16384" width="9" style="23"/>
  </cols>
  <sheetData>
    <row r="1" spans="1:52" s="27" customFormat="1" ht="13.5" customHeight="1">
      <c r="A1" s="703" t="str">
        <f>表紙!V27 &amp; CHAR(10) &amp;表紙!AF27</f>
        <v>MCFrameXA
6.3.1.3</v>
      </c>
      <c r="B1" s="704"/>
      <c r="C1" s="704"/>
      <c r="D1" s="704"/>
      <c r="E1" s="704"/>
      <c r="F1" s="709" t="s">
        <v>763</v>
      </c>
      <c r="G1" s="710"/>
      <c r="H1" s="710"/>
      <c r="I1" s="710"/>
      <c r="J1" s="710"/>
      <c r="K1" s="725" t="s">
        <v>40</v>
      </c>
      <c r="L1" s="725"/>
      <c r="M1" s="725"/>
      <c r="N1" s="725"/>
      <c r="O1" s="660" t="s">
        <v>27</v>
      </c>
      <c r="P1" s="661"/>
      <c r="Q1" s="661"/>
      <c r="R1" s="661"/>
      <c r="S1" s="662">
        <f>顧客名</f>
        <v>0</v>
      </c>
      <c r="T1" s="663"/>
      <c r="U1" s="663"/>
      <c r="V1" s="663"/>
      <c r="W1" s="663"/>
      <c r="X1" s="663"/>
      <c r="Y1" s="664"/>
      <c r="Z1" s="665" t="s">
        <v>28</v>
      </c>
      <c r="AA1" s="666"/>
      <c r="AB1" s="666"/>
      <c r="AC1" s="667"/>
      <c r="AD1" s="662" t="str">
        <f>システム名</f>
        <v>MCFrameXA</v>
      </c>
      <c r="AE1" s="663"/>
      <c r="AF1" s="663"/>
      <c r="AG1" s="663"/>
      <c r="AH1" s="664"/>
      <c r="AI1" s="693" t="s">
        <v>29</v>
      </c>
      <c r="AJ1" s="693"/>
      <c r="AK1" s="693"/>
      <c r="AL1" s="694">
        <f>作成者</f>
        <v>0</v>
      </c>
      <c r="AM1" s="694"/>
      <c r="AN1" s="694"/>
      <c r="AO1" s="693" t="s">
        <v>30</v>
      </c>
      <c r="AP1" s="693"/>
      <c r="AQ1" s="693"/>
      <c r="AR1" s="699">
        <f>作成日</f>
        <v>0</v>
      </c>
      <c r="AS1" s="699"/>
      <c r="AT1" s="699"/>
      <c r="AU1" s="699"/>
      <c r="AV1" s="683" t="s">
        <v>4</v>
      </c>
      <c r="AW1" s="684"/>
      <c r="AX1" s="684"/>
      <c r="AY1" s="685"/>
    </row>
    <row r="2" spans="1:52" s="27" customFormat="1" ht="12" customHeight="1">
      <c r="A2" s="705"/>
      <c r="B2" s="706"/>
      <c r="C2" s="706"/>
      <c r="D2" s="706"/>
      <c r="E2" s="706"/>
      <c r="F2" s="711"/>
      <c r="G2" s="711"/>
      <c r="H2" s="711"/>
      <c r="I2" s="711"/>
      <c r="J2" s="711"/>
      <c r="K2" s="719" t="str">
        <f ca="1">RIGHT(CELL("filename",A2),LEN(CELL("filename",A2))-FIND("]",CELL("filename",A2)))</f>
        <v xml:space="preserve">処理詳細 </v>
      </c>
      <c r="L2" s="720"/>
      <c r="M2" s="720"/>
      <c r="N2" s="721"/>
      <c r="O2" s="675" t="s">
        <v>31</v>
      </c>
      <c r="P2" s="676"/>
      <c r="Q2" s="676"/>
      <c r="R2" s="676"/>
      <c r="S2" s="677" t="str">
        <f>プロジェクト名</f>
        <v>生産管理システム（生産管理・調達系）</v>
      </c>
      <c r="T2" s="678"/>
      <c r="U2" s="678"/>
      <c r="V2" s="678"/>
      <c r="W2" s="678"/>
      <c r="X2" s="678"/>
      <c r="Y2" s="679"/>
      <c r="Z2" s="680" t="s">
        <v>32</v>
      </c>
      <c r="AA2" s="681"/>
      <c r="AB2" s="681"/>
      <c r="AC2" s="682"/>
      <c r="AD2" s="700" t="str">
        <f>サブシステム名</f>
        <v>生産管理</v>
      </c>
      <c r="AE2" s="701"/>
      <c r="AF2" s="701"/>
      <c r="AG2" s="701"/>
      <c r="AH2" s="702"/>
      <c r="AI2" s="696" t="s">
        <v>33</v>
      </c>
      <c r="AJ2" s="696"/>
      <c r="AK2" s="696"/>
      <c r="AL2" s="695">
        <f>最終更新者</f>
        <v>0</v>
      </c>
      <c r="AM2" s="695"/>
      <c r="AN2" s="695"/>
      <c r="AO2" s="696" t="s">
        <v>34</v>
      </c>
      <c r="AP2" s="696"/>
      <c r="AQ2" s="696"/>
      <c r="AR2" s="686">
        <f>最終更新日</f>
        <v>0</v>
      </c>
      <c r="AS2" s="686"/>
      <c r="AT2" s="686"/>
      <c r="AU2" s="686"/>
      <c r="AV2" s="687" t="str">
        <f>文書番号</f>
        <v>J052-0-0001</v>
      </c>
      <c r="AW2" s="688"/>
      <c r="AX2" s="688"/>
      <c r="AY2" s="689"/>
    </row>
    <row r="3" spans="1:52" s="27" customFormat="1" ht="13.5" customHeight="1" thickBot="1">
      <c r="A3" s="707"/>
      <c r="B3" s="708"/>
      <c r="C3" s="708"/>
      <c r="D3" s="708"/>
      <c r="E3" s="708"/>
      <c r="F3" s="712"/>
      <c r="G3" s="712"/>
      <c r="H3" s="712"/>
      <c r="I3" s="712"/>
      <c r="J3" s="712"/>
      <c r="K3" s="722"/>
      <c r="L3" s="723"/>
      <c r="M3" s="723"/>
      <c r="N3" s="724"/>
      <c r="O3" s="668" t="s">
        <v>35</v>
      </c>
      <c r="P3" s="668"/>
      <c r="Q3" s="668"/>
      <c r="R3" s="668"/>
      <c r="S3" s="669" t="str">
        <f>機能ＩＤ</f>
        <v>SBP0020</v>
      </c>
      <c r="T3" s="670"/>
      <c r="U3" s="670"/>
      <c r="V3" s="670"/>
      <c r="W3" s="670"/>
      <c r="X3" s="670"/>
      <c r="Y3" s="671"/>
      <c r="Z3" s="672" t="s">
        <v>36</v>
      </c>
      <c r="AA3" s="673"/>
      <c r="AB3" s="673"/>
      <c r="AC3" s="674"/>
      <c r="AD3" s="669" t="str">
        <f>機能名称</f>
        <v>発注一覧登録</v>
      </c>
      <c r="AE3" s="670"/>
      <c r="AF3" s="670"/>
      <c r="AG3" s="670"/>
      <c r="AH3" s="670"/>
      <c r="AI3" s="670"/>
      <c r="AJ3" s="670"/>
      <c r="AK3" s="670"/>
      <c r="AL3" s="670"/>
      <c r="AM3" s="670"/>
      <c r="AN3" s="671"/>
      <c r="AO3" s="697" t="s">
        <v>37</v>
      </c>
      <c r="AP3" s="697"/>
      <c r="AQ3" s="697"/>
      <c r="AR3" s="698" t="e">
        <f>Rev.</f>
        <v>#REF!</v>
      </c>
      <c r="AS3" s="698"/>
      <c r="AT3" s="698"/>
      <c r="AU3" s="698"/>
      <c r="AV3" s="690"/>
      <c r="AW3" s="691"/>
      <c r="AX3" s="691"/>
      <c r="AY3" s="692"/>
    </row>
    <row r="4" spans="1:52" ht="6.75" customHeight="1" thickBot="1">
      <c r="A4" s="26"/>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4"/>
    </row>
    <row r="5" spans="1:52" ht="13.5" customHeight="1" thickBot="1">
      <c r="A5" s="37" t="s">
        <v>47</v>
      </c>
      <c r="B5" s="35" t="s">
        <v>65</v>
      </c>
      <c r="C5" s="36"/>
      <c r="D5" s="36"/>
      <c r="E5" s="36"/>
      <c r="F5" s="36"/>
      <c r="G5" s="36"/>
      <c r="H5" s="36"/>
      <c r="I5" s="34"/>
      <c r="J5" s="715" t="s">
        <v>44</v>
      </c>
      <c r="K5" s="716"/>
      <c r="L5" s="35" t="s">
        <v>39</v>
      </c>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4"/>
      <c r="AR5" s="36" t="s">
        <v>67</v>
      </c>
      <c r="AS5" s="36"/>
      <c r="AT5" s="36"/>
      <c r="AU5" s="36"/>
      <c r="AV5" s="36"/>
      <c r="AW5" s="36"/>
      <c r="AX5" s="36"/>
      <c r="AY5" s="33"/>
    </row>
    <row r="6" spans="1:52" s="32" customFormat="1" ht="13.5" customHeight="1" thickTop="1">
      <c r="A6" s="44">
        <v>1</v>
      </c>
      <c r="B6" s="47" t="s">
        <v>55</v>
      </c>
      <c r="C6" s="48"/>
      <c r="D6" s="48"/>
      <c r="E6" s="48"/>
      <c r="F6" s="48"/>
      <c r="G6" s="48"/>
      <c r="H6" s="48"/>
      <c r="I6" s="48"/>
      <c r="J6" s="42"/>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211"/>
      <c r="AS6" s="48"/>
      <c r="AT6" s="48"/>
      <c r="AU6" s="48"/>
      <c r="AV6" s="48"/>
      <c r="AW6" s="48"/>
      <c r="AX6" s="48"/>
      <c r="AY6" s="137"/>
    </row>
    <row r="7" spans="1:52" s="32" customFormat="1" ht="13.5" customHeight="1">
      <c r="A7" s="62"/>
      <c r="B7" s="50"/>
      <c r="C7" s="49"/>
      <c r="D7" s="49"/>
      <c r="E7" s="49"/>
      <c r="F7" s="49"/>
      <c r="G7" s="49"/>
      <c r="H7" s="49"/>
      <c r="I7" s="51"/>
      <c r="J7" s="726" t="s">
        <v>539</v>
      </c>
      <c r="K7" s="727"/>
      <c r="L7" s="50" t="s">
        <v>456</v>
      </c>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51"/>
      <c r="AR7" s="208"/>
      <c r="AS7" s="49"/>
      <c r="AT7" s="49"/>
      <c r="AU7" s="49"/>
      <c r="AV7" s="49"/>
      <c r="AW7" s="49"/>
      <c r="AX7" s="49"/>
      <c r="AY7" s="52"/>
    </row>
    <row r="8" spans="1:52" s="32" customFormat="1" ht="13.5" customHeight="1">
      <c r="A8" s="62"/>
      <c r="B8" s="50"/>
      <c r="C8" s="49"/>
      <c r="D8" s="49"/>
      <c r="E8" s="49"/>
      <c r="F8" s="49"/>
      <c r="G8" s="49"/>
      <c r="H8" s="49"/>
      <c r="I8" s="51"/>
      <c r="J8" s="350"/>
      <c r="K8" s="351"/>
      <c r="L8" s="50"/>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51"/>
      <c r="AR8" s="208"/>
      <c r="AS8" s="49"/>
      <c r="AT8" s="49"/>
      <c r="AU8" s="49"/>
      <c r="AV8" s="49"/>
      <c r="AW8" s="49"/>
      <c r="AX8" s="49"/>
      <c r="AY8" s="52"/>
    </row>
    <row r="9" spans="1:52" s="32" customFormat="1" ht="13.5" customHeight="1">
      <c r="A9" s="62"/>
      <c r="B9" s="50"/>
      <c r="C9" s="49"/>
      <c r="D9" s="49"/>
      <c r="E9" s="49"/>
      <c r="F9" s="49"/>
      <c r="G9" s="49"/>
      <c r="H9" s="49"/>
      <c r="I9" s="51"/>
      <c r="J9" s="350"/>
      <c r="K9" s="351"/>
      <c r="L9" s="141"/>
      <c r="M9" s="216" t="s">
        <v>449</v>
      </c>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40"/>
      <c r="AR9" s="504"/>
      <c r="AS9" s="49"/>
      <c r="AT9" s="49"/>
      <c r="AU9" s="49"/>
      <c r="AV9" s="49"/>
      <c r="AW9" s="49"/>
      <c r="AX9" s="49"/>
      <c r="AY9" s="52"/>
    </row>
    <row r="10" spans="1:52" s="32" customFormat="1" ht="13.5" customHeight="1">
      <c r="A10" s="62"/>
      <c r="B10" s="50"/>
      <c r="C10" s="49"/>
      <c r="D10" s="49"/>
      <c r="E10" s="49"/>
      <c r="F10" s="49"/>
      <c r="G10" s="49"/>
      <c r="H10" s="49"/>
      <c r="I10" s="51"/>
      <c r="J10" s="350"/>
      <c r="K10" s="351"/>
      <c r="L10" s="141"/>
      <c r="M10" s="139"/>
      <c r="N10" s="139" t="s">
        <v>455</v>
      </c>
      <c r="O10" s="139"/>
      <c r="P10" s="139"/>
      <c r="Q10" s="139"/>
      <c r="R10" s="139"/>
      <c r="S10" s="139"/>
      <c r="T10" s="139"/>
      <c r="U10" s="139" t="s">
        <v>448</v>
      </c>
      <c r="V10" s="139"/>
      <c r="W10" s="139"/>
      <c r="X10" s="139"/>
      <c r="Y10" s="139"/>
      <c r="Z10" s="139"/>
      <c r="AA10" s="139"/>
      <c r="AB10" s="139"/>
      <c r="AC10" s="139"/>
      <c r="AD10" s="139"/>
      <c r="AE10" s="139"/>
      <c r="AF10" s="139"/>
      <c r="AG10" s="139"/>
      <c r="AH10" s="139"/>
      <c r="AI10" s="139"/>
      <c r="AJ10" s="139"/>
      <c r="AK10" s="139"/>
      <c r="AL10" s="139"/>
      <c r="AM10" s="139"/>
      <c r="AN10" s="139"/>
      <c r="AO10" s="139"/>
      <c r="AP10" s="139"/>
      <c r="AQ10" s="140"/>
      <c r="AR10" s="504"/>
      <c r="AS10" s="49"/>
      <c r="AT10" s="49"/>
      <c r="AU10" s="49"/>
      <c r="AV10" s="49"/>
      <c r="AW10" s="49"/>
      <c r="AX10" s="49"/>
      <c r="AY10" s="52"/>
    </row>
    <row r="11" spans="1:52" s="32" customFormat="1" ht="13.5" customHeight="1">
      <c r="A11" s="62"/>
      <c r="B11" s="50"/>
      <c r="C11" s="49"/>
      <c r="D11" s="49"/>
      <c r="E11" s="49"/>
      <c r="F11" s="49"/>
      <c r="G11" s="49"/>
      <c r="H11" s="49"/>
      <c r="I11" s="51"/>
      <c r="J11" s="350"/>
      <c r="K11" s="351"/>
      <c r="L11" s="141"/>
      <c r="M11" s="216" t="s">
        <v>450</v>
      </c>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39"/>
      <c r="AQ11" s="140"/>
      <c r="AR11" s="504"/>
      <c r="AS11" s="49"/>
      <c r="AT11" s="49"/>
      <c r="AU11" s="49"/>
      <c r="AV11" s="49"/>
      <c r="AW11" s="49"/>
      <c r="AX11" s="49"/>
      <c r="AY11" s="52"/>
    </row>
    <row r="12" spans="1:52" s="32" customFormat="1" ht="13.5" customHeight="1">
      <c r="A12" s="62"/>
      <c r="B12" s="50"/>
      <c r="C12" s="49"/>
      <c r="D12" s="49"/>
      <c r="E12" s="49"/>
      <c r="F12" s="49"/>
      <c r="G12" s="49"/>
      <c r="H12" s="49"/>
      <c r="I12" s="51"/>
      <c r="J12" s="350"/>
      <c r="K12" s="351"/>
      <c r="L12" s="141"/>
      <c r="M12" s="139"/>
      <c r="N12" s="139" t="s">
        <v>451</v>
      </c>
      <c r="O12" s="139"/>
      <c r="P12" s="139"/>
      <c r="Q12" s="139"/>
      <c r="R12" s="139"/>
      <c r="S12" s="139"/>
      <c r="T12" s="139"/>
      <c r="U12" s="139"/>
      <c r="V12" s="139"/>
      <c r="W12" s="139"/>
      <c r="X12" s="139"/>
      <c r="Y12" s="139"/>
      <c r="Z12" s="139"/>
      <c r="AA12" s="139"/>
      <c r="AB12" s="139"/>
      <c r="AC12" s="139"/>
      <c r="AD12" s="139"/>
      <c r="AE12" s="139"/>
      <c r="AF12" s="139"/>
      <c r="AG12" s="139"/>
      <c r="AH12" s="139"/>
      <c r="AI12" s="139"/>
      <c r="AJ12" s="139"/>
      <c r="AK12" s="139"/>
      <c r="AL12" s="139"/>
      <c r="AM12" s="139"/>
      <c r="AN12" s="139"/>
      <c r="AO12" s="139"/>
      <c r="AP12" s="139"/>
      <c r="AQ12" s="140"/>
      <c r="AR12" s="504"/>
      <c r="AS12" s="49"/>
      <c r="AT12" s="49"/>
      <c r="AU12" s="49"/>
      <c r="AV12" s="49"/>
      <c r="AW12" s="49"/>
      <c r="AX12" s="49"/>
      <c r="AY12" s="52"/>
    </row>
    <row r="13" spans="1:52" s="32" customFormat="1" ht="13.5" customHeight="1">
      <c r="A13" s="62"/>
      <c r="B13" s="50"/>
      <c r="C13" s="49"/>
      <c r="D13" s="49"/>
      <c r="E13" s="49"/>
      <c r="F13" s="49"/>
      <c r="G13" s="49"/>
      <c r="H13" s="49"/>
      <c r="I13" s="51"/>
      <c r="J13" s="350"/>
      <c r="K13" s="351"/>
      <c r="L13" s="141"/>
      <c r="M13" s="216" t="s">
        <v>452</v>
      </c>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40"/>
      <c r="AR13" s="504"/>
      <c r="AS13" s="49"/>
      <c r="AT13" s="49"/>
      <c r="AU13" s="49"/>
      <c r="AV13" s="49"/>
      <c r="AW13" s="49"/>
      <c r="AX13" s="49"/>
      <c r="AY13" s="52"/>
    </row>
    <row r="14" spans="1:52" s="32" customFormat="1" ht="13.5" customHeight="1">
      <c r="A14" s="62"/>
      <c r="B14" s="50"/>
      <c r="C14" s="49"/>
      <c r="D14" s="49"/>
      <c r="E14" s="49"/>
      <c r="F14" s="49"/>
      <c r="G14" s="49"/>
      <c r="H14" s="49"/>
      <c r="I14" s="51"/>
      <c r="J14" s="656"/>
      <c r="K14" s="657"/>
      <c r="L14" s="141" t="s">
        <v>540</v>
      </c>
      <c r="M14" s="139"/>
      <c r="N14" s="139" t="s">
        <v>453</v>
      </c>
      <c r="O14" s="139"/>
      <c r="P14" s="139"/>
      <c r="Q14" s="139"/>
      <c r="R14" s="139"/>
      <c r="S14" s="139"/>
      <c r="T14" s="139"/>
      <c r="U14" s="139"/>
      <c r="V14" s="139"/>
      <c r="W14" s="139"/>
      <c r="X14" s="139"/>
      <c r="Y14" s="139"/>
      <c r="Z14" s="139"/>
      <c r="AA14" s="139"/>
      <c r="AB14" s="139" t="s">
        <v>684</v>
      </c>
      <c r="AC14" s="139"/>
      <c r="AD14" s="139"/>
      <c r="AE14" s="139"/>
      <c r="AF14" s="139"/>
      <c r="AG14" s="139"/>
      <c r="AH14" s="139"/>
      <c r="AI14" s="139"/>
      <c r="AJ14" s="139"/>
      <c r="AK14" s="139"/>
      <c r="AL14" s="139"/>
      <c r="AM14" s="139"/>
      <c r="AN14" s="139"/>
      <c r="AO14" s="139"/>
      <c r="AP14" s="139"/>
      <c r="AQ14" s="140"/>
      <c r="AR14" s="504"/>
      <c r="AS14" s="49"/>
      <c r="AT14" s="49"/>
      <c r="AU14" s="49"/>
      <c r="AV14" s="49"/>
      <c r="AW14" s="49"/>
      <c r="AX14" s="49"/>
      <c r="AY14" s="52"/>
      <c r="AZ14" s="32">
        <v>0.8</v>
      </c>
    </row>
    <row r="15" spans="1:52" s="32" customFormat="1" ht="13.5" customHeight="1">
      <c r="A15" s="62"/>
      <c r="B15" s="50"/>
      <c r="C15" s="49"/>
      <c r="D15" s="49"/>
      <c r="E15" s="49"/>
      <c r="F15" s="49"/>
      <c r="G15" s="49"/>
      <c r="H15" s="49"/>
      <c r="I15" s="51"/>
      <c r="J15" s="656"/>
      <c r="K15" s="657"/>
      <c r="L15" s="141" t="s">
        <v>540</v>
      </c>
      <c r="M15" s="139"/>
      <c r="N15" s="139" t="s">
        <v>454</v>
      </c>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40"/>
      <c r="AR15" s="504"/>
      <c r="AS15" s="49"/>
      <c r="AT15" s="49"/>
      <c r="AU15" s="49"/>
      <c r="AV15" s="49"/>
      <c r="AW15" s="49"/>
      <c r="AX15" s="49"/>
      <c r="AY15" s="52"/>
    </row>
    <row r="16" spans="1:52" s="32" customFormat="1" ht="13.5" customHeight="1">
      <c r="A16" s="62"/>
      <c r="B16" s="50"/>
      <c r="C16" s="49"/>
      <c r="D16" s="49"/>
      <c r="E16" s="49"/>
      <c r="F16" s="49"/>
      <c r="G16" s="49"/>
      <c r="H16" s="49"/>
      <c r="I16" s="51"/>
      <c r="J16" s="658"/>
      <c r="K16" s="659"/>
      <c r="L16" s="50"/>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51"/>
      <c r="AR16" s="208"/>
      <c r="AS16" s="49"/>
      <c r="AT16" s="49"/>
      <c r="AU16" s="49"/>
      <c r="AV16" s="49"/>
      <c r="AW16" s="49"/>
      <c r="AX16" s="49"/>
      <c r="AY16" s="52"/>
    </row>
    <row r="17" spans="1:53" s="32" customFormat="1" ht="13.5" customHeight="1">
      <c r="A17" s="43">
        <v>2</v>
      </c>
      <c r="B17" s="53" t="s">
        <v>45</v>
      </c>
      <c r="C17" s="54"/>
      <c r="D17" s="54"/>
      <c r="E17" s="54"/>
      <c r="F17" s="54"/>
      <c r="G17" s="54"/>
      <c r="H17" s="54"/>
      <c r="I17" s="54"/>
      <c r="J17" s="41"/>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212"/>
      <c r="AS17" s="54"/>
      <c r="AT17" s="54"/>
      <c r="AU17" s="54"/>
      <c r="AV17" s="54"/>
      <c r="AW17" s="54"/>
      <c r="AX17" s="54"/>
      <c r="AY17" s="55"/>
    </row>
    <row r="18" spans="1:53" s="32" customFormat="1" ht="13.5" customHeight="1">
      <c r="A18" s="62"/>
      <c r="B18" s="101"/>
      <c r="C18" s="49"/>
      <c r="D18" s="49"/>
      <c r="E18" s="49"/>
      <c r="F18" s="49"/>
      <c r="G18" s="49"/>
      <c r="H18" s="49"/>
      <c r="I18" s="51"/>
      <c r="J18" s="726" t="s">
        <v>538</v>
      </c>
      <c r="K18" s="727"/>
      <c r="L18" s="101" t="s">
        <v>369</v>
      </c>
      <c r="M18" s="102"/>
      <c r="N18" s="102"/>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51"/>
      <c r="AR18" s="208"/>
      <c r="AS18" s="49"/>
      <c r="AT18" s="49"/>
      <c r="AU18" s="49"/>
      <c r="AV18" s="49"/>
      <c r="AW18" s="49"/>
      <c r="AX18" s="49"/>
      <c r="AY18" s="52" t="s">
        <v>92</v>
      </c>
    </row>
    <row r="19" spans="1:53" s="32" customFormat="1" ht="13.5" customHeight="1">
      <c r="A19" s="62"/>
      <c r="B19" s="101"/>
      <c r="C19" s="49"/>
      <c r="D19" s="49"/>
      <c r="E19" s="49"/>
      <c r="F19" s="49"/>
      <c r="G19" s="49"/>
      <c r="H19" s="49"/>
      <c r="I19" s="51"/>
      <c r="J19" s="350"/>
      <c r="K19" s="351"/>
      <c r="L19" s="101"/>
      <c r="M19" s="102" t="s">
        <v>166</v>
      </c>
      <c r="N19" s="102"/>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51"/>
      <c r="AR19" s="208"/>
      <c r="AS19" s="49"/>
      <c r="AT19" s="49"/>
      <c r="AU19" s="49"/>
      <c r="AV19" s="49"/>
      <c r="AW19" s="49"/>
      <c r="AX19" s="49"/>
      <c r="AY19" s="52"/>
    </row>
    <row r="20" spans="1:53" s="32" customFormat="1" ht="13.5" customHeight="1">
      <c r="A20" s="62"/>
      <c r="B20" s="101"/>
      <c r="C20" s="49"/>
      <c r="D20" s="49"/>
      <c r="E20" s="49"/>
      <c r="F20" s="49"/>
      <c r="G20" s="49"/>
      <c r="H20" s="49"/>
      <c r="I20" s="51"/>
      <c r="J20" s="350"/>
      <c r="K20" s="351"/>
      <c r="L20" s="101"/>
      <c r="M20" s="102" t="s">
        <v>745</v>
      </c>
      <c r="N20" s="102"/>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51"/>
      <c r="AR20" s="208"/>
      <c r="AS20" s="49"/>
      <c r="AT20" s="49"/>
      <c r="AU20" s="49"/>
      <c r="AV20" s="49"/>
      <c r="AW20" s="49"/>
      <c r="AX20" s="49"/>
      <c r="AY20" s="52"/>
    </row>
    <row r="21" spans="1:53" s="32" customFormat="1" ht="13.5" customHeight="1">
      <c r="A21" s="62"/>
      <c r="B21" s="101"/>
      <c r="C21" s="49"/>
      <c r="D21" s="49"/>
      <c r="E21" s="49"/>
      <c r="F21" s="49"/>
      <c r="G21" s="49"/>
      <c r="H21" s="49"/>
      <c r="I21" s="51"/>
      <c r="J21" s="350"/>
      <c r="K21" s="351"/>
      <c r="L21" s="101"/>
      <c r="M21" s="102"/>
      <c r="N21" s="102"/>
      <c r="O21" s="49"/>
      <c r="P21" s="49"/>
      <c r="Q21" s="49"/>
      <c r="R21" s="49"/>
      <c r="S21" s="49"/>
      <c r="T21" s="49"/>
      <c r="U21" s="49"/>
      <c r="V21" s="49"/>
      <c r="W21" s="49"/>
      <c r="X21" s="49"/>
      <c r="Y21" s="49"/>
      <c r="Z21" s="49"/>
      <c r="AA21" s="49"/>
      <c r="AB21" s="49"/>
      <c r="AC21" s="49"/>
      <c r="AD21" s="49"/>
      <c r="AE21" s="49"/>
      <c r="AF21" s="49"/>
      <c r="AG21" s="49"/>
      <c r="AH21" s="49"/>
      <c r="AI21" s="49" t="s">
        <v>126</v>
      </c>
      <c r="AJ21" s="49"/>
      <c r="AK21" s="49"/>
      <c r="AL21" s="49"/>
      <c r="AM21" s="205"/>
      <c r="AN21" s="205"/>
      <c r="AO21" s="205"/>
      <c r="AP21" s="49"/>
      <c r="AQ21" s="51"/>
      <c r="AR21" s="208"/>
      <c r="AS21" s="49"/>
      <c r="AT21" s="49"/>
      <c r="AU21" s="49"/>
      <c r="AV21" s="49"/>
      <c r="AW21" s="49"/>
      <c r="AX21" s="49"/>
      <c r="AY21" s="52"/>
    </row>
    <row r="22" spans="1:53" s="32" customFormat="1" ht="13.5" customHeight="1">
      <c r="A22" s="62"/>
      <c r="B22" s="101"/>
      <c r="C22" s="49"/>
      <c r="D22" s="49"/>
      <c r="E22" s="49"/>
      <c r="F22" s="49"/>
      <c r="G22" s="49"/>
      <c r="H22" s="49"/>
      <c r="I22" s="51"/>
      <c r="J22" s="350"/>
      <c r="K22" s="351"/>
      <c r="L22" s="101"/>
      <c r="M22" s="125" t="s">
        <v>98</v>
      </c>
      <c r="N22" s="120"/>
      <c r="O22" s="120"/>
      <c r="P22" s="120"/>
      <c r="Q22" s="121"/>
      <c r="R22" s="30" t="s">
        <v>85</v>
      </c>
      <c r="S22" s="49"/>
      <c r="T22" s="49"/>
      <c r="U22" s="49"/>
      <c r="V22" s="49"/>
      <c r="W22" s="49"/>
      <c r="X22" s="49"/>
      <c r="Y22" s="49"/>
      <c r="Z22" s="49"/>
      <c r="AA22" s="49"/>
      <c r="AB22" s="49"/>
      <c r="AC22" s="49"/>
      <c r="AD22" s="49"/>
      <c r="AE22" s="49"/>
      <c r="AF22" s="49"/>
      <c r="AG22" s="49"/>
      <c r="AH22" s="49"/>
      <c r="AI22" s="49" t="s">
        <v>138</v>
      </c>
      <c r="AJ22" s="49"/>
      <c r="AK22" s="49"/>
      <c r="AL22" s="49"/>
      <c r="AM22" s="205"/>
      <c r="AN22" s="205"/>
      <c r="AO22" s="205"/>
      <c r="AP22" s="49"/>
      <c r="AQ22" s="51"/>
      <c r="AR22" s="208"/>
      <c r="AS22" s="49"/>
      <c r="AT22" s="49"/>
      <c r="AU22" s="49"/>
      <c r="AV22" s="49"/>
      <c r="AW22" s="49"/>
      <c r="AX22" s="49"/>
      <c r="AY22" s="52"/>
    </row>
    <row r="23" spans="1:53" s="32" customFormat="1" ht="13.5" customHeight="1">
      <c r="A23" s="62"/>
      <c r="B23" s="101"/>
      <c r="C23" s="49"/>
      <c r="D23" s="49"/>
      <c r="E23" s="49"/>
      <c r="F23" s="49"/>
      <c r="G23" s="49"/>
      <c r="H23" s="49"/>
      <c r="I23" s="51"/>
      <c r="J23" s="350"/>
      <c r="K23" s="351"/>
      <c r="L23" s="101"/>
      <c r="M23" s="125" t="s">
        <v>117</v>
      </c>
      <c r="N23" s="120"/>
      <c r="O23" s="120"/>
      <c r="P23" s="120"/>
      <c r="Q23" s="121"/>
      <c r="R23" s="49" t="s">
        <v>85</v>
      </c>
      <c r="S23" s="49"/>
      <c r="T23" s="49"/>
      <c r="U23" s="49"/>
      <c r="V23" s="49"/>
      <c r="W23" s="49"/>
      <c r="X23" s="49"/>
      <c r="Y23" s="49"/>
      <c r="Z23" s="49"/>
      <c r="AA23" s="49"/>
      <c r="AB23" s="49"/>
      <c r="AC23" s="49"/>
      <c r="AD23" s="49"/>
      <c r="AE23" s="49"/>
      <c r="AF23" s="49"/>
      <c r="AG23" s="49"/>
      <c r="AH23" s="49"/>
      <c r="AI23" s="126"/>
      <c r="AJ23" s="49" t="s">
        <v>188</v>
      </c>
      <c r="AK23" s="49"/>
      <c r="AL23" s="49"/>
      <c r="AM23" s="49"/>
      <c r="AN23" s="51"/>
      <c r="AO23" s="49"/>
      <c r="AP23" s="49"/>
      <c r="AQ23" s="51"/>
      <c r="AR23" s="208"/>
      <c r="AS23" s="49"/>
      <c r="AT23" s="49"/>
      <c r="AU23" s="49"/>
      <c r="AV23" s="49"/>
      <c r="AW23" s="49"/>
      <c r="AX23" s="49"/>
      <c r="AY23" s="52"/>
    </row>
    <row r="24" spans="1:53" s="32" customFormat="1" ht="13.5" customHeight="1">
      <c r="A24" s="62"/>
      <c r="B24" s="101"/>
      <c r="C24" s="49"/>
      <c r="D24" s="49"/>
      <c r="E24" s="49"/>
      <c r="F24" s="49"/>
      <c r="G24" s="49"/>
      <c r="H24" s="49"/>
      <c r="I24" s="51"/>
      <c r="J24" s="350"/>
      <c r="K24" s="351"/>
      <c r="L24" s="101"/>
      <c r="M24" s="124" t="s">
        <v>99</v>
      </c>
      <c r="N24" s="283"/>
      <c r="O24" s="284"/>
      <c r="P24" s="284"/>
      <c r="Q24" s="285"/>
      <c r="R24" s="49" t="s">
        <v>139</v>
      </c>
      <c r="S24" s="49"/>
      <c r="T24" s="49"/>
      <c r="U24" s="49"/>
      <c r="V24" s="49"/>
      <c r="W24" s="49"/>
      <c r="X24" s="49"/>
      <c r="Y24" s="49"/>
      <c r="Z24" s="49"/>
      <c r="AA24" s="49"/>
      <c r="AB24" s="49"/>
      <c r="AC24" s="49"/>
      <c r="AD24" s="49"/>
      <c r="AE24" s="49"/>
      <c r="AF24" s="49"/>
      <c r="AG24" s="49"/>
      <c r="AH24" s="49"/>
      <c r="AI24" s="205"/>
      <c r="AJ24" s="205"/>
      <c r="AK24" s="205"/>
      <c r="AL24" s="205"/>
      <c r="AM24" s="205"/>
      <c r="AN24" s="205"/>
      <c r="AO24" s="205"/>
      <c r="AP24" s="205"/>
      <c r="AQ24" s="205"/>
      <c r="AR24" s="213"/>
      <c r="AS24" s="205"/>
      <c r="AT24" s="49"/>
      <c r="AU24" s="49"/>
      <c r="AV24" s="49"/>
      <c r="AW24" s="49"/>
      <c r="AX24" s="49"/>
      <c r="AY24" s="52"/>
    </row>
    <row r="25" spans="1:53" s="32" customFormat="1" ht="13.5" customHeight="1">
      <c r="A25" s="62"/>
      <c r="B25" s="101"/>
      <c r="C25" s="49"/>
      <c r="D25" s="49"/>
      <c r="E25" s="49"/>
      <c r="F25" s="49"/>
      <c r="G25" s="49"/>
      <c r="H25" s="49"/>
      <c r="I25" s="51"/>
      <c r="J25" s="350"/>
      <c r="K25" s="351"/>
      <c r="L25" s="101"/>
      <c r="M25" s="101"/>
      <c r="N25" s="102"/>
      <c r="O25" s="49"/>
      <c r="P25" s="49"/>
      <c r="Q25" s="51"/>
      <c r="R25" s="49" t="s">
        <v>457</v>
      </c>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51"/>
      <c r="AR25" s="208"/>
      <c r="AS25" s="49"/>
      <c r="AT25" s="49"/>
      <c r="AU25" s="49"/>
      <c r="AV25" s="49"/>
      <c r="AW25" s="49"/>
      <c r="AX25" s="49"/>
      <c r="AY25" s="52"/>
    </row>
    <row r="26" spans="1:53" s="32" customFormat="1" ht="13.5" customHeight="1">
      <c r="A26" s="62"/>
      <c r="B26" s="101"/>
      <c r="C26" s="49"/>
      <c r="D26" s="49"/>
      <c r="E26" s="49"/>
      <c r="F26" s="49"/>
      <c r="G26" s="49"/>
      <c r="H26" s="49"/>
      <c r="I26" s="51"/>
      <c r="J26" s="350"/>
      <c r="K26" s="351"/>
      <c r="L26" s="101"/>
      <c r="M26" s="101"/>
      <c r="N26" s="102"/>
      <c r="O26" s="49"/>
      <c r="P26" s="49"/>
      <c r="Q26" s="51"/>
      <c r="R26" s="49" t="s">
        <v>458</v>
      </c>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51"/>
      <c r="AR26" s="208"/>
      <c r="AS26" s="49"/>
      <c r="AT26" s="49"/>
      <c r="AU26" s="49"/>
      <c r="AV26" s="49"/>
      <c r="AW26" s="49"/>
      <c r="AX26" s="49"/>
      <c r="AY26" s="52"/>
      <c r="AZ26" s="32">
        <v>0.6</v>
      </c>
    </row>
    <row r="27" spans="1:53" s="32" customFormat="1" ht="13.5" customHeight="1">
      <c r="A27" s="62"/>
      <c r="B27" s="101"/>
      <c r="C27" s="49"/>
      <c r="D27" s="49"/>
      <c r="E27" s="49"/>
      <c r="F27" s="49"/>
      <c r="G27" s="49"/>
      <c r="H27" s="49"/>
      <c r="I27" s="51"/>
      <c r="J27" s="350"/>
      <c r="K27" s="351"/>
      <c r="L27" s="101"/>
      <c r="M27" s="101"/>
      <c r="N27" s="102"/>
      <c r="O27" s="49"/>
      <c r="P27" s="49"/>
      <c r="Q27" s="51"/>
      <c r="R27" s="49" t="s">
        <v>459</v>
      </c>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51"/>
      <c r="AR27" s="49"/>
      <c r="AS27" s="49"/>
      <c r="AT27" s="49"/>
      <c r="AU27" s="49"/>
      <c r="AV27" s="49"/>
      <c r="AW27" s="49"/>
      <c r="AX27" s="49"/>
      <c r="AY27" s="52"/>
      <c r="AZ27" s="32">
        <v>0.6</v>
      </c>
    </row>
    <row r="28" spans="1:53" s="32" customFormat="1" ht="13.5" customHeight="1">
      <c r="A28" s="62"/>
      <c r="B28" s="101"/>
      <c r="C28" s="49"/>
      <c r="D28" s="49"/>
      <c r="E28" s="49"/>
      <c r="F28" s="49"/>
      <c r="G28" s="49"/>
      <c r="H28" s="49"/>
      <c r="I28" s="51"/>
      <c r="J28" s="350"/>
      <c r="K28" s="351"/>
      <c r="L28" s="101"/>
      <c r="M28" s="101"/>
      <c r="N28" s="102"/>
      <c r="O28" s="49"/>
      <c r="P28" s="49"/>
      <c r="Q28" s="51"/>
      <c r="R28" s="49" t="s">
        <v>141</v>
      </c>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51"/>
      <c r="AR28" s="208"/>
      <c r="AS28" s="49"/>
      <c r="AT28" s="49"/>
      <c r="AU28" s="49"/>
      <c r="AV28" s="49"/>
      <c r="AW28" s="49"/>
      <c r="AX28" s="49"/>
      <c r="AY28" s="52"/>
    </row>
    <row r="29" spans="1:53" s="38" customFormat="1" ht="13.5" customHeight="1">
      <c r="A29" s="62"/>
      <c r="B29" s="101"/>
      <c r="C29" s="49"/>
      <c r="D29" s="49"/>
      <c r="E29" s="49"/>
      <c r="F29" s="49"/>
      <c r="G29" s="49"/>
      <c r="H29" s="49"/>
      <c r="I29" s="51"/>
      <c r="J29" s="390"/>
      <c r="K29" s="391"/>
      <c r="L29" s="101"/>
      <c r="M29" s="104"/>
      <c r="N29" s="105"/>
      <c r="O29" s="57"/>
      <c r="P29" s="57"/>
      <c r="Q29" s="59"/>
      <c r="R29" s="49" t="s">
        <v>963</v>
      </c>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51"/>
      <c r="AR29" s="208"/>
      <c r="AS29" s="49"/>
      <c r="AT29" s="49"/>
      <c r="AU29" s="49"/>
      <c r="AV29" s="49"/>
      <c r="AW29" s="49"/>
      <c r="AX29" s="49"/>
      <c r="AY29" s="52"/>
      <c r="AZ29" s="299"/>
      <c r="BA29" s="38">
        <v>2.2999999999999998</v>
      </c>
    </row>
    <row r="30" spans="1:53" s="32" customFormat="1" ht="13.5" customHeight="1">
      <c r="A30" s="62"/>
      <c r="B30" s="101"/>
      <c r="C30" s="49"/>
      <c r="D30" s="49"/>
      <c r="E30" s="49"/>
      <c r="F30" s="49"/>
      <c r="G30" s="49"/>
      <c r="H30" s="49"/>
      <c r="I30" s="51"/>
      <c r="J30" s="350"/>
      <c r="K30" s="351"/>
      <c r="L30" s="101"/>
      <c r="M30" s="122" t="s">
        <v>115</v>
      </c>
      <c r="N30" s="123"/>
      <c r="O30" s="112"/>
      <c r="P30" s="112"/>
      <c r="Q30" s="113"/>
      <c r="R30" s="49" t="s">
        <v>142</v>
      </c>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51"/>
      <c r="AR30" s="208"/>
      <c r="AS30" s="49"/>
      <c r="AT30" s="49"/>
      <c r="AU30" s="49"/>
      <c r="AV30" s="49"/>
      <c r="AW30" s="49"/>
      <c r="AX30" s="49"/>
      <c r="AY30" s="52"/>
    </row>
    <row r="31" spans="1:53" ht="13.5" customHeight="1">
      <c r="A31" s="62"/>
      <c r="B31" s="101"/>
      <c r="C31" s="49"/>
      <c r="D31" s="49"/>
      <c r="E31" s="49"/>
      <c r="F31" s="49"/>
      <c r="G31" s="49"/>
      <c r="H31" s="49"/>
      <c r="I31" s="51"/>
      <c r="J31" s="350"/>
      <c r="K31" s="351"/>
      <c r="L31" s="101"/>
      <c r="M31" s="124" t="s">
        <v>438</v>
      </c>
      <c r="N31" s="283"/>
      <c r="O31" s="284"/>
      <c r="P31" s="284"/>
      <c r="Q31" s="285"/>
      <c r="R31" s="102" t="s">
        <v>439</v>
      </c>
      <c r="S31" s="102"/>
      <c r="T31" s="102"/>
      <c r="U31" s="102"/>
      <c r="V31" s="102"/>
      <c r="W31" s="102"/>
      <c r="X31" s="102"/>
      <c r="Y31" s="102"/>
      <c r="Z31" s="102"/>
      <c r="AA31" s="49"/>
      <c r="AB31" s="49"/>
      <c r="AC31" s="49"/>
      <c r="AD31" s="49"/>
      <c r="AE31" s="49"/>
      <c r="AF31" s="49"/>
      <c r="AG31" s="49"/>
      <c r="AH31" s="49"/>
      <c r="AI31" s="49"/>
      <c r="AJ31" s="49"/>
      <c r="AK31" s="49"/>
      <c r="AL31" s="49"/>
      <c r="AM31" s="49"/>
      <c r="AN31" s="49"/>
      <c r="AO31" s="49"/>
      <c r="AP31" s="49"/>
      <c r="AQ31" s="51"/>
      <c r="AR31" s="208"/>
      <c r="AS31" s="49"/>
      <c r="AT31" s="49"/>
      <c r="AU31" s="49"/>
      <c r="AV31" s="49"/>
      <c r="AW31" s="49"/>
      <c r="AX31" s="49"/>
      <c r="AY31" s="52"/>
    </row>
    <row r="32" spans="1:53" s="38" customFormat="1" ht="13.5" customHeight="1">
      <c r="A32" s="62"/>
      <c r="B32" s="50"/>
      <c r="C32" s="49"/>
      <c r="D32" s="49"/>
      <c r="E32" s="49"/>
      <c r="F32" s="49"/>
      <c r="G32" s="49"/>
      <c r="H32" s="49"/>
      <c r="I32" s="51"/>
      <c r="J32" s="390"/>
      <c r="K32" s="391"/>
      <c r="L32" s="101"/>
      <c r="M32" s="104"/>
      <c r="N32" s="105"/>
      <c r="O32" s="57"/>
      <c r="P32" s="57"/>
      <c r="Q32" s="59"/>
      <c r="R32" s="102" t="s">
        <v>964</v>
      </c>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51"/>
      <c r="AR32" s="208"/>
      <c r="AS32" s="49"/>
      <c r="AT32" s="49"/>
      <c r="AU32" s="49"/>
      <c r="AV32" s="49"/>
      <c r="AW32" s="49"/>
      <c r="AX32" s="49"/>
      <c r="AY32" s="52"/>
      <c r="AZ32" s="299"/>
    </row>
    <row r="33" spans="1:53" ht="13.5" customHeight="1">
      <c r="A33" s="62"/>
      <c r="B33" s="101"/>
      <c r="C33" s="49"/>
      <c r="D33" s="49"/>
      <c r="E33" s="49"/>
      <c r="F33" s="49"/>
      <c r="G33" s="49"/>
      <c r="H33" s="49"/>
      <c r="I33" s="51"/>
      <c r="J33" s="350"/>
      <c r="K33" s="351"/>
      <c r="L33" s="101"/>
      <c r="M33" s="122" t="s">
        <v>127</v>
      </c>
      <c r="N33" s="123"/>
      <c r="O33" s="112"/>
      <c r="P33" s="112"/>
      <c r="Q33" s="113"/>
      <c r="R33" s="49" t="s">
        <v>143</v>
      </c>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51"/>
      <c r="AR33" s="208"/>
      <c r="AS33" s="49"/>
      <c r="AT33" s="49"/>
      <c r="AU33" s="49"/>
      <c r="AV33" s="49"/>
      <c r="AW33" s="49"/>
      <c r="AX33" s="49"/>
      <c r="AY33" s="52"/>
    </row>
    <row r="34" spans="1:53" ht="13.5" customHeight="1">
      <c r="A34" s="62"/>
      <c r="B34" s="50"/>
      <c r="C34" s="49"/>
      <c r="D34" s="49"/>
      <c r="E34" s="49"/>
      <c r="F34" s="49"/>
      <c r="G34" s="49"/>
      <c r="H34" s="49"/>
      <c r="I34" s="51"/>
      <c r="J34" s="350"/>
      <c r="K34" s="351"/>
      <c r="L34" s="101"/>
      <c r="M34" s="124" t="s">
        <v>128</v>
      </c>
      <c r="N34" s="283"/>
      <c r="O34" s="284"/>
      <c r="P34" s="284"/>
      <c r="Q34" s="285"/>
      <c r="R34" s="49" t="s">
        <v>144</v>
      </c>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51"/>
      <c r="AR34" s="208"/>
      <c r="AS34" s="49"/>
      <c r="AT34" s="49"/>
      <c r="AU34" s="49"/>
      <c r="AV34" s="49"/>
      <c r="AW34" s="49"/>
      <c r="AX34" s="49"/>
      <c r="AY34" s="52"/>
    </row>
    <row r="35" spans="1:53" ht="13.5" customHeight="1">
      <c r="A35" s="62"/>
      <c r="B35" s="50"/>
      <c r="C35" s="49"/>
      <c r="D35" s="49"/>
      <c r="E35" s="49"/>
      <c r="F35" s="49"/>
      <c r="G35" s="49"/>
      <c r="H35" s="49"/>
      <c r="I35" s="51"/>
      <c r="J35" s="350"/>
      <c r="K35" s="351"/>
      <c r="L35" s="101"/>
      <c r="M35" s="104"/>
      <c r="N35" s="105"/>
      <c r="O35" s="57"/>
      <c r="P35" s="57"/>
      <c r="Q35" s="59"/>
      <c r="R35" s="49" t="s">
        <v>145</v>
      </c>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51"/>
      <c r="AR35" s="208"/>
      <c r="AS35" s="49"/>
      <c r="AT35" s="49"/>
      <c r="AU35" s="49"/>
      <c r="AV35" s="49"/>
      <c r="AW35" s="49"/>
      <c r="AX35" s="49"/>
      <c r="AY35" s="52"/>
    </row>
    <row r="36" spans="1:53" ht="13.5" customHeight="1">
      <c r="A36" s="62"/>
      <c r="B36" s="50"/>
      <c r="C36" s="49"/>
      <c r="D36" s="49"/>
      <c r="E36" s="49"/>
      <c r="F36" s="49"/>
      <c r="G36" s="49"/>
      <c r="H36" s="49"/>
      <c r="I36" s="51"/>
      <c r="J36" s="350"/>
      <c r="K36" s="351"/>
      <c r="L36" s="101"/>
      <c r="M36" s="125" t="s">
        <v>129</v>
      </c>
      <c r="N36" s="120"/>
      <c r="O36" s="120"/>
      <c r="P36" s="120"/>
      <c r="Q36" s="121"/>
      <c r="R36" s="49" t="s">
        <v>85</v>
      </c>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51"/>
      <c r="AR36" s="208"/>
      <c r="AS36" s="49"/>
      <c r="AT36" s="49"/>
      <c r="AU36" s="49"/>
      <c r="AV36" s="49"/>
      <c r="AW36" s="49"/>
      <c r="AX36" s="49"/>
      <c r="AY36" s="52"/>
    </row>
    <row r="37" spans="1:53" ht="13.5" customHeight="1">
      <c r="A37" s="62"/>
      <c r="B37" s="50"/>
      <c r="C37" s="49"/>
      <c r="D37" s="49"/>
      <c r="E37" s="49"/>
      <c r="F37" s="49"/>
      <c r="G37" s="49"/>
      <c r="H37" s="49"/>
      <c r="I37" s="51"/>
      <c r="J37" s="350"/>
      <c r="K37" s="351"/>
      <c r="L37" s="101"/>
      <c r="M37" s="125" t="s">
        <v>89</v>
      </c>
      <c r="N37" s="120"/>
      <c r="O37" s="120"/>
      <c r="P37" s="120"/>
      <c r="Q37" s="121"/>
      <c r="R37" s="49" t="s">
        <v>85</v>
      </c>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51"/>
      <c r="AR37" s="208"/>
      <c r="AS37" s="49"/>
      <c r="AT37" s="49"/>
      <c r="AU37" s="49"/>
      <c r="AV37" s="49"/>
      <c r="AW37" s="49"/>
      <c r="AX37" s="49"/>
      <c r="AY37" s="52"/>
    </row>
    <row r="38" spans="1:53" ht="13.5" customHeight="1">
      <c r="A38" s="62"/>
      <c r="B38" s="50"/>
      <c r="C38" s="49"/>
      <c r="D38" s="49"/>
      <c r="E38" s="49"/>
      <c r="F38" s="49"/>
      <c r="G38" s="49"/>
      <c r="H38" s="49"/>
      <c r="I38" s="51"/>
      <c r="J38" s="350"/>
      <c r="K38" s="351"/>
      <c r="L38" s="101"/>
      <c r="M38" s="125" t="s">
        <v>444</v>
      </c>
      <c r="N38" s="120"/>
      <c r="O38" s="120"/>
      <c r="P38" s="120"/>
      <c r="Q38" s="121"/>
      <c r="R38" s="49" t="s">
        <v>85</v>
      </c>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51"/>
      <c r="AR38" s="208"/>
      <c r="AS38" s="49"/>
      <c r="AT38" s="49"/>
      <c r="AU38" s="49"/>
      <c r="AV38" s="49"/>
      <c r="AW38" s="49"/>
      <c r="AX38" s="49"/>
      <c r="AY38" s="52"/>
    </row>
    <row r="39" spans="1:53" ht="13.5" customHeight="1">
      <c r="A39" s="62"/>
      <c r="B39" s="50"/>
      <c r="C39" s="49"/>
      <c r="D39" s="49"/>
      <c r="E39" s="49"/>
      <c r="F39" s="49"/>
      <c r="G39" s="49"/>
      <c r="H39" s="49"/>
      <c r="I39" s="51"/>
      <c r="J39" s="350"/>
      <c r="K39" s="351"/>
      <c r="L39" s="101"/>
      <c r="M39" s="122" t="s">
        <v>130</v>
      </c>
      <c r="N39" s="123"/>
      <c r="O39" s="123"/>
      <c r="P39" s="123"/>
      <c r="Q39" s="134"/>
      <c r="R39" s="49" t="s">
        <v>287</v>
      </c>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51"/>
      <c r="AR39" s="208"/>
      <c r="AS39" s="49"/>
      <c r="AT39" s="49"/>
      <c r="AU39" s="49"/>
      <c r="AV39" s="49"/>
      <c r="AW39" s="49"/>
      <c r="AX39" s="49"/>
      <c r="AY39" s="52"/>
    </row>
    <row r="40" spans="1:53" ht="13.5" customHeight="1">
      <c r="A40" s="62"/>
      <c r="B40" s="50"/>
      <c r="C40" s="49"/>
      <c r="D40" s="49"/>
      <c r="E40" s="49"/>
      <c r="F40" s="49"/>
      <c r="G40" s="49"/>
      <c r="H40" s="49"/>
      <c r="I40" s="51"/>
      <c r="J40" s="350"/>
      <c r="K40" s="351"/>
      <c r="L40" s="101"/>
      <c r="M40" s="125" t="s">
        <v>131</v>
      </c>
      <c r="N40" s="120"/>
      <c r="O40" s="120"/>
      <c r="P40" s="120"/>
      <c r="Q40" s="121"/>
      <c r="R40" s="49" t="s">
        <v>137</v>
      </c>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51"/>
      <c r="AR40" s="208"/>
      <c r="AS40" s="49"/>
      <c r="AT40" s="49"/>
      <c r="AU40" s="49"/>
      <c r="AV40" s="49"/>
      <c r="AW40" s="49"/>
      <c r="AX40" s="49"/>
      <c r="AY40" s="52"/>
    </row>
    <row r="41" spans="1:53" ht="13.5" customHeight="1">
      <c r="A41" s="62"/>
      <c r="B41" s="50"/>
      <c r="C41" s="49"/>
      <c r="D41" s="49"/>
      <c r="E41" s="49"/>
      <c r="F41" s="49"/>
      <c r="G41" s="49"/>
      <c r="H41" s="49"/>
      <c r="I41" s="51"/>
      <c r="J41" s="350"/>
      <c r="K41" s="351"/>
      <c r="L41" s="101"/>
      <c r="M41" s="125" t="s">
        <v>120</v>
      </c>
      <c r="N41" s="120"/>
      <c r="O41" s="120"/>
      <c r="P41" s="120"/>
      <c r="Q41" s="121"/>
      <c r="R41" s="49" t="s">
        <v>137</v>
      </c>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51"/>
      <c r="AR41" s="208"/>
      <c r="AS41" s="49"/>
      <c r="AT41" s="49"/>
      <c r="AU41" s="49"/>
      <c r="AV41" s="49"/>
      <c r="AW41" s="49"/>
      <c r="AX41" s="49"/>
      <c r="AY41" s="52"/>
    </row>
    <row r="42" spans="1:53" ht="13.5" customHeight="1">
      <c r="A42" s="62"/>
      <c r="B42" s="50"/>
      <c r="C42" s="49"/>
      <c r="D42" s="49"/>
      <c r="E42" s="49"/>
      <c r="F42" s="49"/>
      <c r="G42" s="49"/>
      <c r="H42" s="49"/>
      <c r="I42" s="51"/>
      <c r="J42" s="350"/>
      <c r="K42" s="351"/>
      <c r="L42" s="101"/>
      <c r="M42" s="122" t="s">
        <v>134</v>
      </c>
      <c r="N42" s="123"/>
      <c r="O42" s="112"/>
      <c r="P42" s="112"/>
      <c r="Q42" s="113"/>
      <c r="R42" s="102" t="s">
        <v>285</v>
      </c>
      <c r="S42" s="102"/>
      <c r="T42" s="102"/>
      <c r="U42" s="102"/>
      <c r="V42" s="102"/>
      <c r="W42" s="102"/>
      <c r="X42" s="102"/>
      <c r="Y42" s="102"/>
      <c r="Z42" s="102"/>
      <c r="AA42" s="49"/>
      <c r="AB42" s="49"/>
      <c r="AC42" s="49"/>
      <c r="AD42" s="49"/>
      <c r="AE42" s="49"/>
      <c r="AF42" s="49"/>
      <c r="AG42" s="49"/>
      <c r="AH42" s="49"/>
      <c r="AI42" s="49"/>
      <c r="AJ42" s="49"/>
      <c r="AK42" s="49"/>
      <c r="AL42" s="49"/>
      <c r="AM42" s="49"/>
      <c r="AN42" s="49"/>
      <c r="AO42" s="49"/>
      <c r="AP42" s="49"/>
      <c r="AQ42" s="51"/>
      <c r="AR42" s="208"/>
      <c r="AS42" s="49"/>
      <c r="AT42" s="49"/>
      <c r="AU42" s="49"/>
      <c r="AV42" s="49"/>
      <c r="AW42" s="49"/>
      <c r="AX42" s="49"/>
      <c r="AY42" s="52"/>
    </row>
    <row r="43" spans="1:53" ht="13.5" customHeight="1">
      <c r="A43" s="62"/>
      <c r="B43" s="50"/>
      <c r="C43" s="49"/>
      <c r="D43" s="49"/>
      <c r="E43" s="49"/>
      <c r="F43" s="49"/>
      <c r="G43" s="49"/>
      <c r="H43" s="49"/>
      <c r="I43" s="51"/>
      <c r="J43" s="350"/>
      <c r="K43" s="351"/>
      <c r="L43" s="101"/>
      <c r="M43" s="122" t="s">
        <v>135</v>
      </c>
      <c r="N43" s="123"/>
      <c r="O43" s="112"/>
      <c r="P43" s="112"/>
      <c r="Q43" s="113"/>
      <c r="R43" s="102" t="s">
        <v>286</v>
      </c>
      <c r="S43" s="102"/>
      <c r="T43" s="102"/>
      <c r="U43" s="102"/>
      <c r="V43" s="102"/>
      <c r="W43" s="102"/>
      <c r="X43" s="102"/>
      <c r="Y43" s="102"/>
      <c r="Z43" s="102"/>
      <c r="AA43" s="49"/>
      <c r="AB43" s="49"/>
      <c r="AC43" s="49"/>
      <c r="AD43" s="49"/>
      <c r="AE43" s="49"/>
      <c r="AF43" s="49"/>
      <c r="AG43" s="49"/>
      <c r="AH43" s="49"/>
      <c r="AI43" s="49"/>
      <c r="AJ43" s="49"/>
      <c r="AK43" s="49"/>
      <c r="AL43" s="49"/>
      <c r="AM43" s="49"/>
      <c r="AN43" s="49"/>
      <c r="AO43" s="49"/>
      <c r="AP43" s="49"/>
      <c r="AQ43" s="51"/>
      <c r="AR43" s="208"/>
      <c r="AS43" s="49"/>
      <c r="AT43" s="49"/>
      <c r="AU43" s="49"/>
      <c r="AV43" s="49"/>
      <c r="AW43" s="49"/>
      <c r="AX43" s="49"/>
      <c r="AY43" s="52"/>
    </row>
    <row r="44" spans="1:53" ht="13.5" customHeight="1">
      <c r="A44" s="62"/>
      <c r="B44" s="50"/>
      <c r="C44" s="49"/>
      <c r="D44" s="49"/>
      <c r="E44" s="49"/>
      <c r="F44" s="49"/>
      <c r="G44" s="49"/>
      <c r="H44" s="49"/>
      <c r="I44" s="51"/>
      <c r="J44" s="390"/>
      <c r="K44" s="391"/>
      <c r="L44" s="101"/>
      <c r="M44" s="102"/>
      <c r="N44" s="102"/>
      <c r="O44" s="49"/>
      <c r="P44" s="49"/>
      <c r="Q44" s="49"/>
      <c r="R44" s="102"/>
      <c r="S44" s="102"/>
      <c r="T44" s="102"/>
      <c r="U44" s="102"/>
      <c r="V44" s="102"/>
      <c r="W44" s="102"/>
      <c r="X44" s="102"/>
      <c r="Y44" s="102"/>
      <c r="Z44" s="102"/>
      <c r="AA44" s="49"/>
      <c r="AB44" s="49"/>
      <c r="AC44" s="49"/>
      <c r="AD44" s="49"/>
      <c r="AE44" s="49"/>
      <c r="AF44" s="49"/>
      <c r="AG44" s="49"/>
      <c r="AH44" s="49"/>
      <c r="AI44" s="49"/>
      <c r="AJ44" s="49"/>
      <c r="AK44" s="49"/>
      <c r="AL44" s="49"/>
      <c r="AM44" s="49"/>
      <c r="AN44" s="49"/>
      <c r="AO44" s="49"/>
      <c r="AP44" s="49"/>
      <c r="AQ44" s="51"/>
      <c r="AR44" s="208"/>
      <c r="AS44" s="49"/>
      <c r="AT44" s="49"/>
      <c r="AU44" s="49"/>
      <c r="AV44" s="49"/>
      <c r="AW44" s="49"/>
      <c r="AX44" s="49"/>
      <c r="AY44" s="52"/>
    </row>
    <row r="45" spans="1:53" ht="13.5" customHeight="1">
      <c r="A45" s="62"/>
      <c r="B45" s="50"/>
      <c r="C45" s="49"/>
      <c r="D45" s="49"/>
      <c r="E45" s="49"/>
      <c r="F45" s="49"/>
      <c r="G45" s="49"/>
      <c r="H45" s="49"/>
      <c r="I45" s="51"/>
      <c r="J45" s="390"/>
      <c r="K45" s="391"/>
      <c r="L45" s="101"/>
      <c r="M45" s="139" t="s">
        <v>965</v>
      </c>
      <c r="N45" s="505"/>
      <c r="O45" s="139"/>
      <c r="P45" s="139"/>
      <c r="Q45" s="139"/>
      <c r="R45" s="505"/>
      <c r="S45" s="505"/>
      <c r="T45" s="505"/>
      <c r="U45" s="505"/>
      <c r="V45" s="505"/>
      <c r="W45" s="505"/>
      <c r="X45" s="505"/>
      <c r="Y45" s="505"/>
      <c r="Z45" s="505"/>
      <c r="AA45" s="139"/>
      <c r="AB45" s="139"/>
      <c r="AC45" s="139"/>
      <c r="AD45" s="139"/>
      <c r="AE45" s="139"/>
      <c r="AF45" s="139"/>
      <c r="AG45" s="139"/>
      <c r="AH45" s="139"/>
      <c r="AI45" s="139"/>
      <c r="AJ45" s="139"/>
      <c r="AK45" s="139"/>
      <c r="AL45" s="139"/>
      <c r="AM45" s="139"/>
      <c r="AN45" s="139"/>
      <c r="AO45" s="139"/>
      <c r="AP45" s="49"/>
      <c r="AQ45" s="51"/>
      <c r="AR45" s="208"/>
      <c r="AS45" s="49"/>
      <c r="AT45" s="49"/>
      <c r="AU45" s="49"/>
      <c r="AV45" s="49"/>
      <c r="AW45" s="49"/>
      <c r="AX45" s="49"/>
      <c r="AY45" s="52"/>
      <c r="BA45" s="23">
        <v>2.2999999999999998</v>
      </c>
    </row>
    <row r="46" spans="1:53" ht="13.5" customHeight="1">
      <c r="A46" s="62"/>
      <c r="B46" s="50"/>
      <c r="C46" s="49"/>
      <c r="D46" s="49"/>
      <c r="E46" s="49"/>
      <c r="F46" s="49"/>
      <c r="G46" s="49"/>
      <c r="H46" s="49"/>
      <c r="I46" s="51"/>
      <c r="J46" s="390"/>
      <c r="K46" s="391"/>
      <c r="L46" s="101"/>
      <c r="M46" s="505"/>
      <c r="N46" s="505" t="s">
        <v>966</v>
      </c>
      <c r="O46" s="139"/>
      <c r="P46" s="139"/>
      <c r="Q46" s="139"/>
      <c r="R46" s="505"/>
      <c r="S46" s="505"/>
      <c r="T46" s="505"/>
      <c r="U46" s="505"/>
      <c r="V46" s="505"/>
      <c r="W46" s="505"/>
      <c r="X46" s="505"/>
      <c r="Y46" s="505"/>
      <c r="Z46" s="505"/>
      <c r="AA46" s="139"/>
      <c r="AB46" s="139"/>
      <c r="AC46" s="139"/>
      <c r="AD46" s="139"/>
      <c r="AE46" s="139"/>
      <c r="AF46" s="139"/>
      <c r="AG46" s="139"/>
      <c r="AH46" s="139"/>
      <c r="AI46" s="139"/>
      <c r="AJ46" s="139"/>
      <c r="AK46" s="139"/>
      <c r="AL46" s="139"/>
      <c r="AM46" s="139"/>
      <c r="AN46" s="139"/>
      <c r="AO46" s="139"/>
      <c r="AP46" s="49"/>
      <c r="AQ46" s="51"/>
      <c r="AR46" s="208"/>
      <c r="AS46" s="49"/>
      <c r="AT46" s="49"/>
      <c r="AU46" s="49"/>
      <c r="AV46" s="49"/>
      <c r="AW46" s="49"/>
      <c r="AX46" s="49"/>
      <c r="AY46" s="52"/>
      <c r="BA46" s="23">
        <v>2.2999999999999998</v>
      </c>
    </row>
    <row r="47" spans="1:53" ht="13.5" customHeight="1" thickBot="1">
      <c r="A47" s="335"/>
      <c r="B47" s="322"/>
      <c r="C47" s="323"/>
      <c r="D47" s="323"/>
      <c r="E47" s="323"/>
      <c r="F47" s="323"/>
      <c r="G47" s="323"/>
      <c r="H47" s="323"/>
      <c r="I47" s="324"/>
      <c r="J47" s="354"/>
      <c r="K47" s="355"/>
      <c r="L47" s="336"/>
      <c r="M47" s="338"/>
      <c r="N47" s="338"/>
      <c r="O47" s="323"/>
      <c r="P47" s="323"/>
      <c r="Q47" s="323"/>
      <c r="R47" s="323"/>
      <c r="S47" s="323"/>
      <c r="T47" s="323"/>
      <c r="U47" s="323"/>
      <c r="V47" s="323"/>
      <c r="W47" s="323"/>
      <c r="X47" s="323"/>
      <c r="Y47" s="323"/>
      <c r="Z47" s="323"/>
      <c r="AA47" s="323"/>
      <c r="AB47" s="323"/>
      <c r="AC47" s="323"/>
      <c r="AD47" s="323"/>
      <c r="AE47" s="323"/>
      <c r="AF47" s="323"/>
      <c r="AG47" s="323"/>
      <c r="AH47" s="323"/>
      <c r="AI47" s="323"/>
      <c r="AJ47" s="323"/>
      <c r="AK47" s="323"/>
      <c r="AL47" s="323"/>
      <c r="AM47" s="323"/>
      <c r="AN47" s="323"/>
      <c r="AO47" s="323"/>
      <c r="AP47" s="323"/>
      <c r="AQ47" s="324"/>
      <c r="AR47" s="327"/>
      <c r="AS47" s="323"/>
      <c r="AT47" s="323"/>
      <c r="AU47" s="323"/>
      <c r="AV47" s="323"/>
      <c r="AW47" s="323"/>
      <c r="AX47" s="323"/>
      <c r="AY47" s="328"/>
    </row>
    <row r="48" spans="1:53" ht="13.5" customHeight="1">
      <c r="A48" s="62"/>
      <c r="B48" s="50"/>
      <c r="C48" s="49"/>
      <c r="D48" s="49"/>
      <c r="E48" s="49"/>
      <c r="F48" s="49"/>
      <c r="G48" s="49"/>
      <c r="H48" s="49"/>
      <c r="I48" s="51"/>
      <c r="J48" s="350"/>
      <c r="K48" s="351"/>
      <c r="L48" s="50" t="s">
        <v>159</v>
      </c>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51"/>
      <c r="AR48" s="208"/>
      <c r="AS48" s="49"/>
      <c r="AT48" s="49"/>
      <c r="AU48" s="49"/>
      <c r="AV48" s="49"/>
      <c r="AW48" s="49"/>
      <c r="AX48" s="49"/>
      <c r="AY48" s="136"/>
    </row>
    <row r="49" spans="1:51" ht="13.5" customHeight="1">
      <c r="A49" s="62"/>
      <c r="B49" s="50"/>
      <c r="C49" s="49"/>
      <c r="D49" s="49"/>
      <c r="E49" s="49"/>
      <c r="F49" s="49"/>
      <c r="G49" s="49"/>
      <c r="H49" s="49"/>
      <c r="I49" s="51"/>
      <c r="J49" s="350"/>
      <c r="K49" s="351"/>
      <c r="L49" s="50"/>
      <c r="M49" s="49" t="s">
        <v>161</v>
      </c>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51"/>
      <c r="AR49" s="208"/>
      <c r="AS49" s="49"/>
      <c r="AT49" s="49"/>
      <c r="AU49" s="49"/>
      <c r="AV49" s="49"/>
      <c r="AW49" s="49"/>
      <c r="AX49" s="49"/>
      <c r="AY49" s="52"/>
    </row>
    <row r="50" spans="1:51" ht="13.5" customHeight="1">
      <c r="A50" s="62"/>
      <c r="B50" s="50"/>
      <c r="C50" s="49"/>
      <c r="D50" s="49"/>
      <c r="E50" s="49"/>
      <c r="F50" s="49"/>
      <c r="G50" s="49"/>
      <c r="H50" s="49"/>
      <c r="I50" s="51"/>
      <c r="J50" s="350"/>
      <c r="K50" s="351"/>
      <c r="L50" s="50"/>
      <c r="M50" s="49" t="s">
        <v>160</v>
      </c>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51"/>
      <c r="AR50" s="208"/>
      <c r="AS50" s="49"/>
      <c r="AT50" s="49"/>
      <c r="AU50" s="49"/>
      <c r="AV50" s="49"/>
      <c r="AW50" s="49"/>
      <c r="AX50" s="49"/>
      <c r="AY50" s="52"/>
    </row>
    <row r="51" spans="1:51" ht="13.5" customHeight="1">
      <c r="A51" s="62"/>
      <c r="B51" s="50"/>
      <c r="C51" s="49"/>
      <c r="D51" s="49"/>
      <c r="E51" s="49"/>
      <c r="F51" s="49"/>
      <c r="G51" s="49"/>
      <c r="H51" s="49"/>
      <c r="I51" s="51"/>
      <c r="J51" s="350"/>
      <c r="K51" s="351"/>
      <c r="L51" s="50"/>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51"/>
      <c r="AR51" s="208"/>
      <c r="AS51" s="49"/>
      <c r="AT51" s="49"/>
      <c r="AU51" s="49"/>
      <c r="AV51" s="49"/>
      <c r="AW51" s="49"/>
      <c r="AX51" s="49"/>
      <c r="AY51" s="52"/>
    </row>
    <row r="52" spans="1:51" ht="13.5" customHeight="1">
      <c r="A52" s="62"/>
      <c r="B52" s="50"/>
      <c r="C52" s="49"/>
      <c r="D52" s="49"/>
      <c r="E52" s="49"/>
      <c r="F52" s="49"/>
      <c r="G52" s="49"/>
      <c r="H52" s="49"/>
      <c r="I52" s="51"/>
      <c r="J52" s="350"/>
      <c r="K52" s="351"/>
      <c r="L52" s="141"/>
      <c r="M52" s="139" t="s">
        <v>462</v>
      </c>
      <c r="N52" s="139"/>
      <c r="O52" s="139"/>
      <c r="P52" s="139"/>
      <c r="Q52" s="139"/>
      <c r="R52" s="139"/>
      <c r="S52" s="139"/>
      <c r="T52" s="139"/>
      <c r="U52" s="139"/>
      <c r="V52" s="139"/>
      <c r="W52" s="139"/>
      <c r="X52" s="139"/>
      <c r="Y52" s="139"/>
      <c r="Z52" s="139"/>
      <c r="AA52" s="139"/>
      <c r="AB52" s="139"/>
      <c r="AC52" s="139"/>
      <c r="AD52" s="139"/>
      <c r="AE52" s="139"/>
      <c r="AF52" s="139"/>
      <c r="AG52" s="139"/>
      <c r="AH52" s="139"/>
      <c r="AI52" s="49"/>
      <c r="AJ52" s="49"/>
      <c r="AK52" s="49"/>
      <c r="AL52" s="49"/>
      <c r="AM52" s="49"/>
      <c r="AN52" s="49"/>
      <c r="AO52" s="49"/>
      <c r="AP52" s="49"/>
      <c r="AQ52" s="51"/>
      <c r="AR52" s="208"/>
      <c r="AS52" s="49"/>
      <c r="AT52" s="49"/>
      <c r="AU52" s="49"/>
      <c r="AV52" s="49"/>
      <c r="AW52" s="49"/>
      <c r="AX52" s="49"/>
      <c r="AY52" s="52"/>
    </row>
    <row r="53" spans="1:51" ht="13.5" customHeight="1">
      <c r="A53" s="62"/>
      <c r="B53" s="50"/>
      <c r="C53" s="49"/>
      <c r="D53" s="49"/>
      <c r="E53" s="49"/>
      <c r="F53" s="49"/>
      <c r="G53" s="49"/>
      <c r="H53" s="49"/>
      <c r="I53" s="51"/>
      <c r="J53" s="350"/>
      <c r="K53" s="351"/>
      <c r="L53" s="141"/>
      <c r="M53" s="506" t="s">
        <v>460</v>
      </c>
      <c r="N53" s="507"/>
      <c r="O53" s="508"/>
      <c r="P53" s="509"/>
      <c r="Q53" s="509"/>
      <c r="R53" s="509"/>
      <c r="S53" s="509"/>
      <c r="T53" s="509"/>
      <c r="U53" s="510"/>
      <c r="V53" s="511" t="s">
        <v>461</v>
      </c>
      <c r="W53" s="509"/>
      <c r="X53" s="509"/>
      <c r="Y53" s="509"/>
      <c r="Z53" s="509"/>
      <c r="AA53" s="509"/>
      <c r="AB53" s="508"/>
      <c r="AC53" s="509"/>
      <c r="AD53" s="512"/>
      <c r="AE53" s="139"/>
      <c r="AF53" s="139"/>
      <c r="AG53" s="139"/>
      <c r="AH53" s="139"/>
      <c r="AI53" s="49"/>
      <c r="AJ53" s="49"/>
      <c r="AK53" s="49"/>
      <c r="AL53" s="49"/>
      <c r="AM53" s="49"/>
      <c r="AN53" s="49"/>
      <c r="AO53" s="49"/>
      <c r="AP53" s="49"/>
      <c r="AQ53" s="51"/>
      <c r="AR53" s="208"/>
      <c r="AS53" s="49"/>
      <c r="AT53" s="49"/>
      <c r="AU53" s="49"/>
      <c r="AV53" s="49"/>
      <c r="AW53" s="49"/>
      <c r="AX53" s="49"/>
      <c r="AY53" s="52"/>
    </row>
    <row r="54" spans="1:51" ht="13.5" customHeight="1">
      <c r="A54" s="62"/>
      <c r="B54" s="50"/>
      <c r="C54" s="49"/>
      <c r="D54" s="49"/>
      <c r="E54" s="49"/>
      <c r="F54" s="49"/>
      <c r="G54" s="49"/>
      <c r="H54" s="49"/>
      <c r="I54" s="51"/>
      <c r="J54" s="350"/>
      <c r="K54" s="351"/>
      <c r="L54" s="141"/>
      <c r="M54" s="513" t="s">
        <v>464</v>
      </c>
      <c r="N54" s="514"/>
      <c r="O54" s="515"/>
      <c r="P54" s="516"/>
      <c r="Q54" s="516"/>
      <c r="R54" s="516"/>
      <c r="S54" s="516"/>
      <c r="T54" s="516"/>
      <c r="U54" s="517"/>
      <c r="V54" s="518" t="s">
        <v>463</v>
      </c>
      <c r="W54" s="516"/>
      <c r="X54" s="516"/>
      <c r="Y54" s="516"/>
      <c r="Z54" s="516"/>
      <c r="AA54" s="516"/>
      <c r="AB54" s="515"/>
      <c r="AC54" s="516"/>
      <c r="AD54" s="519"/>
      <c r="AE54" s="139"/>
      <c r="AF54" s="139"/>
      <c r="AG54" s="139"/>
      <c r="AH54" s="139"/>
      <c r="AI54" s="49"/>
      <c r="AJ54" s="49"/>
      <c r="AK54" s="49"/>
      <c r="AL54" s="49"/>
      <c r="AM54" s="49"/>
      <c r="AN54" s="49"/>
      <c r="AO54" s="49"/>
      <c r="AP54" s="49"/>
      <c r="AQ54" s="51"/>
      <c r="AR54" s="208"/>
      <c r="AS54" s="49"/>
      <c r="AT54" s="49"/>
      <c r="AU54" s="49"/>
      <c r="AV54" s="49"/>
      <c r="AW54" s="49"/>
      <c r="AX54" s="49"/>
      <c r="AY54" s="52"/>
    </row>
    <row r="55" spans="1:51" ht="13.5" customHeight="1">
      <c r="A55" s="62"/>
      <c r="B55" s="50"/>
      <c r="C55" s="49"/>
      <c r="D55" s="49"/>
      <c r="E55" s="49"/>
      <c r="F55" s="49"/>
      <c r="G55" s="49"/>
      <c r="H55" s="49"/>
      <c r="I55" s="51"/>
      <c r="J55" s="350"/>
      <c r="K55" s="351"/>
      <c r="L55" s="141"/>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49"/>
      <c r="AJ55" s="49"/>
      <c r="AK55" s="49"/>
      <c r="AL55" s="49"/>
      <c r="AM55" s="49"/>
      <c r="AN55" s="49"/>
      <c r="AO55" s="49"/>
      <c r="AP55" s="49"/>
      <c r="AQ55" s="51"/>
      <c r="AR55" s="208"/>
      <c r="AS55" s="49"/>
      <c r="AT55" s="49"/>
      <c r="AU55" s="49"/>
      <c r="AV55" s="49"/>
      <c r="AW55" s="49"/>
      <c r="AX55" s="49"/>
      <c r="AY55" s="52"/>
    </row>
    <row r="56" spans="1:51" ht="13.5" customHeight="1">
      <c r="A56" s="62"/>
      <c r="B56" s="50"/>
      <c r="C56" s="49"/>
      <c r="D56" s="49"/>
      <c r="E56" s="49"/>
      <c r="F56" s="49"/>
      <c r="G56" s="49"/>
      <c r="H56" s="49"/>
      <c r="I56" s="51"/>
      <c r="J56" s="350"/>
      <c r="K56" s="351"/>
      <c r="L56" s="50"/>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51"/>
      <c r="AR56" s="208"/>
      <c r="AS56" s="49"/>
      <c r="AT56" s="49"/>
      <c r="AU56" s="49"/>
      <c r="AV56" s="49"/>
      <c r="AW56" s="49"/>
      <c r="AX56" s="49"/>
      <c r="AY56" s="52"/>
    </row>
    <row r="57" spans="1:51" ht="13.5" customHeight="1">
      <c r="A57" s="62"/>
      <c r="B57" s="50"/>
      <c r="C57" s="49"/>
      <c r="D57" s="49"/>
      <c r="E57" s="49"/>
      <c r="F57" s="49"/>
      <c r="G57" s="49"/>
      <c r="H57" s="49"/>
      <c r="I57" s="51"/>
      <c r="J57" s="350"/>
      <c r="K57" s="351"/>
      <c r="L57" s="50" t="s">
        <v>288</v>
      </c>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51"/>
      <c r="AR57" s="208"/>
      <c r="AS57" s="49"/>
      <c r="AT57" s="49"/>
      <c r="AU57" s="49"/>
      <c r="AV57" s="49"/>
      <c r="AW57" s="49"/>
      <c r="AX57" s="49"/>
      <c r="AY57" s="136"/>
    </row>
    <row r="58" spans="1:51" ht="13.5" customHeight="1">
      <c r="A58" s="62"/>
      <c r="B58" s="50"/>
      <c r="C58" s="49"/>
      <c r="D58" s="49"/>
      <c r="E58" s="49"/>
      <c r="F58" s="49"/>
      <c r="G58" s="49"/>
      <c r="H58" s="49"/>
      <c r="I58" s="51"/>
      <c r="J58" s="350"/>
      <c r="K58" s="351"/>
      <c r="L58" s="50"/>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51"/>
      <c r="AR58" s="208"/>
      <c r="AS58" s="49"/>
      <c r="AT58" s="49"/>
      <c r="AU58" s="49"/>
      <c r="AV58" s="49"/>
      <c r="AW58" s="49"/>
      <c r="AX58" s="49"/>
      <c r="AY58" s="52"/>
    </row>
    <row r="59" spans="1:51" ht="13.5" customHeight="1">
      <c r="A59" s="62"/>
      <c r="B59" s="50"/>
      <c r="C59" s="49"/>
      <c r="D59" s="49"/>
      <c r="E59" s="49"/>
      <c r="F59" s="49"/>
      <c r="G59" s="49"/>
      <c r="H59" s="49"/>
      <c r="I59" s="51"/>
      <c r="J59" s="350"/>
      <c r="K59" s="351"/>
      <c r="L59" s="50"/>
      <c r="M59" s="49" t="s">
        <v>207</v>
      </c>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51"/>
      <c r="AR59" s="208"/>
      <c r="AS59" s="49"/>
      <c r="AT59" s="49"/>
      <c r="AU59" s="49"/>
      <c r="AV59" s="49"/>
      <c r="AW59" s="49"/>
      <c r="AX59" s="49"/>
      <c r="AY59" s="52"/>
    </row>
    <row r="60" spans="1:51" ht="13.5" customHeight="1">
      <c r="A60" s="62"/>
      <c r="B60" s="50"/>
      <c r="C60" s="49"/>
      <c r="D60" s="49"/>
      <c r="E60" s="49"/>
      <c r="F60" s="49"/>
      <c r="G60" s="49"/>
      <c r="H60" s="49"/>
      <c r="I60" s="51"/>
      <c r="J60" s="350"/>
      <c r="K60" s="351"/>
      <c r="L60" s="50"/>
      <c r="M60" s="131" t="s">
        <v>185</v>
      </c>
      <c r="N60" s="132"/>
      <c r="O60" s="132"/>
      <c r="P60" s="132"/>
      <c r="Q60" s="132"/>
      <c r="R60" s="133"/>
      <c r="S60" s="131" t="s">
        <v>131</v>
      </c>
      <c r="T60" s="132"/>
      <c r="U60" s="132"/>
      <c r="V60" s="132"/>
      <c r="W60" s="132"/>
      <c r="X60" s="132"/>
      <c r="Y60" s="133"/>
      <c r="Z60" s="131" t="s">
        <v>120</v>
      </c>
      <c r="AA60" s="132"/>
      <c r="AB60" s="132"/>
      <c r="AC60" s="132"/>
      <c r="AD60" s="132"/>
      <c r="AE60" s="132"/>
      <c r="AF60" s="132"/>
      <c r="AG60" s="133"/>
      <c r="AH60" s="49"/>
      <c r="AI60" s="49"/>
      <c r="AJ60" s="49"/>
      <c r="AK60" s="49"/>
      <c r="AL60" s="49"/>
      <c r="AM60" s="49"/>
      <c r="AN60" s="49"/>
      <c r="AO60" s="49"/>
      <c r="AP60" s="49"/>
      <c r="AQ60" s="51"/>
      <c r="AR60" s="208"/>
      <c r="AS60" s="49"/>
      <c r="AT60" s="49"/>
      <c r="AU60" s="49"/>
      <c r="AV60" s="49"/>
      <c r="AW60" s="49"/>
      <c r="AX60" s="49"/>
      <c r="AY60" s="52"/>
    </row>
    <row r="61" spans="1:51" ht="13.5" customHeight="1">
      <c r="A61" s="62"/>
      <c r="B61" s="50"/>
      <c r="C61" s="49"/>
      <c r="D61" s="49"/>
      <c r="E61" s="49"/>
      <c r="F61" s="49"/>
      <c r="G61" s="49"/>
      <c r="H61" s="49"/>
      <c r="I61" s="51"/>
      <c r="J61" s="350"/>
      <c r="K61" s="351"/>
      <c r="L61" s="50"/>
      <c r="M61" s="128" t="s">
        <v>250</v>
      </c>
      <c r="N61" s="129"/>
      <c r="O61" s="129"/>
      <c r="P61" s="129"/>
      <c r="Q61" s="129"/>
      <c r="R61" s="130"/>
      <c r="S61" s="128" t="s">
        <v>203</v>
      </c>
      <c r="T61" s="129"/>
      <c r="U61" s="129"/>
      <c r="V61" s="129"/>
      <c r="W61" s="129"/>
      <c r="X61" s="129"/>
      <c r="Y61" s="130"/>
      <c r="Z61" s="128">
        <v>0</v>
      </c>
      <c r="AA61" s="129"/>
      <c r="AB61" s="129"/>
      <c r="AC61" s="129"/>
      <c r="AD61" s="129"/>
      <c r="AE61" s="129"/>
      <c r="AF61" s="129"/>
      <c r="AG61" s="130"/>
      <c r="AH61" s="49"/>
      <c r="AI61" s="49"/>
      <c r="AJ61" s="49"/>
      <c r="AK61" s="49"/>
      <c r="AL61" s="49"/>
      <c r="AM61" s="49"/>
      <c r="AN61" s="49"/>
      <c r="AO61" s="49"/>
      <c r="AP61" s="49"/>
      <c r="AQ61" s="51"/>
      <c r="AR61" s="208"/>
      <c r="AS61" s="49"/>
      <c r="AT61" s="49"/>
      <c r="AU61" s="49"/>
      <c r="AV61" s="49"/>
      <c r="AW61" s="49"/>
      <c r="AX61" s="49"/>
      <c r="AY61" s="52"/>
    </row>
    <row r="62" spans="1:51" ht="13.5" customHeight="1">
      <c r="A62" s="62"/>
      <c r="B62" s="50"/>
      <c r="C62" s="49"/>
      <c r="D62" s="49"/>
      <c r="E62" s="49"/>
      <c r="F62" s="49"/>
      <c r="G62" s="49"/>
      <c r="H62" s="49"/>
      <c r="I62" s="51"/>
      <c r="J62" s="350"/>
      <c r="K62" s="351"/>
      <c r="L62" s="50"/>
      <c r="M62" s="128" t="s">
        <v>251</v>
      </c>
      <c r="N62" s="129"/>
      <c r="O62" s="129"/>
      <c r="P62" s="129"/>
      <c r="Q62" s="129"/>
      <c r="R62" s="130"/>
      <c r="S62" s="128" t="s">
        <v>203</v>
      </c>
      <c r="T62" s="129"/>
      <c r="U62" s="129"/>
      <c r="V62" s="129"/>
      <c r="W62" s="129"/>
      <c r="X62" s="129"/>
      <c r="Y62" s="130"/>
      <c r="Z62" s="128">
        <v>1</v>
      </c>
      <c r="AA62" s="129"/>
      <c r="AB62" s="129"/>
      <c r="AC62" s="129"/>
      <c r="AD62" s="129"/>
      <c r="AE62" s="129"/>
      <c r="AF62" s="129"/>
      <c r="AG62" s="130"/>
      <c r="AH62" s="49"/>
      <c r="AI62" s="49"/>
      <c r="AJ62" s="49"/>
      <c r="AK62" s="49"/>
      <c r="AL62" s="49"/>
      <c r="AM62" s="49"/>
      <c r="AN62" s="49"/>
      <c r="AO62" s="49"/>
      <c r="AP62" s="49"/>
      <c r="AQ62" s="51"/>
      <c r="AR62" s="208"/>
      <c r="AS62" s="49"/>
      <c r="AT62" s="49"/>
      <c r="AU62" s="49"/>
      <c r="AV62" s="49"/>
      <c r="AW62" s="49"/>
      <c r="AX62" s="49"/>
      <c r="AY62" s="52"/>
    </row>
    <row r="63" spans="1:51" ht="13.5" customHeight="1">
      <c r="A63" s="62"/>
      <c r="B63" s="50"/>
      <c r="C63" s="49"/>
      <c r="D63" s="49"/>
      <c r="E63" s="49"/>
      <c r="F63" s="49"/>
      <c r="G63" s="49"/>
      <c r="H63" s="49"/>
      <c r="I63" s="51"/>
      <c r="J63" s="350"/>
      <c r="K63" s="351"/>
      <c r="L63" s="50"/>
      <c r="M63" s="128" t="s">
        <v>186</v>
      </c>
      <c r="N63" s="129"/>
      <c r="O63" s="129"/>
      <c r="P63" s="129"/>
      <c r="Q63" s="129"/>
      <c r="R63" s="130"/>
      <c r="S63" s="128" t="s">
        <v>205</v>
      </c>
      <c r="T63" s="129"/>
      <c r="U63" s="129"/>
      <c r="V63" s="129"/>
      <c r="W63" s="129"/>
      <c r="X63" s="129"/>
      <c r="Y63" s="130"/>
      <c r="Z63" s="128" t="s">
        <v>209</v>
      </c>
      <c r="AA63" s="129"/>
      <c r="AB63" s="129"/>
      <c r="AC63" s="129"/>
      <c r="AD63" s="129"/>
      <c r="AE63" s="129"/>
      <c r="AF63" s="129"/>
      <c r="AG63" s="130"/>
      <c r="AH63" s="49"/>
      <c r="AI63" s="49"/>
      <c r="AJ63" s="49"/>
      <c r="AK63" s="49"/>
      <c r="AL63" s="49"/>
      <c r="AM63" s="49"/>
      <c r="AN63" s="49"/>
      <c r="AO63" s="49"/>
      <c r="AP63" s="49"/>
      <c r="AQ63" s="51"/>
      <c r="AR63" s="208"/>
      <c r="AS63" s="49"/>
      <c r="AT63" s="49"/>
      <c r="AU63" s="49"/>
      <c r="AV63" s="49"/>
      <c r="AW63" s="49"/>
      <c r="AX63" s="49"/>
      <c r="AY63" s="52"/>
    </row>
    <row r="64" spans="1:51" ht="13.5" customHeight="1">
      <c r="A64" s="62"/>
      <c r="B64" s="50"/>
      <c r="C64" s="49"/>
      <c r="D64" s="49"/>
      <c r="E64" s="49"/>
      <c r="F64" s="49"/>
      <c r="G64" s="49"/>
      <c r="H64" s="49"/>
      <c r="I64" s="51"/>
      <c r="J64" s="350"/>
      <c r="K64" s="351"/>
      <c r="L64" s="50"/>
      <c r="M64" s="128" t="s">
        <v>187</v>
      </c>
      <c r="N64" s="129"/>
      <c r="O64" s="129"/>
      <c r="P64" s="129"/>
      <c r="Q64" s="129"/>
      <c r="R64" s="130"/>
      <c r="S64" s="128" t="s">
        <v>206</v>
      </c>
      <c r="T64" s="129"/>
      <c r="U64" s="129"/>
      <c r="V64" s="129"/>
      <c r="W64" s="129"/>
      <c r="X64" s="129"/>
      <c r="Y64" s="130"/>
      <c r="Z64" s="128" t="s">
        <v>209</v>
      </c>
      <c r="AA64" s="129"/>
      <c r="AB64" s="129"/>
      <c r="AC64" s="129"/>
      <c r="AD64" s="129"/>
      <c r="AE64" s="129"/>
      <c r="AF64" s="129"/>
      <c r="AG64" s="130"/>
      <c r="AH64" s="49"/>
      <c r="AI64" s="49"/>
      <c r="AJ64" s="49"/>
      <c r="AK64" s="49"/>
      <c r="AL64" s="49"/>
      <c r="AM64" s="49"/>
      <c r="AN64" s="49"/>
      <c r="AO64" s="49"/>
      <c r="AP64" s="49"/>
      <c r="AQ64" s="51"/>
      <c r="AR64" s="208"/>
      <c r="AS64" s="49"/>
      <c r="AT64" s="49"/>
      <c r="AU64" s="49"/>
      <c r="AV64" s="49"/>
      <c r="AW64" s="49"/>
      <c r="AX64" s="49"/>
      <c r="AY64" s="52"/>
    </row>
    <row r="65" spans="1:54" ht="13.5" customHeight="1">
      <c r="A65" s="62"/>
      <c r="B65" s="50"/>
      <c r="C65" s="49"/>
      <c r="D65" s="49"/>
      <c r="E65" s="49"/>
      <c r="F65" s="49"/>
      <c r="G65" s="49"/>
      <c r="H65" s="49"/>
      <c r="I65" s="51"/>
      <c r="J65" s="392"/>
      <c r="K65" s="393"/>
      <c r="L65" s="50"/>
      <c r="M65" s="128" t="s">
        <v>973</v>
      </c>
      <c r="N65" s="129"/>
      <c r="O65" s="129"/>
      <c r="P65" s="129"/>
      <c r="Q65" s="129"/>
      <c r="R65" s="130"/>
      <c r="S65" s="128" t="s">
        <v>203</v>
      </c>
      <c r="T65" s="129"/>
      <c r="U65" s="129"/>
      <c r="V65" s="129"/>
      <c r="W65" s="129"/>
      <c r="X65" s="129"/>
      <c r="Y65" s="130"/>
      <c r="Z65" s="128">
        <v>0</v>
      </c>
      <c r="AA65" s="129"/>
      <c r="AB65" s="129"/>
      <c r="AC65" s="129"/>
      <c r="AD65" s="129"/>
      <c r="AE65" s="129"/>
      <c r="AF65" s="129"/>
      <c r="AG65" s="130"/>
      <c r="AH65" s="49" t="s">
        <v>978</v>
      </c>
      <c r="AI65" s="49"/>
      <c r="AJ65" s="49"/>
      <c r="AK65" s="49"/>
      <c r="AL65" s="49"/>
      <c r="AM65" s="49"/>
      <c r="AN65" s="49"/>
      <c r="AO65" s="49"/>
      <c r="AP65" s="49"/>
      <c r="AQ65" s="51"/>
      <c r="AR65" s="208"/>
      <c r="AS65" s="49"/>
      <c r="AT65" s="49"/>
      <c r="AU65" s="49"/>
      <c r="AV65" s="49"/>
      <c r="AW65" s="49"/>
      <c r="AX65" s="49"/>
      <c r="AY65" s="52"/>
      <c r="BA65" s="23">
        <v>2.2999999999999998</v>
      </c>
    </row>
    <row r="66" spans="1:54" ht="13.5" customHeight="1">
      <c r="A66" s="62"/>
      <c r="B66" s="50"/>
      <c r="C66" s="49"/>
      <c r="D66" s="49"/>
      <c r="E66" s="49"/>
      <c r="F66" s="49"/>
      <c r="G66" s="49"/>
      <c r="H66" s="49"/>
      <c r="I66" s="51"/>
      <c r="J66" s="392"/>
      <c r="K66" s="393"/>
      <c r="L66" s="50"/>
      <c r="M66" s="128" t="s">
        <v>974</v>
      </c>
      <c r="N66" s="129"/>
      <c r="O66" s="129"/>
      <c r="P66" s="129"/>
      <c r="Q66" s="129"/>
      <c r="R66" s="130"/>
      <c r="S66" s="128" t="s">
        <v>203</v>
      </c>
      <c r="T66" s="129"/>
      <c r="U66" s="129"/>
      <c r="V66" s="129"/>
      <c r="W66" s="129"/>
      <c r="X66" s="129"/>
      <c r="Y66" s="130"/>
      <c r="Z66" s="128">
        <v>0</v>
      </c>
      <c r="AA66" s="129"/>
      <c r="AB66" s="129"/>
      <c r="AC66" s="129"/>
      <c r="AD66" s="129"/>
      <c r="AE66" s="129"/>
      <c r="AF66" s="129"/>
      <c r="AG66" s="130"/>
      <c r="AH66" s="49" t="s">
        <v>979</v>
      </c>
      <c r="AI66" s="49"/>
      <c r="AJ66" s="49"/>
      <c r="AK66" s="49"/>
      <c r="AL66" s="49"/>
      <c r="AM66" s="49"/>
      <c r="AN66" s="49"/>
      <c r="AO66" s="49"/>
      <c r="AP66" s="49"/>
      <c r="AQ66" s="51"/>
      <c r="AR66" s="208"/>
      <c r="AS66" s="49"/>
      <c r="AT66" s="49"/>
      <c r="AU66" s="49"/>
      <c r="AV66" s="49"/>
      <c r="AW66" s="49"/>
      <c r="AX66" s="49"/>
      <c r="AY66" s="52"/>
      <c r="BA66" s="23">
        <v>2.2999999999999998</v>
      </c>
    </row>
    <row r="67" spans="1:54" ht="13.5" customHeight="1">
      <c r="A67" s="62"/>
      <c r="B67" s="50"/>
      <c r="C67" s="49"/>
      <c r="D67" s="49"/>
      <c r="E67" s="49"/>
      <c r="F67" s="49"/>
      <c r="G67" s="49"/>
      <c r="H67" s="49"/>
      <c r="I67" s="51"/>
      <c r="J67" s="392"/>
      <c r="K67" s="393"/>
      <c r="L67" s="50"/>
      <c r="M67" s="128" t="s">
        <v>975</v>
      </c>
      <c r="N67" s="129"/>
      <c r="O67" s="129"/>
      <c r="P67" s="129"/>
      <c r="Q67" s="129"/>
      <c r="R67" s="130"/>
      <c r="S67" s="128" t="s">
        <v>203</v>
      </c>
      <c r="T67" s="129"/>
      <c r="U67" s="129"/>
      <c r="V67" s="129"/>
      <c r="W67" s="129"/>
      <c r="X67" s="129"/>
      <c r="Y67" s="130"/>
      <c r="Z67" s="128">
        <v>1</v>
      </c>
      <c r="AA67" s="129"/>
      <c r="AB67" s="129"/>
      <c r="AC67" s="129"/>
      <c r="AD67" s="129"/>
      <c r="AE67" s="129"/>
      <c r="AF67" s="129"/>
      <c r="AG67" s="130"/>
      <c r="AH67" s="49" t="s">
        <v>979</v>
      </c>
      <c r="AI67" s="49"/>
      <c r="AJ67" s="49"/>
      <c r="AK67" s="49"/>
      <c r="AL67" s="49"/>
      <c r="AM67" s="49"/>
      <c r="AN67" s="49"/>
      <c r="AO67" s="49"/>
      <c r="AP67" s="49"/>
      <c r="AQ67" s="51"/>
      <c r="AR67" s="208"/>
      <c r="AS67" s="49"/>
      <c r="AT67" s="49"/>
      <c r="AU67" s="49"/>
      <c r="AV67" s="49"/>
      <c r="AW67" s="49"/>
      <c r="AX67" s="49"/>
      <c r="AY67" s="52"/>
      <c r="BA67" s="23">
        <v>2.2999999999999998</v>
      </c>
    </row>
    <row r="68" spans="1:54" ht="13.5" customHeight="1">
      <c r="A68" s="62"/>
      <c r="B68" s="50"/>
      <c r="C68" s="49"/>
      <c r="D68" s="49"/>
      <c r="E68" s="49"/>
      <c r="F68" s="49"/>
      <c r="G68" s="49"/>
      <c r="H68" s="49"/>
      <c r="I68" s="51"/>
      <c r="J68" s="392"/>
      <c r="K68" s="393"/>
      <c r="L68" s="50"/>
      <c r="M68" s="128" t="s">
        <v>972</v>
      </c>
      <c r="N68" s="129"/>
      <c r="O68" s="129"/>
      <c r="P68" s="129"/>
      <c r="Q68" s="129"/>
      <c r="R68" s="130"/>
      <c r="S68" s="128" t="s">
        <v>976</v>
      </c>
      <c r="T68" s="129"/>
      <c r="U68" s="129"/>
      <c r="V68" s="129"/>
      <c r="W68" s="129"/>
      <c r="X68" s="129"/>
      <c r="Y68" s="130"/>
      <c r="Z68" s="128" t="s">
        <v>977</v>
      </c>
      <c r="AA68" s="129"/>
      <c r="AB68" s="129"/>
      <c r="AC68" s="129"/>
      <c r="AD68" s="129"/>
      <c r="AE68" s="129"/>
      <c r="AF68" s="129"/>
      <c r="AG68" s="130"/>
      <c r="AH68" s="49"/>
      <c r="AI68" s="49"/>
      <c r="AJ68" s="49"/>
      <c r="AK68" s="49"/>
      <c r="AL68" s="49"/>
      <c r="AM68" s="49"/>
      <c r="AN68" s="49"/>
      <c r="AO68" s="49"/>
      <c r="AP68" s="49"/>
      <c r="AQ68" s="51"/>
      <c r="AR68" s="208"/>
      <c r="AS68" s="49"/>
      <c r="AT68" s="49"/>
      <c r="AU68" s="49"/>
      <c r="AV68" s="49"/>
      <c r="AW68" s="49"/>
      <c r="AX68" s="49"/>
      <c r="AY68" s="52"/>
      <c r="BA68" s="23">
        <v>2.2999999999999998</v>
      </c>
    </row>
    <row r="69" spans="1:54" ht="13.5" customHeight="1">
      <c r="A69" s="62"/>
      <c r="B69" s="50"/>
      <c r="C69" s="49"/>
      <c r="D69" s="49"/>
      <c r="E69" s="49"/>
      <c r="F69" s="49"/>
      <c r="G69" s="49"/>
      <c r="H69" s="49"/>
      <c r="I69" s="51"/>
      <c r="J69" s="350"/>
      <c r="K69" s="351"/>
      <c r="L69" s="50"/>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51"/>
      <c r="AR69" s="208"/>
      <c r="AS69" s="49"/>
      <c r="AT69" s="49"/>
      <c r="AU69" s="49"/>
      <c r="AV69" s="49"/>
      <c r="AW69" s="49"/>
      <c r="AX69" s="49"/>
      <c r="AY69" s="52"/>
    </row>
    <row r="70" spans="1:54" ht="13.5" customHeight="1">
      <c r="A70" s="62"/>
      <c r="B70" s="50"/>
      <c r="C70" s="49"/>
      <c r="D70" s="49"/>
      <c r="E70" s="49"/>
      <c r="F70" s="49"/>
      <c r="G70" s="49"/>
      <c r="H70" s="49"/>
      <c r="I70" s="51"/>
      <c r="J70" s="350"/>
      <c r="K70" s="351"/>
      <c r="L70" s="141"/>
      <c r="M70" s="505" t="s">
        <v>746</v>
      </c>
      <c r="N70" s="505"/>
      <c r="O70" s="505"/>
      <c r="P70" s="505"/>
      <c r="Q70" s="505"/>
      <c r="R70" s="505"/>
      <c r="S70" s="505"/>
      <c r="T70" s="505"/>
      <c r="U70" s="505"/>
      <c r="V70" s="505"/>
      <c r="W70" s="505"/>
      <c r="X70" s="505"/>
      <c r="Y70" s="505"/>
      <c r="Z70" s="505"/>
      <c r="AA70" s="505"/>
      <c r="AB70" s="505"/>
      <c r="AC70" s="505"/>
      <c r="AD70" s="505"/>
      <c r="AE70" s="505"/>
      <c r="AF70" s="505"/>
      <c r="AG70" s="505"/>
      <c r="AH70" s="505"/>
      <c r="AI70" s="505"/>
      <c r="AJ70" s="505"/>
      <c r="AK70" s="505"/>
      <c r="AL70" s="102"/>
      <c r="AM70" s="102"/>
      <c r="AN70" s="102"/>
      <c r="AO70" s="49"/>
      <c r="AP70" s="49"/>
      <c r="AQ70" s="51"/>
      <c r="AR70" s="208"/>
      <c r="AS70" s="49"/>
      <c r="AT70" s="49"/>
      <c r="AU70" s="49"/>
      <c r="AV70" s="49"/>
      <c r="AW70" s="49"/>
      <c r="AX70" s="49"/>
      <c r="AY70" s="52"/>
      <c r="BB70" s="23" t="s">
        <v>541</v>
      </c>
    </row>
    <row r="71" spans="1:54" ht="13.5" customHeight="1">
      <c r="A71" s="62"/>
      <c r="B71" s="50"/>
      <c r="C71" s="49"/>
      <c r="D71" s="49"/>
      <c r="E71" s="49"/>
      <c r="F71" s="49"/>
      <c r="G71" s="49"/>
      <c r="H71" s="49"/>
      <c r="I71" s="51"/>
      <c r="J71" s="350"/>
      <c r="K71" s="351"/>
      <c r="L71" s="141"/>
      <c r="M71" s="505"/>
      <c r="N71" s="505" t="s">
        <v>470</v>
      </c>
      <c r="O71" s="505"/>
      <c r="P71" s="505"/>
      <c r="Q71" s="505"/>
      <c r="R71" s="505"/>
      <c r="S71" s="505"/>
      <c r="T71" s="505"/>
      <c r="U71" s="505"/>
      <c r="V71" s="505"/>
      <c r="W71" s="505"/>
      <c r="X71" s="505"/>
      <c r="Y71" s="505"/>
      <c r="Z71" s="505"/>
      <c r="AA71" s="505"/>
      <c r="AB71" s="505"/>
      <c r="AC71" s="505"/>
      <c r="AD71" s="505"/>
      <c r="AE71" s="505"/>
      <c r="AF71" s="505"/>
      <c r="AG71" s="505"/>
      <c r="AH71" s="505"/>
      <c r="AI71" s="505"/>
      <c r="AJ71" s="505"/>
      <c r="AK71" s="505"/>
      <c r="AL71" s="102"/>
      <c r="AM71" s="102"/>
      <c r="AN71" s="102"/>
      <c r="AO71" s="49"/>
      <c r="AP71" s="49"/>
      <c r="AQ71" s="51"/>
      <c r="AR71" s="208"/>
      <c r="AS71" s="49"/>
      <c r="AT71" s="49"/>
      <c r="AU71" s="49"/>
      <c r="AV71" s="49"/>
      <c r="AW71" s="49"/>
      <c r="AX71" s="49"/>
      <c r="AY71" s="52"/>
    </row>
    <row r="72" spans="1:54" ht="13.5" customHeight="1">
      <c r="A72" s="62"/>
      <c r="B72" s="50"/>
      <c r="C72" s="49"/>
      <c r="D72" s="49"/>
      <c r="E72" s="49"/>
      <c r="F72" s="49"/>
      <c r="G72" s="49"/>
      <c r="H72" s="49"/>
      <c r="I72" s="51"/>
      <c r="J72" s="350"/>
      <c r="K72" s="351"/>
      <c r="L72" s="141"/>
      <c r="M72" s="505"/>
      <c r="N72" s="505" t="s">
        <v>471</v>
      </c>
      <c r="O72" s="505"/>
      <c r="P72" s="505"/>
      <c r="Q72" s="505"/>
      <c r="R72" s="505"/>
      <c r="S72" s="505"/>
      <c r="T72" s="505"/>
      <c r="U72" s="505"/>
      <c r="V72" s="505"/>
      <c r="W72" s="505"/>
      <c r="X72" s="505"/>
      <c r="Y72" s="505"/>
      <c r="Z72" s="505"/>
      <c r="AA72" s="505"/>
      <c r="AB72" s="505"/>
      <c r="AC72" s="505"/>
      <c r="AD72" s="505"/>
      <c r="AE72" s="505"/>
      <c r="AF72" s="505"/>
      <c r="AG72" s="505"/>
      <c r="AH72" s="505"/>
      <c r="AI72" s="505"/>
      <c r="AJ72" s="505"/>
      <c r="AK72" s="505"/>
      <c r="AL72" s="102"/>
      <c r="AM72" s="102"/>
      <c r="AN72" s="102"/>
      <c r="AO72" s="49"/>
      <c r="AP72" s="49"/>
      <c r="AQ72" s="51"/>
      <c r="AR72" s="208"/>
      <c r="AS72" s="49"/>
      <c r="AT72" s="49"/>
      <c r="AU72" s="49"/>
      <c r="AV72" s="49"/>
      <c r="AW72" s="49"/>
      <c r="AX72" s="49"/>
      <c r="AY72" s="52"/>
    </row>
    <row r="73" spans="1:54" ht="13.5" customHeight="1">
      <c r="A73" s="62"/>
      <c r="B73" s="50"/>
      <c r="C73" s="49"/>
      <c r="D73" s="49"/>
      <c r="E73" s="49"/>
      <c r="F73" s="49"/>
      <c r="G73" s="49"/>
      <c r="H73" s="49"/>
      <c r="I73" s="51"/>
      <c r="J73" s="350"/>
      <c r="K73" s="351"/>
      <c r="L73" s="141"/>
      <c r="M73" s="505"/>
      <c r="N73" s="505"/>
      <c r="O73" s="505"/>
      <c r="P73" s="505"/>
      <c r="Q73" s="505"/>
      <c r="R73" s="505"/>
      <c r="S73" s="505"/>
      <c r="T73" s="505"/>
      <c r="U73" s="505"/>
      <c r="V73" s="505"/>
      <c r="W73" s="505"/>
      <c r="X73" s="505"/>
      <c r="Y73" s="505"/>
      <c r="Z73" s="505"/>
      <c r="AA73" s="505"/>
      <c r="AB73" s="505"/>
      <c r="AC73" s="505"/>
      <c r="AD73" s="505"/>
      <c r="AE73" s="505"/>
      <c r="AF73" s="505"/>
      <c r="AG73" s="505"/>
      <c r="AH73" s="505"/>
      <c r="AI73" s="505"/>
      <c r="AJ73" s="505"/>
      <c r="AK73" s="505"/>
      <c r="AL73" s="102"/>
      <c r="AM73" s="102"/>
      <c r="AN73" s="102"/>
      <c r="AO73" s="49"/>
      <c r="AP73" s="49"/>
      <c r="AQ73" s="51"/>
      <c r="AR73" s="208"/>
      <c r="AS73" s="49"/>
      <c r="AT73" s="49"/>
      <c r="AU73" s="49"/>
      <c r="AV73" s="49"/>
      <c r="AW73" s="49"/>
      <c r="AX73" s="49"/>
      <c r="AY73" s="52"/>
    </row>
    <row r="74" spans="1:54" ht="13.5" customHeight="1">
      <c r="A74" s="62"/>
      <c r="B74" s="50"/>
      <c r="C74" s="49"/>
      <c r="D74" s="49"/>
      <c r="E74" s="49"/>
      <c r="F74" s="49"/>
      <c r="G74" s="49"/>
      <c r="H74" s="49"/>
      <c r="I74" s="51"/>
      <c r="J74" s="350"/>
      <c r="K74" s="351"/>
      <c r="L74" s="141"/>
      <c r="M74" s="139" t="s">
        <v>210</v>
      </c>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49"/>
      <c r="AM74" s="49"/>
      <c r="AN74" s="49"/>
      <c r="AO74" s="49"/>
      <c r="AP74" s="49"/>
      <c r="AQ74" s="51"/>
      <c r="AR74" s="208"/>
      <c r="AS74" s="49"/>
      <c r="AT74" s="49"/>
      <c r="AU74" s="49"/>
      <c r="AV74" s="49"/>
      <c r="AW74" s="49"/>
      <c r="AX74" s="49"/>
      <c r="AY74" s="52"/>
    </row>
    <row r="75" spans="1:54" ht="13.5" customHeight="1">
      <c r="A75" s="62"/>
      <c r="B75" s="50"/>
      <c r="C75" s="49"/>
      <c r="D75" s="49"/>
      <c r="E75" s="49"/>
      <c r="F75" s="49"/>
      <c r="G75" s="49"/>
      <c r="H75" s="49"/>
      <c r="I75" s="51"/>
      <c r="J75" s="350"/>
      <c r="K75" s="351"/>
      <c r="L75" s="141"/>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49"/>
      <c r="AM75" s="49"/>
      <c r="AN75" s="49"/>
      <c r="AO75" s="49"/>
      <c r="AP75" s="49"/>
      <c r="AQ75" s="51"/>
      <c r="AR75" s="208"/>
      <c r="AS75" s="49"/>
      <c r="AT75" s="49"/>
      <c r="AU75" s="49"/>
      <c r="AV75" s="49"/>
      <c r="AW75" s="49"/>
      <c r="AX75" s="49"/>
      <c r="AY75" s="52"/>
    </row>
    <row r="76" spans="1:54" s="32" customFormat="1" ht="13.5" customHeight="1">
      <c r="A76" s="62"/>
      <c r="B76" s="50"/>
      <c r="C76" s="49"/>
      <c r="D76" s="49"/>
      <c r="E76" s="49"/>
      <c r="F76" s="49"/>
      <c r="G76" s="49"/>
      <c r="H76" s="49"/>
      <c r="I76" s="51"/>
      <c r="J76" s="350"/>
      <c r="K76" s="351"/>
      <c r="L76" s="141"/>
      <c r="M76" s="216" t="s">
        <v>449</v>
      </c>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49"/>
      <c r="AM76" s="49"/>
      <c r="AN76" s="49"/>
      <c r="AO76" s="49"/>
      <c r="AP76" s="49"/>
      <c r="AQ76" s="51"/>
      <c r="AR76" s="208"/>
      <c r="AS76" s="49"/>
      <c r="AT76" s="49"/>
      <c r="AU76" s="49"/>
      <c r="AV76" s="49"/>
      <c r="AW76" s="49"/>
      <c r="AX76" s="49"/>
      <c r="AY76" s="52"/>
    </row>
    <row r="77" spans="1:54" s="32" customFormat="1" ht="13.5" customHeight="1">
      <c r="A77" s="62"/>
      <c r="B77" s="50"/>
      <c r="C77" s="49"/>
      <c r="D77" s="49"/>
      <c r="E77" s="49"/>
      <c r="F77" s="49"/>
      <c r="G77" s="49"/>
      <c r="H77" s="49"/>
      <c r="I77" s="51"/>
      <c r="J77" s="350"/>
      <c r="K77" s="351"/>
      <c r="L77" s="141"/>
      <c r="M77" s="139"/>
      <c r="N77" s="139" t="s">
        <v>467</v>
      </c>
      <c r="O77" s="139"/>
      <c r="P77" s="139"/>
      <c r="Q77" s="139"/>
      <c r="R77" s="139"/>
      <c r="S77" s="139"/>
      <c r="T77" s="139"/>
      <c r="U77" s="139" t="s">
        <v>468</v>
      </c>
      <c r="V77" s="139"/>
      <c r="W77" s="139"/>
      <c r="X77" s="139"/>
      <c r="Y77" s="139"/>
      <c r="Z77" s="139"/>
      <c r="AA77" s="139"/>
      <c r="AB77" s="139"/>
      <c r="AC77" s="139"/>
      <c r="AD77" s="139"/>
      <c r="AE77" s="139"/>
      <c r="AF77" s="139"/>
      <c r="AG77" s="139"/>
      <c r="AH77" s="139"/>
      <c r="AI77" s="139"/>
      <c r="AJ77" s="139"/>
      <c r="AK77" s="139"/>
      <c r="AL77" s="49"/>
      <c r="AM77" s="49"/>
      <c r="AN77" s="49"/>
      <c r="AO77" s="49"/>
      <c r="AP77" s="49"/>
      <c r="AQ77" s="51"/>
      <c r="AR77" s="208"/>
      <c r="AS77" s="49"/>
      <c r="AT77" s="49"/>
      <c r="AU77" s="49"/>
      <c r="AV77" s="49"/>
      <c r="AW77" s="49"/>
      <c r="AX77" s="49"/>
      <c r="AY77" s="52"/>
    </row>
    <row r="78" spans="1:54" s="32" customFormat="1" ht="13.5" customHeight="1">
      <c r="A78" s="62"/>
      <c r="B78" s="50"/>
      <c r="C78" s="49"/>
      <c r="D78" s="49"/>
      <c r="E78" s="49"/>
      <c r="F78" s="49"/>
      <c r="G78" s="49"/>
      <c r="H78" s="49"/>
      <c r="I78" s="51"/>
      <c r="J78" s="350"/>
      <c r="K78" s="351"/>
      <c r="L78" s="141"/>
      <c r="M78" s="139"/>
      <c r="N78" s="139" t="s">
        <v>469</v>
      </c>
      <c r="O78" s="139"/>
      <c r="P78" s="139"/>
      <c r="Q78" s="139"/>
      <c r="R78" s="139"/>
      <c r="S78" s="139"/>
      <c r="T78" s="139"/>
      <c r="U78" s="139" t="s">
        <v>122</v>
      </c>
      <c r="V78" s="139"/>
      <c r="W78" s="139"/>
      <c r="X78" s="139"/>
      <c r="Y78" s="139"/>
      <c r="Z78" s="139"/>
      <c r="AA78" s="139"/>
      <c r="AB78" s="139"/>
      <c r="AC78" s="139"/>
      <c r="AD78" s="139"/>
      <c r="AE78" s="139"/>
      <c r="AF78" s="139"/>
      <c r="AG78" s="139"/>
      <c r="AH78" s="139"/>
      <c r="AI78" s="139"/>
      <c r="AJ78" s="139"/>
      <c r="AK78" s="139"/>
      <c r="AL78" s="49"/>
      <c r="AM78" s="49"/>
      <c r="AN78" s="49"/>
      <c r="AO78" s="49"/>
      <c r="AP78" s="49"/>
      <c r="AQ78" s="51"/>
      <c r="AR78" s="208"/>
      <c r="AS78" s="49"/>
      <c r="AT78" s="49"/>
      <c r="AU78" s="49"/>
      <c r="AV78" s="49"/>
      <c r="AW78" s="49"/>
      <c r="AX78" s="49"/>
      <c r="AY78" s="52"/>
    </row>
    <row r="79" spans="1:54" s="32" customFormat="1" ht="13.5" customHeight="1">
      <c r="A79" s="62"/>
      <c r="B79" s="50"/>
      <c r="C79" s="49"/>
      <c r="D79" s="49"/>
      <c r="E79" s="49"/>
      <c r="F79" s="49"/>
      <c r="G79" s="49"/>
      <c r="H79" s="49"/>
      <c r="I79" s="51"/>
      <c r="J79" s="350"/>
      <c r="K79" s="351"/>
      <c r="L79" s="141"/>
      <c r="M79" s="216" t="s">
        <v>450</v>
      </c>
      <c r="N79" s="139"/>
      <c r="O79" s="139"/>
      <c r="P79" s="139"/>
      <c r="Q79" s="139"/>
      <c r="R79" s="139"/>
      <c r="S79" s="139"/>
      <c r="T79" s="139"/>
      <c r="U79" s="139"/>
      <c r="V79" s="139"/>
      <c r="W79" s="139"/>
      <c r="X79" s="139"/>
      <c r="Y79" s="139"/>
      <c r="Z79" s="139"/>
      <c r="AA79" s="139"/>
      <c r="AB79" s="139"/>
      <c r="AC79" s="139"/>
      <c r="AD79" s="139"/>
      <c r="AE79" s="139"/>
      <c r="AF79" s="139"/>
      <c r="AG79" s="139"/>
      <c r="AH79" s="139"/>
      <c r="AI79" s="139"/>
      <c r="AJ79" s="139"/>
      <c r="AK79" s="139"/>
      <c r="AL79" s="49"/>
      <c r="AM79" s="49"/>
      <c r="AN79" s="49"/>
      <c r="AO79" s="49"/>
      <c r="AP79" s="49"/>
      <c r="AQ79" s="51"/>
      <c r="AR79" s="208"/>
      <c r="AS79" s="49"/>
      <c r="AT79" s="49"/>
      <c r="AU79" s="49"/>
      <c r="AV79" s="49"/>
      <c r="AW79" s="49"/>
      <c r="AX79" s="49"/>
      <c r="AY79" s="52"/>
    </row>
    <row r="80" spans="1:54" s="32" customFormat="1" ht="13.5" customHeight="1">
      <c r="A80" s="62"/>
      <c r="B80" s="50"/>
      <c r="C80" s="49"/>
      <c r="D80" s="49"/>
      <c r="E80" s="49"/>
      <c r="F80" s="49"/>
      <c r="G80" s="49"/>
      <c r="H80" s="49"/>
      <c r="I80" s="51"/>
      <c r="J80" s="350"/>
      <c r="K80" s="351"/>
      <c r="L80" s="141"/>
      <c r="M80" s="139"/>
      <c r="N80" s="139" t="s">
        <v>451</v>
      </c>
      <c r="O80" s="139"/>
      <c r="P80" s="139"/>
      <c r="Q80" s="139"/>
      <c r="R80" s="139"/>
      <c r="S80" s="139"/>
      <c r="T80" s="139"/>
      <c r="U80" s="139"/>
      <c r="V80" s="139"/>
      <c r="W80" s="139"/>
      <c r="X80" s="139"/>
      <c r="Y80" s="139"/>
      <c r="Z80" s="139"/>
      <c r="AA80" s="139"/>
      <c r="AB80" s="139"/>
      <c r="AC80" s="139"/>
      <c r="AD80" s="139"/>
      <c r="AE80" s="139"/>
      <c r="AF80" s="139"/>
      <c r="AG80" s="139"/>
      <c r="AH80" s="139"/>
      <c r="AI80" s="139"/>
      <c r="AJ80" s="139"/>
      <c r="AK80" s="139"/>
      <c r="AL80" s="49"/>
      <c r="AM80" s="49"/>
      <c r="AN80" s="49"/>
      <c r="AO80" s="49"/>
      <c r="AP80" s="49"/>
      <c r="AQ80" s="51"/>
      <c r="AR80" s="208"/>
      <c r="AS80" s="49"/>
      <c r="AT80" s="49"/>
      <c r="AU80" s="49"/>
      <c r="AV80" s="49"/>
      <c r="AW80" s="49"/>
      <c r="AX80" s="49"/>
      <c r="AY80" s="52"/>
    </row>
    <row r="81" spans="1:52" s="32" customFormat="1" ht="13.5" customHeight="1">
      <c r="A81" s="62"/>
      <c r="B81" s="50"/>
      <c r="C81" s="49"/>
      <c r="D81" s="49"/>
      <c r="E81" s="49"/>
      <c r="F81" s="49"/>
      <c r="G81" s="49"/>
      <c r="H81" s="49"/>
      <c r="I81" s="51"/>
      <c r="J81" s="350"/>
      <c r="K81" s="351"/>
      <c r="L81" s="141"/>
      <c r="M81" s="216" t="s">
        <v>452</v>
      </c>
      <c r="N81" s="139"/>
      <c r="O81" s="139"/>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49"/>
      <c r="AM81" s="49"/>
      <c r="AN81" s="49"/>
      <c r="AO81" s="49"/>
      <c r="AP81" s="49"/>
      <c r="AQ81" s="51"/>
      <c r="AR81" s="208"/>
      <c r="AS81" s="49"/>
      <c r="AT81" s="49"/>
      <c r="AU81" s="49"/>
      <c r="AV81" s="49"/>
      <c r="AW81" s="49"/>
      <c r="AX81" s="49"/>
      <c r="AY81" s="52"/>
    </row>
    <row r="82" spans="1:52" s="32" customFormat="1" ht="13.5" customHeight="1">
      <c r="A82" s="62"/>
      <c r="B82" s="50"/>
      <c r="C82" s="49"/>
      <c r="D82" s="49"/>
      <c r="E82" s="49"/>
      <c r="F82" s="49"/>
      <c r="G82" s="49"/>
      <c r="H82" s="49"/>
      <c r="I82" s="51"/>
      <c r="J82" s="656"/>
      <c r="K82" s="657"/>
      <c r="L82" s="141" t="s">
        <v>540</v>
      </c>
      <c r="M82" s="139"/>
      <c r="N82" s="139" t="s">
        <v>465</v>
      </c>
      <c r="O82" s="139"/>
      <c r="P82" s="139"/>
      <c r="Q82" s="139"/>
      <c r="R82" s="139"/>
      <c r="S82" s="139"/>
      <c r="T82" s="139"/>
      <c r="U82" s="139"/>
      <c r="V82" s="139"/>
      <c r="W82" s="139"/>
      <c r="X82" s="139"/>
      <c r="Y82" s="139"/>
      <c r="Z82" s="139"/>
      <c r="AA82" s="139"/>
      <c r="AB82" s="139" t="s">
        <v>685</v>
      </c>
      <c r="AC82" s="139"/>
      <c r="AD82" s="139"/>
      <c r="AE82" s="139"/>
      <c r="AF82" s="139"/>
      <c r="AG82" s="139"/>
      <c r="AH82" s="139"/>
      <c r="AI82" s="139"/>
      <c r="AJ82" s="139"/>
      <c r="AK82" s="139"/>
      <c r="AL82" s="49"/>
      <c r="AM82" s="49"/>
      <c r="AN82" s="49"/>
      <c r="AO82" s="49"/>
      <c r="AP82" s="49"/>
      <c r="AQ82" s="51"/>
      <c r="AR82" s="208"/>
      <c r="AS82" s="49"/>
      <c r="AT82" s="49"/>
      <c r="AU82" s="49"/>
      <c r="AV82" s="49"/>
      <c r="AW82" s="49"/>
      <c r="AX82" s="49"/>
      <c r="AY82" s="52"/>
      <c r="AZ82" s="32">
        <v>0.8</v>
      </c>
    </row>
    <row r="83" spans="1:52" s="32" customFormat="1" ht="13.5" customHeight="1">
      <c r="A83" s="62"/>
      <c r="B83" s="50"/>
      <c r="C83" s="49"/>
      <c r="D83" s="49"/>
      <c r="E83" s="49"/>
      <c r="F83" s="49"/>
      <c r="G83" s="49"/>
      <c r="H83" s="49"/>
      <c r="I83" s="51"/>
      <c r="J83" s="656"/>
      <c r="K83" s="657"/>
      <c r="L83" s="141" t="s">
        <v>540</v>
      </c>
      <c r="M83" s="139"/>
      <c r="N83" s="139" t="s">
        <v>466</v>
      </c>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49"/>
      <c r="AM83" s="49"/>
      <c r="AN83" s="49"/>
      <c r="AO83" s="49"/>
      <c r="AP83" s="49"/>
      <c r="AQ83" s="51"/>
      <c r="AR83" s="208"/>
      <c r="AS83" s="49"/>
      <c r="AT83" s="49"/>
      <c r="AU83" s="49"/>
      <c r="AV83" s="49"/>
      <c r="AW83" s="49"/>
      <c r="AX83" s="49"/>
      <c r="AY83" s="52"/>
    </row>
    <row r="84" spans="1:52" ht="13.5" customHeight="1" thickBot="1">
      <c r="A84" s="335"/>
      <c r="B84" s="322"/>
      <c r="C84" s="323"/>
      <c r="D84" s="323"/>
      <c r="E84" s="323"/>
      <c r="F84" s="323"/>
      <c r="G84" s="323"/>
      <c r="H84" s="323"/>
      <c r="I84" s="324"/>
      <c r="J84" s="354"/>
      <c r="K84" s="355"/>
      <c r="L84" s="322"/>
      <c r="M84" s="323"/>
      <c r="N84" s="323"/>
      <c r="O84" s="323"/>
      <c r="P84" s="323"/>
      <c r="Q84" s="323"/>
      <c r="R84" s="323"/>
      <c r="S84" s="323"/>
      <c r="T84" s="323"/>
      <c r="U84" s="323"/>
      <c r="V84" s="323"/>
      <c r="W84" s="323"/>
      <c r="X84" s="323"/>
      <c r="Y84" s="323"/>
      <c r="Z84" s="323"/>
      <c r="AA84" s="323"/>
      <c r="AB84" s="323"/>
      <c r="AC84" s="323"/>
      <c r="AD84" s="323"/>
      <c r="AE84" s="323"/>
      <c r="AF84" s="323"/>
      <c r="AG84" s="323"/>
      <c r="AH84" s="323"/>
      <c r="AI84" s="323"/>
      <c r="AJ84" s="323"/>
      <c r="AK84" s="323"/>
      <c r="AL84" s="323"/>
      <c r="AM84" s="323"/>
      <c r="AN84" s="323"/>
      <c r="AO84" s="323"/>
      <c r="AP84" s="323"/>
      <c r="AQ84" s="324"/>
      <c r="AR84" s="327"/>
      <c r="AS84" s="323"/>
      <c r="AT84" s="323"/>
      <c r="AU84" s="323"/>
      <c r="AV84" s="323"/>
      <c r="AW84" s="323"/>
      <c r="AX84" s="323"/>
      <c r="AY84" s="328"/>
    </row>
    <row r="85" spans="1:52" ht="13.5" customHeight="1">
      <c r="A85" s="62"/>
      <c r="B85" s="50"/>
      <c r="C85" s="49"/>
      <c r="D85" s="49"/>
      <c r="E85" s="49"/>
      <c r="F85" s="49"/>
      <c r="G85" s="49"/>
      <c r="H85" s="49"/>
      <c r="I85" s="51"/>
      <c r="J85" s="350"/>
      <c r="K85" s="351"/>
      <c r="L85" s="50" t="s">
        <v>289</v>
      </c>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51"/>
      <c r="AR85" s="208"/>
      <c r="AS85" s="49"/>
      <c r="AT85" s="49"/>
      <c r="AU85" s="49"/>
      <c r="AV85" s="49"/>
      <c r="AW85" s="49"/>
      <c r="AX85" s="49"/>
      <c r="AY85" s="52"/>
    </row>
    <row r="86" spans="1:52" ht="13.5" customHeight="1">
      <c r="A86" s="62"/>
      <c r="B86" s="50"/>
      <c r="C86" s="49"/>
      <c r="D86" s="49"/>
      <c r="E86" s="49"/>
      <c r="F86" s="49"/>
      <c r="G86" s="49"/>
      <c r="H86" s="49"/>
      <c r="I86" s="51"/>
      <c r="J86" s="350"/>
      <c r="K86" s="351"/>
      <c r="L86" s="50"/>
      <c r="M86" s="49" t="s">
        <v>290</v>
      </c>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51"/>
      <c r="AR86" s="208"/>
      <c r="AS86" s="49"/>
      <c r="AT86" s="49"/>
      <c r="AU86" s="49"/>
      <c r="AV86" s="49"/>
      <c r="AW86" s="49"/>
      <c r="AX86" s="49"/>
      <c r="AY86" s="52"/>
    </row>
    <row r="87" spans="1:52" ht="13.5" customHeight="1">
      <c r="A87" s="62"/>
      <c r="B87" s="50"/>
      <c r="C87" s="49"/>
      <c r="D87" s="49"/>
      <c r="E87" s="49"/>
      <c r="F87" s="49"/>
      <c r="G87" s="49"/>
      <c r="H87" s="49"/>
      <c r="I87" s="51"/>
      <c r="J87" s="350"/>
      <c r="K87" s="351"/>
      <c r="L87" s="50"/>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51"/>
      <c r="AR87" s="208"/>
      <c r="AS87" s="49"/>
      <c r="AT87" s="49"/>
      <c r="AU87" s="49"/>
      <c r="AV87" s="49"/>
      <c r="AW87" s="49"/>
      <c r="AX87" s="49"/>
      <c r="AY87" s="52"/>
    </row>
    <row r="88" spans="1:52" ht="13.5" customHeight="1">
      <c r="A88" s="62"/>
      <c r="B88" s="50"/>
      <c r="C88" s="49"/>
      <c r="D88" s="49"/>
      <c r="E88" s="49"/>
      <c r="F88" s="49"/>
      <c r="G88" s="49"/>
      <c r="H88" s="49"/>
      <c r="I88" s="51"/>
      <c r="J88" s="350"/>
      <c r="K88" s="351"/>
      <c r="L88" s="50"/>
      <c r="M88" s="110" t="s">
        <v>291</v>
      </c>
      <c r="N88" s="108"/>
      <c r="O88" s="108"/>
      <c r="P88" s="109"/>
      <c r="Q88" s="110" t="s">
        <v>292</v>
      </c>
      <c r="R88" s="108"/>
      <c r="S88" s="108"/>
      <c r="T88" s="108"/>
      <c r="U88" s="108"/>
      <c r="V88" s="108"/>
      <c r="W88" s="108"/>
      <c r="X88" s="108"/>
      <c r="Y88" s="108"/>
      <c r="Z88" s="109"/>
      <c r="AA88" s="110" t="s">
        <v>105</v>
      </c>
      <c r="AB88" s="108"/>
      <c r="AC88" s="108"/>
      <c r="AD88" s="108"/>
      <c r="AE88" s="108"/>
      <c r="AF88" s="108"/>
      <c r="AG88" s="108"/>
      <c r="AH88" s="108"/>
      <c r="AI88" s="108"/>
      <c r="AJ88" s="108"/>
      <c r="AK88" s="108"/>
      <c r="AL88" s="108"/>
      <c r="AM88" s="108"/>
      <c r="AN88" s="108"/>
      <c r="AO88" s="108"/>
      <c r="AP88" s="109"/>
      <c r="AQ88" s="51"/>
      <c r="AR88" s="208"/>
      <c r="AS88" s="49"/>
      <c r="AT88" s="49"/>
      <c r="AU88" s="49"/>
      <c r="AV88" s="49"/>
      <c r="AW88" s="49"/>
      <c r="AX88" s="49"/>
      <c r="AY88" s="52"/>
    </row>
    <row r="89" spans="1:52" ht="13.5" customHeight="1">
      <c r="A89" s="62"/>
      <c r="B89" s="50"/>
      <c r="C89" s="49"/>
      <c r="D89" s="49"/>
      <c r="E89" s="49"/>
      <c r="F89" s="49"/>
      <c r="G89" s="49"/>
      <c r="H89" s="49"/>
      <c r="I89" s="51"/>
      <c r="J89" s="350"/>
      <c r="K89" s="351"/>
      <c r="L89" s="50"/>
      <c r="M89" s="114" t="s">
        <v>295</v>
      </c>
      <c r="N89" s="112"/>
      <c r="O89" s="112"/>
      <c r="P89" s="113"/>
      <c r="Q89" s="114" t="s">
        <v>100</v>
      </c>
      <c r="R89" s="112"/>
      <c r="S89" s="112"/>
      <c r="T89" s="112"/>
      <c r="U89" s="112"/>
      <c r="V89" s="112"/>
      <c r="W89" s="112"/>
      <c r="X89" s="112"/>
      <c r="Y89" s="112"/>
      <c r="Z89" s="113"/>
      <c r="AA89" s="114"/>
      <c r="AB89" s="112"/>
      <c r="AC89" s="112"/>
      <c r="AD89" s="112"/>
      <c r="AE89" s="112"/>
      <c r="AF89" s="112"/>
      <c r="AG89" s="112"/>
      <c r="AH89" s="112"/>
      <c r="AI89" s="112"/>
      <c r="AJ89" s="112"/>
      <c r="AK89" s="112"/>
      <c r="AL89" s="112"/>
      <c r="AM89" s="112"/>
      <c r="AN89" s="112"/>
      <c r="AO89" s="112"/>
      <c r="AP89" s="113"/>
      <c r="AQ89" s="51"/>
      <c r="AR89" s="208"/>
      <c r="AS89" s="49"/>
      <c r="AT89" s="49"/>
      <c r="AU89" s="49"/>
      <c r="AV89" s="49"/>
      <c r="AW89" s="49"/>
      <c r="AX89" s="49"/>
      <c r="AY89" s="52"/>
    </row>
    <row r="90" spans="1:52" ht="13.5" customHeight="1">
      <c r="A90" s="62"/>
      <c r="B90" s="50"/>
      <c r="C90" s="49"/>
      <c r="D90" s="49"/>
      <c r="E90" s="49"/>
      <c r="F90" s="49"/>
      <c r="G90" s="49"/>
      <c r="H90" s="49"/>
      <c r="I90" s="51"/>
      <c r="J90" s="350"/>
      <c r="K90" s="351"/>
      <c r="L90" s="50"/>
      <c r="M90" s="114" t="s">
        <v>403</v>
      </c>
      <c r="N90" s="112"/>
      <c r="O90" s="112"/>
      <c r="P90" s="113"/>
      <c r="Q90" s="114" t="s">
        <v>404</v>
      </c>
      <c r="R90" s="112"/>
      <c r="S90" s="112"/>
      <c r="T90" s="112"/>
      <c r="U90" s="112"/>
      <c r="V90" s="112"/>
      <c r="W90" s="112"/>
      <c r="X90" s="112"/>
      <c r="Y90" s="112"/>
      <c r="Z90" s="113"/>
      <c r="AA90" s="114"/>
      <c r="AB90" s="112"/>
      <c r="AC90" s="112"/>
      <c r="AD90" s="112"/>
      <c r="AE90" s="112"/>
      <c r="AF90" s="112"/>
      <c r="AG90" s="112"/>
      <c r="AH90" s="112"/>
      <c r="AI90" s="112"/>
      <c r="AJ90" s="112"/>
      <c r="AK90" s="112"/>
      <c r="AL90" s="112"/>
      <c r="AM90" s="112"/>
      <c r="AN90" s="112"/>
      <c r="AO90" s="112"/>
      <c r="AP90" s="113"/>
      <c r="AQ90" s="51"/>
      <c r="AR90" s="208"/>
      <c r="AS90" s="49"/>
      <c r="AT90" s="49"/>
      <c r="AU90" s="49"/>
      <c r="AV90" s="49"/>
      <c r="AW90" s="49"/>
      <c r="AX90" s="49"/>
      <c r="AY90" s="52"/>
    </row>
    <row r="91" spans="1:52" ht="13.5" customHeight="1">
      <c r="A91" s="62"/>
      <c r="B91" s="50"/>
      <c r="C91" s="49"/>
      <c r="D91" s="49"/>
      <c r="E91" s="49"/>
      <c r="F91" s="49"/>
      <c r="G91" s="49"/>
      <c r="H91" s="49"/>
      <c r="I91" s="51"/>
      <c r="J91" s="350"/>
      <c r="K91" s="351"/>
      <c r="L91" s="50"/>
      <c r="M91" s="152" t="s">
        <v>296</v>
      </c>
      <c r="N91" s="284"/>
      <c r="O91" s="284"/>
      <c r="P91" s="285"/>
      <c r="Q91" s="152" t="s">
        <v>312</v>
      </c>
      <c r="R91" s="284"/>
      <c r="S91" s="284"/>
      <c r="T91" s="284"/>
      <c r="U91" s="284"/>
      <c r="V91" s="284"/>
      <c r="W91" s="284"/>
      <c r="X91" s="284"/>
      <c r="Y91" s="284"/>
      <c r="Z91" s="285"/>
      <c r="AA91" s="152"/>
      <c r="AB91" s="284"/>
      <c r="AC91" s="284"/>
      <c r="AD91" s="284"/>
      <c r="AE91" s="284"/>
      <c r="AF91" s="284"/>
      <c r="AG91" s="284"/>
      <c r="AH91" s="284"/>
      <c r="AI91" s="284"/>
      <c r="AJ91" s="284"/>
      <c r="AK91" s="284"/>
      <c r="AL91" s="284"/>
      <c r="AM91" s="284"/>
      <c r="AN91" s="284"/>
      <c r="AO91" s="284"/>
      <c r="AP91" s="285"/>
      <c r="AQ91" s="51"/>
      <c r="AR91" s="208"/>
      <c r="AS91" s="49"/>
      <c r="AT91" s="49"/>
      <c r="AU91" s="49"/>
      <c r="AV91" s="49"/>
      <c r="AW91" s="49"/>
      <c r="AX91" s="49"/>
      <c r="AY91" s="52"/>
    </row>
    <row r="92" spans="1:52" ht="13.5" customHeight="1">
      <c r="A92" s="62"/>
      <c r="B92" s="50"/>
      <c r="C92" s="49"/>
      <c r="D92" s="49"/>
      <c r="E92" s="49"/>
      <c r="F92" s="49"/>
      <c r="G92" s="49"/>
      <c r="H92" s="49"/>
      <c r="I92" s="51"/>
      <c r="J92" s="350"/>
      <c r="K92" s="351"/>
      <c r="L92" s="50"/>
      <c r="M92" s="58"/>
      <c r="N92" s="57"/>
      <c r="O92" s="57"/>
      <c r="P92" s="59"/>
      <c r="Q92" s="58" t="s">
        <v>313</v>
      </c>
      <c r="R92" s="57"/>
      <c r="S92" s="57"/>
      <c r="T92" s="57"/>
      <c r="U92" s="57"/>
      <c r="V92" s="57"/>
      <c r="W92" s="57"/>
      <c r="X92" s="57"/>
      <c r="Y92" s="57"/>
      <c r="Z92" s="59"/>
      <c r="AA92" s="58"/>
      <c r="AB92" s="57"/>
      <c r="AC92" s="57"/>
      <c r="AD92" s="57"/>
      <c r="AE92" s="57"/>
      <c r="AF92" s="57"/>
      <c r="AG92" s="57"/>
      <c r="AH92" s="57"/>
      <c r="AI92" s="57"/>
      <c r="AJ92" s="57"/>
      <c r="AK92" s="57"/>
      <c r="AL92" s="57"/>
      <c r="AM92" s="57"/>
      <c r="AN92" s="57"/>
      <c r="AO92" s="57"/>
      <c r="AP92" s="59"/>
      <c r="AQ92" s="51"/>
      <c r="AR92" s="208"/>
      <c r="AS92" s="49"/>
      <c r="AT92" s="49"/>
      <c r="AU92" s="49"/>
      <c r="AV92" s="49"/>
      <c r="AW92" s="49"/>
      <c r="AX92" s="49"/>
      <c r="AY92" s="52"/>
    </row>
    <row r="93" spans="1:52" ht="13.5" customHeight="1">
      <c r="A93" s="62"/>
      <c r="B93" s="50"/>
      <c r="C93" s="49"/>
      <c r="D93" s="49"/>
      <c r="E93" s="49"/>
      <c r="F93" s="49"/>
      <c r="G93" s="49"/>
      <c r="H93" s="49"/>
      <c r="I93" s="51"/>
      <c r="J93" s="350"/>
      <c r="K93" s="351"/>
      <c r="L93" s="50"/>
      <c r="M93" s="114" t="s">
        <v>297</v>
      </c>
      <c r="N93" s="112"/>
      <c r="O93" s="112"/>
      <c r="P93" s="113"/>
      <c r="Q93" s="114" t="s">
        <v>298</v>
      </c>
      <c r="R93" s="112"/>
      <c r="S93" s="112"/>
      <c r="T93" s="112"/>
      <c r="U93" s="112"/>
      <c r="V93" s="112"/>
      <c r="W93" s="112"/>
      <c r="X93" s="112"/>
      <c r="Y93" s="112"/>
      <c r="Z93" s="113"/>
      <c r="AA93" s="114"/>
      <c r="AB93" s="112"/>
      <c r="AC93" s="112"/>
      <c r="AD93" s="112"/>
      <c r="AE93" s="112"/>
      <c r="AF93" s="112"/>
      <c r="AG93" s="112"/>
      <c r="AH93" s="112"/>
      <c r="AI93" s="112"/>
      <c r="AJ93" s="112"/>
      <c r="AK93" s="112"/>
      <c r="AL93" s="112"/>
      <c r="AM93" s="112"/>
      <c r="AN93" s="112"/>
      <c r="AO93" s="112"/>
      <c r="AP93" s="113"/>
      <c r="AQ93" s="51"/>
      <c r="AR93" s="208"/>
      <c r="AS93" s="49"/>
      <c r="AT93" s="49"/>
      <c r="AU93" s="49"/>
      <c r="AV93" s="49"/>
      <c r="AW93" s="49"/>
      <c r="AX93" s="49"/>
      <c r="AY93" s="52"/>
    </row>
    <row r="94" spans="1:52" ht="13.5" customHeight="1">
      <c r="A94" s="62"/>
      <c r="B94" s="50"/>
      <c r="C94" s="49"/>
      <c r="D94" s="49"/>
      <c r="E94" s="49"/>
      <c r="F94" s="49"/>
      <c r="G94" s="49"/>
      <c r="H94" s="49"/>
      <c r="I94" s="51"/>
      <c r="J94" s="350"/>
      <c r="K94" s="351"/>
      <c r="L94" s="50"/>
      <c r="M94" s="152" t="s">
        <v>249</v>
      </c>
      <c r="N94" s="284"/>
      <c r="O94" s="284"/>
      <c r="P94" s="285"/>
      <c r="Q94" s="152" t="s">
        <v>299</v>
      </c>
      <c r="R94" s="284"/>
      <c r="S94" s="284"/>
      <c r="T94" s="284"/>
      <c r="U94" s="284"/>
      <c r="V94" s="284"/>
      <c r="W94" s="284"/>
      <c r="X94" s="284"/>
      <c r="Y94" s="284"/>
      <c r="Z94" s="285"/>
      <c r="AA94" s="152" t="s">
        <v>293</v>
      </c>
      <c r="AB94" s="284"/>
      <c r="AC94" s="284"/>
      <c r="AD94" s="284"/>
      <c r="AE94" s="284"/>
      <c r="AF94" s="284"/>
      <c r="AG94" s="284"/>
      <c r="AH94" s="284"/>
      <c r="AI94" s="284"/>
      <c r="AJ94" s="284"/>
      <c r="AK94" s="284"/>
      <c r="AL94" s="284"/>
      <c r="AM94" s="284"/>
      <c r="AN94" s="284"/>
      <c r="AO94" s="284"/>
      <c r="AP94" s="285"/>
      <c r="AQ94" s="51"/>
      <c r="AR94" s="208"/>
      <c r="AS94" s="49"/>
      <c r="AT94" s="49"/>
      <c r="AU94" s="49"/>
      <c r="AV94" s="49"/>
      <c r="AW94" s="49"/>
      <c r="AX94" s="49"/>
      <c r="AY94" s="52"/>
    </row>
    <row r="95" spans="1:52" ht="13.5" customHeight="1">
      <c r="A95" s="62"/>
      <c r="B95" s="50"/>
      <c r="C95" s="49"/>
      <c r="D95" s="49"/>
      <c r="E95" s="49"/>
      <c r="F95" s="49"/>
      <c r="G95" s="49"/>
      <c r="H95" s="49"/>
      <c r="I95" s="51"/>
      <c r="J95" s="350"/>
      <c r="K95" s="351"/>
      <c r="L95" s="50"/>
      <c r="M95" s="58"/>
      <c r="N95" s="57"/>
      <c r="O95" s="57"/>
      <c r="P95" s="59"/>
      <c r="Q95" s="58"/>
      <c r="R95" s="57"/>
      <c r="S95" s="57"/>
      <c r="T95" s="57"/>
      <c r="U95" s="57"/>
      <c r="V95" s="57"/>
      <c r="W95" s="57"/>
      <c r="X95" s="57"/>
      <c r="Y95" s="57"/>
      <c r="Z95" s="59"/>
      <c r="AA95" s="58" t="s">
        <v>294</v>
      </c>
      <c r="AB95" s="57"/>
      <c r="AC95" s="57"/>
      <c r="AD95" s="57"/>
      <c r="AE95" s="57"/>
      <c r="AF95" s="57"/>
      <c r="AG95" s="57"/>
      <c r="AH95" s="57"/>
      <c r="AI95" s="57"/>
      <c r="AJ95" s="57"/>
      <c r="AK95" s="57"/>
      <c r="AL95" s="57"/>
      <c r="AM95" s="57"/>
      <c r="AN95" s="57"/>
      <c r="AO95" s="57"/>
      <c r="AP95" s="59"/>
      <c r="AQ95" s="51"/>
      <c r="AR95" s="208"/>
      <c r="AS95" s="49"/>
      <c r="AT95" s="49"/>
      <c r="AU95" s="49"/>
      <c r="AV95" s="49"/>
      <c r="AW95" s="49"/>
      <c r="AX95" s="49"/>
      <c r="AY95" s="52"/>
    </row>
    <row r="96" spans="1:52" ht="13.5" customHeight="1">
      <c r="A96" s="62"/>
      <c r="B96" s="50"/>
      <c r="C96" s="49"/>
      <c r="D96" s="49"/>
      <c r="E96" s="49"/>
      <c r="F96" s="49"/>
      <c r="G96" s="49"/>
      <c r="H96" s="49"/>
      <c r="I96" s="51"/>
      <c r="J96" s="350"/>
      <c r="K96" s="351"/>
      <c r="L96" s="50"/>
      <c r="M96" s="114" t="s">
        <v>300</v>
      </c>
      <c r="N96" s="112"/>
      <c r="O96" s="112"/>
      <c r="P96" s="113"/>
      <c r="Q96" s="114" t="s">
        <v>99</v>
      </c>
      <c r="R96" s="112"/>
      <c r="S96" s="112"/>
      <c r="T96" s="112"/>
      <c r="U96" s="112"/>
      <c r="V96" s="112"/>
      <c r="W96" s="112"/>
      <c r="X96" s="112"/>
      <c r="Y96" s="112"/>
      <c r="Z96" s="113"/>
      <c r="AA96" s="114"/>
      <c r="AB96" s="112"/>
      <c r="AC96" s="112"/>
      <c r="AD96" s="112"/>
      <c r="AE96" s="112"/>
      <c r="AF96" s="112"/>
      <c r="AG96" s="112"/>
      <c r="AH96" s="112"/>
      <c r="AI96" s="112"/>
      <c r="AJ96" s="112"/>
      <c r="AK96" s="112"/>
      <c r="AL96" s="112"/>
      <c r="AM96" s="112"/>
      <c r="AN96" s="112"/>
      <c r="AO96" s="112"/>
      <c r="AP96" s="113"/>
      <c r="AQ96" s="51"/>
      <c r="AR96" s="208"/>
      <c r="AS96" s="49"/>
      <c r="AT96" s="49"/>
      <c r="AU96" s="49"/>
      <c r="AV96" s="49"/>
      <c r="AW96" s="49"/>
      <c r="AX96" s="49"/>
      <c r="AY96" s="52"/>
    </row>
    <row r="97" spans="1:53" ht="13.5" customHeight="1">
      <c r="A97" s="62"/>
      <c r="B97" s="50"/>
      <c r="C97" s="49"/>
      <c r="D97" s="49"/>
      <c r="E97" s="49"/>
      <c r="F97" s="49"/>
      <c r="G97" s="49"/>
      <c r="H97" s="49"/>
      <c r="I97" s="51"/>
      <c r="J97" s="350"/>
      <c r="K97" s="351"/>
      <c r="L97" s="50"/>
      <c r="M97" s="114" t="s">
        <v>438</v>
      </c>
      <c r="N97" s="112"/>
      <c r="O97" s="112"/>
      <c r="P97" s="113"/>
      <c r="Q97" s="114" t="s">
        <v>440</v>
      </c>
      <c r="R97" s="112"/>
      <c r="S97" s="112"/>
      <c r="T97" s="112"/>
      <c r="U97" s="112"/>
      <c r="V97" s="112"/>
      <c r="W97" s="112"/>
      <c r="X97" s="112"/>
      <c r="Y97" s="112"/>
      <c r="Z97" s="113"/>
      <c r="AA97" s="114"/>
      <c r="AB97" s="112"/>
      <c r="AC97" s="112"/>
      <c r="AD97" s="112"/>
      <c r="AE97" s="112"/>
      <c r="AF97" s="112"/>
      <c r="AG97" s="112"/>
      <c r="AH97" s="112"/>
      <c r="AI97" s="112"/>
      <c r="AJ97" s="112"/>
      <c r="AK97" s="112"/>
      <c r="AL97" s="112"/>
      <c r="AM97" s="112"/>
      <c r="AN97" s="112"/>
      <c r="AO97" s="112"/>
      <c r="AP97" s="113"/>
      <c r="AQ97" s="51"/>
      <c r="AR97" s="208"/>
      <c r="AS97" s="49"/>
      <c r="AT97" s="49"/>
      <c r="AU97" s="49"/>
      <c r="AV97" s="49"/>
      <c r="AW97" s="49"/>
      <c r="AX97" s="49"/>
      <c r="AY97" s="52"/>
    </row>
    <row r="98" spans="1:53" ht="13.5" customHeight="1">
      <c r="A98" s="62"/>
      <c r="B98" s="50"/>
      <c r="C98" s="49"/>
      <c r="D98" s="49"/>
      <c r="E98" s="49"/>
      <c r="F98" s="49"/>
      <c r="G98" s="49"/>
      <c r="H98" s="49"/>
      <c r="I98" s="51"/>
      <c r="J98" s="350"/>
      <c r="K98" s="351"/>
      <c r="L98" s="50"/>
      <c r="M98" s="114" t="s">
        <v>301</v>
      </c>
      <c r="N98" s="112"/>
      <c r="O98" s="112"/>
      <c r="P98" s="113"/>
      <c r="Q98" s="114" t="s">
        <v>302</v>
      </c>
      <c r="R98" s="112"/>
      <c r="S98" s="112"/>
      <c r="T98" s="112"/>
      <c r="U98" s="112"/>
      <c r="V98" s="112"/>
      <c r="W98" s="112"/>
      <c r="X98" s="112"/>
      <c r="Y98" s="112"/>
      <c r="Z98" s="113"/>
      <c r="AA98" s="114"/>
      <c r="AB98" s="112"/>
      <c r="AC98" s="112"/>
      <c r="AD98" s="112"/>
      <c r="AE98" s="112"/>
      <c r="AF98" s="112"/>
      <c r="AG98" s="112"/>
      <c r="AH98" s="112"/>
      <c r="AI98" s="112"/>
      <c r="AJ98" s="112"/>
      <c r="AK98" s="112"/>
      <c r="AL98" s="112"/>
      <c r="AM98" s="112"/>
      <c r="AN98" s="112"/>
      <c r="AO98" s="112"/>
      <c r="AP98" s="113"/>
      <c r="AQ98" s="51"/>
      <c r="AR98" s="208"/>
      <c r="AS98" s="49"/>
      <c r="AT98" s="49"/>
      <c r="AU98" s="49"/>
      <c r="AV98" s="49"/>
      <c r="AW98" s="49"/>
      <c r="AX98" s="49"/>
      <c r="AY98" s="52"/>
    </row>
    <row r="99" spans="1:53" ht="13.5" customHeight="1">
      <c r="A99" s="62"/>
      <c r="B99" s="50"/>
      <c r="C99" s="49"/>
      <c r="D99" s="49"/>
      <c r="E99" s="49"/>
      <c r="F99" s="49"/>
      <c r="G99" s="49"/>
      <c r="H99" s="49"/>
      <c r="I99" s="51"/>
      <c r="J99" s="350"/>
      <c r="K99" s="351"/>
      <c r="L99" s="50"/>
      <c r="M99" s="114" t="s">
        <v>303</v>
      </c>
      <c r="N99" s="112"/>
      <c r="O99" s="112"/>
      <c r="P99" s="113"/>
      <c r="Q99" s="114" t="s">
        <v>115</v>
      </c>
      <c r="R99" s="112"/>
      <c r="S99" s="112"/>
      <c r="T99" s="112"/>
      <c r="U99" s="112"/>
      <c r="V99" s="112"/>
      <c r="W99" s="112"/>
      <c r="X99" s="112"/>
      <c r="Y99" s="112"/>
      <c r="Z99" s="113"/>
      <c r="AA99" s="114"/>
      <c r="AB99" s="112"/>
      <c r="AC99" s="112"/>
      <c r="AD99" s="112"/>
      <c r="AE99" s="112"/>
      <c r="AF99" s="112"/>
      <c r="AG99" s="112"/>
      <c r="AH99" s="112"/>
      <c r="AI99" s="112"/>
      <c r="AJ99" s="112"/>
      <c r="AK99" s="112"/>
      <c r="AL99" s="112"/>
      <c r="AM99" s="112"/>
      <c r="AN99" s="112"/>
      <c r="AO99" s="112"/>
      <c r="AP99" s="113"/>
      <c r="AQ99" s="51"/>
      <c r="AR99" s="208"/>
      <c r="AS99" s="49"/>
      <c r="AT99" s="49"/>
      <c r="AU99" s="49"/>
      <c r="AV99" s="49"/>
      <c r="AW99" s="49"/>
      <c r="AX99" s="49"/>
      <c r="AY99" s="52"/>
    </row>
    <row r="100" spans="1:53" ht="13.5" customHeight="1">
      <c r="A100" s="62"/>
      <c r="B100" s="50"/>
      <c r="C100" s="49"/>
      <c r="D100" s="49"/>
      <c r="E100" s="49"/>
      <c r="F100" s="49"/>
      <c r="G100" s="49"/>
      <c r="H100" s="49"/>
      <c r="I100" s="51"/>
      <c r="J100" s="350"/>
      <c r="K100" s="351"/>
      <c r="L100" s="50"/>
      <c r="M100" s="114" t="s">
        <v>304</v>
      </c>
      <c r="N100" s="112"/>
      <c r="O100" s="112"/>
      <c r="P100" s="113"/>
      <c r="Q100" s="114" t="s">
        <v>91</v>
      </c>
      <c r="R100" s="112"/>
      <c r="S100" s="112"/>
      <c r="T100" s="112"/>
      <c r="U100" s="112"/>
      <c r="V100" s="112"/>
      <c r="W100" s="112"/>
      <c r="X100" s="112"/>
      <c r="Y100" s="112"/>
      <c r="Z100" s="113"/>
      <c r="AA100" s="114"/>
      <c r="AB100" s="112"/>
      <c r="AC100" s="112"/>
      <c r="AD100" s="112"/>
      <c r="AE100" s="112"/>
      <c r="AF100" s="112"/>
      <c r="AG100" s="112"/>
      <c r="AH100" s="112"/>
      <c r="AI100" s="112"/>
      <c r="AJ100" s="112"/>
      <c r="AK100" s="112"/>
      <c r="AL100" s="112"/>
      <c r="AM100" s="112"/>
      <c r="AN100" s="112"/>
      <c r="AO100" s="112"/>
      <c r="AP100" s="113"/>
      <c r="AQ100" s="51"/>
      <c r="AR100" s="208"/>
      <c r="AS100" s="49"/>
      <c r="AT100" s="49"/>
      <c r="AU100" s="49"/>
      <c r="AV100" s="49"/>
      <c r="AW100" s="49"/>
      <c r="AX100" s="49"/>
      <c r="AY100" s="52"/>
    </row>
    <row r="101" spans="1:53" ht="13.5" customHeight="1">
      <c r="A101" s="62"/>
      <c r="B101" s="50"/>
      <c r="C101" s="49"/>
      <c r="D101" s="49"/>
      <c r="E101" s="49"/>
      <c r="F101" s="49"/>
      <c r="G101" s="49"/>
      <c r="H101" s="49"/>
      <c r="I101" s="51"/>
      <c r="J101" s="350"/>
      <c r="K101" s="351"/>
      <c r="L101" s="50"/>
      <c r="M101" s="114" t="s">
        <v>305</v>
      </c>
      <c r="N101" s="112"/>
      <c r="O101" s="112"/>
      <c r="P101" s="113"/>
      <c r="Q101" s="114" t="s">
        <v>175</v>
      </c>
      <c r="R101" s="112"/>
      <c r="S101" s="112"/>
      <c r="T101" s="112"/>
      <c r="U101" s="112"/>
      <c r="V101" s="112"/>
      <c r="W101" s="112"/>
      <c r="X101" s="112"/>
      <c r="Y101" s="112"/>
      <c r="Z101" s="113"/>
      <c r="AA101" s="114"/>
      <c r="AB101" s="112"/>
      <c r="AC101" s="112"/>
      <c r="AD101" s="112"/>
      <c r="AE101" s="112"/>
      <c r="AF101" s="112"/>
      <c r="AG101" s="112"/>
      <c r="AH101" s="112"/>
      <c r="AI101" s="112"/>
      <c r="AJ101" s="112"/>
      <c r="AK101" s="112"/>
      <c r="AL101" s="112"/>
      <c r="AM101" s="112"/>
      <c r="AN101" s="112"/>
      <c r="AO101" s="112"/>
      <c r="AP101" s="113"/>
      <c r="AQ101" s="51"/>
      <c r="AR101" s="208"/>
      <c r="AS101" s="49"/>
      <c r="AT101" s="49"/>
      <c r="AU101" s="49"/>
      <c r="AV101" s="49"/>
      <c r="AW101" s="49"/>
      <c r="AX101" s="49"/>
      <c r="AY101" s="52"/>
    </row>
    <row r="102" spans="1:53" ht="13.5" customHeight="1">
      <c r="A102" s="62"/>
      <c r="B102" s="50"/>
      <c r="C102" s="49"/>
      <c r="D102" s="49"/>
      <c r="E102" s="49"/>
      <c r="F102" s="49"/>
      <c r="G102" s="49"/>
      <c r="H102" s="49"/>
      <c r="I102" s="51"/>
      <c r="J102" s="350"/>
      <c r="K102" s="351"/>
      <c r="L102" s="50"/>
      <c r="M102" s="114" t="s">
        <v>306</v>
      </c>
      <c r="N102" s="112"/>
      <c r="O102" s="112"/>
      <c r="P102" s="113"/>
      <c r="Q102" s="114" t="s">
        <v>307</v>
      </c>
      <c r="R102" s="112"/>
      <c r="S102" s="112"/>
      <c r="T102" s="112"/>
      <c r="U102" s="112"/>
      <c r="V102" s="112"/>
      <c r="W102" s="112"/>
      <c r="X102" s="112"/>
      <c r="Y102" s="112"/>
      <c r="Z102" s="113"/>
      <c r="AA102" s="114"/>
      <c r="AB102" s="112"/>
      <c r="AC102" s="112"/>
      <c r="AD102" s="112"/>
      <c r="AE102" s="112"/>
      <c r="AF102" s="112"/>
      <c r="AG102" s="112"/>
      <c r="AH102" s="112"/>
      <c r="AI102" s="112"/>
      <c r="AJ102" s="112"/>
      <c r="AK102" s="112"/>
      <c r="AL102" s="112"/>
      <c r="AM102" s="112"/>
      <c r="AN102" s="112"/>
      <c r="AO102" s="112"/>
      <c r="AP102" s="113"/>
      <c r="AQ102" s="51"/>
      <c r="AR102" s="208"/>
      <c r="AS102" s="49"/>
      <c r="AT102" s="49"/>
      <c r="AU102" s="49"/>
      <c r="AV102" s="49"/>
      <c r="AW102" s="49"/>
      <c r="AX102" s="49"/>
      <c r="AY102" s="52"/>
    </row>
    <row r="103" spans="1:53" ht="13.5" customHeight="1">
      <c r="A103" s="62"/>
      <c r="B103" s="50"/>
      <c r="C103" s="49"/>
      <c r="D103" s="49"/>
      <c r="E103" s="49"/>
      <c r="F103" s="49"/>
      <c r="G103" s="49"/>
      <c r="H103" s="49"/>
      <c r="I103" s="51"/>
      <c r="J103" s="350"/>
      <c r="K103" s="351"/>
      <c r="L103" s="50"/>
      <c r="M103" s="114" t="s">
        <v>308</v>
      </c>
      <c r="N103" s="112"/>
      <c r="O103" s="112"/>
      <c r="P103" s="113"/>
      <c r="Q103" s="114" t="s">
        <v>309</v>
      </c>
      <c r="R103" s="112"/>
      <c r="S103" s="112"/>
      <c r="T103" s="112"/>
      <c r="U103" s="112"/>
      <c r="V103" s="112"/>
      <c r="W103" s="112"/>
      <c r="X103" s="112"/>
      <c r="Y103" s="112"/>
      <c r="Z103" s="113"/>
      <c r="AA103" s="114"/>
      <c r="AB103" s="112"/>
      <c r="AC103" s="112"/>
      <c r="AD103" s="112"/>
      <c r="AE103" s="112"/>
      <c r="AF103" s="112"/>
      <c r="AG103" s="112"/>
      <c r="AH103" s="112"/>
      <c r="AI103" s="112"/>
      <c r="AJ103" s="112"/>
      <c r="AK103" s="112"/>
      <c r="AL103" s="112"/>
      <c r="AM103" s="112"/>
      <c r="AN103" s="112"/>
      <c r="AO103" s="112"/>
      <c r="AP103" s="113"/>
      <c r="AQ103" s="51"/>
      <c r="AR103" s="208"/>
      <c r="AS103" s="49"/>
      <c r="AT103" s="49"/>
      <c r="AU103" s="49"/>
      <c r="AV103" s="49"/>
      <c r="AW103" s="49"/>
      <c r="AX103" s="49"/>
      <c r="AY103" s="52"/>
    </row>
    <row r="104" spans="1:53" ht="13.5" customHeight="1">
      <c r="A104" s="62"/>
      <c r="B104" s="50"/>
      <c r="C104" s="49"/>
      <c r="D104" s="49"/>
      <c r="E104" s="49"/>
      <c r="F104" s="49"/>
      <c r="G104" s="49"/>
      <c r="H104" s="49"/>
      <c r="I104" s="51"/>
      <c r="J104" s="350"/>
      <c r="K104" s="351"/>
      <c r="L104" s="50"/>
      <c r="M104" s="114" t="s">
        <v>310</v>
      </c>
      <c r="N104" s="112"/>
      <c r="O104" s="112"/>
      <c r="P104" s="113"/>
      <c r="Q104" s="114" t="s">
        <v>311</v>
      </c>
      <c r="R104" s="112"/>
      <c r="S104" s="112"/>
      <c r="T104" s="112"/>
      <c r="U104" s="112"/>
      <c r="V104" s="112"/>
      <c r="W104" s="112"/>
      <c r="X104" s="112"/>
      <c r="Y104" s="112"/>
      <c r="Z104" s="113"/>
      <c r="AA104" s="114"/>
      <c r="AB104" s="112"/>
      <c r="AC104" s="112"/>
      <c r="AD104" s="112"/>
      <c r="AE104" s="112"/>
      <c r="AF104" s="112"/>
      <c r="AG104" s="112"/>
      <c r="AH104" s="112"/>
      <c r="AI104" s="112"/>
      <c r="AJ104" s="112"/>
      <c r="AK104" s="112"/>
      <c r="AL104" s="112"/>
      <c r="AM104" s="112"/>
      <c r="AN104" s="112"/>
      <c r="AO104" s="112"/>
      <c r="AP104" s="113"/>
      <c r="AQ104" s="51"/>
      <c r="AR104" s="208"/>
      <c r="AS104" s="49"/>
      <c r="AT104" s="49"/>
      <c r="AU104" s="49"/>
      <c r="AV104" s="49"/>
      <c r="AW104" s="49"/>
      <c r="AX104" s="49"/>
      <c r="AY104" s="52"/>
    </row>
    <row r="105" spans="1:53" s="38" customFormat="1" ht="13.5" customHeight="1">
      <c r="A105" s="62"/>
      <c r="B105" s="50"/>
      <c r="C105" s="49"/>
      <c r="D105" s="49"/>
      <c r="E105" s="49"/>
      <c r="F105" s="49"/>
      <c r="G105" s="49"/>
      <c r="H105" s="49"/>
      <c r="I105" s="51"/>
      <c r="J105" s="390"/>
      <c r="K105" s="391"/>
      <c r="L105" s="50"/>
      <c r="M105" s="114" t="s">
        <v>959</v>
      </c>
      <c r="N105" s="112"/>
      <c r="O105" s="112"/>
      <c r="P105" s="113"/>
      <c r="Q105" s="114" t="s">
        <v>960</v>
      </c>
      <c r="R105" s="112"/>
      <c r="S105" s="112"/>
      <c r="T105" s="112"/>
      <c r="U105" s="112"/>
      <c r="V105" s="112"/>
      <c r="W105" s="112"/>
      <c r="X105" s="112"/>
      <c r="Y105" s="112"/>
      <c r="Z105" s="113"/>
      <c r="AA105" s="114"/>
      <c r="AB105" s="112"/>
      <c r="AC105" s="112"/>
      <c r="AD105" s="112"/>
      <c r="AE105" s="112"/>
      <c r="AF105" s="112"/>
      <c r="AG105" s="112"/>
      <c r="AH105" s="112"/>
      <c r="AI105" s="112"/>
      <c r="AJ105" s="112"/>
      <c r="AK105" s="112"/>
      <c r="AL105" s="112"/>
      <c r="AM105" s="112"/>
      <c r="AN105" s="112"/>
      <c r="AO105" s="112"/>
      <c r="AP105" s="113"/>
      <c r="AQ105" s="51"/>
      <c r="AR105" s="208"/>
      <c r="AS105" s="49"/>
      <c r="AT105" s="49"/>
      <c r="AU105" s="49"/>
      <c r="AV105" s="49"/>
      <c r="AW105" s="49"/>
      <c r="AX105" s="49"/>
      <c r="AY105" s="52"/>
      <c r="AZ105" s="299"/>
      <c r="BA105" s="38">
        <v>2.2999999999999998</v>
      </c>
    </row>
    <row r="106" spans="1:53" ht="13.5" customHeight="1">
      <c r="A106" s="62"/>
      <c r="B106" s="50"/>
      <c r="C106" s="49"/>
      <c r="D106" s="49"/>
      <c r="E106" s="49"/>
      <c r="F106" s="49"/>
      <c r="G106" s="49"/>
      <c r="H106" s="49"/>
      <c r="I106" s="51"/>
      <c r="J106" s="350"/>
      <c r="K106" s="351"/>
      <c r="L106" s="50"/>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49"/>
      <c r="AQ106" s="51"/>
      <c r="AR106" s="208"/>
      <c r="AS106" s="49"/>
      <c r="AT106" s="49"/>
      <c r="AU106" s="49"/>
      <c r="AV106" s="49"/>
      <c r="AW106" s="49"/>
      <c r="AX106" s="49"/>
      <c r="AY106" s="52"/>
    </row>
    <row r="107" spans="1:53" ht="13.5" customHeight="1">
      <c r="A107" s="56"/>
      <c r="B107" s="50"/>
      <c r="C107" s="49"/>
      <c r="D107" s="49"/>
      <c r="E107" s="49"/>
      <c r="F107" s="49"/>
      <c r="G107" s="49"/>
      <c r="H107" s="49"/>
      <c r="I107" s="51"/>
      <c r="J107" s="350"/>
      <c r="K107" s="351"/>
      <c r="L107" s="101" t="s">
        <v>771</v>
      </c>
      <c r="M107" s="102"/>
      <c r="N107" s="102"/>
      <c r="O107" s="102"/>
      <c r="P107" s="102"/>
      <c r="Q107" s="102"/>
      <c r="R107" s="102"/>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51"/>
      <c r="AR107" s="208"/>
      <c r="AS107" s="49"/>
      <c r="AT107" s="49"/>
      <c r="AU107" s="49"/>
      <c r="AV107" s="49"/>
      <c r="AW107" s="49"/>
      <c r="AX107" s="49"/>
      <c r="AY107" s="52"/>
    </row>
    <row r="108" spans="1:53" ht="13.5" customHeight="1">
      <c r="A108" s="56"/>
      <c r="B108" s="50"/>
      <c r="C108" s="49"/>
      <c r="D108" s="49"/>
      <c r="E108" s="49"/>
      <c r="F108" s="49"/>
      <c r="G108" s="49"/>
      <c r="H108" s="49"/>
      <c r="I108" s="51"/>
      <c r="J108" s="350"/>
      <c r="K108" s="351"/>
      <c r="L108" s="101"/>
      <c r="M108" s="102"/>
      <c r="N108" s="102"/>
      <c r="O108" s="102"/>
      <c r="P108" s="102"/>
      <c r="Q108" s="102"/>
      <c r="R108" s="102"/>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51"/>
      <c r="AR108" s="208"/>
      <c r="AS108" s="49"/>
      <c r="AT108" s="49"/>
      <c r="AU108" s="49"/>
      <c r="AV108" s="49"/>
      <c r="AW108" s="49"/>
      <c r="AX108" s="49"/>
      <c r="AY108" s="52"/>
    </row>
    <row r="109" spans="1:53" ht="13.5" customHeight="1">
      <c r="A109" s="56"/>
      <c r="B109" s="50"/>
      <c r="C109" s="49"/>
      <c r="D109" s="49"/>
      <c r="E109" s="49"/>
      <c r="F109" s="49"/>
      <c r="G109" s="49"/>
      <c r="H109" s="49"/>
      <c r="I109" s="51"/>
      <c r="J109" s="350"/>
      <c r="K109" s="351"/>
      <c r="L109" s="520" t="s">
        <v>667</v>
      </c>
      <c r="M109" s="505"/>
      <c r="N109" s="505"/>
      <c r="O109" s="505"/>
      <c r="P109" s="505"/>
      <c r="Q109" s="505"/>
      <c r="R109" s="505"/>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49"/>
      <c r="AP109" s="49"/>
      <c r="AQ109" s="51"/>
      <c r="AR109" s="208"/>
      <c r="AS109" s="49"/>
      <c r="AT109" s="49"/>
      <c r="AU109" s="49"/>
      <c r="AV109" s="49"/>
      <c r="AW109" s="49"/>
      <c r="AX109" s="49"/>
      <c r="AY109" s="52"/>
      <c r="AZ109" s="23">
        <v>0.7</v>
      </c>
    </row>
    <row r="110" spans="1:53" ht="13.5" customHeight="1">
      <c r="A110" s="56"/>
      <c r="B110" s="50"/>
      <c r="C110" s="49"/>
      <c r="D110" s="49"/>
      <c r="E110" s="49"/>
      <c r="F110" s="49"/>
      <c r="G110" s="49"/>
      <c r="H110" s="49"/>
      <c r="I110" s="51"/>
      <c r="J110" s="350"/>
      <c r="K110" s="351"/>
      <c r="L110" s="520"/>
      <c r="M110" s="505"/>
      <c r="N110" s="505"/>
      <c r="O110" s="505"/>
      <c r="P110" s="505"/>
      <c r="Q110" s="505"/>
      <c r="R110" s="505"/>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49"/>
      <c r="AP110" s="49"/>
      <c r="AQ110" s="51"/>
      <c r="AR110" s="208"/>
      <c r="AS110" s="49"/>
      <c r="AT110" s="49"/>
      <c r="AU110" s="49"/>
      <c r="AV110" s="49"/>
      <c r="AW110" s="49"/>
      <c r="AX110" s="49"/>
      <c r="AY110" s="52"/>
    </row>
    <row r="111" spans="1:53" ht="13.5" customHeight="1">
      <c r="A111" s="56"/>
      <c r="B111" s="50"/>
      <c r="C111" s="49"/>
      <c r="D111" s="49"/>
      <c r="E111" s="49"/>
      <c r="F111" s="49"/>
      <c r="G111" s="49"/>
      <c r="H111" s="49"/>
      <c r="I111" s="51"/>
      <c r="J111" s="350"/>
      <c r="K111" s="351"/>
      <c r="L111" s="141" t="s">
        <v>699</v>
      </c>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49"/>
      <c r="AP111" s="49"/>
      <c r="AQ111" s="51"/>
      <c r="AR111" s="49"/>
      <c r="AS111" s="49"/>
      <c r="AT111" s="49"/>
      <c r="AU111" s="49"/>
      <c r="AV111" s="49"/>
      <c r="AW111" s="49"/>
      <c r="AX111" s="49"/>
      <c r="AY111" s="52"/>
      <c r="AZ111" s="23">
        <v>0.8</v>
      </c>
    </row>
    <row r="112" spans="1:53" ht="13.5" customHeight="1">
      <c r="A112" s="56"/>
      <c r="B112" s="50"/>
      <c r="C112" s="49"/>
      <c r="D112" s="49"/>
      <c r="E112" s="49"/>
      <c r="F112" s="49"/>
      <c r="G112" s="49"/>
      <c r="H112" s="49"/>
      <c r="I112" s="51"/>
      <c r="J112" s="350"/>
      <c r="K112" s="351"/>
      <c r="L112" s="141"/>
      <c r="M112" s="521"/>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49"/>
      <c r="AP112" s="49"/>
      <c r="AQ112" s="51"/>
      <c r="AR112" s="49"/>
      <c r="AS112" s="49"/>
      <c r="AT112" s="49"/>
      <c r="AU112" s="49"/>
      <c r="AV112" s="49"/>
      <c r="AW112" s="49"/>
      <c r="AX112" s="49"/>
      <c r="AY112" s="52"/>
      <c r="AZ112" s="23">
        <v>0.8</v>
      </c>
    </row>
    <row r="113" spans="1:53" ht="13.5" customHeight="1">
      <c r="A113" s="56"/>
      <c r="B113" s="50"/>
      <c r="C113" s="49"/>
      <c r="D113" s="49"/>
      <c r="E113" s="49"/>
      <c r="F113" s="49"/>
      <c r="G113" s="49"/>
      <c r="H113" s="49"/>
      <c r="I113" s="51"/>
      <c r="J113" s="350"/>
      <c r="K113" s="351"/>
      <c r="L113" s="141"/>
      <c r="M113" s="139" t="s">
        <v>447</v>
      </c>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49"/>
      <c r="AP113" s="49"/>
      <c r="AQ113" s="51"/>
      <c r="AR113" s="49"/>
      <c r="AS113" s="49"/>
      <c r="AT113" s="49"/>
      <c r="AU113" s="49"/>
      <c r="AV113" s="49"/>
      <c r="AW113" s="49"/>
      <c r="AX113" s="49"/>
      <c r="AY113" s="52"/>
      <c r="AZ113" s="23">
        <v>0.8</v>
      </c>
    </row>
    <row r="114" spans="1:53" ht="13.5" customHeight="1">
      <c r="A114" s="56"/>
      <c r="B114" s="50"/>
      <c r="C114" s="49"/>
      <c r="D114" s="49"/>
      <c r="E114" s="49"/>
      <c r="F114" s="49"/>
      <c r="G114" s="49"/>
      <c r="H114" s="49"/>
      <c r="I114" s="51"/>
      <c r="J114" s="350"/>
      <c r="K114" s="351"/>
      <c r="L114" s="141"/>
      <c r="M114" s="139" t="s">
        <v>698</v>
      </c>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c r="AJ114" s="139"/>
      <c r="AK114" s="139"/>
      <c r="AL114" s="139"/>
      <c r="AM114" s="139"/>
      <c r="AN114" s="139"/>
      <c r="AO114" s="49"/>
      <c r="AP114" s="49"/>
      <c r="AQ114" s="51"/>
      <c r="AR114" s="49"/>
      <c r="AS114" s="49"/>
      <c r="AT114" s="49"/>
      <c r="AU114" s="49"/>
      <c r="AV114" s="49"/>
      <c r="AW114" s="49"/>
      <c r="AX114" s="49"/>
      <c r="AY114" s="52"/>
      <c r="AZ114" s="23">
        <v>0.8</v>
      </c>
    </row>
    <row r="115" spans="1:53" ht="13.5" customHeight="1">
      <c r="A115" s="56"/>
      <c r="B115" s="50"/>
      <c r="C115" s="49"/>
      <c r="D115" s="49"/>
      <c r="E115" s="49"/>
      <c r="F115" s="49"/>
      <c r="G115" s="49"/>
      <c r="H115" s="49"/>
      <c r="I115" s="51"/>
      <c r="J115" s="350"/>
      <c r="K115" s="351"/>
      <c r="L115" s="141"/>
      <c r="M115" s="139" t="s">
        <v>700</v>
      </c>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39"/>
      <c r="AN115" s="139"/>
      <c r="AO115" s="49"/>
      <c r="AP115" s="49"/>
      <c r="AQ115" s="51"/>
      <c r="AR115" s="49"/>
      <c r="AS115" s="49"/>
      <c r="AT115" s="49"/>
      <c r="AU115" s="49"/>
      <c r="AV115" s="49"/>
      <c r="AW115" s="49"/>
      <c r="AX115" s="49"/>
      <c r="AY115" s="52"/>
      <c r="AZ115" s="23">
        <v>0.8</v>
      </c>
    </row>
    <row r="116" spans="1:53" ht="13.5" customHeight="1">
      <c r="A116" s="56"/>
      <c r="B116" s="50"/>
      <c r="C116" s="49"/>
      <c r="D116" s="49"/>
      <c r="E116" s="49"/>
      <c r="F116" s="49"/>
      <c r="G116" s="49"/>
      <c r="H116" s="49"/>
      <c r="I116" s="51"/>
      <c r="J116" s="350"/>
      <c r="K116" s="351"/>
      <c r="L116" s="141"/>
      <c r="M116" s="139" t="s">
        <v>216</v>
      </c>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49"/>
      <c r="AP116" s="49"/>
      <c r="AQ116" s="51"/>
      <c r="AR116" s="49"/>
      <c r="AS116" s="49"/>
      <c r="AT116" s="49"/>
      <c r="AU116" s="49"/>
      <c r="AV116" s="49"/>
      <c r="AW116" s="49"/>
      <c r="AX116" s="49"/>
      <c r="AY116" s="52"/>
      <c r="AZ116" s="23">
        <v>0.8</v>
      </c>
    </row>
    <row r="117" spans="1:53" ht="13.5" customHeight="1">
      <c r="A117" s="56"/>
      <c r="B117" s="50"/>
      <c r="C117" s="49"/>
      <c r="D117" s="49"/>
      <c r="E117" s="49"/>
      <c r="F117" s="49"/>
      <c r="G117" s="49"/>
      <c r="H117" s="49"/>
      <c r="I117" s="51"/>
      <c r="J117" s="350"/>
      <c r="K117" s="351"/>
      <c r="L117" s="50"/>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51"/>
      <c r="AR117" s="49"/>
      <c r="AS117" s="49"/>
      <c r="AT117" s="49"/>
      <c r="AU117" s="49"/>
      <c r="AV117" s="49"/>
      <c r="AW117" s="49"/>
      <c r="AX117" s="49"/>
      <c r="AY117" s="52"/>
    </row>
    <row r="118" spans="1:53" s="38" customFormat="1" ht="13.5" customHeight="1">
      <c r="A118" s="62"/>
      <c r="B118" s="50"/>
      <c r="C118" s="49"/>
      <c r="D118" s="49"/>
      <c r="E118" s="49"/>
      <c r="F118" s="49"/>
      <c r="G118" s="49"/>
      <c r="H118" s="49"/>
      <c r="I118" s="51"/>
      <c r="J118" s="350"/>
      <c r="K118" s="351"/>
      <c r="L118" s="50" t="s">
        <v>714</v>
      </c>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51"/>
      <c r="AR118" s="208"/>
      <c r="AS118" s="49"/>
      <c r="AT118" s="49"/>
      <c r="AU118" s="49"/>
      <c r="AV118" s="49"/>
      <c r="AW118" s="49"/>
      <c r="AX118" s="49"/>
      <c r="AY118" s="52"/>
      <c r="AZ118" s="288">
        <v>0.1</v>
      </c>
    </row>
    <row r="119" spans="1:53" ht="13.5" customHeight="1" thickBot="1">
      <c r="A119" s="321"/>
      <c r="B119" s="322"/>
      <c r="C119" s="323"/>
      <c r="D119" s="323"/>
      <c r="E119" s="323"/>
      <c r="F119" s="323"/>
      <c r="G119" s="323"/>
      <c r="H119" s="323"/>
      <c r="I119" s="324"/>
      <c r="J119" s="713"/>
      <c r="K119" s="714"/>
      <c r="L119" s="322"/>
      <c r="M119" s="323"/>
      <c r="N119" s="323"/>
      <c r="O119" s="323"/>
      <c r="P119" s="323"/>
      <c r="Q119" s="323"/>
      <c r="R119" s="323"/>
      <c r="S119" s="323"/>
      <c r="T119" s="323"/>
      <c r="U119" s="323"/>
      <c r="V119" s="323"/>
      <c r="W119" s="323"/>
      <c r="X119" s="323"/>
      <c r="Y119" s="323"/>
      <c r="Z119" s="323"/>
      <c r="AA119" s="323"/>
      <c r="AB119" s="323"/>
      <c r="AC119" s="323"/>
      <c r="AD119" s="323"/>
      <c r="AE119" s="323"/>
      <c r="AF119" s="323"/>
      <c r="AG119" s="323"/>
      <c r="AH119" s="323"/>
      <c r="AI119" s="323"/>
      <c r="AJ119" s="323"/>
      <c r="AK119" s="323"/>
      <c r="AL119" s="323"/>
      <c r="AM119" s="323"/>
      <c r="AN119" s="323"/>
      <c r="AO119" s="323"/>
      <c r="AP119" s="323"/>
      <c r="AQ119" s="324"/>
      <c r="AR119" s="327"/>
      <c r="AS119" s="323"/>
      <c r="AT119" s="323"/>
      <c r="AU119" s="323"/>
      <c r="AV119" s="323"/>
      <c r="AW119" s="323"/>
      <c r="AX119" s="323"/>
      <c r="AY119" s="328"/>
    </row>
    <row r="120" spans="1:53" ht="13.5" customHeight="1">
      <c r="A120" s="45">
        <v>3</v>
      </c>
      <c r="B120" s="64" t="s">
        <v>51</v>
      </c>
      <c r="C120" s="63"/>
      <c r="D120" s="63"/>
      <c r="E120" s="63"/>
      <c r="F120" s="63"/>
      <c r="G120" s="63"/>
      <c r="H120" s="63"/>
      <c r="I120" s="63"/>
      <c r="J120" s="98"/>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214"/>
      <c r="AS120" s="63"/>
      <c r="AT120" s="63"/>
      <c r="AU120" s="63"/>
      <c r="AV120" s="63"/>
      <c r="AW120" s="63"/>
      <c r="AX120" s="63"/>
      <c r="AY120" s="186"/>
    </row>
    <row r="121" spans="1:53" ht="13.5" customHeight="1">
      <c r="A121" s="56"/>
      <c r="B121" s="101"/>
      <c r="C121" s="49"/>
      <c r="D121" s="49"/>
      <c r="E121" s="49"/>
      <c r="F121" s="49"/>
      <c r="G121" s="49"/>
      <c r="H121" s="49"/>
      <c r="I121" s="51"/>
      <c r="J121" s="717" t="s">
        <v>56</v>
      </c>
      <c r="K121" s="718"/>
      <c r="L121" s="50" t="s">
        <v>366</v>
      </c>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51"/>
      <c r="AR121" s="208"/>
      <c r="AS121" s="49"/>
      <c r="AT121" s="49"/>
      <c r="AU121" s="49"/>
      <c r="AV121" s="49"/>
      <c r="AW121" s="49"/>
      <c r="AX121" s="49"/>
      <c r="AY121" s="52"/>
    </row>
    <row r="122" spans="1:53" ht="13.5" customHeight="1">
      <c r="A122" s="56"/>
      <c r="B122" s="101"/>
      <c r="C122" s="49"/>
      <c r="D122" s="49"/>
      <c r="E122" s="49"/>
      <c r="F122" s="49"/>
      <c r="G122" s="49"/>
      <c r="H122" s="49"/>
      <c r="I122" s="51"/>
      <c r="J122" s="656"/>
      <c r="K122" s="657"/>
      <c r="L122" s="50"/>
      <c r="M122" s="142"/>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51"/>
      <c r="AR122" s="208"/>
      <c r="AS122" s="49"/>
      <c r="AT122" s="49"/>
      <c r="AU122" s="49"/>
      <c r="AV122" s="49"/>
      <c r="AW122" s="49"/>
      <c r="AX122" s="49"/>
      <c r="AY122" s="52"/>
    </row>
    <row r="123" spans="1:53" ht="13.5" customHeight="1">
      <c r="A123" s="56"/>
      <c r="B123" s="101"/>
      <c r="C123" s="49"/>
      <c r="D123" s="49"/>
      <c r="E123" s="49"/>
      <c r="F123" s="49"/>
      <c r="G123" s="49"/>
      <c r="H123" s="49"/>
      <c r="I123" s="51"/>
      <c r="J123" s="656"/>
      <c r="K123" s="657"/>
      <c r="L123" s="50"/>
      <c r="M123" s="102" t="s">
        <v>544</v>
      </c>
      <c r="N123" s="102"/>
      <c r="O123" s="102"/>
      <c r="P123" s="102"/>
      <c r="Q123" s="102"/>
      <c r="R123" s="102"/>
      <c r="S123" s="102"/>
      <c r="T123" s="102"/>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51"/>
      <c r="AR123" s="208" t="s">
        <v>77</v>
      </c>
      <c r="AS123" s="49"/>
      <c r="AT123" s="49"/>
      <c r="AU123" s="49"/>
      <c r="AV123" s="49"/>
      <c r="AW123" s="49"/>
      <c r="AX123" s="49"/>
      <c r="AY123" s="52"/>
    </row>
    <row r="124" spans="1:53" ht="13.5" customHeight="1">
      <c r="A124" s="56"/>
      <c r="B124" s="101"/>
      <c r="C124" s="49"/>
      <c r="D124" s="49"/>
      <c r="E124" s="49"/>
      <c r="F124" s="49"/>
      <c r="G124" s="49"/>
      <c r="H124" s="49"/>
      <c r="I124" s="51"/>
      <c r="J124" s="656"/>
      <c r="K124" s="657"/>
      <c r="L124" s="50"/>
      <c r="M124" s="49"/>
      <c r="N124" s="102" t="s">
        <v>364</v>
      </c>
      <c r="O124" s="102"/>
      <c r="P124" s="102"/>
      <c r="Q124" s="102"/>
      <c r="R124" s="102"/>
      <c r="S124" s="102"/>
      <c r="T124" s="102"/>
      <c r="U124" s="102"/>
      <c r="V124" s="102"/>
      <c r="W124" s="102"/>
      <c r="X124" s="102"/>
      <c r="Y124" s="102"/>
      <c r="Z124" s="102"/>
      <c r="AA124" s="102"/>
      <c r="AB124" s="102"/>
      <c r="AC124" s="102"/>
      <c r="AD124" s="102"/>
      <c r="AE124" s="102"/>
      <c r="AF124" s="49"/>
      <c r="AG124" s="49"/>
      <c r="AH124" s="49"/>
      <c r="AI124" s="49"/>
      <c r="AJ124" s="49"/>
      <c r="AK124" s="49"/>
      <c r="AL124" s="49"/>
      <c r="AM124" s="49"/>
      <c r="AN124" s="49"/>
      <c r="AO124" s="49"/>
      <c r="AP124" s="49"/>
      <c r="AQ124" s="51"/>
      <c r="AR124" s="207" t="s">
        <v>78</v>
      </c>
      <c r="AS124" s="206"/>
      <c r="AT124" s="206"/>
      <c r="AU124" s="206"/>
      <c r="AV124" s="206"/>
      <c r="AW124" s="206"/>
      <c r="AX124" s="206"/>
      <c r="AY124" s="52" t="s">
        <v>157</v>
      </c>
    </row>
    <row r="125" spans="1:53" ht="13.5" customHeight="1">
      <c r="A125" s="56"/>
      <c r="B125" s="101"/>
      <c r="C125" s="49"/>
      <c r="D125" s="49"/>
      <c r="E125" s="49"/>
      <c r="F125" s="49"/>
      <c r="G125" s="49"/>
      <c r="H125" s="49"/>
      <c r="I125" s="51"/>
      <c r="J125" s="656"/>
      <c r="K125" s="657"/>
      <c r="L125" s="50"/>
      <c r="M125" s="49"/>
      <c r="N125" s="49" t="s">
        <v>248</v>
      </c>
      <c r="O125" s="102"/>
      <c r="P125" s="102"/>
      <c r="Q125" s="102"/>
      <c r="R125" s="102"/>
      <c r="S125" s="102"/>
      <c r="T125" s="102"/>
      <c r="U125" s="102"/>
      <c r="V125" s="102"/>
      <c r="W125" s="102"/>
      <c r="X125" s="102"/>
      <c r="Y125" s="102"/>
      <c r="Z125" s="102"/>
      <c r="AA125" s="102"/>
      <c r="AB125" s="102"/>
      <c r="AC125" s="102"/>
      <c r="AD125" s="102"/>
      <c r="AE125" s="102"/>
      <c r="AF125" s="49"/>
      <c r="AG125" s="49"/>
      <c r="AH125" s="49"/>
      <c r="AI125" s="49"/>
      <c r="AJ125" s="49"/>
      <c r="AK125" s="49"/>
      <c r="AL125" s="49"/>
      <c r="AM125" s="49"/>
      <c r="AN125" s="49"/>
      <c r="AO125" s="49"/>
      <c r="AP125" s="49"/>
      <c r="AQ125" s="51"/>
      <c r="AR125" s="208"/>
      <c r="AS125" s="49"/>
      <c r="AT125" s="49"/>
      <c r="AU125" s="49"/>
      <c r="AV125" s="49"/>
      <c r="AW125" s="49"/>
      <c r="AX125" s="49"/>
      <c r="AY125" s="52" t="s">
        <v>247</v>
      </c>
    </row>
    <row r="126" spans="1:53" s="29" customFormat="1" ht="13.5" customHeight="1">
      <c r="A126" s="56"/>
      <c r="B126" s="101"/>
      <c r="C126" s="49"/>
      <c r="D126" s="49"/>
      <c r="E126" s="49"/>
      <c r="F126" s="49"/>
      <c r="G126" s="49"/>
      <c r="H126" s="49"/>
      <c r="I126" s="51"/>
      <c r="J126" s="390"/>
      <c r="K126" s="391"/>
      <c r="L126" s="50"/>
      <c r="M126" s="49"/>
      <c r="N126" s="49" t="s">
        <v>967</v>
      </c>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51"/>
      <c r="AR126" s="208"/>
      <c r="AS126" s="49"/>
      <c r="AT126" s="49"/>
      <c r="AU126" s="49"/>
      <c r="AV126" s="49"/>
      <c r="AW126" s="49"/>
      <c r="AX126" s="49"/>
      <c r="AY126" s="52"/>
      <c r="AZ126" s="299"/>
      <c r="BA126" s="29">
        <v>2.2999999999999998</v>
      </c>
    </row>
    <row r="127" spans="1:53" ht="13.5" customHeight="1">
      <c r="A127" s="56"/>
      <c r="B127" s="101"/>
      <c r="C127" s="49"/>
      <c r="D127" s="49"/>
      <c r="E127" s="49"/>
      <c r="F127" s="49"/>
      <c r="G127" s="49"/>
      <c r="H127" s="49"/>
      <c r="I127" s="49"/>
      <c r="J127" s="350"/>
      <c r="K127" s="351"/>
      <c r="L127" s="50"/>
      <c r="M127" s="49"/>
      <c r="N127" s="261"/>
      <c r="O127" s="102"/>
      <c r="P127" s="102"/>
      <c r="Q127" s="102"/>
      <c r="R127" s="102"/>
      <c r="S127" s="102"/>
      <c r="T127" s="102"/>
      <c r="U127" s="102"/>
      <c r="V127" s="102"/>
      <c r="W127" s="102"/>
      <c r="X127" s="102"/>
      <c r="Y127" s="102"/>
      <c r="Z127" s="102"/>
      <c r="AA127" s="102"/>
      <c r="AB127" s="102"/>
      <c r="AC127" s="102"/>
      <c r="AD127" s="102"/>
      <c r="AE127" s="102"/>
      <c r="AF127" s="49"/>
      <c r="AG127" s="49"/>
      <c r="AH127" s="49"/>
      <c r="AI127" s="49"/>
      <c r="AJ127" s="49"/>
      <c r="AK127" s="49"/>
      <c r="AL127" s="49"/>
      <c r="AM127" s="49"/>
      <c r="AN127" s="49"/>
      <c r="AO127" s="49"/>
      <c r="AP127" s="49"/>
      <c r="AQ127" s="51"/>
      <c r="AR127" s="208"/>
      <c r="AS127" s="49"/>
      <c r="AT127" s="49"/>
      <c r="AU127" s="49"/>
      <c r="AV127" s="49"/>
      <c r="AW127" s="49"/>
      <c r="AX127" s="49"/>
      <c r="AY127" s="52"/>
    </row>
    <row r="128" spans="1:53" s="38" customFormat="1" ht="13.5" customHeight="1">
      <c r="A128" s="242"/>
      <c r="B128" s="243"/>
      <c r="C128" s="244"/>
      <c r="D128" s="245"/>
      <c r="E128" s="245"/>
      <c r="F128" s="245"/>
      <c r="G128" s="245"/>
      <c r="H128" s="245"/>
      <c r="I128" s="245"/>
      <c r="J128" s="243"/>
      <c r="K128" s="246"/>
      <c r="L128" s="522"/>
      <c r="M128" s="523"/>
      <c r="N128" s="216" t="s">
        <v>449</v>
      </c>
      <c r="O128" s="524"/>
      <c r="P128" s="524"/>
      <c r="Q128" s="524"/>
      <c r="R128" s="524"/>
      <c r="S128" s="524"/>
      <c r="T128" s="524"/>
      <c r="U128" s="524"/>
      <c r="V128" s="524"/>
      <c r="W128" s="524"/>
      <c r="X128" s="524"/>
      <c r="Y128" s="524"/>
      <c r="Z128" s="524"/>
      <c r="AA128" s="524"/>
      <c r="AB128" s="524"/>
      <c r="AC128" s="524"/>
      <c r="AD128" s="524"/>
      <c r="AE128" s="524"/>
      <c r="AF128" s="524"/>
      <c r="AG128" s="524"/>
      <c r="AH128" s="524"/>
      <c r="AI128" s="524"/>
      <c r="AJ128" s="524"/>
      <c r="AK128" s="524"/>
      <c r="AL128" s="524"/>
      <c r="AM128" s="524"/>
      <c r="AN128" s="524"/>
      <c r="AO128" s="524"/>
      <c r="AP128" s="524"/>
      <c r="AQ128" s="248"/>
      <c r="AR128" s="241"/>
      <c r="AS128" s="241"/>
      <c r="AT128" s="241"/>
      <c r="AU128" s="241"/>
      <c r="AV128" s="241"/>
      <c r="AW128" s="241"/>
      <c r="AX128" s="241"/>
      <c r="AY128" s="52"/>
    </row>
    <row r="129" spans="1:51" s="38" customFormat="1" ht="13.5" customHeight="1">
      <c r="A129" s="242"/>
      <c r="B129" s="243"/>
      <c r="C129" s="244"/>
      <c r="D129" s="245"/>
      <c r="E129" s="245"/>
      <c r="F129" s="245"/>
      <c r="G129" s="245"/>
      <c r="H129" s="245"/>
      <c r="I129" s="245"/>
      <c r="J129" s="243"/>
      <c r="K129" s="246"/>
      <c r="L129" s="522"/>
      <c r="M129" s="523"/>
      <c r="N129" s="525"/>
      <c r="O129" s="524" t="s">
        <v>498</v>
      </c>
      <c r="P129" s="524"/>
      <c r="Q129" s="524"/>
      <c r="R129" s="524"/>
      <c r="S129" s="524"/>
      <c r="T129" s="524"/>
      <c r="U129" s="524"/>
      <c r="V129" s="524"/>
      <c r="W129" s="524"/>
      <c r="X129" s="524"/>
      <c r="Y129" s="524"/>
      <c r="Z129" s="524"/>
      <c r="AA129" s="524"/>
      <c r="AB129" s="524"/>
      <c r="AC129" s="524"/>
      <c r="AD129" s="524"/>
      <c r="AE129" s="524"/>
      <c r="AF129" s="524"/>
      <c r="AG129" s="524"/>
      <c r="AH129" s="524"/>
      <c r="AI129" s="524"/>
      <c r="AJ129" s="524"/>
      <c r="AK129" s="524"/>
      <c r="AL129" s="524"/>
      <c r="AM129" s="524"/>
      <c r="AN129" s="524"/>
      <c r="AO129" s="524"/>
      <c r="AP129" s="524"/>
      <c r="AQ129" s="248"/>
      <c r="AR129" s="241"/>
      <c r="AS129" s="241"/>
      <c r="AT129" s="241"/>
      <c r="AU129" s="241"/>
      <c r="AV129" s="241"/>
      <c r="AW129" s="241"/>
      <c r="AX129" s="241"/>
      <c r="AY129" s="249"/>
    </row>
    <row r="130" spans="1:51" s="38" customFormat="1" ht="13.5" customHeight="1">
      <c r="A130" s="250"/>
      <c r="B130" s="251"/>
      <c r="C130" s="252"/>
      <c r="D130" s="245"/>
      <c r="E130" s="245"/>
      <c r="F130" s="245"/>
      <c r="G130" s="245"/>
      <c r="H130" s="245"/>
      <c r="I130" s="245"/>
      <c r="J130" s="243"/>
      <c r="K130" s="246"/>
      <c r="L130" s="522"/>
      <c r="M130" s="523"/>
      <c r="N130" s="526"/>
      <c r="O130" s="524"/>
      <c r="P130" s="524"/>
      <c r="Q130" s="524"/>
      <c r="R130" s="524"/>
      <c r="S130" s="524"/>
      <c r="T130" s="524"/>
      <c r="U130" s="524"/>
      <c r="V130" s="524"/>
      <c r="W130" s="524"/>
      <c r="X130" s="524"/>
      <c r="Y130" s="524"/>
      <c r="Z130" s="524"/>
      <c r="AA130" s="524"/>
      <c r="AB130" s="524"/>
      <c r="AC130" s="524"/>
      <c r="AD130" s="524"/>
      <c r="AE130" s="524"/>
      <c r="AF130" s="524"/>
      <c r="AG130" s="524"/>
      <c r="AH130" s="524"/>
      <c r="AI130" s="524"/>
      <c r="AJ130" s="524"/>
      <c r="AK130" s="524"/>
      <c r="AL130" s="524"/>
      <c r="AM130" s="524"/>
      <c r="AN130" s="524"/>
      <c r="AO130" s="524"/>
      <c r="AP130" s="524"/>
      <c r="AQ130" s="248"/>
      <c r="AR130" s="241"/>
      <c r="AS130" s="241"/>
      <c r="AT130" s="241"/>
      <c r="AU130" s="241"/>
      <c r="AV130" s="241"/>
      <c r="AW130" s="241"/>
      <c r="AX130" s="241"/>
      <c r="AY130" s="249"/>
    </row>
    <row r="131" spans="1:51" s="38" customFormat="1" ht="13.5" customHeight="1">
      <c r="A131" s="242"/>
      <c r="B131" s="253"/>
      <c r="C131" s="244"/>
      <c r="D131" s="245"/>
      <c r="E131" s="245"/>
      <c r="F131" s="245"/>
      <c r="G131" s="245"/>
      <c r="H131" s="245"/>
      <c r="I131" s="245"/>
      <c r="J131" s="243"/>
      <c r="K131" s="246"/>
      <c r="L131" s="522"/>
      <c r="M131" s="523"/>
      <c r="N131" s="527" t="s">
        <v>450</v>
      </c>
      <c r="O131" s="528"/>
      <c r="P131" s="528"/>
      <c r="Q131" s="528"/>
      <c r="R131" s="528"/>
      <c r="S131" s="528"/>
      <c r="T131" s="528"/>
      <c r="U131" s="528"/>
      <c r="V131" s="528"/>
      <c r="W131" s="528"/>
      <c r="X131" s="528"/>
      <c r="Y131" s="528"/>
      <c r="Z131" s="528"/>
      <c r="AA131" s="524"/>
      <c r="AB131" s="524"/>
      <c r="AC131" s="524"/>
      <c r="AD131" s="524"/>
      <c r="AE131" s="524"/>
      <c r="AF131" s="524"/>
      <c r="AG131" s="524"/>
      <c r="AH131" s="524"/>
      <c r="AI131" s="524"/>
      <c r="AJ131" s="524"/>
      <c r="AK131" s="524"/>
      <c r="AL131" s="524"/>
      <c r="AM131" s="524"/>
      <c r="AN131" s="524"/>
      <c r="AO131" s="524"/>
      <c r="AP131" s="524"/>
      <c r="AQ131" s="248"/>
      <c r="AR131" s="241"/>
      <c r="AS131" s="241"/>
      <c r="AT131" s="241"/>
      <c r="AU131" s="241"/>
      <c r="AV131" s="241"/>
      <c r="AW131" s="241"/>
      <c r="AX131" s="241"/>
      <c r="AY131" s="249"/>
    </row>
    <row r="132" spans="1:51" s="38" customFormat="1" ht="13.5" customHeight="1">
      <c r="A132" s="242"/>
      <c r="B132" s="251"/>
      <c r="C132" s="252"/>
      <c r="D132" s="245"/>
      <c r="E132" s="245"/>
      <c r="F132" s="245"/>
      <c r="G132" s="245"/>
      <c r="H132" s="245"/>
      <c r="I132" s="245"/>
      <c r="J132" s="243"/>
      <c r="K132" s="246"/>
      <c r="L132" s="522"/>
      <c r="M132" s="523"/>
      <c r="N132" s="529"/>
      <c r="O132" s="528" t="s">
        <v>769</v>
      </c>
      <c r="P132" s="528"/>
      <c r="Q132" s="528"/>
      <c r="R132" s="528"/>
      <c r="S132" s="528"/>
      <c r="T132" s="528"/>
      <c r="U132" s="528"/>
      <c r="V132" s="528"/>
      <c r="W132" s="528"/>
      <c r="X132" s="528"/>
      <c r="Y132" s="528"/>
      <c r="Z132" s="528"/>
      <c r="AA132" s="524"/>
      <c r="AB132" s="524"/>
      <c r="AC132" s="524"/>
      <c r="AD132" s="524"/>
      <c r="AE132" s="524"/>
      <c r="AF132" s="524"/>
      <c r="AG132" s="524"/>
      <c r="AH132" s="524"/>
      <c r="AI132" s="524"/>
      <c r="AJ132" s="524"/>
      <c r="AK132" s="524"/>
      <c r="AL132" s="524"/>
      <c r="AM132" s="524"/>
      <c r="AN132" s="524"/>
      <c r="AO132" s="524"/>
      <c r="AP132" s="524"/>
      <c r="AQ132" s="248"/>
      <c r="AR132" s="241"/>
      <c r="AS132" s="241"/>
      <c r="AT132" s="241"/>
      <c r="AU132" s="241"/>
      <c r="AV132" s="241"/>
      <c r="AW132" s="241"/>
      <c r="AX132" s="241"/>
      <c r="AY132" s="249"/>
    </row>
    <row r="133" spans="1:51" s="38" customFormat="1" ht="13.5" customHeight="1">
      <c r="A133" s="242"/>
      <c r="B133" s="251"/>
      <c r="C133" s="252"/>
      <c r="D133" s="245"/>
      <c r="E133" s="245"/>
      <c r="F133" s="245"/>
      <c r="G133" s="245"/>
      <c r="H133" s="245"/>
      <c r="I133" s="245"/>
      <c r="J133" s="243"/>
      <c r="K133" s="246"/>
      <c r="L133" s="522"/>
      <c r="M133" s="523"/>
      <c r="N133" s="529"/>
      <c r="O133" s="528" t="s">
        <v>548</v>
      </c>
      <c r="P133" s="528"/>
      <c r="Q133" s="528"/>
      <c r="R133" s="528"/>
      <c r="S133" s="528"/>
      <c r="T133" s="528"/>
      <c r="U133" s="528"/>
      <c r="V133" s="528"/>
      <c r="W133" s="528"/>
      <c r="X133" s="528"/>
      <c r="Y133" s="528"/>
      <c r="Z133" s="528"/>
      <c r="AA133" s="524"/>
      <c r="AB133" s="524"/>
      <c r="AC133" s="524"/>
      <c r="AD133" s="524"/>
      <c r="AE133" s="524"/>
      <c r="AF133" s="524"/>
      <c r="AG133" s="524"/>
      <c r="AH133" s="524"/>
      <c r="AI133" s="524"/>
      <c r="AJ133" s="524"/>
      <c r="AK133" s="524"/>
      <c r="AL133" s="524"/>
      <c r="AM133" s="524"/>
      <c r="AN133" s="524"/>
      <c r="AO133" s="524"/>
      <c r="AP133" s="524"/>
      <c r="AQ133" s="248"/>
      <c r="AR133" s="241"/>
      <c r="AS133" s="241"/>
      <c r="AT133" s="241"/>
      <c r="AU133" s="241"/>
      <c r="AV133" s="241"/>
      <c r="AW133" s="241"/>
      <c r="AX133" s="241"/>
      <c r="AY133" s="249"/>
    </row>
    <row r="134" spans="1:51" s="38" customFormat="1" ht="13.5" customHeight="1">
      <c r="A134" s="242"/>
      <c r="B134" s="251"/>
      <c r="C134" s="252"/>
      <c r="D134" s="245"/>
      <c r="E134" s="245"/>
      <c r="F134" s="245"/>
      <c r="G134" s="245"/>
      <c r="H134" s="245"/>
      <c r="I134" s="245"/>
      <c r="J134" s="243"/>
      <c r="K134" s="246"/>
      <c r="L134" s="522"/>
      <c r="M134" s="523"/>
      <c r="N134" s="529"/>
      <c r="O134" s="528"/>
      <c r="P134" s="528"/>
      <c r="Q134" s="528"/>
      <c r="R134" s="528"/>
      <c r="S134" s="528"/>
      <c r="T134" s="528"/>
      <c r="U134" s="528"/>
      <c r="V134" s="528"/>
      <c r="W134" s="528"/>
      <c r="X134" s="528"/>
      <c r="Y134" s="528"/>
      <c r="Z134" s="528"/>
      <c r="AA134" s="524"/>
      <c r="AB134" s="524"/>
      <c r="AC134" s="524"/>
      <c r="AD134" s="524"/>
      <c r="AE134" s="524"/>
      <c r="AF134" s="524"/>
      <c r="AG134" s="524"/>
      <c r="AH134" s="524"/>
      <c r="AI134" s="524"/>
      <c r="AJ134" s="524"/>
      <c r="AK134" s="524"/>
      <c r="AL134" s="524"/>
      <c r="AM134" s="524"/>
      <c r="AN134" s="524"/>
      <c r="AO134" s="524"/>
      <c r="AP134" s="524"/>
      <c r="AQ134" s="248"/>
      <c r="AR134" s="241"/>
      <c r="AS134" s="241"/>
      <c r="AT134" s="241"/>
      <c r="AU134" s="241"/>
      <c r="AV134" s="241"/>
      <c r="AW134" s="241"/>
      <c r="AX134" s="241"/>
      <c r="AY134" s="249"/>
    </row>
    <row r="135" spans="1:51" s="38" customFormat="1" ht="13.5" customHeight="1">
      <c r="A135" s="242"/>
      <c r="B135" s="251"/>
      <c r="C135" s="252"/>
      <c r="D135" s="245"/>
      <c r="E135" s="245"/>
      <c r="F135" s="245"/>
      <c r="G135" s="245"/>
      <c r="H135" s="245"/>
      <c r="I135" s="245"/>
      <c r="J135" s="243"/>
      <c r="K135" s="246"/>
      <c r="L135" s="522"/>
      <c r="M135" s="523"/>
      <c r="N135" s="529"/>
      <c r="O135" s="139" t="s">
        <v>550</v>
      </c>
      <c r="P135" s="528"/>
      <c r="Q135" s="528"/>
      <c r="R135" s="528"/>
      <c r="S135" s="528"/>
      <c r="T135" s="528"/>
      <c r="U135" s="528"/>
      <c r="V135" s="528"/>
      <c r="W135" s="528"/>
      <c r="X135" s="528"/>
      <c r="Y135" s="528"/>
      <c r="Z135" s="528"/>
      <c r="AA135" s="524"/>
      <c r="AB135" s="524"/>
      <c r="AC135" s="524"/>
      <c r="AD135" s="524"/>
      <c r="AE135" s="524"/>
      <c r="AF135" s="524"/>
      <c r="AG135" s="524"/>
      <c r="AH135" s="524"/>
      <c r="AI135" s="524"/>
      <c r="AJ135" s="524"/>
      <c r="AK135" s="524"/>
      <c r="AL135" s="524"/>
      <c r="AM135" s="524"/>
      <c r="AN135" s="524"/>
      <c r="AO135" s="524"/>
      <c r="AP135" s="524"/>
      <c r="AQ135" s="248"/>
      <c r="AR135" s="241"/>
      <c r="AS135" s="241"/>
      <c r="AT135" s="241"/>
      <c r="AU135" s="241"/>
      <c r="AV135" s="241"/>
      <c r="AW135" s="241"/>
      <c r="AX135" s="241"/>
      <c r="AY135" s="249"/>
    </row>
    <row r="136" spans="1:51" s="38" customFormat="1" ht="13.5" customHeight="1">
      <c r="A136" s="242"/>
      <c r="B136" s="251"/>
      <c r="C136" s="252"/>
      <c r="D136" s="245"/>
      <c r="E136" s="245"/>
      <c r="F136" s="245"/>
      <c r="G136" s="245"/>
      <c r="H136" s="245"/>
      <c r="I136" s="245"/>
      <c r="J136" s="243"/>
      <c r="K136" s="246"/>
      <c r="L136" s="522"/>
      <c r="M136" s="523"/>
      <c r="N136" s="529"/>
      <c r="O136" s="528" t="s">
        <v>551</v>
      </c>
      <c r="P136" s="528"/>
      <c r="Q136" s="528"/>
      <c r="R136" s="528"/>
      <c r="S136" s="528"/>
      <c r="T136" s="528"/>
      <c r="U136" s="528"/>
      <c r="V136" s="528"/>
      <c r="W136" s="528"/>
      <c r="X136" s="528"/>
      <c r="Y136" s="528"/>
      <c r="Z136" s="528"/>
      <c r="AA136" s="524"/>
      <c r="AB136" s="524"/>
      <c r="AC136" s="524"/>
      <c r="AD136" s="524"/>
      <c r="AE136" s="524"/>
      <c r="AF136" s="524"/>
      <c r="AG136" s="524"/>
      <c r="AH136" s="524"/>
      <c r="AI136" s="524"/>
      <c r="AJ136" s="524"/>
      <c r="AK136" s="524"/>
      <c r="AL136" s="524"/>
      <c r="AM136" s="524"/>
      <c r="AN136" s="524"/>
      <c r="AO136" s="524"/>
      <c r="AP136" s="524"/>
      <c r="AQ136" s="248"/>
      <c r="AR136" s="241"/>
      <c r="AS136" s="241"/>
      <c r="AT136" s="241"/>
      <c r="AU136" s="241"/>
      <c r="AV136" s="241"/>
      <c r="AW136" s="241"/>
      <c r="AX136" s="241"/>
      <c r="AY136" s="249"/>
    </row>
    <row r="137" spans="1:51" s="38" customFormat="1" ht="13.5" customHeight="1">
      <c r="A137" s="242"/>
      <c r="B137" s="251"/>
      <c r="C137" s="252"/>
      <c r="D137" s="245"/>
      <c r="E137" s="245"/>
      <c r="F137" s="245"/>
      <c r="G137" s="245"/>
      <c r="H137" s="245"/>
      <c r="I137" s="245"/>
      <c r="J137" s="243"/>
      <c r="K137" s="246"/>
      <c r="L137" s="522"/>
      <c r="M137" s="523"/>
      <c r="N137" s="529"/>
      <c r="O137" s="528" t="s">
        <v>552</v>
      </c>
      <c r="P137" s="528"/>
      <c r="Q137" s="528"/>
      <c r="R137" s="528"/>
      <c r="S137" s="528"/>
      <c r="T137" s="528"/>
      <c r="U137" s="528"/>
      <c r="V137" s="528"/>
      <c r="W137" s="528"/>
      <c r="X137" s="528"/>
      <c r="Y137" s="528"/>
      <c r="Z137" s="528"/>
      <c r="AA137" s="524"/>
      <c r="AB137" s="524"/>
      <c r="AC137" s="524"/>
      <c r="AD137" s="524"/>
      <c r="AE137" s="524"/>
      <c r="AF137" s="524"/>
      <c r="AG137" s="524"/>
      <c r="AH137" s="524"/>
      <c r="AI137" s="524"/>
      <c r="AJ137" s="524"/>
      <c r="AK137" s="524"/>
      <c r="AL137" s="524"/>
      <c r="AM137" s="524"/>
      <c r="AN137" s="524"/>
      <c r="AO137" s="524"/>
      <c r="AP137" s="524"/>
      <c r="AQ137" s="248"/>
      <c r="AR137" s="241"/>
      <c r="AS137" s="241"/>
      <c r="AT137" s="241"/>
      <c r="AU137" s="241"/>
      <c r="AV137" s="241"/>
      <c r="AW137" s="241"/>
      <c r="AX137" s="241"/>
      <c r="AY137" s="249"/>
    </row>
    <row r="138" spans="1:51" s="38" customFormat="1" ht="13.5" customHeight="1">
      <c r="A138" s="242"/>
      <c r="B138" s="251"/>
      <c r="C138" s="252"/>
      <c r="D138" s="245"/>
      <c r="E138" s="245"/>
      <c r="F138" s="245"/>
      <c r="G138" s="245"/>
      <c r="H138" s="245"/>
      <c r="I138" s="245"/>
      <c r="J138" s="243"/>
      <c r="K138" s="246"/>
      <c r="L138" s="522"/>
      <c r="M138" s="523"/>
      <c r="N138" s="529"/>
      <c r="O138" s="528" t="s">
        <v>553</v>
      </c>
      <c r="P138" s="528"/>
      <c r="Q138" s="528"/>
      <c r="R138" s="528"/>
      <c r="S138" s="528"/>
      <c r="T138" s="528"/>
      <c r="U138" s="528"/>
      <c r="V138" s="528"/>
      <c r="W138" s="528"/>
      <c r="X138" s="528"/>
      <c r="Y138" s="528"/>
      <c r="Z138" s="528"/>
      <c r="AA138" s="524"/>
      <c r="AB138" s="524"/>
      <c r="AC138" s="524"/>
      <c r="AD138" s="524"/>
      <c r="AE138" s="524"/>
      <c r="AF138" s="524"/>
      <c r="AG138" s="524"/>
      <c r="AH138" s="524"/>
      <c r="AI138" s="524"/>
      <c r="AJ138" s="524"/>
      <c r="AK138" s="524"/>
      <c r="AL138" s="524"/>
      <c r="AM138" s="524"/>
      <c r="AN138" s="524"/>
      <c r="AO138" s="524"/>
      <c r="AP138" s="524"/>
      <c r="AQ138" s="248"/>
      <c r="AR138" s="241"/>
      <c r="AS138" s="241"/>
      <c r="AT138" s="241"/>
      <c r="AU138" s="241"/>
      <c r="AV138" s="241"/>
      <c r="AW138" s="241"/>
      <c r="AX138" s="241"/>
      <c r="AY138" s="249"/>
    </row>
    <row r="139" spans="1:51" s="38" customFormat="1" ht="13.5" customHeight="1">
      <c r="A139" s="242"/>
      <c r="B139" s="251"/>
      <c r="C139" s="252"/>
      <c r="D139" s="245"/>
      <c r="E139" s="245"/>
      <c r="F139" s="245"/>
      <c r="G139" s="245"/>
      <c r="H139" s="245"/>
      <c r="I139" s="245"/>
      <c r="J139" s="243"/>
      <c r="K139" s="246"/>
      <c r="L139" s="522"/>
      <c r="M139" s="523"/>
      <c r="N139" s="529"/>
      <c r="O139" s="528" t="s">
        <v>554</v>
      </c>
      <c r="P139" s="528"/>
      <c r="Q139" s="528"/>
      <c r="R139" s="528"/>
      <c r="S139" s="528"/>
      <c r="T139" s="528"/>
      <c r="U139" s="528"/>
      <c r="V139" s="528"/>
      <c r="W139" s="528"/>
      <c r="X139" s="528"/>
      <c r="Y139" s="528"/>
      <c r="Z139" s="528"/>
      <c r="AA139" s="524"/>
      <c r="AB139" s="524"/>
      <c r="AC139" s="524"/>
      <c r="AD139" s="524"/>
      <c r="AE139" s="524"/>
      <c r="AF139" s="524"/>
      <c r="AG139" s="524"/>
      <c r="AH139" s="524"/>
      <c r="AI139" s="524"/>
      <c r="AJ139" s="524"/>
      <c r="AK139" s="524"/>
      <c r="AL139" s="524"/>
      <c r="AM139" s="524"/>
      <c r="AN139" s="524"/>
      <c r="AO139" s="524"/>
      <c r="AP139" s="524"/>
      <c r="AQ139" s="248"/>
      <c r="AR139" s="241"/>
      <c r="AS139" s="241"/>
      <c r="AT139" s="241"/>
      <c r="AU139" s="241"/>
      <c r="AV139" s="241"/>
      <c r="AW139" s="241"/>
      <c r="AX139" s="241"/>
      <c r="AY139" s="249"/>
    </row>
    <row r="140" spans="1:51" s="38" customFormat="1" ht="13.5" customHeight="1">
      <c r="A140" s="242"/>
      <c r="B140" s="251"/>
      <c r="C140" s="252"/>
      <c r="D140" s="245"/>
      <c r="E140" s="245"/>
      <c r="F140" s="245"/>
      <c r="G140" s="245"/>
      <c r="H140" s="245"/>
      <c r="I140" s="245"/>
      <c r="J140" s="243"/>
      <c r="K140" s="246"/>
      <c r="L140" s="522"/>
      <c r="M140" s="523"/>
      <c r="N140" s="529"/>
      <c r="O140" s="528"/>
      <c r="P140" s="528"/>
      <c r="Q140" s="528"/>
      <c r="R140" s="528"/>
      <c r="S140" s="528"/>
      <c r="T140" s="528"/>
      <c r="U140" s="528"/>
      <c r="V140" s="528"/>
      <c r="W140" s="528"/>
      <c r="X140" s="528"/>
      <c r="Y140" s="528"/>
      <c r="Z140" s="528"/>
      <c r="AA140" s="524"/>
      <c r="AB140" s="524"/>
      <c r="AC140" s="524"/>
      <c r="AD140" s="524"/>
      <c r="AE140" s="524"/>
      <c r="AF140" s="524"/>
      <c r="AG140" s="524"/>
      <c r="AH140" s="524"/>
      <c r="AI140" s="524"/>
      <c r="AJ140" s="524"/>
      <c r="AK140" s="524"/>
      <c r="AL140" s="524"/>
      <c r="AM140" s="524"/>
      <c r="AN140" s="524"/>
      <c r="AO140" s="524"/>
      <c r="AP140" s="524"/>
      <c r="AQ140" s="248"/>
      <c r="AR140" s="241"/>
      <c r="AS140" s="241"/>
      <c r="AT140" s="241"/>
      <c r="AU140" s="241"/>
      <c r="AV140" s="241"/>
      <c r="AW140" s="241"/>
      <c r="AX140" s="241"/>
      <c r="AY140" s="249"/>
    </row>
    <row r="141" spans="1:51" s="38" customFormat="1" ht="13.5" customHeight="1">
      <c r="A141" s="242"/>
      <c r="B141" s="251"/>
      <c r="C141" s="252"/>
      <c r="D141" s="245"/>
      <c r="E141" s="245"/>
      <c r="F141" s="245"/>
      <c r="G141" s="245"/>
      <c r="H141" s="245"/>
      <c r="I141" s="245"/>
      <c r="J141" s="243"/>
      <c r="K141" s="246"/>
      <c r="L141" s="522"/>
      <c r="M141" s="523"/>
      <c r="N141" s="527" t="s">
        <v>499</v>
      </c>
      <c r="O141" s="505"/>
      <c r="P141" s="505"/>
      <c r="Q141" s="505"/>
      <c r="R141" s="530"/>
      <c r="S141" s="530"/>
      <c r="T141" s="530"/>
      <c r="U141" s="530"/>
      <c r="V141" s="530"/>
      <c r="W141" s="530"/>
      <c r="X141" s="530"/>
      <c r="Y141" s="530"/>
      <c r="Z141" s="530"/>
      <c r="AA141" s="531"/>
      <c r="AB141" s="531"/>
      <c r="AC141" s="531"/>
      <c r="AD141" s="531"/>
      <c r="AE141" s="531"/>
      <c r="AF141" s="531"/>
      <c r="AG141" s="531"/>
      <c r="AH141" s="531"/>
      <c r="AI141" s="531"/>
      <c r="AJ141" s="524"/>
      <c r="AK141" s="524"/>
      <c r="AL141" s="524"/>
      <c r="AM141" s="524"/>
      <c r="AN141" s="524"/>
      <c r="AO141" s="524"/>
      <c r="AP141" s="524"/>
      <c r="AQ141" s="248"/>
      <c r="AR141" s="241"/>
      <c r="AS141" s="241"/>
      <c r="AT141" s="241"/>
      <c r="AU141" s="241"/>
      <c r="AV141" s="241"/>
      <c r="AW141" s="241"/>
      <c r="AX141" s="241"/>
      <c r="AY141" s="249"/>
    </row>
    <row r="142" spans="1:51" s="38" customFormat="1" ht="13.5" customHeight="1">
      <c r="A142" s="242"/>
      <c r="B142" s="251"/>
      <c r="C142" s="252"/>
      <c r="D142" s="245"/>
      <c r="E142" s="245"/>
      <c r="F142" s="245"/>
      <c r="G142" s="245"/>
      <c r="H142" s="245"/>
      <c r="I142" s="245"/>
      <c r="J142" s="243"/>
      <c r="K142" s="246"/>
      <c r="L142" s="522"/>
      <c r="M142" s="523"/>
      <c r="N142" s="529"/>
      <c r="O142" s="528" t="s">
        <v>500</v>
      </c>
      <c r="P142" s="528"/>
      <c r="Q142" s="528"/>
      <c r="R142" s="528"/>
      <c r="S142" s="528"/>
      <c r="T142" s="528"/>
      <c r="U142" s="528"/>
      <c r="V142" s="528"/>
      <c r="W142" s="528"/>
      <c r="X142" s="528"/>
      <c r="Y142" s="528"/>
      <c r="Z142" s="528"/>
      <c r="AA142" s="524"/>
      <c r="AB142" s="524"/>
      <c r="AC142" s="524"/>
      <c r="AD142" s="524"/>
      <c r="AE142" s="524"/>
      <c r="AF142" s="524"/>
      <c r="AG142" s="524"/>
      <c r="AH142" s="524"/>
      <c r="AI142" s="524"/>
      <c r="AJ142" s="524"/>
      <c r="AK142" s="524"/>
      <c r="AL142" s="524"/>
      <c r="AM142" s="524"/>
      <c r="AN142" s="524"/>
      <c r="AO142" s="524"/>
      <c r="AP142" s="524"/>
      <c r="AQ142" s="248"/>
      <c r="AR142" s="241"/>
      <c r="AS142" s="241"/>
      <c r="AT142" s="241"/>
      <c r="AU142" s="241"/>
      <c r="AV142" s="241"/>
      <c r="AW142" s="241"/>
      <c r="AX142" s="241"/>
      <c r="AY142" s="249"/>
    </row>
    <row r="143" spans="1:51" s="38" customFormat="1" ht="13.5" customHeight="1">
      <c r="A143" s="250"/>
      <c r="B143" s="251"/>
      <c r="C143" s="252"/>
      <c r="D143" s="245"/>
      <c r="E143" s="245"/>
      <c r="F143" s="245"/>
      <c r="G143" s="245"/>
      <c r="H143" s="245"/>
      <c r="I143" s="245"/>
      <c r="J143" s="243"/>
      <c r="K143" s="246"/>
      <c r="L143" s="522"/>
      <c r="M143" s="523"/>
      <c r="N143" s="529"/>
      <c r="O143" s="528" t="s">
        <v>549</v>
      </c>
      <c r="P143" s="528"/>
      <c r="Q143" s="528"/>
      <c r="R143" s="528"/>
      <c r="S143" s="528"/>
      <c r="T143" s="528"/>
      <c r="U143" s="528"/>
      <c r="V143" s="528"/>
      <c r="W143" s="528"/>
      <c r="X143" s="528"/>
      <c r="Y143" s="528"/>
      <c r="Z143" s="528"/>
      <c r="AA143" s="524"/>
      <c r="AB143" s="524"/>
      <c r="AC143" s="524"/>
      <c r="AD143" s="524"/>
      <c r="AE143" s="524"/>
      <c r="AF143" s="524"/>
      <c r="AG143" s="524"/>
      <c r="AH143" s="524"/>
      <c r="AI143" s="524"/>
      <c r="AJ143" s="524"/>
      <c r="AK143" s="524"/>
      <c r="AL143" s="524"/>
      <c r="AM143" s="524"/>
      <c r="AN143" s="524"/>
      <c r="AO143" s="524"/>
      <c r="AP143" s="524"/>
      <c r="AQ143" s="248"/>
      <c r="AR143" s="241"/>
      <c r="AS143" s="241"/>
      <c r="AT143" s="241"/>
      <c r="AU143" s="241"/>
      <c r="AV143" s="241"/>
      <c r="AW143" s="241"/>
      <c r="AX143" s="241"/>
      <c r="AY143" s="249"/>
    </row>
    <row r="144" spans="1:51" ht="13.5" customHeight="1">
      <c r="A144" s="56"/>
      <c r="B144" s="101"/>
      <c r="C144" s="49"/>
      <c r="D144" s="49"/>
      <c r="E144" s="49"/>
      <c r="F144" s="49"/>
      <c r="G144" s="49"/>
      <c r="H144" s="49"/>
      <c r="I144" s="51"/>
      <c r="J144" s="350"/>
      <c r="K144" s="351"/>
      <c r="L144" s="141"/>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51"/>
      <c r="AR144" s="208"/>
      <c r="AS144" s="49"/>
      <c r="AT144" s="49"/>
      <c r="AU144" s="49"/>
      <c r="AV144" s="49"/>
      <c r="AW144" s="49"/>
      <c r="AX144" s="49"/>
      <c r="AY144" s="52"/>
    </row>
    <row r="145" spans="1:51" ht="13.5" customHeight="1">
      <c r="A145" s="56"/>
      <c r="B145" s="101"/>
      <c r="C145" s="49"/>
      <c r="D145" s="49"/>
      <c r="E145" s="49"/>
      <c r="F145" s="49"/>
      <c r="G145" s="49"/>
      <c r="H145" s="49"/>
      <c r="I145" s="51"/>
      <c r="J145" s="350"/>
      <c r="K145" s="351"/>
      <c r="L145" s="141"/>
      <c r="M145" s="139"/>
      <c r="N145" s="216" t="s">
        <v>452</v>
      </c>
      <c r="O145" s="524"/>
      <c r="P145" s="524"/>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51"/>
      <c r="AR145" s="208"/>
      <c r="AS145" s="49"/>
      <c r="AT145" s="49"/>
      <c r="AU145" s="49"/>
      <c r="AV145" s="49"/>
      <c r="AW145" s="49"/>
      <c r="AX145" s="49"/>
      <c r="AY145" s="52"/>
    </row>
    <row r="146" spans="1:51" ht="13.5" customHeight="1">
      <c r="A146" s="56"/>
      <c r="B146" s="101"/>
      <c r="C146" s="49"/>
      <c r="D146" s="49"/>
      <c r="E146" s="49"/>
      <c r="F146" s="49"/>
      <c r="G146" s="49"/>
      <c r="H146" s="49"/>
      <c r="I146" s="51"/>
      <c r="J146" s="350"/>
      <c r="K146" s="351"/>
      <c r="L146" s="141"/>
      <c r="M146" s="139"/>
      <c r="N146" s="216"/>
      <c r="O146" s="524" t="s">
        <v>555</v>
      </c>
      <c r="P146" s="524"/>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51"/>
      <c r="AR146" s="208"/>
      <c r="AS146" s="49"/>
      <c r="AT146" s="49"/>
      <c r="AU146" s="49"/>
      <c r="AV146" s="49"/>
      <c r="AW146" s="49"/>
      <c r="AX146" s="49"/>
      <c r="AY146" s="52"/>
    </row>
    <row r="147" spans="1:51" ht="13.5" customHeight="1">
      <c r="A147" s="56"/>
      <c r="B147" s="101"/>
      <c r="C147" s="49"/>
      <c r="D147" s="49"/>
      <c r="E147" s="49"/>
      <c r="F147" s="49"/>
      <c r="G147" s="49"/>
      <c r="H147" s="49"/>
      <c r="I147" s="51"/>
      <c r="J147" s="350"/>
      <c r="K147" s="351"/>
      <c r="L147" s="141"/>
      <c r="M147" s="139"/>
      <c r="N147" s="526"/>
      <c r="O147" s="524" t="s">
        <v>682</v>
      </c>
      <c r="P147" s="524"/>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51"/>
      <c r="AR147" s="208"/>
      <c r="AS147" s="49"/>
      <c r="AT147" s="49"/>
      <c r="AU147" s="49"/>
      <c r="AV147" s="49"/>
      <c r="AW147" s="49"/>
      <c r="AX147" s="49"/>
      <c r="AY147" s="52"/>
    </row>
    <row r="148" spans="1:51" ht="13.5" customHeight="1">
      <c r="A148" s="56"/>
      <c r="B148" s="101"/>
      <c r="C148" s="49"/>
      <c r="D148" s="49"/>
      <c r="E148" s="49"/>
      <c r="F148" s="49"/>
      <c r="G148" s="49"/>
      <c r="H148" s="49"/>
      <c r="I148" s="51"/>
      <c r="J148" s="350"/>
      <c r="K148" s="351"/>
      <c r="L148" s="141"/>
      <c r="M148" s="139"/>
      <c r="N148" s="526"/>
      <c r="O148" s="524" t="s">
        <v>501</v>
      </c>
      <c r="P148" s="524"/>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51"/>
      <c r="AR148" s="208"/>
      <c r="AS148" s="49"/>
      <c r="AT148" s="49"/>
      <c r="AU148" s="49"/>
      <c r="AV148" s="49"/>
      <c r="AW148" s="49"/>
      <c r="AX148" s="49"/>
      <c r="AY148" s="52"/>
    </row>
    <row r="149" spans="1:51" ht="13.5" customHeight="1">
      <c r="A149" s="56"/>
      <c r="B149" s="101"/>
      <c r="C149" s="49"/>
      <c r="D149" s="49"/>
      <c r="E149" s="49"/>
      <c r="F149" s="49"/>
      <c r="G149" s="49"/>
      <c r="H149" s="49"/>
      <c r="I149" s="51"/>
      <c r="J149" s="350"/>
      <c r="K149" s="351"/>
      <c r="L149" s="141"/>
      <c r="M149" s="139"/>
      <c r="N149" s="526"/>
      <c r="O149" s="524" t="s">
        <v>502</v>
      </c>
      <c r="P149" s="524"/>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51"/>
      <c r="AR149" s="208"/>
      <c r="AS149" s="49"/>
      <c r="AT149" s="49"/>
      <c r="AU149" s="49"/>
      <c r="AV149" s="49"/>
      <c r="AW149" s="49"/>
      <c r="AX149" s="49"/>
      <c r="AY149" s="52"/>
    </row>
    <row r="150" spans="1:51" ht="13.5" customHeight="1">
      <c r="A150" s="56"/>
      <c r="B150" s="101"/>
      <c r="C150" s="49"/>
      <c r="D150" s="49"/>
      <c r="E150" s="49"/>
      <c r="F150" s="49"/>
      <c r="G150" s="49"/>
      <c r="H150" s="49"/>
      <c r="I150" s="51"/>
      <c r="J150" s="350"/>
      <c r="K150" s="351"/>
      <c r="L150" s="141"/>
      <c r="M150" s="139"/>
      <c r="N150" s="526"/>
      <c r="O150" s="524" t="s">
        <v>503</v>
      </c>
      <c r="P150" s="524"/>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51"/>
      <c r="AR150" s="208"/>
      <c r="AS150" s="49"/>
      <c r="AT150" s="49"/>
      <c r="AU150" s="49"/>
      <c r="AV150" s="49"/>
      <c r="AW150" s="49"/>
      <c r="AX150" s="49"/>
      <c r="AY150" s="52"/>
    </row>
    <row r="151" spans="1:51" ht="13.5" customHeight="1">
      <c r="A151" s="56"/>
      <c r="B151" s="101"/>
      <c r="C151" s="49"/>
      <c r="D151" s="49"/>
      <c r="E151" s="49"/>
      <c r="F151" s="49"/>
      <c r="G151" s="49"/>
      <c r="H151" s="49"/>
      <c r="I151" s="51"/>
      <c r="J151" s="350"/>
      <c r="K151" s="351"/>
      <c r="L151" s="141"/>
      <c r="M151" s="139"/>
      <c r="N151" s="526"/>
      <c r="O151" s="524" t="s">
        <v>504</v>
      </c>
      <c r="P151" s="524"/>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51"/>
      <c r="AR151" s="208"/>
      <c r="AS151" s="49"/>
      <c r="AT151" s="49"/>
      <c r="AU151" s="49"/>
      <c r="AV151" s="49"/>
      <c r="AW151" s="49"/>
      <c r="AX151" s="49"/>
      <c r="AY151" s="52"/>
    </row>
    <row r="152" spans="1:51" ht="13.5" customHeight="1">
      <c r="A152" s="56"/>
      <c r="B152" s="101"/>
      <c r="C152" s="49"/>
      <c r="D152" s="49"/>
      <c r="E152" s="49"/>
      <c r="F152" s="49"/>
      <c r="G152" s="49"/>
      <c r="H152" s="49"/>
      <c r="I152" s="51"/>
      <c r="J152" s="350"/>
      <c r="K152" s="351"/>
      <c r="L152" s="141"/>
      <c r="M152" s="139"/>
      <c r="N152" s="526"/>
      <c r="O152" s="524" t="s">
        <v>505</v>
      </c>
      <c r="P152" s="524"/>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51"/>
      <c r="AR152" s="208"/>
      <c r="AS152" s="49"/>
      <c r="AT152" s="49"/>
      <c r="AU152" s="49"/>
      <c r="AV152" s="49"/>
      <c r="AW152" s="49"/>
      <c r="AX152" s="49"/>
      <c r="AY152" s="52"/>
    </row>
    <row r="153" spans="1:51" ht="13.5" customHeight="1">
      <c r="A153" s="56"/>
      <c r="B153" s="101"/>
      <c r="C153" s="49"/>
      <c r="D153" s="49"/>
      <c r="E153" s="49"/>
      <c r="F153" s="49"/>
      <c r="G153" s="49"/>
      <c r="H153" s="49"/>
      <c r="I153" s="51"/>
      <c r="J153" s="350"/>
      <c r="K153" s="351"/>
      <c r="L153" s="141"/>
      <c r="M153" s="139"/>
      <c r="N153" s="526"/>
      <c r="O153" s="524" t="s">
        <v>506</v>
      </c>
      <c r="P153" s="524"/>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51"/>
      <c r="AR153" s="208"/>
      <c r="AS153" s="49"/>
      <c r="AT153" s="49"/>
      <c r="AU153" s="49"/>
      <c r="AV153" s="49"/>
      <c r="AW153" s="49"/>
      <c r="AX153" s="49"/>
      <c r="AY153" s="52"/>
    </row>
    <row r="154" spans="1:51" ht="13.5" customHeight="1">
      <c r="A154" s="56"/>
      <c r="B154" s="101"/>
      <c r="C154" s="49"/>
      <c r="D154" s="49"/>
      <c r="E154" s="49"/>
      <c r="F154" s="49"/>
      <c r="G154" s="49"/>
      <c r="H154" s="49"/>
      <c r="I154" s="51"/>
      <c r="J154" s="350"/>
      <c r="K154" s="351"/>
      <c r="L154" s="141"/>
      <c r="M154" s="139"/>
      <c r="N154" s="526"/>
      <c r="O154" s="524" t="s">
        <v>507</v>
      </c>
      <c r="P154" s="524"/>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51"/>
      <c r="AR154" s="208"/>
      <c r="AS154" s="49"/>
      <c r="AT154" s="49"/>
      <c r="AU154" s="49"/>
      <c r="AV154" s="49"/>
      <c r="AW154" s="49"/>
      <c r="AX154" s="49"/>
      <c r="AY154" s="52"/>
    </row>
    <row r="155" spans="1:51" ht="13.5" customHeight="1">
      <c r="A155" s="56"/>
      <c r="B155" s="101"/>
      <c r="C155" s="49"/>
      <c r="D155" s="49"/>
      <c r="E155" s="49"/>
      <c r="F155" s="49"/>
      <c r="G155" s="49"/>
      <c r="H155" s="49"/>
      <c r="I155" s="51"/>
      <c r="J155" s="350"/>
      <c r="K155" s="351"/>
      <c r="L155" s="141"/>
      <c r="M155" s="139"/>
      <c r="N155" s="526"/>
      <c r="O155" s="524" t="s">
        <v>508</v>
      </c>
      <c r="P155" s="524"/>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39"/>
      <c r="AN155" s="139"/>
      <c r="AO155" s="139"/>
      <c r="AP155" s="139"/>
      <c r="AQ155" s="51"/>
      <c r="AR155" s="208"/>
      <c r="AS155" s="49"/>
      <c r="AT155" s="49"/>
      <c r="AU155" s="49"/>
      <c r="AV155" s="49"/>
      <c r="AW155" s="49"/>
      <c r="AX155" s="49"/>
      <c r="AY155" s="52"/>
    </row>
    <row r="156" spans="1:51" ht="13.5" customHeight="1">
      <c r="A156" s="56"/>
      <c r="B156" s="101"/>
      <c r="C156" s="49"/>
      <c r="D156" s="49"/>
      <c r="E156" s="49"/>
      <c r="F156" s="49"/>
      <c r="G156" s="49"/>
      <c r="H156" s="49"/>
      <c r="I156" s="51"/>
      <c r="J156" s="350"/>
      <c r="K156" s="351"/>
      <c r="L156" s="141"/>
      <c r="M156" s="139"/>
      <c r="N156" s="526"/>
      <c r="O156" s="524" t="s">
        <v>509</v>
      </c>
      <c r="P156" s="524"/>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51"/>
      <c r="AR156" s="208"/>
      <c r="AS156" s="49"/>
      <c r="AT156" s="49"/>
      <c r="AU156" s="49"/>
      <c r="AV156" s="49"/>
      <c r="AW156" s="49"/>
      <c r="AX156" s="49"/>
      <c r="AY156" s="52"/>
    </row>
    <row r="157" spans="1:51" ht="13.5" customHeight="1" thickBot="1">
      <c r="A157" s="321"/>
      <c r="B157" s="336"/>
      <c r="C157" s="323"/>
      <c r="D157" s="323"/>
      <c r="E157" s="323"/>
      <c r="F157" s="323"/>
      <c r="G157" s="323"/>
      <c r="H157" s="323"/>
      <c r="I157" s="324"/>
      <c r="J157" s="354"/>
      <c r="K157" s="355"/>
      <c r="L157" s="532"/>
      <c r="M157" s="533"/>
      <c r="N157" s="534"/>
      <c r="O157" s="535" t="s">
        <v>510</v>
      </c>
      <c r="P157" s="535"/>
      <c r="Q157" s="533"/>
      <c r="R157" s="533"/>
      <c r="S157" s="533"/>
      <c r="T157" s="533"/>
      <c r="U157" s="533"/>
      <c r="V157" s="533"/>
      <c r="W157" s="533"/>
      <c r="X157" s="533"/>
      <c r="Y157" s="533"/>
      <c r="Z157" s="533"/>
      <c r="AA157" s="533"/>
      <c r="AB157" s="533"/>
      <c r="AC157" s="533"/>
      <c r="AD157" s="533"/>
      <c r="AE157" s="533"/>
      <c r="AF157" s="533"/>
      <c r="AG157" s="533"/>
      <c r="AH157" s="533"/>
      <c r="AI157" s="533"/>
      <c r="AJ157" s="533"/>
      <c r="AK157" s="533"/>
      <c r="AL157" s="533"/>
      <c r="AM157" s="533"/>
      <c r="AN157" s="533"/>
      <c r="AO157" s="533"/>
      <c r="AP157" s="533"/>
      <c r="AQ157" s="324"/>
      <c r="AR157" s="327"/>
      <c r="AS157" s="323"/>
      <c r="AT157" s="323"/>
      <c r="AU157" s="323"/>
      <c r="AV157" s="323"/>
      <c r="AW157" s="323"/>
      <c r="AX157" s="323"/>
      <c r="AY157" s="328"/>
    </row>
    <row r="158" spans="1:51" ht="13.5" customHeight="1">
      <c r="A158" s="56"/>
      <c r="B158" s="101"/>
      <c r="C158" s="49"/>
      <c r="D158" s="49"/>
      <c r="E158" s="49"/>
      <c r="F158" s="49"/>
      <c r="G158" s="49"/>
      <c r="H158" s="49"/>
      <c r="I158" s="51"/>
      <c r="J158" s="350"/>
      <c r="K158" s="351"/>
      <c r="L158" s="141"/>
      <c r="M158" s="139"/>
      <c r="N158" s="526"/>
      <c r="O158" s="524" t="s">
        <v>511</v>
      </c>
      <c r="P158" s="524"/>
      <c r="Q158" s="139"/>
      <c r="R158" s="139"/>
      <c r="S158" s="139"/>
      <c r="T158" s="139"/>
      <c r="U158" s="139"/>
      <c r="V158" s="139"/>
      <c r="W158" s="139"/>
      <c r="X158" s="139"/>
      <c r="Y158" s="139"/>
      <c r="Z158" s="139"/>
      <c r="AA158" s="139"/>
      <c r="AB158" s="139"/>
      <c r="AC158" s="139"/>
      <c r="AD158" s="139"/>
      <c r="AE158" s="139"/>
      <c r="AF158" s="139"/>
      <c r="AG158" s="139"/>
      <c r="AH158" s="139"/>
      <c r="AI158" s="139"/>
      <c r="AJ158" s="139"/>
      <c r="AK158" s="139"/>
      <c r="AL158" s="139"/>
      <c r="AM158" s="139"/>
      <c r="AN158" s="139"/>
      <c r="AO158" s="139"/>
      <c r="AP158" s="139"/>
      <c r="AQ158" s="51"/>
      <c r="AR158" s="208"/>
      <c r="AS158" s="49"/>
      <c r="AT158" s="49"/>
      <c r="AU158" s="49"/>
      <c r="AV158" s="49"/>
      <c r="AW158" s="49"/>
      <c r="AX158" s="49"/>
      <c r="AY158" s="52"/>
    </row>
    <row r="159" spans="1:51" ht="13.5" customHeight="1">
      <c r="A159" s="56"/>
      <c r="B159" s="101"/>
      <c r="C159" s="49"/>
      <c r="D159" s="49"/>
      <c r="E159" s="49"/>
      <c r="F159" s="49"/>
      <c r="G159" s="49"/>
      <c r="H159" s="49"/>
      <c r="I159" s="51"/>
      <c r="J159" s="350"/>
      <c r="K159" s="351"/>
      <c r="L159" s="141"/>
      <c r="M159" s="139"/>
      <c r="N159" s="526"/>
      <c r="O159" s="524" t="s">
        <v>512</v>
      </c>
      <c r="P159" s="524"/>
      <c r="Q159" s="139"/>
      <c r="R159" s="139"/>
      <c r="S159" s="139"/>
      <c r="T159" s="139"/>
      <c r="U159" s="139"/>
      <c r="V159" s="139"/>
      <c r="W159" s="139"/>
      <c r="X159" s="139"/>
      <c r="Y159" s="139"/>
      <c r="Z159" s="139"/>
      <c r="AA159" s="139"/>
      <c r="AB159" s="139"/>
      <c r="AC159" s="139"/>
      <c r="AD159" s="139"/>
      <c r="AE159" s="139"/>
      <c r="AF159" s="139"/>
      <c r="AG159" s="139"/>
      <c r="AH159" s="139"/>
      <c r="AI159" s="139"/>
      <c r="AJ159" s="139"/>
      <c r="AK159" s="139"/>
      <c r="AL159" s="139"/>
      <c r="AM159" s="139"/>
      <c r="AN159" s="139"/>
      <c r="AO159" s="139"/>
      <c r="AP159" s="139"/>
      <c r="AQ159" s="51"/>
      <c r="AR159" s="208"/>
      <c r="AS159" s="49"/>
      <c r="AT159" s="49"/>
      <c r="AU159" s="49"/>
      <c r="AV159" s="49"/>
      <c r="AW159" s="49"/>
      <c r="AX159" s="49"/>
      <c r="AY159" s="52"/>
    </row>
    <row r="160" spans="1:51" ht="13.5" customHeight="1">
      <c r="A160" s="56"/>
      <c r="B160" s="101"/>
      <c r="C160" s="49"/>
      <c r="D160" s="49"/>
      <c r="E160" s="49"/>
      <c r="F160" s="49"/>
      <c r="G160" s="49"/>
      <c r="H160" s="49"/>
      <c r="I160" s="51"/>
      <c r="J160" s="350"/>
      <c r="K160" s="351"/>
      <c r="L160" s="141"/>
      <c r="M160" s="139"/>
      <c r="N160" s="526"/>
      <c r="O160" s="524" t="s">
        <v>513</v>
      </c>
      <c r="P160" s="524"/>
      <c r="Q160" s="139"/>
      <c r="R160" s="139"/>
      <c r="S160" s="139"/>
      <c r="T160" s="139"/>
      <c r="U160" s="139"/>
      <c r="V160" s="139"/>
      <c r="W160" s="139"/>
      <c r="X160" s="139"/>
      <c r="Y160" s="139"/>
      <c r="Z160" s="139"/>
      <c r="AA160" s="139"/>
      <c r="AB160" s="139"/>
      <c r="AC160" s="139"/>
      <c r="AD160" s="139"/>
      <c r="AE160" s="139"/>
      <c r="AF160" s="139"/>
      <c r="AG160" s="139"/>
      <c r="AH160" s="139"/>
      <c r="AI160" s="139"/>
      <c r="AJ160" s="139"/>
      <c r="AK160" s="139"/>
      <c r="AL160" s="139"/>
      <c r="AM160" s="139"/>
      <c r="AN160" s="139"/>
      <c r="AO160" s="139"/>
      <c r="AP160" s="139"/>
      <c r="AQ160" s="51"/>
      <c r="AR160" s="208"/>
      <c r="AS160" s="49"/>
      <c r="AT160" s="49"/>
      <c r="AU160" s="49"/>
      <c r="AV160" s="49"/>
      <c r="AW160" s="49"/>
      <c r="AX160" s="49"/>
      <c r="AY160" s="52"/>
    </row>
    <row r="161" spans="1:53" ht="13.5" customHeight="1">
      <c r="A161" s="56"/>
      <c r="B161" s="101"/>
      <c r="C161" s="49"/>
      <c r="D161" s="49"/>
      <c r="E161" s="49"/>
      <c r="F161" s="49"/>
      <c r="G161" s="49"/>
      <c r="H161" s="49"/>
      <c r="I161" s="51"/>
      <c r="J161" s="400"/>
      <c r="K161" s="401"/>
      <c r="L161" s="141"/>
      <c r="M161" s="139"/>
      <c r="N161" s="529"/>
      <c r="O161" s="528" t="s">
        <v>990</v>
      </c>
      <c r="P161" s="528"/>
      <c r="Q161" s="505"/>
      <c r="R161" s="505"/>
      <c r="S161" s="505"/>
      <c r="T161" s="505"/>
      <c r="U161" s="505"/>
      <c r="V161" s="505"/>
      <c r="W161" s="505"/>
      <c r="X161" s="505"/>
      <c r="Y161" s="505"/>
      <c r="Z161" s="505"/>
      <c r="AA161" s="505"/>
      <c r="AB161" s="505"/>
      <c r="AC161" s="505"/>
      <c r="AD161" s="505"/>
      <c r="AE161" s="505"/>
      <c r="AF161" s="505"/>
      <c r="AG161" s="505"/>
      <c r="AH161" s="505"/>
      <c r="AI161" s="505"/>
      <c r="AJ161" s="505"/>
      <c r="AK161" s="505"/>
      <c r="AL161" s="505"/>
      <c r="AM161" s="505"/>
      <c r="AN161" s="505"/>
      <c r="AO161" s="505"/>
      <c r="AP161" s="505"/>
      <c r="AQ161" s="377"/>
      <c r="AR161" s="396"/>
      <c r="AS161" s="102"/>
      <c r="AT161" s="102"/>
      <c r="AU161" s="102"/>
      <c r="AV161" s="102"/>
      <c r="AW161" s="102"/>
      <c r="AX161" s="102"/>
      <c r="AY161" s="406"/>
      <c r="BA161" s="23">
        <v>2.6</v>
      </c>
    </row>
    <row r="162" spans="1:53" ht="13.5" customHeight="1">
      <c r="A162" s="56"/>
      <c r="B162" s="101"/>
      <c r="C162" s="49"/>
      <c r="D162" s="49"/>
      <c r="E162" s="49"/>
      <c r="F162" s="49"/>
      <c r="G162" s="49"/>
      <c r="H162" s="49"/>
      <c r="I162" s="51"/>
      <c r="J162" s="350"/>
      <c r="K162" s="351"/>
      <c r="L162" s="141"/>
      <c r="M162" s="139"/>
      <c r="N162" s="526"/>
      <c r="O162" s="524"/>
      <c r="P162" s="524"/>
      <c r="Q162" s="139"/>
      <c r="R162" s="139"/>
      <c r="S162" s="139"/>
      <c r="T162" s="139"/>
      <c r="U162" s="139"/>
      <c r="V162" s="139"/>
      <c r="W162" s="139"/>
      <c r="X162" s="139"/>
      <c r="Y162" s="139"/>
      <c r="Z162" s="139"/>
      <c r="AA162" s="139"/>
      <c r="AB162" s="139"/>
      <c r="AC162" s="139"/>
      <c r="AD162" s="139"/>
      <c r="AE162" s="139"/>
      <c r="AF162" s="139"/>
      <c r="AG162" s="139"/>
      <c r="AH162" s="139"/>
      <c r="AI162" s="139"/>
      <c r="AJ162" s="139"/>
      <c r="AK162" s="139"/>
      <c r="AL162" s="139"/>
      <c r="AM162" s="139"/>
      <c r="AN162" s="139"/>
      <c r="AO162" s="139"/>
      <c r="AP162" s="139"/>
      <c r="AQ162" s="51"/>
      <c r="AR162" s="208"/>
      <c r="AS162" s="49"/>
      <c r="AT162" s="49"/>
      <c r="AU162" s="49"/>
      <c r="AV162" s="49"/>
      <c r="AW162" s="49"/>
      <c r="AX162" s="49"/>
      <c r="AY162" s="52"/>
    </row>
    <row r="163" spans="1:53" ht="13.5" customHeight="1">
      <c r="A163" s="56"/>
      <c r="B163" s="101"/>
      <c r="C163" s="49"/>
      <c r="D163" s="49"/>
      <c r="E163" s="49"/>
      <c r="F163" s="49"/>
      <c r="G163" s="49"/>
      <c r="H163" s="49"/>
      <c r="I163" s="51"/>
      <c r="J163" s="350"/>
      <c r="K163" s="351"/>
      <c r="L163" s="141"/>
      <c r="M163" s="139"/>
      <c r="N163" s="216" t="s">
        <v>546</v>
      </c>
      <c r="O163" s="524"/>
      <c r="P163" s="524"/>
      <c r="Q163" s="139"/>
      <c r="R163" s="139"/>
      <c r="S163" s="139"/>
      <c r="T163" s="139"/>
      <c r="U163" s="139"/>
      <c r="V163" s="139"/>
      <c r="W163" s="139"/>
      <c r="X163" s="139"/>
      <c r="Y163" s="139"/>
      <c r="Z163" s="139"/>
      <c r="AA163" s="139"/>
      <c r="AB163" s="139"/>
      <c r="AC163" s="139"/>
      <c r="AD163" s="139"/>
      <c r="AE163" s="139"/>
      <c r="AF163" s="139"/>
      <c r="AG163" s="139"/>
      <c r="AH163" s="139"/>
      <c r="AI163" s="139"/>
      <c r="AJ163" s="139"/>
      <c r="AK163" s="139"/>
      <c r="AL163" s="139"/>
      <c r="AM163" s="139"/>
      <c r="AN163" s="139"/>
      <c r="AO163" s="139"/>
      <c r="AP163" s="139"/>
      <c r="AQ163" s="51"/>
      <c r="AR163" s="208"/>
      <c r="AS163" s="49"/>
      <c r="AT163" s="49"/>
      <c r="AU163" s="49"/>
      <c r="AV163" s="49"/>
      <c r="AW163" s="49"/>
      <c r="AX163" s="49"/>
      <c r="AY163" s="52"/>
    </row>
    <row r="164" spans="1:53" ht="13.5" customHeight="1">
      <c r="A164" s="56"/>
      <c r="B164" s="101"/>
      <c r="C164" s="49"/>
      <c r="D164" s="49"/>
      <c r="E164" s="49"/>
      <c r="F164" s="49"/>
      <c r="G164" s="49"/>
      <c r="H164" s="49"/>
      <c r="I164" s="51"/>
      <c r="J164" s="350"/>
      <c r="K164" s="351"/>
      <c r="L164" s="141"/>
      <c r="M164" s="139"/>
      <c r="N164" s="526"/>
      <c r="O164" s="524" t="s">
        <v>547</v>
      </c>
      <c r="P164" s="524"/>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c r="AM164" s="139"/>
      <c r="AN164" s="139"/>
      <c r="AO164" s="139"/>
      <c r="AP164" s="139"/>
      <c r="AQ164" s="51"/>
      <c r="AR164" s="208"/>
      <c r="AS164" s="49"/>
      <c r="AT164" s="49"/>
      <c r="AU164" s="49"/>
      <c r="AV164" s="49"/>
      <c r="AW164" s="49"/>
      <c r="AX164" s="49"/>
      <c r="AY164" s="52"/>
    </row>
    <row r="165" spans="1:53" ht="13.5" customHeight="1">
      <c r="A165" s="56"/>
      <c r="B165" s="101"/>
      <c r="C165" s="49"/>
      <c r="D165" s="49"/>
      <c r="E165" s="49"/>
      <c r="F165" s="49"/>
      <c r="G165" s="49"/>
      <c r="H165" s="49"/>
      <c r="I165" s="51"/>
      <c r="J165" s="350"/>
      <c r="K165" s="351"/>
      <c r="L165" s="141"/>
      <c r="M165" s="139"/>
      <c r="N165" s="526"/>
      <c r="O165" s="524"/>
      <c r="P165" s="524"/>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51"/>
      <c r="AR165" s="208"/>
      <c r="AS165" s="49"/>
      <c r="AT165" s="49"/>
      <c r="AU165" s="49"/>
      <c r="AV165" s="49"/>
      <c r="AW165" s="49"/>
      <c r="AX165" s="49"/>
      <c r="AY165" s="52"/>
    </row>
    <row r="166" spans="1:53" ht="13.5" customHeight="1">
      <c r="A166" s="56"/>
      <c r="B166" s="101"/>
      <c r="C166" s="49"/>
      <c r="D166" s="49"/>
      <c r="E166" s="49"/>
      <c r="F166" s="49"/>
      <c r="G166" s="49"/>
      <c r="H166" s="49"/>
      <c r="I166" s="51"/>
      <c r="J166" s="350"/>
      <c r="K166" s="351"/>
      <c r="L166" s="141"/>
      <c r="M166" s="505"/>
      <c r="N166" s="505" t="s">
        <v>358</v>
      </c>
      <c r="O166" s="505"/>
      <c r="P166" s="505"/>
      <c r="Q166" s="505"/>
      <c r="R166" s="505"/>
      <c r="S166" s="505"/>
      <c r="T166" s="505"/>
      <c r="U166" s="505"/>
      <c r="V166" s="505"/>
      <c r="W166" s="505"/>
      <c r="X166" s="505"/>
      <c r="Y166" s="505"/>
      <c r="Z166" s="505"/>
      <c r="AA166" s="505"/>
      <c r="AB166" s="505"/>
      <c r="AC166" s="505"/>
      <c r="AD166" s="505"/>
      <c r="AE166" s="505"/>
      <c r="AF166" s="505"/>
      <c r="AG166" s="505"/>
      <c r="AH166" s="505"/>
      <c r="AI166" s="505"/>
      <c r="AJ166" s="505"/>
      <c r="AK166" s="505"/>
      <c r="AL166" s="139"/>
      <c r="AM166" s="139"/>
      <c r="AN166" s="139"/>
      <c r="AO166" s="139"/>
      <c r="AP166" s="139"/>
      <c r="AQ166" s="51"/>
      <c r="AR166" s="208" t="s">
        <v>351</v>
      </c>
      <c r="AS166" s="49"/>
      <c r="AT166" s="49"/>
      <c r="AU166" s="49"/>
      <c r="AV166" s="49"/>
      <c r="AW166" s="49"/>
      <c r="AX166" s="49"/>
      <c r="AY166" s="52"/>
    </row>
    <row r="167" spans="1:53" ht="13.5" customHeight="1">
      <c r="A167" s="56"/>
      <c r="B167" s="101"/>
      <c r="C167" s="49"/>
      <c r="D167" s="49"/>
      <c r="E167" s="49"/>
      <c r="F167" s="49"/>
      <c r="G167" s="49"/>
      <c r="H167" s="49"/>
      <c r="I167" s="51"/>
      <c r="J167" s="350"/>
      <c r="K167" s="351"/>
      <c r="L167" s="141"/>
      <c r="M167" s="505"/>
      <c r="N167" s="505" t="s">
        <v>359</v>
      </c>
      <c r="O167" s="505"/>
      <c r="P167" s="505"/>
      <c r="Q167" s="505"/>
      <c r="R167" s="505"/>
      <c r="S167" s="505"/>
      <c r="T167" s="505"/>
      <c r="U167" s="505"/>
      <c r="V167" s="505"/>
      <c r="W167" s="505"/>
      <c r="X167" s="505"/>
      <c r="Y167" s="505"/>
      <c r="Z167" s="505"/>
      <c r="AA167" s="505"/>
      <c r="AB167" s="505"/>
      <c r="AC167" s="505"/>
      <c r="AD167" s="505"/>
      <c r="AE167" s="505"/>
      <c r="AF167" s="505"/>
      <c r="AG167" s="505"/>
      <c r="AH167" s="505"/>
      <c r="AI167" s="505"/>
      <c r="AJ167" s="505"/>
      <c r="AK167" s="505"/>
      <c r="AL167" s="139"/>
      <c r="AM167" s="139"/>
      <c r="AN167" s="139"/>
      <c r="AO167" s="139"/>
      <c r="AP167" s="139"/>
      <c r="AQ167" s="51"/>
      <c r="AR167" s="208"/>
      <c r="AS167" s="49"/>
      <c r="AT167" s="49"/>
      <c r="AU167" s="49"/>
      <c r="AV167" s="49"/>
      <c r="AW167" s="49"/>
      <c r="AX167" s="49"/>
      <c r="AY167" s="52"/>
    </row>
    <row r="168" spans="1:53" ht="13.5" customHeight="1">
      <c r="A168" s="56"/>
      <c r="B168" s="101"/>
      <c r="C168" s="49"/>
      <c r="D168" s="49"/>
      <c r="E168" s="49"/>
      <c r="F168" s="49"/>
      <c r="G168" s="49"/>
      <c r="H168" s="49"/>
      <c r="I168" s="51"/>
      <c r="J168" s="350"/>
      <c r="K168" s="351"/>
      <c r="L168" s="141"/>
      <c r="M168" s="505"/>
      <c r="N168" s="505"/>
      <c r="O168" s="505" t="s">
        <v>537</v>
      </c>
      <c r="P168" s="505"/>
      <c r="Q168" s="505"/>
      <c r="R168" s="505"/>
      <c r="S168" s="505"/>
      <c r="T168" s="505"/>
      <c r="U168" s="505"/>
      <c r="V168" s="505"/>
      <c r="W168" s="505"/>
      <c r="X168" s="505"/>
      <c r="Y168" s="505"/>
      <c r="Z168" s="505"/>
      <c r="AA168" s="505"/>
      <c r="AB168" s="505"/>
      <c r="AC168" s="505"/>
      <c r="AD168" s="505"/>
      <c r="AE168" s="505"/>
      <c r="AF168" s="505"/>
      <c r="AG168" s="505"/>
      <c r="AH168" s="505"/>
      <c r="AI168" s="505"/>
      <c r="AJ168" s="505"/>
      <c r="AK168" s="505"/>
      <c r="AL168" s="139"/>
      <c r="AM168" s="139"/>
      <c r="AN168" s="139"/>
      <c r="AO168" s="139"/>
      <c r="AP168" s="139"/>
      <c r="AQ168" s="51"/>
      <c r="AR168" s="208"/>
      <c r="AS168" s="49"/>
      <c r="AT168" s="49"/>
      <c r="AU168" s="49"/>
      <c r="AV168" s="49"/>
      <c r="AW168" s="49"/>
      <c r="AX168" s="49"/>
      <c r="AY168" s="52"/>
    </row>
    <row r="169" spans="1:53" ht="13.5" customHeight="1">
      <c r="A169" s="56"/>
      <c r="B169" s="101"/>
      <c r="C169" s="49"/>
      <c r="D169" s="49"/>
      <c r="E169" s="49"/>
      <c r="F169" s="49"/>
      <c r="G169" s="49"/>
      <c r="H169" s="49"/>
      <c r="I169" s="51"/>
      <c r="J169" s="350"/>
      <c r="K169" s="351"/>
      <c r="L169" s="141"/>
      <c r="M169" s="505"/>
      <c r="N169" s="505"/>
      <c r="O169" s="505" t="s">
        <v>842</v>
      </c>
      <c r="P169" s="505"/>
      <c r="Q169" s="505"/>
      <c r="R169" s="505"/>
      <c r="S169" s="505"/>
      <c r="T169" s="505"/>
      <c r="U169" s="505"/>
      <c r="V169" s="505"/>
      <c r="W169" s="505"/>
      <c r="X169" s="505"/>
      <c r="Y169" s="505"/>
      <c r="Z169" s="505"/>
      <c r="AA169" s="505"/>
      <c r="AB169" s="505"/>
      <c r="AC169" s="505"/>
      <c r="AD169" s="505"/>
      <c r="AE169" s="505"/>
      <c r="AF169" s="505"/>
      <c r="AG169" s="505"/>
      <c r="AH169" s="505"/>
      <c r="AI169" s="505"/>
      <c r="AJ169" s="505"/>
      <c r="AK169" s="505"/>
      <c r="AL169" s="139"/>
      <c r="AM169" s="139"/>
      <c r="AN169" s="139"/>
      <c r="AO169" s="139"/>
      <c r="AP169" s="139"/>
      <c r="AQ169" s="51"/>
      <c r="AR169" s="208"/>
      <c r="AS169" s="49"/>
      <c r="AT169" s="49"/>
      <c r="AU169" s="49"/>
      <c r="AV169" s="49"/>
      <c r="AW169" s="49"/>
      <c r="AX169" s="49"/>
      <c r="AY169" s="52"/>
    </row>
    <row r="170" spans="1:53" ht="13.5" customHeight="1">
      <c r="A170" s="56"/>
      <c r="B170" s="101"/>
      <c r="C170" s="49"/>
      <c r="D170" s="49"/>
      <c r="E170" s="49"/>
      <c r="F170" s="49"/>
      <c r="G170" s="49"/>
      <c r="H170" s="49"/>
      <c r="I170" s="51"/>
      <c r="J170" s="350"/>
      <c r="K170" s="351"/>
      <c r="L170" s="141"/>
      <c r="M170" s="505"/>
      <c r="N170" s="505"/>
      <c r="O170" s="505"/>
      <c r="P170" s="505"/>
      <c r="Q170" s="505" t="s">
        <v>843</v>
      </c>
      <c r="R170" s="505"/>
      <c r="S170" s="505"/>
      <c r="T170" s="505"/>
      <c r="U170" s="505"/>
      <c r="V170" s="505"/>
      <c r="W170" s="505"/>
      <c r="X170" s="505"/>
      <c r="Y170" s="505"/>
      <c r="Z170" s="505"/>
      <c r="AA170" s="505"/>
      <c r="AB170" s="505"/>
      <c r="AC170" s="505"/>
      <c r="AD170" s="505"/>
      <c r="AE170" s="505"/>
      <c r="AF170" s="505"/>
      <c r="AG170" s="505"/>
      <c r="AH170" s="505"/>
      <c r="AI170" s="505"/>
      <c r="AJ170" s="505"/>
      <c r="AK170" s="505"/>
      <c r="AL170" s="139"/>
      <c r="AM170" s="139"/>
      <c r="AN170" s="139"/>
      <c r="AO170" s="139"/>
      <c r="AP170" s="139"/>
      <c r="AQ170" s="51"/>
      <c r="AR170" s="208" t="s">
        <v>844</v>
      </c>
      <c r="AS170" s="49"/>
      <c r="AT170" s="49"/>
      <c r="AU170" s="49"/>
      <c r="AV170" s="49"/>
      <c r="AW170" s="49"/>
      <c r="AX170" s="49"/>
      <c r="AY170" s="52"/>
    </row>
    <row r="171" spans="1:53" ht="13.5" customHeight="1">
      <c r="A171" s="56"/>
      <c r="B171" s="101"/>
      <c r="C171" s="49"/>
      <c r="D171" s="49"/>
      <c r="E171" s="49"/>
      <c r="F171" s="49"/>
      <c r="G171" s="49"/>
      <c r="H171" s="49"/>
      <c r="I171" s="51"/>
      <c r="J171" s="350"/>
      <c r="K171" s="351"/>
      <c r="L171" s="50"/>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51"/>
      <c r="AR171" s="208"/>
      <c r="AS171" s="49"/>
      <c r="AT171" s="49"/>
      <c r="AU171" s="49"/>
      <c r="AV171" s="49"/>
      <c r="AW171" s="49"/>
      <c r="AX171" s="49"/>
      <c r="AY171" s="52"/>
    </row>
    <row r="172" spans="1:53" ht="13.5" customHeight="1">
      <c r="A172" s="56"/>
      <c r="B172" s="101"/>
      <c r="C172" s="49"/>
      <c r="D172" s="49"/>
      <c r="E172" s="49"/>
      <c r="F172" s="49"/>
      <c r="G172" s="49"/>
      <c r="H172" s="49"/>
      <c r="I172" s="51"/>
      <c r="J172" s="656"/>
      <c r="K172" s="657"/>
      <c r="L172" s="50"/>
      <c r="M172" s="102" t="s">
        <v>545</v>
      </c>
      <c r="N172" s="102"/>
      <c r="O172" s="102"/>
      <c r="P172" s="102"/>
      <c r="Q172" s="102"/>
      <c r="R172" s="102"/>
      <c r="S172" s="102"/>
      <c r="T172" s="102"/>
      <c r="U172" s="102"/>
      <c r="V172" s="49"/>
      <c r="W172" s="49"/>
      <c r="X172" s="49"/>
      <c r="Y172" s="49"/>
      <c r="Z172" s="49"/>
      <c r="AA172" s="49"/>
      <c r="AB172" s="49"/>
      <c r="AC172" s="49"/>
      <c r="AD172" s="49"/>
      <c r="AE172" s="49"/>
      <c r="AF172" s="49"/>
      <c r="AG172" s="49"/>
      <c r="AH172" s="49"/>
      <c r="AI172" s="49"/>
      <c r="AJ172" s="49"/>
      <c r="AK172" s="49"/>
      <c r="AL172" s="49"/>
      <c r="AM172" s="49"/>
      <c r="AN172" s="49"/>
      <c r="AO172" s="49"/>
      <c r="AP172" s="49"/>
      <c r="AQ172" s="51"/>
      <c r="AR172" s="208" t="s">
        <v>77</v>
      </c>
      <c r="AS172" s="49"/>
      <c r="AT172" s="49"/>
      <c r="AU172" s="49"/>
      <c r="AV172" s="49"/>
      <c r="AW172" s="49"/>
      <c r="AX172" s="49"/>
      <c r="AY172" s="52"/>
    </row>
    <row r="173" spans="1:53" ht="13.5" customHeight="1">
      <c r="A173" s="56"/>
      <c r="B173" s="101"/>
      <c r="C173" s="49"/>
      <c r="D173" s="49"/>
      <c r="E173" s="49"/>
      <c r="F173" s="49"/>
      <c r="G173" s="49"/>
      <c r="H173" s="49"/>
      <c r="I173" s="51"/>
      <c r="J173" s="656"/>
      <c r="K173" s="657"/>
      <c r="L173" s="50"/>
      <c r="M173" s="49"/>
      <c r="N173" s="49" t="s">
        <v>405</v>
      </c>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51"/>
      <c r="AR173" s="208" t="s">
        <v>79</v>
      </c>
      <c r="AS173" s="49"/>
      <c r="AT173" s="49"/>
      <c r="AU173" s="49"/>
      <c r="AV173" s="49"/>
      <c r="AW173" s="49"/>
      <c r="AX173" s="49"/>
      <c r="AY173" s="52"/>
    </row>
    <row r="174" spans="1:53" ht="13.5" customHeight="1">
      <c r="A174" s="56"/>
      <c r="B174" s="101"/>
      <c r="C174" s="49"/>
      <c r="D174" s="49"/>
      <c r="E174" s="49"/>
      <c r="F174" s="49"/>
      <c r="G174" s="49"/>
      <c r="H174" s="49"/>
      <c r="I174" s="51"/>
      <c r="J174" s="350"/>
      <c r="K174" s="351"/>
      <c r="L174" s="50"/>
      <c r="M174" s="49"/>
      <c r="N174" s="49" t="s">
        <v>248</v>
      </c>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51"/>
      <c r="AR174" s="208"/>
      <c r="AS174" s="49"/>
      <c r="AT174" s="49"/>
      <c r="AU174" s="49"/>
      <c r="AV174" s="49"/>
      <c r="AW174" s="49"/>
      <c r="AX174" s="49"/>
      <c r="AY174" s="52" t="s">
        <v>247</v>
      </c>
    </row>
    <row r="175" spans="1:53" s="29" customFormat="1" ht="13.5" customHeight="1">
      <c r="A175" s="56"/>
      <c r="B175" s="101"/>
      <c r="C175" s="49"/>
      <c r="D175" s="49"/>
      <c r="E175" s="49"/>
      <c r="F175" s="49"/>
      <c r="G175" s="49"/>
      <c r="H175" s="49"/>
      <c r="I175" s="51"/>
      <c r="J175" s="390"/>
      <c r="K175" s="391"/>
      <c r="L175" s="50"/>
      <c r="M175" s="49"/>
      <c r="N175" s="49" t="s">
        <v>957</v>
      </c>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51"/>
      <c r="AR175" s="208"/>
      <c r="AS175" s="49"/>
      <c r="AT175" s="49"/>
      <c r="AU175" s="49"/>
      <c r="AV175" s="49"/>
      <c r="AW175" s="49"/>
      <c r="AX175" s="49"/>
      <c r="AY175" s="52"/>
      <c r="AZ175" s="299"/>
      <c r="BA175" s="29">
        <v>2.2999999999999998</v>
      </c>
    </row>
    <row r="176" spans="1:53" s="29" customFormat="1" ht="13.5" customHeight="1">
      <c r="A176" s="56"/>
      <c r="B176" s="101"/>
      <c r="C176" s="49"/>
      <c r="D176" s="49"/>
      <c r="E176" s="49"/>
      <c r="F176" s="49"/>
      <c r="G176" s="49"/>
      <c r="H176" s="49"/>
      <c r="I176" s="51"/>
      <c r="J176" s="390"/>
      <c r="K176" s="391"/>
      <c r="L176" s="50"/>
      <c r="M176" s="49"/>
      <c r="N176" s="49" t="s">
        <v>967</v>
      </c>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51"/>
      <c r="AR176" s="208"/>
      <c r="AS176" s="49"/>
      <c r="AT176" s="49"/>
      <c r="AU176" s="49"/>
      <c r="AV176" s="49"/>
      <c r="AW176" s="49"/>
      <c r="AX176" s="49"/>
      <c r="AY176" s="52"/>
      <c r="AZ176" s="299"/>
      <c r="BA176" s="29">
        <v>2.2999999999999998</v>
      </c>
    </row>
    <row r="177" spans="1:52" s="38" customFormat="1" ht="13.5" customHeight="1">
      <c r="A177" s="242"/>
      <c r="B177" s="243"/>
      <c r="C177" s="244"/>
      <c r="D177" s="245"/>
      <c r="E177" s="245"/>
      <c r="F177" s="245"/>
      <c r="G177" s="245"/>
      <c r="H177" s="245"/>
      <c r="I177" s="245"/>
      <c r="J177" s="243"/>
      <c r="K177" s="246"/>
      <c r="L177" s="247"/>
      <c r="M177" s="523"/>
      <c r="N177" s="216" t="s">
        <v>449</v>
      </c>
      <c r="O177" s="524"/>
      <c r="P177" s="524"/>
      <c r="Q177" s="524"/>
      <c r="R177" s="524"/>
      <c r="S177" s="524"/>
      <c r="T177" s="524"/>
      <c r="U177" s="524"/>
      <c r="V177" s="524"/>
      <c r="W177" s="524"/>
      <c r="X177" s="524"/>
      <c r="Y177" s="524"/>
      <c r="Z177" s="524"/>
      <c r="AA177" s="524"/>
      <c r="AB177" s="524"/>
      <c r="AC177" s="524"/>
      <c r="AD177" s="524"/>
      <c r="AE177" s="524"/>
      <c r="AF177" s="524"/>
      <c r="AG177" s="524"/>
      <c r="AH177" s="524"/>
      <c r="AI177" s="524"/>
      <c r="AJ177" s="524"/>
      <c r="AK177" s="524"/>
      <c r="AL177" s="524"/>
      <c r="AM177" s="241"/>
      <c r="AN177" s="241"/>
      <c r="AO177" s="241"/>
      <c r="AP177" s="241"/>
      <c r="AQ177" s="248"/>
      <c r="AR177" s="241"/>
      <c r="AS177" s="241"/>
      <c r="AT177" s="241"/>
      <c r="AU177" s="241"/>
      <c r="AV177" s="241"/>
      <c r="AW177" s="241"/>
      <c r="AX177" s="241"/>
      <c r="AY177" s="249"/>
    </row>
    <row r="178" spans="1:52" s="38" customFormat="1" ht="13.5" customHeight="1">
      <c r="A178" s="242"/>
      <c r="B178" s="243"/>
      <c r="C178" s="244"/>
      <c r="D178" s="245"/>
      <c r="E178" s="245"/>
      <c r="F178" s="245"/>
      <c r="G178" s="245"/>
      <c r="H178" s="245"/>
      <c r="I178" s="245"/>
      <c r="J178" s="243"/>
      <c r="K178" s="246"/>
      <c r="L178" s="247"/>
      <c r="M178" s="523"/>
      <c r="N178" s="525"/>
      <c r="O178" s="524" t="s">
        <v>514</v>
      </c>
      <c r="P178" s="524"/>
      <c r="Q178" s="524"/>
      <c r="R178" s="524"/>
      <c r="S178" s="524"/>
      <c r="T178" s="524"/>
      <c r="U178" s="524"/>
      <c r="V178" s="524"/>
      <c r="W178" s="524"/>
      <c r="X178" s="524"/>
      <c r="Y178" s="524"/>
      <c r="Z178" s="524"/>
      <c r="AA178" s="524"/>
      <c r="AB178" s="524"/>
      <c r="AC178" s="524"/>
      <c r="AD178" s="524"/>
      <c r="AE178" s="524"/>
      <c r="AF178" s="524"/>
      <c r="AG178" s="524"/>
      <c r="AH178" s="524"/>
      <c r="AI178" s="524"/>
      <c r="AJ178" s="524"/>
      <c r="AK178" s="524"/>
      <c r="AL178" s="524"/>
      <c r="AM178" s="241"/>
      <c r="AN178" s="241"/>
      <c r="AO178" s="241"/>
      <c r="AP178" s="241"/>
      <c r="AQ178" s="248"/>
      <c r="AR178" s="241"/>
      <c r="AS178" s="241"/>
      <c r="AT178" s="241"/>
      <c r="AU178" s="241"/>
      <c r="AV178" s="241"/>
      <c r="AW178" s="241"/>
      <c r="AX178" s="241"/>
      <c r="AY178" s="249"/>
    </row>
    <row r="179" spans="1:52" s="38" customFormat="1" ht="13.5" customHeight="1">
      <c r="A179" s="242"/>
      <c r="B179" s="243"/>
      <c r="C179" s="244"/>
      <c r="D179" s="245"/>
      <c r="E179" s="245"/>
      <c r="F179" s="245"/>
      <c r="G179" s="245"/>
      <c r="H179" s="245"/>
      <c r="I179" s="245"/>
      <c r="J179" s="243"/>
      <c r="K179" s="246"/>
      <c r="L179" s="247"/>
      <c r="M179" s="523"/>
      <c r="N179" s="525"/>
      <c r="O179" s="524" t="s">
        <v>558</v>
      </c>
      <c r="P179" s="524"/>
      <c r="Q179" s="524"/>
      <c r="R179" s="524"/>
      <c r="S179" s="524"/>
      <c r="T179" s="524"/>
      <c r="U179" s="524"/>
      <c r="V179" s="524"/>
      <c r="W179" s="524"/>
      <c r="X179" s="524"/>
      <c r="Y179" s="524"/>
      <c r="Z179" s="524"/>
      <c r="AA179" s="524"/>
      <c r="AB179" s="524"/>
      <c r="AC179" s="524"/>
      <c r="AD179" s="524"/>
      <c r="AE179" s="524"/>
      <c r="AF179" s="524"/>
      <c r="AG179" s="524"/>
      <c r="AH179" s="524"/>
      <c r="AI179" s="524"/>
      <c r="AJ179" s="524"/>
      <c r="AK179" s="524"/>
      <c r="AL179" s="524"/>
      <c r="AM179" s="241"/>
      <c r="AN179" s="241"/>
      <c r="AO179" s="241"/>
      <c r="AP179" s="241"/>
      <c r="AQ179" s="248"/>
      <c r="AR179" s="241"/>
      <c r="AS179" s="241"/>
      <c r="AT179" s="241"/>
      <c r="AU179" s="241"/>
      <c r="AV179" s="241"/>
      <c r="AW179" s="241"/>
      <c r="AX179" s="241"/>
      <c r="AY179" s="249"/>
      <c r="AZ179" s="38" t="s">
        <v>557</v>
      </c>
    </row>
    <row r="180" spans="1:52" s="38" customFormat="1" ht="13.5" customHeight="1">
      <c r="A180" s="250"/>
      <c r="B180" s="251"/>
      <c r="C180" s="252"/>
      <c r="D180" s="245"/>
      <c r="E180" s="245"/>
      <c r="F180" s="245"/>
      <c r="G180" s="245"/>
      <c r="H180" s="245"/>
      <c r="I180" s="245"/>
      <c r="J180" s="243"/>
      <c r="K180" s="246"/>
      <c r="L180" s="247"/>
      <c r="M180" s="523"/>
      <c r="N180" s="526"/>
      <c r="O180" s="524"/>
      <c r="P180" s="524"/>
      <c r="Q180" s="524"/>
      <c r="R180" s="524"/>
      <c r="S180" s="524"/>
      <c r="T180" s="524"/>
      <c r="U180" s="524"/>
      <c r="V180" s="524"/>
      <c r="W180" s="524"/>
      <c r="X180" s="524"/>
      <c r="Y180" s="524"/>
      <c r="Z180" s="524"/>
      <c r="AA180" s="524"/>
      <c r="AB180" s="524"/>
      <c r="AC180" s="524"/>
      <c r="AD180" s="524"/>
      <c r="AE180" s="524"/>
      <c r="AF180" s="524"/>
      <c r="AG180" s="524"/>
      <c r="AH180" s="524"/>
      <c r="AI180" s="524"/>
      <c r="AJ180" s="524"/>
      <c r="AK180" s="524"/>
      <c r="AL180" s="524"/>
      <c r="AM180" s="241"/>
      <c r="AN180" s="241"/>
      <c r="AO180" s="241"/>
      <c r="AP180" s="241"/>
      <c r="AQ180" s="248"/>
      <c r="AR180" s="241"/>
      <c r="AS180" s="241"/>
      <c r="AT180" s="241"/>
      <c r="AU180" s="241"/>
      <c r="AV180" s="241"/>
      <c r="AW180" s="241"/>
      <c r="AX180" s="241"/>
      <c r="AY180" s="249"/>
    </row>
    <row r="181" spans="1:52" s="38" customFormat="1" ht="13.5" customHeight="1">
      <c r="A181" s="242"/>
      <c r="B181" s="253"/>
      <c r="C181" s="244"/>
      <c r="D181" s="245"/>
      <c r="E181" s="245"/>
      <c r="F181" s="245"/>
      <c r="G181" s="245"/>
      <c r="H181" s="245"/>
      <c r="I181" s="245"/>
      <c r="J181" s="243"/>
      <c r="K181" s="246"/>
      <c r="L181" s="247"/>
      <c r="M181" s="523"/>
      <c r="N181" s="216" t="s">
        <v>450</v>
      </c>
      <c r="O181" s="524"/>
      <c r="P181" s="524"/>
      <c r="Q181" s="524"/>
      <c r="R181" s="524"/>
      <c r="S181" s="524"/>
      <c r="T181" s="524"/>
      <c r="U181" s="524"/>
      <c r="V181" s="524"/>
      <c r="W181" s="524"/>
      <c r="X181" s="524"/>
      <c r="Y181" s="524"/>
      <c r="Z181" s="524"/>
      <c r="AA181" s="524"/>
      <c r="AB181" s="524"/>
      <c r="AC181" s="524"/>
      <c r="AD181" s="524"/>
      <c r="AE181" s="524"/>
      <c r="AF181" s="524"/>
      <c r="AG181" s="524"/>
      <c r="AH181" s="524"/>
      <c r="AI181" s="524"/>
      <c r="AJ181" s="524"/>
      <c r="AK181" s="524"/>
      <c r="AL181" s="524"/>
      <c r="AM181" s="241"/>
      <c r="AN181" s="241"/>
      <c r="AO181" s="241"/>
      <c r="AP181" s="241"/>
      <c r="AQ181" s="248"/>
      <c r="AR181" s="241"/>
      <c r="AS181" s="241"/>
      <c r="AT181" s="241"/>
      <c r="AU181" s="241"/>
      <c r="AV181" s="241"/>
      <c r="AW181" s="241"/>
      <c r="AX181" s="241"/>
      <c r="AY181" s="249"/>
    </row>
    <row r="182" spans="1:52" s="38" customFormat="1" ht="13.5" customHeight="1">
      <c r="A182" s="242"/>
      <c r="B182" s="251"/>
      <c r="C182" s="252"/>
      <c r="D182" s="245"/>
      <c r="E182" s="245"/>
      <c r="F182" s="245"/>
      <c r="G182" s="245"/>
      <c r="H182" s="245"/>
      <c r="I182" s="245"/>
      <c r="J182" s="243"/>
      <c r="K182" s="246"/>
      <c r="L182" s="247"/>
      <c r="M182" s="523"/>
      <c r="N182" s="526"/>
      <c r="O182" s="524" t="s">
        <v>561</v>
      </c>
      <c r="P182" s="524"/>
      <c r="Q182" s="524"/>
      <c r="R182" s="524"/>
      <c r="S182" s="524"/>
      <c r="T182" s="524"/>
      <c r="U182" s="524"/>
      <c r="V182" s="524"/>
      <c r="W182" s="524"/>
      <c r="X182" s="524"/>
      <c r="Y182" s="524"/>
      <c r="Z182" s="524"/>
      <c r="AA182" s="524"/>
      <c r="AB182" s="524"/>
      <c r="AC182" s="524"/>
      <c r="AD182" s="524"/>
      <c r="AE182" s="524"/>
      <c r="AF182" s="524"/>
      <c r="AG182" s="524"/>
      <c r="AH182" s="524"/>
      <c r="AI182" s="524"/>
      <c r="AJ182" s="524"/>
      <c r="AK182" s="524"/>
      <c r="AL182" s="524"/>
      <c r="AM182" s="241"/>
      <c r="AN182" s="241"/>
      <c r="AO182" s="241"/>
      <c r="AP182" s="241"/>
      <c r="AQ182" s="248"/>
      <c r="AR182" s="241"/>
      <c r="AS182" s="241"/>
      <c r="AT182" s="241"/>
      <c r="AU182" s="241"/>
      <c r="AV182" s="241"/>
      <c r="AW182" s="241"/>
      <c r="AX182" s="241"/>
      <c r="AY182" s="249"/>
    </row>
    <row r="183" spans="1:52" s="38" customFormat="1" ht="13.5" customHeight="1">
      <c r="A183" s="250"/>
      <c r="B183" s="251"/>
      <c r="C183" s="252"/>
      <c r="D183" s="245"/>
      <c r="E183" s="245"/>
      <c r="F183" s="245"/>
      <c r="G183" s="245"/>
      <c r="H183" s="245"/>
      <c r="I183" s="245"/>
      <c r="J183" s="243"/>
      <c r="K183" s="246"/>
      <c r="L183" s="247"/>
      <c r="M183" s="523"/>
      <c r="N183" s="526"/>
      <c r="O183" s="524" t="s">
        <v>562</v>
      </c>
      <c r="P183" s="524"/>
      <c r="Q183" s="524"/>
      <c r="R183" s="524"/>
      <c r="S183" s="524"/>
      <c r="T183" s="524"/>
      <c r="U183" s="524"/>
      <c r="V183" s="524"/>
      <c r="W183" s="524"/>
      <c r="X183" s="524"/>
      <c r="Y183" s="524"/>
      <c r="Z183" s="524"/>
      <c r="AA183" s="524"/>
      <c r="AB183" s="524"/>
      <c r="AC183" s="524"/>
      <c r="AD183" s="524"/>
      <c r="AE183" s="524"/>
      <c r="AF183" s="524"/>
      <c r="AG183" s="524"/>
      <c r="AH183" s="524"/>
      <c r="AI183" s="524"/>
      <c r="AJ183" s="524"/>
      <c r="AK183" s="524"/>
      <c r="AL183" s="524"/>
      <c r="AM183" s="241"/>
      <c r="AN183" s="241"/>
      <c r="AO183" s="241"/>
      <c r="AP183" s="241"/>
      <c r="AQ183" s="248"/>
      <c r="AR183" s="241"/>
      <c r="AS183" s="241"/>
      <c r="AT183" s="241"/>
      <c r="AU183" s="241"/>
      <c r="AV183" s="241"/>
      <c r="AW183" s="241"/>
      <c r="AX183" s="241"/>
      <c r="AY183" s="249"/>
    </row>
    <row r="184" spans="1:52" s="38" customFormat="1" ht="13.5" customHeight="1">
      <c r="A184" s="250"/>
      <c r="B184" s="251"/>
      <c r="C184" s="252"/>
      <c r="D184" s="245"/>
      <c r="E184" s="245"/>
      <c r="F184" s="245"/>
      <c r="G184" s="245"/>
      <c r="H184" s="245"/>
      <c r="I184" s="245"/>
      <c r="J184" s="243"/>
      <c r="K184" s="246"/>
      <c r="L184" s="247"/>
      <c r="M184" s="523"/>
      <c r="N184" s="526"/>
      <c r="O184" s="524" t="s">
        <v>563</v>
      </c>
      <c r="P184" s="524"/>
      <c r="Q184" s="524"/>
      <c r="R184" s="524"/>
      <c r="S184" s="524"/>
      <c r="T184" s="524"/>
      <c r="U184" s="524"/>
      <c r="V184" s="524"/>
      <c r="W184" s="524"/>
      <c r="X184" s="524"/>
      <c r="Y184" s="524"/>
      <c r="Z184" s="524"/>
      <c r="AA184" s="524"/>
      <c r="AB184" s="524"/>
      <c r="AC184" s="524"/>
      <c r="AD184" s="524"/>
      <c r="AE184" s="524"/>
      <c r="AF184" s="524"/>
      <c r="AG184" s="524"/>
      <c r="AH184" s="524"/>
      <c r="AI184" s="524"/>
      <c r="AJ184" s="524"/>
      <c r="AK184" s="524"/>
      <c r="AL184" s="524"/>
      <c r="AM184" s="241"/>
      <c r="AN184" s="241"/>
      <c r="AO184" s="241"/>
      <c r="AP184" s="241"/>
      <c r="AQ184" s="248"/>
      <c r="AR184" s="241"/>
      <c r="AS184" s="241"/>
      <c r="AT184" s="241"/>
      <c r="AU184" s="241"/>
      <c r="AV184" s="241"/>
      <c r="AW184" s="241"/>
      <c r="AX184" s="241"/>
      <c r="AY184" s="249"/>
    </row>
    <row r="185" spans="1:52" ht="13.5" customHeight="1">
      <c r="A185" s="56"/>
      <c r="B185" s="101"/>
      <c r="C185" s="49"/>
      <c r="D185" s="49"/>
      <c r="E185" s="49"/>
      <c r="F185" s="49"/>
      <c r="G185" s="49"/>
      <c r="H185" s="49"/>
      <c r="I185" s="51"/>
      <c r="J185" s="350"/>
      <c r="K185" s="351"/>
      <c r="L185" s="50"/>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c r="AJ185" s="139"/>
      <c r="AK185" s="139"/>
      <c r="AL185" s="139"/>
      <c r="AM185" s="49"/>
      <c r="AN185" s="49"/>
      <c r="AO185" s="49"/>
      <c r="AP185" s="49"/>
      <c r="AQ185" s="51"/>
      <c r="AR185" s="208"/>
      <c r="AS185" s="49"/>
      <c r="AT185" s="49"/>
      <c r="AU185" s="49"/>
      <c r="AV185" s="49"/>
      <c r="AW185" s="49"/>
      <c r="AX185" s="49"/>
      <c r="AY185" s="52"/>
    </row>
    <row r="186" spans="1:52" ht="13.5" customHeight="1">
      <c r="A186" s="56"/>
      <c r="B186" s="101"/>
      <c r="C186" s="49"/>
      <c r="D186" s="49"/>
      <c r="E186" s="49"/>
      <c r="F186" s="49"/>
      <c r="G186" s="49"/>
      <c r="H186" s="49"/>
      <c r="I186" s="51"/>
      <c r="J186" s="350"/>
      <c r="K186" s="351"/>
      <c r="L186" s="50"/>
      <c r="M186" s="139"/>
      <c r="N186" s="216" t="s">
        <v>452</v>
      </c>
      <c r="O186" s="524"/>
      <c r="P186" s="524"/>
      <c r="Q186" s="139"/>
      <c r="R186" s="139"/>
      <c r="S186" s="139"/>
      <c r="T186" s="139"/>
      <c r="U186" s="139"/>
      <c r="V186" s="139"/>
      <c r="W186" s="139"/>
      <c r="X186" s="139"/>
      <c r="Y186" s="139"/>
      <c r="Z186" s="139"/>
      <c r="AA186" s="139"/>
      <c r="AB186" s="139"/>
      <c r="AC186" s="139"/>
      <c r="AD186" s="139"/>
      <c r="AE186" s="139"/>
      <c r="AF186" s="139"/>
      <c r="AG186" s="139"/>
      <c r="AH186" s="139"/>
      <c r="AI186" s="139"/>
      <c r="AJ186" s="139"/>
      <c r="AK186" s="139"/>
      <c r="AL186" s="139"/>
      <c r="AM186" s="49"/>
      <c r="AN186" s="49"/>
      <c r="AO186" s="49"/>
      <c r="AP186" s="49"/>
      <c r="AQ186" s="51"/>
      <c r="AR186" s="208"/>
      <c r="AS186" s="49"/>
      <c r="AT186" s="49"/>
      <c r="AU186" s="49"/>
      <c r="AV186" s="49"/>
      <c r="AW186" s="49"/>
      <c r="AX186" s="49"/>
      <c r="AY186" s="52"/>
    </row>
    <row r="187" spans="1:52" ht="13.5" customHeight="1">
      <c r="A187" s="56"/>
      <c r="B187" s="101"/>
      <c r="C187" s="49"/>
      <c r="D187" s="49"/>
      <c r="E187" s="49"/>
      <c r="F187" s="49"/>
      <c r="G187" s="49"/>
      <c r="H187" s="49"/>
      <c r="I187" s="51"/>
      <c r="J187" s="350"/>
      <c r="K187" s="351"/>
      <c r="L187" s="50"/>
      <c r="M187" s="139"/>
      <c r="N187" s="526"/>
      <c r="O187" s="524" t="s">
        <v>679</v>
      </c>
      <c r="P187" s="524"/>
      <c r="Q187" s="139"/>
      <c r="R187" s="139"/>
      <c r="S187" s="139"/>
      <c r="T187" s="139"/>
      <c r="U187" s="139"/>
      <c r="V187" s="139"/>
      <c r="W187" s="139"/>
      <c r="X187" s="139"/>
      <c r="Y187" s="139"/>
      <c r="Z187" s="139"/>
      <c r="AA187" s="139"/>
      <c r="AB187" s="139"/>
      <c r="AC187" s="139"/>
      <c r="AD187" s="139"/>
      <c r="AE187" s="139"/>
      <c r="AF187" s="139"/>
      <c r="AG187" s="139"/>
      <c r="AH187" s="139"/>
      <c r="AI187" s="139"/>
      <c r="AJ187" s="139"/>
      <c r="AK187" s="139"/>
      <c r="AL187" s="139"/>
      <c r="AM187" s="49"/>
      <c r="AN187" s="49"/>
      <c r="AO187" s="49"/>
      <c r="AP187" s="49"/>
      <c r="AQ187" s="51"/>
      <c r="AR187" s="208"/>
      <c r="AS187" s="49"/>
      <c r="AT187" s="49"/>
      <c r="AU187" s="49"/>
      <c r="AV187" s="49"/>
      <c r="AW187" s="49"/>
      <c r="AX187" s="49"/>
      <c r="AY187" s="52"/>
    </row>
    <row r="188" spans="1:52" ht="13.5" customHeight="1">
      <c r="A188" s="56"/>
      <c r="B188" s="101"/>
      <c r="C188" s="49"/>
      <c r="D188" s="49"/>
      <c r="E188" s="49"/>
      <c r="F188" s="49"/>
      <c r="G188" s="49"/>
      <c r="H188" s="49"/>
      <c r="I188" s="51"/>
      <c r="J188" s="350"/>
      <c r="K188" s="351"/>
      <c r="L188" s="50"/>
      <c r="M188" s="139"/>
      <c r="N188" s="526"/>
      <c r="O188" s="524" t="s">
        <v>556</v>
      </c>
      <c r="P188" s="524"/>
      <c r="Q188" s="139"/>
      <c r="R188" s="139"/>
      <c r="S188" s="139"/>
      <c r="T188" s="139"/>
      <c r="U188" s="139"/>
      <c r="V188" s="139"/>
      <c r="W188" s="139"/>
      <c r="X188" s="139"/>
      <c r="Y188" s="139"/>
      <c r="Z188" s="139"/>
      <c r="AA188" s="139"/>
      <c r="AB188" s="139"/>
      <c r="AC188" s="139"/>
      <c r="AD188" s="139"/>
      <c r="AE188" s="139"/>
      <c r="AF188" s="139"/>
      <c r="AG188" s="139"/>
      <c r="AH188" s="139"/>
      <c r="AI188" s="139"/>
      <c r="AJ188" s="139"/>
      <c r="AK188" s="139"/>
      <c r="AL188" s="139"/>
      <c r="AM188" s="49"/>
      <c r="AN188" s="49"/>
      <c r="AO188" s="49"/>
      <c r="AP188" s="49"/>
      <c r="AQ188" s="51"/>
      <c r="AR188" s="208"/>
      <c r="AS188" s="49"/>
      <c r="AT188" s="49"/>
      <c r="AU188" s="49"/>
      <c r="AV188" s="49"/>
      <c r="AW188" s="49"/>
      <c r="AX188" s="49"/>
      <c r="AY188" s="52"/>
      <c r="AZ188" s="23" t="s">
        <v>559</v>
      </c>
    </row>
    <row r="189" spans="1:52" ht="13.5" customHeight="1">
      <c r="A189" s="56"/>
      <c r="B189" s="101"/>
      <c r="C189" s="49"/>
      <c r="D189" s="49"/>
      <c r="E189" s="49"/>
      <c r="F189" s="49"/>
      <c r="G189" s="49"/>
      <c r="H189" s="49"/>
      <c r="I189" s="51"/>
      <c r="J189" s="350"/>
      <c r="K189" s="351"/>
      <c r="L189" s="50"/>
      <c r="M189" s="139"/>
      <c r="N189" s="526"/>
      <c r="O189" s="524"/>
      <c r="P189" s="524"/>
      <c r="Q189" s="139" t="s">
        <v>560</v>
      </c>
      <c r="R189" s="139"/>
      <c r="S189" s="139"/>
      <c r="T189" s="139"/>
      <c r="U189" s="139"/>
      <c r="V189" s="139"/>
      <c r="W189" s="139"/>
      <c r="X189" s="139"/>
      <c r="Y189" s="139"/>
      <c r="Z189" s="139"/>
      <c r="AA189" s="139"/>
      <c r="AB189" s="139"/>
      <c r="AC189" s="139"/>
      <c r="AD189" s="139"/>
      <c r="AE189" s="139"/>
      <c r="AF189" s="139"/>
      <c r="AG189" s="139"/>
      <c r="AH189" s="139"/>
      <c r="AI189" s="139"/>
      <c r="AJ189" s="139"/>
      <c r="AK189" s="139"/>
      <c r="AL189" s="139"/>
      <c r="AM189" s="49"/>
      <c r="AN189" s="49"/>
      <c r="AO189" s="49"/>
      <c r="AP189" s="49"/>
      <c r="AQ189" s="51"/>
      <c r="AR189" s="208"/>
      <c r="AS189" s="49"/>
      <c r="AT189" s="49"/>
      <c r="AU189" s="49"/>
      <c r="AV189" s="49"/>
      <c r="AW189" s="49"/>
      <c r="AX189" s="49"/>
      <c r="AY189" s="52"/>
    </row>
    <row r="190" spans="1:52" ht="13.5" customHeight="1">
      <c r="A190" s="56"/>
      <c r="B190" s="101"/>
      <c r="C190" s="49"/>
      <c r="D190" s="49"/>
      <c r="E190" s="49"/>
      <c r="F190" s="49"/>
      <c r="G190" s="49"/>
      <c r="H190" s="49"/>
      <c r="I190" s="51"/>
      <c r="J190" s="350"/>
      <c r="K190" s="351"/>
      <c r="L190" s="50"/>
      <c r="M190" s="139"/>
      <c r="N190" s="526"/>
      <c r="O190" s="524" t="s">
        <v>680</v>
      </c>
      <c r="P190" s="524"/>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49"/>
      <c r="AN190" s="49"/>
      <c r="AO190" s="49"/>
      <c r="AP190" s="49"/>
      <c r="AQ190" s="51"/>
      <c r="AR190" s="208"/>
      <c r="AS190" s="49"/>
      <c r="AT190" s="49"/>
      <c r="AU190" s="49"/>
      <c r="AV190" s="49"/>
      <c r="AW190" s="49"/>
      <c r="AX190" s="49"/>
      <c r="AY190" s="52"/>
    </row>
    <row r="191" spans="1:52" ht="13.5" customHeight="1">
      <c r="A191" s="56"/>
      <c r="B191" s="101"/>
      <c r="C191" s="49"/>
      <c r="D191" s="49"/>
      <c r="E191" s="49"/>
      <c r="F191" s="49"/>
      <c r="G191" s="49"/>
      <c r="H191" s="49"/>
      <c r="I191" s="51"/>
      <c r="J191" s="350"/>
      <c r="K191" s="351"/>
      <c r="L191" s="50"/>
      <c r="M191" s="139"/>
      <c r="N191" s="526"/>
      <c r="O191" s="524" t="s">
        <v>515</v>
      </c>
      <c r="P191" s="524"/>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49"/>
      <c r="AN191" s="49"/>
      <c r="AO191" s="49"/>
      <c r="AP191" s="49"/>
      <c r="AQ191" s="51"/>
      <c r="AR191" s="208"/>
      <c r="AS191" s="49"/>
      <c r="AT191" s="49"/>
      <c r="AU191" s="49"/>
      <c r="AV191" s="49"/>
      <c r="AW191" s="49"/>
      <c r="AX191" s="49"/>
      <c r="AY191" s="52"/>
    </row>
    <row r="192" spans="1:52" ht="13.5" customHeight="1">
      <c r="A192" s="56"/>
      <c r="B192" s="101"/>
      <c r="C192" s="49"/>
      <c r="D192" s="49"/>
      <c r="E192" s="49"/>
      <c r="F192" s="49"/>
      <c r="G192" s="49"/>
      <c r="H192" s="49"/>
      <c r="I192" s="51"/>
      <c r="J192" s="350"/>
      <c r="K192" s="351"/>
      <c r="L192" s="50"/>
      <c r="M192" s="139"/>
      <c r="N192" s="526"/>
      <c r="O192" s="524" t="s">
        <v>516</v>
      </c>
      <c r="P192" s="524"/>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49"/>
      <c r="AN192" s="49"/>
      <c r="AO192" s="49"/>
      <c r="AP192" s="49"/>
      <c r="AQ192" s="51"/>
      <c r="AR192" s="208"/>
      <c r="AS192" s="49"/>
      <c r="AT192" s="49"/>
      <c r="AU192" s="49"/>
      <c r="AV192" s="49"/>
      <c r="AW192" s="49"/>
      <c r="AX192" s="49"/>
      <c r="AY192" s="52"/>
    </row>
    <row r="193" spans="1:53" ht="13.5" customHeight="1">
      <c r="A193" s="56"/>
      <c r="B193" s="101"/>
      <c r="C193" s="49"/>
      <c r="D193" s="49"/>
      <c r="E193" s="49"/>
      <c r="F193" s="49"/>
      <c r="G193" s="49"/>
      <c r="H193" s="49"/>
      <c r="I193" s="51"/>
      <c r="J193" s="350"/>
      <c r="K193" s="351"/>
      <c r="L193" s="50"/>
      <c r="M193" s="139"/>
      <c r="N193" s="526"/>
      <c r="O193" s="524" t="s">
        <v>517</v>
      </c>
      <c r="P193" s="524"/>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49"/>
      <c r="AN193" s="49"/>
      <c r="AO193" s="49"/>
      <c r="AP193" s="49"/>
      <c r="AQ193" s="51"/>
      <c r="AR193" s="208"/>
      <c r="AS193" s="49"/>
      <c r="AT193" s="49"/>
      <c r="AU193" s="49"/>
      <c r="AV193" s="49"/>
      <c r="AW193" s="49"/>
      <c r="AX193" s="49"/>
      <c r="AY193" s="52"/>
    </row>
    <row r="194" spans="1:53" ht="13.5" customHeight="1">
      <c r="A194" s="56"/>
      <c r="B194" s="101"/>
      <c r="C194" s="49"/>
      <c r="D194" s="49"/>
      <c r="E194" s="49"/>
      <c r="F194" s="49"/>
      <c r="G194" s="49"/>
      <c r="H194" s="49"/>
      <c r="I194" s="51"/>
      <c r="J194" s="350"/>
      <c r="K194" s="351"/>
      <c r="L194" s="50"/>
      <c r="M194" s="139"/>
      <c r="N194" s="526"/>
      <c r="O194" s="524" t="s">
        <v>518</v>
      </c>
      <c r="P194" s="524"/>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49"/>
      <c r="AN194" s="49"/>
      <c r="AO194" s="49"/>
      <c r="AP194" s="49"/>
      <c r="AQ194" s="51"/>
      <c r="AR194" s="208"/>
      <c r="AS194" s="49"/>
      <c r="AT194" s="49"/>
      <c r="AU194" s="49"/>
      <c r="AV194" s="49"/>
      <c r="AW194" s="49"/>
      <c r="AX194" s="49"/>
      <c r="AY194" s="52"/>
    </row>
    <row r="195" spans="1:53" ht="13.5" customHeight="1">
      <c r="A195" s="56"/>
      <c r="B195" s="101"/>
      <c r="C195" s="49"/>
      <c r="D195" s="49"/>
      <c r="E195" s="49"/>
      <c r="F195" s="49"/>
      <c r="G195" s="49"/>
      <c r="H195" s="49"/>
      <c r="I195" s="51"/>
      <c r="J195" s="350"/>
      <c r="K195" s="351"/>
      <c r="L195" s="50"/>
      <c r="M195" s="139"/>
      <c r="N195" s="526"/>
      <c r="O195" s="524" t="s">
        <v>519</v>
      </c>
      <c r="P195" s="524"/>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49"/>
      <c r="AN195" s="49"/>
      <c r="AO195" s="49"/>
      <c r="AP195" s="49"/>
      <c r="AQ195" s="51"/>
      <c r="AR195" s="208"/>
      <c r="AS195" s="49"/>
      <c r="AT195" s="49"/>
      <c r="AU195" s="49"/>
      <c r="AV195" s="49"/>
      <c r="AW195" s="49"/>
      <c r="AX195" s="49"/>
      <c r="AY195" s="52"/>
    </row>
    <row r="196" spans="1:53" ht="13.5" customHeight="1">
      <c r="A196" s="56"/>
      <c r="B196" s="101"/>
      <c r="C196" s="49"/>
      <c r="D196" s="49"/>
      <c r="E196" s="49"/>
      <c r="F196" s="49"/>
      <c r="G196" s="49"/>
      <c r="H196" s="49"/>
      <c r="I196" s="51"/>
      <c r="J196" s="350"/>
      <c r="K196" s="351"/>
      <c r="L196" s="50"/>
      <c r="M196" s="139"/>
      <c r="N196" s="526"/>
      <c r="O196" s="524" t="s">
        <v>520</v>
      </c>
      <c r="P196" s="524"/>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49"/>
      <c r="AN196" s="49"/>
      <c r="AO196" s="49"/>
      <c r="AP196" s="49"/>
      <c r="AQ196" s="51"/>
      <c r="AR196" s="208"/>
      <c r="AS196" s="49"/>
      <c r="AT196" s="49"/>
      <c r="AU196" s="49"/>
      <c r="AV196" s="49"/>
      <c r="AW196" s="49"/>
      <c r="AX196" s="49"/>
      <c r="AY196" s="52"/>
    </row>
    <row r="197" spans="1:53" ht="13.5" customHeight="1" thickBot="1">
      <c r="A197" s="321"/>
      <c r="B197" s="336"/>
      <c r="C197" s="323"/>
      <c r="D197" s="323"/>
      <c r="E197" s="323"/>
      <c r="F197" s="323"/>
      <c r="G197" s="323"/>
      <c r="H197" s="323"/>
      <c r="I197" s="324"/>
      <c r="J197" s="354"/>
      <c r="K197" s="355"/>
      <c r="L197" s="322"/>
      <c r="M197" s="533"/>
      <c r="N197" s="534"/>
      <c r="O197" s="535" t="s">
        <v>521</v>
      </c>
      <c r="P197" s="535"/>
      <c r="Q197" s="533"/>
      <c r="R197" s="533"/>
      <c r="S197" s="533"/>
      <c r="T197" s="533"/>
      <c r="U197" s="533"/>
      <c r="V197" s="533"/>
      <c r="W197" s="533"/>
      <c r="X197" s="533"/>
      <c r="Y197" s="533"/>
      <c r="Z197" s="533"/>
      <c r="AA197" s="533"/>
      <c r="AB197" s="533"/>
      <c r="AC197" s="533"/>
      <c r="AD197" s="533"/>
      <c r="AE197" s="533"/>
      <c r="AF197" s="533"/>
      <c r="AG197" s="533"/>
      <c r="AH197" s="533"/>
      <c r="AI197" s="533"/>
      <c r="AJ197" s="533"/>
      <c r="AK197" s="533"/>
      <c r="AL197" s="533"/>
      <c r="AM197" s="323"/>
      <c r="AN197" s="323"/>
      <c r="AO197" s="323"/>
      <c r="AP197" s="323"/>
      <c r="AQ197" s="324"/>
      <c r="AR197" s="327"/>
      <c r="AS197" s="323"/>
      <c r="AT197" s="323"/>
      <c r="AU197" s="323"/>
      <c r="AV197" s="323"/>
      <c r="AW197" s="323"/>
      <c r="AX197" s="323"/>
      <c r="AY197" s="328"/>
    </row>
    <row r="198" spans="1:53" ht="13.5" customHeight="1">
      <c r="A198" s="56"/>
      <c r="B198" s="101"/>
      <c r="C198" s="49"/>
      <c r="D198" s="49"/>
      <c r="E198" s="49"/>
      <c r="F198" s="49"/>
      <c r="G198" s="49"/>
      <c r="H198" s="49"/>
      <c r="I198" s="51"/>
      <c r="J198" s="350"/>
      <c r="K198" s="351"/>
      <c r="L198" s="50"/>
      <c r="M198" s="139"/>
      <c r="N198" s="526"/>
      <c r="O198" s="524" t="s">
        <v>522</v>
      </c>
      <c r="P198" s="524"/>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49"/>
      <c r="AN198" s="49"/>
      <c r="AO198" s="49"/>
      <c r="AP198" s="49"/>
      <c r="AQ198" s="51"/>
      <c r="AR198" s="208"/>
      <c r="AS198" s="49"/>
      <c r="AT198" s="49"/>
      <c r="AU198" s="49"/>
      <c r="AV198" s="49"/>
      <c r="AW198" s="49"/>
      <c r="AX198" s="49"/>
      <c r="AY198" s="52"/>
    </row>
    <row r="199" spans="1:53" ht="13.5" customHeight="1">
      <c r="A199" s="56"/>
      <c r="B199" s="101"/>
      <c r="C199" s="49"/>
      <c r="D199" s="49"/>
      <c r="E199" s="49"/>
      <c r="F199" s="49"/>
      <c r="G199" s="49"/>
      <c r="H199" s="49"/>
      <c r="I199" s="51"/>
      <c r="J199" s="350"/>
      <c r="K199" s="351"/>
      <c r="L199" s="50"/>
      <c r="M199" s="139"/>
      <c r="N199" s="526"/>
      <c r="O199" s="524" t="s">
        <v>523</v>
      </c>
      <c r="P199" s="524"/>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49"/>
      <c r="AN199" s="49"/>
      <c r="AO199" s="49"/>
      <c r="AP199" s="49"/>
      <c r="AQ199" s="51"/>
      <c r="AR199" s="208"/>
      <c r="AS199" s="49"/>
      <c r="AT199" s="49"/>
      <c r="AU199" s="49"/>
      <c r="AV199" s="49"/>
      <c r="AW199" s="49"/>
      <c r="AX199" s="49"/>
      <c r="AY199" s="52"/>
    </row>
    <row r="200" spans="1:53" ht="13.5" customHeight="1">
      <c r="A200" s="56"/>
      <c r="B200" s="101"/>
      <c r="C200" s="49"/>
      <c r="D200" s="49"/>
      <c r="E200" s="49"/>
      <c r="F200" s="49"/>
      <c r="G200" s="49"/>
      <c r="H200" s="49"/>
      <c r="I200" s="51"/>
      <c r="J200" s="350"/>
      <c r="K200" s="351"/>
      <c r="L200" s="50"/>
      <c r="M200" s="139"/>
      <c r="N200" s="526"/>
      <c r="O200" s="524" t="s">
        <v>524</v>
      </c>
      <c r="P200" s="524"/>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49"/>
      <c r="AN200" s="49"/>
      <c r="AO200" s="49"/>
      <c r="AP200" s="49"/>
      <c r="AQ200" s="51"/>
      <c r="AR200" s="208"/>
      <c r="AS200" s="49"/>
      <c r="AT200" s="49"/>
      <c r="AU200" s="49"/>
      <c r="AV200" s="49"/>
      <c r="AW200" s="49"/>
      <c r="AX200" s="49"/>
      <c r="AY200" s="52"/>
    </row>
    <row r="201" spans="1:53" ht="13.5" customHeight="1">
      <c r="A201" s="56"/>
      <c r="B201" s="101"/>
      <c r="C201" s="49"/>
      <c r="D201" s="49"/>
      <c r="E201" s="49"/>
      <c r="F201" s="49"/>
      <c r="G201" s="49"/>
      <c r="H201" s="49"/>
      <c r="I201" s="51"/>
      <c r="J201" s="350"/>
      <c r="K201" s="351"/>
      <c r="L201" s="50"/>
      <c r="M201" s="139"/>
      <c r="N201" s="526"/>
      <c r="O201" s="524" t="s">
        <v>525</v>
      </c>
      <c r="P201" s="524"/>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49"/>
      <c r="AN201" s="49"/>
      <c r="AO201" s="49"/>
      <c r="AP201" s="49"/>
      <c r="AQ201" s="51"/>
      <c r="AR201" s="208"/>
      <c r="AS201" s="49"/>
      <c r="AT201" s="49"/>
      <c r="AU201" s="49"/>
      <c r="AV201" s="49"/>
      <c r="AW201" s="49"/>
      <c r="AX201" s="49"/>
      <c r="AY201" s="52"/>
    </row>
    <row r="202" spans="1:53" ht="13.5" customHeight="1">
      <c r="A202" s="56"/>
      <c r="B202" s="101"/>
      <c r="C202" s="49"/>
      <c r="D202" s="49"/>
      <c r="E202" s="49"/>
      <c r="F202" s="49"/>
      <c r="G202" s="49"/>
      <c r="H202" s="49"/>
      <c r="I202" s="51"/>
      <c r="J202" s="350"/>
      <c r="K202" s="351"/>
      <c r="L202" s="50"/>
      <c r="M202" s="139"/>
      <c r="N202" s="526"/>
      <c r="O202" s="524" t="s">
        <v>526</v>
      </c>
      <c r="P202" s="524"/>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49"/>
      <c r="AN202" s="49"/>
      <c r="AO202" s="49"/>
      <c r="AP202" s="49"/>
      <c r="AQ202" s="51"/>
      <c r="AR202" s="208"/>
      <c r="AS202" s="49"/>
      <c r="AT202" s="49"/>
      <c r="AU202" s="49"/>
      <c r="AV202" s="49"/>
      <c r="AW202" s="49"/>
      <c r="AX202" s="49"/>
      <c r="AY202" s="52"/>
    </row>
    <row r="203" spans="1:53" ht="13.5" customHeight="1">
      <c r="A203" s="56"/>
      <c r="B203" s="101"/>
      <c r="C203" s="49"/>
      <c r="D203" s="49"/>
      <c r="E203" s="49"/>
      <c r="F203" s="49"/>
      <c r="G203" s="49"/>
      <c r="H203" s="49"/>
      <c r="I203" s="51"/>
      <c r="J203" s="350"/>
      <c r="K203" s="351"/>
      <c r="L203" s="50"/>
      <c r="M203" s="139"/>
      <c r="N203" s="526"/>
      <c r="O203" s="524" t="s">
        <v>527</v>
      </c>
      <c r="P203" s="524"/>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49"/>
      <c r="AN203" s="49"/>
      <c r="AO203" s="49"/>
      <c r="AP203" s="49"/>
      <c r="AQ203" s="51"/>
      <c r="AR203" s="208"/>
      <c r="AS203" s="49"/>
      <c r="AT203" s="49"/>
      <c r="AU203" s="49"/>
      <c r="AV203" s="49"/>
      <c r="AW203" s="49"/>
      <c r="AX203" s="49"/>
      <c r="AY203" s="52"/>
    </row>
    <row r="204" spans="1:53" ht="13.5" customHeight="1">
      <c r="A204" s="56"/>
      <c r="B204" s="101"/>
      <c r="C204" s="49"/>
      <c r="D204" s="49"/>
      <c r="E204" s="49"/>
      <c r="F204" s="49"/>
      <c r="G204" s="49"/>
      <c r="H204" s="49"/>
      <c r="I204" s="51"/>
      <c r="J204" s="350"/>
      <c r="K204" s="351"/>
      <c r="L204" s="50"/>
      <c r="M204" s="139"/>
      <c r="N204" s="526"/>
      <c r="O204" s="524" t="s">
        <v>528</v>
      </c>
      <c r="P204" s="524"/>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49"/>
      <c r="AN204" s="49"/>
      <c r="AO204" s="49"/>
      <c r="AP204" s="49"/>
      <c r="AQ204" s="51"/>
      <c r="AR204" s="208"/>
      <c r="AS204" s="49"/>
      <c r="AT204" s="49"/>
      <c r="AU204" s="49"/>
      <c r="AV204" s="49"/>
      <c r="AW204" s="49"/>
      <c r="AX204" s="49"/>
      <c r="AY204" s="52"/>
    </row>
    <row r="205" spans="1:53" ht="13.5" customHeight="1">
      <c r="A205" s="56"/>
      <c r="B205" s="101"/>
      <c r="C205" s="49"/>
      <c r="D205" s="49"/>
      <c r="E205" s="49"/>
      <c r="F205" s="49"/>
      <c r="G205" s="49"/>
      <c r="H205" s="49"/>
      <c r="I205" s="51"/>
      <c r="J205" s="350"/>
      <c r="K205" s="351"/>
      <c r="L205" s="50"/>
      <c r="M205" s="139"/>
      <c r="N205" s="526"/>
      <c r="O205" s="524" t="s">
        <v>988</v>
      </c>
      <c r="P205" s="524"/>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49"/>
      <c r="AN205" s="49"/>
      <c r="AO205" s="49"/>
      <c r="AP205" s="49"/>
      <c r="AQ205" s="51"/>
      <c r="AR205" s="208"/>
      <c r="AS205" s="49"/>
      <c r="AT205" s="49"/>
      <c r="AU205" s="49"/>
      <c r="AV205" s="49"/>
      <c r="AW205" s="49"/>
      <c r="AX205" s="49"/>
      <c r="AY205" s="52"/>
    </row>
    <row r="206" spans="1:53" ht="13.5" customHeight="1">
      <c r="A206" s="56"/>
      <c r="B206" s="101"/>
      <c r="C206" s="49"/>
      <c r="D206" s="49"/>
      <c r="E206" s="49"/>
      <c r="F206" s="49"/>
      <c r="G206" s="49"/>
      <c r="H206" s="49"/>
      <c r="I206" s="51"/>
      <c r="J206" s="400"/>
      <c r="K206" s="401"/>
      <c r="L206" s="50"/>
      <c r="M206" s="139"/>
      <c r="N206" s="526"/>
      <c r="O206" s="528" t="s">
        <v>989</v>
      </c>
      <c r="P206" s="528"/>
      <c r="Q206" s="505"/>
      <c r="R206" s="505"/>
      <c r="S206" s="505"/>
      <c r="T206" s="505"/>
      <c r="U206" s="505"/>
      <c r="V206" s="505"/>
      <c r="W206" s="505"/>
      <c r="X206" s="505"/>
      <c r="Y206" s="505"/>
      <c r="Z206" s="505"/>
      <c r="AA206" s="505"/>
      <c r="AB206" s="505"/>
      <c r="AC206" s="505"/>
      <c r="AD206" s="505"/>
      <c r="AE206" s="505"/>
      <c r="AF206" s="505"/>
      <c r="AG206" s="505"/>
      <c r="AH206" s="505"/>
      <c r="AI206" s="505"/>
      <c r="AJ206" s="505"/>
      <c r="AK206" s="505"/>
      <c r="AL206" s="505"/>
      <c r="AM206" s="102"/>
      <c r="AN206" s="102"/>
      <c r="AO206" s="102"/>
      <c r="AP206" s="102"/>
      <c r="AQ206" s="377"/>
      <c r="AR206" s="396"/>
      <c r="AS206" s="102"/>
      <c r="AT206" s="102"/>
      <c r="AU206" s="102"/>
      <c r="AV206" s="102"/>
      <c r="AW206" s="102"/>
      <c r="AX206" s="102"/>
      <c r="AY206" s="406"/>
      <c r="BA206" s="23">
        <v>2.6</v>
      </c>
    </row>
    <row r="207" spans="1:53" ht="13.5" customHeight="1">
      <c r="A207" s="56"/>
      <c r="B207" s="101"/>
      <c r="C207" s="49"/>
      <c r="D207" s="49"/>
      <c r="E207" s="49"/>
      <c r="F207" s="49"/>
      <c r="G207" s="49"/>
      <c r="H207" s="49"/>
      <c r="I207" s="51"/>
      <c r="J207" s="400"/>
      <c r="K207" s="401"/>
      <c r="L207" s="50"/>
      <c r="M207" s="139"/>
      <c r="N207" s="526"/>
      <c r="O207" s="528" t="s">
        <v>984</v>
      </c>
      <c r="P207" s="528"/>
      <c r="Q207" s="505"/>
      <c r="R207" s="505"/>
      <c r="S207" s="505"/>
      <c r="T207" s="505"/>
      <c r="U207" s="505"/>
      <c r="V207" s="505"/>
      <c r="W207" s="505"/>
      <c r="X207" s="505"/>
      <c r="Y207" s="505"/>
      <c r="Z207" s="505"/>
      <c r="AA207" s="505"/>
      <c r="AB207" s="505"/>
      <c r="AC207" s="505"/>
      <c r="AD207" s="505"/>
      <c r="AE207" s="505"/>
      <c r="AF207" s="505"/>
      <c r="AG207" s="505"/>
      <c r="AH207" s="505"/>
      <c r="AI207" s="505"/>
      <c r="AJ207" s="505"/>
      <c r="AK207" s="505"/>
      <c r="AL207" s="505"/>
      <c r="AM207" s="102"/>
      <c r="AN207" s="102"/>
      <c r="AO207" s="102"/>
      <c r="AP207" s="102"/>
      <c r="AQ207" s="377"/>
      <c r="AR207" s="396"/>
      <c r="AS207" s="102"/>
      <c r="AT207" s="102"/>
      <c r="AU207" s="102"/>
      <c r="AV207" s="102"/>
      <c r="AW207" s="102"/>
      <c r="AX207" s="102"/>
      <c r="AY207" s="406"/>
      <c r="BA207" s="23">
        <v>2.6</v>
      </c>
    </row>
    <row r="208" spans="1:53" ht="13.5" customHeight="1">
      <c r="A208" s="56"/>
      <c r="B208" s="101"/>
      <c r="C208" s="49"/>
      <c r="D208" s="49"/>
      <c r="E208" s="49"/>
      <c r="F208" s="49"/>
      <c r="G208" s="49"/>
      <c r="H208" s="49"/>
      <c r="I208" s="51"/>
      <c r="J208" s="400"/>
      <c r="K208" s="401"/>
      <c r="L208" s="50"/>
      <c r="M208" s="139"/>
      <c r="N208" s="526"/>
      <c r="O208" s="528" t="s">
        <v>985</v>
      </c>
      <c r="P208" s="528"/>
      <c r="Q208" s="505"/>
      <c r="R208" s="505"/>
      <c r="S208" s="505"/>
      <c r="T208" s="505"/>
      <c r="U208" s="505"/>
      <c r="V208" s="505"/>
      <c r="W208" s="505"/>
      <c r="X208" s="505"/>
      <c r="Y208" s="505"/>
      <c r="Z208" s="505"/>
      <c r="AA208" s="505"/>
      <c r="AB208" s="505"/>
      <c r="AC208" s="505"/>
      <c r="AD208" s="505"/>
      <c r="AE208" s="505"/>
      <c r="AF208" s="505"/>
      <c r="AG208" s="505"/>
      <c r="AH208" s="505"/>
      <c r="AI208" s="505"/>
      <c r="AJ208" s="505"/>
      <c r="AK208" s="505"/>
      <c r="AL208" s="505"/>
      <c r="AM208" s="102"/>
      <c r="AN208" s="102"/>
      <c r="AO208" s="102"/>
      <c r="AP208" s="102"/>
      <c r="AQ208" s="377"/>
      <c r="AR208" s="396"/>
      <c r="AS208" s="102"/>
      <c r="AT208" s="102"/>
      <c r="AU208" s="102"/>
      <c r="AV208" s="102"/>
      <c r="AW208" s="102"/>
      <c r="AX208" s="102"/>
      <c r="AY208" s="406"/>
      <c r="BA208" s="23">
        <v>2.6</v>
      </c>
    </row>
    <row r="209" spans="1:53" ht="13.5" customHeight="1">
      <c r="A209" s="56"/>
      <c r="B209" s="101"/>
      <c r="C209" s="49"/>
      <c r="D209" s="49"/>
      <c r="E209" s="49"/>
      <c r="F209" s="49"/>
      <c r="G209" s="49"/>
      <c r="H209" s="49"/>
      <c r="I209" s="51"/>
      <c r="J209" s="400"/>
      <c r="K209" s="401"/>
      <c r="L209" s="50"/>
      <c r="M209" s="139"/>
      <c r="N209" s="526"/>
      <c r="O209" s="528" t="s">
        <v>986</v>
      </c>
      <c r="P209" s="528"/>
      <c r="Q209" s="505"/>
      <c r="R209" s="505"/>
      <c r="S209" s="505"/>
      <c r="T209" s="505"/>
      <c r="U209" s="505"/>
      <c r="V209" s="505"/>
      <c r="W209" s="505"/>
      <c r="X209" s="505"/>
      <c r="Y209" s="505"/>
      <c r="Z209" s="505"/>
      <c r="AA209" s="505"/>
      <c r="AB209" s="505"/>
      <c r="AC209" s="505"/>
      <c r="AD209" s="505"/>
      <c r="AE209" s="505"/>
      <c r="AF209" s="505"/>
      <c r="AG209" s="505"/>
      <c r="AH209" s="505"/>
      <c r="AI209" s="505"/>
      <c r="AJ209" s="505"/>
      <c r="AK209" s="505"/>
      <c r="AL209" s="505"/>
      <c r="AM209" s="102"/>
      <c r="AN209" s="102"/>
      <c r="AO209" s="102"/>
      <c r="AP209" s="102"/>
      <c r="AQ209" s="377"/>
      <c r="AR209" s="396"/>
      <c r="AS209" s="102"/>
      <c r="AT209" s="102"/>
      <c r="AU209" s="102"/>
      <c r="AV209" s="102"/>
      <c r="AW209" s="102"/>
      <c r="AX209" s="102"/>
      <c r="AY209" s="406"/>
      <c r="BA209" s="23">
        <v>2.6</v>
      </c>
    </row>
    <row r="210" spans="1:53" ht="13.5" customHeight="1">
      <c r="A210" s="56"/>
      <c r="B210" s="101"/>
      <c r="C210" s="49"/>
      <c r="D210" s="49"/>
      <c r="E210" s="49"/>
      <c r="F210" s="49"/>
      <c r="G210" s="49"/>
      <c r="H210" s="49"/>
      <c r="I210" s="51"/>
      <c r="J210" s="400"/>
      <c r="K210" s="401"/>
      <c r="L210" s="50"/>
      <c r="M210" s="139"/>
      <c r="N210" s="526"/>
      <c r="O210" s="528" t="s">
        <v>987</v>
      </c>
      <c r="P210" s="528"/>
      <c r="Q210" s="505"/>
      <c r="R210" s="505"/>
      <c r="S210" s="505"/>
      <c r="T210" s="505"/>
      <c r="U210" s="505"/>
      <c r="V210" s="505"/>
      <c r="W210" s="505"/>
      <c r="X210" s="505"/>
      <c r="Y210" s="505"/>
      <c r="Z210" s="505"/>
      <c r="AA210" s="505"/>
      <c r="AB210" s="505"/>
      <c r="AC210" s="505"/>
      <c r="AD210" s="505"/>
      <c r="AE210" s="505"/>
      <c r="AF210" s="505"/>
      <c r="AG210" s="505"/>
      <c r="AH210" s="505"/>
      <c r="AI210" s="505"/>
      <c r="AJ210" s="505"/>
      <c r="AK210" s="505"/>
      <c r="AL210" s="505"/>
      <c r="AM210" s="102"/>
      <c r="AN210" s="102"/>
      <c r="AO210" s="102"/>
      <c r="AP210" s="102"/>
      <c r="AQ210" s="377"/>
      <c r="AR210" s="396"/>
      <c r="AS210" s="102"/>
      <c r="AT210" s="102"/>
      <c r="AU210" s="102"/>
      <c r="AV210" s="102"/>
      <c r="AW210" s="102"/>
      <c r="AX210" s="102"/>
      <c r="AY210" s="406"/>
      <c r="BA210" s="23">
        <v>2.6</v>
      </c>
    </row>
    <row r="211" spans="1:53" ht="13.5" customHeight="1">
      <c r="A211" s="56"/>
      <c r="B211" s="101"/>
      <c r="C211" s="49"/>
      <c r="D211" s="49"/>
      <c r="E211" s="49"/>
      <c r="F211" s="49"/>
      <c r="G211" s="49"/>
      <c r="H211" s="49"/>
      <c r="I211" s="51"/>
      <c r="J211" s="350"/>
      <c r="K211" s="351"/>
      <c r="L211" s="50"/>
      <c r="M211" s="139"/>
      <c r="N211" s="526"/>
      <c r="O211" s="524"/>
      <c r="P211" s="524"/>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49"/>
      <c r="AN211" s="49"/>
      <c r="AO211" s="49"/>
      <c r="AP211" s="49"/>
      <c r="AQ211" s="51"/>
      <c r="AR211" s="208"/>
      <c r="AS211" s="49"/>
      <c r="AT211" s="49"/>
      <c r="AU211" s="49"/>
      <c r="AV211" s="49"/>
      <c r="AW211" s="49"/>
      <c r="AX211" s="49"/>
      <c r="AY211" s="52"/>
    </row>
    <row r="212" spans="1:53" ht="13.5" customHeight="1">
      <c r="A212" s="56"/>
      <c r="B212" s="101"/>
      <c r="C212" s="49"/>
      <c r="D212" s="49"/>
      <c r="E212" s="49"/>
      <c r="F212" s="49"/>
      <c r="G212" s="49"/>
      <c r="H212" s="49"/>
      <c r="I212" s="51"/>
      <c r="J212" s="350"/>
      <c r="K212" s="351"/>
      <c r="L212" s="50"/>
      <c r="M212" s="139"/>
      <c r="N212" s="216" t="s">
        <v>546</v>
      </c>
      <c r="O212" s="524"/>
      <c r="P212" s="524"/>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c r="AM212" s="49"/>
      <c r="AN212" s="49"/>
      <c r="AO212" s="49"/>
      <c r="AP212" s="49"/>
      <c r="AQ212" s="51"/>
      <c r="AR212" s="208"/>
      <c r="AS212" s="49"/>
      <c r="AT212" s="49"/>
      <c r="AU212" s="49"/>
      <c r="AV212" s="49"/>
      <c r="AW212" s="49"/>
      <c r="AX212" s="49"/>
      <c r="AY212" s="52"/>
    </row>
    <row r="213" spans="1:53" ht="13.5" customHeight="1">
      <c r="A213" s="56"/>
      <c r="B213" s="101"/>
      <c r="C213" s="49"/>
      <c r="D213" s="49"/>
      <c r="E213" s="49"/>
      <c r="F213" s="49"/>
      <c r="G213" s="49"/>
      <c r="H213" s="49"/>
      <c r="I213" s="51"/>
      <c r="J213" s="350"/>
      <c r="K213" s="351"/>
      <c r="L213" s="50"/>
      <c r="M213" s="139"/>
      <c r="N213" s="526"/>
      <c r="O213" s="524" t="s">
        <v>547</v>
      </c>
      <c r="P213" s="524"/>
      <c r="Q213" s="139"/>
      <c r="R213" s="139"/>
      <c r="S213" s="139"/>
      <c r="T213" s="139"/>
      <c r="U213" s="139"/>
      <c r="V213" s="139"/>
      <c r="W213" s="139"/>
      <c r="X213" s="139"/>
      <c r="Y213" s="139"/>
      <c r="Z213" s="139"/>
      <c r="AA213" s="139"/>
      <c r="AB213" s="139"/>
      <c r="AC213" s="139"/>
      <c r="AD213" s="139"/>
      <c r="AE213" s="139"/>
      <c r="AF213" s="139"/>
      <c r="AG213" s="139"/>
      <c r="AH213" s="139"/>
      <c r="AI213" s="139"/>
      <c r="AJ213" s="139"/>
      <c r="AK213" s="139"/>
      <c r="AL213" s="139"/>
      <c r="AM213" s="49"/>
      <c r="AN213" s="49"/>
      <c r="AO213" s="49"/>
      <c r="AP213" s="49"/>
      <c r="AQ213" s="51"/>
      <c r="AR213" s="208"/>
      <c r="AS213" s="49"/>
      <c r="AT213" s="49"/>
      <c r="AU213" s="49"/>
      <c r="AV213" s="49"/>
      <c r="AW213" s="49"/>
      <c r="AX213" s="49"/>
      <c r="AY213" s="52"/>
    </row>
    <row r="214" spans="1:53" ht="13.5" customHeight="1">
      <c r="A214" s="56"/>
      <c r="B214" s="101"/>
      <c r="C214" s="49"/>
      <c r="D214" s="49"/>
      <c r="E214" s="49"/>
      <c r="F214" s="49"/>
      <c r="G214" s="49"/>
      <c r="H214" s="49"/>
      <c r="I214" s="51"/>
      <c r="J214" s="350"/>
      <c r="K214" s="351"/>
      <c r="L214" s="50"/>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c r="AJ214" s="139"/>
      <c r="AK214" s="139"/>
      <c r="AL214" s="139"/>
      <c r="AM214" s="49"/>
      <c r="AN214" s="49"/>
      <c r="AO214" s="49"/>
      <c r="AP214" s="49"/>
      <c r="AQ214" s="51"/>
      <c r="AR214" s="208"/>
      <c r="AS214" s="49"/>
      <c r="AT214" s="49"/>
      <c r="AU214" s="49"/>
      <c r="AV214" s="49"/>
      <c r="AW214" s="49"/>
      <c r="AX214" s="49"/>
      <c r="AY214" s="52"/>
    </row>
    <row r="215" spans="1:53" ht="13.5" customHeight="1">
      <c r="A215" s="56"/>
      <c r="B215" s="101"/>
      <c r="C215" s="49"/>
      <c r="D215" s="49"/>
      <c r="E215" s="49"/>
      <c r="F215" s="49"/>
      <c r="G215" s="49"/>
      <c r="H215" s="49"/>
      <c r="I215" s="51"/>
      <c r="J215" s="350"/>
      <c r="K215" s="351"/>
      <c r="L215" s="50" t="s">
        <v>367</v>
      </c>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51"/>
      <c r="AR215" s="208"/>
      <c r="AS215" s="49"/>
      <c r="AT215" s="49"/>
      <c r="AU215" s="49"/>
      <c r="AV215" s="49"/>
      <c r="AW215" s="49"/>
      <c r="AX215" s="49"/>
      <c r="AY215" s="52"/>
    </row>
    <row r="216" spans="1:53" ht="13.5" customHeight="1">
      <c r="A216" s="56"/>
      <c r="B216" s="101"/>
      <c r="C216" s="49"/>
      <c r="D216" s="49"/>
      <c r="E216" s="49"/>
      <c r="F216" s="49"/>
      <c r="G216" s="49"/>
      <c r="H216" s="49"/>
      <c r="I216" s="51"/>
      <c r="J216" s="350"/>
      <c r="K216" s="351"/>
      <c r="L216" s="50"/>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t="s">
        <v>241</v>
      </c>
      <c r="AJ216" s="49"/>
      <c r="AK216" s="205"/>
      <c r="AL216" s="49"/>
      <c r="AM216" s="49"/>
      <c r="AN216" s="49"/>
      <c r="AO216" s="49"/>
      <c r="AP216" s="49"/>
      <c r="AQ216" s="51"/>
      <c r="AR216" s="208"/>
      <c r="AS216" s="49"/>
      <c r="AT216" s="49"/>
      <c r="AU216" s="49"/>
      <c r="AV216" s="49"/>
      <c r="AW216" s="49"/>
      <c r="AX216" s="49"/>
      <c r="AY216" s="52"/>
    </row>
    <row r="217" spans="1:53" ht="13.5" customHeight="1">
      <c r="A217" s="56"/>
      <c r="B217" s="101"/>
      <c r="C217" s="49"/>
      <c r="D217" s="49"/>
      <c r="E217" s="49"/>
      <c r="F217" s="49"/>
      <c r="G217" s="49"/>
      <c r="H217" s="49"/>
      <c r="I217" s="51"/>
      <c r="J217" s="350"/>
      <c r="K217" s="351"/>
      <c r="L217" s="50"/>
      <c r="M217" s="143" t="s">
        <v>365</v>
      </c>
      <c r="N217" s="306"/>
      <c r="O217" s="306"/>
      <c r="P217" s="307"/>
      <c r="Q217" s="143" t="s">
        <v>174</v>
      </c>
      <c r="R217" s="306"/>
      <c r="S217" s="306"/>
      <c r="T217" s="306"/>
      <c r="U217" s="307"/>
      <c r="V217" s="144" t="s">
        <v>257</v>
      </c>
      <c r="W217" s="144"/>
      <c r="X217" s="144"/>
      <c r="Y217" s="144"/>
      <c r="Z217" s="144"/>
      <c r="AA217" s="144"/>
      <c r="AB217" s="144"/>
      <c r="AC217" s="144"/>
      <c r="AD217" s="144"/>
      <c r="AE217" s="144"/>
      <c r="AF217" s="144"/>
      <c r="AG217" s="145"/>
      <c r="AH217" s="205"/>
      <c r="AI217" s="49" t="s">
        <v>242</v>
      </c>
      <c r="AJ217" s="49"/>
      <c r="AK217" s="205"/>
      <c r="AL217" s="49"/>
      <c r="AM217" s="49"/>
      <c r="AN217" s="49"/>
      <c r="AO217" s="49"/>
      <c r="AP217" s="49"/>
      <c r="AQ217" s="51"/>
      <c r="AR217" s="208"/>
      <c r="AS217" s="49"/>
      <c r="AT217" s="49"/>
      <c r="AU217" s="49"/>
      <c r="AV217" s="49"/>
      <c r="AW217" s="49"/>
      <c r="AX217" s="49"/>
      <c r="AY217" s="52"/>
    </row>
    <row r="218" spans="1:53" ht="13.5" customHeight="1">
      <c r="A218" s="56"/>
      <c r="B218" s="101"/>
      <c r="C218" s="49"/>
      <c r="D218" s="49"/>
      <c r="E218" s="49"/>
      <c r="F218" s="49"/>
      <c r="G218" s="49"/>
      <c r="H218" s="49"/>
      <c r="I218" s="51"/>
      <c r="J218" s="350"/>
      <c r="K218" s="351"/>
      <c r="L218" s="50"/>
      <c r="M218" s="146"/>
      <c r="N218" s="147"/>
      <c r="O218" s="147"/>
      <c r="P218" s="148"/>
      <c r="Q218" s="149"/>
      <c r="R218" s="147"/>
      <c r="S218" s="147"/>
      <c r="T218" s="150"/>
      <c r="U218" s="151"/>
      <c r="V218" s="114" t="s">
        <v>84</v>
      </c>
      <c r="W218" s="113"/>
      <c r="X218" s="114" t="s">
        <v>223</v>
      </c>
      <c r="Y218" s="112"/>
      <c r="Z218" s="112"/>
      <c r="AA218" s="113"/>
      <c r="AB218" s="114" t="s">
        <v>237</v>
      </c>
      <c r="AC218" s="112"/>
      <c r="AD218" s="112"/>
      <c r="AE218" s="112"/>
      <c r="AF218" s="112"/>
      <c r="AG218" s="113"/>
      <c r="AH218" s="205"/>
      <c r="AI218" s="49" t="s">
        <v>243</v>
      </c>
      <c r="AJ218" s="49"/>
      <c r="AK218" s="205"/>
      <c r="AL218" s="49"/>
      <c r="AM218" s="49"/>
      <c r="AN218" s="49"/>
      <c r="AO218" s="49"/>
      <c r="AP218" s="49"/>
      <c r="AQ218" s="51"/>
      <c r="AR218" s="208"/>
      <c r="AS218" s="49"/>
      <c r="AT218" s="49"/>
      <c r="AU218" s="49"/>
      <c r="AV218" s="49"/>
      <c r="AW218" s="49"/>
      <c r="AX218" s="49"/>
      <c r="AY218" s="52"/>
    </row>
    <row r="219" spans="1:53" ht="13.5" customHeight="1">
      <c r="A219" s="56"/>
      <c r="B219" s="101"/>
      <c r="C219" s="49"/>
      <c r="D219" s="49"/>
      <c r="E219" s="49"/>
      <c r="F219" s="49"/>
      <c r="G219" s="49"/>
      <c r="H219" s="49"/>
      <c r="I219" s="51"/>
      <c r="J219" s="350"/>
      <c r="K219" s="351"/>
      <c r="L219" s="50"/>
      <c r="M219" s="255" t="s">
        <v>228</v>
      </c>
      <c r="N219" s="329"/>
      <c r="O219" s="329"/>
      <c r="P219" s="330"/>
      <c r="Q219" s="152" t="s">
        <v>255</v>
      </c>
      <c r="R219" s="284"/>
      <c r="S219" s="284"/>
      <c r="T219" s="284"/>
      <c r="U219" s="285"/>
      <c r="V219" s="152" t="s">
        <v>88</v>
      </c>
      <c r="W219" s="285"/>
      <c r="X219" s="152" t="s">
        <v>59</v>
      </c>
      <c r="Y219" s="284"/>
      <c r="Z219" s="284"/>
      <c r="AA219" s="285"/>
      <c r="AB219" s="152" t="s">
        <v>59</v>
      </c>
      <c r="AC219" s="284"/>
      <c r="AD219" s="284"/>
      <c r="AE219" s="284"/>
      <c r="AF219" s="284"/>
      <c r="AG219" s="285"/>
      <c r="AH219" s="205"/>
      <c r="AI219" s="49"/>
      <c r="AJ219" s="49"/>
      <c r="AK219" s="49"/>
      <c r="AL219" s="49"/>
      <c r="AM219" s="49"/>
      <c r="AN219" s="49"/>
      <c r="AO219" s="49"/>
      <c r="AP219" s="49"/>
      <c r="AQ219" s="51"/>
      <c r="AR219" s="208"/>
      <c r="AS219" s="49"/>
      <c r="AT219" s="49"/>
      <c r="AU219" s="49"/>
      <c r="AV219" s="49"/>
      <c r="AW219" s="49"/>
      <c r="AX219" s="49"/>
      <c r="AY219" s="52"/>
    </row>
    <row r="220" spans="1:53" ht="13.5" customHeight="1">
      <c r="A220" s="56"/>
      <c r="B220" s="101"/>
      <c r="C220" s="49"/>
      <c r="D220" s="49"/>
      <c r="E220" s="49"/>
      <c r="F220" s="49"/>
      <c r="G220" s="49"/>
      <c r="H220" s="49"/>
      <c r="I220" s="51"/>
      <c r="J220" s="350"/>
      <c r="K220" s="351"/>
      <c r="L220" s="50"/>
      <c r="M220" s="256"/>
      <c r="N220" s="257"/>
      <c r="O220" s="257"/>
      <c r="P220" s="258"/>
      <c r="Q220" s="58"/>
      <c r="R220" s="57"/>
      <c r="S220" s="57"/>
      <c r="T220" s="57"/>
      <c r="U220" s="59"/>
      <c r="V220" s="58"/>
      <c r="W220" s="59"/>
      <c r="X220" s="58"/>
      <c r="Y220" s="57"/>
      <c r="Z220" s="57"/>
      <c r="AA220" s="59"/>
      <c r="AB220" s="58"/>
      <c r="AC220" s="57"/>
      <c r="AD220" s="57"/>
      <c r="AE220" s="57"/>
      <c r="AF220" s="57"/>
      <c r="AG220" s="59"/>
      <c r="AH220" s="205"/>
      <c r="AI220" s="49"/>
      <c r="AJ220" s="49"/>
      <c r="AK220" s="49"/>
      <c r="AL220" s="49"/>
      <c r="AM220" s="49"/>
      <c r="AN220" s="49"/>
      <c r="AO220" s="49"/>
      <c r="AP220" s="49"/>
      <c r="AQ220" s="51"/>
      <c r="AR220" s="208"/>
      <c r="AS220" s="49"/>
      <c r="AT220" s="49"/>
      <c r="AU220" s="49"/>
      <c r="AV220" s="49"/>
      <c r="AW220" s="49"/>
      <c r="AX220" s="49"/>
      <c r="AY220" s="52"/>
    </row>
    <row r="221" spans="1:53" ht="13.5" customHeight="1">
      <c r="A221" s="56"/>
      <c r="B221" s="101"/>
      <c r="C221" s="49"/>
      <c r="D221" s="49"/>
      <c r="E221" s="49"/>
      <c r="F221" s="49"/>
      <c r="G221" s="49"/>
      <c r="H221" s="49"/>
      <c r="I221" s="51"/>
      <c r="J221" s="350"/>
      <c r="K221" s="351"/>
      <c r="L221" s="50"/>
      <c r="M221" s="255" t="s">
        <v>217</v>
      </c>
      <c r="N221" s="329"/>
      <c r="O221" s="329"/>
      <c r="P221" s="330"/>
      <c r="Q221" s="58" t="s">
        <v>256</v>
      </c>
      <c r="R221" s="57"/>
      <c r="S221" s="57"/>
      <c r="T221" s="57"/>
      <c r="U221" s="59"/>
      <c r="V221" s="58" t="s">
        <v>88</v>
      </c>
      <c r="W221" s="59"/>
      <c r="X221" s="58" t="s">
        <v>59</v>
      </c>
      <c r="Y221" s="57"/>
      <c r="Z221" s="57"/>
      <c r="AA221" s="59"/>
      <c r="AB221" s="58" t="s">
        <v>59</v>
      </c>
      <c r="AC221" s="57"/>
      <c r="AD221" s="57"/>
      <c r="AE221" s="57"/>
      <c r="AF221" s="57"/>
      <c r="AG221" s="59"/>
      <c r="AH221" s="205"/>
      <c r="AI221" s="49"/>
      <c r="AJ221" s="49"/>
      <c r="AK221" s="49"/>
      <c r="AL221" s="49"/>
      <c r="AM221" s="49"/>
      <c r="AN221" s="49"/>
      <c r="AO221" s="49"/>
      <c r="AP221" s="49"/>
      <c r="AQ221" s="51"/>
      <c r="AR221" s="208"/>
      <c r="AS221" s="49"/>
      <c r="AT221" s="49"/>
      <c r="AU221" s="49"/>
      <c r="AV221" s="49"/>
      <c r="AW221" s="49"/>
      <c r="AX221" s="49"/>
      <c r="AY221" s="52"/>
    </row>
    <row r="222" spans="1:53" ht="13.5" customHeight="1">
      <c r="A222" s="56"/>
      <c r="B222" s="101"/>
      <c r="C222" s="49"/>
      <c r="D222" s="49"/>
      <c r="E222" s="49"/>
      <c r="F222" s="49"/>
      <c r="G222" s="49"/>
      <c r="H222" s="49"/>
      <c r="I222" s="51"/>
      <c r="J222" s="350"/>
      <c r="K222" s="351"/>
      <c r="L222" s="50"/>
      <c r="M222" s="259"/>
      <c r="N222" s="254"/>
      <c r="O222" s="254"/>
      <c r="P222" s="260"/>
      <c r="Q222" s="58" t="s">
        <v>231</v>
      </c>
      <c r="R222" s="57"/>
      <c r="S222" s="57"/>
      <c r="T222" s="57"/>
      <c r="U222" s="59"/>
      <c r="V222" s="58" t="s">
        <v>88</v>
      </c>
      <c r="W222" s="59"/>
      <c r="X222" s="58" t="s">
        <v>59</v>
      </c>
      <c r="Y222" s="57"/>
      <c r="Z222" s="57"/>
      <c r="AA222" s="59"/>
      <c r="AB222" s="58" t="s">
        <v>59</v>
      </c>
      <c r="AC222" s="57"/>
      <c r="AD222" s="57"/>
      <c r="AE222" s="57"/>
      <c r="AF222" s="57"/>
      <c r="AG222" s="59"/>
      <c r="AH222" s="205"/>
      <c r="AI222" s="49"/>
      <c r="AJ222" s="49"/>
      <c r="AK222" s="49"/>
      <c r="AL222" s="49"/>
      <c r="AM222" s="49"/>
      <c r="AN222" s="49"/>
      <c r="AO222" s="49"/>
      <c r="AP222" s="49"/>
      <c r="AQ222" s="51"/>
      <c r="AR222" s="208"/>
      <c r="AS222" s="49"/>
      <c r="AT222" s="49"/>
      <c r="AU222" s="49"/>
      <c r="AV222" s="49"/>
      <c r="AW222" s="49"/>
      <c r="AX222" s="49"/>
      <c r="AY222" s="52"/>
    </row>
    <row r="223" spans="1:53" ht="13.5" customHeight="1">
      <c r="A223" s="56"/>
      <c r="B223" s="101"/>
      <c r="C223" s="49"/>
      <c r="D223" s="49"/>
      <c r="E223" s="49"/>
      <c r="F223" s="49"/>
      <c r="G223" s="49"/>
      <c r="H223" s="49"/>
      <c r="I223" s="51"/>
      <c r="J223" s="350"/>
      <c r="K223" s="351"/>
      <c r="L223" s="50"/>
      <c r="M223" s="259"/>
      <c r="N223" s="254"/>
      <c r="O223" s="254"/>
      <c r="P223" s="260"/>
      <c r="Q223" s="152" t="s">
        <v>232</v>
      </c>
      <c r="R223" s="284"/>
      <c r="S223" s="284"/>
      <c r="T223" s="284"/>
      <c r="U223" s="285"/>
      <c r="V223" s="152" t="s">
        <v>59</v>
      </c>
      <c r="W223" s="285"/>
      <c r="X223" s="152" t="s">
        <v>88</v>
      </c>
      <c r="Y223" s="284"/>
      <c r="Z223" s="284"/>
      <c r="AA223" s="285"/>
      <c r="AB223" s="152" t="s">
        <v>59</v>
      </c>
      <c r="AC223" s="284"/>
      <c r="AD223" s="284"/>
      <c r="AE223" s="284"/>
      <c r="AF223" s="284"/>
      <c r="AG223" s="285"/>
      <c r="AH223" s="205"/>
      <c r="AI223" s="49"/>
      <c r="AJ223" s="49"/>
      <c r="AK223" s="49"/>
      <c r="AL223" s="49"/>
      <c r="AM223" s="49"/>
      <c r="AN223" s="49"/>
      <c r="AO223" s="49"/>
      <c r="AP223" s="49"/>
      <c r="AQ223" s="51"/>
      <c r="AR223" s="208"/>
      <c r="AS223" s="49"/>
      <c r="AT223" s="49"/>
      <c r="AU223" s="49"/>
      <c r="AV223" s="49"/>
      <c r="AW223" s="49"/>
      <c r="AX223" s="49"/>
      <c r="AY223" s="52"/>
    </row>
    <row r="224" spans="1:53" ht="13.5" customHeight="1">
      <c r="A224" s="56"/>
      <c r="B224" s="101"/>
      <c r="C224" s="49"/>
      <c r="D224" s="49"/>
      <c r="E224" s="49"/>
      <c r="F224" s="49"/>
      <c r="G224" s="49"/>
      <c r="H224" s="49"/>
      <c r="I224" s="51"/>
      <c r="J224" s="350"/>
      <c r="K224" s="351"/>
      <c r="L224" s="50"/>
      <c r="M224" s="259"/>
      <c r="N224" s="254"/>
      <c r="O224" s="254"/>
      <c r="P224" s="260"/>
      <c r="Q224" s="58"/>
      <c r="R224" s="57"/>
      <c r="S224" s="57"/>
      <c r="T224" s="57"/>
      <c r="U224" s="59"/>
      <c r="V224" s="58"/>
      <c r="W224" s="59"/>
      <c r="X224" s="58"/>
      <c r="Y224" s="57"/>
      <c r="Z224" s="57"/>
      <c r="AA224" s="59"/>
      <c r="AB224" s="58"/>
      <c r="AC224" s="57"/>
      <c r="AD224" s="57"/>
      <c r="AE224" s="57"/>
      <c r="AF224" s="57"/>
      <c r="AG224" s="59"/>
      <c r="AH224" s="205"/>
      <c r="AI224" s="49"/>
      <c r="AJ224" s="49"/>
      <c r="AK224" s="49"/>
      <c r="AL224" s="49"/>
      <c r="AM224" s="49"/>
      <c r="AN224" s="49"/>
      <c r="AO224" s="49"/>
      <c r="AP224" s="49"/>
      <c r="AQ224" s="51"/>
      <c r="AR224" s="208"/>
      <c r="AS224" s="49"/>
      <c r="AT224" s="49"/>
      <c r="AU224" s="49"/>
      <c r="AV224" s="49"/>
      <c r="AW224" s="49"/>
      <c r="AX224" s="49"/>
      <c r="AY224" s="52"/>
    </row>
    <row r="225" spans="1:51" ht="13.5" customHeight="1">
      <c r="A225" s="56"/>
      <c r="B225" s="101"/>
      <c r="C225" s="49"/>
      <c r="D225" s="49"/>
      <c r="E225" s="49"/>
      <c r="F225" s="49"/>
      <c r="G225" s="49"/>
      <c r="H225" s="49"/>
      <c r="I225" s="51"/>
      <c r="J225" s="350"/>
      <c r="K225" s="351"/>
      <c r="L225" s="50"/>
      <c r="M225" s="259"/>
      <c r="N225" s="254"/>
      <c r="O225" s="254"/>
      <c r="P225" s="260"/>
      <c r="Q225" s="152" t="s">
        <v>406</v>
      </c>
      <c r="R225" s="284"/>
      <c r="S225" s="284"/>
      <c r="T225" s="284"/>
      <c r="U225" s="285"/>
      <c r="V225" s="152" t="s">
        <v>59</v>
      </c>
      <c r="W225" s="285"/>
      <c r="X225" s="152" t="s">
        <v>59</v>
      </c>
      <c r="Y225" s="284"/>
      <c r="Z225" s="284"/>
      <c r="AA225" s="285"/>
      <c r="AB225" s="152" t="s">
        <v>238</v>
      </c>
      <c r="AC225" s="284"/>
      <c r="AD225" s="284"/>
      <c r="AE225" s="284"/>
      <c r="AF225" s="284"/>
      <c r="AG225" s="285"/>
      <c r="AH225" s="205"/>
      <c r="AI225" s="49"/>
      <c r="AJ225" s="49"/>
      <c r="AK225" s="49"/>
      <c r="AL225" s="49"/>
      <c r="AM225" s="49"/>
      <c r="AN225" s="49"/>
      <c r="AO225" s="49"/>
      <c r="AP225" s="49"/>
      <c r="AQ225" s="51"/>
      <c r="AR225" s="208"/>
      <c r="AS225" s="49"/>
      <c r="AT225" s="49"/>
      <c r="AU225" s="49"/>
      <c r="AV225" s="49"/>
      <c r="AW225" s="49"/>
      <c r="AX225" s="49"/>
      <c r="AY225" s="52"/>
    </row>
    <row r="226" spans="1:51" ht="13.5" customHeight="1">
      <c r="A226" s="56"/>
      <c r="B226" s="101"/>
      <c r="C226" s="49"/>
      <c r="D226" s="49"/>
      <c r="E226" s="49"/>
      <c r="F226" s="49"/>
      <c r="G226" s="49"/>
      <c r="H226" s="49"/>
      <c r="I226" s="51"/>
      <c r="J226" s="350"/>
      <c r="K226" s="351"/>
      <c r="L226" s="50"/>
      <c r="M226" s="256"/>
      <c r="N226" s="257"/>
      <c r="O226" s="257"/>
      <c r="P226" s="258"/>
      <c r="Q226" s="58"/>
      <c r="R226" s="57"/>
      <c r="S226" s="57"/>
      <c r="T226" s="57"/>
      <c r="U226" s="59"/>
      <c r="V226" s="58"/>
      <c r="W226" s="59"/>
      <c r="X226" s="58"/>
      <c r="Y226" s="57"/>
      <c r="Z226" s="57"/>
      <c r="AA226" s="59"/>
      <c r="AB226" s="58" t="s">
        <v>172</v>
      </c>
      <c r="AC226" s="57"/>
      <c r="AD226" s="57" t="s">
        <v>173</v>
      </c>
      <c r="AE226" s="57"/>
      <c r="AF226" s="57"/>
      <c r="AG226" s="59"/>
      <c r="AH226" s="205"/>
      <c r="AI226" s="49"/>
      <c r="AJ226" s="49"/>
      <c r="AK226" s="49"/>
      <c r="AL226" s="49"/>
      <c r="AM226" s="49"/>
      <c r="AN226" s="49"/>
      <c r="AO226" s="49"/>
      <c r="AP226" s="49"/>
      <c r="AQ226" s="51"/>
      <c r="AR226" s="208"/>
      <c r="AS226" s="49"/>
      <c r="AT226" s="49"/>
      <c r="AU226" s="49"/>
      <c r="AV226" s="49"/>
      <c r="AW226" s="49"/>
      <c r="AX226" s="49"/>
      <c r="AY226" s="52"/>
    </row>
    <row r="227" spans="1:51" ht="13.5" customHeight="1">
      <c r="A227" s="56"/>
      <c r="B227" s="101"/>
      <c r="C227" s="49"/>
      <c r="D227" s="49"/>
      <c r="E227" s="49"/>
      <c r="F227" s="49"/>
      <c r="G227" s="49"/>
      <c r="H227" s="49"/>
      <c r="I227" s="51"/>
      <c r="J227" s="350"/>
      <c r="K227" s="351"/>
      <c r="L227" s="50"/>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51"/>
      <c r="AR227" s="208"/>
      <c r="AS227" s="49"/>
      <c r="AT227" s="49"/>
      <c r="AU227" s="49"/>
      <c r="AV227" s="49"/>
      <c r="AW227" s="49"/>
      <c r="AX227" s="49"/>
      <c r="AY227" s="52"/>
    </row>
    <row r="228" spans="1:51" ht="13.5" customHeight="1">
      <c r="A228" s="56"/>
      <c r="B228" s="101"/>
      <c r="C228" s="49"/>
      <c r="D228" s="49"/>
      <c r="E228" s="49"/>
      <c r="F228" s="49"/>
      <c r="G228" s="49"/>
      <c r="H228" s="49"/>
      <c r="I228" s="51"/>
      <c r="J228" s="350"/>
      <c r="K228" s="351"/>
      <c r="L228" s="50"/>
      <c r="M228" s="49" t="s">
        <v>172</v>
      </c>
      <c r="N228" s="49"/>
      <c r="O228" s="49" t="s">
        <v>240</v>
      </c>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51"/>
      <c r="AR228" s="208"/>
      <c r="AS228" s="49"/>
      <c r="AT228" s="49"/>
      <c r="AU228" s="49"/>
      <c r="AV228" s="49"/>
      <c r="AW228" s="49"/>
      <c r="AX228" s="49"/>
      <c r="AY228" s="52"/>
    </row>
    <row r="229" spans="1:51" ht="13.5" customHeight="1">
      <c r="A229" s="56"/>
      <c r="B229" s="101"/>
      <c r="C229" s="49"/>
      <c r="D229" s="49"/>
      <c r="E229" s="49"/>
      <c r="F229" s="49"/>
      <c r="G229" s="49"/>
      <c r="H229" s="49"/>
      <c r="I229" s="51"/>
      <c r="J229" s="350"/>
      <c r="K229" s="351"/>
      <c r="L229" s="50"/>
      <c r="M229" s="49"/>
      <c r="N229" s="49"/>
      <c r="O229" s="49" t="s">
        <v>177</v>
      </c>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51"/>
      <c r="AR229" s="208"/>
      <c r="AS229" s="49"/>
      <c r="AT229" s="49"/>
      <c r="AU229" s="49"/>
      <c r="AV229" s="49"/>
      <c r="AW229" s="49"/>
      <c r="AX229" s="49"/>
      <c r="AY229" s="52"/>
    </row>
    <row r="230" spans="1:51" ht="13.5" customHeight="1">
      <c r="A230" s="56"/>
      <c r="B230" s="101"/>
      <c r="C230" s="49"/>
      <c r="D230" s="49"/>
      <c r="E230" s="49"/>
      <c r="F230" s="49"/>
      <c r="G230" s="49"/>
      <c r="H230" s="49"/>
      <c r="I230" s="51"/>
      <c r="J230" s="350"/>
      <c r="K230" s="351"/>
      <c r="L230" s="50"/>
      <c r="M230" s="49"/>
      <c r="N230" s="49"/>
      <c r="O230" s="49"/>
      <c r="P230" s="49" t="s">
        <v>681</v>
      </c>
      <c r="Q230" s="49"/>
      <c r="R230" s="49"/>
      <c r="S230" s="49"/>
      <c r="T230" s="49"/>
      <c r="U230" s="49"/>
      <c r="V230" s="49"/>
      <c r="W230" s="49"/>
      <c r="X230" s="49"/>
      <c r="Y230" s="49"/>
      <c r="Z230" s="49" t="s">
        <v>178</v>
      </c>
      <c r="AA230" s="49"/>
      <c r="AB230" s="49"/>
      <c r="AC230" s="49"/>
      <c r="AD230" s="49"/>
      <c r="AE230" s="49"/>
      <c r="AF230" s="49"/>
      <c r="AG230" s="49"/>
      <c r="AH230" s="49"/>
      <c r="AI230" s="49"/>
      <c r="AJ230" s="49"/>
      <c r="AK230" s="49"/>
      <c r="AL230" s="49"/>
      <c r="AM230" s="49"/>
      <c r="AN230" s="49"/>
      <c r="AO230" s="49"/>
      <c r="AP230" s="49"/>
      <c r="AQ230" s="51"/>
      <c r="AR230" s="208"/>
      <c r="AS230" s="49"/>
      <c r="AT230" s="49"/>
      <c r="AU230" s="49"/>
      <c r="AV230" s="49"/>
      <c r="AW230" s="49"/>
      <c r="AX230" s="49"/>
      <c r="AY230" s="52"/>
    </row>
    <row r="231" spans="1:51" ht="13.5" customHeight="1">
      <c r="A231" s="56"/>
      <c r="B231" s="50"/>
      <c r="C231" s="49"/>
      <c r="D231" s="49"/>
      <c r="E231" s="49"/>
      <c r="F231" s="49"/>
      <c r="G231" s="49"/>
      <c r="H231" s="49"/>
      <c r="I231" s="51"/>
      <c r="J231" s="350"/>
      <c r="K231" s="351"/>
      <c r="L231" s="50"/>
      <c r="M231" s="49"/>
      <c r="N231" s="49"/>
      <c r="O231" s="49" t="s">
        <v>181</v>
      </c>
      <c r="P231" s="49"/>
      <c r="Q231" s="49"/>
      <c r="R231" s="49"/>
      <c r="S231" s="49"/>
      <c r="T231" s="49"/>
      <c r="U231" s="49"/>
      <c r="V231" s="49"/>
      <c r="W231" s="49"/>
      <c r="X231" s="49"/>
      <c r="Y231" s="49"/>
      <c r="Z231" s="49" t="s">
        <v>182</v>
      </c>
      <c r="AA231" s="49"/>
      <c r="AB231" s="49"/>
      <c r="AC231" s="49"/>
      <c r="AD231" s="49"/>
      <c r="AE231" s="49"/>
      <c r="AF231" s="49"/>
      <c r="AG231" s="49"/>
      <c r="AH231" s="49"/>
      <c r="AI231" s="49"/>
      <c r="AJ231" s="49"/>
      <c r="AK231" s="49"/>
      <c r="AL231" s="49"/>
      <c r="AM231" s="49"/>
      <c r="AN231" s="49"/>
      <c r="AO231" s="49"/>
      <c r="AP231" s="49"/>
      <c r="AQ231" s="51"/>
      <c r="AR231" s="208"/>
      <c r="AS231" s="49"/>
      <c r="AT231" s="49"/>
      <c r="AU231" s="49"/>
      <c r="AV231" s="49"/>
      <c r="AW231" s="49"/>
      <c r="AX231" s="49"/>
      <c r="AY231" s="52"/>
    </row>
    <row r="232" spans="1:51" ht="13.5" customHeight="1">
      <c r="A232" s="56"/>
      <c r="B232" s="50"/>
      <c r="C232" s="49"/>
      <c r="D232" s="49"/>
      <c r="E232" s="49"/>
      <c r="F232" s="49"/>
      <c r="G232" s="49"/>
      <c r="H232" s="49"/>
      <c r="I232" s="51"/>
      <c r="J232" s="350"/>
      <c r="K232" s="351"/>
      <c r="L232" s="50"/>
      <c r="M232" s="49" t="s">
        <v>173</v>
      </c>
      <c r="N232" s="49"/>
      <c r="O232" s="49" t="s">
        <v>441</v>
      </c>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51"/>
      <c r="AR232" s="208"/>
      <c r="AS232" s="49"/>
      <c r="AT232" s="49"/>
      <c r="AU232" s="49"/>
      <c r="AV232" s="49"/>
      <c r="AW232" s="49"/>
      <c r="AX232" s="49"/>
      <c r="AY232" s="52"/>
    </row>
    <row r="233" spans="1:51" ht="13.5" customHeight="1">
      <c r="A233" s="61"/>
      <c r="B233" s="58"/>
      <c r="C233" s="57"/>
      <c r="D233" s="57"/>
      <c r="E233" s="57"/>
      <c r="F233" s="57"/>
      <c r="G233" s="57"/>
      <c r="H233" s="57"/>
      <c r="I233" s="59"/>
      <c r="J233" s="352"/>
      <c r="K233" s="353"/>
      <c r="L233" s="58"/>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9"/>
      <c r="AR233" s="192"/>
      <c r="AS233" s="57"/>
      <c r="AT233" s="57"/>
      <c r="AU233" s="57"/>
      <c r="AV233" s="57"/>
      <c r="AW233" s="57"/>
      <c r="AX233" s="57"/>
      <c r="AY233" s="60"/>
    </row>
    <row r="234" spans="1:51" ht="13.5" customHeight="1">
      <c r="A234" s="45">
        <v>4</v>
      </c>
      <c r="B234" s="64" t="s">
        <v>74</v>
      </c>
      <c r="C234" s="63"/>
      <c r="D234" s="63"/>
      <c r="E234" s="63"/>
      <c r="F234" s="63"/>
      <c r="G234" s="63"/>
      <c r="H234" s="63"/>
      <c r="I234" s="63"/>
      <c r="J234" s="98"/>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214"/>
      <c r="AS234" s="63"/>
      <c r="AT234" s="63"/>
      <c r="AU234" s="63"/>
      <c r="AV234" s="63"/>
      <c r="AW234" s="63"/>
      <c r="AX234" s="63"/>
      <c r="AY234" s="184"/>
    </row>
    <row r="235" spans="1:51" ht="13.5" customHeight="1">
      <c r="A235" s="56"/>
      <c r="B235" s="50"/>
      <c r="C235" s="49"/>
      <c r="D235" s="49"/>
      <c r="E235" s="49"/>
      <c r="F235" s="49"/>
      <c r="G235" s="49"/>
      <c r="H235" s="49"/>
      <c r="I235" s="51"/>
      <c r="J235" s="656"/>
      <c r="K235" s="657"/>
      <c r="L235" s="50" t="s">
        <v>80</v>
      </c>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51"/>
      <c r="AR235" s="208"/>
      <c r="AS235" s="49"/>
      <c r="AT235" s="49"/>
      <c r="AU235" s="49"/>
      <c r="AV235" s="49"/>
      <c r="AW235" s="49"/>
      <c r="AX235" s="49"/>
      <c r="AY235" s="52"/>
    </row>
    <row r="236" spans="1:51" ht="13.5" customHeight="1">
      <c r="A236" s="61"/>
      <c r="B236" s="58"/>
      <c r="C236" s="57"/>
      <c r="D236" s="57"/>
      <c r="E236" s="57"/>
      <c r="F236" s="57"/>
      <c r="G236" s="57"/>
      <c r="H236" s="57"/>
      <c r="I236" s="59"/>
      <c r="J236" s="658"/>
      <c r="K236" s="659"/>
      <c r="L236" s="58"/>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9"/>
      <c r="AR236" s="192"/>
      <c r="AS236" s="57"/>
      <c r="AT236" s="57"/>
      <c r="AU236" s="57"/>
      <c r="AV236" s="57"/>
      <c r="AW236" s="57"/>
      <c r="AX236" s="57"/>
      <c r="AY236" s="60"/>
    </row>
    <row r="237" spans="1:51" ht="13.5" customHeight="1">
      <c r="A237" s="43">
        <v>5</v>
      </c>
      <c r="B237" s="53" t="s">
        <v>75</v>
      </c>
      <c r="C237" s="54"/>
      <c r="D237" s="54"/>
      <c r="E237" s="54"/>
      <c r="F237" s="54"/>
      <c r="G237" s="54"/>
      <c r="H237" s="54"/>
      <c r="I237" s="54"/>
      <c r="J237" s="41"/>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212"/>
      <c r="AS237" s="54"/>
      <c r="AT237" s="54"/>
      <c r="AU237" s="54"/>
      <c r="AV237" s="54"/>
      <c r="AW237" s="54"/>
      <c r="AX237" s="54"/>
      <c r="AY237" s="55"/>
    </row>
    <row r="238" spans="1:51" ht="13.5" customHeight="1">
      <c r="A238" s="56"/>
      <c r="B238" s="50"/>
      <c r="C238" s="49"/>
      <c r="D238" s="49"/>
      <c r="E238" s="49"/>
      <c r="F238" s="49"/>
      <c r="G238" s="49"/>
      <c r="H238" s="49"/>
      <c r="I238" s="51"/>
      <c r="J238" s="656"/>
      <c r="K238" s="657"/>
      <c r="L238" s="50" t="s">
        <v>81</v>
      </c>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51"/>
      <c r="AR238" s="208"/>
      <c r="AS238" s="49"/>
      <c r="AT238" s="49"/>
      <c r="AU238" s="49"/>
      <c r="AV238" s="49"/>
      <c r="AW238" s="49"/>
      <c r="AX238" s="49"/>
      <c r="AY238" s="52"/>
    </row>
    <row r="239" spans="1:51" ht="13.5" customHeight="1" thickBot="1">
      <c r="A239" s="321"/>
      <c r="B239" s="322"/>
      <c r="C239" s="323"/>
      <c r="D239" s="323"/>
      <c r="E239" s="323"/>
      <c r="F239" s="323"/>
      <c r="G239" s="323"/>
      <c r="H239" s="323"/>
      <c r="I239" s="324"/>
      <c r="J239" s="713"/>
      <c r="K239" s="714"/>
      <c r="L239" s="322"/>
      <c r="M239" s="323"/>
      <c r="N239" s="323"/>
      <c r="O239" s="323"/>
      <c r="P239" s="323"/>
      <c r="Q239" s="323"/>
      <c r="R239" s="323"/>
      <c r="S239" s="323"/>
      <c r="T239" s="323"/>
      <c r="U239" s="323"/>
      <c r="V239" s="323"/>
      <c r="W239" s="323"/>
      <c r="X239" s="323"/>
      <c r="Y239" s="323"/>
      <c r="Z239" s="323"/>
      <c r="AA239" s="323"/>
      <c r="AB239" s="323"/>
      <c r="AC239" s="323"/>
      <c r="AD239" s="323"/>
      <c r="AE239" s="323"/>
      <c r="AF239" s="323"/>
      <c r="AG239" s="323"/>
      <c r="AH239" s="323"/>
      <c r="AI239" s="323"/>
      <c r="AJ239" s="323"/>
      <c r="AK239" s="323"/>
      <c r="AL239" s="323"/>
      <c r="AM239" s="323"/>
      <c r="AN239" s="323"/>
      <c r="AO239" s="323"/>
      <c r="AP239" s="323"/>
      <c r="AQ239" s="324"/>
      <c r="AR239" s="327"/>
      <c r="AS239" s="323"/>
      <c r="AT239" s="323"/>
      <c r="AU239" s="323"/>
      <c r="AV239" s="323"/>
      <c r="AW239" s="323"/>
      <c r="AX239" s="323"/>
      <c r="AY239" s="328"/>
    </row>
    <row r="240" spans="1:51" ht="13.5" customHeight="1">
      <c r="A240" s="45">
        <v>6</v>
      </c>
      <c r="B240" s="64" t="s">
        <v>262</v>
      </c>
      <c r="C240" s="63"/>
      <c r="D240" s="63"/>
      <c r="E240" s="63"/>
      <c r="F240" s="63"/>
      <c r="G240" s="63"/>
      <c r="H240" s="63"/>
      <c r="I240" s="63"/>
      <c r="J240" s="98"/>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214"/>
      <c r="AS240" s="63"/>
      <c r="AT240" s="63"/>
      <c r="AU240" s="63"/>
      <c r="AV240" s="63"/>
      <c r="AW240" s="63"/>
      <c r="AX240" s="63"/>
      <c r="AY240" s="186"/>
    </row>
    <row r="241" spans="1:51" ht="13.5" customHeight="1">
      <c r="A241" s="56"/>
      <c r="B241" s="50"/>
      <c r="C241" s="49"/>
      <c r="D241" s="49"/>
      <c r="E241" s="49"/>
      <c r="F241" s="49"/>
      <c r="G241" s="49"/>
      <c r="H241" s="49"/>
      <c r="I241" s="51"/>
      <c r="J241" s="728" t="s">
        <v>825</v>
      </c>
      <c r="K241" s="729"/>
      <c r="L241" s="49" t="s">
        <v>815</v>
      </c>
      <c r="M241" s="102"/>
      <c r="N241" s="103"/>
      <c r="O241" s="102"/>
      <c r="P241" s="102"/>
      <c r="Q241" s="102"/>
      <c r="R241" s="102"/>
      <c r="S241" s="102"/>
      <c r="T241" s="102"/>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51"/>
      <c r="AR241" s="208" t="s">
        <v>823</v>
      </c>
      <c r="AS241" s="49"/>
      <c r="AT241" s="49"/>
      <c r="AU241" s="49"/>
      <c r="AV241" s="49"/>
      <c r="AW241" s="49"/>
      <c r="AX241" s="49"/>
      <c r="AY241" s="52"/>
    </row>
    <row r="242" spans="1:51" ht="13.5" customHeight="1">
      <c r="A242" s="56"/>
      <c r="B242" s="50"/>
      <c r="C242" s="49"/>
      <c r="D242" s="49"/>
      <c r="E242" s="49"/>
      <c r="F242" s="49"/>
      <c r="G242" s="49"/>
      <c r="H242" s="49"/>
      <c r="I242" s="51"/>
      <c r="J242" s="352"/>
      <c r="K242" s="353"/>
      <c r="L242" s="104"/>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9"/>
      <c r="AR242" s="192"/>
      <c r="AS242" s="57"/>
      <c r="AT242" s="57"/>
      <c r="AU242" s="57"/>
      <c r="AV242" s="57"/>
      <c r="AW242" s="57"/>
      <c r="AX242" s="57"/>
      <c r="AY242" s="60"/>
    </row>
    <row r="243" spans="1:51" ht="13.5" customHeight="1">
      <c r="A243" s="56"/>
      <c r="B243" s="50"/>
      <c r="C243" s="49"/>
      <c r="D243" s="49"/>
      <c r="E243" s="49"/>
      <c r="F243" s="49"/>
      <c r="G243" s="49"/>
      <c r="H243" s="49"/>
      <c r="I243" s="51"/>
      <c r="J243" s="728" t="s">
        <v>474</v>
      </c>
      <c r="K243" s="729"/>
      <c r="L243" s="101" t="s">
        <v>190</v>
      </c>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51"/>
      <c r="AR243" s="208"/>
      <c r="AS243" s="49"/>
      <c r="AT243" s="49"/>
      <c r="AU243" s="49"/>
      <c r="AV243" s="49"/>
      <c r="AW243" s="49"/>
      <c r="AX243" s="49"/>
      <c r="AY243" s="52"/>
    </row>
    <row r="244" spans="1:51" ht="13.5" customHeight="1">
      <c r="A244" s="56"/>
      <c r="B244" s="50"/>
      <c r="C244" s="49"/>
      <c r="D244" s="49"/>
      <c r="E244" s="49"/>
      <c r="F244" s="49"/>
      <c r="G244" s="49"/>
      <c r="H244" s="49"/>
      <c r="I244" s="51"/>
      <c r="J244" s="350"/>
      <c r="K244" s="351"/>
      <c r="L244" s="101"/>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51"/>
      <c r="AR244" s="208"/>
      <c r="AS244" s="49"/>
      <c r="AT244" s="49"/>
      <c r="AU244" s="49"/>
      <c r="AV244" s="49"/>
      <c r="AW244" s="49"/>
      <c r="AX244" s="49"/>
      <c r="AY244" s="52"/>
    </row>
    <row r="245" spans="1:51" ht="13.5" customHeight="1">
      <c r="A245" s="56"/>
      <c r="B245" s="50"/>
      <c r="C245" s="49"/>
      <c r="D245" s="49"/>
      <c r="E245" s="49"/>
      <c r="F245" s="49"/>
      <c r="G245" s="49"/>
      <c r="H245" s="49"/>
      <c r="I245" s="51"/>
      <c r="J245" s="350"/>
      <c r="K245" s="351"/>
      <c r="L245" s="520"/>
      <c r="M245" s="505" t="s">
        <v>109</v>
      </c>
      <c r="N245" s="505" t="s">
        <v>589</v>
      </c>
      <c r="O245" s="505"/>
      <c r="P245" s="505"/>
      <c r="Q245" s="505"/>
      <c r="R245" s="505"/>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49"/>
      <c r="AQ245" s="51"/>
      <c r="AR245" s="208" t="s">
        <v>189</v>
      </c>
      <c r="AS245" s="49"/>
      <c r="AT245" s="49"/>
      <c r="AU245" s="49"/>
      <c r="AV245" s="49"/>
      <c r="AW245" s="49"/>
      <c r="AX245" s="49"/>
      <c r="AY245" s="52"/>
    </row>
    <row r="246" spans="1:51" ht="13.5" customHeight="1">
      <c r="A246" s="56"/>
      <c r="B246" s="50"/>
      <c r="C246" s="49"/>
      <c r="D246" s="49"/>
      <c r="E246" s="49"/>
      <c r="F246" s="49"/>
      <c r="G246" s="49"/>
      <c r="H246" s="49"/>
      <c r="I246" s="51"/>
      <c r="J246" s="350"/>
      <c r="K246" s="351"/>
      <c r="L246" s="520"/>
      <c r="M246" s="505"/>
      <c r="N246" s="505" t="s">
        <v>618</v>
      </c>
      <c r="O246" s="505"/>
      <c r="P246" s="505"/>
      <c r="Q246" s="505"/>
      <c r="R246" s="505"/>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49"/>
      <c r="AQ246" s="51"/>
      <c r="AR246" s="208" t="s">
        <v>183</v>
      </c>
      <c r="AS246" s="49"/>
      <c r="AT246" s="49"/>
      <c r="AU246" s="49"/>
      <c r="AV246" s="49"/>
      <c r="AW246" s="49"/>
      <c r="AX246" s="49"/>
      <c r="AY246" s="52"/>
    </row>
    <row r="247" spans="1:51" ht="13.5" customHeight="1">
      <c r="A247" s="56"/>
      <c r="B247" s="50"/>
      <c r="C247" s="49"/>
      <c r="D247" s="49"/>
      <c r="E247" s="49"/>
      <c r="F247" s="49"/>
      <c r="G247" s="49"/>
      <c r="H247" s="49"/>
      <c r="I247" s="51"/>
      <c r="J247" s="350"/>
      <c r="K247" s="351"/>
      <c r="L247" s="101"/>
      <c r="M247" s="102"/>
      <c r="N247" s="102"/>
      <c r="O247" s="102"/>
      <c r="P247" s="102"/>
      <c r="Q247" s="102"/>
      <c r="R247" s="102"/>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51"/>
      <c r="AR247" s="208"/>
      <c r="AS247" s="49"/>
      <c r="AT247" s="49"/>
      <c r="AU247" s="49"/>
      <c r="AV247" s="49"/>
      <c r="AW247" s="49"/>
      <c r="AX247" s="49"/>
      <c r="AY247" s="52"/>
    </row>
    <row r="248" spans="1:51" ht="13.5" customHeight="1">
      <c r="A248" s="56"/>
      <c r="B248" s="50"/>
      <c r="C248" s="49"/>
      <c r="D248" s="49"/>
      <c r="E248" s="49"/>
      <c r="F248" s="49"/>
      <c r="G248" s="49"/>
      <c r="H248" s="49"/>
      <c r="I248" s="51"/>
      <c r="J248" s="350"/>
      <c r="K248" s="351"/>
      <c r="L248" s="101"/>
      <c r="M248" s="102" t="s">
        <v>196</v>
      </c>
      <c r="N248" s="102" t="s">
        <v>430</v>
      </c>
      <c r="O248" s="102"/>
      <c r="P248" s="102"/>
      <c r="Q248" s="102"/>
      <c r="R248" s="102"/>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51"/>
      <c r="AR248" s="208" t="s">
        <v>796</v>
      </c>
      <c r="AS248" s="49"/>
      <c r="AT248" s="49"/>
      <c r="AU248" s="49"/>
      <c r="AV248" s="49"/>
      <c r="AW248" s="49"/>
      <c r="AX248" s="49"/>
      <c r="AY248" s="52"/>
    </row>
    <row r="249" spans="1:51" ht="13.5" customHeight="1">
      <c r="A249" s="56"/>
      <c r="B249" s="50"/>
      <c r="C249" s="49"/>
      <c r="D249" s="49"/>
      <c r="E249" s="49"/>
      <c r="F249" s="49"/>
      <c r="G249" s="49"/>
      <c r="H249" s="49"/>
      <c r="I249" s="51"/>
      <c r="J249" s="350"/>
      <c r="K249" s="351"/>
      <c r="L249" s="101"/>
      <c r="M249" s="102"/>
      <c r="N249" s="102" t="s">
        <v>429</v>
      </c>
      <c r="O249" s="102"/>
      <c r="P249" s="102"/>
      <c r="Q249" s="102"/>
      <c r="R249" s="102"/>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51"/>
      <c r="AR249" s="208"/>
      <c r="AS249" s="49"/>
      <c r="AT249" s="49"/>
      <c r="AU249" s="49"/>
      <c r="AV249" s="49"/>
      <c r="AW249" s="49"/>
      <c r="AX249" s="49"/>
      <c r="AY249" s="52"/>
    </row>
    <row r="250" spans="1:51" ht="13.5" customHeight="1">
      <c r="A250" s="56"/>
      <c r="B250" s="50"/>
      <c r="C250" s="49"/>
      <c r="D250" s="49"/>
      <c r="E250" s="49"/>
      <c r="F250" s="49"/>
      <c r="G250" s="49"/>
      <c r="H250" s="49"/>
      <c r="I250" s="51"/>
      <c r="J250" s="350"/>
      <c r="K250" s="351"/>
      <c r="L250" s="101"/>
      <c r="M250" s="102"/>
      <c r="N250" s="102" t="s">
        <v>587</v>
      </c>
      <c r="O250" s="102"/>
      <c r="P250" s="102"/>
      <c r="Q250" s="102"/>
      <c r="R250" s="102"/>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51"/>
      <c r="AR250" s="208"/>
      <c r="AS250" s="49"/>
      <c r="AT250" s="49"/>
      <c r="AU250" s="49"/>
      <c r="AV250" s="49"/>
      <c r="AW250" s="49"/>
      <c r="AX250" s="49"/>
      <c r="AY250" s="52"/>
    </row>
    <row r="251" spans="1:51" ht="13.5" customHeight="1">
      <c r="A251" s="56"/>
      <c r="B251" s="50"/>
      <c r="C251" s="49"/>
      <c r="D251" s="49"/>
      <c r="E251" s="49"/>
      <c r="F251" s="49"/>
      <c r="G251" s="49"/>
      <c r="H251" s="49"/>
      <c r="I251" s="51"/>
      <c r="J251" s="350"/>
      <c r="K251" s="351"/>
      <c r="L251" s="101"/>
      <c r="M251" s="102"/>
      <c r="N251" s="102"/>
      <c r="O251" s="102"/>
      <c r="P251" s="102"/>
      <c r="Q251" s="102"/>
      <c r="R251" s="102"/>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51"/>
      <c r="AR251" s="208"/>
      <c r="AS251" s="49"/>
      <c r="AT251" s="49"/>
      <c r="AU251" s="49"/>
      <c r="AV251" s="49"/>
      <c r="AW251" s="49"/>
      <c r="AX251" s="49"/>
      <c r="AY251" s="52"/>
    </row>
    <row r="252" spans="1:51" ht="13.5" customHeight="1">
      <c r="A252" s="56"/>
      <c r="B252" s="50"/>
      <c r="C252" s="49"/>
      <c r="D252" s="49"/>
      <c r="E252" s="49"/>
      <c r="F252" s="49"/>
      <c r="G252" s="49"/>
      <c r="H252" s="49"/>
      <c r="I252" s="51"/>
      <c r="J252" s="350"/>
      <c r="K252" s="351"/>
      <c r="L252" s="101"/>
      <c r="M252" s="102" t="s">
        <v>220</v>
      </c>
      <c r="N252" s="102" t="s">
        <v>418</v>
      </c>
      <c r="O252" s="102"/>
      <c r="P252" s="102"/>
      <c r="Q252" s="102"/>
      <c r="R252" s="102"/>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51"/>
      <c r="AR252" s="208" t="s">
        <v>781</v>
      </c>
      <c r="AS252" s="49"/>
      <c r="AT252" s="49"/>
      <c r="AU252" s="49"/>
      <c r="AV252" s="49"/>
      <c r="AW252" s="49"/>
      <c r="AX252" s="49"/>
      <c r="AY252" s="52"/>
    </row>
    <row r="253" spans="1:51" ht="13.5" customHeight="1">
      <c r="A253" s="56"/>
      <c r="B253" s="50"/>
      <c r="C253" s="49"/>
      <c r="D253" s="49"/>
      <c r="E253" s="49"/>
      <c r="F253" s="49"/>
      <c r="G253" s="49"/>
      <c r="H253" s="49"/>
      <c r="I253" s="51"/>
      <c r="J253" s="350"/>
      <c r="K253" s="351"/>
      <c r="L253" s="101"/>
      <c r="M253" s="102"/>
      <c r="N253" s="102" t="s">
        <v>419</v>
      </c>
      <c r="O253" s="102"/>
      <c r="P253" s="102"/>
      <c r="Q253" s="102"/>
      <c r="R253" s="102"/>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51"/>
      <c r="AR253" s="208"/>
      <c r="AS253" s="49"/>
      <c r="AT253" s="49"/>
      <c r="AU253" s="49"/>
      <c r="AV253" s="49"/>
      <c r="AW253" s="49"/>
      <c r="AX253" s="49"/>
      <c r="AY253" s="52"/>
    </row>
    <row r="254" spans="1:51" ht="13.5" customHeight="1">
      <c r="A254" s="56"/>
      <c r="B254" s="50"/>
      <c r="C254" s="49"/>
      <c r="D254" s="49"/>
      <c r="E254" s="49"/>
      <c r="F254" s="49"/>
      <c r="G254" s="49"/>
      <c r="H254" s="49"/>
      <c r="I254" s="51"/>
      <c r="J254" s="350"/>
      <c r="K254" s="351"/>
      <c r="L254" s="101"/>
      <c r="M254" s="102"/>
      <c r="N254" s="102"/>
      <c r="O254" s="102"/>
      <c r="P254" s="102"/>
      <c r="Q254" s="102"/>
      <c r="R254" s="102"/>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51"/>
      <c r="AR254" s="208"/>
      <c r="AS254" s="49"/>
      <c r="AT254" s="49"/>
      <c r="AU254" s="49"/>
      <c r="AV254" s="49"/>
      <c r="AW254" s="49"/>
      <c r="AX254" s="49"/>
      <c r="AY254" s="52"/>
    </row>
    <row r="255" spans="1:51" ht="13.5" customHeight="1">
      <c r="A255" s="56"/>
      <c r="B255" s="50"/>
      <c r="C255" s="49"/>
      <c r="D255" s="49"/>
      <c r="E255" s="49"/>
      <c r="F255" s="49"/>
      <c r="G255" s="49"/>
      <c r="H255" s="49"/>
      <c r="I255" s="51"/>
      <c r="J255" s="350"/>
      <c r="K255" s="351"/>
      <c r="L255" s="101"/>
      <c r="M255" s="102" t="s">
        <v>832</v>
      </c>
      <c r="N255" s="49" t="s">
        <v>836</v>
      </c>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51"/>
      <c r="AR255" s="208" t="s">
        <v>837</v>
      </c>
      <c r="AS255" s="49"/>
      <c r="AT255" s="49"/>
      <c r="AU255" s="49"/>
      <c r="AV255" s="49"/>
      <c r="AW255" s="49"/>
      <c r="AX255" s="49"/>
      <c r="AY255" s="52"/>
    </row>
    <row r="256" spans="1:51" ht="13.5" customHeight="1">
      <c r="A256" s="56"/>
      <c r="B256" s="50"/>
      <c r="C256" s="49"/>
      <c r="D256" s="49"/>
      <c r="E256" s="49"/>
      <c r="F256" s="49"/>
      <c r="G256" s="49"/>
      <c r="H256" s="49"/>
      <c r="I256" s="51"/>
      <c r="J256" s="350"/>
      <c r="K256" s="351"/>
      <c r="L256" s="101"/>
      <c r="M256" s="102"/>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51"/>
      <c r="AR256" s="208"/>
      <c r="AS256" s="49"/>
      <c r="AT256" s="49"/>
      <c r="AU256" s="49"/>
      <c r="AV256" s="49"/>
      <c r="AW256" s="49"/>
      <c r="AX256" s="49"/>
      <c r="AY256" s="52"/>
    </row>
    <row r="257" spans="1:53" ht="13.5" customHeight="1">
      <c r="A257" s="56"/>
      <c r="B257" s="50"/>
      <c r="C257" s="49"/>
      <c r="D257" s="49"/>
      <c r="E257" s="49"/>
      <c r="F257" s="49"/>
      <c r="G257" s="49"/>
      <c r="H257" s="49"/>
      <c r="I257" s="51"/>
      <c r="J257" s="415"/>
      <c r="K257" s="416"/>
      <c r="L257" s="101"/>
      <c r="M257" s="102" t="s">
        <v>1058</v>
      </c>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51"/>
      <c r="AR257" s="208" t="s">
        <v>1059</v>
      </c>
      <c r="AS257" s="49"/>
      <c r="AT257" s="49"/>
      <c r="AU257" s="49"/>
      <c r="AV257" s="49"/>
      <c r="AW257" s="49"/>
      <c r="AX257" s="49"/>
      <c r="AY257" s="52"/>
      <c r="BA257" s="23">
        <v>2.9</v>
      </c>
    </row>
    <row r="258" spans="1:53" ht="13.5" customHeight="1">
      <c r="A258" s="56"/>
      <c r="B258" s="50"/>
      <c r="C258" s="49"/>
      <c r="D258" s="49"/>
      <c r="E258" s="49"/>
      <c r="F258" s="49"/>
      <c r="G258" s="49"/>
      <c r="H258" s="49"/>
      <c r="I258" s="51"/>
      <c r="J258" s="417"/>
      <c r="K258" s="418"/>
      <c r="L258" s="101"/>
      <c r="M258" s="102"/>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51"/>
      <c r="AR258" s="208"/>
      <c r="AS258" s="49"/>
      <c r="AT258" s="49"/>
      <c r="AU258" s="49"/>
      <c r="AV258" s="49"/>
      <c r="AW258" s="49"/>
      <c r="AX258" s="49"/>
      <c r="AY258" s="52"/>
    </row>
    <row r="259" spans="1:53" ht="13.5" customHeight="1">
      <c r="A259" s="56"/>
      <c r="B259" s="50"/>
      <c r="C259" s="49"/>
      <c r="D259" s="49"/>
      <c r="E259" s="49"/>
      <c r="F259" s="49"/>
      <c r="G259" s="49"/>
      <c r="H259" s="49"/>
      <c r="I259" s="51"/>
      <c r="J259" s="417"/>
      <c r="K259" s="418"/>
      <c r="L259" s="101"/>
      <c r="M259" s="102" t="s">
        <v>1064</v>
      </c>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51"/>
      <c r="AR259" s="208" t="s">
        <v>1065</v>
      </c>
      <c r="AS259" s="49"/>
      <c r="AT259" s="49"/>
      <c r="AU259" s="49"/>
      <c r="AV259" s="49"/>
      <c r="AW259" s="49"/>
      <c r="AX259" s="49"/>
      <c r="AY259" s="52"/>
      <c r="BA259" s="23">
        <v>2.9</v>
      </c>
    </row>
    <row r="260" spans="1:53" ht="13.5" customHeight="1">
      <c r="A260" s="56"/>
      <c r="B260" s="50"/>
      <c r="C260" s="49"/>
      <c r="D260" s="49"/>
      <c r="E260" s="49"/>
      <c r="F260" s="49"/>
      <c r="G260" s="49"/>
      <c r="H260" s="49"/>
      <c r="I260" s="51"/>
      <c r="J260" s="426"/>
      <c r="K260" s="427"/>
      <c r="L260" s="101"/>
      <c r="M260" s="102"/>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51"/>
      <c r="AR260" s="208"/>
      <c r="AS260" s="49"/>
      <c r="AT260" s="49"/>
      <c r="AU260" s="49"/>
      <c r="AV260" s="49"/>
      <c r="AW260" s="49"/>
      <c r="AX260" s="49"/>
      <c r="AY260" s="52"/>
    </row>
    <row r="261" spans="1:53" s="430" customFormat="1" ht="13.5" customHeight="1">
      <c r="A261" s="62"/>
      <c r="B261" s="101"/>
      <c r="C261" s="102"/>
      <c r="D261" s="102"/>
      <c r="E261" s="102"/>
      <c r="F261" s="102"/>
      <c r="G261" s="102"/>
      <c r="H261" s="102"/>
      <c r="I261" s="377"/>
      <c r="J261" s="431"/>
      <c r="K261" s="432"/>
      <c r="L261" s="101"/>
      <c r="M261" s="102" t="s">
        <v>1126</v>
      </c>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377"/>
      <c r="AR261" s="396" t="s">
        <v>1127</v>
      </c>
      <c r="AS261" s="102"/>
      <c r="AT261" s="102"/>
      <c r="AU261" s="102"/>
      <c r="AV261" s="102"/>
      <c r="AW261" s="102"/>
      <c r="AX261" s="102"/>
      <c r="AY261" s="406"/>
      <c r="BA261" s="430">
        <v>3.1</v>
      </c>
    </row>
    <row r="262" spans="1:53" s="430" customFormat="1" ht="13.5" customHeight="1">
      <c r="A262" s="62"/>
      <c r="B262" s="101"/>
      <c r="C262" s="102"/>
      <c r="D262" s="102"/>
      <c r="E262" s="102"/>
      <c r="F262" s="102"/>
      <c r="G262" s="102"/>
      <c r="H262" s="102"/>
      <c r="I262" s="377"/>
      <c r="J262" s="431"/>
      <c r="K262" s="432"/>
      <c r="L262" s="101"/>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377"/>
      <c r="AR262" s="396"/>
      <c r="AS262" s="102"/>
      <c r="AT262" s="102"/>
      <c r="AU262" s="102"/>
      <c r="AV262" s="102"/>
      <c r="AW262" s="102"/>
      <c r="AX262" s="102"/>
      <c r="AY262" s="406"/>
    </row>
    <row r="263" spans="1:53" s="430" customFormat="1" ht="13.5" customHeight="1">
      <c r="A263" s="62"/>
      <c r="B263" s="101"/>
      <c r="C263" s="102"/>
      <c r="D263" s="102"/>
      <c r="E263" s="102"/>
      <c r="F263" s="102"/>
      <c r="G263" s="102"/>
      <c r="H263" s="102"/>
      <c r="I263" s="377"/>
      <c r="J263" s="431"/>
      <c r="K263" s="432"/>
      <c r="L263" s="101"/>
      <c r="M263" s="102" t="s">
        <v>1128</v>
      </c>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377"/>
      <c r="AR263" s="396" t="s">
        <v>1129</v>
      </c>
      <c r="AS263" s="102"/>
      <c r="AT263" s="102"/>
      <c r="AU263" s="102"/>
      <c r="AV263" s="102"/>
      <c r="AW263" s="102"/>
      <c r="AX263" s="102"/>
      <c r="AY263" s="406"/>
      <c r="BA263" s="430">
        <v>3.1</v>
      </c>
    </row>
    <row r="264" spans="1:53" s="430" customFormat="1" ht="13.5" customHeight="1" thickBot="1">
      <c r="A264" s="335"/>
      <c r="B264" s="336"/>
      <c r="C264" s="338"/>
      <c r="D264" s="338"/>
      <c r="E264" s="338"/>
      <c r="F264" s="338"/>
      <c r="G264" s="338"/>
      <c r="H264" s="338"/>
      <c r="I264" s="435"/>
      <c r="J264" s="436"/>
      <c r="K264" s="437"/>
      <c r="L264" s="336"/>
      <c r="M264" s="338"/>
      <c r="N264" s="338"/>
      <c r="O264" s="338"/>
      <c r="P264" s="338"/>
      <c r="Q264" s="338"/>
      <c r="R264" s="338"/>
      <c r="S264" s="338"/>
      <c r="T264" s="338"/>
      <c r="U264" s="338"/>
      <c r="V264" s="338"/>
      <c r="W264" s="338"/>
      <c r="X264" s="338"/>
      <c r="Y264" s="338"/>
      <c r="Z264" s="338"/>
      <c r="AA264" s="338"/>
      <c r="AB264" s="338"/>
      <c r="AC264" s="338"/>
      <c r="AD264" s="338"/>
      <c r="AE264" s="338"/>
      <c r="AF264" s="338"/>
      <c r="AG264" s="338"/>
      <c r="AH264" s="338"/>
      <c r="AI264" s="338"/>
      <c r="AJ264" s="338"/>
      <c r="AK264" s="338"/>
      <c r="AL264" s="338"/>
      <c r="AM264" s="338"/>
      <c r="AN264" s="338"/>
      <c r="AO264" s="338"/>
      <c r="AP264" s="338"/>
      <c r="AQ264" s="435"/>
      <c r="AR264" s="438"/>
      <c r="AS264" s="338"/>
      <c r="AT264" s="338"/>
      <c r="AU264" s="338"/>
      <c r="AV264" s="338"/>
      <c r="AW264" s="338"/>
      <c r="AX264" s="338"/>
      <c r="AY264" s="439"/>
    </row>
    <row r="265" spans="1:53" ht="13.5" customHeight="1">
      <c r="A265" s="56"/>
      <c r="B265" s="50"/>
      <c r="C265" s="49"/>
      <c r="D265" s="49"/>
      <c r="E265" s="49"/>
      <c r="F265" s="49"/>
      <c r="G265" s="49"/>
      <c r="H265" s="49"/>
      <c r="I265" s="51"/>
      <c r="J265" s="656"/>
      <c r="K265" s="657"/>
      <c r="L265" s="101" t="s">
        <v>191</v>
      </c>
      <c r="M265" s="102"/>
      <c r="N265" s="102"/>
      <c r="O265" s="103"/>
      <c r="P265" s="102"/>
      <c r="Q265" s="102"/>
      <c r="R265" s="102"/>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51"/>
      <c r="AR265" s="208" t="s">
        <v>845</v>
      </c>
      <c r="AS265" s="49"/>
      <c r="AT265" s="49"/>
      <c r="AU265" s="49"/>
      <c r="AV265" s="49"/>
      <c r="AW265" s="49"/>
      <c r="AX265" s="49"/>
      <c r="AY265" s="52"/>
    </row>
    <row r="266" spans="1:53" ht="13.5" customHeight="1">
      <c r="A266" s="56"/>
      <c r="B266" s="50"/>
      <c r="C266" s="49"/>
      <c r="D266" s="49"/>
      <c r="E266" s="49"/>
      <c r="F266" s="49"/>
      <c r="G266" s="49"/>
      <c r="H266" s="49"/>
      <c r="I266" s="51"/>
      <c r="J266" s="350"/>
      <c r="K266" s="351"/>
      <c r="L266" s="101"/>
      <c r="M266" s="102" t="s">
        <v>97</v>
      </c>
      <c r="N266" s="102"/>
      <c r="O266" s="102"/>
      <c r="P266" s="102"/>
      <c r="Q266" s="102"/>
      <c r="R266" s="102"/>
      <c r="S266" s="102"/>
      <c r="T266" s="102"/>
      <c r="U266" s="102"/>
      <c r="V266" s="102"/>
      <c r="W266" s="102"/>
      <c r="X266" s="102"/>
      <c r="Y266" s="102"/>
      <c r="Z266" s="102"/>
      <c r="AA266" s="102"/>
      <c r="AB266" s="102"/>
      <c r="AC266" s="102"/>
      <c r="AD266" s="102"/>
      <c r="AE266" s="102"/>
      <c r="AF266" s="49"/>
      <c r="AG266" s="49"/>
      <c r="AH266" s="49"/>
      <c r="AI266" s="49"/>
      <c r="AJ266" s="49"/>
      <c r="AK266" s="49"/>
      <c r="AL266" s="49"/>
      <c r="AM266" s="49"/>
      <c r="AN266" s="49"/>
      <c r="AO266" s="49"/>
      <c r="AP266" s="49"/>
      <c r="AQ266" s="51"/>
      <c r="AR266" s="208" t="s">
        <v>168</v>
      </c>
      <c r="AS266" s="49"/>
      <c r="AT266" s="49"/>
      <c r="AU266" s="49"/>
      <c r="AV266" s="49"/>
      <c r="AW266" s="49"/>
      <c r="AX266" s="49"/>
      <c r="AY266" s="52"/>
    </row>
    <row r="267" spans="1:53" ht="13.5" customHeight="1">
      <c r="A267" s="56"/>
      <c r="B267" s="50"/>
      <c r="C267" s="49"/>
      <c r="D267" s="49"/>
      <c r="E267" s="49"/>
      <c r="F267" s="49"/>
      <c r="G267" s="49"/>
      <c r="H267" s="49"/>
      <c r="I267" s="51"/>
      <c r="J267" s="350"/>
      <c r="K267" s="351"/>
      <c r="L267" s="101"/>
      <c r="M267" s="102"/>
      <c r="N267" s="102"/>
      <c r="O267" s="102"/>
      <c r="P267" s="102"/>
      <c r="Q267" s="102"/>
      <c r="R267" s="102"/>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51"/>
      <c r="AR267" s="208" t="s">
        <v>171</v>
      </c>
      <c r="AS267" s="49"/>
      <c r="AT267" s="49"/>
      <c r="AU267" s="49"/>
      <c r="AV267" s="49"/>
      <c r="AW267" s="49"/>
      <c r="AX267" s="49"/>
      <c r="AY267" s="52"/>
    </row>
    <row r="268" spans="1:53" ht="13.5" customHeight="1">
      <c r="A268" s="56"/>
      <c r="B268" s="50"/>
      <c r="C268" s="49"/>
      <c r="D268" s="49"/>
      <c r="E268" s="49"/>
      <c r="F268" s="49"/>
      <c r="G268" s="49"/>
      <c r="H268" s="49"/>
      <c r="I268" s="51"/>
      <c r="J268" s="350"/>
      <c r="K268" s="351"/>
      <c r="L268" s="520"/>
      <c r="M268" s="505" t="s">
        <v>564</v>
      </c>
      <c r="N268" s="505"/>
      <c r="O268" s="505"/>
      <c r="P268" s="505"/>
      <c r="Q268" s="505"/>
      <c r="R268" s="505"/>
      <c r="S268" s="139"/>
      <c r="T268" s="139"/>
      <c r="U268" s="139"/>
      <c r="V268" s="139"/>
      <c r="W268" s="139"/>
      <c r="X268" s="139"/>
      <c r="Y268" s="139"/>
      <c r="Z268" s="139"/>
      <c r="AA268" s="139"/>
      <c r="AB268" s="139"/>
      <c r="AC268" s="139"/>
      <c r="AD268" s="139"/>
      <c r="AE268" s="139"/>
      <c r="AF268" s="139"/>
      <c r="AG268" s="49"/>
      <c r="AH268" s="49"/>
      <c r="AI268" s="49"/>
      <c r="AJ268" s="49"/>
      <c r="AK268" s="49"/>
      <c r="AL268" s="49"/>
      <c r="AM268" s="49"/>
      <c r="AN268" s="49"/>
      <c r="AO268" s="49"/>
      <c r="AP268" s="49"/>
      <c r="AQ268" s="51"/>
      <c r="AR268" s="208"/>
      <c r="AS268" s="49"/>
      <c r="AT268" s="49"/>
      <c r="AU268" s="49"/>
      <c r="AV268" s="49"/>
      <c r="AW268" s="49"/>
      <c r="AX268" s="49"/>
      <c r="AY268" s="52"/>
    </row>
    <row r="269" spans="1:53" ht="13.5" customHeight="1">
      <c r="A269" s="56"/>
      <c r="B269" s="50"/>
      <c r="C269" s="49"/>
      <c r="D269" s="49"/>
      <c r="E269" s="49"/>
      <c r="F269" s="49"/>
      <c r="G269" s="49"/>
      <c r="H269" s="49"/>
      <c r="I269" s="51"/>
      <c r="J269" s="350"/>
      <c r="K269" s="351"/>
      <c r="L269" s="520"/>
      <c r="M269" s="505"/>
      <c r="N269" s="216" t="s">
        <v>450</v>
      </c>
      <c r="O269" s="524"/>
      <c r="P269" s="524"/>
      <c r="Q269" s="524"/>
      <c r="R269" s="524"/>
      <c r="S269" s="524"/>
      <c r="T269" s="524"/>
      <c r="U269" s="524"/>
      <c r="V269" s="524"/>
      <c r="W269" s="524"/>
      <c r="X269" s="139"/>
      <c r="Y269" s="139"/>
      <c r="Z269" s="139"/>
      <c r="AA269" s="139"/>
      <c r="AB269" s="139"/>
      <c r="AC269" s="139"/>
      <c r="AD269" s="139"/>
      <c r="AE269" s="139"/>
      <c r="AF269" s="139"/>
      <c r="AG269" s="49"/>
      <c r="AH269" s="49"/>
      <c r="AI269" s="49"/>
      <c r="AJ269" s="49"/>
      <c r="AK269" s="49"/>
      <c r="AL269" s="49"/>
      <c r="AM269" s="49"/>
      <c r="AN269" s="49"/>
      <c r="AO269" s="49"/>
      <c r="AP269" s="49"/>
      <c r="AQ269" s="51"/>
      <c r="AR269" s="208"/>
      <c r="AS269" s="49"/>
      <c r="AT269" s="49"/>
      <c r="AU269" s="49"/>
      <c r="AV269" s="49"/>
      <c r="AW269" s="49"/>
      <c r="AX269" s="49"/>
      <c r="AY269" s="52"/>
    </row>
    <row r="270" spans="1:53" ht="13.5" customHeight="1">
      <c r="A270" s="56"/>
      <c r="B270" s="50"/>
      <c r="C270" s="49"/>
      <c r="D270" s="49"/>
      <c r="E270" s="49"/>
      <c r="F270" s="49"/>
      <c r="G270" s="49"/>
      <c r="H270" s="49"/>
      <c r="I270" s="51"/>
      <c r="J270" s="350"/>
      <c r="K270" s="351"/>
      <c r="L270" s="520"/>
      <c r="M270" s="505"/>
      <c r="N270" s="526"/>
      <c r="O270" s="524" t="s">
        <v>565</v>
      </c>
      <c r="P270" s="524"/>
      <c r="Q270" s="524"/>
      <c r="R270" s="524"/>
      <c r="S270" s="524"/>
      <c r="T270" s="524"/>
      <c r="U270" s="524"/>
      <c r="V270" s="524"/>
      <c r="W270" s="524"/>
      <c r="X270" s="139"/>
      <c r="Y270" s="139"/>
      <c r="Z270" s="139"/>
      <c r="AA270" s="139"/>
      <c r="AB270" s="139"/>
      <c r="AC270" s="139"/>
      <c r="AD270" s="139"/>
      <c r="AE270" s="139"/>
      <c r="AF270" s="139"/>
      <c r="AG270" s="49"/>
      <c r="AH270" s="49"/>
      <c r="AI270" s="49"/>
      <c r="AJ270" s="49"/>
      <c r="AK270" s="49"/>
      <c r="AL270" s="49"/>
      <c r="AM270" s="49"/>
      <c r="AN270" s="49"/>
      <c r="AO270" s="49"/>
      <c r="AP270" s="49"/>
      <c r="AQ270" s="51"/>
      <c r="AR270" s="208"/>
      <c r="AS270" s="49"/>
      <c r="AT270" s="49"/>
      <c r="AU270" s="49"/>
      <c r="AV270" s="49"/>
      <c r="AW270" s="49"/>
      <c r="AX270" s="49"/>
      <c r="AY270" s="52"/>
    </row>
    <row r="271" spans="1:53" ht="13.5" customHeight="1">
      <c r="A271" s="56"/>
      <c r="B271" s="50"/>
      <c r="C271" s="49"/>
      <c r="D271" s="49"/>
      <c r="E271" s="49"/>
      <c r="F271" s="49"/>
      <c r="G271" s="49"/>
      <c r="H271" s="49"/>
      <c r="I271" s="51"/>
      <c r="J271" s="350"/>
      <c r="K271" s="351"/>
      <c r="L271" s="520"/>
      <c r="M271" s="505"/>
      <c r="N271" s="139"/>
      <c r="O271" s="139"/>
      <c r="P271" s="139"/>
      <c r="Q271" s="139"/>
      <c r="R271" s="139"/>
      <c r="S271" s="139"/>
      <c r="T271" s="139"/>
      <c r="U271" s="139"/>
      <c r="V271" s="139"/>
      <c r="W271" s="139"/>
      <c r="X271" s="139"/>
      <c r="Y271" s="139"/>
      <c r="Z271" s="139"/>
      <c r="AA271" s="139"/>
      <c r="AB271" s="139"/>
      <c r="AC271" s="139"/>
      <c r="AD271" s="139"/>
      <c r="AE271" s="139"/>
      <c r="AF271" s="139"/>
      <c r="AG271" s="49"/>
      <c r="AH271" s="49"/>
      <c r="AI271" s="49"/>
      <c r="AJ271" s="49"/>
      <c r="AK271" s="49"/>
      <c r="AL271" s="49"/>
      <c r="AM271" s="49"/>
      <c r="AN271" s="49"/>
      <c r="AO271" s="49"/>
      <c r="AP271" s="49"/>
      <c r="AQ271" s="51"/>
      <c r="AR271" s="208"/>
      <c r="AS271" s="49"/>
      <c r="AT271" s="49"/>
      <c r="AU271" s="49"/>
      <c r="AV271" s="49"/>
      <c r="AW271" s="49"/>
      <c r="AX271" s="49"/>
      <c r="AY271" s="52"/>
    </row>
    <row r="272" spans="1:53" ht="13.5" customHeight="1">
      <c r="A272" s="56"/>
      <c r="B272" s="50"/>
      <c r="C272" s="49"/>
      <c r="D272" s="49"/>
      <c r="E272" s="49"/>
      <c r="F272" s="49"/>
      <c r="G272" s="49"/>
      <c r="H272" s="49"/>
      <c r="I272" s="51"/>
      <c r="J272" s="350"/>
      <c r="K272" s="351"/>
      <c r="L272" s="520"/>
      <c r="M272" s="505"/>
      <c r="N272" s="216" t="s">
        <v>452</v>
      </c>
      <c r="O272" s="524"/>
      <c r="P272" s="524"/>
      <c r="Q272" s="139"/>
      <c r="R272" s="139"/>
      <c r="S272" s="139"/>
      <c r="T272" s="139"/>
      <c r="U272" s="139"/>
      <c r="V272" s="139"/>
      <c r="W272" s="139"/>
      <c r="X272" s="139"/>
      <c r="Y272" s="139"/>
      <c r="Z272" s="139"/>
      <c r="AA272" s="139"/>
      <c r="AB272" s="139"/>
      <c r="AC272" s="139"/>
      <c r="AD272" s="139"/>
      <c r="AE272" s="139"/>
      <c r="AF272" s="139"/>
      <c r="AG272" s="49"/>
      <c r="AH272" s="49"/>
      <c r="AI272" s="49"/>
      <c r="AJ272" s="49"/>
      <c r="AK272" s="49"/>
      <c r="AL272" s="49"/>
      <c r="AM272" s="49"/>
      <c r="AN272" s="49"/>
      <c r="AO272" s="49"/>
      <c r="AP272" s="49"/>
      <c r="AQ272" s="51"/>
      <c r="AR272" s="208"/>
      <c r="AS272" s="49"/>
      <c r="AT272" s="49"/>
      <c r="AU272" s="49"/>
      <c r="AV272" s="49"/>
      <c r="AW272" s="49"/>
      <c r="AX272" s="49"/>
      <c r="AY272" s="52"/>
    </row>
    <row r="273" spans="1:51" ht="13.5" customHeight="1">
      <c r="A273" s="56"/>
      <c r="B273" s="50"/>
      <c r="C273" s="49"/>
      <c r="D273" s="49"/>
      <c r="E273" s="49"/>
      <c r="F273" s="49"/>
      <c r="G273" s="49"/>
      <c r="H273" s="49"/>
      <c r="I273" s="51"/>
      <c r="J273" s="350"/>
      <c r="K273" s="351"/>
      <c r="L273" s="520" t="s">
        <v>568</v>
      </c>
      <c r="M273" s="505"/>
      <c r="N273" s="505"/>
      <c r="O273" s="505" t="s">
        <v>566</v>
      </c>
      <c r="P273" s="505"/>
      <c r="Q273" s="505"/>
      <c r="R273" s="505"/>
      <c r="S273" s="139"/>
      <c r="T273" s="139"/>
      <c r="U273" s="139"/>
      <c r="V273" s="139"/>
      <c r="W273" s="139"/>
      <c r="X273" s="139"/>
      <c r="Y273" s="139"/>
      <c r="Z273" s="139"/>
      <c r="AA273" s="139"/>
      <c r="AB273" s="139"/>
      <c r="AC273" s="139"/>
      <c r="AD273" s="139"/>
      <c r="AE273" s="139"/>
      <c r="AF273" s="139"/>
      <c r="AG273" s="49"/>
      <c r="AH273" s="49"/>
      <c r="AI273" s="49"/>
      <c r="AJ273" s="49"/>
      <c r="AK273" s="49"/>
      <c r="AL273" s="49"/>
      <c r="AM273" s="49"/>
      <c r="AN273" s="49"/>
      <c r="AO273" s="49"/>
      <c r="AP273" s="49"/>
      <c r="AQ273" s="51"/>
      <c r="AR273" s="208"/>
      <c r="AS273" s="49"/>
      <c r="AT273" s="49"/>
      <c r="AU273" s="49"/>
      <c r="AV273" s="49"/>
      <c r="AW273" s="49"/>
      <c r="AX273" s="49"/>
      <c r="AY273" s="52"/>
    </row>
    <row r="274" spans="1:51" ht="13.5" customHeight="1">
      <c r="A274" s="56"/>
      <c r="B274" s="50"/>
      <c r="C274" s="49"/>
      <c r="D274" s="49"/>
      <c r="E274" s="49"/>
      <c r="F274" s="49"/>
      <c r="G274" s="49"/>
      <c r="H274" s="49"/>
      <c r="I274" s="51"/>
      <c r="J274" s="350"/>
      <c r="K274" s="351"/>
      <c r="L274" s="520" t="s">
        <v>568</v>
      </c>
      <c r="M274" s="505"/>
      <c r="N274" s="505"/>
      <c r="O274" s="505" t="s">
        <v>567</v>
      </c>
      <c r="P274" s="505"/>
      <c r="Q274" s="505"/>
      <c r="R274" s="505"/>
      <c r="S274" s="139"/>
      <c r="T274" s="139"/>
      <c r="U274" s="139"/>
      <c r="V274" s="139"/>
      <c r="W274" s="139"/>
      <c r="X274" s="139"/>
      <c r="Y274" s="139"/>
      <c r="Z274" s="139"/>
      <c r="AA274" s="139"/>
      <c r="AB274" s="139"/>
      <c r="AC274" s="139"/>
      <c r="AD274" s="139"/>
      <c r="AE274" s="139"/>
      <c r="AF274" s="139"/>
      <c r="AG274" s="49"/>
      <c r="AH274" s="49"/>
      <c r="AI274" s="49"/>
      <c r="AJ274" s="49"/>
      <c r="AK274" s="49"/>
      <c r="AL274" s="49"/>
      <c r="AM274" s="49"/>
      <c r="AN274" s="49"/>
      <c r="AO274" s="49"/>
      <c r="AP274" s="49"/>
      <c r="AQ274" s="51"/>
      <c r="AR274" s="208"/>
      <c r="AS274" s="49"/>
      <c r="AT274" s="49"/>
      <c r="AU274" s="49"/>
      <c r="AV274" s="49"/>
      <c r="AW274" s="49"/>
      <c r="AX274" s="49"/>
      <c r="AY274" s="52"/>
    </row>
    <row r="275" spans="1:51" ht="13.5" customHeight="1">
      <c r="A275" s="56"/>
      <c r="B275" s="50"/>
      <c r="C275" s="49"/>
      <c r="D275" s="49"/>
      <c r="E275" s="49"/>
      <c r="F275" s="49"/>
      <c r="G275" s="49"/>
      <c r="H275" s="49"/>
      <c r="I275" s="51"/>
      <c r="J275" s="350"/>
      <c r="K275" s="351"/>
      <c r="L275" s="520"/>
      <c r="M275" s="505"/>
      <c r="N275" s="505"/>
      <c r="O275" s="505"/>
      <c r="P275" s="505"/>
      <c r="Q275" s="505"/>
      <c r="R275" s="505"/>
      <c r="S275" s="139"/>
      <c r="T275" s="139"/>
      <c r="U275" s="139"/>
      <c r="V275" s="139"/>
      <c r="W275" s="139"/>
      <c r="X275" s="139"/>
      <c r="Y275" s="139"/>
      <c r="Z275" s="139"/>
      <c r="AA275" s="139"/>
      <c r="AB275" s="139"/>
      <c r="AC275" s="139"/>
      <c r="AD275" s="139"/>
      <c r="AE275" s="139"/>
      <c r="AF275" s="139"/>
      <c r="AG275" s="49"/>
      <c r="AH275" s="49"/>
      <c r="AI275" s="49"/>
      <c r="AJ275" s="49"/>
      <c r="AK275" s="49"/>
      <c r="AL275" s="49"/>
      <c r="AM275" s="49"/>
      <c r="AN275" s="49"/>
      <c r="AO275" s="49"/>
      <c r="AP275" s="49"/>
      <c r="AQ275" s="51"/>
      <c r="AR275" s="208"/>
      <c r="AS275" s="49"/>
      <c r="AT275" s="49"/>
      <c r="AU275" s="49"/>
      <c r="AV275" s="49"/>
      <c r="AW275" s="49"/>
      <c r="AX275" s="49"/>
      <c r="AY275" s="52"/>
    </row>
    <row r="276" spans="1:51" ht="13.5" customHeight="1">
      <c r="A276" s="56"/>
      <c r="B276" s="50"/>
      <c r="C276" s="49"/>
      <c r="D276" s="49"/>
      <c r="E276" s="49"/>
      <c r="F276" s="49"/>
      <c r="G276" s="49"/>
      <c r="H276" s="49"/>
      <c r="I276" s="51"/>
      <c r="J276" s="656"/>
      <c r="K276" s="657"/>
      <c r="L276" s="101" t="s">
        <v>192</v>
      </c>
      <c r="M276" s="102"/>
      <c r="N276" s="102"/>
      <c r="O276" s="102"/>
      <c r="P276" s="102"/>
      <c r="Q276" s="102"/>
      <c r="R276" s="102"/>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51"/>
      <c r="AR276" s="208"/>
      <c r="AS276" s="49"/>
      <c r="AT276" s="49"/>
      <c r="AU276" s="49"/>
      <c r="AV276" s="49"/>
      <c r="AW276" s="49"/>
      <c r="AX276" s="49"/>
      <c r="AY276" s="52"/>
    </row>
    <row r="277" spans="1:51" ht="13.5" customHeight="1">
      <c r="A277" s="56"/>
      <c r="B277" s="50"/>
      <c r="C277" s="49"/>
      <c r="D277" s="49"/>
      <c r="E277" s="49"/>
      <c r="F277" s="49"/>
      <c r="G277" s="49"/>
      <c r="H277" s="49"/>
      <c r="I277" s="51"/>
      <c r="J277" s="350"/>
      <c r="K277" s="351"/>
      <c r="L277" s="101"/>
      <c r="M277" s="102" t="s">
        <v>53</v>
      </c>
      <c r="N277" s="102"/>
      <c r="O277" s="102"/>
      <c r="P277" s="102"/>
      <c r="Q277" s="102"/>
      <c r="R277" s="102"/>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51"/>
      <c r="AR277" s="208"/>
      <c r="AS277" s="49"/>
      <c r="AT277" s="49"/>
      <c r="AU277" s="49"/>
      <c r="AV277" s="49"/>
      <c r="AW277" s="49"/>
      <c r="AX277" s="49"/>
      <c r="AY277" s="52"/>
    </row>
    <row r="278" spans="1:51" ht="13.5" customHeight="1">
      <c r="A278" s="56"/>
      <c r="B278" s="50"/>
      <c r="C278" s="49"/>
      <c r="D278" s="49"/>
      <c r="E278" s="49"/>
      <c r="F278" s="49"/>
      <c r="G278" s="49"/>
      <c r="H278" s="49"/>
      <c r="I278" s="51"/>
      <c r="J278" s="350"/>
      <c r="K278" s="351"/>
      <c r="L278" s="101"/>
      <c r="M278" s="102" t="s">
        <v>54</v>
      </c>
      <c r="N278" s="102"/>
      <c r="O278" s="102"/>
      <c r="P278" s="102"/>
      <c r="Q278" s="102"/>
      <c r="R278" s="102"/>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51"/>
      <c r="AR278" s="208"/>
      <c r="AS278" s="49"/>
      <c r="AT278" s="49"/>
      <c r="AU278" s="49"/>
      <c r="AV278" s="49"/>
      <c r="AW278" s="49"/>
      <c r="AX278" s="49"/>
      <c r="AY278" s="52"/>
    </row>
    <row r="279" spans="1:51" ht="13.5" customHeight="1">
      <c r="A279" s="56"/>
      <c r="B279" s="50"/>
      <c r="C279" s="49"/>
      <c r="D279" s="49"/>
      <c r="E279" s="49"/>
      <c r="F279" s="49"/>
      <c r="G279" s="49"/>
      <c r="H279" s="49"/>
      <c r="I279" s="51"/>
      <c r="J279" s="350"/>
      <c r="K279" s="351"/>
      <c r="L279" s="101"/>
      <c r="M279" s="102"/>
      <c r="N279" s="102"/>
      <c r="O279" s="102"/>
      <c r="P279" s="102"/>
      <c r="Q279" s="102"/>
      <c r="R279" s="102"/>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51"/>
      <c r="AR279" s="208"/>
      <c r="AS279" s="49"/>
      <c r="AT279" s="49"/>
      <c r="AU279" s="49"/>
      <c r="AV279" s="49"/>
      <c r="AW279" s="49"/>
      <c r="AX279" s="49"/>
      <c r="AY279" s="52"/>
    </row>
    <row r="280" spans="1:51" ht="13.5" customHeight="1">
      <c r="A280" s="56"/>
      <c r="B280" s="50"/>
      <c r="C280" s="49"/>
      <c r="D280" s="49"/>
      <c r="E280" s="49"/>
      <c r="F280" s="49"/>
      <c r="G280" s="49"/>
      <c r="H280" s="49"/>
      <c r="I280" s="51"/>
      <c r="J280" s="350"/>
      <c r="K280" s="351"/>
      <c r="L280" s="101" t="s">
        <v>193</v>
      </c>
      <c r="M280" s="102"/>
      <c r="N280" s="102"/>
      <c r="O280" s="106"/>
      <c r="P280" s="106"/>
      <c r="Q280" s="106"/>
      <c r="R280" s="106"/>
      <c r="S280" s="46"/>
      <c r="T280" s="46"/>
      <c r="U280" s="46"/>
      <c r="V280" s="46"/>
      <c r="W280" s="49"/>
      <c r="X280" s="49"/>
      <c r="Y280" s="49"/>
      <c r="Z280" s="49"/>
      <c r="AA280" s="49"/>
      <c r="AB280" s="49"/>
      <c r="AC280" s="49"/>
      <c r="AD280" s="49"/>
      <c r="AE280" s="49"/>
      <c r="AF280" s="49"/>
      <c r="AG280" s="49"/>
      <c r="AH280" s="49"/>
      <c r="AI280" s="49"/>
      <c r="AJ280" s="49"/>
      <c r="AK280" s="49"/>
      <c r="AL280" s="49"/>
      <c r="AM280" s="49"/>
      <c r="AN280" s="49"/>
      <c r="AO280" s="49"/>
      <c r="AP280" s="49"/>
      <c r="AQ280" s="51"/>
      <c r="AR280" s="208"/>
      <c r="AS280" s="49"/>
      <c r="AT280" s="49"/>
      <c r="AU280" s="49"/>
      <c r="AV280" s="49"/>
      <c r="AW280" s="49"/>
      <c r="AX280" s="49"/>
      <c r="AY280" s="52"/>
    </row>
    <row r="281" spans="1:51" ht="13.5" customHeight="1">
      <c r="A281" s="56"/>
      <c r="B281" s="50"/>
      <c r="C281" s="49"/>
      <c r="D281" s="49"/>
      <c r="E281" s="49"/>
      <c r="F281" s="49"/>
      <c r="G281" s="49"/>
      <c r="H281" s="49"/>
      <c r="I281" s="51"/>
      <c r="J281" s="350"/>
      <c r="K281" s="351"/>
      <c r="L281" s="101"/>
      <c r="M281" s="106" t="s">
        <v>95</v>
      </c>
      <c r="N281" s="102"/>
      <c r="O281" s="102"/>
      <c r="P281" s="102"/>
      <c r="Q281" s="102"/>
      <c r="R281" s="102"/>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51"/>
      <c r="AR281" s="208" t="s">
        <v>57</v>
      </c>
      <c r="AS281" s="49"/>
      <c r="AT281" s="49"/>
      <c r="AU281" s="49"/>
      <c r="AV281" s="49"/>
      <c r="AW281" s="49"/>
      <c r="AX281" s="49"/>
      <c r="AY281" s="52"/>
    </row>
    <row r="282" spans="1:51" ht="13.5" customHeight="1">
      <c r="A282" s="56"/>
      <c r="B282" s="50"/>
      <c r="C282" s="49"/>
      <c r="D282" s="49"/>
      <c r="E282" s="49"/>
      <c r="F282" s="49"/>
      <c r="G282" s="49"/>
      <c r="H282" s="49"/>
      <c r="I282" s="51"/>
      <c r="J282" s="350"/>
      <c r="K282" s="351"/>
      <c r="L282" s="101"/>
      <c r="M282" s="102" t="s">
        <v>96</v>
      </c>
      <c r="N282" s="127"/>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51"/>
      <c r="AR282" s="208" t="s">
        <v>168</v>
      </c>
      <c r="AS282" s="49"/>
      <c r="AT282" s="49"/>
      <c r="AU282" s="49"/>
      <c r="AV282" s="49"/>
      <c r="AW282" s="49"/>
      <c r="AX282" s="49"/>
      <c r="AY282" s="52"/>
    </row>
    <row r="283" spans="1:51" ht="13.5" customHeight="1">
      <c r="A283" s="56"/>
      <c r="B283" s="50"/>
      <c r="C283" s="49"/>
      <c r="D283" s="49"/>
      <c r="E283" s="49"/>
      <c r="F283" s="49"/>
      <c r="G283" s="49"/>
      <c r="H283" s="49"/>
      <c r="I283" s="51"/>
      <c r="J283" s="350"/>
      <c r="K283" s="351"/>
      <c r="L283" s="50"/>
      <c r="M283" s="49"/>
      <c r="N283" s="127" t="s">
        <v>631</v>
      </c>
      <c r="O283" s="159"/>
      <c r="P283" s="159"/>
      <c r="Q283" s="159"/>
      <c r="R283" s="159"/>
      <c r="S283" s="159"/>
      <c r="T283" s="159"/>
      <c r="U283" s="159"/>
      <c r="V283" s="159"/>
      <c r="W283" s="159"/>
      <c r="X283" s="159"/>
      <c r="Y283" s="49"/>
      <c r="Z283" s="49"/>
      <c r="AA283" s="49"/>
      <c r="AB283" s="49"/>
      <c r="AC283" s="49"/>
      <c r="AD283" s="49"/>
      <c r="AE283" s="49"/>
      <c r="AF283" s="49"/>
      <c r="AG283" s="49"/>
      <c r="AH283" s="49"/>
      <c r="AI283" s="49"/>
      <c r="AJ283" s="49"/>
      <c r="AK283" s="49"/>
      <c r="AL283" s="49"/>
      <c r="AM283" s="49"/>
      <c r="AN283" s="49"/>
      <c r="AO283" s="49"/>
      <c r="AP283" s="49"/>
      <c r="AQ283" s="51"/>
      <c r="AR283" s="208" t="s">
        <v>695</v>
      </c>
      <c r="AS283" s="49"/>
      <c r="AT283" s="49"/>
      <c r="AU283" s="49"/>
      <c r="AV283" s="49"/>
      <c r="AW283" s="49"/>
      <c r="AX283" s="49"/>
      <c r="AY283" s="52"/>
    </row>
    <row r="284" spans="1:51" ht="13.5" customHeight="1">
      <c r="A284" s="56"/>
      <c r="B284" s="50"/>
      <c r="C284" s="49"/>
      <c r="D284" s="49"/>
      <c r="E284" s="49"/>
      <c r="F284" s="49"/>
      <c r="G284" s="49"/>
      <c r="H284" s="49"/>
      <c r="I284" s="51"/>
      <c r="J284" s="350"/>
      <c r="K284" s="351"/>
      <c r="L284" s="50"/>
      <c r="M284" s="237"/>
      <c r="N284" s="238"/>
      <c r="O284" s="237"/>
      <c r="P284" s="237"/>
      <c r="Q284" s="237"/>
      <c r="R284" s="237"/>
      <c r="S284" s="237"/>
      <c r="T284" s="237"/>
      <c r="U284" s="237"/>
      <c r="V284" s="237"/>
      <c r="W284" s="237"/>
      <c r="X284" s="237"/>
      <c r="Y284" s="237"/>
      <c r="Z284" s="237"/>
      <c r="AA284" s="237"/>
      <c r="AB284" s="237"/>
      <c r="AC284" s="237"/>
      <c r="AD284" s="237"/>
      <c r="AE284" s="237"/>
      <c r="AF284" s="237"/>
      <c r="AG284" s="237"/>
      <c r="AH284" s="237"/>
      <c r="AI284" s="237"/>
      <c r="AJ284" s="237"/>
      <c r="AK284" s="237"/>
      <c r="AL284" s="237"/>
      <c r="AM284" s="237"/>
      <c r="AN284" s="237"/>
      <c r="AO284" s="237"/>
      <c r="AP284" s="237"/>
      <c r="AQ284" s="239"/>
      <c r="AR284" s="208" t="s">
        <v>170</v>
      </c>
      <c r="AS284" s="237"/>
      <c r="AT284" s="237"/>
      <c r="AU284" s="237"/>
      <c r="AV284" s="237"/>
      <c r="AW284" s="237"/>
      <c r="AX284" s="237"/>
      <c r="AY284" s="240"/>
    </row>
    <row r="285" spans="1:51" ht="13.5" customHeight="1">
      <c r="A285" s="56"/>
      <c r="B285" s="50"/>
      <c r="C285" s="49"/>
      <c r="D285" s="49"/>
      <c r="E285" s="49"/>
      <c r="F285" s="49"/>
      <c r="G285" s="49"/>
      <c r="H285" s="49"/>
      <c r="I285" s="51"/>
      <c r="J285" s="350"/>
      <c r="K285" s="351"/>
      <c r="L285" s="50"/>
      <c r="M285" s="139"/>
      <c r="N285" s="505" t="s">
        <v>630</v>
      </c>
      <c r="O285" s="505"/>
      <c r="P285" s="505"/>
      <c r="Q285" s="505"/>
      <c r="R285" s="505"/>
      <c r="S285" s="505"/>
      <c r="T285" s="505"/>
      <c r="U285" s="505"/>
      <c r="V285" s="505"/>
      <c r="W285" s="505"/>
      <c r="X285" s="505"/>
      <c r="Y285" s="505"/>
      <c r="Z285" s="505"/>
      <c r="AA285" s="505"/>
      <c r="AB285" s="505"/>
      <c r="AC285" s="505"/>
      <c r="AD285" s="505"/>
      <c r="AE285" s="102"/>
      <c r="AF285" s="102"/>
      <c r="AG285" s="102"/>
      <c r="AH285" s="49"/>
      <c r="AI285" s="49"/>
      <c r="AJ285" s="49"/>
      <c r="AK285" s="49"/>
      <c r="AL285" s="49"/>
      <c r="AM285" s="49"/>
      <c r="AN285" s="49"/>
      <c r="AO285" s="49"/>
      <c r="AP285" s="49"/>
      <c r="AQ285" s="51"/>
      <c r="AR285" s="208"/>
      <c r="AS285" s="49"/>
      <c r="AT285" s="49"/>
      <c r="AU285" s="49"/>
      <c r="AV285" s="49"/>
      <c r="AW285" s="49"/>
      <c r="AX285" s="49"/>
      <c r="AY285" s="52"/>
    </row>
    <row r="286" spans="1:51" ht="13.5" customHeight="1">
      <c r="A286" s="56"/>
      <c r="B286" s="50"/>
      <c r="C286" s="49"/>
      <c r="D286" s="49"/>
      <c r="E286" s="49"/>
      <c r="F286" s="49"/>
      <c r="G286" s="49"/>
      <c r="H286" s="49"/>
      <c r="I286" s="51"/>
      <c r="J286" s="352"/>
      <c r="K286" s="353"/>
      <c r="L286" s="104"/>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9"/>
      <c r="AR286" s="192"/>
      <c r="AS286" s="57"/>
      <c r="AT286" s="57"/>
      <c r="AU286" s="57"/>
      <c r="AV286" s="57"/>
      <c r="AW286" s="57"/>
      <c r="AX286" s="57"/>
      <c r="AY286" s="60"/>
    </row>
    <row r="287" spans="1:51" ht="13.5" customHeight="1">
      <c r="A287" s="56"/>
      <c r="B287" s="50"/>
      <c r="C287" s="49"/>
      <c r="D287" s="49"/>
      <c r="E287" s="49"/>
      <c r="F287" s="49"/>
      <c r="G287" s="49"/>
      <c r="H287" s="49"/>
      <c r="I287" s="51"/>
      <c r="J287" s="728" t="s">
        <v>825</v>
      </c>
      <c r="K287" s="729"/>
      <c r="L287" s="101"/>
      <c r="M287" s="49" t="s">
        <v>819</v>
      </c>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51"/>
      <c r="AR287" s="208" t="s">
        <v>824</v>
      </c>
      <c r="AS287" s="49"/>
      <c r="AT287" s="49"/>
      <c r="AU287" s="49"/>
      <c r="AV287" s="49"/>
      <c r="AW287" s="49"/>
      <c r="AX287" s="49"/>
      <c r="AY287" s="52"/>
    </row>
    <row r="288" spans="1:51" ht="13.5" customHeight="1" thickBot="1">
      <c r="A288" s="321"/>
      <c r="B288" s="322"/>
      <c r="C288" s="323"/>
      <c r="D288" s="323"/>
      <c r="E288" s="323"/>
      <c r="F288" s="323"/>
      <c r="G288" s="323"/>
      <c r="H288" s="323"/>
      <c r="I288" s="324"/>
      <c r="J288" s="354"/>
      <c r="K288" s="355"/>
      <c r="L288" s="322"/>
      <c r="M288" s="323"/>
      <c r="N288" s="323"/>
      <c r="O288" s="323"/>
      <c r="P288" s="323"/>
      <c r="Q288" s="323"/>
      <c r="R288" s="323"/>
      <c r="S288" s="323"/>
      <c r="T288" s="323"/>
      <c r="U288" s="323"/>
      <c r="V288" s="323"/>
      <c r="W288" s="323"/>
      <c r="X288" s="323"/>
      <c r="Y288" s="323"/>
      <c r="Z288" s="323"/>
      <c r="AA288" s="323"/>
      <c r="AB288" s="323"/>
      <c r="AC288" s="323"/>
      <c r="AD288" s="323"/>
      <c r="AE288" s="323"/>
      <c r="AF288" s="323"/>
      <c r="AG288" s="323"/>
      <c r="AH288" s="323"/>
      <c r="AI288" s="323"/>
      <c r="AJ288" s="323"/>
      <c r="AK288" s="323"/>
      <c r="AL288" s="323"/>
      <c r="AM288" s="323"/>
      <c r="AN288" s="323"/>
      <c r="AO288" s="323"/>
      <c r="AP288" s="323"/>
      <c r="AQ288" s="324"/>
      <c r="AR288" s="327"/>
      <c r="AS288" s="323"/>
      <c r="AT288" s="323"/>
      <c r="AU288" s="323"/>
      <c r="AV288" s="323"/>
      <c r="AW288" s="323"/>
      <c r="AX288" s="323"/>
      <c r="AY288" s="328"/>
    </row>
    <row r="289" spans="1:53" ht="13.5" customHeight="1">
      <c r="A289" s="45">
        <v>7</v>
      </c>
      <c r="B289" s="64" t="s">
        <v>73</v>
      </c>
      <c r="C289" s="63"/>
      <c r="D289" s="63"/>
      <c r="E289" s="63"/>
      <c r="F289" s="63"/>
      <c r="G289" s="63"/>
      <c r="H289" s="63"/>
      <c r="I289" s="63"/>
      <c r="J289" s="98"/>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214"/>
      <c r="AS289" s="63"/>
      <c r="AT289" s="63"/>
      <c r="AU289" s="63"/>
      <c r="AV289" s="63"/>
      <c r="AW289" s="63"/>
      <c r="AX289" s="63"/>
      <c r="AY289" s="186"/>
    </row>
    <row r="290" spans="1:53" ht="13.5" customHeight="1">
      <c r="A290" s="56"/>
      <c r="B290" s="50"/>
      <c r="C290" s="49"/>
      <c r="D290" s="49"/>
      <c r="E290" s="49"/>
      <c r="F290" s="49"/>
      <c r="G290" s="49"/>
      <c r="H290" s="49"/>
      <c r="I290" s="51"/>
      <c r="J290" s="728" t="s">
        <v>825</v>
      </c>
      <c r="K290" s="729"/>
      <c r="L290" s="49" t="s">
        <v>815</v>
      </c>
      <c r="M290" s="102"/>
      <c r="N290" s="103"/>
      <c r="O290" s="102"/>
      <c r="P290" s="102"/>
      <c r="Q290" s="102"/>
      <c r="R290" s="102"/>
      <c r="S290" s="102"/>
      <c r="T290" s="102"/>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51"/>
      <c r="AR290" s="208" t="s">
        <v>827</v>
      </c>
      <c r="AS290" s="49"/>
      <c r="AT290" s="49"/>
      <c r="AU290" s="49"/>
      <c r="AV290" s="49"/>
      <c r="AW290" s="49"/>
      <c r="AX290" s="49"/>
      <c r="AY290" s="52"/>
    </row>
    <row r="291" spans="1:53" ht="13.5" customHeight="1">
      <c r="A291" s="56"/>
      <c r="B291" s="50"/>
      <c r="C291" s="49"/>
      <c r="D291" s="49"/>
      <c r="E291" s="49"/>
      <c r="F291" s="49"/>
      <c r="G291" s="49"/>
      <c r="H291" s="49"/>
      <c r="I291" s="49"/>
      <c r="J291" s="656"/>
      <c r="K291" s="657"/>
      <c r="L291" s="102"/>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51"/>
      <c r="AR291" s="208"/>
      <c r="AS291" s="49"/>
      <c r="AT291" s="49"/>
      <c r="AU291" s="49"/>
      <c r="AV291" s="49"/>
      <c r="AW291" s="49"/>
      <c r="AX291" s="49"/>
      <c r="AY291" s="49"/>
    </row>
    <row r="292" spans="1:53" ht="13.5" customHeight="1">
      <c r="A292" s="56"/>
      <c r="B292" s="50"/>
      <c r="C292" s="49"/>
      <c r="D292" s="49"/>
      <c r="E292" s="49"/>
      <c r="F292" s="49"/>
      <c r="G292" s="49"/>
      <c r="H292" s="49"/>
      <c r="I292" s="51"/>
      <c r="J292" s="656"/>
      <c r="K292" s="657"/>
      <c r="L292" s="101" t="s">
        <v>814</v>
      </c>
      <c r="M292" s="102"/>
      <c r="N292" s="103"/>
      <c r="O292" s="102"/>
      <c r="P292" s="102"/>
      <c r="Q292" s="102"/>
      <c r="R292" s="102"/>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51"/>
      <c r="AR292" s="208"/>
      <c r="AS292" s="49"/>
      <c r="AT292" s="49"/>
      <c r="AU292" s="49"/>
      <c r="AV292" s="49"/>
      <c r="AW292" s="49"/>
      <c r="AX292" s="49"/>
      <c r="AY292" s="52"/>
    </row>
    <row r="293" spans="1:53" ht="13.5" customHeight="1">
      <c r="A293" s="56"/>
      <c r="B293" s="50"/>
      <c r="C293" s="49"/>
      <c r="D293" s="49"/>
      <c r="E293" s="49"/>
      <c r="F293" s="49"/>
      <c r="G293" s="49"/>
      <c r="H293" s="49"/>
      <c r="I293" s="51"/>
      <c r="J293" s="350"/>
      <c r="K293" s="351"/>
      <c r="L293" s="101"/>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51"/>
      <c r="AR293" s="208"/>
      <c r="AS293" s="49"/>
      <c r="AT293" s="49"/>
      <c r="AU293" s="49"/>
      <c r="AV293" s="49"/>
      <c r="AW293" s="49"/>
      <c r="AX293" s="49"/>
      <c r="AY293" s="52"/>
    </row>
    <row r="294" spans="1:53" ht="13.5" customHeight="1">
      <c r="A294" s="56"/>
      <c r="B294" s="50"/>
      <c r="C294" s="49"/>
      <c r="D294" s="49"/>
      <c r="E294" s="49"/>
      <c r="F294" s="49"/>
      <c r="G294" s="49"/>
      <c r="H294" s="49"/>
      <c r="I294" s="51"/>
      <c r="J294" s="350"/>
      <c r="K294" s="351"/>
      <c r="L294" s="101"/>
      <c r="M294" s="159" t="s">
        <v>783</v>
      </c>
      <c r="N294" s="159"/>
      <c r="O294" s="159"/>
      <c r="P294" s="159"/>
      <c r="Q294" s="159"/>
      <c r="R294" s="159"/>
      <c r="S294" s="159"/>
      <c r="T294" s="159"/>
      <c r="U294" s="159"/>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60"/>
      <c r="AR294" s="215" t="s">
        <v>782</v>
      </c>
      <c r="AS294" s="159"/>
      <c r="AT294" s="159"/>
      <c r="AU294" s="159"/>
      <c r="AV294" s="49"/>
      <c r="AW294" s="49"/>
      <c r="AX294" s="49"/>
      <c r="AY294" s="52"/>
      <c r="BA294" s="23">
        <v>3.2</v>
      </c>
    </row>
    <row r="295" spans="1:53" ht="13.5" customHeight="1">
      <c r="A295" s="56"/>
      <c r="B295" s="50"/>
      <c r="C295" s="49"/>
      <c r="D295" s="49"/>
      <c r="E295" s="49"/>
      <c r="F295" s="49"/>
      <c r="G295" s="49"/>
      <c r="H295" s="49"/>
      <c r="I295" s="51"/>
      <c r="J295" s="350"/>
      <c r="K295" s="351"/>
      <c r="L295" s="101"/>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51"/>
      <c r="AR295" s="208"/>
      <c r="AS295" s="49"/>
      <c r="AT295" s="49"/>
      <c r="AU295" s="49"/>
      <c r="AV295" s="49"/>
      <c r="AW295" s="49"/>
      <c r="AX295" s="49"/>
      <c r="AY295" s="52"/>
    </row>
    <row r="296" spans="1:53" ht="13.5" customHeight="1">
      <c r="A296" s="56"/>
      <c r="B296" s="50"/>
      <c r="C296" s="49"/>
      <c r="D296" s="49"/>
      <c r="E296" s="49"/>
      <c r="F296" s="49"/>
      <c r="G296" s="49"/>
      <c r="H296" s="49"/>
      <c r="I296" s="51"/>
      <c r="J296" s="350"/>
      <c r="K296" s="351"/>
      <c r="L296" s="101"/>
      <c r="M296" s="159" t="s">
        <v>784</v>
      </c>
      <c r="N296" s="159"/>
      <c r="O296" s="159"/>
      <c r="P296" s="159"/>
      <c r="Q296" s="159"/>
      <c r="R296" s="159"/>
      <c r="S296" s="159"/>
      <c r="T296" s="159"/>
      <c r="U296" s="159"/>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60"/>
      <c r="AR296" s="215" t="s">
        <v>812</v>
      </c>
      <c r="AS296" s="159"/>
      <c r="AT296" s="159"/>
      <c r="AU296" s="159"/>
      <c r="AV296" s="49"/>
      <c r="AW296" s="49"/>
      <c r="AX296" s="49"/>
      <c r="AY296" s="52"/>
      <c r="BA296" s="23">
        <v>3.2</v>
      </c>
    </row>
    <row r="297" spans="1:53" ht="13.5" customHeight="1">
      <c r="A297" s="56"/>
      <c r="B297" s="50"/>
      <c r="C297" s="49"/>
      <c r="D297" s="49"/>
      <c r="E297" s="49"/>
      <c r="F297" s="49"/>
      <c r="G297" s="49"/>
      <c r="H297" s="49"/>
      <c r="I297" s="51"/>
      <c r="J297" s="350"/>
      <c r="K297" s="351"/>
      <c r="L297" s="101"/>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51"/>
      <c r="AR297" s="208"/>
      <c r="AS297" s="49"/>
      <c r="AT297" s="49"/>
      <c r="AU297" s="49"/>
      <c r="AV297" s="49"/>
      <c r="AW297" s="49"/>
      <c r="AX297" s="49"/>
      <c r="AY297" s="52"/>
    </row>
    <row r="298" spans="1:53" ht="13.5" customHeight="1">
      <c r="A298" s="56"/>
      <c r="B298" s="50"/>
      <c r="C298" s="49"/>
      <c r="D298" s="49"/>
      <c r="E298" s="49"/>
      <c r="F298" s="49"/>
      <c r="G298" s="49"/>
      <c r="H298" s="49"/>
      <c r="I298" s="51"/>
      <c r="J298" s="350"/>
      <c r="K298" s="351"/>
      <c r="L298" s="101"/>
      <c r="M298" s="159" t="s">
        <v>1130</v>
      </c>
      <c r="N298" s="159"/>
      <c r="O298" s="159"/>
      <c r="P298" s="159"/>
      <c r="Q298" s="159"/>
      <c r="R298" s="159"/>
      <c r="S298" s="159"/>
      <c r="T298" s="159"/>
      <c r="U298" s="159"/>
      <c r="V298" s="159"/>
      <c r="W298" s="159"/>
      <c r="X298" s="159"/>
      <c r="Y298" s="159"/>
      <c r="Z298" s="159"/>
      <c r="AA298" s="159"/>
      <c r="AB298" s="159"/>
      <c r="AC298" s="159"/>
      <c r="AD298" s="159"/>
      <c r="AE298" s="159"/>
      <c r="AF298" s="49"/>
      <c r="AG298" s="49"/>
      <c r="AH298" s="49"/>
      <c r="AI298" s="49"/>
      <c r="AJ298" s="49"/>
      <c r="AK298" s="49"/>
      <c r="AL298" s="49"/>
      <c r="AM298" s="49"/>
      <c r="AN298" s="49"/>
      <c r="AO298" s="49"/>
      <c r="AP298" s="49"/>
      <c r="AQ298" s="51"/>
      <c r="AR298" s="215" t="s">
        <v>1131</v>
      </c>
      <c r="AS298" s="49"/>
      <c r="AT298" s="49"/>
      <c r="AU298" s="49"/>
      <c r="AV298" s="49"/>
      <c r="AW298" s="49"/>
      <c r="AX298" s="49"/>
      <c r="AY298" s="52"/>
      <c r="BA298" s="23">
        <v>3.2</v>
      </c>
    </row>
    <row r="299" spans="1:53" ht="13.5" customHeight="1">
      <c r="A299" s="56"/>
      <c r="B299" s="50"/>
      <c r="C299" s="49"/>
      <c r="D299" s="49"/>
      <c r="E299" s="49"/>
      <c r="F299" s="49"/>
      <c r="G299" s="49"/>
      <c r="H299" s="49"/>
      <c r="I299" s="51"/>
      <c r="J299" s="350"/>
      <c r="K299" s="351"/>
      <c r="L299" s="101"/>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51"/>
      <c r="AR299" s="208"/>
      <c r="AS299" s="49"/>
      <c r="AT299" s="49"/>
      <c r="AU299" s="49"/>
      <c r="AV299" s="49"/>
      <c r="AW299" s="49"/>
      <c r="AX299" s="49"/>
      <c r="AY299" s="52"/>
    </row>
    <row r="300" spans="1:53" ht="13.5" customHeight="1">
      <c r="A300" s="56"/>
      <c r="B300" s="50"/>
      <c r="C300" s="49"/>
      <c r="D300" s="49"/>
      <c r="E300" s="49"/>
      <c r="F300" s="49"/>
      <c r="G300" s="49"/>
      <c r="H300" s="49"/>
      <c r="I300" s="51"/>
      <c r="J300" s="350"/>
      <c r="K300" s="351"/>
      <c r="L300" s="101"/>
      <c r="M300" s="139" t="s">
        <v>793</v>
      </c>
      <c r="N300" s="139"/>
      <c r="O300" s="139"/>
      <c r="P300" s="139"/>
      <c r="Q300" s="139"/>
      <c r="R300" s="139"/>
      <c r="S300" s="139"/>
      <c r="T300" s="139"/>
      <c r="U300" s="139"/>
      <c r="V300" s="139"/>
      <c r="W300" s="139"/>
      <c r="X300" s="139"/>
      <c r="Y300" s="139"/>
      <c r="Z300" s="139"/>
      <c r="AA300" s="49"/>
      <c r="AB300" s="49"/>
      <c r="AC300" s="49"/>
      <c r="AD300" s="49"/>
      <c r="AE300" s="49"/>
      <c r="AF300" s="49"/>
      <c r="AG300" s="49"/>
      <c r="AH300" s="49"/>
      <c r="AI300" s="49"/>
      <c r="AJ300" s="49"/>
      <c r="AK300" s="49"/>
      <c r="AL300" s="49"/>
      <c r="AM300" s="49"/>
      <c r="AN300" s="49"/>
      <c r="AO300" s="49"/>
      <c r="AP300" s="49"/>
      <c r="AQ300" s="51"/>
      <c r="AR300" s="208" t="s">
        <v>792</v>
      </c>
      <c r="AS300" s="49"/>
      <c r="AT300" s="49"/>
      <c r="AU300" s="49"/>
      <c r="AV300" s="49"/>
      <c r="AW300" s="49"/>
      <c r="AX300" s="49"/>
      <c r="AY300" s="52"/>
    </row>
    <row r="301" spans="1:53" ht="13.5" customHeight="1">
      <c r="A301" s="56"/>
      <c r="B301" s="50"/>
      <c r="C301" s="49"/>
      <c r="D301" s="49"/>
      <c r="E301" s="49"/>
      <c r="F301" s="49"/>
      <c r="G301" s="49"/>
      <c r="H301" s="49"/>
      <c r="I301" s="51"/>
      <c r="J301" s="350"/>
      <c r="K301" s="351"/>
      <c r="L301" s="101"/>
      <c r="M301" s="139"/>
      <c r="N301" s="139"/>
      <c r="O301" s="139"/>
      <c r="P301" s="139"/>
      <c r="Q301" s="139"/>
      <c r="R301" s="139"/>
      <c r="S301" s="139"/>
      <c r="T301" s="139"/>
      <c r="U301" s="139"/>
      <c r="V301" s="139"/>
      <c r="W301" s="139"/>
      <c r="X301" s="139"/>
      <c r="Y301" s="139"/>
      <c r="Z301" s="139"/>
      <c r="AA301" s="49"/>
      <c r="AB301" s="49"/>
      <c r="AC301" s="49"/>
      <c r="AD301" s="49"/>
      <c r="AE301" s="49"/>
      <c r="AF301" s="49"/>
      <c r="AG301" s="49"/>
      <c r="AH301" s="49"/>
      <c r="AI301" s="49"/>
      <c r="AJ301" s="49"/>
      <c r="AK301" s="49"/>
      <c r="AL301" s="49"/>
      <c r="AM301" s="49"/>
      <c r="AN301" s="49"/>
      <c r="AO301" s="49"/>
      <c r="AP301" s="49"/>
      <c r="AQ301" s="51"/>
      <c r="AR301" s="208"/>
      <c r="AS301" s="49"/>
      <c r="AT301" s="49"/>
      <c r="AU301" s="49"/>
      <c r="AV301" s="49"/>
      <c r="AW301" s="49"/>
      <c r="AX301" s="49"/>
      <c r="AY301" s="52"/>
    </row>
    <row r="302" spans="1:53" ht="13.5" customHeight="1">
      <c r="A302" s="56"/>
      <c r="B302" s="50"/>
      <c r="C302" s="49"/>
      <c r="D302" s="49"/>
      <c r="E302" s="49"/>
      <c r="F302" s="49"/>
      <c r="G302" s="49"/>
      <c r="H302" s="49"/>
      <c r="I302" s="51"/>
      <c r="J302" s="350"/>
      <c r="K302" s="351"/>
      <c r="L302" s="101"/>
      <c r="M302" s="139" t="s">
        <v>794</v>
      </c>
      <c r="N302" s="139"/>
      <c r="O302" s="139"/>
      <c r="P302" s="139"/>
      <c r="Q302" s="139"/>
      <c r="R302" s="139"/>
      <c r="S302" s="139"/>
      <c r="T302" s="139"/>
      <c r="U302" s="139"/>
      <c r="V302" s="139"/>
      <c r="W302" s="139"/>
      <c r="X302" s="139"/>
      <c r="Y302" s="139"/>
      <c r="Z302" s="139"/>
      <c r="AA302" s="49"/>
      <c r="AB302" s="49"/>
      <c r="AC302" s="49"/>
      <c r="AD302" s="49"/>
      <c r="AE302" s="49"/>
      <c r="AF302" s="49"/>
      <c r="AG302" s="49"/>
      <c r="AH302" s="49"/>
      <c r="AI302" s="49"/>
      <c r="AJ302" s="49"/>
      <c r="AK302" s="49"/>
      <c r="AL302" s="49"/>
      <c r="AM302" s="49"/>
      <c r="AN302" s="49"/>
      <c r="AO302" s="49"/>
      <c r="AP302" s="49"/>
      <c r="AQ302" s="51"/>
      <c r="AR302" s="208" t="s">
        <v>795</v>
      </c>
      <c r="AS302" s="49"/>
      <c r="AT302" s="49"/>
      <c r="AU302" s="49"/>
      <c r="AV302" s="49"/>
      <c r="AW302" s="49"/>
      <c r="AX302" s="49"/>
      <c r="AY302" s="52"/>
    </row>
    <row r="303" spans="1:53" ht="13.5" customHeight="1">
      <c r="A303" s="56"/>
      <c r="B303" s="50"/>
      <c r="C303" s="49"/>
      <c r="D303" s="49"/>
      <c r="E303" s="49"/>
      <c r="F303" s="49"/>
      <c r="G303" s="49"/>
      <c r="H303" s="49"/>
      <c r="I303" s="51"/>
      <c r="J303" s="350"/>
      <c r="K303" s="351"/>
      <c r="L303" s="101"/>
      <c r="M303" s="139"/>
      <c r="N303" s="139"/>
      <c r="O303" s="139"/>
      <c r="P303" s="139"/>
      <c r="Q303" s="139"/>
      <c r="R303" s="139"/>
      <c r="S303" s="139"/>
      <c r="T303" s="139"/>
      <c r="U303" s="139"/>
      <c r="V303" s="139"/>
      <c r="W303" s="139"/>
      <c r="X303" s="139"/>
      <c r="Y303" s="139"/>
      <c r="Z303" s="139"/>
      <c r="AA303" s="49"/>
      <c r="AB303" s="49"/>
      <c r="AC303" s="49"/>
      <c r="AD303" s="49"/>
      <c r="AE303" s="49"/>
      <c r="AF303" s="49"/>
      <c r="AG303" s="49"/>
      <c r="AH303" s="49"/>
      <c r="AI303" s="49"/>
      <c r="AJ303" s="49"/>
      <c r="AK303" s="49"/>
      <c r="AL303" s="49"/>
      <c r="AM303" s="49"/>
      <c r="AN303" s="49"/>
      <c r="AO303" s="49"/>
      <c r="AP303" s="49"/>
      <c r="AQ303" s="51"/>
      <c r="AR303" s="208"/>
      <c r="AS303" s="49"/>
      <c r="AT303" s="49"/>
      <c r="AU303" s="49"/>
      <c r="AV303" s="49"/>
      <c r="AW303" s="49"/>
      <c r="AX303" s="49"/>
      <c r="AY303" s="52"/>
    </row>
    <row r="304" spans="1:53" ht="13.5" customHeight="1">
      <c r="A304" s="56"/>
      <c r="B304" s="50"/>
      <c r="C304" s="49"/>
      <c r="D304" s="49"/>
      <c r="E304" s="49"/>
      <c r="F304" s="49"/>
      <c r="G304" s="49"/>
      <c r="H304" s="49"/>
      <c r="I304" s="51"/>
      <c r="J304" s="350"/>
      <c r="K304" s="351"/>
      <c r="L304" s="101"/>
      <c r="M304" s="139" t="s">
        <v>779</v>
      </c>
      <c r="N304" s="139"/>
      <c r="O304" s="139"/>
      <c r="P304" s="139"/>
      <c r="Q304" s="139"/>
      <c r="R304" s="139"/>
      <c r="S304" s="139"/>
      <c r="T304" s="139"/>
      <c r="U304" s="139"/>
      <c r="V304" s="139"/>
      <c r="W304" s="139"/>
      <c r="X304" s="139"/>
      <c r="Y304" s="139"/>
      <c r="Z304" s="139"/>
      <c r="AA304" s="49"/>
      <c r="AB304" s="49"/>
      <c r="AC304" s="49"/>
      <c r="AD304" s="49"/>
      <c r="AE304" s="49"/>
      <c r="AF304" s="49"/>
      <c r="AG304" s="49"/>
      <c r="AH304" s="49"/>
      <c r="AI304" s="49"/>
      <c r="AJ304" s="49"/>
      <c r="AK304" s="49"/>
      <c r="AL304" s="49"/>
      <c r="AM304" s="49"/>
      <c r="AN304" s="49"/>
      <c r="AO304" s="49"/>
      <c r="AP304" s="49"/>
      <c r="AQ304" s="51"/>
      <c r="AR304" s="208" t="s">
        <v>797</v>
      </c>
      <c r="AS304" s="49"/>
      <c r="AT304" s="49"/>
      <c r="AU304" s="49"/>
      <c r="AV304" s="49"/>
      <c r="AW304" s="49"/>
      <c r="AX304" s="49"/>
      <c r="AY304" s="52"/>
      <c r="AZ304" s="23">
        <v>0.7</v>
      </c>
    </row>
    <row r="305" spans="1:53" ht="13.5" customHeight="1">
      <c r="A305" s="56"/>
      <c r="B305" s="50"/>
      <c r="C305" s="49"/>
      <c r="D305" s="49"/>
      <c r="E305" s="49"/>
      <c r="F305" s="49"/>
      <c r="G305" s="49"/>
      <c r="H305" s="49"/>
      <c r="I305" s="51"/>
      <c r="J305" s="350"/>
      <c r="K305" s="351"/>
      <c r="L305" s="101"/>
      <c r="M305" s="139"/>
      <c r="N305" s="139"/>
      <c r="O305" s="139"/>
      <c r="P305" s="139"/>
      <c r="Q305" s="139"/>
      <c r="R305" s="139"/>
      <c r="S305" s="139"/>
      <c r="T305" s="139"/>
      <c r="U305" s="139"/>
      <c r="V305" s="139"/>
      <c r="W305" s="139"/>
      <c r="X305" s="139"/>
      <c r="Y305" s="139"/>
      <c r="Z305" s="139"/>
      <c r="AA305" s="49"/>
      <c r="AB305" s="49"/>
      <c r="AC305" s="49"/>
      <c r="AD305" s="49"/>
      <c r="AE305" s="49"/>
      <c r="AF305" s="49"/>
      <c r="AG305" s="49"/>
      <c r="AH305" s="49"/>
      <c r="AI305" s="49"/>
      <c r="AJ305" s="49"/>
      <c r="AK305" s="49"/>
      <c r="AL305" s="49"/>
      <c r="AM305" s="49"/>
      <c r="AN305" s="49"/>
      <c r="AO305" s="49"/>
      <c r="AP305" s="49"/>
      <c r="AQ305" s="51"/>
      <c r="AR305" s="208"/>
      <c r="AS305" s="49"/>
      <c r="AT305" s="49"/>
      <c r="AU305" s="49"/>
      <c r="AV305" s="49"/>
      <c r="AW305" s="49"/>
      <c r="AX305" s="49"/>
      <c r="AY305" s="52"/>
    </row>
    <row r="306" spans="1:53" ht="13.5" customHeight="1">
      <c r="A306" s="56"/>
      <c r="B306" s="50"/>
      <c r="C306" s="49"/>
      <c r="D306" s="49"/>
      <c r="E306" s="49"/>
      <c r="F306" s="49"/>
      <c r="G306" s="49"/>
      <c r="H306" s="49"/>
      <c r="I306" s="51"/>
      <c r="J306" s="350"/>
      <c r="K306" s="351"/>
      <c r="L306" s="101"/>
      <c r="M306" s="139" t="s">
        <v>780</v>
      </c>
      <c r="N306" s="139"/>
      <c r="O306" s="139"/>
      <c r="P306" s="139"/>
      <c r="Q306" s="139"/>
      <c r="R306" s="139"/>
      <c r="S306" s="139"/>
      <c r="T306" s="139"/>
      <c r="U306" s="139"/>
      <c r="V306" s="139"/>
      <c r="W306" s="139"/>
      <c r="X306" s="139"/>
      <c r="Y306" s="139"/>
      <c r="Z306" s="139"/>
      <c r="AA306" s="49"/>
      <c r="AB306" s="49"/>
      <c r="AC306" s="49"/>
      <c r="AD306" s="49"/>
      <c r="AE306" s="49"/>
      <c r="AF306" s="49"/>
      <c r="AG306" s="49"/>
      <c r="AH306" s="49"/>
      <c r="AI306" s="49"/>
      <c r="AJ306" s="49"/>
      <c r="AK306" s="49"/>
      <c r="AL306" s="49"/>
      <c r="AM306" s="49"/>
      <c r="AN306" s="49"/>
      <c r="AO306" s="49"/>
      <c r="AP306" s="49"/>
      <c r="AQ306" s="51"/>
      <c r="AR306" s="208" t="s">
        <v>813</v>
      </c>
      <c r="AS306" s="49"/>
      <c r="AT306" s="49"/>
      <c r="AU306" s="49"/>
      <c r="AV306" s="49"/>
      <c r="AW306" s="49"/>
      <c r="AX306" s="49"/>
      <c r="AY306" s="52"/>
      <c r="AZ306" s="23">
        <v>0.7</v>
      </c>
    </row>
    <row r="307" spans="1:53" ht="13.5" customHeight="1">
      <c r="A307" s="56"/>
      <c r="B307" s="50"/>
      <c r="C307" s="49"/>
      <c r="D307" s="49"/>
      <c r="E307" s="49"/>
      <c r="F307" s="49"/>
      <c r="G307" s="49"/>
      <c r="H307" s="49"/>
      <c r="I307" s="51"/>
      <c r="J307" s="415"/>
      <c r="K307" s="416"/>
      <c r="L307" s="101"/>
      <c r="M307" s="139"/>
      <c r="N307" s="139"/>
      <c r="O307" s="139"/>
      <c r="P307" s="139"/>
      <c r="Q307" s="139"/>
      <c r="R307" s="139"/>
      <c r="S307" s="139"/>
      <c r="T307" s="139"/>
      <c r="U307" s="139"/>
      <c r="V307" s="139"/>
      <c r="W307" s="139"/>
      <c r="X307" s="139"/>
      <c r="Y307" s="139"/>
      <c r="Z307" s="139"/>
      <c r="AA307" s="49"/>
      <c r="AB307" s="49"/>
      <c r="AC307" s="49"/>
      <c r="AD307" s="49"/>
      <c r="AE307" s="49"/>
      <c r="AF307" s="49"/>
      <c r="AG307" s="49"/>
      <c r="AH307" s="49"/>
      <c r="AI307" s="49"/>
      <c r="AJ307" s="49"/>
      <c r="AK307" s="49"/>
      <c r="AL307" s="49"/>
      <c r="AM307" s="49"/>
      <c r="AN307" s="49"/>
      <c r="AO307" s="49"/>
      <c r="AP307" s="49"/>
      <c r="AQ307" s="51"/>
      <c r="AR307" s="208"/>
      <c r="AS307" s="49"/>
      <c r="AT307" s="49"/>
      <c r="AU307" s="49"/>
      <c r="AV307" s="49"/>
      <c r="AW307" s="49"/>
      <c r="AX307" s="49"/>
      <c r="AY307" s="52"/>
    </row>
    <row r="308" spans="1:53" ht="13.5" customHeight="1">
      <c r="A308" s="56"/>
      <c r="B308" s="50"/>
      <c r="C308" s="49"/>
      <c r="D308" s="49"/>
      <c r="E308" s="49"/>
      <c r="F308" s="49"/>
      <c r="G308" s="49"/>
      <c r="H308" s="49"/>
      <c r="I308" s="51"/>
      <c r="J308" s="415"/>
      <c r="K308" s="416"/>
      <c r="L308" s="101"/>
      <c r="M308" s="505" t="s">
        <v>1060</v>
      </c>
      <c r="N308" s="139"/>
      <c r="O308" s="139"/>
      <c r="P308" s="139"/>
      <c r="Q308" s="139"/>
      <c r="R308" s="139"/>
      <c r="S308" s="139"/>
      <c r="T308" s="139"/>
      <c r="U308" s="139"/>
      <c r="V308" s="139"/>
      <c r="W308" s="139"/>
      <c r="X308" s="139"/>
      <c r="Y308" s="139"/>
      <c r="Z308" s="139"/>
      <c r="AA308" s="49"/>
      <c r="AB308" s="49"/>
      <c r="AC308" s="49"/>
      <c r="AD308" s="49"/>
      <c r="AE308" s="49"/>
      <c r="AF308" s="49"/>
      <c r="AG308" s="49"/>
      <c r="AH308" s="49"/>
      <c r="AI308" s="49"/>
      <c r="AJ308" s="49"/>
      <c r="AK308" s="49"/>
      <c r="AL308" s="49"/>
      <c r="AM308" s="49"/>
      <c r="AN308" s="49"/>
      <c r="AO308" s="49"/>
      <c r="AP308" s="49"/>
      <c r="AQ308" s="51"/>
      <c r="AR308" s="208" t="s">
        <v>1059</v>
      </c>
      <c r="AS308" s="49"/>
      <c r="AT308" s="49"/>
      <c r="AU308" s="49"/>
      <c r="AV308" s="49"/>
      <c r="AW308" s="49"/>
      <c r="AX308" s="49"/>
      <c r="AY308" s="52"/>
      <c r="BA308" s="23">
        <v>2.9</v>
      </c>
    </row>
    <row r="309" spans="1:53" ht="13.5" customHeight="1">
      <c r="A309" s="56"/>
      <c r="B309" s="50"/>
      <c r="C309" s="49"/>
      <c r="D309" s="49"/>
      <c r="E309" s="49"/>
      <c r="F309" s="49"/>
      <c r="G309" s="49"/>
      <c r="H309" s="49"/>
      <c r="I309" s="51"/>
      <c r="J309" s="417"/>
      <c r="K309" s="418"/>
      <c r="L309" s="101"/>
      <c r="M309" s="102"/>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51"/>
      <c r="AR309" s="208"/>
      <c r="AS309" s="49"/>
      <c r="AT309" s="49"/>
      <c r="AU309" s="49"/>
      <c r="AV309" s="49"/>
      <c r="AW309" s="49"/>
      <c r="AX309" s="49"/>
      <c r="AY309" s="52"/>
    </row>
    <row r="310" spans="1:53" ht="13.5" customHeight="1">
      <c r="A310" s="56"/>
      <c r="B310" s="50"/>
      <c r="C310" s="49"/>
      <c r="D310" s="49"/>
      <c r="E310" s="49"/>
      <c r="F310" s="49"/>
      <c r="G310" s="49"/>
      <c r="H310" s="49"/>
      <c r="I310" s="51"/>
      <c r="J310" s="417"/>
      <c r="K310" s="418"/>
      <c r="L310" s="101"/>
      <c r="M310" s="102" t="s">
        <v>1068</v>
      </c>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51"/>
      <c r="AR310" s="208" t="s">
        <v>1065</v>
      </c>
      <c r="AS310" s="49"/>
      <c r="AT310" s="49"/>
      <c r="AU310" s="49"/>
      <c r="AV310" s="49"/>
      <c r="AW310" s="49"/>
      <c r="AX310" s="49"/>
      <c r="AY310" s="52"/>
      <c r="BA310" s="23">
        <v>2.9</v>
      </c>
    </row>
    <row r="311" spans="1:53" ht="13.5" customHeight="1">
      <c r="A311" s="56"/>
      <c r="B311" s="50"/>
      <c r="C311" s="49"/>
      <c r="D311" s="49"/>
      <c r="E311" s="49"/>
      <c r="F311" s="49"/>
      <c r="G311" s="49"/>
      <c r="H311" s="49"/>
      <c r="I311" s="51"/>
      <c r="J311" s="426"/>
      <c r="K311" s="427"/>
      <c r="L311" s="101"/>
      <c r="M311" s="102"/>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51"/>
      <c r="AR311" s="208"/>
      <c r="AS311" s="49"/>
      <c r="AT311" s="49"/>
      <c r="AU311" s="49"/>
      <c r="AV311" s="49"/>
      <c r="AW311" s="49"/>
      <c r="AX311" s="49"/>
      <c r="AY311" s="52"/>
    </row>
    <row r="312" spans="1:53" s="430" customFormat="1" ht="13.5" customHeight="1">
      <c r="A312" s="62"/>
      <c r="B312" s="101"/>
      <c r="C312" s="102"/>
      <c r="D312" s="102"/>
      <c r="E312" s="102"/>
      <c r="F312" s="102"/>
      <c r="G312" s="102"/>
      <c r="H312" s="102"/>
      <c r="I312" s="377"/>
      <c r="J312" s="431"/>
      <c r="K312" s="432"/>
      <c r="L312" s="101"/>
      <c r="M312" s="505" t="s">
        <v>1126</v>
      </c>
      <c r="N312" s="505"/>
      <c r="O312" s="505"/>
      <c r="P312" s="505"/>
      <c r="Q312" s="505"/>
      <c r="R312" s="505"/>
      <c r="S312" s="505"/>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377"/>
      <c r="AR312" s="396" t="s">
        <v>1127</v>
      </c>
      <c r="AS312" s="102"/>
      <c r="AT312" s="102"/>
      <c r="AU312" s="102"/>
      <c r="AV312" s="102"/>
      <c r="AW312" s="102"/>
      <c r="AX312" s="102"/>
      <c r="AY312" s="406"/>
      <c r="BA312" s="430">
        <v>3.1</v>
      </c>
    </row>
    <row r="313" spans="1:53" s="430" customFormat="1" ht="13.5" customHeight="1">
      <c r="A313" s="62"/>
      <c r="B313" s="101"/>
      <c r="C313" s="102"/>
      <c r="D313" s="102"/>
      <c r="E313" s="102"/>
      <c r="F313" s="102"/>
      <c r="G313" s="102"/>
      <c r="H313" s="102"/>
      <c r="I313" s="377"/>
      <c r="J313" s="431"/>
      <c r="K313" s="432"/>
      <c r="L313" s="101"/>
      <c r="M313" s="505"/>
      <c r="N313" s="505"/>
      <c r="O313" s="505"/>
      <c r="P313" s="505"/>
      <c r="Q313" s="505"/>
      <c r="R313" s="505"/>
      <c r="S313" s="505"/>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377"/>
      <c r="AR313" s="396"/>
      <c r="AS313" s="102"/>
      <c r="AT313" s="102"/>
      <c r="AU313" s="102"/>
      <c r="AV313" s="102"/>
      <c r="AW313" s="102"/>
      <c r="AX313" s="102"/>
      <c r="AY313" s="406"/>
    </row>
    <row r="314" spans="1:53" s="430" customFormat="1" ht="13.5" customHeight="1">
      <c r="A314" s="62"/>
      <c r="B314" s="101"/>
      <c r="C314" s="102"/>
      <c r="D314" s="102"/>
      <c r="E314" s="102"/>
      <c r="F314" s="102"/>
      <c r="G314" s="102"/>
      <c r="H314" s="102"/>
      <c r="I314" s="377"/>
      <c r="J314" s="431"/>
      <c r="K314" s="432"/>
      <c r="L314" s="101"/>
      <c r="M314" s="505" t="s">
        <v>1128</v>
      </c>
      <c r="N314" s="505"/>
      <c r="O314" s="505"/>
      <c r="P314" s="505"/>
      <c r="Q314" s="505"/>
      <c r="R314" s="505"/>
      <c r="S314" s="505"/>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377"/>
      <c r="AR314" s="396" t="s">
        <v>1129</v>
      </c>
      <c r="AS314" s="102"/>
      <c r="AT314" s="102"/>
      <c r="AU314" s="102"/>
      <c r="AV314" s="102"/>
      <c r="AW314" s="102"/>
      <c r="AX314" s="102"/>
      <c r="AY314" s="406"/>
      <c r="BA314" s="430">
        <v>3.1</v>
      </c>
    </row>
    <row r="315" spans="1:53" s="430" customFormat="1" ht="13.5" customHeight="1" thickBot="1">
      <c r="A315" s="335"/>
      <c r="B315" s="336"/>
      <c r="C315" s="338"/>
      <c r="D315" s="338"/>
      <c r="E315" s="338"/>
      <c r="F315" s="338"/>
      <c r="G315" s="338"/>
      <c r="H315" s="338"/>
      <c r="I315" s="435"/>
      <c r="J315" s="436"/>
      <c r="K315" s="437"/>
      <c r="L315" s="336"/>
      <c r="M315" s="338"/>
      <c r="N315" s="338"/>
      <c r="O315" s="338"/>
      <c r="P315" s="338"/>
      <c r="Q315" s="338"/>
      <c r="R315" s="338"/>
      <c r="S315" s="338"/>
      <c r="T315" s="338"/>
      <c r="U315" s="338"/>
      <c r="V315" s="338"/>
      <c r="W315" s="338"/>
      <c r="X315" s="338"/>
      <c r="Y315" s="338"/>
      <c r="Z315" s="338"/>
      <c r="AA315" s="338"/>
      <c r="AB315" s="338"/>
      <c r="AC315" s="338"/>
      <c r="AD315" s="338"/>
      <c r="AE315" s="338"/>
      <c r="AF315" s="338"/>
      <c r="AG315" s="338"/>
      <c r="AH315" s="338"/>
      <c r="AI315" s="338"/>
      <c r="AJ315" s="338"/>
      <c r="AK315" s="338"/>
      <c r="AL315" s="338"/>
      <c r="AM315" s="338"/>
      <c r="AN315" s="338"/>
      <c r="AO315" s="338"/>
      <c r="AP315" s="338"/>
      <c r="AQ315" s="435"/>
      <c r="AR315" s="438"/>
      <c r="AS315" s="338"/>
      <c r="AT315" s="338"/>
      <c r="AU315" s="338"/>
      <c r="AV315" s="338"/>
      <c r="AW315" s="338"/>
      <c r="AX315" s="338"/>
      <c r="AY315" s="439"/>
    </row>
    <row r="316" spans="1:53" ht="13.5" customHeight="1">
      <c r="A316" s="56"/>
      <c r="B316" s="50"/>
      <c r="C316" s="49"/>
      <c r="D316" s="49"/>
      <c r="E316" s="49"/>
      <c r="F316" s="49"/>
      <c r="G316" s="49"/>
      <c r="H316" s="49"/>
      <c r="I316" s="51"/>
      <c r="J316" s="656" t="s">
        <v>669</v>
      </c>
      <c r="K316" s="657"/>
      <c r="L316" s="101" t="s">
        <v>671</v>
      </c>
      <c r="M316" s="102"/>
      <c r="N316" s="102"/>
      <c r="O316" s="103"/>
      <c r="P316" s="102"/>
      <c r="Q316" s="102"/>
      <c r="R316" s="102"/>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51"/>
      <c r="AR316" s="208" t="s">
        <v>198</v>
      </c>
      <c r="AS316" s="49"/>
      <c r="AT316" s="49"/>
      <c r="AU316" s="49"/>
      <c r="AV316" s="49"/>
      <c r="AW316" s="49"/>
      <c r="AX316" s="49"/>
      <c r="AY316" s="52"/>
    </row>
    <row r="317" spans="1:53" ht="13.5" customHeight="1">
      <c r="A317" s="56"/>
      <c r="B317" s="50"/>
      <c r="C317" s="49"/>
      <c r="D317" s="49"/>
      <c r="E317" s="49"/>
      <c r="F317" s="49"/>
      <c r="G317" s="49"/>
      <c r="H317" s="49"/>
      <c r="I317" s="51"/>
      <c r="J317" s="350"/>
      <c r="K317" s="351"/>
      <c r="L317" s="101"/>
      <c r="M317" s="102" t="s">
        <v>590</v>
      </c>
      <c r="N317" s="102"/>
      <c r="O317" s="103"/>
      <c r="P317" s="102"/>
      <c r="Q317" s="102"/>
      <c r="R317" s="102"/>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51"/>
      <c r="AR317" s="653" t="s">
        <v>443</v>
      </c>
      <c r="AS317" s="654"/>
      <c r="AT317" s="654"/>
      <c r="AU317" s="654"/>
      <c r="AV317" s="654"/>
      <c r="AW317" s="654"/>
      <c r="AX317" s="654"/>
      <c r="AY317" s="655"/>
    </row>
    <row r="318" spans="1:53" ht="13.5" customHeight="1">
      <c r="A318" s="56"/>
      <c r="B318" s="50"/>
      <c r="C318" s="49"/>
      <c r="D318" s="49"/>
      <c r="E318" s="49"/>
      <c r="F318" s="49"/>
      <c r="G318" s="49"/>
      <c r="H318" s="49"/>
      <c r="I318" s="51"/>
      <c r="J318" s="350"/>
      <c r="K318" s="351"/>
      <c r="L318" s="101"/>
      <c r="M318" s="102"/>
      <c r="N318" s="102"/>
      <c r="O318" s="103"/>
      <c r="P318" s="102"/>
      <c r="Q318" s="102"/>
      <c r="R318" s="102"/>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51"/>
      <c r="AR318" s="356"/>
      <c r="AS318" s="356"/>
      <c r="AT318" s="356"/>
      <c r="AU318" s="356"/>
      <c r="AV318" s="356"/>
      <c r="AW318" s="356"/>
      <c r="AX318" s="356"/>
      <c r="AY318" s="357"/>
    </row>
    <row r="319" spans="1:53" ht="13.5" customHeight="1">
      <c r="A319" s="56"/>
      <c r="B319" s="50"/>
      <c r="C319" s="49"/>
      <c r="D319" s="49"/>
      <c r="E319" s="49"/>
      <c r="F319" s="49"/>
      <c r="G319" s="49"/>
      <c r="H319" s="49"/>
      <c r="I319" s="51"/>
      <c r="J319" s="350"/>
      <c r="K319" s="351"/>
      <c r="L319" s="101"/>
      <c r="M319" s="102"/>
      <c r="N319" s="505" t="s">
        <v>1150</v>
      </c>
      <c r="O319" s="543"/>
      <c r="P319" s="505"/>
      <c r="Q319" s="505"/>
      <c r="R319" s="505"/>
      <c r="S319" s="139"/>
      <c r="T319" s="139"/>
      <c r="U319" s="139"/>
      <c r="V319" s="139"/>
      <c r="W319" s="139"/>
      <c r="X319" s="139"/>
      <c r="Y319" s="139"/>
      <c r="Z319" s="139"/>
      <c r="AA319" s="531"/>
      <c r="AB319" s="531"/>
      <c r="AC319" s="531"/>
      <c r="AD319" s="159"/>
      <c r="AE319" s="49"/>
      <c r="AF319" s="49"/>
      <c r="AG319" s="49"/>
      <c r="AH319" s="49"/>
      <c r="AI319" s="49"/>
      <c r="AJ319" s="49"/>
      <c r="AK319" s="49"/>
      <c r="AL319" s="49"/>
      <c r="AM319" s="49"/>
      <c r="AN319" s="49"/>
      <c r="AO319" s="49"/>
      <c r="AP319" s="49"/>
      <c r="AQ319" s="51"/>
      <c r="AR319" s="208" t="s">
        <v>1145</v>
      </c>
      <c r="AS319" s="356"/>
      <c r="AT319" s="356"/>
      <c r="AU319" s="356"/>
      <c r="AV319" s="356"/>
      <c r="AW319" s="356"/>
      <c r="AX319" s="356"/>
      <c r="AY319" s="357"/>
      <c r="BA319" s="23">
        <v>3.2</v>
      </c>
    </row>
    <row r="320" spans="1:53" ht="13.5" customHeight="1">
      <c r="A320" s="56"/>
      <c r="B320" s="50"/>
      <c r="C320" s="49"/>
      <c r="D320" s="49"/>
      <c r="E320" s="49"/>
      <c r="F320" s="49"/>
      <c r="G320" s="49"/>
      <c r="H320" s="49"/>
      <c r="I320" s="51"/>
      <c r="J320" s="350"/>
      <c r="K320" s="351"/>
      <c r="L320" s="101"/>
      <c r="M320" s="102"/>
      <c r="N320" s="505"/>
      <c r="O320" s="543"/>
      <c r="P320" s="505" t="s">
        <v>571</v>
      </c>
      <c r="Q320" s="505"/>
      <c r="R320" s="505"/>
      <c r="S320" s="139"/>
      <c r="T320" s="139"/>
      <c r="U320" s="139"/>
      <c r="V320" s="139"/>
      <c r="W320" s="139"/>
      <c r="X320" s="139"/>
      <c r="Y320" s="139"/>
      <c r="Z320" s="139"/>
      <c r="AA320" s="139"/>
      <c r="AB320" s="139"/>
      <c r="AC320" s="139"/>
      <c r="AD320" s="49"/>
      <c r="AE320" s="49"/>
      <c r="AF320" s="49"/>
      <c r="AG320" s="49"/>
      <c r="AH320" s="49"/>
      <c r="AI320" s="49"/>
      <c r="AJ320" s="49"/>
      <c r="AK320" s="49"/>
      <c r="AL320" s="49"/>
      <c r="AM320" s="49"/>
      <c r="AN320" s="49"/>
      <c r="AO320" s="49"/>
      <c r="AP320" s="49"/>
      <c r="AQ320" s="51"/>
      <c r="AR320" s="356"/>
      <c r="AS320" s="356"/>
      <c r="AT320" s="356"/>
      <c r="AU320" s="356"/>
      <c r="AV320" s="356"/>
      <c r="AW320" s="356"/>
      <c r="AX320" s="356"/>
      <c r="AY320" s="357"/>
    </row>
    <row r="321" spans="1:53" ht="13.5" customHeight="1">
      <c r="A321" s="56"/>
      <c r="B321" s="50"/>
      <c r="C321" s="49"/>
      <c r="D321" s="49"/>
      <c r="E321" s="49"/>
      <c r="F321" s="49"/>
      <c r="G321" s="49"/>
      <c r="H321" s="49"/>
      <c r="I321" s="51"/>
      <c r="J321" s="350"/>
      <c r="K321" s="351"/>
      <c r="L321" s="101"/>
      <c r="M321" s="102"/>
      <c r="N321" s="505"/>
      <c r="O321" s="543"/>
      <c r="P321" s="505"/>
      <c r="Q321" s="505"/>
      <c r="R321" s="505"/>
      <c r="S321" s="139"/>
      <c r="T321" s="139"/>
      <c r="U321" s="139"/>
      <c r="V321" s="139"/>
      <c r="W321" s="139"/>
      <c r="X321" s="139"/>
      <c r="Y321" s="139"/>
      <c r="Z321" s="139"/>
      <c r="AA321" s="139"/>
      <c r="AB321" s="139"/>
      <c r="AC321" s="139"/>
      <c r="AD321" s="49"/>
      <c r="AE321" s="49"/>
      <c r="AF321" s="49"/>
      <c r="AG321" s="49"/>
      <c r="AH321" s="49"/>
      <c r="AI321" s="49"/>
      <c r="AJ321" s="49"/>
      <c r="AK321" s="49"/>
      <c r="AL321" s="49"/>
      <c r="AM321" s="49"/>
      <c r="AN321" s="49"/>
      <c r="AO321" s="49"/>
      <c r="AP321" s="49"/>
      <c r="AQ321" s="51"/>
      <c r="AR321" s="356"/>
      <c r="AS321" s="356"/>
      <c r="AT321" s="356"/>
      <c r="AU321" s="356"/>
      <c r="AV321" s="356"/>
      <c r="AW321" s="356"/>
      <c r="AX321" s="356"/>
      <c r="AY321" s="357"/>
    </row>
    <row r="322" spans="1:53" ht="13.5" customHeight="1">
      <c r="A322" s="56"/>
      <c r="B322" s="50"/>
      <c r="C322" s="49"/>
      <c r="D322" s="49"/>
      <c r="E322" s="49"/>
      <c r="F322" s="49"/>
      <c r="G322" s="49"/>
      <c r="H322" s="49"/>
      <c r="I322" s="51"/>
      <c r="J322" s="350"/>
      <c r="K322" s="351"/>
      <c r="L322" s="101"/>
      <c r="M322" s="102"/>
      <c r="N322" s="505" t="s">
        <v>1151</v>
      </c>
      <c r="O322" s="543"/>
      <c r="P322" s="505"/>
      <c r="Q322" s="505"/>
      <c r="R322" s="505"/>
      <c r="S322" s="139"/>
      <c r="T322" s="139"/>
      <c r="U322" s="139"/>
      <c r="V322" s="139"/>
      <c r="W322" s="139"/>
      <c r="X322" s="139"/>
      <c r="Y322" s="139"/>
      <c r="Z322" s="139"/>
      <c r="AA322" s="139"/>
      <c r="AB322" s="139"/>
      <c r="AC322" s="139"/>
      <c r="AD322" s="49"/>
      <c r="AE322" s="49"/>
      <c r="AF322" s="49"/>
      <c r="AG322" s="49"/>
      <c r="AH322" s="49"/>
      <c r="AI322" s="49"/>
      <c r="AJ322" s="49"/>
      <c r="AK322" s="49"/>
      <c r="AL322" s="49"/>
      <c r="AM322" s="49"/>
      <c r="AN322" s="49"/>
      <c r="AO322" s="49"/>
      <c r="AP322" s="49"/>
      <c r="AQ322" s="51"/>
      <c r="AR322" s="208" t="s">
        <v>1146</v>
      </c>
      <c r="AS322" s="356"/>
      <c r="AT322" s="356"/>
      <c r="AU322" s="356"/>
      <c r="AV322" s="356"/>
      <c r="AW322" s="356"/>
      <c r="AX322" s="356"/>
      <c r="AY322" s="357"/>
      <c r="BA322" s="23">
        <v>3.2</v>
      </c>
    </row>
    <row r="323" spans="1:53" ht="13.5" customHeight="1">
      <c r="A323" s="56"/>
      <c r="B323" s="50"/>
      <c r="C323" s="49"/>
      <c r="D323" s="49"/>
      <c r="E323" s="49"/>
      <c r="F323" s="49"/>
      <c r="G323" s="49"/>
      <c r="H323" s="49"/>
      <c r="I323" s="51"/>
      <c r="J323" s="350"/>
      <c r="K323" s="351"/>
      <c r="L323" s="101"/>
      <c r="M323" s="102"/>
      <c r="N323" s="505"/>
      <c r="O323" s="543"/>
      <c r="P323" s="505" t="s">
        <v>572</v>
      </c>
      <c r="Q323" s="505"/>
      <c r="R323" s="505"/>
      <c r="S323" s="139"/>
      <c r="T323" s="139"/>
      <c r="U323" s="139"/>
      <c r="V323" s="139"/>
      <c r="W323" s="139"/>
      <c r="X323" s="139"/>
      <c r="Y323" s="139"/>
      <c r="Z323" s="139"/>
      <c r="AA323" s="139"/>
      <c r="AB323" s="139"/>
      <c r="AC323" s="139"/>
      <c r="AD323" s="49"/>
      <c r="AE323" s="49"/>
      <c r="AF323" s="49"/>
      <c r="AG323" s="49"/>
      <c r="AH323" s="49"/>
      <c r="AI323" s="49"/>
      <c r="AJ323" s="49"/>
      <c r="AK323" s="49"/>
      <c r="AL323" s="49"/>
      <c r="AM323" s="49"/>
      <c r="AN323" s="49"/>
      <c r="AO323" s="49"/>
      <c r="AP323" s="49"/>
      <c r="AQ323" s="51"/>
      <c r="AR323" s="356"/>
      <c r="AS323" s="356"/>
      <c r="AT323" s="356"/>
      <c r="AU323" s="356"/>
      <c r="AV323" s="356"/>
      <c r="AW323" s="356"/>
      <c r="AX323" s="356"/>
      <c r="AY323" s="357"/>
    </row>
    <row r="324" spans="1:53" ht="13.5" customHeight="1">
      <c r="A324" s="56"/>
      <c r="B324" s="50"/>
      <c r="C324" s="49"/>
      <c r="D324" s="49"/>
      <c r="E324" s="49"/>
      <c r="F324" s="49"/>
      <c r="G324" s="49"/>
      <c r="H324" s="49"/>
      <c r="I324" s="51"/>
      <c r="J324" s="350"/>
      <c r="K324" s="351"/>
      <c r="L324" s="101"/>
      <c r="M324" s="102"/>
      <c r="N324" s="505"/>
      <c r="O324" s="543"/>
      <c r="P324" s="505"/>
      <c r="Q324" s="505"/>
      <c r="R324" s="505"/>
      <c r="S324" s="139"/>
      <c r="T324" s="139"/>
      <c r="U324" s="139"/>
      <c r="V324" s="139"/>
      <c r="W324" s="139"/>
      <c r="X324" s="139"/>
      <c r="Y324" s="139"/>
      <c r="Z324" s="139"/>
      <c r="AA324" s="139"/>
      <c r="AB324" s="139"/>
      <c r="AC324" s="139"/>
      <c r="AD324" s="49"/>
      <c r="AE324" s="49"/>
      <c r="AF324" s="49"/>
      <c r="AG324" s="49"/>
      <c r="AH324" s="49"/>
      <c r="AI324" s="49"/>
      <c r="AJ324" s="49"/>
      <c r="AK324" s="49"/>
      <c r="AL324" s="49"/>
      <c r="AM324" s="49"/>
      <c r="AN324" s="49"/>
      <c r="AO324" s="49"/>
      <c r="AP324" s="49"/>
      <c r="AQ324" s="51"/>
      <c r="AR324" s="356"/>
      <c r="AS324" s="356"/>
      <c r="AT324" s="356"/>
      <c r="AU324" s="356"/>
      <c r="AV324" s="356"/>
      <c r="AW324" s="356"/>
      <c r="AX324" s="356"/>
      <c r="AY324" s="357"/>
    </row>
    <row r="325" spans="1:53" ht="13.5" customHeight="1">
      <c r="A325" s="56"/>
      <c r="B325" s="50"/>
      <c r="C325" s="49"/>
      <c r="D325" s="49"/>
      <c r="E325" s="49"/>
      <c r="F325" s="49"/>
      <c r="G325" s="49"/>
      <c r="H325" s="49"/>
      <c r="I325" s="51"/>
      <c r="J325" s="350"/>
      <c r="K325" s="351"/>
      <c r="L325" s="101"/>
      <c r="M325" s="102"/>
      <c r="N325" s="505" t="s">
        <v>573</v>
      </c>
      <c r="O325" s="543"/>
      <c r="P325" s="505"/>
      <c r="Q325" s="505"/>
      <c r="R325" s="505"/>
      <c r="S325" s="139"/>
      <c r="T325" s="139"/>
      <c r="U325" s="139"/>
      <c r="V325" s="139"/>
      <c r="W325" s="139"/>
      <c r="X325" s="139"/>
      <c r="Y325" s="139"/>
      <c r="Z325" s="139"/>
      <c r="AA325" s="139"/>
      <c r="AB325" s="139"/>
      <c r="AC325" s="139"/>
      <c r="AD325" s="49"/>
      <c r="AE325" s="49"/>
      <c r="AF325" s="49"/>
      <c r="AG325" s="49"/>
      <c r="AH325" s="49"/>
      <c r="AI325" s="49"/>
      <c r="AJ325" s="49"/>
      <c r="AK325" s="49"/>
      <c r="AL325" s="49"/>
      <c r="AM325" s="49"/>
      <c r="AN325" s="49"/>
      <c r="AO325" s="49"/>
      <c r="AP325" s="49"/>
      <c r="AQ325" s="51"/>
      <c r="AR325" s="208" t="s">
        <v>1147</v>
      </c>
      <c r="AS325" s="356"/>
      <c r="AT325" s="356"/>
      <c r="AU325" s="356"/>
      <c r="AV325" s="356"/>
      <c r="AW325" s="356"/>
      <c r="AX325" s="356"/>
      <c r="AY325" s="357"/>
    </row>
    <row r="326" spans="1:53" ht="13.5" customHeight="1">
      <c r="A326" s="56"/>
      <c r="B326" s="50"/>
      <c r="C326" s="49"/>
      <c r="D326" s="49"/>
      <c r="E326" s="49"/>
      <c r="F326" s="49"/>
      <c r="G326" s="49"/>
      <c r="H326" s="49"/>
      <c r="I326" s="51"/>
      <c r="J326" s="350"/>
      <c r="K326" s="351"/>
      <c r="L326" s="101"/>
      <c r="M326" s="102"/>
      <c r="N326" s="505"/>
      <c r="O326" s="543"/>
      <c r="P326" s="505"/>
      <c r="Q326" s="505"/>
      <c r="R326" s="505"/>
      <c r="S326" s="139"/>
      <c r="T326" s="139"/>
      <c r="U326" s="139"/>
      <c r="V326" s="139"/>
      <c r="W326" s="139"/>
      <c r="X326" s="139"/>
      <c r="Y326" s="139"/>
      <c r="Z326" s="139"/>
      <c r="AA326" s="139"/>
      <c r="AB326" s="139"/>
      <c r="AC326" s="139"/>
      <c r="AD326" s="49"/>
      <c r="AE326" s="49"/>
      <c r="AF326" s="49"/>
      <c r="AG326" s="49"/>
      <c r="AH326" s="49"/>
      <c r="AI326" s="49"/>
      <c r="AJ326" s="49"/>
      <c r="AK326" s="49"/>
      <c r="AL326" s="49"/>
      <c r="AM326" s="49"/>
      <c r="AN326" s="49"/>
      <c r="AO326" s="49"/>
      <c r="AP326" s="49"/>
      <c r="AQ326" s="51"/>
      <c r="AR326" s="356"/>
      <c r="AS326" s="356"/>
      <c r="AT326" s="356"/>
      <c r="AU326" s="356"/>
      <c r="AV326" s="356"/>
      <c r="AW326" s="356"/>
      <c r="AX326" s="356"/>
      <c r="AY326" s="357"/>
    </row>
    <row r="327" spans="1:53" ht="13.5" customHeight="1">
      <c r="A327" s="56"/>
      <c r="B327" s="50"/>
      <c r="C327" s="49"/>
      <c r="D327" s="49"/>
      <c r="E327" s="49"/>
      <c r="F327" s="49"/>
      <c r="G327" s="49"/>
      <c r="H327" s="49"/>
      <c r="I327" s="51"/>
      <c r="J327" s="350"/>
      <c r="K327" s="351"/>
      <c r="L327" s="101"/>
      <c r="M327" s="102"/>
      <c r="N327" s="505" t="s">
        <v>1152</v>
      </c>
      <c r="O327" s="543"/>
      <c r="P327" s="505"/>
      <c r="Q327" s="505"/>
      <c r="R327" s="505"/>
      <c r="S327" s="139"/>
      <c r="T327" s="139"/>
      <c r="U327" s="139"/>
      <c r="V327" s="139"/>
      <c r="W327" s="139"/>
      <c r="X327" s="139"/>
      <c r="Y327" s="139"/>
      <c r="Z327" s="139"/>
      <c r="AA327" s="139"/>
      <c r="AB327" s="139"/>
      <c r="AC327" s="139"/>
      <c r="AD327" s="49"/>
      <c r="AE327" s="49"/>
      <c r="AF327" s="49"/>
      <c r="AG327" s="49"/>
      <c r="AH327" s="49"/>
      <c r="AI327" s="49"/>
      <c r="AJ327" s="49"/>
      <c r="AK327" s="49"/>
      <c r="AL327" s="49"/>
      <c r="AM327" s="49"/>
      <c r="AN327" s="49"/>
      <c r="AO327" s="49"/>
      <c r="AP327" s="49"/>
      <c r="AQ327" s="51"/>
      <c r="AR327" s="208" t="s">
        <v>785</v>
      </c>
      <c r="AS327" s="356"/>
      <c r="AT327" s="356"/>
      <c r="AU327" s="356"/>
      <c r="AV327" s="356"/>
      <c r="AW327" s="356"/>
      <c r="AX327" s="356"/>
      <c r="AY327" s="357"/>
      <c r="BA327" s="23">
        <v>3.2</v>
      </c>
    </row>
    <row r="328" spans="1:53" ht="13.5" customHeight="1">
      <c r="A328" s="56"/>
      <c r="B328" s="50"/>
      <c r="C328" s="49"/>
      <c r="D328" s="49"/>
      <c r="E328" s="49"/>
      <c r="F328" s="49"/>
      <c r="G328" s="49"/>
      <c r="H328" s="49"/>
      <c r="I328" s="51"/>
      <c r="J328" s="350"/>
      <c r="K328" s="351"/>
      <c r="L328" s="101"/>
      <c r="M328" s="102"/>
      <c r="N328" s="505"/>
      <c r="O328" s="543"/>
      <c r="P328" s="505" t="s">
        <v>574</v>
      </c>
      <c r="Q328" s="505"/>
      <c r="R328" s="505"/>
      <c r="S328" s="139"/>
      <c r="T328" s="139"/>
      <c r="U328" s="139"/>
      <c r="V328" s="139"/>
      <c r="W328" s="139"/>
      <c r="X328" s="139"/>
      <c r="Y328" s="139"/>
      <c r="Z328" s="139"/>
      <c r="AA328" s="139"/>
      <c r="AB328" s="139"/>
      <c r="AC328" s="139"/>
      <c r="AD328" s="49"/>
      <c r="AE328" s="49"/>
      <c r="AF328" s="49"/>
      <c r="AG328" s="49"/>
      <c r="AH328" s="49"/>
      <c r="AI328" s="49"/>
      <c r="AJ328" s="49"/>
      <c r="AK328" s="49"/>
      <c r="AL328" s="49"/>
      <c r="AM328" s="49"/>
      <c r="AN328" s="49"/>
      <c r="AO328" s="49"/>
      <c r="AP328" s="49"/>
      <c r="AQ328" s="51"/>
      <c r="AR328" s="356"/>
      <c r="AS328" s="356"/>
      <c r="AT328" s="356"/>
      <c r="AU328" s="356"/>
      <c r="AV328" s="356"/>
      <c r="AW328" s="356"/>
      <c r="AX328" s="356"/>
      <c r="AY328" s="357"/>
    </row>
    <row r="329" spans="1:53" ht="13.5" customHeight="1">
      <c r="A329" s="56"/>
      <c r="B329" s="50"/>
      <c r="C329" s="49"/>
      <c r="D329" s="49"/>
      <c r="E329" s="49"/>
      <c r="F329" s="49"/>
      <c r="G329" s="49"/>
      <c r="H329" s="49"/>
      <c r="I329" s="51"/>
      <c r="J329" s="350"/>
      <c r="K329" s="351"/>
      <c r="L329" s="101"/>
      <c r="M329" s="102"/>
      <c r="N329" s="505"/>
      <c r="O329" s="543"/>
      <c r="P329" s="505"/>
      <c r="Q329" s="505"/>
      <c r="R329" s="505"/>
      <c r="S329" s="139"/>
      <c r="T329" s="139"/>
      <c r="U329" s="139"/>
      <c r="V329" s="139"/>
      <c r="W329" s="139"/>
      <c r="X329" s="139"/>
      <c r="Y329" s="139"/>
      <c r="Z329" s="139"/>
      <c r="AA329" s="139"/>
      <c r="AB329" s="139"/>
      <c r="AC329" s="139"/>
      <c r="AD329" s="49"/>
      <c r="AE329" s="49"/>
      <c r="AF329" s="49"/>
      <c r="AG329" s="49"/>
      <c r="AH329" s="49"/>
      <c r="AI329" s="49"/>
      <c r="AJ329" s="49"/>
      <c r="AK329" s="49"/>
      <c r="AL329" s="49"/>
      <c r="AM329" s="49"/>
      <c r="AN329" s="49"/>
      <c r="AO329" s="49"/>
      <c r="AP329" s="49"/>
      <c r="AQ329" s="51"/>
      <c r="AR329" s="356"/>
      <c r="AS329" s="356"/>
      <c r="AT329" s="356"/>
      <c r="AU329" s="356"/>
      <c r="AV329" s="356"/>
      <c r="AW329" s="356"/>
      <c r="AX329" s="356"/>
      <c r="AY329" s="357"/>
    </row>
    <row r="330" spans="1:53" ht="13.5" customHeight="1">
      <c r="A330" s="56"/>
      <c r="B330" s="50"/>
      <c r="C330" s="49"/>
      <c r="D330" s="49"/>
      <c r="E330" s="49"/>
      <c r="F330" s="49"/>
      <c r="G330" s="49"/>
      <c r="H330" s="49"/>
      <c r="I330" s="51"/>
      <c r="J330" s="350"/>
      <c r="K330" s="351"/>
      <c r="L330" s="101"/>
      <c r="M330" s="102"/>
      <c r="N330" s="505" t="s">
        <v>575</v>
      </c>
      <c r="O330" s="543"/>
      <c r="P330" s="505"/>
      <c r="Q330" s="505"/>
      <c r="R330" s="505"/>
      <c r="S330" s="139"/>
      <c r="T330" s="139"/>
      <c r="U330" s="139"/>
      <c r="V330" s="139"/>
      <c r="W330" s="139"/>
      <c r="X330" s="139"/>
      <c r="Y330" s="139"/>
      <c r="Z330" s="139"/>
      <c r="AA330" s="139"/>
      <c r="AB330" s="139"/>
      <c r="AC330" s="139"/>
      <c r="AD330" s="49"/>
      <c r="AE330" s="49"/>
      <c r="AF330" s="49"/>
      <c r="AG330" s="49"/>
      <c r="AH330" s="49"/>
      <c r="AI330" s="49"/>
      <c r="AJ330" s="49"/>
      <c r="AK330" s="49"/>
      <c r="AL330" s="49"/>
      <c r="AM330" s="49"/>
      <c r="AN330" s="49"/>
      <c r="AO330" s="49"/>
      <c r="AP330" s="49"/>
      <c r="AQ330" s="51"/>
      <c r="AR330" s="208" t="s">
        <v>786</v>
      </c>
      <c r="AS330" s="356"/>
      <c r="AT330" s="356"/>
      <c r="AU330" s="356"/>
      <c r="AV330" s="356"/>
      <c r="AW330" s="356"/>
      <c r="AX330" s="356"/>
      <c r="AY330" s="357"/>
    </row>
    <row r="331" spans="1:53" ht="13.5" customHeight="1">
      <c r="A331" s="56"/>
      <c r="B331" s="50"/>
      <c r="C331" s="49"/>
      <c r="D331" s="49"/>
      <c r="E331" s="49"/>
      <c r="F331" s="49"/>
      <c r="G331" s="49"/>
      <c r="H331" s="49"/>
      <c r="I331" s="51"/>
      <c r="J331" s="350"/>
      <c r="K331" s="351"/>
      <c r="L331" s="101"/>
      <c r="M331" s="102"/>
      <c r="N331" s="505"/>
      <c r="O331" s="543"/>
      <c r="P331" s="505" t="s">
        <v>571</v>
      </c>
      <c r="Q331" s="505"/>
      <c r="R331" s="505"/>
      <c r="S331" s="139"/>
      <c r="T331" s="139"/>
      <c r="U331" s="139"/>
      <c r="V331" s="139"/>
      <c r="W331" s="139"/>
      <c r="X331" s="139"/>
      <c r="Y331" s="139"/>
      <c r="Z331" s="139"/>
      <c r="AA331" s="139"/>
      <c r="AB331" s="139"/>
      <c r="AC331" s="139"/>
      <c r="AD331" s="49"/>
      <c r="AE331" s="49"/>
      <c r="AF331" s="49"/>
      <c r="AG331" s="49"/>
      <c r="AH331" s="49"/>
      <c r="AI331" s="49"/>
      <c r="AJ331" s="49"/>
      <c r="AK331" s="49"/>
      <c r="AL331" s="49"/>
      <c r="AM331" s="49"/>
      <c r="AN331" s="49"/>
      <c r="AO331" s="49"/>
      <c r="AP331" s="49"/>
      <c r="AQ331" s="51"/>
      <c r="AR331" s="356"/>
      <c r="AS331" s="356"/>
      <c r="AT331" s="356"/>
      <c r="AU331" s="356"/>
      <c r="AV331" s="356"/>
      <c r="AW331" s="356"/>
      <c r="AX331" s="356"/>
      <c r="AY331" s="357"/>
    </row>
    <row r="332" spans="1:53" ht="13.5" customHeight="1">
      <c r="A332" s="56"/>
      <c r="B332" s="50"/>
      <c r="C332" s="49"/>
      <c r="D332" s="49"/>
      <c r="E332" s="49"/>
      <c r="F332" s="49"/>
      <c r="G332" s="49"/>
      <c r="H332" s="49"/>
      <c r="I332" s="51"/>
      <c r="J332" s="350"/>
      <c r="K332" s="351"/>
      <c r="L332" s="101"/>
      <c r="M332" s="102"/>
      <c r="N332" s="505"/>
      <c r="O332" s="543"/>
      <c r="P332" s="505"/>
      <c r="Q332" s="505"/>
      <c r="R332" s="505"/>
      <c r="S332" s="139"/>
      <c r="T332" s="139"/>
      <c r="U332" s="139"/>
      <c r="V332" s="139"/>
      <c r="W332" s="139"/>
      <c r="X332" s="139"/>
      <c r="Y332" s="139"/>
      <c r="Z332" s="139"/>
      <c r="AA332" s="139"/>
      <c r="AB332" s="139"/>
      <c r="AC332" s="139"/>
      <c r="AD332" s="49"/>
      <c r="AE332" s="49"/>
      <c r="AF332" s="49"/>
      <c r="AG332" s="49"/>
      <c r="AH332" s="49"/>
      <c r="AI332" s="49"/>
      <c r="AJ332" s="49"/>
      <c r="AK332" s="49"/>
      <c r="AL332" s="49"/>
      <c r="AM332" s="49"/>
      <c r="AN332" s="49"/>
      <c r="AO332" s="49"/>
      <c r="AP332" s="49"/>
      <c r="AQ332" s="51"/>
      <c r="AR332" s="356"/>
      <c r="AS332" s="356"/>
      <c r="AT332" s="356"/>
      <c r="AU332" s="356"/>
      <c r="AV332" s="356"/>
      <c r="AW332" s="356"/>
      <c r="AX332" s="356"/>
      <c r="AY332" s="357"/>
    </row>
    <row r="333" spans="1:53" ht="13.5" customHeight="1">
      <c r="A333" s="56"/>
      <c r="B333" s="50"/>
      <c r="C333" s="49"/>
      <c r="D333" s="49"/>
      <c r="E333" s="49"/>
      <c r="F333" s="49"/>
      <c r="G333" s="49"/>
      <c r="H333" s="49"/>
      <c r="I333" s="51"/>
      <c r="J333" s="350"/>
      <c r="K333" s="351"/>
      <c r="L333" s="101"/>
      <c r="M333" s="102"/>
      <c r="N333" s="505" t="s">
        <v>576</v>
      </c>
      <c r="O333" s="543"/>
      <c r="P333" s="505"/>
      <c r="Q333" s="505"/>
      <c r="R333" s="505"/>
      <c r="S333" s="139"/>
      <c r="T333" s="139"/>
      <c r="U333" s="139"/>
      <c r="V333" s="139"/>
      <c r="W333" s="139"/>
      <c r="X333" s="139"/>
      <c r="Y333" s="139"/>
      <c r="Z333" s="139"/>
      <c r="AA333" s="139"/>
      <c r="AB333" s="139"/>
      <c r="AC333" s="139"/>
      <c r="AD333" s="49"/>
      <c r="AE333" s="49"/>
      <c r="AF333" s="49"/>
      <c r="AG333" s="49"/>
      <c r="AH333" s="49"/>
      <c r="AI333" s="49"/>
      <c r="AJ333" s="49"/>
      <c r="AK333" s="49"/>
      <c r="AL333" s="49"/>
      <c r="AM333" s="49"/>
      <c r="AN333" s="49"/>
      <c r="AO333" s="49"/>
      <c r="AP333" s="49"/>
      <c r="AQ333" s="51"/>
      <c r="AR333" s="208" t="s">
        <v>787</v>
      </c>
      <c r="AS333" s="356"/>
      <c r="AT333" s="356"/>
      <c r="AU333" s="356"/>
      <c r="AV333" s="356"/>
      <c r="AW333" s="356"/>
      <c r="AX333" s="356"/>
      <c r="AY333" s="357"/>
    </row>
    <row r="334" spans="1:53" ht="13.5" customHeight="1">
      <c r="A334" s="56"/>
      <c r="B334" s="50"/>
      <c r="C334" s="49"/>
      <c r="D334" s="49"/>
      <c r="E334" s="49"/>
      <c r="F334" s="49"/>
      <c r="G334" s="49"/>
      <c r="H334" s="49"/>
      <c r="I334" s="51"/>
      <c r="J334" s="350"/>
      <c r="K334" s="351"/>
      <c r="L334" s="101"/>
      <c r="M334" s="102"/>
      <c r="N334" s="505"/>
      <c r="O334" s="543"/>
      <c r="P334" s="505" t="s">
        <v>571</v>
      </c>
      <c r="Q334" s="505"/>
      <c r="R334" s="505"/>
      <c r="S334" s="139"/>
      <c r="T334" s="139"/>
      <c r="U334" s="139"/>
      <c r="V334" s="139"/>
      <c r="W334" s="139"/>
      <c r="X334" s="139"/>
      <c r="Y334" s="139"/>
      <c r="Z334" s="139"/>
      <c r="AA334" s="139"/>
      <c r="AB334" s="139"/>
      <c r="AC334" s="139"/>
      <c r="AD334" s="49"/>
      <c r="AE334" s="49"/>
      <c r="AF334" s="49"/>
      <c r="AG334" s="49"/>
      <c r="AH334" s="49"/>
      <c r="AI334" s="49"/>
      <c r="AJ334" s="49"/>
      <c r="AK334" s="49"/>
      <c r="AL334" s="49"/>
      <c r="AM334" s="49"/>
      <c r="AN334" s="49"/>
      <c r="AO334" s="49"/>
      <c r="AP334" s="49"/>
      <c r="AQ334" s="51"/>
      <c r="AR334" s="356"/>
      <c r="AS334" s="356"/>
      <c r="AT334" s="356"/>
      <c r="AU334" s="356"/>
      <c r="AV334" s="356"/>
      <c r="AW334" s="356"/>
      <c r="AX334" s="356"/>
      <c r="AY334" s="357"/>
    </row>
    <row r="335" spans="1:53" ht="13.5" customHeight="1">
      <c r="A335" s="56"/>
      <c r="B335" s="50"/>
      <c r="C335" s="49"/>
      <c r="D335" s="49"/>
      <c r="E335" s="49"/>
      <c r="F335" s="49"/>
      <c r="G335" s="49"/>
      <c r="H335" s="49"/>
      <c r="I335" s="51"/>
      <c r="J335" s="350"/>
      <c r="K335" s="351"/>
      <c r="L335" s="101"/>
      <c r="M335" s="102"/>
      <c r="N335" s="102"/>
      <c r="O335" s="103"/>
      <c r="P335" s="102"/>
      <c r="Q335" s="102"/>
      <c r="R335" s="102"/>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51"/>
      <c r="AR335" s="356"/>
      <c r="AS335" s="356"/>
      <c r="AT335" s="356"/>
      <c r="AU335" s="356"/>
      <c r="AV335" s="356"/>
      <c r="AW335" s="356"/>
      <c r="AX335" s="356"/>
      <c r="AY335" s="357"/>
    </row>
    <row r="336" spans="1:53" ht="13.5" customHeight="1">
      <c r="A336" s="56"/>
      <c r="B336" s="50"/>
      <c r="C336" s="49"/>
      <c r="D336" s="49"/>
      <c r="E336" s="49"/>
      <c r="F336" s="49"/>
      <c r="G336" s="49"/>
      <c r="H336" s="49"/>
      <c r="I336" s="51"/>
      <c r="J336" s="350"/>
      <c r="K336" s="351"/>
      <c r="L336" s="101"/>
      <c r="M336" s="102" t="s">
        <v>196</v>
      </c>
      <c r="N336" s="102" t="s">
        <v>197</v>
      </c>
      <c r="O336" s="103"/>
      <c r="P336" s="102"/>
      <c r="Q336" s="102"/>
      <c r="R336" s="102"/>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51"/>
      <c r="AR336" s="208" t="s">
        <v>189</v>
      </c>
      <c r="AS336" s="49"/>
      <c r="AT336" s="49"/>
      <c r="AU336" s="49"/>
      <c r="AV336" s="49"/>
      <c r="AW336" s="49"/>
      <c r="AX336" s="49"/>
      <c r="AY336" s="52"/>
    </row>
    <row r="337" spans="1:53" ht="13.5" customHeight="1">
      <c r="A337" s="56"/>
      <c r="B337" s="50"/>
      <c r="C337" s="49"/>
      <c r="D337" s="49"/>
      <c r="E337" s="49"/>
      <c r="F337" s="49"/>
      <c r="G337" s="49"/>
      <c r="H337" s="49"/>
      <c r="I337" s="51"/>
      <c r="J337" s="350"/>
      <c r="K337" s="351"/>
      <c r="L337" s="101"/>
      <c r="M337" s="102"/>
      <c r="N337" s="102"/>
      <c r="O337" s="103"/>
      <c r="P337" s="102"/>
      <c r="Q337" s="102"/>
      <c r="R337" s="102"/>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51"/>
      <c r="AR337" s="208" t="s">
        <v>183</v>
      </c>
      <c r="AS337" s="49"/>
      <c r="AT337" s="49"/>
      <c r="AU337" s="49"/>
      <c r="AV337" s="49"/>
      <c r="AW337" s="49"/>
      <c r="AX337" s="49"/>
      <c r="AY337" s="52"/>
    </row>
    <row r="338" spans="1:53" ht="13.5" customHeight="1">
      <c r="A338" s="56"/>
      <c r="B338" s="50"/>
      <c r="C338" s="49"/>
      <c r="D338" s="49"/>
      <c r="E338" s="49"/>
      <c r="F338" s="49"/>
      <c r="G338" s="49"/>
      <c r="H338" s="49"/>
      <c r="I338" s="51"/>
      <c r="J338" s="350"/>
      <c r="K338" s="351"/>
      <c r="L338" s="520"/>
      <c r="M338" s="505"/>
      <c r="N338" s="530" t="s">
        <v>588</v>
      </c>
      <c r="O338" s="553"/>
      <c r="P338" s="530"/>
      <c r="Q338" s="530"/>
      <c r="R338" s="530"/>
      <c r="S338" s="531"/>
      <c r="T338" s="531"/>
      <c r="U338" s="531"/>
      <c r="V338" s="531"/>
      <c r="W338" s="531"/>
      <c r="X338" s="531"/>
      <c r="Y338" s="531"/>
      <c r="Z338" s="531"/>
      <c r="AA338" s="531"/>
      <c r="AB338" s="531"/>
      <c r="AC338" s="531"/>
      <c r="AD338" s="531"/>
      <c r="AE338" s="531"/>
      <c r="AF338" s="531"/>
      <c r="AG338" s="531"/>
      <c r="AH338" s="531"/>
      <c r="AI338" s="531"/>
      <c r="AJ338" s="531"/>
      <c r="AK338" s="531"/>
      <c r="AL338" s="531"/>
      <c r="AM338" s="159"/>
      <c r="AN338" s="159"/>
      <c r="AO338" s="159"/>
      <c r="AP338" s="49"/>
      <c r="AQ338" s="51"/>
      <c r="AR338" s="208"/>
      <c r="AS338" s="49"/>
      <c r="AT338" s="49"/>
      <c r="AU338" s="49"/>
      <c r="AV338" s="49"/>
      <c r="AW338" s="49"/>
      <c r="AX338" s="49"/>
      <c r="AY338" s="52"/>
      <c r="BA338" s="23">
        <v>3.2</v>
      </c>
    </row>
    <row r="339" spans="1:53" ht="13.5" customHeight="1">
      <c r="A339" s="56"/>
      <c r="B339" s="50"/>
      <c r="C339" s="49"/>
      <c r="D339" s="49"/>
      <c r="E339" s="49"/>
      <c r="F339" s="49"/>
      <c r="G339" s="49"/>
      <c r="H339" s="49"/>
      <c r="I339" s="51"/>
      <c r="J339" s="350"/>
      <c r="K339" s="351"/>
      <c r="L339" s="520"/>
      <c r="M339" s="505"/>
      <c r="N339" s="505"/>
      <c r="O339" s="543"/>
      <c r="P339" s="505"/>
      <c r="Q339" s="505"/>
      <c r="R339" s="505"/>
      <c r="S339" s="139"/>
      <c r="T339" s="139"/>
      <c r="U339" s="139"/>
      <c r="V339" s="139"/>
      <c r="W339" s="139"/>
      <c r="X339" s="139"/>
      <c r="Y339" s="139"/>
      <c r="Z339" s="139"/>
      <c r="AA339" s="139"/>
      <c r="AB339" s="139"/>
      <c r="AC339" s="139"/>
      <c r="AD339" s="139"/>
      <c r="AE339" s="139"/>
      <c r="AF339" s="139"/>
      <c r="AG339" s="139"/>
      <c r="AH339" s="139"/>
      <c r="AI339" s="139"/>
      <c r="AJ339" s="139"/>
      <c r="AK339" s="139"/>
      <c r="AL339" s="139"/>
      <c r="AM339" s="49"/>
      <c r="AN339" s="49"/>
      <c r="AO339" s="49"/>
      <c r="AP339" s="49"/>
      <c r="AQ339" s="51"/>
      <c r="AR339" s="208"/>
      <c r="AS339" s="49"/>
      <c r="AT339" s="49"/>
      <c r="AU339" s="49"/>
      <c r="AV339" s="49"/>
      <c r="AW339" s="49"/>
      <c r="AX339" s="49"/>
      <c r="AY339" s="52"/>
    </row>
    <row r="340" spans="1:53" ht="13.5" customHeight="1">
      <c r="A340" s="56"/>
      <c r="B340" s="50"/>
      <c r="C340" s="49"/>
      <c r="D340" s="49"/>
      <c r="E340" s="49"/>
      <c r="F340" s="49"/>
      <c r="G340" s="49"/>
      <c r="H340" s="49"/>
      <c r="I340" s="51"/>
      <c r="J340" s="350"/>
      <c r="K340" s="351"/>
      <c r="L340" s="520"/>
      <c r="M340" s="505"/>
      <c r="N340" s="505"/>
      <c r="O340" s="530" t="s">
        <v>772</v>
      </c>
      <c r="P340" s="553"/>
      <c r="Q340" s="530"/>
      <c r="R340" s="530"/>
      <c r="S340" s="530"/>
      <c r="T340" s="531"/>
      <c r="U340" s="531"/>
      <c r="V340" s="531"/>
      <c r="W340" s="531"/>
      <c r="X340" s="531"/>
      <c r="Y340" s="531"/>
      <c r="Z340" s="531"/>
      <c r="AA340" s="531"/>
      <c r="AB340" s="531"/>
      <c r="AC340" s="531"/>
      <c r="AD340" s="531"/>
      <c r="AE340" s="531"/>
      <c r="AF340" s="531"/>
      <c r="AG340" s="139"/>
      <c r="AH340" s="139"/>
      <c r="AI340" s="139"/>
      <c r="AJ340" s="139"/>
      <c r="AK340" s="139"/>
      <c r="AL340" s="139"/>
      <c r="AM340" s="49"/>
      <c r="AN340" s="49"/>
      <c r="AO340" s="49"/>
      <c r="AP340" s="49"/>
      <c r="AQ340" s="51"/>
      <c r="AR340" s="215" t="s">
        <v>788</v>
      </c>
      <c r="AS340" s="159"/>
      <c r="AT340" s="159"/>
      <c r="AU340" s="159"/>
      <c r="AV340" s="49"/>
      <c r="AW340" s="49"/>
      <c r="AX340" s="49"/>
      <c r="AY340" s="52"/>
      <c r="BA340" s="23">
        <v>3.2</v>
      </c>
    </row>
    <row r="341" spans="1:53" ht="13.5" customHeight="1">
      <c r="A341" s="56"/>
      <c r="B341" s="50"/>
      <c r="C341" s="49"/>
      <c r="D341" s="49"/>
      <c r="E341" s="49"/>
      <c r="F341" s="49"/>
      <c r="G341" s="49"/>
      <c r="H341" s="49"/>
      <c r="I341" s="51"/>
      <c r="J341" s="350"/>
      <c r="K341" s="351"/>
      <c r="L341" s="520"/>
      <c r="M341" s="505"/>
      <c r="N341" s="505"/>
      <c r="O341" s="543"/>
      <c r="P341" s="530" t="s">
        <v>1132</v>
      </c>
      <c r="Q341" s="553"/>
      <c r="R341" s="530"/>
      <c r="S341" s="530"/>
      <c r="T341" s="530"/>
      <c r="U341" s="531"/>
      <c r="V341" s="139"/>
      <c r="W341" s="139"/>
      <c r="X341" s="139"/>
      <c r="Y341" s="139"/>
      <c r="Z341" s="139"/>
      <c r="AA341" s="139"/>
      <c r="AB341" s="139"/>
      <c r="AC341" s="139"/>
      <c r="AD341" s="139"/>
      <c r="AE341" s="139"/>
      <c r="AF341" s="139"/>
      <c r="AG341" s="139"/>
      <c r="AH341" s="139"/>
      <c r="AI341" s="139"/>
      <c r="AJ341" s="139"/>
      <c r="AK341" s="139"/>
      <c r="AL341" s="139"/>
      <c r="AM341" s="49"/>
      <c r="AN341" s="49"/>
      <c r="AO341" s="49"/>
      <c r="AP341" s="49"/>
      <c r="AQ341" s="51"/>
      <c r="AR341" s="208"/>
      <c r="AS341" s="49"/>
      <c r="AT341" s="49"/>
      <c r="AU341" s="49"/>
      <c r="AV341" s="49"/>
      <c r="AW341" s="49"/>
      <c r="AX341" s="49"/>
      <c r="AY341" s="52"/>
      <c r="BA341" s="23">
        <v>3.2</v>
      </c>
    </row>
    <row r="342" spans="1:53" ht="13.5" customHeight="1">
      <c r="A342" s="56"/>
      <c r="B342" s="50"/>
      <c r="C342" s="49"/>
      <c r="D342" s="49"/>
      <c r="E342" s="49"/>
      <c r="F342" s="49"/>
      <c r="G342" s="49"/>
      <c r="H342" s="49"/>
      <c r="I342" s="51"/>
      <c r="J342" s="350"/>
      <c r="K342" s="351"/>
      <c r="L342" s="520"/>
      <c r="M342" s="505"/>
      <c r="N342" s="505"/>
      <c r="O342" s="543"/>
      <c r="P342" s="505"/>
      <c r="Q342" s="505"/>
      <c r="R342" s="505"/>
      <c r="S342" s="139"/>
      <c r="T342" s="139"/>
      <c r="U342" s="139"/>
      <c r="V342" s="139"/>
      <c r="W342" s="139"/>
      <c r="X342" s="139"/>
      <c r="Y342" s="139"/>
      <c r="Z342" s="139"/>
      <c r="AA342" s="139"/>
      <c r="AB342" s="139"/>
      <c r="AC342" s="139"/>
      <c r="AD342" s="139"/>
      <c r="AE342" s="139"/>
      <c r="AF342" s="139"/>
      <c r="AG342" s="139"/>
      <c r="AH342" s="139"/>
      <c r="AI342" s="139"/>
      <c r="AJ342" s="139"/>
      <c r="AK342" s="139"/>
      <c r="AL342" s="139"/>
      <c r="AM342" s="49"/>
      <c r="AN342" s="49"/>
      <c r="AO342" s="49"/>
      <c r="AP342" s="49"/>
      <c r="AQ342" s="51"/>
      <c r="AR342" s="208"/>
      <c r="AS342" s="49"/>
      <c r="AT342" s="49"/>
      <c r="AU342" s="49"/>
      <c r="AV342" s="49"/>
      <c r="AW342" s="49"/>
      <c r="AX342" s="49"/>
      <c r="AY342" s="52"/>
    </row>
    <row r="343" spans="1:53" ht="13.5" customHeight="1">
      <c r="A343" s="56"/>
      <c r="B343" s="50"/>
      <c r="C343" s="49"/>
      <c r="D343" s="49"/>
      <c r="E343" s="49"/>
      <c r="F343" s="49"/>
      <c r="G343" s="49"/>
      <c r="H343" s="49"/>
      <c r="I343" s="51"/>
      <c r="J343" s="350"/>
      <c r="K343" s="351"/>
      <c r="L343" s="520"/>
      <c r="M343" s="505"/>
      <c r="N343" s="505"/>
      <c r="O343" s="543"/>
      <c r="P343" s="505"/>
      <c r="Q343" s="505"/>
      <c r="R343" s="505"/>
      <c r="S343" s="139"/>
      <c r="T343" s="139"/>
      <c r="U343" s="139"/>
      <c r="V343" s="139"/>
      <c r="W343" s="139"/>
      <c r="X343" s="139"/>
      <c r="Y343" s="139"/>
      <c r="Z343" s="139"/>
      <c r="AA343" s="139"/>
      <c r="AB343" s="139"/>
      <c r="AC343" s="139"/>
      <c r="AD343" s="139"/>
      <c r="AE343" s="139"/>
      <c r="AF343" s="139"/>
      <c r="AG343" s="139"/>
      <c r="AH343" s="139"/>
      <c r="AI343" s="139"/>
      <c r="AJ343" s="139"/>
      <c r="AK343" s="139"/>
      <c r="AL343" s="139"/>
      <c r="AM343" s="49"/>
      <c r="AN343" s="49"/>
      <c r="AO343" s="49"/>
      <c r="AP343" s="49"/>
      <c r="AQ343" s="51"/>
      <c r="AR343" s="208"/>
      <c r="AS343" s="49"/>
      <c r="AT343" s="49"/>
      <c r="AU343" s="49"/>
      <c r="AV343" s="49"/>
      <c r="AW343" s="49"/>
      <c r="AX343" s="49"/>
      <c r="AY343" s="52"/>
    </row>
    <row r="344" spans="1:53" ht="13.5" customHeight="1">
      <c r="A344" s="56"/>
      <c r="B344" s="50"/>
      <c r="C344" s="49"/>
      <c r="D344" s="49"/>
      <c r="E344" s="49"/>
      <c r="F344" s="49"/>
      <c r="G344" s="49"/>
      <c r="H344" s="49"/>
      <c r="I344" s="51"/>
      <c r="J344" s="350"/>
      <c r="K344" s="351"/>
      <c r="L344" s="520"/>
      <c r="M344" s="505"/>
      <c r="N344" s="505"/>
      <c r="O344" s="543"/>
      <c r="P344" s="505"/>
      <c r="Q344" s="505"/>
      <c r="R344" s="505"/>
      <c r="S344" s="139"/>
      <c r="T344" s="139"/>
      <c r="U344" s="139"/>
      <c r="V344" s="139"/>
      <c r="W344" s="139"/>
      <c r="X344" s="139"/>
      <c r="Y344" s="139"/>
      <c r="Z344" s="139"/>
      <c r="AA344" s="139"/>
      <c r="AB344" s="139"/>
      <c r="AC344" s="139"/>
      <c r="AD344" s="139"/>
      <c r="AE344" s="139"/>
      <c r="AF344" s="139"/>
      <c r="AG344" s="139"/>
      <c r="AH344" s="139"/>
      <c r="AI344" s="139"/>
      <c r="AJ344" s="139"/>
      <c r="AK344" s="139"/>
      <c r="AL344" s="139"/>
      <c r="AM344" s="49"/>
      <c r="AN344" s="49"/>
      <c r="AO344" s="49"/>
      <c r="AP344" s="49"/>
      <c r="AQ344" s="51"/>
      <c r="AR344" s="208"/>
      <c r="AS344" s="49"/>
      <c r="AT344" s="49"/>
      <c r="AU344" s="49"/>
      <c r="AV344" s="49"/>
      <c r="AW344" s="49"/>
      <c r="AX344" s="49"/>
      <c r="AY344" s="52"/>
    </row>
    <row r="345" spans="1:53" ht="13.5" customHeight="1" thickBot="1">
      <c r="A345" s="321"/>
      <c r="B345" s="322"/>
      <c r="C345" s="323"/>
      <c r="D345" s="323"/>
      <c r="E345" s="323"/>
      <c r="F345" s="323"/>
      <c r="G345" s="323"/>
      <c r="H345" s="323"/>
      <c r="I345" s="324"/>
      <c r="J345" s="354"/>
      <c r="K345" s="355"/>
      <c r="L345" s="546"/>
      <c r="M345" s="538"/>
      <c r="N345" s="538"/>
      <c r="O345" s="547"/>
      <c r="P345" s="538"/>
      <c r="Q345" s="538"/>
      <c r="R345" s="538"/>
      <c r="S345" s="533"/>
      <c r="T345" s="533"/>
      <c r="U345" s="533"/>
      <c r="V345" s="533"/>
      <c r="W345" s="533"/>
      <c r="X345" s="533"/>
      <c r="Y345" s="533"/>
      <c r="Z345" s="533"/>
      <c r="AA345" s="533"/>
      <c r="AB345" s="533"/>
      <c r="AC345" s="533"/>
      <c r="AD345" s="533"/>
      <c r="AE345" s="533"/>
      <c r="AF345" s="533"/>
      <c r="AG345" s="533"/>
      <c r="AH345" s="533"/>
      <c r="AI345" s="533"/>
      <c r="AJ345" s="533"/>
      <c r="AK345" s="533"/>
      <c r="AL345" s="533"/>
      <c r="AM345" s="323"/>
      <c r="AN345" s="323"/>
      <c r="AO345" s="323"/>
      <c r="AP345" s="323"/>
      <c r="AQ345" s="324"/>
      <c r="AR345" s="327"/>
      <c r="AS345" s="323"/>
      <c r="AT345" s="323"/>
      <c r="AU345" s="323"/>
      <c r="AV345" s="323"/>
      <c r="AW345" s="323"/>
      <c r="AX345" s="323"/>
      <c r="AY345" s="328"/>
    </row>
    <row r="346" spans="1:53" ht="13.5" customHeight="1">
      <c r="A346" s="56"/>
      <c r="B346" s="50"/>
      <c r="C346" s="49"/>
      <c r="D346" s="49"/>
      <c r="E346" s="49"/>
      <c r="F346" s="49"/>
      <c r="G346" s="49"/>
      <c r="H346" s="49"/>
      <c r="I346" s="51"/>
      <c r="J346" s="350"/>
      <c r="K346" s="351"/>
      <c r="L346" s="520"/>
      <c r="M346" s="505"/>
      <c r="N346" s="505"/>
      <c r="O346" s="530" t="s">
        <v>773</v>
      </c>
      <c r="P346" s="553"/>
      <c r="Q346" s="530"/>
      <c r="R346" s="530"/>
      <c r="S346" s="530"/>
      <c r="T346" s="531"/>
      <c r="U346" s="530"/>
      <c r="V346" s="553"/>
      <c r="W346" s="530"/>
      <c r="X346" s="530"/>
      <c r="Y346" s="530"/>
      <c r="Z346" s="531"/>
      <c r="AA346" s="530"/>
      <c r="AB346" s="553"/>
      <c r="AC346" s="530"/>
      <c r="AD346" s="530"/>
      <c r="AE346" s="530"/>
      <c r="AF346" s="531"/>
      <c r="AG346" s="530"/>
      <c r="AH346" s="553"/>
      <c r="AI346" s="530"/>
      <c r="AJ346" s="530"/>
      <c r="AK346" s="530"/>
      <c r="AL346" s="139"/>
      <c r="AM346" s="49"/>
      <c r="AN346" s="49"/>
      <c r="AO346" s="49"/>
      <c r="AP346" s="49"/>
      <c r="AQ346" s="51"/>
      <c r="AR346" s="215" t="s">
        <v>798</v>
      </c>
      <c r="AS346" s="159"/>
      <c r="AT346" s="159"/>
      <c r="AU346" s="159"/>
      <c r="AV346" s="49"/>
      <c r="AW346" s="49"/>
      <c r="AX346" s="49"/>
      <c r="AY346" s="52"/>
      <c r="BA346" s="23">
        <v>3.2</v>
      </c>
    </row>
    <row r="347" spans="1:53" ht="13.5" customHeight="1">
      <c r="A347" s="56"/>
      <c r="B347" s="50"/>
      <c r="C347" s="49"/>
      <c r="D347" s="49"/>
      <c r="E347" s="49"/>
      <c r="F347" s="49"/>
      <c r="G347" s="49"/>
      <c r="H347" s="49"/>
      <c r="I347" s="51"/>
      <c r="J347" s="350"/>
      <c r="K347" s="351"/>
      <c r="L347" s="520"/>
      <c r="M347" s="505"/>
      <c r="N347" s="505"/>
      <c r="O347" s="543"/>
      <c r="P347" s="530" t="s">
        <v>1133</v>
      </c>
      <c r="Q347" s="553"/>
      <c r="R347" s="530"/>
      <c r="S347" s="530"/>
      <c r="T347" s="530"/>
      <c r="U347" s="531"/>
      <c r="V347" s="139"/>
      <c r="W347" s="139"/>
      <c r="X347" s="139"/>
      <c r="Y347" s="139"/>
      <c r="Z347" s="139"/>
      <c r="AA347" s="139"/>
      <c r="AB347" s="139"/>
      <c r="AC347" s="139"/>
      <c r="AD347" s="139"/>
      <c r="AE347" s="139"/>
      <c r="AF347" s="139"/>
      <c r="AG347" s="139"/>
      <c r="AH347" s="139"/>
      <c r="AI347" s="139"/>
      <c r="AJ347" s="139"/>
      <c r="AK347" s="139"/>
      <c r="AL347" s="139"/>
      <c r="AM347" s="49"/>
      <c r="AN347" s="49"/>
      <c r="AO347" s="49"/>
      <c r="AP347" s="49"/>
      <c r="AQ347" s="51"/>
      <c r="AR347" s="208"/>
      <c r="AS347" s="49"/>
      <c r="AT347" s="49"/>
      <c r="AU347" s="49"/>
      <c r="AV347" s="49"/>
      <c r="AW347" s="49"/>
      <c r="AX347" s="49"/>
      <c r="AY347" s="52"/>
      <c r="BA347" s="23">
        <v>3.2</v>
      </c>
    </row>
    <row r="348" spans="1:53" ht="13.5" customHeight="1">
      <c r="A348" s="56"/>
      <c r="B348" s="50"/>
      <c r="C348" s="49"/>
      <c r="D348" s="49"/>
      <c r="E348" s="49"/>
      <c r="F348" s="49"/>
      <c r="G348" s="49"/>
      <c r="H348" s="49"/>
      <c r="I348" s="51"/>
      <c r="J348" s="350"/>
      <c r="K348" s="351"/>
      <c r="L348" s="520"/>
      <c r="M348" s="505"/>
      <c r="N348" s="505"/>
      <c r="O348" s="543"/>
      <c r="P348" s="505"/>
      <c r="Q348" s="505"/>
      <c r="R348" s="505"/>
      <c r="S348" s="139"/>
      <c r="T348" s="139"/>
      <c r="U348" s="139"/>
      <c r="V348" s="139"/>
      <c r="W348" s="139"/>
      <c r="X348" s="139"/>
      <c r="Y348" s="139"/>
      <c r="Z348" s="139"/>
      <c r="AA348" s="139"/>
      <c r="AB348" s="139"/>
      <c r="AC348" s="139"/>
      <c r="AD348" s="139"/>
      <c r="AE348" s="139"/>
      <c r="AF348" s="139"/>
      <c r="AG348" s="139"/>
      <c r="AH348" s="139"/>
      <c r="AI348" s="139"/>
      <c r="AJ348" s="139"/>
      <c r="AK348" s="139"/>
      <c r="AL348" s="139"/>
      <c r="AM348" s="49"/>
      <c r="AN348" s="49"/>
      <c r="AO348" s="49"/>
      <c r="AP348" s="49"/>
      <c r="AQ348" s="51"/>
      <c r="AR348" s="208"/>
      <c r="AS348" s="49"/>
      <c r="AT348" s="49"/>
      <c r="AU348" s="49"/>
      <c r="AV348" s="49"/>
      <c r="AW348" s="49"/>
      <c r="AX348" s="49"/>
      <c r="AY348" s="52"/>
    </row>
    <row r="349" spans="1:53" ht="13.5" customHeight="1">
      <c r="A349" s="56"/>
      <c r="B349" s="50"/>
      <c r="C349" s="49"/>
      <c r="D349" s="49"/>
      <c r="E349" s="49"/>
      <c r="F349" s="49"/>
      <c r="G349" s="49"/>
      <c r="H349" s="49"/>
      <c r="I349" s="51"/>
      <c r="J349" s="350"/>
      <c r="K349" s="351"/>
      <c r="L349" s="520"/>
      <c r="M349" s="505"/>
      <c r="N349" s="505"/>
      <c r="O349" s="530" t="s">
        <v>1134</v>
      </c>
      <c r="P349" s="553"/>
      <c r="Q349" s="530"/>
      <c r="R349" s="530"/>
      <c r="S349" s="530"/>
      <c r="T349" s="531"/>
      <c r="U349" s="530"/>
      <c r="V349" s="553"/>
      <c r="W349" s="530"/>
      <c r="X349" s="530"/>
      <c r="Y349" s="530"/>
      <c r="Z349" s="531"/>
      <c r="AA349" s="530"/>
      <c r="AB349" s="139"/>
      <c r="AC349" s="139"/>
      <c r="AD349" s="139"/>
      <c r="AE349" s="139"/>
      <c r="AF349" s="139"/>
      <c r="AG349" s="139"/>
      <c r="AH349" s="139"/>
      <c r="AI349" s="139"/>
      <c r="AJ349" s="139"/>
      <c r="AK349" s="139"/>
      <c r="AL349" s="139"/>
      <c r="AM349" s="49"/>
      <c r="AN349" s="49"/>
      <c r="AO349" s="49"/>
      <c r="AP349" s="49"/>
      <c r="AQ349" s="51"/>
      <c r="AR349" s="215" t="s">
        <v>799</v>
      </c>
      <c r="AS349" s="215"/>
      <c r="AT349" s="215"/>
      <c r="AU349" s="215"/>
      <c r="AV349" s="49"/>
      <c r="AW349" s="49"/>
      <c r="AX349" s="49"/>
      <c r="AY349" s="52"/>
      <c r="BA349" s="23">
        <v>3.2</v>
      </c>
    </row>
    <row r="350" spans="1:53" ht="13.5" customHeight="1">
      <c r="A350" s="56"/>
      <c r="B350" s="50"/>
      <c r="C350" s="49"/>
      <c r="D350" s="49"/>
      <c r="E350" s="49"/>
      <c r="F350" s="49"/>
      <c r="G350" s="49"/>
      <c r="H350" s="49"/>
      <c r="I350" s="51"/>
      <c r="J350" s="350"/>
      <c r="K350" s="351"/>
      <c r="L350" s="520"/>
      <c r="M350" s="505"/>
      <c r="N350" s="505"/>
      <c r="O350" s="543"/>
      <c r="P350" s="530" t="s">
        <v>591</v>
      </c>
      <c r="Q350" s="553"/>
      <c r="R350" s="530"/>
      <c r="S350" s="530"/>
      <c r="T350" s="530"/>
      <c r="U350" s="531"/>
      <c r="V350" s="530"/>
      <c r="W350" s="553"/>
      <c r="X350" s="530"/>
      <c r="Y350" s="530"/>
      <c r="Z350" s="530"/>
      <c r="AA350" s="531"/>
      <c r="AB350" s="530"/>
      <c r="AC350" s="530"/>
      <c r="AD350" s="553"/>
      <c r="AE350" s="530"/>
      <c r="AF350" s="530"/>
      <c r="AG350" s="530"/>
      <c r="AH350" s="531"/>
      <c r="AI350" s="530"/>
      <c r="AJ350" s="553"/>
      <c r="AK350" s="530"/>
      <c r="AL350" s="530"/>
      <c r="AM350" s="158"/>
      <c r="AN350" s="159"/>
      <c r="AO350" s="158"/>
      <c r="AP350" s="49"/>
      <c r="AQ350" s="51"/>
      <c r="AR350" s="215"/>
      <c r="AS350" s="215"/>
      <c r="AT350" s="215"/>
      <c r="AU350" s="215"/>
      <c r="AV350" s="49"/>
      <c r="AW350" s="49"/>
      <c r="AX350" s="49"/>
      <c r="AY350" s="52"/>
      <c r="BA350" s="23">
        <v>3.2</v>
      </c>
    </row>
    <row r="351" spans="1:53" ht="13.5" customHeight="1">
      <c r="A351" s="56"/>
      <c r="B351" s="50"/>
      <c r="C351" s="49"/>
      <c r="D351" s="49"/>
      <c r="E351" s="49"/>
      <c r="F351" s="49"/>
      <c r="G351" s="49"/>
      <c r="H351" s="49"/>
      <c r="I351" s="51"/>
      <c r="J351" s="350"/>
      <c r="K351" s="351"/>
      <c r="L351" s="520"/>
      <c r="M351" s="505"/>
      <c r="N351" s="505"/>
      <c r="O351" s="543"/>
      <c r="P351" s="530"/>
      <c r="Q351" s="553" t="s">
        <v>592</v>
      </c>
      <c r="R351" s="530"/>
      <c r="S351" s="530"/>
      <c r="T351" s="530"/>
      <c r="U351" s="531"/>
      <c r="V351" s="530"/>
      <c r="W351" s="553"/>
      <c r="X351" s="530"/>
      <c r="Y351" s="530"/>
      <c r="Z351" s="530"/>
      <c r="AA351" s="531"/>
      <c r="AB351" s="530"/>
      <c r="AC351" s="530"/>
      <c r="AD351" s="553"/>
      <c r="AE351" s="530"/>
      <c r="AF351" s="530"/>
      <c r="AG351" s="530"/>
      <c r="AH351" s="531"/>
      <c r="AI351" s="530"/>
      <c r="AJ351" s="553"/>
      <c r="AK351" s="530"/>
      <c r="AL351" s="530"/>
      <c r="AM351" s="158"/>
      <c r="AN351" s="159"/>
      <c r="AO351" s="158"/>
      <c r="AP351" s="49"/>
      <c r="AQ351" s="51"/>
      <c r="AR351" s="215"/>
      <c r="AS351" s="215"/>
      <c r="AT351" s="215"/>
      <c r="AU351" s="215"/>
      <c r="AV351" s="49"/>
      <c r="AW351" s="49"/>
      <c r="AX351" s="49"/>
      <c r="AY351" s="52"/>
      <c r="BA351" s="23">
        <v>3.2</v>
      </c>
    </row>
    <row r="352" spans="1:53" ht="13.5" customHeight="1">
      <c r="A352" s="56"/>
      <c r="B352" s="50"/>
      <c r="C352" s="49"/>
      <c r="D352" s="49"/>
      <c r="E352" s="49"/>
      <c r="F352" s="49"/>
      <c r="G352" s="49"/>
      <c r="H352" s="49"/>
      <c r="I352" s="51"/>
      <c r="J352" s="350"/>
      <c r="K352" s="351"/>
      <c r="L352" s="520"/>
      <c r="M352" s="505"/>
      <c r="N352" s="505"/>
      <c r="O352" s="543"/>
      <c r="P352" s="505"/>
      <c r="Q352" s="505"/>
      <c r="R352" s="505"/>
      <c r="S352" s="139"/>
      <c r="T352" s="139"/>
      <c r="U352" s="139"/>
      <c r="V352" s="139"/>
      <c r="W352" s="139"/>
      <c r="X352" s="139"/>
      <c r="Y352" s="139"/>
      <c r="Z352" s="139"/>
      <c r="AA352" s="139"/>
      <c r="AB352" s="139"/>
      <c r="AC352" s="139"/>
      <c r="AD352" s="139"/>
      <c r="AE352" s="139"/>
      <c r="AF352" s="139"/>
      <c r="AG352" s="139"/>
      <c r="AH352" s="139"/>
      <c r="AI352" s="139"/>
      <c r="AJ352" s="139"/>
      <c r="AK352" s="139"/>
      <c r="AL352" s="139"/>
      <c r="AM352" s="49"/>
      <c r="AN352" s="49"/>
      <c r="AO352" s="49"/>
      <c r="AP352" s="49"/>
      <c r="AQ352" s="51"/>
      <c r="AR352" s="215"/>
      <c r="AS352" s="215"/>
      <c r="AT352" s="215"/>
      <c r="AU352" s="215"/>
      <c r="AV352" s="49"/>
      <c r="AW352" s="49"/>
      <c r="AX352" s="49"/>
      <c r="AY352" s="52"/>
    </row>
    <row r="353" spans="1:53" ht="13.5" customHeight="1">
      <c r="A353" s="56"/>
      <c r="B353" s="50"/>
      <c r="C353" s="49"/>
      <c r="D353" s="49"/>
      <c r="E353" s="49"/>
      <c r="F353" s="49"/>
      <c r="G353" s="49"/>
      <c r="H353" s="49"/>
      <c r="I353" s="51"/>
      <c r="J353" s="350"/>
      <c r="K353" s="351"/>
      <c r="L353" s="520"/>
      <c r="M353" s="505"/>
      <c r="N353" s="505"/>
      <c r="O353" s="530" t="s">
        <v>774</v>
      </c>
      <c r="P353" s="530"/>
      <c r="Q353" s="530"/>
      <c r="R353" s="530"/>
      <c r="S353" s="530"/>
      <c r="T353" s="530"/>
      <c r="U353" s="530"/>
      <c r="V353" s="530"/>
      <c r="W353" s="530"/>
      <c r="X353" s="530"/>
      <c r="Y353" s="530"/>
      <c r="Z353" s="530"/>
      <c r="AA353" s="530"/>
      <c r="AB353" s="530"/>
      <c r="AC353" s="530"/>
      <c r="AD353" s="530"/>
      <c r="AE353" s="530"/>
      <c r="AF353" s="530"/>
      <c r="AG353" s="530"/>
      <c r="AH353" s="530"/>
      <c r="AI353" s="530"/>
      <c r="AJ353" s="530"/>
      <c r="AK353" s="530"/>
      <c r="AL353" s="530"/>
      <c r="AM353" s="158"/>
      <c r="AN353" s="158"/>
      <c r="AO353" s="49"/>
      <c r="AP353" s="49"/>
      <c r="AQ353" s="51"/>
      <c r="AR353" s="215" t="s">
        <v>798</v>
      </c>
      <c r="AS353" s="215"/>
      <c r="AT353" s="215"/>
      <c r="AU353" s="215"/>
      <c r="AV353" s="49"/>
      <c r="AW353" s="49"/>
      <c r="AX353" s="49"/>
      <c r="AY353" s="52"/>
      <c r="BA353" s="23">
        <v>3.2</v>
      </c>
    </row>
    <row r="354" spans="1:53" ht="13.5" customHeight="1">
      <c r="A354" s="56"/>
      <c r="B354" s="50"/>
      <c r="C354" s="49"/>
      <c r="D354" s="49"/>
      <c r="E354" s="49"/>
      <c r="F354" s="49"/>
      <c r="G354" s="49"/>
      <c r="H354" s="49"/>
      <c r="I354" s="51"/>
      <c r="J354" s="350"/>
      <c r="K354" s="351"/>
      <c r="L354" s="520"/>
      <c r="M354" s="505"/>
      <c r="N354" s="505"/>
      <c r="O354" s="530"/>
      <c r="P354" s="530"/>
      <c r="Q354" s="530"/>
      <c r="R354" s="530"/>
      <c r="S354" s="530"/>
      <c r="T354" s="530"/>
      <c r="U354" s="530"/>
      <c r="V354" s="530"/>
      <c r="W354" s="530"/>
      <c r="X354" s="530"/>
      <c r="Y354" s="530"/>
      <c r="Z354" s="530"/>
      <c r="AA354" s="530"/>
      <c r="AB354" s="530"/>
      <c r="AC354" s="530"/>
      <c r="AD354" s="530"/>
      <c r="AE354" s="530"/>
      <c r="AF354" s="530"/>
      <c r="AG354" s="530"/>
      <c r="AH354" s="530"/>
      <c r="AI354" s="530"/>
      <c r="AJ354" s="530"/>
      <c r="AK354" s="530"/>
      <c r="AL354" s="530"/>
      <c r="AM354" s="158"/>
      <c r="AN354" s="158"/>
      <c r="AO354" s="49"/>
      <c r="AP354" s="49"/>
      <c r="AQ354" s="51"/>
      <c r="AR354" s="215"/>
      <c r="AS354" s="215"/>
      <c r="AT354" s="215"/>
      <c r="AU354" s="215"/>
      <c r="AV354" s="49"/>
      <c r="AW354" s="49"/>
      <c r="AX354" s="49"/>
      <c r="AY354" s="52"/>
    </row>
    <row r="355" spans="1:53" ht="13.5" customHeight="1">
      <c r="A355" s="56"/>
      <c r="B355" s="50"/>
      <c r="C355" s="49"/>
      <c r="D355" s="49"/>
      <c r="E355" s="49"/>
      <c r="F355" s="49"/>
      <c r="G355" s="49"/>
      <c r="H355" s="49"/>
      <c r="I355" s="51"/>
      <c r="J355" s="350"/>
      <c r="K355" s="351"/>
      <c r="L355" s="520"/>
      <c r="M355" s="505"/>
      <c r="N355" s="505"/>
      <c r="O355" s="530" t="s">
        <v>775</v>
      </c>
      <c r="P355" s="530"/>
      <c r="Q355" s="530"/>
      <c r="R355" s="530"/>
      <c r="S355" s="530"/>
      <c r="T355" s="530"/>
      <c r="U355" s="530"/>
      <c r="V355" s="530"/>
      <c r="W355" s="530"/>
      <c r="X355" s="530"/>
      <c r="Y355" s="530"/>
      <c r="Z355" s="530"/>
      <c r="AA355" s="530"/>
      <c r="AB355" s="530"/>
      <c r="AC355" s="530"/>
      <c r="AD355" s="530"/>
      <c r="AE355" s="530"/>
      <c r="AF355" s="530"/>
      <c r="AG355" s="530"/>
      <c r="AH355" s="530"/>
      <c r="AI355" s="530"/>
      <c r="AJ355" s="530"/>
      <c r="AK355" s="530"/>
      <c r="AL355" s="530"/>
      <c r="AM355" s="158"/>
      <c r="AN355" s="158"/>
      <c r="AO355" s="49"/>
      <c r="AP355" s="49"/>
      <c r="AQ355" s="51"/>
      <c r="AR355" s="215" t="s">
        <v>800</v>
      </c>
      <c r="AS355" s="215"/>
      <c r="AT355" s="215"/>
      <c r="AU355" s="215"/>
      <c r="AV355" s="49"/>
      <c r="AW355" s="49"/>
      <c r="AX355" s="49"/>
      <c r="AY355" s="52"/>
      <c r="BA355" s="23">
        <v>3.2</v>
      </c>
    </row>
    <row r="356" spans="1:53" ht="13.5" customHeight="1">
      <c r="A356" s="56"/>
      <c r="B356" s="50"/>
      <c r="C356" s="49"/>
      <c r="D356" s="49"/>
      <c r="E356" s="49"/>
      <c r="F356" s="49"/>
      <c r="G356" s="49"/>
      <c r="H356" s="49"/>
      <c r="I356" s="51"/>
      <c r="J356" s="350"/>
      <c r="K356" s="351"/>
      <c r="L356" s="520"/>
      <c r="M356" s="505"/>
      <c r="N356" s="505"/>
      <c r="O356" s="530"/>
      <c r="P356" s="530" t="s">
        <v>1135</v>
      </c>
      <c r="Q356" s="530"/>
      <c r="R356" s="530"/>
      <c r="S356" s="530"/>
      <c r="T356" s="530"/>
      <c r="U356" s="530"/>
      <c r="V356" s="530"/>
      <c r="W356" s="530"/>
      <c r="X356" s="530"/>
      <c r="Y356" s="530"/>
      <c r="Z356" s="530"/>
      <c r="AA356" s="530"/>
      <c r="AB356" s="530"/>
      <c r="AC356" s="530"/>
      <c r="AD356" s="530"/>
      <c r="AE356" s="530"/>
      <c r="AF356" s="530"/>
      <c r="AG356" s="530"/>
      <c r="AH356" s="530"/>
      <c r="AI356" s="530"/>
      <c r="AJ356" s="530"/>
      <c r="AK356" s="530"/>
      <c r="AL356" s="530"/>
      <c r="AM356" s="158"/>
      <c r="AN356" s="158"/>
      <c r="AO356" s="49"/>
      <c r="AP356" s="49"/>
      <c r="AQ356" s="51"/>
      <c r="AR356" s="215"/>
      <c r="AS356" s="215"/>
      <c r="AT356" s="215"/>
      <c r="AU356" s="215"/>
      <c r="AV356" s="49"/>
      <c r="AW356" s="49"/>
      <c r="AX356" s="49"/>
      <c r="AY356" s="52"/>
      <c r="BA356" s="23">
        <v>2.2000000000000002</v>
      </c>
    </row>
    <row r="357" spans="1:53" ht="13.5" customHeight="1">
      <c r="A357" s="56"/>
      <c r="B357" s="50"/>
      <c r="C357" s="49"/>
      <c r="D357" s="49"/>
      <c r="E357" s="49"/>
      <c r="F357" s="49"/>
      <c r="G357" s="49"/>
      <c r="H357" s="49"/>
      <c r="I357" s="51"/>
      <c r="J357" s="350"/>
      <c r="K357" s="351"/>
      <c r="L357" s="520"/>
      <c r="M357" s="505"/>
      <c r="N357" s="505"/>
      <c r="O357" s="530"/>
      <c r="P357" s="530"/>
      <c r="Q357" s="530"/>
      <c r="R357" s="530"/>
      <c r="S357" s="530"/>
      <c r="T357" s="530"/>
      <c r="U357" s="530"/>
      <c r="V357" s="530"/>
      <c r="W357" s="530"/>
      <c r="X357" s="530"/>
      <c r="Y357" s="530"/>
      <c r="Z357" s="530"/>
      <c r="AA357" s="530"/>
      <c r="AB357" s="530"/>
      <c r="AC357" s="530"/>
      <c r="AD357" s="530"/>
      <c r="AE357" s="530"/>
      <c r="AF357" s="530"/>
      <c r="AG357" s="530"/>
      <c r="AH357" s="530"/>
      <c r="AI357" s="530"/>
      <c r="AJ357" s="530"/>
      <c r="AK357" s="530"/>
      <c r="AL357" s="530"/>
      <c r="AM357" s="158"/>
      <c r="AN357" s="158"/>
      <c r="AO357" s="49"/>
      <c r="AP357" s="49"/>
      <c r="AQ357" s="51"/>
      <c r="AR357" s="215"/>
      <c r="AS357" s="215"/>
      <c r="AT357" s="215"/>
      <c r="AU357" s="215"/>
      <c r="AV357" s="49"/>
      <c r="AW357" s="49"/>
      <c r="AX357" s="49"/>
      <c r="AY357" s="52"/>
    </row>
    <row r="358" spans="1:53" ht="13.5" customHeight="1">
      <c r="A358" s="56"/>
      <c r="B358" s="50"/>
      <c r="C358" s="49"/>
      <c r="D358" s="49"/>
      <c r="E358" s="49"/>
      <c r="F358" s="49"/>
      <c r="G358" s="49"/>
      <c r="H358" s="49"/>
      <c r="I358" s="51"/>
      <c r="J358" s="350"/>
      <c r="K358" s="351"/>
      <c r="L358" s="520"/>
      <c r="M358" s="505"/>
      <c r="N358" s="505"/>
      <c r="O358" s="530"/>
      <c r="P358" s="530"/>
      <c r="Q358" s="530"/>
      <c r="R358" s="530"/>
      <c r="S358" s="530"/>
      <c r="T358" s="530"/>
      <c r="U358" s="530"/>
      <c r="V358" s="530"/>
      <c r="W358" s="530"/>
      <c r="X358" s="530"/>
      <c r="Y358" s="530"/>
      <c r="Z358" s="530"/>
      <c r="AA358" s="530"/>
      <c r="AB358" s="530"/>
      <c r="AC358" s="530"/>
      <c r="AD358" s="530"/>
      <c r="AE358" s="530"/>
      <c r="AF358" s="530"/>
      <c r="AG358" s="530"/>
      <c r="AH358" s="530"/>
      <c r="AI358" s="530"/>
      <c r="AJ358" s="530"/>
      <c r="AK358" s="530"/>
      <c r="AL358" s="530"/>
      <c r="AM358" s="158"/>
      <c r="AN358" s="158"/>
      <c r="AO358" s="49"/>
      <c r="AP358" s="49"/>
      <c r="AQ358" s="51"/>
      <c r="AR358" s="215"/>
      <c r="AS358" s="215"/>
      <c r="AT358" s="215"/>
      <c r="AU358" s="215"/>
      <c r="AV358" s="49"/>
      <c r="AW358" s="49"/>
      <c r="AX358" s="49"/>
      <c r="AY358" s="52"/>
    </row>
    <row r="359" spans="1:53" ht="13.5" customHeight="1">
      <c r="A359" s="56"/>
      <c r="B359" s="50"/>
      <c r="C359" s="49"/>
      <c r="D359" s="49"/>
      <c r="E359" s="49"/>
      <c r="F359" s="49"/>
      <c r="G359" s="49"/>
      <c r="H359" s="49"/>
      <c r="I359" s="51"/>
      <c r="J359" s="350"/>
      <c r="K359" s="351"/>
      <c r="L359" s="520"/>
      <c r="M359" s="505"/>
      <c r="N359" s="505"/>
      <c r="O359" s="530" t="s">
        <v>776</v>
      </c>
      <c r="P359" s="530"/>
      <c r="Q359" s="530"/>
      <c r="R359" s="530"/>
      <c r="S359" s="530"/>
      <c r="T359" s="530"/>
      <c r="U359" s="530"/>
      <c r="V359" s="530"/>
      <c r="W359" s="530"/>
      <c r="X359" s="530"/>
      <c r="Y359" s="530"/>
      <c r="Z359" s="530"/>
      <c r="AA359" s="530"/>
      <c r="AB359" s="530"/>
      <c r="AC359" s="530"/>
      <c r="AD359" s="530"/>
      <c r="AE359" s="530"/>
      <c r="AF359" s="530"/>
      <c r="AG359" s="530"/>
      <c r="AH359" s="530"/>
      <c r="AI359" s="530"/>
      <c r="AJ359" s="530"/>
      <c r="AK359" s="530"/>
      <c r="AL359" s="530"/>
      <c r="AM359" s="158"/>
      <c r="AN359" s="158"/>
      <c r="AO359" s="49"/>
      <c r="AP359" s="49"/>
      <c r="AQ359" s="51"/>
      <c r="AR359" s="215" t="s">
        <v>800</v>
      </c>
      <c r="AS359" s="215"/>
      <c r="AT359" s="215"/>
      <c r="AU359" s="215"/>
      <c r="AV359" s="49"/>
      <c r="AW359" s="49"/>
      <c r="AX359" s="49"/>
      <c r="AY359" s="52"/>
      <c r="BA359" s="23">
        <v>3.2</v>
      </c>
    </row>
    <row r="360" spans="1:53" ht="13.5" customHeight="1">
      <c r="A360" s="56"/>
      <c r="B360" s="50"/>
      <c r="C360" s="49"/>
      <c r="D360" s="49"/>
      <c r="E360" s="49"/>
      <c r="F360" s="49"/>
      <c r="G360" s="49"/>
      <c r="H360" s="49"/>
      <c r="I360" s="51"/>
      <c r="J360" s="350"/>
      <c r="K360" s="351"/>
      <c r="L360" s="520"/>
      <c r="M360" s="505"/>
      <c r="N360" s="505"/>
      <c r="O360" s="530"/>
      <c r="P360" s="530" t="s">
        <v>1133</v>
      </c>
      <c r="Q360" s="530"/>
      <c r="R360" s="530"/>
      <c r="S360" s="530"/>
      <c r="T360" s="530"/>
      <c r="U360" s="530"/>
      <c r="V360" s="530"/>
      <c r="W360" s="530"/>
      <c r="X360" s="530"/>
      <c r="Y360" s="530"/>
      <c r="Z360" s="530"/>
      <c r="AA360" s="530"/>
      <c r="AB360" s="530"/>
      <c r="AC360" s="530"/>
      <c r="AD360" s="530"/>
      <c r="AE360" s="530"/>
      <c r="AF360" s="530"/>
      <c r="AG360" s="530"/>
      <c r="AH360" s="530"/>
      <c r="AI360" s="530"/>
      <c r="AJ360" s="530"/>
      <c r="AK360" s="530"/>
      <c r="AL360" s="530"/>
      <c r="AM360" s="158"/>
      <c r="AN360" s="158"/>
      <c r="AO360" s="49"/>
      <c r="AP360" s="49"/>
      <c r="AQ360" s="51"/>
      <c r="AR360" s="215"/>
      <c r="AS360" s="215"/>
      <c r="AT360" s="215"/>
      <c r="AU360" s="215"/>
      <c r="AV360" s="49"/>
      <c r="AW360" s="49"/>
      <c r="AX360" s="49"/>
      <c r="AY360" s="52"/>
      <c r="BA360" s="23">
        <v>3.2</v>
      </c>
    </row>
    <row r="361" spans="1:53" ht="13.5" customHeight="1">
      <c r="A361" s="56"/>
      <c r="B361" s="50"/>
      <c r="C361" s="49"/>
      <c r="D361" s="49"/>
      <c r="E361" s="49"/>
      <c r="F361" s="49"/>
      <c r="G361" s="49"/>
      <c r="H361" s="49"/>
      <c r="I361" s="51"/>
      <c r="J361" s="350"/>
      <c r="K361" s="351"/>
      <c r="L361" s="520"/>
      <c r="M361" s="505"/>
      <c r="N361" s="505"/>
      <c r="O361" s="530"/>
      <c r="P361" s="530"/>
      <c r="Q361" s="530"/>
      <c r="R361" s="530"/>
      <c r="S361" s="530"/>
      <c r="T361" s="530"/>
      <c r="U361" s="530"/>
      <c r="V361" s="530"/>
      <c r="W361" s="530"/>
      <c r="X361" s="530"/>
      <c r="Y361" s="530"/>
      <c r="Z361" s="530"/>
      <c r="AA361" s="530"/>
      <c r="AB361" s="530"/>
      <c r="AC361" s="530"/>
      <c r="AD361" s="530"/>
      <c r="AE361" s="530"/>
      <c r="AF361" s="530"/>
      <c r="AG361" s="530"/>
      <c r="AH361" s="530"/>
      <c r="AI361" s="530"/>
      <c r="AJ361" s="530"/>
      <c r="AK361" s="530"/>
      <c r="AL361" s="530"/>
      <c r="AM361" s="158"/>
      <c r="AN361" s="158"/>
      <c r="AO361" s="49"/>
      <c r="AP361" s="49"/>
      <c r="AQ361" s="51"/>
      <c r="AR361" s="215"/>
      <c r="AS361" s="215"/>
      <c r="AT361" s="215"/>
      <c r="AU361" s="215"/>
      <c r="AV361" s="49"/>
      <c r="AW361" s="49"/>
      <c r="AX361" s="49"/>
      <c r="AY361" s="52"/>
    </row>
    <row r="362" spans="1:53" ht="13.5" customHeight="1">
      <c r="A362" s="56"/>
      <c r="B362" s="50"/>
      <c r="C362" s="49"/>
      <c r="D362" s="49"/>
      <c r="E362" s="49"/>
      <c r="F362" s="49"/>
      <c r="G362" s="49"/>
      <c r="H362" s="49"/>
      <c r="I362" s="51"/>
      <c r="J362" s="350"/>
      <c r="K362" s="351"/>
      <c r="L362" s="520"/>
      <c r="M362" s="505"/>
      <c r="N362" s="505"/>
      <c r="O362" s="530" t="s">
        <v>777</v>
      </c>
      <c r="P362" s="530"/>
      <c r="Q362" s="530"/>
      <c r="R362" s="530"/>
      <c r="S362" s="530"/>
      <c r="T362" s="530"/>
      <c r="U362" s="530"/>
      <c r="V362" s="530"/>
      <c r="W362" s="530"/>
      <c r="X362" s="530"/>
      <c r="Y362" s="530"/>
      <c r="Z362" s="530"/>
      <c r="AA362" s="530"/>
      <c r="AB362" s="530"/>
      <c r="AC362" s="530"/>
      <c r="AD362" s="530"/>
      <c r="AE362" s="530"/>
      <c r="AF362" s="530"/>
      <c r="AG362" s="530"/>
      <c r="AH362" s="530"/>
      <c r="AI362" s="530"/>
      <c r="AJ362" s="530"/>
      <c r="AK362" s="530"/>
      <c r="AL362" s="530"/>
      <c r="AM362" s="158"/>
      <c r="AN362" s="158"/>
      <c r="AO362" s="49"/>
      <c r="AP362" s="49"/>
      <c r="AQ362" s="51"/>
      <c r="AR362" s="215" t="s">
        <v>801</v>
      </c>
      <c r="AS362" s="215"/>
      <c r="AT362" s="215"/>
      <c r="AU362" s="215"/>
      <c r="AV362" s="49"/>
      <c r="AW362" s="49"/>
      <c r="AX362" s="49"/>
      <c r="AY362" s="52"/>
      <c r="BA362" s="23">
        <v>3.2</v>
      </c>
    </row>
    <row r="363" spans="1:53" ht="13.5" customHeight="1">
      <c r="A363" s="56"/>
      <c r="B363" s="50"/>
      <c r="C363" s="49"/>
      <c r="D363" s="49"/>
      <c r="E363" s="49"/>
      <c r="F363" s="49"/>
      <c r="G363" s="49"/>
      <c r="H363" s="49"/>
      <c r="I363" s="51"/>
      <c r="J363" s="350"/>
      <c r="K363" s="351"/>
      <c r="L363" s="520"/>
      <c r="M363" s="505"/>
      <c r="N363" s="505"/>
      <c r="O363" s="530"/>
      <c r="P363" s="530" t="s">
        <v>1136</v>
      </c>
      <c r="Q363" s="530"/>
      <c r="R363" s="530"/>
      <c r="S363" s="530"/>
      <c r="T363" s="530"/>
      <c r="U363" s="530"/>
      <c r="V363" s="530"/>
      <c r="W363" s="530"/>
      <c r="X363" s="530"/>
      <c r="Y363" s="530"/>
      <c r="Z363" s="530"/>
      <c r="AA363" s="530"/>
      <c r="AB363" s="530"/>
      <c r="AC363" s="530"/>
      <c r="AD363" s="530"/>
      <c r="AE363" s="530"/>
      <c r="AF363" s="530"/>
      <c r="AG363" s="530"/>
      <c r="AH363" s="530"/>
      <c r="AI363" s="530"/>
      <c r="AJ363" s="530"/>
      <c r="AK363" s="530"/>
      <c r="AL363" s="530"/>
      <c r="AM363" s="158"/>
      <c r="AN363" s="158"/>
      <c r="AO363" s="49"/>
      <c r="AP363" s="49"/>
      <c r="AQ363" s="51"/>
      <c r="AR363" s="215"/>
      <c r="AS363" s="215"/>
      <c r="AT363" s="215"/>
      <c r="AU363" s="215"/>
      <c r="AV363" s="49"/>
      <c r="AW363" s="49"/>
      <c r="AX363" s="49"/>
      <c r="AY363" s="52"/>
      <c r="BA363" s="23">
        <v>3.2</v>
      </c>
    </row>
    <row r="364" spans="1:53" ht="13.5" customHeight="1">
      <c r="A364" s="56"/>
      <c r="B364" s="50"/>
      <c r="C364" s="49"/>
      <c r="D364" s="49"/>
      <c r="E364" s="49"/>
      <c r="F364" s="49"/>
      <c r="G364" s="49"/>
      <c r="H364" s="49"/>
      <c r="I364" s="51"/>
      <c r="J364" s="350"/>
      <c r="K364" s="351"/>
      <c r="L364" s="520"/>
      <c r="M364" s="505"/>
      <c r="N364" s="505"/>
      <c r="O364" s="530"/>
      <c r="P364" s="530" t="s">
        <v>585</v>
      </c>
      <c r="Q364" s="530"/>
      <c r="R364" s="530"/>
      <c r="S364" s="530"/>
      <c r="T364" s="530"/>
      <c r="U364" s="530"/>
      <c r="V364" s="530"/>
      <c r="W364" s="530"/>
      <c r="X364" s="530"/>
      <c r="Y364" s="530"/>
      <c r="Z364" s="530"/>
      <c r="AA364" s="530"/>
      <c r="AB364" s="530"/>
      <c r="AC364" s="530"/>
      <c r="AD364" s="530"/>
      <c r="AE364" s="530"/>
      <c r="AF364" s="530"/>
      <c r="AG364" s="530"/>
      <c r="AH364" s="530"/>
      <c r="AI364" s="530"/>
      <c r="AJ364" s="530"/>
      <c r="AK364" s="530"/>
      <c r="AL364" s="530"/>
      <c r="AM364" s="158"/>
      <c r="AN364" s="158"/>
      <c r="AO364" s="49"/>
      <c r="AP364" s="49"/>
      <c r="AQ364" s="51"/>
      <c r="AR364" s="215"/>
      <c r="AS364" s="215"/>
      <c r="AT364" s="215"/>
      <c r="AU364" s="215"/>
      <c r="AV364" s="49"/>
      <c r="AW364" s="49"/>
      <c r="AX364" s="49"/>
      <c r="AY364" s="52"/>
      <c r="BA364" s="23">
        <v>3.2</v>
      </c>
    </row>
    <row r="365" spans="1:53" ht="13.5" customHeight="1">
      <c r="A365" s="56"/>
      <c r="B365" s="50"/>
      <c r="C365" s="49"/>
      <c r="D365" s="49"/>
      <c r="E365" s="49"/>
      <c r="F365" s="49"/>
      <c r="G365" s="49"/>
      <c r="H365" s="49"/>
      <c r="I365" s="51"/>
      <c r="J365" s="350"/>
      <c r="K365" s="351"/>
      <c r="L365" s="520"/>
      <c r="M365" s="505"/>
      <c r="N365" s="505"/>
      <c r="O365" s="543"/>
      <c r="P365" s="505"/>
      <c r="Q365" s="505"/>
      <c r="R365" s="505"/>
      <c r="S365" s="139"/>
      <c r="T365" s="139"/>
      <c r="U365" s="139"/>
      <c r="V365" s="139"/>
      <c r="W365" s="139"/>
      <c r="X365" s="139"/>
      <c r="Y365" s="139"/>
      <c r="Z365" s="139"/>
      <c r="AA365" s="139"/>
      <c r="AB365" s="139"/>
      <c r="AC365" s="139"/>
      <c r="AD365" s="139"/>
      <c r="AE365" s="139"/>
      <c r="AF365" s="139"/>
      <c r="AG365" s="139"/>
      <c r="AH365" s="139"/>
      <c r="AI365" s="139"/>
      <c r="AJ365" s="139"/>
      <c r="AK365" s="139"/>
      <c r="AL365" s="139"/>
      <c r="AM365" s="49"/>
      <c r="AN365" s="49"/>
      <c r="AO365" s="49"/>
      <c r="AP365" s="49"/>
      <c r="AQ365" s="51"/>
      <c r="AR365" s="215"/>
      <c r="AS365" s="215"/>
      <c r="AT365" s="215"/>
      <c r="AU365" s="215"/>
      <c r="AV365" s="49"/>
      <c r="AW365" s="49"/>
      <c r="AX365" s="49"/>
      <c r="AY365" s="52"/>
    </row>
    <row r="366" spans="1:53" ht="13.5" customHeight="1">
      <c r="A366" s="56"/>
      <c r="B366" s="50"/>
      <c r="C366" s="49"/>
      <c r="D366" s="49"/>
      <c r="E366" s="49"/>
      <c r="F366" s="49"/>
      <c r="G366" s="49"/>
      <c r="H366" s="49"/>
      <c r="I366" s="51"/>
      <c r="J366" s="350"/>
      <c r="K366" s="351"/>
      <c r="L366" s="520"/>
      <c r="M366" s="505"/>
      <c r="N366" s="505"/>
      <c r="O366" s="543"/>
      <c r="P366" s="554" t="s">
        <v>578</v>
      </c>
      <c r="Q366" s="530"/>
      <c r="R366" s="530"/>
      <c r="S366" s="531"/>
      <c r="T366" s="531"/>
      <c r="U366" s="531"/>
      <c r="V366" s="531"/>
      <c r="W366" s="531"/>
      <c r="X366" s="531"/>
      <c r="Y366" s="139"/>
      <c r="Z366" s="139"/>
      <c r="AA366" s="139"/>
      <c r="AB366" s="139"/>
      <c r="AC366" s="139"/>
      <c r="AD366" s="139"/>
      <c r="AE366" s="139"/>
      <c r="AF366" s="139"/>
      <c r="AG366" s="139"/>
      <c r="AH366" s="139"/>
      <c r="AI366" s="139"/>
      <c r="AJ366" s="139"/>
      <c r="AK366" s="139"/>
      <c r="AL366" s="139"/>
      <c r="AM366" s="49"/>
      <c r="AN366" s="49"/>
      <c r="AO366" s="49"/>
      <c r="AP366" s="49"/>
      <c r="AQ366" s="51"/>
      <c r="AR366" s="215"/>
      <c r="AS366" s="215"/>
      <c r="AT366" s="215"/>
      <c r="AU366" s="215"/>
      <c r="AV366" s="49"/>
      <c r="AW366" s="49"/>
      <c r="AX366" s="49"/>
      <c r="AY366" s="52"/>
      <c r="BA366" s="23">
        <v>3.2</v>
      </c>
    </row>
    <row r="367" spans="1:53" ht="13.5" customHeight="1">
      <c r="A367" s="56"/>
      <c r="B367" s="50"/>
      <c r="C367" s="49"/>
      <c r="D367" s="49"/>
      <c r="E367" s="49"/>
      <c r="F367" s="49"/>
      <c r="G367" s="49"/>
      <c r="H367" s="49"/>
      <c r="I367" s="51"/>
      <c r="J367" s="350"/>
      <c r="K367" s="351"/>
      <c r="L367" s="520"/>
      <c r="M367" s="505"/>
      <c r="N367" s="505"/>
      <c r="O367" s="543"/>
      <c r="P367" s="554" t="s">
        <v>1137</v>
      </c>
      <c r="Q367" s="530"/>
      <c r="R367" s="530"/>
      <c r="S367" s="531"/>
      <c r="T367" s="139"/>
      <c r="U367" s="139"/>
      <c r="V367" s="139"/>
      <c r="W367" s="139"/>
      <c r="X367" s="139"/>
      <c r="Y367" s="139"/>
      <c r="Z367" s="139"/>
      <c r="AA367" s="139"/>
      <c r="AB367" s="139"/>
      <c r="AC367" s="139"/>
      <c r="AD367" s="139"/>
      <c r="AE367" s="139"/>
      <c r="AF367" s="139"/>
      <c r="AG367" s="139"/>
      <c r="AH367" s="139"/>
      <c r="AI367" s="139"/>
      <c r="AJ367" s="139"/>
      <c r="AK367" s="139"/>
      <c r="AL367" s="139"/>
      <c r="AM367" s="49"/>
      <c r="AN367" s="49"/>
      <c r="AO367" s="49"/>
      <c r="AP367" s="49"/>
      <c r="AQ367" s="51"/>
      <c r="AR367" s="215"/>
      <c r="AS367" s="215"/>
      <c r="AT367" s="215"/>
      <c r="AU367" s="215"/>
      <c r="AV367" s="49"/>
      <c r="AW367" s="49"/>
      <c r="AX367" s="49"/>
      <c r="AY367" s="52"/>
      <c r="BA367" s="23">
        <v>3.2</v>
      </c>
    </row>
    <row r="368" spans="1:53" ht="13.5" customHeight="1">
      <c r="A368" s="56"/>
      <c r="B368" s="50"/>
      <c r="C368" s="49"/>
      <c r="D368" s="49"/>
      <c r="E368" s="49"/>
      <c r="F368" s="49"/>
      <c r="G368" s="49"/>
      <c r="H368" s="49"/>
      <c r="I368" s="51"/>
      <c r="J368" s="350"/>
      <c r="K368" s="351"/>
      <c r="L368" s="520"/>
      <c r="M368" s="505"/>
      <c r="N368" s="505"/>
      <c r="O368" s="543"/>
      <c r="P368" s="139"/>
      <c r="Q368" s="530" t="s">
        <v>1140</v>
      </c>
      <c r="R368" s="530"/>
      <c r="S368" s="530"/>
      <c r="T368" s="530"/>
      <c r="U368" s="505"/>
      <c r="V368" s="540"/>
      <c r="W368" s="505"/>
      <c r="X368" s="139"/>
      <c r="Y368" s="139"/>
      <c r="Z368" s="139"/>
      <c r="AA368" s="139"/>
      <c r="AB368" s="139"/>
      <c r="AC368" s="139"/>
      <c r="AD368" s="139"/>
      <c r="AE368" s="139"/>
      <c r="AF368" s="139"/>
      <c r="AG368" s="139"/>
      <c r="AH368" s="139"/>
      <c r="AI368" s="139"/>
      <c r="AJ368" s="139"/>
      <c r="AK368" s="139"/>
      <c r="AL368" s="139"/>
      <c r="AM368" s="49"/>
      <c r="AN368" s="49"/>
      <c r="AO368" s="49"/>
      <c r="AP368" s="49"/>
      <c r="AQ368" s="51"/>
      <c r="AR368" s="215"/>
      <c r="AS368" s="215"/>
      <c r="AT368" s="215"/>
      <c r="AU368" s="215"/>
      <c r="AV368" s="49"/>
      <c r="AW368" s="49"/>
      <c r="AX368" s="49"/>
      <c r="AY368" s="52"/>
      <c r="BA368" s="23">
        <v>3.2</v>
      </c>
    </row>
    <row r="369" spans="1:53" ht="13.5" customHeight="1">
      <c r="A369" s="56"/>
      <c r="B369" s="50"/>
      <c r="C369" s="49"/>
      <c r="D369" s="49"/>
      <c r="E369" s="49"/>
      <c r="F369" s="49"/>
      <c r="G369" s="49"/>
      <c r="H369" s="49"/>
      <c r="I369" s="51"/>
      <c r="J369" s="350"/>
      <c r="K369" s="351"/>
      <c r="L369" s="520"/>
      <c r="M369" s="505"/>
      <c r="N369" s="505"/>
      <c r="O369" s="543"/>
      <c r="P369" s="554" t="s">
        <v>1138</v>
      </c>
      <c r="Q369" s="530"/>
      <c r="R369" s="530"/>
      <c r="S369" s="531"/>
      <c r="T369" s="554"/>
      <c r="U369" s="139"/>
      <c r="V369" s="139"/>
      <c r="W369" s="139"/>
      <c r="X369" s="139"/>
      <c r="Y369" s="139"/>
      <c r="Z369" s="139"/>
      <c r="AA369" s="139"/>
      <c r="AB369" s="139"/>
      <c r="AC369" s="139"/>
      <c r="AD369" s="139"/>
      <c r="AE369" s="139"/>
      <c r="AF369" s="139"/>
      <c r="AG369" s="139"/>
      <c r="AH369" s="139"/>
      <c r="AI369" s="139"/>
      <c r="AJ369" s="139"/>
      <c r="AK369" s="139"/>
      <c r="AL369" s="139"/>
      <c r="AM369" s="49"/>
      <c r="AN369" s="49"/>
      <c r="AO369" s="49"/>
      <c r="AP369" s="49"/>
      <c r="AQ369" s="51"/>
      <c r="AR369" s="215"/>
      <c r="AS369" s="215"/>
      <c r="AT369" s="215"/>
      <c r="AU369" s="215"/>
      <c r="AV369" s="49"/>
      <c r="AW369" s="49"/>
      <c r="AX369" s="49"/>
      <c r="AY369" s="52"/>
      <c r="BA369" s="23">
        <v>3.2</v>
      </c>
    </row>
    <row r="370" spans="1:53" ht="13.5" customHeight="1">
      <c r="A370" s="56"/>
      <c r="B370" s="50"/>
      <c r="C370" s="49"/>
      <c r="D370" s="49"/>
      <c r="E370" s="49"/>
      <c r="F370" s="49"/>
      <c r="G370" s="49"/>
      <c r="H370" s="49"/>
      <c r="I370" s="51"/>
      <c r="J370" s="350"/>
      <c r="K370" s="351"/>
      <c r="L370" s="520"/>
      <c r="M370" s="505"/>
      <c r="N370" s="505"/>
      <c r="O370" s="543"/>
      <c r="P370" s="139"/>
      <c r="Q370" s="530" t="s">
        <v>451</v>
      </c>
      <c r="R370" s="530"/>
      <c r="S370" s="530"/>
      <c r="T370" s="530"/>
      <c r="U370" s="139"/>
      <c r="V370" s="139"/>
      <c r="W370" s="139"/>
      <c r="X370" s="139"/>
      <c r="Y370" s="139"/>
      <c r="Z370" s="139"/>
      <c r="AA370" s="139"/>
      <c r="AB370" s="139"/>
      <c r="AC370" s="139"/>
      <c r="AD370" s="139"/>
      <c r="AE370" s="139"/>
      <c r="AF370" s="139"/>
      <c r="AG370" s="139"/>
      <c r="AH370" s="139"/>
      <c r="AI370" s="139"/>
      <c r="AJ370" s="139"/>
      <c r="AK370" s="139"/>
      <c r="AL370" s="139"/>
      <c r="AM370" s="49"/>
      <c r="AN370" s="49"/>
      <c r="AO370" s="49"/>
      <c r="AP370" s="49"/>
      <c r="AQ370" s="51"/>
      <c r="AR370" s="215"/>
      <c r="AS370" s="215"/>
      <c r="AT370" s="215"/>
      <c r="AU370" s="215"/>
      <c r="AV370" s="49"/>
      <c r="AW370" s="49"/>
      <c r="AX370" s="49"/>
      <c r="AY370" s="52"/>
      <c r="BA370" s="23">
        <v>3.2</v>
      </c>
    </row>
    <row r="371" spans="1:53" ht="13.5" customHeight="1">
      <c r="A371" s="56"/>
      <c r="B371" s="50"/>
      <c r="C371" s="49"/>
      <c r="D371" s="49"/>
      <c r="E371" s="49"/>
      <c r="F371" s="49"/>
      <c r="G371" s="49"/>
      <c r="H371" s="49"/>
      <c r="I371" s="51"/>
      <c r="J371" s="350"/>
      <c r="K371" s="351"/>
      <c r="L371" s="520"/>
      <c r="M371" s="505"/>
      <c r="N371" s="505"/>
      <c r="O371" s="543"/>
      <c r="P371" s="554" t="s">
        <v>1139</v>
      </c>
      <c r="Q371" s="530"/>
      <c r="R371" s="530"/>
      <c r="S371" s="531"/>
      <c r="T371" s="139"/>
      <c r="U371" s="139"/>
      <c r="V371" s="139"/>
      <c r="W371" s="139"/>
      <c r="X371" s="139"/>
      <c r="Y371" s="139"/>
      <c r="Z371" s="139"/>
      <c r="AA371" s="139"/>
      <c r="AB371" s="139"/>
      <c r="AC371" s="139"/>
      <c r="AD371" s="139"/>
      <c r="AE371" s="139"/>
      <c r="AF371" s="139"/>
      <c r="AG371" s="139"/>
      <c r="AH371" s="139"/>
      <c r="AI371" s="139"/>
      <c r="AJ371" s="139"/>
      <c r="AK371" s="139"/>
      <c r="AL371" s="139"/>
      <c r="AM371" s="49"/>
      <c r="AN371" s="49"/>
      <c r="AO371" s="49"/>
      <c r="AP371" s="49"/>
      <c r="AQ371" s="51"/>
      <c r="AR371" s="215"/>
      <c r="AS371" s="215"/>
      <c r="AT371" s="215"/>
      <c r="AU371" s="215"/>
      <c r="AV371" s="49"/>
      <c r="AW371" s="49"/>
      <c r="AX371" s="49"/>
      <c r="AY371" s="52"/>
      <c r="BA371" s="23">
        <v>3.2</v>
      </c>
    </row>
    <row r="372" spans="1:53" ht="13.5" customHeight="1">
      <c r="A372" s="56"/>
      <c r="B372" s="50"/>
      <c r="C372" s="49"/>
      <c r="D372" s="49"/>
      <c r="E372" s="49"/>
      <c r="F372" s="49"/>
      <c r="G372" s="49"/>
      <c r="H372" s="49"/>
      <c r="I372" s="51"/>
      <c r="J372" s="350"/>
      <c r="K372" s="351"/>
      <c r="L372" s="530" t="s">
        <v>1142</v>
      </c>
      <c r="M372" s="505"/>
      <c r="N372" s="505"/>
      <c r="O372" s="543"/>
      <c r="P372" s="505"/>
      <c r="Q372" s="530" t="s">
        <v>579</v>
      </c>
      <c r="R372" s="530"/>
      <c r="S372" s="530"/>
      <c r="T372" s="530"/>
      <c r="U372" s="530"/>
      <c r="V372" s="530"/>
      <c r="W372" s="530"/>
      <c r="X372" s="530"/>
      <c r="Y372" s="530"/>
      <c r="Z372" s="530"/>
      <c r="AA372" s="530"/>
      <c r="AB372" s="530"/>
      <c r="AC372" s="530"/>
      <c r="AD372" s="530"/>
      <c r="AE372" s="530"/>
      <c r="AF372" s="530" t="s">
        <v>686</v>
      </c>
      <c r="AG372" s="530"/>
      <c r="AH372" s="530"/>
      <c r="AI372" s="530"/>
      <c r="AJ372" s="530"/>
      <c r="AK372" s="530"/>
      <c r="AL372" s="530"/>
      <c r="AM372" s="158"/>
      <c r="AN372" s="158"/>
      <c r="AO372" s="158"/>
      <c r="AP372" s="158"/>
      <c r="AQ372" s="51"/>
      <c r="AR372" s="215"/>
      <c r="AS372" s="215"/>
      <c r="AT372" s="215"/>
      <c r="AU372" s="215"/>
      <c r="AV372" s="49"/>
      <c r="AW372" s="49"/>
      <c r="AX372" s="49"/>
      <c r="AY372" s="52"/>
      <c r="AZ372" s="23">
        <v>0.8</v>
      </c>
      <c r="BA372" s="23">
        <v>3.2</v>
      </c>
    </row>
    <row r="373" spans="1:53" ht="13.5" customHeight="1">
      <c r="A373" s="56"/>
      <c r="B373" s="50"/>
      <c r="C373" s="49"/>
      <c r="D373" s="49"/>
      <c r="E373" s="49"/>
      <c r="F373" s="49"/>
      <c r="G373" s="49"/>
      <c r="H373" s="49"/>
      <c r="I373" s="51"/>
      <c r="J373" s="350"/>
      <c r="K373" s="351"/>
      <c r="L373" s="530" t="s">
        <v>1142</v>
      </c>
      <c r="M373" s="505"/>
      <c r="N373" s="505"/>
      <c r="O373" s="543"/>
      <c r="P373" s="505"/>
      <c r="Q373" s="530" t="s">
        <v>1141</v>
      </c>
      <c r="R373" s="530"/>
      <c r="S373" s="530"/>
      <c r="T373" s="530"/>
      <c r="U373" s="530"/>
      <c r="V373" s="530"/>
      <c r="W373" s="530"/>
      <c r="X373" s="530"/>
      <c r="Y373" s="530"/>
      <c r="Z373" s="530"/>
      <c r="AA373" s="530" t="s">
        <v>584</v>
      </c>
      <c r="AB373" s="530"/>
      <c r="AC373" s="530"/>
      <c r="AD373" s="530"/>
      <c r="AE373" s="530"/>
      <c r="AF373" s="530"/>
      <c r="AG373" s="530"/>
      <c r="AH373" s="530"/>
      <c r="AI373" s="530"/>
      <c r="AJ373" s="530"/>
      <c r="AK373" s="530"/>
      <c r="AL373" s="530"/>
      <c r="AM373" s="158"/>
      <c r="AN373" s="158"/>
      <c r="AO373" s="158"/>
      <c r="AP373" s="158"/>
      <c r="AQ373" s="51"/>
      <c r="AR373" s="215"/>
      <c r="AS373" s="215"/>
      <c r="AT373" s="215"/>
      <c r="AU373" s="215"/>
      <c r="AV373" s="49"/>
      <c r="AW373" s="49"/>
      <c r="AX373" s="49"/>
      <c r="AY373" s="52"/>
      <c r="BA373" s="23">
        <v>3.2</v>
      </c>
    </row>
    <row r="374" spans="1:53" ht="13.5" customHeight="1">
      <c r="A374" s="56"/>
      <c r="B374" s="50"/>
      <c r="C374" s="49"/>
      <c r="D374" s="49"/>
      <c r="E374" s="49"/>
      <c r="F374" s="49"/>
      <c r="G374" s="49"/>
      <c r="H374" s="49"/>
      <c r="I374" s="51"/>
      <c r="J374" s="350"/>
      <c r="K374" s="351"/>
      <c r="L374" s="520"/>
      <c r="M374" s="505"/>
      <c r="N374" s="505"/>
      <c r="O374" s="543"/>
      <c r="P374" s="505"/>
      <c r="Q374" s="505"/>
      <c r="R374" s="505"/>
      <c r="S374" s="139"/>
      <c r="T374" s="139"/>
      <c r="U374" s="139"/>
      <c r="V374" s="139"/>
      <c r="W374" s="139"/>
      <c r="X374" s="139"/>
      <c r="Y374" s="139"/>
      <c r="Z374" s="139"/>
      <c r="AA374" s="139"/>
      <c r="AB374" s="139"/>
      <c r="AC374" s="139"/>
      <c r="AD374" s="139"/>
      <c r="AE374" s="139"/>
      <c r="AF374" s="139"/>
      <c r="AG374" s="139"/>
      <c r="AH374" s="139"/>
      <c r="AI374" s="139"/>
      <c r="AJ374" s="139"/>
      <c r="AK374" s="139"/>
      <c r="AL374" s="139"/>
      <c r="AM374" s="49"/>
      <c r="AN374" s="49"/>
      <c r="AO374" s="49"/>
      <c r="AP374" s="49"/>
      <c r="AQ374" s="51"/>
      <c r="AR374" s="215"/>
      <c r="AS374" s="215"/>
      <c r="AT374" s="215"/>
      <c r="AU374" s="215"/>
      <c r="AV374" s="49"/>
      <c r="AW374" s="49"/>
      <c r="AX374" s="49"/>
      <c r="AY374" s="52"/>
    </row>
    <row r="375" spans="1:53" ht="13.5" customHeight="1">
      <c r="A375" s="56"/>
      <c r="B375" s="50"/>
      <c r="C375" s="49"/>
      <c r="D375" s="49"/>
      <c r="E375" s="49"/>
      <c r="F375" s="49"/>
      <c r="G375" s="49"/>
      <c r="H375" s="49"/>
      <c r="I375" s="51"/>
      <c r="J375" s="350"/>
      <c r="K375" s="351"/>
      <c r="L375" s="520"/>
      <c r="M375" s="505"/>
      <c r="N375" s="505"/>
      <c r="O375" s="530" t="s">
        <v>778</v>
      </c>
      <c r="P375" s="530"/>
      <c r="Q375" s="530"/>
      <c r="R375" s="530"/>
      <c r="S375" s="530"/>
      <c r="T375" s="530"/>
      <c r="U375" s="530"/>
      <c r="V375" s="530"/>
      <c r="W375" s="530"/>
      <c r="X375" s="530"/>
      <c r="Y375" s="530"/>
      <c r="Z375" s="530"/>
      <c r="AA375" s="530"/>
      <c r="AB375" s="530"/>
      <c r="AC375" s="530"/>
      <c r="AD375" s="530"/>
      <c r="AE375" s="530"/>
      <c r="AF375" s="530"/>
      <c r="AG375" s="530"/>
      <c r="AH375" s="530"/>
      <c r="AI375" s="530"/>
      <c r="AJ375" s="530"/>
      <c r="AK375" s="530"/>
      <c r="AL375" s="530"/>
      <c r="AM375" s="158"/>
      <c r="AN375" s="158"/>
      <c r="AO375" s="49"/>
      <c r="AP375" s="49"/>
      <c r="AQ375" s="51"/>
      <c r="AR375" s="215" t="s">
        <v>801</v>
      </c>
      <c r="AS375" s="215"/>
      <c r="AT375" s="215"/>
      <c r="AU375" s="215"/>
      <c r="AV375" s="49"/>
      <c r="AW375" s="49"/>
      <c r="AX375" s="49"/>
      <c r="AY375" s="52"/>
      <c r="BA375" s="23">
        <v>3.2</v>
      </c>
    </row>
    <row r="376" spans="1:53" ht="13.5" customHeight="1">
      <c r="A376" s="56"/>
      <c r="B376" s="50"/>
      <c r="C376" s="49"/>
      <c r="D376" s="49"/>
      <c r="E376" s="49"/>
      <c r="F376" s="49"/>
      <c r="G376" s="49"/>
      <c r="H376" s="49"/>
      <c r="I376" s="51"/>
      <c r="J376" s="350"/>
      <c r="K376" s="351"/>
      <c r="L376" s="520"/>
      <c r="M376" s="505"/>
      <c r="N376" s="505"/>
      <c r="O376" s="530"/>
      <c r="P376" s="530" t="s">
        <v>1143</v>
      </c>
      <c r="Q376" s="530"/>
      <c r="R376" s="530"/>
      <c r="S376" s="530"/>
      <c r="T376" s="530"/>
      <c r="U376" s="530"/>
      <c r="V376" s="530"/>
      <c r="W376" s="530"/>
      <c r="X376" s="530"/>
      <c r="Y376" s="530"/>
      <c r="Z376" s="530"/>
      <c r="AA376" s="530"/>
      <c r="AB376" s="530"/>
      <c r="AC376" s="530"/>
      <c r="AD376" s="530"/>
      <c r="AE376" s="530"/>
      <c r="AF376" s="530"/>
      <c r="AG376" s="530"/>
      <c r="AH376" s="530"/>
      <c r="AI376" s="530"/>
      <c r="AJ376" s="530"/>
      <c r="AK376" s="530"/>
      <c r="AL376" s="530"/>
      <c r="AM376" s="158"/>
      <c r="AN376" s="158"/>
      <c r="AO376" s="49"/>
      <c r="AP376" s="49"/>
      <c r="AQ376" s="51"/>
      <c r="AR376" s="208"/>
      <c r="AS376" s="49"/>
      <c r="AT376" s="49"/>
      <c r="AU376" s="49"/>
      <c r="AV376" s="49"/>
      <c r="AW376" s="49"/>
      <c r="AX376" s="49"/>
      <c r="AY376" s="52"/>
      <c r="BA376" s="23">
        <v>3.2</v>
      </c>
    </row>
    <row r="377" spans="1:53" ht="13.5" customHeight="1">
      <c r="A377" s="56"/>
      <c r="B377" s="50"/>
      <c r="C377" s="49"/>
      <c r="D377" s="49"/>
      <c r="E377" s="49"/>
      <c r="F377" s="49"/>
      <c r="G377" s="49"/>
      <c r="H377" s="49"/>
      <c r="I377" s="51"/>
      <c r="J377" s="350"/>
      <c r="K377" s="351"/>
      <c r="L377" s="520"/>
      <c r="M377" s="505"/>
      <c r="N377" s="505"/>
      <c r="O377" s="530"/>
      <c r="P377" s="530" t="s">
        <v>586</v>
      </c>
      <c r="Q377" s="530"/>
      <c r="R377" s="530"/>
      <c r="S377" s="530"/>
      <c r="T377" s="530"/>
      <c r="U377" s="530"/>
      <c r="V377" s="530"/>
      <c r="W377" s="530"/>
      <c r="X377" s="530"/>
      <c r="Y377" s="530"/>
      <c r="Z377" s="530"/>
      <c r="AA377" s="530"/>
      <c r="AB377" s="530"/>
      <c r="AC377" s="530"/>
      <c r="AD377" s="530"/>
      <c r="AE377" s="530"/>
      <c r="AF377" s="530"/>
      <c r="AG377" s="530"/>
      <c r="AH377" s="530"/>
      <c r="AI377" s="530"/>
      <c r="AJ377" s="530"/>
      <c r="AK377" s="530"/>
      <c r="AL377" s="530"/>
      <c r="AM377" s="158"/>
      <c r="AN377" s="158"/>
      <c r="AO377" s="49"/>
      <c r="AP377" s="49"/>
      <c r="AQ377" s="51"/>
      <c r="AR377" s="208"/>
      <c r="AS377" s="49"/>
      <c r="AT377" s="49"/>
      <c r="AU377" s="49"/>
      <c r="AV377" s="49"/>
      <c r="AW377" s="49"/>
      <c r="AX377" s="49"/>
      <c r="AY377" s="52"/>
      <c r="BA377" s="23">
        <v>3.2</v>
      </c>
    </row>
    <row r="378" spans="1:53" ht="13.5" customHeight="1">
      <c r="A378" s="56"/>
      <c r="B378" s="50"/>
      <c r="C378" s="49"/>
      <c r="D378" s="49"/>
      <c r="E378" s="49"/>
      <c r="F378" s="49"/>
      <c r="G378" s="49"/>
      <c r="H378" s="49"/>
      <c r="I378" s="51"/>
      <c r="J378" s="350"/>
      <c r="K378" s="351"/>
      <c r="L378" s="520"/>
      <c r="M378" s="505"/>
      <c r="N378" s="505"/>
      <c r="O378" s="543"/>
      <c r="P378" s="505"/>
      <c r="Q378" s="505"/>
      <c r="R378" s="505"/>
      <c r="S378" s="139"/>
      <c r="T378" s="139"/>
      <c r="U378" s="139"/>
      <c r="V378" s="139"/>
      <c r="W378" s="139"/>
      <c r="X378" s="139"/>
      <c r="Y378" s="139"/>
      <c r="Z378" s="139"/>
      <c r="AA378" s="139"/>
      <c r="AB378" s="139"/>
      <c r="AC378" s="139"/>
      <c r="AD378" s="139"/>
      <c r="AE378" s="139"/>
      <c r="AF378" s="139"/>
      <c r="AG378" s="139"/>
      <c r="AH378" s="139"/>
      <c r="AI378" s="139"/>
      <c r="AJ378" s="139"/>
      <c r="AK378" s="139"/>
      <c r="AL378" s="139"/>
      <c r="AM378" s="49"/>
      <c r="AN378" s="49"/>
      <c r="AO378" s="49"/>
      <c r="AP378" s="49"/>
      <c r="AQ378" s="51"/>
      <c r="AR378" s="208"/>
      <c r="AS378" s="49"/>
      <c r="AT378" s="49"/>
      <c r="AU378" s="49"/>
      <c r="AV378" s="49"/>
      <c r="AW378" s="49"/>
      <c r="AX378" s="49"/>
      <c r="AY378" s="52"/>
    </row>
    <row r="379" spans="1:53" ht="13.5" customHeight="1">
      <c r="A379" s="56"/>
      <c r="B379" s="50"/>
      <c r="C379" s="49"/>
      <c r="D379" s="49"/>
      <c r="E379" s="49"/>
      <c r="F379" s="49"/>
      <c r="G379" s="49"/>
      <c r="H379" s="49"/>
      <c r="I379" s="51"/>
      <c r="J379" s="350"/>
      <c r="K379" s="351"/>
      <c r="L379" s="520"/>
      <c r="M379" s="505"/>
      <c r="N379" s="505"/>
      <c r="O379" s="543"/>
      <c r="P379" s="554" t="s">
        <v>581</v>
      </c>
      <c r="Q379" s="530"/>
      <c r="R379" s="530"/>
      <c r="S379" s="531"/>
      <c r="T379" s="554"/>
      <c r="U379" s="530"/>
      <c r="V379" s="530"/>
      <c r="W379" s="531"/>
      <c r="X379" s="554"/>
      <c r="Y379" s="139"/>
      <c r="Z379" s="139"/>
      <c r="AA379" s="139"/>
      <c r="AB379" s="139"/>
      <c r="AC379" s="139"/>
      <c r="AD379" s="139"/>
      <c r="AE379" s="139"/>
      <c r="AF379" s="139"/>
      <c r="AG379" s="139"/>
      <c r="AH379" s="139"/>
      <c r="AI379" s="139"/>
      <c r="AJ379" s="139"/>
      <c r="AK379" s="139"/>
      <c r="AL379" s="139"/>
      <c r="AM379" s="49"/>
      <c r="AN379" s="49"/>
      <c r="AO379" s="49"/>
      <c r="AP379" s="49"/>
      <c r="AQ379" s="51"/>
      <c r="AR379" s="208"/>
      <c r="AS379" s="49"/>
      <c r="AT379" s="49"/>
      <c r="AU379" s="49"/>
      <c r="AV379" s="49"/>
      <c r="AW379" s="49"/>
      <c r="AX379" s="49"/>
      <c r="AY379" s="52"/>
      <c r="BA379" s="23">
        <v>3.2</v>
      </c>
    </row>
    <row r="380" spans="1:53" ht="13.5" customHeight="1">
      <c r="A380" s="56"/>
      <c r="B380" s="50"/>
      <c r="C380" s="49"/>
      <c r="D380" s="49"/>
      <c r="E380" s="49"/>
      <c r="F380" s="49"/>
      <c r="G380" s="49"/>
      <c r="H380" s="49"/>
      <c r="I380" s="51"/>
      <c r="J380" s="350"/>
      <c r="K380" s="351"/>
      <c r="L380" s="520"/>
      <c r="M380" s="505"/>
      <c r="N380" s="505"/>
      <c r="O380" s="543"/>
      <c r="P380" s="554" t="s">
        <v>1137</v>
      </c>
      <c r="Q380" s="530"/>
      <c r="R380" s="530"/>
      <c r="S380" s="531"/>
      <c r="T380" s="554"/>
      <c r="U380" s="530"/>
      <c r="V380" s="530"/>
      <c r="W380" s="531"/>
      <c r="X380" s="554"/>
      <c r="Y380" s="139"/>
      <c r="Z380" s="139"/>
      <c r="AA380" s="139"/>
      <c r="AB380" s="139"/>
      <c r="AC380" s="139"/>
      <c r="AD380" s="139"/>
      <c r="AE380" s="139"/>
      <c r="AF380" s="139"/>
      <c r="AG380" s="139"/>
      <c r="AH380" s="139"/>
      <c r="AI380" s="139"/>
      <c r="AJ380" s="139"/>
      <c r="AK380" s="139"/>
      <c r="AL380" s="139"/>
      <c r="AM380" s="49"/>
      <c r="AN380" s="49"/>
      <c r="AO380" s="49"/>
      <c r="AP380" s="49"/>
      <c r="AQ380" s="51"/>
      <c r="AR380" s="208"/>
      <c r="AS380" s="49"/>
      <c r="AT380" s="49"/>
      <c r="AU380" s="49"/>
      <c r="AV380" s="49"/>
      <c r="AW380" s="49"/>
      <c r="AX380" s="49"/>
      <c r="AY380" s="52"/>
      <c r="BA380" s="23">
        <v>3.2</v>
      </c>
    </row>
    <row r="381" spans="1:53" ht="13.5" customHeight="1" thickBot="1">
      <c r="A381" s="321"/>
      <c r="B381" s="322"/>
      <c r="C381" s="323"/>
      <c r="D381" s="323"/>
      <c r="E381" s="323"/>
      <c r="F381" s="323"/>
      <c r="G381" s="323"/>
      <c r="H381" s="323"/>
      <c r="I381" s="324"/>
      <c r="J381" s="354"/>
      <c r="K381" s="355"/>
      <c r="L381" s="546"/>
      <c r="M381" s="538"/>
      <c r="N381" s="538"/>
      <c r="O381" s="547"/>
      <c r="P381" s="533"/>
      <c r="Q381" s="555" t="s">
        <v>1144</v>
      </c>
      <c r="R381" s="538"/>
      <c r="S381" s="538"/>
      <c r="T381" s="538"/>
      <c r="U381" s="538"/>
      <c r="V381" s="556"/>
      <c r="W381" s="538"/>
      <c r="X381" s="533"/>
      <c r="Y381" s="533"/>
      <c r="Z381" s="533"/>
      <c r="AA381" s="533"/>
      <c r="AB381" s="533"/>
      <c r="AC381" s="533"/>
      <c r="AD381" s="533"/>
      <c r="AE381" s="533"/>
      <c r="AF381" s="533"/>
      <c r="AG381" s="533"/>
      <c r="AH381" s="533"/>
      <c r="AI381" s="533"/>
      <c r="AJ381" s="533"/>
      <c r="AK381" s="533"/>
      <c r="AL381" s="533"/>
      <c r="AM381" s="323"/>
      <c r="AN381" s="323"/>
      <c r="AO381" s="323"/>
      <c r="AP381" s="323"/>
      <c r="AQ381" s="324"/>
      <c r="AR381" s="327"/>
      <c r="AS381" s="323"/>
      <c r="AT381" s="323"/>
      <c r="AU381" s="323"/>
      <c r="AV381" s="323"/>
      <c r="AW381" s="323"/>
      <c r="AX381" s="323"/>
      <c r="AY381" s="328"/>
      <c r="BA381" s="23">
        <v>3.2</v>
      </c>
    </row>
    <row r="382" spans="1:53" ht="13.5" customHeight="1">
      <c r="A382" s="56"/>
      <c r="B382" s="50"/>
      <c r="C382" s="49"/>
      <c r="D382" s="49"/>
      <c r="E382" s="49"/>
      <c r="F382" s="49"/>
      <c r="G382" s="49"/>
      <c r="H382" s="49"/>
      <c r="I382" s="51"/>
      <c r="J382" s="350"/>
      <c r="K382" s="351"/>
      <c r="L382" s="520"/>
      <c r="M382" s="505"/>
      <c r="N382" s="505"/>
      <c r="O382" s="543"/>
      <c r="P382" s="554" t="s">
        <v>1138</v>
      </c>
      <c r="Q382" s="530"/>
      <c r="R382" s="530"/>
      <c r="S382" s="531"/>
      <c r="T382" s="554"/>
      <c r="U382" s="530"/>
      <c r="V382" s="139"/>
      <c r="W382" s="139"/>
      <c r="X382" s="139"/>
      <c r="Y382" s="139"/>
      <c r="Z382" s="139"/>
      <c r="AA382" s="139"/>
      <c r="AB382" s="139"/>
      <c r="AC382" s="139"/>
      <c r="AD382" s="139"/>
      <c r="AE382" s="139"/>
      <c r="AF382" s="139"/>
      <c r="AG382" s="139"/>
      <c r="AH382" s="139"/>
      <c r="AI382" s="139"/>
      <c r="AJ382" s="139"/>
      <c r="AK382" s="139"/>
      <c r="AL382" s="139"/>
      <c r="AM382" s="49"/>
      <c r="AN382" s="49"/>
      <c r="AO382" s="49"/>
      <c r="AP382" s="49"/>
      <c r="AQ382" s="51"/>
      <c r="AR382" s="208"/>
      <c r="AS382" s="49"/>
      <c r="AT382" s="49"/>
      <c r="AU382" s="49"/>
      <c r="AV382" s="49"/>
      <c r="AW382" s="49"/>
      <c r="AX382" s="49"/>
      <c r="AY382" s="52"/>
      <c r="BA382" s="23">
        <v>3.2</v>
      </c>
    </row>
    <row r="383" spans="1:53" ht="13.5" customHeight="1">
      <c r="A383" s="56"/>
      <c r="B383" s="50"/>
      <c r="C383" s="49"/>
      <c r="D383" s="49"/>
      <c r="E383" s="49"/>
      <c r="F383" s="49"/>
      <c r="G383" s="49"/>
      <c r="H383" s="49"/>
      <c r="I383" s="51"/>
      <c r="J383" s="350"/>
      <c r="K383" s="351"/>
      <c r="L383" s="520"/>
      <c r="M383" s="505"/>
      <c r="N383" s="505"/>
      <c r="O383" s="543"/>
      <c r="P383" s="139"/>
      <c r="Q383" s="530" t="s">
        <v>451</v>
      </c>
      <c r="R383" s="530"/>
      <c r="S383" s="530"/>
      <c r="T383" s="139"/>
      <c r="U383" s="139"/>
      <c r="V383" s="139"/>
      <c r="W383" s="139"/>
      <c r="X383" s="139"/>
      <c r="Y383" s="139"/>
      <c r="Z383" s="139"/>
      <c r="AA383" s="139"/>
      <c r="AB383" s="139"/>
      <c r="AC383" s="139"/>
      <c r="AD383" s="139"/>
      <c r="AE383" s="139"/>
      <c r="AF383" s="139"/>
      <c r="AG383" s="139"/>
      <c r="AH383" s="139"/>
      <c r="AI383" s="139"/>
      <c r="AJ383" s="139"/>
      <c r="AK383" s="139"/>
      <c r="AL383" s="139"/>
      <c r="AM383" s="49"/>
      <c r="AN383" s="49"/>
      <c r="AO383" s="49"/>
      <c r="AP383" s="49"/>
      <c r="AQ383" s="51"/>
      <c r="AR383" s="208"/>
      <c r="AS383" s="49"/>
      <c r="AT383" s="49"/>
      <c r="AU383" s="49"/>
      <c r="AV383" s="49"/>
      <c r="AW383" s="49"/>
      <c r="AX383" s="49"/>
      <c r="AY383" s="52"/>
      <c r="BA383" s="23">
        <v>3.2</v>
      </c>
    </row>
    <row r="384" spans="1:53" ht="13.5" customHeight="1">
      <c r="A384" s="56"/>
      <c r="B384" s="50"/>
      <c r="C384" s="49"/>
      <c r="D384" s="49"/>
      <c r="E384" s="49"/>
      <c r="F384" s="49"/>
      <c r="G384" s="49"/>
      <c r="H384" s="49"/>
      <c r="I384" s="51"/>
      <c r="J384" s="350"/>
      <c r="K384" s="351"/>
      <c r="L384" s="520"/>
      <c r="M384" s="505"/>
      <c r="N384" s="505"/>
      <c r="O384" s="543"/>
      <c r="P384" s="554" t="s">
        <v>1139</v>
      </c>
      <c r="Q384" s="554"/>
      <c r="R384" s="554"/>
      <c r="S384" s="554"/>
      <c r="T384" s="554"/>
      <c r="U384" s="139"/>
      <c r="V384" s="139"/>
      <c r="W384" s="139"/>
      <c r="X384" s="139"/>
      <c r="Y384" s="139"/>
      <c r="Z384" s="139"/>
      <c r="AA384" s="139"/>
      <c r="AB384" s="139"/>
      <c r="AC384" s="139"/>
      <c r="AD384" s="139"/>
      <c r="AE384" s="139"/>
      <c r="AF384" s="139"/>
      <c r="AG384" s="139"/>
      <c r="AH384" s="139"/>
      <c r="AI384" s="139"/>
      <c r="AJ384" s="139"/>
      <c r="AK384" s="139"/>
      <c r="AL384" s="139"/>
      <c r="AM384" s="49"/>
      <c r="AN384" s="49"/>
      <c r="AO384" s="49"/>
      <c r="AP384" s="49"/>
      <c r="AQ384" s="51"/>
      <c r="AR384" s="208"/>
      <c r="AS384" s="49"/>
      <c r="AT384" s="49"/>
      <c r="AU384" s="49"/>
      <c r="AV384" s="49"/>
      <c r="AW384" s="49"/>
      <c r="AX384" s="49"/>
      <c r="AY384" s="52"/>
      <c r="BA384" s="23">
        <v>3.2</v>
      </c>
    </row>
    <row r="385" spans="1:53" ht="13.5" customHeight="1">
      <c r="A385" s="56"/>
      <c r="B385" s="50"/>
      <c r="C385" s="49"/>
      <c r="D385" s="49"/>
      <c r="E385" s="49"/>
      <c r="F385" s="49"/>
      <c r="G385" s="49"/>
      <c r="H385" s="49"/>
      <c r="I385" s="51"/>
      <c r="J385" s="350"/>
      <c r="K385" s="351"/>
      <c r="L385" s="530" t="s">
        <v>1142</v>
      </c>
      <c r="M385" s="530"/>
      <c r="N385" s="530"/>
      <c r="O385" s="530"/>
      <c r="P385" s="530"/>
      <c r="Q385" s="530" t="s">
        <v>579</v>
      </c>
      <c r="R385" s="530"/>
      <c r="S385" s="530"/>
      <c r="T385" s="530"/>
      <c r="U385" s="530"/>
      <c r="V385" s="530"/>
      <c r="W385" s="530"/>
      <c r="X385" s="530"/>
      <c r="Y385" s="530"/>
      <c r="Z385" s="530"/>
      <c r="AA385" s="530"/>
      <c r="AB385" s="530"/>
      <c r="AC385" s="530"/>
      <c r="AD385" s="530"/>
      <c r="AE385" s="530"/>
      <c r="AF385" s="530" t="s">
        <v>686</v>
      </c>
      <c r="AG385" s="530"/>
      <c r="AH385" s="530"/>
      <c r="AI385" s="530"/>
      <c r="AJ385" s="530"/>
      <c r="AK385" s="530"/>
      <c r="AL385" s="530"/>
      <c r="AM385" s="158"/>
      <c r="AN385" s="158"/>
      <c r="AO385" s="158"/>
      <c r="AP385" s="158"/>
      <c r="AQ385" s="51"/>
      <c r="AR385" s="208"/>
      <c r="AS385" s="49"/>
      <c r="AT385" s="49"/>
      <c r="AU385" s="49"/>
      <c r="AV385" s="49"/>
      <c r="AW385" s="49"/>
      <c r="AX385" s="49"/>
      <c r="AY385" s="52"/>
      <c r="AZ385" s="23">
        <v>0.8</v>
      </c>
      <c r="BA385" s="23">
        <v>3.2</v>
      </c>
    </row>
    <row r="386" spans="1:53" ht="13.5" customHeight="1">
      <c r="A386" s="56"/>
      <c r="B386" s="50"/>
      <c r="C386" s="49"/>
      <c r="D386" s="49"/>
      <c r="E386" s="49"/>
      <c r="F386" s="49"/>
      <c r="G386" s="49"/>
      <c r="H386" s="49"/>
      <c r="I386" s="51"/>
      <c r="J386" s="350"/>
      <c r="K386" s="351"/>
      <c r="L386" s="530" t="s">
        <v>580</v>
      </c>
      <c r="M386" s="530"/>
      <c r="N386" s="530"/>
      <c r="O386" s="530"/>
      <c r="P386" s="530"/>
      <c r="Q386" s="530" t="s">
        <v>582</v>
      </c>
      <c r="R386" s="530"/>
      <c r="S386" s="530"/>
      <c r="T386" s="530"/>
      <c r="U386" s="530"/>
      <c r="V386" s="530"/>
      <c r="W386" s="530"/>
      <c r="X386" s="530"/>
      <c r="Y386" s="530"/>
      <c r="Z386" s="530"/>
      <c r="AA386" s="530" t="s">
        <v>583</v>
      </c>
      <c r="AB386" s="530"/>
      <c r="AC386" s="530"/>
      <c r="AD386" s="530"/>
      <c r="AE386" s="530"/>
      <c r="AF386" s="530"/>
      <c r="AG386" s="530"/>
      <c r="AH386" s="530"/>
      <c r="AI386" s="530"/>
      <c r="AJ386" s="530"/>
      <c r="AK386" s="530"/>
      <c r="AL386" s="530"/>
      <c r="AM386" s="158"/>
      <c r="AN386" s="158"/>
      <c r="AO386" s="158"/>
      <c r="AP386" s="158"/>
      <c r="AQ386" s="51"/>
      <c r="AR386" s="208"/>
      <c r="AS386" s="49"/>
      <c r="AT386" s="49"/>
      <c r="AU386" s="49"/>
      <c r="AV386" s="49"/>
      <c r="AW386" s="49"/>
      <c r="AX386" s="49"/>
      <c r="AY386" s="52"/>
      <c r="BA386" s="23">
        <v>3.2</v>
      </c>
    </row>
    <row r="387" spans="1:53" ht="13.5" customHeight="1">
      <c r="A387" s="56"/>
      <c r="B387" s="50"/>
      <c r="C387" s="49"/>
      <c r="D387" s="49"/>
      <c r="E387" s="49"/>
      <c r="F387" s="49"/>
      <c r="G387" s="49"/>
      <c r="H387" s="49"/>
      <c r="I387" s="51"/>
      <c r="J387" s="409"/>
      <c r="K387" s="410"/>
      <c r="L387" s="101"/>
      <c r="M387" s="102"/>
      <c r="N387" s="102"/>
      <c r="O387" s="103"/>
      <c r="P387" s="102"/>
      <c r="Q387" s="102"/>
      <c r="R387" s="102"/>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51"/>
      <c r="AR387" s="208"/>
      <c r="AS387" s="49"/>
      <c r="AT387" s="49"/>
      <c r="AU387" s="49"/>
      <c r="AV387" s="49"/>
      <c r="AW387" s="49"/>
      <c r="AX387" s="49"/>
      <c r="AY387" s="52"/>
    </row>
    <row r="388" spans="1:53" ht="13.5" customHeight="1">
      <c r="A388" s="56"/>
      <c r="B388" s="50"/>
      <c r="C388" s="49"/>
      <c r="D388" s="49"/>
      <c r="E388" s="49"/>
      <c r="F388" s="49"/>
      <c r="G388" s="49"/>
      <c r="H388" s="49"/>
      <c r="I388" s="51"/>
      <c r="J388" s="409"/>
      <c r="K388" s="410"/>
      <c r="L388" s="520"/>
      <c r="M388" s="505"/>
      <c r="N388" s="505"/>
      <c r="O388" s="543" t="s">
        <v>1035</v>
      </c>
      <c r="P388" s="505"/>
      <c r="Q388" s="505"/>
      <c r="R388" s="505"/>
      <c r="S388" s="505"/>
      <c r="T388" s="505"/>
      <c r="U388" s="505"/>
      <c r="V388" s="505"/>
      <c r="W388" s="505"/>
      <c r="X388" s="505"/>
      <c r="Y388" s="505"/>
      <c r="Z388" s="505"/>
      <c r="AA388" s="505"/>
      <c r="AB388" s="505"/>
      <c r="AC388" s="505"/>
      <c r="AD388" s="505"/>
      <c r="AE388" s="505"/>
      <c r="AF388" s="505"/>
      <c r="AG388" s="505"/>
      <c r="AH388" s="505"/>
      <c r="AI388" s="505"/>
      <c r="AJ388" s="505"/>
      <c r="AK388" s="505"/>
      <c r="AL388" s="505"/>
      <c r="AM388" s="505"/>
      <c r="AN388" s="505"/>
      <c r="AO388" s="505"/>
      <c r="AP388" s="102"/>
      <c r="AQ388" s="377"/>
      <c r="AR388" s="396" t="s">
        <v>1036</v>
      </c>
      <c r="AS388" s="102"/>
      <c r="AT388" s="102"/>
      <c r="AU388" s="102"/>
      <c r="AV388" s="102"/>
      <c r="AW388" s="102"/>
      <c r="AX388" s="102"/>
      <c r="AY388" s="406"/>
      <c r="BA388" s="23">
        <v>2.8</v>
      </c>
    </row>
    <row r="389" spans="1:53" ht="13.5" customHeight="1">
      <c r="A389" s="56"/>
      <c r="B389" s="50"/>
      <c r="C389" s="49"/>
      <c r="D389" s="49"/>
      <c r="E389" s="49"/>
      <c r="F389" s="49"/>
      <c r="G389" s="49"/>
      <c r="H389" s="49"/>
      <c r="I389" s="51"/>
      <c r="J389" s="409"/>
      <c r="K389" s="410"/>
      <c r="L389" s="520"/>
      <c r="M389" s="505"/>
      <c r="N389" s="505"/>
      <c r="O389" s="543"/>
      <c r="P389" s="505"/>
      <c r="Q389" s="505"/>
      <c r="R389" s="505"/>
      <c r="S389" s="505"/>
      <c r="T389" s="505"/>
      <c r="U389" s="505"/>
      <c r="V389" s="505"/>
      <c r="W389" s="505"/>
      <c r="X389" s="505"/>
      <c r="Y389" s="505"/>
      <c r="Z389" s="505"/>
      <c r="AA389" s="505"/>
      <c r="AB389" s="505"/>
      <c r="AC389" s="505"/>
      <c r="AD389" s="505"/>
      <c r="AE389" s="505"/>
      <c r="AF389" s="505"/>
      <c r="AG389" s="505"/>
      <c r="AH389" s="505"/>
      <c r="AI389" s="505"/>
      <c r="AJ389" s="505"/>
      <c r="AK389" s="505"/>
      <c r="AL389" s="505"/>
      <c r="AM389" s="505"/>
      <c r="AN389" s="505"/>
      <c r="AO389" s="505"/>
      <c r="AP389" s="102"/>
      <c r="AQ389" s="377"/>
      <c r="AR389" s="396"/>
      <c r="AS389" s="102"/>
      <c r="AT389" s="102"/>
      <c r="AU389" s="102"/>
      <c r="AV389" s="102"/>
      <c r="AW389" s="102"/>
      <c r="AX389" s="102"/>
      <c r="AY389" s="406"/>
      <c r="BA389" s="23">
        <v>2.8</v>
      </c>
    </row>
    <row r="390" spans="1:53" ht="13.5" customHeight="1">
      <c r="A390" s="56"/>
      <c r="B390" s="50"/>
      <c r="C390" s="49"/>
      <c r="D390" s="49"/>
      <c r="E390" s="49"/>
      <c r="F390" s="49"/>
      <c r="G390" s="49"/>
      <c r="H390" s="49"/>
      <c r="I390" s="51"/>
      <c r="J390" s="409"/>
      <c r="K390" s="410"/>
      <c r="L390" s="520"/>
      <c r="M390" s="505"/>
      <c r="N390" s="505"/>
      <c r="O390" s="543" t="s">
        <v>1040</v>
      </c>
      <c r="P390" s="505"/>
      <c r="Q390" s="505"/>
      <c r="R390" s="505"/>
      <c r="S390" s="505"/>
      <c r="T390" s="505"/>
      <c r="U390" s="505"/>
      <c r="V390" s="505"/>
      <c r="W390" s="505"/>
      <c r="X390" s="505"/>
      <c r="Y390" s="505"/>
      <c r="Z390" s="505"/>
      <c r="AA390" s="505"/>
      <c r="AB390" s="505"/>
      <c r="AC390" s="505"/>
      <c r="AD390" s="505"/>
      <c r="AE390" s="505"/>
      <c r="AF390" s="505"/>
      <c r="AG390" s="505"/>
      <c r="AH390" s="505"/>
      <c r="AI390" s="505"/>
      <c r="AJ390" s="505"/>
      <c r="AK390" s="505"/>
      <c r="AL390" s="505"/>
      <c r="AM390" s="505"/>
      <c r="AN390" s="505"/>
      <c r="AO390" s="505"/>
      <c r="AP390" s="102"/>
      <c r="AQ390" s="377"/>
      <c r="AR390" s="396"/>
      <c r="AS390" s="102"/>
      <c r="AT390" s="102"/>
      <c r="AU390" s="102"/>
      <c r="AV390" s="102"/>
      <c r="AW390" s="102"/>
      <c r="AX390" s="102"/>
      <c r="AY390" s="406"/>
      <c r="BA390" s="23">
        <v>2.8</v>
      </c>
    </row>
    <row r="391" spans="1:53" ht="13.5" customHeight="1">
      <c r="A391" s="56"/>
      <c r="B391" s="50"/>
      <c r="C391" s="49"/>
      <c r="D391" s="49"/>
      <c r="E391" s="49"/>
      <c r="F391" s="49"/>
      <c r="G391" s="49"/>
      <c r="H391" s="49"/>
      <c r="I391" s="51"/>
      <c r="J391" s="409"/>
      <c r="K391" s="410"/>
      <c r="L391" s="520"/>
      <c r="M391" s="505"/>
      <c r="N391" s="505"/>
      <c r="O391" s="543"/>
      <c r="P391" s="505" t="s">
        <v>1043</v>
      </c>
      <c r="Q391" s="542"/>
      <c r="R391" s="505"/>
      <c r="S391" s="505"/>
      <c r="T391" s="505"/>
      <c r="U391" s="505"/>
      <c r="V391" s="505"/>
      <c r="W391" s="505"/>
      <c r="X391" s="505"/>
      <c r="Y391" s="505"/>
      <c r="Z391" s="505"/>
      <c r="AA391" s="505"/>
      <c r="AB391" s="505"/>
      <c r="AC391" s="505"/>
      <c r="AD391" s="505"/>
      <c r="AE391" s="505"/>
      <c r="AF391" s="505"/>
      <c r="AG391" s="505"/>
      <c r="AH391" s="505"/>
      <c r="AI391" s="505"/>
      <c r="AJ391" s="505"/>
      <c r="AK391" s="505"/>
      <c r="AL391" s="505"/>
      <c r="AM391" s="505"/>
      <c r="AN391" s="505"/>
      <c r="AO391" s="505"/>
      <c r="AP391" s="102"/>
      <c r="AQ391" s="377"/>
      <c r="AR391" s="396" t="s">
        <v>1038</v>
      </c>
      <c r="AS391" s="102"/>
      <c r="AT391" s="102"/>
      <c r="AU391" s="102"/>
      <c r="AV391" s="102"/>
      <c r="AW391" s="102"/>
      <c r="AX391" s="102"/>
      <c r="AY391" s="406"/>
      <c r="BA391" s="23">
        <v>2.8</v>
      </c>
    </row>
    <row r="392" spans="1:53" ht="13.5" customHeight="1">
      <c r="A392" s="56"/>
      <c r="B392" s="50"/>
      <c r="C392" s="49"/>
      <c r="D392" s="49"/>
      <c r="E392" s="49"/>
      <c r="F392" s="49"/>
      <c r="G392" s="49"/>
      <c r="H392" s="49"/>
      <c r="I392" s="51"/>
      <c r="J392" s="411"/>
      <c r="K392" s="412"/>
      <c r="L392" s="520"/>
      <c r="M392" s="505"/>
      <c r="N392" s="505"/>
      <c r="O392" s="543"/>
      <c r="P392" s="505"/>
      <c r="Q392" s="505"/>
      <c r="R392" s="505"/>
      <c r="S392" s="505"/>
      <c r="T392" s="505"/>
      <c r="U392" s="505"/>
      <c r="V392" s="505"/>
      <c r="W392" s="505"/>
      <c r="X392" s="505"/>
      <c r="Y392" s="505"/>
      <c r="Z392" s="505"/>
      <c r="AA392" s="505"/>
      <c r="AB392" s="505"/>
      <c r="AC392" s="505"/>
      <c r="AD392" s="505"/>
      <c r="AE392" s="505"/>
      <c r="AF392" s="505"/>
      <c r="AG392" s="505"/>
      <c r="AH392" s="505"/>
      <c r="AI392" s="505"/>
      <c r="AJ392" s="505"/>
      <c r="AK392" s="505"/>
      <c r="AL392" s="505"/>
      <c r="AM392" s="505"/>
      <c r="AN392" s="505"/>
      <c r="AO392" s="505"/>
      <c r="AP392" s="102"/>
      <c r="AQ392" s="377"/>
      <c r="AR392" s="396"/>
      <c r="AS392" s="102"/>
      <c r="AT392" s="102"/>
      <c r="AU392" s="102"/>
      <c r="AV392" s="102"/>
      <c r="AW392" s="102"/>
      <c r="AX392" s="102"/>
      <c r="AY392" s="406"/>
      <c r="BA392" s="23">
        <v>2.8</v>
      </c>
    </row>
    <row r="393" spans="1:53" ht="13.5" customHeight="1">
      <c r="A393" s="56"/>
      <c r="B393" s="50"/>
      <c r="C393" s="49"/>
      <c r="D393" s="49"/>
      <c r="E393" s="49"/>
      <c r="F393" s="49"/>
      <c r="G393" s="49"/>
      <c r="H393" s="49"/>
      <c r="I393" s="51"/>
      <c r="J393" s="411"/>
      <c r="K393" s="412"/>
      <c r="L393" s="520"/>
      <c r="M393" s="505"/>
      <c r="N393" s="505"/>
      <c r="O393" s="543" t="s">
        <v>1041</v>
      </c>
      <c r="P393" s="505"/>
      <c r="Q393" s="505"/>
      <c r="R393" s="505"/>
      <c r="S393" s="505"/>
      <c r="T393" s="505"/>
      <c r="U393" s="505"/>
      <c r="V393" s="505"/>
      <c r="W393" s="505"/>
      <c r="X393" s="505"/>
      <c r="Y393" s="505"/>
      <c r="Z393" s="505"/>
      <c r="AA393" s="505"/>
      <c r="AB393" s="505"/>
      <c r="AC393" s="505"/>
      <c r="AD393" s="505"/>
      <c r="AE393" s="505"/>
      <c r="AF393" s="505"/>
      <c r="AG393" s="505"/>
      <c r="AH393" s="505"/>
      <c r="AI393" s="505"/>
      <c r="AJ393" s="505"/>
      <c r="AK393" s="505"/>
      <c r="AL393" s="505"/>
      <c r="AM393" s="505"/>
      <c r="AN393" s="505"/>
      <c r="AO393" s="505"/>
      <c r="AP393" s="102"/>
      <c r="AQ393" s="377"/>
      <c r="AR393" s="396"/>
      <c r="AS393" s="102"/>
      <c r="AT393" s="102"/>
      <c r="AU393" s="102"/>
      <c r="AV393" s="102"/>
      <c r="AW393" s="102"/>
      <c r="AX393" s="102"/>
      <c r="AY393" s="406"/>
      <c r="BA393" s="23">
        <v>2.8</v>
      </c>
    </row>
    <row r="394" spans="1:53" ht="13.5" customHeight="1">
      <c r="A394" s="56"/>
      <c r="B394" s="50"/>
      <c r="C394" s="49"/>
      <c r="D394" s="49"/>
      <c r="E394" s="49"/>
      <c r="F394" s="49"/>
      <c r="G394" s="49"/>
      <c r="H394" s="49"/>
      <c r="I394" s="51"/>
      <c r="J394" s="411"/>
      <c r="K394" s="412"/>
      <c r="L394" s="520"/>
      <c r="M394" s="505"/>
      <c r="N394" s="505"/>
      <c r="O394" s="543"/>
      <c r="P394" s="505" t="s">
        <v>1037</v>
      </c>
      <c r="Q394" s="542"/>
      <c r="R394" s="505"/>
      <c r="S394" s="505"/>
      <c r="T394" s="505"/>
      <c r="U394" s="505"/>
      <c r="V394" s="505"/>
      <c r="W394" s="505"/>
      <c r="X394" s="505"/>
      <c r="Y394" s="505"/>
      <c r="Z394" s="505"/>
      <c r="AA394" s="505"/>
      <c r="AB394" s="505"/>
      <c r="AC394" s="505"/>
      <c r="AD394" s="505"/>
      <c r="AE394" s="505"/>
      <c r="AF394" s="505"/>
      <c r="AG394" s="505"/>
      <c r="AH394" s="505"/>
      <c r="AI394" s="505"/>
      <c r="AJ394" s="505"/>
      <c r="AK394" s="505"/>
      <c r="AL394" s="505"/>
      <c r="AM394" s="505"/>
      <c r="AN394" s="505"/>
      <c r="AO394" s="505"/>
      <c r="AP394" s="102"/>
      <c r="AQ394" s="377"/>
      <c r="AR394" s="396" t="s">
        <v>1039</v>
      </c>
      <c r="AS394" s="102"/>
      <c r="AT394" s="102"/>
      <c r="AU394" s="102"/>
      <c r="AV394" s="102"/>
      <c r="AW394" s="102"/>
      <c r="AX394" s="102"/>
      <c r="AY394" s="406"/>
      <c r="BA394" s="23">
        <v>2.8</v>
      </c>
    </row>
    <row r="395" spans="1:53" ht="13.5" customHeight="1">
      <c r="A395" s="56"/>
      <c r="B395" s="50"/>
      <c r="C395" s="49"/>
      <c r="D395" s="49"/>
      <c r="E395" s="49"/>
      <c r="F395" s="49"/>
      <c r="G395" s="49"/>
      <c r="H395" s="49"/>
      <c r="I395" s="51"/>
      <c r="J395" s="409"/>
      <c r="K395" s="410"/>
      <c r="L395" s="520"/>
      <c r="M395" s="505"/>
      <c r="N395" s="505"/>
      <c r="O395" s="543"/>
      <c r="P395" s="505"/>
      <c r="Q395" s="505"/>
      <c r="R395" s="505"/>
      <c r="S395" s="505"/>
      <c r="T395" s="505"/>
      <c r="U395" s="505"/>
      <c r="V395" s="505"/>
      <c r="W395" s="505"/>
      <c r="X395" s="505"/>
      <c r="Y395" s="505"/>
      <c r="Z395" s="505"/>
      <c r="AA395" s="505"/>
      <c r="AB395" s="505"/>
      <c r="AC395" s="505"/>
      <c r="AD395" s="505"/>
      <c r="AE395" s="505"/>
      <c r="AF395" s="505"/>
      <c r="AG395" s="505"/>
      <c r="AH395" s="505"/>
      <c r="AI395" s="505"/>
      <c r="AJ395" s="505"/>
      <c r="AK395" s="505"/>
      <c r="AL395" s="505"/>
      <c r="AM395" s="505"/>
      <c r="AN395" s="505"/>
      <c r="AO395" s="505"/>
      <c r="AP395" s="102"/>
      <c r="AQ395" s="377"/>
      <c r="AR395" s="396"/>
      <c r="AS395" s="102"/>
      <c r="AT395" s="102"/>
      <c r="AU395" s="102"/>
      <c r="AV395" s="102"/>
      <c r="AW395" s="102"/>
      <c r="AX395" s="102"/>
      <c r="AY395" s="406"/>
      <c r="BA395" s="23">
        <v>2.8</v>
      </c>
    </row>
    <row r="396" spans="1:53" ht="13.5" customHeight="1">
      <c r="A396" s="56"/>
      <c r="B396" s="50"/>
      <c r="C396" s="49"/>
      <c r="D396" s="49"/>
      <c r="E396" s="49"/>
      <c r="F396" s="49"/>
      <c r="G396" s="49"/>
      <c r="H396" s="49"/>
      <c r="I396" s="51"/>
      <c r="J396" s="413"/>
      <c r="K396" s="414"/>
      <c r="L396" s="520"/>
      <c r="M396" s="505"/>
      <c r="N396" s="505"/>
      <c r="O396" s="543" t="s">
        <v>1042</v>
      </c>
      <c r="P396" s="505"/>
      <c r="Q396" s="505"/>
      <c r="R396" s="505"/>
      <c r="S396" s="505"/>
      <c r="T396" s="505"/>
      <c r="U396" s="505"/>
      <c r="V396" s="505"/>
      <c r="W396" s="505"/>
      <c r="X396" s="505"/>
      <c r="Y396" s="505"/>
      <c r="Z396" s="505"/>
      <c r="AA396" s="505"/>
      <c r="AB396" s="505"/>
      <c r="AC396" s="505"/>
      <c r="AD396" s="505"/>
      <c r="AE396" s="505"/>
      <c r="AF396" s="505"/>
      <c r="AG396" s="505"/>
      <c r="AH396" s="505"/>
      <c r="AI396" s="505"/>
      <c r="AJ396" s="505"/>
      <c r="AK396" s="505"/>
      <c r="AL396" s="505"/>
      <c r="AM396" s="505"/>
      <c r="AN396" s="505"/>
      <c r="AO396" s="505"/>
      <c r="AP396" s="102"/>
      <c r="AQ396" s="377"/>
      <c r="AR396" s="396"/>
      <c r="AS396" s="102"/>
      <c r="AT396" s="102"/>
      <c r="AU396" s="102"/>
      <c r="AV396" s="102"/>
      <c r="AW396" s="102"/>
      <c r="AX396" s="102"/>
      <c r="AY396" s="406"/>
      <c r="BA396" s="23">
        <v>2.8</v>
      </c>
    </row>
    <row r="397" spans="1:53" ht="13.5" customHeight="1">
      <c r="A397" s="56"/>
      <c r="B397" s="50"/>
      <c r="C397" s="49"/>
      <c r="D397" s="49"/>
      <c r="E397" s="49"/>
      <c r="F397" s="49"/>
      <c r="G397" s="49"/>
      <c r="H397" s="49"/>
      <c r="I397" s="51"/>
      <c r="J397" s="413"/>
      <c r="K397" s="414"/>
      <c r="L397" s="520"/>
      <c r="M397" s="505"/>
      <c r="N397" s="505"/>
      <c r="O397" s="543"/>
      <c r="P397" s="505" t="s">
        <v>1045</v>
      </c>
      <c r="Q397" s="542"/>
      <c r="R397" s="505"/>
      <c r="S397" s="505"/>
      <c r="T397" s="505"/>
      <c r="U397" s="505"/>
      <c r="V397" s="505"/>
      <c r="W397" s="505"/>
      <c r="X397" s="505"/>
      <c r="Y397" s="505"/>
      <c r="Z397" s="505"/>
      <c r="AA397" s="505"/>
      <c r="AB397" s="505"/>
      <c r="AC397" s="505"/>
      <c r="AD397" s="505"/>
      <c r="AE397" s="505"/>
      <c r="AF397" s="505"/>
      <c r="AG397" s="505"/>
      <c r="AH397" s="505"/>
      <c r="AI397" s="505"/>
      <c r="AJ397" s="505"/>
      <c r="AK397" s="505"/>
      <c r="AL397" s="505"/>
      <c r="AM397" s="505"/>
      <c r="AN397" s="505"/>
      <c r="AO397" s="505"/>
      <c r="AP397" s="102"/>
      <c r="AQ397" s="377"/>
      <c r="AR397" s="396" t="s">
        <v>1044</v>
      </c>
      <c r="AS397" s="102"/>
      <c r="AT397" s="102"/>
      <c r="AU397" s="102"/>
      <c r="AV397" s="102"/>
      <c r="AW397" s="102"/>
      <c r="AX397" s="102"/>
      <c r="AY397" s="406"/>
      <c r="BA397" s="23">
        <v>2.8</v>
      </c>
    </row>
    <row r="398" spans="1:53" ht="13.5" customHeight="1">
      <c r="A398" s="56"/>
      <c r="B398" s="50"/>
      <c r="C398" s="49"/>
      <c r="D398" s="49"/>
      <c r="E398" s="49"/>
      <c r="F398" s="49"/>
      <c r="G398" s="49"/>
      <c r="H398" s="49"/>
      <c r="I398" s="51"/>
      <c r="J398" s="413"/>
      <c r="K398" s="414"/>
      <c r="L398" s="520"/>
      <c r="M398" s="505"/>
      <c r="N398" s="505"/>
      <c r="O398" s="543"/>
      <c r="P398" s="505" t="s">
        <v>1046</v>
      </c>
      <c r="Q398" s="542"/>
      <c r="R398" s="505"/>
      <c r="S398" s="505"/>
      <c r="T398" s="505"/>
      <c r="U398" s="505"/>
      <c r="V398" s="505"/>
      <c r="W398" s="505"/>
      <c r="X398" s="505"/>
      <c r="Y398" s="505"/>
      <c r="Z398" s="505"/>
      <c r="AA398" s="505"/>
      <c r="AB398" s="505"/>
      <c r="AC398" s="505"/>
      <c r="AD398" s="505"/>
      <c r="AE398" s="505"/>
      <c r="AF398" s="505"/>
      <c r="AG398" s="505"/>
      <c r="AH398" s="505"/>
      <c r="AI398" s="505"/>
      <c r="AJ398" s="505"/>
      <c r="AK398" s="505"/>
      <c r="AL398" s="505"/>
      <c r="AM398" s="505"/>
      <c r="AN398" s="505"/>
      <c r="AO398" s="505"/>
      <c r="AP398" s="102"/>
      <c r="AQ398" s="377"/>
      <c r="AR398" s="396" t="s">
        <v>1047</v>
      </c>
      <c r="AS398" s="102"/>
      <c r="AT398" s="102"/>
      <c r="AU398" s="102"/>
      <c r="AV398" s="102"/>
      <c r="AW398" s="102"/>
      <c r="AX398" s="102"/>
      <c r="AY398" s="406"/>
      <c r="BA398" s="23">
        <v>2.8</v>
      </c>
    </row>
    <row r="399" spans="1:53" ht="13.5" customHeight="1">
      <c r="A399" s="56"/>
      <c r="B399" s="50"/>
      <c r="C399" s="49"/>
      <c r="D399" s="49"/>
      <c r="E399" s="49"/>
      <c r="F399" s="49"/>
      <c r="G399" s="49"/>
      <c r="H399" s="49"/>
      <c r="I399" s="51"/>
      <c r="J399" s="413"/>
      <c r="K399" s="414"/>
      <c r="L399" s="520"/>
      <c r="M399" s="505"/>
      <c r="N399" s="505"/>
      <c r="O399" s="543"/>
      <c r="P399" s="505" t="s">
        <v>1048</v>
      </c>
      <c r="Q399" s="542"/>
      <c r="R399" s="505"/>
      <c r="S399" s="505"/>
      <c r="T399" s="505"/>
      <c r="U399" s="505"/>
      <c r="V399" s="505"/>
      <c r="W399" s="505"/>
      <c r="X399" s="505"/>
      <c r="Y399" s="505"/>
      <c r="Z399" s="505"/>
      <c r="AA399" s="505"/>
      <c r="AB399" s="505"/>
      <c r="AC399" s="505"/>
      <c r="AD399" s="505"/>
      <c r="AE399" s="505"/>
      <c r="AF399" s="505"/>
      <c r="AG399" s="505"/>
      <c r="AH399" s="505"/>
      <c r="AI399" s="505"/>
      <c r="AJ399" s="505"/>
      <c r="AK399" s="505"/>
      <c r="AL399" s="505"/>
      <c r="AM399" s="505"/>
      <c r="AN399" s="505"/>
      <c r="AO399" s="505"/>
      <c r="AP399" s="102"/>
      <c r="AQ399" s="377"/>
      <c r="AR399" s="396" t="s">
        <v>1047</v>
      </c>
      <c r="AS399" s="102"/>
      <c r="AT399" s="102"/>
      <c r="AU399" s="102"/>
      <c r="AV399" s="102"/>
      <c r="AW399" s="102"/>
      <c r="AX399" s="102"/>
      <c r="AY399" s="406"/>
      <c r="BA399" s="23">
        <v>2.8</v>
      </c>
    </row>
    <row r="400" spans="1:53" ht="13.5" customHeight="1">
      <c r="A400" s="56"/>
      <c r="B400" s="50"/>
      <c r="C400" s="49"/>
      <c r="D400" s="49"/>
      <c r="E400" s="49"/>
      <c r="F400" s="49"/>
      <c r="G400" s="49"/>
      <c r="H400" s="49"/>
      <c r="I400" s="51"/>
      <c r="J400" s="413"/>
      <c r="K400" s="414"/>
      <c r="L400" s="520"/>
      <c r="M400" s="505"/>
      <c r="N400" s="505"/>
      <c r="O400" s="543"/>
      <c r="P400" s="505" t="s">
        <v>1052</v>
      </c>
      <c r="Q400" s="542"/>
      <c r="R400" s="505"/>
      <c r="S400" s="505"/>
      <c r="T400" s="505"/>
      <c r="U400" s="505"/>
      <c r="V400" s="505"/>
      <c r="W400" s="505"/>
      <c r="X400" s="505"/>
      <c r="Y400" s="505"/>
      <c r="Z400" s="505"/>
      <c r="AA400" s="505"/>
      <c r="AB400" s="505"/>
      <c r="AC400" s="505"/>
      <c r="AD400" s="505"/>
      <c r="AE400" s="505"/>
      <c r="AF400" s="505"/>
      <c r="AG400" s="505"/>
      <c r="AH400" s="505"/>
      <c r="AI400" s="505"/>
      <c r="AJ400" s="505"/>
      <c r="AK400" s="505"/>
      <c r="AL400" s="505"/>
      <c r="AM400" s="505"/>
      <c r="AN400" s="505"/>
      <c r="AO400" s="505"/>
      <c r="AP400" s="102"/>
      <c r="AQ400" s="377"/>
      <c r="AR400" s="396" t="s">
        <v>1049</v>
      </c>
      <c r="AS400" s="102"/>
      <c r="AT400" s="102"/>
      <c r="AU400" s="102"/>
      <c r="AV400" s="102"/>
      <c r="AW400" s="102"/>
      <c r="AX400" s="102"/>
      <c r="AY400" s="406"/>
      <c r="BA400" s="23">
        <v>2.8</v>
      </c>
    </row>
    <row r="401" spans="1:53" ht="13.5" customHeight="1">
      <c r="A401" s="56"/>
      <c r="B401" s="50"/>
      <c r="C401" s="49"/>
      <c r="D401" s="49"/>
      <c r="E401" s="49"/>
      <c r="F401" s="49"/>
      <c r="G401" s="49"/>
      <c r="H401" s="49"/>
      <c r="I401" s="51"/>
      <c r="J401" s="413"/>
      <c r="K401" s="414"/>
      <c r="L401" s="520"/>
      <c r="M401" s="505"/>
      <c r="N401" s="505"/>
      <c r="O401" s="543"/>
      <c r="P401" s="505" t="s">
        <v>1050</v>
      </c>
      <c r="Q401" s="542"/>
      <c r="R401" s="505"/>
      <c r="S401" s="505"/>
      <c r="T401" s="505"/>
      <c r="U401" s="505"/>
      <c r="V401" s="505"/>
      <c r="W401" s="505"/>
      <c r="X401" s="505"/>
      <c r="Y401" s="505"/>
      <c r="Z401" s="505"/>
      <c r="AA401" s="505"/>
      <c r="AB401" s="505"/>
      <c r="AC401" s="505"/>
      <c r="AD401" s="505"/>
      <c r="AE401" s="505"/>
      <c r="AF401" s="505"/>
      <c r="AG401" s="505"/>
      <c r="AH401" s="505"/>
      <c r="AI401" s="505"/>
      <c r="AJ401" s="505"/>
      <c r="AK401" s="505"/>
      <c r="AL401" s="505"/>
      <c r="AM401" s="505"/>
      <c r="AN401" s="505"/>
      <c r="AO401" s="505"/>
      <c r="AP401" s="102"/>
      <c r="AQ401" s="377"/>
      <c r="AR401" s="396"/>
      <c r="AS401" s="102"/>
      <c r="AT401" s="102"/>
      <c r="AU401" s="102"/>
      <c r="AV401" s="102"/>
      <c r="AW401" s="102"/>
      <c r="AX401" s="102"/>
      <c r="AY401" s="406"/>
      <c r="BA401" s="23">
        <v>2.8</v>
      </c>
    </row>
    <row r="402" spans="1:53" ht="13.5" customHeight="1">
      <c r="A402" s="56"/>
      <c r="B402" s="50"/>
      <c r="C402" s="49"/>
      <c r="D402" s="49"/>
      <c r="E402" s="49"/>
      <c r="F402" s="49"/>
      <c r="G402" s="49"/>
      <c r="H402" s="49"/>
      <c r="I402" s="51"/>
      <c r="J402" s="413"/>
      <c r="K402" s="414"/>
      <c r="L402" s="520"/>
      <c r="M402" s="505"/>
      <c r="N402" s="505"/>
      <c r="O402" s="543"/>
      <c r="P402" s="505" t="s">
        <v>1051</v>
      </c>
      <c r="Q402" s="542"/>
      <c r="R402" s="505"/>
      <c r="S402" s="505"/>
      <c r="T402" s="505"/>
      <c r="U402" s="505"/>
      <c r="V402" s="505"/>
      <c r="W402" s="505"/>
      <c r="X402" s="505"/>
      <c r="Y402" s="505"/>
      <c r="Z402" s="505"/>
      <c r="AA402" s="505"/>
      <c r="AB402" s="505"/>
      <c r="AC402" s="505"/>
      <c r="AD402" s="505"/>
      <c r="AE402" s="505"/>
      <c r="AF402" s="505"/>
      <c r="AG402" s="505"/>
      <c r="AH402" s="505"/>
      <c r="AI402" s="505"/>
      <c r="AJ402" s="505"/>
      <c r="AK402" s="505"/>
      <c r="AL402" s="505"/>
      <c r="AM402" s="505"/>
      <c r="AN402" s="505"/>
      <c r="AO402" s="505"/>
      <c r="AP402" s="102"/>
      <c r="AQ402" s="377"/>
      <c r="AR402" s="396" t="s">
        <v>1053</v>
      </c>
      <c r="AS402" s="102"/>
      <c r="AT402" s="102"/>
      <c r="AU402" s="102"/>
      <c r="AV402" s="102"/>
      <c r="AW402" s="102"/>
      <c r="AX402" s="102"/>
      <c r="AY402" s="406"/>
      <c r="BA402" s="23">
        <v>2.8</v>
      </c>
    </row>
    <row r="403" spans="1:53" ht="13.5" customHeight="1">
      <c r="A403" s="56"/>
      <c r="B403" s="50"/>
      <c r="C403" s="49"/>
      <c r="D403" s="49"/>
      <c r="E403" s="49"/>
      <c r="F403" s="49"/>
      <c r="G403" s="49"/>
      <c r="H403" s="49"/>
      <c r="I403" s="51"/>
      <c r="J403" s="413"/>
      <c r="K403" s="414"/>
      <c r="L403" s="520"/>
      <c r="M403" s="505"/>
      <c r="N403" s="505"/>
      <c r="O403" s="543"/>
      <c r="P403" s="505" t="s">
        <v>1054</v>
      </c>
      <c r="Q403" s="542"/>
      <c r="R403" s="505"/>
      <c r="S403" s="505"/>
      <c r="T403" s="505"/>
      <c r="U403" s="505"/>
      <c r="V403" s="505"/>
      <c r="W403" s="505"/>
      <c r="X403" s="505"/>
      <c r="Y403" s="505"/>
      <c r="Z403" s="505"/>
      <c r="AA403" s="505"/>
      <c r="AB403" s="505"/>
      <c r="AC403" s="505"/>
      <c r="AD403" s="505"/>
      <c r="AE403" s="505"/>
      <c r="AF403" s="505"/>
      <c r="AG403" s="505"/>
      <c r="AH403" s="505"/>
      <c r="AI403" s="505"/>
      <c r="AJ403" s="505"/>
      <c r="AK403" s="505"/>
      <c r="AL403" s="505"/>
      <c r="AM403" s="505"/>
      <c r="AN403" s="505"/>
      <c r="AO403" s="505"/>
      <c r="AP403" s="102"/>
      <c r="AQ403" s="377"/>
      <c r="AR403" s="396" t="s">
        <v>1055</v>
      </c>
      <c r="AS403" s="102"/>
      <c r="AT403" s="102"/>
      <c r="AU403" s="102"/>
      <c r="AV403" s="102"/>
      <c r="AW403" s="102"/>
      <c r="AX403" s="102"/>
      <c r="AY403" s="406"/>
      <c r="BA403" s="23">
        <v>2.8</v>
      </c>
    </row>
    <row r="404" spans="1:53" ht="13.5" customHeight="1">
      <c r="A404" s="56"/>
      <c r="B404" s="50"/>
      <c r="C404" s="49"/>
      <c r="D404" s="49"/>
      <c r="E404" s="49"/>
      <c r="F404" s="49"/>
      <c r="G404" s="49"/>
      <c r="H404" s="49"/>
      <c r="I404" s="51"/>
      <c r="J404" s="413"/>
      <c r="K404" s="414"/>
      <c r="L404" s="520"/>
      <c r="M404" s="505"/>
      <c r="N404" s="505"/>
      <c r="O404" s="543"/>
      <c r="P404" s="505" t="s">
        <v>1056</v>
      </c>
      <c r="Q404" s="542"/>
      <c r="R404" s="505"/>
      <c r="S404" s="505"/>
      <c r="T404" s="505"/>
      <c r="U404" s="505"/>
      <c r="V404" s="505"/>
      <c r="W404" s="505"/>
      <c r="X404" s="505"/>
      <c r="Y404" s="505"/>
      <c r="Z404" s="505"/>
      <c r="AA404" s="505"/>
      <c r="AB404" s="505"/>
      <c r="AC404" s="505"/>
      <c r="AD404" s="505"/>
      <c r="AE404" s="505"/>
      <c r="AF404" s="505"/>
      <c r="AG404" s="505"/>
      <c r="AH404" s="505"/>
      <c r="AI404" s="505"/>
      <c r="AJ404" s="505"/>
      <c r="AK404" s="505"/>
      <c r="AL404" s="505"/>
      <c r="AM404" s="505"/>
      <c r="AN404" s="505"/>
      <c r="AO404" s="505"/>
      <c r="AP404" s="102"/>
      <c r="AQ404" s="377"/>
      <c r="AR404" s="396" t="s">
        <v>1057</v>
      </c>
      <c r="AS404" s="102"/>
      <c r="AT404" s="102"/>
      <c r="AU404" s="102"/>
      <c r="AV404" s="102"/>
      <c r="AW404" s="102"/>
      <c r="AX404" s="102"/>
      <c r="AY404" s="406"/>
      <c r="BA404" s="23">
        <v>2.8</v>
      </c>
    </row>
    <row r="405" spans="1:53" ht="13.5" customHeight="1">
      <c r="A405" s="56"/>
      <c r="B405" s="50"/>
      <c r="C405" s="49"/>
      <c r="D405" s="49"/>
      <c r="E405" s="49"/>
      <c r="F405" s="49"/>
      <c r="G405" s="49"/>
      <c r="H405" s="49"/>
      <c r="I405" s="51"/>
      <c r="J405" s="350"/>
      <c r="K405" s="351"/>
      <c r="L405" s="520"/>
      <c r="M405" s="505"/>
      <c r="N405" s="505"/>
      <c r="O405" s="543"/>
      <c r="P405" s="505"/>
      <c r="Q405" s="505"/>
      <c r="R405" s="505"/>
      <c r="S405" s="505"/>
      <c r="T405" s="505"/>
      <c r="U405" s="505"/>
      <c r="V405" s="505"/>
      <c r="W405" s="505"/>
      <c r="X405" s="505"/>
      <c r="Y405" s="505"/>
      <c r="Z405" s="505"/>
      <c r="AA405" s="505"/>
      <c r="AB405" s="505"/>
      <c r="AC405" s="505"/>
      <c r="AD405" s="505"/>
      <c r="AE405" s="505"/>
      <c r="AF405" s="505"/>
      <c r="AG405" s="505"/>
      <c r="AH405" s="505"/>
      <c r="AI405" s="505"/>
      <c r="AJ405" s="505"/>
      <c r="AK405" s="505"/>
      <c r="AL405" s="505"/>
      <c r="AM405" s="505"/>
      <c r="AN405" s="505"/>
      <c r="AO405" s="505"/>
      <c r="AP405" s="102"/>
      <c r="AQ405" s="377"/>
      <c r="AR405" s="396"/>
      <c r="AS405" s="102"/>
      <c r="AT405" s="102"/>
      <c r="AU405" s="102"/>
      <c r="AV405" s="102"/>
      <c r="AW405" s="102"/>
      <c r="AX405" s="102"/>
      <c r="AY405" s="406"/>
    </row>
    <row r="406" spans="1:53" ht="13.5" customHeight="1">
      <c r="A406" s="56"/>
      <c r="B406" s="50"/>
      <c r="C406" s="49"/>
      <c r="D406" s="49"/>
      <c r="E406" s="49"/>
      <c r="F406" s="49"/>
      <c r="G406" s="49"/>
      <c r="H406" s="49"/>
      <c r="I406" s="51"/>
      <c r="J406" s="350"/>
      <c r="K406" s="351"/>
      <c r="L406" s="520"/>
      <c r="M406" s="505"/>
      <c r="N406" s="505" t="s">
        <v>577</v>
      </c>
      <c r="O406" s="543"/>
      <c r="P406" s="505"/>
      <c r="Q406" s="505"/>
      <c r="R406" s="505"/>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49"/>
      <c r="AQ406" s="51"/>
      <c r="AR406" s="208" t="s">
        <v>802</v>
      </c>
      <c r="AS406" s="49"/>
      <c r="AT406" s="49"/>
      <c r="AU406" s="49"/>
      <c r="AV406" s="49"/>
      <c r="AW406" s="49"/>
      <c r="AX406" s="49"/>
      <c r="AY406" s="52"/>
    </row>
    <row r="407" spans="1:53" ht="13.5" customHeight="1">
      <c r="A407" s="56"/>
      <c r="B407" s="50"/>
      <c r="C407" s="49"/>
      <c r="D407" s="49"/>
      <c r="E407" s="49"/>
      <c r="F407" s="49"/>
      <c r="G407" s="49"/>
      <c r="H407" s="49"/>
      <c r="I407" s="51"/>
      <c r="J407" s="350"/>
      <c r="K407" s="351"/>
      <c r="L407" s="520"/>
      <c r="M407" s="505"/>
      <c r="N407" s="505"/>
      <c r="O407" s="543" t="s">
        <v>615</v>
      </c>
      <c r="P407" s="505"/>
      <c r="Q407" s="505"/>
      <c r="R407" s="505"/>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49"/>
      <c r="AQ407" s="51"/>
      <c r="AR407" s="208"/>
      <c r="AS407" s="49"/>
      <c r="AT407" s="49"/>
      <c r="AU407" s="49"/>
      <c r="AV407" s="49"/>
      <c r="AW407" s="49"/>
      <c r="AX407" s="49"/>
      <c r="AY407" s="52"/>
      <c r="AZ407" s="23">
        <v>0.7</v>
      </c>
    </row>
    <row r="408" spans="1:53" ht="13.5" customHeight="1">
      <c r="A408" s="56"/>
      <c r="B408" s="50"/>
      <c r="C408" s="49"/>
      <c r="D408" s="49"/>
      <c r="E408" s="49"/>
      <c r="F408" s="49"/>
      <c r="G408" s="49"/>
      <c r="H408" s="49"/>
      <c r="I408" s="51"/>
      <c r="J408" s="350"/>
      <c r="K408" s="351"/>
      <c r="L408" s="520"/>
      <c r="M408" s="505"/>
      <c r="N408" s="505"/>
      <c r="O408" s="543" t="s">
        <v>689</v>
      </c>
      <c r="P408" s="505"/>
      <c r="Q408" s="505"/>
      <c r="R408" s="505"/>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49"/>
      <c r="AQ408" s="51"/>
      <c r="AR408" s="208"/>
      <c r="AS408" s="49"/>
      <c r="AT408" s="49"/>
      <c r="AU408" s="49"/>
      <c r="AV408" s="49"/>
      <c r="AW408" s="49"/>
      <c r="AX408" s="49"/>
      <c r="AY408" s="52"/>
    </row>
    <row r="409" spans="1:53" ht="13.5" customHeight="1">
      <c r="A409" s="56"/>
      <c r="B409" s="50"/>
      <c r="C409" s="49"/>
      <c r="D409" s="49"/>
      <c r="E409" s="49"/>
      <c r="F409" s="49"/>
      <c r="G409" s="49"/>
      <c r="H409" s="49"/>
      <c r="I409" s="51"/>
      <c r="J409" s="350"/>
      <c r="K409" s="351"/>
      <c r="L409" s="520"/>
      <c r="M409" s="505"/>
      <c r="N409" s="505"/>
      <c r="O409" s="543"/>
      <c r="P409" s="505"/>
      <c r="Q409" s="505"/>
      <c r="R409" s="505"/>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49"/>
      <c r="AQ409" s="51"/>
      <c r="AR409" s="208"/>
      <c r="AS409" s="49"/>
      <c r="AT409" s="49"/>
      <c r="AU409" s="49"/>
      <c r="AV409" s="49"/>
      <c r="AW409" s="49"/>
      <c r="AX409" s="49"/>
      <c r="AY409" s="52"/>
    </row>
    <row r="410" spans="1:53" ht="13.5" customHeight="1">
      <c r="A410" s="56"/>
      <c r="B410" s="50"/>
      <c r="C410" s="49"/>
      <c r="D410" s="49"/>
      <c r="E410" s="49"/>
      <c r="F410" s="49"/>
      <c r="G410" s="49"/>
      <c r="H410" s="49"/>
      <c r="I410" s="51"/>
      <c r="J410" s="350"/>
      <c r="K410" s="351"/>
      <c r="L410" s="520"/>
      <c r="M410" s="505"/>
      <c r="N410" s="505" t="s">
        <v>450</v>
      </c>
      <c r="O410" s="543"/>
      <c r="P410" s="505"/>
      <c r="Q410" s="505"/>
      <c r="R410" s="505"/>
      <c r="S410" s="139"/>
      <c r="T410" s="139"/>
      <c r="U410" s="139"/>
      <c r="V410" s="139"/>
      <c r="W410" s="139"/>
      <c r="X410" s="139"/>
      <c r="Y410" s="139"/>
      <c r="Z410" s="139"/>
      <c r="AA410" s="139"/>
      <c r="AB410" s="139"/>
      <c r="AC410" s="139"/>
      <c r="AD410" s="139"/>
      <c r="AE410" s="139"/>
      <c r="AF410" s="139"/>
      <c r="AG410" s="139"/>
      <c r="AH410" s="139"/>
      <c r="AI410" s="139"/>
      <c r="AJ410" s="139"/>
      <c r="AK410" s="139"/>
      <c r="AL410" s="139"/>
      <c r="AM410" s="139"/>
      <c r="AN410" s="139"/>
      <c r="AO410" s="139"/>
      <c r="AP410" s="49"/>
      <c r="AQ410" s="51"/>
      <c r="AR410" s="208"/>
      <c r="AS410" s="49"/>
      <c r="AT410" s="49"/>
      <c r="AU410" s="49"/>
      <c r="AV410" s="49"/>
      <c r="AW410" s="49"/>
      <c r="AX410" s="49"/>
      <c r="AY410" s="52"/>
    </row>
    <row r="411" spans="1:53" ht="13.5" customHeight="1">
      <c r="A411" s="56"/>
      <c r="B411" s="50"/>
      <c r="C411" s="49"/>
      <c r="D411" s="49"/>
      <c r="E411" s="49"/>
      <c r="F411" s="49"/>
      <c r="G411" s="49"/>
      <c r="H411" s="49"/>
      <c r="I411" s="51"/>
      <c r="J411" s="350"/>
      <c r="K411" s="351"/>
      <c r="L411" s="520"/>
      <c r="M411" s="505"/>
      <c r="N411" s="505"/>
      <c r="O411" s="543" t="s">
        <v>593</v>
      </c>
      <c r="P411" s="505"/>
      <c r="Q411" s="505"/>
      <c r="R411" s="505"/>
      <c r="S411" s="139"/>
      <c r="T411" s="139"/>
      <c r="U411" s="139"/>
      <c r="V411" s="139"/>
      <c r="W411" s="139"/>
      <c r="X411" s="139"/>
      <c r="Y411" s="139"/>
      <c r="Z411" s="139"/>
      <c r="AA411" s="139"/>
      <c r="AB411" s="139"/>
      <c r="AC411" s="139"/>
      <c r="AD411" s="139"/>
      <c r="AE411" s="139"/>
      <c r="AF411" s="139"/>
      <c r="AG411" s="139"/>
      <c r="AH411" s="139"/>
      <c r="AI411" s="139"/>
      <c r="AJ411" s="139"/>
      <c r="AK411" s="139"/>
      <c r="AL411" s="139"/>
      <c r="AM411" s="139"/>
      <c r="AN411" s="139"/>
      <c r="AO411" s="139"/>
      <c r="AP411" s="49"/>
      <c r="AQ411" s="51"/>
      <c r="AR411" s="208"/>
      <c r="AS411" s="49"/>
      <c r="AT411" s="49"/>
      <c r="AU411" s="49"/>
      <c r="AV411" s="49"/>
      <c r="AW411" s="49"/>
      <c r="AX411" s="49"/>
      <c r="AY411" s="52"/>
    </row>
    <row r="412" spans="1:53" ht="13.5" customHeight="1">
      <c r="A412" s="56"/>
      <c r="B412" s="50"/>
      <c r="C412" s="49"/>
      <c r="D412" s="49"/>
      <c r="E412" s="49"/>
      <c r="F412" s="49"/>
      <c r="G412" s="49"/>
      <c r="H412" s="49"/>
      <c r="I412" s="51"/>
      <c r="J412" s="350"/>
      <c r="K412" s="351"/>
      <c r="L412" s="520"/>
      <c r="M412" s="505"/>
      <c r="N412" s="505" t="s">
        <v>452</v>
      </c>
      <c r="O412" s="543"/>
      <c r="P412" s="505"/>
      <c r="Q412" s="505"/>
      <c r="R412" s="505"/>
      <c r="S412" s="139"/>
      <c r="T412" s="139"/>
      <c r="U412" s="139"/>
      <c r="V412" s="139"/>
      <c r="W412" s="139"/>
      <c r="X412" s="139"/>
      <c r="Y412" s="139"/>
      <c r="Z412" s="139"/>
      <c r="AA412" s="139"/>
      <c r="AB412" s="139"/>
      <c r="AC412" s="139"/>
      <c r="AD412" s="139"/>
      <c r="AE412" s="139"/>
      <c r="AF412" s="139"/>
      <c r="AG412" s="139"/>
      <c r="AH412" s="139"/>
      <c r="AI412" s="139"/>
      <c r="AJ412" s="139"/>
      <c r="AK412" s="139"/>
      <c r="AL412" s="139"/>
      <c r="AM412" s="139"/>
      <c r="AN412" s="139"/>
      <c r="AO412" s="139"/>
      <c r="AP412" s="49"/>
      <c r="AQ412" s="51"/>
      <c r="AR412" s="208"/>
      <c r="AS412" s="49"/>
      <c r="AT412" s="49"/>
      <c r="AU412" s="49"/>
      <c r="AV412" s="49"/>
      <c r="AW412" s="49"/>
      <c r="AX412" s="49"/>
      <c r="AY412" s="52"/>
    </row>
    <row r="413" spans="1:53" ht="13.5" customHeight="1">
      <c r="A413" s="56"/>
      <c r="B413" s="50"/>
      <c r="C413" s="49"/>
      <c r="D413" s="49"/>
      <c r="E413" s="49"/>
      <c r="F413" s="49"/>
      <c r="G413" s="49"/>
      <c r="H413" s="49"/>
      <c r="I413" s="51"/>
      <c r="J413" s="350"/>
      <c r="K413" s="351"/>
      <c r="L413" s="520"/>
      <c r="M413" s="505" t="s">
        <v>594</v>
      </c>
      <c r="N413" s="505"/>
      <c r="O413" s="543" t="s">
        <v>595</v>
      </c>
      <c r="P413" s="505"/>
      <c r="Q413" s="505"/>
      <c r="R413" s="505"/>
      <c r="S413" s="139"/>
      <c r="T413" s="139"/>
      <c r="U413" s="139"/>
      <c r="V413" s="139"/>
      <c r="W413" s="139"/>
      <c r="X413" s="139"/>
      <c r="Y413" s="139"/>
      <c r="Z413" s="139"/>
      <c r="AA413" s="139"/>
      <c r="AB413" s="139"/>
      <c r="AC413" s="139"/>
      <c r="AD413" s="139"/>
      <c r="AE413" s="139"/>
      <c r="AF413" s="139"/>
      <c r="AG413" s="139"/>
      <c r="AH413" s="139"/>
      <c r="AI413" s="139"/>
      <c r="AJ413" s="139"/>
      <c r="AK413" s="139"/>
      <c r="AL413" s="139"/>
      <c r="AM413" s="139"/>
      <c r="AN413" s="139"/>
      <c r="AO413" s="139"/>
      <c r="AP413" s="49"/>
      <c r="AQ413" s="51"/>
      <c r="AR413" s="208"/>
      <c r="AS413" s="49"/>
      <c r="AT413" s="49"/>
      <c r="AU413" s="49"/>
      <c r="AV413" s="49"/>
      <c r="AW413" s="49"/>
      <c r="AX413" s="49"/>
      <c r="AY413" s="52"/>
    </row>
    <row r="414" spans="1:53" ht="13.5" customHeight="1">
      <c r="A414" s="56"/>
      <c r="B414" s="50"/>
      <c r="C414" s="49"/>
      <c r="D414" s="49"/>
      <c r="E414" s="49"/>
      <c r="F414" s="49"/>
      <c r="G414" s="49"/>
      <c r="H414" s="49"/>
      <c r="I414" s="51"/>
      <c r="J414" s="350"/>
      <c r="K414" s="351"/>
      <c r="L414" s="520"/>
      <c r="M414" s="505" t="s">
        <v>594</v>
      </c>
      <c r="N414" s="505"/>
      <c r="O414" s="543" t="s">
        <v>605</v>
      </c>
      <c r="P414" s="505"/>
      <c r="Q414" s="505"/>
      <c r="R414" s="505"/>
      <c r="S414" s="139"/>
      <c r="T414" s="139"/>
      <c r="U414" s="139"/>
      <c r="V414" s="139"/>
      <c r="W414" s="139"/>
      <c r="X414" s="139"/>
      <c r="Y414" s="139"/>
      <c r="Z414" s="139"/>
      <c r="AA414" s="139"/>
      <c r="AB414" s="139"/>
      <c r="AC414" s="139"/>
      <c r="AD414" s="139"/>
      <c r="AE414" s="139"/>
      <c r="AF414" s="139"/>
      <c r="AG414" s="139"/>
      <c r="AH414" s="139"/>
      <c r="AI414" s="139"/>
      <c r="AJ414" s="139"/>
      <c r="AK414" s="139"/>
      <c r="AL414" s="139"/>
      <c r="AM414" s="139"/>
      <c r="AN414" s="139"/>
      <c r="AO414" s="139"/>
      <c r="AP414" s="49"/>
      <c r="AQ414" s="51"/>
      <c r="AR414" s="208"/>
      <c r="AS414" s="49"/>
      <c r="AT414" s="49"/>
      <c r="AU414" s="49"/>
      <c r="AV414" s="49"/>
      <c r="AW414" s="49"/>
      <c r="AX414" s="49"/>
      <c r="AY414" s="52"/>
    </row>
    <row r="415" spans="1:53" ht="13.5" customHeight="1">
      <c r="A415" s="56"/>
      <c r="B415" s="50"/>
      <c r="C415" s="49"/>
      <c r="D415" s="49"/>
      <c r="E415" s="49"/>
      <c r="F415" s="49"/>
      <c r="G415" s="49"/>
      <c r="H415" s="49"/>
      <c r="I415" s="51"/>
      <c r="J415" s="350"/>
      <c r="K415" s="351"/>
      <c r="L415" s="520"/>
      <c r="M415" s="505" t="s">
        <v>594</v>
      </c>
      <c r="N415" s="505"/>
      <c r="O415" s="543" t="s">
        <v>606</v>
      </c>
      <c r="P415" s="505"/>
      <c r="Q415" s="505"/>
      <c r="R415" s="505"/>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49"/>
      <c r="AQ415" s="51"/>
      <c r="AR415" s="208"/>
      <c r="AS415" s="49"/>
      <c r="AT415" s="49"/>
      <c r="AU415" s="49"/>
      <c r="AV415" s="49"/>
      <c r="AW415" s="49"/>
      <c r="AX415" s="49"/>
      <c r="AY415" s="52"/>
    </row>
    <row r="416" spans="1:53" ht="13.5" customHeight="1">
      <c r="A416" s="56"/>
      <c r="B416" s="50"/>
      <c r="C416" s="49"/>
      <c r="D416" s="49"/>
      <c r="E416" s="49"/>
      <c r="F416" s="49"/>
      <c r="G416" s="49"/>
      <c r="H416" s="49"/>
      <c r="I416" s="51"/>
      <c r="J416" s="350"/>
      <c r="K416" s="351"/>
      <c r="L416" s="520"/>
      <c r="M416" s="505" t="s">
        <v>594</v>
      </c>
      <c r="N416" s="505"/>
      <c r="O416" s="543" t="s">
        <v>607</v>
      </c>
      <c r="P416" s="505"/>
      <c r="Q416" s="505"/>
      <c r="R416" s="505"/>
      <c r="S416" s="139"/>
      <c r="T416" s="139"/>
      <c r="U416" s="139"/>
      <c r="V416" s="139"/>
      <c r="W416" s="139"/>
      <c r="X416" s="139"/>
      <c r="Y416" s="139"/>
      <c r="Z416" s="139"/>
      <c r="AA416" s="139"/>
      <c r="AB416" s="139"/>
      <c r="AC416" s="139"/>
      <c r="AD416" s="139"/>
      <c r="AE416" s="139"/>
      <c r="AF416" s="139"/>
      <c r="AG416" s="139"/>
      <c r="AH416" s="139"/>
      <c r="AI416" s="139"/>
      <c r="AJ416" s="139"/>
      <c r="AK416" s="139"/>
      <c r="AL416" s="139"/>
      <c r="AM416" s="139"/>
      <c r="AN416" s="139"/>
      <c r="AO416" s="139"/>
      <c r="AP416" s="49"/>
      <c r="AQ416" s="51"/>
      <c r="AR416" s="208"/>
      <c r="AS416" s="49"/>
      <c r="AT416" s="49"/>
      <c r="AU416" s="49"/>
      <c r="AV416" s="49"/>
      <c r="AW416" s="49"/>
      <c r="AX416" s="49"/>
      <c r="AY416" s="52"/>
    </row>
    <row r="417" spans="1:51" ht="13.5" customHeight="1">
      <c r="A417" s="56"/>
      <c r="B417" s="50"/>
      <c r="C417" s="49"/>
      <c r="D417" s="49"/>
      <c r="E417" s="49"/>
      <c r="F417" s="49"/>
      <c r="G417" s="49"/>
      <c r="H417" s="49"/>
      <c r="I417" s="51"/>
      <c r="J417" s="350"/>
      <c r="K417" s="351"/>
      <c r="L417" s="520"/>
      <c r="M417" s="505" t="s">
        <v>594</v>
      </c>
      <c r="N417" s="505"/>
      <c r="O417" s="543" t="s">
        <v>608</v>
      </c>
      <c r="P417" s="505"/>
      <c r="Q417" s="505"/>
      <c r="R417" s="505"/>
      <c r="S417" s="139"/>
      <c r="T417" s="139"/>
      <c r="U417" s="139"/>
      <c r="V417" s="139"/>
      <c r="W417" s="139"/>
      <c r="X417" s="139"/>
      <c r="Y417" s="139"/>
      <c r="Z417" s="139"/>
      <c r="AA417" s="139"/>
      <c r="AB417" s="139"/>
      <c r="AC417" s="139"/>
      <c r="AD417" s="139"/>
      <c r="AE417" s="139"/>
      <c r="AF417" s="139"/>
      <c r="AG417" s="139"/>
      <c r="AH417" s="139"/>
      <c r="AI417" s="139"/>
      <c r="AJ417" s="139"/>
      <c r="AK417" s="139"/>
      <c r="AL417" s="139"/>
      <c r="AM417" s="139"/>
      <c r="AN417" s="139"/>
      <c r="AO417" s="139"/>
      <c r="AP417" s="49"/>
      <c r="AQ417" s="51"/>
      <c r="AR417" s="208"/>
      <c r="AS417" s="49"/>
      <c r="AT417" s="49"/>
      <c r="AU417" s="49"/>
      <c r="AV417" s="49"/>
      <c r="AW417" s="49"/>
      <c r="AX417" s="49"/>
      <c r="AY417" s="52"/>
    </row>
    <row r="418" spans="1:51" ht="13.5" customHeight="1">
      <c r="A418" s="56"/>
      <c r="B418" s="50"/>
      <c r="C418" s="49"/>
      <c r="D418" s="49"/>
      <c r="E418" s="49"/>
      <c r="F418" s="49"/>
      <c r="G418" s="49"/>
      <c r="H418" s="49"/>
      <c r="I418" s="51"/>
      <c r="J418" s="350"/>
      <c r="K418" s="351"/>
      <c r="L418" s="520"/>
      <c r="M418" s="505" t="s">
        <v>594</v>
      </c>
      <c r="N418" s="505"/>
      <c r="O418" s="543" t="s">
        <v>609</v>
      </c>
      <c r="P418" s="505"/>
      <c r="Q418" s="505"/>
      <c r="R418" s="505"/>
      <c r="S418" s="139"/>
      <c r="T418" s="139"/>
      <c r="U418" s="139"/>
      <c r="V418" s="139"/>
      <c r="W418" s="139"/>
      <c r="X418" s="139"/>
      <c r="Y418" s="139"/>
      <c r="Z418" s="139"/>
      <c r="AA418" s="139"/>
      <c r="AB418" s="139"/>
      <c r="AC418" s="139"/>
      <c r="AD418" s="139"/>
      <c r="AE418" s="139"/>
      <c r="AF418" s="139"/>
      <c r="AG418" s="139"/>
      <c r="AH418" s="139"/>
      <c r="AI418" s="139"/>
      <c r="AJ418" s="139"/>
      <c r="AK418" s="139"/>
      <c r="AL418" s="139"/>
      <c r="AM418" s="139"/>
      <c r="AN418" s="139"/>
      <c r="AO418" s="139"/>
      <c r="AP418" s="49"/>
      <c r="AQ418" s="51"/>
      <c r="AR418" s="208"/>
      <c r="AS418" s="49"/>
      <c r="AT418" s="49"/>
      <c r="AU418" s="49"/>
      <c r="AV418" s="49"/>
      <c r="AW418" s="49"/>
      <c r="AX418" s="49"/>
      <c r="AY418" s="52"/>
    </row>
    <row r="419" spans="1:51" ht="13.5" customHeight="1">
      <c r="A419" s="56"/>
      <c r="B419" s="50"/>
      <c r="C419" s="49"/>
      <c r="D419" s="49"/>
      <c r="E419" s="49"/>
      <c r="F419" s="49"/>
      <c r="G419" s="49"/>
      <c r="H419" s="49"/>
      <c r="I419" s="51"/>
      <c r="J419" s="350"/>
      <c r="K419" s="351"/>
      <c r="L419" s="520"/>
      <c r="M419" s="505" t="s">
        <v>594</v>
      </c>
      <c r="N419" s="505"/>
      <c r="O419" s="543" t="s">
        <v>610</v>
      </c>
      <c r="P419" s="505"/>
      <c r="Q419" s="505"/>
      <c r="R419" s="505"/>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39"/>
      <c r="AN419" s="139"/>
      <c r="AO419" s="139"/>
      <c r="AP419" s="49"/>
      <c r="AQ419" s="51"/>
      <c r="AR419" s="208"/>
      <c r="AS419" s="49"/>
      <c r="AT419" s="49"/>
      <c r="AU419" s="49"/>
      <c r="AV419" s="49"/>
      <c r="AW419" s="49"/>
      <c r="AX419" s="49"/>
      <c r="AY419" s="52"/>
    </row>
    <row r="420" spans="1:51" ht="13.5" customHeight="1">
      <c r="A420" s="56"/>
      <c r="B420" s="50"/>
      <c r="C420" s="49"/>
      <c r="D420" s="49"/>
      <c r="E420" s="49"/>
      <c r="F420" s="49"/>
      <c r="G420" s="49"/>
      <c r="H420" s="49"/>
      <c r="I420" s="51"/>
      <c r="J420" s="350"/>
      <c r="K420" s="351"/>
      <c r="L420" s="520"/>
      <c r="M420" s="505" t="s">
        <v>594</v>
      </c>
      <c r="N420" s="505"/>
      <c r="O420" s="543" t="s">
        <v>611</v>
      </c>
      <c r="P420" s="505"/>
      <c r="Q420" s="505"/>
      <c r="R420" s="505"/>
      <c r="S420" s="139"/>
      <c r="T420" s="139"/>
      <c r="U420" s="139"/>
      <c r="V420" s="139"/>
      <c r="W420" s="139"/>
      <c r="X420" s="139"/>
      <c r="Y420" s="139"/>
      <c r="Z420" s="139"/>
      <c r="AA420" s="139"/>
      <c r="AB420" s="139"/>
      <c r="AC420" s="139"/>
      <c r="AD420" s="139"/>
      <c r="AE420" s="139"/>
      <c r="AF420" s="139"/>
      <c r="AG420" s="139"/>
      <c r="AH420" s="139"/>
      <c r="AI420" s="139"/>
      <c r="AJ420" s="139"/>
      <c r="AK420" s="139"/>
      <c r="AL420" s="139"/>
      <c r="AM420" s="139"/>
      <c r="AN420" s="139"/>
      <c r="AO420" s="139"/>
      <c r="AP420" s="49"/>
      <c r="AQ420" s="51"/>
      <c r="AR420" s="208"/>
      <c r="AS420" s="49"/>
      <c r="AT420" s="49"/>
      <c r="AU420" s="49"/>
      <c r="AV420" s="49"/>
      <c r="AW420" s="49"/>
      <c r="AX420" s="49"/>
      <c r="AY420" s="52"/>
    </row>
    <row r="421" spans="1:51" ht="13.5" customHeight="1">
      <c r="A421" s="56"/>
      <c r="B421" s="50"/>
      <c r="C421" s="49"/>
      <c r="D421" s="49"/>
      <c r="E421" s="49"/>
      <c r="F421" s="49"/>
      <c r="G421" s="49"/>
      <c r="H421" s="49"/>
      <c r="I421" s="51"/>
      <c r="J421" s="350"/>
      <c r="K421" s="351"/>
      <c r="L421" s="520"/>
      <c r="M421" s="505" t="s">
        <v>594</v>
      </c>
      <c r="N421" s="505"/>
      <c r="O421" s="543" t="s">
        <v>612</v>
      </c>
      <c r="P421" s="505"/>
      <c r="Q421" s="505"/>
      <c r="R421" s="505"/>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39"/>
      <c r="AN421" s="139"/>
      <c r="AO421" s="139"/>
      <c r="AP421" s="49"/>
      <c r="AQ421" s="51"/>
      <c r="AR421" s="208"/>
      <c r="AS421" s="49"/>
      <c r="AT421" s="49"/>
      <c r="AU421" s="49"/>
      <c r="AV421" s="49"/>
      <c r="AW421" s="49"/>
      <c r="AX421" s="49"/>
      <c r="AY421" s="52"/>
    </row>
    <row r="422" spans="1:51" ht="13.5" customHeight="1">
      <c r="A422" s="56"/>
      <c r="B422" s="50"/>
      <c r="C422" s="49"/>
      <c r="D422" s="49"/>
      <c r="E422" s="49"/>
      <c r="F422" s="49"/>
      <c r="G422" s="49"/>
      <c r="H422" s="49"/>
      <c r="I422" s="51"/>
      <c r="J422" s="350"/>
      <c r="K422" s="351"/>
      <c r="L422" s="520"/>
      <c r="M422" s="505" t="s">
        <v>594</v>
      </c>
      <c r="N422" s="505"/>
      <c r="O422" s="543" t="s">
        <v>613</v>
      </c>
      <c r="P422" s="505"/>
      <c r="Q422" s="505"/>
      <c r="R422" s="505"/>
      <c r="S422" s="139"/>
      <c r="T422" s="139"/>
      <c r="U422" s="139"/>
      <c r="V422" s="139"/>
      <c r="W422" s="139"/>
      <c r="X422" s="139"/>
      <c r="Y422" s="139"/>
      <c r="Z422" s="139"/>
      <c r="AA422" s="139"/>
      <c r="AB422" s="139"/>
      <c r="AC422" s="139"/>
      <c r="AD422" s="139"/>
      <c r="AE422" s="139"/>
      <c r="AF422" s="139"/>
      <c r="AG422" s="139"/>
      <c r="AH422" s="139"/>
      <c r="AI422" s="139"/>
      <c r="AJ422" s="139"/>
      <c r="AK422" s="139"/>
      <c r="AL422" s="139"/>
      <c r="AM422" s="139"/>
      <c r="AN422" s="139"/>
      <c r="AO422" s="139"/>
      <c r="AP422" s="49"/>
      <c r="AQ422" s="51"/>
      <c r="AR422" s="208"/>
      <c r="AS422" s="49"/>
      <c r="AT422" s="49"/>
      <c r="AU422" s="49"/>
      <c r="AV422" s="49"/>
      <c r="AW422" s="49"/>
      <c r="AX422" s="49"/>
      <c r="AY422" s="52"/>
    </row>
    <row r="423" spans="1:51" ht="13.5" customHeight="1">
      <c r="A423" s="56"/>
      <c r="B423" s="50"/>
      <c r="C423" s="49"/>
      <c r="D423" s="49"/>
      <c r="E423" s="49"/>
      <c r="F423" s="49"/>
      <c r="G423" s="49"/>
      <c r="H423" s="49"/>
      <c r="I423" s="51"/>
      <c r="J423" s="350"/>
      <c r="K423" s="351"/>
      <c r="L423" s="520"/>
      <c r="M423" s="505" t="s">
        <v>594</v>
      </c>
      <c r="N423" s="505"/>
      <c r="O423" s="543" t="s">
        <v>614</v>
      </c>
      <c r="P423" s="505"/>
      <c r="Q423" s="505"/>
      <c r="R423" s="505"/>
      <c r="S423" s="139"/>
      <c r="T423" s="139"/>
      <c r="U423" s="139"/>
      <c r="V423" s="139"/>
      <c r="W423" s="139"/>
      <c r="X423" s="139"/>
      <c r="Y423" s="139"/>
      <c r="Z423" s="139"/>
      <c r="AA423" s="139"/>
      <c r="AB423" s="139"/>
      <c r="AC423" s="139"/>
      <c r="AD423" s="139"/>
      <c r="AE423" s="139"/>
      <c r="AF423" s="139"/>
      <c r="AG423" s="139"/>
      <c r="AH423" s="139"/>
      <c r="AI423" s="139"/>
      <c r="AJ423" s="139"/>
      <c r="AK423" s="139"/>
      <c r="AL423" s="139"/>
      <c r="AM423" s="139"/>
      <c r="AN423" s="139"/>
      <c r="AO423" s="139"/>
      <c r="AP423" s="49"/>
      <c r="AQ423" s="51"/>
      <c r="AR423" s="208"/>
      <c r="AS423" s="49"/>
      <c r="AT423" s="49"/>
      <c r="AU423" s="49"/>
      <c r="AV423" s="49"/>
      <c r="AW423" s="49"/>
      <c r="AX423" s="49"/>
      <c r="AY423" s="52"/>
    </row>
    <row r="424" spans="1:51" ht="13.5" customHeight="1">
      <c r="A424" s="56"/>
      <c r="B424" s="50"/>
      <c r="C424" s="49"/>
      <c r="D424" s="49"/>
      <c r="E424" s="49"/>
      <c r="F424" s="49"/>
      <c r="G424" s="49"/>
      <c r="H424" s="49"/>
      <c r="I424" s="51"/>
      <c r="J424" s="350"/>
      <c r="K424" s="351"/>
      <c r="L424" s="520"/>
      <c r="M424" s="505" t="s">
        <v>594</v>
      </c>
      <c r="N424" s="505"/>
      <c r="O424" s="543" t="s">
        <v>596</v>
      </c>
      <c r="P424" s="505"/>
      <c r="Q424" s="505"/>
      <c r="R424" s="505"/>
      <c r="S424" s="139"/>
      <c r="T424" s="139"/>
      <c r="U424" s="139"/>
      <c r="V424" s="139"/>
      <c r="W424" s="139"/>
      <c r="X424" s="139"/>
      <c r="Y424" s="139"/>
      <c r="Z424" s="139"/>
      <c r="AA424" s="139"/>
      <c r="AB424" s="139"/>
      <c r="AC424" s="139"/>
      <c r="AD424" s="139"/>
      <c r="AE424" s="139"/>
      <c r="AF424" s="139"/>
      <c r="AG424" s="139"/>
      <c r="AH424" s="139"/>
      <c r="AI424" s="139"/>
      <c r="AJ424" s="139"/>
      <c r="AK424" s="139"/>
      <c r="AL424" s="139"/>
      <c r="AM424" s="139"/>
      <c r="AN424" s="139"/>
      <c r="AO424" s="139"/>
      <c r="AP424" s="49"/>
      <c r="AQ424" s="51"/>
      <c r="AR424" s="208"/>
      <c r="AS424" s="49"/>
      <c r="AT424" s="49"/>
      <c r="AU424" s="49"/>
      <c r="AV424" s="49"/>
      <c r="AW424" s="49"/>
      <c r="AX424" s="49"/>
      <c r="AY424" s="52"/>
    </row>
    <row r="425" spans="1:51" ht="13.5" customHeight="1">
      <c r="A425" s="56"/>
      <c r="B425" s="50"/>
      <c r="C425" s="49"/>
      <c r="D425" s="49"/>
      <c r="E425" s="49"/>
      <c r="F425" s="49"/>
      <c r="G425" s="49"/>
      <c r="H425" s="49"/>
      <c r="I425" s="51"/>
      <c r="J425" s="350"/>
      <c r="K425" s="351"/>
      <c r="L425" s="520"/>
      <c r="M425" s="505"/>
      <c r="N425" s="505"/>
      <c r="O425" s="543" t="s">
        <v>597</v>
      </c>
      <c r="P425" s="505"/>
      <c r="Q425" s="505"/>
      <c r="R425" s="505"/>
      <c r="S425" s="139"/>
      <c r="T425" s="139"/>
      <c r="U425" s="139"/>
      <c r="V425" s="139"/>
      <c r="W425" s="139"/>
      <c r="X425" s="139"/>
      <c r="Y425" s="139"/>
      <c r="Z425" s="139"/>
      <c r="AA425" s="139"/>
      <c r="AB425" s="139"/>
      <c r="AC425" s="139"/>
      <c r="AD425" s="139"/>
      <c r="AE425" s="139"/>
      <c r="AF425" s="139"/>
      <c r="AG425" s="139"/>
      <c r="AH425" s="139"/>
      <c r="AI425" s="139"/>
      <c r="AJ425" s="139"/>
      <c r="AK425" s="139"/>
      <c r="AL425" s="139"/>
      <c r="AM425" s="139"/>
      <c r="AN425" s="139"/>
      <c r="AO425" s="139"/>
      <c r="AP425" s="49"/>
      <c r="AQ425" s="51"/>
      <c r="AR425" s="208"/>
      <c r="AS425" s="49"/>
      <c r="AT425" s="49"/>
      <c r="AU425" s="49"/>
      <c r="AV425" s="49"/>
      <c r="AW425" s="49"/>
      <c r="AX425" s="49"/>
      <c r="AY425" s="52"/>
    </row>
    <row r="426" spans="1:51" ht="13.5" customHeight="1">
      <c r="A426" s="56"/>
      <c r="B426" s="50"/>
      <c r="C426" s="49"/>
      <c r="D426" s="49"/>
      <c r="E426" s="49"/>
      <c r="F426" s="49"/>
      <c r="G426" s="49"/>
      <c r="H426" s="49"/>
      <c r="I426" s="51"/>
      <c r="J426" s="350"/>
      <c r="K426" s="351"/>
      <c r="L426" s="520"/>
      <c r="M426" s="505" t="s">
        <v>594</v>
      </c>
      <c r="N426" s="505"/>
      <c r="O426" s="543" t="s">
        <v>598</v>
      </c>
      <c r="P426" s="505"/>
      <c r="Q426" s="505"/>
      <c r="R426" s="505"/>
      <c r="S426" s="139"/>
      <c r="T426" s="139"/>
      <c r="U426" s="139"/>
      <c r="V426" s="139"/>
      <c r="W426" s="139"/>
      <c r="X426" s="139"/>
      <c r="Y426" s="139"/>
      <c r="Z426" s="139"/>
      <c r="AA426" s="139"/>
      <c r="AB426" s="139"/>
      <c r="AC426" s="139"/>
      <c r="AD426" s="139"/>
      <c r="AE426" s="139"/>
      <c r="AF426" s="139"/>
      <c r="AG426" s="139"/>
      <c r="AH426" s="139"/>
      <c r="AI426" s="139"/>
      <c r="AJ426" s="139"/>
      <c r="AK426" s="139"/>
      <c r="AL426" s="139"/>
      <c r="AM426" s="139"/>
      <c r="AN426" s="139"/>
      <c r="AO426" s="139"/>
      <c r="AP426" s="49"/>
      <c r="AQ426" s="51"/>
      <c r="AR426" s="208"/>
      <c r="AS426" s="49"/>
      <c r="AT426" s="49"/>
      <c r="AU426" s="49"/>
      <c r="AV426" s="49"/>
      <c r="AW426" s="49"/>
      <c r="AX426" s="49"/>
      <c r="AY426" s="52"/>
    </row>
    <row r="427" spans="1:51" ht="13.5" customHeight="1">
      <c r="A427" s="56"/>
      <c r="B427" s="50"/>
      <c r="C427" s="49"/>
      <c r="D427" s="49"/>
      <c r="E427" s="49"/>
      <c r="F427" s="49"/>
      <c r="G427" s="49"/>
      <c r="H427" s="49"/>
      <c r="I427" s="51"/>
      <c r="J427" s="350"/>
      <c r="K427" s="351"/>
      <c r="L427" s="520"/>
      <c r="M427" s="505"/>
      <c r="N427" s="505"/>
      <c r="O427" s="543"/>
      <c r="P427" s="505" t="s">
        <v>599</v>
      </c>
      <c r="Q427" s="505"/>
      <c r="R427" s="505"/>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49"/>
      <c r="AQ427" s="51"/>
      <c r="AR427" s="208"/>
      <c r="AS427" s="49"/>
      <c r="AT427" s="49"/>
      <c r="AU427" s="49"/>
      <c r="AV427" s="49"/>
      <c r="AW427" s="49"/>
      <c r="AX427" s="49"/>
      <c r="AY427" s="52"/>
    </row>
    <row r="428" spans="1:51" ht="13.5" customHeight="1">
      <c r="A428" s="56"/>
      <c r="B428" s="50"/>
      <c r="C428" s="49"/>
      <c r="D428" s="49"/>
      <c r="E428" s="49"/>
      <c r="F428" s="49"/>
      <c r="G428" s="49"/>
      <c r="H428" s="49"/>
      <c r="I428" s="51"/>
      <c r="J428" s="350"/>
      <c r="K428" s="351"/>
      <c r="L428" s="520"/>
      <c r="M428" s="505"/>
      <c r="N428" s="505"/>
      <c r="O428" s="543"/>
      <c r="P428" s="505"/>
      <c r="Q428" s="505" t="s">
        <v>600</v>
      </c>
      <c r="R428" s="505"/>
      <c r="S428" s="139"/>
      <c r="T428" s="139"/>
      <c r="U428" s="139"/>
      <c r="V428" s="139"/>
      <c r="W428" s="139"/>
      <c r="X428" s="139"/>
      <c r="Y428" s="139"/>
      <c r="Z428" s="139"/>
      <c r="AA428" s="139"/>
      <c r="AB428" s="139"/>
      <c r="AC428" s="139"/>
      <c r="AD428" s="139"/>
      <c r="AE428" s="139"/>
      <c r="AF428" s="139"/>
      <c r="AG428" s="139"/>
      <c r="AH428" s="139"/>
      <c r="AI428" s="139"/>
      <c r="AJ428" s="139"/>
      <c r="AK428" s="139"/>
      <c r="AL428" s="139"/>
      <c r="AM428" s="139"/>
      <c r="AN428" s="139"/>
      <c r="AO428" s="139"/>
      <c r="AP428" s="49"/>
      <c r="AQ428" s="51"/>
      <c r="AR428" s="208"/>
      <c r="AS428" s="49"/>
      <c r="AT428" s="49"/>
      <c r="AU428" s="49"/>
      <c r="AV428" s="49"/>
      <c r="AW428" s="49"/>
      <c r="AX428" s="49"/>
      <c r="AY428" s="52"/>
    </row>
    <row r="429" spans="1:51" ht="13.5" customHeight="1">
      <c r="A429" s="56"/>
      <c r="B429" s="50"/>
      <c r="C429" s="49"/>
      <c r="D429" s="49"/>
      <c r="E429" s="49"/>
      <c r="F429" s="49"/>
      <c r="G429" s="49"/>
      <c r="H429" s="49"/>
      <c r="I429" s="51"/>
      <c r="J429" s="350"/>
      <c r="K429" s="351"/>
      <c r="L429" s="520"/>
      <c r="M429" s="505"/>
      <c r="N429" s="505"/>
      <c r="O429" s="543"/>
      <c r="P429" s="505" t="s">
        <v>530</v>
      </c>
      <c r="Q429" s="505"/>
      <c r="R429" s="505"/>
      <c r="S429" s="139"/>
      <c r="T429" s="139"/>
      <c r="U429" s="139"/>
      <c r="V429" s="139"/>
      <c r="W429" s="139"/>
      <c r="X429" s="139"/>
      <c r="Y429" s="139"/>
      <c r="Z429" s="139"/>
      <c r="AA429" s="139"/>
      <c r="AB429" s="139"/>
      <c r="AC429" s="139"/>
      <c r="AD429" s="139"/>
      <c r="AE429" s="139"/>
      <c r="AF429" s="139"/>
      <c r="AG429" s="139"/>
      <c r="AH429" s="139"/>
      <c r="AI429" s="139"/>
      <c r="AJ429" s="139"/>
      <c r="AK429" s="139"/>
      <c r="AL429" s="139"/>
      <c r="AM429" s="139"/>
      <c r="AN429" s="139"/>
      <c r="AO429" s="139"/>
      <c r="AP429" s="49"/>
      <c r="AQ429" s="51"/>
      <c r="AR429" s="208"/>
      <c r="AS429" s="49"/>
      <c r="AT429" s="49"/>
      <c r="AU429" s="49"/>
      <c r="AV429" s="49"/>
      <c r="AW429" s="49"/>
      <c r="AX429" s="49"/>
      <c r="AY429" s="52"/>
    </row>
    <row r="430" spans="1:51" ht="13.5" customHeight="1">
      <c r="A430" s="56"/>
      <c r="B430" s="50"/>
      <c r="C430" s="49"/>
      <c r="D430" s="49"/>
      <c r="E430" s="49"/>
      <c r="F430" s="49"/>
      <c r="G430" s="49"/>
      <c r="H430" s="49"/>
      <c r="I430" s="51"/>
      <c r="J430" s="350"/>
      <c r="K430" s="351"/>
      <c r="L430" s="520"/>
      <c r="M430" s="505"/>
      <c r="N430" s="505"/>
      <c r="O430" s="543"/>
      <c r="P430" s="505" t="s">
        <v>724</v>
      </c>
      <c r="Q430" s="505"/>
      <c r="R430" s="505"/>
      <c r="S430" s="139"/>
      <c r="T430" s="139"/>
      <c r="U430" s="139"/>
      <c r="V430" s="139"/>
      <c r="W430" s="139"/>
      <c r="X430" s="139"/>
      <c r="Y430" s="139"/>
      <c r="Z430" s="139"/>
      <c r="AA430" s="139"/>
      <c r="AB430" s="139"/>
      <c r="AC430" s="139"/>
      <c r="AD430" s="139"/>
      <c r="AE430" s="139"/>
      <c r="AF430" s="139"/>
      <c r="AG430" s="139"/>
      <c r="AH430" s="139"/>
      <c r="AI430" s="139"/>
      <c r="AJ430" s="139"/>
      <c r="AK430" s="139"/>
      <c r="AL430" s="139"/>
      <c r="AM430" s="139"/>
      <c r="AN430" s="139"/>
      <c r="AO430" s="139"/>
      <c r="AP430" s="49"/>
      <c r="AQ430" s="51"/>
      <c r="AR430" s="208"/>
      <c r="AS430" s="49"/>
      <c r="AT430" s="49"/>
      <c r="AU430" s="49"/>
      <c r="AV430" s="49"/>
      <c r="AW430" s="49"/>
      <c r="AX430" s="49"/>
      <c r="AY430" s="52"/>
    </row>
    <row r="431" spans="1:51" ht="13.5" customHeight="1">
      <c r="A431" s="56"/>
      <c r="B431" s="50"/>
      <c r="C431" s="49"/>
      <c r="D431" s="49"/>
      <c r="E431" s="49"/>
      <c r="F431" s="49"/>
      <c r="G431" s="49"/>
      <c r="H431" s="49"/>
      <c r="I431" s="51"/>
      <c r="J431" s="350"/>
      <c r="K431" s="351"/>
      <c r="L431" s="520"/>
      <c r="M431" s="505"/>
      <c r="N431" s="505"/>
      <c r="O431" s="543"/>
      <c r="P431" s="505"/>
      <c r="Q431" s="505" t="s">
        <v>601</v>
      </c>
      <c r="R431" s="505"/>
      <c r="S431" s="139"/>
      <c r="T431" s="139"/>
      <c r="U431" s="139"/>
      <c r="V431" s="139"/>
      <c r="W431" s="139"/>
      <c r="X431" s="139"/>
      <c r="Y431" s="139"/>
      <c r="Z431" s="139"/>
      <c r="AA431" s="139"/>
      <c r="AB431" s="139"/>
      <c r="AC431" s="139"/>
      <c r="AD431" s="139"/>
      <c r="AE431" s="139"/>
      <c r="AF431" s="139"/>
      <c r="AG431" s="139"/>
      <c r="AH431" s="139"/>
      <c r="AI431" s="139"/>
      <c r="AJ431" s="139"/>
      <c r="AK431" s="139"/>
      <c r="AL431" s="139"/>
      <c r="AM431" s="139"/>
      <c r="AN431" s="139"/>
      <c r="AO431" s="139"/>
      <c r="AP431" s="49"/>
      <c r="AQ431" s="51"/>
      <c r="AR431" s="208"/>
      <c r="AS431" s="49"/>
      <c r="AT431" s="49"/>
      <c r="AU431" s="49"/>
      <c r="AV431" s="49"/>
      <c r="AW431" s="49"/>
      <c r="AX431" s="49"/>
      <c r="AY431" s="52"/>
    </row>
    <row r="432" spans="1:51" ht="13.5" customHeight="1" thickBot="1">
      <c r="A432" s="321"/>
      <c r="B432" s="322"/>
      <c r="C432" s="323"/>
      <c r="D432" s="323"/>
      <c r="E432" s="323"/>
      <c r="F432" s="323"/>
      <c r="G432" s="323"/>
      <c r="H432" s="323"/>
      <c r="I432" s="324"/>
      <c r="J432" s="354"/>
      <c r="K432" s="355"/>
      <c r="L432" s="546"/>
      <c r="M432" s="538"/>
      <c r="N432" s="538"/>
      <c r="O432" s="547" t="s">
        <v>531</v>
      </c>
      <c r="P432" s="538"/>
      <c r="Q432" s="538"/>
      <c r="R432" s="538"/>
      <c r="S432" s="533"/>
      <c r="T432" s="533"/>
      <c r="U432" s="533"/>
      <c r="V432" s="533"/>
      <c r="W432" s="533"/>
      <c r="X432" s="533"/>
      <c r="Y432" s="533"/>
      <c r="Z432" s="533"/>
      <c r="AA432" s="533"/>
      <c r="AB432" s="533"/>
      <c r="AC432" s="533"/>
      <c r="AD432" s="533"/>
      <c r="AE432" s="533"/>
      <c r="AF432" s="533"/>
      <c r="AG432" s="533"/>
      <c r="AH432" s="533"/>
      <c r="AI432" s="533"/>
      <c r="AJ432" s="533"/>
      <c r="AK432" s="533"/>
      <c r="AL432" s="533"/>
      <c r="AM432" s="533"/>
      <c r="AN432" s="533"/>
      <c r="AO432" s="533"/>
      <c r="AP432" s="323"/>
      <c r="AQ432" s="324"/>
      <c r="AR432" s="327"/>
      <c r="AS432" s="323"/>
      <c r="AT432" s="323"/>
      <c r="AU432" s="323"/>
      <c r="AV432" s="323"/>
      <c r="AW432" s="323"/>
      <c r="AX432" s="323"/>
      <c r="AY432" s="328"/>
    </row>
    <row r="433" spans="1:53" ht="13.5" customHeight="1">
      <c r="A433" s="56"/>
      <c r="B433" s="50"/>
      <c r="C433" s="49"/>
      <c r="D433" s="49"/>
      <c r="E433" s="49"/>
      <c r="F433" s="49"/>
      <c r="G433" s="49"/>
      <c r="H433" s="49"/>
      <c r="I433" s="51"/>
      <c r="J433" s="350"/>
      <c r="K433" s="351"/>
      <c r="L433" s="520"/>
      <c r="M433" s="505" t="s">
        <v>594</v>
      </c>
      <c r="N433" s="505"/>
      <c r="O433" s="543" t="s">
        <v>598</v>
      </c>
      <c r="P433" s="505"/>
      <c r="Q433" s="505"/>
      <c r="R433" s="505"/>
      <c r="S433" s="139"/>
      <c r="T433" s="139"/>
      <c r="U433" s="139"/>
      <c r="V433" s="139"/>
      <c r="W433" s="139"/>
      <c r="X433" s="139"/>
      <c r="Y433" s="139"/>
      <c r="Z433" s="139"/>
      <c r="AA433" s="139"/>
      <c r="AB433" s="139"/>
      <c r="AC433" s="139"/>
      <c r="AD433" s="139"/>
      <c r="AE433" s="139"/>
      <c r="AF433" s="139"/>
      <c r="AG433" s="139"/>
      <c r="AH433" s="139"/>
      <c r="AI433" s="139"/>
      <c r="AJ433" s="139"/>
      <c r="AK433" s="139"/>
      <c r="AL433" s="139"/>
      <c r="AM433" s="139"/>
      <c r="AN433" s="139"/>
      <c r="AO433" s="139"/>
      <c r="AP433" s="49"/>
      <c r="AQ433" s="51"/>
      <c r="AR433" s="208"/>
      <c r="AS433" s="49"/>
      <c r="AT433" s="49"/>
      <c r="AU433" s="49"/>
      <c r="AV433" s="49"/>
      <c r="AW433" s="49"/>
      <c r="AX433" s="49"/>
      <c r="AY433" s="52"/>
    </row>
    <row r="434" spans="1:53" ht="13.5" customHeight="1">
      <c r="A434" s="56"/>
      <c r="B434" s="50"/>
      <c r="C434" s="49"/>
      <c r="D434" s="49"/>
      <c r="E434" s="49"/>
      <c r="F434" s="49"/>
      <c r="G434" s="49"/>
      <c r="H434" s="49"/>
      <c r="I434" s="51"/>
      <c r="J434" s="350"/>
      <c r="K434" s="351"/>
      <c r="L434" s="520"/>
      <c r="M434" s="505"/>
      <c r="N434" s="505"/>
      <c r="O434" s="543"/>
      <c r="P434" s="505" t="s">
        <v>616</v>
      </c>
      <c r="Q434" s="505"/>
      <c r="R434" s="505"/>
      <c r="S434" s="139"/>
      <c r="T434" s="139"/>
      <c r="U434" s="139"/>
      <c r="V434" s="139"/>
      <c r="W434" s="139"/>
      <c r="X434" s="139"/>
      <c r="Y434" s="139"/>
      <c r="Z434" s="139"/>
      <c r="AA434" s="139"/>
      <c r="AB434" s="139"/>
      <c r="AC434" s="139"/>
      <c r="AD434" s="139"/>
      <c r="AE434" s="139"/>
      <c r="AF434" s="139"/>
      <c r="AG434" s="139"/>
      <c r="AH434" s="139"/>
      <c r="AI434" s="139"/>
      <c r="AJ434" s="139"/>
      <c r="AK434" s="139"/>
      <c r="AL434" s="139"/>
      <c r="AM434" s="139"/>
      <c r="AN434" s="139"/>
      <c r="AO434" s="139"/>
      <c r="AP434" s="49"/>
      <c r="AQ434" s="51"/>
      <c r="AR434" s="208"/>
      <c r="AS434" s="49"/>
      <c r="AT434" s="49"/>
      <c r="AU434" s="49"/>
      <c r="AV434" s="49"/>
      <c r="AW434" s="49"/>
      <c r="AX434" s="49"/>
      <c r="AY434" s="52"/>
    </row>
    <row r="435" spans="1:53" ht="13.5" customHeight="1">
      <c r="A435" s="56"/>
      <c r="B435" s="50"/>
      <c r="C435" s="49"/>
      <c r="D435" s="49"/>
      <c r="E435" s="49"/>
      <c r="F435" s="49"/>
      <c r="G435" s="49"/>
      <c r="H435" s="49"/>
      <c r="I435" s="51"/>
      <c r="J435" s="350"/>
      <c r="K435" s="351"/>
      <c r="L435" s="520"/>
      <c r="M435" s="505"/>
      <c r="N435" s="505"/>
      <c r="O435" s="543"/>
      <c r="P435" s="505" t="s">
        <v>530</v>
      </c>
      <c r="Q435" s="505"/>
      <c r="R435" s="505"/>
      <c r="S435" s="139"/>
      <c r="T435" s="139"/>
      <c r="U435" s="139"/>
      <c r="V435" s="139"/>
      <c r="W435" s="139"/>
      <c r="X435" s="139"/>
      <c r="Y435" s="139"/>
      <c r="Z435" s="139"/>
      <c r="AA435" s="139"/>
      <c r="AB435" s="139"/>
      <c r="AC435" s="139"/>
      <c r="AD435" s="139"/>
      <c r="AE435" s="139"/>
      <c r="AF435" s="139"/>
      <c r="AG435" s="139"/>
      <c r="AH435" s="139"/>
      <c r="AI435" s="139"/>
      <c r="AJ435" s="139"/>
      <c r="AK435" s="139"/>
      <c r="AL435" s="139"/>
      <c r="AM435" s="139"/>
      <c r="AN435" s="139"/>
      <c r="AO435" s="139"/>
      <c r="AP435" s="49"/>
      <c r="AQ435" s="51"/>
      <c r="AR435" s="208"/>
      <c r="AS435" s="49"/>
      <c r="AT435" s="49"/>
      <c r="AU435" s="49"/>
      <c r="AV435" s="49"/>
      <c r="AW435" s="49"/>
      <c r="AX435" s="49"/>
      <c r="AY435" s="52"/>
    </row>
    <row r="436" spans="1:53" ht="13.5" customHeight="1">
      <c r="A436" s="56"/>
      <c r="B436" s="50"/>
      <c r="C436" s="49"/>
      <c r="D436" s="49"/>
      <c r="E436" s="49"/>
      <c r="F436" s="49"/>
      <c r="G436" s="49"/>
      <c r="H436" s="49"/>
      <c r="I436" s="51"/>
      <c r="J436" s="350"/>
      <c r="K436" s="351"/>
      <c r="L436" s="520"/>
      <c r="M436" s="505"/>
      <c r="N436" s="505"/>
      <c r="O436" s="543"/>
      <c r="P436" s="505" t="s">
        <v>598</v>
      </c>
      <c r="Q436" s="505"/>
      <c r="R436" s="505"/>
      <c r="S436" s="139"/>
      <c r="T436" s="139"/>
      <c r="U436" s="139"/>
      <c r="V436" s="139"/>
      <c r="W436" s="139"/>
      <c r="X436" s="139"/>
      <c r="Y436" s="139"/>
      <c r="Z436" s="139"/>
      <c r="AA436" s="139"/>
      <c r="AB436" s="139"/>
      <c r="AC436" s="139"/>
      <c r="AD436" s="139"/>
      <c r="AE436" s="139"/>
      <c r="AF436" s="139"/>
      <c r="AG436" s="139"/>
      <c r="AH436" s="139"/>
      <c r="AI436" s="139"/>
      <c r="AJ436" s="139"/>
      <c r="AK436" s="139"/>
      <c r="AL436" s="139"/>
      <c r="AM436" s="139"/>
      <c r="AN436" s="139"/>
      <c r="AO436" s="139"/>
      <c r="AP436" s="49"/>
      <c r="AQ436" s="51"/>
      <c r="AR436" s="208"/>
      <c r="AS436" s="49"/>
      <c r="AT436" s="49"/>
      <c r="AU436" s="49"/>
      <c r="AV436" s="49"/>
      <c r="AW436" s="49"/>
      <c r="AX436" s="49"/>
      <c r="AY436" s="52"/>
    </row>
    <row r="437" spans="1:53" ht="13.5" customHeight="1">
      <c r="A437" s="56"/>
      <c r="B437" s="50"/>
      <c r="C437" s="49"/>
      <c r="D437" s="49"/>
      <c r="E437" s="49"/>
      <c r="F437" s="49"/>
      <c r="G437" s="49"/>
      <c r="H437" s="49"/>
      <c r="I437" s="51"/>
      <c r="J437" s="350"/>
      <c r="K437" s="351"/>
      <c r="L437" s="520"/>
      <c r="M437" s="505"/>
      <c r="N437" s="505"/>
      <c r="O437" s="543"/>
      <c r="P437" s="505"/>
      <c r="Q437" s="505" t="s">
        <v>602</v>
      </c>
      <c r="R437" s="505"/>
      <c r="S437" s="139"/>
      <c r="T437" s="139"/>
      <c r="U437" s="139"/>
      <c r="V437" s="139"/>
      <c r="W437" s="139"/>
      <c r="X437" s="139"/>
      <c r="Y437" s="139"/>
      <c r="Z437" s="139"/>
      <c r="AA437" s="139"/>
      <c r="AB437" s="139"/>
      <c r="AC437" s="139"/>
      <c r="AD437" s="139"/>
      <c r="AE437" s="139"/>
      <c r="AF437" s="139"/>
      <c r="AG437" s="139"/>
      <c r="AH437" s="139"/>
      <c r="AI437" s="139"/>
      <c r="AJ437" s="139"/>
      <c r="AK437" s="139"/>
      <c r="AL437" s="139"/>
      <c r="AM437" s="139"/>
      <c r="AN437" s="139"/>
      <c r="AO437" s="139"/>
      <c r="AP437" s="49"/>
      <c r="AQ437" s="51"/>
      <c r="AR437" s="208"/>
      <c r="AS437" s="49"/>
      <c r="AT437" s="49"/>
      <c r="AU437" s="49"/>
      <c r="AV437" s="49"/>
      <c r="AW437" s="49"/>
      <c r="AX437" s="49"/>
      <c r="AY437" s="52"/>
    </row>
    <row r="438" spans="1:53" ht="13.5" customHeight="1">
      <c r="A438" s="56"/>
      <c r="B438" s="50"/>
      <c r="C438" s="49"/>
      <c r="D438" s="49"/>
      <c r="E438" s="49"/>
      <c r="F438" s="49"/>
      <c r="G438" s="49"/>
      <c r="H438" s="49"/>
      <c r="I438" s="51"/>
      <c r="J438" s="350"/>
      <c r="K438" s="351"/>
      <c r="L438" s="520"/>
      <c r="M438" s="505"/>
      <c r="N438" s="505"/>
      <c r="O438" s="543"/>
      <c r="P438" s="505"/>
      <c r="Q438" s="505"/>
      <c r="R438" s="505" t="s">
        <v>603</v>
      </c>
      <c r="S438" s="139"/>
      <c r="T438" s="139"/>
      <c r="U438" s="139"/>
      <c r="V438" s="139"/>
      <c r="W438" s="139"/>
      <c r="X438" s="139"/>
      <c r="Y438" s="139"/>
      <c r="Z438" s="139"/>
      <c r="AA438" s="139"/>
      <c r="AB438" s="139"/>
      <c r="AC438" s="139"/>
      <c r="AD438" s="139"/>
      <c r="AE438" s="139"/>
      <c r="AF438" s="139"/>
      <c r="AG438" s="139"/>
      <c r="AH438" s="139"/>
      <c r="AI438" s="139"/>
      <c r="AJ438" s="139"/>
      <c r="AK438" s="139"/>
      <c r="AL438" s="139"/>
      <c r="AM438" s="139"/>
      <c r="AN438" s="139"/>
      <c r="AO438" s="139"/>
      <c r="AP438" s="49"/>
      <c r="AQ438" s="51"/>
      <c r="AR438" s="208"/>
      <c r="AS438" s="49"/>
      <c r="AT438" s="49"/>
      <c r="AU438" s="49"/>
      <c r="AV438" s="49"/>
      <c r="AW438" s="49"/>
      <c r="AX438" s="49"/>
      <c r="AY438" s="52"/>
    </row>
    <row r="439" spans="1:53" ht="13.5" customHeight="1">
      <c r="A439" s="56"/>
      <c r="B439" s="50"/>
      <c r="C439" s="49"/>
      <c r="D439" s="49"/>
      <c r="E439" s="49"/>
      <c r="F439" s="49"/>
      <c r="G439" s="49"/>
      <c r="H439" s="49"/>
      <c r="I439" s="51"/>
      <c r="J439" s="350"/>
      <c r="K439" s="351"/>
      <c r="L439" s="520"/>
      <c r="M439" s="505"/>
      <c r="N439" s="505"/>
      <c r="O439" s="543"/>
      <c r="P439" s="505"/>
      <c r="Q439" s="505"/>
      <c r="R439" s="505" t="s">
        <v>604</v>
      </c>
      <c r="S439" s="139"/>
      <c r="T439" s="139"/>
      <c r="U439" s="139"/>
      <c r="V439" s="139"/>
      <c r="W439" s="139"/>
      <c r="X439" s="139"/>
      <c r="Y439" s="139"/>
      <c r="Z439" s="139"/>
      <c r="AA439" s="139"/>
      <c r="AB439" s="139"/>
      <c r="AC439" s="139"/>
      <c r="AD439" s="139"/>
      <c r="AE439" s="139"/>
      <c r="AF439" s="139"/>
      <c r="AG439" s="139"/>
      <c r="AH439" s="139"/>
      <c r="AI439" s="139"/>
      <c r="AJ439" s="139"/>
      <c r="AK439" s="139"/>
      <c r="AL439" s="139"/>
      <c r="AM439" s="139"/>
      <c r="AN439" s="139"/>
      <c r="AO439" s="139"/>
      <c r="AP439" s="49"/>
      <c r="AQ439" s="51"/>
      <c r="AR439" s="208"/>
      <c r="AS439" s="49"/>
      <c r="AT439" s="49"/>
      <c r="AU439" s="49"/>
      <c r="AV439" s="49"/>
      <c r="AW439" s="49"/>
      <c r="AX439" s="49"/>
      <c r="AY439" s="52"/>
    </row>
    <row r="440" spans="1:53" ht="13.5" customHeight="1">
      <c r="A440" s="56"/>
      <c r="B440" s="50"/>
      <c r="C440" s="49"/>
      <c r="D440" s="49"/>
      <c r="E440" s="49"/>
      <c r="F440" s="49"/>
      <c r="G440" s="49"/>
      <c r="H440" s="49"/>
      <c r="I440" s="51"/>
      <c r="J440" s="350"/>
      <c r="K440" s="351"/>
      <c r="L440" s="520"/>
      <c r="M440" s="505"/>
      <c r="N440" s="505"/>
      <c r="O440" s="543"/>
      <c r="P440" s="505"/>
      <c r="Q440" s="505" t="s">
        <v>530</v>
      </c>
      <c r="R440" s="505"/>
      <c r="S440" s="139"/>
      <c r="T440" s="139"/>
      <c r="U440" s="139"/>
      <c r="V440" s="139"/>
      <c r="W440" s="139"/>
      <c r="X440" s="139"/>
      <c r="Y440" s="139"/>
      <c r="Z440" s="139"/>
      <c r="AA440" s="139"/>
      <c r="AB440" s="139"/>
      <c r="AC440" s="139"/>
      <c r="AD440" s="139"/>
      <c r="AE440" s="139"/>
      <c r="AF440" s="139"/>
      <c r="AG440" s="139"/>
      <c r="AH440" s="139"/>
      <c r="AI440" s="139"/>
      <c r="AJ440" s="139"/>
      <c r="AK440" s="139"/>
      <c r="AL440" s="139"/>
      <c r="AM440" s="139"/>
      <c r="AN440" s="139"/>
      <c r="AO440" s="139"/>
      <c r="AP440" s="49"/>
      <c r="AQ440" s="51"/>
      <c r="AR440" s="208"/>
      <c r="AS440" s="49"/>
      <c r="AT440" s="49"/>
      <c r="AU440" s="49"/>
      <c r="AV440" s="49"/>
      <c r="AW440" s="49"/>
      <c r="AX440" s="49"/>
      <c r="AY440" s="52"/>
    </row>
    <row r="441" spans="1:53" ht="13.5" customHeight="1">
      <c r="A441" s="56"/>
      <c r="B441" s="50"/>
      <c r="C441" s="49"/>
      <c r="D441" s="49"/>
      <c r="E441" s="49"/>
      <c r="F441" s="49"/>
      <c r="G441" s="49"/>
      <c r="H441" s="49"/>
      <c r="I441" s="51"/>
      <c r="J441" s="350"/>
      <c r="K441" s="351"/>
      <c r="L441" s="520"/>
      <c r="M441" s="505"/>
      <c r="N441" s="505"/>
      <c r="O441" s="543"/>
      <c r="P441" s="505"/>
      <c r="Q441" s="505" t="s">
        <v>725</v>
      </c>
      <c r="R441" s="505"/>
      <c r="S441" s="139"/>
      <c r="T441" s="139"/>
      <c r="U441" s="139"/>
      <c r="V441" s="139"/>
      <c r="W441" s="139"/>
      <c r="X441" s="139"/>
      <c r="Y441" s="139"/>
      <c r="Z441" s="139"/>
      <c r="AA441" s="139"/>
      <c r="AB441" s="139"/>
      <c r="AC441" s="139"/>
      <c r="AD441" s="139"/>
      <c r="AE441" s="139"/>
      <c r="AF441" s="139"/>
      <c r="AG441" s="139"/>
      <c r="AH441" s="139"/>
      <c r="AI441" s="139"/>
      <c r="AJ441" s="139"/>
      <c r="AK441" s="139"/>
      <c r="AL441" s="139"/>
      <c r="AM441" s="139"/>
      <c r="AN441" s="139"/>
      <c r="AO441" s="139"/>
      <c r="AP441" s="49"/>
      <c r="AQ441" s="51"/>
      <c r="AR441" s="208"/>
      <c r="AS441" s="49"/>
      <c r="AT441" s="49"/>
      <c r="AU441" s="49"/>
      <c r="AV441" s="49"/>
      <c r="AW441" s="49"/>
      <c r="AX441" s="49"/>
      <c r="AY441" s="52"/>
    </row>
    <row r="442" spans="1:53" ht="13.5" customHeight="1">
      <c r="A442" s="56"/>
      <c r="B442" s="50"/>
      <c r="C442" s="49"/>
      <c r="D442" s="49"/>
      <c r="E442" s="49"/>
      <c r="F442" s="49"/>
      <c r="G442" s="49"/>
      <c r="H442" s="49"/>
      <c r="I442" s="51"/>
      <c r="J442" s="350"/>
      <c r="K442" s="351"/>
      <c r="L442" s="520"/>
      <c r="M442" s="505"/>
      <c r="N442" s="505"/>
      <c r="O442" s="543"/>
      <c r="P442" s="505"/>
      <c r="Q442" s="505"/>
      <c r="R442" s="505" t="s">
        <v>617</v>
      </c>
      <c r="S442" s="139"/>
      <c r="T442" s="139"/>
      <c r="U442" s="139"/>
      <c r="V442" s="139"/>
      <c r="W442" s="139"/>
      <c r="X442" s="139"/>
      <c r="Y442" s="139"/>
      <c r="Z442" s="139"/>
      <c r="AA442" s="139"/>
      <c r="AB442" s="139"/>
      <c r="AC442" s="139"/>
      <c r="AD442" s="139"/>
      <c r="AE442" s="139"/>
      <c r="AF442" s="139"/>
      <c r="AG442" s="139"/>
      <c r="AH442" s="139"/>
      <c r="AI442" s="139"/>
      <c r="AJ442" s="139"/>
      <c r="AK442" s="139"/>
      <c r="AL442" s="139"/>
      <c r="AM442" s="139"/>
      <c r="AN442" s="139"/>
      <c r="AO442" s="139"/>
      <c r="AP442" s="49"/>
      <c r="AQ442" s="51"/>
      <c r="AR442" s="208"/>
      <c r="AS442" s="49"/>
      <c r="AT442" s="49"/>
      <c r="AU442" s="49"/>
      <c r="AV442" s="49"/>
      <c r="AW442" s="49"/>
      <c r="AX442" s="49"/>
      <c r="AY442" s="52"/>
    </row>
    <row r="443" spans="1:53" ht="13.5" customHeight="1">
      <c r="A443" s="56"/>
      <c r="B443" s="50"/>
      <c r="C443" s="49"/>
      <c r="D443" s="49"/>
      <c r="E443" s="49"/>
      <c r="F443" s="49"/>
      <c r="G443" s="49"/>
      <c r="H443" s="49"/>
      <c r="I443" s="51"/>
      <c r="J443" s="350"/>
      <c r="K443" s="351"/>
      <c r="L443" s="520"/>
      <c r="M443" s="505"/>
      <c r="N443" s="505"/>
      <c r="O443" s="543"/>
      <c r="P443" s="505"/>
      <c r="Q443" s="505"/>
      <c r="R443" s="505" t="s">
        <v>604</v>
      </c>
      <c r="S443" s="139"/>
      <c r="T443" s="139"/>
      <c r="U443" s="139"/>
      <c r="V443" s="139"/>
      <c r="W443" s="139"/>
      <c r="X443" s="139"/>
      <c r="Y443" s="139"/>
      <c r="Z443" s="139"/>
      <c r="AA443" s="139"/>
      <c r="AB443" s="139"/>
      <c r="AC443" s="139"/>
      <c r="AD443" s="139"/>
      <c r="AE443" s="139"/>
      <c r="AF443" s="139"/>
      <c r="AG443" s="139"/>
      <c r="AH443" s="139"/>
      <c r="AI443" s="139"/>
      <c r="AJ443" s="139"/>
      <c r="AK443" s="139"/>
      <c r="AL443" s="139"/>
      <c r="AM443" s="139"/>
      <c r="AN443" s="139"/>
      <c r="AO443" s="139"/>
      <c r="AP443" s="49"/>
      <c r="AQ443" s="51"/>
      <c r="AR443" s="208"/>
      <c r="AS443" s="49"/>
      <c r="AT443" s="49"/>
      <c r="AU443" s="49"/>
      <c r="AV443" s="49"/>
      <c r="AW443" s="49"/>
      <c r="AX443" s="49"/>
      <c r="AY443" s="52"/>
    </row>
    <row r="444" spans="1:53" ht="13.5" customHeight="1">
      <c r="A444" s="56"/>
      <c r="B444" s="50"/>
      <c r="C444" s="49"/>
      <c r="D444" s="49"/>
      <c r="E444" s="49"/>
      <c r="F444" s="49"/>
      <c r="G444" s="49"/>
      <c r="H444" s="49"/>
      <c r="I444" s="51"/>
      <c r="J444" s="350"/>
      <c r="K444" s="351"/>
      <c r="L444" s="520"/>
      <c r="M444" s="505"/>
      <c r="N444" s="505"/>
      <c r="O444" s="543"/>
      <c r="P444" s="505" t="s">
        <v>531</v>
      </c>
      <c r="Q444" s="505"/>
      <c r="R444" s="505"/>
      <c r="S444" s="139"/>
      <c r="T444" s="139"/>
      <c r="U444" s="139"/>
      <c r="V444" s="139"/>
      <c r="W444" s="139"/>
      <c r="X444" s="139"/>
      <c r="Y444" s="139"/>
      <c r="Z444" s="139"/>
      <c r="AA444" s="139"/>
      <c r="AB444" s="139"/>
      <c r="AC444" s="139"/>
      <c r="AD444" s="139"/>
      <c r="AE444" s="139"/>
      <c r="AF444" s="139"/>
      <c r="AG444" s="139"/>
      <c r="AH444" s="139"/>
      <c r="AI444" s="139"/>
      <c r="AJ444" s="139"/>
      <c r="AK444" s="139"/>
      <c r="AL444" s="139"/>
      <c r="AM444" s="139"/>
      <c r="AN444" s="139"/>
      <c r="AO444" s="139"/>
      <c r="AP444" s="49"/>
      <c r="AQ444" s="51"/>
      <c r="AR444" s="208"/>
      <c r="AS444" s="49"/>
      <c r="AT444" s="49"/>
      <c r="AU444" s="49"/>
      <c r="AV444" s="49"/>
      <c r="AW444" s="49"/>
      <c r="AX444" s="49"/>
      <c r="AY444" s="52"/>
    </row>
    <row r="445" spans="1:53" ht="13.5" customHeight="1">
      <c r="A445" s="56"/>
      <c r="B445" s="50"/>
      <c r="C445" s="49"/>
      <c r="D445" s="49"/>
      <c r="E445" s="49"/>
      <c r="F445" s="49"/>
      <c r="G445" s="49"/>
      <c r="H445" s="49"/>
      <c r="I445" s="51"/>
      <c r="J445" s="350"/>
      <c r="K445" s="351"/>
      <c r="L445" s="520"/>
      <c r="M445" s="505"/>
      <c r="N445" s="505"/>
      <c r="O445" s="543" t="s">
        <v>531</v>
      </c>
      <c r="P445" s="505"/>
      <c r="Q445" s="505"/>
      <c r="R445" s="505"/>
      <c r="S445" s="139"/>
      <c r="T445" s="139"/>
      <c r="U445" s="139"/>
      <c r="V445" s="139"/>
      <c r="W445" s="139"/>
      <c r="X445" s="139"/>
      <c r="Y445" s="139"/>
      <c r="Z445" s="139"/>
      <c r="AA445" s="139"/>
      <c r="AB445" s="139"/>
      <c r="AC445" s="139"/>
      <c r="AD445" s="139"/>
      <c r="AE445" s="139"/>
      <c r="AF445" s="139"/>
      <c r="AG445" s="139"/>
      <c r="AH445" s="139"/>
      <c r="AI445" s="139"/>
      <c r="AJ445" s="139"/>
      <c r="AK445" s="139"/>
      <c r="AL445" s="139"/>
      <c r="AM445" s="139"/>
      <c r="AN445" s="139"/>
      <c r="AO445" s="139"/>
      <c r="AP445" s="49"/>
      <c r="AQ445" s="51"/>
      <c r="AR445" s="208"/>
      <c r="AS445" s="49"/>
      <c r="AT445" s="49"/>
      <c r="AU445" s="49"/>
      <c r="AV445" s="49"/>
      <c r="AW445" s="49"/>
      <c r="AX445" s="49"/>
      <c r="AY445" s="52"/>
    </row>
    <row r="446" spans="1:53" ht="13.5" customHeight="1">
      <c r="A446" s="56"/>
      <c r="B446" s="50"/>
      <c r="C446" s="49"/>
      <c r="D446" s="49"/>
      <c r="E446" s="49"/>
      <c r="F446" s="49"/>
      <c r="G446" s="49"/>
      <c r="H446" s="49"/>
      <c r="I446" s="51"/>
      <c r="J446" s="402"/>
      <c r="K446" s="403"/>
      <c r="L446" s="520"/>
      <c r="M446" s="505"/>
      <c r="N446" s="505"/>
      <c r="O446" s="543"/>
      <c r="P446" s="505"/>
      <c r="Q446" s="505"/>
      <c r="R446" s="505"/>
      <c r="S446" s="139"/>
      <c r="T446" s="139"/>
      <c r="U446" s="139"/>
      <c r="V446" s="139"/>
      <c r="W446" s="139"/>
      <c r="X446" s="139"/>
      <c r="Y446" s="139"/>
      <c r="Z446" s="139"/>
      <c r="AA446" s="139"/>
      <c r="AB446" s="139"/>
      <c r="AC446" s="139"/>
      <c r="AD446" s="139"/>
      <c r="AE446" s="139"/>
      <c r="AF446" s="139"/>
      <c r="AG446" s="139"/>
      <c r="AH446" s="139"/>
      <c r="AI446" s="139"/>
      <c r="AJ446" s="139"/>
      <c r="AK446" s="139"/>
      <c r="AL446" s="139"/>
      <c r="AM446" s="139"/>
      <c r="AN446" s="139"/>
      <c r="AO446" s="139"/>
      <c r="AP446" s="49"/>
      <c r="AQ446" s="51"/>
      <c r="AR446" s="208"/>
      <c r="AS446" s="49"/>
      <c r="AT446" s="49"/>
      <c r="AU446" s="49"/>
      <c r="AV446" s="49"/>
      <c r="AW446" s="49"/>
      <c r="AX446" s="49"/>
      <c r="AY446" s="52"/>
    </row>
    <row r="447" spans="1:53" ht="13.5" customHeight="1">
      <c r="A447" s="56"/>
      <c r="B447" s="50"/>
      <c r="C447" s="49"/>
      <c r="D447" s="49"/>
      <c r="E447" s="49"/>
      <c r="F447" s="49"/>
      <c r="G447" s="49"/>
      <c r="H447" s="49"/>
      <c r="I447" s="51"/>
      <c r="J447" s="402"/>
      <c r="K447" s="403"/>
      <c r="L447" s="548"/>
      <c r="M447" s="548"/>
      <c r="N447" s="549" t="s">
        <v>1026</v>
      </c>
      <c r="O447" s="549"/>
      <c r="P447" s="548"/>
      <c r="Q447" s="548"/>
      <c r="R447" s="548"/>
      <c r="S447" s="548"/>
      <c r="T447" s="548"/>
      <c r="U447" s="548"/>
      <c r="V447" s="548"/>
      <c r="W447" s="548"/>
      <c r="X447" s="548"/>
      <c r="Y447" s="548"/>
      <c r="Z447" s="548"/>
      <c r="AA447" s="550"/>
      <c r="AB447" s="550"/>
      <c r="AC447" s="550"/>
      <c r="AD447" s="550"/>
      <c r="AE447" s="550"/>
      <c r="AF447" s="550"/>
      <c r="AG447" s="550"/>
      <c r="AH447" s="550"/>
      <c r="AI447" s="550"/>
      <c r="AJ447" s="550"/>
      <c r="AK447" s="550"/>
      <c r="AL447" s="550"/>
      <c r="AM447" s="550"/>
      <c r="AN447" s="550"/>
      <c r="AO447" s="550"/>
      <c r="AP447" s="407"/>
      <c r="AQ447" s="408"/>
      <c r="AR447" s="396"/>
      <c r="AS447" s="102"/>
      <c r="AT447" s="102"/>
      <c r="AU447" s="102"/>
      <c r="AV447" s="102"/>
      <c r="AW447" s="102"/>
      <c r="AX447" s="49"/>
      <c r="AY447" s="52"/>
      <c r="BA447" s="23">
        <v>2.7</v>
      </c>
    </row>
    <row r="448" spans="1:53" ht="13.5" customHeight="1">
      <c r="A448" s="56"/>
      <c r="B448" s="50"/>
      <c r="C448" s="49"/>
      <c r="D448" s="49"/>
      <c r="E448" s="49"/>
      <c r="F448" s="49"/>
      <c r="G448" s="49"/>
      <c r="H448" s="49"/>
      <c r="I448" s="51"/>
      <c r="J448" s="404"/>
      <c r="K448" s="405"/>
      <c r="L448" s="548"/>
      <c r="M448" s="548"/>
      <c r="N448" s="549" t="s">
        <v>1034</v>
      </c>
      <c r="O448" s="549"/>
      <c r="P448" s="548"/>
      <c r="Q448" s="548"/>
      <c r="R448" s="548"/>
      <c r="S448" s="548"/>
      <c r="T448" s="548"/>
      <c r="U448" s="548"/>
      <c r="V448" s="548"/>
      <c r="W448" s="548"/>
      <c r="X448" s="548"/>
      <c r="Y448" s="548"/>
      <c r="Z448" s="548"/>
      <c r="AA448" s="550"/>
      <c r="AB448" s="550"/>
      <c r="AC448" s="550"/>
      <c r="AD448" s="550"/>
      <c r="AE448" s="550"/>
      <c r="AF448" s="550"/>
      <c r="AG448" s="550"/>
      <c r="AH448" s="550"/>
      <c r="AI448" s="550"/>
      <c r="AJ448" s="550"/>
      <c r="AK448" s="550"/>
      <c r="AL448" s="550"/>
      <c r="AM448" s="550"/>
      <c r="AN448" s="550"/>
      <c r="AO448" s="550"/>
      <c r="AP448" s="407"/>
      <c r="AQ448" s="408"/>
      <c r="AR448" s="396"/>
      <c r="AS448" s="102"/>
      <c r="AT448" s="102"/>
      <c r="AU448" s="102"/>
      <c r="AV448" s="102"/>
      <c r="AW448" s="102"/>
      <c r="AX448" s="49"/>
      <c r="AY448" s="52"/>
      <c r="BA448" s="23">
        <v>2.7</v>
      </c>
    </row>
    <row r="449" spans="1:53" ht="13.5" customHeight="1">
      <c r="A449" s="56"/>
      <c r="B449" s="50"/>
      <c r="C449" s="49"/>
      <c r="D449" s="49"/>
      <c r="E449" s="49"/>
      <c r="F449" s="49"/>
      <c r="G449" s="49"/>
      <c r="H449" s="49"/>
      <c r="I449" s="51"/>
      <c r="J449" s="402"/>
      <c r="K449" s="403"/>
      <c r="L449" s="548"/>
      <c r="M449" s="548"/>
      <c r="N449" s="549" t="s">
        <v>1027</v>
      </c>
      <c r="O449" s="549"/>
      <c r="P449" s="548"/>
      <c r="Q449" s="548"/>
      <c r="R449" s="548"/>
      <c r="S449" s="548"/>
      <c r="T449" s="548"/>
      <c r="U449" s="548"/>
      <c r="V449" s="548"/>
      <c r="W449" s="548"/>
      <c r="X449" s="548"/>
      <c r="Y449" s="548"/>
      <c r="Z449" s="548"/>
      <c r="AA449" s="550"/>
      <c r="AB449" s="550"/>
      <c r="AC449" s="550"/>
      <c r="AD449" s="550"/>
      <c r="AE449" s="550"/>
      <c r="AF449" s="550"/>
      <c r="AG449" s="550"/>
      <c r="AH449" s="550"/>
      <c r="AI449" s="550"/>
      <c r="AJ449" s="550"/>
      <c r="AK449" s="550"/>
      <c r="AL449" s="550"/>
      <c r="AM449" s="550"/>
      <c r="AN449" s="550"/>
      <c r="AO449" s="550"/>
      <c r="AP449" s="407"/>
      <c r="AQ449" s="408"/>
      <c r="AR449" s="396"/>
      <c r="AS449" s="102"/>
      <c r="AT449" s="102"/>
      <c r="AU449" s="102"/>
      <c r="AV449" s="102"/>
      <c r="AW449" s="102"/>
      <c r="AX449" s="49"/>
      <c r="AY449" s="52"/>
      <c r="BA449" s="23">
        <v>2.7</v>
      </c>
    </row>
    <row r="450" spans="1:53" ht="13.5" customHeight="1">
      <c r="A450" s="56"/>
      <c r="B450" s="50"/>
      <c r="C450" s="49"/>
      <c r="D450" s="49"/>
      <c r="E450" s="49"/>
      <c r="F450" s="49"/>
      <c r="G450" s="49"/>
      <c r="H450" s="49"/>
      <c r="I450" s="51"/>
      <c r="J450" s="402"/>
      <c r="K450" s="403"/>
      <c r="L450" s="548"/>
      <c r="M450" s="548"/>
      <c r="N450" s="549"/>
      <c r="O450" s="549"/>
      <c r="P450" s="548"/>
      <c r="Q450" s="548"/>
      <c r="R450" s="548"/>
      <c r="S450" s="548"/>
      <c r="T450" s="548"/>
      <c r="U450" s="548"/>
      <c r="V450" s="548"/>
      <c r="W450" s="548"/>
      <c r="X450" s="548"/>
      <c r="Y450" s="548"/>
      <c r="Z450" s="548"/>
      <c r="AA450" s="550"/>
      <c r="AB450" s="550"/>
      <c r="AC450" s="550"/>
      <c r="AD450" s="550"/>
      <c r="AE450" s="550"/>
      <c r="AF450" s="550"/>
      <c r="AG450" s="550"/>
      <c r="AH450" s="550"/>
      <c r="AI450" s="550"/>
      <c r="AJ450" s="550"/>
      <c r="AK450" s="550"/>
      <c r="AL450" s="550"/>
      <c r="AM450" s="550"/>
      <c r="AN450" s="550"/>
      <c r="AO450" s="550"/>
      <c r="AP450" s="407"/>
      <c r="AQ450" s="408"/>
      <c r="AR450" s="396"/>
      <c r="AS450" s="102"/>
      <c r="AT450" s="102"/>
      <c r="AU450" s="102"/>
      <c r="AV450" s="102"/>
      <c r="AW450" s="102"/>
      <c r="AX450" s="49"/>
      <c r="AY450" s="52"/>
      <c r="BA450" s="23">
        <v>2.7</v>
      </c>
    </row>
    <row r="451" spans="1:53" ht="13.5" customHeight="1">
      <c r="A451" s="56"/>
      <c r="B451" s="50"/>
      <c r="C451" s="49"/>
      <c r="D451" s="49"/>
      <c r="E451" s="49"/>
      <c r="F451" s="49"/>
      <c r="G451" s="49"/>
      <c r="H451" s="49"/>
      <c r="I451" s="51"/>
      <c r="J451" s="402"/>
      <c r="K451" s="403"/>
      <c r="L451" s="548"/>
      <c r="M451" s="551"/>
      <c r="N451" s="548"/>
      <c r="O451" s="548" t="s">
        <v>450</v>
      </c>
      <c r="P451" s="548"/>
      <c r="Q451" s="548"/>
      <c r="R451" s="548"/>
      <c r="S451" s="548"/>
      <c r="T451" s="548"/>
      <c r="U451" s="548"/>
      <c r="V451" s="548"/>
      <c r="W451" s="548"/>
      <c r="X451" s="548"/>
      <c r="Y451" s="548"/>
      <c r="Z451" s="548"/>
      <c r="AA451" s="550"/>
      <c r="AB451" s="550"/>
      <c r="AC451" s="550"/>
      <c r="AD451" s="550"/>
      <c r="AE451" s="550"/>
      <c r="AF451" s="550"/>
      <c r="AG451" s="550"/>
      <c r="AH451" s="550"/>
      <c r="AI451" s="550"/>
      <c r="AJ451" s="550"/>
      <c r="AK451" s="550"/>
      <c r="AL451" s="550"/>
      <c r="AM451" s="550"/>
      <c r="AN451" s="550"/>
      <c r="AO451" s="550"/>
      <c r="AP451" s="407"/>
      <c r="AQ451" s="408"/>
      <c r="AR451" s="396"/>
      <c r="AS451" s="102"/>
      <c r="AT451" s="102"/>
      <c r="AU451" s="102"/>
      <c r="AV451" s="102"/>
      <c r="AW451" s="102"/>
      <c r="AX451" s="49"/>
      <c r="AY451" s="52"/>
      <c r="BA451" s="23">
        <v>2.7</v>
      </c>
    </row>
    <row r="452" spans="1:53" ht="13.5" customHeight="1">
      <c r="A452" s="56"/>
      <c r="B452" s="50"/>
      <c r="C452" s="49"/>
      <c r="D452" s="49"/>
      <c r="E452" s="49"/>
      <c r="F452" s="49"/>
      <c r="G452" s="49"/>
      <c r="H452" s="49"/>
      <c r="I452" s="51"/>
      <c r="J452" s="402"/>
      <c r="K452" s="403"/>
      <c r="L452" s="548"/>
      <c r="M452" s="548"/>
      <c r="N452" s="548"/>
      <c r="O452" s="548"/>
      <c r="P452" s="548" t="s">
        <v>593</v>
      </c>
      <c r="Q452" s="548"/>
      <c r="R452" s="548"/>
      <c r="S452" s="548"/>
      <c r="T452" s="548"/>
      <c r="U452" s="548"/>
      <c r="V452" s="548"/>
      <c r="W452" s="548"/>
      <c r="X452" s="548"/>
      <c r="Y452" s="548"/>
      <c r="Z452" s="548"/>
      <c r="AA452" s="550"/>
      <c r="AB452" s="550"/>
      <c r="AC452" s="550"/>
      <c r="AD452" s="550"/>
      <c r="AE452" s="550"/>
      <c r="AF452" s="550"/>
      <c r="AG452" s="550"/>
      <c r="AH452" s="550"/>
      <c r="AI452" s="550"/>
      <c r="AJ452" s="550"/>
      <c r="AK452" s="550"/>
      <c r="AL452" s="550"/>
      <c r="AM452" s="550"/>
      <c r="AN452" s="550"/>
      <c r="AO452" s="550"/>
      <c r="AP452" s="407"/>
      <c r="AQ452" s="408"/>
      <c r="AR452" s="396"/>
      <c r="AS452" s="102"/>
      <c r="AT452" s="102"/>
      <c r="AU452" s="102"/>
      <c r="AV452" s="102"/>
      <c r="AW452" s="102"/>
      <c r="AX452" s="49"/>
      <c r="AY452" s="52"/>
      <c r="BA452" s="23">
        <v>2.7</v>
      </c>
    </row>
    <row r="453" spans="1:53" ht="13.5" customHeight="1">
      <c r="A453" s="56"/>
      <c r="B453" s="50"/>
      <c r="C453" s="49"/>
      <c r="D453" s="49"/>
      <c r="E453" s="49"/>
      <c r="F453" s="49"/>
      <c r="G453" s="49"/>
      <c r="H453" s="49"/>
      <c r="I453" s="51"/>
      <c r="J453" s="402"/>
      <c r="K453" s="403"/>
      <c r="L453" s="548"/>
      <c r="M453" s="548"/>
      <c r="N453" s="548"/>
      <c r="O453" s="548" t="s">
        <v>452</v>
      </c>
      <c r="P453" s="548"/>
      <c r="Q453" s="548"/>
      <c r="R453" s="548"/>
      <c r="S453" s="548"/>
      <c r="T453" s="548"/>
      <c r="U453" s="548"/>
      <c r="V453" s="548"/>
      <c r="W453" s="548"/>
      <c r="X453" s="548"/>
      <c r="Y453" s="548"/>
      <c r="Z453" s="548"/>
      <c r="AA453" s="550"/>
      <c r="AB453" s="550"/>
      <c r="AC453" s="550"/>
      <c r="AD453" s="550"/>
      <c r="AE453" s="550"/>
      <c r="AF453" s="550"/>
      <c r="AG453" s="550"/>
      <c r="AH453" s="550"/>
      <c r="AI453" s="550"/>
      <c r="AJ453" s="550"/>
      <c r="AK453" s="550"/>
      <c r="AL453" s="550"/>
      <c r="AM453" s="550"/>
      <c r="AN453" s="550"/>
      <c r="AO453" s="550"/>
      <c r="AP453" s="407"/>
      <c r="AQ453" s="408"/>
      <c r="AR453" s="396"/>
      <c r="AS453" s="102"/>
      <c r="AT453" s="102"/>
      <c r="AU453" s="102"/>
      <c r="AV453" s="102"/>
      <c r="AW453" s="102"/>
      <c r="AX453" s="49"/>
      <c r="AY453" s="52"/>
      <c r="BA453" s="23">
        <v>2.7</v>
      </c>
    </row>
    <row r="454" spans="1:53" ht="13.5" customHeight="1">
      <c r="A454" s="56"/>
      <c r="B454" s="50"/>
      <c r="C454" s="49"/>
      <c r="D454" s="49"/>
      <c r="E454" s="49"/>
      <c r="F454" s="49"/>
      <c r="G454" s="49"/>
      <c r="H454" s="49"/>
      <c r="I454" s="51"/>
      <c r="J454" s="402"/>
      <c r="K454" s="403"/>
      <c r="L454" s="548" t="s">
        <v>594</v>
      </c>
      <c r="M454" s="548"/>
      <c r="N454" s="549"/>
      <c r="O454" s="549"/>
      <c r="P454" s="549" t="s">
        <v>595</v>
      </c>
      <c r="Q454" s="549"/>
      <c r="R454" s="549"/>
      <c r="S454" s="549"/>
      <c r="T454" s="549"/>
      <c r="U454" s="549"/>
      <c r="V454" s="549"/>
      <c r="W454" s="549"/>
      <c r="X454" s="549"/>
      <c r="Y454" s="549"/>
      <c r="Z454" s="549"/>
      <c r="AA454" s="549"/>
      <c r="AB454" s="549"/>
      <c r="AC454" s="549"/>
      <c r="AD454" s="549"/>
      <c r="AE454" s="549"/>
      <c r="AF454" s="549"/>
      <c r="AG454" s="549"/>
      <c r="AH454" s="549"/>
      <c r="AI454" s="549"/>
      <c r="AJ454" s="549"/>
      <c r="AK454" s="551"/>
      <c r="AL454" s="551"/>
      <c r="AM454" s="551"/>
      <c r="AN454" s="551"/>
      <c r="AO454" s="551"/>
      <c r="AP454" s="407"/>
      <c r="AQ454" s="408"/>
      <c r="AR454" s="396"/>
      <c r="AS454" s="102"/>
      <c r="AT454" s="102"/>
      <c r="AU454" s="102"/>
      <c r="AV454" s="102"/>
      <c r="AW454" s="102"/>
      <c r="AX454" s="49"/>
      <c r="AY454" s="52"/>
      <c r="BA454" s="23">
        <v>2.7</v>
      </c>
    </row>
    <row r="455" spans="1:53" ht="13.5" customHeight="1">
      <c r="A455" s="56"/>
      <c r="B455" s="50"/>
      <c r="C455" s="49"/>
      <c r="D455" s="49"/>
      <c r="E455" s="49"/>
      <c r="F455" s="49"/>
      <c r="G455" s="49"/>
      <c r="H455" s="49"/>
      <c r="I455" s="51"/>
      <c r="J455" s="402"/>
      <c r="K455" s="403"/>
      <c r="L455" s="548" t="s">
        <v>594</v>
      </c>
      <c r="M455" s="548"/>
      <c r="N455" s="549"/>
      <c r="O455" s="549"/>
      <c r="P455" s="549" t="s">
        <v>1010</v>
      </c>
      <c r="Q455" s="549"/>
      <c r="R455" s="549"/>
      <c r="S455" s="549"/>
      <c r="T455" s="549"/>
      <c r="U455" s="549"/>
      <c r="V455" s="549"/>
      <c r="W455" s="549"/>
      <c r="X455" s="549"/>
      <c r="Y455" s="549"/>
      <c r="Z455" s="549"/>
      <c r="AA455" s="549"/>
      <c r="AB455" s="549"/>
      <c r="AC455" s="549"/>
      <c r="AD455" s="549"/>
      <c r="AE455" s="549"/>
      <c r="AF455" s="549"/>
      <c r="AG455" s="549"/>
      <c r="AH455" s="549"/>
      <c r="AI455" s="549"/>
      <c r="AJ455" s="549"/>
      <c r="AK455" s="551"/>
      <c r="AL455" s="551"/>
      <c r="AM455" s="551"/>
      <c r="AN455" s="551"/>
      <c r="AO455" s="551"/>
      <c r="AP455" s="407"/>
      <c r="AQ455" s="408"/>
      <c r="AR455" s="396"/>
      <c r="AS455" s="102"/>
      <c r="AT455" s="102"/>
      <c r="AU455" s="102"/>
      <c r="AV455" s="102"/>
      <c r="AW455" s="102"/>
      <c r="AX455" s="49"/>
      <c r="AY455" s="52"/>
      <c r="BA455" s="23">
        <v>2.7</v>
      </c>
    </row>
    <row r="456" spans="1:53" ht="13.5" customHeight="1">
      <c r="A456" s="56"/>
      <c r="B456" s="50"/>
      <c r="C456" s="49"/>
      <c r="D456" s="49"/>
      <c r="E456" s="49"/>
      <c r="F456" s="49"/>
      <c r="G456" s="49"/>
      <c r="H456" s="49"/>
      <c r="I456" s="51"/>
      <c r="J456" s="402"/>
      <c r="K456" s="403"/>
      <c r="L456" s="548" t="s">
        <v>594</v>
      </c>
      <c r="M456" s="548"/>
      <c r="N456" s="549"/>
      <c r="O456" s="549"/>
      <c r="P456" s="549" t="s">
        <v>1011</v>
      </c>
      <c r="Q456" s="549"/>
      <c r="R456" s="549"/>
      <c r="S456" s="549"/>
      <c r="T456" s="549"/>
      <c r="U456" s="549"/>
      <c r="V456" s="549"/>
      <c r="W456" s="549"/>
      <c r="X456" s="549"/>
      <c r="Y456" s="549"/>
      <c r="Z456" s="549"/>
      <c r="AA456" s="549"/>
      <c r="AB456" s="549"/>
      <c r="AC456" s="549"/>
      <c r="AD456" s="549"/>
      <c r="AE456" s="549"/>
      <c r="AF456" s="549"/>
      <c r="AG456" s="549"/>
      <c r="AH456" s="549"/>
      <c r="AI456" s="549"/>
      <c r="AJ456" s="549"/>
      <c r="AK456" s="551"/>
      <c r="AL456" s="551"/>
      <c r="AM456" s="551"/>
      <c r="AN456" s="551"/>
      <c r="AO456" s="551"/>
      <c r="AP456" s="407"/>
      <c r="AQ456" s="408"/>
      <c r="AR456" s="396"/>
      <c r="AS456" s="102"/>
      <c r="AT456" s="102"/>
      <c r="AU456" s="102"/>
      <c r="AV456" s="102"/>
      <c r="AW456" s="102"/>
      <c r="AX456" s="49"/>
      <c r="AY456" s="52"/>
      <c r="BA456" s="23">
        <v>2.7</v>
      </c>
    </row>
    <row r="457" spans="1:53" ht="13.5" customHeight="1">
      <c r="A457" s="56"/>
      <c r="B457" s="50"/>
      <c r="C457" s="49"/>
      <c r="D457" s="49"/>
      <c r="E457" s="49"/>
      <c r="F457" s="49"/>
      <c r="G457" s="49"/>
      <c r="H457" s="49"/>
      <c r="I457" s="51"/>
      <c r="J457" s="402"/>
      <c r="K457" s="403"/>
      <c r="L457" s="548" t="s">
        <v>594</v>
      </c>
      <c r="M457" s="548"/>
      <c r="N457" s="549"/>
      <c r="O457" s="549"/>
      <c r="P457" s="549" t="s">
        <v>1012</v>
      </c>
      <c r="Q457" s="549"/>
      <c r="R457" s="549"/>
      <c r="S457" s="549"/>
      <c r="T457" s="549"/>
      <c r="U457" s="549"/>
      <c r="V457" s="549"/>
      <c r="W457" s="549"/>
      <c r="X457" s="549"/>
      <c r="Y457" s="549"/>
      <c r="Z457" s="549"/>
      <c r="AA457" s="549"/>
      <c r="AB457" s="549"/>
      <c r="AC457" s="549"/>
      <c r="AD457" s="549"/>
      <c r="AE457" s="549"/>
      <c r="AF457" s="549"/>
      <c r="AG457" s="549"/>
      <c r="AH457" s="549"/>
      <c r="AI457" s="549"/>
      <c r="AJ457" s="549"/>
      <c r="AK457" s="551"/>
      <c r="AL457" s="551"/>
      <c r="AM457" s="551"/>
      <c r="AN457" s="551"/>
      <c r="AO457" s="551"/>
      <c r="AP457" s="407"/>
      <c r="AQ457" s="408"/>
      <c r="AR457" s="396"/>
      <c r="AS457" s="102"/>
      <c r="AT457" s="102"/>
      <c r="AU457" s="102"/>
      <c r="AV457" s="102"/>
      <c r="AW457" s="102"/>
      <c r="AX457" s="49"/>
      <c r="AY457" s="52"/>
      <c r="BA457" s="23">
        <v>2.7</v>
      </c>
    </row>
    <row r="458" spans="1:53" ht="13.5" customHeight="1">
      <c r="A458" s="56"/>
      <c r="B458" s="50"/>
      <c r="C458" s="49"/>
      <c r="D458" s="49"/>
      <c r="E458" s="49"/>
      <c r="F458" s="49"/>
      <c r="G458" s="49"/>
      <c r="H458" s="49"/>
      <c r="I458" s="51"/>
      <c r="J458" s="402"/>
      <c r="K458" s="403"/>
      <c r="L458" s="548" t="s">
        <v>594</v>
      </c>
      <c r="M458" s="548"/>
      <c r="N458" s="549"/>
      <c r="O458" s="549"/>
      <c r="P458" s="549" t="s">
        <v>1013</v>
      </c>
      <c r="Q458" s="549"/>
      <c r="R458" s="549"/>
      <c r="S458" s="549"/>
      <c r="T458" s="549"/>
      <c r="U458" s="549"/>
      <c r="V458" s="549"/>
      <c r="W458" s="549"/>
      <c r="X458" s="549"/>
      <c r="Y458" s="549"/>
      <c r="Z458" s="549"/>
      <c r="AA458" s="549"/>
      <c r="AB458" s="549"/>
      <c r="AC458" s="549"/>
      <c r="AD458" s="549"/>
      <c r="AE458" s="549"/>
      <c r="AF458" s="549"/>
      <c r="AG458" s="549"/>
      <c r="AH458" s="549"/>
      <c r="AI458" s="549"/>
      <c r="AJ458" s="549"/>
      <c r="AK458" s="551"/>
      <c r="AL458" s="551"/>
      <c r="AM458" s="551"/>
      <c r="AN458" s="551"/>
      <c r="AO458" s="551"/>
      <c r="AP458" s="407"/>
      <c r="AQ458" s="408"/>
      <c r="AR458" s="396"/>
      <c r="AS458" s="102"/>
      <c r="AT458" s="102"/>
      <c r="AU458" s="102"/>
      <c r="AV458" s="102"/>
      <c r="AW458" s="102"/>
      <c r="AX458" s="49"/>
      <c r="AY458" s="52"/>
      <c r="BA458" s="23">
        <v>2.7</v>
      </c>
    </row>
    <row r="459" spans="1:53" ht="13.5" customHeight="1">
      <c r="A459" s="56"/>
      <c r="B459" s="50"/>
      <c r="C459" s="49"/>
      <c r="D459" s="49"/>
      <c r="E459" s="49"/>
      <c r="F459" s="49"/>
      <c r="G459" s="49"/>
      <c r="H459" s="49"/>
      <c r="I459" s="51"/>
      <c r="J459" s="402"/>
      <c r="K459" s="403"/>
      <c r="L459" s="548" t="s">
        <v>594</v>
      </c>
      <c r="M459" s="548"/>
      <c r="N459" s="549"/>
      <c r="O459" s="549"/>
      <c r="P459" s="549" t="s">
        <v>1014</v>
      </c>
      <c r="Q459" s="549"/>
      <c r="R459" s="549"/>
      <c r="S459" s="549"/>
      <c r="T459" s="549"/>
      <c r="U459" s="549"/>
      <c r="V459" s="549"/>
      <c r="W459" s="549"/>
      <c r="X459" s="549"/>
      <c r="Y459" s="549"/>
      <c r="Z459" s="549"/>
      <c r="AA459" s="549"/>
      <c r="AB459" s="549"/>
      <c r="AC459" s="549"/>
      <c r="AD459" s="549"/>
      <c r="AE459" s="549"/>
      <c r="AF459" s="549"/>
      <c r="AG459" s="549"/>
      <c r="AH459" s="549"/>
      <c r="AI459" s="549"/>
      <c r="AJ459" s="549"/>
      <c r="AK459" s="551"/>
      <c r="AL459" s="551"/>
      <c r="AM459" s="551"/>
      <c r="AN459" s="551"/>
      <c r="AO459" s="551"/>
      <c r="AP459" s="407"/>
      <c r="AQ459" s="408"/>
      <c r="AR459" s="396"/>
      <c r="AS459" s="102"/>
      <c r="AT459" s="102"/>
      <c r="AU459" s="102"/>
      <c r="AV459" s="102"/>
      <c r="AW459" s="102"/>
      <c r="AX459" s="49"/>
      <c r="AY459" s="52"/>
      <c r="BA459" s="23">
        <v>2.7</v>
      </c>
    </row>
    <row r="460" spans="1:53" ht="13.5" customHeight="1">
      <c r="A460" s="56"/>
      <c r="B460" s="50"/>
      <c r="C460" s="49"/>
      <c r="D460" s="49"/>
      <c r="E460" s="49"/>
      <c r="F460" s="49"/>
      <c r="G460" s="49"/>
      <c r="H460" s="49"/>
      <c r="I460" s="51"/>
      <c r="J460" s="402"/>
      <c r="K460" s="403"/>
      <c r="L460" s="548" t="s">
        <v>594</v>
      </c>
      <c r="M460" s="548"/>
      <c r="N460" s="549"/>
      <c r="O460" s="549"/>
      <c r="P460" s="549" t="s">
        <v>1015</v>
      </c>
      <c r="Q460" s="549"/>
      <c r="R460" s="549"/>
      <c r="S460" s="549"/>
      <c r="T460" s="549"/>
      <c r="U460" s="549"/>
      <c r="V460" s="549"/>
      <c r="W460" s="549"/>
      <c r="X460" s="549"/>
      <c r="Y460" s="549"/>
      <c r="Z460" s="549"/>
      <c r="AA460" s="549"/>
      <c r="AB460" s="549"/>
      <c r="AC460" s="549"/>
      <c r="AD460" s="549"/>
      <c r="AE460" s="549"/>
      <c r="AF460" s="549"/>
      <c r="AG460" s="549"/>
      <c r="AH460" s="549"/>
      <c r="AI460" s="549"/>
      <c r="AJ460" s="549"/>
      <c r="AK460" s="551"/>
      <c r="AL460" s="551"/>
      <c r="AM460" s="551"/>
      <c r="AN460" s="551"/>
      <c r="AO460" s="551"/>
      <c r="AP460" s="407"/>
      <c r="AQ460" s="408"/>
      <c r="AR460" s="396"/>
      <c r="AS460" s="102"/>
      <c r="AT460" s="102"/>
      <c r="AU460" s="102"/>
      <c r="AV460" s="102"/>
      <c r="AW460" s="102"/>
      <c r="AX460" s="49"/>
      <c r="AY460" s="52"/>
      <c r="BA460" s="23">
        <v>2.7</v>
      </c>
    </row>
    <row r="461" spans="1:53" ht="13.5" customHeight="1">
      <c r="A461" s="56"/>
      <c r="B461" s="50"/>
      <c r="C461" s="49"/>
      <c r="D461" s="49"/>
      <c r="E461" s="49"/>
      <c r="F461" s="49"/>
      <c r="G461" s="49"/>
      <c r="H461" s="49"/>
      <c r="I461" s="51"/>
      <c r="J461" s="402"/>
      <c r="K461" s="403"/>
      <c r="L461" s="548" t="s">
        <v>594</v>
      </c>
      <c r="M461" s="548"/>
      <c r="N461" s="549"/>
      <c r="O461" s="549"/>
      <c r="P461" s="549" t="s">
        <v>1016</v>
      </c>
      <c r="Q461" s="549"/>
      <c r="R461" s="549"/>
      <c r="S461" s="549"/>
      <c r="T461" s="549"/>
      <c r="U461" s="549"/>
      <c r="V461" s="549"/>
      <c r="W461" s="549"/>
      <c r="X461" s="549"/>
      <c r="Y461" s="549"/>
      <c r="Z461" s="549"/>
      <c r="AA461" s="549"/>
      <c r="AB461" s="549"/>
      <c r="AC461" s="549"/>
      <c r="AD461" s="549"/>
      <c r="AE461" s="549"/>
      <c r="AF461" s="549"/>
      <c r="AG461" s="549"/>
      <c r="AH461" s="549"/>
      <c r="AI461" s="549"/>
      <c r="AJ461" s="549"/>
      <c r="AK461" s="551"/>
      <c r="AL461" s="551"/>
      <c r="AM461" s="551"/>
      <c r="AN461" s="551"/>
      <c r="AO461" s="551"/>
      <c r="AP461" s="407"/>
      <c r="AQ461" s="408"/>
      <c r="AR461" s="396"/>
      <c r="AS461" s="102"/>
      <c r="AT461" s="102"/>
      <c r="AU461" s="102"/>
      <c r="AV461" s="102"/>
      <c r="AW461" s="102"/>
      <c r="AX461" s="49"/>
      <c r="AY461" s="52"/>
      <c r="BA461" s="23">
        <v>2.7</v>
      </c>
    </row>
    <row r="462" spans="1:53" ht="13.5" customHeight="1">
      <c r="A462" s="56"/>
      <c r="B462" s="50"/>
      <c r="C462" s="49"/>
      <c r="D462" s="49"/>
      <c r="E462" s="49"/>
      <c r="F462" s="49"/>
      <c r="G462" s="49"/>
      <c r="H462" s="49"/>
      <c r="I462" s="51"/>
      <c r="J462" s="402"/>
      <c r="K462" s="403"/>
      <c r="L462" s="548" t="s">
        <v>594</v>
      </c>
      <c r="M462" s="548"/>
      <c r="N462" s="549"/>
      <c r="O462" s="549"/>
      <c r="P462" s="549" t="s">
        <v>1017</v>
      </c>
      <c r="Q462" s="549"/>
      <c r="R462" s="549"/>
      <c r="S462" s="549"/>
      <c r="T462" s="549"/>
      <c r="U462" s="549"/>
      <c r="V462" s="549"/>
      <c r="W462" s="549"/>
      <c r="X462" s="549"/>
      <c r="Y462" s="549"/>
      <c r="Z462" s="549"/>
      <c r="AA462" s="549"/>
      <c r="AB462" s="549"/>
      <c r="AC462" s="549"/>
      <c r="AD462" s="549"/>
      <c r="AE462" s="549"/>
      <c r="AF462" s="549"/>
      <c r="AG462" s="549"/>
      <c r="AH462" s="549"/>
      <c r="AI462" s="549"/>
      <c r="AJ462" s="549"/>
      <c r="AK462" s="551"/>
      <c r="AL462" s="551"/>
      <c r="AM462" s="551"/>
      <c r="AN462" s="551"/>
      <c r="AO462" s="551"/>
      <c r="AP462" s="407"/>
      <c r="AQ462" s="408"/>
      <c r="AR462" s="396"/>
      <c r="AS462" s="102"/>
      <c r="AT462" s="102"/>
      <c r="AU462" s="102"/>
      <c r="AV462" s="102"/>
      <c r="AW462" s="102"/>
      <c r="AX462" s="49"/>
      <c r="AY462" s="52"/>
      <c r="BA462" s="23">
        <v>2.7</v>
      </c>
    </row>
    <row r="463" spans="1:53" ht="13.5" customHeight="1">
      <c r="A463" s="56"/>
      <c r="B463" s="50"/>
      <c r="C463" s="49"/>
      <c r="D463" s="49"/>
      <c r="E463" s="49"/>
      <c r="F463" s="49"/>
      <c r="G463" s="49"/>
      <c r="H463" s="49"/>
      <c r="I463" s="51"/>
      <c r="J463" s="402"/>
      <c r="K463" s="403"/>
      <c r="L463" s="548" t="s">
        <v>594</v>
      </c>
      <c r="M463" s="548"/>
      <c r="N463" s="548"/>
      <c r="O463" s="548"/>
      <c r="P463" s="548" t="s">
        <v>1018</v>
      </c>
      <c r="Q463" s="548"/>
      <c r="R463" s="548"/>
      <c r="S463" s="548"/>
      <c r="T463" s="548"/>
      <c r="U463" s="548"/>
      <c r="V463" s="548"/>
      <c r="W463" s="548"/>
      <c r="X463" s="548"/>
      <c r="Y463" s="548"/>
      <c r="Z463" s="548"/>
      <c r="AA463" s="550"/>
      <c r="AB463" s="550"/>
      <c r="AC463" s="550"/>
      <c r="AD463" s="550"/>
      <c r="AE463" s="550"/>
      <c r="AF463" s="550"/>
      <c r="AG463" s="550"/>
      <c r="AH463" s="550"/>
      <c r="AI463" s="550"/>
      <c r="AJ463" s="550"/>
      <c r="AK463" s="550"/>
      <c r="AL463" s="550"/>
      <c r="AM463" s="550"/>
      <c r="AN463" s="550"/>
      <c r="AO463" s="550"/>
      <c r="AP463" s="407"/>
      <c r="AQ463" s="408"/>
      <c r="AR463" s="396"/>
      <c r="AS463" s="102"/>
      <c r="AT463" s="102"/>
      <c r="AU463" s="102"/>
      <c r="AV463" s="102"/>
      <c r="AW463" s="102"/>
      <c r="AX463" s="49"/>
      <c r="AY463" s="52"/>
      <c r="BA463" s="23">
        <v>2.7</v>
      </c>
    </row>
    <row r="464" spans="1:53" ht="13.5" customHeight="1">
      <c r="A464" s="56"/>
      <c r="B464" s="50"/>
      <c r="C464" s="49"/>
      <c r="D464" s="49"/>
      <c r="E464" s="49"/>
      <c r="F464" s="49"/>
      <c r="G464" s="49"/>
      <c r="H464" s="49"/>
      <c r="I464" s="51"/>
      <c r="J464" s="402"/>
      <c r="K464" s="403"/>
      <c r="L464" s="548" t="s">
        <v>594</v>
      </c>
      <c r="M464" s="548"/>
      <c r="N464" s="548"/>
      <c r="O464" s="548"/>
      <c r="P464" s="548" t="s">
        <v>1019</v>
      </c>
      <c r="Q464" s="548"/>
      <c r="R464" s="548"/>
      <c r="S464" s="548"/>
      <c r="T464" s="548"/>
      <c r="U464" s="548"/>
      <c r="V464" s="548"/>
      <c r="W464" s="548"/>
      <c r="X464" s="548"/>
      <c r="Y464" s="548"/>
      <c r="Z464" s="548"/>
      <c r="AA464" s="550"/>
      <c r="AB464" s="550"/>
      <c r="AC464" s="550"/>
      <c r="AD464" s="550"/>
      <c r="AE464" s="550"/>
      <c r="AF464" s="550"/>
      <c r="AG464" s="550"/>
      <c r="AH464" s="550"/>
      <c r="AI464" s="550"/>
      <c r="AJ464" s="550"/>
      <c r="AK464" s="550"/>
      <c r="AL464" s="550"/>
      <c r="AM464" s="550"/>
      <c r="AN464" s="550"/>
      <c r="AO464" s="550"/>
      <c r="AP464" s="407"/>
      <c r="AQ464" s="408"/>
      <c r="AR464" s="396"/>
      <c r="AS464" s="102"/>
      <c r="AT464" s="102"/>
      <c r="AU464" s="102"/>
      <c r="AV464" s="102"/>
      <c r="AW464" s="102"/>
      <c r="AX464" s="49"/>
      <c r="AY464" s="52"/>
      <c r="BA464" s="23">
        <v>2.7</v>
      </c>
    </row>
    <row r="465" spans="1:53" ht="13.5" customHeight="1">
      <c r="A465" s="56"/>
      <c r="B465" s="50"/>
      <c r="C465" s="49"/>
      <c r="D465" s="49"/>
      <c r="E465" s="49"/>
      <c r="F465" s="49"/>
      <c r="G465" s="49"/>
      <c r="H465" s="49"/>
      <c r="I465" s="51"/>
      <c r="J465" s="402"/>
      <c r="K465" s="403"/>
      <c r="L465" s="548"/>
      <c r="M465" s="548"/>
      <c r="N465" s="549"/>
      <c r="O465" s="549"/>
      <c r="P465" s="548"/>
      <c r="Q465" s="548"/>
      <c r="R465" s="548"/>
      <c r="S465" s="548"/>
      <c r="T465" s="548"/>
      <c r="U465" s="548"/>
      <c r="V465" s="548"/>
      <c r="W465" s="548"/>
      <c r="X465" s="548"/>
      <c r="Y465" s="548"/>
      <c r="Z465" s="548"/>
      <c r="AA465" s="550"/>
      <c r="AB465" s="550"/>
      <c r="AC465" s="550"/>
      <c r="AD465" s="550"/>
      <c r="AE465" s="550"/>
      <c r="AF465" s="550"/>
      <c r="AG465" s="550"/>
      <c r="AH465" s="550"/>
      <c r="AI465" s="550"/>
      <c r="AJ465" s="550"/>
      <c r="AK465" s="550"/>
      <c r="AL465" s="550"/>
      <c r="AM465" s="550"/>
      <c r="AN465" s="550"/>
      <c r="AO465" s="550"/>
      <c r="AP465" s="407"/>
      <c r="AQ465" s="408"/>
      <c r="AR465" s="396"/>
      <c r="AS465" s="102"/>
      <c r="AT465" s="102"/>
      <c r="AU465" s="102"/>
      <c r="AV465" s="102"/>
      <c r="AW465" s="102"/>
      <c r="AX465" s="49"/>
      <c r="AY465" s="52"/>
      <c r="BA465" s="23">
        <v>2.7</v>
      </c>
    </row>
    <row r="466" spans="1:53" ht="13.5" customHeight="1">
      <c r="A466" s="56"/>
      <c r="B466" s="50"/>
      <c r="C466" s="49"/>
      <c r="D466" s="49"/>
      <c r="E466" s="49"/>
      <c r="F466" s="49"/>
      <c r="G466" s="49"/>
      <c r="H466" s="49"/>
      <c r="I466" s="51"/>
      <c r="J466" s="402"/>
      <c r="K466" s="403"/>
      <c r="L466" s="548"/>
      <c r="M466" s="548"/>
      <c r="N466" s="549"/>
      <c r="O466" s="549"/>
      <c r="P466" s="548" t="s">
        <v>1030</v>
      </c>
      <c r="Q466" s="548"/>
      <c r="R466" s="548"/>
      <c r="S466" s="548"/>
      <c r="T466" s="548"/>
      <c r="U466" s="548"/>
      <c r="V466" s="548"/>
      <c r="W466" s="548"/>
      <c r="X466" s="548"/>
      <c r="Y466" s="548"/>
      <c r="Z466" s="548"/>
      <c r="AA466" s="550"/>
      <c r="AB466" s="550"/>
      <c r="AC466" s="550"/>
      <c r="AD466" s="550"/>
      <c r="AE466" s="550"/>
      <c r="AF466" s="550"/>
      <c r="AG466" s="550"/>
      <c r="AH466" s="550"/>
      <c r="AI466" s="550"/>
      <c r="AJ466" s="550"/>
      <c r="AK466" s="550"/>
      <c r="AL466" s="550"/>
      <c r="AM466" s="550"/>
      <c r="AN466" s="550"/>
      <c r="AO466" s="550"/>
      <c r="AP466" s="407"/>
      <c r="AQ466" s="408"/>
      <c r="AR466" s="396"/>
      <c r="AS466" s="102"/>
      <c r="AT466" s="102"/>
      <c r="AU466" s="102"/>
      <c r="AV466" s="102"/>
      <c r="AW466" s="102"/>
      <c r="AX466" s="49"/>
      <c r="AY466" s="52"/>
      <c r="BA466" s="23">
        <v>2.7</v>
      </c>
    </row>
    <row r="467" spans="1:53" ht="13.5" customHeight="1">
      <c r="A467" s="56"/>
      <c r="B467" s="50"/>
      <c r="C467" s="49"/>
      <c r="D467" s="49"/>
      <c r="E467" s="49"/>
      <c r="F467" s="49"/>
      <c r="G467" s="49"/>
      <c r="H467" s="49"/>
      <c r="I467" s="51"/>
      <c r="J467" s="402"/>
      <c r="K467" s="403"/>
      <c r="L467" s="548"/>
      <c r="M467" s="548"/>
      <c r="N467" s="549"/>
      <c r="O467" s="549"/>
      <c r="P467" s="548"/>
      <c r="Q467" s="548" t="s">
        <v>1031</v>
      </c>
      <c r="R467" s="548"/>
      <c r="S467" s="548"/>
      <c r="T467" s="548"/>
      <c r="U467" s="548"/>
      <c r="V467" s="548"/>
      <c r="W467" s="548"/>
      <c r="X467" s="548"/>
      <c r="Y467" s="548"/>
      <c r="Z467" s="548"/>
      <c r="AA467" s="550"/>
      <c r="AB467" s="550"/>
      <c r="AC467" s="550"/>
      <c r="AD467" s="550"/>
      <c r="AE467" s="550"/>
      <c r="AF467" s="550"/>
      <c r="AG467" s="550"/>
      <c r="AH467" s="550"/>
      <c r="AI467" s="550"/>
      <c r="AJ467" s="550"/>
      <c r="AK467" s="550"/>
      <c r="AL467" s="550"/>
      <c r="AM467" s="550"/>
      <c r="AN467" s="550"/>
      <c r="AO467" s="550"/>
      <c r="AP467" s="407"/>
      <c r="AQ467" s="408"/>
      <c r="AR467" s="396"/>
      <c r="AS467" s="102"/>
      <c r="AT467" s="102"/>
      <c r="AU467" s="102"/>
      <c r="AV467" s="102"/>
      <c r="AW467" s="102"/>
      <c r="AX467" s="49"/>
      <c r="AY467" s="52"/>
      <c r="BA467" s="23">
        <v>2.7</v>
      </c>
    </row>
    <row r="468" spans="1:53" ht="13.5" customHeight="1">
      <c r="A468" s="56"/>
      <c r="B468" s="50"/>
      <c r="C468" s="49"/>
      <c r="D468" s="49"/>
      <c r="E468" s="49"/>
      <c r="F468" s="49"/>
      <c r="G468" s="49"/>
      <c r="H468" s="49"/>
      <c r="I468" s="51"/>
      <c r="J468" s="402"/>
      <c r="K468" s="403"/>
      <c r="L468" s="548"/>
      <c r="M468" s="548"/>
      <c r="N468" s="549"/>
      <c r="O468" s="549"/>
      <c r="P468" s="548"/>
      <c r="Q468" s="548"/>
      <c r="R468" s="548"/>
      <c r="S468" s="548"/>
      <c r="T468" s="548"/>
      <c r="U468" s="548"/>
      <c r="V468" s="548"/>
      <c r="W468" s="548"/>
      <c r="X468" s="548"/>
      <c r="Y468" s="548"/>
      <c r="Z468" s="548"/>
      <c r="AA468" s="550"/>
      <c r="AB468" s="550"/>
      <c r="AC468" s="550"/>
      <c r="AD468" s="550" t="s">
        <v>1020</v>
      </c>
      <c r="AE468" s="550"/>
      <c r="AF468" s="550"/>
      <c r="AG468" s="550"/>
      <c r="AH468" s="550"/>
      <c r="AI468" s="550"/>
      <c r="AJ468" s="550"/>
      <c r="AK468" s="550"/>
      <c r="AL468" s="550"/>
      <c r="AM468" s="550"/>
      <c r="AN468" s="550"/>
      <c r="AO468" s="550"/>
      <c r="AP468" s="407"/>
      <c r="AQ468" s="408"/>
      <c r="AR468" s="396"/>
      <c r="AS468" s="102"/>
      <c r="AT468" s="102"/>
      <c r="AU468" s="102"/>
      <c r="AV468" s="102"/>
      <c r="AW468" s="102"/>
      <c r="AX468" s="49"/>
      <c r="AY468" s="52"/>
      <c r="BA468" s="23">
        <v>2.7</v>
      </c>
    </row>
    <row r="469" spans="1:53" ht="13.5" customHeight="1">
      <c r="A469" s="56"/>
      <c r="B469" s="50"/>
      <c r="C469" s="49"/>
      <c r="D469" s="49"/>
      <c r="E469" s="49"/>
      <c r="F469" s="49"/>
      <c r="G469" s="49"/>
      <c r="H469" s="49"/>
      <c r="I469" s="51"/>
      <c r="J469" s="402"/>
      <c r="K469" s="403"/>
      <c r="L469" s="548"/>
      <c r="M469" s="548"/>
      <c r="N469" s="549"/>
      <c r="O469" s="549"/>
      <c r="P469" s="548" t="s">
        <v>1029</v>
      </c>
      <c r="Q469" s="548"/>
      <c r="R469" s="548"/>
      <c r="S469" s="548"/>
      <c r="T469" s="548"/>
      <c r="U469" s="548"/>
      <c r="V469" s="548"/>
      <c r="W469" s="548"/>
      <c r="X469" s="548"/>
      <c r="Y469" s="548"/>
      <c r="Z469" s="548"/>
      <c r="AA469" s="550"/>
      <c r="AB469" s="550"/>
      <c r="AC469" s="550"/>
      <c r="AD469" s="550"/>
      <c r="AE469" s="550"/>
      <c r="AF469" s="550"/>
      <c r="AG469" s="550"/>
      <c r="AH469" s="550"/>
      <c r="AI469" s="550"/>
      <c r="AJ469" s="550"/>
      <c r="AK469" s="550"/>
      <c r="AL469" s="550"/>
      <c r="AM469" s="550"/>
      <c r="AN469" s="550"/>
      <c r="AO469" s="550"/>
      <c r="AP469" s="407"/>
      <c r="AQ469" s="408"/>
      <c r="AR469" s="396"/>
      <c r="AS469" s="102"/>
      <c r="AT469" s="102"/>
      <c r="AU469" s="102"/>
      <c r="AV469" s="102"/>
      <c r="AW469" s="102"/>
      <c r="AX469" s="49"/>
      <c r="AY469" s="52"/>
      <c r="BA469" s="23">
        <v>2.7</v>
      </c>
    </row>
    <row r="470" spans="1:53" ht="13.5" customHeight="1">
      <c r="A470" s="56"/>
      <c r="B470" s="50"/>
      <c r="C470" s="49"/>
      <c r="D470" s="49"/>
      <c r="E470" s="49"/>
      <c r="F470" s="49"/>
      <c r="G470" s="49"/>
      <c r="H470" s="49"/>
      <c r="I470" s="51"/>
      <c r="J470" s="402"/>
      <c r="K470" s="403"/>
      <c r="L470" s="548"/>
      <c r="M470" s="548"/>
      <c r="N470" s="549"/>
      <c r="O470" s="549"/>
      <c r="P470" s="548"/>
      <c r="Q470" s="548" t="s">
        <v>1028</v>
      </c>
      <c r="R470" s="548"/>
      <c r="S470" s="548"/>
      <c r="T470" s="548"/>
      <c r="U470" s="548"/>
      <c r="V470" s="548"/>
      <c r="W470" s="548"/>
      <c r="X470" s="548"/>
      <c r="Y470" s="548"/>
      <c r="Z470" s="548"/>
      <c r="AA470" s="550"/>
      <c r="AB470" s="550"/>
      <c r="AC470" s="550"/>
      <c r="AD470" s="550"/>
      <c r="AE470" s="550"/>
      <c r="AF470" s="550"/>
      <c r="AG470" s="550"/>
      <c r="AH470" s="550"/>
      <c r="AI470" s="550"/>
      <c r="AJ470" s="550"/>
      <c r="AK470" s="550"/>
      <c r="AL470" s="550"/>
      <c r="AM470" s="550"/>
      <c r="AN470" s="550"/>
      <c r="AO470" s="550"/>
      <c r="AP470" s="407"/>
      <c r="AQ470" s="408"/>
      <c r="AR470" s="396"/>
      <c r="AS470" s="102"/>
      <c r="AT470" s="102"/>
      <c r="AU470" s="102"/>
      <c r="AV470" s="102"/>
      <c r="AW470" s="102"/>
      <c r="AX470" s="49"/>
      <c r="AY470" s="52"/>
      <c r="BA470" s="23">
        <v>2.7</v>
      </c>
    </row>
    <row r="471" spans="1:53" ht="13.5" customHeight="1">
      <c r="A471" s="56"/>
      <c r="B471" s="50"/>
      <c r="C471" s="49"/>
      <c r="D471" s="49"/>
      <c r="E471" s="49"/>
      <c r="F471" s="49"/>
      <c r="G471" s="49"/>
      <c r="H471" s="49"/>
      <c r="I471" s="51"/>
      <c r="J471" s="424"/>
      <c r="K471" s="425"/>
      <c r="L471" s="548"/>
      <c r="M471" s="548"/>
      <c r="N471" s="549"/>
      <c r="O471" s="549"/>
      <c r="P471" s="548"/>
      <c r="Q471" s="548"/>
      <c r="R471" s="548"/>
      <c r="S471" s="548"/>
      <c r="T471" s="548"/>
      <c r="U471" s="548"/>
      <c r="V471" s="548"/>
      <c r="W471" s="548"/>
      <c r="X471" s="548"/>
      <c r="Y471" s="548"/>
      <c r="Z471" s="548"/>
      <c r="AA471" s="550"/>
      <c r="AB471" s="550"/>
      <c r="AC471" s="550"/>
      <c r="AD471" s="550"/>
      <c r="AE471" s="550"/>
      <c r="AF471" s="550"/>
      <c r="AG471" s="550"/>
      <c r="AH471" s="550"/>
      <c r="AI471" s="550"/>
      <c r="AJ471" s="550"/>
      <c r="AK471" s="550"/>
      <c r="AL471" s="550"/>
      <c r="AM471" s="550"/>
      <c r="AN471" s="550"/>
      <c r="AO471" s="550"/>
      <c r="AP471" s="407"/>
      <c r="AQ471" s="408"/>
      <c r="AR471" s="396"/>
      <c r="AS471" s="102"/>
      <c r="AT471" s="102"/>
      <c r="AU471" s="102"/>
      <c r="AV471" s="102"/>
      <c r="AW471" s="102"/>
      <c r="AX471" s="49"/>
      <c r="AY471" s="52"/>
    </row>
    <row r="472" spans="1:53" ht="13.5" customHeight="1">
      <c r="A472" s="56"/>
      <c r="B472" s="50"/>
      <c r="C472" s="49"/>
      <c r="D472" s="49"/>
      <c r="E472" s="49"/>
      <c r="F472" s="49"/>
      <c r="G472" s="49"/>
      <c r="H472" s="49"/>
      <c r="I472" s="51"/>
      <c r="J472" s="424"/>
      <c r="K472" s="425"/>
      <c r="L472" s="548"/>
      <c r="M472" s="548"/>
      <c r="N472" s="549" t="s">
        <v>1074</v>
      </c>
      <c r="O472" s="549"/>
      <c r="P472" s="548"/>
      <c r="Q472" s="548"/>
      <c r="R472" s="548"/>
      <c r="S472" s="548"/>
      <c r="T472" s="548"/>
      <c r="U472" s="548"/>
      <c r="V472" s="548"/>
      <c r="W472" s="548"/>
      <c r="X472" s="548"/>
      <c r="Y472" s="548"/>
      <c r="Z472" s="548"/>
      <c r="AA472" s="550"/>
      <c r="AB472" s="550"/>
      <c r="AC472" s="550"/>
      <c r="AD472" s="550"/>
      <c r="AE472" s="550"/>
      <c r="AF472" s="550"/>
      <c r="AG472" s="550"/>
      <c r="AH472" s="550"/>
      <c r="AI472" s="550"/>
      <c r="AJ472" s="550"/>
      <c r="AK472" s="550"/>
      <c r="AL472" s="550"/>
      <c r="AM472" s="550"/>
      <c r="AN472" s="550"/>
      <c r="AO472" s="550"/>
      <c r="AP472" s="407"/>
      <c r="AQ472" s="408"/>
      <c r="AR472" s="396"/>
      <c r="AS472" s="102"/>
      <c r="AT472" s="102"/>
      <c r="AU472" s="102"/>
      <c r="AV472" s="102"/>
      <c r="AW472" s="102"/>
      <c r="AX472" s="49"/>
      <c r="AY472" s="52"/>
      <c r="BA472" s="23">
        <v>3.2</v>
      </c>
    </row>
    <row r="473" spans="1:53" ht="13.5" customHeight="1">
      <c r="A473" s="56"/>
      <c r="B473" s="50"/>
      <c r="C473" s="49"/>
      <c r="D473" s="49"/>
      <c r="E473" s="49"/>
      <c r="F473" s="49"/>
      <c r="G473" s="49"/>
      <c r="H473" s="49"/>
      <c r="I473" s="51"/>
      <c r="J473" s="424"/>
      <c r="K473" s="425"/>
      <c r="L473" s="548"/>
      <c r="M473" s="548"/>
      <c r="N473" s="549"/>
      <c r="O473" s="552" t="s">
        <v>1075</v>
      </c>
      <c r="P473" s="548"/>
      <c r="Q473" s="548"/>
      <c r="R473" s="548"/>
      <c r="S473" s="548"/>
      <c r="T473" s="548"/>
      <c r="U473" s="548"/>
      <c r="V473" s="548"/>
      <c r="W473" s="548"/>
      <c r="X473" s="548"/>
      <c r="Y473" s="548"/>
      <c r="Z473" s="548"/>
      <c r="AA473" s="550"/>
      <c r="AB473" s="550"/>
      <c r="AC473" s="550"/>
      <c r="AD473" s="550"/>
      <c r="AE473" s="550"/>
      <c r="AF473" s="550"/>
      <c r="AG473" s="550"/>
      <c r="AH473" s="550"/>
      <c r="AI473" s="550"/>
      <c r="AJ473" s="550"/>
      <c r="AK473" s="550"/>
      <c r="AL473" s="550"/>
      <c r="AM473" s="550"/>
      <c r="AN473" s="550"/>
      <c r="AO473" s="550"/>
      <c r="AP473" s="407"/>
      <c r="AQ473" s="408"/>
      <c r="AR473" s="396"/>
      <c r="AS473" s="102"/>
      <c r="AT473" s="102"/>
      <c r="AU473" s="102"/>
      <c r="AV473" s="102"/>
      <c r="AW473" s="102"/>
      <c r="AX473" s="49"/>
      <c r="AY473" s="52"/>
      <c r="BA473" s="23">
        <v>3.2</v>
      </c>
    </row>
    <row r="474" spans="1:53" ht="13.5" customHeight="1">
      <c r="A474" s="56"/>
      <c r="B474" s="50"/>
      <c r="C474" s="49"/>
      <c r="D474" s="49"/>
      <c r="E474" s="49"/>
      <c r="F474" s="49"/>
      <c r="G474" s="49"/>
      <c r="H474" s="49"/>
      <c r="I474" s="51"/>
      <c r="J474" s="424"/>
      <c r="K474" s="425"/>
      <c r="L474" s="548"/>
      <c r="M474" s="548"/>
      <c r="N474" s="549"/>
      <c r="O474" s="543" t="s">
        <v>689</v>
      </c>
      <c r="P474" s="548"/>
      <c r="Q474" s="548"/>
      <c r="R474" s="548"/>
      <c r="S474" s="548"/>
      <c r="T474" s="548"/>
      <c r="U474" s="548"/>
      <c r="V474" s="548"/>
      <c r="W474" s="548"/>
      <c r="X474" s="548"/>
      <c r="Y474" s="548"/>
      <c r="Z474" s="548"/>
      <c r="AA474" s="550"/>
      <c r="AB474" s="550"/>
      <c r="AC474" s="550"/>
      <c r="AD474" s="550"/>
      <c r="AE474" s="550"/>
      <c r="AF474" s="550"/>
      <c r="AG474" s="550"/>
      <c r="AH474" s="550"/>
      <c r="AI474" s="550"/>
      <c r="AJ474" s="550"/>
      <c r="AK474" s="550"/>
      <c r="AL474" s="550"/>
      <c r="AM474" s="550"/>
      <c r="AN474" s="550"/>
      <c r="AO474" s="550"/>
      <c r="AP474" s="407"/>
      <c r="AQ474" s="408"/>
      <c r="AR474" s="208" t="s">
        <v>802</v>
      </c>
      <c r="AS474" s="102"/>
      <c r="AT474" s="102"/>
      <c r="AU474" s="102"/>
      <c r="AV474" s="102"/>
      <c r="AW474" s="102"/>
      <c r="AX474" s="49"/>
      <c r="AY474" s="52"/>
      <c r="BA474" s="23">
        <v>3.2</v>
      </c>
    </row>
    <row r="475" spans="1:53" ht="13.5" customHeight="1">
      <c r="A475" s="56"/>
      <c r="B475" s="50"/>
      <c r="C475" s="49"/>
      <c r="D475" s="49"/>
      <c r="E475" s="49"/>
      <c r="F475" s="49"/>
      <c r="G475" s="49"/>
      <c r="H475" s="49"/>
      <c r="I475" s="51"/>
      <c r="J475" s="424"/>
      <c r="K475" s="425"/>
      <c r="L475" s="548"/>
      <c r="M475" s="548"/>
      <c r="N475" s="549"/>
      <c r="O475" s="543"/>
      <c r="P475" s="548"/>
      <c r="Q475" s="548"/>
      <c r="R475" s="548"/>
      <c r="S475" s="548"/>
      <c r="T475" s="548"/>
      <c r="U475" s="548"/>
      <c r="V475" s="548"/>
      <c r="W475" s="548"/>
      <c r="X475" s="548"/>
      <c r="Y475" s="548"/>
      <c r="Z475" s="548"/>
      <c r="AA475" s="550"/>
      <c r="AB475" s="550"/>
      <c r="AC475" s="550"/>
      <c r="AD475" s="550"/>
      <c r="AE475" s="550"/>
      <c r="AF475" s="550"/>
      <c r="AG475" s="550"/>
      <c r="AH475" s="550"/>
      <c r="AI475" s="550"/>
      <c r="AJ475" s="550"/>
      <c r="AK475" s="550"/>
      <c r="AL475" s="550"/>
      <c r="AM475" s="550"/>
      <c r="AN475" s="550"/>
      <c r="AO475" s="550"/>
      <c r="AP475" s="407"/>
      <c r="AQ475" s="408"/>
      <c r="AR475" s="396"/>
      <c r="AS475" s="102"/>
      <c r="AT475" s="102"/>
      <c r="AU475" s="102"/>
      <c r="AV475" s="102"/>
      <c r="AW475" s="102"/>
      <c r="AX475" s="49"/>
      <c r="AY475" s="52"/>
    </row>
    <row r="476" spans="1:53" ht="13.5" customHeight="1">
      <c r="A476" s="56"/>
      <c r="B476" s="50"/>
      <c r="C476" s="49"/>
      <c r="D476" s="49"/>
      <c r="E476" s="49"/>
      <c r="F476" s="49"/>
      <c r="G476" s="49"/>
      <c r="H476" s="49"/>
      <c r="I476" s="51"/>
      <c r="J476" s="424"/>
      <c r="K476" s="425"/>
      <c r="L476" s="548"/>
      <c r="M476" s="548"/>
      <c r="N476" s="549"/>
      <c r="O476" s="549"/>
      <c r="P476" s="548"/>
      <c r="Q476" s="548"/>
      <c r="R476" s="548"/>
      <c r="S476" s="548"/>
      <c r="T476" s="548"/>
      <c r="U476" s="548"/>
      <c r="V476" s="548"/>
      <c r="W476" s="548"/>
      <c r="X476" s="548"/>
      <c r="Y476" s="548"/>
      <c r="Z476" s="548"/>
      <c r="AA476" s="550"/>
      <c r="AB476" s="550"/>
      <c r="AC476" s="550"/>
      <c r="AD476" s="550"/>
      <c r="AE476" s="550"/>
      <c r="AF476" s="550"/>
      <c r="AG476" s="550"/>
      <c r="AH476" s="550"/>
      <c r="AI476" s="550"/>
      <c r="AJ476" s="550"/>
      <c r="AK476" s="550"/>
      <c r="AL476" s="550"/>
      <c r="AM476" s="550"/>
      <c r="AN476" s="550"/>
      <c r="AO476" s="550"/>
      <c r="AP476" s="407"/>
      <c r="AQ476" s="408"/>
      <c r="AR476" s="396"/>
      <c r="AS476" s="102"/>
      <c r="AT476" s="102"/>
      <c r="AU476" s="102"/>
      <c r="AV476" s="102"/>
      <c r="AW476" s="102"/>
      <c r="AX476" s="49"/>
      <c r="AY476" s="52"/>
    </row>
    <row r="477" spans="1:53" ht="13.5" customHeight="1">
      <c r="A477" s="56"/>
      <c r="B477" s="50"/>
      <c r="C477" s="49"/>
      <c r="D477" s="49"/>
      <c r="E477" s="49"/>
      <c r="F477" s="49"/>
      <c r="G477" s="49"/>
      <c r="H477" s="49"/>
      <c r="I477" s="51"/>
      <c r="J477" s="424"/>
      <c r="K477" s="425"/>
      <c r="L477" s="548"/>
      <c r="M477" s="505"/>
      <c r="N477" s="505" t="s">
        <v>450</v>
      </c>
      <c r="O477" s="543"/>
      <c r="P477" s="505"/>
      <c r="Q477" s="505"/>
      <c r="R477" s="505"/>
      <c r="S477" s="139"/>
      <c r="T477" s="139"/>
      <c r="U477" s="139"/>
      <c r="V477" s="139"/>
      <c r="W477" s="139"/>
      <c r="X477" s="139"/>
      <c r="Y477" s="139"/>
      <c r="Z477" s="139"/>
      <c r="AA477" s="139"/>
      <c r="AB477" s="139"/>
      <c r="AC477" s="139"/>
      <c r="AD477" s="139"/>
      <c r="AE477" s="139"/>
      <c r="AF477" s="139"/>
      <c r="AG477" s="139"/>
      <c r="AH477" s="139"/>
      <c r="AI477" s="139"/>
      <c r="AJ477" s="139"/>
      <c r="AK477" s="139"/>
      <c r="AL477" s="139"/>
      <c r="AM477" s="139"/>
      <c r="AN477" s="139"/>
      <c r="AO477" s="139"/>
      <c r="AP477" s="49"/>
      <c r="AQ477" s="51"/>
      <c r="AR477" s="208"/>
      <c r="AS477" s="49"/>
      <c r="AT477" s="49"/>
      <c r="AU477" s="49"/>
      <c r="AV477" s="49"/>
      <c r="AW477" s="49"/>
      <c r="AX477" s="49"/>
      <c r="AY477" s="52"/>
      <c r="BA477" s="23">
        <v>3.2</v>
      </c>
    </row>
    <row r="478" spans="1:53" ht="13.5" customHeight="1">
      <c r="A478" s="56"/>
      <c r="B478" s="50"/>
      <c r="C478" s="49"/>
      <c r="D478" s="49"/>
      <c r="E478" s="49"/>
      <c r="F478" s="49"/>
      <c r="G478" s="49"/>
      <c r="H478" s="49"/>
      <c r="I478" s="51"/>
      <c r="J478" s="424"/>
      <c r="K478" s="425"/>
      <c r="L478" s="548"/>
      <c r="M478" s="505"/>
      <c r="N478" s="505"/>
      <c r="O478" s="543" t="s">
        <v>1115</v>
      </c>
      <c r="P478" s="505"/>
      <c r="Q478" s="505"/>
      <c r="R478" s="505"/>
      <c r="S478" s="139"/>
      <c r="T478" s="139"/>
      <c r="U478" s="139"/>
      <c r="V478" s="139"/>
      <c r="W478" s="139"/>
      <c r="X478" s="139"/>
      <c r="Y478" s="139"/>
      <c r="Z478" s="139"/>
      <c r="AA478" s="139"/>
      <c r="AB478" s="139"/>
      <c r="AC478" s="139"/>
      <c r="AD478" s="139"/>
      <c r="AE478" s="139"/>
      <c r="AF478" s="139"/>
      <c r="AG478" s="139"/>
      <c r="AH478" s="139"/>
      <c r="AI478" s="139"/>
      <c r="AJ478" s="139"/>
      <c r="AK478" s="139"/>
      <c r="AL478" s="139"/>
      <c r="AM478" s="139"/>
      <c r="AN478" s="139"/>
      <c r="AO478" s="139"/>
      <c r="AP478" s="49"/>
      <c r="AQ478" s="51"/>
      <c r="AR478" s="208"/>
      <c r="AS478" s="49"/>
      <c r="AT478" s="49"/>
      <c r="AU478" s="49"/>
      <c r="AV478" s="49"/>
      <c r="AW478" s="49"/>
      <c r="AX478" s="49"/>
      <c r="AY478" s="52"/>
      <c r="BA478" s="23">
        <v>3.2</v>
      </c>
    </row>
    <row r="479" spans="1:53" ht="13.5" customHeight="1">
      <c r="A479" s="56"/>
      <c r="B479" s="50"/>
      <c r="C479" s="49"/>
      <c r="D479" s="49"/>
      <c r="E479" s="49"/>
      <c r="F479" s="49"/>
      <c r="G479" s="49"/>
      <c r="H479" s="49"/>
      <c r="I479" s="51"/>
      <c r="J479" s="424"/>
      <c r="K479" s="425"/>
      <c r="L479" s="548"/>
      <c r="M479" s="505"/>
      <c r="N479" s="505" t="s">
        <v>452</v>
      </c>
      <c r="O479" s="543"/>
      <c r="P479" s="505"/>
      <c r="Q479" s="505"/>
      <c r="R479" s="505"/>
      <c r="S479" s="139"/>
      <c r="T479" s="139"/>
      <c r="U479" s="139"/>
      <c r="V479" s="139"/>
      <c r="W479" s="139"/>
      <c r="X479" s="139"/>
      <c r="Y479" s="139"/>
      <c r="Z479" s="139"/>
      <c r="AA479" s="139"/>
      <c r="AB479" s="139"/>
      <c r="AC479" s="139"/>
      <c r="AD479" s="139"/>
      <c r="AE479" s="139"/>
      <c r="AF479" s="139"/>
      <c r="AG479" s="139"/>
      <c r="AH479" s="139"/>
      <c r="AI479" s="139"/>
      <c r="AJ479" s="139"/>
      <c r="AK479" s="139"/>
      <c r="AL479" s="139"/>
      <c r="AM479" s="139"/>
      <c r="AN479" s="139"/>
      <c r="AO479" s="139"/>
      <c r="AP479" s="49"/>
      <c r="AQ479" s="51"/>
      <c r="AR479" s="208"/>
      <c r="AS479" s="49"/>
      <c r="AT479" s="49"/>
      <c r="AU479" s="49"/>
      <c r="AV479" s="49"/>
      <c r="AW479" s="49"/>
      <c r="AX479" s="49"/>
      <c r="AY479" s="52"/>
      <c r="BA479" s="23">
        <v>3.2</v>
      </c>
    </row>
    <row r="480" spans="1:53" ht="13.5" customHeight="1">
      <c r="A480" s="56"/>
      <c r="B480" s="50"/>
      <c r="C480" s="49"/>
      <c r="D480" s="49"/>
      <c r="E480" s="49"/>
      <c r="F480" s="49"/>
      <c r="G480" s="49"/>
      <c r="H480" s="49"/>
      <c r="I480" s="51"/>
      <c r="J480" s="424"/>
      <c r="K480" s="425"/>
      <c r="L480" s="548"/>
      <c r="M480" s="505" t="s">
        <v>594</v>
      </c>
      <c r="N480" s="505"/>
      <c r="O480" s="543" t="s">
        <v>1076</v>
      </c>
      <c r="P480" s="505"/>
      <c r="Q480" s="505"/>
      <c r="R480" s="505"/>
      <c r="S480" s="139"/>
      <c r="T480" s="139"/>
      <c r="U480" s="139"/>
      <c r="V480" s="139"/>
      <c r="W480" s="139"/>
      <c r="X480" s="139"/>
      <c r="Y480" s="139"/>
      <c r="Z480" s="139"/>
      <c r="AA480" s="139"/>
      <c r="AB480" s="139"/>
      <c r="AC480" s="139"/>
      <c r="AD480" s="139"/>
      <c r="AE480" s="139"/>
      <c r="AF480" s="139"/>
      <c r="AG480" s="139"/>
      <c r="AH480" s="139"/>
      <c r="AI480" s="139"/>
      <c r="AJ480" s="139"/>
      <c r="AK480" s="139"/>
      <c r="AL480" s="139"/>
      <c r="AM480" s="139"/>
      <c r="AN480" s="139"/>
      <c r="AO480" s="139"/>
      <c r="AP480" s="49"/>
      <c r="AQ480" s="51"/>
      <c r="AR480" s="208"/>
      <c r="AS480" s="49"/>
      <c r="AT480" s="49"/>
      <c r="AU480" s="49"/>
      <c r="AV480" s="49"/>
      <c r="AW480" s="49"/>
      <c r="AX480" s="49"/>
      <c r="AY480" s="52"/>
      <c r="BA480" s="23">
        <v>3.2</v>
      </c>
    </row>
    <row r="481" spans="1:53" ht="13.5" customHeight="1">
      <c r="A481" s="56"/>
      <c r="B481" s="50"/>
      <c r="C481" s="49"/>
      <c r="D481" s="49"/>
      <c r="E481" s="49"/>
      <c r="F481" s="49"/>
      <c r="G481" s="49"/>
      <c r="H481" s="49"/>
      <c r="I481" s="51"/>
      <c r="J481" s="424"/>
      <c r="K481" s="425"/>
      <c r="L481" s="548"/>
      <c r="M481" s="505" t="s">
        <v>594</v>
      </c>
      <c r="N481" s="505"/>
      <c r="O481" s="543" t="s">
        <v>1077</v>
      </c>
      <c r="P481" s="505"/>
      <c r="Q481" s="505"/>
      <c r="R481" s="505"/>
      <c r="S481" s="139"/>
      <c r="T481" s="139"/>
      <c r="U481" s="139"/>
      <c r="V481" s="139"/>
      <c r="W481" s="139"/>
      <c r="X481" s="139"/>
      <c r="Y481" s="139"/>
      <c r="Z481" s="139"/>
      <c r="AA481" s="139"/>
      <c r="AB481" s="139"/>
      <c r="AC481" s="139"/>
      <c r="AD481" s="139"/>
      <c r="AE481" s="139"/>
      <c r="AF481" s="139"/>
      <c r="AG481" s="139"/>
      <c r="AH481" s="139"/>
      <c r="AI481" s="139"/>
      <c r="AJ481" s="139"/>
      <c r="AK481" s="139"/>
      <c r="AL481" s="139"/>
      <c r="AM481" s="139"/>
      <c r="AN481" s="139"/>
      <c r="AO481" s="139"/>
      <c r="AP481" s="49"/>
      <c r="AQ481" s="51"/>
      <c r="AR481" s="208"/>
      <c r="AS481" s="49"/>
      <c r="AT481" s="49"/>
      <c r="AU481" s="49"/>
      <c r="AV481" s="49"/>
      <c r="AW481" s="49"/>
      <c r="AX481" s="49"/>
      <c r="AY481" s="52"/>
      <c r="BA481" s="23">
        <v>3.2</v>
      </c>
    </row>
    <row r="482" spans="1:53" ht="13.5" customHeight="1">
      <c r="A482" s="56"/>
      <c r="B482" s="50"/>
      <c r="C482" s="49"/>
      <c r="D482" s="49"/>
      <c r="E482" s="49"/>
      <c r="F482" s="49"/>
      <c r="G482" s="49"/>
      <c r="H482" s="49"/>
      <c r="I482" s="51"/>
      <c r="J482" s="424"/>
      <c r="K482" s="425"/>
      <c r="L482" s="548"/>
      <c r="M482" s="505" t="s">
        <v>594</v>
      </c>
      <c r="N482" s="505"/>
      <c r="O482" s="543" t="s">
        <v>1078</v>
      </c>
      <c r="P482" s="505"/>
      <c r="Q482" s="505"/>
      <c r="R482" s="505"/>
      <c r="S482" s="139"/>
      <c r="T482" s="139"/>
      <c r="U482" s="139"/>
      <c r="V482" s="139"/>
      <c r="W482" s="139"/>
      <c r="X482" s="139"/>
      <c r="Y482" s="139"/>
      <c r="Z482" s="139"/>
      <c r="AA482" s="139"/>
      <c r="AB482" s="139"/>
      <c r="AC482" s="139"/>
      <c r="AD482" s="139"/>
      <c r="AE482" s="139"/>
      <c r="AF482" s="139"/>
      <c r="AG482" s="139"/>
      <c r="AH482" s="139"/>
      <c r="AI482" s="139"/>
      <c r="AJ482" s="139"/>
      <c r="AK482" s="139"/>
      <c r="AL482" s="139"/>
      <c r="AM482" s="139"/>
      <c r="AN482" s="139"/>
      <c r="AO482" s="139"/>
      <c r="AP482" s="49"/>
      <c r="AQ482" s="51"/>
      <c r="AR482" s="208"/>
      <c r="AS482" s="49"/>
      <c r="AT482" s="49"/>
      <c r="AU482" s="49"/>
      <c r="AV482" s="49"/>
      <c r="AW482" s="49"/>
      <c r="AX482" s="49"/>
      <c r="AY482" s="52"/>
      <c r="BA482" s="23">
        <v>3.2</v>
      </c>
    </row>
    <row r="483" spans="1:53" ht="13.5" customHeight="1">
      <c r="A483" s="56"/>
      <c r="B483" s="50"/>
      <c r="C483" s="49"/>
      <c r="D483" s="49"/>
      <c r="E483" s="49"/>
      <c r="F483" s="49"/>
      <c r="G483" s="49"/>
      <c r="H483" s="49"/>
      <c r="I483" s="51"/>
      <c r="J483" s="424"/>
      <c r="K483" s="425"/>
      <c r="L483" s="548"/>
      <c r="M483" s="505" t="s">
        <v>594</v>
      </c>
      <c r="N483" s="505"/>
      <c r="O483" s="543" t="s">
        <v>1079</v>
      </c>
      <c r="P483" s="505"/>
      <c r="Q483" s="505"/>
      <c r="R483" s="505"/>
      <c r="S483" s="139"/>
      <c r="T483" s="139"/>
      <c r="U483" s="139"/>
      <c r="V483" s="139"/>
      <c r="W483" s="139"/>
      <c r="X483" s="139"/>
      <c r="Y483" s="139"/>
      <c r="Z483" s="139"/>
      <c r="AA483" s="139"/>
      <c r="AB483" s="139"/>
      <c r="AC483" s="139"/>
      <c r="AD483" s="139"/>
      <c r="AE483" s="139"/>
      <c r="AF483" s="139"/>
      <c r="AG483" s="139"/>
      <c r="AH483" s="139"/>
      <c r="AI483" s="139"/>
      <c r="AJ483" s="139"/>
      <c r="AK483" s="139"/>
      <c r="AL483" s="139"/>
      <c r="AM483" s="139"/>
      <c r="AN483" s="139"/>
      <c r="AO483" s="139"/>
      <c r="AP483" s="49"/>
      <c r="AQ483" s="51"/>
      <c r="AR483" s="208"/>
      <c r="AS483" s="49"/>
      <c r="AT483" s="49"/>
      <c r="AU483" s="49"/>
      <c r="AV483" s="49"/>
      <c r="AW483" s="49"/>
      <c r="AX483" s="49"/>
      <c r="AY483" s="52"/>
      <c r="BA483" s="23">
        <v>3.2</v>
      </c>
    </row>
    <row r="484" spans="1:53" ht="13.5" customHeight="1">
      <c r="A484" s="56"/>
      <c r="B484" s="50"/>
      <c r="C484" s="49"/>
      <c r="D484" s="49"/>
      <c r="E484" s="49"/>
      <c r="F484" s="49"/>
      <c r="G484" s="49"/>
      <c r="H484" s="49"/>
      <c r="I484" s="51"/>
      <c r="J484" s="424"/>
      <c r="K484" s="425"/>
      <c r="L484" s="548"/>
      <c r="M484" s="505" t="s">
        <v>594</v>
      </c>
      <c r="N484" s="505"/>
      <c r="O484" s="543" t="s">
        <v>1080</v>
      </c>
      <c r="P484" s="505"/>
      <c r="Q484" s="505"/>
      <c r="R484" s="505"/>
      <c r="S484" s="139"/>
      <c r="T484" s="139"/>
      <c r="U484" s="139"/>
      <c r="V484" s="139"/>
      <c r="W484" s="139"/>
      <c r="X484" s="139"/>
      <c r="Y484" s="139"/>
      <c r="Z484" s="139"/>
      <c r="AA484" s="139"/>
      <c r="AB484" s="139"/>
      <c r="AC484" s="139"/>
      <c r="AD484" s="139"/>
      <c r="AE484" s="139"/>
      <c r="AF484" s="139"/>
      <c r="AG484" s="139"/>
      <c r="AH484" s="139"/>
      <c r="AI484" s="139"/>
      <c r="AJ484" s="139"/>
      <c r="AK484" s="139"/>
      <c r="AL484" s="139"/>
      <c r="AM484" s="139"/>
      <c r="AN484" s="139"/>
      <c r="AO484" s="139"/>
      <c r="AP484" s="49"/>
      <c r="AQ484" s="51"/>
      <c r="AR484" s="208"/>
      <c r="AS484" s="49"/>
      <c r="AT484" s="49"/>
      <c r="AU484" s="49"/>
      <c r="AV484" s="49"/>
      <c r="AW484" s="49"/>
      <c r="AX484" s="49"/>
      <c r="AY484" s="52"/>
      <c r="BA484" s="23">
        <v>3.2</v>
      </c>
    </row>
    <row r="485" spans="1:53" ht="13.5" customHeight="1">
      <c r="A485" s="56"/>
      <c r="B485" s="50"/>
      <c r="C485" s="49"/>
      <c r="D485" s="49"/>
      <c r="E485" s="49"/>
      <c r="F485" s="49"/>
      <c r="G485" s="49"/>
      <c r="H485" s="49"/>
      <c r="I485" s="51"/>
      <c r="J485" s="424"/>
      <c r="K485" s="425"/>
      <c r="L485" s="548"/>
      <c r="M485" s="505" t="s">
        <v>594</v>
      </c>
      <c r="N485" s="505"/>
      <c r="O485" s="543" t="s">
        <v>1081</v>
      </c>
      <c r="P485" s="505"/>
      <c r="Q485" s="505"/>
      <c r="R485" s="505"/>
      <c r="S485" s="139"/>
      <c r="T485" s="139"/>
      <c r="U485" s="139"/>
      <c r="V485" s="139"/>
      <c r="W485" s="139"/>
      <c r="X485" s="139"/>
      <c r="Y485" s="139"/>
      <c r="Z485" s="139"/>
      <c r="AA485" s="139"/>
      <c r="AB485" s="139"/>
      <c r="AC485" s="139"/>
      <c r="AD485" s="139"/>
      <c r="AE485" s="139"/>
      <c r="AF485" s="139"/>
      <c r="AG485" s="139"/>
      <c r="AH485" s="139"/>
      <c r="AI485" s="139"/>
      <c r="AJ485" s="139"/>
      <c r="AK485" s="139"/>
      <c r="AL485" s="139"/>
      <c r="AM485" s="139"/>
      <c r="AN485" s="139"/>
      <c r="AO485" s="139"/>
      <c r="AP485" s="49"/>
      <c r="AQ485" s="51"/>
      <c r="AR485" s="208"/>
      <c r="AS485" s="49"/>
      <c r="AT485" s="49"/>
      <c r="AU485" s="49"/>
      <c r="AV485" s="49"/>
      <c r="AW485" s="49"/>
      <c r="AX485" s="49"/>
      <c r="AY485" s="52"/>
      <c r="BA485" s="23">
        <v>3.2</v>
      </c>
    </row>
    <row r="486" spans="1:53" ht="13.5" customHeight="1">
      <c r="A486" s="56"/>
      <c r="B486" s="50"/>
      <c r="C486" s="49"/>
      <c r="D486" s="49"/>
      <c r="E486" s="49"/>
      <c r="F486" s="49"/>
      <c r="G486" s="49"/>
      <c r="H486" s="49"/>
      <c r="I486" s="51"/>
      <c r="J486" s="424"/>
      <c r="K486" s="425"/>
      <c r="L486" s="548"/>
      <c r="M486" s="505" t="s">
        <v>594</v>
      </c>
      <c r="N486" s="505"/>
      <c r="O486" s="543" t="s">
        <v>1082</v>
      </c>
      <c r="P486" s="505"/>
      <c r="Q486" s="505"/>
      <c r="R486" s="505"/>
      <c r="S486" s="139"/>
      <c r="T486" s="139"/>
      <c r="U486" s="139"/>
      <c r="V486" s="139"/>
      <c r="W486" s="139"/>
      <c r="X486" s="139"/>
      <c r="Y486" s="139"/>
      <c r="Z486" s="139"/>
      <c r="AA486" s="139"/>
      <c r="AB486" s="139"/>
      <c r="AC486" s="139"/>
      <c r="AD486" s="139"/>
      <c r="AE486" s="139"/>
      <c r="AF486" s="139"/>
      <c r="AG486" s="139"/>
      <c r="AH486" s="139"/>
      <c r="AI486" s="139"/>
      <c r="AJ486" s="139"/>
      <c r="AK486" s="139"/>
      <c r="AL486" s="139"/>
      <c r="AM486" s="139"/>
      <c r="AN486" s="139"/>
      <c r="AO486" s="139"/>
      <c r="AP486" s="49"/>
      <c r="AQ486" s="51"/>
      <c r="AR486" s="208"/>
      <c r="AS486" s="49"/>
      <c r="AT486" s="49"/>
      <c r="AU486" s="49"/>
      <c r="AV486" s="49"/>
      <c r="AW486" s="49"/>
      <c r="AX486" s="49"/>
      <c r="AY486" s="52"/>
      <c r="BA486" s="23">
        <v>3.2</v>
      </c>
    </row>
    <row r="487" spans="1:53" ht="13.5" customHeight="1">
      <c r="A487" s="56"/>
      <c r="B487" s="50"/>
      <c r="C487" s="49"/>
      <c r="D487" s="49"/>
      <c r="E487" s="49"/>
      <c r="F487" s="49"/>
      <c r="G487" s="49"/>
      <c r="H487" s="49"/>
      <c r="I487" s="51"/>
      <c r="J487" s="424"/>
      <c r="K487" s="425"/>
      <c r="L487" s="548"/>
      <c r="M487" s="505" t="s">
        <v>594</v>
      </c>
      <c r="N487" s="505"/>
      <c r="O487" s="543" t="s">
        <v>1083</v>
      </c>
      <c r="P487" s="505"/>
      <c r="Q487" s="505"/>
      <c r="R487" s="505"/>
      <c r="S487" s="139"/>
      <c r="T487" s="139"/>
      <c r="U487" s="139"/>
      <c r="V487" s="139"/>
      <c r="W487" s="139"/>
      <c r="X487" s="139"/>
      <c r="Y487" s="139"/>
      <c r="Z487" s="139"/>
      <c r="AA487" s="139"/>
      <c r="AB487" s="139"/>
      <c r="AC487" s="139"/>
      <c r="AD487" s="139"/>
      <c r="AE487" s="139"/>
      <c r="AF487" s="139"/>
      <c r="AG487" s="139"/>
      <c r="AH487" s="139"/>
      <c r="AI487" s="139"/>
      <c r="AJ487" s="139"/>
      <c r="AK487" s="139"/>
      <c r="AL487" s="139"/>
      <c r="AM487" s="139"/>
      <c r="AN487" s="139"/>
      <c r="AO487" s="139"/>
      <c r="AP487" s="49"/>
      <c r="AQ487" s="51"/>
      <c r="AR487" s="208"/>
      <c r="AS487" s="49"/>
      <c r="AT487" s="49"/>
      <c r="AU487" s="49"/>
      <c r="AV487" s="49"/>
      <c r="AW487" s="49"/>
      <c r="AX487" s="49"/>
      <c r="AY487" s="52"/>
      <c r="BA487" s="23">
        <v>3.2</v>
      </c>
    </row>
    <row r="488" spans="1:53" ht="13.5" customHeight="1">
      <c r="A488" s="56"/>
      <c r="B488" s="50"/>
      <c r="C488" s="49"/>
      <c r="D488" s="49"/>
      <c r="E488" s="49"/>
      <c r="F488" s="49"/>
      <c r="G488" s="49"/>
      <c r="H488" s="49"/>
      <c r="I488" s="51"/>
      <c r="J488" s="424"/>
      <c r="K488" s="425"/>
      <c r="L488" s="548"/>
      <c r="M488" s="505" t="s">
        <v>594</v>
      </c>
      <c r="N488" s="505"/>
      <c r="O488" s="543" t="s">
        <v>1084</v>
      </c>
      <c r="P488" s="505"/>
      <c r="Q488" s="505"/>
      <c r="R488" s="505"/>
      <c r="S488" s="139"/>
      <c r="T488" s="139"/>
      <c r="U488" s="139"/>
      <c r="V488" s="139"/>
      <c r="W488" s="139"/>
      <c r="X488" s="139"/>
      <c r="Y488" s="139"/>
      <c r="Z488" s="139"/>
      <c r="AA488" s="139"/>
      <c r="AB488" s="139"/>
      <c r="AC488" s="139"/>
      <c r="AD488" s="139"/>
      <c r="AE488" s="139"/>
      <c r="AF488" s="139"/>
      <c r="AG488" s="139"/>
      <c r="AH488" s="139"/>
      <c r="AI488" s="139"/>
      <c r="AJ488" s="139"/>
      <c r="AK488" s="139"/>
      <c r="AL488" s="139"/>
      <c r="AM488" s="139"/>
      <c r="AN488" s="139"/>
      <c r="AO488" s="139"/>
      <c r="AP488" s="49"/>
      <c r="AQ488" s="51"/>
      <c r="AR488" s="208"/>
      <c r="AS488" s="49"/>
      <c r="AT488" s="49"/>
      <c r="AU488" s="49"/>
      <c r="AV488" s="49"/>
      <c r="AW488" s="49"/>
      <c r="AX488" s="49"/>
      <c r="AY488" s="52"/>
      <c r="BA488" s="23">
        <v>3.2</v>
      </c>
    </row>
    <row r="489" spans="1:53" ht="13.5" customHeight="1">
      <c r="A489" s="56"/>
      <c r="B489" s="50"/>
      <c r="C489" s="49"/>
      <c r="D489" s="49"/>
      <c r="E489" s="49"/>
      <c r="F489" s="49"/>
      <c r="G489" s="49"/>
      <c r="H489" s="49"/>
      <c r="I489" s="51"/>
      <c r="J489" s="424"/>
      <c r="K489" s="425"/>
      <c r="L489" s="548"/>
      <c r="M489" s="505" t="s">
        <v>594</v>
      </c>
      <c r="N489" s="505"/>
      <c r="O489" s="543" t="s">
        <v>1085</v>
      </c>
      <c r="P489" s="505"/>
      <c r="Q489" s="505"/>
      <c r="R489" s="505"/>
      <c r="S489" s="139"/>
      <c r="T489" s="139"/>
      <c r="U489" s="139"/>
      <c r="V489" s="139"/>
      <c r="W489" s="139"/>
      <c r="X489" s="139"/>
      <c r="Y489" s="139"/>
      <c r="Z489" s="139"/>
      <c r="AA489" s="139"/>
      <c r="AB489" s="139"/>
      <c r="AC489" s="139"/>
      <c r="AD489" s="139"/>
      <c r="AE489" s="139"/>
      <c r="AF489" s="139"/>
      <c r="AG489" s="139"/>
      <c r="AH489" s="139"/>
      <c r="AI489" s="139"/>
      <c r="AJ489" s="139"/>
      <c r="AK489" s="139"/>
      <c r="AL489" s="139"/>
      <c r="AM489" s="139"/>
      <c r="AN489" s="139"/>
      <c r="AO489" s="139"/>
      <c r="AP489" s="49"/>
      <c r="AQ489" s="51"/>
      <c r="AR489" s="208"/>
      <c r="AS489" s="49"/>
      <c r="AT489" s="49"/>
      <c r="AU489" s="49"/>
      <c r="AV489" s="49"/>
      <c r="AW489" s="49"/>
      <c r="AX489" s="49"/>
      <c r="AY489" s="52"/>
      <c r="BA489" s="23">
        <v>3.2</v>
      </c>
    </row>
    <row r="490" spans="1:53" ht="13.5" customHeight="1">
      <c r="A490" s="56"/>
      <c r="B490" s="50"/>
      <c r="C490" s="49"/>
      <c r="D490" s="49"/>
      <c r="E490" s="49"/>
      <c r="F490" s="49"/>
      <c r="G490" s="49"/>
      <c r="H490" s="49"/>
      <c r="I490" s="51"/>
      <c r="J490" s="424"/>
      <c r="K490" s="425"/>
      <c r="L490" s="548"/>
      <c r="M490" s="505" t="s">
        <v>594</v>
      </c>
      <c r="N490" s="505"/>
      <c r="O490" s="543" t="s">
        <v>1119</v>
      </c>
      <c r="P490" s="505"/>
      <c r="Q490" s="505"/>
      <c r="R490" s="505"/>
      <c r="S490" s="139"/>
      <c r="T490" s="139"/>
      <c r="U490" s="139"/>
      <c r="V490" s="139"/>
      <c r="W490" s="139"/>
      <c r="X490" s="139"/>
      <c r="Y490" s="139"/>
      <c r="Z490" s="139"/>
      <c r="AA490" s="139"/>
      <c r="AB490" s="139"/>
      <c r="AC490" s="139"/>
      <c r="AD490" s="139"/>
      <c r="AE490" s="139"/>
      <c r="AF490" s="139"/>
      <c r="AG490" s="139"/>
      <c r="AH490" s="139"/>
      <c r="AI490" s="139"/>
      <c r="AJ490" s="139"/>
      <c r="AK490" s="139"/>
      <c r="AL490" s="139"/>
      <c r="AM490" s="139"/>
      <c r="AN490" s="139"/>
      <c r="AO490" s="139"/>
      <c r="AP490" s="49"/>
      <c r="AQ490" s="51"/>
      <c r="AR490" s="208"/>
      <c r="AS490" s="49"/>
      <c r="AT490" s="49"/>
      <c r="AU490" s="49"/>
      <c r="AV490" s="49"/>
      <c r="AW490" s="49"/>
      <c r="AX490" s="49"/>
      <c r="AY490" s="52"/>
      <c r="BA490" s="23">
        <v>3.2</v>
      </c>
    </row>
    <row r="491" spans="1:53" ht="13.5" customHeight="1">
      <c r="A491" s="56"/>
      <c r="B491" s="50"/>
      <c r="C491" s="49"/>
      <c r="D491" s="49"/>
      <c r="E491" s="49"/>
      <c r="F491" s="49"/>
      <c r="G491" s="49"/>
      <c r="H491" s="49"/>
      <c r="I491" s="51"/>
      <c r="J491" s="424"/>
      <c r="K491" s="425"/>
      <c r="L491" s="548"/>
      <c r="M491" s="505"/>
      <c r="N491" s="505"/>
      <c r="O491" s="543" t="s">
        <v>597</v>
      </c>
      <c r="P491" s="505"/>
      <c r="Q491" s="505"/>
      <c r="R491" s="505"/>
      <c r="S491" s="139"/>
      <c r="T491" s="139"/>
      <c r="U491" s="139"/>
      <c r="V491" s="139"/>
      <c r="W491" s="139"/>
      <c r="X491" s="139"/>
      <c r="Y491" s="139"/>
      <c r="Z491" s="139"/>
      <c r="AA491" s="139"/>
      <c r="AB491" s="139"/>
      <c r="AC491" s="139"/>
      <c r="AD491" s="139"/>
      <c r="AE491" s="139"/>
      <c r="AF491" s="139"/>
      <c r="AG491" s="139"/>
      <c r="AH491" s="139"/>
      <c r="AI491" s="139"/>
      <c r="AJ491" s="139"/>
      <c r="AK491" s="139"/>
      <c r="AL491" s="139"/>
      <c r="AM491" s="139"/>
      <c r="AN491" s="139"/>
      <c r="AO491" s="139"/>
      <c r="AP491" s="49"/>
      <c r="AQ491" s="51"/>
      <c r="AR491" s="208"/>
      <c r="AS491" s="49"/>
      <c r="AT491" s="49"/>
      <c r="AU491" s="49"/>
      <c r="AV491" s="49"/>
      <c r="AW491" s="49"/>
      <c r="AX491" s="49"/>
      <c r="AY491" s="52"/>
      <c r="BA491" s="23">
        <v>3.2</v>
      </c>
    </row>
    <row r="492" spans="1:53" ht="13.5" customHeight="1">
      <c r="A492" s="56"/>
      <c r="B492" s="50"/>
      <c r="C492" s="49"/>
      <c r="D492" s="49"/>
      <c r="E492" s="49"/>
      <c r="F492" s="49"/>
      <c r="G492" s="49"/>
      <c r="H492" s="49"/>
      <c r="I492" s="51"/>
      <c r="J492" s="424"/>
      <c r="K492" s="425"/>
      <c r="L492" s="548"/>
      <c r="M492" s="505" t="s">
        <v>594</v>
      </c>
      <c r="N492" s="505"/>
      <c r="O492" s="543" t="s">
        <v>598</v>
      </c>
      <c r="P492" s="505"/>
      <c r="Q492" s="505"/>
      <c r="R492" s="505"/>
      <c r="S492" s="139"/>
      <c r="T492" s="139"/>
      <c r="U492" s="139"/>
      <c r="V492" s="139"/>
      <c r="W492" s="139"/>
      <c r="X492" s="139"/>
      <c r="Y492" s="139"/>
      <c r="Z492" s="139"/>
      <c r="AA492" s="139"/>
      <c r="AB492" s="139"/>
      <c r="AC492" s="139"/>
      <c r="AD492" s="139"/>
      <c r="AE492" s="139"/>
      <c r="AF492" s="139"/>
      <c r="AG492" s="139"/>
      <c r="AH492" s="139"/>
      <c r="AI492" s="139"/>
      <c r="AJ492" s="139"/>
      <c r="AK492" s="139"/>
      <c r="AL492" s="139"/>
      <c r="AM492" s="139"/>
      <c r="AN492" s="139"/>
      <c r="AO492" s="139"/>
      <c r="AP492" s="49"/>
      <c r="AQ492" s="51"/>
      <c r="AR492" s="208"/>
      <c r="AS492" s="49"/>
      <c r="AT492" s="49"/>
      <c r="AU492" s="49"/>
      <c r="AV492" s="49"/>
      <c r="AW492" s="49"/>
      <c r="AX492" s="49"/>
      <c r="AY492" s="52"/>
      <c r="BA492" s="23">
        <v>3.2</v>
      </c>
    </row>
    <row r="493" spans="1:53" ht="13.5" customHeight="1">
      <c r="A493" s="56"/>
      <c r="B493" s="50"/>
      <c r="C493" s="49"/>
      <c r="D493" s="49"/>
      <c r="E493" s="49"/>
      <c r="F493" s="49"/>
      <c r="G493" s="49"/>
      <c r="H493" s="49"/>
      <c r="I493" s="51"/>
      <c r="J493" s="424"/>
      <c r="K493" s="425"/>
      <c r="L493" s="548"/>
      <c r="M493" s="505"/>
      <c r="N493" s="505"/>
      <c r="O493" s="543"/>
      <c r="P493" s="505" t="s">
        <v>1086</v>
      </c>
      <c r="Q493" s="505"/>
      <c r="R493" s="505"/>
      <c r="S493" s="139"/>
      <c r="T493" s="139"/>
      <c r="U493" s="139"/>
      <c r="V493" s="139"/>
      <c r="W493" s="139"/>
      <c r="X493" s="139"/>
      <c r="Y493" s="139"/>
      <c r="Z493" s="139"/>
      <c r="AA493" s="139"/>
      <c r="AB493" s="139"/>
      <c r="AC493" s="139"/>
      <c r="AD493" s="139"/>
      <c r="AE493" s="139"/>
      <c r="AF493" s="139"/>
      <c r="AG493" s="139"/>
      <c r="AH493" s="139"/>
      <c r="AI493" s="139"/>
      <c r="AJ493" s="139"/>
      <c r="AK493" s="139"/>
      <c r="AL493" s="139"/>
      <c r="AM493" s="139"/>
      <c r="AN493" s="139"/>
      <c r="AO493" s="139"/>
      <c r="AP493" s="49"/>
      <c r="AQ493" s="51"/>
      <c r="AR493" s="208"/>
      <c r="AS493" s="49"/>
      <c r="AT493" s="49"/>
      <c r="AU493" s="49"/>
      <c r="AV493" s="49"/>
      <c r="AW493" s="49"/>
      <c r="AX493" s="49"/>
      <c r="AY493" s="52"/>
      <c r="BA493" s="23">
        <v>3.2</v>
      </c>
    </row>
    <row r="494" spans="1:53" ht="13.5" customHeight="1">
      <c r="A494" s="56"/>
      <c r="B494" s="50"/>
      <c r="C494" s="49"/>
      <c r="D494" s="49"/>
      <c r="E494" s="49"/>
      <c r="F494" s="49"/>
      <c r="G494" s="49"/>
      <c r="H494" s="49"/>
      <c r="I494" s="51"/>
      <c r="J494" s="424"/>
      <c r="K494" s="425"/>
      <c r="L494" s="548"/>
      <c r="M494" s="505"/>
      <c r="N494" s="505"/>
      <c r="O494" s="543"/>
      <c r="P494" s="505"/>
      <c r="Q494" s="505" t="s">
        <v>1087</v>
      </c>
      <c r="R494" s="505"/>
      <c r="S494" s="139"/>
      <c r="T494" s="139"/>
      <c r="U494" s="139"/>
      <c r="V494" s="139"/>
      <c r="W494" s="139"/>
      <c r="X494" s="139"/>
      <c r="Y494" s="139"/>
      <c r="Z494" s="139"/>
      <c r="AA494" s="139"/>
      <c r="AB494" s="139"/>
      <c r="AC494" s="139"/>
      <c r="AD494" s="139"/>
      <c r="AE494" s="139"/>
      <c r="AF494" s="139"/>
      <c r="AG494" s="139"/>
      <c r="AH494" s="139"/>
      <c r="AI494" s="139"/>
      <c r="AJ494" s="139"/>
      <c r="AK494" s="139"/>
      <c r="AL494" s="139"/>
      <c r="AM494" s="139"/>
      <c r="AN494" s="139"/>
      <c r="AO494" s="139"/>
      <c r="AP494" s="49"/>
      <c r="AQ494" s="51"/>
      <c r="AR494" s="208"/>
      <c r="AS494" s="49"/>
      <c r="AT494" s="49"/>
      <c r="AU494" s="49"/>
      <c r="AV494" s="49"/>
      <c r="AW494" s="49"/>
      <c r="AX494" s="49"/>
      <c r="AY494" s="52"/>
      <c r="BA494" s="23">
        <v>3.2</v>
      </c>
    </row>
    <row r="495" spans="1:53" ht="13.5" customHeight="1">
      <c r="A495" s="56"/>
      <c r="B495" s="50"/>
      <c r="C495" s="49"/>
      <c r="D495" s="49"/>
      <c r="E495" s="49"/>
      <c r="F495" s="49"/>
      <c r="G495" s="49"/>
      <c r="H495" s="49"/>
      <c r="I495" s="51"/>
      <c r="J495" s="424"/>
      <c r="K495" s="425"/>
      <c r="L495" s="548"/>
      <c r="M495" s="505"/>
      <c r="N495" s="505"/>
      <c r="O495" s="543"/>
      <c r="P495" s="505" t="s">
        <v>530</v>
      </c>
      <c r="Q495" s="505"/>
      <c r="R495" s="505"/>
      <c r="S495" s="139"/>
      <c r="T495" s="139"/>
      <c r="U495" s="139"/>
      <c r="V495" s="139"/>
      <c r="W495" s="139"/>
      <c r="X495" s="139"/>
      <c r="Y495" s="139"/>
      <c r="Z495" s="139"/>
      <c r="AA495" s="139"/>
      <c r="AB495" s="139"/>
      <c r="AC495" s="139"/>
      <c r="AD495" s="139"/>
      <c r="AE495" s="139"/>
      <c r="AF495" s="139"/>
      <c r="AG495" s="139"/>
      <c r="AH495" s="139"/>
      <c r="AI495" s="139"/>
      <c r="AJ495" s="139"/>
      <c r="AK495" s="139"/>
      <c r="AL495" s="139"/>
      <c r="AM495" s="139"/>
      <c r="AN495" s="139"/>
      <c r="AO495" s="139"/>
      <c r="AP495" s="49"/>
      <c r="AQ495" s="51"/>
      <c r="AR495" s="208"/>
      <c r="AS495" s="49"/>
      <c r="AT495" s="49"/>
      <c r="AU495" s="49"/>
      <c r="AV495" s="49"/>
      <c r="AW495" s="49"/>
      <c r="AX495" s="49"/>
      <c r="AY495" s="52"/>
      <c r="BA495" s="23">
        <v>3.2</v>
      </c>
    </row>
    <row r="496" spans="1:53" ht="13.5" customHeight="1">
      <c r="A496" s="56"/>
      <c r="B496" s="50"/>
      <c r="C496" s="49"/>
      <c r="D496" s="49"/>
      <c r="E496" s="49"/>
      <c r="F496" s="49"/>
      <c r="G496" s="49"/>
      <c r="H496" s="49"/>
      <c r="I496" s="51"/>
      <c r="J496" s="424"/>
      <c r="K496" s="425"/>
      <c r="L496" s="548"/>
      <c r="M496" s="505"/>
      <c r="N496" s="505"/>
      <c r="O496" s="543"/>
      <c r="P496" s="505" t="s">
        <v>1088</v>
      </c>
      <c r="Q496" s="505"/>
      <c r="R496" s="505"/>
      <c r="S496" s="139"/>
      <c r="T496" s="139"/>
      <c r="U496" s="139"/>
      <c r="V496" s="139"/>
      <c r="W496" s="139"/>
      <c r="X496" s="139"/>
      <c r="Y496" s="139"/>
      <c r="Z496" s="139"/>
      <c r="AA496" s="139"/>
      <c r="AB496" s="139"/>
      <c r="AC496" s="139"/>
      <c r="AD496" s="139"/>
      <c r="AE496" s="139"/>
      <c r="AF496" s="139"/>
      <c r="AG496" s="139"/>
      <c r="AH496" s="139"/>
      <c r="AI496" s="139"/>
      <c r="AJ496" s="139"/>
      <c r="AK496" s="139"/>
      <c r="AL496" s="139"/>
      <c r="AM496" s="139"/>
      <c r="AN496" s="139"/>
      <c r="AO496" s="139"/>
      <c r="AP496" s="49"/>
      <c r="AQ496" s="51"/>
      <c r="AR496" s="208"/>
      <c r="AS496" s="49"/>
      <c r="AT496" s="49"/>
      <c r="AU496" s="49"/>
      <c r="AV496" s="49"/>
      <c r="AW496" s="49"/>
      <c r="AX496" s="49"/>
      <c r="AY496" s="52"/>
      <c r="BA496" s="23">
        <v>3.2</v>
      </c>
    </row>
    <row r="497" spans="1:53" ht="13.5" customHeight="1">
      <c r="A497" s="56"/>
      <c r="B497" s="50"/>
      <c r="C497" s="49"/>
      <c r="D497" s="49"/>
      <c r="E497" s="49"/>
      <c r="F497" s="49"/>
      <c r="G497" s="49"/>
      <c r="H497" s="49"/>
      <c r="I497" s="51"/>
      <c r="J497" s="424"/>
      <c r="K497" s="425"/>
      <c r="L497" s="548"/>
      <c r="M497" s="505"/>
      <c r="N497" s="505"/>
      <c r="O497" s="543"/>
      <c r="P497" s="505"/>
      <c r="Q497" s="505" t="s">
        <v>1089</v>
      </c>
      <c r="R497" s="505"/>
      <c r="S497" s="139"/>
      <c r="T497" s="139"/>
      <c r="U497" s="139"/>
      <c r="V497" s="139"/>
      <c r="W497" s="139"/>
      <c r="X497" s="139"/>
      <c r="Y497" s="139"/>
      <c r="Z497" s="139"/>
      <c r="AA497" s="139"/>
      <c r="AB497" s="139"/>
      <c r="AC497" s="139"/>
      <c r="AD497" s="139"/>
      <c r="AE497" s="139"/>
      <c r="AF497" s="139"/>
      <c r="AG497" s="139"/>
      <c r="AH497" s="139"/>
      <c r="AI497" s="139"/>
      <c r="AJ497" s="139"/>
      <c r="AK497" s="139"/>
      <c r="AL497" s="139"/>
      <c r="AM497" s="139"/>
      <c r="AN497" s="139"/>
      <c r="AO497" s="139"/>
      <c r="AP497" s="49"/>
      <c r="AQ497" s="51"/>
      <c r="AR497" s="208"/>
      <c r="AS497" s="49"/>
      <c r="AT497" s="49"/>
      <c r="AU497" s="49"/>
      <c r="AV497" s="49"/>
      <c r="AW497" s="49"/>
      <c r="AX497" s="49"/>
      <c r="AY497" s="52"/>
      <c r="BA497" s="23">
        <v>3.2</v>
      </c>
    </row>
    <row r="498" spans="1:53" ht="13.5" customHeight="1">
      <c r="A498" s="56"/>
      <c r="B498" s="50"/>
      <c r="C498" s="49"/>
      <c r="D498" s="49"/>
      <c r="E498" s="49"/>
      <c r="F498" s="49"/>
      <c r="G498" s="49"/>
      <c r="H498" s="49"/>
      <c r="I498" s="51"/>
      <c r="J498" s="424"/>
      <c r="K498" s="425"/>
      <c r="L498" s="548"/>
      <c r="M498" s="505"/>
      <c r="N498" s="505"/>
      <c r="O498" s="543" t="s">
        <v>531</v>
      </c>
      <c r="P498" s="505"/>
      <c r="Q498" s="505"/>
      <c r="R498" s="505"/>
      <c r="S498" s="139"/>
      <c r="T498" s="139"/>
      <c r="U498" s="139"/>
      <c r="V498" s="139"/>
      <c r="W498" s="139"/>
      <c r="X498" s="139"/>
      <c r="Y498" s="139"/>
      <c r="Z498" s="139"/>
      <c r="AA498" s="139"/>
      <c r="AB498" s="139"/>
      <c r="AC498" s="139"/>
      <c r="AD498" s="139"/>
      <c r="AE498" s="139"/>
      <c r="AF498" s="139"/>
      <c r="AG498" s="139"/>
      <c r="AH498" s="139"/>
      <c r="AI498" s="139"/>
      <c r="AJ498" s="139"/>
      <c r="AK498" s="139"/>
      <c r="AL498" s="139"/>
      <c r="AM498" s="139"/>
      <c r="AN498" s="139"/>
      <c r="AO498" s="139"/>
      <c r="AP498" s="49"/>
      <c r="AQ498" s="51"/>
      <c r="AR498" s="208"/>
      <c r="AS498" s="49"/>
      <c r="AT498" s="49"/>
      <c r="AU498" s="49"/>
      <c r="AV498" s="49"/>
      <c r="AW498" s="49"/>
      <c r="AX498" s="49"/>
      <c r="AY498" s="52"/>
      <c r="BA498" s="23">
        <v>3.2</v>
      </c>
    </row>
    <row r="499" spans="1:53" ht="13.5" customHeight="1">
      <c r="A499" s="56"/>
      <c r="B499" s="50"/>
      <c r="C499" s="49"/>
      <c r="D499" s="49"/>
      <c r="E499" s="49"/>
      <c r="F499" s="49"/>
      <c r="G499" s="49"/>
      <c r="H499" s="49"/>
      <c r="I499" s="51"/>
      <c r="J499" s="424"/>
      <c r="K499" s="425"/>
      <c r="L499" s="548"/>
      <c r="M499" s="505" t="s">
        <v>594</v>
      </c>
      <c r="N499" s="505"/>
      <c r="O499" s="543" t="s">
        <v>598</v>
      </c>
      <c r="P499" s="505"/>
      <c r="Q499" s="505"/>
      <c r="R499" s="505"/>
      <c r="S499" s="139"/>
      <c r="T499" s="139"/>
      <c r="U499" s="139"/>
      <c r="V499" s="139"/>
      <c r="W499" s="139"/>
      <c r="X499" s="139"/>
      <c r="Y499" s="139"/>
      <c r="Z499" s="139"/>
      <c r="AA499" s="139"/>
      <c r="AB499" s="139"/>
      <c r="AC499" s="139"/>
      <c r="AD499" s="139"/>
      <c r="AE499" s="139"/>
      <c r="AF499" s="139"/>
      <c r="AG499" s="139"/>
      <c r="AH499" s="139"/>
      <c r="AI499" s="139"/>
      <c r="AJ499" s="139"/>
      <c r="AK499" s="139"/>
      <c r="AL499" s="139"/>
      <c r="AM499" s="139"/>
      <c r="AN499" s="139"/>
      <c r="AO499" s="139"/>
      <c r="AP499" s="49"/>
      <c r="AQ499" s="51"/>
      <c r="AR499" s="208"/>
      <c r="AS499" s="49"/>
      <c r="AT499" s="49"/>
      <c r="AU499" s="49"/>
      <c r="AV499" s="49"/>
      <c r="AW499" s="49"/>
      <c r="AX499" s="49"/>
      <c r="AY499" s="52"/>
      <c r="BA499" s="23">
        <v>3.2</v>
      </c>
    </row>
    <row r="500" spans="1:53" ht="13.5" customHeight="1">
      <c r="A500" s="56"/>
      <c r="B500" s="50"/>
      <c r="C500" s="49"/>
      <c r="D500" s="49"/>
      <c r="E500" s="49"/>
      <c r="F500" s="49"/>
      <c r="G500" s="49"/>
      <c r="H500" s="49"/>
      <c r="I500" s="51"/>
      <c r="J500" s="424"/>
      <c r="K500" s="425"/>
      <c r="L500" s="548"/>
      <c r="M500" s="505"/>
      <c r="N500" s="505"/>
      <c r="O500" s="543"/>
      <c r="P500" s="505" t="s">
        <v>616</v>
      </c>
      <c r="Q500" s="505"/>
      <c r="R500" s="505"/>
      <c r="S500" s="139"/>
      <c r="T500" s="139"/>
      <c r="U500" s="139"/>
      <c r="V500" s="139"/>
      <c r="W500" s="139"/>
      <c r="X500" s="139"/>
      <c r="Y500" s="139"/>
      <c r="Z500" s="139"/>
      <c r="AA500" s="139"/>
      <c r="AB500" s="139"/>
      <c r="AC500" s="139"/>
      <c r="AD500" s="139"/>
      <c r="AE500" s="139"/>
      <c r="AF500" s="139"/>
      <c r="AG500" s="139"/>
      <c r="AH500" s="139"/>
      <c r="AI500" s="139"/>
      <c r="AJ500" s="139"/>
      <c r="AK500" s="139"/>
      <c r="AL500" s="139"/>
      <c r="AM500" s="139"/>
      <c r="AN500" s="139"/>
      <c r="AO500" s="139"/>
      <c r="AP500" s="49"/>
      <c r="AQ500" s="51"/>
      <c r="AR500" s="208"/>
      <c r="AS500" s="49"/>
      <c r="AT500" s="49"/>
      <c r="AU500" s="49"/>
      <c r="AV500" s="49"/>
      <c r="AW500" s="49"/>
      <c r="AX500" s="49"/>
      <c r="AY500" s="52"/>
      <c r="BA500" s="23">
        <v>3.2</v>
      </c>
    </row>
    <row r="501" spans="1:53" ht="13.5" customHeight="1">
      <c r="A501" s="56"/>
      <c r="B501" s="50"/>
      <c r="C501" s="49"/>
      <c r="D501" s="49"/>
      <c r="E501" s="49"/>
      <c r="F501" s="49"/>
      <c r="G501" s="49"/>
      <c r="H501" s="49"/>
      <c r="I501" s="51"/>
      <c r="J501" s="424"/>
      <c r="K501" s="425"/>
      <c r="L501" s="548"/>
      <c r="M501" s="505"/>
      <c r="N501" s="505"/>
      <c r="O501" s="543"/>
      <c r="P501" s="505" t="s">
        <v>530</v>
      </c>
      <c r="Q501" s="505"/>
      <c r="R501" s="505"/>
      <c r="S501" s="139"/>
      <c r="T501" s="139"/>
      <c r="U501" s="139"/>
      <c r="V501" s="139"/>
      <c r="W501" s="139"/>
      <c r="X501" s="139"/>
      <c r="Y501" s="139"/>
      <c r="Z501" s="139"/>
      <c r="AA501" s="139"/>
      <c r="AB501" s="139"/>
      <c r="AC501" s="139"/>
      <c r="AD501" s="139"/>
      <c r="AE501" s="139"/>
      <c r="AF501" s="139"/>
      <c r="AG501" s="139"/>
      <c r="AH501" s="139"/>
      <c r="AI501" s="139"/>
      <c r="AJ501" s="139"/>
      <c r="AK501" s="139"/>
      <c r="AL501" s="139"/>
      <c r="AM501" s="139"/>
      <c r="AN501" s="139"/>
      <c r="AO501" s="139"/>
      <c r="AP501" s="49"/>
      <c r="AQ501" s="51"/>
      <c r="AR501" s="208"/>
      <c r="AS501" s="49"/>
      <c r="AT501" s="49"/>
      <c r="AU501" s="49"/>
      <c r="AV501" s="49"/>
      <c r="AW501" s="49"/>
      <c r="AX501" s="49"/>
      <c r="AY501" s="52"/>
      <c r="BA501" s="23">
        <v>3.2</v>
      </c>
    </row>
    <row r="502" spans="1:53" ht="13.5" customHeight="1">
      <c r="A502" s="56"/>
      <c r="B502" s="50"/>
      <c r="C502" s="49"/>
      <c r="D502" s="49"/>
      <c r="E502" s="49"/>
      <c r="F502" s="49"/>
      <c r="G502" s="49"/>
      <c r="H502" s="49"/>
      <c r="I502" s="51"/>
      <c r="J502" s="424"/>
      <c r="K502" s="425"/>
      <c r="L502" s="548"/>
      <c r="M502" s="505"/>
      <c r="N502" s="505"/>
      <c r="O502" s="543"/>
      <c r="P502" s="505" t="s">
        <v>598</v>
      </c>
      <c r="Q502" s="505"/>
      <c r="R502" s="505"/>
      <c r="S502" s="139"/>
      <c r="T502" s="139"/>
      <c r="U502" s="139"/>
      <c r="V502" s="139"/>
      <c r="W502" s="139"/>
      <c r="X502" s="139"/>
      <c r="Y502" s="139"/>
      <c r="Z502" s="139"/>
      <c r="AA502" s="139"/>
      <c r="AB502" s="139"/>
      <c r="AC502" s="139"/>
      <c r="AD502" s="139"/>
      <c r="AE502" s="139"/>
      <c r="AF502" s="139"/>
      <c r="AG502" s="139"/>
      <c r="AH502" s="139"/>
      <c r="AI502" s="139"/>
      <c r="AJ502" s="139"/>
      <c r="AK502" s="139"/>
      <c r="AL502" s="139"/>
      <c r="AM502" s="139"/>
      <c r="AN502" s="139"/>
      <c r="AO502" s="139"/>
      <c r="AP502" s="49"/>
      <c r="AQ502" s="51"/>
      <c r="AR502" s="208"/>
      <c r="AS502" s="49"/>
      <c r="AT502" s="49"/>
      <c r="AU502" s="49"/>
      <c r="AV502" s="49"/>
      <c r="AW502" s="49"/>
      <c r="AX502" s="49"/>
      <c r="AY502" s="52"/>
      <c r="BA502" s="23">
        <v>3.2</v>
      </c>
    </row>
    <row r="503" spans="1:53" ht="13.5" customHeight="1">
      <c r="A503" s="56"/>
      <c r="B503" s="50"/>
      <c r="C503" s="49"/>
      <c r="D503" s="49"/>
      <c r="E503" s="49"/>
      <c r="F503" s="49"/>
      <c r="G503" s="49"/>
      <c r="H503" s="49"/>
      <c r="I503" s="51"/>
      <c r="J503" s="424"/>
      <c r="K503" s="425"/>
      <c r="L503" s="548"/>
      <c r="M503" s="505"/>
      <c r="N503" s="505"/>
      <c r="O503" s="543"/>
      <c r="P503" s="505"/>
      <c r="Q503" s="505" t="s">
        <v>1090</v>
      </c>
      <c r="R503" s="505"/>
      <c r="S503" s="139"/>
      <c r="T503" s="139"/>
      <c r="U503" s="139"/>
      <c r="V503" s="139"/>
      <c r="W503" s="139"/>
      <c r="X503" s="139"/>
      <c r="Y503" s="139"/>
      <c r="Z503" s="139"/>
      <c r="AA503" s="139"/>
      <c r="AB503" s="139"/>
      <c r="AC503" s="139"/>
      <c r="AD503" s="139"/>
      <c r="AE503" s="139"/>
      <c r="AF503" s="139"/>
      <c r="AG503" s="139"/>
      <c r="AH503" s="139"/>
      <c r="AI503" s="139"/>
      <c r="AJ503" s="139"/>
      <c r="AK503" s="139"/>
      <c r="AL503" s="139"/>
      <c r="AM503" s="139"/>
      <c r="AN503" s="139"/>
      <c r="AO503" s="139"/>
      <c r="AP503" s="49"/>
      <c r="AQ503" s="51"/>
      <c r="AR503" s="208"/>
      <c r="AS503" s="49"/>
      <c r="AT503" s="49"/>
      <c r="AU503" s="49"/>
      <c r="AV503" s="49"/>
      <c r="AW503" s="49"/>
      <c r="AX503" s="49"/>
      <c r="AY503" s="52"/>
      <c r="BA503" s="23">
        <v>3.2</v>
      </c>
    </row>
    <row r="504" spans="1:53" ht="13.5" customHeight="1">
      <c r="A504" s="56"/>
      <c r="B504" s="50"/>
      <c r="C504" s="49"/>
      <c r="D504" s="49"/>
      <c r="E504" s="49"/>
      <c r="F504" s="49"/>
      <c r="G504" s="49"/>
      <c r="H504" s="49"/>
      <c r="I504" s="51"/>
      <c r="J504" s="424"/>
      <c r="K504" s="425"/>
      <c r="L504" s="548"/>
      <c r="M504" s="505"/>
      <c r="N504" s="505"/>
      <c r="O504" s="543"/>
      <c r="P504" s="505"/>
      <c r="Q504" s="505"/>
      <c r="R504" s="505" t="s">
        <v>1092</v>
      </c>
      <c r="S504" s="139"/>
      <c r="T504" s="139"/>
      <c r="U504" s="139"/>
      <c r="V504" s="139"/>
      <c r="W504" s="139"/>
      <c r="X504" s="139"/>
      <c r="Y504" s="139"/>
      <c r="Z504" s="139"/>
      <c r="AA504" s="139"/>
      <c r="AB504" s="139"/>
      <c r="AC504" s="139"/>
      <c r="AD504" s="139"/>
      <c r="AE504" s="139"/>
      <c r="AF504" s="139"/>
      <c r="AG504" s="139"/>
      <c r="AH504" s="139"/>
      <c r="AI504" s="139"/>
      <c r="AJ504" s="139"/>
      <c r="AK504" s="139"/>
      <c r="AL504" s="139"/>
      <c r="AM504" s="139"/>
      <c r="AN504" s="139"/>
      <c r="AO504" s="139"/>
      <c r="AP504" s="49"/>
      <c r="AQ504" s="51"/>
      <c r="AR504" s="208"/>
      <c r="AS504" s="49"/>
      <c r="AT504" s="49"/>
      <c r="AU504" s="49"/>
      <c r="AV504" s="49"/>
      <c r="AW504" s="49"/>
      <c r="AX504" s="49"/>
      <c r="AY504" s="52"/>
      <c r="BA504" s="23">
        <v>3.2</v>
      </c>
    </row>
    <row r="505" spans="1:53" ht="13.5" customHeight="1">
      <c r="A505" s="56"/>
      <c r="B505" s="50"/>
      <c r="C505" s="49"/>
      <c r="D505" s="49"/>
      <c r="E505" s="49"/>
      <c r="F505" s="49"/>
      <c r="G505" s="49"/>
      <c r="H505" s="49"/>
      <c r="I505" s="51"/>
      <c r="J505" s="424"/>
      <c r="K505" s="425"/>
      <c r="L505" s="548"/>
      <c r="M505" s="505"/>
      <c r="N505" s="505"/>
      <c r="O505" s="543"/>
      <c r="P505" s="505"/>
      <c r="Q505" s="505"/>
      <c r="R505" s="505" t="s">
        <v>1091</v>
      </c>
      <c r="S505" s="139"/>
      <c r="T505" s="139"/>
      <c r="U505" s="139"/>
      <c r="V505" s="139"/>
      <c r="W505" s="139"/>
      <c r="X505" s="139"/>
      <c r="Y505" s="139"/>
      <c r="Z505" s="139"/>
      <c r="AA505" s="139"/>
      <c r="AB505" s="139"/>
      <c r="AC505" s="139"/>
      <c r="AD505" s="139"/>
      <c r="AE505" s="139"/>
      <c r="AF505" s="139"/>
      <c r="AG505" s="139"/>
      <c r="AH505" s="139"/>
      <c r="AI505" s="139"/>
      <c r="AJ505" s="139"/>
      <c r="AK505" s="139"/>
      <c r="AL505" s="139"/>
      <c r="AM505" s="139"/>
      <c r="AN505" s="139"/>
      <c r="AO505" s="139"/>
      <c r="AP505" s="49"/>
      <c r="AQ505" s="51"/>
      <c r="AR505" s="208"/>
      <c r="AS505" s="49"/>
      <c r="AT505" s="49"/>
      <c r="AU505" s="49"/>
      <c r="AV505" s="49"/>
      <c r="AW505" s="49"/>
      <c r="AX505" s="49"/>
      <c r="AY505" s="52"/>
      <c r="BA505" s="23">
        <v>3.2</v>
      </c>
    </row>
    <row r="506" spans="1:53" ht="13.5" customHeight="1">
      <c r="A506" s="56"/>
      <c r="B506" s="50"/>
      <c r="C506" s="49"/>
      <c r="D506" s="49"/>
      <c r="E506" s="49"/>
      <c r="F506" s="49"/>
      <c r="G506" s="49"/>
      <c r="H506" s="49"/>
      <c r="I506" s="51"/>
      <c r="J506" s="424"/>
      <c r="K506" s="425"/>
      <c r="L506" s="548"/>
      <c r="M506" s="505"/>
      <c r="N506" s="505"/>
      <c r="O506" s="543"/>
      <c r="P506" s="505"/>
      <c r="Q506" s="505" t="s">
        <v>530</v>
      </c>
      <c r="R506" s="505"/>
      <c r="S506" s="139"/>
      <c r="T506" s="139"/>
      <c r="U506" s="139"/>
      <c r="V506" s="139"/>
      <c r="W506" s="139"/>
      <c r="X506" s="139"/>
      <c r="Y506" s="139"/>
      <c r="Z506" s="139"/>
      <c r="AA506" s="139"/>
      <c r="AB506" s="139"/>
      <c r="AC506" s="139"/>
      <c r="AD506" s="139"/>
      <c r="AE506" s="139"/>
      <c r="AF506" s="139"/>
      <c r="AG506" s="139"/>
      <c r="AH506" s="139"/>
      <c r="AI506" s="139"/>
      <c r="AJ506" s="139"/>
      <c r="AK506" s="139"/>
      <c r="AL506" s="139"/>
      <c r="AM506" s="139"/>
      <c r="AN506" s="139"/>
      <c r="AO506" s="139"/>
      <c r="AP506" s="49"/>
      <c r="AQ506" s="51"/>
      <c r="AR506" s="208"/>
      <c r="AS506" s="49"/>
      <c r="AT506" s="49"/>
      <c r="AU506" s="49"/>
      <c r="AV506" s="49"/>
      <c r="AW506" s="49"/>
      <c r="AX506" s="49"/>
      <c r="AY506" s="52"/>
      <c r="BA506" s="23">
        <v>3.2</v>
      </c>
    </row>
    <row r="507" spans="1:53" ht="13.5" customHeight="1">
      <c r="A507" s="56"/>
      <c r="B507" s="50"/>
      <c r="C507" s="49"/>
      <c r="D507" s="49"/>
      <c r="E507" s="49"/>
      <c r="F507" s="49"/>
      <c r="G507" s="49"/>
      <c r="H507" s="49"/>
      <c r="I507" s="51"/>
      <c r="J507" s="424"/>
      <c r="K507" s="425"/>
      <c r="L507" s="548"/>
      <c r="M507" s="505"/>
      <c r="N507" s="505"/>
      <c r="O507" s="543"/>
      <c r="P507" s="505"/>
      <c r="Q507" s="505" t="s">
        <v>1093</v>
      </c>
      <c r="R507" s="505"/>
      <c r="S507" s="139"/>
      <c r="T507" s="139"/>
      <c r="U507" s="139"/>
      <c r="V507" s="139"/>
      <c r="W507" s="139"/>
      <c r="X507" s="139"/>
      <c r="Y507" s="139"/>
      <c r="Z507" s="139"/>
      <c r="AA507" s="139"/>
      <c r="AB507" s="139"/>
      <c r="AC507" s="139"/>
      <c r="AD507" s="139"/>
      <c r="AE507" s="139"/>
      <c r="AF507" s="139"/>
      <c r="AG507" s="139"/>
      <c r="AH507" s="139"/>
      <c r="AI507" s="139"/>
      <c r="AJ507" s="139"/>
      <c r="AK507" s="139"/>
      <c r="AL507" s="139"/>
      <c r="AM507" s="139"/>
      <c r="AN507" s="139"/>
      <c r="AO507" s="139"/>
      <c r="AP507" s="49"/>
      <c r="AQ507" s="51"/>
      <c r="AR507" s="208"/>
      <c r="AS507" s="49"/>
      <c r="AT507" s="49"/>
      <c r="AU507" s="49"/>
      <c r="AV507" s="49"/>
      <c r="AW507" s="49"/>
      <c r="AX507" s="49"/>
      <c r="AY507" s="52"/>
      <c r="BA507" s="23">
        <v>3.2</v>
      </c>
    </row>
    <row r="508" spans="1:53" ht="13.5" customHeight="1">
      <c r="A508" s="56"/>
      <c r="B508" s="50"/>
      <c r="C508" s="49"/>
      <c r="D508" s="49"/>
      <c r="E508" s="49"/>
      <c r="F508" s="49"/>
      <c r="G508" s="49"/>
      <c r="H508" s="49"/>
      <c r="I508" s="51"/>
      <c r="J508" s="424"/>
      <c r="K508" s="425"/>
      <c r="L508" s="548"/>
      <c r="M508" s="505"/>
      <c r="N508" s="505"/>
      <c r="O508" s="543"/>
      <c r="P508" s="505"/>
      <c r="Q508" s="505"/>
      <c r="R508" s="505" t="s">
        <v>1094</v>
      </c>
      <c r="S508" s="139"/>
      <c r="T508" s="139"/>
      <c r="U508" s="139"/>
      <c r="V508" s="139"/>
      <c r="W508" s="139"/>
      <c r="X508" s="139"/>
      <c r="Y508" s="139"/>
      <c r="Z508" s="139"/>
      <c r="AA508" s="139"/>
      <c r="AB508" s="139"/>
      <c r="AC508" s="139"/>
      <c r="AD508" s="139"/>
      <c r="AE508" s="139"/>
      <c r="AF508" s="139"/>
      <c r="AG508" s="139"/>
      <c r="AH508" s="139"/>
      <c r="AI508" s="139"/>
      <c r="AJ508" s="139"/>
      <c r="AK508" s="139"/>
      <c r="AL508" s="139"/>
      <c r="AM508" s="139"/>
      <c r="AN508" s="139"/>
      <c r="AO508" s="139"/>
      <c r="AP508" s="49"/>
      <c r="AQ508" s="51"/>
      <c r="AR508" s="208"/>
      <c r="AS508" s="49"/>
      <c r="AT508" s="49"/>
      <c r="AU508" s="49"/>
      <c r="AV508" s="49"/>
      <c r="AW508" s="49"/>
      <c r="AX508" s="49"/>
      <c r="AY508" s="52"/>
      <c r="BA508" s="23">
        <v>3.2</v>
      </c>
    </row>
    <row r="509" spans="1:53" ht="13.5" customHeight="1">
      <c r="A509" s="56"/>
      <c r="B509" s="50"/>
      <c r="C509" s="49"/>
      <c r="D509" s="49"/>
      <c r="E509" s="49"/>
      <c r="F509" s="49"/>
      <c r="G509" s="49"/>
      <c r="H509" s="49"/>
      <c r="I509" s="51"/>
      <c r="J509" s="424"/>
      <c r="K509" s="425"/>
      <c r="L509" s="548"/>
      <c r="M509" s="505"/>
      <c r="N509" s="505"/>
      <c r="O509" s="543"/>
      <c r="P509" s="505"/>
      <c r="Q509" s="505"/>
      <c r="R509" s="505" t="s">
        <v>1091</v>
      </c>
      <c r="S509" s="139"/>
      <c r="T509" s="139"/>
      <c r="U509" s="139"/>
      <c r="V509" s="139"/>
      <c r="W509" s="139"/>
      <c r="X509" s="139"/>
      <c r="Y509" s="139"/>
      <c r="Z509" s="139"/>
      <c r="AA509" s="139"/>
      <c r="AB509" s="139"/>
      <c r="AC509" s="139"/>
      <c r="AD509" s="139"/>
      <c r="AE509" s="139"/>
      <c r="AF509" s="139"/>
      <c r="AG509" s="139"/>
      <c r="AH509" s="139"/>
      <c r="AI509" s="139"/>
      <c r="AJ509" s="139"/>
      <c r="AK509" s="139"/>
      <c r="AL509" s="139"/>
      <c r="AM509" s="139"/>
      <c r="AN509" s="139"/>
      <c r="AO509" s="139"/>
      <c r="AP509" s="49"/>
      <c r="AQ509" s="51"/>
      <c r="AR509" s="208"/>
      <c r="AS509" s="49"/>
      <c r="AT509" s="49"/>
      <c r="AU509" s="49"/>
      <c r="AV509" s="49"/>
      <c r="AW509" s="49"/>
      <c r="AX509" s="49"/>
      <c r="AY509" s="52"/>
      <c r="BA509" s="23">
        <v>3.2</v>
      </c>
    </row>
    <row r="510" spans="1:53" ht="13.5" customHeight="1">
      <c r="A510" s="56"/>
      <c r="B510" s="50"/>
      <c r="C510" s="49"/>
      <c r="D510" s="49"/>
      <c r="E510" s="49"/>
      <c r="F510" s="49"/>
      <c r="G510" s="49"/>
      <c r="H510" s="49"/>
      <c r="I510" s="51"/>
      <c r="J510" s="424"/>
      <c r="K510" s="425"/>
      <c r="L510" s="548"/>
      <c r="M510" s="505"/>
      <c r="N510" s="505"/>
      <c r="O510" s="543"/>
      <c r="P510" s="505" t="s">
        <v>531</v>
      </c>
      <c r="Q510" s="505"/>
      <c r="R510" s="505"/>
      <c r="S510" s="139"/>
      <c r="T510" s="139"/>
      <c r="U510" s="139"/>
      <c r="V510" s="139"/>
      <c r="W510" s="139"/>
      <c r="X510" s="139"/>
      <c r="Y510" s="139"/>
      <c r="Z510" s="139"/>
      <c r="AA510" s="139"/>
      <c r="AB510" s="139"/>
      <c r="AC510" s="139"/>
      <c r="AD510" s="139"/>
      <c r="AE510" s="139"/>
      <c r="AF510" s="139"/>
      <c r="AG510" s="139"/>
      <c r="AH510" s="139"/>
      <c r="AI510" s="139"/>
      <c r="AJ510" s="139"/>
      <c r="AK510" s="139"/>
      <c r="AL510" s="139"/>
      <c r="AM510" s="139"/>
      <c r="AN510" s="139"/>
      <c r="AO510" s="139"/>
      <c r="AP510" s="49"/>
      <c r="AQ510" s="51"/>
      <c r="AR510" s="208"/>
      <c r="AS510" s="49"/>
      <c r="AT510" s="49"/>
      <c r="AU510" s="49"/>
      <c r="AV510" s="49"/>
      <c r="AW510" s="49"/>
      <c r="AX510" s="49"/>
      <c r="AY510" s="52"/>
      <c r="BA510" s="23">
        <v>3.2</v>
      </c>
    </row>
    <row r="511" spans="1:53" ht="13.5" customHeight="1">
      <c r="A511" s="56"/>
      <c r="B511" s="50"/>
      <c r="C511" s="49"/>
      <c r="D511" s="49"/>
      <c r="E511" s="49"/>
      <c r="F511" s="49"/>
      <c r="G511" s="49"/>
      <c r="H511" s="49"/>
      <c r="I511" s="51"/>
      <c r="J511" s="424"/>
      <c r="K511" s="425"/>
      <c r="L511" s="548"/>
      <c r="M511" s="505"/>
      <c r="N511" s="505"/>
      <c r="O511" s="543" t="s">
        <v>531</v>
      </c>
      <c r="P511" s="505"/>
      <c r="Q511" s="505"/>
      <c r="R511" s="505"/>
      <c r="S511" s="139"/>
      <c r="T511" s="139"/>
      <c r="U511" s="139"/>
      <c r="V511" s="139"/>
      <c r="W511" s="139"/>
      <c r="X511" s="139"/>
      <c r="Y511" s="139"/>
      <c r="Z511" s="139"/>
      <c r="AA511" s="139"/>
      <c r="AB511" s="139"/>
      <c r="AC511" s="139"/>
      <c r="AD511" s="139"/>
      <c r="AE511" s="139"/>
      <c r="AF511" s="139"/>
      <c r="AG511" s="139"/>
      <c r="AH511" s="139"/>
      <c r="AI511" s="139"/>
      <c r="AJ511" s="139"/>
      <c r="AK511" s="139"/>
      <c r="AL511" s="139"/>
      <c r="AM511" s="139"/>
      <c r="AN511" s="139"/>
      <c r="AO511" s="139"/>
      <c r="AP511" s="49"/>
      <c r="AQ511" s="51"/>
      <c r="AR511" s="208"/>
      <c r="AS511" s="49"/>
      <c r="AT511" s="49"/>
      <c r="AU511" s="49"/>
      <c r="AV511" s="49"/>
      <c r="AW511" s="49"/>
      <c r="AX511" s="49"/>
      <c r="AY511" s="52"/>
      <c r="BA511" s="23">
        <v>3.2</v>
      </c>
    </row>
    <row r="512" spans="1:53" ht="13.5" customHeight="1">
      <c r="A512" s="56"/>
      <c r="B512" s="50"/>
      <c r="C512" s="49"/>
      <c r="D512" s="49"/>
      <c r="E512" s="49"/>
      <c r="F512" s="49"/>
      <c r="G512" s="49"/>
      <c r="H512" s="49"/>
      <c r="I512" s="51"/>
      <c r="J512" s="424"/>
      <c r="K512" s="425"/>
      <c r="L512" s="548"/>
      <c r="M512" s="505"/>
      <c r="N512" s="505"/>
      <c r="O512" s="543"/>
      <c r="P512" s="505"/>
      <c r="Q512" s="505"/>
      <c r="R512" s="505"/>
      <c r="S512" s="139"/>
      <c r="T512" s="139"/>
      <c r="U512" s="139"/>
      <c r="V512" s="139"/>
      <c r="W512" s="139"/>
      <c r="X512" s="139"/>
      <c r="Y512" s="139"/>
      <c r="Z512" s="139"/>
      <c r="AA512" s="139"/>
      <c r="AB512" s="139"/>
      <c r="AC512" s="139"/>
      <c r="AD512" s="139"/>
      <c r="AE512" s="139"/>
      <c r="AF512" s="139"/>
      <c r="AG512" s="139"/>
      <c r="AH512" s="139"/>
      <c r="AI512" s="139"/>
      <c r="AJ512" s="139"/>
      <c r="AK512" s="139"/>
      <c r="AL512" s="139"/>
      <c r="AM512" s="139"/>
      <c r="AN512" s="139"/>
      <c r="AO512" s="139"/>
      <c r="AP512" s="49"/>
      <c r="AQ512" s="51"/>
      <c r="AR512" s="208"/>
      <c r="AS512" s="49"/>
      <c r="AT512" s="49"/>
      <c r="AU512" s="49"/>
      <c r="AV512" s="49"/>
      <c r="AW512" s="49"/>
      <c r="AX512" s="49"/>
      <c r="AY512" s="52"/>
    </row>
    <row r="513" spans="1:53" ht="13.5" customHeight="1">
      <c r="A513" s="56"/>
      <c r="B513" s="50"/>
      <c r="C513" s="49"/>
      <c r="D513" s="49"/>
      <c r="E513" s="49"/>
      <c r="F513" s="49"/>
      <c r="G513" s="49"/>
      <c r="H513" s="49"/>
      <c r="I513" s="51"/>
      <c r="J513" s="424"/>
      <c r="K513" s="425"/>
      <c r="L513" s="548"/>
      <c r="M513" s="505"/>
      <c r="N513" s="505"/>
      <c r="O513" s="543"/>
      <c r="P513" s="505"/>
      <c r="Q513" s="505"/>
      <c r="R513" s="505"/>
      <c r="S513" s="139"/>
      <c r="T513" s="139"/>
      <c r="U513" s="139"/>
      <c r="V513" s="139"/>
      <c r="W513" s="139"/>
      <c r="X513" s="139"/>
      <c r="Y513" s="139"/>
      <c r="Z513" s="139"/>
      <c r="AA513" s="139"/>
      <c r="AB513" s="139"/>
      <c r="AC513" s="139"/>
      <c r="AD513" s="139"/>
      <c r="AE513" s="139"/>
      <c r="AF513" s="139"/>
      <c r="AG513" s="139"/>
      <c r="AH513" s="139"/>
      <c r="AI513" s="139"/>
      <c r="AJ513" s="139"/>
      <c r="AK513" s="139"/>
      <c r="AL513" s="139"/>
      <c r="AM513" s="139"/>
      <c r="AN513" s="139"/>
      <c r="AO513" s="139"/>
      <c r="AP513" s="49"/>
      <c r="AQ513" s="51"/>
      <c r="AR513" s="208"/>
      <c r="AS513" s="49"/>
      <c r="AT513" s="49"/>
      <c r="AU513" s="49"/>
      <c r="AV513" s="49"/>
      <c r="AW513" s="49"/>
      <c r="AX513" s="49"/>
      <c r="AY513" s="52"/>
    </row>
    <row r="514" spans="1:53" ht="13.5" customHeight="1">
      <c r="A514" s="56"/>
      <c r="B514" s="50"/>
      <c r="C514" s="49"/>
      <c r="D514" s="49"/>
      <c r="E514" s="49"/>
      <c r="F514" s="49"/>
      <c r="G514" s="49"/>
      <c r="H514" s="49"/>
      <c r="I514" s="51"/>
      <c r="J514" s="424"/>
      <c r="K514" s="425"/>
      <c r="L514" s="548"/>
      <c r="M514" s="505"/>
      <c r="N514" s="505" t="s">
        <v>450</v>
      </c>
      <c r="O514" s="543"/>
      <c r="P514" s="505"/>
      <c r="Q514" s="505"/>
      <c r="R514" s="505"/>
      <c r="S514" s="139"/>
      <c r="T514" s="139"/>
      <c r="U514" s="139"/>
      <c r="V514" s="139"/>
      <c r="W514" s="139"/>
      <c r="X514" s="139"/>
      <c r="Y514" s="139"/>
      <c r="Z514" s="139"/>
      <c r="AA514" s="139"/>
      <c r="AB514" s="139"/>
      <c r="AC514" s="139"/>
      <c r="AD514" s="139"/>
      <c r="AE514" s="139"/>
      <c r="AF514" s="139"/>
      <c r="AG514" s="139"/>
      <c r="AH514" s="139"/>
      <c r="AI514" s="139"/>
      <c r="AJ514" s="139"/>
      <c r="AK514" s="139"/>
      <c r="AL514" s="139"/>
      <c r="AM514" s="139"/>
      <c r="AN514" s="139"/>
      <c r="AO514" s="139"/>
      <c r="AP514" s="49"/>
      <c r="AQ514" s="51"/>
      <c r="AR514" s="208"/>
      <c r="AS514" s="49"/>
      <c r="AT514" s="49"/>
      <c r="AU514" s="49"/>
      <c r="AV514" s="49"/>
      <c r="AW514" s="49"/>
      <c r="AX514" s="49"/>
      <c r="AY514" s="52"/>
      <c r="BA514" s="23">
        <v>3.2</v>
      </c>
    </row>
    <row r="515" spans="1:53" ht="13.5" customHeight="1">
      <c r="A515" s="56"/>
      <c r="B515" s="50"/>
      <c r="C515" s="49"/>
      <c r="D515" s="49"/>
      <c r="E515" s="49"/>
      <c r="F515" s="49"/>
      <c r="G515" s="49"/>
      <c r="H515" s="49"/>
      <c r="I515" s="51"/>
      <c r="J515" s="424"/>
      <c r="K515" s="425"/>
      <c r="L515" s="548"/>
      <c r="M515" s="505"/>
      <c r="N515" s="505"/>
      <c r="O515" s="543" t="s">
        <v>1114</v>
      </c>
      <c r="P515" s="505"/>
      <c r="Q515" s="505"/>
      <c r="R515" s="505"/>
      <c r="S515" s="139"/>
      <c r="T515" s="139"/>
      <c r="U515" s="139"/>
      <c r="V515" s="139"/>
      <c r="W515" s="139"/>
      <c r="X515" s="139"/>
      <c r="Y515" s="139"/>
      <c r="Z515" s="139"/>
      <c r="AA515" s="139"/>
      <c r="AB515" s="139"/>
      <c r="AC515" s="139"/>
      <c r="AD515" s="139"/>
      <c r="AE515" s="139"/>
      <c r="AF515" s="139"/>
      <c r="AG515" s="139"/>
      <c r="AH515" s="139"/>
      <c r="AI515" s="139"/>
      <c r="AJ515" s="139"/>
      <c r="AK515" s="139"/>
      <c r="AL515" s="139"/>
      <c r="AM515" s="139"/>
      <c r="AN515" s="139"/>
      <c r="AO515" s="139"/>
      <c r="AP515" s="49"/>
      <c r="AQ515" s="51"/>
      <c r="AR515" s="208"/>
      <c r="AS515" s="49"/>
      <c r="AT515" s="49"/>
      <c r="AU515" s="49"/>
      <c r="AV515" s="49"/>
      <c r="AW515" s="49"/>
      <c r="AX515" s="49"/>
      <c r="AY515" s="52"/>
      <c r="BA515" s="23">
        <v>3.2</v>
      </c>
    </row>
    <row r="516" spans="1:53" ht="13.5" customHeight="1">
      <c r="A516" s="56"/>
      <c r="B516" s="50"/>
      <c r="C516" s="49"/>
      <c r="D516" s="49"/>
      <c r="E516" s="49"/>
      <c r="F516" s="49"/>
      <c r="G516" s="49"/>
      <c r="H516" s="49"/>
      <c r="I516" s="51"/>
      <c r="J516" s="424"/>
      <c r="K516" s="425"/>
      <c r="L516" s="548"/>
      <c r="M516" s="505"/>
      <c r="N516" s="505" t="s">
        <v>452</v>
      </c>
      <c r="O516" s="543"/>
      <c r="P516" s="505"/>
      <c r="Q516" s="505"/>
      <c r="R516" s="505"/>
      <c r="S516" s="139"/>
      <c r="T516" s="139"/>
      <c r="U516" s="139"/>
      <c r="V516" s="139"/>
      <c r="W516" s="139"/>
      <c r="X516" s="139"/>
      <c r="Y516" s="139"/>
      <c r="Z516" s="139"/>
      <c r="AA516" s="139"/>
      <c r="AB516" s="139"/>
      <c r="AC516" s="139"/>
      <c r="AD516" s="139"/>
      <c r="AE516" s="139"/>
      <c r="AF516" s="139"/>
      <c r="AG516" s="139"/>
      <c r="AH516" s="139"/>
      <c r="AI516" s="139"/>
      <c r="AJ516" s="139"/>
      <c r="AK516" s="139"/>
      <c r="AL516" s="139"/>
      <c r="AM516" s="139"/>
      <c r="AN516" s="139"/>
      <c r="AO516" s="139"/>
      <c r="AP516" s="49"/>
      <c r="AQ516" s="51"/>
      <c r="AR516" s="208"/>
      <c r="AS516" s="49"/>
      <c r="AT516" s="49"/>
      <c r="AU516" s="49"/>
      <c r="AV516" s="49"/>
      <c r="AW516" s="49"/>
      <c r="AX516" s="49"/>
      <c r="AY516" s="52"/>
      <c r="BA516" s="23">
        <v>3.2</v>
      </c>
    </row>
    <row r="517" spans="1:53" ht="13.5" customHeight="1">
      <c r="A517" s="56"/>
      <c r="B517" s="50"/>
      <c r="C517" s="49"/>
      <c r="D517" s="49"/>
      <c r="E517" s="49"/>
      <c r="F517" s="49"/>
      <c r="G517" s="49"/>
      <c r="H517" s="49"/>
      <c r="I517" s="51"/>
      <c r="J517" s="424"/>
      <c r="K517" s="425"/>
      <c r="L517" s="548"/>
      <c r="M517" s="505" t="s">
        <v>594</v>
      </c>
      <c r="N517" s="505"/>
      <c r="O517" s="543" t="s">
        <v>1095</v>
      </c>
      <c r="P517" s="505"/>
      <c r="Q517" s="505"/>
      <c r="R517" s="505"/>
      <c r="S517" s="139"/>
      <c r="T517" s="139"/>
      <c r="U517" s="139"/>
      <c r="V517" s="139"/>
      <c r="W517" s="139"/>
      <c r="X517" s="139"/>
      <c r="Y517" s="139"/>
      <c r="Z517" s="139"/>
      <c r="AA517" s="139"/>
      <c r="AB517" s="139"/>
      <c r="AC517" s="139"/>
      <c r="AD517" s="139"/>
      <c r="AE517" s="139"/>
      <c r="AF517" s="139"/>
      <c r="AG517" s="139"/>
      <c r="AH517" s="139"/>
      <c r="AI517" s="139"/>
      <c r="AJ517" s="139"/>
      <c r="AK517" s="139"/>
      <c r="AL517" s="139"/>
      <c r="AM517" s="139"/>
      <c r="AN517" s="139"/>
      <c r="AO517" s="139"/>
      <c r="AP517" s="49"/>
      <c r="AQ517" s="51"/>
      <c r="AR517" s="208"/>
      <c r="AS517" s="49"/>
      <c r="AT517" s="49"/>
      <c r="AU517" s="49"/>
      <c r="AV517" s="49"/>
      <c r="AW517" s="49"/>
      <c r="AX517" s="49"/>
      <c r="AY517" s="52"/>
      <c r="BA517" s="23">
        <v>3.2</v>
      </c>
    </row>
    <row r="518" spans="1:53" ht="13.5" customHeight="1">
      <c r="A518" s="56"/>
      <c r="B518" s="50"/>
      <c r="C518" s="49"/>
      <c r="D518" s="49"/>
      <c r="E518" s="49"/>
      <c r="F518" s="49"/>
      <c r="G518" s="49"/>
      <c r="H518" s="49"/>
      <c r="I518" s="51"/>
      <c r="J518" s="424"/>
      <c r="K518" s="425"/>
      <c r="L518" s="548"/>
      <c r="M518" s="505" t="s">
        <v>594</v>
      </c>
      <c r="N518" s="505"/>
      <c r="O518" s="543" t="s">
        <v>1096</v>
      </c>
      <c r="P518" s="505"/>
      <c r="Q518" s="505"/>
      <c r="R518" s="505"/>
      <c r="S518" s="139"/>
      <c r="T518" s="139"/>
      <c r="U518" s="139"/>
      <c r="V518" s="139"/>
      <c r="W518" s="139"/>
      <c r="X518" s="139"/>
      <c r="Y518" s="139"/>
      <c r="Z518" s="139"/>
      <c r="AA518" s="139"/>
      <c r="AB518" s="139"/>
      <c r="AC518" s="139"/>
      <c r="AD518" s="139"/>
      <c r="AE518" s="139"/>
      <c r="AF518" s="139"/>
      <c r="AG518" s="139"/>
      <c r="AH518" s="139"/>
      <c r="AI518" s="139"/>
      <c r="AJ518" s="139"/>
      <c r="AK518" s="139"/>
      <c r="AL518" s="139"/>
      <c r="AM518" s="139"/>
      <c r="AN518" s="139"/>
      <c r="AO518" s="139"/>
      <c r="AP518" s="49"/>
      <c r="AQ518" s="51"/>
      <c r="AR518" s="208"/>
      <c r="AS518" s="49"/>
      <c r="AT518" s="49"/>
      <c r="AU518" s="49"/>
      <c r="AV518" s="49"/>
      <c r="AW518" s="49"/>
      <c r="AX518" s="49"/>
      <c r="AY518" s="52"/>
      <c r="BA518" s="23">
        <v>3.2</v>
      </c>
    </row>
    <row r="519" spans="1:53" ht="13.5" customHeight="1">
      <c r="A519" s="56"/>
      <c r="B519" s="50"/>
      <c r="C519" s="49"/>
      <c r="D519" s="49"/>
      <c r="E519" s="49"/>
      <c r="F519" s="49"/>
      <c r="G519" s="49"/>
      <c r="H519" s="49"/>
      <c r="I519" s="51"/>
      <c r="J519" s="424"/>
      <c r="K519" s="425"/>
      <c r="L519" s="548"/>
      <c r="M519" s="505" t="s">
        <v>594</v>
      </c>
      <c r="N519" s="505"/>
      <c r="O519" s="543" t="s">
        <v>1097</v>
      </c>
      <c r="P519" s="505"/>
      <c r="Q519" s="505"/>
      <c r="R519" s="505"/>
      <c r="S519" s="139"/>
      <c r="T519" s="139"/>
      <c r="U519" s="139"/>
      <c r="V519" s="139"/>
      <c r="W519" s="139"/>
      <c r="X519" s="139"/>
      <c r="Y519" s="139"/>
      <c r="Z519" s="139"/>
      <c r="AA519" s="139"/>
      <c r="AB519" s="139"/>
      <c r="AC519" s="139"/>
      <c r="AD519" s="139"/>
      <c r="AE519" s="139"/>
      <c r="AF519" s="139"/>
      <c r="AG519" s="139"/>
      <c r="AH519" s="139"/>
      <c r="AI519" s="139"/>
      <c r="AJ519" s="139"/>
      <c r="AK519" s="139"/>
      <c r="AL519" s="139"/>
      <c r="AM519" s="139"/>
      <c r="AN519" s="139"/>
      <c r="AO519" s="139"/>
      <c r="AP519" s="49"/>
      <c r="AQ519" s="51"/>
      <c r="AR519" s="208"/>
      <c r="AS519" s="49"/>
      <c r="AT519" s="49"/>
      <c r="AU519" s="49"/>
      <c r="AV519" s="49"/>
      <c r="AW519" s="49"/>
      <c r="AX519" s="49"/>
      <c r="AY519" s="52"/>
      <c r="BA519" s="23">
        <v>3.2</v>
      </c>
    </row>
    <row r="520" spans="1:53" ht="13.5" customHeight="1">
      <c r="A520" s="56"/>
      <c r="B520" s="50"/>
      <c r="C520" s="49"/>
      <c r="D520" s="49"/>
      <c r="E520" s="49"/>
      <c r="F520" s="49"/>
      <c r="G520" s="49"/>
      <c r="H520" s="49"/>
      <c r="I520" s="51"/>
      <c r="J520" s="424"/>
      <c r="K520" s="425"/>
      <c r="L520" s="548"/>
      <c r="M520" s="505" t="s">
        <v>594</v>
      </c>
      <c r="N520" s="505"/>
      <c r="O520" s="543" t="s">
        <v>1116</v>
      </c>
      <c r="P520" s="505"/>
      <c r="Q520" s="505"/>
      <c r="R520" s="505"/>
      <c r="S520" s="139"/>
      <c r="T520" s="139"/>
      <c r="U520" s="139"/>
      <c r="V520" s="139"/>
      <c r="W520" s="139"/>
      <c r="X520" s="139"/>
      <c r="Y520" s="139"/>
      <c r="Z520" s="139"/>
      <c r="AA520" s="139"/>
      <c r="AB520" s="139"/>
      <c r="AC520" s="139"/>
      <c r="AD520" s="139"/>
      <c r="AE520" s="139"/>
      <c r="AF520" s="139"/>
      <c r="AG520" s="139"/>
      <c r="AH520" s="139"/>
      <c r="AI520" s="139"/>
      <c r="AJ520" s="139"/>
      <c r="AK520" s="139"/>
      <c r="AL520" s="139"/>
      <c r="AM520" s="139"/>
      <c r="AN520" s="139"/>
      <c r="AO520" s="139"/>
      <c r="AP520" s="49"/>
      <c r="AQ520" s="51"/>
      <c r="AR520" s="208"/>
      <c r="AS520" s="49"/>
      <c r="AT520" s="49"/>
      <c r="AU520" s="49"/>
      <c r="AV520" s="49"/>
      <c r="AW520" s="49"/>
      <c r="AX520" s="49"/>
      <c r="AY520" s="52"/>
      <c r="BA520" s="23">
        <v>3.2</v>
      </c>
    </row>
    <row r="521" spans="1:53" ht="13.5" customHeight="1">
      <c r="A521" s="56"/>
      <c r="B521" s="50"/>
      <c r="C521" s="49"/>
      <c r="D521" s="49"/>
      <c r="E521" s="49"/>
      <c r="F521" s="49"/>
      <c r="G521" s="49"/>
      <c r="H521" s="49"/>
      <c r="I521" s="51"/>
      <c r="J521" s="424"/>
      <c r="K521" s="425"/>
      <c r="L521" s="548"/>
      <c r="M521" s="505" t="s">
        <v>594</v>
      </c>
      <c r="N521" s="505"/>
      <c r="O521" s="543" t="s">
        <v>1117</v>
      </c>
      <c r="P521" s="505"/>
      <c r="Q521" s="505"/>
      <c r="R521" s="505"/>
      <c r="S521" s="139"/>
      <c r="T521" s="139"/>
      <c r="U521" s="139"/>
      <c r="V521" s="139"/>
      <c r="W521" s="139"/>
      <c r="X521" s="139"/>
      <c r="Y521" s="139"/>
      <c r="Z521" s="139"/>
      <c r="AA521" s="139"/>
      <c r="AB521" s="139"/>
      <c r="AC521" s="139"/>
      <c r="AD521" s="139"/>
      <c r="AE521" s="139"/>
      <c r="AF521" s="139"/>
      <c r="AG521" s="139"/>
      <c r="AH521" s="139"/>
      <c r="AI521" s="139"/>
      <c r="AJ521" s="139"/>
      <c r="AK521" s="139"/>
      <c r="AL521" s="139"/>
      <c r="AM521" s="139"/>
      <c r="AN521" s="139"/>
      <c r="AO521" s="139"/>
      <c r="AP521" s="49"/>
      <c r="AQ521" s="51"/>
      <c r="AR521" s="208"/>
      <c r="AS521" s="49"/>
      <c r="AT521" s="49"/>
      <c r="AU521" s="49"/>
      <c r="AV521" s="49"/>
      <c r="AW521" s="49"/>
      <c r="AX521" s="49"/>
      <c r="AY521" s="52"/>
      <c r="BA521" s="23">
        <v>3.2</v>
      </c>
    </row>
    <row r="522" spans="1:53" ht="13.5" customHeight="1">
      <c r="A522" s="56"/>
      <c r="B522" s="50"/>
      <c r="C522" s="49"/>
      <c r="D522" s="49"/>
      <c r="E522" s="49"/>
      <c r="F522" s="49"/>
      <c r="G522" s="49"/>
      <c r="H522" s="49"/>
      <c r="I522" s="51"/>
      <c r="J522" s="424"/>
      <c r="K522" s="425"/>
      <c r="L522" s="548"/>
      <c r="M522" s="505" t="s">
        <v>594</v>
      </c>
      <c r="N522" s="505"/>
      <c r="O522" s="543" t="s">
        <v>1098</v>
      </c>
      <c r="P522" s="505"/>
      <c r="Q522" s="505"/>
      <c r="R522" s="505"/>
      <c r="S522" s="139"/>
      <c r="T522" s="139"/>
      <c r="U522" s="139"/>
      <c r="V522" s="139"/>
      <c r="W522" s="139"/>
      <c r="X522" s="139"/>
      <c r="Y522" s="139"/>
      <c r="Z522" s="139"/>
      <c r="AA522" s="139"/>
      <c r="AB522" s="139"/>
      <c r="AC522" s="139"/>
      <c r="AD522" s="139"/>
      <c r="AE522" s="139"/>
      <c r="AF522" s="139"/>
      <c r="AG522" s="139"/>
      <c r="AH522" s="139"/>
      <c r="AI522" s="139"/>
      <c r="AJ522" s="139"/>
      <c r="AK522" s="139"/>
      <c r="AL522" s="139"/>
      <c r="AM522" s="139"/>
      <c r="AN522" s="139"/>
      <c r="AO522" s="139"/>
      <c r="AP522" s="49"/>
      <c r="AQ522" s="51"/>
      <c r="AR522" s="208"/>
      <c r="AS522" s="49"/>
      <c r="AT522" s="49"/>
      <c r="AU522" s="49"/>
      <c r="AV522" s="49"/>
      <c r="AW522" s="49"/>
      <c r="AX522" s="49"/>
      <c r="AY522" s="52"/>
      <c r="BA522" s="23">
        <v>3.2</v>
      </c>
    </row>
    <row r="523" spans="1:53" ht="13.5" customHeight="1">
      <c r="A523" s="56"/>
      <c r="B523" s="50"/>
      <c r="C523" s="49"/>
      <c r="D523" s="49"/>
      <c r="E523" s="49"/>
      <c r="F523" s="49"/>
      <c r="G523" s="49"/>
      <c r="H523" s="49"/>
      <c r="I523" s="51"/>
      <c r="J523" s="424"/>
      <c r="K523" s="425"/>
      <c r="L523" s="548"/>
      <c r="M523" s="505" t="s">
        <v>594</v>
      </c>
      <c r="N523" s="505"/>
      <c r="O523" s="543" t="s">
        <v>1099</v>
      </c>
      <c r="P523" s="505"/>
      <c r="Q523" s="505"/>
      <c r="R523" s="505"/>
      <c r="S523" s="139"/>
      <c r="T523" s="139"/>
      <c r="U523" s="139"/>
      <c r="V523" s="139"/>
      <c r="W523" s="139"/>
      <c r="X523" s="139"/>
      <c r="Y523" s="139"/>
      <c r="Z523" s="139"/>
      <c r="AA523" s="139"/>
      <c r="AB523" s="139"/>
      <c r="AC523" s="139"/>
      <c r="AD523" s="139"/>
      <c r="AE523" s="139"/>
      <c r="AF523" s="139"/>
      <c r="AG523" s="139"/>
      <c r="AH523" s="139"/>
      <c r="AI523" s="139"/>
      <c r="AJ523" s="139"/>
      <c r="AK523" s="139"/>
      <c r="AL523" s="139"/>
      <c r="AM523" s="139"/>
      <c r="AN523" s="139"/>
      <c r="AO523" s="139"/>
      <c r="AP523" s="49"/>
      <c r="AQ523" s="51"/>
      <c r="AR523" s="208"/>
      <c r="AS523" s="49"/>
      <c r="AT523" s="49"/>
      <c r="AU523" s="49"/>
      <c r="AV523" s="49"/>
      <c r="AW523" s="49"/>
      <c r="AX523" s="49"/>
      <c r="AY523" s="52"/>
      <c r="BA523" s="23">
        <v>3.2</v>
      </c>
    </row>
    <row r="524" spans="1:53" ht="13.5" customHeight="1">
      <c r="A524" s="56"/>
      <c r="B524" s="50"/>
      <c r="C524" s="49"/>
      <c r="D524" s="49"/>
      <c r="E524" s="49"/>
      <c r="F524" s="49"/>
      <c r="G524" s="49"/>
      <c r="H524" s="49"/>
      <c r="I524" s="51"/>
      <c r="J524" s="424"/>
      <c r="K524" s="425"/>
      <c r="L524" s="548"/>
      <c r="M524" s="505" t="s">
        <v>594</v>
      </c>
      <c r="N524" s="505"/>
      <c r="O524" s="543" t="s">
        <v>1100</v>
      </c>
      <c r="P524" s="505"/>
      <c r="Q524" s="505"/>
      <c r="R524" s="505"/>
      <c r="S524" s="139"/>
      <c r="T524" s="139"/>
      <c r="U524" s="139"/>
      <c r="V524" s="139"/>
      <c r="W524" s="139"/>
      <c r="X524" s="139"/>
      <c r="Y524" s="139"/>
      <c r="Z524" s="139"/>
      <c r="AA524" s="139"/>
      <c r="AB524" s="139"/>
      <c r="AC524" s="139"/>
      <c r="AD524" s="139"/>
      <c r="AE524" s="139"/>
      <c r="AF524" s="139"/>
      <c r="AG524" s="139"/>
      <c r="AH524" s="139"/>
      <c r="AI524" s="139"/>
      <c r="AJ524" s="139"/>
      <c r="AK524" s="139"/>
      <c r="AL524" s="139"/>
      <c r="AM524" s="139"/>
      <c r="AN524" s="139"/>
      <c r="AO524" s="139"/>
      <c r="AP524" s="49"/>
      <c r="AQ524" s="51"/>
      <c r="AR524" s="208"/>
      <c r="AS524" s="49"/>
      <c r="AT524" s="49"/>
      <c r="AU524" s="49"/>
      <c r="AV524" s="49"/>
      <c r="AW524" s="49"/>
      <c r="AX524" s="49"/>
      <c r="AY524" s="52"/>
      <c r="BA524" s="23">
        <v>3.2</v>
      </c>
    </row>
    <row r="525" spans="1:53" ht="13.5" customHeight="1">
      <c r="A525" s="56"/>
      <c r="B525" s="50"/>
      <c r="C525" s="49"/>
      <c r="D525" s="49"/>
      <c r="E525" s="49"/>
      <c r="F525" s="49"/>
      <c r="G525" s="49"/>
      <c r="H525" s="49"/>
      <c r="I525" s="51"/>
      <c r="J525" s="424"/>
      <c r="K525" s="425"/>
      <c r="L525" s="548"/>
      <c r="M525" s="505" t="s">
        <v>594</v>
      </c>
      <c r="N525" s="505"/>
      <c r="O525" s="543" t="s">
        <v>1101</v>
      </c>
      <c r="P525" s="505"/>
      <c r="Q525" s="505"/>
      <c r="R525" s="505"/>
      <c r="S525" s="139"/>
      <c r="T525" s="139"/>
      <c r="U525" s="139"/>
      <c r="V525" s="139"/>
      <c r="W525" s="139"/>
      <c r="X525" s="139"/>
      <c r="Y525" s="139"/>
      <c r="Z525" s="139"/>
      <c r="AA525" s="139"/>
      <c r="AB525" s="139"/>
      <c r="AC525" s="139"/>
      <c r="AD525" s="139"/>
      <c r="AE525" s="139"/>
      <c r="AF525" s="139"/>
      <c r="AG525" s="139"/>
      <c r="AH525" s="139"/>
      <c r="AI525" s="139"/>
      <c r="AJ525" s="139"/>
      <c r="AK525" s="139"/>
      <c r="AL525" s="139"/>
      <c r="AM525" s="139"/>
      <c r="AN525" s="139"/>
      <c r="AO525" s="139"/>
      <c r="AP525" s="49"/>
      <c r="AQ525" s="51"/>
      <c r="AR525" s="208"/>
      <c r="AS525" s="49"/>
      <c r="AT525" s="49"/>
      <c r="AU525" s="49"/>
      <c r="AV525" s="49"/>
      <c r="AW525" s="49"/>
      <c r="AX525" s="49"/>
      <c r="AY525" s="52"/>
      <c r="BA525" s="23">
        <v>3.2</v>
      </c>
    </row>
    <row r="526" spans="1:53" ht="13.5" customHeight="1">
      <c r="A526" s="56"/>
      <c r="B526" s="50"/>
      <c r="C526" s="49"/>
      <c r="D526" s="49"/>
      <c r="E526" s="49"/>
      <c r="F526" s="49"/>
      <c r="G526" s="49"/>
      <c r="H526" s="49"/>
      <c r="I526" s="51"/>
      <c r="J526" s="424"/>
      <c r="K526" s="425"/>
      <c r="L526" s="548"/>
      <c r="M526" s="505" t="s">
        <v>594</v>
      </c>
      <c r="N526" s="505"/>
      <c r="O526" s="543" t="s">
        <v>1102</v>
      </c>
      <c r="P526" s="505"/>
      <c r="Q526" s="505"/>
      <c r="R526" s="505"/>
      <c r="S526" s="139"/>
      <c r="T526" s="139"/>
      <c r="U526" s="139"/>
      <c r="V526" s="139"/>
      <c r="W526" s="139"/>
      <c r="X526" s="139"/>
      <c r="Y526" s="139"/>
      <c r="Z526" s="139"/>
      <c r="AA526" s="139"/>
      <c r="AB526" s="139"/>
      <c r="AC526" s="139"/>
      <c r="AD526" s="139"/>
      <c r="AE526" s="139"/>
      <c r="AF526" s="139"/>
      <c r="AG526" s="139"/>
      <c r="AH526" s="139"/>
      <c r="AI526" s="139"/>
      <c r="AJ526" s="139"/>
      <c r="AK526" s="139"/>
      <c r="AL526" s="139"/>
      <c r="AM526" s="139"/>
      <c r="AN526" s="139"/>
      <c r="AO526" s="139"/>
      <c r="AP526" s="49"/>
      <c r="AQ526" s="51"/>
      <c r="AR526" s="208"/>
      <c r="AS526" s="49"/>
      <c r="AT526" s="49"/>
      <c r="AU526" s="49"/>
      <c r="AV526" s="49"/>
      <c r="AW526" s="49"/>
      <c r="AX526" s="49"/>
      <c r="AY526" s="52"/>
      <c r="BA526" s="23">
        <v>3.2</v>
      </c>
    </row>
    <row r="527" spans="1:53" ht="13.5" customHeight="1">
      <c r="A527" s="56"/>
      <c r="B527" s="50"/>
      <c r="C527" s="49"/>
      <c r="D527" s="49"/>
      <c r="E527" s="49"/>
      <c r="F527" s="49"/>
      <c r="G527" s="49"/>
      <c r="H527" s="49"/>
      <c r="I527" s="51"/>
      <c r="J527" s="424"/>
      <c r="K527" s="425"/>
      <c r="L527" s="548"/>
      <c r="M527" s="505" t="s">
        <v>594</v>
      </c>
      <c r="N527" s="505"/>
      <c r="O527" s="543" t="s">
        <v>1103</v>
      </c>
      <c r="P527" s="505"/>
      <c r="Q527" s="505"/>
      <c r="R527" s="505"/>
      <c r="S527" s="139"/>
      <c r="T527" s="139"/>
      <c r="U527" s="139"/>
      <c r="V527" s="139"/>
      <c r="W527" s="139"/>
      <c r="X527" s="139"/>
      <c r="Y527" s="139"/>
      <c r="Z527" s="139"/>
      <c r="AA527" s="139"/>
      <c r="AB527" s="139"/>
      <c r="AC527" s="139"/>
      <c r="AD527" s="139"/>
      <c r="AE527" s="139"/>
      <c r="AF527" s="139"/>
      <c r="AG527" s="139"/>
      <c r="AH527" s="139"/>
      <c r="AI527" s="139"/>
      <c r="AJ527" s="139"/>
      <c r="AK527" s="139"/>
      <c r="AL527" s="139"/>
      <c r="AM527" s="139"/>
      <c r="AN527" s="139"/>
      <c r="AO527" s="139"/>
      <c r="AP527" s="49"/>
      <c r="AQ527" s="51"/>
      <c r="AR527" s="208"/>
      <c r="AS527" s="49"/>
      <c r="AT527" s="49"/>
      <c r="AU527" s="49"/>
      <c r="AV527" s="49"/>
      <c r="AW527" s="49"/>
      <c r="AX527" s="49"/>
      <c r="AY527" s="52"/>
      <c r="BA527" s="23">
        <v>3.2</v>
      </c>
    </row>
    <row r="528" spans="1:53" ht="13.5" customHeight="1">
      <c r="A528" s="56"/>
      <c r="B528" s="50"/>
      <c r="C528" s="49"/>
      <c r="D528" s="49"/>
      <c r="E528" s="49"/>
      <c r="F528" s="49"/>
      <c r="G528" s="49"/>
      <c r="H528" s="49"/>
      <c r="I528" s="51"/>
      <c r="J528" s="424"/>
      <c r="K528" s="425"/>
      <c r="L528" s="548"/>
      <c r="M528" s="505" t="s">
        <v>594</v>
      </c>
      <c r="N528" s="505"/>
      <c r="O528" s="543" t="s">
        <v>1104</v>
      </c>
      <c r="P528" s="505"/>
      <c r="Q528" s="505"/>
      <c r="R528" s="505"/>
      <c r="S528" s="139"/>
      <c r="T528" s="139"/>
      <c r="U528" s="139"/>
      <c r="V528" s="139"/>
      <c r="W528" s="139"/>
      <c r="X528" s="139"/>
      <c r="Y528" s="139"/>
      <c r="Z528" s="139"/>
      <c r="AA528" s="139"/>
      <c r="AB528" s="139"/>
      <c r="AC528" s="139"/>
      <c r="AD528" s="139"/>
      <c r="AE528" s="139"/>
      <c r="AF528" s="139"/>
      <c r="AG528" s="139"/>
      <c r="AH528" s="139"/>
      <c r="AI528" s="139"/>
      <c r="AJ528" s="139"/>
      <c r="AK528" s="139"/>
      <c r="AL528" s="139"/>
      <c r="AM528" s="139"/>
      <c r="AN528" s="139"/>
      <c r="AO528" s="139"/>
      <c r="AP528" s="49"/>
      <c r="AQ528" s="51"/>
      <c r="AR528" s="208"/>
      <c r="AS528" s="49"/>
      <c r="AT528" s="49"/>
      <c r="AU528" s="49"/>
      <c r="AV528" s="49"/>
      <c r="AW528" s="49"/>
      <c r="AX528" s="49"/>
      <c r="AY528" s="52"/>
      <c r="BA528" s="23">
        <v>3.2</v>
      </c>
    </row>
    <row r="529" spans="1:53" ht="13.5" customHeight="1">
      <c r="A529" s="56"/>
      <c r="B529" s="50"/>
      <c r="C529" s="49"/>
      <c r="D529" s="49"/>
      <c r="E529" s="49"/>
      <c r="F529" s="49"/>
      <c r="G529" s="49"/>
      <c r="H529" s="49"/>
      <c r="I529" s="51"/>
      <c r="J529" s="424"/>
      <c r="K529" s="425"/>
      <c r="L529" s="548"/>
      <c r="M529" s="505" t="s">
        <v>594</v>
      </c>
      <c r="N529" s="505"/>
      <c r="O529" s="543" t="s">
        <v>1118</v>
      </c>
      <c r="P529" s="505"/>
      <c r="Q529" s="505"/>
      <c r="R529" s="505"/>
      <c r="S529" s="139"/>
      <c r="T529" s="139"/>
      <c r="U529" s="139"/>
      <c r="V529" s="139"/>
      <c r="W529" s="139"/>
      <c r="X529" s="139"/>
      <c r="Y529" s="139"/>
      <c r="Z529" s="139"/>
      <c r="AA529" s="139"/>
      <c r="AB529" s="139"/>
      <c r="AC529" s="139"/>
      <c r="AD529" s="139"/>
      <c r="AE529" s="139"/>
      <c r="AF529" s="139"/>
      <c r="AG529" s="139"/>
      <c r="AH529" s="139"/>
      <c r="AI529" s="139"/>
      <c r="AJ529" s="139"/>
      <c r="AK529" s="139"/>
      <c r="AL529" s="139"/>
      <c r="AM529" s="139"/>
      <c r="AN529" s="139"/>
      <c r="AO529" s="139"/>
      <c r="AP529" s="49"/>
      <c r="AQ529" s="51"/>
      <c r="AR529" s="208"/>
      <c r="AS529" s="49"/>
      <c r="AT529" s="49"/>
      <c r="AU529" s="49"/>
      <c r="AV529" s="49"/>
      <c r="AW529" s="49"/>
      <c r="AX529" s="49"/>
      <c r="AY529" s="52"/>
      <c r="BA529" s="23">
        <v>3.2</v>
      </c>
    </row>
    <row r="530" spans="1:53" ht="13.5" customHeight="1">
      <c r="A530" s="56"/>
      <c r="B530" s="50"/>
      <c r="C530" s="49"/>
      <c r="D530" s="49"/>
      <c r="E530" s="49"/>
      <c r="F530" s="49"/>
      <c r="G530" s="49"/>
      <c r="H530" s="49"/>
      <c r="I530" s="51"/>
      <c r="J530" s="424"/>
      <c r="K530" s="425"/>
      <c r="L530" s="548"/>
      <c r="M530" s="505"/>
      <c r="N530" s="505"/>
      <c r="O530" s="543" t="s">
        <v>597</v>
      </c>
      <c r="P530" s="505"/>
      <c r="Q530" s="505"/>
      <c r="R530" s="505"/>
      <c r="S530" s="139"/>
      <c r="T530" s="139"/>
      <c r="U530" s="139"/>
      <c r="V530" s="139"/>
      <c r="W530" s="139"/>
      <c r="X530" s="139"/>
      <c r="Y530" s="139"/>
      <c r="Z530" s="139"/>
      <c r="AA530" s="139"/>
      <c r="AB530" s="139"/>
      <c r="AC530" s="139"/>
      <c r="AD530" s="139"/>
      <c r="AE530" s="139"/>
      <c r="AF530" s="139"/>
      <c r="AG530" s="139"/>
      <c r="AH530" s="139"/>
      <c r="AI530" s="139"/>
      <c r="AJ530" s="139"/>
      <c r="AK530" s="139"/>
      <c r="AL530" s="139"/>
      <c r="AM530" s="139"/>
      <c r="AN530" s="139"/>
      <c r="AO530" s="139"/>
      <c r="AP530" s="49"/>
      <c r="AQ530" s="51"/>
      <c r="AR530" s="208"/>
      <c r="AS530" s="49"/>
      <c r="AT530" s="49"/>
      <c r="AU530" s="49"/>
      <c r="AV530" s="49"/>
      <c r="AW530" s="49"/>
      <c r="AX530" s="49"/>
      <c r="AY530" s="52"/>
      <c r="BA530" s="23">
        <v>3.2</v>
      </c>
    </row>
    <row r="531" spans="1:53" ht="13.5" customHeight="1">
      <c r="A531" s="56"/>
      <c r="B531" s="50"/>
      <c r="C531" s="49"/>
      <c r="D531" s="49"/>
      <c r="E531" s="49"/>
      <c r="F531" s="49"/>
      <c r="G531" s="49"/>
      <c r="H531" s="49"/>
      <c r="I531" s="51"/>
      <c r="J531" s="424"/>
      <c r="K531" s="425"/>
      <c r="L531" s="548"/>
      <c r="M531" s="505" t="s">
        <v>594</v>
      </c>
      <c r="N531" s="505"/>
      <c r="O531" s="543" t="s">
        <v>598</v>
      </c>
      <c r="P531" s="505"/>
      <c r="Q531" s="505"/>
      <c r="R531" s="505"/>
      <c r="S531" s="139"/>
      <c r="T531" s="139"/>
      <c r="U531" s="139"/>
      <c r="V531" s="139"/>
      <c r="W531" s="139"/>
      <c r="X531" s="139"/>
      <c r="Y531" s="139"/>
      <c r="Z531" s="139"/>
      <c r="AA531" s="139"/>
      <c r="AB531" s="139"/>
      <c r="AC531" s="139"/>
      <c r="AD531" s="139"/>
      <c r="AE531" s="139"/>
      <c r="AF531" s="139"/>
      <c r="AG531" s="139"/>
      <c r="AH531" s="139"/>
      <c r="AI531" s="139"/>
      <c r="AJ531" s="139"/>
      <c r="AK531" s="139"/>
      <c r="AL531" s="139"/>
      <c r="AM531" s="139"/>
      <c r="AN531" s="139"/>
      <c r="AO531" s="139"/>
      <c r="AP531" s="49"/>
      <c r="AQ531" s="51"/>
      <c r="AR531" s="208"/>
      <c r="AS531" s="49"/>
      <c r="AT531" s="49"/>
      <c r="AU531" s="49"/>
      <c r="AV531" s="49"/>
      <c r="AW531" s="49"/>
      <c r="AX531" s="49"/>
      <c r="AY531" s="52"/>
      <c r="BA531" s="23">
        <v>3.2</v>
      </c>
    </row>
    <row r="532" spans="1:53" ht="13.5" customHeight="1">
      <c r="A532" s="56"/>
      <c r="B532" s="50"/>
      <c r="C532" s="49"/>
      <c r="D532" s="49"/>
      <c r="E532" s="49"/>
      <c r="F532" s="49"/>
      <c r="G532" s="49"/>
      <c r="H532" s="49"/>
      <c r="I532" s="51"/>
      <c r="J532" s="424"/>
      <c r="K532" s="425"/>
      <c r="L532" s="548"/>
      <c r="M532" s="505"/>
      <c r="N532" s="505"/>
      <c r="O532" s="543"/>
      <c r="P532" s="505" t="s">
        <v>1106</v>
      </c>
      <c r="Q532" s="505"/>
      <c r="R532" s="505"/>
      <c r="S532" s="139"/>
      <c r="T532" s="139"/>
      <c r="U532" s="139"/>
      <c r="V532" s="139"/>
      <c r="W532" s="139"/>
      <c r="X532" s="139"/>
      <c r="Y532" s="139"/>
      <c r="Z532" s="139"/>
      <c r="AA532" s="139"/>
      <c r="AB532" s="139"/>
      <c r="AC532" s="139"/>
      <c r="AD532" s="139"/>
      <c r="AE532" s="139"/>
      <c r="AF532" s="139"/>
      <c r="AG532" s="139"/>
      <c r="AH532" s="139"/>
      <c r="AI532" s="139"/>
      <c r="AJ532" s="139"/>
      <c r="AK532" s="139"/>
      <c r="AL532" s="139"/>
      <c r="AM532" s="139"/>
      <c r="AN532" s="139"/>
      <c r="AO532" s="139"/>
      <c r="AP532" s="49"/>
      <c r="AQ532" s="51"/>
      <c r="AR532" s="208"/>
      <c r="AS532" s="49"/>
      <c r="AT532" s="49"/>
      <c r="AU532" s="49"/>
      <c r="AV532" s="49"/>
      <c r="AW532" s="49"/>
      <c r="AX532" s="49"/>
      <c r="AY532" s="52"/>
      <c r="BA532" s="23">
        <v>3.2</v>
      </c>
    </row>
    <row r="533" spans="1:53" ht="13.5" customHeight="1">
      <c r="A533" s="56"/>
      <c r="B533" s="50"/>
      <c r="C533" s="49"/>
      <c r="D533" s="49"/>
      <c r="E533" s="49"/>
      <c r="F533" s="49"/>
      <c r="G533" s="49"/>
      <c r="H533" s="49"/>
      <c r="I533" s="51"/>
      <c r="J533" s="424"/>
      <c r="K533" s="425"/>
      <c r="L533" s="548"/>
      <c r="M533" s="505"/>
      <c r="N533" s="505"/>
      <c r="O533" s="543"/>
      <c r="P533" s="505"/>
      <c r="Q533" s="505" t="s">
        <v>1107</v>
      </c>
      <c r="R533" s="505"/>
      <c r="S533" s="139"/>
      <c r="T533" s="139"/>
      <c r="U533" s="139"/>
      <c r="V533" s="139"/>
      <c r="W533" s="139"/>
      <c r="X533" s="139"/>
      <c r="Y533" s="139"/>
      <c r="Z533" s="139"/>
      <c r="AA533" s="139"/>
      <c r="AB533" s="139"/>
      <c r="AC533" s="139"/>
      <c r="AD533" s="139"/>
      <c r="AE533" s="139"/>
      <c r="AF533" s="139"/>
      <c r="AG533" s="139"/>
      <c r="AH533" s="139"/>
      <c r="AI533" s="139"/>
      <c r="AJ533" s="139"/>
      <c r="AK533" s="139"/>
      <c r="AL533" s="139"/>
      <c r="AM533" s="139"/>
      <c r="AN533" s="139"/>
      <c r="AO533" s="139"/>
      <c r="AP533" s="49"/>
      <c r="AQ533" s="51"/>
      <c r="AR533" s="208"/>
      <c r="AS533" s="49"/>
      <c r="AT533" s="49"/>
      <c r="AU533" s="49"/>
      <c r="AV533" s="49"/>
      <c r="AW533" s="49"/>
      <c r="AX533" s="49"/>
      <c r="AY533" s="52"/>
      <c r="BA533" s="23">
        <v>3.2</v>
      </c>
    </row>
    <row r="534" spans="1:53" ht="13.5" customHeight="1">
      <c r="A534" s="56"/>
      <c r="B534" s="50"/>
      <c r="C534" s="49"/>
      <c r="D534" s="49"/>
      <c r="E534" s="49"/>
      <c r="F534" s="49"/>
      <c r="G534" s="49"/>
      <c r="H534" s="49"/>
      <c r="I534" s="51"/>
      <c r="J534" s="424"/>
      <c r="K534" s="425"/>
      <c r="L534" s="548"/>
      <c r="M534" s="505"/>
      <c r="N534" s="505"/>
      <c r="O534" s="543"/>
      <c r="P534" s="505" t="s">
        <v>530</v>
      </c>
      <c r="Q534" s="505"/>
      <c r="R534" s="505"/>
      <c r="S534" s="139"/>
      <c r="T534" s="139"/>
      <c r="U534" s="139"/>
      <c r="V534" s="139"/>
      <c r="W534" s="139"/>
      <c r="X534" s="139"/>
      <c r="Y534" s="139"/>
      <c r="Z534" s="139"/>
      <c r="AA534" s="139"/>
      <c r="AB534" s="139"/>
      <c r="AC534" s="139"/>
      <c r="AD534" s="139"/>
      <c r="AE534" s="139"/>
      <c r="AF534" s="139"/>
      <c r="AG534" s="139"/>
      <c r="AH534" s="139"/>
      <c r="AI534" s="139"/>
      <c r="AJ534" s="139"/>
      <c r="AK534" s="139"/>
      <c r="AL534" s="139"/>
      <c r="AM534" s="139"/>
      <c r="AN534" s="139"/>
      <c r="AO534" s="139"/>
      <c r="AP534" s="49"/>
      <c r="AQ534" s="51"/>
      <c r="AR534" s="208"/>
      <c r="AS534" s="49"/>
      <c r="AT534" s="49"/>
      <c r="AU534" s="49"/>
      <c r="AV534" s="49"/>
      <c r="AW534" s="49"/>
      <c r="AX534" s="49"/>
      <c r="AY534" s="52"/>
      <c r="BA534" s="23">
        <v>3.2</v>
      </c>
    </row>
    <row r="535" spans="1:53" ht="13.5" customHeight="1">
      <c r="A535" s="56"/>
      <c r="B535" s="50"/>
      <c r="C535" s="49"/>
      <c r="D535" s="49"/>
      <c r="E535" s="49"/>
      <c r="F535" s="49"/>
      <c r="G535" s="49"/>
      <c r="H535" s="49"/>
      <c r="I535" s="51"/>
      <c r="J535" s="424"/>
      <c r="K535" s="425"/>
      <c r="L535" s="548"/>
      <c r="M535" s="505"/>
      <c r="N535" s="505"/>
      <c r="O535" s="543"/>
      <c r="P535" s="505" t="s">
        <v>1109</v>
      </c>
      <c r="Q535" s="505"/>
      <c r="R535" s="505"/>
      <c r="S535" s="139"/>
      <c r="T535" s="139"/>
      <c r="U535" s="139"/>
      <c r="V535" s="139"/>
      <c r="W535" s="139"/>
      <c r="X535" s="139"/>
      <c r="Y535" s="139"/>
      <c r="Z535" s="139"/>
      <c r="AA535" s="139"/>
      <c r="AB535" s="139"/>
      <c r="AC535" s="139"/>
      <c r="AD535" s="139"/>
      <c r="AE535" s="139"/>
      <c r="AF535" s="139"/>
      <c r="AG535" s="139"/>
      <c r="AH535" s="139"/>
      <c r="AI535" s="139"/>
      <c r="AJ535" s="139"/>
      <c r="AK535" s="139"/>
      <c r="AL535" s="139"/>
      <c r="AM535" s="139"/>
      <c r="AN535" s="139"/>
      <c r="AO535" s="139"/>
      <c r="AP535" s="49"/>
      <c r="AQ535" s="51"/>
      <c r="AR535" s="208"/>
      <c r="AS535" s="49"/>
      <c r="AT535" s="49"/>
      <c r="AU535" s="49"/>
      <c r="AV535" s="49"/>
      <c r="AW535" s="49"/>
      <c r="AX535" s="49"/>
      <c r="AY535" s="52"/>
      <c r="BA535" s="23">
        <v>3.2</v>
      </c>
    </row>
    <row r="536" spans="1:53" ht="13.5" customHeight="1">
      <c r="A536" s="56"/>
      <c r="B536" s="50"/>
      <c r="C536" s="49"/>
      <c r="D536" s="49"/>
      <c r="E536" s="49"/>
      <c r="F536" s="49"/>
      <c r="G536" s="49"/>
      <c r="H536" s="49"/>
      <c r="I536" s="51"/>
      <c r="J536" s="424"/>
      <c r="K536" s="425"/>
      <c r="L536" s="548"/>
      <c r="M536" s="505"/>
      <c r="N536" s="505"/>
      <c r="O536" s="543"/>
      <c r="P536" s="505"/>
      <c r="Q536" s="505" t="s">
        <v>1110</v>
      </c>
      <c r="R536" s="505"/>
      <c r="S536" s="139"/>
      <c r="T536" s="139"/>
      <c r="U536" s="139"/>
      <c r="V536" s="139"/>
      <c r="W536" s="139"/>
      <c r="X536" s="139"/>
      <c r="Y536" s="139"/>
      <c r="Z536" s="139"/>
      <c r="AA536" s="139"/>
      <c r="AB536" s="139"/>
      <c r="AC536" s="139"/>
      <c r="AD536" s="139"/>
      <c r="AE536" s="139"/>
      <c r="AF536" s="139"/>
      <c r="AG536" s="139"/>
      <c r="AH536" s="139"/>
      <c r="AI536" s="139"/>
      <c r="AJ536" s="139"/>
      <c r="AK536" s="139"/>
      <c r="AL536" s="139"/>
      <c r="AM536" s="139"/>
      <c r="AN536" s="139"/>
      <c r="AO536" s="139"/>
      <c r="AP536" s="49"/>
      <c r="AQ536" s="51"/>
      <c r="AR536" s="208"/>
      <c r="AS536" s="49"/>
      <c r="AT536" s="49"/>
      <c r="AU536" s="49"/>
      <c r="AV536" s="49"/>
      <c r="AW536" s="49"/>
      <c r="AX536" s="49"/>
      <c r="AY536" s="52"/>
      <c r="BA536" s="23">
        <v>3.2</v>
      </c>
    </row>
    <row r="537" spans="1:53" ht="13.5" customHeight="1">
      <c r="A537" s="56"/>
      <c r="B537" s="50"/>
      <c r="C537" s="49"/>
      <c r="D537" s="49"/>
      <c r="E537" s="49"/>
      <c r="F537" s="49"/>
      <c r="G537" s="49"/>
      <c r="H537" s="49"/>
      <c r="I537" s="51"/>
      <c r="J537" s="424"/>
      <c r="K537" s="425"/>
      <c r="L537" s="548"/>
      <c r="M537" s="505"/>
      <c r="N537" s="505"/>
      <c r="O537" s="543" t="s">
        <v>531</v>
      </c>
      <c r="P537" s="505"/>
      <c r="Q537" s="505"/>
      <c r="R537" s="505"/>
      <c r="S537" s="139"/>
      <c r="T537" s="139"/>
      <c r="U537" s="139"/>
      <c r="V537" s="139"/>
      <c r="W537" s="139"/>
      <c r="X537" s="139"/>
      <c r="Y537" s="139"/>
      <c r="Z537" s="139"/>
      <c r="AA537" s="139"/>
      <c r="AB537" s="139"/>
      <c r="AC537" s="139"/>
      <c r="AD537" s="139"/>
      <c r="AE537" s="139"/>
      <c r="AF537" s="139"/>
      <c r="AG537" s="139"/>
      <c r="AH537" s="139"/>
      <c r="AI537" s="139"/>
      <c r="AJ537" s="139"/>
      <c r="AK537" s="139"/>
      <c r="AL537" s="139"/>
      <c r="AM537" s="139"/>
      <c r="AN537" s="139"/>
      <c r="AO537" s="139"/>
      <c r="AP537" s="49"/>
      <c r="AQ537" s="51"/>
      <c r="AR537" s="208"/>
      <c r="AS537" s="49"/>
      <c r="AT537" s="49"/>
      <c r="AU537" s="49"/>
      <c r="AV537" s="49"/>
      <c r="AW537" s="49"/>
      <c r="AX537" s="49"/>
      <c r="AY537" s="52"/>
      <c r="BA537" s="23">
        <v>3.2</v>
      </c>
    </row>
    <row r="538" spans="1:53" ht="13.5" customHeight="1">
      <c r="A538" s="56"/>
      <c r="B538" s="50"/>
      <c r="C538" s="49"/>
      <c r="D538" s="49"/>
      <c r="E538" s="49"/>
      <c r="F538" s="49"/>
      <c r="G538" s="49"/>
      <c r="H538" s="49"/>
      <c r="I538" s="51"/>
      <c r="J538" s="424"/>
      <c r="K538" s="425"/>
      <c r="L538" s="548"/>
      <c r="M538" s="505" t="s">
        <v>594</v>
      </c>
      <c r="N538" s="505"/>
      <c r="O538" s="543" t="s">
        <v>598</v>
      </c>
      <c r="P538" s="505"/>
      <c r="Q538" s="505"/>
      <c r="R538" s="505"/>
      <c r="S538" s="139"/>
      <c r="T538" s="139"/>
      <c r="U538" s="139"/>
      <c r="V538" s="139"/>
      <c r="W538" s="139"/>
      <c r="X538" s="139"/>
      <c r="Y538" s="139"/>
      <c r="Z538" s="139"/>
      <c r="AA538" s="139"/>
      <c r="AB538" s="139"/>
      <c r="AC538" s="139"/>
      <c r="AD538" s="139"/>
      <c r="AE538" s="139"/>
      <c r="AF538" s="139"/>
      <c r="AG538" s="139"/>
      <c r="AH538" s="139"/>
      <c r="AI538" s="139"/>
      <c r="AJ538" s="139"/>
      <c r="AK538" s="139"/>
      <c r="AL538" s="139"/>
      <c r="AM538" s="139"/>
      <c r="AN538" s="139"/>
      <c r="AO538" s="139"/>
      <c r="AP538" s="49"/>
      <c r="AQ538" s="51"/>
      <c r="AR538" s="208"/>
      <c r="AS538" s="49"/>
      <c r="AT538" s="49"/>
      <c r="AU538" s="49"/>
      <c r="AV538" s="49"/>
      <c r="AW538" s="49"/>
      <c r="AX538" s="49"/>
      <c r="AY538" s="52"/>
      <c r="BA538" s="23">
        <v>3.2</v>
      </c>
    </row>
    <row r="539" spans="1:53" ht="13.5" customHeight="1">
      <c r="A539" s="56"/>
      <c r="B539" s="50"/>
      <c r="C539" s="49"/>
      <c r="D539" s="49"/>
      <c r="E539" s="49"/>
      <c r="F539" s="49"/>
      <c r="G539" s="49"/>
      <c r="H539" s="49"/>
      <c r="I539" s="51"/>
      <c r="J539" s="424"/>
      <c r="K539" s="425"/>
      <c r="L539" s="548"/>
      <c r="M539" s="505"/>
      <c r="N539" s="505"/>
      <c r="O539" s="543"/>
      <c r="P539" s="505" t="s">
        <v>616</v>
      </c>
      <c r="Q539" s="505"/>
      <c r="R539" s="505"/>
      <c r="S539" s="139"/>
      <c r="T539" s="139"/>
      <c r="U539" s="139"/>
      <c r="V539" s="139"/>
      <c r="W539" s="139"/>
      <c r="X539" s="139"/>
      <c r="Y539" s="139"/>
      <c r="Z539" s="139"/>
      <c r="AA539" s="139"/>
      <c r="AB539" s="139"/>
      <c r="AC539" s="139"/>
      <c r="AD539" s="139"/>
      <c r="AE539" s="139"/>
      <c r="AF539" s="139"/>
      <c r="AG539" s="139"/>
      <c r="AH539" s="139"/>
      <c r="AI539" s="139"/>
      <c r="AJ539" s="139"/>
      <c r="AK539" s="139"/>
      <c r="AL539" s="139"/>
      <c r="AM539" s="139"/>
      <c r="AN539" s="139"/>
      <c r="AO539" s="139"/>
      <c r="AP539" s="49"/>
      <c r="AQ539" s="51"/>
      <c r="AR539" s="208"/>
      <c r="AS539" s="49"/>
      <c r="AT539" s="49"/>
      <c r="AU539" s="49"/>
      <c r="AV539" s="49"/>
      <c r="AW539" s="49"/>
      <c r="AX539" s="49"/>
      <c r="AY539" s="52"/>
      <c r="BA539" s="23">
        <v>3.2</v>
      </c>
    </row>
    <row r="540" spans="1:53" ht="13.5" customHeight="1">
      <c r="A540" s="56"/>
      <c r="B540" s="50"/>
      <c r="C540" s="49"/>
      <c r="D540" s="49"/>
      <c r="E540" s="49"/>
      <c r="F540" s="49"/>
      <c r="G540" s="49"/>
      <c r="H540" s="49"/>
      <c r="I540" s="51"/>
      <c r="J540" s="424"/>
      <c r="K540" s="425"/>
      <c r="L540" s="548"/>
      <c r="M540" s="505"/>
      <c r="N540" s="505"/>
      <c r="O540" s="543"/>
      <c r="P540" s="505" t="s">
        <v>530</v>
      </c>
      <c r="Q540" s="505"/>
      <c r="R540" s="505"/>
      <c r="S540" s="139"/>
      <c r="T540" s="139"/>
      <c r="U540" s="139"/>
      <c r="V540" s="139"/>
      <c r="W540" s="139"/>
      <c r="X540" s="139"/>
      <c r="Y540" s="139"/>
      <c r="Z540" s="139"/>
      <c r="AA540" s="139"/>
      <c r="AB540" s="139"/>
      <c r="AC540" s="139"/>
      <c r="AD540" s="139"/>
      <c r="AE540" s="139"/>
      <c r="AF540" s="139"/>
      <c r="AG540" s="139"/>
      <c r="AH540" s="139"/>
      <c r="AI540" s="139"/>
      <c r="AJ540" s="139"/>
      <c r="AK540" s="139"/>
      <c r="AL540" s="139"/>
      <c r="AM540" s="139"/>
      <c r="AN540" s="139"/>
      <c r="AO540" s="139"/>
      <c r="AP540" s="49"/>
      <c r="AQ540" s="51"/>
      <c r="AR540" s="208"/>
      <c r="AS540" s="49"/>
      <c r="AT540" s="49"/>
      <c r="AU540" s="49"/>
      <c r="AV540" s="49"/>
      <c r="AW540" s="49"/>
      <c r="AX540" s="49"/>
      <c r="AY540" s="52"/>
      <c r="BA540" s="23">
        <v>3.2</v>
      </c>
    </row>
    <row r="541" spans="1:53" ht="13.5" customHeight="1">
      <c r="A541" s="56"/>
      <c r="B541" s="50"/>
      <c r="C541" s="49"/>
      <c r="D541" s="49"/>
      <c r="E541" s="49"/>
      <c r="F541" s="49"/>
      <c r="G541" s="49"/>
      <c r="H541" s="49"/>
      <c r="I541" s="51"/>
      <c r="J541" s="424"/>
      <c r="K541" s="425"/>
      <c r="L541" s="548"/>
      <c r="M541" s="505"/>
      <c r="N541" s="505"/>
      <c r="O541" s="543"/>
      <c r="P541" s="505" t="s">
        <v>598</v>
      </c>
      <c r="Q541" s="505"/>
      <c r="R541" s="505"/>
      <c r="S541" s="139"/>
      <c r="T541" s="139"/>
      <c r="U541" s="139"/>
      <c r="V541" s="139"/>
      <c r="W541" s="139"/>
      <c r="X541" s="139"/>
      <c r="Y541" s="139"/>
      <c r="Z541" s="139"/>
      <c r="AA541" s="139"/>
      <c r="AB541" s="139"/>
      <c r="AC541" s="139"/>
      <c r="AD541" s="139"/>
      <c r="AE541" s="139"/>
      <c r="AF541" s="139"/>
      <c r="AG541" s="139"/>
      <c r="AH541" s="139"/>
      <c r="AI541" s="139"/>
      <c r="AJ541" s="139"/>
      <c r="AK541" s="139"/>
      <c r="AL541" s="139"/>
      <c r="AM541" s="139"/>
      <c r="AN541" s="139"/>
      <c r="AO541" s="139"/>
      <c r="AP541" s="49"/>
      <c r="AQ541" s="51"/>
      <c r="AR541" s="208"/>
      <c r="AS541" s="49"/>
      <c r="AT541" s="49"/>
      <c r="AU541" s="49"/>
      <c r="AV541" s="49"/>
      <c r="AW541" s="49"/>
      <c r="AX541" s="49"/>
      <c r="AY541" s="52"/>
      <c r="BA541" s="23">
        <v>3.2</v>
      </c>
    </row>
    <row r="542" spans="1:53" ht="13.5" customHeight="1">
      <c r="A542" s="56"/>
      <c r="B542" s="50"/>
      <c r="C542" s="49"/>
      <c r="D542" s="49"/>
      <c r="E542" s="49"/>
      <c r="F542" s="49"/>
      <c r="G542" s="49"/>
      <c r="H542" s="49"/>
      <c r="I542" s="51"/>
      <c r="J542" s="424"/>
      <c r="K542" s="425"/>
      <c r="L542" s="548"/>
      <c r="M542" s="505"/>
      <c r="N542" s="505"/>
      <c r="O542" s="543"/>
      <c r="P542" s="505"/>
      <c r="Q542" s="505" t="s">
        <v>1105</v>
      </c>
      <c r="R542" s="505"/>
      <c r="S542" s="139"/>
      <c r="T542" s="139"/>
      <c r="U542" s="139"/>
      <c r="V542" s="139"/>
      <c r="W542" s="139"/>
      <c r="X542" s="139"/>
      <c r="Y542" s="139"/>
      <c r="Z542" s="139"/>
      <c r="AA542" s="139"/>
      <c r="AB542" s="139"/>
      <c r="AC542" s="139"/>
      <c r="AD542" s="139"/>
      <c r="AE542" s="139"/>
      <c r="AF542" s="139"/>
      <c r="AG542" s="139"/>
      <c r="AH542" s="139"/>
      <c r="AI542" s="139"/>
      <c r="AJ542" s="139"/>
      <c r="AK542" s="139"/>
      <c r="AL542" s="139"/>
      <c r="AM542" s="139"/>
      <c r="AN542" s="139"/>
      <c r="AO542" s="139"/>
      <c r="AP542" s="49"/>
      <c r="AQ542" s="51"/>
      <c r="AR542" s="208"/>
      <c r="AS542" s="49"/>
      <c r="AT542" s="49"/>
      <c r="AU542" s="49"/>
      <c r="AV542" s="49"/>
      <c r="AW542" s="49"/>
      <c r="AX542" s="49"/>
      <c r="AY542" s="52"/>
      <c r="BA542" s="23">
        <v>3.2</v>
      </c>
    </row>
    <row r="543" spans="1:53" ht="13.5" customHeight="1">
      <c r="A543" s="56"/>
      <c r="B543" s="50"/>
      <c r="C543" s="49"/>
      <c r="D543" s="49"/>
      <c r="E543" s="49"/>
      <c r="F543" s="49"/>
      <c r="G543" s="49"/>
      <c r="H543" s="49"/>
      <c r="I543" s="51"/>
      <c r="J543" s="424"/>
      <c r="K543" s="425"/>
      <c r="L543" s="548"/>
      <c r="M543" s="505"/>
      <c r="N543" s="505"/>
      <c r="O543" s="543"/>
      <c r="P543" s="505"/>
      <c r="Q543" s="505"/>
      <c r="R543" s="505" t="s">
        <v>1111</v>
      </c>
      <c r="S543" s="139"/>
      <c r="T543" s="139"/>
      <c r="U543" s="139"/>
      <c r="V543" s="139"/>
      <c r="W543" s="139"/>
      <c r="X543" s="139"/>
      <c r="Y543" s="139"/>
      <c r="Z543" s="139"/>
      <c r="AA543" s="139"/>
      <c r="AB543" s="139"/>
      <c r="AC543" s="139"/>
      <c r="AD543" s="139"/>
      <c r="AE543" s="139"/>
      <c r="AF543" s="139"/>
      <c r="AG543" s="139"/>
      <c r="AH543" s="139"/>
      <c r="AI543" s="139"/>
      <c r="AJ543" s="139"/>
      <c r="AK543" s="139"/>
      <c r="AL543" s="139"/>
      <c r="AM543" s="139"/>
      <c r="AN543" s="139"/>
      <c r="AO543" s="139"/>
      <c r="AP543" s="49"/>
      <c r="AQ543" s="51"/>
      <c r="AR543" s="208"/>
      <c r="AS543" s="49"/>
      <c r="AT543" s="49"/>
      <c r="AU543" s="49"/>
      <c r="AV543" s="49"/>
      <c r="AW543" s="49"/>
      <c r="AX543" s="49"/>
      <c r="AY543" s="52"/>
      <c r="BA543" s="23">
        <v>3.2</v>
      </c>
    </row>
    <row r="544" spans="1:53" ht="13.5" customHeight="1">
      <c r="A544" s="56"/>
      <c r="B544" s="50"/>
      <c r="C544" s="49"/>
      <c r="D544" s="49"/>
      <c r="E544" s="49"/>
      <c r="F544" s="49"/>
      <c r="G544" s="49"/>
      <c r="H544" s="49"/>
      <c r="I544" s="51"/>
      <c r="J544" s="424"/>
      <c r="K544" s="425"/>
      <c r="L544" s="548"/>
      <c r="M544" s="505"/>
      <c r="N544" s="505"/>
      <c r="O544" s="543"/>
      <c r="P544" s="505"/>
      <c r="Q544" s="505"/>
      <c r="R544" s="505" t="s">
        <v>1112</v>
      </c>
      <c r="S544" s="139"/>
      <c r="T544" s="139"/>
      <c r="U544" s="139"/>
      <c r="V544" s="139"/>
      <c r="W544" s="139"/>
      <c r="X544" s="139"/>
      <c r="Y544" s="139"/>
      <c r="Z544" s="139"/>
      <c r="AA544" s="139"/>
      <c r="AB544" s="139"/>
      <c r="AC544" s="139"/>
      <c r="AD544" s="139"/>
      <c r="AE544" s="139"/>
      <c r="AF544" s="139"/>
      <c r="AG544" s="139"/>
      <c r="AH544" s="139"/>
      <c r="AI544" s="139"/>
      <c r="AJ544" s="139"/>
      <c r="AK544" s="139"/>
      <c r="AL544" s="139"/>
      <c r="AM544" s="139"/>
      <c r="AN544" s="139"/>
      <c r="AO544" s="139"/>
      <c r="AP544" s="49"/>
      <c r="AQ544" s="51"/>
      <c r="AR544" s="208"/>
      <c r="AS544" s="49"/>
      <c r="AT544" s="49"/>
      <c r="AU544" s="49"/>
      <c r="AV544" s="49"/>
      <c r="AW544" s="49"/>
      <c r="AX544" s="49"/>
      <c r="AY544" s="52"/>
      <c r="BA544" s="23">
        <v>3.2</v>
      </c>
    </row>
    <row r="545" spans="1:53" ht="13.5" customHeight="1">
      <c r="A545" s="56"/>
      <c r="B545" s="50"/>
      <c r="C545" s="49"/>
      <c r="D545" s="49"/>
      <c r="E545" s="49"/>
      <c r="F545" s="49"/>
      <c r="G545" s="49"/>
      <c r="H545" s="49"/>
      <c r="I545" s="51"/>
      <c r="J545" s="424"/>
      <c r="K545" s="425"/>
      <c r="L545" s="548"/>
      <c r="M545" s="505"/>
      <c r="N545" s="505"/>
      <c r="O545" s="543"/>
      <c r="P545" s="505"/>
      <c r="Q545" s="505" t="s">
        <v>530</v>
      </c>
      <c r="R545" s="505"/>
      <c r="S545" s="139"/>
      <c r="T545" s="139"/>
      <c r="U545" s="139"/>
      <c r="V545" s="139"/>
      <c r="W545" s="139"/>
      <c r="X545" s="139"/>
      <c r="Y545" s="139"/>
      <c r="Z545" s="139"/>
      <c r="AA545" s="139"/>
      <c r="AB545" s="139"/>
      <c r="AC545" s="139"/>
      <c r="AD545" s="139"/>
      <c r="AE545" s="139"/>
      <c r="AF545" s="139"/>
      <c r="AG545" s="139"/>
      <c r="AH545" s="139"/>
      <c r="AI545" s="139"/>
      <c r="AJ545" s="139"/>
      <c r="AK545" s="139"/>
      <c r="AL545" s="139"/>
      <c r="AM545" s="139"/>
      <c r="AN545" s="139"/>
      <c r="AO545" s="139"/>
      <c r="AP545" s="49"/>
      <c r="AQ545" s="51"/>
      <c r="AR545" s="208"/>
      <c r="AS545" s="49"/>
      <c r="AT545" s="49"/>
      <c r="AU545" s="49"/>
      <c r="AV545" s="49"/>
      <c r="AW545" s="49"/>
      <c r="AX545" s="49"/>
      <c r="AY545" s="52"/>
      <c r="BA545" s="23">
        <v>3.2</v>
      </c>
    </row>
    <row r="546" spans="1:53" ht="13.5" customHeight="1">
      <c r="A546" s="56"/>
      <c r="B546" s="50"/>
      <c r="C546" s="49"/>
      <c r="D546" s="49"/>
      <c r="E546" s="49"/>
      <c r="F546" s="49"/>
      <c r="G546" s="49"/>
      <c r="H546" s="49"/>
      <c r="I546" s="51"/>
      <c r="J546" s="424"/>
      <c r="K546" s="425"/>
      <c r="L546" s="548"/>
      <c r="M546" s="505"/>
      <c r="N546" s="505"/>
      <c r="O546" s="543"/>
      <c r="P546" s="505"/>
      <c r="Q546" s="505" t="s">
        <v>1108</v>
      </c>
      <c r="R546" s="505"/>
      <c r="S546" s="139"/>
      <c r="T546" s="139"/>
      <c r="U546" s="139"/>
      <c r="V546" s="139"/>
      <c r="W546" s="139"/>
      <c r="X546" s="139"/>
      <c r="Y546" s="139"/>
      <c r="Z546" s="139"/>
      <c r="AA546" s="139"/>
      <c r="AB546" s="139"/>
      <c r="AC546" s="139"/>
      <c r="AD546" s="139"/>
      <c r="AE546" s="139"/>
      <c r="AF546" s="139"/>
      <c r="AG546" s="139"/>
      <c r="AH546" s="139"/>
      <c r="AI546" s="139"/>
      <c r="AJ546" s="139"/>
      <c r="AK546" s="139"/>
      <c r="AL546" s="139"/>
      <c r="AM546" s="139"/>
      <c r="AN546" s="139"/>
      <c r="AO546" s="139"/>
      <c r="AP546" s="49"/>
      <c r="AQ546" s="51"/>
      <c r="AR546" s="208"/>
      <c r="AS546" s="49"/>
      <c r="AT546" s="49"/>
      <c r="AU546" s="49"/>
      <c r="AV546" s="49"/>
      <c r="AW546" s="49"/>
      <c r="AX546" s="49"/>
      <c r="AY546" s="52"/>
      <c r="BA546" s="23">
        <v>3.2</v>
      </c>
    </row>
    <row r="547" spans="1:53" ht="13.5" customHeight="1">
      <c r="A547" s="56"/>
      <c r="B547" s="50"/>
      <c r="C547" s="49"/>
      <c r="D547" s="49"/>
      <c r="E547" s="49"/>
      <c r="F547" s="49"/>
      <c r="G547" s="49"/>
      <c r="H547" s="49"/>
      <c r="I547" s="51"/>
      <c r="J547" s="424"/>
      <c r="K547" s="425"/>
      <c r="L547" s="548"/>
      <c r="M547" s="505"/>
      <c r="N547" s="505"/>
      <c r="O547" s="543"/>
      <c r="P547" s="505"/>
      <c r="Q547" s="505"/>
      <c r="R547" s="505" t="s">
        <v>1113</v>
      </c>
      <c r="S547" s="139"/>
      <c r="T547" s="139"/>
      <c r="U547" s="139"/>
      <c r="V547" s="139"/>
      <c r="W547" s="139"/>
      <c r="X547" s="139"/>
      <c r="Y547" s="139"/>
      <c r="Z547" s="139"/>
      <c r="AA547" s="139"/>
      <c r="AB547" s="139"/>
      <c r="AC547" s="139"/>
      <c r="AD547" s="139"/>
      <c r="AE547" s="139"/>
      <c r="AF547" s="139"/>
      <c r="AG547" s="139"/>
      <c r="AH547" s="139"/>
      <c r="AI547" s="139"/>
      <c r="AJ547" s="139"/>
      <c r="AK547" s="139"/>
      <c r="AL547" s="139"/>
      <c r="AM547" s="139"/>
      <c r="AN547" s="139"/>
      <c r="AO547" s="139"/>
      <c r="AP547" s="49"/>
      <c r="AQ547" s="51"/>
      <c r="AR547" s="208"/>
      <c r="AS547" s="49"/>
      <c r="AT547" s="49"/>
      <c r="AU547" s="49"/>
      <c r="AV547" s="49"/>
      <c r="AW547" s="49"/>
      <c r="AX547" s="49"/>
      <c r="AY547" s="52"/>
      <c r="BA547" s="23">
        <v>3.2</v>
      </c>
    </row>
    <row r="548" spans="1:53" ht="13.5" customHeight="1">
      <c r="A548" s="56"/>
      <c r="B548" s="50"/>
      <c r="C548" s="49"/>
      <c r="D548" s="49"/>
      <c r="E548" s="49"/>
      <c r="F548" s="49"/>
      <c r="G548" s="49"/>
      <c r="H548" s="49"/>
      <c r="I548" s="51"/>
      <c r="J548" s="424"/>
      <c r="K548" s="425"/>
      <c r="L548" s="548"/>
      <c r="M548" s="505"/>
      <c r="N548" s="505"/>
      <c r="O548" s="543"/>
      <c r="P548" s="505"/>
      <c r="Q548" s="505"/>
      <c r="R548" s="505" t="s">
        <v>1112</v>
      </c>
      <c r="S548" s="139"/>
      <c r="T548" s="139"/>
      <c r="U548" s="139"/>
      <c r="V548" s="139"/>
      <c r="W548" s="139"/>
      <c r="X548" s="139"/>
      <c r="Y548" s="139"/>
      <c r="Z548" s="139"/>
      <c r="AA548" s="139"/>
      <c r="AB548" s="139"/>
      <c r="AC548" s="139"/>
      <c r="AD548" s="139"/>
      <c r="AE548" s="139"/>
      <c r="AF548" s="139"/>
      <c r="AG548" s="139"/>
      <c r="AH548" s="139"/>
      <c r="AI548" s="139"/>
      <c r="AJ548" s="139"/>
      <c r="AK548" s="139"/>
      <c r="AL548" s="139"/>
      <c r="AM548" s="139"/>
      <c r="AN548" s="139"/>
      <c r="AO548" s="139"/>
      <c r="AP548" s="49"/>
      <c r="AQ548" s="51"/>
      <c r="AR548" s="208"/>
      <c r="AS548" s="49"/>
      <c r="AT548" s="49"/>
      <c r="AU548" s="49"/>
      <c r="AV548" s="49"/>
      <c r="AW548" s="49"/>
      <c r="AX548" s="49"/>
      <c r="AY548" s="52"/>
      <c r="BA548" s="23">
        <v>3.2</v>
      </c>
    </row>
    <row r="549" spans="1:53" ht="13.5" customHeight="1">
      <c r="A549" s="56"/>
      <c r="B549" s="50"/>
      <c r="C549" s="49"/>
      <c r="D549" s="49"/>
      <c r="E549" s="49"/>
      <c r="F549" s="49"/>
      <c r="G549" s="49"/>
      <c r="H549" s="49"/>
      <c r="I549" s="51"/>
      <c r="J549" s="424"/>
      <c r="K549" s="425"/>
      <c r="L549" s="548"/>
      <c r="M549" s="505"/>
      <c r="N549" s="505"/>
      <c r="O549" s="543"/>
      <c r="P549" s="505" t="s">
        <v>531</v>
      </c>
      <c r="Q549" s="505"/>
      <c r="R549" s="505"/>
      <c r="S549" s="139"/>
      <c r="T549" s="139"/>
      <c r="U549" s="139"/>
      <c r="V549" s="139"/>
      <c r="W549" s="139"/>
      <c r="X549" s="139"/>
      <c r="Y549" s="139"/>
      <c r="Z549" s="139"/>
      <c r="AA549" s="139"/>
      <c r="AB549" s="139"/>
      <c r="AC549" s="139"/>
      <c r="AD549" s="139"/>
      <c r="AE549" s="139"/>
      <c r="AF549" s="139"/>
      <c r="AG549" s="139"/>
      <c r="AH549" s="139"/>
      <c r="AI549" s="139"/>
      <c r="AJ549" s="139"/>
      <c r="AK549" s="139"/>
      <c r="AL549" s="139"/>
      <c r="AM549" s="139"/>
      <c r="AN549" s="139"/>
      <c r="AO549" s="139"/>
      <c r="AP549" s="49"/>
      <c r="AQ549" s="51"/>
      <c r="AR549" s="208"/>
      <c r="AS549" s="49"/>
      <c r="AT549" s="49"/>
      <c r="AU549" s="49"/>
      <c r="AV549" s="49"/>
      <c r="AW549" s="49"/>
      <c r="AX549" s="49"/>
      <c r="AY549" s="52"/>
      <c r="BA549" s="23">
        <v>3.2</v>
      </c>
    </row>
    <row r="550" spans="1:53" ht="13.5" customHeight="1">
      <c r="A550" s="56"/>
      <c r="B550" s="50"/>
      <c r="C550" s="49"/>
      <c r="D550" s="49"/>
      <c r="E550" s="49"/>
      <c r="F550" s="49"/>
      <c r="G550" s="49"/>
      <c r="H550" s="49"/>
      <c r="I550" s="51"/>
      <c r="J550" s="424"/>
      <c r="K550" s="425"/>
      <c r="L550" s="548"/>
      <c r="M550" s="505"/>
      <c r="N550" s="505"/>
      <c r="O550" s="543" t="s">
        <v>531</v>
      </c>
      <c r="P550" s="505"/>
      <c r="Q550" s="505"/>
      <c r="R550" s="505"/>
      <c r="S550" s="139"/>
      <c r="T550" s="139"/>
      <c r="U550" s="139"/>
      <c r="V550" s="139"/>
      <c r="W550" s="139"/>
      <c r="X550" s="139"/>
      <c r="Y550" s="139"/>
      <c r="Z550" s="139"/>
      <c r="AA550" s="139"/>
      <c r="AB550" s="139"/>
      <c r="AC550" s="139"/>
      <c r="AD550" s="139"/>
      <c r="AE550" s="139"/>
      <c r="AF550" s="139"/>
      <c r="AG550" s="139"/>
      <c r="AH550" s="139"/>
      <c r="AI550" s="139"/>
      <c r="AJ550" s="139"/>
      <c r="AK550" s="139"/>
      <c r="AL550" s="139"/>
      <c r="AM550" s="139"/>
      <c r="AN550" s="139"/>
      <c r="AO550" s="139"/>
      <c r="AP550" s="49"/>
      <c r="AQ550" s="51"/>
      <c r="AR550" s="208"/>
      <c r="AS550" s="49"/>
      <c r="AT550" s="49"/>
      <c r="AU550" s="49"/>
      <c r="AV550" s="49"/>
      <c r="AW550" s="49"/>
      <c r="AX550" s="49"/>
      <c r="AY550" s="52"/>
      <c r="BA550" s="23">
        <v>3.2</v>
      </c>
    </row>
    <row r="551" spans="1:53" ht="13.5" customHeight="1">
      <c r="A551" s="56"/>
      <c r="B551" s="50"/>
      <c r="C551" s="49"/>
      <c r="D551" s="49"/>
      <c r="E551" s="49"/>
      <c r="F551" s="49"/>
      <c r="G551" s="49"/>
      <c r="H551" s="49"/>
      <c r="I551" s="51"/>
      <c r="J551" s="424"/>
      <c r="K551" s="425"/>
      <c r="L551" s="397"/>
      <c r="M551" s="102"/>
      <c r="N551" s="102"/>
      <c r="O551" s="103"/>
      <c r="P551" s="102"/>
      <c r="Q551" s="102"/>
      <c r="R551" s="102"/>
      <c r="S551" s="49"/>
      <c r="T551" s="49"/>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51"/>
      <c r="AR551" s="208"/>
      <c r="AS551" s="49"/>
      <c r="AT551" s="49"/>
      <c r="AU551" s="49"/>
      <c r="AV551" s="49"/>
      <c r="AW551" s="49"/>
      <c r="AX551" s="49"/>
      <c r="AY551" s="52"/>
    </row>
    <row r="552" spans="1:53" ht="13.5" customHeight="1">
      <c r="A552" s="56"/>
      <c r="B552" s="50"/>
      <c r="C552" s="49"/>
      <c r="D552" s="49"/>
      <c r="E552" s="49"/>
      <c r="F552" s="49"/>
      <c r="G552" s="49"/>
      <c r="H552" s="49"/>
      <c r="I552" s="51"/>
      <c r="J552" s="424"/>
      <c r="K552" s="425"/>
      <c r="L552" s="397"/>
      <c r="M552" s="102"/>
      <c r="N552" s="102"/>
      <c r="O552" s="103"/>
      <c r="P552" s="102"/>
      <c r="Q552" s="102"/>
      <c r="R552" s="102"/>
      <c r="S552" s="49"/>
      <c r="T552" s="49"/>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51"/>
      <c r="AR552" s="208"/>
      <c r="AS552" s="49"/>
      <c r="AT552" s="49"/>
      <c r="AU552" s="49"/>
      <c r="AV552" s="49"/>
      <c r="AW552" s="49"/>
      <c r="AX552" s="49"/>
      <c r="AY552" s="52"/>
    </row>
    <row r="553" spans="1:53" ht="13.5" customHeight="1">
      <c r="A553" s="56"/>
      <c r="B553" s="50"/>
      <c r="C553" s="49"/>
      <c r="D553" s="49"/>
      <c r="E553" s="49"/>
      <c r="F553" s="49"/>
      <c r="G553" s="49"/>
      <c r="H553" s="49"/>
      <c r="I553" s="51"/>
      <c r="J553" s="350"/>
      <c r="K553" s="351"/>
      <c r="L553" s="101"/>
      <c r="M553" s="102" t="s">
        <v>220</v>
      </c>
      <c r="N553" s="102" t="s">
        <v>414</v>
      </c>
      <c r="O553" s="103"/>
      <c r="P553" s="102"/>
      <c r="Q553" s="102"/>
      <c r="R553" s="102"/>
      <c r="S553" s="49"/>
      <c r="T553" s="49"/>
      <c r="U553" s="49"/>
      <c r="V553" s="49"/>
      <c r="W553" s="49"/>
      <c r="X553" s="49"/>
      <c r="Y553" s="49"/>
      <c r="Z553" s="49"/>
      <c r="AA553" s="49"/>
      <c r="AB553" s="49"/>
      <c r="AC553" s="49"/>
      <c r="AD553" s="49"/>
      <c r="AE553" s="49"/>
      <c r="AF553" s="49"/>
      <c r="AG553" s="49" t="s">
        <v>690</v>
      </c>
      <c r="AH553" s="49"/>
      <c r="AI553" s="49"/>
      <c r="AJ553" s="49"/>
      <c r="AK553" s="49"/>
      <c r="AL553" s="49"/>
      <c r="AM553" s="49"/>
      <c r="AN553" s="49"/>
      <c r="AO553" s="49"/>
      <c r="AP553" s="49"/>
      <c r="AQ553" s="51"/>
      <c r="AR553" s="208"/>
      <c r="AS553" s="49"/>
      <c r="AT553" s="49"/>
      <c r="AU553" s="49"/>
      <c r="AV553" s="49"/>
      <c r="AW553" s="49"/>
      <c r="AX553" s="49"/>
      <c r="AY553" s="52"/>
      <c r="AZ553" s="23">
        <v>0.8</v>
      </c>
    </row>
    <row r="554" spans="1:53" ht="13.5" customHeight="1">
      <c r="A554" s="56"/>
      <c r="B554" s="50"/>
      <c r="C554" s="49"/>
      <c r="D554" s="49"/>
      <c r="E554" s="49"/>
      <c r="F554" s="49"/>
      <c r="G554" s="49"/>
      <c r="H554" s="49"/>
      <c r="I554" s="51"/>
      <c r="J554" s="350"/>
      <c r="K554" s="351"/>
      <c r="L554" s="101"/>
      <c r="M554" s="102"/>
      <c r="N554" s="102" t="s">
        <v>543</v>
      </c>
      <c r="O554" s="103"/>
      <c r="P554" s="102"/>
      <c r="Q554" s="102"/>
      <c r="R554" s="102"/>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51"/>
      <c r="AR554" s="208" t="s">
        <v>803</v>
      </c>
      <c r="AS554" s="49"/>
      <c r="AT554" s="49"/>
      <c r="AU554" s="49"/>
      <c r="AV554" s="49"/>
      <c r="AW554" s="49"/>
      <c r="AX554" s="49"/>
      <c r="AY554" s="52"/>
    </row>
    <row r="555" spans="1:53" ht="13.5" customHeight="1">
      <c r="A555" s="56"/>
      <c r="B555" s="50"/>
      <c r="C555" s="49"/>
      <c r="D555" s="49"/>
      <c r="E555" s="49"/>
      <c r="F555" s="49"/>
      <c r="G555" s="49"/>
      <c r="H555" s="49"/>
      <c r="I555" s="51"/>
      <c r="J555" s="350"/>
      <c r="K555" s="351"/>
      <c r="L555" s="520"/>
      <c r="M555" s="505"/>
      <c r="N555" s="505"/>
      <c r="O555" s="543"/>
      <c r="P555" s="505"/>
      <c r="Q555" s="505"/>
      <c r="R555" s="505"/>
      <c r="S555" s="139"/>
      <c r="T555" s="139"/>
      <c r="U555" s="139"/>
      <c r="V555" s="139"/>
      <c r="W555" s="139"/>
      <c r="X555" s="139"/>
      <c r="Y555" s="139"/>
      <c r="Z555" s="139"/>
      <c r="AA555" s="139"/>
      <c r="AB555" s="139"/>
      <c r="AC555" s="139"/>
      <c r="AD555" s="139"/>
      <c r="AE555" s="49"/>
      <c r="AF555" s="49"/>
      <c r="AG555" s="49"/>
      <c r="AH555" s="49"/>
      <c r="AI555" s="49"/>
      <c r="AJ555" s="49"/>
      <c r="AK555" s="49"/>
      <c r="AL555" s="49"/>
      <c r="AM555" s="49"/>
      <c r="AN555" s="49"/>
      <c r="AO555" s="49"/>
      <c r="AP555" s="49"/>
      <c r="AQ555" s="51"/>
      <c r="AR555" s="208"/>
      <c r="AS555" s="49"/>
      <c r="AT555" s="49"/>
      <c r="AU555" s="49"/>
      <c r="AV555" s="49"/>
      <c r="AW555" s="49"/>
      <c r="AX555" s="49"/>
      <c r="AY555" s="52"/>
    </row>
    <row r="556" spans="1:53" ht="13.5" customHeight="1">
      <c r="A556" s="56"/>
      <c r="B556" s="50"/>
      <c r="C556" s="49"/>
      <c r="D556" s="49"/>
      <c r="E556" s="49"/>
      <c r="F556" s="49"/>
      <c r="G556" s="49"/>
      <c r="H556" s="49"/>
      <c r="I556" s="51"/>
      <c r="J556" s="350"/>
      <c r="K556" s="351"/>
      <c r="L556" s="520"/>
      <c r="M556" s="505"/>
      <c r="N556" s="216" t="s">
        <v>449</v>
      </c>
      <c r="O556" s="139"/>
      <c r="P556" s="139"/>
      <c r="Q556" s="139"/>
      <c r="R556" s="139"/>
      <c r="S556" s="139"/>
      <c r="T556" s="139"/>
      <c r="U556" s="139"/>
      <c r="V556" s="139"/>
      <c r="W556" s="139"/>
      <c r="X556" s="139"/>
      <c r="Y556" s="139"/>
      <c r="Z556" s="139"/>
      <c r="AA556" s="139"/>
      <c r="AB556" s="505"/>
      <c r="AC556" s="505"/>
      <c r="AD556" s="505"/>
      <c r="AE556" s="102"/>
      <c r="AF556" s="102"/>
      <c r="AG556" s="102"/>
      <c r="AH556" s="102"/>
      <c r="AI556" s="102"/>
      <c r="AJ556" s="102"/>
      <c r="AK556" s="102"/>
      <c r="AL556" s="102"/>
      <c r="AM556" s="49"/>
      <c r="AN556" s="49"/>
      <c r="AO556" s="49"/>
      <c r="AP556" s="49"/>
      <c r="AQ556" s="51"/>
      <c r="AR556" s="208"/>
      <c r="AS556" s="49"/>
      <c r="AT556" s="49"/>
      <c r="AU556" s="49"/>
      <c r="AV556" s="49"/>
      <c r="AW556" s="49"/>
      <c r="AX556" s="49"/>
      <c r="AY556" s="52"/>
    </row>
    <row r="557" spans="1:53" ht="13.5" customHeight="1">
      <c r="A557" s="56"/>
      <c r="B557" s="50"/>
      <c r="C557" s="49"/>
      <c r="D557" s="49"/>
      <c r="E557" s="49"/>
      <c r="F557" s="49"/>
      <c r="G557" s="49"/>
      <c r="H557" s="49"/>
      <c r="I557" s="51"/>
      <c r="J557" s="350"/>
      <c r="K557" s="351"/>
      <c r="L557" s="520"/>
      <c r="M557" s="505"/>
      <c r="N557" s="139"/>
      <c r="O557" s="505" t="s">
        <v>542</v>
      </c>
      <c r="P557" s="505"/>
      <c r="Q557" s="505"/>
      <c r="R557" s="505"/>
      <c r="S557" s="505"/>
      <c r="T557" s="540"/>
      <c r="U557" s="505"/>
      <c r="V557" s="505"/>
      <c r="W557" s="505"/>
      <c r="X557" s="139"/>
      <c r="Y557" s="139"/>
      <c r="Z557" s="139"/>
      <c r="AA557" s="139"/>
      <c r="AB557" s="505"/>
      <c r="AC557" s="139" t="s">
        <v>492</v>
      </c>
      <c r="AD557" s="505"/>
      <c r="AE557" s="102"/>
      <c r="AF557" s="102"/>
      <c r="AG557" s="102"/>
      <c r="AH557" s="102"/>
      <c r="AI557" s="102"/>
      <c r="AJ557" s="102"/>
      <c r="AK557" s="102"/>
      <c r="AL557" s="102"/>
      <c r="AM557" s="49"/>
      <c r="AN557" s="49"/>
      <c r="AO557" s="49"/>
      <c r="AP557" s="49"/>
      <c r="AQ557" s="51"/>
      <c r="AR557" s="208"/>
      <c r="AS557" s="49"/>
      <c r="AT557" s="49"/>
      <c r="AU557" s="49"/>
      <c r="AV557" s="49"/>
      <c r="AW557" s="49"/>
      <c r="AX557" s="49"/>
      <c r="AY557" s="52"/>
    </row>
    <row r="558" spans="1:53" ht="13.5" customHeight="1">
      <c r="A558" s="56"/>
      <c r="B558" s="50"/>
      <c r="C558" s="49"/>
      <c r="D558" s="49"/>
      <c r="E558" s="49"/>
      <c r="F558" s="49"/>
      <c r="G558" s="49"/>
      <c r="H558" s="49"/>
      <c r="I558" s="51"/>
      <c r="J558" s="350"/>
      <c r="K558" s="351"/>
      <c r="L558" s="520"/>
      <c r="M558" s="505"/>
      <c r="N558" s="216" t="s">
        <v>450</v>
      </c>
      <c r="O558" s="139"/>
      <c r="P558" s="139"/>
      <c r="Q558" s="139"/>
      <c r="R558" s="139"/>
      <c r="S558" s="139"/>
      <c r="T558" s="139"/>
      <c r="U558" s="139"/>
      <c r="V558" s="139"/>
      <c r="W558" s="139"/>
      <c r="X558" s="139"/>
      <c r="Y558" s="139"/>
      <c r="Z558" s="139"/>
      <c r="AA558" s="139"/>
      <c r="AB558" s="505"/>
      <c r="AC558" s="505"/>
      <c r="AD558" s="505"/>
      <c r="AE558" s="102"/>
      <c r="AF558" s="102"/>
      <c r="AG558" s="102"/>
      <c r="AH558" s="102"/>
      <c r="AI558" s="102"/>
      <c r="AJ558" s="102"/>
      <c r="AK558" s="102"/>
      <c r="AL558" s="102"/>
      <c r="AM558" s="49"/>
      <c r="AN558" s="49"/>
      <c r="AO558" s="49"/>
      <c r="AP558" s="49"/>
      <c r="AQ558" s="51"/>
      <c r="AR558" s="208"/>
      <c r="AS558" s="49"/>
      <c r="AT558" s="49"/>
      <c r="AU558" s="49"/>
      <c r="AV558" s="49"/>
      <c r="AW558" s="49"/>
      <c r="AX558" s="49"/>
      <c r="AY558" s="52"/>
    </row>
    <row r="559" spans="1:53" ht="13.5" customHeight="1">
      <c r="A559" s="56"/>
      <c r="B559" s="50"/>
      <c r="C559" s="49"/>
      <c r="D559" s="49"/>
      <c r="E559" s="49"/>
      <c r="F559" s="49"/>
      <c r="G559" s="49"/>
      <c r="H559" s="49"/>
      <c r="I559" s="51"/>
      <c r="J559" s="350"/>
      <c r="K559" s="351"/>
      <c r="L559" s="520"/>
      <c r="M559" s="505"/>
      <c r="N559" s="139"/>
      <c r="O559" s="139" t="s">
        <v>489</v>
      </c>
      <c r="P559" s="139"/>
      <c r="Q559" s="139"/>
      <c r="R559" s="139"/>
      <c r="S559" s="139"/>
      <c r="T559" s="139"/>
      <c r="U559" s="139"/>
      <c r="V559" s="139"/>
      <c r="W559" s="139"/>
      <c r="X559" s="139"/>
      <c r="Y559" s="139"/>
      <c r="Z559" s="139"/>
      <c r="AA559" s="139"/>
      <c r="AB559" s="505"/>
      <c r="AC559" s="505"/>
      <c r="AD559" s="505"/>
      <c r="AE559" s="102"/>
      <c r="AF559" s="102"/>
      <c r="AG559" s="102"/>
      <c r="AH559" s="102"/>
      <c r="AI559" s="102"/>
      <c r="AJ559" s="102"/>
      <c r="AK559" s="102"/>
      <c r="AL559" s="102"/>
      <c r="AM559" s="49"/>
      <c r="AN559" s="49"/>
      <c r="AO559" s="49"/>
      <c r="AP559" s="49"/>
      <c r="AQ559" s="51"/>
      <c r="AR559" s="208"/>
      <c r="AS559" s="49"/>
      <c r="AT559" s="49"/>
      <c r="AU559" s="49"/>
      <c r="AV559" s="49"/>
      <c r="AW559" s="49"/>
      <c r="AX559" s="49"/>
      <c r="AY559" s="52"/>
    </row>
    <row r="560" spans="1:53" ht="13.5" customHeight="1">
      <c r="A560" s="56"/>
      <c r="B560" s="50"/>
      <c r="C560" s="49"/>
      <c r="D560" s="49"/>
      <c r="E560" s="49"/>
      <c r="F560" s="49"/>
      <c r="G560" s="49"/>
      <c r="H560" s="49"/>
      <c r="I560" s="51"/>
      <c r="J560" s="350"/>
      <c r="K560" s="351"/>
      <c r="L560" s="520"/>
      <c r="M560" s="505"/>
      <c r="N560" s="216" t="s">
        <v>452</v>
      </c>
      <c r="O560" s="139"/>
      <c r="P560" s="139"/>
      <c r="Q560" s="139"/>
      <c r="R560" s="139"/>
      <c r="S560" s="139"/>
      <c r="T560" s="139"/>
      <c r="U560" s="139"/>
      <c r="V560" s="139"/>
      <c r="W560" s="139"/>
      <c r="X560" s="139"/>
      <c r="Y560" s="139"/>
      <c r="Z560" s="139"/>
      <c r="AA560" s="139"/>
      <c r="AB560" s="505"/>
      <c r="AC560" s="505"/>
      <c r="AD560" s="505"/>
      <c r="AE560" s="102"/>
      <c r="AF560" s="102"/>
      <c r="AG560" s="102"/>
      <c r="AH560" s="102"/>
      <c r="AI560" s="102"/>
      <c r="AJ560" s="102"/>
      <c r="AK560" s="102"/>
      <c r="AL560" s="102"/>
      <c r="AM560" s="49"/>
      <c r="AN560" s="49"/>
      <c r="AO560" s="49"/>
      <c r="AP560" s="49"/>
      <c r="AQ560" s="51"/>
      <c r="AR560" s="208"/>
      <c r="AS560" s="49"/>
      <c r="AT560" s="49"/>
      <c r="AU560" s="49"/>
      <c r="AV560" s="49"/>
      <c r="AW560" s="49"/>
      <c r="AX560" s="49"/>
      <c r="AY560" s="52"/>
    </row>
    <row r="561" spans="1:67" ht="13.5" customHeight="1">
      <c r="A561" s="56"/>
      <c r="B561" s="50"/>
      <c r="C561" s="49"/>
      <c r="D561" s="49"/>
      <c r="E561" s="49"/>
      <c r="F561" s="49"/>
      <c r="G561" s="49"/>
      <c r="H561" s="49"/>
      <c r="I561" s="51"/>
      <c r="J561" s="350"/>
      <c r="K561" s="351"/>
      <c r="L561" s="520" t="s">
        <v>540</v>
      </c>
      <c r="M561" s="505"/>
      <c r="N561" s="139"/>
      <c r="O561" s="139" t="s">
        <v>691</v>
      </c>
      <c r="P561" s="139"/>
      <c r="Q561" s="139"/>
      <c r="R561" s="139"/>
      <c r="S561" s="139"/>
      <c r="T561" s="139"/>
      <c r="U561" s="139"/>
      <c r="V561" s="139"/>
      <c r="W561" s="139"/>
      <c r="X561" s="139"/>
      <c r="Y561" s="139"/>
      <c r="Z561" s="139"/>
      <c r="AA561" s="139"/>
      <c r="AB561" s="139"/>
      <c r="AC561" s="139"/>
      <c r="AD561" s="139"/>
      <c r="AE561" s="49"/>
      <c r="AF561" s="49"/>
      <c r="AG561" s="49"/>
      <c r="AH561" s="49"/>
      <c r="AI561" s="49"/>
      <c r="AJ561" s="49"/>
      <c r="AK561" s="49"/>
      <c r="AL561" s="49"/>
      <c r="AM561" s="49"/>
      <c r="AN561" s="49"/>
      <c r="AO561" s="49"/>
      <c r="AP561" s="49"/>
      <c r="AQ561" s="51"/>
      <c r="AR561" s="208"/>
      <c r="AS561" s="49"/>
      <c r="AT561" s="49"/>
      <c r="AU561" s="49"/>
      <c r="AV561" s="49"/>
      <c r="AW561" s="49"/>
      <c r="AX561" s="49"/>
      <c r="AY561" s="52"/>
      <c r="AZ561" s="23">
        <v>0.8</v>
      </c>
    </row>
    <row r="562" spans="1:67" ht="13.5" customHeight="1">
      <c r="A562" s="56"/>
      <c r="B562" s="50"/>
      <c r="C562" s="49"/>
      <c r="D562" s="49"/>
      <c r="E562" s="49"/>
      <c r="F562" s="49"/>
      <c r="G562" s="49"/>
      <c r="H562" s="49"/>
      <c r="I562" s="51"/>
      <c r="J562" s="350"/>
      <c r="K562" s="351"/>
      <c r="L562" s="520" t="s">
        <v>540</v>
      </c>
      <c r="M562" s="505"/>
      <c r="N562" s="139"/>
      <c r="O562" s="139" t="s">
        <v>490</v>
      </c>
      <c r="P562" s="139"/>
      <c r="Q562" s="139"/>
      <c r="R562" s="139"/>
      <c r="S562" s="139"/>
      <c r="T562" s="139"/>
      <c r="U562" s="139"/>
      <c r="V562" s="139"/>
      <c r="W562" s="139"/>
      <c r="X562" s="139"/>
      <c r="Y562" s="139"/>
      <c r="Z562" s="139"/>
      <c r="AA562" s="139"/>
      <c r="AB562" s="139"/>
      <c r="AC562" s="139"/>
      <c r="AD562" s="139"/>
      <c r="AE562" s="49"/>
      <c r="AF562" s="49"/>
      <c r="AG562" s="49"/>
      <c r="AH562" s="49"/>
      <c r="AI562" s="49"/>
      <c r="AJ562" s="49"/>
      <c r="AK562" s="49"/>
      <c r="AL562" s="49"/>
      <c r="AM562" s="49"/>
      <c r="AN562" s="49"/>
      <c r="AO562" s="49"/>
      <c r="AP562" s="49"/>
      <c r="AQ562" s="51"/>
      <c r="AR562" s="208"/>
      <c r="AS562" s="49"/>
      <c r="AT562" s="49"/>
      <c r="AU562" s="49"/>
      <c r="AV562" s="49"/>
      <c r="AW562" s="49"/>
      <c r="AX562" s="49"/>
      <c r="AY562" s="52"/>
    </row>
    <row r="563" spans="1:67" ht="13.5" customHeight="1">
      <c r="A563" s="56"/>
      <c r="B563" s="50"/>
      <c r="C563" s="49"/>
      <c r="D563" s="49"/>
      <c r="E563" s="49"/>
      <c r="F563" s="49"/>
      <c r="G563" s="49"/>
      <c r="H563" s="49"/>
      <c r="I563" s="51"/>
      <c r="J563" s="350"/>
      <c r="K563" s="351"/>
      <c r="L563" s="520" t="s">
        <v>540</v>
      </c>
      <c r="M563" s="505"/>
      <c r="N563" s="139"/>
      <c r="O563" s="139" t="s">
        <v>491</v>
      </c>
      <c r="P563" s="139"/>
      <c r="Q563" s="139"/>
      <c r="R563" s="139"/>
      <c r="S563" s="139"/>
      <c r="T563" s="139"/>
      <c r="U563" s="139"/>
      <c r="V563" s="139"/>
      <c r="W563" s="139"/>
      <c r="X563" s="139"/>
      <c r="Y563" s="139"/>
      <c r="Z563" s="139"/>
      <c r="AA563" s="139"/>
      <c r="AB563" s="139"/>
      <c r="AC563" s="139"/>
      <c r="AD563" s="139"/>
      <c r="AE563" s="49"/>
      <c r="AF563" s="49"/>
      <c r="AG563" s="49"/>
      <c r="AH563" s="49"/>
      <c r="AI563" s="49"/>
      <c r="AJ563" s="49"/>
      <c r="AK563" s="49"/>
      <c r="AL563" s="49"/>
      <c r="AM563" s="49"/>
      <c r="AN563" s="49"/>
      <c r="AO563" s="49"/>
      <c r="AP563" s="49"/>
      <c r="AQ563" s="51"/>
      <c r="AR563" s="208"/>
      <c r="AS563" s="49"/>
      <c r="AT563" s="49"/>
      <c r="AU563" s="49"/>
      <c r="AV563" s="49"/>
      <c r="AW563" s="49"/>
      <c r="AX563" s="49"/>
      <c r="AY563" s="52"/>
    </row>
    <row r="564" spans="1:67" ht="13.5" customHeight="1">
      <c r="A564" s="56"/>
      <c r="B564" s="50"/>
      <c r="C564" s="49"/>
      <c r="D564" s="49"/>
      <c r="E564" s="49"/>
      <c r="F564" s="49"/>
      <c r="G564" s="49"/>
      <c r="H564" s="49"/>
      <c r="I564" s="51"/>
      <c r="J564" s="350"/>
      <c r="K564" s="351"/>
      <c r="L564" s="101"/>
      <c r="M564" s="102"/>
      <c r="N564" s="102"/>
      <c r="O564" s="103"/>
      <c r="P564" s="102"/>
      <c r="Q564" s="102"/>
      <c r="R564" s="102"/>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51"/>
      <c r="AR564" s="208"/>
      <c r="AS564" s="49"/>
      <c r="AT564" s="49"/>
      <c r="AU564" s="49"/>
      <c r="AV564" s="49"/>
      <c r="AW564" s="49"/>
      <c r="AX564" s="49"/>
      <c r="AY564" s="52"/>
    </row>
    <row r="565" spans="1:67" ht="13.5" customHeight="1">
      <c r="A565" s="56"/>
      <c r="B565" s="50"/>
      <c r="C565" s="49"/>
      <c r="D565" s="49"/>
      <c r="E565" s="49"/>
      <c r="F565" s="49"/>
      <c r="G565" s="49"/>
      <c r="H565" s="49"/>
      <c r="I565" s="51"/>
      <c r="J565" s="350"/>
      <c r="K565" s="351"/>
      <c r="L565" s="101"/>
      <c r="M565" s="102" t="s">
        <v>222</v>
      </c>
      <c r="N565" s="102" t="s">
        <v>430</v>
      </c>
      <c r="O565" s="102"/>
      <c r="P565" s="102"/>
      <c r="Q565" s="102"/>
      <c r="R565" s="102"/>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51"/>
      <c r="AR565" s="208" t="s">
        <v>796</v>
      </c>
      <c r="AS565" s="49"/>
      <c r="AT565" s="49"/>
      <c r="AU565" s="49"/>
      <c r="AV565" s="49"/>
      <c r="AW565" s="49"/>
      <c r="AX565" s="49"/>
      <c r="AY565" s="52"/>
      <c r="BF565" s="49"/>
      <c r="BG565" s="49"/>
      <c r="BH565" s="49"/>
      <c r="BI565" s="49"/>
      <c r="BJ565" s="49"/>
      <c r="BK565" s="49"/>
      <c r="BL565" s="49"/>
      <c r="BM565" s="49"/>
      <c r="BN565" s="49"/>
      <c r="BO565" s="49"/>
    </row>
    <row r="566" spans="1:67" ht="13.5" customHeight="1">
      <c r="A566" s="56"/>
      <c r="B566" s="50"/>
      <c r="C566" s="49"/>
      <c r="D566" s="49"/>
      <c r="E566" s="49"/>
      <c r="F566" s="49"/>
      <c r="G566" s="49"/>
      <c r="H566" s="49"/>
      <c r="I566" s="51"/>
      <c r="J566" s="350"/>
      <c r="K566" s="351"/>
      <c r="L566" s="101"/>
      <c r="M566" s="102"/>
      <c r="N566" s="102" t="s">
        <v>429</v>
      </c>
      <c r="O566" s="102"/>
      <c r="P566" s="102"/>
      <c r="Q566" s="102"/>
      <c r="R566" s="102"/>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51"/>
      <c r="AR566" s="208"/>
      <c r="AS566" s="49"/>
      <c r="AT566" s="49"/>
      <c r="AU566" s="49"/>
      <c r="AV566" s="49"/>
      <c r="AW566" s="49"/>
      <c r="AX566" s="49"/>
      <c r="AY566" s="52"/>
      <c r="BF566" s="49"/>
      <c r="BG566" s="49"/>
      <c r="BH566" s="49"/>
      <c r="BI566" s="49"/>
      <c r="BJ566" s="49"/>
      <c r="BK566" s="49"/>
      <c r="BL566" s="49"/>
      <c r="BM566" s="49"/>
      <c r="BN566" s="49"/>
      <c r="BO566" s="49"/>
    </row>
    <row r="567" spans="1:67" ht="13.5" customHeight="1">
      <c r="A567" s="56"/>
      <c r="B567" s="50"/>
      <c r="C567" s="49"/>
      <c r="D567" s="49"/>
      <c r="E567" s="49"/>
      <c r="F567" s="49"/>
      <c r="G567" s="49"/>
      <c r="H567" s="49"/>
      <c r="I567" s="51"/>
      <c r="J567" s="350"/>
      <c r="K567" s="351"/>
      <c r="L567" s="101"/>
      <c r="M567" s="102"/>
      <c r="N567" s="102"/>
      <c r="O567" s="102"/>
      <c r="P567" s="102"/>
      <c r="Q567" s="102"/>
      <c r="R567" s="102"/>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51"/>
      <c r="AR567" s="208"/>
      <c r="AS567" s="49"/>
      <c r="AT567" s="49"/>
      <c r="AU567" s="49"/>
      <c r="AV567" s="49"/>
      <c r="AW567" s="49"/>
      <c r="AX567" s="49"/>
      <c r="AY567" s="52"/>
      <c r="BF567" s="49"/>
      <c r="BG567" s="49"/>
      <c r="BH567" s="49"/>
      <c r="BI567" s="49"/>
      <c r="BJ567" s="49"/>
      <c r="BK567" s="49"/>
      <c r="BL567" s="49"/>
      <c r="BM567" s="49"/>
      <c r="BN567" s="49"/>
      <c r="BO567" s="49"/>
    </row>
    <row r="568" spans="1:67" ht="13.5" customHeight="1">
      <c r="A568" s="56"/>
      <c r="B568" s="50"/>
      <c r="C568" s="49"/>
      <c r="D568" s="49"/>
      <c r="E568" s="49"/>
      <c r="F568" s="49"/>
      <c r="G568" s="49"/>
      <c r="H568" s="49"/>
      <c r="I568" s="51"/>
      <c r="J568" s="350"/>
      <c r="K568" s="351"/>
      <c r="L568" s="520"/>
      <c r="M568" s="505"/>
      <c r="N568" s="216" t="s">
        <v>449</v>
      </c>
      <c r="O568" s="139"/>
      <c r="P568" s="139"/>
      <c r="Q568" s="139"/>
      <c r="R568" s="139"/>
      <c r="S568" s="139"/>
      <c r="T568" s="139"/>
      <c r="U568" s="139"/>
      <c r="V568" s="139"/>
      <c r="W568" s="139"/>
      <c r="X568" s="139"/>
      <c r="Y568" s="139"/>
      <c r="Z568" s="139"/>
      <c r="AA568" s="139"/>
      <c r="AB568" s="49"/>
      <c r="AC568" s="49"/>
      <c r="AD568" s="49"/>
      <c r="AE568" s="49"/>
      <c r="AF568" s="49"/>
      <c r="AG568" s="49"/>
      <c r="AH568" s="49"/>
      <c r="AI568" s="49"/>
      <c r="AJ568" s="49"/>
      <c r="AK568" s="49"/>
      <c r="AL568" s="49"/>
      <c r="AM568" s="49"/>
      <c r="AN568" s="49"/>
      <c r="AO568" s="49"/>
      <c r="AP568" s="49"/>
      <c r="AQ568" s="51"/>
      <c r="AR568" s="208"/>
      <c r="AS568" s="49"/>
      <c r="AT568" s="49"/>
      <c r="AU568" s="49"/>
      <c r="AV568" s="49"/>
      <c r="AW568" s="49"/>
      <c r="AX568" s="49"/>
      <c r="AY568" s="52"/>
      <c r="BF568" s="49"/>
      <c r="BG568" s="49"/>
      <c r="BH568" s="49"/>
      <c r="BI568" s="49"/>
      <c r="BJ568" s="49"/>
      <c r="BK568" s="49"/>
      <c r="BL568" s="49"/>
      <c r="BM568" s="49"/>
      <c r="BN568" s="49"/>
      <c r="BO568" s="49"/>
    </row>
    <row r="569" spans="1:67" ht="13.5" customHeight="1">
      <c r="A569" s="56"/>
      <c r="B569" s="50"/>
      <c r="C569" s="49"/>
      <c r="D569" s="49"/>
      <c r="E569" s="49"/>
      <c r="F569" s="49"/>
      <c r="G569" s="49"/>
      <c r="H569" s="49"/>
      <c r="I569" s="51"/>
      <c r="J569" s="350"/>
      <c r="K569" s="351"/>
      <c r="L569" s="520"/>
      <c r="M569" s="505"/>
      <c r="N569" s="139"/>
      <c r="O569" s="139" t="s">
        <v>479</v>
      </c>
      <c r="P569" s="139"/>
      <c r="Q569" s="139"/>
      <c r="R569" s="139"/>
      <c r="S569" s="139"/>
      <c r="T569" s="139"/>
      <c r="U569" s="139"/>
      <c r="V569" s="139"/>
      <c r="W569" s="139"/>
      <c r="X569" s="139"/>
      <c r="Y569" s="139"/>
      <c r="Z569" s="139"/>
      <c r="AA569" s="139"/>
      <c r="AB569" s="49"/>
      <c r="AC569" s="49"/>
      <c r="AD569" s="49"/>
      <c r="AE569" s="49"/>
      <c r="AF569" s="49"/>
      <c r="AG569" s="49"/>
      <c r="AH569" s="49"/>
      <c r="AI569" s="49"/>
      <c r="AJ569" s="49"/>
      <c r="AK569" s="49"/>
      <c r="AL569" s="49"/>
      <c r="AM569" s="49"/>
      <c r="AN569" s="49"/>
      <c r="AO569" s="49"/>
      <c r="AP569" s="49"/>
      <c r="AQ569" s="51"/>
      <c r="AR569" s="208"/>
      <c r="AS569" s="49"/>
      <c r="AT569" s="49"/>
      <c r="AU569" s="49"/>
      <c r="AV569" s="49"/>
      <c r="AW569" s="49"/>
      <c r="AX569" s="49"/>
      <c r="AY569" s="52"/>
      <c r="BF569" s="49"/>
      <c r="BG569" s="49"/>
      <c r="BH569" s="49"/>
      <c r="BI569" s="49"/>
      <c r="BJ569" s="49"/>
      <c r="BK569" s="49"/>
      <c r="BL569" s="49"/>
      <c r="BM569" s="49"/>
      <c r="BN569" s="49"/>
      <c r="BO569" s="49"/>
    </row>
    <row r="570" spans="1:67" ht="13.5" customHeight="1">
      <c r="A570" s="56"/>
      <c r="B570" s="50"/>
      <c r="C570" s="49"/>
      <c r="D570" s="49"/>
      <c r="E570" s="49"/>
      <c r="F570" s="49"/>
      <c r="G570" s="49"/>
      <c r="H570" s="49"/>
      <c r="I570" s="51"/>
      <c r="J570" s="350"/>
      <c r="K570" s="351"/>
      <c r="L570" s="520"/>
      <c r="M570" s="505"/>
      <c r="N570" s="216" t="s">
        <v>450</v>
      </c>
      <c r="O570" s="139"/>
      <c r="P570" s="139"/>
      <c r="Q570" s="139"/>
      <c r="R570" s="139"/>
      <c r="S570" s="139"/>
      <c r="T570" s="139"/>
      <c r="U570" s="139"/>
      <c r="V570" s="139"/>
      <c r="W570" s="139"/>
      <c r="X570" s="139"/>
      <c r="Y570" s="139"/>
      <c r="Z570" s="139"/>
      <c r="AA570" s="139"/>
      <c r="AB570" s="49"/>
      <c r="AC570" s="49"/>
      <c r="AD570" s="49"/>
      <c r="AE570" s="49"/>
      <c r="AF570" s="49"/>
      <c r="AG570" s="49"/>
      <c r="AH570" s="49"/>
      <c r="AI570" s="49"/>
      <c r="AJ570" s="49"/>
      <c r="AK570" s="49"/>
      <c r="AL570" s="49"/>
      <c r="AM570" s="49"/>
      <c r="AN570" s="49"/>
      <c r="AO570" s="49"/>
      <c r="AP570" s="49"/>
      <c r="AQ570" s="51"/>
      <c r="AR570" s="208"/>
      <c r="AS570" s="49"/>
      <c r="AT570" s="49"/>
      <c r="AU570" s="49"/>
      <c r="AV570" s="49"/>
      <c r="AW570" s="49"/>
      <c r="AX570" s="49"/>
      <c r="AY570" s="52"/>
      <c r="BF570" s="49"/>
      <c r="BG570" s="49"/>
      <c r="BH570" s="49"/>
      <c r="BI570" s="49"/>
      <c r="BJ570" s="49"/>
      <c r="BK570" s="49"/>
      <c r="BL570" s="49"/>
      <c r="BM570" s="49"/>
      <c r="BN570" s="49"/>
      <c r="BO570" s="49"/>
    </row>
    <row r="571" spans="1:67" ht="13.5" customHeight="1">
      <c r="A571" s="56"/>
      <c r="B571" s="50"/>
      <c r="C571" s="49"/>
      <c r="D571" s="49"/>
      <c r="E571" s="49"/>
      <c r="F571" s="49"/>
      <c r="G571" s="49"/>
      <c r="H571" s="49"/>
      <c r="I571" s="51"/>
      <c r="J571" s="350"/>
      <c r="K571" s="351"/>
      <c r="L571" s="520"/>
      <c r="M571" s="505"/>
      <c r="N571" s="139"/>
      <c r="O571" s="139" t="s">
        <v>480</v>
      </c>
      <c r="P571" s="139"/>
      <c r="Q571" s="139"/>
      <c r="R571" s="139"/>
      <c r="S571" s="139"/>
      <c r="T571" s="139"/>
      <c r="U571" s="139"/>
      <c r="V571" s="139"/>
      <c r="W571" s="139"/>
      <c r="X571" s="139"/>
      <c r="Y571" s="139"/>
      <c r="Z571" s="139"/>
      <c r="AA571" s="139"/>
      <c r="AB571" s="49"/>
      <c r="AC571" s="49"/>
      <c r="AD571" s="49"/>
      <c r="AE571" s="49"/>
      <c r="AF571" s="49"/>
      <c r="AG571" s="49"/>
      <c r="AH571" s="49"/>
      <c r="AI571" s="49"/>
      <c r="AJ571" s="49"/>
      <c r="AK571" s="49"/>
      <c r="AL571" s="49"/>
      <c r="AM571" s="49"/>
      <c r="AN571" s="49"/>
      <c r="AO571" s="49"/>
      <c r="AP571" s="49"/>
      <c r="AQ571" s="51"/>
      <c r="AR571" s="208"/>
      <c r="AS571" s="49"/>
      <c r="AT571" s="49"/>
      <c r="AU571" s="49"/>
      <c r="AV571" s="49"/>
      <c r="AW571" s="49"/>
      <c r="AX571" s="49"/>
      <c r="AY571" s="52"/>
      <c r="BF571" s="49"/>
      <c r="BG571" s="49"/>
      <c r="BH571" s="49"/>
      <c r="BI571" s="49"/>
      <c r="BJ571" s="49"/>
      <c r="BK571" s="49"/>
      <c r="BL571" s="49"/>
      <c r="BM571" s="49"/>
      <c r="BN571" s="49"/>
      <c r="BO571" s="49"/>
    </row>
    <row r="572" spans="1:67" ht="13.5" customHeight="1">
      <c r="A572" s="56"/>
      <c r="B572" s="50"/>
      <c r="C572" s="49"/>
      <c r="D572" s="49"/>
      <c r="E572" s="49"/>
      <c r="F572" s="49"/>
      <c r="G572" s="49"/>
      <c r="H572" s="49"/>
      <c r="I572" s="51"/>
      <c r="J572" s="350"/>
      <c r="K572" s="351"/>
      <c r="L572" s="520"/>
      <c r="M572" s="505"/>
      <c r="N572" s="216" t="s">
        <v>452</v>
      </c>
      <c r="O572" s="139"/>
      <c r="P572" s="139"/>
      <c r="Q572" s="139"/>
      <c r="R572" s="139"/>
      <c r="S572" s="139"/>
      <c r="T572" s="139"/>
      <c r="U572" s="139"/>
      <c r="V572" s="139"/>
      <c r="W572" s="139"/>
      <c r="X572" s="139"/>
      <c r="Y572" s="139"/>
      <c r="Z572" s="139"/>
      <c r="AA572" s="139"/>
      <c r="AB572" s="49"/>
      <c r="AC572" s="49"/>
      <c r="AD572" s="49"/>
      <c r="AE572" s="49"/>
      <c r="AF572" s="49"/>
      <c r="AG572" s="49"/>
      <c r="AH572" s="49"/>
      <c r="AI572" s="49"/>
      <c r="AJ572" s="49"/>
      <c r="AK572" s="49"/>
      <c r="AL572" s="49"/>
      <c r="AM572" s="49"/>
      <c r="AN572" s="49"/>
      <c r="AO572" s="49"/>
      <c r="AP572" s="49"/>
      <c r="AQ572" s="51"/>
      <c r="AR572" s="208"/>
      <c r="AS572" s="49"/>
      <c r="AT572" s="49"/>
      <c r="AU572" s="49"/>
      <c r="AV572" s="49"/>
      <c r="AW572" s="49"/>
      <c r="AX572" s="49"/>
      <c r="AY572" s="52"/>
    </row>
    <row r="573" spans="1:67" ht="13.5" customHeight="1">
      <c r="A573" s="56"/>
      <c r="B573" s="50"/>
      <c r="C573" s="49"/>
      <c r="D573" s="49"/>
      <c r="E573" s="49"/>
      <c r="F573" s="49"/>
      <c r="G573" s="49"/>
      <c r="H573" s="49"/>
      <c r="I573" s="51"/>
      <c r="J573" s="350"/>
      <c r="K573" s="351"/>
      <c r="L573" s="520"/>
      <c r="M573" s="505"/>
      <c r="N573" s="139"/>
      <c r="O573" s="139" t="s">
        <v>481</v>
      </c>
      <c r="P573" s="139"/>
      <c r="Q573" s="139"/>
      <c r="R573" s="139"/>
      <c r="S573" s="139"/>
      <c r="T573" s="139"/>
      <c r="U573" s="139"/>
      <c r="V573" s="139"/>
      <c r="W573" s="139"/>
      <c r="X573" s="139"/>
      <c r="Y573" s="139"/>
      <c r="Z573" s="139"/>
      <c r="AA573" s="139"/>
      <c r="AB573" s="49"/>
      <c r="AC573" s="49"/>
      <c r="AD573" s="49"/>
      <c r="AE573" s="49"/>
      <c r="AF573" s="49"/>
      <c r="AG573" s="49"/>
      <c r="AH573" s="49"/>
      <c r="AI573" s="49"/>
      <c r="AJ573" s="49"/>
      <c r="AK573" s="49"/>
      <c r="AL573" s="49"/>
      <c r="AM573" s="49"/>
      <c r="AN573" s="49"/>
      <c r="AO573" s="49"/>
      <c r="AP573" s="49"/>
      <c r="AQ573" s="51"/>
      <c r="AR573" s="208"/>
      <c r="AS573" s="49"/>
      <c r="AT573" s="49"/>
      <c r="AU573" s="49"/>
      <c r="AV573" s="49"/>
      <c r="AW573" s="49"/>
      <c r="AX573" s="49"/>
      <c r="AY573" s="52"/>
    </row>
    <row r="574" spans="1:67" ht="13.5" customHeight="1">
      <c r="A574" s="56"/>
      <c r="B574" s="50"/>
      <c r="C574" s="49"/>
      <c r="D574" s="49"/>
      <c r="E574" s="49"/>
      <c r="F574" s="49"/>
      <c r="G574" s="49"/>
      <c r="H574" s="49"/>
      <c r="I574" s="51"/>
      <c r="J574" s="350"/>
      <c r="K574" s="351"/>
      <c r="L574" s="520"/>
      <c r="M574" s="505"/>
      <c r="N574" s="139"/>
      <c r="O574" s="139" t="s">
        <v>482</v>
      </c>
      <c r="P574" s="139"/>
      <c r="Q574" s="139"/>
      <c r="R574" s="139"/>
      <c r="S574" s="139"/>
      <c r="T574" s="139"/>
      <c r="U574" s="139"/>
      <c r="V574" s="139"/>
      <c r="W574" s="139"/>
      <c r="X574" s="139"/>
      <c r="Y574" s="139"/>
      <c r="Z574" s="139"/>
      <c r="AA574" s="139"/>
      <c r="AB574" s="49"/>
      <c r="AC574" s="49"/>
      <c r="AD574" s="49"/>
      <c r="AE574" s="49"/>
      <c r="AF574" s="49"/>
      <c r="AG574" s="49"/>
      <c r="AH574" s="49"/>
      <c r="AI574" s="49"/>
      <c r="AJ574" s="49"/>
      <c r="AK574" s="49"/>
      <c r="AL574" s="49"/>
      <c r="AM574" s="49"/>
      <c r="AN574" s="49"/>
      <c r="AO574" s="49"/>
      <c r="AP574" s="49"/>
      <c r="AQ574" s="51"/>
      <c r="AR574" s="208"/>
      <c r="AS574" s="49"/>
      <c r="AT574" s="49"/>
      <c r="AU574" s="49"/>
      <c r="AV574" s="49"/>
      <c r="AW574" s="49"/>
      <c r="AX574" s="49"/>
      <c r="AY574" s="52"/>
    </row>
    <row r="575" spans="1:67" ht="13.5" customHeight="1" thickBot="1">
      <c r="A575" s="321"/>
      <c r="B575" s="322"/>
      <c r="C575" s="323"/>
      <c r="D575" s="323"/>
      <c r="E575" s="323"/>
      <c r="F575" s="323"/>
      <c r="G575" s="323"/>
      <c r="H575" s="323"/>
      <c r="I575" s="324"/>
      <c r="J575" s="354"/>
      <c r="K575" s="355"/>
      <c r="L575" s="336"/>
      <c r="M575" s="338"/>
      <c r="N575" s="338"/>
      <c r="O575" s="338"/>
      <c r="P575" s="338"/>
      <c r="Q575" s="338"/>
      <c r="R575" s="338"/>
      <c r="S575" s="323"/>
      <c r="T575" s="323"/>
      <c r="U575" s="323"/>
      <c r="V575" s="323"/>
      <c r="W575" s="323"/>
      <c r="X575" s="323"/>
      <c r="Y575" s="323"/>
      <c r="Z575" s="323"/>
      <c r="AA575" s="323"/>
      <c r="AB575" s="323"/>
      <c r="AC575" s="323"/>
      <c r="AD575" s="323"/>
      <c r="AE575" s="323"/>
      <c r="AF575" s="323"/>
      <c r="AG575" s="323"/>
      <c r="AH575" s="323"/>
      <c r="AI575" s="323"/>
      <c r="AJ575" s="323"/>
      <c r="AK575" s="323"/>
      <c r="AL575" s="323"/>
      <c r="AM575" s="323"/>
      <c r="AN575" s="323"/>
      <c r="AO575" s="323"/>
      <c r="AP575" s="323"/>
      <c r="AQ575" s="324"/>
      <c r="AR575" s="327"/>
      <c r="AS575" s="323"/>
      <c r="AT575" s="323"/>
      <c r="AU575" s="323"/>
      <c r="AV575" s="323"/>
      <c r="AW575" s="323"/>
      <c r="AX575" s="323"/>
      <c r="AY575" s="328"/>
    </row>
    <row r="576" spans="1:67" ht="13.5" customHeight="1">
      <c r="A576" s="56"/>
      <c r="B576" s="50"/>
      <c r="C576" s="49"/>
      <c r="D576" s="49"/>
      <c r="E576" s="49"/>
      <c r="F576" s="49"/>
      <c r="G576" s="49"/>
      <c r="H576" s="49"/>
      <c r="I576" s="51"/>
      <c r="J576" s="350"/>
      <c r="K576" s="351"/>
      <c r="L576" s="101"/>
      <c r="M576" s="102" t="s">
        <v>224</v>
      </c>
      <c r="N576" s="102" t="s">
        <v>418</v>
      </c>
      <c r="O576" s="102"/>
      <c r="P576" s="102"/>
      <c r="Q576" s="102"/>
      <c r="R576" s="102"/>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51"/>
      <c r="AR576" s="208" t="s">
        <v>781</v>
      </c>
      <c r="AS576" s="49"/>
      <c r="AT576" s="49"/>
      <c r="AU576" s="49"/>
      <c r="AV576" s="49"/>
      <c r="AW576" s="49"/>
      <c r="AX576" s="49"/>
      <c r="AY576" s="52"/>
    </row>
    <row r="577" spans="1:52" ht="13.5" customHeight="1">
      <c r="A577" s="56"/>
      <c r="B577" s="50"/>
      <c r="C577" s="49"/>
      <c r="D577" s="49"/>
      <c r="E577" s="49"/>
      <c r="F577" s="49"/>
      <c r="G577" s="49"/>
      <c r="H577" s="49"/>
      <c r="I577" s="51"/>
      <c r="J577" s="350"/>
      <c r="K577" s="351"/>
      <c r="L577" s="101"/>
      <c r="M577" s="102"/>
      <c r="N577" s="102" t="s">
        <v>692</v>
      </c>
      <c r="O577" s="102"/>
      <c r="P577" s="102"/>
      <c r="Q577" s="102"/>
      <c r="R577" s="102"/>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51"/>
      <c r="AR577" s="208"/>
      <c r="AS577" s="49"/>
      <c r="AT577" s="49"/>
      <c r="AU577" s="49"/>
      <c r="AV577" s="49"/>
      <c r="AW577" s="49"/>
      <c r="AX577" s="49"/>
      <c r="AY577" s="52"/>
      <c r="AZ577" s="23">
        <v>0.8</v>
      </c>
    </row>
    <row r="578" spans="1:52" ht="13.5" customHeight="1">
      <c r="A578" s="56"/>
      <c r="B578" s="50"/>
      <c r="C578" s="49"/>
      <c r="D578" s="49"/>
      <c r="E578" s="49"/>
      <c r="F578" s="49"/>
      <c r="G578" s="49"/>
      <c r="H578" s="49"/>
      <c r="I578" s="51"/>
      <c r="J578" s="350"/>
      <c r="K578" s="351"/>
      <c r="L578" s="101"/>
      <c r="M578" s="102"/>
      <c r="N578" s="102"/>
      <c r="O578" s="102"/>
      <c r="P578" s="102"/>
      <c r="Q578" s="102"/>
      <c r="R578" s="102"/>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51"/>
      <c r="AR578" s="208"/>
      <c r="AS578" s="49"/>
      <c r="AT578" s="49"/>
      <c r="AU578" s="49"/>
      <c r="AV578" s="49"/>
      <c r="AW578" s="49"/>
      <c r="AX578" s="49"/>
      <c r="AY578" s="52"/>
    </row>
    <row r="579" spans="1:52" ht="13.5" customHeight="1">
      <c r="A579" s="56"/>
      <c r="B579" s="50"/>
      <c r="C579" s="49"/>
      <c r="D579" s="49"/>
      <c r="E579" s="49"/>
      <c r="F579" s="49"/>
      <c r="G579" s="49"/>
      <c r="H579" s="49"/>
      <c r="I579" s="51"/>
      <c r="J579" s="350"/>
      <c r="K579" s="351"/>
      <c r="L579" s="101"/>
      <c r="M579" s="102" t="s">
        <v>425</v>
      </c>
      <c r="N579" s="102" t="s">
        <v>219</v>
      </c>
      <c r="O579" s="102"/>
      <c r="P579" s="102"/>
      <c r="Q579" s="102"/>
      <c r="R579" s="102"/>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51"/>
      <c r="AR579" s="208"/>
      <c r="AS579" s="49"/>
      <c r="AT579" s="49"/>
      <c r="AU579" s="49"/>
      <c r="AV579" s="49"/>
      <c r="AW579" s="49"/>
      <c r="AX579" s="49"/>
      <c r="AY579" s="52"/>
    </row>
    <row r="580" spans="1:52" s="38" customFormat="1" ht="13.5" customHeight="1">
      <c r="A580" s="56"/>
      <c r="B580" s="50"/>
      <c r="C580" s="49"/>
      <c r="D580" s="49"/>
      <c r="E580" s="49"/>
      <c r="F580" s="49"/>
      <c r="G580" s="49"/>
      <c r="H580" s="49"/>
      <c r="I580" s="51"/>
      <c r="J580" s="350"/>
      <c r="K580" s="351"/>
      <c r="L580" s="101"/>
      <c r="M580" s="102"/>
      <c r="N580" s="102" t="s">
        <v>693</v>
      </c>
      <c r="O580" s="102"/>
      <c r="P580" s="102"/>
      <c r="Q580" s="102"/>
      <c r="R580" s="102"/>
      <c r="S580" s="49"/>
      <c r="T580" s="49"/>
      <c r="U580" s="49"/>
      <c r="V580" s="49"/>
      <c r="W580" s="49"/>
      <c r="X580" s="49"/>
      <c r="Y580" s="49"/>
      <c r="Z580" s="49"/>
      <c r="AA580" s="49"/>
      <c r="AB580" s="49"/>
      <c r="AC580" s="49"/>
      <c r="AD580" s="49"/>
      <c r="AE580" s="49"/>
      <c r="AF580" s="49"/>
      <c r="AG580" s="49"/>
      <c r="AH580" s="49"/>
      <c r="AI580" s="49"/>
      <c r="AJ580" s="49"/>
      <c r="AK580" s="49"/>
      <c r="AL580" s="49"/>
      <c r="AM580" s="49"/>
      <c r="AN580" s="49"/>
      <c r="AO580" s="49"/>
      <c r="AP580" s="49"/>
      <c r="AQ580" s="51"/>
      <c r="AR580" s="208" t="s">
        <v>790</v>
      </c>
      <c r="AS580" s="49"/>
      <c r="AT580" s="49"/>
      <c r="AU580" s="49"/>
      <c r="AV580" s="49"/>
      <c r="AW580" s="49"/>
      <c r="AX580" s="49"/>
      <c r="AY580" s="52"/>
      <c r="AZ580" s="236"/>
    </row>
    <row r="581" spans="1:52" s="38" customFormat="1" ht="13.5" customHeight="1">
      <c r="A581" s="56"/>
      <c r="B581" s="50"/>
      <c r="C581" s="49"/>
      <c r="D581" s="49"/>
      <c r="E581" s="49"/>
      <c r="F581" s="49"/>
      <c r="G581" s="49"/>
      <c r="H581" s="49"/>
      <c r="I581" s="51"/>
      <c r="J581" s="350"/>
      <c r="K581" s="351"/>
      <c r="L581" s="101"/>
      <c r="M581" s="102"/>
      <c r="N581" s="102"/>
      <c r="O581" s="102"/>
      <c r="P581" s="102"/>
      <c r="Q581" s="102"/>
      <c r="R581" s="102"/>
      <c r="S581" s="49"/>
      <c r="T581" s="49"/>
      <c r="U581" s="49"/>
      <c r="V581" s="49"/>
      <c r="W581" s="49"/>
      <c r="X581" s="49"/>
      <c r="Y581" s="49"/>
      <c r="Z581" s="49"/>
      <c r="AA581" s="49"/>
      <c r="AB581" s="49"/>
      <c r="AC581" s="49"/>
      <c r="AD581" s="49"/>
      <c r="AE581" s="49"/>
      <c r="AF581" s="49"/>
      <c r="AG581" s="49"/>
      <c r="AH581" s="49"/>
      <c r="AI581" s="49"/>
      <c r="AJ581" s="49"/>
      <c r="AK581" s="49"/>
      <c r="AL581" s="49"/>
      <c r="AM581" s="49"/>
      <c r="AN581" s="49"/>
      <c r="AO581" s="49"/>
      <c r="AP581" s="49"/>
      <c r="AQ581" s="51"/>
      <c r="AR581" s="208"/>
      <c r="AS581" s="49"/>
      <c r="AT581" s="49"/>
      <c r="AU581" s="49"/>
      <c r="AV581" s="49"/>
      <c r="AW581" s="49"/>
      <c r="AX581" s="49"/>
      <c r="AY581" s="52"/>
      <c r="AZ581" s="236"/>
    </row>
    <row r="582" spans="1:52" s="38" customFormat="1" ht="13.5" customHeight="1">
      <c r="A582" s="56"/>
      <c r="B582" s="50"/>
      <c r="C582" s="49"/>
      <c r="D582" s="49"/>
      <c r="E582" s="49"/>
      <c r="F582" s="49"/>
      <c r="G582" s="49"/>
      <c r="H582" s="49"/>
      <c r="I582" s="51"/>
      <c r="J582" s="350"/>
      <c r="K582" s="351"/>
      <c r="L582" s="101"/>
      <c r="M582" s="102"/>
      <c r="N582" s="102" t="s">
        <v>428</v>
      </c>
      <c r="O582" s="102"/>
      <c r="P582" s="102"/>
      <c r="Q582" s="102"/>
      <c r="R582" s="102"/>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51"/>
      <c r="AR582" s="208" t="s">
        <v>791</v>
      </c>
      <c r="AS582" s="49"/>
      <c r="AT582" s="49"/>
      <c r="AU582" s="49"/>
      <c r="AV582" s="49"/>
      <c r="AW582" s="49"/>
      <c r="AX582" s="49"/>
      <c r="AY582" s="52"/>
      <c r="AZ582" s="236"/>
    </row>
    <row r="583" spans="1:52" ht="13.5" customHeight="1">
      <c r="A583" s="56"/>
      <c r="B583" s="50"/>
      <c r="C583" s="49"/>
      <c r="D583" s="49"/>
      <c r="E583" s="49"/>
      <c r="F583" s="49"/>
      <c r="G583" s="49"/>
      <c r="H583" s="49"/>
      <c r="I583" s="51"/>
      <c r="J583" s="350"/>
      <c r="K583" s="351"/>
      <c r="L583" s="101"/>
      <c r="M583" s="102"/>
      <c r="N583" s="102"/>
      <c r="O583" s="103"/>
      <c r="P583" s="102"/>
      <c r="Q583" s="102"/>
      <c r="R583" s="102"/>
      <c r="S583" s="102"/>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51"/>
      <c r="AR583" s="208"/>
      <c r="AS583" s="49"/>
      <c r="AT583" s="49"/>
      <c r="AU583" s="49"/>
      <c r="AV583" s="49"/>
      <c r="AW583" s="49"/>
      <c r="AX583" s="49"/>
      <c r="AY583" s="52"/>
    </row>
    <row r="584" spans="1:52" ht="13.5" customHeight="1">
      <c r="A584" s="56"/>
      <c r="B584" s="50"/>
      <c r="C584" s="49"/>
      <c r="D584" s="49"/>
      <c r="E584" s="49"/>
      <c r="F584" s="49"/>
      <c r="G584" s="49"/>
      <c r="H584" s="49"/>
      <c r="I584" s="51"/>
      <c r="J584" s="350"/>
      <c r="K584" s="351"/>
      <c r="L584" s="101"/>
      <c r="M584" s="102" t="s">
        <v>672</v>
      </c>
      <c r="N584" s="102" t="s">
        <v>694</v>
      </c>
      <c r="O584" s="102"/>
      <c r="P584" s="102"/>
      <c r="Q584" s="102"/>
      <c r="R584" s="102"/>
      <c r="S584" s="49"/>
      <c r="T584" s="49"/>
      <c r="U584" s="49"/>
      <c r="V584" s="49"/>
      <c r="W584" s="49"/>
      <c r="X584" s="49"/>
      <c r="Y584" s="46"/>
      <c r="Z584" s="49"/>
      <c r="AA584" s="49"/>
      <c r="AB584" s="49"/>
      <c r="AC584" s="49"/>
      <c r="AD584" s="49"/>
      <c r="AE584" s="49"/>
      <c r="AF584" s="49"/>
      <c r="AG584" s="49"/>
      <c r="AH584" s="49"/>
      <c r="AI584" s="49"/>
      <c r="AJ584" s="49"/>
      <c r="AK584" s="49"/>
      <c r="AL584" s="49"/>
      <c r="AM584" s="49"/>
      <c r="AN584" s="49"/>
      <c r="AO584" s="49"/>
      <c r="AP584" s="49"/>
      <c r="AQ584" s="51"/>
      <c r="AR584" s="208" t="s">
        <v>804</v>
      </c>
      <c r="AS584" s="49"/>
      <c r="AT584" s="49"/>
      <c r="AU584" s="49"/>
      <c r="AV584" s="49"/>
      <c r="AW584" s="49"/>
      <c r="AX584" s="49"/>
      <c r="AY584" s="52"/>
    </row>
    <row r="585" spans="1:52" ht="13.5" customHeight="1">
      <c r="A585" s="56"/>
      <c r="B585" s="50"/>
      <c r="C585" s="49"/>
      <c r="D585" s="49"/>
      <c r="E585" s="49"/>
      <c r="F585" s="49"/>
      <c r="G585" s="49"/>
      <c r="H585" s="49"/>
      <c r="I585" s="51"/>
      <c r="J585" s="350"/>
      <c r="K585" s="351"/>
      <c r="L585" s="101"/>
      <c r="M585" s="102"/>
      <c r="N585" s="102"/>
      <c r="O585" s="102"/>
      <c r="P585" s="102"/>
      <c r="Q585" s="102"/>
      <c r="R585" s="102"/>
      <c r="S585" s="49"/>
      <c r="T585" s="49"/>
      <c r="U585" s="49"/>
      <c r="V585" s="49"/>
      <c r="W585" s="49"/>
      <c r="X585" s="49"/>
      <c r="Y585" s="46"/>
      <c r="Z585" s="49"/>
      <c r="AA585" s="49"/>
      <c r="AB585" s="49"/>
      <c r="AC585" s="49"/>
      <c r="AD585" s="49"/>
      <c r="AE585" s="49"/>
      <c r="AF585" s="49"/>
      <c r="AG585" s="49"/>
      <c r="AH585" s="49"/>
      <c r="AI585" s="49"/>
      <c r="AJ585" s="49"/>
      <c r="AK585" s="49"/>
      <c r="AL585" s="49"/>
      <c r="AM585" s="49"/>
      <c r="AN585" s="49"/>
      <c r="AO585" s="49"/>
      <c r="AP585" s="49"/>
      <c r="AQ585" s="51"/>
      <c r="AR585" s="208"/>
      <c r="AS585" s="49"/>
      <c r="AT585" s="49"/>
      <c r="AU585" s="49"/>
      <c r="AV585" s="49"/>
      <c r="AW585" s="49"/>
      <c r="AX585" s="49"/>
      <c r="AY585" s="52"/>
    </row>
    <row r="586" spans="1:52" ht="13.5" customHeight="1">
      <c r="A586" s="56"/>
      <c r="B586" s="50"/>
      <c r="C586" s="49"/>
      <c r="D586" s="49"/>
      <c r="E586" s="49"/>
      <c r="F586" s="49"/>
      <c r="G586" s="49"/>
      <c r="H586" s="49"/>
      <c r="I586" s="51"/>
      <c r="J586" s="350"/>
      <c r="K586" s="351"/>
      <c r="L586" s="520"/>
      <c r="M586" s="216" t="s">
        <v>449</v>
      </c>
      <c r="N586" s="139"/>
      <c r="O586" s="139"/>
      <c r="P586" s="139"/>
      <c r="Q586" s="139"/>
      <c r="R586" s="139"/>
      <c r="S586" s="139"/>
      <c r="T586" s="139"/>
      <c r="U586" s="139"/>
      <c r="V586" s="139"/>
      <c r="W586" s="139"/>
      <c r="X586" s="139"/>
      <c r="Y586" s="139"/>
      <c r="Z586" s="139"/>
      <c r="AA586" s="139"/>
      <c r="AB586" s="49"/>
      <c r="AC586" s="49"/>
      <c r="AD586" s="49"/>
      <c r="AE586" s="49"/>
      <c r="AF586" s="49"/>
      <c r="AG586" s="49"/>
      <c r="AH586" s="49"/>
      <c r="AI586" s="49"/>
      <c r="AJ586" s="49"/>
      <c r="AK586" s="49"/>
      <c r="AL586" s="49"/>
      <c r="AM586" s="49"/>
      <c r="AN586" s="49"/>
      <c r="AO586" s="49"/>
      <c r="AP586" s="49"/>
      <c r="AQ586" s="51"/>
      <c r="AR586" s="208"/>
      <c r="AS586" s="49"/>
      <c r="AT586" s="49"/>
      <c r="AU586" s="49"/>
      <c r="AV586" s="49"/>
      <c r="AW586" s="49"/>
      <c r="AX586" s="49"/>
      <c r="AY586" s="52"/>
    </row>
    <row r="587" spans="1:52" ht="13.5" customHeight="1">
      <c r="A587" s="56"/>
      <c r="B587" s="50"/>
      <c r="C587" s="49"/>
      <c r="D587" s="49"/>
      <c r="E587" s="49"/>
      <c r="F587" s="49"/>
      <c r="G587" s="49"/>
      <c r="H587" s="49"/>
      <c r="I587" s="51"/>
      <c r="J587" s="350"/>
      <c r="K587" s="351"/>
      <c r="L587" s="520"/>
      <c r="M587" s="139"/>
      <c r="N587" s="139" t="s">
        <v>467</v>
      </c>
      <c r="O587" s="139"/>
      <c r="P587" s="139"/>
      <c r="Q587" s="139"/>
      <c r="R587" s="139"/>
      <c r="S587" s="139"/>
      <c r="T587" s="139"/>
      <c r="U587" s="139" t="s">
        <v>495</v>
      </c>
      <c r="V587" s="139"/>
      <c r="W587" s="139"/>
      <c r="X587" s="139"/>
      <c r="Y587" s="139"/>
      <c r="Z587" s="139"/>
      <c r="AA587" s="139"/>
      <c r="AB587" s="49"/>
      <c r="AC587" s="49"/>
      <c r="AD587" s="49"/>
      <c r="AE587" s="49"/>
      <c r="AF587" s="49"/>
      <c r="AG587" s="49"/>
      <c r="AH587" s="49"/>
      <c r="AI587" s="49"/>
      <c r="AJ587" s="49"/>
      <c r="AK587" s="49"/>
      <c r="AL587" s="49"/>
      <c r="AM587" s="49"/>
      <c r="AN587" s="49"/>
      <c r="AO587" s="49"/>
      <c r="AP587" s="49"/>
      <c r="AQ587" s="51"/>
      <c r="AR587" s="208"/>
      <c r="AS587" s="49"/>
      <c r="AT587" s="49"/>
      <c r="AU587" s="49"/>
      <c r="AV587" s="49"/>
      <c r="AW587" s="49"/>
      <c r="AX587" s="49"/>
      <c r="AY587" s="52"/>
    </row>
    <row r="588" spans="1:52" ht="13.5" customHeight="1">
      <c r="A588" s="56"/>
      <c r="B588" s="50"/>
      <c r="C588" s="49"/>
      <c r="D588" s="49"/>
      <c r="E588" s="49"/>
      <c r="F588" s="49"/>
      <c r="G588" s="49"/>
      <c r="H588" s="49"/>
      <c r="I588" s="51"/>
      <c r="J588" s="350"/>
      <c r="K588" s="351"/>
      <c r="L588" s="520"/>
      <c r="M588" s="216" t="s">
        <v>450</v>
      </c>
      <c r="N588" s="139"/>
      <c r="O588" s="139"/>
      <c r="P588" s="139"/>
      <c r="Q588" s="139"/>
      <c r="R588" s="139"/>
      <c r="S588" s="139"/>
      <c r="T588" s="139"/>
      <c r="U588" s="139"/>
      <c r="V588" s="139"/>
      <c r="W588" s="139"/>
      <c r="X588" s="139"/>
      <c r="Y588" s="139"/>
      <c r="Z588" s="139"/>
      <c r="AA588" s="139"/>
      <c r="AB588" s="49"/>
      <c r="AC588" s="49"/>
      <c r="AD588" s="49"/>
      <c r="AE588" s="49"/>
      <c r="AF588" s="49"/>
      <c r="AG588" s="49"/>
      <c r="AH588" s="49"/>
      <c r="AI588" s="49"/>
      <c r="AJ588" s="49"/>
      <c r="AK588" s="49"/>
      <c r="AL588" s="49"/>
      <c r="AM588" s="49"/>
      <c r="AN588" s="49"/>
      <c r="AO588" s="49"/>
      <c r="AP588" s="49"/>
      <c r="AQ588" s="51"/>
      <c r="AR588" s="208"/>
      <c r="AS588" s="49"/>
      <c r="AT588" s="49"/>
      <c r="AU588" s="49"/>
      <c r="AV588" s="49"/>
      <c r="AW588" s="49"/>
      <c r="AX588" s="49"/>
      <c r="AY588" s="52"/>
    </row>
    <row r="589" spans="1:52" ht="13.5" customHeight="1">
      <c r="A589" s="56"/>
      <c r="B589" s="50"/>
      <c r="C589" s="49"/>
      <c r="D589" s="49"/>
      <c r="E589" s="49"/>
      <c r="F589" s="49"/>
      <c r="G589" s="49"/>
      <c r="H589" s="49"/>
      <c r="I589" s="51"/>
      <c r="J589" s="350"/>
      <c r="K589" s="351"/>
      <c r="L589" s="520"/>
      <c r="M589" s="139"/>
      <c r="N589" s="139" t="s">
        <v>451</v>
      </c>
      <c r="O589" s="139"/>
      <c r="P589" s="139"/>
      <c r="Q589" s="139"/>
      <c r="R589" s="139"/>
      <c r="S589" s="139"/>
      <c r="T589" s="139"/>
      <c r="U589" s="139"/>
      <c r="V589" s="139"/>
      <c r="W589" s="139"/>
      <c r="X589" s="139"/>
      <c r="Y589" s="139"/>
      <c r="Z589" s="139"/>
      <c r="AA589" s="139"/>
      <c r="AB589" s="49"/>
      <c r="AC589" s="49"/>
      <c r="AD589" s="49"/>
      <c r="AE589" s="49"/>
      <c r="AF589" s="49"/>
      <c r="AG589" s="49"/>
      <c r="AH589" s="49"/>
      <c r="AI589" s="49"/>
      <c r="AJ589" s="49"/>
      <c r="AK589" s="49"/>
      <c r="AL589" s="49"/>
      <c r="AM589" s="49"/>
      <c r="AN589" s="49"/>
      <c r="AO589" s="49"/>
      <c r="AP589" s="49"/>
      <c r="AQ589" s="51"/>
      <c r="AR589" s="208"/>
      <c r="AS589" s="49"/>
      <c r="AT589" s="49"/>
      <c r="AU589" s="49"/>
      <c r="AV589" s="49"/>
      <c r="AW589" s="49"/>
      <c r="AX589" s="49"/>
      <c r="AY589" s="52"/>
    </row>
    <row r="590" spans="1:52" ht="13.5" customHeight="1">
      <c r="A590" s="56"/>
      <c r="B590" s="50"/>
      <c r="C590" s="49"/>
      <c r="D590" s="49"/>
      <c r="E590" s="49"/>
      <c r="F590" s="49"/>
      <c r="G590" s="49"/>
      <c r="H590" s="49"/>
      <c r="I590" s="51"/>
      <c r="J590" s="350"/>
      <c r="K590" s="351"/>
      <c r="L590" s="520"/>
      <c r="M590" s="216" t="s">
        <v>452</v>
      </c>
      <c r="N590" s="139"/>
      <c r="O590" s="139"/>
      <c r="P590" s="139"/>
      <c r="Q590" s="139"/>
      <c r="R590" s="139"/>
      <c r="S590" s="139"/>
      <c r="T590" s="139"/>
      <c r="U590" s="139"/>
      <c r="V590" s="139"/>
      <c r="W590" s="139"/>
      <c r="X590" s="139"/>
      <c r="Y590" s="139"/>
      <c r="Z590" s="139"/>
      <c r="AA590" s="139"/>
      <c r="AB590" s="49"/>
      <c r="AC590" s="49"/>
      <c r="AD590" s="49"/>
      <c r="AE590" s="49"/>
      <c r="AF590" s="49"/>
      <c r="AG590" s="49"/>
      <c r="AH590" s="49"/>
      <c r="AI590" s="49"/>
      <c r="AJ590" s="49"/>
      <c r="AK590" s="49"/>
      <c r="AL590" s="49"/>
      <c r="AM590" s="49"/>
      <c r="AN590" s="49"/>
      <c r="AO590" s="49"/>
      <c r="AP590" s="49"/>
      <c r="AQ590" s="51"/>
      <c r="AR590" s="208"/>
      <c r="AS590" s="49"/>
      <c r="AT590" s="49"/>
      <c r="AU590" s="49"/>
      <c r="AV590" s="49"/>
      <c r="AW590" s="49"/>
      <c r="AX590" s="49"/>
      <c r="AY590" s="52"/>
    </row>
    <row r="591" spans="1:52" ht="13.5" customHeight="1">
      <c r="A591" s="56"/>
      <c r="B591" s="50"/>
      <c r="C591" s="49"/>
      <c r="D591" s="49"/>
      <c r="E591" s="49"/>
      <c r="F591" s="49"/>
      <c r="G591" s="49"/>
      <c r="H591" s="49"/>
      <c r="I591" s="51"/>
      <c r="J591" s="350"/>
      <c r="K591" s="351"/>
      <c r="L591" s="520" t="s">
        <v>568</v>
      </c>
      <c r="M591" s="139"/>
      <c r="N591" s="139" t="s">
        <v>493</v>
      </c>
      <c r="O591" s="139"/>
      <c r="P591" s="139"/>
      <c r="Q591" s="139"/>
      <c r="R591" s="139"/>
      <c r="S591" s="139"/>
      <c r="T591" s="139"/>
      <c r="U591" s="139"/>
      <c r="V591" s="139"/>
      <c r="W591" s="139"/>
      <c r="X591" s="139"/>
      <c r="Y591" s="139"/>
      <c r="Z591" s="139"/>
      <c r="AA591" s="139"/>
      <c r="AB591" s="49"/>
      <c r="AC591" s="49"/>
      <c r="AD591" s="49"/>
      <c r="AE591" s="49"/>
      <c r="AF591" s="49" t="s">
        <v>687</v>
      </c>
      <c r="AG591" s="49"/>
      <c r="AH591" s="49"/>
      <c r="AI591" s="49"/>
      <c r="AJ591" s="49"/>
      <c r="AK591" s="49"/>
      <c r="AL591" s="49"/>
      <c r="AM591" s="49"/>
      <c r="AN591" s="49"/>
      <c r="AO591" s="49"/>
      <c r="AP591" s="49"/>
      <c r="AQ591" s="51"/>
      <c r="AR591" s="208"/>
      <c r="AS591" s="49"/>
      <c r="AT591" s="49"/>
      <c r="AU591" s="49"/>
      <c r="AV591" s="49"/>
      <c r="AW591" s="49"/>
      <c r="AX591" s="49"/>
      <c r="AY591" s="52"/>
    </row>
    <row r="592" spans="1:52" ht="13.5" customHeight="1">
      <c r="A592" s="56"/>
      <c r="B592" s="50"/>
      <c r="C592" s="49"/>
      <c r="D592" s="49"/>
      <c r="E592" s="49"/>
      <c r="F592" s="49"/>
      <c r="G592" s="49"/>
      <c r="H592" s="49"/>
      <c r="I592" s="51"/>
      <c r="J592" s="350"/>
      <c r="K592" s="351"/>
      <c r="L592" s="520" t="s">
        <v>568</v>
      </c>
      <c r="M592" s="139"/>
      <c r="N592" s="139" t="s">
        <v>494</v>
      </c>
      <c r="O592" s="139"/>
      <c r="P592" s="139"/>
      <c r="Q592" s="139"/>
      <c r="R592" s="139"/>
      <c r="S592" s="139"/>
      <c r="T592" s="139"/>
      <c r="U592" s="139"/>
      <c r="V592" s="139"/>
      <c r="W592" s="139"/>
      <c r="X592" s="139"/>
      <c r="Y592" s="139"/>
      <c r="Z592" s="139"/>
      <c r="AA592" s="139"/>
      <c r="AB592" s="49"/>
      <c r="AC592" s="49"/>
      <c r="AD592" s="49"/>
      <c r="AE592" s="49"/>
      <c r="AF592" s="49"/>
      <c r="AG592" s="49"/>
      <c r="AH592" s="49"/>
      <c r="AI592" s="49"/>
      <c r="AJ592" s="49"/>
      <c r="AK592" s="49"/>
      <c r="AL592" s="49"/>
      <c r="AM592" s="49"/>
      <c r="AN592" s="49"/>
      <c r="AO592" s="49"/>
      <c r="AP592" s="49"/>
      <c r="AQ592" s="51"/>
      <c r="AR592" s="208"/>
      <c r="AS592" s="49"/>
      <c r="AT592" s="49"/>
      <c r="AU592" s="49"/>
      <c r="AV592" s="49"/>
      <c r="AW592" s="49"/>
      <c r="AX592" s="49"/>
      <c r="AY592" s="52"/>
    </row>
    <row r="593" spans="1:53" ht="13.5" customHeight="1">
      <c r="A593" s="56"/>
      <c r="B593" s="50"/>
      <c r="C593" s="49"/>
      <c r="D593" s="49"/>
      <c r="E593" s="49"/>
      <c r="F593" s="49"/>
      <c r="G593" s="49"/>
      <c r="H593" s="49"/>
      <c r="I593" s="51"/>
      <c r="J593" s="350"/>
      <c r="K593" s="351"/>
      <c r="L593" s="101"/>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51"/>
      <c r="AR593" s="208"/>
      <c r="AS593" s="49"/>
      <c r="AT593" s="49"/>
      <c r="AU593" s="49"/>
      <c r="AV593" s="49"/>
      <c r="AW593" s="49"/>
      <c r="AX593" s="49"/>
      <c r="AY593" s="52"/>
    </row>
    <row r="594" spans="1:53" ht="13.5" customHeight="1">
      <c r="A594" s="56"/>
      <c r="B594" s="50"/>
      <c r="C594" s="49"/>
      <c r="D594" s="49"/>
      <c r="E594" s="49"/>
      <c r="F594" s="49"/>
      <c r="G594" s="49"/>
      <c r="H594" s="49"/>
      <c r="I594" s="51"/>
      <c r="J594" s="350"/>
      <c r="K594" s="351"/>
      <c r="L594" s="101"/>
      <c r="M594" s="102" t="s">
        <v>673</v>
      </c>
      <c r="N594" s="102" t="s">
        <v>674</v>
      </c>
      <c r="O594" s="102"/>
      <c r="P594" s="102"/>
      <c r="Q594" s="102"/>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51"/>
      <c r="AR594" s="208" t="s">
        <v>805</v>
      </c>
      <c r="AS594" s="49"/>
      <c r="AT594" s="49"/>
      <c r="AU594" s="49"/>
      <c r="AV594" s="49"/>
      <c r="AW594" s="49"/>
      <c r="AX594" s="49"/>
      <c r="AY594" s="52"/>
      <c r="AZ594" s="23">
        <v>0.7</v>
      </c>
    </row>
    <row r="595" spans="1:53" ht="13.5" customHeight="1">
      <c r="A595" s="56"/>
      <c r="B595" s="50"/>
      <c r="C595" s="49"/>
      <c r="D595" s="49"/>
      <c r="E595" s="49"/>
      <c r="F595" s="49"/>
      <c r="G595" s="49"/>
      <c r="H595" s="49"/>
      <c r="I595" s="51"/>
      <c r="J595" s="350"/>
      <c r="K595" s="351"/>
      <c r="L595" s="101"/>
      <c r="M595" s="49"/>
      <c r="N595" s="49" t="s">
        <v>675</v>
      </c>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51"/>
      <c r="AR595" s="208"/>
      <c r="AS595" s="49"/>
      <c r="AT595" s="49"/>
      <c r="AU595" s="49"/>
      <c r="AV595" s="49"/>
      <c r="AW595" s="49"/>
      <c r="AX595" s="49"/>
      <c r="AY595" s="52"/>
    </row>
    <row r="596" spans="1:53" ht="13.5" customHeight="1">
      <c r="A596" s="56"/>
      <c r="B596" s="50"/>
      <c r="C596" s="49"/>
      <c r="D596" s="49"/>
      <c r="E596" s="49"/>
      <c r="F596" s="49"/>
      <c r="G596" s="49"/>
      <c r="H596" s="49"/>
      <c r="I596" s="51"/>
      <c r="J596" s="350"/>
      <c r="K596" s="351"/>
      <c r="L596" s="101"/>
      <c r="M596" s="102"/>
      <c r="N596" s="102"/>
      <c r="O596" s="102"/>
      <c r="P596" s="102"/>
      <c r="Q596" s="102"/>
      <c r="R596" s="102"/>
      <c r="S596" s="49"/>
      <c r="T596" s="49"/>
      <c r="U596" s="49"/>
      <c r="V596" s="49"/>
      <c r="W596" s="49"/>
      <c r="X596" s="49"/>
      <c r="Y596" s="46"/>
      <c r="Z596" s="49"/>
      <c r="AA596" s="49"/>
      <c r="AB596" s="49"/>
      <c r="AC596" s="49"/>
      <c r="AD596" s="49"/>
      <c r="AE596" s="49"/>
      <c r="AF596" s="49"/>
      <c r="AG596" s="49"/>
      <c r="AH596" s="49"/>
      <c r="AI596" s="49"/>
      <c r="AJ596" s="49"/>
      <c r="AK596" s="49"/>
      <c r="AL596" s="49"/>
      <c r="AM596" s="49"/>
      <c r="AN596" s="49"/>
      <c r="AO596" s="49"/>
      <c r="AP596" s="49"/>
      <c r="AQ596" s="51"/>
      <c r="AR596" s="208"/>
      <c r="AS596" s="49"/>
      <c r="AT596" s="49"/>
      <c r="AU596" s="49"/>
      <c r="AV596" s="49"/>
      <c r="AW596" s="49"/>
      <c r="AX596" s="49"/>
      <c r="AY596" s="52"/>
    </row>
    <row r="597" spans="1:53" ht="13.5" customHeight="1">
      <c r="A597" s="56"/>
      <c r="B597" s="50"/>
      <c r="C597" s="49"/>
      <c r="D597" s="49"/>
      <c r="E597" s="49"/>
      <c r="F597" s="49"/>
      <c r="G597" s="49"/>
      <c r="H597" s="49"/>
      <c r="I597" s="51"/>
      <c r="J597" s="350"/>
      <c r="K597" s="351"/>
      <c r="L597" s="520"/>
      <c r="M597" s="216" t="s">
        <v>449</v>
      </c>
      <c r="N597" s="139"/>
      <c r="O597" s="139"/>
      <c r="P597" s="139"/>
      <c r="Q597" s="139"/>
      <c r="R597" s="139"/>
      <c r="S597" s="139"/>
      <c r="T597" s="139"/>
      <c r="U597" s="139"/>
      <c r="V597" s="139"/>
      <c r="W597" s="139"/>
      <c r="X597" s="139"/>
      <c r="Y597" s="139"/>
      <c r="Z597" s="139"/>
      <c r="AA597" s="139"/>
      <c r="AB597" s="139"/>
      <c r="AC597" s="139"/>
      <c r="AD597" s="139"/>
      <c r="AE597" s="139"/>
      <c r="AF597" s="139"/>
      <c r="AG597" s="139"/>
      <c r="AH597" s="49"/>
      <c r="AI597" s="49"/>
      <c r="AJ597" s="49"/>
      <c r="AK597" s="49"/>
      <c r="AL597" s="49"/>
      <c r="AM597" s="49"/>
      <c r="AN597" s="49"/>
      <c r="AO597" s="49"/>
      <c r="AP597" s="49"/>
      <c r="AQ597" s="51"/>
      <c r="AR597" s="208"/>
      <c r="AS597" s="49"/>
      <c r="AT597" s="49"/>
      <c r="AU597" s="49"/>
      <c r="AV597" s="49"/>
      <c r="AW597" s="49"/>
      <c r="AX597" s="49"/>
      <c r="AY597" s="52"/>
    </row>
    <row r="598" spans="1:53" ht="13.5" customHeight="1">
      <c r="A598" s="56"/>
      <c r="B598" s="50"/>
      <c r="C598" s="49"/>
      <c r="D598" s="49"/>
      <c r="E598" s="49"/>
      <c r="F598" s="49"/>
      <c r="G598" s="49"/>
      <c r="H598" s="49"/>
      <c r="I598" s="51"/>
      <c r="J598" s="350"/>
      <c r="K598" s="351"/>
      <c r="L598" s="520"/>
      <c r="M598" s="139"/>
      <c r="N598" s="139" t="s">
        <v>118</v>
      </c>
      <c r="O598" s="139"/>
      <c r="P598" s="139"/>
      <c r="Q598" s="139"/>
      <c r="R598" s="139"/>
      <c r="S598" s="139"/>
      <c r="T598" s="139"/>
      <c r="U598" s="139"/>
      <c r="V598" s="139"/>
      <c r="W598" s="139"/>
      <c r="X598" s="139"/>
      <c r="Y598" s="139"/>
      <c r="Z598" s="139"/>
      <c r="AA598" s="139"/>
      <c r="AB598" s="139"/>
      <c r="AC598" s="139"/>
      <c r="AD598" s="139"/>
      <c r="AE598" s="139"/>
      <c r="AF598" s="139"/>
      <c r="AG598" s="139"/>
      <c r="AH598" s="49"/>
      <c r="AI598" s="49"/>
      <c r="AJ598" s="49"/>
      <c r="AK598" s="49"/>
      <c r="AL598" s="49"/>
      <c r="AM598" s="49"/>
      <c r="AN598" s="49"/>
      <c r="AO598" s="49"/>
      <c r="AP598" s="49"/>
      <c r="AQ598" s="51"/>
      <c r="AR598" s="208"/>
      <c r="AS598" s="49"/>
      <c r="AT598" s="49"/>
      <c r="AU598" s="49"/>
      <c r="AV598" s="49"/>
      <c r="AW598" s="49"/>
      <c r="AX598" s="49"/>
      <c r="AY598" s="52"/>
    </row>
    <row r="599" spans="1:53" ht="13.5" customHeight="1">
      <c r="A599" s="56"/>
      <c r="B599" s="50"/>
      <c r="C599" s="49"/>
      <c r="D599" s="49"/>
      <c r="E599" s="49"/>
      <c r="F599" s="49"/>
      <c r="G599" s="49"/>
      <c r="H599" s="49"/>
      <c r="I599" s="51"/>
      <c r="J599" s="350"/>
      <c r="K599" s="351"/>
      <c r="L599" s="520"/>
      <c r="M599" s="216" t="s">
        <v>450</v>
      </c>
      <c r="N599" s="139"/>
      <c r="O599" s="139"/>
      <c r="P599" s="139"/>
      <c r="Q599" s="139"/>
      <c r="R599" s="139"/>
      <c r="S599" s="139"/>
      <c r="T599" s="139"/>
      <c r="U599" s="139"/>
      <c r="V599" s="139"/>
      <c r="W599" s="139"/>
      <c r="X599" s="139"/>
      <c r="Y599" s="139"/>
      <c r="Z599" s="139"/>
      <c r="AA599" s="139"/>
      <c r="AB599" s="139"/>
      <c r="AC599" s="139"/>
      <c r="AD599" s="139"/>
      <c r="AE599" s="139"/>
      <c r="AF599" s="139"/>
      <c r="AG599" s="139"/>
      <c r="AH599" s="49"/>
      <c r="AI599" s="49"/>
      <c r="AJ599" s="49"/>
      <c r="AK599" s="49"/>
      <c r="AL599" s="49"/>
      <c r="AM599" s="49"/>
      <c r="AN599" s="49"/>
      <c r="AO599" s="49"/>
      <c r="AP599" s="49"/>
      <c r="AQ599" s="51"/>
      <c r="AR599" s="208"/>
      <c r="AS599" s="49"/>
      <c r="AT599" s="49"/>
      <c r="AU599" s="49"/>
      <c r="AV599" s="49"/>
      <c r="AW599" s="49"/>
      <c r="AX599" s="49"/>
      <c r="AY599" s="52"/>
    </row>
    <row r="600" spans="1:53" ht="13.5" customHeight="1">
      <c r="A600" s="56"/>
      <c r="B600" s="50"/>
      <c r="C600" s="49"/>
      <c r="D600" s="49"/>
      <c r="E600" s="49"/>
      <c r="F600" s="49"/>
      <c r="G600" s="49"/>
      <c r="H600" s="49"/>
      <c r="I600" s="51"/>
      <c r="J600" s="350"/>
      <c r="K600" s="351"/>
      <c r="L600" s="520"/>
      <c r="M600" s="139"/>
      <c r="N600" s="139" t="s">
        <v>72</v>
      </c>
      <c r="O600" s="139"/>
      <c r="P600" s="139"/>
      <c r="Q600" s="139"/>
      <c r="R600" s="139"/>
      <c r="S600" s="139"/>
      <c r="T600" s="139"/>
      <c r="U600" s="139"/>
      <c r="V600" s="139"/>
      <c r="W600" s="139"/>
      <c r="X600" s="139"/>
      <c r="Y600" s="139"/>
      <c r="Z600" s="139"/>
      <c r="AA600" s="139"/>
      <c r="AB600" s="139"/>
      <c r="AC600" s="139"/>
      <c r="AD600" s="139"/>
      <c r="AE600" s="139"/>
      <c r="AF600" s="139"/>
      <c r="AG600" s="139"/>
      <c r="AH600" s="49"/>
      <c r="AI600" s="49"/>
      <c r="AJ600" s="49"/>
      <c r="AK600" s="49"/>
      <c r="AL600" s="49"/>
      <c r="AM600" s="49"/>
      <c r="AN600" s="49"/>
      <c r="AO600" s="49"/>
      <c r="AP600" s="49"/>
      <c r="AQ600" s="51"/>
      <c r="AR600" s="208"/>
      <c r="AS600" s="49"/>
      <c r="AT600" s="49"/>
      <c r="AU600" s="49"/>
      <c r="AV600" s="49"/>
      <c r="AW600" s="49"/>
      <c r="AX600" s="49"/>
      <c r="AY600" s="52"/>
    </row>
    <row r="601" spans="1:53" ht="13.5" customHeight="1">
      <c r="A601" s="56"/>
      <c r="B601" s="50"/>
      <c r="C601" s="49"/>
      <c r="D601" s="49"/>
      <c r="E601" s="49"/>
      <c r="F601" s="49"/>
      <c r="G601" s="49"/>
      <c r="H601" s="49"/>
      <c r="I601" s="51"/>
      <c r="J601" s="350"/>
      <c r="K601" s="351"/>
      <c r="L601" s="520"/>
      <c r="M601" s="216" t="s">
        <v>452</v>
      </c>
      <c r="N601" s="139"/>
      <c r="O601" s="139"/>
      <c r="P601" s="139"/>
      <c r="Q601" s="139"/>
      <c r="R601" s="139"/>
      <c r="S601" s="139"/>
      <c r="T601" s="139"/>
      <c r="U601" s="139"/>
      <c r="V601" s="139"/>
      <c r="W601" s="139"/>
      <c r="X601" s="139"/>
      <c r="Y601" s="139"/>
      <c r="Z601" s="139"/>
      <c r="AA601" s="139"/>
      <c r="AB601" s="139"/>
      <c r="AC601" s="139"/>
      <c r="AD601" s="139"/>
      <c r="AE601" s="139"/>
      <c r="AF601" s="139"/>
      <c r="AG601" s="139"/>
      <c r="AH601" s="49"/>
      <c r="AI601" s="49"/>
      <c r="AJ601" s="49"/>
      <c r="AK601" s="49"/>
      <c r="AL601" s="49"/>
      <c r="AM601" s="49"/>
      <c r="AN601" s="49"/>
      <c r="AO601" s="49"/>
      <c r="AP601" s="49"/>
      <c r="AQ601" s="51"/>
      <c r="AR601" s="208"/>
      <c r="AS601" s="49"/>
      <c r="AT601" s="49"/>
      <c r="AU601" s="49"/>
      <c r="AV601" s="49"/>
      <c r="AW601" s="49"/>
      <c r="AX601" s="49"/>
      <c r="AY601" s="52"/>
    </row>
    <row r="602" spans="1:53" ht="13.5" customHeight="1">
      <c r="A602" s="56"/>
      <c r="B602" s="50"/>
      <c r="C602" s="49"/>
      <c r="D602" s="49"/>
      <c r="E602" s="49"/>
      <c r="F602" s="49"/>
      <c r="G602" s="49"/>
      <c r="H602" s="49"/>
      <c r="I602" s="51"/>
      <c r="J602" s="350"/>
      <c r="K602" s="351"/>
      <c r="L602" s="520"/>
      <c r="M602" s="139"/>
      <c r="N602" s="139" t="s">
        <v>678</v>
      </c>
      <c r="O602" s="139"/>
      <c r="P602" s="139"/>
      <c r="Q602" s="139"/>
      <c r="R602" s="139"/>
      <c r="S602" s="139"/>
      <c r="T602" s="139"/>
      <c r="U602" s="139"/>
      <c r="V602" s="139"/>
      <c r="W602" s="139"/>
      <c r="X602" s="139"/>
      <c r="Y602" s="139"/>
      <c r="Z602" s="139"/>
      <c r="AA602" s="139"/>
      <c r="AB602" s="139"/>
      <c r="AC602" s="139"/>
      <c r="AD602" s="139"/>
      <c r="AE602" s="139"/>
      <c r="AF602" s="139"/>
      <c r="AG602" s="139"/>
      <c r="AH602" s="49"/>
      <c r="AI602" s="49"/>
      <c r="AJ602" s="49"/>
      <c r="AK602" s="49"/>
      <c r="AL602" s="49"/>
      <c r="AM602" s="49"/>
      <c r="AN602" s="49"/>
      <c r="AO602" s="49"/>
      <c r="AP602" s="49"/>
      <c r="AQ602" s="51"/>
      <c r="AR602" s="208"/>
      <c r="AS602" s="49"/>
      <c r="AT602" s="49"/>
      <c r="AU602" s="49"/>
      <c r="AV602" s="49"/>
      <c r="AW602" s="49"/>
      <c r="AX602" s="49"/>
      <c r="AY602" s="52"/>
    </row>
    <row r="603" spans="1:53" ht="13.5" customHeight="1">
      <c r="A603" s="56"/>
      <c r="B603" s="50"/>
      <c r="C603" s="49"/>
      <c r="D603" s="49"/>
      <c r="E603" s="49"/>
      <c r="F603" s="49"/>
      <c r="G603" s="49"/>
      <c r="H603" s="49"/>
      <c r="I603" s="51"/>
      <c r="J603" s="350"/>
      <c r="K603" s="351"/>
      <c r="L603" s="520"/>
      <c r="M603" s="139"/>
      <c r="N603" s="139"/>
      <c r="O603" s="139"/>
      <c r="P603" s="139"/>
      <c r="Q603" s="139"/>
      <c r="R603" s="139"/>
      <c r="S603" s="139"/>
      <c r="T603" s="139"/>
      <c r="U603" s="139"/>
      <c r="V603" s="139"/>
      <c r="W603" s="139"/>
      <c r="X603" s="139"/>
      <c r="Y603" s="139"/>
      <c r="Z603" s="139"/>
      <c r="AA603" s="139"/>
      <c r="AB603" s="139"/>
      <c r="AC603" s="139"/>
      <c r="AD603" s="139"/>
      <c r="AE603" s="139"/>
      <c r="AF603" s="139"/>
      <c r="AG603" s="139"/>
      <c r="AH603" s="49"/>
      <c r="AI603" s="49"/>
      <c r="AJ603" s="49"/>
      <c r="AK603" s="49"/>
      <c r="AL603" s="49"/>
      <c r="AM603" s="49"/>
      <c r="AN603" s="49"/>
      <c r="AO603" s="49"/>
      <c r="AP603" s="49"/>
      <c r="AQ603" s="51"/>
      <c r="AR603" s="208"/>
      <c r="AS603" s="49"/>
      <c r="AT603" s="49"/>
      <c r="AU603" s="49"/>
      <c r="AV603" s="49"/>
      <c r="AW603" s="49"/>
      <c r="AX603" s="49"/>
      <c r="AY603" s="52"/>
    </row>
    <row r="604" spans="1:53" ht="13.5" customHeight="1">
      <c r="A604" s="56"/>
      <c r="B604" s="50"/>
      <c r="C604" s="49"/>
      <c r="D604" s="49"/>
      <c r="E604" s="49"/>
      <c r="F604" s="49"/>
      <c r="G604" s="49"/>
      <c r="H604" s="49"/>
      <c r="I604" s="51"/>
      <c r="J604" s="350"/>
      <c r="K604" s="351"/>
      <c r="L604" s="520"/>
      <c r="M604" s="139" t="s">
        <v>676</v>
      </c>
      <c r="N604" s="139" t="s">
        <v>677</v>
      </c>
      <c r="O604" s="139"/>
      <c r="P604" s="139"/>
      <c r="Q604" s="139"/>
      <c r="R604" s="139"/>
      <c r="S604" s="139"/>
      <c r="T604" s="139"/>
      <c r="U604" s="139"/>
      <c r="V604" s="139"/>
      <c r="W604" s="139"/>
      <c r="X604" s="139"/>
      <c r="Y604" s="139"/>
      <c r="Z604" s="139"/>
      <c r="AA604" s="139"/>
      <c r="AB604" s="139"/>
      <c r="AC604" s="139"/>
      <c r="AD604" s="139"/>
      <c r="AE604" s="139"/>
      <c r="AF604" s="139"/>
      <c r="AG604" s="139"/>
      <c r="AH604" s="49"/>
      <c r="AI604" s="49"/>
      <c r="AJ604" s="49"/>
      <c r="AK604" s="49"/>
      <c r="AL604" s="49"/>
      <c r="AM604" s="49"/>
      <c r="AN604" s="49"/>
      <c r="AO604" s="49"/>
      <c r="AP604" s="49"/>
      <c r="AQ604" s="51"/>
      <c r="AR604" s="208" t="s">
        <v>806</v>
      </c>
      <c r="AS604" s="49"/>
      <c r="AT604" s="49"/>
      <c r="AU604" s="49"/>
      <c r="AV604" s="49"/>
      <c r="AW604" s="49"/>
      <c r="AX604" s="49"/>
      <c r="AY604" s="52"/>
      <c r="AZ604" s="23">
        <v>0.7</v>
      </c>
    </row>
    <row r="605" spans="1:53" ht="13.5" customHeight="1">
      <c r="A605" s="56"/>
      <c r="B605" s="50"/>
      <c r="C605" s="49"/>
      <c r="D605" s="49"/>
      <c r="E605" s="49"/>
      <c r="F605" s="49"/>
      <c r="G605" s="49"/>
      <c r="H605" s="49"/>
      <c r="I605" s="51"/>
      <c r="J605" s="350"/>
      <c r="K605" s="351"/>
      <c r="L605" s="520"/>
      <c r="M605" s="139"/>
      <c r="N605" s="139" t="s">
        <v>675</v>
      </c>
      <c r="O605" s="139"/>
      <c r="P605" s="139"/>
      <c r="Q605" s="139"/>
      <c r="R605" s="139"/>
      <c r="S605" s="139"/>
      <c r="T605" s="139"/>
      <c r="U605" s="139"/>
      <c r="V605" s="139"/>
      <c r="W605" s="139"/>
      <c r="X605" s="139"/>
      <c r="Y605" s="139"/>
      <c r="Z605" s="139"/>
      <c r="AA605" s="139"/>
      <c r="AB605" s="139"/>
      <c r="AC605" s="139"/>
      <c r="AD605" s="139"/>
      <c r="AE605" s="139"/>
      <c r="AF605" s="139"/>
      <c r="AG605" s="139"/>
      <c r="AH605" s="49"/>
      <c r="AI605" s="49"/>
      <c r="AJ605" s="49"/>
      <c r="AK605" s="49"/>
      <c r="AL605" s="49"/>
      <c r="AM605" s="49"/>
      <c r="AN605" s="49"/>
      <c r="AO605" s="49"/>
      <c r="AP605" s="49"/>
      <c r="AQ605" s="51"/>
      <c r="AR605" s="208"/>
      <c r="AS605" s="49"/>
      <c r="AT605" s="49"/>
      <c r="AU605" s="49"/>
      <c r="AV605" s="49"/>
      <c r="AW605" s="49"/>
      <c r="AX605" s="49"/>
      <c r="AY605" s="52"/>
    </row>
    <row r="606" spans="1:53" ht="13.5" customHeight="1">
      <c r="A606" s="56"/>
      <c r="B606" s="50"/>
      <c r="C606" s="49"/>
      <c r="D606" s="49"/>
      <c r="E606" s="49"/>
      <c r="F606" s="49"/>
      <c r="G606" s="49"/>
      <c r="H606" s="49"/>
      <c r="I606" s="51"/>
      <c r="J606" s="350"/>
      <c r="K606" s="351"/>
      <c r="L606" s="101"/>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c r="AK606" s="49"/>
      <c r="AL606" s="49"/>
      <c r="AM606" s="49"/>
      <c r="AN606" s="49"/>
      <c r="AO606" s="49"/>
      <c r="AP606" s="49"/>
      <c r="AQ606" s="51"/>
      <c r="AR606" s="208"/>
      <c r="AS606" s="49"/>
      <c r="AT606" s="49"/>
      <c r="AU606" s="49"/>
      <c r="AV606" s="49"/>
      <c r="AW606" s="49"/>
      <c r="AX606" s="49"/>
      <c r="AY606" s="52"/>
    </row>
    <row r="607" spans="1:53" ht="13.5" customHeight="1">
      <c r="A607" s="56"/>
      <c r="B607" s="50"/>
      <c r="C607" s="49"/>
      <c r="D607" s="49"/>
      <c r="E607" s="49"/>
      <c r="F607" s="49"/>
      <c r="G607" s="49"/>
      <c r="H607" s="49"/>
      <c r="I607" s="51"/>
      <c r="J607" s="350"/>
      <c r="K607" s="351"/>
      <c r="L607" s="520"/>
      <c r="M607" s="139" t="s">
        <v>701</v>
      </c>
      <c r="N607" s="139" t="s">
        <v>702</v>
      </c>
      <c r="O607" s="139"/>
      <c r="P607" s="139"/>
      <c r="Q607" s="139"/>
      <c r="R607" s="139"/>
      <c r="S607" s="139"/>
      <c r="T607" s="139"/>
      <c r="U607" s="139"/>
      <c r="V607" s="139"/>
      <c r="W607" s="139"/>
      <c r="X607" s="139"/>
      <c r="Y607" s="139"/>
      <c r="Z607" s="139"/>
      <c r="AA607" s="139"/>
      <c r="AB607" s="139"/>
      <c r="AC607" s="139"/>
      <c r="AD607" s="139"/>
      <c r="AE607" s="139"/>
      <c r="AF607" s="139"/>
      <c r="AG607" s="139"/>
      <c r="AH607" s="139"/>
      <c r="AI607" s="139"/>
      <c r="AJ607" s="139"/>
      <c r="AK607" s="139"/>
      <c r="AL607" s="139"/>
      <c r="AM607" s="139"/>
      <c r="AN607" s="139"/>
      <c r="AO607" s="49"/>
      <c r="AP607" s="49"/>
      <c r="AQ607" s="51"/>
      <c r="AR607" s="208" t="s">
        <v>789</v>
      </c>
      <c r="AS607" s="49"/>
      <c r="AT607" s="49"/>
      <c r="AU607" s="49"/>
      <c r="AV607" s="49"/>
      <c r="AW607" s="49"/>
      <c r="AX607" s="49"/>
      <c r="AY607" s="52"/>
      <c r="AZ607" s="23">
        <v>0.8</v>
      </c>
    </row>
    <row r="608" spans="1:53" s="38" customFormat="1" ht="13.5" customHeight="1">
      <c r="A608" s="56"/>
      <c r="B608" s="50"/>
      <c r="C608" s="49"/>
      <c r="D608" s="49"/>
      <c r="E608" s="49"/>
      <c r="F608" s="49"/>
      <c r="G608" s="49"/>
      <c r="H608" s="49"/>
      <c r="I608" s="51"/>
      <c r="J608" s="390"/>
      <c r="K608" s="391"/>
      <c r="L608" s="520"/>
      <c r="M608" s="505" t="s">
        <v>970</v>
      </c>
      <c r="N608" s="505" t="s">
        <v>969</v>
      </c>
      <c r="O608" s="505"/>
      <c r="P608" s="505"/>
      <c r="Q608" s="505"/>
      <c r="R608" s="505"/>
      <c r="S608" s="139"/>
      <c r="T608" s="139"/>
      <c r="U608" s="139"/>
      <c r="V608" s="139"/>
      <c r="W608" s="139"/>
      <c r="X608" s="139"/>
      <c r="Y608" s="139"/>
      <c r="Z608" s="139"/>
      <c r="AA608" s="139"/>
      <c r="AB608" s="139"/>
      <c r="AC608" s="139"/>
      <c r="AD608" s="139"/>
      <c r="AE608" s="139"/>
      <c r="AF608" s="139"/>
      <c r="AG608" s="139"/>
      <c r="AH608" s="139"/>
      <c r="AI608" s="139"/>
      <c r="AJ608" s="139"/>
      <c r="AK608" s="139"/>
      <c r="AL608" s="139"/>
      <c r="AM608" s="139"/>
      <c r="AN608" s="139"/>
      <c r="AO608" s="49"/>
      <c r="AP608" s="49"/>
      <c r="AQ608" s="51"/>
      <c r="AR608" s="208"/>
      <c r="AS608" s="49"/>
      <c r="AT608" s="49"/>
      <c r="AU608" s="49"/>
      <c r="AV608" s="49"/>
      <c r="AW608" s="49"/>
      <c r="AX608" s="49"/>
      <c r="AY608" s="52"/>
      <c r="AZ608" s="299"/>
      <c r="BA608" s="38">
        <v>2.2999999999999998</v>
      </c>
    </row>
    <row r="609" spans="1:53" s="38" customFormat="1" ht="13.5" customHeight="1">
      <c r="A609" s="56"/>
      <c r="B609" s="50"/>
      <c r="C609" s="49"/>
      <c r="D609" s="49"/>
      <c r="E609" s="49"/>
      <c r="F609" s="49"/>
      <c r="G609" s="49"/>
      <c r="H609" s="49"/>
      <c r="I609" s="51"/>
      <c r="J609" s="390"/>
      <c r="K609" s="391"/>
      <c r="L609" s="520"/>
      <c r="M609" s="505"/>
      <c r="N609" s="505" t="s">
        <v>968</v>
      </c>
      <c r="O609" s="505"/>
      <c r="P609" s="505"/>
      <c r="Q609" s="505"/>
      <c r="R609" s="505"/>
      <c r="S609" s="139"/>
      <c r="T609" s="139"/>
      <c r="U609" s="139"/>
      <c r="V609" s="139"/>
      <c r="W609" s="139"/>
      <c r="X609" s="139"/>
      <c r="Y609" s="139"/>
      <c r="Z609" s="139"/>
      <c r="AA609" s="139"/>
      <c r="AB609" s="139"/>
      <c r="AC609" s="139"/>
      <c r="AD609" s="139"/>
      <c r="AE609" s="139"/>
      <c r="AF609" s="139"/>
      <c r="AG609" s="139"/>
      <c r="AH609" s="139"/>
      <c r="AI609" s="139"/>
      <c r="AJ609" s="139"/>
      <c r="AK609" s="139"/>
      <c r="AL609" s="139"/>
      <c r="AM609" s="139"/>
      <c r="AN609" s="139"/>
      <c r="AO609" s="49"/>
      <c r="AP609" s="49"/>
      <c r="AQ609" s="51"/>
      <c r="AR609" s="208"/>
      <c r="AS609" s="49"/>
      <c r="AT609" s="49"/>
      <c r="AU609" s="49"/>
      <c r="AV609" s="49"/>
      <c r="AW609" s="49"/>
      <c r="AX609" s="49"/>
      <c r="AY609" s="52"/>
      <c r="AZ609" s="299"/>
      <c r="BA609" s="38">
        <v>2.2999999999999998</v>
      </c>
    </row>
    <row r="610" spans="1:53" ht="13.5" customHeight="1" thickBot="1">
      <c r="A610" s="321"/>
      <c r="B610" s="322"/>
      <c r="C610" s="323"/>
      <c r="D610" s="323"/>
      <c r="E610" s="323"/>
      <c r="F610" s="323"/>
      <c r="G610" s="323"/>
      <c r="H610" s="323"/>
      <c r="I610" s="324"/>
      <c r="J610" s="354"/>
      <c r="K610" s="355"/>
      <c r="L610" s="336"/>
      <c r="M610" s="338"/>
      <c r="N610" s="338"/>
      <c r="O610" s="338"/>
      <c r="P610" s="338"/>
      <c r="Q610" s="338"/>
      <c r="R610" s="338"/>
      <c r="S610" s="323"/>
      <c r="T610" s="323"/>
      <c r="U610" s="323"/>
      <c r="V610" s="323"/>
      <c r="W610" s="323"/>
      <c r="X610" s="323"/>
      <c r="Y610" s="323"/>
      <c r="Z610" s="323"/>
      <c r="AA610" s="323"/>
      <c r="AB610" s="323"/>
      <c r="AC610" s="323"/>
      <c r="AD610" s="323"/>
      <c r="AE610" s="323"/>
      <c r="AF610" s="323"/>
      <c r="AG610" s="323"/>
      <c r="AH610" s="323"/>
      <c r="AI610" s="323"/>
      <c r="AJ610" s="323"/>
      <c r="AK610" s="323"/>
      <c r="AL610" s="323"/>
      <c r="AM610" s="323"/>
      <c r="AN610" s="323"/>
      <c r="AO610" s="323"/>
      <c r="AP610" s="323"/>
      <c r="AQ610" s="324"/>
      <c r="AR610" s="327"/>
      <c r="AS610" s="323"/>
      <c r="AT610" s="323"/>
      <c r="AU610" s="323"/>
      <c r="AV610" s="323"/>
      <c r="AW610" s="323"/>
      <c r="AX610" s="323"/>
      <c r="AY610" s="328"/>
    </row>
    <row r="611" spans="1:53" ht="13.5" customHeight="1">
      <c r="A611" s="56"/>
      <c r="B611" s="50"/>
      <c r="C611" s="49"/>
      <c r="D611" s="49"/>
      <c r="E611" s="49"/>
      <c r="F611" s="49"/>
      <c r="G611" s="49"/>
      <c r="H611" s="49"/>
      <c r="I611" s="51"/>
      <c r="J611" s="350"/>
      <c r="K611" s="351"/>
      <c r="L611" s="101" t="s">
        <v>670</v>
      </c>
      <c r="M611" s="102"/>
      <c r="N611" s="102"/>
      <c r="O611" s="102"/>
      <c r="P611" s="102"/>
      <c r="Q611" s="102"/>
      <c r="R611" s="102"/>
      <c r="S611" s="49"/>
      <c r="T611" s="49"/>
      <c r="U611" s="102"/>
      <c r="V611" s="102"/>
      <c r="W611" s="102"/>
      <c r="X611" s="102"/>
      <c r="Y611" s="102"/>
      <c r="Z611" s="102"/>
      <c r="AA611" s="102"/>
      <c r="AB611" s="102"/>
      <c r="AC611" s="49"/>
      <c r="AD611" s="49"/>
      <c r="AE611" s="49"/>
      <c r="AF611" s="49"/>
      <c r="AG611" s="49"/>
      <c r="AH611" s="49"/>
      <c r="AI611" s="49"/>
      <c r="AJ611" s="49"/>
      <c r="AK611" s="49"/>
      <c r="AL611" s="49"/>
      <c r="AM611" s="49"/>
      <c r="AN611" s="49"/>
      <c r="AO611" s="49"/>
      <c r="AP611" s="49"/>
      <c r="AQ611" s="51"/>
      <c r="AR611" s="208"/>
      <c r="AS611" s="49"/>
      <c r="AT611" s="49"/>
      <c r="AU611" s="49"/>
      <c r="AV611" s="49"/>
      <c r="AW611" s="49"/>
      <c r="AX611" s="49"/>
      <c r="AY611" s="52"/>
      <c r="AZ611" s="23">
        <v>0.7</v>
      </c>
    </row>
    <row r="612" spans="1:53" ht="13.5" customHeight="1">
      <c r="A612" s="56"/>
      <c r="B612" s="50"/>
      <c r="C612" s="49"/>
      <c r="D612" s="49"/>
      <c r="E612" s="49"/>
      <c r="F612" s="49"/>
      <c r="G612" s="49"/>
      <c r="H612" s="49"/>
      <c r="I612" s="51"/>
      <c r="J612" s="350"/>
      <c r="K612" s="351"/>
      <c r="L612" s="101" t="s">
        <v>668</v>
      </c>
      <c r="M612" s="102"/>
      <c r="N612" s="102"/>
      <c r="O612" s="102"/>
      <c r="P612" s="102"/>
      <c r="Q612" s="102"/>
      <c r="R612" s="102"/>
      <c r="S612" s="49"/>
      <c r="T612" s="49"/>
      <c r="U612" s="102"/>
      <c r="V612" s="102"/>
      <c r="W612" s="102"/>
      <c r="X612" s="102"/>
      <c r="Y612" s="102"/>
      <c r="Z612" s="102"/>
      <c r="AA612" s="102"/>
      <c r="AB612" s="102"/>
      <c r="AC612" s="49"/>
      <c r="AD612" s="49"/>
      <c r="AE612" s="49"/>
      <c r="AF612" s="49"/>
      <c r="AG612" s="49"/>
      <c r="AH612" s="49"/>
      <c r="AI612" s="49"/>
      <c r="AJ612" s="49"/>
      <c r="AK612" s="49"/>
      <c r="AL612" s="49"/>
      <c r="AM612" s="49"/>
      <c r="AN612" s="49"/>
      <c r="AO612" s="49"/>
      <c r="AP612" s="49"/>
      <c r="AQ612" s="51"/>
      <c r="AR612" s="208"/>
      <c r="AS612" s="49"/>
      <c r="AT612" s="49"/>
      <c r="AU612" s="49"/>
      <c r="AV612" s="49"/>
      <c r="AW612" s="49"/>
      <c r="AX612" s="49"/>
      <c r="AY612" s="52"/>
    </row>
    <row r="613" spans="1:53" ht="13.5" customHeight="1">
      <c r="A613" s="56"/>
      <c r="B613" s="50"/>
      <c r="C613" s="49"/>
      <c r="D613" s="49"/>
      <c r="E613" s="49"/>
      <c r="F613" s="49"/>
      <c r="G613" s="49"/>
      <c r="H613" s="49"/>
      <c r="I613" s="51"/>
      <c r="J613" s="350"/>
      <c r="K613" s="351"/>
      <c r="L613" s="101"/>
      <c r="M613" s="528" t="s">
        <v>496</v>
      </c>
      <c r="N613" s="505"/>
      <c r="O613" s="505"/>
      <c r="P613" s="505"/>
      <c r="Q613" s="505"/>
      <c r="R613" s="505"/>
      <c r="S613" s="505"/>
      <c r="T613" s="505"/>
      <c r="U613" s="505"/>
      <c r="V613" s="505"/>
      <c r="W613" s="505"/>
      <c r="X613" s="505"/>
      <c r="Y613" s="505"/>
      <c r="Z613" s="139"/>
      <c r="AA613" s="139"/>
      <c r="AB613" s="139"/>
      <c r="AC613" s="139"/>
      <c r="AD613" s="139"/>
      <c r="AE613" s="139"/>
      <c r="AF613" s="139"/>
      <c r="AG613" s="139"/>
      <c r="AH613" s="49"/>
      <c r="AI613" s="49"/>
      <c r="AJ613" s="49"/>
      <c r="AK613" s="49"/>
      <c r="AL613" s="49"/>
      <c r="AM613" s="49"/>
      <c r="AN613" s="49"/>
      <c r="AO613" s="49"/>
      <c r="AP613" s="49"/>
      <c r="AQ613" s="51"/>
      <c r="AR613" s="208"/>
      <c r="AS613" s="49"/>
      <c r="AT613" s="49"/>
      <c r="AU613" s="49"/>
      <c r="AV613" s="49"/>
      <c r="AW613" s="49"/>
      <c r="AX613" s="49"/>
      <c r="AY613" s="52"/>
    </row>
    <row r="614" spans="1:53" ht="13.5" customHeight="1">
      <c r="A614" s="56"/>
      <c r="B614" s="50"/>
      <c r="C614" s="49"/>
      <c r="D614" s="49"/>
      <c r="E614" s="49"/>
      <c r="F614" s="49"/>
      <c r="G614" s="49"/>
      <c r="H614" s="49"/>
      <c r="I614" s="51"/>
      <c r="J614" s="350"/>
      <c r="K614" s="351"/>
      <c r="L614" s="101"/>
      <c r="M614" s="528" t="s">
        <v>497</v>
      </c>
      <c r="N614" s="505"/>
      <c r="O614" s="505"/>
      <c r="P614" s="505"/>
      <c r="Q614" s="505"/>
      <c r="R614" s="505"/>
      <c r="S614" s="505"/>
      <c r="T614" s="505"/>
      <c r="U614" s="505"/>
      <c r="V614" s="505"/>
      <c r="W614" s="505"/>
      <c r="X614" s="505"/>
      <c r="Y614" s="505"/>
      <c r="Z614" s="139"/>
      <c r="AA614" s="139"/>
      <c r="AB614" s="139"/>
      <c r="AC614" s="139"/>
      <c r="AD614" s="139"/>
      <c r="AE614" s="139"/>
      <c r="AF614" s="139"/>
      <c r="AG614" s="139"/>
      <c r="AH614" s="49"/>
      <c r="AI614" s="49"/>
      <c r="AJ614" s="49"/>
      <c r="AK614" s="49"/>
      <c r="AL614" s="49"/>
      <c r="AM614" s="49"/>
      <c r="AN614" s="49"/>
      <c r="AO614" s="49"/>
      <c r="AP614" s="49"/>
      <c r="AQ614" s="51"/>
      <c r="AR614" s="208"/>
      <c r="AS614" s="49"/>
      <c r="AT614" s="49"/>
      <c r="AU614" s="49"/>
      <c r="AV614" s="49"/>
      <c r="AW614" s="49"/>
      <c r="AX614" s="49"/>
      <c r="AY614" s="52"/>
    </row>
    <row r="615" spans="1:53" ht="13.5" customHeight="1">
      <c r="A615" s="56"/>
      <c r="B615" s="50"/>
      <c r="C615" s="49"/>
      <c r="D615" s="49"/>
      <c r="E615" s="49"/>
      <c r="F615" s="49"/>
      <c r="G615" s="49"/>
      <c r="H615" s="49"/>
      <c r="I615" s="51"/>
      <c r="J615" s="350"/>
      <c r="K615" s="351"/>
      <c r="L615" s="101"/>
      <c r="M615" s="262"/>
      <c r="N615" s="102"/>
      <c r="O615" s="102"/>
      <c r="P615" s="102"/>
      <c r="Q615" s="102"/>
      <c r="R615" s="102"/>
      <c r="S615" s="102"/>
      <c r="T615" s="102"/>
      <c r="U615" s="102"/>
      <c r="V615" s="102"/>
      <c r="W615" s="102"/>
      <c r="X615" s="102"/>
      <c r="Y615" s="102"/>
      <c r="Z615" s="49"/>
      <c r="AA615" s="49"/>
      <c r="AB615" s="49"/>
      <c r="AC615" s="49"/>
      <c r="AD615" s="49"/>
      <c r="AE615" s="49"/>
      <c r="AF615" s="49"/>
      <c r="AG615" s="49"/>
      <c r="AH615" s="49"/>
      <c r="AI615" s="49"/>
      <c r="AJ615" s="49"/>
      <c r="AK615" s="49"/>
      <c r="AL615" s="49"/>
      <c r="AM615" s="49"/>
      <c r="AN615" s="49"/>
      <c r="AO615" s="49"/>
      <c r="AP615" s="49"/>
      <c r="AQ615" s="51"/>
      <c r="AR615" s="208"/>
      <c r="AS615" s="49"/>
      <c r="AT615" s="49"/>
      <c r="AU615" s="49"/>
      <c r="AV615" s="49"/>
      <c r="AW615" s="49"/>
      <c r="AX615" s="49"/>
      <c r="AY615" s="52"/>
    </row>
    <row r="616" spans="1:53" ht="13.5" customHeight="1">
      <c r="A616" s="56"/>
      <c r="B616" s="50"/>
      <c r="C616" s="49"/>
      <c r="D616" s="49"/>
      <c r="E616" s="49"/>
      <c r="F616" s="49"/>
      <c r="G616" s="49"/>
      <c r="H616" s="49"/>
      <c r="I616" s="51"/>
      <c r="J616" s="350"/>
      <c r="K616" s="351"/>
      <c r="L616" s="101"/>
      <c r="M616" s="528" t="s">
        <v>569</v>
      </c>
      <c r="N616" s="505"/>
      <c r="O616" s="505"/>
      <c r="P616" s="505"/>
      <c r="Q616" s="505"/>
      <c r="R616" s="505"/>
      <c r="S616" s="505"/>
      <c r="T616" s="505"/>
      <c r="U616" s="505"/>
      <c r="V616" s="505"/>
      <c r="W616" s="505"/>
      <c r="X616" s="102"/>
      <c r="Y616" s="102"/>
      <c r="Z616" s="49"/>
      <c r="AA616" s="49"/>
      <c r="AB616" s="49"/>
      <c r="AC616" s="49"/>
      <c r="AD616" s="49"/>
      <c r="AE616" s="49"/>
      <c r="AF616" s="49"/>
      <c r="AG616" s="49"/>
      <c r="AH616" s="49"/>
      <c r="AI616" s="49"/>
      <c r="AJ616" s="49"/>
      <c r="AK616" s="49"/>
      <c r="AL616" s="49"/>
      <c r="AM616" s="49"/>
      <c r="AN616" s="49"/>
      <c r="AO616" s="49"/>
      <c r="AP616" s="49"/>
      <c r="AQ616" s="51"/>
      <c r="AR616" s="208"/>
      <c r="AS616" s="49"/>
      <c r="AT616" s="49"/>
      <c r="AU616" s="49"/>
      <c r="AV616" s="49"/>
      <c r="AW616" s="49"/>
      <c r="AX616" s="49"/>
      <c r="AY616" s="52"/>
    </row>
    <row r="617" spans="1:53" ht="13.5" customHeight="1">
      <c r="A617" s="56"/>
      <c r="B617" s="50"/>
      <c r="C617" s="49"/>
      <c r="D617" s="49"/>
      <c r="E617" s="49"/>
      <c r="F617" s="49"/>
      <c r="G617" s="49"/>
      <c r="H617" s="49"/>
      <c r="I617" s="51"/>
      <c r="J617" s="350"/>
      <c r="K617" s="351"/>
      <c r="L617" s="101"/>
      <c r="M617" s="528" t="s">
        <v>570</v>
      </c>
      <c r="N617" s="505"/>
      <c r="O617" s="505"/>
      <c r="P617" s="505"/>
      <c r="Q617" s="505"/>
      <c r="R617" s="505"/>
      <c r="S617" s="505"/>
      <c r="T617" s="505"/>
      <c r="U617" s="505"/>
      <c r="V617" s="505"/>
      <c r="W617" s="505"/>
      <c r="X617" s="102"/>
      <c r="Y617" s="102"/>
      <c r="Z617" s="49"/>
      <c r="AA617" s="49"/>
      <c r="AB617" s="49"/>
      <c r="AC617" s="49"/>
      <c r="AD617" s="49"/>
      <c r="AE617" s="49"/>
      <c r="AF617" s="49"/>
      <c r="AG617" s="49"/>
      <c r="AH617" s="49"/>
      <c r="AI617" s="49"/>
      <c r="AJ617" s="49"/>
      <c r="AK617" s="49"/>
      <c r="AL617" s="49"/>
      <c r="AM617" s="49"/>
      <c r="AN617" s="49"/>
      <c r="AO617" s="49"/>
      <c r="AP617" s="49"/>
      <c r="AQ617" s="51"/>
      <c r="AR617" s="208"/>
      <c r="AS617" s="49"/>
      <c r="AT617" s="49"/>
      <c r="AU617" s="49"/>
      <c r="AV617" s="49"/>
      <c r="AW617" s="49"/>
      <c r="AX617" s="49"/>
      <c r="AY617" s="52"/>
    </row>
    <row r="618" spans="1:53" ht="13.5" customHeight="1">
      <c r="A618" s="56"/>
      <c r="B618" s="50"/>
      <c r="C618" s="49"/>
      <c r="D618" s="49"/>
      <c r="E618" s="49"/>
      <c r="F618" s="49"/>
      <c r="G618" s="49"/>
      <c r="H618" s="49"/>
      <c r="I618" s="51"/>
      <c r="J618" s="402"/>
      <c r="K618" s="403"/>
      <c r="L618" s="101"/>
      <c r="M618" s="262"/>
      <c r="N618" s="102"/>
      <c r="O618" s="102"/>
      <c r="P618" s="102"/>
      <c r="Q618" s="102"/>
      <c r="R618" s="102"/>
      <c r="S618" s="102"/>
      <c r="T618" s="102"/>
      <c r="U618" s="102"/>
      <c r="V618" s="102"/>
      <c r="W618" s="102"/>
      <c r="X618" s="102"/>
      <c r="Y618" s="102"/>
      <c r="Z618" s="49"/>
      <c r="AA618" s="49"/>
      <c r="AB618" s="49"/>
      <c r="AC618" s="49"/>
      <c r="AD618" s="49"/>
      <c r="AE618" s="49"/>
      <c r="AF618" s="49"/>
      <c r="AG618" s="49"/>
      <c r="AH618" s="49"/>
      <c r="AI618" s="49"/>
      <c r="AJ618" s="49"/>
      <c r="AK618" s="49"/>
      <c r="AL618" s="49"/>
      <c r="AM618" s="49"/>
      <c r="AN618" s="49"/>
      <c r="AO618" s="49"/>
      <c r="AP618" s="49"/>
      <c r="AQ618" s="51"/>
      <c r="AR618" s="208"/>
      <c r="AS618" s="49"/>
      <c r="AT618" s="49"/>
      <c r="AU618" s="49"/>
      <c r="AV618" s="49"/>
      <c r="AW618" s="49"/>
      <c r="AX618" s="49"/>
      <c r="AY618" s="52"/>
    </row>
    <row r="619" spans="1:53" s="378" customFormat="1" ht="13.5" customHeight="1">
      <c r="A619" s="62"/>
      <c r="B619" s="101"/>
      <c r="C619" s="102"/>
      <c r="D619" s="102"/>
      <c r="E619" s="102"/>
      <c r="F619" s="102"/>
      <c r="G619" s="102"/>
      <c r="H619" s="102"/>
      <c r="I619" s="377"/>
      <c r="J619" s="445"/>
      <c r="K619" s="446"/>
      <c r="L619" s="101" t="s">
        <v>991</v>
      </c>
      <c r="M619" s="26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377"/>
      <c r="AR619" s="396"/>
      <c r="AS619" s="102"/>
      <c r="AT619" s="102"/>
      <c r="AU619" s="102"/>
      <c r="AV619" s="102"/>
      <c r="AW619" s="102"/>
      <c r="AX619" s="102"/>
      <c r="AY619" s="406"/>
      <c r="BA619" s="378">
        <v>2.7</v>
      </c>
    </row>
    <row r="620" spans="1:53" s="378" customFormat="1" ht="13.5" customHeight="1">
      <c r="A620" s="62"/>
      <c r="B620" s="101"/>
      <c r="C620" s="102"/>
      <c r="D620" s="102"/>
      <c r="E620" s="102"/>
      <c r="F620" s="102"/>
      <c r="G620" s="102"/>
      <c r="H620" s="102"/>
      <c r="I620" s="377"/>
      <c r="J620" s="445"/>
      <c r="K620" s="446"/>
      <c r="L620" s="101"/>
      <c r="M620" s="557" t="s">
        <v>1000</v>
      </c>
      <c r="N620" s="557"/>
      <c r="O620" s="557"/>
      <c r="P620" s="557"/>
      <c r="Q620" s="557"/>
      <c r="R620" s="557"/>
      <c r="S620" s="557"/>
      <c r="T620" s="557"/>
      <c r="U620" s="557"/>
      <c r="V620" s="557"/>
      <c r="W620" s="557"/>
      <c r="X620" s="557"/>
      <c r="Y620" s="557"/>
      <c r="Z620" s="557"/>
      <c r="AA620" s="557"/>
      <c r="AB620" s="557"/>
      <c r="AC620" s="557"/>
      <c r="AD620" s="557"/>
      <c r="AE620" s="447"/>
      <c r="AF620" s="447"/>
      <c r="AG620" s="447"/>
      <c r="AH620" s="447"/>
      <c r="AI620" s="447"/>
      <c r="AJ620" s="447"/>
      <c r="AK620" s="447"/>
      <c r="AL620" s="447"/>
      <c r="AM620" s="447"/>
      <c r="AN620" s="447"/>
      <c r="AO620" s="447"/>
      <c r="AP620" s="102"/>
      <c r="AQ620" s="377"/>
      <c r="AR620" s="396"/>
      <c r="AS620" s="102"/>
      <c r="AT620" s="102"/>
      <c r="AU620" s="102"/>
      <c r="AV620" s="102"/>
      <c r="AW620" s="102"/>
      <c r="AX620" s="102"/>
      <c r="AY620" s="406"/>
      <c r="BA620" s="378">
        <v>2.7</v>
      </c>
    </row>
    <row r="621" spans="1:53" s="378" customFormat="1" ht="13.5" customHeight="1">
      <c r="A621" s="62"/>
      <c r="B621" s="101"/>
      <c r="C621" s="102"/>
      <c r="D621" s="102"/>
      <c r="E621" s="102"/>
      <c r="F621" s="102"/>
      <c r="G621" s="102"/>
      <c r="H621" s="102"/>
      <c r="I621" s="377"/>
      <c r="J621" s="445"/>
      <c r="K621" s="446"/>
      <c r="L621" s="101"/>
      <c r="M621" s="557"/>
      <c r="N621" s="557" t="s">
        <v>1001</v>
      </c>
      <c r="O621" s="557"/>
      <c r="P621" s="557"/>
      <c r="Q621" s="557"/>
      <c r="R621" s="557"/>
      <c r="S621" s="557" t="s">
        <v>211</v>
      </c>
      <c r="T621" s="557"/>
      <c r="U621" s="557"/>
      <c r="V621" s="557"/>
      <c r="W621" s="557"/>
      <c r="X621" s="557"/>
      <c r="Y621" s="557"/>
      <c r="Z621" s="557"/>
      <c r="AA621" s="557"/>
      <c r="AB621" s="557"/>
      <c r="AC621" s="557"/>
      <c r="AD621" s="557"/>
      <c r="AE621" s="447"/>
      <c r="AF621" s="447"/>
      <c r="AG621" s="447"/>
      <c r="AH621" s="447"/>
      <c r="AI621" s="447"/>
      <c r="AJ621" s="447"/>
      <c r="AK621" s="447"/>
      <c r="AL621" s="447"/>
      <c r="AM621" s="447"/>
      <c r="AN621" s="447"/>
      <c r="AO621" s="447"/>
      <c r="AP621" s="102"/>
      <c r="AQ621" s="377"/>
      <c r="AR621" s="396"/>
      <c r="AS621" s="102"/>
      <c r="AT621" s="102"/>
      <c r="AU621" s="102"/>
      <c r="AV621" s="102"/>
      <c r="AW621" s="102"/>
      <c r="AX621" s="102"/>
      <c r="AY621" s="406"/>
      <c r="BA621" s="378">
        <v>2.7</v>
      </c>
    </row>
    <row r="622" spans="1:53" s="378" customFormat="1" ht="13.5" customHeight="1">
      <c r="A622" s="62"/>
      <c r="B622" s="101"/>
      <c r="C622" s="102"/>
      <c r="D622" s="102"/>
      <c r="E622" s="102"/>
      <c r="F622" s="102"/>
      <c r="G622" s="102"/>
      <c r="H622" s="102"/>
      <c r="I622" s="377"/>
      <c r="J622" s="445"/>
      <c r="K622" s="446"/>
      <c r="L622" s="101"/>
      <c r="M622" s="557"/>
      <c r="N622" s="557" t="s">
        <v>1002</v>
      </c>
      <c r="O622" s="557"/>
      <c r="P622" s="557"/>
      <c r="Q622" s="557"/>
      <c r="R622" s="557"/>
      <c r="S622" s="557" t="s">
        <v>1003</v>
      </c>
      <c r="T622" s="557"/>
      <c r="U622" s="557"/>
      <c r="V622" s="557"/>
      <c r="W622" s="557"/>
      <c r="X622" s="557"/>
      <c r="Y622" s="557"/>
      <c r="Z622" s="557"/>
      <c r="AA622" s="557"/>
      <c r="AB622" s="557"/>
      <c r="AC622" s="557"/>
      <c r="AD622" s="557"/>
      <c r="AE622" s="447"/>
      <c r="AF622" s="447"/>
      <c r="AG622" s="447"/>
      <c r="AH622" s="447"/>
      <c r="AI622" s="447"/>
      <c r="AJ622" s="447"/>
      <c r="AK622" s="447"/>
      <c r="AL622" s="447"/>
      <c r="AM622" s="447"/>
      <c r="AN622" s="447"/>
      <c r="AO622" s="447"/>
      <c r="AP622" s="102"/>
      <c r="AQ622" s="377"/>
      <c r="AR622" s="396"/>
      <c r="AS622" s="102"/>
      <c r="AT622" s="102"/>
      <c r="AU622" s="102"/>
      <c r="AV622" s="102"/>
      <c r="AW622" s="102"/>
      <c r="AX622" s="102"/>
      <c r="AY622" s="406"/>
      <c r="BA622" s="378">
        <v>2.7</v>
      </c>
    </row>
    <row r="623" spans="1:53" s="378" customFormat="1" ht="13.5" customHeight="1">
      <c r="A623" s="62"/>
      <c r="B623" s="101"/>
      <c r="C623" s="102"/>
      <c r="D623" s="102"/>
      <c r="E623" s="102"/>
      <c r="F623" s="102"/>
      <c r="G623" s="102"/>
      <c r="H623" s="102"/>
      <c r="I623" s="377"/>
      <c r="J623" s="445"/>
      <c r="K623" s="446"/>
      <c r="L623" s="101"/>
      <c r="M623" s="557"/>
      <c r="N623" s="557"/>
      <c r="O623" s="557"/>
      <c r="P623" s="557"/>
      <c r="Q623" s="557"/>
      <c r="R623" s="557"/>
      <c r="S623" s="557" t="s">
        <v>1004</v>
      </c>
      <c r="T623" s="557"/>
      <c r="U623" s="557"/>
      <c r="V623" s="557"/>
      <c r="W623" s="557"/>
      <c r="X623" s="557"/>
      <c r="Y623" s="557"/>
      <c r="Z623" s="557"/>
      <c r="AA623" s="557"/>
      <c r="AB623" s="557"/>
      <c r="AC623" s="557"/>
      <c r="AD623" s="557"/>
      <c r="AE623" s="447"/>
      <c r="AF623" s="447"/>
      <c r="AG623" s="447"/>
      <c r="AH623" s="447"/>
      <c r="AI623" s="447"/>
      <c r="AJ623" s="447"/>
      <c r="AK623" s="447"/>
      <c r="AL623" s="447"/>
      <c r="AM623" s="447"/>
      <c r="AN623" s="447"/>
      <c r="AO623" s="447"/>
      <c r="AP623" s="102"/>
      <c r="AQ623" s="377"/>
      <c r="AR623" s="396"/>
      <c r="AS623" s="102"/>
      <c r="AT623" s="102"/>
      <c r="AU623" s="102"/>
      <c r="AV623" s="102"/>
      <c r="AW623" s="102"/>
      <c r="AX623" s="102"/>
      <c r="AY623" s="406"/>
      <c r="BA623" s="378">
        <v>2.7</v>
      </c>
    </row>
    <row r="624" spans="1:53" s="378" customFormat="1" ht="13.5" customHeight="1">
      <c r="A624" s="62"/>
      <c r="B624" s="101"/>
      <c r="C624" s="102"/>
      <c r="D624" s="102"/>
      <c r="E624" s="102"/>
      <c r="F624" s="102"/>
      <c r="G624" s="102"/>
      <c r="H624" s="102"/>
      <c r="I624" s="377"/>
      <c r="J624" s="445"/>
      <c r="K624" s="446"/>
      <c r="L624" s="101"/>
      <c r="M624" s="557"/>
      <c r="N624" s="557"/>
      <c r="O624" s="557"/>
      <c r="P624" s="557"/>
      <c r="Q624" s="557"/>
      <c r="R624" s="557"/>
      <c r="S624" s="557" t="s">
        <v>1005</v>
      </c>
      <c r="T624" s="557"/>
      <c r="U624" s="557"/>
      <c r="V624" s="557"/>
      <c r="W624" s="557"/>
      <c r="X624" s="557"/>
      <c r="Y624" s="557"/>
      <c r="Z624" s="557"/>
      <c r="AA624" s="557"/>
      <c r="AB624" s="557"/>
      <c r="AC624" s="557"/>
      <c r="AD624" s="557"/>
      <c r="AE624" s="447"/>
      <c r="AF624" s="447"/>
      <c r="AG624" s="447"/>
      <c r="AH624" s="447"/>
      <c r="AI624" s="447"/>
      <c r="AJ624" s="447"/>
      <c r="AK624" s="447"/>
      <c r="AL624" s="447"/>
      <c r="AM624" s="447"/>
      <c r="AN624" s="447"/>
      <c r="AO624" s="447"/>
      <c r="AP624" s="102"/>
      <c r="AQ624" s="377"/>
      <c r="AR624" s="396"/>
      <c r="AS624" s="102"/>
      <c r="AT624" s="102"/>
      <c r="AU624" s="102"/>
      <c r="AV624" s="102"/>
      <c r="AW624" s="102"/>
      <c r="AX624" s="102"/>
      <c r="AY624" s="406"/>
      <c r="BA624" s="378">
        <v>2.7</v>
      </c>
    </row>
    <row r="625" spans="1:53" s="378" customFormat="1" ht="13.5" customHeight="1">
      <c r="A625" s="62"/>
      <c r="B625" s="101"/>
      <c r="C625" s="102"/>
      <c r="D625" s="102"/>
      <c r="E625" s="102"/>
      <c r="F625" s="102"/>
      <c r="G625" s="102"/>
      <c r="H625" s="102"/>
      <c r="I625" s="377"/>
      <c r="J625" s="445"/>
      <c r="K625" s="446"/>
      <c r="L625" s="101"/>
      <c r="M625" s="557"/>
      <c r="N625" s="557"/>
      <c r="O625" s="557"/>
      <c r="P625" s="557"/>
      <c r="Q625" s="557"/>
      <c r="R625" s="557"/>
      <c r="S625" s="557" t="s">
        <v>1006</v>
      </c>
      <c r="T625" s="557"/>
      <c r="U625" s="557"/>
      <c r="V625" s="557"/>
      <c r="W625" s="557"/>
      <c r="X625" s="557"/>
      <c r="Y625" s="557"/>
      <c r="Z625" s="557"/>
      <c r="AA625" s="557"/>
      <c r="AB625" s="557"/>
      <c r="AC625" s="557"/>
      <c r="AD625" s="557"/>
      <c r="AE625" s="447"/>
      <c r="AF625" s="447"/>
      <c r="AG625" s="447"/>
      <c r="AH625" s="447"/>
      <c r="AI625" s="447"/>
      <c r="AJ625" s="447"/>
      <c r="AK625" s="447"/>
      <c r="AL625" s="447"/>
      <c r="AM625" s="447"/>
      <c r="AN625" s="447"/>
      <c r="AO625" s="447"/>
      <c r="AP625" s="102"/>
      <c r="AQ625" s="377"/>
      <c r="AR625" s="396"/>
      <c r="AS625" s="102"/>
      <c r="AT625" s="102"/>
      <c r="AU625" s="102"/>
      <c r="AV625" s="102"/>
      <c r="AW625" s="102"/>
      <c r="AX625" s="102"/>
      <c r="AY625" s="406"/>
      <c r="BA625" s="378">
        <v>2.7</v>
      </c>
    </row>
    <row r="626" spans="1:53" s="378" customFormat="1" ht="13.5" customHeight="1">
      <c r="A626" s="62"/>
      <c r="B626" s="101"/>
      <c r="C626" s="102"/>
      <c r="D626" s="102"/>
      <c r="E626" s="102"/>
      <c r="F626" s="102"/>
      <c r="G626" s="102"/>
      <c r="H626" s="102"/>
      <c r="I626" s="377"/>
      <c r="J626" s="445"/>
      <c r="K626" s="446"/>
      <c r="L626" s="101"/>
      <c r="M626" s="557"/>
      <c r="N626" s="557"/>
      <c r="O626" s="557"/>
      <c r="P626" s="557"/>
      <c r="Q626" s="557"/>
      <c r="R626" s="557"/>
      <c r="S626" s="557" t="s">
        <v>1007</v>
      </c>
      <c r="T626" s="557"/>
      <c r="U626" s="557"/>
      <c r="V626" s="557"/>
      <c r="W626" s="557"/>
      <c r="X626" s="557"/>
      <c r="Y626" s="557"/>
      <c r="Z626" s="557"/>
      <c r="AA626" s="557"/>
      <c r="AB626" s="557"/>
      <c r="AC626" s="557"/>
      <c r="AD626" s="557"/>
      <c r="AE626" s="447"/>
      <c r="AF626" s="447"/>
      <c r="AG626" s="447"/>
      <c r="AH626" s="447"/>
      <c r="AI626" s="447"/>
      <c r="AJ626" s="447"/>
      <c r="AK626" s="447"/>
      <c r="AL626" s="447"/>
      <c r="AM626" s="447"/>
      <c r="AN626" s="447"/>
      <c r="AO626" s="447"/>
      <c r="AP626" s="102"/>
      <c r="AQ626" s="377"/>
      <c r="AR626" s="396"/>
      <c r="AS626" s="102"/>
      <c r="AT626" s="102"/>
      <c r="AU626" s="102"/>
      <c r="AV626" s="102"/>
      <c r="AW626" s="102"/>
      <c r="AX626" s="102"/>
      <c r="AY626" s="406"/>
      <c r="BA626" s="378">
        <v>2.7</v>
      </c>
    </row>
    <row r="627" spans="1:53" ht="13.5" customHeight="1">
      <c r="A627" s="56"/>
      <c r="B627" s="50"/>
      <c r="C627" s="49"/>
      <c r="D627" s="49"/>
      <c r="E627" s="49"/>
      <c r="F627" s="49"/>
      <c r="G627" s="49"/>
      <c r="H627" s="49"/>
      <c r="I627" s="51"/>
      <c r="J627" s="402"/>
      <c r="K627" s="403"/>
      <c r="L627" s="101"/>
      <c r="M627" s="262"/>
      <c r="N627" s="102"/>
      <c r="O627" s="102"/>
      <c r="P627" s="102"/>
      <c r="Q627" s="102"/>
      <c r="R627" s="102"/>
      <c r="S627" s="102"/>
      <c r="T627" s="102"/>
      <c r="U627" s="102"/>
      <c r="V627" s="102"/>
      <c r="W627" s="102"/>
      <c r="X627" s="102"/>
      <c r="Y627" s="102"/>
      <c r="Z627" s="49"/>
      <c r="AA627" s="49"/>
      <c r="AB627" s="49"/>
      <c r="AC627" s="49"/>
      <c r="AD627" s="49"/>
      <c r="AE627" s="49"/>
      <c r="AF627" s="49"/>
      <c r="AG627" s="49"/>
      <c r="AH627" s="49"/>
      <c r="AI627" s="49"/>
      <c r="AJ627" s="49"/>
      <c r="AK627" s="49"/>
      <c r="AL627" s="49"/>
      <c r="AM627" s="49"/>
      <c r="AN627" s="49"/>
      <c r="AO627" s="49"/>
      <c r="AP627" s="49"/>
      <c r="AQ627" s="51"/>
      <c r="AR627" s="208"/>
      <c r="AS627" s="49"/>
      <c r="AT627" s="49"/>
      <c r="AU627" s="49"/>
      <c r="AV627" s="49"/>
      <c r="AW627" s="49"/>
      <c r="AX627" s="49"/>
      <c r="AY627" s="52"/>
    </row>
    <row r="628" spans="1:53" ht="13.5" customHeight="1">
      <c r="A628" s="56"/>
      <c r="B628" s="50"/>
      <c r="C628" s="49"/>
      <c r="D628" s="49"/>
      <c r="E628" s="49"/>
      <c r="F628" s="49"/>
      <c r="G628" s="49"/>
      <c r="H628" s="49"/>
      <c r="I628" s="51"/>
      <c r="J628" s="656"/>
      <c r="K628" s="657"/>
      <c r="L628" s="101" t="s">
        <v>992</v>
      </c>
      <c r="M628" s="102"/>
      <c r="N628" s="102"/>
      <c r="O628" s="102"/>
      <c r="P628" s="102"/>
      <c r="Q628" s="102"/>
      <c r="R628" s="102"/>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c r="AQ628" s="51"/>
      <c r="AR628" s="208" t="s">
        <v>57</v>
      </c>
      <c r="AS628" s="49"/>
      <c r="AT628" s="49"/>
      <c r="AU628" s="49"/>
      <c r="AV628" s="49"/>
      <c r="AW628" s="49"/>
      <c r="AX628" s="49"/>
      <c r="AY628" s="52"/>
      <c r="AZ628" s="23">
        <v>0.8</v>
      </c>
    </row>
    <row r="629" spans="1:53" ht="13.5" customHeight="1">
      <c r="A629" s="56"/>
      <c r="B629" s="50"/>
      <c r="C629" s="49"/>
      <c r="D629" s="49"/>
      <c r="E629" s="49"/>
      <c r="F629" s="49"/>
      <c r="G629" s="49"/>
      <c r="H629" s="49"/>
      <c r="I629" s="51"/>
      <c r="J629" s="350"/>
      <c r="K629" s="351"/>
      <c r="L629" s="101"/>
      <c r="M629" s="102" t="s">
        <v>97</v>
      </c>
      <c r="N629" s="102"/>
      <c r="O629" s="102"/>
      <c r="P629" s="102"/>
      <c r="Q629" s="102"/>
      <c r="R629" s="102"/>
      <c r="S629" s="102"/>
      <c r="T629" s="102"/>
      <c r="U629" s="102"/>
      <c r="V629" s="102"/>
      <c r="W629" s="102"/>
      <c r="X629" s="102"/>
      <c r="Y629" s="102"/>
      <c r="Z629" s="102"/>
      <c r="AA629" s="102"/>
      <c r="AB629" s="102"/>
      <c r="AC629" s="102"/>
      <c r="AD629" s="102"/>
      <c r="AE629" s="102"/>
      <c r="AF629" s="49"/>
      <c r="AG629" s="49"/>
      <c r="AH629" s="49"/>
      <c r="AI629" s="49"/>
      <c r="AJ629" s="49"/>
      <c r="AK629" s="49"/>
      <c r="AL629" s="49"/>
      <c r="AM629" s="49"/>
      <c r="AN629" s="49"/>
      <c r="AO629" s="49"/>
      <c r="AP629" s="49"/>
      <c r="AQ629" s="51"/>
      <c r="AR629" s="208" t="s">
        <v>168</v>
      </c>
      <c r="AS629" s="49"/>
      <c r="AT629" s="49"/>
      <c r="AU629" s="49"/>
      <c r="AV629" s="49"/>
      <c r="AW629" s="49"/>
      <c r="AX629" s="49"/>
      <c r="AY629" s="52"/>
      <c r="AZ629" s="23">
        <v>0.8</v>
      </c>
    </row>
    <row r="630" spans="1:53" ht="13.5" customHeight="1">
      <c r="A630" s="56"/>
      <c r="B630" s="50"/>
      <c r="C630" s="49"/>
      <c r="D630" s="49"/>
      <c r="E630" s="49"/>
      <c r="F630" s="49"/>
      <c r="G630" s="49"/>
      <c r="H630" s="49"/>
      <c r="I630" s="51"/>
      <c r="J630" s="350"/>
      <c r="K630" s="351"/>
      <c r="L630" s="101"/>
      <c r="M630" s="102" t="s">
        <v>688</v>
      </c>
      <c r="N630" s="102"/>
      <c r="O630" s="102"/>
      <c r="P630" s="102"/>
      <c r="Q630" s="102"/>
      <c r="R630" s="102"/>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51"/>
      <c r="AR630" s="208" t="s">
        <v>171</v>
      </c>
      <c r="AS630" s="49"/>
      <c r="AT630" s="49"/>
      <c r="AU630" s="49"/>
      <c r="AV630" s="49"/>
      <c r="AW630" s="49"/>
      <c r="AX630" s="49"/>
      <c r="AY630" s="52"/>
      <c r="AZ630" s="23">
        <v>0.8</v>
      </c>
    </row>
    <row r="631" spans="1:53" ht="13.5" customHeight="1">
      <c r="A631" s="56"/>
      <c r="B631" s="50"/>
      <c r="C631" s="49"/>
      <c r="D631" s="49"/>
      <c r="E631" s="49"/>
      <c r="F631" s="49"/>
      <c r="G631" s="49"/>
      <c r="H631" s="49"/>
      <c r="I631" s="51"/>
      <c r="J631" s="350"/>
      <c r="K631" s="351"/>
      <c r="L631" s="101"/>
      <c r="M631" s="102"/>
      <c r="N631" s="102"/>
      <c r="O631" s="102"/>
      <c r="P631" s="102"/>
      <c r="Q631" s="102"/>
      <c r="R631" s="102"/>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c r="AQ631" s="51"/>
      <c r="AR631" s="208"/>
      <c r="AS631" s="49"/>
      <c r="AT631" s="49"/>
      <c r="AU631" s="49"/>
      <c r="AV631" s="49"/>
      <c r="AW631" s="49"/>
      <c r="AX631" s="49"/>
      <c r="AY631" s="52"/>
    </row>
    <row r="632" spans="1:53" ht="13.5" customHeight="1">
      <c r="A632" s="56"/>
      <c r="B632" s="50"/>
      <c r="C632" s="49"/>
      <c r="D632" s="49"/>
      <c r="E632" s="49"/>
      <c r="F632" s="49"/>
      <c r="G632" s="49"/>
      <c r="H632" s="49"/>
      <c r="I632" s="51"/>
      <c r="J632" s="656"/>
      <c r="K632" s="657"/>
      <c r="L632" s="101" t="s">
        <v>993</v>
      </c>
      <c r="M632" s="102"/>
      <c r="N632" s="102"/>
      <c r="O632" s="102"/>
      <c r="P632" s="102"/>
      <c r="Q632" s="102"/>
      <c r="R632" s="102"/>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c r="AQ632" s="51"/>
      <c r="AR632" s="208"/>
      <c r="AS632" s="49"/>
      <c r="AT632" s="49"/>
      <c r="AU632" s="49"/>
      <c r="AV632" s="49"/>
      <c r="AW632" s="49"/>
      <c r="AX632" s="49"/>
      <c r="AY632" s="52"/>
      <c r="AZ632" s="23">
        <v>0.8</v>
      </c>
    </row>
    <row r="633" spans="1:53" ht="13.5" customHeight="1">
      <c r="A633" s="56"/>
      <c r="B633" s="50"/>
      <c r="C633" s="49"/>
      <c r="D633" s="49"/>
      <c r="E633" s="49"/>
      <c r="F633" s="49"/>
      <c r="G633" s="49"/>
      <c r="H633" s="49"/>
      <c r="I633" s="51"/>
      <c r="J633" s="350"/>
      <c r="K633" s="351"/>
      <c r="L633" s="101"/>
      <c r="M633" s="102" t="s">
        <v>53</v>
      </c>
      <c r="N633" s="102"/>
      <c r="O633" s="102"/>
      <c r="P633" s="102"/>
      <c r="Q633" s="102"/>
      <c r="R633" s="102"/>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c r="AQ633" s="51"/>
      <c r="AR633" s="208"/>
      <c r="AS633" s="49"/>
      <c r="AT633" s="49"/>
      <c r="AU633" s="49"/>
      <c r="AV633" s="49"/>
      <c r="AW633" s="49"/>
      <c r="AX633" s="49"/>
      <c r="AY633" s="52"/>
      <c r="AZ633" s="23">
        <v>0.8</v>
      </c>
    </row>
    <row r="634" spans="1:53" ht="13.5" customHeight="1">
      <c r="A634" s="56"/>
      <c r="B634" s="50"/>
      <c r="C634" s="49"/>
      <c r="D634" s="49"/>
      <c r="E634" s="49"/>
      <c r="F634" s="49"/>
      <c r="G634" s="49"/>
      <c r="H634" s="49"/>
      <c r="I634" s="51"/>
      <c r="J634" s="350"/>
      <c r="K634" s="351"/>
      <c r="L634" s="101"/>
      <c r="M634" s="102" t="s">
        <v>54</v>
      </c>
      <c r="N634" s="102"/>
      <c r="O634" s="102"/>
      <c r="P634" s="102"/>
      <c r="Q634" s="102"/>
      <c r="R634" s="102"/>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c r="AQ634" s="51"/>
      <c r="AR634" s="208"/>
      <c r="AS634" s="49"/>
      <c r="AT634" s="49"/>
      <c r="AU634" s="49"/>
      <c r="AV634" s="49"/>
      <c r="AW634" s="49"/>
      <c r="AX634" s="49"/>
      <c r="AY634" s="52"/>
      <c r="AZ634" s="23">
        <v>0.8</v>
      </c>
    </row>
    <row r="635" spans="1:53" ht="13.5" customHeight="1">
      <c r="A635" s="56"/>
      <c r="B635" s="50"/>
      <c r="C635" s="49"/>
      <c r="D635" s="49"/>
      <c r="E635" s="49"/>
      <c r="F635" s="49"/>
      <c r="G635" s="49"/>
      <c r="H635" s="49"/>
      <c r="I635" s="51"/>
      <c r="J635" s="350"/>
      <c r="K635" s="351"/>
      <c r="L635" s="101"/>
      <c r="M635" s="102"/>
      <c r="N635" s="102"/>
      <c r="O635" s="102"/>
      <c r="P635" s="102"/>
      <c r="Q635" s="102"/>
      <c r="R635" s="102"/>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c r="AQ635" s="51"/>
      <c r="AR635" s="208"/>
      <c r="AS635" s="49"/>
      <c r="AT635" s="49"/>
      <c r="AU635" s="49"/>
      <c r="AV635" s="49"/>
      <c r="AW635" s="49"/>
      <c r="AX635" s="49"/>
      <c r="AY635" s="52"/>
    </row>
    <row r="636" spans="1:53" ht="13.5" customHeight="1">
      <c r="A636" s="56"/>
      <c r="B636" s="50"/>
      <c r="C636" s="49"/>
      <c r="D636" s="49"/>
      <c r="E636" s="49"/>
      <c r="F636" s="49"/>
      <c r="G636" s="49"/>
      <c r="H636" s="49"/>
      <c r="I636" s="51"/>
      <c r="J636" s="350"/>
      <c r="K636" s="351"/>
      <c r="L636" s="101" t="s">
        <v>994</v>
      </c>
      <c r="M636" s="102"/>
      <c r="N636" s="102"/>
      <c r="O636" s="106"/>
      <c r="P636" s="106"/>
      <c r="Q636" s="106"/>
      <c r="R636" s="106"/>
      <c r="S636" s="46"/>
      <c r="T636" s="46"/>
      <c r="U636" s="46"/>
      <c r="V636" s="46"/>
      <c r="W636" s="49"/>
      <c r="X636" s="49"/>
      <c r="Y636" s="49"/>
      <c r="Z636" s="49"/>
      <c r="AA636" s="49"/>
      <c r="AB636" s="49"/>
      <c r="AC636" s="49"/>
      <c r="AD636" s="49"/>
      <c r="AE636" s="49"/>
      <c r="AF636" s="49"/>
      <c r="AG636" s="49"/>
      <c r="AH636" s="49"/>
      <c r="AI636" s="49"/>
      <c r="AJ636" s="49"/>
      <c r="AK636" s="49"/>
      <c r="AL636" s="49"/>
      <c r="AM636" s="49"/>
      <c r="AN636" s="49"/>
      <c r="AO636" s="49"/>
      <c r="AP636" s="49"/>
      <c r="AQ636" s="51"/>
      <c r="AR636" s="208"/>
      <c r="AS636" s="49"/>
      <c r="AT636" s="49"/>
      <c r="AU636" s="49"/>
      <c r="AV636" s="49"/>
      <c r="AW636" s="49"/>
      <c r="AX636" s="49"/>
      <c r="AY636" s="52"/>
      <c r="AZ636" s="23">
        <v>0.8</v>
      </c>
    </row>
    <row r="637" spans="1:53" ht="13.5" customHeight="1">
      <c r="A637" s="56"/>
      <c r="B637" s="50"/>
      <c r="C637" s="49"/>
      <c r="D637" s="49"/>
      <c r="E637" s="49"/>
      <c r="F637" s="49"/>
      <c r="G637" s="49"/>
      <c r="H637" s="49"/>
      <c r="I637" s="51"/>
      <c r="J637" s="350"/>
      <c r="K637" s="351"/>
      <c r="L637" s="101"/>
      <c r="M637" s="106" t="s">
        <v>95</v>
      </c>
      <c r="N637" s="102"/>
      <c r="O637" s="102"/>
      <c r="P637" s="102"/>
      <c r="Q637" s="102"/>
      <c r="R637" s="102"/>
      <c r="S637" s="49"/>
      <c r="T637" s="49"/>
      <c r="U637" s="49"/>
      <c r="V637" s="49"/>
      <c r="W637" s="49"/>
      <c r="X637" s="49"/>
      <c r="Y637" s="49"/>
      <c r="Z637" s="49"/>
      <c r="AA637" s="49"/>
      <c r="AB637" s="49"/>
      <c r="AC637" s="49"/>
      <c r="AD637" s="49"/>
      <c r="AE637" s="49"/>
      <c r="AF637" s="49"/>
      <c r="AG637" s="49"/>
      <c r="AH637" s="49"/>
      <c r="AI637" s="49"/>
      <c r="AJ637" s="49"/>
      <c r="AK637" s="49"/>
      <c r="AL637" s="49"/>
      <c r="AM637" s="49"/>
      <c r="AN637" s="49"/>
      <c r="AO637" s="49"/>
      <c r="AP637" s="49"/>
      <c r="AQ637" s="51"/>
      <c r="AR637" s="208"/>
      <c r="AS637" s="49"/>
      <c r="AT637" s="49"/>
      <c r="AU637" s="49"/>
      <c r="AV637" s="49"/>
      <c r="AW637" s="49"/>
      <c r="AX637" s="49"/>
      <c r="AY637" s="52"/>
      <c r="AZ637" s="23">
        <v>0.8</v>
      </c>
    </row>
    <row r="638" spans="1:53" ht="13.5" customHeight="1">
      <c r="A638" s="56"/>
      <c r="B638" s="50"/>
      <c r="C638" s="49"/>
      <c r="D638" s="49"/>
      <c r="E638" s="49"/>
      <c r="F638" s="49"/>
      <c r="G638" s="49"/>
      <c r="H638" s="49"/>
      <c r="I638" s="51"/>
      <c r="J638" s="350"/>
      <c r="K638" s="351"/>
      <c r="L638" s="101"/>
      <c r="M638" s="102"/>
      <c r="N638" s="127"/>
      <c r="O638" s="49"/>
      <c r="P638" s="49"/>
      <c r="Q638" s="49"/>
      <c r="R638" s="49"/>
      <c r="S638" s="49"/>
      <c r="T638" s="49"/>
      <c r="U638" s="49"/>
      <c r="V638" s="49"/>
      <c r="W638" s="49"/>
      <c r="X638" s="49"/>
      <c r="Y638" s="49"/>
      <c r="Z638" s="49"/>
      <c r="AA638" s="49"/>
      <c r="AB638" s="49"/>
      <c r="AC638" s="49"/>
      <c r="AD638" s="49"/>
      <c r="AE638" s="49"/>
      <c r="AF638" s="49"/>
      <c r="AG638" s="49"/>
      <c r="AH638" s="49"/>
      <c r="AI638" s="49"/>
      <c r="AJ638" s="49"/>
      <c r="AK638" s="49"/>
      <c r="AL638" s="49"/>
      <c r="AM638" s="49"/>
      <c r="AN638" s="49"/>
      <c r="AO638" s="49"/>
      <c r="AP638" s="49"/>
      <c r="AQ638" s="51"/>
      <c r="AR638" s="208"/>
      <c r="AS638" s="49"/>
      <c r="AT638" s="49"/>
      <c r="AU638" s="49"/>
      <c r="AV638" s="49"/>
      <c r="AW638" s="49"/>
      <c r="AX638" s="49"/>
      <c r="AY638" s="52"/>
      <c r="AZ638" s="23">
        <v>0.8</v>
      </c>
    </row>
    <row r="639" spans="1:53" ht="13.5" customHeight="1">
      <c r="A639" s="56"/>
      <c r="B639" s="50"/>
      <c r="C639" s="49"/>
      <c r="D639" s="49"/>
      <c r="E639" s="49"/>
      <c r="F639" s="49"/>
      <c r="G639" s="49"/>
      <c r="H639" s="49"/>
      <c r="I639" s="51"/>
      <c r="J639" s="350"/>
      <c r="K639" s="351"/>
      <c r="L639" s="50"/>
      <c r="M639" s="102" t="s">
        <v>630</v>
      </c>
      <c r="N639" s="127"/>
      <c r="O639" s="159"/>
      <c r="P639" s="159"/>
      <c r="Q639" s="159"/>
      <c r="R639" s="159"/>
      <c r="S639" s="159"/>
      <c r="T639" s="159"/>
      <c r="U639" s="159"/>
      <c r="V639" s="159"/>
      <c r="W639" s="159"/>
      <c r="X639" s="159"/>
      <c r="Y639" s="49"/>
      <c r="Z639" s="49"/>
      <c r="AA639" s="49"/>
      <c r="AB639" s="49"/>
      <c r="AC639" s="49"/>
      <c r="AD639" s="49"/>
      <c r="AE639" s="49"/>
      <c r="AF639" s="49"/>
      <c r="AG639" s="49"/>
      <c r="AH639" s="49"/>
      <c r="AI639" s="49"/>
      <c r="AJ639" s="49"/>
      <c r="AK639" s="49"/>
      <c r="AL639" s="49"/>
      <c r="AM639" s="49"/>
      <c r="AN639" s="49"/>
      <c r="AO639" s="49"/>
      <c r="AP639" s="49"/>
      <c r="AQ639" s="51"/>
      <c r="AR639" s="208"/>
      <c r="AS639" s="49"/>
      <c r="AT639" s="49"/>
      <c r="AU639" s="49"/>
      <c r="AV639" s="49"/>
      <c r="AW639" s="49"/>
      <c r="AX639" s="49"/>
      <c r="AY639" s="52"/>
      <c r="AZ639" s="23">
        <v>0.8</v>
      </c>
    </row>
    <row r="640" spans="1:53" ht="13.5" customHeight="1">
      <c r="A640" s="56"/>
      <c r="B640" s="50"/>
      <c r="C640" s="49"/>
      <c r="D640" s="49"/>
      <c r="E640" s="49"/>
      <c r="F640" s="49"/>
      <c r="G640" s="49"/>
      <c r="H640" s="49"/>
      <c r="I640" s="51"/>
      <c r="J640" s="350"/>
      <c r="K640" s="351"/>
      <c r="L640" s="101"/>
      <c r="M640" s="102"/>
      <c r="N640" s="102"/>
      <c r="O640" s="102"/>
      <c r="P640" s="102"/>
      <c r="Q640" s="102"/>
      <c r="R640" s="102"/>
      <c r="S640" s="49"/>
      <c r="T640" s="49"/>
      <c r="U640" s="49"/>
      <c r="V640" s="49"/>
      <c r="W640" s="49"/>
      <c r="X640" s="49"/>
      <c r="Y640" s="49"/>
      <c r="Z640" s="49"/>
      <c r="AA640" s="49"/>
      <c r="AB640" s="49"/>
      <c r="AC640" s="49"/>
      <c r="AD640" s="49"/>
      <c r="AE640" s="49"/>
      <c r="AF640" s="49"/>
      <c r="AG640" s="49"/>
      <c r="AH640" s="49"/>
      <c r="AI640" s="49"/>
      <c r="AJ640" s="49"/>
      <c r="AK640" s="49"/>
      <c r="AL640" s="49"/>
      <c r="AM640" s="49"/>
      <c r="AN640" s="49"/>
      <c r="AO640" s="49"/>
      <c r="AP640" s="49"/>
      <c r="AQ640" s="51"/>
      <c r="AR640" s="208"/>
      <c r="AS640" s="49"/>
      <c r="AT640" s="49"/>
      <c r="AU640" s="49"/>
      <c r="AV640" s="49"/>
      <c r="AW640" s="49"/>
      <c r="AX640" s="49"/>
      <c r="AY640" s="52"/>
    </row>
    <row r="641" spans="1:53" ht="13.5" customHeight="1">
      <c r="A641" s="56"/>
      <c r="B641" s="50"/>
      <c r="C641" s="49"/>
      <c r="D641" s="49"/>
      <c r="E641" s="49"/>
      <c r="F641" s="49"/>
      <c r="G641" s="49"/>
      <c r="H641" s="49"/>
      <c r="I641" s="51"/>
      <c r="J641" s="350"/>
      <c r="K641" s="351"/>
      <c r="L641" s="101" t="s">
        <v>995</v>
      </c>
      <c r="M641" s="102"/>
      <c r="N641" s="102"/>
      <c r="O641" s="103"/>
      <c r="P641" s="102"/>
      <c r="Q641" s="102"/>
      <c r="R641" s="102"/>
      <c r="S641" s="49"/>
      <c r="T641" s="49"/>
      <c r="U641" s="49"/>
      <c r="V641" s="49"/>
      <c r="W641" s="49"/>
      <c r="X641" s="49"/>
      <c r="Y641" s="49"/>
      <c r="Z641" s="49"/>
      <c r="AA641" s="49"/>
      <c r="AB641" s="49"/>
      <c r="AC641" s="49"/>
      <c r="AD641" s="49"/>
      <c r="AE641" s="49"/>
      <c r="AF641" s="49"/>
      <c r="AG641" s="49"/>
      <c r="AH641" s="49"/>
      <c r="AI641" s="49"/>
      <c r="AJ641" s="49"/>
      <c r="AK641" s="49"/>
      <c r="AL641" s="49"/>
      <c r="AM641" s="49"/>
      <c r="AN641" s="49"/>
      <c r="AO641" s="49"/>
      <c r="AP641" s="49"/>
      <c r="AQ641" s="51"/>
      <c r="AR641" s="208" t="s">
        <v>57</v>
      </c>
      <c r="AS641" s="49"/>
      <c r="AT641" s="49"/>
      <c r="AU641" s="49"/>
      <c r="AV641" s="49"/>
      <c r="AW641" s="49"/>
      <c r="AX641" s="49"/>
      <c r="AY641" s="52"/>
    </row>
    <row r="642" spans="1:53" ht="13.5" customHeight="1">
      <c r="A642" s="56"/>
      <c r="B642" s="50"/>
      <c r="C642" s="49"/>
      <c r="D642" s="49"/>
      <c r="E642" s="49"/>
      <c r="F642" s="49"/>
      <c r="G642" s="49"/>
      <c r="H642" s="49"/>
      <c r="I642" s="51"/>
      <c r="J642" s="350"/>
      <c r="K642" s="351"/>
      <c r="L642" s="101"/>
      <c r="M642" s="106" t="s">
        <v>107</v>
      </c>
      <c r="N642" s="102"/>
      <c r="O642" s="102"/>
      <c r="P642" s="102"/>
      <c r="Q642" s="102"/>
      <c r="R642" s="102"/>
      <c r="S642" s="49"/>
      <c r="T642" s="49"/>
      <c r="U642" s="49"/>
      <c r="V642" s="49"/>
      <c r="W642" s="49"/>
      <c r="X642" s="49"/>
      <c r="Y642" s="49"/>
      <c r="Z642" s="49"/>
      <c r="AA642" s="49"/>
      <c r="AB642" s="49"/>
      <c r="AC642" s="49"/>
      <c r="AD642" s="49"/>
      <c r="AE642" s="49"/>
      <c r="AF642" s="49"/>
      <c r="AG642" s="49"/>
      <c r="AH642" s="49"/>
      <c r="AI642" s="49"/>
      <c r="AJ642" s="49"/>
      <c r="AK642" s="49"/>
      <c r="AL642" s="49"/>
      <c r="AM642" s="49"/>
      <c r="AN642" s="49"/>
      <c r="AO642" s="49"/>
      <c r="AP642" s="49"/>
      <c r="AQ642" s="51"/>
      <c r="AR642" s="208" t="s">
        <v>102</v>
      </c>
      <c r="AS642" s="49"/>
      <c r="AT642" s="49"/>
      <c r="AU642" s="49"/>
      <c r="AV642" s="49"/>
      <c r="AW642" s="49"/>
      <c r="AX642" s="49"/>
      <c r="AY642" s="52"/>
    </row>
    <row r="643" spans="1:53" ht="13.5" customHeight="1">
      <c r="A643" s="56"/>
      <c r="B643" s="50"/>
      <c r="C643" s="49"/>
      <c r="D643" s="49"/>
      <c r="E643" s="49"/>
      <c r="F643" s="49"/>
      <c r="G643" s="49"/>
      <c r="H643" s="49"/>
      <c r="I643" s="51"/>
      <c r="J643" s="350"/>
      <c r="K643" s="351"/>
      <c r="L643" s="101"/>
      <c r="M643" s="106"/>
      <c r="N643" s="102"/>
      <c r="O643" s="102"/>
      <c r="P643" s="102"/>
      <c r="Q643" s="102"/>
      <c r="R643" s="102"/>
      <c r="S643" s="49"/>
      <c r="T643" s="49"/>
      <c r="U643" s="49"/>
      <c r="V643" s="49"/>
      <c r="W643" s="49"/>
      <c r="X643" s="49"/>
      <c r="Y643" s="49"/>
      <c r="Z643" s="49"/>
      <c r="AA643" s="49"/>
      <c r="AB643" s="49"/>
      <c r="AC643" s="49"/>
      <c r="AD643" s="49"/>
      <c r="AE643" s="49"/>
      <c r="AF643" s="49"/>
      <c r="AG643" s="49"/>
      <c r="AH643" s="49"/>
      <c r="AI643" s="49"/>
      <c r="AJ643" s="49"/>
      <c r="AK643" s="49"/>
      <c r="AL643" s="49"/>
      <c r="AM643" s="49"/>
      <c r="AN643" s="49"/>
      <c r="AO643" s="49"/>
      <c r="AP643" s="49"/>
      <c r="AQ643" s="51"/>
      <c r="AR643" s="208"/>
      <c r="AS643" s="49"/>
      <c r="AT643" s="49"/>
      <c r="AU643" s="49"/>
      <c r="AV643" s="49"/>
      <c r="AW643" s="49"/>
      <c r="AX643" s="49"/>
      <c r="AY643" s="52"/>
    </row>
    <row r="644" spans="1:53" ht="13.5" customHeight="1">
      <c r="A644" s="56"/>
      <c r="B644" s="50"/>
      <c r="C644" s="49"/>
      <c r="D644" s="49"/>
      <c r="E644" s="49"/>
      <c r="F644" s="49"/>
      <c r="G644" s="49"/>
      <c r="H644" s="49"/>
      <c r="I644" s="51"/>
      <c r="J644" s="350"/>
      <c r="K644" s="351"/>
      <c r="L644" s="101" t="s">
        <v>996</v>
      </c>
      <c r="M644" s="106"/>
      <c r="N644" s="102"/>
      <c r="O644" s="102"/>
      <c r="P644" s="102"/>
      <c r="Q644" s="102"/>
      <c r="R644" s="102"/>
      <c r="S644" s="49"/>
      <c r="T644" s="49"/>
      <c r="U644" s="49"/>
      <c r="V644" s="49"/>
      <c r="W644" s="49"/>
      <c r="X644" s="49"/>
      <c r="Y644" s="49"/>
      <c r="Z644" s="49"/>
      <c r="AA644" s="49"/>
      <c r="AB644" s="49"/>
      <c r="AC644" s="49"/>
      <c r="AD644" s="49"/>
      <c r="AE644" s="49"/>
      <c r="AF644" s="49"/>
      <c r="AG644" s="49"/>
      <c r="AH644" s="49"/>
      <c r="AI644" s="49"/>
      <c r="AJ644" s="49"/>
      <c r="AK644" s="49"/>
      <c r="AL644" s="49"/>
      <c r="AM644" s="49"/>
      <c r="AN644" s="49"/>
      <c r="AO644" s="49"/>
      <c r="AP644" s="49"/>
      <c r="AQ644" s="51"/>
      <c r="AR644" s="208" t="s">
        <v>154</v>
      </c>
      <c r="AS644" s="49"/>
      <c r="AT644" s="49"/>
      <c r="AU644" s="49"/>
      <c r="AV644" s="49"/>
      <c r="AW644" s="49"/>
      <c r="AX644" s="49"/>
      <c r="AY644" s="52" t="s">
        <v>146</v>
      </c>
    </row>
    <row r="645" spans="1:53" ht="13.5" customHeight="1">
      <c r="A645" s="56"/>
      <c r="B645" s="50"/>
      <c r="C645" s="49"/>
      <c r="D645" s="49"/>
      <c r="E645" s="49"/>
      <c r="F645" s="49"/>
      <c r="G645" s="49"/>
      <c r="H645" s="49"/>
      <c r="I645" s="51"/>
      <c r="J645" s="350"/>
      <c r="K645" s="351"/>
      <c r="L645" s="101"/>
      <c r="M645" s="106"/>
      <c r="N645" s="102"/>
      <c r="O645" s="102"/>
      <c r="P645" s="102"/>
      <c r="Q645" s="102"/>
      <c r="R645" s="102"/>
      <c r="S645" s="49"/>
      <c r="T645" s="49"/>
      <c r="U645" s="49"/>
      <c r="V645" s="49"/>
      <c r="W645" s="49"/>
      <c r="X645" s="49"/>
      <c r="Y645" s="49"/>
      <c r="Z645" s="49"/>
      <c r="AA645" s="49"/>
      <c r="AB645" s="49"/>
      <c r="AC645" s="49"/>
      <c r="AD645" s="49"/>
      <c r="AE645" s="49"/>
      <c r="AF645" s="49"/>
      <c r="AG645" s="49"/>
      <c r="AH645" s="49"/>
      <c r="AI645" s="49"/>
      <c r="AJ645" s="49"/>
      <c r="AK645" s="49"/>
      <c r="AL645" s="49"/>
      <c r="AM645" s="49"/>
      <c r="AN645" s="49"/>
      <c r="AO645" s="49"/>
      <c r="AP645" s="49"/>
      <c r="AQ645" s="51"/>
      <c r="AR645" s="208" t="s">
        <v>156</v>
      </c>
      <c r="AS645" s="49"/>
      <c r="AT645" s="49"/>
      <c r="AU645" s="49"/>
      <c r="AV645" s="49"/>
      <c r="AW645" s="49"/>
      <c r="AX645" s="49"/>
      <c r="AY645" s="52"/>
    </row>
    <row r="646" spans="1:53" ht="13.5" customHeight="1">
      <c r="A646" s="56"/>
      <c r="B646" s="50"/>
      <c r="C646" s="49"/>
      <c r="D646" s="49"/>
      <c r="E646" s="49"/>
      <c r="F646" s="49"/>
      <c r="G646" s="49"/>
      <c r="H646" s="49"/>
      <c r="I646" s="51"/>
      <c r="J646" s="350"/>
      <c r="K646" s="351"/>
      <c r="L646" s="101"/>
      <c r="M646" s="106"/>
      <c r="N646" s="102"/>
      <c r="O646" s="102"/>
      <c r="P646" s="102"/>
      <c r="Q646" s="102"/>
      <c r="R646" s="102"/>
      <c r="S646" s="49"/>
      <c r="T646" s="49"/>
      <c r="U646" s="49"/>
      <c r="V646" s="49"/>
      <c r="W646" s="49"/>
      <c r="X646" s="49"/>
      <c r="Y646" s="49"/>
      <c r="Z646" s="49"/>
      <c r="AA646" s="49"/>
      <c r="AB646" s="49"/>
      <c r="AC646" s="49"/>
      <c r="AD646" s="49"/>
      <c r="AE646" s="49"/>
      <c r="AF646" s="49"/>
      <c r="AG646" s="49"/>
      <c r="AH646" s="49"/>
      <c r="AI646" s="49"/>
      <c r="AJ646" s="49"/>
      <c r="AK646" s="49"/>
      <c r="AL646" s="49"/>
      <c r="AM646" s="49"/>
      <c r="AN646" s="49"/>
      <c r="AO646" s="49"/>
      <c r="AP646" s="49"/>
      <c r="AQ646" s="51"/>
      <c r="AR646" s="208"/>
      <c r="AS646" s="49"/>
      <c r="AT646" s="49"/>
      <c r="AU646" s="49"/>
      <c r="AV646" s="49"/>
      <c r="AW646" s="49"/>
      <c r="AX646" s="49"/>
      <c r="AY646" s="52"/>
    </row>
    <row r="647" spans="1:53" ht="13.5" customHeight="1">
      <c r="A647" s="56"/>
      <c r="B647" s="50"/>
      <c r="C647" s="49"/>
      <c r="D647" s="49"/>
      <c r="E647" s="49"/>
      <c r="F647" s="49"/>
      <c r="G647" s="49"/>
      <c r="H647" s="49"/>
      <c r="I647" s="51"/>
      <c r="J647" s="350"/>
      <c r="K647" s="351"/>
      <c r="L647" s="101"/>
      <c r="M647" s="106" t="s">
        <v>838</v>
      </c>
      <c r="N647" s="102"/>
      <c r="O647" s="102"/>
      <c r="P647" s="102"/>
      <c r="Q647" s="102"/>
      <c r="R647" s="102"/>
      <c r="S647" s="49"/>
      <c r="T647" s="49"/>
      <c r="U647" s="49"/>
      <c r="V647" s="49"/>
      <c r="W647" s="49"/>
      <c r="X647" s="49"/>
      <c r="Y647" s="49"/>
      <c r="Z647" s="49"/>
      <c r="AA647" s="49"/>
      <c r="AB647" s="49"/>
      <c r="AC647" s="49"/>
      <c r="AD647" s="49"/>
      <c r="AE647" s="49"/>
      <c r="AF647" s="49"/>
      <c r="AG647" s="49"/>
      <c r="AH647" s="49"/>
      <c r="AI647" s="49"/>
      <c r="AJ647" s="49"/>
      <c r="AK647" s="49"/>
      <c r="AL647" s="49"/>
      <c r="AM647" s="49"/>
      <c r="AN647" s="49"/>
      <c r="AO647" s="49"/>
      <c r="AP647" s="49"/>
      <c r="AQ647" s="51"/>
      <c r="AR647" s="208" t="s">
        <v>839</v>
      </c>
      <c r="AS647" s="49"/>
      <c r="AT647" s="49"/>
      <c r="AU647" s="49"/>
      <c r="AV647" s="49"/>
      <c r="AW647" s="49"/>
      <c r="AX647" s="49"/>
      <c r="AY647" s="52"/>
    </row>
    <row r="648" spans="1:53" ht="13.5" customHeight="1">
      <c r="A648" s="56"/>
      <c r="B648" s="50"/>
      <c r="C648" s="49"/>
      <c r="D648" s="49"/>
      <c r="E648" s="49"/>
      <c r="F648" s="49"/>
      <c r="G648" s="49"/>
      <c r="H648" s="49"/>
      <c r="I648" s="51"/>
      <c r="J648" s="350"/>
      <c r="K648" s="351"/>
      <c r="L648" s="101"/>
      <c r="M648" s="106"/>
      <c r="N648" s="102"/>
      <c r="O648" s="102"/>
      <c r="P648" s="102"/>
      <c r="Q648" s="102"/>
      <c r="R648" s="102"/>
      <c r="S648" s="49"/>
      <c r="T648" s="49"/>
      <c r="U648" s="49"/>
      <c r="V648" s="49"/>
      <c r="W648" s="49"/>
      <c r="X648" s="49"/>
      <c r="Y648" s="49"/>
      <c r="Z648" s="49"/>
      <c r="AA648" s="49"/>
      <c r="AB648" s="49"/>
      <c r="AC648" s="49"/>
      <c r="AD648" s="49"/>
      <c r="AE648" s="49"/>
      <c r="AF648" s="49"/>
      <c r="AG648" s="49"/>
      <c r="AH648" s="49"/>
      <c r="AI648" s="49"/>
      <c r="AJ648" s="49"/>
      <c r="AK648" s="49"/>
      <c r="AL648" s="49"/>
      <c r="AM648" s="49"/>
      <c r="AN648" s="49"/>
      <c r="AO648" s="49"/>
      <c r="AP648" s="49"/>
      <c r="AQ648" s="51"/>
      <c r="AR648" s="208"/>
      <c r="AS648" s="49"/>
      <c r="AT648" s="49"/>
      <c r="AU648" s="49"/>
      <c r="AV648" s="49"/>
      <c r="AW648" s="49"/>
      <c r="AX648" s="49"/>
      <c r="AY648" s="52"/>
    </row>
    <row r="649" spans="1:53" ht="13.5" customHeight="1">
      <c r="A649" s="56"/>
      <c r="B649" s="50"/>
      <c r="C649" s="49"/>
      <c r="D649" s="49"/>
      <c r="E649" s="49"/>
      <c r="F649" s="49"/>
      <c r="G649" s="49"/>
      <c r="H649" s="49"/>
      <c r="I649" s="51"/>
      <c r="J649" s="350"/>
      <c r="K649" s="351"/>
      <c r="L649" s="101" t="s">
        <v>748</v>
      </c>
      <c r="M649" s="495"/>
      <c r="N649" s="158"/>
      <c r="O649" s="158"/>
      <c r="P649" s="158"/>
      <c r="Q649" s="158"/>
      <c r="R649" s="158"/>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60"/>
      <c r="AR649" s="215" t="s">
        <v>154</v>
      </c>
      <c r="AS649" s="159"/>
      <c r="AT649" s="159"/>
      <c r="AU649" s="159"/>
      <c r="AV649" s="159"/>
      <c r="AW649" s="159"/>
      <c r="AX649" s="159"/>
      <c r="AY649" s="161"/>
      <c r="AZ649" s="23">
        <v>0.11</v>
      </c>
      <c r="BA649" s="23">
        <v>3.3</v>
      </c>
    </row>
    <row r="650" spans="1:53" ht="13.5" customHeight="1">
      <c r="A650" s="56"/>
      <c r="B650" s="50"/>
      <c r="C650" s="49"/>
      <c r="D650" s="49"/>
      <c r="E650" s="49"/>
      <c r="F650" s="49"/>
      <c r="G650" s="49"/>
      <c r="H650" s="49"/>
      <c r="I650" s="51"/>
      <c r="J650" s="350"/>
      <c r="K650" s="351"/>
      <c r="L650" s="101"/>
      <c r="M650" s="495" t="s">
        <v>750</v>
      </c>
      <c r="N650" s="158"/>
      <c r="O650" s="158"/>
      <c r="P650" s="158"/>
      <c r="Q650" s="158"/>
      <c r="R650" s="158"/>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60"/>
      <c r="AR650" s="215" t="s">
        <v>749</v>
      </c>
      <c r="AS650" s="159"/>
      <c r="AT650" s="159"/>
      <c r="AU650" s="159"/>
      <c r="AV650" s="159"/>
      <c r="AW650" s="159"/>
      <c r="AX650" s="159"/>
      <c r="AY650" s="161"/>
      <c r="AZ650" s="23">
        <v>0.11</v>
      </c>
      <c r="BA650" s="23">
        <v>3.3</v>
      </c>
    </row>
    <row r="651" spans="1:53" ht="13.5" customHeight="1">
      <c r="A651" s="56"/>
      <c r="B651" s="50"/>
      <c r="C651" s="49"/>
      <c r="D651" s="49"/>
      <c r="E651" s="49"/>
      <c r="F651" s="49"/>
      <c r="G651" s="49"/>
      <c r="H651" s="49"/>
      <c r="I651" s="51"/>
      <c r="J651" s="350"/>
      <c r="K651" s="351"/>
      <c r="L651" s="101"/>
      <c r="M651" s="495"/>
      <c r="N651" s="158" t="s">
        <v>751</v>
      </c>
      <c r="O651" s="158"/>
      <c r="P651" s="158"/>
      <c r="Q651" s="158"/>
      <c r="R651" s="158"/>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60"/>
      <c r="AR651" s="215"/>
      <c r="AS651" s="159"/>
      <c r="AT651" s="159"/>
      <c r="AU651" s="159"/>
      <c r="AV651" s="159"/>
      <c r="AW651" s="159"/>
      <c r="AX651" s="159"/>
      <c r="AY651" s="161"/>
      <c r="AZ651" s="23">
        <v>0.11</v>
      </c>
      <c r="BA651" s="23">
        <v>3.3</v>
      </c>
    </row>
    <row r="652" spans="1:53" ht="13.5" customHeight="1" thickBot="1">
      <c r="A652" s="321"/>
      <c r="B652" s="322"/>
      <c r="C652" s="323"/>
      <c r="D652" s="323"/>
      <c r="E652" s="323"/>
      <c r="F652" s="323"/>
      <c r="G652" s="323"/>
      <c r="H652" s="323"/>
      <c r="I652" s="324"/>
      <c r="J652" s="354"/>
      <c r="K652" s="355"/>
      <c r="L652" s="336"/>
      <c r="M652" s="337"/>
      <c r="N652" s="338"/>
      <c r="O652" s="338"/>
      <c r="P652" s="338"/>
      <c r="Q652" s="338"/>
      <c r="R652" s="338"/>
      <c r="S652" s="323"/>
      <c r="T652" s="323"/>
      <c r="U652" s="323"/>
      <c r="V652" s="323"/>
      <c r="W652" s="323"/>
      <c r="X652" s="323"/>
      <c r="Y652" s="323"/>
      <c r="Z652" s="323"/>
      <c r="AA652" s="323"/>
      <c r="AB652" s="323"/>
      <c r="AC652" s="323"/>
      <c r="AD652" s="323"/>
      <c r="AE652" s="323"/>
      <c r="AF652" s="323"/>
      <c r="AG652" s="323"/>
      <c r="AH652" s="323"/>
      <c r="AI652" s="323"/>
      <c r="AJ652" s="323"/>
      <c r="AK652" s="323"/>
      <c r="AL652" s="323"/>
      <c r="AM652" s="323"/>
      <c r="AN652" s="323"/>
      <c r="AO652" s="323"/>
      <c r="AP652" s="323"/>
      <c r="AQ652" s="324"/>
      <c r="AR652" s="327"/>
      <c r="AS652" s="323"/>
      <c r="AT652" s="323"/>
      <c r="AU652" s="323"/>
      <c r="AV652" s="323"/>
      <c r="AW652" s="323"/>
      <c r="AX652" s="323"/>
      <c r="AY652" s="328"/>
    </row>
    <row r="653" spans="1:53" ht="13.5" customHeight="1">
      <c r="A653" s="56"/>
      <c r="B653" s="50"/>
      <c r="C653" s="49"/>
      <c r="D653" s="49"/>
      <c r="E653" s="49"/>
      <c r="F653" s="49"/>
      <c r="G653" s="49"/>
      <c r="H653" s="49"/>
      <c r="I653" s="51"/>
      <c r="J653" s="350"/>
      <c r="K653" s="351"/>
      <c r="L653" s="101" t="s">
        <v>997</v>
      </c>
      <c r="M653" s="106"/>
      <c r="N653" s="102"/>
      <c r="O653" s="102"/>
      <c r="P653" s="102"/>
      <c r="Q653" s="102"/>
      <c r="R653" s="102"/>
      <c r="S653" s="49"/>
      <c r="T653" s="49"/>
      <c r="U653" s="49"/>
      <c r="V653" s="49"/>
      <c r="W653" s="49"/>
      <c r="X653" s="49"/>
      <c r="Y653" s="49"/>
      <c r="Z653" s="49"/>
      <c r="AA653" s="49"/>
      <c r="AB653" s="49"/>
      <c r="AC653" s="49"/>
      <c r="AD653" s="49"/>
      <c r="AE653" s="49"/>
      <c r="AF653" s="49"/>
      <c r="AG653" s="49"/>
      <c r="AH653" s="49"/>
      <c r="AI653" s="49"/>
      <c r="AJ653" s="49"/>
      <c r="AK653" s="49"/>
      <c r="AL653" s="49"/>
      <c r="AM653" s="49"/>
      <c r="AN653" s="49"/>
      <c r="AO653" s="49"/>
      <c r="AP653" s="49"/>
      <c r="AQ653" s="51"/>
      <c r="AR653" s="208"/>
      <c r="AS653" s="49"/>
      <c r="AT653" s="49"/>
      <c r="AU653" s="49"/>
      <c r="AV653" s="49"/>
      <c r="AW653" s="49"/>
      <c r="AX653" s="49"/>
      <c r="AY653" s="52"/>
      <c r="AZ653" s="23">
        <v>0.11</v>
      </c>
    </row>
    <row r="654" spans="1:53" ht="13.5" customHeight="1">
      <c r="A654" s="56"/>
      <c r="B654" s="50"/>
      <c r="C654" s="49"/>
      <c r="D654" s="49"/>
      <c r="E654" s="49"/>
      <c r="F654" s="49"/>
      <c r="G654" s="49"/>
      <c r="H654" s="49"/>
      <c r="I654" s="51"/>
      <c r="J654" s="350"/>
      <c r="K654" s="351"/>
      <c r="L654" s="101"/>
      <c r="M654" s="106" t="s">
        <v>998</v>
      </c>
      <c r="N654" s="102"/>
      <c r="O654" s="102"/>
      <c r="P654" s="102"/>
      <c r="Q654" s="102"/>
      <c r="R654" s="102"/>
      <c r="S654" s="49"/>
      <c r="T654" s="49"/>
      <c r="U654" s="49"/>
      <c r="V654" s="49"/>
      <c r="W654" s="49"/>
      <c r="X654" s="49"/>
      <c r="Y654" s="49"/>
      <c r="Z654" s="49"/>
      <c r="AA654" s="49"/>
      <c r="AB654" s="49"/>
      <c r="AC654" s="49"/>
      <c r="AD654" s="49"/>
      <c r="AE654" s="49"/>
      <c r="AF654" s="49"/>
      <c r="AG654" s="49"/>
      <c r="AH654" s="49"/>
      <c r="AI654" s="49"/>
      <c r="AJ654" s="49"/>
      <c r="AK654" s="49"/>
      <c r="AL654" s="49"/>
      <c r="AM654" s="49"/>
      <c r="AN654" s="49"/>
      <c r="AO654" s="49"/>
      <c r="AP654" s="49"/>
      <c r="AQ654" s="51"/>
      <c r="AR654" s="208"/>
      <c r="AS654" s="49"/>
      <c r="AT654" s="49"/>
      <c r="AU654" s="49"/>
      <c r="AV654" s="49"/>
      <c r="AW654" s="49"/>
      <c r="AX654" s="49"/>
      <c r="AY654" s="52"/>
      <c r="AZ654" s="23">
        <v>0.11</v>
      </c>
    </row>
    <row r="655" spans="1:53" ht="13.5" customHeight="1">
      <c r="A655" s="56"/>
      <c r="B655" s="50"/>
      <c r="C655" s="49"/>
      <c r="D655" s="49"/>
      <c r="E655" s="49"/>
      <c r="F655" s="49"/>
      <c r="G655" s="49"/>
      <c r="H655" s="49"/>
      <c r="I655" s="51"/>
      <c r="J655" s="350"/>
      <c r="K655" s="351"/>
      <c r="L655" s="520"/>
      <c r="M655" s="541"/>
      <c r="N655" s="505" t="s">
        <v>764</v>
      </c>
      <c r="O655" s="505"/>
      <c r="P655" s="505"/>
      <c r="Q655" s="505"/>
      <c r="R655" s="505"/>
      <c r="S655" s="139"/>
      <c r="T655" s="139"/>
      <c r="U655" s="139"/>
      <c r="V655" s="139"/>
      <c r="W655" s="139"/>
      <c r="X655" s="139"/>
      <c r="Y655" s="139"/>
      <c r="Z655" s="139"/>
      <c r="AA655" s="49"/>
      <c r="AB655" s="49"/>
      <c r="AC655" s="49"/>
      <c r="AD655" s="49"/>
      <c r="AE655" s="49"/>
      <c r="AF655" s="49"/>
      <c r="AG655" s="49"/>
      <c r="AH655" s="49"/>
      <c r="AI655" s="49"/>
      <c r="AJ655" s="49"/>
      <c r="AK655" s="49"/>
      <c r="AL655" s="49"/>
      <c r="AM655" s="49"/>
      <c r="AN655" s="49"/>
      <c r="AO655" s="49"/>
      <c r="AP655" s="49"/>
      <c r="AQ655" s="51"/>
      <c r="AR655" s="208"/>
      <c r="AS655" s="49"/>
      <c r="AT655" s="49"/>
      <c r="AU655" s="49"/>
      <c r="AV655" s="49"/>
      <c r="AW655" s="49"/>
      <c r="AX655" s="49"/>
      <c r="AY655" s="52"/>
      <c r="AZ655" s="23">
        <v>0.11</v>
      </c>
    </row>
    <row r="656" spans="1:53" ht="13.5" customHeight="1">
      <c r="A656" s="56"/>
      <c r="B656" s="50"/>
      <c r="C656" s="49"/>
      <c r="D656" s="49"/>
      <c r="E656" s="49"/>
      <c r="F656" s="49"/>
      <c r="G656" s="49"/>
      <c r="H656" s="49"/>
      <c r="I656" s="51"/>
      <c r="J656" s="350"/>
      <c r="K656" s="351"/>
      <c r="L656" s="520"/>
      <c r="M656" s="541"/>
      <c r="N656" s="505" t="s">
        <v>765</v>
      </c>
      <c r="O656" s="505"/>
      <c r="P656" s="505"/>
      <c r="Q656" s="505"/>
      <c r="R656" s="505"/>
      <c r="S656" s="139"/>
      <c r="T656" s="139"/>
      <c r="U656" s="139"/>
      <c r="V656" s="139"/>
      <c r="W656" s="139"/>
      <c r="X656" s="139"/>
      <c r="Y656" s="139"/>
      <c r="Z656" s="139"/>
      <c r="AA656" s="49"/>
      <c r="AB656" s="49"/>
      <c r="AC656" s="49"/>
      <c r="AD656" s="49"/>
      <c r="AE656" s="49"/>
      <c r="AF656" s="49"/>
      <c r="AG656" s="49"/>
      <c r="AH656" s="49"/>
      <c r="AI656" s="49"/>
      <c r="AJ656" s="49"/>
      <c r="AK656" s="49"/>
      <c r="AL656" s="49"/>
      <c r="AM656" s="49"/>
      <c r="AN656" s="49"/>
      <c r="AO656" s="49"/>
      <c r="AP656" s="49"/>
      <c r="AQ656" s="51"/>
      <c r="AR656" s="49" t="s">
        <v>953</v>
      </c>
      <c r="AS656" s="49"/>
      <c r="AT656" s="49"/>
      <c r="AU656" s="49"/>
      <c r="AV656" s="49"/>
      <c r="AW656" s="49"/>
      <c r="AX656" s="49"/>
      <c r="AY656" s="52"/>
      <c r="AZ656" s="23">
        <v>0.11</v>
      </c>
    </row>
    <row r="657" spans="1:52" ht="13.5" customHeight="1">
      <c r="A657" s="56"/>
      <c r="B657" s="50"/>
      <c r="C657" s="49"/>
      <c r="D657" s="49"/>
      <c r="E657" s="49"/>
      <c r="F657" s="49"/>
      <c r="G657" s="49"/>
      <c r="H657" s="49"/>
      <c r="I657" s="51"/>
      <c r="J657" s="350"/>
      <c r="K657" s="351"/>
      <c r="L657" s="520"/>
      <c r="M657" s="541"/>
      <c r="N657" s="505" t="s">
        <v>730</v>
      </c>
      <c r="O657" s="505"/>
      <c r="P657" s="505"/>
      <c r="Q657" s="505"/>
      <c r="R657" s="505"/>
      <c r="S657" s="139"/>
      <c r="T657" s="139"/>
      <c r="U657" s="139"/>
      <c r="V657" s="139"/>
      <c r="W657" s="139"/>
      <c r="X657" s="139"/>
      <c r="Y657" s="139"/>
      <c r="Z657" s="139"/>
      <c r="AA657" s="49"/>
      <c r="AB657" s="49"/>
      <c r="AC657" s="49"/>
      <c r="AD657" s="49"/>
      <c r="AE657" s="49"/>
      <c r="AF657" s="49"/>
      <c r="AG657" s="49"/>
      <c r="AH657" s="49"/>
      <c r="AI657" s="49"/>
      <c r="AJ657" s="49"/>
      <c r="AK657" s="49"/>
      <c r="AL657" s="49"/>
      <c r="AM657" s="49"/>
      <c r="AN657" s="49"/>
      <c r="AO657" s="49"/>
      <c r="AP657" s="49"/>
      <c r="AQ657" s="51"/>
      <c r="AR657" s="208" t="s">
        <v>954</v>
      </c>
      <c r="AS657" s="49"/>
      <c r="AT657" s="49"/>
      <c r="AU657" s="49"/>
      <c r="AV657" s="49"/>
      <c r="AW657" s="49"/>
      <c r="AX657" s="49"/>
      <c r="AY657" s="52"/>
      <c r="AZ657" s="23">
        <v>0.11</v>
      </c>
    </row>
    <row r="658" spans="1:52" ht="13.5" customHeight="1">
      <c r="A658" s="56"/>
      <c r="B658" s="50"/>
      <c r="C658" s="49"/>
      <c r="D658" s="49"/>
      <c r="E658" s="49"/>
      <c r="F658" s="49"/>
      <c r="G658" s="49"/>
      <c r="H658" s="49"/>
      <c r="I658" s="51"/>
      <c r="J658" s="350"/>
      <c r="K658" s="351"/>
      <c r="L658" s="520"/>
      <c r="M658" s="541"/>
      <c r="N658" s="505" t="s">
        <v>731</v>
      </c>
      <c r="O658" s="505"/>
      <c r="P658" s="505"/>
      <c r="Q658" s="505"/>
      <c r="R658" s="505"/>
      <c r="S658" s="139"/>
      <c r="T658" s="139"/>
      <c r="U658" s="139"/>
      <c r="V658" s="139"/>
      <c r="W658" s="558"/>
      <c r="X658" s="139"/>
      <c r="Y658" s="139"/>
      <c r="Z658" s="139"/>
      <c r="AA658" s="49"/>
      <c r="AB658" s="49"/>
      <c r="AC658" s="49"/>
      <c r="AD658" s="49"/>
      <c r="AE658" s="49"/>
      <c r="AF658" s="49"/>
      <c r="AG658" s="49"/>
      <c r="AH658" s="49"/>
      <c r="AI658" s="49"/>
      <c r="AJ658" s="49"/>
      <c r="AK658" s="49"/>
      <c r="AL658" s="49"/>
      <c r="AM658" s="49"/>
      <c r="AN658" s="49"/>
      <c r="AO658" s="49"/>
      <c r="AP658" s="49"/>
      <c r="AQ658" s="51"/>
      <c r="AR658" s="208"/>
      <c r="AS658" s="49"/>
      <c r="AT658" s="49"/>
      <c r="AU658" s="49"/>
      <c r="AV658" s="49"/>
      <c r="AW658" s="49"/>
      <c r="AX658" s="49"/>
      <c r="AY658" s="52"/>
      <c r="AZ658" s="23">
        <v>0.11</v>
      </c>
    </row>
    <row r="659" spans="1:52" s="297" customFormat="1" ht="13.5" customHeight="1">
      <c r="A659" s="56"/>
      <c r="B659" s="50"/>
      <c r="C659" s="49"/>
      <c r="D659" s="49"/>
      <c r="E659" s="49"/>
      <c r="F659" s="49"/>
      <c r="G659" s="49"/>
      <c r="H659" s="49"/>
      <c r="I659" s="51"/>
      <c r="J659" s="350"/>
      <c r="K659" s="351"/>
      <c r="L659" s="520"/>
      <c r="M659" s="541"/>
      <c r="N659" s="505" t="s">
        <v>732</v>
      </c>
      <c r="O659" s="505"/>
      <c r="P659" s="505"/>
      <c r="Q659" s="505"/>
      <c r="R659" s="505"/>
      <c r="S659" s="139"/>
      <c r="T659" s="139"/>
      <c r="U659" s="139"/>
      <c r="V659" s="139"/>
      <c r="W659" s="139"/>
      <c r="X659" s="139"/>
      <c r="Y659" s="139"/>
      <c r="Z659" s="139"/>
      <c r="AA659" s="49"/>
      <c r="AB659" s="49"/>
      <c r="AC659" s="49"/>
      <c r="AD659" s="49"/>
      <c r="AE659" s="49"/>
      <c r="AF659" s="49"/>
      <c r="AG659" s="49"/>
      <c r="AH659" s="49"/>
      <c r="AI659" s="49"/>
      <c r="AJ659" s="49"/>
      <c r="AK659" s="49"/>
      <c r="AL659" s="49"/>
      <c r="AM659" s="49"/>
      <c r="AN659" s="49"/>
      <c r="AO659" s="49"/>
      <c r="AP659" s="49"/>
      <c r="AQ659" s="51"/>
      <c r="AR659" s="208"/>
      <c r="AS659" s="49"/>
      <c r="AT659" s="49"/>
      <c r="AU659" s="49"/>
      <c r="AV659" s="49"/>
      <c r="AW659" s="49"/>
      <c r="AX659" s="49"/>
      <c r="AY659" s="52"/>
      <c r="AZ659" s="297">
        <v>0.11</v>
      </c>
    </row>
    <row r="660" spans="1:52" ht="13.5" customHeight="1">
      <c r="A660" s="56"/>
      <c r="B660" s="50"/>
      <c r="C660" s="49"/>
      <c r="D660" s="49"/>
      <c r="E660" s="49"/>
      <c r="F660" s="49"/>
      <c r="G660" s="49"/>
      <c r="H660" s="49"/>
      <c r="I660" s="51"/>
      <c r="J660" s="350"/>
      <c r="K660" s="351"/>
      <c r="L660" s="101"/>
      <c r="M660" s="106" t="s">
        <v>999</v>
      </c>
      <c r="N660" s="102"/>
      <c r="O660" s="102"/>
      <c r="P660" s="102"/>
      <c r="Q660" s="102"/>
      <c r="R660" s="102"/>
      <c r="S660" s="49"/>
      <c r="T660" s="49"/>
      <c r="U660" s="49"/>
      <c r="V660" s="49"/>
      <c r="W660" s="49"/>
      <c r="X660" s="49"/>
      <c r="Y660" s="49"/>
      <c r="Z660" s="49"/>
      <c r="AA660" s="49"/>
      <c r="AB660" s="49"/>
      <c r="AC660" s="49"/>
      <c r="AD660" s="49"/>
      <c r="AE660" s="49"/>
      <c r="AF660" s="49"/>
      <c r="AG660" s="49"/>
      <c r="AH660" s="49"/>
      <c r="AI660" s="49"/>
      <c r="AJ660" s="49"/>
      <c r="AK660" s="49"/>
      <c r="AL660" s="49"/>
      <c r="AM660" s="49"/>
      <c r="AN660" s="49"/>
      <c r="AO660" s="49"/>
      <c r="AP660" s="49"/>
      <c r="AQ660" s="51"/>
      <c r="AR660" s="208"/>
      <c r="AS660" s="49"/>
      <c r="AT660" s="49"/>
      <c r="AU660" s="49"/>
      <c r="AV660" s="49"/>
      <c r="AW660" s="49"/>
      <c r="AX660" s="49"/>
      <c r="AY660" s="52"/>
      <c r="AZ660" s="23">
        <v>0.11</v>
      </c>
    </row>
    <row r="661" spans="1:52" ht="13.5" customHeight="1">
      <c r="A661" s="56"/>
      <c r="B661" s="50"/>
      <c r="C661" s="49"/>
      <c r="D661" s="49"/>
      <c r="E661" s="49"/>
      <c r="F661" s="49"/>
      <c r="G661" s="49"/>
      <c r="H661" s="49"/>
      <c r="I661" s="51"/>
      <c r="J661" s="350"/>
      <c r="K661" s="351"/>
      <c r="L661" s="101"/>
      <c r="M661" s="541"/>
      <c r="N661" s="505" t="s">
        <v>733</v>
      </c>
      <c r="O661" s="505"/>
      <c r="P661" s="505"/>
      <c r="Q661" s="505"/>
      <c r="R661" s="505"/>
      <c r="S661" s="139"/>
      <c r="T661" s="139"/>
      <c r="U661" s="139"/>
      <c r="V661" s="139"/>
      <c r="W661" s="139"/>
      <c r="X661" s="139"/>
      <c r="Y661" s="139"/>
      <c r="Z661" s="139"/>
      <c r="AA661" s="139"/>
      <c r="AB661" s="49"/>
      <c r="AC661" s="49"/>
      <c r="AD661" s="49"/>
      <c r="AE661" s="49"/>
      <c r="AF661" s="49"/>
      <c r="AG661" s="49"/>
      <c r="AH661" s="49"/>
      <c r="AI661" s="49"/>
      <c r="AJ661" s="49"/>
      <c r="AK661" s="49"/>
      <c r="AL661" s="49"/>
      <c r="AM661" s="49"/>
      <c r="AN661" s="49"/>
      <c r="AO661" s="49"/>
      <c r="AP661" s="49"/>
      <c r="AQ661" s="51"/>
      <c r="AR661" s="208"/>
      <c r="AS661" s="49"/>
      <c r="AT661" s="49"/>
      <c r="AU661" s="49"/>
      <c r="AV661" s="49"/>
      <c r="AW661" s="49"/>
      <c r="AX661" s="49"/>
      <c r="AY661" s="52"/>
      <c r="AZ661" s="23">
        <v>0.11</v>
      </c>
    </row>
    <row r="662" spans="1:52" ht="13.5" customHeight="1">
      <c r="A662" s="56"/>
      <c r="B662" s="50"/>
      <c r="C662" s="49"/>
      <c r="D662" s="49"/>
      <c r="E662" s="49"/>
      <c r="F662" s="49"/>
      <c r="G662" s="49"/>
      <c r="H662" s="49"/>
      <c r="I662" s="51"/>
      <c r="J662" s="350"/>
      <c r="K662" s="351"/>
      <c r="L662" s="101"/>
      <c r="M662" s="541"/>
      <c r="N662" s="505" t="s">
        <v>729</v>
      </c>
      <c r="O662" s="505"/>
      <c r="P662" s="505"/>
      <c r="Q662" s="505"/>
      <c r="R662" s="505"/>
      <c r="S662" s="139"/>
      <c r="T662" s="139"/>
      <c r="U662" s="139"/>
      <c r="V662" s="139"/>
      <c r="W662" s="139"/>
      <c r="X662" s="139"/>
      <c r="Y662" s="139"/>
      <c r="Z662" s="139"/>
      <c r="AA662" s="139"/>
      <c r="AB662" s="49"/>
      <c r="AC662" s="49"/>
      <c r="AD662" s="49"/>
      <c r="AE662" s="49"/>
      <c r="AF662" s="49"/>
      <c r="AG662" s="49"/>
      <c r="AH662" s="49"/>
      <c r="AI662" s="49"/>
      <c r="AJ662" s="49"/>
      <c r="AK662" s="49"/>
      <c r="AL662" s="49"/>
      <c r="AM662" s="49"/>
      <c r="AN662" s="49"/>
      <c r="AO662" s="49"/>
      <c r="AP662" s="49"/>
      <c r="AQ662" s="51"/>
      <c r="AR662" s="49" t="s">
        <v>953</v>
      </c>
      <c r="AS662" s="49"/>
      <c r="AT662" s="49"/>
      <c r="AU662" s="49"/>
      <c r="AV662" s="49"/>
      <c r="AW662" s="49"/>
      <c r="AX662" s="49"/>
      <c r="AY662" s="52"/>
      <c r="AZ662" s="23">
        <v>0.11</v>
      </c>
    </row>
    <row r="663" spans="1:52" ht="13.5" customHeight="1">
      <c r="A663" s="56"/>
      <c r="B663" s="50"/>
      <c r="C663" s="49"/>
      <c r="D663" s="49"/>
      <c r="E663" s="49"/>
      <c r="F663" s="49"/>
      <c r="G663" s="49"/>
      <c r="H663" s="49"/>
      <c r="I663" s="51"/>
      <c r="J663" s="350"/>
      <c r="K663" s="351"/>
      <c r="L663" s="101"/>
      <c r="M663" s="541"/>
      <c r="N663" s="505" t="s">
        <v>730</v>
      </c>
      <c r="O663" s="505"/>
      <c r="P663" s="505"/>
      <c r="Q663" s="505"/>
      <c r="R663" s="505"/>
      <c r="S663" s="139"/>
      <c r="T663" s="139"/>
      <c r="U663" s="139"/>
      <c r="V663" s="139"/>
      <c r="W663" s="139"/>
      <c r="X663" s="139"/>
      <c r="Y663" s="139"/>
      <c r="Z663" s="139"/>
      <c r="AA663" s="139"/>
      <c r="AB663" s="49"/>
      <c r="AC663" s="49"/>
      <c r="AD663" s="49"/>
      <c r="AE663" s="49"/>
      <c r="AF663" s="49"/>
      <c r="AG663" s="49"/>
      <c r="AH663" s="49"/>
      <c r="AI663" s="49"/>
      <c r="AJ663" s="49"/>
      <c r="AK663" s="49"/>
      <c r="AL663" s="49"/>
      <c r="AM663" s="49"/>
      <c r="AN663" s="49"/>
      <c r="AO663" s="49"/>
      <c r="AP663" s="49"/>
      <c r="AQ663" s="51"/>
      <c r="AR663" s="208" t="s">
        <v>954</v>
      </c>
      <c r="AS663" s="49"/>
      <c r="AT663" s="49"/>
      <c r="AU663" s="49"/>
      <c r="AV663" s="49"/>
      <c r="AW663" s="49"/>
      <c r="AX663" s="49"/>
      <c r="AY663" s="52"/>
      <c r="AZ663" s="23">
        <v>0.11</v>
      </c>
    </row>
    <row r="664" spans="1:52" ht="13.5" customHeight="1">
      <c r="A664" s="56"/>
      <c r="B664" s="50"/>
      <c r="C664" s="49"/>
      <c r="D664" s="49"/>
      <c r="E664" s="49"/>
      <c r="F664" s="49"/>
      <c r="G664" s="49"/>
      <c r="H664" s="49"/>
      <c r="I664" s="51"/>
      <c r="J664" s="350"/>
      <c r="K664" s="351"/>
      <c r="L664" s="101"/>
      <c r="M664" s="541"/>
      <c r="N664" s="505" t="s">
        <v>731</v>
      </c>
      <c r="O664" s="505"/>
      <c r="P664" s="505"/>
      <c r="Q664" s="505"/>
      <c r="R664" s="505"/>
      <c r="S664" s="139"/>
      <c r="T664" s="139"/>
      <c r="U664" s="139"/>
      <c r="V664" s="139"/>
      <c r="W664" s="139"/>
      <c r="X664" s="139"/>
      <c r="Y664" s="139"/>
      <c r="Z664" s="139"/>
      <c r="AA664" s="139"/>
      <c r="AB664" s="49"/>
      <c r="AC664" s="49"/>
      <c r="AD664" s="49"/>
      <c r="AE664" s="49"/>
      <c r="AF664" s="49"/>
      <c r="AG664" s="49"/>
      <c r="AH664" s="49"/>
      <c r="AI664" s="49"/>
      <c r="AJ664" s="49"/>
      <c r="AK664" s="49"/>
      <c r="AL664" s="49"/>
      <c r="AM664" s="49"/>
      <c r="AN664" s="49"/>
      <c r="AO664" s="49"/>
      <c r="AP664" s="49"/>
      <c r="AQ664" s="51"/>
      <c r="AR664" s="208"/>
      <c r="AS664" s="49"/>
      <c r="AT664" s="49"/>
      <c r="AU664" s="49"/>
      <c r="AV664" s="49"/>
      <c r="AW664" s="49"/>
      <c r="AX664" s="49"/>
      <c r="AY664" s="52"/>
      <c r="AZ664" s="23">
        <v>0.11</v>
      </c>
    </row>
    <row r="665" spans="1:52" ht="13.5" customHeight="1">
      <c r="A665" s="56"/>
      <c r="B665" s="50"/>
      <c r="C665" s="49"/>
      <c r="D665" s="49"/>
      <c r="E665" s="49"/>
      <c r="F665" s="49"/>
      <c r="G665" s="49"/>
      <c r="H665" s="49"/>
      <c r="I665" s="51"/>
      <c r="J665" s="398"/>
      <c r="K665" s="399"/>
      <c r="L665" s="101"/>
      <c r="M665" s="541"/>
      <c r="N665" s="505" t="s">
        <v>184</v>
      </c>
      <c r="O665" s="505"/>
      <c r="P665" s="505"/>
      <c r="Q665" s="505"/>
      <c r="R665" s="505"/>
      <c r="S665" s="505"/>
      <c r="T665" s="505"/>
      <c r="U665" s="505"/>
      <c r="V665" s="505"/>
      <c r="W665" s="505"/>
      <c r="X665" s="505"/>
      <c r="Y665" s="505"/>
      <c r="Z665" s="505"/>
      <c r="AA665" s="505"/>
      <c r="AB665" s="102"/>
      <c r="AC665" s="102"/>
      <c r="AD665" s="102"/>
      <c r="AE665" s="102"/>
      <c r="AF665" s="102"/>
      <c r="AG665" s="102"/>
      <c r="AH665" s="102"/>
      <c r="AI665" s="102"/>
      <c r="AJ665" s="102"/>
      <c r="AK665" s="102"/>
      <c r="AL665" s="102"/>
      <c r="AM665" s="102"/>
      <c r="AN665" s="102"/>
      <c r="AO665" s="102"/>
      <c r="AP665" s="102"/>
      <c r="AQ665" s="377"/>
      <c r="AR665" s="396"/>
      <c r="AS665" s="102"/>
      <c r="AT665" s="49"/>
      <c r="AU665" s="49"/>
      <c r="AV665" s="49"/>
      <c r="AW665" s="49"/>
      <c r="AX665" s="49"/>
      <c r="AY665" s="52"/>
    </row>
    <row r="666" spans="1:52" ht="13.5" customHeight="1">
      <c r="A666" s="56"/>
      <c r="B666" s="50"/>
      <c r="C666" s="49"/>
      <c r="D666" s="49"/>
      <c r="E666" s="49"/>
      <c r="F666" s="49"/>
      <c r="G666" s="49"/>
      <c r="H666" s="49"/>
      <c r="I666" s="51"/>
      <c r="J666" s="398"/>
      <c r="K666" s="399"/>
      <c r="L666" s="101"/>
      <c r="M666" s="541"/>
      <c r="N666" s="505" t="s">
        <v>982</v>
      </c>
      <c r="O666" s="505"/>
      <c r="P666" s="505"/>
      <c r="Q666" s="505"/>
      <c r="R666" s="505"/>
      <c r="S666" s="505"/>
      <c r="T666" s="505"/>
      <c r="U666" s="505"/>
      <c r="V666" s="505"/>
      <c r="W666" s="505"/>
      <c r="X666" s="505"/>
      <c r="Y666" s="505"/>
      <c r="Z666" s="505"/>
      <c r="AA666" s="505"/>
      <c r="AB666" s="102"/>
      <c r="AC666" s="102"/>
      <c r="AD666" s="102"/>
      <c r="AE666" s="102"/>
      <c r="AF666" s="102"/>
      <c r="AG666" s="102"/>
      <c r="AH666" s="102"/>
      <c r="AI666" s="102"/>
      <c r="AJ666" s="102"/>
      <c r="AK666" s="102"/>
      <c r="AL666" s="102"/>
      <c r="AM666" s="102"/>
      <c r="AN666" s="102"/>
      <c r="AO666" s="102"/>
      <c r="AP666" s="102"/>
      <c r="AQ666" s="377"/>
      <c r="AR666" s="396"/>
      <c r="AS666" s="102"/>
      <c r="AT666" s="49"/>
      <c r="AU666" s="49"/>
      <c r="AV666" s="49"/>
      <c r="AW666" s="49"/>
      <c r="AX666" s="49"/>
      <c r="AY666" s="52"/>
    </row>
    <row r="667" spans="1:52" ht="13.5" customHeight="1">
      <c r="A667" s="56"/>
      <c r="B667" s="50"/>
      <c r="C667" s="49"/>
      <c r="D667" s="49"/>
      <c r="E667" s="49"/>
      <c r="F667" s="49"/>
      <c r="G667" s="49"/>
      <c r="H667" s="49"/>
      <c r="I667" s="51"/>
      <c r="J667" s="398"/>
      <c r="K667" s="399"/>
      <c r="L667" s="101"/>
      <c r="M667" s="541"/>
      <c r="N667" s="505" t="s">
        <v>983</v>
      </c>
      <c r="O667" s="505"/>
      <c r="P667" s="505"/>
      <c r="Q667" s="505"/>
      <c r="R667" s="505"/>
      <c r="S667" s="505"/>
      <c r="T667" s="505"/>
      <c r="U667" s="505"/>
      <c r="V667" s="505"/>
      <c r="W667" s="505"/>
      <c r="X667" s="505"/>
      <c r="Y667" s="505"/>
      <c r="Z667" s="505"/>
      <c r="AA667" s="505"/>
      <c r="AB667" s="102"/>
      <c r="AC667" s="102"/>
      <c r="AD667" s="102"/>
      <c r="AE667" s="102"/>
      <c r="AF667" s="102"/>
      <c r="AG667" s="102"/>
      <c r="AH667" s="102"/>
      <c r="AI667" s="102"/>
      <c r="AJ667" s="102"/>
      <c r="AK667" s="102"/>
      <c r="AL667" s="102"/>
      <c r="AM667" s="102"/>
      <c r="AN667" s="102"/>
      <c r="AO667" s="102"/>
      <c r="AP667" s="102"/>
      <c r="AQ667" s="377"/>
      <c r="AR667" s="396"/>
      <c r="AS667" s="102"/>
      <c r="AT667" s="49"/>
      <c r="AU667" s="49"/>
      <c r="AV667" s="49"/>
      <c r="AW667" s="49"/>
      <c r="AX667" s="49"/>
      <c r="AY667" s="52"/>
    </row>
    <row r="668" spans="1:52" ht="13.5" customHeight="1">
      <c r="A668" s="56"/>
      <c r="B668" s="50"/>
      <c r="C668" s="49"/>
      <c r="D668" s="49"/>
      <c r="E668" s="49"/>
      <c r="F668" s="49"/>
      <c r="G668" s="49"/>
      <c r="H668" s="49"/>
      <c r="I668" s="51"/>
      <c r="J668" s="352"/>
      <c r="K668" s="353"/>
      <c r="L668" s="104"/>
      <c r="M668" s="339"/>
      <c r="N668" s="105"/>
      <c r="O668" s="105"/>
      <c r="P668" s="105"/>
      <c r="Q668" s="105"/>
      <c r="R668" s="105"/>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9"/>
      <c r="AR668" s="192"/>
      <c r="AS668" s="57"/>
      <c r="AT668" s="57"/>
      <c r="AU668" s="57"/>
      <c r="AV668" s="57"/>
      <c r="AW668" s="57"/>
      <c r="AX668" s="57"/>
      <c r="AY668" s="60"/>
    </row>
    <row r="669" spans="1:52" ht="13.5" customHeight="1">
      <c r="A669" s="56"/>
      <c r="B669" s="50"/>
      <c r="C669" s="49"/>
      <c r="D669" s="49"/>
      <c r="E669" s="49"/>
      <c r="F669" s="49"/>
      <c r="G669" s="49"/>
      <c r="H669" s="49"/>
      <c r="I669" s="51"/>
      <c r="J669" s="728" t="s">
        <v>825</v>
      </c>
      <c r="K669" s="729"/>
      <c r="L669" s="101"/>
      <c r="M669" s="49" t="s">
        <v>819</v>
      </c>
      <c r="N669" s="49"/>
      <c r="O669" s="49"/>
      <c r="P669" s="49"/>
      <c r="Q669" s="49"/>
      <c r="R669" s="49"/>
      <c r="S669" s="49"/>
      <c r="T669" s="49"/>
      <c r="U669" s="49"/>
      <c r="V669" s="49"/>
      <c r="W669" s="49"/>
      <c r="X669" s="49"/>
      <c r="Y669" s="49"/>
      <c r="Z669" s="49"/>
      <c r="AA669" s="49"/>
      <c r="AB669" s="49"/>
      <c r="AC669" s="49"/>
      <c r="AD669" s="49"/>
      <c r="AE669" s="49"/>
      <c r="AF669" s="49"/>
      <c r="AG669" s="49"/>
      <c r="AH669" s="49"/>
      <c r="AI669" s="49"/>
      <c r="AJ669" s="49"/>
      <c r="AK669" s="49"/>
      <c r="AL669" s="49"/>
      <c r="AM669" s="49"/>
      <c r="AN669" s="49"/>
      <c r="AO669" s="49"/>
      <c r="AP669" s="49"/>
      <c r="AQ669" s="51"/>
      <c r="AR669" s="208" t="s">
        <v>826</v>
      </c>
      <c r="AS669" s="49"/>
      <c r="AT669" s="49"/>
      <c r="AU669" s="49"/>
      <c r="AV669" s="49"/>
      <c r="AW669" s="49"/>
      <c r="AX669" s="49"/>
      <c r="AY669" s="52"/>
    </row>
    <row r="670" spans="1:52" ht="13.5" customHeight="1">
      <c r="A670" s="56"/>
      <c r="B670" s="50"/>
      <c r="C670" s="49"/>
      <c r="D670" s="49"/>
      <c r="E670" s="49"/>
      <c r="F670" s="49"/>
      <c r="G670" s="49"/>
      <c r="H670" s="49"/>
      <c r="I670" s="51"/>
      <c r="J670" s="350"/>
      <c r="K670" s="351"/>
      <c r="L670" s="50"/>
      <c r="M670" s="49"/>
      <c r="N670" s="49"/>
      <c r="O670" s="49"/>
      <c r="P670" s="49"/>
      <c r="Q670" s="49"/>
      <c r="R670" s="49"/>
      <c r="S670" s="49"/>
      <c r="T670" s="49"/>
      <c r="U670" s="49"/>
      <c r="V670" s="49"/>
      <c r="W670" s="49"/>
      <c r="X670" s="49"/>
      <c r="Y670" s="49"/>
      <c r="Z670" s="49"/>
      <c r="AA670" s="49"/>
      <c r="AB670" s="49"/>
      <c r="AC670" s="49"/>
      <c r="AD670" s="49"/>
      <c r="AE670" s="49"/>
      <c r="AF670" s="49"/>
      <c r="AG670" s="49"/>
      <c r="AH670" s="49"/>
      <c r="AI670" s="49"/>
      <c r="AJ670" s="49"/>
      <c r="AK670" s="49"/>
      <c r="AL670" s="49"/>
      <c r="AM670" s="49"/>
      <c r="AN670" s="49"/>
      <c r="AO670" s="49"/>
      <c r="AP670" s="49"/>
      <c r="AQ670" s="51"/>
      <c r="AR670" s="208"/>
      <c r="AS670" s="49"/>
      <c r="AT670" s="49"/>
      <c r="AU670" s="49"/>
      <c r="AV670" s="49"/>
      <c r="AW670" s="49"/>
      <c r="AX670" s="49"/>
      <c r="AY670" s="52"/>
    </row>
    <row r="671" spans="1:52" ht="13.5" customHeight="1">
      <c r="A671" s="43">
        <v>8</v>
      </c>
      <c r="B671" s="53" t="s">
        <v>535</v>
      </c>
      <c r="C671" s="54"/>
      <c r="D671" s="54"/>
      <c r="E671" s="54"/>
      <c r="F671" s="54"/>
      <c r="G671" s="54"/>
      <c r="H671" s="54"/>
      <c r="I671" s="54"/>
      <c r="J671" s="41"/>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212"/>
      <c r="AS671" s="54"/>
      <c r="AT671" s="54"/>
      <c r="AU671" s="54"/>
      <c r="AV671" s="54"/>
      <c r="AW671" s="54"/>
      <c r="AX671" s="54"/>
      <c r="AY671" s="135" t="s">
        <v>71</v>
      </c>
    </row>
    <row r="672" spans="1:52" ht="13.5" customHeight="1">
      <c r="A672" s="56"/>
      <c r="B672" s="50"/>
      <c r="C672" s="49"/>
      <c r="D672" s="49"/>
      <c r="E672" s="49"/>
      <c r="F672" s="49"/>
      <c r="G672" s="49"/>
      <c r="H672" s="49"/>
      <c r="I672" s="51"/>
      <c r="J672" s="656"/>
      <c r="K672" s="657"/>
      <c r="L672" s="101" t="s">
        <v>103</v>
      </c>
      <c r="M672" s="49"/>
      <c r="N672" s="49"/>
      <c r="O672" s="49"/>
      <c r="P672" s="49"/>
      <c r="Q672" s="49"/>
      <c r="R672" s="49"/>
      <c r="S672" s="49"/>
      <c r="T672" s="49"/>
      <c r="U672" s="49"/>
      <c r="V672" s="49"/>
      <c r="W672" s="49"/>
      <c r="X672" s="49"/>
      <c r="Y672" s="49"/>
      <c r="Z672" s="49"/>
      <c r="AA672" s="49"/>
      <c r="AB672" s="49"/>
      <c r="AC672" s="49"/>
      <c r="AD672" s="49"/>
      <c r="AE672" s="49"/>
      <c r="AF672" s="49"/>
      <c r="AG672" s="49"/>
      <c r="AH672" s="49"/>
      <c r="AI672" s="49"/>
      <c r="AJ672" s="49"/>
      <c r="AK672" s="49"/>
      <c r="AL672" s="49"/>
      <c r="AM672" s="49"/>
      <c r="AN672" s="49"/>
      <c r="AO672" s="49"/>
      <c r="AP672" s="49"/>
      <c r="AQ672" s="51"/>
      <c r="AR672" s="208"/>
      <c r="AS672" s="49"/>
      <c r="AT672" s="49"/>
      <c r="AU672" s="49"/>
      <c r="AV672" s="49"/>
      <c r="AW672" s="49"/>
      <c r="AX672" s="49"/>
      <c r="AY672" s="52"/>
    </row>
    <row r="673" spans="1:51" ht="13.5" customHeight="1">
      <c r="A673" s="56"/>
      <c r="B673" s="50"/>
      <c r="C673" s="49"/>
      <c r="D673" s="49"/>
      <c r="E673" s="49"/>
      <c r="F673" s="49"/>
      <c r="G673" s="49"/>
      <c r="H673" s="49"/>
      <c r="I673" s="51"/>
      <c r="J673" s="350"/>
      <c r="K673" s="351"/>
      <c r="L673" s="101" t="s">
        <v>274</v>
      </c>
      <c r="M673" s="49"/>
      <c r="N673" s="49"/>
      <c r="O673" s="49"/>
      <c r="P673" s="49"/>
      <c r="Q673" s="49"/>
      <c r="R673" s="49"/>
      <c r="S673" s="49"/>
      <c r="T673" s="49"/>
      <c r="U673" s="49"/>
      <c r="V673" s="49"/>
      <c r="W673" s="49"/>
      <c r="X673" s="49"/>
      <c r="Y673" s="49"/>
      <c r="Z673" s="49"/>
      <c r="AA673" s="49"/>
      <c r="AB673" s="49"/>
      <c r="AC673" s="49"/>
      <c r="AD673" s="49"/>
      <c r="AE673" s="49"/>
      <c r="AF673" s="49"/>
      <c r="AG673" s="49"/>
      <c r="AH673" s="49"/>
      <c r="AI673" s="49"/>
      <c r="AJ673" s="49"/>
      <c r="AK673" s="49"/>
      <c r="AL673" s="49"/>
      <c r="AM673" s="49"/>
      <c r="AN673" s="49"/>
      <c r="AO673" s="49"/>
      <c r="AP673" s="49"/>
      <c r="AQ673" s="51"/>
      <c r="AR673" s="208"/>
      <c r="AS673" s="49"/>
      <c r="AT673" s="49"/>
      <c r="AU673" s="49"/>
      <c r="AV673" s="49"/>
      <c r="AW673" s="49"/>
      <c r="AX673" s="49"/>
      <c r="AY673" s="52"/>
    </row>
    <row r="674" spans="1:51" ht="13.5" customHeight="1">
      <c r="A674" s="56"/>
      <c r="B674" s="50"/>
      <c r="C674" s="49"/>
      <c r="D674" s="49"/>
      <c r="E674" s="49"/>
      <c r="F674" s="49"/>
      <c r="G674" s="49"/>
      <c r="H674" s="49"/>
      <c r="I674" s="51"/>
      <c r="J674" s="350"/>
      <c r="K674" s="351"/>
      <c r="L674" s="101"/>
      <c r="M674" s="49"/>
      <c r="N674" s="49"/>
      <c r="O674" s="49"/>
      <c r="P674" s="49"/>
      <c r="Q674" s="49"/>
      <c r="R674" s="49"/>
      <c r="S674" s="49"/>
      <c r="T674" s="49"/>
      <c r="U674" s="49"/>
      <c r="V674" s="49"/>
      <c r="W674" s="49"/>
      <c r="X674" s="49"/>
      <c r="Y674" s="49"/>
      <c r="Z674" s="49"/>
      <c r="AA674" s="49"/>
      <c r="AB674" s="49"/>
      <c r="AC674" s="49"/>
      <c r="AD674" s="49"/>
      <c r="AE674" s="49"/>
      <c r="AF674" s="49"/>
      <c r="AG674" s="49"/>
      <c r="AH674" s="49"/>
      <c r="AI674" s="49"/>
      <c r="AJ674" s="49"/>
      <c r="AK674" s="49"/>
      <c r="AL674" s="49"/>
      <c r="AM674" s="49"/>
      <c r="AN674" s="49"/>
      <c r="AO674" s="49"/>
      <c r="AP674" s="49"/>
      <c r="AQ674" s="51"/>
      <c r="AR674" s="208"/>
      <c r="AS674" s="49"/>
      <c r="AT674" s="49"/>
      <c r="AU674" s="49"/>
      <c r="AV674" s="49"/>
      <c r="AW674" s="49"/>
      <c r="AX674" s="49"/>
      <c r="AY674" s="52"/>
    </row>
    <row r="675" spans="1:51" ht="13.5" customHeight="1">
      <c r="A675" s="56"/>
      <c r="B675" s="50"/>
      <c r="C675" s="49"/>
      <c r="D675" s="49"/>
      <c r="E675" s="49"/>
      <c r="F675" s="49"/>
      <c r="G675" s="49"/>
      <c r="H675" s="49"/>
      <c r="I675" s="51"/>
      <c r="J675" s="350"/>
      <c r="K675" s="351"/>
      <c r="L675" s="101"/>
      <c r="M675" s="49" t="s">
        <v>815</v>
      </c>
      <c r="N675" s="49"/>
      <c r="O675" s="49"/>
      <c r="P675" s="49"/>
      <c r="Q675" s="49"/>
      <c r="R675" s="49"/>
      <c r="S675" s="49"/>
      <c r="T675" s="49"/>
      <c r="U675" s="49"/>
      <c r="V675" s="49"/>
      <c r="W675" s="49"/>
      <c r="X675" s="49"/>
      <c r="Y675" s="49"/>
      <c r="Z675" s="49"/>
      <c r="AA675" s="49"/>
      <c r="AB675" s="49"/>
      <c r="AC675" s="49"/>
      <c r="AD675" s="49"/>
      <c r="AE675" s="49"/>
      <c r="AF675" s="49"/>
      <c r="AG675" s="49"/>
      <c r="AH675" s="49"/>
      <c r="AI675" s="49"/>
      <c r="AJ675" s="49"/>
      <c r="AK675" s="49"/>
      <c r="AL675" s="49"/>
      <c r="AM675" s="49"/>
      <c r="AN675" s="49"/>
      <c r="AO675" s="49"/>
      <c r="AP675" s="49"/>
      <c r="AQ675" s="51"/>
      <c r="AR675" s="208" t="s">
        <v>816</v>
      </c>
      <c r="AS675" s="49"/>
      <c r="AT675" s="49"/>
      <c r="AU675" s="49"/>
      <c r="AV675" s="49"/>
      <c r="AW675" s="49"/>
      <c r="AX675" s="49"/>
      <c r="AY675" s="52"/>
    </row>
    <row r="676" spans="1:51" ht="13.5" customHeight="1">
      <c r="A676" s="56"/>
      <c r="B676" s="50"/>
      <c r="C676" s="49"/>
      <c r="D676" s="49"/>
      <c r="E676" s="49"/>
      <c r="F676" s="49"/>
      <c r="G676" s="49"/>
      <c r="H676" s="49"/>
      <c r="I676" s="51"/>
      <c r="J676" s="350"/>
      <c r="K676" s="351"/>
      <c r="L676" s="101"/>
      <c r="M676" s="49"/>
      <c r="N676" s="49"/>
      <c r="O676" s="49"/>
      <c r="P676" s="49"/>
      <c r="Q676" s="49"/>
      <c r="R676" s="49"/>
      <c r="S676" s="49"/>
      <c r="T676" s="49"/>
      <c r="U676" s="49"/>
      <c r="V676" s="49"/>
      <c r="W676" s="49"/>
      <c r="X676" s="49"/>
      <c r="Y676" s="49"/>
      <c r="Z676" s="49"/>
      <c r="AA676" s="49"/>
      <c r="AB676" s="49"/>
      <c r="AC676" s="49"/>
      <c r="AD676" s="49"/>
      <c r="AE676" s="49"/>
      <c r="AF676" s="49"/>
      <c r="AG676" s="49"/>
      <c r="AH676" s="49"/>
      <c r="AI676" s="49"/>
      <c r="AJ676" s="49"/>
      <c r="AK676" s="49"/>
      <c r="AL676" s="49"/>
      <c r="AM676" s="49"/>
      <c r="AN676" s="49"/>
      <c r="AO676" s="49"/>
      <c r="AP676" s="49"/>
      <c r="AQ676" s="51"/>
      <c r="AR676" s="208"/>
      <c r="AS676" s="49"/>
      <c r="AT676" s="49"/>
      <c r="AU676" s="49"/>
      <c r="AV676" s="49"/>
      <c r="AW676" s="49"/>
      <c r="AX676" s="49"/>
      <c r="AY676" s="52"/>
    </row>
    <row r="677" spans="1:51" ht="13.5" customHeight="1">
      <c r="A677" s="56"/>
      <c r="B677" s="50"/>
      <c r="C677" s="49"/>
      <c r="D677" s="49"/>
      <c r="E677" s="49"/>
      <c r="F677" s="49"/>
      <c r="G677" s="49"/>
      <c r="H677" s="49"/>
      <c r="I677" s="51"/>
      <c r="J677" s="350"/>
      <c r="K677" s="351"/>
      <c r="L677" s="101"/>
      <c r="M677" s="49" t="s">
        <v>487</v>
      </c>
      <c r="N677" s="49"/>
      <c r="O677" s="49"/>
      <c r="P677" s="49"/>
      <c r="Q677" s="49"/>
      <c r="R677" s="49"/>
      <c r="S677" s="49"/>
      <c r="T677" s="49"/>
      <c r="U677" s="49"/>
      <c r="V677" s="49"/>
      <c r="W677" s="49"/>
      <c r="X677" s="49"/>
      <c r="Y677" s="49"/>
      <c r="Z677" s="49"/>
      <c r="AA677" s="49"/>
      <c r="AB677" s="49"/>
      <c r="AC677" s="49"/>
      <c r="AD677" s="49"/>
      <c r="AE677" s="49"/>
      <c r="AF677" s="49"/>
      <c r="AG677" s="49"/>
      <c r="AH677" s="49"/>
      <c r="AI677" s="49"/>
      <c r="AJ677" s="49"/>
      <c r="AK677" s="49"/>
      <c r="AL677" s="49"/>
      <c r="AM677" s="49"/>
      <c r="AN677" s="49"/>
      <c r="AO677" s="49"/>
      <c r="AP677" s="49"/>
      <c r="AQ677" s="51"/>
      <c r="AR677" s="208" t="s">
        <v>807</v>
      </c>
      <c r="AS677" s="49"/>
      <c r="AT677" s="49"/>
      <c r="AU677" s="49"/>
      <c r="AV677" s="49"/>
      <c r="AW677" s="49"/>
      <c r="AX677" s="49"/>
      <c r="AY677" s="52"/>
    </row>
    <row r="678" spans="1:51" ht="13.5" customHeight="1">
      <c r="A678" s="56"/>
      <c r="B678" s="50"/>
      <c r="C678" s="49"/>
      <c r="D678" s="49"/>
      <c r="E678" s="49"/>
      <c r="F678" s="49"/>
      <c r="G678" s="49"/>
      <c r="H678" s="49"/>
      <c r="I678" s="51"/>
      <c r="J678" s="350"/>
      <c r="K678" s="351"/>
      <c r="L678" s="101"/>
      <c r="M678" s="49"/>
      <c r="N678" s="49"/>
      <c r="O678" s="49"/>
      <c r="P678" s="49"/>
      <c r="Q678" s="49"/>
      <c r="R678" s="49"/>
      <c r="S678" s="49"/>
      <c r="T678" s="49"/>
      <c r="U678" s="49"/>
      <c r="V678" s="49"/>
      <c r="W678" s="49"/>
      <c r="X678" s="49"/>
      <c r="Y678" s="49"/>
      <c r="Z678" s="49"/>
      <c r="AA678" s="49"/>
      <c r="AB678" s="49"/>
      <c r="AC678" s="49"/>
      <c r="AD678" s="49"/>
      <c r="AE678" s="49"/>
      <c r="AF678" s="49"/>
      <c r="AG678" s="49"/>
      <c r="AH678" s="49"/>
      <c r="AI678" s="49"/>
      <c r="AJ678" s="49"/>
      <c r="AK678" s="49"/>
      <c r="AL678" s="49"/>
      <c r="AM678" s="49"/>
      <c r="AN678" s="49"/>
      <c r="AO678" s="49"/>
      <c r="AP678" s="49"/>
      <c r="AQ678" s="51"/>
      <c r="AR678" s="208"/>
      <c r="AS678" s="49"/>
      <c r="AT678" s="49"/>
      <c r="AU678" s="49"/>
      <c r="AV678" s="49"/>
      <c r="AW678" s="49"/>
      <c r="AX678" s="49"/>
      <c r="AY678" s="52"/>
    </row>
    <row r="679" spans="1:51" ht="13.5" customHeight="1">
      <c r="A679" s="56"/>
      <c r="B679" s="50"/>
      <c r="C679" s="49"/>
      <c r="D679" s="49"/>
      <c r="E679" s="49"/>
      <c r="F679" s="49"/>
      <c r="G679" s="49"/>
      <c r="H679" s="49"/>
      <c r="I679" s="51"/>
      <c r="J679" s="350"/>
      <c r="K679" s="351"/>
      <c r="L679" s="101"/>
      <c r="M679" s="107" t="s">
        <v>167</v>
      </c>
      <c r="N679" s="108"/>
      <c r="O679" s="108"/>
      <c r="P679" s="108"/>
      <c r="Q679" s="108"/>
      <c r="R679" s="108"/>
      <c r="S679" s="108"/>
      <c r="T679" s="108"/>
      <c r="U679" s="108"/>
      <c r="V679" s="108"/>
      <c r="W679" s="108"/>
      <c r="X679" s="108"/>
      <c r="Y679" s="108"/>
      <c r="Z679" s="108"/>
      <c r="AA679" s="109"/>
      <c r="AB679" s="107" t="s">
        <v>104</v>
      </c>
      <c r="AC679" s="108"/>
      <c r="AD679" s="108"/>
      <c r="AE679" s="108"/>
      <c r="AF679" s="108"/>
      <c r="AG679" s="108"/>
      <c r="AH679" s="109"/>
      <c r="AI679" s="110" t="s">
        <v>105</v>
      </c>
      <c r="AJ679" s="108"/>
      <c r="AK679" s="108"/>
      <c r="AL679" s="108"/>
      <c r="AM679" s="108"/>
      <c r="AN679" s="109"/>
      <c r="AO679" s="49"/>
      <c r="AP679" s="49"/>
      <c r="AQ679" s="51"/>
      <c r="AR679" s="208"/>
      <c r="AS679" s="49"/>
      <c r="AT679" s="49"/>
      <c r="AU679" s="49"/>
      <c r="AV679" s="49"/>
      <c r="AW679" s="49"/>
      <c r="AX679" s="49"/>
      <c r="AY679" s="52"/>
    </row>
    <row r="680" spans="1:51" ht="13.5" customHeight="1">
      <c r="A680" s="56"/>
      <c r="B680" s="50"/>
      <c r="C680" s="49"/>
      <c r="D680" s="49"/>
      <c r="E680" s="49"/>
      <c r="F680" s="49"/>
      <c r="G680" s="49"/>
      <c r="H680" s="49"/>
      <c r="I680" s="51"/>
      <c r="J680" s="350"/>
      <c r="K680" s="351"/>
      <c r="L680" s="101"/>
      <c r="M680" s="111" t="s">
        <v>162</v>
      </c>
      <c r="N680" s="112"/>
      <c r="O680" s="112"/>
      <c r="P680" s="112"/>
      <c r="Q680" s="112"/>
      <c r="R680" s="112"/>
      <c r="S680" s="112"/>
      <c r="T680" s="112"/>
      <c r="U680" s="112"/>
      <c r="V680" s="112"/>
      <c r="W680" s="112"/>
      <c r="X680" s="112"/>
      <c r="Y680" s="112"/>
      <c r="Z680" s="112"/>
      <c r="AA680" s="113"/>
      <c r="AB680" s="111" t="s">
        <v>163</v>
      </c>
      <c r="AC680" s="112"/>
      <c r="AD680" s="112"/>
      <c r="AE680" s="112"/>
      <c r="AF680" s="112"/>
      <c r="AG680" s="112"/>
      <c r="AH680" s="113"/>
      <c r="AI680" s="114" t="s">
        <v>106</v>
      </c>
      <c r="AJ680" s="112"/>
      <c r="AK680" s="112"/>
      <c r="AL680" s="112"/>
      <c r="AM680" s="112"/>
      <c r="AN680" s="113"/>
      <c r="AO680" s="49"/>
      <c r="AP680" s="49"/>
      <c r="AQ680" s="51"/>
      <c r="AR680" s="208"/>
      <c r="AS680" s="49"/>
      <c r="AT680" s="49"/>
      <c r="AU680" s="49"/>
      <c r="AV680" s="49"/>
      <c r="AW680" s="49"/>
      <c r="AX680" s="49"/>
      <c r="AY680" s="52"/>
    </row>
    <row r="681" spans="1:51" ht="13.5" customHeight="1">
      <c r="A681" s="56"/>
      <c r="B681" s="50"/>
      <c r="C681" s="49"/>
      <c r="D681" s="49"/>
      <c r="E681" s="49"/>
      <c r="F681" s="49"/>
      <c r="G681" s="49"/>
      <c r="H681" s="49"/>
      <c r="I681" s="51"/>
      <c r="J681" s="350"/>
      <c r="K681" s="351"/>
      <c r="L681" s="101"/>
      <c r="M681" s="111" t="s">
        <v>164</v>
      </c>
      <c r="N681" s="112"/>
      <c r="O681" s="112"/>
      <c r="P681" s="112"/>
      <c r="Q681" s="112"/>
      <c r="R681" s="112"/>
      <c r="S681" s="112"/>
      <c r="T681" s="112"/>
      <c r="U681" s="112"/>
      <c r="V681" s="112"/>
      <c r="W681" s="112"/>
      <c r="X681" s="112"/>
      <c r="Y681" s="112"/>
      <c r="Z681" s="112"/>
      <c r="AA681" s="113"/>
      <c r="AB681" s="111" t="s">
        <v>252</v>
      </c>
      <c r="AC681" s="112"/>
      <c r="AD681" s="112"/>
      <c r="AE681" s="112"/>
      <c r="AF681" s="112"/>
      <c r="AG681" s="112"/>
      <c r="AH681" s="113"/>
      <c r="AI681" s="114" t="s">
        <v>106</v>
      </c>
      <c r="AJ681" s="112"/>
      <c r="AK681" s="112"/>
      <c r="AL681" s="112"/>
      <c r="AM681" s="112"/>
      <c r="AN681" s="113"/>
      <c r="AO681" s="49"/>
      <c r="AP681" s="49"/>
      <c r="AQ681" s="51"/>
      <c r="AR681" s="208"/>
      <c r="AS681" s="49"/>
      <c r="AT681" s="49"/>
      <c r="AU681" s="49"/>
      <c r="AV681" s="49"/>
      <c r="AW681" s="49"/>
      <c r="AX681" s="49"/>
      <c r="AY681" s="52"/>
    </row>
    <row r="682" spans="1:51" ht="13.5" customHeight="1">
      <c r="A682" s="56"/>
      <c r="B682" s="50"/>
      <c r="C682" s="49"/>
      <c r="D682" s="49"/>
      <c r="E682" s="49"/>
      <c r="F682" s="49"/>
      <c r="G682" s="49"/>
      <c r="H682" s="49"/>
      <c r="I682" s="51"/>
      <c r="J682" s="350"/>
      <c r="K682" s="351"/>
      <c r="L682" s="101"/>
      <c r="M682" s="49"/>
      <c r="N682" s="49"/>
      <c r="O682" s="49"/>
      <c r="P682" s="49"/>
      <c r="Q682" s="49"/>
      <c r="R682" s="49"/>
      <c r="S682" s="49"/>
      <c r="T682" s="49"/>
      <c r="U682" s="49"/>
      <c r="V682" s="49"/>
      <c r="W682" s="49"/>
      <c r="X682" s="49"/>
      <c r="Y682" s="49"/>
      <c r="Z682" s="49"/>
      <c r="AA682" s="49"/>
      <c r="AB682" s="49"/>
      <c r="AC682" s="49"/>
      <c r="AD682" s="49"/>
      <c r="AE682" s="49"/>
      <c r="AF682" s="49"/>
      <c r="AG682" s="49"/>
      <c r="AH682" s="49"/>
      <c r="AI682" s="49"/>
      <c r="AJ682" s="49"/>
      <c r="AK682" s="49"/>
      <c r="AL682" s="49"/>
      <c r="AM682" s="49"/>
      <c r="AN682" s="49"/>
      <c r="AO682" s="49"/>
      <c r="AP682" s="49"/>
      <c r="AQ682" s="51"/>
      <c r="AR682" s="208"/>
      <c r="AS682" s="49"/>
      <c r="AT682" s="49"/>
      <c r="AU682" s="49"/>
      <c r="AV682" s="49"/>
      <c r="AW682" s="49"/>
      <c r="AX682" s="49"/>
      <c r="AY682" s="52"/>
    </row>
    <row r="683" spans="1:51" ht="13.5" customHeight="1">
      <c r="A683" s="56"/>
      <c r="B683" s="50"/>
      <c r="C683" s="49"/>
      <c r="D683" s="49"/>
      <c r="E683" s="49"/>
      <c r="F683" s="49"/>
      <c r="G683" s="49"/>
      <c r="H683" s="49"/>
      <c r="I683" s="51"/>
      <c r="J683" s="350"/>
      <c r="K683" s="351"/>
      <c r="L683" s="101"/>
      <c r="M683" s="49" t="s">
        <v>273</v>
      </c>
      <c r="N683" s="49"/>
      <c r="O683" s="49"/>
      <c r="P683" s="49"/>
      <c r="Q683" s="49"/>
      <c r="R683" s="49"/>
      <c r="S683" s="49"/>
      <c r="T683" s="49"/>
      <c r="U683" s="49"/>
      <c r="V683" s="49"/>
      <c r="W683" s="49"/>
      <c r="X683" s="49"/>
      <c r="Y683" s="49"/>
      <c r="Z683" s="49"/>
      <c r="AA683" s="49"/>
      <c r="AB683" s="49"/>
      <c r="AC683" s="49"/>
      <c r="AD683" s="49"/>
      <c r="AE683" s="49"/>
      <c r="AF683" s="49"/>
      <c r="AG683" s="49"/>
      <c r="AH683" s="49"/>
      <c r="AI683" s="49"/>
      <c r="AJ683" s="49"/>
      <c r="AK683" s="49"/>
      <c r="AL683" s="49"/>
      <c r="AM683" s="49"/>
      <c r="AN683" s="49"/>
      <c r="AO683" s="49"/>
      <c r="AP683" s="49"/>
      <c r="AQ683" s="51"/>
      <c r="AR683" s="208"/>
      <c r="AS683" s="49"/>
      <c r="AT683" s="49"/>
      <c r="AU683" s="49"/>
      <c r="AV683" s="49"/>
      <c r="AW683" s="49"/>
      <c r="AX683" s="49"/>
      <c r="AY683" s="52"/>
    </row>
    <row r="684" spans="1:51" ht="13.5" customHeight="1">
      <c r="A684" s="56"/>
      <c r="B684" s="50"/>
      <c r="C684" s="49"/>
      <c r="D684" s="49"/>
      <c r="E684" s="49"/>
      <c r="F684" s="49"/>
      <c r="G684" s="49"/>
      <c r="H684" s="49"/>
      <c r="I684" s="51"/>
      <c r="J684" s="350"/>
      <c r="K684" s="351"/>
      <c r="L684" s="101"/>
      <c r="M684" s="49" t="s">
        <v>272</v>
      </c>
      <c r="N684" s="49"/>
      <c r="O684" s="49"/>
      <c r="P684" s="49"/>
      <c r="Q684" s="49"/>
      <c r="R684" s="49"/>
      <c r="S684" s="49"/>
      <c r="T684" s="49"/>
      <c r="U684" s="49"/>
      <c r="V684" s="49"/>
      <c r="W684" s="49"/>
      <c r="X684" s="49"/>
      <c r="Y684" s="49"/>
      <c r="Z684" s="49"/>
      <c r="AA684" s="49"/>
      <c r="AB684" s="49"/>
      <c r="AC684" s="49"/>
      <c r="AD684" s="49"/>
      <c r="AE684" s="49"/>
      <c r="AF684" s="49"/>
      <c r="AG684" s="49"/>
      <c r="AH684" s="49"/>
      <c r="AI684" s="49"/>
      <c r="AJ684" s="49"/>
      <c r="AK684" s="49"/>
      <c r="AL684" s="49"/>
      <c r="AM684" s="49"/>
      <c r="AN684" s="49"/>
      <c r="AO684" s="49"/>
      <c r="AP684" s="49"/>
      <c r="AQ684" s="51"/>
      <c r="AR684" s="208"/>
      <c r="AS684" s="49"/>
      <c r="AT684" s="49"/>
      <c r="AU684" s="49"/>
      <c r="AV684" s="49"/>
      <c r="AW684" s="49"/>
      <c r="AX684" s="49"/>
      <c r="AY684" s="52"/>
    </row>
    <row r="685" spans="1:51" ht="13.5" customHeight="1">
      <c r="A685" s="56"/>
      <c r="B685" s="50"/>
      <c r="C685" s="49"/>
      <c r="D685" s="49"/>
      <c r="E685" s="49"/>
      <c r="F685" s="49"/>
      <c r="G685" s="49"/>
      <c r="H685" s="49"/>
      <c r="I685" s="51"/>
      <c r="J685" s="350"/>
      <c r="K685" s="351"/>
      <c r="L685" s="101"/>
      <c r="M685" s="49"/>
      <c r="N685" s="49"/>
      <c r="O685" s="49"/>
      <c r="P685" s="49"/>
      <c r="Q685" s="49"/>
      <c r="R685" s="49"/>
      <c r="S685" s="49"/>
      <c r="T685" s="49"/>
      <c r="U685" s="49"/>
      <c r="V685" s="49"/>
      <c r="W685" s="49"/>
      <c r="X685" s="49"/>
      <c r="Y685" s="49"/>
      <c r="Z685" s="49"/>
      <c r="AA685" s="49"/>
      <c r="AB685" s="49"/>
      <c r="AC685" s="49"/>
      <c r="AD685" s="49"/>
      <c r="AE685" s="49"/>
      <c r="AF685" s="49"/>
      <c r="AG685" s="49"/>
      <c r="AH685" s="49"/>
      <c r="AI685" s="49"/>
      <c r="AJ685" s="49"/>
      <c r="AK685" s="49"/>
      <c r="AL685" s="49"/>
      <c r="AM685" s="49"/>
      <c r="AN685" s="49"/>
      <c r="AO685" s="49"/>
      <c r="AP685" s="49"/>
      <c r="AQ685" s="51"/>
      <c r="AR685" s="208"/>
      <c r="AS685" s="49"/>
      <c r="AT685" s="49"/>
      <c r="AU685" s="49"/>
      <c r="AV685" s="49"/>
      <c r="AW685" s="49"/>
      <c r="AX685" s="49"/>
      <c r="AY685" s="52"/>
    </row>
    <row r="686" spans="1:51" ht="13.5" customHeight="1">
      <c r="A686" s="56"/>
      <c r="B686" s="50"/>
      <c r="C686" s="49"/>
      <c r="D686" s="49"/>
      <c r="E686" s="49"/>
      <c r="F686" s="49"/>
      <c r="G686" s="49"/>
      <c r="H686" s="49"/>
      <c r="I686" s="51"/>
      <c r="J686" s="350"/>
      <c r="K686" s="351"/>
      <c r="L686" s="50"/>
      <c r="M686" s="216" t="s">
        <v>449</v>
      </c>
      <c r="N686" s="139"/>
      <c r="O686" s="139"/>
      <c r="P686" s="139"/>
      <c r="Q686" s="139"/>
      <c r="R686" s="139"/>
      <c r="S686" s="139"/>
      <c r="T686" s="139"/>
      <c r="U686" s="139"/>
      <c r="V686" s="139"/>
      <c r="W686" s="139"/>
      <c r="X686" s="505"/>
      <c r="Y686" s="505"/>
      <c r="Z686" s="505"/>
      <c r="AA686" s="505"/>
      <c r="AB686" s="505"/>
      <c r="AC686" s="505"/>
      <c r="AD686" s="102"/>
      <c r="AE686" s="102"/>
      <c r="AF686" s="102"/>
      <c r="AG686" s="102"/>
      <c r="AH686" s="102"/>
      <c r="AI686" s="102"/>
      <c r="AJ686" s="102"/>
      <c r="AK686" s="102"/>
      <c r="AL686" s="102"/>
      <c r="AM686" s="102"/>
      <c r="AN686" s="102"/>
      <c r="AO686" s="102"/>
      <c r="AP686" s="49"/>
      <c r="AQ686" s="51"/>
      <c r="AR686" s="208"/>
      <c r="AS686" s="49"/>
      <c r="AT686" s="49"/>
      <c r="AU686" s="49"/>
      <c r="AV686" s="49"/>
      <c r="AW686" s="49"/>
      <c r="AX686" s="49"/>
      <c r="AY686" s="52"/>
    </row>
    <row r="687" spans="1:51" ht="13.5" customHeight="1">
      <c r="A687" s="56"/>
      <c r="B687" s="50"/>
      <c r="C687" s="49"/>
      <c r="D687" s="49"/>
      <c r="E687" s="49"/>
      <c r="F687" s="49"/>
      <c r="G687" s="49"/>
      <c r="H687" s="49"/>
      <c r="I687" s="51"/>
      <c r="J687" s="350"/>
      <c r="K687" s="351"/>
      <c r="L687" s="50"/>
      <c r="M687" s="139"/>
      <c r="N687" s="139" t="s">
        <v>484</v>
      </c>
      <c r="O687" s="139"/>
      <c r="P687" s="139"/>
      <c r="Q687" s="139"/>
      <c r="R687" s="139"/>
      <c r="S687" s="139"/>
      <c r="T687" s="139"/>
      <c r="U687" s="139"/>
      <c r="V687" s="139"/>
      <c r="W687" s="139"/>
      <c r="X687" s="505"/>
      <c r="Y687" s="505"/>
      <c r="Z687" s="505"/>
      <c r="AA687" s="505"/>
      <c r="AB687" s="505"/>
      <c r="AC687" s="505"/>
      <c r="AD687" s="102"/>
      <c r="AE687" s="102"/>
      <c r="AF687" s="102"/>
      <c r="AG687" s="102"/>
      <c r="AH687" s="102"/>
      <c r="AI687" s="102"/>
      <c r="AJ687" s="102"/>
      <c r="AK687" s="102"/>
      <c r="AL687" s="102"/>
      <c r="AM687" s="102"/>
      <c r="AN687" s="102"/>
      <c r="AO687" s="102"/>
      <c r="AP687" s="49"/>
      <c r="AQ687" s="51"/>
      <c r="AR687" s="208"/>
      <c r="AS687" s="49"/>
      <c r="AT687" s="49"/>
      <c r="AU687" s="49"/>
      <c r="AV687" s="49"/>
      <c r="AW687" s="49"/>
      <c r="AX687" s="49"/>
      <c r="AY687" s="52"/>
    </row>
    <row r="688" spans="1:51" ht="13.5" customHeight="1">
      <c r="A688" s="56"/>
      <c r="B688" s="50"/>
      <c r="C688" s="49"/>
      <c r="D688" s="49"/>
      <c r="E688" s="49"/>
      <c r="F688" s="49"/>
      <c r="G688" s="49"/>
      <c r="H688" s="49"/>
      <c r="I688" s="51"/>
      <c r="J688" s="350"/>
      <c r="K688" s="351"/>
      <c r="L688" s="50"/>
      <c r="M688" s="216" t="s">
        <v>450</v>
      </c>
      <c r="N688" s="139"/>
      <c r="O688" s="139"/>
      <c r="P688" s="139"/>
      <c r="Q688" s="139"/>
      <c r="R688" s="139"/>
      <c r="S688" s="139"/>
      <c r="T688" s="139"/>
      <c r="U688" s="139"/>
      <c r="V688" s="139"/>
      <c r="W688" s="139"/>
      <c r="X688" s="505"/>
      <c r="Y688" s="505"/>
      <c r="Z688" s="505"/>
      <c r="AA688" s="505"/>
      <c r="AB688" s="505"/>
      <c r="AC688" s="505"/>
      <c r="AD688" s="102"/>
      <c r="AE688" s="102"/>
      <c r="AF688" s="102"/>
      <c r="AG688" s="102"/>
      <c r="AH688" s="102"/>
      <c r="AI688" s="102"/>
      <c r="AJ688" s="102"/>
      <c r="AK688" s="102"/>
      <c r="AL688" s="102"/>
      <c r="AM688" s="102"/>
      <c r="AN688" s="102"/>
      <c r="AO688" s="102"/>
      <c r="AP688" s="49"/>
      <c r="AQ688" s="51"/>
      <c r="AR688" s="208"/>
      <c r="AS688" s="49"/>
      <c r="AT688" s="49"/>
      <c r="AU688" s="49"/>
      <c r="AV688" s="49"/>
      <c r="AW688" s="49"/>
      <c r="AX688" s="49"/>
      <c r="AY688" s="52"/>
    </row>
    <row r="689" spans="1:51" ht="13.5" customHeight="1">
      <c r="A689" s="56"/>
      <c r="B689" s="50"/>
      <c r="C689" s="49"/>
      <c r="D689" s="49"/>
      <c r="E689" s="49"/>
      <c r="F689" s="49"/>
      <c r="G689" s="49"/>
      <c r="H689" s="49"/>
      <c r="I689" s="51"/>
      <c r="J689" s="350"/>
      <c r="K689" s="351"/>
      <c r="L689" s="50"/>
      <c r="M689" s="139"/>
      <c r="N689" s="139" t="s">
        <v>483</v>
      </c>
      <c r="O689" s="139"/>
      <c r="P689" s="139"/>
      <c r="Q689" s="139"/>
      <c r="R689" s="139"/>
      <c r="S689" s="139"/>
      <c r="T689" s="139"/>
      <c r="U689" s="139"/>
      <c r="V689" s="139"/>
      <c r="W689" s="139"/>
      <c r="X689" s="505"/>
      <c r="Y689" s="505"/>
      <c r="Z689" s="505"/>
      <c r="AA689" s="505"/>
      <c r="AB689" s="505"/>
      <c r="AC689" s="505"/>
      <c r="AD689" s="102"/>
      <c r="AE689" s="102"/>
      <c r="AF689" s="102"/>
      <c r="AG689" s="102"/>
      <c r="AH689" s="102"/>
      <c r="AI689" s="102"/>
      <c r="AJ689" s="102"/>
      <c r="AK689" s="102"/>
      <c r="AL689" s="102"/>
      <c r="AM689" s="102"/>
      <c r="AN689" s="102"/>
      <c r="AO689" s="102"/>
      <c r="AP689" s="49"/>
      <c r="AQ689" s="51"/>
      <c r="AR689" s="208"/>
      <c r="AS689" s="49"/>
      <c r="AT689" s="49"/>
      <c r="AU689" s="49"/>
      <c r="AV689" s="49"/>
      <c r="AW689" s="49"/>
      <c r="AX689" s="49"/>
      <c r="AY689" s="52"/>
    </row>
    <row r="690" spans="1:51" ht="13.5" customHeight="1">
      <c r="A690" s="56"/>
      <c r="B690" s="50"/>
      <c r="C690" s="49"/>
      <c r="D690" s="49"/>
      <c r="E690" s="49"/>
      <c r="F690" s="49"/>
      <c r="G690" s="49"/>
      <c r="H690" s="49"/>
      <c r="I690" s="51"/>
      <c r="J690" s="350"/>
      <c r="K690" s="351"/>
      <c r="L690" s="50"/>
      <c r="M690" s="216" t="s">
        <v>452</v>
      </c>
      <c r="N690" s="139"/>
      <c r="O690" s="139"/>
      <c r="P690" s="139"/>
      <c r="Q690" s="139"/>
      <c r="R690" s="139"/>
      <c r="S690" s="139"/>
      <c r="T690" s="139"/>
      <c r="U690" s="139"/>
      <c r="V690" s="139"/>
      <c r="W690" s="139"/>
      <c r="X690" s="505"/>
      <c r="Y690" s="505"/>
      <c r="Z690" s="505"/>
      <c r="AA690" s="505"/>
      <c r="AB690" s="505"/>
      <c r="AC690" s="505"/>
      <c r="AD690" s="102"/>
      <c r="AE690" s="102"/>
      <c r="AF690" s="102"/>
      <c r="AG690" s="102"/>
      <c r="AH690" s="102"/>
      <c r="AI690" s="102"/>
      <c r="AJ690" s="102"/>
      <c r="AK690" s="102"/>
      <c r="AL690" s="102"/>
      <c r="AM690" s="102"/>
      <c r="AN690" s="102"/>
      <c r="AO690" s="102"/>
      <c r="AP690" s="49"/>
      <c r="AQ690" s="51"/>
      <c r="AR690" s="208"/>
      <c r="AS690" s="49"/>
      <c r="AT690" s="49"/>
      <c r="AU690" s="49"/>
      <c r="AV690" s="49"/>
      <c r="AW690" s="49"/>
      <c r="AX690" s="49"/>
      <c r="AY690" s="52"/>
    </row>
    <row r="691" spans="1:51" ht="13.5" customHeight="1">
      <c r="A691" s="56"/>
      <c r="B691" s="50"/>
      <c r="C691" s="49"/>
      <c r="D691" s="49"/>
      <c r="E691" s="49"/>
      <c r="F691" s="49"/>
      <c r="G691" s="49"/>
      <c r="H691" s="49"/>
      <c r="I691" s="51"/>
      <c r="J691" s="350"/>
      <c r="K691" s="351"/>
      <c r="L691" s="50"/>
      <c r="M691" s="139"/>
      <c r="N691" s="139" t="s">
        <v>486</v>
      </c>
      <c r="O691" s="139"/>
      <c r="P691" s="139"/>
      <c r="Q691" s="139"/>
      <c r="R691" s="139"/>
      <c r="S691" s="139"/>
      <c r="T691" s="139"/>
      <c r="U691" s="139"/>
      <c r="V691" s="139"/>
      <c r="W691" s="139"/>
      <c r="X691" s="505"/>
      <c r="Y691" s="505"/>
      <c r="Z691" s="505"/>
      <c r="AA691" s="505"/>
      <c r="AB691" s="505"/>
      <c r="AC691" s="505"/>
      <c r="AD691" s="102"/>
      <c r="AE691" s="102"/>
      <c r="AF691" s="102"/>
      <c r="AG691" s="102"/>
      <c r="AH691" s="102"/>
      <c r="AI691" s="102"/>
      <c r="AJ691" s="102"/>
      <c r="AK691" s="102"/>
      <c r="AL691" s="102"/>
      <c r="AM691" s="102"/>
      <c r="AN691" s="102"/>
      <c r="AO691" s="102"/>
      <c r="AP691" s="49"/>
      <c r="AQ691" s="51"/>
      <c r="AR691" s="208"/>
      <c r="AS691" s="49"/>
      <c r="AT691" s="49"/>
      <c r="AU691" s="49"/>
      <c r="AV691" s="49"/>
      <c r="AW691" s="49"/>
      <c r="AX691" s="49"/>
      <c r="AY691" s="52"/>
    </row>
    <row r="692" spans="1:51" ht="13.5" customHeight="1" thickBot="1">
      <c r="A692" s="321"/>
      <c r="B692" s="322"/>
      <c r="C692" s="323"/>
      <c r="D692" s="323"/>
      <c r="E692" s="323"/>
      <c r="F692" s="323"/>
      <c r="G692" s="323"/>
      <c r="H692" s="323"/>
      <c r="I692" s="324"/>
      <c r="J692" s="354"/>
      <c r="K692" s="355"/>
      <c r="L692" s="322"/>
      <c r="M692" s="533"/>
      <c r="N692" s="533" t="s">
        <v>485</v>
      </c>
      <c r="O692" s="533"/>
      <c r="P692" s="533"/>
      <c r="Q692" s="533"/>
      <c r="R692" s="533"/>
      <c r="S692" s="533"/>
      <c r="T692" s="533"/>
      <c r="U692" s="533"/>
      <c r="V692" s="533"/>
      <c r="W692" s="533"/>
      <c r="X692" s="538"/>
      <c r="Y692" s="538"/>
      <c r="Z692" s="538"/>
      <c r="AA692" s="538"/>
      <c r="AB692" s="538"/>
      <c r="AC692" s="538"/>
      <c r="AD692" s="338"/>
      <c r="AE692" s="338"/>
      <c r="AF692" s="338"/>
      <c r="AG692" s="338"/>
      <c r="AH692" s="338"/>
      <c r="AI692" s="338"/>
      <c r="AJ692" s="338"/>
      <c r="AK692" s="338"/>
      <c r="AL692" s="338"/>
      <c r="AM692" s="338"/>
      <c r="AN692" s="338"/>
      <c r="AO692" s="338"/>
      <c r="AP692" s="323"/>
      <c r="AQ692" s="324"/>
      <c r="AR692" s="327"/>
      <c r="AS692" s="323"/>
      <c r="AT692" s="323"/>
      <c r="AU692" s="323"/>
      <c r="AV692" s="323"/>
      <c r="AW692" s="323"/>
      <c r="AX692" s="323"/>
      <c r="AY692" s="328"/>
    </row>
    <row r="693" spans="1:51" ht="13.5" customHeight="1">
      <c r="A693" s="56"/>
      <c r="B693" s="50"/>
      <c r="C693" s="49"/>
      <c r="D693" s="49"/>
      <c r="E693" s="49"/>
      <c r="F693" s="49"/>
      <c r="G693" s="49"/>
      <c r="H693" s="49"/>
      <c r="I693" s="51"/>
      <c r="J693" s="350"/>
      <c r="K693" s="351"/>
      <c r="L693" s="101"/>
      <c r="M693" s="139"/>
      <c r="N693" s="139"/>
      <c r="O693" s="139"/>
      <c r="P693" s="139"/>
      <c r="Q693" s="139"/>
      <c r="R693" s="139"/>
      <c r="S693" s="139"/>
      <c r="T693" s="139"/>
      <c r="U693" s="139"/>
      <c r="V693" s="139"/>
      <c r="W693" s="139"/>
      <c r="X693" s="139"/>
      <c r="Y693" s="139"/>
      <c r="Z693" s="139"/>
      <c r="AA693" s="139"/>
      <c r="AB693" s="139"/>
      <c r="AC693" s="139"/>
      <c r="AD693" s="49"/>
      <c r="AE693" s="49"/>
      <c r="AF693" s="49"/>
      <c r="AG693" s="49"/>
      <c r="AH693" s="49"/>
      <c r="AI693" s="49"/>
      <c r="AJ693" s="49"/>
      <c r="AK693" s="49"/>
      <c r="AL693" s="49"/>
      <c r="AM693" s="49"/>
      <c r="AN693" s="49"/>
      <c r="AO693" s="49"/>
      <c r="AP693" s="49"/>
      <c r="AQ693" s="51"/>
      <c r="AR693" s="208"/>
      <c r="AS693" s="49"/>
      <c r="AT693" s="49"/>
      <c r="AU693" s="49"/>
      <c r="AV693" s="49"/>
      <c r="AW693" s="49"/>
      <c r="AX693" s="49"/>
      <c r="AY693" s="52"/>
    </row>
    <row r="694" spans="1:51" ht="13.5" customHeight="1">
      <c r="A694" s="56"/>
      <c r="B694" s="50"/>
      <c r="C694" s="49"/>
      <c r="D694" s="49"/>
      <c r="E694" s="49"/>
      <c r="F694" s="49"/>
      <c r="G694" s="49"/>
      <c r="H694" s="49"/>
      <c r="I694" s="51"/>
      <c r="J694" s="350"/>
      <c r="K694" s="351"/>
      <c r="L694" s="101"/>
      <c r="M694" s="139" t="s">
        <v>819</v>
      </c>
      <c r="N694" s="139"/>
      <c r="O694" s="139"/>
      <c r="P694" s="139"/>
      <c r="Q694" s="139"/>
      <c r="R694" s="139"/>
      <c r="S694" s="139"/>
      <c r="T694" s="139"/>
      <c r="U694" s="139"/>
      <c r="V694" s="139"/>
      <c r="W694" s="139"/>
      <c r="X694" s="139"/>
      <c r="Y694" s="139"/>
      <c r="Z694" s="139"/>
      <c r="AA694" s="139"/>
      <c r="AB694" s="139"/>
      <c r="AC694" s="139"/>
      <c r="AD694" s="49"/>
      <c r="AE694" s="49"/>
      <c r="AF694" s="49"/>
      <c r="AG694" s="49"/>
      <c r="AH694" s="49"/>
      <c r="AI694" s="49"/>
      <c r="AJ694" s="49"/>
      <c r="AK694" s="49"/>
      <c r="AL694" s="49"/>
      <c r="AM694" s="49"/>
      <c r="AN694" s="49"/>
      <c r="AO694" s="49"/>
      <c r="AP694" s="49"/>
      <c r="AQ694" s="51"/>
      <c r="AR694" s="208" t="s">
        <v>820</v>
      </c>
      <c r="AS694" s="49"/>
      <c r="AT694" s="49"/>
      <c r="AU694" s="49"/>
      <c r="AV694" s="49"/>
      <c r="AW694" s="49"/>
      <c r="AX694" s="49"/>
      <c r="AY694" s="52"/>
    </row>
    <row r="695" spans="1:51" ht="13.5" customHeight="1">
      <c r="A695" s="61"/>
      <c r="B695" s="58"/>
      <c r="C695" s="57"/>
      <c r="D695" s="57"/>
      <c r="E695" s="57"/>
      <c r="F695" s="57"/>
      <c r="G695" s="57"/>
      <c r="H695" s="57"/>
      <c r="I695" s="59"/>
      <c r="J695" s="658"/>
      <c r="K695" s="659"/>
      <c r="L695" s="58"/>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9"/>
      <c r="AR695" s="192"/>
      <c r="AS695" s="57"/>
      <c r="AT695" s="57"/>
      <c r="AU695" s="57"/>
      <c r="AV695" s="57"/>
      <c r="AW695" s="57"/>
      <c r="AX695" s="57"/>
      <c r="AY695" s="60"/>
    </row>
    <row r="696" spans="1:51" ht="13.5" customHeight="1">
      <c r="A696" s="45">
        <v>9</v>
      </c>
      <c r="B696" s="64" t="s">
        <v>536</v>
      </c>
      <c r="C696" s="63"/>
      <c r="D696" s="63"/>
      <c r="E696" s="63"/>
      <c r="F696" s="63"/>
      <c r="G696" s="63"/>
      <c r="H696" s="63"/>
      <c r="I696" s="63"/>
      <c r="J696" s="98"/>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214"/>
      <c r="AS696" s="63"/>
      <c r="AT696" s="63"/>
      <c r="AU696" s="63"/>
      <c r="AV696" s="63"/>
      <c r="AW696" s="63"/>
      <c r="AX696" s="63"/>
      <c r="AY696" s="186" t="s">
        <v>71</v>
      </c>
    </row>
    <row r="697" spans="1:51" ht="13.5" customHeight="1">
      <c r="A697" s="56"/>
      <c r="B697" s="50"/>
      <c r="C697" s="49"/>
      <c r="D697" s="49"/>
      <c r="E697" s="49"/>
      <c r="F697" s="49"/>
      <c r="G697" s="49"/>
      <c r="H697" s="49"/>
      <c r="I697" s="51"/>
      <c r="J697" s="656"/>
      <c r="K697" s="657"/>
      <c r="L697" s="101" t="s">
        <v>253</v>
      </c>
      <c r="M697" s="49"/>
      <c r="N697" s="49"/>
      <c r="O697" s="49"/>
      <c r="P697" s="49"/>
      <c r="Q697" s="49"/>
      <c r="R697" s="49"/>
      <c r="S697" s="49"/>
      <c r="T697" s="49"/>
      <c r="U697" s="49"/>
      <c r="V697" s="49"/>
      <c r="W697" s="49"/>
      <c r="X697" s="49"/>
      <c r="Y697" s="49"/>
      <c r="Z697" s="49"/>
      <c r="AA697" s="49"/>
      <c r="AB697" s="49"/>
      <c r="AC697" s="49"/>
      <c r="AD697" s="49"/>
      <c r="AE697" s="49"/>
      <c r="AF697" s="49"/>
      <c r="AG697" s="49"/>
      <c r="AH697" s="49"/>
      <c r="AI697" s="49"/>
      <c r="AJ697" s="49"/>
      <c r="AK697" s="49"/>
      <c r="AL697" s="49"/>
      <c r="AM697" s="49"/>
      <c r="AN697" s="49"/>
      <c r="AO697" s="49"/>
      <c r="AP697" s="49"/>
      <c r="AQ697" s="51"/>
      <c r="AR697" s="208"/>
      <c r="AS697" s="49"/>
      <c r="AT697" s="49"/>
      <c r="AU697" s="49"/>
      <c r="AV697" s="49"/>
      <c r="AW697" s="49"/>
      <c r="AX697" s="49"/>
      <c r="AY697" s="52"/>
    </row>
    <row r="698" spans="1:51" ht="13.5" customHeight="1">
      <c r="A698" s="56"/>
      <c r="B698" s="50"/>
      <c r="C698" s="49"/>
      <c r="D698" s="49"/>
      <c r="E698" s="49"/>
      <c r="F698" s="49"/>
      <c r="G698" s="49"/>
      <c r="H698" s="49"/>
      <c r="I698" s="51"/>
      <c r="J698" s="350"/>
      <c r="K698" s="351"/>
      <c r="L698" s="101" t="s">
        <v>532</v>
      </c>
      <c r="M698" s="49"/>
      <c r="N698" s="49"/>
      <c r="O698" s="49"/>
      <c r="P698" s="49"/>
      <c r="Q698" s="49"/>
      <c r="R698" s="49"/>
      <c r="S698" s="49"/>
      <c r="T698" s="49"/>
      <c r="U698" s="49"/>
      <c r="V698" s="49"/>
      <c r="W698" s="49"/>
      <c r="X698" s="49"/>
      <c r="Y698" s="49"/>
      <c r="Z698" s="49"/>
      <c r="AA698" s="49"/>
      <c r="AB698" s="49"/>
      <c r="AC698" s="49"/>
      <c r="AD698" s="49"/>
      <c r="AE698" s="49"/>
      <c r="AF698" s="49"/>
      <c r="AG698" s="49"/>
      <c r="AH698" s="49"/>
      <c r="AI698" s="49"/>
      <c r="AJ698" s="49"/>
      <c r="AK698" s="49"/>
      <c r="AL698" s="49"/>
      <c r="AM698" s="49"/>
      <c r="AN698" s="49"/>
      <c r="AO698" s="49"/>
      <c r="AP698" s="49"/>
      <c r="AQ698" s="51"/>
      <c r="AR698" s="208"/>
      <c r="AS698" s="49"/>
      <c r="AT698" s="49"/>
      <c r="AU698" s="49"/>
      <c r="AV698" s="49"/>
      <c r="AW698" s="49"/>
      <c r="AX698" s="49"/>
      <c r="AY698" s="52"/>
    </row>
    <row r="699" spans="1:51" ht="13.5" customHeight="1">
      <c r="A699" s="56"/>
      <c r="B699" s="50"/>
      <c r="C699" s="49"/>
      <c r="D699" s="49"/>
      <c r="E699" s="49"/>
      <c r="F699" s="49"/>
      <c r="G699" s="49"/>
      <c r="H699" s="49"/>
      <c r="I699" s="51"/>
      <c r="J699" s="350"/>
      <c r="K699" s="351"/>
      <c r="L699" s="101"/>
      <c r="M699" s="49"/>
      <c r="N699" s="49"/>
      <c r="O699" s="49"/>
      <c r="P699" s="49"/>
      <c r="Q699" s="49"/>
      <c r="R699" s="49"/>
      <c r="S699" s="49"/>
      <c r="T699" s="49"/>
      <c r="U699" s="49"/>
      <c r="V699" s="49"/>
      <c r="W699" s="49"/>
      <c r="X699" s="49"/>
      <c r="Y699" s="49"/>
      <c r="Z699" s="49"/>
      <c r="AA699" s="49"/>
      <c r="AB699" s="49"/>
      <c r="AC699" s="49"/>
      <c r="AD699" s="49"/>
      <c r="AE699" s="49"/>
      <c r="AF699" s="49"/>
      <c r="AG699" s="49"/>
      <c r="AH699" s="49"/>
      <c r="AI699" s="49"/>
      <c r="AJ699" s="49"/>
      <c r="AK699" s="49"/>
      <c r="AL699" s="49"/>
      <c r="AM699" s="49"/>
      <c r="AN699" s="49"/>
      <c r="AO699" s="49"/>
      <c r="AP699" s="49"/>
      <c r="AQ699" s="51"/>
      <c r="AR699" s="208"/>
      <c r="AS699" s="49"/>
      <c r="AT699" s="49"/>
      <c r="AU699" s="49"/>
      <c r="AV699" s="49"/>
      <c r="AW699" s="49"/>
      <c r="AX699" s="49"/>
      <c r="AY699" s="52"/>
    </row>
    <row r="700" spans="1:51" ht="13.5" customHeight="1">
      <c r="A700" s="56"/>
      <c r="B700" s="50"/>
      <c r="C700" s="49"/>
      <c r="D700" s="49"/>
      <c r="E700" s="49"/>
      <c r="F700" s="49"/>
      <c r="G700" s="49"/>
      <c r="H700" s="49"/>
      <c r="I700" s="51"/>
      <c r="J700" s="350"/>
      <c r="K700" s="351"/>
      <c r="L700" s="101"/>
      <c r="M700" s="49" t="s">
        <v>815</v>
      </c>
      <c r="N700" s="49"/>
      <c r="O700" s="49"/>
      <c r="P700" s="49"/>
      <c r="Q700" s="49"/>
      <c r="R700" s="49"/>
      <c r="S700" s="49"/>
      <c r="T700" s="49"/>
      <c r="U700" s="49"/>
      <c r="V700" s="49"/>
      <c r="W700" s="49"/>
      <c r="X700" s="49"/>
      <c r="Y700" s="49"/>
      <c r="Z700" s="49"/>
      <c r="AA700" s="49"/>
      <c r="AB700" s="49"/>
      <c r="AC700" s="49"/>
      <c r="AD700" s="49"/>
      <c r="AE700" s="49"/>
      <c r="AF700" s="49"/>
      <c r="AG700" s="49"/>
      <c r="AH700" s="49"/>
      <c r="AI700" s="49"/>
      <c r="AJ700" s="49"/>
      <c r="AK700" s="49"/>
      <c r="AL700" s="49"/>
      <c r="AM700" s="49"/>
      <c r="AN700" s="49"/>
      <c r="AO700" s="49"/>
      <c r="AP700" s="49"/>
      <c r="AQ700" s="51"/>
      <c r="AR700" s="208" t="s">
        <v>817</v>
      </c>
      <c r="AS700" s="49"/>
      <c r="AT700" s="49"/>
      <c r="AU700" s="49"/>
      <c r="AV700" s="49"/>
      <c r="AW700" s="49"/>
      <c r="AX700" s="49"/>
      <c r="AY700" s="52"/>
    </row>
    <row r="701" spans="1:51" ht="13.5" customHeight="1">
      <c r="A701" s="56"/>
      <c r="B701" s="50"/>
      <c r="C701" s="49"/>
      <c r="D701" s="49"/>
      <c r="E701" s="49"/>
      <c r="F701" s="49"/>
      <c r="G701" s="49"/>
      <c r="H701" s="49"/>
      <c r="I701" s="51"/>
      <c r="J701" s="350"/>
      <c r="K701" s="351"/>
      <c r="L701" s="101"/>
      <c r="M701" s="49"/>
      <c r="N701" s="49"/>
      <c r="O701" s="49"/>
      <c r="P701" s="49"/>
      <c r="Q701" s="49"/>
      <c r="R701" s="49"/>
      <c r="S701" s="49"/>
      <c r="T701" s="49"/>
      <c r="U701" s="49"/>
      <c r="V701" s="49"/>
      <c r="W701" s="49"/>
      <c r="X701" s="49"/>
      <c r="Y701" s="49"/>
      <c r="Z701" s="49"/>
      <c r="AA701" s="49"/>
      <c r="AB701" s="49"/>
      <c r="AC701" s="49"/>
      <c r="AD701" s="49"/>
      <c r="AE701" s="49"/>
      <c r="AF701" s="49"/>
      <c r="AG701" s="49"/>
      <c r="AH701" s="49"/>
      <c r="AI701" s="49"/>
      <c r="AJ701" s="49"/>
      <c r="AK701" s="49"/>
      <c r="AL701" s="49"/>
      <c r="AM701" s="49"/>
      <c r="AN701" s="49"/>
      <c r="AO701" s="49"/>
      <c r="AP701" s="49"/>
      <c r="AQ701" s="51"/>
      <c r="AR701" s="208"/>
      <c r="AS701" s="49"/>
      <c r="AT701" s="49"/>
      <c r="AU701" s="49"/>
      <c r="AV701" s="49"/>
      <c r="AW701" s="49"/>
      <c r="AX701" s="49"/>
      <c r="AY701" s="52"/>
    </row>
    <row r="702" spans="1:51" ht="13.5" customHeight="1">
      <c r="A702" s="56"/>
      <c r="B702" s="50"/>
      <c r="C702" s="49"/>
      <c r="D702" s="49"/>
      <c r="E702" s="49"/>
      <c r="F702" s="49"/>
      <c r="G702" s="49"/>
      <c r="H702" s="49"/>
      <c r="I702" s="51"/>
      <c r="J702" s="350"/>
      <c r="K702" s="351"/>
      <c r="L702" s="101"/>
      <c r="M702" s="49" t="s">
        <v>487</v>
      </c>
      <c r="N702" s="49"/>
      <c r="O702" s="49"/>
      <c r="P702" s="49"/>
      <c r="Q702" s="49"/>
      <c r="R702" s="49"/>
      <c r="S702" s="49"/>
      <c r="T702" s="49"/>
      <c r="U702" s="49"/>
      <c r="V702" s="49"/>
      <c r="W702" s="49"/>
      <c r="X702" s="49"/>
      <c r="Y702" s="49"/>
      <c r="Z702" s="49"/>
      <c r="AA702" s="49"/>
      <c r="AB702" s="49"/>
      <c r="AC702" s="49"/>
      <c r="AD702" s="49"/>
      <c r="AE702" s="49"/>
      <c r="AF702" s="49"/>
      <c r="AG702" s="49"/>
      <c r="AH702" s="49"/>
      <c r="AI702" s="49"/>
      <c r="AJ702" s="49"/>
      <c r="AK702" s="49"/>
      <c r="AL702" s="49"/>
      <c r="AM702" s="49"/>
      <c r="AN702" s="49"/>
      <c r="AO702" s="49"/>
      <c r="AP702" s="49"/>
      <c r="AQ702" s="51"/>
      <c r="AR702" s="208" t="s">
        <v>807</v>
      </c>
      <c r="AS702" s="49"/>
      <c r="AT702" s="49"/>
      <c r="AU702" s="49"/>
      <c r="AV702" s="49"/>
      <c r="AW702" s="49"/>
      <c r="AX702" s="49"/>
      <c r="AY702" s="52"/>
    </row>
    <row r="703" spans="1:51" ht="13.5" customHeight="1">
      <c r="A703" s="56"/>
      <c r="B703" s="50"/>
      <c r="C703" s="49"/>
      <c r="D703" s="49"/>
      <c r="E703" s="49"/>
      <c r="F703" s="49"/>
      <c r="G703" s="49"/>
      <c r="H703" s="49"/>
      <c r="I703" s="51"/>
      <c r="J703" s="350"/>
      <c r="K703" s="351"/>
      <c r="L703" s="101"/>
      <c r="M703" s="49"/>
      <c r="N703" s="49"/>
      <c r="O703" s="49"/>
      <c r="P703" s="49"/>
      <c r="Q703" s="49"/>
      <c r="R703" s="49"/>
      <c r="S703" s="49"/>
      <c r="T703" s="49"/>
      <c r="U703" s="49"/>
      <c r="V703" s="49"/>
      <c r="W703" s="49"/>
      <c r="X703" s="49"/>
      <c r="Y703" s="49"/>
      <c r="Z703" s="49"/>
      <c r="AA703" s="49"/>
      <c r="AB703" s="49"/>
      <c r="AC703" s="49"/>
      <c r="AD703" s="49"/>
      <c r="AE703" s="49"/>
      <c r="AF703" s="49"/>
      <c r="AG703" s="49"/>
      <c r="AH703" s="49"/>
      <c r="AI703" s="49"/>
      <c r="AJ703" s="49"/>
      <c r="AK703" s="49"/>
      <c r="AL703" s="49"/>
      <c r="AM703" s="49"/>
      <c r="AN703" s="49"/>
      <c r="AO703" s="49"/>
      <c r="AP703" s="49"/>
      <c r="AQ703" s="51"/>
      <c r="AR703" s="208"/>
      <c r="AS703" s="49"/>
      <c r="AT703" s="49"/>
      <c r="AU703" s="49"/>
      <c r="AV703" s="49"/>
      <c r="AW703" s="49"/>
      <c r="AX703" s="49"/>
      <c r="AY703" s="52"/>
    </row>
    <row r="704" spans="1:51" ht="13.5" customHeight="1">
      <c r="A704" s="56"/>
      <c r="B704" s="50"/>
      <c r="C704" s="49"/>
      <c r="D704" s="49"/>
      <c r="E704" s="49"/>
      <c r="F704" s="49"/>
      <c r="G704" s="49"/>
      <c r="H704" s="49"/>
      <c r="I704" s="51"/>
      <c r="J704" s="350"/>
      <c r="K704" s="351"/>
      <c r="L704" s="101"/>
      <c r="M704" s="107" t="s">
        <v>167</v>
      </c>
      <c r="N704" s="108"/>
      <c r="O704" s="108"/>
      <c r="P704" s="108"/>
      <c r="Q704" s="108"/>
      <c r="R704" s="108"/>
      <c r="S704" s="108"/>
      <c r="T704" s="108"/>
      <c r="U704" s="108"/>
      <c r="V704" s="108"/>
      <c r="W704" s="108"/>
      <c r="X704" s="108"/>
      <c r="Y704" s="108"/>
      <c r="Z704" s="108"/>
      <c r="AA704" s="109"/>
      <c r="AB704" s="107" t="s">
        <v>533</v>
      </c>
      <c r="AC704" s="108"/>
      <c r="AD704" s="108"/>
      <c r="AE704" s="108"/>
      <c r="AF704" s="108"/>
      <c r="AG704" s="108"/>
      <c r="AH704" s="109"/>
      <c r="AI704" s="110" t="s">
        <v>105</v>
      </c>
      <c r="AJ704" s="108"/>
      <c r="AK704" s="108"/>
      <c r="AL704" s="108"/>
      <c r="AM704" s="108"/>
      <c r="AN704" s="109"/>
      <c r="AO704" s="49"/>
      <c r="AP704" s="49"/>
      <c r="AQ704" s="51"/>
      <c r="AR704" s="208"/>
      <c r="AS704" s="49"/>
      <c r="AT704" s="49"/>
      <c r="AU704" s="49"/>
      <c r="AV704" s="49"/>
      <c r="AW704" s="49"/>
      <c r="AX704" s="49"/>
      <c r="AY704" s="52"/>
    </row>
    <row r="705" spans="1:51" ht="13.5" customHeight="1">
      <c r="A705" s="56"/>
      <c r="B705" s="50"/>
      <c r="C705" s="49"/>
      <c r="D705" s="49"/>
      <c r="E705" s="49"/>
      <c r="F705" s="49"/>
      <c r="G705" s="49"/>
      <c r="H705" s="49"/>
      <c r="I705" s="51"/>
      <c r="J705" s="350"/>
      <c r="K705" s="351"/>
      <c r="L705" s="101"/>
      <c r="M705" s="111" t="s">
        <v>162</v>
      </c>
      <c r="N705" s="112"/>
      <c r="O705" s="112"/>
      <c r="P705" s="112"/>
      <c r="Q705" s="112"/>
      <c r="R705" s="112"/>
      <c r="S705" s="112"/>
      <c r="T705" s="112"/>
      <c r="U705" s="112"/>
      <c r="V705" s="112"/>
      <c r="W705" s="112"/>
      <c r="X705" s="112"/>
      <c r="Y705" s="112"/>
      <c r="Z705" s="112"/>
      <c r="AA705" s="113"/>
      <c r="AB705" s="111" t="s">
        <v>163</v>
      </c>
      <c r="AC705" s="112"/>
      <c r="AD705" s="112"/>
      <c r="AE705" s="112"/>
      <c r="AF705" s="112"/>
      <c r="AG705" s="112"/>
      <c r="AH705" s="113"/>
      <c r="AI705" s="114" t="s">
        <v>106</v>
      </c>
      <c r="AJ705" s="112"/>
      <c r="AK705" s="112"/>
      <c r="AL705" s="112"/>
      <c r="AM705" s="112"/>
      <c r="AN705" s="113"/>
      <c r="AO705" s="49"/>
      <c r="AP705" s="49"/>
      <c r="AQ705" s="51"/>
      <c r="AR705" s="208"/>
      <c r="AS705" s="49"/>
      <c r="AT705" s="49"/>
      <c r="AU705" s="49"/>
      <c r="AV705" s="49"/>
      <c r="AW705" s="49"/>
      <c r="AX705" s="49"/>
      <c r="AY705" s="52"/>
    </row>
    <row r="706" spans="1:51" ht="13.5" customHeight="1">
      <c r="A706" s="56"/>
      <c r="B706" s="50"/>
      <c r="C706" s="49"/>
      <c r="D706" s="49"/>
      <c r="E706" s="49"/>
      <c r="F706" s="49"/>
      <c r="G706" s="49"/>
      <c r="H706" s="49"/>
      <c r="I706" s="51"/>
      <c r="J706" s="350"/>
      <c r="K706" s="351"/>
      <c r="L706" s="101"/>
      <c r="M706" s="111" t="s">
        <v>164</v>
      </c>
      <c r="N706" s="112"/>
      <c r="O706" s="112"/>
      <c r="P706" s="112"/>
      <c r="Q706" s="112"/>
      <c r="R706" s="112"/>
      <c r="S706" s="112"/>
      <c r="T706" s="112"/>
      <c r="U706" s="112"/>
      <c r="V706" s="112"/>
      <c r="W706" s="112"/>
      <c r="X706" s="112"/>
      <c r="Y706" s="112"/>
      <c r="Z706" s="112"/>
      <c r="AA706" s="113"/>
      <c r="AB706" s="111" t="s">
        <v>252</v>
      </c>
      <c r="AC706" s="112"/>
      <c r="AD706" s="112"/>
      <c r="AE706" s="112"/>
      <c r="AF706" s="112"/>
      <c r="AG706" s="112"/>
      <c r="AH706" s="113"/>
      <c r="AI706" s="114" t="s">
        <v>106</v>
      </c>
      <c r="AJ706" s="112"/>
      <c r="AK706" s="112"/>
      <c r="AL706" s="112"/>
      <c r="AM706" s="112"/>
      <c r="AN706" s="113"/>
      <c r="AO706" s="49"/>
      <c r="AP706" s="49"/>
      <c r="AQ706" s="51"/>
      <c r="AR706" s="208"/>
      <c r="AS706" s="49"/>
      <c r="AT706" s="49"/>
      <c r="AU706" s="49"/>
      <c r="AV706" s="49"/>
      <c r="AW706" s="49"/>
      <c r="AX706" s="49"/>
      <c r="AY706" s="52"/>
    </row>
    <row r="707" spans="1:51" ht="13.5" customHeight="1">
      <c r="A707" s="56"/>
      <c r="B707" s="50"/>
      <c r="C707" s="49"/>
      <c r="D707" s="49"/>
      <c r="E707" s="49"/>
      <c r="F707" s="49"/>
      <c r="G707" s="49"/>
      <c r="H707" s="49"/>
      <c r="I707" s="51"/>
      <c r="J707" s="350"/>
      <c r="K707" s="351"/>
      <c r="L707" s="101"/>
      <c r="M707" s="49"/>
      <c r="N707" s="49"/>
      <c r="O707" s="49"/>
      <c r="P707" s="49"/>
      <c r="Q707" s="49"/>
      <c r="R707" s="49"/>
      <c r="S707" s="49"/>
      <c r="T707" s="49"/>
      <c r="U707" s="49"/>
      <c r="V707" s="49"/>
      <c r="W707" s="49"/>
      <c r="X707" s="49"/>
      <c r="Y707" s="49"/>
      <c r="Z707" s="49"/>
      <c r="AA707" s="49"/>
      <c r="AB707" s="49"/>
      <c r="AC707" s="49"/>
      <c r="AD707" s="49"/>
      <c r="AE707" s="49"/>
      <c r="AF707" s="49"/>
      <c r="AG707" s="49"/>
      <c r="AH707" s="49"/>
      <c r="AI707" s="49"/>
      <c r="AJ707" s="49"/>
      <c r="AK707" s="49"/>
      <c r="AL707" s="49"/>
      <c r="AM707" s="49"/>
      <c r="AN707" s="49"/>
      <c r="AO707" s="49"/>
      <c r="AP707" s="49"/>
      <c r="AQ707" s="51"/>
      <c r="AR707" s="208"/>
      <c r="AS707" s="49"/>
      <c r="AT707" s="49"/>
      <c r="AU707" s="49"/>
      <c r="AV707" s="49"/>
      <c r="AW707" s="49"/>
      <c r="AX707" s="49"/>
      <c r="AY707" s="52"/>
    </row>
    <row r="708" spans="1:51" ht="13.5" customHeight="1">
      <c r="A708" s="56"/>
      <c r="B708" s="50"/>
      <c r="C708" s="49"/>
      <c r="D708" s="49"/>
      <c r="E708" s="49"/>
      <c r="F708" s="49"/>
      <c r="G708" s="49"/>
      <c r="H708" s="49"/>
      <c r="I708" s="51"/>
      <c r="J708" s="350"/>
      <c r="K708" s="351"/>
      <c r="L708" s="101"/>
      <c r="M708" s="49" t="s">
        <v>534</v>
      </c>
      <c r="N708" s="49"/>
      <c r="O708" s="49"/>
      <c r="P708" s="49"/>
      <c r="Q708" s="49"/>
      <c r="R708" s="49"/>
      <c r="S708" s="49"/>
      <c r="T708" s="49"/>
      <c r="U708" s="49"/>
      <c r="V708" s="49"/>
      <c r="W708" s="49"/>
      <c r="X708" s="49"/>
      <c r="Y708" s="49"/>
      <c r="Z708" s="49"/>
      <c r="AA708" s="49"/>
      <c r="AB708" s="49"/>
      <c r="AC708" s="49"/>
      <c r="AD708" s="49"/>
      <c r="AE708" s="49"/>
      <c r="AF708" s="49"/>
      <c r="AG708" s="49"/>
      <c r="AH708" s="49"/>
      <c r="AI708" s="49"/>
      <c r="AJ708" s="49"/>
      <c r="AK708" s="49"/>
      <c r="AL708" s="49"/>
      <c r="AM708" s="49"/>
      <c r="AN708" s="49"/>
      <c r="AO708" s="49"/>
      <c r="AP708" s="49"/>
      <c r="AQ708" s="51"/>
      <c r="AR708" s="208"/>
      <c r="AS708" s="49"/>
      <c r="AT708" s="49"/>
      <c r="AU708" s="49"/>
      <c r="AV708" s="49"/>
      <c r="AW708" s="49"/>
      <c r="AX708" s="49"/>
      <c r="AY708" s="52"/>
    </row>
    <row r="709" spans="1:51" ht="13.5" customHeight="1">
      <c r="A709" s="56"/>
      <c r="B709" s="50"/>
      <c r="C709" s="49"/>
      <c r="D709" s="49"/>
      <c r="E709" s="49"/>
      <c r="F709" s="49"/>
      <c r="G709" s="49"/>
      <c r="H709" s="49"/>
      <c r="I709" s="51"/>
      <c r="J709" s="350"/>
      <c r="K709" s="351"/>
      <c r="L709" s="101"/>
      <c r="M709" s="49"/>
      <c r="N709" s="49"/>
      <c r="O709" s="49"/>
      <c r="P709" s="49"/>
      <c r="Q709" s="49"/>
      <c r="R709" s="49"/>
      <c r="S709" s="49"/>
      <c r="T709" s="49"/>
      <c r="U709" s="49"/>
      <c r="V709" s="49"/>
      <c r="W709" s="49"/>
      <c r="X709" s="49"/>
      <c r="Y709" s="49"/>
      <c r="Z709" s="49"/>
      <c r="AA709" s="49"/>
      <c r="AB709" s="49"/>
      <c r="AC709" s="49"/>
      <c r="AD709" s="49"/>
      <c r="AE709" s="49"/>
      <c r="AF709" s="49"/>
      <c r="AG709" s="49"/>
      <c r="AH709" s="49"/>
      <c r="AI709" s="49"/>
      <c r="AJ709" s="49"/>
      <c r="AK709" s="49"/>
      <c r="AL709" s="49"/>
      <c r="AM709" s="49"/>
      <c r="AN709" s="49"/>
      <c r="AO709" s="49"/>
      <c r="AP709" s="49"/>
      <c r="AQ709" s="51"/>
      <c r="AR709" s="208"/>
      <c r="AS709" s="49"/>
      <c r="AT709" s="49"/>
      <c r="AU709" s="49"/>
      <c r="AV709" s="49"/>
      <c r="AW709" s="49"/>
      <c r="AX709" s="49"/>
      <c r="AY709" s="52"/>
    </row>
    <row r="710" spans="1:51" ht="13.5" customHeight="1">
      <c r="A710" s="56"/>
      <c r="B710" s="50"/>
      <c r="C710" s="49"/>
      <c r="D710" s="49"/>
      <c r="E710" s="49"/>
      <c r="F710" s="49"/>
      <c r="G710" s="49"/>
      <c r="H710" s="49"/>
      <c r="I710" s="51"/>
      <c r="J710" s="350"/>
      <c r="K710" s="351"/>
      <c r="L710" s="101"/>
      <c r="M710" s="49"/>
      <c r="N710" s="49"/>
      <c r="O710" s="49"/>
      <c r="P710" s="49"/>
      <c r="Q710" s="49"/>
      <c r="R710" s="49"/>
      <c r="S710" s="49"/>
      <c r="T710" s="49"/>
      <c r="U710" s="49"/>
      <c r="V710" s="49"/>
      <c r="W710" s="49"/>
      <c r="X710" s="49"/>
      <c r="Y710" s="49"/>
      <c r="Z710" s="49"/>
      <c r="AA710" s="49"/>
      <c r="AB710" s="49"/>
      <c r="AC710" s="49"/>
      <c r="AD710" s="49"/>
      <c r="AE710" s="49"/>
      <c r="AF710" s="49"/>
      <c r="AG710" s="49"/>
      <c r="AH710" s="49"/>
      <c r="AI710" s="49"/>
      <c r="AJ710" s="49"/>
      <c r="AK710" s="49"/>
      <c r="AL710" s="49"/>
      <c r="AM710" s="49"/>
      <c r="AN710" s="49"/>
      <c r="AO710" s="49"/>
      <c r="AP710" s="49"/>
      <c r="AQ710" s="51"/>
      <c r="AR710" s="208"/>
      <c r="AS710" s="49"/>
      <c r="AT710" s="49"/>
      <c r="AU710" s="49"/>
      <c r="AV710" s="49"/>
      <c r="AW710" s="49"/>
      <c r="AX710" s="49"/>
      <c r="AY710" s="52"/>
    </row>
    <row r="711" spans="1:51" ht="13.5" customHeight="1">
      <c r="A711" s="56"/>
      <c r="B711" s="50"/>
      <c r="C711" s="49"/>
      <c r="D711" s="49"/>
      <c r="E711" s="49"/>
      <c r="F711" s="49"/>
      <c r="G711" s="49"/>
      <c r="H711" s="49"/>
      <c r="I711" s="51"/>
      <c r="J711" s="350"/>
      <c r="K711" s="351"/>
      <c r="L711" s="50"/>
      <c r="M711" s="216" t="s">
        <v>449</v>
      </c>
      <c r="N711" s="139"/>
      <c r="O711" s="139"/>
      <c r="P711" s="139"/>
      <c r="Q711" s="139"/>
      <c r="R711" s="139"/>
      <c r="S711" s="139"/>
      <c r="T711" s="139"/>
      <c r="U711" s="139"/>
      <c r="V711" s="139"/>
      <c r="W711" s="139"/>
      <c r="X711" s="505"/>
      <c r="Y711" s="505"/>
      <c r="Z711" s="505"/>
      <c r="AA711" s="505"/>
      <c r="AB711" s="505"/>
      <c r="AC711" s="102"/>
      <c r="AD711" s="102"/>
      <c r="AE711" s="102"/>
      <c r="AF711" s="102"/>
      <c r="AG711" s="102"/>
      <c r="AH711" s="102"/>
      <c r="AI711" s="102"/>
      <c r="AJ711" s="102"/>
      <c r="AK711" s="102"/>
      <c r="AL711" s="102"/>
      <c r="AM711" s="102"/>
      <c r="AN711" s="102"/>
      <c r="AO711" s="102"/>
      <c r="AP711" s="49"/>
      <c r="AQ711" s="51"/>
      <c r="AR711" s="208"/>
      <c r="AS711" s="49"/>
      <c r="AT711" s="49"/>
      <c r="AU711" s="49"/>
      <c r="AV711" s="49"/>
      <c r="AW711" s="49"/>
      <c r="AX711" s="49"/>
      <c r="AY711" s="52"/>
    </row>
    <row r="712" spans="1:51" ht="13.5" customHeight="1">
      <c r="A712" s="56"/>
      <c r="B712" s="50"/>
      <c r="C712" s="49"/>
      <c r="D712" s="49"/>
      <c r="E712" s="49"/>
      <c r="F712" s="49"/>
      <c r="G712" s="49"/>
      <c r="H712" s="49"/>
      <c r="I712" s="51"/>
      <c r="J712" s="350"/>
      <c r="K712" s="351"/>
      <c r="L712" s="50"/>
      <c r="M712" s="139"/>
      <c r="N712" s="139" t="s">
        <v>275</v>
      </c>
      <c r="O712" s="139"/>
      <c r="P712" s="139"/>
      <c r="Q712" s="139"/>
      <c r="R712" s="139"/>
      <c r="S712" s="139"/>
      <c r="T712" s="139"/>
      <c r="U712" s="139"/>
      <c r="V712" s="139"/>
      <c r="W712" s="139"/>
      <c r="X712" s="505"/>
      <c r="Y712" s="505"/>
      <c r="Z712" s="505"/>
      <c r="AA712" s="505"/>
      <c r="AB712" s="505"/>
      <c r="AC712" s="102"/>
      <c r="AD712" s="102"/>
      <c r="AE712" s="102"/>
      <c r="AF712" s="102"/>
      <c r="AG712" s="102"/>
      <c r="AH712" s="102"/>
      <c r="AI712" s="102"/>
      <c r="AJ712" s="102"/>
      <c r="AK712" s="102"/>
      <c r="AL712" s="102"/>
      <c r="AM712" s="102"/>
      <c r="AN712" s="102"/>
      <c r="AO712" s="102"/>
      <c r="AP712" s="49"/>
      <c r="AQ712" s="51"/>
      <c r="AR712" s="208"/>
      <c r="AS712" s="49"/>
      <c r="AT712" s="49"/>
      <c r="AU712" s="49"/>
      <c r="AV712" s="49"/>
      <c r="AW712" s="49"/>
      <c r="AX712" s="49"/>
      <c r="AY712" s="52"/>
    </row>
    <row r="713" spans="1:51" ht="13.5" customHeight="1">
      <c r="A713" s="56"/>
      <c r="B713" s="50"/>
      <c r="C713" s="49"/>
      <c r="D713" s="49"/>
      <c r="E713" s="49"/>
      <c r="F713" s="49"/>
      <c r="G713" s="49"/>
      <c r="H713" s="49"/>
      <c r="I713" s="51"/>
      <c r="J713" s="350"/>
      <c r="K713" s="351"/>
      <c r="L713" s="50"/>
      <c r="M713" s="216" t="s">
        <v>450</v>
      </c>
      <c r="N713" s="139"/>
      <c r="O713" s="139"/>
      <c r="P713" s="139"/>
      <c r="Q713" s="139"/>
      <c r="R713" s="139"/>
      <c r="S713" s="139"/>
      <c r="T713" s="139"/>
      <c r="U713" s="139"/>
      <c r="V713" s="139"/>
      <c r="W713" s="139"/>
      <c r="X713" s="505"/>
      <c r="Y713" s="505"/>
      <c r="Z713" s="505"/>
      <c r="AA713" s="505"/>
      <c r="AB713" s="505"/>
      <c r="AC713" s="102"/>
      <c r="AD713" s="102"/>
      <c r="AE713" s="102"/>
      <c r="AF713" s="102"/>
      <c r="AG713" s="102"/>
      <c r="AH713" s="102"/>
      <c r="AI713" s="102"/>
      <c r="AJ713" s="102"/>
      <c r="AK713" s="102"/>
      <c r="AL713" s="102"/>
      <c r="AM713" s="102"/>
      <c r="AN713" s="102"/>
      <c r="AO713" s="102"/>
      <c r="AP713" s="49"/>
      <c r="AQ713" s="51"/>
      <c r="AR713" s="208"/>
      <c r="AS713" s="49"/>
      <c r="AT713" s="49"/>
      <c r="AU713" s="49"/>
      <c r="AV713" s="49"/>
      <c r="AW713" s="49"/>
      <c r="AX713" s="49"/>
      <c r="AY713" s="52"/>
    </row>
    <row r="714" spans="1:51" ht="13.5" customHeight="1">
      <c r="A714" s="56"/>
      <c r="B714" s="50"/>
      <c r="C714" s="49"/>
      <c r="D714" s="49"/>
      <c r="E714" s="49"/>
      <c r="F714" s="49"/>
      <c r="G714" s="49"/>
      <c r="H714" s="49"/>
      <c r="I714" s="51"/>
      <c r="J714" s="350"/>
      <c r="K714" s="351"/>
      <c r="L714" s="50"/>
      <c r="M714" s="139"/>
      <c r="N714" s="139" t="s">
        <v>488</v>
      </c>
      <c r="O714" s="139"/>
      <c r="P714" s="139"/>
      <c r="Q714" s="139"/>
      <c r="R714" s="139"/>
      <c r="S714" s="139"/>
      <c r="T714" s="139"/>
      <c r="U714" s="139"/>
      <c r="V714" s="139"/>
      <c r="W714" s="139"/>
      <c r="X714" s="505"/>
      <c r="Y714" s="505"/>
      <c r="Z714" s="505"/>
      <c r="AA714" s="505"/>
      <c r="AB714" s="505"/>
      <c r="AC714" s="102"/>
      <c r="AD714" s="102"/>
      <c r="AE714" s="102"/>
      <c r="AF714" s="102"/>
      <c r="AG714" s="102"/>
      <c r="AH714" s="102"/>
      <c r="AI714" s="102"/>
      <c r="AJ714" s="102"/>
      <c r="AK714" s="102"/>
      <c r="AL714" s="102"/>
      <c r="AM714" s="102"/>
      <c r="AN714" s="102"/>
      <c r="AO714" s="102"/>
      <c r="AP714" s="49"/>
      <c r="AQ714" s="51"/>
      <c r="AR714" s="208"/>
      <c r="AS714" s="49"/>
      <c r="AT714" s="49"/>
      <c r="AU714" s="49"/>
      <c r="AV714" s="49"/>
      <c r="AW714" s="49"/>
      <c r="AX714" s="49"/>
      <c r="AY714" s="52"/>
    </row>
    <row r="715" spans="1:51" ht="13.5" customHeight="1">
      <c r="A715" s="56"/>
      <c r="B715" s="50"/>
      <c r="C715" s="49"/>
      <c r="D715" s="49"/>
      <c r="E715" s="49"/>
      <c r="F715" s="49"/>
      <c r="G715" s="49"/>
      <c r="H715" s="49"/>
      <c r="I715" s="51"/>
      <c r="J715" s="350"/>
      <c r="K715" s="351"/>
      <c r="L715" s="50"/>
      <c r="M715" s="216" t="s">
        <v>452</v>
      </c>
      <c r="N715" s="139"/>
      <c r="O715" s="139"/>
      <c r="P715" s="139"/>
      <c r="Q715" s="139"/>
      <c r="R715" s="139"/>
      <c r="S715" s="139"/>
      <c r="T715" s="139"/>
      <c r="U715" s="139"/>
      <c r="V715" s="139"/>
      <c r="W715" s="139"/>
      <c r="X715" s="505"/>
      <c r="Y715" s="505"/>
      <c r="Z715" s="505"/>
      <c r="AA715" s="505"/>
      <c r="AB715" s="505"/>
      <c r="AC715" s="102"/>
      <c r="AD715" s="102"/>
      <c r="AE715" s="102"/>
      <c r="AF715" s="102"/>
      <c r="AG715" s="102"/>
      <c r="AH715" s="102"/>
      <c r="AI715" s="102"/>
      <c r="AJ715" s="102"/>
      <c r="AK715" s="102"/>
      <c r="AL715" s="102"/>
      <c r="AM715" s="102"/>
      <c r="AN715" s="102"/>
      <c r="AO715" s="102"/>
      <c r="AP715" s="49"/>
      <c r="AQ715" s="51"/>
      <c r="AR715" s="208"/>
      <c r="AS715" s="49"/>
      <c r="AT715" s="49"/>
      <c r="AU715" s="49"/>
      <c r="AV715" s="49"/>
      <c r="AW715" s="49"/>
      <c r="AX715" s="49"/>
      <c r="AY715" s="52"/>
    </row>
    <row r="716" spans="1:51" ht="13.5" customHeight="1">
      <c r="A716" s="56"/>
      <c r="B716" s="50"/>
      <c r="C716" s="49"/>
      <c r="D716" s="49"/>
      <c r="E716" s="49"/>
      <c r="F716" s="49"/>
      <c r="G716" s="49"/>
      <c r="H716" s="49"/>
      <c r="I716" s="51"/>
      <c r="J716" s="350"/>
      <c r="K716" s="351"/>
      <c r="L716" s="50"/>
      <c r="M716" s="139"/>
      <c r="N716" s="139" t="s">
        <v>486</v>
      </c>
      <c r="O716" s="139"/>
      <c r="P716" s="139"/>
      <c r="Q716" s="139"/>
      <c r="R716" s="139"/>
      <c r="S716" s="139"/>
      <c r="T716" s="139"/>
      <c r="U716" s="139"/>
      <c r="V716" s="139"/>
      <c r="W716" s="139"/>
      <c r="X716" s="505"/>
      <c r="Y716" s="505"/>
      <c r="Z716" s="505"/>
      <c r="AA716" s="505"/>
      <c r="AB716" s="505"/>
      <c r="AC716" s="102"/>
      <c r="AD716" s="102"/>
      <c r="AE716" s="102"/>
      <c r="AF716" s="102"/>
      <c r="AG716" s="102"/>
      <c r="AH716" s="102"/>
      <c r="AI716" s="102"/>
      <c r="AJ716" s="102"/>
      <c r="AK716" s="102"/>
      <c r="AL716" s="102"/>
      <c r="AM716" s="102"/>
      <c r="AN716" s="102"/>
      <c r="AO716" s="102"/>
      <c r="AP716" s="49"/>
      <c r="AQ716" s="51"/>
      <c r="AR716" s="208"/>
      <c r="AS716" s="49"/>
      <c r="AT716" s="49"/>
      <c r="AU716" s="49"/>
      <c r="AV716" s="49"/>
      <c r="AW716" s="49"/>
      <c r="AX716" s="49"/>
      <c r="AY716" s="52"/>
    </row>
    <row r="717" spans="1:51" ht="13.5" customHeight="1">
      <c r="A717" s="56"/>
      <c r="B717" s="50"/>
      <c r="C717" s="49"/>
      <c r="D717" s="49"/>
      <c r="E717" s="49"/>
      <c r="F717" s="49"/>
      <c r="G717" s="49"/>
      <c r="H717" s="49"/>
      <c r="I717" s="51"/>
      <c r="J717" s="350"/>
      <c r="K717" s="351"/>
      <c r="L717" s="101" t="s">
        <v>540</v>
      </c>
      <c r="M717" s="139"/>
      <c r="N717" s="139" t="s">
        <v>485</v>
      </c>
      <c r="O717" s="139"/>
      <c r="P717" s="139"/>
      <c r="Q717" s="139"/>
      <c r="R717" s="139"/>
      <c r="S717" s="139"/>
      <c r="T717" s="139"/>
      <c r="U717" s="139"/>
      <c r="V717" s="139"/>
      <c r="W717" s="139"/>
      <c r="X717" s="505"/>
      <c r="Y717" s="505"/>
      <c r="Z717" s="505"/>
      <c r="AA717" s="505"/>
      <c r="AB717" s="505"/>
      <c r="AC717" s="102"/>
      <c r="AD717" s="102"/>
      <c r="AE717" s="102"/>
      <c r="AF717" s="102"/>
      <c r="AG717" s="102"/>
      <c r="AH717" s="102"/>
      <c r="AI717" s="102"/>
      <c r="AJ717" s="102"/>
      <c r="AK717" s="102"/>
      <c r="AL717" s="102"/>
      <c r="AM717" s="102"/>
      <c r="AN717" s="102"/>
      <c r="AO717" s="102"/>
      <c r="AP717" s="49"/>
      <c r="AQ717" s="51"/>
      <c r="AR717" s="208"/>
      <c r="AS717" s="49"/>
      <c r="AT717" s="49"/>
      <c r="AU717" s="49"/>
      <c r="AV717" s="49"/>
      <c r="AW717" s="49"/>
      <c r="AX717" s="49"/>
      <c r="AY717" s="52"/>
    </row>
    <row r="718" spans="1:51" ht="13.5" customHeight="1">
      <c r="A718" s="56"/>
      <c r="B718" s="50"/>
      <c r="C718" s="49"/>
      <c r="D718" s="49"/>
      <c r="E718" s="49"/>
      <c r="F718" s="49"/>
      <c r="G718" s="49"/>
      <c r="H718" s="49"/>
      <c r="I718" s="51"/>
      <c r="J718" s="350"/>
      <c r="K718" s="351"/>
      <c r="L718" s="101"/>
      <c r="M718" s="139"/>
      <c r="N718" s="139"/>
      <c r="O718" s="139"/>
      <c r="P718" s="139"/>
      <c r="Q718" s="139"/>
      <c r="R718" s="139"/>
      <c r="S718" s="139"/>
      <c r="T718" s="139"/>
      <c r="U718" s="139"/>
      <c r="V718" s="139"/>
      <c r="W718" s="139"/>
      <c r="X718" s="139"/>
      <c r="Y718" s="139"/>
      <c r="Z718" s="139"/>
      <c r="AA718" s="139"/>
      <c r="AB718" s="139"/>
      <c r="AC718" s="49"/>
      <c r="AD718" s="49"/>
      <c r="AE718" s="49"/>
      <c r="AF718" s="49"/>
      <c r="AG718" s="49"/>
      <c r="AH718" s="49"/>
      <c r="AI718" s="49"/>
      <c r="AJ718" s="49"/>
      <c r="AK718" s="49"/>
      <c r="AL718" s="49"/>
      <c r="AM718" s="49"/>
      <c r="AN718" s="49"/>
      <c r="AO718" s="49"/>
      <c r="AP718" s="49"/>
      <c r="AQ718" s="51"/>
      <c r="AR718" s="208"/>
      <c r="AS718" s="49"/>
      <c r="AT718" s="49"/>
      <c r="AU718" s="49"/>
      <c r="AV718" s="49"/>
      <c r="AW718" s="49"/>
      <c r="AX718" s="49"/>
      <c r="AY718" s="52"/>
    </row>
    <row r="719" spans="1:51" ht="13.5" customHeight="1">
      <c r="A719" s="56"/>
      <c r="B719" s="50"/>
      <c r="C719" s="49"/>
      <c r="D719" s="49"/>
      <c r="E719" s="49"/>
      <c r="F719" s="49"/>
      <c r="G719" s="49"/>
      <c r="H719" s="49"/>
      <c r="I719" s="51"/>
      <c r="J719" s="350"/>
      <c r="K719" s="351"/>
      <c r="L719" s="101"/>
      <c r="M719" s="139" t="s">
        <v>819</v>
      </c>
      <c r="N719" s="139"/>
      <c r="O719" s="139"/>
      <c r="P719" s="139"/>
      <c r="Q719" s="139"/>
      <c r="R719" s="139"/>
      <c r="S719" s="139"/>
      <c r="T719" s="139"/>
      <c r="U719" s="139"/>
      <c r="V719" s="139"/>
      <c r="W719" s="139"/>
      <c r="X719" s="139"/>
      <c r="Y719" s="139"/>
      <c r="Z719" s="139"/>
      <c r="AA719" s="139"/>
      <c r="AB719" s="139"/>
      <c r="AC719" s="49"/>
      <c r="AD719" s="49"/>
      <c r="AE719" s="49"/>
      <c r="AF719" s="49"/>
      <c r="AG719" s="49"/>
      <c r="AH719" s="49"/>
      <c r="AI719" s="49"/>
      <c r="AJ719" s="49"/>
      <c r="AK719" s="49"/>
      <c r="AL719" s="49"/>
      <c r="AM719" s="49"/>
      <c r="AN719" s="49"/>
      <c r="AO719" s="49"/>
      <c r="AP719" s="49"/>
      <c r="AQ719" s="51"/>
      <c r="AR719" s="208" t="s">
        <v>821</v>
      </c>
      <c r="AS719" s="49"/>
      <c r="AT719" s="49"/>
      <c r="AU719" s="49"/>
      <c r="AV719" s="49"/>
      <c r="AW719" s="49"/>
      <c r="AX719" s="49"/>
      <c r="AY719" s="52"/>
    </row>
    <row r="720" spans="1:51" ht="13.5" customHeight="1" thickBot="1">
      <c r="A720" s="321"/>
      <c r="B720" s="322"/>
      <c r="C720" s="323"/>
      <c r="D720" s="323"/>
      <c r="E720" s="323"/>
      <c r="F720" s="323"/>
      <c r="G720" s="323"/>
      <c r="H720" s="323"/>
      <c r="I720" s="324"/>
      <c r="J720" s="713"/>
      <c r="K720" s="714"/>
      <c r="L720" s="322"/>
      <c r="M720" s="323"/>
      <c r="N720" s="323"/>
      <c r="O720" s="323"/>
      <c r="P720" s="323"/>
      <c r="Q720" s="323"/>
      <c r="R720" s="323"/>
      <c r="S720" s="323"/>
      <c r="T720" s="323"/>
      <c r="U720" s="323"/>
      <c r="V720" s="323"/>
      <c r="W720" s="323"/>
      <c r="X720" s="323"/>
      <c r="Y720" s="323"/>
      <c r="Z720" s="323"/>
      <c r="AA720" s="323"/>
      <c r="AB720" s="323"/>
      <c r="AC720" s="323"/>
      <c r="AD720" s="323"/>
      <c r="AE720" s="323"/>
      <c r="AF720" s="323"/>
      <c r="AG720" s="323"/>
      <c r="AH720" s="323"/>
      <c r="AI720" s="323"/>
      <c r="AJ720" s="323"/>
      <c r="AK720" s="323"/>
      <c r="AL720" s="323"/>
      <c r="AM720" s="323"/>
      <c r="AN720" s="323"/>
      <c r="AO720" s="323"/>
      <c r="AP720" s="323"/>
      <c r="AQ720" s="324"/>
      <c r="AR720" s="327"/>
      <c r="AS720" s="323"/>
      <c r="AT720" s="323"/>
      <c r="AU720" s="323"/>
      <c r="AV720" s="323"/>
      <c r="AW720" s="323"/>
      <c r="AX720" s="323"/>
      <c r="AY720" s="328"/>
    </row>
    <row r="721" spans="1:51" ht="13.5" customHeight="1">
      <c r="A721" s="185">
        <v>10</v>
      </c>
      <c r="B721" s="64" t="s">
        <v>76</v>
      </c>
      <c r="C721" s="63"/>
      <c r="D721" s="63"/>
      <c r="E721" s="63"/>
      <c r="F721" s="63"/>
      <c r="G721" s="63"/>
      <c r="H721" s="63"/>
      <c r="I721" s="63"/>
      <c r="J721" s="98"/>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214"/>
      <c r="AS721" s="63"/>
      <c r="AT721" s="63"/>
      <c r="AU721" s="63"/>
      <c r="AV721" s="63"/>
      <c r="AW721" s="63"/>
      <c r="AX721" s="63"/>
      <c r="AY721" s="184" t="s">
        <v>92</v>
      </c>
    </row>
    <row r="722" spans="1:51" ht="13.5" customHeight="1">
      <c r="A722" s="56"/>
      <c r="B722" s="50"/>
      <c r="C722" s="49"/>
      <c r="D722" s="49"/>
      <c r="E722" s="49"/>
      <c r="F722" s="49"/>
      <c r="G722" s="49"/>
      <c r="H722" s="49"/>
      <c r="I722" s="51"/>
      <c r="J722" s="656"/>
      <c r="K722" s="657"/>
      <c r="L722" s="101" t="s">
        <v>371</v>
      </c>
      <c r="M722" s="49"/>
      <c r="N722" s="49"/>
      <c r="O722" s="49"/>
      <c r="P722" s="49"/>
      <c r="Q722" s="49"/>
      <c r="R722" s="49"/>
      <c r="S722" s="49"/>
      <c r="T722" s="49"/>
      <c r="U722" s="49"/>
      <c r="V722" s="49"/>
      <c r="W722" s="49"/>
      <c r="X722" s="49"/>
      <c r="Y722" s="49"/>
      <c r="Z722" s="49"/>
      <c r="AA722" s="49"/>
      <c r="AB722" s="49"/>
      <c r="AC722" s="49"/>
      <c r="AD722" s="49"/>
      <c r="AE722" s="49"/>
      <c r="AF722" s="49"/>
      <c r="AG722" s="49"/>
      <c r="AH722" s="49"/>
      <c r="AI722" s="49"/>
      <c r="AJ722" s="49"/>
      <c r="AK722" s="49"/>
      <c r="AL722" s="49"/>
      <c r="AM722" s="49"/>
      <c r="AN722" s="49"/>
      <c r="AO722" s="49"/>
      <c r="AP722" s="49"/>
      <c r="AQ722" s="51"/>
      <c r="AR722" s="208"/>
      <c r="AS722" s="49"/>
      <c r="AT722" s="49"/>
      <c r="AU722" s="49"/>
      <c r="AV722" s="49"/>
      <c r="AW722" s="49"/>
      <c r="AX722" s="49"/>
      <c r="AY722" s="52"/>
    </row>
    <row r="723" spans="1:51" ht="13.5" customHeight="1">
      <c r="A723" s="56"/>
      <c r="B723" s="50"/>
      <c r="C723" s="49"/>
      <c r="D723" s="49"/>
      <c r="E723" s="49"/>
      <c r="F723" s="49"/>
      <c r="G723" s="49"/>
      <c r="H723" s="49"/>
      <c r="I723" s="51"/>
      <c r="J723" s="350"/>
      <c r="K723" s="351"/>
      <c r="L723" s="101" t="s">
        <v>372</v>
      </c>
      <c r="M723" s="49"/>
      <c r="N723" s="49"/>
      <c r="O723" s="49"/>
      <c r="P723" s="49"/>
      <c r="Q723" s="49"/>
      <c r="R723" s="49"/>
      <c r="S723" s="49"/>
      <c r="T723" s="49"/>
      <c r="U723" s="49"/>
      <c r="V723" s="49"/>
      <c r="W723" s="49"/>
      <c r="X723" s="49"/>
      <c r="Y723" s="49"/>
      <c r="Z723" s="49"/>
      <c r="AA723" s="49"/>
      <c r="AB723" s="49"/>
      <c r="AC723" s="49"/>
      <c r="AD723" s="49"/>
      <c r="AE723" s="49"/>
      <c r="AF723" s="49"/>
      <c r="AG723" s="49"/>
      <c r="AH723" s="49"/>
      <c r="AI723" s="49"/>
      <c r="AJ723" s="49"/>
      <c r="AK723" s="49"/>
      <c r="AL723" s="49"/>
      <c r="AM723" s="49"/>
      <c r="AN723" s="49"/>
      <c r="AO723" s="49"/>
      <c r="AP723" s="49"/>
      <c r="AQ723" s="51"/>
      <c r="AR723" s="208"/>
      <c r="AS723" s="49"/>
      <c r="AT723" s="49"/>
      <c r="AU723" s="49"/>
      <c r="AV723" s="49"/>
      <c r="AW723" s="49"/>
      <c r="AX723" s="49"/>
      <c r="AY723" s="52"/>
    </row>
    <row r="724" spans="1:51" ht="13.5" customHeight="1">
      <c r="A724" s="56"/>
      <c r="B724" s="50"/>
      <c r="C724" s="49"/>
      <c r="D724" s="49"/>
      <c r="E724" s="49"/>
      <c r="F724" s="49"/>
      <c r="G724" s="49"/>
      <c r="H724" s="49"/>
      <c r="I724" s="51"/>
      <c r="J724" s="350"/>
      <c r="K724" s="351"/>
      <c r="L724" s="101"/>
      <c r="M724" s="49"/>
      <c r="N724" s="49"/>
      <c r="O724" s="49"/>
      <c r="P724" s="49"/>
      <c r="Q724" s="49"/>
      <c r="R724" s="49"/>
      <c r="S724" s="49"/>
      <c r="T724" s="49"/>
      <c r="U724" s="49"/>
      <c r="V724" s="49"/>
      <c r="W724" s="49"/>
      <c r="X724" s="49"/>
      <c r="Y724" s="49"/>
      <c r="Z724" s="49"/>
      <c r="AA724" s="49"/>
      <c r="AB724" s="49"/>
      <c r="AC724" s="49"/>
      <c r="AD724" s="49"/>
      <c r="AE724" s="49"/>
      <c r="AF724" s="49"/>
      <c r="AG724" s="49"/>
      <c r="AH724" s="49"/>
      <c r="AI724" s="49"/>
      <c r="AJ724" s="49"/>
      <c r="AK724" s="49"/>
      <c r="AL724" s="49"/>
      <c r="AM724" s="49"/>
      <c r="AN724" s="49"/>
      <c r="AO724" s="49"/>
      <c r="AP724" s="49"/>
      <c r="AQ724" s="51"/>
      <c r="AR724" s="208"/>
      <c r="AS724" s="49"/>
      <c r="AT724" s="49"/>
      <c r="AU724" s="49"/>
      <c r="AV724" s="49"/>
      <c r="AW724" s="49"/>
      <c r="AX724" s="49"/>
      <c r="AY724" s="52"/>
    </row>
    <row r="725" spans="1:51" ht="13.5" customHeight="1">
      <c r="A725" s="56"/>
      <c r="B725" s="50"/>
      <c r="C725" s="49"/>
      <c r="D725" s="49"/>
      <c r="E725" s="49"/>
      <c r="F725" s="49"/>
      <c r="G725" s="49"/>
      <c r="H725" s="49"/>
      <c r="I725" s="51"/>
      <c r="J725" s="350"/>
      <c r="K725" s="351"/>
      <c r="L725" s="101"/>
      <c r="M725" s="49" t="s">
        <v>815</v>
      </c>
      <c r="N725" s="49"/>
      <c r="O725" s="49"/>
      <c r="P725" s="49"/>
      <c r="Q725" s="49"/>
      <c r="R725" s="49"/>
      <c r="S725" s="49"/>
      <c r="T725" s="49"/>
      <c r="U725" s="49"/>
      <c r="V725" s="49"/>
      <c r="W725" s="49"/>
      <c r="X725" s="49"/>
      <c r="Y725" s="49"/>
      <c r="Z725" s="49"/>
      <c r="AA725" s="49"/>
      <c r="AB725" s="49"/>
      <c r="AC725" s="49"/>
      <c r="AD725" s="49"/>
      <c r="AE725" s="49"/>
      <c r="AF725" s="49"/>
      <c r="AG725" s="49"/>
      <c r="AH725" s="49"/>
      <c r="AI725" s="49"/>
      <c r="AJ725" s="49"/>
      <c r="AK725" s="49"/>
      <c r="AL725" s="49"/>
      <c r="AM725" s="49"/>
      <c r="AN725" s="49"/>
      <c r="AO725" s="49"/>
      <c r="AP725" s="49"/>
      <c r="AQ725" s="51"/>
      <c r="AR725" s="208" t="s">
        <v>818</v>
      </c>
      <c r="AS725" s="49"/>
      <c r="AT725" s="49"/>
      <c r="AU725" s="49"/>
      <c r="AV725" s="49"/>
      <c r="AW725" s="49"/>
      <c r="AX725" s="49"/>
      <c r="AY725" s="52"/>
    </row>
    <row r="726" spans="1:51" ht="13.5" customHeight="1">
      <c r="A726" s="56"/>
      <c r="B726" s="50"/>
      <c r="C726" s="49"/>
      <c r="D726" s="49"/>
      <c r="E726" s="49"/>
      <c r="F726" s="49"/>
      <c r="G726" s="49"/>
      <c r="H726" s="49"/>
      <c r="I726" s="51"/>
      <c r="J726" s="350"/>
      <c r="K726" s="351"/>
      <c r="L726" s="101"/>
      <c r="M726" s="49"/>
      <c r="N726" s="49"/>
      <c r="O726" s="49"/>
      <c r="P726" s="49"/>
      <c r="Q726" s="49"/>
      <c r="R726" s="49"/>
      <c r="S726" s="49"/>
      <c r="T726" s="49"/>
      <c r="U726" s="49"/>
      <c r="V726" s="49"/>
      <c r="W726" s="49"/>
      <c r="X726" s="49"/>
      <c r="Y726" s="49"/>
      <c r="Z726" s="49"/>
      <c r="AA726" s="49"/>
      <c r="AB726" s="49"/>
      <c r="AC726" s="49"/>
      <c r="AD726" s="49"/>
      <c r="AE726" s="49"/>
      <c r="AF726" s="49"/>
      <c r="AG726" s="49"/>
      <c r="AH726" s="49"/>
      <c r="AI726" s="49"/>
      <c r="AJ726" s="49"/>
      <c r="AK726" s="49"/>
      <c r="AL726" s="49"/>
      <c r="AM726" s="49"/>
      <c r="AN726" s="49"/>
      <c r="AO726" s="49"/>
      <c r="AP726" s="49"/>
      <c r="AQ726" s="51"/>
      <c r="AR726" s="208"/>
      <c r="AS726" s="49"/>
      <c r="AT726" s="49"/>
      <c r="AU726" s="49"/>
      <c r="AV726" s="49"/>
      <c r="AW726" s="49"/>
      <c r="AX726" s="49"/>
      <c r="AY726" s="52"/>
    </row>
    <row r="727" spans="1:51" ht="13.5" customHeight="1">
      <c r="A727" s="56"/>
      <c r="B727" s="50"/>
      <c r="C727" s="49"/>
      <c r="D727" s="49"/>
      <c r="E727" s="49"/>
      <c r="F727" s="49"/>
      <c r="G727" s="49"/>
      <c r="H727" s="49"/>
      <c r="I727" s="51"/>
      <c r="J727" s="350"/>
      <c r="K727" s="351"/>
      <c r="L727" s="101"/>
      <c r="M727" s="49" t="s">
        <v>121</v>
      </c>
      <c r="N727" s="49"/>
      <c r="O727" s="49"/>
      <c r="P727" s="49"/>
      <c r="Q727" s="49"/>
      <c r="R727" s="49"/>
      <c r="S727" s="49"/>
      <c r="T727" s="49"/>
      <c r="U727" s="49"/>
      <c r="V727" s="49"/>
      <c r="W727" s="49"/>
      <c r="X727" s="49"/>
      <c r="Y727" s="49"/>
      <c r="Z727" s="49"/>
      <c r="AA727" s="49"/>
      <c r="AB727" s="49"/>
      <c r="AC727" s="49"/>
      <c r="AD727" s="49"/>
      <c r="AE727" s="49"/>
      <c r="AF727" s="49"/>
      <c r="AG727" s="49"/>
      <c r="AH727" s="49"/>
      <c r="AI727" s="49"/>
      <c r="AJ727" s="49"/>
      <c r="AK727" s="49"/>
      <c r="AL727" s="49"/>
      <c r="AM727" s="49"/>
      <c r="AN727" s="49"/>
      <c r="AO727" s="49"/>
      <c r="AP727" s="49"/>
      <c r="AQ727" s="51"/>
      <c r="AR727" s="208"/>
      <c r="AS727" s="49"/>
      <c r="AT727" s="49"/>
      <c r="AU727" s="49"/>
      <c r="AV727" s="49"/>
      <c r="AW727" s="49"/>
      <c r="AX727" s="49"/>
      <c r="AY727" s="52"/>
    </row>
    <row r="728" spans="1:51" ht="13.5" customHeight="1">
      <c r="A728" s="56"/>
      <c r="B728" s="50"/>
      <c r="C728" s="49"/>
      <c r="D728" s="49"/>
      <c r="E728" s="49"/>
      <c r="F728" s="49"/>
      <c r="G728" s="49"/>
      <c r="H728" s="49"/>
      <c r="I728" s="51"/>
      <c r="J728" s="350"/>
      <c r="K728" s="351"/>
      <c r="L728" s="101"/>
      <c r="M728" s="49" t="s">
        <v>373</v>
      </c>
      <c r="N728" s="49"/>
      <c r="O728" s="49"/>
      <c r="P728" s="49"/>
      <c r="Q728" s="49"/>
      <c r="R728" s="49"/>
      <c r="S728" s="49"/>
      <c r="T728" s="49"/>
      <c r="U728" s="49"/>
      <c r="V728" s="49"/>
      <c r="W728" s="49"/>
      <c r="X728" s="49"/>
      <c r="Y728" s="49"/>
      <c r="Z728" s="49"/>
      <c r="AA728" s="49"/>
      <c r="AB728" s="49"/>
      <c r="AC728" s="49"/>
      <c r="AD728" s="49"/>
      <c r="AE728" s="49"/>
      <c r="AF728" s="49"/>
      <c r="AG728" s="49"/>
      <c r="AH728" s="49"/>
      <c r="AI728" s="49"/>
      <c r="AJ728" s="49"/>
      <c r="AK728" s="49"/>
      <c r="AL728" s="49"/>
      <c r="AM728" s="49"/>
      <c r="AN728" s="49"/>
      <c r="AO728" s="49"/>
      <c r="AP728" s="49"/>
      <c r="AQ728" s="51"/>
      <c r="AR728" s="208"/>
      <c r="AS728" s="49"/>
      <c r="AT728" s="49"/>
      <c r="AU728" s="49"/>
      <c r="AV728" s="49"/>
      <c r="AW728" s="49"/>
      <c r="AX728" s="49"/>
      <c r="AY728" s="52"/>
    </row>
    <row r="729" spans="1:51" ht="13.5" customHeight="1">
      <c r="A729" s="56"/>
      <c r="B729" s="50"/>
      <c r="C729" s="49"/>
      <c r="D729" s="49"/>
      <c r="E729" s="49"/>
      <c r="F729" s="49"/>
      <c r="G729" s="49"/>
      <c r="H729" s="49"/>
      <c r="I729" s="51"/>
      <c r="J729" s="350"/>
      <c r="K729" s="351"/>
      <c r="L729" s="101"/>
      <c r="M729" s="49" t="s">
        <v>374</v>
      </c>
      <c r="N729" s="49"/>
      <c r="O729" s="49"/>
      <c r="P729" s="49"/>
      <c r="Q729" s="49"/>
      <c r="R729" s="49"/>
      <c r="S729" s="49"/>
      <c r="T729" s="49"/>
      <c r="U729" s="49"/>
      <c r="V729" s="49"/>
      <c r="W729" s="49"/>
      <c r="X729" s="49"/>
      <c r="Y729" s="49"/>
      <c r="Z729" s="49"/>
      <c r="AA729" s="49"/>
      <c r="AB729" s="49"/>
      <c r="AC729" s="49"/>
      <c r="AD729" s="49"/>
      <c r="AE729" s="49"/>
      <c r="AF729" s="49"/>
      <c r="AG729" s="49"/>
      <c r="AH729" s="49"/>
      <c r="AI729" s="49"/>
      <c r="AJ729" s="49"/>
      <c r="AK729" s="49"/>
      <c r="AL729" s="49"/>
      <c r="AM729" s="49"/>
      <c r="AN729" s="49"/>
      <c r="AO729" s="49"/>
      <c r="AP729" s="49"/>
      <c r="AQ729" s="51"/>
      <c r="AR729" s="208"/>
      <c r="AS729" s="49"/>
      <c r="AT729" s="49"/>
      <c r="AU729" s="49"/>
      <c r="AV729" s="49"/>
      <c r="AW729" s="49"/>
      <c r="AX729" s="49"/>
      <c r="AY729" s="52"/>
    </row>
    <row r="730" spans="1:51" ht="13.5" customHeight="1">
      <c r="A730" s="56"/>
      <c r="B730" s="50"/>
      <c r="C730" s="49"/>
      <c r="D730" s="49"/>
      <c r="E730" s="49"/>
      <c r="F730" s="49"/>
      <c r="G730" s="49"/>
      <c r="H730" s="49"/>
      <c r="I730" s="51"/>
      <c r="J730" s="350"/>
      <c r="K730" s="351"/>
      <c r="L730" s="101"/>
      <c r="M730" s="49" t="s">
        <v>125</v>
      </c>
      <c r="N730" s="49"/>
      <c r="O730" s="49"/>
      <c r="P730" s="49"/>
      <c r="Q730" s="49"/>
      <c r="R730" s="49"/>
      <c r="S730" s="49"/>
      <c r="T730" s="49"/>
      <c r="U730" s="49"/>
      <c r="V730" s="49"/>
      <c r="W730" s="49"/>
      <c r="X730" s="49"/>
      <c r="Y730" s="49"/>
      <c r="Z730" s="49"/>
      <c r="AA730" s="49"/>
      <c r="AB730" s="49"/>
      <c r="AC730" s="49"/>
      <c r="AD730" s="49"/>
      <c r="AE730" s="49"/>
      <c r="AF730" s="49"/>
      <c r="AG730" s="49"/>
      <c r="AH730" s="49"/>
      <c r="AI730" s="49"/>
      <c r="AJ730" s="49"/>
      <c r="AK730" s="49"/>
      <c r="AL730" s="49"/>
      <c r="AM730" s="49"/>
      <c r="AN730" s="49"/>
      <c r="AO730" s="49"/>
      <c r="AP730" s="49"/>
      <c r="AQ730" s="51"/>
      <c r="AR730" s="653"/>
      <c r="AS730" s="654"/>
      <c r="AT730" s="654"/>
      <c r="AU730" s="654"/>
      <c r="AV730" s="654"/>
      <c r="AW730" s="654"/>
      <c r="AX730" s="654"/>
      <c r="AY730" s="655"/>
    </row>
    <row r="731" spans="1:51" ht="13.5" customHeight="1">
      <c r="A731" s="56"/>
      <c r="B731" s="50"/>
      <c r="C731" s="49"/>
      <c r="D731" s="49"/>
      <c r="E731" s="49"/>
      <c r="F731" s="49"/>
      <c r="G731" s="49"/>
      <c r="H731" s="49"/>
      <c r="I731" s="51"/>
      <c r="J731" s="424"/>
      <c r="K731" s="425"/>
      <c r="L731" s="101"/>
      <c r="M731" s="49" t="s">
        <v>1073</v>
      </c>
      <c r="N731" s="49"/>
      <c r="O731" s="49"/>
      <c r="P731" s="49"/>
      <c r="Q731" s="49"/>
      <c r="R731" s="49"/>
      <c r="S731" s="49"/>
      <c r="T731" s="49"/>
      <c r="U731" s="49"/>
      <c r="V731" s="49"/>
      <c r="W731" s="49"/>
      <c r="X731" s="49"/>
      <c r="Y731" s="49"/>
      <c r="Z731" s="49"/>
      <c r="AA731" s="49"/>
      <c r="AB731" s="49"/>
      <c r="AC731" s="49"/>
      <c r="AD731" s="49"/>
      <c r="AE731" s="49"/>
      <c r="AF731" s="49"/>
      <c r="AG731" s="49"/>
      <c r="AH731" s="49"/>
      <c r="AI731" s="49"/>
      <c r="AJ731" s="49"/>
      <c r="AK731" s="49"/>
      <c r="AL731" s="49"/>
      <c r="AM731" s="49"/>
      <c r="AN731" s="49"/>
      <c r="AO731" s="49"/>
      <c r="AP731" s="49"/>
      <c r="AQ731" s="51"/>
      <c r="AR731" s="422"/>
      <c r="AS731" s="422"/>
      <c r="AT731" s="422"/>
      <c r="AU731" s="422"/>
      <c r="AV731" s="422"/>
      <c r="AW731" s="422"/>
      <c r="AX731" s="422"/>
      <c r="AY731" s="423"/>
    </row>
    <row r="732" spans="1:51" ht="13.5" customHeight="1">
      <c r="A732" s="56"/>
      <c r="B732" s="50"/>
      <c r="C732" s="49"/>
      <c r="D732" s="49"/>
      <c r="E732" s="49"/>
      <c r="F732" s="49"/>
      <c r="G732" s="49"/>
      <c r="H732" s="49"/>
      <c r="I732" s="51"/>
      <c r="J732" s="350"/>
      <c r="K732" s="351"/>
      <c r="L732" s="101"/>
      <c r="M732" s="49" t="s">
        <v>335</v>
      </c>
      <c r="N732" s="49"/>
      <c r="O732" s="49"/>
      <c r="P732" s="49"/>
      <c r="Q732" s="49"/>
      <c r="R732" s="49"/>
      <c r="S732" s="49"/>
      <c r="T732" s="49"/>
      <c r="U732" s="49"/>
      <c r="V732" s="49"/>
      <c r="W732" s="49"/>
      <c r="X732" s="49"/>
      <c r="Y732" s="49"/>
      <c r="Z732" s="49"/>
      <c r="AA732" s="49"/>
      <c r="AB732" s="49"/>
      <c r="AC732" s="49"/>
      <c r="AD732" s="49"/>
      <c r="AE732" s="49"/>
      <c r="AF732" s="49"/>
      <c r="AG732" s="49"/>
      <c r="AH732" s="49"/>
      <c r="AI732" s="49"/>
      <c r="AJ732" s="49"/>
      <c r="AK732" s="49"/>
      <c r="AL732" s="49"/>
      <c r="AM732" s="49"/>
      <c r="AN732" s="49"/>
      <c r="AO732" s="49"/>
      <c r="AP732" s="49"/>
      <c r="AQ732" s="51"/>
      <c r="AR732" s="208"/>
      <c r="AS732" s="49"/>
      <c r="AT732" s="49"/>
      <c r="AU732" s="49"/>
      <c r="AV732" s="49"/>
      <c r="AW732" s="49"/>
      <c r="AX732" s="49"/>
      <c r="AY732" s="52"/>
    </row>
    <row r="733" spans="1:51" ht="13.5" customHeight="1">
      <c r="A733" s="56"/>
      <c r="B733" s="50"/>
      <c r="C733" s="49"/>
      <c r="D733" s="49"/>
      <c r="E733" s="49"/>
      <c r="F733" s="49"/>
      <c r="G733" s="49"/>
      <c r="H733" s="49"/>
      <c r="I733" s="51"/>
      <c r="J733" s="350"/>
      <c r="K733" s="351"/>
      <c r="L733" s="101"/>
      <c r="M733" s="49" t="s">
        <v>336</v>
      </c>
      <c r="N733" s="49"/>
      <c r="O733" s="49"/>
      <c r="P733" s="49"/>
      <c r="Q733" s="49"/>
      <c r="R733" s="49"/>
      <c r="S733" s="49"/>
      <c r="T733" s="49"/>
      <c r="U733" s="49"/>
      <c r="V733" s="49"/>
      <c r="W733" s="49"/>
      <c r="X733" s="49"/>
      <c r="Y733" s="49"/>
      <c r="Z733" s="49"/>
      <c r="AA733" s="49"/>
      <c r="AB733" s="49"/>
      <c r="AC733" s="49"/>
      <c r="AD733" s="49"/>
      <c r="AE733" s="49"/>
      <c r="AF733" s="49"/>
      <c r="AG733" s="49"/>
      <c r="AH733" s="49"/>
      <c r="AI733" s="49"/>
      <c r="AJ733" s="49"/>
      <c r="AK733" s="49"/>
      <c r="AL733" s="49"/>
      <c r="AM733" s="49"/>
      <c r="AN733" s="49"/>
      <c r="AO733" s="49"/>
      <c r="AP733" s="49"/>
      <c r="AQ733" s="51"/>
      <c r="AR733" s="653"/>
      <c r="AS733" s="654"/>
      <c r="AT733" s="654"/>
      <c r="AU733" s="654"/>
      <c r="AV733" s="654"/>
      <c r="AW733" s="654"/>
      <c r="AX733" s="654"/>
      <c r="AY733" s="655"/>
    </row>
    <row r="734" spans="1:51" ht="13.5" customHeight="1">
      <c r="A734" s="56"/>
      <c r="B734" s="50"/>
      <c r="C734" s="49"/>
      <c r="D734" s="49"/>
      <c r="E734" s="49"/>
      <c r="F734" s="49"/>
      <c r="G734" s="49"/>
      <c r="H734" s="49"/>
      <c r="I734" s="51"/>
      <c r="J734" s="350"/>
      <c r="K734" s="351"/>
      <c r="L734" s="101"/>
      <c r="M734" s="49"/>
      <c r="N734" s="49"/>
      <c r="O734" s="49"/>
      <c r="P734" s="49"/>
      <c r="Q734" s="49"/>
      <c r="R734" s="49"/>
      <c r="S734" s="49"/>
      <c r="T734" s="49"/>
      <c r="U734" s="49"/>
      <c r="V734" s="49"/>
      <c r="W734" s="49"/>
      <c r="X734" s="49"/>
      <c r="Y734" s="49"/>
      <c r="Z734" s="49"/>
      <c r="AA734" s="49"/>
      <c r="AB734" s="49"/>
      <c r="AC734" s="49" t="s">
        <v>188</v>
      </c>
      <c r="AD734" s="49"/>
      <c r="AE734" s="49"/>
      <c r="AF734" s="49"/>
      <c r="AG734" s="49"/>
      <c r="AH734" s="49"/>
      <c r="AI734" s="49"/>
      <c r="AJ734" s="49"/>
      <c r="AK734" s="49"/>
      <c r="AL734" s="49"/>
      <c r="AM734" s="49"/>
      <c r="AN734" s="49"/>
      <c r="AO734" s="49"/>
      <c r="AP734" s="49"/>
      <c r="AQ734" s="51"/>
      <c r="AR734" s="208"/>
      <c r="AS734" s="49"/>
      <c r="AT734" s="49"/>
      <c r="AU734" s="49"/>
      <c r="AV734" s="49"/>
      <c r="AW734" s="49"/>
      <c r="AX734" s="49"/>
      <c r="AY734" s="52"/>
    </row>
    <row r="735" spans="1:51" ht="13.5" customHeight="1">
      <c r="A735" s="56"/>
      <c r="B735" s="50"/>
      <c r="C735" s="49"/>
      <c r="D735" s="49"/>
      <c r="E735" s="49"/>
      <c r="F735" s="49"/>
      <c r="G735" s="49"/>
      <c r="H735" s="49"/>
      <c r="I735" s="51"/>
      <c r="J735" s="350"/>
      <c r="K735" s="351"/>
      <c r="L735" s="101"/>
      <c r="M735" s="205"/>
      <c r="N735" s="49"/>
      <c r="O735" s="49"/>
      <c r="P735" s="49"/>
      <c r="Q735" s="49"/>
      <c r="R735" s="49"/>
      <c r="S735" s="49"/>
      <c r="T735" s="49"/>
      <c r="U735" s="49"/>
      <c r="V735" s="49"/>
      <c r="W735" s="49"/>
      <c r="X735" s="49"/>
      <c r="Y735" s="49"/>
      <c r="Z735" s="49"/>
      <c r="AA735" s="49"/>
      <c r="AB735" s="49" t="s">
        <v>338</v>
      </c>
      <c r="AC735" s="49"/>
      <c r="AD735" s="49"/>
      <c r="AE735" s="49"/>
      <c r="AF735" s="49"/>
      <c r="AG735" s="49"/>
      <c r="AH735" s="49"/>
      <c r="AI735" s="49"/>
      <c r="AJ735" s="49"/>
      <c r="AK735" s="49"/>
      <c r="AL735" s="49"/>
      <c r="AM735" s="49"/>
      <c r="AN735" s="49"/>
      <c r="AO735" s="49"/>
      <c r="AP735" s="49"/>
      <c r="AQ735" s="51"/>
      <c r="AR735" s="208"/>
      <c r="AS735" s="49"/>
      <c r="AT735" s="49"/>
      <c r="AU735" s="49"/>
      <c r="AV735" s="49"/>
      <c r="AW735" s="49"/>
      <c r="AX735" s="49"/>
      <c r="AY735" s="52"/>
    </row>
    <row r="736" spans="1:51" ht="13.5" customHeight="1">
      <c r="A736" s="56"/>
      <c r="B736" s="50"/>
      <c r="C736" s="49"/>
      <c r="D736" s="49"/>
      <c r="E736" s="49"/>
      <c r="F736" s="49"/>
      <c r="G736" s="49"/>
      <c r="H736" s="49"/>
      <c r="I736" s="51"/>
      <c r="J736" s="350"/>
      <c r="K736" s="351"/>
      <c r="L736" s="101"/>
      <c r="M736" s="49" t="s">
        <v>314</v>
      </c>
      <c r="N736" s="49"/>
      <c r="O736" s="49"/>
      <c r="P736" s="49"/>
      <c r="Q736" s="49"/>
      <c r="R736" s="49"/>
      <c r="S736" s="49"/>
      <c r="T736" s="49"/>
      <c r="U736" s="49"/>
      <c r="V736" s="49"/>
      <c r="W736" s="49"/>
      <c r="X736" s="49"/>
      <c r="Y736" s="49"/>
      <c r="Z736" s="49"/>
      <c r="AA736" s="49"/>
      <c r="AB736" s="49" t="s">
        <v>341</v>
      </c>
      <c r="AC736" s="49"/>
      <c r="AD736" s="49"/>
      <c r="AE736" s="49"/>
      <c r="AF736" s="49"/>
      <c r="AG736" s="49"/>
      <c r="AH736" s="49"/>
      <c r="AI736" s="49"/>
      <c r="AJ736" s="49"/>
      <c r="AK736" s="49"/>
      <c r="AL736" s="49"/>
      <c r="AM736" s="49"/>
      <c r="AN736" s="49"/>
      <c r="AO736" s="49"/>
      <c r="AP736" s="49"/>
      <c r="AQ736" s="51"/>
      <c r="AR736" s="208" t="s">
        <v>529</v>
      </c>
      <c r="AS736" s="49"/>
      <c r="AT736" s="49"/>
      <c r="AU736" s="49"/>
      <c r="AV736" s="49"/>
      <c r="AW736" s="49"/>
      <c r="AX736" s="49"/>
      <c r="AY736" s="52"/>
    </row>
    <row r="737" spans="1:53" ht="13.5" customHeight="1">
      <c r="A737" s="56"/>
      <c r="B737" s="50"/>
      <c r="C737" s="49"/>
      <c r="D737" s="49"/>
      <c r="E737" s="49"/>
      <c r="F737" s="49"/>
      <c r="G737" s="49"/>
      <c r="H737" s="49"/>
      <c r="I737" s="51"/>
      <c r="J737" s="350"/>
      <c r="K737" s="351"/>
      <c r="L737" s="101"/>
      <c r="M737" s="49"/>
      <c r="N737" s="49"/>
      <c r="O737" s="49"/>
      <c r="P737" s="49"/>
      <c r="Q737" s="49"/>
      <c r="R737" s="49"/>
      <c r="S737" s="49"/>
      <c r="T737" s="49"/>
      <c r="U737" s="49"/>
      <c r="V737" s="49"/>
      <c r="W737" s="49"/>
      <c r="X737" s="49"/>
      <c r="Y737" s="49"/>
      <c r="Z737" s="49"/>
      <c r="AA737" s="49"/>
      <c r="AB737" s="49" t="s">
        <v>342</v>
      </c>
      <c r="AC737" s="49"/>
      <c r="AD737" s="49"/>
      <c r="AE737" s="49"/>
      <c r="AF737" s="49"/>
      <c r="AG737" s="49"/>
      <c r="AH737" s="49"/>
      <c r="AI737" s="49"/>
      <c r="AJ737" s="49"/>
      <c r="AK737" s="49"/>
      <c r="AL737" s="49"/>
      <c r="AM737" s="49"/>
      <c r="AN737" s="49"/>
      <c r="AO737" s="49"/>
      <c r="AP737" s="49"/>
      <c r="AQ737" s="51"/>
      <c r="AR737" s="208"/>
      <c r="AS737" s="49"/>
      <c r="AT737" s="49"/>
      <c r="AU737" s="49"/>
      <c r="AV737" s="49"/>
      <c r="AW737" s="49"/>
      <c r="AX737" s="49"/>
      <c r="AY737" s="52"/>
    </row>
    <row r="738" spans="1:53" ht="13.5" customHeight="1">
      <c r="A738" s="56"/>
      <c r="B738" s="50"/>
      <c r="C738" s="49"/>
      <c r="D738" s="49"/>
      <c r="E738" s="49"/>
      <c r="F738" s="49"/>
      <c r="G738" s="49"/>
      <c r="H738" s="49"/>
      <c r="I738" s="51"/>
      <c r="J738" s="350"/>
      <c r="K738" s="351"/>
      <c r="L738" s="101"/>
      <c r="M738" s="49" t="s">
        <v>345</v>
      </c>
      <c r="N738" s="49"/>
      <c r="O738" s="49"/>
      <c r="P738" s="49"/>
      <c r="Q738" s="49"/>
      <c r="R738" s="49"/>
      <c r="S738" s="49"/>
      <c r="T738" s="49"/>
      <c r="U738" s="49"/>
      <c r="V738" s="49"/>
      <c r="W738" s="49"/>
      <c r="X738" s="49"/>
      <c r="Y738" s="49"/>
      <c r="Z738" s="49"/>
      <c r="AA738" s="49"/>
      <c r="AB738" s="49" t="s">
        <v>343</v>
      </c>
      <c r="AC738" s="49"/>
      <c r="AD738" s="49"/>
      <c r="AE738" s="49"/>
      <c r="AF738" s="49"/>
      <c r="AG738" s="49"/>
      <c r="AH738" s="49"/>
      <c r="AI738" s="49"/>
      <c r="AJ738" s="49"/>
      <c r="AK738" s="49"/>
      <c r="AL738" s="49"/>
      <c r="AM738" s="49"/>
      <c r="AN738" s="49"/>
      <c r="AO738" s="49"/>
      <c r="AP738" s="49"/>
      <c r="AQ738" s="51"/>
      <c r="AR738" s="208"/>
      <c r="AS738" s="49"/>
      <c r="AT738" s="49"/>
      <c r="AU738" s="49"/>
      <c r="AV738" s="49"/>
      <c r="AW738" s="49"/>
      <c r="AX738" s="49"/>
      <c r="AY738" s="52"/>
    </row>
    <row r="739" spans="1:53" ht="13.5" customHeight="1">
      <c r="A739" s="56"/>
      <c r="B739" s="50"/>
      <c r="C739" s="49"/>
      <c r="D739" s="49"/>
      <c r="E739" s="49"/>
      <c r="F739" s="49"/>
      <c r="G739" s="49"/>
      <c r="H739" s="49"/>
      <c r="I739" s="51"/>
      <c r="J739" s="350"/>
      <c r="K739" s="351"/>
      <c r="L739" s="101"/>
      <c r="M739" s="172" t="s">
        <v>87</v>
      </c>
      <c r="N739" s="308"/>
      <c r="O739" s="308"/>
      <c r="P739" s="308"/>
      <c r="Q739" s="309"/>
      <c r="R739" s="173" t="s">
        <v>344</v>
      </c>
      <c r="S739" s="308"/>
      <c r="T739" s="308"/>
      <c r="U739" s="308"/>
      <c r="V739" s="309"/>
      <c r="W739" s="180" t="s">
        <v>315</v>
      </c>
      <c r="X739" s="310"/>
      <c r="Y739" s="180" t="s">
        <v>318</v>
      </c>
      <c r="Z739" s="311"/>
      <c r="AA739" s="310"/>
      <c r="AB739" s="180" t="s">
        <v>105</v>
      </c>
      <c r="AC739" s="311"/>
      <c r="AD739" s="311"/>
      <c r="AE739" s="311"/>
      <c r="AF739" s="311"/>
      <c r="AG739" s="311"/>
      <c r="AH739" s="311"/>
      <c r="AI739" s="311"/>
      <c r="AJ739" s="311"/>
      <c r="AK739" s="311"/>
      <c r="AL739" s="311"/>
      <c r="AM739" s="311"/>
      <c r="AN739" s="311"/>
      <c r="AO739" s="311"/>
      <c r="AP739" s="310"/>
      <c r="AQ739" s="51"/>
      <c r="AR739" s="208"/>
      <c r="AS739" s="49"/>
      <c r="AT739" s="49"/>
      <c r="AU739" s="49"/>
      <c r="AV739" s="49"/>
      <c r="AW739" s="49"/>
      <c r="AX739" s="49"/>
      <c r="AY739" s="52"/>
    </row>
    <row r="740" spans="1:53" ht="13.5" customHeight="1">
      <c r="A740" s="56"/>
      <c r="B740" s="50"/>
      <c r="C740" s="49"/>
      <c r="D740" s="49"/>
      <c r="E740" s="49"/>
      <c r="F740" s="49"/>
      <c r="G740" s="49"/>
      <c r="H740" s="49"/>
      <c r="I740" s="51"/>
      <c r="J740" s="350"/>
      <c r="K740" s="351"/>
      <c r="L740" s="101"/>
      <c r="M740" s="174"/>
      <c r="N740" s="175"/>
      <c r="O740" s="175"/>
      <c r="P740" s="175"/>
      <c r="Q740" s="176"/>
      <c r="R740" s="177"/>
      <c r="S740" s="175"/>
      <c r="T740" s="175"/>
      <c r="U740" s="175"/>
      <c r="V740" s="176"/>
      <c r="W740" s="181"/>
      <c r="X740" s="182"/>
      <c r="Y740" s="181"/>
      <c r="Z740" s="183"/>
      <c r="AA740" s="182"/>
      <c r="AB740" s="181"/>
      <c r="AC740" s="183"/>
      <c r="AD740" s="183"/>
      <c r="AE740" s="183"/>
      <c r="AF740" s="183"/>
      <c r="AG740" s="183"/>
      <c r="AH740" s="183"/>
      <c r="AI740" s="183"/>
      <c r="AJ740" s="183"/>
      <c r="AK740" s="183"/>
      <c r="AL740" s="183"/>
      <c r="AM740" s="183"/>
      <c r="AN740" s="183"/>
      <c r="AO740" s="183"/>
      <c r="AP740" s="182"/>
      <c r="AQ740" s="51"/>
      <c r="AR740" s="208"/>
      <c r="AS740" s="49"/>
      <c r="AT740" s="49"/>
      <c r="AU740" s="49"/>
      <c r="AV740" s="49"/>
      <c r="AW740" s="49"/>
      <c r="AX740" s="49"/>
      <c r="AY740" s="52"/>
    </row>
    <row r="741" spans="1:53" ht="13.5" customHeight="1">
      <c r="A741" s="56"/>
      <c r="B741" s="50"/>
      <c r="C741" s="49"/>
      <c r="D741" s="49"/>
      <c r="E741" s="49"/>
      <c r="F741" s="49"/>
      <c r="G741" s="49"/>
      <c r="H741" s="49"/>
      <c r="I741" s="51"/>
      <c r="J741" s="350"/>
      <c r="K741" s="351"/>
      <c r="L741" s="101"/>
      <c r="M741" s="119" t="s">
        <v>101</v>
      </c>
      <c r="N741" s="120"/>
      <c r="O741" s="120"/>
      <c r="P741" s="120"/>
      <c r="Q741" s="121"/>
      <c r="R741" s="111" t="s">
        <v>116</v>
      </c>
      <c r="S741" s="112"/>
      <c r="T741" s="112"/>
      <c r="U741" s="112"/>
      <c r="V741" s="113"/>
      <c r="W741" s="114" t="s">
        <v>315</v>
      </c>
      <c r="X741" s="113"/>
      <c r="Y741" s="114" t="s">
        <v>319</v>
      </c>
      <c r="Z741" s="112"/>
      <c r="AA741" s="113"/>
      <c r="AB741" s="187" t="s">
        <v>328</v>
      </c>
      <c r="AC741" s="188"/>
      <c r="AD741" s="188"/>
      <c r="AE741" s="188"/>
      <c r="AF741" s="188"/>
      <c r="AG741" s="188"/>
      <c r="AH741" s="188"/>
      <c r="AI741" s="188"/>
      <c r="AJ741" s="188"/>
      <c r="AK741" s="188"/>
      <c r="AL741" s="188"/>
      <c r="AM741" s="188"/>
      <c r="AN741" s="188"/>
      <c r="AO741" s="188"/>
      <c r="AP741" s="189"/>
      <c r="AQ741" s="51"/>
      <c r="AR741" s="208"/>
      <c r="AS741" s="49"/>
      <c r="AT741" s="49"/>
      <c r="AU741" s="49"/>
      <c r="AV741" s="49"/>
      <c r="AW741" s="49"/>
      <c r="AX741" s="49"/>
      <c r="AY741" s="52"/>
    </row>
    <row r="742" spans="1:53" ht="13.5" customHeight="1">
      <c r="A742" s="56"/>
      <c r="B742" s="50"/>
      <c r="C742" s="49"/>
      <c r="D742" s="49"/>
      <c r="E742" s="49"/>
      <c r="F742" s="49"/>
      <c r="G742" s="49"/>
      <c r="H742" s="49"/>
      <c r="I742" s="51"/>
      <c r="J742" s="350"/>
      <c r="K742" s="351"/>
      <c r="L742" s="101"/>
      <c r="M742" s="119" t="s">
        <v>82</v>
      </c>
      <c r="N742" s="120"/>
      <c r="O742" s="120"/>
      <c r="P742" s="120"/>
      <c r="Q742" s="121"/>
      <c r="R742" s="111" t="s">
        <v>117</v>
      </c>
      <c r="S742" s="112"/>
      <c r="T742" s="112"/>
      <c r="U742" s="112"/>
      <c r="V742" s="113"/>
      <c r="W742" s="114" t="s">
        <v>315</v>
      </c>
      <c r="X742" s="113"/>
      <c r="Y742" s="114" t="s">
        <v>319</v>
      </c>
      <c r="Z742" s="112"/>
      <c r="AA742" s="113"/>
      <c r="AB742" s="187" t="s">
        <v>328</v>
      </c>
      <c r="AC742" s="188"/>
      <c r="AD742" s="188"/>
      <c r="AE742" s="188"/>
      <c r="AF742" s="188"/>
      <c r="AG742" s="188"/>
      <c r="AH742" s="188"/>
      <c r="AI742" s="188"/>
      <c r="AJ742" s="188"/>
      <c r="AK742" s="188"/>
      <c r="AL742" s="188"/>
      <c r="AM742" s="188"/>
      <c r="AN742" s="188"/>
      <c r="AO742" s="188"/>
      <c r="AP742" s="189"/>
      <c r="AQ742" s="51"/>
      <c r="AR742" s="208"/>
      <c r="AS742" s="49"/>
      <c r="AT742" s="49"/>
      <c r="AU742" s="49"/>
      <c r="AV742" s="49"/>
      <c r="AW742" s="49"/>
      <c r="AX742" s="49"/>
      <c r="AY742" s="52"/>
    </row>
    <row r="743" spans="1:53" ht="13.5" customHeight="1">
      <c r="A743" s="56"/>
      <c r="B743" s="50"/>
      <c r="C743" s="49"/>
      <c r="D743" s="49"/>
      <c r="E743" s="49"/>
      <c r="F743" s="49"/>
      <c r="G743" s="49"/>
      <c r="H743" s="49"/>
      <c r="I743" s="51"/>
      <c r="J743" s="350"/>
      <c r="K743" s="351"/>
      <c r="L743" s="101"/>
      <c r="M743" s="111" t="s">
        <v>83</v>
      </c>
      <c r="N743" s="112"/>
      <c r="O743" s="112"/>
      <c r="P743" s="112"/>
      <c r="Q743" s="113"/>
      <c r="R743" s="111" t="s">
        <v>99</v>
      </c>
      <c r="S743" s="112"/>
      <c r="T743" s="112"/>
      <c r="U743" s="112"/>
      <c r="V743" s="113"/>
      <c r="W743" s="114" t="s">
        <v>317</v>
      </c>
      <c r="X743" s="113"/>
      <c r="Y743" s="114" t="s">
        <v>318</v>
      </c>
      <c r="Z743" s="112"/>
      <c r="AA743" s="113"/>
      <c r="AB743" s="187" t="s">
        <v>328</v>
      </c>
      <c r="AC743" s="188"/>
      <c r="AD743" s="188"/>
      <c r="AE743" s="217" t="s">
        <v>352</v>
      </c>
      <c r="AF743" s="188"/>
      <c r="AG743" s="188"/>
      <c r="AH743" s="188"/>
      <c r="AI743" s="188"/>
      <c r="AJ743" s="188"/>
      <c r="AK743" s="188"/>
      <c r="AL743" s="188"/>
      <c r="AM743" s="188"/>
      <c r="AN743" s="188"/>
      <c r="AO743" s="188"/>
      <c r="AP743" s="189"/>
      <c r="AQ743" s="51"/>
      <c r="AR743" s="208"/>
      <c r="AS743" s="49"/>
      <c r="AT743" s="49"/>
      <c r="AU743" s="49"/>
      <c r="AV743" s="49"/>
      <c r="AW743" s="49"/>
      <c r="AX743" s="49"/>
      <c r="AY743" s="52"/>
    </row>
    <row r="744" spans="1:53" ht="13.5" customHeight="1">
      <c r="A744" s="56"/>
      <c r="B744" s="50"/>
      <c r="C744" s="49"/>
      <c r="D744" s="49"/>
      <c r="E744" s="49"/>
      <c r="F744" s="49"/>
      <c r="G744" s="49"/>
      <c r="H744" s="49"/>
      <c r="I744" s="51"/>
      <c r="J744" s="350"/>
      <c r="K744" s="351"/>
      <c r="L744" s="101"/>
      <c r="M744" s="111" t="s">
        <v>440</v>
      </c>
      <c r="N744" s="112"/>
      <c r="O744" s="112"/>
      <c r="P744" s="112"/>
      <c r="Q744" s="113"/>
      <c r="R744" s="111" t="s">
        <v>440</v>
      </c>
      <c r="S744" s="112"/>
      <c r="T744" s="112"/>
      <c r="U744" s="112"/>
      <c r="V744" s="113"/>
      <c r="W744" s="114" t="s">
        <v>317</v>
      </c>
      <c r="X744" s="113"/>
      <c r="Y744" s="114" t="s">
        <v>318</v>
      </c>
      <c r="Z744" s="112"/>
      <c r="AA744" s="113"/>
      <c r="AB744" s="187" t="s">
        <v>328</v>
      </c>
      <c r="AC744" s="188"/>
      <c r="AD744" s="188"/>
      <c r="AE744" s="217" t="s">
        <v>353</v>
      </c>
      <c r="AF744" s="188"/>
      <c r="AG744" s="188"/>
      <c r="AH744" s="188"/>
      <c r="AI744" s="188"/>
      <c r="AJ744" s="188"/>
      <c r="AK744" s="188"/>
      <c r="AL744" s="188"/>
      <c r="AM744" s="188"/>
      <c r="AN744" s="188"/>
      <c r="AO744" s="188"/>
      <c r="AP744" s="189"/>
      <c r="AQ744" s="51"/>
      <c r="AR744" s="208"/>
      <c r="AS744" s="49"/>
      <c r="AT744" s="49"/>
      <c r="AU744" s="49"/>
      <c r="AV744" s="49"/>
      <c r="AW744" s="49"/>
      <c r="AX744" s="49"/>
      <c r="AY744" s="52"/>
    </row>
    <row r="745" spans="1:53" ht="13.5" customHeight="1">
      <c r="A745" s="56"/>
      <c r="B745" s="50"/>
      <c r="C745" s="49"/>
      <c r="D745" s="49"/>
      <c r="E745" s="49"/>
      <c r="F745" s="49"/>
      <c r="G745" s="49"/>
      <c r="H745" s="49"/>
      <c r="I745" s="51"/>
      <c r="J745" s="350"/>
      <c r="K745" s="351"/>
      <c r="L745" s="101"/>
      <c r="M745" s="166" t="s">
        <v>89</v>
      </c>
      <c r="N745" s="312"/>
      <c r="O745" s="312"/>
      <c r="P745" s="312"/>
      <c r="Q745" s="313"/>
      <c r="R745" s="170" t="s">
        <v>123</v>
      </c>
      <c r="S745" s="284"/>
      <c r="T745" s="284"/>
      <c r="U745" s="284"/>
      <c r="V745" s="285"/>
      <c r="W745" s="152" t="s">
        <v>315</v>
      </c>
      <c r="X745" s="285"/>
      <c r="Y745" s="152" t="s">
        <v>319</v>
      </c>
      <c r="Z745" s="284"/>
      <c r="AA745" s="285"/>
      <c r="AB745" s="190" t="s">
        <v>329</v>
      </c>
      <c r="AC745" s="286"/>
      <c r="AD745" s="286"/>
      <c r="AE745" s="286"/>
      <c r="AF745" s="286"/>
      <c r="AG745" s="286"/>
      <c r="AH745" s="286"/>
      <c r="AI745" s="286"/>
      <c r="AJ745" s="286"/>
      <c r="AK745" s="286"/>
      <c r="AL745" s="286"/>
      <c r="AM745" s="286"/>
      <c r="AN745" s="286"/>
      <c r="AO745" s="286"/>
      <c r="AP745" s="314"/>
      <c r="AQ745" s="51"/>
      <c r="AR745" s="208"/>
      <c r="AS745" s="49"/>
      <c r="AT745" s="49"/>
      <c r="AU745" s="49"/>
      <c r="AV745" s="49"/>
      <c r="AW745" s="49"/>
      <c r="AX745" s="49"/>
      <c r="AY745" s="52"/>
    </row>
    <row r="746" spans="1:53" ht="13.5" customHeight="1">
      <c r="A746" s="56"/>
      <c r="B746" s="50"/>
      <c r="C746" s="49"/>
      <c r="D746" s="49"/>
      <c r="E746" s="49"/>
      <c r="F746" s="49"/>
      <c r="G746" s="49"/>
      <c r="H746" s="49"/>
      <c r="I746" s="51"/>
      <c r="J746" s="350"/>
      <c r="K746" s="351"/>
      <c r="L746" s="101"/>
      <c r="M746" s="167"/>
      <c r="N746" s="168"/>
      <c r="O746" s="168"/>
      <c r="P746" s="168"/>
      <c r="Q746" s="169"/>
      <c r="R746" s="171" t="s">
        <v>325</v>
      </c>
      <c r="S746" s="57"/>
      <c r="T746" s="57"/>
      <c r="U746" s="57"/>
      <c r="V746" s="59"/>
      <c r="W746" s="58"/>
      <c r="X746" s="59"/>
      <c r="Y746" s="58"/>
      <c r="Z746" s="57"/>
      <c r="AA746" s="59"/>
      <c r="AB746" s="191"/>
      <c r="AC746" s="192"/>
      <c r="AD746" s="192"/>
      <c r="AE746" s="192"/>
      <c r="AF746" s="192"/>
      <c r="AG746" s="192"/>
      <c r="AH746" s="192"/>
      <c r="AI746" s="192"/>
      <c r="AJ746" s="192"/>
      <c r="AK746" s="192"/>
      <c r="AL746" s="192"/>
      <c r="AM746" s="192"/>
      <c r="AN746" s="192"/>
      <c r="AO746" s="192"/>
      <c r="AP746" s="193"/>
      <c r="AQ746" s="51"/>
      <c r="AR746" s="208"/>
      <c r="AS746" s="49"/>
      <c r="AT746" s="49"/>
      <c r="AU746" s="49"/>
      <c r="AV746" s="49"/>
      <c r="AW746" s="49"/>
      <c r="AX746" s="49"/>
      <c r="AY746" s="52"/>
    </row>
    <row r="747" spans="1:53" ht="13.5" customHeight="1">
      <c r="A747" s="56"/>
      <c r="B747" s="50"/>
      <c r="C747" s="49"/>
      <c r="D747" s="49"/>
      <c r="E747" s="49"/>
      <c r="F747" s="49"/>
      <c r="G747" s="49"/>
      <c r="H747" s="49"/>
      <c r="I747" s="51"/>
      <c r="J747" s="350"/>
      <c r="K747" s="351"/>
      <c r="L747" s="101"/>
      <c r="M747" s="111" t="s">
        <v>86</v>
      </c>
      <c r="N747" s="112"/>
      <c r="O747" s="112"/>
      <c r="P747" s="112"/>
      <c r="Q747" s="113"/>
      <c r="R747" s="111" t="s">
        <v>86</v>
      </c>
      <c r="S747" s="112"/>
      <c r="T747" s="112"/>
      <c r="U747" s="112"/>
      <c r="V747" s="113"/>
      <c r="W747" s="114" t="s">
        <v>317</v>
      </c>
      <c r="X747" s="113"/>
      <c r="Y747" s="114" t="s">
        <v>318</v>
      </c>
      <c r="Z747" s="112"/>
      <c r="AA747" s="113"/>
      <c r="AB747" s="187" t="s">
        <v>328</v>
      </c>
      <c r="AC747" s="188"/>
      <c r="AD747" s="188"/>
      <c r="AE747" s="217" t="s">
        <v>353</v>
      </c>
      <c r="AF747" s="188"/>
      <c r="AG747" s="188"/>
      <c r="AH747" s="188"/>
      <c r="AI747" s="188"/>
      <c r="AJ747" s="188"/>
      <c r="AK747" s="188"/>
      <c r="AL747" s="188"/>
      <c r="AM747" s="188"/>
      <c r="AN747" s="188"/>
      <c r="AO747" s="188"/>
      <c r="AP747" s="189"/>
      <c r="AQ747" s="51"/>
      <c r="AR747" s="208"/>
      <c r="AS747" s="49"/>
      <c r="AT747" s="49"/>
      <c r="AU747" s="49"/>
      <c r="AV747" s="49"/>
      <c r="AW747" s="49"/>
      <c r="AX747" s="49"/>
      <c r="AY747" s="52"/>
    </row>
    <row r="748" spans="1:53" ht="13.5" customHeight="1">
      <c r="A748" s="56"/>
      <c r="B748" s="50"/>
      <c r="C748" s="49"/>
      <c r="D748" s="49"/>
      <c r="E748" s="49"/>
      <c r="F748" s="49"/>
      <c r="G748" s="49"/>
      <c r="H748" s="49"/>
      <c r="I748" s="51"/>
      <c r="J748" s="350"/>
      <c r="K748" s="351"/>
      <c r="L748" s="101"/>
      <c r="M748" s="111" t="s">
        <v>90</v>
      </c>
      <c r="N748" s="112"/>
      <c r="O748" s="112"/>
      <c r="P748" s="112"/>
      <c r="Q748" s="113"/>
      <c r="R748" s="111" t="s">
        <v>115</v>
      </c>
      <c r="S748" s="112"/>
      <c r="T748" s="112"/>
      <c r="U748" s="112"/>
      <c r="V748" s="113"/>
      <c r="W748" s="114" t="s">
        <v>317</v>
      </c>
      <c r="X748" s="113"/>
      <c r="Y748" s="114" t="s">
        <v>318</v>
      </c>
      <c r="Z748" s="112"/>
      <c r="AA748" s="113"/>
      <c r="AB748" s="187" t="s">
        <v>328</v>
      </c>
      <c r="AC748" s="188"/>
      <c r="AD748" s="188"/>
      <c r="AE748" s="217" t="s">
        <v>353</v>
      </c>
      <c r="AF748" s="188"/>
      <c r="AG748" s="188"/>
      <c r="AH748" s="188"/>
      <c r="AI748" s="188"/>
      <c r="AJ748" s="188"/>
      <c r="AK748" s="188"/>
      <c r="AL748" s="188"/>
      <c r="AM748" s="188"/>
      <c r="AN748" s="188"/>
      <c r="AO748" s="188"/>
      <c r="AP748" s="189"/>
      <c r="AQ748" s="51"/>
      <c r="AR748" s="208"/>
      <c r="AS748" s="49"/>
      <c r="AT748" s="49"/>
      <c r="AU748" s="49"/>
      <c r="AV748" s="49"/>
      <c r="AW748" s="49"/>
      <c r="AX748" s="49"/>
      <c r="AY748" s="52"/>
    </row>
    <row r="749" spans="1:53" ht="13.5" customHeight="1">
      <c r="A749" s="56"/>
      <c r="B749" s="50"/>
      <c r="C749" s="49"/>
      <c r="D749" s="49"/>
      <c r="E749" s="49"/>
      <c r="F749" s="49"/>
      <c r="G749" s="49"/>
      <c r="H749" s="49"/>
      <c r="I749" s="51"/>
      <c r="J749" s="350"/>
      <c r="K749" s="351"/>
      <c r="L749" s="101"/>
      <c r="M749" s="115" t="s">
        <v>128</v>
      </c>
      <c r="N749" s="116"/>
      <c r="O749" s="116"/>
      <c r="P749" s="116"/>
      <c r="Q749" s="117"/>
      <c r="R749" s="115" t="s">
        <v>91</v>
      </c>
      <c r="S749" s="116"/>
      <c r="T749" s="116"/>
      <c r="U749" s="116"/>
      <c r="V749" s="117"/>
      <c r="W749" s="118" t="s">
        <v>317</v>
      </c>
      <c r="X749" s="117"/>
      <c r="Y749" s="114" t="s">
        <v>318</v>
      </c>
      <c r="Z749" s="116"/>
      <c r="AA749" s="117"/>
      <c r="AB749" s="187" t="s">
        <v>328</v>
      </c>
      <c r="AC749" s="194"/>
      <c r="AD749" s="194"/>
      <c r="AE749" s="217" t="s">
        <v>353</v>
      </c>
      <c r="AF749" s="194"/>
      <c r="AG749" s="194"/>
      <c r="AH749" s="194"/>
      <c r="AI749" s="194"/>
      <c r="AJ749" s="194"/>
      <c r="AK749" s="194"/>
      <c r="AL749" s="194"/>
      <c r="AM749" s="194"/>
      <c r="AN749" s="194"/>
      <c r="AO749" s="194"/>
      <c r="AP749" s="195"/>
      <c r="AQ749" s="51"/>
      <c r="AR749" s="208"/>
      <c r="AS749" s="49"/>
      <c r="AT749" s="49"/>
      <c r="AU749" s="49"/>
      <c r="AV749" s="49"/>
      <c r="AW749" s="49"/>
      <c r="AX749" s="49"/>
      <c r="AY749" s="52"/>
    </row>
    <row r="750" spans="1:53" ht="13.5" customHeight="1">
      <c r="A750" s="56"/>
      <c r="B750" s="50"/>
      <c r="C750" s="49"/>
      <c r="D750" s="49"/>
      <c r="E750" s="49"/>
      <c r="F750" s="49"/>
      <c r="G750" s="49"/>
      <c r="H750" s="49"/>
      <c r="I750" s="51"/>
      <c r="J750" s="350"/>
      <c r="K750" s="351"/>
      <c r="L750" s="101"/>
      <c r="M750" s="166" t="s">
        <v>340</v>
      </c>
      <c r="N750" s="312"/>
      <c r="O750" s="312"/>
      <c r="P750" s="312"/>
      <c r="Q750" s="313"/>
      <c r="R750" s="162" t="s">
        <v>316</v>
      </c>
      <c r="S750" s="315"/>
      <c r="T750" s="315"/>
      <c r="U750" s="315"/>
      <c r="V750" s="316"/>
      <c r="W750" s="178" t="s">
        <v>317</v>
      </c>
      <c r="X750" s="316"/>
      <c r="Y750" s="152" t="s">
        <v>318</v>
      </c>
      <c r="Z750" s="315"/>
      <c r="AA750" s="316"/>
      <c r="AB750" s="196" t="s">
        <v>328</v>
      </c>
      <c r="AC750" s="317"/>
      <c r="AD750" s="317"/>
      <c r="AE750" s="318" t="s">
        <v>353</v>
      </c>
      <c r="AF750" s="317"/>
      <c r="AG750" s="317"/>
      <c r="AH750" s="317"/>
      <c r="AI750" s="317"/>
      <c r="AJ750" s="317"/>
      <c r="AK750" s="317"/>
      <c r="AL750" s="317"/>
      <c r="AM750" s="317"/>
      <c r="AN750" s="317"/>
      <c r="AO750" s="317"/>
      <c r="AP750" s="319"/>
      <c r="AQ750" s="51"/>
      <c r="AR750" s="208"/>
      <c r="AS750" s="49"/>
      <c r="AT750" s="49"/>
      <c r="AU750" s="49"/>
      <c r="AV750" s="49"/>
      <c r="AW750" s="49"/>
      <c r="AX750" s="49"/>
      <c r="AY750" s="52"/>
    </row>
    <row r="751" spans="1:53" ht="13.5" customHeight="1">
      <c r="A751" s="56"/>
      <c r="B751" s="50"/>
      <c r="C751" s="49"/>
      <c r="D751" s="49"/>
      <c r="E751" s="49"/>
      <c r="F751" s="49"/>
      <c r="G751" s="49"/>
      <c r="H751" s="49"/>
      <c r="I751" s="51"/>
      <c r="J751" s="350"/>
      <c r="K751" s="351"/>
      <c r="L751" s="101"/>
      <c r="M751" s="167" t="s">
        <v>346</v>
      </c>
      <c r="N751" s="168"/>
      <c r="O751" s="168"/>
      <c r="P751" s="168"/>
      <c r="Q751" s="169"/>
      <c r="R751" s="163"/>
      <c r="S751" s="164"/>
      <c r="T751" s="164"/>
      <c r="U751" s="164"/>
      <c r="V751" s="165"/>
      <c r="W751" s="179"/>
      <c r="X751" s="165"/>
      <c r="Y751" s="58"/>
      <c r="Z751" s="164"/>
      <c r="AA751" s="165"/>
      <c r="AB751" s="197"/>
      <c r="AC751" s="198"/>
      <c r="AD751" s="198"/>
      <c r="AE751" s="198"/>
      <c r="AF751" s="198"/>
      <c r="AG751" s="198"/>
      <c r="AH751" s="198"/>
      <c r="AI751" s="198"/>
      <c r="AJ751" s="198"/>
      <c r="AK751" s="198"/>
      <c r="AL751" s="198"/>
      <c r="AM751" s="198"/>
      <c r="AN751" s="198"/>
      <c r="AO751" s="198"/>
      <c r="AP751" s="199"/>
      <c r="AQ751" s="51"/>
      <c r="AR751" s="208"/>
      <c r="AS751" s="49"/>
      <c r="AT751" s="49"/>
      <c r="AU751" s="49"/>
      <c r="AV751" s="49"/>
      <c r="AW751" s="49"/>
      <c r="AX751" s="49"/>
      <c r="AY751" s="52"/>
    </row>
    <row r="752" spans="1:53" ht="13.5" customHeight="1">
      <c r="A752" s="56"/>
      <c r="B752" s="50"/>
      <c r="C752" s="49"/>
      <c r="D752" s="49"/>
      <c r="E752" s="49"/>
      <c r="F752" s="49"/>
      <c r="G752" s="49"/>
      <c r="H752" s="49"/>
      <c r="I752" s="51"/>
      <c r="J752" s="350"/>
      <c r="K752" s="351"/>
      <c r="L752" s="101"/>
      <c r="M752" s="448" t="s">
        <v>323</v>
      </c>
      <c r="N752" s="449"/>
      <c r="O752" s="449"/>
      <c r="P752" s="449"/>
      <c r="Q752" s="450"/>
      <c r="R752" s="448" t="s">
        <v>326</v>
      </c>
      <c r="S752" s="449"/>
      <c r="T752" s="449"/>
      <c r="U752" s="449"/>
      <c r="V752" s="450"/>
      <c r="W752" s="451" t="s">
        <v>315</v>
      </c>
      <c r="X752" s="450"/>
      <c r="Y752" s="451" t="s">
        <v>319</v>
      </c>
      <c r="Z752" s="449"/>
      <c r="AA752" s="450"/>
      <c r="AB752" s="452" t="s">
        <v>339</v>
      </c>
      <c r="AC752" s="453"/>
      <c r="AD752" s="453"/>
      <c r="AE752" s="453"/>
      <c r="AF752" s="453"/>
      <c r="AG752" s="453"/>
      <c r="AH752" s="453"/>
      <c r="AI752" s="453"/>
      <c r="AJ752" s="453"/>
      <c r="AK752" s="453"/>
      <c r="AL752" s="453"/>
      <c r="AM752" s="453"/>
      <c r="AN752" s="453"/>
      <c r="AO752" s="453"/>
      <c r="AP752" s="454"/>
      <c r="AQ752" s="160"/>
      <c r="AR752" s="455" t="s">
        <v>363</v>
      </c>
      <c r="AS752" s="159"/>
      <c r="AT752" s="159"/>
      <c r="AU752" s="159"/>
      <c r="AV752" s="49"/>
      <c r="AW752" s="49"/>
      <c r="AX752" s="49"/>
      <c r="AY752" s="52"/>
      <c r="BA752" s="23">
        <v>3.2</v>
      </c>
    </row>
    <row r="753" spans="1:53" ht="13.5" customHeight="1">
      <c r="A753" s="56"/>
      <c r="B753" s="50"/>
      <c r="C753" s="49"/>
      <c r="D753" s="49"/>
      <c r="E753" s="49"/>
      <c r="F753" s="49"/>
      <c r="G753" s="49"/>
      <c r="H753" s="49"/>
      <c r="I753" s="51"/>
      <c r="J753" s="350"/>
      <c r="K753" s="351"/>
      <c r="L753" s="101"/>
      <c r="M753" s="456" t="s">
        <v>324</v>
      </c>
      <c r="N753" s="158"/>
      <c r="O753" s="158"/>
      <c r="P753" s="158"/>
      <c r="Q753" s="457"/>
      <c r="R753" s="456" t="s">
        <v>327</v>
      </c>
      <c r="S753" s="158"/>
      <c r="T753" s="158"/>
      <c r="U753" s="158"/>
      <c r="V753" s="457"/>
      <c r="W753" s="157"/>
      <c r="X753" s="457"/>
      <c r="Y753" s="157"/>
      <c r="Z753" s="158"/>
      <c r="AA753" s="457"/>
      <c r="AB753" s="458"/>
      <c r="AC753" s="459" t="s">
        <v>332</v>
      </c>
      <c r="AD753" s="459"/>
      <c r="AE753" s="459"/>
      <c r="AF753" s="459"/>
      <c r="AG753" s="459"/>
      <c r="AH753" s="459"/>
      <c r="AI753" s="459"/>
      <c r="AJ753" s="459"/>
      <c r="AK753" s="459"/>
      <c r="AL753" s="459"/>
      <c r="AM753" s="459"/>
      <c r="AN753" s="459"/>
      <c r="AO753" s="459"/>
      <c r="AP753" s="460"/>
      <c r="AQ753" s="160"/>
      <c r="AR753" s="215"/>
      <c r="AS753" s="159"/>
      <c r="AT753" s="159"/>
      <c r="AU753" s="159"/>
      <c r="AV753" s="49"/>
      <c r="AW753" s="49"/>
      <c r="AX753" s="49"/>
      <c r="AY753" s="52"/>
      <c r="BA753" s="23">
        <v>3.2</v>
      </c>
    </row>
    <row r="754" spans="1:53" ht="13.5" customHeight="1">
      <c r="A754" s="56"/>
      <c r="B754" s="50"/>
      <c r="C754" s="49"/>
      <c r="D754" s="49"/>
      <c r="E754" s="49"/>
      <c r="F754" s="49"/>
      <c r="G754" s="49"/>
      <c r="H754" s="49"/>
      <c r="I754" s="51"/>
      <c r="J754" s="350"/>
      <c r="K754" s="351"/>
      <c r="L754" s="101"/>
      <c r="M754" s="456" t="s">
        <v>347</v>
      </c>
      <c r="N754" s="158"/>
      <c r="O754" s="158"/>
      <c r="P754" s="158"/>
      <c r="Q754" s="457"/>
      <c r="R754" s="456" t="s">
        <v>330</v>
      </c>
      <c r="S754" s="158"/>
      <c r="T754" s="158"/>
      <c r="U754" s="158"/>
      <c r="V754" s="457"/>
      <c r="W754" s="157"/>
      <c r="X754" s="457"/>
      <c r="Y754" s="157"/>
      <c r="Z754" s="158"/>
      <c r="AA754" s="457"/>
      <c r="AB754" s="458" t="s">
        <v>723</v>
      </c>
      <c r="AC754" s="459"/>
      <c r="AD754" s="459"/>
      <c r="AE754" s="459"/>
      <c r="AF754" s="459"/>
      <c r="AG754" s="459"/>
      <c r="AH754" s="459"/>
      <c r="AI754" s="459"/>
      <c r="AJ754" s="459"/>
      <c r="AK754" s="459"/>
      <c r="AL754" s="459"/>
      <c r="AM754" s="459"/>
      <c r="AN754" s="459"/>
      <c r="AO754" s="459"/>
      <c r="AP754" s="460"/>
      <c r="AQ754" s="160"/>
      <c r="AR754" s="215"/>
      <c r="AS754" s="159"/>
      <c r="AT754" s="159"/>
      <c r="AU754" s="159"/>
      <c r="AV754" s="49"/>
      <c r="AW754" s="49"/>
      <c r="AX754" s="49"/>
      <c r="AY754" s="52"/>
      <c r="BA754" s="23">
        <v>3.2</v>
      </c>
    </row>
    <row r="755" spans="1:53" ht="13.5" customHeight="1">
      <c r="A755" s="56"/>
      <c r="B755" s="50"/>
      <c r="C755" s="49"/>
      <c r="D755" s="49"/>
      <c r="E755" s="49"/>
      <c r="F755" s="49"/>
      <c r="G755" s="49"/>
      <c r="H755" s="49"/>
      <c r="I755" s="51"/>
      <c r="J755" s="350"/>
      <c r="K755" s="351"/>
      <c r="L755" s="101"/>
      <c r="M755" s="461"/>
      <c r="N755" s="462"/>
      <c r="O755" s="462"/>
      <c r="P755" s="462"/>
      <c r="Q755" s="463"/>
      <c r="R755" s="461" t="s">
        <v>331</v>
      </c>
      <c r="S755" s="462"/>
      <c r="T755" s="462"/>
      <c r="U755" s="462"/>
      <c r="V755" s="463"/>
      <c r="W755" s="464"/>
      <c r="X755" s="463"/>
      <c r="Y755" s="464"/>
      <c r="Z755" s="462"/>
      <c r="AA755" s="463"/>
      <c r="AB755" s="465"/>
      <c r="AC755" s="466" t="s">
        <v>333</v>
      </c>
      <c r="AD755" s="466"/>
      <c r="AE755" s="466"/>
      <c r="AF755" s="466"/>
      <c r="AG755" s="466"/>
      <c r="AH755" s="466"/>
      <c r="AI755" s="466"/>
      <c r="AJ755" s="466"/>
      <c r="AK755" s="466"/>
      <c r="AL755" s="466"/>
      <c r="AM755" s="466"/>
      <c r="AN755" s="466"/>
      <c r="AO755" s="466"/>
      <c r="AP755" s="467"/>
      <c r="AQ755" s="160"/>
      <c r="AR755" s="215"/>
      <c r="AS755" s="159"/>
      <c r="AT755" s="159"/>
      <c r="AU755" s="159"/>
      <c r="AV755" s="49"/>
      <c r="AW755" s="49"/>
      <c r="AX755" s="49"/>
      <c r="AY755" s="52"/>
      <c r="BA755" s="23">
        <v>3.2</v>
      </c>
    </row>
    <row r="756" spans="1:53" ht="13.5" customHeight="1">
      <c r="A756" s="56"/>
      <c r="B756" s="50"/>
      <c r="C756" s="49"/>
      <c r="D756" s="49"/>
      <c r="E756" s="49"/>
      <c r="F756" s="49"/>
      <c r="G756" s="49"/>
      <c r="H756" s="49"/>
      <c r="I756" s="51"/>
      <c r="J756" s="350"/>
      <c r="K756" s="351"/>
      <c r="L756" s="101"/>
      <c r="M756" s="111" t="s">
        <v>119</v>
      </c>
      <c r="N756" s="112"/>
      <c r="O756" s="112"/>
      <c r="P756" s="112"/>
      <c r="Q756" s="113"/>
      <c r="R756" s="111" t="s">
        <v>119</v>
      </c>
      <c r="S756" s="112"/>
      <c r="T756" s="112"/>
      <c r="U756" s="112"/>
      <c r="V756" s="113"/>
      <c r="W756" s="114" t="s">
        <v>59</v>
      </c>
      <c r="X756" s="113"/>
      <c r="Y756" s="114" t="s">
        <v>320</v>
      </c>
      <c r="Z756" s="112"/>
      <c r="AA756" s="113"/>
      <c r="AB756" s="187" t="s">
        <v>375</v>
      </c>
      <c r="AC756" s="188"/>
      <c r="AD756" s="188"/>
      <c r="AE756" s="188"/>
      <c r="AF756" s="188"/>
      <c r="AG756" s="188"/>
      <c r="AH756" s="188"/>
      <c r="AI756" s="188"/>
      <c r="AJ756" s="188"/>
      <c r="AK756" s="188"/>
      <c r="AL756" s="188"/>
      <c r="AM756" s="188"/>
      <c r="AN756" s="188"/>
      <c r="AO756" s="188"/>
      <c r="AP756" s="189"/>
      <c r="AQ756" s="51"/>
      <c r="AR756" s="208"/>
      <c r="AS756" s="49"/>
      <c r="AT756" s="49"/>
      <c r="AU756" s="49"/>
      <c r="AV756" s="49"/>
      <c r="AW756" s="49"/>
      <c r="AX756" s="49"/>
      <c r="AY756" s="52"/>
    </row>
    <row r="757" spans="1:53" ht="13.5" customHeight="1">
      <c r="A757" s="56"/>
      <c r="B757" s="50"/>
      <c r="C757" s="49"/>
      <c r="D757" s="49"/>
      <c r="E757" s="49"/>
      <c r="F757" s="49"/>
      <c r="G757" s="49"/>
      <c r="H757" s="49"/>
      <c r="I757" s="51"/>
      <c r="J757" s="350"/>
      <c r="K757" s="351"/>
      <c r="L757" s="101"/>
      <c r="M757" s="119" t="s">
        <v>444</v>
      </c>
      <c r="N757" s="120"/>
      <c r="O757" s="120"/>
      <c r="P757" s="120"/>
      <c r="Q757" s="121"/>
      <c r="R757" s="111" t="s">
        <v>123</v>
      </c>
      <c r="S757" s="112"/>
      <c r="T757" s="112"/>
      <c r="U757" s="112"/>
      <c r="V757" s="113"/>
      <c r="W757" s="114" t="s">
        <v>59</v>
      </c>
      <c r="X757" s="113"/>
      <c r="Y757" s="114" t="s">
        <v>320</v>
      </c>
      <c r="Z757" s="112"/>
      <c r="AA757" s="113"/>
      <c r="AB757" s="187" t="s">
        <v>59</v>
      </c>
      <c r="AC757" s="188"/>
      <c r="AD757" s="188"/>
      <c r="AE757" s="188"/>
      <c r="AF757" s="188"/>
      <c r="AG757" s="188"/>
      <c r="AH757" s="188"/>
      <c r="AI757" s="188"/>
      <c r="AJ757" s="188"/>
      <c r="AK757" s="188"/>
      <c r="AL757" s="188"/>
      <c r="AM757" s="188"/>
      <c r="AN757" s="188"/>
      <c r="AO757" s="188"/>
      <c r="AP757" s="189"/>
      <c r="AQ757" s="51"/>
      <c r="AR757" s="208"/>
      <c r="AS757" s="49"/>
      <c r="AT757" s="49"/>
      <c r="AU757" s="49"/>
      <c r="AV757" s="49"/>
      <c r="AW757" s="49"/>
      <c r="AX757" s="49"/>
      <c r="AY757" s="52"/>
    </row>
    <row r="758" spans="1:53" ht="13.5" customHeight="1" thickBot="1">
      <c r="A758" s="321"/>
      <c r="B758" s="322"/>
      <c r="C758" s="323"/>
      <c r="D758" s="323"/>
      <c r="E758" s="323"/>
      <c r="F758" s="323"/>
      <c r="G758" s="323"/>
      <c r="H758" s="323"/>
      <c r="I758" s="324"/>
      <c r="J758" s="354"/>
      <c r="K758" s="355"/>
      <c r="L758" s="336"/>
      <c r="M758" s="340" t="s">
        <v>445</v>
      </c>
      <c r="N758" s="341"/>
      <c r="O758" s="341"/>
      <c r="P758" s="341"/>
      <c r="Q758" s="342"/>
      <c r="R758" s="343" t="s">
        <v>437</v>
      </c>
      <c r="S758" s="344"/>
      <c r="T758" s="344"/>
      <c r="U758" s="344"/>
      <c r="V758" s="345"/>
      <c r="W758" s="346" t="s">
        <v>59</v>
      </c>
      <c r="X758" s="345"/>
      <c r="Y758" s="346" t="s">
        <v>320</v>
      </c>
      <c r="Z758" s="344"/>
      <c r="AA758" s="345"/>
      <c r="AB758" s="347" t="s">
        <v>59</v>
      </c>
      <c r="AC758" s="348"/>
      <c r="AD758" s="348"/>
      <c r="AE758" s="348"/>
      <c r="AF758" s="348"/>
      <c r="AG758" s="348"/>
      <c r="AH758" s="348"/>
      <c r="AI758" s="348"/>
      <c r="AJ758" s="348"/>
      <c r="AK758" s="348"/>
      <c r="AL758" s="348"/>
      <c r="AM758" s="348"/>
      <c r="AN758" s="348"/>
      <c r="AO758" s="348"/>
      <c r="AP758" s="349"/>
      <c r="AQ758" s="324"/>
      <c r="AR758" s="327"/>
      <c r="AS758" s="323"/>
      <c r="AT758" s="323"/>
      <c r="AU758" s="323"/>
      <c r="AV758" s="323"/>
      <c r="AW758" s="323"/>
      <c r="AX758" s="323"/>
      <c r="AY758" s="328"/>
    </row>
    <row r="759" spans="1:53" ht="13.5" customHeight="1">
      <c r="A759" s="56"/>
      <c r="B759" s="50"/>
      <c r="C759" s="49"/>
      <c r="D759" s="49"/>
      <c r="E759" s="49"/>
      <c r="F759" s="49"/>
      <c r="G759" s="49"/>
      <c r="H759" s="49"/>
      <c r="I759" s="51"/>
      <c r="J759" s="350"/>
      <c r="K759" s="351"/>
      <c r="L759" s="101"/>
      <c r="M759" s="49"/>
      <c r="N759" s="49"/>
      <c r="O759" s="49"/>
      <c r="P759" s="49"/>
      <c r="Q759" s="49"/>
      <c r="R759" s="49"/>
      <c r="S759" s="49"/>
      <c r="T759" s="49"/>
      <c r="U759" s="49"/>
      <c r="V759" s="49"/>
      <c r="W759" s="49"/>
      <c r="X759" s="49"/>
      <c r="Y759" s="49"/>
      <c r="Z759" s="49"/>
      <c r="AA759" s="49"/>
      <c r="AB759" s="49"/>
      <c r="AC759" s="49"/>
      <c r="AD759" s="49"/>
      <c r="AE759" s="49"/>
      <c r="AF759" s="49"/>
      <c r="AG759" s="49"/>
      <c r="AH759" s="49"/>
      <c r="AI759" s="49"/>
      <c r="AJ759" s="49"/>
      <c r="AK759" s="49"/>
      <c r="AL759" s="49"/>
      <c r="AM759" s="49"/>
      <c r="AN759" s="49"/>
      <c r="AO759" s="49"/>
      <c r="AP759" s="49"/>
      <c r="AQ759" s="51"/>
      <c r="AR759" s="208"/>
      <c r="AS759" s="49"/>
      <c r="AT759" s="49"/>
      <c r="AU759" s="49"/>
      <c r="AV759" s="49"/>
      <c r="AW759" s="49"/>
      <c r="AX759" s="49"/>
      <c r="AY759" s="52"/>
    </row>
    <row r="760" spans="1:53" ht="13.5" customHeight="1">
      <c r="A760" s="56"/>
      <c r="B760" s="50"/>
      <c r="C760" s="49"/>
      <c r="D760" s="49"/>
      <c r="E760" s="49"/>
      <c r="F760" s="49"/>
      <c r="G760" s="49"/>
      <c r="H760" s="49"/>
      <c r="I760" s="51"/>
      <c r="J760" s="350"/>
      <c r="K760" s="351"/>
      <c r="L760" s="101"/>
      <c r="M760" s="106" t="s">
        <v>411</v>
      </c>
      <c r="N760" s="102"/>
      <c r="O760" s="102"/>
      <c r="P760" s="102"/>
      <c r="Q760" s="49"/>
      <c r="R760" s="49"/>
      <c r="S760" s="49"/>
      <c r="T760" s="49"/>
      <c r="U760" s="49"/>
      <c r="V760" s="49"/>
      <c r="W760" s="49"/>
      <c r="X760" s="49"/>
      <c r="Y760" s="49"/>
      <c r="Z760" s="49"/>
      <c r="AA760" s="49"/>
      <c r="AB760" s="49"/>
      <c r="AC760" s="49"/>
      <c r="AD760" s="49"/>
      <c r="AE760" s="49"/>
      <c r="AF760" s="49"/>
      <c r="AG760" s="49"/>
      <c r="AH760" s="49"/>
      <c r="AI760" s="49"/>
      <c r="AJ760" s="49"/>
      <c r="AK760" s="49"/>
      <c r="AL760" s="49"/>
      <c r="AM760" s="49"/>
      <c r="AN760" s="49"/>
      <c r="AO760" s="49"/>
      <c r="AP760" s="49"/>
      <c r="AQ760" s="51"/>
      <c r="AR760" s="208"/>
      <c r="AS760" s="49"/>
      <c r="AT760" s="49"/>
      <c r="AU760" s="49"/>
      <c r="AV760" s="49"/>
      <c r="AW760" s="49"/>
      <c r="AX760" s="49"/>
      <c r="AY760" s="52"/>
    </row>
    <row r="761" spans="1:53" ht="13.5" customHeight="1">
      <c r="A761" s="56"/>
      <c r="B761" s="50"/>
      <c r="C761" s="49"/>
      <c r="D761" s="49"/>
      <c r="E761" s="49"/>
      <c r="F761" s="49"/>
      <c r="G761" s="49"/>
      <c r="H761" s="49"/>
      <c r="I761" s="51"/>
      <c r="J761" s="350"/>
      <c r="K761" s="351"/>
      <c r="L761" s="101"/>
      <c r="M761" s="106" t="s">
        <v>360</v>
      </c>
      <c r="N761" s="102"/>
      <c r="O761" s="102"/>
      <c r="P761" s="102"/>
      <c r="Q761" s="49"/>
      <c r="R761" s="49"/>
      <c r="S761" s="49"/>
      <c r="T761" s="49"/>
      <c r="U761" s="49"/>
      <c r="V761" s="49"/>
      <c r="W761" s="49"/>
      <c r="X761" s="49"/>
      <c r="Y761" s="49"/>
      <c r="Z761" s="49"/>
      <c r="AA761" s="49"/>
      <c r="AB761" s="49"/>
      <c r="AC761" s="49"/>
      <c r="AD761" s="49"/>
      <c r="AE761" s="49"/>
      <c r="AF761" s="49"/>
      <c r="AG761" s="49"/>
      <c r="AH761" s="49"/>
      <c r="AI761" s="49"/>
      <c r="AJ761" s="49"/>
      <c r="AK761" s="49"/>
      <c r="AL761" s="49"/>
      <c r="AM761" s="49"/>
      <c r="AN761" s="49"/>
      <c r="AO761" s="49"/>
      <c r="AP761" s="49"/>
      <c r="AQ761" s="51"/>
      <c r="AR761" s="208"/>
      <c r="AS761" s="49"/>
      <c r="AT761" s="49"/>
      <c r="AU761" s="49"/>
      <c r="AV761" s="49"/>
      <c r="AW761" s="49"/>
      <c r="AX761" s="49"/>
      <c r="AY761" s="52"/>
    </row>
    <row r="762" spans="1:53" ht="13.5" customHeight="1">
      <c r="A762" s="56"/>
      <c r="B762" s="50"/>
      <c r="C762" s="49"/>
      <c r="D762" s="49"/>
      <c r="E762" s="49"/>
      <c r="F762" s="49"/>
      <c r="G762" s="49"/>
      <c r="H762" s="49"/>
      <c r="I762" s="51"/>
      <c r="J762" s="350"/>
      <c r="K762" s="351"/>
      <c r="L762" s="101"/>
      <c r="M762" s="106" t="s">
        <v>412</v>
      </c>
      <c r="N762" s="102"/>
      <c r="O762" s="102"/>
      <c r="P762" s="102"/>
      <c r="Q762" s="49"/>
      <c r="R762" s="49"/>
      <c r="S762" s="49"/>
      <c r="T762" s="49"/>
      <c r="U762" s="49"/>
      <c r="V762" s="49"/>
      <c r="W762" s="49"/>
      <c r="X762" s="49"/>
      <c r="Y762" s="49"/>
      <c r="Z762" s="49"/>
      <c r="AA762" s="49"/>
      <c r="AB762" s="49"/>
      <c r="AC762" s="49"/>
      <c r="AD762" s="49"/>
      <c r="AE762" s="49"/>
      <c r="AF762" s="49"/>
      <c r="AG762" s="49"/>
      <c r="AH762" s="49"/>
      <c r="AI762" s="49"/>
      <c r="AJ762" s="49"/>
      <c r="AK762" s="49"/>
      <c r="AL762" s="49"/>
      <c r="AM762" s="49"/>
      <c r="AN762" s="49"/>
      <c r="AO762" s="49"/>
      <c r="AP762" s="49"/>
      <c r="AQ762" s="51"/>
      <c r="AR762" s="208"/>
      <c r="AS762" s="49"/>
      <c r="AT762" s="49"/>
      <c r="AU762" s="49"/>
      <c r="AV762" s="49"/>
      <c r="AW762" s="49"/>
      <c r="AX762" s="49"/>
      <c r="AY762" s="52"/>
    </row>
    <row r="763" spans="1:53" ht="13.5" customHeight="1">
      <c r="A763" s="56"/>
      <c r="B763" s="50"/>
      <c r="C763" s="49"/>
      <c r="D763" s="49"/>
      <c r="E763" s="49"/>
      <c r="F763" s="49"/>
      <c r="G763" s="49"/>
      <c r="H763" s="49"/>
      <c r="I763" s="51"/>
      <c r="J763" s="350"/>
      <c r="K763" s="351"/>
      <c r="L763" s="101"/>
      <c r="M763" s="440" t="s">
        <v>348</v>
      </c>
      <c r="N763" s="158"/>
      <c r="O763" s="158"/>
      <c r="P763" s="158"/>
      <c r="Q763" s="159"/>
      <c r="R763" s="159"/>
      <c r="S763" s="159"/>
      <c r="T763" s="159"/>
      <c r="U763" s="159"/>
      <c r="V763" s="159"/>
      <c r="W763" s="159"/>
      <c r="X763" s="159"/>
      <c r="Y763" s="159"/>
      <c r="Z763" s="159"/>
      <c r="AA763" s="159"/>
      <c r="AB763" s="49"/>
      <c r="AC763" s="49"/>
      <c r="AD763" s="49"/>
      <c r="AE763" s="49"/>
      <c r="AF763" s="49"/>
      <c r="AG763" s="49"/>
      <c r="AH763" s="49"/>
      <c r="AI763" s="49"/>
      <c r="AJ763" s="49"/>
      <c r="AK763" s="49"/>
      <c r="AL763" s="49"/>
      <c r="AM763" s="49"/>
      <c r="AN763" s="49"/>
      <c r="AO763" s="49"/>
      <c r="AP763" s="49"/>
      <c r="AQ763" s="51"/>
      <c r="AR763" s="208"/>
      <c r="AS763" s="49"/>
      <c r="AT763" s="49"/>
      <c r="AU763" s="49"/>
      <c r="AV763" s="49"/>
      <c r="AW763" s="49"/>
      <c r="AX763" s="49"/>
      <c r="AY763" s="52"/>
      <c r="BA763" s="23">
        <v>3.2</v>
      </c>
    </row>
    <row r="764" spans="1:53" ht="13.5" customHeight="1">
      <c r="A764" s="56"/>
      <c r="B764" s="50"/>
      <c r="C764" s="49"/>
      <c r="D764" s="49"/>
      <c r="E764" s="49"/>
      <c r="F764" s="49"/>
      <c r="G764" s="49"/>
      <c r="H764" s="49"/>
      <c r="I764" s="51"/>
      <c r="J764" s="350"/>
      <c r="K764" s="351"/>
      <c r="L764" s="101"/>
      <c r="M764" s="100" t="s">
        <v>361</v>
      </c>
      <c r="N764" s="102"/>
      <c r="O764" s="102"/>
      <c r="P764" s="102"/>
      <c r="Q764" s="49"/>
      <c r="R764" s="49"/>
      <c r="S764" s="49"/>
      <c r="T764" s="49"/>
      <c r="U764" s="49"/>
      <c r="V764" s="49"/>
      <c r="W764" s="49"/>
      <c r="X764" s="49"/>
      <c r="Y764" s="49"/>
      <c r="Z764" s="49"/>
      <c r="AA764" s="49"/>
      <c r="AB764" s="49"/>
      <c r="AC764" s="49"/>
      <c r="AD764" s="49"/>
      <c r="AE764" s="49"/>
      <c r="AF764" s="49"/>
      <c r="AG764" s="49"/>
      <c r="AH764" s="49"/>
      <c r="AI764" s="49"/>
      <c r="AJ764" s="49"/>
      <c r="AK764" s="49"/>
      <c r="AL764" s="49"/>
      <c r="AM764" s="49"/>
      <c r="AN764" s="49"/>
      <c r="AO764" s="49"/>
      <c r="AP764" s="49"/>
      <c r="AQ764" s="51"/>
      <c r="AR764" s="208"/>
      <c r="AS764" s="49"/>
      <c r="AT764" s="49"/>
      <c r="AU764" s="49"/>
      <c r="AV764" s="49"/>
      <c r="AW764" s="49"/>
      <c r="AX764" s="49"/>
      <c r="AY764" s="52"/>
    </row>
    <row r="765" spans="1:53" ht="13.5" customHeight="1">
      <c r="A765" s="56"/>
      <c r="B765" s="50"/>
      <c r="C765" s="49"/>
      <c r="D765" s="49"/>
      <c r="E765" s="49"/>
      <c r="F765" s="49"/>
      <c r="G765" s="49"/>
      <c r="H765" s="49"/>
      <c r="I765" s="51"/>
      <c r="J765" s="350"/>
      <c r="K765" s="351"/>
      <c r="L765" s="101"/>
      <c r="M765" s="100" t="s">
        <v>362</v>
      </c>
      <c r="N765" s="102"/>
      <c r="O765" s="102"/>
      <c r="P765" s="102"/>
      <c r="Q765" s="49"/>
      <c r="R765" s="49"/>
      <c r="S765" s="49"/>
      <c r="T765" s="49"/>
      <c r="U765" s="49"/>
      <c r="V765" s="49"/>
      <c r="W765" s="49"/>
      <c r="X765" s="49"/>
      <c r="Y765" s="49"/>
      <c r="Z765" s="49"/>
      <c r="AA765" s="49"/>
      <c r="AB765" s="49"/>
      <c r="AC765" s="49"/>
      <c r="AD765" s="49"/>
      <c r="AE765" s="49"/>
      <c r="AF765" s="49"/>
      <c r="AG765" s="49"/>
      <c r="AH765" s="49"/>
      <c r="AI765" s="49"/>
      <c r="AJ765" s="49"/>
      <c r="AK765" s="49"/>
      <c r="AL765" s="49"/>
      <c r="AM765" s="49"/>
      <c r="AN765" s="49"/>
      <c r="AO765" s="49"/>
      <c r="AP765" s="49"/>
      <c r="AQ765" s="51"/>
      <c r="AR765" s="208"/>
      <c r="AS765" s="49"/>
      <c r="AT765" s="49"/>
      <c r="AU765" s="49"/>
      <c r="AV765" s="49"/>
      <c r="AW765" s="49"/>
      <c r="AX765" s="49"/>
      <c r="AY765" s="52"/>
    </row>
    <row r="766" spans="1:53" ht="13.5" customHeight="1">
      <c r="A766" s="56"/>
      <c r="B766" s="50"/>
      <c r="C766" s="49"/>
      <c r="D766" s="49"/>
      <c r="E766" s="49"/>
      <c r="F766" s="49"/>
      <c r="G766" s="49"/>
      <c r="H766" s="49"/>
      <c r="I766" s="51"/>
      <c r="J766" s="350"/>
      <c r="K766" s="351"/>
      <c r="L766" s="101"/>
      <c r="M766" s="205"/>
      <c r="N766" s="49" t="s">
        <v>409</v>
      </c>
      <c r="O766" s="49"/>
      <c r="P766" s="49"/>
      <c r="Q766" s="49"/>
      <c r="R766" s="49"/>
      <c r="S766" s="49"/>
      <c r="T766" s="49"/>
      <c r="U766" s="49"/>
      <c r="V766" s="49"/>
      <c r="W766" s="49"/>
      <c r="X766" s="49"/>
      <c r="Y766" s="49"/>
      <c r="Z766" s="49"/>
      <c r="AA766" s="49"/>
      <c r="AB766" s="49"/>
      <c r="AC766" s="49"/>
      <c r="AD766" s="49"/>
      <c r="AE766" s="49"/>
      <c r="AF766" s="49"/>
      <c r="AG766" s="49"/>
      <c r="AH766" s="49"/>
      <c r="AI766" s="49"/>
      <c r="AJ766" s="49"/>
      <c r="AK766" s="49"/>
      <c r="AL766" s="49"/>
      <c r="AM766" s="49"/>
      <c r="AN766" s="49"/>
      <c r="AO766" s="49"/>
      <c r="AP766" s="49"/>
      <c r="AQ766" s="51"/>
      <c r="AR766" s="208"/>
      <c r="AS766" s="49"/>
      <c r="AT766" s="49"/>
      <c r="AU766" s="49"/>
      <c r="AV766" s="49"/>
      <c r="AW766" s="49"/>
      <c r="AX766" s="49"/>
      <c r="AY766" s="52"/>
    </row>
    <row r="767" spans="1:53" ht="13.5" customHeight="1">
      <c r="A767" s="56"/>
      <c r="B767" s="50"/>
      <c r="C767" s="49"/>
      <c r="D767" s="49"/>
      <c r="E767" s="49"/>
      <c r="F767" s="49"/>
      <c r="G767" s="49"/>
      <c r="H767" s="49"/>
      <c r="I767" s="51"/>
      <c r="J767" s="350"/>
      <c r="K767" s="351"/>
      <c r="L767" s="101"/>
      <c r="M767" s="205"/>
      <c r="N767" s="49" t="s">
        <v>410</v>
      </c>
      <c r="O767" s="49"/>
      <c r="P767" s="49"/>
      <c r="Q767" s="49"/>
      <c r="R767" s="49"/>
      <c r="S767" s="49"/>
      <c r="T767" s="49"/>
      <c r="U767" s="49"/>
      <c r="V767" s="49"/>
      <c r="W767" s="49"/>
      <c r="X767" s="49"/>
      <c r="Y767" s="49"/>
      <c r="Z767" s="49"/>
      <c r="AA767" s="49"/>
      <c r="AB767" s="49"/>
      <c r="AC767" s="49"/>
      <c r="AD767" s="49"/>
      <c r="AE767" s="49"/>
      <c r="AF767" s="49"/>
      <c r="AG767" s="49"/>
      <c r="AH767" s="49"/>
      <c r="AI767" s="49"/>
      <c r="AJ767" s="49"/>
      <c r="AK767" s="49"/>
      <c r="AL767" s="49"/>
      <c r="AM767" s="49"/>
      <c r="AN767" s="49"/>
      <c r="AO767" s="49"/>
      <c r="AP767" s="49"/>
      <c r="AQ767" s="51"/>
      <c r="AR767" s="208"/>
      <c r="AS767" s="49"/>
      <c r="AT767" s="49"/>
      <c r="AU767" s="49"/>
      <c r="AV767" s="49"/>
      <c r="AW767" s="49"/>
      <c r="AX767" s="49"/>
      <c r="AY767" s="52"/>
    </row>
    <row r="768" spans="1:53" ht="13.5" customHeight="1">
      <c r="A768" s="56"/>
      <c r="B768" s="50"/>
      <c r="C768" s="49"/>
      <c r="D768" s="49"/>
      <c r="E768" s="49"/>
      <c r="F768" s="49"/>
      <c r="G768" s="49"/>
      <c r="H768" s="49"/>
      <c r="I768" s="51"/>
      <c r="J768" s="441"/>
      <c r="K768" s="442"/>
      <c r="L768" s="101"/>
      <c r="M768" s="100" t="s">
        <v>1149</v>
      </c>
      <c r="N768" s="49"/>
      <c r="O768" s="49"/>
      <c r="P768" s="49"/>
      <c r="Q768" s="49"/>
      <c r="R768" s="49"/>
      <c r="S768" s="49"/>
      <c r="T768" s="49"/>
      <c r="U768" s="49"/>
      <c r="V768" s="49"/>
      <c r="W768" s="49"/>
      <c r="X768" s="49"/>
      <c r="Y768" s="49"/>
      <c r="Z768" s="49"/>
      <c r="AA768" s="49"/>
      <c r="AB768" s="49"/>
      <c r="AC768" s="49"/>
      <c r="AD768" s="49"/>
      <c r="AE768" s="49"/>
      <c r="AF768" s="49"/>
      <c r="AG768" s="49"/>
      <c r="AH768" s="49"/>
      <c r="AI768" s="49"/>
      <c r="AJ768" s="49"/>
      <c r="AK768" s="49"/>
      <c r="AL768" s="49"/>
      <c r="AM768" s="49"/>
      <c r="AN768" s="49"/>
      <c r="AO768" s="49"/>
      <c r="AP768" s="49"/>
      <c r="AQ768" s="51"/>
      <c r="AR768" s="208"/>
      <c r="AS768" s="49"/>
      <c r="AT768" s="49"/>
      <c r="AU768" s="49"/>
      <c r="AV768" s="49"/>
      <c r="AW768" s="49"/>
      <c r="AX768" s="49"/>
      <c r="AY768" s="52"/>
      <c r="BA768" s="23">
        <v>3.2</v>
      </c>
    </row>
    <row r="769" spans="1:53" ht="13.5" customHeight="1">
      <c r="A769" s="56"/>
      <c r="B769" s="50"/>
      <c r="C769" s="49"/>
      <c r="D769" s="49"/>
      <c r="E769" s="49"/>
      <c r="F769" s="49"/>
      <c r="G769" s="49"/>
      <c r="H769" s="49"/>
      <c r="I769" s="51"/>
      <c r="J769" s="441"/>
      <c r="K769" s="442"/>
      <c r="L769" s="101"/>
      <c r="M769" s="100" t="s">
        <v>1148</v>
      </c>
      <c r="N769" s="49"/>
      <c r="O769" s="49"/>
      <c r="P769" s="49"/>
      <c r="Q769" s="49"/>
      <c r="R769" s="49"/>
      <c r="S769" s="49"/>
      <c r="T769" s="49"/>
      <c r="U769" s="49"/>
      <c r="V769" s="49"/>
      <c r="W769" s="49"/>
      <c r="X769" s="49"/>
      <c r="Y769" s="49"/>
      <c r="Z769" s="49"/>
      <c r="AA769" s="49"/>
      <c r="AB769" s="49"/>
      <c r="AC769" s="49"/>
      <c r="AD769" s="49"/>
      <c r="AE769" s="49"/>
      <c r="AF769" s="49"/>
      <c r="AG769" s="49"/>
      <c r="AH769" s="49"/>
      <c r="AI769" s="49"/>
      <c r="AJ769" s="49"/>
      <c r="AK769" s="49"/>
      <c r="AL769" s="49"/>
      <c r="AM769" s="49"/>
      <c r="AN769" s="49"/>
      <c r="AO769" s="49"/>
      <c r="AP769" s="49"/>
      <c r="AQ769" s="51"/>
      <c r="AR769" s="208"/>
      <c r="AS769" s="49"/>
      <c r="AT769" s="49"/>
      <c r="AU769" s="49"/>
      <c r="AV769" s="49"/>
      <c r="AW769" s="49"/>
      <c r="AX769" s="49"/>
      <c r="AY769" s="52"/>
      <c r="BA769" s="23">
        <v>3.2</v>
      </c>
    </row>
    <row r="770" spans="1:53" ht="13.5" customHeight="1">
      <c r="A770" s="56"/>
      <c r="B770" s="50"/>
      <c r="C770" s="49"/>
      <c r="D770" s="49"/>
      <c r="E770" s="49"/>
      <c r="F770" s="49"/>
      <c r="G770" s="49"/>
      <c r="H770" s="49"/>
      <c r="I770" s="51"/>
      <c r="J770" s="441"/>
      <c r="K770" s="442"/>
      <c r="L770" s="101"/>
      <c r="M770" s="205"/>
      <c r="N770" s="49"/>
      <c r="O770" s="49"/>
      <c r="P770" s="49"/>
      <c r="Q770" s="49"/>
      <c r="R770" s="49"/>
      <c r="S770" s="49"/>
      <c r="T770" s="49"/>
      <c r="U770" s="49"/>
      <c r="V770" s="49"/>
      <c r="W770" s="49"/>
      <c r="X770" s="49"/>
      <c r="Y770" s="49"/>
      <c r="Z770" s="49"/>
      <c r="AA770" s="49"/>
      <c r="AB770" s="49"/>
      <c r="AC770" s="49"/>
      <c r="AD770" s="49"/>
      <c r="AE770" s="49"/>
      <c r="AF770" s="49"/>
      <c r="AG770" s="49"/>
      <c r="AH770" s="49"/>
      <c r="AI770" s="49"/>
      <c r="AJ770" s="49"/>
      <c r="AK770" s="49"/>
      <c r="AL770" s="49"/>
      <c r="AM770" s="49"/>
      <c r="AN770" s="49"/>
      <c r="AO770" s="49"/>
      <c r="AP770" s="49"/>
      <c r="AQ770" s="51"/>
      <c r="AR770" s="208"/>
      <c r="AS770" s="49"/>
      <c r="AT770" s="49"/>
      <c r="AU770" s="49"/>
      <c r="AV770" s="49"/>
      <c r="AW770" s="49"/>
      <c r="AX770" s="49"/>
      <c r="AY770" s="52"/>
    </row>
    <row r="771" spans="1:53" ht="13.5" customHeight="1">
      <c r="A771" s="56"/>
      <c r="B771" s="50"/>
      <c r="C771" s="49"/>
      <c r="D771" s="49"/>
      <c r="E771" s="49"/>
      <c r="F771" s="49"/>
      <c r="G771" s="49"/>
      <c r="H771" s="49"/>
      <c r="I771" s="51"/>
      <c r="J771" s="350"/>
      <c r="K771" s="351"/>
      <c r="L771" s="101" t="s">
        <v>337</v>
      </c>
      <c r="M771" s="49"/>
      <c r="N771" s="49"/>
      <c r="O771" s="49"/>
      <c r="P771" s="49"/>
      <c r="Q771" s="49"/>
      <c r="R771" s="49"/>
      <c r="S771" s="49"/>
      <c r="T771" s="49"/>
      <c r="U771" s="49"/>
      <c r="V771" s="49"/>
      <c r="W771" s="49"/>
      <c r="X771" s="49"/>
      <c r="Y771" s="49"/>
      <c r="Z771" s="49"/>
      <c r="AA771" s="49"/>
      <c r="AB771" s="49"/>
      <c r="AC771" s="49"/>
      <c r="AD771" s="49"/>
      <c r="AE771" s="49"/>
      <c r="AF771" s="49"/>
      <c r="AG771" s="49"/>
      <c r="AH771" s="49"/>
      <c r="AI771" s="49"/>
      <c r="AJ771" s="49"/>
      <c r="AK771" s="49"/>
      <c r="AL771" s="49"/>
      <c r="AM771" s="49"/>
      <c r="AN771" s="49"/>
      <c r="AO771" s="49"/>
      <c r="AP771" s="49"/>
      <c r="AQ771" s="51"/>
      <c r="AR771" s="208"/>
      <c r="AS771" s="49"/>
      <c r="AT771" s="49"/>
      <c r="AU771" s="49"/>
      <c r="AV771" s="49"/>
      <c r="AW771" s="49"/>
      <c r="AX771" s="49"/>
      <c r="AY771" s="52"/>
    </row>
    <row r="772" spans="1:53" ht="13.5" customHeight="1">
      <c r="A772" s="56"/>
      <c r="B772" s="50"/>
      <c r="C772" s="49"/>
      <c r="D772" s="49"/>
      <c r="E772" s="49"/>
      <c r="F772" s="49"/>
      <c r="G772" s="49"/>
      <c r="H772" s="49"/>
      <c r="I772" s="51"/>
      <c r="J772" s="350"/>
      <c r="K772" s="351"/>
      <c r="L772" s="101"/>
      <c r="M772" s="49" t="s">
        <v>114</v>
      </c>
      <c r="N772" s="49"/>
      <c r="O772" s="49"/>
      <c r="P772" s="49"/>
      <c r="Q772" s="49"/>
      <c r="R772" s="49"/>
      <c r="S772" s="49"/>
      <c r="T772" s="49"/>
      <c r="U772" s="49"/>
      <c r="V772" s="49"/>
      <c r="W772" s="49"/>
      <c r="X772" s="49"/>
      <c r="Y772" s="49"/>
      <c r="Z772" s="49"/>
      <c r="AA772" s="49"/>
      <c r="AB772" s="49"/>
      <c r="AC772" s="49"/>
      <c r="AD772" s="49"/>
      <c r="AE772" s="49"/>
      <c r="AF772" s="49"/>
      <c r="AG772" s="49"/>
      <c r="AH772" s="49"/>
      <c r="AI772" s="49"/>
      <c r="AJ772" s="49"/>
      <c r="AK772" s="49"/>
      <c r="AL772" s="49"/>
      <c r="AM772" s="49"/>
      <c r="AN772" s="49"/>
      <c r="AO772" s="49"/>
      <c r="AP772" s="49"/>
      <c r="AQ772" s="51"/>
      <c r="AR772" s="208"/>
      <c r="AS772" s="49"/>
      <c r="AT772" s="49"/>
      <c r="AU772" s="49"/>
      <c r="AV772" s="49"/>
      <c r="AW772" s="49"/>
      <c r="AX772" s="49"/>
      <c r="AY772" s="52"/>
    </row>
    <row r="773" spans="1:53" ht="13.5" customHeight="1">
      <c r="A773" s="56"/>
      <c r="B773" s="50"/>
      <c r="C773" s="49"/>
      <c r="D773" s="49"/>
      <c r="E773" s="49"/>
      <c r="F773" s="49"/>
      <c r="G773" s="49"/>
      <c r="H773" s="49"/>
      <c r="I773" s="51"/>
      <c r="J773" s="350"/>
      <c r="K773" s="351"/>
      <c r="L773" s="101"/>
      <c r="M773" s="49"/>
      <c r="N773" s="49" t="s">
        <v>349</v>
      </c>
      <c r="O773" s="49"/>
      <c r="P773" s="49"/>
      <c r="Q773" s="49"/>
      <c r="R773" s="49"/>
      <c r="S773" s="49"/>
      <c r="T773" s="49"/>
      <c r="U773" s="49"/>
      <c r="V773" s="49"/>
      <c r="W773" s="49"/>
      <c r="X773" s="49"/>
      <c r="Y773" s="49"/>
      <c r="Z773" s="49"/>
      <c r="AA773" s="49"/>
      <c r="AB773" s="49"/>
      <c r="AC773" s="49"/>
      <c r="AD773" s="49"/>
      <c r="AE773" s="49"/>
      <c r="AF773" s="49"/>
      <c r="AG773" s="49"/>
      <c r="AH773" s="49"/>
      <c r="AI773" s="49"/>
      <c r="AJ773" s="49"/>
      <c r="AK773" s="49"/>
      <c r="AL773" s="49"/>
      <c r="AM773" s="49"/>
      <c r="AN773" s="49"/>
      <c r="AO773" s="49"/>
      <c r="AP773" s="49"/>
      <c r="AQ773" s="51"/>
      <c r="AR773" s="208"/>
      <c r="AS773" s="49"/>
      <c r="AT773" s="49"/>
      <c r="AU773" s="49"/>
      <c r="AV773" s="49"/>
      <c r="AW773" s="49"/>
      <c r="AX773" s="49"/>
      <c r="AY773" s="52"/>
    </row>
    <row r="774" spans="1:53" ht="13.5" customHeight="1">
      <c r="A774" s="56"/>
      <c r="B774" s="50"/>
      <c r="C774" s="49"/>
      <c r="D774" s="49"/>
      <c r="E774" s="49"/>
      <c r="F774" s="49"/>
      <c r="G774" s="49"/>
      <c r="H774" s="49"/>
      <c r="I774" s="51"/>
      <c r="J774" s="350"/>
      <c r="K774" s="351"/>
      <c r="L774" s="101"/>
      <c r="M774" s="49"/>
      <c r="N774" s="49"/>
      <c r="O774" s="49"/>
      <c r="P774" s="49"/>
      <c r="Q774" s="49"/>
      <c r="R774" s="49"/>
      <c r="S774" s="49"/>
      <c r="T774" s="49"/>
      <c r="U774" s="49"/>
      <c r="V774" s="49"/>
      <c r="W774" s="49"/>
      <c r="X774" s="49"/>
      <c r="Y774" s="49"/>
      <c r="Z774" s="49"/>
      <c r="AA774" s="49"/>
      <c r="AB774" s="49"/>
      <c r="AC774" s="49"/>
      <c r="AD774" s="49"/>
      <c r="AE774" s="49"/>
      <c r="AF774" s="49"/>
      <c r="AG774" s="49"/>
      <c r="AH774" s="49"/>
      <c r="AI774" s="49"/>
      <c r="AJ774" s="49"/>
      <c r="AK774" s="49"/>
      <c r="AL774" s="49"/>
      <c r="AM774" s="49"/>
      <c r="AN774" s="49"/>
      <c r="AO774" s="49"/>
      <c r="AP774" s="49"/>
      <c r="AQ774" s="51"/>
      <c r="AR774" s="208"/>
      <c r="AS774" s="49"/>
      <c r="AT774" s="49"/>
      <c r="AU774" s="49"/>
      <c r="AV774" s="49"/>
      <c r="AW774" s="49"/>
      <c r="AX774" s="49"/>
      <c r="AY774" s="52"/>
    </row>
    <row r="775" spans="1:53" ht="13.5" customHeight="1">
      <c r="A775" s="56"/>
      <c r="B775" s="50"/>
      <c r="C775" s="49"/>
      <c r="D775" s="49"/>
      <c r="E775" s="49"/>
      <c r="F775" s="49"/>
      <c r="G775" s="49"/>
      <c r="H775" s="49"/>
      <c r="I775" s="51"/>
      <c r="J775" s="350"/>
      <c r="K775" s="351"/>
      <c r="L775" s="101" t="s">
        <v>112</v>
      </c>
      <c r="M775" s="49"/>
      <c r="N775" s="49"/>
      <c r="O775" s="49"/>
      <c r="P775" s="49"/>
      <c r="Q775" s="49"/>
      <c r="R775" s="49"/>
      <c r="S775" s="49"/>
      <c r="T775" s="49"/>
      <c r="U775" s="49"/>
      <c r="V775" s="49"/>
      <c r="W775" s="49"/>
      <c r="X775" s="49"/>
      <c r="Y775" s="49"/>
      <c r="Z775" s="49"/>
      <c r="AA775" s="49"/>
      <c r="AB775" s="49"/>
      <c r="AC775" s="49"/>
      <c r="AD775" s="49"/>
      <c r="AE775" s="49"/>
      <c r="AF775" s="49"/>
      <c r="AG775" s="49"/>
      <c r="AH775" s="49"/>
      <c r="AI775" s="49"/>
      <c r="AJ775" s="49"/>
      <c r="AK775" s="49"/>
      <c r="AL775" s="49"/>
      <c r="AM775" s="49"/>
      <c r="AN775" s="49"/>
      <c r="AO775" s="49"/>
      <c r="AP775" s="49"/>
      <c r="AQ775" s="51"/>
      <c r="AR775" s="208"/>
      <c r="AS775" s="49"/>
      <c r="AT775" s="49"/>
      <c r="AU775" s="49"/>
      <c r="AV775" s="49"/>
      <c r="AW775" s="49"/>
      <c r="AX775" s="49"/>
      <c r="AY775" s="52"/>
    </row>
    <row r="776" spans="1:53" ht="13.5" customHeight="1">
      <c r="A776" s="56"/>
      <c r="B776" s="50"/>
      <c r="C776" s="49"/>
      <c r="D776" s="49"/>
      <c r="E776" s="49"/>
      <c r="F776" s="49"/>
      <c r="G776" s="49"/>
      <c r="H776" s="49"/>
      <c r="I776" s="51"/>
      <c r="J776" s="350"/>
      <c r="K776" s="351"/>
      <c r="L776" s="101"/>
      <c r="M776" s="49" t="s">
        <v>350</v>
      </c>
      <c r="N776" s="49"/>
      <c r="O776" s="49"/>
      <c r="P776" s="49"/>
      <c r="Q776" s="49"/>
      <c r="R776" s="49"/>
      <c r="S776" s="49"/>
      <c r="T776" s="49"/>
      <c r="U776" s="49"/>
      <c r="V776" s="49"/>
      <c r="W776" s="49"/>
      <c r="X776" s="49"/>
      <c r="Y776" s="49"/>
      <c r="Z776" s="49"/>
      <c r="AA776" s="49"/>
      <c r="AB776" s="49"/>
      <c r="AC776" s="49"/>
      <c r="AD776" s="49"/>
      <c r="AE776" s="49"/>
      <c r="AF776" s="49"/>
      <c r="AG776" s="49"/>
      <c r="AH776" s="49"/>
      <c r="AI776" s="49"/>
      <c r="AJ776" s="49"/>
      <c r="AK776" s="49"/>
      <c r="AL776" s="49"/>
      <c r="AM776" s="49"/>
      <c r="AN776" s="49"/>
      <c r="AO776" s="49"/>
      <c r="AP776" s="49"/>
      <c r="AQ776" s="51"/>
      <c r="AR776" s="208"/>
      <c r="AS776" s="49"/>
      <c r="AT776" s="49"/>
      <c r="AU776" s="49"/>
      <c r="AV776" s="49"/>
      <c r="AW776" s="49"/>
      <c r="AX776" s="49"/>
      <c r="AY776" s="52"/>
    </row>
    <row r="777" spans="1:53" ht="13.5" customHeight="1">
      <c r="A777" s="56"/>
      <c r="B777" s="50"/>
      <c r="C777" s="49"/>
      <c r="D777" s="49"/>
      <c r="E777" s="49"/>
      <c r="F777" s="49"/>
      <c r="G777" s="49"/>
      <c r="H777" s="49"/>
      <c r="I777" s="51"/>
      <c r="J777" s="350"/>
      <c r="K777" s="351"/>
      <c r="L777" s="101"/>
      <c r="M777" s="49"/>
      <c r="N777" s="49"/>
      <c r="O777" s="49"/>
      <c r="P777" s="49"/>
      <c r="Q777" s="49"/>
      <c r="R777" s="49"/>
      <c r="S777" s="49"/>
      <c r="T777" s="49"/>
      <c r="U777" s="49"/>
      <c r="V777" s="49"/>
      <c r="W777" s="49"/>
      <c r="X777" s="49"/>
      <c r="Y777" s="49"/>
      <c r="Z777" s="49"/>
      <c r="AA777" s="49"/>
      <c r="AB777" s="49"/>
      <c r="AC777" s="49"/>
      <c r="AD777" s="49"/>
      <c r="AE777" s="49"/>
      <c r="AF777" s="49"/>
      <c r="AG777" s="49"/>
      <c r="AH777" s="49"/>
      <c r="AI777" s="49"/>
      <c r="AJ777" s="49"/>
      <c r="AK777" s="49"/>
      <c r="AL777" s="49"/>
      <c r="AM777" s="49"/>
      <c r="AN777" s="49"/>
      <c r="AO777" s="49"/>
      <c r="AP777" s="49"/>
      <c r="AQ777" s="51"/>
      <c r="AR777" s="208"/>
      <c r="AS777" s="49"/>
      <c r="AT777" s="49"/>
      <c r="AU777" s="49"/>
      <c r="AV777" s="49"/>
      <c r="AW777" s="49"/>
      <c r="AX777" s="49"/>
      <c r="AY777" s="52"/>
    </row>
    <row r="778" spans="1:53" ht="13.5" customHeight="1">
      <c r="A778" s="56"/>
      <c r="B778" s="50"/>
      <c r="C778" s="49"/>
      <c r="D778" s="49"/>
      <c r="E778" s="49"/>
      <c r="F778" s="49"/>
      <c r="G778" s="49"/>
      <c r="H778" s="49"/>
      <c r="I778" s="51"/>
      <c r="J778" s="350"/>
      <c r="K778" s="351"/>
      <c r="L778" s="101" t="s">
        <v>165</v>
      </c>
      <c r="M778" s="49"/>
      <c r="N778" s="49"/>
      <c r="O778" s="49"/>
      <c r="P778" s="49"/>
      <c r="Q778" s="49"/>
      <c r="R778" s="49"/>
      <c r="S778" s="49"/>
      <c r="T778" s="49"/>
      <c r="U778" s="49"/>
      <c r="V778" s="49"/>
      <c r="W778" s="49"/>
      <c r="X778" s="49"/>
      <c r="Y778" s="49"/>
      <c r="Z778" s="49"/>
      <c r="AA778" s="49"/>
      <c r="AB778" s="49"/>
      <c r="AC778" s="49"/>
      <c r="AD778" s="49"/>
      <c r="AE778" s="49"/>
      <c r="AF778" s="49"/>
      <c r="AG778" s="49"/>
      <c r="AH778" s="49"/>
      <c r="AI778" s="49"/>
      <c r="AJ778" s="49"/>
      <c r="AK778" s="49"/>
      <c r="AL778" s="49"/>
      <c r="AM778" s="49"/>
      <c r="AN778" s="49"/>
      <c r="AO778" s="49"/>
      <c r="AP778" s="49"/>
      <c r="AQ778" s="51"/>
      <c r="AR778" s="208"/>
      <c r="AS778" s="49"/>
      <c r="AT778" s="49"/>
      <c r="AU778" s="49"/>
      <c r="AV778" s="49"/>
      <c r="AW778" s="49"/>
      <c r="AX778" s="49"/>
      <c r="AY778" s="52"/>
    </row>
    <row r="779" spans="1:53" ht="13.5" customHeight="1">
      <c r="A779" s="56"/>
      <c r="B779" s="50"/>
      <c r="C779" s="49"/>
      <c r="D779" s="49"/>
      <c r="E779" s="49"/>
      <c r="F779" s="49"/>
      <c r="G779" s="49"/>
      <c r="H779" s="49"/>
      <c r="I779" s="51"/>
      <c r="J779" s="350"/>
      <c r="K779" s="351"/>
      <c r="L779" s="101"/>
      <c r="M779" s="49" t="s">
        <v>849</v>
      </c>
      <c r="N779" s="49"/>
      <c r="O779" s="49"/>
      <c r="P779" s="49"/>
      <c r="Q779" s="49"/>
      <c r="R779" s="49"/>
      <c r="S779" s="49"/>
      <c r="T779" s="49"/>
      <c r="U779" s="49"/>
      <c r="V779" s="49"/>
      <c r="W779" s="49"/>
      <c r="X779" s="49"/>
      <c r="Y779" s="49"/>
      <c r="Z779" s="49"/>
      <c r="AA779" s="49"/>
      <c r="AB779" s="49"/>
      <c r="AC779" s="49"/>
      <c r="AD779" s="49"/>
      <c r="AE779" s="49"/>
      <c r="AF779" s="49"/>
      <c r="AG779" s="49"/>
      <c r="AH779" s="49"/>
      <c r="AI779" s="49"/>
      <c r="AJ779" s="49"/>
      <c r="AK779" s="49"/>
      <c r="AL779" s="49"/>
      <c r="AM779" s="49"/>
      <c r="AN779" s="49"/>
      <c r="AO779" s="49"/>
      <c r="AP779" s="49"/>
      <c r="AQ779" s="51"/>
      <c r="AR779" s="208" t="s">
        <v>846</v>
      </c>
      <c r="AS779" s="49"/>
      <c r="AT779" s="49"/>
      <c r="AU779" s="49"/>
      <c r="AV779" s="49"/>
      <c r="AW779" s="49"/>
      <c r="AX779" s="49"/>
      <c r="AY779" s="52"/>
    </row>
    <row r="780" spans="1:53" ht="13.5" customHeight="1">
      <c r="A780" s="56"/>
      <c r="B780" s="50"/>
      <c r="C780" s="49"/>
      <c r="D780" s="49"/>
      <c r="E780" s="49"/>
      <c r="F780" s="49"/>
      <c r="G780" s="49"/>
      <c r="H780" s="49"/>
      <c r="I780" s="51"/>
      <c r="J780" s="358"/>
      <c r="K780" s="359"/>
      <c r="L780" s="101"/>
      <c r="M780" s="139" t="s">
        <v>850</v>
      </c>
      <c r="N780" s="139"/>
      <c r="O780" s="139"/>
      <c r="P780" s="139"/>
      <c r="Q780" s="139"/>
      <c r="R780" s="139"/>
      <c r="S780" s="139"/>
      <c r="T780" s="139"/>
      <c r="U780" s="139"/>
      <c r="V780" s="139"/>
      <c r="W780" s="139"/>
      <c r="X780" s="139"/>
      <c r="Y780" s="139"/>
      <c r="Z780" s="49"/>
      <c r="AA780" s="49"/>
      <c r="AB780" s="49"/>
      <c r="AC780" s="49"/>
      <c r="AD780" s="49"/>
      <c r="AE780" s="49"/>
      <c r="AF780" s="49"/>
      <c r="AG780" s="49"/>
      <c r="AH780" s="49"/>
      <c r="AI780" s="49"/>
      <c r="AJ780" s="49"/>
      <c r="AK780" s="49"/>
      <c r="AL780" s="49"/>
      <c r="AM780" s="49"/>
      <c r="AN780" s="49"/>
      <c r="AO780" s="49"/>
      <c r="AP780" s="49"/>
      <c r="AQ780" s="51"/>
      <c r="AR780" s="208" t="s">
        <v>851</v>
      </c>
      <c r="AS780" s="49"/>
      <c r="AT780" s="49"/>
      <c r="AU780" s="49"/>
      <c r="AV780" s="49"/>
      <c r="AW780" s="49"/>
      <c r="AX780" s="49"/>
      <c r="AY780" s="52"/>
    </row>
    <row r="781" spans="1:53" ht="13.5" customHeight="1">
      <c r="A781" s="56"/>
      <c r="B781" s="50"/>
      <c r="C781" s="49"/>
      <c r="D781" s="49"/>
      <c r="E781" s="49"/>
      <c r="F781" s="49"/>
      <c r="G781" s="49"/>
      <c r="H781" s="49"/>
      <c r="I781" s="51"/>
      <c r="J781" s="350"/>
      <c r="K781" s="351"/>
      <c r="L781" s="50"/>
      <c r="M781" s="139" t="s">
        <v>357</v>
      </c>
      <c r="N781" s="139"/>
      <c r="O781" s="139"/>
      <c r="P781" s="139"/>
      <c r="Q781" s="139"/>
      <c r="R781" s="139"/>
      <c r="S781" s="139"/>
      <c r="T781" s="139"/>
      <c r="U781" s="139"/>
      <c r="V781" s="139"/>
      <c r="W781" s="139"/>
      <c r="X781" s="139"/>
      <c r="Y781" s="139"/>
      <c r="Z781" s="49"/>
      <c r="AA781" s="49"/>
      <c r="AB781" s="49"/>
      <c r="AC781" s="49"/>
      <c r="AD781" s="49"/>
      <c r="AE781" s="49"/>
      <c r="AF781" s="49"/>
      <c r="AG781" s="49"/>
      <c r="AH781" s="49"/>
      <c r="AI781" s="49"/>
      <c r="AJ781" s="49"/>
      <c r="AK781" s="49"/>
      <c r="AL781" s="49"/>
      <c r="AM781" s="49"/>
      <c r="AN781" s="49"/>
      <c r="AO781" s="49"/>
      <c r="AP781" s="49"/>
      <c r="AQ781" s="51"/>
      <c r="AR781" s="208" t="s">
        <v>802</v>
      </c>
      <c r="AS781" s="49"/>
      <c r="AT781" s="49"/>
      <c r="AU781" s="49"/>
      <c r="AV781" s="49"/>
      <c r="AW781" s="49"/>
      <c r="AX781" s="49"/>
      <c r="AY781" s="52"/>
      <c r="AZ781" s="23">
        <v>0.8</v>
      </c>
    </row>
    <row r="782" spans="1:53" ht="13.5" customHeight="1">
      <c r="A782" s="56"/>
      <c r="B782" s="50"/>
      <c r="C782" s="49"/>
      <c r="D782" s="49"/>
      <c r="E782" s="49"/>
      <c r="F782" s="49"/>
      <c r="G782" s="49"/>
      <c r="H782" s="49"/>
      <c r="I782" s="51"/>
      <c r="J782" s="350"/>
      <c r="K782" s="351"/>
      <c r="L782" s="101"/>
      <c r="M782" s="139" t="s">
        <v>819</v>
      </c>
      <c r="N782" s="139"/>
      <c r="O782" s="139"/>
      <c r="P782" s="139"/>
      <c r="Q782" s="139"/>
      <c r="R782" s="139"/>
      <c r="S782" s="139"/>
      <c r="T782" s="139"/>
      <c r="U782" s="139"/>
      <c r="V782" s="139"/>
      <c r="W782" s="139"/>
      <c r="X782" s="139"/>
      <c r="Y782" s="139"/>
      <c r="Z782" s="49"/>
      <c r="AA782" s="49"/>
      <c r="AB782" s="49"/>
      <c r="AC782" s="49"/>
      <c r="AD782" s="49"/>
      <c r="AE782" s="49"/>
      <c r="AF782" s="49"/>
      <c r="AG782" s="49"/>
      <c r="AH782" s="49"/>
      <c r="AI782" s="49"/>
      <c r="AJ782" s="49"/>
      <c r="AK782" s="49"/>
      <c r="AL782" s="49"/>
      <c r="AM782" s="49"/>
      <c r="AN782" s="49"/>
      <c r="AO782" s="49"/>
      <c r="AP782" s="49"/>
      <c r="AQ782" s="51"/>
      <c r="AR782" s="208" t="s">
        <v>822</v>
      </c>
      <c r="AS782" s="49"/>
      <c r="AT782" s="49"/>
      <c r="AU782" s="49"/>
      <c r="AV782" s="49"/>
      <c r="AW782" s="49"/>
      <c r="AX782" s="49"/>
      <c r="AY782" s="52"/>
    </row>
    <row r="783" spans="1:53" ht="13.5" customHeight="1" thickBot="1">
      <c r="A783" s="321"/>
      <c r="B783" s="322"/>
      <c r="C783" s="323"/>
      <c r="D783" s="323"/>
      <c r="E783" s="323"/>
      <c r="F783" s="323"/>
      <c r="G783" s="323"/>
      <c r="H783" s="323"/>
      <c r="I783" s="324"/>
      <c r="J783" s="713"/>
      <c r="K783" s="714"/>
      <c r="L783" s="322"/>
      <c r="M783" s="323"/>
      <c r="N783" s="323"/>
      <c r="O783" s="323"/>
      <c r="P783" s="323"/>
      <c r="Q783" s="323"/>
      <c r="R783" s="323"/>
      <c r="S783" s="323"/>
      <c r="T783" s="323"/>
      <c r="U783" s="323"/>
      <c r="V783" s="323"/>
      <c r="W783" s="323"/>
      <c r="X783" s="323"/>
      <c r="Y783" s="323"/>
      <c r="Z783" s="323"/>
      <c r="AA783" s="323"/>
      <c r="AB783" s="323"/>
      <c r="AC783" s="323"/>
      <c r="AD783" s="323"/>
      <c r="AE783" s="323"/>
      <c r="AF783" s="323"/>
      <c r="AG783" s="323"/>
      <c r="AH783" s="323"/>
      <c r="AI783" s="323"/>
      <c r="AJ783" s="323"/>
      <c r="AK783" s="323"/>
      <c r="AL783" s="323"/>
      <c r="AM783" s="323"/>
      <c r="AN783" s="323"/>
      <c r="AO783" s="323"/>
      <c r="AP783" s="323"/>
      <c r="AQ783" s="324"/>
      <c r="AR783" s="327"/>
      <c r="AS783" s="323"/>
      <c r="AT783" s="323"/>
      <c r="AU783" s="323"/>
      <c r="AV783" s="323"/>
      <c r="AW783" s="323"/>
      <c r="AX783" s="323"/>
      <c r="AY783" s="328"/>
    </row>
    <row r="784" spans="1:53" ht="13.5" customHeight="1">
      <c r="A784" s="185">
        <v>11</v>
      </c>
      <c r="B784" s="64" t="s">
        <v>176</v>
      </c>
      <c r="C784" s="63"/>
      <c r="D784" s="63"/>
      <c r="E784" s="63"/>
      <c r="F784" s="63"/>
      <c r="G784" s="63"/>
      <c r="H784" s="63"/>
      <c r="I784" s="63"/>
      <c r="J784" s="98"/>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214"/>
      <c r="AS784" s="63"/>
      <c r="AT784" s="63"/>
      <c r="AU784" s="63"/>
      <c r="AV784" s="63"/>
      <c r="AW784" s="63"/>
      <c r="AX784" s="63"/>
      <c r="AY784" s="186"/>
    </row>
    <row r="785" spans="1:53" ht="13.5" customHeight="1">
      <c r="A785" s="56"/>
      <c r="B785" s="50"/>
      <c r="C785" s="49"/>
      <c r="D785" s="49"/>
      <c r="E785" s="49"/>
      <c r="F785" s="49"/>
      <c r="G785" s="49"/>
      <c r="H785" s="49"/>
      <c r="I785" s="51"/>
      <c r="J785" s="728" t="s">
        <v>825</v>
      </c>
      <c r="K785" s="729"/>
      <c r="L785" s="139" t="s">
        <v>815</v>
      </c>
      <c r="M785" s="505"/>
      <c r="N785" s="543"/>
      <c r="O785" s="505"/>
      <c r="P785" s="505"/>
      <c r="Q785" s="505"/>
      <c r="R785" s="505"/>
      <c r="S785" s="505"/>
      <c r="T785" s="505"/>
      <c r="U785" s="139"/>
      <c r="V785" s="139"/>
      <c r="W785" s="139"/>
      <c r="X785" s="139"/>
      <c r="Y785" s="139"/>
      <c r="Z785" s="139"/>
      <c r="AA785" s="139"/>
      <c r="AB785" s="139"/>
      <c r="AC785" s="139"/>
      <c r="AD785" s="139"/>
      <c r="AE785" s="139"/>
      <c r="AF785" s="139"/>
      <c r="AG785" s="139"/>
      <c r="AH785" s="139"/>
      <c r="AI785" s="139"/>
      <c r="AJ785" s="139"/>
      <c r="AK785" s="139"/>
      <c r="AL785" s="49"/>
      <c r="AM785" s="49"/>
      <c r="AN785" s="49"/>
      <c r="AO785" s="49"/>
      <c r="AP785" s="49"/>
      <c r="AQ785" s="51"/>
      <c r="AR785" s="208" t="s">
        <v>830</v>
      </c>
      <c r="AS785" s="49"/>
      <c r="AT785" s="49"/>
      <c r="AU785" s="49"/>
      <c r="AV785" s="49"/>
      <c r="AW785" s="49"/>
      <c r="AX785" s="49"/>
      <c r="AY785" s="52"/>
    </row>
    <row r="786" spans="1:53" ht="13.5" customHeight="1">
      <c r="A786" s="56"/>
      <c r="B786" s="50"/>
      <c r="C786" s="49"/>
      <c r="D786" s="49"/>
      <c r="E786" s="49"/>
      <c r="F786" s="49"/>
      <c r="G786" s="49"/>
      <c r="H786" s="49"/>
      <c r="I786" s="49"/>
      <c r="J786" s="658"/>
      <c r="K786" s="659"/>
      <c r="L786" s="105"/>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9"/>
      <c r="AR786" s="192"/>
      <c r="AS786" s="57"/>
      <c r="AT786" s="57"/>
      <c r="AU786" s="57"/>
      <c r="AV786" s="57"/>
      <c r="AW786" s="57"/>
      <c r="AX786" s="57"/>
      <c r="AY786" s="57"/>
    </row>
    <row r="787" spans="1:53" ht="13.5" customHeight="1">
      <c r="A787" s="56"/>
      <c r="B787" s="50"/>
      <c r="C787" s="49"/>
      <c r="D787" s="49"/>
      <c r="E787" s="49"/>
      <c r="F787" s="49"/>
      <c r="G787" s="49"/>
      <c r="H787" s="49"/>
      <c r="I787" s="51"/>
      <c r="J787" s="656" t="s">
        <v>474</v>
      </c>
      <c r="K787" s="657"/>
      <c r="L787" s="101" t="s">
        <v>179</v>
      </c>
      <c r="M787" s="102"/>
      <c r="N787" s="103"/>
      <c r="O787" s="102"/>
      <c r="P787" s="102"/>
      <c r="Q787" s="102"/>
      <c r="R787" s="102"/>
      <c r="S787" s="49"/>
      <c r="T787" s="49"/>
      <c r="U787" s="49"/>
      <c r="V787" s="49"/>
      <c r="W787" s="49"/>
      <c r="X787" s="49"/>
      <c r="Y787" s="49"/>
      <c r="Z787" s="49"/>
      <c r="AA787" s="49"/>
      <c r="AB787" s="49"/>
      <c r="AC787" s="49"/>
      <c r="AD787" s="49"/>
      <c r="AE787" s="49"/>
      <c r="AF787" s="49"/>
      <c r="AG787" s="49"/>
      <c r="AH787" s="49"/>
      <c r="AI787" s="49"/>
      <c r="AJ787" s="49"/>
      <c r="AK787" s="49"/>
      <c r="AL787" s="49"/>
      <c r="AM787" s="49"/>
      <c r="AN787" s="49"/>
      <c r="AO787" s="49"/>
      <c r="AP787" s="49"/>
      <c r="AQ787" s="51"/>
      <c r="AR787" s="208"/>
      <c r="AS787" s="49"/>
      <c r="AT787" s="49"/>
      <c r="AU787" s="49"/>
      <c r="AV787" s="49"/>
      <c r="AW787" s="49"/>
      <c r="AX787" s="49"/>
      <c r="AY787" s="52"/>
    </row>
    <row r="788" spans="1:53" ht="13.5" customHeight="1">
      <c r="A788" s="56"/>
      <c r="B788" s="50"/>
      <c r="C788" s="49"/>
      <c r="D788" s="49"/>
      <c r="E788" s="49"/>
      <c r="F788" s="49"/>
      <c r="G788" s="49"/>
      <c r="H788" s="49"/>
      <c r="I788" s="51"/>
      <c r="J788" s="350"/>
      <c r="K788" s="351"/>
      <c r="L788" s="101"/>
      <c r="M788" s="102" t="s">
        <v>109</v>
      </c>
      <c r="N788" s="103" t="s">
        <v>407</v>
      </c>
      <c r="O788" s="102"/>
      <c r="P788" s="102"/>
      <c r="Q788" s="102"/>
      <c r="R788" s="102"/>
      <c r="S788" s="49"/>
      <c r="T788" s="49"/>
      <c r="U788" s="49"/>
      <c r="V788" s="49"/>
      <c r="W788" s="49"/>
      <c r="X788" s="49"/>
      <c r="Y788" s="49"/>
      <c r="Z788" s="49"/>
      <c r="AA788" s="49"/>
      <c r="AB788" s="49"/>
      <c r="AC788" s="49"/>
      <c r="AD788" s="49"/>
      <c r="AE788" s="49"/>
      <c r="AF788" s="49"/>
      <c r="AG788" s="49"/>
      <c r="AH788" s="49"/>
      <c r="AI788" s="49"/>
      <c r="AJ788" s="49"/>
      <c r="AK788" s="49"/>
      <c r="AL788" s="49"/>
      <c r="AM788" s="49"/>
      <c r="AN788" s="49"/>
      <c r="AO788" s="49"/>
      <c r="AP788" s="49"/>
      <c r="AQ788" s="51"/>
      <c r="AR788" s="208"/>
      <c r="AS788" s="49"/>
      <c r="AT788" s="49"/>
      <c r="AU788" s="49"/>
      <c r="AV788" s="49"/>
      <c r="AW788" s="49"/>
      <c r="AX788" s="49"/>
      <c r="AY788" s="52"/>
    </row>
    <row r="789" spans="1:53" ht="13.5" customHeight="1">
      <c r="A789" s="56"/>
      <c r="B789" s="50"/>
      <c r="C789" s="49"/>
      <c r="D789" s="49"/>
      <c r="E789" s="49"/>
      <c r="F789" s="49"/>
      <c r="G789" s="49"/>
      <c r="H789" s="49"/>
      <c r="I789" s="51"/>
      <c r="J789" s="350"/>
      <c r="K789" s="351"/>
      <c r="L789" s="101"/>
      <c r="M789" s="102"/>
      <c r="N789" s="103" t="s">
        <v>408</v>
      </c>
      <c r="O789" s="102"/>
      <c r="P789" s="102"/>
      <c r="Q789" s="102"/>
      <c r="R789" s="102"/>
      <c r="S789" s="49"/>
      <c r="T789" s="49"/>
      <c r="U789" s="49"/>
      <c r="V789" s="49"/>
      <c r="W789" s="49"/>
      <c r="X789" s="49"/>
      <c r="Y789" s="49"/>
      <c r="Z789" s="49"/>
      <c r="AA789" s="49"/>
      <c r="AB789" s="49"/>
      <c r="AC789" s="49"/>
      <c r="AD789" s="49"/>
      <c r="AE789" s="49"/>
      <c r="AF789" s="49"/>
      <c r="AG789" s="49"/>
      <c r="AH789" s="49"/>
      <c r="AI789" s="49"/>
      <c r="AJ789" s="49"/>
      <c r="AK789" s="49"/>
      <c r="AL789" s="49"/>
      <c r="AM789" s="49"/>
      <c r="AN789" s="49"/>
      <c r="AO789" s="49"/>
      <c r="AP789" s="49"/>
      <c r="AQ789" s="51"/>
      <c r="AR789" s="208" t="s">
        <v>808</v>
      </c>
      <c r="AS789" s="49"/>
      <c r="AT789" s="49"/>
      <c r="AU789" s="49"/>
      <c r="AV789" s="49"/>
      <c r="AW789" s="49"/>
      <c r="AX789" s="49"/>
      <c r="AY789" s="52"/>
    </row>
    <row r="790" spans="1:53" ht="13.5" customHeight="1">
      <c r="A790" s="56"/>
      <c r="B790" s="50"/>
      <c r="C790" s="49"/>
      <c r="D790" s="49"/>
      <c r="E790" s="49"/>
      <c r="F790" s="49"/>
      <c r="G790" s="49"/>
      <c r="H790" s="49"/>
      <c r="I790" s="51"/>
      <c r="J790" s="350"/>
      <c r="K790" s="351"/>
      <c r="L790" s="101"/>
      <c r="M790" s="102"/>
      <c r="N790" s="102"/>
      <c r="O790" s="102"/>
      <c r="P790" s="102"/>
      <c r="Q790" s="102"/>
      <c r="R790" s="102"/>
      <c r="S790" s="49"/>
      <c r="T790" s="49"/>
      <c r="U790" s="49"/>
      <c r="V790" s="49"/>
      <c r="W790" s="49"/>
      <c r="X790" s="49"/>
      <c r="Y790" s="49"/>
      <c r="Z790" s="49"/>
      <c r="AA790" s="49"/>
      <c r="AB790" s="49"/>
      <c r="AC790" s="49"/>
      <c r="AD790" s="49"/>
      <c r="AE790" s="49"/>
      <c r="AF790" s="49"/>
      <c r="AG790" s="49"/>
      <c r="AH790" s="49"/>
      <c r="AI790" s="49"/>
      <c r="AJ790" s="49"/>
      <c r="AK790" s="49"/>
      <c r="AL790" s="49"/>
      <c r="AM790" s="49"/>
      <c r="AN790" s="49"/>
      <c r="AO790" s="49"/>
      <c r="AP790" s="49"/>
      <c r="AQ790" s="51"/>
      <c r="AR790" s="208"/>
      <c r="AS790" s="49"/>
      <c r="AT790" s="49"/>
      <c r="AU790" s="49"/>
      <c r="AV790" s="49"/>
      <c r="AW790" s="49"/>
      <c r="AX790" s="49"/>
      <c r="AY790" s="52"/>
    </row>
    <row r="791" spans="1:53" ht="13.5" customHeight="1">
      <c r="A791" s="56"/>
      <c r="B791" s="50"/>
      <c r="C791" s="49"/>
      <c r="D791" s="49"/>
      <c r="E791" s="49"/>
      <c r="F791" s="49"/>
      <c r="G791" s="49"/>
      <c r="H791" s="49"/>
      <c r="I791" s="51"/>
      <c r="J791" s="350"/>
      <c r="K791" s="351"/>
      <c r="L791" s="101"/>
      <c r="M791" s="102" t="s">
        <v>196</v>
      </c>
      <c r="N791" s="102" t="s">
        <v>420</v>
      </c>
      <c r="O791" s="102"/>
      <c r="P791" s="102"/>
      <c r="Q791" s="102"/>
      <c r="R791" s="102"/>
      <c r="S791" s="49"/>
      <c r="T791" s="49"/>
      <c r="U791" s="49"/>
      <c r="V791" s="49"/>
      <c r="W791" s="49"/>
      <c r="X791" s="49"/>
      <c r="Y791" s="49"/>
      <c r="Z791" s="49"/>
      <c r="AA791" s="49"/>
      <c r="AB791" s="49"/>
      <c r="AC791" s="49"/>
      <c r="AD791" s="49"/>
      <c r="AE791" s="49"/>
      <c r="AF791" s="49"/>
      <c r="AG791" s="49"/>
      <c r="AH791" s="49"/>
      <c r="AI791" s="49"/>
      <c r="AJ791" s="49"/>
      <c r="AK791" s="49"/>
      <c r="AL791" s="49"/>
      <c r="AM791" s="49"/>
      <c r="AN791" s="49"/>
      <c r="AO791" s="49"/>
      <c r="AP791" s="49"/>
      <c r="AQ791" s="51"/>
      <c r="AR791" s="208"/>
      <c r="AS791" s="49"/>
      <c r="AT791" s="49"/>
      <c r="AU791" s="49"/>
      <c r="AV791" s="49"/>
      <c r="AW791" s="49"/>
      <c r="AX791" s="49"/>
      <c r="AY791" s="52"/>
    </row>
    <row r="792" spans="1:53" ht="13.5" customHeight="1">
      <c r="A792" s="56"/>
      <c r="B792" s="50"/>
      <c r="C792" s="49"/>
      <c r="D792" s="49"/>
      <c r="E792" s="49"/>
      <c r="F792" s="49"/>
      <c r="G792" s="49"/>
      <c r="H792" s="49"/>
      <c r="I792" s="51"/>
      <c r="J792" s="350"/>
      <c r="K792" s="351"/>
      <c r="L792" s="101"/>
      <c r="M792" s="102"/>
      <c r="N792" s="102" t="s">
        <v>696</v>
      </c>
      <c r="O792" s="102"/>
      <c r="P792" s="102"/>
      <c r="Q792" s="102"/>
      <c r="R792" s="102"/>
      <c r="S792" s="49"/>
      <c r="T792" s="49"/>
      <c r="U792" s="49"/>
      <c r="V792" s="49"/>
      <c r="W792" s="49"/>
      <c r="X792" s="49"/>
      <c r="Y792" s="49"/>
      <c r="Z792" s="49"/>
      <c r="AA792" s="49"/>
      <c r="AB792" s="49"/>
      <c r="AC792" s="49"/>
      <c r="AD792" s="49"/>
      <c r="AE792" s="49"/>
      <c r="AF792" s="49"/>
      <c r="AG792" s="49"/>
      <c r="AH792" s="49"/>
      <c r="AI792" s="49"/>
      <c r="AJ792" s="49"/>
      <c r="AK792" s="49"/>
      <c r="AL792" s="49"/>
      <c r="AM792" s="49"/>
      <c r="AN792" s="49"/>
      <c r="AO792" s="49"/>
      <c r="AP792" s="49"/>
      <c r="AQ792" s="51"/>
      <c r="AR792" s="208" t="s">
        <v>809</v>
      </c>
      <c r="AS792" s="49"/>
      <c r="AT792" s="49"/>
      <c r="AU792" s="49"/>
      <c r="AV792" s="49"/>
      <c r="AW792" s="49"/>
      <c r="AX792" s="49"/>
      <c r="AY792" s="52"/>
    </row>
    <row r="793" spans="1:53" ht="13.5" customHeight="1">
      <c r="A793" s="56"/>
      <c r="B793" s="50"/>
      <c r="C793" s="49"/>
      <c r="D793" s="49"/>
      <c r="E793" s="49"/>
      <c r="F793" s="49"/>
      <c r="G793" s="49"/>
      <c r="H793" s="49"/>
      <c r="I793" s="51"/>
      <c r="J793" s="350"/>
      <c r="K793" s="351"/>
      <c r="L793" s="101"/>
      <c r="M793" s="102"/>
      <c r="N793" s="102" t="s">
        <v>697</v>
      </c>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49"/>
      <c r="AM793" s="49"/>
      <c r="AN793" s="49"/>
      <c r="AO793" s="49"/>
      <c r="AP793" s="49"/>
      <c r="AQ793" s="51"/>
      <c r="AR793" s="208"/>
      <c r="AS793" s="49"/>
      <c r="AT793" s="49"/>
      <c r="AU793" s="49"/>
      <c r="AV793" s="49"/>
      <c r="AW793" s="49"/>
      <c r="AX793" s="49"/>
      <c r="AY793" s="52"/>
    </row>
    <row r="794" spans="1:53" ht="13.5" customHeight="1">
      <c r="A794" s="56"/>
      <c r="B794" s="50"/>
      <c r="C794" s="49"/>
      <c r="D794" s="49"/>
      <c r="E794" s="49"/>
      <c r="F794" s="49"/>
      <c r="G794" s="49"/>
      <c r="H794" s="49"/>
      <c r="I794" s="51"/>
      <c r="J794" s="350"/>
      <c r="K794" s="351"/>
      <c r="L794" s="101"/>
      <c r="M794" s="102"/>
      <c r="N794" s="102" t="s">
        <v>971</v>
      </c>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49"/>
      <c r="AM794" s="49"/>
      <c r="AN794" s="49"/>
      <c r="AO794" s="49"/>
      <c r="AP794" s="49"/>
      <c r="AQ794" s="51"/>
      <c r="AR794" s="208" t="s">
        <v>833</v>
      </c>
      <c r="AS794" s="49"/>
      <c r="AT794" s="49"/>
      <c r="AU794" s="49"/>
      <c r="AV794" s="49"/>
      <c r="AW794" s="49"/>
      <c r="AX794" s="49"/>
      <c r="AY794" s="52"/>
      <c r="BA794" s="23">
        <v>2.2999999999999998</v>
      </c>
    </row>
    <row r="795" spans="1:53" ht="13.5" customHeight="1">
      <c r="A795" s="56"/>
      <c r="B795" s="50"/>
      <c r="C795" s="49"/>
      <c r="D795" s="49"/>
      <c r="E795" s="49"/>
      <c r="F795" s="49"/>
      <c r="G795" s="49"/>
      <c r="H795" s="49"/>
      <c r="I795" s="51"/>
      <c r="J795" s="350"/>
      <c r="K795" s="351"/>
      <c r="L795" s="101"/>
      <c r="M795" s="102"/>
      <c r="N795" s="102" t="s">
        <v>980</v>
      </c>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49"/>
      <c r="AM795" s="49"/>
      <c r="AN795" s="49"/>
      <c r="AO795" s="49"/>
      <c r="AP795" s="49"/>
      <c r="AQ795" s="51"/>
      <c r="AR795" s="208" t="s">
        <v>834</v>
      </c>
      <c r="AS795" s="49"/>
      <c r="AT795" s="49"/>
      <c r="AU795" s="49"/>
      <c r="AV795" s="49"/>
      <c r="AW795" s="49"/>
      <c r="AX795" s="49"/>
      <c r="AY795" s="52"/>
    </row>
    <row r="796" spans="1:53" ht="13.5" customHeight="1">
      <c r="A796" s="56"/>
      <c r="B796" s="50"/>
      <c r="C796" s="49"/>
      <c r="D796" s="49"/>
      <c r="E796" s="49"/>
      <c r="F796" s="49"/>
      <c r="G796" s="49"/>
      <c r="H796" s="49"/>
      <c r="I796" s="51"/>
      <c r="J796" s="350"/>
      <c r="K796" s="351"/>
      <c r="L796" s="101"/>
      <c r="M796" s="102"/>
      <c r="N796" s="102" t="s">
        <v>421</v>
      </c>
      <c r="O796" s="102" t="s">
        <v>422</v>
      </c>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49"/>
      <c r="AM796" s="49"/>
      <c r="AN796" s="49"/>
      <c r="AO796" s="49"/>
      <c r="AP796" s="49"/>
      <c r="AQ796" s="51"/>
      <c r="AR796" s="208"/>
      <c r="AS796" s="49"/>
      <c r="AT796" s="49"/>
      <c r="AU796" s="49"/>
      <c r="AV796" s="49"/>
      <c r="AW796" s="49"/>
      <c r="AX796" s="49"/>
      <c r="AY796" s="52"/>
    </row>
    <row r="797" spans="1:53" ht="13.5" customHeight="1">
      <c r="A797" s="56"/>
      <c r="B797" s="50"/>
      <c r="C797" s="49"/>
      <c r="D797" s="49"/>
      <c r="E797" s="49"/>
      <c r="F797" s="49"/>
      <c r="G797" s="49"/>
      <c r="H797" s="49"/>
      <c r="I797" s="51"/>
      <c r="J797" s="350"/>
      <c r="K797" s="351"/>
      <c r="L797" s="101"/>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49"/>
      <c r="AM797" s="49"/>
      <c r="AN797" s="49"/>
      <c r="AO797" s="49"/>
      <c r="AP797" s="49"/>
      <c r="AQ797" s="51"/>
      <c r="AR797" s="208"/>
      <c r="AS797" s="49"/>
      <c r="AT797" s="49"/>
      <c r="AU797" s="49"/>
      <c r="AV797" s="49"/>
      <c r="AW797" s="49"/>
      <c r="AX797" s="49"/>
      <c r="AY797" s="52"/>
    </row>
    <row r="798" spans="1:53" ht="13.5" customHeight="1">
      <c r="A798" s="56"/>
      <c r="B798" s="50"/>
      <c r="C798" s="49"/>
      <c r="D798" s="49"/>
      <c r="E798" s="49"/>
      <c r="F798" s="49"/>
      <c r="G798" s="49"/>
      <c r="H798" s="49"/>
      <c r="I798" s="51"/>
      <c r="J798" s="350"/>
      <c r="K798" s="351"/>
      <c r="L798" s="101"/>
      <c r="M798" s="102" t="s">
        <v>220</v>
      </c>
      <c r="N798" s="102" t="s">
        <v>432</v>
      </c>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49"/>
      <c r="AM798" s="49"/>
      <c r="AN798" s="49"/>
      <c r="AO798" s="49"/>
      <c r="AP798" s="49"/>
      <c r="AQ798" s="51"/>
      <c r="AR798" s="208"/>
      <c r="AS798" s="49"/>
      <c r="AT798" s="49"/>
      <c r="AU798" s="49"/>
      <c r="AV798" s="49"/>
      <c r="AW798" s="49"/>
      <c r="AX798" s="49"/>
      <c r="AY798" s="52"/>
    </row>
    <row r="799" spans="1:53" ht="13.5" customHeight="1">
      <c r="A799" s="56"/>
      <c r="B799" s="50"/>
      <c r="C799" s="49"/>
      <c r="D799" s="49"/>
      <c r="E799" s="49"/>
      <c r="F799" s="49"/>
      <c r="G799" s="49"/>
      <c r="H799" s="49"/>
      <c r="I799" s="51"/>
      <c r="J799" s="350"/>
      <c r="K799" s="351"/>
      <c r="L799" s="101"/>
      <c r="M799" s="102"/>
      <c r="N799" s="102" t="s">
        <v>434</v>
      </c>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49"/>
      <c r="AM799" s="49"/>
      <c r="AN799" s="49"/>
      <c r="AO799" s="49"/>
      <c r="AP799" s="49"/>
      <c r="AQ799" s="51"/>
      <c r="AR799" s="208" t="s">
        <v>810</v>
      </c>
      <c r="AS799" s="49"/>
      <c r="AT799" s="49"/>
      <c r="AU799" s="49"/>
      <c r="AV799" s="49"/>
      <c r="AW799" s="49"/>
      <c r="AX799" s="49"/>
      <c r="AY799" s="52"/>
    </row>
    <row r="800" spans="1:53" ht="13.5" customHeight="1">
      <c r="A800" s="56"/>
      <c r="B800" s="50"/>
      <c r="C800" s="49"/>
      <c r="D800" s="49"/>
      <c r="E800" s="49"/>
      <c r="F800" s="49"/>
      <c r="G800" s="49"/>
      <c r="H800" s="49"/>
      <c r="I800" s="51"/>
      <c r="J800" s="350"/>
      <c r="K800" s="351"/>
      <c r="L800" s="101"/>
      <c r="M800" s="102"/>
      <c r="N800" s="102" t="s">
        <v>433</v>
      </c>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49"/>
      <c r="AM800" s="49"/>
      <c r="AN800" s="49"/>
      <c r="AO800" s="49"/>
      <c r="AP800" s="49"/>
      <c r="AQ800" s="51"/>
      <c r="AR800" s="208"/>
      <c r="AS800" s="49"/>
      <c r="AT800" s="49"/>
      <c r="AU800" s="49"/>
      <c r="AV800" s="49"/>
      <c r="AW800" s="49"/>
      <c r="AX800" s="49"/>
      <c r="AY800" s="52"/>
    </row>
    <row r="801" spans="1:53" ht="13.5" customHeight="1">
      <c r="A801" s="56"/>
      <c r="B801" s="50"/>
      <c r="C801" s="49"/>
      <c r="D801" s="49"/>
      <c r="E801" s="49"/>
      <c r="F801" s="49"/>
      <c r="G801" s="49"/>
      <c r="H801" s="49"/>
      <c r="I801" s="51"/>
      <c r="J801" s="350"/>
      <c r="K801" s="351"/>
      <c r="L801" s="101"/>
      <c r="M801" s="102"/>
      <c r="N801" s="102" t="s">
        <v>435</v>
      </c>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49"/>
      <c r="AM801" s="49"/>
      <c r="AN801" s="49"/>
      <c r="AO801" s="49"/>
      <c r="AP801" s="49"/>
      <c r="AQ801" s="51"/>
      <c r="AR801" s="208"/>
      <c r="AS801" s="49"/>
      <c r="AT801" s="49"/>
      <c r="AU801" s="49"/>
      <c r="AV801" s="49"/>
      <c r="AW801" s="49"/>
      <c r="AX801" s="49"/>
      <c r="AY801" s="52"/>
    </row>
    <row r="802" spans="1:53" ht="13.5" customHeight="1">
      <c r="A802" s="56"/>
      <c r="B802" s="50"/>
      <c r="C802" s="49"/>
      <c r="D802" s="49"/>
      <c r="E802" s="49"/>
      <c r="F802" s="49"/>
      <c r="G802" s="49"/>
      <c r="H802" s="49"/>
      <c r="I802" s="51"/>
      <c r="J802" s="350"/>
      <c r="K802" s="351"/>
      <c r="L802" s="101"/>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49"/>
      <c r="AM802" s="49"/>
      <c r="AN802" s="49"/>
      <c r="AO802" s="49"/>
      <c r="AP802" s="49"/>
      <c r="AQ802" s="51"/>
      <c r="AR802" s="208"/>
      <c r="AS802" s="49"/>
      <c r="AT802" s="49"/>
      <c r="AU802" s="49"/>
      <c r="AV802" s="49"/>
      <c r="AW802" s="49"/>
      <c r="AX802" s="49"/>
      <c r="AY802" s="52"/>
    </row>
    <row r="803" spans="1:53" ht="13.5" customHeight="1">
      <c r="A803" s="56"/>
      <c r="B803" s="50"/>
      <c r="C803" s="49"/>
      <c r="D803" s="49"/>
      <c r="E803" s="49"/>
      <c r="F803" s="49"/>
      <c r="G803" s="49"/>
      <c r="H803" s="49"/>
      <c r="I803" s="51"/>
      <c r="J803" s="350"/>
      <c r="K803" s="351"/>
      <c r="L803" s="101"/>
      <c r="M803" s="505" t="s">
        <v>222</v>
      </c>
      <c r="N803" s="505" t="s">
        <v>840</v>
      </c>
      <c r="O803" s="505"/>
      <c r="P803" s="505"/>
      <c r="Q803" s="505"/>
      <c r="R803" s="505"/>
      <c r="S803" s="505"/>
      <c r="T803" s="505"/>
      <c r="U803" s="505"/>
      <c r="V803" s="505"/>
      <c r="W803" s="505"/>
      <c r="X803" s="505"/>
      <c r="Y803" s="505"/>
      <c r="Z803" s="505"/>
      <c r="AA803" s="505"/>
      <c r="AB803" s="505"/>
      <c r="AC803" s="505"/>
      <c r="AD803" s="505"/>
      <c r="AE803" s="505"/>
      <c r="AF803" s="505"/>
      <c r="AG803" s="505"/>
      <c r="AH803" s="505"/>
      <c r="AI803" s="505"/>
      <c r="AJ803" s="505"/>
      <c r="AK803" s="505"/>
      <c r="AL803" s="139"/>
      <c r="AM803" s="139"/>
      <c r="AN803" s="139"/>
      <c r="AO803" s="139"/>
      <c r="AP803" s="139"/>
      <c r="AQ803" s="140"/>
      <c r="AR803" s="208" t="s">
        <v>841</v>
      </c>
      <c r="AS803" s="49"/>
      <c r="AT803" s="49"/>
      <c r="AU803" s="49"/>
      <c r="AV803" s="49"/>
      <c r="AW803" s="49"/>
      <c r="AX803" s="49"/>
      <c r="AY803" s="52"/>
    </row>
    <row r="804" spans="1:53" ht="13.5" customHeight="1">
      <c r="A804" s="56"/>
      <c r="B804" s="50"/>
      <c r="C804" s="49"/>
      <c r="D804" s="49"/>
      <c r="E804" s="49"/>
      <c r="F804" s="49"/>
      <c r="G804" s="49"/>
      <c r="H804" s="49"/>
      <c r="I804" s="51"/>
      <c r="J804" s="415"/>
      <c r="K804" s="416"/>
      <c r="L804" s="101"/>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49"/>
      <c r="AM804" s="49"/>
      <c r="AN804" s="49"/>
      <c r="AO804" s="49"/>
      <c r="AP804" s="49"/>
      <c r="AQ804" s="51"/>
      <c r="AR804" s="208"/>
      <c r="AS804" s="49"/>
      <c r="AT804" s="49"/>
      <c r="AU804" s="49"/>
      <c r="AV804" s="49"/>
      <c r="AW804" s="49"/>
      <c r="AX804" s="49"/>
      <c r="AY804" s="52"/>
    </row>
    <row r="805" spans="1:53" ht="13.5" customHeight="1">
      <c r="A805" s="56"/>
      <c r="B805" s="50"/>
      <c r="C805" s="49"/>
      <c r="D805" s="49"/>
      <c r="E805" s="49"/>
      <c r="F805" s="49"/>
      <c r="G805" s="49"/>
      <c r="H805" s="49"/>
      <c r="I805" s="51"/>
      <c r="J805" s="415"/>
      <c r="K805" s="420"/>
      <c r="L805" s="101"/>
      <c r="M805" s="102" t="s">
        <v>1058</v>
      </c>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c r="AN805" s="102"/>
      <c r="AO805" s="102"/>
      <c r="AP805" s="102"/>
      <c r="AQ805" s="377"/>
      <c r="AR805" s="396" t="s">
        <v>1059</v>
      </c>
      <c r="AS805" s="102"/>
      <c r="AT805" s="102"/>
      <c r="AU805" s="102"/>
      <c r="AV805" s="102"/>
      <c r="AW805" s="102"/>
      <c r="AX805" s="102"/>
      <c r="AY805" s="406"/>
      <c r="BA805" s="23">
        <v>2.9</v>
      </c>
    </row>
    <row r="806" spans="1:53" ht="13.5" customHeight="1">
      <c r="A806" s="56"/>
      <c r="B806" s="50"/>
      <c r="C806" s="49"/>
      <c r="D806" s="49"/>
      <c r="E806" s="49"/>
      <c r="F806" s="49"/>
      <c r="G806" s="49"/>
      <c r="H806" s="49"/>
      <c r="I806" s="51"/>
      <c r="J806" s="417"/>
      <c r="K806" s="420"/>
      <c r="L806" s="101"/>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c r="AN806" s="102"/>
      <c r="AO806" s="102"/>
      <c r="AP806" s="102"/>
      <c r="AQ806" s="377"/>
      <c r="AR806" s="396"/>
      <c r="AS806" s="102"/>
      <c r="AT806" s="102"/>
      <c r="AU806" s="102"/>
      <c r="AV806" s="102"/>
      <c r="AW806" s="102"/>
      <c r="AX806" s="102"/>
      <c r="AY806" s="406"/>
    </row>
    <row r="807" spans="1:53" ht="13.5" customHeight="1">
      <c r="A807" s="56"/>
      <c r="B807" s="50"/>
      <c r="C807" s="49"/>
      <c r="D807" s="49"/>
      <c r="E807" s="49"/>
      <c r="F807" s="49"/>
      <c r="G807" s="49"/>
      <c r="H807" s="49"/>
      <c r="I807" s="51"/>
      <c r="J807" s="417"/>
      <c r="K807" s="420"/>
      <c r="L807" s="101"/>
      <c r="M807" s="102" t="s">
        <v>446</v>
      </c>
      <c r="N807" s="102" t="s">
        <v>1070</v>
      </c>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c r="AN807" s="102"/>
      <c r="AO807" s="102"/>
      <c r="AP807" s="102"/>
      <c r="AQ807" s="377"/>
      <c r="AR807" s="396" t="s">
        <v>1065</v>
      </c>
      <c r="AS807" s="102"/>
      <c r="AT807" s="102"/>
      <c r="AU807" s="102"/>
      <c r="AV807" s="102"/>
      <c r="AW807" s="102"/>
      <c r="AX807" s="102"/>
      <c r="AY807" s="406"/>
      <c r="BA807" s="23">
        <v>2.9</v>
      </c>
    </row>
    <row r="808" spans="1:53" ht="13.5" customHeight="1">
      <c r="A808" s="56"/>
      <c r="B808" s="50"/>
      <c r="C808" s="49"/>
      <c r="D808" s="49"/>
      <c r="E808" s="49"/>
      <c r="F808" s="49"/>
      <c r="G808" s="49"/>
      <c r="H808" s="49"/>
      <c r="I808" s="51"/>
      <c r="J808" s="426"/>
      <c r="K808" s="429"/>
      <c r="L808" s="101"/>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c r="AN808" s="102"/>
      <c r="AO808" s="102"/>
      <c r="AP808" s="102"/>
      <c r="AQ808" s="377"/>
      <c r="AR808" s="396"/>
      <c r="AS808" s="102"/>
      <c r="AT808" s="102"/>
      <c r="AU808" s="102"/>
      <c r="AV808" s="102"/>
      <c r="AW808" s="102"/>
      <c r="AX808" s="102"/>
      <c r="AY808" s="406"/>
    </row>
    <row r="809" spans="1:53" ht="13.5" customHeight="1">
      <c r="A809" s="56"/>
      <c r="B809" s="50"/>
      <c r="C809" s="49"/>
      <c r="D809" s="49"/>
      <c r="E809" s="49"/>
      <c r="F809" s="49"/>
      <c r="G809" s="49"/>
      <c r="H809" s="49"/>
      <c r="I809" s="51"/>
      <c r="J809" s="656"/>
      <c r="K809" s="657"/>
      <c r="L809" s="101" t="s">
        <v>194</v>
      </c>
      <c r="M809" s="102"/>
      <c r="N809" s="102"/>
      <c r="O809" s="106"/>
      <c r="P809" s="106"/>
      <c r="Q809" s="106"/>
      <c r="R809" s="106"/>
      <c r="S809" s="46"/>
      <c r="T809" s="46"/>
      <c r="U809" s="46"/>
      <c r="V809" s="46"/>
      <c r="W809" s="49"/>
      <c r="X809" s="49"/>
      <c r="Y809" s="49"/>
      <c r="Z809" s="49"/>
      <c r="AA809" s="49"/>
      <c r="AB809" s="49"/>
      <c r="AC809" s="49"/>
      <c r="AD809" s="49"/>
      <c r="AE809" s="49"/>
      <c r="AF809" s="49"/>
      <c r="AG809" s="49"/>
      <c r="AH809" s="49"/>
      <c r="AI809" s="49"/>
      <c r="AJ809" s="49"/>
      <c r="AK809" s="49"/>
      <c r="AL809" s="49"/>
      <c r="AM809" s="49"/>
      <c r="AN809" s="49"/>
      <c r="AO809" s="49"/>
      <c r="AP809" s="49"/>
      <c r="AQ809" s="51"/>
      <c r="AR809" s="208" t="s">
        <v>57</v>
      </c>
      <c r="AS809" s="49"/>
      <c r="AT809" s="49"/>
      <c r="AU809" s="49"/>
      <c r="AV809" s="49"/>
      <c r="AW809" s="49"/>
      <c r="AX809" s="49"/>
      <c r="AY809" s="52"/>
    </row>
    <row r="810" spans="1:53" ht="13.5" customHeight="1">
      <c r="A810" s="56"/>
      <c r="B810" s="50"/>
      <c r="C810" s="49"/>
      <c r="D810" s="49"/>
      <c r="E810" s="49"/>
      <c r="F810" s="49"/>
      <c r="G810" s="49"/>
      <c r="H810" s="49"/>
      <c r="I810" s="51"/>
      <c r="J810" s="350"/>
      <c r="K810" s="351"/>
      <c r="L810" s="101"/>
      <c r="M810" s="541" t="s">
        <v>476</v>
      </c>
      <c r="N810" s="505"/>
      <c r="O810" s="505"/>
      <c r="P810" s="505"/>
      <c r="Q810" s="505"/>
      <c r="R810" s="505"/>
      <c r="S810" s="139"/>
      <c r="T810" s="139"/>
      <c r="U810" s="139"/>
      <c r="V810" s="139"/>
      <c r="W810" s="139"/>
      <c r="X810" s="139"/>
      <c r="Y810" s="139"/>
      <c r="Z810" s="139"/>
      <c r="AA810" s="139"/>
      <c r="AB810" s="139"/>
      <c r="AC810" s="139"/>
      <c r="AD810" s="139"/>
      <c r="AE810" s="139"/>
      <c r="AF810" s="139"/>
      <c r="AG810" s="139"/>
      <c r="AH810" s="139"/>
      <c r="AI810" s="139"/>
      <c r="AJ810" s="139"/>
      <c r="AK810" s="139"/>
      <c r="AL810" s="139"/>
      <c r="AM810" s="139"/>
      <c r="AN810" s="139"/>
      <c r="AO810" s="139"/>
      <c r="AP810" s="49"/>
      <c r="AQ810" s="51"/>
      <c r="AR810" s="208" t="s">
        <v>180</v>
      </c>
      <c r="AS810" s="49"/>
      <c r="AT810" s="49"/>
      <c r="AU810" s="49"/>
      <c r="AV810" s="49"/>
      <c r="AW810" s="49"/>
      <c r="AX810" s="49"/>
      <c r="AY810" s="52"/>
    </row>
    <row r="811" spans="1:53" ht="13.5" customHeight="1">
      <c r="A811" s="56"/>
      <c r="B811" s="50"/>
      <c r="C811" s="49"/>
      <c r="D811" s="49"/>
      <c r="E811" s="49"/>
      <c r="F811" s="49"/>
      <c r="G811" s="49"/>
      <c r="H811" s="49"/>
      <c r="I811" s="51"/>
      <c r="J811" s="350"/>
      <c r="K811" s="351"/>
      <c r="L811" s="101"/>
      <c r="M811" s="541" t="s">
        <v>475</v>
      </c>
      <c r="N811" s="505"/>
      <c r="O811" s="505"/>
      <c r="P811" s="505"/>
      <c r="Q811" s="505"/>
      <c r="R811" s="505"/>
      <c r="S811" s="139"/>
      <c r="T811" s="139"/>
      <c r="U811" s="139"/>
      <c r="V811" s="139"/>
      <c r="W811" s="139"/>
      <c r="X811" s="139"/>
      <c r="Y811" s="139"/>
      <c r="Z811" s="139"/>
      <c r="AA811" s="139"/>
      <c r="AB811" s="139"/>
      <c r="AC811" s="139"/>
      <c r="AD811" s="139"/>
      <c r="AE811" s="139"/>
      <c r="AF811" s="139"/>
      <c r="AG811" s="139"/>
      <c r="AH811" s="139"/>
      <c r="AI811" s="139"/>
      <c r="AJ811" s="139"/>
      <c r="AK811" s="139"/>
      <c r="AL811" s="139"/>
      <c r="AM811" s="139"/>
      <c r="AN811" s="139"/>
      <c r="AO811" s="139"/>
      <c r="AP811" s="49"/>
      <c r="AQ811" s="51"/>
      <c r="AR811" s="208"/>
      <c r="AS811" s="49"/>
      <c r="AT811" s="49"/>
      <c r="AU811" s="49"/>
      <c r="AV811" s="49"/>
      <c r="AW811" s="49"/>
      <c r="AX811" s="49"/>
      <c r="AY811" s="52"/>
    </row>
    <row r="812" spans="1:53" ht="13.5" customHeight="1">
      <c r="A812" s="56"/>
      <c r="B812" s="50"/>
      <c r="C812" s="49"/>
      <c r="D812" s="49"/>
      <c r="E812" s="49"/>
      <c r="F812" s="49"/>
      <c r="G812" s="49"/>
      <c r="H812" s="49"/>
      <c r="I812" s="51"/>
      <c r="J812" s="350"/>
      <c r="K812" s="351"/>
      <c r="L812" s="101"/>
      <c r="M812" s="541" t="s">
        <v>477</v>
      </c>
      <c r="N812" s="505"/>
      <c r="O812" s="505"/>
      <c r="P812" s="505"/>
      <c r="Q812" s="505"/>
      <c r="R812" s="505"/>
      <c r="S812" s="139"/>
      <c r="T812" s="139"/>
      <c r="U812" s="139"/>
      <c r="V812" s="139"/>
      <c r="W812" s="139"/>
      <c r="X812" s="139"/>
      <c r="Y812" s="139"/>
      <c r="Z812" s="139"/>
      <c r="AA812" s="139"/>
      <c r="AB812" s="139"/>
      <c r="AC812" s="139"/>
      <c r="AD812" s="139"/>
      <c r="AE812" s="139"/>
      <c r="AF812" s="139"/>
      <c r="AG812" s="139"/>
      <c r="AH812" s="139"/>
      <c r="AI812" s="139"/>
      <c r="AJ812" s="139"/>
      <c r="AK812" s="139"/>
      <c r="AL812" s="139"/>
      <c r="AM812" s="139"/>
      <c r="AN812" s="139"/>
      <c r="AO812" s="139"/>
      <c r="AP812" s="49"/>
      <c r="AQ812" s="51"/>
      <c r="AR812" s="208"/>
      <c r="AS812" s="49"/>
      <c r="AT812" s="49"/>
      <c r="AU812" s="49"/>
      <c r="AV812" s="49"/>
      <c r="AW812" s="49"/>
      <c r="AX812" s="49"/>
      <c r="AY812" s="52"/>
    </row>
    <row r="813" spans="1:53" ht="13.5" customHeight="1">
      <c r="A813" s="56"/>
      <c r="B813" s="50"/>
      <c r="C813" s="49"/>
      <c r="D813" s="49"/>
      <c r="E813" s="49"/>
      <c r="F813" s="49"/>
      <c r="G813" s="49"/>
      <c r="H813" s="49"/>
      <c r="I813" s="51"/>
      <c r="J813" s="350"/>
      <c r="K813" s="351"/>
      <c r="L813" s="101"/>
      <c r="M813" s="541" t="s">
        <v>478</v>
      </c>
      <c r="N813" s="505"/>
      <c r="O813" s="505"/>
      <c r="P813" s="505"/>
      <c r="Q813" s="505"/>
      <c r="R813" s="505"/>
      <c r="S813" s="139"/>
      <c r="T813" s="139"/>
      <c r="U813" s="139"/>
      <c r="V813" s="139"/>
      <c r="W813" s="139"/>
      <c r="X813" s="139"/>
      <c r="Y813" s="139"/>
      <c r="Z813" s="139"/>
      <c r="AA813" s="139"/>
      <c r="AB813" s="139"/>
      <c r="AC813" s="139"/>
      <c r="AD813" s="139"/>
      <c r="AE813" s="139"/>
      <c r="AF813" s="139"/>
      <c r="AG813" s="139"/>
      <c r="AH813" s="139"/>
      <c r="AI813" s="139"/>
      <c r="AJ813" s="139"/>
      <c r="AK813" s="139"/>
      <c r="AL813" s="139"/>
      <c r="AM813" s="139"/>
      <c r="AN813" s="139"/>
      <c r="AO813" s="139"/>
      <c r="AP813" s="49"/>
      <c r="AQ813" s="51"/>
      <c r="AR813" s="208"/>
      <c r="AS813" s="49"/>
      <c r="AT813" s="49"/>
      <c r="AU813" s="49"/>
      <c r="AV813" s="49"/>
      <c r="AW813" s="49"/>
      <c r="AX813" s="49"/>
      <c r="AY813" s="52"/>
    </row>
    <row r="814" spans="1:53" ht="13.5" customHeight="1">
      <c r="A814" s="56"/>
      <c r="B814" s="50"/>
      <c r="C814" s="49"/>
      <c r="D814" s="49"/>
      <c r="E814" s="49"/>
      <c r="F814" s="49"/>
      <c r="G814" s="49"/>
      <c r="H814" s="49"/>
      <c r="I814" s="51"/>
      <c r="J814" s="402"/>
      <c r="K814" s="403"/>
      <c r="L814" s="101"/>
      <c r="M814" s="106"/>
      <c r="N814" s="102"/>
      <c r="O814" s="102"/>
      <c r="P814" s="102"/>
      <c r="Q814" s="102"/>
      <c r="R814" s="102"/>
      <c r="S814" s="49"/>
      <c r="T814" s="49"/>
      <c r="U814" s="49"/>
      <c r="V814" s="49"/>
      <c r="W814" s="49"/>
      <c r="X814" s="49"/>
      <c r="Y814" s="49"/>
      <c r="Z814" s="49"/>
      <c r="AA814" s="49"/>
      <c r="AB814" s="49"/>
      <c r="AC814" s="49"/>
      <c r="AD814" s="49"/>
      <c r="AE814" s="49"/>
      <c r="AF814" s="49"/>
      <c r="AG814" s="49"/>
      <c r="AH814" s="49"/>
      <c r="AI814" s="49"/>
      <c r="AJ814" s="49"/>
      <c r="AK814" s="49"/>
      <c r="AL814" s="49"/>
      <c r="AM814" s="49"/>
      <c r="AN814" s="49"/>
      <c r="AO814" s="49"/>
      <c r="AP814" s="49"/>
      <c r="AQ814" s="51"/>
      <c r="AR814" s="208"/>
      <c r="AS814" s="49"/>
      <c r="AT814" s="49"/>
      <c r="AU814" s="49"/>
      <c r="AV814" s="49"/>
      <c r="AW814" s="49"/>
      <c r="AX814" s="49"/>
      <c r="AY814" s="52"/>
    </row>
    <row r="815" spans="1:53" ht="13.5" customHeight="1">
      <c r="A815" s="56"/>
      <c r="B815" s="50"/>
      <c r="C815" s="49"/>
      <c r="D815" s="49"/>
      <c r="E815" s="49"/>
      <c r="F815" s="49"/>
      <c r="G815" s="49"/>
      <c r="H815" s="49"/>
      <c r="I815" s="51"/>
      <c r="J815" s="402"/>
      <c r="K815" s="403"/>
      <c r="L815" s="101" t="s">
        <v>1008</v>
      </c>
      <c r="M815" s="106"/>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c r="AN815" s="102"/>
      <c r="AO815" s="102"/>
      <c r="AP815" s="102"/>
      <c r="AQ815" s="377"/>
      <c r="AR815" s="396"/>
      <c r="AS815" s="102"/>
      <c r="AT815" s="102"/>
      <c r="AU815" s="102"/>
      <c r="AV815" s="49"/>
      <c r="AW815" s="49"/>
      <c r="AX815" s="49"/>
      <c r="AY815" s="52"/>
      <c r="BA815" s="23">
        <v>2.7</v>
      </c>
    </row>
    <row r="816" spans="1:53" ht="13.5" customHeight="1">
      <c r="A816" s="56"/>
      <c r="B816" s="50"/>
      <c r="C816" s="49"/>
      <c r="D816" s="49"/>
      <c r="E816" s="49"/>
      <c r="F816" s="49"/>
      <c r="G816" s="49"/>
      <c r="H816" s="49"/>
      <c r="I816" s="51"/>
      <c r="J816" s="402"/>
      <c r="K816" s="403"/>
      <c r="L816" s="520"/>
      <c r="M816" s="541" t="s">
        <v>1032</v>
      </c>
      <c r="N816" s="505"/>
      <c r="O816" s="505"/>
      <c r="P816" s="505"/>
      <c r="Q816" s="505"/>
      <c r="R816" s="505"/>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377"/>
      <c r="AR816" s="396"/>
      <c r="AS816" s="102"/>
      <c r="AT816" s="102"/>
      <c r="AU816" s="102"/>
      <c r="AV816" s="49"/>
      <c r="AW816" s="49"/>
      <c r="AX816" s="49"/>
      <c r="AY816" s="52"/>
      <c r="BA816" s="23">
        <v>2.7</v>
      </c>
    </row>
    <row r="817" spans="1:53" ht="13.5" customHeight="1">
      <c r="A817" s="56"/>
      <c r="B817" s="50"/>
      <c r="C817" s="49"/>
      <c r="D817" s="49"/>
      <c r="E817" s="49"/>
      <c r="F817" s="49"/>
      <c r="G817" s="49"/>
      <c r="H817" s="49"/>
      <c r="I817" s="51"/>
      <c r="J817" s="402"/>
      <c r="K817" s="403"/>
      <c r="L817" s="520"/>
      <c r="M817" s="541" t="s">
        <v>1033</v>
      </c>
      <c r="N817" s="505"/>
      <c r="O817" s="505"/>
      <c r="P817" s="505"/>
      <c r="Q817" s="505"/>
      <c r="R817" s="505"/>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377"/>
      <c r="AR817" s="396"/>
      <c r="AS817" s="102"/>
      <c r="AT817" s="102"/>
      <c r="AU817" s="102"/>
      <c r="AV817" s="49"/>
      <c r="AW817" s="49"/>
      <c r="AX817" s="49"/>
      <c r="AY817" s="52"/>
      <c r="BA817" s="23">
        <v>2.7</v>
      </c>
    </row>
    <row r="818" spans="1:53" ht="13.5" customHeight="1">
      <c r="A818" s="56"/>
      <c r="B818" s="50"/>
      <c r="C818" s="49"/>
      <c r="D818" s="49"/>
      <c r="E818" s="49"/>
      <c r="F818" s="49"/>
      <c r="G818" s="49"/>
      <c r="H818" s="49"/>
      <c r="I818" s="51"/>
      <c r="J818" s="402"/>
      <c r="K818" s="403"/>
      <c r="L818" s="101"/>
      <c r="M818" s="106"/>
      <c r="N818" s="102"/>
      <c r="O818" s="102"/>
      <c r="P818" s="102"/>
      <c r="Q818" s="102"/>
      <c r="R818" s="102"/>
      <c r="S818" s="49"/>
      <c r="T818" s="49"/>
      <c r="U818" s="49"/>
      <c r="V818" s="49"/>
      <c r="W818" s="49"/>
      <c r="X818" s="49"/>
      <c r="Y818" s="49"/>
      <c r="Z818" s="49"/>
      <c r="AA818" s="49"/>
      <c r="AB818" s="49"/>
      <c r="AC818" s="49"/>
      <c r="AD818" s="49"/>
      <c r="AE818" s="49"/>
      <c r="AF818" s="49"/>
      <c r="AG818" s="49"/>
      <c r="AH818" s="49"/>
      <c r="AI818" s="49"/>
      <c r="AJ818" s="49"/>
      <c r="AK818" s="49"/>
      <c r="AL818" s="49"/>
      <c r="AM818" s="49"/>
      <c r="AN818" s="49"/>
      <c r="AO818" s="49"/>
      <c r="AP818" s="49"/>
      <c r="AQ818" s="51"/>
      <c r="AR818" s="208"/>
      <c r="AS818" s="49"/>
      <c r="AT818" s="49"/>
      <c r="AU818" s="49"/>
      <c r="AV818" s="49"/>
      <c r="AW818" s="49"/>
      <c r="AX818" s="49"/>
      <c r="AY818" s="52"/>
    </row>
    <row r="819" spans="1:53" ht="13.5" customHeight="1">
      <c r="A819" s="56"/>
      <c r="B819" s="50"/>
      <c r="C819" s="49"/>
      <c r="D819" s="49"/>
      <c r="E819" s="49"/>
      <c r="F819" s="49"/>
      <c r="G819" s="49"/>
      <c r="H819" s="49"/>
      <c r="I819" s="51"/>
      <c r="J819" s="350"/>
      <c r="K819" s="351"/>
      <c r="L819" s="101" t="s">
        <v>1009</v>
      </c>
      <c r="M819" s="106"/>
      <c r="N819" s="102"/>
      <c r="O819" s="102"/>
      <c r="P819" s="102"/>
      <c r="Q819" s="102"/>
      <c r="R819" s="102"/>
      <c r="S819" s="49"/>
      <c r="T819" s="49"/>
      <c r="U819" s="49"/>
      <c r="V819" s="49"/>
      <c r="W819" s="49"/>
      <c r="X819" s="49"/>
      <c r="Y819" s="49"/>
      <c r="Z819" s="49"/>
      <c r="AA819" s="49"/>
      <c r="AB819" s="49"/>
      <c r="AC819" s="49"/>
      <c r="AD819" s="49"/>
      <c r="AE819" s="49"/>
      <c r="AF819" s="49"/>
      <c r="AG819" s="49"/>
      <c r="AH819" s="49"/>
      <c r="AI819" s="49"/>
      <c r="AJ819" s="49"/>
      <c r="AK819" s="49"/>
      <c r="AL819" s="49"/>
      <c r="AM819" s="49"/>
      <c r="AN819" s="49"/>
      <c r="AO819" s="49"/>
      <c r="AP819" s="49"/>
      <c r="AQ819" s="51"/>
      <c r="AR819" s="208" t="s">
        <v>154</v>
      </c>
      <c r="AS819" s="49"/>
      <c r="AT819" s="49"/>
      <c r="AU819" s="49"/>
      <c r="AV819" s="49"/>
      <c r="AW819" s="49"/>
      <c r="AX819" s="49"/>
      <c r="AY819" s="52" t="s">
        <v>146</v>
      </c>
    </row>
    <row r="820" spans="1:53" ht="13.5" customHeight="1">
      <c r="A820" s="56"/>
      <c r="B820" s="50"/>
      <c r="C820" s="49"/>
      <c r="D820" s="49"/>
      <c r="E820" s="49"/>
      <c r="F820" s="49"/>
      <c r="G820" s="49"/>
      <c r="H820" s="49"/>
      <c r="I820" s="51"/>
      <c r="J820" s="350"/>
      <c r="K820" s="351"/>
      <c r="L820" s="101"/>
      <c r="M820" s="106"/>
      <c r="N820" s="102"/>
      <c r="O820" s="102"/>
      <c r="P820" s="102"/>
      <c r="Q820" s="102"/>
      <c r="R820" s="102"/>
      <c r="S820" s="49"/>
      <c r="T820" s="49"/>
      <c r="U820" s="49"/>
      <c r="V820" s="49"/>
      <c r="W820" s="49"/>
      <c r="X820" s="49"/>
      <c r="Y820" s="49"/>
      <c r="Z820" s="49"/>
      <c r="AA820" s="49"/>
      <c r="AB820" s="49"/>
      <c r="AC820" s="49"/>
      <c r="AD820" s="49"/>
      <c r="AE820" s="49"/>
      <c r="AF820" s="49"/>
      <c r="AG820" s="49"/>
      <c r="AH820" s="49"/>
      <c r="AI820" s="49"/>
      <c r="AJ820" s="49"/>
      <c r="AK820" s="49"/>
      <c r="AL820" s="49"/>
      <c r="AM820" s="49"/>
      <c r="AN820" s="49"/>
      <c r="AO820" s="49"/>
      <c r="AP820" s="49"/>
      <c r="AQ820" s="51"/>
      <c r="AR820" s="208" t="s">
        <v>156</v>
      </c>
      <c r="AS820" s="49"/>
      <c r="AT820" s="49"/>
      <c r="AU820" s="49"/>
      <c r="AV820" s="49"/>
      <c r="AW820" s="49"/>
      <c r="AX820" s="49"/>
      <c r="AY820" s="52"/>
    </row>
    <row r="821" spans="1:53" ht="13.5" customHeight="1">
      <c r="A821" s="56"/>
      <c r="B821" s="50"/>
      <c r="C821" s="49"/>
      <c r="D821" s="49"/>
      <c r="E821" s="49"/>
      <c r="F821" s="49"/>
      <c r="G821" s="49"/>
      <c r="H821" s="49"/>
      <c r="I821" s="51"/>
      <c r="J821" s="352"/>
      <c r="K821" s="353"/>
      <c r="L821" s="104"/>
      <c r="M821" s="339"/>
      <c r="N821" s="105"/>
      <c r="O821" s="105"/>
      <c r="P821" s="105"/>
      <c r="Q821" s="105"/>
      <c r="R821" s="105"/>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9"/>
      <c r="AR821" s="192"/>
      <c r="AS821" s="57"/>
      <c r="AT821" s="57"/>
      <c r="AU821" s="57"/>
      <c r="AV821" s="57"/>
      <c r="AW821" s="57"/>
      <c r="AX821" s="57"/>
      <c r="AY821" s="60"/>
    </row>
    <row r="822" spans="1:53" ht="13.5" customHeight="1">
      <c r="A822" s="56"/>
      <c r="B822" s="50"/>
      <c r="C822" s="49"/>
      <c r="D822" s="49"/>
      <c r="E822" s="49"/>
      <c r="F822" s="49"/>
      <c r="G822" s="49"/>
      <c r="H822" s="49"/>
      <c r="I822" s="51"/>
      <c r="J822" s="350" t="s">
        <v>825</v>
      </c>
      <c r="K822" s="351"/>
      <c r="L822" s="101"/>
      <c r="M822" s="106" t="s">
        <v>819</v>
      </c>
      <c r="N822" s="102"/>
      <c r="O822" s="102"/>
      <c r="P822" s="102"/>
      <c r="Q822" s="102"/>
      <c r="R822" s="102"/>
      <c r="S822" s="49"/>
      <c r="T822" s="49"/>
      <c r="U822" s="49"/>
      <c r="V822" s="49"/>
      <c r="W822" s="49"/>
      <c r="X822" s="49"/>
      <c r="Y822" s="49"/>
      <c r="Z822" s="49"/>
      <c r="AA822" s="49"/>
      <c r="AB822" s="49"/>
      <c r="AC822" s="49"/>
      <c r="AD822" s="49"/>
      <c r="AE822" s="49"/>
      <c r="AF822" s="49"/>
      <c r="AG822" s="49"/>
      <c r="AH822" s="49"/>
      <c r="AI822" s="49"/>
      <c r="AJ822" s="49"/>
      <c r="AK822" s="49"/>
      <c r="AL822" s="49"/>
      <c r="AM822" s="49"/>
      <c r="AN822" s="49"/>
      <c r="AO822" s="49"/>
      <c r="AP822" s="49"/>
      <c r="AQ822" s="51"/>
      <c r="AR822" s="208" t="s">
        <v>831</v>
      </c>
      <c r="AS822" s="49"/>
      <c r="AT822" s="49"/>
      <c r="AU822" s="49"/>
      <c r="AV822" s="49"/>
      <c r="AW822" s="49"/>
      <c r="AX822" s="49"/>
      <c r="AY822" s="52"/>
    </row>
    <row r="823" spans="1:53" ht="13.5" customHeight="1" thickBot="1">
      <c r="A823" s="321"/>
      <c r="B823" s="322"/>
      <c r="C823" s="323"/>
      <c r="D823" s="323"/>
      <c r="E823" s="323"/>
      <c r="F823" s="323"/>
      <c r="G823" s="323"/>
      <c r="H823" s="323"/>
      <c r="I823" s="324"/>
      <c r="J823" s="713"/>
      <c r="K823" s="714"/>
      <c r="L823" s="322"/>
      <c r="M823" s="323"/>
      <c r="N823" s="323"/>
      <c r="O823" s="323"/>
      <c r="P823" s="323"/>
      <c r="Q823" s="323"/>
      <c r="R823" s="323"/>
      <c r="S823" s="323"/>
      <c r="T823" s="323"/>
      <c r="U823" s="323"/>
      <c r="V823" s="323"/>
      <c r="W823" s="323"/>
      <c r="X823" s="323"/>
      <c r="Y823" s="323"/>
      <c r="Z823" s="323"/>
      <c r="AA823" s="323"/>
      <c r="AB823" s="323"/>
      <c r="AC823" s="323"/>
      <c r="AD823" s="323"/>
      <c r="AE823" s="323"/>
      <c r="AF823" s="323"/>
      <c r="AG823" s="323"/>
      <c r="AH823" s="323"/>
      <c r="AI823" s="323"/>
      <c r="AJ823" s="323"/>
      <c r="AK823" s="323"/>
      <c r="AL823" s="323"/>
      <c r="AM823" s="323"/>
      <c r="AN823" s="323"/>
      <c r="AO823" s="323"/>
      <c r="AP823" s="323"/>
      <c r="AQ823" s="324"/>
      <c r="AR823" s="327"/>
      <c r="AS823" s="323"/>
      <c r="AT823" s="323"/>
      <c r="AU823" s="323"/>
      <c r="AV823" s="323"/>
      <c r="AW823" s="323"/>
      <c r="AX823" s="323"/>
      <c r="AY823" s="328"/>
    </row>
    <row r="824" spans="1:53" ht="13.5" customHeight="1">
      <c r="A824" s="185">
        <v>12</v>
      </c>
      <c r="B824" s="64" t="s">
        <v>225</v>
      </c>
      <c r="C824" s="63"/>
      <c r="D824" s="63"/>
      <c r="E824" s="63"/>
      <c r="F824" s="63"/>
      <c r="G824" s="63"/>
      <c r="H824" s="63"/>
      <c r="I824" s="63"/>
      <c r="J824" s="98"/>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214"/>
      <c r="AS824" s="63"/>
      <c r="AT824" s="63"/>
      <c r="AU824" s="63"/>
      <c r="AV824" s="63"/>
      <c r="AW824" s="63"/>
      <c r="AX824" s="63"/>
      <c r="AY824" s="186"/>
    </row>
    <row r="825" spans="1:53" ht="13.5" customHeight="1">
      <c r="A825" s="56"/>
      <c r="B825" s="50"/>
      <c r="C825" s="49"/>
      <c r="D825" s="49"/>
      <c r="E825" s="49"/>
      <c r="F825" s="49"/>
      <c r="G825" s="49"/>
      <c r="H825" s="49"/>
      <c r="I825" s="51"/>
      <c r="J825" s="728" t="s">
        <v>825</v>
      </c>
      <c r="K825" s="729"/>
      <c r="L825" s="49" t="s">
        <v>815</v>
      </c>
      <c r="M825" s="102"/>
      <c r="N825" s="103"/>
      <c r="O825" s="102"/>
      <c r="P825" s="102"/>
      <c r="Q825" s="102"/>
      <c r="R825" s="102"/>
      <c r="S825" s="102"/>
      <c r="T825" s="102"/>
      <c r="U825" s="49"/>
      <c r="V825" s="49"/>
      <c r="W825" s="49"/>
      <c r="X825" s="49"/>
      <c r="Y825" s="49"/>
      <c r="Z825" s="49"/>
      <c r="AA825" s="49"/>
      <c r="AB825" s="49"/>
      <c r="AC825" s="49"/>
      <c r="AD825" s="49"/>
      <c r="AE825" s="49"/>
      <c r="AF825" s="49"/>
      <c r="AG825" s="49"/>
      <c r="AH825" s="49"/>
      <c r="AI825" s="49"/>
      <c r="AJ825" s="49"/>
      <c r="AK825" s="49"/>
      <c r="AL825" s="49"/>
      <c r="AM825" s="49"/>
      <c r="AN825" s="49"/>
      <c r="AO825" s="49"/>
      <c r="AP825" s="49"/>
      <c r="AQ825" s="51"/>
      <c r="AR825" s="208" t="s">
        <v>828</v>
      </c>
      <c r="AS825" s="49"/>
      <c r="AT825" s="49"/>
      <c r="AU825" s="49"/>
      <c r="AV825" s="49"/>
      <c r="AW825" s="49"/>
      <c r="AX825" s="49"/>
      <c r="AY825" s="52"/>
    </row>
    <row r="826" spans="1:53" ht="13.5" customHeight="1">
      <c r="A826" s="56"/>
      <c r="B826" s="50"/>
      <c r="C826" s="49"/>
      <c r="D826" s="49"/>
      <c r="E826" s="49"/>
      <c r="F826" s="49"/>
      <c r="G826" s="49"/>
      <c r="H826" s="49"/>
      <c r="I826" s="49"/>
      <c r="J826" s="658"/>
      <c r="K826" s="659"/>
      <c r="L826" s="105"/>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9"/>
      <c r="AR826" s="192"/>
      <c r="AS826" s="57"/>
      <c r="AT826" s="57"/>
      <c r="AU826" s="57"/>
      <c r="AV826" s="57"/>
      <c r="AW826" s="57"/>
      <c r="AX826" s="57"/>
      <c r="AY826" s="57"/>
    </row>
    <row r="827" spans="1:53" ht="13.5" customHeight="1">
      <c r="A827" s="56"/>
      <c r="B827" s="50"/>
      <c r="C827" s="49"/>
      <c r="D827" s="49"/>
      <c r="E827" s="49"/>
      <c r="F827" s="49"/>
      <c r="G827" s="49"/>
      <c r="H827" s="49"/>
      <c r="I827" s="51"/>
      <c r="J827" s="656" t="s">
        <v>474</v>
      </c>
      <c r="K827" s="657"/>
      <c r="L827" s="101" t="s">
        <v>245</v>
      </c>
      <c r="M827" s="102"/>
      <c r="N827" s="103"/>
      <c r="O827" s="102"/>
      <c r="P827" s="102"/>
      <c r="Q827" s="102"/>
      <c r="R827" s="102"/>
      <c r="S827" s="49"/>
      <c r="T827" s="49"/>
      <c r="U827" s="49"/>
      <c r="V827" s="49"/>
      <c r="W827" s="49"/>
      <c r="X827" s="49"/>
      <c r="Y827" s="49"/>
      <c r="Z827" s="49"/>
      <c r="AA827" s="49"/>
      <c r="AB827" s="49"/>
      <c r="AC827" s="49"/>
      <c r="AD827" s="49"/>
      <c r="AE827" s="49"/>
      <c r="AF827" s="49"/>
      <c r="AG827" s="49"/>
      <c r="AH827" s="49"/>
      <c r="AI827" s="49"/>
      <c r="AJ827" s="49"/>
      <c r="AK827" s="49"/>
      <c r="AL827" s="49"/>
      <c r="AM827" s="49"/>
      <c r="AN827" s="49"/>
      <c r="AO827" s="49"/>
      <c r="AP827" s="49"/>
      <c r="AQ827" s="51"/>
      <c r="AR827" s="208"/>
      <c r="AS827" s="49"/>
      <c r="AT827" s="49"/>
      <c r="AU827" s="49"/>
      <c r="AV827" s="49"/>
      <c r="AW827" s="49"/>
      <c r="AX827" s="49"/>
      <c r="AY827" s="52"/>
    </row>
    <row r="828" spans="1:53" ht="13.5" customHeight="1">
      <c r="A828" s="56"/>
      <c r="B828" s="50"/>
      <c r="C828" s="49"/>
      <c r="D828" s="49"/>
      <c r="E828" s="49"/>
      <c r="F828" s="49"/>
      <c r="G828" s="49"/>
      <c r="H828" s="49"/>
      <c r="I828" s="51"/>
      <c r="J828" s="350"/>
      <c r="K828" s="351"/>
      <c r="L828" s="101"/>
      <c r="M828" s="102" t="s">
        <v>109</v>
      </c>
      <c r="N828" s="102" t="s">
        <v>472</v>
      </c>
      <c r="O828" s="102"/>
      <c r="P828" s="102"/>
      <c r="Q828" s="102"/>
      <c r="R828" s="102"/>
      <c r="S828" s="49"/>
      <c r="T828" s="49"/>
      <c r="U828" s="49"/>
      <c r="V828" s="49"/>
      <c r="W828" s="49"/>
      <c r="X828" s="49"/>
      <c r="Y828" s="46"/>
      <c r="Z828" s="49"/>
      <c r="AA828" s="49"/>
      <c r="AB828" s="49"/>
      <c r="AC828" s="49"/>
      <c r="AD828" s="49"/>
      <c r="AE828" s="49"/>
      <c r="AF828" s="49"/>
      <c r="AG828" s="49"/>
      <c r="AH828" s="49"/>
      <c r="AI828" s="49"/>
      <c r="AJ828" s="49"/>
      <c r="AK828" s="49"/>
      <c r="AL828" s="49"/>
      <c r="AM828" s="49"/>
      <c r="AN828" s="49"/>
      <c r="AO828" s="49"/>
      <c r="AP828" s="49"/>
      <c r="AQ828" s="51"/>
      <c r="AR828" s="208" t="s">
        <v>811</v>
      </c>
      <c r="AS828" s="49"/>
      <c r="AT828" s="49"/>
      <c r="AU828" s="49"/>
      <c r="AV828" s="49"/>
      <c r="AW828" s="49"/>
      <c r="AX828" s="49"/>
      <c r="AY828" s="52" t="s">
        <v>276</v>
      </c>
    </row>
    <row r="829" spans="1:53" ht="13.5" customHeight="1">
      <c r="A829" s="56"/>
      <c r="B829" s="50"/>
      <c r="C829" s="49"/>
      <c r="D829" s="49"/>
      <c r="E829" s="49"/>
      <c r="F829" s="49"/>
      <c r="G829" s="49"/>
      <c r="H829" s="49"/>
      <c r="I829" s="51"/>
      <c r="J829" s="350"/>
      <c r="K829" s="351"/>
      <c r="L829" s="101"/>
      <c r="M829" s="102"/>
      <c r="N829" s="103" t="s">
        <v>473</v>
      </c>
      <c r="O829" s="102"/>
      <c r="P829" s="102"/>
      <c r="Q829" s="102"/>
      <c r="R829" s="102"/>
      <c r="S829" s="49"/>
      <c r="T829" s="49"/>
      <c r="U829" s="49"/>
      <c r="V829" s="49"/>
      <c r="W829" s="49"/>
      <c r="X829" s="49"/>
      <c r="Y829" s="49"/>
      <c r="Z829" s="49"/>
      <c r="AA829" s="49"/>
      <c r="AB829" s="49"/>
      <c r="AC829" s="49"/>
      <c r="AD829" s="49"/>
      <c r="AE829" s="49"/>
      <c r="AF829" s="49"/>
      <c r="AG829" s="49"/>
      <c r="AH829" s="49"/>
      <c r="AI829" s="49"/>
      <c r="AJ829" s="49"/>
      <c r="AK829" s="49"/>
      <c r="AL829" s="49"/>
      <c r="AM829" s="49"/>
      <c r="AN829" s="49"/>
      <c r="AO829" s="49"/>
      <c r="AP829" s="49"/>
      <c r="AQ829" s="51"/>
      <c r="AR829" s="208"/>
      <c r="AS829" s="49"/>
      <c r="AT829" s="49"/>
      <c r="AU829" s="49"/>
      <c r="AV829" s="49"/>
      <c r="AW829" s="49"/>
      <c r="AX829" s="49"/>
      <c r="AY829" s="52" t="s">
        <v>276</v>
      </c>
    </row>
    <row r="830" spans="1:53" ht="13.5" customHeight="1">
      <c r="A830" s="56"/>
      <c r="B830" s="50"/>
      <c r="C830" s="49"/>
      <c r="D830" s="49"/>
      <c r="E830" s="49"/>
      <c r="F830" s="49"/>
      <c r="G830" s="49"/>
      <c r="H830" s="49"/>
      <c r="I830" s="51"/>
      <c r="J830" s="350"/>
      <c r="K830" s="351"/>
      <c r="L830" s="101"/>
      <c r="M830" s="102"/>
      <c r="N830" s="103"/>
      <c r="O830" s="102" t="s">
        <v>766</v>
      </c>
      <c r="P830" s="102"/>
      <c r="Q830" s="102"/>
      <c r="R830" s="102"/>
      <c r="S830" s="49"/>
      <c r="T830" s="49"/>
      <c r="U830" s="49"/>
      <c r="V830" s="49"/>
      <c r="W830" s="49"/>
      <c r="X830" s="49"/>
      <c r="Y830" s="49"/>
      <c r="Z830" s="49"/>
      <c r="AA830" s="49"/>
      <c r="AB830" s="49"/>
      <c r="AC830" s="49"/>
      <c r="AD830" s="49"/>
      <c r="AE830" s="49"/>
      <c r="AF830" s="49"/>
      <c r="AG830" s="49"/>
      <c r="AH830" s="49"/>
      <c r="AI830" s="49"/>
      <c r="AJ830" s="49"/>
      <c r="AK830" s="49"/>
      <c r="AL830" s="49"/>
      <c r="AM830" s="49"/>
      <c r="AN830" s="49"/>
      <c r="AO830" s="49"/>
      <c r="AP830" s="49"/>
      <c r="AQ830" s="51"/>
      <c r="AR830" s="208"/>
      <c r="AS830" s="49"/>
      <c r="AT830" s="49"/>
      <c r="AU830" s="49"/>
      <c r="AV830" s="49"/>
      <c r="AW830" s="49"/>
      <c r="AX830" s="49"/>
      <c r="AY830" s="52"/>
    </row>
    <row r="831" spans="1:53" ht="13.5" customHeight="1">
      <c r="A831" s="56"/>
      <c r="B831" s="50"/>
      <c r="C831" s="49"/>
      <c r="D831" s="49"/>
      <c r="E831" s="49"/>
      <c r="F831" s="49"/>
      <c r="G831" s="49"/>
      <c r="H831" s="49"/>
      <c r="I831" s="51"/>
      <c r="J831" s="350"/>
      <c r="K831" s="351"/>
      <c r="L831" s="101"/>
      <c r="M831" s="102"/>
      <c r="N831" s="103"/>
      <c r="O831" s="102" t="s">
        <v>767</v>
      </c>
      <c r="P831" s="102"/>
      <c r="Q831" s="102"/>
      <c r="R831" s="102"/>
      <c r="S831" s="49"/>
      <c r="T831" s="49"/>
      <c r="U831" s="49"/>
      <c r="V831" s="49"/>
      <c r="W831" s="49"/>
      <c r="X831" s="49"/>
      <c r="Y831" s="49"/>
      <c r="Z831" s="49"/>
      <c r="AA831" s="49"/>
      <c r="AB831" s="49"/>
      <c r="AC831" s="49"/>
      <c r="AD831" s="49"/>
      <c r="AE831" s="49"/>
      <c r="AF831" s="49"/>
      <c r="AG831" s="49"/>
      <c r="AH831" s="49"/>
      <c r="AI831" s="49"/>
      <c r="AJ831" s="49"/>
      <c r="AK831" s="49"/>
      <c r="AL831" s="49"/>
      <c r="AM831" s="49"/>
      <c r="AN831" s="49"/>
      <c r="AO831" s="49"/>
      <c r="AP831" s="49"/>
      <c r="AQ831" s="51"/>
      <c r="AR831" s="208"/>
      <c r="AS831" s="49"/>
      <c r="AT831" s="49"/>
      <c r="AU831" s="49"/>
      <c r="AV831" s="49"/>
      <c r="AW831" s="49"/>
      <c r="AX831" s="49"/>
      <c r="AY831" s="52"/>
    </row>
    <row r="832" spans="1:53" ht="13.5" customHeight="1">
      <c r="A832" s="56"/>
      <c r="B832" s="50"/>
      <c r="C832" s="49"/>
      <c r="D832" s="49"/>
      <c r="E832" s="49"/>
      <c r="F832" s="49"/>
      <c r="G832" s="49"/>
      <c r="H832" s="49"/>
      <c r="I832" s="51"/>
      <c r="J832" s="350"/>
      <c r="K832" s="351"/>
      <c r="L832" s="101"/>
      <c r="M832" s="102"/>
      <c r="N832" s="103"/>
      <c r="O832" s="102"/>
      <c r="P832" s="102"/>
      <c r="Q832" s="102"/>
      <c r="R832" s="102"/>
      <c r="S832" s="49"/>
      <c r="T832" s="49"/>
      <c r="U832" s="49"/>
      <c r="V832" s="49"/>
      <c r="W832" s="49"/>
      <c r="X832" s="49"/>
      <c r="Y832" s="49"/>
      <c r="Z832" s="49"/>
      <c r="AA832" s="49"/>
      <c r="AB832" s="49"/>
      <c r="AC832" s="49"/>
      <c r="AD832" s="49"/>
      <c r="AE832" s="49"/>
      <c r="AF832" s="49"/>
      <c r="AG832" s="49"/>
      <c r="AH832" s="49"/>
      <c r="AI832" s="49"/>
      <c r="AJ832" s="49"/>
      <c r="AK832" s="49"/>
      <c r="AL832" s="49"/>
      <c r="AM832" s="49"/>
      <c r="AN832" s="49"/>
      <c r="AO832" s="49"/>
      <c r="AP832" s="49"/>
      <c r="AQ832" s="51"/>
      <c r="AR832" s="208"/>
      <c r="AS832" s="49"/>
      <c r="AT832" s="49"/>
      <c r="AU832" s="49"/>
      <c r="AV832" s="49"/>
      <c r="AW832" s="49"/>
      <c r="AX832" s="49"/>
      <c r="AY832" s="52"/>
    </row>
    <row r="833" spans="1:53" ht="13.5" customHeight="1">
      <c r="A833" s="56"/>
      <c r="B833" s="50"/>
      <c r="C833" s="49"/>
      <c r="D833" s="49"/>
      <c r="E833" s="49"/>
      <c r="F833" s="49"/>
      <c r="G833" s="49"/>
      <c r="H833" s="49"/>
      <c r="I833" s="51"/>
      <c r="J833" s="350"/>
      <c r="K833" s="351"/>
      <c r="L833" s="101" t="s">
        <v>271</v>
      </c>
      <c r="M833" s="102"/>
      <c r="N833" s="103"/>
      <c r="O833" s="102"/>
      <c r="P833" s="102"/>
      <c r="Q833" s="102"/>
      <c r="R833" s="102"/>
      <c r="S833" s="49"/>
      <c r="T833" s="49"/>
      <c r="U833" s="49"/>
      <c r="V833" s="49"/>
      <c r="W833" s="49"/>
      <c r="X833" s="49"/>
      <c r="Y833" s="49"/>
      <c r="Z833" s="49"/>
      <c r="AA833" s="49"/>
      <c r="AB833" s="49"/>
      <c r="AC833" s="49"/>
      <c r="AD833" s="49"/>
      <c r="AE833" s="49"/>
      <c r="AF833" s="49"/>
      <c r="AG833" s="49"/>
      <c r="AH833" s="49"/>
      <c r="AI833" s="49"/>
      <c r="AJ833" s="49"/>
      <c r="AK833" s="49"/>
      <c r="AL833" s="49"/>
      <c r="AM833" s="49"/>
      <c r="AN833" s="49"/>
      <c r="AO833" s="49"/>
      <c r="AP833" s="49"/>
      <c r="AQ833" s="51"/>
      <c r="AR833" s="208" t="s">
        <v>57</v>
      </c>
      <c r="AS833" s="49"/>
      <c r="AT833" s="49"/>
      <c r="AU833" s="49"/>
      <c r="AV833" s="49"/>
      <c r="AW833" s="49"/>
      <c r="AX833" s="49"/>
      <c r="AY833" s="52"/>
    </row>
    <row r="834" spans="1:53" ht="13.5" customHeight="1">
      <c r="A834" s="56"/>
      <c r="B834" s="50"/>
      <c r="C834" s="49"/>
      <c r="D834" s="49"/>
      <c r="E834" s="49"/>
      <c r="F834" s="49"/>
      <c r="G834" s="49"/>
      <c r="H834" s="49"/>
      <c r="I834" s="51"/>
      <c r="J834" s="350"/>
      <c r="K834" s="351"/>
      <c r="L834" s="101"/>
      <c r="M834" s="102"/>
      <c r="N834" s="103"/>
      <c r="O834" s="102"/>
      <c r="P834" s="102"/>
      <c r="Q834" s="102"/>
      <c r="R834" s="102"/>
      <c r="S834" s="49"/>
      <c r="T834" s="49"/>
      <c r="U834" s="49"/>
      <c r="V834" s="49"/>
      <c r="W834" s="49"/>
      <c r="X834" s="49"/>
      <c r="Y834" s="49"/>
      <c r="Z834" s="49"/>
      <c r="AA834" s="49"/>
      <c r="AB834" s="49"/>
      <c r="AC834" s="49"/>
      <c r="AD834" s="49"/>
      <c r="AE834" s="49"/>
      <c r="AF834" s="49"/>
      <c r="AG834" s="49"/>
      <c r="AH834" s="49"/>
      <c r="AI834" s="49"/>
      <c r="AJ834" s="49"/>
      <c r="AK834" s="49"/>
      <c r="AL834" s="49"/>
      <c r="AM834" s="49"/>
      <c r="AN834" s="49"/>
      <c r="AO834" s="49"/>
      <c r="AP834" s="49"/>
      <c r="AQ834" s="51"/>
      <c r="AR834" s="208" t="s">
        <v>246</v>
      </c>
      <c r="AS834" s="49"/>
      <c r="AT834" s="49"/>
      <c r="AU834" s="49"/>
      <c r="AV834" s="49"/>
      <c r="AW834" s="49"/>
      <c r="AX834" s="49"/>
      <c r="AY834" s="52"/>
    </row>
    <row r="835" spans="1:53" ht="13.5" customHeight="1">
      <c r="A835" s="56"/>
      <c r="B835" s="50"/>
      <c r="C835" s="49"/>
      <c r="D835" s="49"/>
      <c r="E835" s="49"/>
      <c r="F835" s="49"/>
      <c r="G835" s="49"/>
      <c r="H835" s="49"/>
      <c r="I835" s="51"/>
      <c r="J835" s="363"/>
      <c r="K835" s="364"/>
      <c r="L835" s="101"/>
      <c r="M835" s="102"/>
      <c r="N835" s="103"/>
      <c r="O835" s="102"/>
      <c r="P835" s="102"/>
      <c r="Q835" s="102"/>
      <c r="R835" s="102"/>
      <c r="S835" s="49"/>
      <c r="T835" s="49"/>
      <c r="U835" s="49"/>
      <c r="V835" s="49"/>
      <c r="W835" s="49"/>
      <c r="X835" s="49"/>
      <c r="Y835" s="49"/>
      <c r="Z835" s="49"/>
      <c r="AA835" s="49"/>
      <c r="AB835" s="49"/>
      <c r="AC835" s="49"/>
      <c r="AD835" s="49"/>
      <c r="AE835" s="49"/>
      <c r="AF835" s="49"/>
      <c r="AG835" s="49"/>
      <c r="AH835" s="49"/>
      <c r="AI835" s="49"/>
      <c r="AJ835" s="49"/>
      <c r="AK835" s="49"/>
      <c r="AL835" s="49"/>
      <c r="AM835" s="49"/>
      <c r="AN835" s="49"/>
      <c r="AO835" s="49"/>
      <c r="AP835" s="49"/>
      <c r="AQ835" s="51"/>
      <c r="AR835" s="208"/>
      <c r="AS835" s="49"/>
      <c r="AT835" s="49"/>
      <c r="AU835" s="49"/>
      <c r="AV835" s="49"/>
      <c r="AW835" s="49"/>
      <c r="AX835" s="49"/>
      <c r="AY835" s="52"/>
    </row>
    <row r="836" spans="1:53" ht="13.5" customHeight="1">
      <c r="A836" s="56"/>
      <c r="B836" s="50"/>
      <c r="C836" s="49"/>
      <c r="D836" s="49"/>
      <c r="E836" s="49"/>
      <c r="F836" s="49"/>
      <c r="G836" s="49"/>
      <c r="H836" s="49"/>
      <c r="I836" s="51"/>
      <c r="J836" s="363"/>
      <c r="K836" s="364"/>
      <c r="L836" s="101" t="s">
        <v>870</v>
      </c>
      <c r="M836" s="102"/>
      <c r="N836" s="103"/>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c r="AN836" s="102"/>
      <c r="AO836" s="102"/>
      <c r="AP836" s="102"/>
      <c r="AQ836" s="51"/>
      <c r="AR836" s="208" t="s">
        <v>57</v>
      </c>
      <c r="AS836" s="49"/>
      <c r="AT836" s="49"/>
      <c r="AU836" s="49"/>
      <c r="AV836" s="49"/>
      <c r="AW836" s="49"/>
      <c r="AX836" s="49"/>
      <c r="AY836" s="52"/>
      <c r="BA836" s="23">
        <v>2.1</v>
      </c>
    </row>
    <row r="837" spans="1:53" ht="13.5" customHeight="1">
      <c r="A837" s="56"/>
      <c r="B837" s="50"/>
      <c r="C837" s="49"/>
      <c r="D837" s="49"/>
      <c r="E837" s="49"/>
      <c r="F837" s="49"/>
      <c r="G837" s="49"/>
      <c r="H837" s="49"/>
      <c r="I837" s="51"/>
      <c r="J837" s="363"/>
      <c r="K837" s="364"/>
      <c r="L837" s="520"/>
      <c r="M837" s="505" t="s">
        <v>869</v>
      </c>
      <c r="N837" s="543"/>
      <c r="O837" s="505"/>
      <c r="P837" s="505"/>
      <c r="Q837" s="505"/>
      <c r="R837" s="505"/>
      <c r="S837" s="505"/>
      <c r="T837" s="505"/>
      <c r="U837" s="505"/>
      <c r="V837" s="505"/>
      <c r="W837" s="505"/>
      <c r="X837" s="505"/>
      <c r="Y837" s="505"/>
      <c r="Z837" s="505"/>
      <c r="AA837" s="505"/>
      <c r="AB837" s="505"/>
      <c r="AC837" s="505"/>
      <c r="AD837" s="505"/>
      <c r="AE837" s="505"/>
      <c r="AF837" s="505"/>
      <c r="AG837" s="102"/>
      <c r="AH837" s="102"/>
      <c r="AI837" s="102"/>
      <c r="AJ837" s="102"/>
      <c r="AK837" s="102"/>
      <c r="AL837" s="102"/>
      <c r="AM837" s="102"/>
      <c r="AN837" s="102"/>
      <c r="AO837" s="102"/>
      <c r="AP837" s="102"/>
      <c r="AQ837" s="51"/>
      <c r="AR837" s="208" t="s">
        <v>859</v>
      </c>
      <c r="AS837" s="49"/>
      <c r="AT837" s="49"/>
      <c r="AU837" s="49"/>
      <c r="AV837" s="49"/>
      <c r="AW837" s="49"/>
      <c r="AX837" s="49"/>
      <c r="AY837" s="52"/>
      <c r="BA837" s="23">
        <v>2.1</v>
      </c>
    </row>
    <row r="838" spans="1:53" ht="13.5" customHeight="1">
      <c r="A838" s="56"/>
      <c r="B838" s="50"/>
      <c r="C838" s="49"/>
      <c r="D838" s="49"/>
      <c r="E838" s="49"/>
      <c r="F838" s="49"/>
      <c r="G838" s="49"/>
      <c r="H838" s="49"/>
      <c r="I838" s="51"/>
      <c r="J838" s="363"/>
      <c r="K838" s="364"/>
      <c r="L838" s="520"/>
      <c r="M838" s="505"/>
      <c r="N838" s="527" t="s">
        <v>854</v>
      </c>
      <c r="O838" s="505"/>
      <c r="P838" s="505"/>
      <c r="Q838" s="505"/>
      <c r="R838" s="505"/>
      <c r="S838" s="505"/>
      <c r="T838" s="505"/>
      <c r="U838" s="505"/>
      <c r="V838" s="505"/>
      <c r="W838" s="505"/>
      <c r="X838" s="505"/>
      <c r="Y838" s="505"/>
      <c r="Z838" s="505"/>
      <c r="AA838" s="505"/>
      <c r="AB838" s="505"/>
      <c r="AC838" s="505"/>
      <c r="AD838" s="505"/>
      <c r="AE838" s="505"/>
      <c r="AF838" s="505"/>
      <c r="AG838" s="102"/>
      <c r="AH838" s="102"/>
      <c r="AI838" s="102"/>
      <c r="AJ838" s="102"/>
      <c r="AK838" s="102"/>
      <c r="AL838" s="102"/>
      <c r="AM838" s="102"/>
      <c r="AN838" s="102"/>
      <c r="AO838" s="102"/>
      <c r="AP838" s="102"/>
      <c r="AQ838" s="51"/>
      <c r="AR838" s="208"/>
      <c r="AS838" s="49"/>
      <c r="AT838" s="49"/>
      <c r="AU838" s="49"/>
      <c r="AV838" s="49"/>
      <c r="AW838" s="49"/>
      <c r="AX838" s="49"/>
      <c r="AY838" s="52"/>
      <c r="BA838" s="23">
        <v>2.1</v>
      </c>
    </row>
    <row r="839" spans="1:53" ht="13.5" customHeight="1">
      <c r="A839" s="56"/>
      <c r="B839" s="50"/>
      <c r="C839" s="49"/>
      <c r="D839" s="49"/>
      <c r="E839" s="49"/>
      <c r="F839" s="49"/>
      <c r="G839" s="49"/>
      <c r="H839" s="49"/>
      <c r="I839" s="51"/>
      <c r="J839" s="363"/>
      <c r="K839" s="364"/>
      <c r="L839" s="520"/>
      <c r="M839" s="505"/>
      <c r="N839" s="505"/>
      <c r="O839" s="505" t="s">
        <v>852</v>
      </c>
      <c r="P839" s="505"/>
      <c r="Q839" s="505"/>
      <c r="R839" s="505"/>
      <c r="S839" s="505"/>
      <c r="T839" s="505"/>
      <c r="U839" s="505"/>
      <c r="V839" s="505"/>
      <c r="W839" s="505"/>
      <c r="X839" s="505"/>
      <c r="Y839" s="505"/>
      <c r="Z839" s="505"/>
      <c r="AA839" s="505"/>
      <c r="AB839" s="505"/>
      <c r="AC839" s="505"/>
      <c r="AD839" s="505"/>
      <c r="AE839" s="505"/>
      <c r="AF839" s="505"/>
      <c r="AG839" s="102"/>
      <c r="AH839" s="102"/>
      <c r="AI839" s="102"/>
      <c r="AJ839" s="102"/>
      <c r="AK839" s="102"/>
      <c r="AL839" s="102"/>
      <c r="AM839" s="102"/>
      <c r="AN839" s="102"/>
      <c r="AO839" s="102"/>
      <c r="AP839" s="102"/>
      <c r="AQ839" s="51"/>
      <c r="AR839" s="208"/>
      <c r="AS839" s="49"/>
      <c r="AT839" s="49"/>
      <c r="AU839" s="49"/>
      <c r="AV839" s="49"/>
      <c r="AW839" s="49"/>
      <c r="AX839" s="49"/>
      <c r="AY839" s="52"/>
      <c r="BA839" s="23">
        <v>2.1</v>
      </c>
    </row>
    <row r="840" spans="1:53" ht="13.5" customHeight="1">
      <c r="A840" s="56"/>
      <c r="B840" s="50"/>
      <c r="C840" s="49"/>
      <c r="D840" s="49"/>
      <c r="E840" s="49"/>
      <c r="F840" s="49"/>
      <c r="G840" s="49"/>
      <c r="H840" s="49"/>
      <c r="I840" s="51"/>
      <c r="J840" s="363"/>
      <c r="K840" s="364"/>
      <c r="L840" s="520"/>
      <c r="M840" s="505"/>
      <c r="N840" s="527" t="s">
        <v>450</v>
      </c>
      <c r="O840" s="505"/>
      <c r="P840" s="505"/>
      <c r="Q840" s="505"/>
      <c r="R840" s="505"/>
      <c r="S840" s="505"/>
      <c r="T840" s="505"/>
      <c r="U840" s="505"/>
      <c r="V840" s="505"/>
      <c r="W840" s="505"/>
      <c r="X840" s="505"/>
      <c r="Y840" s="505"/>
      <c r="Z840" s="505"/>
      <c r="AA840" s="505"/>
      <c r="AB840" s="505"/>
      <c r="AC840" s="505"/>
      <c r="AD840" s="505"/>
      <c r="AE840" s="505"/>
      <c r="AF840" s="505"/>
      <c r="AG840" s="102"/>
      <c r="AH840" s="102"/>
      <c r="AI840" s="102"/>
      <c r="AJ840" s="102"/>
      <c r="AK840" s="102"/>
      <c r="AL840" s="102"/>
      <c r="AM840" s="102"/>
      <c r="AN840" s="102"/>
      <c r="AO840" s="102"/>
      <c r="AP840" s="102"/>
      <c r="AQ840" s="51"/>
      <c r="AR840" s="208"/>
      <c r="AS840" s="49"/>
      <c r="AT840" s="49"/>
      <c r="AU840" s="49"/>
      <c r="AV840" s="49"/>
      <c r="AW840" s="49"/>
      <c r="AX840" s="49"/>
      <c r="AY840" s="52"/>
      <c r="BA840" s="23">
        <v>2.1</v>
      </c>
    </row>
    <row r="841" spans="1:53" ht="13.5" customHeight="1">
      <c r="A841" s="56"/>
      <c r="B841" s="50"/>
      <c r="C841" s="49"/>
      <c r="D841" s="49"/>
      <c r="E841" s="49"/>
      <c r="F841" s="49"/>
      <c r="G841" s="49"/>
      <c r="H841" s="49"/>
      <c r="I841" s="51"/>
      <c r="J841" s="363"/>
      <c r="K841" s="364"/>
      <c r="L841" s="520"/>
      <c r="M841" s="505"/>
      <c r="N841" s="542"/>
      <c r="O841" s="505" t="s">
        <v>853</v>
      </c>
      <c r="P841" s="505"/>
      <c r="Q841" s="505"/>
      <c r="R841" s="505"/>
      <c r="S841" s="505"/>
      <c r="T841" s="505"/>
      <c r="U841" s="505"/>
      <c r="V841" s="505"/>
      <c r="W841" s="505"/>
      <c r="X841" s="505"/>
      <c r="Y841" s="505"/>
      <c r="Z841" s="505"/>
      <c r="AA841" s="505"/>
      <c r="AB841" s="505"/>
      <c r="AC841" s="505"/>
      <c r="AD841" s="505"/>
      <c r="AE841" s="505"/>
      <c r="AF841" s="505"/>
      <c r="AG841" s="102"/>
      <c r="AH841" s="102"/>
      <c r="AI841" s="102"/>
      <c r="AJ841" s="102"/>
      <c r="AK841" s="102"/>
      <c r="AL841" s="102"/>
      <c r="AM841" s="102"/>
      <c r="AN841" s="102"/>
      <c r="AO841" s="102"/>
      <c r="AP841" s="102"/>
      <c r="AQ841" s="51"/>
      <c r="AR841" s="208"/>
      <c r="AS841" s="49"/>
      <c r="AT841" s="49"/>
      <c r="AU841" s="49"/>
      <c r="AV841" s="49"/>
      <c r="AW841" s="49"/>
      <c r="AX841" s="49"/>
      <c r="AY841" s="52"/>
      <c r="BA841" s="23">
        <v>2.1</v>
      </c>
    </row>
    <row r="842" spans="1:53" ht="13.5" customHeight="1">
      <c r="A842" s="56"/>
      <c r="B842" s="50"/>
      <c r="C842" s="49"/>
      <c r="D842" s="49"/>
      <c r="E842" s="49"/>
      <c r="F842" s="49"/>
      <c r="G842" s="49"/>
      <c r="H842" s="49"/>
      <c r="I842" s="51"/>
      <c r="J842" s="363"/>
      <c r="K842" s="364"/>
      <c r="L842" s="520"/>
      <c r="M842" s="505"/>
      <c r="N842" s="527" t="s">
        <v>452</v>
      </c>
      <c r="O842" s="505"/>
      <c r="P842" s="505"/>
      <c r="Q842" s="505"/>
      <c r="R842" s="505"/>
      <c r="S842" s="505"/>
      <c r="T842" s="505"/>
      <c r="U842" s="505"/>
      <c r="V842" s="505"/>
      <c r="W842" s="505"/>
      <c r="X842" s="505"/>
      <c r="Y842" s="505"/>
      <c r="Z842" s="505"/>
      <c r="AA842" s="505"/>
      <c r="AB842" s="505"/>
      <c r="AC842" s="505"/>
      <c r="AD842" s="505"/>
      <c r="AE842" s="505"/>
      <c r="AF842" s="505"/>
      <c r="AG842" s="102"/>
      <c r="AH842" s="102"/>
      <c r="AI842" s="102"/>
      <c r="AJ842" s="102"/>
      <c r="AK842" s="102"/>
      <c r="AL842" s="102"/>
      <c r="AM842" s="102"/>
      <c r="AN842" s="102"/>
      <c r="AO842" s="102"/>
      <c r="AP842" s="102"/>
      <c r="AQ842" s="51"/>
      <c r="AR842" s="208"/>
      <c r="AS842" s="49"/>
      <c r="AT842" s="49"/>
      <c r="AU842" s="49"/>
      <c r="AV842" s="49"/>
      <c r="AW842" s="49"/>
      <c r="AX842" s="49"/>
      <c r="AY842" s="52"/>
      <c r="BA842" s="23">
        <v>2.1</v>
      </c>
    </row>
    <row r="843" spans="1:53" ht="13.5" customHeight="1">
      <c r="A843" s="56"/>
      <c r="B843" s="50"/>
      <c r="C843" s="49"/>
      <c r="D843" s="49"/>
      <c r="E843" s="49"/>
      <c r="F843" s="49"/>
      <c r="G843" s="49"/>
      <c r="H843" s="49"/>
      <c r="I843" s="51"/>
      <c r="J843" s="363"/>
      <c r="K843" s="364"/>
      <c r="L843" s="520"/>
      <c r="M843" s="505"/>
      <c r="N843" s="527"/>
      <c r="O843" s="505" t="s">
        <v>855</v>
      </c>
      <c r="P843" s="505"/>
      <c r="Q843" s="505"/>
      <c r="R843" s="505"/>
      <c r="S843" s="505"/>
      <c r="T843" s="505"/>
      <c r="U843" s="505"/>
      <c r="V843" s="505"/>
      <c r="W843" s="505"/>
      <c r="X843" s="505"/>
      <c r="Y843" s="505"/>
      <c r="Z843" s="505"/>
      <c r="AA843" s="505"/>
      <c r="AB843" s="505"/>
      <c r="AC843" s="505"/>
      <c r="AD843" s="505"/>
      <c r="AE843" s="505"/>
      <c r="AF843" s="505"/>
      <c r="AG843" s="102"/>
      <c r="AH843" s="102"/>
      <c r="AI843" s="102"/>
      <c r="AJ843" s="102"/>
      <c r="AK843" s="102"/>
      <c r="AL843" s="102"/>
      <c r="AM843" s="102"/>
      <c r="AN843" s="102"/>
      <c r="AO843" s="102"/>
      <c r="AP843" s="102"/>
      <c r="AQ843" s="51"/>
      <c r="AR843" s="208"/>
      <c r="AS843" s="49"/>
      <c r="AT843" s="49"/>
      <c r="AU843" s="49"/>
      <c r="AV843" s="49"/>
      <c r="AW843" s="49"/>
      <c r="AX843" s="49"/>
      <c r="AY843" s="52"/>
      <c r="BA843" s="23">
        <v>2.1</v>
      </c>
    </row>
    <row r="844" spans="1:53" ht="13.5" customHeight="1">
      <c r="A844" s="56"/>
      <c r="B844" s="50"/>
      <c r="C844" s="49"/>
      <c r="D844" s="49"/>
      <c r="E844" s="49"/>
      <c r="F844" s="49"/>
      <c r="G844" s="49"/>
      <c r="H844" s="49"/>
      <c r="I844" s="51"/>
      <c r="J844" s="363"/>
      <c r="K844" s="364"/>
      <c r="L844" s="520"/>
      <c r="M844" s="505"/>
      <c r="N844" s="527"/>
      <c r="O844" s="505" t="s">
        <v>856</v>
      </c>
      <c r="P844" s="505"/>
      <c r="Q844" s="505"/>
      <c r="R844" s="505"/>
      <c r="S844" s="505"/>
      <c r="T844" s="505"/>
      <c r="U844" s="505"/>
      <c r="V844" s="505"/>
      <c r="W844" s="505"/>
      <c r="X844" s="505"/>
      <c r="Y844" s="505"/>
      <c r="Z844" s="505"/>
      <c r="AA844" s="505"/>
      <c r="AB844" s="505"/>
      <c r="AC844" s="505"/>
      <c r="AD844" s="505"/>
      <c r="AE844" s="505"/>
      <c r="AF844" s="505"/>
      <c r="AG844" s="102"/>
      <c r="AH844" s="102"/>
      <c r="AI844" s="102"/>
      <c r="AJ844" s="102"/>
      <c r="AK844" s="102"/>
      <c r="AL844" s="102"/>
      <c r="AM844" s="102"/>
      <c r="AN844" s="102"/>
      <c r="AO844" s="102"/>
      <c r="AP844" s="102"/>
      <c r="AQ844" s="51"/>
      <c r="AR844" s="208"/>
      <c r="AS844" s="49"/>
      <c r="AT844" s="49"/>
      <c r="AU844" s="49"/>
      <c r="AV844" s="49"/>
      <c r="AW844" s="49"/>
      <c r="AX844" s="49"/>
      <c r="AY844" s="52"/>
      <c r="BA844" s="23">
        <v>2.1</v>
      </c>
    </row>
    <row r="845" spans="1:53" ht="13.5" customHeight="1">
      <c r="A845" s="56"/>
      <c r="B845" s="50"/>
      <c r="C845" s="49"/>
      <c r="D845" s="49"/>
      <c r="E845" s="49"/>
      <c r="F845" s="49"/>
      <c r="G845" s="49"/>
      <c r="H845" s="49"/>
      <c r="I845" s="51"/>
      <c r="J845" s="363"/>
      <c r="K845" s="364"/>
      <c r="L845" s="520"/>
      <c r="M845" s="505"/>
      <c r="N845" s="527"/>
      <c r="O845" s="505" t="s">
        <v>857</v>
      </c>
      <c r="P845" s="505"/>
      <c r="Q845" s="505"/>
      <c r="R845" s="505"/>
      <c r="S845" s="505"/>
      <c r="T845" s="505"/>
      <c r="U845" s="505"/>
      <c r="V845" s="505"/>
      <c r="W845" s="505"/>
      <c r="X845" s="505"/>
      <c r="Y845" s="505"/>
      <c r="Z845" s="505"/>
      <c r="AA845" s="505"/>
      <c r="AB845" s="505"/>
      <c r="AC845" s="505"/>
      <c r="AD845" s="505"/>
      <c r="AE845" s="505"/>
      <c r="AF845" s="505"/>
      <c r="AG845" s="102"/>
      <c r="AH845" s="102"/>
      <c r="AI845" s="102"/>
      <c r="AJ845" s="102"/>
      <c r="AK845" s="102"/>
      <c r="AL845" s="102"/>
      <c r="AM845" s="102"/>
      <c r="AN845" s="102"/>
      <c r="AO845" s="102"/>
      <c r="AP845" s="102"/>
      <c r="AQ845" s="51"/>
      <c r="AR845" s="208"/>
      <c r="AS845" s="49"/>
      <c r="AT845" s="49"/>
      <c r="AU845" s="49"/>
      <c r="AV845" s="49"/>
      <c r="AW845" s="49"/>
      <c r="AX845" s="49"/>
      <c r="AY845" s="52"/>
      <c r="BA845" s="23">
        <v>2.1</v>
      </c>
    </row>
    <row r="846" spans="1:53" ht="13.5" customHeight="1">
      <c r="A846" s="56"/>
      <c r="B846" s="50"/>
      <c r="C846" s="49"/>
      <c r="D846" s="49"/>
      <c r="E846" s="49"/>
      <c r="F846" s="49"/>
      <c r="G846" s="49"/>
      <c r="H846" s="49"/>
      <c r="I846" s="51"/>
      <c r="J846" s="363"/>
      <c r="K846" s="364"/>
      <c r="L846" s="520"/>
      <c r="M846" s="505"/>
      <c r="N846" s="527"/>
      <c r="O846" s="505" t="s">
        <v>858</v>
      </c>
      <c r="P846" s="505"/>
      <c r="Q846" s="505"/>
      <c r="R846" s="505"/>
      <c r="S846" s="505"/>
      <c r="T846" s="505"/>
      <c r="U846" s="505"/>
      <c r="V846" s="505"/>
      <c r="W846" s="505"/>
      <c r="X846" s="505"/>
      <c r="Y846" s="505"/>
      <c r="Z846" s="505"/>
      <c r="AA846" s="505"/>
      <c r="AB846" s="505"/>
      <c r="AC846" s="505"/>
      <c r="AD846" s="505"/>
      <c r="AE846" s="505"/>
      <c r="AF846" s="505"/>
      <c r="AG846" s="102"/>
      <c r="AH846" s="102"/>
      <c r="AI846" s="102"/>
      <c r="AJ846" s="102"/>
      <c r="AK846" s="102"/>
      <c r="AL846" s="102"/>
      <c r="AM846" s="102"/>
      <c r="AN846" s="102"/>
      <c r="AO846" s="102"/>
      <c r="AP846" s="102"/>
      <c r="AQ846" s="51"/>
      <c r="AR846" s="208"/>
      <c r="AS846" s="49"/>
      <c r="AT846" s="49"/>
      <c r="AU846" s="49"/>
      <c r="AV846" s="49"/>
      <c r="AW846" s="49"/>
      <c r="AX846" s="49"/>
      <c r="AY846" s="52"/>
      <c r="BA846" s="23">
        <v>2.1</v>
      </c>
    </row>
    <row r="847" spans="1:53" ht="13.5" customHeight="1">
      <c r="A847" s="56"/>
      <c r="B847" s="50"/>
      <c r="C847" s="49"/>
      <c r="D847" s="49"/>
      <c r="E847" s="49"/>
      <c r="F847" s="49"/>
      <c r="G847" s="49"/>
      <c r="H847" s="49"/>
      <c r="I847" s="51"/>
      <c r="J847" s="363"/>
      <c r="K847" s="364"/>
      <c r="L847" s="520"/>
      <c r="M847" s="505"/>
      <c r="N847" s="527"/>
      <c r="O847" s="505" t="s">
        <v>871</v>
      </c>
      <c r="P847" s="505"/>
      <c r="Q847" s="505"/>
      <c r="R847" s="505"/>
      <c r="S847" s="505"/>
      <c r="T847" s="505"/>
      <c r="U847" s="505"/>
      <c r="V847" s="505"/>
      <c r="W847" s="505"/>
      <c r="X847" s="505"/>
      <c r="Y847" s="505"/>
      <c r="Z847" s="505"/>
      <c r="AA847" s="505"/>
      <c r="AB847" s="505"/>
      <c r="AC847" s="505"/>
      <c r="AD847" s="505"/>
      <c r="AE847" s="505"/>
      <c r="AF847" s="505"/>
      <c r="AG847" s="102"/>
      <c r="AH847" s="102"/>
      <c r="AI847" s="102"/>
      <c r="AJ847" s="102"/>
      <c r="AK847" s="102"/>
      <c r="AL847" s="102"/>
      <c r="AM847" s="102"/>
      <c r="AN847" s="102"/>
      <c r="AO847" s="102"/>
      <c r="AP847" s="102"/>
      <c r="AQ847" s="51"/>
      <c r="AR847" s="208"/>
      <c r="AS847" s="49"/>
      <c r="AT847" s="49"/>
      <c r="AU847" s="49"/>
      <c r="AV847" s="49"/>
      <c r="AW847" s="49"/>
      <c r="AX847" s="49"/>
      <c r="AY847" s="52"/>
      <c r="BA847" s="23">
        <v>2.1</v>
      </c>
    </row>
    <row r="848" spans="1:53" ht="13.5" customHeight="1">
      <c r="A848" s="56"/>
      <c r="B848" s="50"/>
      <c r="C848" s="49"/>
      <c r="D848" s="49"/>
      <c r="E848" s="49"/>
      <c r="F848" s="49"/>
      <c r="G848" s="49"/>
      <c r="H848" s="49"/>
      <c r="I848" s="51"/>
      <c r="J848" s="363"/>
      <c r="K848" s="364"/>
      <c r="L848" s="520"/>
      <c r="M848" s="505"/>
      <c r="N848" s="527"/>
      <c r="O848" s="505" t="s">
        <v>864</v>
      </c>
      <c r="P848" s="505"/>
      <c r="Q848" s="505"/>
      <c r="R848" s="505"/>
      <c r="S848" s="505"/>
      <c r="T848" s="505"/>
      <c r="U848" s="505"/>
      <c r="V848" s="505"/>
      <c r="W848" s="505"/>
      <c r="X848" s="505"/>
      <c r="Y848" s="505"/>
      <c r="Z848" s="505"/>
      <c r="AA848" s="505"/>
      <c r="AB848" s="505"/>
      <c r="AC848" s="505"/>
      <c r="AD848" s="505"/>
      <c r="AE848" s="505"/>
      <c r="AF848" s="505"/>
      <c r="AG848" s="102"/>
      <c r="AH848" s="102"/>
      <c r="AI848" s="102"/>
      <c r="AJ848" s="102"/>
      <c r="AK848" s="102"/>
      <c r="AL848" s="102"/>
      <c r="AM848" s="102"/>
      <c r="AN848" s="102"/>
      <c r="AO848" s="102"/>
      <c r="AP848" s="102"/>
      <c r="AQ848" s="51"/>
      <c r="AR848" s="208"/>
      <c r="AS848" s="49"/>
      <c r="AT848" s="49"/>
      <c r="AU848" s="49"/>
      <c r="AV848" s="49"/>
      <c r="AW848" s="49"/>
      <c r="AX848" s="49"/>
      <c r="AY848" s="52"/>
      <c r="BA848" s="23">
        <v>2.1</v>
      </c>
    </row>
    <row r="849" spans="1:53" ht="13.5" customHeight="1">
      <c r="A849" s="56"/>
      <c r="B849" s="50"/>
      <c r="C849" s="49"/>
      <c r="D849" s="49"/>
      <c r="E849" s="49"/>
      <c r="F849" s="49"/>
      <c r="G849" s="49"/>
      <c r="H849" s="49"/>
      <c r="I849" s="51"/>
      <c r="J849" s="658"/>
      <c r="K849" s="659"/>
      <c r="L849" s="544"/>
      <c r="M849" s="545"/>
      <c r="N849" s="545"/>
      <c r="O849" s="545"/>
      <c r="P849" s="545"/>
      <c r="Q849" s="545"/>
      <c r="R849" s="545"/>
      <c r="S849" s="545"/>
      <c r="T849" s="545"/>
      <c r="U849" s="545"/>
      <c r="V849" s="545"/>
      <c r="W849" s="545"/>
      <c r="X849" s="545"/>
      <c r="Y849" s="545"/>
      <c r="Z849" s="545"/>
      <c r="AA849" s="545"/>
      <c r="AB849" s="545"/>
      <c r="AC849" s="545"/>
      <c r="AD849" s="545"/>
      <c r="AE849" s="545"/>
      <c r="AF849" s="545"/>
      <c r="AG849" s="57"/>
      <c r="AH849" s="57"/>
      <c r="AI849" s="57"/>
      <c r="AJ849" s="57"/>
      <c r="AK849" s="57"/>
      <c r="AL849" s="57"/>
      <c r="AM849" s="57"/>
      <c r="AN849" s="57"/>
      <c r="AO849" s="57"/>
      <c r="AP849" s="57"/>
      <c r="AQ849" s="59"/>
      <c r="AR849" s="192"/>
      <c r="AS849" s="57"/>
      <c r="AT849" s="57"/>
      <c r="AU849" s="57"/>
      <c r="AV849" s="57"/>
      <c r="AW849" s="57"/>
      <c r="AX849" s="57"/>
      <c r="AY849" s="60"/>
    </row>
    <row r="850" spans="1:53" ht="13.5" customHeight="1">
      <c r="A850" s="56"/>
      <c r="B850" s="50"/>
      <c r="C850" s="49"/>
      <c r="D850" s="49"/>
      <c r="E850" s="49"/>
      <c r="F850" s="49"/>
      <c r="G850" s="49"/>
      <c r="H850" s="49"/>
      <c r="I850" s="51"/>
      <c r="J850" s="728" t="s">
        <v>825</v>
      </c>
      <c r="K850" s="729"/>
      <c r="L850" s="520"/>
      <c r="M850" s="139" t="s">
        <v>819</v>
      </c>
      <c r="N850" s="139"/>
      <c r="O850" s="139"/>
      <c r="P850" s="139"/>
      <c r="Q850" s="139"/>
      <c r="R850" s="139"/>
      <c r="S850" s="139"/>
      <c r="T850" s="139"/>
      <c r="U850" s="139"/>
      <c r="V850" s="139"/>
      <c r="W850" s="139"/>
      <c r="X850" s="139"/>
      <c r="Y850" s="139"/>
      <c r="Z850" s="139"/>
      <c r="AA850" s="139"/>
      <c r="AB850" s="139"/>
      <c r="AC850" s="139"/>
      <c r="AD850" s="139"/>
      <c r="AE850" s="139"/>
      <c r="AF850" s="139"/>
      <c r="AG850" s="49"/>
      <c r="AH850" s="49"/>
      <c r="AI850" s="49"/>
      <c r="AJ850" s="49"/>
      <c r="AK850" s="49"/>
      <c r="AL850" s="49"/>
      <c r="AM850" s="49"/>
      <c r="AN850" s="49"/>
      <c r="AO850" s="49"/>
      <c r="AP850" s="49"/>
      <c r="AQ850" s="51"/>
      <c r="AR850" s="208" t="s">
        <v>829</v>
      </c>
      <c r="AS850" s="49"/>
      <c r="AT850" s="49"/>
      <c r="AU850" s="49"/>
      <c r="AV850" s="49"/>
      <c r="AW850" s="49"/>
      <c r="AX850" s="49"/>
      <c r="AY850" s="52"/>
    </row>
    <row r="851" spans="1:53" ht="13.5" customHeight="1">
      <c r="A851" s="61"/>
      <c r="B851" s="58"/>
      <c r="C851" s="57"/>
      <c r="D851" s="57"/>
      <c r="E851" s="57"/>
      <c r="F851" s="57"/>
      <c r="G851" s="57"/>
      <c r="H851" s="57"/>
      <c r="I851" s="59"/>
      <c r="J851" s="352"/>
      <c r="K851" s="353"/>
      <c r="L851" s="58"/>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59"/>
      <c r="AR851" s="192"/>
      <c r="AS851" s="57"/>
      <c r="AT851" s="57"/>
      <c r="AU851" s="57"/>
      <c r="AV851" s="57"/>
      <c r="AW851" s="57"/>
      <c r="AX851" s="57"/>
      <c r="AY851" s="60"/>
    </row>
    <row r="852" spans="1:53" ht="13.5" customHeight="1">
      <c r="A852" s="185">
        <v>13</v>
      </c>
      <c r="B852" s="64" t="s">
        <v>213</v>
      </c>
      <c r="C852" s="63"/>
      <c r="D852" s="63"/>
      <c r="E852" s="63"/>
      <c r="F852" s="63"/>
      <c r="G852" s="63"/>
      <c r="H852" s="63"/>
      <c r="I852" s="63"/>
      <c r="J852" s="98"/>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214"/>
      <c r="AS852" s="63"/>
      <c r="AT852" s="63"/>
      <c r="AU852" s="63"/>
      <c r="AV852" s="63"/>
      <c r="AW852" s="63"/>
      <c r="AX852" s="63"/>
      <c r="AY852" s="186" t="s">
        <v>212</v>
      </c>
    </row>
    <row r="853" spans="1:53" ht="13.5" customHeight="1">
      <c r="A853" s="56"/>
      <c r="B853" s="50"/>
      <c r="C853" s="49"/>
      <c r="D853" s="49"/>
      <c r="E853" s="49"/>
      <c r="F853" s="49"/>
      <c r="G853" s="49"/>
      <c r="H853" s="49"/>
      <c r="I853" s="51"/>
      <c r="J853" s="656"/>
      <c r="K853" s="657"/>
      <c r="L853" s="101" t="s">
        <v>214</v>
      </c>
      <c r="M853" s="102"/>
      <c r="N853" s="103"/>
      <c r="O853" s="102"/>
      <c r="P853" s="102"/>
      <c r="Q853" s="102"/>
      <c r="R853" s="102"/>
      <c r="S853" s="49"/>
      <c r="T853" s="49"/>
      <c r="U853" s="49"/>
      <c r="V853" s="49"/>
      <c r="W853" s="49"/>
      <c r="X853" s="49"/>
      <c r="Y853" s="49"/>
      <c r="Z853" s="49"/>
      <c r="AA853" s="49"/>
      <c r="AB853" s="49"/>
      <c r="AC853" s="49"/>
      <c r="AD853" s="49"/>
      <c r="AE853" s="49"/>
      <c r="AF853" s="49"/>
      <c r="AG853" s="49"/>
      <c r="AH853" s="49"/>
      <c r="AI853" s="49"/>
      <c r="AJ853" s="49"/>
      <c r="AK853" s="49"/>
      <c r="AL853" s="49"/>
      <c r="AM853" s="49"/>
      <c r="AN853" s="49"/>
      <c r="AO853" s="49"/>
      <c r="AP853" s="49"/>
      <c r="AQ853" s="51"/>
      <c r="AR853" s="208"/>
      <c r="AS853" s="49"/>
      <c r="AT853" s="49"/>
      <c r="AU853" s="49"/>
      <c r="AV853" s="49"/>
      <c r="AW853" s="49"/>
      <c r="AX853" s="49"/>
      <c r="AY853" s="52"/>
    </row>
    <row r="854" spans="1:53" ht="13.5" customHeight="1">
      <c r="A854" s="56"/>
      <c r="B854" s="50"/>
      <c r="C854" s="49"/>
      <c r="D854" s="49"/>
      <c r="E854" s="49"/>
      <c r="F854" s="49"/>
      <c r="G854" s="49"/>
      <c r="H854" s="49"/>
      <c r="I854" s="51"/>
      <c r="J854" s="350"/>
      <c r="K854" s="351"/>
      <c r="L854" s="101"/>
      <c r="M854" s="102" t="s">
        <v>752</v>
      </c>
      <c r="N854" s="102"/>
      <c r="O854" s="102"/>
      <c r="P854" s="102"/>
      <c r="Q854" s="102"/>
      <c r="R854" s="102"/>
      <c r="S854" s="49"/>
      <c r="T854" s="49"/>
      <c r="U854" s="49"/>
      <c r="V854" s="49"/>
      <c r="W854" s="49"/>
      <c r="X854" s="49"/>
      <c r="Y854" s="46"/>
      <c r="Z854" s="49"/>
      <c r="AA854" s="49"/>
      <c r="AB854" s="49"/>
      <c r="AC854" s="49"/>
      <c r="AD854" s="49"/>
      <c r="AE854" s="49"/>
      <c r="AF854" s="49"/>
      <c r="AG854" s="49"/>
      <c r="AH854" s="49"/>
      <c r="AI854" s="49"/>
      <c r="AJ854" s="49"/>
      <c r="AK854" s="49"/>
      <c r="AL854" s="49"/>
      <c r="AM854" s="49"/>
      <c r="AN854" s="49"/>
      <c r="AO854" s="49"/>
      <c r="AP854" s="49"/>
      <c r="AQ854" s="51"/>
      <c r="AR854" s="208"/>
      <c r="AS854" s="49"/>
      <c r="AT854" s="49"/>
      <c r="AU854" s="49"/>
      <c r="AV854" s="49"/>
      <c r="AW854" s="49"/>
      <c r="AX854" s="49"/>
      <c r="AY854" s="52"/>
      <c r="AZ854" s="299">
        <v>0.11</v>
      </c>
    </row>
    <row r="855" spans="1:53" ht="13.5" customHeight="1">
      <c r="A855" s="56"/>
      <c r="B855" s="50"/>
      <c r="C855" s="49"/>
      <c r="D855" s="49"/>
      <c r="E855" s="49"/>
      <c r="F855" s="49"/>
      <c r="G855" s="49"/>
      <c r="H855" s="49"/>
      <c r="I855" s="51"/>
      <c r="J855" s="350"/>
      <c r="K855" s="351"/>
      <c r="L855" s="520"/>
      <c r="M855" s="505"/>
      <c r="N855" s="505" t="s">
        <v>753</v>
      </c>
      <c r="O855" s="505"/>
      <c r="P855" s="505"/>
      <c r="Q855" s="505"/>
      <c r="R855" s="505"/>
      <c r="S855" s="139"/>
      <c r="T855" s="139"/>
      <c r="U855" s="521"/>
      <c r="V855" s="139"/>
      <c r="W855" s="521"/>
      <c r="X855" s="139" t="s">
        <v>754</v>
      </c>
      <c r="Y855" s="539"/>
      <c r="Z855" s="139"/>
      <c r="AA855" s="139"/>
      <c r="AB855" s="139"/>
      <c r="AC855" s="139"/>
      <c r="AD855" s="139"/>
      <c r="AE855" s="139"/>
      <c r="AF855" s="139"/>
      <c r="AG855" s="139"/>
      <c r="AH855" s="139"/>
      <c r="AI855" s="139"/>
      <c r="AJ855" s="49"/>
      <c r="AK855" s="49"/>
      <c r="AL855" s="49"/>
      <c r="AM855" s="49"/>
      <c r="AN855" s="49"/>
      <c r="AO855" s="49"/>
      <c r="AP855" s="49"/>
      <c r="AQ855" s="51"/>
      <c r="AR855" s="208"/>
      <c r="AS855" s="49"/>
      <c r="AT855" s="49"/>
      <c r="AU855" s="49"/>
      <c r="AV855" s="49"/>
      <c r="AW855" s="49"/>
      <c r="AX855" s="49"/>
      <c r="AY855" s="52"/>
      <c r="AZ855" s="299">
        <v>0.11</v>
      </c>
    </row>
    <row r="856" spans="1:53" ht="13.5" customHeight="1">
      <c r="A856" s="56"/>
      <c r="B856" s="50"/>
      <c r="C856" s="49"/>
      <c r="D856" s="49"/>
      <c r="E856" s="49"/>
      <c r="F856" s="49"/>
      <c r="G856" s="49"/>
      <c r="H856" s="49"/>
      <c r="I856" s="51"/>
      <c r="J856" s="350"/>
      <c r="K856" s="351"/>
      <c r="L856" s="520"/>
      <c r="M856" s="505"/>
      <c r="N856" s="505" t="s">
        <v>755</v>
      </c>
      <c r="O856" s="505"/>
      <c r="P856" s="505"/>
      <c r="Q856" s="505"/>
      <c r="R856" s="505"/>
      <c r="S856" s="139"/>
      <c r="T856" s="139"/>
      <c r="U856" s="139"/>
      <c r="V856" s="139" t="s">
        <v>759</v>
      </c>
      <c r="W856" s="521"/>
      <c r="X856" s="139" t="s">
        <v>758</v>
      </c>
      <c r="Y856" s="539"/>
      <c r="Z856" s="139"/>
      <c r="AA856" s="139"/>
      <c r="AB856" s="139"/>
      <c r="AC856" s="139"/>
      <c r="AD856" s="139"/>
      <c r="AE856" s="139"/>
      <c r="AF856" s="139"/>
      <c r="AG856" s="139"/>
      <c r="AH856" s="139"/>
      <c r="AI856" s="139"/>
      <c r="AJ856" s="49"/>
      <c r="AK856" s="49"/>
      <c r="AL856" s="49"/>
      <c r="AM856" s="49"/>
      <c r="AN856" s="49"/>
      <c r="AO856" s="49"/>
      <c r="AP856" s="49"/>
      <c r="AQ856" s="51"/>
      <c r="AR856" s="208"/>
      <c r="AS856" s="49"/>
      <c r="AT856" s="49"/>
      <c r="AU856" s="49"/>
      <c r="AV856" s="49"/>
      <c r="AW856" s="49"/>
      <c r="AX856" s="49"/>
      <c r="AY856" s="52"/>
      <c r="AZ856" s="299">
        <v>0.11</v>
      </c>
    </row>
    <row r="857" spans="1:53" ht="13.5" customHeight="1">
      <c r="A857" s="56"/>
      <c r="B857" s="50"/>
      <c r="C857" s="49"/>
      <c r="D857" s="49"/>
      <c r="E857" s="49"/>
      <c r="F857" s="49"/>
      <c r="G857" s="49"/>
      <c r="H857" s="49"/>
      <c r="I857" s="51"/>
      <c r="J857" s="350"/>
      <c r="K857" s="351"/>
      <c r="L857" s="520"/>
      <c r="M857" s="505"/>
      <c r="N857" s="505" t="s">
        <v>756</v>
      </c>
      <c r="O857" s="505"/>
      <c r="P857" s="505"/>
      <c r="Q857" s="505"/>
      <c r="R857" s="505"/>
      <c r="S857" s="139"/>
      <c r="T857" s="139"/>
      <c r="U857" s="139"/>
      <c r="V857" s="139" t="s">
        <v>759</v>
      </c>
      <c r="W857" s="521"/>
      <c r="X857" s="139" t="s">
        <v>757</v>
      </c>
      <c r="Y857" s="539"/>
      <c r="Z857" s="139"/>
      <c r="AA857" s="139"/>
      <c r="AB857" s="139"/>
      <c r="AC857" s="139"/>
      <c r="AD857" s="139"/>
      <c r="AE857" s="139"/>
      <c r="AF857" s="139"/>
      <c r="AG857" s="139"/>
      <c r="AH857" s="139"/>
      <c r="AI857" s="139"/>
      <c r="AJ857" s="49"/>
      <c r="AK857" s="49"/>
      <c r="AL857" s="49"/>
      <c r="AM857" s="49"/>
      <c r="AN857" s="49"/>
      <c r="AO857" s="49"/>
      <c r="AP857" s="49"/>
      <c r="AQ857" s="51"/>
      <c r="AR857" s="208"/>
      <c r="AS857" s="49"/>
      <c r="AT857" s="49"/>
      <c r="AU857" s="49"/>
      <c r="AV857" s="49"/>
      <c r="AW857" s="49"/>
      <c r="AX857" s="49"/>
      <c r="AY857" s="52"/>
      <c r="AZ857" s="299">
        <v>0.11</v>
      </c>
    </row>
    <row r="858" spans="1:53" ht="13.5" customHeight="1">
      <c r="A858" s="56"/>
      <c r="B858" s="50"/>
      <c r="C858" s="49"/>
      <c r="D858" s="49"/>
      <c r="E858" s="49"/>
      <c r="F858" s="49"/>
      <c r="G858" s="49"/>
      <c r="H858" s="49"/>
      <c r="I858" s="51"/>
      <c r="J858" s="365"/>
      <c r="K858" s="366"/>
      <c r="L858" s="520"/>
      <c r="M858" s="505"/>
      <c r="N858" s="505"/>
      <c r="O858" s="505"/>
      <c r="P858" s="505"/>
      <c r="Q858" s="505"/>
      <c r="R858" s="505"/>
      <c r="S858" s="139"/>
      <c r="T858" s="139"/>
      <c r="U858" s="139"/>
      <c r="V858" s="139"/>
      <c r="W858" s="521"/>
      <c r="X858" s="139"/>
      <c r="Y858" s="539"/>
      <c r="Z858" s="139"/>
      <c r="AA858" s="139"/>
      <c r="AB858" s="139"/>
      <c r="AC858" s="139"/>
      <c r="AD858" s="139"/>
      <c r="AE858" s="139"/>
      <c r="AF858" s="139"/>
      <c r="AG858" s="139"/>
      <c r="AH858" s="139"/>
      <c r="AI858" s="139"/>
      <c r="AJ858" s="49"/>
      <c r="AK858" s="49"/>
      <c r="AL858" s="49"/>
      <c r="AM858" s="49"/>
      <c r="AN858" s="49"/>
      <c r="AO858" s="49"/>
      <c r="AP858" s="49"/>
      <c r="AQ858" s="51"/>
      <c r="AR858" s="208"/>
      <c r="AS858" s="49"/>
      <c r="AT858" s="49"/>
      <c r="AU858" s="49"/>
      <c r="AV858" s="49"/>
      <c r="AW858" s="49"/>
      <c r="AX858" s="49"/>
      <c r="AY858" s="52"/>
      <c r="AZ858" s="299"/>
    </row>
    <row r="859" spans="1:53" ht="13.5" customHeight="1">
      <c r="A859" s="56"/>
      <c r="B859" s="50"/>
      <c r="C859" s="49"/>
      <c r="D859" s="49"/>
      <c r="E859" s="49"/>
      <c r="F859" s="49"/>
      <c r="G859" s="49"/>
      <c r="H859" s="49"/>
      <c r="I859" s="51"/>
      <c r="J859" s="365"/>
      <c r="K859" s="366"/>
      <c r="L859" s="520"/>
      <c r="M859" s="505" t="s">
        <v>860</v>
      </c>
      <c r="N859" s="505"/>
      <c r="O859" s="505"/>
      <c r="P859" s="505"/>
      <c r="Q859" s="505"/>
      <c r="R859" s="505"/>
      <c r="S859" s="505"/>
      <c r="T859" s="505"/>
      <c r="U859" s="505"/>
      <c r="V859" s="505"/>
      <c r="W859" s="540"/>
      <c r="X859" s="505"/>
      <c r="Y859" s="541"/>
      <c r="Z859" s="505"/>
      <c r="AA859" s="505"/>
      <c r="AB859" s="505"/>
      <c r="AC859" s="505"/>
      <c r="AD859" s="505"/>
      <c r="AE859" s="505"/>
      <c r="AF859" s="505"/>
      <c r="AG859" s="505"/>
      <c r="AH859" s="505"/>
      <c r="AI859" s="505"/>
      <c r="AJ859" s="102"/>
      <c r="AK859" s="102"/>
      <c r="AL859" s="102"/>
      <c r="AM859" s="102"/>
      <c r="AN859" s="102"/>
      <c r="AO859" s="102"/>
      <c r="AP859" s="102"/>
      <c r="AQ859" s="377"/>
      <c r="AR859" s="208"/>
      <c r="AS859" s="49"/>
      <c r="AT859" s="49"/>
      <c r="AU859" s="49"/>
      <c r="AV859" s="49"/>
      <c r="AW859" s="49"/>
      <c r="AX859" s="49"/>
      <c r="AY859" s="52"/>
      <c r="AZ859" s="299"/>
      <c r="BA859" s="23">
        <v>2.1</v>
      </c>
    </row>
    <row r="860" spans="1:53" ht="13.5" customHeight="1">
      <c r="A860" s="56"/>
      <c r="B860" s="50"/>
      <c r="C860" s="49"/>
      <c r="D860" s="49"/>
      <c r="E860" s="49"/>
      <c r="F860" s="49"/>
      <c r="G860" s="49"/>
      <c r="H860" s="49"/>
      <c r="I860" s="51"/>
      <c r="J860" s="365"/>
      <c r="K860" s="366"/>
      <c r="L860" s="520"/>
      <c r="M860" s="505"/>
      <c r="N860" s="505" t="s">
        <v>867</v>
      </c>
      <c r="O860" s="505"/>
      <c r="P860" s="505"/>
      <c r="Q860" s="505"/>
      <c r="R860" s="505"/>
      <c r="S860" s="505"/>
      <c r="T860" s="505"/>
      <c r="U860" s="505"/>
      <c r="V860" s="505"/>
      <c r="W860" s="540"/>
      <c r="X860" s="505"/>
      <c r="Y860" s="541"/>
      <c r="Z860" s="505"/>
      <c r="AA860" s="505"/>
      <c r="AB860" s="505"/>
      <c r="AC860" s="505"/>
      <c r="AD860" s="505"/>
      <c r="AE860" s="505"/>
      <c r="AF860" s="505"/>
      <c r="AG860" s="505"/>
      <c r="AH860" s="505"/>
      <c r="AI860" s="505"/>
      <c r="AJ860" s="102"/>
      <c r="AK860" s="102"/>
      <c r="AL860" s="102"/>
      <c r="AM860" s="102"/>
      <c r="AN860" s="102"/>
      <c r="AO860" s="102"/>
      <c r="AP860" s="102"/>
      <c r="AQ860" s="377"/>
      <c r="AR860" s="208"/>
      <c r="AS860" s="49"/>
      <c r="AT860" s="49"/>
      <c r="AU860" s="49"/>
      <c r="AV860" s="49"/>
      <c r="AW860" s="49"/>
      <c r="AX860" s="49"/>
      <c r="AY860" s="52"/>
      <c r="AZ860" s="299"/>
      <c r="BA860" s="23">
        <v>2.1</v>
      </c>
    </row>
    <row r="861" spans="1:53" ht="13.5" customHeight="1">
      <c r="A861" s="56"/>
      <c r="B861" s="50"/>
      <c r="C861" s="49"/>
      <c r="D861" s="49"/>
      <c r="E861" s="49"/>
      <c r="F861" s="49"/>
      <c r="G861" s="49"/>
      <c r="H861" s="49"/>
      <c r="I861" s="51"/>
      <c r="J861" s="365"/>
      <c r="K861" s="366"/>
      <c r="L861" s="520"/>
      <c r="M861" s="542"/>
      <c r="N861" s="505" t="s">
        <v>865</v>
      </c>
      <c r="O861" s="505"/>
      <c r="P861" s="505"/>
      <c r="Q861" s="505"/>
      <c r="R861" s="505"/>
      <c r="S861" s="505"/>
      <c r="T861" s="505"/>
      <c r="U861" s="505"/>
      <c r="V861" s="505"/>
      <c r="W861" s="540"/>
      <c r="X861" s="505"/>
      <c r="Y861" s="541"/>
      <c r="Z861" s="505"/>
      <c r="AA861" s="505"/>
      <c r="AB861" s="505"/>
      <c r="AC861" s="505"/>
      <c r="AD861" s="505"/>
      <c r="AE861" s="505"/>
      <c r="AF861" s="505"/>
      <c r="AG861" s="505"/>
      <c r="AH861" s="505"/>
      <c r="AI861" s="505"/>
      <c r="AJ861" s="102"/>
      <c r="AK861" s="102"/>
      <c r="AL861" s="102"/>
      <c r="AM861" s="102"/>
      <c r="AN861" s="102"/>
      <c r="AO861" s="102"/>
      <c r="AP861" s="102"/>
      <c r="AQ861" s="377"/>
      <c r="AR861" s="208"/>
      <c r="AS861" s="49"/>
      <c r="AT861" s="49"/>
      <c r="AU861" s="49"/>
      <c r="AV861" s="49"/>
      <c r="AW861" s="49"/>
      <c r="AX861" s="49"/>
      <c r="AY861" s="52"/>
      <c r="AZ861" s="299"/>
      <c r="BA861" s="23">
        <v>2.1</v>
      </c>
    </row>
    <row r="862" spans="1:53" ht="13.5" customHeight="1">
      <c r="A862" s="56"/>
      <c r="B862" s="50"/>
      <c r="C862" s="49"/>
      <c r="D862" s="49"/>
      <c r="E862" s="49"/>
      <c r="F862" s="49"/>
      <c r="G862" s="49"/>
      <c r="H862" s="49"/>
      <c r="I862" s="51"/>
      <c r="J862" s="365"/>
      <c r="K862" s="366"/>
      <c r="L862" s="520"/>
      <c r="M862" s="542"/>
      <c r="N862" s="505"/>
      <c r="O862" s="527" t="s">
        <v>861</v>
      </c>
      <c r="P862" s="505"/>
      <c r="Q862" s="505"/>
      <c r="R862" s="505"/>
      <c r="S862" s="505"/>
      <c r="T862" s="505"/>
      <c r="U862" s="505"/>
      <c r="V862" s="505"/>
      <c r="W862" s="540"/>
      <c r="X862" s="505"/>
      <c r="Y862" s="541"/>
      <c r="Z862" s="505"/>
      <c r="AA862" s="505"/>
      <c r="AB862" s="505"/>
      <c r="AC862" s="505"/>
      <c r="AD862" s="505"/>
      <c r="AE862" s="505"/>
      <c r="AF862" s="505"/>
      <c r="AG862" s="505"/>
      <c r="AH862" s="505"/>
      <c r="AI862" s="505"/>
      <c r="AJ862" s="102"/>
      <c r="AK862" s="102"/>
      <c r="AL862" s="102"/>
      <c r="AM862" s="102"/>
      <c r="AN862" s="102"/>
      <c r="AO862" s="102"/>
      <c r="AP862" s="102"/>
      <c r="AQ862" s="377"/>
      <c r="AR862" s="208"/>
      <c r="AS862" s="49"/>
      <c r="AT862" s="49"/>
      <c r="AU862" s="49"/>
      <c r="AV862" s="49"/>
      <c r="AW862" s="49"/>
      <c r="AX862" s="49"/>
      <c r="AY862" s="52"/>
      <c r="AZ862" s="299"/>
      <c r="BA862" s="23">
        <v>2.1</v>
      </c>
    </row>
    <row r="863" spans="1:53" ht="13.5" customHeight="1">
      <c r="A863" s="56"/>
      <c r="B863" s="50"/>
      <c r="C863" s="49"/>
      <c r="D863" s="49"/>
      <c r="E863" s="49"/>
      <c r="F863" s="49"/>
      <c r="G863" s="49"/>
      <c r="H863" s="49"/>
      <c r="I863" s="51"/>
      <c r="J863" s="365"/>
      <c r="K863" s="366"/>
      <c r="L863" s="520"/>
      <c r="M863" s="542"/>
      <c r="N863" s="505"/>
      <c r="O863" s="505"/>
      <c r="P863" s="505" t="s">
        <v>740</v>
      </c>
      <c r="Q863" s="505"/>
      <c r="R863" s="505"/>
      <c r="S863" s="505"/>
      <c r="T863" s="505"/>
      <c r="U863" s="505"/>
      <c r="V863" s="505"/>
      <c r="W863" s="540"/>
      <c r="X863" s="505"/>
      <c r="Y863" s="541"/>
      <c r="Z863" s="505"/>
      <c r="AA863" s="505"/>
      <c r="AB863" s="505"/>
      <c r="AC863" s="505"/>
      <c r="AD863" s="505"/>
      <c r="AE863" s="505"/>
      <c r="AF863" s="505"/>
      <c r="AG863" s="505"/>
      <c r="AH863" s="505"/>
      <c r="AI863" s="505"/>
      <c r="AJ863" s="102"/>
      <c r="AK863" s="102"/>
      <c r="AL863" s="102"/>
      <c r="AM863" s="102"/>
      <c r="AN863" s="102"/>
      <c r="AO863" s="102"/>
      <c r="AP863" s="102"/>
      <c r="AQ863" s="377"/>
      <c r="AR863" s="208"/>
      <c r="AS863" s="49"/>
      <c r="AT863" s="49"/>
      <c r="AU863" s="49"/>
      <c r="AV863" s="49"/>
      <c r="AW863" s="49"/>
      <c r="AX863" s="49"/>
      <c r="AY863" s="52"/>
      <c r="AZ863" s="299"/>
      <c r="BA863" s="23">
        <v>2.1</v>
      </c>
    </row>
    <row r="864" spans="1:53" ht="13.5" customHeight="1">
      <c r="A864" s="56"/>
      <c r="B864" s="50"/>
      <c r="C864" s="49"/>
      <c r="D864" s="49"/>
      <c r="E864" s="49"/>
      <c r="F864" s="49"/>
      <c r="G864" s="49"/>
      <c r="H864" s="49"/>
      <c r="I864" s="51"/>
      <c r="J864" s="365"/>
      <c r="K864" s="366"/>
      <c r="L864" s="520"/>
      <c r="M864" s="542"/>
      <c r="N864" s="505"/>
      <c r="O864" s="527" t="s">
        <v>450</v>
      </c>
      <c r="P864" s="505"/>
      <c r="Q864" s="505"/>
      <c r="R864" s="505"/>
      <c r="S864" s="505"/>
      <c r="T864" s="505"/>
      <c r="U864" s="505"/>
      <c r="V864" s="505"/>
      <c r="W864" s="540"/>
      <c r="X864" s="505"/>
      <c r="Y864" s="541"/>
      <c r="Z864" s="505"/>
      <c r="AA864" s="505"/>
      <c r="AB864" s="505"/>
      <c r="AC864" s="505"/>
      <c r="AD864" s="505"/>
      <c r="AE864" s="505"/>
      <c r="AF864" s="505"/>
      <c r="AG864" s="505"/>
      <c r="AH864" s="505"/>
      <c r="AI864" s="505"/>
      <c r="AJ864" s="102"/>
      <c r="AK864" s="102"/>
      <c r="AL864" s="102"/>
      <c r="AM864" s="102"/>
      <c r="AN864" s="102"/>
      <c r="AO864" s="102"/>
      <c r="AP864" s="102"/>
      <c r="AQ864" s="377"/>
      <c r="AR864" s="208"/>
      <c r="AS864" s="49"/>
      <c r="AT864" s="49"/>
      <c r="AU864" s="49"/>
      <c r="AV864" s="49"/>
      <c r="AW864" s="49"/>
      <c r="AX864" s="49"/>
      <c r="AY864" s="52"/>
      <c r="AZ864" s="299"/>
      <c r="BA864" s="23">
        <v>2.1</v>
      </c>
    </row>
    <row r="865" spans="1:53" ht="13.5" customHeight="1">
      <c r="A865" s="56"/>
      <c r="B865" s="50"/>
      <c r="C865" s="49"/>
      <c r="D865" s="49"/>
      <c r="E865" s="49"/>
      <c r="F865" s="49"/>
      <c r="G865" s="49"/>
      <c r="H865" s="49"/>
      <c r="I865" s="51"/>
      <c r="J865" s="365"/>
      <c r="K865" s="366"/>
      <c r="L865" s="520"/>
      <c r="M865" s="542"/>
      <c r="N865" s="505"/>
      <c r="O865" s="542"/>
      <c r="P865" s="505" t="s">
        <v>862</v>
      </c>
      <c r="Q865" s="505"/>
      <c r="R865" s="505"/>
      <c r="S865" s="505"/>
      <c r="T865" s="505"/>
      <c r="U865" s="505"/>
      <c r="V865" s="505"/>
      <c r="W865" s="540"/>
      <c r="X865" s="505"/>
      <c r="Y865" s="541"/>
      <c r="Z865" s="505"/>
      <c r="AA865" s="505"/>
      <c r="AB865" s="505"/>
      <c r="AC865" s="505"/>
      <c r="AD865" s="505"/>
      <c r="AE865" s="505"/>
      <c r="AF865" s="505"/>
      <c r="AG865" s="505"/>
      <c r="AH865" s="505"/>
      <c r="AI865" s="505"/>
      <c r="AJ865" s="102"/>
      <c r="AK865" s="102"/>
      <c r="AL865" s="102"/>
      <c r="AM865" s="102"/>
      <c r="AN865" s="102"/>
      <c r="AO865" s="102"/>
      <c r="AP865" s="102"/>
      <c r="AQ865" s="377"/>
      <c r="AR865" s="208"/>
      <c r="AS865" s="49"/>
      <c r="AT865" s="49"/>
      <c r="AU865" s="49"/>
      <c r="AV865" s="49"/>
      <c r="AW865" s="49"/>
      <c r="AX865" s="49"/>
      <c r="AY865" s="52"/>
      <c r="AZ865" s="299"/>
      <c r="BA865" s="23">
        <v>2.1</v>
      </c>
    </row>
    <row r="866" spans="1:53" ht="13.5" customHeight="1">
      <c r="A866" s="56"/>
      <c r="B866" s="50"/>
      <c r="C866" s="49"/>
      <c r="D866" s="49"/>
      <c r="E866" s="49"/>
      <c r="F866" s="49"/>
      <c r="G866" s="49"/>
      <c r="H866" s="49"/>
      <c r="I866" s="51"/>
      <c r="J866" s="365"/>
      <c r="K866" s="366"/>
      <c r="L866" s="520"/>
      <c r="M866" s="542"/>
      <c r="N866" s="505"/>
      <c r="O866" s="527" t="s">
        <v>452</v>
      </c>
      <c r="P866" s="505"/>
      <c r="Q866" s="505"/>
      <c r="R866" s="505"/>
      <c r="S866" s="505"/>
      <c r="T866" s="505"/>
      <c r="U866" s="505"/>
      <c r="V866" s="505"/>
      <c r="W866" s="540"/>
      <c r="X866" s="505"/>
      <c r="Y866" s="541"/>
      <c r="Z866" s="505"/>
      <c r="AA866" s="505"/>
      <c r="AB866" s="505"/>
      <c r="AC866" s="505"/>
      <c r="AD866" s="505"/>
      <c r="AE866" s="505"/>
      <c r="AF866" s="505"/>
      <c r="AG866" s="505"/>
      <c r="AH866" s="505"/>
      <c r="AI866" s="505"/>
      <c r="AJ866" s="102"/>
      <c r="AK866" s="102"/>
      <c r="AL866" s="102"/>
      <c r="AM866" s="102"/>
      <c r="AN866" s="102"/>
      <c r="AO866" s="102"/>
      <c r="AP866" s="102"/>
      <c r="AQ866" s="377"/>
      <c r="AR866" s="208"/>
      <c r="AS866" s="49"/>
      <c r="AT866" s="49"/>
      <c r="AU866" s="49"/>
      <c r="AV866" s="49"/>
      <c r="AW866" s="49"/>
      <c r="AX866" s="49"/>
      <c r="AY866" s="52"/>
      <c r="AZ866" s="299"/>
      <c r="BA866" s="23">
        <v>2.1</v>
      </c>
    </row>
    <row r="867" spans="1:53" ht="13.5" customHeight="1">
      <c r="A867" s="56"/>
      <c r="B867" s="50"/>
      <c r="C867" s="49"/>
      <c r="D867" s="49"/>
      <c r="E867" s="49"/>
      <c r="F867" s="49"/>
      <c r="G867" s="49"/>
      <c r="H867" s="49"/>
      <c r="I867" s="51"/>
      <c r="J867" s="365"/>
      <c r="K867" s="366"/>
      <c r="L867" s="520" t="s">
        <v>866</v>
      </c>
      <c r="M867" s="542"/>
      <c r="N867" s="505"/>
      <c r="O867" s="505"/>
      <c r="P867" s="505" t="s">
        <v>863</v>
      </c>
      <c r="Q867" s="505"/>
      <c r="R867" s="505"/>
      <c r="S867" s="505"/>
      <c r="T867" s="505"/>
      <c r="U867" s="505"/>
      <c r="V867" s="505"/>
      <c r="W867" s="540"/>
      <c r="X867" s="505"/>
      <c r="Y867" s="541"/>
      <c r="Z867" s="505"/>
      <c r="AA867" s="505"/>
      <c r="AB867" s="505"/>
      <c r="AC867" s="505"/>
      <c r="AD867" s="505"/>
      <c r="AE867" s="505"/>
      <c r="AF867" s="505"/>
      <c r="AG867" s="505"/>
      <c r="AH867" s="505"/>
      <c r="AI867" s="505"/>
      <c r="AJ867" s="102"/>
      <c r="AK867" s="102"/>
      <c r="AL867" s="102"/>
      <c r="AM867" s="102"/>
      <c r="AN867" s="102"/>
      <c r="AO867" s="102"/>
      <c r="AP867" s="102"/>
      <c r="AQ867" s="377"/>
      <c r="AR867" s="208"/>
      <c r="AS867" s="49"/>
      <c r="AT867" s="49"/>
      <c r="AU867" s="49"/>
      <c r="AV867" s="49"/>
      <c r="AW867" s="49"/>
      <c r="AX867" s="49"/>
      <c r="AY867" s="52"/>
      <c r="AZ867" s="299"/>
      <c r="BA867" s="23">
        <v>2.1</v>
      </c>
    </row>
    <row r="868" spans="1:53" ht="13.5" customHeight="1">
      <c r="A868" s="56"/>
      <c r="B868" s="50"/>
      <c r="C868" s="49"/>
      <c r="D868" s="49"/>
      <c r="E868" s="49"/>
      <c r="F868" s="49"/>
      <c r="G868" s="49"/>
      <c r="H868" s="49"/>
      <c r="I868" s="51"/>
      <c r="J868" s="365"/>
      <c r="K868" s="366"/>
      <c r="L868" s="520" t="s">
        <v>866</v>
      </c>
      <c r="M868" s="505"/>
      <c r="N868" s="505"/>
      <c r="O868" s="542"/>
      <c r="P868" s="505" t="s">
        <v>868</v>
      </c>
      <c r="Q868" s="505"/>
      <c r="R868" s="505"/>
      <c r="S868" s="505"/>
      <c r="T868" s="505"/>
      <c r="U868" s="505"/>
      <c r="V868" s="505"/>
      <c r="W868" s="540"/>
      <c r="X868" s="505"/>
      <c r="Y868" s="541"/>
      <c r="Z868" s="505"/>
      <c r="AA868" s="505"/>
      <c r="AB868" s="505"/>
      <c r="AC868" s="505"/>
      <c r="AD868" s="505"/>
      <c r="AE868" s="505"/>
      <c r="AF868" s="505"/>
      <c r="AG868" s="505"/>
      <c r="AH868" s="505"/>
      <c r="AI868" s="505"/>
      <c r="AJ868" s="102"/>
      <c r="AK868" s="102"/>
      <c r="AL868" s="102"/>
      <c r="AM868" s="102"/>
      <c r="AN868" s="102"/>
      <c r="AO868" s="102"/>
      <c r="AP868" s="102"/>
      <c r="AQ868" s="377"/>
      <c r="AR868" s="208"/>
      <c r="AS868" s="49"/>
      <c r="AT868" s="49"/>
      <c r="AU868" s="49"/>
      <c r="AV868" s="49"/>
      <c r="AW868" s="49"/>
      <c r="AX868" s="49"/>
      <c r="AY868" s="52"/>
      <c r="AZ868" s="299"/>
      <c r="BA868" s="23">
        <v>2.1</v>
      </c>
    </row>
    <row r="869" spans="1:53" ht="13.5" customHeight="1">
      <c r="A869" s="61"/>
      <c r="B869" s="58"/>
      <c r="C869" s="57"/>
      <c r="D869" s="57"/>
      <c r="E869" s="57"/>
      <c r="F869" s="57"/>
      <c r="G869" s="57"/>
      <c r="H869" s="57"/>
      <c r="I869" s="59"/>
      <c r="J869" s="352"/>
      <c r="K869" s="353"/>
      <c r="L869" s="58"/>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59"/>
      <c r="AR869" s="192"/>
      <c r="AS869" s="57"/>
      <c r="AT869" s="57"/>
      <c r="AU869" s="57"/>
      <c r="AV869" s="57"/>
      <c r="AW869" s="57"/>
      <c r="AX869" s="57"/>
      <c r="AY869" s="60"/>
    </row>
    <row r="870" spans="1:53" ht="13.5" customHeight="1">
      <c r="A870" s="185">
        <v>14</v>
      </c>
      <c r="B870" s="64" t="s">
        <v>259</v>
      </c>
      <c r="C870" s="63"/>
      <c r="D870" s="63"/>
      <c r="E870" s="63"/>
      <c r="F870" s="63"/>
      <c r="G870" s="63"/>
      <c r="H870" s="63"/>
      <c r="I870" s="63"/>
      <c r="J870" s="98"/>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214"/>
      <c r="AS870" s="63"/>
      <c r="AT870" s="63"/>
      <c r="AU870" s="63"/>
      <c r="AV870" s="63"/>
      <c r="AW870" s="63"/>
      <c r="AX870" s="63"/>
      <c r="AY870" s="184"/>
    </row>
    <row r="871" spans="1:53" ht="13.5" customHeight="1">
      <c r="A871" s="56"/>
      <c r="B871" s="50"/>
      <c r="C871" s="49"/>
      <c r="D871" s="49"/>
      <c r="E871" s="49"/>
      <c r="F871" s="49"/>
      <c r="G871" s="49"/>
      <c r="H871" s="49"/>
      <c r="I871" s="51"/>
      <c r="J871" s="656"/>
      <c r="K871" s="657"/>
      <c r="L871" s="50" t="s">
        <v>267</v>
      </c>
      <c r="M871" s="49"/>
      <c r="N871" s="49"/>
      <c r="O871" s="49"/>
      <c r="P871" s="49"/>
      <c r="Q871" s="49"/>
      <c r="R871" s="49"/>
      <c r="S871" s="49"/>
      <c r="T871" s="49"/>
      <c r="U871" s="49"/>
      <c r="V871" s="49"/>
      <c r="W871" s="49"/>
      <c r="X871" s="49"/>
      <c r="Y871" s="49"/>
      <c r="Z871" s="49"/>
      <c r="AA871" s="49"/>
      <c r="AB871" s="49"/>
      <c r="AC871" s="49"/>
      <c r="AD871" s="49"/>
      <c r="AE871" s="49"/>
      <c r="AF871" s="49"/>
      <c r="AG871" s="49"/>
      <c r="AH871" s="49"/>
      <c r="AI871" s="49"/>
      <c r="AJ871" s="49"/>
      <c r="AK871" s="49"/>
      <c r="AL871" s="49"/>
      <c r="AM871" s="49"/>
      <c r="AN871" s="49"/>
      <c r="AO871" s="49"/>
      <c r="AP871" s="49"/>
      <c r="AQ871" s="51"/>
      <c r="AR871" s="208"/>
      <c r="AS871" s="49"/>
      <c r="AT871" s="49"/>
      <c r="AU871" s="49"/>
      <c r="AV871" s="49"/>
      <c r="AW871" s="49"/>
      <c r="AX871" s="49"/>
      <c r="AY871" s="52"/>
    </row>
    <row r="872" spans="1:53" ht="13.5" customHeight="1">
      <c r="A872" s="56"/>
      <c r="B872" s="50"/>
      <c r="C872" s="49"/>
      <c r="D872" s="49"/>
      <c r="E872" s="49"/>
      <c r="F872" s="49"/>
      <c r="G872" s="49"/>
      <c r="H872" s="49"/>
      <c r="I872" s="51"/>
      <c r="J872" s="656"/>
      <c r="K872" s="657"/>
      <c r="L872" s="50"/>
      <c r="M872" s="49"/>
      <c r="N872" s="49"/>
      <c r="O872" s="49"/>
      <c r="P872" s="49"/>
      <c r="Q872" s="49"/>
      <c r="R872" s="49"/>
      <c r="S872" s="49"/>
      <c r="T872" s="49"/>
      <c r="U872" s="49"/>
      <c r="V872" s="49"/>
      <c r="W872" s="49"/>
      <c r="X872" s="49"/>
      <c r="Y872" s="49"/>
      <c r="Z872" s="49"/>
      <c r="AA872" s="49"/>
      <c r="AB872" s="49"/>
      <c r="AC872" s="49"/>
      <c r="AD872" s="49"/>
      <c r="AE872" s="49"/>
      <c r="AF872" s="49"/>
      <c r="AG872" s="49"/>
      <c r="AH872" s="49"/>
      <c r="AI872" s="49"/>
      <c r="AJ872" s="49"/>
      <c r="AK872" s="49"/>
      <c r="AL872" s="49"/>
      <c r="AM872" s="49"/>
      <c r="AN872" s="49"/>
      <c r="AO872" s="49"/>
      <c r="AP872" s="49"/>
      <c r="AQ872" s="51"/>
      <c r="AR872" s="208"/>
      <c r="AS872" s="49"/>
      <c r="AT872" s="49"/>
      <c r="AU872" s="49"/>
      <c r="AV872" s="49"/>
      <c r="AW872" s="49"/>
      <c r="AX872" s="49"/>
      <c r="AY872" s="52"/>
    </row>
    <row r="873" spans="1:53" ht="13.5" customHeight="1">
      <c r="A873" s="99">
        <v>15</v>
      </c>
      <c r="B873" s="53" t="s">
        <v>260</v>
      </c>
      <c r="C873" s="54"/>
      <c r="D873" s="54"/>
      <c r="E873" s="54"/>
      <c r="F873" s="54"/>
      <c r="G873" s="54"/>
      <c r="H873" s="54"/>
      <c r="I873" s="54"/>
      <c r="J873" s="41"/>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c r="AL873" s="54"/>
      <c r="AM873" s="54"/>
      <c r="AN873" s="54"/>
      <c r="AO873" s="54"/>
      <c r="AP873" s="54"/>
      <c r="AQ873" s="54"/>
      <c r="AR873" s="212"/>
      <c r="AS873" s="54"/>
      <c r="AT873" s="54"/>
      <c r="AU873" s="54"/>
      <c r="AV873" s="54"/>
      <c r="AW873" s="54"/>
      <c r="AX873" s="54"/>
      <c r="AY873" s="55"/>
    </row>
    <row r="874" spans="1:53" ht="13.5" customHeight="1">
      <c r="A874" s="56"/>
      <c r="B874" s="50"/>
      <c r="C874" s="49"/>
      <c r="D874" s="49"/>
      <c r="E874" s="49"/>
      <c r="F874" s="49"/>
      <c r="G874" s="49"/>
      <c r="H874" s="49"/>
      <c r="I874" s="51"/>
      <c r="J874" s="656"/>
      <c r="K874" s="657"/>
      <c r="L874" s="50" t="s">
        <v>268</v>
      </c>
      <c r="M874" s="49"/>
      <c r="N874" s="49"/>
      <c r="O874" s="49"/>
      <c r="P874" s="49"/>
      <c r="Q874" s="49"/>
      <c r="R874" s="49"/>
      <c r="S874" s="49"/>
      <c r="T874" s="49"/>
      <c r="U874" s="49"/>
      <c r="V874" s="49"/>
      <c r="W874" s="49"/>
      <c r="X874" s="49"/>
      <c r="Y874" s="49"/>
      <c r="Z874" s="49"/>
      <c r="AA874" s="49"/>
      <c r="AB874" s="49"/>
      <c r="AC874" s="49"/>
      <c r="AD874" s="49"/>
      <c r="AE874" s="49"/>
      <c r="AF874" s="49"/>
      <c r="AG874" s="49"/>
      <c r="AH874" s="49"/>
      <c r="AI874" s="49"/>
      <c r="AJ874" s="49"/>
      <c r="AK874" s="49"/>
      <c r="AL874" s="49"/>
      <c r="AM874" s="49"/>
      <c r="AN874" s="49"/>
      <c r="AO874" s="49"/>
      <c r="AP874" s="49"/>
      <c r="AQ874" s="51"/>
      <c r="AR874" s="208"/>
      <c r="AS874" s="49"/>
      <c r="AT874" s="49"/>
      <c r="AU874" s="49"/>
      <c r="AV874" s="49"/>
      <c r="AW874" s="49"/>
      <c r="AX874" s="49"/>
      <c r="AY874" s="52"/>
    </row>
    <row r="875" spans="1:53" ht="13.5" customHeight="1">
      <c r="A875" s="61"/>
      <c r="B875" s="58"/>
      <c r="C875" s="57"/>
      <c r="D875" s="57"/>
      <c r="E875" s="57"/>
      <c r="F875" s="57"/>
      <c r="G875" s="57"/>
      <c r="H875" s="57"/>
      <c r="I875" s="59"/>
      <c r="J875" s="658"/>
      <c r="K875" s="659"/>
      <c r="L875" s="58"/>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59"/>
      <c r="AR875" s="192"/>
      <c r="AS875" s="57"/>
      <c r="AT875" s="57"/>
      <c r="AU875" s="57"/>
      <c r="AV875" s="57"/>
      <c r="AW875" s="57"/>
      <c r="AX875" s="57"/>
      <c r="AY875" s="60"/>
    </row>
    <row r="876" spans="1:53" ht="13.5" customHeight="1">
      <c r="A876" s="185">
        <v>16</v>
      </c>
      <c r="B876" s="64" t="s">
        <v>261</v>
      </c>
      <c r="C876" s="63"/>
      <c r="D876" s="63"/>
      <c r="E876" s="63"/>
      <c r="F876" s="63"/>
      <c r="G876" s="63"/>
      <c r="H876" s="63"/>
      <c r="I876" s="63"/>
      <c r="J876" s="98"/>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214"/>
      <c r="AS876" s="63"/>
      <c r="AT876" s="63"/>
      <c r="AU876" s="63"/>
      <c r="AV876" s="63"/>
      <c r="AW876" s="63"/>
      <c r="AX876" s="63"/>
      <c r="AY876" s="184"/>
    </row>
    <row r="877" spans="1:53" ht="13.5" customHeight="1">
      <c r="A877" s="56"/>
      <c r="B877" s="50"/>
      <c r="C877" s="49"/>
      <c r="D877" s="49"/>
      <c r="E877" s="49"/>
      <c r="F877" s="49"/>
      <c r="G877" s="49"/>
      <c r="H877" s="49"/>
      <c r="I877" s="51"/>
      <c r="J877" s="656"/>
      <c r="K877" s="657"/>
      <c r="L877" s="50" t="s">
        <v>269</v>
      </c>
      <c r="M877" s="49"/>
      <c r="N877" s="49"/>
      <c r="O877" s="49"/>
      <c r="P877" s="49"/>
      <c r="Q877" s="49"/>
      <c r="R877" s="49"/>
      <c r="S877" s="49"/>
      <c r="T877" s="49"/>
      <c r="U877" s="49"/>
      <c r="V877" s="49"/>
      <c r="W877" s="49"/>
      <c r="X877" s="49"/>
      <c r="Y877" s="49"/>
      <c r="Z877" s="49"/>
      <c r="AA877" s="49"/>
      <c r="AB877" s="49"/>
      <c r="AC877" s="49"/>
      <c r="AD877" s="49"/>
      <c r="AE877" s="49"/>
      <c r="AF877" s="49"/>
      <c r="AG877" s="49"/>
      <c r="AH877" s="49"/>
      <c r="AI877" s="49"/>
      <c r="AJ877" s="49"/>
      <c r="AK877" s="49"/>
      <c r="AL877" s="49"/>
      <c r="AM877" s="49"/>
      <c r="AN877" s="49"/>
      <c r="AO877" s="49"/>
      <c r="AP877" s="49"/>
      <c r="AQ877" s="51"/>
      <c r="AR877" s="208"/>
      <c r="AS877" s="49"/>
      <c r="AT877" s="49"/>
      <c r="AU877" s="49"/>
      <c r="AV877" s="49"/>
      <c r="AW877" s="49"/>
      <c r="AX877" s="49"/>
      <c r="AY877" s="52"/>
    </row>
    <row r="878" spans="1:53" ht="13.5" customHeight="1">
      <c r="A878" s="56"/>
      <c r="B878" s="50"/>
      <c r="C878" s="49"/>
      <c r="D878" s="49"/>
      <c r="E878" s="49"/>
      <c r="F878" s="49"/>
      <c r="G878" s="49"/>
      <c r="H878" s="49"/>
      <c r="I878" s="51"/>
      <c r="J878" s="656"/>
      <c r="K878" s="657"/>
      <c r="L878" s="50"/>
      <c r="M878" s="49"/>
      <c r="N878" s="49"/>
      <c r="O878" s="49"/>
      <c r="P878" s="49"/>
      <c r="Q878" s="49"/>
      <c r="R878" s="49"/>
      <c r="S878" s="49"/>
      <c r="T878" s="49"/>
      <c r="U878" s="49"/>
      <c r="V878" s="49"/>
      <c r="W878" s="49"/>
      <c r="X878" s="49"/>
      <c r="Y878" s="49"/>
      <c r="Z878" s="49"/>
      <c r="AA878" s="49"/>
      <c r="AB878" s="49"/>
      <c r="AC878" s="49"/>
      <c r="AD878" s="49"/>
      <c r="AE878" s="49"/>
      <c r="AF878" s="49"/>
      <c r="AG878" s="49"/>
      <c r="AH878" s="49"/>
      <c r="AI878" s="49"/>
      <c r="AJ878" s="49"/>
      <c r="AK878" s="49"/>
      <c r="AL878" s="49"/>
      <c r="AM878" s="49"/>
      <c r="AN878" s="49"/>
      <c r="AO878" s="49"/>
      <c r="AP878" s="49"/>
      <c r="AQ878" s="51"/>
      <c r="AR878" s="208"/>
      <c r="AS878" s="49"/>
      <c r="AT878" s="49"/>
      <c r="AU878" s="49"/>
      <c r="AV878" s="49"/>
      <c r="AW878" s="49"/>
      <c r="AX878" s="49"/>
      <c r="AY878" s="52"/>
    </row>
    <row r="879" spans="1:53" ht="13.5" customHeight="1">
      <c r="A879" s="99">
        <v>17</v>
      </c>
      <c r="B879" s="53" t="s">
        <v>266</v>
      </c>
      <c r="C879" s="54"/>
      <c r="D879" s="54"/>
      <c r="E879" s="54"/>
      <c r="F879" s="54"/>
      <c r="G879" s="54"/>
      <c r="H879" s="54"/>
      <c r="I879" s="54"/>
      <c r="J879" s="41"/>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c r="AL879" s="54"/>
      <c r="AM879" s="54"/>
      <c r="AN879" s="54"/>
      <c r="AO879" s="54"/>
      <c r="AP879" s="54"/>
      <c r="AQ879" s="54"/>
      <c r="AR879" s="212"/>
      <c r="AS879" s="54"/>
      <c r="AT879" s="54"/>
      <c r="AU879" s="54"/>
      <c r="AV879" s="54"/>
      <c r="AW879" s="54"/>
      <c r="AX879" s="54"/>
      <c r="AY879" s="55"/>
    </row>
    <row r="880" spans="1:53" ht="13.5" customHeight="1">
      <c r="A880" s="56"/>
      <c r="B880" s="50"/>
      <c r="C880" s="49"/>
      <c r="D880" s="49"/>
      <c r="E880" s="49"/>
      <c r="F880" s="49"/>
      <c r="G880" s="49"/>
      <c r="H880" s="49"/>
      <c r="I880" s="51"/>
      <c r="J880" s="656"/>
      <c r="K880" s="657"/>
      <c r="L880" s="50" t="s">
        <v>270</v>
      </c>
      <c r="M880" s="49"/>
      <c r="N880" s="49"/>
      <c r="O880" s="49"/>
      <c r="P880" s="49"/>
      <c r="Q880" s="49"/>
      <c r="R880" s="49"/>
      <c r="S880" s="49"/>
      <c r="T880" s="49"/>
      <c r="U880" s="49"/>
      <c r="V880" s="49"/>
      <c r="W880" s="49"/>
      <c r="X880" s="49"/>
      <c r="Y880" s="49"/>
      <c r="Z880" s="49"/>
      <c r="AA880" s="49"/>
      <c r="AB880" s="49"/>
      <c r="AC880" s="49"/>
      <c r="AD880" s="49"/>
      <c r="AE880" s="49"/>
      <c r="AF880" s="49"/>
      <c r="AG880" s="49"/>
      <c r="AH880" s="49"/>
      <c r="AI880" s="49"/>
      <c r="AJ880" s="49"/>
      <c r="AK880" s="49"/>
      <c r="AL880" s="49"/>
      <c r="AM880" s="49"/>
      <c r="AN880" s="49"/>
      <c r="AO880" s="49"/>
      <c r="AP880" s="49"/>
      <c r="AQ880" s="51"/>
      <c r="AR880" s="208"/>
      <c r="AS880" s="49"/>
      <c r="AT880" s="49"/>
      <c r="AU880" s="49"/>
      <c r="AV880" s="49"/>
      <c r="AW880" s="49"/>
      <c r="AX880" s="49"/>
      <c r="AY880" s="52"/>
    </row>
    <row r="881" spans="1:51" ht="13.5" customHeight="1" thickBot="1">
      <c r="A881" s="321"/>
      <c r="B881" s="322"/>
      <c r="C881" s="323"/>
      <c r="D881" s="323"/>
      <c r="E881" s="323"/>
      <c r="F881" s="323"/>
      <c r="G881" s="323"/>
      <c r="H881" s="323"/>
      <c r="I881" s="324"/>
      <c r="J881" s="713"/>
      <c r="K881" s="714"/>
      <c r="L881" s="322"/>
      <c r="M881" s="323"/>
      <c r="N881" s="323"/>
      <c r="O881" s="323"/>
      <c r="P881" s="323"/>
      <c r="Q881" s="323"/>
      <c r="R881" s="323"/>
      <c r="S881" s="323"/>
      <c r="T881" s="323"/>
      <c r="U881" s="323"/>
      <c r="V881" s="323"/>
      <c r="W881" s="323"/>
      <c r="X881" s="323"/>
      <c r="Y881" s="323"/>
      <c r="Z881" s="323"/>
      <c r="AA881" s="323"/>
      <c r="AB881" s="323"/>
      <c r="AC881" s="323"/>
      <c r="AD881" s="323"/>
      <c r="AE881" s="323"/>
      <c r="AF881" s="323"/>
      <c r="AG881" s="323"/>
      <c r="AH881" s="323"/>
      <c r="AI881" s="323"/>
      <c r="AJ881" s="323"/>
      <c r="AK881" s="323"/>
      <c r="AL881" s="323"/>
      <c r="AM881" s="323"/>
      <c r="AN881" s="323"/>
      <c r="AO881" s="323"/>
      <c r="AP881" s="323"/>
      <c r="AQ881" s="324"/>
      <c r="AR881" s="327"/>
      <c r="AS881" s="323"/>
      <c r="AT881" s="323"/>
      <c r="AU881" s="323"/>
      <c r="AV881" s="323"/>
      <c r="AW881" s="323"/>
      <c r="AX881" s="323"/>
      <c r="AY881" s="328"/>
    </row>
    <row r="882" spans="1:51" s="32" customFormat="1" ht="13.5" customHeight="1">
      <c r="A882" s="185">
        <v>18</v>
      </c>
      <c r="B882" s="64" t="s">
        <v>629</v>
      </c>
      <c r="C882" s="63"/>
      <c r="D882" s="63"/>
      <c r="E882" s="63"/>
      <c r="F882" s="63"/>
      <c r="G882" s="63"/>
      <c r="H882" s="63"/>
      <c r="I882" s="63"/>
      <c r="J882" s="98"/>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184"/>
    </row>
    <row r="883" spans="1:51" s="32" customFormat="1" ht="13.5" customHeight="1">
      <c r="A883" s="56"/>
      <c r="B883" s="50"/>
      <c r="C883" s="49"/>
      <c r="D883" s="49"/>
      <c r="E883" s="49"/>
      <c r="F883" s="49"/>
      <c r="G883" s="49"/>
      <c r="H883" s="49"/>
      <c r="I883" s="51"/>
      <c r="J883" s="717" t="s">
        <v>56</v>
      </c>
      <c r="K883" s="718"/>
      <c r="L883" s="139" t="s">
        <v>637</v>
      </c>
      <c r="M883" s="139"/>
      <c r="N883" s="139"/>
      <c r="O883" s="139"/>
      <c r="P883" s="139"/>
      <c r="Q883" s="139"/>
      <c r="R883" s="139"/>
      <c r="S883" s="139"/>
      <c r="T883" s="139"/>
      <c r="U883" s="139"/>
      <c r="V883" s="139"/>
      <c r="W883" s="139"/>
      <c r="X883" s="139"/>
      <c r="Y883" s="139"/>
      <c r="Z883" s="139"/>
      <c r="AA883" s="139"/>
      <c r="AB883" s="139"/>
      <c r="AC883" s="139"/>
      <c r="AD883" s="139"/>
      <c r="AE883" s="139"/>
      <c r="AF883" s="139"/>
      <c r="AG883" s="139"/>
      <c r="AH883" s="139"/>
      <c r="AI883" s="139"/>
      <c r="AJ883" s="139"/>
      <c r="AK883" s="139"/>
      <c r="AL883" s="139"/>
      <c r="AM883" s="139"/>
      <c r="AN883" s="139"/>
      <c r="AO883" s="139"/>
      <c r="AP883" s="139"/>
      <c r="AQ883" s="51"/>
      <c r="AR883" s="49"/>
      <c r="AS883" s="49"/>
      <c r="AT883" s="49"/>
      <c r="AU883" s="49"/>
      <c r="AV883" s="49"/>
      <c r="AW883" s="49"/>
      <c r="AX883" s="49"/>
      <c r="AY883" s="52"/>
    </row>
    <row r="884" spans="1:51" s="32" customFormat="1" ht="13.5" customHeight="1">
      <c r="A884" s="56"/>
      <c r="B884" s="50"/>
      <c r="C884" s="49"/>
      <c r="D884" s="49"/>
      <c r="E884" s="49"/>
      <c r="F884" s="49"/>
      <c r="G884" s="49"/>
      <c r="H884" s="49"/>
      <c r="I884" s="51"/>
      <c r="J884" s="350"/>
      <c r="K884" s="351"/>
      <c r="L884" s="139"/>
      <c r="M884" s="139" t="s">
        <v>683</v>
      </c>
      <c r="N884" s="139"/>
      <c r="O884" s="139"/>
      <c r="P884" s="139"/>
      <c r="Q884" s="139"/>
      <c r="R884" s="139"/>
      <c r="S884" s="139"/>
      <c r="T884" s="139"/>
      <c r="U884" s="139"/>
      <c r="V884" s="139"/>
      <c r="W884" s="139"/>
      <c r="X884" s="139"/>
      <c r="Y884" s="139"/>
      <c r="Z884" s="139"/>
      <c r="AA884" s="139"/>
      <c r="AB884" s="139"/>
      <c r="AC884" s="139"/>
      <c r="AD884" s="139"/>
      <c r="AE884" s="139"/>
      <c r="AF884" s="139"/>
      <c r="AG884" s="139"/>
      <c r="AH884" s="139"/>
      <c r="AI884" s="139"/>
      <c r="AJ884" s="139"/>
      <c r="AK884" s="139"/>
      <c r="AL884" s="139"/>
      <c r="AM884" s="139"/>
      <c r="AN884" s="139"/>
      <c r="AO884" s="139"/>
      <c r="AP884" s="139"/>
      <c r="AQ884" s="51"/>
      <c r="AR884" s="49"/>
      <c r="AS884" s="49"/>
      <c r="AT884" s="49"/>
      <c r="AU884" s="49"/>
      <c r="AV884" s="49"/>
      <c r="AW884" s="49"/>
      <c r="AX884" s="49"/>
      <c r="AY884" s="52"/>
    </row>
    <row r="885" spans="1:51" s="32" customFormat="1" ht="13.5" customHeight="1">
      <c r="A885" s="56"/>
      <c r="B885" s="50"/>
      <c r="C885" s="49"/>
      <c r="D885" s="49"/>
      <c r="E885" s="49"/>
      <c r="F885" s="49"/>
      <c r="G885" s="49"/>
      <c r="H885" s="49"/>
      <c r="I885" s="51"/>
      <c r="J885" s="350"/>
      <c r="K885" s="351"/>
      <c r="L885" s="141"/>
      <c r="M885" s="139"/>
      <c r="N885" s="505"/>
      <c r="O885" s="505"/>
      <c r="P885" s="505"/>
      <c r="Q885" s="505"/>
      <c r="R885" s="505"/>
      <c r="S885" s="505"/>
      <c r="T885" s="139"/>
      <c r="U885" s="139"/>
      <c r="V885" s="139"/>
      <c r="W885" s="139"/>
      <c r="X885" s="139"/>
      <c r="Y885" s="139"/>
      <c r="Z885" s="139"/>
      <c r="AA885" s="139"/>
      <c r="AB885" s="139"/>
      <c r="AC885" s="139"/>
      <c r="AD885" s="139"/>
      <c r="AE885" s="139"/>
      <c r="AF885" s="139"/>
      <c r="AG885" s="139"/>
      <c r="AH885" s="139"/>
      <c r="AI885" s="139"/>
      <c r="AJ885" s="139"/>
      <c r="AK885" s="139"/>
      <c r="AL885" s="139"/>
      <c r="AM885" s="139"/>
      <c r="AN885" s="139"/>
      <c r="AO885" s="139"/>
      <c r="AP885" s="139"/>
      <c r="AQ885" s="51"/>
      <c r="AR885" s="49"/>
      <c r="AS885" s="49"/>
      <c r="AT885" s="49"/>
      <c r="AU885" s="49"/>
      <c r="AV885" s="49"/>
      <c r="AW885" s="49"/>
      <c r="AX885" s="49"/>
      <c r="AY885" s="52"/>
    </row>
    <row r="886" spans="1:51" s="32" customFormat="1" ht="13.5" customHeight="1">
      <c r="A886" s="56"/>
      <c r="B886" s="50"/>
      <c r="C886" s="49"/>
      <c r="D886" s="49"/>
      <c r="E886" s="49"/>
      <c r="F886" s="49"/>
      <c r="G886" s="49"/>
      <c r="H886" s="49"/>
      <c r="I886" s="51"/>
      <c r="J886" s="350"/>
      <c r="K886" s="351"/>
      <c r="L886" s="141"/>
      <c r="M886" s="139" t="s">
        <v>638</v>
      </c>
      <c r="N886" s="505"/>
      <c r="O886" s="505"/>
      <c r="P886" s="505"/>
      <c r="Q886" s="505"/>
      <c r="R886" s="505"/>
      <c r="S886" s="505"/>
      <c r="T886" s="139"/>
      <c r="U886" s="139"/>
      <c r="V886" s="139"/>
      <c r="W886" s="139"/>
      <c r="X886" s="139"/>
      <c r="Y886" s="139"/>
      <c r="Z886" s="139"/>
      <c r="AA886" s="139"/>
      <c r="AB886" s="139"/>
      <c r="AC886" s="139"/>
      <c r="AD886" s="139"/>
      <c r="AE886" s="139"/>
      <c r="AF886" s="139"/>
      <c r="AG886" s="139"/>
      <c r="AH886" s="139"/>
      <c r="AI886" s="139"/>
      <c r="AJ886" s="139"/>
      <c r="AK886" s="139"/>
      <c r="AL886" s="139"/>
      <c r="AM886" s="139"/>
      <c r="AN886" s="139"/>
      <c r="AO886" s="139"/>
      <c r="AP886" s="139"/>
      <c r="AQ886" s="51"/>
      <c r="AR886" s="49"/>
      <c r="AS886" s="49"/>
      <c r="AT886" s="49"/>
      <c r="AU886" s="49"/>
      <c r="AV886" s="49"/>
      <c r="AW886" s="49"/>
      <c r="AX886" s="49"/>
      <c r="AY886" s="52"/>
    </row>
    <row r="887" spans="1:51" s="32" customFormat="1" ht="13.5" customHeight="1">
      <c r="A887" s="56"/>
      <c r="B887" s="50"/>
      <c r="C887" s="49"/>
      <c r="D887" s="49"/>
      <c r="E887" s="49"/>
      <c r="F887" s="49"/>
      <c r="G887" s="49"/>
      <c r="H887" s="49"/>
      <c r="I887" s="51"/>
      <c r="J887" s="350"/>
      <c r="K887" s="351"/>
      <c r="L887" s="141"/>
      <c r="M887" s="139"/>
      <c r="N887" s="536" t="s">
        <v>619</v>
      </c>
      <c r="O887" s="505"/>
      <c r="P887" s="505"/>
      <c r="Q887" s="505"/>
      <c r="R887" s="505"/>
      <c r="S887" s="505"/>
      <c r="T887" s="139"/>
      <c r="U887" s="139"/>
      <c r="V887" s="139"/>
      <c r="W887" s="139"/>
      <c r="X887" s="139"/>
      <c r="Y887" s="139"/>
      <c r="Z887" s="139"/>
      <c r="AA887" s="139"/>
      <c r="AB887" s="139"/>
      <c r="AC887" s="139"/>
      <c r="AD887" s="139"/>
      <c r="AE887" s="139"/>
      <c r="AF887" s="139"/>
      <c r="AG887" s="139"/>
      <c r="AH887" s="139"/>
      <c r="AI887" s="139"/>
      <c r="AJ887" s="139"/>
      <c r="AK887" s="139"/>
      <c r="AL887" s="139"/>
      <c r="AM887" s="139"/>
      <c r="AN887" s="139"/>
      <c r="AO887" s="139"/>
      <c r="AP887" s="139"/>
      <c r="AQ887" s="51"/>
      <c r="AR887" s="49"/>
      <c r="AS887" s="49"/>
      <c r="AT887" s="49"/>
      <c r="AU887" s="49"/>
      <c r="AV887" s="49"/>
      <c r="AW887" s="49"/>
      <c r="AX887" s="49"/>
      <c r="AY887" s="52"/>
    </row>
    <row r="888" spans="1:51" s="32" customFormat="1" ht="13.5" customHeight="1">
      <c r="A888" s="56"/>
      <c r="B888" s="50"/>
      <c r="C888" s="49"/>
      <c r="D888" s="49"/>
      <c r="E888" s="49"/>
      <c r="F888" s="49"/>
      <c r="G888" s="49"/>
      <c r="H888" s="49"/>
      <c r="I888" s="51"/>
      <c r="J888" s="350"/>
      <c r="K888" s="351"/>
      <c r="L888" s="141"/>
      <c r="M888" s="139"/>
      <c r="N888" s="505"/>
      <c r="O888" s="139" t="s">
        <v>620</v>
      </c>
      <c r="P888" s="505"/>
      <c r="Q888" s="505"/>
      <c r="R888" s="505"/>
      <c r="S888" s="139"/>
      <c r="T888" s="139"/>
      <c r="U888" s="139"/>
      <c r="V888" s="139"/>
      <c r="W888" s="139"/>
      <c r="X888" s="139"/>
      <c r="Y888" s="139"/>
      <c r="Z888" s="139"/>
      <c r="AA888" s="139"/>
      <c r="AB888" s="139"/>
      <c r="AC888" s="139"/>
      <c r="AD888" s="139"/>
      <c r="AE888" s="139"/>
      <c r="AF888" s="139"/>
      <c r="AG888" s="139"/>
      <c r="AH888" s="139"/>
      <c r="AI888" s="139"/>
      <c r="AJ888" s="139"/>
      <c r="AK888" s="139"/>
      <c r="AL888" s="139"/>
      <c r="AM888" s="139"/>
      <c r="AN888" s="139"/>
      <c r="AO888" s="139"/>
      <c r="AP888" s="139"/>
      <c r="AQ888" s="51"/>
      <c r="AR888" s="49"/>
      <c r="AS888" s="49"/>
      <c r="AT888" s="49"/>
      <c r="AU888" s="49"/>
      <c r="AV888" s="49"/>
      <c r="AW888" s="49"/>
      <c r="AX888" s="49"/>
      <c r="AY888" s="52"/>
    </row>
    <row r="889" spans="1:51" s="32" customFormat="1" ht="13.5" customHeight="1">
      <c r="A889" s="56"/>
      <c r="B889" s="50"/>
      <c r="C889" s="49"/>
      <c r="D889" s="49"/>
      <c r="E889" s="49"/>
      <c r="F889" s="49"/>
      <c r="G889" s="49"/>
      <c r="H889" s="49"/>
      <c r="I889" s="51"/>
      <c r="J889" s="350"/>
      <c r="K889" s="351"/>
      <c r="L889" s="141"/>
      <c r="M889" s="139"/>
      <c r="N889" s="505"/>
      <c r="O889" s="505"/>
      <c r="P889" s="505"/>
      <c r="Q889" s="505"/>
      <c r="R889" s="505"/>
      <c r="S889" s="505"/>
      <c r="T889" s="139"/>
      <c r="U889" s="139"/>
      <c r="V889" s="139"/>
      <c r="W889" s="139"/>
      <c r="X889" s="139"/>
      <c r="Y889" s="139"/>
      <c r="Z889" s="139"/>
      <c r="AA889" s="139"/>
      <c r="AB889" s="139"/>
      <c r="AC889" s="139"/>
      <c r="AD889" s="139"/>
      <c r="AE889" s="139"/>
      <c r="AF889" s="139"/>
      <c r="AG889" s="139"/>
      <c r="AH889" s="139"/>
      <c r="AI889" s="139"/>
      <c r="AJ889" s="139"/>
      <c r="AK889" s="139"/>
      <c r="AL889" s="139"/>
      <c r="AM889" s="139"/>
      <c r="AN889" s="139"/>
      <c r="AO889" s="139"/>
      <c r="AP889" s="139"/>
      <c r="AQ889" s="51"/>
      <c r="AR889" s="49"/>
      <c r="AS889" s="49"/>
      <c r="AT889" s="49"/>
      <c r="AU889" s="49"/>
      <c r="AV889" s="49"/>
      <c r="AW889" s="49"/>
      <c r="AX889" s="49"/>
      <c r="AY889" s="52"/>
    </row>
    <row r="890" spans="1:51" s="32" customFormat="1" ht="13.5" customHeight="1">
      <c r="A890" s="56"/>
      <c r="B890" s="50"/>
      <c r="C890" s="49"/>
      <c r="D890" s="49"/>
      <c r="E890" s="49"/>
      <c r="F890" s="49"/>
      <c r="G890" s="49"/>
      <c r="H890" s="49"/>
      <c r="I890" s="51"/>
      <c r="J890" s="350"/>
      <c r="K890" s="351"/>
      <c r="L890" s="141"/>
      <c r="M890" s="139"/>
      <c r="N890" s="505" t="s">
        <v>621</v>
      </c>
      <c r="O890" s="139"/>
      <c r="P890" s="505"/>
      <c r="Q890" s="505"/>
      <c r="R890" s="505"/>
      <c r="S890" s="139"/>
      <c r="T890" s="139"/>
      <c r="U890" s="139"/>
      <c r="V890" s="139"/>
      <c r="W890" s="139"/>
      <c r="X890" s="139"/>
      <c r="Y890" s="139"/>
      <c r="Z890" s="139"/>
      <c r="AA890" s="139"/>
      <c r="AB890" s="139"/>
      <c r="AC890" s="139"/>
      <c r="AD890" s="139"/>
      <c r="AE890" s="139"/>
      <c r="AF890" s="139"/>
      <c r="AG890" s="139"/>
      <c r="AH890" s="139"/>
      <c r="AI890" s="139"/>
      <c r="AJ890" s="139"/>
      <c r="AK890" s="139"/>
      <c r="AL890" s="139"/>
      <c r="AM890" s="139"/>
      <c r="AN890" s="139"/>
      <c r="AO890" s="139"/>
      <c r="AP890" s="139"/>
      <c r="AQ890" s="51"/>
      <c r="AR890" s="49"/>
      <c r="AS890" s="49"/>
      <c r="AT890" s="49"/>
      <c r="AU890" s="49"/>
      <c r="AV890" s="49"/>
      <c r="AW890" s="49"/>
      <c r="AX890" s="49"/>
      <c r="AY890" s="52"/>
    </row>
    <row r="891" spans="1:51" s="32" customFormat="1" ht="13.5" customHeight="1">
      <c r="A891" s="56"/>
      <c r="B891" s="50"/>
      <c r="C891" s="49"/>
      <c r="D891" s="49"/>
      <c r="E891" s="49"/>
      <c r="F891" s="49"/>
      <c r="G891" s="49"/>
      <c r="H891" s="49"/>
      <c r="I891" s="51"/>
      <c r="J891" s="350"/>
      <c r="K891" s="351"/>
      <c r="L891" s="141"/>
      <c r="M891" s="139"/>
      <c r="N891" s="505"/>
      <c r="O891" s="505" t="s">
        <v>622</v>
      </c>
      <c r="P891" s="505"/>
      <c r="Q891" s="505"/>
      <c r="R891" s="505"/>
      <c r="S891" s="505"/>
      <c r="T891" s="139"/>
      <c r="U891" s="139"/>
      <c r="V891" s="139"/>
      <c r="W891" s="139"/>
      <c r="X891" s="139"/>
      <c r="Y891" s="139"/>
      <c r="Z891" s="139"/>
      <c r="AA891" s="139"/>
      <c r="AB891" s="139"/>
      <c r="AC891" s="139"/>
      <c r="AD891" s="139"/>
      <c r="AE891" s="139"/>
      <c r="AF891" s="139"/>
      <c r="AG891" s="139"/>
      <c r="AH891" s="139"/>
      <c r="AI891" s="139"/>
      <c r="AJ891" s="139"/>
      <c r="AK891" s="139"/>
      <c r="AL891" s="139"/>
      <c r="AM891" s="139"/>
      <c r="AN891" s="139"/>
      <c r="AO891" s="139"/>
      <c r="AP891" s="139"/>
      <c r="AQ891" s="51"/>
      <c r="AR891" s="49"/>
      <c r="AS891" s="49"/>
      <c r="AT891" s="49"/>
      <c r="AU891" s="49"/>
      <c r="AV891" s="49"/>
      <c r="AW891" s="49"/>
      <c r="AX891" s="49"/>
      <c r="AY891" s="52"/>
    </row>
    <row r="892" spans="1:51" s="32" customFormat="1" ht="13.5" customHeight="1">
      <c r="A892" s="56"/>
      <c r="B892" s="50"/>
      <c r="C892" s="49"/>
      <c r="D892" s="49"/>
      <c r="E892" s="49"/>
      <c r="F892" s="49"/>
      <c r="G892" s="49"/>
      <c r="H892" s="49"/>
      <c r="I892" s="51"/>
      <c r="J892" s="350"/>
      <c r="K892" s="351"/>
      <c r="L892" s="141"/>
      <c r="M892" s="139"/>
      <c r="N892" s="505"/>
      <c r="O892" s="139"/>
      <c r="P892" s="505"/>
      <c r="Q892" s="505"/>
      <c r="R892" s="505"/>
      <c r="S892" s="139"/>
      <c r="T892" s="139"/>
      <c r="U892" s="139"/>
      <c r="V892" s="139"/>
      <c r="W892" s="139"/>
      <c r="X892" s="139"/>
      <c r="Y892" s="139"/>
      <c r="Z892" s="139"/>
      <c r="AA892" s="139"/>
      <c r="AB892" s="139"/>
      <c r="AC892" s="139"/>
      <c r="AD892" s="139"/>
      <c r="AE892" s="139"/>
      <c r="AF892" s="139"/>
      <c r="AG892" s="139"/>
      <c r="AH892" s="139"/>
      <c r="AI892" s="139"/>
      <c r="AJ892" s="139"/>
      <c r="AK892" s="139"/>
      <c r="AL892" s="139"/>
      <c r="AM892" s="139"/>
      <c r="AN892" s="139"/>
      <c r="AO892" s="139"/>
      <c r="AP892" s="139"/>
      <c r="AQ892" s="51"/>
      <c r="AR892" s="49"/>
      <c r="AS892" s="49"/>
      <c r="AT892" s="49"/>
      <c r="AU892" s="49"/>
      <c r="AV892" s="49"/>
      <c r="AW892" s="49"/>
      <c r="AX892" s="49"/>
      <c r="AY892" s="52"/>
    </row>
    <row r="893" spans="1:51" s="32" customFormat="1" ht="13.5" customHeight="1">
      <c r="A893" s="56"/>
      <c r="B893" s="50"/>
      <c r="C893" s="49"/>
      <c r="D893" s="49"/>
      <c r="E893" s="49"/>
      <c r="F893" s="49"/>
      <c r="G893" s="49"/>
      <c r="H893" s="49"/>
      <c r="I893" s="51"/>
      <c r="J893" s="350"/>
      <c r="K893" s="351"/>
      <c r="L893" s="141"/>
      <c r="M893" s="139"/>
      <c r="N893" s="536" t="s">
        <v>623</v>
      </c>
      <c r="O893" s="139"/>
      <c r="P893" s="505"/>
      <c r="Q893" s="505"/>
      <c r="R893" s="505"/>
      <c r="S893" s="139"/>
      <c r="T893" s="139"/>
      <c r="U893" s="139"/>
      <c r="V893" s="139"/>
      <c r="W893" s="139"/>
      <c r="X893" s="139"/>
      <c r="Y893" s="139"/>
      <c r="Z893" s="139"/>
      <c r="AA893" s="139"/>
      <c r="AB893" s="139"/>
      <c r="AC893" s="139"/>
      <c r="AD893" s="139"/>
      <c r="AE893" s="139"/>
      <c r="AF893" s="139"/>
      <c r="AG893" s="139"/>
      <c r="AH893" s="139"/>
      <c r="AI893" s="139"/>
      <c r="AJ893" s="139"/>
      <c r="AK893" s="139"/>
      <c r="AL893" s="139"/>
      <c r="AM893" s="139"/>
      <c r="AN893" s="139"/>
      <c r="AO893" s="139"/>
      <c r="AP893" s="139"/>
      <c r="AQ893" s="51"/>
      <c r="AR893" s="49"/>
      <c r="AS893" s="49"/>
      <c r="AT893" s="49"/>
      <c r="AU893" s="49"/>
      <c r="AV893" s="49"/>
      <c r="AW893" s="49"/>
      <c r="AX893" s="49"/>
      <c r="AY893" s="52"/>
    </row>
    <row r="894" spans="1:51" s="32" customFormat="1" ht="13.5" customHeight="1">
      <c r="A894" s="56"/>
      <c r="B894" s="50"/>
      <c r="C894" s="49"/>
      <c r="D894" s="49"/>
      <c r="E894" s="49"/>
      <c r="F894" s="49"/>
      <c r="G894" s="49"/>
      <c r="H894" s="49"/>
      <c r="I894" s="51"/>
      <c r="J894" s="350"/>
      <c r="K894" s="351"/>
      <c r="L894" s="141" t="s">
        <v>624</v>
      </c>
      <c r="M894" s="139"/>
      <c r="N894" s="505"/>
      <c r="O894" s="505" t="s">
        <v>625</v>
      </c>
      <c r="P894" s="505"/>
      <c r="Q894" s="505"/>
      <c r="R894" s="505"/>
      <c r="S894" s="139"/>
      <c r="T894" s="139"/>
      <c r="U894" s="139"/>
      <c r="V894" s="139"/>
      <c r="W894" s="139"/>
      <c r="X894" s="139"/>
      <c r="Y894" s="139"/>
      <c r="Z894" s="139"/>
      <c r="AA894" s="139"/>
      <c r="AB894" s="139"/>
      <c r="AC894" s="139"/>
      <c r="AD894" s="139"/>
      <c r="AE894" s="139"/>
      <c r="AF894" s="139"/>
      <c r="AG894" s="139"/>
      <c r="AH894" s="139"/>
      <c r="AI894" s="139"/>
      <c r="AJ894" s="139"/>
      <c r="AK894" s="139"/>
      <c r="AL894" s="139"/>
      <c r="AM894" s="139"/>
      <c r="AN894" s="139"/>
      <c r="AO894" s="139"/>
      <c r="AP894" s="139"/>
      <c r="AQ894" s="51"/>
      <c r="AR894" s="49"/>
      <c r="AS894" s="49"/>
      <c r="AT894" s="49"/>
      <c r="AU894" s="49"/>
      <c r="AV894" s="49"/>
      <c r="AW894" s="49"/>
      <c r="AX894" s="49"/>
      <c r="AY894" s="52"/>
    </row>
    <row r="895" spans="1:51" s="32" customFormat="1" ht="13.5" customHeight="1">
      <c r="A895" s="56"/>
      <c r="B895" s="50"/>
      <c r="C895" s="49"/>
      <c r="D895" s="49"/>
      <c r="E895" s="49"/>
      <c r="F895" s="49"/>
      <c r="G895" s="49"/>
      <c r="H895" s="49"/>
      <c r="I895" s="51"/>
      <c r="J895" s="350"/>
      <c r="K895" s="351"/>
      <c r="L895" s="141" t="s">
        <v>624</v>
      </c>
      <c r="M895" s="139"/>
      <c r="N895" s="505"/>
      <c r="O895" s="505" t="s">
        <v>626</v>
      </c>
      <c r="P895" s="505"/>
      <c r="Q895" s="505"/>
      <c r="R895" s="505"/>
      <c r="S895" s="139"/>
      <c r="T895" s="139"/>
      <c r="U895" s="139"/>
      <c r="V895" s="139"/>
      <c r="W895" s="139"/>
      <c r="X895" s="139"/>
      <c r="Y895" s="139"/>
      <c r="Z895" s="139"/>
      <c r="AA895" s="139"/>
      <c r="AB895" s="139"/>
      <c r="AC895" s="139"/>
      <c r="AD895" s="139"/>
      <c r="AE895" s="139"/>
      <c r="AF895" s="139"/>
      <c r="AG895" s="139"/>
      <c r="AH895" s="139"/>
      <c r="AI895" s="139"/>
      <c r="AJ895" s="139"/>
      <c r="AK895" s="139"/>
      <c r="AL895" s="139"/>
      <c r="AM895" s="139"/>
      <c r="AN895" s="139"/>
      <c r="AO895" s="139"/>
      <c r="AP895" s="139"/>
      <c r="AQ895" s="51"/>
      <c r="AR895" s="49"/>
      <c r="AS895" s="49"/>
      <c r="AT895" s="49"/>
      <c r="AU895" s="49"/>
      <c r="AV895" s="49"/>
      <c r="AW895" s="49"/>
      <c r="AX895" s="49"/>
      <c r="AY895" s="52"/>
    </row>
    <row r="896" spans="1:51" s="32" customFormat="1" ht="13.5" customHeight="1">
      <c r="A896" s="56"/>
      <c r="B896" s="50"/>
      <c r="C896" s="49"/>
      <c r="D896" s="49"/>
      <c r="E896" s="49"/>
      <c r="F896" s="49"/>
      <c r="G896" s="49"/>
      <c r="H896" s="49"/>
      <c r="I896" s="51"/>
      <c r="J896" s="350"/>
      <c r="K896" s="351"/>
      <c r="L896" s="141" t="s">
        <v>624</v>
      </c>
      <c r="M896" s="139"/>
      <c r="N896" s="505"/>
      <c r="O896" s="505" t="s">
        <v>627</v>
      </c>
      <c r="P896" s="505"/>
      <c r="Q896" s="505"/>
      <c r="R896" s="505"/>
      <c r="S896" s="139"/>
      <c r="T896" s="139"/>
      <c r="U896" s="139"/>
      <c r="V896" s="139"/>
      <c r="W896" s="139"/>
      <c r="X896" s="139"/>
      <c r="Y896" s="139"/>
      <c r="Z896" s="139"/>
      <c r="AA896" s="139"/>
      <c r="AB896" s="139"/>
      <c r="AC896" s="139"/>
      <c r="AD896" s="139"/>
      <c r="AE896" s="139"/>
      <c r="AF896" s="139"/>
      <c r="AG896" s="139"/>
      <c r="AH896" s="139"/>
      <c r="AI896" s="139"/>
      <c r="AJ896" s="139"/>
      <c r="AK896" s="139"/>
      <c r="AL896" s="139"/>
      <c r="AM896" s="139"/>
      <c r="AN896" s="139"/>
      <c r="AO896" s="139"/>
      <c r="AP896" s="139"/>
      <c r="AQ896" s="51"/>
      <c r="AR896" s="49"/>
      <c r="AS896" s="49"/>
      <c r="AT896" s="49"/>
      <c r="AU896" s="49"/>
      <c r="AV896" s="49"/>
      <c r="AW896" s="49"/>
      <c r="AX896" s="49"/>
      <c r="AY896" s="52"/>
    </row>
    <row r="897" spans="1:51" s="32" customFormat="1" ht="13.5" customHeight="1">
      <c r="A897" s="56"/>
      <c r="B897" s="50"/>
      <c r="C897" s="49"/>
      <c r="D897" s="49"/>
      <c r="E897" s="49"/>
      <c r="F897" s="49"/>
      <c r="G897" s="49"/>
      <c r="H897" s="49"/>
      <c r="I897" s="51"/>
      <c r="J897" s="350"/>
      <c r="K897" s="351"/>
      <c r="L897" s="141" t="s">
        <v>624</v>
      </c>
      <c r="M897" s="139"/>
      <c r="N897" s="505"/>
      <c r="O897" s="505" t="s">
        <v>628</v>
      </c>
      <c r="P897" s="505"/>
      <c r="Q897" s="505"/>
      <c r="R897" s="505"/>
      <c r="S897" s="139"/>
      <c r="T897" s="139"/>
      <c r="U897" s="139"/>
      <c r="V897" s="139"/>
      <c r="W897" s="139"/>
      <c r="X897" s="139"/>
      <c r="Y897" s="139"/>
      <c r="Z897" s="139"/>
      <c r="AA897" s="139"/>
      <c r="AB897" s="139"/>
      <c r="AC897" s="139"/>
      <c r="AD897" s="139"/>
      <c r="AE897" s="139"/>
      <c r="AF897" s="139"/>
      <c r="AG897" s="139"/>
      <c r="AH897" s="139"/>
      <c r="AI897" s="139"/>
      <c r="AJ897" s="139"/>
      <c r="AK897" s="139"/>
      <c r="AL897" s="139"/>
      <c r="AM897" s="139"/>
      <c r="AN897" s="139"/>
      <c r="AO897" s="139"/>
      <c r="AP897" s="139"/>
      <c r="AQ897" s="51"/>
      <c r="AR897" s="49"/>
      <c r="AS897" s="49"/>
      <c r="AT897" s="49"/>
      <c r="AU897" s="49"/>
      <c r="AV897" s="49"/>
      <c r="AW897" s="49"/>
      <c r="AX897" s="49"/>
      <c r="AY897" s="52"/>
    </row>
    <row r="898" spans="1:51" s="32" customFormat="1" ht="13.5" customHeight="1">
      <c r="A898" s="56"/>
      <c r="B898" s="50"/>
      <c r="C898" s="49"/>
      <c r="D898" s="49"/>
      <c r="E898" s="49"/>
      <c r="F898" s="49"/>
      <c r="G898" s="49"/>
      <c r="H898" s="49"/>
      <c r="I898" s="51"/>
      <c r="J898" s="350"/>
      <c r="K898" s="351"/>
      <c r="L898" s="141"/>
      <c r="M898" s="139"/>
      <c r="N898" s="505"/>
      <c r="O898" s="505"/>
      <c r="P898" s="505"/>
      <c r="Q898" s="505"/>
      <c r="R898" s="505"/>
      <c r="S898" s="505"/>
      <c r="T898" s="139"/>
      <c r="U898" s="139"/>
      <c r="V898" s="139"/>
      <c r="W898" s="139"/>
      <c r="X898" s="139"/>
      <c r="Y898" s="139"/>
      <c r="Z898" s="139"/>
      <c r="AA898" s="139"/>
      <c r="AB898" s="139"/>
      <c r="AC898" s="139"/>
      <c r="AD898" s="139"/>
      <c r="AE898" s="139"/>
      <c r="AF898" s="139"/>
      <c r="AG898" s="139"/>
      <c r="AH898" s="139"/>
      <c r="AI898" s="139"/>
      <c r="AJ898" s="139"/>
      <c r="AK898" s="139"/>
      <c r="AL898" s="139"/>
      <c r="AM898" s="139"/>
      <c r="AN898" s="139"/>
      <c r="AO898" s="139"/>
      <c r="AP898" s="139"/>
      <c r="AQ898" s="51"/>
      <c r="AR898" s="49"/>
      <c r="AS898" s="49"/>
      <c r="AT898" s="49"/>
      <c r="AU898" s="49"/>
      <c r="AV898" s="49"/>
      <c r="AW898" s="49"/>
      <c r="AX898" s="49"/>
      <c r="AY898" s="52"/>
    </row>
    <row r="899" spans="1:51" s="32" customFormat="1" ht="13.5" customHeight="1">
      <c r="A899" s="56"/>
      <c r="B899" s="50"/>
      <c r="C899" s="49"/>
      <c r="D899" s="49"/>
      <c r="E899" s="49"/>
      <c r="F899" s="49"/>
      <c r="G899" s="49"/>
      <c r="H899" s="49"/>
      <c r="I899" s="51"/>
      <c r="J899" s="350"/>
      <c r="K899" s="351"/>
      <c r="L899" s="141"/>
      <c r="M899" s="139" t="s">
        <v>639</v>
      </c>
      <c r="N899" s="505"/>
      <c r="O899" s="505"/>
      <c r="P899" s="505"/>
      <c r="Q899" s="505"/>
      <c r="R899" s="505"/>
      <c r="S899" s="505"/>
      <c r="T899" s="139"/>
      <c r="U899" s="139"/>
      <c r="V899" s="139"/>
      <c r="W899" s="139"/>
      <c r="X899" s="139"/>
      <c r="Y899" s="139"/>
      <c r="Z899" s="139"/>
      <c r="AA899" s="139"/>
      <c r="AB899" s="139"/>
      <c r="AC899" s="139"/>
      <c r="AD899" s="139"/>
      <c r="AE899" s="139"/>
      <c r="AF899" s="139"/>
      <c r="AG899" s="139"/>
      <c r="AH899" s="139"/>
      <c r="AI899" s="139"/>
      <c r="AJ899" s="139"/>
      <c r="AK899" s="139"/>
      <c r="AL899" s="139"/>
      <c r="AM899" s="139"/>
      <c r="AN899" s="139"/>
      <c r="AO899" s="139"/>
      <c r="AP899" s="139"/>
      <c r="AQ899" s="51"/>
      <c r="AR899" s="49"/>
      <c r="AS899" s="49"/>
      <c r="AT899" s="49"/>
      <c r="AU899" s="49"/>
      <c r="AV899" s="49"/>
      <c r="AW899" s="49"/>
      <c r="AX899" s="49"/>
      <c r="AY899" s="52"/>
    </row>
    <row r="900" spans="1:51" s="32" customFormat="1" ht="13.5" customHeight="1">
      <c r="A900" s="56"/>
      <c r="B900" s="50"/>
      <c r="C900" s="49"/>
      <c r="D900" s="49"/>
      <c r="E900" s="49"/>
      <c r="F900" s="49"/>
      <c r="G900" s="49"/>
      <c r="H900" s="49"/>
      <c r="I900" s="51"/>
      <c r="J900" s="350"/>
      <c r="K900" s="351"/>
      <c r="L900" s="141"/>
      <c r="M900" s="139"/>
      <c r="N900" s="536" t="s">
        <v>619</v>
      </c>
      <c r="O900" s="505"/>
      <c r="P900" s="505"/>
      <c r="Q900" s="505"/>
      <c r="R900" s="505"/>
      <c r="S900" s="505"/>
      <c r="T900" s="139"/>
      <c r="U900" s="139"/>
      <c r="V900" s="139"/>
      <c r="W900" s="139"/>
      <c r="X900" s="139"/>
      <c r="Y900" s="139"/>
      <c r="Z900" s="139"/>
      <c r="AA900" s="139"/>
      <c r="AB900" s="139"/>
      <c r="AC900" s="139"/>
      <c r="AD900" s="139"/>
      <c r="AE900" s="139"/>
      <c r="AF900" s="139"/>
      <c r="AG900" s="139"/>
      <c r="AH900" s="139"/>
      <c r="AI900" s="139"/>
      <c r="AJ900" s="139"/>
      <c r="AK900" s="139"/>
      <c r="AL900" s="139"/>
      <c r="AM900" s="139"/>
      <c r="AN900" s="139"/>
      <c r="AO900" s="139"/>
      <c r="AP900" s="139"/>
      <c r="AQ900" s="51"/>
      <c r="AR900" s="49"/>
      <c r="AS900" s="49"/>
      <c r="AT900" s="49"/>
      <c r="AU900" s="49"/>
      <c r="AV900" s="49"/>
      <c r="AW900" s="49"/>
      <c r="AX900" s="49"/>
      <c r="AY900" s="52"/>
    </row>
    <row r="901" spans="1:51" s="32" customFormat="1" ht="13.5" customHeight="1">
      <c r="A901" s="56"/>
      <c r="B901" s="50"/>
      <c r="C901" s="49"/>
      <c r="D901" s="49"/>
      <c r="E901" s="49"/>
      <c r="F901" s="49"/>
      <c r="G901" s="49"/>
      <c r="H901" s="49"/>
      <c r="I901" s="51"/>
      <c r="J901" s="350"/>
      <c r="K901" s="351"/>
      <c r="L901" s="141"/>
      <c r="M901" s="139"/>
      <c r="N901" s="505"/>
      <c r="O901" s="139" t="s">
        <v>636</v>
      </c>
      <c r="P901" s="505"/>
      <c r="Q901" s="505"/>
      <c r="R901" s="505"/>
      <c r="S901" s="139"/>
      <c r="T901" s="139"/>
      <c r="U901" s="139"/>
      <c r="V901" s="139"/>
      <c r="W901" s="139"/>
      <c r="X901" s="139"/>
      <c r="Y901" s="139"/>
      <c r="Z901" s="139"/>
      <c r="AA901" s="139"/>
      <c r="AB901" s="139"/>
      <c r="AC901" s="139"/>
      <c r="AD901" s="139"/>
      <c r="AE901" s="139"/>
      <c r="AF901" s="139"/>
      <c r="AG901" s="139"/>
      <c r="AH901" s="139"/>
      <c r="AI901" s="139"/>
      <c r="AJ901" s="139"/>
      <c r="AK901" s="139"/>
      <c r="AL901" s="139"/>
      <c r="AM901" s="139"/>
      <c r="AN901" s="139"/>
      <c r="AO901" s="139"/>
      <c r="AP901" s="139"/>
      <c r="AQ901" s="51"/>
      <c r="AR901" s="49"/>
      <c r="AS901" s="49"/>
      <c r="AT901" s="49"/>
      <c r="AU901" s="49"/>
      <c r="AV901" s="49"/>
      <c r="AW901" s="49"/>
      <c r="AX901" s="49"/>
      <c r="AY901" s="52"/>
    </row>
    <row r="902" spans="1:51" s="32" customFormat="1" ht="13.5" customHeight="1">
      <c r="A902" s="56"/>
      <c r="B902" s="50"/>
      <c r="C902" s="49"/>
      <c r="D902" s="49"/>
      <c r="E902" s="49"/>
      <c r="F902" s="49"/>
      <c r="G902" s="49"/>
      <c r="H902" s="49"/>
      <c r="I902" s="51"/>
      <c r="J902" s="350"/>
      <c r="K902" s="351"/>
      <c r="L902" s="141"/>
      <c r="M902" s="139"/>
      <c r="N902" s="139"/>
      <c r="O902" s="139"/>
      <c r="P902" s="139"/>
      <c r="Q902" s="139"/>
      <c r="R902" s="139"/>
      <c r="S902" s="139"/>
      <c r="T902" s="139"/>
      <c r="U902" s="139"/>
      <c r="V902" s="139"/>
      <c r="W902" s="139"/>
      <c r="X902" s="139"/>
      <c r="Y902" s="139"/>
      <c r="Z902" s="139"/>
      <c r="AA902" s="139"/>
      <c r="AB902" s="139"/>
      <c r="AC902" s="139"/>
      <c r="AD902" s="139"/>
      <c r="AE902" s="139"/>
      <c r="AF902" s="139"/>
      <c r="AG902" s="139"/>
      <c r="AH902" s="139"/>
      <c r="AI902" s="139"/>
      <c r="AJ902" s="139"/>
      <c r="AK902" s="139"/>
      <c r="AL902" s="139"/>
      <c r="AM902" s="139"/>
      <c r="AN902" s="139"/>
      <c r="AO902" s="139"/>
      <c r="AP902" s="139"/>
      <c r="AQ902" s="51"/>
      <c r="AR902" s="49"/>
      <c r="AS902" s="49"/>
      <c r="AT902" s="49"/>
      <c r="AU902" s="49"/>
      <c r="AV902" s="49"/>
      <c r="AW902" s="49"/>
      <c r="AX902" s="49"/>
      <c r="AY902" s="52"/>
    </row>
    <row r="903" spans="1:51" s="32" customFormat="1" ht="13.5" customHeight="1">
      <c r="A903" s="56"/>
      <c r="B903" s="50"/>
      <c r="C903" s="49"/>
      <c r="D903" s="49"/>
      <c r="E903" s="49"/>
      <c r="F903" s="49"/>
      <c r="G903" s="49"/>
      <c r="H903" s="49"/>
      <c r="I903" s="51"/>
      <c r="J903" s="350"/>
      <c r="K903" s="351"/>
      <c r="L903" s="141"/>
      <c r="M903" s="139"/>
      <c r="N903" s="536" t="s">
        <v>621</v>
      </c>
      <c r="O903" s="505"/>
      <c r="P903" s="505"/>
      <c r="Q903" s="505"/>
      <c r="R903" s="505"/>
      <c r="S903" s="505"/>
      <c r="T903" s="139"/>
      <c r="U903" s="139"/>
      <c r="V903" s="139"/>
      <c r="W903" s="139"/>
      <c r="X903" s="139"/>
      <c r="Y903" s="139"/>
      <c r="Z903" s="139"/>
      <c r="AA903" s="139"/>
      <c r="AB903" s="139"/>
      <c r="AC903" s="139"/>
      <c r="AD903" s="139"/>
      <c r="AE903" s="139"/>
      <c r="AF903" s="139"/>
      <c r="AG903" s="139"/>
      <c r="AH903" s="139"/>
      <c r="AI903" s="139"/>
      <c r="AJ903" s="139"/>
      <c r="AK903" s="139"/>
      <c r="AL903" s="139"/>
      <c r="AM903" s="139"/>
      <c r="AN903" s="139"/>
      <c r="AO903" s="139"/>
      <c r="AP903" s="139"/>
      <c r="AQ903" s="51"/>
      <c r="AR903" s="49"/>
      <c r="AS903" s="49"/>
      <c r="AT903" s="49"/>
      <c r="AU903" s="49"/>
      <c r="AV903" s="49"/>
      <c r="AW903" s="49"/>
      <c r="AX903" s="49"/>
      <c r="AY903" s="52"/>
    </row>
    <row r="904" spans="1:51" s="32" customFormat="1" ht="13.5" customHeight="1">
      <c r="A904" s="56"/>
      <c r="B904" s="50"/>
      <c r="C904" s="49"/>
      <c r="D904" s="49"/>
      <c r="E904" s="49"/>
      <c r="F904" s="49"/>
      <c r="G904" s="49"/>
      <c r="H904" s="49"/>
      <c r="I904" s="51"/>
      <c r="J904" s="350"/>
      <c r="K904" s="351"/>
      <c r="L904" s="141"/>
      <c r="M904" s="139"/>
      <c r="N904" s="505"/>
      <c r="O904" s="505" t="s">
        <v>632</v>
      </c>
      <c r="P904" s="505"/>
      <c r="Q904" s="505"/>
      <c r="R904" s="505"/>
      <c r="S904" s="505"/>
      <c r="T904" s="139"/>
      <c r="U904" s="139"/>
      <c r="V904" s="139"/>
      <c r="W904" s="139"/>
      <c r="X904" s="139"/>
      <c r="Y904" s="139"/>
      <c r="Z904" s="139"/>
      <c r="AA904" s="139"/>
      <c r="AB904" s="139"/>
      <c r="AC904" s="139"/>
      <c r="AD904" s="139"/>
      <c r="AE904" s="139"/>
      <c r="AF904" s="139"/>
      <c r="AG904" s="139"/>
      <c r="AH904" s="139"/>
      <c r="AI904" s="139"/>
      <c r="AJ904" s="139"/>
      <c r="AK904" s="139"/>
      <c r="AL904" s="139"/>
      <c r="AM904" s="139"/>
      <c r="AN904" s="139"/>
      <c r="AO904" s="139"/>
      <c r="AP904" s="139"/>
      <c r="AQ904" s="51"/>
      <c r="AR904" s="49"/>
      <c r="AS904" s="49"/>
      <c r="AT904" s="49"/>
      <c r="AU904" s="49"/>
      <c r="AV904" s="49"/>
      <c r="AW904" s="49"/>
      <c r="AX904" s="49"/>
      <c r="AY904" s="52"/>
    </row>
    <row r="905" spans="1:51" s="32" customFormat="1" ht="13.5" customHeight="1">
      <c r="A905" s="56"/>
      <c r="B905" s="50"/>
      <c r="C905" s="49"/>
      <c r="D905" s="49"/>
      <c r="E905" s="49"/>
      <c r="F905" s="49"/>
      <c r="G905" s="49"/>
      <c r="H905" s="49"/>
      <c r="I905" s="51"/>
      <c r="J905" s="350"/>
      <c r="K905" s="351"/>
      <c r="L905" s="141"/>
      <c r="M905" s="139"/>
      <c r="N905" s="505"/>
      <c r="O905" s="139"/>
      <c r="P905" s="505"/>
      <c r="Q905" s="505"/>
      <c r="R905" s="505"/>
      <c r="S905" s="139"/>
      <c r="T905" s="139"/>
      <c r="U905" s="139"/>
      <c r="V905" s="139"/>
      <c r="W905" s="139"/>
      <c r="X905" s="139"/>
      <c r="Y905" s="139"/>
      <c r="Z905" s="139"/>
      <c r="AA905" s="139"/>
      <c r="AB905" s="139"/>
      <c r="AC905" s="139"/>
      <c r="AD905" s="139"/>
      <c r="AE905" s="139"/>
      <c r="AF905" s="139"/>
      <c r="AG905" s="139"/>
      <c r="AH905" s="139"/>
      <c r="AI905" s="139"/>
      <c r="AJ905" s="139"/>
      <c r="AK905" s="139"/>
      <c r="AL905" s="139"/>
      <c r="AM905" s="139"/>
      <c r="AN905" s="139"/>
      <c r="AO905" s="139"/>
      <c r="AP905" s="139"/>
      <c r="AQ905" s="51"/>
      <c r="AR905" s="49"/>
      <c r="AS905" s="49"/>
      <c r="AT905" s="49"/>
      <c r="AU905" s="49"/>
      <c r="AV905" s="49"/>
      <c r="AW905" s="49"/>
      <c r="AX905" s="49"/>
      <c r="AY905" s="52"/>
    </row>
    <row r="906" spans="1:51" s="32" customFormat="1" ht="13.5" customHeight="1">
      <c r="A906" s="56"/>
      <c r="B906" s="50"/>
      <c r="C906" s="49"/>
      <c r="D906" s="49"/>
      <c r="E906" s="49"/>
      <c r="F906" s="49"/>
      <c r="G906" s="49"/>
      <c r="H906" s="49"/>
      <c r="I906" s="51"/>
      <c r="J906" s="350"/>
      <c r="K906" s="351"/>
      <c r="L906" s="141"/>
      <c r="M906" s="139"/>
      <c r="N906" s="536" t="s">
        <v>623</v>
      </c>
      <c r="O906" s="139"/>
      <c r="P906" s="505"/>
      <c r="Q906" s="505"/>
      <c r="R906" s="505"/>
      <c r="S906" s="139"/>
      <c r="T906" s="139"/>
      <c r="U906" s="139"/>
      <c r="V906" s="139"/>
      <c r="W906" s="139"/>
      <c r="X906" s="139"/>
      <c r="Y906" s="139"/>
      <c r="Z906" s="139"/>
      <c r="AA906" s="139"/>
      <c r="AB906" s="139"/>
      <c r="AC906" s="139"/>
      <c r="AD906" s="139"/>
      <c r="AE906" s="139"/>
      <c r="AF906" s="139"/>
      <c r="AG906" s="139"/>
      <c r="AH906" s="139"/>
      <c r="AI906" s="139"/>
      <c r="AJ906" s="139"/>
      <c r="AK906" s="139"/>
      <c r="AL906" s="139"/>
      <c r="AM906" s="139"/>
      <c r="AN906" s="139"/>
      <c r="AO906" s="139"/>
      <c r="AP906" s="139"/>
      <c r="AQ906" s="51"/>
      <c r="AR906" s="49"/>
      <c r="AS906" s="49"/>
      <c r="AT906" s="49"/>
      <c r="AU906" s="49"/>
      <c r="AV906" s="49"/>
      <c r="AW906" s="49"/>
      <c r="AX906" s="49"/>
      <c r="AY906" s="52"/>
    </row>
    <row r="907" spans="1:51" s="32" customFormat="1" ht="13.5" customHeight="1">
      <c r="A907" s="56"/>
      <c r="B907" s="50"/>
      <c r="C907" s="49"/>
      <c r="D907" s="49"/>
      <c r="E907" s="49"/>
      <c r="F907" s="49"/>
      <c r="G907" s="49"/>
      <c r="H907" s="49"/>
      <c r="I907" s="51"/>
      <c r="J907" s="350"/>
      <c r="K907" s="351"/>
      <c r="L907" s="141" t="s">
        <v>624</v>
      </c>
      <c r="M907" s="139"/>
      <c r="N907" s="505"/>
      <c r="O907" s="505" t="s">
        <v>633</v>
      </c>
      <c r="P907" s="505"/>
      <c r="Q907" s="505"/>
      <c r="R907" s="505"/>
      <c r="S907" s="139"/>
      <c r="T907" s="139"/>
      <c r="U907" s="139"/>
      <c r="V907" s="139"/>
      <c r="W907" s="139"/>
      <c r="X907" s="139"/>
      <c r="Y907" s="139"/>
      <c r="Z907" s="139"/>
      <c r="AA907" s="139"/>
      <c r="AB907" s="139"/>
      <c r="AC907" s="139"/>
      <c r="AD907" s="139"/>
      <c r="AE907" s="139"/>
      <c r="AF907" s="139"/>
      <c r="AG907" s="139"/>
      <c r="AH907" s="139"/>
      <c r="AI907" s="139"/>
      <c r="AJ907" s="139"/>
      <c r="AK907" s="139"/>
      <c r="AL907" s="139"/>
      <c r="AM907" s="139"/>
      <c r="AN907" s="139"/>
      <c r="AO907" s="139"/>
      <c r="AP907" s="139"/>
      <c r="AQ907" s="51"/>
      <c r="AR907" s="49"/>
      <c r="AS907" s="49"/>
      <c r="AT907" s="49"/>
      <c r="AU907" s="49"/>
      <c r="AV907" s="49"/>
      <c r="AW907" s="49"/>
      <c r="AX907" s="49"/>
      <c r="AY907" s="52"/>
    </row>
    <row r="908" spans="1:51" s="32" customFormat="1" ht="13.5" customHeight="1">
      <c r="A908" s="56"/>
      <c r="B908" s="50"/>
      <c r="C908" s="49"/>
      <c r="D908" s="49"/>
      <c r="E908" s="49"/>
      <c r="F908" s="49"/>
      <c r="G908" s="49"/>
      <c r="H908" s="49"/>
      <c r="I908" s="51"/>
      <c r="J908" s="350"/>
      <c r="K908" s="351"/>
      <c r="L908" s="141" t="s">
        <v>624</v>
      </c>
      <c r="M908" s="139"/>
      <c r="N908" s="505"/>
      <c r="O908" s="505" t="s">
        <v>634</v>
      </c>
      <c r="P908" s="505"/>
      <c r="Q908" s="505"/>
      <c r="R908" s="505"/>
      <c r="S908" s="139"/>
      <c r="T908" s="139"/>
      <c r="U908" s="139"/>
      <c r="V908" s="139"/>
      <c r="W908" s="139"/>
      <c r="X908" s="139"/>
      <c r="Y908" s="139"/>
      <c r="Z908" s="139"/>
      <c r="AA908" s="139"/>
      <c r="AB908" s="139"/>
      <c r="AC908" s="139"/>
      <c r="AD908" s="139"/>
      <c r="AE908" s="139"/>
      <c r="AF908" s="139"/>
      <c r="AG908" s="139"/>
      <c r="AH908" s="139"/>
      <c r="AI908" s="139"/>
      <c r="AJ908" s="139"/>
      <c r="AK908" s="139"/>
      <c r="AL908" s="139"/>
      <c r="AM908" s="139"/>
      <c r="AN908" s="139"/>
      <c r="AO908" s="139"/>
      <c r="AP908" s="139"/>
      <c r="AQ908" s="51"/>
      <c r="AR908" s="49"/>
      <c r="AS908" s="49"/>
      <c r="AT908" s="49"/>
      <c r="AU908" s="49"/>
      <c r="AV908" s="49"/>
      <c r="AW908" s="49"/>
      <c r="AX908" s="49"/>
      <c r="AY908" s="52"/>
    </row>
    <row r="909" spans="1:51" s="32" customFormat="1" ht="13.5" customHeight="1">
      <c r="A909" s="56"/>
      <c r="B909" s="50"/>
      <c r="C909" s="49"/>
      <c r="D909" s="49"/>
      <c r="E909" s="49"/>
      <c r="F909" s="49"/>
      <c r="G909" s="49"/>
      <c r="H909" s="49"/>
      <c r="I909" s="51"/>
      <c r="J909" s="350"/>
      <c r="K909" s="351"/>
      <c r="L909" s="141" t="s">
        <v>624</v>
      </c>
      <c r="M909" s="139"/>
      <c r="N909" s="505"/>
      <c r="O909" s="505" t="s">
        <v>635</v>
      </c>
      <c r="P909" s="505"/>
      <c r="Q909" s="505"/>
      <c r="R909" s="505"/>
      <c r="S909" s="139"/>
      <c r="T909" s="139"/>
      <c r="U909" s="139"/>
      <c r="V909" s="139"/>
      <c r="W909" s="139"/>
      <c r="X909" s="139"/>
      <c r="Y909" s="139"/>
      <c r="Z909" s="139"/>
      <c r="AA909" s="139"/>
      <c r="AB909" s="139"/>
      <c r="AC909" s="139"/>
      <c r="AD909" s="139"/>
      <c r="AE909" s="139"/>
      <c r="AF909" s="139"/>
      <c r="AG909" s="139"/>
      <c r="AH909" s="139"/>
      <c r="AI909" s="139"/>
      <c r="AJ909" s="139"/>
      <c r="AK909" s="139"/>
      <c r="AL909" s="139"/>
      <c r="AM909" s="139"/>
      <c r="AN909" s="139"/>
      <c r="AO909" s="139"/>
      <c r="AP909" s="139"/>
      <c r="AQ909" s="51"/>
      <c r="AR909" s="49"/>
      <c r="AS909" s="49"/>
      <c r="AT909" s="49"/>
      <c r="AU909" s="49"/>
      <c r="AV909" s="49"/>
      <c r="AW909" s="49"/>
      <c r="AX909" s="49"/>
      <c r="AY909" s="52"/>
    </row>
    <row r="910" spans="1:51" s="32" customFormat="1" ht="13.5" customHeight="1">
      <c r="A910" s="56"/>
      <c r="B910" s="50"/>
      <c r="C910" s="49"/>
      <c r="D910" s="49"/>
      <c r="E910" s="49"/>
      <c r="F910" s="49"/>
      <c r="G910" s="49"/>
      <c r="H910" s="49"/>
      <c r="I910" s="51"/>
      <c r="J910" s="350"/>
      <c r="K910" s="351"/>
      <c r="L910" s="141"/>
      <c r="M910" s="139"/>
      <c r="N910" s="505"/>
      <c r="O910" s="505"/>
      <c r="P910" s="505"/>
      <c r="Q910" s="505"/>
      <c r="R910" s="505"/>
      <c r="S910" s="139"/>
      <c r="T910" s="139"/>
      <c r="U910" s="139"/>
      <c r="V910" s="139"/>
      <c r="W910" s="139"/>
      <c r="X910" s="139"/>
      <c r="Y910" s="139"/>
      <c r="Z910" s="139"/>
      <c r="AA910" s="139"/>
      <c r="AB910" s="139"/>
      <c r="AC910" s="139"/>
      <c r="AD910" s="139"/>
      <c r="AE910" s="139"/>
      <c r="AF910" s="139"/>
      <c r="AG910" s="139"/>
      <c r="AH910" s="139"/>
      <c r="AI910" s="139"/>
      <c r="AJ910" s="139"/>
      <c r="AK910" s="139"/>
      <c r="AL910" s="139"/>
      <c r="AM910" s="139"/>
      <c r="AN910" s="139"/>
      <c r="AO910" s="139"/>
      <c r="AP910" s="139"/>
      <c r="AQ910" s="51"/>
      <c r="AR910" s="49"/>
      <c r="AS910" s="49"/>
      <c r="AT910" s="49"/>
      <c r="AU910" s="49"/>
      <c r="AV910" s="49"/>
      <c r="AW910" s="49"/>
      <c r="AX910" s="49"/>
      <c r="AY910" s="52"/>
    </row>
    <row r="911" spans="1:51" s="32" customFormat="1" ht="13.5" customHeight="1">
      <c r="A911" s="56"/>
      <c r="B911" s="50"/>
      <c r="C911" s="49"/>
      <c r="D911" s="49"/>
      <c r="E911" s="49"/>
      <c r="F911" s="49"/>
      <c r="G911" s="49"/>
      <c r="H911" s="49"/>
      <c r="I911" s="51"/>
      <c r="J911" s="350"/>
      <c r="K911" s="351"/>
      <c r="L911" s="141" t="s">
        <v>642</v>
      </c>
      <c r="M911" s="139"/>
      <c r="N911" s="505"/>
      <c r="O911" s="505"/>
      <c r="P911" s="505"/>
      <c r="Q911" s="505"/>
      <c r="R911" s="505"/>
      <c r="S911" s="139"/>
      <c r="T911" s="139"/>
      <c r="U911" s="139"/>
      <c r="V911" s="139"/>
      <c r="W911" s="139"/>
      <c r="X911" s="139"/>
      <c r="Y911" s="139"/>
      <c r="Z911" s="139"/>
      <c r="AA911" s="139"/>
      <c r="AB911" s="139"/>
      <c r="AC911" s="139"/>
      <c r="AD911" s="139"/>
      <c r="AE911" s="139"/>
      <c r="AF911" s="139"/>
      <c r="AG911" s="139"/>
      <c r="AH911" s="139"/>
      <c r="AI911" s="139"/>
      <c r="AJ911" s="139"/>
      <c r="AK911" s="139"/>
      <c r="AL911" s="139"/>
      <c r="AM911" s="139"/>
      <c r="AN911" s="139"/>
      <c r="AO911" s="139"/>
      <c r="AP911" s="139"/>
      <c r="AQ911" s="51"/>
      <c r="AR911" s="49"/>
      <c r="AS911" s="49"/>
      <c r="AT911" s="49"/>
      <c r="AU911" s="49"/>
      <c r="AV911" s="49"/>
      <c r="AW911" s="49"/>
      <c r="AX911" s="49"/>
      <c r="AY911" s="52"/>
    </row>
    <row r="912" spans="1:51" s="32" customFormat="1" ht="13.5" customHeight="1">
      <c r="A912" s="56"/>
      <c r="B912" s="50"/>
      <c r="C912" s="49"/>
      <c r="D912" s="49"/>
      <c r="E912" s="49"/>
      <c r="F912" s="49"/>
      <c r="G912" s="49"/>
      <c r="H912" s="49"/>
      <c r="I912" s="51"/>
      <c r="J912" s="350"/>
      <c r="K912" s="351"/>
      <c r="L912" s="537" t="s">
        <v>643</v>
      </c>
      <c r="M912" s="139"/>
      <c r="N912" s="505"/>
      <c r="O912" s="505"/>
      <c r="P912" s="505"/>
      <c r="Q912" s="505"/>
      <c r="R912" s="505"/>
      <c r="S912" s="139"/>
      <c r="T912" s="139"/>
      <c r="U912" s="139"/>
      <c r="V912" s="139"/>
      <c r="W912" s="139"/>
      <c r="X912" s="139"/>
      <c r="Y912" s="139"/>
      <c r="Z912" s="139"/>
      <c r="AA912" s="139"/>
      <c r="AB912" s="139"/>
      <c r="AC912" s="139"/>
      <c r="AD912" s="139"/>
      <c r="AE912" s="139"/>
      <c r="AF912" s="139"/>
      <c r="AG912" s="139"/>
      <c r="AH912" s="139"/>
      <c r="AI912" s="139"/>
      <c r="AJ912" s="139"/>
      <c r="AK912" s="139"/>
      <c r="AL912" s="139"/>
      <c r="AM912" s="139"/>
      <c r="AN912" s="139"/>
      <c r="AO912" s="139"/>
      <c r="AP912" s="139"/>
      <c r="AQ912" s="51"/>
      <c r="AR912" s="49"/>
      <c r="AS912" s="49"/>
      <c r="AT912" s="49"/>
      <c r="AU912" s="49"/>
      <c r="AV912" s="49"/>
      <c r="AW912" s="49"/>
      <c r="AX912" s="49"/>
      <c r="AY912" s="52"/>
    </row>
    <row r="913" spans="1:51" s="32" customFormat="1" ht="13.5" customHeight="1">
      <c r="A913" s="56"/>
      <c r="B913" s="50"/>
      <c r="C913" s="49"/>
      <c r="D913" s="49"/>
      <c r="E913" s="49"/>
      <c r="F913" s="49"/>
      <c r="G913" s="49"/>
      <c r="H913" s="49"/>
      <c r="I913" s="51"/>
      <c r="J913" s="350"/>
      <c r="K913" s="351"/>
      <c r="L913" s="730" t="s">
        <v>648</v>
      </c>
      <c r="M913" s="139" t="s">
        <v>644</v>
      </c>
      <c r="N913" s="505"/>
      <c r="O913" s="505"/>
      <c r="P913" s="505"/>
      <c r="Q913" s="505"/>
      <c r="R913" s="505"/>
      <c r="S913" s="139"/>
      <c r="T913" s="139"/>
      <c r="U913" s="139"/>
      <c r="V913" s="139"/>
      <c r="W913" s="139"/>
      <c r="X913" s="139"/>
      <c r="Y913" s="139"/>
      <c r="Z913" s="139"/>
      <c r="AA913" s="139"/>
      <c r="AB913" s="139"/>
      <c r="AC913" s="139"/>
      <c r="AD913" s="139"/>
      <c r="AE913" s="139"/>
      <c r="AF913" s="139"/>
      <c r="AG913" s="139"/>
      <c r="AH913" s="139"/>
      <c r="AI913" s="139"/>
      <c r="AJ913" s="139"/>
      <c r="AK913" s="139"/>
      <c r="AL913" s="139"/>
      <c r="AM913" s="139"/>
      <c r="AN913" s="139"/>
      <c r="AO913" s="139"/>
      <c r="AP913" s="139"/>
      <c r="AQ913" s="51"/>
      <c r="AR913" s="49"/>
      <c r="AS913" s="49"/>
      <c r="AT913" s="49"/>
      <c r="AU913" s="49"/>
      <c r="AV913" s="49"/>
      <c r="AW913" s="49"/>
      <c r="AX913" s="49"/>
      <c r="AY913" s="52"/>
    </row>
    <row r="914" spans="1:51" s="32" customFormat="1" ht="13.5" customHeight="1">
      <c r="A914" s="56"/>
      <c r="B914" s="50"/>
      <c r="C914" s="49"/>
      <c r="D914" s="49"/>
      <c r="E914" s="49"/>
      <c r="F914" s="49"/>
      <c r="G914" s="49"/>
      <c r="H914" s="49"/>
      <c r="I914" s="51"/>
      <c r="J914" s="350"/>
      <c r="K914" s="351"/>
      <c r="L914" s="730"/>
      <c r="M914" s="139"/>
      <c r="N914" s="505" t="s">
        <v>646</v>
      </c>
      <c r="O914" s="505"/>
      <c r="P914" s="505"/>
      <c r="Q914" s="505"/>
      <c r="R914" s="505"/>
      <c r="S914" s="139"/>
      <c r="T914" s="139"/>
      <c r="U914" s="139"/>
      <c r="V914" s="139"/>
      <c r="W914" s="139"/>
      <c r="X914" s="139"/>
      <c r="Y914" s="139"/>
      <c r="Z914" s="139"/>
      <c r="AA914" s="139"/>
      <c r="AB914" s="139"/>
      <c r="AC914" s="139"/>
      <c r="AD914" s="139"/>
      <c r="AE914" s="139"/>
      <c r="AF914" s="139"/>
      <c r="AG914" s="139"/>
      <c r="AH914" s="139"/>
      <c r="AI914" s="139"/>
      <c r="AJ914" s="139"/>
      <c r="AK914" s="139"/>
      <c r="AL914" s="139"/>
      <c r="AM914" s="139"/>
      <c r="AN914" s="139"/>
      <c r="AO914" s="139"/>
      <c r="AP914" s="139"/>
      <c r="AQ914" s="51"/>
      <c r="AR914" s="49"/>
      <c r="AS914" s="49"/>
      <c r="AT914" s="49"/>
      <c r="AU914" s="49"/>
      <c r="AV914" s="49"/>
      <c r="AW914" s="49"/>
      <c r="AX914" s="49"/>
      <c r="AY914" s="52"/>
    </row>
    <row r="915" spans="1:51" s="32" customFormat="1" ht="13.5" customHeight="1">
      <c r="A915" s="56"/>
      <c r="B915" s="50"/>
      <c r="C915" s="49"/>
      <c r="D915" s="49"/>
      <c r="E915" s="49"/>
      <c r="F915" s="49"/>
      <c r="G915" s="49"/>
      <c r="H915" s="49"/>
      <c r="I915" s="51"/>
      <c r="J915" s="350"/>
      <c r="K915" s="351"/>
      <c r="L915" s="730"/>
      <c r="M915" s="139" t="s">
        <v>645</v>
      </c>
      <c r="N915" s="505"/>
      <c r="O915" s="505"/>
      <c r="P915" s="505"/>
      <c r="Q915" s="505"/>
      <c r="R915" s="505"/>
      <c r="S915" s="139"/>
      <c r="T915" s="139"/>
      <c r="U915" s="139"/>
      <c r="V915" s="139"/>
      <c r="W915" s="139"/>
      <c r="X915" s="139"/>
      <c r="Y915" s="139"/>
      <c r="Z915" s="139"/>
      <c r="AA915" s="139"/>
      <c r="AB915" s="139"/>
      <c r="AC915" s="139"/>
      <c r="AD915" s="139"/>
      <c r="AE915" s="139"/>
      <c r="AF915" s="139"/>
      <c r="AG915" s="139"/>
      <c r="AH915" s="139"/>
      <c r="AI915" s="139"/>
      <c r="AJ915" s="139"/>
      <c r="AK915" s="139"/>
      <c r="AL915" s="139"/>
      <c r="AM915" s="139"/>
      <c r="AN915" s="139"/>
      <c r="AO915" s="139"/>
      <c r="AP915" s="139"/>
      <c r="AQ915" s="51"/>
      <c r="AR915" s="49"/>
      <c r="AS915" s="49"/>
      <c r="AT915" s="49"/>
      <c r="AU915" s="49"/>
      <c r="AV915" s="49"/>
      <c r="AW915" s="49"/>
      <c r="AX915" s="49"/>
      <c r="AY915" s="52"/>
    </row>
    <row r="916" spans="1:51" s="32" customFormat="1" ht="13.5" customHeight="1">
      <c r="A916" s="56"/>
      <c r="B916" s="50"/>
      <c r="C916" s="49"/>
      <c r="D916" s="49"/>
      <c r="E916" s="49"/>
      <c r="F916" s="49"/>
      <c r="G916" s="49"/>
      <c r="H916" s="49"/>
      <c r="I916" s="51"/>
      <c r="J916" s="350"/>
      <c r="K916" s="351"/>
      <c r="L916" s="730"/>
      <c r="M916" s="139"/>
      <c r="N916" s="505" t="s">
        <v>647</v>
      </c>
      <c r="O916" s="505"/>
      <c r="P916" s="505"/>
      <c r="Q916" s="505"/>
      <c r="R916" s="505"/>
      <c r="S916" s="139"/>
      <c r="T916" s="139"/>
      <c r="U916" s="139"/>
      <c r="V916" s="139"/>
      <c r="W916" s="139"/>
      <c r="X916" s="139"/>
      <c r="Y916" s="139"/>
      <c r="Z916" s="139"/>
      <c r="AA916" s="139"/>
      <c r="AB916" s="139"/>
      <c r="AC916" s="139"/>
      <c r="AD916" s="139"/>
      <c r="AE916" s="139"/>
      <c r="AF916" s="139"/>
      <c r="AG916" s="139"/>
      <c r="AH916" s="139"/>
      <c r="AI916" s="139"/>
      <c r="AJ916" s="139"/>
      <c r="AK916" s="139"/>
      <c r="AL916" s="139"/>
      <c r="AM916" s="139"/>
      <c r="AN916" s="139"/>
      <c r="AO916" s="139"/>
      <c r="AP916" s="139"/>
      <c r="AQ916" s="51"/>
      <c r="AR916" s="49"/>
      <c r="AS916" s="49"/>
      <c r="AT916" s="49"/>
      <c r="AU916" s="49"/>
      <c r="AV916" s="49"/>
      <c r="AW916" s="49"/>
      <c r="AX916" s="49"/>
      <c r="AY916" s="52"/>
    </row>
    <row r="917" spans="1:51" s="32" customFormat="1" ht="13.5" customHeight="1">
      <c r="A917" s="56"/>
      <c r="B917" s="50"/>
      <c r="C917" s="49"/>
      <c r="D917" s="49"/>
      <c r="E917" s="49"/>
      <c r="F917" s="49"/>
      <c r="G917" s="49"/>
      <c r="H917" s="49"/>
      <c r="I917" s="51"/>
      <c r="J917" s="350"/>
      <c r="K917" s="351"/>
      <c r="L917" s="730"/>
      <c r="M917" s="139"/>
      <c r="N917" s="505"/>
      <c r="O917" s="505"/>
      <c r="P917" s="505"/>
      <c r="Q917" s="505"/>
      <c r="R917" s="505"/>
      <c r="S917" s="139"/>
      <c r="T917" s="139"/>
      <c r="U917" s="139"/>
      <c r="V917" s="139"/>
      <c r="W917" s="139"/>
      <c r="X917" s="139"/>
      <c r="Y917" s="139"/>
      <c r="Z917" s="139"/>
      <c r="AA917" s="139"/>
      <c r="AB917" s="139"/>
      <c r="AC917" s="139"/>
      <c r="AD917" s="139"/>
      <c r="AE917" s="139"/>
      <c r="AF917" s="139"/>
      <c r="AG917" s="139"/>
      <c r="AH917" s="139"/>
      <c r="AI917" s="139"/>
      <c r="AJ917" s="139"/>
      <c r="AK917" s="139"/>
      <c r="AL917" s="139"/>
      <c r="AM917" s="139"/>
      <c r="AN917" s="139"/>
      <c r="AO917" s="139"/>
      <c r="AP917" s="139"/>
      <c r="AQ917" s="51"/>
      <c r="AR917" s="49"/>
      <c r="AS917" s="49"/>
      <c r="AT917" s="49"/>
      <c r="AU917" s="49"/>
      <c r="AV917" s="49"/>
      <c r="AW917" s="49"/>
      <c r="AX917" s="49"/>
      <c r="AY917" s="52"/>
    </row>
    <row r="918" spans="1:51" s="32" customFormat="1" ht="13.5" customHeight="1" thickBot="1">
      <c r="A918" s="321"/>
      <c r="B918" s="322"/>
      <c r="C918" s="323"/>
      <c r="D918" s="323"/>
      <c r="E918" s="323"/>
      <c r="F918" s="323"/>
      <c r="G918" s="323"/>
      <c r="H918" s="323"/>
      <c r="I918" s="324"/>
      <c r="J918" s="354"/>
      <c r="K918" s="355"/>
      <c r="L918" s="532"/>
      <c r="M918" s="533"/>
      <c r="N918" s="538"/>
      <c r="O918" s="538"/>
      <c r="P918" s="538"/>
      <c r="Q918" s="538"/>
      <c r="R918" s="538"/>
      <c r="S918" s="533"/>
      <c r="T918" s="533"/>
      <c r="U918" s="533"/>
      <c r="V918" s="533"/>
      <c r="W918" s="533"/>
      <c r="X918" s="533"/>
      <c r="Y918" s="533"/>
      <c r="Z918" s="533"/>
      <c r="AA918" s="533"/>
      <c r="AB918" s="533"/>
      <c r="AC918" s="533"/>
      <c r="AD918" s="533"/>
      <c r="AE918" s="533"/>
      <c r="AF918" s="533"/>
      <c r="AG918" s="533"/>
      <c r="AH918" s="533"/>
      <c r="AI918" s="533"/>
      <c r="AJ918" s="533"/>
      <c r="AK918" s="533"/>
      <c r="AL918" s="533"/>
      <c r="AM918" s="533"/>
      <c r="AN918" s="533"/>
      <c r="AO918" s="533"/>
      <c r="AP918" s="533"/>
      <c r="AQ918" s="324"/>
      <c r="AR918" s="323"/>
      <c r="AS918" s="323"/>
      <c r="AT918" s="323"/>
      <c r="AU918" s="323"/>
      <c r="AV918" s="323"/>
      <c r="AW918" s="323"/>
      <c r="AX918" s="323"/>
      <c r="AY918" s="328"/>
    </row>
    <row r="919" spans="1:51" s="32" customFormat="1" ht="13.5" customHeight="1">
      <c r="A919" s="56"/>
      <c r="B919" s="50"/>
      <c r="C919" s="49"/>
      <c r="D919" s="49"/>
      <c r="E919" s="49"/>
      <c r="F919" s="49"/>
      <c r="G919" s="49"/>
      <c r="H919" s="49"/>
      <c r="I919" s="51"/>
      <c r="J919" s="350"/>
      <c r="K919" s="351"/>
      <c r="L919" s="141" t="s">
        <v>650</v>
      </c>
      <c r="M919" s="139"/>
      <c r="N919" s="505"/>
      <c r="O919" s="505"/>
      <c r="P919" s="505"/>
      <c r="Q919" s="505"/>
      <c r="R919" s="505"/>
      <c r="S919" s="139"/>
      <c r="T919" s="139"/>
      <c r="U919" s="139"/>
      <c r="V919" s="139"/>
      <c r="W919" s="139"/>
      <c r="X919" s="139"/>
      <c r="Y919" s="139"/>
      <c r="Z919" s="139"/>
      <c r="AA919" s="139"/>
      <c r="AB919" s="139"/>
      <c r="AC919" s="139"/>
      <c r="AD919" s="139"/>
      <c r="AE919" s="139"/>
      <c r="AF919" s="139"/>
      <c r="AG919" s="139"/>
      <c r="AH919" s="139"/>
      <c r="AI919" s="139"/>
      <c r="AJ919" s="139"/>
      <c r="AK919" s="139"/>
      <c r="AL919" s="139"/>
      <c r="AM919" s="139"/>
      <c r="AN919" s="139"/>
      <c r="AO919" s="139"/>
      <c r="AP919" s="139"/>
      <c r="AQ919" s="51"/>
      <c r="AR919" s="208" t="s">
        <v>154</v>
      </c>
      <c r="AS919" s="49"/>
      <c r="AT919" s="49"/>
      <c r="AU919" s="49"/>
      <c r="AV919" s="49"/>
      <c r="AW919" s="49"/>
      <c r="AX919" s="49"/>
      <c r="AY919" s="52"/>
    </row>
    <row r="920" spans="1:51" s="32" customFormat="1" ht="13.5" customHeight="1">
      <c r="A920" s="56"/>
      <c r="B920" s="50"/>
      <c r="C920" s="49"/>
      <c r="D920" s="49"/>
      <c r="E920" s="49"/>
      <c r="F920" s="49"/>
      <c r="G920" s="49"/>
      <c r="H920" s="49"/>
      <c r="I920" s="51"/>
      <c r="J920" s="350"/>
      <c r="K920" s="351"/>
      <c r="L920" s="141"/>
      <c r="M920" s="505" t="s">
        <v>640</v>
      </c>
      <c r="N920" s="505"/>
      <c r="O920" s="505"/>
      <c r="P920" s="505"/>
      <c r="Q920" s="505"/>
      <c r="R920" s="505"/>
      <c r="S920" s="139"/>
      <c r="T920" s="139"/>
      <c r="U920" s="139"/>
      <c r="V920" s="139"/>
      <c r="W920" s="139"/>
      <c r="X920" s="139"/>
      <c r="Y920" s="139"/>
      <c r="Z920" s="139"/>
      <c r="AA920" s="139"/>
      <c r="AB920" s="139"/>
      <c r="AC920" s="139"/>
      <c r="AD920" s="139"/>
      <c r="AE920" s="139"/>
      <c r="AF920" s="139"/>
      <c r="AG920" s="139"/>
      <c r="AH920" s="139"/>
      <c r="AI920" s="139"/>
      <c r="AJ920" s="139"/>
      <c r="AK920" s="139"/>
      <c r="AL920" s="139"/>
      <c r="AM920" s="139"/>
      <c r="AN920" s="139"/>
      <c r="AO920" s="139"/>
      <c r="AP920" s="139"/>
      <c r="AQ920" s="51"/>
      <c r="AR920" s="208" t="s">
        <v>641</v>
      </c>
      <c r="AS920" s="49"/>
      <c r="AT920" s="49"/>
      <c r="AU920" s="49"/>
      <c r="AV920" s="49"/>
      <c r="AW920" s="49"/>
      <c r="AX920" s="49"/>
      <c r="AY920" s="52"/>
    </row>
    <row r="921" spans="1:51" s="32" customFormat="1" ht="13.5" customHeight="1">
      <c r="A921" s="56"/>
      <c r="B921" s="50"/>
      <c r="C921" s="49"/>
      <c r="D921" s="49"/>
      <c r="E921" s="49"/>
      <c r="F921" s="49"/>
      <c r="G921" s="49"/>
      <c r="H921" s="49"/>
      <c r="I921" s="51"/>
      <c r="J921" s="350"/>
      <c r="K921" s="351"/>
      <c r="L921" s="141"/>
      <c r="M921" s="139"/>
      <c r="N921" s="505"/>
      <c r="O921" s="505"/>
      <c r="P921" s="505"/>
      <c r="Q921" s="505"/>
      <c r="R921" s="505"/>
      <c r="S921" s="139"/>
      <c r="T921" s="139"/>
      <c r="U921" s="139"/>
      <c r="V921" s="139"/>
      <c r="W921" s="139"/>
      <c r="X921" s="139"/>
      <c r="Y921" s="139"/>
      <c r="Z921" s="139"/>
      <c r="AA921" s="139"/>
      <c r="AB921" s="139"/>
      <c r="AC921" s="139"/>
      <c r="AD921" s="139"/>
      <c r="AE921" s="139"/>
      <c r="AF921" s="139"/>
      <c r="AG921" s="139"/>
      <c r="AH921" s="139"/>
      <c r="AI921" s="139"/>
      <c r="AJ921" s="139"/>
      <c r="AK921" s="139"/>
      <c r="AL921" s="139"/>
      <c r="AM921" s="139"/>
      <c r="AN921" s="139"/>
      <c r="AO921" s="139"/>
      <c r="AP921" s="139"/>
      <c r="AQ921" s="51"/>
      <c r="AR921" s="208"/>
      <c r="AS921" s="49"/>
      <c r="AT921" s="49"/>
      <c r="AU921" s="49"/>
      <c r="AV921" s="49"/>
      <c r="AW921" s="49"/>
      <c r="AX921" s="49"/>
      <c r="AY921" s="52"/>
    </row>
    <row r="922" spans="1:51" s="32" customFormat="1" ht="13.5" customHeight="1">
      <c r="A922" s="56"/>
      <c r="B922" s="50"/>
      <c r="C922" s="49"/>
      <c r="D922" s="49"/>
      <c r="E922" s="49"/>
      <c r="F922" s="49"/>
      <c r="G922" s="49"/>
      <c r="H922" s="49"/>
      <c r="I922" s="51"/>
      <c r="J922" s="350"/>
      <c r="K922" s="351"/>
      <c r="L922" s="141"/>
      <c r="M922" s="139"/>
      <c r="N922" s="505" t="s">
        <v>847</v>
      </c>
      <c r="O922" s="505"/>
      <c r="P922" s="505"/>
      <c r="Q922" s="505"/>
      <c r="R922" s="505"/>
      <c r="S922" s="139"/>
      <c r="T922" s="139"/>
      <c r="U922" s="139"/>
      <c r="V922" s="139"/>
      <c r="W922" s="139"/>
      <c r="X922" s="139"/>
      <c r="Y922" s="139"/>
      <c r="Z922" s="139"/>
      <c r="AA922" s="139"/>
      <c r="AB922" s="139"/>
      <c r="AC922" s="139"/>
      <c r="AD922" s="139"/>
      <c r="AE922" s="139"/>
      <c r="AF922" s="139"/>
      <c r="AG922" s="139"/>
      <c r="AH922" s="139"/>
      <c r="AI922" s="139"/>
      <c r="AJ922" s="139"/>
      <c r="AK922" s="139"/>
      <c r="AL922" s="139"/>
      <c r="AM922" s="139"/>
      <c r="AN922" s="139"/>
      <c r="AO922" s="139"/>
      <c r="AP922" s="139"/>
      <c r="AQ922" s="51"/>
      <c r="AR922" s="208" t="s">
        <v>848</v>
      </c>
      <c r="AS922" s="49"/>
      <c r="AT922" s="49"/>
      <c r="AU922" s="49"/>
      <c r="AV922" s="49"/>
      <c r="AW922" s="49"/>
      <c r="AX922" s="49"/>
      <c r="AY922" s="52"/>
    </row>
    <row r="923" spans="1:51" s="32" customFormat="1" ht="13.5" customHeight="1">
      <c r="A923" s="56"/>
      <c r="B923" s="50"/>
      <c r="C923" s="49"/>
      <c r="D923" s="49"/>
      <c r="E923" s="49"/>
      <c r="F923" s="49"/>
      <c r="G923" s="49"/>
      <c r="H923" s="49"/>
      <c r="I923" s="51"/>
      <c r="J923" s="350"/>
      <c r="K923" s="351"/>
      <c r="L923" s="141"/>
      <c r="M923" s="139"/>
      <c r="N923" s="505"/>
      <c r="O923" s="505"/>
      <c r="P923" s="505"/>
      <c r="Q923" s="505"/>
      <c r="R923" s="505"/>
      <c r="S923" s="139"/>
      <c r="T923" s="139"/>
      <c r="U923" s="139"/>
      <c r="V923" s="139"/>
      <c r="W923" s="139"/>
      <c r="X923" s="139"/>
      <c r="Y923" s="139"/>
      <c r="Z923" s="139"/>
      <c r="AA923" s="139"/>
      <c r="AB923" s="139"/>
      <c r="AC923" s="139"/>
      <c r="AD923" s="139"/>
      <c r="AE923" s="139"/>
      <c r="AF923" s="139"/>
      <c r="AG923" s="139"/>
      <c r="AH923" s="139"/>
      <c r="AI923" s="139"/>
      <c r="AJ923" s="139"/>
      <c r="AK923" s="139"/>
      <c r="AL923" s="139"/>
      <c r="AM923" s="139"/>
      <c r="AN923" s="139"/>
      <c r="AO923" s="139"/>
      <c r="AP923" s="139"/>
      <c r="AQ923" s="51"/>
      <c r="AR923" s="49"/>
      <c r="AS923" s="49"/>
      <c r="AT923" s="49"/>
      <c r="AU923" s="49"/>
      <c r="AV923" s="49"/>
      <c r="AW923" s="49"/>
      <c r="AX923" s="49"/>
      <c r="AY923" s="52"/>
    </row>
    <row r="924" spans="1:51" s="32" customFormat="1" ht="13.5" customHeight="1">
      <c r="A924" s="56"/>
      <c r="B924" s="50"/>
      <c r="C924" s="49"/>
      <c r="D924" s="49"/>
      <c r="E924" s="49"/>
      <c r="F924" s="49"/>
      <c r="G924" s="49"/>
      <c r="H924" s="49"/>
      <c r="I924" s="51"/>
      <c r="J924" s="350"/>
      <c r="K924" s="351"/>
      <c r="L924" s="141"/>
      <c r="M924" s="505"/>
      <c r="N924" s="505"/>
      <c r="O924" s="505"/>
      <c r="P924" s="505"/>
      <c r="Q924" s="505"/>
      <c r="R924" s="505"/>
      <c r="S924" s="139"/>
      <c r="T924" s="139"/>
      <c r="U924" s="139"/>
      <c r="V924" s="139"/>
      <c r="W924" s="139"/>
      <c r="X924" s="139"/>
      <c r="Y924" s="139"/>
      <c r="Z924" s="139"/>
      <c r="AA924" s="139"/>
      <c r="AB924" s="139"/>
      <c r="AC924" s="139"/>
      <c r="AD924" s="139"/>
      <c r="AE924" s="139"/>
      <c r="AF924" s="139"/>
      <c r="AG924" s="139"/>
      <c r="AH924" s="139"/>
      <c r="AI924" s="139"/>
      <c r="AJ924" s="139"/>
      <c r="AK924" s="139"/>
      <c r="AL924" s="139"/>
      <c r="AM924" s="139"/>
      <c r="AN924" s="139"/>
      <c r="AO924" s="139"/>
      <c r="AP924" s="139"/>
      <c r="AQ924" s="51"/>
      <c r="AR924" s="49"/>
      <c r="AS924" s="49"/>
      <c r="AT924" s="49"/>
      <c r="AU924" s="49"/>
      <c r="AV924" s="49"/>
      <c r="AW924" s="49"/>
      <c r="AX924" s="49"/>
      <c r="AY924" s="52"/>
    </row>
    <row r="925" spans="1:51" s="32" customFormat="1" ht="13.5" customHeight="1">
      <c r="A925" s="56"/>
      <c r="B925" s="50"/>
      <c r="C925" s="49"/>
      <c r="D925" s="49"/>
      <c r="E925" s="49"/>
      <c r="F925" s="49"/>
      <c r="G925" s="49"/>
      <c r="H925" s="49"/>
      <c r="I925" s="51"/>
      <c r="J925" s="350"/>
      <c r="K925" s="351"/>
      <c r="L925" s="141" t="s">
        <v>651</v>
      </c>
      <c r="M925" s="139"/>
      <c r="N925" s="505"/>
      <c r="O925" s="505"/>
      <c r="P925" s="505"/>
      <c r="Q925" s="505"/>
      <c r="R925" s="505"/>
      <c r="S925" s="139"/>
      <c r="T925" s="139"/>
      <c r="U925" s="139"/>
      <c r="V925" s="139"/>
      <c r="W925" s="139"/>
      <c r="X925" s="139"/>
      <c r="Y925" s="139"/>
      <c r="Z925" s="139"/>
      <c r="AA925" s="139"/>
      <c r="AB925" s="139"/>
      <c r="AC925" s="139"/>
      <c r="AD925" s="139"/>
      <c r="AE925" s="139"/>
      <c r="AF925" s="139"/>
      <c r="AG925" s="139"/>
      <c r="AH925" s="139"/>
      <c r="AI925" s="139"/>
      <c r="AJ925" s="139"/>
      <c r="AK925" s="139"/>
      <c r="AL925" s="139"/>
      <c r="AM925" s="139"/>
      <c r="AN925" s="139"/>
      <c r="AO925" s="139"/>
      <c r="AP925" s="139"/>
      <c r="AQ925" s="51"/>
      <c r="AR925" s="49" t="s">
        <v>57</v>
      </c>
      <c r="AS925" s="49"/>
      <c r="AT925" s="49"/>
      <c r="AU925" s="49"/>
      <c r="AV925" s="49"/>
      <c r="AW925" s="49"/>
      <c r="AX925" s="49"/>
      <c r="AY925" s="52"/>
    </row>
    <row r="926" spans="1:51" s="32" customFormat="1" ht="13.5" customHeight="1">
      <c r="A926" s="56"/>
      <c r="B926" s="50"/>
      <c r="C926" s="49"/>
      <c r="D926" s="49"/>
      <c r="E926" s="49"/>
      <c r="F926" s="49"/>
      <c r="G926" s="49"/>
      <c r="H926" s="49"/>
      <c r="I926" s="51"/>
      <c r="J926" s="350"/>
      <c r="K926" s="351"/>
      <c r="L926" s="141"/>
      <c r="M926" s="505" t="s">
        <v>652</v>
      </c>
      <c r="N926" s="505"/>
      <c r="O926" s="505"/>
      <c r="P926" s="505"/>
      <c r="Q926" s="505"/>
      <c r="R926" s="505"/>
      <c r="S926" s="139"/>
      <c r="T926" s="139"/>
      <c r="U926" s="139"/>
      <c r="V926" s="139"/>
      <c r="W926" s="139"/>
      <c r="X926" s="139"/>
      <c r="Y926" s="139"/>
      <c r="Z926" s="139"/>
      <c r="AA926" s="139"/>
      <c r="AB926" s="139"/>
      <c r="AC926" s="139"/>
      <c r="AD926" s="139"/>
      <c r="AE926" s="139"/>
      <c r="AF926" s="139"/>
      <c r="AG926" s="139"/>
      <c r="AH926" s="139"/>
      <c r="AI926" s="139"/>
      <c r="AJ926" s="139"/>
      <c r="AK926" s="139"/>
      <c r="AL926" s="139"/>
      <c r="AM926" s="139"/>
      <c r="AN926" s="139"/>
      <c r="AO926" s="139"/>
      <c r="AP926" s="139"/>
      <c r="AQ926" s="51"/>
      <c r="AR926" s="208" t="s">
        <v>168</v>
      </c>
      <c r="AS926" s="49"/>
      <c r="AT926" s="49"/>
      <c r="AU926" s="49"/>
      <c r="AV926" s="49"/>
      <c r="AW926" s="49"/>
      <c r="AX926" s="49"/>
      <c r="AY926" s="52"/>
    </row>
    <row r="927" spans="1:51" s="32" customFormat="1" ht="13.5" customHeight="1">
      <c r="A927" s="56"/>
      <c r="B927" s="50"/>
      <c r="C927" s="49"/>
      <c r="D927" s="49"/>
      <c r="E927" s="49"/>
      <c r="F927" s="49"/>
      <c r="G927" s="49"/>
      <c r="H927" s="49"/>
      <c r="I927" s="51"/>
      <c r="J927" s="350"/>
      <c r="K927" s="351"/>
      <c r="L927" s="141"/>
      <c r="M927" s="139"/>
      <c r="N927" s="505"/>
      <c r="O927" s="505"/>
      <c r="P927" s="505"/>
      <c r="Q927" s="505"/>
      <c r="R927" s="505"/>
      <c r="S927" s="139"/>
      <c r="T927" s="139"/>
      <c r="U927" s="139"/>
      <c r="V927" s="139"/>
      <c r="W927" s="139"/>
      <c r="X927" s="139"/>
      <c r="Y927" s="139"/>
      <c r="Z927" s="139"/>
      <c r="AA927" s="139"/>
      <c r="AB927" s="139"/>
      <c r="AC927" s="139"/>
      <c r="AD927" s="139"/>
      <c r="AE927" s="139"/>
      <c r="AF927" s="139"/>
      <c r="AG927" s="139"/>
      <c r="AH927" s="139"/>
      <c r="AI927" s="139"/>
      <c r="AJ927" s="139"/>
      <c r="AK927" s="139"/>
      <c r="AL927" s="139"/>
      <c r="AM927" s="139"/>
      <c r="AN927" s="139"/>
      <c r="AO927" s="139"/>
      <c r="AP927" s="139"/>
      <c r="AQ927" s="51"/>
      <c r="AR927" s="208" t="s">
        <v>170</v>
      </c>
      <c r="AS927" s="49"/>
      <c r="AT927" s="49"/>
      <c r="AU927" s="49"/>
      <c r="AV927" s="49"/>
      <c r="AW927" s="49"/>
      <c r="AX927" s="49"/>
      <c r="AY927" s="52"/>
    </row>
    <row r="928" spans="1:51" s="32" customFormat="1" ht="13.5" customHeight="1">
      <c r="A928" s="56"/>
      <c r="B928" s="50"/>
      <c r="C928" s="49"/>
      <c r="D928" s="49"/>
      <c r="E928" s="49"/>
      <c r="F928" s="49"/>
      <c r="G928" s="49"/>
      <c r="H928" s="49"/>
      <c r="I928" s="51"/>
      <c r="J928" s="350"/>
      <c r="K928" s="351"/>
      <c r="L928" s="141"/>
      <c r="M928" s="139"/>
      <c r="N928" s="505"/>
      <c r="O928" s="505"/>
      <c r="P928" s="505"/>
      <c r="Q928" s="505"/>
      <c r="R928" s="505"/>
      <c r="S928" s="139"/>
      <c r="T928" s="139"/>
      <c r="U928" s="139"/>
      <c r="V928" s="139"/>
      <c r="W928" s="139"/>
      <c r="X928" s="139"/>
      <c r="Y928" s="139"/>
      <c r="Z928" s="139"/>
      <c r="AA928" s="139"/>
      <c r="AB928" s="139"/>
      <c r="AC928" s="139"/>
      <c r="AD928" s="139"/>
      <c r="AE928" s="139"/>
      <c r="AF928" s="139"/>
      <c r="AG928" s="139"/>
      <c r="AH928" s="139"/>
      <c r="AI928" s="139"/>
      <c r="AJ928" s="139"/>
      <c r="AK928" s="139"/>
      <c r="AL928" s="139"/>
      <c r="AM928" s="139"/>
      <c r="AN928" s="139"/>
      <c r="AO928" s="139"/>
      <c r="AP928" s="139"/>
      <c r="AQ928" s="51"/>
      <c r="AR928" s="49"/>
      <c r="AS928" s="49"/>
      <c r="AT928" s="49"/>
      <c r="AU928" s="49"/>
      <c r="AV928" s="49"/>
      <c r="AW928" s="49"/>
      <c r="AX928" s="49"/>
      <c r="AY928" s="52"/>
    </row>
    <row r="929" spans="1:53" s="32" customFormat="1" ht="13.5" customHeight="1">
      <c r="A929" s="56"/>
      <c r="B929" s="50"/>
      <c r="C929" s="49"/>
      <c r="D929" s="49"/>
      <c r="E929" s="49"/>
      <c r="F929" s="49"/>
      <c r="G929" s="49"/>
      <c r="H929" s="49"/>
      <c r="I929" s="51"/>
      <c r="J929" s="350"/>
      <c r="K929" s="351"/>
      <c r="L929" s="141"/>
      <c r="M929" s="139"/>
      <c r="N929" s="505"/>
      <c r="O929" s="505"/>
      <c r="P929" s="505"/>
      <c r="Q929" s="505"/>
      <c r="R929" s="505"/>
      <c r="S929" s="139"/>
      <c r="T929" s="139"/>
      <c r="U929" s="139"/>
      <c r="V929" s="139"/>
      <c r="W929" s="139"/>
      <c r="X929" s="139"/>
      <c r="Y929" s="139"/>
      <c r="Z929" s="139"/>
      <c r="AA929" s="139"/>
      <c r="AB929" s="139"/>
      <c r="AC929" s="139"/>
      <c r="AD929" s="139"/>
      <c r="AE929" s="139"/>
      <c r="AF929" s="139"/>
      <c r="AG929" s="139"/>
      <c r="AH929" s="139"/>
      <c r="AI929" s="139"/>
      <c r="AJ929" s="139"/>
      <c r="AK929" s="139"/>
      <c r="AL929" s="139"/>
      <c r="AM929" s="139"/>
      <c r="AN929" s="139"/>
      <c r="AO929" s="139"/>
      <c r="AP929" s="139"/>
      <c r="AQ929" s="51"/>
      <c r="AR929" s="49" t="s">
        <v>154</v>
      </c>
      <c r="AS929" s="49"/>
      <c r="AT929" s="49"/>
      <c r="AU929" s="49"/>
      <c r="AV929" s="49"/>
      <c r="AW929" s="49"/>
      <c r="AX929" s="49"/>
      <c r="AY929" s="52"/>
    </row>
    <row r="930" spans="1:53" s="32" customFormat="1" ht="13.5" customHeight="1">
      <c r="A930" s="56"/>
      <c r="B930" s="50"/>
      <c r="C930" s="49"/>
      <c r="D930" s="49"/>
      <c r="E930" s="49"/>
      <c r="F930" s="49"/>
      <c r="G930" s="49"/>
      <c r="H930" s="49"/>
      <c r="I930" s="51"/>
      <c r="J930" s="350"/>
      <c r="K930" s="351"/>
      <c r="L930" s="141"/>
      <c r="M930" s="505" t="s">
        <v>653</v>
      </c>
      <c r="N930" s="505"/>
      <c r="O930" s="505"/>
      <c r="P930" s="505"/>
      <c r="Q930" s="505"/>
      <c r="R930" s="505"/>
      <c r="S930" s="139"/>
      <c r="T930" s="139"/>
      <c r="U930" s="139"/>
      <c r="V930" s="139"/>
      <c r="W930" s="139"/>
      <c r="X930" s="139"/>
      <c r="Y930" s="139"/>
      <c r="Z930" s="139"/>
      <c r="AA930" s="139"/>
      <c r="AB930" s="139"/>
      <c r="AC930" s="139"/>
      <c r="AD930" s="139"/>
      <c r="AE930" s="139"/>
      <c r="AF930" s="139"/>
      <c r="AG930" s="139"/>
      <c r="AH930" s="139"/>
      <c r="AI930" s="139"/>
      <c r="AJ930" s="139"/>
      <c r="AK930" s="139"/>
      <c r="AL930" s="139"/>
      <c r="AM930" s="139"/>
      <c r="AN930" s="139"/>
      <c r="AO930" s="139"/>
      <c r="AP930" s="139"/>
      <c r="AQ930" s="51"/>
      <c r="AR930" s="49" t="s">
        <v>649</v>
      </c>
      <c r="AS930" s="49"/>
      <c r="AT930" s="49"/>
      <c r="AU930" s="49"/>
      <c r="AV930" s="49"/>
      <c r="AW930" s="49"/>
      <c r="AX930" s="49"/>
      <c r="AY930" s="52"/>
    </row>
    <row r="931" spans="1:53" s="32" customFormat="1" ht="13.5" customHeight="1">
      <c r="A931" s="56"/>
      <c r="B931" s="50"/>
      <c r="C931" s="49"/>
      <c r="D931" s="49"/>
      <c r="E931" s="49"/>
      <c r="F931" s="49"/>
      <c r="G931" s="49"/>
      <c r="H931" s="49"/>
      <c r="I931" s="51"/>
      <c r="J931" s="350"/>
      <c r="K931" s="351"/>
      <c r="L931" s="141"/>
      <c r="M931" s="139"/>
      <c r="N931" s="505" t="s">
        <v>981</v>
      </c>
      <c r="O931" s="505"/>
      <c r="P931" s="505"/>
      <c r="Q931" s="505"/>
      <c r="R931" s="505"/>
      <c r="S931" s="139"/>
      <c r="T931" s="139"/>
      <c r="U931" s="139"/>
      <c r="V931" s="139"/>
      <c r="W931" s="139"/>
      <c r="X931" s="139"/>
      <c r="Y931" s="139"/>
      <c r="Z931" s="139"/>
      <c r="AA931" s="139"/>
      <c r="AB931" s="139"/>
      <c r="AC931" s="139"/>
      <c r="AD931" s="139"/>
      <c r="AE931" s="139"/>
      <c r="AF931" s="139"/>
      <c r="AG931" s="139"/>
      <c r="AH931" s="139"/>
      <c r="AI931" s="139"/>
      <c r="AJ931" s="139"/>
      <c r="AK931" s="139"/>
      <c r="AL931" s="139"/>
      <c r="AM931" s="139"/>
      <c r="AN931" s="139"/>
      <c r="AO931" s="139"/>
      <c r="AP931" s="139"/>
      <c r="AQ931" s="51"/>
      <c r="AR931" s="49"/>
      <c r="AS931" s="49"/>
      <c r="AT931" s="49"/>
      <c r="AU931" s="49"/>
      <c r="AV931" s="49"/>
      <c r="AW931" s="49"/>
      <c r="AX931" s="49"/>
      <c r="AY931" s="52"/>
    </row>
    <row r="932" spans="1:53" s="32" customFormat="1" ht="13.5" customHeight="1">
      <c r="A932" s="56"/>
      <c r="B932" s="50"/>
      <c r="C932" s="49"/>
      <c r="D932" s="49"/>
      <c r="E932" s="49"/>
      <c r="F932" s="49"/>
      <c r="G932" s="49"/>
      <c r="H932" s="49"/>
      <c r="I932" s="51"/>
      <c r="J932" s="350"/>
      <c r="K932" s="351"/>
      <c r="L932" s="141"/>
      <c r="M932" s="139"/>
      <c r="N932" s="505"/>
      <c r="O932" s="505"/>
      <c r="P932" s="505"/>
      <c r="Q932" s="505"/>
      <c r="R932" s="505"/>
      <c r="S932" s="139"/>
      <c r="T932" s="139"/>
      <c r="U932" s="139"/>
      <c r="V932" s="139"/>
      <c r="W932" s="139"/>
      <c r="X932" s="139"/>
      <c r="Y932" s="139"/>
      <c r="Z932" s="139"/>
      <c r="AA932" s="139"/>
      <c r="AB932" s="139"/>
      <c r="AC932" s="139"/>
      <c r="AD932" s="139"/>
      <c r="AE932" s="139"/>
      <c r="AF932" s="139"/>
      <c r="AG932" s="139"/>
      <c r="AH932" s="139"/>
      <c r="AI932" s="139"/>
      <c r="AJ932" s="139"/>
      <c r="AK932" s="139"/>
      <c r="AL932" s="139"/>
      <c r="AM932" s="139"/>
      <c r="AN932" s="139"/>
      <c r="AO932" s="139"/>
      <c r="AP932" s="139"/>
      <c r="AQ932" s="51"/>
      <c r="AR932" s="49"/>
      <c r="AS932" s="49"/>
      <c r="AT932" s="49"/>
      <c r="AU932" s="49"/>
      <c r="AV932" s="49"/>
      <c r="AW932" s="49"/>
      <c r="AX932" s="49"/>
      <c r="AY932" s="52"/>
    </row>
    <row r="933" spans="1:53" s="32" customFormat="1" ht="13.5" customHeight="1">
      <c r="A933" s="56"/>
      <c r="B933" s="50"/>
      <c r="C933" s="49"/>
      <c r="D933" s="49"/>
      <c r="E933" s="49"/>
      <c r="F933" s="49"/>
      <c r="G933" s="49"/>
      <c r="H933" s="49"/>
      <c r="I933" s="51"/>
      <c r="J933" s="350"/>
      <c r="K933" s="351"/>
      <c r="L933" s="141" t="s">
        <v>654</v>
      </c>
      <c r="M933" s="139"/>
      <c r="N933" s="505"/>
      <c r="O933" s="505"/>
      <c r="P933" s="505"/>
      <c r="Q933" s="505"/>
      <c r="R933" s="505"/>
      <c r="S933" s="139"/>
      <c r="T933" s="139"/>
      <c r="U933" s="139"/>
      <c r="V933" s="139"/>
      <c r="W933" s="139"/>
      <c r="X933" s="139"/>
      <c r="Y933" s="139"/>
      <c r="Z933" s="139"/>
      <c r="AA933" s="139"/>
      <c r="AB933" s="139"/>
      <c r="AC933" s="139"/>
      <c r="AD933" s="139"/>
      <c r="AE933" s="139"/>
      <c r="AF933" s="139"/>
      <c r="AG933" s="139"/>
      <c r="AH933" s="139"/>
      <c r="AI933" s="139"/>
      <c r="AJ933" s="139"/>
      <c r="AK933" s="139"/>
      <c r="AL933" s="139"/>
      <c r="AM933" s="139"/>
      <c r="AN933" s="139"/>
      <c r="AO933" s="139"/>
      <c r="AP933" s="139"/>
      <c r="AQ933" s="51"/>
      <c r="AR933" s="49"/>
      <c r="AS933" s="49"/>
      <c r="AT933" s="49"/>
      <c r="AU933" s="49"/>
      <c r="AV933" s="49"/>
      <c r="AW933" s="49"/>
      <c r="AX933" s="49"/>
      <c r="AY933" s="52"/>
    </row>
    <row r="934" spans="1:53" s="32" customFormat="1" ht="13.5" customHeight="1">
      <c r="A934" s="56"/>
      <c r="B934" s="50"/>
      <c r="C934" s="49"/>
      <c r="D934" s="49"/>
      <c r="E934" s="49"/>
      <c r="F934" s="49"/>
      <c r="G934" s="49"/>
      <c r="H934" s="49"/>
      <c r="I934" s="51"/>
      <c r="J934" s="350"/>
      <c r="K934" s="351"/>
      <c r="L934" s="141"/>
      <c r="M934" s="139"/>
      <c r="N934" s="505"/>
      <c r="O934" s="505"/>
      <c r="P934" s="505"/>
      <c r="Q934" s="505"/>
      <c r="R934" s="505"/>
      <c r="S934" s="139"/>
      <c r="T934" s="139"/>
      <c r="U934" s="139"/>
      <c r="V934" s="139"/>
      <c r="W934" s="139"/>
      <c r="X934" s="139"/>
      <c r="Y934" s="139"/>
      <c r="Z934" s="139"/>
      <c r="AA934" s="139"/>
      <c r="AB934" s="139"/>
      <c r="AC934" s="139"/>
      <c r="AD934" s="139"/>
      <c r="AE934" s="139"/>
      <c r="AF934" s="139"/>
      <c r="AG934" s="139"/>
      <c r="AH934" s="139"/>
      <c r="AI934" s="139"/>
      <c r="AJ934" s="139"/>
      <c r="AK934" s="139"/>
      <c r="AL934" s="139"/>
      <c r="AM934" s="139"/>
      <c r="AN934" s="139"/>
      <c r="AO934" s="139"/>
      <c r="AP934" s="139"/>
      <c r="AQ934" s="51"/>
      <c r="AR934" s="49"/>
      <c r="AS934" s="49"/>
      <c r="AT934" s="49"/>
      <c r="AU934" s="49"/>
      <c r="AV934" s="49"/>
      <c r="AW934" s="49"/>
      <c r="AX934" s="49"/>
      <c r="AY934" s="52"/>
    </row>
    <row r="935" spans="1:53" s="32" customFormat="1" ht="13.5" customHeight="1">
      <c r="A935" s="56"/>
      <c r="B935" s="50"/>
      <c r="C935" s="49"/>
      <c r="D935" s="49"/>
      <c r="E935" s="49"/>
      <c r="F935" s="49"/>
      <c r="G935" s="49"/>
      <c r="H935" s="49"/>
      <c r="I935" s="51"/>
      <c r="J935" s="350"/>
      <c r="K935" s="351"/>
      <c r="L935" s="141"/>
      <c r="M935" s="139" t="s">
        <v>655</v>
      </c>
      <c r="N935" s="505"/>
      <c r="O935" s="505"/>
      <c r="P935" s="505"/>
      <c r="Q935" s="505"/>
      <c r="R935" s="505"/>
      <c r="S935" s="139"/>
      <c r="T935" s="139"/>
      <c r="U935" s="139"/>
      <c r="V935" s="139"/>
      <c r="W935" s="139"/>
      <c r="X935" s="139"/>
      <c r="Y935" s="139"/>
      <c r="Z935" s="139"/>
      <c r="AA935" s="139"/>
      <c r="AB935" s="139"/>
      <c r="AC935" s="139"/>
      <c r="AD935" s="139"/>
      <c r="AE935" s="139"/>
      <c r="AF935" s="139"/>
      <c r="AG935" s="139"/>
      <c r="AH935" s="139"/>
      <c r="AI935" s="139"/>
      <c r="AJ935" s="139"/>
      <c r="AK935" s="139"/>
      <c r="AL935" s="139"/>
      <c r="AM935" s="139"/>
      <c r="AN935" s="139"/>
      <c r="AO935" s="139"/>
      <c r="AP935" s="139"/>
      <c r="AQ935" s="51"/>
      <c r="AR935" s="49"/>
      <c r="AS935" s="49"/>
      <c r="AT935" s="49"/>
      <c r="AU935" s="49"/>
      <c r="AV935" s="49"/>
      <c r="AW935" s="49"/>
      <c r="AX935" s="49"/>
      <c r="AY935" s="52"/>
    </row>
    <row r="936" spans="1:53" s="32" customFormat="1" ht="13.5" customHeight="1">
      <c r="A936" s="56"/>
      <c r="B936" s="50"/>
      <c r="C936" s="49"/>
      <c r="D936" s="49"/>
      <c r="E936" s="49"/>
      <c r="F936" s="49"/>
      <c r="G936" s="49"/>
      <c r="H936" s="49"/>
      <c r="I936" s="51"/>
      <c r="J936" s="350"/>
      <c r="K936" s="351"/>
      <c r="L936" s="141"/>
      <c r="M936" s="139"/>
      <c r="N936" s="524" t="s">
        <v>547</v>
      </c>
      <c r="O936" s="505"/>
      <c r="P936" s="505"/>
      <c r="Q936" s="505"/>
      <c r="R936" s="505"/>
      <c r="S936" s="139"/>
      <c r="T936" s="139"/>
      <c r="U936" s="139"/>
      <c r="V936" s="139"/>
      <c r="W936" s="139"/>
      <c r="X936" s="139"/>
      <c r="Y936" s="139"/>
      <c r="Z936" s="139"/>
      <c r="AA936" s="139"/>
      <c r="AB936" s="139"/>
      <c r="AC936" s="139"/>
      <c r="AD936" s="139"/>
      <c r="AE936" s="139"/>
      <c r="AF936" s="139"/>
      <c r="AG936" s="139"/>
      <c r="AH936" s="139"/>
      <c r="AI936" s="139"/>
      <c r="AJ936" s="139"/>
      <c r="AK936" s="139"/>
      <c r="AL936" s="139"/>
      <c r="AM936" s="139"/>
      <c r="AN936" s="139"/>
      <c r="AO936" s="139"/>
      <c r="AP936" s="139"/>
      <c r="AQ936" s="51"/>
      <c r="AR936" s="49"/>
      <c r="AS936" s="49"/>
      <c r="AT936" s="49"/>
      <c r="AU936" s="49"/>
      <c r="AV936" s="49"/>
      <c r="AW936" s="49"/>
      <c r="AX936" s="49"/>
      <c r="AY936" s="52"/>
    </row>
    <row r="937" spans="1:53" s="32" customFormat="1" ht="13.5" customHeight="1">
      <c r="A937" s="56"/>
      <c r="B937" s="50"/>
      <c r="C937" s="49"/>
      <c r="D937" s="49"/>
      <c r="E937" s="49"/>
      <c r="F937" s="49"/>
      <c r="G937" s="49"/>
      <c r="H937" s="49"/>
      <c r="I937" s="51"/>
      <c r="J937" s="350"/>
      <c r="K937" s="351"/>
      <c r="L937" s="141"/>
      <c r="M937" s="139"/>
      <c r="N937" s="505"/>
      <c r="O937" s="505"/>
      <c r="P937" s="505"/>
      <c r="Q937" s="505"/>
      <c r="R937" s="505"/>
      <c r="S937" s="139"/>
      <c r="T937" s="139"/>
      <c r="U937" s="139"/>
      <c r="V937" s="139"/>
      <c r="W937" s="139"/>
      <c r="X937" s="139"/>
      <c r="Y937" s="139"/>
      <c r="Z937" s="139"/>
      <c r="AA937" s="139"/>
      <c r="AB937" s="139"/>
      <c r="AC937" s="139"/>
      <c r="AD937" s="139"/>
      <c r="AE937" s="139"/>
      <c r="AF937" s="139"/>
      <c r="AG937" s="139"/>
      <c r="AH937" s="139"/>
      <c r="AI937" s="139"/>
      <c r="AJ937" s="139"/>
      <c r="AK937" s="139"/>
      <c r="AL937" s="139"/>
      <c r="AM937" s="139"/>
      <c r="AN937" s="139"/>
      <c r="AO937" s="139"/>
      <c r="AP937" s="139"/>
      <c r="AQ937" s="51"/>
      <c r="AR937" s="49"/>
      <c r="AS937" s="49"/>
      <c r="AT937" s="49"/>
      <c r="AU937" s="49"/>
      <c r="AV937" s="49"/>
      <c r="AW937" s="49"/>
      <c r="AX937" s="49"/>
      <c r="AY937" s="52"/>
    </row>
    <row r="938" spans="1:53" s="32" customFormat="1" ht="13.5" customHeight="1">
      <c r="A938" s="56"/>
      <c r="B938" s="50"/>
      <c r="C938" s="49"/>
      <c r="D938" s="49"/>
      <c r="E938" s="49"/>
      <c r="F938" s="49"/>
      <c r="G938" s="49"/>
      <c r="H938" s="49"/>
      <c r="I938" s="51"/>
      <c r="J938" s="350"/>
      <c r="K938" s="351"/>
      <c r="L938" s="141"/>
      <c r="M938" s="139" t="s">
        <v>656</v>
      </c>
      <c r="N938" s="505"/>
      <c r="O938" s="505"/>
      <c r="P938" s="505"/>
      <c r="Q938" s="505"/>
      <c r="R938" s="505"/>
      <c r="S938" s="139"/>
      <c r="T938" s="139"/>
      <c r="U938" s="139"/>
      <c r="V938" s="139"/>
      <c r="W938" s="139"/>
      <c r="X938" s="139"/>
      <c r="Y938" s="139"/>
      <c r="Z938" s="139"/>
      <c r="AA938" s="139"/>
      <c r="AB938" s="139"/>
      <c r="AC938" s="139"/>
      <c r="AD938" s="139"/>
      <c r="AE938" s="139"/>
      <c r="AF938" s="139"/>
      <c r="AG938" s="139"/>
      <c r="AH938" s="139"/>
      <c r="AI938" s="139"/>
      <c r="AJ938" s="139"/>
      <c r="AK938" s="139"/>
      <c r="AL938" s="139"/>
      <c r="AM938" s="139"/>
      <c r="AN938" s="139"/>
      <c r="AO938" s="139"/>
      <c r="AP938" s="139"/>
      <c r="AQ938" s="51"/>
      <c r="AR938" s="49"/>
      <c r="AS938" s="49"/>
      <c r="AT938" s="49"/>
      <c r="AU938" s="49"/>
      <c r="AV938" s="49"/>
      <c r="AW938" s="49"/>
      <c r="AX938" s="49"/>
      <c r="AY938" s="52"/>
    </row>
    <row r="939" spans="1:53" s="32" customFormat="1" ht="13.5" customHeight="1">
      <c r="A939" s="56"/>
      <c r="B939" s="50"/>
      <c r="C939" s="49"/>
      <c r="D939" s="49"/>
      <c r="E939" s="49"/>
      <c r="F939" s="49"/>
      <c r="G939" s="49"/>
      <c r="H939" s="49"/>
      <c r="I939" s="51"/>
      <c r="J939" s="350"/>
      <c r="K939" s="351"/>
      <c r="L939" s="50"/>
      <c r="M939" s="49"/>
      <c r="N939" s="102"/>
      <c r="O939" s="102"/>
      <c r="P939" s="102"/>
      <c r="Q939" s="102"/>
      <c r="R939" s="102"/>
      <c r="S939" s="49"/>
      <c r="T939" s="49"/>
      <c r="U939" s="49"/>
      <c r="V939" s="49"/>
      <c r="W939" s="49"/>
      <c r="X939" s="49"/>
      <c r="Y939" s="49"/>
      <c r="Z939" s="49"/>
      <c r="AA939" s="49"/>
      <c r="AB939" s="49"/>
      <c r="AC939" s="49"/>
      <c r="AD939" s="49"/>
      <c r="AE939" s="49"/>
      <c r="AF939" s="49"/>
      <c r="AG939" s="49"/>
      <c r="AH939" s="49"/>
      <c r="AI939" s="49"/>
      <c r="AJ939" s="49"/>
      <c r="AK939" s="49"/>
      <c r="AL939" s="49"/>
      <c r="AM939" s="49"/>
      <c r="AN939" s="49"/>
      <c r="AO939" s="49"/>
      <c r="AP939" s="49"/>
      <c r="AQ939" s="51"/>
      <c r="AR939" s="49"/>
      <c r="AS939" s="49"/>
      <c r="AT939" s="49"/>
      <c r="AU939" s="49"/>
      <c r="AV939" s="49"/>
      <c r="AW939" s="49"/>
      <c r="AX939" s="49"/>
      <c r="AY939" s="52"/>
    </row>
    <row r="940" spans="1:53" s="38" customFormat="1" ht="13.5" customHeight="1">
      <c r="A940" s="99">
        <v>19</v>
      </c>
      <c r="B940" s="53" t="s">
        <v>715</v>
      </c>
      <c r="C940" s="54"/>
      <c r="D940" s="54"/>
      <c r="E940" s="54"/>
      <c r="F940" s="54"/>
      <c r="G940" s="54"/>
      <c r="H940" s="54"/>
      <c r="I940" s="54"/>
      <c r="J940" s="41"/>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c r="AL940" s="54"/>
      <c r="AM940" s="54"/>
      <c r="AN940" s="54"/>
      <c r="AO940" s="54"/>
      <c r="AP940" s="54"/>
      <c r="AQ940" s="54"/>
      <c r="AR940" s="212"/>
      <c r="AS940" s="54"/>
      <c r="AT940" s="54"/>
      <c r="AU940" s="54"/>
      <c r="AV940" s="54"/>
      <c r="AW940" s="54"/>
      <c r="AX940" s="54"/>
      <c r="AY940" s="55"/>
      <c r="AZ940" s="236">
        <v>0.11</v>
      </c>
    </row>
    <row r="941" spans="1:53" s="38" customFormat="1" ht="13.5" customHeight="1">
      <c r="A941" s="62"/>
      <c r="B941" s="50"/>
      <c r="C941" s="49"/>
      <c r="D941" s="49"/>
      <c r="E941" s="49"/>
      <c r="F941" s="49"/>
      <c r="G941" s="49"/>
      <c r="H941" s="49"/>
      <c r="I941" s="51"/>
      <c r="J941" s="717" t="s">
        <v>705</v>
      </c>
      <c r="K941" s="718"/>
      <c r="L941" s="50" t="s">
        <v>716</v>
      </c>
      <c r="M941" s="49"/>
      <c r="N941" s="49"/>
      <c r="O941" s="49"/>
      <c r="P941" s="49"/>
      <c r="Q941" s="49"/>
      <c r="R941" s="49"/>
      <c r="S941" s="49"/>
      <c r="T941" s="49"/>
      <c r="U941" s="49"/>
      <c r="V941" s="49"/>
      <c r="W941" s="49"/>
      <c r="X941" s="49"/>
      <c r="Y941" s="49"/>
      <c r="Z941" s="49"/>
      <c r="AA941" s="49"/>
      <c r="AB941" s="49"/>
      <c r="AC941" s="49"/>
      <c r="AD941" s="49"/>
      <c r="AE941" s="49"/>
      <c r="AF941" s="49"/>
      <c r="AG941" s="49"/>
      <c r="AH941" s="49"/>
      <c r="AI941" s="49"/>
      <c r="AJ941" s="49"/>
      <c r="AK941" s="49"/>
      <c r="AL941" s="49"/>
      <c r="AM941" s="49"/>
      <c r="AN941" s="49"/>
      <c r="AO941" s="49"/>
      <c r="AP941" s="49"/>
      <c r="AQ941" s="51"/>
      <c r="AR941" s="49"/>
      <c r="AS941" s="49"/>
      <c r="AT941" s="49"/>
      <c r="AU941" s="49"/>
      <c r="AV941" s="49"/>
      <c r="AW941" s="49"/>
      <c r="AX941" s="49"/>
      <c r="AY941" s="52"/>
      <c r="AZ941" s="236">
        <v>0.11</v>
      </c>
      <c r="BA941" s="294"/>
    </row>
    <row r="942" spans="1:53" s="38" customFormat="1" ht="13.5" customHeight="1">
      <c r="A942" s="62"/>
      <c r="B942" s="50"/>
      <c r="C942" s="49"/>
      <c r="D942" s="49"/>
      <c r="E942" s="49"/>
      <c r="F942" s="49"/>
      <c r="G942" s="49"/>
      <c r="H942" s="49"/>
      <c r="I942" s="51"/>
      <c r="J942" s="350"/>
      <c r="K942" s="351"/>
      <c r="L942" s="50"/>
      <c r="M942" s="49" t="s">
        <v>717</v>
      </c>
      <c r="N942" s="49"/>
      <c r="O942" s="49"/>
      <c r="P942" s="49"/>
      <c r="Q942" s="49"/>
      <c r="R942" s="49"/>
      <c r="S942" s="49"/>
      <c r="T942" s="49"/>
      <c r="U942" s="49"/>
      <c r="V942" s="49"/>
      <c r="W942" s="49"/>
      <c r="X942" s="49"/>
      <c r="Y942" s="49"/>
      <c r="Z942" s="49"/>
      <c r="AA942" s="49"/>
      <c r="AB942" s="49"/>
      <c r="AC942" s="49"/>
      <c r="AD942" s="49"/>
      <c r="AE942" s="49"/>
      <c r="AF942" s="49"/>
      <c r="AG942" s="49"/>
      <c r="AH942" s="49"/>
      <c r="AI942" s="49"/>
      <c r="AJ942" s="49"/>
      <c r="AK942" s="49"/>
      <c r="AL942" s="49"/>
      <c r="AM942" s="49"/>
      <c r="AN942" s="49"/>
      <c r="AO942" s="49"/>
      <c r="AP942" s="49"/>
      <c r="AQ942" s="51"/>
      <c r="AR942" s="49"/>
      <c r="AS942" s="49"/>
      <c r="AT942" s="49"/>
      <c r="AU942" s="49"/>
      <c r="AV942" s="49"/>
      <c r="AW942" s="49"/>
      <c r="AX942" s="49"/>
      <c r="AY942" s="52"/>
      <c r="AZ942" s="236">
        <v>0.11</v>
      </c>
      <c r="BA942" s="294"/>
    </row>
    <row r="943" spans="1:53" s="38" customFormat="1" ht="13.5" customHeight="1">
      <c r="A943" s="62"/>
      <c r="B943" s="50"/>
      <c r="C943" s="49"/>
      <c r="D943" s="49"/>
      <c r="E943" s="49"/>
      <c r="F943" s="49"/>
      <c r="G943" s="49"/>
      <c r="H943" s="49"/>
      <c r="I943" s="51"/>
      <c r="J943" s="350"/>
      <c r="K943" s="351"/>
      <c r="L943" s="50"/>
      <c r="M943" s="49" t="s">
        <v>815</v>
      </c>
      <c r="N943" s="102"/>
      <c r="O943" s="103"/>
      <c r="P943" s="102"/>
      <c r="Q943" s="102"/>
      <c r="R943" s="102"/>
      <c r="S943" s="102"/>
      <c r="T943" s="102"/>
      <c r="U943" s="102"/>
      <c r="V943" s="49"/>
      <c r="W943" s="49"/>
      <c r="X943" s="49"/>
      <c r="Y943" s="49"/>
      <c r="Z943" s="49"/>
      <c r="AA943" s="49"/>
      <c r="AB943" s="49"/>
      <c r="AC943" s="49"/>
      <c r="AD943" s="49"/>
      <c r="AE943" s="49"/>
      <c r="AF943" s="49"/>
      <c r="AG943" s="49"/>
      <c r="AH943" s="49"/>
      <c r="AI943" s="49"/>
      <c r="AJ943" s="49"/>
      <c r="AK943" s="49"/>
      <c r="AL943" s="49"/>
      <c r="AM943" s="49"/>
      <c r="AN943" s="49"/>
      <c r="AO943" s="49"/>
      <c r="AP943" s="49"/>
      <c r="AQ943" s="51"/>
      <c r="AR943" s="49" t="s">
        <v>835</v>
      </c>
      <c r="AS943" s="49"/>
      <c r="AT943" s="49"/>
      <c r="AU943" s="49"/>
      <c r="AV943" s="49"/>
      <c r="AW943" s="49"/>
      <c r="AX943" s="49"/>
      <c r="AY943" s="52"/>
      <c r="AZ943" s="236">
        <v>0.11</v>
      </c>
      <c r="BA943" s="294"/>
    </row>
    <row r="944" spans="1:53" s="38" customFormat="1" ht="13.5" customHeight="1">
      <c r="A944" s="62"/>
      <c r="B944" s="50"/>
      <c r="C944" s="49"/>
      <c r="D944" s="49"/>
      <c r="E944" s="49"/>
      <c r="F944" s="49"/>
      <c r="G944" s="49"/>
      <c r="H944" s="49"/>
      <c r="I944" s="51"/>
      <c r="J944" s="350"/>
      <c r="K944" s="351"/>
      <c r="L944" s="50"/>
      <c r="M944" s="205"/>
      <c r="N944" s="49"/>
      <c r="O944" s="49"/>
      <c r="P944" s="49"/>
      <c r="Q944" s="49"/>
      <c r="R944" s="49"/>
      <c r="S944" s="49"/>
      <c r="T944" s="49"/>
      <c r="U944" s="49"/>
      <c r="V944" s="49"/>
      <c r="W944" s="49"/>
      <c r="X944" s="49"/>
      <c r="Y944" s="49"/>
      <c r="Z944" s="49"/>
      <c r="AA944" s="49"/>
      <c r="AB944" s="49"/>
      <c r="AC944" s="49"/>
      <c r="AD944" s="49"/>
      <c r="AE944" s="49"/>
      <c r="AF944" s="49"/>
      <c r="AG944" s="49"/>
      <c r="AH944" s="49"/>
      <c r="AI944" s="49"/>
      <c r="AJ944" s="49"/>
      <c r="AK944" s="49"/>
      <c r="AL944" s="49"/>
      <c r="AM944" s="49"/>
      <c r="AN944" s="49"/>
      <c r="AO944" s="49"/>
      <c r="AP944" s="49"/>
      <c r="AQ944" s="51"/>
      <c r="AR944" s="49"/>
      <c r="AS944" s="49"/>
      <c r="AT944" s="49"/>
      <c r="AU944" s="49"/>
      <c r="AV944" s="49"/>
      <c r="AW944" s="49"/>
      <c r="AX944" s="49"/>
      <c r="AY944" s="52"/>
      <c r="AZ944" s="236">
        <v>0.11</v>
      </c>
      <c r="BA944" s="294"/>
    </row>
    <row r="945" spans="1:53" s="38" customFormat="1" ht="13.5" customHeight="1">
      <c r="A945" s="62"/>
      <c r="B945" s="360"/>
      <c r="C945" s="361"/>
      <c r="D945" s="361"/>
      <c r="E945" s="49"/>
      <c r="F945" s="49"/>
      <c r="G945" s="49"/>
      <c r="H945" s="49"/>
      <c r="I945" s="51"/>
      <c r="J945" s="717" t="s">
        <v>56</v>
      </c>
      <c r="K945" s="718"/>
      <c r="L945" s="152" t="s">
        <v>718</v>
      </c>
      <c r="M945" s="362"/>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5"/>
      <c r="AR945" s="284"/>
      <c r="AS945" s="284"/>
      <c r="AT945" s="284"/>
      <c r="AU945" s="284"/>
      <c r="AV945" s="284"/>
      <c r="AW945" s="284"/>
      <c r="AX945" s="284"/>
      <c r="AY945" s="287"/>
      <c r="AZ945" s="236">
        <v>0.11</v>
      </c>
      <c r="BA945" s="294"/>
    </row>
    <row r="946" spans="1:53" s="38" customFormat="1" ht="13.5" customHeight="1">
      <c r="A946" s="62"/>
      <c r="B946" s="360"/>
      <c r="C946" s="361"/>
      <c r="D946" s="361"/>
      <c r="E946" s="49"/>
      <c r="F946" s="49"/>
      <c r="G946" s="49"/>
      <c r="H946" s="49"/>
      <c r="I946" s="51"/>
      <c r="J946" s="350"/>
      <c r="K946" s="351"/>
      <c r="L946" s="50"/>
      <c r="M946" s="30" t="s">
        <v>719</v>
      </c>
      <c r="N946" s="49"/>
      <c r="O946" s="49"/>
      <c r="P946" s="49"/>
      <c r="Q946" s="49"/>
      <c r="R946" s="49"/>
      <c r="S946" s="49"/>
      <c r="T946" s="49"/>
      <c r="U946" s="49"/>
      <c r="V946" s="49"/>
      <c r="W946" s="49"/>
      <c r="X946" s="49"/>
      <c r="Y946" s="49"/>
      <c r="Z946" s="49"/>
      <c r="AA946" s="49"/>
      <c r="AB946" s="49"/>
      <c r="AC946" s="49"/>
      <c r="AD946" s="49"/>
      <c r="AE946" s="49"/>
      <c r="AF946" s="49"/>
      <c r="AG946" s="49"/>
      <c r="AH946" s="49"/>
      <c r="AI946" s="49"/>
      <c r="AJ946" s="49"/>
      <c r="AK946" s="49"/>
      <c r="AL946" s="49"/>
      <c r="AM946" s="49"/>
      <c r="AN946" s="49"/>
      <c r="AO946" s="49"/>
      <c r="AP946" s="49"/>
      <c r="AQ946" s="51"/>
      <c r="AR946" s="49"/>
      <c r="AS946" s="49"/>
      <c r="AT946" s="49"/>
      <c r="AU946" s="49"/>
      <c r="AV946" s="49"/>
      <c r="AW946" s="49"/>
      <c r="AX946" s="49"/>
      <c r="AY946" s="52"/>
      <c r="AZ946" s="236">
        <v>0.11</v>
      </c>
      <c r="BA946" s="294"/>
    </row>
    <row r="947" spans="1:53" s="38" customFormat="1" ht="13.5" customHeight="1">
      <c r="A947" s="62"/>
      <c r="B947" s="360"/>
      <c r="C947" s="361"/>
      <c r="D947" s="361"/>
      <c r="E947" s="49"/>
      <c r="F947" s="49"/>
      <c r="G947" s="49"/>
      <c r="H947" s="49"/>
      <c r="I947" s="51"/>
      <c r="J947" s="350"/>
      <c r="K947" s="351"/>
      <c r="L947" s="50"/>
      <c r="M947" s="205"/>
      <c r="N947" s="30" t="s">
        <v>109</v>
      </c>
      <c r="O947" s="49" t="s">
        <v>720</v>
      </c>
      <c r="P947" s="49"/>
      <c r="Q947" s="49"/>
      <c r="R947" s="49"/>
      <c r="S947" s="49"/>
      <c r="T947" s="49"/>
      <c r="U947" s="49"/>
      <c r="V947" s="49"/>
      <c r="W947" s="49"/>
      <c r="X947" s="49"/>
      <c r="Y947" s="49"/>
      <c r="Z947" s="49"/>
      <c r="AA947" s="49"/>
      <c r="AB947" s="49"/>
      <c r="AC947" s="49"/>
      <c r="AD947" s="49"/>
      <c r="AE947" s="49"/>
      <c r="AF947" s="49"/>
      <c r="AG947" s="49"/>
      <c r="AH947" s="49"/>
      <c r="AI947" s="49"/>
      <c r="AJ947" s="49"/>
      <c r="AK947" s="49"/>
      <c r="AL947" s="49"/>
      <c r="AM947" s="49"/>
      <c r="AN947" s="49"/>
      <c r="AO947" s="49"/>
      <c r="AP947" s="49"/>
      <c r="AQ947" s="51"/>
      <c r="AR947" s="49"/>
      <c r="AS947" s="49"/>
      <c r="AT947" s="49"/>
      <c r="AU947" s="49"/>
      <c r="AV947" s="49"/>
      <c r="AW947" s="49"/>
      <c r="AX947" s="49"/>
      <c r="AY947" s="52"/>
      <c r="AZ947" s="236">
        <v>0.11</v>
      </c>
      <c r="BA947" s="294"/>
    </row>
    <row r="948" spans="1:53" s="38" customFormat="1" ht="13.5" customHeight="1">
      <c r="A948" s="62"/>
      <c r="B948" s="50"/>
      <c r="C948" s="49"/>
      <c r="D948" s="49"/>
      <c r="E948" s="49"/>
      <c r="F948" s="49"/>
      <c r="G948" s="49"/>
      <c r="H948" s="49"/>
      <c r="I948" s="51"/>
      <c r="J948" s="350"/>
      <c r="K948" s="351"/>
      <c r="L948" s="50"/>
      <c r="M948" s="205"/>
      <c r="N948" s="205" t="s">
        <v>421</v>
      </c>
      <c r="O948" s="49" t="s">
        <v>721</v>
      </c>
      <c r="P948" s="49"/>
      <c r="Q948" s="49"/>
      <c r="R948" s="49"/>
      <c r="S948" s="49"/>
      <c r="T948" s="49"/>
      <c r="U948" s="49"/>
      <c r="V948" s="49"/>
      <c r="W948" s="49"/>
      <c r="X948" s="49"/>
      <c r="Y948" s="49"/>
      <c r="Z948" s="49"/>
      <c r="AA948" s="49"/>
      <c r="AB948" s="49"/>
      <c r="AC948" s="49"/>
      <c r="AD948" s="49"/>
      <c r="AE948" s="49"/>
      <c r="AF948" s="49"/>
      <c r="AG948" s="49"/>
      <c r="AH948" s="49"/>
      <c r="AI948" s="49"/>
      <c r="AJ948" s="49"/>
      <c r="AK948" s="49"/>
      <c r="AL948" s="49"/>
      <c r="AM948" s="49"/>
      <c r="AN948" s="49"/>
      <c r="AO948" s="49"/>
      <c r="AP948" s="49"/>
      <c r="AQ948" s="51"/>
      <c r="AR948" s="49"/>
      <c r="AS948" s="49"/>
      <c r="AT948" s="49"/>
      <c r="AU948" s="49"/>
      <c r="AV948" s="49"/>
      <c r="AW948" s="49"/>
      <c r="AX948" s="49"/>
      <c r="AY948" s="52"/>
      <c r="AZ948" s="236">
        <v>0.11</v>
      </c>
      <c r="BA948" s="294"/>
    </row>
    <row r="949" spans="1:53" s="38" customFormat="1" ht="13.5" customHeight="1">
      <c r="A949" s="62"/>
      <c r="B949" s="50"/>
      <c r="C949" s="49"/>
      <c r="D949" s="49"/>
      <c r="E949" s="49"/>
      <c r="F949" s="49"/>
      <c r="G949" s="49"/>
      <c r="H949" s="49"/>
      <c r="I949" s="51"/>
      <c r="J949" s="350"/>
      <c r="K949" s="351"/>
      <c r="L949" s="50"/>
      <c r="M949" s="30"/>
      <c r="N949" s="205" t="s">
        <v>196</v>
      </c>
      <c r="O949" s="49" t="s">
        <v>726</v>
      </c>
      <c r="P949" s="49"/>
      <c r="Q949" s="49"/>
      <c r="R949" s="49"/>
      <c r="S949" s="49"/>
      <c r="T949" s="49"/>
      <c r="U949" s="49"/>
      <c r="V949" s="49"/>
      <c r="W949" s="49"/>
      <c r="X949" s="49"/>
      <c r="Y949" s="49"/>
      <c r="Z949" s="49"/>
      <c r="AA949" s="49"/>
      <c r="AB949" s="49"/>
      <c r="AC949" s="49"/>
      <c r="AD949" s="49"/>
      <c r="AE949" s="49"/>
      <c r="AF949" s="49"/>
      <c r="AG949" s="49"/>
      <c r="AH949" s="49"/>
      <c r="AI949" s="49"/>
      <c r="AJ949" s="49"/>
      <c r="AK949" s="49"/>
      <c r="AL949" s="49"/>
      <c r="AM949" s="49"/>
      <c r="AN949" s="49"/>
      <c r="AO949" s="49"/>
      <c r="AP949" s="49"/>
      <c r="AQ949" s="51"/>
      <c r="AR949" s="49" t="s">
        <v>953</v>
      </c>
      <c r="AS949" s="49"/>
      <c r="AT949" s="49"/>
      <c r="AU949" s="49"/>
      <c r="AV949" s="49"/>
      <c r="AW949" s="49"/>
      <c r="AX949" s="49"/>
      <c r="AY949" s="52"/>
      <c r="AZ949" s="236">
        <v>0.11</v>
      </c>
      <c r="BA949" s="294"/>
    </row>
    <row r="950" spans="1:53" s="38" customFormat="1" ht="13.5" customHeight="1">
      <c r="A950" s="56"/>
      <c r="B950" s="50"/>
      <c r="C950" s="49"/>
      <c r="D950" s="49"/>
      <c r="E950" s="49"/>
      <c r="F950" s="49"/>
      <c r="G950" s="49"/>
      <c r="H950" s="49"/>
      <c r="I950" s="51"/>
      <c r="J950" s="350"/>
      <c r="K950" s="351"/>
      <c r="L950" s="50"/>
      <c r="M950" s="49"/>
      <c r="N950" s="49"/>
      <c r="O950" s="49"/>
      <c r="P950" s="49"/>
      <c r="Q950" s="49"/>
      <c r="R950" s="49"/>
      <c r="S950" s="49"/>
      <c r="T950" s="49"/>
      <c r="U950" s="49"/>
      <c r="V950" s="49"/>
      <c r="W950" s="49"/>
      <c r="X950" s="49"/>
      <c r="Y950" s="49"/>
      <c r="Z950" s="49"/>
      <c r="AA950" s="49"/>
      <c r="AB950" s="49"/>
      <c r="AC950" s="49"/>
      <c r="AD950" s="49"/>
      <c r="AE950" s="49"/>
      <c r="AF950" s="49"/>
      <c r="AG950" s="49"/>
      <c r="AH950" s="49"/>
      <c r="AI950" s="49"/>
      <c r="AJ950" s="49"/>
      <c r="AK950" s="49"/>
      <c r="AL950" s="49"/>
      <c r="AM950" s="49"/>
      <c r="AN950" s="49"/>
      <c r="AO950" s="49"/>
      <c r="AP950" s="49"/>
      <c r="AQ950" s="51"/>
      <c r="AR950" s="208" t="s">
        <v>954</v>
      </c>
      <c r="AS950" s="49"/>
      <c r="AT950" s="49"/>
      <c r="AU950" s="49"/>
      <c r="AV950" s="49"/>
      <c r="AW950" s="49"/>
      <c r="AX950" s="49"/>
      <c r="AY950" s="52"/>
      <c r="AZ950" s="236"/>
    </row>
    <row r="951" spans="1:53" s="38" customFormat="1" ht="13.5" customHeight="1" thickBot="1">
      <c r="A951" s="321"/>
      <c r="B951" s="322"/>
      <c r="C951" s="323"/>
      <c r="D951" s="323"/>
      <c r="E951" s="323"/>
      <c r="F951" s="323"/>
      <c r="G951" s="323"/>
      <c r="H951" s="323"/>
      <c r="I951" s="324"/>
      <c r="J951" s="354"/>
      <c r="K951" s="355"/>
      <c r="L951" s="322"/>
      <c r="M951" s="323"/>
      <c r="N951" s="323"/>
      <c r="O951" s="323"/>
      <c r="P951" s="323"/>
      <c r="Q951" s="323"/>
      <c r="R951" s="323"/>
      <c r="S951" s="323"/>
      <c r="T951" s="323"/>
      <c r="U951" s="323"/>
      <c r="V951" s="323"/>
      <c r="W951" s="323"/>
      <c r="X951" s="323"/>
      <c r="Y951" s="323"/>
      <c r="Z951" s="323"/>
      <c r="AA951" s="323"/>
      <c r="AB951" s="323"/>
      <c r="AC951" s="323"/>
      <c r="AD951" s="323"/>
      <c r="AE951" s="323"/>
      <c r="AF951" s="323"/>
      <c r="AG951" s="323"/>
      <c r="AH951" s="323"/>
      <c r="AI951" s="323"/>
      <c r="AJ951" s="323"/>
      <c r="AK951" s="323"/>
      <c r="AL951" s="323"/>
      <c r="AM951" s="323"/>
      <c r="AN951" s="323"/>
      <c r="AO951" s="323"/>
      <c r="AP951" s="323"/>
      <c r="AQ951" s="324"/>
      <c r="AR951" s="327"/>
      <c r="AS951" s="323"/>
      <c r="AT951" s="323"/>
      <c r="AU951" s="323"/>
      <c r="AV951" s="323"/>
      <c r="AW951" s="323"/>
      <c r="AX951" s="323"/>
      <c r="AY951" s="328"/>
      <c r="AZ951" s="236"/>
    </row>
  </sheetData>
  <mergeCells count="92">
    <mergeCell ref="AR733:AY733"/>
    <mergeCell ref="J850:K850"/>
    <mergeCell ref="J825:K825"/>
    <mergeCell ref="J826:K826"/>
    <mergeCell ref="J785:K785"/>
    <mergeCell ref="J786:K786"/>
    <mergeCell ref="J941:K941"/>
    <mergeCell ref="J945:K945"/>
    <mergeCell ref="L913:L917"/>
    <mergeCell ref="AR730:AY730"/>
    <mergeCell ref="J783:K783"/>
    <mergeCell ref="J787:K787"/>
    <mergeCell ref="J809:K809"/>
    <mergeCell ref="J853:K853"/>
    <mergeCell ref="J827:K827"/>
    <mergeCell ref="J883:K883"/>
    <mergeCell ref="J881:K881"/>
    <mergeCell ref="J875:K875"/>
    <mergeCell ref="J877:K877"/>
    <mergeCell ref="J878:K878"/>
    <mergeCell ref="J880:K880"/>
    <mergeCell ref="J871:K871"/>
    <mergeCell ref="J172:K172"/>
    <mergeCell ref="J872:K872"/>
    <mergeCell ref="AR317:AY317"/>
    <mergeCell ref="J672:K672"/>
    <mergeCell ref="J695:K695"/>
    <mergeCell ref="J235:K235"/>
    <mergeCell ref="J236:K236"/>
    <mergeCell ref="J238:K238"/>
    <mergeCell ref="J239:K239"/>
    <mergeCell ref="J241:K241"/>
    <mergeCell ref="J265:K265"/>
    <mergeCell ref="J243:K243"/>
    <mergeCell ref="J287:K287"/>
    <mergeCell ref="J290:K290"/>
    <mergeCell ref="J291:K291"/>
    <mergeCell ref="J669:K669"/>
    <mergeCell ref="J121:K121"/>
    <mergeCell ref="J122:K122"/>
    <mergeCell ref="J123:K123"/>
    <mergeCell ref="J124:K124"/>
    <mergeCell ref="J125:K125"/>
    <mergeCell ref="A1:E3"/>
    <mergeCell ref="F1:J3"/>
    <mergeCell ref="K1:N1"/>
    <mergeCell ref="O1:R1"/>
    <mergeCell ref="S1:Y1"/>
    <mergeCell ref="K2:N3"/>
    <mergeCell ref="O2:R2"/>
    <mergeCell ref="S2:Y2"/>
    <mergeCell ref="O3:R3"/>
    <mergeCell ref="S3:Y3"/>
    <mergeCell ref="J874:K874"/>
    <mergeCell ref="AO2:AQ2"/>
    <mergeCell ref="J720:K720"/>
    <mergeCell ref="J82:K82"/>
    <mergeCell ref="J83:K83"/>
    <mergeCell ref="J628:K628"/>
    <mergeCell ref="AI2:AK2"/>
    <mergeCell ref="AL2:AN2"/>
    <mergeCell ref="Z3:AC3"/>
    <mergeCell ref="AD3:AN3"/>
    <mergeCell ref="Z2:AC2"/>
    <mergeCell ref="J316:K316"/>
    <mergeCell ref="J276:K276"/>
    <mergeCell ref="J292:K292"/>
    <mergeCell ref="J632:K632"/>
    <mergeCell ref="AD2:AH2"/>
    <mergeCell ref="AR2:AU2"/>
    <mergeCell ref="AV2:AY3"/>
    <mergeCell ref="AO3:AQ3"/>
    <mergeCell ref="AR3:AU3"/>
    <mergeCell ref="AO1:AQ1"/>
    <mergeCell ref="AR1:AU1"/>
    <mergeCell ref="AV1:AY1"/>
    <mergeCell ref="Z1:AC1"/>
    <mergeCell ref="AD1:AH1"/>
    <mergeCell ref="AI1:AK1"/>
    <mergeCell ref="AL1:AN1"/>
    <mergeCell ref="J849:K849"/>
    <mergeCell ref="J5:K5"/>
    <mergeCell ref="J16:K16"/>
    <mergeCell ref="J18:K18"/>
    <mergeCell ref="J7:K7"/>
    <mergeCell ref="J14:K14"/>
    <mergeCell ref="J15:K15"/>
    <mergeCell ref="J722:K722"/>
    <mergeCell ref="J823:K823"/>
    <mergeCell ref="J697:K697"/>
    <mergeCell ref="J173:K173"/>
    <mergeCell ref="J119:K119"/>
  </mergeCells>
  <phoneticPr fontId="4"/>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&amp;L&amp;F&amp;C&amp;P / &amp;N&amp;R&amp;A</oddFooter>
  </headerFooter>
  <rowBreaks count="21" manualBreakCount="21">
    <brk id="47" max="51" man="1"/>
    <brk id="84" max="51" man="1"/>
    <brk id="119" max="51" man="1"/>
    <brk id="157" max="51" man="1"/>
    <brk id="197" max="51" man="1"/>
    <brk id="239" max="51" man="1"/>
    <brk id="264" max="51" man="1"/>
    <brk id="288" max="51" man="1"/>
    <brk id="315" max="51" man="1"/>
    <brk id="345" max="51" man="1"/>
    <brk id="381" max="51" man="1"/>
    <brk id="432" max="51" man="1"/>
    <brk id="575" max="51" man="1"/>
    <brk id="610" max="51" man="1"/>
    <brk id="652" max="51" man="1"/>
    <brk id="692" max="51" man="1"/>
    <brk id="720" max="51" man="1"/>
    <brk id="758" max="51" man="1"/>
    <brk id="783" max="51" man="1"/>
    <brk id="823" max="51" man="1"/>
    <brk id="881" max="51" man="1"/>
  </rowBreaks>
  <colBreaks count="7" manualBreakCount="7">
    <brk id="3" max="828" man="1"/>
    <brk id="5" max="828" man="1"/>
    <brk id="12" max="828" man="1"/>
    <brk id="13" max="828" man="1"/>
    <brk id="14" max="828" man="1"/>
    <brk id="28" max="828" man="1"/>
    <brk id="33" max="828"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A129"/>
  <sheetViews>
    <sheetView showGridLines="0" view="pageBreakPreview" zoomScale="85" zoomScaleNormal="100" zoomScaleSheetLayoutView="85" workbookViewId="0">
      <selection activeCell="AV2" sqref="AV2:AY3"/>
    </sheetView>
  </sheetViews>
  <sheetFormatPr defaultRowHeight="13.5" customHeight="1"/>
  <cols>
    <col min="1" max="51" width="2.7265625" style="29" customWidth="1"/>
    <col min="52" max="52" width="0" style="29" hidden="1" customWidth="1"/>
    <col min="53" max="256" width="9" style="29"/>
    <col min="257" max="307" width="2.7265625" style="29" customWidth="1"/>
    <col min="308" max="512" width="9" style="29"/>
    <col min="513" max="563" width="2.7265625" style="29" customWidth="1"/>
    <col min="564" max="768" width="9" style="29"/>
    <col min="769" max="819" width="2.7265625" style="29" customWidth="1"/>
    <col min="820" max="1024" width="9" style="29"/>
    <col min="1025" max="1075" width="2.7265625" style="29" customWidth="1"/>
    <col min="1076" max="1280" width="9" style="29"/>
    <col min="1281" max="1331" width="2.7265625" style="29" customWidth="1"/>
    <col min="1332" max="1536" width="9" style="29"/>
    <col min="1537" max="1587" width="2.7265625" style="29" customWidth="1"/>
    <col min="1588" max="1792" width="9" style="29"/>
    <col min="1793" max="1843" width="2.7265625" style="29" customWidth="1"/>
    <col min="1844" max="2048" width="9" style="29"/>
    <col min="2049" max="2099" width="2.7265625" style="29" customWidth="1"/>
    <col min="2100" max="2304" width="9" style="29"/>
    <col min="2305" max="2355" width="2.7265625" style="29" customWidth="1"/>
    <col min="2356" max="2560" width="9" style="29"/>
    <col min="2561" max="2611" width="2.7265625" style="29" customWidth="1"/>
    <col min="2612" max="2816" width="9" style="29"/>
    <col min="2817" max="2867" width="2.7265625" style="29" customWidth="1"/>
    <col min="2868" max="3072" width="9" style="29"/>
    <col min="3073" max="3123" width="2.7265625" style="29" customWidth="1"/>
    <col min="3124" max="3328" width="9" style="29"/>
    <col min="3329" max="3379" width="2.7265625" style="29" customWidth="1"/>
    <col min="3380" max="3584" width="9" style="29"/>
    <col min="3585" max="3635" width="2.7265625" style="29" customWidth="1"/>
    <col min="3636" max="3840" width="9" style="29"/>
    <col min="3841" max="3891" width="2.7265625" style="29" customWidth="1"/>
    <col min="3892" max="4096" width="9" style="29"/>
    <col min="4097" max="4147" width="2.7265625" style="29" customWidth="1"/>
    <col min="4148" max="4352" width="9" style="29"/>
    <col min="4353" max="4403" width="2.7265625" style="29" customWidth="1"/>
    <col min="4404" max="4608" width="9" style="29"/>
    <col min="4609" max="4659" width="2.7265625" style="29" customWidth="1"/>
    <col min="4660" max="4864" width="9" style="29"/>
    <col min="4865" max="4915" width="2.7265625" style="29" customWidth="1"/>
    <col min="4916" max="5120" width="9" style="29"/>
    <col min="5121" max="5171" width="2.7265625" style="29" customWidth="1"/>
    <col min="5172" max="5376" width="9" style="29"/>
    <col min="5377" max="5427" width="2.7265625" style="29" customWidth="1"/>
    <col min="5428" max="5632" width="9" style="29"/>
    <col min="5633" max="5683" width="2.7265625" style="29" customWidth="1"/>
    <col min="5684" max="5888" width="9" style="29"/>
    <col min="5889" max="5939" width="2.7265625" style="29" customWidth="1"/>
    <col min="5940" max="6144" width="9" style="29"/>
    <col min="6145" max="6195" width="2.7265625" style="29" customWidth="1"/>
    <col min="6196" max="6400" width="9" style="29"/>
    <col min="6401" max="6451" width="2.7265625" style="29" customWidth="1"/>
    <col min="6452" max="6656" width="9" style="29"/>
    <col min="6657" max="6707" width="2.7265625" style="29" customWidth="1"/>
    <col min="6708" max="6912" width="9" style="29"/>
    <col min="6913" max="6963" width="2.7265625" style="29" customWidth="1"/>
    <col min="6964" max="7168" width="9" style="29"/>
    <col min="7169" max="7219" width="2.7265625" style="29" customWidth="1"/>
    <col min="7220" max="7424" width="9" style="29"/>
    <col min="7425" max="7475" width="2.7265625" style="29" customWidth="1"/>
    <col min="7476" max="7680" width="9" style="29"/>
    <col min="7681" max="7731" width="2.7265625" style="29" customWidth="1"/>
    <col min="7732" max="7936" width="9" style="29"/>
    <col min="7937" max="7987" width="2.7265625" style="29" customWidth="1"/>
    <col min="7988" max="8192" width="9" style="29"/>
    <col min="8193" max="8243" width="2.7265625" style="29" customWidth="1"/>
    <col min="8244" max="8448" width="9" style="29"/>
    <col min="8449" max="8499" width="2.7265625" style="29" customWidth="1"/>
    <col min="8500" max="8704" width="9" style="29"/>
    <col min="8705" max="8755" width="2.7265625" style="29" customWidth="1"/>
    <col min="8756" max="8960" width="9" style="29"/>
    <col min="8961" max="9011" width="2.7265625" style="29" customWidth="1"/>
    <col min="9012" max="9216" width="9" style="29"/>
    <col min="9217" max="9267" width="2.7265625" style="29" customWidth="1"/>
    <col min="9268" max="9472" width="9" style="29"/>
    <col min="9473" max="9523" width="2.7265625" style="29" customWidth="1"/>
    <col min="9524" max="9728" width="9" style="29"/>
    <col min="9729" max="9779" width="2.7265625" style="29" customWidth="1"/>
    <col min="9780" max="9984" width="9" style="29"/>
    <col min="9985" max="10035" width="2.7265625" style="29" customWidth="1"/>
    <col min="10036" max="10240" width="9" style="29"/>
    <col min="10241" max="10291" width="2.7265625" style="29" customWidth="1"/>
    <col min="10292" max="10496" width="9" style="29"/>
    <col min="10497" max="10547" width="2.7265625" style="29" customWidth="1"/>
    <col min="10548" max="10752" width="9" style="29"/>
    <col min="10753" max="10803" width="2.7265625" style="29" customWidth="1"/>
    <col min="10804" max="11008" width="9" style="29"/>
    <col min="11009" max="11059" width="2.7265625" style="29" customWidth="1"/>
    <col min="11060" max="11264" width="9" style="29"/>
    <col min="11265" max="11315" width="2.7265625" style="29" customWidth="1"/>
    <col min="11316" max="11520" width="9" style="29"/>
    <col min="11521" max="11571" width="2.7265625" style="29" customWidth="1"/>
    <col min="11572" max="11776" width="9" style="29"/>
    <col min="11777" max="11827" width="2.7265625" style="29" customWidth="1"/>
    <col min="11828" max="12032" width="9" style="29"/>
    <col min="12033" max="12083" width="2.7265625" style="29" customWidth="1"/>
    <col min="12084" max="12288" width="9" style="29"/>
    <col min="12289" max="12339" width="2.7265625" style="29" customWidth="1"/>
    <col min="12340" max="12544" width="9" style="29"/>
    <col min="12545" max="12595" width="2.7265625" style="29" customWidth="1"/>
    <col min="12596" max="12800" width="9" style="29"/>
    <col min="12801" max="12851" width="2.7265625" style="29" customWidth="1"/>
    <col min="12852" max="13056" width="9" style="29"/>
    <col min="13057" max="13107" width="2.7265625" style="29" customWidth="1"/>
    <col min="13108" max="13312" width="9" style="29"/>
    <col min="13313" max="13363" width="2.7265625" style="29" customWidth="1"/>
    <col min="13364" max="13568" width="9" style="29"/>
    <col min="13569" max="13619" width="2.7265625" style="29" customWidth="1"/>
    <col min="13620" max="13824" width="9" style="29"/>
    <col min="13825" max="13875" width="2.7265625" style="29" customWidth="1"/>
    <col min="13876" max="14080" width="9" style="29"/>
    <col min="14081" max="14131" width="2.7265625" style="29" customWidth="1"/>
    <col min="14132" max="14336" width="9" style="29"/>
    <col min="14337" max="14387" width="2.7265625" style="29" customWidth="1"/>
    <col min="14388" max="14592" width="9" style="29"/>
    <col min="14593" max="14643" width="2.7265625" style="29" customWidth="1"/>
    <col min="14644" max="14848" width="9" style="29"/>
    <col min="14849" max="14899" width="2.7265625" style="29" customWidth="1"/>
    <col min="14900" max="15104" width="9" style="29"/>
    <col min="15105" max="15155" width="2.7265625" style="29" customWidth="1"/>
    <col min="15156" max="15360" width="9" style="29"/>
    <col min="15361" max="15411" width="2.7265625" style="29" customWidth="1"/>
    <col min="15412" max="15616" width="9" style="29"/>
    <col min="15617" max="15667" width="2.7265625" style="29" customWidth="1"/>
    <col min="15668" max="15872" width="9" style="29"/>
    <col min="15873" max="15923" width="2.7265625" style="29" customWidth="1"/>
    <col min="15924" max="16128" width="9" style="29"/>
    <col min="16129" max="16179" width="2.7265625" style="29" customWidth="1"/>
    <col min="16180" max="16384" width="9" style="29"/>
  </cols>
  <sheetData>
    <row r="1" spans="1:53" s="39" customFormat="1" ht="13.5" customHeight="1">
      <c r="A1" s="703" t="str">
        <f>表紙!V27 &amp; CHAR(10) &amp;表紙!AF27</f>
        <v>MCFrameXA
6.3.1.3</v>
      </c>
      <c r="B1" s="704"/>
      <c r="C1" s="704"/>
      <c r="D1" s="704"/>
      <c r="E1" s="704"/>
      <c r="F1" s="709" t="s">
        <v>763</v>
      </c>
      <c r="G1" s="710"/>
      <c r="H1" s="710"/>
      <c r="I1" s="710"/>
      <c r="J1" s="710"/>
      <c r="K1" s="725" t="s">
        <v>40</v>
      </c>
      <c r="L1" s="725"/>
      <c r="M1" s="725"/>
      <c r="N1" s="725"/>
      <c r="O1" s="660" t="s">
        <v>27</v>
      </c>
      <c r="P1" s="661"/>
      <c r="Q1" s="661"/>
      <c r="R1" s="661"/>
      <c r="S1" s="662">
        <f>顧客名</f>
        <v>0</v>
      </c>
      <c r="T1" s="663"/>
      <c r="U1" s="663"/>
      <c r="V1" s="663"/>
      <c r="W1" s="663"/>
      <c r="X1" s="663"/>
      <c r="Y1" s="664"/>
      <c r="Z1" s="665" t="s">
        <v>28</v>
      </c>
      <c r="AA1" s="666"/>
      <c r="AB1" s="666"/>
      <c r="AC1" s="667"/>
      <c r="AD1" s="662" t="str">
        <f>システム名</f>
        <v>MCFrameXA</v>
      </c>
      <c r="AE1" s="663"/>
      <c r="AF1" s="663"/>
      <c r="AG1" s="663"/>
      <c r="AH1" s="664"/>
      <c r="AI1" s="693" t="s">
        <v>29</v>
      </c>
      <c r="AJ1" s="693"/>
      <c r="AK1" s="693"/>
      <c r="AL1" s="694">
        <f>作成者</f>
        <v>0</v>
      </c>
      <c r="AM1" s="694"/>
      <c r="AN1" s="694"/>
      <c r="AO1" s="693" t="s">
        <v>30</v>
      </c>
      <c r="AP1" s="693"/>
      <c r="AQ1" s="693"/>
      <c r="AR1" s="699">
        <f>作成日</f>
        <v>0</v>
      </c>
      <c r="AS1" s="699"/>
      <c r="AT1" s="699"/>
      <c r="AU1" s="699"/>
      <c r="AV1" s="683" t="s">
        <v>4</v>
      </c>
      <c r="AW1" s="684"/>
      <c r="AX1" s="684"/>
      <c r="AY1" s="685"/>
    </row>
    <row r="2" spans="1:53" s="39" customFormat="1" ht="12" customHeight="1">
      <c r="A2" s="705"/>
      <c r="B2" s="706"/>
      <c r="C2" s="706"/>
      <c r="D2" s="706"/>
      <c r="E2" s="706"/>
      <c r="F2" s="711"/>
      <c r="G2" s="711"/>
      <c r="H2" s="711"/>
      <c r="I2" s="711"/>
      <c r="J2" s="711"/>
      <c r="K2" s="759" t="str">
        <f ca="1">RIGHT(CELL("filename",A2),LEN(CELL("filename",A2))-FIND("]",CELL("filename",A2)))</f>
        <v>サービス呼出編集仕様</v>
      </c>
      <c r="L2" s="760"/>
      <c r="M2" s="760"/>
      <c r="N2" s="761"/>
      <c r="O2" s="675" t="s">
        <v>31</v>
      </c>
      <c r="P2" s="676"/>
      <c r="Q2" s="676"/>
      <c r="R2" s="676"/>
      <c r="S2" s="677" t="str">
        <f>プロジェクト名</f>
        <v>生産管理システム（生産管理・調達系）</v>
      </c>
      <c r="T2" s="678"/>
      <c r="U2" s="678"/>
      <c r="V2" s="678"/>
      <c r="W2" s="678"/>
      <c r="X2" s="678"/>
      <c r="Y2" s="679"/>
      <c r="Z2" s="680" t="s">
        <v>32</v>
      </c>
      <c r="AA2" s="681"/>
      <c r="AB2" s="681"/>
      <c r="AC2" s="682"/>
      <c r="AD2" s="700" t="str">
        <f>サブシステム名</f>
        <v>生産管理</v>
      </c>
      <c r="AE2" s="701"/>
      <c r="AF2" s="701"/>
      <c r="AG2" s="701"/>
      <c r="AH2" s="702"/>
      <c r="AI2" s="696" t="s">
        <v>33</v>
      </c>
      <c r="AJ2" s="696"/>
      <c r="AK2" s="696"/>
      <c r="AL2" s="695">
        <f>最終更新者</f>
        <v>0</v>
      </c>
      <c r="AM2" s="695"/>
      <c r="AN2" s="695"/>
      <c r="AO2" s="696" t="s">
        <v>34</v>
      </c>
      <c r="AP2" s="696"/>
      <c r="AQ2" s="696"/>
      <c r="AR2" s="686">
        <f>最終更新日</f>
        <v>0</v>
      </c>
      <c r="AS2" s="686"/>
      <c r="AT2" s="686"/>
      <c r="AU2" s="686"/>
      <c r="AV2" s="687" t="str">
        <f>文書番号</f>
        <v>J052-0-0001</v>
      </c>
      <c r="AW2" s="688"/>
      <c r="AX2" s="688"/>
      <c r="AY2" s="689"/>
    </row>
    <row r="3" spans="1:53" s="39" customFormat="1" ht="13.5" customHeight="1" thickBot="1">
      <c r="A3" s="707"/>
      <c r="B3" s="708"/>
      <c r="C3" s="708"/>
      <c r="D3" s="708"/>
      <c r="E3" s="708"/>
      <c r="F3" s="712"/>
      <c r="G3" s="712"/>
      <c r="H3" s="712"/>
      <c r="I3" s="712"/>
      <c r="J3" s="712"/>
      <c r="K3" s="762"/>
      <c r="L3" s="763"/>
      <c r="M3" s="763"/>
      <c r="N3" s="764"/>
      <c r="O3" s="668" t="s">
        <v>35</v>
      </c>
      <c r="P3" s="668"/>
      <c r="Q3" s="668"/>
      <c r="R3" s="668"/>
      <c r="S3" s="669" t="str">
        <f>機能ＩＤ</f>
        <v>SBP0020</v>
      </c>
      <c r="T3" s="670"/>
      <c r="U3" s="670"/>
      <c r="V3" s="670"/>
      <c r="W3" s="670"/>
      <c r="X3" s="670"/>
      <c r="Y3" s="671"/>
      <c r="Z3" s="672" t="s">
        <v>36</v>
      </c>
      <c r="AA3" s="673"/>
      <c r="AB3" s="673"/>
      <c r="AC3" s="674"/>
      <c r="AD3" s="669" t="str">
        <f>機能名称</f>
        <v>発注一覧登録</v>
      </c>
      <c r="AE3" s="670"/>
      <c r="AF3" s="670"/>
      <c r="AG3" s="670"/>
      <c r="AH3" s="670"/>
      <c r="AI3" s="670"/>
      <c r="AJ3" s="670"/>
      <c r="AK3" s="670"/>
      <c r="AL3" s="670"/>
      <c r="AM3" s="670"/>
      <c r="AN3" s="671"/>
      <c r="AO3" s="697" t="s">
        <v>37</v>
      </c>
      <c r="AP3" s="697"/>
      <c r="AQ3" s="697"/>
      <c r="AR3" s="698" t="e">
        <f>Rev.</f>
        <v>#REF!</v>
      </c>
      <c r="AS3" s="698"/>
      <c r="AT3" s="698"/>
      <c r="AU3" s="698"/>
      <c r="AV3" s="690"/>
      <c r="AW3" s="691"/>
      <c r="AX3" s="691"/>
      <c r="AY3" s="692"/>
    </row>
    <row r="4" spans="1:53" ht="6.75" customHeight="1" thickBot="1">
      <c r="A4" s="331"/>
      <c r="B4" s="331"/>
      <c r="C4" s="331"/>
      <c r="D4" s="33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row>
    <row r="5" spans="1:53" s="22" customFormat="1" ht="13.5" customHeight="1">
      <c r="A5" s="81" t="s">
        <v>62</v>
      </c>
      <c r="B5" s="80"/>
      <c r="C5" s="80"/>
      <c r="D5" s="80"/>
      <c r="E5" s="80"/>
      <c r="F5" s="80"/>
      <c r="G5" s="79" t="s">
        <v>155</v>
      </c>
      <c r="H5" s="78"/>
      <c r="I5" s="77"/>
      <c r="J5" s="78"/>
      <c r="K5" s="78"/>
      <c r="L5" s="78"/>
      <c r="M5" s="78"/>
      <c r="N5" s="78"/>
      <c r="O5" s="78"/>
      <c r="P5" s="78"/>
      <c r="Q5" s="78"/>
      <c r="R5" s="78"/>
      <c r="S5" s="78"/>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76"/>
    </row>
    <row r="6" spans="1:53" s="22" customFormat="1" ht="13.5" customHeight="1" thickBot="1">
      <c r="A6" s="85" t="s">
        <v>68</v>
      </c>
      <c r="B6" s="84"/>
      <c r="C6" s="83"/>
      <c r="D6" s="83"/>
      <c r="E6" s="84"/>
      <c r="F6" s="82"/>
      <c r="G6" s="200" t="s">
        <v>153</v>
      </c>
      <c r="H6" s="201"/>
      <c r="I6" s="201"/>
      <c r="J6" s="201"/>
      <c r="K6" s="201"/>
      <c r="L6" s="201"/>
      <c r="M6" s="201"/>
      <c r="N6" s="201"/>
      <c r="O6" s="201"/>
      <c r="P6" s="201"/>
      <c r="Q6" s="201"/>
      <c r="R6" s="201"/>
      <c r="S6" s="73"/>
      <c r="T6" s="202"/>
      <c r="U6" s="202"/>
      <c r="V6" s="202"/>
      <c r="W6" s="202"/>
      <c r="X6" s="202"/>
      <c r="Y6" s="202"/>
      <c r="Z6" s="202"/>
      <c r="AA6" s="202"/>
      <c r="AB6" s="202"/>
      <c r="AC6" s="203"/>
      <c r="AD6" s="203"/>
      <c r="AE6" s="203"/>
      <c r="AF6" s="203"/>
      <c r="AG6" s="203"/>
      <c r="AH6" s="203"/>
      <c r="AI6" s="203"/>
      <c r="AJ6" s="203"/>
      <c r="AK6" s="203"/>
      <c r="AL6" s="203"/>
      <c r="AM6" s="203"/>
      <c r="AN6" s="203"/>
      <c r="AO6" s="203"/>
      <c r="AP6" s="203"/>
      <c r="AQ6" s="203"/>
      <c r="AR6" s="203"/>
      <c r="AS6" s="203"/>
      <c r="AT6" s="203"/>
      <c r="AU6" s="201"/>
      <c r="AV6" s="201"/>
      <c r="AW6" s="200"/>
      <c r="AX6" s="201"/>
      <c r="AY6" s="204"/>
    </row>
    <row r="7" spans="1:53" s="22" customFormat="1" ht="13.5" customHeight="1">
      <c r="A7" s="70" t="s">
        <v>49</v>
      </c>
      <c r="B7" s="87"/>
      <c r="C7" s="88"/>
      <c r="D7" s="88"/>
      <c r="E7" s="87"/>
      <c r="F7" s="89"/>
      <c r="G7" s="72"/>
      <c r="H7" s="86"/>
      <c r="I7" s="95"/>
      <c r="J7" s="95"/>
      <c r="K7" s="95"/>
      <c r="L7" s="95"/>
      <c r="M7" s="71"/>
      <c r="N7" s="96"/>
      <c r="O7" s="96"/>
      <c r="P7" s="95"/>
      <c r="Q7" s="95"/>
      <c r="R7" s="95"/>
      <c r="S7" s="95"/>
      <c r="T7" s="70" t="s">
        <v>38</v>
      </c>
      <c r="U7" s="87"/>
      <c r="V7" s="88"/>
      <c r="W7" s="88"/>
      <c r="X7" s="87"/>
      <c r="Y7" s="89"/>
      <c r="Z7" s="95" t="s">
        <v>370</v>
      </c>
      <c r="AA7" s="69"/>
      <c r="AB7" s="96"/>
      <c r="AC7" s="96"/>
      <c r="AD7" s="69"/>
      <c r="AE7" s="69"/>
      <c r="AF7" s="69"/>
      <c r="AG7" s="69"/>
      <c r="AH7" s="69"/>
      <c r="AI7" s="69"/>
      <c r="AJ7" s="69"/>
      <c r="AK7" s="96"/>
      <c r="AL7" s="69"/>
      <c r="AM7" s="69"/>
      <c r="AN7" s="69"/>
      <c r="AO7" s="69"/>
      <c r="AP7" s="69"/>
      <c r="AQ7" s="69"/>
      <c r="AR7" s="96"/>
      <c r="AS7" s="96"/>
      <c r="AT7" s="96"/>
      <c r="AU7" s="96"/>
      <c r="AV7" s="96"/>
      <c r="AW7" s="96"/>
      <c r="AX7" s="96"/>
      <c r="AY7" s="97"/>
    </row>
    <row r="8" spans="1:53" s="22" customFormat="1" ht="13.5" customHeight="1" thickBot="1">
      <c r="A8" s="68" t="s">
        <v>50</v>
      </c>
      <c r="B8" s="91"/>
      <c r="C8" s="91"/>
      <c r="D8" s="91"/>
      <c r="E8" s="91"/>
      <c r="F8" s="91"/>
      <c r="G8" s="765" t="s">
        <v>61</v>
      </c>
      <c r="H8" s="765"/>
      <c r="I8" s="765" t="s">
        <v>43</v>
      </c>
      <c r="J8" s="765"/>
      <c r="K8" s="90" t="s">
        <v>60</v>
      </c>
      <c r="L8" s="67"/>
      <c r="M8" s="66"/>
      <c r="N8" s="66"/>
      <c r="O8" s="66"/>
      <c r="P8" s="66"/>
      <c r="Q8" s="66"/>
      <c r="R8" s="66"/>
      <c r="S8" s="65"/>
      <c r="T8" s="90" t="s">
        <v>63</v>
      </c>
      <c r="U8" s="91"/>
      <c r="V8" s="91"/>
      <c r="W8" s="91"/>
      <c r="X8" s="91"/>
      <c r="Y8" s="91"/>
      <c r="Z8" s="91"/>
      <c r="AA8" s="91"/>
      <c r="AB8" s="90" t="s">
        <v>64</v>
      </c>
      <c r="AC8" s="91"/>
      <c r="AD8" s="91"/>
      <c r="AE8" s="91"/>
      <c r="AF8" s="91"/>
      <c r="AG8" s="91"/>
      <c r="AH8" s="91"/>
      <c r="AI8" s="91"/>
      <c r="AJ8" s="91"/>
      <c r="AK8" s="91"/>
      <c r="AL8" s="92"/>
      <c r="AM8" s="92"/>
      <c r="AN8" s="93" t="s">
        <v>46</v>
      </c>
      <c r="AO8" s="92"/>
      <c r="AP8" s="92"/>
      <c r="AQ8" s="92"/>
      <c r="AR8" s="92"/>
      <c r="AS8" s="92"/>
      <c r="AT8" s="92"/>
      <c r="AU8" s="92"/>
      <c r="AV8" s="92"/>
      <c r="AW8" s="92"/>
      <c r="AX8" s="92"/>
      <c r="AY8" s="94"/>
    </row>
    <row r="9" spans="1:53" s="22" customFormat="1" thickTop="1">
      <c r="A9" s="75"/>
      <c r="B9" s="74"/>
      <c r="C9" s="74"/>
      <c r="D9" s="74"/>
      <c r="E9" s="74"/>
      <c r="F9" s="74"/>
      <c r="G9" s="741" t="s">
        <v>664</v>
      </c>
      <c r="H9" s="742"/>
      <c r="I9" s="766">
        <v>1</v>
      </c>
      <c r="J9" s="766"/>
      <c r="K9" s="769" t="s">
        <v>147</v>
      </c>
      <c r="L9" s="770"/>
      <c r="M9" s="770"/>
      <c r="N9" s="770"/>
      <c r="O9" s="770"/>
      <c r="P9" s="770"/>
      <c r="Q9" s="770"/>
      <c r="R9" s="770"/>
      <c r="S9" s="771"/>
      <c r="T9" s="732" t="s">
        <v>151</v>
      </c>
      <c r="U9" s="733"/>
      <c r="V9" s="733"/>
      <c r="W9" s="733"/>
      <c r="X9" s="733"/>
      <c r="Y9" s="733"/>
      <c r="Z9" s="733"/>
      <c r="AA9" s="734"/>
      <c r="AB9" s="735" t="s">
        <v>149</v>
      </c>
      <c r="AC9" s="736"/>
      <c r="AD9" s="736"/>
      <c r="AE9" s="736"/>
      <c r="AF9" s="736"/>
      <c r="AG9" s="736"/>
      <c r="AH9" s="736"/>
      <c r="AI9" s="736"/>
      <c r="AJ9" s="736"/>
      <c r="AK9" s="736"/>
      <c r="AL9" s="736"/>
      <c r="AM9" s="737"/>
      <c r="AN9" s="743"/>
      <c r="AO9" s="767"/>
      <c r="AP9" s="767"/>
      <c r="AQ9" s="767"/>
      <c r="AR9" s="767"/>
      <c r="AS9" s="767"/>
      <c r="AT9" s="767"/>
      <c r="AU9" s="767"/>
      <c r="AV9" s="767"/>
      <c r="AW9" s="767"/>
      <c r="AX9" s="767"/>
      <c r="AY9" s="768"/>
    </row>
    <row r="10" spans="1:53" s="22" customFormat="1" ht="13.5" customHeight="1" thickBot="1">
      <c r="A10" s="75"/>
      <c r="B10" s="74"/>
      <c r="C10" s="74"/>
      <c r="D10" s="74"/>
      <c r="E10" s="74"/>
      <c r="F10" s="74"/>
      <c r="G10" s="741"/>
      <c r="H10" s="742"/>
      <c r="I10" s="731">
        <v>2</v>
      </c>
      <c r="J10" s="731"/>
      <c r="K10" s="772" t="s">
        <v>148</v>
      </c>
      <c r="L10" s="773"/>
      <c r="M10" s="773"/>
      <c r="N10" s="773"/>
      <c r="O10" s="773"/>
      <c r="P10" s="773"/>
      <c r="Q10" s="773"/>
      <c r="R10" s="773"/>
      <c r="S10" s="774"/>
      <c r="T10" s="775" t="s">
        <v>152</v>
      </c>
      <c r="U10" s="776"/>
      <c r="V10" s="776"/>
      <c r="W10" s="776"/>
      <c r="X10" s="776"/>
      <c r="Y10" s="776"/>
      <c r="Z10" s="776"/>
      <c r="AA10" s="777"/>
      <c r="AB10" s="778" t="s">
        <v>150</v>
      </c>
      <c r="AC10" s="779"/>
      <c r="AD10" s="779"/>
      <c r="AE10" s="779"/>
      <c r="AF10" s="779"/>
      <c r="AG10" s="779"/>
      <c r="AH10" s="779"/>
      <c r="AI10" s="779"/>
      <c r="AJ10" s="779"/>
      <c r="AK10" s="779"/>
      <c r="AL10" s="779"/>
      <c r="AM10" s="780"/>
      <c r="AN10" s="738"/>
      <c r="AO10" s="739"/>
      <c r="AP10" s="739"/>
      <c r="AQ10" s="739"/>
      <c r="AR10" s="739"/>
      <c r="AS10" s="739"/>
      <c r="AT10" s="739"/>
      <c r="AU10" s="739"/>
      <c r="AV10" s="739"/>
      <c r="AW10" s="739"/>
      <c r="AX10" s="739"/>
      <c r="AY10" s="740"/>
    </row>
    <row r="11" spans="1:53" s="22" customFormat="1" ht="13.5" customHeight="1">
      <c r="A11" s="81" t="s">
        <v>62</v>
      </c>
      <c r="B11" s="80"/>
      <c r="C11" s="80"/>
      <c r="D11" s="80"/>
      <c r="E11" s="80"/>
      <c r="F11" s="80"/>
      <c r="G11" s="79" t="s">
        <v>734</v>
      </c>
      <c r="H11" s="78"/>
      <c r="I11" s="77"/>
      <c r="J11" s="78"/>
      <c r="K11" s="78"/>
      <c r="L11" s="78"/>
      <c r="M11" s="78"/>
      <c r="N11" s="78"/>
      <c r="O11" s="78"/>
      <c r="P11" s="78"/>
      <c r="Q11" s="78"/>
      <c r="R11" s="78"/>
      <c r="S11" s="78"/>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76"/>
      <c r="AZ11" s="22">
        <v>0.11</v>
      </c>
    </row>
    <row r="12" spans="1:53" s="22" customFormat="1" ht="13.5" customHeight="1" thickBot="1">
      <c r="A12" s="85" t="s">
        <v>68</v>
      </c>
      <c r="B12" s="84"/>
      <c r="C12" s="83"/>
      <c r="D12" s="83"/>
      <c r="E12" s="84"/>
      <c r="F12" s="82"/>
      <c r="G12" s="200" t="s">
        <v>735</v>
      </c>
      <c r="H12" s="201"/>
      <c r="I12" s="201"/>
      <c r="J12" s="201"/>
      <c r="K12" s="201"/>
      <c r="L12" s="201"/>
      <c r="M12" s="201"/>
      <c r="N12" s="201"/>
      <c r="O12" s="201"/>
      <c r="P12" s="201"/>
      <c r="Q12" s="201"/>
      <c r="R12" s="201"/>
      <c r="S12" s="73"/>
      <c r="T12" s="202"/>
      <c r="U12" s="202"/>
      <c r="V12" s="202"/>
      <c r="W12" s="202"/>
      <c r="X12" s="202"/>
      <c r="Y12" s="202"/>
      <c r="Z12" s="202"/>
      <c r="AA12" s="202"/>
      <c r="AB12" s="202"/>
      <c r="AC12" s="203"/>
      <c r="AD12" s="203"/>
      <c r="AE12" s="203"/>
      <c r="AF12" s="203"/>
      <c r="AG12" s="203"/>
      <c r="AH12" s="203"/>
      <c r="AI12" s="203"/>
      <c r="AJ12" s="203"/>
      <c r="AK12" s="203"/>
      <c r="AL12" s="203"/>
      <c r="AM12" s="203"/>
      <c r="AN12" s="203"/>
      <c r="AO12" s="203"/>
      <c r="AP12" s="203"/>
      <c r="AQ12" s="203"/>
      <c r="AR12" s="203"/>
      <c r="AS12" s="203"/>
      <c r="AT12" s="203"/>
      <c r="AU12" s="201"/>
      <c r="AV12" s="201"/>
      <c r="AW12" s="200"/>
      <c r="AX12" s="201"/>
      <c r="AY12" s="204"/>
      <c r="AZ12" s="22">
        <v>0.11</v>
      </c>
    </row>
    <row r="13" spans="1:53" s="22" customFormat="1" ht="13.5" customHeight="1">
      <c r="A13" s="70" t="s">
        <v>49</v>
      </c>
      <c r="B13" s="87"/>
      <c r="C13" s="88"/>
      <c r="D13" s="88"/>
      <c r="E13" s="87"/>
      <c r="F13" s="89"/>
      <c r="G13" s="72"/>
      <c r="H13" s="86"/>
      <c r="I13" s="95"/>
      <c r="J13" s="95"/>
      <c r="K13" s="95"/>
      <c r="L13" s="95"/>
      <c r="M13" s="71"/>
      <c r="N13" s="96"/>
      <c r="O13" s="96"/>
      <c r="P13" s="95"/>
      <c r="Q13" s="95"/>
      <c r="R13" s="95"/>
      <c r="S13" s="95"/>
      <c r="T13" s="70" t="s">
        <v>38</v>
      </c>
      <c r="U13" s="87"/>
      <c r="V13" s="88"/>
      <c r="W13" s="88"/>
      <c r="X13" s="87"/>
      <c r="Y13" s="89"/>
      <c r="Z13" s="95"/>
      <c r="AA13" s="69"/>
      <c r="AB13" s="96"/>
      <c r="AC13" s="96"/>
      <c r="AD13" s="69"/>
      <c r="AE13" s="69"/>
      <c r="AF13" s="69"/>
      <c r="AG13" s="69"/>
      <c r="AH13" s="69"/>
      <c r="AI13" s="69"/>
      <c r="AJ13" s="69"/>
      <c r="AK13" s="96"/>
      <c r="AL13" s="69"/>
      <c r="AM13" s="69"/>
      <c r="AN13" s="69"/>
      <c r="AO13" s="69"/>
      <c r="AP13" s="69"/>
      <c r="AQ13" s="69"/>
      <c r="AR13" s="96"/>
      <c r="AS13" s="96"/>
      <c r="AT13" s="96"/>
      <c r="AU13" s="96"/>
      <c r="AV13" s="96"/>
      <c r="AW13" s="96"/>
      <c r="AX13" s="96"/>
      <c r="AY13" s="97"/>
      <c r="AZ13" s="22">
        <v>0.11</v>
      </c>
    </row>
    <row r="14" spans="1:53" s="22" customFormat="1" ht="13.5" customHeight="1" thickBot="1">
      <c r="A14" s="68" t="s">
        <v>50</v>
      </c>
      <c r="B14" s="91"/>
      <c r="C14" s="91"/>
      <c r="D14" s="91"/>
      <c r="E14" s="91"/>
      <c r="F14" s="91"/>
      <c r="G14" s="765" t="s">
        <v>61</v>
      </c>
      <c r="H14" s="765"/>
      <c r="I14" s="765" t="s">
        <v>43</v>
      </c>
      <c r="J14" s="765"/>
      <c r="K14" s="90" t="s">
        <v>60</v>
      </c>
      <c r="L14" s="67"/>
      <c r="M14" s="66"/>
      <c r="N14" s="66"/>
      <c r="O14" s="66"/>
      <c r="P14" s="66"/>
      <c r="Q14" s="66"/>
      <c r="R14" s="66"/>
      <c r="S14" s="65"/>
      <c r="T14" s="90" t="s">
        <v>63</v>
      </c>
      <c r="U14" s="91"/>
      <c r="V14" s="91"/>
      <c r="W14" s="91"/>
      <c r="X14" s="91"/>
      <c r="Y14" s="91"/>
      <c r="Z14" s="91"/>
      <c r="AA14" s="91"/>
      <c r="AB14" s="90" t="s">
        <v>64</v>
      </c>
      <c r="AC14" s="91"/>
      <c r="AD14" s="91"/>
      <c r="AE14" s="91"/>
      <c r="AF14" s="91"/>
      <c r="AG14" s="91"/>
      <c r="AH14" s="91"/>
      <c r="AI14" s="91"/>
      <c r="AJ14" s="91"/>
      <c r="AK14" s="91"/>
      <c r="AL14" s="92"/>
      <c r="AM14" s="92"/>
      <c r="AN14" s="93" t="s">
        <v>46</v>
      </c>
      <c r="AO14" s="92"/>
      <c r="AP14" s="92"/>
      <c r="AQ14" s="92"/>
      <c r="AR14" s="92"/>
      <c r="AS14" s="92"/>
      <c r="AT14" s="92"/>
      <c r="AU14" s="92"/>
      <c r="AV14" s="92"/>
      <c r="AW14" s="92"/>
      <c r="AX14" s="92"/>
      <c r="AY14" s="94"/>
      <c r="AZ14" s="22">
        <v>0.11</v>
      </c>
    </row>
    <row r="15" spans="1:53" s="22" customFormat="1" thickTop="1">
      <c r="A15" s="496"/>
      <c r="B15" s="497"/>
      <c r="C15" s="497"/>
      <c r="D15" s="497"/>
      <c r="E15" s="497"/>
      <c r="F15" s="497"/>
      <c r="G15" s="794" t="s">
        <v>664</v>
      </c>
      <c r="H15" s="795"/>
      <c r="I15" s="796">
        <v>1</v>
      </c>
      <c r="J15" s="796"/>
      <c r="K15" s="797" t="s">
        <v>736</v>
      </c>
      <c r="L15" s="798"/>
      <c r="M15" s="798"/>
      <c r="N15" s="798"/>
      <c r="O15" s="798"/>
      <c r="P15" s="798"/>
      <c r="Q15" s="798"/>
      <c r="R15" s="798"/>
      <c r="S15" s="799"/>
      <c r="T15" s="803" t="s">
        <v>737</v>
      </c>
      <c r="U15" s="804"/>
      <c r="V15" s="804"/>
      <c r="W15" s="804"/>
      <c r="X15" s="804"/>
      <c r="Y15" s="804"/>
      <c r="Z15" s="804"/>
      <c r="AA15" s="805"/>
      <c r="AB15" s="806" t="s">
        <v>738</v>
      </c>
      <c r="AC15" s="807"/>
      <c r="AD15" s="807"/>
      <c r="AE15" s="807"/>
      <c r="AF15" s="807"/>
      <c r="AG15" s="807"/>
      <c r="AH15" s="807"/>
      <c r="AI15" s="807"/>
      <c r="AJ15" s="807"/>
      <c r="AK15" s="807"/>
      <c r="AL15" s="807"/>
      <c r="AM15" s="808"/>
      <c r="AN15" s="809"/>
      <c r="AO15" s="810"/>
      <c r="AP15" s="810"/>
      <c r="AQ15" s="810"/>
      <c r="AR15" s="810"/>
      <c r="AS15" s="810"/>
      <c r="AT15" s="810"/>
      <c r="AU15" s="810"/>
      <c r="AV15" s="810"/>
      <c r="AW15" s="810"/>
      <c r="AX15" s="810"/>
      <c r="AY15" s="811"/>
      <c r="AZ15" s="22">
        <v>0.11</v>
      </c>
      <c r="BA15" s="22">
        <v>3.3</v>
      </c>
    </row>
    <row r="16" spans="1:53" s="22" customFormat="1" ht="13.5" customHeight="1">
      <c r="A16" s="496"/>
      <c r="B16" s="497"/>
      <c r="C16" s="497"/>
      <c r="D16" s="497"/>
      <c r="E16" s="497"/>
      <c r="F16" s="497"/>
      <c r="G16" s="794"/>
      <c r="H16" s="795"/>
      <c r="I16" s="812">
        <v>2</v>
      </c>
      <c r="J16" s="812"/>
      <c r="K16" s="813" t="s">
        <v>739</v>
      </c>
      <c r="L16" s="814"/>
      <c r="M16" s="814"/>
      <c r="N16" s="814"/>
      <c r="O16" s="814"/>
      <c r="P16" s="814"/>
      <c r="Q16" s="814"/>
      <c r="R16" s="814"/>
      <c r="S16" s="815"/>
      <c r="T16" s="816" t="s">
        <v>740</v>
      </c>
      <c r="U16" s="817"/>
      <c r="V16" s="817"/>
      <c r="W16" s="817"/>
      <c r="X16" s="817"/>
      <c r="Y16" s="817"/>
      <c r="Z16" s="817"/>
      <c r="AA16" s="818"/>
      <c r="AB16" s="782" t="s">
        <v>741</v>
      </c>
      <c r="AC16" s="783"/>
      <c r="AD16" s="783"/>
      <c r="AE16" s="783"/>
      <c r="AF16" s="783"/>
      <c r="AG16" s="783"/>
      <c r="AH16" s="783"/>
      <c r="AI16" s="783"/>
      <c r="AJ16" s="783"/>
      <c r="AK16" s="783"/>
      <c r="AL16" s="783"/>
      <c r="AM16" s="784"/>
      <c r="AN16" s="785"/>
      <c r="AO16" s="786"/>
      <c r="AP16" s="786"/>
      <c r="AQ16" s="786"/>
      <c r="AR16" s="786"/>
      <c r="AS16" s="786"/>
      <c r="AT16" s="786"/>
      <c r="AU16" s="786"/>
      <c r="AV16" s="786"/>
      <c r="AW16" s="786"/>
      <c r="AX16" s="786"/>
      <c r="AY16" s="787"/>
      <c r="AZ16" s="22">
        <v>0.11</v>
      </c>
      <c r="BA16" s="22">
        <v>3.3</v>
      </c>
    </row>
    <row r="17" spans="1:53" s="22" customFormat="1" ht="13.5" customHeight="1" thickBot="1">
      <c r="A17" s="498"/>
      <c r="B17" s="499"/>
      <c r="C17" s="499"/>
      <c r="D17" s="499"/>
      <c r="E17" s="499"/>
      <c r="F17" s="499"/>
      <c r="G17" s="800"/>
      <c r="H17" s="801"/>
      <c r="I17" s="802">
        <v>3</v>
      </c>
      <c r="J17" s="802"/>
      <c r="K17" s="500" t="s">
        <v>742</v>
      </c>
      <c r="L17" s="501"/>
      <c r="M17" s="501"/>
      <c r="N17" s="501"/>
      <c r="O17" s="501"/>
      <c r="P17" s="501"/>
      <c r="Q17" s="501"/>
      <c r="R17" s="501"/>
      <c r="S17" s="502"/>
      <c r="T17" s="500" t="s">
        <v>743</v>
      </c>
      <c r="U17" s="501"/>
      <c r="V17" s="501"/>
      <c r="W17" s="501"/>
      <c r="X17" s="501"/>
      <c r="Y17" s="501"/>
      <c r="Z17" s="501"/>
      <c r="AA17" s="502"/>
      <c r="AB17" s="499" t="s">
        <v>743</v>
      </c>
      <c r="AC17" s="501"/>
      <c r="AD17" s="501"/>
      <c r="AE17" s="501"/>
      <c r="AF17" s="501"/>
      <c r="AG17" s="501"/>
      <c r="AH17" s="501"/>
      <c r="AI17" s="501"/>
      <c r="AJ17" s="501"/>
      <c r="AK17" s="501"/>
      <c r="AL17" s="501"/>
      <c r="AM17" s="501"/>
      <c r="AN17" s="500" t="s">
        <v>744</v>
      </c>
      <c r="AO17" s="501"/>
      <c r="AP17" s="501"/>
      <c r="AQ17" s="501"/>
      <c r="AR17" s="501"/>
      <c r="AS17" s="501"/>
      <c r="AT17" s="501"/>
      <c r="AU17" s="501"/>
      <c r="AV17" s="501"/>
      <c r="AW17" s="501"/>
      <c r="AX17" s="501"/>
      <c r="AY17" s="503"/>
      <c r="AZ17" s="22">
        <v>0.11</v>
      </c>
      <c r="BA17" s="22">
        <v>3.3</v>
      </c>
    </row>
    <row r="18" spans="1:53" ht="13.5" customHeight="1">
      <c r="A18" s="81" t="s">
        <v>62</v>
      </c>
      <c r="B18" s="80"/>
      <c r="C18" s="80"/>
      <c r="D18" s="80"/>
      <c r="E18" s="80"/>
      <c r="F18" s="80"/>
      <c r="G18" s="79" t="s">
        <v>657</v>
      </c>
      <c r="H18" s="78"/>
      <c r="I18" s="77"/>
      <c r="J18" s="78"/>
      <c r="K18" s="78"/>
      <c r="L18" s="78"/>
      <c r="M18" s="78"/>
      <c r="N18" s="78"/>
      <c r="O18" s="78"/>
      <c r="P18" s="78"/>
      <c r="Q18" s="78"/>
      <c r="R18" s="78"/>
      <c r="S18" s="78"/>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76"/>
    </row>
    <row r="19" spans="1:53" ht="13.5" customHeight="1" thickBot="1">
      <c r="A19" s="85" t="s">
        <v>68</v>
      </c>
      <c r="B19" s="84"/>
      <c r="C19" s="83"/>
      <c r="D19" s="83"/>
      <c r="E19" s="84"/>
      <c r="F19" s="82"/>
      <c r="G19" s="263" t="s">
        <v>658</v>
      </c>
      <c r="H19" s="201"/>
      <c r="I19" s="201"/>
      <c r="J19" s="201"/>
      <c r="K19" s="201"/>
      <c r="L19" s="201"/>
      <c r="M19" s="201"/>
      <c r="N19" s="201"/>
      <c r="O19" s="201"/>
      <c r="P19" s="201"/>
      <c r="Q19" s="201"/>
      <c r="R19" s="201"/>
      <c r="S19" s="73"/>
      <c r="T19" s="202"/>
      <c r="U19" s="202"/>
      <c r="V19" s="202"/>
      <c r="W19" s="202"/>
      <c r="X19" s="202"/>
      <c r="Y19" s="202"/>
      <c r="Z19" s="202"/>
      <c r="AA19" s="202"/>
      <c r="AB19" s="202"/>
      <c r="AC19" s="203"/>
      <c r="AD19" s="203"/>
      <c r="AE19" s="203"/>
      <c r="AF19" s="203"/>
      <c r="AG19" s="203"/>
      <c r="AH19" s="203"/>
      <c r="AI19" s="203"/>
      <c r="AJ19" s="203"/>
      <c r="AK19" s="203"/>
      <c r="AL19" s="203"/>
      <c r="AM19" s="203"/>
      <c r="AN19" s="203"/>
      <c r="AO19" s="203"/>
      <c r="AP19" s="203"/>
      <c r="AQ19" s="203"/>
      <c r="AR19" s="203"/>
      <c r="AS19" s="203"/>
      <c r="AT19" s="203"/>
      <c r="AU19" s="201"/>
      <c r="AV19" s="201"/>
      <c r="AW19" s="200"/>
      <c r="AX19" s="201"/>
      <c r="AY19" s="204"/>
    </row>
    <row r="20" spans="1:53" ht="13.5" customHeight="1" thickBot="1">
      <c r="A20" s="264" t="s">
        <v>49</v>
      </c>
      <c r="B20" s="265"/>
      <c r="C20" s="266"/>
      <c r="D20" s="266"/>
      <c r="E20" s="265"/>
      <c r="F20" s="267"/>
      <c r="G20" s="265"/>
      <c r="H20" s="268"/>
      <c r="I20" s="95" t="s">
        <v>659</v>
      </c>
      <c r="J20" s="95"/>
      <c r="K20" s="95"/>
      <c r="L20" s="95"/>
      <c r="M20" s="71"/>
      <c r="N20" s="96"/>
      <c r="O20" s="96"/>
      <c r="P20" s="95"/>
      <c r="Q20" s="95"/>
      <c r="R20" s="95"/>
      <c r="S20" s="95"/>
      <c r="T20" s="264" t="s">
        <v>38</v>
      </c>
      <c r="U20" s="265"/>
      <c r="V20" s="266"/>
      <c r="W20" s="266"/>
      <c r="X20" s="265"/>
      <c r="Y20" s="267"/>
      <c r="Z20" s="95"/>
      <c r="AA20" s="69"/>
      <c r="AB20" s="96"/>
      <c r="AC20" s="96"/>
      <c r="AD20" s="69"/>
      <c r="AE20" s="69"/>
      <c r="AF20" s="69"/>
      <c r="AG20" s="69"/>
      <c r="AH20" s="69"/>
      <c r="AI20" s="69"/>
      <c r="AJ20" s="69"/>
      <c r="AK20" s="96"/>
      <c r="AL20" s="69"/>
      <c r="AM20" s="69"/>
      <c r="AN20" s="69"/>
      <c r="AO20" s="69"/>
      <c r="AP20" s="69"/>
      <c r="AQ20" s="69"/>
      <c r="AR20" s="96"/>
      <c r="AS20" s="96"/>
      <c r="AT20" s="96"/>
      <c r="AU20" s="96"/>
      <c r="AV20" s="96"/>
      <c r="AW20" s="96"/>
      <c r="AX20" s="96"/>
      <c r="AY20" s="97"/>
    </row>
    <row r="21" spans="1:53" ht="13.5" customHeight="1" thickBot="1">
      <c r="A21" s="269" t="s">
        <v>50</v>
      </c>
      <c r="B21" s="270"/>
      <c r="C21" s="270"/>
      <c r="D21" s="270"/>
      <c r="E21" s="270"/>
      <c r="F21" s="270"/>
      <c r="G21" s="750" t="s">
        <v>61</v>
      </c>
      <c r="H21" s="750"/>
      <c r="I21" s="750" t="s">
        <v>43</v>
      </c>
      <c r="J21" s="750"/>
      <c r="K21" s="271" t="s">
        <v>60</v>
      </c>
      <c r="L21" s="272"/>
      <c r="M21" s="273"/>
      <c r="N21" s="273"/>
      <c r="O21" s="273"/>
      <c r="P21" s="273"/>
      <c r="Q21" s="273"/>
      <c r="R21" s="273"/>
      <c r="S21" s="274"/>
      <c r="T21" s="271" t="s">
        <v>63</v>
      </c>
      <c r="U21" s="270"/>
      <c r="V21" s="270"/>
      <c r="W21" s="270"/>
      <c r="X21" s="270"/>
      <c r="Y21" s="270"/>
      <c r="Z21" s="270"/>
      <c r="AA21" s="270"/>
      <c r="AB21" s="271" t="s">
        <v>64</v>
      </c>
      <c r="AC21" s="270"/>
      <c r="AD21" s="270"/>
      <c r="AE21" s="270"/>
      <c r="AF21" s="270"/>
      <c r="AG21" s="270"/>
      <c r="AH21" s="270"/>
      <c r="AI21" s="270"/>
      <c r="AJ21" s="270"/>
      <c r="AK21" s="270"/>
      <c r="AL21" s="275"/>
      <c r="AM21" s="275"/>
      <c r="AN21" s="276" t="s">
        <v>46</v>
      </c>
      <c r="AO21" s="275"/>
      <c r="AP21" s="275"/>
      <c r="AQ21" s="275"/>
      <c r="AR21" s="275"/>
      <c r="AS21" s="275"/>
      <c r="AT21" s="275"/>
      <c r="AU21" s="275"/>
      <c r="AV21" s="275"/>
      <c r="AW21" s="275"/>
      <c r="AX21" s="275"/>
      <c r="AY21" s="277"/>
    </row>
    <row r="22" spans="1:53" ht="63.65" customHeight="1" thickTop="1" thickBot="1">
      <c r="A22" s="278" t="s">
        <v>663</v>
      </c>
      <c r="B22" s="279"/>
      <c r="C22" s="279"/>
      <c r="D22" s="279"/>
      <c r="E22" s="279"/>
      <c r="F22" s="279"/>
      <c r="G22" s="751" t="s">
        <v>664</v>
      </c>
      <c r="H22" s="752"/>
      <c r="I22" s="781">
        <v>1</v>
      </c>
      <c r="J22" s="781"/>
      <c r="K22" s="280" t="s">
        <v>662</v>
      </c>
      <c r="L22" s="281"/>
      <c r="M22" s="281"/>
      <c r="N22" s="281"/>
      <c r="O22" s="281"/>
      <c r="P22" s="281"/>
      <c r="Q22" s="281"/>
      <c r="R22" s="281"/>
      <c r="S22" s="282"/>
      <c r="T22" s="753" t="s">
        <v>666</v>
      </c>
      <c r="U22" s="754"/>
      <c r="V22" s="754"/>
      <c r="W22" s="754"/>
      <c r="X22" s="754"/>
      <c r="Y22" s="754"/>
      <c r="Z22" s="754"/>
      <c r="AA22" s="755"/>
      <c r="AB22" s="744"/>
      <c r="AC22" s="745"/>
      <c r="AD22" s="745"/>
      <c r="AE22" s="745"/>
      <c r="AF22" s="745"/>
      <c r="AG22" s="745"/>
      <c r="AH22" s="745"/>
      <c r="AI22" s="745"/>
      <c r="AJ22" s="745"/>
      <c r="AK22" s="745"/>
      <c r="AL22" s="745"/>
      <c r="AM22" s="746"/>
      <c r="AN22" s="747" t="s">
        <v>665</v>
      </c>
      <c r="AO22" s="748"/>
      <c r="AP22" s="748"/>
      <c r="AQ22" s="748"/>
      <c r="AR22" s="748"/>
      <c r="AS22" s="748"/>
      <c r="AT22" s="748"/>
      <c r="AU22" s="748"/>
      <c r="AV22" s="748"/>
      <c r="AW22" s="748"/>
      <c r="AX22" s="748"/>
      <c r="AY22" s="749"/>
    </row>
    <row r="23" spans="1:53" ht="13.5" customHeight="1">
      <c r="A23" s="81" t="s">
        <v>62</v>
      </c>
      <c r="B23" s="80"/>
      <c r="C23" s="80"/>
      <c r="D23" s="80"/>
      <c r="E23" s="80"/>
      <c r="F23" s="80"/>
      <c r="G23" s="79" t="s">
        <v>661</v>
      </c>
      <c r="H23" s="78"/>
      <c r="I23" s="77"/>
      <c r="J23" s="78"/>
      <c r="K23" s="78"/>
      <c r="L23" s="78"/>
      <c r="M23" s="78"/>
      <c r="N23" s="78"/>
      <c r="O23" s="78"/>
      <c r="P23" s="78"/>
      <c r="Q23" s="78"/>
      <c r="R23" s="78"/>
      <c r="S23" s="78"/>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76"/>
    </row>
    <row r="24" spans="1:53" ht="13.5" customHeight="1" thickBot="1">
      <c r="A24" s="85" t="s">
        <v>68</v>
      </c>
      <c r="B24" s="84"/>
      <c r="C24" s="83"/>
      <c r="D24" s="83"/>
      <c r="E24" s="84"/>
      <c r="F24" s="82"/>
      <c r="G24" s="263" t="s">
        <v>658</v>
      </c>
      <c r="H24" s="201"/>
      <c r="I24" s="201"/>
      <c r="J24" s="201"/>
      <c r="K24" s="201"/>
      <c r="L24" s="201"/>
      <c r="M24" s="201"/>
      <c r="N24" s="201"/>
      <c r="O24" s="201"/>
      <c r="P24" s="201"/>
      <c r="Q24" s="201"/>
      <c r="R24" s="201"/>
      <c r="S24" s="73"/>
      <c r="T24" s="202"/>
      <c r="U24" s="202"/>
      <c r="V24" s="202"/>
      <c r="W24" s="202"/>
      <c r="X24" s="202"/>
      <c r="Y24" s="202"/>
      <c r="Z24" s="202"/>
      <c r="AA24" s="202"/>
      <c r="AB24" s="202"/>
      <c r="AC24" s="203"/>
      <c r="AD24" s="203"/>
      <c r="AE24" s="203"/>
      <c r="AF24" s="203"/>
      <c r="AG24" s="203"/>
      <c r="AH24" s="203"/>
      <c r="AI24" s="203"/>
      <c r="AJ24" s="203"/>
      <c r="AK24" s="203"/>
      <c r="AL24" s="203"/>
      <c r="AM24" s="203"/>
      <c r="AN24" s="203"/>
      <c r="AO24" s="203"/>
      <c r="AP24" s="203"/>
      <c r="AQ24" s="203"/>
      <c r="AR24" s="203"/>
      <c r="AS24" s="203"/>
      <c r="AT24" s="203"/>
      <c r="AU24" s="201"/>
      <c r="AV24" s="201"/>
      <c r="AW24" s="200"/>
      <c r="AX24" s="201"/>
      <c r="AY24" s="204"/>
    </row>
    <row r="25" spans="1:53" ht="13.5" customHeight="1" thickBot="1">
      <c r="A25" s="264" t="s">
        <v>49</v>
      </c>
      <c r="B25" s="265"/>
      <c r="C25" s="266"/>
      <c r="D25" s="266"/>
      <c r="E25" s="265"/>
      <c r="F25" s="267"/>
      <c r="G25" s="265"/>
      <c r="H25" s="268"/>
      <c r="I25" s="95" t="s">
        <v>660</v>
      </c>
      <c r="J25" s="95"/>
      <c r="K25" s="95"/>
      <c r="L25" s="95"/>
      <c r="M25" s="71"/>
      <c r="N25" s="96"/>
      <c r="O25" s="96"/>
      <c r="P25" s="95"/>
      <c r="Q25" s="95"/>
      <c r="R25" s="95"/>
      <c r="S25" s="95"/>
      <c r="T25" s="264" t="s">
        <v>38</v>
      </c>
      <c r="U25" s="265"/>
      <c r="V25" s="266"/>
      <c r="W25" s="266"/>
      <c r="X25" s="265"/>
      <c r="Y25" s="267"/>
      <c r="Z25" s="95"/>
      <c r="AA25" s="69"/>
      <c r="AB25" s="96"/>
      <c r="AC25" s="96"/>
      <c r="AD25" s="69"/>
      <c r="AE25" s="69"/>
      <c r="AF25" s="69"/>
      <c r="AG25" s="69"/>
      <c r="AH25" s="69"/>
      <c r="AI25" s="69"/>
      <c r="AJ25" s="69"/>
      <c r="AK25" s="96"/>
      <c r="AL25" s="69"/>
      <c r="AM25" s="69"/>
      <c r="AN25" s="69"/>
      <c r="AO25" s="69"/>
      <c r="AP25" s="69"/>
      <c r="AQ25" s="69"/>
      <c r="AR25" s="96"/>
      <c r="AS25" s="96"/>
      <c r="AT25" s="96"/>
      <c r="AU25" s="96"/>
      <c r="AV25" s="96"/>
      <c r="AW25" s="96"/>
      <c r="AX25" s="96"/>
      <c r="AY25" s="97"/>
    </row>
    <row r="26" spans="1:53" ht="13.5" customHeight="1" thickBot="1">
      <c r="A26" s="269" t="s">
        <v>50</v>
      </c>
      <c r="B26" s="270"/>
      <c r="C26" s="270"/>
      <c r="D26" s="270"/>
      <c r="E26" s="270"/>
      <c r="F26" s="270"/>
      <c r="G26" s="750" t="s">
        <v>61</v>
      </c>
      <c r="H26" s="750"/>
      <c r="I26" s="750" t="s">
        <v>43</v>
      </c>
      <c r="J26" s="750"/>
      <c r="K26" s="271" t="s">
        <v>60</v>
      </c>
      <c r="L26" s="272"/>
      <c r="M26" s="273"/>
      <c r="N26" s="273"/>
      <c r="O26" s="273"/>
      <c r="P26" s="273"/>
      <c r="Q26" s="273"/>
      <c r="R26" s="273"/>
      <c r="S26" s="274"/>
      <c r="T26" s="271" t="s">
        <v>63</v>
      </c>
      <c r="U26" s="270"/>
      <c r="V26" s="270"/>
      <c r="W26" s="270"/>
      <c r="X26" s="270"/>
      <c r="Y26" s="270"/>
      <c r="Z26" s="270"/>
      <c r="AA26" s="270"/>
      <c r="AB26" s="271" t="s">
        <v>64</v>
      </c>
      <c r="AC26" s="270"/>
      <c r="AD26" s="270"/>
      <c r="AE26" s="270"/>
      <c r="AF26" s="270"/>
      <c r="AG26" s="270"/>
      <c r="AH26" s="270"/>
      <c r="AI26" s="270"/>
      <c r="AJ26" s="270"/>
      <c r="AK26" s="270"/>
      <c r="AL26" s="275"/>
      <c r="AM26" s="275"/>
      <c r="AN26" s="276" t="s">
        <v>46</v>
      </c>
      <c r="AO26" s="275"/>
      <c r="AP26" s="275"/>
      <c r="AQ26" s="275"/>
      <c r="AR26" s="275"/>
      <c r="AS26" s="275"/>
      <c r="AT26" s="275"/>
      <c r="AU26" s="275"/>
      <c r="AV26" s="275"/>
      <c r="AW26" s="275"/>
      <c r="AX26" s="275"/>
      <c r="AY26" s="277"/>
    </row>
    <row r="27" spans="1:53" ht="55.5" customHeight="1" thickTop="1" thickBot="1">
      <c r="A27" s="278" t="s">
        <v>663</v>
      </c>
      <c r="B27" s="279"/>
      <c r="C27" s="279"/>
      <c r="D27" s="279"/>
      <c r="E27" s="279"/>
      <c r="F27" s="279"/>
      <c r="G27" s="751" t="s">
        <v>664</v>
      </c>
      <c r="H27" s="752"/>
      <c r="I27" s="781">
        <v>1</v>
      </c>
      <c r="J27" s="781"/>
      <c r="K27" s="280" t="s">
        <v>662</v>
      </c>
      <c r="L27" s="281"/>
      <c r="M27" s="281"/>
      <c r="N27" s="281"/>
      <c r="O27" s="281"/>
      <c r="P27" s="281"/>
      <c r="Q27" s="281"/>
      <c r="R27" s="281"/>
      <c r="S27" s="282"/>
      <c r="T27" s="753" t="s">
        <v>666</v>
      </c>
      <c r="U27" s="754"/>
      <c r="V27" s="754"/>
      <c r="W27" s="754"/>
      <c r="X27" s="754"/>
      <c r="Y27" s="754"/>
      <c r="Z27" s="754"/>
      <c r="AA27" s="755"/>
      <c r="AB27" s="744" t="s">
        <v>666</v>
      </c>
      <c r="AC27" s="745"/>
      <c r="AD27" s="745"/>
      <c r="AE27" s="745"/>
      <c r="AF27" s="745"/>
      <c r="AG27" s="745"/>
      <c r="AH27" s="745"/>
      <c r="AI27" s="745"/>
      <c r="AJ27" s="745"/>
      <c r="AK27" s="745"/>
      <c r="AL27" s="745"/>
      <c r="AM27" s="746"/>
      <c r="AN27" s="747" t="s">
        <v>665</v>
      </c>
      <c r="AO27" s="748"/>
      <c r="AP27" s="748"/>
      <c r="AQ27" s="748"/>
      <c r="AR27" s="748"/>
      <c r="AS27" s="748"/>
      <c r="AT27" s="748"/>
      <c r="AU27" s="748"/>
      <c r="AV27" s="748"/>
      <c r="AW27" s="748"/>
      <c r="AX27" s="748"/>
      <c r="AY27" s="749"/>
    </row>
    <row r="28" spans="1:53" ht="13.5" customHeight="1">
      <c r="A28" s="81" t="s">
        <v>62</v>
      </c>
      <c r="B28" s="80"/>
      <c r="C28" s="80"/>
      <c r="D28" s="80"/>
      <c r="E28" s="80"/>
      <c r="F28" s="80"/>
      <c r="G28" s="79" t="s">
        <v>709</v>
      </c>
      <c r="H28" s="78"/>
      <c r="I28" s="77"/>
      <c r="J28" s="78"/>
      <c r="K28" s="78"/>
      <c r="L28" s="78"/>
      <c r="M28" s="78"/>
      <c r="N28" s="78"/>
      <c r="O28" s="78"/>
      <c r="P28" s="78"/>
      <c r="Q28" s="78"/>
      <c r="R28" s="78"/>
      <c r="S28" s="78"/>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76"/>
    </row>
    <row r="29" spans="1:53" ht="13.5" customHeight="1" thickBot="1">
      <c r="A29" s="85" t="s">
        <v>68</v>
      </c>
      <c r="B29" s="84"/>
      <c r="C29" s="83"/>
      <c r="D29" s="83"/>
      <c r="E29" s="84"/>
      <c r="F29" s="82"/>
      <c r="G29" s="263" t="s">
        <v>710</v>
      </c>
      <c r="H29" s="201"/>
      <c r="I29" s="201"/>
      <c r="J29" s="201"/>
      <c r="K29" s="201"/>
      <c r="L29" s="201"/>
      <c r="M29" s="201"/>
      <c r="N29" s="201"/>
      <c r="O29" s="201"/>
      <c r="P29" s="201"/>
      <c r="Q29" s="201"/>
      <c r="R29" s="201"/>
      <c r="S29" s="73"/>
      <c r="T29" s="202"/>
      <c r="U29" s="202"/>
      <c r="V29" s="202"/>
      <c r="W29" s="202"/>
      <c r="X29" s="202"/>
      <c r="Y29" s="202"/>
      <c r="Z29" s="202"/>
      <c r="AA29" s="202"/>
      <c r="AB29" s="202"/>
      <c r="AC29" s="203"/>
      <c r="AD29" s="203"/>
      <c r="AE29" s="203"/>
      <c r="AF29" s="203"/>
      <c r="AG29" s="203"/>
      <c r="AH29" s="203"/>
      <c r="AI29" s="203"/>
      <c r="AJ29" s="203"/>
      <c r="AK29" s="203"/>
      <c r="AL29" s="203"/>
      <c r="AM29" s="203"/>
      <c r="AN29" s="203"/>
      <c r="AO29" s="203"/>
      <c r="AP29" s="203"/>
      <c r="AQ29" s="203"/>
      <c r="AR29" s="203"/>
      <c r="AS29" s="203"/>
      <c r="AT29" s="203"/>
      <c r="AU29" s="201"/>
      <c r="AV29" s="201"/>
      <c r="AW29" s="200"/>
      <c r="AX29" s="201"/>
      <c r="AY29" s="204"/>
    </row>
    <row r="30" spans="1:53" ht="13.5" customHeight="1" thickBot="1">
      <c r="A30" s="264" t="s">
        <v>49</v>
      </c>
      <c r="B30" s="265"/>
      <c r="C30" s="266"/>
      <c r="D30" s="266"/>
      <c r="E30" s="265"/>
      <c r="F30" s="267"/>
      <c r="G30" s="265"/>
      <c r="H30" s="268"/>
      <c r="I30" s="95"/>
      <c r="J30" s="95"/>
      <c r="K30" s="95"/>
      <c r="L30" s="95"/>
      <c r="M30" s="71"/>
      <c r="N30" s="96"/>
      <c r="O30" s="96"/>
      <c r="P30" s="95"/>
      <c r="Q30" s="95"/>
      <c r="R30" s="95"/>
      <c r="S30" s="95"/>
      <c r="T30" s="264" t="s">
        <v>38</v>
      </c>
      <c r="U30" s="265"/>
      <c r="V30" s="266"/>
      <c r="W30" s="266"/>
      <c r="X30" s="265"/>
      <c r="Y30" s="267"/>
      <c r="Z30" s="95"/>
      <c r="AA30" s="69"/>
      <c r="AB30" s="96"/>
      <c r="AC30" s="96"/>
      <c r="AD30" s="69"/>
      <c r="AE30" s="69"/>
      <c r="AF30" s="69"/>
      <c r="AG30" s="69"/>
      <c r="AH30" s="69"/>
      <c r="AI30" s="69"/>
      <c r="AJ30" s="69"/>
      <c r="AK30" s="96"/>
      <c r="AL30" s="69"/>
      <c r="AM30" s="69"/>
      <c r="AN30" s="69"/>
      <c r="AO30" s="69"/>
      <c r="AP30" s="69"/>
      <c r="AQ30" s="69"/>
      <c r="AR30" s="96"/>
      <c r="AS30" s="96"/>
      <c r="AT30" s="96"/>
      <c r="AU30" s="96"/>
      <c r="AV30" s="96"/>
      <c r="AW30" s="96"/>
      <c r="AX30" s="96"/>
      <c r="AY30" s="97"/>
    </row>
    <row r="31" spans="1:53" ht="13.5" customHeight="1" thickBot="1">
      <c r="A31" s="269" t="s">
        <v>50</v>
      </c>
      <c r="B31" s="270"/>
      <c r="C31" s="270"/>
      <c r="D31" s="270"/>
      <c r="E31" s="270"/>
      <c r="F31" s="270"/>
      <c r="G31" s="750" t="s">
        <v>61</v>
      </c>
      <c r="H31" s="750"/>
      <c r="I31" s="750" t="s">
        <v>43</v>
      </c>
      <c r="J31" s="750"/>
      <c r="K31" s="271" t="s">
        <v>60</v>
      </c>
      <c r="L31" s="272"/>
      <c r="M31" s="273"/>
      <c r="N31" s="273"/>
      <c r="O31" s="273"/>
      <c r="P31" s="273"/>
      <c r="Q31" s="273"/>
      <c r="R31" s="273"/>
      <c r="S31" s="274"/>
      <c r="T31" s="271" t="s">
        <v>63</v>
      </c>
      <c r="U31" s="270"/>
      <c r="V31" s="270"/>
      <c r="W31" s="270"/>
      <c r="X31" s="270"/>
      <c r="Y31" s="270"/>
      <c r="Z31" s="270"/>
      <c r="AA31" s="270"/>
      <c r="AB31" s="271" t="s">
        <v>64</v>
      </c>
      <c r="AC31" s="270"/>
      <c r="AD31" s="270"/>
      <c r="AE31" s="270"/>
      <c r="AF31" s="270"/>
      <c r="AG31" s="270"/>
      <c r="AH31" s="270"/>
      <c r="AI31" s="270"/>
      <c r="AJ31" s="270"/>
      <c r="AK31" s="270"/>
      <c r="AL31" s="275"/>
      <c r="AM31" s="275"/>
      <c r="AN31" s="276" t="s">
        <v>46</v>
      </c>
      <c r="AO31" s="275"/>
      <c r="AP31" s="275"/>
      <c r="AQ31" s="275"/>
      <c r="AR31" s="275"/>
      <c r="AS31" s="275"/>
      <c r="AT31" s="275"/>
      <c r="AU31" s="275"/>
      <c r="AV31" s="275"/>
      <c r="AW31" s="275"/>
      <c r="AX31" s="275"/>
      <c r="AY31" s="277"/>
    </row>
    <row r="32" spans="1:53" ht="55.5" customHeight="1" thickTop="1" thickBot="1">
      <c r="A32" s="756" t="s">
        <v>663</v>
      </c>
      <c r="B32" s="757"/>
      <c r="C32" s="757"/>
      <c r="D32" s="757"/>
      <c r="E32" s="757"/>
      <c r="F32" s="758"/>
      <c r="G32" s="819" t="s">
        <v>664</v>
      </c>
      <c r="H32" s="820"/>
      <c r="I32" s="821">
        <v>1</v>
      </c>
      <c r="J32" s="821"/>
      <c r="K32" s="332" t="s">
        <v>711</v>
      </c>
      <c r="L32" s="333"/>
      <c r="M32" s="333"/>
      <c r="N32" s="333"/>
      <c r="O32" s="333"/>
      <c r="P32" s="333"/>
      <c r="Q32" s="333"/>
      <c r="R32" s="333"/>
      <c r="S32" s="334"/>
      <c r="T32" s="822" t="s">
        <v>666</v>
      </c>
      <c r="U32" s="823"/>
      <c r="V32" s="823"/>
      <c r="W32" s="823"/>
      <c r="X32" s="823"/>
      <c r="Y32" s="823"/>
      <c r="Z32" s="823"/>
      <c r="AA32" s="824"/>
      <c r="AB32" s="788" t="s">
        <v>666</v>
      </c>
      <c r="AC32" s="789"/>
      <c r="AD32" s="789"/>
      <c r="AE32" s="789"/>
      <c r="AF32" s="789"/>
      <c r="AG32" s="789"/>
      <c r="AH32" s="789"/>
      <c r="AI32" s="789"/>
      <c r="AJ32" s="789"/>
      <c r="AK32" s="789"/>
      <c r="AL32" s="789"/>
      <c r="AM32" s="790"/>
      <c r="AN32" s="791" t="s">
        <v>712</v>
      </c>
      <c r="AO32" s="792"/>
      <c r="AP32" s="792"/>
      <c r="AQ32" s="792"/>
      <c r="AR32" s="792"/>
      <c r="AS32" s="792"/>
      <c r="AT32" s="792"/>
      <c r="AU32" s="792"/>
      <c r="AV32" s="792"/>
      <c r="AW32" s="792"/>
      <c r="AX32" s="792"/>
      <c r="AY32" s="793"/>
    </row>
    <row r="33" spans="1:51" s="28" customFormat="1" ht="13.5" customHeight="1">
      <c r="A33" s="81" t="s">
        <v>62</v>
      </c>
      <c r="B33" s="80"/>
      <c r="C33" s="80"/>
      <c r="D33" s="80"/>
      <c r="E33" s="80"/>
      <c r="F33" s="80"/>
      <c r="G33" s="79" t="s">
        <v>872</v>
      </c>
      <c r="H33" s="78"/>
      <c r="I33" s="77"/>
      <c r="J33" s="78"/>
      <c r="K33" s="78"/>
      <c r="L33" s="78"/>
      <c r="M33" s="78"/>
      <c r="N33" s="78"/>
      <c r="O33" s="78"/>
      <c r="P33" s="78"/>
      <c r="Q33" s="78"/>
      <c r="R33" s="78"/>
      <c r="S33" s="78"/>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76"/>
    </row>
    <row r="34" spans="1:51" s="28" customFormat="1" ht="13.5" customHeight="1" thickBot="1">
      <c r="A34" s="85" t="s">
        <v>68</v>
      </c>
      <c r="B34" s="84"/>
      <c r="C34" s="83"/>
      <c r="D34" s="83"/>
      <c r="E34" s="84"/>
      <c r="F34" s="82"/>
      <c r="G34" s="379" t="s">
        <v>873</v>
      </c>
      <c r="H34" s="201"/>
      <c r="I34" s="201"/>
      <c r="J34" s="201"/>
      <c r="K34" s="201"/>
      <c r="L34" s="201"/>
      <c r="M34" s="201"/>
      <c r="N34" s="201"/>
      <c r="O34" s="201"/>
      <c r="P34" s="201"/>
      <c r="Q34" s="201"/>
      <c r="R34" s="201"/>
      <c r="S34" s="73"/>
      <c r="T34" s="380"/>
      <c r="U34" s="380"/>
      <c r="V34" s="380"/>
      <c r="W34" s="380"/>
      <c r="X34" s="380"/>
      <c r="Y34" s="380"/>
      <c r="Z34" s="380"/>
      <c r="AA34" s="380"/>
      <c r="AB34" s="380"/>
      <c r="AC34" s="203"/>
      <c r="AD34" s="203"/>
      <c r="AE34" s="203"/>
      <c r="AF34" s="203"/>
      <c r="AG34" s="203"/>
      <c r="AH34" s="203"/>
      <c r="AI34" s="203"/>
      <c r="AJ34" s="203"/>
      <c r="AK34" s="203"/>
      <c r="AL34" s="203"/>
      <c r="AM34" s="203"/>
      <c r="AN34" s="203"/>
      <c r="AO34" s="203"/>
      <c r="AP34" s="203"/>
      <c r="AQ34" s="203"/>
      <c r="AR34" s="203"/>
      <c r="AS34" s="203"/>
      <c r="AT34" s="203"/>
      <c r="AU34" s="201"/>
      <c r="AV34" s="201"/>
      <c r="AW34" s="200"/>
      <c r="AX34" s="201"/>
      <c r="AY34" s="204"/>
    </row>
    <row r="35" spans="1:51" s="28" customFormat="1" ht="13.5" customHeight="1" thickBot="1">
      <c r="A35" s="264" t="s">
        <v>49</v>
      </c>
      <c r="B35" s="265"/>
      <c r="C35" s="266"/>
      <c r="D35" s="266"/>
      <c r="E35" s="265"/>
      <c r="F35" s="267"/>
      <c r="G35" s="265"/>
      <c r="H35" s="268"/>
      <c r="I35" s="381" t="s">
        <v>874</v>
      </c>
      <c r="J35" s="381"/>
      <c r="K35" s="381"/>
      <c r="L35" s="381"/>
      <c r="M35" s="382"/>
      <c r="N35" s="383"/>
      <c r="O35" s="383"/>
      <c r="P35" s="381"/>
      <c r="Q35" s="381"/>
      <c r="R35" s="381"/>
      <c r="S35" s="381"/>
      <c r="T35" s="264" t="s">
        <v>38</v>
      </c>
      <c r="U35" s="265"/>
      <c r="V35" s="266"/>
      <c r="W35" s="266"/>
      <c r="X35" s="265"/>
      <c r="Y35" s="267"/>
      <c r="Z35" s="381"/>
      <c r="AA35" s="384"/>
      <c r="AB35" s="383"/>
      <c r="AC35" s="383"/>
      <c r="AD35" s="384"/>
      <c r="AE35" s="384"/>
      <c r="AF35" s="384"/>
      <c r="AG35" s="384"/>
      <c r="AH35" s="384"/>
      <c r="AI35" s="384"/>
      <c r="AJ35" s="384"/>
      <c r="AK35" s="383"/>
      <c r="AL35" s="384"/>
      <c r="AM35" s="384"/>
      <c r="AN35" s="384"/>
      <c r="AO35" s="384"/>
      <c r="AP35" s="384"/>
      <c r="AQ35" s="384"/>
      <c r="AR35" s="383"/>
      <c r="AS35" s="383"/>
      <c r="AT35" s="383"/>
      <c r="AU35" s="383"/>
      <c r="AV35" s="383"/>
      <c r="AW35" s="383"/>
      <c r="AX35" s="383"/>
      <c r="AY35" s="385"/>
    </row>
    <row r="36" spans="1:51" s="28" customFormat="1" ht="13.5" customHeight="1" thickBot="1">
      <c r="A36" s="269" t="s">
        <v>50</v>
      </c>
      <c r="B36" s="270"/>
      <c r="C36" s="270"/>
      <c r="D36" s="270"/>
      <c r="E36" s="270"/>
      <c r="F36" s="270"/>
      <c r="G36" s="750" t="s">
        <v>61</v>
      </c>
      <c r="H36" s="750"/>
      <c r="I36" s="750" t="s">
        <v>43</v>
      </c>
      <c r="J36" s="750"/>
      <c r="K36" s="271" t="s">
        <v>60</v>
      </c>
      <c r="L36" s="272"/>
      <c r="M36" s="273"/>
      <c r="N36" s="273"/>
      <c r="O36" s="273"/>
      <c r="P36" s="273"/>
      <c r="Q36" s="273"/>
      <c r="R36" s="273"/>
      <c r="S36" s="274"/>
      <c r="T36" s="271" t="s">
        <v>63</v>
      </c>
      <c r="U36" s="270"/>
      <c r="V36" s="270"/>
      <c r="W36" s="270"/>
      <c r="X36" s="270"/>
      <c r="Y36" s="270"/>
      <c r="Z36" s="270"/>
      <c r="AA36" s="270"/>
      <c r="AB36" s="271" t="s">
        <v>64</v>
      </c>
      <c r="AC36" s="270"/>
      <c r="AD36" s="270"/>
      <c r="AE36" s="270"/>
      <c r="AF36" s="270"/>
      <c r="AG36" s="270"/>
      <c r="AH36" s="270"/>
      <c r="AI36" s="270"/>
      <c r="AJ36" s="270"/>
      <c r="AK36" s="270"/>
      <c r="AL36" s="275"/>
      <c r="AM36" s="275"/>
      <c r="AN36" s="276" t="s">
        <v>46</v>
      </c>
      <c r="AO36" s="275"/>
      <c r="AP36" s="275"/>
      <c r="AQ36" s="275"/>
      <c r="AR36" s="275"/>
      <c r="AS36" s="275"/>
      <c r="AT36" s="275"/>
      <c r="AU36" s="275"/>
      <c r="AV36" s="275"/>
      <c r="AW36" s="275"/>
      <c r="AX36" s="275"/>
      <c r="AY36" s="277"/>
    </row>
    <row r="37" spans="1:51" s="28" customFormat="1" ht="13.5" customHeight="1" thickTop="1">
      <c r="A37" s="278" t="s">
        <v>875</v>
      </c>
      <c r="B37" s="279"/>
      <c r="C37" s="279"/>
      <c r="D37" s="279"/>
      <c r="E37" s="279"/>
      <c r="F37" s="279"/>
      <c r="G37" s="751" t="s">
        <v>664</v>
      </c>
      <c r="H37" s="752"/>
      <c r="I37" s="731">
        <v>1</v>
      </c>
      <c r="J37" s="731"/>
      <c r="K37" s="386" t="s">
        <v>876</v>
      </c>
      <c r="L37" s="387"/>
      <c r="M37" s="387"/>
      <c r="N37" s="387"/>
      <c r="O37" s="387"/>
      <c r="P37" s="387"/>
      <c r="Q37" s="387"/>
      <c r="R37" s="387"/>
      <c r="S37" s="388"/>
      <c r="T37" s="753" t="s">
        <v>48</v>
      </c>
      <c r="U37" s="754"/>
      <c r="V37" s="754"/>
      <c r="W37" s="754"/>
      <c r="X37" s="754"/>
      <c r="Y37" s="754"/>
      <c r="Z37" s="754"/>
      <c r="AA37" s="755"/>
      <c r="AB37" s="744" t="s">
        <v>48</v>
      </c>
      <c r="AC37" s="745"/>
      <c r="AD37" s="745"/>
      <c r="AE37" s="745"/>
      <c r="AF37" s="745"/>
      <c r="AG37" s="745"/>
      <c r="AH37" s="745"/>
      <c r="AI37" s="745"/>
      <c r="AJ37" s="745"/>
      <c r="AK37" s="745"/>
      <c r="AL37" s="745"/>
      <c r="AM37" s="746"/>
      <c r="AN37" s="747"/>
      <c r="AO37" s="748"/>
      <c r="AP37" s="748"/>
      <c r="AQ37" s="748"/>
      <c r="AR37" s="748"/>
      <c r="AS37" s="748"/>
      <c r="AT37" s="748"/>
      <c r="AU37" s="748"/>
      <c r="AV37" s="748"/>
      <c r="AW37" s="748"/>
      <c r="AX37" s="748"/>
      <c r="AY37" s="749"/>
    </row>
    <row r="38" spans="1:51" s="28" customFormat="1" ht="13.5" customHeight="1">
      <c r="A38" s="75"/>
      <c r="B38" s="389"/>
      <c r="C38" s="389"/>
      <c r="D38" s="389"/>
      <c r="E38" s="389"/>
      <c r="F38" s="389"/>
      <c r="G38" s="367"/>
      <c r="H38" s="368"/>
      <c r="I38" s="731">
        <v>2</v>
      </c>
      <c r="J38" s="731"/>
      <c r="K38" s="386" t="s">
        <v>877</v>
      </c>
      <c r="L38" s="387"/>
      <c r="M38" s="387"/>
      <c r="N38" s="387"/>
      <c r="O38" s="387"/>
      <c r="P38" s="387"/>
      <c r="Q38" s="387"/>
      <c r="R38" s="387"/>
      <c r="S38" s="388"/>
      <c r="T38" s="732" t="s">
        <v>48</v>
      </c>
      <c r="U38" s="733"/>
      <c r="V38" s="733"/>
      <c r="W38" s="733"/>
      <c r="X38" s="733"/>
      <c r="Y38" s="733"/>
      <c r="Z38" s="733"/>
      <c r="AA38" s="734"/>
      <c r="AB38" s="372" t="s">
        <v>48</v>
      </c>
      <c r="AC38" s="373"/>
      <c r="AD38" s="373"/>
      <c r="AE38" s="373"/>
      <c r="AF38" s="373"/>
      <c r="AG38" s="373"/>
      <c r="AH38" s="373"/>
      <c r="AI38" s="373"/>
      <c r="AJ38" s="373"/>
      <c r="AK38" s="373"/>
      <c r="AL38" s="373"/>
      <c r="AM38" s="374"/>
      <c r="AN38" s="738"/>
      <c r="AO38" s="739"/>
      <c r="AP38" s="739"/>
      <c r="AQ38" s="739"/>
      <c r="AR38" s="739"/>
      <c r="AS38" s="739"/>
      <c r="AT38" s="739"/>
      <c r="AU38" s="739"/>
      <c r="AV38" s="739"/>
      <c r="AW38" s="739"/>
      <c r="AX38" s="739"/>
      <c r="AY38" s="740"/>
    </row>
    <row r="39" spans="1:51" s="28" customFormat="1" ht="71.150000000000006" customHeight="1">
      <c r="A39" s="75"/>
      <c r="B39" s="389"/>
      <c r="C39" s="389"/>
      <c r="D39" s="389"/>
      <c r="E39" s="389"/>
      <c r="F39" s="389"/>
      <c r="G39" s="367"/>
      <c r="H39" s="368"/>
      <c r="I39" s="731">
        <v>3</v>
      </c>
      <c r="J39" s="731"/>
      <c r="K39" s="386" t="s">
        <v>878</v>
      </c>
      <c r="L39" s="387"/>
      <c r="M39" s="387"/>
      <c r="N39" s="387"/>
      <c r="O39" s="387"/>
      <c r="P39" s="387"/>
      <c r="Q39" s="387"/>
      <c r="R39" s="387"/>
      <c r="S39" s="388"/>
      <c r="T39" s="732" t="s">
        <v>48</v>
      </c>
      <c r="U39" s="733"/>
      <c r="V39" s="733"/>
      <c r="W39" s="733"/>
      <c r="X39" s="733"/>
      <c r="Y39" s="733"/>
      <c r="Z39" s="733"/>
      <c r="AA39" s="734"/>
      <c r="AB39" s="735" t="s">
        <v>48</v>
      </c>
      <c r="AC39" s="736"/>
      <c r="AD39" s="736"/>
      <c r="AE39" s="736"/>
      <c r="AF39" s="736"/>
      <c r="AG39" s="736"/>
      <c r="AH39" s="736"/>
      <c r="AI39" s="736"/>
      <c r="AJ39" s="736"/>
      <c r="AK39" s="736"/>
      <c r="AL39" s="736"/>
      <c r="AM39" s="737"/>
      <c r="AN39" s="738" t="s">
        <v>879</v>
      </c>
      <c r="AO39" s="739"/>
      <c r="AP39" s="739"/>
      <c r="AQ39" s="739"/>
      <c r="AR39" s="739"/>
      <c r="AS39" s="739"/>
      <c r="AT39" s="739"/>
      <c r="AU39" s="739"/>
      <c r="AV39" s="739"/>
      <c r="AW39" s="739"/>
      <c r="AX39" s="739"/>
      <c r="AY39" s="740"/>
    </row>
    <row r="40" spans="1:51" s="38" customFormat="1" ht="69.650000000000006" customHeight="1">
      <c r="A40" s="75"/>
      <c r="B40" s="389"/>
      <c r="C40" s="389"/>
      <c r="D40" s="389"/>
      <c r="E40" s="389"/>
      <c r="F40" s="389"/>
      <c r="G40" s="367"/>
      <c r="H40" s="368"/>
      <c r="I40" s="731">
        <v>4</v>
      </c>
      <c r="J40" s="731"/>
      <c r="K40" s="386" t="s">
        <v>880</v>
      </c>
      <c r="L40" s="387"/>
      <c r="M40" s="387"/>
      <c r="N40" s="387"/>
      <c r="O40" s="387"/>
      <c r="P40" s="387"/>
      <c r="Q40" s="387"/>
      <c r="R40" s="387"/>
      <c r="S40" s="388"/>
      <c r="T40" s="732" t="s">
        <v>48</v>
      </c>
      <c r="U40" s="733"/>
      <c r="V40" s="733"/>
      <c r="W40" s="733"/>
      <c r="X40" s="733"/>
      <c r="Y40" s="733"/>
      <c r="Z40" s="733"/>
      <c r="AA40" s="734"/>
      <c r="AB40" s="735" t="s">
        <v>48</v>
      </c>
      <c r="AC40" s="736"/>
      <c r="AD40" s="736"/>
      <c r="AE40" s="736"/>
      <c r="AF40" s="736"/>
      <c r="AG40" s="736"/>
      <c r="AH40" s="736"/>
      <c r="AI40" s="736"/>
      <c r="AJ40" s="736"/>
      <c r="AK40" s="736"/>
      <c r="AL40" s="736"/>
      <c r="AM40" s="737"/>
      <c r="AN40" s="738" t="s">
        <v>881</v>
      </c>
      <c r="AO40" s="739"/>
      <c r="AP40" s="739"/>
      <c r="AQ40" s="739"/>
      <c r="AR40" s="739"/>
      <c r="AS40" s="739"/>
      <c r="AT40" s="739"/>
      <c r="AU40" s="739"/>
      <c r="AV40" s="739"/>
      <c r="AW40" s="739"/>
      <c r="AX40" s="739"/>
      <c r="AY40" s="740"/>
    </row>
    <row r="41" spans="1:51" s="38" customFormat="1" ht="75" customHeight="1">
      <c r="A41" s="75"/>
      <c r="B41" s="389"/>
      <c r="C41" s="389"/>
      <c r="D41" s="389"/>
      <c r="E41" s="389"/>
      <c r="F41" s="389"/>
      <c r="G41" s="367"/>
      <c r="H41" s="368"/>
      <c r="I41" s="731">
        <v>5</v>
      </c>
      <c r="J41" s="731"/>
      <c r="K41" s="386" t="s">
        <v>882</v>
      </c>
      <c r="L41" s="387"/>
      <c r="M41" s="387"/>
      <c r="N41" s="387"/>
      <c r="O41" s="387"/>
      <c r="P41" s="387"/>
      <c r="Q41" s="387"/>
      <c r="R41" s="387"/>
      <c r="S41" s="388"/>
      <c r="T41" s="732" t="s">
        <v>48</v>
      </c>
      <c r="U41" s="733"/>
      <c r="V41" s="733"/>
      <c r="W41" s="733"/>
      <c r="X41" s="733"/>
      <c r="Y41" s="733"/>
      <c r="Z41" s="733"/>
      <c r="AA41" s="734"/>
      <c r="AB41" s="735" t="s">
        <v>48</v>
      </c>
      <c r="AC41" s="736"/>
      <c r="AD41" s="736"/>
      <c r="AE41" s="736"/>
      <c r="AF41" s="736"/>
      <c r="AG41" s="736"/>
      <c r="AH41" s="736"/>
      <c r="AI41" s="736"/>
      <c r="AJ41" s="736"/>
      <c r="AK41" s="736"/>
      <c r="AL41" s="736"/>
      <c r="AM41" s="737"/>
      <c r="AN41" s="738" t="s">
        <v>883</v>
      </c>
      <c r="AO41" s="739"/>
      <c r="AP41" s="739"/>
      <c r="AQ41" s="739"/>
      <c r="AR41" s="739"/>
      <c r="AS41" s="739"/>
      <c r="AT41" s="739"/>
      <c r="AU41" s="739"/>
      <c r="AV41" s="739"/>
      <c r="AW41" s="739"/>
      <c r="AX41" s="739"/>
      <c r="AY41" s="740"/>
    </row>
    <row r="42" spans="1:51" s="38" customFormat="1" ht="72.650000000000006" customHeight="1">
      <c r="A42" s="75"/>
      <c r="B42" s="389"/>
      <c r="C42" s="389"/>
      <c r="D42" s="389"/>
      <c r="E42" s="389"/>
      <c r="F42" s="389"/>
      <c r="G42" s="367"/>
      <c r="H42" s="368"/>
      <c r="I42" s="731">
        <v>6</v>
      </c>
      <c r="J42" s="731"/>
      <c r="K42" s="386" t="s">
        <v>884</v>
      </c>
      <c r="L42" s="387"/>
      <c r="M42" s="387"/>
      <c r="N42" s="387"/>
      <c r="O42" s="387"/>
      <c r="P42" s="387"/>
      <c r="Q42" s="387"/>
      <c r="R42" s="387"/>
      <c r="S42" s="388"/>
      <c r="T42" s="732" t="s">
        <v>885</v>
      </c>
      <c r="U42" s="733"/>
      <c r="V42" s="733"/>
      <c r="W42" s="733"/>
      <c r="X42" s="733"/>
      <c r="Y42" s="733"/>
      <c r="Z42" s="733"/>
      <c r="AA42" s="734"/>
      <c r="AB42" s="743" t="s">
        <v>886</v>
      </c>
      <c r="AC42" s="736"/>
      <c r="AD42" s="736"/>
      <c r="AE42" s="736"/>
      <c r="AF42" s="736"/>
      <c r="AG42" s="736"/>
      <c r="AH42" s="736"/>
      <c r="AI42" s="736"/>
      <c r="AJ42" s="736"/>
      <c r="AK42" s="736"/>
      <c r="AL42" s="736"/>
      <c r="AM42" s="737"/>
      <c r="AN42" s="738" t="s">
        <v>887</v>
      </c>
      <c r="AO42" s="739"/>
      <c r="AP42" s="739"/>
      <c r="AQ42" s="739"/>
      <c r="AR42" s="739"/>
      <c r="AS42" s="739"/>
      <c r="AT42" s="739"/>
      <c r="AU42" s="739"/>
      <c r="AV42" s="739"/>
      <c r="AW42" s="739"/>
      <c r="AX42" s="739"/>
      <c r="AY42" s="740"/>
    </row>
    <row r="43" spans="1:51" s="38" customFormat="1" ht="72" customHeight="1">
      <c r="A43" s="75"/>
      <c r="B43" s="389"/>
      <c r="C43" s="389"/>
      <c r="D43" s="389"/>
      <c r="E43" s="389"/>
      <c r="F43" s="389"/>
      <c r="G43" s="367"/>
      <c r="H43" s="368"/>
      <c r="I43" s="731">
        <v>7</v>
      </c>
      <c r="J43" s="731"/>
      <c r="K43" s="386" t="s">
        <v>888</v>
      </c>
      <c r="L43" s="387"/>
      <c r="M43" s="387"/>
      <c r="N43" s="387"/>
      <c r="O43" s="387"/>
      <c r="P43" s="387"/>
      <c r="Q43" s="387"/>
      <c r="R43" s="387"/>
      <c r="S43" s="388"/>
      <c r="T43" s="732" t="s">
        <v>889</v>
      </c>
      <c r="U43" s="733"/>
      <c r="V43" s="733"/>
      <c r="W43" s="733"/>
      <c r="X43" s="733"/>
      <c r="Y43" s="733"/>
      <c r="Z43" s="733"/>
      <c r="AA43" s="734"/>
      <c r="AB43" s="735" t="s">
        <v>890</v>
      </c>
      <c r="AC43" s="736"/>
      <c r="AD43" s="736"/>
      <c r="AE43" s="736"/>
      <c r="AF43" s="736"/>
      <c r="AG43" s="736"/>
      <c r="AH43" s="736"/>
      <c r="AI43" s="736"/>
      <c r="AJ43" s="736"/>
      <c r="AK43" s="736"/>
      <c r="AL43" s="736"/>
      <c r="AM43" s="737"/>
      <c r="AN43" s="738" t="s">
        <v>955</v>
      </c>
      <c r="AO43" s="739"/>
      <c r="AP43" s="739"/>
      <c r="AQ43" s="739"/>
      <c r="AR43" s="739"/>
      <c r="AS43" s="739"/>
      <c r="AT43" s="739"/>
      <c r="AU43" s="739"/>
      <c r="AV43" s="739"/>
      <c r="AW43" s="739"/>
      <c r="AX43" s="739"/>
      <c r="AY43" s="740"/>
    </row>
    <row r="44" spans="1:51" s="38" customFormat="1" ht="13.5" customHeight="1">
      <c r="A44" s="75"/>
      <c r="B44" s="389"/>
      <c r="C44" s="389"/>
      <c r="D44" s="389"/>
      <c r="E44" s="389"/>
      <c r="F44" s="389"/>
      <c r="G44" s="367"/>
      <c r="H44" s="368"/>
      <c r="I44" s="731">
        <v>8</v>
      </c>
      <c r="J44" s="731"/>
      <c r="K44" s="386" t="s">
        <v>891</v>
      </c>
      <c r="L44" s="387"/>
      <c r="M44" s="387"/>
      <c r="N44" s="387"/>
      <c r="O44" s="387"/>
      <c r="P44" s="387"/>
      <c r="Q44" s="387"/>
      <c r="R44" s="387"/>
      <c r="S44" s="388"/>
      <c r="T44" s="732" t="s">
        <v>48</v>
      </c>
      <c r="U44" s="733"/>
      <c r="V44" s="733"/>
      <c r="W44" s="733"/>
      <c r="X44" s="733"/>
      <c r="Y44" s="733"/>
      <c r="Z44" s="733"/>
      <c r="AA44" s="734"/>
      <c r="AB44" s="735" t="s">
        <v>48</v>
      </c>
      <c r="AC44" s="736"/>
      <c r="AD44" s="736"/>
      <c r="AE44" s="736"/>
      <c r="AF44" s="736"/>
      <c r="AG44" s="736"/>
      <c r="AH44" s="736"/>
      <c r="AI44" s="736"/>
      <c r="AJ44" s="736"/>
      <c r="AK44" s="736"/>
      <c r="AL44" s="736"/>
      <c r="AM44" s="737"/>
      <c r="AN44" s="738"/>
      <c r="AO44" s="739"/>
      <c r="AP44" s="739"/>
      <c r="AQ44" s="739"/>
      <c r="AR44" s="739"/>
      <c r="AS44" s="739"/>
      <c r="AT44" s="739"/>
      <c r="AU44" s="739"/>
      <c r="AV44" s="739"/>
      <c r="AW44" s="739"/>
      <c r="AX44" s="739"/>
      <c r="AY44" s="740"/>
    </row>
    <row r="45" spans="1:51" s="38" customFormat="1" ht="13.5" customHeight="1">
      <c r="A45" s="75"/>
      <c r="B45" s="389"/>
      <c r="C45" s="389"/>
      <c r="D45" s="389"/>
      <c r="E45" s="389"/>
      <c r="F45" s="389"/>
      <c r="G45" s="367"/>
      <c r="H45" s="368"/>
      <c r="I45" s="731">
        <v>9</v>
      </c>
      <c r="J45" s="731"/>
      <c r="K45" s="386" t="s">
        <v>892</v>
      </c>
      <c r="L45" s="387"/>
      <c r="M45" s="387"/>
      <c r="N45" s="387"/>
      <c r="O45" s="387"/>
      <c r="P45" s="387"/>
      <c r="Q45" s="387"/>
      <c r="R45" s="387"/>
      <c r="S45" s="388"/>
      <c r="T45" s="732" t="s">
        <v>48</v>
      </c>
      <c r="U45" s="733"/>
      <c r="V45" s="733"/>
      <c r="W45" s="733"/>
      <c r="X45" s="733"/>
      <c r="Y45" s="733"/>
      <c r="Z45" s="733"/>
      <c r="AA45" s="734"/>
      <c r="AB45" s="735" t="s">
        <v>48</v>
      </c>
      <c r="AC45" s="736"/>
      <c r="AD45" s="736"/>
      <c r="AE45" s="736"/>
      <c r="AF45" s="736"/>
      <c r="AG45" s="736"/>
      <c r="AH45" s="736"/>
      <c r="AI45" s="736"/>
      <c r="AJ45" s="736"/>
      <c r="AK45" s="736"/>
      <c r="AL45" s="736"/>
      <c r="AM45" s="737"/>
      <c r="AN45" s="738"/>
      <c r="AO45" s="739"/>
      <c r="AP45" s="739"/>
      <c r="AQ45" s="739"/>
      <c r="AR45" s="739"/>
      <c r="AS45" s="739"/>
      <c r="AT45" s="739"/>
      <c r="AU45" s="739"/>
      <c r="AV45" s="739"/>
      <c r="AW45" s="739"/>
      <c r="AX45" s="739"/>
      <c r="AY45" s="740"/>
    </row>
    <row r="46" spans="1:51" s="38" customFormat="1" ht="13.5" customHeight="1">
      <c r="A46" s="75"/>
      <c r="B46" s="389"/>
      <c r="C46" s="389"/>
      <c r="D46" s="389"/>
      <c r="E46" s="389"/>
      <c r="F46" s="389"/>
      <c r="G46" s="741"/>
      <c r="H46" s="742"/>
      <c r="I46" s="731">
        <v>10</v>
      </c>
      <c r="J46" s="731"/>
      <c r="K46" s="386" t="s">
        <v>893</v>
      </c>
      <c r="L46" s="387"/>
      <c r="M46" s="387"/>
      <c r="N46" s="387"/>
      <c r="O46" s="387"/>
      <c r="P46" s="387"/>
      <c r="Q46" s="387"/>
      <c r="R46" s="387"/>
      <c r="S46" s="388"/>
      <c r="T46" s="732" t="s">
        <v>48</v>
      </c>
      <c r="U46" s="733"/>
      <c r="V46" s="733"/>
      <c r="W46" s="733"/>
      <c r="X46" s="733"/>
      <c r="Y46" s="733"/>
      <c r="Z46" s="733"/>
      <c r="AA46" s="734"/>
      <c r="AB46" s="735" t="s">
        <v>48</v>
      </c>
      <c r="AC46" s="736"/>
      <c r="AD46" s="736"/>
      <c r="AE46" s="736"/>
      <c r="AF46" s="736"/>
      <c r="AG46" s="736"/>
      <c r="AH46" s="736"/>
      <c r="AI46" s="736"/>
      <c r="AJ46" s="736"/>
      <c r="AK46" s="736"/>
      <c r="AL46" s="736"/>
      <c r="AM46" s="737"/>
      <c r="AN46" s="738"/>
      <c r="AO46" s="739"/>
      <c r="AP46" s="739"/>
      <c r="AQ46" s="739"/>
      <c r="AR46" s="739"/>
      <c r="AS46" s="739"/>
      <c r="AT46" s="739"/>
      <c r="AU46" s="739"/>
      <c r="AV46" s="739"/>
      <c r="AW46" s="739"/>
      <c r="AX46" s="739"/>
      <c r="AY46" s="740"/>
    </row>
    <row r="47" spans="1:51" s="38" customFormat="1" ht="13.5" customHeight="1">
      <c r="A47" s="75"/>
      <c r="B47" s="389"/>
      <c r="C47" s="389"/>
      <c r="D47" s="389"/>
      <c r="E47" s="389"/>
      <c r="F47" s="389"/>
      <c r="G47" s="741"/>
      <c r="H47" s="742"/>
      <c r="I47" s="731">
        <v>11</v>
      </c>
      <c r="J47" s="731"/>
      <c r="K47" s="386" t="s">
        <v>894</v>
      </c>
      <c r="L47" s="387"/>
      <c r="M47" s="387"/>
      <c r="N47" s="387"/>
      <c r="O47" s="387"/>
      <c r="P47" s="387"/>
      <c r="Q47" s="387"/>
      <c r="R47" s="387"/>
      <c r="S47" s="388"/>
      <c r="T47" s="732" t="s">
        <v>48</v>
      </c>
      <c r="U47" s="733"/>
      <c r="V47" s="733"/>
      <c r="W47" s="733"/>
      <c r="X47" s="733"/>
      <c r="Y47" s="733"/>
      <c r="Z47" s="733"/>
      <c r="AA47" s="734"/>
      <c r="AB47" s="735" t="s">
        <v>48</v>
      </c>
      <c r="AC47" s="736"/>
      <c r="AD47" s="736"/>
      <c r="AE47" s="736"/>
      <c r="AF47" s="736"/>
      <c r="AG47" s="736"/>
      <c r="AH47" s="736"/>
      <c r="AI47" s="736"/>
      <c r="AJ47" s="736"/>
      <c r="AK47" s="736"/>
      <c r="AL47" s="736"/>
      <c r="AM47" s="737"/>
      <c r="AN47" s="738"/>
      <c r="AO47" s="739"/>
      <c r="AP47" s="739"/>
      <c r="AQ47" s="739"/>
      <c r="AR47" s="739"/>
      <c r="AS47" s="739"/>
      <c r="AT47" s="739"/>
      <c r="AU47" s="739"/>
      <c r="AV47" s="739"/>
      <c r="AW47" s="739"/>
      <c r="AX47" s="739"/>
      <c r="AY47" s="740"/>
    </row>
    <row r="48" spans="1:51" s="38" customFormat="1" ht="13.5" customHeight="1">
      <c r="A48" s="75"/>
      <c r="B48" s="389"/>
      <c r="C48" s="389"/>
      <c r="D48" s="389"/>
      <c r="E48" s="389"/>
      <c r="F48" s="389"/>
      <c r="G48" s="741"/>
      <c r="H48" s="742"/>
      <c r="I48" s="731">
        <v>12</v>
      </c>
      <c r="J48" s="731"/>
      <c r="K48" s="386" t="s">
        <v>895</v>
      </c>
      <c r="L48" s="387"/>
      <c r="M48" s="387"/>
      <c r="N48" s="387"/>
      <c r="O48" s="387"/>
      <c r="P48" s="387"/>
      <c r="Q48" s="387"/>
      <c r="R48" s="387"/>
      <c r="S48" s="388"/>
      <c r="T48" s="732" t="s">
        <v>48</v>
      </c>
      <c r="U48" s="733"/>
      <c r="V48" s="733"/>
      <c r="W48" s="733"/>
      <c r="X48" s="733"/>
      <c r="Y48" s="733"/>
      <c r="Z48" s="733"/>
      <c r="AA48" s="734"/>
      <c r="AB48" s="735" t="s">
        <v>48</v>
      </c>
      <c r="AC48" s="736"/>
      <c r="AD48" s="736"/>
      <c r="AE48" s="736"/>
      <c r="AF48" s="736"/>
      <c r="AG48" s="736"/>
      <c r="AH48" s="736"/>
      <c r="AI48" s="736"/>
      <c r="AJ48" s="736"/>
      <c r="AK48" s="736"/>
      <c r="AL48" s="736"/>
      <c r="AM48" s="737"/>
      <c r="AN48" s="738"/>
      <c r="AO48" s="739"/>
      <c r="AP48" s="739"/>
      <c r="AQ48" s="739"/>
      <c r="AR48" s="739"/>
      <c r="AS48" s="739"/>
      <c r="AT48" s="739"/>
      <c r="AU48" s="739"/>
      <c r="AV48" s="739"/>
      <c r="AW48" s="739"/>
      <c r="AX48" s="739"/>
      <c r="AY48" s="740"/>
    </row>
    <row r="49" spans="1:51" s="38" customFormat="1" ht="13.5" customHeight="1">
      <c r="A49" s="75"/>
      <c r="B49" s="389"/>
      <c r="C49" s="389"/>
      <c r="D49" s="389"/>
      <c r="E49" s="389"/>
      <c r="F49" s="389"/>
      <c r="G49" s="741"/>
      <c r="H49" s="742"/>
      <c r="I49" s="731">
        <v>13</v>
      </c>
      <c r="J49" s="731"/>
      <c r="K49" s="386" t="s">
        <v>896</v>
      </c>
      <c r="L49" s="387"/>
      <c r="M49" s="387"/>
      <c r="N49" s="387"/>
      <c r="O49" s="387"/>
      <c r="P49" s="387"/>
      <c r="Q49" s="387"/>
      <c r="R49" s="387"/>
      <c r="S49" s="388"/>
      <c r="T49" s="732" t="s">
        <v>48</v>
      </c>
      <c r="U49" s="733"/>
      <c r="V49" s="733"/>
      <c r="W49" s="733"/>
      <c r="X49" s="733"/>
      <c r="Y49" s="733"/>
      <c r="Z49" s="733"/>
      <c r="AA49" s="734"/>
      <c r="AB49" s="735" t="s">
        <v>48</v>
      </c>
      <c r="AC49" s="736"/>
      <c r="AD49" s="736"/>
      <c r="AE49" s="736"/>
      <c r="AF49" s="736"/>
      <c r="AG49" s="736"/>
      <c r="AH49" s="736"/>
      <c r="AI49" s="736"/>
      <c r="AJ49" s="736"/>
      <c r="AK49" s="736"/>
      <c r="AL49" s="736"/>
      <c r="AM49" s="737"/>
      <c r="AN49" s="738"/>
      <c r="AO49" s="739"/>
      <c r="AP49" s="739"/>
      <c r="AQ49" s="739"/>
      <c r="AR49" s="739"/>
      <c r="AS49" s="739"/>
      <c r="AT49" s="739"/>
      <c r="AU49" s="739"/>
      <c r="AV49" s="739"/>
      <c r="AW49" s="739"/>
      <c r="AX49" s="739"/>
      <c r="AY49" s="740"/>
    </row>
    <row r="50" spans="1:51" s="38" customFormat="1" ht="13.5" customHeight="1">
      <c r="A50" s="75"/>
      <c r="B50" s="389"/>
      <c r="C50" s="389"/>
      <c r="D50" s="389"/>
      <c r="E50" s="389"/>
      <c r="F50" s="389"/>
      <c r="G50" s="367"/>
      <c r="H50" s="368"/>
      <c r="I50" s="731">
        <v>14</v>
      </c>
      <c r="J50" s="731"/>
      <c r="K50" s="386" t="s">
        <v>897</v>
      </c>
      <c r="L50" s="387"/>
      <c r="M50" s="387"/>
      <c r="N50" s="387"/>
      <c r="O50" s="387"/>
      <c r="P50" s="387"/>
      <c r="Q50" s="387"/>
      <c r="R50" s="387"/>
      <c r="S50" s="388"/>
      <c r="T50" s="732" t="s">
        <v>48</v>
      </c>
      <c r="U50" s="733"/>
      <c r="V50" s="733"/>
      <c r="W50" s="733"/>
      <c r="X50" s="733"/>
      <c r="Y50" s="733"/>
      <c r="Z50" s="733"/>
      <c r="AA50" s="734"/>
      <c r="AB50" s="735" t="s">
        <v>48</v>
      </c>
      <c r="AC50" s="736"/>
      <c r="AD50" s="736"/>
      <c r="AE50" s="736"/>
      <c r="AF50" s="736"/>
      <c r="AG50" s="736"/>
      <c r="AH50" s="736"/>
      <c r="AI50" s="736"/>
      <c r="AJ50" s="736"/>
      <c r="AK50" s="736"/>
      <c r="AL50" s="736"/>
      <c r="AM50" s="737"/>
      <c r="AN50" s="369"/>
      <c r="AO50" s="370"/>
      <c r="AP50" s="370"/>
      <c r="AQ50" s="370"/>
      <c r="AR50" s="370"/>
      <c r="AS50" s="370"/>
      <c r="AT50" s="370"/>
      <c r="AU50" s="370"/>
      <c r="AV50" s="370"/>
      <c r="AW50" s="370"/>
      <c r="AX50" s="370"/>
      <c r="AY50" s="371"/>
    </row>
    <row r="51" spans="1:51" s="38" customFormat="1" ht="13.5" customHeight="1">
      <c r="A51" s="75"/>
      <c r="B51" s="389"/>
      <c r="C51" s="389"/>
      <c r="D51" s="389"/>
      <c r="E51" s="389"/>
      <c r="F51" s="389"/>
      <c r="G51" s="367"/>
      <c r="H51" s="368"/>
      <c r="I51" s="731">
        <v>15</v>
      </c>
      <c r="J51" s="731"/>
      <c r="K51" s="386" t="s">
        <v>898</v>
      </c>
      <c r="L51" s="387"/>
      <c r="M51" s="387"/>
      <c r="N51" s="387"/>
      <c r="O51" s="387"/>
      <c r="P51" s="387"/>
      <c r="Q51" s="387"/>
      <c r="R51" s="387"/>
      <c r="S51" s="388"/>
      <c r="T51" s="732" t="s">
        <v>48</v>
      </c>
      <c r="U51" s="733"/>
      <c r="V51" s="733"/>
      <c r="W51" s="733"/>
      <c r="X51" s="733"/>
      <c r="Y51" s="733"/>
      <c r="Z51" s="733"/>
      <c r="AA51" s="734"/>
      <c r="AB51" s="735" t="s">
        <v>48</v>
      </c>
      <c r="AC51" s="736"/>
      <c r="AD51" s="736"/>
      <c r="AE51" s="736"/>
      <c r="AF51" s="736"/>
      <c r="AG51" s="736"/>
      <c r="AH51" s="736"/>
      <c r="AI51" s="736"/>
      <c r="AJ51" s="736"/>
      <c r="AK51" s="736"/>
      <c r="AL51" s="736"/>
      <c r="AM51" s="737"/>
      <c r="AN51" s="369"/>
      <c r="AO51" s="370"/>
      <c r="AP51" s="370"/>
      <c r="AQ51" s="370"/>
      <c r="AR51" s="370"/>
      <c r="AS51" s="370"/>
      <c r="AT51" s="370"/>
      <c r="AU51" s="370"/>
      <c r="AV51" s="370"/>
      <c r="AW51" s="370"/>
      <c r="AX51" s="370"/>
      <c r="AY51" s="371"/>
    </row>
    <row r="52" spans="1:51" s="38" customFormat="1" ht="13.5" customHeight="1">
      <c r="A52" s="75"/>
      <c r="B52" s="389"/>
      <c r="C52" s="389"/>
      <c r="D52" s="389"/>
      <c r="E52" s="389"/>
      <c r="F52" s="389"/>
      <c r="G52" s="367"/>
      <c r="H52" s="368"/>
      <c r="I52" s="731">
        <v>16</v>
      </c>
      <c r="J52" s="731"/>
      <c r="K52" s="386" t="s">
        <v>899</v>
      </c>
      <c r="L52" s="387"/>
      <c r="M52" s="387"/>
      <c r="N52" s="387"/>
      <c r="O52" s="387"/>
      <c r="P52" s="387"/>
      <c r="Q52" s="387"/>
      <c r="R52" s="387"/>
      <c r="S52" s="388"/>
      <c r="T52" s="732" t="s">
        <v>48</v>
      </c>
      <c r="U52" s="733"/>
      <c r="V52" s="733"/>
      <c r="W52" s="733"/>
      <c r="X52" s="733"/>
      <c r="Y52" s="733"/>
      <c r="Z52" s="733"/>
      <c r="AA52" s="734"/>
      <c r="AB52" s="735" t="s">
        <v>48</v>
      </c>
      <c r="AC52" s="736"/>
      <c r="AD52" s="736"/>
      <c r="AE52" s="736"/>
      <c r="AF52" s="736"/>
      <c r="AG52" s="736"/>
      <c r="AH52" s="736"/>
      <c r="AI52" s="736"/>
      <c r="AJ52" s="736"/>
      <c r="AK52" s="736"/>
      <c r="AL52" s="736"/>
      <c r="AM52" s="737"/>
      <c r="AN52" s="369"/>
      <c r="AO52" s="370"/>
      <c r="AP52" s="370"/>
      <c r="AQ52" s="370"/>
      <c r="AR52" s="370"/>
      <c r="AS52" s="370"/>
      <c r="AT52" s="370"/>
      <c r="AU52" s="370"/>
      <c r="AV52" s="370"/>
      <c r="AW52" s="370"/>
      <c r="AX52" s="370"/>
      <c r="AY52" s="371"/>
    </row>
    <row r="53" spans="1:51" s="38" customFormat="1" ht="13.5" customHeight="1">
      <c r="A53" s="75"/>
      <c r="B53" s="389"/>
      <c r="C53" s="389"/>
      <c r="D53" s="389"/>
      <c r="E53" s="389"/>
      <c r="F53" s="389"/>
      <c r="G53" s="367"/>
      <c r="H53" s="368"/>
      <c r="I53" s="731">
        <v>17</v>
      </c>
      <c r="J53" s="731"/>
      <c r="K53" s="386" t="s">
        <v>900</v>
      </c>
      <c r="L53" s="387"/>
      <c r="M53" s="387"/>
      <c r="N53" s="387"/>
      <c r="O53" s="387"/>
      <c r="P53" s="387"/>
      <c r="Q53" s="387"/>
      <c r="R53" s="387"/>
      <c r="S53" s="388"/>
      <c r="T53" s="732" t="s">
        <v>48</v>
      </c>
      <c r="U53" s="733"/>
      <c r="V53" s="733"/>
      <c r="W53" s="733"/>
      <c r="X53" s="733"/>
      <c r="Y53" s="733"/>
      <c r="Z53" s="733"/>
      <c r="AA53" s="734"/>
      <c r="AB53" s="735" t="s">
        <v>48</v>
      </c>
      <c r="AC53" s="736"/>
      <c r="AD53" s="736"/>
      <c r="AE53" s="736"/>
      <c r="AF53" s="736"/>
      <c r="AG53" s="736"/>
      <c r="AH53" s="736"/>
      <c r="AI53" s="736"/>
      <c r="AJ53" s="736"/>
      <c r="AK53" s="736"/>
      <c r="AL53" s="736"/>
      <c r="AM53" s="737"/>
      <c r="AN53" s="369"/>
      <c r="AO53" s="370"/>
      <c r="AP53" s="370"/>
      <c r="AQ53" s="370"/>
      <c r="AR53" s="370"/>
      <c r="AS53" s="370"/>
      <c r="AT53" s="370"/>
      <c r="AU53" s="370"/>
      <c r="AV53" s="370"/>
      <c r="AW53" s="370"/>
      <c r="AX53" s="370"/>
      <c r="AY53" s="371"/>
    </row>
    <row r="54" spans="1:51" s="38" customFormat="1" ht="13.5" customHeight="1">
      <c r="A54" s="75"/>
      <c r="B54" s="389"/>
      <c r="C54" s="389"/>
      <c r="D54" s="389"/>
      <c r="E54" s="389"/>
      <c r="F54" s="389"/>
      <c r="G54" s="367"/>
      <c r="H54" s="368"/>
      <c r="I54" s="731">
        <v>18</v>
      </c>
      <c r="J54" s="731"/>
      <c r="K54" s="386" t="s">
        <v>901</v>
      </c>
      <c r="L54" s="387"/>
      <c r="M54" s="387"/>
      <c r="N54" s="387"/>
      <c r="O54" s="387"/>
      <c r="P54" s="387"/>
      <c r="Q54" s="387"/>
      <c r="R54" s="387"/>
      <c r="S54" s="388"/>
      <c r="T54" s="732" t="s">
        <v>48</v>
      </c>
      <c r="U54" s="733"/>
      <c r="V54" s="733"/>
      <c r="W54" s="733"/>
      <c r="X54" s="733"/>
      <c r="Y54" s="733"/>
      <c r="Z54" s="733"/>
      <c r="AA54" s="734"/>
      <c r="AB54" s="735" t="s">
        <v>48</v>
      </c>
      <c r="AC54" s="736"/>
      <c r="AD54" s="736"/>
      <c r="AE54" s="736"/>
      <c r="AF54" s="736"/>
      <c r="AG54" s="736"/>
      <c r="AH54" s="736"/>
      <c r="AI54" s="736"/>
      <c r="AJ54" s="736"/>
      <c r="AK54" s="736"/>
      <c r="AL54" s="736"/>
      <c r="AM54" s="737"/>
      <c r="AN54" s="369"/>
      <c r="AO54" s="370"/>
      <c r="AP54" s="370"/>
      <c r="AQ54" s="370"/>
      <c r="AR54" s="370"/>
      <c r="AS54" s="370"/>
      <c r="AT54" s="370"/>
      <c r="AU54" s="370"/>
      <c r="AV54" s="370"/>
      <c r="AW54" s="370"/>
      <c r="AX54" s="370"/>
      <c r="AY54" s="371"/>
    </row>
    <row r="55" spans="1:51" s="38" customFormat="1" ht="13.5" customHeight="1">
      <c r="A55" s="75"/>
      <c r="B55" s="389"/>
      <c r="C55" s="389"/>
      <c r="D55" s="389"/>
      <c r="E55" s="389"/>
      <c r="F55" s="389"/>
      <c r="G55" s="367"/>
      <c r="H55" s="368"/>
      <c r="I55" s="731">
        <v>19</v>
      </c>
      <c r="J55" s="731"/>
      <c r="K55" s="386" t="s">
        <v>902</v>
      </c>
      <c r="L55" s="387"/>
      <c r="M55" s="387"/>
      <c r="N55" s="387"/>
      <c r="O55" s="387"/>
      <c r="P55" s="387"/>
      <c r="Q55" s="387"/>
      <c r="R55" s="387"/>
      <c r="S55" s="388"/>
      <c r="T55" s="732" t="s">
        <v>48</v>
      </c>
      <c r="U55" s="733"/>
      <c r="V55" s="733"/>
      <c r="W55" s="733"/>
      <c r="X55" s="733"/>
      <c r="Y55" s="733"/>
      <c r="Z55" s="733"/>
      <c r="AA55" s="734"/>
      <c r="AB55" s="735" t="s">
        <v>48</v>
      </c>
      <c r="AC55" s="736"/>
      <c r="AD55" s="736"/>
      <c r="AE55" s="736"/>
      <c r="AF55" s="736"/>
      <c r="AG55" s="736"/>
      <c r="AH55" s="736"/>
      <c r="AI55" s="736"/>
      <c r="AJ55" s="736"/>
      <c r="AK55" s="736"/>
      <c r="AL55" s="736"/>
      <c r="AM55" s="737"/>
      <c r="AN55" s="369"/>
      <c r="AO55" s="370"/>
      <c r="AP55" s="370"/>
      <c r="AQ55" s="370"/>
      <c r="AR55" s="370"/>
      <c r="AS55" s="370"/>
      <c r="AT55" s="370"/>
      <c r="AU55" s="370"/>
      <c r="AV55" s="370"/>
      <c r="AW55" s="370"/>
      <c r="AX55" s="370"/>
      <c r="AY55" s="371"/>
    </row>
    <row r="56" spans="1:51" s="38" customFormat="1" ht="13.5" customHeight="1">
      <c r="A56" s="75"/>
      <c r="B56" s="389"/>
      <c r="C56" s="389"/>
      <c r="D56" s="389"/>
      <c r="E56" s="389"/>
      <c r="F56" s="389"/>
      <c r="G56" s="367"/>
      <c r="H56" s="368"/>
      <c r="I56" s="731">
        <v>20</v>
      </c>
      <c r="J56" s="731"/>
      <c r="K56" s="386" t="s">
        <v>903</v>
      </c>
      <c r="L56" s="387"/>
      <c r="M56" s="387"/>
      <c r="N56" s="387"/>
      <c r="O56" s="387"/>
      <c r="P56" s="387"/>
      <c r="Q56" s="387"/>
      <c r="R56" s="387"/>
      <c r="S56" s="388"/>
      <c r="T56" s="732" t="s">
        <v>48</v>
      </c>
      <c r="U56" s="733"/>
      <c r="V56" s="733"/>
      <c r="W56" s="733"/>
      <c r="X56" s="733"/>
      <c r="Y56" s="733"/>
      <c r="Z56" s="733"/>
      <c r="AA56" s="734"/>
      <c r="AB56" s="735" t="s">
        <v>48</v>
      </c>
      <c r="AC56" s="736"/>
      <c r="AD56" s="736"/>
      <c r="AE56" s="736"/>
      <c r="AF56" s="736"/>
      <c r="AG56" s="736"/>
      <c r="AH56" s="736"/>
      <c r="AI56" s="736"/>
      <c r="AJ56" s="736"/>
      <c r="AK56" s="736"/>
      <c r="AL56" s="736"/>
      <c r="AM56" s="737"/>
      <c r="AN56" s="369"/>
      <c r="AO56" s="370"/>
      <c r="AP56" s="370"/>
      <c r="AQ56" s="370"/>
      <c r="AR56" s="370"/>
      <c r="AS56" s="370"/>
      <c r="AT56" s="370"/>
      <c r="AU56" s="370"/>
      <c r="AV56" s="370"/>
      <c r="AW56" s="370"/>
      <c r="AX56" s="370"/>
      <c r="AY56" s="371"/>
    </row>
    <row r="57" spans="1:51" s="38" customFormat="1" ht="13.5" customHeight="1">
      <c r="A57" s="75"/>
      <c r="B57" s="389"/>
      <c r="C57" s="389"/>
      <c r="D57" s="389"/>
      <c r="E57" s="389"/>
      <c r="F57" s="389"/>
      <c r="G57" s="367"/>
      <c r="H57" s="368"/>
      <c r="I57" s="731">
        <v>21</v>
      </c>
      <c r="J57" s="731"/>
      <c r="K57" s="386" t="s">
        <v>904</v>
      </c>
      <c r="L57" s="387"/>
      <c r="M57" s="387"/>
      <c r="N57" s="387"/>
      <c r="O57" s="387"/>
      <c r="P57" s="387"/>
      <c r="Q57" s="387"/>
      <c r="R57" s="387"/>
      <c r="S57" s="388"/>
      <c r="T57" s="732" t="s">
        <v>48</v>
      </c>
      <c r="U57" s="733"/>
      <c r="V57" s="733"/>
      <c r="W57" s="733"/>
      <c r="X57" s="733"/>
      <c r="Y57" s="733"/>
      <c r="Z57" s="733"/>
      <c r="AA57" s="734"/>
      <c r="AB57" s="735" t="s">
        <v>48</v>
      </c>
      <c r="AC57" s="736"/>
      <c r="AD57" s="736"/>
      <c r="AE57" s="736"/>
      <c r="AF57" s="736"/>
      <c r="AG57" s="736"/>
      <c r="AH57" s="736"/>
      <c r="AI57" s="736"/>
      <c r="AJ57" s="736"/>
      <c r="AK57" s="736"/>
      <c r="AL57" s="736"/>
      <c r="AM57" s="737"/>
      <c r="AN57" s="369"/>
      <c r="AO57" s="370"/>
      <c r="AP57" s="370"/>
      <c r="AQ57" s="370"/>
      <c r="AR57" s="370"/>
      <c r="AS57" s="370"/>
      <c r="AT57" s="370"/>
      <c r="AU57" s="370"/>
      <c r="AV57" s="370"/>
      <c r="AW57" s="370"/>
      <c r="AX57" s="370"/>
      <c r="AY57" s="371"/>
    </row>
    <row r="58" spans="1:51" s="38" customFormat="1" ht="13.5" customHeight="1">
      <c r="A58" s="75"/>
      <c r="B58" s="389"/>
      <c r="C58" s="389"/>
      <c r="D58" s="389"/>
      <c r="E58" s="389"/>
      <c r="F58" s="389"/>
      <c r="G58" s="367"/>
      <c r="H58" s="368"/>
      <c r="I58" s="731">
        <v>22</v>
      </c>
      <c r="J58" s="731"/>
      <c r="K58" s="386" t="s">
        <v>905</v>
      </c>
      <c r="L58" s="387"/>
      <c r="M58" s="387"/>
      <c r="N58" s="387"/>
      <c r="O58" s="387"/>
      <c r="P58" s="387"/>
      <c r="Q58" s="387"/>
      <c r="R58" s="387"/>
      <c r="S58" s="388"/>
      <c r="T58" s="732" t="s">
        <v>48</v>
      </c>
      <c r="U58" s="733"/>
      <c r="V58" s="733"/>
      <c r="W58" s="733"/>
      <c r="X58" s="733"/>
      <c r="Y58" s="733"/>
      <c r="Z58" s="733"/>
      <c r="AA58" s="734"/>
      <c r="AB58" s="735" t="s">
        <v>48</v>
      </c>
      <c r="AC58" s="736"/>
      <c r="AD58" s="736"/>
      <c r="AE58" s="736"/>
      <c r="AF58" s="736"/>
      <c r="AG58" s="736"/>
      <c r="AH58" s="736"/>
      <c r="AI58" s="736"/>
      <c r="AJ58" s="736"/>
      <c r="AK58" s="736"/>
      <c r="AL58" s="736"/>
      <c r="AM58" s="737"/>
      <c r="AN58" s="369"/>
      <c r="AO58" s="370"/>
      <c r="AP58" s="370"/>
      <c r="AQ58" s="370"/>
      <c r="AR58" s="370"/>
      <c r="AS58" s="370"/>
      <c r="AT58" s="370"/>
      <c r="AU58" s="370"/>
      <c r="AV58" s="370"/>
      <c r="AW58" s="370"/>
      <c r="AX58" s="370"/>
      <c r="AY58" s="371"/>
    </row>
    <row r="59" spans="1:51" s="38" customFormat="1" ht="13.5" customHeight="1">
      <c r="A59" s="75"/>
      <c r="B59" s="389"/>
      <c r="C59" s="389"/>
      <c r="D59" s="389"/>
      <c r="E59" s="389"/>
      <c r="F59" s="389"/>
      <c r="G59" s="367"/>
      <c r="H59" s="368"/>
      <c r="I59" s="731">
        <v>23</v>
      </c>
      <c r="J59" s="731"/>
      <c r="K59" s="386" t="s">
        <v>906</v>
      </c>
      <c r="L59" s="387"/>
      <c r="M59" s="387"/>
      <c r="N59" s="387"/>
      <c r="O59" s="387"/>
      <c r="P59" s="387"/>
      <c r="Q59" s="387"/>
      <c r="R59" s="387"/>
      <c r="S59" s="388"/>
      <c r="T59" s="732" t="s">
        <v>48</v>
      </c>
      <c r="U59" s="733"/>
      <c r="V59" s="733"/>
      <c r="W59" s="733"/>
      <c r="X59" s="733"/>
      <c r="Y59" s="733"/>
      <c r="Z59" s="733"/>
      <c r="AA59" s="734"/>
      <c r="AB59" s="735" t="s">
        <v>48</v>
      </c>
      <c r="AC59" s="736"/>
      <c r="AD59" s="736"/>
      <c r="AE59" s="736"/>
      <c r="AF59" s="736"/>
      <c r="AG59" s="736"/>
      <c r="AH59" s="736"/>
      <c r="AI59" s="736"/>
      <c r="AJ59" s="736"/>
      <c r="AK59" s="736"/>
      <c r="AL59" s="736"/>
      <c r="AM59" s="737"/>
      <c r="AN59" s="369"/>
      <c r="AO59" s="370"/>
      <c r="AP59" s="370"/>
      <c r="AQ59" s="370"/>
      <c r="AR59" s="370"/>
      <c r="AS59" s="370"/>
      <c r="AT59" s="370"/>
      <c r="AU59" s="370"/>
      <c r="AV59" s="370"/>
      <c r="AW59" s="370"/>
      <c r="AX59" s="370"/>
      <c r="AY59" s="371"/>
    </row>
    <row r="60" spans="1:51" s="38" customFormat="1" ht="13.5" customHeight="1">
      <c r="A60" s="75"/>
      <c r="B60" s="389"/>
      <c r="C60" s="389"/>
      <c r="D60" s="389"/>
      <c r="E60" s="389"/>
      <c r="F60" s="389"/>
      <c r="G60" s="367"/>
      <c r="H60" s="368"/>
      <c r="I60" s="731">
        <v>24</v>
      </c>
      <c r="J60" s="731"/>
      <c r="K60" s="386" t="s">
        <v>907</v>
      </c>
      <c r="L60" s="387"/>
      <c r="M60" s="387"/>
      <c r="N60" s="387"/>
      <c r="O60" s="387"/>
      <c r="P60" s="387"/>
      <c r="Q60" s="387"/>
      <c r="R60" s="387"/>
      <c r="S60" s="388"/>
      <c r="T60" s="732" t="s">
        <v>48</v>
      </c>
      <c r="U60" s="733"/>
      <c r="V60" s="733"/>
      <c r="W60" s="733"/>
      <c r="X60" s="733"/>
      <c r="Y60" s="733"/>
      <c r="Z60" s="733"/>
      <c r="AA60" s="734"/>
      <c r="AB60" s="735" t="s">
        <v>48</v>
      </c>
      <c r="AC60" s="736"/>
      <c r="AD60" s="736"/>
      <c r="AE60" s="736"/>
      <c r="AF60" s="736"/>
      <c r="AG60" s="736"/>
      <c r="AH60" s="736"/>
      <c r="AI60" s="736"/>
      <c r="AJ60" s="736"/>
      <c r="AK60" s="736"/>
      <c r="AL60" s="736"/>
      <c r="AM60" s="737"/>
      <c r="AN60" s="369"/>
      <c r="AO60" s="370"/>
      <c r="AP60" s="370"/>
      <c r="AQ60" s="370"/>
      <c r="AR60" s="370"/>
      <c r="AS60" s="370"/>
      <c r="AT60" s="370"/>
      <c r="AU60" s="370"/>
      <c r="AV60" s="370"/>
      <c r="AW60" s="370"/>
      <c r="AX60" s="370"/>
      <c r="AY60" s="371"/>
    </row>
    <row r="61" spans="1:51" s="38" customFormat="1" ht="13.5" customHeight="1">
      <c r="A61" s="75"/>
      <c r="B61" s="389"/>
      <c r="C61" s="389"/>
      <c r="D61" s="389"/>
      <c r="E61" s="389"/>
      <c r="F61" s="389"/>
      <c r="G61" s="367"/>
      <c r="H61" s="368"/>
      <c r="I61" s="731">
        <v>25</v>
      </c>
      <c r="J61" s="731"/>
      <c r="K61" s="386" t="s">
        <v>908</v>
      </c>
      <c r="L61" s="387"/>
      <c r="M61" s="387"/>
      <c r="N61" s="387"/>
      <c r="O61" s="387"/>
      <c r="P61" s="387"/>
      <c r="Q61" s="387"/>
      <c r="R61" s="387"/>
      <c r="S61" s="388"/>
      <c r="T61" s="732" t="s">
        <v>48</v>
      </c>
      <c r="U61" s="733"/>
      <c r="V61" s="733"/>
      <c r="W61" s="733"/>
      <c r="X61" s="733"/>
      <c r="Y61" s="733"/>
      <c r="Z61" s="733"/>
      <c r="AA61" s="734"/>
      <c r="AB61" s="735" t="s">
        <v>48</v>
      </c>
      <c r="AC61" s="736"/>
      <c r="AD61" s="736"/>
      <c r="AE61" s="736"/>
      <c r="AF61" s="736"/>
      <c r="AG61" s="736"/>
      <c r="AH61" s="736"/>
      <c r="AI61" s="736"/>
      <c r="AJ61" s="736"/>
      <c r="AK61" s="736"/>
      <c r="AL61" s="736"/>
      <c r="AM61" s="737"/>
      <c r="AN61" s="369"/>
      <c r="AO61" s="370"/>
      <c r="AP61" s="370"/>
      <c r="AQ61" s="370"/>
      <c r="AR61" s="370"/>
      <c r="AS61" s="370"/>
      <c r="AT61" s="370"/>
      <c r="AU61" s="370"/>
      <c r="AV61" s="370"/>
      <c r="AW61" s="370"/>
      <c r="AX61" s="370"/>
      <c r="AY61" s="371"/>
    </row>
    <row r="62" spans="1:51" s="38" customFormat="1" ht="13.5" customHeight="1">
      <c r="A62" s="75"/>
      <c r="B62" s="389"/>
      <c r="C62" s="389"/>
      <c r="D62" s="389"/>
      <c r="E62" s="389"/>
      <c r="F62" s="389"/>
      <c r="G62" s="367"/>
      <c r="H62" s="368"/>
      <c r="I62" s="731">
        <v>26</v>
      </c>
      <c r="J62" s="731"/>
      <c r="K62" s="386" t="s">
        <v>909</v>
      </c>
      <c r="L62" s="387"/>
      <c r="M62" s="387"/>
      <c r="N62" s="387"/>
      <c r="O62" s="387"/>
      <c r="P62" s="387"/>
      <c r="Q62" s="387"/>
      <c r="R62" s="387"/>
      <c r="S62" s="388"/>
      <c r="T62" s="732" t="s">
        <v>48</v>
      </c>
      <c r="U62" s="733"/>
      <c r="V62" s="733"/>
      <c r="W62" s="733"/>
      <c r="X62" s="733"/>
      <c r="Y62" s="733"/>
      <c r="Z62" s="733"/>
      <c r="AA62" s="734"/>
      <c r="AB62" s="735" t="s">
        <v>48</v>
      </c>
      <c r="AC62" s="736"/>
      <c r="AD62" s="736"/>
      <c r="AE62" s="736"/>
      <c r="AF62" s="736"/>
      <c r="AG62" s="736"/>
      <c r="AH62" s="736"/>
      <c r="AI62" s="736"/>
      <c r="AJ62" s="736"/>
      <c r="AK62" s="736"/>
      <c r="AL62" s="736"/>
      <c r="AM62" s="737"/>
      <c r="AN62" s="369"/>
      <c r="AO62" s="370"/>
      <c r="AP62" s="370"/>
      <c r="AQ62" s="370"/>
      <c r="AR62" s="370"/>
      <c r="AS62" s="370"/>
      <c r="AT62" s="370"/>
      <c r="AU62" s="370"/>
      <c r="AV62" s="370"/>
      <c r="AW62" s="370"/>
      <c r="AX62" s="370"/>
      <c r="AY62" s="371"/>
    </row>
    <row r="63" spans="1:51" s="38" customFormat="1" ht="13.5" customHeight="1">
      <c r="A63" s="75"/>
      <c r="B63" s="389"/>
      <c r="C63" s="389"/>
      <c r="D63" s="389"/>
      <c r="E63" s="389"/>
      <c r="F63" s="389"/>
      <c r="G63" s="367"/>
      <c r="H63" s="368"/>
      <c r="I63" s="731">
        <v>27</v>
      </c>
      <c r="J63" s="731"/>
      <c r="K63" s="386" t="s">
        <v>910</v>
      </c>
      <c r="L63" s="387"/>
      <c r="M63" s="387"/>
      <c r="N63" s="387"/>
      <c r="O63" s="387"/>
      <c r="P63" s="387"/>
      <c r="Q63" s="387"/>
      <c r="R63" s="387"/>
      <c r="S63" s="388"/>
      <c r="T63" s="732" t="s">
        <v>48</v>
      </c>
      <c r="U63" s="733"/>
      <c r="V63" s="733"/>
      <c r="W63" s="733"/>
      <c r="X63" s="733"/>
      <c r="Y63" s="733"/>
      <c r="Z63" s="733"/>
      <c r="AA63" s="734"/>
      <c r="AB63" s="735" t="s">
        <v>48</v>
      </c>
      <c r="AC63" s="736"/>
      <c r="AD63" s="736"/>
      <c r="AE63" s="736"/>
      <c r="AF63" s="736"/>
      <c r="AG63" s="736"/>
      <c r="AH63" s="736"/>
      <c r="AI63" s="736"/>
      <c r="AJ63" s="736"/>
      <c r="AK63" s="736"/>
      <c r="AL63" s="736"/>
      <c r="AM63" s="737"/>
      <c r="AN63" s="369"/>
      <c r="AO63" s="370"/>
      <c r="AP63" s="370"/>
      <c r="AQ63" s="370"/>
      <c r="AR63" s="370"/>
      <c r="AS63" s="370"/>
      <c r="AT63" s="370"/>
      <c r="AU63" s="370"/>
      <c r="AV63" s="370"/>
      <c r="AW63" s="370"/>
      <c r="AX63" s="370"/>
      <c r="AY63" s="371"/>
    </row>
    <row r="64" spans="1:51" s="38" customFormat="1" ht="13.5" customHeight="1">
      <c r="A64" s="75"/>
      <c r="B64" s="389"/>
      <c r="C64" s="389"/>
      <c r="D64" s="389"/>
      <c r="E64" s="389"/>
      <c r="F64" s="389"/>
      <c r="G64" s="367"/>
      <c r="H64" s="368"/>
      <c r="I64" s="731">
        <v>28</v>
      </c>
      <c r="J64" s="731"/>
      <c r="K64" s="386" t="s">
        <v>911</v>
      </c>
      <c r="L64" s="387"/>
      <c r="M64" s="387"/>
      <c r="N64" s="387"/>
      <c r="O64" s="387"/>
      <c r="P64" s="387"/>
      <c r="Q64" s="387"/>
      <c r="R64" s="387"/>
      <c r="S64" s="388"/>
      <c r="T64" s="732" t="s">
        <v>48</v>
      </c>
      <c r="U64" s="733"/>
      <c r="V64" s="733"/>
      <c r="W64" s="733"/>
      <c r="X64" s="733"/>
      <c r="Y64" s="733"/>
      <c r="Z64" s="733"/>
      <c r="AA64" s="734"/>
      <c r="AB64" s="735" t="s">
        <v>48</v>
      </c>
      <c r="AC64" s="736"/>
      <c r="AD64" s="736"/>
      <c r="AE64" s="736"/>
      <c r="AF64" s="736"/>
      <c r="AG64" s="736"/>
      <c r="AH64" s="736"/>
      <c r="AI64" s="736"/>
      <c r="AJ64" s="736"/>
      <c r="AK64" s="736"/>
      <c r="AL64" s="736"/>
      <c r="AM64" s="737"/>
      <c r="AN64" s="369"/>
      <c r="AO64" s="370"/>
      <c r="AP64" s="370"/>
      <c r="AQ64" s="370"/>
      <c r="AR64" s="370"/>
      <c r="AS64" s="370"/>
      <c r="AT64" s="370"/>
      <c r="AU64" s="370"/>
      <c r="AV64" s="370"/>
      <c r="AW64" s="370"/>
      <c r="AX64" s="370"/>
      <c r="AY64" s="371"/>
    </row>
    <row r="65" spans="1:51" s="38" customFormat="1" ht="13.5" customHeight="1">
      <c r="A65" s="75"/>
      <c r="B65" s="389"/>
      <c r="C65" s="389"/>
      <c r="D65" s="389"/>
      <c r="E65" s="389"/>
      <c r="F65" s="389"/>
      <c r="G65" s="367"/>
      <c r="H65" s="368"/>
      <c r="I65" s="731">
        <v>29</v>
      </c>
      <c r="J65" s="731"/>
      <c r="K65" s="386" t="s">
        <v>912</v>
      </c>
      <c r="L65" s="387"/>
      <c r="M65" s="387"/>
      <c r="N65" s="387"/>
      <c r="O65" s="387"/>
      <c r="P65" s="387"/>
      <c r="Q65" s="387"/>
      <c r="R65" s="387"/>
      <c r="S65" s="388"/>
      <c r="T65" s="732" t="s">
        <v>48</v>
      </c>
      <c r="U65" s="733"/>
      <c r="V65" s="733"/>
      <c r="W65" s="733"/>
      <c r="X65" s="733"/>
      <c r="Y65" s="733"/>
      <c r="Z65" s="733"/>
      <c r="AA65" s="734"/>
      <c r="AB65" s="735" t="s">
        <v>48</v>
      </c>
      <c r="AC65" s="736"/>
      <c r="AD65" s="736"/>
      <c r="AE65" s="736"/>
      <c r="AF65" s="736"/>
      <c r="AG65" s="736"/>
      <c r="AH65" s="736"/>
      <c r="AI65" s="736"/>
      <c r="AJ65" s="736"/>
      <c r="AK65" s="736"/>
      <c r="AL65" s="736"/>
      <c r="AM65" s="737"/>
      <c r="AN65" s="369"/>
      <c r="AO65" s="370"/>
      <c r="AP65" s="370"/>
      <c r="AQ65" s="370"/>
      <c r="AR65" s="370"/>
      <c r="AS65" s="370"/>
      <c r="AT65" s="370"/>
      <c r="AU65" s="370"/>
      <c r="AV65" s="370"/>
      <c r="AW65" s="370"/>
      <c r="AX65" s="370"/>
      <c r="AY65" s="371"/>
    </row>
    <row r="66" spans="1:51" s="38" customFormat="1" ht="13.5" customHeight="1">
      <c r="A66" s="75"/>
      <c r="B66" s="389"/>
      <c r="C66" s="389"/>
      <c r="D66" s="389"/>
      <c r="E66" s="389"/>
      <c r="F66" s="389"/>
      <c r="G66" s="367"/>
      <c r="H66" s="368"/>
      <c r="I66" s="731">
        <v>30</v>
      </c>
      <c r="J66" s="731"/>
      <c r="K66" s="386" t="s">
        <v>913</v>
      </c>
      <c r="L66" s="387"/>
      <c r="M66" s="387"/>
      <c r="N66" s="387"/>
      <c r="O66" s="387"/>
      <c r="P66" s="387"/>
      <c r="Q66" s="387"/>
      <c r="R66" s="387"/>
      <c r="S66" s="388"/>
      <c r="T66" s="732" t="s">
        <v>48</v>
      </c>
      <c r="U66" s="733"/>
      <c r="V66" s="733"/>
      <c r="W66" s="733"/>
      <c r="X66" s="733"/>
      <c r="Y66" s="733"/>
      <c r="Z66" s="733"/>
      <c r="AA66" s="734"/>
      <c r="AB66" s="735" t="s">
        <v>48</v>
      </c>
      <c r="AC66" s="736"/>
      <c r="AD66" s="736"/>
      <c r="AE66" s="736"/>
      <c r="AF66" s="736"/>
      <c r="AG66" s="736"/>
      <c r="AH66" s="736"/>
      <c r="AI66" s="736"/>
      <c r="AJ66" s="736"/>
      <c r="AK66" s="736"/>
      <c r="AL66" s="736"/>
      <c r="AM66" s="737"/>
      <c r="AN66" s="369"/>
      <c r="AO66" s="370"/>
      <c r="AP66" s="370"/>
      <c r="AQ66" s="370"/>
      <c r="AR66" s="370"/>
      <c r="AS66" s="370"/>
      <c r="AT66" s="370"/>
      <c r="AU66" s="370"/>
      <c r="AV66" s="370"/>
      <c r="AW66" s="370"/>
      <c r="AX66" s="370"/>
      <c r="AY66" s="371"/>
    </row>
    <row r="67" spans="1:51" s="38" customFormat="1" ht="13.5" customHeight="1">
      <c r="A67" s="75"/>
      <c r="B67" s="389"/>
      <c r="C67" s="389"/>
      <c r="D67" s="389"/>
      <c r="E67" s="389"/>
      <c r="F67" s="389"/>
      <c r="G67" s="367"/>
      <c r="H67" s="368"/>
      <c r="I67" s="731">
        <v>31</v>
      </c>
      <c r="J67" s="731"/>
      <c r="K67" s="386" t="s">
        <v>914</v>
      </c>
      <c r="L67" s="387"/>
      <c r="M67" s="387"/>
      <c r="N67" s="387"/>
      <c r="O67" s="387"/>
      <c r="P67" s="387"/>
      <c r="Q67" s="387"/>
      <c r="R67" s="387"/>
      <c r="S67" s="388"/>
      <c r="T67" s="732" t="s">
        <v>48</v>
      </c>
      <c r="U67" s="733"/>
      <c r="V67" s="733"/>
      <c r="W67" s="733"/>
      <c r="X67" s="733"/>
      <c r="Y67" s="733"/>
      <c r="Z67" s="733"/>
      <c r="AA67" s="734"/>
      <c r="AB67" s="735" t="s">
        <v>48</v>
      </c>
      <c r="AC67" s="736"/>
      <c r="AD67" s="736"/>
      <c r="AE67" s="736"/>
      <c r="AF67" s="736"/>
      <c r="AG67" s="736"/>
      <c r="AH67" s="736"/>
      <c r="AI67" s="736"/>
      <c r="AJ67" s="736"/>
      <c r="AK67" s="736"/>
      <c r="AL67" s="736"/>
      <c r="AM67" s="737"/>
      <c r="AN67" s="369"/>
      <c r="AO67" s="370"/>
      <c r="AP67" s="370"/>
      <c r="AQ67" s="370"/>
      <c r="AR67" s="370"/>
      <c r="AS67" s="370"/>
      <c r="AT67" s="370"/>
      <c r="AU67" s="370"/>
      <c r="AV67" s="370"/>
      <c r="AW67" s="370"/>
      <c r="AX67" s="370"/>
      <c r="AY67" s="371"/>
    </row>
    <row r="68" spans="1:51" s="38" customFormat="1" ht="13.5" customHeight="1">
      <c r="A68" s="75"/>
      <c r="B68" s="389"/>
      <c r="C68" s="389"/>
      <c r="D68" s="389"/>
      <c r="E68" s="389"/>
      <c r="F68" s="389"/>
      <c r="G68" s="367"/>
      <c r="H68" s="368"/>
      <c r="I68" s="731">
        <v>32</v>
      </c>
      <c r="J68" s="731"/>
      <c r="K68" s="386" t="s">
        <v>915</v>
      </c>
      <c r="L68" s="387"/>
      <c r="M68" s="387"/>
      <c r="N68" s="387"/>
      <c r="O68" s="387"/>
      <c r="P68" s="387"/>
      <c r="Q68" s="387"/>
      <c r="R68" s="387"/>
      <c r="S68" s="388"/>
      <c r="T68" s="732" t="s">
        <v>48</v>
      </c>
      <c r="U68" s="733"/>
      <c r="V68" s="733"/>
      <c r="W68" s="733"/>
      <c r="X68" s="733"/>
      <c r="Y68" s="733"/>
      <c r="Z68" s="733"/>
      <c r="AA68" s="734"/>
      <c r="AB68" s="735" t="s">
        <v>48</v>
      </c>
      <c r="AC68" s="736"/>
      <c r="AD68" s="736"/>
      <c r="AE68" s="736"/>
      <c r="AF68" s="736"/>
      <c r="AG68" s="736"/>
      <c r="AH68" s="736"/>
      <c r="AI68" s="736"/>
      <c r="AJ68" s="736"/>
      <c r="AK68" s="736"/>
      <c r="AL68" s="736"/>
      <c r="AM68" s="737"/>
      <c r="AN68" s="369"/>
      <c r="AO68" s="370"/>
      <c r="AP68" s="370"/>
      <c r="AQ68" s="370"/>
      <c r="AR68" s="370"/>
      <c r="AS68" s="370"/>
      <c r="AT68" s="370"/>
      <c r="AU68" s="370"/>
      <c r="AV68" s="370"/>
      <c r="AW68" s="370"/>
      <c r="AX68" s="370"/>
      <c r="AY68" s="371"/>
    </row>
    <row r="69" spans="1:51" s="38" customFormat="1" ht="13.5" customHeight="1">
      <c r="A69" s="75"/>
      <c r="B69" s="389"/>
      <c r="C69" s="389"/>
      <c r="D69" s="389"/>
      <c r="E69" s="389"/>
      <c r="F69" s="389"/>
      <c r="G69" s="367"/>
      <c r="H69" s="368"/>
      <c r="I69" s="731">
        <v>33</v>
      </c>
      <c r="J69" s="731"/>
      <c r="K69" s="386" t="s">
        <v>916</v>
      </c>
      <c r="L69" s="387"/>
      <c r="M69" s="387"/>
      <c r="N69" s="387"/>
      <c r="O69" s="387"/>
      <c r="P69" s="387"/>
      <c r="Q69" s="387"/>
      <c r="R69" s="387"/>
      <c r="S69" s="388"/>
      <c r="T69" s="732" t="s">
        <v>48</v>
      </c>
      <c r="U69" s="733"/>
      <c r="V69" s="733"/>
      <c r="W69" s="733"/>
      <c r="X69" s="733"/>
      <c r="Y69" s="733"/>
      <c r="Z69" s="733"/>
      <c r="AA69" s="734"/>
      <c r="AB69" s="735" t="s">
        <v>48</v>
      </c>
      <c r="AC69" s="736"/>
      <c r="AD69" s="736"/>
      <c r="AE69" s="736"/>
      <c r="AF69" s="736"/>
      <c r="AG69" s="736"/>
      <c r="AH69" s="736"/>
      <c r="AI69" s="736"/>
      <c r="AJ69" s="736"/>
      <c r="AK69" s="736"/>
      <c r="AL69" s="736"/>
      <c r="AM69" s="737"/>
      <c r="AN69" s="369"/>
      <c r="AO69" s="370"/>
      <c r="AP69" s="370"/>
      <c r="AQ69" s="370"/>
      <c r="AR69" s="370"/>
      <c r="AS69" s="370"/>
      <c r="AT69" s="370"/>
      <c r="AU69" s="370"/>
      <c r="AV69" s="370"/>
      <c r="AW69" s="370"/>
      <c r="AX69" s="370"/>
      <c r="AY69" s="371"/>
    </row>
    <row r="70" spans="1:51" s="38" customFormat="1" ht="13.5" customHeight="1">
      <c r="A70" s="75"/>
      <c r="B70" s="389"/>
      <c r="C70" s="389"/>
      <c r="D70" s="389"/>
      <c r="E70" s="389"/>
      <c r="F70" s="389"/>
      <c r="G70" s="367"/>
      <c r="H70" s="368"/>
      <c r="I70" s="731">
        <v>34</v>
      </c>
      <c r="J70" s="731"/>
      <c r="K70" s="386" t="s">
        <v>917</v>
      </c>
      <c r="L70" s="387"/>
      <c r="M70" s="387"/>
      <c r="N70" s="387"/>
      <c r="O70" s="387"/>
      <c r="P70" s="387"/>
      <c r="Q70" s="387"/>
      <c r="R70" s="387"/>
      <c r="S70" s="388"/>
      <c r="T70" s="732" t="s">
        <v>48</v>
      </c>
      <c r="U70" s="733"/>
      <c r="V70" s="733"/>
      <c r="W70" s="733"/>
      <c r="X70" s="733"/>
      <c r="Y70" s="733"/>
      <c r="Z70" s="733"/>
      <c r="AA70" s="734"/>
      <c r="AB70" s="735" t="s">
        <v>48</v>
      </c>
      <c r="AC70" s="736"/>
      <c r="AD70" s="736"/>
      <c r="AE70" s="736"/>
      <c r="AF70" s="736"/>
      <c r="AG70" s="736"/>
      <c r="AH70" s="736"/>
      <c r="AI70" s="736"/>
      <c r="AJ70" s="736"/>
      <c r="AK70" s="736"/>
      <c r="AL70" s="736"/>
      <c r="AM70" s="737"/>
      <c r="AN70" s="369"/>
      <c r="AO70" s="370"/>
      <c r="AP70" s="370"/>
      <c r="AQ70" s="370"/>
      <c r="AR70" s="370"/>
      <c r="AS70" s="370"/>
      <c r="AT70" s="370"/>
      <c r="AU70" s="370"/>
      <c r="AV70" s="370"/>
      <c r="AW70" s="370"/>
      <c r="AX70" s="370"/>
      <c r="AY70" s="371"/>
    </row>
    <row r="71" spans="1:51" s="38" customFormat="1" ht="13.5" customHeight="1">
      <c r="A71" s="75"/>
      <c r="B71" s="389"/>
      <c r="C71" s="389"/>
      <c r="D71" s="389"/>
      <c r="E71" s="389"/>
      <c r="F71" s="389"/>
      <c r="G71" s="367"/>
      <c r="H71" s="368"/>
      <c r="I71" s="731">
        <v>35</v>
      </c>
      <c r="J71" s="731"/>
      <c r="K71" s="386" t="s">
        <v>918</v>
      </c>
      <c r="L71" s="387"/>
      <c r="M71" s="387"/>
      <c r="N71" s="387"/>
      <c r="O71" s="387"/>
      <c r="P71" s="387"/>
      <c r="Q71" s="387"/>
      <c r="R71" s="387"/>
      <c r="S71" s="388"/>
      <c r="T71" s="732" t="s">
        <v>48</v>
      </c>
      <c r="U71" s="733"/>
      <c r="V71" s="733"/>
      <c r="W71" s="733"/>
      <c r="X71" s="733"/>
      <c r="Y71" s="733"/>
      <c r="Z71" s="733"/>
      <c r="AA71" s="734"/>
      <c r="AB71" s="735" t="s">
        <v>48</v>
      </c>
      <c r="AC71" s="736"/>
      <c r="AD71" s="736"/>
      <c r="AE71" s="736"/>
      <c r="AF71" s="736"/>
      <c r="AG71" s="736"/>
      <c r="AH71" s="736"/>
      <c r="AI71" s="736"/>
      <c r="AJ71" s="736"/>
      <c r="AK71" s="736"/>
      <c r="AL71" s="736"/>
      <c r="AM71" s="737"/>
      <c r="AN71" s="369"/>
      <c r="AO71" s="370"/>
      <c r="AP71" s="370"/>
      <c r="AQ71" s="370"/>
      <c r="AR71" s="370"/>
      <c r="AS71" s="370"/>
      <c r="AT71" s="370"/>
      <c r="AU71" s="370"/>
      <c r="AV71" s="370"/>
      <c r="AW71" s="370"/>
      <c r="AX71" s="370"/>
      <c r="AY71" s="371"/>
    </row>
    <row r="72" spans="1:51" s="38" customFormat="1" ht="13.5" customHeight="1">
      <c r="A72" s="75"/>
      <c r="B72" s="389"/>
      <c r="C72" s="389"/>
      <c r="D72" s="389"/>
      <c r="E72" s="389"/>
      <c r="F72" s="389"/>
      <c r="G72" s="367"/>
      <c r="H72" s="368"/>
      <c r="I72" s="731">
        <v>36</v>
      </c>
      <c r="J72" s="731"/>
      <c r="K72" s="386" t="s">
        <v>919</v>
      </c>
      <c r="L72" s="387"/>
      <c r="M72" s="387"/>
      <c r="N72" s="387"/>
      <c r="O72" s="387"/>
      <c r="P72" s="387"/>
      <c r="Q72" s="387"/>
      <c r="R72" s="387"/>
      <c r="S72" s="388"/>
      <c r="T72" s="732" t="s">
        <v>48</v>
      </c>
      <c r="U72" s="733"/>
      <c r="V72" s="733"/>
      <c r="W72" s="733"/>
      <c r="X72" s="733"/>
      <c r="Y72" s="733"/>
      <c r="Z72" s="733"/>
      <c r="AA72" s="734"/>
      <c r="AB72" s="735" t="s">
        <v>48</v>
      </c>
      <c r="AC72" s="736"/>
      <c r="AD72" s="736"/>
      <c r="AE72" s="736"/>
      <c r="AF72" s="736"/>
      <c r="AG72" s="736"/>
      <c r="AH72" s="736"/>
      <c r="AI72" s="736"/>
      <c r="AJ72" s="736"/>
      <c r="AK72" s="736"/>
      <c r="AL72" s="736"/>
      <c r="AM72" s="737"/>
      <c r="AN72" s="738" t="s">
        <v>920</v>
      </c>
      <c r="AO72" s="739"/>
      <c r="AP72" s="739"/>
      <c r="AQ72" s="739"/>
      <c r="AR72" s="739"/>
      <c r="AS72" s="739"/>
      <c r="AT72" s="739"/>
      <c r="AU72" s="739"/>
      <c r="AV72" s="739"/>
      <c r="AW72" s="739"/>
      <c r="AX72" s="739"/>
      <c r="AY72" s="740"/>
    </row>
    <row r="73" spans="1:51" s="38" customFormat="1" ht="13.5" customHeight="1">
      <c r="A73" s="75"/>
      <c r="B73" s="389"/>
      <c r="C73" s="389"/>
      <c r="D73" s="389"/>
      <c r="E73" s="389"/>
      <c r="F73" s="389"/>
      <c r="G73" s="367"/>
      <c r="H73" s="368"/>
      <c r="I73" s="731">
        <v>37</v>
      </c>
      <c r="J73" s="731"/>
      <c r="K73" s="386" t="s">
        <v>921</v>
      </c>
      <c r="L73" s="387"/>
      <c r="M73" s="387"/>
      <c r="N73" s="387"/>
      <c r="O73" s="387"/>
      <c r="P73" s="387"/>
      <c r="Q73" s="387"/>
      <c r="R73" s="387"/>
      <c r="S73" s="388"/>
      <c r="T73" s="732" t="s">
        <v>48</v>
      </c>
      <c r="U73" s="733"/>
      <c r="V73" s="733"/>
      <c r="W73" s="733"/>
      <c r="X73" s="733"/>
      <c r="Y73" s="733"/>
      <c r="Z73" s="733"/>
      <c r="AA73" s="734"/>
      <c r="AB73" s="735" t="s">
        <v>48</v>
      </c>
      <c r="AC73" s="736"/>
      <c r="AD73" s="736"/>
      <c r="AE73" s="736"/>
      <c r="AF73" s="736"/>
      <c r="AG73" s="736"/>
      <c r="AH73" s="736"/>
      <c r="AI73" s="736"/>
      <c r="AJ73" s="736"/>
      <c r="AK73" s="736"/>
      <c r="AL73" s="736"/>
      <c r="AM73" s="737"/>
      <c r="AN73" s="738" t="s">
        <v>920</v>
      </c>
      <c r="AO73" s="739"/>
      <c r="AP73" s="739"/>
      <c r="AQ73" s="739"/>
      <c r="AR73" s="739"/>
      <c r="AS73" s="739"/>
      <c r="AT73" s="739"/>
      <c r="AU73" s="739"/>
      <c r="AV73" s="739"/>
      <c r="AW73" s="739"/>
      <c r="AX73" s="739"/>
      <c r="AY73" s="740"/>
    </row>
    <row r="74" spans="1:51" s="38" customFormat="1" ht="13.5" customHeight="1">
      <c r="A74" s="75"/>
      <c r="B74" s="389"/>
      <c r="C74" s="389"/>
      <c r="D74" s="389"/>
      <c r="E74" s="389"/>
      <c r="F74" s="389"/>
      <c r="G74" s="367"/>
      <c r="H74" s="368"/>
      <c r="I74" s="731">
        <v>38</v>
      </c>
      <c r="J74" s="731"/>
      <c r="K74" s="386" t="s">
        <v>922</v>
      </c>
      <c r="L74" s="387"/>
      <c r="M74" s="387"/>
      <c r="N74" s="387"/>
      <c r="O74" s="387"/>
      <c r="P74" s="387"/>
      <c r="Q74" s="387"/>
      <c r="R74" s="387"/>
      <c r="S74" s="388"/>
      <c r="T74" s="732" t="s">
        <v>48</v>
      </c>
      <c r="U74" s="733"/>
      <c r="V74" s="733"/>
      <c r="W74" s="733"/>
      <c r="X74" s="733"/>
      <c r="Y74" s="733"/>
      <c r="Z74" s="733"/>
      <c r="AA74" s="734"/>
      <c r="AB74" s="735" t="s">
        <v>48</v>
      </c>
      <c r="AC74" s="736"/>
      <c r="AD74" s="736"/>
      <c r="AE74" s="736"/>
      <c r="AF74" s="736"/>
      <c r="AG74" s="736"/>
      <c r="AH74" s="736"/>
      <c r="AI74" s="736"/>
      <c r="AJ74" s="736"/>
      <c r="AK74" s="736"/>
      <c r="AL74" s="736"/>
      <c r="AM74" s="737"/>
      <c r="AN74" s="738" t="s">
        <v>920</v>
      </c>
      <c r="AO74" s="739"/>
      <c r="AP74" s="739"/>
      <c r="AQ74" s="739"/>
      <c r="AR74" s="739"/>
      <c r="AS74" s="739"/>
      <c r="AT74" s="739"/>
      <c r="AU74" s="739"/>
      <c r="AV74" s="739"/>
      <c r="AW74" s="739"/>
      <c r="AX74" s="739"/>
      <c r="AY74" s="740"/>
    </row>
    <row r="75" spans="1:51" s="38" customFormat="1" ht="13.5" customHeight="1">
      <c r="A75" s="75"/>
      <c r="B75" s="389"/>
      <c r="C75" s="389"/>
      <c r="D75" s="389"/>
      <c r="E75" s="389"/>
      <c r="F75" s="389"/>
      <c r="G75" s="367"/>
      <c r="H75" s="368"/>
      <c r="I75" s="731">
        <v>39</v>
      </c>
      <c r="J75" s="731"/>
      <c r="K75" s="386" t="s">
        <v>923</v>
      </c>
      <c r="L75" s="387"/>
      <c r="M75" s="387"/>
      <c r="N75" s="387"/>
      <c r="O75" s="387"/>
      <c r="P75" s="387"/>
      <c r="Q75" s="387"/>
      <c r="R75" s="387"/>
      <c r="S75" s="388"/>
      <c r="T75" s="732" t="s">
        <v>48</v>
      </c>
      <c r="U75" s="733"/>
      <c r="V75" s="733"/>
      <c r="W75" s="733"/>
      <c r="X75" s="733"/>
      <c r="Y75" s="733"/>
      <c r="Z75" s="733"/>
      <c r="AA75" s="734"/>
      <c r="AB75" s="735" t="s">
        <v>48</v>
      </c>
      <c r="AC75" s="736"/>
      <c r="AD75" s="736"/>
      <c r="AE75" s="736"/>
      <c r="AF75" s="736"/>
      <c r="AG75" s="736"/>
      <c r="AH75" s="736"/>
      <c r="AI75" s="736"/>
      <c r="AJ75" s="736"/>
      <c r="AK75" s="736"/>
      <c r="AL75" s="736"/>
      <c r="AM75" s="737"/>
      <c r="AN75" s="738" t="s">
        <v>920</v>
      </c>
      <c r="AO75" s="739"/>
      <c r="AP75" s="739"/>
      <c r="AQ75" s="739"/>
      <c r="AR75" s="739"/>
      <c r="AS75" s="739"/>
      <c r="AT75" s="739"/>
      <c r="AU75" s="739"/>
      <c r="AV75" s="739"/>
      <c r="AW75" s="739"/>
      <c r="AX75" s="739"/>
      <c r="AY75" s="740"/>
    </row>
    <row r="76" spans="1:51" s="38" customFormat="1" ht="13.5" customHeight="1">
      <c r="A76" s="75"/>
      <c r="B76" s="389"/>
      <c r="C76" s="389"/>
      <c r="D76" s="389"/>
      <c r="E76" s="389"/>
      <c r="F76" s="389"/>
      <c r="G76" s="367"/>
      <c r="H76" s="368"/>
      <c r="I76" s="731">
        <v>40</v>
      </c>
      <c r="J76" s="731"/>
      <c r="K76" s="386" t="s">
        <v>924</v>
      </c>
      <c r="L76" s="387"/>
      <c r="M76" s="387"/>
      <c r="N76" s="387"/>
      <c r="O76" s="387"/>
      <c r="P76" s="387"/>
      <c r="Q76" s="387"/>
      <c r="R76" s="387"/>
      <c r="S76" s="388"/>
      <c r="T76" s="732" t="s">
        <v>48</v>
      </c>
      <c r="U76" s="733"/>
      <c r="V76" s="733"/>
      <c r="W76" s="733"/>
      <c r="X76" s="733"/>
      <c r="Y76" s="733"/>
      <c r="Z76" s="733"/>
      <c r="AA76" s="734"/>
      <c r="AB76" s="735" t="s">
        <v>48</v>
      </c>
      <c r="AC76" s="736"/>
      <c r="AD76" s="736"/>
      <c r="AE76" s="736"/>
      <c r="AF76" s="736"/>
      <c r="AG76" s="736"/>
      <c r="AH76" s="736"/>
      <c r="AI76" s="736"/>
      <c r="AJ76" s="736"/>
      <c r="AK76" s="736"/>
      <c r="AL76" s="736"/>
      <c r="AM76" s="737"/>
      <c r="AN76" s="738" t="s">
        <v>920</v>
      </c>
      <c r="AO76" s="739"/>
      <c r="AP76" s="739"/>
      <c r="AQ76" s="739"/>
      <c r="AR76" s="739"/>
      <c r="AS76" s="739"/>
      <c r="AT76" s="739"/>
      <c r="AU76" s="739"/>
      <c r="AV76" s="739"/>
      <c r="AW76" s="739"/>
      <c r="AX76" s="739"/>
      <c r="AY76" s="740"/>
    </row>
    <row r="77" spans="1:51" s="38" customFormat="1" ht="13.5" customHeight="1">
      <c r="A77" s="75"/>
      <c r="B77" s="389"/>
      <c r="C77" s="389"/>
      <c r="D77" s="389"/>
      <c r="E77" s="389"/>
      <c r="F77" s="389"/>
      <c r="G77" s="367"/>
      <c r="H77" s="368"/>
      <c r="I77" s="731">
        <v>41</v>
      </c>
      <c r="J77" s="731"/>
      <c r="K77" s="386" t="s">
        <v>925</v>
      </c>
      <c r="L77" s="387"/>
      <c r="M77" s="387"/>
      <c r="N77" s="387"/>
      <c r="O77" s="387"/>
      <c r="P77" s="387"/>
      <c r="Q77" s="387"/>
      <c r="R77" s="387"/>
      <c r="S77" s="388"/>
      <c r="T77" s="732" t="s">
        <v>48</v>
      </c>
      <c r="U77" s="733"/>
      <c r="V77" s="733"/>
      <c r="W77" s="733"/>
      <c r="X77" s="733"/>
      <c r="Y77" s="733"/>
      <c r="Z77" s="733"/>
      <c r="AA77" s="734"/>
      <c r="AB77" s="735" t="s">
        <v>48</v>
      </c>
      <c r="AC77" s="736"/>
      <c r="AD77" s="736"/>
      <c r="AE77" s="736"/>
      <c r="AF77" s="736"/>
      <c r="AG77" s="736"/>
      <c r="AH77" s="736"/>
      <c r="AI77" s="736"/>
      <c r="AJ77" s="736"/>
      <c r="AK77" s="736"/>
      <c r="AL77" s="736"/>
      <c r="AM77" s="737"/>
      <c r="AN77" s="738" t="s">
        <v>920</v>
      </c>
      <c r="AO77" s="739"/>
      <c r="AP77" s="739"/>
      <c r="AQ77" s="739"/>
      <c r="AR77" s="739"/>
      <c r="AS77" s="739"/>
      <c r="AT77" s="739"/>
      <c r="AU77" s="739"/>
      <c r="AV77" s="739"/>
      <c r="AW77" s="739"/>
      <c r="AX77" s="739"/>
      <c r="AY77" s="740"/>
    </row>
    <row r="78" spans="1:51" s="38" customFormat="1" ht="13.5" customHeight="1">
      <c r="A78" s="75"/>
      <c r="B78" s="389"/>
      <c r="C78" s="389"/>
      <c r="D78" s="389"/>
      <c r="E78" s="389"/>
      <c r="F78" s="389"/>
      <c r="G78" s="367"/>
      <c r="H78" s="368"/>
      <c r="I78" s="731">
        <v>42</v>
      </c>
      <c r="J78" s="731"/>
      <c r="K78" s="386" t="s">
        <v>926</v>
      </c>
      <c r="L78" s="387"/>
      <c r="M78" s="387"/>
      <c r="N78" s="387"/>
      <c r="O78" s="387"/>
      <c r="P78" s="387"/>
      <c r="Q78" s="387"/>
      <c r="R78" s="387"/>
      <c r="S78" s="388"/>
      <c r="T78" s="732" t="s">
        <v>48</v>
      </c>
      <c r="U78" s="733"/>
      <c r="V78" s="733"/>
      <c r="W78" s="733"/>
      <c r="X78" s="733"/>
      <c r="Y78" s="733"/>
      <c r="Z78" s="733"/>
      <c r="AA78" s="734"/>
      <c r="AB78" s="735" t="s">
        <v>48</v>
      </c>
      <c r="AC78" s="736"/>
      <c r="AD78" s="736"/>
      <c r="AE78" s="736"/>
      <c r="AF78" s="736"/>
      <c r="AG78" s="736"/>
      <c r="AH78" s="736"/>
      <c r="AI78" s="736"/>
      <c r="AJ78" s="736"/>
      <c r="AK78" s="736"/>
      <c r="AL78" s="736"/>
      <c r="AM78" s="737"/>
      <c r="AN78" s="738" t="s">
        <v>920</v>
      </c>
      <c r="AO78" s="739"/>
      <c r="AP78" s="739"/>
      <c r="AQ78" s="739"/>
      <c r="AR78" s="739"/>
      <c r="AS78" s="739"/>
      <c r="AT78" s="739"/>
      <c r="AU78" s="739"/>
      <c r="AV78" s="739"/>
      <c r="AW78" s="739"/>
      <c r="AX78" s="739"/>
      <c r="AY78" s="740"/>
    </row>
    <row r="79" spans="1:51" s="38" customFormat="1" ht="13.5" customHeight="1">
      <c r="A79" s="75"/>
      <c r="B79" s="389"/>
      <c r="C79" s="389"/>
      <c r="D79" s="389"/>
      <c r="E79" s="389"/>
      <c r="F79" s="389"/>
      <c r="G79" s="367"/>
      <c r="H79" s="368"/>
      <c r="I79" s="731">
        <v>43</v>
      </c>
      <c r="J79" s="731"/>
      <c r="K79" s="386" t="s">
        <v>927</v>
      </c>
      <c r="L79" s="387"/>
      <c r="M79" s="387"/>
      <c r="N79" s="387"/>
      <c r="O79" s="387"/>
      <c r="P79" s="387"/>
      <c r="Q79" s="387"/>
      <c r="R79" s="387"/>
      <c r="S79" s="388"/>
      <c r="T79" s="732" t="s">
        <v>48</v>
      </c>
      <c r="U79" s="733"/>
      <c r="V79" s="733"/>
      <c r="W79" s="733"/>
      <c r="X79" s="733"/>
      <c r="Y79" s="733"/>
      <c r="Z79" s="733"/>
      <c r="AA79" s="734"/>
      <c r="AB79" s="735" t="s">
        <v>48</v>
      </c>
      <c r="AC79" s="736"/>
      <c r="AD79" s="736"/>
      <c r="AE79" s="736"/>
      <c r="AF79" s="736"/>
      <c r="AG79" s="736"/>
      <c r="AH79" s="736"/>
      <c r="AI79" s="736"/>
      <c r="AJ79" s="736"/>
      <c r="AK79" s="736"/>
      <c r="AL79" s="736"/>
      <c r="AM79" s="737"/>
      <c r="AN79" s="738" t="s">
        <v>920</v>
      </c>
      <c r="AO79" s="739"/>
      <c r="AP79" s="739"/>
      <c r="AQ79" s="739"/>
      <c r="AR79" s="739"/>
      <c r="AS79" s="739"/>
      <c r="AT79" s="739"/>
      <c r="AU79" s="739"/>
      <c r="AV79" s="739"/>
      <c r="AW79" s="739"/>
      <c r="AX79" s="739"/>
      <c r="AY79" s="740"/>
    </row>
    <row r="80" spans="1:51" s="38" customFormat="1" ht="13.5" customHeight="1">
      <c r="A80" s="75"/>
      <c r="B80" s="389"/>
      <c r="C80" s="389"/>
      <c r="D80" s="389"/>
      <c r="E80" s="389"/>
      <c r="F80" s="389"/>
      <c r="G80" s="367"/>
      <c r="H80" s="368"/>
      <c r="I80" s="731">
        <v>44</v>
      </c>
      <c r="J80" s="731"/>
      <c r="K80" s="386" t="s">
        <v>928</v>
      </c>
      <c r="L80" s="387"/>
      <c r="M80" s="387"/>
      <c r="N80" s="387"/>
      <c r="O80" s="387"/>
      <c r="P80" s="387"/>
      <c r="Q80" s="387"/>
      <c r="R80" s="387"/>
      <c r="S80" s="388"/>
      <c r="T80" s="732" t="s">
        <v>48</v>
      </c>
      <c r="U80" s="733"/>
      <c r="V80" s="733"/>
      <c r="W80" s="733"/>
      <c r="X80" s="733"/>
      <c r="Y80" s="733"/>
      <c r="Z80" s="733"/>
      <c r="AA80" s="734"/>
      <c r="AB80" s="735" t="s">
        <v>48</v>
      </c>
      <c r="AC80" s="736"/>
      <c r="AD80" s="736"/>
      <c r="AE80" s="736"/>
      <c r="AF80" s="736"/>
      <c r="AG80" s="736"/>
      <c r="AH80" s="736"/>
      <c r="AI80" s="736"/>
      <c r="AJ80" s="736"/>
      <c r="AK80" s="736"/>
      <c r="AL80" s="736"/>
      <c r="AM80" s="737"/>
      <c r="AN80" s="738" t="s">
        <v>920</v>
      </c>
      <c r="AO80" s="739"/>
      <c r="AP80" s="739"/>
      <c r="AQ80" s="739"/>
      <c r="AR80" s="739"/>
      <c r="AS80" s="739"/>
      <c r="AT80" s="739"/>
      <c r="AU80" s="739"/>
      <c r="AV80" s="739"/>
      <c r="AW80" s="739"/>
      <c r="AX80" s="739"/>
      <c r="AY80" s="740"/>
    </row>
    <row r="81" spans="1:53" s="38" customFormat="1" ht="13.5" customHeight="1">
      <c r="A81" s="75"/>
      <c r="B81" s="389"/>
      <c r="C81" s="389"/>
      <c r="D81" s="389"/>
      <c r="E81" s="389"/>
      <c r="F81" s="389"/>
      <c r="G81" s="367"/>
      <c r="H81" s="368"/>
      <c r="I81" s="731">
        <v>45</v>
      </c>
      <c r="J81" s="731"/>
      <c r="K81" s="386" t="s">
        <v>929</v>
      </c>
      <c r="L81" s="387"/>
      <c r="M81" s="387"/>
      <c r="N81" s="387"/>
      <c r="O81" s="387"/>
      <c r="P81" s="387"/>
      <c r="Q81" s="387"/>
      <c r="R81" s="387"/>
      <c r="S81" s="388"/>
      <c r="T81" s="732" t="s">
        <v>48</v>
      </c>
      <c r="U81" s="733"/>
      <c r="V81" s="733"/>
      <c r="W81" s="733"/>
      <c r="X81" s="733"/>
      <c r="Y81" s="733"/>
      <c r="Z81" s="733"/>
      <c r="AA81" s="734"/>
      <c r="AB81" s="735" t="s">
        <v>48</v>
      </c>
      <c r="AC81" s="736"/>
      <c r="AD81" s="736"/>
      <c r="AE81" s="736"/>
      <c r="AF81" s="736"/>
      <c r="AG81" s="736"/>
      <c r="AH81" s="736"/>
      <c r="AI81" s="736"/>
      <c r="AJ81" s="736"/>
      <c r="AK81" s="736"/>
      <c r="AL81" s="736"/>
      <c r="AM81" s="737"/>
      <c r="AN81" s="738" t="s">
        <v>920</v>
      </c>
      <c r="AO81" s="739"/>
      <c r="AP81" s="739"/>
      <c r="AQ81" s="739"/>
      <c r="AR81" s="739"/>
      <c r="AS81" s="739"/>
      <c r="AT81" s="739"/>
      <c r="AU81" s="739"/>
      <c r="AV81" s="739"/>
      <c r="AW81" s="739"/>
      <c r="AX81" s="739"/>
      <c r="AY81" s="740"/>
    </row>
    <row r="82" spans="1:53" s="38" customFormat="1" ht="13.5" customHeight="1">
      <c r="A82" s="75"/>
      <c r="B82" s="389"/>
      <c r="C82" s="389"/>
      <c r="D82" s="389"/>
      <c r="E82" s="389"/>
      <c r="F82" s="389"/>
      <c r="G82" s="367"/>
      <c r="H82" s="368"/>
      <c r="I82" s="731">
        <v>46</v>
      </c>
      <c r="J82" s="731"/>
      <c r="K82" s="386" t="s">
        <v>930</v>
      </c>
      <c r="L82" s="387"/>
      <c r="M82" s="387"/>
      <c r="N82" s="387"/>
      <c r="O82" s="387"/>
      <c r="P82" s="387"/>
      <c r="Q82" s="387"/>
      <c r="R82" s="387"/>
      <c r="S82" s="388"/>
      <c r="T82" s="732" t="s">
        <v>48</v>
      </c>
      <c r="U82" s="733"/>
      <c r="V82" s="733"/>
      <c r="W82" s="733"/>
      <c r="X82" s="733"/>
      <c r="Y82" s="733"/>
      <c r="Z82" s="733"/>
      <c r="AA82" s="734"/>
      <c r="AB82" s="735" t="s">
        <v>48</v>
      </c>
      <c r="AC82" s="736"/>
      <c r="AD82" s="736"/>
      <c r="AE82" s="736"/>
      <c r="AF82" s="736"/>
      <c r="AG82" s="736"/>
      <c r="AH82" s="736"/>
      <c r="AI82" s="736"/>
      <c r="AJ82" s="736"/>
      <c r="AK82" s="736"/>
      <c r="AL82" s="736"/>
      <c r="AM82" s="737"/>
      <c r="AN82" s="738" t="s">
        <v>931</v>
      </c>
      <c r="AO82" s="739"/>
      <c r="AP82" s="739"/>
      <c r="AQ82" s="739"/>
      <c r="AR82" s="739"/>
      <c r="AS82" s="739"/>
      <c r="AT82" s="739"/>
      <c r="AU82" s="739"/>
      <c r="AV82" s="739"/>
      <c r="AW82" s="739"/>
      <c r="AX82" s="739"/>
      <c r="AY82" s="740"/>
    </row>
    <row r="83" spans="1:53" s="38" customFormat="1" ht="13.5" customHeight="1">
      <c r="A83" s="75"/>
      <c r="B83" s="389"/>
      <c r="C83" s="389"/>
      <c r="D83" s="389"/>
      <c r="E83" s="389"/>
      <c r="F83" s="389"/>
      <c r="G83" s="367"/>
      <c r="H83" s="368"/>
      <c r="I83" s="731">
        <v>47</v>
      </c>
      <c r="J83" s="731"/>
      <c r="K83" s="386" t="s">
        <v>932</v>
      </c>
      <c r="L83" s="387"/>
      <c r="M83" s="387"/>
      <c r="N83" s="387"/>
      <c r="O83" s="387"/>
      <c r="P83" s="387"/>
      <c r="Q83" s="387"/>
      <c r="R83" s="387"/>
      <c r="S83" s="388"/>
      <c r="T83" s="732" t="s">
        <v>48</v>
      </c>
      <c r="U83" s="733"/>
      <c r="V83" s="733"/>
      <c r="W83" s="733"/>
      <c r="X83" s="733"/>
      <c r="Y83" s="733"/>
      <c r="Z83" s="733"/>
      <c r="AA83" s="734"/>
      <c r="AB83" s="735" t="s">
        <v>48</v>
      </c>
      <c r="AC83" s="736"/>
      <c r="AD83" s="736"/>
      <c r="AE83" s="736"/>
      <c r="AF83" s="736"/>
      <c r="AG83" s="736"/>
      <c r="AH83" s="736"/>
      <c r="AI83" s="736"/>
      <c r="AJ83" s="736"/>
      <c r="AK83" s="736"/>
      <c r="AL83" s="736"/>
      <c r="AM83" s="737"/>
      <c r="AN83" s="738" t="s">
        <v>933</v>
      </c>
      <c r="AO83" s="739"/>
      <c r="AP83" s="739"/>
      <c r="AQ83" s="739"/>
      <c r="AR83" s="739"/>
      <c r="AS83" s="739"/>
      <c r="AT83" s="739"/>
      <c r="AU83" s="739"/>
      <c r="AV83" s="739"/>
      <c r="AW83" s="739"/>
      <c r="AX83" s="739"/>
      <c r="AY83" s="740"/>
    </row>
    <row r="84" spans="1:53" s="38" customFormat="1" ht="13.5" customHeight="1">
      <c r="A84" s="75"/>
      <c r="B84" s="389"/>
      <c r="C84" s="389"/>
      <c r="D84" s="389"/>
      <c r="E84" s="389"/>
      <c r="F84" s="389"/>
      <c r="G84" s="367"/>
      <c r="H84" s="368"/>
      <c r="I84" s="731">
        <v>48</v>
      </c>
      <c r="J84" s="731"/>
      <c r="K84" s="386" t="s">
        <v>934</v>
      </c>
      <c r="L84" s="387"/>
      <c r="M84" s="387"/>
      <c r="N84" s="387"/>
      <c r="O84" s="387"/>
      <c r="P84" s="387"/>
      <c r="Q84" s="387"/>
      <c r="R84" s="387"/>
      <c r="S84" s="388"/>
      <c r="T84" s="732" t="s">
        <v>48</v>
      </c>
      <c r="U84" s="733"/>
      <c r="V84" s="733"/>
      <c r="W84" s="733"/>
      <c r="X84" s="733"/>
      <c r="Y84" s="733"/>
      <c r="Z84" s="733"/>
      <c r="AA84" s="734"/>
      <c r="AB84" s="735" t="s">
        <v>48</v>
      </c>
      <c r="AC84" s="736"/>
      <c r="AD84" s="736"/>
      <c r="AE84" s="736"/>
      <c r="AF84" s="736"/>
      <c r="AG84" s="736"/>
      <c r="AH84" s="736"/>
      <c r="AI84" s="736"/>
      <c r="AJ84" s="736"/>
      <c r="AK84" s="736"/>
      <c r="AL84" s="736"/>
      <c r="AM84" s="737"/>
      <c r="AN84" s="738" t="s">
        <v>935</v>
      </c>
      <c r="AO84" s="739"/>
      <c r="AP84" s="739"/>
      <c r="AQ84" s="739"/>
      <c r="AR84" s="739"/>
      <c r="AS84" s="739"/>
      <c r="AT84" s="739"/>
      <c r="AU84" s="739"/>
      <c r="AV84" s="739"/>
      <c r="AW84" s="739"/>
      <c r="AX84" s="739"/>
      <c r="AY84" s="740"/>
    </row>
    <row r="85" spans="1:53" s="38" customFormat="1" ht="13.5" customHeight="1">
      <c r="A85" s="75"/>
      <c r="B85" s="389"/>
      <c r="C85" s="389"/>
      <c r="D85" s="389"/>
      <c r="E85" s="389"/>
      <c r="F85" s="389"/>
      <c r="G85" s="367"/>
      <c r="H85" s="368"/>
      <c r="I85" s="731">
        <v>49</v>
      </c>
      <c r="J85" s="731"/>
      <c r="K85" s="386" t="s">
        <v>936</v>
      </c>
      <c r="L85" s="387"/>
      <c r="M85" s="387"/>
      <c r="N85" s="387"/>
      <c r="O85" s="387"/>
      <c r="P85" s="387"/>
      <c r="Q85" s="387"/>
      <c r="R85" s="387"/>
      <c r="S85" s="388"/>
      <c r="T85" s="732" t="s">
        <v>48</v>
      </c>
      <c r="U85" s="733"/>
      <c r="V85" s="733"/>
      <c r="W85" s="733"/>
      <c r="X85" s="733"/>
      <c r="Y85" s="733"/>
      <c r="Z85" s="733"/>
      <c r="AA85" s="734"/>
      <c r="AB85" s="735" t="s">
        <v>48</v>
      </c>
      <c r="AC85" s="736"/>
      <c r="AD85" s="736"/>
      <c r="AE85" s="736"/>
      <c r="AF85" s="736"/>
      <c r="AG85" s="736"/>
      <c r="AH85" s="736"/>
      <c r="AI85" s="736"/>
      <c r="AJ85" s="736"/>
      <c r="AK85" s="736"/>
      <c r="AL85" s="736"/>
      <c r="AM85" s="737"/>
      <c r="AN85" s="738" t="s">
        <v>937</v>
      </c>
      <c r="AO85" s="739"/>
      <c r="AP85" s="739"/>
      <c r="AQ85" s="739"/>
      <c r="AR85" s="739"/>
      <c r="AS85" s="739"/>
      <c r="AT85" s="739"/>
      <c r="AU85" s="739"/>
      <c r="AV85" s="739"/>
      <c r="AW85" s="739"/>
      <c r="AX85" s="739"/>
      <c r="AY85" s="740"/>
    </row>
    <row r="86" spans="1:53" s="38" customFormat="1" ht="13.5" customHeight="1">
      <c r="A86" s="75"/>
      <c r="B86" s="389"/>
      <c r="C86" s="389"/>
      <c r="D86" s="389"/>
      <c r="E86" s="389"/>
      <c r="F86" s="389"/>
      <c r="G86" s="367"/>
      <c r="H86" s="368"/>
      <c r="I86" s="731">
        <v>50</v>
      </c>
      <c r="J86" s="731"/>
      <c r="K86" s="386" t="s">
        <v>938</v>
      </c>
      <c r="L86" s="387"/>
      <c r="M86" s="387"/>
      <c r="N86" s="387"/>
      <c r="O86" s="387"/>
      <c r="P86" s="387"/>
      <c r="Q86" s="387"/>
      <c r="R86" s="387"/>
      <c r="S86" s="388"/>
      <c r="T86" s="732" t="s">
        <v>48</v>
      </c>
      <c r="U86" s="733"/>
      <c r="V86" s="733"/>
      <c r="W86" s="733"/>
      <c r="X86" s="733"/>
      <c r="Y86" s="733"/>
      <c r="Z86" s="733"/>
      <c r="AA86" s="734"/>
      <c r="AB86" s="735" t="s">
        <v>48</v>
      </c>
      <c r="AC86" s="736"/>
      <c r="AD86" s="736"/>
      <c r="AE86" s="736"/>
      <c r="AF86" s="736"/>
      <c r="AG86" s="736"/>
      <c r="AH86" s="736"/>
      <c r="AI86" s="736"/>
      <c r="AJ86" s="736"/>
      <c r="AK86" s="736"/>
      <c r="AL86" s="736"/>
      <c r="AM86" s="737"/>
      <c r="AN86" s="738"/>
      <c r="AO86" s="739"/>
      <c r="AP86" s="739"/>
      <c r="AQ86" s="739"/>
      <c r="AR86" s="739"/>
      <c r="AS86" s="739"/>
      <c r="AT86" s="739"/>
      <c r="AU86" s="739"/>
      <c r="AV86" s="739"/>
      <c r="AW86" s="739"/>
      <c r="AX86" s="739"/>
      <c r="AY86" s="740"/>
    </row>
    <row r="87" spans="1:53" s="38" customFormat="1" ht="132" customHeight="1">
      <c r="A87" s="75"/>
      <c r="B87" s="389"/>
      <c r="C87" s="389"/>
      <c r="D87" s="389"/>
      <c r="E87" s="389"/>
      <c r="F87" s="389"/>
      <c r="G87" s="367"/>
      <c r="H87" s="368"/>
      <c r="I87" s="731">
        <v>51</v>
      </c>
      <c r="J87" s="731"/>
      <c r="K87" s="386" t="s">
        <v>939</v>
      </c>
      <c r="L87" s="387"/>
      <c r="M87" s="387"/>
      <c r="N87" s="387"/>
      <c r="O87" s="387"/>
      <c r="P87" s="387"/>
      <c r="Q87" s="387"/>
      <c r="R87" s="387"/>
      <c r="S87" s="388"/>
      <c r="T87" s="732" t="s">
        <v>48</v>
      </c>
      <c r="U87" s="733"/>
      <c r="V87" s="733"/>
      <c r="W87" s="733"/>
      <c r="X87" s="733"/>
      <c r="Y87" s="733"/>
      <c r="Z87" s="733"/>
      <c r="AA87" s="734"/>
      <c r="AB87" s="735" t="s">
        <v>48</v>
      </c>
      <c r="AC87" s="736"/>
      <c r="AD87" s="736"/>
      <c r="AE87" s="736"/>
      <c r="AF87" s="736"/>
      <c r="AG87" s="736"/>
      <c r="AH87" s="736"/>
      <c r="AI87" s="736"/>
      <c r="AJ87" s="736"/>
      <c r="AK87" s="736"/>
      <c r="AL87" s="736"/>
      <c r="AM87" s="737"/>
      <c r="AN87" s="738" t="s">
        <v>1072</v>
      </c>
      <c r="AO87" s="739"/>
      <c r="AP87" s="739"/>
      <c r="AQ87" s="739"/>
      <c r="AR87" s="739"/>
      <c r="AS87" s="739"/>
      <c r="AT87" s="739"/>
      <c r="AU87" s="739"/>
      <c r="AV87" s="739"/>
      <c r="AW87" s="739"/>
      <c r="AX87" s="739"/>
      <c r="AY87" s="740"/>
      <c r="BA87" s="421" t="s">
        <v>1071</v>
      </c>
    </row>
    <row r="88" spans="1:53" s="38" customFormat="1" ht="13.5" customHeight="1">
      <c r="A88" s="75"/>
      <c r="B88" s="389"/>
      <c r="C88" s="389"/>
      <c r="D88" s="389"/>
      <c r="E88" s="389"/>
      <c r="F88" s="389"/>
      <c r="G88" s="367"/>
      <c r="H88" s="368"/>
      <c r="I88" s="731">
        <v>52</v>
      </c>
      <c r="J88" s="731"/>
      <c r="K88" s="386" t="s">
        <v>940</v>
      </c>
      <c r="L88" s="387"/>
      <c r="M88" s="387"/>
      <c r="N88" s="387"/>
      <c r="O88" s="387"/>
      <c r="P88" s="387"/>
      <c r="Q88" s="387"/>
      <c r="R88" s="387"/>
      <c r="S88" s="388"/>
      <c r="T88" s="732" t="s">
        <v>48</v>
      </c>
      <c r="U88" s="733"/>
      <c r="V88" s="733"/>
      <c r="W88" s="733"/>
      <c r="X88" s="733"/>
      <c r="Y88" s="733"/>
      <c r="Z88" s="733"/>
      <c r="AA88" s="734"/>
      <c r="AB88" s="735" t="s">
        <v>48</v>
      </c>
      <c r="AC88" s="736"/>
      <c r="AD88" s="736"/>
      <c r="AE88" s="736"/>
      <c r="AF88" s="736"/>
      <c r="AG88" s="736"/>
      <c r="AH88" s="736"/>
      <c r="AI88" s="736"/>
      <c r="AJ88" s="736"/>
      <c r="AK88" s="736"/>
      <c r="AL88" s="736"/>
      <c r="AM88" s="737"/>
      <c r="AN88" s="738" t="s">
        <v>920</v>
      </c>
      <c r="AO88" s="739"/>
      <c r="AP88" s="739"/>
      <c r="AQ88" s="739"/>
      <c r="AR88" s="739"/>
      <c r="AS88" s="739"/>
      <c r="AT88" s="739"/>
      <c r="AU88" s="739"/>
      <c r="AV88" s="739"/>
      <c r="AW88" s="739"/>
      <c r="AX88" s="739"/>
      <c r="AY88" s="740"/>
    </row>
    <row r="89" spans="1:53" s="38" customFormat="1" ht="13.5" customHeight="1">
      <c r="A89" s="75"/>
      <c r="B89" s="389"/>
      <c r="C89" s="389"/>
      <c r="D89" s="389"/>
      <c r="E89" s="389"/>
      <c r="F89" s="389"/>
      <c r="G89" s="367"/>
      <c r="H89" s="368"/>
      <c r="I89" s="731">
        <v>53</v>
      </c>
      <c r="J89" s="731"/>
      <c r="K89" s="386" t="s">
        <v>941</v>
      </c>
      <c r="L89" s="387"/>
      <c r="M89" s="387"/>
      <c r="N89" s="387"/>
      <c r="O89" s="387"/>
      <c r="P89" s="387"/>
      <c r="Q89" s="387"/>
      <c r="R89" s="387"/>
      <c r="S89" s="388"/>
      <c r="T89" s="732" t="s">
        <v>48</v>
      </c>
      <c r="U89" s="733"/>
      <c r="V89" s="733"/>
      <c r="W89" s="733"/>
      <c r="X89" s="733"/>
      <c r="Y89" s="733"/>
      <c r="Z89" s="733"/>
      <c r="AA89" s="734"/>
      <c r="AB89" s="735" t="s">
        <v>48</v>
      </c>
      <c r="AC89" s="736"/>
      <c r="AD89" s="736"/>
      <c r="AE89" s="736"/>
      <c r="AF89" s="736"/>
      <c r="AG89" s="736"/>
      <c r="AH89" s="736"/>
      <c r="AI89" s="736"/>
      <c r="AJ89" s="736"/>
      <c r="AK89" s="736"/>
      <c r="AL89" s="736"/>
      <c r="AM89" s="737"/>
      <c r="AN89" s="738" t="s">
        <v>942</v>
      </c>
      <c r="AO89" s="739"/>
      <c r="AP89" s="739"/>
      <c r="AQ89" s="739"/>
      <c r="AR89" s="739"/>
      <c r="AS89" s="739"/>
      <c r="AT89" s="739"/>
      <c r="AU89" s="739"/>
      <c r="AV89" s="739"/>
      <c r="AW89" s="739"/>
      <c r="AX89" s="739"/>
      <c r="AY89" s="740"/>
    </row>
    <row r="90" spans="1:53" s="38" customFormat="1" ht="13.5" customHeight="1">
      <c r="A90" s="75"/>
      <c r="B90" s="389"/>
      <c r="C90" s="389"/>
      <c r="D90" s="389"/>
      <c r="E90" s="389"/>
      <c r="F90" s="389"/>
      <c r="G90" s="367"/>
      <c r="H90" s="368"/>
      <c r="I90" s="731">
        <v>54</v>
      </c>
      <c r="J90" s="731"/>
      <c r="K90" s="386" t="s">
        <v>943</v>
      </c>
      <c r="L90" s="387"/>
      <c r="M90" s="387"/>
      <c r="N90" s="387"/>
      <c r="O90" s="387"/>
      <c r="P90" s="387"/>
      <c r="Q90" s="387"/>
      <c r="R90" s="387"/>
      <c r="S90" s="388"/>
      <c r="T90" s="732" t="s">
        <v>48</v>
      </c>
      <c r="U90" s="733"/>
      <c r="V90" s="733"/>
      <c r="W90" s="733"/>
      <c r="X90" s="733"/>
      <c r="Y90" s="733"/>
      <c r="Z90" s="733"/>
      <c r="AA90" s="734"/>
      <c r="AB90" s="735" t="s">
        <v>48</v>
      </c>
      <c r="AC90" s="736"/>
      <c r="AD90" s="736"/>
      <c r="AE90" s="736"/>
      <c r="AF90" s="736"/>
      <c r="AG90" s="736"/>
      <c r="AH90" s="736"/>
      <c r="AI90" s="736"/>
      <c r="AJ90" s="736"/>
      <c r="AK90" s="736"/>
      <c r="AL90" s="736"/>
      <c r="AM90" s="737"/>
      <c r="AN90" s="738" t="s">
        <v>942</v>
      </c>
      <c r="AO90" s="739"/>
      <c r="AP90" s="739"/>
      <c r="AQ90" s="739"/>
      <c r="AR90" s="739"/>
      <c r="AS90" s="739"/>
      <c r="AT90" s="739"/>
      <c r="AU90" s="739"/>
      <c r="AV90" s="739"/>
      <c r="AW90" s="739"/>
      <c r="AX90" s="739"/>
      <c r="AY90" s="740"/>
    </row>
    <row r="91" spans="1:53" s="38" customFormat="1" ht="13.5" customHeight="1">
      <c r="A91" s="75"/>
      <c r="B91" s="389"/>
      <c r="C91" s="389"/>
      <c r="D91" s="389"/>
      <c r="E91" s="389"/>
      <c r="F91" s="389"/>
      <c r="G91" s="367"/>
      <c r="H91" s="368"/>
      <c r="I91" s="731">
        <v>55</v>
      </c>
      <c r="J91" s="731"/>
      <c r="K91" s="386" t="s">
        <v>944</v>
      </c>
      <c r="L91" s="387"/>
      <c r="M91" s="387"/>
      <c r="N91" s="387"/>
      <c r="O91" s="387"/>
      <c r="P91" s="387"/>
      <c r="Q91" s="387"/>
      <c r="R91" s="387"/>
      <c r="S91" s="388"/>
      <c r="T91" s="732" t="s">
        <v>48</v>
      </c>
      <c r="U91" s="733"/>
      <c r="V91" s="733"/>
      <c r="W91" s="733"/>
      <c r="X91" s="733"/>
      <c r="Y91" s="733"/>
      <c r="Z91" s="733"/>
      <c r="AA91" s="734"/>
      <c r="AB91" s="735" t="s">
        <v>48</v>
      </c>
      <c r="AC91" s="736"/>
      <c r="AD91" s="736"/>
      <c r="AE91" s="736"/>
      <c r="AF91" s="736"/>
      <c r="AG91" s="736"/>
      <c r="AH91" s="736"/>
      <c r="AI91" s="736"/>
      <c r="AJ91" s="736"/>
      <c r="AK91" s="736"/>
      <c r="AL91" s="736"/>
      <c r="AM91" s="737"/>
      <c r="AN91" s="738"/>
      <c r="AO91" s="739"/>
      <c r="AP91" s="739"/>
      <c r="AQ91" s="739"/>
      <c r="AR91" s="739"/>
      <c r="AS91" s="739"/>
      <c r="AT91" s="739"/>
      <c r="AU91" s="739"/>
      <c r="AV91" s="739"/>
      <c r="AW91" s="739"/>
      <c r="AX91" s="739"/>
      <c r="AY91" s="740"/>
    </row>
    <row r="92" spans="1:53" s="38" customFormat="1" ht="13.5" customHeight="1">
      <c r="A92" s="75"/>
      <c r="B92" s="389"/>
      <c r="C92" s="389"/>
      <c r="D92" s="389"/>
      <c r="E92" s="389"/>
      <c r="F92" s="389"/>
      <c r="G92" s="367"/>
      <c r="H92" s="368"/>
      <c r="I92" s="731">
        <v>56</v>
      </c>
      <c r="J92" s="731"/>
      <c r="K92" s="386" t="s">
        <v>945</v>
      </c>
      <c r="L92" s="387"/>
      <c r="M92" s="387"/>
      <c r="N92" s="387"/>
      <c r="O92" s="387"/>
      <c r="P92" s="387"/>
      <c r="Q92" s="387"/>
      <c r="R92" s="387"/>
      <c r="S92" s="388"/>
      <c r="T92" s="732" t="s">
        <v>48</v>
      </c>
      <c r="U92" s="733"/>
      <c r="V92" s="733"/>
      <c r="W92" s="733"/>
      <c r="X92" s="733"/>
      <c r="Y92" s="733"/>
      <c r="Z92" s="733"/>
      <c r="AA92" s="734"/>
      <c r="AB92" s="735" t="s">
        <v>48</v>
      </c>
      <c r="AC92" s="736"/>
      <c r="AD92" s="736"/>
      <c r="AE92" s="736"/>
      <c r="AF92" s="736"/>
      <c r="AG92" s="736"/>
      <c r="AH92" s="736"/>
      <c r="AI92" s="736"/>
      <c r="AJ92" s="736"/>
      <c r="AK92" s="736"/>
      <c r="AL92" s="736"/>
      <c r="AM92" s="737"/>
      <c r="AN92" s="738"/>
      <c r="AO92" s="739"/>
      <c r="AP92" s="739"/>
      <c r="AQ92" s="739"/>
      <c r="AR92" s="739"/>
      <c r="AS92" s="739"/>
      <c r="AT92" s="739"/>
      <c r="AU92" s="739"/>
      <c r="AV92" s="739"/>
      <c r="AW92" s="739"/>
      <c r="AX92" s="739"/>
      <c r="AY92" s="740"/>
    </row>
    <row r="93" spans="1:53" s="38" customFormat="1" ht="13.5" customHeight="1">
      <c r="A93" s="75"/>
      <c r="B93" s="389"/>
      <c r="C93" s="389"/>
      <c r="D93" s="389"/>
      <c r="E93" s="389"/>
      <c r="F93" s="389"/>
      <c r="G93" s="367"/>
      <c r="H93" s="368"/>
      <c r="I93" s="731">
        <v>57</v>
      </c>
      <c r="J93" s="731"/>
      <c r="K93" s="386" t="s">
        <v>946</v>
      </c>
      <c r="L93" s="387"/>
      <c r="M93" s="387"/>
      <c r="N93" s="387"/>
      <c r="O93" s="387"/>
      <c r="P93" s="387"/>
      <c r="Q93" s="387"/>
      <c r="R93" s="387"/>
      <c r="S93" s="388"/>
      <c r="T93" s="732" t="s">
        <v>48</v>
      </c>
      <c r="U93" s="733"/>
      <c r="V93" s="733"/>
      <c r="W93" s="733"/>
      <c r="X93" s="733"/>
      <c r="Y93" s="733"/>
      <c r="Z93" s="733"/>
      <c r="AA93" s="734"/>
      <c r="AB93" s="735" t="s">
        <v>48</v>
      </c>
      <c r="AC93" s="736"/>
      <c r="AD93" s="736"/>
      <c r="AE93" s="736"/>
      <c r="AF93" s="736"/>
      <c r="AG93" s="736"/>
      <c r="AH93" s="736"/>
      <c r="AI93" s="736"/>
      <c r="AJ93" s="736"/>
      <c r="AK93" s="736"/>
      <c r="AL93" s="736"/>
      <c r="AM93" s="737"/>
      <c r="AN93" s="738"/>
      <c r="AO93" s="739"/>
      <c r="AP93" s="739"/>
      <c r="AQ93" s="739"/>
      <c r="AR93" s="739"/>
      <c r="AS93" s="739"/>
      <c r="AT93" s="739"/>
      <c r="AU93" s="739"/>
      <c r="AV93" s="739"/>
      <c r="AW93" s="739"/>
      <c r="AX93" s="739"/>
      <c r="AY93" s="740"/>
    </row>
    <row r="94" spans="1:53" s="38" customFormat="1" ht="13.5" customHeight="1">
      <c r="A94" s="75"/>
      <c r="B94" s="389"/>
      <c r="C94" s="389"/>
      <c r="D94" s="389"/>
      <c r="E94" s="389"/>
      <c r="F94" s="389"/>
      <c r="G94" s="367"/>
      <c r="H94" s="368"/>
      <c r="I94" s="731">
        <v>58</v>
      </c>
      <c r="J94" s="731"/>
      <c r="K94" s="386" t="s">
        <v>947</v>
      </c>
      <c r="L94" s="387"/>
      <c r="M94" s="387"/>
      <c r="N94" s="387"/>
      <c r="O94" s="387"/>
      <c r="P94" s="387"/>
      <c r="Q94" s="387"/>
      <c r="R94" s="387"/>
      <c r="S94" s="388"/>
      <c r="T94" s="732" t="s">
        <v>48</v>
      </c>
      <c r="U94" s="733"/>
      <c r="V94" s="733"/>
      <c r="W94" s="733"/>
      <c r="X94" s="733"/>
      <c r="Y94" s="733"/>
      <c r="Z94" s="733"/>
      <c r="AA94" s="734"/>
      <c r="AB94" s="735" t="s">
        <v>48</v>
      </c>
      <c r="AC94" s="736"/>
      <c r="AD94" s="736"/>
      <c r="AE94" s="736"/>
      <c r="AF94" s="736"/>
      <c r="AG94" s="736"/>
      <c r="AH94" s="736"/>
      <c r="AI94" s="736"/>
      <c r="AJ94" s="736"/>
      <c r="AK94" s="736"/>
      <c r="AL94" s="736"/>
      <c r="AM94" s="737"/>
      <c r="AN94" s="738"/>
      <c r="AO94" s="739"/>
      <c r="AP94" s="739"/>
      <c r="AQ94" s="739"/>
      <c r="AR94" s="739"/>
      <c r="AS94" s="739"/>
      <c r="AT94" s="739"/>
      <c r="AU94" s="739"/>
      <c r="AV94" s="739"/>
      <c r="AW94" s="739"/>
      <c r="AX94" s="739"/>
      <c r="AY94" s="740"/>
    </row>
    <row r="95" spans="1:53" s="38" customFormat="1" ht="13.5" customHeight="1">
      <c r="A95" s="75"/>
      <c r="B95" s="389"/>
      <c r="C95" s="389"/>
      <c r="D95" s="389"/>
      <c r="E95" s="389"/>
      <c r="F95" s="389"/>
      <c r="G95" s="367"/>
      <c r="H95" s="368"/>
      <c r="I95" s="731">
        <v>59</v>
      </c>
      <c r="J95" s="731"/>
      <c r="K95" s="386" t="s">
        <v>948</v>
      </c>
      <c r="L95" s="387"/>
      <c r="M95" s="387"/>
      <c r="N95" s="387"/>
      <c r="O95" s="387"/>
      <c r="P95" s="387"/>
      <c r="Q95" s="387"/>
      <c r="R95" s="387"/>
      <c r="S95" s="388"/>
      <c r="T95" s="732" t="s">
        <v>48</v>
      </c>
      <c r="U95" s="733"/>
      <c r="V95" s="733"/>
      <c r="W95" s="733"/>
      <c r="X95" s="733"/>
      <c r="Y95" s="733"/>
      <c r="Z95" s="733"/>
      <c r="AA95" s="734"/>
      <c r="AB95" s="735" t="s">
        <v>48</v>
      </c>
      <c r="AC95" s="736"/>
      <c r="AD95" s="736"/>
      <c r="AE95" s="736"/>
      <c r="AF95" s="736"/>
      <c r="AG95" s="736"/>
      <c r="AH95" s="736"/>
      <c r="AI95" s="736"/>
      <c r="AJ95" s="736"/>
      <c r="AK95" s="736"/>
      <c r="AL95" s="736"/>
      <c r="AM95" s="737"/>
      <c r="AN95" s="738"/>
      <c r="AO95" s="739"/>
      <c r="AP95" s="739"/>
      <c r="AQ95" s="739"/>
      <c r="AR95" s="739"/>
      <c r="AS95" s="739"/>
      <c r="AT95" s="739"/>
      <c r="AU95" s="739"/>
      <c r="AV95" s="739"/>
      <c r="AW95" s="739"/>
      <c r="AX95" s="739"/>
      <c r="AY95" s="740"/>
    </row>
    <row r="96" spans="1:53" s="38" customFormat="1" ht="13.5" customHeight="1">
      <c r="A96" s="75"/>
      <c r="B96" s="389"/>
      <c r="C96" s="389"/>
      <c r="D96" s="389"/>
      <c r="E96" s="389"/>
      <c r="F96" s="389"/>
      <c r="G96" s="367"/>
      <c r="H96" s="368"/>
      <c r="I96" s="731">
        <v>60</v>
      </c>
      <c r="J96" s="731"/>
      <c r="K96" s="386" t="s">
        <v>949</v>
      </c>
      <c r="L96" s="387"/>
      <c r="M96" s="387"/>
      <c r="N96" s="387"/>
      <c r="O96" s="387"/>
      <c r="P96" s="387"/>
      <c r="Q96" s="387"/>
      <c r="R96" s="387"/>
      <c r="S96" s="388"/>
      <c r="T96" s="732" t="s">
        <v>48</v>
      </c>
      <c r="U96" s="733"/>
      <c r="V96" s="733"/>
      <c r="W96" s="733"/>
      <c r="X96" s="733"/>
      <c r="Y96" s="733"/>
      <c r="Z96" s="733"/>
      <c r="AA96" s="734"/>
      <c r="AB96" s="735" t="s">
        <v>48</v>
      </c>
      <c r="AC96" s="736"/>
      <c r="AD96" s="736"/>
      <c r="AE96" s="736"/>
      <c r="AF96" s="736"/>
      <c r="AG96" s="736"/>
      <c r="AH96" s="736"/>
      <c r="AI96" s="736"/>
      <c r="AJ96" s="736"/>
      <c r="AK96" s="736"/>
      <c r="AL96" s="736"/>
      <c r="AM96" s="737"/>
      <c r="AN96" s="738"/>
      <c r="AO96" s="739"/>
      <c r="AP96" s="739"/>
      <c r="AQ96" s="739"/>
      <c r="AR96" s="739"/>
      <c r="AS96" s="739"/>
      <c r="AT96" s="739"/>
      <c r="AU96" s="739"/>
      <c r="AV96" s="739"/>
      <c r="AW96" s="739"/>
      <c r="AX96" s="739"/>
      <c r="AY96" s="740"/>
    </row>
    <row r="97" spans="1:51" s="38" customFormat="1" ht="13.5" customHeight="1">
      <c r="A97" s="75"/>
      <c r="B97" s="389"/>
      <c r="C97" s="389"/>
      <c r="D97" s="389"/>
      <c r="E97" s="389"/>
      <c r="F97" s="389"/>
      <c r="G97" s="367"/>
      <c r="H97" s="368"/>
      <c r="I97" s="731">
        <v>61</v>
      </c>
      <c r="J97" s="731"/>
      <c r="K97" s="386" t="s">
        <v>950</v>
      </c>
      <c r="L97" s="387"/>
      <c r="M97" s="387"/>
      <c r="N97" s="387"/>
      <c r="O97" s="387"/>
      <c r="P97" s="387"/>
      <c r="Q97" s="387"/>
      <c r="R97" s="387"/>
      <c r="S97" s="388"/>
      <c r="T97" s="732" t="s">
        <v>48</v>
      </c>
      <c r="U97" s="733"/>
      <c r="V97" s="733"/>
      <c r="W97" s="733"/>
      <c r="X97" s="733"/>
      <c r="Y97" s="733"/>
      <c r="Z97" s="733"/>
      <c r="AA97" s="734"/>
      <c r="AB97" s="735" t="s">
        <v>48</v>
      </c>
      <c r="AC97" s="736"/>
      <c r="AD97" s="736"/>
      <c r="AE97" s="736"/>
      <c r="AF97" s="736"/>
      <c r="AG97" s="736"/>
      <c r="AH97" s="736"/>
      <c r="AI97" s="736"/>
      <c r="AJ97" s="736"/>
      <c r="AK97" s="736"/>
      <c r="AL97" s="736"/>
      <c r="AM97" s="737"/>
      <c r="AN97" s="738"/>
      <c r="AO97" s="739"/>
      <c r="AP97" s="739"/>
      <c r="AQ97" s="739"/>
      <c r="AR97" s="739"/>
      <c r="AS97" s="739"/>
      <c r="AT97" s="739"/>
      <c r="AU97" s="739"/>
      <c r="AV97" s="739"/>
      <c r="AW97" s="739"/>
      <c r="AX97" s="739"/>
      <c r="AY97" s="740"/>
    </row>
    <row r="98" spans="1:51" s="38" customFormat="1" ht="13.5" customHeight="1">
      <c r="A98" s="75"/>
      <c r="B98" s="389"/>
      <c r="C98" s="389"/>
      <c r="D98" s="389"/>
      <c r="E98" s="389"/>
      <c r="F98" s="389"/>
      <c r="G98" s="367"/>
      <c r="H98" s="368"/>
      <c r="I98" s="731">
        <v>62</v>
      </c>
      <c r="J98" s="731"/>
      <c r="K98" s="386" t="s">
        <v>951</v>
      </c>
      <c r="L98" s="387"/>
      <c r="M98" s="387"/>
      <c r="N98" s="387"/>
      <c r="O98" s="387"/>
      <c r="P98" s="387"/>
      <c r="Q98" s="387"/>
      <c r="R98" s="387"/>
      <c r="S98" s="388"/>
      <c r="T98" s="732" t="s">
        <v>48</v>
      </c>
      <c r="U98" s="733"/>
      <c r="V98" s="733"/>
      <c r="W98" s="733"/>
      <c r="X98" s="733"/>
      <c r="Y98" s="733"/>
      <c r="Z98" s="733"/>
      <c r="AA98" s="734"/>
      <c r="AB98" s="735" t="s">
        <v>48</v>
      </c>
      <c r="AC98" s="736"/>
      <c r="AD98" s="736"/>
      <c r="AE98" s="736"/>
      <c r="AF98" s="736"/>
      <c r="AG98" s="736"/>
      <c r="AH98" s="736"/>
      <c r="AI98" s="736"/>
      <c r="AJ98" s="736"/>
      <c r="AK98" s="736"/>
      <c r="AL98" s="736"/>
      <c r="AM98" s="737"/>
      <c r="AN98" s="738" t="s">
        <v>920</v>
      </c>
      <c r="AO98" s="739"/>
      <c r="AP98" s="739"/>
      <c r="AQ98" s="739"/>
      <c r="AR98" s="739"/>
      <c r="AS98" s="739"/>
      <c r="AT98" s="739"/>
      <c r="AU98" s="739"/>
      <c r="AV98" s="739"/>
      <c r="AW98" s="739"/>
      <c r="AX98" s="739"/>
      <c r="AY98" s="740"/>
    </row>
    <row r="99" spans="1:51" s="38" customFormat="1" ht="13.5" customHeight="1" thickBot="1">
      <c r="A99" s="75"/>
      <c r="B99" s="389"/>
      <c r="C99" s="389"/>
      <c r="D99" s="389"/>
      <c r="E99" s="389"/>
      <c r="F99" s="389"/>
      <c r="G99" s="367"/>
      <c r="H99" s="368"/>
      <c r="I99" s="731">
        <v>63</v>
      </c>
      <c r="J99" s="731"/>
      <c r="K99" s="386" t="s">
        <v>952</v>
      </c>
      <c r="L99" s="387"/>
      <c r="M99" s="387"/>
      <c r="N99" s="387"/>
      <c r="O99" s="387"/>
      <c r="P99" s="387"/>
      <c r="Q99" s="387"/>
      <c r="R99" s="387"/>
      <c r="S99" s="388"/>
      <c r="T99" s="732" t="s">
        <v>48</v>
      </c>
      <c r="U99" s="733"/>
      <c r="V99" s="733"/>
      <c r="W99" s="733"/>
      <c r="X99" s="733"/>
      <c r="Y99" s="733"/>
      <c r="Z99" s="733"/>
      <c r="AA99" s="734"/>
      <c r="AB99" s="735" t="s">
        <v>48</v>
      </c>
      <c r="AC99" s="736"/>
      <c r="AD99" s="736"/>
      <c r="AE99" s="736"/>
      <c r="AF99" s="736"/>
      <c r="AG99" s="736"/>
      <c r="AH99" s="736"/>
      <c r="AI99" s="736"/>
      <c r="AJ99" s="736"/>
      <c r="AK99" s="736"/>
      <c r="AL99" s="736"/>
      <c r="AM99" s="737"/>
      <c r="AN99" s="738" t="s">
        <v>920</v>
      </c>
      <c r="AO99" s="739"/>
      <c r="AP99" s="739"/>
      <c r="AQ99" s="739"/>
      <c r="AR99" s="739"/>
      <c r="AS99" s="739"/>
      <c r="AT99" s="739"/>
      <c r="AU99" s="739"/>
      <c r="AV99" s="739"/>
      <c r="AW99" s="739"/>
      <c r="AX99" s="739"/>
      <c r="AY99" s="740"/>
    </row>
    <row r="100" spans="1:51" ht="11.25" customHeight="1">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c r="AA100" s="235"/>
      <c r="AB100" s="235"/>
      <c r="AC100" s="235"/>
      <c r="AD100" s="235"/>
      <c r="AE100" s="235"/>
      <c r="AF100" s="235"/>
      <c r="AG100" s="235"/>
      <c r="AH100" s="235"/>
      <c r="AI100" s="235"/>
      <c r="AJ100" s="235"/>
      <c r="AK100" s="235"/>
      <c r="AL100" s="235"/>
      <c r="AM100" s="235"/>
      <c r="AN100" s="235"/>
      <c r="AO100" s="235"/>
      <c r="AP100" s="235"/>
      <c r="AQ100" s="235"/>
      <c r="AR100" s="235"/>
      <c r="AS100" s="235"/>
      <c r="AT100" s="235"/>
      <c r="AU100" s="235"/>
      <c r="AV100" s="235"/>
      <c r="AW100" s="235"/>
      <c r="AX100" s="235"/>
      <c r="AY100" s="235"/>
    </row>
    <row r="101" spans="1:51" ht="13.5" customHeight="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c r="AA101" s="156"/>
      <c r="AB101" s="156"/>
      <c r="AC101" s="156"/>
      <c r="AD101" s="156"/>
      <c r="AE101" s="156"/>
      <c r="AF101" s="156"/>
      <c r="AG101" s="156"/>
      <c r="AH101" s="156"/>
      <c r="AI101" s="156"/>
      <c r="AJ101" s="156"/>
      <c r="AK101" s="156"/>
      <c r="AL101" s="156"/>
      <c r="AM101" s="156"/>
      <c r="AN101" s="156"/>
      <c r="AO101" s="156"/>
      <c r="AP101" s="156"/>
      <c r="AQ101" s="156"/>
      <c r="AR101" s="156"/>
      <c r="AS101" s="156"/>
      <c r="AT101" s="156"/>
      <c r="AU101" s="156"/>
      <c r="AV101" s="156"/>
      <c r="AW101" s="156"/>
      <c r="AX101" s="156"/>
      <c r="AY101" s="156"/>
    </row>
    <row r="102" spans="1:51" ht="13.5" customHeight="1">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c r="AC102" s="156"/>
      <c r="AD102" s="156"/>
      <c r="AE102" s="156"/>
      <c r="AF102" s="156"/>
      <c r="AG102" s="156"/>
      <c r="AH102" s="156"/>
      <c r="AI102" s="156"/>
      <c r="AJ102" s="156"/>
      <c r="AK102" s="156"/>
      <c r="AL102" s="156"/>
      <c r="AM102" s="156"/>
      <c r="AN102" s="156"/>
      <c r="AO102" s="156"/>
      <c r="AP102" s="156"/>
      <c r="AQ102" s="156"/>
      <c r="AR102" s="156"/>
      <c r="AS102" s="156"/>
      <c r="AT102" s="156"/>
      <c r="AU102" s="156"/>
      <c r="AV102" s="156"/>
      <c r="AW102" s="156"/>
      <c r="AX102" s="156"/>
      <c r="AY102" s="156"/>
    </row>
    <row r="103" spans="1:51" ht="13.5" customHeight="1">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c r="AA103" s="156"/>
      <c r="AB103" s="156"/>
      <c r="AC103" s="156"/>
      <c r="AD103" s="156"/>
      <c r="AE103" s="156"/>
      <c r="AF103" s="156"/>
      <c r="AG103" s="156"/>
      <c r="AH103" s="156"/>
      <c r="AI103" s="156"/>
      <c r="AJ103" s="156"/>
      <c r="AK103" s="156"/>
      <c r="AL103" s="156"/>
      <c r="AM103" s="156"/>
      <c r="AN103" s="156"/>
      <c r="AO103" s="156"/>
      <c r="AP103" s="156"/>
      <c r="AQ103" s="156"/>
      <c r="AR103" s="156"/>
      <c r="AS103" s="156"/>
      <c r="AT103" s="156"/>
      <c r="AU103" s="156"/>
      <c r="AV103" s="156"/>
      <c r="AW103" s="156"/>
      <c r="AX103" s="156"/>
      <c r="AY103" s="156"/>
    </row>
    <row r="104" spans="1:51" ht="13.5" customHeight="1">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c r="AA104" s="156"/>
      <c r="AB104" s="156"/>
      <c r="AC104" s="156"/>
      <c r="AD104" s="156"/>
      <c r="AE104" s="156"/>
      <c r="AF104" s="156"/>
      <c r="AG104" s="156"/>
      <c r="AH104" s="156"/>
      <c r="AI104" s="156"/>
      <c r="AJ104" s="156"/>
      <c r="AK104" s="156"/>
      <c r="AL104" s="156"/>
      <c r="AM104" s="156"/>
      <c r="AN104" s="156"/>
      <c r="AO104" s="156"/>
      <c r="AP104" s="156"/>
      <c r="AQ104" s="156"/>
      <c r="AR104" s="156"/>
      <c r="AS104" s="156"/>
      <c r="AT104" s="156"/>
      <c r="AU104" s="156"/>
      <c r="AV104" s="156"/>
      <c r="AW104" s="156"/>
      <c r="AX104" s="156"/>
      <c r="AY104" s="156"/>
    </row>
    <row r="105" spans="1:51" ht="13.5" customHeight="1">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c r="AA105" s="156"/>
      <c r="AB105" s="156"/>
      <c r="AC105" s="156"/>
      <c r="AD105" s="156"/>
      <c r="AE105" s="156"/>
      <c r="AF105" s="156"/>
      <c r="AG105" s="156"/>
      <c r="AH105" s="156"/>
      <c r="AI105" s="156"/>
      <c r="AJ105" s="156"/>
      <c r="AK105" s="156"/>
      <c r="AL105" s="156"/>
      <c r="AM105" s="156"/>
      <c r="AN105" s="156"/>
      <c r="AO105" s="156"/>
      <c r="AP105" s="156"/>
      <c r="AQ105" s="156"/>
      <c r="AR105" s="156"/>
      <c r="AS105" s="156"/>
      <c r="AT105" s="156"/>
      <c r="AU105" s="156"/>
      <c r="AV105" s="156"/>
      <c r="AW105" s="156"/>
      <c r="AX105" s="156"/>
      <c r="AY105" s="156"/>
    </row>
    <row r="106" spans="1:51" ht="13.5" customHeight="1">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c r="AA106" s="156"/>
      <c r="AB106" s="156"/>
      <c r="AC106" s="156"/>
      <c r="AD106" s="156"/>
      <c r="AE106" s="156"/>
      <c r="AF106" s="156"/>
      <c r="AG106" s="156"/>
      <c r="AH106" s="156"/>
      <c r="AI106" s="156"/>
      <c r="AJ106" s="156"/>
      <c r="AK106" s="156"/>
      <c r="AL106" s="156"/>
      <c r="AM106" s="156"/>
      <c r="AN106" s="156"/>
      <c r="AO106" s="156"/>
      <c r="AP106" s="156"/>
      <c r="AQ106" s="156"/>
      <c r="AR106" s="156"/>
      <c r="AS106" s="156"/>
      <c r="AT106" s="156"/>
      <c r="AU106" s="156"/>
      <c r="AV106" s="156"/>
      <c r="AW106" s="156"/>
      <c r="AX106" s="156"/>
      <c r="AY106" s="156"/>
    </row>
    <row r="107" spans="1:51" ht="13.5" customHeight="1">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c r="AA107" s="156"/>
      <c r="AB107" s="156"/>
      <c r="AC107" s="156"/>
      <c r="AD107" s="156"/>
      <c r="AE107" s="156"/>
      <c r="AF107" s="156"/>
      <c r="AG107" s="156"/>
      <c r="AH107" s="156"/>
      <c r="AI107" s="156"/>
      <c r="AJ107" s="156"/>
      <c r="AK107" s="156"/>
      <c r="AL107" s="156"/>
      <c r="AM107" s="156"/>
      <c r="AN107" s="156"/>
      <c r="AO107" s="156"/>
      <c r="AP107" s="156"/>
      <c r="AQ107" s="156"/>
      <c r="AR107" s="156"/>
      <c r="AS107" s="156"/>
      <c r="AT107" s="156"/>
      <c r="AU107" s="156"/>
      <c r="AV107" s="156"/>
      <c r="AW107" s="156"/>
      <c r="AX107" s="156"/>
      <c r="AY107" s="156"/>
    </row>
    <row r="108" spans="1:51" ht="13.5" customHeight="1">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c r="AA108" s="156"/>
      <c r="AB108" s="156"/>
      <c r="AC108" s="156"/>
      <c r="AD108" s="156"/>
      <c r="AE108" s="156"/>
      <c r="AF108" s="156"/>
      <c r="AG108" s="156"/>
      <c r="AH108" s="156"/>
      <c r="AI108" s="156"/>
      <c r="AJ108" s="156"/>
      <c r="AK108" s="156"/>
      <c r="AL108" s="156"/>
      <c r="AM108" s="156"/>
      <c r="AN108" s="156"/>
      <c r="AO108" s="156"/>
      <c r="AP108" s="156"/>
      <c r="AQ108" s="156"/>
      <c r="AR108" s="156"/>
      <c r="AS108" s="156"/>
      <c r="AT108" s="156"/>
      <c r="AU108" s="156"/>
      <c r="AV108" s="156"/>
      <c r="AW108" s="156"/>
      <c r="AX108" s="156"/>
      <c r="AY108" s="156"/>
    </row>
    <row r="109" spans="1:51" ht="13.5" customHeight="1">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c r="AC109" s="156"/>
      <c r="AD109" s="156"/>
      <c r="AE109" s="156"/>
      <c r="AF109" s="156"/>
      <c r="AG109" s="156"/>
      <c r="AH109" s="156"/>
      <c r="AI109" s="156"/>
      <c r="AJ109" s="156"/>
      <c r="AK109" s="156"/>
      <c r="AL109" s="156"/>
      <c r="AM109" s="156"/>
      <c r="AN109" s="156"/>
      <c r="AO109" s="156"/>
      <c r="AP109" s="156"/>
      <c r="AQ109" s="156"/>
      <c r="AR109" s="156"/>
      <c r="AS109" s="156"/>
      <c r="AT109" s="156"/>
      <c r="AU109" s="156"/>
      <c r="AV109" s="156"/>
      <c r="AW109" s="156"/>
      <c r="AX109" s="156"/>
      <c r="AY109" s="156"/>
    </row>
    <row r="110" spans="1:51" ht="13.5" customHeight="1">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c r="AC110" s="156"/>
      <c r="AD110" s="156"/>
      <c r="AE110" s="156"/>
      <c r="AF110" s="156"/>
      <c r="AG110" s="156"/>
      <c r="AH110" s="156"/>
      <c r="AI110" s="156"/>
      <c r="AJ110" s="156"/>
      <c r="AK110" s="156"/>
      <c r="AL110" s="156"/>
      <c r="AM110" s="156"/>
      <c r="AN110" s="156"/>
      <c r="AO110" s="156"/>
      <c r="AP110" s="156"/>
      <c r="AQ110" s="156"/>
      <c r="AR110" s="156"/>
      <c r="AS110" s="156"/>
      <c r="AT110" s="156"/>
      <c r="AU110" s="156"/>
      <c r="AV110" s="156"/>
      <c r="AW110" s="156"/>
      <c r="AX110" s="156"/>
      <c r="AY110" s="156"/>
    </row>
    <row r="111" spans="1:51" ht="13.5" customHeight="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c r="AH111" s="156"/>
      <c r="AI111" s="156"/>
      <c r="AJ111" s="156"/>
      <c r="AK111" s="156"/>
      <c r="AL111" s="156"/>
      <c r="AM111" s="156"/>
      <c r="AN111" s="156"/>
      <c r="AO111" s="156"/>
      <c r="AP111" s="156"/>
      <c r="AQ111" s="156"/>
      <c r="AR111" s="156"/>
      <c r="AS111" s="156"/>
      <c r="AT111" s="156"/>
      <c r="AU111" s="156"/>
      <c r="AV111" s="156"/>
      <c r="AW111" s="156"/>
      <c r="AX111" s="156"/>
      <c r="AY111" s="156"/>
    </row>
    <row r="112" spans="1:51" ht="13.5" customHeight="1">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c r="AC112" s="156"/>
      <c r="AD112" s="156"/>
      <c r="AE112" s="156"/>
      <c r="AF112" s="156"/>
      <c r="AG112" s="156"/>
      <c r="AH112" s="156"/>
      <c r="AI112" s="156"/>
      <c r="AJ112" s="156"/>
      <c r="AK112" s="156"/>
      <c r="AL112" s="156"/>
      <c r="AM112" s="156"/>
      <c r="AN112" s="156"/>
      <c r="AO112" s="156"/>
      <c r="AP112" s="156"/>
      <c r="AQ112" s="156"/>
      <c r="AR112" s="156"/>
      <c r="AS112" s="156"/>
      <c r="AT112" s="156"/>
      <c r="AU112" s="156"/>
      <c r="AV112" s="156"/>
      <c r="AW112" s="156"/>
      <c r="AX112" s="156"/>
      <c r="AY112" s="156"/>
    </row>
    <row r="113" spans="1:51" ht="13.5" customHeight="1">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c r="AC113" s="156"/>
      <c r="AD113" s="156"/>
      <c r="AE113" s="156"/>
      <c r="AF113" s="156"/>
      <c r="AG113" s="156"/>
      <c r="AH113" s="156"/>
      <c r="AI113" s="156"/>
      <c r="AJ113" s="156"/>
      <c r="AK113" s="156"/>
      <c r="AL113" s="156"/>
      <c r="AM113" s="156"/>
      <c r="AN113" s="156"/>
      <c r="AO113" s="156"/>
      <c r="AP113" s="156"/>
      <c r="AQ113" s="156"/>
      <c r="AR113" s="156"/>
      <c r="AS113" s="156"/>
      <c r="AT113" s="156"/>
      <c r="AU113" s="156"/>
      <c r="AV113" s="156"/>
      <c r="AW113" s="156"/>
      <c r="AX113" s="156"/>
      <c r="AY113" s="156"/>
    </row>
    <row r="114" spans="1:51" ht="13.5" customHeight="1">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c r="AC114" s="156"/>
      <c r="AD114" s="156"/>
      <c r="AE114" s="156"/>
      <c r="AF114" s="156"/>
      <c r="AG114" s="156"/>
      <c r="AH114" s="156"/>
      <c r="AI114" s="156"/>
      <c r="AJ114" s="156"/>
      <c r="AK114" s="156"/>
      <c r="AL114" s="156"/>
      <c r="AM114" s="156"/>
      <c r="AN114" s="156"/>
      <c r="AO114" s="156"/>
      <c r="AP114" s="156"/>
      <c r="AQ114" s="156"/>
      <c r="AR114" s="156"/>
      <c r="AS114" s="156"/>
      <c r="AT114" s="156"/>
      <c r="AU114" s="156"/>
      <c r="AV114" s="156"/>
      <c r="AW114" s="156"/>
      <c r="AX114" s="156"/>
      <c r="AY114" s="156"/>
    </row>
    <row r="115" spans="1:51" ht="13.5" customHeight="1">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c r="AA115" s="156"/>
      <c r="AB115" s="156"/>
      <c r="AC115" s="156"/>
      <c r="AD115" s="156"/>
      <c r="AE115" s="156"/>
      <c r="AF115" s="156"/>
      <c r="AG115" s="156"/>
      <c r="AH115" s="156"/>
      <c r="AI115" s="156"/>
      <c r="AJ115" s="156"/>
      <c r="AK115" s="156"/>
      <c r="AL115" s="156"/>
      <c r="AM115" s="156"/>
      <c r="AN115" s="156"/>
      <c r="AO115" s="156"/>
      <c r="AP115" s="156"/>
      <c r="AQ115" s="156"/>
      <c r="AR115" s="156"/>
      <c r="AS115" s="156"/>
      <c r="AT115" s="156"/>
      <c r="AU115" s="156"/>
      <c r="AV115" s="156"/>
      <c r="AW115" s="156"/>
      <c r="AX115" s="156"/>
      <c r="AY115" s="156"/>
    </row>
    <row r="116" spans="1:51" ht="13.5" customHeight="1">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c r="AA116" s="156"/>
      <c r="AB116" s="156"/>
      <c r="AC116" s="156"/>
      <c r="AD116" s="156"/>
      <c r="AE116" s="156"/>
      <c r="AF116" s="156"/>
      <c r="AG116" s="156"/>
      <c r="AH116" s="156"/>
      <c r="AI116" s="156"/>
      <c r="AJ116" s="156"/>
      <c r="AK116" s="156"/>
      <c r="AL116" s="156"/>
      <c r="AM116" s="156"/>
      <c r="AN116" s="156"/>
      <c r="AO116" s="156"/>
      <c r="AP116" s="156"/>
      <c r="AQ116" s="156"/>
      <c r="AR116" s="156"/>
      <c r="AS116" s="156"/>
      <c r="AT116" s="156"/>
      <c r="AU116" s="156"/>
      <c r="AV116" s="156"/>
      <c r="AW116" s="156"/>
      <c r="AX116" s="156"/>
      <c r="AY116" s="156"/>
    </row>
    <row r="117" spans="1:51" ht="13.5" customHeight="1">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c r="AA117" s="156"/>
      <c r="AB117" s="156"/>
      <c r="AC117" s="156"/>
      <c r="AD117" s="156"/>
      <c r="AE117" s="156"/>
      <c r="AF117" s="156"/>
      <c r="AG117" s="156"/>
      <c r="AH117" s="156"/>
      <c r="AI117" s="156"/>
      <c r="AJ117" s="156"/>
      <c r="AK117" s="156"/>
      <c r="AL117" s="156"/>
      <c r="AM117" s="156"/>
      <c r="AN117" s="156"/>
      <c r="AO117" s="156"/>
      <c r="AP117" s="156"/>
      <c r="AQ117" s="156"/>
      <c r="AR117" s="156"/>
      <c r="AS117" s="156"/>
      <c r="AT117" s="156"/>
      <c r="AU117" s="156"/>
      <c r="AV117" s="156"/>
      <c r="AW117" s="156"/>
      <c r="AX117" s="156"/>
      <c r="AY117" s="156"/>
    </row>
    <row r="118" spans="1:51" ht="13.5" customHeight="1">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c r="AC118" s="156"/>
      <c r="AD118" s="156"/>
      <c r="AE118" s="156"/>
      <c r="AF118" s="156"/>
      <c r="AG118" s="156"/>
      <c r="AH118" s="156"/>
      <c r="AI118" s="156"/>
      <c r="AJ118" s="156"/>
      <c r="AK118" s="156"/>
      <c r="AL118" s="156"/>
      <c r="AM118" s="156"/>
      <c r="AN118" s="156"/>
      <c r="AO118" s="156"/>
      <c r="AP118" s="156"/>
      <c r="AQ118" s="156"/>
      <c r="AR118" s="156"/>
      <c r="AS118" s="156"/>
      <c r="AT118" s="156"/>
      <c r="AU118" s="156"/>
      <c r="AV118" s="156"/>
      <c r="AW118" s="156"/>
      <c r="AX118" s="156"/>
      <c r="AY118" s="156"/>
    </row>
    <row r="119" spans="1:51" ht="13.5" customHeight="1">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6"/>
      <c r="AE119" s="156"/>
      <c r="AF119" s="156"/>
      <c r="AG119" s="156"/>
      <c r="AH119" s="156"/>
      <c r="AI119" s="156"/>
      <c r="AJ119" s="156"/>
      <c r="AK119" s="156"/>
      <c r="AL119" s="156"/>
      <c r="AM119" s="156"/>
      <c r="AN119" s="156"/>
      <c r="AO119" s="156"/>
      <c r="AP119" s="156"/>
      <c r="AQ119" s="156"/>
      <c r="AR119" s="156"/>
      <c r="AS119" s="156"/>
      <c r="AT119" s="156"/>
      <c r="AU119" s="156"/>
      <c r="AV119" s="156"/>
      <c r="AW119" s="156"/>
      <c r="AX119" s="156"/>
      <c r="AY119" s="156"/>
    </row>
    <row r="120" spans="1:51" ht="13.5" customHeight="1">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6"/>
      <c r="AE120" s="156"/>
      <c r="AF120" s="156"/>
      <c r="AG120" s="156"/>
      <c r="AH120" s="156"/>
      <c r="AI120" s="156"/>
      <c r="AJ120" s="156"/>
      <c r="AK120" s="156"/>
      <c r="AL120" s="156"/>
      <c r="AM120" s="156"/>
      <c r="AN120" s="156"/>
      <c r="AO120" s="156"/>
      <c r="AP120" s="156"/>
      <c r="AQ120" s="156"/>
      <c r="AR120" s="156"/>
      <c r="AS120" s="156"/>
      <c r="AT120" s="156"/>
      <c r="AU120" s="156"/>
      <c r="AV120" s="156"/>
      <c r="AW120" s="156"/>
      <c r="AX120" s="156"/>
      <c r="AY120" s="156"/>
    </row>
    <row r="121" spans="1:51" ht="13.5" customHeight="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c r="AA121" s="156"/>
      <c r="AB121" s="156"/>
      <c r="AC121" s="156"/>
      <c r="AD121" s="156"/>
      <c r="AE121" s="156"/>
      <c r="AF121" s="156"/>
      <c r="AG121" s="156"/>
      <c r="AH121" s="156"/>
      <c r="AI121" s="156"/>
      <c r="AJ121" s="156"/>
      <c r="AK121" s="156"/>
      <c r="AL121" s="156"/>
      <c r="AM121" s="156"/>
      <c r="AN121" s="156"/>
      <c r="AO121" s="156"/>
      <c r="AP121" s="156"/>
      <c r="AQ121" s="156"/>
      <c r="AR121" s="156"/>
      <c r="AS121" s="156"/>
      <c r="AT121" s="156"/>
      <c r="AU121" s="156"/>
      <c r="AV121" s="156"/>
      <c r="AW121" s="156"/>
      <c r="AX121" s="156"/>
      <c r="AY121" s="156"/>
    </row>
    <row r="122" spans="1:51" ht="13.5" customHeight="1">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c r="AC122" s="156"/>
      <c r="AD122" s="156"/>
      <c r="AE122" s="156"/>
      <c r="AF122" s="156"/>
      <c r="AG122" s="156"/>
      <c r="AH122" s="156"/>
      <c r="AI122" s="156"/>
      <c r="AJ122" s="156"/>
      <c r="AK122" s="156"/>
      <c r="AL122" s="156"/>
      <c r="AM122" s="156"/>
      <c r="AN122" s="156"/>
      <c r="AO122" s="156"/>
      <c r="AP122" s="156"/>
      <c r="AQ122" s="156"/>
      <c r="AR122" s="156"/>
      <c r="AS122" s="156"/>
      <c r="AT122" s="156"/>
      <c r="AU122" s="156"/>
      <c r="AV122" s="156"/>
      <c r="AW122" s="156"/>
      <c r="AX122" s="156"/>
      <c r="AY122" s="156"/>
    </row>
    <row r="123" spans="1:51" ht="13.5" customHeight="1">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c r="AA123" s="156"/>
      <c r="AB123" s="156"/>
      <c r="AC123" s="156"/>
      <c r="AD123" s="156"/>
      <c r="AE123" s="156"/>
      <c r="AF123" s="156"/>
      <c r="AG123" s="156"/>
      <c r="AH123" s="156"/>
      <c r="AI123" s="156"/>
      <c r="AJ123" s="156"/>
      <c r="AK123" s="156"/>
      <c r="AL123" s="156"/>
      <c r="AM123" s="156"/>
      <c r="AN123" s="156"/>
      <c r="AO123" s="156"/>
      <c r="AP123" s="156"/>
      <c r="AQ123" s="156"/>
      <c r="AR123" s="156"/>
      <c r="AS123" s="156"/>
      <c r="AT123" s="156"/>
      <c r="AU123" s="156"/>
      <c r="AV123" s="156"/>
      <c r="AW123" s="156"/>
      <c r="AX123" s="156"/>
      <c r="AY123" s="156"/>
    </row>
    <row r="124" spans="1:51" ht="13.5" customHeight="1">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c r="AA124" s="156"/>
      <c r="AB124" s="156"/>
      <c r="AC124" s="156"/>
      <c r="AD124" s="156"/>
      <c r="AE124" s="156"/>
      <c r="AF124" s="156"/>
      <c r="AG124" s="156"/>
      <c r="AH124" s="156"/>
      <c r="AI124" s="156"/>
      <c r="AJ124" s="156"/>
      <c r="AK124" s="156"/>
      <c r="AL124" s="156"/>
      <c r="AM124" s="156"/>
      <c r="AN124" s="156"/>
      <c r="AO124" s="156"/>
      <c r="AP124" s="156"/>
      <c r="AQ124" s="156"/>
      <c r="AR124" s="156"/>
      <c r="AS124" s="156"/>
      <c r="AT124" s="156"/>
      <c r="AU124" s="156"/>
      <c r="AV124" s="156"/>
      <c r="AW124" s="156"/>
      <c r="AX124" s="156"/>
      <c r="AY124" s="156"/>
    </row>
    <row r="125" spans="1:51" ht="13.5" customHeight="1">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c r="AA125" s="156"/>
      <c r="AB125" s="156"/>
      <c r="AC125" s="156"/>
      <c r="AD125" s="156"/>
      <c r="AE125" s="156"/>
      <c r="AF125" s="156"/>
      <c r="AG125" s="156"/>
      <c r="AH125" s="156"/>
      <c r="AI125" s="156"/>
      <c r="AJ125" s="156"/>
      <c r="AK125" s="156"/>
      <c r="AL125" s="156"/>
      <c r="AM125" s="156"/>
      <c r="AN125" s="156"/>
      <c r="AO125" s="156"/>
      <c r="AP125" s="156"/>
      <c r="AQ125" s="156"/>
      <c r="AR125" s="156"/>
      <c r="AS125" s="156"/>
      <c r="AT125" s="156"/>
      <c r="AU125" s="156"/>
      <c r="AV125" s="156"/>
      <c r="AW125" s="156"/>
      <c r="AX125" s="156"/>
      <c r="AY125" s="156"/>
    </row>
    <row r="126" spans="1:51" ht="13.5" customHeight="1">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c r="AA126" s="156"/>
      <c r="AB126" s="156"/>
      <c r="AC126" s="156"/>
      <c r="AD126" s="156"/>
      <c r="AE126" s="156"/>
      <c r="AF126" s="156"/>
      <c r="AG126" s="156"/>
      <c r="AH126" s="156"/>
      <c r="AI126" s="156"/>
      <c r="AJ126" s="156"/>
      <c r="AK126" s="156"/>
      <c r="AL126" s="156"/>
      <c r="AM126" s="156"/>
      <c r="AN126" s="156"/>
      <c r="AO126" s="156"/>
      <c r="AP126" s="156"/>
      <c r="AQ126" s="156"/>
      <c r="AR126" s="156"/>
      <c r="AS126" s="156"/>
      <c r="AT126" s="156"/>
      <c r="AU126" s="156"/>
      <c r="AV126" s="156"/>
      <c r="AW126" s="156"/>
      <c r="AX126" s="156"/>
      <c r="AY126" s="156"/>
    </row>
    <row r="127" spans="1:51" ht="13.5" customHeight="1">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c r="AC127" s="156"/>
      <c r="AD127" s="156"/>
      <c r="AE127" s="156"/>
      <c r="AF127" s="156"/>
      <c r="AG127" s="156"/>
      <c r="AH127" s="156"/>
      <c r="AI127" s="156"/>
      <c r="AJ127" s="156"/>
      <c r="AK127" s="156"/>
      <c r="AL127" s="156"/>
      <c r="AM127" s="156"/>
      <c r="AN127" s="156"/>
      <c r="AO127" s="156"/>
      <c r="AP127" s="156"/>
      <c r="AQ127" s="156"/>
      <c r="AR127" s="156"/>
      <c r="AS127" s="156"/>
      <c r="AT127" s="156"/>
      <c r="AU127" s="156"/>
      <c r="AV127" s="156"/>
      <c r="AW127" s="156"/>
      <c r="AX127" s="156"/>
      <c r="AY127" s="156"/>
    </row>
    <row r="128" spans="1:51" ht="13.5" customHeight="1">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c r="AC128" s="156"/>
      <c r="AD128" s="156"/>
      <c r="AE128" s="156"/>
      <c r="AF128" s="156"/>
      <c r="AG128" s="156"/>
      <c r="AH128" s="156"/>
      <c r="AI128" s="156"/>
      <c r="AJ128" s="156"/>
      <c r="AK128" s="156"/>
      <c r="AL128" s="156"/>
      <c r="AM128" s="156"/>
      <c r="AN128" s="156"/>
      <c r="AO128" s="156"/>
      <c r="AP128" s="156"/>
      <c r="AQ128" s="156"/>
      <c r="AR128" s="156"/>
      <c r="AS128" s="156"/>
      <c r="AT128" s="156"/>
      <c r="AU128" s="156"/>
      <c r="AV128" s="156"/>
      <c r="AW128" s="156"/>
      <c r="AX128" s="156"/>
      <c r="AY128" s="156"/>
    </row>
    <row r="129" spans="1:51" ht="13.5" customHeight="1">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c r="AA129" s="156"/>
      <c r="AB129" s="156"/>
      <c r="AC129" s="156"/>
      <c r="AD129" s="156"/>
      <c r="AE129" s="156"/>
      <c r="AF129" s="156"/>
      <c r="AG129" s="156"/>
      <c r="AH129" s="156"/>
      <c r="AI129" s="156"/>
      <c r="AJ129" s="156"/>
      <c r="AK129" s="156"/>
      <c r="AL129" s="156"/>
      <c r="AM129" s="156"/>
      <c r="AN129" s="156"/>
      <c r="AO129" s="156"/>
      <c r="AP129" s="156"/>
      <c r="AQ129" s="156"/>
      <c r="AR129" s="156"/>
      <c r="AS129" s="156"/>
      <c r="AT129" s="156"/>
      <c r="AU129" s="156"/>
      <c r="AV129" s="156"/>
      <c r="AW129" s="156"/>
      <c r="AX129" s="156"/>
      <c r="AY129" s="156"/>
    </row>
  </sheetData>
  <mergeCells count="316">
    <mergeCell ref="AB16:AM16"/>
    <mergeCell ref="AN16:AY16"/>
    <mergeCell ref="AB32:AM32"/>
    <mergeCell ref="AN32:AY32"/>
    <mergeCell ref="G14:H14"/>
    <mergeCell ref="I14:J14"/>
    <mergeCell ref="G15:H15"/>
    <mergeCell ref="I15:J15"/>
    <mergeCell ref="K15:S15"/>
    <mergeCell ref="G17:H17"/>
    <mergeCell ref="I17:J17"/>
    <mergeCell ref="T15:AA15"/>
    <mergeCell ref="AB15:AM15"/>
    <mergeCell ref="AN15:AY15"/>
    <mergeCell ref="G16:H16"/>
    <mergeCell ref="I16:J16"/>
    <mergeCell ref="K16:S16"/>
    <mergeCell ref="T16:AA16"/>
    <mergeCell ref="G31:H31"/>
    <mergeCell ref="I31:J31"/>
    <mergeCell ref="G32:H32"/>
    <mergeCell ref="I32:J32"/>
    <mergeCell ref="T32:AA32"/>
    <mergeCell ref="G21:H21"/>
    <mergeCell ref="I21:J21"/>
    <mergeCell ref="AB22:AM22"/>
    <mergeCell ref="AN22:AY22"/>
    <mergeCell ref="G26:H26"/>
    <mergeCell ref="I26:J26"/>
    <mergeCell ref="G27:H27"/>
    <mergeCell ref="I27:J27"/>
    <mergeCell ref="T27:AA27"/>
    <mergeCell ref="AB27:AM27"/>
    <mergeCell ref="AN27:AY27"/>
    <mergeCell ref="G22:H22"/>
    <mergeCell ref="I22:J22"/>
    <mergeCell ref="T22:AA22"/>
    <mergeCell ref="I8:J8"/>
    <mergeCell ref="I9:J9"/>
    <mergeCell ref="I10:J10"/>
    <mergeCell ref="G8:H8"/>
    <mergeCell ref="G9:H9"/>
    <mergeCell ref="G10:H10"/>
    <mergeCell ref="AN9:AY9"/>
    <mergeCell ref="T9:AA9"/>
    <mergeCell ref="AB9:AM9"/>
    <mergeCell ref="K9:S9"/>
    <mergeCell ref="K10:S10"/>
    <mergeCell ref="T10:AA10"/>
    <mergeCell ref="AB10:AM10"/>
    <mergeCell ref="AN10:AY10"/>
    <mergeCell ref="O1:R1"/>
    <mergeCell ref="S1:Y1"/>
    <mergeCell ref="AL2:AN2"/>
    <mergeCell ref="O3:R3"/>
    <mergeCell ref="S3:Y3"/>
    <mergeCell ref="Z3:AC3"/>
    <mergeCell ref="AD3:AN3"/>
    <mergeCell ref="AD2:AH2"/>
    <mergeCell ref="AI2:AK2"/>
    <mergeCell ref="Z2:AC2"/>
    <mergeCell ref="G36:H36"/>
    <mergeCell ref="I36:J36"/>
    <mergeCell ref="G37:H37"/>
    <mergeCell ref="I37:J37"/>
    <mergeCell ref="T37:AA37"/>
    <mergeCell ref="A32:F32"/>
    <mergeCell ref="AO1:AQ1"/>
    <mergeCell ref="AR1:AU1"/>
    <mergeCell ref="AV1:AY1"/>
    <mergeCell ref="AD1:AH1"/>
    <mergeCell ref="AI1:AK1"/>
    <mergeCell ref="AL1:AN1"/>
    <mergeCell ref="AO2:AQ2"/>
    <mergeCell ref="AR2:AU2"/>
    <mergeCell ref="AV2:AY3"/>
    <mergeCell ref="AO3:AQ3"/>
    <mergeCell ref="AR3:AU3"/>
    <mergeCell ref="Z1:AC1"/>
    <mergeCell ref="K2:N3"/>
    <mergeCell ref="O2:R2"/>
    <mergeCell ref="S2:Y2"/>
    <mergeCell ref="A1:E3"/>
    <mergeCell ref="F1:J3"/>
    <mergeCell ref="K1:N1"/>
    <mergeCell ref="I39:J39"/>
    <mergeCell ref="T39:AA39"/>
    <mergeCell ref="AB39:AM39"/>
    <mergeCell ref="AN39:AY39"/>
    <mergeCell ref="I40:J40"/>
    <mergeCell ref="T40:AA40"/>
    <mergeCell ref="AB40:AM40"/>
    <mergeCell ref="AN40:AY40"/>
    <mergeCell ref="AB37:AM37"/>
    <mergeCell ref="AN37:AY37"/>
    <mergeCell ref="I38:J38"/>
    <mergeCell ref="T38:AA38"/>
    <mergeCell ref="AN38:AY38"/>
    <mergeCell ref="I43:J43"/>
    <mergeCell ref="T43:AA43"/>
    <mergeCell ref="AB43:AM43"/>
    <mergeCell ref="AN43:AY43"/>
    <mergeCell ref="I44:J44"/>
    <mergeCell ref="T44:AA44"/>
    <mergeCell ref="AB44:AM44"/>
    <mergeCell ref="AN44:AY44"/>
    <mergeCell ref="I41:J41"/>
    <mergeCell ref="T41:AA41"/>
    <mergeCell ref="AB41:AM41"/>
    <mergeCell ref="AN41:AY41"/>
    <mergeCell ref="I42:J42"/>
    <mergeCell ref="T42:AA42"/>
    <mergeCell ref="AB42:AM42"/>
    <mergeCell ref="AN42:AY42"/>
    <mergeCell ref="I45:J45"/>
    <mergeCell ref="T45:AA45"/>
    <mergeCell ref="AB45:AM45"/>
    <mergeCell ref="AN45:AY45"/>
    <mergeCell ref="G46:H46"/>
    <mergeCell ref="I46:J46"/>
    <mergeCell ref="T46:AA46"/>
    <mergeCell ref="AB46:AM46"/>
    <mergeCell ref="AN46:AY46"/>
    <mergeCell ref="AN49:AY49"/>
    <mergeCell ref="G48:H48"/>
    <mergeCell ref="I48:J48"/>
    <mergeCell ref="T48:AA48"/>
    <mergeCell ref="AB48:AM48"/>
    <mergeCell ref="AN48:AY48"/>
    <mergeCell ref="G47:H47"/>
    <mergeCell ref="I47:J47"/>
    <mergeCell ref="T47:AA47"/>
    <mergeCell ref="AB47:AM47"/>
    <mergeCell ref="AN47:AY47"/>
    <mergeCell ref="I50:J50"/>
    <mergeCell ref="T50:AA50"/>
    <mergeCell ref="AB50:AM50"/>
    <mergeCell ref="I51:J51"/>
    <mergeCell ref="T51:AA51"/>
    <mergeCell ref="AB51:AM51"/>
    <mergeCell ref="G49:H49"/>
    <mergeCell ref="I49:J49"/>
    <mergeCell ref="T49:AA49"/>
    <mergeCell ref="AB49:AM49"/>
    <mergeCell ref="I54:J54"/>
    <mergeCell ref="T54:AA54"/>
    <mergeCell ref="AB54:AM54"/>
    <mergeCell ref="I55:J55"/>
    <mergeCell ref="T55:AA55"/>
    <mergeCell ref="AB55:AM55"/>
    <mergeCell ref="I52:J52"/>
    <mergeCell ref="T52:AA52"/>
    <mergeCell ref="AB52:AM52"/>
    <mergeCell ref="I53:J53"/>
    <mergeCell ref="T53:AA53"/>
    <mergeCell ref="AB53:AM53"/>
    <mergeCell ref="I58:J58"/>
    <mergeCell ref="T58:AA58"/>
    <mergeCell ref="AB58:AM58"/>
    <mergeCell ref="I59:J59"/>
    <mergeCell ref="T59:AA59"/>
    <mergeCell ref="AB59:AM59"/>
    <mergeCell ref="I56:J56"/>
    <mergeCell ref="T56:AA56"/>
    <mergeCell ref="AB56:AM56"/>
    <mergeCell ref="I57:J57"/>
    <mergeCell ref="T57:AA57"/>
    <mergeCell ref="AB57:AM57"/>
    <mergeCell ref="I62:J62"/>
    <mergeCell ref="T62:AA62"/>
    <mergeCell ref="AB62:AM62"/>
    <mergeCell ref="I63:J63"/>
    <mergeCell ref="T63:AA63"/>
    <mergeCell ref="AB63:AM63"/>
    <mergeCell ref="I60:J60"/>
    <mergeCell ref="T60:AA60"/>
    <mergeCell ref="AB60:AM60"/>
    <mergeCell ref="I61:J61"/>
    <mergeCell ref="T61:AA61"/>
    <mergeCell ref="AB61:AM61"/>
    <mergeCell ref="I66:J66"/>
    <mergeCell ref="T66:AA66"/>
    <mergeCell ref="AB66:AM66"/>
    <mergeCell ref="I67:J67"/>
    <mergeCell ref="T67:AA67"/>
    <mergeCell ref="AB67:AM67"/>
    <mergeCell ref="I64:J64"/>
    <mergeCell ref="T64:AA64"/>
    <mergeCell ref="AB64:AM64"/>
    <mergeCell ref="I65:J65"/>
    <mergeCell ref="T65:AA65"/>
    <mergeCell ref="AB65:AM65"/>
    <mergeCell ref="I70:J70"/>
    <mergeCell ref="T70:AA70"/>
    <mergeCell ref="AB70:AM70"/>
    <mergeCell ref="I71:J71"/>
    <mergeCell ref="T71:AA71"/>
    <mergeCell ref="AB71:AM71"/>
    <mergeCell ref="I68:J68"/>
    <mergeCell ref="T68:AA68"/>
    <mergeCell ref="AB68:AM68"/>
    <mergeCell ref="I69:J69"/>
    <mergeCell ref="T69:AA69"/>
    <mergeCell ref="AB69:AM69"/>
    <mergeCell ref="I74:J74"/>
    <mergeCell ref="T74:AA74"/>
    <mergeCell ref="AB74:AM74"/>
    <mergeCell ref="AN74:AY74"/>
    <mergeCell ref="I75:J75"/>
    <mergeCell ref="T75:AA75"/>
    <mergeCell ref="AB75:AM75"/>
    <mergeCell ref="AN75:AY75"/>
    <mergeCell ref="I72:J72"/>
    <mergeCell ref="T72:AA72"/>
    <mergeCell ref="AB72:AM72"/>
    <mergeCell ref="AN72:AY72"/>
    <mergeCell ref="I73:J73"/>
    <mergeCell ref="T73:AA73"/>
    <mergeCell ref="AB73:AM73"/>
    <mergeCell ref="AN73:AY73"/>
    <mergeCell ref="I78:J78"/>
    <mergeCell ref="T78:AA78"/>
    <mergeCell ref="AB78:AM78"/>
    <mergeCell ref="AN78:AY78"/>
    <mergeCell ref="I79:J79"/>
    <mergeCell ref="T79:AA79"/>
    <mergeCell ref="AB79:AM79"/>
    <mergeCell ref="AN79:AY79"/>
    <mergeCell ref="I76:J76"/>
    <mergeCell ref="T76:AA76"/>
    <mergeCell ref="AB76:AM76"/>
    <mergeCell ref="AN76:AY76"/>
    <mergeCell ref="I77:J77"/>
    <mergeCell ref="T77:AA77"/>
    <mergeCell ref="AB77:AM77"/>
    <mergeCell ref="AN77:AY77"/>
    <mergeCell ref="I82:J82"/>
    <mergeCell ref="T82:AA82"/>
    <mergeCell ref="AB82:AM82"/>
    <mergeCell ref="AN82:AY82"/>
    <mergeCell ref="I83:J83"/>
    <mergeCell ref="T83:AA83"/>
    <mergeCell ref="AB83:AM83"/>
    <mergeCell ref="AN83:AY83"/>
    <mergeCell ref="I80:J80"/>
    <mergeCell ref="T80:AA80"/>
    <mergeCell ref="AB80:AM80"/>
    <mergeCell ref="AN80:AY80"/>
    <mergeCell ref="I81:J81"/>
    <mergeCell ref="T81:AA81"/>
    <mergeCell ref="AB81:AM81"/>
    <mergeCell ref="AN81:AY81"/>
    <mergeCell ref="I86:J86"/>
    <mergeCell ref="T86:AA86"/>
    <mergeCell ref="AB86:AM86"/>
    <mergeCell ref="AN86:AY86"/>
    <mergeCell ref="I87:J87"/>
    <mergeCell ref="T87:AA87"/>
    <mergeCell ref="AB87:AM87"/>
    <mergeCell ref="AN87:AY87"/>
    <mergeCell ref="I84:J84"/>
    <mergeCell ref="T84:AA84"/>
    <mergeCell ref="AB84:AM84"/>
    <mergeCell ref="AN84:AY84"/>
    <mergeCell ref="I85:J85"/>
    <mergeCell ref="T85:AA85"/>
    <mergeCell ref="AB85:AM85"/>
    <mergeCell ref="AN85:AY85"/>
    <mergeCell ref="I90:J90"/>
    <mergeCell ref="T90:AA90"/>
    <mergeCell ref="AB90:AM90"/>
    <mergeCell ref="AN90:AY90"/>
    <mergeCell ref="I91:J91"/>
    <mergeCell ref="T91:AA91"/>
    <mergeCell ref="AB91:AM91"/>
    <mergeCell ref="AN91:AY91"/>
    <mergeCell ref="I88:J88"/>
    <mergeCell ref="T88:AA88"/>
    <mergeCell ref="AB88:AM88"/>
    <mergeCell ref="AN88:AY88"/>
    <mergeCell ref="I89:J89"/>
    <mergeCell ref="T89:AA89"/>
    <mergeCell ref="AB89:AM89"/>
    <mergeCell ref="AN89:AY89"/>
    <mergeCell ref="I94:J94"/>
    <mergeCell ref="T94:AA94"/>
    <mergeCell ref="AB94:AM94"/>
    <mergeCell ref="AN94:AY94"/>
    <mergeCell ref="I95:J95"/>
    <mergeCell ref="T95:AA95"/>
    <mergeCell ref="AB95:AM95"/>
    <mergeCell ref="AN95:AY95"/>
    <mergeCell ref="I92:J92"/>
    <mergeCell ref="T92:AA92"/>
    <mergeCell ref="AB92:AM92"/>
    <mergeCell ref="AN92:AY92"/>
    <mergeCell ref="I93:J93"/>
    <mergeCell ref="T93:AA93"/>
    <mergeCell ref="AB93:AM93"/>
    <mergeCell ref="AN93:AY93"/>
    <mergeCell ref="I98:J98"/>
    <mergeCell ref="T98:AA98"/>
    <mergeCell ref="AB98:AM98"/>
    <mergeCell ref="AN98:AY98"/>
    <mergeCell ref="I99:J99"/>
    <mergeCell ref="T99:AA99"/>
    <mergeCell ref="AB99:AM99"/>
    <mergeCell ref="AN99:AY99"/>
    <mergeCell ref="I96:J96"/>
    <mergeCell ref="T96:AA96"/>
    <mergeCell ref="AB96:AM96"/>
    <mergeCell ref="AN96:AY96"/>
    <mergeCell ref="I97:J97"/>
    <mergeCell ref="T97:AA97"/>
    <mergeCell ref="AB97:AM97"/>
    <mergeCell ref="AN97:AY97"/>
  </mergeCells>
  <phoneticPr fontId="4"/>
  <dataValidations count="1">
    <dataValidation imeMode="off" allowBlank="1" showInputMessage="1" showErrorMessage="1" sqref="K38:K99" xr:uid="{00000000-0002-0000-0B00-000000000000}"/>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&amp;L&amp;F&amp;C&amp;P / &amp;N&amp;R&amp;A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EVCTUWYQZQYC-538864054-22426</_dlc_DocId>
    <_dlc_DocIdUrl xmlns="276bdb53-d102-4a67-8437-273e78fbb7dc">
      <Url>https://mitsubishielectricgroup.sharepoint.com/sites/009989/_layouts/15/DocIdRedir.aspx?ID=EVCTUWYQZQYC-538864054-22426</Url>
      <Description>EVCTUWYQZQYC-538864054-22426</Description>
    </_dlc_DocIdUrl>
    <lcf76f155ced4ddcb4097134ff3c332f xmlns="761a324b-5d78-44cf-b9f7-03e8b2a8fda7">
      <Terms xmlns="http://schemas.microsoft.com/office/infopath/2007/PartnerControls"/>
    </lcf76f155ced4ddcb4097134ff3c332f>
    <TaxCatchAll xmlns="276bdb53-d102-4a67-8437-273e78fbb7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5C4E24-7663-4B48-806D-CCF91B6E78BF}">
  <ds:schemaRefs>
    <ds:schemaRef ds:uri="http://schemas.microsoft.com/office/2006/metadata/properties"/>
    <ds:schemaRef ds:uri="http://www.w3.org/XML/1998/namespace"/>
    <ds:schemaRef ds:uri="a62c3667-f611-4d96-b4b9-cda3e8c0fb9a"/>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82559803-07c9-447d-acef-13d47465e043"/>
    <ds:schemaRef ds:uri="ed62a9f5-ecdf-4f2f-99a2-95f441c768bc"/>
    <ds:schemaRef ds:uri="http://purl.org/dc/terms/"/>
  </ds:schemaRefs>
</ds:datastoreItem>
</file>

<file path=customXml/itemProps2.xml><?xml version="1.0" encoding="utf-8"?>
<ds:datastoreItem xmlns:ds="http://schemas.openxmlformats.org/officeDocument/2006/customXml" ds:itemID="{83FD5857-81FE-498B-9440-C627AA36BC34}">
  <ds:schemaRefs>
    <ds:schemaRef ds:uri="http://schemas.microsoft.com/sharepoint/v3/contenttype/forms"/>
  </ds:schemaRefs>
</ds:datastoreItem>
</file>

<file path=customXml/itemProps3.xml><?xml version="1.0" encoding="utf-8"?>
<ds:datastoreItem xmlns:ds="http://schemas.openxmlformats.org/officeDocument/2006/customXml" ds:itemID="{7237F841-F2F2-40A8-9BC5-CB190D3ED5D1}">
  <ds:schemaRefs>
    <ds:schemaRef ds:uri="http://schemas.microsoft.com/sharepoint/events"/>
  </ds:schemaRefs>
</ds:datastoreItem>
</file>

<file path=customXml/itemProps4.xml><?xml version="1.0" encoding="utf-8"?>
<ds:datastoreItem xmlns:ds="http://schemas.openxmlformats.org/officeDocument/2006/customXml" ds:itemID="{06EBAED4-E11A-448C-A27F-BEACFE0A39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26</vt:i4>
      </vt:variant>
    </vt:vector>
  </HeadingPairs>
  <TitlesOfParts>
    <vt:vector size="30" baseType="lpstr">
      <vt:lpstr>表紙</vt:lpstr>
      <vt:lpstr>処理概要</vt:lpstr>
      <vt:lpstr>処理詳細 </vt:lpstr>
      <vt:lpstr>サービス呼出編集仕様</vt:lpstr>
      <vt:lpstr>サービス呼出編集仕様!Print_Area</vt:lpstr>
      <vt:lpstr>処理概要!Print_Area</vt:lpstr>
      <vt:lpstr>'処理詳細 '!Print_Area</vt:lpstr>
      <vt:lpstr>表紙!Print_Area</vt:lpstr>
      <vt:lpstr>サービス呼出編集仕様!Print_Titles</vt:lpstr>
      <vt:lpstr>処理概要!Print_Titles</vt:lpstr>
      <vt:lpstr>'処理詳細 '!Print_Titles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文書番号</vt:lpstr>
      <vt:lpstr>文書名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2022-11-09T01:41:20Z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6bfda0fd-14e0-455e-8849-1e0e9d2a5a02</vt:lpwstr>
  </property>
  <property fmtid="{D5CDD505-2E9C-101B-9397-08002B2CF9AE}" pid="4" name="AuthorIds_UIVersion_4">
    <vt:lpwstr>61</vt:lpwstr>
  </property>
</Properties>
</file>