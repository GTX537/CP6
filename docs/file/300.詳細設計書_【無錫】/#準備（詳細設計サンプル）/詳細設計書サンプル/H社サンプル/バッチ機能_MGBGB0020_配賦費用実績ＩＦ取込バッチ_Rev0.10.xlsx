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10"/>
  <workbookPr codeName="ThisWorkbook"/>
  <mc:AlternateContent xmlns:mc="http://schemas.openxmlformats.org/markup-compatibility/2006">
    <mc:Choice Requires="x15">
      <x15ac:absPath xmlns:x15ac="http://schemas.microsoft.com/office/spreadsheetml/2010/11/ac" url="C:\Users\okumotot\Documents\01_個人フォルダ\Project\270_クラウンパッケージ\04_ソフトウェア開発フェーズ\詳細設計書サンプル\H社サンプル\"/>
    </mc:Choice>
  </mc:AlternateContent>
  <xr:revisionPtr revIDLastSave="0" documentId="13_ncr:1_{16453CF7-DDD8-4FFF-A3A6-9B0AC1EFEB71}" xr6:coauthVersionLast="47" xr6:coauthVersionMax="47" xr10:uidLastSave="{00000000-0000-0000-0000-000000000000}"/>
  <bookViews>
    <workbookView xWindow="-110" yWindow="-110" windowWidth="19420" windowHeight="10420" tabRatio="929" xr2:uid="{00000000-000D-0000-FFFF-FFFF00000000}"/>
  </bookViews>
  <sheets>
    <sheet name="表紙（カスタマイズ）" sheetId="88" r:id="rId1"/>
    <sheet name="表紙" sheetId="83" r:id="rId2"/>
    <sheet name="変更来歴（カスタマイズ）" sheetId="89" r:id="rId3"/>
    <sheet name="変更来歴" sheetId="84" r:id="rId4"/>
    <sheet name="概要" sheetId="85" r:id="rId5"/>
    <sheet name="概要（カスタマイズ）" sheetId="90" r:id="rId6"/>
    <sheet name="引数説明" sheetId="86" r:id="rId7"/>
    <sheet name="処理・サービス関連図" sheetId="92" r:id="rId8"/>
    <sheet name="処理詳細 (システム設計時)" sheetId="96" r:id="rId9"/>
    <sheet name="処理詳細（ソフトウェア開発時）" sheetId="93" r:id="rId10"/>
    <sheet name="更新入出力仕様" sheetId="94" r:id="rId11"/>
    <sheet name="メッセージ一覧" sheetId="95" r:id="rId12"/>
    <sheet name="バッチ・ＩＦデータ確認" sheetId="87" r:id="rId13"/>
    <sheet name="補足説明" sheetId="91" state="hidden" r:id="rId14"/>
  </sheets>
  <externalReferences>
    <externalReference r:id="rId15"/>
    <externalReference r:id="rId16"/>
  </externalReferences>
  <definedNames>
    <definedName name="_____________a1" localSheetId="10" hidden="1">{"'Sheet1'!$A$3:$I$11"}</definedName>
    <definedName name="_____________a1" localSheetId="8" hidden="1">{"'Sheet1'!$A$3:$I$11"}</definedName>
    <definedName name="_____________a1" localSheetId="2" hidden="1">{"'Sheet1'!$A$3:$I$11"}</definedName>
    <definedName name="_____________a1" hidden="1">{"'Sheet1'!$A$3:$I$11"}</definedName>
    <definedName name="____________a1" localSheetId="10" hidden="1">{"'Sheet1'!$A$3:$I$11"}</definedName>
    <definedName name="____________a1" localSheetId="8" hidden="1">{"'Sheet1'!$A$3:$I$11"}</definedName>
    <definedName name="____________a1" localSheetId="2" hidden="1">{"'Sheet1'!$A$3:$I$11"}</definedName>
    <definedName name="____________a1" hidden="1">{"'Sheet1'!$A$3:$I$11"}</definedName>
    <definedName name="___________a1" localSheetId="10" hidden="1">{"'Sheet1'!$A$3:$I$11"}</definedName>
    <definedName name="___________a1" localSheetId="8" hidden="1">{"'Sheet1'!$A$3:$I$11"}</definedName>
    <definedName name="___________a1" localSheetId="2" hidden="1">{"'Sheet1'!$A$3:$I$11"}</definedName>
    <definedName name="___________a1" hidden="1">{"'Sheet1'!$A$3:$I$11"}</definedName>
    <definedName name="_________a1" localSheetId="10" hidden="1">{"'Sheet1'!$A$3:$I$11"}</definedName>
    <definedName name="_________a1" localSheetId="8" hidden="1">{"'Sheet1'!$A$3:$I$11"}</definedName>
    <definedName name="_________a1" localSheetId="2" hidden="1">{"'Sheet1'!$A$3:$I$11"}</definedName>
    <definedName name="_________a1" hidden="1">{"'Sheet1'!$A$3:$I$11"}</definedName>
    <definedName name="________a1" localSheetId="10" hidden="1">{"'Sheet1'!$A$3:$I$11"}</definedName>
    <definedName name="________a1" localSheetId="8" hidden="1">{"'Sheet1'!$A$3:$I$11"}</definedName>
    <definedName name="________a1" localSheetId="2" hidden="1">{"'Sheet1'!$A$3:$I$11"}</definedName>
    <definedName name="________a1" hidden="1">{"'Sheet1'!$A$3:$I$11"}</definedName>
    <definedName name="______a1" localSheetId="10" hidden="1">{"'Sheet1'!$A$3:$I$11"}</definedName>
    <definedName name="______a1" localSheetId="8" hidden="1">{"'Sheet1'!$A$3:$I$11"}</definedName>
    <definedName name="______a1" localSheetId="2" hidden="1">{"'Sheet1'!$A$3:$I$11"}</definedName>
    <definedName name="______a1" hidden="1">{"'Sheet1'!$A$3:$I$11"}</definedName>
    <definedName name="_____a1" localSheetId="10" hidden="1">{"'Sheet1'!$A$3:$I$11"}</definedName>
    <definedName name="_____a1" localSheetId="8" hidden="1">{"'Sheet1'!$A$3:$I$11"}</definedName>
    <definedName name="_____a1" localSheetId="2" hidden="1">{"'Sheet1'!$A$3:$I$11"}</definedName>
    <definedName name="_____a1" hidden="1">{"'Sheet1'!$A$3:$I$11"}</definedName>
    <definedName name="____a1" localSheetId="10" hidden="1">{"'Sheet1'!$A$3:$I$11"}</definedName>
    <definedName name="____a1" localSheetId="8" hidden="1">{"'Sheet1'!$A$3:$I$11"}</definedName>
    <definedName name="____a1" localSheetId="2" hidden="1">{"'Sheet1'!$A$3:$I$11"}</definedName>
    <definedName name="____a1" hidden="1">{"'Sheet1'!$A$3:$I$11"}</definedName>
    <definedName name="___a1" localSheetId="10" hidden="1">{"'Sheet1'!$A$3:$I$11"}</definedName>
    <definedName name="___a1" localSheetId="8" hidden="1">{"'Sheet1'!$A$3:$I$11"}</definedName>
    <definedName name="___a1" localSheetId="2" hidden="1">{"'Sheet1'!$A$3:$I$11"}</definedName>
    <definedName name="___a1" hidden="1">{"'Sheet1'!$A$3:$I$11"}</definedName>
    <definedName name="__a1" localSheetId="10" hidden="1">{"'Sheet1'!$A$3:$I$11"}</definedName>
    <definedName name="__a1" localSheetId="8" hidden="1">{"'Sheet1'!$A$3:$I$11"}</definedName>
    <definedName name="__a1" localSheetId="2" hidden="1">{"'Sheet1'!$A$3:$I$11"}</definedName>
    <definedName name="__a1" hidden="1">{"'Sheet1'!$A$3:$I$11"}</definedName>
    <definedName name="_Order1" hidden="1">255</definedName>
    <definedName name="_Table2_In1" hidden="1">[1]LIST!#REF!</definedName>
    <definedName name="_Table2_In2" hidden="1">[1]LIST!#REF!</definedName>
    <definedName name="A" hidden="1">#REF!</definedName>
    <definedName name="aa" localSheetId="10" hidden="1">{"'その他費用'!$B$3:$J$22"}</definedName>
    <definedName name="aa" localSheetId="8" hidden="1">{"'その他費用'!$B$3:$J$22"}</definedName>
    <definedName name="aa" localSheetId="2" hidden="1">{"'その他費用'!$B$3:$J$22"}</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localSheetId="10" hidden="1">{"'その他費用'!$B$3:$J$22"}</definedName>
    <definedName name="ADDON" localSheetId="8" hidden="1">{"'その他費用'!$B$3:$J$22"}</definedName>
    <definedName name="ADDON" localSheetId="2" hidden="1">{"'その他費用'!$B$3:$J$22"}</definedName>
    <definedName name="ADDON" hidden="1">{"'その他費用'!$B$3:$J$22"}</definedName>
    <definedName name="ADDON_2" localSheetId="10" hidden="1">{"'その他費用'!$B$3:$J$22"}</definedName>
    <definedName name="ADDON_2" localSheetId="8" hidden="1">{"'その他費用'!$B$3:$J$22"}</definedName>
    <definedName name="ADDON_2" localSheetId="2" hidden="1">{"'その他費用'!$B$3:$J$22"}</definedName>
    <definedName name="ADDON_2" hidden="1">{"'その他費用'!$B$3:$J$22"}</definedName>
    <definedName name="B" localSheetId="10" hidden="1">{"'その他費用'!$B$3:$J$22"}</definedName>
    <definedName name="B" localSheetId="8" hidden="1">{"'その他費用'!$B$3:$J$22"}</definedName>
    <definedName name="B" localSheetId="2" hidden="1">{"'その他費用'!$B$3:$J$22"}</definedName>
    <definedName name="B" hidden="1">{"'その他費用'!$B$3:$J$22"}</definedName>
    <definedName name="cc" localSheetId="10" hidden="1">{"'その他費用'!$B$3:$J$22"}</definedName>
    <definedName name="cc" localSheetId="8" hidden="1">{"'その他費用'!$B$3:$J$22"}</definedName>
    <definedName name="cc" localSheetId="2" hidden="1">{"'その他費用'!$B$3:$J$22"}</definedName>
    <definedName name="cc" hidden="1">{"'その他費用'!$B$3:$J$22"}</definedName>
    <definedName name="dd" localSheetId="10" hidden="1">{"'その他費用'!$B$3:$J$22"}</definedName>
    <definedName name="dd" localSheetId="8" hidden="1">{"'その他費用'!$B$3:$J$22"}</definedName>
    <definedName name="dd" localSheetId="2" hidden="1">{"'その他費用'!$B$3:$J$22"}</definedName>
    <definedName name="dd" hidden="1">{"'その他費用'!$B$3:$J$22"}</definedName>
    <definedName name="ee" localSheetId="10" hidden="1">{"'その他費用'!$B$3:$J$22"}</definedName>
    <definedName name="ee" localSheetId="8" hidden="1">{"'その他費用'!$B$3:$J$22"}</definedName>
    <definedName name="ee" localSheetId="2" hidden="1">{"'その他費用'!$B$3:$J$22"}</definedName>
    <definedName name="ee" hidden="1">{"'その他費用'!$B$3:$J$22"}</definedName>
    <definedName name="f" localSheetId="10" hidden="1">{"'その他費用'!$B$3:$J$22"}</definedName>
    <definedName name="f" localSheetId="8" hidden="1">{"'その他費用'!$B$3:$J$22"}</definedName>
    <definedName name="f" localSheetId="2" hidden="1">{"'その他費用'!$B$3:$J$22"}</definedName>
    <definedName name="f" hidden="1">{"'その他費用'!$B$3:$J$22"}</definedName>
    <definedName name="ffff" localSheetId="10" hidden="1">{"'その他費用'!$B$3:$J$22"}</definedName>
    <definedName name="ffff" localSheetId="8" hidden="1">{"'その他費用'!$B$3:$J$22"}</definedName>
    <definedName name="ffff" localSheetId="2" hidden="1">{"'その他費用'!$B$3:$J$22"}</definedName>
    <definedName name="ffff" hidden="1">{"'その他費用'!$B$3:$J$22"}</definedName>
    <definedName name="HTML_CodePage" hidden="1">932</definedName>
    <definedName name="HTML_Control" localSheetId="10" hidden="1">{"'その他費用'!$B$3:$J$22"}</definedName>
    <definedName name="HTML_Control" localSheetId="8" hidden="1">{"'その他費用'!$B$3:$J$22"}</definedName>
    <definedName name="HTML_Control" localSheetId="2" hidden="1">{"'その他費用'!$B$3:$J$22"}</definedName>
    <definedName name="HTML_Control" hidden="1">{"'その他費用'!$B$3:$J$22"}</definedName>
    <definedName name="HTML_Control1" localSheetId="10" hidden="1">{"'その他費用'!$B$3:$J$22"}</definedName>
    <definedName name="HTML_Control1" localSheetId="8" hidden="1">{"'その他費用'!$B$3:$J$22"}</definedName>
    <definedName name="HTML_Control1" localSheetId="2" hidden="1">{"'その他費用'!$B$3:$J$22"}</definedName>
    <definedName name="HTML_Control1" hidden="1">{"'その他費用'!$B$3:$J$22"}</definedName>
    <definedName name="HTML_Control2" localSheetId="10" hidden="1">{"'その他費用'!$B$3:$J$22"}</definedName>
    <definedName name="HTML_Control2" localSheetId="8" hidden="1">{"'その他費用'!$B$3:$J$22"}</definedName>
    <definedName name="HTML_Control2" localSheetId="2" hidden="1">{"'その他費用'!$B$3:$J$22"}</definedName>
    <definedName name="HTML_Control2" hidden="1">{"'その他費用'!$B$3:$J$22"}</definedName>
    <definedName name="HTML_Control3" localSheetId="10" hidden="1">{"'その他費用'!$B$3:$J$22"}</definedName>
    <definedName name="HTML_Control3" localSheetId="8" hidden="1">{"'その他費用'!$B$3:$J$22"}</definedName>
    <definedName name="HTML_Control3" localSheetId="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0" hidden="1">{"'その他費用'!$B$3:$J$22"}</definedName>
    <definedName name="InterFace" localSheetId="8" hidden="1">{"'その他費用'!$B$3:$J$22"}</definedName>
    <definedName name="InterFace" localSheetId="2" hidden="1">{"'その他費用'!$B$3:$J$22"}</definedName>
    <definedName name="InterFace" hidden="1">{"'その他費用'!$B$3:$J$22"}</definedName>
    <definedName name="_xlnm.Print_Area" localSheetId="4">概要!$A$1:$CH$139</definedName>
    <definedName name="_xlnm.Print_Area" localSheetId="5">'概要（カスタマイズ）'!$A$1:$CH$44</definedName>
    <definedName name="_xlnm.Print_Area" localSheetId="10">更新入出力仕様!$A$1:$BK$88</definedName>
    <definedName name="_xlnm.Print_Area" localSheetId="8">'処理詳細 (システム設計時)'!$A$1:$BK$50</definedName>
    <definedName name="_xlnm.Print_Area" localSheetId="9">'処理詳細（ソフトウェア開発時）'!$A$1:$BK$482</definedName>
    <definedName name="_xlnm.Print_Area" localSheetId="1">表紙!$A$1:$AX$34</definedName>
    <definedName name="_xlnm.Print_Area" localSheetId="0">'表紙（カスタマイズ）'!$A$1:$AV$46</definedName>
    <definedName name="_xlnm.Print_Area" localSheetId="3">変更来歴!$A$1:$BM$35</definedName>
    <definedName name="_xlnm.Print_Area" localSheetId="2">'変更来歴（カスタマイズ）'!$A$1:$BM$30</definedName>
    <definedName name="_xlnm.Print_Titles" localSheetId="12">バッチ・ＩＦデータ確認!$1:$4</definedName>
    <definedName name="_xlnm.Print_Titles" localSheetId="11">メッセージ一覧!$1:$4</definedName>
    <definedName name="_xlnm.Print_Titles" localSheetId="6">引数説明!$1:$4</definedName>
    <definedName name="_xlnm.Print_Titles" localSheetId="4">概要!$1:$4</definedName>
    <definedName name="_xlnm.Print_Titles" localSheetId="5">'概要（カスタマイズ）'!$1:$4</definedName>
    <definedName name="_xlnm.Print_Titles" localSheetId="10">更新入出力仕様!$1:$4</definedName>
    <definedName name="_xlnm.Print_Titles" localSheetId="7">処理・サービス関連図!$1:$4</definedName>
    <definedName name="_xlnm.Print_Titles" localSheetId="8">'処理詳細 (システム設計時)'!$1:$4</definedName>
    <definedName name="_xlnm.Print_Titles" localSheetId="9">'処理詳細（ソフトウェア開発時）'!$1:$4</definedName>
    <definedName name="_xlnm.Print_Titles" localSheetId="2">'変更来歴（カスタマイズ）'!$1:$5</definedName>
    <definedName name="_xlnm.Print_Titles" localSheetId="13">補足説明!$1:$4</definedName>
    <definedName name="Rev." localSheetId="8">'[2]表紙（カスタマイズ）'!$U$22</definedName>
    <definedName name="Rev.">'表紙（カスタマイズ）'!$U$22</definedName>
    <definedName name="Revision" localSheetId="8">[2]表紙!$AP$5</definedName>
    <definedName name="Revision">表紙!$AP$5</definedName>
    <definedName name="RR" localSheetId="10" hidden="1">{"'その他費用'!$B$3:$J$22"}</definedName>
    <definedName name="RR" localSheetId="8" hidden="1">{"'その他費用'!$B$3:$J$22"}</definedName>
    <definedName name="RR" localSheetId="2" hidden="1">{"'その他費用'!$B$3:$J$22"}</definedName>
    <definedName name="RR" hidden="1">{"'その他費用'!$B$3:$J$22"}</definedName>
    <definedName name="Ver." localSheetId="8">'[2]表紙（カスタマイズ）'!$AE$26</definedName>
    <definedName name="Ver.">'表紙（カスタマイズ）'!$AE$26</definedName>
    <definedName name="Version" localSheetId="8">[2]表紙!$AJ$5</definedName>
    <definedName name="Version">表紙!$AJ$5</definedName>
    <definedName name="weww" localSheetId="10"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0" hidden="1">{"'その他費用'!$B$3:$J$22"}</definedName>
    <definedName name="ああ" localSheetId="8" hidden="1">{"'その他費用'!$B$3:$J$22"}</definedName>
    <definedName name="ああ" localSheetId="2" hidden="1">{"'その他費用'!$B$3:$J$22"}</definedName>
    <definedName name="ああ" hidden="1">{"'その他費用'!$B$3:$J$22"}</definedName>
    <definedName name="アドオン" localSheetId="10" hidden="1">{"'その他費用'!$B$3:$J$22"}</definedName>
    <definedName name="アドオン" localSheetId="8" hidden="1">{"'その他費用'!$B$3:$J$22"}</definedName>
    <definedName name="アドオン" localSheetId="2" hidden="1">{"'その他費用'!$B$3:$J$22"}</definedName>
    <definedName name="アドオン" hidden="1">{"'その他費用'!$B$3:$J$22"}</definedName>
    <definedName name="こ" localSheetId="10" hidden="1">{"'その他費用'!$B$3:$J$22"}</definedName>
    <definedName name="こ" localSheetId="8" hidden="1">{"'その他費用'!$B$3:$J$22"}</definedName>
    <definedName name="こ" localSheetId="2" hidden="1">{"'その他費用'!$B$3:$J$22"}</definedName>
    <definedName name="こ" hidden="1">{"'その他費用'!$B$3:$J$22"}</definedName>
    <definedName name="ご確認者">'表紙（カスタマイズ）'!$AG$40</definedName>
    <definedName name="ご確認日">'表紙（カスタマイズ）'!$AG$42</definedName>
    <definedName name="サブシステム名">'表紙（カスタマイズ）'!$U$28</definedName>
    <definedName name="システム名">'表紙（カスタマイズ）'!$U$26</definedName>
    <definedName name="プロジェクト名">'表紙（カスタマイズ）'!$U$18</definedName>
    <definedName name="開発区分">'表紙（カスタマイズ）'!$U$36</definedName>
    <definedName name="機能ＩＤ">'表紙（カスタマイズ）'!$U$32</definedName>
    <definedName name="機能区分">'表紙（カスタマイズ）'!$U$34</definedName>
    <definedName name="機能名称">'表紙（カスタマイズ）'!$U$30</definedName>
    <definedName name="顧客名">'表紙（カスタマイズ）'!$U$16</definedName>
    <definedName name="最終更新者">'表紙（カスタマイズ）'!$AB$40</definedName>
    <definedName name="最終更新日">'表紙（カスタマイズ）'!$AB$42</definedName>
    <definedName name="作成者">'表紙（カスタマイズ）'!$W$40</definedName>
    <definedName name="作成日">'表紙（カスタマイズ）'!$W$42</definedName>
    <definedName name="章">'表紙（カスタマイズ）'!$M$10</definedName>
    <definedName name="発行日">表紙!$C$31</definedName>
    <definedName name="文書番号" localSheetId="8">[2]表紙!$O$5</definedName>
    <definedName name="文書番号">表紙!$O$5</definedName>
    <definedName name="文書番号_カスタマイズ" localSheetId="8">'[2]表紙（カスタマイズ）'!$U$20</definedName>
    <definedName name="文書番号_カスタマイズ">'表紙（カスタマイズ）'!$U$20</definedName>
    <definedName name="文書名" localSheetId="8">[2]表紙!$M$15</definedName>
    <definedName name="文書名">表紙!$M$15</definedName>
    <definedName name="文書名_カスタマイズ" localSheetId="8">'[2]表紙（カスタマイズ）'!$M$10</definedName>
    <definedName name="文書名_カスタマイズ">'表紙（カスタマイズ）'!$M$10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96" l="1"/>
  <c r="Z3" i="96"/>
  <c r="K3" i="96"/>
  <c r="BF2" i="96"/>
  <c r="AZ2" i="96"/>
  <c r="AS2" i="96"/>
  <c r="AJ2" i="96"/>
  <c r="Z2" i="96"/>
  <c r="K2" i="96"/>
  <c r="AJ1" i="96"/>
  <c r="Z1" i="96"/>
  <c r="A1" i="96"/>
  <c r="AB40" i="88" l="1"/>
  <c r="AE3" i="95" l="1"/>
  <c r="Z3" i="95"/>
  <c r="K3" i="95"/>
  <c r="AS2" i="95"/>
  <c r="AJ2" i="95"/>
  <c r="Z2" i="95"/>
  <c r="AJ1" i="95"/>
  <c r="Z1" i="95"/>
  <c r="A1" i="95"/>
  <c r="AB42" i="88" l="1"/>
  <c r="AE3" i="94" l="1"/>
  <c r="Z3" i="94"/>
  <c r="K3" i="94"/>
  <c r="AZ2" i="94"/>
  <c r="AS2" i="94"/>
  <c r="AJ2" i="94"/>
  <c r="Z2" i="94"/>
  <c r="K2" i="94"/>
  <c r="AJ1" i="94"/>
  <c r="Z1" i="94"/>
  <c r="A1" i="94"/>
  <c r="AE3" i="93" l="1"/>
  <c r="Z3" i="93"/>
  <c r="K3" i="93"/>
  <c r="AZ2" i="93"/>
  <c r="AS2" i="93"/>
  <c r="AJ2" i="93"/>
  <c r="Z2" i="93"/>
  <c r="K2" i="93"/>
  <c r="AJ1" i="93"/>
  <c r="Z1" i="93"/>
  <c r="A1" i="93"/>
  <c r="AE3" i="92" l="1"/>
  <c r="Z3" i="92"/>
  <c r="K3" i="92"/>
  <c r="AZ2" i="92"/>
  <c r="AS2" i="92"/>
  <c r="AJ2" i="92"/>
  <c r="Z2" i="92"/>
  <c r="K2" i="92"/>
  <c r="AJ1" i="92"/>
  <c r="Z1" i="92"/>
  <c r="A1" i="92"/>
  <c r="AZ2" i="91" l="1"/>
  <c r="AS2" i="91"/>
  <c r="K2" i="91"/>
  <c r="AE3" i="91"/>
  <c r="Z3" i="91"/>
  <c r="K3" i="91"/>
  <c r="AJ2" i="91"/>
  <c r="Z2" i="91"/>
  <c r="AJ1" i="91"/>
  <c r="Z1" i="91"/>
  <c r="A1" i="91"/>
  <c r="BU2" i="90" l="1"/>
  <c r="BL2" i="90"/>
  <c r="O2" i="90"/>
  <c r="AQ3" i="90"/>
  <c r="AJ3" i="90"/>
  <c r="O3" i="90"/>
  <c r="AX2" i="90"/>
  <c r="AJ2" i="90"/>
  <c r="AX1" i="90"/>
  <c r="AJ1" i="90"/>
  <c r="A1" i="90"/>
  <c r="W42" i="88" l="1" a="1"/>
  <c r="W42" i="88" s="1"/>
  <c r="W40" i="88" a="1"/>
  <c r="W40" i="88" s="1"/>
  <c r="U22" i="88" a="1"/>
  <c r="U22" i="88" s="1"/>
  <c r="BF2" i="94" l="1"/>
  <c r="BF2" i="93"/>
  <c r="BF2" i="92"/>
  <c r="BF2" i="91"/>
  <c r="CB2" i="90"/>
  <c r="K3" i="89"/>
  <c r="BH2" i="89"/>
  <c r="BB2" i="89"/>
  <c r="AU2" i="89"/>
  <c r="K2" i="89"/>
  <c r="AG3" i="89"/>
  <c r="Z1" i="89"/>
  <c r="A1" i="89"/>
  <c r="Z3" i="89"/>
  <c r="Z2" i="89"/>
  <c r="AL1" i="89"/>
  <c r="AL2" i="89"/>
  <c r="AJ1" i="87" l="1"/>
  <c r="AJ1" i="86"/>
  <c r="AX1" i="85"/>
  <c r="AX48" i="83"/>
  <c r="AJ43" i="83"/>
  <c r="AL1" i="84"/>
  <c r="AE45" i="83" l="1"/>
  <c r="AS2" i="87" l="1"/>
  <c r="AE3" i="87" l="1"/>
  <c r="Z3" i="87"/>
  <c r="K3" i="87"/>
  <c r="AJ2" i="87"/>
  <c r="Z2" i="87"/>
  <c r="Z1" i="87"/>
  <c r="A1" i="87"/>
  <c r="AE3" i="86" l="1"/>
  <c r="Z3" i="86"/>
  <c r="K3" i="86"/>
  <c r="BF2" i="86"/>
  <c r="AZ2" i="86"/>
  <c r="AS2" i="86"/>
  <c r="AJ2" i="86"/>
  <c r="Z2" i="86"/>
  <c r="K2" i="86"/>
  <c r="Z1" i="86"/>
  <c r="A1" i="86"/>
  <c r="AQ3" i="85"/>
  <c r="AJ3" i="85"/>
  <c r="O3" i="85"/>
  <c r="CB2" i="85"/>
  <c r="BU2" i="85"/>
  <c r="BL2" i="85"/>
  <c r="AX2" i="85"/>
  <c r="AJ2" i="85"/>
  <c r="O2" i="85"/>
  <c r="AJ1" i="85"/>
  <c r="A1" i="85"/>
  <c r="K2" i="84" l="1"/>
  <c r="BH2" i="84"/>
  <c r="BB2" i="84"/>
  <c r="AU2" i="84"/>
  <c r="K3" i="84"/>
  <c r="A1" i="84"/>
  <c r="Z3" i="84"/>
  <c r="AG3" i="84"/>
  <c r="Z1" i="84"/>
  <c r="Z2" i="84"/>
  <c r="AL2" i="84"/>
  <c r="BF40" i="83" l="1"/>
  <c r="AZ40" i="83"/>
  <c r="AS40" i="83"/>
  <c r="AQ50" i="83"/>
  <c r="AJ50" i="83"/>
  <c r="O50" i="83"/>
  <c r="CB49" i="83"/>
  <c r="BU49" i="83"/>
  <c r="BL49" i="83"/>
  <c r="AX49" i="83"/>
  <c r="AJ49" i="83"/>
  <c r="O49" i="83"/>
  <c r="AJ48" i="83"/>
  <c r="A48" i="83"/>
  <c r="Z45" i="83"/>
  <c r="K45" i="83"/>
  <c r="BF44" i="83"/>
  <c r="AZ44" i="83"/>
  <c r="AS44" i="83"/>
  <c r="AJ44" i="83"/>
  <c r="Z44" i="83"/>
  <c r="K44" i="83"/>
  <c r="Z43" i="83"/>
  <c r="A43" i="83"/>
  <c r="K41" i="83"/>
  <c r="K40" i="8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E1B9FB0-4076-4410-A121-EB5852A2FF0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0087FEC-101C-4C8A-A7AE-6405081C368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800-00000100000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00000000-0006-0000-0800-00000200000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900-000001000000}">
      <text>
        <r>
          <rPr>
            <b/>
            <sz val="9"/>
            <color indexed="81"/>
            <rFont val="MS P ゴシック"/>
            <family val="3"/>
            <charset val="128"/>
          </rPr>
          <t>ボタン押下で動作する処理
Srch01など</t>
        </r>
      </text>
    </comment>
    <comment ref="D6" authorId="1" shapeId="0" xr:uid="{00000000-0006-0000-0900-000002000000}">
      <text>
        <r>
          <rPr>
            <b/>
            <sz val="9"/>
            <color indexed="81"/>
            <rFont val="MS P ゴシック"/>
            <family val="3"/>
            <charset val="128"/>
          </rPr>
          <t>検索、追加、更新、削除など</t>
        </r>
      </text>
    </comment>
    <comment ref="C8" authorId="2" shapeId="0" xr:uid="{00000000-0006-0000-0900-000003000000}">
      <text>
        <r>
          <rPr>
            <b/>
            <sz val="9"/>
            <color indexed="81"/>
            <rFont val="ＭＳ Ｐゴシック"/>
            <family val="3"/>
            <charset val="128"/>
          </rPr>
          <t>画面オブジェクト
　→「画」
DBテーブル
　→「T」
ファイル
　→「フ」
帳票（xmlフォーム、帳票CSV）
　→「帳」</t>
        </r>
      </text>
    </comment>
    <comment ref="V8" authorId="2" shapeId="0" xr:uid="{00000000-0006-0000-0900-000004000000}">
      <text>
        <r>
          <rPr>
            <b/>
            <sz val="9"/>
            <color indexed="81"/>
            <rFont val="ＭＳ Ｐゴシック"/>
            <family val="3"/>
            <charset val="128"/>
          </rPr>
          <t>画面オブジェクト
　→「画」
DBテーブル
　→「T」
ファイル
　→「フ」
帳票（xmlフォーム、帳票CSV）
　→「帳」</t>
        </r>
      </text>
    </comment>
    <comment ref="Y13" authorId="0" shapeId="0" xr:uid="{00000000-0006-0000-0900-000005000000}">
      <text>
        <r>
          <rPr>
            <b/>
            <sz val="9"/>
            <color indexed="81"/>
            <rFont val="MS P ゴシック"/>
            <family val="3"/>
            <charset val="128"/>
          </rPr>
          <t>ボタン押下で動作する処理
Srch01など</t>
        </r>
      </text>
    </comment>
    <comment ref="D14" authorId="1" shapeId="0" xr:uid="{00000000-0006-0000-0900-000006000000}">
      <text>
        <r>
          <rPr>
            <b/>
            <sz val="9"/>
            <color indexed="81"/>
            <rFont val="MS P ゴシック"/>
            <family val="3"/>
            <charset val="128"/>
          </rPr>
          <t>検索、追加、更新、削除など</t>
        </r>
      </text>
    </comment>
    <comment ref="C16" authorId="2" shapeId="0" xr:uid="{00000000-0006-0000-0900-000007000000}">
      <text>
        <r>
          <rPr>
            <b/>
            <sz val="9"/>
            <color indexed="81"/>
            <rFont val="ＭＳ Ｐゴシック"/>
            <family val="3"/>
            <charset val="128"/>
          </rPr>
          <t>画面オブジェクト
　→「画」
DBテーブル
　→「T」
ファイル
　→「フ」
帳票（xmlフォーム、帳票CSV）
　→「帳」</t>
        </r>
      </text>
    </comment>
    <comment ref="V16" authorId="2" shapeId="0" xr:uid="{00000000-0006-0000-0900-000008000000}">
      <text>
        <r>
          <rPr>
            <b/>
            <sz val="9"/>
            <color indexed="81"/>
            <rFont val="ＭＳ Ｐゴシック"/>
            <family val="3"/>
            <charset val="128"/>
          </rPr>
          <t>画面オブジェクト
　→「画」
DBテーブル
　→「T」
ファイル
　→「フ」
帳票（xmlフォーム、帳票CSV）
　→「帳」</t>
        </r>
      </text>
    </comment>
    <comment ref="Y62" authorId="0" shapeId="0" xr:uid="{00000000-0006-0000-0900-000009000000}">
      <text>
        <r>
          <rPr>
            <b/>
            <sz val="9"/>
            <color indexed="81"/>
            <rFont val="MS P ゴシック"/>
            <family val="3"/>
            <charset val="128"/>
          </rPr>
          <t>ボタン押下で動作する処理
Srch01など</t>
        </r>
      </text>
    </comment>
    <comment ref="D63" authorId="1" shapeId="0" xr:uid="{00000000-0006-0000-0900-00000A000000}">
      <text>
        <r>
          <rPr>
            <b/>
            <sz val="9"/>
            <color indexed="81"/>
            <rFont val="MS P ゴシック"/>
            <family val="3"/>
            <charset val="128"/>
          </rPr>
          <t>検索、追加、更新、削除など</t>
        </r>
      </text>
    </comment>
    <comment ref="C65" authorId="2" shapeId="0" xr:uid="{00000000-0006-0000-0900-00000B000000}">
      <text>
        <r>
          <rPr>
            <b/>
            <sz val="9"/>
            <color indexed="81"/>
            <rFont val="ＭＳ Ｐゴシック"/>
            <family val="3"/>
            <charset val="128"/>
          </rPr>
          <t>画面オブジェクト
　→「画」
DBテーブル
　→「T」
ファイル
　→「フ」
帳票（xmlフォーム、帳票CSV）
　→「帳」</t>
        </r>
      </text>
    </comment>
    <comment ref="V65" authorId="2" shapeId="0" xr:uid="{00000000-0006-0000-0900-00000C000000}">
      <text>
        <r>
          <rPr>
            <b/>
            <sz val="9"/>
            <color indexed="81"/>
            <rFont val="ＭＳ Ｐゴシック"/>
            <family val="3"/>
            <charset val="128"/>
          </rPr>
          <t>画面オブジェクト
　→「画」
DBテーブル
　→「T」
ファイル
　→「フ」
帳票（xmlフォーム、帳票CSV）
　→「帳」</t>
        </r>
      </text>
    </comment>
    <comment ref="Y75" authorId="0" shapeId="0" xr:uid="{00000000-0006-0000-0900-00000D000000}">
      <text>
        <r>
          <rPr>
            <b/>
            <sz val="9"/>
            <color indexed="81"/>
            <rFont val="MS P ゴシック"/>
            <family val="3"/>
            <charset val="128"/>
          </rPr>
          <t>ボタン押下で動作する処理
Srch01など</t>
        </r>
      </text>
    </comment>
    <comment ref="D76" authorId="1" shapeId="0" xr:uid="{00000000-0006-0000-0900-00000E000000}">
      <text>
        <r>
          <rPr>
            <b/>
            <sz val="9"/>
            <color indexed="81"/>
            <rFont val="MS P ゴシック"/>
            <family val="3"/>
            <charset val="128"/>
          </rPr>
          <t>検索、追加、更新、削除など</t>
        </r>
      </text>
    </comment>
    <comment ref="C78" authorId="2" shapeId="0" xr:uid="{00000000-0006-0000-0900-00000F000000}">
      <text>
        <r>
          <rPr>
            <b/>
            <sz val="9"/>
            <color indexed="81"/>
            <rFont val="ＭＳ Ｐゴシック"/>
            <family val="3"/>
            <charset val="128"/>
          </rPr>
          <t>画面オブジェクト
　→「画」
DBテーブル
　→「T」
ファイル
　→「フ」
帳票（xmlフォーム、帳票CSV）
　→「帳」</t>
        </r>
      </text>
    </comment>
    <comment ref="V78" authorId="2" shapeId="0" xr:uid="{00000000-0006-0000-0900-000010000000}">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<sst xmlns="http://schemas.openxmlformats.org/spreadsheetml/2006/main" count="2034" uniqueCount="838">
  <si>
    <t>基本設計</t>
    <rPh sb="0" eb="2">
      <t>キホン</t>
    </rPh>
    <rPh sb="2" eb="4">
      <t>セッケイ</t>
    </rPh>
    <phoneticPr fontId="1"/>
  </si>
  <si>
    <t>バッチ機能</t>
    <rPh sb="3" eb="5">
      <t>キノウ</t>
    </rPh>
    <phoneticPr fontId="1"/>
  </si>
  <si>
    <t>顧客</t>
    <rPh sb="0" eb="2">
      <t>コキャク</t>
    </rPh>
    <phoneticPr fontId="1"/>
  </si>
  <si>
    <t>株式会社H</t>
    <rPh sb="0" eb="4">
      <t>カブシキガイシャ</t>
    </rPh>
    <phoneticPr fontId="1"/>
  </si>
  <si>
    <t>プロジェクト名</t>
    <rPh sb="6" eb="7">
      <t>メイ</t>
    </rPh>
    <phoneticPr fontId="1"/>
  </si>
  <si>
    <t>ERPシステム</t>
    <phoneticPr fontId="1"/>
  </si>
  <si>
    <t>文書番号</t>
    <rPh sb="0" eb="2">
      <t>ブンショ</t>
    </rPh>
    <rPh sb="2" eb="4">
      <t>バンゴウ</t>
    </rPh>
    <phoneticPr fontId="1"/>
  </si>
  <si>
    <t>J052-0-0001</t>
    <phoneticPr fontId="17"/>
  </si>
  <si>
    <t>Ｒｅｖ．</t>
    <phoneticPr fontId="1"/>
  </si>
  <si>
    <t>機密性区分</t>
    <rPh sb="0" eb="2">
      <t>キミツ</t>
    </rPh>
    <rPh sb="2" eb="3">
      <t>セイ</t>
    </rPh>
    <rPh sb="3" eb="5">
      <t>クブン</t>
    </rPh>
    <phoneticPr fontId="1"/>
  </si>
  <si>
    <t>取扱注意（Ｃ）</t>
    <rPh sb="0" eb="2">
      <t>トリアツカ</t>
    </rPh>
    <rPh sb="2" eb="4">
      <t>チュウイ</t>
    </rPh>
    <phoneticPr fontId="1"/>
  </si>
  <si>
    <t>システム名</t>
    <rPh sb="4" eb="5">
      <t>メイ</t>
    </rPh>
    <phoneticPr fontId="1"/>
  </si>
  <si>
    <t>mcframe7</t>
    <phoneticPr fontId="1"/>
  </si>
  <si>
    <t>Ver.</t>
    <phoneticPr fontId="1"/>
  </si>
  <si>
    <t>7.0.1</t>
    <phoneticPr fontId="1"/>
  </si>
  <si>
    <t>サブモジュール</t>
    <phoneticPr fontId="1"/>
  </si>
  <si>
    <t>原価管理</t>
    <rPh sb="0" eb="2">
      <t>ゲンカ</t>
    </rPh>
    <rPh sb="2" eb="4">
      <t>カンリ</t>
    </rPh>
    <phoneticPr fontId="1"/>
  </si>
  <si>
    <t>業務共通</t>
    <rPh sb="0" eb="2">
      <t>ギョウム</t>
    </rPh>
    <rPh sb="2" eb="4">
      <t>キョウツウ</t>
    </rPh>
    <phoneticPr fontId="1"/>
  </si>
  <si>
    <t>機能名</t>
    <rPh sb="0" eb="2">
      <t>キノウ</t>
    </rPh>
    <rPh sb="2" eb="3">
      <t>メイ</t>
    </rPh>
    <phoneticPr fontId="1"/>
  </si>
  <si>
    <t>配賦費用実績ＩＦ取込バッチ</t>
    <rPh sb="0" eb="2">
      <t>ハイフ</t>
    </rPh>
    <rPh sb="2" eb="4">
      <t>ヒヨウ</t>
    </rPh>
    <rPh sb="4" eb="6">
      <t>ジッセキ</t>
    </rPh>
    <rPh sb="8" eb="10">
      <t>トリコミ</t>
    </rPh>
    <phoneticPr fontId="17"/>
  </si>
  <si>
    <t>承認管理</t>
    <rPh sb="0" eb="2">
      <t>ショウニン</t>
    </rPh>
    <rPh sb="2" eb="4">
      <t>カンリ</t>
    </rPh>
    <phoneticPr fontId="1"/>
  </si>
  <si>
    <t>生産管理</t>
    <rPh sb="0" eb="2">
      <t>セイサン</t>
    </rPh>
    <rPh sb="2" eb="4">
      <t>カンリ</t>
    </rPh>
    <phoneticPr fontId="1"/>
  </si>
  <si>
    <t>機能ID</t>
    <rPh sb="0" eb="2">
      <t>キノウ</t>
    </rPh>
    <phoneticPr fontId="1"/>
  </si>
  <si>
    <t>MGBGB0020</t>
    <phoneticPr fontId="17"/>
  </si>
  <si>
    <t>機能区分</t>
    <rPh sb="0" eb="2">
      <t>キノウ</t>
    </rPh>
    <rPh sb="2" eb="4">
      <t>クブン</t>
    </rPh>
    <phoneticPr fontId="1"/>
  </si>
  <si>
    <t>バッチ</t>
  </si>
  <si>
    <t>画面</t>
    <rPh sb="0" eb="2">
      <t>ガメン</t>
    </rPh>
    <phoneticPr fontId="1"/>
  </si>
  <si>
    <t>帳票</t>
    <rPh sb="0" eb="2">
      <t>チョウヒョウ</t>
    </rPh>
    <phoneticPr fontId="1"/>
  </si>
  <si>
    <t>開発区分</t>
    <rPh sb="0" eb="2">
      <t>カイハツ</t>
    </rPh>
    <rPh sb="2" eb="4">
      <t>クブン</t>
    </rPh>
    <phoneticPr fontId="1"/>
  </si>
  <si>
    <t>カスタマイズ</t>
  </si>
  <si>
    <t>バッチ</t>
    <phoneticPr fontId="1"/>
  </si>
  <si>
    <t>カスタマイズ</t>
    <phoneticPr fontId="1"/>
  </si>
  <si>
    <t>作成</t>
    <rPh sb="0" eb="2">
      <t>サクセイ</t>
    </rPh>
    <phoneticPr fontId="1"/>
  </si>
  <si>
    <t>最終更新</t>
    <rPh sb="0" eb="2">
      <t>サイシュウ</t>
    </rPh>
    <rPh sb="2" eb="4">
      <t>コウシン</t>
    </rPh>
    <phoneticPr fontId="1"/>
  </si>
  <si>
    <t>ご確認</t>
    <rPh sb="1" eb="3">
      <t>カクニン</t>
    </rPh>
    <phoneticPr fontId="1"/>
  </si>
  <si>
    <t>アドオン</t>
    <phoneticPr fontId="1"/>
  </si>
  <si>
    <t>mcframe 7</t>
  </si>
  <si>
    <t>バッチID</t>
    <phoneticPr fontId="1"/>
  </si>
  <si>
    <t>バッチ名</t>
    <rPh sb="3" eb="4">
      <t>メイ</t>
    </rPh>
    <phoneticPr fontId="1"/>
  </si>
  <si>
    <t>Version</t>
    <phoneticPr fontId="1"/>
  </si>
  <si>
    <t>Revision</t>
    <phoneticPr fontId="1"/>
  </si>
  <si>
    <t>M7-US-1311</t>
    <phoneticPr fontId="1"/>
  </si>
  <si>
    <t>MGBGB0020</t>
    <phoneticPr fontId="1"/>
  </si>
  <si>
    <t>配賦費用実績ＩＦ取込バッチ</t>
    <rPh sb="4" eb="6">
      <t>ジッセキ</t>
    </rPh>
    <phoneticPr fontId="1"/>
  </si>
  <si>
    <t>r01.01</t>
    <phoneticPr fontId="1"/>
  </si>
  <si>
    <t>【MGBG】配賦管理</t>
    <rPh sb="6" eb="8">
      <t>ハイフ</t>
    </rPh>
    <rPh sb="8" eb="10">
      <t>カンリ</t>
    </rPh>
    <phoneticPr fontId="1"/>
  </si>
  <si>
    <t>バッチ説明書</t>
    <rPh sb="3" eb="6">
      <t>セツメイショ</t>
    </rPh>
    <phoneticPr fontId="1"/>
  </si>
  <si>
    <t>発行日</t>
    <rPh sb="0" eb="2">
      <t>ハッコウ</t>
    </rPh>
    <rPh sb="2" eb="3">
      <t>ビ</t>
    </rPh>
    <phoneticPr fontId="1"/>
  </si>
  <si>
    <t>共通（元データ）</t>
    <rPh sb="0" eb="2">
      <t>キョウツウ</t>
    </rPh>
    <rPh sb="3" eb="4">
      <t>モト</t>
    </rPh>
    <phoneticPr fontId="1"/>
  </si>
  <si>
    <t>文書名</t>
    <rPh sb="0" eb="2">
      <t>ブンショ</t>
    </rPh>
    <rPh sb="2" eb="3">
      <t>メイ</t>
    </rPh>
    <phoneticPr fontId="1"/>
  </si>
  <si>
    <t>モジュールID</t>
    <phoneticPr fontId="1"/>
  </si>
  <si>
    <t>MG</t>
    <phoneticPr fontId="1"/>
  </si>
  <si>
    <t>モジュール名</t>
    <rPh sb="5" eb="6">
      <t>メイ</t>
    </rPh>
    <phoneticPr fontId="1"/>
  </si>
  <si>
    <t>Rev.</t>
    <phoneticPr fontId="1"/>
  </si>
  <si>
    <t>ｻﾌﾞﾓｼﾞｭｰﾙID</t>
    <phoneticPr fontId="1"/>
  </si>
  <si>
    <t>MGBG</t>
    <phoneticPr fontId="1"/>
  </si>
  <si>
    <t>ｻﾌﾞﾓｼﾞｭｰﾙ名</t>
    <rPh sb="9" eb="10">
      <t>メイ</t>
    </rPh>
    <phoneticPr fontId="1"/>
  </si>
  <si>
    <t>配賦管理</t>
    <rPh sb="0" eb="2">
      <t>ハイフ</t>
    </rPh>
    <rPh sb="2" eb="4">
      <t>カンリ</t>
    </rPh>
    <phoneticPr fontId="1"/>
  </si>
  <si>
    <t>表題</t>
    <rPh sb="0" eb="2">
      <t>ヒョウダイ</t>
    </rPh>
    <phoneticPr fontId="1"/>
  </si>
  <si>
    <t>配賦費用実績ＩＦ取込バッチ</t>
    <rPh sb="0" eb="2">
      <t>ハイフ</t>
    </rPh>
    <rPh sb="2" eb="4">
      <t>ヒヨウ</t>
    </rPh>
    <rPh sb="4" eb="6">
      <t>ジッセキ</t>
    </rPh>
    <rPh sb="8" eb="10">
      <t>トリコミ</t>
    </rPh>
    <phoneticPr fontId="1"/>
  </si>
  <si>
    <t>共通（リンク用）</t>
    <rPh sb="0" eb="2">
      <t>キョウツウ</t>
    </rPh>
    <rPh sb="6" eb="7">
      <t>ヨウ</t>
    </rPh>
    <phoneticPr fontId="1"/>
  </si>
  <si>
    <t>概要シート用</t>
    <rPh sb="0" eb="2">
      <t>ガイヨウ</t>
    </rPh>
    <rPh sb="5" eb="6">
      <t>ヨウ</t>
    </rPh>
    <phoneticPr fontId="1"/>
  </si>
  <si>
    <t>サブモジュールID</t>
    <phoneticPr fontId="1"/>
  </si>
  <si>
    <t>サブモジュール名</t>
    <rPh sb="7" eb="8">
      <t>メイ</t>
    </rPh>
    <phoneticPr fontId="1"/>
  </si>
  <si>
    <t>Rev.</t>
  </si>
  <si>
    <t>変更内容</t>
    <rPh sb="0" eb="2">
      <t>ヘンコウ</t>
    </rPh>
    <rPh sb="2" eb="4">
      <t>ナイヨウ</t>
    </rPh>
    <phoneticPr fontId="1"/>
  </si>
  <si>
    <t>変更・追加箇所</t>
    <phoneticPr fontId="1"/>
  </si>
  <si>
    <t>作成更新日</t>
    <rPh sb="0" eb="2">
      <t>サクセイ</t>
    </rPh>
    <rPh sb="2" eb="5">
      <t>コウシンビ</t>
    </rPh>
    <phoneticPr fontId="1"/>
  </si>
  <si>
    <t>作成更新者</t>
    <rPh sb="0" eb="2">
      <t>サクセイ</t>
    </rPh>
    <rPh sb="2" eb="5">
      <t>コウシンシャ</t>
    </rPh>
    <phoneticPr fontId="1"/>
  </si>
  <si>
    <t>備考</t>
    <rPh sb="0" eb="2">
      <t>ビコウ</t>
    </rPh>
    <phoneticPr fontId="1"/>
  </si>
  <si>
    <t>0.01</t>
    <phoneticPr fontId="17"/>
  </si>
  <si>
    <t>初版作成</t>
    <rPh sb="0" eb="2">
      <t>ショハン</t>
    </rPh>
    <rPh sb="2" eb="4">
      <t>サクセイ</t>
    </rPh>
    <phoneticPr fontId="1"/>
  </si>
  <si>
    <t>MDSOL</t>
    <phoneticPr fontId="1"/>
  </si>
  <si>
    <t>0.02</t>
    <phoneticPr fontId="1"/>
  </si>
  <si>
    <t>売上計上後の追加発生費用対応</t>
    <rPh sb="0" eb="2">
      <t>ウリアゲ</t>
    </rPh>
    <rPh sb="2" eb="4">
      <t>ケイジョウ</t>
    </rPh>
    <rPh sb="4" eb="5">
      <t>アト</t>
    </rPh>
    <rPh sb="6" eb="8">
      <t>ツイカ</t>
    </rPh>
    <rPh sb="8" eb="10">
      <t>ハッセイ</t>
    </rPh>
    <rPh sb="10" eb="12">
      <t>ヒヨウ</t>
    </rPh>
    <rPh sb="12" eb="14">
      <t>タイオウ</t>
    </rPh>
    <phoneticPr fontId="1"/>
  </si>
  <si>
    <t>「機能概要」を追加する</t>
    <rPh sb="1" eb="3">
      <t>キノウ</t>
    </rPh>
    <rPh sb="3" eb="5">
      <t>ガイヨウ</t>
    </rPh>
    <rPh sb="7" eb="9">
      <t>ツイカ</t>
    </rPh>
    <phoneticPr fontId="1"/>
  </si>
  <si>
    <t>概要（カスタマイズ）</t>
    <phoneticPr fontId="1"/>
  </si>
  <si>
    <t>「他勘定入出庫データ登録処理」を追加する</t>
    <rPh sb="1" eb="2">
      <t>タ</t>
    </rPh>
    <rPh sb="2" eb="4">
      <t>カンジョウ</t>
    </rPh>
    <rPh sb="4" eb="7">
      <t>ニュウシュッコ</t>
    </rPh>
    <rPh sb="10" eb="12">
      <t>トウロク</t>
    </rPh>
    <rPh sb="12" eb="14">
      <t>ショリ</t>
    </rPh>
    <rPh sb="16" eb="18">
      <t>ツイカ</t>
    </rPh>
    <phoneticPr fontId="1"/>
  </si>
  <si>
    <t>処理詳細</t>
    <phoneticPr fontId="1"/>
  </si>
  <si>
    <t>「3.他勘定入庫データ登録」、「4.他勘定出庫データ登録」を追加</t>
    <rPh sb="21" eb="23">
      <t>シュッコ</t>
    </rPh>
    <rPh sb="30" eb="32">
      <t>ツイカ</t>
    </rPh>
    <phoneticPr fontId="1"/>
  </si>
  <si>
    <t>更新入出力仕様</t>
    <phoneticPr fontId="1"/>
  </si>
  <si>
    <t>0.03</t>
    <phoneticPr fontId="1"/>
  </si>
  <si>
    <t>ミス・クレーム経費対応</t>
    <rPh sb="7" eb="9">
      <t>ケイヒ</t>
    </rPh>
    <rPh sb="9" eb="11">
      <t>タイオウ</t>
    </rPh>
    <phoneticPr fontId="1"/>
  </si>
  <si>
    <t>手配ＮＯ１と手配ＮＯ２で製番TOP品目を取得する。</t>
    <rPh sb="0" eb="2">
      <t>テハイ</t>
    </rPh>
    <rPh sb="6" eb="8">
      <t>テハイ</t>
    </rPh>
    <rPh sb="20" eb="22">
      <t>シュトク</t>
    </rPh>
    <phoneticPr fontId="1"/>
  </si>
  <si>
    <t>0.04</t>
    <phoneticPr fontId="1"/>
  </si>
  <si>
    <t>ミス製番と営繕修理製番の固定品目運用対応</t>
    <rPh sb="12" eb="14">
      <t>コテイ</t>
    </rPh>
    <rPh sb="14" eb="16">
      <t>ヒンモク</t>
    </rPh>
    <rPh sb="16" eb="18">
      <t>ウンヨウ</t>
    </rPh>
    <rPh sb="18" eb="20">
      <t>タイオウ</t>
    </rPh>
    <phoneticPr fontId="1"/>
  </si>
  <si>
    <t>ミス製番と営繕修理製番の場合、固定品目を取得するロジックを追加</t>
    <phoneticPr fontId="1"/>
  </si>
  <si>
    <t>0.05</t>
    <phoneticPr fontId="1"/>
  </si>
  <si>
    <t>詳細設計書作成</t>
    <phoneticPr fontId="1"/>
  </si>
  <si>
    <t>TBK</t>
    <phoneticPr fontId="1"/>
  </si>
  <si>
    <t>0.06</t>
  </si>
  <si>
    <t>配賦費用受信時の固定品目設定対応</t>
    <phoneticPr fontId="1"/>
  </si>
  <si>
    <t>「処理詳細」　4.1　品目ＣＤの設定を修正する</t>
    <rPh sb="19" eb="20">
      <t>オサム</t>
    </rPh>
    <phoneticPr fontId="1"/>
  </si>
  <si>
    <t>システム試験障害票対応（C0001、H0002）</t>
    <phoneticPr fontId="17"/>
  </si>
  <si>
    <t>SSから取り込んだ部門CD（任意値）を固定値（AXXXM）に変換する</t>
    <rPh sb="4" eb="5">
      <t>ト</t>
    </rPh>
    <rPh sb="6" eb="7">
      <t>コ</t>
    </rPh>
    <rPh sb="9" eb="11">
      <t>ブモン</t>
    </rPh>
    <rPh sb="14" eb="16">
      <t>ニンイ</t>
    </rPh>
    <rPh sb="16" eb="17">
      <t>アタイ</t>
    </rPh>
    <rPh sb="19" eb="22">
      <t>コテイチ</t>
    </rPh>
    <rPh sb="30" eb="32">
      <t>ヘンカン</t>
    </rPh>
    <phoneticPr fontId="1"/>
  </si>
  <si>
    <t>0.07</t>
    <phoneticPr fontId="1"/>
  </si>
  <si>
    <t>配賦費用受信時0円エラー発生対応</t>
    <rPh sb="8" eb="9">
      <t>エン</t>
    </rPh>
    <rPh sb="12" eb="14">
      <t>ハッセイ</t>
    </rPh>
    <rPh sb="14" eb="16">
      <t>タイオウ</t>
    </rPh>
    <phoneticPr fontId="1"/>
  </si>
  <si>
    <t>「処理詳細」配賦費用実績受信ＩＦの金額ゼロデータを処理対象外にする。</t>
    <rPh sb="25" eb="27">
      <t>ショリ</t>
    </rPh>
    <rPh sb="27" eb="29">
      <t>タイショウ</t>
    </rPh>
    <rPh sb="29" eb="30">
      <t>ガイ</t>
    </rPh>
    <phoneticPr fontId="1"/>
  </si>
  <si>
    <t>運用試験障害票対応（UN-047）</t>
    <rPh sb="0" eb="2">
      <t>ウンヨウ</t>
    </rPh>
    <rPh sb="7" eb="9">
      <t>タイオウ</t>
    </rPh>
    <phoneticPr fontId="1"/>
  </si>
  <si>
    <t>0.08</t>
    <phoneticPr fontId="1"/>
  </si>
  <si>
    <t>ミス製番とクレーム製番仕様変更対応</t>
    <rPh sb="11" eb="13">
      <t>シヨウ</t>
    </rPh>
    <rPh sb="13" eb="15">
      <t>ヘンコウ</t>
    </rPh>
    <rPh sb="15" eb="17">
      <t>タイオウ</t>
    </rPh>
    <phoneticPr fontId="1"/>
  </si>
  <si>
    <t>「処理詳細」　4.1　(2)品目ＣＤの設定</t>
    <phoneticPr fontId="1"/>
  </si>
  <si>
    <r>
      <t>運用試験障害票対応（UN-0</t>
    </r>
    <r>
      <rPr>
        <sz val="9"/>
        <rFont val="Microsoft YaHei"/>
        <family val="3"/>
        <charset val="134"/>
      </rPr>
      <t>90</t>
    </r>
    <r>
      <rPr>
        <sz val="9"/>
        <rFont val="Meiryo UI"/>
        <family val="3"/>
        <charset val="128"/>
      </rPr>
      <t>）</t>
    </r>
    <rPh sb="0" eb="2">
      <t>ウンヨウ</t>
    </rPh>
    <rPh sb="7" eb="9">
      <t>タイオウ</t>
    </rPh>
    <phoneticPr fontId="1"/>
  </si>
  <si>
    <t>0.09</t>
    <phoneticPr fontId="1"/>
  </si>
  <si>
    <t>経費取込時に０円工数データが大量に作成される対応</t>
    <rPh sb="22" eb="24">
      <t>タイオウ</t>
    </rPh>
    <phoneticPr fontId="1"/>
  </si>
  <si>
    <r>
      <t>「処理詳細」</t>
    </r>
    <r>
      <rPr>
        <sz val="9"/>
        <rFont val="Microsoft YaHei"/>
        <family val="3"/>
        <charset val="134"/>
      </rPr>
      <t xml:space="preserve"> 6.1（3）</t>
    </r>
    <r>
      <rPr>
        <sz val="9"/>
        <rFont val="Meiryo UI"/>
        <family val="3"/>
        <charset val="128"/>
      </rPr>
      <t>0円工数重複データチェックする</t>
    </r>
    <phoneticPr fontId="1"/>
  </si>
  <si>
    <t>運用試験障害票対応（UN-139）</t>
    <rPh sb="0" eb="2">
      <t>ウンヨウ</t>
    </rPh>
    <rPh sb="7" eb="9">
      <t>タイオウ</t>
    </rPh>
    <phoneticPr fontId="1"/>
  </si>
  <si>
    <t>0.10</t>
    <phoneticPr fontId="1"/>
  </si>
  <si>
    <t>他勘定入出庫データが大量に作成される対応</t>
    <phoneticPr fontId="1"/>
  </si>
  <si>
    <r>
      <t>「処理詳細」</t>
    </r>
    <r>
      <rPr>
        <sz val="9"/>
        <rFont val="Microsoft YaHei"/>
        <family val="3"/>
        <charset val="134"/>
      </rPr>
      <t xml:space="preserve"> 7.3（</t>
    </r>
    <r>
      <rPr>
        <sz val="9"/>
        <rFont val="Meiryo UI"/>
        <family val="3"/>
        <charset val="128"/>
      </rPr>
      <t>1</t>
    </r>
    <r>
      <rPr>
        <sz val="9"/>
        <rFont val="Microsoft YaHei"/>
        <family val="3"/>
        <charset val="134"/>
      </rPr>
      <t>）③</t>
    </r>
    <r>
      <rPr>
        <sz val="9"/>
        <rFont val="Meiryo UI"/>
        <family val="3"/>
        <charset val="128"/>
      </rPr>
      <t>他勘定入出庫登録可能チェック</t>
    </r>
    <phoneticPr fontId="1"/>
  </si>
  <si>
    <t>r01.01</t>
    <phoneticPr fontId="17"/>
  </si>
  <si>
    <t>本ドキュメントの著作権は、東洋ビジネスエンジニアリング株式会社（B-EN-G）またはB-EN-Gのライセンサーに帰属します。</t>
    <rPh sb="0" eb="1">
      <t>ホン</t>
    </rPh>
    <rPh sb="8" eb="11">
      <t>チョサクケン</t>
    </rPh>
    <rPh sb="13" eb="31">
      <t>トウヨウ</t>
    </rPh>
    <rPh sb="56" eb="58">
      <t>キゾク</t>
    </rPh>
    <phoneticPr fontId="1"/>
  </si>
  <si>
    <t>概要</t>
    <rPh sb="0" eb="2">
      <t>ガイヨウ</t>
    </rPh>
    <phoneticPr fontId="1"/>
  </si>
  <si>
    <t>【説明】</t>
    <rPh sb="1" eb="3">
      <t>セツメイ</t>
    </rPh>
    <phoneticPr fontId="1"/>
  </si>
  <si>
    <t>他システムから受信した配賦費用実績データを配賦費用実績ＩＦデータに取り込むバッチ</t>
    <rPh sb="25" eb="27">
      <t>ジッセキ</t>
    </rPh>
    <phoneticPr fontId="1"/>
  </si>
  <si>
    <t>【類似機能がある画面】</t>
    <rPh sb="1" eb="3">
      <t>ルイジ</t>
    </rPh>
    <rPh sb="3" eb="5">
      <t>キノウ</t>
    </rPh>
    <rPh sb="8" eb="10">
      <t>ガメン</t>
    </rPh>
    <phoneticPr fontId="1"/>
  </si>
  <si>
    <t>なし</t>
    <phoneticPr fontId="1"/>
  </si>
  <si>
    <t>【目的】</t>
    <rPh sb="1" eb="3">
      <t>モクテキ</t>
    </rPh>
    <phoneticPr fontId="1"/>
  </si>
  <si>
    <t>オペレーションＩＤ/名称</t>
    <rPh sb="10" eb="12">
      <t>メイショウ</t>
    </rPh>
    <phoneticPr fontId="1"/>
  </si>
  <si>
    <t>目的（レベル１）</t>
    <rPh sb="0" eb="2">
      <t>モクテキ</t>
    </rPh>
    <phoneticPr fontId="1"/>
  </si>
  <si>
    <t>目的（レベル２）</t>
    <rPh sb="0" eb="2">
      <t>モクテキ</t>
    </rPh>
    <phoneticPr fontId="1"/>
  </si>
  <si>
    <t>利用シーン/補足</t>
    <rPh sb="0" eb="2">
      <t>リヨウ</t>
    </rPh>
    <rPh sb="6" eb="8">
      <t>ホソク</t>
    </rPh>
    <phoneticPr fontId="1"/>
  </si>
  <si>
    <t>ActAlcIf_Upd01</t>
    <phoneticPr fontId="1"/>
  </si>
  <si>
    <t>他システムから受信した</t>
    <phoneticPr fontId="1"/>
  </si>
  <si>
    <t>【利用シーン】</t>
  </si>
  <si>
    <t>配賦費用実績ＩＦ取込</t>
    <rPh sb="4" eb="6">
      <t>ジッセキ</t>
    </rPh>
    <phoneticPr fontId="1"/>
  </si>
  <si>
    <t>配賦費用実績データを取り込む。</t>
    <rPh sb="4" eb="6">
      <t>ジッセキ</t>
    </rPh>
    <rPh sb="10" eb="11">
      <t>ト</t>
    </rPh>
    <rPh sb="12" eb="13">
      <t>コ</t>
    </rPh>
    <phoneticPr fontId="1"/>
  </si>
  <si>
    <t>・他システムから配賦費用実績データを取り込み、原価管理で使用する場合。</t>
    <rPh sb="1" eb="2">
      <t>タ</t>
    </rPh>
    <rPh sb="8" eb="10">
      <t>ハイフ</t>
    </rPh>
    <rPh sb="10" eb="12">
      <t>ヒヨウ</t>
    </rPh>
    <rPh sb="12" eb="14">
      <t>ジッセキ</t>
    </rPh>
    <rPh sb="18" eb="19">
      <t>ト</t>
    </rPh>
    <rPh sb="20" eb="21">
      <t>コ</t>
    </rPh>
    <rPh sb="23" eb="25">
      <t>ゲンカ</t>
    </rPh>
    <rPh sb="25" eb="27">
      <t>カンリ</t>
    </rPh>
    <rPh sb="28" eb="30">
      <t>シヨウ</t>
    </rPh>
    <rPh sb="32" eb="34">
      <t>バアイ</t>
    </rPh>
    <phoneticPr fontId="1"/>
  </si>
  <si>
    <t>【処理結果確認】</t>
    <rPh sb="1" eb="3">
      <t>ショリ</t>
    </rPh>
    <rPh sb="3" eb="5">
      <t>ケッカ</t>
    </rPh>
    <rPh sb="5" eb="7">
      <t>カクニン</t>
    </rPh>
    <phoneticPr fontId="1"/>
  </si>
  <si>
    <t>ログ確認画面</t>
    <rPh sb="4" eb="6">
      <t>ガメン</t>
    </rPh>
    <phoneticPr fontId="1"/>
  </si>
  <si>
    <t>【バッチログ確認】画面</t>
  </si>
  <si>
    <t>【バッチ・ＩＦデータ確認】画面</t>
    <rPh sb="10" eb="12">
      <t>カクニン</t>
    </rPh>
    <rPh sb="13" eb="15">
      <t>ガメン</t>
    </rPh>
    <phoneticPr fontId="1"/>
  </si>
  <si>
    <t>使用する（修正可）</t>
    <phoneticPr fontId="1"/>
  </si>
  <si>
    <t>詳細確認画面</t>
    <rPh sb="0" eb="2">
      <t>ショウサイ</t>
    </rPh>
    <rPh sb="2" eb="4">
      <t>カクニン</t>
    </rPh>
    <rPh sb="4" eb="6">
      <t>ガメン</t>
    </rPh>
    <phoneticPr fontId="1"/>
  </si>
  <si>
    <t>【配賦費用実績ＩＦ一覧】画面</t>
    <rPh sb="5" eb="7">
      <t>ジッセキ</t>
    </rPh>
    <rPh sb="9" eb="11">
      <t>イチラン</t>
    </rPh>
    <phoneticPr fontId="1"/>
  </si>
  <si>
    <t>【処理関連図/サービス関連図】</t>
    <phoneticPr fontId="1"/>
  </si>
  <si>
    <t>■ActAlcIf_Upd01/配賦費用実績ＩＦ取込</t>
    <rPh sb="16" eb="18">
      <t>ハイフ</t>
    </rPh>
    <rPh sb="18" eb="20">
      <t>ヒヨウ</t>
    </rPh>
    <rPh sb="20" eb="22">
      <t>ジッセキ</t>
    </rPh>
    <rPh sb="24" eb="26">
      <t>トリコミ</t>
    </rPh>
    <phoneticPr fontId="1"/>
  </si>
  <si>
    <t>更新処理</t>
    <rPh sb="0" eb="2">
      <t>コウシン</t>
    </rPh>
    <rPh sb="2" eb="4">
      <t>ショリ</t>
    </rPh>
    <phoneticPr fontId="1"/>
  </si>
  <si>
    <t>【オペレーション一覧】</t>
    <rPh sb="8" eb="10">
      <t>イチラン</t>
    </rPh>
    <phoneticPr fontId="1"/>
  </si>
  <si>
    <t>ID</t>
  </si>
  <si>
    <t>処理名</t>
    <rPh sb="0" eb="2">
      <t>ショリ</t>
    </rPh>
    <rPh sb="2" eb="3">
      <t>メイ</t>
    </rPh>
    <phoneticPr fontId="1"/>
  </si>
  <si>
    <t>処理概要</t>
    <rPh sb="0" eb="2">
      <t>ショリ</t>
    </rPh>
    <rPh sb="2" eb="4">
      <t>ガイヨウ</t>
    </rPh>
    <phoneticPr fontId="2"/>
  </si>
  <si>
    <t>他システムから受信した配賦費用実績受信インターフェースデータを配賦費用実績インターフェースに取り込む。</t>
    <rPh sb="0" eb="1">
      <t>ホカ</t>
    </rPh>
    <rPh sb="7" eb="9">
      <t>ジュシン</t>
    </rPh>
    <rPh sb="11" eb="13">
      <t>ハイフ</t>
    </rPh>
    <rPh sb="13" eb="15">
      <t>ヒヨウ</t>
    </rPh>
    <rPh sb="15" eb="17">
      <t>ジッセキ</t>
    </rPh>
    <rPh sb="17" eb="19">
      <t>ジュシン</t>
    </rPh>
    <rPh sb="31" eb="33">
      <t>ハイフ</t>
    </rPh>
    <rPh sb="33" eb="35">
      <t>ヒヨウ</t>
    </rPh>
    <rPh sb="35" eb="37">
      <t>ジッセキ</t>
    </rPh>
    <rPh sb="46" eb="47">
      <t>ト</t>
    </rPh>
    <rPh sb="48" eb="49">
      <t>コ</t>
    </rPh>
    <phoneticPr fontId="1"/>
  </si>
  <si>
    <t>【SQLID一覧】</t>
    <rPh sb="6" eb="8">
      <t>イチラン</t>
    </rPh>
    <phoneticPr fontId="1"/>
  </si>
  <si>
    <t>【自由記述】</t>
    <rPh sb="1" eb="3">
      <t>ジユウ</t>
    </rPh>
    <rPh sb="3" eb="5">
      <t>キジュツ</t>
    </rPh>
    <phoneticPr fontId="1"/>
  </si>
  <si>
    <t>■</t>
    <phoneticPr fontId="1"/>
  </si>
  <si>
    <t>取込処理</t>
    <rPh sb="0" eb="2">
      <t>トリコミ</t>
    </rPh>
    <rPh sb="2" eb="4">
      <t>ショリ</t>
    </rPh>
    <phoneticPr fontId="1"/>
  </si>
  <si>
    <t>・</t>
    <phoneticPr fontId="1"/>
  </si>
  <si>
    <t>取込処理はデータＮＯの小さい順に、データＮＯ単位で行われる。ひとつのデータＮＯの取込処理が正常終了するたびにコミットが実行される。エラーが発生した場合はロールバックして、そこで取込処理は終了する（次のデータＮＯの処理には移らない）。</t>
    <rPh sb="0" eb="2">
      <t>トリコミ</t>
    </rPh>
    <rPh sb="2" eb="4">
      <t>ショリ</t>
    </rPh>
    <rPh sb="11" eb="12">
      <t>チイ</t>
    </rPh>
    <rPh sb="14" eb="15">
      <t>ジュン</t>
    </rPh>
    <rPh sb="22" eb="24">
      <t>タンイ</t>
    </rPh>
    <rPh sb="25" eb="26">
      <t>オコナ</t>
    </rPh>
    <rPh sb="40" eb="42">
      <t>トリコミ</t>
    </rPh>
    <rPh sb="42" eb="44">
      <t>ショリ</t>
    </rPh>
    <rPh sb="45" eb="47">
      <t>セイジョウ</t>
    </rPh>
    <rPh sb="47" eb="49">
      <t>シュウリョウ</t>
    </rPh>
    <rPh sb="59" eb="61">
      <t>ジッコウ</t>
    </rPh>
    <rPh sb="69" eb="71">
      <t>ハッセイ</t>
    </rPh>
    <rPh sb="73" eb="75">
      <t>バアイ</t>
    </rPh>
    <rPh sb="88" eb="90">
      <t>トリコミ</t>
    </rPh>
    <rPh sb="90" eb="92">
      <t>ショリ</t>
    </rPh>
    <rPh sb="93" eb="95">
      <t>シュウリョウ</t>
    </rPh>
    <rPh sb="98" eb="99">
      <t>ツギ</t>
    </rPh>
    <rPh sb="106" eb="108">
      <t>ショリ</t>
    </rPh>
    <rPh sb="110" eb="111">
      <t>ウツ</t>
    </rPh>
    <phoneticPr fontId="1"/>
  </si>
  <si>
    <t>取込処理は追加のみ行われる。更新は行われない。</t>
    <rPh sb="0" eb="2">
      <t>トリコミ</t>
    </rPh>
    <rPh sb="2" eb="4">
      <t>ショリ</t>
    </rPh>
    <rPh sb="5" eb="7">
      <t>ツイカ</t>
    </rPh>
    <rPh sb="9" eb="10">
      <t>オコナ</t>
    </rPh>
    <rPh sb="14" eb="16">
      <t>コウシン</t>
    </rPh>
    <rPh sb="17" eb="18">
      <t>オコナ</t>
    </rPh>
    <phoneticPr fontId="1"/>
  </si>
  <si>
    <t>再取込がオンの場合、データＮＯ単位の処理の最初に取込先のデータが削除される。</t>
    <rPh sb="0" eb="3">
      <t>サイトリコミ</t>
    </rPh>
    <rPh sb="7" eb="9">
      <t>バアイ</t>
    </rPh>
    <rPh sb="15" eb="17">
      <t>タンイ</t>
    </rPh>
    <rPh sb="18" eb="20">
      <t>ショリ</t>
    </rPh>
    <rPh sb="21" eb="23">
      <t>サイショ</t>
    </rPh>
    <rPh sb="24" eb="26">
      <t>トリコミ</t>
    </rPh>
    <rPh sb="26" eb="27">
      <t>サキ</t>
    </rPh>
    <rPh sb="32" eb="34">
      <t>サクジョ</t>
    </rPh>
    <phoneticPr fontId="1"/>
  </si>
  <si>
    <t>取込元の対象データは以下の条件で取得される。</t>
    <rPh sb="0" eb="2">
      <t>トリコミ</t>
    </rPh>
    <rPh sb="2" eb="3">
      <t>モト</t>
    </rPh>
    <rPh sb="4" eb="6">
      <t>タイショウ</t>
    </rPh>
    <rPh sb="10" eb="12">
      <t>イカ</t>
    </rPh>
    <rPh sb="13" eb="15">
      <t>ジョウケン</t>
    </rPh>
    <rPh sb="16" eb="18">
      <t>シュトク</t>
    </rPh>
    <phoneticPr fontId="1"/>
  </si>
  <si>
    <t>○</t>
    <phoneticPr fontId="1"/>
  </si>
  <si>
    <t>引数の年月ＦＲＯＭ≦年月≦引数の年月ＴＯ</t>
    <rPh sb="0" eb="2">
      <t>ヒキスウ</t>
    </rPh>
    <rPh sb="3" eb="5">
      <t>ネンゲツ</t>
    </rPh>
    <rPh sb="10" eb="12">
      <t>ネンゲツ</t>
    </rPh>
    <rPh sb="13" eb="15">
      <t>ヒキスウ</t>
    </rPh>
    <rPh sb="16" eb="18">
      <t>ネンゲツ</t>
    </rPh>
    <phoneticPr fontId="1"/>
  </si>
  <si>
    <t>引数の計算カテゴリと一致（引数の計算カテゴリが未設定の場合は条件に含まれない）</t>
    <rPh sb="0" eb="2">
      <t>ヒキスウ</t>
    </rPh>
    <rPh sb="3" eb="5">
      <t>ケイサン</t>
    </rPh>
    <rPh sb="10" eb="12">
      <t>イッチ</t>
    </rPh>
    <rPh sb="13" eb="15">
      <t>ヒキスウ</t>
    </rPh>
    <rPh sb="16" eb="18">
      <t>ケイサン</t>
    </rPh>
    <rPh sb="23" eb="26">
      <t>ミセッテイ</t>
    </rPh>
    <rPh sb="27" eb="29">
      <t>バアイ</t>
    </rPh>
    <rPh sb="30" eb="32">
      <t>ジョウケン</t>
    </rPh>
    <rPh sb="33" eb="34">
      <t>フク</t>
    </rPh>
    <phoneticPr fontId="1"/>
  </si>
  <si>
    <t>取込対象ＦＬＧがオン</t>
    <rPh sb="0" eb="2">
      <t>トリコミ</t>
    </rPh>
    <rPh sb="2" eb="4">
      <t>タイショウ</t>
    </rPh>
    <phoneticPr fontId="1"/>
  </si>
  <si>
    <t>ＰＧ実行状況区分が「1：未処理」「3：エラー」（ただし、再取込がオンの場合は条件に含まれない）</t>
    <rPh sb="12" eb="15">
      <t>ミショリ</t>
    </rPh>
    <rPh sb="28" eb="31">
      <t>サイトリコミ</t>
    </rPh>
    <rPh sb="35" eb="37">
      <t>バアイ</t>
    </rPh>
    <rPh sb="38" eb="40">
      <t>ジョウケン</t>
    </rPh>
    <rPh sb="41" eb="42">
      <t>フク</t>
    </rPh>
    <phoneticPr fontId="1"/>
  </si>
  <si>
    <t>取込処理の結果に応じて、受信ＩＦテーブルのＰＧ実行状況区分に以下の区分値が設定される。</t>
    <rPh sb="0" eb="2">
      <t>トリコミ</t>
    </rPh>
    <rPh sb="2" eb="4">
      <t>ショリ</t>
    </rPh>
    <rPh sb="5" eb="7">
      <t>ケッカ</t>
    </rPh>
    <rPh sb="8" eb="9">
      <t>オウ</t>
    </rPh>
    <rPh sb="12" eb="14">
      <t>ジュシン</t>
    </rPh>
    <rPh sb="23" eb="25">
      <t>ジッコウ</t>
    </rPh>
    <rPh sb="25" eb="27">
      <t>ジョウキョウ</t>
    </rPh>
    <rPh sb="27" eb="29">
      <t>クブン</t>
    </rPh>
    <rPh sb="30" eb="32">
      <t>イカ</t>
    </rPh>
    <rPh sb="33" eb="35">
      <t>クブン</t>
    </rPh>
    <rPh sb="35" eb="36">
      <t>チ</t>
    </rPh>
    <rPh sb="37" eb="39">
      <t>セッテイ</t>
    </rPh>
    <phoneticPr fontId="1"/>
  </si>
  <si>
    <t>「2：処理済」</t>
    <rPh sb="3" eb="5">
      <t>ショリ</t>
    </rPh>
    <rPh sb="5" eb="6">
      <t>スミ</t>
    </rPh>
    <phoneticPr fontId="1"/>
  </si>
  <si>
    <t>正常に取り込まれた場合に設定される。</t>
    <rPh sb="0" eb="2">
      <t>セイジョウ</t>
    </rPh>
    <rPh sb="3" eb="4">
      <t>ト</t>
    </rPh>
    <rPh sb="5" eb="6">
      <t>コ</t>
    </rPh>
    <rPh sb="9" eb="11">
      <t>バアイ</t>
    </rPh>
    <rPh sb="12" eb="14">
      <t>セッテイ</t>
    </rPh>
    <phoneticPr fontId="1"/>
  </si>
  <si>
    <t>「3：エラー」</t>
    <phoneticPr fontId="1"/>
  </si>
  <si>
    <t>エラーが発生した場合に設定される。</t>
    <rPh sb="4" eb="6">
      <t>ハッセイ</t>
    </rPh>
    <rPh sb="8" eb="10">
      <t>バアイ</t>
    </rPh>
    <rPh sb="11" eb="13">
      <t>セッテイ</t>
    </rPh>
    <phoneticPr fontId="1"/>
  </si>
  <si>
    <t>「4：スキップ」</t>
    <phoneticPr fontId="1"/>
  </si>
  <si>
    <t>配賦科目ＣＤ、ワーキンググループＣＤを取得するために必要な以下のマスタが登録されていない場合に設定される。処理は中断されない。</t>
    <rPh sb="0" eb="2">
      <t>ハイフ</t>
    </rPh>
    <rPh sb="2" eb="4">
      <t>カモク</t>
    </rPh>
    <rPh sb="19" eb="21">
      <t>シュトク</t>
    </rPh>
    <rPh sb="26" eb="28">
      <t>ヒツヨウ</t>
    </rPh>
    <rPh sb="29" eb="31">
      <t>イカ</t>
    </rPh>
    <rPh sb="36" eb="38">
      <t>トウロク</t>
    </rPh>
    <rPh sb="44" eb="46">
      <t>バアイ</t>
    </rPh>
    <rPh sb="47" eb="49">
      <t>セッテイ</t>
    </rPh>
    <rPh sb="53" eb="55">
      <t>ショリ</t>
    </rPh>
    <rPh sb="56" eb="58">
      <t>チュウダン</t>
    </rPh>
    <phoneticPr fontId="1"/>
  </si>
  <si>
    <t>勘定科目対応マスタ、または、補助勘定科目対応マスタ</t>
    <rPh sb="0" eb="2">
      <t>カンジョウ</t>
    </rPh>
    <rPh sb="2" eb="4">
      <t>カモク</t>
    </rPh>
    <rPh sb="4" eb="6">
      <t>タイオウ</t>
    </rPh>
    <rPh sb="14" eb="16">
      <t>ホジョ</t>
    </rPh>
    <rPh sb="16" eb="18">
      <t>カンジョウ</t>
    </rPh>
    <rPh sb="18" eb="20">
      <t>カモク</t>
    </rPh>
    <rPh sb="20" eb="22">
      <t>タイオウ</t>
    </rPh>
    <phoneticPr fontId="1"/>
  </si>
  <si>
    <t>配賦費用取込マスタ</t>
    <rPh sb="0" eb="2">
      <t>ハイフ</t>
    </rPh>
    <rPh sb="2" eb="4">
      <t>ヒヨウ</t>
    </rPh>
    <rPh sb="4" eb="6">
      <t>トリコミ</t>
    </rPh>
    <phoneticPr fontId="1"/>
  </si>
  <si>
    <t>取込処理データイメージ</t>
    <rPh sb="0" eb="2">
      <t>トリコミ</t>
    </rPh>
    <rPh sb="2" eb="4">
      <t>ショリ</t>
    </rPh>
    <phoneticPr fontId="1"/>
  </si>
  <si>
    <t>正常終了の場合</t>
  </si>
  <si>
    <t>データ行ＮＯ＝11のデータに配賦費用取込マスタが登録されていない場合を想定。</t>
    <rPh sb="3" eb="4">
      <t>ギョウ</t>
    </rPh>
    <rPh sb="14" eb="16">
      <t>ハイフ</t>
    </rPh>
    <rPh sb="16" eb="18">
      <t>ヒヨウ</t>
    </rPh>
    <rPh sb="18" eb="20">
      <t>トリコミ</t>
    </rPh>
    <rPh sb="24" eb="26">
      <t>トウロク</t>
    </rPh>
    <rPh sb="32" eb="34">
      <t>バアイ</t>
    </rPh>
    <rPh sb="35" eb="37">
      <t>ソウテイ</t>
    </rPh>
    <phoneticPr fontId="1"/>
  </si>
  <si>
    <t>受信ＩＦテーブル（取込元）</t>
    <rPh sb="9" eb="11">
      <t>トリコミ</t>
    </rPh>
    <rPh sb="11" eb="12">
      <t>モト</t>
    </rPh>
    <phoneticPr fontId="1"/>
  </si>
  <si>
    <t>【実行前】</t>
    <rPh sb="1" eb="3">
      <t>ジッコウ</t>
    </rPh>
    <rPh sb="3" eb="4">
      <t>マエ</t>
    </rPh>
    <phoneticPr fontId="1"/>
  </si>
  <si>
    <t>【実行後】</t>
    <rPh sb="1" eb="3">
      <t>ジッコウ</t>
    </rPh>
    <rPh sb="3" eb="4">
      <t>ゴ</t>
    </rPh>
    <phoneticPr fontId="1"/>
  </si>
  <si>
    <t>データ行ＮＯ</t>
    <rPh sb="3" eb="4">
      <t>ギョウ</t>
    </rPh>
    <phoneticPr fontId="1"/>
  </si>
  <si>
    <t>データＮＯ</t>
    <phoneticPr fontId="1"/>
  </si>
  <si>
    <t>年月</t>
    <rPh sb="0" eb="2">
      <t>ネンゲツ</t>
    </rPh>
    <phoneticPr fontId="1"/>
  </si>
  <si>
    <t>取込対象</t>
    <rPh sb="0" eb="2">
      <t>トリコミ</t>
    </rPh>
    <rPh sb="2" eb="4">
      <t>タイショウ</t>
    </rPh>
    <phoneticPr fontId="1"/>
  </si>
  <si>
    <t>ＰＧ実行状況区分</t>
    <rPh sb="2" eb="4">
      <t>ジッコウ</t>
    </rPh>
    <rPh sb="4" eb="6">
      <t>ジョウキョウ</t>
    </rPh>
    <rPh sb="6" eb="8">
      <t>クブン</t>
    </rPh>
    <phoneticPr fontId="1"/>
  </si>
  <si>
    <t>金額</t>
    <rPh sb="0" eb="2">
      <t>キンガク</t>
    </rPh>
    <phoneticPr fontId="1"/>
  </si>
  <si>
    <t>10</t>
    <phoneticPr fontId="1"/>
  </si>
  <si>
    <t>2018/10</t>
    <phoneticPr fontId="1"/>
  </si>
  <si>
    <t>100</t>
    <phoneticPr fontId="1"/>
  </si>
  <si>
    <t>正常に取り込まれたデータのＰＧ実行状況区分に「2：処理済」が設定される。</t>
    <rPh sb="0" eb="2">
      <t>セイジョウ</t>
    </rPh>
    <rPh sb="3" eb="4">
      <t>ト</t>
    </rPh>
    <rPh sb="5" eb="6">
      <t>コ</t>
    </rPh>
    <rPh sb="15" eb="17">
      <t>ジッコウ</t>
    </rPh>
    <rPh sb="17" eb="19">
      <t>ジョウキョウ</t>
    </rPh>
    <rPh sb="19" eb="21">
      <t>クブン</t>
    </rPh>
    <rPh sb="25" eb="27">
      <t>ショリ</t>
    </rPh>
    <rPh sb="27" eb="28">
      <t>ズ</t>
    </rPh>
    <rPh sb="30" eb="32">
      <t>セッテイ</t>
    </rPh>
    <phoneticPr fontId="1"/>
  </si>
  <si>
    <t>11</t>
    <phoneticPr fontId="1"/>
  </si>
  <si>
    <t>200</t>
    <phoneticPr fontId="1"/>
  </si>
  <si>
    <t>必要なマスタが未登録であったデータのＰＧ実行状況区分に「4：スキップ」が設定される。</t>
    <rPh sb="0" eb="2">
      <t>ヒツヨウ</t>
    </rPh>
    <rPh sb="7" eb="10">
      <t>ミトウロク</t>
    </rPh>
    <rPh sb="20" eb="22">
      <t>ジッコウ</t>
    </rPh>
    <rPh sb="22" eb="24">
      <t>ジョウキョウ</t>
    </rPh>
    <rPh sb="24" eb="26">
      <t>クブン</t>
    </rPh>
    <rPh sb="36" eb="38">
      <t>セッテイ</t>
    </rPh>
    <phoneticPr fontId="1"/>
  </si>
  <si>
    <t>12</t>
    <phoneticPr fontId="1"/>
  </si>
  <si>
    <t>300</t>
    <phoneticPr fontId="1"/>
  </si>
  <si>
    <t>⇒</t>
    <phoneticPr fontId="1"/>
  </si>
  <si>
    <t>13</t>
    <phoneticPr fontId="1"/>
  </si>
  <si>
    <t>400</t>
    <phoneticPr fontId="1"/>
  </si>
  <si>
    <t>14</t>
    <phoneticPr fontId="1"/>
  </si>
  <si>
    <t>500</t>
    <phoneticPr fontId="1"/>
  </si>
  <si>
    <t>15</t>
    <phoneticPr fontId="1"/>
  </si>
  <si>
    <t>600</t>
    <phoneticPr fontId="1"/>
  </si>
  <si>
    <t>配賦費用ＩＦテーブル（取込先）</t>
    <rPh sb="11" eb="13">
      <t>トリコミ</t>
    </rPh>
    <rPh sb="13" eb="14">
      <t>サキ</t>
    </rPh>
    <phoneticPr fontId="1"/>
  </si>
  <si>
    <t>再取込＝オフの場合</t>
    <rPh sb="0" eb="3">
      <t>サイトリコミ</t>
    </rPh>
    <rPh sb="7" eb="9">
      <t>バアイ</t>
    </rPh>
    <phoneticPr fontId="1"/>
  </si>
  <si>
    <t>再取込＝オンの場合</t>
    <rPh sb="0" eb="3">
      <t>サイトリコミ</t>
    </rPh>
    <rPh sb="7" eb="9">
      <t>バアイ</t>
    </rPh>
    <phoneticPr fontId="1"/>
  </si>
  <si>
    <t>エラーが発生した場合</t>
  </si>
  <si>
    <t>データ行ＮＯ＝11のデータに対して配賦費用取込マスタが登録されていない場合を想定。</t>
    <rPh sb="3" eb="4">
      <t>ギョウ</t>
    </rPh>
    <rPh sb="14" eb="15">
      <t>タイ</t>
    </rPh>
    <rPh sb="17" eb="19">
      <t>ハイフ</t>
    </rPh>
    <rPh sb="19" eb="21">
      <t>ヒヨウ</t>
    </rPh>
    <rPh sb="21" eb="23">
      <t>トリコミ</t>
    </rPh>
    <rPh sb="27" eb="29">
      <t>トウロク</t>
    </rPh>
    <rPh sb="35" eb="37">
      <t>バアイ</t>
    </rPh>
    <rPh sb="38" eb="40">
      <t>ソウテイ</t>
    </rPh>
    <phoneticPr fontId="1"/>
  </si>
  <si>
    <t>データＮＯ＝2のグループを処理中に、データ行ＮＯ＝13のデータでエラーが発生した場合を想定。</t>
    <rPh sb="40" eb="42">
      <t>バアイ</t>
    </rPh>
    <rPh sb="43" eb="45">
      <t>ソウテイ</t>
    </rPh>
    <phoneticPr fontId="1"/>
  </si>
  <si>
    <t>必要なマスタが未登録だったデータのＰＧ実行状況区分に「4：スキップ」が設定される。</t>
    <rPh sb="0" eb="2">
      <t>ヒツヨウ</t>
    </rPh>
    <rPh sb="7" eb="10">
      <t>ミトウロク</t>
    </rPh>
    <rPh sb="19" eb="21">
      <t>ジッコウ</t>
    </rPh>
    <rPh sb="21" eb="23">
      <t>ジョウキョウ</t>
    </rPh>
    <rPh sb="23" eb="25">
      <t>クブン</t>
    </rPh>
    <rPh sb="35" eb="37">
      <t>セッテイ</t>
    </rPh>
    <phoneticPr fontId="1"/>
  </si>
  <si>
    <t>E</t>
    <phoneticPr fontId="1"/>
  </si>
  <si>
    <t>エラーの発生したデータのＰＧ実行状況区分に「3：エラー」が設定される。</t>
    <rPh sb="4" eb="6">
      <t>ハッセイ</t>
    </rPh>
    <phoneticPr fontId="1"/>
  </si>
  <si>
    <t>【業務要件】</t>
    <rPh sb="1" eb="3">
      <t>ギョウム</t>
    </rPh>
    <rPh sb="3" eb="5">
      <t>ヨウケン</t>
    </rPh>
    <phoneticPr fontId="1"/>
  </si>
  <si>
    <t>内容</t>
    <rPh sb="0" eb="2">
      <t>ナイヨウ</t>
    </rPh>
    <phoneticPr fontId="1"/>
  </si>
  <si>
    <t>No.</t>
    <phoneticPr fontId="1"/>
  </si>
  <si>
    <t>SuperStream（残高マスタ）からmcframe（配賦費用実績）の連携時に、受信ＩＦにて入力データに、</t>
    <rPh sb="12" eb="14">
      <t>ザンダカ</t>
    </rPh>
    <rPh sb="28" eb="30">
      <t>ハイフ</t>
    </rPh>
    <rPh sb="30" eb="32">
      <t>ヒヨウ</t>
    </rPh>
    <rPh sb="32" eb="34">
      <t>ジッセキ</t>
    </rPh>
    <rPh sb="36" eb="38">
      <t>レンケイ</t>
    </rPh>
    <rPh sb="38" eb="39">
      <t>ジ</t>
    </rPh>
    <rPh sb="41" eb="43">
      <t>ジュシン</t>
    </rPh>
    <rPh sb="47" eb="49">
      <t>ニュウリョク</t>
    </rPh>
    <phoneticPr fontId="3"/>
  </si>
  <si>
    <t>費用配賦先の「対象製番」と「対象品目」を付加させ、原価計算時に適正な配賦計算を行う。</t>
    <rPh sb="0" eb="2">
      <t>ヒヨウ</t>
    </rPh>
    <rPh sb="2" eb="4">
      <t>ハイフ</t>
    </rPh>
    <rPh sb="4" eb="5">
      <t>サキ</t>
    </rPh>
    <rPh sb="7" eb="9">
      <t>タイショウ</t>
    </rPh>
    <rPh sb="9" eb="11">
      <t>セイバン</t>
    </rPh>
    <rPh sb="14" eb="16">
      <t>タイショウ</t>
    </rPh>
    <rPh sb="16" eb="18">
      <t>ヒンモク</t>
    </rPh>
    <rPh sb="20" eb="22">
      <t>フカ</t>
    </rPh>
    <rPh sb="25" eb="27">
      <t>ゲンカ</t>
    </rPh>
    <rPh sb="27" eb="29">
      <t>ケイサン</t>
    </rPh>
    <rPh sb="29" eb="30">
      <t>ジ</t>
    </rPh>
    <rPh sb="31" eb="33">
      <t>テキセイ</t>
    </rPh>
    <rPh sb="34" eb="36">
      <t>ハイフ</t>
    </rPh>
    <rPh sb="36" eb="38">
      <t>ケイサン</t>
    </rPh>
    <rPh sb="39" eb="40">
      <t>オコナ</t>
    </rPh>
    <phoneticPr fontId="3"/>
  </si>
  <si>
    <t>【機能概要】</t>
    <rPh sb="1" eb="3">
      <t>キノウ</t>
    </rPh>
    <rPh sb="3" eb="5">
      <t>ガイヨウ</t>
    </rPh>
    <phoneticPr fontId="1"/>
  </si>
  <si>
    <t>1.</t>
  </si>
  <si>
    <t>SuperStreamからの費用連携（残高マスタ→部門別発生費用）において、</t>
    <rPh sb="14" eb="16">
      <t>ヒヨウ</t>
    </rPh>
    <rPh sb="16" eb="18">
      <t>レンケイ</t>
    </rPh>
    <rPh sb="19" eb="21">
      <t>ザンダカ</t>
    </rPh>
    <rPh sb="25" eb="27">
      <t>ブモン</t>
    </rPh>
    <rPh sb="27" eb="28">
      <t>ベツ</t>
    </rPh>
    <rPh sb="28" eb="30">
      <t>ハッセイ</t>
    </rPh>
    <rPh sb="30" eb="32">
      <t>ヒヨウ</t>
    </rPh>
    <phoneticPr fontId="3"/>
  </si>
  <si>
    <t>mcframe側の受信ＩＦにて、以下の処理を行う。</t>
    <rPh sb="7" eb="8">
      <t>ガワ</t>
    </rPh>
    <rPh sb="9" eb="11">
      <t>ジュシン</t>
    </rPh>
    <rPh sb="16" eb="18">
      <t>イカ</t>
    </rPh>
    <rPh sb="19" eb="21">
      <t>ショリ</t>
    </rPh>
    <rPh sb="22" eb="23">
      <t>オコナ</t>
    </rPh>
    <phoneticPr fontId="3"/>
  </si>
  <si>
    <t>機能コード１、2を手配ＮＯ１、2として受信する</t>
    <rPh sb="0" eb="2">
      <t>キノウ</t>
    </rPh>
    <rPh sb="9" eb="11">
      <t>テハイ</t>
    </rPh>
    <rPh sb="19" eb="21">
      <t>ジュシン</t>
    </rPh>
    <phoneticPr fontId="3"/>
  </si>
  <si>
    <t>・・・ＰＪ特定のため</t>
    <rPh sb="5" eb="7">
      <t>トクテイ</t>
    </rPh>
    <phoneticPr fontId="3"/>
  </si>
  <si>
    <t>製番TOP品目を設定する</t>
    <rPh sb="0" eb="2">
      <t>セイバン</t>
    </rPh>
    <rPh sb="5" eb="7">
      <t>ヒンモク</t>
    </rPh>
    <rPh sb="8" eb="10">
      <t>セッテイ</t>
    </rPh>
    <phoneticPr fontId="3"/>
  </si>
  <si>
    <t>・・・品目特定のため</t>
    <rPh sb="3" eb="5">
      <t>ヒンモク</t>
    </rPh>
    <rPh sb="5" eb="7">
      <t>トクテイ</t>
    </rPh>
    <phoneticPr fontId="3"/>
  </si>
  <si>
    <t>０円工数実績計上</t>
    <rPh sb="1" eb="2">
      <t>エン</t>
    </rPh>
    <rPh sb="2" eb="4">
      <t>コウスウ</t>
    </rPh>
    <rPh sb="4" eb="6">
      <t>ジッセキ</t>
    </rPh>
    <rPh sb="6" eb="8">
      <t>ケイジョウ</t>
    </rPh>
    <phoneticPr fontId="3"/>
  </si>
  <si>
    <t>・・・配賦対象とするため</t>
    <rPh sb="3" eb="5">
      <t>ハイフ</t>
    </rPh>
    <rPh sb="5" eb="7">
      <t>タイショウ</t>
    </rPh>
    <phoneticPr fontId="3"/>
  </si>
  <si>
    <t>2.</t>
    <phoneticPr fontId="1"/>
  </si>
  <si>
    <t>売上計上後の費用連携の場合、製番TOP品目の他勘定入庫及び他勘定出庫データを登録する。</t>
    <rPh sb="0" eb="2">
      <t>ウリアゲ</t>
    </rPh>
    <rPh sb="2" eb="4">
      <t>ケイジョウ</t>
    </rPh>
    <rPh sb="4" eb="5">
      <t>アト</t>
    </rPh>
    <rPh sb="6" eb="8">
      <t>ヒヨウ</t>
    </rPh>
    <rPh sb="8" eb="10">
      <t>レンケイ</t>
    </rPh>
    <rPh sb="11" eb="13">
      <t>バアイ</t>
    </rPh>
    <rPh sb="14" eb="16">
      <t>セイバン</t>
    </rPh>
    <rPh sb="19" eb="21">
      <t>ヒンモク</t>
    </rPh>
    <rPh sb="22" eb="23">
      <t>タ</t>
    </rPh>
    <rPh sb="23" eb="25">
      <t>カンジョウ</t>
    </rPh>
    <rPh sb="25" eb="27">
      <t>ニュウコ</t>
    </rPh>
    <rPh sb="27" eb="28">
      <t>オヨ</t>
    </rPh>
    <rPh sb="29" eb="30">
      <t>タ</t>
    </rPh>
    <rPh sb="30" eb="32">
      <t>カンジョウ</t>
    </rPh>
    <rPh sb="32" eb="34">
      <t>シュッコ</t>
    </rPh>
    <rPh sb="38" eb="40">
      <t>トウロク</t>
    </rPh>
    <phoneticPr fontId="1"/>
  </si>
  <si>
    <t>【前提条件】</t>
    <rPh sb="1" eb="5">
      <t>ゼンテイジョウケン</t>
    </rPh>
    <phoneticPr fontId="1"/>
  </si>
  <si>
    <t>賦課対象品目は、製番TOP品目とする。</t>
    <rPh sb="0" eb="2">
      <t>フカ</t>
    </rPh>
    <rPh sb="2" eb="4">
      <t>タイショウ</t>
    </rPh>
    <rPh sb="4" eb="6">
      <t>ヒンモク</t>
    </rPh>
    <rPh sb="8" eb="10">
      <t>セイバン</t>
    </rPh>
    <rPh sb="13" eb="15">
      <t>ヒンモク</t>
    </rPh>
    <phoneticPr fontId="1"/>
  </si>
  <si>
    <t>【起動タイミング】</t>
    <rPh sb="1" eb="3">
      <t>キドウ</t>
    </rPh>
    <phoneticPr fontId="1"/>
  </si>
  <si>
    <t>・</t>
  </si>
  <si>
    <t>定期起動（1回/１か月）</t>
    <rPh sb="0" eb="2">
      <t>テイキ</t>
    </rPh>
    <rPh sb="2" eb="4">
      <t>キドウ</t>
    </rPh>
    <rPh sb="6" eb="7">
      <t>カイ</t>
    </rPh>
    <rPh sb="10" eb="11">
      <t>ゲツ</t>
    </rPh>
    <phoneticPr fontId="33"/>
  </si>
  <si>
    <t>任意起動（汎用バッチオンライン実行）</t>
    <rPh sb="0" eb="2">
      <t>ニンイ</t>
    </rPh>
    <rPh sb="2" eb="4">
      <t>キドウ</t>
    </rPh>
    <rPh sb="5" eb="7">
      <t>ハンヨウ</t>
    </rPh>
    <rPh sb="15" eb="17">
      <t>ジッコウ</t>
    </rPh>
    <phoneticPr fontId="7"/>
  </si>
  <si>
    <t>オペレーションＩＤ/名称：ActAlcIf_Upd01/配賦費用実績ＩＦ取込</t>
    <rPh sb="10" eb="12">
      <t>メイショウ</t>
    </rPh>
    <rPh sb="28" eb="30">
      <t>ハイフ</t>
    </rPh>
    <rPh sb="30" eb="32">
      <t>ヒヨウ</t>
    </rPh>
    <rPh sb="32" eb="34">
      <t>ジッセキ</t>
    </rPh>
    <rPh sb="36" eb="38">
      <t>トリコミ</t>
    </rPh>
    <phoneticPr fontId="1"/>
  </si>
  <si>
    <t>必</t>
    <rPh sb="0" eb="1">
      <t>ヒツ</t>
    </rPh>
    <phoneticPr fontId="1"/>
  </si>
  <si>
    <t>項目名</t>
    <rPh sb="0" eb="2">
      <t>コウモク</t>
    </rPh>
    <rPh sb="2" eb="3">
      <t>メイ</t>
    </rPh>
    <phoneticPr fontId="1"/>
  </si>
  <si>
    <t>説明</t>
    <rPh sb="0" eb="2">
      <t>セツメイ</t>
    </rPh>
    <phoneticPr fontId="1"/>
  </si>
  <si>
    <t>未設定時の振る舞い</t>
    <rPh sb="0" eb="3">
      <t>ミセッテイ</t>
    </rPh>
    <rPh sb="3" eb="4">
      <t>ジ</t>
    </rPh>
    <rPh sb="5" eb="6">
      <t>フ</t>
    </rPh>
    <rPh sb="7" eb="8">
      <t>マ</t>
    </rPh>
    <phoneticPr fontId="1"/>
  </si>
  <si>
    <t>●</t>
    <phoneticPr fontId="1"/>
  </si>
  <si>
    <t>年月ＦＲＯＭ</t>
    <rPh sb="0" eb="2">
      <t>ネンゲツ</t>
    </rPh>
    <phoneticPr fontId="1"/>
  </si>
  <si>
    <t>取込対象の開始年月を指定する。</t>
    <rPh sb="0" eb="2">
      <t>トリコミ</t>
    </rPh>
    <rPh sb="2" eb="4">
      <t>タイショウ</t>
    </rPh>
    <rPh sb="5" eb="7">
      <t>カイシ</t>
    </rPh>
    <rPh sb="7" eb="9">
      <t>ネンゲツ</t>
    </rPh>
    <rPh sb="10" eb="12">
      <t>シテイ</t>
    </rPh>
    <phoneticPr fontId="1"/>
  </si>
  <si>
    <t>年月ＴＯ</t>
    <rPh sb="0" eb="2">
      <t>ネンゲツ</t>
    </rPh>
    <phoneticPr fontId="1"/>
  </si>
  <si>
    <t>取込対象の終了年月を指定する。</t>
    <rPh sb="0" eb="2">
      <t>トリコミ</t>
    </rPh>
    <rPh sb="2" eb="4">
      <t>タイショウ</t>
    </rPh>
    <rPh sb="5" eb="7">
      <t>シュウリョウ</t>
    </rPh>
    <rPh sb="7" eb="9">
      <t>ネンゲツ</t>
    </rPh>
    <rPh sb="10" eb="12">
      <t>シテイ</t>
    </rPh>
    <phoneticPr fontId="1"/>
  </si>
  <si>
    <t>計算カテゴリＣＤ</t>
    <rPh sb="0" eb="2">
      <t>ケイサン</t>
    </rPh>
    <phoneticPr fontId="1"/>
  </si>
  <si>
    <t>取込対象の計算カテゴリＣＤを指定する。</t>
    <rPh sb="0" eb="2">
      <t>トリコミ</t>
    </rPh>
    <rPh sb="2" eb="4">
      <t>タイショウ</t>
    </rPh>
    <rPh sb="5" eb="7">
      <t>ケイサン</t>
    </rPh>
    <rPh sb="14" eb="16">
      <t>シテイ</t>
    </rPh>
    <phoneticPr fontId="1"/>
  </si>
  <si>
    <t>すべての計算カテゴリを取込対象とする。</t>
    <rPh sb="4" eb="6">
      <t>ケイサン</t>
    </rPh>
    <rPh sb="11" eb="13">
      <t>トリコミ</t>
    </rPh>
    <rPh sb="13" eb="15">
      <t>タイショウ</t>
    </rPh>
    <phoneticPr fontId="1"/>
  </si>
  <si>
    <t>ワーキンググループＣＤ</t>
    <phoneticPr fontId="1"/>
  </si>
  <si>
    <t>配賦費用実績ＩＦデータのワーキンググループＣＤに設定されるＣＤを指定する。</t>
    <rPh sb="0" eb="2">
      <t>ハイフ</t>
    </rPh>
    <rPh sb="2" eb="4">
      <t>ヒヨウ</t>
    </rPh>
    <rPh sb="4" eb="6">
      <t>ジッセキ</t>
    </rPh>
    <rPh sb="24" eb="26">
      <t>セッテイ</t>
    </rPh>
    <rPh sb="32" eb="34">
      <t>シテイ</t>
    </rPh>
    <phoneticPr fontId="1"/>
  </si>
  <si>
    <t>マスタから取得したワーキンググループＣＤを設定する。</t>
    <rPh sb="5" eb="7">
      <t>シュトク</t>
    </rPh>
    <rPh sb="21" eb="23">
      <t>セッテイ</t>
    </rPh>
    <phoneticPr fontId="1"/>
  </si>
  <si>
    <t>再取込</t>
    <rPh sb="0" eb="3">
      <t>サイトリコミ</t>
    </rPh>
    <phoneticPr fontId="1"/>
  </si>
  <si>
    <t>オンの場合、再取込する。</t>
    <rPh sb="3" eb="5">
      <t>バアイ</t>
    </rPh>
    <rPh sb="6" eb="8">
      <t>サイト</t>
    </rPh>
    <rPh sb="8" eb="9">
      <t>コ</t>
    </rPh>
    <phoneticPr fontId="1"/>
  </si>
  <si>
    <t>追加のみを行う。</t>
    <rPh sb="0" eb="2">
      <t>ツイカ</t>
    </rPh>
    <rPh sb="5" eb="6">
      <t>オコナ</t>
    </rPh>
    <phoneticPr fontId="1"/>
  </si>
  <si>
    <t>凡例</t>
    <rPh sb="0" eb="2">
      <t>ハンレイ</t>
    </rPh>
    <phoneticPr fontId="1"/>
  </si>
  <si>
    <t>外部システムサービス</t>
    <rPh sb="0" eb="2">
      <t>ガイブ</t>
    </rPh>
    <phoneticPr fontId="1"/>
  </si>
  <si>
    <t>サービス</t>
    <phoneticPr fontId="1"/>
  </si>
  <si>
    <t>テーブル</t>
    <phoneticPr fontId="1"/>
  </si>
  <si>
    <t>サービス・テーブルのグループ</t>
    <phoneticPr fontId="1"/>
  </si>
  <si>
    <t>ファイル</t>
    <phoneticPr fontId="1"/>
  </si>
  <si>
    <t>No</t>
    <phoneticPr fontId="1"/>
  </si>
  <si>
    <t>入力</t>
    <rPh sb="0" eb="2">
      <t>ニュウリョク</t>
    </rPh>
    <phoneticPr fontId="1"/>
  </si>
  <si>
    <t>処理</t>
    <rPh sb="0" eb="2">
      <t>ショリ</t>
    </rPh>
    <phoneticPr fontId="1"/>
  </si>
  <si>
    <t>出力</t>
    <rPh sb="0" eb="2">
      <t>シュツリョク</t>
    </rPh>
    <phoneticPr fontId="1"/>
  </si>
  <si>
    <t>受信変換</t>
    <rPh sb="0" eb="2">
      <t>ジュシン</t>
    </rPh>
    <rPh sb="2" eb="4">
      <t>ヘンカン</t>
    </rPh>
    <phoneticPr fontId="1"/>
  </si>
  <si>
    <t>1.</t>
    <phoneticPr fontId="1"/>
  </si>
  <si>
    <t>開始をバッチログメッセージに出力する。</t>
    <rPh sb="0" eb="2">
      <t>カイシ</t>
    </rPh>
    <rPh sb="14" eb="16">
      <t>シュツリョク</t>
    </rPh>
    <phoneticPr fontId="1"/>
  </si>
  <si>
    <t>【バッチログメッセージ】</t>
    <phoneticPr fontId="1"/>
  </si>
  <si>
    <t>・標準から変更なし。</t>
    <phoneticPr fontId="1"/>
  </si>
  <si>
    <t>配賦費用実績ＩＦ取込前チェックを行う。</t>
    <rPh sb="0" eb="2">
      <t>ハイフ</t>
    </rPh>
    <rPh sb="2" eb="4">
      <t>ヒヨウ</t>
    </rPh>
    <rPh sb="4" eb="6">
      <t>ジッセキ</t>
    </rPh>
    <rPh sb="8" eb="10">
      <t>トリコミ</t>
    </rPh>
    <rPh sb="10" eb="11">
      <t>マエ</t>
    </rPh>
    <rPh sb="16" eb="17">
      <t>オコナ</t>
    </rPh>
    <phoneticPr fontId="1"/>
  </si>
  <si>
    <t>【配賦費用実績受信ＩＦ】</t>
    <phoneticPr fontId="1"/>
  </si>
  <si>
    <t>3.</t>
    <phoneticPr fontId="1"/>
  </si>
  <si>
    <t>配賦費用実績受信ＩＦから処理対象データを抽出する。</t>
    <rPh sb="12" eb="14">
      <t>ショリ</t>
    </rPh>
    <rPh sb="14" eb="16">
      <t>タイショウ</t>
    </rPh>
    <rPh sb="20" eb="22">
      <t>チュウシュツ</t>
    </rPh>
    <phoneticPr fontId="1"/>
  </si>
  <si>
    <t>4.</t>
    <phoneticPr fontId="1"/>
  </si>
  <si>
    <t>処理対象データを編集する。</t>
    <rPh sb="0" eb="2">
      <t>ショリ</t>
    </rPh>
    <rPh sb="2" eb="4">
      <t>タイショウ</t>
    </rPh>
    <rPh sb="8" eb="10">
      <t>ヘンシュウ</t>
    </rPh>
    <phoneticPr fontId="1"/>
  </si>
  <si>
    <t>・品目ＣＤに製番TOP品目を設定する。</t>
    <rPh sb="14" eb="16">
      <t>セッテイ</t>
    </rPh>
    <phoneticPr fontId="1"/>
  </si>
  <si>
    <r>
      <t xml:space="preserve">品目マスタから「メモ１」＝対象製番（※） </t>
    </r>
    <r>
      <rPr>
        <strike/>
        <sz val="9"/>
        <color rgb="FFFF0000"/>
        <rFont val="Meiryo UI"/>
        <family val="3"/>
        <charset val="128"/>
      </rPr>
      <t>且つ 「品目分類」＝製番TOP品目</t>
    </r>
    <r>
      <rPr>
        <sz val="9"/>
        <rFont val="Meiryo UI"/>
        <family val="3"/>
        <charset val="128"/>
      </rPr>
      <t>　のレコードを取得する。</t>
    </r>
    <phoneticPr fontId="1"/>
  </si>
  <si>
    <t>※</t>
    <phoneticPr fontId="1"/>
  </si>
  <si>
    <t>手配ＮＯ２未指定の場合、対象製番＝手配ＮＯ１</t>
    <phoneticPr fontId="1"/>
  </si>
  <si>
    <t>手配ＮＯ２を指定した場合、対象製番＝手配ＮＯ１＋'-'+手配ＮＯ２</t>
    <rPh sb="28" eb="30">
      <t>テハイ</t>
    </rPh>
    <phoneticPr fontId="1"/>
  </si>
  <si>
    <t>品目マスタからデータを取得できない場合、ミス製番（手配NO２が１～８０）と営繕修理製番（手配NO１が97始まり）の場合、汎用マスタから固定品目を取得する。</t>
    <rPh sb="72" eb="74">
      <t>シュトク</t>
    </rPh>
    <phoneticPr fontId="1"/>
  </si>
  <si>
    <t>製番TOP品目を取得できない場合、または複数品目を取得した場合、品目ＣＤを設定しない。（配賦費用実績ＩＦデータとしては登録する。）</t>
    <rPh sb="0" eb="2">
      <t>セイバン</t>
    </rPh>
    <rPh sb="5" eb="7">
      <t>ヒンモク</t>
    </rPh>
    <rPh sb="8" eb="10">
      <t>シュトク</t>
    </rPh>
    <rPh sb="14" eb="16">
      <t>バアイ</t>
    </rPh>
    <rPh sb="20" eb="22">
      <t>フクスウ</t>
    </rPh>
    <rPh sb="22" eb="24">
      <t>ヒンモク</t>
    </rPh>
    <rPh sb="25" eb="27">
      <t>シュトク</t>
    </rPh>
    <rPh sb="29" eb="31">
      <t>バアイ</t>
    </rPh>
    <rPh sb="32" eb="34">
      <t>ヒンモク</t>
    </rPh>
    <rPh sb="37" eb="39">
      <t>セッテイ</t>
    </rPh>
    <rPh sb="44" eb="46">
      <t>ハイフ</t>
    </rPh>
    <rPh sb="46" eb="48">
      <t>ヒヨウ</t>
    </rPh>
    <rPh sb="48" eb="50">
      <t>ジッセキ</t>
    </rPh>
    <rPh sb="59" eb="61">
      <t>トウロク</t>
    </rPh>
    <phoneticPr fontId="1"/>
  </si>
  <si>
    <t>・手配ＮＯ１にＩＦ予備ＣＨＡＲ項目１を設定する。</t>
    <rPh sb="1" eb="3">
      <t>テハイ</t>
    </rPh>
    <rPh sb="19" eb="21">
      <t>セッテイ</t>
    </rPh>
    <phoneticPr fontId="1"/>
  </si>
  <si>
    <t>・手配ＮＯ２にＩＦ予備ＣＨＡＲ項目２を設定する。</t>
    <rPh sb="1" eb="3">
      <t>テハイ</t>
    </rPh>
    <rPh sb="19" eb="21">
      <t>セッテイ</t>
    </rPh>
    <phoneticPr fontId="1"/>
  </si>
  <si>
    <t>・下記項目以外は、標準から変更なし。</t>
    <rPh sb="1" eb="3">
      <t>カキ</t>
    </rPh>
    <rPh sb="3" eb="5">
      <t>コウモク</t>
    </rPh>
    <rPh sb="5" eb="7">
      <t>イガイ</t>
    </rPh>
    <phoneticPr fontId="1"/>
  </si>
  <si>
    <t>①</t>
    <phoneticPr fontId="1"/>
  </si>
  <si>
    <t>品目ＣＤ</t>
    <rPh sb="0" eb="2">
      <t>ヒンモク</t>
    </rPh>
    <phoneticPr fontId="1"/>
  </si>
  <si>
    <t>②</t>
    <phoneticPr fontId="1"/>
  </si>
  <si>
    <t>手配ＮＯ１、手配ＮＯ２</t>
    <rPh sb="0" eb="2">
      <t>テハイ</t>
    </rPh>
    <rPh sb="6" eb="8">
      <t>テハイ</t>
    </rPh>
    <phoneticPr fontId="1"/>
  </si>
  <si>
    <t>5.</t>
    <phoneticPr fontId="1"/>
  </si>
  <si>
    <t>【配賦費用実績ＩＦ】の登録処理を実行する。</t>
    <rPh sb="11" eb="13">
      <t>トウロク</t>
    </rPh>
    <rPh sb="13" eb="15">
      <t>ショリ</t>
    </rPh>
    <rPh sb="16" eb="18">
      <t>ジッコウ</t>
    </rPh>
    <phoneticPr fontId="1"/>
  </si>
  <si>
    <t>【配賦費用実績ＩＦ】</t>
    <phoneticPr fontId="1"/>
  </si>
  <si>
    <t>【汎用マスタ】</t>
    <rPh sb="1" eb="3">
      <t>ハンヨウ</t>
    </rPh>
    <phoneticPr fontId="1"/>
  </si>
  <si>
    <t>6.</t>
    <phoneticPr fontId="1"/>
  </si>
  <si>
    <t>工数実績を登録する。</t>
    <rPh sb="0" eb="2">
      <t>コウスウ</t>
    </rPh>
    <rPh sb="2" eb="4">
      <t>ジッセキ</t>
    </rPh>
    <rPh sb="5" eb="7">
      <t>トウロク</t>
    </rPh>
    <phoneticPr fontId="1"/>
  </si>
  <si>
    <t>【工数実績】</t>
    <rPh sb="1" eb="3">
      <t>コウスウ</t>
    </rPh>
    <rPh sb="3" eb="5">
      <t>ジッセキ</t>
    </rPh>
    <phoneticPr fontId="1"/>
  </si>
  <si>
    <t>【汎用マスタ】に設定されている配賦科目ＣＤに対して、工数実績を新規登録する。</t>
    <rPh sb="8" eb="10">
      <t>セッテイ</t>
    </rPh>
    <rPh sb="22" eb="23">
      <t>タイ</t>
    </rPh>
    <rPh sb="26" eb="28">
      <t>コウスウ</t>
    </rPh>
    <rPh sb="28" eb="30">
      <t>ジッセキ</t>
    </rPh>
    <rPh sb="31" eb="33">
      <t>シンキ</t>
    </rPh>
    <rPh sb="33" eb="35">
      <t>トウロク</t>
    </rPh>
    <phoneticPr fontId="1"/>
  </si>
  <si>
    <t>【受注明細】</t>
    <rPh sb="1" eb="3">
      <t>ジュチュウ</t>
    </rPh>
    <rPh sb="3" eb="5">
      <t>メイサイ</t>
    </rPh>
    <phoneticPr fontId="1"/>
  </si>
  <si>
    <t>7.</t>
    <phoneticPr fontId="1"/>
  </si>
  <si>
    <t>対象製番が売上計上済みの場合、製番TOP品目の他勘定入庫及び他勘定出庫データを登録する。</t>
    <rPh sb="0" eb="2">
      <t>タイショウ</t>
    </rPh>
    <rPh sb="2" eb="4">
      <t>セイバン</t>
    </rPh>
    <rPh sb="5" eb="7">
      <t>ウリアゲ</t>
    </rPh>
    <rPh sb="7" eb="9">
      <t>ケイジョウ</t>
    </rPh>
    <rPh sb="9" eb="10">
      <t>ズ</t>
    </rPh>
    <rPh sb="12" eb="14">
      <t>バアイ</t>
    </rPh>
    <rPh sb="15" eb="17">
      <t>セイバン</t>
    </rPh>
    <rPh sb="20" eb="22">
      <t>ヒンモク</t>
    </rPh>
    <rPh sb="23" eb="24">
      <t>タ</t>
    </rPh>
    <rPh sb="24" eb="26">
      <t>カンジョウ</t>
    </rPh>
    <rPh sb="26" eb="28">
      <t>ニュウコ</t>
    </rPh>
    <rPh sb="28" eb="29">
      <t>オヨ</t>
    </rPh>
    <rPh sb="30" eb="31">
      <t>タ</t>
    </rPh>
    <rPh sb="31" eb="33">
      <t>カンジョウ</t>
    </rPh>
    <rPh sb="33" eb="35">
      <t>シュッコ</t>
    </rPh>
    <rPh sb="39" eb="41">
      <t>トウロク</t>
    </rPh>
    <phoneticPr fontId="1"/>
  </si>
  <si>
    <t>【売上実績明細】</t>
    <rPh sb="1" eb="3">
      <t>ウリアゲ</t>
    </rPh>
    <rPh sb="3" eb="5">
      <t>ジッセキ</t>
    </rPh>
    <rPh sb="5" eb="7">
      <t>メイサイ</t>
    </rPh>
    <phoneticPr fontId="1"/>
  </si>
  <si>
    <t>・条件</t>
    <rPh sb="1" eb="3">
      <t>ジョウケン</t>
    </rPh>
    <phoneticPr fontId="1"/>
  </si>
  <si>
    <t>以下すべての条件を満たす場合、売上計上済として扱う。</t>
    <rPh sb="0" eb="2">
      <t>イカ</t>
    </rPh>
    <rPh sb="6" eb="8">
      <t>ジョウケン</t>
    </rPh>
    <rPh sb="9" eb="10">
      <t>ミ</t>
    </rPh>
    <rPh sb="12" eb="14">
      <t>バアイ</t>
    </rPh>
    <rPh sb="19" eb="20">
      <t>ズ</t>
    </rPh>
    <rPh sb="23" eb="24">
      <t>アツカ</t>
    </rPh>
    <phoneticPr fontId="1"/>
  </si>
  <si>
    <t>製番TOP品目の受注明細が存在する</t>
    <rPh sb="8" eb="10">
      <t>ジュチュウ</t>
    </rPh>
    <rPh sb="10" eb="12">
      <t>メイサイ</t>
    </rPh>
    <rPh sb="13" eb="15">
      <t>ソンザイ</t>
    </rPh>
    <phoneticPr fontId="1"/>
  </si>
  <si>
    <t>製番TOP品目の受注明細の販売状況ステータスが「完了」になること</t>
    <rPh sb="13" eb="15">
      <t>ハンバイ</t>
    </rPh>
    <rPh sb="15" eb="17">
      <t>ジョウキョウ</t>
    </rPh>
    <rPh sb="24" eb="26">
      <t>カンリョウ</t>
    </rPh>
    <phoneticPr fontId="1"/>
  </si>
  <si>
    <t>③</t>
    <phoneticPr fontId="1"/>
  </si>
  <si>
    <t>配賦費用実績ＩＦ．計上月　＞　売上実績明細．計上月（最遅）</t>
    <rPh sb="9" eb="11">
      <t>ケイジョウ</t>
    </rPh>
    <rPh sb="11" eb="12">
      <t>ツキ</t>
    </rPh>
    <rPh sb="15" eb="17">
      <t>ウリアゲ</t>
    </rPh>
    <rPh sb="17" eb="19">
      <t>ジッセキ</t>
    </rPh>
    <rPh sb="19" eb="21">
      <t>メイサイ</t>
    </rPh>
    <rPh sb="22" eb="24">
      <t>ケイジョウ</t>
    </rPh>
    <rPh sb="24" eb="25">
      <t>ツキ</t>
    </rPh>
    <rPh sb="26" eb="28">
      <t>サイチ</t>
    </rPh>
    <phoneticPr fontId="1"/>
  </si>
  <si>
    <t>・処理</t>
    <rPh sb="1" eb="3">
      <t>ショリ</t>
    </rPh>
    <phoneticPr fontId="1"/>
  </si>
  <si>
    <t>7.1 他勘定入庫データを登録する。</t>
    <rPh sb="4" eb="5">
      <t>タ</t>
    </rPh>
    <rPh sb="5" eb="7">
      <t>カンジョウ</t>
    </rPh>
    <rPh sb="7" eb="9">
      <t>ニュウコ</t>
    </rPh>
    <rPh sb="13" eb="15">
      <t>トウロク</t>
    </rPh>
    <phoneticPr fontId="1"/>
  </si>
  <si>
    <t>【他勘定振替実績ヘッダ】</t>
    <rPh sb="1" eb="2">
      <t>タ</t>
    </rPh>
    <rPh sb="2" eb="4">
      <t>カンジョウ</t>
    </rPh>
    <rPh sb="4" eb="6">
      <t>フリカエ</t>
    </rPh>
    <rPh sb="6" eb="8">
      <t>ジッセキ</t>
    </rPh>
    <phoneticPr fontId="1"/>
  </si>
  <si>
    <t>項目設定仕様は「処理詳細」の「3.他勘定入庫データ登録」を参照</t>
    <rPh sb="0" eb="2">
      <t>コウモク</t>
    </rPh>
    <rPh sb="2" eb="4">
      <t>セッテイ</t>
    </rPh>
    <rPh sb="4" eb="6">
      <t>シヨウ</t>
    </rPh>
    <rPh sb="29" eb="31">
      <t>サンショウ</t>
    </rPh>
    <phoneticPr fontId="1"/>
  </si>
  <si>
    <t>【他勘定振替実績明細】</t>
    <rPh sb="1" eb="2">
      <t>タ</t>
    </rPh>
    <rPh sb="2" eb="4">
      <t>カンジョウ</t>
    </rPh>
    <rPh sb="4" eb="6">
      <t>フリカエ</t>
    </rPh>
    <rPh sb="6" eb="8">
      <t>ジッセキ</t>
    </rPh>
    <rPh sb="8" eb="10">
      <t>メイサイ</t>
    </rPh>
    <phoneticPr fontId="1"/>
  </si>
  <si>
    <t>7.2 他勘定出庫データを登録する。</t>
    <rPh sb="4" eb="5">
      <t>タ</t>
    </rPh>
    <rPh sb="5" eb="7">
      <t>カンジョウ</t>
    </rPh>
    <rPh sb="7" eb="9">
      <t>シュッコ</t>
    </rPh>
    <rPh sb="13" eb="15">
      <t>トウロク</t>
    </rPh>
    <phoneticPr fontId="1"/>
  </si>
  <si>
    <t>項目設定仕様は「処理詳細」の「4.他勘定出庫データ登録」を参照</t>
    <rPh sb="0" eb="2">
      <t>コウモク</t>
    </rPh>
    <rPh sb="2" eb="4">
      <t>セッテイ</t>
    </rPh>
    <rPh sb="4" eb="6">
      <t>シヨウ</t>
    </rPh>
    <rPh sb="20" eb="22">
      <t>シュッコ</t>
    </rPh>
    <rPh sb="29" eb="31">
      <t>サンショウ</t>
    </rPh>
    <phoneticPr fontId="1"/>
  </si>
  <si>
    <t>8.</t>
    <phoneticPr fontId="1"/>
  </si>
  <si>
    <t>終了をバッチログメッセージに出力する。</t>
    <rPh sb="0" eb="2">
      <t>シュウリョウ</t>
    </rPh>
    <rPh sb="14" eb="16">
      <t>シュツリョク</t>
    </rPh>
    <phoneticPr fontId="1"/>
  </si>
  <si>
    <t>3.1　配賦費用実績受信ＩＦの金額 = 0円のデータを処理対象外にする。</t>
    <rPh sb="27" eb="29">
      <t>ショリ</t>
    </rPh>
    <rPh sb="31" eb="32">
      <t>ガイ</t>
    </rPh>
    <phoneticPr fontId="1"/>
  </si>
  <si>
    <t>※3.1（0円データ排除）以外は標準から変更なし。</t>
    <rPh sb="6" eb="7">
      <t>エン</t>
    </rPh>
    <rPh sb="10" eb="12">
      <t>ハイジョ</t>
    </rPh>
    <rPh sb="13" eb="15">
      <t>イガイ</t>
    </rPh>
    <phoneticPr fontId="1"/>
  </si>
  <si>
    <t>（注）</t>
    <rPh sb="1" eb="2">
      <t>チュウ</t>
    </rPh>
    <phoneticPr fontId="1"/>
  </si>
  <si>
    <t>標準通り、上記3.で抽出した処理対象データを１件ずつ処理する。</t>
    <rPh sb="2" eb="3">
      <t>トオ</t>
    </rPh>
    <rPh sb="5" eb="7">
      <t>ジョウキ</t>
    </rPh>
    <rPh sb="10" eb="12">
      <t>チュウシュツ</t>
    </rPh>
    <rPh sb="14" eb="16">
      <t>ショリ</t>
    </rPh>
    <rPh sb="16" eb="18">
      <t>タイショウ</t>
    </rPh>
    <rPh sb="23" eb="24">
      <t>ケン</t>
    </rPh>
    <rPh sb="26" eb="28">
      <t>ショリ</t>
    </rPh>
    <phoneticPr fontId="1"/>
  </si>
  <si>
    <t>4.1</t>
    <phoneticPr fontId="1"/>
  </si>
  <si>
    <t>品目ＣＤの設定</t>
    <phoneticPr fontId="1"/>
  </si>
  <si>
    <t>特記：</t>
    <rPh sb="0" eb="2">
      <t>トッキ</t>
    </rPh>
    <phoneticPr fontId="1"/>
  </si>
  <si>
    <t>製番TOP品目の取得仕様としては「バッチ機能_MSLAB1230_工数実績受信ＩＦ取込バッチ」と同じであるため、</t>
    <phoneticPr fontId="1"/>
  </si>
  <si>
    <t>以下の取得ロジックはMCData用ユーティリティ（MBUCL_MCDataUtil）にて共通化する。</t>
    <rPh sb="0" eb="2">
      <t>イカ</t>
    </rPh>
    <rPh sb="3" eb="5">
      <t>シュトク</t>
    </rPh>
    <rPh sb="44" eb="46">
      <t>キョウツウ</t>
    </rPh>
    <rPh sb="46" eb="47">
      <t>カ</t>
    </rPh>
    <phoneticPr fontId="1"/>
  </si>
  <si>
    <t>INPUT用の引数としては、「処理対象データ」ＩＦ予備ＣＨＡＲ項目１（手配ＮＯ１），</t>
    <rPh sb="5" eb="6">
      <t>ヨウ</t>
    </rPh>
    <rPh sb="7" eb="9">
      <t>ヒキスウ</t>
    </rPh>
    <phoneticPr fontId="1"/>
  </si>
  <si>
    <t>「処理対象データ」ＩＦ予備ＣＨＡＲ項目２（手配ＮＯ２）とする。</t>
    <phoneticPr fontId="1"/>
  </si>
  <si>
    <t>【品目マスタ】</t>
    <phoneticPr fontId="1"/>
  </si>
  <si>
    <t>品目ＣＤに、以下の抽出条件で取得した【品目マスタ】品目ＣＤで設定する。</t>
    <rPh sb="6" eb="8">
      <t>イカ</t>
    </rPh>
    <rPh sb="14" eb="16">
      <t>シュトク</t>
    </rPh>
    <rPh sb="19" eb="21">
      <t>ヒンモク</t>
    </rPh>
    <rPh sb="25" eb="27">
      <t>ヒンモク</t>
    </rPh>
    <rPh sb="30" eb="32">
      <t>セッテイ</t>
    </rPh>
    <phoneticPr fontId="1"/>
  </si>
  <si>
    <t>(1)</t>
    <phoneticPr fontId="1"/>
  </si>
  <si>
    <t>対象品目の特定</t>
    <rPh sb="0" eb="2">
      <t>タイショウ</t>
    </rPh>
    <rPh sb="2" eb="4">
      <t>ヒンモク</t>
    </rPh>
    <rPh sb="5" eb="7">
      <t>トクテイ</t>
    </rPh>
    <phoneticPr fontId="1"/>
  </si>
  <si>
    <t>「処理対象データ」ＩＦ予備ＣＨＡＲ項目２（手配ＮＯ２） &lt;&gt; '*'の場合（手配ＮＯ２未指定）、</t>
    <rPh sb="38" eb="40">
      <t>テハイ</t>
    </rPh>
    <phoneticPr fontId="1"/>
  </si>
  <si>
    <t>以下の抽出条件で特定する。</t>
    <phoneticPr fontId="1"/>
  </si>
  <si>
    <t>■抽出条件</t>
    <rPh sb="1" eb="3">
      <t>チュウシュツ</t>
    </rPh>
    <rPh sb="3" eb="5">
      <t>ジョウケン</t>
    </rPh>
    <phoneticPr fontId="1"/>
  </si>
  <si>
    <t>【品目マスタ】メモ１（共通）</t>
    <phoneticPr fontId="1"/>
  </si>
  <si>
    <t>＝</t>
    <phoneticPr fontId="1"/>
  </si>
  <si>
    <t>「処理対象データ」ＩＦ予備ＣＨＡＲ項目１（手配ＮＯ１）</t>
    <phoneticPr fontId="1"/>
  </si>
  <si>
    <t>①以外</t>
    <phoneticPr fontId="1"/>
  </si>
  <si>
    <t>「処理対象データ」ＩＦ予備ＣＨＡＲ項目１</t>
    <phoneticPr fontId="1"/>
  </si>
  <si>
    <t>＋'-'＋「処理対象データ」ＩＦ予備ＣＨＡＲ項目２</t>
    <phoneticPr fontId="1"/>
  </si>
  <si>
    <t>(2)</t>
    <phoneticPr fontId="1"/>
  </si>
  <si>
    <t>品目ＣＤの設定</t>
  </si>
  <si>
    <t>(1)で１件のみ抽出した場合、</t>
    <rPh sb="5" eb="6">
      <t>ケン</t>
    </rPh>
    <rPh sb="8" eb="10">
      <t>チュウシュツ</t>
    </rPh>
    <rPh sb="12" eb="14">
      <t>バアイ</t>
    </rPh>
    <phoneticPr fontId="1"/>
  </si>
  <si>
    <t>(1)で抽出した【品目マスタ】「品目ＣＤ」で設定する。</t>
    <rPh sb="4" eb="6">
      <t>チュウシュツ</t>
    </rPh>
    <rPh sb="9" eb="11">
      <t>ヒンモク</t>
    </rPh>
    <rPh sb="16" eb="18">
      <t>ヒンモク</t>
    </rPh>
    <rPh sb="22" eb="24">
      <t>セッテイ</t>
    </rPh>
    <phoneticPr fontId="1"/>
  </si>
  <si>
    <t>(1)で０件を抽出した場合、</t>
    <rPh sb="5" eb="6">
      <t>ケン</t>
    </rPh>
    <rPh sb="7" eb="9">
      <t>チュウシュツ</t>
    </rPh>
    <rPh sb="11" eb="13">
      <t>バアイ</t>
    </rPh>
    <phoneticPr fontId="1"/>
  </si>
  <si>
    <t>a.</t>
    <phoneticPr fontId="1"/>
  </si>
  <si>
    <t>「処理対象データ」ＩＦ予備ＣＨＡＲ項目１が97（※営繕修理製番）始まりの場合</t>
    <rPh sb="32" eb="33">
      <t>ハジ</t>
    </rPh>
    <phoneticPr fontId="1"/>
  </si>
  <si>
    <t>以下、汎用マスタから取得して設定する。</t>
    <rPh sb="0" eb="2">
      <t>イカ</t>
    </rPh>
    <rPh sb="3" eb="5">
      <t>ハンヨウ</t>
    </rPh>
    <rPh sb="10" eb="12">
      <t>シュトク</t>
    </rPh>
    <rPh sb="14" eb="16">
      <t>セッテイ</t>
    </rPh>
    <phoneticPr fontId="1"/>
  </si>
  <si>
    <t>【汎用マスタ】</t>
  </si>
  <si>
    <t>■抽出仕様</t>
    <rPh sb="1" eb="3">
      <t>チュウシュツ</t>
    </rPh>
    <rPh sb="3" eb="5">
      <t>シヨウ</t>
    </rPh>
    <phoneticPr fontId="1"/>
  </si>
  <si>
    <t>SELECT</t>
    <phoneticPr fontId="1"/>
  </si>
  <si>
    <t>文字列１</t>
    <phoneticPr fontId="1"/>
  </si>
  <si>
    <t>FROM</t>
    <phoneticPr fontId="1"/>
  </si>
  <si>
    <t>【汎用マスタ】</t>
    <phoneticPr fontId="1"/>
  </si>
  <si>
    <t>WHERE</t>
    <phoneticPr fontId="1"/>
  </si>
  <si>
    <t>汎用分類ＣＤ</t>
  </si>
  <si>
    <t>'S001'（固定品目ＣＤ）</t>
    <rPh sb="5" eb="7">
      <t>コテイ</t>
    </rPh>
    <rPh sb="7" eb="9">
      <t>ヒンモク</t>
    </rPh>
    <phoneticPr fontId="1"/>
  </si>
  <si>
    <t>AND</t>
    <phoneticPr fontId="1"/>
  </si>
  <si>
    <t>キー１</t>
  </si>
  <si>
    <t>'EIZEN'（営繕修理製番）</t>
    <phoneticPr fontId="1"/>
  </si>
  <si>
    <t>抽出した件数は0件の場合、エラーメッセージをログに出力し処理を継続する。（品目ＣＤを設定しない）</t>
    <rPh sb="25" eb="27">
      <t>シュツリョク</t>
    </rPh>
    <rPh sb="31" eb="33">
      <t>ケイゾク</t>
    </rPh>
    <phoneticPr fontId="1"/>
  </si>
  <si>
    <t>メッセージID：</t>
    <phoneticPr fontId="1"/>
  </si>
  <si>
    <t>MBUCLA0001</t>
    <phoneticPr fontId="1"/>
  </si>
  <si>
    <t>抽出した件数は１件を超えた場合、エラーメッセージをログに出力し処理を継続する。（品目ＣＤを設定しない）</t>
    <rPh sb="10" eb="11">
      <t>コ</t>
    </rPh>
    <rPh sb="34" eb="36">
      <t>ケイゾク</t>
    </rPh>
    <phoneticPr fontId="1"/>
  </si>
  <si>
    <t>MBUCLA0002</t>
    <phoneticPr fontId="1"/>
  </si>
  <si>
    <t>b.</t>
    <phoneticPr fontId="1"/>
  </si>
  <si>
    <r>
      <t>「処理対象データ」ＩＦ予備ＣＨＡＲ項目２が</t>
    </r>
    <r>
      <rPr>
        <strike/>
        <sz val="9"/>
        <color rgb="FFFF0000"/>
        <rFont val="Meiryo UI"/>
        <family val="3"/>
        <charset val="128"/>
      </rPr>
      <t>１～８０</t>
    </r>
    <r>
      <rPr>
        <sz val="9"/>
        <rFont val="Meiryo UI"/>
        <family val="3"/>
        <charset val="128"/>
      </rPr>
      <t xml:space="preserve"> １～79（※ミス製番）の場合、</t>
    </r>
    <phoneticPr fontId="1"/>
  </si>
  <si>
    <t>'MISS'（ミス製番）</t>
    <phoneticPr fontId="1"/>
  </si>
  <si>
    <t>c.</t>
    <phoneticPr fontId="1"/>
  </si>
  <si>
    <r>
      <t>「処理対象データ」ＩＦ予備ＣＨＡＲ項目２が</t>
    </r>
    <r>
      <rPr>
        <strike/>
        <sz val="9"/>
        <color rgb="FFFF0000"/>
        <rFont val="Meiryo UI"/>
        <family val="3"/>
        <charset val="128"/>
      </rPr>
      <t>８１～９９</t>
    </r>
    <r>
      <rPr>
        <sz val="9"/>
        <rFont val="Meiryo UI"/>
        <family val="3"/>
        <charset val="128"/>
      </rPr>
      <t>　８0～９９（※クレーム製番）の場合、</t>
    </r>
    <phoneticPr fontId="1"/>
  </si>
  <si>
    <t>'CLAIM'（クレーム製番）</t>
    <phoneticPr fontId="1"/>
  </si>
  <si>
    <t>d.</t>
    <phoneticPr fontId="1"/>
  </si>
  <si>
    <t>「処理対象データ」ＩＦ予備ＣＨＡＲ項目１が９６（※テスト見積製番）始まりの場合</t>
    <rPh sb="33" eb="34">
      <t>ハジ</t>
    </rPh>
    <phoneticPr fontId="1"/>
  </si>
  <si>
    <t>'TEST'（テスト見積製番）</t>
    <phoneticPr fontId="1"/>
  </si>
  <si>
    <t>e.</t>
    <phoneticPr fontId="1"/>
  </si>
  <si>
    <t>なにもしない。</t>
    <phoneticPr fontId="1"/>
  </si>
  <si>
    <t>標準通りに品目ＣＤを設定しない。</t>
    <rPh sb="0" eb="2">
      <t>ヒョウジュン</t>
    </rPh>
    <rPh sb="2" eb="3">
      <t>トオ</t>
    </rPh>
    <rPh sb="5" eb="7">
      <t>ヒンモク</t>
    </rPh>
    <rPh sb="10" eb="12">
      <t>セッテイ</t>
    </rPh>
    <phoneticPr fontId="1"/>
  </si>
  <si>
    <t>(1)で２件以上を抽出した場合、</t>
    <rPh sb="5" eb="6">
      <t>ケン</t>
    </rPh>
    <rPh sb="6" eb="8">
      <t>イジョウ</t>
    </rPh>
    <rPh sb="9" eb="11">
      <t>チュウシュツ</t>
    </rPh>
    <rPh sb="13" eb="15">
      <t>バアイ</t>
    </rPh>
    <phoneticPr fontId="1"/>
  </si>
  <si>
    <t>4.2</t>
    <phoneticPr fontId="1"/>
  </si>
  <si>
    <t>手配ＮＯ１の設定</t>
    <phoneticPr fontId="1"/>
  </si>
  <si>
    <t>「処理対象データ」ＩＦ予備ＣＨＡＲ項目１で設定する。</t>
    <rPh sb="21" eb="23">
      <t>セッテイ</t>
    </rPh>
    <phoneticPr fontId="1"/>
  </si>
  <si>
    <t>4.3</t>
    <phoneticPr fontId="1"/>
  </si>
  <si>
    <t>手配ＮＯ２の設定</t>
    <phoneticPr fontId="1"/>
  </si>
  <si>
    <t>「処理対象データ」ＩＦ予備ＣＨＡＲ項目２で設定する。</t>
    <rPh sb="21" eb="23">
      <t>セッテイ</t>
    </rPh>
    <phoneticPr fontId="1"/>
  </si>
  <si>
    <t>※「処理対象データ」ＩＦ予備ＣＨＡＲ項目２ = '00'の場合、NULLで設定する。</t>
    <phoneticPr fontId="1"/>
  </si>
  <si>
    <t>4.4</t>
    <phoneticPr fontId="1"/>
  </si>
  <si>
    <t>部門ＣＤの設定</t>
    <phoneticPr fontId="1"/>
  </si>
  <si>
    <t>固定値（AXXXM)を設定する。</t>
    <rPh sb="11" eb="13">
      <t>セッテイ</t>
    </rPh>
    <phoneticPr fontId="1"/>
  </si>
  <si>
    <t>※IFデータの部門CDが設定された場合でも、固定値で書き換える。</t>
    <rPh sb="7" eb="9">
      <t>ブモン</t>
    </rPh>
    <rPh sb="12" eb="14">
      <t>セッテイ</t>
    </rPh>
    <rPh sb="17" eb="19">
      <t>バアイ</t>
    </rPh>
    <rPh sb="22" eb="25">
      <t>コテイチ</t>
    </rPh>
    <rPh sb="26" eb="27">
      <t>カ</t>
    </rPh>
    <rPh sb="28" eb="29">
      <t>カ</t>
    </rPh>
    <phoneticPr fontId="1"/>
  </si>
  <si>
    <t>SCM IF制御マスタを見ないように改修する。</t>
    <phoneticPr fontId="1"/>
  </si>
  <si>
    <t>・以外、標準から変更なし。</t>
    <rPh sb="1" eb="3">
      <t>イガイ</t>
    </rPh>
    <phoneticPr fontId="1"/>
  </si>
  <si>
    <t>（ヒント）</t>
    <phoneticPr fontId="1"/>
  </si>
  <si>
    <t>後続の処理では登録後の【配賦費用実績ＩＦ】を再利用するが、ＤＢから取得せずにメモリ上で保持している</t>
    <rPh sb="0" eb="2">
      <t>コウゾク</t>
    </rPh>
    <rPh sb="3" eb="5">
      <t>ショリ</t>
    </rPh>
    <rPh sb="7" eb="9">
      <t>トウロク</t>
    </rPh>
    <rPh sb="9" eb="10">
      <t>アト</t>
    </rPh>
    <rPh sb="22" eb="23">
      <t>サイ</t>
    </rPh>
    <rPh sb="23" eb="25">
      <t>リヨウ</t>
    </rPh>
    <rPh sb="33" eb="35">
      <t>シュトク</t>
    </rPh>
    <rPh sb="41" eb="42">
      <t>ジョウ</t>
    </rPh>
    <rPh sb="43" eb="45">
      <t>ホジ</t>
    </rPh>
    <phoneticPr fontId="1"/>
  </si>
  <si>
    <t>6.1</t>
    <phoneticPr fontId="1"/>
  </si>
  <si>
    <t>登録前準備</t>
    <rPh sb="0" eb="2">
      <t>トウロク</t>
    </rPh>
    <rPh sb="2" eb="3">
      <t>マエ</t>
    </rPh>
    <rPh sb="3" eb="5">
      <t>ジュンビ</t>
    </rPh>
    <phoneticPr fontId="1"/>
  </si>
  <si>
    <t>登録元データとなるグローバル変数（MGBGL_ActAlcIfService#ActAlcIf_Upd01#_ifL）を利用すればよい。</t>
    <rPh sb="0" eb="2">
      <t>トウロク</t>
    </rPh>
    <rPh sb="2" eb="3">
      <t>モト</t>
    </rPh>
    <rPh sb="14" eb="16">
      <t>ヘンスウ</t>
    </rPh>
    <rPh sb="60" eb="62">
      <t>リヨウ</t>
    </rPh>
    <phoneticPr fontId="1"/>
  </si>
  <si>
    <t>0円工数作成対象配賦科目ＣＤの抽出</t>
    <rPh sb="15" eb="17">
      <t>チュウシュツ</t>
    </rPh>
    <phoneticPr fontId="1"/>
  </si>
  <si>
    <t>汎用マスタからの抽出</t>
    <rPh sb="0" eb="2">
      <t>ハンヨウ</t>
    </rPh>
    <rPh sb="8" eb="10">
      <t>チュウシュツ</t>
    </rPh>
    <phoneticPr fontId="1"/>
  </si>
  <si>
    <t>--配賦科目ＣＤ</t>
  </si>
  <si>
    <t>文字列１</t>
  </si>
  <si>
    <t>--工数管理ＣＤ</t>
  </si>
  <si>
    <t>'G001'（0円工数作成対象配賦科目ＣＤ）</t>
    <phoneticPr fontId="1"/>
  </si>
  <si>
    <t>抽出した件数は0件の場合、エラーメッセージをログに出力し、7.から処理を継続する。（6.2 工数実績登録をスキップする）</t>
    <rPh sb="25" eb="27">
      <t>シュツリョク</t>
    </rPh>
    <rPh sb="36" eb="38">
      <t>ケイゾク</t>
    </rPh>
    <phoneticPr fontId="1"/>
  </si>
  <si>
    <t>【配賦費用実績ＩＦ】配賦科目ＣＤ</t>
  </si>
  <si>
    <t>抽出した件数は0件の場合、7.から処理を継続する。（6.2 工数実績登録をスキップする）</t>
    <phoneticPr fontId="1"/>
  </si>
  <si>
    <t>抽出した件数は１件を超えた場合、エラーメッセージをログに出力し、7.から処理を継続する。</t>
    <rPh sb="10" eb="11">
      <t>コ</t>
    </rPh>
    <phoneticPr fontId="1"/>
  </si>
  <si>
    <t>（6.2 工数実績登録をスキップする）</t>
    <phoneticPr fontId="1"/>
  </si>
  <si>
    <t>MBUCLA0003</t>
    <phoneticPr fontId="1"/>
  </si>
  <si>
    <t>存在チェック</t>
    <rPh sb="0" eb="2">
      <t>ソンザイ</t>
    </rPh>
    <phoneticPr fontId="1"/>
  </si>
  <si>
    <t>5.で登録した【配賦費用実績ＩＦ】配賦科目ＣＤ（注）にて1件ずつ、①で抽出した汎用マスタデータと照合する。</t>
    <rPh sb="24" eb="25">
      <t>チュウ</t>
    </rPh>
    <rPh sb="29" eb="30">
      <t>ケン</t>
    </rPh>
    <rPh sb="35" eb="37">
      <t>チュウシュツ</t>
    </rPh>
    <rPh sb="39" eb="41">
      <t>ハンヨウ</t>
    </rPh>
    <rPh sb="48" eb="50">
      <t>ショウゴウ</t>
    </rPh>
    <phoneticPr fontId="1"/>
  </si>
  <si>
    <t>照合条件：</t>
    <rPh sb="0" eb="2">
      <t>ショウゴウ</t>
    </rPh>
    <rPh sb="2" eb="4">
      <t>ジョウケン</t>
    </rPh>
    <phoneticPr fontId="1"/>
  </si>
  <si>
    <t>=</t>
    <phoneticPr fontId="1"/>
  </si>
  <si>
    <t>①で抽出したキー１</t>
    <phoneticPr fontId="1"/>
  </si>
  <si>
    <t>（MCList.groupBy()とかを利用して）重複をなくした後の配賦科目ＣＤとする。</t>
    <rPh sb="20" eb="22">
      <t>リヨウ</t>
    </rPh>
    <rPh sb="25" eb="27">
      <t>チョウフク</t>
    </rPh>
    <rPh sb="32" eb="33">
      <t>アト</t>
    </rPh>
    <phoneticPr fontId="1"/>
  </si>
  <si>
    <t>0円工数作成用設定項目の抽出</t>
    <rPh sb="9" eb="11">
      <t>コウモク</t>
    </rPh>
    <rPh sb="12" eb="14">
      <t>チュウシュツ</t>
    </rPh>
    <phoneticPr fontId="1"/>
  </si>
  <si>
    <t>--部門ＣＤ</t>
  </si>
  <si>
    <t>キー２</t>
    <phoneticPr fontId="1"/>
  </si>
  <si>
    <t>--場所ＣＤ</t>
  </si>
  <si>
    <t>キー３</t>
    <phoneticPr fontId="1"/>
  </si>
  <si>
    <t>--部門ワーキンググループＣＤ、または場所ワーキンググループＣＤ</t>
  </si>
  <si>
    <t>'G002'（0円工数作成用設定）</t>
    <phoneticPr fontId="1"/>
  </si>
  <si>
    <t>(3)</t>
    <phoneticPr fontId="1"/>
  </si>
  <si>
    <t>0円工数重複データチェックする</t>
    <phoneticPr fontId="1"/>
  </si>
  <si>
    <t>以下の全部同じ項目データを存在する場合、登録しない、処理を継続する。</t>
    <phoneticPr fontId="1"/>
  </si>
  <si>
    <t>工数管理ＣＤ</t>
    <phoneticPr fontId="1"/>
  </si>
  <si>
    <t>0.09</t>
  </si>
  <si>
    <t>計上日</t>
    <phoneticPr fontId="1"/>
  </si>
  <si>
    <t>部門ＣＤ</t>
    <phoneticPr fontId="1"/>
  </si>
  <si>
    <t>場所ＣＤ</t>
    <phoneticPr fontId="1"/>
  </si>
  <si>
    <t>手配ＮＯ１</t>
    <phoneticPr fontId="1"/>
  </si>
  <si>
    <t>手配ＮＯ２</t>
  </si>
  <si>
    <t>【工数実績】</t>
    <phoneticPr fontId="1"/>
  </si>
  <si>
    <t>「（１）検索データ」工数管理ＣＤ</t>
    <phoneticPr fontId="1"/>
  </si>
  <si>
    <t>「対象データ」計上日</t>
    <phoneticPr fontId="1"/>
  </si>
  <si>
    <t>「（2）検索データ」部門ＣＤ</t>
    <rPh sb="4" eb="6">
      <t>ケンサク</t>
    </rPh>
    <phoneticPr fontId="1"/>
  </si>
  <si>
    <t>「（2）検索データ」場所ＣＤ</t>
    <phoneticPr fontId="1"/>
  </si>
  <si>
    <t>「対象データ」手配ＮＯ１</t>
    <phoneticPr fontId="1"/>
  </si>
  <si>
    <t>「対象データ」手配ＮＯ２</t>
    <phoneticPr fontId="1"/>
  </si>
  <si>
    <t>「配賦費用実績ＩＦ」から0円工数データ作成し、重複データ、１回工数作成する。</t>
    <rPh sb="19" eb="21">
      <t>サクセイ</t>
    </rPh>
    <rPh sb="30" eb="31">
      <t>カイ</t>
    </rPh>
    <rPh sb="31" eb="33">
      <t>コウスウ</t>
    </rPh>
    <rPh sb="33" eb="35">
      <t>サクセイ</t>
    </rPh>
    <phoneticPr fontId="1"/>
  </si>
  <si>
    <t>6.2</t>
    <phoneticPr fontId="1"/>
  </si>
  <si>
    <t>工数実績登録</t>
    <rPh sb="0" eb="2">
      <t>コウスウ</t>
    </rPh>
    <rPh sb="2" eb="4">
      <t>ジッセキ</t>
    </rPh>
    <rPh sb="4" eb="6">
      <t>トウロク</t>
    </rPh>
    <phoneticPr fontId="1"/>
  </si>
  <si>
    <t>詳細は更新入出力仕様シートのNo.2を参照。</t>
  </si>
  <si>
    <t>対象製番が売上計上済み 又は 汎用マスタに定義された移行対象製番の場合、</t>
    <rPh sb="0" eb="2">
      <t>タイショウ</t>
    </rPh>
    <rPh sb="2" eb="4">
      <t>セイバン</t>
    </rPh>
    <rPh sb="5" eb="7">
      <t>ウリアゲ</t>
    </rPh>
    <rPh sb="7" eb="9">
      <t>ケイジョウ</t>
    </rPh>
    <rPh sb="9" eb="10">
      <t>ズ</t>
    </rPh>
    <rPh sb="12" eb="13">
      <t>マタ</t>
    </rPh>
    <rPh sb="15" eb="17">
      <t>ハンヨウ</t>
    </rPh>
    <rPh sb="21" eb="23">
      <t>テイギ</t>
    </rPh>
    <rPh sb="26" eb="28">
      <t>イコウ</t>
    </rPh>
    <rPh sb="28" eb="30">
      <t>タイショウ</t>
    </rPh>
    <rPh sb="30" eb="32">
      <t>セイバン</t>
    </rPh>
    <rPh sb="33" eb="35">
      <t>バアイ</t>
    </rPh>
    <phoneticPr fontId="1"/>
  </si>
  <si>
    <t>製番TOP品目の他勘定入庫及び他勘定出庫データを登録する。</t>
    <phoneticPr fontId="1"/>
  </si>
  <si>
    <t>7.1</t>
    <phoneticPr fontId="1"/>
  </si>
  <si>
    <t>データの絞り</t>
    <rPh sb="4" eb="5">
      <t>シボ</t>
    </rPh>
    <phoneticPr fontId="1"/>
  </si>
  <si>
    <t>5.で登録した【配賦費用実績ＩＦ】品目ＣＤ（注）、手配ＮＯ１、年月で重複をなくして絞る。</t>
    <rPh sb="17" eb="19">
      <t>ヒンモク</t>
    </rPh>
    <rPh sb="22" eb="23">
      <t>チュウ</t>
    </rPh>
    <rPh sb="25" eb="27">
      <t>テハイ</t>
    </rPh>
    <rPh sb="31" eb="33">
      <t>ネンゲツ</t>
    </rPh>
    <rPh sb="41" eb="42">
      <t>シボ</t>
    </rPh>
    <phoneticPr fontId="1"/>
  </si>
  <si>
    <t>品目ＣＤがNULLのレコードは除外</t>
    <rPh sb="0" eb="2">
      <t>ヒンモク</t>
    </rPh>
    <rPh sb="15" eb="17">
      <t>ジョガイ</t>
    </rPh>
    <phoneticPr fontId="1"/>
  </si>
  <si>
    <t>以降は、7.1で絞ったデータ（「対象データ」と記す）を１件ずつ処理する。</t>
    <rPh sb="0" eb="2">
      <t>イコウ</t>
    </rPh>
    <phoneticPr fontId="1"/>
  </si>
  <si>
    <t>7.2</t>
    <phoneticPr fontId="1"/>
  </si>
  <si>
    <t>売上計上済の判定</t>
    <rPh sb="6" eb="8">
      <t>ハンテイ</t>
    </rPh>
    <phoneticPr fontId="1"/>
  </si>
  <si>
    <t>売上計上済かを特定</t>
    <rPh sb="7" eb="9">
      <t>トクテイ</t>
    </rPh>
    <phoneticPr fontId="1"/>
  </si>
  <si>
    <t>DISTINCT</t>
    <phoneticPr fontId="1"/>
  </si>
  <si>
    <t>※運用上１件のみ抽出の想定だが、システム都合上でDISTINCT句を利用する。</t>
    <rPh sb="1" eb="3">
      <t>ウンヨウ</t>
    </rPh>
    <rPh sb="3" eb="4">
      <t>ジョウ</t>
    </rPh>
    <rPh sb="5" eb="6">
      <t>ケン</t>
    </rPh>
    <rPh sb="8" eb="10">
      <t>チュウシュツ</t>
    </rPh>
    <rPh sb="11" eb="13">
      <t>ソウテイ</t>
    </rPh>
    <rPh sb="20" eb="22">
      <t>ツゴウ</t>
    </rPh>
    <rPh sb="22" eb="23">
      <t>ジョウ</t>
    </rPh>
    <rPh sb="32" eb="33">
      <t>ク</t>
    </rPh>
    <rPh sb="34" eb="36">
      <t>リヨウ</t>
    </rPh>
    <phoneticPr fontId="1"/>
  </si>
  <si>
    <t>【受注明細】</t>
    <phoneticPr fontId="1"/>
  </si>
  <si>
    <t>M1.品名</t>
  </si>
  <si>
    <t>【出荷進捗】</t>
    <rPh sb="1" eb="3">
      <t>シュッカ</t>
    </rPh>
    <rPh sb="3" eb="5">
      <t>シンチョク</t>
    </rPh>
    <phoneticPr fontId="1"/>
  </si>
  <si>
    <t>M1.ロット管理区分</t>
    <phoneticPr fontId="1"/>
  </si>
  <si>
    <t>M1.ロットＮＯ発番区分</t>
  </si>
  <si>
    <t xml:space="preserve">【売上実績ヘッダ】 </t>
  </si>
  <si>
    <t>M1.ロットＮＯ発番パタンＣＤ</t>
  </si>
  <si>
    <t>【品目マスタ】</t>
  </si>
  <si>
    <t>M1.サブロット管理区分</t>
  </si>
  <si>
    <t>M1.サブロットＮＯ発番区分</t>
  </si>
  <si>
    <t>M1.サブロットＮＯ発番パタンＣＤ</t>
  </si>
  <si>
    <t>M1.単位ＣＤ</t>
    <rPh sb="3" eb="5">
      <t>タンイ</t>
    </rPh>
    <phoneticPr fontId="1"/>
  </si>
  <si>
    <t>【受注明細】</t>
  </si>
  <si>
    <t>T1</t>
    <phoneticPr fontId="1"/>
  </si>
  <si>
    <t>【出荷進捗】</t>
  </si>
  <si>
    <t>T2</t>
    <phoneticPr fontId="1"/>
  </si>
  <si>
    <t>(</t>
    <phoneticPr fontId="1"/>
  </si>
  <si>
    <t>MAX(TH．計上年月)</t>
    <phoneticPr fontId="1"/>
  </si>
  <si>
    <t>AS</t>
    <phoneticPr fontId="1"/>
  </si>
  <si>
    <t>計上年月</t>
  </si>
  <si>
    <t>【売上実績明細】</t>
    <phoneticPr fontId="1"/>
  </si>
  <si>
    <t>TD</t>
    <phoneticPr fontId="1"/>
  </si>
  <si>
    <t xml:space="preserve">【売上実績ヘッダ】 </t>
    <rPh sb="1" eb="3">
      <t>ウリアゲ</t>
    </rPh>
    <rPh sb="3" eb="5">
      <t>ジッセキ</t>
    </rPh>
    <phoneticPr fontId="1"/>
  </si>
  <si>
    <t>TH</t>
    <phoneticPr fontId="1"/>
  </si>
  <si>
    <t>【品目マスタ】</t>
    <rPh sb="1" eb="3">
      <t>ヒンモク</t>
    </rPh>
    <phoneticPr fontId="1"/>
  </si>
  <si>
    <t>TM</t>
    <phoneticPr fontId="1"/>
  </si>
  <si>
    <t>TD.手配ＮＯ１</t>
    <rPh sb="3" eb="5">
      <t>テハイ</t>
    </rPh>
    <phoneticPr fontId="1"/>
  </si>
  <si>
    <t>TD.品目ＣＤ</t>
    <rPh sb="3" eb="5">
      <t>ヒンモク</t>
    </rPh>
    <phoneticPr fontId="1"/>
  </si>
  <si>
    <t>TM.品目ＣＤ</t>
    <phoneticPr fontId="1"/>
  </si>
  <si>
    <t>TM.資産管理区分</t>
    <rPh sb="3" eb="5">
      <t>シサン</t>
    </rPh>
    <rPh sb="5" eb="7">
      <t>カンリ</t>
    </rPh>
    <rPh sb="7" eb="9">
      <t>クブン</t>
    </rPh>
    <phoneticPr fontId="1"/>
  </si>
  <si>
    <t>＝</t>
  </si>
  <si>
    <t>'1'（資産管理する）</t>
    <phoneticPr fontId="1"/>
  </si>
  <si>
    <t>TD.売上実績ＮＯ</t>
    <phoneticPr fontId="1"/>
  </si>
  <si>
    <t>TH.売上実績ＮＯ</t>
    <phoneticPr fontId="1"/>
  </si>
  <si>
    <t>TD.売上実績連番</t>
    <phoneticPr fontId="1"/>
  </si>
  <si>
    <t>TH.売上実績連番</t>
    <phoneticPr fontId="1"/>
  </si>
  <si>
    <t>TH.伝票状況区分</t>
    <phoneticPr fontId="1"/>
  </si>
  <si>
    <t>'1'（新規）</t>
    <rPh sb="4" eb="6">
      <t>シンキ</t>
    </rPh>
    <phoneticPr fontId="1"/>
  </si>
  <si>
    <t>)</t>
    <phoneticPr fontId="1"/>
  </si>
  <si>
    <t>V1</t>
    <phoneticPr fontId="1"/>
  </si>
  <si>
    <t>M1</t>
    <phoneticPr fontId="1"/>
  </si>
  <si>
    <t>T1.品目ＣＤ</t>
    <rPh sb="3" eb="5">
      <t>ヒンモク</t>
    </rPh>
    <phoneticPr fontId="1"/>
  </si>
  <si>
    <t>「対象データ」品目ＣＤ</t>
    <phoneticPr fontId="1"/>
  </si>
  <si>
    <t>M1.品目区分詳細</t>
    <rPh sb="3" eb="5">
      <t>ヒンモク</t>
    </rPh>
    <rPh sb="5" eb="9">
      <t>クブンショウサイ</t>
    </rPh>
    <phoneticPr fontId="1"/>
  </si>
  <si>
    <t>'HD101'(TOP品目)</t>
    <phoneticPr fontId="1"/>
  </si>
  <si>
    <t>T1.手配ＮＯ１</t>
    <rPh sb="3" eb="5">
      <t>テハイ</t>
    </rPh>
    <phoneticPr fontId="1"/>
  </si>
  <si>
    <t>T1.受注明細ＮＯ</t>
    <rPh sb="3" eb="5">
      <t>ジュチュウ</t>
    </rPh>
    <rPh sb="5" eb="7">
      <t>メイサイ</t>
    </rPh>
    <phoneticPr fontId="1"/>
  </si>
  <si>
    <t>T2.受注明細ＮＯ</t>
    <rPh sb="3" eb="5">
      <t>ジュチュウ</t>
    </rPh>
    <rPh sb="5" eb="7">
      <t>メイサイ</t>
    </rPh>
    <phoneticPr fontId="1"/>
  </si>
  <si>
    <t>T2.販売状況区分</t>
    <phoneticPr fontId="1"/>
  </si>
  <si>
    <t>'7'（完了）</t>
    <phoneticPr fontId="1"/>
  </si>
  <si>
    <t>V1.計上年月</t>
    <phoneticPr fontId="1"/>
  </si>
  <si>
    <t>&lt;</t>
    <phoneticPr fontId="1"/>
  </si>
  <si>
    <t>「対象データ」年月</t>
    <rPh sb="7" eb="9">
      <t>ネンゲツ</t>
    </rPh>
    <phoneticPr fontId="1"/>
  </si>
  <si>
    <t>M1.品目ＣＤ</t>
    <rPh sb="3" eb="5">
      <t>ヒンモク</t>
    </rPh>
    <phoneticPr fontId="1"/>
  </si>
  <si>
    <t>T1.品目ＣＤ</t>
  </si>
  <si>
    <t>汎用マスタに定義された移行対象製番を保持</t>
    <rPh sb="18" eb="20">
      <t>ホジ</t>
    </rPh>
    <phoneticPr fontId="1"/>
  </si>
  <si>
    <t>M2</t>
    <phoneticPr fontId="1"/>
  </si>
  <si>
    <t>M2.汎用分類ＣＤ</t>
    <phoneticPr fontId="1"/>
  </si>
  <si>
    <t>'G008'（製番（売上後費用発生））</t>
    <phoneticPr fontId="1"/>
  </si>
  <si>
    <t>M2.キー１</t>
    <phoneticPr fontId="1"/>
  </si>
  <si>
    <t>--移行対象製番</t>
    <rPh sb="2" eb="4">
      <t>イコウ</t>
    </rPh>
    <rPh sb="4" eb="8">
      <t>タイショウセイバン</t>
    </rPh>
    <phoneticPr fontId="1"/>
  </si>
  <si>
    <t>売上計上済のデータを保持</t>
    <rPh sb="10" eb="12">
      <t>ホジ</t>
    </rPh>
    <phoneticPr fontId="1"/>
  </si>
  <si>
    <t>(1)、(2)で抽出したデータがある場合、抽出したデータを「対象データ」品目ＣＤ、手配ＮＯ１、年月とともにメモリ上で保持する。</t>
    <rPh sb="8" eb="10">
      <t>チュウシュツ</t>
    </rPh>
    <rPh sb="18" eb="20">
      <t>バアイ</t>
    </rPh>
    <rPh sb="21" eb="23">
      <t>チュウシュツ</t>
    </rPh>
    <rPh sb="41" eb="43">
      <t>テハイ</t>
    </rPh>
    <rPh sb="47" eb="49">
      <t>ネンゲツ</t>
    </rPh>
    <rPh sb="56" eb="57">
      <t>ジョウ</t>
    </rPh>
    <rPh sb="58" eb="60">
      <t>ホジ</t>
    </rPh>
    <phoneticPr fontId="1"/>
  </si>
  <si>
    <t>7.3</t>
    <phoneticPr fontId="1"/>
  </si>
  <si>
    <t>他勘定入出庫の登録</t>
    <rPh sb="0" eb="1">
      <t>タ</t>
    </rPh>
    <rPh sb="1" eb="3">
      <t>カンジョウ</t>
    </rPh>
    <rPh sb="3" eb="6">
      <t>ニュウシュッコ</t>
    </rPh>
    <rPh sb="7" eb="9">
      <t>トウロク</t>
    </rPh>
    <phoneticPr fontId="1"/>
  </si>
  <si>
    <t>上記7.2-(3)で抽出した売上計上済のデータが存在しない場合、本節を実施しない。</t>
    <rPh sb="0" eb="2">
      <t>ジョウキ</t>
    </rPh>
    <rPh sb="10" eb="12">
      <t>チュウシュツ</t>
    </rPh>
    <rPh sb="24" eb="26">
      <t>ソンザイ</t>
    </rPh>
    <rPh sb="29" eb="31">
      <t>バアイ</t>
    </rPh>
    <rPh sb="32" eb="33">
      <t>ホン</t>
    </rPh>
    <rPh sb="33" eb="34">
      <t>セツ</t>
    </rPh>
    <rPh sb="35" eb="37">
      <t>ジッシ</t>
    </rPh>
    <phoneticPr fontId="1"/>
  </si>
  <si>
    <t>キー１</t>
    <phoneticPr fontId="1"/>
  </si>
  <si>
    <t>--入出庫場所ＣＤ</t>
  </si>
  <si>
    <t>キー２</t>
  </si>
  <si>
    <t>--入庫理由ＣＤ</t>
  </si>
  <si>
    <t>キー３</t>
  </si>
  <si>
    <t>--入庫負担部門ＣＤ</t>
  </si>
  <si>
    <t>キー４</t>
  </si>
  <si>
    <t>--出庫理由ＣＤ</t>
  </si>
  <si>
    <t>キー５</t>
  </si>
  <si>
    <t>--出庫負担部門ＣＤ</t>
  </si>
  <si>
    <t>'G007'（他勘定入出庫（売上後費用発生））</t>
    <phoneticPr fontId="1"/>
  </si>
  <si>
    <t>抽出した件数は0件の場合、エラーメッセージをログに出力し、8.から処理を継続する。（処理7をスキップする）</t>
    <rPh sb="25" eb="27">
      <t>シュツリョク</t>
    </rPh>
    <rPh sb="36" eb="38">
      <t>ケイゾク</t>
    </rPh>
    <rPh sb="42" eb="44">
      <t>ショリ</t>
    </rPh>
    <phoneticPr fontId="1"/>
  </si>
  <si>
    <t>抽出した件数は１件を超えた場合、エラーメッセージをログに出力し、8.から処理を継続する。（処理7をスキップする）</t>
    <rPh sb="10" eb="11">
      <t>コ</t>
    </rPh>
    <phoneticPr fontId="1"/>
  </si>
  <si>
    <t>ワーキンググループＣＤの特定</t>
    <rPh sb="12" eb="14">
      <t>トクテイ</t>
    </rPh>
    <phoneticPr fontId="1"/>
  </si>
  <si>
    <t>①で抽出したキー１（入出庫場所ＣＤ）と繋がるワーキンググループＣＤを特定する。</t>
    <rPh sb="2" eb="4">
      <t>チュウシュツ</t>
    </rPh>
    <rPh sb="19" eb="20">
      <t>ツナ</t>
    </rPh>
    <phoneticPr fontId="1"/>
  </si>
  <si>
    <t>【場所マスタ】</t>
  </si>
  <si>
    <t>ワーキンググループＣＤ</t>
  </si>
  <si>
    <t>【場所マスタ】</t>
    <rPh sb="1" eb="3">
      <t>バショ</t>
    </rPh>
    <phoneticPr fontId="1"/>
  </si>
  <si>
    <t>場所ＣＤ</t>
  </si>
  <si>
    <t>①で抽出したキー１</t>
  </si>
  <si>
    <t>他勘定入出庫登録可能チェック</t>
    <rPh sb="8" eb="10">
      <t>カノウ</t>
    </rPh>
    <phoneticPr fontId="1"/>
  </si>
  <si>
    <t>0.10</t>
  </si>
  <si>
    <t>【他勘定振替実績ヘッダ】</t>
    <rPh sb="1" eb="2">
      <t>ホカ</t>
    </rPh>
    <rPh sb="2" eb="4">
      <t>カンジョウ</t>
    </rPh>
    <rPh sb="4" eb="6">
      <t>フリカエ</t>
    </rPh>
    <rPh sb="6" eb="8">
      <t>ジッセキ</t>
    </rPh>
    <phoneticPr fontId="1"/>
  </si>
  <si>
    <t>【他勘定振替実績明細】</t>
    <rPh sb="1" eb="2">
      <t>ホカ</t>
    </rPh>
    <rPh sb="2" eb="4">
      <t>カンジョウ</t>
    </rPh>
    <rPh sb="4" eb="6">
      <t>フリカエ</t>
    </rPh>
    <rPh sb="6" eb="8">
      <t>ジッセキ</t>
    </rPh>
    <rPh sb="8" eb="10">
      <t>メイサイ</t>
    </rPh>
    <phoneticPr fontId="1"/>
  </si>
  <si>
    <t>T1.他勘定振替実績ＮＯ</t>
    <phoneticPr fontId="1"/>
  </si>
  <si>
    <t>T2.他勘定振替実績ＮＯ</t>
    <phoneticPr fontId="1"/>
  </si>
  <si>
    <t>AND　T1.取消ＦＬＧ</t>
    <phoneticPr fontId="1"/>
  </si>
  <si>
    <t>’0’</t>
    <phoneticPr fontId="1"/>
  </si>
  <si>
    <t>AND　T2.取消ＦＬＧ</t>
    <phoneticPr fontId="1"/>
  </si>
  <si>
    <t>AND　T1.内部備考</t>
    <phoneticPr fontId="1"/>
  </si>
  <si>
    <t>AND　T1.手配ＮＯ１</t>
    <phoneticPr fontId="1"/>
  </si>
  <si>
    <t>AND　T1.計上日</t>
    <phoneticPr fontId="1"/>
  </si>
  <si>
    <t>④</t>
    <phoneticPr fontId="1"/>
  </si>
  <si>
    <t>他勘定入庫登録</t>
    <rPh sb="0" eb="1">
      <t>タ</t>
    </rPh>
    <rPh sb="1" eb="3">
      <t>カンジョウ</t>
    </rPh>
    <rPh sb="3" eb="5">
      <t>ニュウコ</t>
    </rPh>
    <rPh sb="5" eb="7">
      <t>トウロク</t>
    </rPh>
    <phoneticPr fontId="1"/>
  </si>
  <si>
    <t>他勘定振替実績登録#新規登録（MSBEL_AcXfrActReg#Ins01）を呼び出し、他勘定入庫登録する。</t>
    <rPh sb="40" eb="41">
      <t>ヨ</t>
    </rPh>
    <rPh sb="42" eb="43">
      <t>ダ</t>
    </rPh>
    <rPh sb="45" eb="46">
      <t>タ</t>
    </rPh>
    <rPh sb="46" eb="48">
      <t>カンジョウ</t>
    </rPh>
    <rPh sb="48" eb="50">
      <t>ニュウコ</t>
    </rPh>
    <rPh sb="50" eb="52">
      <t>トウロク</t>
    </rPh>
    <phoneticPr fontId="1"/>
  </si>
  <si>
    <t>上り電文の設定詳細は以下となる。</t>
    <rPh sb="0" eb="1">
      <t>ノボ</t>
    </rPh>
    <rPh sb="2" eb="4">
      <t>デンブン</t>
    </rPh>
    <rPh sb="5" eb="7">
      <t>セッテイ</t>
    </rPh>
    <rPh sb="7" eb="9">
      <t>ショウサイ</t>
    </rPh>
    <rPh sb="10" eb="12">
      <t>イカ</t>
    </rPh>
    <phoneticPr fontId="1"/>
  </si>
  <si>
    <t>ヘッダ：</t>
    <phoneticPr fontId="1"/>
  </si>
  <si>
    <t>項目</t>
    <rPh sb="0" eb="2">
      <t>コウモク</t>
    </rPh>
    <phoneticPr fontId="1"/>
  </si>
  <si>
    <t>設定値</t>
    <rPh sb="0" eb="3">
      <t>セッテイチ</t>
    </rPh>
    <phoneticPr fontId="1"/>
  </si>
  <si>
    <t>特記</t>
    <rPh sb="0" eb="2">
      <t>トッキ</t>
    </rPh>
    <phoneticPr fontId="1"/>
  </si>
  <si>
    <t>取引ＣＤ</t>
  </si>
  <si>
    <t>'AX10'（他勘定入庫）</t>
    <phoneticPr fontId="1"/>
  </si>
  <si>
    <t>①で抽出したキー１</t>
    <rPh sb="2" eb="4">
      <t>チュウシュツ</t>
    </rPh>
    <phoneticPr fontId="1"/>
  </si>
  <si>
    <t>②で抽出したワーキンググループＣＤ</t>
    <rPh sb="2" eb="4">
      <t>チュウシュツ</t>
    </rPh>
    <phoneticPr fontId="1"/>
  </si>
  <si>
    <t>他勘定振替指図ＮＯ</t>
    <phoneticPr fontId="1"/>
  </si>
  <si>
    <t>NULL</t>
    <phoneticPr fontId="1"/>
  </si>
  <si>
    <t>他勘定振替実績日時</t>
  </si>
  <si>
    <t>メモリ上保持している年月の初日</t>
    <rPh sb="10" eb="12">
      <t>ネンゲツ</t>
    </rPh>
    <rPh sb="13" eb="15">
      <t>ショニチ</t>
    </rPh>
    <phoneticPr fontId="1"/>
  </si>
  <si>
    <t>他勘定振替計上日</t>
  </si>
  <si>
    <t>実施担当者ＣＤ</t>
  </si>
  <si>
    <t>実施部門ＣＤ</t>
  </si>
  <si>
    <t>内部備考</t>
  </si>
  <si>
    <t>メモリ上保持している手配ＮＯ１</t>
    <phoneticPr fontId="1"/>
  </si>
  <si>
    <t>取引備考</t>
  </si>
  <si>
    <t>伝票発行</t>
    <phoneticPr fontId="1"/>
  </si>
  <si>
    <t>FALSE</t>
    <phoneticPr fontId="1"/>
  </si>
  <si>
    <t>伝票発行しない</t>
    <phoneticPr fontId="1"/>
  </si>
  <si>
    <t>予備１</t>
  </si>
  <si>
    <t>予備２</t>
  </si>
  <si>
    <t>予備３</t>
  </si>
  <si>
    <t>更新カウンタ(指図)</t>
  </si>
  <si>
    <t>指図ベースではないため</t>
    <rPh sb="0" eb="2">
      <t>サシズ</t>
    </rPh>
    <phoneticPr fontId="1"/>
  </si>
  <si>
    <t>明細：</t>
    <rPh sb="0" eb="2">
      <t>メイサイ</t>
    </rPh>
    <phoneticPr fontId="1"/>
  </si>
  <si>
    <t>打切</t>
    <phoneticPr fontId="1"/>
  </si>
  <si>
    <t>打切ではない</t>
    <phoneticPr fontId="1"/>
  </si>
  <si>
    <t>品目ＣＤ</t>
  </si>
  <si>
    <t>メモリ上保持している品目ＣＤ</t>
    <rPh sb="10" eb="12">
      <t>ヒンモク</t>
    </rPh>
    <phoneticPr fontId="1"/>
  </si>
  <si>
    <t>枝番１</t>
  </si>
  <si>
    <t>NULL文字</t>
    <rPh sb="4" eb="6">
      <t>モジ</t>
    </rPh>
    <phoneticPr fontId="1"/>
  </si>
  <si>
    <t>枝番２</t>
  </si>
  <si>
    <t>NULL文字</t>
  </si>
  <si>
    <t>枝番３</t>
  </si>
  <si>
    <t>NULL文字</t>
    <phoneticPr fontId="1"/>
  </si>
  <si>
    <t>品名</t>
    <phoneticPr fontId="1"/>
  </si>
  <si>
    <t>メモリ上保持している品名</t>
    <rPh sb="10" eb="12">
      <t>ヒンメイ</t>
    </rPh>
    <phoneticPr fontId="1"/>
  </si>
  <si>
    <t>ロット管理区分</t>
  </si>
  <si>
    <t>メモリ上保持しているロット管理区分</t>
  </si>
  <si>
    <t>ロットＮＯ区分</t>
  </si>
  <si>
    <t>メモリ上保持しているロットＮＯ発番区分</t>
  </si>
  <si>
    <t>ロットＮＯ発番パタンＣＤ</t>
  </si>
  <si>
    <t>メモリ上保持しているロットＮＯ発番パタンＣＤ</t>
  </si>
  <si>
    <t>サブロット管理区分</t>
  </si>
  <si>
    <t>メモリ上保持しているサブロット管理区分</t>
  </si>
  <si>
    <t>サブロットＮＯ区分</t>
  </si>
  <si>
    <t>メモリ上保持しているサブロットＮＯ発番区分</t>
  </si>
  <si>
    <t>サブロットＮＯ発番パタンＣＤ</t>
  </si>
  <si>
    <t>メモリ上保持しているサブロットＮＯ発番パタンＣＤ</t>
  </si>
  <si>
    <t>ロット作成</t>
    <phoneticPr fontId="1"/>
  </si>
  <si>
    <t>TRUE</t>
    <phoneticPr fontId="1"/>
  </si>
  <si>
    <t>自動でロットNOを作成する</t>
    <rPh sb="0" eb="2">
      <t>ジドウ</t>
    </rPh>
    <rPh sb="9" eb="11">
      <t>サクセイ</t>
    </rPh>
    <phoneticPr fontId="1"/>
  </si>
  <si>
    <t>ロットＮＯ</t>
  </si>
  <si>
    <t>ロット自動作成のため、設定不要
※登録後、下り電文として、後続の他勘定出庫時に利用する</t>
    <rPh sb="3" eb="5">
      <t>ジドウ</t>
    </rPh>
    <rPh sb="11" eb="13">
      <t>セッテイ</t>
    </rPh>
    <rPh sb="13" eb="15">
      <t>フヨウ</t>
    </rPh>
    <rPh sb="17" eb="19">
      <t>トウロク</t>
    </rPh>
    <rPh sb="19" eb="20">
      <t>アト</t>
    </rPh>
    <rPh sb="21" eb="22">
      <t>クダ</t>
    </rPh>
    <rPh sb="23" eb="25">
      <t>デンブン</t>
    </rPh>
    <rPh sb="29" eb="31">
      <t>コウゾク</t>
    </rPh>
    <rPh sb="32" eb="33">
      <t>タ</t>
    </rPh>
    <rPh sb="33" eb="35">
      <t>カンジョウ</t>
    </rPh>
    <rPh sb="35" eb="37">
      <t>シュッコ</t>
    </rPh>
    <rPh sb="37" eb="38">
      <t>ジ</t>
    </rPh>
    <rPh sb="39" eb="41">
      <t>リヨウ</t>
    </rPh>
    <phoneticPr fontId="1"/>
  </si>
  <si>
    <t>サブロットＮＯ</t>
  </si>
  <si>
    <t>版ＮＯ</t>
  </si>
  <si>
    <t>NULL</t>
  </si>
  <si>
    <t>取引単位ＣＤ</t>
  </si>
  <si>
    <t>メモリ上保持している単位ＣＤ</t>
  </si>
  <si>
    <t>取引単位数量</t>
  </si>
  <si>
    <t>1</t>
    <phoneticPr fontId="1"/>
  </si>
  <si>
    <t>棚・ラインＣＤ</t>
  </si>
  <si>
    <t>在庫着荷先ＣＤ</t>
  </si>
  <si>
    <t>良品区分</t>
  </si>
  <si>
    <t>'1'（良品）</t>
    <rPh sb="4" eb="6">
      <t>リョウヒン</t>
    </rPh>
    <phoneticPr fontId="1"/>
  </si>
  <si>
    <t>在庫識別区分</t>
  </si>
  <si>
    <t>'1'（自社在庫）</t>
    <rPh sb="4" eb="6">
      <t>ジシャ</t>
    </rPh>
    <rPh sb="6" eb="8">
      <t>ザイコ</t>
    </rPh>
    <phoneticPr fontId="1"/>
  </si>
  <si>
    <t>格付ＣＤ</t>
  </si>
  <si>
    <t>getDefaultFeedStkGd().gd_cd()</t>
  </si>
  <si>
    <t>在庫取引先ＣＤ</t>
  </si>
  <si>
    <t>メモリ上保持している手配ＮＯ１</t>
  </si>
  <si>
    <t>手配ＮＯ３</t>
  </si>
  <si>
    <t>手配ＮＯ４</t>
  </si>
  <si>
    <t>確定ＮＯ区分</t>
  </si>
  <si>
    <t>確定ＮＯ</t>
  </si>
  <si>
    <t>理由ＣＤ</t>
  </si>
  <si>
    <t>①で抽出したキー２</t>
    <rPh sb="2" eb="4">
      <t>チュウシュツ</t>
    </rPh>
    <phoneticPr fontId="1"/>
  </si>
  <si>
    <t>負担部門ＣＤ</t>
  </si>
  <si>
    <t>①で抽出したキー３</t>
    <rPh sb="2" eb="4">
      <t>チュウシュツ</t>
    </rPh>
    <phoneticPr fontId="1"/>
  </si>
  <si>
    <t>負担品目ＣＤ</t>
  </si>
  <si>
    <t>負担枝番１</t>
  </si>
  <si>
    <t>負担枝番２</t>
  </si>
  <si>
    <t>負担枝番３</t>
  </si>
  <si>
    <t>負担取引先ＣＤ</t>
  </si>
  <si>
    <t>負担場所ＣＤ</t>
  </si>
  <si>
    <t>負担品群ＣＤ</t>
  </si>
  <si>
    <t>負担工程ＣＤ</t>
  </si>
  <si>
    <t>負担ロットＮＯ</t>
  </si>
  <si>
    <t>負担サブロットＮＯ</t>
  </si>
  <si>
    <t>負担手配ＮＯ１</t>
  </si>
  <si>
    <t>負担手配ＮＯ２</t>
  </si>
  <si>
    <t>負担手配ＮＯ３</t>
  </si>
  <si>
    <t>負担手配ＮＯ４</t>
  </si>
  <si>
    <t>内部明細備考</t>
  </si>
  <si>
    <t>取引明細備考</t>
  </si>
  <si>
    <t>他勘定振替予定ＮＯ</t>
  </si>
  <si>
    <t>他勘定振替指図明細ＮＯ</t>
  </si>
  <si>
    <t>更新カウンタ（予定）</t>
  </si>
  <si>
    <t>⑤</t>
    <phoneticPr fontId="1"/>
  </si>
  <si>
    <t>他勘定出庫登録</t>
    <rPh sb="0" eb="1">
      <t>タ</t>
    </rPh>
    <rPh sb="1" eb="3">
      <t>カンジョウ</t>
    </rPh>
    <rPh sb="3" eb="5">
      <t>シュッコ</t>
    </rPh>
    <rPh sb="5" eb="7">
      <t>トウロク</t>
    </rPh>
    <phoneticPr fontId="1"/>
  </si>
  <si>
    <t>他勘定振替実績登録#新規登録（MSBEL_AcXfrActReg#Ins01）を呼び出し、他勘定出庫登録する。</t>
    <rPh sb="40" eb="41">
      <t>ヨ</t>
    </rPh>
    <rPh sb="42" eb="43">
      <t>ダ</t>
    </rPh>
    <rPh sb="45" eb="46">
      <t>タ</t>
    </rPh>
    <rPh sb="46" eb="48">
      <t>カンジョウ</t>
    </rPh>
    <rPh sb="48" eb="50">
      <t>シュッコ</t>
    </rPh>
    <rPh sb="50" eb="52">
      <t>トウロク</t>
    </rPh>
    <phoneticPr fontId="1"/>
  </si>
  <si>
    <t>'AX20'（他勘定出庫）</t>
    <phoneticPr fontId="1"/>
  </si>
  <si>
    <t>他勘定振替指図ＮＯ</t>
  </si>
  <si>
    <t>ロットＮＯ</t>
    <phoneticPr fontId="1"/>
  </si>
  <si>
    <t>③他勘定入庫登録で発番されたロットＮＯ</t>
    <rPh sb="9" eb="11">
      <t>ハツバン</t>
    </rPh>
    <phoneticPr fontId="1"/>
  </si>
  <si>
    <t>サブロットＮＯ</t>
    <phoneticPr fontId="1"/>
  </si>
  <si>
    <t>③他勘定入庫登録で発番されたサブロットＮＯ</t>
    <rPh sb="9" eb="11">
      <t>ハツバン</t>
    </rPh>
    <phoneticPr fontId="1"/>
  </si>
  <si>
    <t>①で抽出したキー４</t>
    <rPh sb="2" eb="4">
      <t>チュウシュツ</t>
    </rPh>
    <phoneticPr fontId="1"/>
  </si>
  <si>
    <t>①で抽出したキー５</t>
    <rPh sb="2" eb="4">
      <t>チュウシュツ</t>
    </rPh>
    <phoneticPr fontId="1"/>
  </si>
  <si>
    <t>配賦費用実績受信ＩＦの金額 = 0円のデータに対して、ＰＧ実行状況区分を「スキップ」に更新する。</t>
    <rPh sb="23" eb="24">
      <t>タイ</t>
    </rPh>
    <rPh sb="43" eb="45">
      <t>コウシン</t>
    </rPh>
    <phoneticPr fontId="1"/>
  </si>
  <si>
    <t>9.</t>
    <phoneticPr fontId="1"/>
  </si>
  <si>
    <t>ロジック名称</t>
    <rPh sb="4" eb="6">
      <t>メイショウ</t>
    </rPh>
    <phoneticPr fontId="1"/>
  </si>
  <si>
    <t>配賦費用実績ＩＦ取込</t>
    <rPh sb="0" eb="2">
      <t>ハイフ</t>
    </rPh>
    <rPh sb="2" eb="4">
      <t>ヒヨウ</t>
    </rPh>
    <rPh sb="4" eb="6">
      <t>ジッセキ</t>
    </rPh>
    <rPh sb="8" eb="10">
      <t>トリコミ</t>
    </rPh>
    <phoneticPr fontId="1"/>
  </si>
  <si>
    <t>処理分類</t>
    <rPh sb="0" eb="2">
      <t>ショリ</t>
    </rPh>
    <rPh sb="2" eb="4">
      <t>ブンルイ</t>
    </rPh>
    <phoneticPr fontId="1"/>
  </si>
  <si>
    <t>更新</t>
    <rPh sb="0" eb="2">
      <t>コウシン</t>
    </rPh>
    <phoneticPr fontId="1"/>
  </si>
  <si>
    <t>転送先</t>
    <rPh sb="0" eb="2">
      <t>テンソウ</t>
    </rPh>
    <rPh sb="2" eb="3">
      <t>サキ</t>
    </rPh>
    <phoneticPr fontId="1"/>
  </si>
  <si>
    <t>転送元</t>
    <rPh sb="0" eb="2">
      <t>テンソウ</t>
    </rPh>
    <rPh sb="2" eb="3">
      <t>モト</t>
    </rPh>
    <phoneticPr fontId="1"/>
  </si>
  <si>
    <t>種</t>
    <rPh sb="0" eb="1">
      <t>タネ</t>
    </rPh>
    <phoneticPr fontId="1"/>
  </si>
  <si>
    <t>オブジェクト</t>
    <phoneticPr fontId="1"/>
  </si>
  <si>
    <t>T</t>
    <phoneticPr fontId="1"/>
  </si>
  <si>
    <t>配賦費用実績ＩＦ</t>
    <rPh sb="0" eb="2">
      <t>ハイフ</t>
    </rPh>
    <rPh sb="2" eb="4">
      <t>ヒヨウ</t>
    </rPh>
    <rPh sb="4" eb="6">
      <t>ジッセキ</t>
    </rPh>
    <phoneticPr fontId="1"/>
  </si>
  <si>
    <t>配賦費用実績受信ＩＦ</t>
    <rPh sb="0" eb="2">
      <t>ハイフ</t>
    </rPh>
    <rPh sb="2" eb="4">
      <t>ヒヨウ</t>
    </rPh>
    <rPh sb="4" eb="6">
      <t>ジッセキ</t>
    </rPh>
    <rPh sb="6" eb="8">
      <t>ジュシン</t>
    </rPh>
    <phoneticPr fontId="1"/>
  </si>
  <si>
    <t>-</t>
    <phoneticPr fontId="1"/>
  </si>
  <si>
    <t>ＩＦ予備ＣＨＡＲ項目１とＩＦ予備ＣＨＡＲ項目２を抽出条件に、【品目マスタ】「品目ＣＤ」を特定して設定する。
※詳細は処理詳細シートを参照</t>
    <rPh sb="2" eb="4">
      <t>ヨビ</t>
    </rPh>
    <rPh sb="8" eb="10">
      <t>コウモク</t>
    </rPh>
    <rPh sb="24" eb="26">
      <t>チュウシュツ</t>
    </rPh>
    <rPh sb="26" eb="28">
      <t>ジョウケン</t>
    </rPh>
    <rPh sb="31" eb="33">
      <t>ヒンモク</t>
    </rPh>
    <rPh sb="38" eb="40">
      <t>ヒンモク</t>
    </rPh>
    <rPh sb="44" eb="46">
      <t>トクテイ</t>
    </rPh>
    <rPh sb="48" eb="50">
      <t>セッテイ</t>
    </rPh>
    <rPh sb="55" eb="57">
      <t>ショウサイ</t>
    </rPh>
    <rPh sb="58" eb="60">
      <t>ショリ</t>
    </rPh>
    <rPh sb="60" eb="62">
      <t>ショウサイ</t>
    </rPh>
    <rPh sb="66" eb="68">
      <t>サンショウ</t>
    </rPh>
    <phoneticPr fontId="1"/>
  </si>
  <si>
    <t>手配ＮＯ１</t>
    <rPh sb="0" eb="2">
      <t>テハイ</t>
    </rPh>
    <phoneticPr fontId="1"/>
  </si>
  <si>
    <t>ＩＦ予備ＣＨＡＲ項目１</t>
    <rPh sb="2" eb="4">
      <t>ヨビ</t>
    </rPh>
    <rPh sb="8" eb="10">
      <t>コウモク</t>
    </rPh>
    <phoneticPr fontId="1"/>
  </si>
  <si>
    <t>機能コード１</t>
    <rPh sb="0" eb="2">
      <t>キノウ</t>
    </rPh>
    <phoneticPr fontId="1"/>
  </si>
  <si>
    <t>T</t>
  </si>
  <si>
    <t>手配ＮＯ２</t>
    <rPh sb="0" eb="2">
      <t>テハイ</t>
    </rPh>
    <phoneticPr fontId="1"/>
  </si>
  <si>
    <t>ＩＦ予備ＣＨＡＲ項目２</t>
    <rPh sb="2" eb="4">
      <t>ヨビ</t>
    </rPh>
    <rPh sb="8" eb="10">
      <t>コウモク</t>
    </rPh>
    <phoneticPr fontId="1"/>
  </si>
  <si>
    <t>機能コード２</t>
    <rPh sb="0" eb="2">
      <t>キノウ</t>
    </rPh>
    <phoneticPr fontId="1"/>
  </si>
  <si>
    <t>追加</t>
    <rPh sb="0" eb="2">
      <t>ツイカ</t>
    </rPh>
    <phoneticPr fontId="1"/>
  </si>
  <si>
    <t>工数実績</t>
    <rPh sb="0" eb="4">
      <t>コウスウジッセキ</t>
    </rPh>
    <phoneticPr fontId="1"/>
  </si>
  <si>
    <t>工数実績ＮＯ</t>
    <rPh sb="0" eb="2">
      <t>コウスウ</t>
    </rPh>
    <rPh sb="2" eb="4">
      <t>ジッセキ</t>
    </rPh>
    <phoneticPr fontId="1"/>
  </si>
  <si>
    <t>シーケンス（MSS_WKACT）より発番</t>
    <rPh sb="18" eb="20">
      <t>ハツバン</t>
    </rPh>
    <phoneticPr fontId="1"/>
  </si>
  <si>
    <t>製造実績ＮＯ</t>
  </si>
  <si>
    <t>品目製造指図ＮＯ</t>
  </si>
  <si>
    <t>工程実績ＮＯ</t>
  </si>
  <si>
    <t>工数予定ＮＯ</t>
  </si>
  <si>
    <t>分割連番</t>
  </si>
  <si>
    <t>工数管理ＣＤ</t>
    <rPh sb="0" eb="2">
      <t>コウスウ</t>
    </rPh>
    <rPh sb="2" eb="4">
      <t>カンリ</t>
    </rPh>
    <phoneticPr fontId="1"/>
  </si>
  <si>
    <t>汎用マスタ</t>
    <rPh sb="0" eb="2">
      <t>ハンヨウ</t>
    </rPh>
    <phoneticPr fontId="1"/>
  </si>
  <si>
    <t>【汎用マスタ】汎用分類ＣＤ＝'G001'（0円工数作成対象配賦科目ＣＤ）、かつ
【汎用マスタ】キー１＝【配賦費用実績ＩＦ】配賦科目ＣＤ
で抽出する。</t>
    <rPh sb="69" eb="71">
      <t>チュウシュツ</t>
    </rPh>
    <phoneticPr fontId="1"/>
  </si>
  <si>
    <t>工数</t>
    <rPh sb="0" eb="2">
      <t>コウスウ</t>
    </rPh>
    <phoneticPr fontId="1"/>
  </si>
  <si>
    <t>「1」固定</t>
    <rPh sb="3" eb="5">
      <t>コテイ</t>
    </rPh>
    <phoneticPr fontId="1"/>
  </si>
  <si>
    <t>着手時刻</t>
  </si>
  <si>
    <t>終了時刻</t>
  </si>
  <si>
    <t>中断時間</t>
  </si>
  <si>
    <t>配賦費用実績ＩＦ</t>
    <phoneticPr fontId="1"/>
  </si>
  <si>
    <t>年月</t>
    <phoneticPr fontId="1"/>
  </si>
  <si>
    <t>工数理由ＣＤ</t>
  </si>
  <si>
    <t>自動工数計算更新許可ＦＬＧ</t>
  </si>
  <si>
    <t>勤務種類ＣＤ</t>
  </si>
  <si>
    <t>部門ＣＤが非NULLの場合、優先で設定する。</t>
    <rPh sb="5" eb="6">
      <t>ヒ</t>
    </rPh>
    <rPh sb="11" eb="13">
      <t>バアイ</t>
    </rPh>
    <rPh sb="14" eb="16">
      <t>ユウセン</t>
    </rPh>
    <rPh sb="17" eb="19">
      <t>セッテイ</t>
    </rPh>
    <phoneticPr fontId="1"/>
  </si>
  <si>
    <t>部門ＣＤがNULLの場合、以下の条件で抽出して設定する。
【汎用マスタ】汎用分類ＣＤ＝'G002'（0円工数作成用設定）</t>
    <rPh sb="13" eb="15">
      <t>イカ</t>
    </rPh>
    <rPh sb="16" eb="18">
      <t>ジョウケン</t>
    </rPh>
    <rPh sb="19" eb="21">
      <t>チュウシュツ</t>
    </rPh>
    <rPh sb="23" eb="25">
      <t>セッテイ</t>
    </rPh>
    <rPh sb="30" eb="32">
      <t>ハンヨウ</t>
    </rPh>
    <rPh sb="36" eb="38">
      <t>ハンヨウ</t>
    </rPh>
    <rPh sb="38" eb="40">
      <t>ブンルイ</t>
    </rPh>
    <phoneticPr fontId="1"/>
  </si>
  <si>
    <t>場所ＣＤが非NULLの場合、優先で設定する。</t>
    <rPh sb="5" eb="6">
      <t>ヒ</t>
    </rPh>
    <rPh sb="11" eb="13">
      <t>バアイ</t>
    </rPh>
    <rPh sb="14" eb="16">
      <t>ユウセン</t>
    </rPh>
    <rPh sb="17" eb="19">
      <t>セッテイ</t>
    </rPh>
    <phoneticPr fontId="1"/>
  </si>
  <si>
    <t>場所ＣＤがNULLの場合、以下の条件で抽出して設定する。
【汎用マスタ】汎用分類ＣＤ＝'G002'（0円工数作成用設定）</t>
    <rPh sb="13" eb="15">
      <t>イカ</t>
    </rPh>
    <rPh sb="16" eb="18">
      <t>ジョウケン</t>
    </rPh>
    <rPh sb="19" eb="21">
      <t>チュウシュツ</t>
    </rPh>
    <rPh sb="23" eb="25">
      <t>セッテイ</t>
    </rPh>
    <rPh sb="30" eb="32">
      <t>ハンヨウ</t>
    </rPh>
    <rPh sb="36" eb="38">
      <t>ハンヨウ</t>
    </rPh>
    <rPh sb="38" eb="40">
      <t>ブンルイ</t>
    </rPh>
    <phoneticPr fontId="1"/>
  </si>
  <si>
    <t>棚・ラインＣＤ</t>
    <phoneticPr fontId="1"/>
  </si>
  <si>
    <t>作業者部門ＣＤ</t>
  </si>
  <si>
    <t>作業者ＣＤ</t>
  </si>
  <si>
    <t>工程ＣＤ</t>
  </si>
  <si>
    <t>手配ＮＯ３</t>
    <rPh sb="0" eb="2">
      <t>テハイ</t>
    </rPh>
    <phoneticPr fontId="1"/>
  </si>
  <si>
    <t>手配ＮＯ４</t>
    <rPh sb="0" eb="2">
      <t>テハイ</t>
    </rPh>
    <phoneticPr fontId="1"/>
  </si>
  <si>
    <t>品目ＣＤ</t>
    <phoneticPr fontId="1"/>
  </si>
  <si>
    <t>品目ＣＤが非NULLの場合、NULL文字を設定する。
以外、NULL設定する。</t>
    <rPh sb="5" eb="6">
      <t>ヒ</t>
    </rPh>
    <rPh sb="11" eb="13">
      <t>バアイ</t>
    </rPh>
    <rPh sb="18" eb="20">
      <t>モジ</t>
    </rPh>
    <rPh sb="21" eb="23">
      <t>セッテイ</t>
    </rPh>
    <rPh sb="27" eb="29">
      <t>イガイ</t>
    </rPh>
    <rPh sb="34" eb="36">
      <t>セッテイ</t>
    </rPh>
    <phoneticPr fontId="1"/>
  </si>
  <si>
    <t>部門ワーキンググループＣＤ</t>
    <phoneticPr fontId="1"/>
  </si>
  <si>
    <t>ワーキンググループＣＤが非NULLの場合、優先で設定する。</t>
    <rPh sb="12" eb="13">
      <t>ヒ</t>
    </rPh>
    <rPh sb="18" eb="20">
      <t>バアイ</t>
    </rPh>
    <rPh sb="21" eb="23">
      <t>ユウセン</t>
    </rPh>
    <rPh sb="24" eb="26">
      <t>セッテイ</t>
    </rPh>
    <phoneticPr fontId="1"/>
  </si>
  <si>
    <t>部門ワーキンググループＣＤがNULLの場合、以下の条件で抽出して設定する。
【汎用マスタ】汎用分類ＣＤ＝'G002'（0円工数作成用設定）</t>
    <rPh sb="22" eb="24">
      <t>イカ</t>
    </rPh>
    <rPh sb="25" eb="27">
      <t>ジョウケン</t>
    </rPh>
    <rPh sb="28" eb="30">
      <t>チュウシュツ</t>
    </rPh>
    <rPh sb="32" eb="34">
      <t>セッテイ</t>
    </rPh>
    <rPh sb="39" eb="41">
      <t>ハンヨウ</t>
    </rPh>
    <rPh sb="45" eb="47">
      <t>ハンヨウ</t>
    </rPh>
    <rPh sb="47" eb="49">
      <t>ブンルイ</t>
    </rPh>
    <phoneticPr fontId="1"/>
  </si>
  <si>
    <t>場所ワーキンググループＣＤ</t>
    <phoneticPr fontId="1"/>
  </si>
  <si>
    <t>場所ワーキンググループＣＤがNULLの場合、以下の条件で抽出して設定する。
【汎用マスタ】汎用分類ＣＤ＝'G002'（0円工数作成用設定）</t>
    <rPh sb="22" eb="24">
      <t>イカ</t>
    </rPh>
    <rPh sb="25" eb="27">
      <t>ジョウケン</t>
    </rPh>
    <rPh sb="28" eb="30">
      <t>チュウシュツ</t>
    </rPh>
    <rPh sb="32" eb="34">
      <t>セッテイ</t>
    </rPh>
    <rPh sb="39" eb="41">
      <t>ハンヨウ</t>
    </rPh>
    <rPh sb="45" eb="47">
      <t>ハンヨウ</t>
    </rPh>
    <rPh sb="47" eb="49">
      <t>ブンルイ</t>
    </rPh>
    <phoneticPr fontId="1"/>
  </si>
  <si>
    <t>ＭＥＳＦＬＧ</t>
  </si>
  <si>
    <t>外部システムＣＤ</t>
  </si>
  <si>
    <t>外部工数実績ＮＯ</t>
  </si>
  <si>
    <t>他勘定入庫データ登録</t>
    <rPh sb="0" eb="1">
      <t>タ</t>
    </rPh>
    <rPh sb="1" eb="3">
      <t>カンジョウ</t>
    </rPh>
    <rPh sb="3" eb="5">
      <t>ニュウコ</t>
    </rPh>
    <rPh sb="8" eb="10">
      <t>トウロク</t>
    </rPh>
    <phoneticPr fontId="1"/>
  </si>
  <si>
    <t>他勘定振替実績ヘッダ</t>
    <rPh sb="0" eb="1">
      <t>タ</t>
    </rPh>
    <rPh sb="1" eb="3">
      <t>カンジョウ</t>
    </rPh>
    <rPh sb="3" eb="5">
      <t>フリカエ</t>
    </rPh>
    <rPh sb="5" eb="7">
      <t>ジッセキ</t>
    </rPh>
    <phoneticPr fontId="1"/>
  </si>
  <si>
    <t>取引ＣＤ</t>
    <rPh sb="0" eb="2">
      <t>トリヒキ</t>
    </rPh>
    <phoneticPr fontId="1"/>
  </si>
  <si>
    <t>「AX10：他勘定入庫」固定</t>
    <rPh sb="12" eb="14">
      <t>コテイ</t>
    </rPh>
    <phoneticPr fontId="1"/>
  </si>
  <si>
    <t>場所</t>
    <rPh sb="0" eb="2">
      <t>バショ</t>
    </rPh>
    <phoneticPr fontId="1"/>
  </si>
  <si>
    <t>振替計上日</t>
    <rPh sb="0" eb="2">
      <t>フリカエ</t>
    </rPh>
    <rPh sb="2" eb="5">
      <t>ケイジョウビ</t>
    </rPh>
    <phoneticPr fontId="1"/>
  </si>
  <si>
    <t>他勘定振替実績明細</t>
    <rPh sb="0" eb="1">
      <t>タ</t>
    </rPh>
    <rPh sb="1" eb="3">
      <t>カンジョウ</t>
    </rPh>
    <rPh sb="3" eb="5">
      <t>フリカエ</t>
    </rPh>
    <rPh sb="5" eb="7">
      <t>ジッセキ</t>
    </rPh>
    <rPh sb="7" eb="9">
      <t>メイサイ</t>
    </rPh>
    <phoneticPr fontId="1"/>
  </si>
  <si>
    <t>数量</t>
    <rPh sb="0" eb="2">
      <t>スウリョウ</t>
    </rPh>
    <phoneticPr fontId="1"/>
  </si>
  <si>
    <t>手配NO１</t>
    <rPh sb="0" eb="2">
      <t>テハイ</t>
    </rPh>
    <phoneticPr fontId="1"/>
  </si>
  <si>
    <t>理由ＣＤ</t>
    <phoneticPr fontId="1"/>
  </si>
  <si>
    <t>負担部門ＣＤ</t>
    <phoneticPr fontId="1"/>
  </si>
  <si>
    <t>他勘定出庫データ登録</t>
    <rPh sb="0" eb="1">
      <t>タ</t>
    </rPh>
    <rPh sb="1" eb="3">
      <t>カンジョウ</t>
    </rPh>
    <rPh sb="3" eb="5">
      <t>シュッコ</t>
    </rPh>
    <rPh sb="8" eb="10">
      <t>トウロク</t>
    </rPh>
    <phoneticPr fontId="1"/>
  </si>
  <si>
    <t>「AX20：他勘定出庫」固定</t>
    <rPh sb="12" eb="14">
      <t>コテイ</t>
    </rPh>
    <phoneticPr fontId="1"/>
  </si>
  <si>
    <t>バッチ説明書</t>
  </si>
  <si>
    <t>7.0.1</t>
  </si>
  <si>
    <t>r01.01</t>
  </si>
  <si>
    <t>新/変</t>
    <rPh sb="0" eb="1">
      <t>シン</t>
    </rPh>
    <rPh sb="2" eb="3">
      <t>ヘン</t>
    </rPh>
    <phoneticPr fontId="1"/>
  </si>
  <si>
    <t>種別</t>
    <rPh sb="0" eb="2">
      <t>シュベツ</t>
    </rPh>
    <phoneticPr fontId="1"/>
  </si>
  <si>
    <t>メッセージ内容</t>
    <rPh sb="5" eb="7">
      <t>ナイヨウ</t>
    </rPh>
    <phoneticPr fontId="1"/>
  </si>
  <si>
    <t>備考（パラメータ等）</t>
    <rPh sb="0" eb="2">
      <t>ビコウ</t>
    </rPh>
    <rPh sb="8" eb="9">
      <t>トウ</t>
    </rPh>
    <phoneticPr fontId="1"/>
  </si>
  <si>
    <t>メッセージID</t>
    <phoneticPr fontId="1"/>
  </si>
  <si>
    <t>新</t>
    <rPh sb="0" eb="1">
      <t>シン</t>
    </rPh>
    <phoneticPr fontId="1"/>
  </si>
  <si>
    <t>W</t>
    <phoneticPr fontId="17"/>
  </si>
  <si>
    <t>汎用マスタには登録されていません。
汎用分類ＣＤ：{1}</t>
    <phoneticPr fontId="1"/>
  </si>
  <si>
    <t xml:space="preserve">{1}：汎用分類ＣＤ
</t>
    <rPh sb="4" eb="6">
      <t>ハンヨウ</t>
    </rPh>
    <rPh sb="6" eb="8">
      <t>ブンルイ</t>
    </rPh>
    <phoneticPr fontId="1"/>
  </si>
  <si>
    <t>MBUCLA0001</t>
    <phoneticPr fontId="17"/>
  </si>
  <si>
    <t>新</t>
    <rPh sb="0" eb="1">
      <t>シン</t>
    </rPh>
    <phoneticPr fontId="17"/>
  </si>
  <si>
    <t>汎用マスタに１件のみ登録してください。
汎用分類ＣＤ：{1}</t>
    <phoneticPr fontId="1"/>
  </si>
  <si>
    <t>{1}：汎用分類ＣＤ</t>
    <phoneticPr fontId="17"/>
  </si>
  <si>
    <t>MBUCLA0002</t>
    <phoneticPr fontId="17"/>
  </si>
  <si>
    <t>汎用マスタに１件のみ登録してください。
汎用分類ＣＤ：{1}
キー１：{2}</t>
    <phoneticPr fontId="1"/>
  </si>
  <si>
    <t>{1}：汎用分類ＣＤ
{2}：キー１</t>
    <rPh sb="4" eb="6">
      <t>ハンヨウ</t>
    </rPh>
    <rPh sb="6" eb="8">
      <t>ブンルイ</t>
    </rPh>
    <phoneticPr fontId="1"/>
  </si>
  <si>
    <t>MBUCLA0003</t>
    <phoneticPr fontId="17"/>
  </si>
  <si>
    <t>検索</t>
    <rPh sb="0" eb="2">
      <t>ケンサク</t>
    </rPh>
    <phoneticPr fontId="1"/>
  </si>
  <si>
    <t>ＰＧ実行状況区分名</t>
    <rPh sb="2" eb="4">
      <t>ジッコウ</t>
    </rPh>
    <rPh sb="4" eb="6">
      <t>ジョウキョウ</t>
    </rPh>
    <rPh sb="6" eb="8">
      <t>クブン</t>
    </rPh>
    <rPh sb="8" eb="9">
      <t>メイ</t>
    </rPh>
    <phoneticPr fontId="1"/>
  </si>
  <si>
    <t>データ更新区分</t>
    <rPh sb="3" eb="5">
      <t>コウシン</t>
    </rPh>
    <rPh sb="5" eb="7">
      <t>クブン</t>
    </rPh>
    <phoneticPr fontId="1"/>
  </si>
  <si>
    <t>データ更新区分名</t>
    <rPh sb="3" eb="5">
      <t>コウシン</t>
    </rPh>
    <rPh sb="5" eb="7">
      <t>クブン</t>
    </rPh>
    <rPh sb="7" eb="8">
      <t>メイ</t>
    </rPh>
    <phoneticPr fontId="1"/>
  </si>
  <si>
    <t>外部システムＣＤ</t>
    <rPh sb="0" eb="2">
      <t>ガイブ</t>
    </rPh>
    <phoneticPr fontId="1"/>
  </si>
  <si>
    <t>外部システムデータＮＯ</t>
    <rPh sb="0" eb="2">
      <t>ガイブ</t>
    </rPh>
    <phoneticPr fontId="1"/>
  </si>
  <si>
    <t>外部システムデータ行ＮＯ</t>
    <rPh sb="0" eb="2">
      <t>ガイブ</t>
    </rPh>
    <rPh sb="9" eb="10">
      <t>ギョウ</t>
    </rPh>
    <phoneticPr fontId="1"/>
  </si>
  <si>
    <t>送信元レコード作成日時ＦＲＯＭ</t>
    <rPh sb="0" eb="3">
      <t>ソウシンモト</t>
    </rPh>
    <rPh sb="7" eb="9">
      <t>サクセイ</t>
    </rPh>
    <rPh sb="9" eb="11">
      <t>ニチジ</t>
    </rPh>
    <phoneticPr fontId="1"/>
  </si>
  <si>
    <t>送信元レコード作成日時ＴＯ</t>
    <rPh sb="0" eb="3">
      <t>ソウシンモト</t>
    </rPh>
    <rPh sb="7" eb="9">
      <t>サクセイ</t>
    </rPh>
    <rPh sb="9" eb="11">
      <t>ニチジ</t>
    </rPh>
    <phoneticPr fontId="1"/>
  </si>
  <si>
    <t>取込対象ＦＬＧ.true</t>
    <rPh sb="0" eb="2">
      <t>トリコ</t>
    </rPh>
    <rPh sb="2" eb="4">
      <t>タイショウ</t>
    </rPh>
    <phoneticPr fontId="1"/>
  </si>
  <si>
    <t>取込対象ＦＬＧ.false</t>
    <rPh sb="0" eb="2">
      <t>トリコ</t>
    </rPh>
    <rPh sb="2" eb="4">
      <t>タイショウ</t>
    </rPh>
    <phoneticPr fontId="1"/>
  </si>
  <si>
    <t>取込対象ＦＬＧ.両方</t>
    <rPh sb="0" eb="2">
      <t>トリコ</t>
    </rPh>
    <rPh sb="2" eb="4">
      <t>タイショウ</t>
    </rPh>
    <rPh sb="8" eb="10">
      <t>リョウホウ</t>
    </rPh>
    <phoneticPr fontId="1"/>
  </si>
  <si>
    <t>勘定科目ＣＤ</t>
    <rPh sb="0" eb="2">
      <t>カンジョウ</t>
    </rPh>
    <rPh sb="2" eb="4">
      <t>カモク</t>
    </rPh>
    <phoneticPr fontId="1"/>
  </si>
  <si>
    <t>補助勘定科目ＣＤ</t>
    <rPh sb="0" eb="2">
      <t>ホジョ</t>
    </rPh>
    <rPh sb="2" eb="4">
      <t>カンジョウ</t>
    </rPh>
    <rPh sb="4" eb="6">
      <t>カモク</t>
    </rPh>
    <phoneticPr fontId="1"/>
  </si>
  <si>
    <t>部門ＣＤ</t>
    <rPh sb="0" eb="2">
      <t>ブモン</t>
    </rPh>
    <phoneticPr fontId="1"/>
  </si>
  <si>
    <t>ログＮＯ</t>
    <phoneticPr fontId="1"/>
  </si>
  <si>
    <t>ログサブキー１</t>
    <phoneticPr fontId="1"/>
  </si>
  <si>
    <t>ログサブキー２</t>
    <phoneticPr fontId="1"/>
  </si>
  <si>
    <t>登録日時ＦＲＯＭ</t>
    <rPh sb="0" eb="2">
      <t>トウロク</t>
    </rPh>
    <rPh sb="2" eb="4">
      <t>ニチジ</t>
    </rPh>
    <phoneticPr fontId="1"/>
  </si>
  <si>
    <t>登録日時ＴＯ</t>
    <rPh sb="0" eb="2">
      <t>トウロク</t>
    </rPh>
    <rPh sb="2" eb="4">
      <t>ニチジ</t>
    </rPh>
    <phoneticPr fontId="1"/>
  </si>
  <si>
    <t>更新日時ＦＲＯＭ</t>
    <rPh sb="0" eb="2">
      <t>コウシン</t>
    </rPh>
    <rPh sb="2" eb="4">
      <t>ニチジ</t>
    </rPh>
    <phoneticPr fontId="1"/>
  </si>
  <si>
    <t>更新日時ＴＯ</t>
    <rPh sb="0" eb="2">
      <t>コウシン</t>
    </rPh>
    <rPh sb="2" eb="4">
      <t>ニチジ</t>
    </rPh>
    <phoneticPr fontId="1"/>
  </si>
  <si>
    <t>一覧</t>
    <rPh sb="0" eb="2">
      <t>イチラン</t>
    </rPh>
    <phoneticPr fontId="1"/>
  </si>
  <si>
    <t>ＰＧ実行状況区分</t>
  </si>
  <si>
    <t>取込された場合は「2:処理済」、チェック処理でエラーが発生した場合は「3:エラー」</t>
    <rPh sb="0" eb="2">
      <t>トリコミ</t>
    </rPh>
    <rPh sb="5" eb="7">
      <t>バアイ</t>
    </rPh>
    <rPh sb="11" eb="14">
      <t>ショリズミ</t>
    </rPh>
    <rPh sb="20" eb="22">
      <t>ショリ</t>
    </rPh>
    <rPh sb="27" eb="29">
      <t>ハッセイ</t>
    </rPh>
    <rPh sb="31" eb="33">
      <t>バアイ</t>
    </rPh>
    <phoneticPr fontId="1"/>
  </si>
  <si>
    <t>ＰＧ実行状況区分名</t>
  </si>
  <si>
    <t>送受信状況区分</t>
    <rPh sb="0" eb="3">
      <t>ソウジュシン</t>
    </rPh>
    <rPh sb="3" eb="5">
      <t>ジョウキョウ</t>
    </rPh>
    <rPh sb="5" eb="7">
      <t>クブン</t>
    </rPh>
    <phoneticPr fontId="1"/>
  </si>
  <si>
    <t>送受信状況区分名</t>
    <phoneticPr fontId="1"/>
  </si>
  <si>
    <t>送信元レコード作成日時</t>
    <rPh sb="0" eb="3">
      <t>ソウシンモト</t>
    </rPh>
    <rPh sb="7" eb="9">
      <t>サクセイ</t>
    </rPh>
    <rPh sb="9" eb="11">
      <t>ニチジ</t>
    </rPh>
    <phoneticPr fontId="1"/>
  </si>
  <si>
    <t>取込対象ＦＬＧ</t>
    <rPh sb="0" eb="2">
      <t>トリコ</t>
    </rPh>
    <rPh sb="2" eb="4">
      <t>タイショウ</t>
    </rPh>
    <phoneticPr fontId="1"/>
  </si>
  <si>
    <t>場所ＣＤ</t>
    <rPh sb="0" eb="2">
      <t>バショ</t>
    </rPh>
    <phoneticPr fontId="1"/>
  </si>
  <si>
    <t>工程ＣＤ</t>
    <rPh sb="0" eb="2">
      <t>コウテイ</t>
    </rPh>
    <phoneticPr fontId="1"/>
  </si>
  <si>
    <t>取引先ＣＤ</t>
    <rPh sb="0" eb="2">
      <t>トリヒキ</t>
    </rPh>
    <rPh sb="2" eb="3">
      <t>サキ</t>
    </rPh>
    <phoneticPr fontId="1"/>
  </si>
  <si>
    <t>品群ＣＤ</t>
    <rPh sb="0" eb="1">
      <t>ヒン</t>
    </rPh>
    <rPh sb="1" eb="2">
      <t>グン</t>
    </rPh>
    <phoneticPr fontId="1"/>
  </si>
  <si>
    <t>枝番１</t>
    <rPh sb="0" eb="2">
      <t>エダバン</t>
    </rPh>
    <phoneticPr fontId="1"/>
  </si>
  <si>
    <t>枝番２</t>
    <rPh sb="0" eb="2">
      <t>エダバン</t>
    </rPh>
    <phoneticPr fontId="1"/>
  </si>
  <si>
    <t>枝番３</t>
    <rPh sb="0" eb="2">
      <t>エダバン</t>
    </rPh>
    <phoneticPr fontId="1"/>
  </si>
  <si>
    <t>品目製造指図ＮＯ</t>
    <rPh sb="0" eb="2">
      <t>ヒンモク</t>
    </rPh>
    <rPh sb="2" eb="4">
      <t>セイゾウ</t>
    </rPh>
    <rPh sb="4" eb="6">
      <t>サシズ</t>
    </rPh>
    <phoneticPr fontId="1"/>
  </si>
  <si>
    <t>インボイスＮＯ</t>
    <phoneticPr fontId="1"/>
  </si>
  <si>
    <t>発注ＮＯ</t>
    <rPh sb="0" eb="2">
      <t>ハッチュウ</t>
    </rPh>
    <phoneticPr fontId="1"/>
  </si>
  <si>
    <t>受注ＮＯ</t>
    <rPh sb="0" eb="2">
      <t>ジュチュウ</t>
    </rPh>
    <phoneticPr fontId="1"/>
  </si>
  <si>
    <t>予備１</t>
    <rPh sb="0" eb="2">
      <t>ヨビ</t>
    </rPh>
    <phoneticPr fontId="1"/>
  </si>
  <si>
    <t>予備２</t>
    <rPh sb="0" eb="2">
      <t>ヨビ</t>
    </rPh>
    <phoneticPr fontId="1"/>
  </si>
  <si>
    <t>予備３</t>
    <rPh sb="0" eb="2">
      <t>ヨビ</t>
    </rPh>
    <phoneticPr fontId="1"/>
  </si>
  <si>
    <t>ＩＦ予備ＣＨＡＲ項目１～３０</t>
    <phoneticPr fontId="1"/>
  </si>
  <si>
    <t>ＩＦ予備ＮＵＭ項目１～５</t>
    <phoneticPr fontId="1"/>
  </si>
  <si>
    <t>ＩＦ予備ＤＡＴＥ項目１～５</t>
    <phoneticPr fontId="1"/>
  </si>
  <si>
    <t>ログＮＯ</t>
  </si>
  <si>
    <t>ログサブキー１</t>
  </si>
  <si>
    <t>ログサブキー２</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</si>
  <si>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</si>
  <si>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</si>
  <si>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</si>
  <si>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</si>
  <si>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</si>
  <si>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</si>
  <si>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</si>
  <si>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</si>
  <si>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</si>
  <si>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</si>
  <si>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費用の分類</t>
    <rPh sb="0" eb="2">
      <t>ヒヨウ</t>
    </rPh>
    <rPh sb="3" eb="5">
      <t>ブンルイ</t>
    </rPh>
    <phoneticPr fontId="1"/>
  </si>
  <si>
    <t>製番区分</t>
    <rPh sb="0" eb="2">
      <t>セイバン</t>
    </rPh>
    <rPh sb="2" eb="4">
      <t>クブン</t>
    </rPh>
    <phoneticPr fontId="17"/>
  </si>
  <si>
    <t>製番連番</t>
    <rPh sb="0" eb="2">
      <t>セイバン</t>
    </rPh>
    <rPh sb="2" eb="4">
      <t>レンバン</t>
    </rPh>
    <phoneticPr fontId="1"/>
  </si>
  <si>
    <t>所要の発生源</t>
    <rPh sb="0" eb="2">
      <t>ショヨウ</t>
    </rPh>
    <rPh sb="3" eb="6">
      <t>ハッセイゲン</t>
    </rPh>
    <phoneticPr fontId="1"/>
  </si>
  <si>
    <t>PLM設定可否</t>
    <rPh sb="3" eb="5">
      <t>セッテイ</t>
    </rPh>
    <rPh sb="5" eb="7">
      <t>カヒ</t>
    </rPh>
    <phoneticPr fontId="1"/>
  </si>
  <si>
    <t>取得仕様</t>
    <rPh sb="0" eb="2">
      <t>シュトク</t>
    </rPh>
    <rPh sb="2" eb="4">
      <t>シヨウ</t>
    </rPh>
    <phoneticPr fontId="1"/>
  </si>
  <si>
    <t>複数件があった場合</t>
    <rPh sb="0" eb="2">
      <t>フクスウ</t>
    </rPh>
    <rPh sb="2" eb="3">
      <t>ケン</t>
    </rPh>
    <rPh sb="7" eb="9">
      <t>バアイ</t>
    </rPh>
    <phoneticPr fontId="1"/>
  </si>
  <si>
    <t>本体</t>
    <rPh sb="0" eb="2">
      <t>ホンタイ</t>
    </rPh>
    <phoneticPr fontId="17"/>
  </si>
  <si>
    <t>通常</t>
    <rPh sb="0" eb="2">
      <t>ツウジョウ</t>
    </rPh>
    <phoneticPr fontId="1"/>
  </si>
  <si>
    <t>受注登録</t>
    <rPh sb="0" eb="2">
      <t>ジュチュウ</t>
    </rPh>
    <rPh sb="2" eb="4">
      <t>トウロク</t>
    </rPh>
    <phoneticPr fontId="1"/>
  </si>
  <si>
    <t>〇</t>
    <phoneticPr fontId="1"/>
  </si>
  <si>
    <t>品目マスタから「メモ１」＝対象製番 且つ 「品目分類」＝製番TOP品目　のレコードを取得する</t>
    <rPh sb="0" eb="2">
      <t>ヒンモク</t>
    </rPh>
    <rPh sb="13" eb="15">
      <t>タイショウ</t>
    </rPh>
    <rPh sb="15" eb="17">
      <t>セイバン</t>
    </rPh>
    <rPh sb="18" eb="19">
      <t>カ</t>
    </rPh>
    <rPh sb="22" eb="24">
      <t>ヒンモク</t>
    </rPh>
    <rPh sb="24" eb="26">
      <t>ブンルイ</t>
    </rPh>
    <rPh sb="28" eb="30">
      <t>セイバン</t>
    </rPh>
    <rPh sb="33" eb="35">
      <t>ヒンモク</t>
    </rPh>
    <rPh sb="42" eb="44">
      <t>シュトク</t>
    </rPh>
    <phoneticPr fontId="1"/>
  </si>
  <si>
    <t>エラー</t>
  </si>
  <si>
    <t>ミス・クレーム</t>
    <phoneticPr fontId="1"/>
  </si>
  <si>
    <t>日次生産依頼</t>
    <rPh sb="0" eb="2">
      <t>ニチジ</t>
    </rPh>
    <rPh sb="2" eb="4">
      <t>セイサン</t>
    </rPh>
    <rPh sb="4" eb="6">
      <t>イライ</t>
    </rPh>
    <phoneticPr fontId="1"/>
  </si>
  <si>
    <t>部品</t>
    <rPh sb="0" eb="2">
      <t>ブヒン</t>
    </rPh>
    <phoneticPr fontId="17"/>
  </si>
  <si>
    <t>マル販</t>
    <rPh sb="2" eb="3">
      <t>ハン</t>
    </rPh>
    <phoneticPr fontId="17"/>
  </si>
  <si>
    <t>サービス</t>
  </si>
  <si>
    <t>研究開発</t>
    <rPh sb="0" eb="4">
      <t>ケンキュウカイハツ</t>
    </rPh>
    <phoneticPr fontId="17"/>
  </si>
  <si>
    <t>？</t>
    <phoneticPr fontId="1"/>
  </si>
  <si>
    <t>営繕修理</t>
    <rPh sb="0" eb="4">
      <t>エイゼンシュウリ</t>
    </rPh>
    <phoneticPr fontId="17"/>
  </si>
  <si>
    <t>×</t>
    <phoneticPr fontId="1"/>
  </si>
  <si>
    <t>固定資産</t>
    <rPh sb="0" eb="2">
      <t>コテイ</t>
    </rPh>
    <rPh sb="2" eb="4">
      <t>シサン</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</si>
</sst>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0.0_);[Red]\(0.0\)"/>
    <numFmt numFmtId="178" formatCode="yyyy/mm/dd"/>
    <numFmt numFmtId="179" formatCode="0.0;&quot;▲ &quot;0.0"/>
  </numFmts>
  <fonts count="45">
    <font>
      <sz val="11"/>
      <name val="ＭＳ Ｐゴシック"/>
      <family val="3"/>
      <charset val="128"/>
    </font>
    <font>
      <sz val="6"/>
      <name val="ＭＳ Ｐゴシック"/>
      <family val="3"/>
      <charset val="128"/>
    </font>
    <font>
      <u/>
      <sz val="11"/>
      <color indexed="12"/>
      <name val="ＭＳ Ｐゴシック"/>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2"/>
      <name val="ＭＳ Ｐゴシック"/>
      <family val="3"/>
      <charset val="128"/>
    </font>
    <font>
      <sz val="8"/>
      <color rgb="FFFF0000"/>
      <name val="Meiryo UI"/>
      <family val="3"/>
      <charset val="128"/>
    </font>
    <font>
      <sz val="9"/>
      <name val="ＭＳ Ｐゴシック"/>
      <family val="3"/>
      <charset val="128"/>
    </font>
    <font>
      <sz val="22"/>
      <name val="メイリオ"/>
      <family val="3"/>
      <charset val="128"/>
    </font>
    <font>
      <sz val="18"/>
      <name val="Meiryo UI"/>
      <family val="3"/>
      <charset val="128"/>
    </font>
    <font>
      <sz val="48"/>
      <name val="Meiryo UI"/>
      <family val="3"/>
      <charset val="128"/>
    </font>
    <font>
      <sz val="12"/>
      <name val="メイリオ"/>
      <family val="3"/>
      <charset val="128"/>
    </font>
    <font>
      <sz val="6"/>
      <name val="ＭＳ Ｐゴシック"/>
      <family val="3"/>
      <charset val="128"/>
      <scheme val="minor"/>
    </font>
    <font>
      <sz val="11"/>
      <name val="ＭＳ Ｐゴシック"/>
      <family val="3"/>
      <charset val="128"/>
    </font>
    <font>
      <b/>
      <sz val="11"/>
      <name val="ＭＳ Ｐゴシック"/>
      <family val="3"/>
      <charset val="128"/>
    </font>
    <font>
      <sz val="28"/>
      <color indexed="62"/>
      <name val="Wunderlich-BoldItalic"/>
      <family val="2"/>
    </font>
    <font>
      <sz val="9"/>
      <color indexed="62"/>
      <name val="ＭＳ Ｐゴシック"/>
      <family val="3"/>
      <charset val="128"/>
    </font>
    <font>
      <sz val="11"/>
      <name val="Times New Roman"/>
      <family val="1"/>
    </font>
    <font>
      <sz val="20"/>
      <name val="ＭＳ Ｐゴシック"/>
      <family val="3"/>
      <charset val="128"/>
    </font>
    <font>
      <sz val="24"/>
      <name val="ＭＳ Ｐゴシック"/>
      <family val="3"/>
      <charset val="128"/>
    </font>
    <font>
      <b/>
      <sz val="18"/>
      <name val="ＭＳ Ｐゴシック"/>
      <family val="3"/>
      <charset val="128"/>
    </font>
    <font>
      <b/>
      <sz val="12"/>
      <name val="ＭＳ Ｐゴシック"/>
      <family val="3"/>
      <charset val="128"/>
    </font>
    <font>
      <b/>
      <sz val="9"/>
      <name val="ＭＳ Ｐゴシック"/>
      <family val="3"/>
      <charset val="128"/>
    </font>
    <font>
      <sz val="11"/>
      <color theme="1"/>
      <name val="ＭＳ Ｐゴシック"/>
      <family val="2"/>
      <scheme val="minor"/>
    </font>
    <font>
      <sz val="8"/>
      <color theme="1"/>
      <name val="ＭＳ Ｐゴシック"/>
      <family val="3"/>
      <charset val="128"/>
      <scheme val="minor"/>
    </font>
    <font>
      <sz val="8"/>
      <name val="ＭＳ Ｐゴシック"/>
      <family val="3"/>
      <charset val="128"/>
    </font>
    <font>
      <b/>
      <sz val="8"/>
      <name val="ＭＳ Ｐゴシック"/>
      <family val="3"/>
      <charset val="128"/>
    </font>
    <font>
      <sz val="14"/>
      <name val="ＭＳ Ｐゴシック"/>
      <family val="3"/>
      <charset val="128"/>
    </font>
    <font>
      <b/>
      <sz val="15"/>
      <color theme="3"/>
      <name val="ＭＳ Ｐゴシック"/>
      <family val="2"/>
      <charset val="128"/>
      <scheme val="minor"/>
    </font>
    <font>
      <b/>
      <sz val="8"/>
      <name val="Meiryo UI"/>
      <family val="3"/>
      <charset val="128"/>
    </font>
    <font>
      <sz val="9"/>
      <color indexed="81"/>
      <name val="ＭＳ Ｐゴシック"/>
      <family val="3"/>
      <charset val="128"/>
    </font>
    <font>
      <sz val="9"/>
      <color indexed="10"/>
      <name val="ＭＳ Ｐゴシック"/>
      <family val="3"/>
      <charset val="128"/>
    </font>
    <font>
      <sz val="6"/>
      <name val="Meiryo UI"/>
      <family val="3"/>
      <charset val="128"/>
    </font>
    <font>
      <b/>
      <sz val="9"/>
      <color indexed="81"/>
      <name val="MS P ゴシック"/>
      <family val="3"/>
      <charset val="128"/>
    </font>
    <font>
      <b/>
      <sz val="9"/>
      <color indexed="81"/>
      <name val="ＭＳ Ｐゴシック"/>
      <family val="3"/>
      <charset val="128"/>
    </font>
    <font>
      <sz val="1"/>
      <name val="Meiryo UI"/>
      <family val="3"/>
      <charset val="128"/>
    </font>
    <font>
      <b/>
      <sz val="10"/>
      <name val="ＭＳ ゴシック"/>
      <family val="3"/>
      <charset val="128"/>
    </font>
    <font>
      <sz val="10"/>
      <name val="ＭＳ ゴシック"/>
      <family val="3"/>
      <charset val="128"/>
    </font>
    <font>
      <sz val="9"/>
      <name val="Microsoft YaHei"/>
      <family val="3"/>
      <charset val="134"/>
    </font>
    <font>
      <strike/>
      <sz val="9"/>
      <color rgb="FFFF0000"/>
      <name val="Meiryo UI"/>
      <family val="3"/>
      <charset val="128"/>
    </font>
  </fonts>
  <fills count="20">
    <fill>
      <patternFill patternType="none"/>
    </fill>
    <fill>
      <patternFill patternType="gray125"/>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4" tint="0.59999389629810485"/>
        <bgColor indexed="64"/>
      </patternFill>
    </fill>
    <fill>
      <patternFill patternType="solid">
        <fgColor rgb="FFFFFF99"/>
        <bgColor indexed="64"/>
      </patternFill>
    </fill>
    <fill>
      <patternFill patternType="solid">
        <fgColor rgb="FF66FFFF"/>
        <bgColor indexed="64"/>
      </patternFill>
    </fill>
    <fill>
      <patternFill patternType="solid">
        <fgColor rgb="FF99FF99"/>
        <bgColor indexed="64"/>
      </patternFill>
    </fill>
    <fill>
      <patternFill patternType="solid">
        <fgColor indexed="27"/>
        <bgColor indexed="64"/>
      </patternFill>
    </fill>
    <fill>
      <patternFill patternType="solid">
        <fgColor indexed="41"/>
        <bgColor indexed="64"/>
      </patternFill>
    </fill>
    <fill>
      <patternFill patternType="solid">
        <fgColor indexed="26"/>
        <bgColor indexed="64"/>
      </patternFill>
    </fill>
    <fill>
      <patternFill patternType="solid">
        <fgColor rgb="FFCCFFCC"/>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14996795556505021"/>
        <bgColor indexed="64"/>
      </patternFill>
    </fill>
  </fills>
  <borders count="9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auto="1"/>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21">
    <xf numFmtId="0" fontId="0" fillId="0" borderId="0"/>
    <xf numFmtId="0" fontId="12" fillId="0" borderId="0"/>
    <xf numFmtId="0" fontId="28" fillId="0" borderId="0"/>
    <xf numFmtId="0" fontId="18" fillId="0" borderId="0">
      <alignment vertical="center"/>
    </xf>
    <xf numFmtId="0" fontId="18" fillId="0" borderId="0"/>
    <xf numFmtId="0" fontId="12" fillId="0" borderId="0"/>
    <xf numFmtId="0" fontId="18" fillId="0" borderId="0"/>
    <xf numFmtId="0" fontId="18" fillId="0" borderId="0"/>
    <xf numFmtId="0" fontId="18" fillId="0" borderId="0">
      <alignment vertical="center"/>
    </xf>
    <xf numFmtId="38" fontId="18" fillId="0" borderId="0" applyFont="0" applyFill="0" applyBorder="0" applyAlignment="0" applyProtection="0"/>
    <xf numFmtId="0" fontId="18" fillId="0" borderId="0">
      <alignment vertical="center"/>
    </xf>
    <xf numFmtId="0" fontId="28" fillId="0" borderId="0"/>
    <xf numFmtId="0" fontId="18" fillId="0" borderId="0">
      <alignment vertical="center"/>
    </xf>
    <xf numFmtId="0" fontId="18" fillId="0" borderId="0">
      <alignment vertical="center"/>
    </xf>
    <xf numFmtId="0" fontId="12" fillId="0" borderId="0"/>
    <xf numFmtId="0" fontId="18" fillId="0" borderId="0"/>
    <xf numFmtId="0" fontId="18" fillId="0" borderId="0"/>
    <xf numFmtId="0" fontId="18" fillId="0" borderId="0"/>
    <xf numFmtId="9" fontId="18" fillId="0" borderId="0" applyFont="0" applyFill="0" applyBorder="0" applyAlignment="0" applyProtection="0">
      <alignment vertical="center"/>
    </xf>
    <xf numFmtId="0" fontId="18" fillId="0" borderId="0">
      <alignment vertical="center"/>
    </xf>
    <xf numFmtId="0" fontId="18" fillId="0" borderId="0">
      <alignment vertical="center"/>
    </xf>
  </cellStyleXfs>
  <cellXfs count="719">
    <xf numFmtId="0" fontId="0" fillId="0" borderId="0" xfId="0"/>
    <xf numFmtId="0" fontId="6" fillId="0" borderId="0" xfId="0" applyFont="1"/>
    <xf numFmtId="0" fontId="6" fillId="0" borderId="16" xfId="0" applyFont="1" applyBorder="1" applyAlignment="1">
      <alignment vertical="center"/>
    </xf>
    <xf numFmtId="0" fontId="4" fillId="0" borderId="0" xfId="0" applyFont="1" applyAlignment="1">
      <alignment vertical="top"/>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xf numFmtId="0" fontId="7" fillId="0" borderId="3" xfId="0"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0" fontId="7" fillId="0" borderId="0" xfId="0" applyFont="1" applyAlignment="1">
      <alignment vertical="center"/>
    </xf>
    <xf numFmtId="0" fontId="7" fillId="0" borderId="23" xfId="0" applyFont="1" applyBorder="1" applyAlignment="1">
      <alignment vertical="center"/>
    </xf>
    <xf numFmtId="0" fontId="13" fillId="0" borderId="0" xfId="0" applyFont="1" applyAlignment="1">
      <alignment vertical="center"/>
    </xf>
    <xf numFmtId="0" fontId="14" fillId="0" borderId="0" xfId="0" applyFont="1"/>
    <xf numFmtId="0" fontId="5" fillId="0" borderId="0" xfId="0" applyFont="1"/>
    <xf numFmtId="0" fontId="11" fillId="0" borderId="0" xfId="0" applyFont="1"/>
    <xf numFmtId="0" fontId="3" fillId="0" borderId="0" xfId="0" applyFont="1"/>
    <xf numFmtId="0" fontId="0" fillId="0" borderId="0" xfId="0"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shrinkToFit="1"/>
    </xf>
    <xf numFmtId="0" fontId="7" fillId="0" borderId="0" xfId="0" applyFont="1" applyAlignment="1">
      <alignment horizontal="center"/>
    </xf>
    <xf numFmtId="0" fontId="0" fillId="0" borderId="0" xfId="0" applyAlignment="1">
      <alignment horizontal="center"/>
    </xf>
    <xf numFmtId="0" fontId="7" fillId="0" borderId="0" xfId="0" applyFont="1" applyAlignment="1">
      <alignment horizontal="center" shrinkToFit="1"/>
    </xf>
    <xf numFmtId="14" fontId="6" fillId="0" borderId="0" xfId="0" applyNumberFormat="1" applyFont="1" applyAlignment="1">
      <alignment horizontal="center" vertical="center"/>
    </xf>
    <xf numFmtId="0" fontId="6" fillId="0" borderId="13" xfId="0" applyFont="1" applyBorder="1" applyAlignment="1">
      <alignment vertical="center"/>
    </xf>
    <xf numFmtId="14" fontId="6" fillId="0" borderId="13"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3" xfId="0" applyFont="1" applyBorder="1"/>
    <xf numFmtId="0" fontId="6" fillId="0" borderId="14" xfId="0" applyFont="1" applyBorder="1"/>
    <xf numFmtId="0" fontId="6" fillId="0" borderId="12" xfId="0" applyFont="1" applyBorder="1" applyAlignment="1">
      <alignment horizontal="left" vertical="center"/>
    </xf>
    <xf numFmtId="49" fontId="6" fillId="0" borderId="15" xfId="0" applyNumberFormat="1" applyFont="1" applyBorder="1" applyAlignment="1">
      <alignment horizontal="center" vertical="center"/>
    </xf>
    <xf numFmtId="0" fontId="6" fillId="0" borderId="16" xfId="0" applyFont="1" applyBorder="1" applyAlignment="1">
      <alignment vertical="top"/>
    </xf>
    <xf numFmtId="0" fontId="6" fillId="0" borderId="16" xfId="0" applyFont="1" applyBorder="1" applyAlignment="1">
      <alignment horizontal="center" vertical="center"/>
    </xf>
    <xf numFmtId="0" fontId="6" fillId="0" borderId="17" xfId="0" applyFont="1" applyBorder="1" applyAlignment="1">
      <alignment vertical="center"/>
    </xf>
    <xf numFmtId="14" fontId="6" fillId="0" borderId="16" xfId="0" applyNumberFormat="1" applyFont="1" applyBorder="1" applyAlignment="1">
      <alignment horizontal="center" vertical="center"/>
    </xf>
    <xf numFmtId="0" fontId="6" fillId="0" borderId="16" xfId="0" applyFont="1" applyBorder="1"/>
    <xf numFmtId="0" fontId="6" fillId="0" borderId="17" xfId="0" applyFont="1" applyBorder="1"/>
    <xf numFmtId="0" fontId="6" fillId="0" borderId="15" xfId="0" applyFont="1" applyBorder="1"/>
    <xf numFmtId="176" fontId="6" fillId="0" borderId="15" xfId="0" applyNumberFormat="1" applyFont="1" applyBorder="1" applyAlignment="1">
      <alignment horizontal="center" vertical="center"/>
    </xf>
    <xf numFmtId="176" fontId="6" fillId="0" borderId="35" xfId="0" applyNumberFormat="1" applyFont="1" applyBorder="1" applyAlignment="1">
      <alignment horizontal="center" vertical="center"/>
    </xf>
    <xf numFmtId="0" fontId="6" fillId="0" borderId="36" xfId="0" applyFont="1" applyBorder="1" applyAlignment="1">
      <alignment vertical="top"/>
    </xf>
    <xf numFmtId="0" fontId="6" fillId="0" borderId="36" xfId="0" applyFont="1" applyBorder="1" applyAlignment="1">
      <alignment horizontal="center" vertical="center"/>
    </xf>
    <xf numFmtId="0" fontId="6" fillId="0" borderId="36" xfId="0" applyFont="1" applyBorder="1" applyAlignment="1">
      <alignment vertical="center"/>
    </xf>
    <xf numFmtId="0" fontId="6" fillId="0" borderId="37" xfId="0" applyFont="1" applyBorder="1" applyAlignment="1">
      <alignment vertical="center"/>
    </xf>
    <xf numFmtId="0" fontId="6" fillId="0" borderId="36" xfId="0" applyFont="1" applyBorder="1"/>
    <xf numFmtId="0" fontId="6" fillId="0" borderId="37" xfId="0" applyFont="1" applyBorder="1"/>
    <xf numFmtId="0" fontId="6" fillId="0" borderId="35" xfId="0" applyFont="1" applyBorder="1"/>
    <xf numFmtId="0" fontId="6" fillId="0" borderId="0" xfId="0" applyFont="1" applyAlignment="1">
      <alignment vertical="top"/>
    </xf>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176" fontId="6" fillId="0" borderId="0" xfId="0" applyNumberFormat="1" applyFont="1" applyAlignment="1">
      <alignment horizontal="left" vertical="center"/>
    </xf>
    <xf numFmtId="178" fontId="6" fillId="0" borderId="0" xfId="0" applyNumberFormat="1" applyFont="1" applyAlignment="1">
      <alignment horizontal="center" vertical="center" shrinkToFit="1"/>
    </xf>
    <xf numFmtId="0" fontId="8" fillId="4" borderId="18" xfId="0" applyFont="1" applyFill="1" applyBorder="1" applyAlignment="1">
      <alignment vertical="center"/>
    </xf>
    <xf numFmtId="0" fontId="8" fillId="4" borderId="20" xfId="0" applyFont="1" applyFill="1" applyBorder="1" applyAlignment="1">
      <alignment vertical="center"/>
    </xf>
    <xf numFmtId="0" fontId="8" fillId="4" borderId="21" xfId="0" applyFont="1" applyFill="1" applyBorder="1"/>
    <xf numFmtId="0" fontId="7" fillId="0" borderId="0" xfId="0" applyFont="1"/>
    <xf numFmtId="0" fontId="7" fillId="0" borderId="10" xfId="0" applyFont="1" applyBorder="1" applyAlignment="1">
      <alignment vertical="center"/>
    </xf>
    <xf numFmtId="0" fontId="7" fillId="0" borderId="0" xfId="0" applyFont="1" applyAlignment="1">
      <alignment vertical="center" wrapText="1"/>
    </xf>
    <xf numFmtId="0" fontId="7" fillId="0" borderId="11" xfId="0" applyFont="1" applyBorder="1" applyAlignment="1">
      <alignment vertical="center"/>
    </xf>
    <xf numFmtId="0" fontId="8" fillId="2" borderId="2" xfId="0" applyFont="1" applyFill="1" applyBorder="1" applyAlignment="1">
      <alignment vertical="center"/>
    </xf>
    <xf numFmtId="0" fontId="7" fillId="2" borderId="3" xfId="0" applyFont="1" applyFill="1" applyBorder="1" applyAlignment="1">
      <alignment vertical="center"/>
    </xf>
    <xf numFmtId="0" fontId="7" fillId="2" borderId="4" xfId="0" applyFont="1" applyFill="1" applyBorder="1" applyAlignment="1">
      <alignment vertical="center"/>
    </xf>
    <xf numFmtId="0" fontId="7" fillId="2" borderId="3" xfId="0" quotePrefix="1" applyFont="1" applyFill="1" applyBorder="1" applyAlignment="1">
      <alignment vertical="center"/>
    </xf>
    <xf numFmtId="49" fontId="7" fillId="0" borderId="31" xfId="0" applyNumberFormat="1" applyFont="1" applyBorder="1" applyAlignment="1">
      <alignment vertical="center"/>
    </xf>
    <xf numFmtId="0" fontId="7" fillId="0" borderId="29" xfId="0" applyFont="1" applyBorder="1" applyAlignment="1">
      <alignment vertical="center"/>
    </xf>
    <xf numFmtId="0" fontId="7" fillId="0" borderId="32" xfId="0" applyFont="1" applyBorder="1" applyAlignment="1">
      <alignment vertical="center"/>
    </xf>
    <xf numFmtId="0" fontId="7" fillId="0" borderId="31" xfId="0" applyFont="1" applyBorder="1" applyAlignment="1">
      <alignment vertical="center"/>
    </xf>
    <xf numFmtId="49" fontId="7" fillId="0" borderId="47" xfId="0" applyNumberFormat="1" applyFont="1" applyBorder="1" applyAlignment="1">
      <alignment vertical="center"/>
    </xf>
    <xf numFmtId="0" fontId="7" fillId="0" borderId="41" xfId="0" applyFont="1" applyBorder="1" applyAlignment="1">
      <alignment vertical="center"/>
    </xf>
    <xf numFmtId="0" fontId="7" fillId="0" borderId="47" xfId="0" applyFont="1" applyBorder="1" applyAlignment="1">
      <alignment vertical="center"/>
    </xf>
    <xf numFmtId="0" fontId="7" fillId="0" borderId="33" xfId="0" applyFont="1" applyBorder="1" applyAlignment="1">
      <alignment vertical="center"/>
    </xf>
    <xf numFmtId="0" fontId="7" fillId="0" borderId="1" xfId="0" applyFont="1" applyBorder="1" applyAlignment="1">
      <alignment vertical="center"/>
    </xf>
    <xf numFmtId="0" fontId="7" fillId="0" borderId="34" xfId="0" applyFont="1" applyBorder="1" applyAlignment="1">
      <alignment vertical="center"/>
    </xf>
    <xf numFmtId="49" fontId="7" fillId="0" borderId="33" xfId="0" applyNumberFormat="1" applyFont="1" applyBorder="1" applyAlignment="1">
      <alignment vertical="center"/>
    </xf>
    <xf numFmtId="49" fontId="7" fillId="0" borderId="2" xfId="0" applyNumberFormat="1" applyFont="1" applyBorder="1" applyAlignment="1">
      <alignment vertical="center"/>
    </xf>
    <xf numFmtId="0" fontId="9" fillId="0" borderId="0" xfId="0"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7" fillId="0" borderId="2" xfId="0" applyFont="1" applyBorder="1" applyAlignment="1">
      <alignment vertical="center"/>
    </xf>
    <xf numFmtId="0" fontId="7" fillId="0" borderId="3" xfId="0" quotePrefix="1" applyFont="1" applyBorder="1" applyAlignment="1">
      <alignment vertical="center"/>
    </xf>
    <xf numFmtId="0" fontId="7" fillId="0" borderId="8" xfId="0" applyFont="1" applyBorder="1" applyAlignment="1">
      <alignment vertical="center"/>
    </xf>
    <xf numFmtId="0" fontId="7" fillId="0" borderId="39" xfId="0" applyFont="1" applyBorder="1" applyAlignment="1">
      <alignment vertical="center"/>
    </xf>
    <xf numFmtId="0" fontId="7" fillId="0" borderId="39" xfId="0" applyFont="1" applyBorder="1" applyAlignment="1">
      <alignment vertical="center" wrapText="1"/>
    </xf>
    <xf numFmtId="0" fontId="7" fillId="0" borderId="9" xfId="0" applyFont="1" applyBorder="1" applyAlignment="1">
      <alignment vertical="center"/>
    </xf>
    <xf numFmtId="0" fontId="8" fillId="3" borderId="48" xfId="0" applyFont="1" applyFill="1" applyBorder="1" applyAlignment="1">
      <alignment vertical="center" shrinkToFit="1"/>
    </xf>
    <xf numFmtId="0" fontId="8" fillId="3" borderId="49" xfId="0" applyFont="1" applyFill="1" applyBorder="1" applyAlignment="1">
      <alignment vertical="center"/>
    </xf>
    <xf numFmtId="0" fontId="8" fillId="3" borderId="20" xfId="0" applyFont="1" applyFill="1" applyBorder="1" applyAlignment="1">
      <alignment vertical="center"/>
    </xf>
    <xf numFmtId="0" fontId="8" fillId="3" borderId="21" xfId="0" applyFont="1" applyFill="1" applyBorder="1" applyAlignment="1">
      <alignment vertical="center"/>
    </xf>
    <xf numFmtId="0" fontId="8" fillId="3" borderId="50" xfId="0" applyFont="1" applyFill="1" applyBorder="1" applyAlignment="1">
      <alignment vertical="center" shrinkToFit="1"/>
    </xf>
    <xf numFmtId="0" fontId="8" fillId="3" borderId="51" xfId="0" applyFont="1" applyFill="1" applyBorder="1" applyAlignment="1">
      <alignment vertical="center"/>
    </xf>
    <xf numFmtId="0" fontId="7" fillId="3" borderId="3" xfId="0" applyFont="1" applyFill="1" applyBorder="1" applyAlignment="1">
      <alignment vertical="center"/>
    </xf>
    <xf numFmtId="0" fontId="7" fillId="3" borderId="4" xfId="0" applyFont="1" applyFill="1" applyBorder="1" applyAlignment="1">
      <alignment vertical="center"/>
    </xf>
    <xf numFmtId="0" fontId="8" fillId="3" borderId="3" xfId="0" applyFont="1" applyFill="1" applyBorder="1" applyAlignment="1">
      <alignment vertical="center"/>
    </xf>
    <xf numFmtId="0" fontId="8" fillId="3" borderId="2" xfId="0" applyFont="1" applyFill="1" applyBorder="1" applyAlignment="1">
      <alignment vertical="center"/>
    </xf>
    <xf numFmtId="0" fontId="7" fillId="3" borderId="23" xfId="0" applyFont="1" applyFill="1" applyBorder="1" applyAlignment="1">
      <alignment vertical="center"/>
    </xf>
    <xf numFmtId="0" fontId="7" fillId="0" borderId="50" xfId="0" applyFont="1" applyBorder="1" applyAlignment="1">
      <alignment vertical="center" shrinkToFit="1"/>
    </xf>
    <xf numFmtId="0" fontId="7" fillId="0" borderId="51" xfId="0" applyFont="1" applyBorder="1" applyAlignment="1">
      <alignment vertical="center"/>
    </xf>
    <xf numFmtId="0" fontId="7" fillId="0" borderId="28" xfId="0" applyFont="1" applyBorder="1" applyAlignment="1">
      <alignment vertical="center"/>
    </xf>
    <xf numFmtId="0" fontId="7" fillId="0" borderId="0" xfId="0" applyFont="1" applyAlignment="1">
      <alignment vertical="center" shrinkToFit="1"/>
    </xf>
    <xf numFmtId="0" fontId="8" fillId="3" borderId="48" xfId="0" applyFont="1" applyFill="1" applyBorder="1" applyAlignment="1">
      <alignment vertical="center"/>
    </xf>
    <xf numFmtId="0" fontId="8" fillId="3" borderId="22" xfId="0" applyFont="1" applyFill="1" applyBorder="1" applyAlignment="1">
      <alignment vertical="center"/>
    </xf>
    <xf numFmtId="0" fontId="7" fillId="0" borderId="50" xfId="0" applyFont="1" applyBorder="1" applyAlignment="1">
      <alignment vertical="center"/>
    </xf>
    <xf numFmtId="0" fontId="7" fillId="0" borderId="26" xfId="0" applyFont="1" applyBorder="1" applyAlignment="1">
      <alignment vertical="center"/>
    </xf>
    <xf numFmtId="0" fontId="7" fillId="0" borderId="52" xfId="0" applyFont="1" applyBorder="1" applyAlignment="1">
      <alignment vertical="center" shrinkToFit="1"/>
    </xf>
    <xf numFmtId="0" fontId="7" fillId="0" borderId="53" xfId="0" applyFont="1" applyBorder="1" applyAlignment="1">
      <alignment vertical="center"/>
    </xf>
    <xf numFmtId="0" fontId="7" fillId="0" borderId="25" xfId="0" applyFont="1" applyBorder="1" applyAlignment="1">
      <alignment vertical="center"/>
    </xf>
    <xf numFmtId="0" fontId="7" fillId="0" borderId="27" xfId="0" applyFont="1" applyBorder="1" applyAlignment="1">
      <alignment vertical="center"/>
    </xf>
    <xf numFmtId="0" fontId="7" fillId="0" borderId="52" xfId="0" applyFont="1" applyBorder="1" applyAlignment="1">
      <alignment vertical="center"/>
    </xf>
    <xf numFmtId="0" fontId="8" fillId="5" borderId="0" xfId="0" applyFont="1" applyFill="1" applyAlignment="1">
      <alignment vertical="center"/>
    </xf>
    <xf numFmtId="0" fontId="7" fillId="5" borderId="0" xfId="0" applyFont="1" applyFill="1" applyAlignment="1">
      <alignment vertical="center"/>
    </xf>
    <xf numFmtId="0" fontId="7" fillId="6" borderId="2" xfId="0" quotePrefix="1" applyFont="1" applyFill="1" applyBorder="1" applyAlignment="1">
      <alignment vertical="center"/>
    </xf>
    <xf numFmtId="0" fontId="7" fillId="6" borderId="3" xfId="0" applyFont="1" applyFill="1" applyBorder="1" applyAlignment="1">
      <alignment vertical="center"/>
    </xf>
    <xf numFmtId="0" fontId="7" fillId="6" borderId="4" xfId="0" applyFont="1" applyFill="1" applyBorder="1" applyAlignment="1">
      <alignment vertical="center"/>
    </xf>
    <xf numFmtId="0" fontId="7" fillId="6" borderId="2" xfId="0" applyFont="1" applyFill="1" applyBorder="1" applyAlignment="1">
      <alignment vertical="center"/>
    </xf>
    <xf numFmtId="0" fontId="7" fillId="6" borderId="3" xfId="0" applyFont="1" applyFill="1" applyBorder="1" applyAlignment="1">
      <alignment vertical="center" wrapText="1"/>
    </xf>
    <xf numFmtId="0" fontId="7" fillId="6" borderId="28" xfId="0" quotePrefix="1" applyFont="1" applyFill="1" applyBorder="1" applyAlignment="1">
      <alignment vertical="center"/>
    </xf>
    <xf numFmtId="0" fontId="7" fillId="6" borderId="26" xfId="0" applyFont="1" applyFill="1" applyBorder="1" applyAlignment="1">
      <alignment vertical="center"/>
    </xf>
    <xf numFmtId="0" fontId="7" fillId="6" borderId="25" xfId="0" applyFont="1" applyFill="1" applyBorder="1" applyAlignment="1">
      <alignment vertical="center"/>
    </xf>
    <xf numFmtId="0" fontId="7" fillId="6" borderId="28" xfId="0" applyFont="1" applyFill="1" applyBorder="1" applyAlignment="1">
      <alignment vertical="center"/>
    </xf>
    <xf numFmtId="0" fontId="7" fillId="6" borderId="26" xfId="0" applyFont="1" applyFill="1" applyBorder="1" applyAlignment="1">
      <alignment vertical="center" wrapText="1"/>
    </xf>
    <xf numFmtId="0" fontId="7" fillId="7" borderId="33" xfId="0" quotePrefix="1" applyFont="1" applyFill="1" applyBorder="1" applyAlignment="1">
      <alignment vertical="center"/>
    </xf>
    <xf numFmtId="0" fontId="7" fillId="7" borderId="1" xfId="0" applyFont="1" applyFill="1" applyBorder="1" applyAlignment="1">
      <alignment vertical="center"/>
    </xf>
    <xf numFmtId="0" fontId="7" fillId="7" borderId="34" xfId="0" applyFont="1" applyFill="1" applyBorder="1" applyAlignment="1">
      <alignment vertical="center"/>
    </xf>
    <xf numFmtId="0" fontId="7" fillId="7" borderId="33" xfId="0" applyFont="1" applyFill="1" applyBorder="1" applyAlignment="1">
      <alignment vertical="center"/>
    </xf>
    <xf numFmtId="0" fontId="7" fillId="7" borderId="1" xfId="0" applyFont="1" applyFill="1" applyBorder="1" applyAlignment="1">
      <alignment vertical="center" wrapText="1"/>
    </xf>
    <xf numFmtId="0" fontId="7" fillId="7" borderId="28" xfId="0" quotePrefix="1" applyFont="1" applyFill="1" applyBorder="1" applyAlignment="1">
      <alignment vertical="center"/>
    </xf>
    <xf numFmtId="0" fontId="7" fillId="7" borderId="26" xfId="0" applyFont="1" applyFill="1" applyBorder="1" applyAlignment="1">
      <alignment vertical="center"/>
    </xf>
    <xf numFmtId="0" fontId="7" fillId="7" borderId="25" xfId="0" applyFont="1" applyFill="1" applyBorder="1" applyAlignment="1">
      <alignment vertical="center"/>
    </xf>
    <xf numFmtId="0" fontId="7" fillId="7" borderId="28" xfId="0" applyFont="1" applyFill="1" applyBorder="1" applyAlignment="1">
      <alignment vertical="center"/>
    </xf>
    <xf numFmtId="0" fontId="7" fillId="7" borderId="26" xfId="0" applyFont="1" applyFill="1" applyBorder="1" applyAlignment="1">
      <alignment vertical="center" wrapText="1"/>
    </xf>
    <xf numFmtId="0" fontId="7" fillId="7" borderId="2" xfId="0" applyFont="1" applyFill="1" applyBorder="1" applyAlignment="1">
      <alignment vertical="center"/>
    </xf>
    <xf numFmtId="0" fontId="7" fillId="7" borderId="3" xfId="0" applyFont="1" applyFill="1" applyBorder="1" applyAlignment="1">
      <alignment vertical="center"/>
    </xf>
    <xf numFmtId="0" fontId="7" fillId="7" borderId="2" xfId="0" quotePrefix="1" applyFont="1" applyFill="1" applyBorder="1" applyAlignment="1">
      <alignment vertical="center"/>
    </xf>
    <xf numFmtId="0" fontId="7" fillId="7" borderId="4" xfId="0" applyFont="1" applyFill="1" applyBorder="1" applyAlignment="1">
      <alignment vertical="center"/>
    </xf>
    <xf numFmtId="0" fontId="7" fillId="8" borderId="33" xfId="0" quotePrefix="1" applyFont="1" applyFill="1" applyBorder="1" applyAlignment="1">
      <alignment vertical="center"/>
    </xf>
    <xf numFmtId="0" fontId="7" fillId="8" borderId="1" xfId="0" applyFont="1" applyFill="1" applyBorder="1" applyAlignment="1">
      <alignment vertical="center"/>
    </xf>
    <xf numFmtId="0" fontId="7" fillId="8" borderId="34" xfId="0" applyFont="1" applyFill="1" applyBorder="1" applyAlignment="1">
      <alignment vertical="center"/>
    </xf>
    <xf numFmtId="0" fontId="7" fillId="8" borderId="33" xfId="0" applyFont="1" applyFill="1" applyBorder="1" applyAlignment="1">
      <alignment vertical="center"/>
    </xf>
    <xf numFmtId="0" fontId="7" fillId="8" borderId="1" xfId="0" applyFont="1" applyFill="1" applyBorder="1" applyAlignment="1">
      <alignment vertical="center" wrapText="1"/>
    </xf>
    <xf numFmtId="0" fontId="7" fillId="8" borderId="2" xfId="0" applyFont="1" applyFill="1" applyBorder="1" applyAlignment="1">
      <alignment vertical="center"/>
    </xf>
    <xf numFmtId="0" fontId="7" fillId="8" borderId="3" xfId="0" applyFont="1" applyFill="1" applyBorder="1" applyAlignment="1">
      <alignment vertical="center"/>
    </xf>
    <xf numFmtId="0" fontId="7" fillId="8" borderId="2" xfId="0" quotePrefix="1" applyFont="1" applyFill="1" applyBorder="1" applyAlignment="1">
      <alignment vertical="center"/>
    </xf>
    <xf numFmtId="0" fontId="7" fillId="8" borderId="4" xfId="0" applyFont="1" applyFill="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3" xfId="0" applyFont="1" applyBorder="1" applyAlignment="1">
      <alignment vertical="center" wrapText="1"/>
    </xf>
    <xf numFmtId="0" fontId="12" fillId="0" borderId="0" xfId="1" applyProtection="1">
      <protection locked="0"/>
    </xf>
    <xf numFmtId="0" fontId="19" fillId="0" borderId="0" xfId="1" applyFont="1" applyAlignment="1" applyProtection="1">
      <alignment horizontal="center" vertical="center"/>
      <protection locked="0"/>
    </xf>
    <xf numFmtId="0" fontId="20" fillId="0" borderId="0" xfId="1" applyFont="1" applyProtection="1">
      <protection locked="0"/>
    </xf>
    <xf numFmtId="0" fontId="21" fillId="0" borderId="0" xfId="1" applyFont="1" applyProtection="1">
      <protection locked="0"/>
    </xf>
    <xf numFmtId="177" fontId="22" fillId="0" borderId="0" xfId="1" applyNumberFormat="1" applyFont="1" applyAlignment="1" applyProtection="1">
      <alignment horizontal="center" vertical="center"/>
      <protection locked="0"/>
    </xf>
    <xf numFmtId="0" fontId="23" fillId="0" borderId="0" xfId="1" applyFont="1" applyProtection="1">
      <protection locked="0"/>
    </xf>
    <xf numFmtId="0" fontId="24" fillId="0" borderId="1" xfId="1" applyFont="1" applyBorder="1" applyAlignment="1" applyProtection="1">
      <alignment vertical="center" wrapText="1"/>
      <protection locked="0"/>
    </xf>
    <xf numFmtId="0" fontId="29" fillId="0" borderId="0" xfId="2" applyFont="1"/>
    <xf numFmtId="0" fontId="30" fillId="0" borderId="0" xfId="1" applyFont="1" applyProtection="1">
      <protection locked="0"/>
    </xf>
    <xf numFmtId="179" fontId="31" fillId="0" borderId="0" xfId="1" applyNumberFormat="1" applyFont="1" applyAlignment="1" applyProtection="1">
      <alignment vertical="center"/>
      <protection locked="0"/>
    </xf>
    <xf numFmtId="179" fontId="27" fillId="0" borderId="0" xfId="1" applyNumberFormat="1" applyFont="1" applyAlignment="1" applyProtection="1">
      <alignment vertical="center"/>
      <protection locked="0"/>
    </xf>
    <xf numFmtId="179" fontId="26" fillId="0" borderId="47" xfId="1" applyNumberFormat="1" applyFont="1" applyBorder="1" applyAlignment="1" applyProtection="1">
      <alignment vertical="center"/>
      <protection locked="0"/>
    </xf>
    <xf numFmtId="179" fontId="27" fillId="0" borderId="47" xfId="1" applyNumberFormat="1" applyFont="1" applyBorder="1" applyAlignment="1" applyProtection="1">
      <alignment vertical="center"/>
      <protection locked="0"/>
    </xf>
    <xf numFmtId="0" fontId="18" fillId="0" borderId="0" xfId="1" applyFont="1" applyProtection="1">
      <protection locked="0"/>
    </xf>
    <xf numFmtId="0" fontId="0" fillId="0" borderId="0" xfId="1" applyFont="1" applyProtection="1">
      <protection locked="0"/>
    </xf>
    <xf numFmtId="0" fontId="32" fillId="0" borderId="0" xfId="1" applyFont="1" applyAlignment="1" applyProtection="1">
      <alignment horizontal="center" vertical="center"/>
      <protection locked="0"/>
    </xf>
    <xf numFmtId="0" fontId="18" fillId="0" borderId="0" xfId="1" applyFont="1" applyAlignment="1" applyProtection="1">
      <alignment horizontal="center" vertical="center"/>
      <protection locked="0"/>
    </xf>
    <xf numFmtId="0" fontId="12" fillId="0" borderId="0" xfId="1" applyAlignment="1" applyProtection="1">
      <alignment horizontal="center"/>
      <protection locked="0"/>
    </xf>
    <xf numFmtId="178" fontId="12" fillId="0" borderId="0" xfId="1" applyNumberFormat="1" applyAlignment="1" applyProtection="1">
      <alignment horizontal="center"/>
      <protection locked="0"/>
    </xf>
    <xf numFmtId="0" fontId="4" fillId="0" borderId="0" xfId="6" applyFont="1"/>
    <xf numFmtId="0" fontId="6" fillId="0" borderId="0" xfId="7" applyFont="1"/>
    <xf numFmtId="0" fontId="4" fillId="0" borderId="0" xfId="6" applyFont="1" applyAlignment="1">
      <alignment vertical="center"/>
    </xf>
    <xf numFmtId="0" fontId="4" fillId="0" borderId="0" xfId="6" applyFont="1" applyAlignment="1">
      <alignment vertical="center" wrapText="1"/>
    </xf>
    <xf numFmtId="0" fontId="7" fillId="3" borderId="2" xfId="0" applyFont="1" applyFill="1" applyBorder="1" applyAlignment="1">
      <alignment vertical="center"/>
    </xf>
    <xf numFmtId="0" fontId="7" fillId="0" borderId="45" xfId="0" applyFont="1" applyBorder="1" applyAlignment="1">
      <alignment vertical="center"/>
    </xf>
    <xf numFmtId="14" fontId="7" fillId="0" borderId="45" xfId="0" applyNumberFormat="1" applyFont="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vertical="center"/>
    </xf>
    <xf numFmtId="0" fontId="7" fillId="0" borderId="44" xfId="0" applyFont="1" applyBorder="1" applyAlignment="1">
      <alignment horizontal="left" vertical="center"/>
    </xf>
    <xf numFmtId="0" fontId="7" fillId="0" borderId="16" xfId="0" applyFont="1" applyBorder="1" applyAlignment="1">
      <alignment vertical="center"/>
    </xf>
    <xf numFmtId="14" fontId="7" fillId="0" borderId="16" xfId="0" applyNumberFormat="1"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vertical="center"/>
    </xf>
    <xf numFmtId="0" fontId="7" fillId="0" borderId="15" xfId="0" applyFont="1" applyBorder="1" applyAlignment="1">
      <alignment vertical="center"/>
    </xf>
    <xf numFmtId="0" fontId="6" fillId="0" borderId="0" xfId="8" applyFont="1">
      <alignment vertical="center"/>
    </xf>
    <xf numFmtId="0" fontId="7" fillId="0" borderId="36" xfId="0" applyFont="1" applyBorder="1" applyAlignment="1">
      <alignment vertical="center"/>
    </xf>
    <xf numFmtId="0" fontId="7" fillId="0" borderId="37" xfId="0" applyFont="1" applyBorder="1" applyAlignment="1">
      <alignment vertical="center"/>
    </xf>
    <xf numFmtId="0" fontId="7" fillId="0" borderId="35" xfId="0" applyFont="1" applyBorder="1" applyAlignment="1">
      <alignment vertical="center"/>
    </xf>
    <xf numFmtId="0" fontId="4" fillId="0" borderId="0" xfId="6" applyFont="1" applyAlignment="1">
      <alignment vertical="top"/>
    </xf>
    <xf numFmtId="0" fontId="4" fillId="0" borderId="0" xfId="6" applyFont="1" applyAlignment="1">
      <alignment horizontal="center" vertical="center"/>
    </xf>
    <xf numFmtId="0" fontId="7" fillId="0" borderId="0" xfId="6" applyFont="1" applyAlignment="1">
      <alignment vertical="center"/>
    </xf>
    <xf numFmtId="0" fontId="8" fillId="12" borderId="31" xfId="0" applyFont="1" applyFill="1" applyBorder="1" applyAlignment="1">
      <alignment vertical="center"/>
    </xf>
    <xf numFmtId="0" fontId="8" fillId="12" borderId="29" xfId="0" applyFont="1" applyFill="1" applyBorder="1" applyAlignment="1">
      <alignment vertical="center"/>
    </xf>
    <xf numFmtId="0" fontId="8" fillId="12" borderId="32" xfId="0" applyFont="1" applyFill="1" applyBorder="1" applyAlignment="1">
      <alignment vertical="center"/>
    </xf>
    <xf numFmtId="0" fontId="8" fillId="12" borderId="29" xfId="0" applyFont="1" applyFill="1" applyBorder="1" applyAlignment="1">
      <alignment vertical="center" wrapText="1"/>
    </xf>
    <xf numFmtId="0" fontId="8" fillId="12" borderId="33" xfId="0" applyFont="1" applyFill="1" applyBorder="1" applyAlignment="1">
      <alignment vertical="center"/>
    </xf>
    <xf numFmtId="0" fontId="8" fillId="12" borderId="1" xfId="0" applyFont="1" applyFill="1" applyBorder="1" applyAlignment="1">
      <alignment vertical="center"/>
    </xf>
    <xf numFmtId="0" fontId="8" fillId="12" borderId="34" xfId="0" applyFont="1" applyFill="1" applyBorder="1" applyAlignment="1">
      <alignment vertical="center"/>
    </xf>
    <xf numFmtId="0" fontId="8" fillId="12" borderId="1" xfId="0" applyFont="1" applyFill="1" applyBorder="1" applyAlignment="1">
      <alignment vertical="center" wrapText="1"/>
    </xf>
    <xf numFmtId="0" fontId="7" fillId="0" borderId="29" xfId="0" applyFont="1" applyBorder="1" applyAlignment="1">
      <alignment vertical="center" wrapText="1"/>
    </xf>
    <xf numFmtId="0" fontId="7" fillId="0" borderId="1" xfId="0" applyFont="1" applyBorder="1" applyAlignment="1">
      <alignment vertical="center" wrapText="1"/>
    </xf>
    <xf numFmtId="0" fontId="7" fillId="0" borderId="0" xfId="0" quotePrefix="1" applyFont="1" applyAlignment="1">
      <alignment vertical="center"/>
    </xf>
    <xf numFmtId="0" fontId="7" fillId="0" borderId="0" xfId="6" applyFont="1" applyAlignment="1">
      <alignment vertical="center" wrapText="1"/>
    </xf>
    <xf numFmtId="0" fontId="7" fillId="0" borderId="54" xfId="0" applyFont="1" applyBorder="1" applyAlignment="1">
      <alignment vertical="center" shrinkToFit="1"/>
    </xf>
    <xf numFmtId="0" fontId="7" fillId="0" borderId="30" xfId="0" applyFont="1" applyBorder="1" applyAlignment="1">
      <alignment vertical="center"/>
    </xf>
    <xf numFmtId="0" fontId="7" fillId="0" borderId="10" xfId="0" applyFont="1" applyBorder="1" applyAlignment="1">
      <alignment vertical="center" shrinkToFit="1"/>
    </xf>
    <xf numFmtId="0" fontId="7" fillId="0" borderId="8" xfId="0" applyFont="1" applyBorder="1" applyAlignment="1">
      <alignment vertical="center" shrinkToFit="1"/>
    </xf>
    <xf numFmtId="49" fontId="34" fillId="13" borderId="55" xfId="0" applyNumberFormat="1" applyFont="1" applyFill="1" applyBorder="1" applyAlignment="1">
      <alignment vertical="center" shrinkToFit="1"/>
    </xf>
    <xf numFmtId="49" fontId="8" fillId="13" borderId="56" xfId="0" applyNumberFormat="1" applyFont="1" applyFill="1" applyBorder="1" applyAlignment="1">
      <alignment vertical="center"/>
    </xf>
    <xf numFmtId="49" fontId="8" fillId="13" borderId="57" xfId="0" applyNumberFormat="1" applyFont="1" applyFill="1" applyBorder="1" applyAlignment="1">
      <alignment vertical="center"/>
    </xf>
    <xf numFmtId="49" fontId="8" fillId="13" borderId="58" xfId="0" applyNumberFormat="1" applyFont="1" applyFill="1" applyBorder="1" applyAlignment="1">
      <alignment vertical="center"/>
    </xf>
    <xf numFmtId="0" fontId="7" fillId="0" borderId="59" xfId="0" applyFont="1" applyBorder="1" applyAlignment="1">
      <alignment vertical="center" shrinkToFit="1"/>
    </xf>
    <xf numFmtId="49" fontId="8" fillId="14" borderId="60" xfId="0" applyNumberFormat="1" applyFont="1" applyFill="1" applyBorder="1" applyAlignment="1">
      <alignment vertical="center"/>
    </xf>
    <xf numFmtId="49" fontId="7" fillId="14" borderId="60" xfId="0" applyNumberFormat="1" applyFont="1" applyFill="1" applyBorder="1" applyAlignment="1">
      <alignment vertical="center"/>
    </xf>
    <xf numFmtId="49" fontId="7" fillId="14" borderId="61" xfId="0" applyNumberFormat="1" applyFont="1" applyFill="1" applyBorder="1" applyAlignment="1">
      <alignment vertical="center"/>
    </xf>
    <xf numFmtId="0" fontId="7" fillId="0" borderId="62" xfId="0" applyFont="1" applyBorder="1" applyAlignment="1">
      <alignment vertical="center" shrinkToFit="1"/>
    </xf>
    <xf numFmtId="49" fontId="7" fillId="0" borderId="47" xfId="0" applyNumberFormat="1" applyFont="1" applyBorder="1" applyAlignment="1">
      <alignment horizontal="left" vertical="center"/>
    </xf>
    <xf numFmtId="49" fontId="7" fillId="0" borderId="0" xfId="0" applyNumberFormat="1" applyFont="1" applyAlignment="1">
      <alignment horizontal="left" vertical="center"/>
    </xf>
    <xf numFmtId="0" fontId="7" fillId="0" borderId="54" xfId="0" applyFont="1" applyBorder="1" applyAlignment="1">
      <alignment vertical="center"/>
    </xf>
    <xf numFmtId="0" fontId="37" fillId="0" borderId="29" xfId="0" applyFont="1" applyBorder="1" applyAlignment="1">
      <alignment vertical="center"/>
    </xf>
    <xf numFmtId="0" fontId="37" fillId="0" borderId="0" xfId="0" applyFont="1" applyAlignment="1">
      <alignment horizontal="right" vertical="center"/>
    </xf>
    <xf numFmtId="0" fontId="37" fillId="0" borderId="0" xfId="0" applyFont="1" applyAlignment="1">
      <alignment vertical="center"/>
    </xf>
    <xf numFmtId="0" fontId="37" fillId="0" borderId="1" xfId="0" applyFont="1" applyBorder="1" applyAlignment="1">
      <alignment vertical="center"/>
    </xf>
    <xf numFmtId="0" fontId="7" fillId="0" borderId="64" xfId="0" applyFont="1" applyBorder="1" applyAlignment="1">
      <alignment vertical="center"/>
    </xf>
    <xf numFmtId="0" fontId="7" fillId="0" borderId="65" xfId="0" applyFont="1" applyBorder="1" applyAlignment="1">
      <alignment vertical="center"/>
    </xf>
    <xf numFmtId="0" fontId="8" fillId="13" borderId="18" xfId="0" applyFont="1" applyFill="1" applyBorder="1" applyAlignment="1">
      <alignment vertical="center"/>
    </xf>
    <xf numFmtId="0" fontId="8" fillId="13" borderId="20" xfId="0" applyFont="1" applyFill="1" applyBorder="1" applyAlignment="1">
      <alignment vertical="center"/>
    </xf>
    <xf numFmtId="0" fontId="8" fillId="15" borderId="24" xfId="0" applyFont="1" applyFill="1" applyBorder="1" applyAlignment="1">
      <alignment vertical="center"/>
    </xf>
    <xf numFmtId="0" fontId="8" fillId="15" borderId="20" xfId="0" applyFont="1" applyFill="1" applyBorder="1" applyAlignment="1">
      <alignment vertical="center"/>
    </xf>
    <xf numFmtId="0" fontId="8" fillId="15" borderId="22" xfId="0" applyFont="1" applyFill="1" applyBorder="1" applyAlignment="1">
      <alignment vertical="center"/>
    </xf>
    <xf numFmtId="0" fontId="8" fillId="13" borderId="19" xfId="0" applyFont="1" applyFill="1" applyBorder="1" applyAlignment="1">
      <alignment horizontal="left" vertical="center"/>
    </xf>
    <xf numFmtId="0" fontId="8" fillId="13" borderId="20" xfId="0" applyFont="1" applyFill="1" applyBorder="1" applyAlignment="1">
      <alignment horizontal="left" vertical="center"/>
    </xf>
    <xf numFmtId="0" fontId="8" fillId="13" borderId="22" xfId="0" applyFont="1" applyFill="1" applyBorder="1" applyAlignment="1">
      <alignment horizontal="left" vertical="center"/>
    </xf>
    <xf numFmtId="0" fontId="8" fillId="0" borderId="20" xfId="0" applyFont="1" applyBorder="1" applyAlignment="1">
      <alignment horizontal="left" vertical="center"/>
    </xf>
    <xf numFmtId="0" fontId="8" fillId="0" borderId="20" xfId="0" applyFont="1" applyBorder="1" applyAlignment="1">
      <alignment vertical="center"/>
    </xf>
    <xf numFmtId="0" fontId="8" fillId="13" borderId="24" xfId="0" applyFont="1" applyFill="1" applyBorder="1" applyAlignment="1">
      <alignment horizontal="left" vertical="center"/>
    </xf>
    <xf numFmtId="0" fontId="8" fillId="0" borderId="21" xfId="0" applyFont="1" applyBorder="1" applyAlignment="1">
      <alignment horizontal="left" vertical="center"/>
    </xf>
    <xf numFmtId="0" fontId="8" fillId="13" borderId="66" xfId="0" applyFont="1" applyFill="1" applyBorder="1" applyAlignment="1">
      <alignment horizontal="left" vertical="center"/>
    </xf>
    <xf numFmtId="0" fontId="8" fillId="13" borderId="1" xfId="0" applyFont="1" applyFill="1" applyBorder="1" applyAlignment="1">
      <alignment horizontal="left" vertical="center"/>
    </xf>
    <xf numFmtId="0" fontId="8" fillId="13" borderId="1" xfId="0" applyFont="1" applyFill="1" applyBorder="1" applyAlignment="1">
      <alignment vertical="center"/>
    </xf>
    <xf numFmtId="0" fontId="8" fillId="15" borderId="33" xfId="0" applyFont="1" applyFill="1" applyBorder="1" applyAlignment="1">
      <alignment vertical="center"/>
    </xf>
    <xf numFmtId="0" fontId="8" fillId="15" borderId="1" xfId="0" applyFont="1" applyFill="1" applyBorder="1" applyAlignment="1">
      <alignment vertical="center"/>
    </xf>
    <xf numFmtId="0" fontId="8" fillId="0" borderId="3" xfId="0" applyFont="1" applyBorder="1" applyAlignment="1">
      <alignment horizontal="left" vertical="center"/>
    </xf>
    <xf numFmtId="0" fontId="8" fillId="0" borderId="3" xfId="0" applyFont="1" applyBorder="1" applyAlignment="1">
      <alignment vertical="center"/>
    </xf>
    <xf numFmtId="0" fontId="8" fillId="15" borderId="65" xfId="0" applyFont="1" applyFill="1" applyBorder="1" applyAlignment="1">
      <alignment vertical="center"/>
    </xf>
    <xf numFmtId="0" fontId="8" fillId="6" borderId="10" xfId="0" applyFont="1" applyFill="1" applyBorder="1" applyAlignment="1">
      <alignment vertical="center"/>
    </xf>
    <xf numFmtId="0" fontId="8" fillId="6" borderId="0" xfId="0" applyFont="1" applyFill="1" applyAlignment="1">
      <alignment vertical="center"/>
    </xf>
    <xf numFmtId="0" fontId="8" fillId="6" borderId="2" xfId="0" applyFont="1" applyFill="1" applyBorder="1" applyAlignment="1">
      <alignment vertical="center"/>
    </xf>
    <xf numFmtId="0" fontId="8" fillId="6" borderId="3" xfId="0" applyFont="1" applyFill="1" applyBorder="1" applyAlignment="1">
      <alignment vertical="center"/>
    </xf>
    <xf numFmtId="0" fontId="8" fillId="6" borderId="1" xfId="0" applyFont="1" applyFill="1" applyBorder="1" applyAlignment="1">
      <alignment vertical="center"/>
    </xf>
    <xf numFmtId="0" fontId="8" fillId="6" borderId="31" xfId="0" applyFont="1" applyFill="1" applyBorder="1" applyAlignment="1">
      <alignment vertical="center"/>
    </xf>
    <xf numFmtId="0" fontId="8" fillId="6" borderId="11" xfId="0" applyFont="1" applyFill="1" applyBorder="1" applyAlignment="1">
      <alignment vertical="center"/>
    </xf>
    <xf numFmtId="0" fontId="8" fillId="6" borderId="67" xfId="0" applyFont="1" applyFill="1" applyBorder="1" applyAlignment="1">
      <alignment vertical="center"/>
    </xf>
    <xf numFmtId="0" fontId="8" fillId="6" borderId="68" xfId="0" applyFont="1" applyFill="1" applyBorder="1" applyAlignment="1">
      <alignment vertical="center"/>
    </xf>
    <xf numFmtId="0" fontId="8" fillId="6" borderId="69" xfId="0" applyFont="1" applyFill="1" applyBorder="1" applyAlignment="1">
      <alignment horizontal="center" vertical="center"/>
    </xf>
    <xf numFmtId="0" fontId="8" fillId="6" borderId="70" xfId="0" applyFont="1" applyFill="1" applyBorder="1" applyAlignment="1">
      <alignment vertical="center"/>
    </xf>
    <xf numFmtId="0" fontId="8" fillId="6" borderId="71" xfId="0" applyFont="1" applyFill="1" applyBorder="1" applyAlignment="1">
      <alignment vertical="center"/>
    </xf>
    <xf numFmtId="0" fontId="8" fillId="6" borderId="72" xfId="0" applyFont="1" applyFill="1" applyBorder="1" applyAlignment="1">
      <alignment vertical="center"/>
    </xf>
    <xf numFmtId="0" fontId="8" fillId="6" borderId="69" xfId="0" applyFont="1" applyFill="1" applyBorder="1" applyAlignment="1">
      <alignment vertical="center"/>
    </xf>
    <xf numFmtId="0" fontId="8" fillId="6" borderId="73" xfId="0" applyFont="1" applyFill="1" applyBorder="1" applyAlignment="1">
      <alignment vertical="center"/>
    </xf>
    <xf numFmtId="0" fontId="7" fillId="0" borderId="76" xfId="0" applyFont="1" applyBorder="1" applyAlignment="1">
      <alignment horizontal="center" vertical="center" wrapText="1"/>
    </xf>
    <xf numFmtId="0" fontId="7" fillId="0" borderId="76" xfId="0" applyFont="1" applyBorder="1" applyAlignment="1">
      <alignment vertical="center"/>
    </xf>
    <xf numFmtId="0" fontId="7" fillId="0" borderId="77" xfId="0" applyFont="1" applyBorder="1" applyAlignment="1">
      <alignment vertical="center"/>
    </xf>
    <xf numFmtId="0" fontId="7" fillId="0" borderId="75" xfId="0" applyFont="1" applyBorder="1" applyAlignment="1">
      <alignment vertical="center"/>
    </xf>
    <xf numFmtId="0" fontId="7" fillId="0" borderId="76" xfId="0" applyFont="1" applyBorder="1" applyAlignment="1">
      <alignment horizontal="center" vertical="center"/>
    </xf>
    <xf numFmtId="0" fontId="7" fillId="0" borderId="78" xfId="0" applyFont="1" applyBorder="1" applyAlignment="1">
      <alignment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8" fillId="0" borderId="24" xfId="0" applyFont="1" applyBorder="1" applyAlignment="1">
      <alignment vertical="center"/>
    </xf>
    <xf numFmtId="0" fontId="8" fillId="0" borderId="22" xfId="0" applyFont="1" applyBorder="1" applyAlignment="1">
      <alignment vertical="center"/>
    </xf>
    <xf numFmtId="0" fontId="7" fillId="12" borderId="2" xfId="0" applyFont="1" applyFill="1" applyBorder="1" applyAlignment="1">
      <alignment vertical="center"/>
    </xf>
    <xf numFmtId="0" fontId="7" fillId="12" borderId="3" xfId="0" applyFont="1" applyFill="1" applyBorder="1" applyAlignment="1">
      <alignment vertical="center"/>
    </xf>
    <xf numFmtId="0" fontId="7" fillId="12" borderId="4" xfId="0" applyFont="1" applyFill="1" applyBorder="1" applyAlignment="1">
      <alignment vertical="center"/>
    </xf>
    <xf numFmtId="0" fontId="7" fillId="12" borderId="31" xfId="0" applyFont="1" applyFill="1" applyBorder="1" applyAlignment="1">
      <alignment vertical="center"/>
    </xf>
    <xf numFmtId="0" fontId="7" fillId="12" borderId="29" xfId="0" applyFont="1" applyFill="1" applyBorder="1" applyAlignment="1">
      <alignment vertical="center"/>
    </xf>
    <xf numFmtId="0" fontId="7" fillId="12" borderId="32" xfId="0" applyFont="1" applyFill="1" applyBorder="1" applyAlignment="1">
      <alignment vertical="center"/>
    </xf>
    <xf numFmtId="0" fontId="7" fillId="0" borderId="44" xfId="0" applyFont="1" applyBorder="1" applyAlignment="1">
      <alignment vertical="center"/>
    </xf>
    <xf numFmtId="0" fontId="7" fillId="0" borderId="31" xfId="0" applyFont="1" applyBorder="1" applyAlignment="1">
      <alignment horizontal="center" vertical="center" wrapText="1"/>
    </xf>
    <xf numFmtId="0" fontId="7" fillId="0" borderId="64" xfId="0" applyFont="1" applyBorder="1" applyAlignment="1">
      <alignment horizontal="right" vertical="center" wrapText="1"/>
    </xf>
    <xf numFmtId="0" fontId="7" fillId="0" borderId="34" xfId="0" applyFont="1" applyBorder="1" applyAlignment="1">
      <alignment horizontal="right" vertical="center" wrapText="1"/>
    </xf>
    <xf numFmtId="0" fontId="7" fillId="0" borderId="33" xfId="0" applyFont="1" applyBorder="1" applyAlignment="1">
      <alignment horizontal="center" vertical="center" wrapText="1"/>
    </xf>
    <xf numFmtId="0" fontId="7" fillId="0" borderId="79" xfId="0" applyFont="1" applyBorder="1" applyAlignment="1">
      <alignment horizontal="right" vertical="center" wrapText="1"/>
    </xf>
    <xf numFmtId="0" fontId="7" fillId="0" borderId="4" xfId="0" applyFont="1" applyBorder="1" applyAlignment="1">
      <alignment horizontal="right" vertical="center" wrapText="1"/>
    </xf>
    <xf numFmtId="0" fontId="7" fillId="16" borderId="3" xfId="0" applyFont="1" applyFill="1" applyBorder="1" applyAlignment="1">
      <alignment vertical="center"/>
    </xf>
    <xf numFmtId="0" fontId="7" fillId="16" borderId="4" xfId="0" applyFont="1" applyFill="1" applyBorder="1" applyAlignment="1">
      <alignment vertical="center"/>
    </xf>
    <xf numFmtId="0" fontId="7" fillId="16" borderId="2" xfId="0" applyFont="1" applyFill="1" applyBorder="1" applyAlignment="1">
      <alignment vertical="center"/>
    </xf>
    <xf numFmtId="0" fontId="7" fillId="17" borderId="2" xfId="0" applyFont="1" applyFill="1" applyBorder="1" applyAlignment="1">
      <alignment vertical="center"/>
    </xf>
    <xf numFmtId="0" fontId="7" fillId="17" borderId="3" xfId="0" applyFont="1" applyFill="1" applyBorder="1" applyAlignment="1">
      <alignment vertical="center"/>
    </xf>
    <xf numFmtId="0" fontId="7" fillId="17" borderId="4" xfId="0" applyFont="1" applyFill="1" applyBorder="1" applyAlignment="1">
      <alignment vertical="center"/>
    </xf>
    <xf numFmtId="0" fontId="9" fillId="0" borderId="36" xfId="0" applyFont="1" applyBorder="1" applyAlignment="1">
      <alignment vertical="center"/>
    </xf>
    <xf numFmtId="0" fontId="9" fillId="0" borderId="37" xfId="0" applyFont="1" applyBorder="1" applyAlignment="1">
      <alignment vertical="center"/>
    </xf>
    <xf numFmtId="0" fontId="9" fillId="0" borderId="33" xfId="0" applyFont="1" applyBorder="1" applyAlignment="1">
      <alignment vertical="center"/>
    </xf>
    <xf numFmtId="0" fontId="9" fillId="0" borderId="1" xfId="0" applyFont="1" applyBorder="1" applyAlignment="1">
      <alignment vertical="center"/>
    </xf>
    <xf numFmtId="0" fontId="9" fillId="0" borderId="34" xfId="0" applyFont="1" applyBorder="1" applyAlignment="1">
      <alignment vertical="center"/>
    </xf>
    <xf numFmtId="49" fontId="40" fillId="0" borderId="0" xfId="0" applyNumberFormat="1" applyFont="1" applyAlignment="1">
      <alignment horizontal="left" vertical="center"/>
    </xf>
    <xf numFmtId="49" fontId="7" fillId="0" borderId="0" xfId="0" applyNumberFormat="1" applyFont="1" applyAlignment="1">
      <alignment vertical="center"/>
    </xf>
    <xf numFmtId="0" fontId="41" fillId="13" borderId="82" xfId="19" applyFont="1" applyFill="1" applyBorder="1">
      <alignment vertical="center"/>
    </xf>
    <xf numFmtId="0" fontId="41" fillId="13" borderId="56" xfId="19" applyFont="1" applyFill="1" applyBorder="1">
      <alignment vertical="center"/>
    </xf>
    <xf numFmtId="0" fontId="41" fillId="13" borderId="57" xfId="19" applyFont="1" applyFill="1" applyBorder="1">
      <alignment vertical="center"/>
    </xf>
    <xf numFmtId="0" fontId="18" fillId="0" borderId="0" xfId="19">
      <alignment vertical="center"/>
    </xf>
    <xf numFmtId="49" fontId="7" fillId="0" borderId="10" xfId="0" applyNumberFormat="1" applyFont="1" applyBorder="1" applyAlignment="1">
      <alignment vertical="center"/>
    </xf>
    <xf numFmtId="0" fontId="7" fillId="0" borderId="0" xfId="0" applyFont="1" applyAlignment="1">
      <alignment horizontal="center" vertical="center"/>
    </xf>
    <xf numFmtId="0" fontId="42" fillId="0" borderId="10" xfId="19" applyFont="1" applyBorder="1" applyAlignment="1">
      <alignment horizontal="center" vertical="top"/>
    </xf>
    <xf numFmtId="0" fontId="42" fillId="0" borderId="0" xfId="19" applyFont="1" applyAlignment="1">
      <alignment horizontal="center" vertical="top"/>
    </xf>
    <xf numFmtId="0" fontId="42" fillId="0" borderId="0" xfId="20" applyFont="1" applyAlignment="1">
      <alignment vertical="top"/>
    </xf>
    <xf numFmtId="0" fontId="42" fillId="0" borderId="0" xfId="20" applyFont="1" applyAlignment="1">
      <alignment horizontal="left" vertical="top" wrapText="1"/>
    </xf>
    <xf numFmtId="0" fontId="42" fillId="0" borderId="0" xfId="19" applyFont="1" applyAlignment="1">
      <alignment vertical="top" wrapText="1"/>
    </xf>
    <xf numFmtId="0" fontId="42" fillId="0" borderId="0" xfId="19" applyFont="1" applyAlignment="1">
      <alignment vertical="top"/>
    </xf>
    <xf numFmtId="0" fontId="42" fillId="0" borderId="11" xfId="19" applyFont="1" applyBorder="1" applyAlignment="1">
      <alignment vertical="top"/>
    </xf>
    <xf numFmtId="0" fontId="7" fillId="0" borderId="31" xfId="0" applyFont="1" applyBorder="1" applyAlignment="1">
      <alignment horizontal="center" vertical="center"/>
    </xf>
    <xf numFmtId="0" fontId="7" fillId="0" borderId="63" xfId="0" applyFont="1" applyBorder="1" applyAlignment="1">
      <alignment vertical="center" shrinkToFit="1"/>
    </xf>
    <xf numFmtId="0" fontId="7" fillId="0" borderId="43" xfId="0" applyFont="1" applyBorder="1" applyAlignment="1">
      <alignment vertical="center"/>
    </xf>
    <xf numFmtId="0" fontId="7" fillId="0" borderId="42" xfId="0" applyFont="1" applyBorder="1" applyAlignment="1">
      <alignment vertical="center"/>
    </xf>
    <xf numFmtId="49" fontId="7" fillId="0" borderId="39" xfId="0" applyNumberFormat="1" applyFont="1" applyBorder="1" applyAlignment="1">
      <alignment horizontal="left" vertical="center"/>
    </xf>
    <xf numFmtId="49" fontId="7" fillId="18" borderId="2" xfId="0" applyNumberFormat="1" applyFont="1" applyFill="1" applyBorder="1" applyAlignment="1">
      <alignment vertical="center"/>
    </xf>
    <xf numFmtId="49" fontId="7" fillId="18" borderId="3" xfId="0" applyNumberFormat="1" applyFont="1" applyFill="1" applyBorder="1" applyAlignment="1">
      <alignment vertical="center"/>
    </xf>
    <xf numFmtId="49" fontId="7" fillId="19" borderId="3" xfId="0" applyNumberFormat="1" applyFont="1" applyFill="1" applyBorder="1" applyAlignment="1">
      <alignment vertical="center"/>
    </xf>
    <xf numFmtId="49" fontId="7" fillId="18" borderId="4" xfId="0" applyNumberFormat="1" applyFont="1" applyFill="1" applyBorder="1" applyAlignment="1">
      <alignment vertical="center"/>
    </xf>
    <xf numFmtId="49" fontId="7" fillId="0" borderId="2" xfId="0" applyNumberFormat="1" applyFont="1" applyBorder="1" applyAlignment="1">
      <alignment vertical="top"/>
    </xf>
    <xf numFmtId="49" fontId="7" fillId="0" borderId="3" xfId="0" applyNumberFormat="1" applyFont="1" applyBorder="1" applyAlignment="1">
      <alignment vertical="top"/>
    </xf>
    <xf numFmtId="49" fontId="7" fillId="0" borderId="4" xfId="0" applyNumberFormat="1" applyFont="1" applyBorder="1" applyAlignment="1">
      <alignment vertical="top"/>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2" xfId="0" quotePrefix="1" applyNumberFormat="1" applyFont="1" applyBorder="1" applyAlignment="1">
      <alignment vertical="top"/>
    </xf>
    <xf numFmtId="49" fontId="3" fillId="0" borderId="0" xfId="0" applyNumberFormat="1" applyFont="1" applyAlignment="1">
      <alignment horizontal="left" vertical="center"/>
    </xf>
    <xf numFmtId="0" fontId="3" fillId="0" borderId="0" xfId="0" applyFont="1" applyAlignment="1">
      <alignment vertical="center"/>
    </xf>
    <xf numFmtId="49" fontId="9" fillId="0" borderId="0" xfId="0" applyNumberFormat="1" applyFont="1" applyAlignment="1">
      <alignment horizontal="left" vertical="center"/>
    </xf>
    <xf numFmtId="0" fontId="9" fillId="0" borderId="47" xfId="0" applyFont="1" applyBorder="1" applyAlignment="1">
      <alignment vertical="center"/>
    </xf>
    <xf numFmtId="0" fontId="9" fillId="0" borderId="62" xfId="0" applyFont="1" applyBorder="1" applyAlignment="1">
      <alignment vertical="center" shrinkToFit="1"/>
    </xf>
    <xf numFmtId="0" fontId="9" fillId="0" borderId="41" xfId="0" applyFont="1" applyBorder="1" applyAlignment="1">
      <alignment vertical="center"/>
    </xf>
    <xf numFmtId="0" fontId="9" fillId="0" borderId="11" xfId="0" applyFont="1" applyBorder="1" applyAlignment="1">
      <alignment vertical="center"/>
    </xf>
    <xf numFmtId="0" fontId="9" fillId="17" borderId="0" xfId="0" quotePrefix="1" applyFont="1" applyFill="1" applyAlignment="1">
      <alignment vertical="center"/>
    </xf>
    <xf numFmtId="0" fontId="9" fillId="17" borderId="0" xfId="0" applyFont="1" applyFill="1" applyAlignment="1">
      <alignment vertical="center"/>
    </xf>
    <xf numFmtId="49" fontId="9" fillId="17" borderId="0" xfId="0" applyNumberFormat="1" applyFont="1" applyFill="1" applyAlignment="1">
      <alignment horizontal="left" vertical="center"/>
    </xf>
    <xf numFmtId="49" fontId="9" fillId="17" borderId="47" xfId="0" applyNumberFormat="1" applyFont="1" applyFill="1" applyBorder="1" applyAlignment="1">
      <alignment horizontal="left" vertical="center"/>
    </xf>
    <xf numFmtId="49" fontId="7" fillId="17" borderId="0" xfId="0" applyNumberFormat="1" applyFont="1" applyFill="1" applyAlignment="1">
      <alignment horizontal="left" vertical="center"/>
    </xf>
    <xf numFmtId="0" fontId="7" fillId="17" borderId="0" xfId="0" applyFont="1" applyFill="1" applyAlignment="1">
      <alignment vertical="center"/>
    </xf>
    <xf numFmtId="0" fontId="7" fillId="17" borderId="0" xfId="0" quotePrefix="1" applyFont="1" applyFill="1" applyAlignment="1">
      <alignment vertical="center"/>
    </xf>
    <xf numFmtId="49" fontId="7" fillId="17" borderId="0" xfId="0" applyNumberFormat="1" applyFont="1" applyFill="1" applyAlignment="1">
      <alignment vertical="center"/>
    </xf>
    <xf numFmtId="0" fontId="19" fillId="0" borderId="0" xfId="1" applyFont="1" applyAlignment="1" applyProtection="1">
      <alignment horizontal="center" vertical="center" wrapText="1"/>
      <protection locked="0"/>
    </xf>
    <xf numFmtId="0" fontId="12" fillId="0" borderId="0" xfId="1" applyAlignment="1" applyProtection="1">
      <alignment horizontal="center" vertical="center" wrapText="1"/>
      <protection locked="0"/>
    </xf>
    <xf numFmtId="0" fontId="19" fillId="0" borderId="0" xfId="1" applyFont="1" applyAlignment="1" applyProtection="1">
      <alignment horizontal="center" vertical="center"/>
      <protection locked="0"/>
    </xf>
    <xf numFmtId="0" fontId="22" fillId="0" borderId="0" xfId="1" applyFont="1" applyAlignment="1" applyProtection="1">
      <alignment horizontal="center" vertical="center"/>
      <protection locked="0"/>
    </xf>
    <xf numFmtId="177" fontId="22" fillId="0" borderId="0" xfId="1" applyNumberFormat="1" applyFont="1" applyAlignment="1" applyProtection="1">
      <alignment horizontal="center" vertical="center"/>
      <protection locked="0"/>
    </xf>
    <xf numFmtId="0" fontId="24" fillId="0" borderId="47" xfId="1" applyFont="1" applyBorder="1" applyAlignment="1" applyProtection="1">
      <alignment horizontal="center" vertical="center" wrapText="1"/>
      <protection locked="0"/>
    </xf>
    <xf numFmtId="0" fontId="24" fillId="0" borderId="0" xfId="1" applyFont="1" applyAlignment="1" applyProtection="1">
      <alignment horizontal="center" vertical="center" wrapText="1"/>
      <protection locked="0"/>
    </xf>
    <xf numFmtId="0" fontId="24" fillId="0" borderId="41" xfId="1" applyFont="1" applyBorder="1" applyAlignment="1" applyProtection="1">
      <alignment horizontal="center" vertical="center" wrapText="1"/>
      <protection locked="0"/>
    </xf>
    <xf numFmtId="0" fontId="25" fillId="0" borderId="47" xfId="1" applyFont="1" applyBorder="1" applyAlignment="1" applyProtection="1">
      <alignment horizontal="center" vertical="center"/>
      <protection locked="0"/>
    </xf>
    <xf numFmtId="0" fontId="25" fillId="0" borderId="0" xfId="1" applyFont="1" applyAlignment="1" applyProtection="1">
      <alignment horizontal="center" vertical="center"/>
      <protection locked="0"/>
    </xf>
    <xf numFmtId="0" fontId="25" fillId="0" borderId="41" xfId="1" applyFont="1" applyBorder="1" applyAlignment="1" applyProtection="1">
      <alignment horizontal="center" vertical="center"/>
      <protection locked="0"/>
    </xf>
    <xf numFmtId="0" fontId="25" fillId="0" borderId="33" xfId="1" applyFont="1" applyBorder="1" applyAlignment="1" applyProtection="1">
      <alignment horizontal="center" vertical="center"/>
      <protection locked="0"/>
    </xf>
    <xf numFmtId="0" fontId="25" fillId="0" borderId="1" xfId="1" applyFont="1" applyBorder="1" applyAlignment="1" applyProtection="1">
      <alignment horizontal="center" vertical="center"/>
      <protection locked="0"/>
    </xf>
    <xf numFmtId="0" fontId="25" fillId="0" borderId="34" xfId="1" applyFont="1" applyBorder="1" applyAlignment="1" applyProtection="1">
      <alignment horizontal="center" vertical="center"/>
      <protection locked="0"/>
    </xf>
    <xf numFmtId="0" fontId="10" fillId="9" borderId="31" xfId="1" applyFont="1" applyFill="1" applyBorder="1" applyAlignment="1" applyProtection="1">
      <alignment horizontal="left" vertical="center" indent="1"/>
      <protection locked="0"/>
    </xf>
    <xf numFmtId="0" fontId="10" fillId="9" borderId="29" xfId="1" applyFont="1" applyFill="1" applyBorder="1" applyAlignment="1" applyProtection="1">
      <alignment horizontal="left" vertical="center" indent="1"/>
      <protection locked="0"/>
    </xf>
    <xf numFmtId="0" fontId="10" fillId="9" borderId="32" xfId="1" applyFont="1" applyFill="1" applyBorder="1" applyAlignment="1" applyProtection="1">
      <alignment horizontal="left" vertical="center" indent="1"/>
      <protection locked="0"/>
    </xf>
    <xf numFmtId="0" fontId="10" fillId="9" borderId="33" xfId="1" applyFont="1" applyFill="1" applyBorder="1" applyAlignment="1" applyProtection="1">
      <alignment horizontal="left" vertical="center" indent="1"/>
      <protection locked="0"/>
    </xf>
    <xf numFmtId="0" fontId="10" fillId="9" borderId="1" xfId="1" applyFont="1" applyFill="1" applyBorder="1" applyAlignment="1" applyProtection="1">
      <alignment horizontal="left" vertical="center" indent="1"/>
      <protection locked="0"/>
    </xf>
    <xf numFmtId="0" fontId="10" fillId="9" borderId="34" xfId="1" applyFont="1" applyFill="1" applyBorder="1" applyAlignment="1" applyProtection="1">
      <alignment horizontal="left" vertical="center" indent="1"/>
      <protection locked="0"/>
    </xf>
    <xf numFmtId="0" fontId="26" fillId="0" borderId="31" xfId="1" applyFont="1" applyBorder="1" applyAlignment="1" applyProtection="1">
      <alignment horizontal="left" vertical="center" indent="1"/>
      <protection locked="0"/>
    </xf>
    <xf numFmtId="0" fontId="27" fillId="0" borderId="29" xfId="1" applyFont="1" applyBorder="1" applyAlignment="1" applyProtection="1">
      <alignment horizontal="left" vertical="center" indent="1"/>
      <protection locked="0"/>
    </xf>
    <xf numFmtId="0" fontId="27" fillId="0" borderId="32" xfId="1" applyFont="1" applyBorder="1" applyAlignment="1" applyProtection="1">
      <alignment horizontal="left" vertical="center" indent="1"/>
      <protection locked="0"/>
    </xf>
    <xf numFmtId="0" fontId="27" fillId="0" borderId="33" xfId="1" applyFont="1" applyBorder="1" applyAlignment="1" applyProtection="1">
      <alignment horizontal="left" vertical="center" indent="1"/>
      <protection locked="0"/>
    </xf>
    <xf numFmtId="0" fontId="27" fillId="0" borderId="1" xfId="1" applyFont="1" applyBorder="1" applyAlignment="1" applyProtection="1">
      <alignment horizontal="left" vertical="center" indent="1"/>
      <protection locked="0"/>
    </xf>
    <xf numFmtId="0" fontId="27" fillId="0" borderId="34" xfId="1" applyFont="1" applyBorder="1" applyAlignment="1" applyProtection="1">
      <alignment horizontal="left" vertical="center" indent="1"/>
      <protection locked="0"/>
    </xf>
    <xf numFmtId="0" fontId="26" fillId="0" borderId="29" xfId="1" applyFont="1" applyBorder="1" applyAlignment="1" applyProtection="1">
      <alignment horizontal="left" vertical="center" indent="1"/>
      <protection locked="0"/>
    </xf>
    <xf numFmtId="0" fontId="26" fillId="0" borderId="32" xfId="1" applyFont="1" applyBorder="1" applyAlignment="1" applyProtection="1">
      <alignment horizontal="left" vertical="center" indent="1"/>
      <protection locked="0"/>
    </xf>
    <xf numFmtId="0" fontId="26" fillId="0" borderId="33" xfId="1" applyFont="1" applyBorder="1" applyAlignment="1" applyProtection="1">
      <alignment horizontal="left" vertical="center" indent="1"/>
      <protection locked="0"/>
    </xf>
    <xf numFmtId="0" fontId="26" fillId="0" borderId="1" xfId="1" applyFont="1" applyBorder="1" applyAlignment="1" applyProtection="1">
      <alignment horizontal="left" vertical="center" indent="1"/>
      <protection locked="0"/>
    </xf>
    <xf numFmtId="0" fontId="26" fillId="0" borderId="34" xfId="1" applyFont="1" applyBorder="1" applyAlignment="1" applyProtection="1">
      <alignment horizontal="left" vertical="center" indent="1"/>
      <protection locked="0"/>
    </xf>
    <xf numFmtId="2" fontId="26" fillId="0" borderId="31" xfId="1" applyNumberFormat="1" applyFont="1" applyBorder="1" applyAlignment="1">
      <alignment horizontal="left" vertical="center" indent="1"/>
    </xf>
    <xf numFmtId="2" fontId="27" fillId="0" borderId="29" xfId="1" applyNumberFormat="1" applyFont="1" applyBorder="1" applyAlignment="1">
      <alignment horizontal="left" vertical="center" indent="1"/>
    </xf>
    <xf numFmtId="2" fontId="27" fillId="0" borderId="32" xfId="1" applyNumberFormat="1" applyFont="1" applyBorder="1" applyAlignment="1">
      <alignment horizontal="left" vertical="center" indent="1"/>
    </xf>
    <xf numFmtId="2" fontId="27" fillId="0" borderId="33" xfId="1" applyNumberFormat="1" applyFont="1" applyBorder="1" applyAlignment="1">
      <alignment horizontal="left" vertical="center" indent="1"/>
    </xf>
    <xf numFmtId="2" fontId="27" fillId="0" borderId="1" xfId="1" applyNumberFormat="1" applyFont="1" applyBorder="1" applyAlignment="1">
      <alignment horizontal="left" vertical="center" indent="1"/>
    </xf>
    <xf numFmtId="2" fontId="27" fillId="0" borderId="34" xfId="1" applyNumberFormat="1" applyFont="1" applyBorder="1" applyAlignment="1">
      <alignment horizontal="left" vertical="center" indent="1"/>
    </xf>
    <xf numFmtId="179" fontId="26" fillId="0" borderId="31" xfId="1" applyNumberFormat="1" applyFont="1" applyBorder="1" applyAlignment="1" applyProtection="1">
      <alignment horizontal="left" vertical="center" indent="1"/>
      <protection locked="0"/>
    </xf>
    <xf numFmtId="179" fontId="27" fillId="0" borderId="29" xfId="1" applyNumberFormat="1" applyFont="1" applyBorder="1" applyAlignment="1" applyProtection="1">
      <alignment horizontal="left" vertical="center" indent="1"/>
      <protection locked="0"/>
    </xf>
    <xf numFmtId="179" fontId="27" fillId="0" borderId="32" xfId="1" applyNumberFormat="1" applyFont="1" applyBorder="1" applyAlignment="1" applyProtection="1">
      <alignment horizontal="left" vertical="center" indent="1"/>
      <protection locked="0"/>
    </xf>
    <xf numFmtId="179" fontId="27" fillId="0" borderId="33" xfId="1" applyNumberFormat="1" applyFont="1" applyBorder="1" applyAlignment="1" applyProtection="1">
      <alignment horizontal="left" vertical="center" indent="1"/>
      <protection locked="0"/>
    </xf>
    <xf numFmtId="179" fontId="27" fillId="0" borderId="1" xfId="1" applyNumberFormat="1" applyFont="1" applyBorder="1" applyAlignment="1" applyProtection="1">
      <alignment horizontal="left" vertical="center" indent="1"/>
      <protection locked="0"/>
    </xf>
    <xf numFmtId="179" fontId="27" fillId="0" borderId="34" xfId="1" applyNumberFormat="1" applyFont="1" applyBorder="1" applyAlignment="1" applyProtection="1">
      <alignment horizontal="left" vertical="center" indent="1"/>
      <protection locked="0"/>
    </xf>
    <xf numFmtId="179" fontId="26" fillId="0" borderId="29" xfId="1" applyNumberFormat="1" applyFont="1" applyBorder="1" applyAlignment="1" applyProtection="1">
      <alignment horizontal="left" vertical="center" indent="1"/>
      <protection locked="0"/>
    </xf>
    <xf numFmtId="179" fontId="26" fillId="0" borderId="32" xfId="1" applyNumberFormat="1" applyFont="1" applyBorder="1" applyAlignment="1" applyProtection="1">
      <alignment horizontal="left" vertical="center" indent="1"/>
      <protection locked="0"/>
    </xf>
    <xf numFmtId="179" fontId="26" fillId="0" borderId="33" xfId="1" applyNumberFormat="1" applyFont="1" applyBorder="1" applyAlignment="1" applyProtection="1">
      <alignment horizontal="left" vertical="center" indent="1"/>
      <protection locked="0"/>
    </xf>
    <xf numFmtId="179" fontId="26" fillId="0" borderId="1" xfId="1" applyNumberFormat="1" applyFont="1" applyBorder="1" applyAlignment="1" applyProtection="1">
      <alignment horizontal="left" vertical="center" indent="1"/>
      <protection locked="0"/>
    </xf>
    <xf numFmtId="179" fontId="26" fillId="0" borderId="34" xfId="1" applyNumberFormat="1" applyFont="1" applyBorder="1" applyAlignment="1" applyProtection="1">
      <alignment horizontal="left" vertical="center" indent="1"/>
      <protection locked="0"/>
    </xf>
    <xf numFmtId="179" fontId="10" fillId="10" borderId="31" xfId="1" applyNumberFormat="1" applyFont="1" applyFill="1" applyBorder="1" applyAlignment="1" applyProtection="1">
      <alignment horizontal="center" vertical="center"/>
      <protection locked="0"/>
    </xf>
    <xf numFmtId="179" fontId="10" fillId="10" borderId="32" xfId="1" applyNumberFormat="1" applyFont="1" applyFill="1" applyBorder="1" applyAlignment="1" applyProtection="1">
      <alignment horizontal="center" vertical="center"/>
      <protection locked="0"/>
    </xf>
    <xf numFmtId="179" fontId="10" fillId="10" borderId="33" xfId="1" applyNumberFormat="1" applyFont="1" applyFill="1" applyBorder="1" applyAlignment="1" applyProtection="1">
      <alignment horizontal="center" vertical="center"/>
      <protection locked="0"/>
    </xf>
    <xf numFmtId="179" fontId="10" fillId="10" borderId="34" xfId="1" applyNumberFormat="1" applyFont="1" applyFill="1" applyBorder="1" applyAlignment="1" applyProtection="1">
      <alignment horizontal="center" vertical="center"/>
      <protection locked="0"/>
    </xf>
    <xf numFmtId="0" fontId="26" fillId="11" borderId="31" xfId="1" applyFont="1" applyFill="1" applyBorder="1" applyAlignment="1" applyProtection="1">
      <alignment horizontal="left" vertical="center" indent="1"/>
      <protection locked="0"/>
    </xf>
    <xf numFmtId="0" fontId="27" fillId="11" borderId="29" xfId="1" applyFont="1" applyFill="1" applyBorder="1" applyAlignment="1" applyProtection="1">
      <alignment horizontal="left" vertical="center" indent="1"/>
      <protection locked="0"/>
    </xf>
    <xf numFmtId="0" fontId="27" fillId="11" borderId="32" xfId="1" applyFont="1" applyFill="1" applyBorder="1" applyAlignment="1" applyProtection="1">
      <alignment horizontal="left" vertical="center" indent="1"/>
      <protection locked="0"/>
    </xf>
    <xf numFmtId="0" fontId="27" fillId="11" borderId="33" xfId="1" applyFont="1" applyFill="1" applyBorder="1" applyAlignment="1" applyProtection="1">
      <alignment horizontal="left" vertical="center" indent="1"/>
      <protection locked="0"/>
    </xf>
    <xf numFmtId="0" fontId="27" fillId="11" borderId="1" xfId="1" applyFont="1" applyFill="1" applyBorder="1" applyAlignment="1" applyProtection="1">
      <alignment horizontal="left" vertical="center" indent="1"/>
      <protection locked="0"/>
    </xf>
    <xf numFmtId="0" fontId="27" fillId="11" borderId="34" xfId="1" applyFont="1" applyFill="1" applyBorder="1" applyAlignment="1" applyProtection="1">
      <alignment horizontal="left" vertical="center" indent="1"/>
      <protection locked="0"/>
    </xf>
    <xf numFmtId="0" fontId="12" fillId="0" borderId="44" xfId="1" applyBorder="1" applyAlignment="1">
      <alignment horizontal="center" vertical="center"/>
    </xf>
    <xf numFmtId="0" fontId="12" fillId="0" borderId="45" xfId="1" applyBorder="1" applyAlignment="1">
      <alignment horizontal="center" vertical="center"/>
    </xf>
    <xf numFmtId="0" fontId="12" fillId="0" borderId="46" xfId="1" applyBorder="1" applyAlignment="1">
      <alignment horizontal="center" vertical="center"/>
    </xf>
    <xf numFmtId="0" fontId="12" fillId="0" borderId="15" xfId="1" applyBorder="1" applyAlignment="1">
      <alignment horizontal="center" vertical="center"/>
    </xf>
    <xf numFmtId="0" fontId="12" fillId="0" borderId="16" xfId="1" applyBorder="1" applyAlignment="1">
      <alignment horizontal="center" vertical="center"/>
    </xf>
    <xf numFmtId="0" fontId="12" fillId="0" borderId="17" xfId="1" applyBorder="1" applyAlignment="1">
      <alignment horizontal="center" vertical="center"/>
    </xf>
    <xf numFmtId="0" fontId="12" fillId="11" borderId="44" xfId="1" applyFill="1" applyBorder="1" applyAlignment="1" applyProtection="1">
      <alignment horizontal="center" vertical="center"/>
      <protection locked="0"/>
    </xf>
    <xf numFmtId="0" fontId="12" fillId="11" borderId="45" xfId="1" applyFill="1" applyBorder="1" applyAlignment="1" applyProtection="1">
      <alignment horizontal="center" vertical="center"/>
      <protection locked="0"/>
    </xf>
    <xf numFmtId="0" fontId="12" fillId="11" borderId="46" xfId="1" applyFill="1" applyBorder="1" applyAlignment="1" applyProtection="1">
      <alignment horizontal="center" vertical="center"/>
      <protection locked="0"/>
    </xf>
    <xf numFmtId="0" fontId="12" fillId="11" borderId="15" xfId="1" applyFill="1" applyBorder="1" applyAlignment="1" applyProtection="1">
      <alignment horizontal="center" vertical="center"/>
      <protection locked="0"/>
    </xf>
    <xf numFmtId="0" fontId="12" fillId="11" borderId="16" xfId="1" applyFill="1" applyBorder="1" applyAlignment="1" applyProtection="1">
      <alignment horizontal="center" vertical="center"/>
      <protection locked="0"/>
    </xf>
    <xf numFmtId="0" fontId="12" fillId="11" borderId="17" xfId="1" applyFill="1" applyBorder="1" applyAlignment="1" applyProtection="1">
      <alignment horizontal="center" vertical="center"/>
      <protection locked="0"/>
    </xf>
    <xf numFmtId="179" fontId="26" fillId="11" borderId="31" xfId="1" applyNumberFormat="1" applyFont="1" applyFill="1" applyBorder="1" applyAlignment="1" applyProtection="1">
      <alignment horizontal="left" vertical="center" indent="1"/>
      <protection locked="0"/>
    </xf>
    <xf numFmtId="179" fontId="27" fillId="11" borderId="29" xfId="1" applyNumberFormat="1" applyFont="1" applyFill="1" applyBorder="1" applyAlignment="1" applyProtection="1">
      <alignment horizontal="left" vertical="center" indent="1"/>
      <protection locked="0"/>
    </xf>
    <xf numFmtId="179" fontId="27" fillId="11" borderId="32" xfId="1" applyNumberFormat="1" applyFont="1" applyFill="1" applyBorder="1" applyAlignment="1" applyProtection="1">
      <alignment horizontal="left" vertical="center" indent="1"/>
      <protection locked="0"/>
    </xf>
    <xf numFmtId="179" fontId="27" fillId="11" borderId="33" xfId="1" applyNumberFormat="1" applyFont="1" applyFill="1" applyBorder="1" applyAlignment="1" applyProtection="1">
      <alignment horizontal="left" vertical="center" indent="1"/>
      <protection locked="0"/>
    </xf>
    <xf numFmtId="179" fontId="27" fillId="11" borderId="1" xfId="1" applyNumberFormat="1" applyFont="1" applyFill="1" applyBorder="1" applyAlignment="1" applyProtection="1">
      <alignment horizontal="left" vertical="center" indent="1"/>
      <protection locked="0"/>
    </xf>
    <xf numFmtId="179" fontId="27" fillId="11" borderId="34" xfId="1" applyNumberFormat="1" applyFont="1" applyFill="1" applyBorder="1" applyAlignment="1" applyProtection="1">
      <alignment horizontal="left" vertical="center" indent="1"/>
      <protection locked="0"/>
    </xf>
    <xf numFmtId="0" fontId="12" fillId="10" borderId="2" xfId="1" applyFill="1" applyBorder="1" applyAlignment="1" applyProtection="1">
      <alignment horizontal="center" vertical="center"/>
      <protection locked="0"/>
    </xf>
    <xf numFmtId="0" fontId="12" fillId="10" borderId="3" xfId="1" applyFill="1" applyBorder="1" applyAlignment="1" applyProtection="1">
      <alignment horizontal="center" vertical="center"/>
      <protection locked="0"/>
    </xf>
    <xf numFmtId="0" fontId="12" fillId="10" borderId="4" xfId="1" applyFill="1" applyBorder="1" applyAlignment="1" applyProtection="1">
      <alignment horizontal="center" vertical="center"/>
      <protection locked="0"/>
    </xf>
    <xf numFmtId="178" fontId="12" fillId="0" borderId="15" xfId="1" applyNumberFormat="1" applyBorder="1" applyAlignment="1">
      <alignment horizontal="center" vertical="center"/>
    </xf>
    <xf numFmtId="178" fontId="12" fillId="0" borderId="16" xfId="1" applyNumberFormat="1" applyBorder="1" applyAlignment="1">
      <alignment horizontal="center" vertical="center"/>
    </xf>
    <xf numFmtId="178" fontId="12" fillId="0" borderId="17" xfId="1" applyNumberFormat="1" applyBorder="1" applyAlignment="1">
      <alignment horizontal="center" vertical="center"/>
    </xf>
    <xf numFmtId="178" fontId="12" fillId="0" borderId="35" xfId="1" applyNumberFormat="1" applyBorder="1" applyAlignment="1">
      <alignment horizontal="center" vertical="center"/>
    </xf>
    <xf numFmtId="178" fontId="12" fillId="0" borderId="36" xfId="1" applyNumberFormat="1" applyBorder="1" applyAlignment="1">
      <alignment horizontal="center" vertical="center"/>
    </xf>
    <xf numFmtId="178" fontId="12" fillId="0" borderId="37" xfId="1" applyNumberFormat="1" applyBorder="1" applyAlignment="1">
      <alignment horizontal="center" vertical="center"/>
    </xf>
    <xf numFmtId="178" fontId="12" fillId="11" borderId="15" xfId="1" applyNumberFormat="1" applyFill="1" applyBorder="1" applyAlignment="1" applyProtection="1">
      <alignment horizontal="center" vertical="center"/>
      <protection locked="0"/>
    </xf>
    <xf numFmtId="178" fontId="12" fillId="11" borderId="16" xfId="1" applyNumberFormat="1" applyFill="1" applyBorder="1" applyAlignment="1" applyProtection="1">
      <alignment horizontal="center" vertical="center"/>
      <protection locked="0"/>
    </xf>
    <xf numFmtId="178" fontId="12" fillId="11" borderId="17" xfId="1" applyNumberFormat="1" applyFill="1" applyBorder="1" applyAlignment="1" applyProtection="1">
      <alignment horizontal="center" vertical="center"/>
      <protection locked="0"/>
    </xf>
    <xf numFmtId="178" fontId="12" fillId="11" borderId="35" xfId="1" applyNumberFormat="1" applyFill="1" applyBorder="1" applyAlignment="1" applyProtection="1">
      <alignment horizontal="center" vertical="center"/>
      <protection locked="0"/>
    </xf>
    <xf numFmtId="178" fontId="12" fillId="11" borderId="36" xfId="1" applyNumberFormat="1" applyFill="1" applyBorder="1" applyAlignment="1" applyProtection="1">
      <alignment horizontal="center" vertical="center"/>
      <protection locked="0"/>
    </xf>
    <xf numFmtId="178" fontId="12" fillId="11" borderId="37" xfId="1" applyNumberFormat="1" applyFill="1" applyBorder="1" applyAlignment="1" applyProtection="1">
      <alignment horizontal="center" vertical="center"/>
      <protection locked="0"/>
    </xf>
    <xf numFmtId="14" fontId="22" fillId="0" borderId="0" xfId="1" applyNumberFormat="1" applyFont="1" applyAlignment="1" applyProtection="1">
      <alignment horizontal="center" vertical="center"/>
      <protection locked="0"/>
    </xf>
    <xf numFmtId="0" fontId="13" fillId="0" borderId="0" xfId="0" applyFont="1" applyAlignment="1">
      <alignment horizontal="center" vertical="center"/>
    </xf>
    <xf numFmtId="0" fontId="5" fillId="3" borderId="31"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5" fillId="3" borderId="3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0" fillId="0" borderId="29"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34" xfId="0" applyBorder="1" applyAlignment="1">
      <alignment horizontal="center" vertical="center" wrapText="1"/>
    </xf>
    <xf numFmtId="14" fontId="6" fillId="0" borderId="31" xfId="0" applyNumberFormat="1" applyFont="1" applyBorder="1" applyAlignment="1">
      <alignment horizontal="center" vertical="center" wrapText="1"/>
    </xf>
    <xf numFmtId="14" fontId="6" fillId="0" borderId="29" xfId="0" applyNumberFormat="1" applyFont="1" applyBorder="1" applyAlignment="1">
      <alignment horizontal="center" vertical="center" wrapText="1"/>
    </xf>
    <xf numFmtId="14" fontId="6" fillId="0" borderId="32" xfId="0" applyNumberFormat="1" applyFont="1" applyBorder="1" applyAlignment="1">
      <alignment horizontal="center" vertical="center" wrapText="1"/>
    </xf>
    <xf numFmtId="14" fontId="6" fillId="0" borderId="33"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14" fontId="6" fillId="0" borderId="34" xfId="0" applyNumberFormat="1" applyFont="1" applyBorder="1" applyAlignment="1">
      <alignment horizontal="center" vertical="center" wrapText="1"/>
    </xf>
    <xf numFmtId="14" fontId="7" fillId="0" borderId="31" xfId="0" quotePrefix="1" applyNumberFormat="1" applyFont="1" applyBorder="1" applyAlignment="1">
      <alignment horizontal="center" vertical="center" wrapText="1" shrinkToFit="1"/>
    </xf>
    <xf numFmtId="0" fontId="0" fillId="0" borderId="29" xfId="0" applyBorder="1" applyAlignment="1">
      <alignment horizontal="center" vertical="center" wrapText="1" shrinkToFit="1"/>
    </xf>
    <xf numFmtId="0" fontId="0" fillId="0" borderId="32" xfId="0" applyBorder="1" applyAlignment="1">
      <alignment horizontal="center" vertical="center" wrapText="1" shrinkToFit="1"/>
    </xf>
    <xf numFmtId="0" fontId="0" fillId="0" borderId="33" xfId="0" applyBorder="1" applyAlignment="1">
      <alignment horizontal="center" vertical="center" wrapText="1" shrinkToFit="1"/>
    </xf>
    <xf numFmtId="0" fontId="0" fillId="0" borderId="1" xfId="0" applyBorder="1" applyAlignment="1">
      <alignment horizontal="center" vertical="center" wrapText="1" shrinkToFit="1"/>
    </xf>
    <xf numFmtId="0" fontId="0" fillId="0" borderId="34" xfId="0" applyBorder="1" applyAlignment="1">
      <alignment horizontal="center" vertical="center" wrapText="1" shrinkToFit="1"/>
    </xf>
    <xf numFmtId="0" fontId="6" fillId="0" borderId="31" xfId="0" applyFont="1" applyBorder="1" applyAlignment="1">
      <alignment horizontal="center" vertical="center"/>
    </xf>
    <xf numFmtId="0" fontId="6" fillId="0" borderId="29"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1" xfId="0" applyFont="1" applyBorder="1" applyAlignment="1">
      <alignment horizontal="center" vertical="center"/>
    </xf>
    <xf numFmtId="0" fontId="6" fillId="0" borderId="34" xfId="0" applyFont="1" applyBorder="1" applyAlignment="1">
      <alignment horizontal="center" vertical="center"/>
    </xf>
    <xf numFmtId="0" fontId="5" fillId="3" borderId="5" xfId="0" applyFont="1" applyFill="1" applyBorder="1" applyAlignment="1">
      <alignment horizontal="center" vertical="center"/>
    </xf>
    <xf numFmtId="178" fontId="6" fillId="0" borderId="5" xfId="0" applyNumberFormat="1" applyFont="1" applyBorder="1" applyAlignment="1">
      <alignment horizontal="center" vertical="center"/>
    </xf>
    <xf numFmtId="0" fontId="16"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0" xfId="0" applyFont="1" applyAlignment="1">
      <alignment horizontal="center" vertical="center" wrapText="1"/>
    </xf>
    <xf numFmtId="0" fontId="10" fillId="0" borderId="4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2" xfId="0" applyFont="1" applyBorder="1" applyAlignment="1">
      <alignment horizontal="center" vertical="center" wrapText="1"/>
    </xf>
    <xf numFmtId="0" fontId="5" fillId="3" borderId="24"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5" fillId="3" borderId="24" xfId="0" applyFont="1" applyFill="1" applyBorder="1" applyAlignment="1">
      <alignment horizontal="center" shrinkToFit="1"/>
    </xf>
    <xf numFmtId="0" fontId="0" fillId="0" borderId="20" xfId="0" applyBorder="1" applyAlignment="1">
      <alignment horizontal="center" shrinkToFit="1"/>
    </xf>
    <xf numFmtId="0" fontId="0" fillId="0" borderId="22" xfId="0" applyBorder="1" applyAlignment="1">
      <alignment horizontal="center" shrinkToFit="1"/>
    </xf>
    <xf numFmtId="0" fontId="5" fillId="3" borderId="31"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33"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34" xfId="0" applyFont="1" applyFill="1" applyBorder="1" applyAlignment="1">
      <alignment horizontal="center" vertical="center"/>
    </xf>
    <xf numFmtId="0" fontId="5" fillId="3" borderId="19" xfId="0" applyFont="1" applyFill="1" applyBorder="1" applyAlignment="1">
      <alignment horizontal="center"/>
    </xf>
    <xf numFmtId="177" fontId="6" fillId="0" borderId="31" xfId="0" quotePrefix="1" applyNumberFormat="1" applyFont="1" applyBorder="1" applyAlignment="1">
      <alignment horizontal="center" vertical="center"/>
    </xf>
    <xf numFmtId="177" fontId="6" fillId="0" borderId="29" xfId="0" quotePrefix="1" applyNumberFormat="1" applyFont="1" applyBorder="1" applyAlignment="1">
      <alignment horizontal="center" vertical="center"/>
    </xf>
    <xf numFmtId="177" fontId="6" fillId="0" borderId="32" xfId="0" quotePrefix="1" applyNumberFormat="1" applyFont="1" applyBorder="1" applyAlignment="1">
      <alignment horizontal="center" vertical="center"/>
    </xf>
    <xf numFmtId="177" fontId="6" fillId="0" borderId="33" xfId="0" quotePrefix="1" applyNumberFormat="1" applyFont="1" applyBorder="1" applyAlignment="1">
      <alignment horizontal="center" vertical="center"/>
    </xf>
    <xf numFmtId="177" fontId="6" fillId="0" borderId="1" xfId="0" quotePrefix="1" applyNumberFormat="1" applyFont="1" applyBorder="1" applyAlignment="1">
      <alignment horizontal="center" vertical="center"/>
    </xf>
    <xf numFmtId="177" fontId="6" fillId="0" borderId="34" xfId="0" quotePrefix="1" applyNumberFormat="1" applyFont="1" applyBorder="1" applyAlignment="1">
      <alignment horizontal="center" vertical="center"/>
    </xf>
    <xf numFmtId="0" fontId="15" fillId="0" borderId="0" xfId="0" applyFont="1" applyAlignment="1">
      <alignment horizontal="center" vertical="center"/>
    </xf>
    <xf numFmtId="0" fontId="6" fillId="0" borderId="24" xfId="0" applyFont="1" applyBorder="1" applyAlignment="1">
      <alignment horizontal="center" wrapText="1"/>
    </xf>
    <xf numFmtId="0" fontId="0" fillId="0" borderId="20" xfId="0" applyBorder="1" applyAlignment="1">
      <alignment horizontal="center" wrapText="1"/>
    </xf>
    <xf numFmtId="0" fontId="0" fillId="0" borderId="22" xfId="0" applyBorder="1" applyAlignment="1">
      <alignment horizontal="center" wrapText="1"/>
    </xf>
    <xf numFmtId="0" fontId="5" fillId="3" borderId="24" xfId="0" applyFont="1" applyFill="1" applyBorder="1" applyAlignment="1">
      <alignment horizontal="center" wrapText="1"/>
    </xf>
    <xf numFmtId="0" fontId="0" fillId="0" borderId="21" xfId="0" applyBorder="1" applyAlignment="1">
      <alignment horizontal="center" wrapText="1"/>
    </xf>
    <xf numFmtId="0" fontId="5" fillId="0" borderId="31" xfId="0" applyFont="1" applyBorder="1" applyAlignment="1">
      <alignment horizontal="center" vertical="center" wrapText="1"/>
    </xf>
    <xf numFmtId="0" fontId="5" fillId="3" borderId="2" xfId="0" applyFont="1" applyFill="1" applyBorder="1" applyAlignment="1">
      <alignment horizontal="center" shrinkToFit="1"/>
    </xf>
    <xf numFmtId="0" fontId="0" fillId="0" borderId="3" xfId="0" applyBorder="1" applyAlignment="1">
      <alignment horizontal="center" shrinkToFit="1"/>
    </xf>
    <xf numFmtId="0" fontId="0" fillId="0" borderId="4" xfId="0" applyBorder="1" applyAlignment="1">
      <alignment horizontal="center" shrinkToFit="1"/>
    </xf>
    <xf numFmtId="0" fontId="6" fillId="0" borderId="2"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5" fillId="3" borderId="2" xfId="0" applyFont="1" applyFill="1" applyBorder="1" applyAlignment="1">
      <alignment horizontal="center" wrapText="1"/>
    </xf>
    <xf numFmtId="0" fontId="6" fillId="0" borderId="5" xfId="0" applyFont="1" applyBorder="1" applyAlignment="1">
      <alignment horizontal="center" vertical="center"/>
    </xf>
    <xf numFmtId="0" fontId="6" fillId="0" borderId="38" xfId="0" applyFont="1" applyBorder="1" applyAlignment="1">
      <alignment horizontal="center" vertical="center"/>
    </xf>
    <xf numFmtId="0" fontId="6" fillId="0" borderId="31" xfId="0" applyFont="1" applyBorder="1" applyAlignment="1">
      <alignment horizontal="center" vertical="center" wrapText="1"/>
    </xf>
    <xf numFmtId="0" fontId="0" fillId="0" borderId="43" xfId="0" applyBorder="1" applyAlignment="1">
      <alignment horizontal="center" vertical="center" wrapText="1"/>
    </xf>
    <xf numFmtId="0" fontId="0" fillId="0" borderId="42" xfId="0" applyBorder="1" applyAlignment="1">
      <alignment horizontal="center" vertical="center" wrapText="1"/>
    </xf>
    <xf numFmtId="176" fontId="6" fillId="0" borderId="31" xfId="0" quotePrefix="1" applyNumberFormat="1" applyFont="1" applyBorder="1" applyAlignment="1">
      <alignment horizontal="center" vertical="center" wrapText="1"/>
    </xf>
    <xf numFmtId="0" fontId="0" fillId="0" borderId="30" xfId="0" applyBorder="1" applyAlignment="1">
      <alignment horizontal="center" vertical="center" wrapText="1"/>
    </xf>
    <xf numFmtId="0" fontId="0" fillId="0" borderId="9" xfId="0" applyBorder="1" applyAlignment="1">
      <alignment horizontal="center" vertical="center" wrapText="1"/>
    </xf>
    <xf numFmtId="0" fontId="8" fillId="0" borderId="43" xfId="0" applyFont="1" applyBorder="1" applyAlignment="1">
      <alignment horizontal="center" vertical="center" shrinkToFit="1"/>
    </xf>
    <xf numFmtId="0" fontId="12" fillId="0" borderId="42" xfId="0" applyFont="1" applyBorder="1" applyAlignment="1">
      <alignment horizontal="center" vertical="center" shrinkToFit="1"/>
    </xf>
    <xf numFmtId="0" fontId="5" fillId="3" borderId="28" xfId="0" applyFont="1" applyFill="1" applyBorder="1" applyAlignment="1">
      <alignment horizontal="center" shrinkToFit="1"/>
    </xf>
    <xf numFmtId="0" fontId="0" fillId="0" borderId="26" xfId="0" applyBorder="1" applyAlignment="1">
      <alignment horizontal="center" shrinkToFit="1"/>
    </xf>
    <xf numFmtId="0" fontId="0" fillId="0" borderId="25" xfId="0" applyBorder="1" applyAlignment="1">
      <alignment horizontal="center" shrinkToFit="1"/>
    </xf>
    <xf numFmtId="0" fontId="7" fillId="0" borderId="28" xfId="0" applyFont="1" applyBorder="1" applyAlignment="1">
      <alignment horizontal="center" wrapText="1"/>
    </xf>
    <xf numFmtId="0" fontId="0" fillId="0" borderId="26" xfId="0" applyBorder="1" applyAlignment="1">
      <alignment horizontal="center" wrapText="1"/>
    </xf>
    <xf numFmtId="0" fontId="7" fillId="0" borderId="26" xfId="0" quotePrefix="1" applyFont="1" applyBorder="1" applyAlignment="1">
      <alignment horizontal="left" wrapText="1"/>
    </xf>
    <xf numFmtId="0" fontId="12" fillId="0" borderId="26" xfId="0" applyFont="1" applyBorder="1" applyAlignment="1">
      <alignment horizontal="left" wrapText="1"/>
    </xf>
    <xf numFmtId="0" fontId="12" fillId="0" borderId="25" xfId="0" applyFont="1" applyBorder="1" applyAlignment="1">
      <alignment horizontal="left" wrapText="1"/>
    </xf>
    <xf numFmtId="0" fontId="6" fillId="0" borderId="3" xfId="0" applyFont="1" applyBorder="1" applyAlignment="1">
      <alignment horizontal="center" wrapText="1"/>
    </xf>
    <xf numFmtId="0" fontId="6" fillId="0" borderId="4" xfId="0" applyFont="1" applyBorder="1" applyAlignment="1">
      <alignment horizontal="center" wrapText="1"/>
    </xf>
    <xf numFmtId="176" fontId="6" fillId="0" borderId="31" xfId="0" applyNumberFormat="1" applyFont="1" applyBorder="1" applyAlignment="1">
      <alignment horizontal="center" vertical="center" wrapText="1"/>
    </xf>
    <xf numFmtId="0" fontId="5" fillId="3" borderId="24" xfId="0" applyFont="1" applyFill="1"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5" fillId="3" borderId="28" xfId="0" applyFont="1" applyFill="1" applyBorder="1" applyAlignment="1">
      <alignment horizontal="center" wrapText="1"/>
    </xf>
    <xf numFmtId="0" fontId="0" fillId="0" borderId="25" xfId="0" applyBorder="1" applyAlignment="1">
      <alignment horizontal="center" wrapText="1"/>
    </xf>
    <xf numFmtId="0" fontId="7" fillId="0" borderId="26" xfId="0" applyFont="1" applyBorder="1" applyAlignment="1">
      <alignment horizontal="center" wrapText="1"/>
    </xf>
    <xf numFmtId="0" fontId="7" fillId="0" borderId="26" xfId="0" quotePrefix="1" applyFont="1" applyBorder="1" applyAlignment="1">
      <alignment wrapText="1"/>
    </xf>
    <xf numFmtId="0" fontId="12" fillId="0" borderId="26" xfId="0" applyFont="1" applyBorder="1" applyAlignment="1">
      <alignment wrapText="1"/>
    </xf>
    <xf numFmtId="0" fontId="12" fillId="0" borderId="25" xfId="0" applyFont="1" applyBorder="1" applyAlignment="1">
      <alignment wrapText="1"/>
    </xf>
    <xf numFmtId="0" fontId="16" fillId="0" borderId="6" xfId="3" applyFont="1" applyBorder="1" applyAlignment="1">
      <alignment horizontal="center" vertical="center" wrapText="1"/>
    </xf>
    <xf numFmtId="0" fontId="10" fillId="0" borderId="7" xfId="4" applyFont="1" applyBorder="1" applyAlignment="1">
      <alignment horizontal="center" vertical="center" wrapText="1"/>
    </xf>
    <xf numFmtId="0" fontId="10" fillId="0" borderId="40" xfId="4" applyFont="1" applyBorder="1" applyAlignment="1">
      <alignment horizontal="center" vertical="center" wrapText="1"/>
    </xf>
    <xf numFmtId="0" fontId="10" fillId="0" borderId="10" xfId="4" applyFont="1" applyBorder="1" applyAlignment="1">
      <alignment horizontal="center" vertical="center" wrapText="1"/>
    </xf>
    <xf numFmtId="0" fontId="10" fillId="0" borderId="0" xfId="4" applyFont="1" applyAlignment="1">
      <alignment horizontal="center" vertical="center" wrapText="1"/>
    </xf>
    <xf numFmtId="0" fontId="10" fillId="0" borderId="41" xfId="4" applyFont="1" applyBorder="1" applyAlignment="1">
      <alignment horizontal="center" vertical="center" wrapText="1"/>
    </xf>
    <xf numFmtId="0" fontId="10" fillId="0" borderId="8" xfId="4" applyFont="1" applyBorder="1" applyAlignment="1">
      <alignment horizontal="center" vertical="center" wrapText="1"/>
    </xf>
    <xf numFmtId="0" fontId="10" fillId="0" borderId="39" xfId="4" applyFont="1" applyBorder="1" applyAlignment="1">
      <alignment horizontal="center" vertical="center" wrapText="1"/>
    </xf>
    <xf numFmtId="0" fontId="10" fillId="0" borderId="42" xfId="4" applyFont="1" applyBorder="1" applyAlignment="1">
      <alignment horizontal="center" vertical="center" wrapText="1"/>
    </xf>
    <xf numFmtId="0" fontId="5" fillId="3" borderId="24" xfId="3" applyFont="1" applyFill="1" applyBorder="1" applyAlignment="1">
      <alignment horizontal="center" vertical="center" wrapText="1"/>
    </xf>
    <xf numFmtId="0" fontId="18" fillId="0" borderId="20" xfId="4" applyBorder="1" applyAlignment="1">
      <alignment horizontal="center" vertical="center" wrapText="1"/>
    </xf>
    <xf numFmtId="0" fontId="18" fillId="0" borderId="22" xfId="4" applyBorder="1" applyAlignment="1">
      <alignment horizontal="center" vertical="center" wrapText="1"/>
    </xf>
    <xf numFmtId="0" fontId="5" fillId="3" borderId="24" xfId="3" applyFont="1" applyFill="1" applyBorder="1" applyAlignment="1">
      <alignment horizontal="center" shrinkToFit="1"/>
    </xf>
    <xf numFmtId="0" fontId="18" fillId="0" borderId="20" xfId="4" applyBorder="1" applyAlignment="1">
      <alignment horizontal="center" shrinkToFit="1"/>
    </xf>
    <xf numFmtId="0" fontId="18" fillId="0" borderId="22" xfId="4" applyBorder="1" applyAlignment="1">
      <alignment horizontal="center" shrinkToFit="1"/>
    </xf>
    <xf numFmtId="0" fontId="6" fillId="0" borderId="24" xfId="3" applyFont="1" applyBorder="1" applyAlignment="1">
      <alignment horizontal="center" wrapText="1"/>
    </xf>
    <xf numFmtId="0" fontId="6" fillId="0" borderId="20" xfId="3" applyFont="1" applyBorder="1" applyAlignment="1">
      <alignment horizontal="center" wrapText="1"/>
    </xf>
    <xf numFmtId="0" fontId="6" fillId="0" borderId="22" xfId="3" applyFont="1" applyBorder="1" applyAlignment="1">
      <alignment horizontal="center" wrapText="1"/>
    </xf>
    <xf numFmtId="0" fontId="5" fillId="3" borderId="24" xfId="3" applyFont="1" applyFill="1" applyBorder="1" applyAlignment="1">
      <alignment horizontal="center" wrapText="1"/>
    </xf>
    <xf numFmtId="0" fontId="18" fillId="0" borderId="20" xfId="4" applyBorder="1" applyAlignment="1">
      <alignment horizontal="center" wrapText="1"/>
    </xf>
    <xf numFmtId="0" fontId="18" fillId="0" borderId="22" xfId="4" applyBorder="1" applyAlignment="1">
      <alignment horizontal="center" wrapText="1"/>
    </xf>
    <xf numFmtId="0" fontId="7" fillId="0" borderId="26" xfId="3" quotePrefix="1" applyFont="1" applyBorder="1" applyAlignment="1">
      <alignment horizontal="left" wrapText="1"/>
    </xf>
    <xf numFmtId="0" fontId="12" fillId="0" borderId="26" xfId="4" applyFont="1" applyBorder="1" applyAlignment="1">
      <alignment horizontal="left" wrapText="1"/>
    </xf>
    <xf numFmtId="0" fontId="12" fillId="0" borderId="25" xfId="4" applyFont="1" applyBorder="1" applyAlignment="1">
      <alignment horizontal="left" wrapText="1"/>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19" xfId="5" applyFont="1" applyFill="1" applyBorder="1" applyAlignment="1">
      <alignment horizontal="center"/>
    </xf>
    <xf numFmtId="0" fontId="5" fillId="3" borderId="24" xfId="5" applyFont="1" applyFill="1" applyBorder="1" applyAlignment="1">
      <alignment horizontal="center" wrapText="1"/>
    </xf>
    <xf numFmtId="0" fontId="18" fillId="0" borderId="21" xfId="4" applyBorder="1" applyAlignment="1">
      <alignment horizontal="center" wrapText="1"/>
    </xf>
    <xf numFmtId="0" fontId="5" fillId="0" borderId="31" xfId="3" applyFont="1" applyBorder="1" applyAlignment="1">
      <alignment horizontal="center" vertical="center" wrapText="1"/>
    </xf>
    <xf numFmtId="0" fontId="18" fillId="0" borderId="29" xfId="4" applyBorder="1" applyAlignment="1">
      <alignment horizontal="center" vertical="center" wrapText="1"/>
    </xf>
    <xf numFmtId="0" fontId="18" fillId="0" borderId="32" xfId="4" applyBorder="1" applyAlignment="1">
      <alignment horizontal="center" vertical="center" wrapText="1"/>
    </xf>
    <xf numFmtId="0" fontId="5" fillId="3" borderId="2" xfId="3" applyFont="1" applyFill="1" applyBorder="1" applyAlignment="1">
      <alignment horizontal="center" shrinkToFit="1"/>
    </xf>
    <xf numFmtId="0" fontId="18" fillId="0" borderId="3" xfId="4" applyBorder="1" applyAlignment="1">
      <alignment horizontal="center" shrinkToFit="1"/>
    </xf>
    <xf numFmtId="0" fontId="18" fillId="0" borderId="4" xfId="4" applyBorder="1" applyAlignment="1">
      <alignment horizontal="center" shrinkToFit="1"/>
    </xf>
    <xf numFmtId="0" fontId="6" fillId="0" borderId="2" xfId="3" applyFont="1" applyBorder="1" applyAlignment="1">
      <alignment horizontal="center" wrapText="1"/>
    </xf>
    <xf numFmtId="0" fontId="6" fillId="0" borderId="3" xfId="3" applyFont="1" applyBorder="1" applyAlignment="1">
      <alignment horizontal="center" wrapText="1"/>
    </xf>
    <xf numFmtId="0" fontId="6" fillId="0" borderId="4" xfId="3" applyFont="1" applyBorder="1" applyAlignment="1">
      <alignment horizontal="center" wrapText="1"/>
    </xf>
    <xf numFmtId="0" fontId="5" fillId="3" borderId="2" xfId="3" applyFont="1" applyFill="1" applyBorder="1" applyAlignment="1">
      <alignment horizontal="center" wrapText="1"/>
    </xf>
    <xf numFmtId="0" fontId="18" fillId="0" borderId="3" xfId="4" applyBorder="1" applyAlignment="1">
      <alignment horizontal="center" wrapText="1"/>
    </xf>
    <xf numFmtId="0" fontId="18" fillId="0" borderId="4" xfId="4" applyBorder="1" applyAlignment="1">
      <alignment horizontal="center" wrapText="1"/>
    </xf>
    <xf numFmtId="0" fontId="6" fillId="0" borderId="2" xfId="4" applyFont="1" applyBorder="1" applyAlignment="1">
      <alignment horizontal="center" wrapText="1"/>
    </xf>
    <xf numFmtId="0" fontId="6" fillId="0" borderId="3" xfId="4" applyFont="1" applyBorder="1" applyAlignment="1">
      <alignment horizontal="center" wrapText="1"/>
    </xf>
    <xf numFmtId="0" fontId="6" fillId="0" borderId="4" xfId="4" applyFont="1" applyBorder="1" applyAlignment="1">
      <alignment horizontal="center" wrapText="1"/>
    </xf>
    <xf numFmtId="0" fontId="6" fillId="0" borderId="5" xfId="5" applyFont="1" applyBorder="1" applyAlignment="1">
      <alignment horizontal="center" vertical="center"/>
    </xf>
    <xf numFmtId="0" fontId="6" fillId="0" borderId="38" xfId="5" applyFont="1" applyBorder="1" applyAlignment="1">
      <alignment horizontal="center" vertical="center"/>
    </xf>
    <xf numFmtId="0" fontId="6" fillId="0" borderId="31" xfId="5" applyFont="1" applyBorder="1" applyAlignment="1">
      <alignment horizontal="center" vertical="center" wrapText="1"/>
    </xf>
    <xf numFmtId="0" fontId="18" fillId="0" borderId="43" xfId="4" applyBorder="1" applyAlignment="1">
      <alignment horizontal="center" vertical="center" wrapText="1"/>
    </xf>
    <xf numFmtId="0" fontId="18" fillId="0" borderId="39" xfId="4" applyBorder="1" applyAlignment="1">
      <alignment horizontal="center" vertical="center" wrapText="1"/>
    </xf>
    <xf numFmtId="0" fontId="18" fillId="0" borderId="42" xfId="4" applyBorder="1" applyAlignment="1">
      <alignment horizontal="center" vertical="center" wrapText="1"/>
    </xf>
    <xf numFmtId="0" fontId="6" fillId="0" borderId="24" xfId="3" applyFont="1" applyBorder="1" applyAlignment="1">
      <alignment horizontal="center" shrinkToFit="1"/>
    </xf>
    <xf numFmtId="2" fontId="6" fillId="0" borderId="31" xfId="5" applyNumberFormat="1" applyFont="1" applyBorder="1" applyAlignment="1">
      <alignment horizontal="center" vertical="center" wrapText="1"/>
    </xf>
    <xf numFmtId="2" fontId="18" fillId="0" borderId="29" xfId="4" applyNumberFormat="1" applyBorder="1" applyAlignment="1">
      <alignment horizontal="center" vertical="center" wrapText="1"/>
    </xf>
    <xf numFmtId="2" fontId="18" fillId="0" borderId="30" xfId="4" applyNumberFormat="1" applyBorder="1" applyAlignment="1">
      <alignment horizontal="center" vertical="center" wrapText="1"/>
    </xf>
    <xf numFmtId="2" fontId="18" fillId="0" borderId="43" xfId="4" applyNumberFormat="1" applyBorder="1" applyAlignment="1">
      <alignment horizontal="center" vertical="center" wrapText="1"/>
    </xf>
    <xf numFmtId="2" fontId="18" fillId="0" borderId="39" xfId="4" applyNumberFormat="1" applyBorder="1" applyAlignment="1">
      <alignment horizontal="center" vertical="center" wrapText="1"/>
    </xf>
    <xf numFmtId="2" fontId="18" fillId="0" borderId="9" xfId="4" applyNumberFormat="1" applyBorder="1" applyAlignment="1">
      <alignment horizontal="center" vertical="center" wrapText="1"/>
    </xf>
    <xf numFmtId="0" fontId="8" fillId="0" borderId="43" xfId="3" applyFont="1" applyBorder="1" applyAlignment="1">
      <alignment horizontal="center" vertical="center" shrinkToFit="1"/>
    </xf>
    <xf numFmtId="0" fontId="12" fillId="0" borderId="39" xfId="4" applyFont="1" applyBorder="1" applyAlignment="1">
      <alignment horizontal="center" vertical="center" shrinkToFit="1"/>
    </xf>
    <xf numFmtId="0" fontId="12" fillId="0" borderId="42" xfId="4" applyFont="1" applyBorder="1" applyAlignment="1">
      <alignment horizontal="center" vertical="center" shrinkToFit="1"/>
    </xf>
    <xf numFmtId="0" fontId="5" fillId="3" borderId="28" xfId="3" applyFont="1" applyFill="1" applyBorder="1" applyAlignment="1">
      <alignment horizontal="center" shrinkToFit="1"/>
    </xf>
    <xf numFmtId="0" fontId="18" fillId="0" borderId="26" xfId="4" applyBorder="1" applyAlignment="1">
      <alignment horizontal="center" shrinkToFit="1"/>
    </xf>
    <xf numFmtId="0" fontId="18" fillId="0" borderId="25" xfId="4" applyBorder="1" applyAlignment="1">
      <alignment horizontal="center" shrinkToFit="1"/>
    </xf>
    <xf numFmtId="0" fontId="7" fillId="0" borderId="28" xfId="3" applyFont="1" applyBorder="1" applyAlignment="1">
      <alignment horizontal="center" wrapText="1"/>
    </xf>
    <xf numFmtId="0" fontId="7" fillId="0" borderId="26" xfId="3" applyFont="1" applyBorder="1" applyAlignment="1">
      <alignment horizontal="center" wrapText="1"/>
    </xf>
    <xf numFmtId="49" fontId="7" fillId="0" borderId="44" xfId="0" quotePrefix="1" applyNumberFormat="1" applyFont="1" applyBorder="1" applyAlignment="1">
      <alignment horizontal="left" vertical="center"/>
    </xf>
    <xf numFmtId="49" fontId="7" fillId="0" borderId="45" xfId="0" quotePrefix="1" applyNumberFormat="1" applyFont="1" applyBorder="1" applyAlignment="1">
      <alignment horizontal="left" vertical="center"/>
    </xf>
    <xf numFmtId="49" fontId="7" fillId="0" borderId="46" xfId="0" quotePrefix="1" applyNumberFormat="1" applyFont="1" applyBorder="1" applyAlignment="1">
      <alignment horizontal="left" vertical="center"/>
    </xf>
    <xf numFmtId="14" fontId="7" fillId="0" borderId="44" xfId="0" applyNumberFormat="1" applyFont="1" applyBorder="1" applyAlignment="1">
      <alignment horizontal="center" vertical="center"/>
    </xf>
    <xf numFmtId="14" fontId="7" fillId="0" borderId="45" xfId="0" applyNumberFormat="1" applyFont="1" applyBorder="1" applyAlignment="1">
      <alignment horizontal="center" vertical="center"/>
    </xf>
    <xf numFmtId="14" fontId="7" fillId="0" borderId="46" xfId="0" applyNumberFormat="1" applyFont="1" applyBorder="1" applyAlignment="1">
      <alignment horizontal="center" vertical="center"/>
    </xf>
    <xf numFmtId="0" fontId="7" fillId="0" borderId="44" xfId="0" applyFont="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horizontal="center" vertical="center"/>
    </xf>
    <xf numFmtId="49" fontId="7" fillId="0" borderId="15" xfId="0" quotePrefix="1" applyNumberFormat="1" applyFont="1" applyBorder="1" applyAlignment="1">
      <alignment horizontal="left" vertical="center"/>
    </xf>
    <xf numFmtId="49" fontId="7" fillId="0" borderId="16" xfId="0" quotePrefix="1" applyNumberFormat="1" applyFont="1" applyBorder="1" applyAlignment="1">
      <alignment horizontal="left" vertical="center"/>
    </xf>
    <xf numFmtId="49" fontId="7" fillId="0" borderId="17" xfId="0" quotePrefix="1" applyNumberFormat="1" applyFont="1" applyBorder="1" applyAlignment="1">
      <alignment horizontal="left" vertical="center"/>
    </xf>
    <xf numFmtId="14" fontId="7" fillId="0" borderId="15" xfId="0" applyNumberFormat="1" applyFont="1" applyBorder="1" applyAlignment="1">
      <alignment horizontal="center" vertical="center"/>
    </xf>
    <xf numFmtId="14" fontId="7" fillId="0" borderId="16" xfId="0" applyNumberFormat="1" applyFont="1" applyBorder="1" applyAlignment="1">
      <alignment horizontal="center" vertical="center"/>
    </xf>
    <xf numFmtId="14" fontId="7" fillId="0" borderId="17" xfId="0" applyNumberFormat="1"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49" fontId="7" fillId="0" borderId="35" xfId="0" quotePrefix="1" applyNumberFormat="1" applyFont="1" applyBorder="1" applyAlignment="1">
      <alignment horizontal="left" vertical="center"/>
    </xf>
    <xf numFmtId="49" fontId="7" fillId="0" borderId="36" xfId="0" quotePrefix="1" applyNumberFormat="1" applyFont="1" applyBorder="1" applyAlignment="1">
      <alignment horizontal="left" vertical="center"/>
    </xf>
    <xf numFmtId="49" fontId="7" fillId="0" borderId="37" xfId="0" quotePrefix="1" applyNumberFormat="1" applyFont="1" applyBorder="1" applyAlignment="1">
      <alignment horizontal="left" vertical="center"/>
    </xf>
    <xf numFmtId="14" fontId="7" fillId="0" borderId="35" xfId="0" applyNumberFormat="1" applyFont="1" applyBorder="1" applyAlignment="1">
      <alignment horizontal="center" vertical="center"/>
    </xf>
    <xf numFmtId="14" fontId="7" fillId="0" borderId="36" xfId="0" applyNumberFormat="1" applyFont="1" applyBorder="1" applyAlignment="1">
      <alignment horizontal="center" vertical="center"/>
    </xf>
    <xf numFmtId="14" fontId="7" fillId="0" borderId="37" xfId="0" applyNumberFormat="1"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37" xfId="0" applyFont="1" applyBorder="1" applyAlignment="1">
      <alignment horizontal="center" vertical="center"/>
    </xf>
    <xf numFmtId="0" fontId="10" fillId="0" borderId="39" xfId="0" applyFont="1" applyBorder="1" applyAlignment="1">
      <alignment horizontal="center" vertical="center" wrapText="1"/>
    </xf>
    <xf numFmtId="0" fontId="6" fillId="0" borderId="20" xfId="0" applyFont="1" applyBorder="1" applyAlignment="1">
      <alignment horizontal="center" wrapText="1"/>
    </xf>
    <xf numFmtId="0" fontId="6" fillId="0" borderId="22" xfId="0" applyFont="1" applyBorder="1" applyAlignment="1">
      <alignment horizontal="center" wrapText="1"/>
    </xf>
    <xf numFmtId="0" fontId="0" fillId="0" borderId="39" xfId="0" applyBorder="1" applyAlignment="1">
      <alignment horizontal="center" vertical="center" wrapText="1"/>
    </xf>
    <xf numFmtId="0" fontId="6" fillId="0" borderId="24" xfId="0" applyFont="1" applyBorder="1" applyAlignment="1">
      <alignment horizontal="center" shrinkToFit="1"/>
    </xf>
    <xf numFmtId="0" fontId="12" fillId="0" borderId="39" xfId="0" applyFont="1" applyBorder="1" applyAlignment="1">
      <alignment horizontal="center" vertical="center" shrinkToFit="1"/>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0" borderId="15" xfId="0" applyFont="1" applyBorder="1" applyAlignment="1">
      <alignment horizontal="center" vertical="center" readingOrder="1"/>
    </xf>
    <xf numFmtId="0" fontId="6" fillId="0" borderId="16" xfId="0" applyFont="1" applyBorder="1" applyAlignment="1">
      <alignment horizontal="center" vertical="center" readingOrder="1"/>
    </xf>
    <xf numFmtId="0" fontId="6" fillId="0" borderId="17" xfId="0" applyFont="1" applyBorder="1" applyAlignment="1">
      <alignment horizontal="center" vertical="center" readingOrder="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14" fontId="6" fillId="0" borderId="44" xfId="0" applyNumberFormat="1" applyFont="1" applyBorder="1" applyAlignment="1">
      <alignment horizontal="center"/>
    </xf>
    <xf numFmtId="0" fontId="6" fillId="0" borderId="45" xfId="0" applyFont="1" applyBorder="1" applyAlignment="1">
      <alignment horizontal="center"/>
    </xf>
    <xf numFmtId="0" fontId="6" fillId="0" borderId="46" xfId="0" applyFont="1" applyBorder="1" applyAlignment="1">
      <alignment horizontal="center"/>
    </xf>
    <xf numFmtId="0" fontId="6" fillId="0" borderId="35" xfId="0" applyFont="1" applyBorder="1" applyAlignment="1">
      <alignment horizontal="center"/>
    </xf>
    <xf numFmtId="0" fontId="6" fillId="0" borderId="36" xfId="0" applyFont="1" applyBorder="1" applyAlignment="1">
      <alignment horizontal="center"/>
    </xf>
    <xf numFmtId="0" fontId="6" fillId="0" borderId="37" xfId="0" applyFont="1" applyBorder="1" applyAlignment="1">
      <alignment horizontal="center"/>
    </xf>
    <xf numFmtId="49" fontId="7" fillId="0" borderId="2" xfId="0" applyNumberFormat="1" applyFont="1" applyBorder="1" applyAlignment="1">
      <alignment horizontal="left" vertical="center" wrapText="1"/>
    </xf>
    <xf numFmtId="49" fontId="7" fillId="0" borderId="3" xfId="0" applyNumberFormat="1" applyFont="1" applyBorder="1" applyAlignment="1">
      <alignment horizontal="left" vertical="center" wrapText="1"/>
    </xf>
    <xf numFmtId="49" fontId="7" fillId="0" borderId="4" xfId="0" applyNumberFormat="1" applyFont="1" applyBorder="1" applyAlignment="1">
      <alignment horizontal="left" vertical="center" wrapText="1"/>
    </xf>
    <xf numFmtId="2" fontId="6" fillId="0" borderId="31" xfId="0" applyNumberFormat="1" applyFont="1" applyBorder="1" applyAlignment="1">
      <alignment horizontal="center" vertical="center" wrapText="1"/>
    </xf>
    <xf numFmtId="2" fontId="0" fillId="0" borderId="29" xfId="0" applyNumberFormat="1" applyBorder="1" applyAlignment="1">
      <alignment horizontal="center" vertical="center" wrapText="1"/>
    </xf>
    <xf numFmtId="2" fontId="0" fillId="0" borderId="30" xfId="0" applyNumberFormat="1" applyBorder="1" applyAlignment="1">
      <alignment horizontal="center" vertical="center" wrapText="1"/>
    </xf>
    <xf numFmtId="2" fontId="0" fillId="0" borderId="43" xfId="0" applyNumberFormat="1" applyBorder="1" applyAlignment="1">
      <alignment horizontal="center" vertical="center" wrapText="1"/>
    </xf>
    <xf numFmtId="2" fontId="0" fillId="0" borderId="9" xfId="0" applyNumberFormat="1" applyBorder="1" applyAlignment="1">
      <alignment horizontal="center" vertical="center" wrapText="1"/>
    </xf>
    <xf numFmtId="0" fontId="7" fillId="0" borderId="31" xfId="0" applyFont="1" applyBorder="1" applyAlignment="1">
      <alignment horizontal="right" vertical="center"/>
    </xf>
    <xf numFmtId="0" fontId="7" fillId="0" borderId="29" xfId="0" applyFont="1" applyBorder="1" applyAlignment="1">
      <alignment horizontal="right" vertical="center"/>
    </xf>
    <xf numFmtId="0" fontId="7" fillId="0" borderId="32" xfId="0" applyFont="1" applyBorder="1" applyAlignment="1">
      <alignment horizontal="right" vertical="center"/>
    </xf>
    <xf numFmtId="0" fontId="3" fillId="0" borderId="28" xfId="0" applyFont="1" applyBorder="1" applyAlignment="1">
      <alignment horizontal="center" wrapText="1"/>
    </xf>
    <xf numFmtId="0" fontId="30" fillId="0" borderId="26" xfId="0" applyFont="1" applyBorder="1" applyAlignment="1">
      <alignment horizontal="center" wrapText="1"/>
    </xf>
    <xf numFmtId="49" fontId="7" fillId="0" borderId="2" xfId="0" applyNumberFormat="1"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7" fillId="0" borderId="79" xfId="0" applyFont="1" applyBorder="1" applyAlignment="1">
      <alignment horizontal="right" vertical="center" wrapText="1"/>
    </xf>
    <xf numFmtId="0" fontId="7" fillId="0" borderId="4" xfId="0" applyFont="1" applyBorder="1" applyAlignment="1">
      <alignment horizontal="right" vertical="center" wrapText="1"/>
    </xf>
    <xf numFmtId="0" fontId="7" fillId="0" borderId="2" xfId="0" applyFont="1" applyBorder="1" applyAlignment="1">
      <alignment vertical="center" wrapText="1"/>
    </xf>
    <xf numFmtId="0" fontId="0" fillId="0" borderId="3" xfId="0" applyBorder="1" applyAlignment="1">
      <alignment vertical="center" wrapText="1"/>
    </xf>
    <xf numFmtId="0" fontId="0" fillId="0" borderId="23" xfId="0" applyBorder="1" applyAlignment="1">
      <alignment vertical="center" wrapText="1"/>
    </xf>
    <xf numFmtId="0" fontId="7" fillId="0" borderId="80" xfId="0" applyFont="1" applyBorder="1" applyAlignment="1">
      <alignment horizontal="right" vertical="center" wrapText="1"/>
    </xf>
    <xf numFmtId="0" fontId="7" fillId="0" borderId="25" xfId="0" applyFont="1" applyBorder="1" applyAlignment="1">
      <alignment horizontal="right" vertical="center" wrapText="1"/>
    </xf>
    <xf numFmtId="0" fontId="7" fillId="0" borderId="74" xfId="0" applyFont="1" applyBorder="1" applyAlignment="1">
      <alignment horizontal="right" vertical="center" wrapText="1"/>
    </xf>
    <xf numFmtId="0" fontId="7" fillId="0" borderId="75" xfId="0" applyFont="1" applyBorder="1" applyAlignment="1">
      <alignment horizontal="right" vertical="center" wrapText="1"/>
    </xf>
    <xf numFmtId="0" fontId="7" fillId="0" borderId="54" xfId="0" applyFont="1" applyBorder="1" applyAlignment="1">
      <alignment horizontal="right" vertical="center" wrapText="1"/>
    </xf>
    <xf numFmtId="0" fontId="7" fillId="0" borderId="32" xfId="0" applyFont="1" applyBorder="1" applyAlignment="1">
      <alignment horizontal="right" vertical="center" wrapText="1"/>
    </xf>
    <xf numFmtId="0" fontId="7" fillId="0" borderId="89" xfId="0"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0" fontId="42" fillId="0" borderId="5" xfId="19" applyFont="1" applyBorder="1" applyAlignment="1">
      <alignment vertical="top"/>
    </xf>
    <xf numFmtId="0" fontId="42" fillId="0" borderId="88" xfId="19" applyFont="1" applyBorder="1" applyAlignment="1">
      <alignment vertical="top"/>
    </xf>
    <xf numFmtId="0" fontId="42" fillId="0" borderId="85" xfId="20" applyFont="1" applyBorder="1" applyAlignment="1">
      <alignment horizontal="center" vertical="top"/>
    </xf>
    <xf numFmtId="0" fontId="42" fillId="0" borderId="86" xfId="20" applyFont="1" applyBorder="1" applyAlignment="1">
      <alignment horizontal="center" vertical="top"/>
    </xf>
    <xf numFmtId="0" fontId="42" fillId="0" borderId="86" xfId="20" applyFont="1" applyBorder="1" applyAlignment="1">
      <alignment vertical="top"/>
    </xf>
    <xf numFmtId="0" fontId="42" fillId="0" borderId="76" xfId="20" applyFont="1" applyBorder="1" applyAlignment="1">
      <alignment horizontal="left" vertical="top" wrapText="1"/>
    </xf>
    <xf numFmtId="0" fontId="42" fillId="0" borderId="77" xfId="20" applyFont="1" applyBorder="1" applyAlignment="1">
      <alignment horizontal="left" vertical="top" wrapText="1"/>
    </xf>
    <xf numFmtId="0" fontId="42" fillId="0" borderId="75" xfId="20" applyFont="1" applyBorder="1" applyAlignment="1">
      <alignment horizontal="left" vertical="top" wrapText="1"/>
    </xf>
    <xf numFmtId="0" fontId="42" fillId="0" borderId="86" xfId="20" applyFont="1" applyBorder="1" applyAlignment="1">
      <alignment vertical="top" wrapText="1"/>
    </xf>
    <xf numFmtId="0" fontId="42" fillId="0" borderId="87" xfId="20" applyFont="1" applyBorder="1" applyAlignment="1">
      <alignment vertical="top"/>
    </xf>
    <xf numFmtId="0" fontId="42" fillId="0" borderId="90" xfId="19" applyFont="1" applyBorder="1" applyAlignment="1">
      <alignment horizontal="center" vertical="top"/>
    </xf>
    <xf numFmtId="0" fontId="42" fillId="0" borderId="91" xfId="19" applyFont="1" applyBorder="1" applyAlignment="1">
      <alignment horizontal="center" vertical="top"/>
    </xf>
    <xf numFmtId="0" fontId="42" fillId="0" borderId="91" xfId="20" applyFont="1" applyBorder="1" applyAlignment="1">
      <alignment vertical="top"/>
    </xf>
    <xf numFmtId="0" fontId="42" fillId="0" borderId="31" xfId="20" applyFont="1" applyBorder="1" applyAlignment="1">
      <alignment horizontal="left" vertical="top" wrapText="1"/>
    </xf>
    <xf numFmtId="0" fontId="42" fillId="0" borderId="29" xfId="20" applyFont="1" applyBorder="1" applyAlignment="1">
      <alignment horizontal="left" vertical="top" wrapText="1"/>
    </xf>
    <xf numFmtId="0" fontId="42" fillId="0" borderId="32" xfId="20" applyFont="1" applyBorder="1" applyAlignment="1">
      <alignment horizontal="left" vertical="top" wrapText="1"/>
    </xf>
    <xf numFmtId="0" fontId="42" fillId="0" borderId="91" xfId="19" applyFont="1" applyBorder="1" applyAlignment="1">
      <alignment vertical="top" wrapText="1"/>
    </xf>
    <xf numFmtId="0" fontId="42" fillId="0" borderId="91" xfId="19" applyFont="1" applyBorder="1" applyAlignment="1">
      <alignment vertical="top"/>
    </xf>
    <xf numFmtId="0" fontId="41" fillId="13" borderId="81" xfId="19" applyFont="1" applyFill="1" applyBorder="1" applyAlignment="1">
      <alignment horizontal="center" vertical="center"/>
    </xf>
    <xf numFmtId="0" fontId="42" fillId="0" borderId="82" xfId="19" applyFont="1" applyBorder="1" applyAlignment="1">
      <alignment horizontal="center" vertical="center"/>
    </xf>
    <xf numFmtId="0" fontId="41" fillId="13" borderId="83" xfId="19" applyFont="1" applyFill="1" applyBorder="1" applyAlignment="1">
      <alignment horizontal="center" vertical="center"/>
    </xf>
    <xf numFmtId="0" fontId="42" fillId="0" borderId="83" xfId="19" applyFont="1" applyBorder="1" applyAlignment="1">
      <alignment horizontal="center" vertical="center"/>
    </xf>
    <xf numFmtId="0" fontId="41" fillId="13" borderId="83" xfId="19" applyFont="1" applyFill="1" applyBorder="1" applyAlignment="1">
      <alignment horizontal="left" vertical="center"/>
    </xf>
    <xf numFmtId="0" fontId="41" fillId="13" borderId="84" xfId="19" applyFont="1" applyFill="1" applyBorder="1" applyAlignment="1">
      <alignment horizontal="left" vertical="center"/>
    </xf>
    <xf numFmtId="0" fontId="42" fillId="0" borderId="79" xfId="19" applyFont="1" applyBorder="1" applyAlignment="1">
      <alignment horizontal="center" vertical="top"/>
    </xf>
    <xf numFmtId="0" fontId="42" fillId="0" borderId="4" xfId="19" applyFont="1" applyBorder="1" applyAlignment="1">
      <alignment horizontal="center" vertical="top"/>
    </xf>
    <xf numFmtId="0" fontId="42" fillId="0" borderId="2" xfId="19" applyFont="1" applyBorder="1" applyAlignment="1">
      <alignment vertical="top"/>
    </xf>
    <xf numFmtId="0" fontId="42" fillId="0" borderId="3" xfId="19" applyFont="1" applyBorder="1" applyAlignment="1">
      <alignment vertical="top"/>
    </xf>
    <xf numFmtId="0" fontId="42" fillId="0" borderId="23" xfId="19" applyFont="1" applyBorder="1" applyAlignment="1">
      <alignment vertical="top"/>
    </xf>
    <xf numFmtId="0" fontId="42" fillId="0" borderId="2" xfId="20" applyFont="1" applyBorder="1" applyAlignment="1">
      <alignment vertical="top" wrapText="1"/>
    </xf>
    <xf numFmtId="0" fontId="42" fillId="0" borderId="3" xfId="20" applyFont="1" applyBorder="1" applyAlignment="1">
      <alignment vertical="top" wrapText="1"/>
    </xf>
    <xf numFmtId="0" fontId="42" fillId="0" borderId="4" xfId="20" applyFont="1" applyBorder="1" applyAlignment="1">
      <alignment vertical="top" wrapText="1"/>
    </xf>
    <xf numFmtId="0" fontId="42" fillId="0" borderId="2" xfId="20" applyFont="1" applyBorder="1" applyAlignment="1">
      <alignment horizontal="left" vertical="top" wrapText="1"/>
    </xf>
    <xf numFmtId="0" fontId="42" fillId="0" borderId="3" xfId="20" applyFont="1" applyBorder="1" applyAlignment="1">
      <alignment horizontal="left" vertical="top" wrapText="1"/>
    </xf>
    <xf numFmtId="0" fontId="42" fillId="0" borderId="4" xfId="20" applyFont="1" applyBorder="1" applyAlignment="1">
      <alignment horizontal="left" vertical="top" wrapText="1"/>
    </xf>
    <xf numFmtId="0" fontId="42" fillId="0" borderId="2" xfId="20" applyFont="1" applyBorder="1" applyAlignment="1">
      <alignment vertical="top"/>
    </xf>
    <xf numFmtId="0" fontId="42" fillId="0" borderId="4" xfId="20" applyFont="1" applyBorder="1" applyAlignment="1">
      <alignment vertical="top"/>
    </xf>
    <xf numFmtId="2" fontId="0" fillId="0" borderId="39" xfId="0" applyNumberFormat="1" applyBorder="1" applyAlignment="1">
      <alignment horizontal="center" vertical="center" wrapText="1"/>
    </xf>
  </cellXfs>
  <cellStyles count="21">
    <cellStyle name="パーセント 2" xfId="18" xr:uid="{00000000-0005-0000-0000-000000000000}"/>
    <cellStyle name="桁区切り 2" xfId="9" xr:uid="{00000000-0005-0000-0000-000001000000}"/>
    <cellStyle name="標準" xfId="0" builtinId="0"/>
    <cellStyle name="標準 2" xfId="10" xr:uid="{00000000-0005-0000-0000-000003000000}"/>
    <cellStyle name="標準 2 2" xfId="12" xr:uid="{00000000-0005-0000-0000-000004000000}"/>
    <cellStyle name="標準 2 2 2" xfId="8" xr:uid="{00000000-0005-0000-0000-000005000000}"/>
    <cellStyle name="標準 2 35" xfId="19" xr:uid="{A7691913-11AA-479C-8F6D-88FBC5DA1FDF}"/>
    <cellStyle name="標準 3" xfId="11" xr:uid="{00000000-0005-0000-0000-000006000000}"/>
    <cellStyle name="標準 3 2" xfId="14" xr:uid="{00000000-0005-0000-0000-000007000000}"/>
    <cellStyle name="標準 3 2 2" xfId="1" xr:uid="{00000000-0005-0000-0000-000008000000}"/>
    <cellStyle name="標準 3 3 2" xfId="2" xr:uid="{00000000-0005-0000-0000-000009000000}"/>
    <cellStyle name="標準 4" xfId="13" xr:uid="{00000000-0005-0000-0000-00000A000000}"/>
    <cellStyle name="標準 5" xfId="15" xr:uid="{00000000-0005-0000-0000-00000B000000}"/>
    <cellStyle name="標準 5 2" xfId="16" xr:uid="{00000000-0005-0000-0000-00000C000000}"/>
    <cellStyle name="標準 5 2 2" xfId="6" xr:uid="{00000000-0005-0000-0000-00000D000000}"/>
    <cellStyle name="標準 5 2 9" xfId="17" xr:uid="{00000000-0005-0000-0000-00000E000000}"/>
    <cellStyle name="標準 5 3" xfId="4" xr:uid="{00000000-0005-0000-0000-00000F000000}"/>
    <cellStyle name="標準 51" xfId="20" xr:uid="{4F398A23-7141-4580-9883-54607900E6CA}"/>
    <cellStyle name="標準_【361】データベースオブジェクト一覧" xfId="5" xr:uid="{00000000-0005-0000-0000-000010000000}"/>
    <cellStyle name="標準_03-010国内原料" xfId="7" xr:uid="{00000000-0005-0000-0000-000011000000}"/>
    <cellStyle name="標準_画面説明書_CAP0010_承認状況確認" xfId="3" xr:uid="{00000000-0005-0000-0000-000012000000}"/>
  </cellStyles>
  <dxfs count="0"/>
  <tableStyles count="0" defaultTableStyle="TableStyleMedium9" defaultPivotStyle="PivotStyleLight16"/>
  <colors>
    <mruColors>
      <color rgb="FFCCFFCC"/>
      <color rgb="FF99FF99"/>
      <color rgb="FF66FFFF"/>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47850" y="2305050"/>
          <a:ext cx="6648450"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9627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16</xdr:col>
      <xdr:colOff>16863</xdr:colOff>
      <xdr:row>23</xdr:row>
      <xdr:rowOff>179527</xdr:rowOff>
    </xdr:from>
    <xdr:to>
      <xdr:col>34</xdr:col>
      <xdr:colOff>152400</xdr:colOff>
      <xdr:row>31</xdr:row>
      <xdr:rowOff>0</xdr:rowOff>
    </xdr:to>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4888" y="4884877"/>
          <a:ext cx="3783612" cy="1420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30</xdr:col>
      <xdr:colOff>57150</xdr:colOff>
      <xdr:row>31</xdr:row>
      <xdr:rowOff>47625</xdr:rowOff>
    </xdr:from>
    <xdr:to>
      <xdr:col>60</xdr:col>
      <xdr:colOff>85725</xdr:colOff>
      <xdr:row>35</xdr:row>
      <xdr:rowOff>152400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bwMode="auto">
        <a:xfrm>
          <a:off x="5000625" y="7524750"/>
          <a:ext cx="4886325" cy="9048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44450</xdr:colOff>
      <xdr:row>27</xdr:row>
      <xdr:rowOff>27057</xdr:rowOff>
    </xdr:from>
    <xdr:to>
      <xdr:col>34</xdr:col>
      <xdr:colOff>31408</xdr:colOff>
      <xdr:row>30</xdr:row>
      <xdr:rowOff>44992</xdr:rowOff>
    </xdr:to>
    <xdr:sp macro="" textlink="">
      <xdr:nvSpPr>
        <xdr:cNvPr id="2" name="フローチャート: 定義済み処理 8">
          <a:extLst>
            <a:ext uri="{FF2B5EF4-FFF2-40B4-BE49-F238E27FC236}">
              <a16:creationId xmlns:a16="http://schemas.microsoft.com/office/drawing/2014/main" id="{00000000-0008-0000-0200-000002000000}"/>
            </a:ext>
          </a:extLst>
        </xdr:cNvPr>
        <xdr:cNvSpPr/>
      </xdr:nvSpPr>
      <xdr:spPr bwMode="auto">
        <a:xfrm>
          <a:off x="3530600" y="6704082"/>
          <a:ext cx="2091983" cy="618010"/>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t>MGBGL5020</a:t>
          </a:r>
          <a:b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effectLst/>
              <a:latin typeface="Meiryo UI" panose="020B0604030504040204" pitchFamily="50" charset="-128"/>
              <a:ea typeface="Meiryo UI" panose="020B0604030504040204" pitchFamily="50" charset="-128"/>
              <a:cs typeface="Meiryo UI" panose="020B0604030504040204" pitchFamily="50" charset="-128"/>
            </a:rPr>
            <a:t>配賦費用実績ＩＦ取込サービス</a:t>
          </a:r>
          <a:endParaRPr lang="ja-JP" altLang="ja-JP" sz="8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95250</xdr:colOff>
      <xdr:row>27</xdr:row>
      <xdr:rowOff>28575</xdr:rowOff>
    </xdr:from>
    <xdr:to>
      <xdr:col>16</xdr:col>
      <xdr:colOff>27450</xdr:colOff>
      <xdr:row>30</xdr:row>
      <xdr:rowOff>56174</xdr:rowOff>
    </xdr:to>
    <xdr:sp macro="" textlink="">
      <xdr:nvSpPr>
        <xdr:cNvPr id="3" name="フローチャート: 処理 2">
          <a:extLst>
            <a:ext uri="{FF2B5EF4-FFF2-40B4-BE49-F238E27FC236}">
              <a16:creationId xmlns:a16="http://schemas.microsoft.com/office/drawing/2014/main" id="{00000000-0008-0000-0200-000003000000}"/>
            </a:ext>
          </a:extLst>
        </xdr:cNvPr>
        <xdr:cNvSpPr/>
      </xdr:nvSpPr>
      <xdr:spPr bwMode="auto">
        <a:xfrm>
          <a:off x="600075" y="6705600"/>
          <a:ext cx="2103900" cy="627674"/>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MGBGB0020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配賦費用実績ＩＦ取込</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27450</xdr:colOff>
      <xdr:row>28</xdr:row>
      <xdr:rowOff>136037</xdr:rowOff>
    </xdr:from>
    <xdr:to>
      <xdr:col>21</xdr:col>
      <xdr:colOff>44450</xdr:colOff>
      <xdr:row>28</xdr:row>
      <xdr:rowOff>142387</xdr:rowOff>
    </xdr:to>
    <xdr:cxnSp macro="">
      <xdr:nvCxnSpPr>
        <xdr:cNvPr id="4" name="直線矢印コネクタ 3">
          <a:extLst>
            <a:ext uri="{FF2B5EF4-FFF2-40B4-BE49-F238E27FC236}">
              <a16:creationId xmlns:a16="http://schemas.microsoft.com/office/drawing/2014/main" id="{00000000-0008-0000-0200-000004000000}"/>
            </a:ext>
          </a:extLst>
        </xdr:cNvPr>
        <xdr:cNvCxnSpPr>
          <a:stCxn id="3" idx="3"/>
          <a:endCxn id="2" idx="1"/>
        </xdr:cNvCxnSpPr>
      </xdr:nvCxnSpPr>
      <xdr:spPr bwMode="auto">
        <a:xfrm flipV="1">
          <a:off x="2703975" y="7013087"/>
          <a:ext cx="826625" cy="63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114300</xdr:colOff>
      <xdr:row>26</xdr:row>
      <xdr:rowOff>190500</xdr:rowOff>
    </xdr:from>
    <xdr:to>
      <xdr:col>48</xdr:col>
      <xdr:colOff>148588</xdr:colOff>
      <xdr:row>30</xdr:row>
      <xdr:rowOff>73829</xdr:rowOff>
    </xdr:to>
    <xdr:sp macro="" textlink="">
      <xdr:nvSpPr>
        <xdr:cNvPr id="5" name="Text Box 56">
          <a:extLst>
            <a:ext uri="{FF2B5EF4-FFF2-40B4-BE49-F238E27FC236}">
              <a16:creationId xmlns:a16="http://schemas.microsoft.com/office/drawing/2014/main" id="{00000000-0008-0000-0200-000005000000}"/>
            </a:ext>
          </a:extLst>
        </xdr:cNvPr>
        <xdr:cNvSpPr txBox="1">
          <a:spLocks noChangeArrowheads="1"/>
        </xdr:cNvSpPr>
      </xdr:nvSpPr>
      <xdr:spPr bwMode="auto">
        <a:xfrm>
          <a:off x="6515100" y="6667500"/>
          <a:ext cx="1491613" cy="68342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配賦費用実績ＩＦ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31408</xdr:colOff>
      <xdr:row>28</xdr:row>
      <xdr:rowOff>132165</xdr:rowOff>
    </xdr:from>
    <xdr:to>
      <xdr:col>39</xdr:col>
      <xdr:colOff>114300</xdr:colOff>
      <xdr:row>28</xdr:row>
      <xdr:rowOff>136037</xdr:rowOff>
    </xdr:to>
    <xdr:cxnSp macro="">
      <xdr:nvCxnSpPr>
        <xdr:cNvPr id="6" name="直線矢印コネクタ 5">
          <a:extLst>
            <a:ext uri="{FF2B5EF4-FFF2-40B4-BE49-F238E27FC236}">
              <a16:creationId xmlns:a16="http://schemas.microsoft.com/office/drawing/2014/main" id="{00000000-0008-0000-0200-000006000000}"/>
            </a:ext>
          </a:extLst>
        </xdr:cNvPr>
        <xdr:cNvCxnSpPr>
          <a:stCxn id="2" idx="3"/>
          <a:endCxn id="5" idx="1"/>
        </xdr:cNvCxnSpPr>
      </xdr:nvCxnSpPr>
      <xdr:spPr bwMode="auto">
        <a:xfrm flipV="1">
          <a:off x="5622583" y="7009215"/>
          <a:ext cx="892517" cy="387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23</xdr:col>
      <xdr:colOff>9525</xdr:colOff>
      <xdr:row>36</xdr:row>
      <xdr:rowOff>142875</xdr:rowOff>
    </xdr:from>
    <xdr:to>
      <xdr:col>32</xdr:col>
      <xdr:colOff>43813</xdr:colOff>
      <xdr:row>40</xdr:row>
      <xdr:rowOff>26204</xdr:rowOff>
    </xdr:to>
    <xdr:sp macro="" textlink="">
      <xdr:nvSpPr>
        <xdr:cNvPr id="10" name="Text Box 56">
          <a:extLst>
            <a:ext uri="{FF2B5EF4-FFF2-40B4-BE49-F238E27FC236}">
              <a16:creationId xmlns:a16="http://schemas.microsoft.com/office/drawing/2014/main" id="{00000000-0008-0000-0200-00000A000000}"/>
            </a:ext>
          </a:extLst>
        </xdr:cNvPr>
        <xdr:cNvSpPr txBox="1">
          <a:spLocks noChangeArrowheads="1"/>
        </xdr:cNvSpPr>
      </xdr:nvSpPr>
      <xdr:spPr bwMode="auto">
        <a:xfrm>
          <a:off x="3819525" y="8620125"/>
          <a:ext cx="1491613" cy="68342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配賦費用実績受信ＩＦ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28575</xdr:colOff>
      <xdr:row>31</xdr:row>
      <xdr:rowOff>161925</xdr:rowOff>
    </xdr:from>
    <xdr:to>
      <xdr:col>40</xdr:col>
      <xdr:colOff>62863</xdr:colOff>
      <xdr:row>35</xdr:row>
      <xdr:rowOff>45254</xdr:rowOff>
    </xdr:to>
    <xdr:sp macro="" textlink="">
      <xdr:nvSpPr>
        <xdr:cNvPr id="11" name="Text Box 56">
          <a:extLst>
            <a:ext uri="{FF2B5EF4-FFF2-40B4-BE49-F238E27FC236}">
              <a16:creationId xmlns:a16="http://schemas.microsoft.com/office/drawing/2014/main" id="{00000000-0008-0000-0200-00000B000000}"/>
            </a:ext>
          </a:extLst>
        </xdr:cNvPr>
        <xdr:cNvSpPr txBox="1">
          <a:spLocks noChangeArrowheads="1"/>
        </xdr:cNvSpPr>
      </xdr:nvSpPr>
      <xdr:spPr bwMode="auto">
        <a:xfrm>
          <a:off x="5133975" y="7639050"/>
          <a:ext cx="1491613" cy="68342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勘定科目対応マスタ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142875</xdr:colOff>
      <xdr:row>31</xdr:row>
      <xdr:rowOff>161925</xdr:rowOff>
    </xdr:from>
    <xdr:to>
      <xdr:col>50</xdr:col>
      <xdr:colOff>15238</xdr:colOff>
      <xdr:row>35</xdr:row>
      <xdr:rowOff>45254</xdr:rowOff>
    </xdr:to>
    <xdr:sp macro="" textlink="">
      <xdr:nvSpPr>
        <xdr:cNvPr id="12" name="Text Box 56">
          <a:extLst>
            <a:ext uri="{FF2B5EF4-FFF2-40B4-BE49-F238E27FC236}">
              <a16:creationId xmlns:a16="http://schemas.microsoft.com/office/drawing/2014/main" id="{00000000-0008-0000-0200-00000C000000}"/>
            </a:ext>
          </a:extLst>
        </xdr:cNvPr>
        <xdr:cNvSpPr txBox="1">
          <a:spLocks noChangeArrowheads="1"/>
        </xdr:cNvSpPr>
      </xdr:nvSpPr>
      <xdr:spPr bwMode="auto">
        <a:xfrm>
          <a:off x="6705600" y="7639050"/>
          <a:ext cx="1491613" cy="68342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補助勘定科目対応マスタ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95250</xdr:colOff>
      <xdr:row>31</xdr:row>
      <xdr:rowOff>161925</xdr:rowOff>
    </xdr:from>
    <xdr:to>
      <xdr:col>59</xdr:col>
      <xdr:colOff>129538</xdr:colOff>
      <xdr:row>35</xdr:row>
      <xdr:rowOff>45254</xdr:rowOff>
    </xdr:to>
    <xdr:sp macro="" textlink="">
      <xdr:nvSpPr>
        <xdr:cNvPr id="13" name="Text Box 56">
          <a:extLst>
            <a:ext uri="{FF2B5EF4-FFF2-40B4-BE49-F238E27FC236}">
              <a16:creationId xmlns:a16="http://schemas.microsoft.com/office/drawing/2014/main" id="{00000000-0008-0000-0200-00000D000000}"/>
            </a:ext>
          </a:extLst>
        </xdr:cNvPr>
        <xdr:cNvSpPr txBox="1">
          <a:spLocks noChangeArrowheads="1"/>
        </xdr:cNvSpPr>
      </xdr:nvSpPr>
      <xdr:spPr bwMode="auto">
        <a:xfrm>
          <a:off x="8277225" y="7639050"/>
          <a:ext cx="1491613" cy="68342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配賦費用取込マスタ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107632</xdr:colOff>
      <xdr:row>30</xdr:row>
      <xdr:rowOff>44992</xdr:rowOff>
    </xdr:from>
    <xdr:to>
      <xdr:col>27</xdr:col>
      <xdr:colOff>118892</xdr:colOff>
      <xdr:row>36</xdr:row>
      <xdr:rowOff>142875</xdr:rowOff>
    </xdr:to>
    <xdr:cxnSp macro="">
      <xdr:nvCxnSpPr>
        <xdr:cNvPr id="15" name="直線矢印コネクタ 14">
          <a:extLst>
            <a:ext uri="{FF2B5EF4-FFF2-40B4-BE49-F238E27FC236}">
              <a16:creationId xmlns:a16="http://schemas.microsoft.com/office/drawing/2014/main" id="{00000000-0008-0000-0200-00000F000000}"/>
            </a:ext>
          </a:extLst>
        </xdr:cNvPr>
        <xdr:cNvCxnSpPr>
          <a:stCxn id="10" idx="0"/>
          <a:endCxn id="2" idx="2"/>
        </xdr:cNvCxnSpPr>
      </xdr:nvCxnSpPr>
      <xdr:spPr bwMode="auto">
        <a:xfrm flipV="1">
          <a:off x="4565332" y="7322092"/>
          <a:ext cx="11260" cy="129803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118893</xdr:colOff>
      <xdr:row>30</xdr:row>
      <xdr:rowOff>44992</xdr:rowOff>
    </xdr:from>
    <xdr:to>
      <xdr:col>30</xdr:col>
      <xdr:colOff>57151</xdr:colOff>
      <xdr:row>33</xdr:row>
      <xdr:rowOff>100013</xdr:rowOff>
    </xdr:to>
    <xdr:cxnSp macro="">
      <xdr:nvCxnSpPr>
        <xdr:cNvPr id="24" name="カギ線コネクタ 23">
          <a:extLst>
            <a:ext uri="{FF2B5EF4-FFF2-40B4-BE49-F238E27FC236}">
              <a16:creationId xmlns:a16="http://schemas.microsoft.com/office/drawing/2014/main" id="{00000000-0008-0000-0200-000018000000}"/>
            </a:ext>
          </a:extLst>
        </xdr:cNvPr>
        <xdr:cNvCxnSpPr>
          <a:stCxn id="14" idx="1"/>
          <a:endCxn id="2" idx="2"/>
        </xdr:cNvCxnSpPr>
      </xdr:nvCxnSpPr>
      <xdr:spPr bwMode="auto">
        <a:xfrm rot="10800000">
          <a:off x="4576593" y="7322092"/>
          <a:ext cx="424033" cy="65509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127000</xdr:colOff>
      <xdr:row>46</xdr:row>
      <xdr:rowOff>81644</xdr:rowOff>
    </xdr:from>
    <xdr:to>
      <xdr:col>27</xdr:col>
      <xdr:colOff>47533</xdr:colOff>
      <xdr:row>49</xdr:row>
      <xdr:rowOff>21192</xdr:rowOff>
    </xdr:to>
    <xdr:sp macro="" textlink="">
      <xdr:nvSpPr>
        <xdr:cNvPr id="2" name="フローチャート : 定義済み処理 66">
          <a:extLst>
            <a:ext uri="{FF2B5EF4-FFF2-40B4-BE49-F238E27FC236}">
              <a16:creationId xmlns:a16="http://schemas.microsoft.com/office/drawing/2014/main" id="{09DA32A1-D6DB-49A2-8725-135A2C87C1F7}"/>
            </a:ext>
          </a:extLst>
        </xdr:cNvPr>
        <xdr:cNvSpPr>
          <a:spLocks noChangeArrowheads="1"/>
        </xdr:cNvSpPr>
      </xdr:nvSpPr>
      <xdr:spPr bwMode="auto">
        <a:xfrm>
          <a:off x="2400300" y="9009744"/>
          <a:ext cx="1673133" cy="530098"/>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PFBZB0040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受信変換</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127000</xdr:colOff>
      <xdr:row>41</xdr:row>
      <xdr:rowOff>181429</xdr:rowOff>
    </xdr:from>
    <xdr:to>
      <xdr:col>27</xdr:col>
      <xdr:colOff>47533</xdr:colOff>
      <xdr:row>44</xdr:row>
      <xdr:rowOff>120978</xdr:rowOff>
    </xdr:to>
    <xdr:sp macro="" textlink="">
      <xdr:nvSpPr>
        <xdr:cNvPr id="3" name="フローチャート : 定義済み処理 66">
          <a:extLst>
            <a:ext uri="{FF2B5EF4-FFF2-40B4-BE49-F238E27FC236}">
              <a16:creationId xmlns:a16="http://schemas.microsoft.com/office/drawing/2014/main" id="{C3B16B0B-FF41-489A-A0B9-12581FF066DE}"/>
            </a:ext>
          </a:extLst>
        </xdr:cNvPr>
        <xdr:cNvSpPr>
          <a:spLocks noChangeArrowheads="1"/>
        </xdr:cNvSpPr>
      </xdr:nvSpPr>
      <xdr:spPr bwMode="auto">
        <a:xfrm>
          <a:off x="2400300" y="8125279"/>
          <a:ext cx="1673133" cy="530099"/>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PABBB0010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ＮＸ連携バッチ</a:t>
          </a:r>
        </a:p>
      </xdr:txBody>
    </xdr:sp>
    <xdr:clientData/>
  </xdr:twoCellAnchor>
  <xdr:twoCellAnchor>
    <xdr:from>
      <xdr:col>58</xdr:col>
      <xdr:colOff>0</xdr:colOff>
      <xdr:row>10</xdr:row>
      <xdr:rowOff>1</xdr:rowOff>
    </xdr:from>
    <xdr:to>
      <xdr:col>60</xdr:col>
      <xdr:colOff>120649</xdr:colOff>
      <xdr:row>11</xdr:row>
      <xdr:rowOff>6350</xdr:rowOff>
    </xdr:to>
    <xdr:sp macro="" textlink="">
      <xdr:nvSpPr>
        <xdr:cNvPr id="4" name="Text Box 56">
          <a:extLst>
            <a:ext uri="{FF2B5EF4-FFF2-40B4-BE49-F238E27FC236}">
              <a16:creationId xmlns:a16="http://schemas.microsoft.com/office/drawing/2014/main" id="{70F4676F-D2B7-4169-B606-A7933A89F5BD}"/>
            </a:ext>
          </a:extLst>
        </xdr:cNvPr>
        <xdr:cNvSpPr txBox="1">
          <a:spLocks noChangeArrowheads="1"/>
        </xdr:cNvSpPr>
      </xdr:nvSpPr>
      <xdr:spPr bwMode="auto">
        <a:xfrm>
          <a:off x="8553450" y="1841501"/>
          <a:ext cx="412749" cy="20319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11</xdr:row>
      <xdr:rowOff>190500</xdr:rowOff>
    </xdr:from>
    <xdr:to>
      <xdr:col>60</xdr:col>
      <xdr:colOff>121900</xdr:colOff>
      <xdr:row>13</xdr:row>
      <xdr:rowOff>38100</xdr:rowOff>
    </xdr:to>
    <xdr:sp macro="" textlink="">
      <xdr:nvSpPr>
        <xdr:cNvPr id="5" name="正方形/長方形 4">
          <a:extLst>
            <a:ext uri="{FF2B5EF4-FFF2-40B4-BE49-F238E27FC236}">
              <a16:creationId xmlns:a16="http://schemas.microsoft.com/office/drawing/2014/main" id="{01F9650A-3565-4AA8-AAD5-23A0F9F211A8}"/>
            </a:ext>
          </a:extLst>
        </xdr:cNvPr>
        <xdr:cNvSpPr/>
      </xdr:nvSpPr>
      <xdr:spPr bwMode="auto">
        <a:xfrm>
          <a:off x="8553450" y="2228850"/>
          <a:ext cx="414000" cy="24130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14</xdr:row>
      <xdr:rowOff>12701</xdr:rowOff>
    </xdr:from>
    <xdr:to>
      <xdr:col>60</xdr:col>
      <xdr:colOff>121900</xdr:colOff>
      <xdr:row>15</xdr:row>
      <xdr:rowOff>44451</xdr:rowOff>
    </xdr:to>
    <xdr:sp macro="" textlink="">
      <xdr:nvSpPr>
        <xdr:cNvPr id="6" name="フローチャート: データ 5">
          <a:extLst>
            <a:ext uri="{FF2B5EF4-FFF2-40B4-BE49-F238E27FC236}">
              <a16:creationId xmlns:a16="http://schemas.microsoft.com/office/drawing/2014/main" id="{5ED8F884-E19F-40FE-B607-6BF5AE312AC0}"/>
            </a:ext>
          </a:extLst>
        </xdr:cNvPr>
        <xdr:cNvSpPr/>
      </xdr:nvSpPr>
      <xdr:spPr bwMode="auto">
        <a:xfrm>
          <a:off x="8553450" y="2641601"/>
          <a:ext cx="414000" cy="228600"/>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16</xdr:row>
      <xdr:rowOff>0</xdr:rowOff>
    </xdr:from>
    <xdr:to>
      <xdr:col>60</xdr:col>
      <xdr:colOff>121900</xdr:colOff>
      <xdr:row>17</xdr:row>
      <xdr:rowOff>50800</xdr:rowOff>
    </xdr:to>
    <xdr:sp macro="" textlink="">
      <xdr:nvSpPr>
        <xdr:cNvPr id="7" name="AutoShape 49">
          <a:extLst>
            <a:ext uri="{FF2B5EF4-FFF2-40B4-BE49-F238E27FC236}">
              <a16:creationId xmlns:a16="http://schemas.microsoft.com/office/drawing/2014/main" id="{314C1818-C031-4D15-A24A-F4F2E494C848}"/>
            </a:ext>
          </a:extLst>
        </xdr:cNvPr>
        <xdr:cNvSpPr>
          <a:spLocks noChangeArrowheads="1"/>
        </xdr:cNvSpPr>
      </xdr:nvSpPr>
      <xdr:spPr bwMode="auto">
        <a:xfrm>
          <a:off x="8553450" y="3022600"/>
          <a:ext cx="414000" cy="247650"/>
        </a:xfrm>
        <a:prstGeom prst="flowChartDocument">
          <a:avLst/>
        </a:prstGeom>
        <a:noFill/>
        <a:ln w="9525">
          <a:solidFill>
            <a:sysClr val="windowText" lastClr="000000"/>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58</xdr:col>
      <xdr:colOff>0</xdr:colOff>
      <xdr:row>7</xdr:row>
      <xdr:rowOff>150133</xdr:rowOff>
    </xdr:from>
    <xdr:to>
      <xdr:col>60</xdr:col>
      <xdr:colOff>121900</xdr:colOff>
      <xdr:row>8</xdr:row>
      <xdr:rowOff>194583</xdr:rowOff>
    </xdr:to>
    <xdr:sp macro="" textlink="">
      <xdr:nvSpPr>
        <xdr:cNvPr id="8" name="フローチャート : 定義済み処理 66">
          <a:extLst>
            <a:ext uri="{FF2B5EF4-FFF2-40B4-BE49-F238E27FC236}">
              <a16:creationId xmlns:a16="http://schemas.microsoft.com/office/drawing/2014/main" id="{80438812-E16F-4719-A340-255F9EE9F107}"/>
            </a:ext>
          </a:extLst>
        </xdr:cNvPr>
        <xdr:cNvSpPr>
          <a:spLocks noChangeArrowheads="1"/>
        </xdr:cNvSpPr>
      </xdr:nvSpPr>
      <xdr:spPr bwMode="auto">
        <a:xfrm>
          <a:off x="8553450" y="1401083"/>
          <a:ext cx="414000" cy="241300"/>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58</xdr:col>
      <xdr:colOff>0</xdr:colOff>
      <xdr:row>5</xdr:row>
      <xdr:rowOff>120650</xdr:rowOff>
    </xdr:from>
    <xdr:to>
      <xdr:col>60</xdr:col>
      <xdr:colOff>121900</xdr:colOff>
      <xdr:row>7</xdr:row>
      <xdr:rowOff>0</xdr:rowOff>
    </xdr:to>
    <xdr:sp macro="" textlink="">
      <xdr:nvSpPr>
        <xdr:cNvPr id="9" name="フローチャート: 処理 8">
          <a:extLst>
            <a:ext uri="{FF2B5EF4-FFF2-40B4-BE49-F238E27FC236}">
              <a16:creationId xmlns:a16="http://schemas.microsoft.com/office/drawing/2014/main" id="{F62F7725-F126-479C-A70B-EC5D90B5F0EF}"/>
            </a:ext>
          </a:extLst>
        </xdr:cNvPr>
        <xdr:cNvSpPr/>
      </xdr:nvSpPr>
      <xdr:spPr bwMode="auto">
        <a:xfrm>
          <a:off x="8553450" y="977900"/>
          <a:ext cx="414000" cy="27305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90714</xdr:colOff>
      <xdr:row>7</xdr:row>
      <xdr:rowOff>150133</xdr:rowOff>
    </xdr:from>
    <xdr:to>
      <xdr:col>53</xdr:col>
      <xdr:colOff>67471</xdr:colOff>
      <xdr:row>8</xdr:row>
      <xdr:rowOff>194583</xdr:rowOff>
    </xdr:to>
    <xdr:sp macro="" textlink="">
      <xdr:nvSpPr>
        <xdr:cNvPr id="10" name="フローチャート : 定義済み処理 66">
          <a:extLst>
            <a:ext uri="{FF2B5EF4-FFF2-40B4-BE49-F238E27FC236}">
              <a16:creationId xmlns:a16="http://schemas.microsoft.com/office/drawing/2014/main" id="{48EEDE81-2BFF-4ECE-B9F7-4C2984FBC34D}"/>
            </a:ext>
          </a:extLst>
        </xdr:cNvPr>
        <xdr:cNvSpPr>
          <a:spLocks noChangeArrowheads="1"/>
        </xdr:cNvSpPr>
      </xdr:nvSpPr>
      <xdr:spPr bwMode="auto">
        <a:xfrm>
          <a:off x="7475764" y="1401083"/>
          <a:ext cx="414907" cy="241300"/>
        </a:xfrm>
        <a:prstGeom prst="flowChartPredefinedProcess">
          <a:avLst/>
        </a:prstGeom>
        <a:noFill/>
        <a:ln w="28575" algn="ctr">
          <a:solidFill>
            <a:srgbClr val="FF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4</xdr:col>
      <xdr:colOff>72572</xdr:colOff>
      <xdr:row>36</xdr:row>
      <xdr:rowOff>99786</xdr:rowOff>
    </xdr:from>
    <xdr:to>
      <xdr:col>15</xdr:col>
      <xdr:colOff>74747</xdr:colOff>
      <xdr:row>39</xdr:row>
      <xdr:rowOff>39335</xdr:rowOff>
    </xdr:to>
    <xdr:sp macro="" textlink="">
      <xdr:nvSpPr>
        <xdr:cNvPr id="11" name="フローチャート : 定義済み処理 66">
          <a:extLst>
            <a:ext uri="{FF2B5EF4-FFF2-40B4-BE49-F238E27FC236}">
              <a16:creationId xmlns:a16="http://schemas.microsoft.com/office/drawing/2014/main" id="{1626A334-D04D-4CF3-8425-DFCD4FD3101C}"/>
            </a:ext>
          </a:extLst>
        </xdr:cNvPr>
        <xdr:cNvSpPr>
          <a:spLocks noChangeArrowheads="1"/>
        </xdr:cNvSpPr>
      </xdr:nvSpPr>
      <xdr:spPr bwMode="auto">
        <a:xfrm>
          <a:off x="675822" y="7059386"/>
          <a:ext cx="1672225" cy="530099"/>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ＳＳ配賦費用実績連携</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9</xdr:col>
      <xdr:colOff>114482</xdr:colOff>
      <xdr:row>39</xdr:row>
      <xdr:rowOff>39334</xdr:rowOff>
    </xdr:from>
    <xdr:to>
      <xdr:col>15</xdr:col>
      <xdr:colOff>127001</xdr:colOff>
      <xdr:row>43</xdr:row>
      <xdr:rowOff>51417</xdr:rowOff>
    </xdr:to>
    <xdr:cxnSp macro="">
      <xdr:nvCxnSpPr>
        <xdr:cNvPr id="12" name="コネクタ: カギ線 11">
          <a:extLst>
            <a:ext uri="{FF2B5EF4-FFF2-40B4-BE49-F238E27FC236}">
              <a16:creationId xmlns:a16="http://schemas.microsoft.com/office/drawing/2014/main" id="{4447CD80-5A44-4589-AD13-98EAB6FFF249}"/>
            </a:ext>
          </a:extLst>
        </xdr:cNvPr>
        <xdr:cNvCxnSpPr>
          <a:cxnSpLocks/>
          <a:stCxn id="11" idx="2"/>
          <a:endCxn id="3" idx="1"/>
        </xdr:cNvCxnSpPr>
      </xdr:nvCxnSpPr>
      <xdr:spPr bwMode="auto">
        <a:xfrm rot="16200000" flipH="1">
          <a:off x="1556150" y="7544816"/>
          <a:ext cx="799483" cy="88881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114482</xdr:colOff>
      <xdr:row>39</xdr:row>
      <xdr:rowOff>39334</xdr:rowOff>
    </xdr:from>
    <xdr:to>
      <xdr:col>15</xdr:col>
      <xdr:colOff>127001</xdr:colOff>
      <xdr:row>47</xdr:row>
      <xdr:rowOff>151203</xdr:rowOff>
    </xdr:to>
    <xdr:cxnSp macro="">
      <xdr:nvCxnSpPr>
        <xdr:cNvPr id="13" name="コネクタ: カギ線 12">
          <a:extLst>
            <a:ext uri="{FF2B5EF4-FFF2-40B4-BE49-F238E27FC236}">
              <a16:creationId xmlns:a16="http://schemas.microsoft.com/office/drawing/2014/main" id="{F5C70CAF-0DB7-4F38-ABDC-714A42EF6210}"/>
            </a:ext>
          </a:extLst>
        </xdr:cNvPr>
        <xdr:cNvCxnSpPr>
          <a:cxnSpLocks/>
          <a:stCxn id="11" idx="2"/>
          <a:endCxn id="2" idx="1"/>
        </xdr:cNvCxnSpPr>
      </xdr:nvCxnSpPr>
      <xdr:spPr bwMode="auto">
        <a:xfrm rot="16200000" flipH="1">
          <a:off x="1112557" y="7988409"/>
          <a:ext cx="1686669" cy="88881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19</xdr:col>
      <xdr:colOff>9071</xdr:colOff>
      <xdr:row>36</xdr:row>
      <xdr:rowOff>54428</xdr:rowOff>
    </xdr:from>
    <xdr:ext cx="2136825" cy="583594"/>
    <xdr:sp macro="" textlink="">
      <xdr:nvSpPr>
        <xdr:cNvPr id="14" name="四角形吹き出し 10">
          <a:extLst>
            <a:ext uri="{FF2B5EF4-FFF2-40B4-BE49-F238E27FC236}">
              <a16:creationId xmlns:a16="http://schemas.microsoft.com/office/drawing/2014/main" id="{1AB4D582-A231-4F03-B0A9-93F9CBFD037D}"/>
            </a:ext>
          </a:extLst>
        </xdr:cNvPr>
        <xdr:cNvSpPr/>
      </xdr:nvSpPr>
      <xdr:spPr>
        <a:xfrm>
          <a:off x="2866571" y="7014028"/>
          <a:ext cx="2136825" cy="583594"/>
        </a:xfrm>
        <a:prstGeom prst="wedgeRectCallout">
          <a:avLst>
            <a:gd name="adj1" fmla="val -72996"/>
            <a:gd name="adj2" fmla="val -7955"/>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一連の処理を自動化するバッチ（</a:t>
          </a:r>
          <a:r>
            <a:rPr kumimoji="1" lang="en-US" altLang="ja-JP" sz="900">
              <a:solidFill>
                <a:schemeClr val="dk1"/>
              </a:solidFill>
              <a:effectLst/>
              <a:latin typeface="Meiryo UI" panose="020B0604030504040204" pitchFamily="50" charset="-128"/>
              <a:ea typeface="Meiryo UI" panose="020B0604030504040204" pitchFamily="50" charset="-128"/>
              <a:cs typeface="+mn-cs"/>
            </a:rPr>
            <a:t>.bat</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処理詳細は上図を参照</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oneCellAnchor>
    <xdr:from>
      <xdr:col>30</xdr:col>
      <xdr:colOff>81643</xdr:colOff>
      <xdr:row>41</xdr:row>
      <xdr:rowOff>181429</xdr:rowOff>
    </xdr:from>
    <xdr:ext cx="2304142" cy="583594"/>
    <xdr:sp macro="" textlink="">
      <xdr:nvSpPr>
        <xdr:cNvPr id="15" name="四角形吹き出し 10">
          <a:extLst>
            <a:ext uri="{FF2B5EF4-FFF2-40B4-BE49-F238E27FC236}">
              <a16:creationId xmlns:a16="http://schemas.microsoft.com/office/drawing/2014/main" id="{D4BE696F-34E0-434C-B044-769548779589}"/>
            </a:ext>
          </a:extLst>
        </xdr:cNvPr>
        <xdr:cNvSpPr/>
      </xdr:nvSpPr>
      <xdr:spPr>
        <a:xfrm>
          <a:off x="4545693" y="8125279"/>
          <a:ext cx="2304142" cy="583594"/>
        </a:xfrm>
        <a:prstGeom prst="wedgeRectCallout">
          <a:avLst>
            <a:gd name="adj1" fmla="val -72996"/>
            <a:gd name="adj2" fmla="val -183"/>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NX</a:t>
          </a:r>
          <a:r>
            <a:rPr kumimoji="1" lang="ja-JP" altLang="en-US" sz="900">
              <a:solidFill>
                <a:schemeClr val="dk1"/>
              </a:solidFill>
              <a:effectLst/>
              <a:latin typeface="Meiryo UI" panose="020B0604030504040204" pitchFamily="50" charset="-128"/>
              <a:ea typeface="Meiryo UI" panose="020B0604030504040204" pitchFamily="50" charset="-128"/>
              <a:cs typeface="+mn-cs"/>
            </a:rPr>
            <a:t>バッチ実行ツールを実行する。</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oneCellAnchor>
    <xdr:from>
      <xdr:col>30</xdr:col>
      <xdr:colOff>27215</xdr:colOff>
      <xdr:row>46</xdr:row>
      <xdr:rowOff>90714</xdr:rowOff>
    </xdr:from>
    <xdr:ext cx="3111499" cy="583594"/>
    <xdr:sp macro="" textlink="">
      <xdr:nvSpPr>
        <xdr:cNvPr id="16" name="四角形吹き出し 10">
          <a:extLst>
            <a:ext uri="{FF2B5EF4-FFF2-40B4-BE49-F238E27FC236}">
              <a16:creationId xmlns:a16="http://schemas.microsoft.com/office/drawing/2014/main" id="{B367CD34-FA84-410A-A256-0BDBDC8F8403}"/>
            </a:ext>
          </a:extLst>
        </xdr:cNvPr>
        <xdr:cNvSpPr/>
      </xdr:nvSpPr>
      <xdr:spPr>
        <a:xfrm>
          <a:off x="4491265" y="9018814"/>
          <a:ext cx="3111499" cy="583594"/>
        </a:xfrm>
        <a:prstGeom prst="wedgeRectCallout">
          <a:avLst>
            <a:gd name="adj1" fmla="val -65707"/>
            <a:gd name="adj2" fmla="val -4846"/>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配賦費用実績</a:t>
          </a:r>
          <a:r>
            <a:rPr kumimoji="1" lang="en-US" altLang="ja-JP" sz="900">
              <a:solidFill>
                <a:schemeClr val="dk1"/>
              </a:solidFill>
              <a:effectLst/>
              <a:latin typeface="Meiryo UI" panose="020B0604030504040204" pitchFamily="50" charset="-128"/>
              <a:ea typeface="Meiryo UI" panose="020B0604030504040204" pitchFamily="50" charset="-128"/>
              <a:cs typeface="+mn-cs"/>
            </a:rPr>
            <a:t>CSV</a:t>
          </a:r>
          <a:r>
            <a:rPr kumimoji="1" lang="ja-JP" altLang="en-US" sz="900">
              <a:solidFill>
                <a:schemeClr val="dk1"/>
              </a:solidFill>
              <a:effectLst/>
              <a:latin typeface="Meiryo UI" panose="020B0604030504040204" pitchFamily="50" charset="-128"/>
              <a:ea typeface="Meiryo UI" panose="020B0604030504040204" pitchFamily="50" charset="-128"/>
              <a:cs typeface="+mn-cs"/>
            </a:rPr>
            <a:t>を取込、ＩＦテーブルに登録する。</a:t>
          </a:r>
        </a:p>
        <a:p>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14</xdr:col>
      <xdr:colOff>81643</xdr:colOff>
      <xdr:row>41</xdr:row>
      <xdr:rowOff>9071</xdr:rowOff>
    </xdr:from>
    <xdr:to>
      <xdr:col>16</xdr:col>
      <xdr:colOff>90714</xdr:colOff>
      <xdr:row>42</xdr:row>
      <xdr:rowOff>108857</xdr:rowOff>
    </xdr:to>
    <xdr:sp macro="" textlink="">
      <xdr:nvSpPr>
        <xdr:cNvPr id="17" name="正方形/長方形 16">
          <a:extLst>
            <a:ext uri="{FF2B5EF4-FFF2-40B4-BE49-F238E27FC236}">
              <a16:creationId xmlns:a16="http://schemas.microsoft.com/office/drawing/2014/main" id="{EFCA117A-0251-45EA-8A4B-F94699E8BC61}"/>
            </a:ext>
          </a:extLst>
        </xdr:cNvPr>
        <xdr:cNvSpPr/>
      </xdr:nvSpPr>
      <xdr:spPr bwMode="auto">
        <a:xfrm>
          <a:off x="2208893" y="7952921"/>
          <a:ext cx="301171" cy="296636"/>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①</a:t>
          </a:r>
        </a:p>
      </xdr:txBody>
    </xdr:sp>
    <xdr:clientData/>
  </xdr:twoCellAnchor>
  <xdr:twoCellAnchor>
    <xdr:from>
      <xdr:col>14</xdr:col>
      <xdr:colOff>117929</xdr:colOff>
      <xdr:row>45</xdr:row>
      <xdr:rowOff>63500</xdr:rowOff>
    </xdr:from>
    <xdr:to>
      <xdr:col>16</xdr:col>
      <xdr:colOff>127000</xdr:colOff>
      <xdr:row>46</xdr:row>
      <xdr:rowOff>163286</xdr:rowOff>
    </xdr:to>
    <xdr:sp macro="" textlink="">
      <xdr:nvSpPr>
        <xdr:cNvPr id="18" name="正方形/長方形 17">
          <a:extLst>
            <a:ext uri="{FF2B5EF4-FFF2-40B4-BE49-F238E27FC236}">
              <a16:creationId xmlns:a16="http://schemas.microsoft.com/office/drawing/2014/main" id="{C64C825E-4B50-465F-A83E-20BF641DE42E}"/>
            </a:ext>
          </a:extLst>
        </xdr:cNvPr>
        <xdr:cNvSpPr/>
      </xdr:nvSpPr>
      <xdr:spPr bwMode="auto">
        <a:xfrm>
          <a:off x="2245179" y="8794750"/>
          <a:ext cx="301171" cy="296636"/>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②</a:t>
          </a:r>
        </a:p>
      </xdr:txBody>
    </xdr:sp>
    <xdr:clientData/>
  </xdr:twoCellAnchor>
  <xdr:twoCellAnchor>
    <xdr:from>
      <xdr:col>1</xdr:col>
      <xdr:colOff>54428</xdr:colOff>
      <xdr:row>4</xdr:row>
      <xdr:rowOff>154214</xdr:rowOff>
    </xdr:from>
    <xdr:to>
      <xdr:col>22</xdr:col>
      <xdr:colOff>97117</xdr:colOff>
      <xdr:row>10</xdr:row>
      <xdr:rowOff>172357</xdr:rowOff>
    </xdr:to>
    <xdr:sp macro="" textlink="">
      <xdr:nvSpPr>
        <xdr:cNvPr id="19" name="正方形/長方形 18">
          <a:extLst>
            <a:ext uri="{FF2B5EF4-FFF2-40B4-BE49-F238E27FC236}">
              <a16:creationId xmlns:a16="http://schemas.microsoft.com/office/drawing/2014/main" id="{E27CECE7-F29B-4B35-8597-7DA40A32FC04}"/>
            </a:ext>
          </a:extLst>
        </xdr:cNvPr>
        <xdr:cNvSpPr/>
      </xdr:nvSpPr>
      <xdr:spPr>
        <a:xfrm>
          <a:off x="203840" y="819096"/>
          <a:ext cx="3255042" cy="1183555"/>
        </a:xfrm>
        <a:prstGeom prst="rect">
          <a:avLst/>
        </a:prstGeom>
        <a:noFill/>
        <a:ln w="12700">
          <a:solidFill>
            <a:srgbClr val="000000"/>
          </a:solidFill>
          <a:round/>
          <a:headEnd/>
          <a:tailEnd/>
        </a:ln>
        <a:effectLst/>
      </xdr:spPr>
      <xdr:txBody>
        <a:bodyPr vertOverflow="clip" wrap="square" lIns="27432" tIns="18288" rIns="27432" bIns="18288"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外部システム（</a:t>
          </a:r>
          <a:r>
            <a:rPr lang="en-US" altLang="ja-JP" sz="900" b="0" i="0" u="none" strike="noStrike" baseline="0">
              <a:solidFill>
                <a:srgbClr val="000000"/>
              </a:solidFill>
              <a:latin typeface="ＭＳ Ｐゴシック"/>
              <a:ea typeface="ＭＳ Ｐゴシック"/>
              <a:cs typeface="+mn-cs"/>
            </a:rPr>
            <a:t>SuperStream</a:t>
          </a:r>
          <a:r>
            <a:rPr lang="ja-JP" altLang="en-US" sz="900" b="0" i="0" u="none" strike="noStrike" baseline="0">
              <a:solidFill>
                <a:srgbClr val="000000"/>
              </a:solidFill>
              <a:latin typeface="ＭＳ Ｐゴシック"/>
              <a:ea typeface="ＭＳ Ｐゴシック"/>
              <a:cs typeface="+mn-cs"/>
            </a:rPr>
            <a:t>）</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24</xdr:col>
      <xdr:colOff>104588</xdr:colOff>
      <xdr:row>7</xdr:row>
      <xdr:rowOff>8004</xdr:rowOff>
    </xdr:from>
    <xdr:to>
      <xdr:col>30</xdr:col>
      <xdr:colOff>76466</xdr:colOff>
      <xdr:row>9</xdr:row>
      <xdr:rowOff>20706</xdr:rowOff>
    </xdr:to>
    <xdr:sp macro="" textlink="">
      <xdr:nvSpPr>
        <xdr:cNvPr id="20" name="フローチャート: データ 19">
          <a:extLst>
            <a:ext uri="{FF2B5EF4-FFF2-40B4-BE49-F238E27FC236}">
              <a16:creationId xmlns:a16="http://schemas.microsoft.com/office/drawing/2014/main" id="{2B12D40B-0124-4247-8F51-AF83EA4C3782}"/>
            </a:ext>
          </a:extLst>
        </xdr:cNvPr>
        <xdr:cNvSpPr/>
      </xdr:nvSpPr>
      <xdr:spPr bwMode="auto">
        <a:xfrm>
          <a:off x="3765176" y="1255592"/>
          <a:ext cx="868349" cy="401173"/>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配賦費用実績</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CSV</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117395</xdr:colOff>
      <xdr:row>12</xdr:row>
      <xdr:rowOff>92315</xdr:rowOff>
    </xdr:from>
    <xdr:to>
      <xdr:col>15</xdr:col>
      <xdr:colOff>119570</xdr:colOff>
      <xdr:row>15</xdr:row>
      <xdr:rowOff>31864</xdr:rowOff>
    </xdr:to>
    <xdr:sp macro="" textlink="">
      <xdr:nvSpPr>
        <xdr:cNvPr id="21" name="フローチャート : 定義済み処理 66">
          <a:extLst>
            <a:ext uri="{FF2B5EF4-FFF2-40B4-BE49-F238E27FC236}">
              <a16:creationId xmlns:a16="http://schemas.microsoft.com/office/drawing/2014/main" id="{8C6B244C-28B6-41EA-B76D-E3F63EDB5F96}"/>
            </a:ext>
          </a:extLst>
        </xdr:cNvPr>
        <xdr:cNvSpPr>
          <a:spLocks noChangeArrowheads="1"/>
        </xdr:cNvSpPr>
      </xdr:nvSpPr>
      <xdr:spPr bwMode="auto">
        <a:xfrm>
          <a:off x="729983" y="2311080"/>
          <a:ext cx="1705469" cy="522255"/>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PABBB0010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ＮＸ連携バッチ</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21</xdr:col>
      <xdr:colOff>117396</xdr:colOff>
      <xdr:row>12</xdr:row>
      <xdr:rowOff>92315</xdr:rowOff>
    </xdr:from>
    <xdr:to>
      <xdr:col>33</xdr:col>
      <xdr:colOff>29924</xdr:colOff>
      <xdr:row>15</xdr:row>
      <xdr:rowOff>31864</xdr:rowOff>
    </xdr:to>
    <xdr:sp macro="" textlink="">
      <xdr:nvSpPr>
        <xdr:cNvPr id="22" name="フローチャート : 定義済み処理 66">
          <a:extLst>
            <a:ext uri="{FF2B5EF4-FFF2-40B4-BE49-F238E27FC236}">
              <a16:creationId xmlns:a16="http://schemas.microsoft.com/office/drawing/2014/main" id="{782F1299-DDCF-45A0-BAFF-2C28D904BE29}"/>
            </a:ext>
          </a:extLst>
        </xdr:cNvPr>
        <xdr:cNvSpPr>
          <a:spLocks noChangeArrowheads="1"/>
        </xdr:cNvSpPr>
      </xdr:nvSpPr>
      <xdr:spPr bwMode="auto">
        <a:xfrm>
          <a:off x="3329749" y="2311080"/>
          <a:ext cx="1705469" cy="522255"/>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PFBZB0040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受信変換</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73660</xdr:colOff>
      <xdr:row>9</xdr:row>
      <xdr:rowOff>20706</xdr:rowOff>
    </xdr:from>
    <xdr:to>
      <xdr:col>27</xdr:col>
      <xdr:colOff>90527</xdr:colOff>
      <xdr:row>12</xdr:row>
      <xdr:rowOff>92315</xdr:rowOff>
    </xdr:to>
    <xdr:cxnSp macro="">
      <xdr:nvCxnSpPr>
        <xdr:cNvPr id="26" name="直線矢印コネクタ 25">
          <a:extLst>
            <a:ext uri="{FF2B5EF4-FFF2-40B4-BE49-F238E27FC236}">
              <a16:creationId xmlns:a16="http://schemas.microsoft.com/office/drawing/2014/main" id="{176F0F6A-41BD-467E-9258-3FBE733C9FBF}"/>
            </a:ext>
          </a:extLst>
        </xdr:cNvPr>
        <xdr:cNvCxnSpPr>
          <a:cxnSpLocks/>
          <a:stCxn id="20" idx="4"/>
          <a:endCxn id="22" idx="0"/>
        </xdr:cNvCxnSpPr>
      </xdr:nvCxnSpPr>
      <xdr:spPr bwMode="auto">
        <a:xfrm flipH="1">
          <a:off x="4182484" y="1656765"/>
          <a:ext cx="16867" cy="6543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23</xdr:col>
      <xdr:colOff>44290</xdr:colOff>
      <xdr:row>17</xdr:row>
      <xdr:rowOff>151012</xdr:rowOff>
    </xdr:from>
    <xdr:to>
      <xdr:col>31</xdr:col>
      <xdr:colOff>112431</xdr:colOff>
      <xdr:row>20</xdr:row>
      <xdr:rowOff>10134</xdr:rowOff>
    </xdr:to>
    <xdr:sp macro="" textlink="">
      <xdr:nvSpPr>
        <xdr:cNvPr id="27" name="Text Box 56">
          <a:extLst>
            <a:ext uri="{FF2B5EF4-FFF2-40B4-BE49-F238E27FC236}">
              <a16:creationId xmlns:a16="http://schemas.microsoft.com/office/drawing/2014/main" id="{5C5237BA-94B2-41D4-B552-0912349E1FE5}"/>
            </a:ext>
          </a:extLst>
        </xdr:cNvPr>
        <xdr:cNvSpPr txBox="1">
          <a:spLocks noChangeArrowheads="1"/>
        </xdr:cNvSpPr>
      </xdr:nvSpPr>
      <xdr:spPr bwMode="auto">
        <a:xfrm>
          <a:off x="3555466" y="3340953"/>
          <a:ext cx="1263436" cy="44182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配賦費用実績受信ＩＦ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65101</xdr:colOff>
      <xdr:row>20</xdr:row>
      <xdr:rowOff>170757</xdr:rowOff>
    </xdr:from>
    <xdr:to>
      <xdr:col>16</xdr:col>
      <xdr:colOff>130778</xdr:colOff>
      <xdr:row>23</xdr:row>
      <xdr:rowOff>110304</xdr:rowOff>
    </xdr:to>
    <xdr:sp macro="" textlink="">
      <xdr:nvSpPr>
        <xdr:cNvPr id="28" name="フローチャート : 定義済み処理 66">
          <a:extLst>
            <a:ext uri="{FF2B5EF4-FFF2-40B4-BE49-F238E27FC236}">
              <a16:creationId xmlns:a16="http://schemas.microsoft.com/office/drawing/2014/main" id="{7FDE03F6-B1AE-411B-AB47-265C3E9F4D04}"/>
            </a:ext>
          </a:extLst>
        </xdr:cNvPr>
        <xdr:cNvSpPr>
          <a:spLocks noChangeArrowheads="1"/>
        </xdr:cNvSpPr>
      </xdr:nvSpPr>
      <xdr:spPr bwMode="auto">
        <a:xfrm>
          <a:off x="886866" y="3943404"/>
          <a:ext cx="1709206" cy="522253"/>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MGBGB0020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配賦費用実績ＩＦ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取込バッチ</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6</xdr:col>
      <xdr:colOff>138739</xdr:colOff>
      <xdr:row>25</xdr:row>
      <xdr:rowOff>91249</xdr:rowOff>
    </xdr:from>
    <xdr:to>
      <xdr:col>15</xdr:col>
      <xdr:colOff>57470</xdr:colOff>
      <xdr:row>27</xdr:row>
      <xdr:rowOff>144607</xdr:rowOff>
    </xdr:to>
    <xdr:sp macro="" textlink="">
      <xdr:nvSpPr>
        <xdr:cNvPr id="29" name="Text Box 56">
          <a:extLst>
            <a:ext uri="{FF2B5EF4-FFF2-40B4-BE49-F238E27FC236}">
              <a16:creationId xmlns:a16="http://schemas.microsoft.com/office/drawing/2014/main" id="{20757DB0-AAF2-4D00-B516-5AF63586BDC0}"/>
            </a:ext>
          </a:extLst>
        </xdr:cNvPr>
        <xdr:cNvSpPr txBox="1">
          <a:spLocks noChangeArrowheads="1"/>
        </xdr:cNvSpPr>
      </xdr:nvSpPr>
      <xdr:spPr bwMode="auto">
        <a:xfrm>
          <a:off x="1109915" y="4835073"/>
          <a:ext cx="1263437" cy="44182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配賦費用実績ＩＦ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108857</xdr:colOff>
      <xdr:row>11</xdr:row>
      <xdr:rowOff>99785</xdr:rowOff>
    </xdr:from>
    <xdr:to>
      <xdr:col>16</xdr:col>
      <xdr:colOff>117928</xdr:colOff>
      <xdr:row>13</xdr:row>
      <xdr:rowOff>0</xdr:rowOff>
    </xdr:to>
    <xdr:sp macro="" textlink="">
      <xdr:nvSpPr>
        <xdr:cNvPr id="40" name="正方形/長方形 39">
          <a:extLst>
            <a:ext uri="{FF2B5EF4-FFF2-40B4-BE49-F238E27FC236}">
              <a16:creationId xmlns:a16="http://schemas.microsoft.com/office/drawing/2014/main" id="{C888CAF1-0279-4C69-B2F3-EA6393230C51}"/>
            </a:ext>
          </a:extLst>
        </xdr:cNvPr>
        <xdr:cNvSpPr/>
      </xdr:nvSpPr>
      <xdr:spPr bwMode="auto">
        <a:xfrm>
          <a:off x="2236107" y="2138135"/>
          <a:ext cx="301171" cy="293915"/>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①</a:t>
          </a:r>
        </a:p>
      </xdr:txBody>
    </xdr:sp>
    <xdr:clientData/>
  </xdr:twoCellAnchor>
  <xdr:twoCellAnchor>
    <xdr:from>
      <xdr:col>15</xdr:col>
      <xdr:colOff>127000</xdr:colOff>
      <xdr:row>50</xdr:row>
      <xdr:rowOff>136072</xdr:rowOff>
    </xdr:from>
    <xdr:to>
      <xdr:col>27</xdr:col>
      <xdr:colOff>47533</xdr:colOff>
      <xdr:row>53</xdr:row>
      <xdr:rowOff>75621</xdr:rowOff>
    </xdr:to>
    <xdr:sp macro="" textlink="">
      <xdr:nvSpPr>
        <xdr:cNvPr id="43" name="フローチャート : 定義済み処理 66">
          <a:extLst>
            <a:ext uri="{FF2B5EF4-FFF2-40B4-BE49-F238E27FC236}">
              <a16:creationId xmlns:a16="http://schemas.microsoft.com/office/drawing/2014/main" id="{C0BC1397-B6F5-4EA7-A509-1D94FCC5BB2B}"/>
            </a:ext>
          </a:extLst>
        </xdr:cNvPr>
        <xdr:cNvSpPr>
          <a:spLocks noChangeArrowheads="1"/>
        </xdr:cNvSpPr>
      </xdr:nvSpPr>
      <xdr:spPr bwMode="auto">
        <a:xfrm>
          <a:off x="2400300" y="9851572"/>
          <a:ext cx="1673133" cy="530099"/>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MGBGB0020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配賦費用実績ＩＦ</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取込バッチ</a:t>
          </a:r>
        </a:p>
      </xdr:txBody>
    </xdr:sp>
    <xdr:clientData/>
  </xdr:twoCellAnchor>
  <xdr:twoCellAnchor>
    <xdr:from>
      <xdr:col>9</xdr:col>
      <xdr:colOff>114482</xdr:colOff>
      <xdr:row>39</xdr:row>
      <xdr:rowOff>39334</xdr:rowOff>
    </xdr:from>
    <xdr:to>
      <xdr:col>15</xdr:col>
      <xdr:colOff>127001</xdr:colOff>
      <xdr:row>52</xdr:row>
      <xdr:rowOff>6060</xdr:rowOff>
    </xdr:to>
    <xdr:cxnSp macro="">
      <xdr:nvCxnSpPr>
        <xdr:cNvPr id="44" name="コネクタ: カギ線 43">
          <a:extLst>
            <a:ext uri="{FF2B5EF4-FFF2-40B4-BE49-F238E27FC236}">
              <a16:creationId xmlns:a16="http://schemas.microsoft.com/office/drawing/2014/main" id="{5A12F040-295E-4EAD-B9AE-C59CE40FD805}"/>
            </a:ext>
          </a:extLst>
        </xdr:cNvPr>
        <xdr:cNvCxnSpPr>
          <a:cxnSpLocks/>
          <a:stCxn id="11" idx="2"/>
          <a:endCxn id="43" idx="1"/>
        </xdr:cNvCxnSpPr>
      </xdr:nvCxnSpPr>
      <xdr:spPr bwMode="auto">
        <a:xfrm rot="16200000" flipH="1">
          <a:off x="693004" y="8407962"/>
          <a:ext cx="2525776" cy="88881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126999</xdr:colOff>
      <xdr:row>49</xdr:row>
      <xdr:rowOff>172357</xdr:rowOff>
    </xdr:from>
    <xdr:to>
      <xdr:col>16</xdr:col>
      <xdr:colOff>136070</xdr:colOff>
      <xdr:row>51</xdr:row>
      <xdr:rowOff>72572</xdr:rowOff>
    </xdr:to>
    <xdr:sp macro="" textlink="">
      <xdr:nvSpPr>
        <xdr:cNvPr id="45" name="正方形/長方形 44">
          <a:extLst>
            <a:ext uri="{FF2B5EF4-FFF2-40B4-BE49-F238E27FC236}">
              <a16:creationId xmlns:a16="http://schemas.microsoft.com/office/drawing/2014/main" id="{51AC696C-79D8-4071-B93A-A94781F24351}"/>
            </a:ext>
          </a:extLst>
        </xdr:cNvPr>
        <xdr:cNvSpPr/>
      </xdr:nvSpPr>
      <xdr:spPr bwMode="auto">
        <a:xfrm>
          <a:off x="2254249" y="9691007"/>
          <a:ext cx="301171" cy="293915"/>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③</a:t>
          </a:r>
        </a:p>
      </xdr:txBody>
    </xdr:sp>
    <xdr:clientData/>
  </xdr:twoCellAnchor>
  <xdr:oneCellAnchor>
    <xdr:from>
      <xdr:col>30</xdr:col>
      <xdr:colOff>18143</xdr:colOff>
      <xdr:row>50</xdr:row>
      <xdr:rowOff>181429</xdr:rowOff>
    </xdr:from>
    <xdr:ext cx="3111499" cy="583594"/>
    <xdr:sp macro="" textlink="">
      <xdr:nvSpPr>
        <xdr:cNvPr id="46" name="四角形吹き出し 10">
          <a:extLst>
            <a:ext uri="{FF2B5EF4-FFF2-40B4-BE49-F238E27FC236}">
              <a16:creationId xmlns:a16="http://schemas.microsoft.com/office/drawing/2014/main" id="{5C29C954-4036-43A2-9D18-E6E489E3E9B5}"/>
            </a:ext>
          </a:extLst>
        </xdr:cNvPr>
        <xdr:cNvSpPr/>
      </xdr:nvSpPr>
      <xdr:spPr>
        <a:xfrm>
          <a:off x="4482193" y="9896929"/>
          <a:ext cx="3111499" cy="583594"/>
        </a:xfrm>
        <a:prstGeom prst="wedgeRectCallout">
          <a:avLst>
            <a:gd name="adj1" fmla="val -65707"/>
            <a:gd name="adj2" fmla="val -4846"/>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受信ＩＦデータを元に、配賦費用実績ＩＦを登録する。</a:t>
          </a:r>
        </a:p>
        <a:p>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2</xdr:col>
      <xdr:colOff>89647</xdr:colOff>
      <xdr:row>6</xdr:row>
      <xdr:rowOff>186765</xdr:rowOff>
    </xdr:from>
    <xdr:to>
      <xdr:col>8</xdr:col>
      <xdr:colOff>127000</xdr:colOff>
      <xdr:row>9</xdr:row>
      <xdr:rowOff>45887</xdr:rowOff>
    </xdr:to>
    <xdr:sp macro="" textlink="">
      <xdr:nvSpPr>
        <xdr:cNvPr id="47" name="Text Box 56">
          <a:extLst>
            <a:ext uri="{FF2B5EF4-FFF2-40B4-BE49-F238E27FC236}">
              <a16:creationId xmlns:a16="http://schemas.microsoft.com/office/drawing/2014/main" id="{52CBBBB7-3AF6-432B-A40A-8089CF9A41A4}"/>
            </a:ext>
          </a:extLst>
        </xdr:cNvPr>
        <xdr:cNvSpPr txBox="1">
          <a:spLocks noChangeArrowheads="1"/>
        </xdr:cNvSpPr>
      </xdr:nvSpPr>
      <xdr:spPr bwMode="auto">
        <a:xfrm>
          <a:off x="388471" y="1240118"/>
          <a:ext cx="1008529" cy="44182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残高マスタ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37352</xdr:colOff>
      <xdr:row>6</xdr:row>
      <xdr:rowOff>112059</xdr:rowOff>
    </xdr:from>
    <xdr:to>
      <xdr:col>18</xdr:col>
      <xdr:colOff>120595</xdr:colOff>
      <xdr:row>9</xdr:row>
      <xdr:rowOff>128067</xdr:rowOff>
    </xdr:to>
    <xdr:sp macro="" textlink="">
      <xdr:nvSpPr>
        <xdr:cNvPr id="49" name="フローチャート : 定義済み処理 66">
          <a:extLst>
            <a:ext uri="{FF2B5EF4-FFF2-40B4-BE49-F238E27FC236}">
              <a16:creationId xmlns:a16="http://schemas.microsoft.com/office/drawing/2014/main" id="{66C23285-4D34-41B4-ABCD-7ED559D7C00E}"/>
            </a:ext>
          </a:extLst>
        </xdr:cNvPr>
        <xdr:cNvSpPr>
          <a:spLocks noChangeArrowheads="1"/>
        </xdr:cNvSpPr>
      </xdr:nvSpPr>
      <xdr:spPr bwMode="auto">
        <a:xfrm>
          <a:off x="1904999" y="1165412"/>
          <a:ext cx="979714" cy="598714"/>
        </a:xfrm>
        <a:prstGeom prst="flowChartPredefinedProcess">
          <a:avLst/>
        </a:prstGeom>
        <a:noFill/>
        <a:ln w="28575" algn="ctr">
          <a:solidFill>
            <a:srgbClr val="FF0000"/>
          </a:solidFill>
          <a:miter lim="800000"/>
          <a:headEnd/>
          <a:tailEnd/>
        </a:ln>
      </xdr:spPr>
      <xdr:txBody>
        <a:bodyPr vertOverflow="clip" wrap="square" lIns="27432" tIns="18288" rIns="27432" bIns="18288" anchor="ctr" upright="1"/>
        <a:lstStyle/>
        <a:p>
          <a:pPr marL="0" indent="0" algn="ctr" rtl="0">
            <a:lnSpc>
              <a:spcPts val="1000"/>
            </a:lnSpc>
            <a:defRPr sz="1000"/>
          </a:pPr>
          <a:r>
            <a:rPr lang="en-US" altLang="ja-JP" sz="900" b="0" i="0">
              <a:effectLst/>
              <a:latin typeface="+mn-lt"/>
              <a:ea typeface="+mn-ea"/>
              <a:cs typeface="+mn-cs"/>
            </a:rPr>
            <a:t>NX</a:t>
          </a:r>
          <a:r>
            <a:rPr lang="ja-JP" altLang="en-US" sz="900" b="0" i="0">
              <a:effectLst/>
              <a:latin typeface="+mn-lt"/>
              <a:ea typeface="+mn-ea"/>
              <a:cs typeface="+mn-cs"/>
            </a:rPr>
            <a:t>バッチ実行ツール</a:t>
          </a:r>
          <a:r>
            <a:rPr lang="ja-JP" altLang="en-US" sz="900"/>
            <a:t> </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10</xdr:col>
      <xdr:colOff>13894</xdr:colOff>
      <xdr:row>9</xdr:row>
      <xdr:rowOff>128067</xdr:rowOff>
    </xdr:from>
    <xdr:to>
      <xdr:col>15</xdr:col>
      <xdr:colOff>78974</xdr:colOff>
      <xdr:row>12</xdr:row>
      <xdr:rowOff>92315</xdr:rowOff>
    </xdr:to>
    <xdr:cxnSp macro="">
      <xdr:nvCxnSpPr>
        <xdr:cNvPr id="53" name="コネクタ: カギ線 52">
          <a:extLst>
            <a:ext uri="{FF2B5EF4-FFF2-40B4-BE49-F238E27FC236}">
              <a16:creationId xmlns:a16="http://schemas.microsoft.com/office/drawing/2014/main" id="{C72BF9A1-D432-4B5E-B8F8-27C2F0EC9877}"/>
            </a:ext>
          </a:extLst>
        </xdr:cNvPr>
        <xdr:cNvCxnSpPr>
          <a:stCxn id="21" idx="0"/>
          <a:endCxn id="49" idx="2"/>
        </xdr:cNvCxnSpPr>
      </xdr:nvCxnSpPr>
      <xdr:spPr bwMode="auto">
        <a:xfrm rot="5400000" flipH="1" flipV="1">
          <a:off x="1715310" y="1631534"/>
          <a:ext cx="546954" cy="812138"/>
        </a:xfrm>
        <a:prstGeom prst="bentConnector3">
          <a:avLst>
            <a:gd name="adj1" fmla="val 4043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127000</xdr:colOff>
      <xdr:row>8</xdr:row>
      <xdr:rowOff>19208</xdr:rowOff>
    </xdr:from>
    <xdr:to>
      <xdr:col>12</xdr:col>
      <xdr:colOff>37352</xdr:colOff>
      <xdr:row>8</xdr:row>
      <xdr:rowOff>22945</xdr:rowOff>
    </xdr:to>
    <xdr:cxnSp macro="">
      <xdr:nvCxnSpPr>
        <xdr:cNvPr id="57" name="直線矢印コネクタ 56">
          <a:extLst>
            <a:ext uri="{FF2B5EF4-FFF2-40B4-BE49-F238E27FC236}">
              <a16:creationId xmlns:a16="http://schemas.microsoft.com/office/drawing/2014/main" id="{4D5DF8B7-AF31-47FA-B1A4-B2FE88D9F57A}"/>
            </a:ext>
          </a:extLst>
        </xdr:cNvPr>
        <xdr:cNvCxnSpPr>
          <a:stCxn id="47" idx="3"/>
          <a:endCxn id="49" idx="1"/>
        </xdr:cNvCxnSpPr>
      </xdr:nvCxnSpPr>
      <xdr:spPr bwMode="auto">
        <a:xfrm>
          <a:off x="1397000" y="1461032"/>
          <a:ext cx="507999" cy="37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120595</xdr:colOff>
      <xdr:row>8</xdr:row>
      <xdr:rowOff>14355</xdr:rowOff>
    </xdr:from>
    <xdr:to>
      <xdr:col>25</xdr:col>
      <xdr:colOff>42011</xdr:colOff>
      <xdr:row>8</xdr:row>
      <xdr:rowOff>22945</xdr:rowOff>
    </xdr:to>
    <xdr:cxnSp macro="">
      <xdr:nvCxnSpPr>
        <xdr:cNvPr id="61" name="直線矢印コネクタ 60">
          <a:extLst>
            <a:ext uri="{FF2B5EF4-FFF2-40B4-BE49-F238E27FC236}">
              <a16:creationId xmlns:a16="http://schemas.microsoft.com/office/drawing/2014/main" id="{76946344-912D-48D6-AFAA-8AC33CC7C439}"/>
            </a:ext>
          </a:extLst>
        </xdr:cNvPr>
        <xdr:cNvCxnSpPr>
          <a:stCxn id="49" idx="3"/>
          <a:endCxn id="20" idx="2"/>
        </xdr:cNvCxnSpPr>
      </xdr:nvCxnSpPr>
      <xdr:spPr bwMode="auto">
        <a:xfrm flipV="1">
          <a:off x="2884713" y="1456179"/>
          <a:ext cx="967298" cy="85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73660</xdr:colOff>
      <xdr:row>15</xdr:row>
      <xdr:rowOff>31864</xdr:rowOff>
    </xdr:from>
    <xdr:to>
      <xdr:col>27</xdr:col>
      <xdr:colOff>78360</xdr:colOff>
      <xdr:row>17</xdr:row>
      <xdr:rowOff>151012</xdr:rowOff>
    </xdr:to>
    <xdr:cxnSp macro="">
      <xdr:nvCxnSpPr>
        <xdr:cNvPr id="68" name="直線矢印コネクタ 67">
          <a:extLst>
            <a:ext uri="{FF2B5EF4-FFF2-40B4-BE49-F238E27FC236}">
              <a16:creationId xmlns:a16="http://schemas.microsoft.com/office/drawing/2014/main" id="{A9C30E89-7EFC-4DB5-BBA4-1E47F039AB0E}"/>
            </a:ext>
          </a:extLst>
        </xdr:cNvPr>
        <xdr:cNvCxnSpPr>
          <a:cxnSpLocks/>
          <a:stCxn id="22" idx="2"/>
          <a:endCxn id="27" idx="0"/>
        </xdr:cNvCxnSpPr>
      </xdr:nvCxnSpPr>
      <xdr:spPr bwMode="auto">
        <a:xfrm>
          <a:off x="4182484" y="2833335"/>
          <a:ext cx="4700" cy="50761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11</xdr:col>
      <xdr:colOff>23234</xdr:colOff>
      <xdr:row>23</xdr:row>
      <xdr:rowOff>110304</xdr:rowOff>
    </xdr:from>
    <xdr:to>
      <xdr:col>11</xdr:col>
      <xdr:colOff>23399</xdr:colOff>
      <xdr:row>25</xdr:row>
      <xdr:rowOff>91249</xdr:rowOff>
    </xdr:to>
    <xdr:cxnSp macro="">
      <xdr:nvCxnSpPr>
        <xdr:cNvPr id="73" name="直線矢印コネクタ 72">
          <a:extLst>
            <a:ext uri="{FF2B5EF4-FFF2-40B4-BE49-F238E27FC236}">
              <a16:creationId xmlns:a16="http://schemas.microsoft.com/office/drawing/2014/main" id="{0C71C5FC-3952-497F-9C87-1DC362E9EE99}"/>
            </a:ext>
          </a:extLst>
        </xdr:cNvPr>
        <xdr:cNvCxnSpPr>
          <a:cxnSpLocks/>
          <a:stCxn id="28" idx="2"/>
          <a:endCxn id="29" idx="0"/>
        </xdr:cNvCxnSpPr>
      </xdr:nvCxnSpPr>
      <xdr:spPr bwMode="auto">
        <a:xfrm>
          <a:off x="1741469" y="4465657"/>
          <a:ext cx="165" cy="36941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11</xdr:col>
      <xdr:colOff>23235</xdr:colOff>
      <xdr:row>18</xdr:row>
      <xdr:rowOff>177690</xdr:rowOff>
    </xdr:from>
    <xdr:to>
      <xdr:col>23</xdr:col>
      <xdr:colOff>44291</xdr:colOff>
      <xdr:row>20</xdr:row>
      <xdr:rowOff>170756</xdr:rowOff>
    </xdr:to>
    <xdr:cxnSp macro="">
      <xdr:nvCxnSpPr>
        <xdr:cNvPr id="77" name="コネクタ: カギ線 76">
          <a:extLst>
            <a:ext uri="{FF2B5EF4-FFF2-40B4-BE49-F238E27FC236}">
              <a16:creationId xmlns:a16="http://schemas.microsoft.com/office/drawing/2014/main" id="{B65E461A-B61D-4D4E-861B-FA519FFA1BFC}"/>
            </a:ext>
          </a:extLst>
        </xdr:cNvPr>
        <xdr:cNvCxnSpPr>
          <a:stCxn id="27" idx="1"/>
          <a:endCxn id="28" idx="0"/>
        </xdr:cNvCxnSpPr>
      </xdr:nvCxnSpPr>
      <xdr:spPr bwMode="auto">
        <a:xfrm rot="10800000" flipV="1">
          <a:off x="1741470" y="3561866"/>
          <a:ext cx="1813997" cy="38153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104589</xdr:colOff>
      <xdr:row>25</xdr:row>
      <xdr:rowOff>97118</xdr:rowOff>
    </xdr:from>
    <xdr:to>
      <xdr:col>37</xdr:col>
      <xdr:colOff>23320</xdr:colOff>
      <xdr:row>27</xdr:row>
      <xdr:rowOff>150476</xdr:rowOff>
    </xdr:to>
    <xdr:sp macro="" textlink="">
      <xdr:nvSpPr>
        <xdr:cNvPr id="80" name="Text Box 56">
          <a:extLst>
            <a:ext uri="{FF2B5EF4-FFF2-40B4-BE49-F238E27FC236}">
              <a16:creationId xmlns:a16="http://schemas.microsoft.com/office/drawing/2014/main" id="{CDFE508C-60D1-478A-A156-1CC0A447E495}"/>
            </a:ext>
          </a:extLst>
        </xdr:cNvPr>
        <xdr:cNvSpPr txBox="1">
          <a:spLocks noChangeArrowheads="1"/>
        </xdr:cNvSpPr>
      </xdr:nvSpPr>
      <xdr:spPr bwMode="auto">
        <a:xfrm>
          <a:off x="4362824" y="4840942"/>
          <a:ext cx="1263437" cy="44182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配賦費用実績</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59765</xdr:colOff>
      <xdr:row>24</xdr:row>
      <xdr:rowOff>179295</xdr:rowOff>
    </xdr:from>
    <xdr:to>
      <xdr:col>25</xdr:col>
      <xdr:colOff>127001</xdr:colOff>
      <xdr:row>28</xdr:row>
      <xdr:rowOff>59766</xdr:rowOff>
    </xdr:to>
    <xdr:sp macro="" textlink="">
      <xdr:nvSpPr>
        <xdr:cNvPr id="81" name="フローチャート: 処理 80">
          <a:extLst>
            <a:ext uri="{FF2B5EF4-FFF2-40B4-BE49-F238E27FC236}">
              <a16:creationId xmlns:a16="http://schemas.microsoft.com/office/drawing/2014/main" id="{9E5BE0F8-EDA4-448D-82A0-D08646AF8CE1}"/>
            </a:ext>
          </a:extLst>
        </xdr:cNvPr>
        <xdr:cNvSpPr/>
      </xdr:nvSpPr>
      <xdr:spPr bwMode="auto">
        <a:xfrm>
          <a:off x="2823883" y="4728883"/>
          <a:ext cx="1113118" cy="657412"/>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MGBGP0040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配賦費用実績ＩＦ</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a:t>
          </a:r>
        </a:p>
      </xdr:txBody>
    </xdr:sp>
    <xdr:clientData/>
  </xdr:twoCellAnchor>
  <xdr:twoCellAnchor>
    <xdr:from>
      <xdr:col>15</xdr:col>
      <xdr:colOff>57470</xdr:colOff>
      <xdr:row>26</xdr:row>
      <xdr:rowOff>117928</xdr:rowOff>
    </xdr:from>
    <xdr:to>
      <xdr:col>18</xdr:col>
      <xdr:colOff>59765</xdr:colOff>
      <xdr:row>26</xdr:row>
      <xdr:rowOff>119530</xdr:rowOff>
    </xdr:to>
    <xdr:cxnSp macro="">
      <xdr:nvCxnSpPr>
        <xdr:cNvPr id="82" name="直線矢印コネクタ 81">
          <a:extLst>
            <a:ext uri="{FF2B5EF4-FFF2-40B4-BE49-F238E27FC236}">
              <a16:creationId xmlns:a16="http://schemas.microsoft.com/office/drawing/2014/main" id="{8BB54993-10D0-4BE9-AF1C-9E6ED0F76E2C}"/>
            </a:ext>
          </a:extLst>
        </xdr:cNvPr>
        <xdr:cNvCxnSpPr>
          <a:cxnSpLocks/>
          <a:stCxn id="29" idx="3"/>
          <a:endCxn id="81" idx="1"/>
        </xdr:cNvCxnSpPr>
      </xdr:nvCxnSpPr>
      <xdr:spPr bwMode="auto">
        <a:xfrm>
          <a:off x="2373352" y="5055987"/>
          <a:ext cx="450531" cy="160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25</xdr:col>
      <xdr:colOff>127001</xdr:colOff>
      <xdr:row>26</xdr:row>
      <xdr:rowOff>119530</xdr:rowOff>
    </xdr:from>
    <xdr:to>
      <xdr:col>28</xdr:col>
      <xdr:colOff>104589</xdr:colOff>
      <xdr:row>26</xdr:row>
      <xdr:rowOff>123797</xdr:rowOff>
    </xdr:to>
    <xdr:cxnSp macro="">
      <xdr:nvCxnSpPr>
        <xdr:cNvPr id="86" name="直線矢印コネクタ 85">
          <a:extLst>
            <a:ext uri="{FF2B5EF4-FFF2-40B4-BE49-F238E27FC236}">
              <a16:creationId xmlns:a16="http://schemas.microsoft.com/office/drawing/2014/main" id="{7000521C-CC96-4EC4-8441-C4645CE91897}"/>
            </a:ext>
          </a:extLst>
        </xdr:cNvPr>
        <xdr:cNvCxnSpPr>
          <a:cxnSpLocks/>
          <a:stCxn id="81" idx="3"/>
          <a:endCxn id="80" idx="1"/>
        </xdr:cNvCxnSpPr>
      </xdr:nvCxnSpPr>
      <xdr:spPr bwMode="auto">
        <a:xfrm>
          <a:off x="3937001" y="5057589"/>
          <a:ext cx="425823" cy="426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32</xdr:col>
      <xdr:colOff>59765</xdr:colOff>
      <xdr:row>11</xdr:row>
      <xdr:rowOff>67235</xdr:rowOff>
    </xdr:from>
    <xdr:to>
      <xdr:col>34</xdr:col>
      <xdr:colOff>68835</xdr:colOff>
      <xdr:row>12</xdr:row>
      <xdr:rowOff>161685</xdr:rowOff>
    </xdr:to>
    <xdr:sp macro="" textlink="">
      <xdr:nvSpPr>
        <xdr:cNvPr id="90" name="正方形/長方形 89">
          <a:extLst>
            <a:ext uri="{FF2B5EF4-FFF2-40B4-BE49-F238E27FC236}">
              <a16:creationId xmlns:a16="http://schemas.microsoft.com/office/drawing/2014/main" id="{1796E56E-8331-4265-8430-6B7A5D565447}"/>
            </a:ext>
          </a:extLst>
        </xdr:cNvPr>
        <xdr:cNvSpPr/>
      </xdr:nvSpPr>
      <xdr:spPr bwMode="auto">
        <a:xfrm>
          <a:off x="4915647" y="2091764"/>
          <a:ext cx="307894" cy="288686"/>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②</a:t>
          </a:r>
        </a:p>
      </xdr:txBody>
    </xdr:sp>
    <xdr:clientData/>
  </xdr:twoCellAnchor>
  <xdr:twoCellAnchor>
    <xdr:from>
      <xdr:col>16</xdr:col>
      <xdr:colOff>7471</xdr:colOff>
      <xdr:row>20</xdr:row>
      <xdr:rowOff>0</xdr:rowOff>
    </xdr:from>
    <xdr:to>
      <xdr:col>18</xdr:col>
      <xdr:colOff>16541</xdr:colOff>
      <xdr:row>21</xdr:row>
      <xdr:rowOff>94451</xdr:rowOff>
    </xdr:to>
    <xdr:sp macro="" textlink="">
      <xdr:nvSpPr>
        <xdr:cNvPr id="91" name="正方形/長方形 90">
          <a:extLst>
            <a:ext uri="{FF2B5EF4-FFF2-40B4-BE49-F238E27FC236}">
              <a16:creationId xmlns:a16="http://schemas.microsoft.com/office/drawing/2014/main" id="{57DA6F87-64B8-4B7E-8E81-D0DCC272DE74}"/>
            </a:ext>
          </a:extLst>
        </xdr:cNvPr>
        <xdr:cNvSpPr/>
      </xdr:nvSpPr>
      <xdr:spPr bwMode="auto">
        <a:xfrm>
          <a:off x="2472765" y="3772647"/>
          <a:ext cx="307894" cy="288686"/>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③</a:t>
          </a:r>
        </a:p>
      </xdr:txBody>
    </xdr:sp>
    <xdr:clientData/>
  </xdr:twoCellAnchor>
  <xdr:twoCellAnchor>
    <xdr:from>
      <xdr:col>0</xdr:col>
      <xdr:colOff>97118</xdr:colOff>
      <xdr:row>28</xdr:row>
      <xdr:rowOff>179294</xdr:rowOff>
    </xdr:from>
    <xdr:to>
      <xdr:col>8</xdr:col>
      <xdr:colOff>90555</xdr:colOff>
      <xdr:row>31</xdr:row>
      <xdr:rowOff>38416</xdr:rowOff>
    </xdr:to>
    <xdr:sp macro="" textlink="">
      <xdr:nvSpPr>
        <xdr:cNvPr id="48" name="Text Box 56">
          <a:extLst>
            <a:ext uri="{FF2B5EF4-FFF2-40B4-BE49-F238E27FC236}">
              <a16:creationId xmlns:a16="http://schemas.microsoft.com/office/drawing/2014/main" id="{65838FE3-CEB6-491B-8525-6154B221DE17}"/>
            </a:ext>
          </a:extLst>
        </xdr:cNvPr>
        <xdr:cNvSpPr txBox="1">
          <a:spLocks noChangeArrowheads="1"/>
        </xdr:cNvSpPr>
      </xdr:nvSpPr>
      <xdr:spPr bwMode="auto">
        <a:xfrm>
          <a:off x="97118" y="5505823"/>
          <a:ext cx="1263437" cy="44182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工数実績</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116250</xdr:colOff>
      <xdr:row>22</xdr:row>
      <xdr:rowOff>43413</xdr:rowOff>
    </xdr:from>
    <xdr:to>
      <xdr:col>5</xdr:col>
      <xdr:colOff>65102</xdr:colOff>
      <xdr:row>28</xdr:row>
      <xdr:rowOff>179294</xdr:rowOff>
    </xdr:to>
    <xdr:cxnSp macro="">
      <xdr:nvCxnSpPr>
        <xdr:cNvPr id="50" name="コネクタ: カギ線 49">
          <a:extLst>
            <a:ext uri="{FF2B5EF4-FFF2-40B4-BE49-F238E27FC236}">
              <a16:creationId xmlns:a16="http://schemas.microsoft.com/office/drawing/2014/main" id="{E6264849-EEB4-4B32-A5E3-1119C4B0383F}"/>
            </a:ext>
          </a:extLst>
        </xdr:cNvPr>
        <xdr:cNvCxnSpPr>
          <a:stCxn id="28" idx="1"/>
          <a:endCxn id="48" idx="0"/>
        </xdr:cNvCxnSpPr>
      </xdr:nvCxnSpPr>
      <xdr:spPr bwMode="auto">
        <a:xfrm rot="10800000" flipV="1">
          <a:off x="728838" y="4204531"/>
          <a:ext cx="158029" cy="130129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25400</xdr:colOff>
      <xdr:row>62</xdr:row>
      <xdr:rowOff>177800</xdr:rowOff>
    </xdr:from>
    <xdr:to>
      <xdr:col>62</xdr:col>
      <xdr:colOff>139700</xdr:colOff>
      <xdr:row>74</xdr:row>
      <xdr:rowOff>57150</xdr:rowOff>
    </xdr:to>
    <xdr:sp macro="" textlink="">
      <xdr:nvSpPr>
        <xdr:cNvPr id="2" name="正方形/長方形 1">
          <a:extLst>
            <a:ext uri="{FF2B5EF4-FFF2-40B4-BE49-F238E27FC236}">
              <a16:creationId xmlns:a16="http://schemas.microsoft.com/office/drawing/2014/main" id="{065AEB43-E8FC-445B-9458-0E3DC7DADF9B}"/>
            </a:ext>
          </a:extLst>
        </xdr:cNvPr>
        <xdr:cNvSpPr/>
      </xdr:nvSpPr>
      <xdr:spPr bwMode="auto">
        <a:xfrm>
          <a:off x="25400" y="13811250"/>
          <a:ext cx="9251950" cy="2012950"/>
        </a:xfrm>
        <a:prstGeom prst="rect">
          <a:avLst/>
        </a:prstGeom>
        <a:solidFill>
          <a:schemeClr val="tx1">
            <a:alpha val="7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「他勘定振替実績登録」の新規登録ロジックの呼び出しで実現するため、本機能では扱う範囲は、</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ja-JP" sz="1100" b="1">
              <a:solidFill>
                <a:srgbClr val="FF0000"/>
              </a:solidFill>
              <a:effectLst/>
              <a:latin typeface="Meiryo UI" panose="020B0604030504040204" pitchFamily="50" charset="-128"/>
              <a:ea typeface="Meiryo UI" panose="020B0604030504040204" pitchFamily="50" charset="-128"/>
              <a:cs typeface="+mn-cs"/>
            </a:rPr>
            <a:t>「他勘定振替実績登録」の新規登録ロジック</a:t>
          </a:r>
          <a:r>
            <a:rPr kumimoji="1" lang="ja-JP" altLang="en-US" sz="1100" b="1">
              <a:solidFill>
                <a:srgbClr val="FF0000"/>
              </a:solidFill>
              <a:effectLst/>
              <a:latin typeface="Meiryo UI" panose="020B0604030504040204" pitchFamily="50" charset="-128"/>
              <a:ea typeface="Meiryo UI" panose="020B0604030504040204" pitchFamily="50" charset="-128"/>
              <a:cs typeface="+mn-cs"/>
            </a:rPr>
            <a:t>の電文となる。</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pPr algn="l"/>
          <a:r>
            <a:rPr kumimoji="1" lang="ja-JP" altLang="en-US" sz="1100" b="1">
              <a:solidFill>
                <a:srgbClr val="FF0000"/>
              </a:solidFill>
              <a:effectLst/>
              <a:latin typeface="Meiryo UI" panose="020B0604030504040204" pitchFamily="50" charset="-128"/>
              <a:ea typeface="Meiryo UI" panose="020B0604030504040204" pitchFamily="50" charset="-128"/>
              <a:cs typeface="+mn-cs"/>
            </a:rPr>
            <a:t>詳細は、処理詳細シート参照。</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25400</xdr:colOff>
      <xdr:row>76</xdr:row>
      <xdr:rowOff>50800</xdr:rowOff>
    </xdr:from>
    <xdr:to>
      <xdr:col>62</xdr:col>
      <xdr:colOff>139700</xdr:colOff>
      <xdr:row>87</xdr:row>
      <xdr:rowOff>127000</xdr:rowOff>
    </xdr:to>
    <xdr:sp macro="" textlink="">
      <xdr:nvSpPr>
        <xdr:cNvPr id="3" name="正方形/長方形 2">
          <a:extLst>
            <a:ext uri="{FF2B5EF4-FFF2-40B4-BE49-F238E27FC236}">
              <a16:creationId xmlns:a16="http://schemas.microsoft.com/office/drawing/2014/main" id="{D7D822F1-5139-4621-B62E-A735AF409E52}"/>
            </a:ext>
          </a:extLst>
        </xdr:cNvPr>
        <xdr:cNvSpPr/>
      </xdr:nvSpPr>
      <xdr:spPr bwMode="auto">
        <a:xfrm>
          <a:off x="25400" y="16211550"/>
          <a:ext cx="9251950" cy="2012950"/>
        </a:xfrm>
        <a:prstGeom prst="rect">
          <a:avLst/>
        </a:prstGeom>
        <a:solidFill>
          <a:schemeClr val="tx1">
            <a:alpha val="7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「他勘定振替実績登録」の新規登録ロジックの呼び出しで実現するため、本機能では扱う範囲は、</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ja-JP" sz="1100" b="1">
              <a:solidFill>
                <a:srgbClr val="FF0000"/>
              </a:solidFill>
              <a:effectLst/>
              <a:latin typeface="Meiryo UI" panose="020B0604030504040204" pitchFamily="50" charset="-128"/>
              <a:ea typeface="Meiryo UI" panose="020B0604030504040204" pitchFamily="50" charset="-128"/>
              <a:cs typeface="+mn-cs"/>
            </a:rPr>
            <a:t>「他勘定振替実績登録」の新規登録ロジック</a:t>
          </a:r>
          <a:r>
            <a:rPr kumimoji="1" lang="ja-JP" altLang="en-US" sz="1100" b="1">
              <a:solidFill>
                <a:srgbClr val="FF0000"/>
              </a:solidFill>
              <a:effectLst/>
              <a:latin typeface="Meiryo UI" panose="020B0604030504040204" pitchFamily="50" charset="-128"/>
              <a:ea typeface="Meiryo UI" panose="020B0604030504040204" pitchFamily="50" charset="-128"/>
              <a:cs typeface="+mn-cs"/>
            </a:rPr>
            <a:t>の電文となる。</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pPr algn="l"/>
          <a:r>
            <a:rPr kumimoji="1" lang="ja-JP" altLang="en-US" sz="1100" b="1">
              <a:solidFill>
                <a:srgbClr val="FF0000"/>
              </a:solidFill>
              <a:effectLst/>
              <a:latin typeface="Meiryo UI" panose="020B0604030504040204" pitchFamily="50" charset="-128"/>
              <a:ea typeface="Meiryo UI" panose="020B0604030504040204" pitchFamily="50" charset="-128"/>
              <a:cs typeface="+mn-cs"/>
            </a:rPr>
            <a:t>詳細は、処理詳細シート参照。</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bnet.local\dfs\00&#26412;&#31038;&#21942;&#26989;(&#31038;&#22806;&#31192;)\02.&#12471;&#12473;&#12486;&#12512;&#21942;&#26989;&#37096;\01_&#35069;&#36896;&#20107;&#26989;&#37096;\10_&#65331;&#65317;&#31532;&#20108;&#37096;\03_&#31532;&#20108;&#35506;&#65288;&#35199;&#25903;&#65289;\31_&#24037;&#20107;&#20491;&#21029;\2003_&#12498;&#12521;&#12494;&#12486;&#12463;&#12471;&#12540;&#12489;ERP&#65306;&#31192;\30_&#12471;&#12473;&#12486;&#12512;&#35373;&#35336;\&#12471;&#12473;&#12486;&#12512;&#20181;&#27096;&#26360;_ver1.00\08_&#38283;&#30330;&#27231;&#33021;&#20181;&#27096;\&#21407;&#20385;&#31649;&#29702;\&#12496;&#12483;&#12481;&#27231;&#33021;_MGBGB0020_&#37197;&#36070;&#36027;&#29992;&#23455;&#32318;&#65321;&#65318;&#21462;&#36796;&#12496;&#12483;&#12481;_Rev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カスタマイズ）"/>
      <sheetName val="表紙"/>
      <sheetName val="変更来歴（カスタマイズ）"/>
      <sheetName val="変更来歴"/>
      <sheetName val="概要"/>
      <sheetName val="概要（カスタマイズ）"/>
      <sheetName val="引数説明"/>
      <sheetName val="処理・サービス関連図"/>
      <sheetName val="処理詳細"/>
      <sheetName val="更新入出力仕様"/>
      <sheetName val="バッチ・ＩＦデータ確認"/>
      <sheetName val="補足説明"/>
    </sheetNames>
    <sheetDataSet>
      <sheetData sheetId="0">
        <row r="10">
          <cell r="M10" t="str">
            <v>バッチ機能</v>
          </cell>
        </row>
        <row r="20">
          <cell r="U20" t="str">
            <v>J052-0-0001</v>
          </cell>
        </row>
        <row r="22">
          <cell r="U22">
            <v>0.04</v>
          </cell>
        </row>
        <row r="26">
          <cell r="AE26" t="str">
            <v>7.0.1</v>
          </cell>
        </row>
      </sheetData>
      <sheetData sheetId="1">
        <row r="5">
          <cell r="O5" t="str">
            <v>M7-US-1311</v>
          </cell>
          <cell r="AJ5" t="str">
            <v>7.0.1</v>
          </cell>
          <cell r="AP5" t="str">
            <v>r01.01</v>
          </cell>
        </row>
        <row r="15">
          <cell r="M15" t="str">
            <v>バッチ説明書</v>
          </cell>
        </row>
      </sheetData>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3:AZ46"/>
  <sheetViews>
    <sheetView showGridLines="0" tabSelected="1" view="pageBreakPreview" zoomScaleNormal="100" zoomScaleSheetLayoutView="100" workbookViewId="0">
      <selection activeCell="U18" sqref="U18:AJ19"/>
    </sheetView>
  </sheetViews>
  <sheetFormatPr defaultRowHeight="11.1"/>
  <cols>
    <col min="1" max="48" width="2.5" style="150" customWidth="1"/>
    <col min="49" max="49" width="2.5" style="150" hidden="1" customWidth="1"/>
    <col min="50" max="86" width="2.5" style="150" customWidth="1"/>
    <col min="87" max="256" width="8.875" style="150"/>
    <col min="257" max="305" width="2.5" style="150" customWidth="1"/>
    <col min="306" max="306" width="0" style="150" hidden="1" customWidth="1"/>
    <col min="307" max="512" width="8.875" style="150"/>
    <col min="513" max="561" width="2.5" style="150" customWidth="1"/>
    <col min="562" max="562" width="0" style="150" hidden="1" customWidth="1"/>
    <col min="563" max="768" width="8.875" style="150"/>
    <col min="769" max="817" width="2.5" style="150" customWidth="1"/>
    <col min="818" max="818" width="0" style="150" hidden="1" customWidth="1"/>
    <col min="819" max="1024" width="8.875" style="150"/>
    <col min="1025" max="1073" width="2.5" style="150" customWidth="1"/>
    <col min="1074" max="1074" width="0" style="150" hidden="1" customWidth="1"/>
    <col min="1075" max="1280" width="8.875" style="150"/>
    <col min="1281" max="1329" width="2.5" style="150" customWidth="1"/>
    <col min="1330" max="1330" width="0" style="150" hidden="1" customWidth="1"/>
    <col min="1331" max="1536" width="8.875" style="150"/>
    <col min="1537" max="1585" width="2.5" style="150" customWidth="1"/>
    <col min="1586" max="1586" width="0" style="150" hidden="1" customWidth="1"/>
    <col min="1587" max="1792" width="8.875" style="150"/>
    <col min="1793" max="1841" width="2.5" style="150" customWidth="1"/>
    <col min="1842" max="1842" width="0" style="150" hidden="1" customWidth="1"/>
    <col min="1843" max="2048" width="8.875" style="150"/>
    <col min="2049" max="2097" width="2.5" style="150" customWidth="1"/>
    <col min="2098" max="2098" width="0" style="150" hidden="1" customWidth="1"/>
    <col min="2099" max="2304" width="8.875" style="150"/>
    <col min="2305" max="2353" width="2.5" style="150" customWidth="1"/>
    <col min="2354" max="2354" width="0" style="150" hidden="1" customWidth="1"/>
    <col min="2355" max="2560" width="8.875" style="150"/>
    <col min="2561" max="2609" width="2.5" style="150" customWidth="1"/>
    <col min="2610" max="2610" width="0" style="150" hidden="1" customWidth="1"/>
    <col min="2611" max="2816" width="8.875" style="150"/>
    <col min="2817" max="2865" width="2.5" style="150" customWidth="1"/>
    <col min="2866" max="2866" width="0" style="150" hidden="1" customWidth="1"/>
    <col min="2867" max="3072" width="8.875" style="150"/>
    <col min="3073" max="3121" width="2.5" style="150" customWidth="1"/>
    <col min="3122" max="3122" width="0" style="150" hidden="1" customWidth="1"/>
    <col min="3123" max="3328" width="8.875" style="150"/>
    <col min="3329" max="3377" width="2.5" style="150" customWidth="1"/>
    <col min="3378" max="3378" width="0" style="150" hidden="1" customWidth="1"/>
    <col min="3379" max="3584" width="8.875" style="150"/>
    <col min="3585" max="3633" width="2.5" style="150" customWidth="1"/>
    <col min="3634" max="3634" width="0" style="150" hidden="1" customWidth="1"/>
    <col min="3635" max="3840" width="8.875" style="150"/>
    <col min="3841" max="3889" width="2.5" style="150" customWidth="1"/>
    <col min="3890" max="3890" width="0" style="150" hidden="1" customWidth="1"/>
    <col min="3891" max="4096" width="8.875" style="150"/>
    <col min="4097" max="4145" width="2.5" style="150" customWidth="1"/>
    <col min="4146" max="4146" width="0" style="150" hidden="1" customWidth="1"/>
    <col min="4147" max="4352" width="8.875" style="150"/>
    <col min="4353" max="4401" width="2.5" style="150" customWidth="1"/>
    <col min="4402" max="4402" width="0" style="150" hidden="1" customWidth="1"/>
    <col min="4403" max="4608" width="8.875" style="150"/>
    <col min="4609" max="4657" width="2.5" style="150" customWidth="1"/>
    <col min="4658" max="4658" width="0" style="150" hidden="1" customWidth="1"/>
    <col min="4659" max="4864" width="8.875" style="150"/>
    <col min="4865" max="4913" width="2.5" style="150" customWidth="1"/>
    <col min="4914" max="4914" width="0" style="150" hidden="1" customWidth="1"/>
    <col min="4915" max="5120" width="8.875" style="150"/>
    <col min="5121" max="5169" width="2.5" style="150" customWidth="1"/>
    <col min="5170" max="5170" width="0" style="150" hidden="1" customWidth="1"/>
    <col min="5171" max="5376" width="8.875" style="150"/>
    <col min="5377" max="5425" width="2.5" style="150" customWidth="1"/>
    <col min="5426" max="5426" width="0" style="150" hidden="1" customWidth="1"/>
    <col min="5427" max="5632" width="8.875" style="150"/>
    <col min="5633" max="5681" width="2.5" style="150" customWidth="1"/>
    <col min="5682" max="5682" width="0" style="150" hidden="1" customWidth="1"/>
    <col min="5683" max="5888" width="8.875" style="150"/>
    <col min="5889" max="5937" width="2.5" style="150" customWidth="1"/>
    <col min="5938" max="5938" width="0" style="150" hidden="1" customWidth="1"/>
    <col min="5939" max="6144" width="8.875" style="150"/>
    <col min="6145" max="6193" width="2.5" style="150" customWidth="1"/>
    <col min="6194" max="6194" width="0" style="150" hidden="1" customWidth="1"/>
    <col min="6195" max="6400" width="8.875" style="150"/>
    <col min="6401" max="6449" width="2.5" style="150" customWidth="1"/>
    <col min="6450" max="6450" width="0" style="150" hidden="1" customWidth="1"/>
    <col min="6451" max="6656" width="8.875" style="150"/>
    <col min="6657" max="6705" width="2.5" style="150" customWidth="1"/>
    <col min="6706" max="6706" width="0" style="150" hidden="1" customWidth="1"/>
    <col min="6707" max="6912" width="8.875" style="150"/>
    <col min="6913" max="6961" width="2.5" style="150" customWidth="1"/>
    <col min="6962" max="6962" width="0" style="150" hidden="1" customWidth="1"/>
    <col min="6963" max="7168" width="8.875" style="150"/>
    <col min="7169" max="7217" width="2.5" style="150" customWidth="1"/>
    <col min="7218" max="7218" width="0" style="150" hidden="1" customWidth="1"/>
    <col min="7219" max="7424" width="8.875" style="150"/>
    <col min="7425" max="7473" width="2.5" style="150" customWidth="1"/>
    <col min="7474" max="7474" width="0" style="150" hidden="1" customWidth="1"/>
    <col min="7475" max="7680" width="8.875" style="150"/>
    <col min="7681" max="7729" width="2.5" style="150" customWidth="1"/>
    <col min="7730" max="7730" width="0" style="150" hidden="1" customWidth="1"/>
    <col min="7731" max="7936" width="8.875" style="150"/>
    <col min="7937" max="7985" width="2.5" style="150" customWidth="1"/>
    <col min="7986" max="7986" width="0" style="150" hidden="1" customWidth="1"/>
    <col min="7987" max="8192" width="8.875" style="150"/>
    <col min="8193" max="8241" width="2.5" style="150" customWidth="1"/>
    <col min="8242" max="8242" width="0" style="150" hidden="1" customWidth="1"/>
    <col min="8243" max="8448" width="8.875" style="150"/>
    <col min="8449" max="8497" width="2.5" style="150" customWidth="1"/>
    <col min="8498" max="8498" width="0" style="150" hidden="1" customWidth="1"/>
    <col min="8499" max="8704" width="8.875" style="150"/>
    <col min="8705" max="8753" width="2.5" style="150" customWidth="1"/>
    <col min="8754" max="8754" width="0" style="150" hidden="1" customWidth="1"/>
    <col min="8755" max="8960" width="8.875" style="150"/>
    <col min="8961" max="9009" width="2.5" style="150" customWidth="1"/>
    <col min="9010" max="9010" width="0" style="150" hidden="1" customWidth="1"/>
    <col min="9011" max="9216" width="8.875" style="150"/>
    <col min="9217" max="9265" width="2.5" style="150" customWidth="1"/>
    <col min="9266" max="9266" width="0" style="150" hidden="1" customWidth="1"/>
    <col min="9267" max="9472" width="8.875" style="150"/>
    <col min="9473" max="9521" width="2.5" style="150" customWidth="1"/>
    <col min="9522" max="9522" width="0" style="150" hidden="1" customWidth="1"/>
    <col min="9523" max="9728" width="8.875" style="150"/>
    <col min="9729" max="9777" width="2.5" style="150" customWidth="1"/>
    <col min="9778" max="9778" width="0" style="150" hidden="1" customWidth="1"/>
    <col min="9779" max="9984" width="8.875" style="150"/>
    <col min="9985" max="10033" width="2.5" style="150" customWidth="1"/>
    <col min="10034" max="10034" width="0" style="150" hidden="1" customWidth="1"/>
    <col min="10035" max="10240" width="8.875" style="150"/>
    <col min="10241" max="10289" width="2.5" style="150" customWidth="1"/>
    <col min="10290" max="10290" width="0" style="150" hidden="1" customWidth="1"/>
    <col min="10291" max="10496" width="8.875" style="150"/>
    <col min="10497" max="10545" width="2.5" style="150" customWidth="1"/>
    <col min="10546" max="10546" width="0" style="150" hidden="1" customWidth="1"/>
    <col min="10547" max="10752" width="8.875" style="150"/>
    <col min="10753" max="10801" width="2.5" style="150" customWidth="1"/>
    <col min="10802" max="10802" width="0" style="150" hidden="1" customWidth="1"/>
    <col min="10803" max="11008" width="8.875" style="150"/>
    <col min="11009" max="11057" width="2.5" style="150" customWidth="1"/>
    <col min="11058" max="11058" width="0" style="150" hidden="1" customWidth="1"/>
    <col min="11059" max="11264" width="8.875" style="150"/>
    <col min="11265" max="11313" width="2.5" style="150" customWidth="1"/>
    <col min="11314" max="11314" width="0" style="150" hidden="1" customWidth="1"/>
    <col min="11315" max="11520" width="8.875" style="150"/>
    <col min="11521" max="11569" width="2.5" style="150" customWidth="1"/>
    <col min="11570" max="11570" width="0" style="150" hidden="1" customWidth="1"/>
    <col min="11571" max="11776" width="8.875" style="150"/>
    <col min="11777" max="11825" width="2.5" style="150" customWidth="1"/>
    <col min="11826" max="11826" width="0" style="150" hidden="1" customWidth="1"/>
    <col min="11827" max="12032" width="8.875" style="150"/>
    <col min="12033" max="12081" width="2.5" style="150" customWidth="1"/>
    <col min="12082" max="12082" width="0" style="150" hidden="1" customWidth="1"/>
    <col min="12083" max="12288" width="8.875" style="150"/>
    <col min="12289" max="12337" width="2.5" style="150" customWidth="1"/>
    <col min="12338" max="12338" width="0" style="150" hidden="1" customWidth="1"/>
    <col min="12339" max="12544" width="8.875" style="150"/>
    <col min="12545" max="12593" width="2.5" style="150" customWidth="1"/>
    <col min="12594" max="12594" width="0" style="150" hidden="1" customWidth="1"/>
    <col min="12595" max="12800" width="8.875" style="150"/>
    <col min="12801" max="12849" width="2.5" style="150" customWidth="1"/>
    <col min="12850" max="12850" width="0" style="150" hidden="1" customWidth="1"/>
    <col min="12851" max="13056" width="8.875" style="150"/>
    <col min="13057" max="13105" width="2.5" style="150" customWidth="1"/>
    <col min="13106" max="13106" width="0" style="150" hidden="1" customWidth="1"/>
    <col min="13107" max="13312" width="8.875" style="150"/>
    <col min="13313" max="13361" width="2.5" style="150" customWidth="1"/>
    <col min="13362" max="13362" width="0" style="150" hidden="1" customWidth="1"/>
    <col min="13363" max="13568" width="8.875" style="150"/>
    <col min="13569" max="13617" width="2.5" style="150" customWidth="1"/>
    <col min="13618" max="13618" width="0" style="150" hidden="1" customWidth="1"/>
    <col min="13619" max="13824" width="8.875" style="150"/>
    <col min="13825" max="13873" width="2.5" style="150" customWidth="1"/>
    <col min="13874" max="13874" width="0" style="150" hidden="1" customWidth="1"/>
    <col min="13875" max="14080" width="8.875" style="150"/>
    <col min="14081" max="14129" width="2.5" style="150" customWidth="1"/>
    <col min="14130" max="14130" width="0" style="150" hidden="1" customWidth="1"/>
    <col min="14131" max="14336" width="8.875" style="150"/>
    <col min="14337" max="14385" width="2.5" style="150" customWidth="1"/>
    <col min="14386" max="14386" width="0" style="150" hidden="1" customWidth="1"/>
    <col min="14387" max="14592" width="8.875" style="150"/>
    <col min="14593" max="14641" width="2.5" style="150" customWidth="1"/>
    <col min="14642" max="14642" width="0" style="150" hidden="1" customWidth="1"/>
    <col min="14643" max="14848" width="8.875" style="150"/>
    <col min="14849" max="14897" width="2.5" style="150" customWidth="1"/>
    <col min="14898" max="14898" width="0" style="150" hidden="1" customWidth="1"/>
    <col min="14899" max="15104" width="8.875" style="150"/>
    <col min="15105" max="15153" width="2.5" style="150" customWidth="1"/>
    <col min="15154" max="15154" width="0" style="150" hidden="1" customWidth="1"/>
    <col min="15155" max="15360" width="8.875" style="150"/>
    <col min="15361" max="15409" width="2.5" style="150" customWidth="1"/>
    <col min="15410" max="15410" width="0" style="150" hidden="1" customWidth="1"/>
    <col min="15411" max="15616" width="8.875" style="150"/>
    <col min="15617" max="15665" width="2.5" style="150" customWidth="1"/>
    <col min="15666" max="15666" width="0" style="150" hidden="1" customWidth="1"/>
    <col min="15667" max="15872" width="8.875" style="150"/>
    <col min="15873" max="15921" width="2.5" style="150" customWidth="1"/>
    <col min="15922" max="15922" width="0" style="150" hidden="1" customWidth="1"/>
    <col min="15923" max="16128" width="8.875" style="150"/>
    <col min="16129" max="16177" width="2.5" style="150" customWidth="1"/>
    <col min="16178" max="16178" width="0" style="150" hidden="1" customWidth="1"/>
    <col min="16179" max="16384" width="8.875" style="150"/>
  </cols>
  <sheetData>
    <row r="3" spans="2:47" ht="11.25" customHeight="1">
      <c r="AC3" s="341"/>
      <c r="AD3" s="342"/>
      <c r="AE3" s="342"/>
      <c r="AF3" s="342"/>
      <c r="AG3" s="342"/>
      <c r="AH3" s="342"/>
      <c r="AI3" s="341"/>
      <c r="AJ3" s="341"/>
      <c r="AK3" s="341"/>
      <c r="AL3" s="341"/>
      <c r="AM3" s="341"/>
      <c r="AN3" s="343"/>
      <c r="AO3" s="343"/>
      <c r="AP3" s="343"/>
      <c r="AQ3" s="343"/>
      <c r="AR3" s="343"/>
      <c r="AS3" s="343"/>
      <c r="AT3" s="343"/>
      <c r="AU3" s="151"/>
    </row>
    <row r="4" spans="2:47" ht="11.1" customHeight="1">
      <c r="B4" s="152"/>
      <c r="C4" s="153"/>
      <c r="D4" s="153"/>
      <c r="E4" s="153"/>
      <c r="F4" s="153"/>
      <c r="G4" s="153"/>
      <c r="H4" s="153"/>
      <c r="I4" s="153"/>
      <c r="J4" s="153"/>
      <c r="AC4" s="342"/>
      <c r="AD4" s="342"/>
      <c r="AE4" s="342"/>
      <c r="AF4" s="342"/>
      <c r="AG4" s="342"/>
      <c r="AH4" s="342"/>
      <c r="AI4" s="341"/>
      <c r="AJ4" s="341"/>
      <c r="AK4" s="341"/>
      <c r="AL4" s="341"/>
      <c r="AM4" s="341"/>
      <c r="AN4" s="343"/>
      <c r="AO4" s="343"/>
      <c r="AP4" s="343"/>
      <c r="AQ4" s="343"/>
      <c r="AR4" s="343"/>
      <c r="AS4" s="343"/>
      <c r="AT4" s="343"/>
      <c r="AU4" s="151"/>
    </row>
    <row r="5" spans="2:47" ht="11.25" customHeight="1">
      <c r="AC5" s="342"/>
      <c r="AD5" s="342"/>
      <c r="AE5" s="342"/>
      <c r="AF5" s="342"/>
      <c r="AG5" s="342"/>
      <c r="AH5" s="342"/>
      <c r="AI5" s="344"/>
      <c r="AJ5" s="344"/>
      <c r="AK5" s="344"/>
      <c r="AL5" s="344"/>
      <c r="AM5" s="344"/>
      <c r="AN5" s="345"/>
      <c r="AO5" s="345"/>
      <c r="AP5" s="345"/>
      <c r="AQ5" s="345"/>
      <c r="AR5" s="345"/>
      <c r="AS5" s="345"/>
      <c r="AT5" s="345"/>
      <c r="AU5" s="154"/>
    </row>
    <row r="6" spans="2:47" ht="12.75" customHeight="1">
      <c r="B6" s="155"/>
      <c r="M6" s="156"/>
      <c r="N6" s="156"/>
      <c r="O6" s="156"/>
      <c r="P6" s="156"/>
      <c r="Q6" s="156"/>
      <c r="R6" s="156"/>
      <c r="S6" s="156"/>
      <c r="T6" s="156"/>
      <c r="U6" s="156"/>
      <c r="V6" s="156"/>
      <c r="W6" s="156"/>
      <c r="X6" s="156"/>
      <c r="Y6" s="156"/>
      <c r="Z6" s="156"/>
      <c r="AA6" s="156"/>
      <c r="AB6" s="156"/>
      <c r="AC6" s="156"/>
      <c r="AD6" s="156"/>
      <c r="AE6" s="156"/>
      <c r="AF6" s="156"/>
      <c r="AG6" s="156"/>
      <c r="AH6" s="156"/>
      <c r="AI6" s="156"/>
      <c r="AJ6" s="156"/>
    </row>
    <row r="7" spans="2:47" ht="11.25" customHeight="1">
      <c r="M7" s="346" t="s">
        <v>0</v>
      </c>
      <c r="N7" s="347"/>
      <c r="O7" s="347"/>
      <c r="P7" s="347"/>
      <c r="Q7" s="347"/>
      <c r="R7" s="347"/>
      <c r="S7" s="347"/>
      <c r="T7" s="347"/>
      <c r="U7" s="347"/>
      <c r="V7" s="347"/>
      <c r="W7" s="347"/>
      <c r="X7" s="347"/>
      <c r="Y7" s="347"/>
      <c r="Z7" s="347"/>
      <c r="AA7" s="347"/>
      <c r="AB7" s="347"/>
      <c r="AC7" s="347"/>
      <c r="AD7" s="347"/>
      <c r="AE7" s="347"/>
      <c r="AF7" s="347"/>
      <c r="AG7" s="347"/>
      <c r="AH7" s="347"/>
      <c r="AI7" s="347"/>
      <c r="AJ7" s="348"/>
    </row>
    <row r="8" spans="2:47" ht="11.25" customHeight="1">
      <c r="M8" s="346"/>
      <c r="N8" s="347"/>
      <c r="O8" s="347"/>
      <c r="P8" s="347"/>
      <c r="Q8" s="347"/>
      <c r="R8" s="347"/>
      <c r="S8" s="347"/>
      <c r="T8" s="347"/>
      <c r="U8" s="347"/>
      <c r="V8" s="347"/>
      <c r="W8" s="347"/>
      <c r="X8" s="347"/>
      <c r="Y8" s="347"/>
      <c r="Z8" s="347"/>
      <c r="AA8" s="347"/>
      <c r="AB8" s="347"/>
      <c r="AC8" s="347"/>
      <c r="AD8" s="347"/>
      <c r="AE8" s="347"/>
      <c r="AF8" s="347"/>
      <c r="AG8" s="347"/>
      <c r="AH8" s="347"/>
      <c r="AI8" s="347"/>
      <c r="AJ8" s="348"/>
    </row>
    <row r="9" spans="2:47" ht="11.25" customHeight="1">
      <c r="M9" s="346"/>
      <c r="N9" s="347"/>
      <c r="O9" s="347"/>
      <c r="P9" s="347"/>
      <c r="Q9" s="347"/>
      <c r="R9" s="347"/>
      <c r="S9" s="347"/>
      <c r="T9" s="347"/>
      <c r="U9" s="347"/>
      <c r="V9" s="347"/>
      <c r="W9" s="347"/>
      <c r="X9" s="347"/>
      <c r="Y9" s="347"/>
      <c r="Z9" s="347"/>
      <c r="AA9" s="347"/>
      <c r="AB9" s="347"/>
      <c r="AC9" s="347"/>
      <c r="AD9" s="347"/>
      <c r="AE9" s="347"/>
      <c r="AF9" s="347"/>
      <c r="AG9" s="347"/>
      <c r="AH9" s="347"/>
      <c r="AI9" s="347"/>
      <c r="AJ9" s="348"/>
    </row>
    <row r="10" spans="2:47" ht="11.25" customHeight="1">
      <c r="M10" s="349" t="s">
        <v>1</v>
      </c>
      <c r="N10" s="350"/>
      <c r="O10" s="350"/>
      <c r="P10" s="350"/>
      <c r="Q10" s="350"/>
      <c r="R10" s="350"/>
      <c r="S10" s="350"/>
      <c r="T10" s="350"/>
      <c r="U10" s="350"/>
      <c r="V10" s="350"/>
      <c r="W10" s="350"/>
      <c r="X10" s="350"/>
      <c r="Y10" s="350"/>
      <c r="Z10" s="350"/>
      <c r="AA10" s="350"/>
      <c r="AB10" s="350"/>
      <c r="AC10" s="350"/>
      <c r="AD10" s="350"/>
      <c r="AE10" s="350"/>
      <c r="AF10" s="350"/>
      <c r="AG10" s="350"/>
      <c r="AH10" s="350"/>
      <c r="AI10" s="350"/>
      <c r="AJ10" s="351"/>
    </row>
    <row r="11" spans="2:47" ht="11.25" customHeight="1">
      <c r="M11" s="349"/>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1"/>
    </row>
    <row r="12" spans="2:47" ht="11.25" customHeight="1">
      <c r="M12" s="352"/>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4"/>
    </row>
    <row r="16" spans="2:47">
      <c r="M16" s="355" t="s">
        <v>2</v>
      </c>
      <c r="N16" s="356"/>
      <c r="O16" s="356"/>
      <c r="P16" s="356"/>
      <c r="Q16" s="356"/>
      <c r="R16" s="356"/>
      <c r="S16" s="356"/>
      <c r="T16" s="357"/>
      <c r="U16" s="361" t="s">
        <v>3</v>
      </c>
      <c r="V16" s="362"/>
      <c r="W16" s="362"/>
      <c r="X16" s="362"/>
      <c r="Y16" s="362"/>
      <c r="Z16" s="362"/>
      <c r="AA16" s="362"/>
      <c r="AB16" s="362"/>
      <c r="AC16" s="362"/>
      <c r="AD16" s="362"/>
      <c r="AE16" s="362"/>
      <c r="AF16" s="362"/>
      <c r="AG16" s="362"/>
      <c r="AH16" s="362"/>
      <c r="AI16" s="362"/>
      <c r="AJ16" s="363"/>
    </row>
    <row r="17" spans="13:52">
      <c r="M17" s="358"/>
      <c r="N17" s="359"/>
      <c r="O17" s="359"/>
      <c r="P17" s="359"/>
      <c r="Q17" s="359"/>
      <c r="R17" s="359"/>
      <c r="S17" s="359"/>
      <c r="T17" s="360"/>
      <c r="U17" s="364"/>
      <c r="V17" s="365"/>
      <c r="W17" s="365"/>
      <c r="X17" s="365"/>
      <c r="Y17" s="365"/>
      <c r="Z17" s="365"/>
      <c r="AA17" s="365"/>
      <c r="AB17" s="365"/>
      <c r="AC17" s="365"/>
      <c r="AD17" s="365"/>
      <c r="AE17" s="365"/>
      <c r="AF17" s="365"/>
      <c r="AG17" s="365"/>
      <c r="AH17" s="365"/>
      <c r="AI17" s="365"/>
      <c r="AJ17" s="366"/>
      <c r="AL17" s="157"/>
      <c r="AM17" s="158"/>
      <c r="AN17" s="158"/>
      <c r="AO17" s="158"/>
      <c r="AP17" s="158"/>
      <c r="AQ17" s="158"/>
      <c r="AR17" s="158"/>
    </row>
    <row r="18" spans="13:52">
      <c r="M18" s="355" t="s">
        <v>4</v>
      </c>
      <c r="N18" s="356"/>
      <c r="O18" s="356"/>
      <c r="P18" s="356"/>
      <c r="Q18" s="356"/>
      <c r="R18" s="356"/>
      <c r="S18" s="356"/>
      <c r="T18" s="357"/>
      <c r="U18" s="361" t="s">
        <v>5</v>
      </c>
      <c r="V18" s="362"/>
      <c r="W18" s="362"/>
      <c r="X18" s="362"/>
      <c r="Y18" s="362"/>
      <c r="Z18" s="362"/>
      <c r="AA18" s="362"/>
      <c r="AB18" s="362"/>
      <c r="AC18" s="362"/>
      <c r="AD18" s="362"/>
      <c r="AE18" s="362"/>
      <c r="AF18" s="362"/>
      <c r="AG18" s="362"/>
      <c r="AH18" s="362"/>
      <c r="AI18" s="362"/>
      <c r="AJ18" s="363"/>
      <c r="AL18" s="157"/>
      <c r="AM18" s="158"/>
      <c r="AN18" s="158"/>
      <c r="AO18" s="158"/>
      <c r="AP18" s="158"/>
      <c r="AQ18" s="158"/>
      <c r="AR18" s="158"/>
    </row>
    <row r="19" spans="13:52">
      <c r="M19" s="358"/>
      <c r="N19" s="359"/>
      <c r="O19" s="359"/>
      <c r="P19" s="359"/>
      <c r="Q19" s="359"/>
      <c r="R19" s="359"/>
      <c r="S19" s="359"/>
      <c r="T19" s="360"/>
      <c r="U19" s="364"/>
      <c r="V19" s="365"/>
      <c r="W19" s="365"/>
      <c r="X19" s="365"/>
      <c r="Y19" s="365"/>
      <c r="Z19" s="365"/>
      <c r="AA19" s="365"/>
      <c r="AB19" s="365"/>
      <c r="AC19" s="365"/>
      <c r="AD19" s="365"/>
      <c r="AE19" s="365"/>
      <c r="AF19" s="365"/>
      <c r="AG19" s="365"/>
      <c r="AH19" s="365"/>
      <c r="AI19" s="365"/>
      <c r="AJ19" s="366"/>
      <c r="AL19" s="157"/>
      <c r="AM19" s="158"/>
      <c r="AN19" s="158"/>
      <c r="AO19" s="158"/>
      <c r="AP19" s="158"/>
      <c r="AQ19" s="158"/>
      <c r="AR19" s="158"/>
    </row>
    <row r="20" spans="13:52" ht="11.25" customHeight="1">
      <c r="M20" s="355" t="s">
        <v>6</v>
      </c>
      <c r="N20" s="356"/>
      <c r="O20" s="356"/>
      <c r="P20" s="356"/>
      <c r="Q20" s="356"/>
      <c r="R20" s="356"/>
      <c r="S20" s="356"/>
      <c r="T20" s="357"/>
      <c r="U20" s="361" t="s">
        <v>7</v>
      </c>
      <c r="V20" s="367"/>
      <c r="W20" s="367"/>
      <c r="X20" s="367"/>
      <c r="Y20" s="367"/>
      <c r="Z20" s="367"/>
      <c r="AA20" s="367"/>
      <c r="AB20" s="367"/>
      <c r="AC20" s="367"/>
      <c r="AD20" s="367"/>
      <c r="AE20" s="367"/>
      <c r="AF20" s="367"/>
      <c r="AG20" s="367"/>
      <c r="AH20" s="367"/>
      <c r="AI20" s="367"/>
      <c r="AJ20" s="368"/>
      <c r="AL20" s="157"/>
      <c r="AM20" s="158"/>
      <c r="AN20" s="158"/>
      <c r="AO20" s="158"/>
      <c r="AP20" s="158"/>
      <c r="AQ20" s="158"/>
      <c r="AR20" s="158"/>
    </row>
    <row r="21" spans="13:52" ht="11.25" customHeight="1">
      <c r="M21" s="358"/>
      <c r="N21" s="359"/>
      <c r="O21" s="359"/>
      <c r="P21" s="359"/>
      <c r="Q21" s="359"/>
      <c r="R21" s="359"/>
      <c r="S21" s="359"/>
      <c r="T21" s="360"/>
      <c r="U21" s="369"/>
      <c r="V21" s="370"/>
      <c r="W21" s="370"/>
      <c r="X21" s="370"/>
      <c r="Y21" s="370"/>
      <c r="Z21" s="370"/>
      <c r="AA21" s="370"/>
      <c r="AB21" s="370"/>
      <c r="AC21" s="370"/>
      <c r="AD21" s="370"/>
      <c r="AE21" s="370"/>
      <c r="AF21" s="370"/>
      <c r="AG21" s="370"/>
      <c r="AH21" s="370"/>
      <c r="AI21" s="370"/>
      <c r="AJ21" s="371"/>
      <c r="AL21" s="157"/>
      <c r="AM21" s="158"/>
      <c r="AN21" s="158"/>
      <c r="AO21" s="158"/>
      <c r="AP21" s="158"/>
      <c r="AQ21" s="158"/>
      <c r="AR21" s="158"/>
    </row>
    <row r="22" spans="13:52">
      <c r="M22" s="355" t="s">
        <v>8</v>
      </c>
      <c r="N22" s="356"/>
      <c r="O22" s="356"/>
      <c r="P22" s="356"/>
      <c r="Q22" s="356"/>
      <c r="R22" s="356"/>
      <c r="S22" s="356"/>
      <c r="T22" s="357"/>
      <c r="U22" s="372" cm="1">
        <f t="array" ref="U22">MAX(_xlfn.NUMBERVALUE('変更来歴（カスタマイズ）'!A6:A30))</f>
        <v>0.1</v>
      </c>
      <c r="V22" s="373"/>
      <c r="W22" s="373"/>
      <c r="X22" s="373"/>
      <c r="Y22" s="373"/>
      <c r="Z22" s="373"/>
      <c r="AA22" s="373"/>
      <c r="AB22" s="373"/>
      <c r="AC22" s="373"/>
      <c r="AD22" s="373"/>
      <c r="AE22" s="373"/>
      <c r="AF22" s="373"/>
      <c r="AG22" s="373"/>
      <c r="AH22" s="373"/>
      <c r="AI22" s="373"/>
      <c r="AJ22" s="374"/>
      <c r="AL22" s="157"/>
      <c r="AM22" s="158"/>
      <c r="AN22" s="158"/>
      <c r="AO22" s="158"/>
      <c r="AP22" s="158"/>
      <c r="AQ22" s="158"/>
      <c r="AR22" s="158"/>
    </row>
    <row r="23" spans="13:52">
      <c r="M23" s="358"/>
      <c r="N23" s="359"/>
      <c r="O23" s="359"/>
      <c r="P23" s="359"/>
      <c r="Q23" s="359"/>
      <c r="R23" s="359"/>
      <c r="S23" s="359"/>
      <c r="T23" s="360"/>
      <c r="U23" s="375"/>
      <c r="V23" s="376"/>
      <c r="W23" s="376"/>
      <c r="X23" s="376"/>
      <c r="Y23" s="376"/>
      <c r="Z23" s="376"/>
      <c r="AA23" s="376"/>
      <c r="AB23" s="376"/>
      <c r="AC23" s="376"/>
      <c r="AD23" s="376"/>
      <c r="AE23" s="376"/>
      <c r="AF23" s="376"/>
      <c r="AG23" s="376"/>
      <c r="AH23" s="376"/>
      <c r="AI23" s="376"/>
      <c r="AJ23" s="377"/>
      <c r="AL23" s="157"/>
      <c r="AM23" s="158"/>
      <c r="AN23" s="158"/>
      <c r="AO23" s="158"/>
      <c r="AP23" s="158"/>
      <c r="AQ23" s="158"/>
      <c r="AR23" s="158"/>
    </row>
    <row r="24" spans="13:52">
      <c r="M24" s="355" t="s">
        <v>9</v>
      </c>
      <c r="N24" s="356"/>
      <c r="O24" s="356"/>
      <c r="P24" s="356"/>
      <c r="Q24" s="356"/>
      <c r="R24" s="356"/>
      <c r="S24" s="356"/>
      <c r="T24" s="357"/>
      <c r="U24" s="378" t="s">
        <v>10</v>
      </c>
      <c r="V24" s="379"/>
      <c r="W24" s="379"/>
      <c r="X24" s="379"/>
      <c r="Y24" s="379"/>
      <c r="Z24" s="379"/>
      <c r="AA24" s="379"/>
      <c r="AB24" s="379"/>
      <c r="AC24" s="379"/>
      <c r="AD24" s="379"/>
      <c r="AE24" s="379"/>
      <c r="AF24" s="379"/>
      <c r="AG24" s="379"/>
      <c r="AH24" s="379"/>
      <c r="AI24" s="379"/>
      <c r="AJ24" s="380"/>
      <c r="AL24" s="157"/>
      <c r="AM24" s="158"/>
      <c r="AN24" s="158"/>
      <c r="AO24" s="158"/>
      <c r="AP24" s="158"/>
      <c r="AQ24" s="158"/>
      <c r="AR24" s="158"/>
    </row>
    <row r="25" spans="13:52">
      <c r="M25" s="358"/>
      <c r="N25" s="359"/>
      <c r="O25" s="359"/>
      <c r="P25" s="359"/>
      <c r="Q25" s="359"/>
      <c r="R25" s="359"/>
      <c r="S25" s="359"/>
      <c r="T25" s="360"/>
      <c r="U25" s="381"/>
      <c r="V25" s="382"/>
      <c r="W25" s="382"/>
      <c r="X25" s="382"/>
      <c r="Y25" s="382"/>
      <c r="Z25" s="382"/>
      <c r="AA25" s="382"/>
      <c r="AB25" s="382"/>
      <c r="AC25" s="382"/>
      <c r="AD25" s="382"/>
      <c r="AE25" s="382"/>
      <c r="AF25" s="382"/>
      <c r="AG25" s="382"/>
      <c r="AH25" s="382"/>
      <c r="AI25" s="382"/>
      <c r="AJ25" s="383"/>
      <c r="AL25" s="157"/>
      <c r="AM25" s="159"/>
      <c r="AN25" s="159"/>
      <c r="AO25" s="159"/>
      <c r="AP25" s="159"/>
      <c r="AQ25" s="159"/>
      <c r="AR25" s="159"/>
      <c r="AS25" s="160"/>
      <c r="AU25" s="160"/>
    </row>
    <row r="26" spans="13:52" ht="11.25" customHeight="1">
      <c r="M26" s="355" t="s">
        <v>11</v>
      </c>
      <c r="N26" s="356"/>
      <c r="O26" s="356"/>
      <c r="P26" s="356"/>
      <c r="Q26" s="356"/>
      <c r="R26" s="356"/>
      <c r="S26" s="356"/>
      <c r="T26" s="357"/>
      <c r="U26" s="378" t="s">
        <v>12</v>
      </c>
      <c r="V26" s="384"/>
      <c r="W26" s="384"/>
      <c r="X26" s="384"/>
      <c r="Y26" s="384"/>
      <c r="Z26" s="384"/>
      <c r="AA26" s="384"/>
      <c r="AB26" s="385"/>
      <c r="AC26" s="389" t="s">
        <v>13</v>
      </c>
      <c r="AD26" s="390"/>
      <c r="AE26" s="378" t="s">
        <v>14</v>
      </c>
      <c r="AF26" s="384"/>
      <c r="AG26" s="384"/>
      <c r="AH26" s="384"/>
      <c r="AI26" s="384"/>
      <c r="AJ26" s="385"/>
      <c r="AK26" s="161"/>
      <c r="AL26" s="157"/>
      <c r="AM26" s="159"/>
      <c r="AN26" s="159"/>
      <c r="AO26" s="159"/>
      <c r="AP26" s="159"/>
      <c r="AQ26" s="159"/>
      <c r="AR26" s="159"/>
      <c r="AS26" s="160"/>
      <c r="AU26" s="160"/>
      <c r="AV26" s="160"/>
      <c r="AW26" s="160"/>
      <c r="AX26" s="160"/>
      <c r="AY26" s="160"/>
      <c r="AZ26" s="160"/>
    </row>
    <row r="27" spans="13:52">
      <c r="M27" s="358"/>
      <c r="N27" s="359"/>
      <c r="O27" s="359"/>
      <c r="P27" s="359"/>
      <c r="Q27" s="359"/>
      <c r="R27" s="359"/>
      <c r="S27" s="359"/>
      <c r="T27" s="360"/>
      <c r="U27" s="386"/>
      <c r="V27" s="387"/>
      <c r="W27" s="387"/>
      <c r="X27" s="387"/>
      <c r="Y27" s="387"/>
      <c r="Z27" s="387"/>
      <c r="AA27" s="387"/>
      <c r="AB27" s="388"/>
      <c r="AC27" s="391"/>
      <c r="AD27" s="392"/>
      <c r="AE27" s="386"/>
      <c r="AF27" s="387"/>
      <c r="AG27" s="387"/>
      <c r="AH27" s="387"/>
      <c r="AI27" s="387"/>
      <c r="AJ27" s="388"/>
      <c r="AK27" s="162"/>
      <c r="AL27" s="157"/>
      <c r="AM27" s="158"/>
      <c r="AN27" s="158"/>
      <c r="AO27" s="158"/>
      <c r="AP27" s="158"/>
      <c r="AQ27" s="158"/>
      <c r="AR27" s="158"/>
      <c r="AV27" s="160"/>
      <c r="AW27" s="160"/>
      <c r="AX27" s="160"/>
      <c r="AY27" s="160"/>
      <c r="AZ27" s="160"/>
    </row>
    <row r="28" spans="13:52" ht="12.95">
      <c r="M28" s="355" t="s">
        <v>15</v>
      </c>
      <c r="N28" s="356"/>
      <c r="O28" s="356"/>
      <c r="P28" s="356"/>
      <c r="Q28" s="356"/>
      <c r="R28" s="356"/>
      <c r="S28" s="356"/>
      <c r="T28" s="357"/>
      <c r="U28" s="393" t="s">
        <v>16</v>
      </c>
      <c r="V28" s="394"/>
      <c r="W28" s="394"/>
      <c r="X28" s="394"/>
      <c r="Y28" s="394"/>
      <c r="Z28" s="394"/>
      <c r="AA28" s="394"/>
      <c r="AB28" s="394"/>
      <c r="AC28" s="394"/>
      <c r="AD28" s="394"/>
      <c r="AE28" s="394"/>
      <c r="AF28" s="394"/>
      <c r="AG28" s="394"/>
      <c r="AH28" s="394"/>
      <c r="AI28" s="394"/>
      <c r="AJ28" s="395"/>
      <c r="AL28" s="157"/>
      <c r="AM28" s="158"/>
      <c r="AN28" s="158"/>
      <c r="AO28" s="158"/>
      <c r="AP28" s="158"/>
      <c r="AQ28" s="158"/>
      <c r="AR28" s="158"/>
      <c r="AW28" s="163" t="s">
        <v>17</v>
      </c>
    </row>
    <row r="29" spans="13:52" ht="11.25" customHeight="1">
      <c r="M29" s="358"/>
      <c r="N29" s="359"/>
      <c r="O29" s="359"/>
      <c r="P29" s="359"/>
      <c r="Q29" s="359"/>
      <c r="R29" s="359"/>
      <c r="S29" s="359"/>
      <c r="T29" s="360"/>
      <c r="U29" s="396"/>
      <c r="V29" s="397"/>
      <c r="W29" s="397"/>
      <c r="X29" s="397"/>
      <c r="Y29" s="397"/>
      <c r="Z29" s="397"/>
      <c r="AA29" s="397"/>
      <c r="AB29" s="397"/>
      <c r="AC29" s="397"/>
      <c r="AD29" s="397"/>
      <c r="AE29" s="397"/>
      <c r="AF29" s="397"/>
      <c r="AG29" s="397"/>
      <c r="AH29" s="397"/>
      <c r="AI29" s="397"/>
      <c r="AJ29" s="398"/>
      <c r="AL29" s="157"/>
      <c r="AM29" s="158"/>
      <c r="AN29" s="158"/>
      <c r="AO29" s="158"/>
      <c r="AP29" s="158"/>
      <c r="AQ29" s="158"/>
      <c r="AR29" s="158"/>
      <c r="AW29" s="164" t="s">
        <v>16</v>
      </c>
      <c r="AX29" s="163"/>
    </row>
    <row r="30" spans="13:52" ht="11.25" customHeight="1">
      <c r="M30" s="355" t="s">
        <v>18</v>
      </c>
      <c r="N30" s="356"/>
      <c r="O30" s="356"/>
      <c r="P30" s="356"/>
      <c r="Q30" s="356"/>
      <c r="R30" s="356"/>
      <c r="S30" s="356"/>
      <c r="T30" s="357"/>
      <c r="U30" s="393" t="s">
        <v>19</v>
      </c>
      <c r="V30" s="394"/>
      <c r="W30" s="394"/>
      <c r="X30" s="394"/>
      <c r="Y30" s="394"/>
      <c r="Z30" s="394"/>
      <c r="AA30" s="394"/>
      <c r="AB30" s="394"/>
      <c r="AC30" s="394"/>
      <c r="AD30" s="394"/>
      <c r="AE30" s="394"/>
      <c r="AF30" s="394"/>
      <c r="AG30" s="394"/>
      <c r="AH30" s="394"/>
      <c r="AI30" s="394"/>
      <c r="AJ30" s="395"/>
      <c r="AL30" s="157"/>
      <c r="AM30" s="158"/>
      <c r="AN30" s="158"/>
      <c r="AO30" s="158"/>
      <c r="AP30" s="158"/>
      <c r="AQ30" s="158"/>
      <c r="AR30" s="158"/>
      <c r="AW30" s="164" t="s">
        <v>20</v>
      </c>
      <c r="AX30" s="163"/>
    </row>
    <row r="31" spans="13:52" ht="11.25" customHeight="1">
      <c r="M31" s="358"/>
      <c r="N31" s="359"/>
      <c r="O31" s="359"/>
      <c r="P31" s="359"/>
      <c r="Q31" s="359"/>
      <c r="R31" s="359"/>
      <c r="S31" s="359"/>
      <c r="T31" s="360"/>
      <c r="U31" s="396"/>
      <c r="V31" s="397"/>
      <c r="W31" s="397"/>
      <c r="X31" s="397"/>
      <c r="Y31" s="397"/>
      <c r="Z31" s="397"/>
      <c r="AA31" s="397"/>
      <c r="AB31" s="397"/>
      <c r="AC31" s="397"/>
      <c r="AD31" s="397"/>
      <c r="AE31" s="397"/>
      <c r="AF31" s="397"/>
      <c r="AG31" s="397"/>
      <c r="AH31" s="397"/>
      <c r="AI31" s="397"/>
      <c r="AJ31" s="398"/>
      <c r="AL31" s="157"/>
      <c r="AM31" s="158"/>
      <c r="AN31" s="158"/>
      <c r="AO31" s="158"/>
      <c r="AP31" s="158"/>
      <c r="AQ31" s="158"/>
      <c r="AR31" s="158"/>
      <c r="AW31" s="163" t="s">
        <v>21</v>
      </c>
    </row>
    <row r="32" spans="13:52" ht="11.25" customHeight="1">
      <c r="M32" s="355" t="s">
        <v>22</v>
      </c>
      <c r="N32" s="356"/>
      <c r="O32" s="356"/>
      <c r="P32" s="356"/>
      <c r="Q32" s="356"/>
      <c r="R32" s="356"/>
      <c r="S32" s="356"/>
      <c r="T32" s="357"/>
      <c r="U32" s="393" t="s">
        <v>23</v>
      </c>
      <c r="V32" s="394"/>
      <c r="W32" s="394"/>
      <c r="X32" s="394"/>
      <c r="Y32" s="394"/>
      <c r="Z32" s="394"/>
      <c r="AA32" s="394"/>
      <c r="AB32" s="394"/>
      <c r="AC32" s="394"/>
      <c r="AD32" s="394"/>
      <c r="AE32" s="394"/>
      <c r="AF32" s="394"/>
      <c r="AG32" s="394"/>
      <c r="AH32" s="394"/>
      <c r="AI32" s="394"/>
      <c r="AJ32" s="395"/>
      <c r="AL32" s="157"/>
      <c r="AM32" s="158"/>
      <c r="AN32" s="158"/>
      <c r="AO32" s="158"/>
      <c r="AP32" s="158"/>
      <c r="AQ32" s="158"/>
      <c r="AR32" s="158"/>
    </row>
    <row r="33" spans="2:49" ht="11.25" customHeight="1">
      <c r="M33" s="358"/>
      <c r="N33" s="359"/>
      <c r="O33" s="359"/>
      <c r="P33" s="359"/>
      <c r="Q33" s="359"/>
      <c r="R33" s="359"/>
      <c r="S33" s="359"/>
      <c r="T33" s="360"/>
      <c r="U33" s="396"/>
      <c r="V33" s="397"/>
      <c r="W33" s="397"/>
      <c r="X33" s="397"/>
      <c r="Y33" s="397"/>
      <c r="Z33" s="397"/>
      <c r="AA33" s="397"/>
      <c r="AB33" s="397"/>
      <c r="AC33" s="397"/>
      <c r="AD33" s="397"/>
      <c r="AE33" s="397"/>
      <c r="AF33" s="397"/>
      <c r="AG33" s="397"/>
      <c r="AH33" s="397"/>
      <c r="AI33" s="397"/>
      <c r="AJ33" s="398"/>
      <c r="AL33" s="157"/>
      <c r="AM33" s="158"/>
      <c r="AN33" s="158"/>
      <c r="AO33" s="158"/>
      <c r="AP33" s="158"/>
      <c r="AQ33" s="158"/>
      <c r="AR33" s="158"/>
    </row>
    <row r="34" spans="2:49" ht="13.5" customHeight="1">
      <c r="M34" s="355" t="s">
        <v>24</v>
      </c>
      <c r="N34" s="356"/>
      <c r="O34" s="356"/>
      <c r="P34" s="356"/>
      <c r="Q34" s="356"/>
      <c r="R34" s="356"/>
      <c r="S34" s="356"/>
      <c r="T34" s="357"/>
      <c r="U34" s="411" t="s">
        <v>25</v>
      </c>
      <c r="V34" s="412"/>
      <c r="W34" s="412"/>
      <c r="X34" s="412"/>
      <c r="Y34" s="412"/>
      <c r="Z34" s="412"/>
      <c r="AA34" s="412"/>
      <c r="AB34" s="412"/>
      <c r="AC34" s="412"/>
      <c r="AD34" s="412"/>
      <c r="AE34" s="412"/>
      <c r="AF34" s="412"/>
      <c r="AG34" s="412"/>
      <c r="AH34" s="412"/>
      <c r="AI34" s="412"/>
      <c r="AJ34" s="413"/>
      <c r="AL34" s="157"/>
      <c r="AM34" s="158"/>
      <c r="AN34" s="158"/>
      <c r="AO34" s="158"/>
      <c r="AP34" s="158"/>
      <c r="AQ34" s="158"/>
      <c r="AR34" s="158"/>
      <c r="AW34" s="163" t="s">
        <v>26</v>
      </c>
    </row>
    <row r="35" spans="2:49" ht="11.25" customHeight="1">
      <c r="M35" s="358"/>
      <c r="N35" s="359"/>
      <c r="O35" s="359"/>
      <c r="P35" s="359"/>
      <c r="Q35" s="359"/>
      <c r="R35" s="359"/>
      <c r="S35" s="359"/>
      <c r="T35" s="360"/>
      <c r="U35" s="414"/>
      <c r="V35" s="415"/>
      <c r="W35" s="415"/>
      <c r="X35" s="415"/>
      <c r="Y35" s="415"/>
      <c r="Z35" s="415"/>
      <c r="AA35" s="415"/>
      <c r="AB35" s="415"/>
      <c r="AC35" s="415"/>
      <c r="AD35" s="415"/>
      <c r="AE35" s="415"/>
      <c r="AF35" s="415"/>
      <c r="AG35" s="415"/>
      <c r="AH35" s="415"/>
      <c r="AI35" s="415"/>
      <c r="AJ35" s="416"/>
      <c r="AL35" s="157"/>
      <c r="AM35" s="158"/>
      <c r="AN35" s="158"/>
      <c r="AO35" s="158"/>
      <c r="AP35" s="158"/>
      <c r="AQ35" s="158"/>
      <c r="AR35" s="158"/>
      <c r="AW35" s="163" t="s">
        <v>27</v>
      </c>
    </row>
    <row r="36" spans="2:49" ht="11.25" customHeight="1">
      <c r="M36" s="355" t="s">
        <v>28</v>
      </c>
      <c r="N36" s="356"/>
      <c r="O36" s="356"/>
      <c r="P36" s="356"/>
      <c r="Q36" s="356"/>
      <c r="R36" s="356"/>
      <c r="S36" s="356"/>
      <c r="T36" s="357"/>
      <c r="U36" s="411" t="s">
        <v>29</v>
      </c>
      <c r="V36" s="412"/>
      <c r="W36" s="412"/>
      <c r="X36" s="412"/>
      <c r="Y36" s="412"/>
      <c r="Z36" s="412"/>
      <c r="AA36" s="412"/>
      <c r="AB36" s="412"/>
      <c r="AC36" s="412"/>
      <c r="AD36" s="412"/>
      <c r="AE36" s="412"/>
      <c r="AF36" s="412"/>
      <c r="AG36" s="412"/>
      <c r="AH36" s="412"/>
      <c r="AI36" s="412"/>
      <c r="AJ36" s="413"/>
      <c r="AL36" s="157"/>
      <c r="AM36" s="158"/>
      <c r="AN36" s="158"/>
      <c r="AO36" s="158"/>
      <c r="AP36" s="158"/>
      <c r="AQ36" s="158"/>
      <c r="AR36" s="158"/>
      <c r="AW36" s="163" t="s">
        <v>30</v>
      </c>
    </row>
    <row r="37" spans="2:49" ht="11.25" customHeight="1">
      <c r="B37" s="165"/>
      <c r="C37" s="165"/>
      <c r="D37" s="165"/>
      <c r="M37" s="358"/>
      <c r="N37" s="359"/>
      <c r="O37" s="359"/>
      <c r="P37" s="359"/>
      <c r="Q37" s="359"/>
      <c r="R37" s="359"/>
      <c r="S37" s="359"/>
      <c r="T37" s="360"/>
      <c r="U37" s="414"/>
      <c r="V37" s="415"/>
      <c r="W37" s="415"/>
      <c r="X37" s="415"/>
      <c r="Y37" s="415"/>
      <c r="Z37" s="415"/>
      <c r="AA37" s="415"/>
      <c r="AB37" s="415"/>
      <c r="AC37" s="415"/>
      <c r="AD37" s="415"/>
      <c r="AE37" s="415"/>
      <c r="AF37" s="415"/>
      <c r="AG37" s="415"/>
      <c r="AH37" s="415"/>
      <c r="AI37" s="415"/>
      <c r="AJ37" s="416"/>
      <c r="AL37" s="157"/>
      <c r="AM37" s="158"/>
      <c r="AN37" s="158"/>
      <c r="AO37" s="158"/>
      <c r="AP37" s="158"/>
      <c r="AQ37" s="158"/>
      <c r="AR37" s="158"/>
    </row>
    <row r="38" spans="2:49" ht="13.5" customHeight="1">
      <c r="U38" s="166"/>
      <c r="V38" s="166"/>
      <c r="W38" s="166"/>
      <c r="X38" s="166"/>
      <c r="Y38" s="166"/>
      <c r="Z38" s="166"/>
      <c r="AA38" s="166"/>
      <c r="AB38" s="166"/>
      <c r="AC38" s="166"/>
      <c r="AD38" s="166"/>
      <c r="AE38" s="166"/>
      <c r="AF38" s="166"/>
      <c r="AW38" s="150" t="s">
        <v>31</v>
      </c>
    </row>
    <row r="39" spans="2:49" ht="13.5" customHeight="1">
      <c r="M39" s="167"/>
      <c r="N39" s="167"/>
      <c r="O39" s="167"/>
      <c r="P39" s="167"/>
      <c r="R39" s="167"/>
      <c r="S39" s="167"/>
      <c r="T39" s="167"/>
      <c r="U39" s="167"/>
      <c r="W39" s="417" t="s">
        <v>32</v>
      </c>
      <c r="X39" s="418"/>
      <c r="Y39" s="418"/>
      <c r="Z39" s="419"/>
      <c r="AB39" s="417" t="s">
        <v>33</v>
      </c>
      <c r="AC39" s="418"/>
      <c r="AD39" s="418"/>
      <c r="AE39" s="419"/>
      <c r="AG39" s="417" t="s">
        <v>34</v>
      </c>
      <c r="AH39" s="418"/>
      <c r="AI39" s="418"/>
      <c r="AJ39" s="419"/>
      <c r="AW39" s="150" t="s">
        <v>35</v>
      </c>
    </row>
    <row r="40" spans="2:49" ht="11.25" customHeight="1">
      <c r="M40" s="167"/>
      <c r="N40" s="167"/>
      <c r="O40" s="167"/>
      <c r="P40" s="167"/>
      <c r="R40" s="167"/>
      <c r="S40" s="167"/>
      <c r="T40" s="167"/>
      <c r="U40" s="167"/>
      <c r="W40" s="399" t="str" cm="1">
        <f t="array" ref="W40">'変更来歴（カスタマイズ）'!AV6:AV6</f>
        <v>MDSOL</v>
      </c>
      <c r="X40" s="400"/>
      <c r="Y40" s="400"/>
      <c r="Z40" s="401"/>
      <c r="AB40" s="399" t="str">
        <f>IF(COUNTA('変更来歴（カスタマイズ）'!AV6:AV30),INDEX('変更来歴（カスタマイズ）'!AV6:AV30,MATCH("*", '変更来歴（カスタマイズ）'!AV6:AV30,-1)),"")</f>
        <v>TBK</v>
      </c>
      <c r="AC40" s="400"/>
      <c r="AD40" s="400"/>
      <c r="AE40" s="401"/>
      <c r="AG40" s="405"/>
      <c r="AH40" s="406"/>
      <c r="AI40" s="406"/>
      <c r="AJ40" s="407"/>
    </row>
    <row r="41" spans="2:49">
      <c r="M41" s="167"/>
      <c r="N41" s="167"/>
      <c r="O41" s="167"/>
      <c r="P41" s="167"/>
      <c r="R41" s="167"/>
      <c r="S41" s="167"/>
      <c r="T41" s="167"/>
      <c r="U41" s="167"/>
      <c r="W41" s="402"/>
      <c r="X41" s="403"/>
      <c r="Y41" s="403"/>
      <c r="Z41" s="404"/>
      <c r="AB41" s="402"/>
      <c r="AC41" s="403"/>
      <c r="AD41" s="403"/>
      <c r="AE41" s="404"/>
      <c r="AG41" s="408"/>
      <c r="AH41" s="409"/>
      <c r="AI41" s="409"/>
      <c r="AJ41" s="410"/>
    </row>
    <row r="42" spans="2:49">
      <c r="M42" s="168"/>
      <c r="N42" s="168"/>
      <c r="O42" s="168"/>
      <c r="P42" s="168"/>
      <c r="R42" s="168"/>
      <c r="S42" s="168"/>
      <c r="T42" s="168"/>
      <c r="U42" s="168"/>
      <c r="W42" s="420" cm="1">
        <f t="array" ref="W42">'変更来歴（カスタマイズ）'!AQ6:AQ6</f>
        <v>44102</v>
      </c>
      <c r="X42" s="421"/>
      <c r="Y42" s="421"/>
      <c r="Z42" s="422"/>
      <c r="AB42" s="420">
        <f>MAX('変更来歴（カスタマイズ）'!AQ6:AQ30)</f>
        <v>44699</v>
      </c>
      <c r="AC42" s="421"/>
      <c r="AD42" s="421"/>
      <c r="AE42" s="422"/>
      <c r="AG42" s="426"/>
      <c r="AH42" s="427"/>
      <c r="AI42" s="427"/>
      <c r="AJ42" s="428"/>
    </row>
    <row r="43" spans="2:49">
      <c r="C43" s="343"/>
      <c r="D43" s="343"/>
      <c r="E43" s="343"/>
      <c r="F43" s="343"/>
      <c r="G43" s="343"/>
      <c r="H43" s="343"/>
      <c r="M43" s="168"/>
      <c r="N43" s="168"/>
      <c r="O43" s="168"/>
      <c r="P43" s="168"/>
      <c r="R43" s="168"/>
      <c r="S43" s="168"/>
      <c r="T43" s="168"/>
      <c r="U43" s="168"/>
      <c r="W43" s="423"/>
      <c r="X43" s="424"/>
      <c r="Y43" s="424"/>
      <c r="Z43" s="425"/>
      <c r="AB43" s="423"/>
      <c r="AC43" s="424"/>
      <c r="AD43" s="424"/>
      <c r="AE43" s="425"/>
      <c r="AG43" s="429"/>
      <c r="AH43" s="430"/>
      <c r="AI43" s="430"/>
      <c r="AJ43" s="431"/>
    </row>
    <row r="44" spans="2:49">
      <c r="C44" s="343"/>
      <c r="D44" s="343"/>
      <c r="E44" s="343"/>
      <c r="F44" s="343"/>
      <c r="G44" s="343"/>
      <c r="H44" s="343"/>
    </row>
    <row r="45" spans="2:49">
      <c r="C45" s="432"/>
      <c r="D45" s="432"/>
      <c r="E45" s="432"/>
      <c r="F45" s="432"/>
      <c r="G45" s="432"/>
      <c r="H45" s="432"/>
    </row>
    <row r="46" spans="2:49">
      <c r="C46" s="432"/>
      <c r="D46" s="432"/>
      <c r="E46" s="432"/>
      <c r="F46" s="432"/>
      <c r="G46" s="432"/>
      <c r="H46" s="432"/>
    </row>
  </sheetData>
  <mergeCells count="43">
    <mergeCell ref="W42:Z43"/>
    <mergeCell ref="AB42:AE43"/>
    <mergeCell ref="AG42:AJ43"/>
    <mergeCell ref="C43:H44"/>
    <mergeCell ref="C45:H46"/>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1"/>
  <dataValidations disablePrompts="1" count="3">
    <dataValidation type="list" allowBlank="1" showInputMessage="1" showErrorMessage="1" sqref="U28:AJ29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000-000000000000}">
      <formula1>AW28:AW31</formula1>
    </dataValidation>
    <dataValidation type="list" allowBlank="1" showInputMessage="1" showErrorMessage="1" sqref="U34:AJ35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70:AK65571 JR65570:KG65571 TN65570:UC65571 ADJ65570:ADY65571 ANF65570:ANU65571 AXB65570:AXQ65571 BGX65570:BHM65571 BQT65570:BRI65571 CAP65570:CBE65571 CKL65570:CLA65571 CUH65570:CUW65571 DED65570:DES65571 DNZ65570:DOO65571 DXV65570:DYK65571 EHR65570:EIG65571 ERN65570:ESC65571 FBJ65570:FBY65571 FLF65570:FLU65571 FVB65570:FVQ65571 GEX65570:GFM65571 GOT65570:GPI65571 GYP65570:GZE65571 HIL65570:HJA65571 HSH65570:HSW65571 ICD65570:ICS65571 ILZ65570:IMO65571 IVV65570:IWK65571 JFR65570:JGG65571 JPN65570:JQC65571 JZJ65570:JZY65571 KJF65570:KJU65571 KTB65570:KTQ65571 LCX65570:LDM65571 LMT65570:LNI65571 LWP65570:LXE65571 MGL65570:MHA65571 MQH65570:MQW65571 NAD65570:NAS65571 NJZ65570:NKO65571 NTV65570:NUK65571 ODR65570:OEG65571 ONN65570:OOC65571 OXJ65570:OXY65571 PHF65570:PHU65571 PRB65570:PRQ65571 QAX65570:QBM65571 QKT65570:QLI65571 QUP65570:QVE65571 REL65570:RFA65571 ROH65570:ROW65571 RYD65570:RYS65571 SHZ65570:SIO65571 SRV65570:SSK65571 TBR65570:TCG65571 TLN65570:TMC65571 TVJ65570:TVY65571 UFF65570:UFU65571 UPB65570:UPQ65571 UYX65570:UZM65571 VIT65570:VJI65571 VSP65570:VTE65571 WCL65570:WDA65571 WMH65570:WMW65571 WWD65570:WWS65571 V131106:AK131107 JR131106:KG131107 TN131106:UC131107 ADJ131106:ADY131107 ANF131106:ANU131107 AXB131106:AXQ131107 BGX131106:BHM131107 BQT131106:BRI131107 CAP131106:CBE131107 CKL131106:CLA131107 CUH131106:CUW131107 DED131106:DES131107 DNZ131106:DOO131107 DXV131106:DYK131107 EHR131106:EIG131107 ERN131106:ESC131107 FBJ131106:FBY131107 FLF131106:FLU131107 FVB131106:FVQ131107 GEX131106:GFM131107 GOT131106:GPI131107 GYP131106:GZE131107 HIL131106:HJA131107 HSH131106:HSW131107 ICD131106:ICS131107 ILZ131106:IMO131107 IVV131106:IWK131107 JFR131106:JGG131107 JPN131106:JQC131107 JZJ131106:JZY131107 KJF131106:KJU131107 KTB131106:KTQ131107 LCX131106:LDM131107 LMT131106:LNI131107 LWP131106:LXE131107 MGL131106:MHA131107 MQH131106:MQW131107 NAD131106:NAS131107 NJZ131106:NKO131107 NTV131106:NUK131107 ODR131106:OEG131107 ONN131106:OOC131107 OXJ131106:OXY131107 PHF131106:PHU131107 PRB131106:PRQ131107 QAX131106:QBM131107 QKT131106:QLI131107 QUP131106:QVE131107 REL131106:RFA131107 ROH131106:ROW131107 RYD131106:RYS131107 SHZ131106:SIO131107 SRV131106:SSK131107 TBR131106:TCG131107 TLN131106:TMC131107 TVJ131106:TVY131107 UFF131106:UFU131107 UPB131106:UPQ131107 UYX131106:UZM131107 VIT131106:VJI131107 VSP131106:VTE131107 WCL131106:WDA131107 WMH131106:WMW131107 WWD131106:WWS131107 V196642:AK196643 JR196642:KG196643 TN196642:UC196643 ADJ196642:ADY196643 ANF196642:ANU196643 AXB196642:AXQ196643 BGX196642:BHM196643 BQT196642:BRI196643 CAP196642:CBE196643 CKL196642:CLA196643 CUH196642:CUW196643 DED196642:DES196643 DNZ196642:DOO196643 DXV196642:DYK196643 EHR196642:EIG196643 ERN196642:ESC196643 FBJ196642:FBY196643 FLF196642:FLU196643 FVB196642:FVQ196643 GEX196642:GFM196643 GOT196642:GPI196643 GYP196642:GZE196643 HIL196642:HJA196643 HSH196642:HSW196643 ICD196642:ICS196643 ILZ196642:IMO196643 IVV196642:IWK196643 JFR196642:JGG196643 JPN196642:JQC196643 JZJ196642:JZY196643 KJF196642:KJU196643 KTB196642:KTQ196643 LCX196642:LDM196643 LMT196642:LNI196643 LWP196642:LXE196643 MGL196642:MHA196643 MQH196642:MQW196643 NAD196642:NAS196643 NJZ196642:NKO196643 NTV196642:NUK196643 ODR196642:OEG196643 ONN196642:OOC196643 OXJ196642:OXY196643 PHF196642:PHU196643 PRB196642:PRQ196643 QAX196642:QBM196643 QKT196642:QLI196643 QUP196642:QVE196643 REL196642:RFA196643 ROH196642:ROW196643 RYD196642:RYS196643 SHZ196642:SIO196643 SRV196642:SSK196643 TBR196642:TCG196643 TLN196642:TMC196643 TVJ196642:TVY196643 UFF196642:UFU196643 UPB196642:UPQ196643 UYX196642:UZM196643 VIT196642:VJI196643 VSP196642:VTE196643 WCL196642:WDA196643 WMH196642:WMW196643 WWD196642:WWS196643 V262178:AK262179 JR262178:KG262179 TN262178:UC262179 ADJ262178:ADY262179 ANF262178:ANU262179 AXB262178:AXQ262179 BGX262178:BHM262179 BQT262178:BRI262179 CAP262178:CBE262179 CKL262178:CLA262179 CUH262178:CUW262179 DED262178:DES262179 DNZ262178:DOO262179 DXV262178:DYK262179 EHR262178:EIG262179 ERN262178:ESC262179 FBJ262178:FBY262179 FLF262178:FLU262179 FVB262178:FVQ262179 GEX262178:GFM262179 GOT262178:GPI262179 GYP262178:GZE262179 HIL262178:HJA262179 HSH262178:HSW262179 ICD262178:ICS262179 ILZ262178:IMO262179 IVV262178:IWK262179 JFR262178:JGG262179 JPN262178:JQC262179 JZJ262178:JZY262179 KJF262178:KJU262179 KTB262178:KTQ262179 LCX262178:LDM262179 LMT262178:LNI262179 LWP262178:LXE262179 MGL262178:MHA262179 MQH262178:MQW262179 NAD262178:NAS262179 NJZ262178:NKO262179 NTV262178:NUK262179 ODR262178:OEG262179 ONN262178:OOC262179 OXJ262178:OXY262179 PHF262178:PHU262179 PRB262178:PRQ262179 QAX262178:QBM262179 QKT262178:QLI262179 QUP262178:QVE262179 REL262178:RFA262179 ROH262178:ROW262179 RYD262178:RYS262179 SHZ262178:SIO262179 SRV262178:SSK262179 TBR262178:TCG262179 TLN262178:TMC262179 TVJ262178:TVY262179 UFF262178:UFU262179 UPB262178:UPQ262179 UYX262178:UZM262179 VIT262178:VJI262179 VSP262178:VTE262179 WCL262178:WDA262179 WMH262178:WMW262179 WWD262178:WWS262179 V327714:AK327715 JR327714:KG327715 TN327714:UC327715 ADJ327714:ADY327715 ANF327714:ANU327715 AXB327714:AXQ327715 BGX327714:BHM327715 BQT327714:BRI327715 CAP327714:CBE327715 CKL327714:CLA327715 CUH327714:CUW327715 DED327714:DES327715 DNZ327714:DOO327715 DXV327714:DYK327715 EHR327714:EIG327715 ERN327714:ESC327715 FBJ327714:FBY327715 FLF327714:FLU327715 FVB327714:FVQ327715 GEX327714:GFM327715 GOT327714:GPI327715 GYP327714:GZE327715 HIL327714:HJA327715 HSH327714:HSW327715 ICD327714:ICS327715 ILZ327714:IMO327715 IVV327714:IWK327715 JFR327714:JGG327715 JPN327714:JQC327715 JZJ327714:JZY327715 KJF327714:KJU327715 KTB327714:KTQ327715 LCX327714:LDM327715 LMT327714:LNI327715 LWP327714:LXE327715 MGL327714:MHA327715 MQH327714:MQW327715 NAD327714:NAS327715 NJZ327714:NKO327715 NTV327714:NUK327715 ODR327714:OEG327715 ONN327714:OOC327715 OXJ327714:OXY327715 PHF327714:PHU327715 PRB327714:PRQ327715 QAX327714:QBM327715 QKT327714:QLI327715 QUP327714:QVE327715 REL327714:RFA327715 ROH327714:ROW327715 RYD327714:RYS327715 SHZ327714:SIO327715 SRV327714:SSK327715 TBR327714:TCG327715 TLN327714:TMC327715 TVJ327714:TVY327715 UFF327714:UFU327715 UPB327714:UPQ327715 UYX327714:UZM327715 VIT327714:VJI327715 VSP327714:VTE327715 WCL327714:WDA327715 WMH327714:WMW327715 WWD327714:WWS327715 V393250:AK393251 JR393250:KG393251 TN393250:UC393251 ADJ393250:ADY393251 ANF393250:ANU393251 AXB393250:AXQ393251 BGX393250:BHM393251 BQT393250:BRI393251 CAP393250:CBE393251 CKL393250:CLA393251 CUH393250:CUW393251 DED393250:DES393251 DNZ393250:DOO393251 DXV393250:DYK393251 EHR393250:EIG393251 ERN393250:ESC393251 FBJ393250:FBY393251 FLF393250:FLU393251 FVB393250:FVQ393251 GEX393250:GFM393251 GOT393250:GPI393251 GYP393250:GZE393251 HIL393250:HJA393251 HSH393250:HSW393251 ICD393250:ICS393251 ILZ393250:IMO393251 IVV393250:IWK393251 JFR393250:JGG393251 JPN393250:JQC393251 JZJ393250:JZY393251 KJF393250:KJU393251 KTB393250:KTQ393251 LCX393250:LDM393251 LMT393250:LNI393251 LWP393250:LXE393251 MGL393250:MHA393251 MQH393250:MQW393251 NAD393250:NAS393251 NJZ393250:NKO393251 NTV393250:NUK393251 ODR393250:OEG393251 ONN393250:OOC393251 OXJ393250:OXY393251 PHF393250:PHU393251 PRB393250:PRQ393251 QAX393250:QBM393251 QKT393250:QLI393251 QUP393250:QVE393251 REL393250:RFA393251 ROH393250:ROW393251 RYD393250:RYS393251 SHZ393250:SIO393251 SRV393250:SSK393251 TBR393250:TCG393251 TLN393250:TMC393251 TVJ393250:TVY393251 UFF393250:UFU393251 UPB393250:UPQ393251 UYX393250:UZM393251 VIT393250:VJI393251 VSP393250:VTE393251 WCL393250:WDA393251 WMH393250:WMW393251 WWD393250:WWS393251 V458786:AK458787 JR458786:KG458787 TN458786:UC458787 ADJ458786:ADY458787 ANF458786:ANU458787 AXB458786:AXQ458787 BGX458786:BHM458787 BQT458786:BRI458787 CAP458786:CBE458787 CKL458786:CLA458787 CUH458786:CUW458787 DED458786:DES458787 DNZ458786:DOO458787 DXV458786:DYK458787 EHR458786:EIG458787 ERN458786:ESC458787 FBJ458786:FBY458787 FLF458786:FLU458787 FVB458786:FVQ458787 GEX458786:GFM458787 GOT458786:GPI458787 GYP458786:GZE458787 HIL458786:HJA458787 HSH458786:HSW458787 ICD458786:ICS458787 ILZ458786:IMO458787 IVV458786:IWK458787 JFR458786:JGG458787 JPN458786:JQC458787 JZJ458786:JZY458787 KJF458786:KJU458787 KTB458786:KTQ458787 LCX458786:LDM458787 LMT458786:LNI458787 LWP458786:LXE458787 MGL458786:MHA458787 MQH458786:MQW458787 NAD458786:NAS458787 NJZ458786:NKO458787 NTV458786:NUK458787 ODR458786:OEG458787 ONN458786:OOC458787 OXJ458786:OXY458787 PHF458786:PHU458787 PRB458786:PRQ458787 QAX458786:QBM458787 QKT458786:QLI458787 QUP458786:QVE458787 REL458786:RFA458787 ROH458786:ROW458787 RYD458786:RYS458787 SHZ458786:SIO458787 SRV458786:SSK458787 TBR458786:TCG458787 TLN458786:TMC458787 TVJ458786:TVY458787 UFF458786:UFU458787 UPB458786:UPQ458787 UYX458786:UZM458787 VIT458786:VJI458787 VSP458786:VTE458787 WCL458786:WDA458787 WMH458786:WMW458787 WWD458786:WWS458787 V524322:AK524323 JR524322:KG524323 TN524322:UC524323 ADJ524322:ADY524323 ANF524322:ANU524323 AXB524322:AXQ524323 BGX524322:BHM524323 BQT524322:BRI524323 CAP524322:CBE524323 CKL524322:CLA524323 CUH524322:CUW524323 DED524322:DES524323 DNZ524322:DOO524323 DXV524322:DYK524323 EHR524322:EIG524323 ERN524322:ESC524323 FBJ524322:FBY524323 FLF524322:FLU524323 FVB524322:FVQ524323 GEX524322:GFM524323 GOT524322:GPI524323 GYP524322:GZE524323 HIL524322:HJA524323 HSH524322:HSW524323 ICD524322:ICS524323 ILZ524322:IMO524323 IVV524322:IWK524323 JFR524322:JGG524323 JPN524322:JQC524323 JZJ524322:JZY524323 KJF524322:KJU524323 KTB524322:KTQ524323 LCX524322:LDM524323 LMT524322:LNI524323 LWP524322:LXE524323 MGL524322:MHA524323 MQH524322:MQW524323 NAD524322:NAS524323 NJZ524322:NKO524323 NTV524322:NUK524323 ODR524322:OEG524323 ONN524322:OOC524323 OXJ524322:OXY524323 PHF524322:PHU524323 PRB524322:PRQ524323 QAX524322:QBM524323 QKT524322:QLI524323 QUP524322:QVE524323 REL524322:RFA524323 ROH524322:ROW524323 RYD524322:RYS524323 SHZ524322:SIO524323 SRV524322:SSK524323 TBR524322:TCG524323 TLN524322:TMC524323 TVJ524322:TVY524323 UFF524322:UFU524323 UPB524322:UPQ524323 UYX524322:UZM524323 VIT524322:VJI524323 VSP524322:VTE524323 WCL524322:WDA524323 WMH524322:WMW524323 WWD524322:WWS524323 V589858:AK589859 JR589858:KG589859 TN589858:UC589859 ADJ589858:ADY589859 ANF589858:ANU589859 AXB589858:AXQ589859 BGX589858:BHM589859 BQT589858:BRI589859 CAP589858:CBE589859 CKL589858:CLA589859 CUH589858:CUW589859 DED589858:DES589859 DNZ589858:DOO589859 DXV589858:DYK589859 EHR589858:EIG589859 ERN589858:ESC589859 FBJ589858:FBY589859 FLF589858:FLU589859 FVB589858:FVQ589859 GEX589858:GFM589859 GOT589858:GPI589859 GYP589858:GZE589859 HIL589858:HJA589859 HSH589858:HSW589859 ICD589858:ICS589859 ILZ589858:IMO589859 IVV589858:IWK589859 JFR589858:JGG589859 JPN589858:JQC589859 JZJ589858:JZY589859 KJF589858:KJU589859 KTB589858:KTQ589859 LCX589858:LDM589859 LMT589858:LNI589859 LWP589858:LXE589859 MGL589858:MHA589859 MQH589858:MQW589859 NAD589858:NAS589859 NJZ589858:NKO589859 NTV589858:NUK589859 ODR589858:OEG589859 ONN589858:OOC589859 OXJ589858:OXY589859 PHF589858:PHU589859 PRB589858:PRQ589859 QAX589858:QBM589859 QKT589858:QLI589859 QUP589858:QVE589859 REL589858:RFA589859 ROH589858:ROW589859 RYD589858:RYS589859 SHZ589858:SIO589859 SRV589858:SSK589859 TBR589858:TCG589859 TLN589858:TMC589859 TVJ589858:TVY589859 UFF589858:UFU589859 UPB589858:UPQ589859 UYX589858:UZM589859 VIT589858:VJI589859 VSP589858:VTE589859 WCL589858:WDA589859 WMH589858:WMW589859 WWD589858:WWS589859 V655394:AK655395 JR655394:KG655395 TN655394:UC655395 ADJ655394:ADY655395 ANF655394:ANU655395 AXB655394:AXQ655395 BGX655394:BHM655395 BQT655394:BRI655395 CAP655394:CBE655395 CKL655394:CLA655395 CUH655394:CUW655395 DED655394:DES655395 DNZ655394:DOO655395 DXV655394:DYK655395 EHR655394:EIG655395 ERN655394:ESC655395 FBJ655394:FBY655395 FLF655394:FLU655395 FVB655394:FVQ655395 GEX655394:GFM655395 GOT655394:GPI655395 GYP655394:GZE655395 HIL655394:HJA655395 HSH655394:HSW655395 ICD655394:ICS655395 ILZ655394:IMO655395 IVV655394:IWK655395 JFR655394:JGG655395 JPN655394:JQC655395 JZJ655394:JZY655395 KJF655394:KJU655395 KTB655394:KTQ655395 LCX655394:LDM655395 LMT655394:LNI655395 LWP655394:LXE655395 MGL655394:MHA655395 MQH655394:MQW655395 NAD655394:NAS655395 NJZ655394:NKO655395 NTV655394:NUK655395 ODR655394:OEG655395 ONN655394:OOC655395 OXJ655394:OXY655395 PHF655394:PHU655395 PRB655394:PRQ655395 QAX655394:QBM655395 QKT655394:QLI655395 QUP655394:QVE655395 REL655394:RFA655395 ROH655394:ROW655395 RYD655394:RYS655395 SHZ655394:SIO655395 SRV655394:SSK655395 TBR655394:TCG655395 TLN655394:TMC655395 TVJ655394:TVY655395 UFF655394:UFU655395 UPB655394:UPQ655395 UYX655394:UZM655395 VIT655394:VJI655395 VSP655394:VTE655395 WCL655394:WDA655395 WMH655394:WMW655395 WWD655394:WWS655395 V720930:AK720931 JR720930:KG720931 TN720930:UC720931 ADJ720930:ADY720931 ANF720930:ANU720931 AXB720930:AXQ720931 BGX720930:BHM720931 BQT720930:BRI720931 CAP720930:CBE720931 CKL720930:CLA720931 CUH720930:CUW720931 DED720930:DES720931 DNZ720930:DOO720931 DXV720930:DYK720931 EHR720930:EIG720931 ERN720930:ESC720931 FBJ720930:FBY720931 FLF720930:FLU720931 FVB720930:FVQ720931 GEX720930:GFM720931 GOT720930:GPI720931 GYP720930:GZE720931 HIL720930:HJA720931 HSH720930:HSW720931 ICD720930:ICS720931 ILZ720930:IMO720931 IVV720930:IWK720931 JFR720930:JGG720931 JPN720930:JQC720931 JZJ720930:JZY720931 KJF720930:KJU720931 KTB720930:KTQ720931 LCX720930:LDM720931 LMT720930:LNI720931 LWP720930:LXE720931 MGL720930:MHA720931 MQH720930:MQW720931 NAD720930:NAS720931 NJZ720930:NKO720931 NTV720930:NUK720931 ODR720930:OEG720931 ONN720930:OOC720931 OXJ720930:OXY720931 PHF720930:PHU720931 PRB720930:PRQ720931 QAX720930:QBM720931 QKT720930:QLI720931 QUP720930:QVE720931 REL720930:RFA720931 ROH720930:ROW720931 RYD720930:RYS720931 SHZ720930:SIO720931 SRV720930:SSK720931 TBR720930:TCG720931 TLN720930:TMC720931 TVJ720930:TVY720931 UFF720930:UFU720931 UPB720930:UPQ720931 UYX720930:UZM720931 VIT720930:VJI720931 VSP720930:VTE720931 WCL720930:WDA720931 WMH720930:WMW720931 WWD720930:WWS720931 V786466:AK786467 JR786466:KG786467 TN786466:UC786467 ADJ786466:ADY786467 ANF786466:ANU786467 AXB786466:AXQ786467 BGX786466:BHM786467 BQT786466:BRI786467 CAP786466:CBE786467 CKL786466:CLA786467 CUH786466:CUW786467 DED786466:DES786467 DNZ786466:DOO786467 DXV786466:DYK786467 EHR786466:EIG786467 ERN786466:ESC786467 FBJ786466:FBY786467 FLF786466:FLU786467 FVB786466:FVQ786467 GEX786466:GFM786467 GOT786466:GPI786467 GYP786466:GZE786467 HIL786466:HJA786467 HSH786466:HSW786467 ICD786466:ICS786467 ILZ786466:IMO786467 IVV786466:IWK786467 JFR786466:JGG786467 JPN786466:JQC786467 JZJ786466:JZY786467 KJF786466:KJU786467 KTB786466:KTQ786467 LCX786466:LDM786467 LMT786466:LNI786467 LWP786466:LXE786467 MGL786466:MHA786467 MQH786466:MQW786467 NAD786466:NAS786467 NJZ786466:NKO786467 NTV786466:NUK786467 ODR786466:OEG786467 ONN786466:OOC786467 OXJ786466:OXY786467 PHF786466:PHU786467 PRB786466:PRQ786467 QAX786466:QBM786467 QKT786466:QLI786467 QUP786466:QVE786467 REL786466:RFA786467 ROH786466:ROW786467 RYD786466:RYS786467 SHZ786466:SIO786467 SRV786466:SSK786467 TBR786466:TCG786467 TLN786466:TMC786467 TVJ786466:TVY786467 UFF786466:UFU786467 UPB786466:UPQ786467 UYX786466:UZM786467 VIT786466:VJI786467 VSP786466:VTE786467 WCL786466:WDA786467 WMH786466:WMW786467 WWD786466:WWS786467 V852002:AK852003 JR852002:KG852003 TN852002:UC852003 ADJ852002:ADY852003 ANF852002:ANU852003 AXB852002:AXQ852003 BGX852002:BHM852003 BQT852002:BRI852003 CAP852002:CBE852003 CKL852002:CLA852003 CUH852002:CUW852003 DED852002:DES852003 DNZ852002:DOO852003 DXV852002:DYK852003 EHR852002:EIG852003 ERN852002:ESC852003 FBJ852002:FBY852003 FLF852002:FLU852003 FVB852002:FVQ852003 GEX852002:GFM852003 GOT852002:GPI852003 GYP852002:GZE852003 HIL852002:HJA852003 HSH852002:HSW852003 ICD852002:ICS852003 ILZ852002:IMO852003 IVV852002:IWK852003 JFR852002:JGG852003 JPN852002:JQC852003 JZJ852002:JZY852003 KJF852002:KJU852003 KTB852002:KTQ852003 LCX852002:LDM852003 LMT852002:LNI852003 LWP852002:LXE852003 MGL852002:MHA852003 MQH852002:MQW852003 NAD852002:NAS852003 NJZ852002:NKO852003 NTV852002:NUK852003 ODR852002:OEG852003 ONN852002:OOC852003 OXJ852002:OXY852003 PHF852002:PHU852003 PRB852002:PRQ852003 QAX852002:QBM852003 QKT852002:QLI852003 QUP852002:QVE852003 REL852002:RFA852003 ROH852002:ROW852003 RYD852002:RYS852003 SHZ852002:SIO852003 SRV852002:SSK852003 TBR852002:TCG852003 TLN852002:TMC852003 TVJ852002:TVY852003 UFF852002:UFU852003 UPB852002:UPQ852003 UYX852002:UZM852003 VIT852002:VJI852003 VSP852002:VTE852003 WCL852002:WDA852003 WMH852002:WMW852003 WWD852002:WWS852003 V917538:AK917539 JR917538:KG917539 TN917538:UC917539 ADJ917538:ADY917539 ANF917538:ANU917539 AXB917538:AXQ917539 BGX917538:BHM917539 BQT917538:BRI917539 CAP917538:CBE917539 CKL917538:CLA917539 CUH917538:CUW917539 DED917538:DES917539 DNZ917538:DOO917539 DXV917538:DYK917539 EHR917538:EIG917539 ERN917538:ESC917539 FBJ917538:FBY917539 FLF917538:FLU917539 FVB917538:FVQ917539 GEX917538:GFM917539 GOT917538:GPI917539 GYP917538:GZE917539 HIL917538:HJA917539 HSH917538:HSW917539 ICD917538:ICS917539 ILZ917538:IMO917539 IVV917538:IWK917539 JFR917538:JGG917539 JPN917538:JQC917539 JZJ917538:JZY917539 KJF917538:KJU917539 KTB917538:KTQ917539 LCX917538:LDM917539 LMT917538:LNI917539 LWP917538:LXE917539 MGL917538:MHA917539 MQH917538:MQW917539 NAD917538:NAS917539 NJZ917538:NKO917539 NTV917538:NUK917539 ODR917538:OEG917539 ONN917538:OOC917539 OXJ917538:OXY917539 PHF917538:PHU917539 PRB917538:PRQ917539 QAX917538:QBM917539 QKT917538:QLI917539 QUP917538:QVE917539 REL917538:RFA917539 ROH917538:ROW917539 RYD917538:RYS917539 SHZ917538:SIO917539 SRV917538:SSK917539 TBR917538:TCG917539 TLN917538:TMC917539 TVJ917538:TVY917539 UFF917538:UFU917539 UPB917538:UPQ917539 UYX917538:UZM917539 VIT917538:VJI917539 VSP917538:VTE917539 WCL917538:WDA917539 WMH917538:WMW917539 WWD917538:WWS917539 V983074:AK983075 JR983074:KG983075 TN983074:UC983075 ADJ983074:ADY983075 ANF983074:ANU983075 AXB983074:AXQ983075 BGX983074:BHM983075 BQT983074:BRI983075 CAP983074:CBE983075 CKL983074:CLA983075 CUH983074:CUW983075 DED983074:DES983075 DNZ983074:DOO983075 DXV983074:DYK983075 EHR983074:EIG983075 ERN983074:ESC983075 FBJ983074:FBY983075 FLF983074:FLU983075 FVB983074:FVQ983075 GEX983074:GFM983075 GOT983074:GPI983075 GYP983074:GZE983075 HIL983074:HJA983075 HSH983074:HSW983075 ICD983074:ICS983075 ILZ983074:IMO983075 IVV983074:IWK983075 JFR983074:JGG983075 JPN983074:JQC983075 JZJ983074:JZY983075 KJF983074:KJU983075 KTB983074:KTQ983075 LCX983074:LDM983075 LMT983074:LNI983075 LWP983074:LXE983075 MGL983074:MHA983075 MQH983074:MQW983075 NAD983074:NAS983075 NJZ983074:NKO983075 NTV983074:NUK983075 ODR983074:OEG983075 ONN983074:OOC983075 OXJ983074:OXY983075 PHF983074:PHU983075 PRB983074:PRQ983075 QAX983074:QBM983075 QKT983074:QLI983075 QUP983074:QVE983075 REL983074:RFA983075 ROH983074:ROW983075 RYD983074:RYS983075 SHZ983074:SIO983075 SRV983074:SSK983075 TBR983074:TCG983075 TLN983074:TMC983075 TVJ983074:TVY983075 UFF983074:UFU983075 UPB983074:UPQ983075 UYX983074:UZM983075 VIT983074:VJI983075 VSP983074:VTE983075 WCL983074:WDA983075 WMH983074:WMW983075 WWD983074:WWS983075" xr:uid="{00000000-0002-0000-0000-000001000000}">
      <formula1>$AW$34:$AW$36</formula1>
    </dataValidation>
    <dataValidation type="list" allowBlank="1" showInputMessage="1" showErrorMessage="1" sqref="U36:AJ37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72:AK65573 JR65572:KG65573 TN65572:UC65573 ADJ65572:ADY65573 ANF65572:ANU65573 AXB65572:AXQ65573 BGX65572:BHM65573 BQT65572:BRI65573 CAP65572:CBE65573 CKL65572:CLA65573 CUH65572:CUW65573 DED65572:DES65573 DNZ65572:DOO65573 DXV65572:DYK65573 EHR65572:EIG65573 ERN65572:ESC65573 FBJ65572:FBY65573 FLF65572:FLU65573 FVB65572:FVQ65573 GEX65572:GFM65573 GOT65572:GPI65573 GYP65572:GZE65573 HIL65572:HJA65573 HSH65572:HSW65573 ICD65572:ICS65573 ILZ65572:IMO65573 IVV65572:IWK65573 JFR65572:JGG65573 JPN65572:JQC65573 JZJ65572:JZY65573 KJF65572:KJU65573 KTB65572:KTQ65573 LCX65572:LDM65573 LMT65572:LNI65573 LWP65572:LXE65573 MGL65572:MHA65573 MQH65572:MQW65573 NAD65572:NAS65573 NJZ65572:NKO65573 NTV65572:NUK65573 ODR65572:OEG65573 ONN65572:OOC65573 OXJ65572:OXY65573 PHF65572:PHU65573 PRB65572:PRQ65573 QAX65572:QBM65573 QKT65572:QLI65573 QUP65572:QVE65573 REL65572:RFA65573 ROH65572:ROW65573 RYD65572:RYS65573 SHZ65572:SIO65573 SRV65572:SSK65573 TBR65572:TCG65573 TLN65572:TMC65573 TVJ65572:TVY65573 UFF65572:UFU65573 UPB65572:UPQ65573 UYX65572:UZM65573 VIT65572:VJI65573 VSP65572:VTE65573 WCL65572:WDA65573 WMH65572:WMW65573 WWD65572:WWS65573 V131108:AK131109 JR131108:KG131109 TN131108:UC131109 ADJ131108:ADY131109 ANF131108:ANU131109 AXB131108:AXQ131109 BGX131108:BHM131109 BQT131108:BRI131109 CAP131108:CBE131109 CKL131108:CLA131109 CUH131108:CUW131109 DED131108:DES131109 DNZ131108:DOO131109 DXV131108:DYK131109 EHR131108:EIG131109 ERN131108:ESC131109 FBJ131108:FBY131109 FLF131108:FLU131109 FVB131108:FVQ131109 GEX131108:GFM131109 GOT131108:GPI131109 GYP131108:GZE131109 HIL131108:HJA131109 HSH131108:HSW131109 ICD131108:ICS131109 ILZ131108:IMO131109 IVV131108:IWK131109 JFR131108:JGG131109 JPN131108:JQC131109 JZJ131108:JZY131109 KJF131108:KJU131109 KTB131108:KTQ131109 LCX131108:LDM131109 LMT131108:LNI131109 LWP131108:LXE131109 MGL131108:MHA131109 MQH131108:MQW131109 NAD131108:NAS131109 NJZ131108:NKO131109 NTV131108:NUK131109 ODR131108:OEG131109 ONN131108:OOC131109 OXJ131108:OXY131109 PHF131108:PHU131109 PRB131108:PRQ131109 QAX131108:QBM131109 QKT131108:QLI131109 QUP131108:QVE131109 REL131108:RFA131109 ROH131108:ROW131109 RYD131108:RYS131109 SHZ131108:SIO131109 SRV131108:SSK131109 TBR131108:TCG131109 TLN131108:TMC131109 TVJ131108:TVY131109 UFF131108:UFU131109 UPB131108:UPQ131109 UYX131108:UZM131109 VIT131108:VJI131109 VSP131108:VTE131109 WCL131108:WDA131109 WMH131108:WMW131109 WWD131108:WWS131109 V196644:AK196645 JR196644:KG196645 TN196644:UC196645 ADJ196644:ADY196645 ANF196644:ANU196645 AXB196644:AXQ196645 BGX196644:BHM196645 BQT196644:BRI196645 CAP196644:CBE196645 CKL196644:CLA196645 CUH196644:CUW196645 DED196644:DES196645 DNZ196644:DOO196645 DXV196644:DYK196645 EHR196644:EIG196645 ERN196644:ESC196645 FBJ196644:FBY196645 FLF196644:FLU196645 FVB196644:FVQ196645 GEX196644:GFM196645 GOT196644:GPI196645 GYP196644:GZE196645 HIL196644:HJA196645 HSH196644:HSW196645 ICD196644:ICS196645 ILZ196644:IMO196645 IVV196644:IWK196645 JFR196644:JGG196645 JPN196644:JQC196645 JZJ196644:JZY196645 KJF196644:KJU196645 KTB196644:KTQ196645 LCX196644:LDM196645 LMT196644:LNI196645 LWP196644:LXE196645 MGL196644:MHA196645 MQH196644:MQW196645 NAD196644:NAS196645 NJZ196644:NKO196645 NTV196644:NUK196645 ODR196644:OEG196645 ONN196644:OOC196645 OXJ196644:OXY196645 PHF196644:PHU196645 PRB196644:PRQ196645 QAX196644:QBM196645 QKT196644:QLI196645 QUP196644:QVE196645 REL196644:RFA196645 ROH196644:ROW196645 RYD196644:RYS196645 SHZ196644:SIO196645 SRV196644:SSK196645 TBR196644:TCG196645 TLN196644:TMC196645 TVJ196644:TVY196645 UFF196644:UFU196645 UPB196644:UPQ196645 UYX196644:UZM196645 VIT196644:VJI196645 VSP196644:VTE196645 WCL196644:WDA196645 WMH196644:WMW196645 WWD196644:WWS196645 V262180:AK262181 JR262180:KG262181 TN262180:UC262181 ADJ262180:ADY262181 ANF262180:ANU262181 AXB262180:AXQ262181 BGX262180:BHM262181 BQT262180:BRI262181 CAP262180:CBE262181 CKL262180:CLA262181 CUH262180:CUW262181 DED262180:DES262181 DNZ262180:DOO262181 DXV262180:DYK262181 EHR262180:EIG262181 ERN262180:ESC262181 FBJ262180:FBY262181 FLF262180:FLU262181 FVB262180:FVQ262181 GEX262180:GFM262181 GOT262180:GPI262181 GYP262180:GZE262181 HIL262180:HJA262181 HSH262180:HSW262181 ICD262180:ICS262181 ILZ262180:IMO262181 IVV262180:IWK262181 JFR262180:JGG262181 JPN262180:JQC262181 JZJ262180:JZY262181 KJF262180:KJU262181 KTB262180:KTQ262181 LCX262180:LDM262181 LMT262180:LNI262181 LWP262180:LXE262181 MGL262180:MHA262181 MQH262180:MQW262181 NAD262180:NAS262181 NJZ262180:NKO262181 NTV262180:NUK262181 ODR262180:OEG262181 ONN262180:OOC262181 OXJ262180:OXY262181 PHF262180:PHU262181 PRB262180:PRQ262181 QAX262180:QBM262181 QKT262180:QLI262181 QUP262180:QVE262181 REL262180:RFA262181 ROH262180:ROW262181 RYD262180:RYS262181 SHZ262180:SIO262181 SRV262180:SSK262181 TBR262180:TCG262181 TLN262180:TMC262181 TVJ262180:TVY262181 UFF262180:UFU262181 UPB262180:UPQ262181 UYX262180:UZM262181 VIT262180:VJI262181 VSP262180:VTE262181 WCL262180:WDA262181 WMH262180:WMW262181 WWD262180:WWS262181 V327716:AK327717 JR327716:KG327717 TN327716:UC327717 ADJ327716:ADY327717 ANF327716:ANU327717 AXB327716:AXQ327717 BGX327716:BHM327717 BQT327716:BRI327717 CAP327716:CBE327717 CKL327716:CLA327717 CUH327716:CUW327717 DED327716:DES327717 DNZ327716:DOO327717 DXV327716:DYK327717 EHR327716:EIG327717 ERN327716:ESC327717 FBJ327716:FBY327717 FLF327716:FLU327717 FVB327716:FVQ327717 GEX327716:GFM327717 GOT327716:GPI327717 GYP327716:GZE327717 HIL327716:HJA327717 HSH327716:HSW327717 ICD327716:ICS327717 ILZ327716:IMO327717 IVV327716:IWK327717 JFR327716:JGG327717 JPN327716:JQC327717 JZJ327716:JZY327717 KJF327716:KJU327717 KTB327716:KTQ327717 LCX327716:LDM327717 LMT327716:LNI327717 LWP327716:LXE327717 MGL327716:MHA327717 MQH327716:MQW327717 NAD327716:NAS327717 NJZ327716:NKO327717 NTV327716:NUK327717 ODR327716:OEG327717 ONN327716:OOC327717 OXJ327716:OXY327717 PHF327716:PHU327717 PRB327716:PRQ327717 QAX327716:QBM327717 QKT327716:QLI327717 QUP327716:QVE327717 REL327716:RFA327717 ROH327716:ROW327717 RYD327716:RYS327717 SHZ327716:SIO327717 SRV327716:SSK327717 TBR327716:TCG327717 TLN327716:TMC327717 TVJ327716:TVY327717 UFF327716:UFU327717 UPB327716:UPQ327717 UYX327716:UZM327717 VIT327716:VJI327717 VSP327716:VTE327717 WCL327716:WDA327717 WMH327716:WMW327717 WWD327716:WWS327717 V393252:AK393253 JR393252:KG393253 TN393252:UC393253 ADJ393252:ADY393253 ANF393252:ANU393253 AXB393252:AXQ393253 BGX393252:BHM393253 BQT393252:BRI393253 CAP393252:CBE393253 CKL393252:CLA393253 CUH393252:CUW393253 DED393252:DES393253 DNZ393252:DOO393253 DXV393252:DYK393253 EHR393252:EIG393253 ERN393252:ESC393253 FBJ393252:FBY393253 FLF393252:FLU393253 FVB393252:FVQ393253 GEX393252:GFM393253 GOT393252:GPI393253 GYP393252:GZE393253 HIL393252:HJA393253 HSH393252:HSW393253 ICD393252:ICS393253 ILZ393252:IMO393253 IVV393252:IWK393253 JFR393252:JGG393253 JPN393252:JQC393253 JZJ393252:JZY393253 KJF393252:KJU393253 KTB393252:KTQ393253 LCX393252:LDM393253 LMT393252:LNI393253 LWP393252:LXE393253 MGL393252:MHA393253 MQH393252:MQW393253 NAD393252:NAS393253 NJZ393252:NKO393253 NTV393252:NUK393253 ODR393252:OEG393253 ONN393252:OOC393253 OXJ393252:OXY393253 PHF393252:PHU393253 PRB393252:PRQ393253 QAX393252:QBM393253 QKT393252:QLI393253 QUP393252:QVE393253 REL393252:RFA393253 ROH393252:ROW393253 RYD393252:RYS393253 SHZ393252:SIO393253 SRV393252:SSK393253 TBR393252:TCG393253 TLN393252:TMC393253 TVJ393252:TVY393253 UFF393252:UFU393253 UPB393252:UPQ393253 UYX393252:UZM393253 VIT393252:VJI393253 VSP393252:VTE393253 WCL393252:WDA393253 WMH393252:WMW393253 WWD393252:WWS393253 V458788:AK458789 JR458788:KG458789 TN458788:UC458789 ADJ458788:ADY458789 ANF458788:ANU458789 AXB458788:AXQ458789 BGX458788:BHM458789 BQT458788:BRI458789 CAP458788:CBE458789 CKL458788:CLA458789 CUH458788:CUW458789 DED458788:DES458789 DNZ458788:DOO458789 DXV458788:DYK458789 EHR458788:EIG458789 ERN458788:ESC458789 FBJ458788:FBY458789 FLF458788:FLU458789 FVB458788:FVQ458789 GEX458788:GFM458789 GOT458788:GPI458789 GYP458788:GZE458789 HIL458788:HJA458789 HSH458788:HSW458789 ICD458788:ICS458789 ILZ458788:IMO458789 IVV458788:IWK458789 JFR458788:JGG458789 JPN458788:JQC458789 JZJ458788:JZY458789 KJF458788:KJU458789 KTB458788:KTQ458789 LCX458788:LDM458789 LMT458788:LNI458789 LWP458788:LXE458789 MGL458788:MHA458789 MQH458788:MQW458789 NAD458788:NAS458789 NJZ458788:NKO458789 NTV458788:NUK458789 ODR458788:OEG458789 ONN458788:OOC458789 OXJ458788:OXY458789 PHF458788:PHU458789 PRB458788:PRQ458789 QAX458788:QBM458789 QKT458788:QLI458789 QUP458788:QVE458789 REL458788:RFA458789 ROH458788:ROW458789 RYD458788:RYS458789 SHZ458788:SIO458789 SRV458788:SSK458789 TBR458788:TCG458789 TLN458788:TMC458789 TVJ458788:TVY458789 UFF458788:UFU458789 UPB458788:UPQ458789 UYX458788:UZM458789 VIT458788:VJI458789 VSP458788:VTE458789 WCL458788:WDA458789 WMH458788:WMW458789 WWD458788:WWS458789 V524324:AK524325 JR524324:KG524325 TN524324:UC524325 ADJ524324:ADY524325 ANF524324:ANU524325 AXB524324:AXQ524325 BGX524324:BHM524325 BQT524324:BRI524325 CAP524324:CBE524325 CKL524324:CLA524325 CUH524324:CUW524325 DED524324:DES524325 DNZ524324:DOO524325 DXV524324:DYK524325 EHR524324:EIG524325 ERN524324:ESC524325 FBJ524324:FBY524325 FLF524324:FLU524325 FVB524324:FVQ524325 GEX524324:GFM524325 GOT524324:GPI524325 GYP524324:GZE524325 HIL524324:HJA524325 HSH524324:HSW524325 ICD524324:ICS524325 ILZ524324:IMO524325 IVV524324:IWK524325 JFR524324:JGG524325 JPN524324:JQC524325 JZJ524324:JZY524325 KJF524324:KJU524325 KTB524324:KTQ524325 LCX524324:LDM524325 LMT524324:LNI524325 LWP524324:LXE524325 MGL524324:MHA524325 MQH524324:MQW524325 NAD524324:NAS524325 NJZ524324:NKO524325 NTV524324:NUK524325 ODR524324:OEG524325 ONN524324:OOC524325 OXJ524324:OXY524325 PHF524324:PHU524325 PRB524324:PRQ524325 QAX524324:QBM524325 QKT524324:QLI524325 QUP524324:QVE524325 REL524324:RFA524325 ROH524324:ROW524325 RYD524324:RYS524325 SHZ524324:SIO524325 SRV524324:SSK524325 TBR524324:TCG524325 TLN524324:TMC524325 TVJ524324:TVY524325 UFF524324:UFU524325 UPB524324:UPQ524325 UYX524324:UZM524325 VIT524324:VJI524325 VSP524324:VTE524325 WCL524324:WDA524325 WMH524324:WMW524325 WWD524324:WWS524325 V589860:AK589861 JR589860:KG589861 TN589860:UC589861 ADJ589860:ADY589861 ANF589860:ANU589861 AXB589860:AXQ589861 BGX589860:BHM589861 BQT589860:BRI589861 CAP589860:CBE589861 CKL589860:CLA589861 CUH589860:CUW589861 DED589860:DES589861 DNZ589860:DOO589861 DXV589860:DYK589861 EHR589860:EIG589861 ERN589860:ESC589861 FBJ589860:FBY589861 FLF589860:FLU589861 FVB589860:FVQ589861 GEX589860:GFM589861 GOT589860:GPI589861 GYP589860:GZE589861 HIL589860:HJA589861 HSH589860:HSW589861 ICD589860:ICS589861 ILZ589860:IMO589861 IVV589860:IWK589861 JFR589860:JGG589861 JPN589860:JQC589861 JZJ589860:JZY589861 KJF589860:KJU589861 KTB589860:KTQ589861 LCX589860:LDM589861 LMT589860:LNI589861 LWP589860:LXE589861 MGL589860:MHA589861 MQH589860:MQW589861 NAD589860:NAS589861 NJZ589860:NKO589861 NTV589860:NUK589861 ODR589860:OEG589861 ONN589860:OOC589861 OXJ589860:OXY589861 PHF589860:PHU589861 PRB589860:PRQ589861 QAX589860:QBM589861 QKT589860:QLI589861 QUP589860:QVE589861 REL589860:RFA589861 ROH589860:ROW589861 RYD589860:RYS589861 SHZ589860:SIO589861 SRV589860:SSK589861 TBR589860:TCG589861 TLN589860:TMC589861 TVJ589860:TVY589861 UFF589860:UFU589861 UPB589860:UPQ589861 UYX589860:UZM589861 VIT589860:VJI589861 VSP589860:VTE589861 WCL589860:WDA589861 WMH589860:WMW589861 WWD589860:WWS589861 V655396:AK655397 JR655396:KG655397 TN655396:UC655397 ADJ655396:ADY655397 ANF655396:ANU655397 AXB655396:AXQ655397 BGX655396:BHM655397 BQT655396:BRI655397 CAP655396:CBE655397 CKL655396:CLA655397 CUH655396:CUW655397 DED655396:DES655397 DNZ655396:DOO655397 DXV655396:DYK655397 EHR655396:EIG655397 ERN655396:ESC655397 FBJ655396:FBY655397 FLF655396:FLU655397 FVB655396:FVQ655397 GEX655396:GFM655397 GOT655396:GPI655397 GYP655396:GZE655397 HIL655396:HJA655397 HSH655396:HSW655397 ICD655396:ICS655397 ILZ655396:IMO655397 IVV655396:IWK655397 JFR655396:JGG655397 JPN655396:JQC655397 JZJ655396:JZY655397 KJF655396:KJU655397 KTB655396:KTQ655397 LCX655396:LDM655397 LMT655396:LNI655397 LWP655396:LXE655397 MGL655396:MHA655397 MQH655396:MQW655397 NAD655396:NAS655397 NJZ655396:NKO655397 NTV655396:NUK655397 ODR655396:OEG655397 ONN655396:OOC655397 OXJ655396:OXY655397 PHF655396:PHU655397 PRB655396:PRQ655397 QAX655396:QBM655397 QKT655396:QLI655397 QUP655396:QVE655397 REL655396:RFA655397 ROH655396:ROW655397 RYD655396:RYS655397 SHZ655396:SIO655397 SRV655396:SSK655397 TBR655396:TCG655397 TLN655396:TMC655397 TVJ655396:TVY655397 UFF655396:UFU655397 UPB655396:UPQ655397 UYX655396:UZM655397 VIT655396:VJI655397 VSP655396:VTE655397 WCL655396:WDA655397 WMH655396:WMW655397 WWD655396:WWS655397 V720932:AK720933 JR720932:KG720933 TN720932:UC720933 ADJ720932:ADY720933 ANF720932:ANU720933 AXB720932:AXQ720933 BGX720932:BHM720933 BQT720932:BRI720933 CAP720932:CBE720933 CKL720932:CLA720933 CUH720932:CUW720933 DED720932:DES720933 DNZ720932:DOO720933 DXV720932:DYK720933 EHR720932:EIG720933 ERN720932:ESC720933 FBJ720932:FBY720933 FLF720932:FLU720933 FVB720932:FVQ720933 GEX720932:GFM720933 GOT720932:GPI720933 GYP720932:GZE720933 HIL720932:HJA720933 HSH720932:HSW720933 ICD720932:ICS720933 ILZ720932:IMO720933 IVV720932:IWK720933 JFR720932:JGG720933 JPN720932:JQC720933 JZJ720932:JZY720933 KJF720932:KJU720933 KTB720932:KTQ720933 LCX720932:LDM720933 LMT720932:LNI720933 LWP720932:LXE720933 MGL720932:MHA720933 MQH720932:MQW720933 NAD720932:NAS720933 NJZ720932:NKO720933 NTV720932:NUK720933 ODR720932:OEG720933 ONN720932:OOC720933 OXJ720932:OXY720933 PHF720932:PHU720933 PRB720932:PRQ720933 QAX720932:QBM720933 QKT720932:QLI720933 QUP720932:QVE720933 REL720932:RFA720933 ROH720932:ROW720933 RYD720932:RYS720933 SHZ720932:SIO720933 SRV720932:SSK720933 TBR720932:TCG720933 TLN720932:TMC720933 TVJ720932:TVY720933 UFF720932:UFU720933 UPB720932:UPQ720933 UYX720932:UZM720933 VIT720932:VJI720933 VSP720932:VTE720933 WCL720932:WDA720933 WMH720932:WMW720933 WWD720932:WWS720933 V786468:AK786469 JR786468:KG786469 TN786468:UC786469 ADJ786468:ADY786469 ANF786468:ANU786469 AXB786468:AXQ786469 BGX786468:BHM786469 BQT786468:BRI786469 CAP786468:CBE786469 CKL786468:CLA786469 CUH786468:CUW786469 DED786468:DES786469 DNZ786468:DOO786469 DXV786468:DYK786469 EHR786468:EIG786469 ERN786468:ESC786469 FBJ786468:FBY786469 FLF786468:FLU786469 FVB786468:FVQ786469 GEX786468:GFM786469 GOT786468:GPI786469 GYP786468:GZE786469 HIL786468:HJA786469 HSH786468:HSW786469 ICD786468:ICS786469 ILZ786468:IMO786469 IVV786468:IWK786469 JFR786468:JGG786469 JPN786468:JQC786469 JZJ786468:JZY786469 KJF786468:KJU786469 KTB786468:KTQ786469 LCX786468:LDM786469 LMT786468:LNI786469 LWP786468:LXE786469 MGL786468:MHA786469 MQH786468:MQW786469 NAD786468:NAS786469 NJZ786468:NKO786469 NTV786468:NUK786469 ODR786468:OEG786469 ONN786468:OOC786469 OXJ786468:OXY786469 PHF786468:PHU786469 PRB786468:PRQ786469 QAX786468:QBM786469 QKT786468:QLI786469 QUP786468:QVE786469 REL786468:RFA786469 ROH786468:ROW786469 RYD786468:RYS786469 SHZ786468:SIO786469 SRV786468:SSK786469 TBR786468:TCG786469 TLN786468:TMC786469 TVJ786468:TVY786469 UFF786468:UFU786469 UPB786468:UPQ786469 UYX786468:UZM786469 VIT786468:VJI786469 VSP786468:VTE786469 WCL786468:WDA786469 WMH786468:WMW786469 WWD786468:WWS786469 V852004:AK852005 JR852004:KG852005 TN852004:UC852005 ADJ852004:ADY852005 ANF852004:ANU852005 AXB852004:AXQ852005 BGX852004:BHM852005 BQT852004:BRI852005 CAP852004:CBE852005 CKL852004:CLA852005 CUH852004:CUW852005 DED852004:DES852005 DNZ852004:DOO852005 DXV852004:DYK852005 EHR852004:EIG852005 ERN852004:ESC852005 FBJ852004:FBY852005 FLF852004:FLU852005 FVB852004:FVQ852005 GEX852004:GFM852005 GOT852004:GPI852005 GYP852004:GZE852005 HIL852004:HJA852005 HSH852004:HSW852005 ICD852004:ICS852005 ILZ852004:IMO852005 IVV852004:IWK852005 JFR852004:JGG852005 JPN852004:JQC852005 JZJ852004:JZY852005 KJF852004:KJU852005 KTB852004:KTQ852005 LCX852004:LDM852005 LMT852004:LNI852005 LWP852004:LXE852005 MGL852004:MHA852005 MQH852004:MQW852005 NAD852004:NAS852005 NJZ852004:NKO852005 NTV852004:NUK852005 ODR852004:OEG852005 ONN852004:OOC852005 OXJ852004:OXY852005 PHF852004:PHU852005 PRB852004:PRQ852005 QAX852004:QBM852005 QKT852004:QLI852005 QUP852004:QVE852005 REL852004:RFA852005 ROH852004:ROW852005 RYD852004:RYS852005 SHZ852004:SIO852005 SRV852004:SSK852005 TBR852004:TCG852005 TLN852004:TMC852005 TVJ852004:TVY852005 UFF852004:UFU852005 UPB852004:UPQ852005 UYX852004:UZM852005 VIT852004:VJI852005 VSP852004:VTE852005 WCL852004:WDA852005 WMH852004:WMW852005 WWD852004:WWS852005 V917540:AK917541 JR917540:KG917541 TN917540:UC917541 ADJ917540:ADY917541 ANF917540:ANU917541 AXB917540:AXQ917541 BGX917540:BHM917541 BQT917540:BRI917541 CAP917540:CBE917541 CKL917540:CLA917541 CUH917540:CUW917541 DED917540:DES917541 DNZ917540:DOO917541 DXV917540:DYK917541 EHR917540:EIG917541 ERN917540:ESC917541 FBJ917540:FBY917541 FLF917540:FLU917541 FVB917540:FVQ917541 GEX917540:GFM917541 GOT917540:GPI917541 GYP917540:GZE917541 HIL917540:HJA917541 HSH917540:HSW917541 ICD917540:ICS917541 ILZ917540:IMO917541 IVV917540:IWK917541 JFR917540:JGG917541 JPN917540:JQC917541 JZJ917540:JZY917541 KJF917540:KJU917541 KTB917540:KTQ917541 LCX917540:LDM917541 LMT917540:LNI917541 LWP917540:LXE917541 MGL917540:MHA917541 MQH917540:MQW917541 NAD917540:NAS917541 NJZ917540:NKO917541 NTV917540:NUK917541 ODR917540:OEG917541 ONN917540:OOC917541 OXJ917540:OXY917541 PHF917540:PHU917541 PRB917540:PRQ917541 QAX917540:QBM917541 QKT917540:QLI917541 QUP917540:QVE917541 REL917540:RFA917541 ROH917540:ROW917541 RYD917540:RYS917541 SHZ917540:SIO917541 SRV917540:SSK917541 TBR917540:TCG917541 TLN917540:TMC917541 TVJ917540:TVY917541 UFF917540:UFU917541 UPB917540:UPQ917541 UYX917540:UZM917541 VIT917540:VJI917541 VSP917540:VTE917541 WCL917540:WDA917541 WMH917540:WMW917541 WWD917540:WWS917541 V983076:AK983077 JR983076:KG983077 TN983076:UC983077 ADJ983076:ADY983077 ANF983076:ANU983077 AXB983076:AXQ983077 BGX983076:BHM983077 BQT983076:BRI983077 CAP983076:CBE983077 CKL983076:CLA983077 CUH983076:CUW983077 DED983076:DES983077 DNZ983076:DOO983077 DXV983076:DYK983077 EHR983076:EIG983077 ERN983076:ESC983077 FBJ983076:FBY983077 FLF983076:FLU983077 FVB983076:FVQ983077 GEX983076:GFM983077 GOT983076:GPI983077 GYP983076:GZE983077 HIL983076:HJA983077 HSH983076:HSW983077 ICD983076:ICS983077 ILZ983076:IMO983077 IVV983076:IWK983077 JFR983076:JGG983077 JPN983076:JQC983077 JZJ983076:JZY983077 KJF983076:KJU983077 KTB983076:KTQ983077 LCX983076:LDM983077 LMT983076:LNI983077 LWP983076:LXE983077 MGL983076:MHA983077 MQH983076:MQW983077 NAD983076:NAS983077 NJZ983076:NKO983077 NTV983076:NUK983077 ODR983076:OEG983077 ONN983076:OOC983077 OXJ983076:OXY983077 PHF983076:PHU983077 PRB983076:PRQ983077 QAX983076:QBM983077 QKT983076:QLI983077 QUP983076:QVE983077 REL983076:RFA983077 ROH983076:ROW983077 RYD983076:RYS983077 SHZ983076:SIO983077 SRV983076:SSK983077 TBR983076:TCG983077 TLN983076:TMC983077 TVJ983076:TVY983077 UFF983076:UFU983077 UPB983076:UPQ983077 UYX983076:UZM983077 VIT983076:VJI983077 VSP983076:VTE983077 WCL983076:WDA983077 WMH983076:WMW983077 WWD983076:WWS983077" xr:uid="{00000000-0002-0000-0000-000002000000}">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H54"/>
  <sheetViews>
    <sheetView showGridLines="0" view="pageBreakPreview" topLeftCell="A31" zoomScaleNormal="100" zoomScaleSheetLayoutView="100" workbookViewId="0"/>
  </sheetViews>
  <sheetFormatPr defaultColWidth="2.625" defaultRowHeight="15"/>
  <cols>
    <col min="1" max="1" width="2.625" style="1" customWidth="1"/>
    <col min="2" max="6" width="2.625" style="1"/>
    <col min="7" max="7" width="3.125" style="1" bestFit="1" customWidth="1"/>
    <col min="8" max="17" width="2.625" style="1"/>
    <col min="18" max="18" width="3.125" style="1" bestFit="1" customWidth="1"/>
    <col min="19" max="65" width="2.625" style="1"/>
    <col min="66" max="75" width="2.625" style="1" customWidth="1"/>
    <col min="76" max="16384" width="2.625" style="1"/>
  </cols>
  <sheetData>
    <row r="1" spans="2:47" ht="15.75" customHeight="1"/>
    <row r="2" spans="2:47" ht="15.75" customHeight="1"/>
    <row r="3" spans="2:47" ht="15.75" customHeight="1">
      <c r="B3" s="433" t="s">
        <v>36</v>
      </c>
      <c r="C3" s="433"/>
      <c r="D3" s="433"/>
      <c r="E3" s="433"/>
      <c r="F3" s="433"/>
      <c r="G3" s="433"/>
      <c r="H3" s="433"/>
      <c r="I3" s="433"/>
      <c r="J3" s="433"/>
      <c r="K3" s="13"/>
      <c r="L3" s="13"/>
      <c r="O3" s="434" t="s">
        <v>6</v>
      </c>
      <c r="P3" s="435"/>
      <c r="Q3" s="435"/>
      <c r="R3" s="435"/>
      <c r="S3" s="435"/>
      <c r="T3" s="436"/>
      <c r="U3" s="434" t="s">
        <v>37</v>
      </c>
      <c r="V3" s="435"/>
      <c r="W3" s="435"/>
      <c r="X3" s="435"/>
      <c r="Y3" s="435"/>
      <c r="Z3" s="436"/>
      <c r="AA3" s="434" t="s">
        <v>38</v>
      </c>
      <c r="AB3" s="440"/>
      <c r="AC3" s="440"/>
      <c r="AD3" s="440"/>
      <c r="AE3" s="440"/>
      <c r="AF3" s="440"/>
      <c r="AG3" s="440"/>
      <c r="AH3" s="440"/>
      <c r="AI3" s="441"/>
      <c r="AJ3" s="434" t="s">
        <v>39</v>
      </c>
      <c r="AK3" s="435"/>
      <c r="AL3" s="435"/>
      <c r="AM3" s="435"/>
      <c r="AN3" s="435"/>
      <c r="AO3" s="436"/>
      <c r="AP3" s="479" t="s">
        <v>40</v>
      </c>
      <c r="AQ3" s="480"/>
      <c r="AR3" s="480"/>
      <c r="AS3" s="480"/>
      <c r="AT3" s="480"/>
      <c r="AU3" s="481"/>
    </row>
    <row r="4" spans="2:47" ht="15.75" customHeight="1">
      <c r="B4" s="433"/>
      <c r="C4" s="433"/>
      <c r="D4" s="433"/>
      <c r="E4" s="433"/>
      <c r="F4" s="433"/>
      <c r="G4" s="433"/>
      <c r="H4" s="433"/>
      <c r="I4" s="433"/>
      <c r="J4" s="433"/>
      <c r="K4" s="13"/>
      <c r="L4" s="13"/>
      <c r="O4" s="437"/>
      <c r="P4" s="438"/>
      <c r="Q4" s="438"/>
      <c r="R4" s="438"/>
      <c r="S4" s="438"/>
      <c r="T4" s="439"/>
      <c r="U4" s="437"/>
      <c r="V4" s="438"/>
      <c r="W4" s="438"/>
      <c r="X4" s="438"/>
      <c r="Y4" s="438"/>
      <c r="Z4" s="439"/>
      <c r="AA4" s="442"/>
      <c r="AB4" s="443"/>
      <c r="AC4" s="443"/>
      <c r="AD4" s="443"/>
      <c r="AE4" s="443"/>
      <c r="AF4" s="443"/>
      <c r="AG4" s="443"/>
      <c r="AH4" s="443"/>
      <c r="AI4" s="444"/>
      <c r="AJ4" s="437"/>
      <c r="AK4" s="438"/>
      <c r="AL4" s="438"/>
      <c r="AM4" s="438"/>
      <c r="AN4" s="438"/>
      <c r="AO4" s="439"/>
      <c r="AP4" s="482"/>
      <c r="AQ4" s="483"/>
      <c r="AR4" s="483"/>
      <c r="AS4" s="483"/>
      <c r="AT4" s="483"/>
      <c r="AU4" s="484"/>
    </row>
    <row r="5" spans="2:47" ht="15.75" customHeight="1">
      <c r="B5" s="433"/>
      <c r="C5" s="433"/>
      <c r="D5" s="433"/>
      <c r="E5" s="433"/>
      <c r="F5" s="433"/>
      <c r="G5" s="433"/>
      <c r="H5" s="433"/>
      <c r="I5" s="433"/>
      <c r="J5" s="433"/>
      <c r="K5" s="13"/>
      <c r="L5" s="13"/>
      <c r="O5" s="445" t="s">
        <v>41</v>
      </c>
      <c r="P5" s="446"/>
      <c r="Q5" s="446"/>
      <c r="R5" s="446"/>
      <c r="S5" s="446"/>
      <c r="T5" s="447"/>
      <c r="U5" s="445" t="s">
        <v>42</v>
      </c>
      <c r="V5" s="446"/>
      <c r="W5" s="446"/>
      <c r="X5" s="446"/>
      <c r="Y5" s="446"/>
      <c r="Z5" s="447"/>
      <c r="AA5" s="451" t="s">
        <v>43</v>
      </c>
      <c r="AB5" s="452"/>
      <c r="AC5" s="452"/>
      <c r="AD5" s="452"/>
      <c r="AE5" s="452"/>
      <c r="AF5" s="452"/>
      <c r="AG5" s="452"/>
      <c r="AH5" s="452"/>
      <c r="AI5" s="453"/>
      <c r="AJ5" s="457" t="s">
        <v>14</v>
      </c>
      <c r="AK5" s="458"/>
      <c r="AL5" s="458"/>
      <c r="AM5" s="458"/>
      <c r="AN5" s="458"/>
      <c r="AO5" s="459"/>
      <c r="AP5" s="486" t="s">
        <v>44</v>
      </c>
      <c r="AQ5" s="487"/>
      <c r="AR5" s="487"/>
      <c r="AS5" s="487"/>
      <c r="AT5" s="487"/>
      <c r="AU5" s="488"/>
    </row>
    <row r="6" spans="2:47" ht="15.75" customHeight="1">
      <c r="B6" s="433"/>
      <c r="C6" s="433"/>
      <c r="D6" s="433"/>
      <c r="E6" s="433"/>
      <c r="F6" s="433"/>
      <c r="G6" s="433"/>
      <c r="H6" s="433"/>
      <c r="I6" s="433"/>
      <c r="J6" s="433"/>
      <c r="K6" s="13"/>
      <c r="L6" s="13"/>
      <c r="O6" s="448"/>
      <c r="P6" s="449"/>
      <c r="Q6" s="449"/>
      <c r="R6" s="449"/>
      <c r="S6" s="449"/>
      <c r="T6" s="450"/>
      <c r="U6" s="448"/>
      <c r="V6" s="449"/>
      <c r="W6" s="449"/>
      <c r="X6" s="449"/>
      <c r="Y6" s="449"/>
      <c r="Z6" s="450"/>
      <c r="AA6" s="454"/>
      <c r="AB6" s="455"/>
      <c r="AC6" s="455"/>
      <c r="AD6" s="455"/>
      <c r="AE6" s="455"/>
      <c r="AF6" s="455"/>
      <c r="AG6" s="455"/>
      <c r="AH6" s="455"/>
      <c r="AI6" s="456"/>
      <c r="AJ6" s="460"/>
      <c r="AK6" s="461"/>
      <c r="AL6" s="461"/>
      <c r="AM6" s="461"/>
      <c r="AN6" s="461"/>
      <c r="AO6" s="462"/>
      <c r="AP6" s="489"/>
      <c r="AQ6" s="490"/>
      <c r="AR6" s="490"/>
      <c r="AS6" s="490"/>
      <c r="AT6" s="490"/>
      <c r="AU6" s="491"/>
    </row>
    <row r="7" spans="2:47" ht="24.6">
      <c r="B7" s="14" t="s">
        <v>45</v>
      </c>
      <c r="D7" s="15"/>
      <c r="E7" s="15"/>
      <c r="F7" s="15"/>
      <c r="G7" s="15"/>
      <c r="H7" s="15"/>
      <c r="I7" s="15"/>
      <c r="J7" s="15"/>
      <c r="K7" s="15"/>
      <c r="L7" s="15"/>
    </row>
    <row r="15" spans="2:47">
      <c r="M15" s="492" t="s">
        <v>46</v>
      </c>
      <c r="N15" s="492"/>
      <c r="O15" s="492"/>
      <c r="P15" s="492"/>
      <c r="Q15" s="492"/>
      <c r="R15" s="492"/>
      <c r="S15" s="492"/>
      <c r="T15" s="492"/>
      <c r="U15" s="492"/>
      <c r="V15" s="492"/>
      <c r="W15" s="492"/>
      <c r="X15" s="492"/>
      <c r="Y15" s="492"/>
      <c r="Z15" s="492"/>
      <c r="AA15" s="492"/>
      <c r="AB15" s="492"/>
      <c r="AC15" s="492"/>
      <c r="AD15" s="492"/>
      <c r="AE15" s="492"/>
      <c r="AF15" s="492"/>
      <c r="AG15" s="492"/>
      <c r="AH15" s="492"/>
      <c r="AI15" s="492"/>
      <c r="AJ15" s="492"/>
      <c r="AK15" s="492"/>
      <c r="AL15" s="492"/>
      <c r="AM15" s="492"/>
    </row>
    <row r="16" spans="2:47">
      <c r="M16" s="492"/>
      <c r="N16" s="492"/>
      <c r="O16" s="492"/>
      <c r="P16" s="492"/>
      <c r="Q16" s="492"/>
      <c r="R16" s="492"/>
      <c r="S16" s="492"/>
      <c r="T16" s="492"/>
      <c r="U16" s="492"/>
      <c r="V16" s="492"/>
      <c r="W16" s="492"/>
      <c r="X16" s="492"/>
      <c r="Y16" s="492"/>
      <c r="Z16" s="492"/>
      <c r="AA16" s="492"/>
      <c r="AB16" s="492"/>
      <c r="AC16" s="492"/>
      <c r="AD16" s="492"/>
      <c r="AE16" s="492"/>
      <c r="AF16" s="492"/>
      <c r="AG16" s="492"/>
      <c r="AH16" s="492"/>
      <c r="AI16" s="492"/>
      <c r="AJ16" s="492"/>
      <c r="AK16" s="492"/>
      <c r="AL16" s="492"/>
      <c r="AM16" s="492"/>
    </row>
    <row r="17" spans="3:39">
      <c r="M17" s="492"/>
      <c r="N17" s="492"/>
      <c r="O17" s="492"/>
      <c r="P17" s="492"/>
      <c r="Q17" s="492"/>
      <c r="R17" s="492"/>
      <c r="S17" s="492"/>
      <c r="T17" s="492"/>
      <c r="U17" s="492"/>
      <c r="V17" s="492"/>
      <c r="W17" s="492"/>
      <c r="X17" s="492"/>
      <c r="Y17" s="492"/>
      <c r="Z17" s="492"/>
      <c r="AA17" s="492"/>
      <c r="AB17" s="492"/>
      <c r="AC17" s="492"/>
      <c r="AD17" s="492"/>
      <c r="AE17" s="492"/>
      <c r="AF17" s="492"/>
      <c r="AG17" s="492"/>
      <c r="AH17" s="492"/>
      <c r="AI17" s="492"/>
      <c r="AJ17" s="492"/>
      <c r="AK17" s="492"/>
      <c r="AL17" s="492"/>
      <c r="AM17" s="492"/>
    </row>
    <row r="18" spans="3:39">
      <c r="M18" s="492"/>
      <c r="N18" s="492"/>
      <c r="O18" s="492"/>
      <c r="P18" s="492"/>
      <c r="Q18" s="492"/>
      <c r="R18" s="492"/>
      <c r="S18" s="492"/>
      <c r="T18" s="492"/>
      <c r="U18" s="492"/>
      <c r="V18" s="492"/>
      <c r="W18" s="492"/>
      <c r="X18" s="492"/>
      <c r="Y18" s="492"/>
      <c r="Z18" s="492"/>
      <c r="AA18" s="492"/>
      <c r="AB18" s="492"/>
      <c r="AC18" s="492"/>
      <c r="AD18" s="492"/>
      <c r="AE18" s="492"/>
      <c r="AF18" s="492"/>
      <c r="AG18" s="492"/>
      <c r="AH18" s="492"/>
      <c r="AI18" s="492"/>
      <c r="AJ18" s="492"/>
      <c r="AK18" s="492"/>
      <c r="AL18" s="492"/>
      <c r="AM18" s="492"/>
    </row>
    <row r="26" spans="3:39" ht="15.75" customHeight="1"/>
    <row r="27" spans="3:39" ht="15.75" customHeight="1"/>
    <row r="29" spans="3:39">
      <c r="C29" s="463" t="s">
        <v>47</v>
      </c>
      <c r="D29" s="463"/>
      <c r="E29" s="463"/>
      <c r="F29" s="463"/>
      <c r="G29" s="463"/>
      <c r="H29" s="463"/>
    </row>
    <row r="30" spans="3:39">
      <c r="C30" s="463"/>
      <c r="D30" s="463"/>
      <c r="E30" s="463"/>
      <c r="F30" s="463"/>
      <c r="G30" s="463"/>
      <c r="H30" s="463"/>
    </row>
    <row r="31" spans="3:39">
      <c r="C31" s="464">
        <v>43008</v>
      </c>
      <c r="D31" s="464"/>
      <c r="E31" s="464"/>
      <c r="F31" s="464"/>
      <c r="G31" s="464"/>
      <c r="H31" s="464"/>
    </row>
    <row r="32" spans="3:39">
      <c r="C32" s="464"/>
      <c r="D32" s="464"/>
      <c r="E32" s="464"/>
      <c r="F32" s="464"/>
      <c r="G32" s="464"/>
      <c r="H32" s="464"/>
    </row>
    <row r="34" spans="1:86" s="17" customFormat="1" ht="11.1">
      <c r="A34" s="16"/>
    </row>
    <row r="35" spans="1:86" s="17" customFormat="1" ht="11.1">
      <c r="A35" s="16"/>
    </row>
    <row r="36" spans="1:86" s="17" customFormat="1" ht="11.1">
      <c r="A36" s="16"/>
    </row>
    <row r="37" spans="1:86" s="17" customFormat="1" ht="11.1">
      <c r="A37" s="16"/>
    </row>
    <row r="38" spans="1:86" ht="15.6" thickBot="1">
      <c r="A38" s="1" t="s">
        <v>48</v>
      </c>
    </row>
    <row r="39" spans="1:86">
      <c r="A39" s="465" t="s">
        <v>36</v>
      </c>
      <c r="B39" s="466"/>
      <c r="C39" s="466"/>
      <c r="D39" s="466"/>
      <c r="E39" s="466"/>
      <c r="F39" s="466"/>
      <c r="G39" s="466"/>
      <c r="H39" s="466"/>
      <c r="I39" s="466"/>
      <c r="J39" s="467"/>
      <c r="K39" s="473" t="s">
        <v>49</v>
      </c>
      <c r="L39" s="474"/>
      <c r="M39" s="474"/>
      <c r="N39" s="474"/>
      <c r="O39" s="474"/>
      <c r="P39" s="474"/>
      <c r="Q39" s="474"/>
      <c r="R39" s="474"/>
      <c r="S39" s="474"/>
      <c r="T39" s="475"/>
      <c r="U39" s="476" t="s">
        <v>50</v>
      </c>
      <c r="V39" s="477"/>
      <c r="W39" s="477"/>
      <c r="X39" s="477"/>
      <c r="Y39" s="478"/>
      <c r="Z39" s="493" t="s">
        <v>51</v>
      </c>
      <c r="AA39" s="494"/>
      <c r="AB39" s="494"/>
      <c r="AC39" s="494"/>
      <c r="AD39" s="495"/>
      <c r="AE39" s="496" t="s">
        <v>52</v>
      </c>
      <c r="AF39" s="494"/>
      <c r="AG39" s="494"/>
      <c r="AH39" s="494"/>
      <c r="AI39" s="495"/>
      <c r="AJ39" s="493" t="s">
        <v>16</v>
      </c>
      <c r="AK39" s="494"/>
      <c r="AL39" s="494"/>
      <c r="AM39" s="494"/>
      <c r="AN39" s="494"/>
      <c r="AO39" s="494"/>
      <c r="AP39" s="494"/>
      <c r="AQ39" s="494"/>
      <c r="AR39" s="495"/>
      <c r="AS39" s="485" t="s">
        <v>6</v>
      </c>
      <c r="AT39" s="485"/>
      <c r="AU39" s="485"/>
      <c r="AV39" s="485"/>
      <c r="AW39" s="485"/>
      <c r="AX39" s="485"/>
      <c r="AY39" s="485"/>
      <c r="AZ39" s="496" t="s">
        <v>39</v>
      </c>
      <c r="BA39" s="494"/>
      <c r="BB39" s="494"/>
      <c r="BC39" s="494"/>
      <c r="BD39" s="494"/>
      <c r="BE39" s="495"/>
      <c r="BF39" s="496" t="s">
        <v>53</v>
      </c>
      <c r="BG39" s="494"/>
      <c r="BH39" s="494"/>
      <c r="BI39" s="494"/>
      <c r="BJ39" s="494"/>
      <c r="BK39" s="497"/>
    </row>
    <row r="40" spans="1:86" ht="15.75" customHeight="1">
      <c r="A40" s="468"/>
      <c r="B40" s="469"/>
      <c r="C40" s="469"/>
      <c r="D40" s="469"/>
      <c r="E40" s="469"/>
      <c r="F40" s="469"/>
      <c r="G40" s="469"/>
      <c r="H40" s="469"/>
      <c r="I40" s="469"/>
      <c r="J40" s="470"/>
      <c r="K40" s="498" t="str">
        <f>文書名</f>
        <v>バッチ説明書</v>
      </c>
      <c r="L40" s="440"/>
      <c r="M40" s="440"/>
      <c r="N40" s="440"/>
      <c r="O40" s="440"/>
      <c r="P40" s="440"/>
      <c r="Q40" s="440"/>
      <c r="R40" s="440"/>
      <c r="S40" s="440"/>
      <c r="T40" s="441"/>
      <c r="U40" s="499" t="s">
        <v>54</v>
      </c>
      <c r="V40" s="500"/>
      <c r="W40" s="500"/>
      <c r="X40" s="500"/>
      <c r="Y40" s="501"/>
      <c r="Z40" s="502" t="s">
        <v>55</v>
      </c>
      <c r="AA40" s="503"/>
      <c r="AB40" s="503"/>
      <c r="AC40" s="503"/>
      <c r="AD40" s="504"/>
      <c r="AE40" s="505" t="s">
        <v>56</v>
      </c>
      <c r="AF40" s="503"/>
      <c r="AG40" s="503"/>
      <c r="AH40" s="503"/>
      <c r="AI40" s="504"/>
      <c r="AJ40" s="502" t="s">
        <v>57</v>
      </c>
      <c r="AK40" s="503"/>
      <c r="AL40" s="503"/>
      <c r="AM40" s="503"/>
      <c r="AN40" s="503"/>
      <c r="AO40" s="503"/>
      <c r="AP40" s="503"/>
      <c r="AQ40" s="503"/>
      <c r="AR40" s="504"/>
      <c r="AS40" s="506" t="str">
        <f>文書番号</f>
        <v>M7-US-1311</v>
      </c>
      <c r="AT40" s="506"/>
      <c r="AU40" s="506"/>
      <c r="AV40" s="506"/>
      <c r="AW40" s="506"/>
      <c r="AX40" s="506"/>
      <c r="AY40" s="506"/>
      <c r="AZ40" s="508" t="str">
        <f>Version</f>
        <v>7.0.1</v>
      </c>
      <c r="BA40" s="440"/>
      <c r="BB40" s="440"/>
      <c r="BC40" s="440"/>
      <c r="BD40" s="440"/>
      <c r="BE40" s="441"/>
      <c r="BF40" s="511" t="str">
        <f>Revision</f>
        <v>r01.01</v>
      </c>
      <c r="BG40" s="440"/>
      <c r="BH40" s="440"/>
      <c r="BI40" s="440"/>
      <c r="BJ40" s="440"/>
      <c r="BK40" s="512"/>
    </row>
    <row r="41" spans="1:86" ht="15.6" thickBot="1">
      <c r="A41" s="471"/>
      <c r="B41" s="630"/>
      <c r="C41" s="630"/>
      <c r="D41" s="630"/>
      <c r="E41" s="630"/>
      <c r="F41" s="630"/>
      <c r="G41" s="630"/>
      <c r="H41" s="630"/>
      <c r="I41" s="630"/>
      <c r="J41" s="472"/>
      <c r="K41" s="514" t="e">
        <f ca="1">RIGHT(CELL("filename",$A$1),LEN(CELL("filename",$A$1))-FIND("]",CELL("filename",$A$1)))</f>
        <v>#VALUE!</v>
      </c>
      <c r="L41" s="635"/>
      <c r="M41" s="635"/>
      <c r="N41" s="635"/>
      <c r="O41" s="635"/>
      <c r="P41" s="635"/>
      <c r="Q41" s="635"/>
      <c r="R41" s="635"/>
      <c r="S41" s="635"/>
      <c r="T41" s="515"/>
      <c r="U41" s="516" t="s">
        <v>58</v>
      </c>
      <c r="V41" s="517"/>
      <c r="W41" s="517"/>
      <c r="X41" s="517"/>
      <c r="Y41" s="518"/>
      <c r="Z41" s="519" t="s">
        <v>42</v>
      </c>
      <c r="AA41" s="520"/>
      <c r="AB41" s="520"/>
      <c r="AC41" s="520"/>
      <c r="AD41" s="520"/>
      <c r="AE41" s="521" t="s">
        <v>59</v>
      </c>
      <c r="AF41" s="522"/>
      <c r="AG41" s="522"/>
      <c r="AH41" s="522"/>
      <c r="AI41" s="522"/>
      <c r="AJ41" s="522"/>
      <c r="AK41" s="522"/>
      <c r="AL41" s="522"/>
      <c r="AM41" s="522"/>
      <c r="AN41" s="522"/>
      <c r="AO41" s="522"/>
      <c r="AP41" s="522"/>
      <c r="AQ41" s="522"/>
      <c r="AR41" s="523"/>
      <c r="AS41" s="507"/>
      <c r="AT41" s="507"/>
      <c r="AU41" s="507"/>
      <c r="AV41" s="507"/>
      <c r="AW41" s="507"/>
      <c r="AX41" s="507"/>
      <c r="AY41" s="507"/>
      <c r="AZ41" s="509"/>
      <c r="BA41" s="633"/>
      <c r="BB41" s="633"/>
      <c r="BC41" s="633"/>
      <c r="BD41" s="633"/>
      <c r="BE41" s="510"/>
      <c r="BF41" s="509"/>
      <c r="BG41" s="633"/>
      <c r="BH41" s="633"/>
      <c r="BI41" s="633"/>
      <c r="BJ41" s="633"/>
      <c r="BK41" s="513"/>
    </row>
    <row r="42" spans="1:86" ht="15.6" thickBot="1">
      <c r="A42" s="1" t="s">
        <v>60</v>
      </c>
      <c r="B42" s="18"/>
      <c r="C42" s="18"/>
      <c r="D42" s="18"/>
      <c r="E42" s="18"/>
      <c r="F42" s="18"/>
      <c r="G42" s="18"/>
      <c r="H42" s="18"/>
      <c r="I42" s="18"/>
      <c r="J42" s="18"/>
      <c r="K42" s="18"/>
      <c r="L42" s="19"/>
      <c r="M42" s="20"/>
      <c r="N42" s="20"/>
      <c r="O42" s="20"/>
      <c r="P42" s="20"/>
      <c r="Q42" s="20"/>
      <c r="R42" s="20"/>
      <c r="S42" s="20"/>
      <c r="T42" s="20"/>
      <c r="U42" s="20"/>
      <c r="V42" s="20"/>
      <c r="W42" s="20"/>
      <c r="X42" s="20"/>
      <c r="Y42" s="20"/>
      <c r="Z42" s="20"/>
      <c r="AA42" s="21"/>
      <c r="AB42" s="22"/>
      <c r="AC42" s="23"/>
      <c r="AD42" s="23"/>
      <c r="AE42" s="23"/>
      <c r="AF42" s="23"/>
      <c r="AG42" s="23"/>
      <c r="AH42" s="24"/>
      <c r="AI42" s="21"/>
      <c r="AJ42" s="21"/>
      <c r="AK42" s="21"/>
      <c r="AL42" s="21"/>
      <c r="AM42" s="21"/>
      <c r="AN42" s="21"/>
      <c r="AO42" s="21"/>
      <c r="AP42" s="21"/>
      <c r="AQ42" s="21"/>
      <c r="AR42" s="21"/>
      <c r="AS42" s="21"/>
      <c r="AT42" s="21"/>
      <c r="AU42" s="25"/>
      <c r="AV42" s="25"/>
      <c r="AW42" s="25"/>
      <c r="AX42" s="25"/>
      <c r="AY42" s="25"/>
      <c r="AZ42" s="25"/>
      <c r="BA42" s="25"/>
      <c r="BB42" s="18"/>
      <c r="BC42" s="18"/>
      <c r="BD42" s="18"/>
      <c r="BE42" s="18"/>
      <c r="BF42" s="18"/>
      <c r="BG42" s="20"/>
      <c r="BH42" s="20"/>
      <c r="BI42" s="20"/>
      <c r="BJ42" s="20"/>
      <c r="BK42" s="20"/>
    </row>
    <row r="43" spans="1:86" ht="15.75" customHeight="1">
      <c r="A43" s="465" t="str">
        <f>表紙!$A$39</f>
        <v>mcframe 7</v>
      </c>
      <c r="B43" s="466"/>
      <c r="C43" s="466"/>
      <c r="D43" s="466"/>
      <c r="E43" s="466"/>
      <c r="F43" s="466"/>
      <c r="G43" s="466"/>
      <c r="H43" s="466"/>
      <c r="I43" s="466"/>
      <c r="J43" s="467"/>
      <c r="K43" s="473" t="s">
        <v>49</v>
      </c>
      <c r="L43" s="474"/>
      <c r="M43" s="474"/>
      <c r="N43" s="474"/>
      <c r="O43" s="474"/>
      <c r="P43" s="474"/>
      <c r="Q43" s="474"/>
      <c r="R43" s="474"/>
      <c r="S43" s="474"/>
      <c r="T43" s="475"/>
      <c r="U43" s="476" t="s">
        <v>50</v>
      </c>
      <c r="V43" s="477"/>
      <c r="W43" s="477"/>
      <c r="X43" s="477"/>
      <c r="Y43" s="478"/>
      <c r="Z43" s="493" t="str">
        <f>表紙!$Z$39</f>
        <v>MG</v>
      </c>
      <c r="AA43" s="494"/>
      <c r="AB43" s="494"/>
      <c r="AC43" s="494"/>
      <c r="AD43" s="495"/>
      <c r="AE43" s="496" t="s">
        <v>52</v>
      </c>
      <c r="AF43" s="494"/>
      <c r="AG43" s="494"/>
      <c r="AH43" s="494"/>
      <c r="AI43" s="495"/>
      <c r="AJ43" s="493" t="str">
        <f>表紙!$AJ$39</f>
        <v>原価管理</v>
      </c>
      <c r="AK43" s="494"/>
      <c r="AL43" s="494"/>
      <c r="AM43" s="494"/>
      <c r="AN43" s="494"/>
      <c r="AO43" s="494"/>
      <c r="AP43" s="494"/>
      <c r="AQ43" s="494"/>
      <c r="AR43" s="495"/>
      <c r="AS43" s="485" t="s">
        <v>6</v>
      </c>
      <c r="AT43" s="485"/>
      <c r="AU43" s="485"/>
      <c r="AV43" s="485"/>
      <c r="AW43" s="485"/>
      <c r="AX43" s="485"/>
      <c r="AY43" s="485"/>
      <c r="AZ43" s="496" t="s">
        <v>39</v>
      </c>
      <c r="BA43" s="494"/>
      <c r="BB43" s="494"/>
      <c r="BC43" s="494"/>
      <c r="BD43" s="494"/>
      <c r="BE43" s="495"/>
      <c r="BF43" s="496" t="s">
        <v>53</v>
      </c>
      <c r="BG43" s="494"/>
      <c r="BH43" s="494"/>
      <c r="BI43" s="494"/>
      <c r="BJ43" s="494"/>
      <c r="BK43" s="497"/>
    </row>
    <row r="44" spans="1:86" ht="15.75" customHeight="1">
      <c r="A44" s="468"/>
      <c r="B44" s="469"/>
      <c r="C44" s="469"/>
      <c r="D44" s="469"/>
      <c r="E44" s="469"/>
      <c r="F44" s="469"/>
      <c r="G44" s="469"/>
      <c r="H44" s="469"/>
      <c r="I44" s="469"/>
      <c r="J44" s="470"/>
      <c r="K44" s="498" t="str">
        <f>文書名</f>
        <v>バッチ説明書</v>
      </c>
      <c r="L44" s="440"/>
      <c r="M44" s="440"/>
      <c r="N44" s="440"/>
      <c r="O44" s="440"/>
      <c r="P44" s="440"/>
      <c r="Q44" s="440"/>
      <c r="R44" s="440"/>
      <c r="S44" s="440"/>
      <c r="T44" s="441"/>
      <c r="U44" s="499" t="s">
        <v>54</v>
      </c>
      <c r="V44" s="500"/>
      <c r="W44" s="500"/>
      <c r="X44" s="500"/>
      <c r="Y44" s="501"/>
      <c r="Z44" s="502" t="str">
        <f>表紙!$Z$40</f>
        <v>MGBG</v>
      </c>
      <c r="AA44" s="503"/>
      <c r="AB44" s="503"/>
      <c r="AC44" s="503"/>
      <c r="AD44" s="504"/>
      <c r="AE44" s="505" t="s">
        <v>56</v>
      </c>
      <c r="AF44" s="503"/>
      <c r="AG44" s="503"/>
      <c r="AH44" s="503"/>
      <c r="AI44" s="504"/>
      <c r="AJ44" s="502" t="str">
        <f>表紙!$AJ$40</f>
        <v>配賦管理</v>
      </c>
      <c r="AK44" s="524"/>
      <c r="AL44" s="524"/>
      <c r="AM44" s="524"/>
      <c r="AN44" s="524"/>
      <c r="AO44" s="524"/>
      <c r="AP44" s="524"/>
      <c r="AQ44" s="524"/>
      <c r="AR44" s="525"/>
      <c r="AS44" s="506" t="str">
        <f>文書番号</f>
        <v>M7-US-1311</v>
      </c>
      <c r="AT44" s="506"/>
      <c r="AU44" s="506"/>
      <c r="AV44" s="506"/>
      <c r="AW44" s="506"/>
      <c r="AX44" s="506"/>
      <c r="AY44" s="506"/>
      <c r="AZ44" s="508" t="str">
        <f>Version</f>
        <v>7.0.1</v>
      </c>
      <c r="BA44" s="440"/>
      <c r="BB44" s="440"/>
      <c r="BC44" s="440"/>
      <c r="BD44" s="440"/>
      <c r="BE44" s="441"/>
      <c r="BF44" s="526" t="str">
        <f>Revision</f>
        <v>r01.01</v>
      </c>
      <c r="BG44" s="440"/>
      <c r="BH44" s="440"/>
      <c r="BI44" s="440"/>
      <c r="BJ44" s="440"/>
      <c r="BK44" s="512"/>
    </row>
    <row r="45" spans="1:86" ht="15.6" thickBot="1">
      <c r="A45" s="471"/>
      <c r="B45" s="630"/>
      <c r="C45" s="630"/>
      <c r="D45" s="630"/>
      <c r="E45" s="630"/>
      <c r="F45" s="630"/>
      <c r="G45" s="630"/>
      <c r="H45" s="630"/>
      <c r="I45" s="630"/>
      <c r="J45" s="472"/>
      <c r="K45" s="514" t="e">
        <f ca="1">RIGHT(CELL("filename",$A$1),LEN(CELL("filename",$A$1))-FIND("]",CELL("filename",$A$1)))</f>
        <v>#VALUE!</v>
      </c>
      <c r="L45" s="635"/>
      <c r="M45" s="635"/>
      <c r="N45" s="635"/>
      <c r="O45" s="635"/>
      <c r="P45" s="635"/>
      <c r="Q45" s="635"/>
      <c r="R45" s="635"/>
      <c r="S45" s="635"/>
      <c r="T45" s="515"/>
      <c r="U45" s="516" t="s">
        <v>58</v>
      </c>
      <c r="V45" s="517"/>
      <c r="W45" s="517"/>
      <c r="X45" s="517"/>
      <c r="Y45" s="518"/>
      <c r="Z45" s="519" t="str">
        <f>表紙!$Z$41</f>
        <v>MGBGB0020</v>
      </c>
      <c r="AA45" s="520"/>
      <c r="AB45" s="520"/>
      <c r="AC45" s="520"/>
      <c r="AD45" s="520"/>
      <c r="AE45" s="521" t="str">
        <f>表紙!$AE$41</f>
        <v>配賦費用実績ＩＦ取込バッチ</v>
      </c>
      <c r="AF45" s="522"/>
      <c r="AG45" s="522"/>
      <c r="AH45" s="522"/>
      <c r="AI45" s="522"/>
      <c r="AJ45" s="522"/>
      <c r="AK45" s="522"/>
      <c r="AL45" s="522"/>
      <c r="AM45" s="522"/>
      <c r="AN45" s="522"/>
      <c r="AO45" s="522"/>
      <c r="AP45" s="522"/>
      <c r="AQ45" s="522"/>
      <c r="AR45" s="523"/>
      <c r="AS45" s="507"/>
      <c r="AT45" s="507"/>
      <c r="AU45" s="507"/>
      <c r="AV45" s="507"/>
      <c r="AW45" s="507"/>
      <c r="AX45" s="507"/>
      <c r="AY45" s="507"/>
      <c r="AZ45" s="509"/>
      <c r="BA45" s="633"/>
      <c r="BB45" s="633"/>
      <c r="BC45" s="633"/>
      <c r="BD45" s="633"/>
      <c r="BE45" s="510"/>
      <c r="BF45" s="509"/>
      <c r="BG45" s="633"/>
      <c r="BH45" s="633"/>
      <c r="BI45" s="633"/>
      <c r="BJ45" s="633"/>
      <c r="BK45" s="513"/>
    </row>
    <row r="46" spans="1:86">
      <c r="A46" s="18"/>
      <c r="B46" s="18"/>
      <c r="C46" s="18"/>
      <c r="D46" s="18"/>
      <c r="E46" s="18"/>
      <c r="F46" s="18"/>
      <c r="G46" s="18"/>
      <c r="H46" s="18"/>
      <c r="I46" s="18"/>
      <c r="J46" s="18"/>
      <c r="K46" s="18"/>
      <c r="L46" s="19"/>
      <c r="M46" s="20"/>
      <c r="N46" s="20"/>
      <c r="O46" s="20"/>
      <c r="P46" s="20"/>
      <c r="Q46" s="20"/>
      <c r="R46" s="20"/>
      <c r="S46" s="20"/>
      <c r="T46" s="20"/>
      <c r="U46" s="20"/>
      <c r="V46" s="20"/>
      <c r="W46" s="20"/>
      <c r="X46" s="20"/>
      <c r="Y46" s="20"/>
      <c r="Z46" s="20"/>
      <c r="AA46" s="21"/>
      <c r="AB46" s="22"/>
      <c r="AC46" s="23"/>
      <c r="AD46" s="23"/>
      <c r="AE46" s="23"/>
      <c r="AF46" s="23"/>
      <c r="AG46" s="23"/>
      <c r="AH46" s="24"/>
      <c r="AI46" s="21"/>
      <c r="AJ46" s="21"/>
      <c r="AK46" s="21"/>
      <c r="AL46" s="21"/>
      <c r="AM46" s="21"/>
      <c r="AN46" s="21"/>
      <c r="AO46" s="21"/>
      <c r="AP46" s="21"/>
      <c r="AQ46" s="21"/>
      <c r="AR46" s="21"/>
      <c r="AS46" s="21"/>
      <c r="AT46" s="21"/>
      <c r="AU46" s="25"/>
      <c r="AV46" s="25"/>
      <c r="AW46" s="25"/>
      <c r="AX46" s="25"/>
      <c r="AY46" s="25"/>
      <c r="AZ46" s="25"/>
      <c r="BA46" s="25"/>
      <c r="BB46" s="18"/>
      <c r="BC46" s="18"/>
      <c r="BD46" s="18"/>
      <c r="BE46" s="18"/>
      <c r="BF46" s="18"/>
      <c r="BG46" s="20"/>
      <c r="BH46" s="20"/>
      <c r="BI46" s="20"/>
      <c r="BJ46" s="20"/>
      <c r="BK46" s="20"/>
    </row>
    <row r="47" spans="1:86" ht="15.6" thickBot="1">
      <c r="A47" s="1" t="s">
        <v>61</v>
      </c>
    </row>
    <row r="48" spans="1:86" ht="15.75" customHeight="1">
      <c r="A48" s="465" t="str">
        <f>表紙!$A$39</f>
        <v>mcframe 7</v>
      </c>
      <c r="B48" s="466"/>
      <c r="C48" s="466"/>
      <c r="D48" s="466"/>
      <c r="E48" s="466"/>
      <c r="F48" s="466"/>
      <c r="G48" s="466"/>
      <c r="H48" s="466"/>
      <c r="I48" s="466"/>
      <c r="J48" s="466"/>
      <c r="K48" s="466"/>
      <c r="L48" s="466"/>
      <c r="M48" s="466"/>
      <c r="N48" s="467"/>
      <c r="O48" s="473" t="s">
        <v>49</v>
      </c>
      <c r="P48" s="474"/>
      <c r="Q48" s="474"/>
      <c r="R48" s="474"/>
      <c r="S48" s="474"/>
      <c r="T48" s="474"/>
      <c r="U48" s="474"/>
      <c r="V48" s="474"/>
      <c r="W48" s="474"/>
      <c r="X48" s="474"/>
      <c r="Y48" s="474"/>
      <c r="Z48" s="474"/>
      <c r="AA48" s="474"/>
      <c r="AB48" s="474"/>
      <c r="AC48" s="496" t="s">
        <v>50</v>
      </c>
      <c r="AD48" s="494"/>
      <c r="AE48" s="494"/>
      <c r="AF48" s="494"/>
      <c r="AG48" s="494"/>
      <c r="AH48" s="494"/>
      <c r="AI48" s="495"/>
      <c r="AJ48" s="493" t="str">
        <f>表紙!$Z$39</f>
        <v>MG</v>
      </c>
      <c r="AK48" s="494"/>
      <c r="AL48" s="494"/>
      <c r="AM48" s="494"/>
      <c r="AN48" s="494"/>
      <c r="AO48" s="494"/>
      <c r="AP48" s="495"/>
      <c r="AQ48" s="496" t="s">
        <v>52</v>
      </c>
      <c r="AR48" s="494"/>
      <c r="AS48" s="494"/>
      <c r="AT48" s="494"/>
      <c r="AU48" s="494"/>
      <c r="AV48" s="494"/>
      <c r="AW48" s="495"/>
      <c r="AX48" s="493" t="str">
        <f>表紙!$AJ$39</f>
        <v>原価管理</v>
      </c>
      <c r="AY48" s="494"/>
      <c r="AZ48" s="494"/>
      <c r="BA48" s="494"/>
      <c r="BB48" s="494"/>
      <c r="BC48" s="494"/>
      <c r="BD48" s="494"/>
      <c r="BE48" s="494"/>
      <c r="BF48" s="494"/>
      <c r="BG48" s="494"/>
      <c r="BH48" s="494"/>
      <c r="BI48" s="494"/>
      <c r="BJ48" s="494"/>
      <c r="BK48" s="495"/>
      <c r="BL48" s="496" t="s">
        <v>6</v>
      </c>
      <c r="BM48" s="494"/>
      <c r="BN48" s="494"/>
      <c r="BO48" s="494"/>
      <c r="BP48" s="494"/>
      <c r="BQ48" s="494"/>
      <c r="BR48" s="494"/>
      <c r="BS48" s="494"/>
      <c r="BT48" s="495"/>
      <c r="BU48" s="527" t="s">
        <v>39</v>
      </c>
      <c r="BV48" s="528"/>
      <c r="BW48" s="528"/>
      <c r="BX48" s="528"/>
      <c r="BY48" s="528"/>
      <c r="BZ48" s="528"/>
      <c r="CA48" s="529"/>
      <c r="CB48" s="527" t="s">
        <v>53</v>
      </c>
      <c r="CC48" s="528"/>
      <c r="CD48" s="528"/>
      <c r="CE48" s="528"/>
      <c r="CF48" s="528"/>
      <c r="CG48" s="528"/>
      <c r="CH48" s="530"/>
    </row>
    <row r="49" spans="1:86" ht="15.75" customHeight="1">
      <c r="A49" s="468"/>
      <c r="B49" s="469"/>
      <c r="C49" s="469"/>
      <c r="D49" s="469"/>
      <c r="E49" s="469"/>
      <c r="F49" s="469"/>
      <c r="G49" s="469"/>
      <c r="H49" s="469"/>
      <c r="I49" s="469"/>
      <c r="J49" s="469"/>
      <c r="K49" s="469"/>
      <c r="L49" s="469"/>
      <c r="M49" s="469"/>
      <c r="N49" s="470"/>
      <c r="O49" s="498" t="str">
        <f>文書名</f>
        <v>バッチ説明書</v>
      </c>
      <c r="P49" s="440"/>
      <c r="Q49" s="440"/>
      <c r="R49" s="440"/>
      <c r="S49" s="440"/>
      <c r="T49" s="440"/>
      <c r="U49" s="440"/>
      <c r="V49" s="440"/>
      <c r="W49" s="440"/>
      <c r="X49" s="440"/>
      <c r="Y49" s="440"/>
      <c r="Z49" s="440"/>
      <c r="AA49" s="440"/>
      <c r="AB49" s="440"/>
      <c r="AC49" s="505" t="s">
        <v>62</v>
      </c>
      <c r="AD49" s="503"/>
      <c r="AE49" s="503"/>
      <c r="AF49" s="503"/>
      <c r="AG49" s="503"/>
      <c r="AH49" s="503"/>
      <c r="AI49" s="504"/>
      <c r="AJ49" s="502" t="str">
        <f>表紙!$Z$40</f>
        <v>MGBG</v>
      </c>
      <c r="AK49" s="524"/>
      <c r="AL49" s="524"/>
      <c r="AM49" s="524"/>
      <c r="AN49" s="524"/>
      <c r="AO49" s="524"/>
      <c r="AP49" s="525"/>
      <c r="AQ49" s="505" t="s">
        <v>63</v>
      </c>
      <c r="AR49" s="503"/>
      <c r="AS49" s="503"/>
      <c r="AT49" s="503"/>
      <c r="AU49" s="503"/>
      <c r="AV49" s="503"/>
      <c r="AW49" s="504"/>
      <c r="AX49" s="502" t="str">
        <f>表紙!$AJ$40</f>
        <v>配賦管理</v>
      </c>
      <c r="AY49" s="503"/>
      <c r="AZ49" s="503"/>
      <c r="BA49" s="503"/>
      <c r="BB49" s="503"/>
      <c r="BC49" s="503"/>
      <c r="BD49" s="503"/>
      <c r="BE49" s="503"/>
      <c r="BF49" s="503"/>
      <c r="BG49" s="503"/>
      <c r="BH49" s="503"/>
      <c r="BI49" s="503"/>
      <c r="BJ49" s="503"/>
      <c r="BK49" s="504"/>
      <c r="BL49" s="508" t="str">
        <f>文書番号</f>
        <v>M7-US-1311</v>
      </c>
      <c r="BM49" s="440"/>
      <c r="BN49" s="440"/>
      <c r="BO49" s="440"/>
      <c r="BP49" s="440"/>
      <c r="BQ49" s="440"/>
      <c r="BR49" s="440"/>
      <c r="BS49" s="440"/>
      <c r="BT49" s="441"/>
      <c r="BU49" s="508" t="str">
        <f>Version</f>
        <v>7.0.1</v>
      </c>
      <c r="BV49" s="440"/>
      <c r="BW49" s="440"/>
      <c r="BX49" s="440"/>
      <c r="BY49" s="440"/>
      <c r="BZ49" s="440"/>
      <c r="CA49" s="441"/>
      <c r="CB49" s="526" t="str">
        <f>Revision</f>
        <v>r01.01</v>
      </c>
      <c r="CC49" s="440"/>
      <c r="CD49" s="440"/>
      <c r="CE49" s="440"/>
      <c r="CF49" s="440"/>
      <c r="CG49" s="440"/>
      <c r="CH49" s="512"/>
    </row>
    <row r="50" spans="1:86" ht="16.5" customHeight="1" thickBot="1">
      <c r="A50" s="471"/>
      <c r="B50" s="630"/>
      <c r="C50" s="630"/>
      <c r="D50" s="630"/>
      <c r="E50" s="630"/>
      <c r="F50" s="630"/>
      <c r="G50" s="630"/>
      <c r="H50" s="630"/>
      <c r="I50" s="630"/>
      <c r="J50" s="630"/>
      <c r="K50" s="630"/>
      <c r="L50" s="630"/>
      <c r="M50" s="630"/>
      <c r="N50" s="472"/>
      <c r="O50" s="514" t="e">
        <f ca="1">RIGHT(CELL("filename",$A$1),LEN(CELL("filename",$A$1))-FIND("]",CELL("filename",$A$1)))</f>
        <v>#VALUE!</v>
      </c>
      <c r="P50" s="635"/>
      <c r="Q50" s="635"/>
      <c r="R50" s="635"/>
      <c r="S50" s="635"/>
      <c r="T50" s="635"/>
      <c r="U50" s="635"/>
      <c r="V50" s="635"/>
      <c r="W50" s="635"/>
      <c r="X50" s="635"/>
      <c r="Y50" s="635"/>
      <c r="Z50" s="635"/>
      <c r="AA50" s="635"/>
      <c r="AB50" s="635"/>
      <c r="AC50" s="531" t="s">
        <v>58</v>
      </c>
      <c r="AD50" s="520"/>
      <c r="AE50" s="520"/>
      <c r="AF50" s="520"/>
      <c r="AG50" s="520"/>
      <c r="AH50" s="520"/>
      <c r="AI50" s="532"/>
      <c r="AJ50" s="519" t="str">
        <f>表紙!$Z$41</f>
        <v>MGBGB0020</v>
      </c>
      <c r="AK50" s="533"/>
      <c r="AL50" s="533"/>
      <c r="AM50" s="533"/>
      <c r="AN50" s="533"/>
      <c r="AO50" s="533"/>
      <c r="AP50" s="533"/>
      <c r="AQ50" s="534" t="str">
        <f>表紙!$AE$41</f>
        <v>配賦費用実績ＩＦ取込バッチ</v>
      </c>
      <c r="AR50" s="535"/>
      <c r="AS50" s="535"/>
      <c r="AT50" s="535"/>
      <c r="AU50" s="535"/>
      <c r="AV50" s="535"/>
      <c r="AW50" s="535"/>
      <c r="AX50" s="535"/>
      <c r="AY50" s="535"/>
      <c r="AZ50" s="535"/>
      <c r="BA50" s="535"/>
      <c r="BB50" s="535"/>
      <c r="BC50" s="535"/>
      <c r="BD50" s="535"/>
      <c r="BE50" s="535"/>
      <c r="BF50" s="535"/>
      <c r="BG50" s="535"/>
      <c r="BH50" s="535"/>
      <c r="BI50" s="535"/>
      <c r="BJ50" s="535"/>
      <c r="BK50" s="536"/>
      <c r="BL50" s="509"/>
      <c r="BM50" s="633"/>
      <c r="BN50" s="633"/>
      <c r="BO50" s="633"/>
      <c r="BP50" s="633"/>
      <c r="BQ50" s="633"/>
      <c r="BR50" s="633"/>
      <c r="BS50" s="633"/>
      <c r="BT50" s="510"/>
      <c r="BU50" s="509"/>
      <c r="BV50" s="633"/>
      <c r="BW50" s="633"/>
      <c r="BX50" s="633"/>
      <c r="BY50" s="633"/>
      <c r="BZ50" s="633"/>
      <c r="CA50" s="510"/>
      <c r="CB50" s="509"/>
      <c r="CC50" s="633"/>
      <c r="CD50" s="633"/>
      <c r="CE50" s="633"/>
      <c r="CF50" s="633"/>
      <c r="CG50" s="633"/>
      <c r="CH50" s="513"/>
    </row>
    <row r="53" spans="1:86">
      <c r="A53" s="16"/>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row>
    <row r="54" spans="1:86">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row>
  </sheetData>
  <mergeCells count="77">
    <mergeCell ref="BL48:BT48"/>
    <mergeCell ref="BU48:CA48"/>
    <mergeCell ref="CB48:CH48"/>
    <mergeCell ref="O49:AB49"/>
    <mergeCell ref="AC49:AI49"/>
    <mergeCell ref="AJ49:AP49"/>
    <mergeCell ref="AQ49:AW49"/>
    <mergeCell ref="AX49:BK49"/>
    <mergeCell ref="BL49:BT50"/>
    <mergeCell ref="BU49:CA50"/>
    <mergeCell ref="AX48:BK48"/>
    <mergeCell ref="CB49:CH50"/>
    <mergeCell ref="O50:AB50"/>
    <mergeCell ref="AC50:AI50"/>
    <mergeCell ref="AJ50:AP50"/>
    <mergeCell ref="AQ50:BK50"/>
    <mergeCell ref="A48:N50"/>
    <mergeCell ref="O48:AB48"/>
    <mergeCell ref="AC48:AI48"/>
    <mergeCell ref="AJ48:AP48"/>
    <mergeCell ref="AQ48:AW48"/>
    <mergeCell ref="AJ43:AR43"/>
    <mergeCell ref="AS43:AY43"/>
    <mergeCell ref="AZ43:BE43"/>
    <mergeCell ref="BF43:BK43"/>
    <mergeCell ref="K44:T44"/>
    <mergeCell ref="U44:Y44"/>
    <mergeCell ref="Z44:AD44"/>
    <mergeCell ref="AE44:AI44"/>
    <mergeCell ref="AJ44:AR44"/>
    <mergeCell ref="AS44:AY45"/>
    <mergeCell ref="AZ44:BE45"/>
    <mergeCell ref="BF44:BK45"/>
    <mergeCell ref="K45:T45"/>
    <mergeCell ref="U45:Y45"/>
    <mergeCell ref="Z45:AD45"/>
    <mergeCell ref="AE45:AR45"/>
    <mergeCell ref="A43:J45"/>
    <mergeCell ref="K43:T43"/>
    <mergeCell ref="U43:Y43"/>
    <mergeCell ref="Z43:AD43"/>
    <mergeCell ref="AE43:AI43"/>
    <mergeCell ref="AZ39:BE39"/>
    <mergeCell ref="BF39:BK39"/>
    <mergeCell ref="K40:T40"/>
    <mergeCell ref="U40:Y40"/>
    <mergeCell ref="Z40:AD40"/>
    <mergeCell ref="AE40:AI40"/>
    <mergeCell ref="AJ40:AR40"/>
    <mergeCell ref="AS40:AY41"/>
    <mergeCell ref="AZ40:BE41"/>
    <mergeCell ref="BF40:BK41"/>
    <mergeCell ref="K41:T41"/>
    <mergeCell ref="U41:Y41"/>
    <mergeCell ref="Z41:AD41"/>
    <mergeCell ref="AE41:AR41"/>
    <mergeCell ref="AP3:AU4"/>
    <mergeCell ref="AS39:AY39"/>
    <mergeCell ref="AP5:AU6"/>
    <mergeCell ref="M15:AM18"/>
    <mergeCell ref="Z39:AD39"/>
    <mergeCell ref="AE39:AI39"/>
    <mergeCell ref="AJ39:AR39"/>
    <mergeCell ref="C29:H30"/>
    <mergeCell ref="C31:H32"/>
    <mergeCell ref="A39:J41"/>
    <mergeCell ref="K39:T39"/>
    <mergeCell ref="U39:Y39"/>
    <mergeCell ref="B3:J6"/>
    <mergeCell ref="O3:T4"/>
    <mergeCell ref="U3:Z4"/>
    <mergeCell ref="AA3:AI4"/>
    <mergeCell ref="AJ3:AO4"/>
    <mergeCell ref="O5:T6"/>
    <mergeCell ref="U5:Z6"/>
    <mergeCell ref="AA5:AI6"/>
    <mergeCell ref="AJ5:AO6"/>
  </mergeCells>
  <phoneticPr fontId="1"/>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M30"/>
  <sheetViews>
    <sheetView showGridLines="0" showZeros="0" view="pageBreakPreview" zoomScaleNormal="100" zoomScaleSheetLayoutView="100" workbookViewId="0">
      <selection activeCell="BH2" sqref="BH2:BM3"/>
    </sheetView>
  </sheetViews>
  <sheetFormatPr defaultColWidth="2.125" defaultRowHeight="13.5"/>
  <cols>
    <col min="1" max="1" width="2" style="169" customWidth="1"/>
    <col min="2" max="2" width="2" style="188" customWidth="1"/>
    <col min="3" max="5" width="2" style="189" customWidth="1"/>
    <col min="6" max="9" width="2" style="171" customWidth="1"/>
    <col min="10" max="10" width="2" style="189" customWidth="1"/>
    <col min="11" max="16" width="2" style="171" customWidth="1"/>
    <col min="17" max="17" width="2" style="172" customWidth="1"/>
    <col min="18" max="46" width="2" style="169" customWidth="1"/>
    <col min="47" max="47" width="2.375" style="169" customWidth="1"/>
    <col min="48" max="65" width="2" style="169" customWidth="1"/>
    <col min="66" max="16384" width="2.125" style="169"/>
  </cols>
  <sheetData>
    <row r="1" spans="1:65" ht="15.75" customHeight="1">
      <c r="A1" s="537" t="str">
        <f ca="1">INDIRECT("表紙!$A$39")</f>
        <v>mcframe 7</v>
      </c>
      <c r="B1" s="538"/>
      <c r="C1" s="538"/>
      <c r="D1" s="538"/>
      <c r="E1" s="538"/>
      <c r="F1" s="538"/>
      <c r="G1" s="538"/>
      <c r="H1" s="538"/>
      <c r="I1" s="538"/>
      <c r="J1" s="539"/>
      <c r="K1" s="546" t="s">
        <v>49</v>
      </c>
      <c r="L1" s="547"/>
      <c r="M1" s="547"/>
      <c r="N1" s="547"/>
      <c r="O1" s="547"/>
      <c r="P1" s="547"/>
      <c r="Q1" s="547"/>
      <c r="R1" s="547"/>
      <c r="S1" s="547"/>
      <c r="T1" s="548"/>
      <c r="U1" s="549" t="s">
        <v>50</v>
      </c>
      <c r="V1" s="550"/>
      <c r="W1" s="550"/>
      <c r="X1" s="550"/>
      <c r="Y1" s="551"/>
      <c r="Z1" s="552" t="str">
        <f ca="1">INDIRECT("表紙!$Z$39")</f>
        <v>MG</v>
      </c>
      <c r="AA1" s="553"/>
      <c r="AB1" s="553"/>
      <c r="AC1" s="553"/>
      <c r="AD1" s="553"/>
      <c r="AE1" s="553"/>
      <c r="AF1" s="554"/>
      <c r="AG1" s="555" t="s">
        <v>52</v>
      </c>
      <c r="AH1" s="556"/>
      <c r="AI1" s="556"/>
      <c r="AJ1" s="556"/>
      <c r="AK1" s="557"/>
      <c r="AL1" s="588" t="str">
        <f ca="1">INDIRECT("表紙!$AJ$39")</f>
        <v>原価管理</v>
      </c>
      <c r="AM1" s="550"/>
      <c r="AN1" s="550"/>
      <c r="AO1" s="550"/>
      <c r="AP1" s="550"/>
      <c r="AQ1" s="550"/>
      <c r="AR1" s="550"/>
      <c r="AS1" s="550"/>
      <c r="AT1" s="551"/>
      <c r="AU1" s="564" t="s">
        <v>6</v>
      </c>
      <c r="AV1" s="564"/>
      <c r="AW1" s="564"/>
      <c r="AX1" s="564"/>
      <c r="AY1" s="564"/>
      <c r="AZ1" s="564"/>
      <c r="BA1" s="564"/>
      <c r="BB1" s="565" t="s">
        <v>39</v>
      </c>
      <c r="BC1" s="556"/>
      <c r="BD1" s="556"/>
      <c r="BE1" s="556"/>
      <c r="BF1" s="556"/>
      <c r="BG1" s="557"/>
      <c r="BH1" s="565" t="s">
        <v>53</v>
      </c>
      <c r="BI1" s="556"/>
      <c r="BJ1" s="556"/>
      <c r="BK1" s="556"/>
      <c r="BL1" s="556"/>
      <c r="BM1" s="566"/>
    </row>
    <row r="2" spans="1:65" ht="15.75" customHeight="1">
      <c r="A2" s="540"/>
      <c r="B2" s="541"/>
      <c r="C2" s="541"/>
      <c r="D2" s="541"/>
      <c r="E2" s="541"/>
      <c r="F2" s="541"/>
      <c r="G2" s="541"/>
      <c r="H2" s="541"/>
      <c r="I2" s="541"/>
      <c r="J2" s="542"/>
      <c r="K2" s="567" t="str">
        <f>文書名_カスタマイズ</f>
        <v>バッチ機能</v>
      </c>
      <c r="L2" s="568"/>
      <c r="M2" s="568"/>
      <c r="N2" s="568"/>
      <c r="O2" s="568"/>
      <c r="P2" s="568"/>
      <c r="Q2" s="568"/>
      <c r="R2" s="568"/>
      <c r="S2" s="568"/>
      <c r="T2" s="569"/>
      <c r="U2" s="570" t="s">
        <v>54</v>
      </c>
      <c r="V2" s="571"/>
      <c r="W2" s="571"/>
      <c r="X2" s="571"/>
      <c r="Y2" s="572"/>
      <c r="Z2" s="573" t="str">
        <f ca="1">INDIRECT("表紙!$Z$40")</f>
        <v>MGBG</v>
      </c>
      <c r="AA2" s="574"/>
      <c r="AB2" s="574"/>
      <c r="AC2" s="574"/>
      <c r="AD2" s="574"/>
      <c r="AE2" s="574"/>
      <c r="AF2" s="575"/>
      <c r="AG2" s="576" t="s">
        <v>56</v>
      </c>
      <c r="AH2" s="577"/>
      <c r="AI2" s="577"/>
      <c r="AJ2" s="577"/>
      <c r="AK2" s="578"/>
      <c r="AL2" s="579" t="str">
        <f ca="1">INDIRECT("表紙!$AJ$40")</f>
        <v>配賦管理</v>
      </c>
      <c r="AM2" s="580"/>
      <c r="AN2" s="580"/>
      <c r="AO2" s="580"/>
      <c r="AP2" s="580"/>
      <c r="AQ2" s="580"/>
      <c r="AR2" s="580"/>
      <c r="AS2" s="580"/>
      <c r="AT2" s="581"/>
      <c r="AU2" s="582" t="str">
        <f>文書番号_カスタマイズ</f>
        <v>J052-0-0001</v>
      </c>
      <c r="AV2" s="582"/>
      <c r="AW2" s="582"/>
      <c r="AX2" s="582"/>
      <c r="AY2" s="582"/>
      <c r="AZ2" s="582"/>
      <c r="BA2" s="582"/>
      <c r="BB2" s="584" t="str">
        <f>Ver.</f>
        <v>7.0.1</v>
      </c>
      <c r="BC2" s="568"/>
      <c r="BD2" s="568"/>
      <c r="BE2" s="568"/>
      <c r="BF2" s="568"/>
      <c r="BG2" s="569"/>
      <c r="BH2" s="589">
        <f>Rev.</f>
        <v>0.1</v>
      </c>
      <c r="BI2" s="590"/>
      <c r="BJ2" s="590"/>
      <c r="BK2" s="590"/>
      <c r="BL2" s="590"/>
      <c r="BM2" s="591"/>
    </row>
    <row r="3" spans="1:65" ht="15.75" customHeight="1" thickBot="1">
      <c r="A3" s="543"/>
      <c r="B3" s="544"/>
      <c r="C3" s="544"/>
      <c r="D3" s="544"/>
      <c r="E3" s="544"/>
      <c r="F3" s="544"/>
      <c r="G3" s="544"/>
      <c r="H3" s="544"/>
      <c r="I3" s="544"/>
      <c r="J3" s="545"/>
      <c r="K3" s="595" t="e">
        <f ca="1">RIGHT(CELL("filename",$A$1),LEN(CELL("filename",$A$1))-FIND("]",CELL("filename",$A$1)))</f>
        <v>#VALUE!</v>
      </c>
      <c r="L3" s="596"/>
      <c r="M3" s="596"/>
      <c r="N3" s="596"/>
      <c r="O3" s="596"/>
      <c r="P3" s="596"/>
      <c r="Q3" s="596"/>
      <c r="R3" s="596"/>
      <c r="S3" s="596"/>
      <c r="T3" s="597"/>
      <c r="U3" s="598" t="s">
        <v>58</v>
      </c>
      <c r="V3" s="599"/>
      <c r="W3" s="599"/>
      <c r="X3" s="599"/>
      <c r="Y3" s="600"/>
      <c r="Z3" s="601" t="str">
        <f ca="1">INDIRECT("表紙!$Z$41")</f>
        <v>MGBGB0020</v>
      </c>
      <c r="AA3" s="602"/>
      <c r="AB3" s="602"/>
      <c r="AC3" s="602"/>
      <c r="AD3" s="602"/>
      <c r="AE3" s="602"/>
      <c r="AF3" s="602"/>
      <c r="AG3" s="558" t="str">
        <f ca="1">INDIRECT("表紙!$AE$41")</f>
        <v>配賦費用実績ＩＦ取込バッチ</v>
      </c>
      <c r="AH3" s="559"/>
      <c r="AI3" s="559"/>
      <c r="AJ3" s="559"/>
      <c r="AK3" s="559"/>
      <c r="AL3" s="559"/>
      <c r="AM3" s="559"/>
      <c r="AN3" s="559"/>
      <c r="AO3" s="559"/>
      <c r="AP3" s="559"/>
      <c r="AQ3" s="559"/>
      <c r="AR3" s="559"/>
      <c r="AS3" s="559"/>
      <c r="AT3" s="560"/>
      <c r="AU3" s="583"/>
      <c r="AV3" s="583"/>
      <c r="AW3" s="583"/>
      <c r="AX3" s="583"/>
      <c r="AY3" s="583"/>
      <c r="AZ3" s="583"/>
      <c r="BA3" s="583"/>
      <c r="BB3" s="585"/>
      <c r="BC3" s="586"/>
      <c r="BD3" s="586"/>
      <c r="BE3" s="586"/>
      <c r="BF3" s="586"/>
      <c r="BG3" s="587"/>
      <c r="BH3" s="592"/>
      <c r="BI3" s="593"/>
      <c r="BJ3" s="593"/>
      <c r="BK3" s="593"/>
      <c r="BL3" s="593"/>
      <c r="BM3" s="594"/>
    </row>
    <row r="4" spans="1:65" ht="9.75" customHeight="1">
      <c r="A4" s="170"/>
      <c r="B4" s="170"/>
      <c r="C4" s="170"/>
      <c r="D4" s="170"/>
      <c r="E4" s="170"/>
      <c r="F4" s="170"/>
      <c r="G4" s="170"/>
      <c r="H4" s="170"/>
      <c r="I4" s="170"/>
      <c r="J4" s="170"/>
    </row>
    <row r="5" spans="1:65" ht="15.75" customHeight="1">
      <c r="A5" s="173" t="s">
        <v>64</v>
      </c>
      <c r="B5" s="93"/>
      <c r="C5" s="93"/>
      <c r="D5" s="94"/>
      <c r="E5" s="173" t="s">
        <v>65</v>
      </c>
      <c r="F5" s="93"/>
      <c r="G5" s="93"/>
      <c r="H5" s="93"/>
      <c r="I5" s="93"/>
      <c r="J5" s="93"/>
      <c r="K5" s="93"/>
      <c r="L5" s="93"/>
      <c r="M5" s="93"/>
      <c r="N5" s="93"/>
      <c r="O5" s="93"/>
      <c r="P5" s="93"/>
      <c r="Q5" s="93"/>
      <c r="R5" s="93"/>
      <c r="S5" s="93"/>
      <c r="T5" s="93"/>
      <c r="U5" s="93"/>
      <c r="V5" s="94"/>
      <c r="W5" s="561" t="s">
        <v>66</v>
      </c>
      <c r="X5" s="562"/>
      <c r="Y5" s="562"/>
      <c r="Z5" s="562"/>
      <c r="AA5" s="562"/>
      <c r="AB5" s="562"/>
      <c r="AC5" s="562"/>
      <c r="AD5" s="562"/>
      <c r="AE5" s="562"/>
      <c r="AF5" s="562"/>
      <c r="AG5" s="562"/>
      <c r="AH5" s="562"/>
      <c r="AI5" s="562"/>
      <c r="AJ5" s="562"/>
      <c r="AK5" s="562"/>
      <c r="AL5" s="562"/>
      <c r="AM5" s="562"/>
      <c r="AN5" s="562"/>
      <c r="AO5" s="562"/>
      <c r="AP5" s="563"/>
      <c r="AQ5" s="173" t="s">
        <v>67</v>
      </c>
      <c r="AR5" s="93"/>
      <c r="AS5" s="93"/>
      <c r="AT5" s="93"/>
      <c r="AU5" s="94"/>
      <c r="AV5" s="173" t="s">
        <v>68</v>
      </c>
      <c r="AW5" s="93"/>
      <c r="AX5" s="93"/>
      <c r="AY5" s="93"/>
      <c r="AZ5" s="94"/>
      <c r="BA5" s="173" t="s">
        <v>69</v>
      </c>
      <c r="BB5" s="93"/>
      <c r="BC5" s="93"/>
      <c r="BD5" s="93"/>
      <c r="BE5" s="93"/>
      <c r="BF5" s="93"/>
      <c r="BG5" s="93"/>
      <c r="BH5" s="93"/>
      <c r="BI5" s="93"/>
      <c r="BJ5" s="93"/>
      <c r="BK5" s="93"/>
      <c r="BL5" s="93"/>
      <c r="BM5" s="94"/>
    </row>
    <row r="6" spans="1:65" ht="15.75" customHeight="1">
      <c r="A6" s="603" t="s">
        <v>70</v>
      </c>
      <c r="B6" s="604"/>
      <c r="C6" s="604"/>
      <c r="D6" s="605"/>
      <c r="E6" s="174" t="s">
        <v>71</v>
      </c>
      <c r="F6" s="174"/>
      <c r="G6" s="174"/>
      <c r="H6" s="174"/>
      <c r="I6" s="174"/>
      <c r="J6" s="175"/>
      <c r="K6" s="176"/>
      <c r="L6" s="175"/>
      <c r="M6" s="176"/>
      <c r="N6" s="176"/>
      <c r="O6" s="176"/>
      <c r="P6" s="174"/>
      <c r="Q6" s="174"/>
      <c r="R6" s="174"/>
      <c r="S6" s="174"/>
      <c r="T6" s="174"/>
      <c r="U6" s="174"/>
      <c r="V6" s="177"/>
      <c r="W6" s="178"/>
      <c r="X6" s="174"/>
      <c r="Y6" s="174"/>
      <c r="Z6" s="174"/>
      <c r="AA6" s="174"/>
      <c r="AB6" s="174"/>
      <c r="AC6" s="174"/>
      <c r="AD6" s="174"/>
      <c r="AE6" s="174"/>
      <c r="AF6" s="174"/>
      <c r="AG6" s="174"/>
      <c r="AH6" s="174"/>
      <c r="AI6" s="174"/>
      <c r="AJ6" s="174"/>
      <c r="AK6" s="174"/>
      <c r="AL6" s="174"/>
      <c r="AM6" s="174"/>
      <c r="AN6" s="174"/>
      <c r="AO6" s="174"/>
      <c r="AP6" s="177"/>
      <c r="AQ6" s="606">
        <v>44102</v>
      </c>
      <c r="AR6" s="607"/>
      <c r="AS6" s="607"/>
      <c r="AT6" s="607"/>
      <c r="AU6" s="608"/>
      <c r="AV6" s="609" t="s">
        <v>72</v>
      </c>
      <c r="AW6" s="610"/>
      <c r="AX6" s="610"/>
      <c r="AY6" s="610"/>
      <c r="AZ6" s="611"/>
      <c r="BA6" s="174"/>
      <c r="BB6" s="174"/>
      <c r="BC6" s="174"/>
      <c r="BD6" s="174"/>
      <c r="BE6" s="174"/>
      <c r="BF6" s="174"/>
      <c r="BG6" s="174"/>
      <c r="BH6" s="174"/>
      <c r="BI6" s="174"/>
      <c r="BJ6" s="174"/>
      <c r="BK6" s="174"/>
      <c r="BL6" s="174"/>
      <c r="BM6" s="177"/>
    </row>
    <row r="7" spans="1:65" ht="15.75" customHeight="1">
      <c r="A7" s="612" t="s">
        <v>73</v>
      </c>
      <c r="B7" s="613"/>
      <c r="C7" s="613"/>
      <c r="D7" s="614"/>
      <c r="E7" s="179" t="s">
        <v>74</v>
      </c>
      <c r="F7" s="179"/>
      <c r="G7" s="179"/>
      <c r="H7" s="179"/>
      <c r="I7" s="179"/>
      <c r="J7" s="179"/>
      <c r="K7" s="179"/>
      <c r="L7" s="180"/>
      <c r="M7" s="181"/>
      <c r="N7" s="181"/>
      <c r="O7" s="181"/>
      <c r="P7" s="179"/>
      <c r="Q7" s="179"/>
      <c r="R7" s="179"/>
      <c r="S7" s="179"/>
      <c r="T7" s="179"/>
      <c r="U7" s="179"/>
      <c r="V7" s="182"/>
      <c r="W7" s="183" t="s">
        <v>75</v>
      </c>
      <c r="X7" s="179"/>
      <c r="Y7" s="179"/>
      <c r="Z7" s="179"/>
      <c r="AA7" s="179"/>
      <c r="AB7" s="179"/>
      <c r="AC7" s="179"/>
      <c r="AD7" s="179"/>
      <c r="AE7" s="179"/>
      <c r="AF7" s="179"/>
      <c r="AG7" s="179"/>
      <c r="AH7" s="179"/>
      <c r="AI7" s="179"/>
      <c r="AJ7" s="179"/>
      <c r="AK7" s="179"/>
      <c r="AL7" s="179"/>
      <c r="AM7" s="179"/>
      <c r="AN7" s="179"/>
      <c r="AO7" s="179"/>
      <c r="AP7" s="182"/>
      <c r="AQ7" s="615">
        <v>44106</v>
      </c>
      <c r="AR7" s="616"/>
      <c r="AS7" s="616"/>
      <c r="AT7" s="616"/>
      <c r="AU7" s="617"/>
      <c r="AV7" s="618" t="s">
        <v>72</v>
      </c>
      <c r="AW7" s="619"/>
      <c r="AX7" s="619"/>
      <c r="AY7" s="619"/>
      <c r="AZ7" s="620"/>
      <c r="BA7" s="179" t="s">
        <v>76</v>
      </c>
      <c r="BB7" s="179"/>
      <c r="BC7" s="179"/>
      <c r="BD7" s="179"/>
      <c r="BE7" s="179"/>
      <c r="BF7" s="179"/>
      <c r="BG7" s="179"/>
      <c r="BH7" s="179"/>
      <c r="BI7" s="179"/>
      <c r="BJ7" s="179"/>
      <c r="BK7" s="179"/>
      <c r="BL7" s="179"/>
      <c r="BM7" s="182"/>
    </row>
    <row r="8" spans="1:65" ht="15.75" customHeight="1">
      <c r="A8" s="612"/>
      <c r="B8" s="613"/>
      <c r="C8" s="613"/>
      <c r="D8" s="614"/>
      <c r="E8" s="179"/>
      <c r="F8" s="179"/>
      <c r="G8" s="179"/>
      <c r="H8" s="179"/>
      <c r="I8" s="179"/>
      <c r="J8" s="179"/>
      <c r="K8" s="179"/>
      <c r="L8" s="180"/>
      <c r="M8" s="181"/>
      <c r="N8" s="181"/>
      <c r="O8" s="181"/>
      <c r="P8" s="179"/>
      <c r="Q8" s="179"/>
      <c r="R8" s="179"/>
      <c r="S8" s="179"/>
      <c r="T8" s="179"/>
      <c r="U8" s="179"/>
      <c r="V8" s="182"/>
      <c r="W8" s="183" t="s">
        <v>77</v>
      </c>
      <c r="X8" s="179"/>
      <c r="Y8" s="179"/>
      <c r="Z8" s="179"/>
      <c r="AA8" s="179"/>
      <c r="AB8" s="179"/>
      <c r="AC8" s="179"/>
      <c r="AD8" s="179"/>
      <c r="AE8" s="179"/>
      <c r="AF8" s="179"/>
      <c r="AG8" s="179"/>
      <c r="AH8" s="179"/>
      <c r="AI8" s="179"/>
      <c r="AJ8" s="179"/>
      <c r="AK8" s="179"/>
      <c r="AL8" s="179"/>
      <c r="AM8" s="179"/>
      <c r="AN8" s="179"/>
      <c r="AO8" s="179"/>
      <c r="AP8" s="182"/>
      <c r="AQ8" s="615"/>
      <c r="AR8" s="616"/>
      <c r="AS8" s="616"/>
      <c r="AT8" s="616"/>
      <c r="AU8" s="617"/>
      <c r="AV8" s="618"/>
      <c r="AW8" s="619"/>
      <c r="AX8" s="619"/>
      <c r="AY8" s="619"/>
      <c r="AZ8" s="620"/>
      <c r="BA8" s="179" t="s">
        <v>78</v>
      </c>
      <c r="BB8" s="179"/>
      <c r="BC8" s="179"/>
      <c r="BD8" s="179"/>
      <c r="BE8" s="179"/>
      <c r="BF8" s="179"/>
      <c r="BG8" s="179"/>
      <c r="BH8" s="179"/>
      <c r="BI8" s="179"/>
      <c r="BJ8" s="179"/>
      <c r="BK8" s="179"/>
      <c r="BL8" s="179"/>
      <c r="BM8" s="182"/>
    </row>
    <row r="9" spans="1:65" ht="15.75" customHeight="1">
      <c r="A9" s="612"/>
      <c r="B9" s="613"/>
      <c r="C9" s="613"/>
      <c r="D9" s="614"/>
      <c r="E9" s="179"/>
      <c r="F9" s="179"/>
      <c r="G9" s="179"/>
      <c r="H9" s="179"/>
      <c r="I9" s="179"/>
      <c r="J9" s="179"/>
      <c r="K9" s="179"/>
      <c r="L9" s="180"/>
      <c r="M9" s="181"/>
      <c r="N9" s="181"/>
      <c r="O9" s="181"/>
      <c r="P9" s="179"/>
      <c r="Q9" s="179"/>
      <c r="R9" s="179"/>
      <c r="S9" s="179"/>
      <c r="T9" s="179"/>
      <c r="U9" s="179"/>
      <c r="V9" s="182"/>
      <c r="W9" s="183" t="s">
        <v>79</v>
      </c>
      <c r="X9" s="179"/>
      <c r="Y9" s="179"/>
      <c r="Z9" s="179"/>
      <c r="AA9" s="179"/>
      <c r="AB9" s="179"/>
      <c r="AC9" s="179"/>
      <c r="AD9" s="179"/>
      <c r="AE9" s="179"/>
      <c r="AF9" s="179"/>
      <c r="AG9" s="179"/>
      <c r="AH9" s="179"/>
      <c r="AI9" s="179"/>
      <c r="AJ9" s="179"/>
      <c r="AK9" s="179"/>
      <c r="AL9" s="179"/>
      <c r="AM9" s="179"/>
      <c r="AN9" s="179"/>
      <c r="AO9" s="179"/>
      <c r="AP9" s="182"/>
      <c r="AQ9" s="615"/>
      <c r="AR9" s="616"/>
      <c r="AS9" s="616"/>
      <c r="AT9" s="616"/>
      <c r="AU9" s="617"/>
      <c r="AV9" s="618"/>
      <c r="AW9" s="619"/>
      <c r="AX9" s="619"/>
      <c r="AY9" s="619"/>
      <c r="AZ9" s="620"/>
      <c r="BA9" s="179" t="s">
        <v>80</v>
      </c>
      <c r="BB9" s="179"/>
      <c r="BC9" s="179"/>
      <c r="BD9" s="179"/>
      <c r="BE9" s="179"/>
      <c r="BF9" s="179"/>
      <c r="BG9" s="179"/>
      <c r="BH9" s="179"/>
      <c r="BI9" s="179"/>
      <c r="BJ9" s="179"/>
      <c r="BK9" s="179"/>
      <c r="BL9" s="179"/>
      <c r="BM9" s="182"/>
    </row>
    <row r="10" spans="1:65" ht="15.75" customHeight="1">
      <c r="A10" s="612" t="s">
        <v>81</v>
      </c>
      <c r="B10" s="613"/>
      <c r="C10" s="613"/>
      <c r="D10" s="614"/>
      <c r="E10" s="179" t="s">
        <v>82</v>
      </c>
      <c r="F10" s="179"/>
      <c r="G10" s="179"/>
      <c r="H10" s="179"/>
      <c r="I10" s="179"/>
      <c r="J10" s="179"/>
      <c r="K10" s="179"/>
      <c r="L10" s="180"/>
      <c r="M10" s="181"/>
      <c r="N10" s="181"/>
      <c r="O10" s="181"/>
      <c r="P10" s="179"/>
      <c r="Q10" s="179"/>
      <c r="R10" s="179"/>
      <c r="S10" s="179"/>
      <c r="T10" s="179"/>
      <c r="U10" s="179"/>
      <c r="V10" s="182"/>
      <c r="W10" s="183" t="s">
        <v>83</v>
      </c>
      <c r="X10" s="179"/>
      <c r="Y10" s="179"/>
      <c r="Z10" s="179"/>
      <c r="AA10" s="179"/>
      <c r="AB10" s="179"/>
      <c r="AC10" s="179"/>
      <c r="AD10" s="179"/>
      <c r="AE10" s="179"/>
      <c r="AF10" s="179"/>
      <c r="AG10" s="179"/>
      <c r="AH10" s="179"/>
      <c r="AI10" s="179"/>
      <c r="AJ10" s="179"/>
      <c r="AK10" s="179"/>
      <c r="AL10" s="179"/>
      <c r="AM10" s="179"/>
      <c r="AN10" s="179"/>
      <c r="AO10" s="179"/>
      <c r="AP10" s="182"/>
      <c r="AQ10" s="615">
        <v>44119</v>
      </c>
      <c r="AR10" s="616"/>
      <c r="AS10" s="616"/>
      <c r="AT10" s="616"/>
      <c r="AU10" s="617"/>
      <c r="AV10" s="618" t="s">
        <v>72</v>
      </c>
      <c r="AW10" s="619"/>
      <c r="AX10" s="619"/>
      <c r="AY10" s="619"/>
      <c r="AZ10" s="620"/>
      <c r="BA10" s="179" t="s">
        <v>78</v>
      </c>
      <c r="BB10" s="179"/>
      <c r="BC10" s="179"/>
      <c r="BD10" s="179"/>
      <c r="BE10" s="179"/>
      <c r="BF10" s="179"/>
      <c r="BG10" s="179"/>
      <c r="BH10" s="179"/>
      <c r="BI10" s="179"/>
      <c r="BJ10" s="179"/>
      <c r="BK10" s="179"/>
      <c r="BL10" s="179"/>
      <c r="BM10" s="182"/>
    </row>
    <row r="11" spans="1:65" ht="15.75" customHeight="1">
      <c r="A11" s="612" t="s">
        <v>84</v>
      </c>
      <c r="B11" s="613"/>
      <c r="C11" s="613"/>
      <c r="D11" s="614"/>
      <c r="E11" s="179" t="s">
        <v>85</v>
      </c>
      <c r="F11" s="179"/>
      <c r="G11" s="179"/>
      <c r="H11" s="179"/>
      <c r="I11" s="179"/>
      <c r="J11" s="179"/>
      <c r="K11" s="179"/>
      <c r="L11" s="179"/>
      <c r="M11" s="179"/>
      <c r="N11" s="179"/>
      <c r="O11" s="179"/>
      <c r="P11" s="179"/>
      <c r="Q11" s="179"/>
      <c r="R11" s="179"/>
      <c r="S11" s="179"/>
      <c r="T11" s="179"/>
      <c r="U11" s="179"/>
      <c r="V11" s="182"/>
      <c r="W11" s="183" t="s">
        <v>86</v>
      </c>
      <c r="X11" s="179"/>
      <c r="Y11" s="179"/>
      <c r="Z11" s="179"/>
      <c r="AA11" s="179"/>
      <c r="AB11" s="179"/>
      <c r="AC11" s="179"/>
      <c r="AD11" s="179"/>
      <c r="AE11" s="179"/>
      <c r="AF11" s="179"/>
      <c r="AG11" s="179"/>
      <c r="AH11" s="179"/>
      <c r="AI11" s="179"/>
      <c r="AJ11" s="179"/>
      <c r="AK11" s="179"/>
      <c r="AL11" s="179"/>
      <c r="AM11" s="179"/>
      <c r="AN11" s="179"/>
      <c r="AO11" s="179"/>
      <c r="AP11" s="182"/>
      <c r="AQ11" s="615">
        <v>44139</v>
      </c>
      <c r="AR11" s="616"/>
      <c r="AS11" s="616"/>
      <c r="AT11" s="616"/>
      <c r="AU11" s="617"/>
      <c r="AV11" s="618" t="s">
        <v>72</v>
      </c>
      <c r="AW11" s="619"/>
      <c r="AX11" s="619"/>
      <c r="AY11" s="619"/>
      <c r="AZ11" s="620"/>
      <c r="BA11" s="179" t="s">
        <v>78</v>
      </c>
      <c r="BB11" s="179"/>
      <c r="BC11" s="179"/>
      <c r="BD11" s="179"/>
      <c r="BE11" s="179"/>
      <c r="BF11" s="179"/>
      <c r="BG11" s="179"/>
      <c r="BH11" s="179"/>
      <c r="BI11" s="179"/>
      <c r="BJ11" s="179"/>
      <c r="BK11" s="179"/>
      <c r="BL11" s="179"/>
      <c r="BM11" s="182"/>
    </row>
    <row r="12" spans="1:65" ht="15.75" customHeight="1">
      <c r="A12" s="612" t="s">
        <v>87</v>
      </c>
      <c r="B12" s="613"/>
      <c r="C12" s="613"/>
      <c r="D12" s="614"/>
      <c r="E12" s="179" t="s">
        <v>88</v>
      </c>
      <c r="F12" s="179"/>
      <c r="G12" s="179"/>
      <c r="H12" s="179"/>
      <c r="I12" s="179"/>
      <c r="J12" s="179"/>
      <c r="K12" s="179"/>
      <c r="L12" s="180"/>
      <c r="M12" s="181"/>
      <c r="N12" s="181"/>
      <c r="O12" s="181"/>
      <c r="P12" s="179"/>
      <c r="Q12" s="179"/>
      <c r="R12" s="179"/>
      <c r="S12" s="179"/>
      <c r="T12" s="179"/>
      <c r="U12" s="179"/>
      <c r="V12" s="182"/>
      <c r="W12" s="183"/>
      <c r="X12" s="179"/>
      <c r="Y12" s="179"/>
      <c r="Z12" s="179"/>
      <c r="AA12" s="179"/>
      <c r="AB12" s="179"/>
      <c r="AC12" s="179"/>
      <c r="AD12" s="179"/>
      <c r="AE12" s="179"/>
      <c r="AF12" s="179"/>
      <c r="AG12" s="179"/>
      <c r="AH12" s="179"/>
      <c r="AI12" s="179"/>
      <c r="AJ12" s="179"/>
      <c r="AK12" s="179"/>
      <c r="AL12" s="179"/>
      <c r="AM12" s="179"/>
      <c r="AN12" s="179"/>
      <c r="AO12" s="179"/>
      <c r="AP12" s="182"/>
      <c r="AQ12" s="615">
        <v>44176</v>
      </c>
      <c r="AR12" s="616"/>
      <c r="AS12" s="616"/>
      <c r="AT12" s="616"/>
      <c r="AU12" s="617"/>
      <c r="AV12" s="618" t="s">
        <v>89</v>
      </c>
      <c r="AW12" s="619"/>
      <c r="AX12" s="619"/>
      <c r="AY12" s="619"/>
      <c r="AZ12" s="620"/>
      <c r="BA12" s="179"/>
      <c r="BB12" s="179"/>
      <c r="BC12" s="179"/>
      <c r="BD12" s="179"/>
      <c r="BE12" s="179"/>
      <c r="BF12" s="179"/>
      <c r="BG12" s="179"/>
      <c r="BH12" s="179"/>
      <c r="BI12" s="179"/>
      <c r="BJ12" s="179"/>
      <c r="BK12" s="179"/>
      <c r="BL12" s="179"/>
      <c r="BM12" s="182"/>
    </row>
    <row r="13" spans="1:65" ht="15.75" customHeight="1">
      <c r="A13" s="612" t="s">
        <v>90</v>
      </c>
      <c r="B13" s="613"/>
      <c r="C13" s="613"/>
      <c r="D13" s="614"/>
      <c r="E13" s="179" t="s">
        <v>91</v>
      </c>
      <c r="F13" s="179"/>
      <c r="G13" s="179"/>
      <c r="H13" s="179"/>
      <c r="I13" s="179"/>
      <c r="J13" s="179"/>
      <c r="K13" s="179"/>
      <c r="L13" s="179"/>
      <c r="M13" s="179"/>
      <c r="N13" s="179"/>
      <c r="O13" s="179"/>
      <c r="P13" s="179"/>
      <c r="Q13" s="179"/>
      <c r="R13" s="179"/>
      <c r="S13" s="179"/>
      <c r="T13" s="179"/>
      <c r="U13" s="179"/>
      <c r="V13" s="182"/>
      <c r="W13" s="183" t="s">
        <v>92</v>
      </c>
      <c r="X13" s="179"/>
      <c r="Y13" s="179"/>
      <c r="Z13" s="179"/>
      <c r="AA13" s="179"/>
      <c r="AB13" s="179"/>
      <c r="AC13" s="179"/>
      <c r="AD13" s="179"/>
      <c r="AE13" s="179"/>
      <c r="AF13" s="179"/>
      <c r="AG13" s="179"/>
      <c r="AH13" s="179"/>
      <c r="AI13" s="179"/>
      <c r="AJ13" s="179"/>
      <c r="AK13" s="179"/>
      <c r="AL13" s="179"/>
      <c r="AM13" s="179"/>
      <c r="AN13" s="179"/>
      <c r="AO13" s="179"/>
      <c r="AP13" s="182"/>
      <c r="AQ13" s="615">
        <v>44298</v>
      </c>
      <c r="AR13" s="616"/>
      <c r="AS13" s="616"/>
      <c r="AT13" s="616"/>
      <c r="AU13" s="617"/>
      <c r="AV13" s="618" t="s">
        <v>72</v>
      </c>
      <c r="AW13" s="619"/>
      <c r="AX13" s="619"/>
      <c r="AY13" s="619"/>
      <c r="AZ13" s="620"/>
      <c r="BA13" s="179" t="s">
        <v>93</v>
      </c>
      <c r="BB13" s="179"/>
      <c r="BC13" s="179"/>
      <c r="BD13" s="179"/>
      <c r="BE13" s="179"/>
      <c r="BF13" s="179"/>
      <c r="BG13" s="179"/>
      <c r="BH13" s="179"/>
      <c r="BI13" s="179"/>
      <c r="BJ13" s="179"/>
      <c r="BK13" s="179"/>
      <c r="BL13" s="179"/>
      <c r="BM13" s="182"/>
    </row>
    <row r="14" spans="1:65" ht="15.75" customHeight="1">
      <c r="A14" s="612"/>
      <c r="B14" s="613"/>
      <c r="C14" s="613"/>
      <c r="D14" s="614"/>
      <c r="E14" s="179" t="s">
        <v>94</v>
      </c>
      <c r="F14" s="179"/>
      <c r="G14" s="179"/>
      <c r="H14" s="179"/>
      <c r="I14" s="179"/>
      <c r="J14" s="179"/>
      <c r="K14" s="179"/>
      <c r="L14" s="179"/>
      <c r="M14" s="179"/>
      <c r="N14" s="179"/>
      <c r="O14" s="179"/>
      <c r="P14" s="179"/>
      <c r="Q14" s="179"/>
      <c r="R14" s="179"/>
      <c r="S14" s="179"/>
      <c r="T14" s="179"/>
      <c r="U14" s="179"/>
      <c r="V14" s="182"/>
      <c r="W14" s="183"/>
      <c r="X14" s="179"/>
      <c r="Y14" s="179"/>
      <c r="Z14" s="179"/>
      <c r="AA14" s="179"/>
      <c r="AB14" s="179"/>
      <c r="AC14" s="179"/>
      <c r="AD14" s="179"/>
      <c r="AE14" s="179"/>
      <c r="AF14" s="179"/>
      <c r="AG14" s="179"/>
      <c r="AH14" s="179"/>
      <c r="AI14" s="179"/>
      <c r="AJ14" s="179"/>
      <c r="AK14" s="179"/>
      <c r="AL14" s="179"/>
      <c r="AM14" s="179"/>
      <c r="AN14" s="179"/>
      <c r="AO14" s="179"/>
      <c r="AP14" s="182"/>
      <c r="AQ14" s="615"/>
      <c r="AR14" s="616"/>
      <c r="AS14" s="616"/>
      <c r="AT14" s="616"/>
      <c r="AU14" s="617"/>
      <c r="AV14" s="618"/>
      <c r="AW14" s="619"/>
      <c r="AX14" s="619"/>
      <c r="AY14" s="619"/>
      <c r="AZ14" s="620"/>
      <c r="BA14" s="179"/>
      <c r="BB14" s="179"/>
      <c r="BC14" s="179"/>
      <c r="BD14" s="179"/>
      <c r="BE14" s="179"/>
      <c r="BF14" s="179"/>
      <c r="BG14" s="179"/>
      <c r="BH14" s="179"/>
      <c r="BI14" s="179"/>
      <c r="BJ14" s="179"/>
      <c r="BK14" s="179"/>
      <c r="BL14" s="179"/>
      <c r="BM14" s="182"/>
    </row>
    <row r="15" spans="1:65" ht="15.75" customHeight="1">
      <c r="A15" s="612" t="s">
        <v>95</v>
      </c>
      <c r="B15" s="613"/>
      <c r="C15" s="613"/>
      <c r="D15" s="614"/>
      <c r="E15" s="179" t="s">
        <v>96</v>
      </c>
      <c r="F15" s="179"/>
      <c r="G15" s="179"/>
      <c r="H15" s="179"/>
      <c r="I15" s="179"/>
      <c r="J15" s="179"/>
      <c r="K15" s="179"/>
      <c r="L15" s="179"/>
      <c r="M15" s="179"/>
      <c r="N15" s="179"/>
      <c r="O15" s="179"/>
      <c r="P15" s="179"/>
      <c r="Q15" s="179"/>
      <c r="R15" s="179"/>
      <c r="S15" s="179"/>
      <c r="T15" s="179"/>
      <c r="U15" s="179"/>
      <c r="V15" s="182"/>
      <c r="W15" s="183" t="s">
        <v>97</v>
      </c>
      <c r="X15" s="179"/>
      <c r="Y15" s="179"/>
      <c r="Z15" s="179"/>
      <c r="AA15" s="179"/>
      <c r="AB15" s="179"/>
      <c r="AC15" s="179"/>
      <c r="AD15" s="179"/>
      <c r="AE15" s="179"/>
      <c r="AF15" s="179"/>
      <c r="AG15" s="179"/>
      <c r="AH15" s="179"/>
      <c r="AI15" s="179"/>
      <c r="AJ15" s="179"/>
      <c r="AK15" s="179"/>
      <c r="AL15" s="179"/>
      <c r="AM15" s="179"/>
      <c r="AN15" s="179"/>
      <c r="AO15" s="179"/>
      <c r="AP15" s="182"/>
      <c r="AQ15" s="615">
        <v>44522</v>
      </c>
      <c r="AR15" s="616"/>
      <c r="AS15" s="616"/>
      <c r="AT15" s="616"/>
      <c r="AU15" s="617"/>
      <c r="AV15" s="618" t="s">
        <v>72</v>
      </c>
      <c r="AW15" s="619"/>
      <c r="AX15" s="619"/>
      <c r="AY15" s="619"/>
      <c r="AZ15" s="620"/>
      <c r="BA15" s="179" t="s">
        <v>98</v>
      </c>
      <c r="BB15" s="179"/>
      <c r="BC15" s="179"/>
      <c r="BD15" s="179"/>
      <c r="BE15" s="179"/>
      <c r="BF15" s="179"/>
      <c r="BG15" s="179"/>
      <c r="BH15" s="179"/>
      <c r="BI15" s="179"/>
      <c r="BJ15" s="179"/>
      <c r="BK15" s="179"/>
      <c r="BL15" s="179"/>
      <c r="BM15" s="182"/>
    </row>
    <row r="16" spans="1:65" ht="15.75" customHeight="1">
      <c r="A16" s="612" t="s">
        <v>99</v>
      </c>
      <c r="B16" s="613"/>
      <c r="C16" s="613"/>
      <c r="D16" s="614"/>
      <c r="E16" s="179" t="s">
        <v>100</v>
      </c>
      <c r="F16" s="179"/>
      <c r="G16" s="179"/>
      <c r="H16" s="179"/>
      <c r="I16" s="179"/>
      <c r="J16" s="179"/>
      <c r="K16" s="179"/>
      <c r="L16" s="179"/>
      <c r="M16" s="179"/>
      <c r="N16" s="179"/>
      <c r="O16" s="179"/>
      <c r="P16" s="179"/>
      <c r="Q16" s="179"/>
      <c r="R16" s="179"/>
      <c r="S16" s="179"/>
      <c r="T16" s="179"/>
      <c r="U16" s="179"/>
      <c r="V16" s="182"/>
      <c r="W16" s="183" t="s">
        <v>101</v>
      </c>
      <c r="X16" s="179"/>
      <c r="Y16" s="179"/>
      <c r="Z16" s="179"/>
      <c r="AA16" s="179"/>
      <c r="AB16" s="179"/>
      <c r="AC16" s="179"/>
      <c r="AD16" s="179"/>
      <c r="AE16" s="179"/>
      <c r="AF16" s="179"/>
      <c r="AG16" s="179"/>
      <c r="AH16" s="179"/>
      <c r="AI16" s="179"/>
      <c r="AJ16" s="179"/>
      <c r="AK16" s="179"/>
      <c r="AL16" s="179"/>
      <c r="AM16" s="179"/>
      <c r="AN16" s="179"/>
      <c r="AO16" s="179"/>
      <c r="AP16" s="182"/>
      <c r="AQ16" s="615">
        <v>44635</v>
      </c>
      <c r="AR16" s="616"/>
      <c r="AS16" s="616"/>
      <c r="AT16" s="616"/>
      <c r="AU16" s="617"/>
      <c r="AV16" s="618" t="s">
        <v>72</v>
      </c>
      <c r="AW16" s="619"/>
      <c r="AX16" s="619"/>
      <c r="AY16" s="619"/>
      <c r="AZ16" s="620"/>
      <c r="BA16" s="179" t="s">
        <v>102</v>
      </c>
      <c r="BB16" s="179"/>
      <c r="BC16" s="179"/>
      <c r="BD16" s="179"/>
      <c r="BE16" s="179"/>
      <c r="BF16" s="179"/>
      <c r="BG16" s="179"/>
      <c r="BH16" s="179"/>
      <c r="BI16" s="179"/>
      <c r="BJ16" s="179"/>
      <c r="BK16" s="179"/>
      <c r="BL16" s="179"/>
      <c r="BM16" s="182"/>
    </row>
    <row r="17" spans="1:65" ht="15.75" customHeight="1">
      <c r="A17" s="612" t="s">
        <v>103</v>
      </c>
      <c r="B17" s="613"/>
      <c r="C17" s="613"/>
      <c r="D17" s="614"/>
      <c r="E17" s="179" t="s">
        <v>104</v>
      </c>
      <c r="F17" s="179"/>
      <c r="G17" s="179"/>
      <c r="H17" s="179"/>
      <c r="I17" s="179"/>
      <c r="J17" s="179"/>
      <c r="K17" s="179"/>
      <c r="L17" s="179"/>
      <c r="M17" s="179"/>
      <c r="N17" s="179"/>
      <c r="O17" s="179"/>
      <c r="P17" s="179"/>
      <c r="Q17" s="179"/>
      <c r="R17" s="179"/>
      <c r="S17" s="179"/>
      <c r="T17" s="179"/>
      <c r="U17" s="179"/>
      <c r="V17" s="182"/>
      <c r="W17" s="183" t="s">
        <v>105</v>
      </c>
      <c r="X17" s="179"/>
      <c r="Y17" s="179"/>
      <c r="Z17" s="179"/>
      <c r="AA17" s="179"/>
      <c r="AB17" s="179"/>
      <c r="AC17" s="179"/>
      <c r="AD17" s="179"/>
      <c r="AE17" s="179"/>
      <c r="AF17" s="179"/>
      <c r="AG17" s="179"/>
      <c r="AH17" s="179"/>
      <c r="AI17" s="179"/>
      <c r="AJ17" s="179"/>
      <c r="AK17" s="179"/>
      <c r="AL17" s="179"/>
      <c r="AM17" s="179"/>
      <c r="AN17" s="179"/>
      <c r="AO17" s="179"/>
      <c r="AP17" s="182"/>
      <c r="AQ17" s="615">
        <v>44691</v>
      </c>
      <c r="AR17" s="616"/>
      <c r="AS17" s="616"/>
      <c r="AT17" s="616"/>
      <c r="AU17" s="617"/>
      <c r="AV17" s="618" t="s">
        <v>89</v>
      </c>
      <c r="AW17" s="619"/>
      <c r="AX17" s="619"/>
      <c r="AY17" s="619"/>
      <c r="AZ17" s="620"/>
      <c r="BA17" s="179" t="s">
        <v>106</v>
      </c>
      <c r="BB17" s="179"/>
      <c r="BC17" s="179"/>
      <c r="BD17" s="179"/>
      <c r="BE17" s="179"/>
      <c r="BF17" s="179"/>
      <c r="BG17" s="179"/>
      <c r="BH17" s="179"/>
      <c r="BI17" s="179"/>
      <c r="BJ17" s="179"/>
      <c r="BK17" s="179"/>
      <c r="BL17" s="179"/>
      <c r="BM17" s="182"/>
    </row>
    <row r="18" spans="1:65" ht="15.75" customHeight="1">
      <c r="A18" s="612" t="s">
        <v>107</v>
      </c>
      <c r="B18" s="613"/>
      <c r="C18" s="613"/>
      <c r="D18" s="614"/>
      <c r="E18" s="179" t="s">
        <v>108</v>
      </c>
      <c r="F18" s="179"/>
      <c r="G18" s="179"/>
      <c r="H18" s="179"/>
      <c r="I18" s="179"/>
      <c r="J18" s="179"/>
      <c r="K18" s="179"/>
      <c r="L18" s="179"/>
      <c r="M18" s="179"/>
      <c r="N18" s="179"/>
      <c r="O18" s="179"/>
      <c r="P18" s="179"/>
      <c r="Q18" s="179"/>
      <c r="R18" s="179"/>
      <c r="S18" s="179"/>
      <c r="T18" s="179"/>
      <c r="U18" s="179"/>
      <c r="V18" s="182"/>
      <c r="W18" s="183" t="s">
        <v>109</v>
      </c>
      <c r="X18" s="179"/>
      <c r="Y18" s="179"/>
      <c r="Z18" s="179"/>
      <c r="AA18" s="179"/>
      <c r="AB18" s="179"/>
      <c r="AC18" s="179"/>
      <c r="AD18" s="179"/>
      <c r="AE18" s="179"/>
      <c r="AF18" s="179"/>
      <c r="AG18" s="179"/>
      <c r="AH18" s="179"/>
      <c r="AI18" s="179"/>
      <c r="AJ18" s="179"/>
      <c r="AK18" s="179"/>
      <c r="AL18" s="179"/>
      <c r="AM18" s="179"/>
      <c r="AN18" s="179"/>
      <c r="AO18" s="179"/>
      <c r="AP18" s="182"/>
      <c r="AQ18" s="615">
        <v>44699</v>
      </c>
      <c r="AR18" s="616"/>
      <c r="AS18" s="616"/>
      <c r="AT18" s="616"/>
      <c r="AU18" s="617"/>
      <c r="AV18" s="618" t="s">
        <v>89</v>
      </c>
      <c r="AW18" s="619"/>
      <c r="AX18" s="619"/>
      <c r="AY18" s="619"/>
      <c r="AZ18" s="620"/>
      <c r="BA18" s="179"/>
      <c r="BB18" s="179"/>
      <c r="BC18" s="179"/>
      <c r="BD18" s="179"/>
      <c r="BE18" s="179"/>
      <c r="BF18" s="179"/>
      <c r="BG18" s="179"/>
      <c r="BH18" s="179"/>
      <c r="BI18" s="179"/>
      <c r="BJ18" s="179"/>
      <c r="BK18" s="179"/>
      <c r="BL18" s="179"/>
      <c r="BM18" s="182"/>
    </row>
    <row r="19" spans="1:65" ht="15.75" customHeight="1">
      <c r="A19" s="612"/>
      <c r="B19" s="613"/>
      <c r="C19" s="613"/>
      <c r="D19" s="614"/>
      <c r="E19" s="179"/>
      <c r="F19" s="179"/>
      <c r="G19" s="179"/>
      <c r="H19" s="179"/>
      <c r="I19" s="179"/>
      <c r="J19" s="179"/>
      <c r="K19" s="179"/>
      <c r="L19" s="179"/>
      <c r="M19" s="179"/>
      <c r="N19" s="179"/>
      <c r="O19" s="179"/>
      <c r="P19" s="179"/>
      <c r="Q19" s="179"/>
      <c r="R19" s="179"/>
      <c r="S19" s="179"/>
      <c r="T19" s="179"/>
      <c r="U19" s="179"/>
      <c r="V19" s="182"/>
      <c r="W19" s="183"/>
      <c r="X19" s="179"/>
      <c r="Y19" s="179"/>
      <c r="Z19" s="179"/>
      <c r="AA19" s="179"/>
      <c r="AB19" s="179"/>
      <c r="AC19" s="179"/>
      <c r="AD19" s="179"/>
      <c r="AE19" s="179"/>
      <c r="AF19" s="179"/>
      <c r="AG19" s="179"/>
      <c r="AH19" s="179"/>
      <c r="AI19" s="179"/>
      <c r="AJ19" s="179"/>
      <c r="AK19" s="179"/>
      <c r="AL19" s="179"/>
      <c r="AM19" s="179"/>
      <c r="AN19" s="179"/>
      <c r="AO19" s="179"/>
      <c r="AP19" s="182"/>
      <c r="AQ19" s="615"/>
      <c r="AR19" s="616"/>
      <c r="AS19" s="616"/>
      <c r="AT19" s="616"/>
      <c r="AU19" s="617"/>
      <c r="AV19" s="618"/>
      <c r="AW19" s="619"/>
      <c r="AX19" s="619"/>
      <c r="AY19" s="619"/>
      <c r="AZ19" s="620"/>
      <c r="BA19" s="179"/>
      <c r="BB19" s="179"/>
      <c r="BC19" s="179"/>
      <c r="BD19" s="179"/>
      <c r="BE19" s="179"/>
      <c r="BF19" s="179"/>
      <c r="BG19" s="179"/>
      <c r="BH19" s="179"/>
      <c r="BI19" s="179"/>
      <c r="BJ19" s="179"/>
      <c r="BK19" s="179"/>
      <c r="BL19" s="179"/>
      <c r="BM19" s="182"/>
    </row>
    <row r="20" spans="1:65" ht="15.75" customHeight="1">
      <c r="A20" s="612"/>
      <c r="B20" s="613"/>
      <c r="C20" s="613"/>
      <c r="D20" s="614"/>
      <c r="E20" s="179"/>
      <c r="F20" s="179"/>
      <c r="G20" s="179"/>
      <c r="H20" s="179"/>
      <c r="I20" s="179"/>
      <c r="J20" s="179"/>
      <c r="K20" s="179"/>
      <c r="L20" s="179"/>
      <c r="M20" s="179"/>
      <c r="N20" s="179"/>
      <c r="O20" s="179"/>
      <c r="P20" s="179"/>
      <c r="Q20" s="179"/>
      <c r="R20" s="179"/>
      <c r="S20" s="179"/>
      <c r="T20" s="179"/>
      <c r="U20" s="179"/>
      <c r="V20" s="182"/>
      <c r="W20" s="183"/>
      <c r="X20" s="179"/>
      <c r="Y20" s="179"/>
      <c r="Z20" s="179"/>
      <c r="AA20" s="179"/>
      <c r="AB20" s="179"/>
      <c r="AC20" s="179"/>
      <c r="AD20" s="179"/>
      <c r="AE20" s="179"/>
      <c r="AF20" s="179"/>
      <c r="AG20" s="179"/>
      <c r="AH20" s="179"/>
      <c r="AI20" s="179"/>
      <c r="AJ20" s="179"/>
      <c r="AK20" s="179"/>
      <c r="AL20" s="179"/>
      <c r="AM20" s="179"/>
      <c r="AN20" s="179"/>
      <c r="AO20" s="179"/>
      <c r="AP20" s="182"/>
      <c r="AQ20" s="615"/>
      <c r="AR20" s="616"/>
      <c r="AS20" s="616"/>
      <c r="AT20" s="616"/>
      <c r="AU20" s="617"/>
      <c r="AV20" s="618"/>
      <c r="AW20" s="619"/>
      <c r="AX20" s="619"/>
      <c r="AY20" s="619"/>
      <c r="AZ20" s="620"/>
      <c r="BA20" s="179"/>
      <c r="BB20" s="179"/>
      <c r="BC20" s="179"/>
      <c r="BD20" s="179"/>
      <c r="BE20" s="179"/>
      <c r="BF20" s="179"/>
      <c r="BG20" s="179"/>
      <c r="BH20" s="179"/>
      <c r="BI20" s="179"/>
      <c r="BJ20" s="179"/>
      <c r="BK20" s="179"/>
      <c r="BL20" s="179"/>
      <c r="BM20" s="182"/>
    </row>
    <row r="21" spans="1:65" ht="15.75" customHeight="1">
      <c r="A21" s="612"/>
      <c r="B21" s="613"/>
      <c r="C21" s="613"/>
      <c r="D21" s="614"/>
      <c r="E21" s="179"/>
      <c r="F21" s="179"/>
      <c r="G21" s="179"/>
      <c r="H21" s="179"/>
      <c r="I21" s="179"/>
      <c r="J21" s="179"/>
      <c r="K21" s="179"/>
      <c r="L21" s="179"/>
      <c r="M21" s="179"/>
      <c r="N21" s="179"/>
      <c r="O21" s="179"/>
      <c r="P21" s="179"/>
      <c r="Q21" s="179"/>
      <c r="R21" s="179"/>
      <c r="S21" s="179"/>
      <c r="T21" s="179"/>
      <c r="U21" s="179"/>
      <c r="V21" s="182"/>
      <c r="W21" s="183"/>
      <c r="X21" s="179"/>
      <c r="Y21" s="179"/>
      <c r="Z21" s="179"/>
      <c r="AA21" s="179"/>
      <c r="AB21" s="179"/>
      <c r="AC21" s="179"/>
      <c r="AD21" s="179"/>
      <c r="AE21" s="179"/>
      <c r="AF21" s="179"/>
      <c r="AG21" s="179"/>
      <c r="AH21" s="179"/>
      <c r="AI21" s="179"/>
      <c r="AJ21" s="179"/>
      <c r="AK21" s="179"/>
      <c r="AL21" s="179"/>
      <c r="AM21" s="179"/>
      <c r="AN21" s="179"/>
      <c r="AO21" s="179"/>
      <c r="AP21" s="182"/>
      <c r="AQ21" s="615"/>
      <c r="AR21" s="616"/>
      <c r="AS21" s="616"/>
      <c r="AT21" s="616"/>
      <c r="AU21" s="617"/>
      <c r="AV21" s="618"/>
      <c r="AW21" s="619"/>
      <c r="AX21" s="619"/>
      <c r="AY21" s="619"/>
      <c r="AZ21" s="620"/>
      <c r="BA21" s="179"/>
      <c r="BB21" s="179"/>
      <c r="BC21" s="179"/>
      <c r="BD21" s="179"/>
      <c r="BE21" s="179"/>
      <c r="BF21" s="179"/>
      <c r="BG21" s="179"/>
      <c r="BH21" s="179"/>
      <c r="BI21" s="179"/>
      <c r="BJ21" s="179"/>
      <c r="BK21" s="179"/>
      <c r="BL21" s="179"/>
      <c r="BM21" s="182"/>
    </row>
    <row r="22" spans="1:65" ht="15.75" customHeight="1">
      <c r="A22" s="612"/>
      <c r="B22" s="613"/>
      <c r="C22" s="613"/>
      <c r="D22" s="614"/>
      <c r="E22" s="179"/>
      <c r="F22" s="179"/>
      <c r="G22" s="179"/>
      <c r="H22" s="179"/>
      <c r="I22" s="179"/>
      <c r="J22" s="179"/>
      <c r="K22" s="179"/>
      <c r="L22" s="179"/>
      <c r="M22" s="179"/>
      <c r="N22" s="179"/>
      <c r="O22" s="179"/>
      <c r="P22" s="179"/>
      <c r="Q22" s="179"/>
      <c r="R22" s="179"/>
      <c r="S22" s="179"/>
      <c r="T22" s="179"/>
      <c r="U22" s="179"/>
      <c r="V22" s="182"/>
      <c r="W22" s="183"/>
      <c r="X22" s="179"/>
      <c r="Y22" s="179"/>
      <c r="Z22" s="179"/>
      <c r="AA22" s="179"/>
      <c r="AB22" s="179"/>
      <c r="AC22" s="179"/>
      <c r="AD22" s="179"/>
      <c r="AE22" s="179"/>
      <c r="AF22" s="179"/>
      <c r="AG22" s="179"/>
      <c r="AH22" s="179"/>
      <c r="AI22" s="179"/>
      <c r="AJ22" s="179"/>
      <c r="AK22" s="179"/>
      <c r="AL22" s="179"/>
      <c r="AM22" s="179"/>
      <c r="AN22" s="179"/>
      <c r="AO22" s="179"/>
      <c r="AP22" s="182"/>
      <c r="AQ22" s="615"/>
      <c r="AR22" s="616"/>
      <c r="AS22" s="616"/>
      <c r="AT22" s="616"/>
      <c r="AU22" s="617"/>
      <c r="AV22" s="618"/>
      <c r="AW22" s="619"/>
      <c r="AX22" s="619"/>
      <c r="AY22" s="619"/>
      <c r="AZ22" s="620"/>
      <c r="BA22" s="179"/>
      <c r="BB22" s="179"/>
      <c r="BC22" s="179"/>
      <c r="BD22" s="179"/>
      <c r="BE22" s="179"/>
      <c r="BF22" s="179"/>
      <c r="BG22" s="179"/>
      <c r="BH22" s="179"/>
      <c r="BI22" s="179"/>
      <c r="BJ22" s="179"/>
      <c r="BK22" s="179"/>
      <c r="BL22" s="179"/>
      <c r="BM22" s="182"/>
    </row>
    <row r="23" spans="1:65" ht="15.75" customHeight="1">
      <c r="A23" s="612"/>
      <c r="B23" s="613"/>
      <c r="C23" s="613"/>
      <c r="D23" s="614"/>
      <c r="E23" s="179"/>
      <c r="F23" s="179"/>
      <c r="G23" s="179"/>
      <c r="H23" s="179"/>
      <c r="I23" s="179"/>
      <c r="J23" s="179"/>
      <c r="K23" s="179"/>
      <c r="L23" s="179"/>
      <c r="M23" s="179"/>
      <c r="N23" s="179"/>
      <c r="O23" s="179"/>
      <c r="P23" s="179"/>
      <c r="Q23" s="179"/>
      <c r="R23" s="179"/>
      <c r="S23" s="179"/>
      <c r="T23" s="179"/>
      <c r="U23" s="179"/>
      <c r="V23" s="182"/>
      <c r="W23" s="183"/>
      <c r="X23" s="179"/>
      <c r="Y23" s="179"/>
      <c r="Z23" s="179"/>
      <c r="AA23" s="179"/>
      <c r="AB23" s="179"/>
      <c r="AC23" s="179"/>
      <c r="AD23" s="179"/>
      <c r="AE23" s="179"/>
      <c r="AF23" s="179"/>
      <c r="AG23" s="179"/>
      <c r="AH23" s="179"/>
      <c r="AI23" s="179"/>
      <c r="AJ23" s="179"/>
      <c r="AK23" s="179"/>
      <c r="AL23" s="179"/>
      <c r="AM23" s="179"/>
      <c r="AN23" s="179"/>
      <c r="AO23" s="179"/>
      <c r="AP23" s="182"/>
      <c r="AQ23" s="615"/>
      <c r="AR23" s="616"/>
      <c r="AS23" s="616"/>
      <c r="AT23" s="616"/>
      <c r="AU23" s="617"/>
      <c r="AV23" s="618"/>
      <c r="AW23" s="619"/>
      <c r="AX23" s="619"/>
      <c r="AY23" s="619"/>
      <c r="AZ23" s="620"/>
      <c r="BA23" s="179"/>
      <c r="BB23" s="179"/>
      <c r="BC23" s="179"/>
      <c r="BD23" s="179"/>
      <c r="BE23" s="179"/>
      <c r="BF23" s="179"/>
      <c r="BG23" s="179"/>
      <c r="BH23" s="179"/>
      <c r="BI23" s="179"/>
      <c r="BJ23" s="179"/>
      <c r="BK23" s="179"/>
      <c r="BL23" s="179"/>
      <c r="BM23" s="182"/>
    </row>
    <row r="24" spans="1:65" s="184" customFormat="1" ht="15.75" customHeight="1">
      <c r="A24" s="612"/>
      <c r="B24" s="613"/>
      <c r="C24" s="613"/>
      <c r="D24" s="614"/>
      <c r="E24" s="179"/>
      <c r="F24" s="179"/>
      <c r="G24" s="179"/>
      <c r="H24" s="179"/>
      <c r="I24" s="179"/>
      <c r="J24" s="179"/>
      <c r="K24" s="179"/>
      <c r="L24" s="179"/>
      <c r="M24" s="179"/>
      <c r="N24" s="179"/>
      <c r="O24" s="179"/>
      <c r="P24" s="179"/>
      <c r="Q24" s="179"/>
      <c r="R24" s="179"/>
      <c r="S24" s="179"/>
      <c r="T24" s="179"/>
      <c r="U24" s="179"/>
      <c r="V24" s="182"/>
      <c r="W24" s="183"/>
      <c r="X24" s="179"/>
      <c r="Y24" s="179"/>
      <c r="Z24" s="179"/>
      <c r="AA24" s="179"/>
      <c r="AB24" s="179"/>
      <c r="AC24" s="179"/>
      <c r="AD24" s="179"/>
      <c r="AE24" s="179"/>
      <c r="AF24" s="179"/>
      <c r="AG24" s="179"/>
      <c r="AH24" s="179"/>
      <c r="AI24" s="179"/>
      <c r="AJ24" s="179"/>
      <c r="AK24" s="179"/>
      <c r="AL24" s="179"/>
      <c r="AM24" s="179"/>
      <c r="AN24" s="179"/>
      <c r="AO24" s="179"/>
      <c r="AP24" s="182"/>
      <c r="AQ24" s="615"/>
      <c r="AR24" s="616"/>
      <c r="AS24" s="616"/>
      <c r="AT24" s="616"/>
      <c r="AU24" s="617"/>
      <c r="AV24" s="618"/>
      <c r="AW24" s="619"/>
      <c r="AX24" s="619"/>
      <c r="AY24" s="619"/>
      <c r="AZ24" s="620"/>
      <c r="BA24" s="179"/>
      <c r="BB24" s="179"/>
      <c r="BC24" s="179"/>
      <c r="BD24" s="179"/>
      <c r="BE24" s="179"/>
      <c r="BF24" s="179"/>
      <c r="BG24" s="179"/>
      <c r="BH24" s="179"/>
      <c r="BI24" s="179"/>
      <c r="BJ24" s="179"/>
      <c r="BK24" s="179"/>
      <c r="BL24" s="179"/>
      <c r="BM24" s="182"/>
    </row>
    <row r="25" spans="1:65" ht="15.75" customHeight="1">
      <c r="A25" s="612"/>
      <c r="B25" s="613"/>
      <c r="C25" s="613"/>
      <c r="D25" s="614"/>
      <c r="E25" s="179"/>
      <c r="F25" s="179"/>
      <c r="G25" s="179"/>
      <c r="H25" s="179"/>
      <c r="I25" s="179"/>
      <c r="J25" s="179"/>
      <c r="K25" s="179"/>
      <c r="L25" s="179"/>
      <c r="M25" s="179"/>
      <c r="N25" s="179"/>
      <c r="O25" s="179"/>
      <c r="P25" s="179"/>
      <c r="Q25" s="179"/>
      <c r="R25" s="179"/>
      <c r="S25" s="179"/>
      <c r="T25" s="179"/>
      <c r="U25" s="179"/>
      <c r="V25" s="182"/>
      <c r="W25" s="183"/>
      <c r="X25" s="179"/>
      <c r="Y25" s="179"/>
      <c r="Z25" s="179"/>
      <c r="AA25" s="179"/>
      <c r="AB25" s="179"/>
      <c r="AC25" s="179"/>
      <c r="AD25" s="179"/>
      <c r="AE25" s="179"/>
      <c r="AF25" s="179"/>
      <c r="AG25" s="179"/>
      <c r="AH25" s="179"/>
      <c r="AI25" s="179"/>
      <c r="AJ25" s="179"/>
      <c r="AK25" s="179"/>
      <c r="AL25" s="179"/>
      <c r="AM25" s="179"/>
      <c r="AN25" s="179"/>
      <c r="AO25" s="179"/>
      <c r="AP25" s="182"/>
      <c r="AQ25" s="615"/>
      <c r="AR25" s="616"/>
      <c r="AS25" s="616"/>
      <c r="AT25" s="616"/>
      <c r="AU25" s="617"/>
      <c r="AV25" s="618"/>
      <c r="AW25" s="619"/>
      <c r="AX25" s="619"/>
      <c r="AY25" s="619"/>
      <c r="AZ25" s="620"/>
      <c r="BA25" s="179"/>
      <c r="BB25" s="179"/>
      <c r="BC25" s="179"/>
      <c r="BD25" s="179"/>
      <c r="BE25" s="179"/>
      <c r="BF25" s="179"/>
      <c r="BG25" s="179"/>
      <c r="BH25" s="179"/>
      <c r="BI25" s="179"/>
      <c r="BJ25" s="179"/>
      <c r="BK25" s="179"/>
      <c r="BL25" s="179"/>
      <c r="BM25" s="182"/>
    </row>
    <row r="26" spans="1:65" ht="15.75" customHeight="1">
      <c r="A26" s="612"/>
      <c r="B26" s="613"/>
      <c r="C26" s="613"/>
      <c r="D26" s="614"/>
      <c r="E26" s="179"/>
      <c r="F26" s="179"/>
      <c r="G26" s="179"/>
      <c r="H26" s="179"/>
      <c r="I26" s="179"/>
      <c r="J26" s="179"/>
      <c r="K26" s="179"/>
      <c r="L26" s="179"/>
      <c r="M26" s="179"/>
      <c r="N26" s="179"/>
      <c r="O26" s="179"/>
      <c r="P26" s="179"/>
      <c r="Q26" s="179"/>
      <c r="R26" s="179"/>
      <c r="S26" s="179"/>
      <c r="T26" s="179"/>
      <c r="U26" s="179"/>
      <c r="V26" s="182"/>
      <c r="W26" s="183"/>
      <c r="X26" s="179"/>
      <c r="Y26" s="179"/>
      <c r="Z26" s="179"/>
      <c r="AA26" s="179"/>
      <c r="AB26" s="179"/>
      <c r="AC26" s="179"/>
      <c r="AD26" s="179"/>
      <c r="AE26" s="179"/>
      <c r="AF26" s="179"/>
      <c r="AG26" s="179"/>
      <c r="AH26" s="179"/>
      <c r="AI26" s="179"/>
      <c r="AJ26" s="179"/>
      <c r="AK26" s="179"/>
      <c r="AL26" s="179"/>
      <c r="AM26" s="179"/>
      <c r="AN26" s="179"/>
      <c r="AO26" s="179"/>
      <c r="AP26" s="182"/>
      <c r="AQ26" s="615"/>
      <c r="AR26" s="616"/>
      <c r="AS26" s="616"/>
      <c r="AT26" s="616"/>
      <c r="AU26" s="617"/>
      <c r="AV26" s="618"/>
      <c r="AW26" s="619"/>
      <c r="AX26" s="619"/>
      <c r="AY26" s="619"/>
      <c r="AZ26" s="620"/>
      <c r="BA26" s="179"/>
      <c r="BB26" s="179"/>
      <c r="BC26" s="179"/>
      <c r="BD26" s="179"/>
      <c r="BE26" s="179"/>
      <c r="BF26" s="179"/>
      <c r="BG26" s="179"/>
      <c r="BH26" s="179"/>
      <c r="BI26" s="179"/>
      <c r="BJ26" s="179"/>
      <c r="BK26" s="179"/>
      <c r="BL26" s="179"/>
      <c r="BM26" s="182"/>
    </row>
    <row r="27" spans="1:65" ht="15.75" customHeight="1">
      <c r="A27" s="612"/>
      <c r="B27" s="613"/>
      <c r="C27" s="613"/>
      <c r="D27" s="614"/>
      <c r="E27" s="179"/>
      <c r="F27" s="179"/>
      <c r="G27" s="179"/>
      <c r="H27" s="179"/>
      <c r="I27" s="179"/>
      <c r="J27" s="179"/>
      <c r="K27" s="179"/>
      <c r="L27" s="179"/>
      <c r="M27" s="179"/>
      <c r="N27" s="179"/>
      <c r="O27" s="179"/>
      <c r="P27" s="179"/>
      <c r="Q27" s="179"/>
      <c r="R27" s="179"/>
      <c r="S27" s="179"/>
      <c r="T27" s="179"/>
      <c r="U27" s="179"/>
      <c r="V27" s="182"/>
      <c r="W27" s="183"/>
      <c r="X27" s="179"/>
      <c r="Y27" s="179"/>
      <c r="Z27" s="179"/>
      <c r="AA27" s="179"/>
      <c r="AB27" s="179"/>
      <c r="AC27" s="179"/>
      <c r="AD27" s="179"/>
      <c r="AE27" s="179"/>
      <c r="AF27" s="179"/>
      <c r="AG27" s="179"/>
      <c r="AH27" s="179"/>
      <c r="AI27" s="179"/>
      <c r="AJ27" s="179"/>
      <c r="AK27" s="179"/>
      <c r="AL27" s="179"/>
      <c r="AM27" s="179"/>
      <c r="AN27" s="179"/>
      <c r="AO27" s="179"/>
      <c r="AP27" s="182"/>
      <c r="AQ27" s="615"/>
      <c r="AR27" s="616"/>
      <c r="AS27" s="616"/>
      <c r="AT27" s="616"/>
      <c r="AU27" s="617"/>
      <c r="AV27" s="618"/>
      <c r="AW27" s="619"/>
      <c r="AX27" s="619"/>
      <c r="AY27" s="619"/>
      <c r="AZ27" s="620"/>
      <c r="BA27" s="179"/>
      <c r="BB27" s="179"/>
      <c r="BC27" s="179"/>
      <c r="BD27" s="179"/>
      <c r="BE27" s="179"/>
      <c r="BF27" s="179"/>
      <c r="BG27" s="179"/>
      <c r="BH27" s="179"/>
      <c r="BI27" s="179"/>
      <c r="BJ27" s="179"/>
      <c r="BK27" s="179"/>
      <c r="BL27" s="179"/>
      <c r="BM27" s="182"/>
    </row>
    <row r="28" spans="1:65" ht="15.75" customHeight="1">
      <c r="A28" s="612"/>
      <c r="B28" s="613"/>
      <c r="C28" s="613"/>
      <c r="D28" s="614"/>
      <c r="E28" s="179"/>
      <c r="F28" s="179"/>
      <c r="G28" s="179"/>
      <c r="H28" s="179"/>
      <c r="I28" s="179"/>
      <c r="J28" s="179"/>
      <c r="K28" s="179"/>
      <c r="L28" s="179"/>
      <c r="M28" s="179"/>
      <c r="N28" s="179"/>
      <c r="O28" s="179"/>
      <c r="P28" s="179"/>
      <c r="Q28" s="179"/>
      <c r="R28" s="179"/>
      <c r="S28" s="179"/>
      <c r="T28" s="179"/>
      <c r="U28" s="179"/>
      <c r="V28" s="182"/>
      <c r="W28" s="183"/>
      <c r="X28" s="179"/>
      <c r="Y28" s="179"/>
      <c r="Z28" s="179"/>
      <c r="AA28" s="179"/>
      <c r="AB28" s="179"/>
      <c r="AC28" s="179"/>
      <c r="AD28" s="179"/>
      <c r="AE28" s="179"/>
      <c r="AF28" s="179"/>
      <c r="AG28" s="179"/>
      <c r="AH28" s="179"/>
      <c r="AI28" s="179"/>
      <c r="AJ28" s="179"/>
      <c r="AK28" s="179"/>
      <c r="AL28" s="179"/>
      <c r="AM28" s="179"/>
      <c r="AN28" s="179"/>
      <c r="AO28" s="179"/>
      <c r="AP28" s="182"/>
      <c r="AQ28" s="615"/>
      <c r="AR28" s="616"/>
      <c r="AS28" s="616"/>
      <c r="AT28" s="616"/>
      <c r="AU28" s="617"/>
      <c r="AV28" s="618"/>
      <c r="AW28" s="619"/>
      <c r="AX28" s="619"/>
      <c r="AY28" s="619"/>
      <c r="AZ28" s="620"/>
      <c r="BA28" s="179"/>
      <c r="BB28" s="179"/>
      <c r="BC28" s="179"/>
      <c r="BD28" s="179"/>
      <c r="BE28" s="179"/>
      <c r="BF28" s="179"/>
      <c r="BG28" s="179"/>
      <c r="BH28" s="179"/>
      <c r="BI28" s="179"/>
      <c r="BJ28" s="179"/>
      <c r="BK28" s="179"/>
      <c r="BL28" s="179"/>
      <c r="BM28" s="182"/>
    </row>
    <row r="29" spans="1:65" ht="15.75" customHeight="1">
      <c r="A29" s="612"/>
      <c r="B29" s="613"/>
      <c r="C29" s="613"/>
      <c r="D29" s="614"/>
      <c r="E29" s="179"/>
      <c r="F29" s="179"/>
      <c r="G29" s="179"/>
      <c r="H29" s="179"/>
      <c r="I29" s="179"/>
      <c r="J29" s="179"/>
      <c r="K29" s="179"/>
      <c r="L29" s="179"/>
      <c r="M29" s="179"/>
      <c r="N29" s="179"/>
      <c r="O29" s="179"/>
      <c r="P29" s="179"/>
      <c r="Q29" s="179"/>
      <c r="R29" s="179"/>
      <c r="S29" s="179"/>
      <c r="T29" s="179"/>
      <c r="U29" s="179"/>
      <c r="V29" s="182"/>
      <c r="W29" s="183"/>
      <c r="X29" s="179"/>
      <c r="Y29" s="179"/>
      <c r="Z29" s="179"/>
      <c r="AA29" s="179"/>
      <c r="AB29" s="179"/>
      <c r="AC29" s="179"/>
      <c r="AD29" s="179"/>
      <c r="AE29" s="179"/>
      <c r="AF29" s="179"/>
      <c r="AG29" s="179"/>
      <c r="AH29" s="179"/>
      <c r="AI29" s="179"/>
      <c r="AJ29" s="179"/>
      <c r="AK29" s="179"/>
      <c r="AL29" s="179"/>
      <c r="AM29" s="179"/>
      <c r="AN29" s="179"/>
      <c r="AO29" s="179"/>
      <c r="AP29" s="182"/>
      <c r="AQ29" s="615"/>
      <c r="AR29" s="616"/>
      <c r="AS29" s="616"/>
      <c r="AT29" s="616"/>
      <c r="AU29" s="617"/>
      <c r="AV29" s="618"/>
      <c r="AW29" s="619"/>
      <c r="AX29" s="619"/>
      <c r="AY29" s="619"/>
      <c r="AZ29" s="620"/>
      <c r="BA29" s="179"/>
      <c r="BB29" s="179"/>
      <c r="BC29" s="179"/>
      <c r="BD29" s="179"/>
      <c r="BE29" s="179"/>
      <c r="BF29" s="179"/>
      <c r="BG29" s="179"/>
      <c r="BH29" s="179"/>
      <c r="BI29" s="179"/>
      <c r="BJ29" s="179"/>
      <c r="BK29" s="179"/>
      <c r="BL29" s="179"/>
      <c r="BM29" s="182"/>
    </row>
    <row r="30" spans="1:65" ht="15.75" customHeight="1">
      <c r="A30" s="621"/>
      <c r="B30" s="622"/>
      <c r="C30" s="622"/>
      <c r="D30" s="623"/>
      <c r="E30" s="185"/>
      <c r="F30" s="185"/>
      <c r="G30" s="185"/>
      <c r="H30" s="185"/>
      <c r="I30" s="185"/>
      <c r="J30" s="185"/>
      <c r="K30" s="185"/>
      <c r="L30" s="185"/>
      <c r="M30" s="185"/>
      <c r="N30" s="185"/>
      <c r="O30" s="185"/>
      <c r="P30" s="185"/>
      <c r="Q30" s="185"/>
      <c r="R30" s="185"/>
      <c r="S30" s="185"/>
      <c r="T30" s="185"/>
      <c r="U30" s="185"/>
      <c r="V30" s="186"/>
      <c r="W30" s="187"/>
      <c r="X30" s="185"/>
      <c r="Y30" s="185"/>
      <c r="Z30" s="185"/>
      <c r="AA30" s="185"/>
      <c r="AB30" s="185"/>
      <c r="AC30" s="185"/>
      <c r="AD30" s="185"/>
      <c r="AE30" s="185"/>
      <c r="AF30" s="185"/>
      <c r="AG30" s="185"/>
      <c r="AH30" s="185"/>
      <c r="AI30" s="185"/>
      <c r="AJ30" s="185"/>
      <c r="AK30" s="185"/>
      <c r="AL30" s="185"/>
      <c r="AM30" s="185"/>
      <c r="AN30" s="185"/>
      <c r="AO30" s="185"/>
      <c r="AP30" s="186"/>
      <c r="AQ30" s="624"/>
      <c r="AR30" s="625"/>
      <c r="AS30" s="625"/>
      <c r="AT30" s="625"/>
      <c r="AU30" s="626"/>
      <c r="AV30" s="627"/>
      <c r="AW30" s="628"/>
      <c r="AX30" s="628"/>
      <c r="AY30" s="628"/>
      <c r="AZ30" s="629"/>
      <c r="BA30" s="185"/>
      <c r="BB30" s="185"/>
      <c r="BC30" s="185"/>
      <c r="BD30" s="185"/>
      <c r="BE30" s="185"/>
      <c r="BF30" s="185"/>
      <c r="BG30" s="185"/>
      <c r="BH30" s="185"/>
      <c r="BI30" s="185"/>
      <c r="BJ30" s="185"/>
      <c r="BK30" s="185"/>
      <c r="BL30" s="185"/>
      <c r="BM30" s="186"/>
    </row>
  </sheetData>
  <mergeCells count="97">
    <mergeCell ref="A30:D30"/>
    <mergeCell ref="AQ30:AU30"/>
    <mergeCell ref="AV30:AZ30"/>
    <mergeCell ref="A28:D28"/>
    <mergeCell ref="AQ28:AU28"/>
    <mergeCell ref="AV28:AZ28"/>
    <mergeCell ref="A29:D29"/>
    <mergeCell ref="AQ29:AU29"/>
    <mergeCell ref="AV29:AZ29"/>
    <mergeCell ref="A26:D26"/>
    <mergeCell ref="AQ26:AU26"/>
    <mergeCell ref="AV26:AZ26"/>
    <mergeCell ref="A27:D27"/>
    <mergeCell ref="AQ27:AU27"/>
    <mergeCell ref="AV27:AZ27"/>
    <mergeCell ref="A24:D24"/>
    <mergeCell ref="AQ24:AU24"/>
    <mergeCell ref="AV24:AZ24"/>
    <mergeCell ref="A25:D25"/>
    <mergeCell ref="AQ25:AU25"/>
    <mergeCell ref="AV25:AZ25"/>
    <mergeCell ref="A22:D22"/>
    <mergeCell ref="AQ22:AU22"/>
    <mergeCell ref="AV22:AZ22"/>
    <mergeCell ref="A23:D23"/>
    <mergeCell ref="AQ23:AU23"/>
    <mergeCell ref="AV23:AZ23"/>
    <mergeCell ref="A20:D20"/>
    <mergeCell ref="AQ20:AU20"/>
    <mergeCell ref="AV20:AZ20"/>
    <mergeCell ref="A21:D21"/>
    <mergeCell ref="AQ21:AU21"/>
    <mergeCell ref="AV21:AZ21"/>
    <mergeCell ref="A18:D18"/>
    <mergeCell ref="AQ18:AU18"/>
    <mergeCell ref="AV18:AZ18"/>
    <mergeCell ref="A19:D19"/>
    <mergeCell ref="AQ19:AU19"/>
    <mergeCell ref="AV19:AZ19"/>
    <mergeCell ref="A16:D16"/>
    <mergeCell ref="AQ16:AU16"/>
    <mergeCell ref="AV16:AZ16"/>
    <mergeCell ref="A17:D17"/>
    <mergeCell ref="AQ17:AU17"/>
    <mergeCell ref="AV17:AZ17"/>
    <mergeCell ref="A14:D14"/>
    <mergeCell ref="AQ14:AU14"/>
    <mergeCell ref="AV14:AZ14"/>
    <mergeCell ref="A15:D15"/>
    <mergeCell ref="AQ15:AU15"/>
    <mergeCell ref="AV15:AZ15"/>
    <mergeCell ref="A12:D12"/>
    <mergeCell ref="AQ12:AU12"/>
    <mergeCell ref="AV12:AZ12"/>
    <mergeCell ref="A13:D13"/>
    <mergeCell ref="AQ13:AU13"/>
    <mergeCell ref="AV13:AZ13"/>
    <mergeCell ref="A10:D10"/>
    <mergeCell ref="AQ10:AU10"/>
    <mergeCell ref="AV10:AZ10"/>
    <mergeCell ref="A11:D11"/>
    <mergeCell ref="AQ11:AU11"/>
    <mergeCell ref="AV11:AZ11"/>
    <mergeCell ref="A8:D8"/>
    <mergeCell ref="AQ8:AU8"/>
    <mergeCell ref="AV8:AZ8"/>
    <mergeCell ref="A9:D9"/>
    <mergeCell ref="AQ9:AU9"/>
    <mergeCell ref="AV9:AZ9"/>
    <mergeCell ref="A6:D6"/>
    <mergeCell ref="AQ6:AU6"/>
    <mergeCell ref="AV6:AZ6"/>
    <mergeCell ref="A7:D7"/>
    <mergeCell ref="AQ7:AU7"/>
    <mergeCell ref="AV7:AZ7"/>
    <mergeCell ref="W5:AP5"/>
    <mergeCell ref="AU1:BA1"/>
    <mergeCell ref="BB1:BG1"/>
    <mergeCell ref="BH1:BM1"/>
    <mergeCell ref="K2:T2"/>
    <mergeCell ref="U2:Y2"/>
    <mergeCell ref="Z2:AF2"/>
    <mergeCell ref="AG2:AK2"/>
    <mergeCell ref="AL2:AT2"/>
    <mergeCell ref="AU2:BA3"/>
    <mergeCell ref="BB2:BG3"/>
    <mergeCell ref="AL1:AT1"/>
    <mergeCell ref="BH2:BM3"/>
    <mergeCell ref="K3:T3"/>
    <mergeCell ref="U3:Y3"/>
    <mergeCell ref="Z3:AF3"/>
    <mergeCell ref="A1:J3"/>
    <mergeCell ref="K1:T1"/>
    <mergeCell ref="U1:Y1"/>
    <mergeCell ref="Z1:AF1"/>
    <mergeCell ref="AG1:AK1"/>
    <mergeCell ref="AG3:AT3"/>
  </mergeCells>
  <phoneticPr fontId="1"/>
  <pageMargins left="0.51181102362204722" right="0.74803149606299213" top="0.70866141732283472" bottom="0.43307086614173229" header="0.51181102362204722" footer="0.35433070866141736"/>
  <pageSetup paperSize="9" scale="86" fitToHeight="0" orientation="landscape" r:id="rId1"/>
  <headerFooter alignWithMargins="0">
    <oddFooter>&amp;C&amp;"Meiryo UI,標準"&amp;10&amp;P&amp;R&amp;"Meiryo UI,標準"&amp;10(C)Toyo Business Engineering Corp.[Confidential]&amp;L&amp;"Meiryo UI"&amp;10MSBBP1210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BM38"/>
  <sheetViews>
    <sheetView showGridLines="0" showZeros="0" view="pageBreakPreview" zoomScaleNormal="100" zoomScaleSheetLayoutView="100" workbookViewId="0">
      <selection activeCell="K2" sqref="K2:T2"/>
    </sheetView>
  </sheetViews>
  <sheetFormatPr defaultColWidth="2.125" defaultRowHeight="13.5"/>
  <cols>
    <col min="1" max="1" width="2" style="7" customWidth="1"/>
    <col min="2" max="2" width="2" style="3" customWidth="1"/>
    <col min="3" max="5" width="2" style="4" customWidth="1"/>
    <col min="6" max="9" width="2" style="5" customWidth="1"/>
    <col min="10" max="10" width="2" style="4" customWidth="1"/>
    <col min="11" max="16" width="2" style="5" customWidth="1"/>
    <col min="17" max="17" width="2" style="6" customWidth="1"/>
    <col min="18" max="65" width="2" style="7" customWidth="1"/>
    <col min="66" max="16384" width="2.125" style="7"/>
  </cols>
  <sheetData>
    <row r="1" spans="1:65" ht="15.75" customHeight="1">
      <c r="A1" s="465" t="str">
        <f ca="1">INDIRECT("表紙!$A$39")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 ca="1">INDIRECT("表紙!$Z$39")</f>
        <v>MG</v>
      </c>
      <c r="AA1" s="631"/>
      <c r="AB1" s="631"/>
      <c r="AC1" s="631"/>
      <c r="AD1" s="631"/>
      <c r="AE1" s="631"/>
      <c r="AF1" s="632"/>
      <c r="AG1" s="496" t="s">
        <v>52</v>
      </c>
      <c r="AH1" s="494"/>
      <c r="AI1" s="494"/>
      <c r="AJ1" s="494"/>
      <c r="AK1" s="495"/>
      <c r="AL1" s="634" t="str">
        <f ca="1">INDIRECT("表紙!$AJ$39")</f>
        <v>原価管理</v>
      </c>
      <c r="AM1" s="477"/>
      <c r="AN1" s="477"/>
      <c r="AO1" s="477"/>
      <c r="AP1" s="477"/>
      <c r="AQ1" s="477"/>
      <c r="AR1" s="477"/>
      <c r="AS1" s="477"/>
      <c r="AT1" s="478"/>
      <c r="AU1" s="485" t="s">
        <v>6</v>
      </c>
      <c r="AV1" s="485"/>
      <c r="AW1" s="485"/>
      <c r="AX1" s="485"/>
      <c r="AY1" s="485"/>
      <c r="AZ1" s="485"/>
      <c r="BA1" s="485"/>
      <c r="BB1" s="496" t="s">
        <v>39</v>
      </c>
      <c r="BC1" s="494"/>
      <c r="BD1" s="494"/>
      <c r="BE1" s="494"/>
      <c r="BF1" s="494"/>
      <c r="BG1" s="495"/>
      <c r="BH1" s="496" t="s">
        <v>53</v>
      </c>
      <c r="BI1" s="494"/>
      <c r="BJ1" s="494"/>
      <c r="BK1" s="494"/>
      <c r="BL1" s="494"/>
      <c r="BM1" s="497"/>
    </row>
    <row r="2" spans="1:65" ht="15.75" customHeight="1">
      <c r="A2" s="468"/>
      <c r="B2" s="469"/>
      <c r="C2" s="469"/>
      <c r="D2" s="469"/>
      <c r="E2" s="469"/>
      <c r="F2" s="469"/>
      <c r="G2" s="469"/>
      <c r="H2" s="469"/>
      <c r="I2" s="469"/>
      <c r="J2" s="470"/>
      <c r="K2" s="498" t="str">
        <f>文書名</f>
        <v>バッチ説明書</v>
      </c>
      <c r="L2" s="440"/>
      <c r="M2" s="440"/>
      <c r="N2" s="440"/>
      <c r="O2" s="440"/>
      <c r="P2" s="440"/>
      <c r="Q2" s="440"/>
      <c r="R2" s="440"/>
      <c r="S2" s="440"/>
      <c r="T2" s="441"/>
      <c r="U2" s="499" t="s">
        <v>54</v>
      </c>
      <c r="V2" s="500"/>
      <c r="W2" s="500"/>
      <c r="X2" s="500"/>
      <c r="Y2" s="501"/>
      <c r="Z2" s="502" t="str">
        <f ca="1">INDIRECT("表紙!$Z$40")</f>
        <v>MGBG</v>
      </c>
      <c r="AA2" s="524"/>
      <c r="AB2" s="524"/>
      <c r="AC2" s="524"/>
      <c r="AD2" s="524"/>
      <c r="AE2" s="524"/>
      <c r="AF2" s="525"/>
      <c r="AG2" s="505" t="s">
        <v>56</v>
      </c>
      <c r="AH2" s="503"/>
      <c r="AI2" s="503"/>
      <c r="AJ2" s="503"/>
      <c r="AK2" s="504"/>
      <c r="AL2" s="502" t="str">
        <f ca="1">INDIRECT("表紙!$AJ$40")</f>
        <v>配賦管理</v>
      </c>
      <c r="AM2" s="524"/>
      <c r="AN2" s="524"/>
      <c r="AO2" s="524"/>
      <c r="AP2" s="524"/>
      <c r="AQ2" s="524"/>
      <c r="AR2" s="524"/>
      <c r="AS2" s="524"/>
      <c r="AT2" s="525"/>
      <c r="AU2" s="506" t="str">
        <f>文書番号</f>
        <v>M7-US-1311</v>
      </c>
      <c r="AV2" s="506"/>
      <c r="AW2" s="506"/>
      <c r="AX2" s="506"/>
      <c r="AY2" s="506"/>
      <c r="AZ2" s="506"/>
      <c r="BA2" s="506"/>
      <c r="BB2" s="508" t="str">
        <f>Version</f>
        <v>7.0.1</v>
      </c>
      <c r="BC2" s="440"/>
      <c r="BD2" s="440"/>
      <c r="BE2" s="440"/>
      <c r="BF2" s="440"/>
      <c r="BG2" s="441"/>
      <c r="BH2" s="526" t="str">
        <f>Revision</f>
        <v>r01.01</v>
      </c>
      <c r="BI2" s="440"/>
      <c r="BJ2" s="440"/>
      <c r="BK2" s="440"/>
      <c r="BL2" s="440"/>
      <c r="BM2" s="512"/>
    </row>
    <row r="3" spans="1:65"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519" t="str">
        <f ca="1">INDIRECT("表紙!$Z$41")</f>
        <v>MGBGB0020</v>
      </c>
      <c r="AA3" s="533"/>
      <c r="AB3" s="533"/>
      <c r="AC3" s="533"/>
      <c r="AD3" s="533"/>
      <c r="AE3" s="533"/>
      <c r="AF3" s="533"/>
      <c r="AG3" s="521" t="str">
        <f ca="1">INDIRECT("表紙!$AE$41")</f>
        <v>配賦費用実績ＩＦ取込バッチ</v>
      </c>
      <c r="AH3" s="522"/>
      <c r="AI3" s="522"/>
      <c r="AJ3" s="522"/>
      <c r="AK3" s="522"/>
      <c r="AL3" s="522"/>
      <c r="AM3" s="522"/>
      <c r="AN3" s="522"/>
      <c r="AO3" s="522"/>
      <c r="AP3" s="522"/>
      <c r="AQ3" s="522"/>
      <c r="AR3" s="522"/>
      <c r="AS3" s="522"/>
      <c r="AT3" s="523"/>
      <c r="AU3" s="507"/>
      <c r="AV3" s="507"/>
      <c r="AW3" s="507"/>
      <c r="AX3" s="507"/>
      <c r="AY3" s="507"/>
      <c r="AZ3" s="507"/>
      <c r="BA3" s="507"/>
      <c r="BB3" s="509"/>
      <c r="BC3" s="633"/>
      <c r="BD3" s="633"/>
      <c r="BE3" s="633"/>
      <c r="BF3" s="633"/>
      <c r="BG3" s="510"/>
      <c r="BH3" s="509"/>
      <c r="BI3" s="633"/>
      <c r="BJ3" s="633"/>
      <c r="BK3" s="633"/>
      <c r="BL3" s="633"/>
      <c r="BM3" s="513"/>
    </row>
    <row r="4" spans="1:65" ht="9.75" customHeight="1">
      <c r="A4" s="1"/>
      <c r="B4" s="1"/>
      <c r="C4" s="1"/>
      <c r="D4" s="1"/>
      <c r="E4" s="1"/>
      <c r="F4" s="1"/>
      <c r="G4" s="1"/>
      <c r="H4" s="1"/>
      <c r="I4" s="1"/>
      <c r="J4" s="1"/>
    </row>
    <row r="5" spans="1:65" ht="15.75" customHeight="1">
      <c r="A5" s="636" t="s">
        <v>64</v>
      </c>
      <c r="B5" s="637"/>
      <c r="C5" s="637"/>
      <c r="D5" s="637"/>
      <c r="E5" s="637"/>
      <c r="F5" s="637"/>
      <c r="G5" s="637"/>
      <c r="H5" s="638"/>
      <c r="I5" s="636" t="s">
        <v>65</v>
      </c>
      <c r="J5" s="637"/>
      <c r="K5" s="637"/>
      <c r="L5" s="637"/>
      <c r="M5" s="637"/>
      <c r="N5" s="637"/>
      <c r="O5" s="637"/>
      <c r="P5" s="637"/>
      <c r="Q5" s="637"/>
      <c r="R5" s="637"/>
      <c r="S5" s="637"/>
      <c r="T5" s="637"/>
      <c r="U5" s="637"/>
      <c r="V5" s="637"/>
      <c r="W5" s="637"/>
      <c r="X5" s="638"/>
      <c r="Y5" s="636" t="s">
        <v>66</v>
      </c>
      <c r="Z5" s="637"/>
      <c r="AA5" s="637"/>
      <c r="AB5" s="637"/>
      <c r="AC5" s="637"/>
      <c r="AD5" s="637"/>
      <c r="AE5" s="637"/>
      <c r="AF5" s="637"/>
      <c r="AG5" s="637"/>
      <c r="AH5" s="637"/>
      <c r="AI5" s="637"/>
      <c r="AJ5" s="637"/>
      <c r="AK5" s="637"/>
      <c r="AL5" s="637"/>
      <c r="AM5" s="637"/>
      <c r="AN5" s="637"/>
      <c r="AO5" s="637"/>
      <c r="AP5" s="637"/>
      <c r="AQ5" s="637"/>
      <c r="AR5" s="638"/>
      <c r="AS5" s="636" t="s">
        <v>47</v>
      </c>
      <c r="AT5" s="637"/>
      <c r="AU5" s="637"/>
      <c r="AV5" s="637"/>
      <c r="AW5" s="637"/>
      <c r="AX5" s="637"/>
      <c r="AY5" s="637"/>
      <c r="AZ5" s="638"/>
      <c r="BA5" s="636" t="s">
        <v>69</v>
      </c>
      <c r="BB5" s="637"/>
      <c r="BC5" s="637"/>
      <c r="BD5" s="637"/>
      <c r="BE5" s="637"/>
      <c r="BF5" s="637"/>
      <c r="BG5" s="637"/>
      <c r="BH5" s="637"/>
      <c r="BI5" s="637"/>
      <c r="BJ5" s="637"/>
      <c r="BK5" s="637"/>
      <c r="BL5" s="637"/>
      <c r="BM5" s="638"/>
    </row>
    <row r="6" spans="1:65" ht="15.75" customHeight="1">
      <c r="A6" s="642" t="s">
        <v>110</v>
      </c>
      <c r="B6" s="643"/>
      <c r="C6" s="643"/>
      <c r="D6" s="643"/>
      <c r="E6" s="643"/>
      <c r="F6" s="643"/>
      <c r="G6" s="643"/>
      <c r="H6" s="644"/>
      <c r="I6" s="26" t="s">
        <v>71</v>
      </c>
      <c r="J6" s="26"/>
      <c r="K6" s="26"/>
      <c r="L6" s="26"/>
      <c r="M6" s="26"/>
      <c r="N6" s="27"/>
      <c r="O6" s="28"/>
      <c r="P6" s="27"/>
      <c r="Q6" s="28"/>
      <c r="R6" s="29"/>
      <c r="S6" s="29"/>
      <c r="T6" s="29"/>
      <c r="U6" s="29"/>
      <c r="V6" s="29"/>
      <c r="W6" s="29"/>
      <c r="X6" s="30"/>
      <c r="Y6" s="31"/>
      <c r="Z6" s="29"/>
      <c r="AA6" s="29"/>
      <c r="AB6" s="29"/>
      <c r="AC6" s="29"/>
      <c r="AD6" s="29"/>
      <c r="AE6" s="29"/>
      <c r="AF6" s="29"/>
      <c r="AG6" s="29"/>
      <c r="AH6" s="29"/>
      <c r="AI6" s="29"/>
      <c r="AJ6" s="29"/>
      <c r="AK6" s="29"/>
      <c r="AL6" s="29"/>
      <c r="AM6" s="29"/>
      <c r="AN6" s="29"/>
      <c r="AO6" s="29"/>
      <c r="AP6" s="29"/>
      <c r="AQ6" s="29"/>
      <c r="AR6" s="30"/>
      <c r="AS6" s="645">
        <v>43008</v>
      </c>
      <c r="AT6" s="646"/>
      <c r="AU6" s="646"/>
      <c r="AV6" s="646"/>
      <c r="AW6" s="646"/>
      <c r="AX6" s="646"/>
      <c r="AY6" s="646"/>
      <c r="AZ6" s="647"/>
      <c r="BA6" s="29">
        <v>2016</v>
      </c>
      <c r="BB6" s="29"/>
      <c r="BC6" s="29"/>
      <c r="BD6" s="29"/>
      <c r="BE6" s="29"/>
      <c r="BF6" s="29"/>
      <c r="BG6" s="29"/>
      <c r="BH6" s="29"/>
      <c r="BI6" s="29"/>
      <c r="BJ6" s="29"/>
      <c r="BK6" s="29"/>
      <c r="BL6" s="29"/>
      <c r="BM6" s="30"/>
    </row>
    <row r="7" spans="1:65" ht="15.75" customHeight="1">
      <c r="A7" s="32"/>
      <c r="B7" s="33"/>
      <c r="C7" s="34"/>
      <c r="D7" s="34"/>
      <c r="E7" s="34"/>
      <c r="F7" s="2"/>
      <c r="G7" s="2"/>
      <c r="H7" s="35"/>
      <c r="I7" s="2"/>
      <c r="J7" s="2"/>
      <c r="K7" s="2"/>
      <c r="L7" s="2"/>
      <c r="M7" s="2"/>
      <c r="N7" s="2"/>
      <c r="O7" s="2"/>
      <c r="P7" s="36"/>
      <c r="Q7" s="34"/>
      <c r="R7" s="37"/>
      <c r="S7" s="37"/>
      <c r="T7" s="37"/>
      <c r="U7" s="37"/>
      <c r="V7" s="37"/>
      <c r="W7" s="37"/>
      <c r="X7" s="38"/>
      <c r="Y7" s="39">
        <v>12345</v>
      </c>
      <c r="Z7" s="37"/>
      <c r="AA7" s="37"/>
      <c r="AB7" s="37"/>
      <c r="AC7" s="37"/>
      <c r="AD7" s="37"/>
      <c r="AE7" s="37"/>
      <c r="AF7" s="37"/>
      <c r="AG7" s="37"/>
      <c r="AH7" s="37"/>
      <c r="AI7" s="37"/>
      <c r="AJ7" s="37"/>
      <c r="AK7" s="37"/>
      <c r="AL7" s="37"/>
      <c r="AM7" s="37"/>
      <c r="AN7" s="37"/>
      <c r="AO7" s="37"/>
      <c r="AP7" s="37"/>
      <c r="AQ7" s="37"/>
      <c r="AR7" s="38"/>
      <c r="AS7" s="639"/>
      <c r="AT7" s="640"/>
      <c r="AU7" s="640"/>
      <c r="AV7" s="640"/>
      <c r="AW7" s="640"/>
      <c r="AX7" s="640"/>
      <c r="AY7" s="640"/>
      <c r="AZ7" s="641"/>
      <c r="BA7" s="37"/>
      <c r="BB7" s="37"/>
      <c r="BC7" s="37"/>
      <c r="BD7" s="37"/>
      <c r="BE7" s="37"/>
      <c r="BF7" s="37"/>
      <c r="BG7" s="37"/>
      <c r="BH7" s="37"/>
      <c r="BI7" s="37"/>
      <c r="BJ7" s="37"/>
      <c r="BK7" s="37"/>
      <c r="BL7" s="37"/>
      <c r="BM7" s="38"/>
    </row>
    <row r="8" spans="1:65" ht="15.75" customHeight="1">
      <c r="A8" s="40"/>
      <c r="B8" s="33"/>
      <c r="C8" s="34"/>
      <c r="D8" s="34"/>
      <c r="E8" s="34"/>
      <c r="F8" s="2"/>
      <c r="G8" s="2"/>
      <c r="H8" s="35"/>
      <c r="I8" s="2"/>
      <c r="J8" s="2"/>
      <c r="K8" s="2"/>
      <c r="L8" s="2"/>
      <c r="M8" s="2"/>
      <c r="N8" s="2"/>
      <c r="O8" s="2"/>
      <c r="P8" s="36"/>
      <c r="Q8" s="34"/>
      <c r="R8" s="37"/>
      <c r="S8" s="37"/>
      <c r="T8" s="37"/>
      <c r="U8" s="37"/>
      <c r="V8" s="37"/>
      <c r="W8" s="37"/>
      <c r="X8" s="38"/>
      <c r="Y8" s="39">
        <v>12345</v>
      </c>
      <c r="Z8" s="37"/>
      <c r="AA8" s="37"/>
      <c r="AB8" s="37"/>
      <c r="AC8" s="37"/>
      <c r="AD8" s="37"/>
      <c r="AE8" s="37"/>
      <c r="AF8" s="37"/>
      <c r="AG8" s="37"/>
      <c r="AH8" s="37"/>
      <c r="AI8" s="37"/>
      <c r="AJ8" s="37"/>
      <c r="AK8" s="37"/>
      <c r="AL8" s="37"/>
      <c r="AM8" s="37"/>
      <c r="AN8" s="37"/>
      <c r="AO8" s="37"/>
      <c r="AP8" s="37"/>
      <c r="AQ8" s="37"/>
      <c r="AR8" s="38"/>
      <c r="AS8" s="639"/>
      <c r="AT8" s="640"/>
      <c r="AU8" s="640"/>
      <c r="AV8" s="640"/>
      <c r="AW8" s="640"/>
      <c r="AX8" s="640"/>
      <c r="AY8" s="640"/>
      <c r="AZ8" s="641"/>
      <c r="BA8" s="37"/>
      <c r="BB8" s="37"/>
      <c r="BC8" s="37"/>
      <c r="BD8" s="37"/>
      <c r="BE8" s="37"/>
      <c r="BF8" s="37"/>
      <c r="BG8" s="37"/>
      <c r="BH8" s="37"/>
      <c r="BI8" s="37"/>
      <c r="BJ8" s="37"/>
      <c r="BK8" s="37"/>
      <c r="BL8" s="37"/>
      <c r="BM8" s="38"/>
    </row>
    <row r="9" spans="1:65" ht="15.75" customHeight="1">
      <c r="A9" s="40"/>
      <c r="B9" s="33"/>
      <c r="C9" s="34"/>
      <c r="D9" s="34"/>
      <c r="E9" s="34"/>
      <c r="F9" s="2"/>
      <c r="G9" s="2"/>
      <c r="H9" s="35"/>
      <c r="I9" s="2"/>
      <c r="J9" s="2"/>
      <c r="K9" s="2"/>
      <c r="L9" s="2"/>
      <c r="M9" s="2"/>
      <c r="N9" s="2"/>
      <c r="O9" s="2"/>
      <c r="P9" s="36"/>
      <c r="Q9" s="34"/>
      <c r="R9" s="37"/>
      <c r="S9" s="37"/>
      <c r="T9" s="37"/>
      <c r="U9" s="37"/>
      <c r="V9" s="37"/>
      <c r="W9" s="37"/>
      <c r="X9" s="38"/>
      <c r="Y9" s="39"/>
      <c r="Z9" s="37"/>
      <c r="AA9" s="37"/>
      <c r="AB9" s="37"/>
      <c r="AC9" s="37"/>
      <c r="AD9" s="37"/>
      <c r="AE9" s="37"/>
      <c r="AF9" s="37"/>
      <c r="AG9" s="37"/>
      <c r="AH9" s="37"/>
      <c r="AI9" s="37"/>
      <c r="AJ9" s="37"/>
      <c r="AK9" s="37"/>
      <c r="AL9" s="37"/>
      <c r="AM9" s="37"/>
      <c r="AN9" s="37"/>
      <c r="AO9" s="37"/>
      <c r="AP9" s="37"/>
      <c r="AQ9" s="37"/>
      <c r="AR9" s="38"/>
      <c r="AS9" s="639"/>
      <c r="AT9" s="640"/>
      <c r="AU9" s="640"/>
      <c r="AV9" s="640"/>
      <c r="AW9" s="640"/>
      <c r="AX9" s="640"/>
      <c r="AY9" s="640"/>
      <c r="AZ9" s="641"/>
      <c r="BA9" s="37"/>
      <c r="BB9" s="37"/>
      <c r="BC9" s="37"/>
      <c r="BD9" s="37"/>
      <c r="BE9" s="37"/>
      <c r="BF9" s="37"/>
      <c r="BG9" s="37"/>
      <c r="BH9" s="37"/>
      <c r="BI9" s="37"/>
      <c r="BJ9" s="37"/>
      <c r="BK9" s="37"/>
      <c r="BL9" s="37"/>
      <c r="BM9" s="38"/>
    </row>
    <row r="10" spans="1:65" ht="15.75" customHeight="1">
      <c r="A10" s="40"/>
      <c r="B10" s="33"/>
      <c r="C10" s="34"/>
      <c r="D10" s="34"/>
      <c r="E10" s="34"/>
      <c r="F10" s="2"/>
      <c r="G10" s="2"/>
      <c r="H10" s="35"/>
      <c r="I10" s="2"/>
      <c r="J10" s="2"/>
      <c r="K10" s="2"/>
      <c r="L10" s="2"/>
      <c r="M10" s="2"/>
      <c r="N10" s="2"/>
      <c r="O10" s="2"/>
      <c r="P10" s="36"/>
      <c r="Q10" s="34"/>
      <c r="R10" s="37"/>
      <c r="S10" s="37"/>
      <c r="T10" s="37"/>
      <c r="U10" s="37"/>
      <c r="V10" s="37"/>
      <c r="W10" s="37"/>
      <c r="X10" s="38"/>
      <c r="Y10" s="39"/>
      <c r="Z10" s="37"/>
      <c r="AA10" s="37"/>
      <c r="AB10" s="37"/>
      <c r="AC10" s="37"/>
      <c r="AD10" s="37"/>
      <c r="AE10" s="37"/>
      <c r="AF10" s="37"/>
      <c r="AG10" s="37"/>
      <c r="AH10" s="37"/>
      <c r="AI10" s="37"/>
      <c r="AJ10" s="37"/>
      <c r="AK10" s="37"/>
      <c r="AL10" s="37"/>
      <c r="AM10" s="37"/>
      <c r="AN10" s="37"/>
      <c r="AO10" s="37"/>
      <c r="AP10" s="37"/>
      <c r="AQ10" s="37"/>
      <c r="AR10" s="38"/>
      <c r="AS10" s="639"/>
      <c r="AT10" s="640"/>
      <c r="AU10" s="640"/>
      <c r="AV10" s="640"/>
      <c r="AW10" s="640"/>
      <c r="AX10" s="640"/>
      <c r="AY10" s="640"/>
      <c r="AZ10" s="641"/>
      <c r="BA10" s="37"/>
      <c r="BB10" s="37"/>
      <c r="BC10" s="37"/>
      <c r="BD10" s="37"/>
      <c r="BE10" s="37"/>
      <c r="BF10" s="37"/>
      <c r="BG10" s="37"/>
      <c r="BH10" s="37"/>
      <c r="BI10" s="37"/>
      <c r="BJ10" s="37"/>
      <c r="BK10" s="37"/>
      <c r="BL10" s="37"/>
      <c r="BM10" s="38"/>
    </row>
    <row r="11" spans="1:65" ht="15.75" customHeight="1">
      <c r="A11" s="40"/>
      <c r="B11" s="33"/>
      <c r="C11" s="34"/>
      <c r="D11" s="34"/>
      <c r="E11" s="34"/>
      <c r="F11" s="2"/>
      <c r="G11" s="2"/>
      <c r="H11" s="35"/>
      <c r="I11" s="2"/>
      <c r="J11" s="2"/>
      <c r="K11" s="2"/>
      <c r="L11" s="2"/>
      <c r="M11" s="2"/>
      <c r="N11" s="2"/>
      <c r="O11" s="2"/>
      <c r="P11" s="2"/>
      <c r="Q11" s="2"/>
      <c r="R11" s="37"/>
      <c r="S11" s="37"/>
      <c r="T11" s="37"/>
      <c r="U11" s="37"/>
      <c r="V11" s="37"/>
      <c r="W11" s="37"/>
      <c r="X11" s="38"/>
      <c r="Y11" s="39"/>
      <c r="Z11" s="37"/>
      <c r="AA11" s="37"/>
      <c r="AB11" s="37"/>
      <c r="AC11" s="37"/>
      <c r="AD11" s="37"/>
      <c r="AE11" s="37"/>
      <c r="AF11" s="37"/>
      <c r="AG11" s="37"/>
      <c r="AH11" s="37"/>
      <c r="AI11" s="37"/>
      <c r="AJ11" s="37"/>
      <c r="AK11" s="37"/>
      <c r="AL11" s="37"/>
      <c r="AM11" s="37"/>
      <c r="AN11" s="37"/>
      <c r="AO11" s="37"/>
      <c r="AP11" s="37"/>
      <c r="AQ11" s="37"/>
      <c r="AR11" s="38"/>
      <c r="AS11" s="639"/>
      <c r="AT11" s="640"/>
      <c r="AU11" s="640"/>
      <c r="AV11" s="640"/>
      <c r="AW11" s="640"/>
      <c r="AX11" s="640"/>
      <c r="AY11" s="640"/>
      <c r="AZ11" s="641"/>
      <c r="BA11" s="37"/>
      <c r="BB11" s="37"/>
      <c r="BC11" s="37"/>
      <c r="BD11" s="37"/>
      <c r="BE11" s="37"/>
      <c r="BF11" s="37"/>
      <c r="BG11" s="37"/>
      <c r="BH11" s="37"/>
      <c r="BI11" s="37"/>
      <c r="BJ11" s="37"/>
      <c r="BK11" s="37"/>
      <c r="BL11" s="37"/>
      <c r="BM11" s="38"/>
    </row>
    <row r="12" spans="1:65" ht="15.75" customHeight="1">
      <c r="A12" s="40"/>
      <c r="B12" s="33"/>
      <c r="C12" s="34"/>
      <c r="D12" s="34"/>
      <c r="E12" s="34"/>
      <c r="F12" s="2"/>
      <c r="G12" s="2"/>
      <c r="H12" s="35"/>
      <c r="I12" s="2"/>
      <c r="J12" s="2"/>
      <c r="K12" s="2"/>
      <c r="L12" s="2"/>
      <c r="M12" s="2"/>
      <c r="N12" s="2"/>
      <c r="O12" s="2"/>
      <c r="P12" s="2"/>
      <c r="Q12" s="2"/>
      <c r="R12" s="37"/>
      <c r="S12" s="37"/>
      <c r="T12" s="37"/>
      <c r="U12" s="37"/>
      <c r="V12" s="37"/>
      <c r="W12" s="37"/>
      <c r="X12" s="38"/>
      <c r="Y12" s="39"/>
      <c r="Z12" s="37"/>
      <c r="AA12" s="37"/>
      <c r="AB12" s="37"/>
      <c r="AC12" s="37"/>
      <c r="AD12" s="37"/>
      <c r="AE12" s="37"/>
      <c r="AF12" s="37"/>
      <c r="AG12" s="37"/>
      <c r="AH12" s="37"/>
      <c r="AI12" s="37"/>
      <c r="AJ12" s="37"/>
      <c r="AK12" s="37"/>
      <c r="AL12" s="37"/>
      <c r="AM12" s="37"/>
      <c r="AN12" s="37"/>
      <c r="AO12" s="37"/>
      <c r="AP12" s="37"/>
      <c r="AQ12" s="37"/>
      <c r="AR12" s="38"/>
      <c r="AS12" s="639"/>
      <c r="AT12" s="640"/>
      <c r="AU12" s="640"/>
      <c r="AV12" s="640"/>
      <c r="AW12" s="640"/>
      <c r="AX12" s="640"/>
      <c r="AY12" s="640"/>
      <c r="AZ12" s="641"/>
      <c r="BA12" s="37"/>
      <c r="BB12" s="37"/>
      <c r="BC12" s="37"/>
      <c r="BD12" s="37"/>
      <c r="BE12" s="37"/>
      <c r="BF12" s="37"/>
      <c r="BG12" s="37"/>
      <c r="BH12" s="37"/>
      <c r="BI12" s="37"/>
      <c r="BJ12" s="37"/>
      <c r="BK12" s="37"/>
      <c r="BL12" s="37"/>
      <c r="BM12" s="38"/>
    </row>
    <row r="13" spans="1:65" ht="15.75" customHeight="1">
      <c r="A13" s="40"/>
      <c r="B13" s="33"/>
      <c r="C13" s="34"/>
      <c r="D13" s="34"/>
      <c r="E13" s="34"/>
      <c r="F13" s="2"/>
      <c r="G13" s="2"/>
      <c r="H13" s="35"/>
      <c r="I13" s="2"/>
      <c r="J13" s="2"/>
      <c r="K13" s="2"/>
      <c r="L13" s="2"/>
      <c r="M13" s="2"/>
      <c r="N13" s="2"/>
      <c r="O13" s="2"/>
      <c r="P13" s="2"/>
      <c r="Q13" s="2"/>
      <c r="R13" s="37"/>
      <c r="S13" s="37"/>
      <c r="T13" s="37"/>
      <c r="U13" s="37"/>
      <c r="V13" s="37"/>
      <c r="W13" s="37"/>
      <c r="X13" s="38"/>
      <c r="Y13" s="39"/>
      <c r="Z13" s="37"/>
      <c r="AA13" s="37"/>
      <c r="AB13" s="37"/>
      <c r="AC13" s="37"/>
      <c r="AD13" s="37"/>
      <c r="AE13" s="37"/>
      <c r="AF13" s="37"/>
      <c r="AG13" s="37"/>
      <c r="AH13" s="37"/>
      <c r="AI13" s="37"/>
      <c r="AJ13" s="37"/>
      <c r="AK13" s="37"/>
      <c r="AL13" s="37"/>
      <c r="AM13" s="37"/>
      <c r="AN13" s="37"/>
      <c r="AO13" s="37"/>
      <c r="AP13" s="37"/>
      <c r="AQ13" s="37"/>
      <c r="AR13" s="38"/>
      <c r="AS13" s="639"/>
      <c r="AT13" s="640"/>
      <c r="AU13" s="640"/>
      <c r="AV13" s="640"/>
      <c r="AW13" s="640"/>
      <c r="AX13" s="640"/>
      <c r="AY13" s="640"/>
      <c r="AZ13" s="641"/>
      <c r="BA13" s="37"/>
      <c r="BB13" s="37"/>
      <c r="BC13" s="37"/>
      <c r="BD13" s="37"/>
      <c r="BE13" s="37"/>
      <c r="BF13" s="37"/>
      <c r="BG13" s="37"/>
      <c r="BH13" s="37"/>
      <c r="BI13" s="37"/>
      <c r="BJ13" s="37"/>
      <c r="BK13" s="37"/>
      <c r="BL13" s="37"/>
      <c r="BM13" s="38"/>
    </row>
    <row r="14" spans="1:65" ht="15.75" customHeight="1">
      <c r="A14" s="40"/>
      <c r="B14" s="33"/>
      <c r="C14" s="34"/>
      <c r="D14" s="34"/>
      <c r="E14" s="34"/>
      <c r="F14" s="2"/>
      <c r="G14" s="2"/>
      <c r="H14" s="35"/>
      <c r="I14" s="2"/>
      <c r="J14" s="2"/>
      <c r="K14" s="2"/>
      <c r="L14" s="2"/>
      <c r="M14" s="2"/>
      <c r="N14" s="2"/>
      <c r="O14" s="2"/>
      <c r="P14" s="2"/>
      <c r="Q14" s="2"/>
      <c r="R14" s="37"/>
      <c r="S14" s="37"/>
      <c r="T14" s="37"/>
      <c r="U14" s="37"/>
      <c r="V14" s="37"/>
      <c r="W14" s="37"/>
      <c r="X14" s="38"/>
      <c r="Y14" s="39"/>
      <c r="Z14" s="37"/>
      <c r="AA14" s="37"/>
      <c r="AB14" s="37"/>
      <c r="AC14" s="37"/>
      <c r="AD14" s="37"/>
      <c r="AE14" s="37"/>
      <c r="AF14" s="37"/>
      <c r="AG14" s="37"/>
      <c r="AH14" s="37"/>
      <c r="AI14" s="37"/>
      <c r="AJ14" s="37"/>
      <c r="AK14" s="37"/>
      <c r="AL14" s="37"/>
      <c r="AM14" s="37"/>
      <c r="AN14" s="37"/>
      <c r="AO14" s="37"/>
      <c r="AP14" s="37"/>
      <c r="AQ14" s="37"/>
      <c r="AR14" s="38"/>
      <c r="AS14" s="639"/>
      <c r="AT14" s="640"/>
      <c r="AU14" s="640"/>
      <c r="AV14" s="640"/>
      <c r="AW14" s="640"/>
      <c r="AX14" s="640"/>
      <c r="AY14" s="640"/>
      <c r="AZ14" s="641"/>
      <c r="BA14" s="37"/>
      <c r="BB14" s="37"/>
      <c r="BC14" s="37"/>
      <c r="BD14" s="37"/>
      <c r="BE14" s="37"/>
      <c r="BF14" s="37"/>
      <c r="BG14" s="37"/>
      <c r="BH14" s="37"/>
      <c r="BI14" s="37"/>
      <c r="BJ14" s="37"/>
      <c r="BK14" s="37"/>
      <c r="BL14" s="37"/>
      <c r="BM14" s="38"/>
    </row>
    <row r="15" spans="1:65" ht="15.75" customHeight="1">
      <c r="A15" s="40"/>
      <c r="B15" s="33"/>
      <c r="C15" s="34"/>
      <c r="D15" s="34"/>
      <c r="E15" s="34"/>
      <c r="F15" s="2"/>
      <c r="G15" s="2"/>
      <c r="H15" s="35"/>
      <c r="I15" s="2"/>
      <c r="J15" s="2"/>
      <c r="K15" s="2"/>
      <c r="L15" s="2"/>
      <c r="M15" s="2"/>
      <c r="N15" s="2"/>
      <c r="O15" s="2"/>
      <c r="P15" s="2"/>
      <c r="Q15" s="2"/>
      <c r="R15" s="37"/>
      <c r="S15" s="37"/>
      <c r="T15" s="37"/>
      <c r="U15" s="37"/>
      <c r="V15" s="37"/>
      <c r="W15" s="37"/>
      <c r="X15" s="38"/>
      <c r="Y15" s="39"/>
      <c r="Z15" s="37"/>
      <c r="AA15" s="37"/>
      <c r="AB15" s="37"/>
      <c r="AC15" s="37"/>
      <c r="AD15" s="37"/>
      <c r="AE15" s="37"/>
      <c r="AF15" s="37"/>
      <c r="AG15" s="37"/>
      <c r="AH15" s="37"/>
      <c r="AI15" s="37"/>
      <c r="AJ15" s="37"/>
      <c r="AK15" s="37"/>
      <c r="AL15" s="37"/>
      <c r="AM15" s="37"/>
      <c r="AN15" s="37"/>
      <c r="AO15" s="37"/>
      <c r="AP15" s="37"/>
      <c r="AQ15" s="37"/>
      <c r="AR15" s="38"/>
      <c r="AS15" s="639"/>
      <c r="AT15" s="640"/>
      <c r="AU15" s="640"/>
      <c r="AV15" s="640"/>
      <c r="AW15" s="640"/>
      <c r="AX15" s="640"/>
      <c r="AY15" s="640"/>
      <c r="AZ15" s="641"/>
      <c r="BA15" s="37"/>
      <c r="BB15" s="37"/>
      <c r="BC15" s="37"/>
      <c r="BD15" s="37"/>
      <c r="BE15" s="37"/>
      <c r="BF15" s="37"/>
      <c r="BG15" s="37"/>
      <c r="BH15" s="37"/>
      <c r="BI15" s="37"/>
      <c r="BJ15" s="37"/>
      <c r="BK15" s="37"/>
      <c r="BL15" s="37"/>
      <c r="BM15" s="38"/>
    </row>
    <row r="16" spans="1:65" ht="15.75" customHeight="1">
      <c r="A16" s="40"/>
      <c r="B16" s="33"/>
      <c r="C16" s="34"/>
      <c r="D16" s="34"/>
      <c r="E16" s="34"/>
      <c r="F16" s="2"/>
      <c r="G16" s="2"/>
      <c r="H16" s="35"/>
      <c r="I16" s="2"/>
      <c r="J16" s="2"/>
      <c r="K16" s="2"/>
      <c r="L16" s="2"/>
      <c r="M16" s="2"/>
      <c r="N16" s="2"/>
      <c r="O16" s="2"/>
      <c r="P16" s="2"/>
      <c r="Q16" s="2"/>
      <c r="R16" s="37"/>
      <c r="S16" s="37"/>
      <c r="T16" s="37"/>
      <c r="U16" s="37"/>
      <c r="V16" s="37"/>
      <c r="W16" s="37"/>
      <c r="X16" s="38"/>
      <c r="Y16" s="39"/>
      <c r="Z16" s="37"/>
      <c r="AA16" s="37"/>
      <c r="AB16" s="37"/>
      <c r="AC16" s="37"/>
      <c r="AD16" s="37"/>
      <c r="AE16" s="37"/>
      <c r="AF16" s="37"/>
      <c r="AG16" s="37"/>
      <c r="AH16" s="37"/>
      <c r="AI16" s="37"/>
      <c r="AJ16" s="37"/>
      <c r="AK16" s="37"/>
      <c r="AL16" s="37"/>
      <c r="AM16" s="37"/>
      <c r="AN16" s="37"/>
      <c r="AO16" s="37"/>
      <c r="AP16" s="37"/>
      <c r="AQ16" s="37"/>
      <c r="AR16" s="38"/>
      <c r="AS16" s="639"/>
      <c r="AT16" s="640"/>
      <c r="AU16" s="640"/>
      <c r="AV16" s="640"/>
      <c r="AW16" s="640"/>
      <c r="AX16" s="640"/>
      <c r="AY16" s="640"/>
      <c r="AZ16" s="641"/>
      <c r="BA16" s="37"/>
      <c r="BB16" s="37"/>
      <c r="BC16" s="37"/>
      <c r="BD16" s="37"/>
      <c r="BE16" s="37"/>
      <c r="BF16" s="37"/>
      <c r="BG16" s="37"/>
      <c r="BH16" s="37"/>
      <c r="BI16" s="37"/>
      <c r="BJ16" s="37"/>
      <c r="BK16" s="37"/>
      <c r="BL16" s="37"/>
      <c r="BM16" s="38"/>
    </row>
    <row r="17" spans="1:65" ht="15.75" customHeight="1">
      <c r="A17" s="40"/>
      <c r="B17" s="33"/>
      <c r="C17" s="34"/>
      <c r="D17" s="34"/>
      <c r="E17" s="34"/>
      <c r="F17" s="2"/>
      <c r="G17" s="2"/>
      <c r="H17" s="35"/>
      <c r="I17" s="2"/>
      <c r="J17" s="2"/>
      <c r="K17" s="2"/>
      <c r="L17" s="2"/>
      <c r="M17" s="2"/>
      <c r="N17" s="2"/>
      <c r="O17" s="2"/>
      <c r="P17" s="2"/>
      <c r="Q17" s="2"/>
      <c r="R17" s="37"/>
      <c r="S17" s="37"/>
      <c r="T17" s="37"/>
      <c r="U17" s="37"/>
      <c r="V17" s="37"/>
      <c r="W17" s="37"/>
      <c r="X17" s="38"/>
      <c r="Y17" s="39"/>
      <c r="Z17" s="37"/>
      <c r="AA17" s="37"/>
      <c r="AB17" s="37"/>
      <c r="AC17" s="37"/>
      <c r="AD17" s="37"/>
      <c r="AE17" s="37"/>
      <c r="AF17" s="37"/>
      <c r="AG17" s="37"/>
      <c r="AH17" s="37"/>
      <c r="AI17" s="37"/>
      <c r="AJ17" s="37"/>
      <c r="AK17" s="37"/>
      <c r="AL17" s="37"/>
      <c r="AM17" s="37"/>
      <c r="AN17" s="37"/>
      <c r="AO17" s="37"/>
      <c r="AP17" s="37"/>
      <c r="AQ17" s="37"/>
      <c r="AR17" s="38"/>
      <c r="AS17" s="639"/>
      <c r="AT17" s="640"/>
      <c r="AU17" s="640"/>
      <c r="AV17" s="640"/>
      <c r="AW17" s="640"/>
      <c r="AX17" s="640"/>
      <c r="AY17" s="640"/>
      <c r="AZ17" s="641"/>
      <c r="BA17" s="37"/>
      <c r="BB17" s="37"/>
      <c r="BC17" s="37"/>
      <c r="BD17" s="37"/>
      <c r="BE17" s="37"/>
      <c r="BF17" s="37"/>
      <c r="BG17" s="37"/>
      <c r="BH17" s="37"/>
      <c r="BI17" s="37"/>
      <c r="BJ17" s="37"/>
      <c r="BK17" s="37"/>
      <c r="BL17" s="37"/>
      <c r="BM17" s="38"/>
    </row>
    <row r="18" spans="1:65" ht="15.75" customHeight="1">
      <c r="A18" s="40"/>
      <c r="B18" s="33"/>
      <c r="C18" s="34"/>
      <c r="D18" s="34"/>
      <c r="E18" s="34"/>
      <c r="F18" s="2"/>
      <c r="G18" s="2"/>
      <c r="H18" s="35"/>
      <c r="I18" s="2"/>
      <c r="J18" s="2"/>
      <c r="K18" s="2"/>
      <c r="L18" s="2"/>
      <c r="M18" s="2"/>
      <c r="N18" s="2"/>
      <c r="O18" s="2"/>
      <c r="P18" s="2"/>
      <c r="Q18" s="2"/>
      <c r="R18" s="37"/>
      <c r="S18" s="37"/>
      <c r="T18" s="37"/>
      <c r="U18" s="37"/>
      <c r="V18" s="37"/>
      <c r="W18" s="37"/>
      <c r="X18" s="38"/>
      <c r="Y18" s="39"/>
      <c r="Z18" s="37"/>
      <c r="AA18" s="37"/>
      <c r="AB18" s="37"/>
      <c r="AC18" s="37"/>
      <c r="AD18" s="37"/>
      <c r="AE18" s="37"/>
      <c r="AF18" s="37"/>
      <c r="AG18" s="37"/>
      <c r="AH18" s="37"/>
      <c r="AI18" s="37"/>
      <c r="AJ18" s="37"/>
      <c r="AK18" s="37"/>
      <c r="AL18" s="37"/>
      <c r="AM18" s="37"/>
      <c r="AN18" s="37"/>
      <c r="AO18" s="37"/>
      <c r="AP18" s="37"/>
      <c r="AQ18" s="37"/>
      <c r="AR18" s="38"/>
      <c r="AS18" s="639"/>
      <c r="AT18" s="640"/>
      <c r="AU18" s="640"/>
      <c r="AV18" s="640"/>
      <c r="AW18" s="640"/>
      <c r="AX18" s="640"/>
      <c r="AY18" s="640"/>
      <c r="AZ18" s="641"/>
      <c r="BA18" s="37"/>
      <c r="BB18" s="37"/>
      <c r="BC18" s="37"/>
      <c r="BD18" s="37"/>
      <c r="BE18" s="37"/>
      <c r="BF18" s="37"/>
      <c r="BG18" s="37"/>
      <c r="BH18" s="37"/>
      <c r="BI18" s="37"/>
      <c r="BJ18" s="37"/>
      <c r="BK18" s="37"/>
      <c r="BL18" s="37"/>
      <c r="BM18" s="38"/>
    </row>
    <row r="19" spans="1:65" ht="15.75" customHeight="1">
      <c r="A19" s="40"/>
      <c r="B19" s="33"/>
      <c r="C19" s="34"/>
      <c r="D19" s="34"/>
      <c r="E19" s="34"/>
      <c r="F19" s="2"/>
      <c r="G19" s="2"/>
      <c r="H19" s="35"/>
      <c r="I19" s="2"/>
      <c r="J19" s="2"/>
      <c r="K19" s="2"/>
      <c r="L19" s="2"/>
      <c r="M19" s="2"/>
      <c r="N19" s="2"/>
      <c r="O19" s="2"/>
      <c r="P19" s="2"/>
      <c r="Q19" s="2"/>
      <c r="R19" s="37"/>
      <c r="S19" s="37"/>
      <c r="T19" s="37"/>
      <c r="U19" s="37"/>
      <c r="V19" s="37"/>
      <c r="W19" s="37"/>
      <c r="X19" s="38"/>
      <c r="Y19" s="39"/>
      <c r="Z19" s="37"/>
      <c r="AA19" s="37"/>
      <c r="AB19" s="37"/>
      <c r="AC19" s="37"/>
      <c r="AD19" s="37"/>
      <c r="AE19" s="37"/>
      <c r="AF19" s="37"/>
      <c r="AG19" s="37"/>
      <c r="AH19" s="37"/>
      <c r="AI19" s="37"/>
      <c r="AJ19" s="37"/>
      <c r="AK19" s="37"/>
      <c r="AL19" s="37"/>
      <c r="AM19" s="37"/>
      <c r="AN19" s="37"/>
      <c r="AO19" s="37"/>
      <c r="AP19" s="37"/>
      <c r="AQ19" s="37"/>
      <c r="AR19" s="38"/>
      <c r="AS19" s="639"/>
      <c r="AT19" s="640"/>
      <c r="AU19" s="640"/>
      <c r="AV19" s="640"/>
      <c r="AW19" s="640"/>
      <c r="AX19" s="640"/>
      <c r="AY19" s="640"/>
      <c r="AZ19" s="641"/>
      <c r="BA19" s="37"/>
      <c r="BB19" s="37"/>
      <c r="BC19" s="37"/>
      <c r="BD19" s="37"/>
      <c r="BE19" s="37"/>
      <c r="BF19" s="37"/>
      <c r="BG19" s="37"/>
      <c r="BH19" s="37"/>
      <c r="BI19" s="37"/>
      <c r="BJ19" s="37"/>
      <c r="BK19" s="37"/>
      <c r="BL19" s="37"/>
      <c r="BM19" s="38"/>
    </row>
    <row r="20" spans="1:65" ht="15.75" customHeight="1">
      <c r="A20" s="40"/>
      <c r="B20" s="33"/>
      <c r="C20" s="34"/>
      <c r="D20" s="34"/>
      <c r="E20" s="34"/>
      <c r="F20" s="2"/>
      <c r="G20" s="2"/>
      <c r="H20" s="35"/>
      <c r="I20" s="2"/>
      <c r="J20" s="2"/>
      <c r="K20" s="2"/>
      <c r="L20" s="2"/>
      <c r="M20" s="2"/>
      <c r="N20" s="2"/>
      <c r="O20" s="2"/>
      <c r="P20" s="2"/>
      <c r="Q20" s="2"/>
      <c r="R20" s="37"/>
      <c r="S20" s="37"/>
      <c r="T20" s="37"/>
      <c r="U20" s="37"/>
      <c r="V20" s="37"/>
      <c r="W20" s="37"/>
      <c r="X20" s="38"/>
      <c r="Y20" s="39"/>
      <c r="Z20" s="37"/>
      <c r="AA20" s="37"/>
      <c r="AB20" s="37"/>
      <c r="AC20" s="37"/>
      <c r="AD20" s="37"/>
      <c r="AE20" s="37"/>
      <c r="AF20" s="37"/>
      <c r="AG20" s="37"/>
      <c r="AH20" s="37"/>
      <c r="AI20" s="37"/>
      <c r="AJ20" s="37"/>
      <c r="AK20" s="37"/>
      <c r="AL20" s="37"/>
      <c r="AM20" s="37"/>
      <c r="AN20" s="37"/>
      <c r="AO20" s="37"/>
      <c r="AP20" s="37"/>
      <c r="AQ20" s="37"/>
      <c r="AR20" s="38"/>
      <c r="AS20" s="639"/>
      <c r="AT20" s="640"/>
      <c r="AU20" s="640"/>
      <c r="AV20" s="640"/>
      <c r="AW20" s="640"/>
      <c r="AX20" s="640"/>
      <c r="AY20" s="640"/>
      <c r="AZ20" s="641"/>
      <c r="BA20" s="37"/>
      <c r="BB20" s="37"/>
      <c r="BC20" s="37"/>
      <c r="BD20" s="37"/>
      <c r="BE20" s="37"/>
      <c r="BF20" s="37"/>
      <c r="BG20" s="37"/>
      <c r="BH20" s="37"/>
      <c r="BI20" s="37"/>
      <c r="BJ20" s="37"/>
      <c r="BK20" s="37"/>
      <c r="BL20" s="37"/>
      <c r="BM20" s="38"/>
    </row>
    <row r="21" spans="1:65" ht="15.75" customHeight="1">
      <c r="A21" s="40"/>
      <c r="B21" s="33"/>
      <c r="C21" s="34"/>
      <c r="D21" s="34"/>
      <c r="E21" s="34"/>
      <c r="F21" s="2"/>
      <c r="G21" s="2"/>
      <c r="H21" s="35"/>
      <c r="I21" s="2"/>
      <c r="J21" s="2"/>
      <c r="K21" s="2"/>
      <c r="L21" s="2"/>
      <c r="M21" s="2"/>
      <c r="N21" s="2"/>
      <c r="O21" s="2"/>
      <c r="P21" s="2"/>
      <c r="Q21" s="2"/>
      <c r="R21" s="37"/>
      <c r="S21" s="37"/>
      <c r="T21" s="37"/>
      <c r="U21" s="37"/>
      <c r="V21" s="37"/>
      <c r="W21" s="37"/>
      <c r="X21" s="38"/>
      <c r="Y21" s="39"/>
      <c r="Z21" s="37"/>
      <c r="AA21" s="37"/>
      <c r="AB21" s="37"/>
      <c r="AC21" s="37"/>
      <c r="AD21" s="37"/>
      <c r="AE21" s="37"/>
      <c r="AF21" s="37"/>
      <c r="AG21" s="37"/>
      <c r="AH21" s="37"/>
      <c r="AI21" s="37"/>
      <c r="AJ21" s="37"/>
      <c r="AK21" s="37"/>
      <c r="AL21" s="37"/>
      <c r="AM21" s="37"/>
      <c r="AN21" s="37"/>
      <c r="AO21" s="37"/>
      <c r="AP21" s="37"/>
      <c r="AQ21" s="37"/>
      <c r="AR21" s="38"/>
      <c r="AS21" s="639"/>
      <c r="AT21" s="640"/>
      <c r="AU21" s="640"/>
      <c r="AV21" s="640"/>
      <c r="AW21" s="640"/>
      <c r="AX21" s="640"/>
      <c r="AY21" s="640"/>
      <c r="AZ21" s="641"/>
      <c r="BA21" s="37"/>
      <c r="BB21" s="37"/>
      <c r="BC21" s="37"/>
      <c r="BD21" s="37"/>
      <c r="BE21" s="37"/>
      <c r="BF21" s="37"/>
      <c r="BG21" s="37"/>
      <c r="BH21" s="37"/>
      <c r="BI21" s="37"/>
      <c r="BJ21" s="37"/>
      <c r="BK21" s="37"/>
      <c r="BL21" s="37"/>
      <c r="BM21" s="38"/>
    </row>
    <row r="22" spans="1:65" ht="15.75" customHeight="1">
      <c r="A22" s="40"/>
      <c r="B22" s="33"/>
      <c r="C22" s="34"/>
      <c r="D22" s="34"/>
      <c r="E22" s="34"/>
      <c r="F22" s="2"/>
      <c r="G22" s="2"/>
      <c r="H22" s="35"/>
      <c r="I22" s="2"/>
      <c r="J22" s="2"/>
      <c r="K22" s="2"/>
      <c r="L22" s="2"/>
      <c r="M22" s="2"/>
      <c r="N22" s="2"/>
      <c r="O22" s="2"/>
      <c r="P22" s="2"/>
      <c r="Q22" s="2"/>
      <c r="R22" s="37"/>
      <c r="S22" s="37"/>
      <c r="T22" s="37"/>
      <c r="U22" s="37"/>
      <c r="V22" s="37"/>
      <c r="W22" s="37"/>
      <c r="X22" s="38"/>
      <c r="Y22" s="39"/>
      <c r="Z22" s="37"/>
      <c r="AA22" s="37"/>
      <c r="AB22" s="37"/>
      <c r="AC22" s="37"/>
      <c r="AD22" s="37"/>
      <c r="AE22" s="37"/>
      <c r="AF22" s="37"/>
      <c r="AG22" s="37"/>
      <c r="AH22" s="37"/>
      <c r="AI22" s="37"/>
      <c r="AJ22" s="37"/>
      <c r="AK22" s="37"/>
      <c r="AL22" s="37"/>
      <c r="AM22" s="37"/>
      <c r="AN22" s="37"/>
      <c r="AO22" s="37"/>
      <c r="AP22" s="37"/>
      <c r="AQ22" s="37"/>
      <c r="AR22" s="38"/>
      <c r="AS22" s="639"/>
      <c r="AT22" s="640"/>
      <c r="AU22" s="640"/>
      <c r="AV22" s="640"/>
      <c r="AW22" s="640"/>
      <c r="AX22" s="640"/>
      <c r="AY22" s="640"/>
      <c r="AZ22" s="641"/>
      <c r="BA22" s="37"/>
      <c r="BB22" s="37"/>
      <c r="BC22" s="37"/>
      <c r="BD22" s="37"/>
      <c r="BE22" s="37"/>
      <c r="BF22" s="37"/>
      <c r="BG22" s="37"/>
      <c r="BH22" s="37"/>
      <c r="BI22" s="37"/>
      <c r="BJ22" s="37"/>
      <c r="BK22" s="37"/>
      <c r="BL22" s="37"/>
      <c r="BM22" s="38"/>
    </row>
    <row r="23" spans="1:65" ht="15.75" customHeight="1">
      <c r="A23" s="40"/>
      <c r="B23" s="33"/>
      <c r="C23" s="34"/>
      <c r="D23" s="34"/>
      <c r="E23" s="34"/>
      <c r="F23" s="2"/>
      <c r="G23" s="2"/>
      <c r="H23" s="35"/>
      <c r="I23" s="2"/>
      <c r="J23" s="2"/>
      <c r="K23" s="2"/>
      <c r="L23" s="2"/>
      <c r="M23" s="2"/>
      <c r="N23" s="2"/>
      <c r="O23" s="2"/>
      <c r="P23" s="2"/>
      <c r="Q23" s="2"/>
      <c r="R23" s="37"/>
      <c r="S23" s="37"/>
      <c r="T23" s="37"/>
      <c r="U23" s="37"/>
      <c r="V23" s="37"/>
      <c r="W23" s="37"/>
      <c r="X23" s="38"/>
      <c r="Y23" s="39"/>
      <c r="Z23" s="37"/>
      <c r="AA23" s="37"/>
      <c r="AB23" s="37"/>
      <c r="AC23" s="37"/>
      <c r="AD23" s="37"/>
      <c r="AE23" s="37"/>
      <c r="AF23" s="37"/>
      <c r="AG23" s="37"/>
      <c r="AH23" s="37"/>
      <c r="AI23" s="37"/>
      <c r="AJ23" s="37"/>
      <c r="AK23" s="37"/>
      <c r="AL23" s="37"/>
      <c r="AM23" s="37"/>
      <c r="AN23" s="37"/>
      <c r="AO23" s="37"/>
      <c r="AP23" s="37"/>
      <c r="AQ23" s="37"/>
      <c r="AR23" s="38"/>
      <c r="AS23" s="639"/>
      <c r="AT23" s="640"/>
      <c r="AU23" s="640"/>
      <c r="AV23" s="640"/>
      <c r="AW23" s="640"/>
      <c r="AX23" s="640"/>
      <c r="AY23" s="640"/>
      <c r="AZ23" s="641"/>
      <c r="BA23" s="37"/>
      <c r="BB23" s="37"/>
      <c r="BC23" s="37"/>
      <c r="BD23" s="37"/>
      <c r="BE23" s="37"/>
      <c r="BF23" s="37"/>
      <c r="BG23" s="37"/>
      <c r="BH23" s="37"/>
      <c r="BI23" s="37"/>
      <c r="BJ23" s="37"/>
      <c r="BK23" s="37"/>
      <c r="BL23" s="37"/>
      <c r="BM23" s="38"/>
    </row>
    <row r="24" spans="1:65" ht="15.75" customHeight="1">
      <c r="A24" s="40"/>
      <c r="B24" s="33"/>
      <c r="C24" s="34"/>
      <c r="D24" s="34"/>
      <c r="E24" s="34"/>
      <c r="F24" s="2"/>
      <c r="G24" s="2"/>
      <c r="H24" s="35"/>
      <c r="I24" s="2"/>
      <c r="J24" s="2"/>
      <c r="K24" s="2"/>
      <c r="L24" s="2"/>
      <c r="M24" s="2"/>
      <c r="N24" s="2"/>
      <c r="O24" s="2"/>
      <c r="P24" s="2"/>
      <c r="Q24" s="2"/>
      <c r="R24" s="37"/>
      <c r="S24" s="37"/>
      <c r="T24" s="37"/>
      <c r="U24" s="37"/>
      <c r="V24" s="37"/>
      <c r="W24" s="37"/>
      <c r="X24" s="38"/>
      <c r="Y24" s="39"/>
      <c r="Z24" s="37"/>
      <c r="AA24" s="37"/>
      <c r="AB24" s="37"/>
      <c r="AC24" s="37"/>
      <c r="AD24" s="37"/>
      <c r="AE24" s="37"/>
      <c r="AF24" s="37"/>
      <c r="AG24" s="37"/>
      <c r="AH24" s="37"/>
      <c r="AI24" s="37"/>
      <c r="AJ24" s="37"/>
      <c r="AK24" s="37"/>
      <c r="AL24" s="37"/>
      <c r="AM24" s="37"/>
      <c r="AN24" s="37"/>
      <c r="AO24" s="37"/>
      <c r="AP24" s="37"/>
      <c r="AQ24" s="37"/>
      <c r="AR24" s="38"/>
      <c r="AS24" s="639"/>
      <c r="AT24" s="640"/>
      <c r="AU24" s="640"/>
      <c r="AV24" s="640"/>
      <c r="AW24" s="640"/>
      <c r="AX24" s="640"/>
      <c r="AY24" s="640"/>
      <c r="AZ24" s="641"/>
      <c r="BA24" s="37"/>
      <c r="BB24" s="37"/>
      <c r="BC24" s="37"/>
      <c r="BD24" s="37"/>
      <c r="BE24" s="37"/>
      <c r="BF24" s="37"/>
      <c r="BG24" s="37"/>
      <c r="BH24" s="37"/>
      <c r="BI24" s="37"/>
      <c r="BJ24" s="37"/>
      <c r="BK24" s="37"/>
      <c r="BL24" s="37"/>
      <c r="BM24" s="38"/>
    </row>
    <row r="25" spans="1:65" ht="15.75" customHeight="1">
      <c r="A25" s="40"/>
      <c r="B25" s="33"/>
      <c r="C25" s="34"/>
      <c r="D25" s="34"/>
      <c r="E25" s="34"/>
      <c r="F25" s="2"/>
      <c r="G25" s="2"/>
      <c r="H25" s="35"/>
      <c r="I25" s="2"/>
      <c r="J25" s="2"/>
      <c r="K25" s="2"/>
      <c r="L25" s="2"/>
      <c r="M25" s="2"/>
      <c r="N25" s="2"/>
      <c r="O25" s="2"/>
      <c r="P25" s="2"/>
      <c r="Q25" s="2"/>
      <c r="R25" s="37"/>
      <c r="S25" s="37"/>
      <c r="T25" s="37"/>
      <c r="U25" s="37"/>
      <c r="V25" s="37"/>
      <c r="W25" s="37"/>
      <c r="X25" s="38"/>
      <c r="Y25" s="39"/>
      <c r="Z25" s="37"/>
      <c r="AA25" s="37"/>
      <c r="AB25" s="37"/>
      <c r="AC25" s="37"/>
      <c r="AD25" s="37"/>
      <c r="AE25" s="37"/>
      <c r="AF25" s="37"/>
      <c r="AG25" s="37"/>
      <c r="AH25" s="37"/>
      <c r="AI25" s="37"/>
      <c r="AJ25" s="37"/>
      <c r="AK25" s="37"/>
      <c r="AL25" s="37"/>
      <c r="AM25" s="37"/>
      <c r="AN25" s="37"/>
      <c r="AO25" s="37"/>
      <c r="AP25" s="37"/>
      <c r="AQ25" s="37"/>
      <c r="AR25" s="38"/>
      <c r="AS25" s="639"/>
      <c r="AT25" s="640"/>
      <c r="AU25" s="640"/>
      <c r="AV25" s="640"/>
      <c r="AW25" s="640"/>
      <c r="AX25" s="640"/>
      <c r="AY25" s="640"/>
      <c r="AZ25" s="641"/>
      <c r="BA25" s="37"/>
      <c r="BB25" s="37"/>
      <c r="BC25" s="37"/>
      <c r="BD25" s="37"/>
      <c r="BE25" s="37"/>
      <c r="BF25" s="37"/>
      <c r="BG25" s="37"/>
      <c r="BH25" s="37"/>
      <c r="BI25" s="37"/>
      <c r="BJ25" s="37"/>
      <c r="BK25" s="37"/>
      <c r="BL25" s="37"/>
      <c r="BM25" s="38"/>
    </row>
    <row r="26" spans="1:65" ht="15.75" customHeight="1">
      <c r="A26" s="40"/>
      <c r="B26" s="33"/>
      <c r="C26" s="34"/>
      <c r="D26" s="34"/>
      <c r="E26" s="34"/>
      <c r="F26" s="2"/>
      <c r="G26" s="2"/>
      <c r="H26" s="35"/>
      <c r="I26" s="2"/>
      <c r="J26" s="2"/>
      <c r="K26" s="2"/>
      <c r="L26" s="2"/>
      <c r="M26" s="2"/>
      <c r="N26" s="2"/>
      <c r="O26" s="2"/>
      <c r="P26" s="2"/>
      <c r="Q26" s="2"/>
      <c r="R26" s="37"/>
      <c r="S26" s="37"/>
      <c r="T26" s="37"/>
      <c r="U26" s="37"/>
      <c r="V26" s="37"/>
      <c r="W26" s="37"/>
      <c r="X26" s="38"/>
      <c r="Y26" s="39"/>
      <c r="Z26" s="37"/>
      <c r="AA26" s="37"/>
      <c r="AB26" s="37"/>
      <c r="AC26" s="37"/>
      <c r="AD26" s="37"/>
      <c r="AE26" s="37"/>
      <c r="AF26" s="37"/>
      <c r="AG26" s="37"/>
      <c r="AH26" s="37"/>
      <c r="AI26" s="37"/>
      <c r="AJ26" s="37"/>
      <c r="AK26" s="37"/>
      <c r="AL26" s="37"/>
      <c r="AM26" s="37"/>
      <c r="AN26" s="37"/>
      <c r="AO26" s="37"/>
      <c r="AP26" s="37"/>
      <c r="AQ26" s="37"/>
      <c r="AR26" s="38"/>
      <c r="AS26" s="639"/>
      <c r="AT26" s="640"/>
      <c r="AU26" s="640"/>
      <c r="AV26" s="640"/>
      <c r="AW26" s="640"/>
      <c r="AX26" s="640"/>
      <c r="AY26" s="640"/>
      <c r="AZ26" s="641"/>
      <c r="BA26" s="37"/>
      <c r="BB26" s="37"/>
      <c r="BC26" s="37"/>
      <c r="BD26" s="37"/>
      <c r="BE26" s="37"/>
      <c r="BF26" s="37"/>
      <c r="BG26" s="37"/>
      <c r="BH26" s="37"/>
      <c r="BI26" s="37"/>
      <c r="BJ26" s="37"/>
      <c r="BK26" s="37"/>
      <c r="BL26" s="37"/>
      <c r="BM26" s="38"/>
    </row>
    <row r="27" spans="1:65" ht="15.75" customHeight="1">
      <c r="A27" s="40"/>
      <c r="B27" s="33"/>
      <c r="C27" s="34"/>
      <c r="D27" s="34"/>
      <c r="E27" s="34"/>
      <c r="F27" s="2"/>
      <c r="G27" s="2"/>
      <c r="H27" s="35"/>
      <c r="I27" s="2"/>
      <c r="J27" s="2"/>
      <c r="K27" s="2"/>
      <c r="L27" s="2"/>
      <c r="M27" s="2"/>
      <c r="N27" s="2"/>
      <c r="O27" s="2"/>
      <c r="P27" s="2"/>
      <c r="Q27" s="2"/>
      <c r="R27" s="37"/>
      <c r="S27" s="37"/>
      <c r="T27" s="37"/>
      <c r="U27" s="37"/>
      <c r="V27" s="37"/>
      <c r="W27" s="37"/>
      <c r="X27" s="38"/>
      <c r="Y27" s="39"/>
      <c r="Z27" s="37"/>
      <c r="AA27" s="37"/>
      <c r="AB27" s="37"/>
      <c r="AC27" s="37"/>
      <c r="AD27" s="37"/>
      <c r="AE27" s="37"/>
      <c r="AF27" s="37"/>
      <c r="AG27" s="37"/>
      <c r="AH27" s="37"/>
      <c r="AI27" s="37"/>
      <c r="AJ27" s="37"/>
      <c r="AK27" s="37"/>
      <c r="AL27" s="37"/>
      <c r="AM27" s="37"/>
      <c r="AN27" s="37"/>
      <c r="AO27" s="37"/>
      <c r="AP27" s="37"/>
      <c r="AQ27" s="37"/>
      <c r="AR27" s="38"/>
      <c r="AS27" s="639"/>
      <c r="AT27" s="640"/>
      <c r="AU27" s="640"/>
      <c r="AV27" s="640"/>
      <c r="AW27" s="640"/>
      <c r="AX27" s="640"/>
      <c r="AY27" s="640"/>
      <c r="AZ27" s="641"/>
      <c r="BA27" s="37"/>
      <c r="BB27" s="37"/>
      <c r="BC27" s="37"/>
      <c r="BD27" s="37"/>
      <c r="BE27" s="37"/>
      <c r="BF27" s="37"/>
      <c r="BG27" s="37"/>
      <c r="BH27" s="37"/>
      <c r="BI27" s="37"/>
      <c r="BJ27" s="37"/>
      <c r="BK27" s="37"/>
      <c r="BL27" s="37"/>
      <c r="BM27" s="38"/>
    </row>
    <row r="28" spans="1:65" ht="15.75" customHeight="1">
      <c r="A28" s="40"/>
      <c r="B28" s="33"/>
      <c r="C28" s="34"/>
      <c r="D28" s="34"/>
      <c r="E28" s="34"/>
      <c r="F28" s="2"/>
      <c r="G28" s="2"/>
      <c r="H28" s="35"/>
      <c r="I28" s="2"/>
      <c r="J28" s="2"/>
      <c r="K28" s="2"/>
      <c r="L28" s="2"/>
      <c r="M28" s="2"/>
      <c r="N28" s="2"/>
      <c r="O28" s="2"/>
      <c r="P28" s="2"/>
      <c r="Q28" s="2"/>
      <c r="R28" s="37"/>
      <c r="S28" s="37"/>
      <c r="T28" s="37"/>
      <c r="U28" s="37"/>
      <c r="V28" s="37"/>
      <c r="W28" s="37"/>
      <c r="X28" s="38"/>
      <c r="Y28" s="39"/>
      <c r="Z28" s="37"/>
      <c r="AA28" s="37"/>
      <c r="AB28" s="37"/>
      <c r="AC28" s="37"/>
      <c r="AD28" s="37"/>
      <c r="AE28" s="37"/>
      <c r="AF28" s="37"/>
      <c r="AG28" s="37"/>
      <c r="AH28" s="37"/>
      <c r="AI28" s="37"/>
      <c r="AJ28" s="37"/>
      <c r="AK28" s="37"/>
      <c r="AL28" s="37"/>
      <c r="AM28" s="37"/>
      <c r="AN28" s="37"/>
      <c r="AO28" s="37"/>
      <c r="AP28" s="37"/>
      <c r="AQ28" s="37"/>
      <c r="AR28" s="38"/>
      <c r="AS28" s="639"/>
      <c r="AT28" s="640"/>
      <c r="AU28" s="640"/>
      <c r="AV28" s="640"/>
      <c r="AW28" s="640"/>
      <c r="AX28" s="640"/>
      <c r="AY28" s="640"/>
      <c r="AZ28" s="641"/>
      <c r="BA28" s="37"/>
      <c r="BB28" s="37"/>
      <c r="BC28" s="37"/>
      <c r="BD28" s="37"/>
      <c r="BE28" s="37"/>
      <c r="BF28" s="37"/>
      <c r="BG28" s="37"/>
      <c r="BH28" s="37"/>
      <c r="BI28" s="37"/>
      <c r="BJ28" s="37"/>
      <c r="BK28" s="37"/>
      <c r="BL28" s="37"/>
      <c r="BM28" s="38"/>
    </row>
    <row r="29" spans="1:65" ht="15.75" customHeight="1">
      <c r="A29" s="40"/>
      <c r="B29" s="33"/>
      <c r="C29" s="34"/>
      <c r="D29" s="34"/>
      <c r="E29" s="34"/>
      <c r="F29" s="2"/>
      <c r="G29" s="2"/>
      <c r="H29" s="35"/>
      <c r="I29" s="2"/>
      <c r="J29" s="2"/>
      <c r="K29" s="2"/>
      <c r="L29" s="2"/>
      <c r="M29" s="2"/>
      <c r="N29" s="2"/>
      <c r="O29" s="2"/>
      <c r="P29" s="2"/>
      <c r="Q29" s="2"/>
      <c r="R29" s="37"/>
      <c r="S29" s="37"/>
      <c r="T29" s="37"/>
      <c r="U29" s="37"/>
      <c r="V29" s="37"/>
      <c r="W29" s="37"/>
      <c r="X29" s="38"/>
      <c r="Y29" s="39"/>
      <c r="Z29" s="37"/>
      <c r="AA29" s="37"/>
      <c r="AB29" s="37"/>
      <c r="AC29" s="37"/>
      <c r="AD29" s="37"/>
      <c r="AE29" s="37"/>
      <c r="AF29" s="37"/>
      <c r="AG29" s="37"/>
      <c r="AH29" s="37"/>
      <c r="AI29" s="37"/>
      <c r="AJ29" s="37"/>
      <c r="AK29" s="37"/>
      <c r="AL29" s="37"/>
      <c r="AM29" s="37"/>
      <c r="AN29" s="37"/>
      <c r="AO29" s="37"/>
      <c r="AP29" s="37"/>
      <c r="AQ29" s="37"/>
      <c r="AR29" s="38"/>
      <c r="AS29" s="639"/>
      <c r="AT29" s="640"/>
      <c r="AU29" s="640"/>
      <c r="AV29" s="640"/>
      <c r="AW29" s="640"/>
      <c r="AX29" s="640"/>
      <c r="AY29" s="640"/>
      <c r="AZ29" s="641"/>
      <c r="BA29" s="37"/>
      <c r="BB29" s="37"/>
      <c r="BC29" s="37"/>
      <c r="BD29" s="37"/>
      <c r="BE29" s="37"/>
      <c r="BF29" s="37"/>
      <c r="BG29" s="37"/>
      <c r="BH29" s="37"/>
      <c r="BI29" s="37"/>
      <c r="BJ29" s="37"/>
      <c r="BK29" s="37"/>
      <c r="BL29" s="37"/>
      <c r="BM29" s="38"/>
    </row>
    <row r="30" spans="1:65" ht="15.75" customHeight="1">
      <c r="A30" s="40"/>
      <c r="B30" s="33"/>
      <c r="C30" s="34"/>
      <c r="D30" s="34"/>
      <c r="E30" s="34"/>
      <c r="F30" s="2"/>
      <c r="G30" s="2"/>
      <c r="H30" s="35"/>
      <c r="I30" s="2"/>
      <c r="J30" s="2"/>
      <c r="K30" s="2"/>
      <c r="L30" s="2"/>
      <c r="M30" s="2"/>
      <c r="N30" s="2"/>
      <c r="O30" s="2"/>
      <c r="P30" s="2"/>
      <c r="Q30" s="2"/>
      <c r="R30" s="37"/>
      <c r="S30" s="37"/>
      <c r="T30" s="37"/>
      <c r="U30" s="37"/>
      <c r="V30" s="37"/>
      <c r="W30" s="37"/>
      <c r="X30" s="38"/>
      <c r="Y30" s="39"/>
      <c r="Z30" s="37"/>
      <c r="AA30" s="37"/>
      <c r="AB30" s="37"/>
      <c r="AC30" s="37"/>
      <c r="AD30" s="37"/>
      <c r="AE30" s="37"/>
      <c r="AF30" s="37"/>
      <c r="AG30" s="37"/>
      <c r="AH30" s="37"/>
      <c r="AI30" s="37"/>
      <c r="AJ30" s="37"/>
      <c r="AK30" s="37"/>
      <c r="AL30" s="37"/>
      <c r="AM30" s="37"/>
      <c r="AN30" s="37"/>
      <c r="AO30" s="37"/>
      <c r="AP30" s="37"/>
      <c r="AQ30" s="37"/>
      <c r="AR30" s="38"/>
      <c r="AS30" s="639"/>
      <c r="AT30" s="640"/>
      <c r="AU30" s="640"/>
      <c r="AV30" s="640"/>
      <c r="AW30" s="640"/>
      <c r="AX30" s="640"/>
      <c r="AY30" s="640"/>
      <c r="AZ30" s="641"/>
      <c r="BA30" s="37"/>
      <c r="BB30" s="37"/>
      <c r="BC30" s="37"/>
      <c r="BD30" s="37"/>
      <c r="BE30" s="37"/>
      <c r="BF30" s="37"/>
      <c r="BG30" s="37"/>
      <c r="BH30" s="37"/>
      <c r="BI30" s="37"/>
      <c r="BJ30" s="37"/>
      <c r="BK30" s="37"/>
      <c r="BL30" s="37"/>
      <c r="BM30" s="38"/>
    </row>
    <row r="31" spans="1:65" ht="15.75" customHeight="1">
      <c r="A31" s="40"/>
      <c r="B31" s="33"/>
      <c r="C31" s="34"/>
      <c r="D31" s="34"/>
      <c r="E31" s="34"/>
      <c r="F31" s="2"/>
      <c r="G31" s="2"/>
      <c r="H31" s="35"/>
      <c r="I31" s="2"/>
      <c r="J31" s="2"/>
      <c r="K31" s="2"/>
      <c r="L31" s="2"/>
      <c r="M31" s="2"/>
      <c r="N31" s="2"/>
      <c r="O31" s="2"/>
      <c r="P31" s="2"/>
      <c r="Q31" s="2"/>
      <c r="R31" s="37"/>
      <c r="S31" s="37"/>
      <c r="T31" s="37"/>
      <c r="U31" s="37"/>
      <c r="V31" s="37"/>
      <c r="W31" s="37"/>
      <c r="X31" s="38"/>
      <c r="Y31" s="39"/>
      <c r="Z31" s="37"/>
      <c r="AA31" s="37"/>
      <c r="AB31" s="37"/>
      <c r="AC31" s="37"/>
      <c r="AD31" s="37"/>
      <c r="AE31" s="37"/>
      <c r="AF31" s="37"/>
      <c r="AG31" s="37"/>
      <c r="AH31" s="37"/>
      <c r="AI31" s="37"/>
      <c r="AJ31" s="37"/>
      <c r="AK31" s="37"/>
      <c r="AL31" s="37"/>
      <c r="AM31" s="37"/>
      <c r="AN31" s="37"/>
      <c r="AO31" s="37"/>
      <c r="AP31" s="37"/>
      <c r="AQ31" s="37"/>
      <c r="AR31" s="38"/>
      <c r="AS31" s="639"/>
      <c r="AT31" s="640"/>
      <c r="AU31" s="640"/>
      <c r="AV31" s="640"/>
      <c r="AW31" s="640"/>
      <c r="AX31" s="640"/>
      <c r="AY31" s="640"/>
      <c r="AZ31" s="641"/>
      <c r="BA31" s="37"/>
      <c r="BB31" s="37"/>
      <c r="BC31" s="37"/>
      <c r="BD31" s="37"/>
      <c r="BE31" s="37"/>
      <c r="BF31" s="37"/>
      <c r="BG31" s="37"/>
      <c r="BH31" s="37"/>
      <c r="BI31" s="37"/>
      <c r="BJ31" s="37"/>
      <c r="BK31" s="37"/>
      <c r="BL31" s="37"/>
      <c r="BM31" s="38"/>
    </row>
    <row r="32" spans="1:65" ht="15.75" customHeight="1">
      <c r="A32" s="40"/>
      <c r="B32" s="33"/>
      <c r="C32" s="34"/>
      <c r="D32" s="34"/>
      <c r="E32" s="34"/>
      <c r="F32" s="2"/>
      <c r="G32" s="2"/>
      <c r="H32" s="35"/>
      <c r="I32" s="2"/>
      <c r="J32" s="2"/>
      <c r="K32" s="2"/>
      <c r="L32" s="2"/>
      <c r="M32" s="2"/>
      <c r="N32" s="2"/>
      <c r="O32" s="2"/>
      <c r="P32" s="2"/>
      <c r="Q32" s="2"/>
      <c r="R32" s="37"/>
      <c r="S32" s="37"/>
      <c r="T32" s="37"/>
      <c r="U32" s="37"/>
      <c r="V32" s="37"/>
      <c r="W32" s="37"/>
      <c r="X32" s="38"/>
      <c r="Y32" s="39"/>
      <c r="Z32" s="37"/>
      <c r="AA32" s="37"/>
      <c r="AB32" s="37"/>
      <c r="AC32" s="37"/>
      <c r="AD32" s="37"/>
      <c r="AE32" s="37"/>
      <c r="AF32" s="37"/>
      <c r="AG32" s="37"/>
      <c r="AH32" s="37"/>
      <c r="AI32" s="37"/>
      <c r="AJ32" s="37"/>
      <c r="AK32" s="37"/>
      <c r="AL32" s="37"/>
      <c r="AM32" s="37"/>
      <c r="AN32" s="37"/>
      <c r="AO32" s="37"/>
      <c r="AP32" s="37"/>
      <c r="AQ32" s="37"/>
      <c r="AR32" s="38"/>
      <c r="AS32" s="639"/>
      <c r="AT32" s="640"/>
      <c r="AU32" s="640"/>
      <c r="AV32" s="640"/>
      <c r="AW32" s="640"/>
      <c r="AX32" s="640"/>
      <c r="AY32" s="640"/>
      <c r="AZ32" s="641"/>
      <c r="BA32" s="37"/>
      <c r="BB32" s="37"/>
      <c r="BC32" s="37"/>
      <c r="BD32" s="37"/>
      <c r="BE32" s="37"/>
      <c r="BF32" s="37"/>
      <c r="BG32" s="37"/>
      <c r="BH32" s="37"/>
      <c r="BI32" s="37"/>
      <c r="BJ32" s="37"/>
      <c r="BK32" s="37"/>
      <c r="BL32" s="37"/>
      <c r="BM32" s="38"/>
    </row>
    <row r="33" spans="1:65" ht="15.75" customHeight="1">
      <c r="A33" s="41"/>
      <c r="B33" s="42"/>
      <c r="C33" s="43"/>
      <c r="D33" s="43"/>
      <c r="E33" s="43"/>
      <c r="F33" s="44"/>
      <c r="G33" s="44"/>
      <c r="H33" s="45"/>
      <c r="I33" s="44"/>
      <c r="J33" s="44"/>
      <c r="K33" s="44"/>
      <c r="L33" s="44"/>
      <c r="M33" s="44"/>
      <c r="N33" s="44"/>
      <c r="O33" s="44"/>
      <c r="P33" s="44"/>
      <c r="Q33" s="44"/>
      <c r="R33" s="46"/>
      <c r="S33" s="46"/>
      <c r="T33" s="46"/>
      <c r="U33" s="46"/>
      <c r="V33" s="46"/>
      <c r="W33" s="46"/>
      <c r="X33" s="47"/>
      <c r="Y33" s="48"/>
      <c r="Z33" s="46"/>
      <c r="AA33" s="46"/>
      <c r="AB33" s="46"/>
      <c r="AC33" s="46"/>
      <c r="AD33" s="46"/>
      <c r="AE33" s="46"/>
      <c r="AF33" s="46"/>
      <c r="AG33" s="46"/>
      <c r="AH33" s="46"/>
      <c r="AI33" s="46"/>
      <c r="AJ33" s="46"/>
      <c r="AK33" s="46"/>
      <c r="AL33" s="46"/>
      <c r="AM33" s="46"/>
      <c r="AN33" s="46"/>
      <c r="AO33" s="46"/>
      <c r="AP33" s="46"/>
      <c r="AQ33" s="46"/>
      <c r="AR33" s="47"/>
      <c r="AS33" s="648"/>
      <c r="AT33" s="649"/>
      <c r="AU33" s="649"/>
      <c r="AV33" s="649"/>
      <c r="AW33" s="649"/>
      <c r="AX33" s="649"/>
      <c r="AY33" s="649"/>
      <c r="AZ33" s="650"/>
      <c r="BA33" s="46"/>
      <c r="BB33" s="46"/>
      <c r="BC33" s="46"/>
      <c r="BD33" s="46"/>
      <c r="BE33" s="46"/>
      <c r="BF33" s="46"/>
      <c r="BG33" s="46"/>
      <c r="BH33" s="46"/>
      <c r="BI33" s="46"/>
      <c r="BJ33" s="46"/>
      <c r="BK33" s="46"/>
      <c r="BL33" s="46"/>
      <c r="BM33" s="47"/>
    </row>
    <row r="34" spans="1:65" ht="15">
      <c r="A34" s="1"/>
      <c r="B34" s="49"/>
      <c r="C34" s="50"/>
      <c r="D34" s="50"/>
      <c r="E34" s="50"/>
      <c r="F34" s="51"/>
      <c r="G34" s="51"/>
      <c r="H34" s="51"/>
      <c r="I34" s="51"/>
      <c r="J34" s="50"/>
      <c r="K34" s="51"/>
      <c r="L34" s="51"/>
      <c r="M34" s="51"/>
      <c r="N34" s="51"/>
      <c r="O34" s="51"/>
      <c r="P34" s="51"/>
      <c r="Q34" s="52"/>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row>
    <row r="35" spans="1:65" s="51" customFormat="1" ht="15">
      <c r="A35" s="53" t="s">
        <v>111</v>
      </c>
      <c r="I35" s="54"/>
      <c r="J35" s="50"/>
      <c r="Q35" s="52"/>
    </row>
    <row r="36" spans="1:65" ht="15">
      <c r="A36" s="1"/>
      <c r="B36" s="49"/>
      <c r="C36" s="50"/>
      <c r="D36" s="50"/>
      <c r="E36" s="50"/>
      <c r="F36" s="51"/>
      <c r="G36" s="51"/>
      <c r="H36" s="51"/>
      <c r="I36" s="51"/>
      <c r="J36" s="50"/>
      <c r="K36" s="51"/>
      <c r="L36" s="51"/>
      <c r="M36" s="51"/>
      <c r="N36" s="51"/>
      <c r="O36" s="51"/>
      <c r="P36" s="51"/>
      <c r="Q36" s="52"/>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row>
    <row r="37" spans="1:65" ht="15">
      <c r="A37" s="1"/>
      <c r="B37" s="49"/>
      <c r="C37" s="50"/>
      <c r="D37" s="50"/>
      <c r="E37" s="50"/>
      <c r="F37" s="51"/>
      <c r="G37" s="51"/>
      <c r="H37" s="51"/>
      <c r="I37" s="51"/>
      <c r="J37" s="50"/>
      <c r="K37" s="51"/>
      <c r="L37" s="51"/>
      <c r="M37" s="51"/>
      <c r="N37" s="51"/>
      <c r="O37" s="51"/>
      <c r="P37" s="51"/>
      <c r="Q37" s="52"/>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row>
    <row r="38" spans="1:65" ht="15">
      <c r="A38" s="1"/>
      <c r="B38" s="49"/>
      <c r="C38" s="50"/>
      <c r="D38" s="50"/>
      <c r="E38" s="50"/>
      <c r="F38" s="51"/>
      <c r="G38" s="51"/>
      <c r="H38" s="51"/>
      <c r="I38" s="51"/>
      <c r="J38" s="50"/>
      <c r="K38" s="51"/>
      <c r="L38" s="51"/>
      <c r="M38" s="51"/>
      <c r="N38" s="51"/>
      <c r="O38" s="51"/>
      <c r="P38" s="51"/>
      <c r="Q38" s="52"/>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row>
  </sheetData>
  <mergeCells count="55">
    <mergeCell ref="AS29:AZ29"/>
    <mergeCell ref="AS30:AZ30"/>
    <mergeCell ref="AS31:AZ31"/>
    <mergeCell ref="AS32:AZ32"/>
    <mergeCell ref="AS33:AZ33"/>
    <mergeCell ref="AS28:AZ28"/>
    <mergeCell ref="AS17:AZ17"/>
    <mergeCell ref="AS18:AZ18"/>
    <mergeCell ref="AS19:AZ19"/>
    <mergeCell ref="AS20:AZ20"/>
    <mergeCell ref="AS21:AZ21"/>
    <mergeCell ref="AS22:AZ22"/>
    <mergeCell ref="AS23:AZ23"/>
    <mergeCell ref="AS24:AZ24"/>
    <mergeCell ref="AS25:AZ25"/>
    <mergeCell ref="AS26:AZ26"/>
    <mergeCell ref="AS27:AZ27"/>
    <mergeCell ref="AS16:AZ16"/>
    <mergeCell ref="A6:H6"/>
    <mergeCell ref="AS6:AZ6"/>
    <mergeCell ref="AS7:AZ7"/>
    <mergeCell ref="AS8:AZ8"/>
    <mergeCell ref="AS9:AZ9"/>
    <mergeCell ref="AS10:AZ10"/>
    <mergeCell ref="AS11:AZ11"/>
    <mergeCell ref="AS12:AZ12"/>
    <mergeCell ref="AS13:AZ13"/>
    <mergeCell ref="AS14:AZ14"/>
    <mergeCell ref="AS15:AZ15"/>
    <mergeCell ref="A5:H5"/>
    <mergeCell ref="I5:X5"/>
    <mergeCell ref="Y5:AR5"/>
    <mergeCell ref="AS5:AZ5"/>
    <mergeCell ref="BA5:BM5"/>
    <mergeCell ref="AU1:BA1"/>
    <mergeCell ref="BB1:BG1"/>
    <mergeCell ref="BH1:BM1"/>
    <mergeCell ref="K2:T2"/>
    <mergeCell ref="U2:Y2"/>
    <mergeCell ref="Z2:AF2"/>
    <mergeCell ref="AG2:AK2"/>
    <mergeCell ref="AL2:AT2"/>
    <mergeCell ref="AU2:BA3"/>
    <mergeCell ref="BB2:BG3"/>
    <mergeCell ref="AL1:AT1"/>
    <mergeCell ref="BH2:BM3"/>
    <mergeCell ref="K3:T3"/>
    <mergeCell ref="U3:Y3"/>
    <mergeCell ref="Z3:AF3"/>
    <mergeCell ref="AG3:AT3"/>
    <mergeCell ref="A1:J3"/>
    <mergeCell ref="K1:T1"/>
    <mergeCell ref="U1:Y1"/>
    <mergeCell ref="Z1:AF1"/>
    <mergeCell ref="AG1:AK1"/>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H139"/>
  <sheetViews>
    <sheetView showGridLines="0" showZeros="0" view="pageBreakPreview" zoomScaleNormal="70" zoomScaleSheetLayoutView="100" workbookViewId="0">
      <pane ySplit="4" topLeftCell="A5" activePane="bottomLeft" state="frozen"/>
      <selection pane="bottomLeft" sqref="A1:N3"/>
    </sheetView>
  </sheetViews>
  <sheetFormatPr defaultColWidth="2.125" defaultRowHeight="15.75" customHeight="1"/>
  <cols>
    <col min="1" max="2" width="2.125" style="11" customWidth="1"/>
    <col min="3" max="3" width="2.375" style="11" customWidth="1"/>
    <col min="4" max="4" width="2.125" style="11" customWidth="1"/>
    <col min="5" max="5" width="3" style="11" customWidth="1"/>
    <col min="6" max="16" width="2.125" style="11" customWidth="1"/>
    <col min="17" max="17" width="2.125" style="60" customWidth="1"/>
    <col min="18" max="63" width="2.125" style="11" customWidth="1"/>
    <col min="64" max="16384" width="2.125" style="11"/>
  </cols>
  <sheetData>
    <row r="1" spans="1:86" s="7" customFormat="1" ht="15.75" customHeight="1">
      <c r="A1" s="465" t="str">
        <f>表紙!$A$39</f>
        <v>mcframe 7</v>
      </c>
      <c r="B1" s="466"/>
      <c r="C1" s="466"/>
      <c r="D1" s="466"/>
      <c r="E1" s="466"/>
      <c r="F1" s="466"/>
      <c r="G1" s="466"/>
      <c r="H1" s="466"/>
      <c r="I1" s="466"/>
      <c r="J1" s="466"/>
      <c r="K1" s="466"/>
      <c r="L1" s="466"/>
      <c r="M1" s="466"/>
      <c r="N1" s="467"/>
      <c r="O1" s="473" t="s">
        <v>49</v>
      </c>
      <c r="P1" s="474"/>
      <c r="Q1" s="474"/>
      <c r="R1" s="474"/>
      <c r="S1" s="474"/>
      <c r="T1" s="474"/>
      <c r="U1" s="474"/>
      <c r="V1" s="474"/>
      <c r="W1" s="474"/>
      <c r="X1" s="474"/>
      <c r="Y1" s="474"/>
      <c r="Z1" s="474"/>
      <c r="AA1" s="474"/>
      <c r="AB1" s="474"/>
      <c r="AC1" s="496" t="s">
        <v>50</v>
      </c>
      <c r="AD1" s="494"/>
      <c r="AE1" s="494"/>
      <c r="AF1" s="494"/>
      <c r="AG1" s="494"/>
      <c r="AH1" s="494"/>
      <c r="AI1" s="495"/>
      <c r="AJ1" s="493" t="str">
        <f>表紙!$Z$39</f>
        <v>MG</v>
      </c>
      <c r="AK1" s="494"/>
      <c r="AL1" s="494"/>
      <c r="AM1" s="494"/>
      <c r="AN1" s="494"/>
      <c r="AO1" s="494"/>
      <c r="AP1" s="495"/>
      <c r="AQ1" s="496" t="s">
        <v>52</v>
      </c>
      <c r="AR1" s="494"/>
      <c r="AS1" s="494"/>
      <c r="AT1" s="494"/>
      <c r="AU1" s="494"/>
      <c r="AV1" s="494"/>
      <c r="AW1" s="495"/>
      <c r="AX1" s="493" t="str">
        <f>表紙!$AJ$39</f>
        <v>原価管理</v>
      </c>
      <c r="AY1" s="494"/>
      <c r="AZ1" s="494"/>
      <c r="BA1" s="494"/>
      <c r="BB1" s="494"/>
      <c r="BC1" s="494"/>
      <c r="BD1" s="494"/>
      <c r="BE1" s="494"/>
      <c r="BF1" s="494"/>
      <c r="BG1" s="494"/>
      <c r="BH1" s="494"/>
      <c r="BI1" s="494"/>
      <c r="BJ1" s="494"/>
      <c r="BK1" s="495"/>
      <c r="BL1" s="496" t="s">
        <v>6</v>
      </c>
      <c r="BM1" s="494"/>
      <c r="BN1" s="494"/>
      <c r="BO1" s="494"/>
      <c r="BP1" s="494"/>
      <c r="BQ1" s="494"/>
      <c r="BR1" s="494"/>
      <c r="BS1" s="494"/>
      <c r="BT1" s="495"/>
      <c r="BU1" s="527" t="s">
        <v>39</v>
      </c>
      <c r="BV1" s="528"/>
      <c r="BW1" s="528"/>
      <c r="BX1" s="528"/>
      <c r="BY1" s="528"/>
      <c r="BZ1" s="528"/>
      <c r="CA1" s="529"/>
      <c r="CB1" s="527" t="s">
        <v>53</v>
      </c>
      <c r="CC1" s="528"/>
      <c r="CD1" s="528"/>
      <c r="CE1" s="528"/>
      <c r="CF1" s="528"/>
      <c r="CG1" s="528"/>
      <c r="CH1" s="530"/>
    </row>
    <row r="2" spans="1:86" s="7" customFormat="1" ht="15">
      <c r="A2" s="468"/>
      <c r="B2" s="469"/>
      <c r="C2" s="469"/>
      <c r="D2" s="469"/>
      <c r="E2" s="469"/>
      <c r="F2" s="469"/>
      <c r="G2" s="469"/>
      <c r="H2" s="469"/>
      <c r="I2" s="469"/>
      <c r="J2" s="469"/>
      <c r="K2" s="469"/>
      <c r="L2" s="469"/>
      <c r="M2" s="469"/>
      <c r="N2" s="470"/>
      <c r="O2" s="498" t="str">
        <f>文書名</f>
        <v>バッチ説明書</v>
      </c>
      <c r="P2" s="440"/>
      <c r="Q2" s="440"/>
      <c r="R2" s="440"/>
      <c r="S2" s="440"/>
      <c r="T2" s="440"/>
      <c r="U2" s="440"/>
      <c r="V2" s="440"/>
      <c r="W2" s="440"/>
      <c r="X2" s="440"/>
      <c r="Y2" s="440"/>
      <c r="Z2" s="440"/>
      <c r="AA2" s="440"/>
      <c r="AB2" s="440"/>
      <c r="AC2" s="505" t="s">
        <v>62</v>
      </c>
      <c r="AD2" s="503"/>
      <c r="AE2" s="503"/>
      <c r="AF2" s="503"/>
      <c r="AG2" s="503"/>
      <c r="AH2" s="503"/>
      <c r="AI2" s="504"/>
      <c r="AJ2" s="502" t="str">
        <f>表紙!$Z$40</f>
        <v>MGBG</v>
      </c>
      <c r="AK2" s="524"/>
      <c r="AL2" s="524"/>
      <c r="AM2" s="524"/>
      <c r="AN2" s="524"/>
      <c r="AO2" s="524"/>
      <c r="AP2" s="525"/>
      <c r="AQ2" s="505" t="s">
        <v>63</v>
      </c>
      <c r="AR2" s="503"/>
      <c r="AS2" s="503"/>
      <c r="AT2" s="503"/>
      <c r="AU2" s="503"/>
      <c r="AV2" s="503"/>
      <c r="AW2" s="504"/>
      <c r="AX2" s="502" t="str">
        <f>表紙!$AJ$40</f>
        <v>配賦管理</v>
      </c>
      <c r="AY2" s="503"/>
      <c r="AZ2" s="503"/>
      <c r="BA2" s="503"/>
      <c r="BB2" s="503"/>
      <c r="BC2" s="503"/>
      <c r="BD2" s="503"/>
      <c r="BE2" s="503"/>
      <c r="BF2" s="503"/>
      <c r="BG2" s="503"/>
      <c r="BH2" s="503"/>
      <c r="BI2" s="503"/>
      <c r="BJ2" s="503"/>
      <c r="BK2" s="504"/>
      <c r="BL2" s="508" t="str">
        <f>文書番号</f>
        <v>M7-US-1311</v>
      </c>
      <c r="BM2" s="440"/>
      <c r="BN2" s="440"/>
      <c r="BO2" s="440"/>
      <c r="BP2" s="440"/>
      <c r="BQ2" s="440"/>
      <c r="BR2" s="440"/>
      <c r="BS2" s="440"/>
      <c r="BT2" s="441"/>
      <c r="BU2" s="508" t="str">
        <f>Version</f>
        <v>7.0.1</v>
      </c>
      <c r="BV2" s="440"/>
      <c r="BW2" s="440"/>
      <c r="BX2" s="440"/>
      <c r="BY2" s="440"/>
      <c r="BZ2" s="440"/>
      <c r="CA2" s="441"/>
      <c r="CB2" s="526" t="str">
        <f>Revision</f>
        <v>r01.01</v>
      </c>
      <c r="CC2" s="440"/>
      <c r="CD2" s="440"/>
      <c r="CE2" s="440"/>
      <c r="CF2" s="440"/>
      <c r="CG2" s="440"/>
      <c r="CH2" s="512"/>
    </row>
    <row r="3" spans="1:86" s="7" customFormat="1" ht="15" thickBot="1">
      <c r="A3" s="471"/>
      <c r="B3" s="630"/>
      <c r="C3" s="630"/>
      <c r="D3" s="630"/>
      <c r="E3" s="630"/>
      <c r="F3" s="630"/>
      <c r="G3" s="630"/>
      <c r="H3" s="630"/>
      <c r="I3" s="630"/>
      <c r="J3" s="630"/>
      <c r="K3" s="630"/>
      <c r="L3" s="630"/>
      <c r="M3" s="630"/>
      <c r="N3" s="472"/>
      <c r="O3" s="514" t="e">
        <f ca="1">RIGHT(CELL("filename",$A$1),LEN(CELL("filename",$A$1))-FIND("]",CELL("filename",$A$1)))</f>
        <v>#VALUE!</v>
      </c>
      <c r="P3" s="635"/>
      <c r="Q3" s="635"/>
      <c r="R3" s="635"/>
      <c r="S3" s="635"/>
      <c r="T3" s="635"/>
      <c r="U3" s="635"/>
      <c r="V3" s="635"/>
      <c r="W3" s="635"/>
      <c r="X3" s="635"/>
      <c r="Y3" s="635"/>
      <c r="Z3" s="635"/>
      <c r="AA3" s="635"/>
      <c r="AB3" s="635"/>
      <c r="AC3" s="531" t="s">
        <v>58</v>
      </c>
      <c r="AD3" s="520"/>
      <c r="AE3" s="520"/>
      <c r="AF3" s="520"/>
      <c r="AG3" s="520"/>
      <c r="AH3" s="520"/>
      <c r="AI3" s="532"/>
      <c r="AJ3" s="519" t="str">
        <f>表紙!$Z$41</f>
        <v>MGBGB0020</v>
      </c>
      <c r="AK3" s="533"/>
      <c r="AL3" s="533"/>
      <c r="AM3" s="533"/>
      <c r="AN3" s="533"/>
      <c r="AO3" s="533"/>
      <c r="AP3" s="533"/>
      <c r="AQ3" s="534" t="str">
        <f>表紙!$AE$41</f>
        <v>配賦費用実績ＩＦ取込バッチ</v>
      </c>
      <c r="AR3" s="535"/>
      <c r="AS3" s="535"/>
      <c r="AT3" s="535"/>
      <c r="AU3" s="535"/>
      <c r="AV3" s="535"/>
      <c r="AW3" s="535"/>
      <c r="AX3" s="535"/>
      <c r="AY3" s="535"/>
      <c r="AZ3" s="535"/>
      <c r="BA3" s="535"/>
      <c r="BB3" s="535"/>
      <c r="BC3" s="535"/>
      <c r="BD3" s="535"/>
      <c r="BE3" s="535"/>
      <c r="BF3" s="535"/>
      <c r="BG3" s="535"/>
      <c r="BH3" s="535"/>
      <c r="BI3" s="535"/>
      <c r="BJ3" s="535"/>
      <c r="BK3" s="536"/>
      <c r="BL3" s="509"/>
      <c r="BM3" s="633"/>
      <c r="BN3" s="633"/>
      <c r="BO3" s="633"/>
      <c r="BP3" s="633"/>
      <c r="BQ3" s="633"/>
      <c r="BR3" s="633"/>
      <c r="BS3" s="633"/>
      <c r="BT3" s="510"/>
      <c r="BU3" s="509"/>
      <c r="BV3" s="633"/>
      <c r="BW3" s="633"/>
      <c r="BX3" s="633"/>
      <c r="BY3" s="633"/>
      <c r="BZ3" s="633"/>
      <c r="CA3" s="510"/>
      <c r="CB3" s="509"/>
      <c r="CC3" s="633"/>
      <c r="CD3" s="633"/>
      <c r="CE3" s="633"/>
      <c r="CF3" s="633"/>
      <c r="CG3" s="633"/>
      <c r="CH3" s="513"/>
    </row>
    <row r="4" spans="1:86" s="7" customFormat="1" ht="6.75" customHeight="1" thickBot="1">
      <c r="B4" s="3"/>
      <c r="C4" s="4"/>
      <c r="D4" s="4"/>
      <c r="E4" s="4"/>
      <c r="F4" s="5"/>
      <c r="G4" s="5"/>
      <c r="H4" s="5"/>
      <c r="I4" s="5"/>
      <c r="J4" s="4"/>
      <c r="K4" s="5"/>
      <c r="L4" s="5"/>
      <c r="M4" s="5"/>
      <c r="N4" s="5"/>
      <c r="O4" s="5"/>
      <c r="P4" s="5"/>
      <c r="Q4" s="6"/>
    </row>
    <row r="5" spans="1:86" s="58" customFormat="1" ht="15.75" customHeight="1">
      <c r="A5" s="55"/>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t="s">
        <v>112</v>
      </c>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7"/>
    </row>
    <row r="6" spans="1:86" ht="15.75" customHeight="1">
      <c r="A6" s="59"/>
      <c r="Q6" s="11"/>
      <c r="S6" s="60"/>
      <c r="CH6" s="61"/>
    </row>
    <row r="7" spans="1:86" ht="15.75" customHeight="1">
      <c r="A7" s="59"/>
      <c r="B7" s="10" t="s">
        <v>113</v>
      </c>
      <c r="CH7" s="61"/>
    </row>
    <row r="8" spans="1:86" ht="15.75" customHeight="1">
      <c r="A8" s="59"/>
      <c r="C8" s="11" t="s">
        <v>114</v>
      </c>
      <c r="CH8" s="61"/>
    </row>
    <row r="9" spans="1:86" ht="15.75" customHeight="1">
      <c r="A9" s="59"/>
      <c r="CH9" s="61"/>
    </row>
    <row r="10" spans="1:86" ht="15.75" customHeight="1">
      <c r="A10" s="59"/>
      <c r="B10" s="10" t="s">
        <v>115</v>
      </c>
      <c r="CH10" s="61"/>
    </row>
    <row r="11" spans="1:86" ht="15.75" customHeight="1">
      <c r="A11" s="59"/>
      <c r="B11" s="10"/>
      <c r="C11" s="11" t="s">
        <v>116</v>
      </c>
      <c r="CH11" s="61"/>
    </row>
    <row r="12" spans="1:86" ht="15.75" customHeight="1">
      <c r="A12" s="59"/>
      <c r="CH12" s="61"/>
    </row>
    <row r="13" spans="1:86" ht="15.6" customHeight="1">
      <c r="A13" s="59"/>
      <c r="B13" s="10" t="s">
        <v>117</v>
      </c>
      <c r="CH13" s="61"/>
    </row>
    <row r="14" spans="1:86" ht="15.75" customHeight="1">
      <c r="A14" s="59"/>
      <c r="CH14" s="61"/>
    </row>
    <row r="15" spans="1:86" ht="15.75" customHeight="1">
      <c r="A15" s="59"/>
      <c r="C15" s="62" t="s">
        <v>118</v>
      </c>
      <c r="D15" s="63"/>
      <c r="E15" s="63"/>
      <c r="F15" s="63"/>
      <c r="G15" s="63"/>
      <c r="H15" s="63"/>
      <c r="I15" s="63"/>
      <c r="J15" s="63"/>
      <c r="K15" s="63"/>
      <c r="L15" s="63"/>
      <c r="M15" s="63"/>
      <c r="N15" s="64"/>
      <c r="O15" s="62" t="s">
        <v>119</v>
      </c>
      <c r="P15" s="63"/>
      <c r="Q15" s="63"/>
      <c r="R15" s="63"/>
      <c r="S15" s="63"/>
      <c r="T15" s="65"/>
      <c r="U15" s="65"/>
      <c r="V15" s="65"/>
      <c r="W15" s="63"/>
      <c r="X15" s="63"/>
      <c r="Y15" s="63"/>
      <c r="Z15" s="63"/>
      <c r="AA15" s="63"/>
      <c r="AB15" s="63"/>
      <c r="AC15" s="62" t="s">
        <v>120</v>
      </c>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2" t="s">
        <v>121</v>
      </c>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4"/>
      <c r="CH15" s="61"/>
    </row>
    <row r="16" spans="1:86" ht="15.75" customHeight="1">
      <c r="A16" s="59"/>
      <c r="C16" s="66" t="s">
        <v>122</v>
      </c>
      <c r="D16" s="67"/>
      <c r="E16" s="67"/>
      <c r="F16" s="67"/>
      <c r="G16" s="67"/>
      <c r="H16" s="67"/>
      <c r="I16" s="67"/>
      <c r="J16" s="67"/>
      <c r="K16" s="67"/>
      <c r="L16" s="67"/>
      <c r="M16" s="67"/>
      <c r="N16" s="68"/>
      <c r="O16" s="69" t="s">
        <v>123</v>
      </c>
      <c r="P16" s="67"/>
      <c r="Q16" s="67"/>
      <c r="R16" s="67"/>
      <c r="S16" s="67"/>
      <c r="T16" s="67"/>
      <c r="U16" s="67"/>
      <c r="V16" s="67"/>
      <c r="W16" s="67"/>
      <c r="X16" s="67"/>
      <c r="Y16" s="67"/>
      <c r="Z16" s="67"/>
      <c r="AA16" s="67"/>
      <c r="AB16" s="67"/>
      <c r="AC16" s="69"/>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9" t="s">
        <v>124</v>
      </c>
      <c r="BG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8"/>
      <c r="CH16" s="61"/>
    </row>
    <row r="17" spans="1:86" ht="15.75" customHeight="1">
      <c r="A17" s="59"/>
      <c r="C17" s="70" t="s">
        <v>125</v>
      </c>
      <c r="N17" s="71"/>
      <c r="O17" s="72" t="s">
        <v>126</v>
      </c>
      <c r="Q17" s="11"/>
      <c r="AB17" s="71"/>
      <c r="AC17" s="72"/>
      <c r="BF17" s="72" t="s">
        <v>127</v>
      </c>
      <c r="CG17" s="71"/>
      <c r="CH17" s="61"/>
    </row>
    <row r="18" spans="1:86" ht="15.75" customHeight="1">
      <c r="A18" s="59"/>
      <c r="C18" s="76"/>
      <c r="D18" s="74"/>
      <c r="E18" s="74"/>
      <c r="F18" s="74"/>
      <c r="G18" s="74"/>
      <c r="H18" s="74"/>
      <c r="I18" s="74"/>
      <c r="J18" s="74"/>
      <c r="K18" s="74"/>
      <c r="L18" s="74"/>
      <c r="M18" s="74"/>
      <c r="N18" s="75"/>
      <c r="O18" s="73"/>
      <c r="P18" s="74"/>
      <c r="Q18" s="74"/>
      <c r="R18" s="74"/>
      <c r="S18" s="74"/>
      <c r="T18" s="74"/>
      <c r="U18" s="74"/>
      <c r="V18" s="74"/>
      <c r="W18" s="74"/>
      <c r="X18" s="74"/>
      <c r="Y18" s="74"/>
      <c r="Z18" s="74"/>
      <c r="AA18" s="74"/>
      <c r="AB18" s="75"/>
      <c r="AC18" s="73"/>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3"/>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5"/>
      <c r="CH18" s="61"/>
    </row>
    <row r="19" spans="1:86" ht="15.75" customHeight="1">
      <c r="A19" s="59"/>
      <c r="CH19" s="61"/>
    </row>
    <row r="20" spans="1:86" ht="15.75" customHeight="1">
      <c r="A20" s="59"/>
      <c r="B20" s="10" t="s">
        <v>128</v>
      </c>
      <c r="CH20" s="61"/>
    </row>
    <row r="21" spans="1:86" ht="15.75" customHeight="1">
      <c r="A21" s="59"/>
      <c r="C21" s="62" t="s">
        <v>129</v>
      </c>
      <c r="D21" s="63"/>
      <c r="E21" s="63"/>
      <c r="F21" s="63"/>
      <c r="G21" s="63"/>
      <c r="H21" s="63"/>
      <c r="I21" s="63"/>
      <c r="J21" s="63"/>
      <c r="K21" s="63"/>
      <c r="L21" s="63"/>
      <c r="M21" s="63"/>
      <c r="N21" s="64"/>
      <c r="O21" s="77" t="s">
        <v>130</v>
      </c>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9"/>
      <c r="CH21" s="61"/>
    </row>
    <row r="22" spans="1:86" ht="15.75" customHeight="1">
      <c r="A22" s="59"/>
      <c r="B22" s="10"/>
      <c r="C22" s="62" t="s">
        <v>131</v>
      </c>
      <c r="D22" s="63"/>
      <c r="E22" s="63"/>
      <c r="F22" s="63"/>
      <c r="G22" s="63"/>
      <c r="H22" s="63"/>
      <c r="I22" s="63"/>
      <c r="J22" s="63"/>
      <c r="K22" s="63"/>
      <c r="L22" s="63"/>
      <c r="M22" s="63"/>
      <c r="N22" s="64"/>
      <c r="O22" s="77" t="s">
        <v>132</v>
      </c>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9"/>
      <c r="CH22" s="61"/>
    </row>
    <row r="23" spans="1:86" ht="15.75" customHeight="1">
      <c r="A23" s="59"/>
      <c r="B23" s="10"/>
      <c r="C23" s="62" t="s">
        <v>133</v>
      </c>
      <c r="D23" s="63"/>
      <c r="E23" s="63"/>
      <c r="F23" s="63"/>
      <c r="G23" s="63"/>
      <c r="H23" s="63"/>
      <c r="I23" s="63"/>
      <c r="J23" s="63"/>
      <c r="K23" s="63"/>
      <c r="L23" s="63"/>
      <c r="M23" s="63"/>
      <c r="N23" s="64"/>
      <c r="O23" s="651" t="s">
        <v>134</v>
      </c>
      <c r="P23" s="652"/>
      <c r="Q23" s="652"/>
      <c r="R23" s="652"/>
      <c r="S23" s="652"/>
      <c r="T23" s="652"/>
      <c r="U23" s="652"/>
      <c r="V23" s="652"/>
      <c r="W23" s="652"/>
      <c r="X23" s="652"/>
      <c r="Y23" s="652"/>
      <c r="Z23" s="652"/>
      <c r="AA23" s="652"/>
      <c r="AB23" s="652"/>
      <c r="AC23" s="652"/>
      <c r="AD23" s="652"/>
      <c r="AE23" s="652"/>
      <c r="AF23" s="652"/>
      <c r="AG23" s="652"/>
      <c r="AH23" s="652"/>
      <c r="AI23" s="652"/>
      <c r="AJ23" s="652"/>
      <c r="AK23" s="652"/>
      <c r="AL23" s="652"/>
      <c r="AM23" s="652"/>
      <c r="AN23" s="652"/>
      <c r="AO23" s="652"/>
      <c r="AP23" s="652"/>
      <c r="AQ23" s="652"/>
      <c r="AR23" s="652"/>
      <c r="AS23" s="652"/>
      <c r="AT23" s="652"/>
      <c r="AU23" s="652"/>
      <c r="AV23" s="652"/>
      <c r="AW23" s="652"/>
      <c r="AX23" s="652"/>
      <c r="AY23" s="652"/>
      <c r="AZ23" s="652"/>
      <c r="BA23" s="652"/>
      <c r="BB23" s="652"/>
      <c r="BC23" s="652"/>
      <c r="BD23" s="652"/>
      <c r="BE23" s="653"/>
      <c r="CH23" s="61"/>
    </row>
    <row r="24" spans="1:86" ht="15.75" customHeight="1">
      <c r="A24" s="59"/>
      <c r="CH24" s="61"/>
    </row>
    <row r="25" spans="1:86" ht="15.75" customHeight="1">
      <c r="A25" s="59"/>
      <c r="B25" s="10" t="s">
        <v>135</v>
      </c>
      <c r="CH25" s="61"/>
    </row>
    <row r="26" spans="1:86" ht="15.75" customHeight="1">
      <c r="A26" s="59"/>
      <c r="B26" s="10"/>
      <c r="C26" s="10" t="s">
        <v>136</v>
      </c>
      <c r="Q26" s="11"/>
      <c r="CH26" s="61"/>
    </row>
    <row r="27" spans="1:86" ht="15.75" customHeight="1">
      <c r="A27" s="59"/>
      <c r="Q27" s="11"/>
      <c r="U27" s="111" t="s">
        <v>137</v>
      </c>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CH27" s="61"/>
    </row>
    <row r="28" spans="1:86" ht="15.75" customHeight="1">
      <c r="A28" s="59"/>
      <c r="Q28" s="11"/>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CH28" s="61"/>
    </row>
    <row r="29" spans="1:86" ht="15.75" customHeight="1">
      <c r="A29" s="59"/>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CH29" s="61"/>
    </row>
    <row r="30" spans="1:86" ht="15.75" customHeight="1">
      <c r="A30" s="59"/>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CH30" s="61"/>
    </row>
    <row r="31" spans="1:86" ht="15.75" customHeight="1">
      <c r="A31" s="59"/>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CH31" s="61"/>
    </row>
    <row r="32" spans="1:86" ht="15.75" customHeight="1">
      <c r="A32" s="59"/>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CH32" s="61"/>
    </row>
    <row r="33" spans="1:86" ht="15.75" customHeight="1">
      <c r="A33" s="59"/>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CH33" s="61"/>
    </row>
    <row r="34" spans="1:86" ht="15.75" customHeight="1">
      <c r="A34" s="59"/>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CH34" s="61"/>
    </row>
    <row r="35" spans="1:86" ht="15.75" customHeight="1">
      <c r="A35" s="59"/>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CH35" s="61"/>
    </row>
    <row r="36" spans="1:86" ht="15.75" customHeight="1">
      <c r="A36" s="59"/>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CH36" s="61"/>
    </row>
    <row r="37" spans="1:86" ht="15.75" customHeight="1">
      <c r="A37" s="59"/>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CH37" s="61"/>
    </row>
    <row r="38" spans="1:86" ht="15.75" customHeight="1">
      <c r="A38" s="59"/>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CH38" s="61"/>
    </row>
    <row r="39" spans="1:86" ht="15.75" customHeight="1">
      <c r="A39" s="59"/>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CH39" s="61"/>
    </row>
    <row r="40" spans="1:86" ht="15.75" customHeight="1">
      <c r="A40" s="59"/>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CH40" s="61"/>
    </row>
    <row r="41" spans="1:86" ht="15.75" customHeight="1">
      <c r="A41" s="59"/>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CH41" s="61"/>
    </row>
    <row r="42" spans="1:86" ht="15.75" customHeight="1">
      <c r="A42" s="59"/>
      <c r="CH42" s="61"/>
    </row>
    <row r="43" spans="1:86" ht="15.75" customHeight="1">
      <c r="A43" s="59"/>
      <c r="B43" s="10" t="s">
        <v>138</v>
      </c>
      <c r="E43" s="78"/>
      <c r="F43" s="78"/>
      <c r="G43" s="78"/>
      <c r="Q43" s="11"/>
      <c r="CH43" s="61"/>
    </row>
    <row r="44" spans="1:86" ht="15.75" customHeight="1">
      <c r="A44" s="59"/>
      <c r="E44" s="78"/>
      <c r="F44" s="78"/>
      <c r="G44" s="78"/>
      <c r="Q44" s="11"/>
      <c r="CH44" s="61"/>
    </row>
    <row r="45" spans="1:86" ht="15.75" customHeight="1">
      <c r="A45" s="59"/>
      <c r="C45" s="62" t="s">
        <v>139</v>
      </c>
      <c r="D45" s="79"/>
      <c r="E45" s="79"/>
      <c r="F45" s="79"/>
      <c r="G45" s="79"/>
      <c r="H45" s="79"/>
      <c r="I45" s="79"/>
      <c r="J45" s="79"/>
      <c r="K45" s="79"/>
      <c r="L45" s="79"/>
      <c r="M45" s="79"/>
      <c r="N45" s="80"/>
      <c r="O45" s="62" t="s">
        <v>140</v>
      </c>
      <c r="P45" s="79"/>
      <c r="Q45" s="79"/>
      <c r="R45" s="79"/>
      <c r="S45" s="79"/>
      <c r="T45" s="79"/>
      <c r="U45" s="79"/>
      <c r="V45" s="79"/>
      <c r="W45" s="79"/>
      <c r="X45" s="79"/>
      <c r="Y45" s="79"/>
      <c r="Z45" s="79"/>
      <c r="AA45" s="80"/>
      <c r="AB45" s="62" t="s">
        <v>141</v>
      </c>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80"/>
      <c r="CH45" s="61"/>
    </row>
    <row r="46" spans="1:86" ht="15.75" customHeight="1">
      <c r="A46" s="59"/>
      <c r="C46" s="81" t="s">
        <v>122</v>
      </c>
      <c r="D46" s="8"/>
      <c r="E46" s="8"/>
      <c r="F46" s="82"/>
      <c r="G46" s="8"/>
      <c r="H46" s="8"/>
      <c r="I46" s="8"/>
      <c r="J46" s="8"/>
      <c r="K46" s="82"/>
      <c r="L46" s="8"/>
      <c r="M46" s="8"/>
      <c r="N46" s="9"/>
      <c r="O46" s="81" t="s">
        <v>125</v>
      </c>
      <c r="P46" s="8"/>
      <c r="Q46" s="8"/>
      <c r="R46" s="8"/>
      <c r="S46" s="8"/>
      <c r="T46" s="8"/>
      <c r="U46" s="8"/>
      <c r="V46" s="8"/>
      <c r="W46" s="8"/>
      <c r="X46" s="8"/>
      <c r="Y46" s="8"/>
      <c r="Z46" s="8"/>
      <c r="AA46" s="9"/>
      <c r="AB46" s="81" t="s">
        <v>142</v>
      </c>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9"/>
      <c r="CH46" s="61"/>
    </row>
    <row r="47" spans="1:86" ht="15.75" customHeight="1">
      <c r="A47" s="59"/>
      <c r="Q47" s="11"/>
      <c r="CH47" s="61"/>
    </row>
    <row r="48" spans="1:86" ht="15.75" customHeight="1">
      <c r="A48" s="59"/>
      <c r="B48" s="10" t="s">
        <v>143</v>
      </c>
      <c r="Q48" s="11"/>
      <c r="CH48" s="61"/>
    </row>
    <row r="49" spans="1:86" ht="15.75" customHeight="1">
      <c r="A49" s="59"/>
      <c r="C49" s="11" t="s">
        <v>116</v>
      </c>
      <c r="E49" s="78"/>
      <c r="F49" s="78"/>
      <c r="G49" s="78"/>
      <c r="Q49" s="11"/>
      <c r="CH49" s="61"/>
    </row>
    <row r="50" spans="1:86" ht="15.75" customHeight="1">
      <c r="A50" s="59"/>
      <c r="B50" s="10"/>
      <c r="CH50" s="61"/>
    </row>
    <row r="51" spans="1:86" ht="15.75" customHeight="1">
      <c r="A51" s="59"/>
      <c r="B51" s="10" t="s">
        <v>144</v>
      </c>
      <c r="CH51" s="61"/>
    </row>
    <row r="52" spans="1:86" ht="15.75" customHeight="1">
      <c r="A52" s="59"/>
      <c r="C52" s="11" t="s">
        <v>145</v>
      </c>
      <c r="D52" s="11" t="s">
        <v>146</v>
      </c>
      <c r="CH52" s="61"/>
    </row>
    <row r="53" spans="1:86" ht="15.75" customHeight="1">
      <c r="A53" s="59"/>
      <c r="C53" s="11" t="s">
        <v>147</v>
      </c>
      <c r="D53" s="11" t="s">
        <v>148</v>
      </c>
      <c r="CH53" s="61"/>
    </row>
    <row r="54" spans="1:86" ht="15.75" customHeight="1">
      <c r="A54" s="59"/>
      <c r="C54" s="11" t="s">
        <v>147</v>
      </c>
      <c r="D54" s="11" t="s">
        <v>149</v>
      </c>
      <c r="CH54" s="61"/>
    </row>
    <row r="55" spans="1:86" ht="15.75" customHeight="1">
      <c r="A55" s="59"/>
      <c r="C55" s="11" t="s">
        <v>147</v>
      </c>
      <c r="D55" s="11" t="s">
        <v>150</v>
      </c>
      <c r="CH55" s="61"/>
    </row>
    <row r="56" spans="1:86" ht="15.75" customHeight="1">
      <c r="A56" s="59"/>
      <c r="C56" s="11" t="s">
        <v>147</v>
      </c>
      <c r="D56" s="11" t="s">
        <v>151</v>
      </c>
      <c r="CH56" s="61"/>
    </row>
    <row r="57" spans="1:86" ht="15.75" customHeight="1">
      <c r="A57" s="59"/>
      <c r="D57" s="11" t="s">
        <v>152</v>
      </c>
      <c r="E57" s="11" t="s">
        <v>153</v>
      </c>
      <c r="CH57" s="61"/>
    </row>
    <row r="58" spans="1:86" ht="15.75" customHeight="1">
      <c r="A58" s="59"/>
      <c r="D58" s="11" t="s">
        <v>152</v>
      </c>
      <c r="E58" s="11" t="s">
        <v>154</v>
      </c>
      <c r="CH58" s="61"/>
    </row>
    <row r="59" spans="1:86" ht="15.75" customHeight="1">
      <c r="A59" s="59"/>
      <c r="D59" s="11" t="s">
        <v>152</v>
      </c>
      <c r="E59" s="11" t="s">
        <v>155</v>
      </c>
      <c r="CH59" s="61"/>
    </row>
    <row r="60" spans="1:86" ht="15.75" customHeight="1">
      <c r="A60" s="59"/>
      <c r="B60" s="10"/>
      <c r="D60" s="11" t="s">
        <v>152</v>
      </c>
      <c r="E60" s="11" t="s">
        <v>156</v>
      </c>
      <c r="CH60" s="61"/>
    </row>
    <row r="61" spans="1:86" ht="15.75" customHeight="1">
      <c r="A61" s="59"/>
      <c r="B61" s="10"/>
      <c r="C61" s="11" t="s">
        <v>147</v>
      </c>
      <c r="D61" s="11" t="s">
        <v>157</v>
      </c>
      <c r="CH61" s="61"/>
    </row>
    <row r="62" spans="1:86" ht="15.75" customHeight="1">
      <c r="A62" s="59"/>
      <c r="B62" s="10"/>
      <c r="D62" s="11" t="s">
        <v>158</v>
      </c>
      <c r="I62" s="11" t="s">
        <v>159</v>
      </c>
      <c r="CH62" s="61"/>
    </row>
    <row r="63" spans="1:86" ht="15.75" customHeight="1">
      <c r="A63" s="59"/>
      <c r="B63" s="10"/>
      <c r="D63" s="11" t="s">
        <v>160</v>
      </c>
      <c r="I63" s="11" t="s">
        <v>161</v>
      </c>
      <c r="CH63" s="61"/>
    </row>
    <row r="64" spans="1:86" ht="15.75" customHeight="1">
      <c r="A64" s="59"/>
      <c r="B64" s="10"/>
      <c r="D64" s="11" t="s">
        <v>162</v>
      </c>
      <c r="I64" s="11" t="s">
        <v>163</v>
      </c>
      <c r="CH64" s="61"/>
    </row>
    <row r="65" spans="1:86" ht="15.75" customHeight="1">
      <c r="A65" s="59"/>
      <c r="B65" s="10"/>
      <c r="I65" s="11" t="s">
        <v>147</v>
      </c>
      <c r="J65" s="11" t="s">
        <v>164</v>
      </c>
      <c r="CH65" s="61"/>
    </row>
    <row r="66" spans="1:86" ht="15.75" customHeight="1">
      <c r="A66" s="59"/>
      <c r="B66" s="10"/>
      <c r="I66" s="11" t="s">
        <v>147</v>
      </c>
      <c r="J66" s="11" t="s">
        <v>165</v>
      </c>
      <c r="CH66" s="61"/>
    </row>
    <row r="67" spans="1:86" ht="15.75" customHeight="1">
      <c r="A67" s="59"/>
      <c r="B67" s="10"/>
      <c r="CH67" s="61"/>
    </row>
    <row r="68" spans="1:86" ht="15.75" customHeight="1">
      <c r="A68" s="59"/>
      <c r="B68" s="10"/>
      <c r="C68" s="11" t="s">
        <v>145</v>
      </c>
      <c r="D68" s="11" t="s">
        <v>166</v>
      </c>
      <c r="CH68" s="61"/>
    </row>
    <row r="69" spans="1:86" ht="15.75" customHeight="1">
      <c r="A69" s="59"/>
      <c r="B69" s="10"/>
      <c r="C69" s="11" t="s">
        <v>147</v>
      </c>
      <c r="D69" s="11" t="s">
        <v>167</v>
      </c>
      <c r="CH69" s="61"/>
    </row>
    <row r="70" spans="1:86" ht="15.75" customHeight="1">
      <c r="A70" s="59"/>
      <c r="B70" s="10"/>
      <c r="D70" s="11" t="s">
        <v>168</v>
      </c>
      <c r="CH70" s="61"/>
    </row>
    <row r="71" spans="1:86" ht="15.75" customHeight="1">
      <c r="A71" s="59"/>
      <c r="B71" s="10"/>
      <c r="CH71" s="61"/>
    </row>
    <row r="72" spans="1:86" ht="15.75" customHeight="1">
      <c r="A72" s="59"/>
      <c r="B72" s="10"/>
      <c r="E72" s="11" t="s">
        <v>152</v>
      </c>
      <c r="F72" s="11" t="s">
        <v>169</v>
      </c>
      <c r="CH72" s="61"/>
    </row>
    <row r="73" spans="1:86" ht="15.75" customHeight="1">
      <c r="A73" s="59"/>
      <c r="B73" s="10"/>
      <c r="E73" s="11" t="s">
        <v>170</v>
      </c>
      <c r="Q73" s="11"/>
      <c r="R73" s="60"/>
      <c r="AH73" s="11" t="s">
        <v>171</v>
      </c>
      <c r="AU73" s="60"/>
      <c r="CH73" s="61"/>
    </row>
    <row r="74" spans="1:86" ht="15.75" customHeight="1">
      <c r="A74" s="59"/>
      <c r="B74" s="10"/>
      <c r="E74" s="146" t="s">
        <v>172</v>
      </c>
      <c r="F74" s="147"/>
      <c r="G74" s="147"/>
      <c r="H74" s="148"/>
      <c r="I74" s="146" t="s">
        <v>173</v>
      </c>
      <c r="J74" s="147"/>
      <c r="K74" s="147"/>
      <c r="L74" s="148"/>
      <c r="M74" s="146" t="s">
        <v>174</v>
      </c>
      <c r="N74" s="147"/>
      <c r="O74" s="147"/>
      <c r="P74" s="148"/>
      <c r="Q74" s="146" t="s">
        <v>175</v>
      </c>
      <c r="R74" s="149"/>
      <c r="S74" s="147"/>
      <c r="T74" s="148"/>
      <c r="U74" s="146" t="s">
        <v>176</v>
      </c>
      <c r="V74" s="147"/>
      <c r="W74" s="147"/>
      <c r="X74" s="147"/>
      <c r="Y74" s="147"/>
      <c r="Z74" s="148"/>
      <c r="AA74" s="146" t="s">
        <v>177</v>
      </c>
      <c r="AB74" s="148"/>
      <c r="AH74" s="146" t="s">
        <v>172</v>
      </c>
      <c r="AI74" s="147"/>
      <c r="AJ74" s="147"/>
      <c r="AK74" s="148"/>
      <c r="AL74" s="146" t="s">
        <v>173</v>
      </c>
      <c r="AM74" s="147"/>
      <c r="AN74" s="147"/>
      <c r="AO74" s="148"/>
      <c r="AP74" s="146" t="s">
        <v>174</v>
      </c>
      <c r="AQ74" s="147"/>
      <c r="AR74" s="147"/>
      <c r="AS74" s="148"/>
      <c r="AT74" s="146" t="s">
        <v>175</v>
      </c>
      <c r="AU74" s="149"/>
      <c r="AV74" s="147"/>
      <c r="AW74" s="148"/>
      <c r="AX74" s="146" t="s">
        <v>176</v>
      </c>
      <c r="AY74" s="147"/>
      <c r="AZ74" s="147"/>
      <c r="BA74" s="147"/>
      <c r="BB74" s="147"/>
      <c r="BC74" s="148"/>
      <c r="BD74" s="146" t="s">
        <v>177</v>
      </c>
      <c r="BE74" s="148"/>
      <c r="CH74" s="61"/>
    </row>
    <row r="75" spans="1:86" ht="15.75" customHeight="1">
      <c r="A75" s="59"/>
      <c r="B75" s="10"/>
      <c r="E75" s="113" t="s">
        <v>178</v>
      </c>
      <c r="F75" s="114"/>
      <c r="G75" s="114"/>
      <c r="H75" s="115"/>
      <c r="I75" s="116">
        <v>1</v>
      </c>
      <c r="J75" s="114"/>
      <c r="K75" s="114"/>
      <c r="L75" s="115"/>
      <c r="M75" s="113" t="s">
        <v>179</v>
      </c>
      <c r="N75" s="114"/>
      <c r="O75" s="114"/>
      <c r="P75" s="115"/>
      <c r="Q75" s="116">
        <v>1</v>
      </c>
      <c r="R75" s="117"/>
      <c r="S75" s="114"/>
      <c r="T75" s="115"/>
      <c r="U75" s="116">
        <v>1</v>
      </c>
      <c r="V75" s="114"/>
      <c r="W75" s="114"/>
      <c r="X75" s="114"/>
      <c r="Y75" s="114"/>
      <c r="Z75" s="115"/>
      <c r="AA75" s="113" t="s">
        <v>180</v>
      </c>
      <c r="AB75" s="115"/>
      <c r="AH75" s="113" t="s">
        <v>178</v>
      </c>
      <c r="AI75" s="114"/>
      <c r="AJ75" s="114"/>
      <c r="AK75" s="115"/>
      <c r="AL75" s="116">
        <v>1</v>
      </c>
      <c r="AM75" s="114"/>
      <c r="AN75" s="114"/>
      <c r="AO75" s="115"/>
      <c r="AP75" s="113" t="s">
        <v>179</v>
      </c>
      <c r="AQ75" s="114"/>
      <c r="AR75" s="114"/>
      <c r="AS75" s="115"/>
      <c r="AT75" s="116">
        <v>1</v>
      </c>
      <c r="AU75" s="117"/>
      <c r="AV75" s="114"/>
      <c r="AW75" s="115"/>
      <c r="AX75" s="116">
        <v>2</v>
      </c>
      <c r="AY75" s="114"/>
      <c r="AZ75" s="114"/>
      <c r="BA75" s="114"/>
      <c r="BB75" s="114"/>
      <c r="BC75" s="115"/>
      <c r="BD75" s="113" t="s">
        <v>180</v>
      </c>
      <c r="BE75" s="115"/>
      <c r="BG75" s="11" t="s">
        <v>181</v>
      </c>
      <c r="CH75" s="61"/>
    </row>
    <row r="76" spans="1:86" ht="15.75" customHeight="1">
      <c r="A76" s="59"/>
      <c r="B76" s="10"/>
      <c r="E76" s="113" t="s">
        <v>182</v>
      </c>
      <c r="F76" s="114"/>
      <c r="G76" s="114"/>
      <c r="H76" s="115"/>
      <c r="I76" s="116">
        <v>1</v>
      </c>
      <c r="J76" s="114"/>
      <c r="K76" s="114"/>
      <c r="L76" s="115"/>
      <c r="M76" s="113" t="s">
        <v>179</v>
      </c>
      <c r="N76" s="114"/>
      <c r="O76" s="114"/>
      <c r="P76" s="115"/>
      <c r="Q76" s="116">
        <v>1</v>
      </c>
      <c r="R76" s="117"/>
      <c r="S76" s="114"/>
      <c r="T76" s="115"/>
      <c r="U76" s="116">
        <v>1</v>
      </c>
      <c r="V76" s="114"/>
      <c r="W76" s="114"/>
      <c r="X76" s="114"/>
      <c r="Y76" s="114"/>
      <c r="Z76" s="115"/>
      <c r="AA76" s="113" t="s">
        <v>183</v>
      </c>
      <c r="AB76" s="115"/>
      <c r="AH76" s="113" t="s">
        <v>182</v>
      </c>
      <c r="AI76" s="114"/>
      <c r="AJ76" s="114"/>
      <c r="AK76" s="115"/>
      <c r="AL76" s="116">
        <v>1</v>
      </c>
      <c r="AM76" s="114"/>
      <c r="AN76" s="114"/>
      <c r="AO76" s="115"/>
      <c r="AP76" s="113" t="s">
        <v>179</v>
      </c>
      <c r="AQ76" s="114"/>
      <c r="AR76" s="114"/>
      <c r="AS76" s="115"/>
      <c r="AT76" s="116">
        <v>1</v>
      </c>
      <c r="AU76" s="117"/>
      <c r="AV76" s="114"/>
      <c r="AW76" s="115"/>
      <c r="AX76" s="116">
        <v>4</v>
      </c>
      <c r="AY76" s="114"/>
      <c r="AZ76" s="114"/>
      <c r="BA76" s="114"/>
      <c r="BB76" s="114"/>
      <c r="BC76" s="115"/>
      <c r="BD76" s="113" t="s">
        <v>183</v>
      </c>
      <c r="BE76" s="115"/>
      <c r="BG76" s="11" t="s">
        <v>184</v>
      </c>
      <c r="CH76" s="61"/>
    </row>
    <row r="77" spans="1:86" ht="15.75" customHeight="1" thickBot="1">
      <c r="A77" s="59"/>
      <c r="B77" s="10"/>
      <c r="E77" s="118" t="s">
        <v>185</v>
      </c>
      <c r="F77" s="119"/>
      <c r="G77" s="119"/>
      <c r="H77" s="120"/>
      <c r="I77" s="121">
        <v>1</v>
      </c>
      <c r="J77" s="119"/>
      <c r="K77" s="119"/>
      <c r="L77" s="120"/>
      <c r="M77" s="118" t="s">
        <v>179</v>
      </c>
      <c r="N77" s="119"/>
      <c r="O77" s="119"/>
      <c r="P77" s="120"/>
      <c r="Q77" s="121">
        <v>1</v>
      </c>
      <c r="R77" s="122"/>
      <c r="S77" s="119"/>
      <c r="T77" s="120"/>
      <c r="U77" s="121">
        <v>1</v>
      </c>
      <c r="V77" s="119"/>
      <c r="W77" s="119"/>
      <c r="X77" s="119"/>
      <c r="Y77" s="119"/>
      <c r="Z77" s="120"/>
      <c r="AA77" s="118" t="s">
        <v>186</v>
      </c>
      <c r="AB77" s="120"/>
      <c r="AE77" s="11" t="s">
        <v>187</v>
      </c>
      <c r="AH77" s="118" t="s">
        <v>185</v>
      </c>
      <c r="AI77" s="119"/>
      <c r="AJ77" s="119"/>
      <c r="AK77" s="120"/>
      <c r="AL77" s="121">
        <v>1</v>
      </c>
      <c r="AM77" s="119"/>
      <c r="AN77" s="119"/>
      <c r="AO77" s="120"/>
      <c r="AP77" s="118" t="s">
        <v>179</v>
      </c>
      <c r="AQ77" s="119"/>
      <c r="AR77" s="119"/>
      <c r="AS77" s="120"/>
      <c r="AT77" s="121">
        <v>1</v>
      </c>
      <c r="AU77" s="122"/>
      <c r="AV77" s="119"/>
      <c r="AW77" s="120"/>
      <c r="AX77" s="121">
        <v>2</v>
      </c>
      <c r="AY77" s="119"/>
      <c r="AZ77" s="119"/>
      <c r="BA77" s="119"/>
      <c r="BB77" s="119"/>
      <c r="BC77" s="120"/>
      <c r="BD77" s="118" t="s">
        <v>186</v>
      </c>
      <c r="BE77" s="120"/>
      <c r="CH77" s="61"/>
    </row>
    <row r="78" spans="1:86" ht="15.75" customHeight="1">
      <c r="A78" s="59"/>
      <c r="B78" s="10"/>
      <c r="E78" s="123" t="s">
        <v>188</v>
      </c>
      <c r="F78" s="124"/>
      <c r="G78" s="124"/>
      <c r="H78" s="125"/>
      <c r="I78" s="126">
        <v>2</v>
      </c>
      <c r="J78" s="124"/>
      <c r="K78" s="124"/>
      <c r="L78" s="125"/>
      <c r="M78" s="123" t="s">
        <v>179</v>
      </c>
      <c r="N78" s="124"/>
      <c r="O78" s="124"/>
      <c r="P78" s="125"/>
      <c r="Q78" s="126">
        <v>1</v>
      </c>
      <c r="R78" s="127"/>
      <c r="S78" s="124"/>
      <c r="T78" s="125"/>
      <c r="U78" s="126">
        <v>1</v>
      </c>
      <c r="V78" s="124"/>
      <c r="W78" s="124"/>
      <c r="X78" s="124"/>
      <c r="Y78" s="124"/>
      <c r="Z78" s="125"/>
      <c r="AA78" s="123" t="s">
        <v>189</v>
      </c>
      <c r="AB78" s="125"/>
      <c r="AH78" s="123" t="s">
        <v>188</v>
      </c>
      <c r="AI78" s="124"/>
      <c r="AJ78" s="124"/>
      <c r="AK78" s="125"/>
      <c r="AL78" s="126">
        <v>2</v>
      </c>
      <c r="AM78" s="124"/>
      <c r="AN78" s="124"/>
      <c r="AO78" s="125"/>
      <c r="AP78" s="123" t="s">
        <v>179</v>
      </c>
      <c r="AQ78" s="124"/>
      <c r="AR78" s="124"/>
      <c r="AS78" s="125"/>
      <c r="AT78" s="126">
        <v>1</v>
      </c>
      <c r="AU78" s="127"/>
      <c r="AV78" s="124"/>
      <c r="AW78" s="125"/>
      <c r="AX78" s="126">
        <v>2</v>
      </c>
      <c r="AY78" s="124"/>
      <c r="AZ78" s="124"/>
      <c r="BA78" s="124"/>
      <c r="BB78" s="124"/>
      <c r="BC78" s="125"/>
      <c r="BD78" s="123" t="s">
        <v>189</v>
      </c>
      <c r="BE78" s="125"/>
      <c r="CH78" s="61"/>
    </row>
    <row r="79" spans="1:86" ht="15.75" customHeight="1" thickBot="1">
      <c r="A79" s="59"/>
      <c r="B79" s="10"/>
      <c r="E79" s="128" t="s">
        <v>190</v>
      </c>
      <c r="F79" s="129"/>
      <c r="G79" s="129"/>
      <c r="H79" s="130"/>
      <c r="I79" s="131">
        <v>2</v>
      </c>
      <c r="J79" s="129"/>
      <c r="K79" s="129"/>
      <c r="L79" s="130"/>
      <c r="M79" s="128" t="s">
        <v>179</v>
      </c>
      <c r="N79" s="129"/>
      <c r="O79" s="129"/>
      <c r="P79" s="130"/>
      <c r="Q79" s="131">
        <v>1</v>
      </c>
      <c r="R79" s="132"/>
      <c r="S79" s="129"/>
      <c r="T79" s="130"/>
      <c r="U79" s="131">
        <v>1</v>
      </c>
      <c r="V79" s="129"/>
      <c r="W79" s="129"/>
      <c r="X79" s="129"/>
      <c r="Y79" s="129"/>
      <c r="Z79" s="130"/>
      <c r="AA79" s="128" t="s">
        <v>191</v>
      </c>
      <c r="AB79" s="130"/>
      <c r="AH79" s="128" t="s">
        <v>190</v>
      </c>
      <c r="AI79" s="129"/>
      <c r="AJ79" s="129"/>
      <c r="AK79" s="130"/>
      <c r="AL79" s="131">
        <v>2</v>
      </c>
      <c r="AM79" s="129"/>
      <c r="AN79" s="129"/>
      <c r="AO79" s="130"/>
      <c r="AP79" s="128" t="s">
        <v>179</v>
      </c>
      <c r="AQ79" s="129"/>
      <c r="AR79" s="129"/>
      <c r="AS79" s="130"/>
      <c r="AT79" s="131">
        <v>1</v>
      </c>
      <c r="AU79" s="132"/>
      <c r="AV79" s="129"/>
      <c r="AW79" s="130"/>
      <c r="AX79" s="131">
        <v>2</v>
      </c>
      <c r="AY79" s="129"/>
      <c r="AZ79" s="129"/>
      <c r="BA79" s="129"/>
      <c r="BB79" s="129"/>
      <c r="BC79" s="130"/>
      <c r="BD79" s="128" t="s">
        <v>191</v>
      </c>
      <c r="BE79" s="130"/>
      <c r="CH79" s="61"/>
    </row>
    <row r="80" spans="1:86" ht="15.75" customHeight="1">
      <c r="A80" s="59"/>
      <c r="B80" s="10"/>
      <c r="E80" s="137" t="s">
        <v>192</v>
      </c>
      <c r="F80" s="138"/>
      <c r="G80" s="138"/>
      <c r="H80" s="139"/>
      <c r="I80" s="140">
        <v>3</v>
      </c>
      <c r="J80" s="138"/>
      <c r="K80" s="138"/>
      <c r="L80" s="139"/>
      <c r="M80" s="137" t="s">
        <v>179</v>
      </c>
      <c r="N80" s="138"/>
      <c r="O80" s="138"/>
      <c r="P80" s="139"/>
      <c r="Q80" s="140">
        <v>1</v>
      </c>
      <c r="R80" s="141"/>
      <c r="S80" s="138"/>
      <c r="T80" s="139"/>
      <c r="U80" s="140">
        <v>1</v>
      </c>
      <c r="V80" s="138"/>
      <c r="W80" s="138"/>
      <c r="X80" s="138"/>
      <c r="Y80" s="138"/>
      <c r="Z80" s="139"/>
      <c r="AA80" s="137" t="s">
        <v>193</v>
      </c>
      <c r="AB80" s="139"/>
      <c r="AH80" s="137" t="s">
        <v>192</v>
      </c>
      <c r="AI80" s="138"/>
      <c r="AJ80" s="138"/>
      <c r="AK80" s="139"/>
      <c r="AL80" s="140">
        <v>3</v>
      </c>
      <c r="AM80" s="138"/>
      <c r="AN80" s="138"/>
      <c r="AO80" s="139"/>
      <c r="AP80" s="137" t="s">
        <v>179</v>
      </c>
      <c r="AQ80" s="138"/>
      <c r="AR80" s="138"/>
      <c r="AS80" s="139"/>
      <c r="AT80" s="140">
        <v>1</v>
      </c>
      <c r="AU80" s="141"/>
      <c r="AV80" s="138"/>
      <c r="AW80" s="139"/>
      <c r="AX80" s="140">
        <v>2</v>
      </c>
      <c r="AY80" s="138"/>
      <c r="AZ80" s="138"/>
      <c r="BA80" s="138"/>
      <c r="BB80" s="138"/>
      <c r="BC80" s="139"/>
      <c r="BD80" s="137" t="s">
        <v>193</v>
      </c>
      <c r="BE80" s="139"/>
      <c r="CH80" s="61"/>
    </row>
    <row r="81" spans="1:86" ht="15.75" customHeight="1">
      <c r="A81" s="59"/>
      <c r="B81" s="10"/>
      <c r="Q81" s="11"/>
      <c r="R81" s="60"/>
      <c r="CH81" s="61"/>
    </row>
    <row r="82" spans="1:86" ht="15.75" customHeight="1">
      <c r="A82" s="59"/>
      <c r="B82" s="10"/>
      <c r="E82" s="11" t="s">
        <v>152</v>
      </c>
      <c r="F82" s="11" t="s">
        <v>194</v>
      </c>
      <c r="Q82" s="11"/>
      <c r="R82" s="60"/>
      <c r="CH82" s="61"/>
    </row>
    <row r="83" spans="1:86" ht="15.75" customHeight="1">
      <c r="A83" s="59"/>
      <c r="B83" s="10"/>
      <c r="E83" s="11" t="s">
        <v>171</v>
      </c>
      <c r="Q83" s="11"/>
      <c r="R83" s="60"/>
      <c r="CH83" s="61"/>
    </row>
    <row r="84" spans="1:86" ht="15.75" customHeight="1">
      <c r="A84" s="59"/>
      <c r="B84" s="10"/>
      <c r="E84" s="11" t="s">
        <v>195</v>
      </c>
      <c r="Q84" s="11"/>
      <c r="S84" s="11" t="s">
        <v>196</v>
      </c>
      <c r="CH84" s="61"/>
    </row>
    <row r="85" spans="1:86" ht="15.75" customHeight="1">
      <c r="A85" s="59"/>
      <c r="B85" s="10"/>
      <c r="E85" s="146" t="s">
        <v>172</v>
      </c>
      <c r="F85" s="147"/>
      <c r="G85" s="147"/>
      <c r="H85" s="148"/>
      <c r="I85" s="146" t="s">
        <v>174</v>
      </c>
      <c r="J85" s="147"/>
      <c r="K85" s="147"/>
      <c r="L85" s="148"/>
      <c r="M85" s="146" t="s">
        <v>177</v>
      </c>
      <c r="N85" s="148"/>
      <c r="Q85" s="11"/>
      <c r="S85" s="146" t="s">
        <v>172</v>
      </c>
      <c r="T85" s="147"/>
      <c r="U85" s="147"/>
      <c r="V85" s="148"/>
      <c r="W85" s="146" t="s">
        <v>174</v>
      </c>
      <c r="X85" s="147"/>
      <c r="Y85" s="147"/>
      <c r="Z85" s="148"/>
      <c r="AA85" s="146" t="s">
        <v>177</v>
      </c>
      <c r="AB85" s="148"/>
      <c r="CH85" s="61"/>
    </row>
    <row r="86" spans="1:86" ht="15.75" customHeight="1">
      <c r="A86" s="59"/>
      <c r="B86" s="10"/>
      <c r="E86" s="116">
        <v>1</v>
      </c>
      <c r="F86" s="114"/>
      <c r="G86" s="114"/>
      <c r="H86" s="114"/>
      <c r="I86" s="113" t="s">
        <v>179</v>
      </c>
      <c r="J86" s="114"/>
      <c r="K86" s="114"/>
      <c r="L86" s="115"/>
      <c r="M86" s="113" t="s">
        <v>180</v>
      </c>
      <c r="N86" s="115"/>
      <c r="Q86" s="11"/>
      <c r="S86" s="142">
        <v>5</v>
      </c>
      <c r="T86" s="143"/>
      <c r="U86" s="143"/>
      <c r="V86" s="143"/>
      <c r="W86" s="144" t="s">
        <v>179</v>
      </c>
      <c r="X86" s="143"/>
      <c r="Y86" s="143"/>
      <c r="Z86" s="145"/>
      <c r="AA86" s="144" t="s">
        <v>193</v>
      </c>
      <c r="AB86" s="145"/>
      <c r="CH86" s="61"/>
    </row>
    <row r="87" spans="1:86" ht="15.75" customHeight="1">
      <c r="A87" s="59"/>
      <c r="B87" s="10"/>
      <c r="E87" s="116">
        <v>2</v>
      </c>
      <c r="F87" s="114"/>
      <c r="G87" s="114"/>
      <c r="H87" s="114"/>
      <c r="I87" s="113" t="s">
        <v>179</v>
      </c>
      <c r="J87" s="114"/>
      <c r="K87" s="114"/>
      <c r="L87" s="115"/>
      <c r="M87" s="113" t="s">
        <v>186</v>
      </c>
      <c r="N87" s="115"/>
      <c r="Q87" s="11"/>
      <c r="CH87" s="61"/>
    </row>
    <row r="88" spans="1:86" ht="15.75" customHeight="1">
      <c r="A88" s="59"/>
      <c r="B88" s="10"/>
      <c r="E88" s="133">
        <v>3</v>
      </c>
      <c r="F88" s="134"/>
      <c r="G88" s="134"/>
      <c r="H88" s="134"/>
      <c r="I88" s="135" t="s">
        <v>179</v>
      </c>
      <c r="J88" s="134"/>
      <c r="K88" s="134"/>
      <c r="L88" s="136"/>
      <c r="M88" s="135" t="s">
        <v>189</v>
      </c>
      <c r="N88" s="136"/>
      <c r="Q88" s="11"/>
      <c r="CH88" s="61"/>
    </row>
    <row r="89" spans="1:86" ht="15.75" customHeight="1">
      <c r="A89" s="59"/>
      <c r="B89" s="10"/>
      <c r="E89" s="133">
        <v>4</v>
      </c>
      <c r="F89" s="134"/>
      <c r="G89" s="134"/>
      <c r="H89" s="134"/>
      <c r="I89" s="135" t="s">
        <v>179</v>
      </c>
      <c r="J89" s="134"/>
      <c r="K89" s="134"/>
      <c r="L89" s="136"/>
      <c r="M89" s="135" t="s">
        <v>191</v>
      </c>
      <c r="N89" s="136"/>
      <c r="Q89" s="11"/>
      <c r="CH89" s="61"/>
    </row>
    <row r="90" spans="1:86" ht="15.75" customHeight="1">
      <c r="A90" s="59"/>
      <c r="B90" s="10"/>
      <c r="E90" s="142">
        <v>5</v>
      </c>
      <c r="F90" s="143"/>
      <c r="G90" s="143"/>
      <c r="H90" s="143"/>
      <c r="I90" s="144" t="s">
        <v>179</v>
      </c>
      <c r="J90" s="143"/>
      <c r="K90" s="143"/>
      <c r="L90" s="145"/>
      <c r="M90" s="144" t="s">
        <v>193</v>
      </c>
      <c r="N90" s="145"/>
      <c r="Q90" s="11"/>
      <c r="CH90" s="61"/>
    </row>
    <row r="91" spans="1:86" ht="15.75" customHeight="1">
      <c r="A91" s="59"/>
      <c r="B91" s="10"/>
      <c r="CH91" s="61"/>
    </row>
    <row r="92" spans="1:86" ht="15.75" customHeight="1">
      <c r="A92" s="59"/>
      <c r="B92" s="10"/>
      <c r="CH92" s="61"/>
    </row>
    <row r="93" spans="1:86" ht="15.75" customHeight="1">
      <c r="A93" s="59"/>
      <c r="B93" s="10"/>
      <c r="CH93" s="61"/>
    </row>
    <row r="94" spans="1:86" ht="15.75" customHeight="1">
      <c r="A94" s="59"/>
      <c r="B94" s="10"/>
      <c r="CH94" s="61"/>
    </row>
    <row r="95" spans="1:86" ht="15.75" customHeight="1">
      <c r="A95" s="59"/>
      <c r="B95" s="10"/>
      <c r="CH95" s="61"/>
    </row>
    <row r="96" spans="1:86" ht="15.75" customHeight="1">
      <c r="A96" s="59"/>
      <c r="B96" s="10"/>
      <c r="C96" s="11" t="s">
        <v>147</v>
      </c>
      <c r="D96" s="11" t="s">
        <v>197</v>
      </c>
      <c r="CH96" s="61"/>
    </row>
    <row r="97" spans="1:86" ht="15.75" customHeight="1">
      <c r="A97" s="59"/>
      <c r="B97" s="10"/>
      <c r="D97" s="11" t="s">
        <v>198</v>
      </c>
      <c r="CH97" s="61"/>
    </row>
    <row r="98" spans="1:86" ht="15.75" customHeight="1">
      <c r="A98" s="59"/>
      <c r="B98" s="10"/>
      <c r="D98" s="11" t="s">
        <v>199</v>
      </c>
      <c r="CH98" s="61"/>
    </row>
    <row r="99" spans="1:86" ht="15.75" customHeight="1">
      <c r="A99" s="59"/>
      <c r="B99" s="10"/>
      <c r="CH99" s="61"/>
    </row>
    <row r="100" spans="1:86" ht="15.75" customHeight="1">
      <c r="A100" s="59"/>
      <c r="B100" s="10"/>
      <c r="E100" s="11" t="s">
        <v>152</v>
      </c>
      <c r="F100" s="11" t="s">
        <v>169</v>
      </c>
      <c r="CH100" s="61"/>
    </row>
    <row r="101" spans="1:86" ht="15.75" customHeight="1">
      <c r="A101" s="59"/>
      <c r="B101" s="10"/>
      <c r="E101" s="11" t="s">
        <v>170</v>
      </c>
      <c r="Q101" s="11"/>
      <c r="R101" s="60"/>
      <c r="AH101" s="11" t="s">
        <v>171</v>
      </c>
      <c r="AU101" s="60"/>
      <c r="CH101" s="61"/>
    </row>
    <row r="102" spans="1:86" ht="15.75" customHeight="1">
      <c r="A102" s="59"/>
      <c r="B102" s="10"/>
      <c r="E102" s="146" t="s">
        <v>172</v>
      </c>
      <c r="F102" s="147"/>
      <c r="G102" s="147"/>
      <c r="H102" s="148"/>
      <c r="I102" s="146" t="s">
        <v>173</v>
      </c>
      <c r="J102" s="147"/>
      <c r="K102" s="147"/>
      <c r="L102" s="148"/>
      <c r="M102" s="146" t="s">
        <v>174</v>
      </c>
      <c r="N102" s="147"/>
      <c r="O102" s="147"/>
      <c r="P102" s="148"/>
      <c r="Q102" s="146" t="s">
        <v>175</v>
      </c>
      <c r="R102" s="149"/>
      <c r="S102" s="147"/>
      <c r="T102" s="148"/>
      <c r="U102" s="146" t="s">
        <v>176</v>
      </c>
      <c r="V102" s="147"/>
      <c r="W102" s="147"/>
      <c r="X102" s="147"/>
      <c r="Y102" s="147"/>
      <c r="Z102" s="148"/>
      <c r="AA102" s="146" t="s">
        <v>177</v>
      </c>
      <c r="AB102" s="148"/>
      <c r="AH102" s="146" t="s">
        <v>172</v>
      </c>
      <c r="AI102" s="147"/>
      <c r="AJ102" s="147"/>
      <c r="AK102" s="148"/>
      <c r="AL102" s="146" t="s">
        <v>173</v>
      </c>
      <c r="AM102" s="147"/>
      <c r="AN102" s="147"/>
      <c r="AO102" s="148"/>
      <c r="AP102" s="146" t="s">
        <v>174</v>
      </c>
      <c r="AQ102" s="147"/>
      <c r="AR102" s="147"/>
      <c r="AS102" s="148"/>
      <c r="AT102" s="146" t="s">
        <v>175</v>
      </c>
      <c r="AU102" s="149"/>
      <c r="AV102" s="147"/>
      <c r="AW102" s="148"/>
      <c r="AX102" s="146" t="s">
        <v>176</v>
      </c>
      <c r="AY102" s="147"/>
      <c r="AZ102" s="147"/>
      <c r="BA102" s="147"/>
      <c r="BB102" s="147"/>
      <c r="BC102" s="148"/>
      <c r="BD102" s="146" t="s">
        <v>177</v>
      </c>
      <c r="BE102" s="148"/>
      <c r="CH102" s="61"/>
    </row>
    <row r="103" spans="1:86" ht="15.75" customHeight="1">
      <c r="A103" s="59"/>
      <c r="B103" s="10"/>
      <c r="E103" s="113" t="s">
        <v>178</v>
      </c>
      <c r="F103" s="114"/>
      <c r="G103" s="114"/>
      <c r="H103" s="115"/>
      <c r="I103" s="116">
        <v>1</v>
      </c>
      <c r="J103" s="114"/>
      <c r="K103" s="114"/>
      <c r="L103" s="115"/>
      <c r="M103" s="113" t="s">
        <v>179</v>
      </c>
      <c r="N103" s="114"/>
      <c r="O103" s="114"/>
      <c r="P103" s="115"/>
      <c r="Q103" s="116">
        <v>1</v>
      </c>
      <c r="R103" s="117"/>
      <c r="S103" s="114"/>
      <c r="T103" s="115"/>
      <c r="U103" s="116">
        <v>1</v>
      </c>
      <c r="V103" s="114"/>
      <c r="W103" s="114"/>
      <c r="X103" s="114"/>
      <c r="Y103" s="114"/>
      <c r="Z103" s="115"/>
      <c r="AA103" s="113" t="s">
        <v>180</v>
      </c>
      <c r="AB103" s="115"/>
      <c r="AH103" s="113" t="s">
        <v>178</v>
      </c>
      <c r="AI103" s="114"/>
      <c r="AJ103" s="114"/>
      <c r="AK103" s="115"/>
      <c r="AL103" s="116">
        <v>1</v>
      </c>
      <c r="AM103" s="114"/>
      <c r="AN103" s="114"/>
      <c r="AO103" s="115"/>
      <c r="AP103" s="113" t="s">
        <v>179</v>
      </c>
      <c r="AQ103" s="114"/>
      <c r="AR103" s="114"/>
      <c r="AS103" s="115"/>
      <c r="AT103" s="116">
        <v>1</v>
      </c>
      <c r="AU103" s="117"/>
      <c r="AV103" s="114"/>
      <c r="AW103" s="115"/>
      <c r="AX103" s="116">
        <v>2</v>
      </c>
      <c r="AY103" s="114"/>
      <c r="AZ103" s="114"/>
      <c r="BA103" s="114"/>
      <c r="BB103" s="114"/>
      <c r="BC103" s="115"/>
      <c r="BD103" s="113" t="s">
        <v>180</v>
      </c>
      <c r="BE103" s="115"/>
      <c r="CH103" s="61"/>
    </row>
    <row r="104" spans="1:86" ht="15.75" customHeight="1">
      <c r="A104" s="59"/>
      <c r="B104" s="10"/>
      <c r="E104" s="113" t="s">
        <v>182</v>
      </c>
      <c r="F104" s="114"/>
      <c r="G104" s="114"/>
      <c r="H104" s="115"/>
      <c r="I104" s="116">
        <v>1</v>
      </c>
      <c r="J104" s="114"/>
      <c r="K104" s="114"/>
      <c r="L104" s="115"/>
      <c r="M104" s="113" t="s">
        <v>179</v>
      </c>
      <c r="N104" s="114"/>
      <c r="O104" s="114"/>
      <c r="P104" s="115"/>
      <c r="Q104" s="116">
        <v>1</v>
      </c>
      <c r="R104" s="117"/>
      <c r="S104" s="114"/>
      <c r="T104" s="115"/>
      <c r="U104" s="116">
        <v>1</v>
      </c>
      <c r="V104" s="114"/>
      <c r="W104" s="114"/>
      <c r="X104" s="114"/>
      <c r="Y104" s="114"/>
      <c r="Z104" s="115"/>
      <c r="AA104" s="113" t="s">
        <v>183</v>
      </c>
      <c r="AB104" s="115"/>
      <c r="AH104" s="113" t="s">
        <v>182</v>
      </c>
      <c r="AI104" s="114"/>
      <c r="AJ104" s="114"/>
      <c r="AK104" s="115"/>
      <c r="AL104" s="116">
        <v>1</v>
      </c>
      <c r="AM104" s="114"/>
      <c r="AN104" s="114"/>
      <c r="AO104" s="115"/>
      <c r="AP104" s="113" t="s">
        <v>179</v>
      </c>
      <c r="AQ104" s="114"/>
      <c r="AR104" s="114"/>
      <c r="AS104" s="115"/>
      <c r="AT104" s="116">
        <v>1</v>
      </c>
      <c r="AU104" s="117"/>
      <c r="AV104" s="114"/>
      <c r="AW104" s="115"/>
      <c r="AX104" s="116">
        <v>4</v>
      </c>
      <c r="AY104" s="114"/>
      <c r="AZ104" s="114"/>
      <c r="BA104" s="114"/>
      <c r="BB104" s="114"/>
      <c r="BC104" s="115"/>
      <c r="BD104" s="113" t="s">
        <v>183</v>
      </c>
      <c r="BE104" s="115"/>
      <c r="BG104" s="11" t="s">
        <v>200</v>
      </c>
      <c r="CH104" s="61"/>
    </row>
    <row r="105" spans="1:86" ht="15.75" customHeight="1" thickBot="1">
      <c r="A105" s="59"/>
      <c r="B105" s="10"/>
      <c r="E105" s="118" t="s">
        <v>185</v>
      </c>
      <c r="F105" s="119"/>
      <c r="G105" s="119"/>
      <c r="H105" s="120"/>
      <c r="I105" s="121">
        <v>1</v>
      </c>
      <c r="J105" s="119"/>
      <c r="K105" s="119"/>
      <c r="L105" s="120"/>
      <c r="M105" s="118" t="s">
        <v>179</v>
      </c>
      <c r="N105" s="119"/>
      <c r="O105" s="119"/>
      <c r="P105" s="120"/>
      <c r="Q105" s="121">
        <v>1</v>
      </c>
      <c r="R105" s="122"/>
      <c r="S105" s="119"/>
      <c r="T105" s="120"/>
      <c r="U105" s="121">
        <v>1</v>
      </c>
      <c r="V105" s="119"/>
      <c r="W105" s="119"/>
      <c r="X105" s="119"/>
      <c r="Y105" s="119"/>
      <c r="Z105" s="120"/>
      <c r="AA105" s="118" t="s">
        <v>186</v>
      </c>
      <c r="AB105" s="120"/>
      <c r="AE105" s="11" t="s">
        <v>187</v>
      </c>
      <c r="AH105" s="118" t="s">
        <v>185</v>
      </c>
      <c r="AI105" s="119"/>
      <c r="AJ105" s="119"/>
      <c r="AK105" s="120"/>
      <c r="AL105" s="121">
        <v>1</v>
      </c>
      <c r="AM105" s="119"/>
      <c r="AN105" s="119"/>
      <c r="AO105" s="120"/>
      <c r="AP105" s="118" t="s">
        <v>179</v>
      </c>
      <c r="AQ105" s="119"/>
      <c r="AR105" s="119"/>
      <c r="AS105" s="120"/>
      <c r="AT105" s="121">
        <v>1</v>
      </c>
      <c r="AU105" s="122"/>
      <c r="AV105" s="119"/>
      <c r="AW105" s="120"/>
      <c r="AX105" s="121">
        <v>2</v>
      </c>
      <c r="AY105" s="119"/>
      <c r="AZ105" s="119"/>
      <c r="BA105" s="119"/>
      <c r="BB105" s="119"/>
      <c r="BC105" s="120"/>
      <c r="BD105" s="118" t="s">
        <v>186</v>
      </c>
      <c r="BE105" s="120"/>
      <c r="CH105" s="61"/>
    </row>
    <row r="106" spans="1:86" ht="15.75" customHeight="1">
      <c r="A106" s="59"/>
      <c r="B106" s="10"/>
      <c r="D106" s="11" t="s">
        <v>201</v>
      </c>
      <c r="E106" s="123" t="s">
        <v>188</v>
      </c>
      <c r="F106" s="124"/>
      <c r="G106" s="124"/>
      <c r="H106" s="125"/>
      <c r="I106" s="126">
        <v>2</v>
      </c>
      <c r="J106" s="124"/>
      <c r="K106" s="124"/>
      <c r="L106" s="125"/>
      <c r="M106" s="123" t="s">
        <v>179</v>
      </c>
      <c r="N106" s="124"/>
      <c r="O106" s="124"/>
      <c r="P106" s="125"/>
      <c r="Q106" s="126">
        <v>1</v>
      </c>
      <c r="R106" s="127"/>
      <c r="S106" s="124"/>
      <c r="T106" s="125"/>
      <c r="U106" s="126">
        <v>1</v>
      </c>
      <c r="V106" s="124"/>
      <c r="W106" s="124"/>
      <c r="X106" s="124"/>
      <c r="Y106" s="124"/>
      <c r="Z106" s="125"/>
      <c r="AA106" s="123" t="s">
        <v>189</v>
      </c>
      <c r="AB106" s="125"/>
      <c r="AG106" s="11" t="s">
        <v>201</v>
      </c>
      <c r="AH106" s="123" t="s">
        <v>188</v>
      </c>
      <c r="AI106" s="124"/>
      <c r="AJ106" s="124"/>
      <c r="AK106" s="125"/>
      <c r="AL106" s="126">
        <v>2</v>
      </c>
      <c r="AM106" s="124"/>
      <c r="AN106" s="124"/>
      <c r="AO106" s="125"/>
      <c r="AP106" s="123" t="s">
        <v>179</v>
      </c>
      <c r="AQ106" s="124"/>
      <c r="AR106" s="124"/>
      <c r="AS106" s="125"/>
      <c r="AT106" s="126">
        <v>1</v>
      </c>
      <c r="AU106" s="127"/>
      <c r="AV106" s="124"/>
      <c r="AW106" s="125"/>
      <c r="AX106" s="126">
        <v>3</v>
      </c>
      <c r="AY106" s="124"/>
      <c r="AZ106" s="124"/>
      <c r="BA106" s="124"/>
      <c r="BB106" s="124"/>
      <c r="BC106" s="125"/>
      <c r="BD106" s="123" t="s">
        <v>189</v>
      </c>
      <c r="BE106" s="125"/>
      <c r="BG106" s="11" t="s">
        <v>202</v>
      </c>
      <c r="CH106" s="61"/>
    </row>
    <row r="107" spans="1:86" ht="15.75" customHeight="1" thickBot="1">
      <c r="A107" s="59"/>
      <c r="B107" s="10"/>
      <c r="E107" s="128" t="s">
        <v>190</v>
      </c>
      <c r="F107" s="129"/>
      <c r="G107" s="129"/>
      <c r="H107" s="130"/>
      <c r="I107" s="131">
        <v>2</v>
      </c>
      <c r="J107" s="129"/>
      <c r="K107" s="129"/>
      <c r="L107" s="130"/>
      <c r="M107" s="128" t="s">
        <v>179</v>
      </c>
      <c r="N107" s="129"/>
      <c r="O107" s="129"/>
      <c r="P107" s="130"/>
      <c r="Q107" s="131">
        <v>1</v>
      </c>
      <c r="R107" s="132"/>
      <c r="S107" s="129"/>
      <c r="T107" s="130"/>
      <c r="U107" s="131">
        <v>1</v>
      </c>
      <c r="V107" s="129"/>
      <c r="W107" s="129"/>
      <c r="X107" s="129"/>
      <c r="Y107" s="129"/>
      <c r="Z107" s="130"/>
      <c r="AA107" s="128" t="s">
        <v>191</v>
      </c>
      <c r="AB107" s="130"/>
      <c r="AH107" s="128" t="s">
        <v>190</v>
      </c>
      <c r="AI107" s="129"/>
      <c r="AJ107" s="129"/>
      <c r="AK107" s="130"/>
      <c r="AL107" s="131">
        <v>2</v>
      </c>
      <c r="AM107" s="129"/>
      <c r="AN107" s="129"/>
      <c r="AO107" s="130"/>
      <c r="AP107" s="128" t="s">
        <v>179</v>
      </c>
      <c r="AQ107" s="129"/>
      <c r="AR107" s="129"/>
      <c r="AS107" s="130"/>
      <c r="AT107" s="131">
        <v>1</v>
      </c>
      <c r="AU107" s="132"/>
      <c r="AV107" s="129"/>
      <c r="AW107" s="130"/>
      <c r="AX107" s="131">
        <v>1</v>
      </c>
      <c r="AY107" s="129"/>
      <c r="AZ107" s="129"/>
      <c r="BA107" s="129"/>
      <c r="BB107" s="129"/>
      <c r="BC107" s="130"/>
      <c r="BD107" s="128" t="s">
        <v>191</v>
      </c>
      <c r="BE107" s="130"/>
      <c r="CH107" s="61"/>
    </row>
    <row r="108" spans="1:86" ht="15.75" customHeight="1">
      <c r="A108" s="59"/>
      <c r="B108" s="10"/>
      <c r="E108" s="137" t="s">
        <v>192</v>
      </c>
      <c r="F108" s="138"/>
      <c r="G108" s="138"/>
      <c r="H108" s="139"/>
      <c r="I108" s="140">
        <v>3</v>
      </c>
      <c r="J108" s="138"/>
      <c r="K108" s="138"/>
      <c r="L108" s="139"/>
      <c r="M108" s="137" t="s">
        <v>179</v>
      </c>
      <c r="N108" s="138"/>
      <c r="O108" s="138"/>
      <c r="P108" s="139"/>
      <c r="Q108" s="140">
        <v>1</v>
      </c>
      <c r="R108" s="141"/>
      <c r="S108" s="138"/>
      <c r="T108" s="139"/>
      <c r="U108" s="140">
        <v>1</v>
      </c>
      <c r="V108" s="138"/>
      <c r="W108" s="138"/>
      <c r="X108" s="138"/>
      <c r="Y108" s="138"/>
      <c r="Z108" s="139"/>
      <c r="AA108" s="137" t="s">
        <v>193</v>
      </c>
      <c r="AB108" s="139"/>
      <c r="AH108" s="137" t="s">
        <v>192</v>
      </c>
      <c r="AI108" s="138"/>
      <c r="AJ108" s="138"/>
      <c r="AK108" s="139"/>
      <c r="AL108" s="140">
        <v>3</v>
      </c>
      <c r="AM108" s="138"/>
      <c r="AN108" s="138"/>
      <c r="AO108" s="139"/>
      <c r="AP108" s="137" t="s">
        <v>179</v>
      </c>
      <c r="AQ108" s="138"/>
      <c r="AR108" s="138"/>
      <c r="AS108" s="139"/>
      <c r="AT108" s="140">
        <v>1</v>
      </c>
      <c r="AU108" s="141"/>
      <c r="AV108" s="138"/>
      <c r="AW108" s="139"/>
      <c r="AX108" s="140">
        <v>1</v>
      </c>
      <c r="AY108" s="138"/>
      <c r="AZ108" s="138"/>
      <c r="BA108" s="138"/>
      <c r="BB108" s="138"/>
      <c r="BC108" s="139"/>
      <c r="BD108" s="137" t="s">
        <v>193</v>
      </c>
      <c r="BE108" s="139"/>
      <c r="CH108" s="61"/>
    </row>
    <row r="109" spans="1:86" ht="15.75" customHeight="1">
      <c r="A109" s="59"/>
      <c r="B109" s="10"/>
      <c r="Q109" s="11"/>
      <c r="R109" s="60"/>
      <c r="CH109" s="61"/>
    </row>
    <row r="110" spans="1:86" ht="15.75" customHeight="1">
      <c r="A110" s="59"/>
      <c r="B110" s="10"/>
      <c r="E110" s="11" t="s">
        <v>152</v>
      </c>
      <c r="F110" s="11" t="s">
        <v>194</v>
      </c>
      <c r="Q110" s="11"/>
      <c r="R110" s="60"/>
      <c r="CH110" s="61"/>
    </row>
    <row r="111" spans="1:86" ht="15.75" customHeight="1">
      <c r="A111" s="59"/>
      <c r="B111" s="10"/>
      <c r="E111" s="11" t="s">
        <v>171</v>
      </c>
      <c r="Q111" s="11"/>
      <c r="R111" s="60"/>
      <c r="CH111" s="61"/>
    </row>
    <row r="112" spans="1:86" ht="15.75" customHeight="1">
      <c r="A112" s="59"/>
      <c r="B112" s="10"/>
      <c r="E112" s="11" t="s">
        <v>195</v>
      </c>
      <c r="Q112" s="11"/>
      <c r="S112" s="11" t="s">
        <v>196</v>
      </c>
      <c r="CH112" s="61"/>
    </row>
    <row r="113" spans="1:86" ht="15.75" customHeight="1">
      <c r="A113" s="59"/>
      <c r="B113" s="10"/>
      <c r="E113" s="146" t="s">
        <v>172</v>
      </c>
      <c r="F113" s="147"/>
      <c r="G113" s="147"/>
      <c r="H113" s="148"/>
      <c r="I113" s="146" t="s">
        <v>174</v>
      </c>
      <c r="J113" s="147"/>
      <c r="K113" s="147"/>
      <c r="L113" s="148"/>
      <c r="M113" s="146" t="s">
        <v>177</v>
      </c>
      <c r="N113" s="148"/>
      <c r="Q113" s="11"/>
      <c r="S113" s="146" t="s">
        <v>172</v>
      </c>
      <c r="T113" s="147"/>
      <c r="U113" s="147"/>
      <c r="V113" s="148"/>
      <c r="W113" s="146" t="s">
        <v>174</v>
      </c>
      <c r="X113" s="147"/>
      <c r="Y113" s="147"/>
      <c r="Z113" s="148"/>
      <c r="AA113" s="146" t="s">
        <v>177</v>
      </c>
      <c r="AB113" s="148"/>
      <c r="CH113" s="61"/>
    </row>
    <row r="114" spans="1:86" ht="15.75" customHeight="1">
      <c r="A114" s="59"/>
      <c r="B114" s="10"/>
      <c r="E114" s="116">
        <v>1</v>
      </c>
      <c r="F114" s="114"/>
      <c r="G114" s="114"/>
      <c r="H114" s="114"/>
      <c r="I114" s="113" t="s">
        <v>179</v>
      </c>
      <c r="J114" s="114"/>
      <c r="K114" s="114"/>
      <c r="L114" s="115"/>
      <c r="M114" s="113" t="s">
        <v>180</v>
      </c>
      <c r="N114" s="115"/>
      <c r="Q114" s="11"/>
      <c r="CH114" s="61"/>
    </row>
    <row r="115" spans="1:86" ht="15.75" customHeight="1">
      <c r="A115" s="59"/>
      <c r="B115" s="10"/>
      <c r="E115" s="116">
        <v>2</v>
      </c>
      <c r="F115" s="114"/>
      <c r="G115" s="114"/>
      <c r="H115" s="114"/>
      <c r="I115" s="113" t="s">
        <v>179</v>
      </c>
      <c r="J115" s="114"/>
      <c r="K115" s="114"/>
      <c r="L115" s="115"/>
      <c r="M115" s="113" t="s">
        <v>186</v>
      </c>
      <c r="N115" s="115"/>
      <c r="Q115" s="11"/>
      <c r="CH115" s="61"/>
    </row>
    <row r="116" spans="1:86" ht="15.75" customHeight="1">
      <c r="A116" s="59"/>
      <c r="B116" s="10"/>
      <c r="Q116" s="11"/>
      <c r="CH116" s="61"/>
    </row>
    <row r="117" spans="1:86" ht="15.75" customHeight="1">
      <c r="A117" s="59"/>
      <c r="B117" s="10"/>
      <c r="Q117" s="11"/>
      <c r="CH117" s="61"/>
    </row>
    <row r="118" spans="1:86" ht="15.75" customHeight="1">
      <c r="A118" s="59"/>
      <c r="B118" s="10"/>
      <c r="Q118" s="11"/>
      <c r="CH118" s="61"/>
    </row>
    <row r="119" spans="1:86" ht="15.75" customHeight="1">
      <c r="A119" s="59"/>
      <c r="B119" s="10"/>
      <c r="Q119" s="11"/>
      <c r="CH119" s="61"/>
    </row>
    <row r="120" spans="1:86" ht="15.75" customHeight="1">
      <c r="A120" s="59"/>
      <c r="B120" s="10"/>
      <c r="Q120" s="11"/>
      <c r="CH120" s="61"/>
    </row>
    <row r="121" spans="1:86" ht="15.75" customHeight="1">
      <c r="A121" s="59"/>
      <c r="B121" s="10"/>
      <c r="Q121" s="11"/>
      <c r="CH121" s="61"/>
    </row>
    <row r="122" spans="1:86" ht="15.75" customHeight="1">
      <c r="A122" s="59"/>
      <c r="B122" s="10"/>
      <c r="Q122" s="11"/>
      <c r="CH122" s="61"/>
    </row>
    <row r="123" spans="1:86" ht="15.75" customHeight="1">
      <c r="A123" s="59"/>
      <c r="B123" s="10"/>
      <c r="Q123" s="11"/>
      <c r="CH123" s="61"/>
    </row>
    <row r="124" spans="1:86" ht="15.75" customHeight="1">
      <c r="A124" s="59"/>
      <c r="B124" s="10"/>
      <c r="Q124" s="11"/>
      <c r="CH124" s="61"/>
    </row>
    <row r="125" spans="1:86" ht="15.75" customHeight="1">
      <c r="A125" s="59"/>
      <c r="B125" s="10"/>
      <c r="Q125" s="11"/>
      <c r="CH125" s="61"/>
    </row>
    <row r="126" spans="1:86" ht="15.75" customHeight="1">
      <c r="A126" s="59"/>
      <c r="B126" s="10"/>
      <c r="Q126" s="11"/>
      <c r="CH126" s="61"/>
    </row>
    <row r="127" spans="1:86" ht="15.75" customHeight="1">
      <c r="A127" s="59"/>
      <c r="B127" s="10"/>
      <c r="Q127" s="11"/>
      <c r="CH127" s="61"/>
    </row>
    <row r="128" spans="1:86" ht="15.75" customHeight="1">
      <c r="A128" s="59"/>
      <c r="B128" s="10"/>
      <c r="Q128" s="11"/>
      <c r="CH128" s="61"/>
    </row>
    <row r="129" spans="1:86" ht="15.75" customHeight="1">
      <c r="A129" s="59"/>
      <c r="B129" s="10"/>
      <c r="Q129" s="11"/>
      <c r="CH129" s="61"/>
    </row>
    <row r="130" spans="1:86" ht="15.75" customHeight="1">
      <c r="A130" s="59"/>
      <c r="B130" s="10"/>
      <c r="Q130" s="11"/>
      <c r="CH130" s="61"/>
    </row>
    <row r="131" spans="1:86" ht="15.75" customHeight="1">
      <c r="A131" s="59"/>
      <c r="B131" s="10"/>
      <c r="Q131" s="11"/>
      <c r="CH131" s="61"/>
    </row>
    <row r="132" spans="1:86" ht="15.75" customHeight="1">
      <c r="A132" s="59"/>
      <c r="B132" s="10"/>
      <c r="Q132" s="11"/>
      <c r="CH132" s="61"/>
    </row>
    <row r="133" spans="1:86" ht="15.75" customHeight="1">
      <c r="A133" s="59"/>
      <c r="B133" s="10"/>
      <c r="Q133" s="11"/>
      <c r="CH133" s="61"/>
    </row>
    <row r="134" spans="1:86" ht="15.75" customHeight="1">
      <c r="A134" s="59"/>
      <c r="B134" s="10"/>
      <c r="Q134" s="11"/>
      <c r="CH134" s="61"/>
    </row>
    <row r="135" spans="1:86" ht="15.75" customHeight="1">
      <c r="A135" s="59"/>
      <c r="B135" s="10"/>
      <c r="Q135" s="11"/>
      <c r="CH135" s="61"/>
    </row>
    <row r="136" spans="1:86" ht="15.75" customHeight="1">
      <c r="A136" s="59"/>
      <c r="B136" s="10"/>
      <c r="Q136" s="11"/>
      <c r="CH136" s="61"/>
    </row>
    <row r="137" spans="1:86" ht="15.75" customHeight="1">
      <c r="A137" s="59"/>
      <c r="B137" s="10"/>
      <c r="Q137" s="11"/>
      <c r="CH137" s="61"/>
    </row>
    <row r="138" spans="1:86" ht="15.75" customHeight="1">
      <c r="A138" s="59"/>
      <c r="B138" s="10"/>
      <c r="CH138" s="61"/>
    </row>
    <row r="139" spans="1:86" ht="15.75" customHeight="1" thickBot="1">
      <c r="A139" s="83"/>
      <c r="B139" s="84"/>
      <c r="C139" s="84"/>
      <c r="D139" s="84"/>
      <c r="E139" s="84"/>
      <c r="F139" s="84"/>
      <c r="G139" s="84"/>
      <c r="H139" s="84"/>
      <c r="I139" s="84"/>
      <c r="J139" s="84"/>
      <c r="K139" s="84"/>
      <c r="L139" s="84"/>
      <c r="M139" s="84"/>
      <c r="N139" s="84"/>
      <c r="O139" s="84"/>
      <c r="P139" s="84"/>
      <c r="Q139" s="85"/>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6"/>
    </row>
  </sheetData>
  <mergeCells count="22">
    <mergeCell ref="AQ3:BK3"/>
    <mergeCell ref="A1:N3"/>
    <mergeCell ref="O1:AB1"/>
    <mergeCell ref="AC1:AI1"/>
    <mergeCell ref="AJ1:AP1"/>
    <mergeCell ref="AQ1:AW1"/>
    <mergeCell ref="O23:BE23"/>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s>
  <phoneticPr fontId="1"/>
  <pageMargins left="0.51181102362204722" right="0.74803149606299213" top="0.70866141732283472" bottom="0.43307086614173229" header="0.51181102362204722" footer="0.35433070866141736"/>
  <pageSetup paperSize="9" scale="75" fitToHeight="0" orientation="landscape" r:id="rId1"/>
  <headerFooter alignWithMargins="0">
    <oddFooter>&amp;L&amp;"Meiryo UI,標準"&amp;10MGBGB0020&amp;C&amp;"Meiryo UI,標準"&amp;10&amp;P&amp;R&amp;"Meiryo UI,標準"&amp;10(C)Toyo 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CH44"/>
  <sheetViews>
    <sheetView showGridLines="0" showZeros="0" view="pageBreakPreview" zoomScale="85" zoomScaleNormal="70" zoomScaleSheetLayoutView="85" workbookViewId="0">
      <pane ySplit="4" topLeftCell="A11" activePane="bottomLeft" state="frozen"/>
      <selection pane="bottomLeft" sqref="A1:N3"/>
    </sheetView>
  </sheetViews>
  <sheetFormatPr defaultColWidth="2.125" defaultRowHeight="15.75" customHeight="1"/>
  <cols>
    <col min="1" max="2" width="2.125" style="11" customWidth="1"/>
    <col min="3" max="3" width="2.375" style="11" customWidth="1"/>
    <col min="4" max="4" width="2.125" style="11" customWidth="1"/>
    <col min="5" max="5" width="3" style="11" customWidth="1"/>
    <col min="6" max="16" width="2.125" style="11" customWidth="1"/>
    <col min="17" max="17" width="2.125" style="60" customWidth="1"/>
    <col min="18" max="63" width="2.125" style="11" customWidth="1"/>
    <col min="64" max="16384" width="2.125" style="11"/>
  </cols>
  <sheetData>
    <row r="1" spans="1:86" s="7" customFormat="1" ht="15.75" customHeight="1">
      <c r="A1" s="465" t="str">
        <f>表紙!$A$39</f>
        <v>mcframe 7</v>
      </c>
      <c r="B1" s="466"/>
      <c r="C1" s="466"/>
      <c r="D1" s="466"/>
      <c r="E1" s="466"/>
      <c r="F1" s="466"/>
      <c r="G1" s="466"/>
      <c r="H1" s="466"/>
      <c r="I1" s="466"/>
      <c r="J1" s="466"/>
      <c r="K1" s="466"/>
      <c r="L1" s="466"/>
      <c r="M1" s="466"/>
      <c r="N1" s="467"/>
      <c r="O1" s="473" t="s">
        <v>49</v>
      </c>
      <c r="P1" s="474"/>
      <c r="Q1" s="474"/>
      <c r="R1" s="474"/>
      <c r="S1" s="474"/>
      <c r="T1" s="474"/>
      <c r="U1" s="474"/>
      <c r="V1" s="474"/>
      <c r="W1" s="474"/>
      <c r="X1" s="474"/>
      <c r="Y1" s="474"/>
      <c r="Z1" s="474"/>
      <c r="AA1" s="474"/>
      <c r="AB1" s="474"/>
      <c r="AC1" s="496" t="s">
        <v>50</v>
      </c>
      <c r="AD1" s="494"/>
      <c r="AE1" s="494"/>
      <c r="AF1" s="494"/>
      <c r="AG1" s="494"/>
      <c r="AH1" s="494"/>
      <c r="AI1" s="495"/>
      <c r="AJ1" s="493" t="str">
        <f>表紙!$Z$39</f>
        <v>MG</v>
      </c>
      <c r="AK1" s="494"/>
      <c r="AL1" s="494"/>
      <c r="AM1" s="494"/>
      <c r="AN1" s="494"/>
      <c r="AO1" s="494"/>
      <c r="AP1" s="495"/>
      <c r="AQ1" s="496" t="s">
        <v>52</v>
      </c>
      <c r="AR1" s="494"/>
      <c r="AS1" s="494"/>
      <c r="AT1" s="494"/>
      <c r="AU1" s="494"/>
      <c r="AV1" s="494"/>
      <c r="AW1" s="495"/>
      <c r="AX1" s="493" t="str">
        <f>表紙!$AJ$39</f>
        <v>原価管理</v>
      </c>
      <c r="AY1" s="494"/>
      <c r="AZ1" s="494"/>
      <c r="BA1" s="494"/>
      <c r="BB1" s="494"/>
      <c r="BC1" s="494"/>
      <c r="BD1" s="494"/>
      <c r="BE1" s="494"/>
      <c r="BF1" s="494"/>
      <c r="BG1" s="494"/>
      <c r="BH1" s="494"/>
      <c r="BI1" s="494"/>
      <c r="BJ1" s="494"/>
      <c r="BK1" s="495"/>
      <c r="BL1" s="496" t="s">
        <v>6</v>
      </c>
      <c r="BM1" s="494"/>
      <c r="BN1" s="494"/>
      <c r="BO1" s="494"/>
      <c r="BP1" s="494"/>
      <c r="BQ1" s="494"/>
      <c r="BR1" s="494"/>
      <c r="BS1" s="494"/>
      <c r="BT1" s="495"/>
      <c r="BU1" s="527" t="s">
        <v>39</v>
      </c>
      <c r="BV1" s="528"/>
      <c r="BW1" s="528"/>
      <c r="BX1" s="528"/>
      <c r="BY1" s="528"/>
      <c r="BZ1" s="528"/>
      <c r="CA1" s="529"/>
      <c r="CB1" s="527" t="s">
        <v>53</v>
      </c>
      <c r="CC1" s="528"/>
      <c r="CD1" s="528"/>
      <c r="CE1" s="528"/>
      <c r="CF1" s="528"/>
      <c r="CG1" s="528"/>
      <c r="CH1" s="530"/>
    </row>
    <row r="2" spans="1:86" s="7" customFormat="1" ht="15">
      <c r="A2" s="468"/>
      <c r="B2" s="469"/>
      <c r="C2" s="469"/>
      <c r="D2" s="469"/>
      <c r="E2" s="469"/>
      <c r="F2" s="469"/>
      <c r="G2" s="469"/>
      <c r="H2" s="469"/>
      <c r="I2" s="469"/>
      <c r="J2" s="469"/>
      <c r="K2" s="469"/>
      <c r="L2" s="469"/>
      <c r="M2" s="469"/>
      <c r="N2" s="470"/>
      <c r="O2" s="498" t="str">
        <f>文書名_カスタマイズ</f>
        <v>バッチ機能</v>
      </c>
      <c r="P2" s="440"/>
      <c r="Q2" s="440"/>
      <c r="R2" s="440"/>
      <c r="S2" s="440"/>
      <c r="T2" s="440"/>
      <c r="U2" s="440"/>
      <c r="V2" s="440"/>
      <c r="W2" s="440"/>
      <c r="X2" s="440"/>
      <c r="Y2" s="440"/>
      <c r="Z2" s="440"/>
      <c r="AA2" s="440"/>
      <c r="AB2" s="440"/>
      <c r="AC2" s="505" t="s">
        <v>62</v>
      </c>
      <c r="AD2" s="503"/>
      <c r="AE2" s="503"/>
      <c r="AF2" s="503"/>
      <c r="AG2" s="503"/>
      <c r="AH2" s="503"/>
      <c r="AI2" s="504"/>
      <c r="AJ2" s="502" t="str">
        <f>表紙!$Z$40</f>
        <v>MGBG</v>
      </c>
      <c r="AK2" s="524"/>
      <c r="AL2" s="524"/>
      <c r="AM2" s="524"/>
      <c r="AN2" s="524"/>
      <c r="AO2" s="524"/>
      <c r="AP2" s="525"/>
      <c r="AQ2" s="505" t="s">
        <v>63</v>
      </c>
      <c r="AR2" s="503"/>
      <c r="AS2" s="503"/>
      <c r="AT2" s="503"/>
      <c r="AU2" s="503"/>
      <c r="AV2" s="503"/>
      <c r="AW2" s="504"/>
      <c r="AX2" s="502" t="str">
        <f>表紙!$AJ$40</f>
        <v>配賦管理</v>
      </c>
      <c r="AY2" s="503"/>
      <c r="AZ2" s="503"/>
      <c r="BA2" s="503"/>
      <c r="BB2" s="503"/>
      <c r="BC2" s="503"/>
      <c r="BD2" s="503"/>
      <c r="BE2" s="503"/>
      <c r="BF2" s="503"/>
      <c r="BG2" s="503"/>
      <c r="BH2" s="503"/>
      <c r="BI2" s="503"/>
      <c r="BJ2" s="503"/>
      <c r="BK2" s="504"/>
      <c r="BL2" s="508" t="str">
        <f>文書番号_カスタマイズ</f>
        <v>J052-0-0001</v>
      </c>
      <c r="BM2" s="440"/>
      <c r="BN2" s="440"/>
      <c r="BO2" s="440"/>
      <c r="BP2" s="440"/>
      <c r="BQ2" s="440"/>
      <c r="BR2" s="440"/>
      <c r="BS2" s="440"/>
      <c r="BT2" s="441"/>
      <c r="BU2" s="508" t="str">
        <f>Ver.</f>
        <v>7.0.1</v>
      </c>
      <c r="BV2" s="440"/>
      <c r="BW2" s="440"/>
      <c r="BX2" s="440"/>
      <c r="BY2" s="440"/>
      <c r="BZ2" s="440"/>
      <c r="CA2" s="441"/>
      <c r="CB2" s="654">
        <f>Rev.</f>
        <v>0.1</v>
      </c>
      <c r="CC2" s="655"/>
      <c r="CD2" s="655"/>
      <c r="CE2" s="655"/>
      <c r="CF2" s="655"/>
      <c r="CG2" s="655"/>
      <c r="CH2" s="656"/>
    </row>
    <row r="3" spans="1:86" s="7" customFormat="1" ht="15" thickBot="1">
      <c r="A3" s="471"/>
      <c r="B3" s="630"/>
      <c r="C3" s="630"/>
      <c r="D3" s="630"/>
      <c r="E3" s="630"/>
      <c r="F3" s="630"/>
      <c r="G3" s="630"/>
      <c r="H3" s="630"/>
      <c r="I3" s="630"/>
      <c r="J3" s="630"/>
      <c r="K3" s="630"/>
      <c r="L3" s="630"/>
      <c r="M3" s="630"/>
      <c r="N3" s="472"/>
      <c r="O3" s="514" t="e">
        <f ca="1">RIGHT(CELL("filename",$A$1),LEN(CELL("filename",$A$1))-FIND("]",CELL("filename",$A$1)))</f>
        <v>#VALUE!</v>
      </c>
      <c r="P3" s="635"/>
      <c r="Q3" s="635"/>
      <c r="R3" s="635"/>
      <c r="S3" s="635"/>
      <c r="T3" s="635"/>
      <c r="U3" s="635"/>
      <c r="V3" s="635"/>
      <c r="W3" s="635"/>
      <c r="X3" s="635"/>
      <c r="Y3" s="635"/>
      <c r="Z3" s="635"/>
      <c r="AA3" s="635"/>
      <c r="AB3" s="635"/>
      <c r="AC3" s="531" t="s">
        <v>58</v>
      </c>
      <c r="AD3" s="520"/>
      <c r="AE3" s="520"/>
      <c r="AF3" s="520"/>
      <c r="AG3" s="520"/>
      <c r="AH3" s="520"/>
      <c r="AI3" s="532"/>
      <c r="AJ3" s="519" t="str">
        <f>表紙!$Z$41</f>
        <v>MGBGB0020</v>
      </c>
      <c r="AK3" s="533"/>
      <c r="AL3" s="533"/>
      <c r="AM3" s="533"/>
      <c r="AN3" s="533"/>
      <c r="AO3" s="533"/>
      <c r="AP3" s="533"/>
      <c r="AQ3" s="534" t="str">
        <f>表紙!$AE$41</f>
        <v>配賦費用実績ＩＦ取込バッチ</v>
      </c>
      <c r="AR3" s="535"/>
      <c r="AS3" s="535"/>
      <c r="AT3" s="535"/>
      <c r="AU3" s="535"/>
      <c r="AV3" s="535"/>
      <c r="AW3" s="535"/>
      <c r="AX3" s="535"/>
      <c r="AY3" s="535"/>
      <c r="AZ3" s="535"/>
      <c r="BA3" s="535"/>
      <c r="BB3" s="535"/>
      <c r="BC3" s="535"/>
      <c r="BD3" s="535"/>
      <c r="BE3" s="535"/>
      <c r="BF3" s="535"/>
      <c r="BG3" s="535"/>
      <c r="BH3" s="535"/>
      <c r="BI3" s="535"/>
      <c r="BJ3" s="535"/>
      <c r="BK3" s="536"/>
      <c r="BL3" s="509"/>
      <c r="BM3" s="633"/>
      <c r="BN3" s="633"/>
      <c r="BO3" s="633"/>
      <c r="BP3" s="633"/>
      <c r="BQ3" s="633"/>
      <c r="BR3" s="633"/>
      <c r="BS3" s="633"/>
      <c r="BT3" s="510"/>
      <c r="BU3" s="509"/>
      <c r="BV3" s="633"/>
      <c r="BW3" s="633"/>
      <c r="BX3" s="633"/>
      <c r="BY3" s="633"/>
      <c r="BZ3" s="633"/>
      <c r="CA3" s="510"/>
      <c r="CB3" s="657"/>
      <c r="CC3" s="718"/>
      <c r="CD3" s="718"/>
      <c r="CE3" s="718"/>
      <c r="CF3" s="718"/>
      <c r="CG3" s="718"/>
      <c r="CH3" s="658"/>
    </row>
    <row r="4" spans="1:86" s="7" customFormat="1" ht="6.75" customHeight="1" thickBot="1">
      <c r="B4" s="3"/>
      <c r="C4" s="4"/>
      <c r="D4" s="4"/>
      <c r="E4" s="4"/>
      <c r="F4" s="5"/>
      <c r="G4" s="5"/>
      <c r="H4" s="5"/>
      <c r="I4" s="5"/>
      <c r="J4" s="4"/>
      <c r="K4" s="5"/>
      <c r="L4" s="5"/>
      <c r="M4" s="5"/>
      <c r="N4" s="5"/>
      <c r="O4" s="5"/>
      <c r="P4" s="5"/>
      <c r="Q4" s="6"/>
    </row>
    <row r="5" spans="1:86" s="58" customFormat="1" ht="15.75" customHeight="1">
      <c r="A5" s="55"/>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t="s">
        <v>112</v>
      </c>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7"/>
    </row>
    <row r="6" spans="1:86" ht="15.75" customHeight="1">
      <c r="A6" s="59"/>
      <c r="Q6" s="11"/>
      <c r="S6" s="60"/>
      <c r="CH6" s="61"/>
    </row>
    <row r="7" spans="1:86" ht="15.75" customHeight="1">
      <c r="A7" s="59"/>
      <c r="B7" s="10" t="s">
        <v>203</v>
      </c>
      <c r="Q7" s="11"/>
      <c r="S7" s="60"/>
      <c r="CC7" s="190"/>
      <c r="CD7" s="190"/>
      <c r="CE7" s="190"/>
      <c r="CF7" s="190"/>
      <c r="CH7" s="61"/>
    </row>
    <row r="8" spans="1:86" ht="15.75" customHeight="1">
      <c r="A8" s="59"/>
      <c r="B8" s="10"/>
      <c r="C8" s="191" t="s">
        <v>31</v>
      </c>
      <c r="D8" s="192"/>
      <c r="E8" s="192"/>
      <c r="F8" s="193"/>
      <c r="G8" s="191" t="s">
        <v>204</v>
      </c>
      <c r="H8" s="192"/>
      <c r="I8" s="192"/>
      <c r="J8" s="192"/>
      <c r="K8" s="192"/>
      <c r="L8" s="192"/>
      <c r="M8" s="192"/>
      <c r="N8" s="192"/>
      <c r="O8" s="192"/>
      <c r="P8" s="192"/>
      <c r="Q8" s="192"/>
      <c r="R8" s="192"/>
      <c r="S8" s="194"/>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2"/>
      <c r="BQ8" s="192"/>
      <c r="BR8" s="192"/>
      <c r="BS8" s="192"/>
      <c r="BT8" s="192"/>
      <c r="BU8" s="192"/>
      <c r="BV8" s="192"/>
      <c r="BW8" s="192"/>
      <c r="BX8" s="192"/>
      <c r="BY8" s="192"/>
      <c r="BZ8" s="192"/>
      <c r="CA8" s="193"/>
      <c r="CC8" s="190"/>
      <c r="CD8" s="190"/>
      <c r="CE8" s="190"/>
      <c r="CF8" s="190"/>
      <c r="CH8" s="61"/>
    </row>
    <row r="9" spans="1:86" ht="15.75" customHeight="1">
      <c r="A9" s="59"/>
      <c r="C9" s="195" t="s">
        <v>205</v>
      </c>
      <c r="D9" s="196"/>
      <c r="E9" s="196"/>
      <c r="F9" s="197"/>
      <c r="G9" s="195"/>
      <c r="H9" s="196"/>
      <c r="I9" s="196"/>
      <c r="J9" s="196"/>
      <c r="K9" s="196"/>
      <c r="L9" s="196"/>
      <c r="M9" s="196"/>
      <c r="N9" s="196"/>
      <c r="O9" s="196"/>
      <c r="P9" s="196"/>
      <c r="Q9" s="196"/>
      <c r="R9" s="196"/>
      <c r="S9" s="198"/>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7"/>
      <c r="CC9" s="190"/>
      <c r="CD9" s="190"/>
      <c r="CE9" s="190"/>
      <c r="CF9" s="190"/>
      <c r="CH9" s="61"/>
    </row>
    <row r="10" spans="1:86" ht="15.75" customHeight="1">
      <c r="A10" s="59"/>
      <c r="C10" s="659">
        <v>23</v>
      </c>
      <c r="D10" s="660"/>
      <c r="E10" s="660"/>
      <c r="F10" s="661"/>
      <c r="G10" s="69" t="s">
        <v>206</v>
      </c>
      <c r="H10" s="67"/>
      <c r="I10" s="67"/>
      <c r="J10" s="67"/>
      <c r="K10" s="67"/>
      <c r="L10" s="67"/>
      <c r="M10" s="67"/>
      <c r="N10" s="67"/>
      <c r="O10" s="67"/>
      <c r="P10" s="67"/>
      <c r="Q10" s="67"/>
      <c r="R10" s="67"/>
      <c r="S10" s="199"/>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8"/>
      <c r="CC10" s="190"/>
      <c r="CD10" s="190"/>
      <c r="CE10" s="190"/>
      <c r="CF10" s="190"/>
      <c r="CH10" s="61"/>
    </row>
    <row r="11" spans="1:86" ht="15.75" customHeight="1">
      <c r="A11" s="59"/>
      <c r="C11" s="72"/>
      <c r="F11" s="71"/>
      <c r="G11" s="72" t="s">
        <v>207</v>
      </c>
      <c r="Q11" s="11"/>
      <c r="S11" s="60"/>
      <c r="CA11" s="71"/>
      <c r="CC11" s="190"/>
      <c r="CD11" s="190"/>
      <c r="CE11" s="190"/>
      <c r="CF11" s="190"/>
      <c r="CH11" s="61"/>
    </row>
    <row r="12" spans="1:86" ht="15.75" customHeight="1">
      <c r="A12" s="59"/>
      <c r="C12" s="73"/>
      <c r="D12" s="74"/>
      <c r="E12" s="74"/>
      <c r="F12" s="75"/>
      <c r="G12" s="73"/>
      <c r="H12" s="74"/>
      <c r="I12" s="74"/>
      <c r="J12" s="74"/>
      <c r="K12" s="74"/>
      <c r="L12" s="74"/>
      <c r="M12" s="74"/>
      <c r="N12" s="74"/>
      <c r="O12" s="74"/>
      <c r="P12" s="74"/>
      <c r="Q12" s="74"/>
      <c r="R12" s="74"/>
      <c r="S12" s="200"/>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5"/>
      <c r="CC12" s="190"/>
      <c r="CD12" s="190"/>
      <c r="CE12" s="190"/>
      <c r="CF12" s="190"/>
      <c r="CH12" s="61"/>
    </row>
    <row r="13" spans="1:86" ht="15.75" customHeight="1">
      <c r="A13" s="59"/>
      <c r="Q13" s="11"/>
      <c r="S13" s="60"/>
      <c r="CC13" s="190"/>
      <c r="CD13" s="190"/>
      <c r="CE13" s="190"/>
      <c r="CF13" s="190"/>
      <c r="CH13" s="61"/>
    </row>
    <row r="14" spans="1:86" ht="15.75" customHeight="1">
      <c r="A14" s="59"/>
      <c r="B14" s="10" t="s">
        <v>208</v>
      </c>
      <c r="Q14" s="11"/>
      <c r="S14" s="60"/>
      <c r="CC14" s="190"/>
      <c r="CD14" s="190"/>
      <c r="CE14" s="190"/>
      <c r="CF14" s="190"/>
      <c r="CH14" s="61"/>
    </row>
    <row r="15" spans="1:86" ht="15.75" customHeight="1">
      <c r="A15" s="59"/>
      <c r="B15" s="10"/>
      <c r="C15" s="201" t="s">
        <v>209</v>
      </c>
      <c r="D15" s="11" t="s">
        <v>210</v>
      </c>
      <c r="Q15" s="11"/>
      <c r="S15" s="60"/>
      <c r="CC15" s="190"/>
      <c r="CD15" s="190"/>
      <c r="CE15" s="190"/>
      <c r="CF15" s="190"/>
      <c r="CH15" s="61"/>
    </row>
    <row r="16" spans="1:86" ht="15.75" customHeight="1">
      <c r="A16" s="59"/>
      <c r="B16" s="10"/>
      <c r="C16" s="201"/>
      <c r="D16" s="11" t="s">
        <v>211</v>
      </c>
      <c r="Q16" s="11"/>
      <c r="S16" s="60"/>
      <c r="CC16" s="190"/>
      <c r="CD16" s="190"/>
      <c r="CE16" s="190"/>
      <c r="CF16" s="190"/>
      <c r="CH16" s="61"/>
    </row>
    <row r="17" spans="1:86" ht="15.75" customHeight="1">
      <c r="A17" s="59"/>
      <c r="B17" s="10"/>
      <c r="C17" s="201"/>
      <c r="D17" s="11" t="s">
        <v>147</v>
      </c>
      <c r="E17" s="11" t="s">
        <v>212</v>
      </c>
      <c r="Q17" s="11"/>
      <c r="S17" s="60"/>
      <c r="W17" s="11" t="s">
        <v>213</v>
      </c>
      <c r="CC17" s="190"/>
      <c r="CD17" s="190"/>
      <c r="CE17" s="190"/>
      <c r="CF17" s="190"/>
      <c r="CH17" s="61"/>
    </row>
    <row r="18" spans="1:86" ht="15.75" customHeight="1">
      <c r="A18" s="59"/>
      <c r="B18" s="10"/>
      <c r="C18" s="201"/>
      <c r="D18" s="11" t="s">
        <v>147</v>
      </c>
      <c r="E18" s="11" t="s">
        <v>214</v>
      </c>
      <c r="Q18" s="11"/>
      <c r="S18" s="60"/>
      <c r="W18" s="11" t="s">
        <v>215</v>
      </c>
      <c r="CC18" s="190"/>
      <c r="CD18" s="190"/>
      <c r="CE18" s="190"/>
      <c r="CF18" s="190"/>
      <c r="CH18" s="61"/>
    </row>
    <row r="19" spans="1:86" ht="15.75" customHeight="1">
      <c r="A19" s="59"/>
      <c r="B19" s="10"/>
      <c r="D19" s="11" t="s">
        <v>147</v>
      </c>
      <c r="E19" s="11" t="s">
        <v>216</v>
      </c>
      <c r="Q19" s="11"/>
      <c r="S19" s="60"/>
      <c r="W19" s="11" t="s">
        <v>217</v>
      </c>
      <c r="CC19" s="190"/>
      <c r="CD19" s="190"/>
      <c r="CE19" s="190"/>
      <c r="CF19" s="190"/>
      <c r="CH19" s="61"/>
    </row>
    <row r="20" spans="1:86" ht="15.75" customHeight="1">
      <c r="A20" s="59"/>
      <c r="B20" s="10"/>
      <c r="C20" s="201" t="s">
        <v>218</v>
      </c>
      <c r="D20" s="11" t="s">
        <v>219</v>
      </c>
      <c r="Q20" s="11"/>
      <c r="S20" s="60"/>
      <c r="CC20" s="190"/>
      <c r="CD20" s="190"/>
      <c r="CE20" s="190"/>
      <c r="CF20" s="190"/>
      <c r="CH20" s="61"/>
    </row>
    <row r="21" spans="1:86" ht="15.75" customHeight="1">
      <c r="A21" s="59"/>
      <c r="B21" s="10"/>
      <c r="Q21" s="11"/>
      <c r="S21" s="60"/>
      <c r="CC21" s="190"/>
      <c r="CD21" s="190"/>
      <c r="CE21" s="190"/>
      <c r="CF21" s="190"/>
      <c r="CH21" s="61"/>
    </row>
    <row r="22" spans="1:86" ht="15.75" customHeight="1">
      <c r="A22" s="59"/>
      <c r="B22" s="10" t="s">
        <v>220</v>
      </c>
      <c r="Q22" s="11"/>
      <c r="S22" s="60"/>
      <c r="CC22" s="190"/>
      <c r="CD22" s="190"/>
      <c r="CE22" s="190"/>
      <c r="CF22" s="190"/>
      <c r="CH22" s="61"/>
    </row>
    <row r="23" spans="1:86" ht="15.75" customHeight="1">
      <c r="A23" s="59"/>
      <c r="B23" s="10"/>
      <c r="C23" s="201" t="s">
        <v>209</v>
      </c>
      <c r="D23" s="11" t="s">
        <v>221</v>
      </c>
      <c r="Q23" s="11"/>
      <c r="S23" s="60"/>
      <c r="CC23" s="190"/>
      <c r="CD23" s="190"/>
      <c r="CE23" s="190"/>
      <c r="CF23" s="190"/>
      <c r="CH23" s="61"/>
    </row>
    <row r="24" spans="1:86" ht="15.75" customHeight="1">
      <c r="A24" s="59"/>
      <c r="B24" s="190"/>
      <c r="C24" s="190"/>
      <c r="D24" s="190"/>
      <c r="E24" s="190"/>
      <c r="F24" s="190"/>
      <c r="G24" s="190"/>
      <c r="H24" s="190"/>
      <c r="I24" s="190"/>
      <c r="J24" s="190"/>
      <c r="K24" s="190"/>
      <c r="L24" s="190"/>
      <c r="M24" s="190"/>
      <c r="N24" s="190"/>
      <c r="O24" s="190"/>
      <c r="P24" s="190"/>
      <c r="Q24" s="190"/>
      <c r="R24" s="190"/>
      <c r="S24" s="202"/>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0"/>
      <c r="BT24" s="190"/>
      <c r="BU24" s="190"/>
      <c r="BV24" s="190"/>
      <c r="BW24" s="190"/>
      <c r="BX24" s="190"/>
      <c r="BY24" s="190"/>
      <c r="BZ24" s="190"/>
      <c r="CA24" s="190"/>
      <c r="CB24" s="190"/>
      <c r="CC24" s="190"/>
      <c r="CD24" s="190"/>
      <c r="CE24" s="190"/>
      <c r="CF24" s="190"/>
      <c r="CH24" s="61"/>
    </row>
    <row r="25" spans="1:86" ht="15.75" customHeight="1">
      <c r="A25" s="59"/>
      <c r="B25" s="10" t="s">
        <v>222</v>
      </c>
      <c r="Q25" s="190"/>
      <c r="R25" s="190"/>
      <c r="S25" s="202"/>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0"/>
      <c r="BK25" s="190"/>
      <c r="BL25" s="190"/>
      <c r="BM25" s="190"/>
      <c r="BN25" s="190"/>
      <c r="BO25" s="190"/>
      <c r="BP25" s="190"/>
      <c r="BQ25" s="190"/>
      <c r="BR25" s="190"/>
      <c r="BS25" s="190"/>
      <c r="BT25" s="190"/>
      <c r="BU25" s="190"/>
      <c r="BV25" s="190"/>
      <c r="BW25" s="190"/>
      <c r="BX25" s="190"/>
      <c r="BY25" s="190"/>
      <c r="BZ25" s="190"/>
      <c r="CA25" s="190"/>
      <c r="CB25" s="190"/>
      <c r="CC25" s="190"/>
      <c r="CD25" s="190"/>
      <c r="CE25" s="190"/>
      <c r="CF25" s="190"/>
      <c r="CH25" s="61"/>
    </row>
    <row r="26" spans="1:86" ht="15.75" customHeight="1">
      <c r="A26" s="59"/>
      <c r="C26" s="11" t="s">
        <v>223</v>
      </c>
      <c r="D26" s="11" t="s">
        <v>224</v>
      </c>
      <c r="Q26" s="190"/>
      <c r="R26" s="190"/>
      <c r="S26" s="202"/>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c r="BO26" s="190"/>
      <c r="BP26" s="190"/>
      <c r="BQ26" s="190"/>
      <c r="BR26" s="190"/>
      <c r="BS26" s="190"/>
      <c r="BT26" s="190"/>
      <c r="BU26" s="190"/>
      <c r="BV26" s="190"/>
      <c r="BW26" s="190"/>
      <c r="BX26" s="190"/>
      <c r="BY26" s="190"/>
      <c r="BZ26" s="190"/>
      <c r="CA26" s="190"/>
      <c r="CB26" s="190"/>
      <c r="CC26" s="190"/>
      <c r="CD26" s="190"/>
      <c r="CE26" s="190"/>
      <c r="CF26" s="190"/>
      <c r="CH26" s="61"/>
    </row>
    <row r="27" spans="1:86" ht="15.75" customHeight="1">
      <c r="A27" s="59"/>
      <c r="C27" s="11" t="s">
        <v>223</v>
      </c>
      <c r="D27" s="11" t="s">
        <v>225</v>
      </c>
      <c r="Q27" s="190"/>
      <c r="R27" s="190"/>
      <c r="S27" s="202"/>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c r="BJ27" s="190"/>
      <c r="BK27" s="190"/>
      <c r="BL27" s="190"/>
      <c r="BM27" s="190"/>
      <c r="BN27" s="190"/>
      <c r="BO27" s="190"/>
      <c r="BP27" s="190"/>
      <c r="BQ27" s="190"/>
      <c r="BR27" s="190"/>
      <c r="BS27" s="190"/>
      <c r="BT27" s="190"/>
      <c r="BU27" s="190"/>
      <c r="BV27" s="190"/>
      <c r="BW27" s="190"/>
      <c r="BX27" s="190"/>
      <c r="BY27" s="190"/>
      <c r="BZ27" s="190"/>
      <c r="CA27" s="190"/>
      <c r="CB27" s="190"/>
      <c r="CC27" s="190"/>
      <c r="CD27" s="190"/>
      <c r="CE27" s="190"/>
      <c r="CF27" s="190"/>
      <c r="CH27" s="61"/>
    </row>
    <row r="28" spans="1:86" ht="15.75" customHeight="1">
      <c r="A28" s="59"/>
      <c r="B28" s="190"/>
      <c r="C28" s="190"/>
      <c r="D28" s="190"/>
      <c r="E28" s="190"/>
      <c r="F28" s="190"/>
      <c r="G28" s="190"/>
      <c r="H28" s="190"/>
      <c r="I28" s="190"/>
      <c r="J28" s="190"/>
      <c r="K28" s="190"/>
      <c r="L28" s="190"/>
      <c r="M28" s="190"/>
      <c r="N28" s="190"/>
      <c r="O28" s="190"/>
      <c r="P28" s="190"/>
      <c r="Q28" s="190"/>
      <c r="R28" s="190"/>
      <c r="S28" s="202"/>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c r="BJ28" s="190"/>
      <c r="BK28" s="190"/>
      <c r="BL28" s="190"/>
      <c r="BM28" s="190"/>
      <c r="BN28" s="190"/>
      <c r="BO28" s="190"/>
      <c r="BP28" s="190"/>
      <c r="BQ28" s="190"/>
      <c r="BR28" s="190"/>
      <c r="BS28" s="190"/>
      <c r="BT28" s="190"/>
      <c r="BU28" s="190"/>
      <c r="BV28" s="190"/>
      <c r="BW28" s="190"/>
      <c r="BX28" s="190"/>
      <c r="BY28" s="190"/>
      <c r="BZ28" s="190"/>
      <c r="CA28" s="190"/>
      <c r="CB28" s="190"/>
      <c r="CC28" s="190"/>
      <c r="CD28" s="190"/>
      <c r="CE28" s="190"/>
      <c r="CF28" s="190"/>
      <c r="CH28" s="61"/>
    </row>
    <row r="29" spans="1:86" ht="15.75" customHeight="1">
      <c r="A29" s="59"/>
      <c r="B29" s="190"/>
      <c r="C29" s="190"/>
      <c r="D29" s="190"/>
      <c r="E29" s="190"/>
      <c r="F29" s="190"/>
      <c r="G29" s="190"/>
      <c r="H29" s="190"/>
      <c r="I29" s="190"/>
      <c r="J29" s="190"/>
      <c r="K29" s="190"/>
      <c r="L29" s="190"/>
      <c r="M29" s="190"/>
      <c r="N29" s="190"/>
      <c r="O29" s="190"/>
      <c r="P29" s="190"/>
      <c r="Q29" s="190"/>
      <c r="R29" s="190"/>
      <c r="S29" s="202"/>
      <c r="T29" s="190"/>
      <c r="U29" s="190"/>
      <c r="V29" s="190"/>
      <c r="W29" s="190"/>
      <c r="X29" s="190"/>
      <c r="Y29" s="190"/>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c r="BF29" s="190"/>
      <c r="BG29" s="190"/>
      <c r="BH29" s="190"/>
      <c r="BI29" s="190"/>
      <c r="BJ29" s="190"/>
      <c r="BK29" s="190"/>
      <c r="BL29" s="190"/>
      <c r="BM29" s="190"/>
      <c r="BN29" s="190"/>
      <c r="BO29" s="190"/>
      <c r="BP29" s="190"/>
      <c r="BQ29" s="190"/>
      <c r="BR29" s="190"/>
      <c r="BS29" s="190"/>
      <c r="BT29" s="190"/>
      <c r="BU29" s="190"/>
      <c r="BV29" s="190"/>
      <c r="BW29" s="190"/>
      <c r="BX29" s="190"/>
      <c r="BY29" s="190"/>
      <c r="BZ29" s="190"/>
      <c r="CA29" s="190"/>
      <c r="CB29" s="190"/>
      <c r="CC29" s="190"/>
      <c r="CD29" s="190"/>
      <c r="CE29" s="190"/>
      <c r="CF29" s="190"/>
      <c r="CH29" s="61"/>
    </row>
    <row r="30" spans="1:86" ht="15.75" customHeight="1">
      <c r="A30" s="59"/>
      <c r="B30" s="190"/>
      <c r="C30" s="190"/>
      <c r="D30" s="190"/>
      <c r="E30" s="190"/>
      <c r="F30" s="190"/>
      <c r="G30" s="190"/>
      <c r="H30" s="190"/>
      <c r="I30" s="190"/>
      <c r="J30" s="190"/>
      <c r="K30" s="190"/>
      <c r="L30" s="190"/>
      <c r="M30" s="190"/>
      <c r="N30" s="190"/>
      <c r="O30" s="190"/>
      <c r="P30" s="190"/>
      <c r="Q30" s="190"/>
      <c r="R30" s="190"/>
      <c r="S30" s="202"/>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c r="BF30" s="190"/>
      <c r="BG30" s="190"/>
      <c r="BH30" s="190"/>
      <c r="BI30" s="190"/>
      <c r="BJ30" s="190"/>
      <c r="BK30" s="190"/>
      <c r="BL30" s="190"/>
      <c r="BM30" s="190"/>
      <c r="BN30" s="190"/>
      <c r="BO30" s="190"/>
      <c r="BP30" s="190"/>
      <c r="BQ30" s="190"/>
      <c r="BR30" s="190"/>
      <c r="BS30" s="190"/>
      <c r="BT30" s="190"/>
      <c r="BU30" s="190"/>
      <c r="BV30" s="190"/>
      <c r="BW30" s="190"/>
      <c r="BX30" s="190"/>
      <c r="BY30" s="190"/>
      <c r="BZ30" s="190"/>
      <c r="CA30" s="190"/>
      <c r="CB30" s="190"/>
      <c r="CC30" s="190"/>
      <c r="CD30" s="190"/>
      <c r="CE30" s="190"/>
      <c r="CF30" s="190"/>
      <c r="CH30" s="61"/>
    </row>
    <row r="31" spans="1:86" ht="15.75" customHeight="1">
      <c r="A31" s="59"/>
      <c r="B31" s="10"/>
      <c r="Q31" s="11"/>
      <c r="CH31" s="61"/>
    </row>
    <row r="32" spans="1:86" ht="15.75" customHeight="1">
      <c r="A32" s="59"/>
      <c r="B32" s="10"/>
      <c r="Q32" s="11"/>
      <c r="CH32" s="61"/>
    </row>
    <row r="33" spans="1:86" ht="15.75" customHeight="1">
      <c r="A33" s="59"/>
      <c r="B33" s="10"/>
      <c r="Q33" s="11"/>
      <c r="CH33" s="61"/>
    </row>
    <row r="34" spans="1:86" ht="15.75" customHeight="1">
      <c r="A34" s="59"/>
      <c r="B34" s="10"/>
      <c r="Q34" s="11"/>
      <c r="CH34" s="61"/>
    </row>
    <row r="35" spans="1:86" ht="15.75" customHeight="1">
      <c r="A35" s="59"/>
      <c r="B35" s="10"/>
      <c r="Q35" s="11"/>
      <c r="CH35" s="61"/>
    </row>
    <row r="36" spans="1:86" ht="15.75" customHeight="1">
      <c r="A36" s="59"/>
      <c r="B36" s="10"/>
      <c r="Q36" s="11"/>
      <c r="CH36" s="61"/>
    </row>
    <row r="37" spans="1:86" ht="15.75" customHeight="1">
      <c r="A37" s="59"/>
      <c r="B37" s="10"/>
      <c r="Q37" s="11"/>
      <c r="CH37" s="61"/>
    </row>
    <row r="38" spans="1:86" ht="15.75" customHeight="1">
      <c r="A38" s="59"/>
      <c r="B38" s="10"/>
      <c r="Q38" s="11"/>
      <c r="CH38" s="61"/>
    </row>
    <row r="39" spans="1:86" ht="15.75" customHeight="1">
      <c r="A39" s="59"/>
      <c r="B39" s="10"/>
      <c r="Q39" s="11"/>
      <c r="CH39" s="61"/>
    </row>
    <row r="40" spans="1:86" ht="15.75" customHeight="1">
      <c r="A40" s="59"/>
      <c r="B40" s="10"/>
      <c r="Q40" s="11"/>
      <c r="CH40" s="61"/>
    </row>
    <row r="41" spans="1:86" ht="15.75" customHeight="1">
      <c r="A41" s="59"/>
      <c r="B41" s="10"/>
      <c r="Q41" s="11"/>
      <c r="CH41" s="61"/>
    </row>
    <row r="42" spans="1:86" ht="15.75" customHeight="1">
      <c r="A42" s="59"/>
      <c r="B42" s="10"/>
      <c r="Q42" s="11"/>
      <c r="CH42" s="61"/>
    </row>
    <row r="43" spans="1:86" ht="15.75" customHeight="1">
      <c r="A43" s="59"/>
      <c r="B43" s="10"/>
      <c r="CH43" s="61"/>
    </row>
    <row r="44" spans="1:86" ht="15.75" customHeight="1" thickBot="1">
      <c r="A44" s="83"/>
      <c r="B44" s="84"/>
      <c r="C44" s="84"/>
      <c r="D44" s="84"/>
      <c r="E44" s="84"/>
      <c r="F44" s="84"/>
      <c r="G44" s="84"/>
      <c r="H44" s="84"/>
      <c r="I44" s="84"/>
      <c r="J44" s="84"/>
      <c r="K44" s="84"/>
      <c r="L44" s="84"/>
      <c r="M44" s="84"/>
      <c r="N44" s="84"/>
      <c r="O44" s="84"/>
      <c r="P44" s="84"/>
      <c r="Q44" s="85"/>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6"/>
    </row>
  </sheetData>
  <mergeCells count="22">
    <mergeCell ref="O3:AB3"/>
    <mergeCell ref="AC3:AI3"/>
    <mergeCell ref="AJ3:AP3"/>
    <mergeCell ref="C10:F10"/>
    <mergeCell ref="A1:N3"/>
    <mergeCell ref="O1:AB1"/>
    <mergeCell ref="AC1:AI1"/>
    <mergeCell ref="AJ1:AP1"/>
    <mergeCell ref="O2:AB2"/>
    <mergeCell ref="AC2:AI2"/>
    <mergeCell ref="AJ2:AP2"/>
    <mergeCell ref="AQ2:AW2"/>
    <mergeCell ref="AX2:BK2"/>
    <mergeCell ref="AQ3:BK3"/>
    <mergeCell ref="AQ1:AW1"/>
    <mergeCell ref="BL1:BT1"/>
    <mergeCell ref="BU1:CA1"/>
    <mergeCell ref="CB1:CH1"/>
    <mergeCell ref="BL2:BT3"/>
    <mergeCell ref="BU2:CA3"/>
    <mergeCell ref="AX1:BK1"/>
    <mergeCell ref="CB2:CH3"/>
  </mergeCells>
  <phoneticPr fontId="1"/>
  <pageMargins left="0.51181102362204722" right="0.74803149606299213" top="0.70866141732283472" bottom="0.43307086614173229" header="0.51181102362204722" footer="0.35433070866141736"/>
  <pageSetup paperSize="9" scale="75" fitToHeight="0" orientation="landscape" r:id="rId1"/>
  <headerFooter alignWithMargins="0">
    <oddFooter>&amp;L&amp;"Meiryo UI,標準"&amp;10MGBGB0020&amp;C&amp;"Meiryo UI,標準"&amp;10&amp;P&amp;R&amp;"Meiryo UI,標準"&amp;10(C)Toyo Business Engineering Corp.[Confidential]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K35"/>
  <sheetViews>
    <sheetView showGridLines="0" showZeros="0" view="pageLayout" zoomScaleNormal="100" zoomScaleSheetLayoutView="100" workbookViewId="0">
      <selection sqref="A1:J3"/>
    </sheetView>
  </sheetViews>
  <sheetFormatPr defaultColWidth="2.125" defaultRowHeight="15.75" customHeight="1"/>
  <cols>
    <col min="1" max="1" width="2.125" style="101" customWidth="1"/>
    <col min="2" max="2" width="2.125" style="11" customWidth="1"/>
    <col min="3" max="3" width="2.375" style="11" customWidth="1"/>
    <col min="4" max="4" width="2.125" style="11" customWidth="1"/>
    <col min="5" max="5" width="3" style="11" customWidth="1"/>
    <col min="6" max="63" width="2.125" style="11" customWidth="1"/>
    <col min="64" max="16384" width="2.125" style="11"/>
  </cols>
  <sheetData>
    <row r="1" spans="1:63" s="7" customFormat="1" ht="15.7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75" customHeight="1">
      <c r="A2" s="468"/>
      <c r="B2" s="469"/>
      <c r="C2" s="469"/>
      <c r="D2" s="469"/>
      <c r="E2" s="469"/>
      <c r="F2" s="469"/>
      <c r="G2" s="469"/>
      <c r="H2" s="469"/>
      <c r="I2" s="469"/>
      <c r="J2" s="470"/>
      <c r="K2" s="498" t="str">
        <f>文書名</f>
        <v>バッチ説明書</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f>
        <v>M7-US-1311</v>
      </c>
      <c r="AT2" s="506"/>
      <c r="AU2" s="506"/>
      <c r="AV2" s="506"/>
      <c r="AW2" s="506"/>
      <c r="AX2" s="506"/>
      <c r="AY2" s="506"/>
      <c r="AZ2" s="508" t="str">
        <f>Version</f>
        <v>7.0.1</v>
      </c>
      <c r="BA2" s="440"/>
      <c r="BB2" s="440"/>
      <c r="BC2" s="440"/>
      <c r="BD2" s="440"/>
      <c r="BE2" s="441"/>
      <c r="BF2" s="526" t="str">
        <f>Revision</f>
        <v>r01.01</v>
      </c>
      <c r="BG2" s="440"/>
      <c r="BH2" s="440"/>
      <c r="BI2" s="440"/>
      <c r="BJ2" s="440"/>
      <c r="BK2" s="512"/>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509"/>
      <c r="BG3" s="633"/>
      <c r="BH3" s="633"/>
      <c r="BI3" s="633"/>
      <c r="BJ3" s="633"/>
      <c r="BK3" s="513"/>
    </row>
    <row r="4" spans="1:63" s="7" customFormat="1" ht="6.75" customHeight="1" thickBot="1">
      <c r="B4" s="3"/>
      <c r="C4" s="4"/>
      <c r="D4" s="4"/>
      <c r="E4" s="4"/>
      <c r="F4" s="5"/>
      <c r="G4" s="5"/>
      <c r="H4" s="5"/>
      <c r="I4" s="5"/>
      <c r="J4" s="4"/>
      <c r="K4" s="5"/>
      <c r="L4" s="5"/>
      <c r="M4" s="5"/>
      <c r="N4" s="5"/>
      <c r="O4" s="5"/>
      <c r="P4" s="5"/>
      <c r="Q4" s="6"/>
    </row>
    <row r="5" spans="1:63" ht="15.75" customHeight="1">
      <c r="A5" s="87"/>
      <c r="B5" s="88" t="s">
        <v>226</v>
      </c>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E5" s="89"/>
      <c r="BF5" s="89"/>
      <c r="BG5" s="89"/>
      <c r="BH5" s="89"/>
      <c r="BI5" s="89"/>
      <c r="BJ5" s="89"/>
      <c r="BK5" s="90"/>
    </row>
    <row r="6" spans="1:63" ht="15.75" customHeight="1">
      <c r="A6" s="91" t="s">
        <v>227</v>
      </c>
      <c r="B6" s="92" t="s">
        <v>228</v>
      </c>
      <c r="C6" s="93"/>
      <c r="D6" s="93"/>
      <c r="E6" s="93"/>
      <c r="F6" s="93"/>
      <c r="G6" s="93"/>
      <c r="H6" s="93"/>
      <c r="I6" s="93"/>
      <c r="J6" s="93"/>
      <c r="K6" s="93"/>
      <c r="L6" s="94"/>
      <c r="M6" s="93"/>
      <c r="N6" s="95" t="s">
        <v>229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6" t="s">
        <v>230</v>
      </c>
      <c r="AT6" s="93"/>
      <c r="AU6" s="93"/>
      <c r="AV6" s="93"/>
      <c r="AW6" s="93"/>
      <c r="AX6" s="93"/>
      <c r="AY6" s="93"/>
      <c r="AZ6" s="93"/>
      <c r="BA6" s="93"/>
      <c r="BB6" s="93"/>
      <c r="BC6" s="93"/>
      <c r="BD6" s="93"/>
      <c r="BE6" s="93"/>
      <c r="BF6" s="93"/>
      <c r="BG6" s="93"/>
      <c r="BH6" s="93"/>
      <c r="BI6" s="93"/>
      <c r="BJ6" s="93"/>
      <c r="BK6" s="97"/>
    </row>
    <row r="7" spans="1:63" ht="15.75" customHeight="1">
      <c r="A7" s="98" t="s">
        <v>231</v>
      </c>
      <c r="B7" s="99" t="s">
        <v>232</v>
      </c>
      <c r="C7" s="8"/>
      <c r="D7" s="8"/>
      <c r="E7" s="8"/>
      <c r="F7" s="8"/>
      <c r="G7" s="8"/>
      <c r="H7" s="8"/>
      <c r="I7" s="8"/>
      <c r="J7" s="8"/>
      <c r="K7" s="8"/>
      <c r="L7" s="9"/>
      <c r="M7" s="8" t="s">
        <v>233</v>
      </c>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1"/>
      <c r="AT7" s="8"/>
      <c r="AU7" s="8"/>
      <c r="AV7" s="8"/>
      <c r="AW7" s="8"/>
      <c r="AX7" s="8"/>
      <c r="AY7" s="8"/>
      <c r="AZ7" s="8"/>
      <c r="BA7" s="8"/>
      <c r="BB7" s="8"/>
      <c r="BC7" s="8"/>
      <c r="BD7" s="8"/>
      <c r="BE7" s="8"/>
      <c r="BF7" s="8"/>
      <c r="BG7" s="8"/>
      <c r="BH7" s="8"/>
      <c r="BI7" s="8"/>
      <c r="BJ7" s="8"/>
      <c r="BK7" s="12"/>
    </row>
    <row r="8" spans="1:63" ht="15.75" customHeight="1">
      <c r="A8" s="98" t="s">
        <v>231</v>
      </c>
      <c r="B8" s="99" t="s">
        <v>234</v>
      </c>
      <c r="C8" s="8"/>
      <c r="D8" s="8"/>
      <c r="E8" s="8"/>
      <c r="F8" s="8"/>
      <c r="G8" s="8"/>
      <c r="H8" s="8"/>
      <c r="I8" s="8"/>
      <c r="J8" s="8"/>
      <c r="K8" s="8"/>
      <c r="L8" s="9"/>
      <c r="M8" s="8" t="s">
        <v>235</v>
      </c>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1"/>
      <c r="AT8" s="8"/>
      <c r="AU8" s="8"/>
      <c r="AV8" s="8"/>
      <c r="AW8" s="8"/>
      <c r="AX8" s="8"/>
      <c r="AY8" s="8"/>
      <c r="AZ8" s="8"/>
      <c r="BA8" s="8"/>
      <c r="BB8" s="8"/>
      <c r="BC8" s="8"/>
      <c r="BD8" s="8"/>
      <c r="BE8" s="8"/>
      <c r="BF8" s="8"/>
      <c r="BG8" s="8"/>
      <c r="BH8" s="8"/>
      <c r="BI8" s="8"/>
      <c r="BJ8" s="8"/>
      <c r="BK8" s="12"/>
    </row>
    <row r="9" spans="1:63" ht="15.75" customHeight="1">
      <c r="A9" s="98"/>
      <c r="B9" s="99" t="s">
        <v>236</v>
      </c>
      <c r="C9" s="8"/>
      <c r="D9" s="8"/>
      <c r="E9" s="8"/>
      <c r="F9" s="8"/>
      <c r="G9" s="8"/>
      <c r="H9" s="8"/>
      <c r="I9" s="8"/>
      <c r="J9" s="8"/>
      <c r="K9" s="8"/>
      <c r="L9" s="9"/>
      <c r="M9" s="8" t="s">
        <v>237</v>
      </c>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1" t="s">
        <v>238</v>
      </c>
      <c r="AT9" s="8"/>
      <c r="AU9" s="8"/>
      <c r="AV9" s="8"/>
      <c r="AW9" s="8"/>
      <c r="AX9" s="8"/>
      <c r="AY9" s="8"/>
      <c r="AZ9" s="8"/>
      <c r="BA9" s="8"/>
      <c r="BB9" s="8"/>
      <c r="BC9" s="8"/>
      <c r="BD9" s="8"/>
      <c r="BE9" s="8"/>
      <c r="BF9" s="8"/>
      <c r="BG9" s="8"/>
      <c r="BH9" s="8"/>
      <c r="BI9" s="8"/>
      <c r="BJ9" s="8"/>
      <c r="BK9" s="12"/>
    </row>
    <row r="10" spans="1:63" ht="15.75" customHeight="1">
      <c r="A10" s="98"/>
      <c r="B10" s="99" t="s">
        <v>239</v>
      </c>
      <c r="C10" s="8"/>
      <c r="D10" s="8"/>
      <c r="E10" s="8"/>
      <c r="F10" s="8"/>
      <c r="G10" s="8"/>
      <c r="H10" s="8"/>
      <c r="I10" s="8"/>
      <c r="J10" s="8"/>
      <c r="K10" s="8"/>
      <c r="L10" s="9"/>
      <c r="M10" s="8" t="s">
        <v>240</v>
      </c>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1" t="s">
        <v>241</v>
      </c>
      <c r="AT10" s="8"/>
      <c r="AU10" s="8"/>
      <c r="AV10" s="8"/>
      <c r="AW10" s="8"/>
      <c r="AX10" s="8"/>
      <c r="AY10" s="8"/>
      <c r="AZ10" s="8"/>
      <c r="BA10" s="8"/>
      <c r="BB10" s="8"/>
      <c r="BC10" s="8"/>
      <c r="BD10" s="8"/>
      <c r="BE10" s="8"/>
      <c r="BF10" s="8"/>
      <c r="BG10" s="8"/>
      <c r="BH10" s="8"/>
      <c r="BI10" s="8"/>
      <c r="BJ10" s="8"/>
      <c r="BK10" s="12"/>
    </row>
    <row r="11" spans="1:63" ht="15.75" customHeight="1">
      <c r="A11" s="98"/>
      <c r="B11" s="99" t="s">
        <v>242</v>
      </c>
      <c r="C11" s="8"/>
      <c r="D11" s="8"/>
      <c r="E11" s="8"/>
      <c r="F11" s="8"/>
      <c r="G11" s="8"/>
      <c r="H11" s="8"/>
      <c r="I11" s="8"/>
      <c r="J11" s="8"/>
      <c r="K11" s="8"/>
      <c r="L11" s="9"/>
      <c r="M11" s="8" t="s">
        <v>243</v>
      </c>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1" t="s">
        <v>244</v>
      </c>
      <c r="AT11" s="8"/>
      <c r="AU11" s="8"/>
      <c r="AV11" s="8"/>
      <c r="AW11" s="8"/>
      <c r="AX11" s="8"/>
      <c r="AY11" s="8"/>
      <c r="AZ11" s="8"/>
      <c r="BA11" s="8"/>
      <c r="BB11" s="8"/>
      <c r="BC11" s="8"/>
      <c r="BD11" s="8"/>
      <c r="BE11" s="8"/>
      <c r="BF11" s="8"/>
      <c r="BG11" s="8"/>
      <c r="BH11" s="8"/>
      <c r="BI11" s="8"/>
      <c r="BJ11" s="8"/>
      <c r="BK11" s="12"/>
    </row>
    <row r="12" spans="1:63" ht="15.75" customHeight="1">
      <c r="A12" s="98"/>
      <c r="B12" s="99"/>
      <c r="C12" s="8"/>
      <c r="D12" s="8"/>
      <c r="E12" s="8"/>
      <c r="F12" s="8"/>
      <c r="G12" s="8"/>
      <c r="H12" s="8"/>
      <c r="I12" s="8"/>
      <c r="J12" s="8"/>
      <c r="K12" s="8"/>
      <c r="L12" s="9"/>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1"/>
      <c r="AT12" s="8"/>
      <c r="AU12" s="8"/>
      <c r="AV12" s="8"/>
      <c r="AW12" s="8"/>
      <c r="AX12" s="8"/>
      <c r="AY12" s="8"/>
      <c r="AZ12" s="8"/>
      <c r="BA12" s="8"/>
      <c r="BB12" s="8"/>
      <c r="BC12" s="8"/>
      <c r="BD12" s="8"/>
      <c r="BE12" s="8"/>
      <c r="BF12" s="8"/>
      <c r="BG12" s="8"/>
      <c r="BH12" s="8"/>
      <c r="BI12" s="8"/>
      <c r="BJ12" s="8"/>
      <c r="BK12" s="12"/>
    </row>
    <row r="13" spans="1:63" ht="15.75" customHeight="1">
      <c r="A13" s="98"/>
      <c r="B13" s="99"/>
      <c r="C13" s="8"/>
      <c r="D13" s="8"/>
      <c r="E13" s="8"/>
      <c r="F13" s="8"/>
      <c r="G13" s="8"/>
      <c r="H13" s="8"/>
      <c r="I13" s="8"/>
      <c r="J13" s="8"/>
      <c r="K13" s="8"/>
      <c r="L13" s="9"/>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1"/>
      <c r="AT13" s="8"/>
      <c r="AU13" s="8"/>
      <c r="AV13" s="8"/>
      <c r="AW13" s="8"/>
      <c r="AX13" s="8"/>
      <c r="AY13" s="8"/>
      <c r="AZ13" s="8"/>
      <c r="BA13" s="8"/>
      <c r="BB13" s="8"/>
      <c r="BC13" s="8"/>
      <c r="BD13" s="8"/>
      <c r="BE13" s="8"/>
      <c r="BF13" s="8"/>
      <c r="BG13" s="8"/>
      <c r="BH13" s="8"/>
      <c r="BI13" s="8"/>
      <c r="BJ13" s="8"/>
      <c r="BK13" s="12"/>
    </row>
    <row r="14" spans="1:63" ht="15.75" customHeight="1">
      <c r="A14" s="98"/>
      <c r="B14" s="99"/>
      <c r="C14" s="8"/>
      <c r="D14" s="8"/>
      <c r="E14" s="8"/>
      <c r="F14" s="8"/>
      <c r="G14" s="8"/>
      <c r="H14" s="8"/>
      <c r="I14" s="8"/>
      <c r="J14" s="8"/>
      <c r="K14" s="8"/>
      <c r="L14" s="9"/>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1"/>
      <c r="AT14" s="8"/>
      <c r="AU14" s="8"/>
      <c r="AV14" s="8"/>
      <c r="AW14" s="8"/>
      <c r="AX14" s="8"/>
      <c r="AY14" s="8"/>
      <c r="AZ14" s="8"/>
      <c r="BA14" s="8"/>
      <c r="BB14" s="8"/>
      <c r="BC14" s="8"/>
      <c r="BD14" s="8"/>
      <c r="BE14" s="8"/>
      <c r="BF14" s="8"/>
      <c r="BG14" s="8"/>
      <c r="BH14" s="8"/>
      <c r="BI14" s="8"/>
      <c r="BJ14" s="8"/>
      <c r="BK14" s="12"/>
    </row>
    <row r="15" spans="1:63" ht="15.75" customHeight="1">
      <c r="A15" s="98"/>
      <c r="B15" s="99"/>
      <c r="C15" s="8"/>
      <c r="D15" s="8"/>
      <c r="E15" s="8"/>
      <c r="F15" s="8"/>
      <c r="G15" s="8"/>
      <c r="H15" s="8"/>
      <c r="I15" s="8"/>
      <c r="J15" s="8"/>
      <c r="K15" s="8"/>
      <c r="L15" s="9"/>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1"/>
      <c r="AT15" s="8"/>
      <c r="AU15" s="8"/>
      <c r="AV15" s="8"/>
      <c r="AW15" s="8"/>
      <c r="AX15" s="8"/>
      <c r="AY15" s="8"/>
      <c r="AZ15" s="8"/>
      <c r="BA15" s="8"/>
      <c r="BB15" s="8"/>
      <c r="BC15" s="8"/>
      <c r="BD15" s="8"/>
      <c r="BE15" s="8"/>
      <c r="BF15" s="8"/>
      <c r="BG15" s="8"/>
      <c r="BH15" s="8"/>
      <c r="BI15" s="8"/>
      <c r="BJ15" s="8"/>
      <c r="BK15" s="12"/>
    </row>
    <row r="16" spans="1:63" ht="15.75" customHeight="1">
      <c r="A16" s="98"/>
      <c r="B16" s="99"/>
      <c r="C16" s="8"/>
      <c r="D16" s="8"/>
      <c r="E16" s="8"/>
      <c r="F16" s="8"/>
      <c r="G16" s="8"/>
      <c r="H16" s="8"/>
      <c r="I16" s="8"/>
      <c r="J16" s="8"/>
      <c r="K16" s="8"/>
      <c r="L16" s="9"/>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1"/>
      <c r="AT16" s="8"/>
      <c r="AU16" s="8"/>
      <c r="AV16" s="8"/>
      <c r="AW16" s="8"/>
      <c r="AX16" s="8"/>
      <c r="AY16" s="8"/>
      <c r="AZ16" s="8"/>
      <c r="BA16" s="8"/>
      <c r="BB16" s="8"/>
      <c r="BC16" s="8"/>
      <c r="BD16" s="8"/>
      <c r="BE16" s="8"/>
      <c r="BF16" s="8"/>
      <c r="BG16" s="8"/>
      <c r="BH16" s="8"/>
      <c r="BI16" s="8"/>
      <c r="BJ16" s="8"/>
      <c r="BK16" s="12"/>
    </row>
    <row r="17" spans="1:63" ht="15.75" customHeight="1">
      <c r="A17" s="98"/>
      <c r="B17" s="99"/>
      <c r="C17" s="8"/>
      <c r="D17" s="8"/>
      <c r="E17" s="8"/>
      <c r="F17" s="8"/>
      <c r="G17" s="8"/>
      <c r="H17" s="8"/>
      <c r="I17" s="8"/>
      <c r="J17" s="8"/>
      <c r="K17" s="8"/>
      <c r="L17" s="9"/>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1"/>
      <c r="AT17" s="8"/>
      <c r="AU17" s="8"/>
      <c r="AV17" s="8"/>
      <c r="AW17" s="8"/>
      <c r="AX17" s="8"/>
      <c r="AY17" s="8"/>
      <c r="AZ17" s="8"/>
      <c r="BA17" s="8"/>
      <c r="BB17" s="8"/>
      <c r="BC17" s="8"/>
      <c r="BD17" s="8"/>
      <c r="BE17" s="8"/>
      <c r="BF17" s="8"/>
      <c r="BG17" s="8"/>
      <c r="BH17" s="8"/>
      <c r="BI17" s="8"/>
      <c r="BJ17" s="8"/>
      <c r="BK17" s="12"/>
    </row>
    <row r="18" spans="1:63" ht="15.75" customHeight="1">
      <c r="A18" s="98"/>
      <c r="B18" s="99"/>
      <c r="C18" s="8"/>
      <c r="D18" s="8"/>
      <c r="E18" s="8"/>
      <c r="F18" s="8"/>
      <c r="G18" s="8"/>
      <c r="H18" s="8"/>
      <c r="I18" s="8"/>
      <c r="J18" s="8"/>
      <c r="K18" s="8"/>
      <c r="L18" s="9"/>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1"/>
      <c r="AT18" s="8"/>
      <c r="AU18" s="8"/>
      <c r="AV18" s="8"/>
      <c r="AW18" s="8"/>
      <c r="AX18" s="8"/>
      <c r="AY18" s="8"/>
      <c r="AZ18" s="8"/>
      <c r="BA18" s="8"/>
      <c r="BB18" s="8"/>
      <c r="BC18" s="8"/>
      <c r="BD18" s="8"/>
      <c r="BE18" s="8"/>
      <c r="BF18" s="8"/>
      <c r="BG18" s="8"/>
      <c r="BH18" s="8"/>
      <c r="BI18" s="8"/>
      <c r="BJ18" s="8"/>
      <c r="BK18" s="12"/>
    </row>
    <row r="19" spans="1:63" ht="15.75" customHeight="1">
      <c r="A19" s="98"/>
      <c r="B19" s="99"/>
      <c r="C19" s="8"/>
      <c r="D19" s="8"/>
      <c r="E19" s="8"/>
      <c r="F19" s="8"/>
      <c r="G19" s="8"/>
      <c r="H19" s="8"/>
      <c r="I19" s="8"/>
      <c r="J19" s="8"/>
      <c r="K19" s="8"/>
      <c r="L19" s="9"/>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1"/>
      <c r="AT19" s="8"/>
      <c r="AU19" s="8"/>
      <c r="AV19" s="8"/>
      <c r="AW19" s="8"/>
      <c r="AX19" s="8"/>
      <c r="AY19" s="8"/>
      <c r="AZ19" s="8"/>
      <c r="BA19" s="8"/>
      <c r="BB19" s="8"/>
      <c r="BC19" s="8"/>
      <c r="BD19" s="8"/>
      <c r="BE19" s="8"/>
      <c r="BF19" s="8"/>
      <c r="BG19" s="8"/>
      <c r="BH19" s="8"/>
      <c r="BI19" s="8"/>
      <c r="BJ19" s="8"/>
      <c r="BK19" s="12"/>
    </row>
    <row r="20" spans="1:63" ht="15.75" customHeight="1">
      <c r="A20" s="98"/>
      <c r="B20" s="99"/>
      <c r="C20" s="8"/>
      <c r="D20" s="8"/>
      <c r="E20" s="8"/>
      <c r="F20" s="8"/>
      <c r="G20" s="8"/>
      <c r="H20" s="8"/>
      <c r="I20" s="8"/>
      <c r="J20" s="8"/>
      <c r="K20" s="8"/>
      <c r="L20" s="9"/>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1"/>
      <c r="AT20" s="8"/>
      <c r="AU20" s="8"/>
      <c r="AV20" s="8"/>
      <c r="AW20" s="8"/>
      <c r="AX20" s="8"/>
      <c r="AY20" s="8"/>
      <c r="AZ20" s="8"/>
      <c r="BA20" s="8"/>
      <c r="BB20" s="8"/>
      <c r="BC20" s="8"/>
      <c r="BD20" s="8"/>
      <c r="BE20" s="8"/>
      <c r="BF20" s="8"/>
      <c r="BG20" s="8"/>
      <c r="BH20" s="8"/>
      <c r="BI20" s="8"/>
      <c r="BJ20" s="8"/>
      <c r="BK20" s="12"/>
    </row>
    <row r="21" spans="1:63" ht="15.75" customHeight="1">
      <c r="A21" s="98"/>
      <c r="B21" s="99"/>
      <c r="C21" s="8"/>
      <c r="D21" s="8"/>
      <c r="E21" s="8"/>
      <c r="F21" s="8"/>
      <c r="G21" s="8"/>
      <c r="H21" s="8"/>
      <c r="I21" s="8"/>
      <c r="J21" s="8"/>
      <c r="K21" s="8"/>
      <c r="L21" s="9"/>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1"/>
      <c r="AT21" s="8"/>
      <c r="AU21" s="8"/>
      <c r="AV21" s="8"/>
      <c r="AW21" s="8"/>
      <c r="AX21" s="8"/>
      <c r="AY21" s="8"/>
      <c r="AZ21" s="8"/>
      <c r="BA21" s="8"/>
      <c r="BB21" s="8"/>
      <c r="BC21" s="8"/>
      <c r="BD21" s="8"/>
      <c r="BE21" s="8"/>
      <c r="BF21" s="8"/>
      <c r="BG21" s="8"/>
      <c r="BH21" s="8"/>
      <c r="BI21" s="8"/>
      <c r="BJ21" s="8"/>
      <c r="BK21" s="12"/>
    </row>
    <row r="22" spans="1:63" ht="15.75" customHeight="1">
      <c r="A22" s="98"/>
      <c r="B22" s="99"/>
      <c r="C22" s="8"/>
      <c r="D22" s="8"/>
      <c r="E22" s="8"/>
      <c r="F22" s="8"/>
      <c r="G22" s="8"/>
      <c r="H22" s="8"/>
      <c r="I22" s="8"/>
      <c r="J22" s="8"/>
      <c r="K22" s="8"/>
      <c r="L22" s="9"/>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1"/>
      <c r="AT22" s="8"/>
      <c r="AU22" s="8"/>
      <c r="AV22" s="8"/>
      <c r="AW22" s="8"/>
      <c r="AX22" s="8"/>
      <c r="AY22" s="8"/>
      <c r="AZ22" s="8"/>
      <c r="BA22" s="8"/>
      <c r="BB22" s="8"/>
      <c r="BC22" s="8"/>
      <c r="BD22" s="8"/>
      <c r="BE22" s="8"/>
      <c r="BF22" s="8"/>
      <c r="BG22" s="8"/>
      <c r="BH22" s="8"/>
      <c r="BI22" s="8"/>
      <c r="BJ22" s="8"/>
      <c r="BK22" s="12"/>
    </row>
    <row r="23" spans="1:63" ht="15.75" customHeight="1">
      <c r="A23" s="98"/>
      <c r="B23" s="99"/>
      <c r="C23" s="8"/>
      <c r="D23" s="8"/>
      <c r="E23" s="8"/>
      <c r="F23" s="8"/>
      <c r="G23" s="8"/>
      <c r="H23" s="8"/>
      <c r="I23" s="8"/>
      <c r="J23" s="8"/>
      <c r="K23" s="8"/>
      <c r="L23" s="9"/>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1"/>
      <c r="AT23" s="8"/>
      <c r="AU23" s="8"/>
      <c r="AV23" s="8"/>
      <c r="AW23" s="8"/>
      <c r="AX23" s="8"/>
      <c r="AY23" s="8"/>
      <c r="AZ23" s="8"/>
      <c r="BA23" s="8"/>
      <c r="BB23" s="8"/>
      <c r="BC23" s="8"/>
      <c r="BD23" s="8"/>
      <c r="BE23" s="8"/>
      <c r="BF23" s="8"/>
      <c r="BG23" s="8"/>
      <c r="BH23" s="8"/>
      <c r="BI23" s="8"/>
      <c r="BJ23" s="8"/>
      <c r="BK23" s="12"/>
    </row>
    <row r="24" spans="1:63" ht="15.75" customHeight="1">
      <c r="A24" s="98"/>
      <c r="B24" s="99"/>
      <c r="C24" s="8"/>
      <c r="D24" s="8"/>
      <c r="E24" s="8"/>
      <c r="F24" s="8"/>
      <c r="G24" s="8"/>
      <c r="H24" s="8"/>
      <c r="I24" s="8"/>
      <c r="J24" s="8"/>
      <c r="K24" s="8"/>
      <c r="L24" s="9"/>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1"/>
      <c r="AT24" s="8"/>
      <c r="AU24" s="8"/>
      <c r="AV24" s="8"/>
      <c r="AW24" s="8"/>
      <c r="AX24" s="8"/>
      <c r="AY24" s="8"/>
      <c r="AZ24" s="8"/>
      <c r="BA24" s="8"/>
      <c r="BB24" s="8"/>
      <c r="BC24" s="8"/>
      <c r="BD24" s="8"/>
      <c r="BE24" s="8"/>
      <c r="BF24" s="8"/>
      <c r="BG24" s="8"/>
      <c r="BH24" s="8"/>
      <c r="BI24" s="8"/>
      <c r="BJ24" s="8"/>
      <c r="BK24" s="12"/>
    </row>
    <row r="25" spans="1:63" ht="15.75" customHeight="1">
      <c r="A25" s="98"/>
      <c r="B25" s="99"/>
      <c r="C25" s="8"/>
      <c r="D25" s="8"/>
      <c r="E25" s="8"/>
      <c r="F25" s="8"/>
      <c r="G25" s="8"/>
      <c r="H25" s="8"/>
      <c r="I25" s="8"/>
      <c r="J25" s="8"/>
      <c r="K25" s="8"/>
      <c r="L25" s="9"/>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1"/>
      <c r="AT25" s="8"/>
      <c r="AU25" s="8"/>
      <c r="AV25" s="8"/>
      <c r="AW25" s="8"/>
      <c r="AX25" s="8"/>
      <c r="AY25" s="8"/>
      <c r="AZ25" s="8"/>
      <c r="BA25" s="8"/>
      <c r="BB25" s="8"/>
      <c r="BC25" s="8"/>
      <c r="BD25" s="8"/>
      <c r="BE25" s="8"/>
      <c r="BF25" s="8"/>
      <c r="BG25" s="8"/>
      <c r="BH25" s="8"/>
      <c r="BI25" s="8"/>
      <c r="BJ25" s="8"/>
      <c r="BK25" s="12"/>
    </row>
    <row r="26" spans="1:63" ht="15.75" customHeight="1">
      <c r="A26" s="98"/>
      <c r="B26" s="99"/>
      <c r="C26" s="8"/>
      <c r="D26" s="8"/>
      <c r="E26" s="8"/>
      <c r="F26" s="8"/>
      <c r="G26" s="8"/>
      <c r="H26" s="8"/>
      <c r="I26" s="8"/>
      <c r="J26" s="8"/>
      <c r="K26" s="8"/>
      <c r="L26" s="9"/>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1"/>
      <c r="AT26" s="8"/>
      <c r="AU26" s="8"/>
      <c r="AV26" s="8"/>
      <c r="AW26" s="8"/>
      <c r="AX26" s="8"/>
      <c r="AY26" s="8"/>
      <c r="AZ26" s="8"/>
      <c r="BA26" s="8"/>
      <c r="BB26" s="8"/>
      <c r="BC26" s="8"/>
      <c r="BD26" s="8"/>
      <c r="BE26" s="8"/>
      <c r="BF26" s="8"/>
      <c r="BG26" s="8"/>
      <c r="BH26" s="8"/>
      <c r="BI26" s="8"/>
      <c r="BJ26" s="8"/>
      <c r="BK26" s="12"/>
    </row>
    <row r="27" spans="1:63" ht="15.75" customHeight="1">
      <c r="A27" s="98"/>
      <c r="B27" s="99"/>
      <c r="C27" s="8"/>
      <c r="D27" s="8"/>
      <c r="E27" s="8"/>
      <c r="F27" s="8"/>
      <c r="G27" s="8"/>
      <c r="H27" s="8"/>
      <c r="I27" s="8"/>
      <c r="J27" s="8"/>
      <c r="K27" s="8"/>
      <c r="L27" s="9"/>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1"/>
      <c r="AT27" s="8"/>
      <c r="AU27" s="8"/>
      <c r="AV27" s="8"/>
      <c r="AW27" s="8"/>
      <c r="AX27" s="8"/>
      <c r="AY27" s="8"/>
      <c r="AZ27" s="8"/>
      <c r="BA27" s="8"/>
      <c r="BB27" s="8"/>
      <c r="BC27" s="8"/>
      <c r="BD27" s="8"/>
      <c r="BE27" s="8"/>
      <c r="BF27" s="8"/>
      <c r="BG27" s="8"/>
      <c r="BH27" s="8"/>
      <c r="BI27" s="8"/>
      <c r="BJ27" s="8"/>
      <c r="BK27" s="12"/>
    </row>
    <row r="28" spans="1:63" ht="15.75" customHeight="1">
      <c r="A28" s="98"/>
      <c r="B28" s="99"/>
      <c r="C28" s="8"/>
      <c r="D28" s="8"/>
      <c r="E28" s="8"/>
      <c r="F28" s="8"/>
      <c r="G28" s="8"/>
      <c r="H28" s="8"/>
      <c r="I28" s="8"/>
      <c r="J28" s="8"/>
      <c r="K28" s="8"/>
      <c r="L28" s="9"/>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1"/>
      <c r="AT28" s="8"/>
      <c r="AU28" s="8"/>
      <c r="AV28" s="8"/>
      <c r="AW28" s="8"/>
      <c r="AX28" s="8"/>
      <c r="AY28" s="8"/>
      <c r="AZ28" s="8"/>
      <c r="BA28" s="8"/>
      <c r="BB28" s="8"/>
      <c r="BC28" s="8"/>
      <c r="BD28" s="8"/>
      <c r="BE28" s="8"/>
      <c r="BF28" s="8"/>
      <c r="BG28" s="8"/>
      <c r="BH28" s="8"/>
      <c r="BI28" s="8"/>
      <c r="BJ28" s="8"/>
      <c r="BK28" s="12"/>
    </row>
    <row r="29" spans="1:63" ht="15.75" customHeight="1">
      <c r="A29" s="98"/>
      <c r="B29" s="99"/>
      <c r="C29" s="8"/>
      <c r="D29" s="8"/>
      <c r="E29" s="8"/>
      <c r="F29" s="8"/>
      <c r="G29" s="8"/>
      <c r="H29" s="8"/>
      <c r="I29" s="8"/>
      <c r="J29" s="8"/>
      <c r="K29" s="8"/>
      <c r="L29" s="9"/>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1"/>
      <c r="AT29" s="8"/>
      <c r="AU29" s="8"/>
      <c r="AV29" s="8"/>
      <c r="AW29" s="8"/>
      <c r="AX29" s="8"/>
      <c r="AY29" s="8"/>
      <c r="AZ29" s="8"/>
      <c r="BA29" s="8"/>
      <c r="BB29" s="8"/>
      <c r="BC29" s="8"/>
      <c r="BD29" s="8"/>
      <c r="BE29" s="8"/>
      <c r="BF29" s="8"/>
      <c r="BG29" s="8"/>
      <c r="BH29" s="8"/>
      <c r="BI29" s="8"/>
      <c r="BJ29" s="8"/>
      <c r="BK29" s="12"/>
    </row>
    <row r="30" spans="1:63" ht="15.75" customHeight="1">
      <c r="A30" s="98"/>
      <c r="B30" s="99"/>
      <c r="C30" s="8"/>
      <c r="D30" s="8"/>
      <c r="E30" s="8"/>
      <c r="F30" s="8"/>
      <c r="G30" s="8"/>
      <c r="H30" s="8"/>
      <c r="I30" s="8"/>
      <c r="J30" s="8"/>
      <c r="K30" s="8"/>
      <c r="L30" s="9"/>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1"/>
      <c r="AT30" s="8"/>
      <c r="AU30" s="8"/>
      <c r="AV30" s="8"/>
      <c r="AW30" s="8"/>
      <c r="AX30" s="8"/>
      <c r="AY30" s="8"/>
      <c r="AZ30" s="8"/>
      <c r="BA30" s="8"/>
      <c r="BB30" s="8"/>
      <c r="BC30" s="8"/>
      <c r="BD30" s="8"/>
      <c r="BE30" s="8"/>
      <c r="BF30" s="8"/>
      <c r="BG30" s="8"/>
      <c r="BH30" s="8"/>
      <c r="BI30" s="8"/>
      <c r="BJ30" s="8"/>
      <c r="BK30" s="12"/>
    </row>
    <row r="31" spans="1:63" ht="15.75" customHeight="1">
      <c r="A31" s="98"/>
      <c r="B31" s="99"/>
      <c r="C31" s="8"/>
      <c r="D31" s="8"/>
      <c r="E31" s="8"/>
      <c r="F31" s="8"/>
      <c r="G31" s="8"/>
      <c r="H31" s="8"/>
      <c r="I31" s="8"/>
      <c r="J31" s="8"/>
      <c r="K31" s="8"/>
      <c r="L31" s="9"/>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1"/>
      <c r="AT31" s="8"/>
      <c r="AU31" s="8"/>
      <c r="AV31" s="8"/>
      <c r="AW31" s="8"/>
      <c r="AX31" s="8"/>
      <c r="AY31" s="8"/>
      <c r="AZ31" s="8"/>
      <c r="BA31" s="8"/>
      <c r="BB31" s="8"/>
      <c r="BC31" s="8"/>
      <c r="BD31" s="8"/>
      <c r="BE31" s="8"/>
      <c r="BF31" s="8"/>
      <c r="BG31" s="8"/>
      <c r="BH31" s="8"/>
      <c r="BI31" s="8"/>
      <c r="BJ31" s="8"/>
      <c r="BK31" s="12"/>
    </row>
    <row r="32" spans="1:63" ht="15.75" customHeight="1">
      <c r="A32" s="98"/>
      <c r="B32" s="99"/>
      <c r="C32" s="8"/>
      <c r="D32" s="8"/>
      <c r="E32" s="8"/>
      <c r="F32" s="8"/>
      <c r="G32" s="8"/>
      <c r="H32" s="8"/>
      <c r="I32" s="8"/>
      <c r="J32" s="8"/>
      <c r="K32" s="8"/>
      <c r="L32" s="9"/>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1"/>
      <c r="AT32" s="8"/>
      <c r="AU32" s="8"/>
      <c r="AV32" s="8"/>
      <c r="AW32" s="8"/>
      <c r="AX32" s="8"/>
      <c r="AY32" s="8"/>
      <c r="AZ32" s="8"/>
      <c r="BA32" s="8"/>
      <c r="BB32" s="8"/>
      <c r="BC32" s="8"/>
      <c r="BD32" s="8"/>
      <c r="BE32" s="8"/>
      <c r="BF32" s="8"/>
      <c r="BG32" s="8"/>
      <c r="BH32" s="8"/>
      <c r="BI32" s="8"/>
      <c r="BJ32" s="8"/>
      <c r="BK32" s="12"/>
    </row>
    <row r="33" spans="1:63" ht="15.75" customHeight="1">
      <c r="A33" s="98"/>
      <c r="B33" s="99"/>
      <c r="C33" s="8"/>
      <c r="D33" s="8"/>
      <c r="E33" s="8"/>
      <c r="F33" s="8"/>
      <c r="G33" s="8"/>
      <c r="H33" s="8"/>
      <c r="I33" s="8"/>
      <c r="J33" s="8"/>
      <c r="K33" s="8"/>
      <c r="L33" s="9"/>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1"/>
      <c r="AT33" s="8"/>
      <c r="AU33" s="8"/>
      <c r="AV33" s="8"/>
      <c r="AW33" s="8"/>
      <c r="AX33" s="8"/>
      <c r="AY33" s="8"/>
      <c r="AZ33" s="8"/>
      <c r="BA33" s="8"/>
      <c r="BB33" s="8"/>
      <c r="BC33" s="8"/>
      <c r="BD33" s="8"/>
      <c r="BE33" s="8"/>
      <c r="BF33" s="8"/>
      <c r="BG33" s="8"/>
      <c r="BH33" s="8"/>
      <c r="BI33" s="8"/>
      <c r="BJ33" s="8"/>
      <c r="BK33" s="12"/>
    </row>
    <row r="34" spans="1:63" ht="15.75" customHeight="1">
      <c r="A34" s="98"/>
      <c r="B34" s="99"/>
      <c r="C34" s="8"/>
      <c r="D34" s="8"/>
      <c r="E34" s="8"/>
      <c r="F34" s="8"/>
      <c r="G34" s="8"/>
      <c r="H34" s="8"/>
      <c r="I34" s="8"/>
      <c r="J34" s="8"/>
      <c r="K34" s="8"/>
      <c r="L34" s="9"/>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1"/>
      <c r="AT34" s="8"/>
      <c r="AU34" s="8"/>
      <c r="AV34" s="8"/>
      <c r="AW34" s="8"/>
      <c r="AX34" s="8"/>
      <c r="AY34" s="8"/>
      <c r="AZ34" s="8"/>
      <c r="BA34" s="8"/>
      <c r="BB34" s="8"/>
      <c r="BC34" s="8"/>
      <c r="BD34" s="8"/>
      <c r="BE34" s="8"/>
      <c r="BF34" s="8"/>
      <c r="BG34" s="8"/>
      <c r="BH34" s="8"/>
      <c r="BI34" s="8"/>
      <c r="BJ34" s="8"/>
      <c r="BK34" s="12"/>
    </row>
    <row r="35" spans="1:63" ht="15.75" customHeight="1" thickBot="1">
      <c r="A35" s="106"/>
      <c r="B35" s="107"/>
      <c r="C35" s="105"/>
      <c r="D35" s="105"/>
      <c r="E35" s="105"/>
      <c r="F35" s="105"/>
      <c r="G35" s="105"/>
      <c r="H35" s="105"/>
      <c r="I35" s="105"/>
      <c r="J35" s="105"/>
      <c r="K35" s="105"/>
      <c r="L35" s="108"/>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0"/>
      <c r="AT35" s="105"/>
      <c r="AU35" s="105"/>
      <c r="AV35" s="105"/>
      <c r="AW35" s="105"/>
      <c r="AX35" s="105"/>
      <c r="AY35" s="105"/>
      <c r="AZ35" s="105"/>
      <c r="BA35" s="105"/>
      <c r="BB35" s="105"/>
      <c r="BC35" s="105"/>
      <c r="BD35" s="105"/>
      <c r="BE35" s="105"/>
      <c r="BF35" s="105"/>
      <c r="BG35" s="105"/>
      <c r="BH35" s="105"/>
      <c r="BI35" s="105"/>
      <c r="BJ35" s="105"/>
      <c r="BK35" s="109"/>
    </row>
  </sheetData>
  <mergeCells count="21">
    <mergeCell ref="A1:J3"/>
    <mergeCell ref="K1:T1"/>
    <mergeCell ref="U1:Y1"/>
    <mergeCell ref="Z1:AD1"/>
    <mergeCell ref="AE1:AI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S1:AY1"/>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BK60"/>
  <sheetViews>
    <sheetView showGridLines="0" showZeros="0" view="pageBreakPreview" zoomScale="85" zoomScaleNormal="100" zoomScaleSheetLayoutView="85" workbookViewId="0">
      <selection sqref="A1:J3"/>
    </sheetView>
  </sheetViews>
  <sheetFormatPr defaultColWidth="2.125" defaultRowHeight="15.75" customHeight="1"/>
  <cols>
    <col min="1" max="1" width="2.125" style="101" customWidth="1"/>
    <col min="2" max="2" width="2.125" style="11" customWidth="1"/>
    <col min="3" max="3" width="2.375" style="11" customWidth="1"/>
    <col min="4" max="4" width="2.125" style="11" customWidth="1"/>
    <col min="5" max="5" width="3" style="11" customWidth="1"/>
    <col min="6" max="63" width="2.125" style="11" customWidth="1"/>
    <col min="64" max="16384" width="2.125" style="11"/>
  </cols>
  <sheetData>
    <row r="1" spans="1:63" s="7" customFormat="1" ht="15.7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75" customHeight="1">
      <c r="A2" s="468"/>
      <c r="B2" s="469"/>
      <c r="C2" s="469"/>
      <c r="D2" s="469"/>
      <c r="E2" s="469"/>
      <c r="F2" s="469"/>
      <c r="G2" s="469"/>
      <c r="H2" s="469"/>
      <c r="I2" s="469"/>
      <c r="J2" s="470"/>
      <c r="K2" s="498" t="str">
        <f>文書名_カスタマイズ</f>
        <v>バッチ機能</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文書番号_カスタマイズ</f>
        <v>J052-0-0001</v>
      </c>
      <c r="AT2" s="506"/>
      <c r="AU2" s="506"/>
      <c r="AV2" s="506"/>
      <c r="AW2" s="506"/>
      <c r="AX2" s="506"/>
      <c r="AY2" s="506"/>
      <c r="AZ2" s="508" t="str">
        <f>Ver.</f>
        <v>7.0.1</v>
      </c>
      <c r="BA2" s="440"/>
      <c r="BB2" s="440"/>
      <c r="BC2" s="440"/>
      <c r="BD2" s="440"/>
      <c r="BE2" s="441"/>
      <c r="BF2" s="654">
        <f>Rev.</f>
        <v>0.1</v>
      </c>
      <c r="BG2" s="655"/>
      <c r="BH2" s="655"/>
      <c r="BI2" s="655"/>
      <c r="BJ2" s="655"/>
      <c r="BK2" s="656"/>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657"/>
      <c r="BG3" s="718"/>
      <c r="BH3" s="718"/>
      <c r="BI3" s="718"/>
      <c r="BJ3" s="718"/>
      <c r="BK3" s="658"/>
    </row>
    <row r="4" spans="1:63" s="7" customFormat="1" ht="6.75" customHeight="1">
      <c r="B4" s="3"/>
      <c r="C4" s="4"/>
      <c r="D4" s="4"/>
      <c r="E4" s="4"/>
      <c r="F4" s="5"/>
      <c r="G4" s="5"/>
      <c r="H4" s="5"/>
      <c r="I4" s="5"/>
      <c r="J4" s="4"/>
      <c r="K4" s="5"/>
      <c r="L4" s="5"/>
      <c r="M4" s="5"/>
      <c r="N4" s="5"/>
      <c r="O4" s="5"/>
      <c r="P4" s="5"/>
      <c r="Q4" s="6"/>
    </row>
    <row r="5" spans="1:63" ht="15.75" customHeight="1">
      <c r="A5" s="218"/>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204"/>
    </row>
    <row r="6" spans="1:63" ht="15.75" customHeight="1">
      <c r="A6" s="59"/>
      <c r="AT6" s="69" t="s">
        <v>245</v>
      </c>
      <c r="AU6" s="67"/>
      <c r="AV6" s="67"/>
      <c r="AW6" s="67"/>
      <c r="AX6" s="67"/>
      <c r="AY6" s="67"/>
      <c r="AZ6" s="67"/>
      <c r="BA6" s="67"/>
      <c r="BB6" s="67"/>
      <c r="BC6" s="67"/>
      <c r="BD6" s="67"/>
      <c r="BE6" s="219"/>
      <c r="BF6" s="67"/>
      <c r="BG6" s="67"/>
      <c r="BH6" s="67"/>
      <c r="BI6" s="67"/>
      <c r="BJ6" s="68"/>
      <c r="BK6" s="61"/>
    </row>
    <row r="7" spans="1:63" ht="15.75" customHeight="1">
      <c r="A7" s="59"/>
      <c r="AT7" s="72"/>
      <c r="BE7" s="220" t="s">
        <v>26</v>
      </c>
      <c r="BJ7" s="71"/>
      <c r="BK7" s="61"/>
    </row>
    <row r="8" spans="1:63" ht="15.75" customHeight="1">
      <c r="A8" s="59"/>
      <c r="AT8" s="72"/>
      <c r="BE8" s="221"/>
      <c r="BJ8" s="71"/>
      <c r="BK8" s="61"/>
    </row>
    <row r="9" spans="1:63" ht="15.75" customHeight="1">
      <c r="A9" s="59"/>
      <c r="AT9" s="72"/>
      <c r="AX9" s="220" t="s">
        <v>246</v>
      </c>
      <c r="BE9" s="220" t="s">
        <v>247</v>
      </c>
      <c r="BJ9" s="71"/>
      <c r="BK9" s="61"/>
    </row>
    <row r="10" spans="1:63" ht="15.75" customHeight="1">
      <c r="A10" s="59"/>
      <c r="AT10" s="72"/>
      <c r="BE10" s="221"/>
      <c r="BJ10" s="71"/>
      <c r="BK10" s="61"/>
    </row>
    <row r="11" spans="1:63" ht="15.75" customHeight="1">
      <c r="A11" s="59"/>
      <c r="AT11" s="72"/>
      <c r="BE11" s="220" t="s">
        <v>248</v>
      </c>
      <c r="BJ11" s="71"/>
      <c r="BK11" s="61"/>
    </row>
    <row r="12" spans="1:63" ht="15.75" customHeight="1">
      <c r="A12" s="59"/>
      <c r="AT12" s="72"/>
      <c r="BE12" s="221"/>
      <c r="BJ12" s="71"/>
      <c r="BK12" s="61"/>
    </row>
    <row r="13" spans="1:63" ht="15.75" customHeight="1">
      <c r="A13" s="59"/>
      <c r="AT13" s="72"/>
      <c r="BE13" s="220" t="s">
        <v>249</v>
      </c>
      <c r="BJ13" s="71"/>
      <c r="BK13" s="61"/>
    </row>
    <row r="14" spans="1:63" ht="15.75" customHeight="1">
      <c r="A14" s="59"/>
      <c r="AT14" s="72"/>
      <c r="BE14" s="221"/>
      <c r="BJ14" s="71"/>
      <c r="BK14" s="61"/>
    </row>
    <row r="15" spans="1:63" ht="15.75" customHeight="1">
      <c r="A15" s="59"/>
      <c r="AT15" s="72"/>
      <c r="BE15" s="220" t="s">
        <v>250</v>
      </c>
      <c r="BJ15" s="71"/>
      <c r="BK15" s="61"/>
    </row>
    <row r="16" spans="1:63" ht="15.75" customHeight="1">
      <c r="A16" s="59"/>
      <c r="AT16" s="72"/>
      <c r="BE16" s="221"/>
      <c r="BJ16" s="71"/>
      <c r="BK16" s="61"/>
    </row>
    <row r="17" spans="1:63" ht="15.75" customHeight="1">
      <c r="A17" s="59"/>
      <c r="AT17" s="72"/>
      <c r="BE17" s="220" t="s">
        <v>27</v>
      </c>
      <c r="BJ17" s="71"/>
      <c r="BK17" s="61"/>
    </row>
    <row r="18" spans="1:63" ht="15.75" customHeight="1">
      <c r="A18" s="59"/>
      <c r="AT18" s="73"/>
      <c r="AU18" s="74"/>
      <c r="AV18" s="74"/>
      <c r="AW18" s="74"/>
      <c r="AX18" s="74"/>
      <c r="AY18" s="74"/>
      <c r="AZ18" s="74"/>
      <c r="BA18" s="74"/>
      <c r="BB18" s="74"/>
      <c r="BC18" s="74"/>
      <c r="BD18" s="74"/>
      <c r="BE18" s="222"/>
      <c r="BF18" s="74"/>
      <c r="BG18" s="74"/>
      <c r="BH18" s="74"/>
      <c r="BI18" s="74"/>
      <c r="BJ18" s="75"/>
      <c r="BK18" s="61"/>
    </row>
    <row r="19" spans="1:63" ht="15.75" customHeight="1">
      <c r="A19" s="59"/>
      <c r="BA19" s="220"/>
      <c r="BK19" s="61"/>
    </row>
    <row r="20" spans="1:63" ht="15.75" customHeight="1">
      <c r="A20" s="59"/>
      <c r="BK20" s="61"/>
    </row>
    <row r="21" spans="1:63" ht="15.75" customHeight="1">
      <c r="A21" s="59"/>
      <c r="AW21" s="220"/>
      <c r="BK21" s="61"/>
    </row>
    <row r="22" spans="1:63" ht="15.75" customHeight="1">
      <c r="A22" s="59"/>
      <c r="BK22" s="61"/>
    </row>
    <row r="23" spans="1:63" ht="15.75" customHeight="1">
      <c r="A23" s="59"/>
      <c r="BK23" s="61"/>
    </row>
    <row r="24" spans="1:63" ht="15.75" customHeight="1">
      <c r="A24" s="59"/>
      <c r="BK24" s="61"/>
    </row>
    <row r="25" spans="1:63" ht="15.75" customHeight="1">
      <c r="A25" s="59"/>
      <c r="BK25" s="61"/>
    </row>
    <row r="26" spans="1:63" ht="15.75" customHeight="1">
      <c r="A26" s="59"/>
      <c r="BK26" s="61"/>
    </row>
    <row r="27" spans="1:63" ht="15.75" customHeight="1">
      <c r="A27" s="59"/>
      <c r="BK27" s="61"/>
    </row>
    <row r="28" spans="1:63" ht="15.75" customHeight="1">
      <c r="A28" s="59"/>
      <c r="BK28" s="61"/>
    </row>
    <row r="29" spans="1:63" ht="15.75" customHeight="1">
      <c r="A29" s="59"/>
      <c r="BK29" s="61"/>
    </row>
    <row r="30" spans="1:63" ht="15.75" customHeight="1">
      <c r="A30" s="59"/>
      <c r="BK30" s="61"/>
    </row>
    <row r="31" spans="1:63" ht="15.75" customHeight="1">
      <c r="A31" s="59"/>
      <c r="BK31" s="61"/>
    </row>
    <row r="32" spans="1:63" ht="15.75" customHeight="1">
      <c r="A32" s="59"/>
      <c r="BK32" s="61"/>
    </row>
    <row r="33" spans="1:63" ht="15.75" customHeight="1">
      <c r="A33" s="59"/>
      <c r="BK33" s="61"/>
    </row>
    <row r="34" spans="1:63" ht="15.75" customHeight="1">
      <c r="A34" s="59"/>
      <c r="BK34" s="61"/>
    </row>
    <row r="35" spans="1:63" ht="15.75" customHeight="1">
      <c r="A35" s="223"/>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224"/>
    </row>
    <row r="36" spans="1:63" ht="15.75" customHeight="1">
      <c r="A36" s="59"/>
      <c r="BK36" s="61"/>
    </row>
    <row r="37" spans="1:63" ht="15.75" customHeight="1">
      <c r="A37" s="59"/>
      <c r="BK37" s="61"/>
    </row>
    <row r="38" spans="1:63" ht="15.75" customHeight="1">
      <c r="A38" s="59"/>
      <c r="BK38" s="61"/>
    </row>
    <row r="39" spans="1:63" ht="15.75" customHeight="1">
      <c r="A39" s="59"/>
      <c r="BK39" s="61"/>
    </row>
    <row r="40" spans="1:63" ht="15.75" customHeight="1">
      <c r="A40" s="59"/>
      <c r="BK40" s="61"/>
    </row>
    <row r="41" spans="1:63" ht="15.75" customHeight="1">
      <c r="A41" s="59"/>
      <c r="BK41" s="61"/>
    </row>
    <row r="42" spans="1:63" ht="15.75" customHeight="1">
      <c r="A42" s="59"/>
      <c r="BK42" s="61"/>
    </row>
    <row r="43" spans="1:63" ht="15.75" customHeight="1">
      <c r="A43" s="59"/>
      <c r="BK43" s="61"/>
    </row>
    <row r="44" spans="1:63" ht="15.75" customHeight="1">
      <c r="A44" s="59"/>
      <c r="BK44" s="61"/>
    </row>
    <row r="45" spans="1:63" ht="15.75" customHeight="1">
      <c r="A45" s="59"/>
      <c r="BK45" s="61"/>
    </row>
    <row r="46" spans="1:63" ht="15.75" customHeight="1">
      <c r="A46" s="59"/>
      <c r="BK46" s="61"/>
    </row>
    <row r="47" spans="1:63" ht="15.75" customHeight="1">
      <c r="A47" s="59"/>
      <c r="BK47" s="61"/>
    </row>
    <row r="48" spans="1:63" ht="15.75" customHeight="1">
      <c r="A48" s="59"/>
      <c r="BK48" s="61"/>
    </row>
    <row r="49" spans="1:63" ht="15.75" customHeight="1">
      <c r="A49" s="59"/>
      <c r="BK49" s="61"/>
    </row>
    <row r="50" spans="1:63" ht="15.75" customHeight="1">
      <c r="A50" s="59"/>
      <c r="BK50" s="61"/>
    </row>
    <row r="51" spans="1:63" ht="15.75" customHeight="1">
      <c r="A51" s="59"/>
      <c r="BK51" s="61"/>
    </row>
    <row r="52" spans="1:63" ht="15.75" customHeight="1">
      <c r="A52" s="59"/>
      <c r="BK52" s="61"/>
    </row>
    <row r="53" spans="1:63" ht="15.75" customHeight="1">
      <c r="A53" s="59"/>
      <c r="BK53" s="61"/>
    </row>
    <row r="54" spans="1:63" ht="15.75" customHeight="1">
      <c r="A54" s="59"/>
      <c r="BK54" s="61"/>
    </row>
    <row r="55" spans="1:63" ht="15.75" customHeight="1">
      <c r="A55" s="59"/>
      <c r="BK55" s="61"/>
    </row>
    <row r="56" spans="1:63" ht="15.75" customHeight="1">
      <c r="A56" s="59"/>
      <c r="BK56" s="61"/>
    </row>
    <row r="57" spans="1:63" ht="15.75" customHeight="1">
      <c r="A57" s="59"/>
      <c r="BK57" s="61"/>
    </row>
    <row r="58" spans="1:63" ht="15.75" customHeight="1">
      <c r="A58" s="59"/>
      <c r="BK58" s="61"/>
    </row>
    <row r="59" spans="1:63" ht="15.75" customHeight="1">
      <c r="A59" s="59"/>
      <c r="BK59" s="61"/>
    </row>
    <row r="60" spans="1:63" ht="15.75" customHeight="1" thickBot="1">
      <c r="A60" s="83"/>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6"/>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rowBreaks count="1" manualBreakCount="1">
    <brk id="35" max="62"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F72D-C307-440A-94FB-EBA6A8348BA6}">
  <sheetPr>
    <tabColor rgb="FFFFFF00"/>
    <pageSetUpPr fitToPage="1"/>
  </sheetPr>
  <dimension ref="A1:BK50"/>
  <sheetViews>
    <sheetView showGridLines="0" showZeros="0" view="pageBreakPreview" zoomScale="85" zoomScaleNormal="100" zoomScaleSheetLayoutView="85" workbookViewId="0">
      <selection sqref="A1:J3"/>
    </sheetView>
  </sheetViews>
  <sheetFormatPr defaultColWidth="2.125" defaultRowHeight="15.75" customHeight="1"/>
  <cols>
    <col min="1" max="1" width="2.125" style="101" customWidth="1"/>
    <col min="2" max="2" width="2.125" style="11" customWidth="1"/>
    <col min="3" max="3" width="2.375" style="11" customWidth="1"/>
    <col min="4" max="4" width="2.125" style="11" customWidth="1"/>
    <col min="5" max="5" width="3" style="11" customWidth="1"/>
    <col min="6" max="62" width="2.125" style="11" customWidth="1"/>
    <col min="63" max="63" width="2.25" style="11" customWidth="1"/>
    <col min="64" max="16384" width="2.125" style="11"/>
  </cols>
  <sheetData>
    <row r="1" spans="1:63" s="7" customFormat="1" ht="15.7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75" customHeight="1">
      <c r="A2" s="468"/>
      <c r="B2" s="469"/>
      <c r="C2" s="469"/>
      <c r="D2" s="469"/>
      <c r="E2" s="469"/>
      <c r="F2" s="469"/>
      <c r="G2" s="469"/>
      <c r="H2" s="469"/>
      <c r="I2" s="469"/>
      <c r="J2" s="470"/>
      <c r="K2" s="498" t="str">
        <f>文書名_カスタマイズ</f>
        <v>バッチ機能</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文書番号_カスタマイズ</f>
        <v>J052-0-0001</v>
      </c>
      <c r="AT2" s="506"/>
      <c r="AU2" s="506"/>
      <c r="AV2" s="506"/>
      <c r="AW2" s="506"/>
      <c r="AX2" s="506"/>
      <c r="AY2" s="506"/>
      <c r="AZ2" s="508" t="str">
        <f>Ver.</f>
        <v>7.0.1</v>
      </c>
      <c r="BA2" s="440"/>
      <c r="BB2" s="440"/>
      <c r="BC2" s="440"/>
      <c r="BD2" s="440"/>
      <c r="BE2" s="441"/>
      <c r="BF2" s="654">
        <f>Rev.</f>
        <v>0.04</v>
      </c>
      <c r="BG2" s="655"/>
      <c r="BH2" s="655"/>
      <c r="BI2" s="655"/>
      <c r="BJ2" s="655"/>
      <c r="BK2" s="656"/>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657"/>
      <c r="BG3" s="718"/>
      <c r="BH3" s="718"/>
      <c r="BI3" s="718"/>
      <c r="BJ3" s="718"/>
      <c r="BK3" s="658"/>
    </row>
    <row r="4" spans="1:63" s="7" customFormat="1" ht="6.75" customHeight="1" thickBot="1">
      <c r="B4" s="3"/>
      <c r="C4" s="4"/>
      <c r="D4" s="4"/>
      <c r="E4" s="4"/>
      <c r="F4" s="5"/>
      <c r="G4" s="5"/>
      <c r="H4" s="5"/>
      <c r="I4" s="5"/>
      <c r="J4" s="4"/>
      <c r="K4" s="5"/>
      <c r="L4" s="5"/>
      <c r="M4" s="5"/>
      <c r="N4" s="5"/>
      <c r="O4" s="5"/>
      <c r="P4" s="5"/>
      <c r="Q4" s="6"/>
    </row>
    <row r="5" spans="1:63" ht="15.75" customHeight="1" thickBot="1">
      <c r="A5" s="207" t="s">
        <v>251</v>
      </c>
      <c r="B5" s="208" t="s">
        <v>252</v>
      </c>
      <c r="C5" s="208"/>
      <c r="D5" s="208"/>
      <c r="E5" s="208"/>
      <c r="F5" s="208"/>
      <c r="G5" s="208"/>
      <c r="H5" s="208"/>
      <c r="I5" s="209"/>
      <c r="J5" s="208" t="s">
        <v>253</v>
      </c>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9"/>
      <c r="BD5" s="208" t="s">
        <v>254</v>
      </c>
      <c r="BE5" s="208"/>
      <c r="BF5" s="208"/>
      <c r="BG5" s="208"/>
      <c r="BH5" s="208"/>
      <c r="BI5" s="208"/>
      <c r="BJ5" s="208"/>
      <c r="BK5" s="210"/>
    </row>
    <row r="6" spans="1:63" ht="15.75" customHeight="1" thickTop="1">
      <c r="A6" s="211">
        <v>1</v>
      </c>
      <c r="B6" s="212" t="s">
        <v>255</v>
      </c>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4"/>
    </row>
    <row r="7" spans="1:63" ht="15.75" customHeight="1">
      <c r="A7" s="215"/>
      <c r="B7" s="69"/>
      <c r="C7" s="67"/>
      <c r="D7" s="67"/>
      <c r="E7" s="67"/>
      <c r="F7" s="67"/>
      <c r="G7" s="67"/>
      <c r="H7" s="67"/>
      <c r="I7" s="68"/>
      <c r="J7" s="216" t="s">
        <v>256</v>
      </c>
      <c r="K7" s="217" t="s">
        <v>257</v>
      </c>
      <c r="L7" s="217"/>
      <c r="M7" s="217"/>
      <c r="N7" s="217"/>
      <c r="O7" s="217"/>
      <c r="P7" s="217"/>
      <c r="Q7" s="217"/>
      <c r="R7" s="217"/>
      <c r="S7" s="217"/>
      <c r="T7" s="217"/>
      <c r="U7" s="217"/>
      <c r="V7" s="217"/>
      <c r="W7" s="217"/>
      <c r="BD7" s="216" t="s">
        <v>258</v>
      </c>
      <c r="BE7" s="67"/>
      <c r="BF7" s="67"/>
      <c r="BG7" s="67"/>
      <c r="BH7" s="67"/>
      <c r="BI7" s="67"/>
      <c r="BJ7" s="67"/>
      <c r="BK7" s="204"/>
    </row>
    <row r="8" spans="1:63" ht="15.75" customHeight="1">
      <c r="A8" s="215"/>
      <c r="B8" s="72"/>
      <c r="I8" s="71"/>
      <c r="J8" s="216"/>
      <c r="K8" s="217" t="s">
        <v>259</v>
      </c>
      <c r="M8" s="217"/>
      <c r="N8" s="217"/>
      <c r="O8" s="217"/>
      <c r="P8" s="217"/>
      <c r="Q8" s="217"/>
      <c r="R8" s="217"/>
      <c r="S8" s="217"/>
      <c r="T8" s="217"/>
      <c r="U8" s="217"/>
      <c r="V8" s="217"/>
      <c r="W8" s="217"/>
      <c r="BD8" s="216"/>
      <c r="BK8" s="61"/>
    </row>
    <row r="9" spans="1:63" ht="15.75" customHeight="1">
      <c r="A9" s="215"/>
      <c r="B9" s="72"/>
      <c r="I9" s="71"/>
      <c r="BD9" s="72"/>
      <c r="BK9" s="61"/>
    </row>
    <row r="10" spans="1:63" ht="15.75" customHeight="1">
      <c r="A10" s="215"/>
      <c r="B10" s="72"/>
      <c r="I10" s="71"/>
      <c r="J10" s="216" t="s">
        <v>218</v>
      </c>
      <c r="K10" s="217" t="s">
        <v>260</v>
      </c>
      <c r="L10" s="217"/>
      <c r="M10" s="217"/>
      <c r="N10" s="217"/>
      <c r="O10" s="217"/>
      <c r="BD10" s="72"/>
      <c r="BK10" s="61"/>
    </row>
    <row r="11" spans="1:63" ht="15.75" customHeight="1">
      <c r="A11" s="215"/>
      <c r="B11" s="72"/>
      <c r="I11" s="71"/>
      <c r="J11" s="217"/>
      <c r="K11" s="217" t="s">
        <v>259</v>
      </c>
      <c r="L11" s="217"/>
      <c r="M11" s="217"/>
      <c r="N11" s="217"/>
      <c r="O11" s="217"/>
      <c r="BD11" s="72"/>
      <c r="BK11" s="61"/>
    </row>
    <row r="12" spans="1:63" ht="15.75" customHeight="1">
      <c r="A12" s="215"/>
      <c r="B12" s="72"/>
      <c r="I12" s="71"/>
      <c r="J12" s="217"/>
      <c r="K12" s="217"/>
      <c r="L12" s="217"/>
      <c r="M12" s="217"/>
      <c r="N12" s="217"/>
      <c r="O12" s="217"/>
      <c r="BD12" s="72"/>
      <c r="BK12" s="61"/>
    </row>
    <row r="13" spans="1:63" ht="15.75" customHeight="1">
      <c r="A13" s="215"/>
      <c r="B13" s="72" t="s">
        <v>261</v>
      </c>
      <c r="I13" s="71"/>
      <c r="J13" s="216" t="s">
        <v>262</v>
      </c>
      <c r="K13" s="217" t="s">
        <v>263</v>
      </c>
      <c r="L13" s="217"/>
      <c r="M13" s="217"/>
      <c r="N13" s="217"/>
      <c r="O13" s="217"/>
      <c r="BD13" s="72"/>
      <c r="BK13" s="61"/>
    </row>
    <row r="14" spans="1:63" ht="15.75" customHeight="1">
      <c r="A14" s="215"/>
      <c r="B14" s="72"/>
      <c r="I14" s="71"/>
      <c r="J14" s="217"/>
      <c r="K14" s="217" t="s">
        <v>259</v>
      </c>
      <c r="L14" s="217"/>
      <c r="M14" s="217"/>
      <c r="N14" s="217"/>
      <c r="O14" s="217"/>
      <c r="BD14" s="72"/>
      <c r="BK14" s="61"/>
    </row>
    <row r="15" spans="1:63" ht="15.75" customHeight="1">
      <c r="A15" s="215"/>
      <c r="B15" s="72"/>
      <c r="I15" s="71"/>
      <c r="J15" s="217"/>
      <c r="K15" s="217"/>
      <c r="L15" s="217"/>
      <c r="M15" s="217"/>
      <c r="N15" s="217"/>
      <c r="O15" s="217"/>
      <c r="BD15" s="72"/>
      <c r="BK15" s="61"/>
    </row>
    <row r="16" spans="1:63" ht="15.75" customHeight="1">
      <c r="A16" s="215"/>
      <c r="B16" s="72"/>
      <c r="I16" s="71"/>
      <c r="J16" s="216" t="s">
        <v>264</v>
      </c>
      <c r="K16" s="217" t="s">
        <v>265</v>
      </c>
      <c r="L16" s="217"/>
      <c r="M16" s="217"/>
      <c r="N16" s="217"/>
      <c r="O16" s="217"/>
      <c r="BD16" s="72"/>
      <c r="BK16" s="61"/>
    </row>
    <row r="17" spans="1:63" ht="15.75" customHeight="1">
      <c r="A17" s="215"/>
      <c r="B17" s="72"/>
      <c r="I17" s="71"/>
      <c r="J17" s="217"/>
      <c r="K17" s="217" t="s">
        <v>266</v>
      </c>
      <c r="L17" s="217"/>
      <c r="M17" s="217"/>
      <c r="N17" s="217"/>
      <c r="O17" s="217"/>
      <c r="BD17" s="72"/>
      <c r="BK17" s="61"/>
    </row>
    <row r="18" spans="1:63" ht="15.75" customHeight="1">
      <c r="A18" s="215"/>
      <c r="B18" s="72"/>
      <c r="I18" s="71"/>
      <c r="J18" s="217"/>
      <c r="K18" s="217"/>
      <c r="L18" s="11" t="s">
        <v>267</v>
      </c>
      <c r="M18" s="217"/>
      <c r="N18" s="217"/>
      <c r="O18" s="217"/>
      <c r="BD18" s="72"/>
      <c r="BK18" s="61"/>
    </row>
    <row r="19" spans="1:63" ht="15.75" customHeight="1">
      <c r="A19" s="215"/>
      <c r="B19" s="72"/>
      <c r="I19" s="71"/>
      <c r="J19" s="217"/>
      <c r="K19" s="217"/>
      <c r="L19" s="217" t="s">
        <v>268</v>
      </c>
      <c r="M19" s="217" t="s">
        <v>269</v>
      </c>
      <c r="N19" s="217"/>
      <c r="O19" s="217"/>
      <c r="BD19" s="72"/>
      <c r="BK19" s="61"/>
    </row>
    <row r="20" spans="1:63" ht="15.75" customHeight="1">
      <c r="A20" s="215"/>
      <c r="B20" s="72"/>
      <c r="I20" s="71"/>
      <c r="J20" s="217"/>
      <c r="K20" s="217"/>
      <c r="L20" s="217"/>
      <c r="M20" s="217" t="s">
        <v>270</v>
      </c>
      <c r="N20" s="217"/>
      <c r="O20" s="217"/>
      <c r="BD20" s="72"/>
      <c r="BK20" s="61"/>
    </row>
    <row r="21" spans="1:63" ht="15.75" customHeight="1">
      <c r="A21" s="215"/>
      <c r="B21" s="72"/>
      <c r="I21" s="71"/>
      <c r="J21" s="217"/>
      <c r="K21" s="217"/>
      <c r="L21" s="11" t="s">
        <v>271</v>
      </c>
      <c r="M21" s="217"/>
      <c r="N21" s="217"/>
      <c r="O21" s="217"/>
      <c r="BD21" s="72"/>
      <c r="BK21" s="61"/>
    </row>
    <row r="22" spans="1:63" ht="15.75" customHeight="1">
      <c r="A22" s="215"/>
      <c r="B22" s="72"/>
      <c r="I22" s="71"/>
      <c r="J22" s="217"/>
      <c r="K22" s="217"/>
      <c r="L22" s="217" t="s">
        <v>272</v>
      </c>
      <c r="M22" s="217"/>
      <c r="N22" s="217"/>
      <c r="O22" s="217"/>
      <c r="BD22" s="72"/>
      <c r="BK22" s="61"/>
    </row>
    <row r="23" spans="1:63" ht="15.75" customHeight="1">
      <c r="A23" s="215"/>
      <c r="B23" s="72"/>
      <c r="I23" s="71"/>
      <c r="J23" s="217"/>
      <c r="K23" s="217" t="s">
        <v>273</v>
      </c>
      <c r="L23" s="217"/>
      <c r="M23" s="217"/>
      <c r="N23" s="217"/>
      <c r="O23" s="217"/>
      <c r="BD23" s="72"/>
      <c r="BK23" s="61"/>
    </row>
    <row r="24" spans="1:63" ht="15.75" customHeight="1">
      <c r="A24" s="215"/>
      <c r="B24" s="72"/>
      <c r="I24" s="71"/>
      <c r="J24" s="217"/>
      <c r="K24" s="217" t="s">
        <v>274</v>
      </c>
      <c r="L24" s="217"/>
      <c r="M24" s="217"/>
      <c r="N24" s="217"/>
      <c r="O24" s="217"/>
      <c r="BD24" s="72"/>
      <c r="BK24" s="61"/>
    </row>
    <row r="25" spans="1:63" ht="15.75" customHeight="1">
      <c r="A25" s="215"/>
      <c r="B25" s="72"/>
      <c r="I25" s="71"/>
      <c r="J25" s="217"/>
      <c r="K25" s="217"/>
      <c r="L25" s="217"/>
      <c r="M25" s="217"/>
      <c r="N25" s="217"/>
      <c r="O25" s="217"/>
      <c r="BD25" s="72"/>
      <c r="BK25" s="61"/>
    </row>
    <row r="26" spans="1:63" ht="15.75" customHeight="1">
      <c r="A26" s="215"/>
      <c r="B26" s="72"/>
      <c r="I26" s="71"/>
      <c r="J26" s="217"/>
      <c r="K26" s="217" t="s">
        <v>275</v>
      </c>
      <c r="L26" s="217"/>
      <c r="M26" s="217"/>
      <c r="N26" s="217"/>
      <c r="O26" s="217"/>
      <c r="BD26" s="72"/>
      <c r="BK26" s="61"/>
    </row>
    <row r="27" spans="1:63" ht="15.75" customHeight="1">
      <c r="A27" s="215"/>
      <c r="B27" s="72"/>
      <c r="I27" s="71"/>
      <c r="J27" s="217"/>
      <c r="K27" s="217"/>
      <c r="L27" s="217" t="s">
        <v>276</v>
      </c>
      <c r="M27" s="217" t="s">
        <v>277</v>
      </c>
      <c r="N27" s="217"/>
      <c r="O27" s="217"/>
      <c r="BD27" s="72"/>
      <c r="BK27" s="61"/>
    </row>
    <row r="28" spans="1:63" ht="15.75" customHeight="1">
      <c r="A28" s="215"/>
      <c r="B28" s="72"/>
      <c r="I28" s="71"/>
      <c r="J28" s="217"/>
      <c r="K28" s="217"/>
      <c r="L28" s="217" t="s">
        <v>278</v>
      </c>
      <c r="M28" s="217" t="s">
        <v>279</v>
      </c>
      <c r="N28" s="217"/>
      <c r="O28" s="217"/>
      <c r="BD28" s="72"/>
      <c r="BK28" s="61"/>
    </row>
    <row r="29" spans="1:63" ht="15.75" customHeight="1">
      <c r="A29" s="215"/>
      <c r="B29" s="72"/>
      <c r="I29" s="71"/>
      <c r="J29" s="217"/>
      <c r="K29" s="217"/>
      <c r="L29" s="217"/>
      <c r="M29" s="217"/>
      <c r="N29" s="217"/>
      <c r="O29" s="217"/>
      <c r="BD29" s="72"/>
      <c r="BK29" s="61"/>
    </row>
    <row r="30" spans="1:63" ht="15.75" customHeight="1">
      <c r="A30" s="215"/>
      <c r="B30" s="72"/>
      <c r="I30" s="71"/>
      <c r="J30" s="216" t="s">
        <v>280</v>
      </c>
      <c r="K30" s="217" t="s">
        <v>281</v>
      </c>
      <c r="L30" s="217"/>
      <c r="M30" s="217"/>
      <c r="N30" s="217"/>
      <c r="O30" s="217"/>
      <c r="BD30" s="72" t="s">
        <v>282</v>
      </c>
      <c r="BK30" s="61"/>
    </row>
    <row r="31" spans="1:63" ht="15.75" customHeight="1">
      <c r="A31" s="215"/>
      <c r="B31" s="72"/>
      <c r="I31" s="71"/>
      <c r="J31" s="217"/>
      <c r="K31" s="217" t="s">
        <v>259</v>
      </c>
      <c r="L31" s="217"/>
      <c r="M31" s="217"/>
      <c r="N31" s="217"/>
      <c r="O31" s="217"/>
      <c r="BD31" s="72"/>
      <c r="BK31" s="61"/>
    </row>
    <row r="32" spans="1:63" ht="15.75" customHeight="1">
      <c r="A32" s="215"/>
      <c r="B32" s="72"/>
      <c r="I32" s="71"/>
      <c r="J32" s="217"/>
      <c r="K32" s="217"/>
      <c r="M32" s="217"/>
      <c r="N32" s="217"/>
      <c r="O32" s="217"/>
      <c r="BD32" s="72"/>
      <c r="BK32" s="61"/>
    </row>
    <row r="33" spans="1:63" ht="15.75" customHeight="1">
      <c r="A33" s="215"/>
      <c r="B33" s="72" t="s">
        <v>283</v>
      </c>
      <c r="I33" s="71"/>
      <c r="J33" s="216" t="s">
        <v>284</v>
      </c>
      <c r="K33" s="217" t="s">
        <v>285</v>
      </c>
      <c r="L33" s="217"/>
      <c r="M33" s="217"/>
      <c r="N33" s="217"/>
      <c r="O33" s="217"/>
      <c r="BD33" s="72" t="s">
        <v>286</v>
      </c>
      <c r="BK33" s="61"/>
    </row>
    <row r="34" spans="1:63" ht="15.75" customHeight="1">
      <c r="A34" s="215"/>
      <c r="B34" s="72"/>
      <c r="I34" s="71"/>
      <c r="J34" s="217"/>
      <c r="K34" s="217" t="s">
        <v>287</v>
      </c>
      <c r="L34" s="217"/>
      <c r="M34" s="217"/>
      <c r="N34" s="217"/>
      <c r="O34" s="217"/>
      <c r="BD34" s="72"/>
      <c r="BK34" s="61"/>
    </row>
    <row r="35" spans="1:63" ht="15.75" customHeight="1">
      <c r="A35" s="215"/>
      <c r="B35" s="72"/>
      <c r="I35" s="71"/>
      <c r="J35" s="217"/>
      <c r="K35" s="217"/>
      <c r="L35" s="217"/>
      <c r="M35" s="217"/>
      <c r="N35" s="217"/>
      <c r="O35" s="217"/>
      <c r="BD35" s="72"/>
      <c r="BK35" s="61"/>
    </row>
    <row r="36" spans="1:63" ht="15.75" customHeight="1">
      <c r="A36" s="215"/>
      <c r="B36" s="72" t="s">
        <v>288</v>
      </c>
      <c r="I36" s="71"/>
      <c r="J36" s="216" t="s">
        <v>289</v>
      </c>
      <c r="K36" s="11" t="s">
        <v>290</v>
      </c>
      <c r="BD36" s="72"/>
      <c r="BK36" s="61"/>
    </row>
    <row r="37" spans="1:63" ht="15.75" customHeight="1">
      <c r="A37" s="215"/>
      <c r="B37" s="72" t="s">
        <v>291</v>
      </c>
      <c r="I37" s="71"/>
      <c r="J37" s="217"/>
      <c r="K37" s="217" t="s">
        <v>292</v>
      </c>
      <c r="L37" s="217"/>
      <c r="M37" s="217"/>
      <c r="N37" s="217"/>
      <c r="O37" s="217"/>
      <c r="BD37" s="72"/>
      <c r="BK37" s="61"/>
    </row>
    <row r="38" spans="1:63" ht="15.75" customHeight="1">
      <c r="A38" s="215"/>
      <c r="B38" s="72" t="s">
        <v>283</v>
      </c>
      <c r="I38" s="71"/>
      <c r="J38" s="217"/>
      <c r="K38" s="217"/>
      <c r="L38" s="217" t="s">
        <v>293</v>
      </c>
      <c r="M38" s="217"/>
      <c r="N38" s="217"/>
      <c r="O38" s="217"/>
      <c r="BD38" s="72"/>
      <c r="BK38" s="61"/>
    </row>
    <row r="39" spans="1:63" ht="15.75" customHeight="1">
      <c r="A39" s="215"/>
      <c r="B39" s="72"/>
      <c r="I39" s="71"/>
      <c r="J39" s="217"/>
      <c r="K39" s="217"/>
      <c r="L39" s="217" t="s">
        <v>276</v>
      </c>
      <c r="M39" s="217" t="s">
        <v>294</v>
      </c>
      <c r="N39" s="217"/>
      <c r="O39" s="217"/>
      <c r="BD39" s="72"/>
      <c r="BK39" s="61"/>
    </row>
    <row r="40" spans="1:63" ht="15.75" customHeight="1">
      <c r="A40" s="215"/>
      <c r="B40" s="72"/>
      <c r="I40" s="71"/>
      <c r="J40" s="217"/>
      <c r="K40" s="217"/>
      <c r="L40" s="217" t="s">
        <v>278</v>
      </c>
      <c r="M40" s="217" t="s">
        <v>295</v>
      </c>
      <c r="N40" s="217"/>
      <c r="O40" s="217"/>
      <c r="BD40" s="72"/>
      <c r="BK40" s="61"/>
    </row>
    <row r="41" spans="1:63" ht="15.75" customHeight="1">
      <c r="A41" s="215"/>
      <c r="B41" s="72"/>
      <c r="I41" s="71"/>
      <c r="J41" s="217"/>
      <c r="K41" s="217"/>
      <c r="L41" s="217" t="s">
        <v>296</v>
      </c>
      <c r="M41" s="217" t="s">
        <v>297</v>
      </c>
      <c r="N41" s="217"/>
      <c r="O41" s="217"/>
      <c r="BD41" s="72"/>
      <c r="BK41" s="61"/>
    </row>
    <row r="42" spans="1:63" ht="15.75" customHeight="1">
      <c r="A42" s="215"/>
      <c r="B42" s="72"/>
      <c r="I42" s="71"/>
      <c r="J42" s="217"/>
      <c r="K42" s="217" t="s">
        <v>298</v>
      </c>
      <c r="L42" s="217"/>
      <c r="M42" s="217"/>
      <c r="N42" s="217"/>
      <c r="O42" s="217"/>
      <c r="BD42" s="72"/>
      <c r="BK42" s="61"/>
    </row>
    <row r="43" spans="1:63" ht="15.75" customHeight="1">
      <c r="A43" s="215"/>
      <c r="B43" s="72"/>
      <c r="I43" s="71"/>
      <c r="J43" s="217"/>
      <c r="K43" s="217"/>
      <c r="L43" s="217" t="s">
        <v>299</v>
      </c>
      <c r="M43" s="217"/>
      <c r="N43" s="217"/>
      <c r="O43" s="217"/>
      <c r="BD43" s="72" t="s">
        <v>300</v>
      </c>
      <c r="BK43" s="61"/>
    </row>
    <row r="44" spans="1:63" ht="15.75" customHeight="1">
      <c r="A44" s="215"/>
      <c r="B44" s="72"/>
      <c r="I44" s="71"/>
      <c r="J44" s="217"/>
      <c r="K44" s="217"/>
      <c r="L44" s="217"/>
      <c r="M44" s="217" t="s">
        <v>301</v>
      </c>
      <c r="N44" s="217"/>
      <c r="O44" s="217"/>
      <c r="BD44" s="72" t="s">
        <v>302</v>
      </c>
      <c r="BK44" s="61"/>
    </row>
    <row r="45" spans="1:63" ht="15.75" customHeight="1">
      <c r="A45" s="215"/>
      <c r="B45" s="72"/>
      <c r="I45" s="71"/>
      <c r="J45" s="217"/>
      <c r="K45" s="217"/>
      <c r="L45" s="217" t="s">
        <v>303</v>
      </c>
      <c r="M45" s="217"/>
      <c r="N45" s="217"/>
      <c r="O45" s="217"/>
      <c r="BD45" s="72"/>
      <c r="BK45" s="61"/>
    </row>
    <row r="46" spans="1:63" ht="15.75" customHeight="1">
      <c r="A46" s="215"/>
      <c r="B46" s="72"/>
      <c r="I46" s="71"/>
      <c r="J46" s="217"/>
      <c r="K46" s="217"/>
      <c r="L46" s="217"/>
      <c r="M46" s="217" t="s">
        <v>304</v>
      </c>
      <c r="N46" s="217"/>
      <c r="O46" s="217"/>
      <c r="BD46" s="72"/>
      <c r="BK46" s="61"/>
    </row>
    <row r="47" spans="1:63" ht="15.75" customHeight="1">
      <c r="A47" s="215"/>
      <c r="B47" s="72"/>
      <c r="I47" s="71"/>
      <c r="BD47" s="72"/>
      <c r="BK47" s="61"/>
    </row>
    <row r="48" spans="1:63" ht="15.75" customHeight="1">
      <c r="A48" s="215"/>
      <c r="B48" s="72"/>
      <c r="I48" s="71"/>
      <c r="J48" s="216" t="s">
        <v>305</v>
      </c>
      <c r="K48" s="11" t="s">
        <v>306</v>
      </c>
      <c r="BD48" s="216" t="s">
        <v>258</v>
      </c>
      <c r="BK48" s="61"/>
    </row>
    <row r="49" spans="1:63" ht="15.75" customHeight="1">
      <c r="A49" s="215"/>
      <c r="B49" s="72"/>
      <c r="I49" s="71"/>
      <c r="J49" s="217"/>
      <c r="K49" s="217" t="s">
        <v>259</v>
      </c>
      <c r="L49" s="217"/>
      <c r="M49" s="217"/>
      <c r="N49" s="217"/>
      <c r="O49" s="217"/>
      <c r="BD49" s="72"/>
      <c r="BK49" s="61"/>
    </row>
    <row r="50" spans="1:63" ht="15.75" customHeight="1" thickBot="1">
      <c r="A50" s="312"/>
      <c r="B50" s="313"/>
      <c r="C50" s="84"/>
      <c r="D50" s="84"/>
      <c r="E50" s="84"/>
      <c r="F50" s="84"/>
      <c r="G50" s="84"/>
      <c r="H50" s="84"/>
      <c r="I50" s="314"/>
      <c r="J50" s="315"/>
      <c r="K50" s="315"/>
      <c r="L50" s="315"/>
      <c r="M50" s="315"/>
      <c r="N50" s="315"/>
      <c r="O50" s="315"/>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313"/>
      <c r="BE50" s="84"/>
      <c r="BF50" s="84"/>
      <c r="BG50" s="84"/>
      <c r="BH50" s="84"/>
      <c r="BI50" s="84"/>
      <c r="BJ50" s="84"/>
      <c r="BK50" s="86"/>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pageSetUpPr fitToPage="1"/>
  </sheetPr>
  <dimension ref="A1:BS482"/>
  <sheetViews>
    <sheetView showGridLines="0" showZeros="0" view="pageBreakPreview" zoomScale="70" zoomScaleNormal="100" zoomScaleSheetLayoutView="70" workbookViewId="0">
      <selection sqref="A1:BK3"/>
    </sheetView>
  </sheetViews>
  <sheetFormatPr defaultColWidth="2.125" defaultRowHeight="15.75" customHeight="1"/>
  <cols>
    <col min="1" max="1" width="2.125" style="101" customWidth="1"/>
    <col min="2" max="2" width="2.125" style="11" customWidth="1"/>
    <col min="3" max="3" width="2.375" style="11" customWidth="1"/>
    <col min="4" max="4" width="2.125" style="11" customWidth="1"/>
    <col min="5" max="5" width="3" style="11" customWidth="1"/>
    <col min="6" max="63" width="2.125" style="11" customWidth="1"/>
    <col min="64" max="64" width="2.375" style="11" bestFit="1" customWidth="1"/>
    <col min="65" max="16384" width="2.125" style="11"/>
  </cols>
  <sheetData>
    <row r="1" spans="1:63" s="7" customFormat="1" ht="15.7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75" customHeight="1">
      <c r="A2" s="468"/>
      <c r="B2" s="469"/>
      <c r="C2" s="469"/>
      <c r="D2" s="469"/>
      <c r="E2" s="469"/>
      <c r="F2" s="469"/>
      <c r="G2" s="469"/>
      <c r="H2" s="469"/>
      <c r="I2" s="469"/>
      <c r="J2" s="470"/>
      <c r="K2" s="498" t="str">
        <f>文書名_カスタマイズ</f>
        <v>バッチ機能</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文書番号_カスタマイズ</f>
        <v>J052-0-0001</v>
      </c>
      <c r="AT2" s="506"/>
      <c r="AU2" s="506"/>
      <c r="AV2" s="506"/>
      <c r="AW2" s="506"/>
      <c r="AX2" s="506"/>
      <c r="AY2" s="506"/>
      <c r="AZ2" s="508" t="str">
        <f>Ver.</f>
        <v>7.0.1</v>
      </c>
      <c r="BA2" s="440"/>
      <c r="BB2" s="440"/>
      <c r="BC2" s="440"/>
      <c r="BD2" s="440"/>
      <c r="BE2" s="441"/>
      <c r="BF2" s="654">
        <f>Rev.</f>
        <v>0.1</v>
      </c>
      <c r="BG2" s="655"/>
      <c r="BH2" s="655"/>
      <c r="BI2" s="655"/>
      <c r="BJ2" s="655"/>
      <c r="BK2" s="656"/>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657"/>
      <c r="BG3" s="718"/>
      <c r="BH3" s="718"/>
      <c r="BI3" s="718"/>
      <c r="BJ3" s="718"/>
      <c r="BK3" s="658"/>
    </row>
    <row r="4" spans="1:63" s="7" customFormat="1" ht="6.75" customHeight="1" thickBot="1">
      <c r="B4" s="3"/>
      <c r="C4" s="4"/>
      <c r="D4" s="4"/>
      <c r="E4" s="4"/>
      <c r="F4" s="5"/>
      <c r="G4" s="5"/>
      <c r="H4" s="5"/>
      <c r="I4" s="5"/>
      <c r="J4" s="4"/>
      <c r="K4" s="5"/>
      <c r="L4" s="5"/>
      <c r="M4" s="5"/>
      <c r="N4" s="5"/>
      <c r="O4" s="5"/>
      <c r="P4" s="5"/>
      <c r="Q4" s="6"/>
    </row>
    <row r="5" spans="1:63" ht="15.75" customHeight="1" thickBot="1">
      <c r="A5" s="207" t="s">
        <v>251</v>
      </c>
      <c r="B5" s="208" t="s">
        <v>252</v>
      </c>
      <c r="C5" s="208"/>
      <c r="D5" s="208"/>
      <c r="E5" s="208"/>
      <c r="F5" s="208"/>
      <c r="G5" s="208"/>
      <c r="H5" s="208"/>
      <c r="I5" s="209"/>
      <c r="J5" s="208" t="s">
        <v>253</v>
      </c>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9"/>
      <c r="BD5" s="208" t="s">
        <v>254</v>
      </c>
      <c r="BE5" s="208"/>
      <c r="BF5" s="208"/>
      <c r="BG5" s="208"/>
      <c r="BH5" s="208"/>
      <c r="BI5" s="208"/>
      <c r="BJ5" s="208"/>
      <c r="BK5" s="210"/>
    </row>
    <row r="6" spans="1:63" ht="15.75" customHeight="1" thickTop="1">
      <c r="A6" s="211">
        <v>1</v>
      </c>
      <c r="B6" s="212" t="s">
        <v>255</v>
      </c>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4"/>
    </row>
    <row r="7" spans="1:63" ht="15.75" customHeight="1">
      <c r="A7" s="215"/>
      <c r="B7" s="69"/>
      <c r="C7" s="67"/>
      <c r="D7" s="67"/>
      <c r="E7" s="67"/>
      <c r="F7" s="67"/>
      <c r="G7" s="67"/>
      <c r="H7" s="67"/>
      <c r="I7" s="68"/>
      <c r="J7" s="216" t="s">
        <v>256</v>
      </c>
      <c r="K7" s="217" t="s">
        <v>257</v>
      </c>
      <c r="L7" s="217"/>
      <c r="M7" s="217"/>
      <c r="N7" s="217"/>
      <c r="O7" s="217"/>
      <c r="P7" s="217"/>
      <c r="Q7" s="217"/>
      <c r="R7" s="217"/>
      <c r="S7" s="217"/>
      <c r="T7" s="217"/>
      <c r="U7" s="217"/>
      <c r="V7" s="217"/>
      <c r="W7" s="217"/>
      <c r="BD7" s="216" t="s">
        <v>258</v>
      </c>
      <c r="BE7" s="67"/>
      <c r="BF7" s="67"/>
      <c r="BG7" s="67"/>
      <c r="BH7" s="67"/>
      <c r="BI7" s="67"/>
      <c r="BJ7" s="67"/>
      <c r="BK7" s="204"/>
    </row>
    <row r="8" spans="1:63" ht="15.75" customHeight="1">
      <c r="A8" s="215"/>
      <c r="B8" s="72"/>
      <c r="I8" s="71"/>
      <c r="J8" s="216"/>
      <c r="K8" s="217" t="s">
        <v>259</v>
      </c>
      <c r="M8" s="217"/>
      <c r="N8" s="217"/>
      <c r="O8" s="217"/>
      <c r="P8" s="217"/>
      <c r="Q8" s="217"/>
      <c r="R8" s="217"/>
      <c r="S8" s="217"/>
      <c r="T8" s="217"/>
      <c r="U8" s="217"/>
      <c r="V8" s="217"/>
      <c r="W8" s="217"/>
      <c r="BD8" s="216"/>
      <c r="BK8" s="61"/>
    </row>
    <row r="9" spans="1:63" ht="15.75" customHeight="1">
      <c r="A9" s="215"/>
      <c r="B9" s="72"/>
      <c r="I9" s="71"/>
      <c r="BD9" s="72"/>
      <c r="BK9" s="61"/>
    </row>
    <row r="10" spans="1:63" ht="15.75" customHeight="1">
      <c r="A10" s="215"/>
      <c r="B10" s="72"/>
      <c r="I10" s="71"/>
      <c r="J10" s="216" t="s">
        <v>218</v>
      </c>
      <c r="K10" s="217" t="s">
        <v>260</v>
      </c>
      <c r="L10" s="217"/>
      <c r="M10" s="217"/>
      <c r="N10" s="217"/>
      <c r="O10" s="217"/>
      <c r="BD10" s="72"/>
      <c r="BK10" s="61"/>
    </row>
    <row r="11" spans="1:63" ht="15.75" customHeight="1">
      <c r="A11" s="215"/>
      <c r="B11" s="72"/>
      <c r="I11" s="71"/>
      <c r="J11" s="217"/>
      <c r="K11" s="217" t="s">
        <v>259</v>
      </c>
      <c r="L11" s="217"/>
      <c r="M11" s="217"/>
      <c r="N11" s="217"/>
      <c r="O11" s="217"/>
      <c r="BD11" s="72"/>
      <c r="BK11" s="61"/>
    </row>
    <row r="12" spans="1:63" ht="15.75" customHeight="1">
      <c r="A12" s="215"/>
      <c r="B12" s="72"/>
      <c r="I12" s="71"/>
      <c r="J12" s="217"/>
      <c r="K12" s="217"/>
      <c r="L12" s="217"/>
      <c r="M12" s="217"/>
      <c r="N12" s="217"/>
      <c r="O12" s="217"/>
      <c r="BD12" s="72"/>
      <c r="BK12" s="61"/>
    </row>
    <row r="13" spans="1:63" ht="15.75" customHeight="1">
      <c r="A13" s="215"/>
      <c r="B13" s="72" t="s">
        <v>261</v>
      </c>
      <c r="I13" s="71"/>
      <c r="J13" s="216" t="s">
        <v>262</v>
      </c>
      <c r="K13" s="217" t="s">
        <v>263</v>
      </c>
      <c r="L13" s="217"/>
      <c r="M13" s="217"/>
      <c r="N13" s="217"/>
      <c r="O13" s="217"/>
      <c r="BD13" s="72"/>
      <c r="BK13" s="61"/>
    </row>
    <row r="14" spans="1:63" ht="15" customHeight="1">
      <c r="A14" s="215"/>
      <c r="B14" s="72"/>
      <c r="I14" s="71"/>
      <c r="J14" s="217"/>
      <c r="K14" s="217"/>
      <c r="L14" s="217"/>
      <c r="M14" s="217"/>
      <c r="N14" s="217"/>
      <c r="O14" s="217"/>
      <c r="BD14" s="72"/>
      <c r="BK14" s="61"/>
    </row>
    <row r="15" spans="1:63" ht="15.75" customHeight="1">
      <c r="A15" s="215"/>
      <c r="B15" s="72"/>
      <c r="I15" s="71"/>
      <c r="J15" s="217"/>
      <c r="K15" s="333" t="s">
        <v>307</v>
      </c>
      <c r="L15" s="334"/>
      <c r="M15" s="334"/>
      <c r="N15" s="334"/>
      <c r="O15" s="334"/>
      <c r="P15" s="334"/>
      <c r="Q15" s="334"/>
      <c r="R15" s="334"/>
      <c r="S15" s="334"/>
      <c r="T15" s="334"/>
      <c r="U15" s="334"/>
      <c r="V15" s="334"/>
      <c r="W15" s="334"/>
      <c r="X15" s="334"/>
      <c r="Y15" s="334"/>
      <c r="Z15" s="334"/>
      <c r="AA15" s="334"/>
      <c r="AB15" s="334"/>
      <c r="AC15" s="334"/>
      <c r="AD15" s="334"/>
      <c r="AE15" s="334"/>
      <c r="AF15" s="334"/>
      <c r="AG15" s="334"/>
      <c r="AH15" s="334"/>
      <c r="BD15" s="216"/>
      <c r="BK15" s="61"/>
    </row>
    <row r="16" spans="1:63" ht="15.75" customHeight="1">
      <c r="A16" s="215"/>
      <c r="B16" s="72"/>
      <c r="I16" s="71"/>
      <c r="J16" s="217"/>
      <c r="K16" s="335" t="s">
        <v>308</v>
      </c>
      <c r="L16" s="335"/>
      <c r="M16" s="335"/>
      <c r="N16" s="335"/>
      <c r="O16" s="335"/>
      <c r="P16" s="334"/>
      <c r="Q16" s="334"/>
      <c r="R16" s="334"/>
      <c r="S16" s="334"/>
      <c r="T16" s="334"/>
      <c r="U16" s="334"/>
      <c r="V16" s="334"/>
      <c r="W16" s="334"/>
      <c r="X16" s="334"/>
      <c r="Y16" s="334"/>
      <c r="Z16" s="334"/>
      <c r="AA16" s="334"/>
      <c r="AB16" s="334"/>
      <c r="AC16" s="334"/>
      <c r="AD16" s="334"/>
      <c r="AE16" s="334"/>
      <c r="AF16" s="334"/>
      <c r="AG16" s="334"/>
      <c r="AH16" s="334"/>
      <c r="BD16" s="72"/>
      <c r="BK16" s="61"/>
    </row>
    <row r="17" spans="1:63" ht="15.75" customHeight="1">
      <c r="A17" s="215"/>
      <c r="B17" s="72"/>
      <c r="I17" s="71"/>
      <c r="J17" s="217"/>
      <c r="K17" s="217"/>
      <c r="L17" s="217"/>
      <c r="M17" s="217"/>
      <c r="N17" s="217"/>
      <c r="O17" s="217"/>
      <c r="BD17" s="72"/>
      <c r="BK17" s="61"/>
    </row>
    <row r="18" spans="1:63" ht="15.75" customHeight="1">
      <c r="A18" s="215"/>
      <c r="B18" s="72"/>
      <c r="I18" s="71"/>
      <c r="J18" s="216" t="s">
        <v>264</v>
      </c>
      <c r="K18" s="217" t="s">
        <v>265</v>
      </c>
      <c r="L18" s="217"/>
      <c r="M18" s="217"/>
      <c r="N18" s="217"/>
      <c r="O18" s="217"/>
      <c r="BD18" s="72"/>
      <c r="BK18" s="61"/>
    </row>
    <row r="19" spans="1:63" ht="15.75" customHeight="1">
      <c r="A19" s="215"/>
      <c r="B19" s="72"/>
      <c r="I19" s="71"/>
      <c r="J19" s="217"/>
      <c r="K19" s="326" t="s">
        <v>309</v>
      </c>
      <c r="L19" s="217"/>
      <c r="M19" s="217" t="s">
        <v>310</v>
      </c>
      <c r="N19" s="217"/>
      <c r="O19" s="217"/>
      <c r="BD19" s="72"/>
      <c r="BK19" s="61"/>
    </row>
    <row r="20" spans="1:63" ht="15.75" customHeight="1">
      <c r="A20" s="215"/>
      <c r="B20" s="72"/>
      <c r="I20" s="71"/>
      <c r="J20" s="217"/>
      <c r="K20" s="217" t="s">
        <v>311</v>
      </c>
      <c r="L20" s="217"/>
      <c r="M20" s="217" t="s">
        <v>312</v>
      </c>
      <c r="N20" s="217"/>
      <c r="O20" s="217"/>
      <c r="BD20" s="72"/>
      <c r="BK20" s="61"/>
    </row>
    <row r="21" spans="1:63" ht="15.75" customHeight="1">
      <c r="A21" s="215"/>
      <c r="B21" s="72"/>
      <c r="I21" s="71"/>
      <c r="J21" s="217"/>
      <c r="K21" s="217"/>
      <c r="L21" s="217" t="s">
        <v>313</v>
      </c>
      <c r="M21" s="217"/>
      <c r="N21" s="217"/>
      <c r="O21" s="217"/>
      <c r="BD21" s="72"/>
      <c r="BK21" s="61"/>
    </row>
    <row r="22" spans="1:63" ht="15.75" customHeight="1">
      <c r="A22" s="215"/>
      <c r="B22" s="72"/>
      <c r="I22" s="71"/>
      <c r="J22" s="217"/>
      <c r="K22" s="217"/>
      <c r="M22" s="217" t="s">
        <v>314</v>
      </c>
      <c r="N22" s="217"/>
      <c r="O22" s="217"/>
      <c r="BD22" s="72"/>
      <c r="BK22" s="61"/>
    </row>
    <row r="23" spans="1:63" ht="15.75" customHeight="1">
      <c r="A23" s="215"/>
      <c r="B23" s="72"/>
      <c r="I23" s="71"/>
      <c r="J23" s="217"/>
      <c r="K23" s="217"/>
      <c r="M23" s="217" t="s">
        <v>315</v>
      </c>
      <c r="N23" s="217"/>
      <c r="O23" s="217"/>
      <c r="BD23" s="72"/>
      <c r="BK23" s="61"/>
    </row>
    <row r="24" spans="1:63" ht="15.75" customHeight="1">
      <c r="A24" s="215"/>
      <c r="B24" s="72"/>
      <c r="I24" s="71"/>
      <c r="J24" s="217"/>
      <c r="K24" s="217"/>
      <c r="L24" s="217"/>
      <c r="M24" s="217" t="s">
        <v>316</v>
      </c>
      <c r="N24" s="217"/>
      <c r="O24" s="217"/>
      <c r="BD24" s="72"/>
      <c r="BK24" s="61"/>
    </row>
    <row r="25" spans="1:63" ht="15.75" customHeight="1">
      <c r="A25" s="215"/>
      <c r="B25" s="72"/>
      <c r="I25" s="71"/>
      <c r="J25" s="217"/>
      <c r="K25" s="217"/>
      <c r="N25" s="217"/>
      <c r="O25" s="217"/>
      <c r="AA25" s="217" t="s">
        <v>317</v>
      </c>
      <c r="BD25" s="72"/>
      <c r="BK25" s="61"/>
    </row>
    <row r="26" spans="1:63" ht="15.75" customHeight="1">
      <c r="A26" s="215"/>
      <c r="B26" s="72"/>
      <c r="I26" s="71"/>
      <c r="J26" s="217"/>
      <c r="K26" s="217"/>
      <c r="M26" s="217"/>
      <c r="N26" s="217"/>
      <c r="O26" s="217"/>
      <c r="BD26" s="72"/>
      <c r="BK26" s="61"/>
    </row>
    <row r="27" spans="1:63" ht="15.75" customHeight="1">
      <c r="A27" s="215"/>
      <c r="B27" s="72" t="s">
        <v>318</v>
      </c>
      <c r="I27" s="71"/>
      <c r="J27" s="217"/>
      <c r="K27" s="217"/>
      <c r="L27" s="217" t="s">
        <v>319</v>
      </c>
      <c r="M27" s="217"/>
      <c r="N27" s="217"/>
      <c r="O27" s="217"/>
      <c r="BD27" s="72"/>
      <c r="BK27" s="61"/>
    </row>
    <row r="28" spans="1:63" ht="15.75" customHeight="1">
      <c r="A28" s="215"/>
      <c r="B28" s="72"/>
      <c r="I28" s="71"/>
      <c r="J28" s="217"/>
      <c r="K28" s="217"/>
      <c r="L28" s="217" t="s">
        <v>320</v>
      </c>
      <c r="M28" s="217"/>
      <c r="N28" s="217" t="s">
        <v>321</v>
      </c>
      <c r="O28" s="217"/>
      <c r="BD28" s="72"/>
      <c r="BK28" s="61"/>
    </row>
    <row r="29" spans="1:63" ht="15.75" customHeight="1">
      <c r="A29" s="215"/>
      <c r="B29" s="72"/>
      <c r="I29" s="71"/>
      <c r="J29" s="217"/>
      <c r="K29" s="217"/>
      <c r="L29" s="217"/>
      <c r="M29" s="217"/>
      <c r="N29" s="217" t="s">
        <v>276</v>
      </c>
      <c r="O29" s="217" t="s">
        <v>322</v>
      </c>
      <c r="BD29" s="72"/>
      <c r="BK29" s="61"/>
    </row>
    <row r="30" spans="1:63" ht="15.75" customHeight="1">
      <c r="A30" s="215"/>
      <c r="B30" s="72"/>
      <c r="I30" s="71"/>
      <c r="J30" s="217"/>
      <c r="K30" s="217"/>
      <c r="L30" s="217"/>
      <c r="M30" s="217"/>
      <c r="N30" s="217"/>
      <c r="O30" s="217" t="s">
        <v>323</v>
      </c>
      <c r="BD30" s="72"/>
      <c r="BK30" s="61"/>
    </row>
    <row r="31" spans="1:63" ht="15.75" customHeight="1">
      <c r="A31" s="215"/>
      <c r="B31" s="72"/>
      <c r="I31" s="71"/>
      <c r="J31" s="217"/>
      <c r="K31" s="217"/>
      <c r="L31" s="217"/>
      <c r="M31" s="217"/>
      <c r="O31" s="217" t="s">
        <v>324</v>
      </c>
      <c r="P31" s="217"/>
      <c r="BD31" s="72"/>
      <c r="BK31" s="61"/>
    </row>
    <row r="32" spans="1:63" ht="15.75" customHeight="1">
      <c r="A32" s="215"/>
      <c r="B32" s="72"/>
      <c r="I32" s="71"/>
      <c r="J32" s="217"/>
      <c r="K32" s="217"/>
      <c r="L32" s="217"/>
      <c r="M32" s="217"/>
      <c r="O32" s="217"/>
      <c r="P32" s="217" t="s">
        <v>325</v>
      </c>
      <c r="Z32" s="11" t="s">
        <v>326</v>
      </c>
      <c r="AC32" s="11" t="s">
        <v>327</v>
      </c>
      <c r="BD32" s="72"/>
      <c r="BK32" s="61"/>
    </row>
    <row r="33" spans="1:63" ht="15.75" customHeight="1">
      <c r="A33" s="215"/>
      <c r="B33" s="72"/>
      <c r="I33" s="71"/>
      <c r="J33" s="217"/>
      <c r="K33" s="217"/>
      <c r="L33" s="217"/>
      <c r="M33" s="217"/>
      <c r="N33" s="217" t="s">
        <v>278</v>
      </c>
      <c r="O33" s="217" t="s">
        <v>328</v>
      </c>
      <c r="BD33" s="72"/>
      <c r="BK33" s="61"/>
    </row>
    <row r="34" spans="1:63" ht="15.75" customHeight="1">
      <c r="A34" s="215"/>
      <c r="B34" s="72"/>
      <c r="I34" s="71"/>
      <c r="J34" s="217"/>
      <c r="K34" s="217"/>
      <c r="L34" s="217"/>
      <c r="M34" s="217"/>
      <c r="O34" s="217" t="s">
        <v>324</v>
      </c>
      <c r="P34" s="217"/>
      <c r="BD34" s="72"/>
      <c r="BK34" s="61"/>
    </row>
    <row r="35" spans="1:63" ht="15.75" customHeight="1">
      <c r="A35" s="215"/>
      <c r="B35" s="72"/>
      <c r="I35" s="71"/>
      <c r="J35" s="217"/>
      <c r="K35" s="217"/>
      <c r="L35" s="217"/>
      <c r="M35" s="217"/>
      <c r="O35" s="217"/>
      <c r="P35" s="217" t="s">
        <v>325</v>
      </c>
      <c r="Z35" s="11" t="s">
        <v>326</v>
      </c>
      <c r="AC35" s="11" t="s">
        <v>329</v>
      </c>
      <c r="BD35" s="72"/>
      <c r="BK35" s="61"/>
    </row>
    <row r="36" spans="1:63" ht="15.75" customHeight="1">
      <c r="A36" s="215"/>
      <c r="B36" s="72"/>
      <c r="I36" s="71"/>
      <c r="J36" s="217"/>
      <c r="K36" s="217"/>
      <c r="L36" s="217"/>
      <c r="M36" s="217"/>
      <c r="N36" s="217"/>
      <c r="O36" s="217"/>
      <c r="AC36" s="297" t="s">
        <v>330</v>
      </c>
      <c r="BD36" s="72"/>
      <c r="BK36" s="61"/>
    </row>
    <row r="37" spans="1:63" ht="15.75" customHeight="1">
      <c r="A37" s="215"/>
      <c r="B37" s="72"/>
      <c r="I37" s="71"/>
      <c r="J37" s="217"/>
      <c r="K37" s="217"/>
      <c r="L37" s="217"/>
      <c r="M37" s="217"/>
      <c r="N37" s="217"/>
      <c r="O37" s="217"/>
      <c r="BD37" s="72"/>
      <c r="BK37" s="61"/>
    </row>
    <row r="38" spans="1:63" ht="15.75" customHeight="1">
      <c r="A38" s="215"/>
      <c r="B38" s="72"/>
      <c r="I38" s="71"/>
      <c r="J38" s="217"/>
      <c r="K38" s="217"/>
      <c r="L38" s="217" t="s">
        <v>331</v>
      </c>
      <c r="M38" s="217"/>
      <c r="N38" s="217" t="s">
        <v>332</v>
      </c>
      <c r="O38" s="296"/>
      <c r="BD38" s="72"/>
      <c r="BK38" s="61"/>
    </row>
    <row r="39" spans="1:63" ht="15.75" customHeight="1">
      <c r="A39" s="215"/>
      <c r="B39" s="72"/>
      <c r="I39" s="71"/>
      <c r="J39" s="217"/>
      <c r="K39" s="217"/>
      <c r="L39" s="217"/>
      <c r="M39" s="217"/>
      <c r="N39" s="217" t="s">
        <v>276</v>
      </c>
      <c r="O39" s="217" t="s">
        <v>333</v>
      </c>
      <c r="BD39" s="72"/>
      <c r="BK39" s="61"/>
    </row>
    <row r="40" spans="1:63" ht="15.75" customHeight="1">
      <c r="A40" s="215"/>
      <c r="B40" s="72"/>
      <c r="I40" s="71"/>
      <c r="J40" s="217"/>
      <c r="K40" s="217"/>
      <c r="L40" s="217"/>
      <c r="M40" s="217"/>
      <c r="N40" s="217"/>
      <c r="O40" s="217" t="s">
        <v>334</v>
      </c>
      <c r="BD40" s="72"/>
      <c r="BK40" s="61"/>
    </row>
    <row r="41" spans="1:63" ht="15.75" customHeight="1">
      <c r="A41" s="215"/>
      <c r="B41" s="72"/>
      <c r="I41" s="71"/>
      <c r="J41" s="217"/>
      <c r="K41" s="217"/>
      <c r="L41" s="217"/>
      <c r="M41" s="217"/>
      <c r="N41" s="217"/>
      <c r="O41" s="296"/>
      <c r="BD41" s="72"/>
      <c r="BK41" s="61"/>
    </row>
    <row r="42" spans="1:63" ht="15.75" customHeight="1">
      <c r="A42" s="215"/>
      <c r="B42" s="72"/>
      <c r="I42" s="71"/>
      <c r="J42" s="217"/>
      <c r="K42" s="217"/>
      <c r="L42" s="217"/>
      <c r="M42" s="217"/>
      <c r="N42" s="217" t="s">
        <v>278</v>
      </c>
      <c r="O42" s="217" t="s">
        <v>335</v>
      </c>
      <c r="BD42" s="72"/>
      <c r="BK42" s="61"/>
    </row>
    <row r="43" spans="1:63" s="78" customFormat="1" ht="15.75" customHeight="1">
      <c r="A43" s="215"/>
      <c r="B43" s="72"/>
      <c r="C43" s="11"/>
      <c r="D43" s="11"/>
      <c r="E43" s="11"/>
      <c r="F43" s="11"/>
      <c r="G43" s="11"/>
      <c r="H43" s="11"/>
      <c r="I43" s="71"/>
      <c r="J43" s="217"/>
      <c r="K43" s="217"/>
      <c r="L43" s="217"/>
      <c r="M43" s="217"/>
      <c r="N43" s="217"/>
      <c r="O43" s="217" t="s">
        <v>336</v>
      </c>
      <c r="P43" s="11" t="s">
        <v>337</v>
      </c>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72"/>
      <c r="BE43" s="11"/>
      <c r="BF43" s="11"/>
      <c r="BG43" s="11"/>
      <c r="BH43" s="11"/>
      <c r="BI43" s="11"/>
      <c r="BK43" s="332"/>
    </row>
    <row r="44" spans="1:63" s="78" customFormat="1" ht="15.75" customHeight="1">
      <c r="A44" s="215"/>
      <c r="B44" s="72"/>
      <c r="C44" s="11"/>
      <c r="D44" s="11"/>
      <c r="E44" s="11"/>
      <c r="F44" s="11"/>
      <c r="G44" s="11"/>
      <c r="H44" s="11"/>
      <c r="I44" s="71"/>
      <c r="J44" s="217"/>
      <c r="K44" s="217"/>
      <c r="L44" s="217"/>
      <c r="M44" s="217"/>
      <c r="N44" s="217"/>
      <c r="O44" s="217"/>
      <c r="P44" s="11" t="s">
        <v>338</v>
      </c>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72"/>
      <c r="BE44" s="11"/>
      <c r="BF44" s="11"/>
      <c r="BG44" s="11"/>
      <c r="BH44" s="11"/>
      <c r="BI44" s="11"/>
      <c r="BK44" s="332"/>
    </row>
    <row r="45" spans="1:63" s="78" customFormat="1" ht="15.75" customHeight="1">
      <c r="A45" s="215"/>
      <c r="B45" s="72"/>
      <c r="C45" s="11"/>
      <c r="D45" s="11"/>
      <c r="E45" s="11"/>
      <c r="F45" s="11"/>
      <c r="G45" s="11"/>
      <c r="H45" s="11"/>
      <c r="I45" s="71"/>
      <c r="J45" s="217"/>
      <c r="K45" s="217"/>
      <c r="L45" s="217"/>
      <c r="M45" s="217"/>
      <c r="N45" s="217"/>
      <c r="O45" s="217"/>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72"/>
      <c r="BE45" s="11"/>
      <c r="BF45" s="11"/>
      <c r="BG45" s="11"/>
      <c r="BH45" s="11"/>
      <c r="BI45" s="11"/>
      <c r="BK45" s="332"/>
    </row>
    <row r="46" spans="1:63" s="78" customFormat="1" ht="15.6" customHeight="1">
      <c r="A46" s="215"/>
      <c r="B46" s="72" t="s">
        <v>339</v>
      </c>
      <c r="C46" s="11"/>
      <c r="D46" s="11"/>
      <c r="E46" s="11"/>
      <c r="F46" s="11"/>
      <c r="G46" s="11"/>
      <c r="H46" s="11"/>
      <c r="I46" s="71"/>
      <c r="J46" s="11"/>
      <c r="K46" s="11"/>
      <c r="L46" s="11"/>
      <c r="M46" s="11"/>
      <c r="N46" s="11"/>
      <c r="O46" s="11"/>
      <c r="P46" s="11" t="s">
        <v>340</v>
      </c>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72"/>
      <c r="BE46" s="11"/>
      <c r="BF46" s="11"/>
      <c r="BG46" s="11"/>
      <c r="BH46" s="11"/>
      <c r="BI46" s="11"/>
      <c r="BK46" s="332"/>
    </row>
    <row r="47" spans="1:63" s="78" customFormat="1" ht="15.75" customHeight="1">
      <c r="A47" s="215"/>
      <c r="B47" s="72"/>
      <c r="C47" s="11"/>
      <c r="D47" s="11"/>
      <c r="E47" s="11"/>
      <c r="F47" s="11"/>
      <c r="G47" s="11"/>
      <c r="H47" s="11"/>
      <c r="I47" s="71"/>
      <c r="J47" s="11"/>
      <c r="K47" s="11"/>
      <c r="L47" s="11"/>
      <c r="M47" s="11"/>
      <c r="N47" s="11"/>
      <c r="O47" s="11"/>
      <c r="P47" s="11"/>
      <c r="Q47" s="11" t="s">
        <v>341</v>
      </c>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72"/>
      <c r="BE47" s="11"/>
      <c r="BF47" s="11"/>
      <c r="BG47" s="11"/>
      <c r="BH47" s="11"/>
      <c r="BI47" s="11"/>
      <c r="BK47" s="332"/>
    </row>
    <row r="48" spans="1:63" s="78" customFormat="1" ht="15.75" customHeight="1">
      <c r="A48" s="215"/>
      <c r="B48" s="72"/>
      <c r="C48" s="11"/>
      <c r="D48" s="11"/>
      <c r="E48" s="11"/>
      <c r="F48" s="11"/>
      <c r="G48" s="11"/>
      <c r="H48" s="11"/>
      <c r="I48" s="71"/>
      <c r="J48" s="11"/>
      <c r="K48" s="201"/>
      <c r="L48" s="11"/>
      <c r="M48" s="297"/>
      <c r="N48" s="11"/>
      <c r="O48" s="11"/>
      <c r="P48" s="11"/>
      <c r="Q48" s="11"/>
      <c r="R48" s="11"/>
      <c r="S48" s="11" t="s">
        <v>342</v>
      </c>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72"/>
      <c r="BE48" s="11"/>
      <c r="BF48" s="11"/>
      <c r="BG48" s="11"/>
      <c r="BH48" s="11"/>
      <c r="BI48" s="11"/>
      <c r="BK48" s="332"/>
    </row>
    <row r="49" spans="1:63" s="78" customFormat="1" ht="15.75" customHeight="1">
      <c r="A49" s="215"/>
      <c r="B49" s="72"/>
      <c r="C49" s="11"/>
      <c r="D49" s="11"/>
      <c r="E49" s="11"/>
      <c r="F49" s="11"/>
      <c r="G49" s="11"/>
      <c r="H49" s="11"/>
      <c r="I49" s="71"/>
      <c r="J49" s="11"/>
      <c r="K49" s="201"/>
      <c r="L49" s="11"/>
      <c r="M49" s="297"/>
      <c r="N49" s="11"/>
      <c r="O49" s="11"/>
      <c r="P49" s="11"/>
      <c r="Q49" s="11" t="s">
        <v>343</v>
      </c>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72"/>
      <c r="BE49" s="11"/>
      <c r="BF49" s="11"/>
      <c r="BG49" s="11"/>
      <c r="BH49" s="11"/>
      <c r="BI49" s="11"/>
      <c r="BK49" s="332"/>
    </row>
    <row r="50" spans="1:63" s="78" customFormat="1" ht="15.75" customHeight="1">
      <c r="A50" s="215"/>
      <c r="B50" s="72"/>
      <c r="C50" s="11"/>
      <c r="D50" s="11"/>
      <c r="E50" s="11"/>
      <c r="F50" s="11"/>
      <c r="G50" s="11"/>
      <c r="H50" s="11"/>
      <c r="I50" s="71"/>
      <c r="J50" s="11"/>
      <c r="K50" s="201"/>
      <c r="L50" s="11"/>
      <c r="M50" s="297"/>
      <c r="N50" s="11"/>
      <c r="O50" s="11"/>
      <c r="P50" s="11"/>
      <c r="Q50" s="11"/>
      <c r="R50" s="11"/>
      <c r="S50" s="11" t="s">
        <v>344</v>
      </c>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72"/>
      <c r="BE50" s="11"/>
      <c r="BF50" s="11"/>
      <c r="BG50" s="11"/>
      <c r="BH50" s="11"/>
      <c r="BI50" s="11"/>
      <c r="BK50" s="332"/>
    </row>
    <row r="51" spans="1:63" s="78" customFormat="1" ht="15.75" customHeight="1">
      <c r="A51" s="215"/>
      <c r="B51" s="72"/>
      <c r="C51" s="11"/>
      <c r="D51" s="11"/>
      <c r="E51" s="11"/>
      <c r="F51" s="11"/>
      <c r="G51" s="11"/>
      <c r="H51" s="11"/>
      <c r="I51" s="71"/>
      <c r="J51" s="11"/>
      <c r="K51" s="201"/>
      <c r="L51" s="11"/>
      <c r="M51" s="297"/>
      <c r="N51" s="11"/>
      <c r="O51" s="11"/>
      <c r="P51" s="11"/>
      <c r="Q51" s="11" t="s">
        <v>345</v>
      </c>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72"/>
      <c r="BE51" s="11"/>
      <c r="BF51" s="11"/>
      <c r="BG51" s="11"/>
      <c r="BH51" s="11"/>
      <c r="BI51" s="11"/>
      <c r="BK51" s="332"/>
    </row>
    <row r="52" spans="1:63" s="78" customFormat="1" ht="15.75" customHeight="1">
      <c r="A52" s="215"/>
      <c r="B52" s="72"/>
      <c r="C52" s="11"/>
      <c r="D52" s="11"/>
      <c r="E52" s="11"/>
      <c r="F52" s="11"/>
      <c r="G52" s="11"/>
      <c r="H52" s="11"/>
      <c r="I52" s="71"/>
      <c r="J52" s="11"/>
      <c r="K52" s="201"/>
      <c r="L52" s="11"/>
      <c r="M52" s="297"/>
      <c r="N52" s="11"/>
      <c r="O52" s="11"/>
      <c r="P52" s="11"/>
      <c r="Q52" s="11"/>
      <c r="R52" s="11"/>
      <c r="S52" s="11" t="s">
        <v>346</v>
      </c>
      <c r="T52" s="11"/>
      <c r="U52" s="11"/>
      <c r="V52" s="11"/>
      <c r="W52" s="11"/>
      <c r="X52" s="11"/>
      <c r="Y52" s="11"/>
      <c r="Z52" s="11"/>
      <c r="AA52" s="11"/>
      <c r="AB52" s="11"/>
      <c r="AC52" s="11" t="s">
        <v>326</v>
      </c>
      <c r="AD52" s="11"/>
      <c r="AE52" s="11"/>
      <c r="AF52" s="201" t="s">
        <v>347</v>
      </c>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72"/>
      <c r="BE52" s="11"/>
      <c r="BF52" s="11"/>
      <c r="BG52" s="11"/>
      <c r="BH52" s="11"/>
      <c r="BI52" s="11"/>
      <c r="BK52" s="332"/>
    </row>
    <row r="53" spans="1:63" s="78" customFormat="1" ht="15.75" customHeight="1">
      <c r="A53" s="215"/>
      <c r="B53" s="72"/>
      <c r="C53" s="11"/>
      <c r="D53" s="11"/>
      <c r="E53" s="11"/>
      <c r="F53" s="11"/>
      <c r="G53" s="11"/>
      <c r="H53" s="11"/>
      <c r="I53" s="71"/>
      <c r="J53" s="11"/>
      <c r="K53" s="201"/>
      <c r="L53" s="11"/>
      <c r="M53" s="297"/>
      <c r="N53" s="11"/>
      <c r="O53" s="11"/>
      <c r="P53" s="11"/>
      <c r="Q53" s="11" t="s">
        <v>348</v>
      </c>
      <c r="R53" s="11"/>
      <c r="S53" s="11" t="s">
        <v>349</v>
      </c>
      <c r="T53" s="11"/>
      <c r="U53" s="11"/>
      <c r="V53" s="11"/>
      <c r="W53" s="11"/>
      <c r="X53" s="11"/>
      <c r="Y53" s="11"/>
      <c r="Z53" s="11"/>
      <c r="AA53" s="11"/>
      <c r="AB53" s="11"/>
      <c r="AC53" s="11" t="s">
        <v>326</v>
      </c>
      <c r="AD53" s="11"/>
      <c r="AE53" s="11"/>
      <c r="AF53" s="201" t="s">
        <v>350</v>
      </c>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72"/>
      <c r="BE53" s="11"/>
      <c r="BF53" s="11"/>
      <c r="BG53" s="11"/>
      <c r="BH53" s="11"/>
      <c r="BI53" s="11"/>
      <c r="BK53" s="332"/>
    </row>
    <row r="54" spans="1:63" s="78" customFormat="1" ht="15.75" customHeight="1">
      <c r="A54" s="215"/>
      <c r="B54" s="72"/>
      <c r="C54" s="11"/>
      <c r="D54" s="11"/>
      <c r="E54" s="11"/>
      <c r="F54" s="11"/>
      <c r="G54" s="11"/>
      <c r="H54" s="11"/>
      <c r="I54" s="7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72"/>
      <c r="BE54" s="11"/>
      <c r="BF54" s="11"/>
      <c r="BG54" s="11"/>
      <c r="BH54" s="11"/>
      <c r="BI54" s="11"/>
      <c r="BK54" s="332"/>
    </row>
    <row r="55" spans="1:63" s="78" customFormat="1" ht="15.75" customHeight="1">
      <c r="A55" s="215"/>
      <c r="B55" s="72"/>
      <c r="C55" s="11"/>
      <c r="D55" s="11"/>
      <c r="E55" s="11"/>
      <c r="F55" s="11"/>
      <c r="G55" s="11"/>
      <c r="H55" s="11"/>
      <c r="I55" s="71"/>
      <c r="J55" s="11"/>
      <c r="K55" s="11"/>
      <c r="L55" s="11"/>
      <c r="M55" s="11"/>
      <c r="N55" s="11"/>
      <c r="O55" s="11"/>
      <c r="P55" s="11" t="s">
        <v>147</v>
      </c>
      <c r="Q55" s="11" t="s">
        <v>351</v>
      </c>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72" t="s">
        <v>352</v>
      </c>
      <c r="BE55" s="11"/>
      <c r="BF55" s="11"/>
      <c r="BG55" s="11"/>
      <c r="BH55" s="11"/>
      <c r="BI55" s="11"/>
      <c r="BK55" s="332"/>
    </row>
    <row r="56" spans="1:63" s="78" customFormat="1" ht="15.75" customHeight="1">
      <c r="A56" s="215"/>
      <c r="B56" s="72"/>
      <c r="C56" s="11"/>
      <c r="D56" s="11"/>
      <c r="E56" s="11"/>
      <c r="F56" s="11"/>
      <c r="G56" s="11"/>
      <c r="H56" s="11"/>
      <c r="I56" s="7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72"/>
      <c r="BE56" s="11"/>
      <c r="BF56" s="11" t="s">
        <v>353</v>
      </c>
      <c r="BG56" s="11"/>
      <c r="BH56" s="11"/>
      <c r="BI56" s="11"/>
      <c r="BK56" s="332"/>
    </row>
    <row r="57" spans="1:63" s="78" customFormat="1" ht="15.75" customHeight="1">
      <c r="A57" s="215"/>
      <c r="B57" s="72"/>
      <c r="C57" s="11"/>
      <c r="D57" s="11"/>
      <c r="E57" s="11"/>
      <c r="F57" s="11"/>
      <c r="G57" s="11"/>
      <c r="H57" s="11"/>
      <c r="I57" s="71"/>
      <c r="J57" s="11"/>
      <c r="K57" s="11"/>
      <c r="L57" s="11"/>
      <c r="M57" s="11"/>
      <c r="N57" s="11"/>
      <c r="O57" s="11"/>
      <c r="P57" s="11" t="s">
        <v>147</v>
      </c>
      <c r="Q57" s="11" t="s">
        <v>354</v>
      </c>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72" t="s">
        <v>352</v>
      </c>
      <c r="BE57" s="11"/>
      <c r="BF57" s="11"/>
      <c r="BG57" s="11"/>
      <c r="BH57" s="11"/>
      <c r="BI57" s="11"/>
      <c r="BK57" s="332"/>
    </row>
    <row r="58" spans="1:63" s="78" customFormat="1" ht="15.75" customHeight="1">
      <c r="A58" s="215"/>
      <c r="B58" s="72"/>
      <c r="C58" s="11"/>
      <c r="D58" s="11"/>
      <c r="E58" s="11"/>
      <c r="F58" s="11"/>
      <c r="G58" s="11"/>
      <c r="H58" s="11"/>
      <c r="I58" s="7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72"/>
      <c r="BE58" s="11"/>
      <c r="BF58" s="11" t="s">
        <v>355</v>
      </c>
      <c r="BG58" s="11"/>
      <c r="BH58" s="11"/>
      <c r="BI58" s="11"/>
      <c r="BK58" s="332"/>
    </row>
    <row r="59" spans="1:63" s="78" customFormat="1" ht="15.75" customHeight="1">
      <c r="A59" s="215"/>
      <c r="B59" s="72"/>
      <c r="C59" s="11"/>
      <c r="D59" s="11"/>
      <c r="E59" s="11"/>
      <c r="F59" s="11"/>
      <c r="G59" s="11"/>
      <c r="H59" s="11"/>
      <c r="I59" s="7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72"/>
      <c r="BE59" s="11"/>
      <c r="BF59" s="11"/>
      <c r="BG59" s="11"/>
      <c r="BH59" s="11"/>
      <c r="BI59" s="11"/>
      <c r="BK59" s="332"/>
    </row>
    <row r="60" spans="1:63" s="78" customFormat="1" ht="15.75" customHeight="1">
      <c r="A60" s="215"/>
      <c r="B60" s="72"/>
      <c r="C60" s="11"/>
      <c r="D60" s="11"/>
      <c r="E60" s="11"/>
      <c r="F60" s="11"/>
      <c r="G60" s="11"/>
      <c r="H60" s="11"/>
      <c r="I60" s="71"/>
      <c r="J60" s="217"/>
      <c r="K60" s="217"/>
      <c r="L60" s="217"/>
      <c r="M60" s="217"/>
      <c r="N60" s="217"/>
      <c r="O60" s="217" t="s">
        <v>356</v>
      </c>
      <c r="P60" s="11" t="s">
        <v>357</v>
      </c>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72"/>
      <c r="BE60" s="11"/>
      <c r="BF60" s="11"/>
      <c r="BG60" s="11"/>
      <c r="BH60" s="11"/>
      <c r="BI60" s="11"/>
      <c r="BK60" s="332"/>
    </row>
    <row r="61" spans="1:63" s="78" customFormat="1" ht="15.75" customHeight="1">
      <c r="A61" s="215"/>
      <c r="B61" s="72"/>
      <c r="C61" s="11"/>
      <c r="D61" s="11"/>
      <c r="E61" s="11"/>
      <c r="F61" s="11"/>
      <c r="G61" s="11"/>
      <c r="H61" s="11"/>
      <c r="I61" s="71"/>
      <c r="J61" s="217"/>
      <c r="K61" s="217"/>
      <c r="L61" s="217"/>
      <c r="M61" s="217"/>
      <c r="N61" s="217"/>
      <c r="O61" s="217"/>
      <c r="P61" s="11" t="s">
        <v>338</v>
      </c>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72"/>
      <c r="BE61" s="11"/>
      <c r="BF61" s="11"/>
      <c r="BG61" s="11"/>
      <c r="BH61" s="11"/>
      <c r="BI61" s="11"/>
      <c r="BK61" s="332"/>
    </row>
    <row r="62" spans="1:63" s="78" customFormat="1" ht="15.75" customHeight="1">
      <c r="A62" s="215"/>
      <c r="B62" s="72"/>
      <c r="C62" s="11"/>
      <c r="D62" s="11"/>
      <c r="E62" s="11"/>
      <c r="F62" s="11"/>
      <c r="G62" s="11"/>
      <c r="H62" s="11"/>
      <c r="I62" s="71"/>
      <c r="J62" s="217"/>
      <c r="K62" s="217"/>
      <c r="L62" s="217"/>
      <c r="M62" s="217"/>
      <c r="N62" s="217"/>
      <c r="O62" s="217"/>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72"/>
      <c r="BE62" s="11"/>
      <c r="BF62" s="11"/>
      <c r="BG62" s="11"/>
      <c r="BH62" s="11"/>
      <c r="BI62" s="11"/>
      <c r="BK62" s="332"/>
    </row>
    <row r="63" spans="1:63" s="78" customFormat="1" ht="15.6" customHeight="1">
      <c r="A63" s="215"/>
      <c r="B63" s="72" t="s">
        <v>339</v>
      </c>
      <c r="C63" s="11"/>
      <c r="D63" s="11"/>
      <c r="E63" s="11"/>
      <c r="F63" s="11"/>
      <c r="G63" s="11"/>
      <c r="H63" s="11"/>
      <c r="I63" s="71"/>
      <c r="J63" s="11"/>
      <c r="K63" s="11"/>
      <c r="L63" s="11"/>
      <c r="M63" s="11"/>
      <c r="N63" s="11"/>
      <c r="O63" s="11"/>
      <c r="P63" s="11" t="s">
        <v>340</v>
      </c>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72"/>
      <c r="BE63" s="11"/>
      <c r="BF63" s="11"/>
      <c r="BG63" s="11"/>
      <c r="BH63" s="11"/>
      <c r="BI63" s="11"/>
      <c r="BK63" s="332"/>
    </row>
    <row r="64" spans="1:63" s="78" customFormat="1" ht="15.75" customHeight="1">
      <c r="A64" s="215"/>
      <c r="B64" s="72"/>
      <c r="C64" s="11"/>
      <c r="D64" s="11"/>
      <c r="E64" s="11"/>
      <c r="F64" s="11"/>
      <c r="G64" s="11"/>
      <c r="H64" s="11"/>
      <c r="I64" s="71"/>
      <c r="J64" s="11"/>
      <c r="K64" s="11"/>
      <c r="L64" s="11"/>
      <c r="M64" s="11"/>
      <c r="N64" s="11"/>
      <c r="O64" s="11"/>
      <c r="P64" s="11"/>
      <c r="Q64" s="11" t="s">
        <v>341</v>
      </c>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72"/>
      <c r="BE64" s="11"/>
      <c r="BF64" s="11"/>
      <c r="BG64" s="11"/>
      <c r="BH64" s="11"/>
      <c r="BI64" s="11"/>
      <c r="BK64" s="332"/>
    </row>
    <row r="65" spans="1:63" s="78" customFormat="1" ht="15.75" customHeight="1">
      <c r="A65" s="215"/>
      <c r="B65" s="72"/>
      <c r="C65" s="11"/>
      <c r="D65" s="11"/>
      <c r="E65" s="11"/>
      <c r="F65" s="11"/>
      <c r="G65" s="11"/>
      <c r="H65" s="11"/>
      <c r="I65" s="71"/>
      <c r="J65" s="11"/>
      <c r="K65" s="201"/>
      <c r="L65" s="11"/>
      <c r="M65" s="297"/>
      <c r="N65" s="11"/>
      <c r="O65" s="11"/>
      <c r="P65" s="11"/>
      <c r="Q65" s="11"/>
      <c r="R65" s="11"/>
      <c r="S65" s="11" t="s">
        <v>342</v>
      </c>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72"/>
      <c r="BE65" s="11"/>
      <c r="BF65" s="11"/>
      <c r="BG65" s="11"/>
      <c r="BH65" s="11"/>
      <c r="BI65" s="11"/>
      <c r="BK65" s="332"/>
    </row>
    <row r="66" spans="1:63" s="78" customFormat="1" ht="15.75" customHeight="1">
      <c r="A66" s="215"/>
      <c r="B66" s="72"/>
      <c r="C66" s="11"/>
      <c r="D66" s="11"/>
      <c r="E66" s="11"/>
      <c r="F66" s="11"/>
      <c r="G66" s="11"/>
      <c r="H66" s="11"/>
      <c r="I66" s="71"/>
      <c r="J66" s="11"/>
      <c r="K66" s="201"/>
      <c r="L66" s="11"/>
      <c r="M66" s="297"/>
      <c r="N66" s="11"/>
      <c r="O66" s="11"/>
      <c r="P66" s="11"/>
      <c r="Q66" s="11" t="s">
        <v>343</v>
      </c>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72"/>
      <c r="BE66" s="11"/>
      <c r="BF66" s="11"/>
      <c r="BG66" s="11"/>
      <c r="BH66" s="11"/>
      <c r="BI66" s="11"/>
      <c r="BK66" s="332"/>
    </row>
    <row r="67" spans="1:63" s="78" customFormat="1" ht="15.75" customHeight="1">
      <c r="A67" s="215"/>
      <c r="B67" s="72"/>
      <c r="C67" s="11"/>
      <c r="D67" s="11"/>
      <c r="E67" s="11"/>
      <c r="F67" s="11"/>
      <c r="G67" s="11"/>
      <c r="H67" s="11"/>
      <c r="I67" s="71"/>
      <c r="J67" s="11"/>
      <c r="K67" s="201"/>
      <c r="L67" s="11"/>
      <c r="M67" s="297"/>
      <c r="N67" s="11"/>
      <c r="O67" s="11"/>
      <c r="P67" s="11"/>
      <c r="Q67" s="11"/>
      <c r="R67" s="11"/>
      <c r="S67" s="11" t="s">
        <v>344</v>
      </c>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72"/>
      <c r="BE67" s="11"/>
      <c r="BF67" s="11"/>
      <c r="BG67" s="11"/>
      <c r="BH67" s="11"/>
      <c r="BI67" s="11"/>
      <c r="BK67" s="332"/>
    </row>
    <row r="68" spans="1:63" s="78" customFormat="1" ht="15.75" customHeight="1">
      <c r="A68" s="215"/>
      <c r="B68" s="72"/>
      <c r="C68" s="11"/>
      <c r="D68" s="11"/>
      <c r="E68" s="11"/>
      <c r="F68" s="11"/>
      <c r="G68" s="11"/>
      <c r="H68" s="11"/>
      <c r="I68" s="71"/>
      <c r="J68" s="11"/>
      <c r="K68" s="201"/>
      <c r="L68" s="11"/>
      <c r="M68" s="297"/>
      <c r="N68" s="11"/>
      <c r="O68" s="11"/>
      <c r="P68" s="11"/>
      <c r="Q68" s="11" t="s">
        <v>345</v>
      </c>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72"/>
      <c r="BE68" s="11"/>
      <c r="BF68" s="11"/>
      <c r="BG68" s="11"/>
      <c r="BH68" s="11"/>
      <c r="BI68" s="11"/>
      <c r="BK68" s="332"/>
    </row>
    <row r="69" spans="1:63" s="78" customFormat="1" ht="15.75" customHeight="1">
      <c r="A69" s="215"/>
      <c r="B69" s="72"/>
      <c r="C69" s="11"/>
      <c r="D69" s="11"/>
      <c r="E69" s="11"/>
      <c r="F69" s="11"/>
      <c r="G69" s="11"/>
      <c r="H69" s="11"/>
      <c r="I69" s="71"/>
      <c r="J69" s="11"/>
      <c r="K69" s="201"/>
      <c r="L69" s="11"/>
      <c r="M69" s="297"/>
      <c r="N69" s="11"/>
      <c r="O69" s="11"/>
      <c r="P69" s="11"/>
      <c r="Q69" s="11"/>
      <c r="R69" s="11"/>
      <c r="S69" s="11" t="s">
        <v>346</v>
      </c>
      <c r="T69" s="11"/>
      <c r="U69" s="11"/>
      <c r="V69" s="11"/>
      <c r="W69" s="11"/>
      <c r="X69" s="11"/>
      <c r="Y69" s="11"/>
      <c r="Z69" s="11"/>
      <c r="AA69" s="11"/>
      <c r="AB69" s="11"/>
      <c r="AC69" s="11" t="s">
        <v>326</v>
      </c>
      <c r="AD69" s="11"/>
      <c r="AE69" s="11"/>
      <c r="AF69" s="201" t="s">
        <v>347</v>
      </c>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72"/>
      <c r="BE69" s="11"/>
      <c r="BF69" s="11"/>
      <c r="BG69" s="11"/>
      <c r="BH69" s="11"/>
      <c r="BI69" s="11"/>
      <c r="BK69" s="332"/>
    </row>
    <row r="70" spans="1:63" s="78" customFormat="1" ht="15.75" customHeight="1">
      <c r="A70" s="215"/>
      <c r="B70" s="72"/>
      <c r="C70" s="11"/>
      <c r="D70" s="11"/>
      <c r="E70" s="11"/>
      <c r="F70" s="11"/>
      <c r="G70" s="11"/>
      <c r="H70" s="11"/>
      <c r="I70" s="71"/>
      <c r="J70" s="11"/>
      <c r="K70" s="201"/>
      <c r="L70" s="11"/>
      <c r="M70" s="297"/>
      <c r="N70" s="11"/>
      <c r="O70" s="11"/>
      <c r="P70" s="11"/>
      <c r="Q70" s="11" t="s">
        <v>348</v>
      </c>
      <c r="R70" s="11"/>
      <c r="S70" s="11" t="s">
        <v>349</v>
      </c>
      <c r="T70" s="11"/>
      <c r="U70" s="11"/>
      <c r="V70" s="11"/>
      <c r="W70" s="11"/>
      <c r="X70" s="11"/>
      <c r="Y70" s="11"/>
      <c r="Z70" s="11"/>
      <c r="AA70" s="11"/>
      <c r="AB70" s="11"/>
      <c r="AC70" s="11" t="s">
        <v>326</v>
      </c>
      <c r="AD70" s="11"/>
      <c r="AE70" s="11"/>
      <c r="AF70" s="201" t="s">
        <v>358</v>
      </c>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72"/>
      <c r="BE70" s="11"/>
      <c r="BF70" s="11"/>
      <c r="BG70" s="11"/>
      <c r="BH70" s="11"/>
      <c r="BI70" s="11"/>
      <c r="BK70" s="332"/>
    </row>
    <row r="71" spans="1:63" s="78" customFormat="1" ht="15.75" customHeight="1">
      <c r="A71" s="215"/>
      <c r="B71" s="72"/>
      <c r="C71" s="11"/>
      <c r="D71" s="11"/>
      <c r="E71" s="11"/>
      <c r="F71" s="11"/>
      <c r="G71" s="11"/>
      <c r="H71" s="11"/>
      <c r="I71" s="7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72"/>
      <c r="BE71" s="11"/>
      <c r="BF71" s="11"/>
      <c r="BG71" s="11"/>
      <c r="BH71" s="11"/>
      <c r="BI71" s="11"/>
      <c r="BK71" s="332"/>
    </row>
    <row r="72" spans="1:63" s="78" customFormat="1" ht="15.75" customHeight="1">
      <c r="A72" s="215"/>
      <c r="B72" s="72"/>
      <c r="C72" s="11"/>
      <c r="D72" s="11"/>
      <c r="E72" s="11"/>
      <c r="F72" s="11"/>
      <c r="G72" s="11"/>
      <c r="H72" s="11"/>
      <c r="I72" s="71"/>
      <c r="J72" s="11"/>
      <c r="K72" s="11"/>
      <c r="L72" s="11"/>
      <c r="M72" s="11"/>
      <c r="N72" s="11"/>
      <c r="O72" s="11"/>
      <c r="P72" s="11" t="s">
        <v>147</v>
      </c>
      <c r="Q72" s="11" t="s">
        <v>351</v>
      </c>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72" t="s">
        <v>352</v>
      </c>
      <c r="BE72" s="11"/>
      <c r="BF72" s="11"/>
      <c r="BG72" s="11"/>
      <c r="BH72" s="11"/>
      <c r="BI72" s="11"/>
      <c r="BK72" s="332"/>
    </row>
    <row r="73" spans="1:63" s="78" customFormat="1" ht="15.75" customHeight="1">
      <c r="A73" s="215"/>
      <c r="B73" s="72"/>
      <c r="C73" s="11"/>
      <c r="D73" s="11"/>
      <c r="E73" s="11"/>
      <c r="F73" s="11"/>
      <c r="G73" s="11"/>
      <c r="H73" s="11"/>
      <c r="I73" s="7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72"/>
      <c r="BE73" s="11"/>
      <c r="BF73" s="11" t="s">
        <v>353</v>
      </c>
      <c r="BG73" s="11"/>
      <c r="BH73" s="11"/>
      <c r="BI73" s="11"/>
      <c r="BK73" s="332"/>
    </row>
    <row r="74" spans="1:63" s="78" customFormat="1" ht="15.75" customHeight="1">
      <c r="A74" s="215"/>
      <c r="B74" s="72"/>
      <c r="C74" s="11"/>
      <c r="D74" s="11"/>
      <c r="E74" s="11"/>
      <c r="F74" s="11"/>
      <c r="G74" s="11"/>
      <c r="H74" s="11"/>
      <c r="I74" s="71"/>
      <c r="J74" s="11"/>
      <c r="K74" s="11"/>
      <c r="L74" s="11"/>
      <c r="M74" s="11"/>
      <c r="N74" s="11"/>
      <c r="O74" s="11"/>
      <c r="P74" s="11" t="s">
        <v>147</v>
      </c>
      <c r="Q74" s="11" t="s">
        <v>354</v>
      </c>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72" t="s">
        <v>352</v>
      </c>
      <c r="BE74" s="11"/>
      <c r="BF74" s="11"/>
      <c r="BG74" s="11"/>
      <c r="BH74" s="11"/>
      <c r="BI74" s="11"/>
      <c r="BK74" s="332"/>
    </row>
    <row r="75" spans="1:63" s="78" customFormat="1" ht="15.75" customHeight="1">
      <c r="A75" s="215"/>
      <c r="B75" s="72"/>
      <c r="C75" s="11"/>
      <c r="D75" s="11"/>
      <c r="E75" s="11"/>
      <c r="F75" s="11"/>
      <c r="G75" s="11"/>
      <c r="H75" s="11"/>
      <c r="I75" s="7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72"/>
      <c r="BE75" s="11"/>
      <c r="BF75" s="11" t="s">
        <v>355</v>
      </c>
      <c r="BG75" s="11"/>
      <c r="BH75" s="11"/>
      <c r="BI75" s="11"/>
      <c r="BK75" s="332"/>
    </row>
    <row r="76" spans="1:63" s="78" customFormat="1" ht="15.75" customHeight="1">
      <c r="A76" s="215"/>
      <c r="B76" s="72"/>
      <c r="C76" s="11"/>
      <c r="D76" s="11"/>
      <c r="E76" s="11"/>
      <c r="F76" s="11"/>
      <c r="G76" s="11"/>
      <c r="H76" s="11"/>
      <c r="I76" s="71"/>
      <c r="J76" s="217"/>
      <c r="K76" s="217"/>
      <c r="L76" s="217"/>
      <c r="M76" s="217"/>
      <c r="N76" s="217"/>
      <c r="O76" s="217"/>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72"/>
      <c r="BE76" s="11"/>
      <c r="BF76" s="11"/>
      <c r="BG76" s="11"/>
      <c r="BH76" s="11"/>
      <c r="BI76" s="11"/>
      <c r="BK76" s="332"/>
    </row>
    <row r="77" spans="1:63" s="78" customFormat="1" ht="15.75" customHeight="1">
      <c r="A77" s="215"/>
      <c r="B77" s="72"/>
      <c r="C77" s="11"/>
      <c r="D77" s="11"/>
      <c r="E77" s="11"/>
      <c r="F77" s="11"/>
      <c r="G77" s="11"/>
      <c r="H77" s="11"/>
      <c r="I77" s="71"/>
      <c r="J77" s="217"/>
      <c r="K77" s="217"/>
      <c r="L77" s="217"/>
      <c r="M77" s="217"/>
      <c r="N77" s="217"/>
      <c r="O77" s="217" t="s">
        <v>359</v>
      </c>
      <c r="P77" s="11" t="s">
        <v>360</v>
      </c>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72"/>
      <c r="BE77" s="11"/>
      <c r="BF77" s="11"/>
      <c r="BG77" s="11"/>
      <c r="BH77" s="11"/>
      <c r="BI77" s="11"/>
      <c r="BK77" s="332"/>
    </row>
    <row r="78" spans="1:63" s="78" customFormat="1" ht="15.75" customHeight="1">
      <c r="A78" s="215"/>
      <c r="B78" s="72"/>
      <c r="C78" s="11"/>
      <c r="D78" s="11"/>
      <c r="E78" s="11"/>
      <c r="F78" s="11"/>
      <c r="G78" s="11"/>
      <c r="H78" s="11"/>
      <c r="I78" s="71"/>
      <c r="J78" s="217"/>
      <c r="K78" s="217"/>
      <c r="L78" s="217"/>
      <c r="M78" s="217"/>
      <c r="N78" s="217"/>
      <c r="O78" s="217"/>
      <c r="P78" s="11" t="s">
        <v>338</v>
      </c>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72"/>
      <c r="BE78" s="11"/>
      <c r="BF78" s="11"/>
      <c r="BG78" s="11"/>
      <c r="BH78" s="11"/>
      <c r="BI78" s="11"/>
      <c r="BK78" s="332"/>
    </row>
    <row r="79" spans="1:63" s="78" customFormat="1" ht="15.75" customHeight="1">
      <c r="A79" s="215"/>
      <c r="B79" s="72"/>
      <c r="C79" s="11"/>
      <c r="D79" s="11"/>
      <c r="E79" s="11"/>
      <c r="F79" s="11"/>
      <c r="G79" s="11"/>
      <c r="H79" s="11"/>
      <c r="I79" s="71"/>
      <c r="J79" s="217"/>
      <c r="K79" s="217"/>
      <c r="L79" s="217"/>
      <c r="M79" s="217"/>
      <c r="N79" s="217"/>
      <c r="O79" s="217"/>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72"/>
      <c r="BE79" s="11"/>
      <c r="BF79" s="11"/>
      <c r="BG79" s="11"/>
      <c r="BH79" s="11"/>
      <c r="BI79" s="11"/>
      <c r="BK79" s="332"/>
    </row>
    <row r="80" spans="1:63" s="78" customFormat="1" ht="15.6" customHeight="1">
      <c r="A80" s="215"/>
      <c r="B80" s="72" t="s">
        <v>339</v>
      </c>
      <c r="C80" s="11"/>
      <c r="D80" s="11"/>
      <c r="E80" s="11"/>
      <c r="F80" s="11"/>
      <c r="G80" s="11"/>
      <c r="H80" s="11"/>
      <c r="I80" s="71"/>
      <c r="J80" s="11"/>
      <c r="K80" s="11"/>
      <c r="L80" s="11"/>
      <c r="M80" s="11"/>
      <c r="N80" s="11"/>
      <c r="O80" s="11"/>
      <c r="P80" s="11" t="s">
        <v>340</v>
      </c>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72"/>
      <c r="BE80" s="11"/>
      <c r="BF80" s="11"/>
      <c r="BG80" s="11"/>
      <c r="BH80" s="11"/>
      <c r="BI80" s="11"/>
      <c r="BK80" s="332"/>
    </row>
    <row r="81" spans="1:63" s="78" customFormat="1" ht="15.75" customHeight="1">
      <c r="A81" s="215"/>
      <c r="B81" s="72"/>
      <c r="C81" s="11"/>
      <c r="D81" s="11"/>
      <c r="E81" s="11"/>
      <c r="F81" s="11"/>
      <c r="G81" s="11"/>
      <c r="H81" s="11"/>
      <c r="I81" s="71"/>
      <c r="J81" s="11"/>
      <c r="K81" s="11"/>
      <c r="L81" s="11"/>
      <c r="M81" s="11"/>
      <c r="N81" s="11"/>
      <c r="O81" s="11"/>
      <c r="P81" s="11"/>
      <c r="Q81" s="11" t="s">
        <v>341</v>
      </c>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72"/>
      <c r="BE81" s="11"/>
      <c r="BF81" s="11"/>
      <c r="BG81" s="11"/>
      <c r="BH81" s="11"/>
      <c r="BI81" s="11"/>
      <c r="BK81" s="332"/>
    </row>
    <row r="82" spans="1:63" s="78" customFormat="1" ht="15.75" customHeight="1">
      <c r="A82" s="215"/>
      <c r="B82" s="72"/>
      <c r="C82" s="11"/>
      <c r="D82" s="11"/>
      <c r="E82" s="11"/>
      <c r="F82" s="11"/>
      <c r="G82" s="11"/>
      <c r="H82" s="11"/>
      <c r="I82" s="71"/>
      <c r="J82" s="11"/>
      <c r="K82" s="201"/>
      <c r="L82" s="11"/>
      <c r="M82" s="297"/>
      <c r="N82" s="11"/>
      <c r="O82" s="11"/>
      <c r="P82" s="11"/>
      <c r="Q82" s="11"/>
      <c r="R82" s="11"/>
      <c r="S82" s="11" t="s">
        <v>342</v>
      </c>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72"/>
      <c r="BE82" s="11"/>
      <c r="BF82" s="11"/>
      <c r="BG82" s="11"/>
      <c r="BH82" s="11"/>
      <c r="BI82" s="11"/>
      <c r="BK82" s="332"/>
    </row>
    <row r="83" spans="1:63" s="78" customFormat="1" ht="15.75" customHeight="1">
      <c r="A83" s="215"/>
      <c r="B83" s="72"/>
      <c r="C83" s="11"/>
      <c r="D83" s="11"/>
      <c r="E83" s="11"/>
      <c r="F83" s="11"/>
      <c r="G83" s="11"/>
      <c r="H83" s="11"/>
      <c r="I83" s="71"/>
      <c r="J83" s="11"/>
      <c r="K83" s="201"/>
      <c r="L83" s="11"/>
      <c r="M83" s="297"/>
      <c r="N83" s="11"/>
      <c r="O83" s="11"/>
      <c r="P83" s="11"/>
      <c r="Q83" s="11" t="s">
        <v>343</v>
      </c>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72"/>
      <c r="BE83" s="11"/>
      <c r="BF83" s="11"/>
      <c r="BG83" s="11"/>
      <c r="BH83" s="11"/>
      <c r="BI83" s="11"/>
      <c r="BK83" s="332"/>
    </row>
    <row r="84" spans="1:63" s="78" customFormat="1" ht="15.75" customHeight="1">
      <c r="A84" s="215"/>
      <c r="B84" s="72"/>
      <c r="C84" s="11"/>
      <c r="D84" s="11"/>
      <c r="E84" s="11"/>
      <c r="F84" s="11"/>
      <c r="G84" s="11"/>
      <c r="H84" s="11"/>
      <c r="I84" s="71"/>
      <c r="J84" s="11"/>
      <c r="K84" s="201"/>
      <c r="L84" s="11"/>
      <c r="M84" s="297"/>
      <c r="N84" s="11"/>
      <c r="O84" s="11"/>
      <c r="P84" s="11"/>
      <c r="Q84" s="11"/>
      <c r="R84" s="11"/>
      <c r="S84" s="11" t="s">
        <v>344</v>
      </c>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72"/>
      <c r="BE84" s="11"/>
      <c r="BF84" s="11"/>
      <c r="BG84" s="11"/>
      <c r="BH84" s="11"/>
      <c r="BI84" s="11"/>
      <c r="BK84" s="332"/>
    </row>
    <row r="85" spans="1:63" s="78" customFormat="1" ht="15.75" customHeight="1">
      <c r="A85" s="215"/>
      <c r="B85" s="72"/>
      <c r="C85" s="11"/>
      <c r="D85" s="11"/>
      <c r="E85" s="11"/>
      <c r="F85" s="11"/>
      <c r="G85" s="11"/>
      <c r="H85" s="11"/>
      <c r="I85" s="71"/>
      <c r="J85" s="11"/>
      <c r="K85" s="201"/>
      <c r="L85" s="11"/>
      <c r="M85" s="297"/>
      <c r="N85" s="11"/>
      <c r="O85" s="11"/>
      <c r="P85" s="11"/>
      <c r="Q85" s="11" t="s">
        <v>345</v>
      </c>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72"/>
      <c r="BE85" s="11"/>
      <c r="BF85" s="11"/>
      <c r="BG85" s="11"/>
      <c r="BH85" s="11"/>
      <c r="BI85" s="11"/>
      <c r="BK85" s="332"/>
    </row>
    <row r="86" spans="1:63" s="78" customFormat="1" ht="15.75" customHeight="1">
      <c r="A86" s="215"/>
      <c r="B86" s="72"/>
      <c r="C86" s="11"/>
      <c r="D86" s="11"/>
      <c r="E86" s="11"/>
      <c r="F86" s="11"/>
      <c r="G86" s="11"/>
      <c r="H86" s="11"/>
      <c r="I86" s="71"/>
      <c r="J86" s="11"/>
      <c r="K86" s="201"/>
      <c r="L86" s="11"/>
      <c r="M86" s="297"/>
      <c r="N86" s="11"/>
      <c r="O86" s="11"/>
      <c r="P86" s="11"/>
      <c r="Q86" s="11"/>
      <c r="R86" s="11"/>
      <c r="S86" s="11" t="s">
        <v>346</v>
      </c>
      <c r="T86" s="11"/>
      <c r="U86" s="11"/>
      <c r="V86" s="11"/>
      <c r="W86" s="11"/>
      <c r="X86" s="11"/>
      <c r="Y86" s="11"/>
      <c r="Z86" s="11"/>
      <c r="AA86" s="11"/>
      <c r="AB86" s="11"/>
      <c r="AC86" s="11" t="s">
        <v>326</v>
      </c>
      <c r="AD86" s="11"/>
      <c r="AE86" s="11"/>
      <c r="AF86" s="201" t="s">
        <v>347</v>
      </c>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72"/>
      <c r="BE86" s="11"/>
      <c r="BF86" s="11"/>
      <c r="BG86" s="11"/>
      <c r="BH86" s="11"/>
      <c r="BI86" s="11"/>
      <c r="BK86" s="332"/>
    </row>
    <row r="87" spans="1:63" s="78" customFormat="1" ht="15.75" customHeight="1">
      <c r="A87" s="215"/>
      <c r="B87" s="72"/>
      <c r="C87" s="11"/>
      <c r="D87" s="11"/>
      <c r="E87" s="11"/>
      <c r="F87" s="11"/>
      <c r="G87" s="11"/>
      <c r="H87" s="11"/>
      <c r="I87" s="71"/>
      <c r="J87" s="11"/>
      <c r="K87" s="201"/>
      <c r="L87" s="11"/>
      <c r="M87" s="297"/>
      <c r="N87" s="11"/>
      <c r="O87" s="11"/>
      <c r="P87" s="11"/>
      <c r="Q87" s="11" t="s">
        <v>348</v>
      </c>
      <c r="R87" s="11"/>
      <c r="S87" s="11" t="s">
        <v>349</v>
      </c>
      <c r="T87" s="11"/>
      <c r="U87" s="11"/>
      <c r="V87" s="11"/>
      <c r="W87" s="11"/>
      <c r="X87" s="11"/>
      <c r="Y87" s="11"/>
      <c r="Z87" s="11"/>
      <c r="AA87" s="11"/>
      <c r="AB87" s="11"/>
      <c r="AC87" s="11" t="s">
        <v>326</v>
      </c>
      <c r="AD87" s="11"/>
      <c r="AE87" s="11"/>
      <c r="AF87" s="201" t="s">
        <v>361</v>
      </c>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72"/>
      <c r="BE87" s="11"/>
      <c r="BF87" s="11"/>
      <c r="BG87" s="11"/>
      <c r="BH87" s="11"/>
      <c r="BI87" s="11"/>
      <c r="BK87" s="332"/>
    </row>
    <row r="88" spans="1:63" s="78" customFormat="1" ht="15.75" customHeight="1">
      <c r="A88" s="215"/>
      <c r="B88" s="72"/>
      <c r="C88" s="11"/>
      <c r="D88" s="11"/>
      <c r="E88" s="11"/>
      <c r="F88" s="11"/>
      <c r="G88" s="11"/>
      <c r="H88" s="11"/>
      <c r="I88" s="7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72"/>
      <c r="BE88" s="11"/>
      <c r="BF88" s="11"/>
      <c r="BG88" s="11"/>
      <c r="BH88" s="11"/>
      <c r="BI88" s="11"/>
      <c r="BK88" s="332"/>
    </row>
    <row r="89" spans="1:63" s="78" customFormat="1" ht="15.75" customHeight="1">
      <c r="A89" s="215"/>
      <c r="B89" s="72"/>
      <c r="C89" s="11"/>
      <c r="D89" s="11"/>
      <c r="E89" s="11"/>
      <c r="F89" s="11"/>
      <c r="G89" s="11"/>
      <c r="H89" s="11"/>
      <c r="I89" s="71"/>
      <c r="J89" s="11"/>
      <c r="K89" s="11"/>
      <c r="L89" s="11"/>
      <c r="M89" s="11"/>
      <c r="N89" s="11"/>
      <c r="O89" s="11"/>
      <c r="P89" s="11" t="s">
        <v>147</v>
      </c>
      <c r="Q89" s="11" t="s">
        <v>351</v>
      </c>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72" t="s">
        <v>352</v>
      </c>
      <c r="BE89" s="11"/>
      <c r="BF89" s="11"/>
      <c r="BG89" s="11"/>
      <c r="BH89" s="11"/>
      <c r="BI89" s="11"/>
      <c r="BK89" s="332"/>
    </row>
    <row r="90" spans="1:63" s="78" customFormat="1" ht="15.75" customHeight="1">
      <c r="A90" s="215"/>
      <c r="B90" s="72"/>
      <c r="C90" s="11"/>
      <c r="D90" s="11"/>
      <c r="E90" s="11"/>
      <c r="F90" s="11"/>
      <c r="G90" s="11"/>
      <c r="H90" s="11"/>
      <c r="I90" s="7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72"/>
      <c r="BE90" s="11"/>
      <c r="BF90" s="11" t="s">
        <v>353</v>
      </c>
      <c r="BG90" s="11"/>
      <c r="BH90" s="11"/>
      <c r="BI90" s="11"/>
      <c r="BK90" s="332"/>
    </row>
    <row r="91" spans="1:63" s="78" customFormat="1" ht="15.75" customHeight="1">
      <c r="A91" s="215"/>
      <c r="B91" s="72"/>
      <c r="C91" s="11"/>
      <c r="D91" s="11"/>
      <c r="E91" s="11"/>
      <c r="F91" s="11"/>
      <c r="G91" s="11"/>
      <c r="H91" s="11"/>
      <c r="I91" s="71"/>
      <c r="J91" s="11"/>
      <c r="K91" s="11"/>
      <c r="L91" s="11"/>
      <c r="M91" s="11"/>
      <c r="N91" s="11"/>
      <c r="O91" s="11"/>
      <c r="P91" s="11" t="s">
        <v>147</v>
      </c>
      <c r="Q91" s="11" t="s">
        <v>354</v>
      </c>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72" t="s">
        <v>352</v>
      </c>
      <c r="BE91" s="11"/>
      <c r="BF91" s="11"/>
      <c r="BG91" s="11"/>
      <c r="BH91" s="11"/>
      <c r="BI91" s="11"/>
      <c r="BK91" s="332"/>
    </row>
    <row r="92" spans="1:63" s="78" customFormat="1" ht="15.75" customHeight="1">
      <c r="A92" s="215"/>
      <c r="B92" s="72"/>
      <c r="C92" s="11"/>
      <c r="D92" s="11"/>
      <c r="E92" s="11"/>
      <c r="F92" s="11"/>
      <c r="G92" s="11"/>
      <c r="H92" s="11"/>
      <c r="I92" s="7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72"/>
      <c r="BE92" s="11"/>
      <c r="BF92" s="11" t="s">
        <v>355</v>
      </c>
      <c r="BG92" s="11"/>
      <c r="BH92" s="11"/>
      <c r="BI92" s="11"/>
      <c r="BK92" s="332"/>
    </row>
    <row r="93" spans="1:63" s="78" customFormat="1" ht="15.75" customHeight="1">
      <c r="A93" s="215"/>
      <c r="B93" s="72"/>
      <c r="C93" s="11"/>
      <c r="D93" s="11"/>
      <c r="E93" s="11"/>
      <c r="F93" s="11"/>
      <c r="G93" s="11"/>
      <c r="H93" s="11"/>
      <c r="I93" s="7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72"/>
      <c r="BE93" s="11"/>
      <c r="BF93" s="11"/>
      <c r="BG93" s="11"/>
      <c r="BH93" s="11"/>
      <c r="BI93" s="11"/>
      <c r="BK93" s="332"/>
    </row>
    <row r="94" spans="1:63" s="78" customFormat="1" ht="15.75" customHeight="1">
      <c r="A94" s="215"/>
      <c r="B94" s="72"/>
      <c r="C94" s="11"/>
      <c r="D94" s="11"/>
      <c r="E94" s="11"/>
      <c r="F94" s="11"/>
      <c r="G94" s="11"/>
      <c r="H94" s="11"/>
      <c r="I94" s="71"/>
      <c r="J94" s="217"/>
      <c r="K94" s="217"/>
      <c r="L94" s="217"/>
      <c r="M94" s="217"/>
      <c r="N94" s="217"/>
      <c r="O94" s="217" t="s">
        <v>362</v>
      </c>
      <c r="P94" s="11" t="s">
        <v>363</v>
      </c>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72"/>
      <c r="BE94" s="11"/>
      <c r="BF94" s="11"/>
      <c r="BG94" s="11"/>
      <c r="BH94" s="11"/>
      <c r="BI94" s="11"/>
      <c r="BK94" s="332"/>
    </row>
    <row r="95" spans="1:63" s="78" customFormat="1" ht="15.75" customHeight="1">
      <c r="A95" s="215"/>
      <c r="B95" s="72"/>
      <c r="C95" s="11"/>
      <c r="D95" s="11"/>
      <c r="E95" s="11"/>
      <c r="F95" s="11"/>
      <c r="G95" s="11"/>
      <c r="H95" s="11"/>
      <c r="I95" s="71"/>
      <c r="J95" s="217"/>
      <c r="K95" s="217"/>
      <c r="L95" s="217"/>
      <c r="M95" s="217"/>
      <c r="N95" s="217"/>
      <c r="O95" s="217"/>
      <c r="P95" s="11" t="s">
        <v>338</v>
      </c>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72"/>
      <c r="BE95" s="11"/>
      <c r="BF95" s="11"/>
      <c r="BG95" s="11"/>
      <c r="BH95" s="11"/>
      <c r="BI95" s="11"/>
      <c r="BK95" s="332"/>
    </row>
    <row r="96" spans="1:63" s="78" customFormat="1" ht="15.75" customHeight="1">
      <c r="A96" s="215"/>
      <c r="B96" s="72"/>
      <c r="C96" s="11"/>
      <c r="D96" s="11"/>
      <c r="E96" s="11"/>
      <c r="F96" s="11"/>
      <c r="G96" s="11"/>
      <c r="H96" s="11"/>
      <c r="I96" s="71"/>
      <c r="J96" s="217"/>
      <c r="K96" s="217"/>
      <c r="L96" s="217"/>
      <c r="M96" s="217"/>
      <c r="N96" s="217"/>
      <c r="O96" s="217"/>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72"/>
      <c r="BE96" s="11"/>
      <c r="BF96" s="11"/>
      <c r="BG96" s="11"/>
      <c r="BH96" s="11"/>
      <c r="BI96" s="11"/>
      <c r="BK96" s="332"/>
    </row>
    <row r="97" spans="1:63" s="78" customFormat="1" ht="15.6" customHeight="1">
      <c r="A97" s="215"/>
      <c r="B97" s="72" t="s">
        <v>339</v>
      </c>
      <c r="C97" s="11"/>
      <c r="D97" s="11"/>
      <c r="E97" s="11"/>
      <c r="F97" s="11"/>
      <c r="G97" s="11"/>
      <c r="H97" s="11"/>
      <c r="I97" s="71"/>
      <c r="J97" s="11"/>
      <c r="K97" s="11"/>
      <c r="L97" s="11"/>
      <c r="M97" s="11"/>
      <c r="N97" s="11"/>
      <c r="O97" s="11"/>
      <c r="P97" s="11" t="s">
        <v>340</v>
      </c>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72"/>
      <c r="BE97" s="11"/>
      <c r="BF97" s="11"/>
      <c r="BG97" s="11"/>
      <c r="BH97" s="11"/>
      <c r="BI97" s="11"/>
      <c r="BK97" s="332"/>
    </row>
    <row r="98" spans="1:63" s="78" customFormat="1" ht="15.75" customHeight="1">
      <c r="A98" s="215"/>
      <c r="B98" s="72"/>
      <c r="C98" s="11"/>
      <c r="D98" s="11"/>
      <c r="E98" s="11"/>
      <c r="F98" s="11"/>
      <c r="G98" s="11"/>
      <c r="H98" s="11"/>
      <c r="I98" s="71"/>
      <c r="J98" s="11"/>
      <c r="K98" s="11"/>
      <c r="L98" s="11"/>
      <c r="M98" s="11"/>
      <c r="N98" s="11"/>
      <c r="O98" s="11"/>
      <c r="P98" s="11"/>
      <c r="Q98" s="11" t="s">
        <v>341</v>
      </c>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72"/>
      <c r="BE98" s="11"/>
      <c r="BF98" s="11"/>
      <c r="BG98" s="11"/>
      <c r="BH98" s="11"/>
      <c r="BI98" s="11"/>
      <c r="BK98" s="332"/>
    </row>
    <row r="99" spans="1:63" s="78" customFormat="1" ht="15.75" customHeight="1">
      <c r="A99" s="215"/>
      <c r="B99" s="72"/>
      <c r="C99" s="11"/>
      <c r="D99" s="11"/>
      <c r="E99" s="11"/>
      <c r="F99" s="11"/>
      <c r="G99" s="11"/>
      <c r="H99" s="11"/>
      <c r="I99" s="71"/>
      <c r="J99" s="11"/>
      <c r="K99" s="201"/>
      <c r="L99" s="11"/>
      <c r="M99" s="297"/>
      <c r="N99" s="11"/>
      <c r="O99" s="11"/>
      <c r="P99" s="11"/>
      <c r="Q99" s="11"/>
      <c r="R99" s="11"/>
      <c r="S99" s="11" t="s">
        <v>342</v>
      </c>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72"/>
      <c r="BE99" s="11"/>
      <c r="BF99" s="11"/>
      <c r="BG99" s="11"/>
      <c r="BH99" s="11"/>
      <c r="BI99" s="11"/>
      <c r="BK99" s="332"/>
    </row>
    <row r="100" spans="1:63" s="78" customFormat="1" ht="15.75" customHeight="1">
      <c r="A100" s="215"/>
      <c r="B100" s="72"/>
      <c r="C100" s="11"/>
      <c r="D100" s="11"/>
      <c r="E100" s="11"/>
      <c r="F100" s="11"/>
      <c r="G100" s="11"/>
      <c r="H100" s="11"/>
      <c r="I100" s="71"/>
      <c r="J100" s="11"/>
      <c r="K100" s="201"/>
      <c r="L100" s="11"/>
      <c r="M100" s="297"/>
      <c r="N100" s="11"/>
      <c r="O100" s="11"/>
      <c r="P100" s="11"/>
      <c r="Q100" s="11" t="s">
        <v>343</v>
      </c>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72"/>
      <c r="BE100" s="11"/>
      <c r="BF100" s="11"/>
      <c r="BG100" s="11"/>
      <c r="BH100" s="11"/>
      <c r="BI100" s="11"/>
      <c r="BK100" s="332"/>
    </row>
    <row r="101" spans="1:63" s="78" customFormat="1" ht="15.75" customHeight="1">
      <c r="A101" s="215"/>
      <c r="B101" s="72"/>
      <c r="C101" s="11"/>
      <c r="D101" s="11"/>
      <c r="E101" s="11"/>
      <c r="F101" s="11"/>
      <c r="G101" s="11"/>
      <c r="H101" s="11"/>
      <c r="I101" s="71"/>
      <c r="J101" s="11"/>
      <c r="K101" s="201"/>
      <c r="L101" s="11"/>
      <c r="M101" s="297"/>
      <c r="N101" s="11"/>
      <c r="O101" s="11"/>
      <c r="P101" s="11"/>
      <c r="Q101" s="11"/>
      <c r="R101" s="11"/>
      <c r="S101" s="11" t="s">
        <v>344</v>
      </c>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72"/>
      <c r="BE101" s="11"/>
      <c r="BF101" s="11"/>
      <c r="BG101" s="11"/>
      <c r="BH101" s="11"/>
      <c r="BI101" s="11"/>
      <c r="BK101" s="332"/>
    </row>
    <row r="102" spans="1:63" s="78" customFormat="1" ht="15.75" customHeight="1">
      <c r="A102" s="215"/>
      <c r="B102" s="72"/>
      <c r="C102" s="11"/>
      <c r="D102" s="11"/>
      <c r="E102" s="11"/>
      <c r="F102" s="11"/>
      <c r="G102" s="11"/>
      <c r="H102" s="11"/>
      <c r="I102" s="71"/>
      <c r="J102" s="11"/>
      <c r="K102" s="201"/>
      <c r="L102" s="11"/>
      <c r="M102" s="297"/>
      <c r="N102" s="11"/>
      <c r="O102" s="11"/>
      <c r="P102" s="11"/>
      <c r="Q102" s="11" t="s">
        <v>345</v>
      </c>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72"/>
      <c r="BE102" s="11"/>
      <c r="BF102" s="11"/>
      <c r="BG102" s="11"/>
      <c r="BH102" s="11"/>
      <c r="BI102" s="11"/>
      <c r="BK102" s="332"/>
    </row>
    <row r="103" spans="1:63" s="78" customFormat="1" ht="15.75" customHeight="1">
      <c r="A103" s="215"/>
      <c r="B103" s="72"/>
      <c r="C103" s="11"/>
      <c r="D103" s="11"/>
      <c r="E103" s="11"/>
      <c r="F103" s="11"/>
      <c r="G103" s="11"/>
      <c r="H103" s="11"/>
      <c r="I103" s="71"/>
      <c r="J103" s="11"/>
      <c r="K103" s="201"/>
      <c r="L103" s="11"/>
      <c r="M103" s="297"/>
      <c r="N103" s="11"/>
      <c r="O103" s="11"/>
      <c r="P103" s="11"/>
      <c r="Q103" s="11"/>
      <c r="R103" s="11"/>
      <c r="S103" s="11" t="s">
        <v>346</v>
      </c>
      <c r="T103" s="11"/>
      <c r="U103" s="11"/>
      <c r="V103" s="11"/>
      <c r="W103" s="11"/>
      <c r="X103" s="11"/>
      <c r="Y103" s="11"/>
      <c r="Z103" s="11"/>
      <c r="AA103" s="11"/>
      <c r="AB103" s="11"/>
      <c r="AC103" s="11" t="s">
        <v>326</v>
      </c>
      <c r="AD103" s="11"/>
      <c r="AE103" s="11"/>
      <c r="AF103" s="201" t="s">
        <v>347</v>
      </c>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72"/>
      <c r="BE103" s="11"/>
      <c r="BF103" s="11"/>
      <c r="BG103" s="11"/>
      <c r="BH103" s="11"/>
      <c r="BI103" s="11"/>
      <c r="BK103" s="332"/>
    </row>
    <row r="104" spans="1:63" s="78" customFormat="1" ht="15.75" customHeight="1">
      <c r="A104" s="215"/>
      <c r="B104" s="72"/>
      <c r="C104" s="11"/>
      <c r="D104" s="11"/>
      <c r="E104" s="11"/>
      <c r="F104" s="11"/>
      <c r="G104" s="11"/>
      <c r="H104" s="11"/>
      <c r="I104" s="71"/>
      <c r="J104" s="11"/>
      <c r="K104" s="201"/>
      <c r="L104" s="11"/>
      <c r="M104" s="297"/>
      <c r="N104" s="11"/>
      <c r="O104" s="11"/>
      <c r="P104" s="11"/>
      <c r="Q104" s="11" t="s">
        <v>348</v>
      </c>
      <c r="R104" s="11"/>
      <c r="S104" s="11" t="s">
        <v>349</v>
      </c>
      <c r="T104" s="11"/>
      <c r="U104" s="11"/>
      <c r="V104" s="11"/>
      <c r="W104" s="11"/>
      <c r="X104" s="11"/>
      <c r="Y104" s="11"/>
      <c r="Z104" s="11"/>
      <c r="AA104" s="11"/>
      <c r="AB104" s="11"/>
      <c r="AC104" s="11" t="s">
        <v>326</v>
      </c>
      <c r="AD104" s="11"/>
      <c r="AE104" s="11"/>
      <c r="AF104" s="201" t="s">
        <v>364</v>
      </c>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72"/>
      <c r="BE104" s="11"/>
      <c r="BF104" s="11"/>
      <c r="BG104" s="11"/>
      <c r="BH104" s="11"/>
      <c r="BI104" s="11"/>
      <c r="BK104" s="332"/>
    </row>
    <row r="105" spans="1:63" s="78" customFormat="1" ht="15.75" customHeight="1">
      <c r="A105" s="215"/>
      <c r="B105" s="72"/>
      <c r="C105" s="11"/>
      <c r="D105" s="11"/>
      <c r="E105" s="11"/>
      <c r="F105" s="11"/>
      <c r="G105" s="11"/>
      <c r="H105" s="11"/>
      <c r="I105" s="7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72"/>
      <c r="BE105" s="11"/>
      <c r="BF105" s="11"/>
      <c r="BG105" s="11"/>
      <c r="BH105" s="11"/>
      <c r="BI105" s="11"/>
      <c r="BK105" s="332"/>
    </row>
    <row r="106" spans="1:63" s="78" customFormat="1" ht="15.75" customHeight="1">
      <c r="A106" s="215"/>
      <c r="B106" s="72"/>
      <c r="C106" s="11"/>
      <c r="D106" s="11"/>
      <c r="E106" s="11"/>
      <c r="F106" s="11"/>
      <c r="G106" s="11"/>
      <c r="H106" s="11"/>
      <c r="I106" s="71"/>
      <c r="J106" s="11"/>
      <c r="K106" s="11"/>
      <c r="L106" s="11"/>
      <c r="M106" s="11"/>
      <c r="N106" s="11"/>
      <c r="O106" s="11"/>
      <c r="P106" s="11" t="s">
        <v>147</v>
      </c>
      <c r="Q106" s="11" t="s">
        <v>351</v>
      </c>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72" t="s">
        <v>352</v>
      </c>
      <c r="BE106" s="11"/>
      <c r="BF106" s="11"/>
      <c r="BG106" s="11"/>
      <c r="BH106" s="11"/>
      <c r="BI106" s="11"/>
      <c r="BK106" s="332"/>
    </row>
    <row r="107" spans="1:63" s="78" customFormat="1" ht="15.75" customHeight="1">
      <c r="A107" s="215"/>
      <c r="B107" s="72"/>
      <c r="C107" s="11"/>
      <c r="D107" s="11"/>
      <c r="E107" s="11"/>
      <c r="F107" s="11"/>
      <c r="G107" s="11"/>
      <c r="H107" s="11"/>
      <c r="I107" s="7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72"/>
      <c r="BE107" s="11"/>
      <c r="BF107" s="11" t="s">
        <v>353</v>
      </c>
      <c r="BG107" s="11"/>
      <c r="BH107" s="11"/>
      <c r="BI107" s="11"/>
      <c r="BK107" s="332"/>
    </row>
    <row r="108" spans="1:63" s="78" customFormat="1" ht="15.75" customHeight="1">
      <c r="A108" s="215"/>
      <c r="B108" s="72"/>
      <c r="C108" s="11"/>
      <c r="D108" s="11"/>
      <c r="E108" s="11"/>
      <c r="F108" s="11"/>
      <c r="G108" s="11"/>
      <c r="H108" s="11"/>
      <c r="I108" s="71"/>
      <c r="J108" s="11"/>
      <c r="K108" s="11"/>
      <c r="L108" s="11"/>
      <c r="M108" s="11"/>
      <c r="N108" s="11"/>
      <c r="O108" s="11"/>
      <c r="P108" s="11" t="s">
        <v>147</v>
      </c>
      <c r="Q108" s="11" t="s">
        <v>354</v>
      </c>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72" t="s">
        <v>352</v>
      </c>
      <c r="BE108" s="11"/>
      <c r="BF108" s="11"/>
      <c r="BG108" s="11"/>
      <c r="BH108" s="11"/>
      <c r="BI108" s="11"/>
      <c r="BK108" s="332"/>
    </row>
    <row r="109" spans="1:63" ht="15.75" customHeight="1">
      <c r="A109" s="215"/>
      <c r="B109" s="72"/>
      <c r="I109" s="71"/>
      <c r="BD109" s="72"/>
      <c r="BF109" s="11" t="s">
        <v>355</v>
      </c>
      <c r="BJ109" s="78"/>
      <c r="BK109" s="61"/>
    </row>
    <row r="110" spans="1:63" ht="15.75" customHeight="1">
      <c r="A110" s="215"/>
      <c r="B110" s="72"/>
      <c r="I110" s="71"/>
      <c r="BD110" s="72"/>
      <c r="BK110" s="61"/>
    </row>
    <row r="111" spans="1:63" ht="15.75" customHeight="1">
      <c r="A111" s="215"/>
      <c r="B111" s="72"/>
      <c r="I111" s="71"/>
      <c r="O111" s="11" t="s">
        <v>365</v>
      </c>
      <c r="P111" s="11" t="s">
        <v>366</v>
      </c>
      <c r="BD111" s="72"/>
      <c r="BK111" s="61"/>
    </row>
    <row r="112" spans="1:63" ht="15.75" customHeight="1">
      <c r="A112" s="215"/>
      <c r="B112" s="72"/>
      <c r="I112" s="71"/>
      <c r="J112" s="217"/>
      <c r="K112" s="217"/>
      <c r="L112" s="217"/>
      <c r="M112" s="217"/>
      <c r="N112" s="217"/>
      <c r="O112" s="217"/>
      <c r="P112" s="11" t="s">
        <v>268</v>
      </c>
      <c r="Q112" s="11" t="s">
        <v>367</v>
      </c>
      <c r="BD112" s="72"/>
      <c r="BK112" s="61"/>
    </row>
    <row r="113" spans="1:63" ht="15.75" customHeight="1">
      <c r="A113" s="215"/>
      <c r="B113" s="72"/>
      <c r="I113" s="71"/>
      <c r="J113" s="217"/>
      <c r="K113" s="217"/>
      <c r="L113" s="217"/>
      <c r="M113" s="217"/>
      <c r="N113" s="217"/>
      <c r="O113" s="217"/>
      <c r="BD113" s="72"/>
      <c r="BK113" s="61"/>
    </row>
    <row r="114" spans="1:63" ht="15.75" customHeight="1">
      <c r="A114" s="215"/>
      <c r="B114" s="72"/>
      <c r="I114" s="71"/>
      <c r="J114" s="217"/>
      <c r="K114" s="217"/>
      <c r="L114" s="217"/>
      <c r="M114" s="217"/>
      <c r="N114" s="217" t="s">
        <v>296</v>
      </c>
      <c r="O114" s="217" t="s">
        <v>368</v>
      </c>
      <c r="BD114" s="72"/>
      <c r="BK114" s="61"/>
    </row>
    <row r="115" spans="1:63" ht="15.75" customHeight="1">
      <c r="A115" s="215"/>
      <c r="B115" s="72"/>
      <c r="I115" s="71"/>
      <c r="J115" s="217"/>
      <c r="K115" s="217"/>
      <c r="L115" s="217"/>
      <c r="M115" s="217"/>
      <c r="N115" s="217"/>
      <c r="O115" s="11" t="s">
        <v>366</v>
      </c>
      <c r="BD115" s="72"/>
      <c r="BK115" s="61"/>
    </row>
    <row r="116" spans="1:63" ht="15.75" customHeight="1">
      <c r="A116" s="215"/>
      <c r="B116" s="72"/>
      <c r="I116" s="71"/>
      <c r="J116" s="217"/>
      <c r="K116" s="217"/>
      <c r="L116" s="217"/>
      <c r="M116" s="217"/>
      <c r="N116" s="217"/>
      <c r="O116" s="11" t="s">
        <v>268</v>
      </c>
      <c r="P116" s="11" t="s">
        <v>367</v>
      </c>
      <c r="BD116" s="72"/>
      <c r="BK116" s="61"/>
    </row>
    <row r="117" spans="1:63" ht="15.75" customHeight="1">
      <c r="A117" s="215"/>
      <c r="B117" s="72"/>
      <c r="I117" s="71"/>
      <c r="J117" s="217"/>
      <c r="K117" s="217"/>
      <c r="L117" s="217"/>
      <c r="M117" s="217"/>
      <c r="N117" s="217"/>
      <c r="O117" s="217"/>
      <c r="BD117" s="72"/>
      <c r="BK117" s="61"/>
    </row>
    <row r="118" spans="1:63" ht="15.75" customHeight="1">
      <c r="A118" s="215"/>
      <c r="B118" s="72"/>
      <c r="I118" s="71"/>
      <c r="J118" s="217"/>
      <c r="K118" s="217" t="s">
        <v>369</v>
      </c>
      <c r="L118" s="217"/>
      <c r="M118" s="217" t="s">
        <v>370</v>
      </c>
      <c r="N118" s="217"/>
      <c r="O118" s="217"/>
      <c r="BD118" s="72"/>
      <c r="BK118" s="61"/>
    </row>
    <row r="119" spans="1:63" ht="15.75" customHeight="1">
      <c r="A119" s="215"/>
      <c r="B119" s="72"/>
      <c r="I119" s="71"/>
      <c r="J119" s="217"/>
      <c r="K119" s="217"/>
      <c r="L119" s="217" t="s">
        <v>371</v>
      </c>
      <c r="M119" s="217"/>
      <c r="N119" s="217"/>
      <c r="O119" s="217"/>
      <c r="BD119" s="72"/>
      <c r="BK119" s="61"/>
    </row>
    <row r="120" spans="1:63" ht="15.75" customHeight="1">
      <c r="A120" s="215"/>
      <c r="B120" s="72"/>
      <c r="I120" s="71"/>
      <c r="J120" s="217"/>
      <c r="K120" s="217"/>
      <c r="L120" s="217"/>
      <c r="M120" s="217"/>
      <c r="N120" s="217"/>
      <c r="O120" s="217"/>
      <c r="BD120" s="72"/>
      <c r="BK120" s="61"/>
    </row>
    <row r="121" spans="1:63" ht="15.75" customHeight="1">
      <c r="A121" s="215"/>
      <c r="B121" s="72"/>
      <c r="I121" s="71"/>
      <c r="J121" s="217"/>
      <c r="K121" s="217" t="s">
        <v>372</v>
      </c>
      <c r="L121" s="217"/>
      <c r="M121" s="217" t="s">
        <v>373</v>
      </c>
      <c r="N121" s="217"/>
      <c r="O121" s="217"/>
      <c r="BD121" s="72"/>
      <c r="BK121" s="61"/>
    </row>
    <row r="122" spans="1:63" ht="15.75" customHeight="1">
      <c r="A122" s="215"/>
      <c r="B122" s="72"/>
      <c r="I122" s="71"/>
      <c r="J122" s="217"/>
      <c r="K122" s="217"/>
      <c r="L122" s="217" t="s">
        <v>374</v>
      </c>
      <c r="M122" s="217"/>
      <c r="N122" s="217"/>
      <c r="O122" s="217"/>
      <c r="BD122" s="72"/>
      <c r="BK122" s="61"/>
    </row>
    <row r="123" spans="1:63" ht="15.75" customHeight="1">
      <c r="A123" s="215"/>
      <c r="B123" s="72"/>
      <c r="I123" s="71"/>
      <c r="J123" s="217"/>
      <c r="K123" s="217"/>
      <c r="L123" s="217" t="s">
        <v>375</v>
      </c>
      <c r="M123" s="328"/>
      <c r="N123" s="328"/>
      <c r="O123" s="32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BD123" s="72"/>
      <c r="BK123" s="61"/>
    </row>
    <row r="124" spans="1:63" ht="15.75" customHeight="1">
      <c r="A124" s="215"/>
      <c r="B124" s="72"/>
      <c r="I124" s="71"/>
      <c r="J124" s="217"/>
      <c r="K124" s="217"/>
      <c r="L124" s="217"/>
      <c r="M124" s="217"/>
      <c r="N124" s="217"/>
      <c r="O124" s="217"/>
      <c r="BD124" s="72"/>
      <c r="BK124" s="61"/>
    </row>
    <row r="125" spans="1:63" ht="15.75" customHeight="1">
      <c r="A125" s="330"/>
      <c r="B125" s="329"/>
      <c r="C125" s="78"/>
      <c r="D125" s="78"/>
      <c r="E125" s="78"/>
      <c r="F125" s="78"/>
      <c r="G125" s="78"/>
      <c r="H125" s="78"/>
      <c r="I125" s="331"/>
      <c r="J125" s="328"/>
      <c r="K125" s="217" t="s">
        <v>376</v>
      </c>
      <c r="L125" s="217"/>
      <c r="M125" s="217" t="s">
        <v>377</v>
      </c>
      <c r="N125" s="217"/>
      <c r="O125" s="217"/>
      <c r="BD125" s="72"/>
      <c r="BK125" s="61"/>
    </row>
    <row r="126" spans="1:63" ht="15.75" customHeight="1">
      <c r="A126" s="330"/>
      <c r="B126" s="329"/>
      <c r="C126" s="78"/>
      <c r="D126" s="78"/>
      <c r="E126" s="78"/>
      <c r="F126" s="78"/>
      <c r="G126" s="78"/>
      <c r="H126" s="78"/>
      <c r="I126" s="331"/>
      <c r="J126" s="328"/>
      <c r="K126" s="217"/>
      <c r="L126" s="217" t="s">
        <v>378</v>
      </c>
      <c r="M126" s="217"/>
      <c r="N126" s="217"/>
      <c r="O126" s="217"/>
      <c r="BD126" s="72"/>
      <c r="BK126" s="61"/>
    </row>
    <row r="127" spans="1:63" ht="15.75" customHeight="1">
      <c r="A127" s="330"/>
      <c r="B127" s="329"/>
      <c r="C127" s="78"/>
      <c r="D127" s="78"/>
      <c r="E127" s="78"/>
      <c r="F127" s="78"/>
      <c r="G127" s="78"/>
      <c r="H127" s="78"/>
      <c r="I127" s="331"/>
      <c r="J127" s="328"/>
      <c r="K127" s="217"/>
      <c r="L127" s="217" t="s">
        <v>379</v>
      </c>
      <c r="M127" s="217"/>
      <c r="N127" s="217"/>
      <c r="O127" s="217"/>
      <c r="BD127" s="72"/>
      <c r="BK127" s="61"/>
    </row>
    <row r="128" spans="1:63" ht="15.75" customHeight="1">
      <c r="A128" s="215"/>
      <c r="B128" s="72"/>
      <c r="I128" s="71"/>
      <c r="J128" s="217"/>
      <c r="K128" s="217"/>
      <c r="L128" s="217"/>
      <c r="M128" s="217"/>
      <c r="N128" s="217"/>
      <c r="O128" s="217"/>
      <c r="BD128" s="72"/>
      <c r="BK128" s="61"/>
    </row>
    <row r="129" spans="1:71" ht="15.75" customHeight="1">
      <c r="A129" s="215"/>
      <c r="B129" s="72"/>
      <c r="I129" s="71"/>
      <c r="J129" s="216" t="s">
        <v>280</v>
      </c>
      <c r="K129" s="217" t="s">
        <v>281</v>
      </c>
      <c r="L129" s="217"/>
      <c r="M129" s="217"/>
      <c r="N129" s="217"/>
      <c r="O129" s="217"/>
      <c r="BD129" s="72"/>
      <c r="BK129" s="61"/>
    </row>
    <row r="130" spans="1:71" ht="15.75" customHeight="1">
      <c r="A130" s="215"/>
      <c r="B130" s="72"/>
      <c r="I130" s="71"/>
      <c r="J130" s="217"/>
      <c r="K130" s="217" t="s">
        <v>380</v>
      </c>
      <c r="L130" s="217"/>
      <c r="M130" s="217"/>
      <c r="N130" s="217"/>
      <c r="O130" s="217"/>
      <c r="BD130" s="72"/>
      <c r="BK130" s="61"/>
    </row>
    <row r="131" spans="1:71" ht="15.75" customHeight="1">
      <c r="A131" s="215"/>
      <c r="B131" s="72"/>
      <c r="I131" s="71"/>
      <c r="J131" s="217"/>
      <c r="K131" s="217" t="s">
        <v>381</v>
      </c>
      <c r="L131" s="217"/>
      <c r="M131" s="217"/>
      <c r="N131" s="217"/>
      <c r="O131" s="217"/>
      <c r="BD131" s="72"/>
      <c r="BK131" s="61"/>
    </row>
    <row r="132" spans="1:71" ht="15.75" customHeight="1">
      <c r="A132" s="215"/>
      <c r="B132" s="72"/>
      <c r="I132" s="71"/>
      <c r="J132" s="217"/>
      <c r="BD132" s="72"/>
      <c r="BK132" s="61"/>
    </row>
    <row r="133" spans="1:71" ht="15.75" customHeight="1">
      <c r="A133" s="215"/>
      <c r="B133" s="72"/>
      <c r="I133" s="71"/>
      <c r="J133" s="216" t="s">
        <v>284</v>
      </c>
      <c r="K133" s="217" t="s">
        <v>285</v>
      </c>
      <c r="L133" s="217"/>
      <c r="M133" s="217"/>
      <c r="N133" s="217"/>
      <c r="O133" s="217"/>
      <c r="BD133" s="72"/>
      <c r="BK133" s="61"/>
      <c r="BO133" s="217" t="s">
        <v>382</v>
      </c>
      <c r="BP133" s="217"/>
      <c r="BQ133" s="217"/>
      <c r="BR133" s="217" t="s">
        <v>383</v>
      </c>
      <c r="BS133" s="217"/>
    </row>
    <row r="134" spans="1:71" ht="15.75" customHeight="1">
      <c r="A134" s="215"/>
      <c r="B134" s="72"/>
      <c r="I134" s="71"/>
      <c r="J134" s="217"/>
      <c r="K134" s="217" t="s">
        <v>384</v>
      </c>
      <c r="L134" s="217"/>
      <c r="M134" s="217" t="s">
        <v>385</v>
      </c>
      <c r="N134" s="217"/>
      <c r="O134" s="217"/>
      <c r="BD134" s="72"/>
      <c r="BK134" s="61"/>
      <c r="BO134" s="217"/>
      <c r="BP134" s="217"/>
      <c r="BQ134" s="217"/>
      <c r="BR134" s="217" t="s">
        <v>386</v>
      </c>
      <c r="BS134" s="217"/>
    </row>
    <row r="135" spans="1:71" ht="15.75" customHeight="1">
      <c r="A135" s="215"/>
      <c r="B135" s="72"/>
      <c r="I135" s="71"/>
      <c r="J135" s="217"/>
      <c r="K135" s="217"/>
      <c r="L135" s="217" t="s">
        <v>320</v>
      </c>
      <c r="M135" s="217"/>
      <c r="N135" s="217" t="s">
        <v>387</v>
      </c>
      <c r="O135" s="217"/>
      <c r="BD135" s="72"/>
      <c r="BK135" s="61"/>
    </row>
    <row r="136" spans="1:71" ht="15.75" customHeight="1">
      <c r="A136" s="215"/>
      <c r="B136" s="72"/>
      <c r="I136" s="71"/>
      <c r="J136" s="217"/>
      <c r="K136" s="217"/>
      <c r="L136" s="217"/>
      <c r="M136" s="217"/>
      <c r="N136" s="217" t="s">
        <v>276</v>
      </c>
      <c r="O136" s="217" t="s">
        <v>388</v>
      </c>
      <c r="BD136" s="72"/>
      <c r="BK136" s="61"/>
    </row>
    <row r="137" spans="1:71" ht="15.6" customHeight="1">
      <c r="A137" s="215"/>
      <c r="B137" s="72" t="s">
        <v>339</v>
      </c>
      <c r="I137" s="71"/>
      <c r="P137" s="11" t="s">
        <v>340</v>
      </c>
      <c r="BD137" s="72"/>
      <c r="BK137" s="61"/>
    </row>
    <row r="138" spans="1:71" ht="15.75" customHeight="1">
      <c r="A138" s="215"/>
      <c r="B138" s="72"/>
      <c r="I138" s="71"/>
      <c r="Q138" s="11" t="s">
        <v>341</v>
      </c>
      <c r="BD138" s="72"/>
      <c r="BK138" s="61"/>
    </row>
    <row r="139" spans="1:71" ht="15.75" customHeight="1">
      <c r="A139" s="215"/>
      <c r="B139" s="72"/>
      <c r="I139" s="71"/>
      <c r="K139" s="201"/>
      <c r="M139" s="297"/>
      <c r="S139" s="11" t="s">
        <v>349</v>
      </c>
      <c r="Y139" s="297" t="s">
        <v>389</v>
      </c>
      <c r="BD139" s="72"/>
      <c r="BK139" s="61"/>
    </row>
    <row r="140" spans="1:71" ht="15.75" customHeight="1">
      <c r="A140" s="215"/>
      <c r="B140" s="72"/>
      <c r="I140" s="71"/>
      <c r="K140" s="201"/>
      <c r="M140" s="297"/>
      <c r="S140" s="11" t="s">
        <v>390</v>
      </c>
      <c r="Y140" s="297" t="s">
        <v>391</v>
      </c>
      <c r="BD140" s="72"/>
      <c r="BK140" s="61"/>
    </row>
    <row r="141" spans="1:71" ht="15.75" customHeight="1">
      <c r="A141" s="215"/>
      <c r="B141" s="72"/>
      <c r="I141" s="71"/>
      <c r="K141" s="201"/>
      <c r="M141" s="297"/>
      <c r="Q141" s="11" t="s">
        <v>343</v>
      </c>
      <c r="BD141" s="72"/>
      <c r="BK141" s="61"/>
    </row>
    <row r="142" spans="1:71" ht="15.75" customHeight="1">
      <c r="A142" s="215"/>
      <c r="B142" s="72"/>
      <c r="I142" s="71"/>
      <c r="K142" s="201"/>
      <c r="M142" s="297"/>
      <c r="S142" s="11" t="s">
        <v>344</v>
      </c>
      <c r="BD142" s="72"/>
      <c r="BK142" s="61"/>
    </row>
    <row r="143" spans="1:71" ht="15.75" customHeight="1">
      <c r="A143" s="215"/>
      <c r="B143" s="72"/>
      <c r="I143" s="71"/>
      <c r="K143" s="201"/>
      <c r="M143" s="297"/>
      <c r="Q143" s="11" t="s">
        <v>345</v>
      </c>
      <c r="BD143" s="72"/>
      <c r="BK143" s="61"/>
    </row>
    <row r="144" spans="1:71" ht="15.75" customHeight="1">
      <c r="A144" s="215"/>
      <c r="B144" s="72"/>
      <c r="I144" s="71"/>
      <c r="K144" s="201"/>
      <c r="M144" s="297"/>
      <c r="S144" s="11" t="s">
        <v>346</v>
      </c>
      <c r="AC144" s="11" t="s">
        <v>326</v>
      </c>
      <c r="AF144" s="201" t="s">
        <v>392</v>
      </c>
      <c r="BD144" s="72"/>
      <c r="BK144" s="61"/>
    </row>
    <row r="145" spans="1:63" ht="15.75" customHeight="1">
      <c r="A145" s="215"/>
      <c r="B145" s="72"/>
      <c r="I145" s="71"/>
      <c r="BD145" s="72"/>
      <c r="BK145" s="61"/>
    </row>
    <row r="146" spans="1:63" ht="15.75" customHeight="1">
      <c r="A146" s="215"/>
      <c r="B146" s="72"/>
      <c r="I146" s="71"/>
      <c r="O146" s="11" t="s">
        <v>147</v>
      </c>
      <c r="P146" s="11" t="s">
        <v>393</v>
      </c>
      <c r="BD146" s="72" t="s">
        <v>352</v>
      </c>
      <c r="BK146" s="61"/>
    </row>
    <row r="147" spans="1:63" ht="15.75" customHeight="1">
      <c r="A147" s="215"/>
      <c r="B147" s="72"/>
      <c r="I147" s="71"/>
      <c r="BD147" s="72"/>
      <c r="BF147" s="11" t="s">
        <v>353</v>
      </c>
      <c r="BK147" s="61"/>
    </row>
    <row r="148" spans="1:63" ht="15.6" customHeight="1">
      <c r="A148" s="215"/>
      <c r="B148" s="72" t="s">
        <v>339</v>
      </c>
      <c r="I148" s="71"/>
      <c r="P148" s="11" t="s">
        <v>340</v>
      </c>
      <c r="BD148" s="72"/>
      <c r="BK148" s="61"/>
    </row>
    <row r="149" spans="1:63" ht="15.75" customHeight="1">
      <c r="A149" s="215"/>
      <c r="B149" s="72"/>
      <c r="I149" s="71"/>
      <c r="Q149" s="11" t="s">
        <v>341</v>
      </c>
      <c r="BD149" s="72"/>
      <c r="BK149" s="61"/>
    </row>
    <row r="150" spans="1:63" ht="15.75" customHeight="1">
      <c r="A150" s="215"/>
      <c r="B150" s="72"/>
      <c r="I150" s="71"/>
      <c r="K150" s="201"/>
      <c r="M150" s="297"/>
      <c r="S150" s="11" t="s">
        <v>390</v>
      </c>
      <c r="Y150" s="297" t="s">
        <v>391</v>
      </c>
      <c r="BD150" s="72"/>
      <c r="BK150" s="61"/>
    </row>
    <row r="151" spans="1:63" ht="15.75" customHeight="1">
      <c r="A151" s="215"/>
      <c r="B151" s="72"/>
      <c r="I151" s="71"/>
      <c r="K151" s="201"/>
      <c r="M151" s="297"/>
      <c r="Q151" s="11" t="s">
        <v>343</v>
      </c>
      <c r="BD151" s="72"/>
      <c r="BK151" s="61"/>
    </row>
    <row r="152" spans="1:63" ht="15.75" customHeight="1">
      <c r="A152" s="215"/>
      <c r="B152" s="72"/>
      <c r="I152" s="71"/>
      <c r="K152" s="201"/>
      <c r="M152" s="297"/>
      <c r="S152" s="11" t="s">
        <v>344</v>
      </c>
      <c r="BD152" s="72"/>
      <c r="BK152" s="61"/>
    </row>
    <row r="153" spans="1:63" ht="15.75" customHeight="1">
      <c r="A153" s="215"/>
      <c r="B153" s="72"/>
      <c r="I153" s="71"/>
      <c r="K153" s="201"/>
      <c r="M153" s="297"/>
      <c r="Q153" s="11" t="s">
        <v>345</v>
      </c>
      <c r="BD153" s="72"/>
      <c r="BK153" s="61"/>
    </row>
    <row r="154" spans="1:63" ht="15.75" customHeight="1">
      <c r="A154" s="215"/>
      <c r="B154" s="72"/>
      <c r="I154" s="71"/>
      <c r="K154" s="201"/>
      <c r="M154" s="297"/>
      <c r="S154" s="11" t="s">
        <v>346</v>
      </c>
      <c r="AC154" s="11" t="s">
        <v>326</v>
      </c>
      <c r="AF154" s="201" t="s">
        <v>392</v>
      </c>
      <c r="BD154" s="72"/>
      <c r="BK154" s="61"/>
    </row>
    <row r="155" spans="1:63" ht="15.75" customHeight="1">
      <c r="A155" s="215"/>
      <c r="B155" s="72"/>
      <c r="I155" s="71"/>
      <c r="K155" s="201"/>
      <c r="M155" s="297"/>
      <c r="Q155" s="11" t="s">
        <v>348</v>
      </c>
      <c r="S155" s="11" t="s">
        <v>349</v>
      </c>
      <c r="AC155" s="11" t="s">
        <v>326</v>
      </c>
      <c r="AF155" s="201" t="s">
        <v>394</v>
      </c>
      <c r="BD155" s="72"/>
      <c r="BK155" s="61"/>
    </row>
    <row r="156" spans="1:63" ht="15.75" customHeight="1">
      <c r="A156" s="215"/>
      <c r="B156" s="72"/>
      <c r="I156" s="71"/>
      <c r="K156" s="201"/>
      <c r="M156" s="297"/>
      <c r="O156" s="11" t="s">
        <v>147</v>
      </c>
      <c r="P156" s="11" t="s">
        <v>395</v>
      </c>
      <c r="AF156" s="201"/>
      <c r="BD156" s="72"/>
      <c r="BK156" s="61"/>
    </row>
    <row r="157" spans="1:63" ht="15.75" customHeight="1">
      <c r="A157" s="215"/>
      <c r="B157" s="72"/>
      <c r="I157" s="71"/>
      <c r="O157" s="11" t="s">
        <v>147</v>
      </c>
      <c r="P157" s="11" t="s">
        <v>396</v>
      </c>
      <c r="BD157" s="72" t="s">
        <v>352</v>
      </c>
      <c r="BK157" s="61"/>
    </row>
    <row r="158" spans="1:63" ht="15.75" customHeight="1">
      <c r="A158" s="215"/>
      <c r="B158" s="72"/>
      <c r="I158" s="71"/>
      <c r="P158" s="11" t="s">
        <v>397</v>
      </c>
      <c r="BD158" s="72"/>
      <c r="BF158" s="11" t="s">
        <v>398</v>
      </c>
      <c r="BK158" s="61"/>
    </row>
    <row r="159" spans="1:63" ht="15.75" customHeight="1">
      <c r="A159" s="215"/>
      <c r="B159" s="72"/>
      <c r="I159" s="71"/>
      <c r="BD159" s="72"/>
      <c r="BK159" s="61"/>
    </row>
    <row r="160" spans="1:63" ht="15.75" customHeight="1">
      <c r="A160" s="215"/>
      <c r="B160" s="72"/>
      <c r="I160" s="71"/>
      <c r="N160" s="11" t="s">
        <v>278</v>
      </c>
      <c r="O160" s="11" t="s">
        <v>399</v>
      </c>
      <c r="BD160" s="72"/>
      <c r="BK160" s="61"/>
    </row>
    <row r="161" spans="1:63" ht="15.75" customHeight="1">
      <c r="A161" s="215"/>
      <c r="B161" s="72"/>
      <c r="I161" s="71"/>
      <c r="O161" s="11" t="s">
        <v>400</v>
      </c>
      <c r="BD161" s="72"/>
      <c r="BK161" s="61"/>
    </row>
    <row r="162" spans="1:63" ht="15.75" customHeight="1">
      <c r="A162" s="215"/>
      <c r="B162" s="72"/>
      <c r="I162" s="71"/>
      <c r="P162" s="11" t="s">
        <v>401</v>
      </c>
      <c r="V162" s="11" t="s">
        <v>394</v>
      </c>
      <c r="AI162" s="11" t="s">
        <v>402</v>
      </c>
      <c r="AL162" s="11" t="s">
        <v>403</v>
      </c>
      <c r="BD162" s="72"/>
      <c r="BK162" s="61"/>
    </row>
    <row r="163" spans="1:63" ht="15.75" customHeight="1">
      <c r="A163" s="215"/>
      <c r="B163" s="72"/>
      <c r="I163" s="71"/>
      <c r="O163" s="327" t="s">
        <v>309</v>
      </c>
      <c r="Q163" s="11" t="s">
        <v>404</v>
      </c>
      <c r="BD163" s="72"/>
      <c r="BK163" s="61"/>
    </row>
    <row r="164" spans="1:63" ht="15.75" customHeight="1">
      <c r="A164" s="215"/>
      <c r="B164" s="72"/>
      <c r="I164" s="71"/>
      <c r="BD164" s="72"/>
      <c r="BK164" s="61"/>
    </row>
    <row r="165" spans="1:63" ht="15.75" customHeight="1">
      <c r="A165" s="215"/>
      <c r="B165" s="72"/>
      <c r="I165" s="71"/>
      <c r="J165" s="217"/>
      <c r="K165" s="217"/>
      <c r="L165" s="217" t="s">
        <v>331</v>
      </c>
      <c r="M165" s="217"/>
      <c r="N165" s="217" t="s">
        <v>405</v>
      </c>
      <c r="O165" s="217"/>
      <c r="BD165" s="72"/>
      <c r="BK165" s="61"/>
    </row>
    <row r="166" spans="1:63" ht="15.75" customHeight="1">
      <c r="A166" s="215"/>
      <c r="B166" s="72" t="s">
        <v>339</v>
      </c>
      <c r="I166" s="71"/>
      <c r="J166" s="217"/>
      <c r="K166" s="217"/>
      <c r="L166" s="217"/>
      <c r="M166" s="217"/>
      <c r="N166" s="11" t="s">
        <v>340</v>
      </c>
      <c r="BD166" s="72"/>
      <c r="BK166" s="61"/>
    </row>
    <row r="167" spans="1:63" ht="15.75" customHeight="1">
      <c r="A167" s="215"/>
      <c r="B167" s="72"/>
      <c r="I167" s="71"/>
      <c r="J167" s="217"/>
      <c r="K167" s="217"/>
      <c r="L167" s="217"/>
      <c r="M167" s="217"/>
      <c r="O167" s="11" t="s">
        <v>341</v>
      </c>
      <c r="BD167" s="72"/>
      <c r="BK167" s="61"/>
    </row>
    <row r="168" spans="1:63" ht="15.75" customHeight="1">
      <c r="A168" s="215"/>
      <c r="B168" s="72"/>
      <c r="I168" s="71"/>
      <c r="J168" s="217"/>
      <c r="K168" s="217"/>
      <c r="L168" s="217"/>
      <c r="M168" s="217"/>
      <c r="Q168" s="11" t="s">
        <v>349</v>
      </c>
      <c r="V168" s="297" t="s">
        <v>406</v>
      </c>
      <c r="BD168" s="72"/>
      <c r="BK168" s="61"/>
    </row>
    <row r="169" spans="1:63" ht="15.75" customHeight="1">
      <c r="A169" s="215"/>
      <c r="B169" s="72"/>
      <c r="I169" s="71"/>
      <c r="J169" s="217"/>
      <c r="K169" s="217"/>
      <c r="L169" s="217"/>
      <c r="M169" s="217"/>
      <c r="Q169" s="11" t="s">
        <v>407</v>
      </c>
      <c r="V169" s="297" t="s">
        <v>408</v>
      </c>
      <c r="BD169" s="72"/>
      <c r="BK169" s="61"/>
    </row>
    <row r="170" spans="1:63" ht="15.75" customHeight="1">
      <c r="A170" s="215"/>
      <c r="B170" s="72"/>
      <c r="I170" s="71"/>
      <c r="J170" s="217"/>
      <c r="K170" s="217"/>
      <c r="L170" s="217"/>
      <c r="M170" s="217"/>
      <c r="Q170" s="11" t="s">
        <v>409</v>
      </c>
      <c r="V170" s="297" t="s">
        <v>410</v>
      </c>
      <c r="BD170" s="72"/>
      <c r="BK170" s="61"/>
    </row>
    <row r="171" spans="1:63" ht="15.75" customHeight="1">
      <c r="A171" s="215"/>
      <c r="B171" s="72"/>
      <c r="I171" s="71"/>
      <c r="J171" s="217"/>
      <c r="K171" s="217"/>
      <c r="L171" s="217"/>
      <c r="M171" s="217"/>
      <c r="O171" s="11" t="s">
        <v>343</v>
      </c>
      <c r="BD171" s="72"/>
      <c r="BK171" s="61"/>
    </row>
    <row r="172" spans="1:63" ht="15.75" customHeight="1">
      <c r="A172" s="215"/>
      <c r="B172" s="72"/>
      <c r="I172" s="71"/>
      <c r="J172" s="217"/>
      <c r="K172" s="217"/>
      <c r="L172" s="217"/>
      <c r="M172" s="217"/>
      <c r="Q172" s="11" t="s">
        <v>344</v>
      </c>
      <c r="BD172" s="72"/>
      <c r="BK172" s="61"/>
    </row>
    <row r="173" spans="1:63" ht="15.75" customHeight="1">
      <c r="A173" s="215"/>
      <c r="B173" s="72"/>
      <c r="I173" s="71"/>
      <c r="J173" s="217"/>
      <c r="K173" s="217"/>
      <c r="L173" s="217"/>
      <c r="M173" s="217"/>
      <c r="O173" s="11" t="s">
        <v>345</v>
      </c>
      <c r="BD173" s="72"/>
      <c r="BK173" s="61"/>
    </row>
    <row r="174" spans="1:63" ht="15.75" customHeight="1">
      <c r="A174" s="215"/>
      <c r="B174" s="72"/>
      <c r="I174" s="71"/>
      <c r="J174" s="217"/>
      <c r="K174" s="217"/>
      <c r="L174" s="217"/>
      <c r="M174" s="217"/>
      <c r="Q174" s="11" t="s">
        <v>346</v>
      </c>
      <c r="AA174" s="11" t="s">
        <v>326</v>
      </c>
      <c r="AD174" s="201" t="s">
        <v>411</v>
      </c>
      <c r="BD174" s="72"/>
      <c r="BK174" s="61"/>
    </row>
    <row r="175" spans="1:63" ht="15.75" customHeight="1">
      <c r="A175" s="215"/>
      <c r="B175" s="72"/>
      <c r="I175" s="71"/>
      <c r="BD175" s="72"/>
      <c r="BK175" s="61"/>
    </row>
    <row r="176" spans="1:63" ht="15.75" customHeight="1">
      <c r="A176" s="215"/>
      <c r="B176" s="72"/>
      <c r="I176" s="71"/>
      <c r="O176" s="11" t="s">
        <v>147</v>
      </c>
      <c r="P176" s="11" t="s">
        <v>393</v>
      </c>
      <c r="BD176" s="72" t="s">
        <v>352</v>
      </c>
      <c r="BK176" s="61"/>
    </row>
    <row r="177" spans="1:64" ht="15.75" customHeight="1">
      <c r="A177" s="215"/>
      <c r="B177" s="72"/>
      <c r="I177" s="71"/>
      <c r="BD177" s="72"/>
      <c r="BF177" s="11" t="s">
        <v>353</v>
      </c>
      <c r="BK177" s="61"/>
    </row>
    <row r="178" spans="1:64" ht="15.75" customHeight="1">
      <c r="A178" s="215"/>
      <c r="B178" s="72"/>
      <c r="I178" s="71"/>
      <c r="O178" s="11" t="s">
        <v>147</v>
      </c>
      <c r="P178" s="11" t="s">
        <v>396</v>
      </c>
      <c r="BD178" s="72" t="s">
        <v>352</v>
      </c>
      <c r="BK178" s="61"/>
    </row>
    <row r="179" spans="1:64" ht="15.75" customHeight="1">
      <c r="A179" s="215"/>
      <c r="B179" s="72"/>
      <c r="I179" s="71"/>
      <c r="P179" s="11" t="s">
        <v>397</v>
      </c>
      <c r="BD179" s="72"/>
      <c r="BF179" s="11" t="s">
        <v>355</v>
      </c>
      <c r="BK179" s="61"/>
    </row>
    <row r="180" spans="1:64" ht="15.75" customHeight="1">
      <c r="A180" s="215"/>
      <c r="B180" s="72"/>
      <c r="I180" s="71"/>
      <c r="BD180" s="72"/>
      <c r="BK180" s="61"/>
    </row>
    <row r="181" spans="1:64" ht="15.75" customHeight="1">
      <c r="A181" s="215"/>
      <c r="B181" s="72"/>
      <c r="I181" s="71"/>
      <c r="L181" s="337" t="s">
        <v>412</v>
      </c>
      <c r="M181" s="337"/>
      <c r="N181" s="337" t="s">
        <v>413</v>
      </c>
      <c r="O181" s="337"/>
      <c r="P181" s="338"/>
      <c r="Q181" s="338"/>
      <c r="R181" s="338"/>
      <c r="S181" s="338"/>
      <c r="T181" s="338"/>
      <c r="U181" s="338"/>
      <c r="V181" s="338"/>
      <c r="W181" s="338"/>
      <c r="X181" s="338"/>
      <c r="Y181" s="338"/>
      <c r="Z181" s="338"/>
      <c r="AA181" s="338"/>
      <c r="AB181" s="338"/>
      <c r="AC181" s="338"/>
      <c r="AD181" s="338"/>
      <c r="AE181" s="338"/>
      <c r="AF181" s="338"/>
      <c r="AG181" s="338"/>
      <c r="AH181" s="338"/>
      <c r="AI181" s="338"/>
      <c r="AJ181" s="338"/>
      <c r="AK181" s="338"/>
      <c r="AL181" s="338"/>
      <c r="AM181" s="338"/>
      <c r="AN181" s="338"/>
      <c r="AO181" s="338"/>
      <c r="AP181" s="338"/>
      <c r="AQ181" s="338"/>
      <c r="AR181" s="338"/>
      <c r="AS181" s="338"/>
      <c r="AT181" s="338"/>
      <c r="AU181" s="338"/>
      <c r="AV181" s="338"/>
      <c r="AW181" s="338"/>
      <c r="AX181" s="338"/>
      <c r="AY181" s="338"/>
      <c r="AZ181" s="338"/>
      <c r="BD181" s="72"/>
      <c r="BK181" s="61"/>
      <c r="BL181" s="201" t="s">
        <v>103</v>
      </c>
    </row>
    <row r="182" spans="1:64" ht="15.75" customHeight="1">
      <c r="A182" s="215"/>
      <c r="B182" s="72"/>
      <c r="I182" s="71"/>
      <c r="L182" s="337"/>
      <c r="M182" s="337"/>
      <c r="N182" s="337" t="s">
        <v>276</v>
      </c>
      <c r="O182" s="337" t="s">
        <v>414</v>
      </c>
      <c r="P182" s="338"/>
      <c r="Q182" s="338"/>
      <c r="R182" s="338"/>
      <c r="S182" s="338"/>
      <c r="T182" s="338"/>
      <c r="U182" s="338"/>
      <c r="V182" s="338"/>
      <c r="W182" s="338"/>
      <c r="X182" s="338"/>
      <c r="Y182" s="338"/>
      <c r="Z182" s="338"/>
      <c r="AA182" s="338"/>
      <c r="AB182" s="338"/>
      <c r="AC182" s="338"/>
      <c r="AD182" s="338"/>
      <c r="AE182" s="338"/>
      <c r="AF182" s="338"/>
      <c r="AG182" s="338"/>
      <c r="AH182" s="338"/>
      <c r="AI182" s="338"/>
      <c r="AJ182" s="338"/>
      <c r="AK182" s="338"/>
      <c r="AL182" s="338"/>
      <c r="AM182" s="338"/>
      <c r="AN182" s="338"/>
      <c r="AO182" s="338"/>
      <c r="AP182" s="338"/>
      <c r="AQ182" s="338"/>
      <c r="AR182" s="338"/>
      <c r="AS182" s="338"/>
      <c r="AT182" s="338"/>
      <c r="AU182" s="338"/>
      <c r="AV182" s="338"/>
      <c r="AW182" s="338"/>
      <c r="AX182" s="338"/>
      <c r="AY182" s="338"/>
      <c r="AZ182" s="338"/>
      <c r="BD182" s="72"/>
      <c r="BK182" s="61"/>
      <c r="BL182" s="201" t="s">
        <v>103</v>
      </c>
    </row>
    <row r="183" spans="1:64" ht="15.75" customHeight="1">
      <c r="A183" s="215"/>
      <c r="B183" s="72"/>
      <c r="I183" s="71"/>
      <c r="L183" s="337"/>
      <c r="M183" s="337"/>
      <c r="N183" s="337"/>
      <c r="O183" s="337" t="s">
        <v>415</v>
      </c>
      <c r="P183" s="338"/>
      <c r="Q183" s="338"/>
      <c r="R183" s="338"/>
      <c r="S183" s="338"/>
      <c r="T183" s="338"/>
      <c r="U183" s="338"/>
      <c r="V183" s="338"/>
      <c r="W183" s="338"/>
      <c r="X183" s="338"/>
      <c r="Y183" s="338"/>
      <c r="Z183" s="338"/>
      <c r="AA183" s="338"/>
      <c r="AB183" s="338"/>
      <c r="AC183" s="338"/>
      <c r="AD183" s="338"/>
      <c r="AE183" s="338"/>
      <c r="AF183" s="338"/>
      <c r="AG183" s="338"/>
      <c r="AH183" s="338"/>
      <c r="AI183" s="338"/>
      <c r="AJ183" s="338"/>
      <c r="AK183" s="338"/>
      <c r="AL183" s="338"/>
      <c r="AM183" s="338"/>
      <c r="AN183" s="338"/>
      <c r="AO183" s="338"/>
      <c r="AP183" s="338"/>
      <c r="AQ183" s="338"/>
      <c r="AR183" s="338"/>
      <c r="AS183" s="338"/>
      <c r="AT183" s="338"/>
      <c r="AU183" s="338"/>
      <c r="AV183" s="338"/>
      <c r="AW183" s="338"/>
      <c r="AX183" s="338"/>
      <c r="AY183" s="338"/>
      <c r="AZ183" s="338"/>
      <c r="BD183" s="72"/>
      <c r="BK183" s="61"/>
      <c r="BL183" s="201" t="s">
        <v>416</v>
      </c>
    </row>
    <row r="184" spans="1:64" ht="15.75" customHeight="1">
      <c r="A184" s="215"/>
      <c r="B184" s="72"/>
      <c r="I184" s="71"/>
      <c r="L184" s="337"/>
      <c r="M184" s="337"/>
      <c r="N184" s="337"/>
      <c r="O184" s="337" t="s">
        <v>417</v>
      </c>
      <c r="P184" s="338"/>
      <c r="Q184" s="338"/>
      <c r="R184" s="338"/>
      <c r="S184" s="338"/>
      <c r="T184" s="338"/>
      <c r="U184" s="338"/>
      <c r="V184" s="338"/>
      <c r="W184" s="338"/>
      <c r="X184" s="338"/>
      <c r="Y184" s="338"/>
      <c r="Z184" s="338"/>
      <c r="AA184" s="338"/>
      <c r="AB184" s="338"/>
      <c r="AC184" s="338"/>
      <c r="AD184" s="338"/>
      <c r="AE184" s="338"/>
      <c r="AF184" s="338"/>
      <c r="AG184" s="338"/>
      <c r="AH184" s="338"/>
      <c r="AI184" s="338"/>
      <c r="AJ184" s="338"/>
      <c r="AK184" s="338"/>
      <c r="AL184" s="338"/>
      <c r="AM184" s="338"/>
      <c r="AN184" s="338"/>
      <c r="AO184" s="338"/>
      <c r="AP184" s="338"/>
      <c r="AQ184" s="338"/>
      <c r="AR184" s="338"/>
      <c r="AS184" s="338"/>
      <c r="AT184" s="338"/>
      <c r="AU184" s="338"/>
      <c r="AV184" s="338"/>
      <c r="AW184" s="338"/>
      <c r="AX184" s="338"/>
      <c r="AY184" s="338"/>
      <c r="AZ184" s="338"/>
      <c r="BD184" s="72"/>
      <c r="BK184" s="61"/>
      <c r="BL184" s="201" t="s">
        <v>416</v>
      </c>
    </row>
    <row r="185" spans="1:64" ht="15.75" customHeight="1">
      <c r="A185" s="215"/>
      <c r="B185" s="72"/>
      <c r="I185" s="71"/>
      <c r="L185" s="337"/>
      <c r="M185" s="337"/>
      <c r="N185" s="337"/>
      <c r="O185" s="337" t="s">
        <v>418</v>
      </c>
      <c r="P185" s="338"/>
      <c r="Q185" s="338"/>
      <c r="R185" s="338"/>
      <c r="S185" s="338"/>
      <c r="T185" s="338"/>
      <c r="U185" s="338"/>
      <c r="V185" s="338"/>
      <c r="W185" s="338"/>
      <c r="X185" s="338"/>
      <c r="Y185" s="338"/>
      <c r="Z185" s="338"/>
      <c r="AA185" s="338"/>
      <c r="AB185" s="338"/>
      <c r="AC185" s="338"/>
      <c r="AD185" s="338"/>
      <c r="AE185" s="338"/>
      <c r="AF185" s="338"/>
      <c r="AG185" s="338"/>
      <c r="AH185" s="338"/>
      <c r="AI185" s="338"/>
      <c r="AJ185" s="338"/>
      <c r="AK185" s="338"/>
      <c r="AL185" s="338"/>
      <c r="AM185" s="338"/>
      <c r="AN185" s="338"/>
      <c r="AO185" s="338"/>
      <c r="AP185" s="338"/>
      <c r="AQ185" s="338"/>
      <c r="AR185" s="338"/>
      <c r="AS185" s="338"/>
      <c r="AT185" s="338"/>
      <c r="AU185" s="338"/>
      <c r="AV185" s="338"/>
      <c r="AW185" s="338"/>
      <c r="AX185" s="338"/>
      <c r="AY185" s="338"/>
      <c r="AZ185" s="338"/>
      <c r="BD185" s="72"/>
      <c r="BK185" s="61"/>
      <c r="BL185" s="201" t="s">
        <v>416</v>
      </c>
    </row>
    <row r="186" spans="1:64" ht="15.75" customHeight="1">
      <c r="A186" s="215"/>
      <c r="B186" s="72"/>
      <c r="I186" s="71"/>
      <c r="L186" s="337"/>
      <c r="M186" s="337"/>
      <c r="N186" s="337"/>
      <c r="O186" s="337" t="s">
        <v>419</v>
      </c>
      <c r="P186" s="338"/>
      <c r="Q186" s="338"/>
      <c r="R186" s="338"/>
      <c r="S186" s="338"/>
      <c r="T186" s="338"/>
      <c r="U186" s="338"/>
      <c r="V186" s="338"/>
      <c r="W186" s="338"/>
      <c r="X186" s="338"/>
      <c r="Y186" s="338"/>
      <c r="Z186" s="338"/>
      <c r="AA186" s="338"/>
      <c r="AB186" s="338"/>
      <c r="AC186" s="338"/>
      <c r="AD186" s="338"/>
      <c r="AE186" s="338"/>
      <c r="AF186" s="338"/>
      <c r="AG186" s="338"/>
      <c r="AH186" s="338"/>
      <c r="AI186" s="338"/>
      <c r="AJ186" s="338"/>
      <c r="AK186" s="338"/>
      <c r="AL186" s="338"/>
      <c r="AM186" s="338"/>
      <c r="AN186" s="338"/>
      <c r="AO186" s="338"/>
      <c r="AP186" s="338"/>
      <c r="AQ186" s="338"/>
      <c r="AR186" s="338"/>
      <c r="AS186" s="338"/>
      <c r="AT186" s="338"/>
      <c r="AU186" s="338"/>
      <c r="AV186" s="338"/>
      <c r="AW186" s="338"/>
      <c r="AX186" s="338"/>
      <c r="AY186" s="338"/>
      <c r="AZ186" s="338"/>
      <c r="BD186" s="72"/>
      <c r="BK186" s="61"/>
      <c r="BL186" s="201" t="s">
        <v>416</v>
      </c>
    </row>
    <row r="187" spans="1:64" ht="15.75" customHeight="1">
      <c r="A187" s="215"/>
      <c r="B187" s="72"/>
      <c r="I187" s="71"/>
      <c r="L187" s="337"/>
      <c r="M187" s="337"/>
      <c r="N187" s="337"/>
      <c r="O187" s="337" t="s">
        <v>420</v>
      </c>
      <c r="P187" s="338"/>
      <c r="Q187" s="338"/>
      <c r="R187" s="338"/>
      <c r="S187" s="338"/>
      <c r="T187" s="338"/>
      <c r="U187" s="338"/>
      <c r="V187" s="338"/>
      <c r="W187" s="338"/>
      <c r="X187" s="338"/>
      <c r="Y187" s="338"/>
      <c r="Z187" s="338"/>
      <c r="AA187" s="338"/>
      <c r="AB187" s="338"/>
      <c r="AC187" s="338"/>
      <c r="AD187" s="338"/>
      <c r="AE187" s="338"/>
      <c r="AF187" s="338"/>
      <c r="AG187" s="338"/>
      <c r="AH187" s="338"/>
      <c r="AI187" s="338"/>
      <c r="AJ187" s="338"/>
      <c r="AK187" s="338"/>
      <c r="AL187" s="338"/>
      <c r="AM187" s="338"/>
      <c r="AN187" s="338"/>
      <c r="AO187" s="338"/>
      <c r="AP187" s="338"/>
      <c r="AQ187" s="338"/>
      <c r="AR187" s="338"/>
      <c r="AS187" s="338"/>
      <c r="AT187" s="338"/>
      <c r="AU187" s="338"/>
      <c r="AV187" s="338"/>
      <c r="AW187" s="338"/>
      <c r="AX187" s="338"/>
      <c r="AY187" s="338"/>
      <c r="AZ187" s="338"/>
      <c r="BD187" s="72"/>
      <c r="BK187" s="61"/>
      <c r="BL187" s="201" t="s">
        <v>416</v>
      </c>
    </row>
    <row r="188" spans="1:64" ht="15.75" customHeight="1">
      <c r="A188" s="215"/>
      <c r="B188" s="72"/>
      <c r="I188" s="71"/>
      <c r="L188" s="337"/>
      <c r="M188" s="337"/>
      <c r="N188" s="337"/>
      <c r="O188" s="337" t="s">
        <v>421</v>
      </c>
      <c r="P188" s="338"/>
      <c r="Q188" s="338"/>
      <c r="R188" s="338"/>
      <c r="S188" s="338"/>
      <c r="T188" s="338"/>
      <c r="U188" s="338"/>
      <c r="V188" s="338"/>
      <c r="W188" s="338"/>
      <c r="X188" s="338"/>
      <c r="Y188" s="338"/>
      <c r="Z188" s="338"/>
      <c r="AA188" s="338"/>
      <c r="AB188" s="338"/>
      <c r="AC188" s="338"/>
      <c r="AD188" s="338"/>
      <c r="AE188" s="338"/>
      <c r="AF188" s="338"/>
      <c r="AG188" s="338"/>
      <c r="AH188" s="338"/>
      <c r="AI188" s="338"/>
      <c r="AJ188" s="338"/>
      <c r="AK188" s="338"/>
      <c r="AL188" s="338"/>
      <c r="AM188" s="338"/>
      <c r="AN188" s="338"/>
      <c r="AO188" s="338"/>
      <c r="AP188" s="338"/>
      <c r="AQ188" s="338"/>
      <c r="AR188" s="338"/>
      <c r="AS188" s="338"/>
      <c r="AT188" s="338"/>
      <c r="AU188" s="338"/>
      <c r="AV188" s="338"/>
      <c r="AW188" s="338"/>
      <c r="AX188" s="338"/>
      <c r="AY188" s="338"/>
      <c r="AZ188" s="338"/>
      <c r="BD188" s="72"/>
      <c r="BK188" s="61"/>
      <c r="BL188" s="201" t="s">
        <v>416</v>
      </c>
    </row>
    <row r="189" spans="1:64" ht="15.75" customHeight="1">
      <c r="A189" s="215"/>
      <c r="B189" s="72"/>
      <c r="I189" s="71"/>
      <c r="L189" s="337"/>
      <c r="M189" s="337"/>
      <c r="N189" s="337"/>
      <c r="O189" s="337"/>
      <c r="P189" s="338"/>
      <c r="Q189" s="338"/>
      <c r="R189" s="338"/>
      <c r="S189" s="338"/>
      <c r="T189" s="338"/>
      <c r="U189" s="338"/>
      <c r="V189" s="338"/>
      <c r="W189" s="338"/>
      <c r="X189" s="338"/>
      <c r="Y189" s="338"/>
      <c r="Z189" s="338"/>
      <c r="AA189" s="338"/>
      <c r="AB189" s="338"/>
      <c r="AC189" s="338"/>
      <c r="AD189" s="338"/>
      <c r="AE189" s="338"/>
      <c r="AF189" s="338"/>
      <c r="AG189" s="338"/>
      <c r="AH189" s="338"/>
      <c r="AI189" s="338"/>
      <c r="AJ189" s="338"/>
      <c r="AK189" s="338"/>
      <c r="AL189" s="338"/>
      <c r="AM189" s="338"/>
      <c r="AN189" s="338"/>
      <c r="AO189" s="338"/>
      <c r="AP189" s="338"/>
      <c r="AQ189" s="338"/>
      <c r="AR189" s="338"/>
      <c r="AS189" s="338"/>
      <c r="AT189" s="338"/>
      <c r="AU189" s="338"/>
      <c r="AV189" s="338"/>
      <c r="AW189" s="338"/>
      <c r="AX189" s="338"/>
      <c r="AY189" s="338"/>
      <c r="AZ189" s="338"/>
      <c r="BD189" s="72"/>
      <c r="BK189" s="61"/>
      <c r="BL189" s="201" t="s">
        <v>416</v>
      </c>
    </row>
    <row r="190" spans="1:64" ht="15.75" customHeight="1">
      <c r="A190" s="215"/>
      <c r="B190" s="72"/>
      <c r="I190" s="71"/>
      <c r="J190" s="217"/>
      <c r="K190" s="217"/>
      <c r="L190" s="337"/>
      <c r="M190" s="337"/>
      <c r="N190" s="338" t="s">
        <v>341</v>
      </c>
      <c r="O190" s="338"/>
      <c r="P190" s="338"/>
      <c r="Q190" s="338"/>
      <c r="R190" s="338"/>
      <c r="S190" s="338"/>
      <c r="T190" s="338"/>
      <c r="U190" s="338"/>
      <c r="V190" s="338"/>
      <c r="W190" s="338"/>
      <c r="X190" s="338"/>
      <c r="Y190" s="338"/>
      <c r="Z190" s="338"/>
      <c r="AA190" s="338"/>
      <c r="AB190" s="338"/>
      <c r="AC190" s="338"/>
      <c r="AD190" s="338"/>
      <c r="AE190" s="338"/>
      <c r="AF190" s="338"/>
      <c r="AG190" s="338"/>
      <c r="AH190" s="338"/>
      <c r="AI190" s="338"/>
      <c r="AJ190" s="338"/>
      <c r="AK190" s="338"/>
      <c r="AL190" s="338"/>
      <c r="AM190" s="338"/>
      <c r="AN190" s="338"/>
      <c r="AO190" s="338"/>
      <c r="AP190" s="338"/>
      <c r="AQ190" s="338"/>
      <c r="AR190" s="338"/>
      <c r="AS190" s="338"/>
      <c r="AT190" s="338"/>
      <c r="AU190" s="338"/>
      <c r="AV190" s="338"/>
      <c r="AW190" s="338"/>
      <c r="AX190" s="338"/>
      <c r="AY190" s="338"/>
      <c r="AZ190" s="338"/>
      <c r="BD190" s="72"/>
      <c r="BK190" s="61"/>
      <c r="BL190" s="201" t="s">
        <v>416</v>
      </c>
    </row>
    <row r="191" spans="1:64" ht="15.75" customHeight="1">
      <c r="A191" s="215"/>
      <c r="B191" s="72"/>
      <c r="I191" s="71"/>
      <c r="J191" s="217"/>
      <c r="K191" s="217"/>
      <c r="L191" s="337"/>
      <c r="M191" s="337"/>
      <c r="N191" s="338"/>
      <c r="O191" s="338"/>
      <c r="P191" s="338">
        <v>1</v>
      </c>
      <c r="Q191" s="338"/>
      <c r="R191" s="338"/>
      <c r="S191" s="338"/>
      <c r="T191" s="338"/>
      <c r="U191" s="340"/>
      <c r="V191" s="338"/>
      <c r="W191" s="338"/>
      <c r="X191" s="338"/>
      <c r="Y191" s="338"/>
      <c r="Z191" s="338"/>
      <c r="AA191" s="338"/>
      <c r="AB191" s="338"/>
      <c r="AC191" s="338"/>
      <c r="AD191" s="338"/>
      <c r="AE191" s="338"/>
      <c r="AF191" s="338"/>
      <c r="AG191" s="338"/>
      <c r="AH191" s="338"/>
      <c r="AI191" s="338"/>
      <c r="AJ191" s="338"/>
      <c r="AK191" s="338"/>
      <c r="AL191" s="338"/>
      <c r="AM191" s="338"/>
      <c r="AN191" s="338"/>
      <c r="AO191" s="338"/>
      <c r="AP191" s="338"/>
      <c r="AQ191" s="338"/>
      <c r="AR191" s="338"/>
      <c r="AS191" s="338"/>
      <c r="AT191" s="338"/>
      <c r="AU191" s="338"/>
      <c r="AV191" s="338"/>
      <c r="AW191" s="338"/>
      <c r="AX191" s="338"/>
      <c r="AY191" s="338"/>
      <c r="AZ191" s="338"/>
      <c r="BD191" s="72"/>
      <c r="BK191" s="61"/>
      <c r="BL191" s="201" t="s">
        <v>416</v>
      </c>
    </row>
    <row r="192" spans="1:64" ht="15.75" customHeight="1">
      <c r="A192" s="215"/>
      <c r="B192" s="72"/>
      <c r="I192" s="71"/>
      <c r="J192" s="217"/>
      <c r="K192" s="217"/>
      <c r="L192" s="337"/>
      <c r="M192" s="337"/>
      <c r="N192" s="338" t="s">
        <v>343</v>
      </c>
      <c r="O192" s="338"/>
      <c r="P192" s="338"/>
      <c r="Q192" s="338"/>
      <c r="R192" s="338"/>
      <c r="S192" s="338"/>
      <c r="T192" s="338"/>
      <c r="U192" s="338"/>
      <c r="V192" s="338"/>
      <c r="W192" s="338"/>
      <c r="X192" s="338"/>
      <c r="Y192" s="338"/>
      <c r="Z192" s="338"/>
      <c r="AA192" s="338"/>
      <c r="AB192" s="338"/>
      <c r="AC192" s="338"/>
      <c r="AD192" s="338"/>
      <c r="AE192" s="338"/>
      <c r="AF192" s="338"/>
      <c r="AG192" s="338"/>
      <c r="AH192" s="338"/>
      <c r="AI192" s="338"/>
      <c r="AJ192" s="338"/>
      <c r="AK192" s="338"/>
      <c r="AL192" s="338"/>
      <c r="AM192" s="338"/>
      <c r="AN192" s="338"/>
      <c r="AO192" s="338"/>
      <c r="AP192" s="338"/>
      <c r="AQ192" s="338"/>
      <c r="AR192" s="338"/>
      <c r="AS192" s="338"/>
      <c r="AT192" s="338"/>
      <c r="AU192" s="338"/>
      <c r="AV192" s="338"/>
      <c r="AW192" s="338"/>
      <c r="AX192" s="338"/>
      <c r="AY192" s="338"/>
      <c r="AZ192" s="338"/>
      <c r="BD192" s="72"/>
      <c r="BK192" s="61"/>
      <c r="BL192" s="201" t="s">
        <v>416</v>
      </c>
    </row>
    <row r="193" spans="1:64" ht="15.75" customHeight="1">
      <c r="A193" s="215"/>
      <c r="B193" s="72"/>
      <c r="I193" s="71"/>
      <c r="J193" s="217"/>
      <c r="K193" s="217"/>
      <c r="L193" s="337"/>
      <c r="M193" s="337"/>
      <c r="N193" s="338"/>
      <c r="O193" s="338"/>
      <c r="P193" s="338" t="s">
        <v>422</v>
      </c>
      <c r="Q193" s="338"/>
      <c r="R193" s="338"/>
      <c r="S193" s="338"/>
      <c r="T193" s="338"/>
      <c r="U193" s="338"/>
      <c r="V193" s="338"/>
      <c r="W193" s="338"/>
      <c r="X193" s="338"/>
      <c r="Y193" s="338"/>
      <c r="Z193" s="338"/>
      <c r="AA193" s="338"/>
      <c r="AB193" s="338"/>
      <c r="AC193" s="338"/>
      <c r="AD193" s="338"/>
      <c r="AE193" s="338"/>
      <c r="AF193" s="338"/>
      <c r="AG193" s="338"/>
      <c r="AH193" s="338"/>
      <c r="AI193" s="338"/>
      <c r="AJ193" s="338"/>
      <c r="AK193" s="338"/>
      <c r="AL193" s="338"/>
      <c r="AM193" s="338"/>
      <c r="AN193" s="338"/>
      <c r="AO193" s="338"/>
      <c r="AP193" s="338"/>
      <c r="AQ193" s="338"/>
      <c r="AR193" s="338"/>
      <c r="AS193" s="338"/>
      <c r="AT193" s="338"/>
      <c r="AU193" s="338"/>
      <c r="AV193" s="338"/>
      <c r="AW193" s="338"/>
      <c r="AX193" s="338"/>
      <c r="AY193" s="338"/>
      <c r="AZ193" s="338"/>
      <c r="BD193" s="72"/>
      <c r="BK193" s="61"/>
      <c r="BL193" s="201" t="s">
        <v>416</v>
      </c>
    </row>
    <row r="194" spans="1:64" ht="15.75" customHeight="1">
      <c r="A194" s="215"/>
      <c r="B194" s="72"/>
      <c r="I194" s="71"/>
      <c r="J194" s="217"/>
      <c r="K194" s="217"/>
      <c r="L194" s="337"/>
      <c r="M194" s="337"/>
      <c r="N194" s="338" t="s">
        <v>345</v>
      </c>
      <c r="O194" s="338"/>
      <c r="P194" s="338"/>
      <c r="Q194" s="338"/>
      <c r="R194" s="338"/>
      <c r="S194" s="338"/>
      <c r="T194" s="338"/>
      <c r="U194" s="338"/>
      <c r="V194" s="338"/>
      <c r="W194" s="338"/>
      <c r="X194" s="338"/>
      <c r="Y194" s="338"/>
      <c r="Z194" s="338"/>
      <c r="AA194" s="338"/>
      <c r="AB194" s="338"/>
      <c r="AC194" s="338"/>
      <c r="AD194" s="338"/>
      <c r="AE194" s="338"/>
      <c r="AF194" s="338"/>
      <c r="AG194" s="338"/>
      <c r="AH194" s="338"/>
      <c r="AI194" s="338"/>
      <c r="AJ194" s="338"/>
      <c r="AK194" s="338"/>
      <c r="AL194" s="338"/>
      <c r="AM194" s="338"/>
      <c r="AN194" s="338"/>
      <c r="AO194" s="338"/>
      <c r="AP194" s="338"/>
      <c r="AQ194" s="338"/>
      <c r="AR194" s="338"/>
      <c r="AS194" s="338"/>
      <c r="AT194" s="338"/>
      <c r="AU194" s="338"/>
      <c r="AV194" s="338"/>
      <c r="AW194" s="338"/>
      <c r="AX194" s="338"/>
      <c r="AY194" s="338"/>
      <c r="AZ194" s="338"/>
      <c r="BD194" s="72"/>
      <c r="BK194" s="61"/>
      <c r="BL194" s="201" t="s">
        <v>416</v>
      </c>
    </row>
    <row r="195" spans="1:64" ht="15.75" customHeight="1">
      <c r="A195" s="215"/>
      <c r="B195" s="72"/>
      <c r="I195" s="71"/>
      <c r="J195" s="217"/>
      <c r="K195" s="217"/>
      <c r="L195" s="337"/>
      <c r="M195" s="337"/>
      <c r="N195" s="338"/>
      <c r="O195" s="338"/>
      <c r="P195" s="338" t="s">
        <v>415</v>
      </c>
      <c r="Q195" s="338"/>
      <c r="R195" s="338"/>
      <c r="S195" s="338"/>
      <c r="T195" s="338"/>
      <c r="U195" s="338"/>
      <c r="V195" s="338"/>
      <c r="W195" s="338"/>
      <c r="X195" s="338"/>
      <c r="Y195" s="338"/>
      <c r="Z195" s="338" t="s">
        <v>326</v>
      </c>
      <c r="AA195" s="338"/>
      <c r="AB195" s="338"/>
      <c r="AC195" s="339"/>
      <c r="AD195" s="338"/>
      <c r="AE195" s="338"/>
      <c r="AF195" s="338" t="s">
        <v>423</v>
      </c>
      <c r="AG195" s="338"/>
      <c r="AH195" s="338"/>
      <c r="AI195" s="338"/>
      <c r="AJ195" s="338"/>
      <c r="AK195" s="338"/>
      <c r="AL195" s="338"/>
      <c r="AM195" s="338"/>
      <c r="AN195" s="338"/>
      <c r="AO195" s="338"/>
      <c r="AP195" s="338"/>
      <c r="AQ195" s="338"/>
      <c r="AR195" s="338"/>
      <c r="AS195" s="338"/>
      <c r="AT195" s="338"/>
      <c r="AU195" s="338"/>
      <c r="AV195" s="338"/>
      <c r="AW195" s="338"/>
      <c r="AX195" s="338"/>
      <c r="AY195" s="338"/>
      <c r="AZ195" s="338"/>
      <c r="BD195" s="72"/>
      <c r="BK195" s="61"/>
      <c r="BL195" s="201" t="s">
        <v>416</v>
      </c>
    </row>
    <row r="196" spans="1:64" ht="15.75" customHeight="1">
      <c r="A196" s="215"/>
      <c r="B196" s="72"/>
      <c r="I196" s="71"/>
      <c r="J196" s="217"/>
      <c r="K196" s="217"/>
      <c r="L196" s="337"/>
      <c r="M196" s="337"/>
      <c r="N196" s="338"/>
      <c r="O196" s="338"/>
      <c r="P196" s="338" t="s">
        <v>417</v>
      </c>
      <c r="Q196" s="338"/>
      <c r="R196" s="338"/>
      <c r="S196" s="338"/>
      <c r="T196" s="338"/>
      <c r="U196" s="338"/>
      <c r="V196" s="338"/>
      <c r="W196" s="338"/>
      <c r="X196" s="338"/>
      <c r="Y196" s="338"/>
      <c r="Z196" s="338" t="s">
        <v>326</v>
      </c>
      <c r="AA196" s="338"/>
      <c r="AB196" s="338"/>
      <c r="AC196" s="339"/>
      <c r="AD196" s="338"/>
      <c r="AE196" s="338"/>
      <c r="AF196" s="338" t="s">
        <v>424</v>
      </c>
      <c r="AG196" s="338"/>
      <c r="AH196" s="338"/>
      <c r="AI196" s="338"/>
      <c r="AJ196" s="338"/>
      <c r="AK196" s="338"/>
      <c r="AL196" s="338"/>
      <c r="AM196" s="338"/>
      <c r="AN196" s="338"/>
      <c r="AO196" s="338"/>
      <c r="AP196" s="338"/>
      <c r="AQ196" s="338"/>
      <c r="AR196" s="338"/>
      <c r="AS196" s="338"/>
      <c r="AT196" s="338"/>
      <c r="AU196" s="338"/>
      <c r="AV196" s="338"/>
      <c r="AW196" s="338"/>
      <c r="AX196" s="338"/>
      <c r="AY196" s="338"/>
      <c r="AZ196" s="338"/>
      <c r="BD196" s="72"/>
      <c r="BK196" s="61"/>
      <c r="BL196" s="201" t="s">
        <v>416</v>
      </c>
    </row>
    <row r="197" spans="1:64" ht="15.75" customHeight="1">
      <c r="A197" s="215"/>
      <c r="B197" s="72"/>
      <c r="I197" s="71"/>
      <c r="J197" s="217"/>
      <c r="K197" s="217"/>
      <c r="L197" s="337"/>
      <c r="M197" s="337"/>
      <c r="N197" s="338"/>
      <c r="O197" s="338"/>
      <c r="P197" s="338" t="s">
        <v>418</v>
      </c>
      <c r="Q197" s="338"/>
      <c r="R197" s="338"/>
      <c r="S197" s="338"/>
      <c r="T197" s="338"/>
      <c r="U197" s="338"/>
      <c r="V197" s="338"/>
      <c r="W197" s="338"/>
      <c r="X197" s="338"/>
      <c r="Y197" s="338"/>
      <c r="Z197" s="338" t="s">
        <v>326</v>
      </c>
      <c r="AA197" s="338"/>
      <c r="AB197" s="338"/>
      <c r="AC197" s="339"/>
      <c r="AD197" s="338"/>
      <c r="AE197" s="338"/>
      <c r="AF197" s="338" t="s">
        <v>425</v>
      </c>
      <c r="AG197" s="338"/>
      <c r="AH197" s="338"/>
      <c r="AI197" s="338"/>
      <c r="AJ197" s="338"/>
      <c r="AK197" s="338"/>
      <c r="AL197" s="338"/>
      <c r="AM197" s="338"/>
      <c r="AN197" s="338"/>
      <c r="AO197" s="338"/>
      <c r="AP197" s="338"/>
      <c r="AQ197" s="338"/>
      <c r="AR197" s="338"/>
      <c r="AS197" s="338"/>
      <c r="AT197" s="338"/>
      <c r="AU197" s="338"/>
      <c r="AV197" s="338"/>
      <c r="AW197" s="338"/>
      <c r="AX197" s="338"/>
      <c r="AY197" s="338"/>
      <c r="AZ197" s="338"/>
      <c r="BD197" s="72"/>
      <c r="BK197" s="61"/>
      <c r="BL197" s="201" t="s">
        <v>416</v>
      </c>
    </row>
    <row r="198" spans="1:64" ht="15.75" customHeight="1">
      <c r="A198" s="215"/>
      <c r="B198" s="72"/>
      <c r="I198" s="71"/>
      <c r="J198" s="217"/>
      <c r="K198" s="217"/>
      <c r="L198" s="337"/>
      <c r="M198" s="337"/>
      <c r="N198" s="338"/>
      <c r="O198" s="338"/>
      <c r="P198" s="337" t="s">
        <v>419</v>
      </c>
      <c r="Q198" s="338"/>
      <c r="R198" s="338"/>
      <c r="S198" s="338"/>
      <c r="T198" s="338"/>
      <c r="U198" s="338"/>
      <c r="V198" s="338"/>
      <c r="W198" s="338"/>
      <c r="X198" s="338"/>
      <c r="Y198" s="338"/>
      <c r="Z198" s="338" t="s">
        <v>326</v>
      </c>
      <c r="AA198" s="338"/>
      <c r="AB198" s="338"/>
      <c r="AC198" s="339"/>
      <c r="AD198" s="338"/>
      <c r="AE198" s="338"/>
      <c r="AF198" s="338" t="s">
        <v>426</v>
      </c>
      <c r="AG198" s="338"/>
      <c r="AH198" s="338"/>
      <c r="AI198" s="338"/>
      <c r="AJ198" s="338"/>
      <c r="AK198" s="338"/>
      <c r="AL198" s="338"/>
      <c r="AM198" s="338"/>
      <c r="AN198" s="338"/>
      <c r="AO198" s="338"/>
      <c r="AP198" s="338"/>
      <c r="AQ198" s="338"/>
      <c r="AR198" s="338"/>
      <c r="AS198" s="338"/>
      <c r="AT198" s="338"/>
      <c r="AU198" s="338"/>
      <c r="AV198" s="338"/>
      <c r="AW198" s="338"/>
      <c r="AX198" s="338"/>
      <c r="AY198" s="338"/>
      <c r="AZ198" s="338"/>
      <c r="BD198" s="72"/>
      <c r="BK198" s="61"/>
      <c r="BL198" s="201" t="s">
        <v>416</v>
      </c>
    </row>
    <row r="199" spans="1:64" ht="15.75" customHeight="1">
      <c r="A199" s="215"/>
      <c r="B199" s="72"/>
      <c r="I199" s="71"/>
      <c r="J199" s="217"/>
      <c r="K199" s="217"/>
      <c r="L199" s="337"/>
      <c r="M199" s="337"/>
      <c r="N199" s="338"/>
      <c r="O199" s="338"/>
      <c r="P199" s="337" t="s">
        <v>420</v>
      </c>
      <c r="Q199" s="338"/>
      <c r="R199" s="338"/>
      <c r="S199" s="338"/>
      <c r="T199" s="338"/>
      <c r="U199" s="338"/>
      <c r="V199" s="338"/>
      <c r="W199" s="338"/>
      <c r="X199" s="338"/>
      <c r="Y199" s="338"/>
      <c r="Z199" s="338" t="s">
        <v>326</v>
      </c>
      <c r="AA199" s="338"/>
      <c r="AB199" s="338"/>
      <c r="AC199" s="339"/>
      <c r="AD199" s="338"/>
      <c r="AE199" s="338"/>
      <c r="AF199" s="338" t="s">
        <v>427</v>
      </c>
      <c r="AG199" s="338"/>
      <c r="AH199" s="338"/>
      <c r="AI199" s="338"/>
      <c r="AJ199" s="338"/>
      <c r="AK199" s="338"/>
      <c r="AL199" s="338"/>
      <c r="AM199" s="338"/>
      <c r="AN199" s="338"/>
      <c r="AO199" s="338"/>
      <c r="AP199" s="338"/>
      <c r="AQ199" s="338"/>
      <c r="AR199" s="338"/>
      <c r="AS199" s="338"/>
      <c r="AT199" s="338"/>
      <c r="AU199" s="338"/>
      <c r="AV199" s="338"/>
      <c r="AW199" s="338"/>
      <c r="AX199" s="338"/>
      <c r="AY199" s="338"/>
      <c r="AZ199" s="338"/>
      <c r="BD199" s="72"/>
      <c r="BK199" s="61"/>
      <c r="BL199" s="201" t="s">
        <v>416</v>
      </c>
    </row>
    <row r="200" spans="1:64" ht="15.75" customHeight="1">
      <c r="A200" s="215"/>
      <c r="B200" s="72"/>
      <c r="I200" s="71"/>
      <c r="J200" s="217"/>
      <c r="K200" s="217"/>
      <c r="L200" s="337"/>
      <c r="M200" s="337"/>
      <c r="N200" s="338"/>
      <c r="O200" s="338"/>
      <c r="P200" s="337" t="s">
        <v>421</v>
      </c>
      <c r="Q200" s="338"/>
      <c r="R200" s="338"/>
      <c r="S200" s="338"/>
      <c r="T200" s="338"/>
      <c r="U200" s="338"/>
      <c r="V200" s="338"/>
      <c r="W200" s="338"/>
      <c r="X200" s="338"/>
      <c r="Y200" s="338"/>
      <c r="Z200" s="338" t="s">
        <v>326</v>
      </c>
      <c r="AA200" s="338"/>
      <c r="AB200" s="338"/>
      <c r="AC200" s="339"/>
      <c r="AD200" s="338"/>
      <c r="AE200" s="338"/>
      <c r="AF200" s="338" t="s">
        <v>428</v>
      </c>
      <c r="AG200" s="338"/>
      <c r="AH200" s="338"/>
      <c r="AI200" s="338"/>
      <c r="AJ200" s="338"/>
      <c r="AK200" s="338"/>
      <c r="AL200" s="338"/>
      <c r="AM200" s="338"/>
      <c r="AN200" s="338"/>
      <c r="AO200" s="338"/>
      <c r="AP200" s="338"/>
      <c r="AQ200" s="338"/>
      <c r="AR200" s="338"/>
      <c r="AS200" s="338"/>
      <c r="AT200" s="338"/>
      <c r="AU200" s="338"/>
      <c r="AV200" s="338"/>
      <c r="AW200" s="338"/>
      <c r="AX200" s="338"/>
      <c r="AY200" s="338"/>
      <c r="AZ200" s="338"/>
      <c r="BD200" s="72"/>
      <c r="BK200" s="61"/>
      <c r="BL200" s="201" t="s">
        <v>416</v>
      </c>
    </row>
    <row r="201" spans="1:64" ht="15.75" customHeight="1">
      <c r="A201" s="215"/>
      <c r="B201" s="72"/>
      <c r="I201" s="71"/>
      <c r="L201" s="338"/>
      <c r="M201" s="338"/>
      <c r="N201" s="338"/>
      <c r="O201" s="338"/>
      <c r="P201" s="338"/>
      <c r="Q201" s="338"/>
      <c r="R201" s="338"/>
      <c r="S201" s="338"/>
      <c r="T201" s="338"/>
      <c r="U201" s="338"/>
      <c r="V201" s="338"/>
      <c r="W201" s="338"/>
      <c r="X201" s="338"/>
      <c r="Y201" s="338"/>
      <c r="Z201" s="338"/>
      <c r="AA201" s="338"/>
      <c r="AB201" s="338"/>
      <c r="AC201" s="338"/>
      <c r="AD201" s="338"/>
      <c r="AE201" s="338"/>
      <c r="AF201" s="338"/>
      <c r="AG201" s="338"/>
      <c r="AH201" s="338"/>
      <c r="AI201" s="338"/>
      <c r="AJ201" s="338"/>
      <c r="AK201" s="338"/>
      <c r="AL201" s="338"/>
      <c r="AM201" s="338"/>
      <c r="AN201" s="338"/>
      <c r="AO201" s="338"/>
      <c r="AP201" s="338"/>
      <c r="AQ201" s="338"/>
      <c r="AR201" s="338"/>
      <c r="AS201" s="338"/>
      <c r="AT201" s="338"/>
      <c r="AU201" s="338"/>
      <c r="AV201" s="338"/>
      <c r="AW201" s="338"/>
      <c r="AX201" s="338"/>
      <c r="AY201" s="338"/>
      <c r="AZ201" s="338"/>
      <c r="BD201" s="72"/>
      <c r="BK201" s="61"/>
      <c r="BL201" s="201" t="s">
        <v>416</v>
      </c>
    </row>
    <row r="202" spans="1:64" ht="15.75" customHeight="1">
      <c r="A202" s="215"/>
      <c r="B202" s="72"/>
      <c r="I202" s="71"/>
      <c r="L202" s="338"/>
      <c r="M202" s="338"/>
      <c r="N202" s="338" t="s">
        <v>278</v>
      </c>
      <c r="O202" s="338" t="s">
        <v>429</v>
      </c>
      <c r="P202" s="338"/>
      <c r="Q202" s="338"/>
      <c r="R202" s="338"/>
      <c r="S202" s="338"/>
      <c r="T202" s="338"/>
      <c r="U202" s="338"/>
      <c r="V202" s="338"/>
      <c r="W202" s="338"/>
      <c r="X202" s="338"/>
      <c r="Y202" s="338"/>
      <c r="Z202" s="338"/>
      <c r="AA202" s="338"/>
      <c r="AB202" s="338"/>
      <c r="AC202" s="338"/>
      <c r="AD202" s="338"/>
      <c r="AE202" s="338"/>
      <c r="AF202" s="338"/>
      <c r="AG202" s="338"/>
      <c r="AH202" s="338"/>
      <c r="AI202" s="338"/>
      <c r="AJ202" s="338"/>
      <c r="AK202" s="338"/>
      <c r="AL202" s="338"/>
      <c r="AM202" s="338"/>
      <c r="AN202" s="338"/>
      <c r="AO202" s="338"/>
      <c r="AP202" s="338"/>
      <c r="AQ202" s="338"/>
      <c r="AR202" s="338"/>
      <c r="AS202" s="338"/>
      <c r="AT202" s="338"/>
      <c r="AU202" s="338"/>
      <c r="AV202" s="338"/>
      <c r="AW202" s="338"/>
      <c r="AX202" s="338"/>
      <c r="AY202" s="338"/>
      <c r="AZ202" s="338"/>
      <c r="BD202" s="72"/>
      <c r="BK202" s="61"/>
      <c r="BL202" s="201" t="s">
        <v>416</v>
      </c>
    </row>
    <row r="203" spans="1:64" ht="15.75" customHeight="1">
      <c r="A203" s="215"/>
      <c r="B203" s="72"/>
      <c r="I203" s="71"/>
      <c r="J203" s="217"/>
      <c r="BD203" s="72"/>
      <c r="BK203" s="61"/>
    </row>
    <row r="204" spans="1:64" ht="15.75" customHeight="1">
      <c r="A204" s="215"/>
      <c r="B204" s="72"/>
      <c r="I204" s="71"/>
      <c r="J204" s="217"/>
      <c r="K204" s="217" t="s">
        <v>430</v>
      </c>
      <c r="L204" s="217"/>
      <c r="M204" s="217" t="s">
        <v>431</v>
      </c>
      <c r="N204" s="217"/>
      <c r="O204" s="217"/>
      <c r="BD204" s="72" t="s">
        <v>422</v>
      </c>
      <c r="BK204" s="61"/>
    </row>
    <row r="205" spans="1:64" ht="15.75" customHeight="1">
      <c r="A205" s="215"/>
      <c r="B205" s="72"/>
      <c r="I205" s="71"/>
      <c r="J205" s="217"/>
      <c r="K205" s="217"/>
      <c r="L205" s="217"/>
      <c r="M205" s="217" t="s">
        <v>432</v>
      </c>
      <c r="N205" s="217"/>
      <c r="O205" s="217"/>
      <c r="BD205" s="72"/>
      <c r="BK205" s="61"/>
    </row>
    <row r="206" spans="1:64" ht="15.75" customHeight="1">
      <c r="A206" s="215"/>
      <c r="B206" s="72"/>
      <c r="I206" s="71"/>
      <c r="BD206" s="72"/>
      <c r="BK206" s="61"/>
    </row>
    <row r="207" spans="1:64" ht="15.75" customHeight="1">
      <c r="A207" s="215"/>
      <c r="B207" s="72"/>
      <c r="I207" s="71"/>
      <c r="J207" s="217"/>
      <c r="K207" s="217"/>
      <c r="L207" s="217"/>
      <c r="M207" s="217"/>
      <c r="N207" s="217"/>
      <c r="O207" s="217"/>
      <c r="BD207" s="72"/>
      <c r="BK207" s="61"/>
    </row>
    <row r="208" spans="1:64" ht="15.75" customHeight="1">
      <c r="A208" s="215"/>
      <c r="B208" s="72"/>
      <c r="I208" s="71"/>
      <c r="J208" s="216" t="s">
        <v>289</v>
      </c>
      <c r="K208" s="11" t="s">
        <v>433</v>
      </c>
      <c r="BD208" s="72"/>
      <c r="BK208" s="61"/>
    </row>
    <row r="209" spans="1:63" ht="15.75" customHeight="1">
      <c r="A209" s="215"/>
      <c r="B209" s="72"/>
      <c r="I209" s="71"/>
      <c r="J209" s="217"/>
      <c r="K209" s="11" t="s">
        <v>434</v>
      </c>
      <c r="BD209" s="72"/>
      <c r="BK209" s="61"/>
    </row>
    <row r="210" spans="1:63" ht="15.75" customHeight="1">
      <c r="A210" s="215"/>
      <c r="B210" s="72"/>
      <c r="I210" s="71"/>
      <c r="J210" s="217"/>
      <c r="K210" s="217" t="s">
        <v>435</v>
      </c>
      <c r="L210" s="217"/>
      <c r="M210" s="217" t="s">
        <v>436</v>
      </c>
      <c r="N210" s="217"/>
      <c r="O210" s="217"/>
      <c r="BD210" s="72"/>
      <c r="BK210" s="61"/>
    </row>
    <row r="211" spans="1:63" ht="15.75" customHeight="1">
      <c r="A211" s="215"/>
      <c r="B211" s="72"/>
      <c r="I211" s="71"/>
      <c r="J211" s="217"/>
      <c r="M211" s="11" t="s">
        <v>437</v>
      </c>
      <c r="BD211" s="72"/>
      <c r="BK211" s="61"/>
    </row>
    <row r="212" spans="1:63" ht="15.75" customHeight="1">
      <c r="A212" s="215"/>
      <c r="B212" s="72"/>
      <c r="I212" s="71"/>
      <c r="J212" s="217"/>
      <c r="M212" s="11" t="s">
        <v>309</v>
      </c>
      <c r="P212" s="11" t="s">
        <v>438</v>
      </c>
      <c r="BD212" s="72"/>
      <c r="BK212" s="61"/>
    </row>
    <row r="213" spans="1:63" ht="15.75" customHeight="1">
      <c r="A213" s="215"/>
      <c r="B213" s="72"/>
      <c r="I213" s="71"/>
      <c r="J213" s="217"/>
      <c r="BD213" s="72"/>
      <c r="BK213" s="61"/>
    </row>
    <row r="214" spans="1:63" ht="15.75" customHeight="1">
      <c r="A214" s="215"/>
      <c r="B214" s="72"/>
      <c r="I214" s="71"/>
      <c r="J214" s="217"/>
      <c r="K214" s="11" t="s">
        <v>439</v>
      </c>
      <c r="BD214" s="72"/>
      <c r="BK214" s="61"/>
    </row>
    <row r="215" spans="1:63" ht="15.75" customHeight="1">
      <c r="A215" s="215"/>
      <c r="B215" s="72"/>
      <c r="I215" s="71"/>
      <c r="J215" s="217"/>
      <c r="K215" s="217" t="s">
        <v>440</v>
      </c>
      <c r="L215" s="217"/>
      <c r="M215" s="217" t="s">
        <v>441</v>
      </c>
      <c r="N215" s="217"/>
      <c r="O215" s="217"/>
      <c r="BD215" s="72"/>
      <c r="BK215" s="61"/>
    </row>
    <row r="216" spans="1:63" ht="15.75" customHeight="1">
      <c r="A216" s="215"/>
      <c r="B216" s="72"/>
      <c r="I216" s="71"/>
      <c r="J216" s="217"/>
      <c r="M216" s="217" t="s">
        <v>320</v>
      </c>
      <c r="O216" s="11" t="s">
        <v>442</v>
      </c>
      <c r="BD216" s="72"/>
      <c r="BK216" s="61"/>
    </row>
    <row r="217" spans="1:63" ht="15.75" customHeight="1">
      <c r="A217" s="215"/>
      <c r="B217" s="72"/>
      <c r="I217" s="71"/>
      <c r="J217" s="217"/>
      <c r="O217" s="11" t="s">
        <v>341</v>
      </c>
      <c r="S217" s="11" t="s">
        <v>443</v>
      </c>
      <c r="X217" s="11" t="s">
        <v>444</v>
      </c>
      <c r="BD217" s="72"/>
      <c r="BK217" s="61"/>
    </row>
    <row r="218" spans="1:63" ht="15.75" customHeight="1">
      <c r="A218" s="215"/>
      <c r="B218" s="72" t="s">
        <v>445</v>
      </c>
      <c r="I218" s="71"/>
      <c r="J218" s="217"/>
      <c r="Q218" s="11" t="s">
        <v>446</v>
      </c>
      <c r="BD218" s="72"/>
      <c r="BK218" s="61"/>
    </row>
    <row r="219" spans="1:63" ht="15.75" customHeight="1">
      <c r="A219" s="215"/>
      <c r="B219" s="72" t="s">
        <v>447</v>
      </c>
      <c r="I219" s="71"/>
      <c r="J219" s="217"/>
      <c r="Q219" s="11" t="s">
        <v>448</v>
      </c>
      <c r="BD219" s="72"/>
      <c r="BK219" s="61"/>
    </row>
    <row r="220" spans="1:63" ht="15.75" customHeight="1">
      <c r="A220" s="215"/>
      <c r="B220" s="72" t="s">
        <v>291</v>
      </c>
      <c r="I220" s="71"/>
      <c r="J220" s="217"/>
      <c r="Q220" s="11" t="s">
        <v>449</v>
      </c>
      <c r="BD220" s="72"/>
      <c r="BK220" s="61"/>
    </row>
    <row r="221" spans="1:63" ht="15.75" customHeight="1">
      <c r="A221" s="215"/>
      <c r="B221" s="72" t="s">
        <v>450</v>
      </c>
      <c r="I221" s="71"/>
      <c r="J221" s="217"/>
      <c r="Q221" s="11" t="s">
        <v>451</v>
      </c>
      <c r="BD221" s="72"/>
      <c r="BK221" s="61"/>
    </row>
    <row r="222" spans="1:63" ht="15.75" customHeight="1">
      <c r="A222" s="215"/>
      <c r="B222" s="72" t="s">
        <v>452</v>
      </c>
      <c r="I222" s="71"/>
      <c r="J222" s="217"/>
      <c r="Q222" s="11" t="s">
        <v>453</v>
      </c>
      <c r="BD222" s="72"/>
      <c r="BK222" s="61"/>
    </row>
    <row r="223" spans="1:63" ht="15.75" customHeight="1">
      <c r="A223" s="215"/>
      <c r="B223" s="72"/>
      <c r="I223" s="71"/>
      <c r="J223" s="217"/>
      <c r="Q223" s="11" t="s">
        <v>454</v>
      </c>
      <c r="BD223" s="72"/>
      <c r="BK223" s="61"/>
    </row>
    <row r="224" spans="1:63" ht="15.75" customHeight="1">
      <c r="A224" s="215"/>
      <c r="B224" s="72"/>
      <c r="I224" s="71"/>
      <c r="J224" s="217"/>
      <c r="Q224" s="11" t="s">
        <v>455</v>
      </c>
      <c r="BD224" s="72"/>
      <c r="BK224" s="61"/>
    </row>
    <row r="225" spans="1:63" ht="15.75" customHeight="1">
      <c r="A225" s="215"/>
      <c r="B225" s="72"/>
      <c r="I225" s="71"/>
      <c r="J225" s="217"/>
      <c r="Q225" s="11" t="s">
        <v>456</v>
      </c>
      <c r="BD225" s="72"/>
      <c r="BK225" s="61"/>
    </row>
    <row r="226" spans="1:63" ht="15.75" customHeight="1">
      <c r="A226" s="215"/>
      <c r="B226" s="72"/>
      <c r="I226" s="71"/>
      <c r="J226" s="217"/>
      <c r="O226" s="11" t="s">
        <v>343</v>
      </c>
      <c r="BD226" s="72"/>
      <c r="BK226" s="61"/>
    </row>
    <row r="227" spans="1:63" ht="15.75" customHeight="1">
      <c r="A227" s="215"/>
      <c r="B227" s="72"/>
      <c r="I227" s="71"/>
      <c r="J227" s="217"/>
      <c r="Q227" s="11" t="s">
        <v>457</v>
      </c>
      <c r="Y227" s="11" t="s">
        <v>458</v>
      </c>
      <c r="BD227" s="72"/>
      <c r="BK227" s="61"/>
    </row>
    <row r="228" spans="1:63" ht="15.75" customHeight="1">
      <c r="A228" s="215"/>
      <c r="B228" s="72"/>
      <c r="I228" s="71"/>
      <c r="J228" s="217"/>
      <c r="Q228" s="11" t="s">
        <v>459</v>
      </c>
      <c r="Y228" s="11" t="s">
        <v>460</v>
      </c>
      <c r="BD228" s="72"/>
      <c r="BK228" s="61"/>
    </row>
    <row r="229" spans="1:63" ht="15.75" customHeight="1">
      <c r="A229" s="215"/>
      <c r="B229" s="72"/>
      <c r="I229" s="71"/>
      <c r="J229" s="217"/>
      <c r="Q229" s="11" t="s">
        <v>461</v>
      </c>
      <c r="BD229" s="72"/>
      <c r="BK229" s="61"/>
    </row>
    <row r="230" spans="1:63" ht="15.75" customHeight="1">
      <c r="A230" s="215"/>
      <c r="B230" s="72"/>
      <c r="I230" s="71"/>
      <c r="J230" s="217"/>
      <c r="R230" s="11" t="s">
        <v>341</v>
      </c>
      <c r="BD230" s="72"/>
      <c r="BK230" s="61"/>
    </row>
    <row r="231" spans="1:63" ht="15.75" customHeight="1">
      <c r="A231" s="215"/>
      <c r="B231" s="72"/>
      <c r="I231" s="71"/>
      <c r="J231" s="217"/>
      <c r="T231" s="11" t="s">
        <v>462</v>
      </c>
      <c r="AF231" s="11" t="s">
        <v>463</v>
      </c>
      <c r="AJ231" s="11" t="s">
        <v>464</v>
      </c>
      <c r="BD231" s="72"/>
      <c r="BK231" s="61"/>
    </row>
    <row r="232" spans="1:63" ht="15.75" customHeight="1">
      <c r="A232" s="215"/>
      <c r="B232" s="72"/>
      <c r="I232" s="71"/>
      <c r="J232" s="217"/>
      <c r="R232" s="11" t="s">
        <v>343</v>
      </c>
      <c r="BD232" s="72"/>
      <c r="BK232" s="61"/>
    </row>
    <row r="233" spans="1:63" ht="15.75" customHeight="1">
      <c r="A233" s="215"/>
      <c r="B233" s="72"/>
      <c r="I233" s="71"/>
      <c r="J233" s="217"/>
      <c r="T233" s="11" t="s">
        <v>465</v>
      </c>
      <c r="AB233" s="11" t="s">
        <v>466</v>
      </c>
      <c r="BD233" s="72"/>
      <c r="BK233" s="61"/>
    </row>
    <row r="234" spans="1:63" ht="15.75" customHeight="1">
      <c r="A234" s="215"/>
      <c r="B234" s="72"/>
      <c r="I234" s="71"/>
      <c r="J234" s="217"/>
      <c r="T234" s="11" t="s">
        <v>467</v>
      </c>
      <c r="AB234" s="11" t="s">
        <v>468</v>
      </c>
      <c r="BD234" s="72"/>
      <c r="BK234" s="61"/>
    </row>
    <row r="235" spans="1:63" ht="15.75" customHeight="1">
      <c r="A235" s="215"/>
      <c r="B235" s="72"/>
      <c r="I235" s="71"/>
      <c r="J235" s="217"/>
      <c r="T235" s="11" t="s">
        <v>469</v>
      </c>
      <c r="AB235" s="11" t="s">
        <v>470</v>
      </c>
      <c r="BD235" s="72"/>
      <c r="BK235" s="61"/>
    </row>
    <row r="236" spans="1:63" ht="15.75" customHeight="1">
      <c r="A236" s="215"/>
      <c r="B236" s="72"/>
      <c r="I236" s="71"/>
      <c r="J236" s="217"/>
      <c r="R236" s="11" t="s">
        <v>345</v>
      </c>
      <c r="BD236" s="72"/>
      <c r="BK236" s="61"/>
    </row>
    <row r="237" spans="1:63" ht="15.75" customHeight="1">
      <c r="A237" s="215"/>
      <c r="B237" s="72"/>
      <c r="I237" s="71"/>
      <c r="J237" s="217"/>
      <c r="U237" s="11" t="s">
        <v>471</v>
      </c>
      <c r="AD237" s="11" t="s">
        <v>326</v>
      </c>
      <c r="AH237" s="11" t="s">
        <v>427</v>
      </c>
      <c r="BD237" s="72"/>
      <c r="BK237" s="61"/>
    </row>
    <row r="238" spans="1:63" ht="15.75" customHeight="1">
      <c r="A238" s="215"/>
      <c r="B238" s="72"/>
      <c r="I238" s="71"/>
      <c r="J238" s="217"/>
      <c r="S238" s="11" t="s">
        <v>348</v>
      </c>
      <c r="U238" s="11" t="s">
        <v>472</v>
      </c>
      <c r="AD238" s="11" t="s">
        <v>326</v>
      </c>
      <c r="AH238" s="11" t="s">
        <v>473</v>
      </c>
      <c r="BD238" s="72"/>
      <c r="BK238" s="61"/>
    </row>
    <row r="239" spans="1:63" ht="15.75" customHeight="1">
      <c r="A239" s="215"/>
      <c r="B239" s="72"/>
      <c r="I239" s="71"/>
      <c r="J239" s="217"/>
      <c r="S239" s="11" t="s">
        <v>348</v>
      </c>
      <c r="U239" s="11" t="s">
        <v>474</v>
      </c>
      <c r="AD239" s="11" t="s">
        <v>475</v>
      </c>
      <c r="AH239" s="201" t="s">
        <v>476</v>
      </c>
      <c r="BD239" s="72"/>
      <c r="BK239" s="61"/>
    </row>
    <row r="240" spans="1:63" ht="15.75" customHeight="1">
      <c r="A240" s="215"/>
      <c r="B240" s="72"/>
      <c r="I240" s="71"/>
      <c r="J240" s="217"/>
      <c r="S240" s="11" t="s">
        <v>348</v>
      </c>
      <c r="U240" s="11" t="s">
        <v>477</v>
      </c>
      <c r="AD240" s="11" t="s">
        <v>326</v>
      </c>
      <c r="AH240" s="11" t="s">
        <v>478</v>
      </c>
      <c r="BD240" s="72"/>
      <c r="BK240" s="61"/>
    </row>
    <row r="241" spans="1:63" ht="15.75" customHeight="1">
      <c r="A241" s="215"/>
      <c r="B241" s="72"/>
      <c r="I241" s="71"/>
      <c r="J241" s="217"/>
      <c r="S241" s="11" t="s">
        <v>348</v>
      </c>
      <c r="U241" s="11" t="s">
        <v>479</v>
      </c>
      <c r="AD241" s="11" t="s">
        <v>326</v>
      </c>
      <c r="AH241" s="11" t="s">
        <v>480</v>
      </c>
      <c r="BD241" s="72"/>
      <c r="BK241" s="61"/>
    </row>
    <row r="242" spans="1:63" ht="15.75" customHeight="1">
      <c r="A242" s="215"/>
      <c r="B242" s="72"/>
      <c r="I242" s="71"/>
      <c r="J242" s="217"/>
      <c r="S242" s="11" t="s">
        <v>348</v>
      </c>
      <c r="U242" s="11" t="s">
        <v>481</v>
      </c>
      <c r="AD242" s="11" t="s">
        <v>326</v>
      </c>
      <c r="AH242" s="201" t="s">
        <v>482</v>
      </c>
      <c r="BD242" s="72"/>
      <c r="BK242" s="61"/>
    </row>
    <row r="243" spans="1:63" ht="15.75" customHeight="1">
      <c r="A243" s="215"/>
      <c r="B243" s="72"/>
      <c r="I243" s="71"/>
      <c r="J243" s="217"/>
      <c r="Q243" s="11" t="s">
        <v>483</v>
      </c>
      <c r="Y243" s="11" t="s">
        <v>484</v>
      </c>
      <c r="BD243" s="72"/>
      <c r="BK243" s="61"/>
    </row>
    <row r="244" spans="1:63" ht="15.75" customHeight="1">
      <c r="A244" s="215"/>
      <c r="B244" s="72"/>
      <c r="I244" s="71"/>
      <c r="J244" s="217"/>
      <c r="Q244" s="11" t="s">
        <v>469</v>
      </c>
      <c r="Y244" s="11" t="s">
        <v>485</v>
      </c>
      <c r="BD244" s="72"/>
      <c r="BK244" s="61"/>
    </row>
    <row r="245" spans="1:63" ht="15.75" customHeight="1">
      <c r="A245" s="215"/>
      <c r="B245" s="72"/>
      <c r="I245" s="71"/>
      <c r="J245" s="217"/>
      <c r="O245" s="11" t="s">
        <v>345</v>
      </c>
      <c r="BD245" s="72"/>
      <c r="BK245" s="61"/>
    </row>
    <row r="246" spans="1:63" ht="15.75" customHeight="1">
      <c r="A246" s="215"/>
      <c r="B246" s="72"/>
      <c r="I246" s="71"/>
      <c r="J246" s="217"/>
      <c r="R246" s="11" t="s">
        <v>486</v>
      </c>
      <c r="AA246" s="11" t="s">
        <v>326</v>
      </c>
      <c r="AE246" s="11" t="s">
        <v>487</v>
      </c>
      <c r="BD246" s="72"/>
      <c r="BK246" s="61"/>
    </row>
    <row r="247" spans="1:63" ht="15.75" customHeight="1">
      <c r="A247" s="215"/>
      <c r="B247" s="72"/>
      <c r="I247" s="71"/>
      <c r="J247" s="217"/>
      <c r="P247" s="11" t="s">
        <v>348</v>
      </c>
      <c r="R247" s="11" t="s">
        <v>488</v>
      </c>
      <c r="AA247" s="11" t="s">
        <v>326</v>
      </c>
      <c r="AE247" s="201" t="s">
        <v>489</v>
      </c>
      <c r="BD247" s="72"/>
      <c r="BK247" s="61"/>
    </row>
    <row r="248" spans="1:63" ht="15.75" customHeight="1">
      <c r="A248" s="215"/>
      <c r="B248" s="72"/>
      <c r="I248" s="71"/>
      <c r="J248" s="217"/>
      <c r="P248" s="11" t="s">
        <v>348</v>
      </c>
      <c r="R248" s="11" t="s">
        <v>490</v>
      </c>
      <c r="AA248" s="11" t="s">
        <v>326</v>
      </c>
      <c r="AE248" s="11" t="s">
        <v>427</v>
      </c>
      <c r="BD248" s="72"/>
      <c r="BK248" s="61"/>
    </row>
    <row r="249" spans="1:63" ht="15.75" customHeight="1">
      <c r="A249" s="215"/>
      <c r="B249" s="72"/>
      <c r="I249" s="71"/>
      <c r="J249" s="217"/>
      <c r="P249" s="11" t="s">
        <v>348</v>
      </c>
      <c r="R249" s="11" t="s">
        <v>491</v>
      </c>
      <c r="AA249" s="11" t="s">
        <v>326</v>
      </c>
      <c r="AE249" s="11" t="s">
        <v>492</v>
      </c>
      <c r="BD249" s="72"/>
      <c r="BK249" s="61"/>
    </row>
    <row r="250" spans="1:63" ht="15.75" customHeight="1">
      <c r="A250" s="215"/>
      <c r="B250" s="72"/>
      <c r="I250" s="71"/>
      <c r="J250" s="217"/>
      <c r="P250" s="11" t="s">
        <v>348</v>
      </c>
      <c r="R250" s="11" t="s">
        <v>493</v>
      </c>
      <c r="AA250" s="11" t="s">
        <v>326</v>
      </c>
      <c r="AE250" s="201" t="s">
        <v>494</v>
      </c>
      <c r="BD250" s="72"/>
      <c r="BK250" s="61"/>
    </row>
    <row r="251" spans="1:63" ht="15.75" customHeight="1">
      <c r="A251" s="215"/>
      <c r="B251" s="72"/>
      <c r="I251" s="71"/>
      <c r="J251" s="217"/>
      <c r="P251" s="11" t="s">
        <v>348</v>
      </c>
      <c r="R251" s="11" t="s">
        <v>495</v>
      </c>
      <c r="AA251" s="11" t="s">
        <v>496</v>
      </c>
      <c r="AE251" s="11" t="s">
        <v>497</v>
      </c>
      <c r="BD251" s="72"/>
      <c r="BK251" s="61"/>
    </row>
    <row r="252" spans="1:63" ht="15.75" customHeight="1">
      <c r="A252" s="215"/>
      <c r="B252" s="72"/>
      <c r="I252" s="71"/>
      <c r="J252" s="217"/>
      <c r="P252" s="11" t="s">
        <v>348</v>
      </c>
      <c r="R252" s="11" t="s">
        <v>498</v>
      </c>
      <c r="AA252" s="11" t="s">
        <v>326</v>
      </c>
      <c r="AE252" s="11" t="s">
        <v>499</v>
      </c>
      <c r="BD252" s="72"/>
      <c r="BK252" s="61"/>
    </row>
    <row r="253" spans="1:63" ht="15.75" customHeight="1">
      <c r="A253" s="215"/>
      <c r="B253" s="72"/>
      <c r="I253" s="71"/>
      <c r="J253" s="217"/>
      <c r="BD253" s="72"/>
      <c r="BK253" s="61"/>
    </row>
    <row r="254" spans="1:63" ht="15.75" customHeight="1">
      <c r="A254" s="215"/>
      <c r="B254" s="72"/>
      <c r="I254" s="71"/>
      <c r="J254" s="217"/>
      <c r="M254" s="217" t="s">
        <v>331</v>
      </c>
      <c r="O254" s="11" t="s">
        <v>500</v>
      </c>
      <c r="BD254" s="72"/>
      <c r="BK254" s="61"/>
    </row>
    <row r="255" spans="1:63" ht="15.75" customHeight="1">
      <c r="A255" s="215"/>
      <c r="B255" s="72" t="s">
        <v>339</v>
      </c>
      <c r="I255" s="71"/>
      <c r="N255" s="11" t="s">
        <v>341</v>
      </c>
      <c r="BD255" s="72"/>
      <c r="BK255" s="61"/>
    </row>
    <row r="256" spans="1:63" ht="15.75" customHeight="1">
      <c r="A256" s="215"/>
      <c r="B256" s="72" t="s">
        <v>452</v>
      </c>
      <c r="I256" s="71"/>
      <c r="K256" s="201"/>
      <c r="P256" s="11" t="s">
        <v>446</v>
      </c>
      <c r="V256" s="297"/>
      <c r="BD256" s="72"/>
      <c r="BK256" s="61"/>
    </row>
    <row r="257" spans="1:63" ht="15.75" customHeight="1">
      <c r="A257" s="215"/>
      <c r="B257" s="72"/>
      <c r="I257" s="71"/>
      <c r="K257" s="201"/>
      <c r="P257" s="11" t="s">
        <v>448</v>
      </c>
      <c r="V257" s="297"/>
      <c r="BD257" s="72"/>
      <c r="BK257" s="61"/>
    </row>
    <row r="258" spans="1:63" ht="15.75" customHeight="1">
      <c r="A258" s="215"/>
      <c r="B258" s="72"/>
      <c r="I258" s="71"/>
      <c r="K258" s="201"/>
      <c r="P258" s="11" t="s">
        <v>449</v>
      </c>
      <c r="V258" s="297"/>
      <c r="BD258" s="72"/>
      <c r="BK258" s="61"/>
    </row>
    <row r="259" spans="1:63" ht="15.75" customHeight="1">
      <c r="A259" s="215"/>
      <c r="B259" s="72"/>
      <c r="I259" s="71"/>
      <c r="K259" s="201"/>
      <c r="P259" s="11" t="s">
        <v>451</v>
      </c>
      <c r="V259" s="297"/>
      <c r="BD259" s="72"/>
      <c r="BK259" s="61"/>
    </row>
    <row r="260" spans="1:63" ht="15.75" customHeight="1">
      <c r="A260" s="215"/>
      <c r="B260" s="72"/>
      <c r="I260" s="71"/>
      <c r="K260" s="201"/>
      <c r="P260" s="11" t="s">
        <v>453</v>
      </c>
      <c r="V260" s="297"/>
      <c r="BD260" s="72"/>
      <c r="BK260" s="61"/>
    </row>
    <row r="261" spans="1:63" ht="15.75" customHeight="1">
      <c r="A261" s="215"/>
      <c r="B261" s="72"/>
      <c r="I261" s="71"/>
      <c r="K261" s="201"/>
      <c r="P261" s="11" t="s">
        <v>454</v>
      </c>
      <c r="V261" s="297"/>
      <c r="BD261" s="72"/>
      <c r="BK261" s="61"/>
    </row>
    <row r="262" spans="1:63" ht="15.75" customHeight="1">
      <c r="A262" s="215"/>
      <c r="B262" s="72"/>
      <c r="I262" s="71"/>
      <c r="K262" s="201"/>
      <c r="P262" s="11" t="s">
        <v>455</v>
      </c>
      <c r="V262" s="297"/>
      <c r="BD262" s="72"/>
      <c r="BK262" s="61"/>
    </row>
    <row r="263" spans="1:63" ht="15.75" customHeight="1">
      <c r="A263" s="215"/>
      <c r="B263" s="72"/>
      <c r="I263" s="71"/>
      <c r="K263" s="201"/>
      <c r="P263" s="11" t="s">
        <v>456</v>
      </c>
      <c r="V263" s="297"/>
      <c r="BD263" s="72"/>
      <c r="BK263" s="61"/>
    </row>
    <row r="264" spans="1:63" ht="15.6" customHeight="1">
      <c r="A264" s="215"/>
      <c r="B264" s="72"/>
      <c r="I264" s="71"/>
      <c r="K264" s="201"/>
      <c r="N264" s="11" t="s">
        <v>343</v>
      </c>
      <c r="BD264" s="72"/>
      <c r="BK264" s="61"/>
    </row>
    <row r="265" spans="1:63" ht="15.75" customHeight="1">
      <c r="A265" s="215"/>
      <c r="B265" s="72"/>
      <c r="I265" s="71"/>
      <c r="J265" s="217"/>
      <c r="P265" s="11" t="s">
        <v>469</v>
      </c>
      <c r="X265" s="11" t="s">
        <v>485</v>
      </c>
      <c r="BD265" s="72"/>
      <c r="BK265" s="61"/>
    </row>
    <row r="266" spans="1:63" ht="15.75" customHeight="1">
      <c r="A266" s="215"/>
      <c r="B266" s="72"/>
      <c r="I266" s="71"/>
      <c r="K266" s="201"/>
      <c r="P266" s="11" t="s">
        <v>344</v>
      </c>
      <c r="X266" s="11" t="s">
        <v>501</v>
      </c>
      <c r="BD266" s="72"/>
      <c r="BK266" s="61"/>
    </row>
    <row r="267" spans="1:63" ht="15.75" customHeight="1">
      <c r="A267" s="215"/>
      <c r="B267" s="72"/>
      <c r="I267" s="71"/>
      <c r="K267" s="201"/>
      <c r="N267" s="11" t="s">
        <v>345</v>
      </c>
      <c r="BD267" s="72"/>
      <c r="BK267" s="61"/>
    </row>
    <row r="268" spans="1:63" ht="15.75" customHeight="1">
      <c r="A268" s="215"/>
      <c r="B268" s="72"/>
      <c r="I268" s="71"/>
      <c r="K268" s="201"/>
      <c r="P268" s="11" t="s">
        <v>502</v>
      </c>
      <c r="Z268" s="11" t="s">
        <v>326</v>
      </c>
      <c r="AC268" s="201" t="s">
        <v>503</v>
      </c>
      <c r="BD268" s="72"/>
      <c r="BK268" s="61"/>
    </row>
    <row r="269" spans="1:63" ht="15.75" customHeight="1">
      <c r="A269" s="215"/>
      <c r="B269" s="72"/>
      <c r="I269" s="71"/>
      <c r="J269" s="217"/>
      <c r="N269" s="11" t="s">
        <v>348</v>
      </c>
      <c r="P269" s="11" t="s">
        <v>488</v>
      </c>
      <c r="Y269" s="11" t="s">
        <v>326</v>
      </c>
      <c r="AC269" s="201" t="s">
        <v>489</v>
      </c>
      <c r="BD269" s="72"/>
      <c r="BK269" s="61"/>
    </row>
    <row r="270" spans="1:63" ht="15.75" customHeight="1">
      <c r="A270" s="215"/>
      <c r="B270" s="72"/>
      <c r="I270" s="71"/>
      <c r="J270" s="217"/>
      <c r="N270" s="11" t="s">
        <v>348</v>
      </c>
      <c r="P270" s="11" t="s">
        <v>498</v>
      </c>
      <c r="Y270" s="11" t="s">
        <v>326</v>
      </c>
      <c r="AC270" s="11" t="s">
        <v>487</v>
      </c>
      <c r="BD270" s="72"/>
      <c r="BK270" s="61"/>
    </row>
    <row r="271" spans="1:63" ht="15.75" customHeight="1">
      <c r="A271" s="215"/>
      <c r="B271" s="72"/>
      <c r="I271" s="71"/>
      <c r="J271" s="217"/>
      <c r="N271" s="11" t="s">
        <v>348</v>
      </c>
      <c r="P271" s="11" t="s">
        <v>504</v>
      </c>
      <c r="Y271" s="11" t="s">
        <v>326</v>
      </c>
      <c r="AC271" s="11" t="s">
        <v>427</v>
      </c>
      <c r="AQ271" s="297" t="s">
        <v>505</v>
      </c>
      <c r="BD271" s="72"/>
      <c r="BK271" s="61"/>
    </row>
    <row r="272" spans="1:63" ht="15.75" customHeight="1">
      <c r="A272" s="215"/>
      <c r="B272" s="72"/>
      <c r="I272" s="71"/>
      <c r="J272" s="217"/>
      <c r="BD272" s="72"/>
      <c r="BK272" s="61"/>
    </row>
    <row r="273" spans="1:63" ht="15.75" customHeight="1">
      <c r="A273" s="215"/>
      <c r="B273" s="72"/>
      <c r="I273" s="71"/>
      <c r="J273" s="217"/>
      <c r="M273" s="217" t="s">
        <v>412</v>
      </c>
      <c r="O273" s="11" t="s">
        <v>506</v>
      </c>
      <c r="BD273" s="72"/>
      <c r="BK273" s="61"/>
    </row>
    <row r="274" spans="1:63" ht="15.75" customHeight="1">
      <c r="A274" s="215"/>
      <c r="B274" s="72"/>
      <c r="I274" s="71"/>
      <c r="J274" s="217"/>
      <c r="O274" s="11" t="s">
        <v>507</v>
      </c>
      <c r="BD274" s="72"/>
      <c r="BK274" s="61"/>
    </row>
    <row r="275" spans="1:63" ht="15.75" customHeight="1">
      <c r="A275" s="215"/>
      <c r="B275" s="72"/>
      <c r="I275" s="71"/>
      <c r="J275" s="217"/>
      <c r="K275" s="217"/>
      <c r="L275" s="217"/>
      <c r="M275" s="217"/>
      <c r="N275" s="217"/>
      <c r="O275" s="217"/>
      <c r="BD275" s="72"/>
      <c r="BK275" s="61"/>
    </row>
    <row r="276" spans="1:63" ht="15.75" customHeight="1">
      <c r="A276" s="215"/>
      <c r="B276" s="72"/>
      <c r="I276" s="71"/>
      <c r="J276" s="217"/>
      <c r="K276" s="217" t="s">
        <v>508</v>
      </c>
      <c r="L276" s="217"/>
      <c r="M276" s="217" t="s">
        <v>509</v>
      </c>
      <c r="N276" s="217"/>
      <c r="O276" s="217"/>
      <c r="BD276" s="72"/>
      <c r="BK276" s="61"/>
    </row>
    <row r="277" spans="1:63" ht="15.75" customHeight="1">
      <c r="A277" s="215"/>
      <c r="B277" s="72"/>
      <c r="I277" s="71"/>
      <c r="J277" s="217"/>
      <c r="K277" s="217"/>
      <c r="L277" s="217"/>
      <c r="M277" s="217" t="s">
        <v>510</v>
      </c>
      <c r="N277" s="217"/>
      <c r="O277" s="217"/>
      <c r="BD277" s="72"/>
      <c r="BK277" s="61"/>
    </row>
    <row r="278" spans="1:63" ht="15.75" customHeight="1">
      <c r="A278" s="215"/>
      <c r="B278" s="72"/>
      <c r="I278" s="71"/>
      <c r="J278" s="217"/>
      <c r="K278" s="217"/>
      <c r="L278" s="217"/>
      <c r="M278" s="217"/>
      <c r="N278" s="217"/>
      <c r="O278" s="217"/>
      <c r="BD278" s="72"/>
      <c r="BK278" s="61"/>
    </row>
    <row r="279" spans="1:63" ht="15.75" customHeight="1">
      <c r="A279" s="215"/>
      <c r="B279" s="72"/>
      <c r="I279" s="71"/>
      <c r="J279" s="217"/>
      <c r="K279" s="217"/>
      <c r="L279" s="217"/>
      <c r="M279" s="217" t="s">
        <v>320</v>
      </c>
      <c r="N279" s="217"/>
      <c r="O279" s="217" t="s">
        <v>385</v>
      </c>
      <c r="P279" s="217"/>
      <c r="Q279" s="217"/>
      <c r="BD279" s="72"/>
      <c r="BK279" s="61"/>
    </row>
    <row r="280" spans="1:63" ht="15.75" customHeight="1">
      <c r="A280" s="215"/>
      <c r="B280" s="72"/>
      <c r="I280" s="71"/>
      <c r="J280" s="217"/>
      <c r="K280" s="217"/>
      <c r="L280" s="217"/>
      <c r="M280" s="217"/>
      <c r="N280" s="217" t="s">
        <v>276</v>
      </c>
      <c r="O280" s="217" t="s">
        <v>388</v>
      </c>
      <c r="BD280" s="72"/>
      <c r="BK280" s="61"/>
    </row>
    <row r="281" spans="1:63" ht="15.6" customHeight="1">
      <c r="A281" s="215"/>
      <c r="B281" s="72" t="s">
        <v>339</v>
      </c>
      <c r="I281" s="71"/>
      <c r="P281" s="11" t="s">
        <v>340</v>
      </c>
      <c r="BD281" s="72"/>
      <c r="BK281" s="61"/>
    </row>
    <row r="282" spans="1:63" ht="15.75" customHeight="1">
      <c r="A282" s="215"/>
      <c r="B282" s="72"/>
      <c r="I282" s="71"/>
      <c r="Q282" s="11" t="s">
        <v>341</v>
      </c>
      <c r="BD282" s="72"/>
      <c r="BK282" s="61"/>
    </row>
    <row r="283" spans="1:63" ht="15.75" customHeight="1">
      <c r="A283" s="215"/>
      <c r="B283" s="72"/>
      <c r="I283" s="71"/>
      <c r="K283" s="201"/>
      <c r="M283" s="297"/>
      <c r="S283" s="11" t="s">
        <v>511</v>
      </c>
      <c r="Y283" s="297" t="s">
        <v>512</v>
      </c>
      <c r="BD283" s="72"/>
      <c r="BK283" s="61"/>
    </row>
    <row r="284" spans="1:63" ht="15.75" customHeight="1">
      <c r="A284" s="215"/>
      <c r="B284" s="72"/>
      <c r="I284" s="71"/>
      <c r="K284" s="201"/>
      <c r="M284" s="297"/>
      <c r="S284" s="11" t="s">
        <v>513</v>
      </c>
      <c r="Y284" s="297" t="s">
        <v>514</v>
      </c>
      <c r="BD284" s="72"/>
      <c r="BK284" s="61"/>
    </row>
    <row r="285" spans="1:63" ht="15.75" customHeight="1">
      <c r="A285" s="215"/>
      <c r="B285" s="72"/>
      <c r="I285" s="71"/>
      <c r="K285" s="201"/>
      <c r="M285" s="297"/>
      <c r="S285" s="11" t="s">
        <v>515</v>
      </c>
      <c r="Y285" s="297" t="s">
        <v>516</v>
      </c>
      <c r="BD285" s="72"/>
      <c r="BK285" s="61"/>
    </row>
    <row r="286" spans="1:63" ht="15.75" customHeight="1">
      <c r="A286" s="215"/>
      <c r="B286" s="72"/>
      <c r="I286" s="71"/>
      <c r="K286" s="201"/>
      <c r="M286" s="297"/>
      <c r="S286" s="11" t="s">
        <v>517</v>
      </c>
      <c r="Y286" s="297" t="s">
        <v>518</v>
      </c>
      <c r="BD286" s="72"/>
      <c r="BK286" s="61"/>
    </row>
    <row r="287" spans="1:63" ht="15.75" customHeight="1">
      <c r="A287" s="215"/>
      <c r="B287" s="72"/>
      <c r="I287" s="71"/>
      <c r="K287" s="201"/>
      <c r="M287" s="297"/>
      <c r="S287" s="11" t="s">
        <v>519</v>
      </c>
      <c r="Y287" s="297" t="s">
        <v>520</v>
      </c>
      <c r="BD287" s="72"/>
      <c r="BK287" s="61"/>
    </row>
    <row r="288" spans="1:63" ht="15.6" customHeight="1">
      <c r="A288" s="215"/>
      <c r="B288" s="72"/>
      <c r="I288" s="71"/>
      <c r="K288" s="201"/>
      <c r="M288" s="297"/>
      <c r="Q288" s="11" t="s">
        <v>343</v>
      </c>
      <c r="BD288" s="72"/>
      <c r="BK288" s="61"/>
    </row>
    <row r="289" spans="1:63" ht="15.75" customHeight="1">
      <c r="A289" s="215"/>
      <c r="B289" s="72"/>
      <c r="I289" s="71"/>
      <c r="K289" s="201"/>
      <c r="M289" s="297"/>
      <c r="S289" s="11" t="s">
        <v>344</v>
      </c>
      <c r="BD289" s="72"/>
      <c r="BK289" s="61"/>
    </row>
    <row r="290" spans="1:63" ht="15.75" customHeight="1">
      <c r="A290" s="215"/>
      <c r="B290" s="72"/>
      <c r="I290" s="71"/>
      <c r="K290" s="201"/>
      <c r="M290" s="297"/>
      <c r="Q290" s="11" t="s">
        <v>345</v>
      </c>
      <c r="BD290" s="72"/>
      <c r="BK290" s="61"/>
    </row>
    <row r="291" spans="1:63" ht="15.75" customHeight="1">
      <c r="A291" s="215"/>
      <c r="B291" s="72"/>
      <c r="I291" s="71"/>
      <c r="K291" s="201"/>
      <c r="M291" s="297"/>
      <c r="T291" s="11" t="s">
        <v>346</v>
      </c>
      <c r="AC291" s="11" t="s">
        <v>326</v>
      </c>
      <c r="AF291" s="201" t="s">
        <v>521</v>
      </c>
      <c r="BD291" s="72"/>
      <c r="BK291" s="61"/>
    </row>
    <row r="292" spans="1:63" ht="15.75" customHeight="1">
      <c r="A292" s="215"/>
      <c r="B292" s="72"/>
      <c r="I292" s="71"/>
      <c r="BD292" s="72"/>
      <c r="BK292" s="61"/>
    </row>
    <row r="293" spans="1:63" ht="15.75" customHeight="1">
      <c r="A293" s="215"/>
      <c r="B293" s="72"/>
      <c r="I293" s="71"/>
      <c r="P293" s="11" t="s">
        <v>147</v>
      </c>
      <c r="Q293" s="11" t="s">
        <v>522</v>
      </c>
      <c r="BD293" s="72" t="s">
        <v>352</v>
      </c>
      <c r="BK293" s="61"/>
    </row>
    <row r="294" spans="1:63" ht="15.75" customHeight="1">
      <c r="A294" s="215"/>
      <c r="B294" s="72"/>
      <c r="I294" s="71"/>
      <c r="BD294" s="72"/>
      <c r="BF294" s="11" t="s">
        <v>353</v>
      </c>
      <c r="BK294" s="61"/>
    </row>
    <row r="295" spans="1:63" ht="15.75" customHeight="1">
      <c r="A295" s="215"/>
      <c r="B295" s="72"/>
      <c r="I295" s="71"/>
      <c r="P295" s="11" t="s">
        <v>147</v>
      </c>
      <c r="Q295" s="11" t="s">
        <v>523</v>
      </c>
      <c r="BD295" s="72" t="s">
        <v>352</v>
      </c>
      <c r="BK295" s="61"/>
    </row>
    <row r="296" spans="1:63" ht="15.75" customHeight="1">
      <c r="A296" s="215"/>
      <c r="B296" s="72"/>
      <c r="I296" s="71"/>
      <c r="BD296" s="72"/>
      <c r="BF296" s="11" t="s">
        <v>355</v>
      </c>
      <c r="BK296" s="61"/>
    </row>
    <row r="297" spans="1:63" ht="15.75" customHeight="1">
      <c r="A297" s="215"/>
      <c r="B297" s="72"/>
      <c r="I297" s="71"/>
      <c r="J297" s="217"/>
      <c r="K297" s="217"/>
      <c r="L297" s="217"/>
      <c r="M297" s="217"/>
      <c r="N297" s="217" t="s">
        <v>278</v>
      </c>
      <c r="O297" s="217" t="s">
        <v>524</v>
      </c>
      <c r="BD297" s="72"/>
      <c r="BK297" s="61"/>
    </row>
    <row r="298" spans="1:63" ht="15.75" customHeight="1">
      <c r="A298" s="215"/>
      <c r="B298" s="72"/>
      <c r="I298" s="71"/>
      <c r="J298" s="217"/>
      <c r="K298" s="217"/>
      <c r="L298" s="217"/>
      <c r="M298" s="217"/>
      <c r="N298" s="217"/>
      <c r="O298" s="217" t="s">
        <v>525</v>
      </c>
      <c r="BD298" s="72"/>
      <c r="BK298" s="61"/>
    </row>
    <row r="299" spans="1:63" ht="15.75" customHeight="1">
      <c r="A299" s="215"/>
      <c r="B299" s="72" t="s">
        <v>526</v>
      </c>
      <c r="I299" s="71"/>
      <c r="J299" s="217"/>
      <c r="K299" s="217"/>
      <c r="L299" s="217"/>
      <c r="M299" s="217"/>
      <c r="N299" s="217"/>
      <c r="O299" s="217"/>
      <c r="P299" s="11" t="s">
        <v>341</v>
      </c>
      <c r="BD299" s="72"/>
      <c r="BK299" s="61"/>
    </row>
    <row r="300" spans="1:63" ht="15.75" customHeight="1">
      <c r="A300" s="215"/>
      <c r="B300" s="72"/>
      <c r="I300" s="71"/>
      <c r="J300" s="217"/>
      <c r="K300" s="217"/>
      <c r="L300" s="217"/>
      <c r="M300" s="217"/>
      <c r="N300" s="217"/>
      <c r="O300" s="217"/>
      <c r="R300" s="11" t="s">
        <v>527</v>
      </c>
      <c r="BD300" s="72"/>
      <c r="BK300" s="61"/>
    </row>
    <row r="301" spans="1:63" ht="15.75" customHeight="1">
      <c r="A301" s="215"/>
      <c r="B301" s="72"/>
      <c r="I301" s="71"/>
      <c r="J301" s="217"/>
      <c r="K301" s="217"/>
      <c r="L301" s="217"/>
      <c r="M301" s="217"/>
      <c r="N301" s="217"/>
      <c r="O301" s="217"/>
      <c r="P301" s="11" t="s">
        <v>343</v>
      </c>
      <c r="BD301" s="72"/>
      <c r="BK301" s="61"/>
    </row>
    <row r="302" spans="1:63" ht="15.75" customHeight="1">
      <c r="A302" s="215"/>
      <c r="B302" s="72"/>
      <c r="I302" s="71"/>
      <c r="J302" s="217"/>
      <c r="K302" s="217"/>
      <c r="L302" s="217"/>
      <c r="M302" s="217"/>
      <c r="N302" s="217"/>
      <c r="O302" s="217"/>
      <c r="R302" s="11" t="s">
        <v>528</v>
      </c>
      <c r="BD302" s="72"/>
      <c r="BK302" s="61"/>
    </row>
    <row r="303" spans="1:63" ht="15.75" customHeight="1">
      <c r="A303" s="215"/>
      <c r="B303" s="72"/>
      <c r="I303" s="71"/>
      <c r="J303" s="217"/>
      <c r="K303" s="217"/>
      <c r="L303" s="217"/>
      <c r="M303" s="217"/>
      <c r="N303" s="217"/>
      <c r="O303" s="217"/>
      <c r="P303" s="11" t="s">
        <v>345</v>
      </c>
      <c r="BD303" s="72"/>
      <c r="BK303" s="61"/>
    </row>
    <row r="304" spans="1:63" ht="15.75" customHeight="1">
      <c r="A304" s="215"/>
      <c r="B304" s="72"/>
      <c r="I304" s="71"/>
      <c r="J304" s="217"/>
      <c r="K304" s="217"/>
      <c r="L304" s="217"/>
      <c r="M304" s="217"/>
      <c r="N304" s="217"/>
      <c r="O304" s="217"/>
      <c r="R304" s="11" t="s">
        <v>529</v>
      </c>
      <c r="AC304" s="11" t="s">
        <v>326</v>
      </c>
      <c r="AF304" s="11" t="s">
        <v>530</v>
      </c>
      <c r="BD304" s="72"/>
      <c r="BK304" s="61"/>
    </row>
    <row r="305" spans="1:64" ht="12.6">
      <c r="A305" s="215"/>
      <c r="B305" s="72"/>
      <c r="I305" s="71"/>
      <c r="J305" s="217"/>
      <c r="K305" s="217"/>
      <c r="L305" s="217"/>
      <c r="M305" s="217"/>
      <c r="N305" s="217"/>
      <c r="O305" s="217"/>
      <c r="BD305" s="72"/>
      <c r="BK305" s="61"/>
    </row>
    <row r="306" spans="1:64" ht="15.75" customHeight="1">
      <c r="A306" s="215"/>
      <c r="B306" s="72"/>
      <c r="I306" s="71"/>
      <c r="J306" s="217"/>
      <c r="K306" s="217"/>
      <c r="L306" s="217"/>
      <c r="M306" s="217"/>
      <c r="N306" s="337" t="s">
        <v>296</v>
      </c>
      <c r="O306" s="337" t="s">
        <v>531</v>
      </c>
      <c r="P306" s="338"/>
      <c r="Q306" s="338"/>
      <c r="R306" s="338"/>
      <c r="S306" s="338"/>
      <c r="T306" s="338"/>
      <c r="U306" s="338"/>
      <c r="V306" s="338"/>
      <c r="W306" s="338"/>
      <c r="X306" s="338"/>
      <c r="Y306" s="338"/>
      <c r="Z306" s="338"/>
      <c r="AA306" s="338"/>
      <c r="AB306" s="338"/>
      <c r="AC306" s="338"/>
      <c r="AD306" s="338"/>
      <c r="AE306" s="338"/>
      <c r="AF306" s="338"/>
      <c r="AG306" s="338"/>
      <c r="AH306" s="338"/>
      <c r="AI306" s="338"/>
      <c r="AJ306" s="338"/>
      <c r="AK306" s="338"/>
      <c r="AL306" s="338"/>
      <c r="AM306" s="338"/>
      <c r="AN306" s="338"/>
      <c r="AO306" s="338"/>
      <c r="AP306" s="338"/>
      <c r="AQ306" s="338"/>
      <c r="AR306" s="338"/>
      <c r="AS306" s="338"/>
      <c r="AT306" s="338"/>
      <c r="AU306" s="338"/>
      <c r="AV306" s="338"/>
      <c r="AW306" s="338"/>
      <c r="AX306" s="338"/>
      <c r="AY306" s="338"/>
      <c r="AZ306" s="338"/>
      <c r="BA306" s="338"/>
      <c r="BD306" s="72"/>
      <c r="BK306" s="61"/>
      <c r="BL306" s="201" t="s">
        <v>107</v>
      </c>
    </row>
    <row r="307" spans="1:64" ht="15.75" customHeight="1">
      <c r="A307" s="215"/>
      <c r="B307" s="72"/>
      <c r="I307" s="71"/>
      <c r="J307" s="217"/>
      <c r="K307" s="217"/>
      <c r="L307" s="217"/>
      <c r="M307" s="217"/>
      <c r="N307" s="337"/>
      <c r="O307" s="337"/>
      <c r="P307" s="338" t="s">
        <v>341</v>
      </c>
      <c r="Q307" s="338"/>
      <c r="R307" s="338"/>
      <c r="S307" s="338"/>
      <c r="T307" s="338"/>
      <c r="U307" s="338"/>
      <c r="V307" s="338"/>
      <c r="W307" s="338"/>
      <c r="X307" s="338"/>
      <c r="Y307" s="338"/>
      <c r="Z307" s="338"/>
      <c r="AA307" s="338"/>
      <c r="AB307" s="338"/>
      <c r="AC307" s="338"/>
      <c r="AD307" s="338"/>
      <c r="AE307" s="338"/>
      <c r="AF307" s="338"/>
      <c r="AG307" s="338"/>
      <c r="AH307" s="338"/>
      <c r="AI307" s="338"/>
      <c r="AJ307" s="338"/>
      <c r="AK307" s="338"/>
      <c r="AL307" s="338"/>
      <c r="AM307" s="338"/>
      <c r="AN307" s="338"/>
      <c r="AO307" s="338"/>
      <c r="AP307" s="338"/>
      <c r="AQ307" s="338"/>
      <c r="AR307" s="338"/>
      <c r="AS307" s="338"/>
      <c r="AT307" s="338"/>
      <c r="AU307" s="338"/>
      <c r="AV307" s="338"/>
      <c r="AW307" s="338"/>
      <c r="AX307" s="338"/>
      <c r="AY307" s="338"/>
      <c r="AZ307" s="338"/>
      <c r="BA307" s="338"/>
      <c r="BD307" s="72"/>
      <c r="BK307" s="61"/>
      <c r="BL307" s="201" t="s">
        <v>107</v>
      </c>
    </row>
    <row r="308" spans="1:64" ht="15.75" customHeight="1">
      <c r="A308" s="215"/>
      <c r="B308" s="72"/>
      <c r="I308" s="71"/>
      <c r="J308" s="217"/>
      <c r="K308" s="217"/>
      <c r="L308" s="217"/>
      <c r="M308" s="217"/>
      <c r="N308" s="337"/>
      <c r="O308" s="337"/>
      <c r="P308" s="338"/>
      <c r="Q308" s="338"/>
      <c r="R308" s="338">
        <v>1</v>
      </c>
      <c r="S308" s="338"/>
      <c r="T308" s="338"/>
      <c r="U308" s="338"/>
      <c r="V308" s="338"/>
      <c r="W308" s="338"/>
      <c r="X308" s="338"/>
      <c r="Y308" s="338"/>
      <c r="Z308" s="338"/>
      <c r="AA308" s="338"/>
      <c r="AB308" s="338"/>
      <c r="AC308" s="338"/>
      <c r="AD308" s="338"/>
      <c r="AE308" s="338"/>
      <c r="AF308" s="338"/>
      <c r="AG308" s="338"/>
      <c r="AH308" s="338"/>
      <c r="AI308" s="338"/>
      <c r="AJ308" s="338"/>
      <c r="AK308" s="338"/>
      <c r="AL308" s="338"/>
      <c r="AM308" s="338"/>
      <c r="AN308" s="338"/>
      <c r="AO308" s="338"/>
      <c r="AP308" s="338"/>
      <c r="AQ308" s="338"/>
      <c r="AR308" s="338"/>
      <c r="AS308" s="338"/>
      <c r="AT308" s="338"/>
      <c r="AU308" s="338"/>
      <c r="AV308" s="338"/>
      <c r="AW308" s="338"/>
      <c r="AX308" s="338"/>
      <c r="AY308" s="338"/>
      <c r="AZ308" s="338"/>
      <c r="BA308" s="338"/>
      <c r="BD308" s="72"/>
      <c r="BK308" s="61"/>
      <c r="BL308" s="201" t="s">
        <v>532</v>
      </c>
    </row>
    <row r="309" spans="1:64" ht="15.75" customHeight="1">
      <c r="A309" s="215"/>
      <c r="B309" s="72"/>
      <c r="I309" s="71"/>
      <c r="J309" s="217"/>
      <c r="K309" s="217"/>
      <c r="L309" s="217"/>
      <c r="M309" s="217"/>
      <c r="N309" s="337"/>
      <c r="O309" s="337"/>
      <c r="P309" s="338" t="s">
        <v>343</v>
      </c>
      <c r="Q309" s="338"/>
      <c r="R309" s="338"/>
      <c r="S309" s="338"/>
      <c r="T309" s="338"/>
      <c r="U309" s="338"/>
      <c r="V309" s="338"/>
      <c r="W309" s="338"/>
      <c r="X309" s="338"/>
      <c r="Y309" s="338"/>
      <c r="Z309" s="338"/>
      <c r="AA309" s="338"/>
      <c r="AB309" s="338"/>
      <c r="AC309" s="338"/>
      <c r="AD309" s="338"/>
      <c r="AE309" s="338"/>
      <c r="AF309" s="338"/>
      <c r="AG309" s="338"/>
      <c r="AH309" s="338"/>
      <c r="AI309" s="338"/>
      <c r="AJ309" s="338"/>
      <c r="AK309" s="338"/>
      <c r="AL309" s="338"/>
      <c r="AM309" s="338"/>
      <c r="AN309" s="338"/>
      <c r="AO309" s="338"/>
      <c r="AP309" s="338"/>
      <c r="AQ309" s="338"/>
      <c r="AR309" s="338"/>
      <c r="AS309" s="338"/>
      <c r="AT309" s="338"/>
      <c r="AU309" s="338"/>
      <c r="AV309" s="338"/>
      <c r="AW309" s="338"/>
      <c r="AX309" s="338"/>
      <c r="AY309" s="338"/>
      <c r="AZ309" s="338"/>
      <c r="BA309" s="338"/>
      <c r="BD309" s="72"/>
      <c r="BK309" s="61"/>
      <c r="BL309" s="201" t="s">
        <v>532</v>
      </c>
    </row>
    <row r="310" spans="1:64" ht="15.75" customHeight="1">
      <c r="A310" s="215"/>
      <c r="B310" s="72"/>
      <c r="I310" s="71"/>
      <c r="J310" s="217"/>
      <c r="K310" s="217"/>
      <c r="L310" s="217"/>
      <c r="M310" s="217"/>
      <c r="N310" s="337"/>
      <c r="O310" s="337"/>
      <c r="P310" s="338"/>
      <c r="Q310" s="338"/>
      <c r="R310" s="338" t="s">
        <v>533</v>
      </c>
      <c r="S310" s="338"/>
      <c r="T310" s="338"/>
      <c r="U310" s="338"/>
      <c r="V310" s="338"/>
      <c r="W310" s="338"/>
      <c r="X310" s="338"/>
      <c r="Y310" s="338"/>
      <c r="Z310" s="338"/>
      <c r="AA310" s="338" t="s">
        <v>458</v>
      </c>
      <c r="AB310" s="338"/>
      <c r="AC310" s="338"/>
      <c r="AD310" s="338"/>
      <c r="AE310" s="338"/>
      <c r="AF310" s="338"/>
      <c r="AG310" s="338"/>
      <c r="AH310" s="338"/>
      <c r="AI310" s="338"/>
      <c r="AJ310" s="338"/>
      <c r="AK310" s="338"/>
      <c r="AL310" s="338"/>
      <c r="AM310" s="338"/>
      <c r="AN310" s="338"/>
      <c r="AO310" s="338"/>
      <c r="AP310" s="338"/>
      <c r="AQ310" s="338"/>
      <c r="AR310" s="338"/>
      <c r="AS310" s="338"/>
      <c r="AT310" s="338"/>
      <c r="AU310" s="338"/>
      <c r="AV310" s="338"/>
      <c r="AW310" s="338"/>
      <c r="AX310" s="338"/>
      <c r="AY310" s="338"/>
      <c r="AZ310" s="338"/>
      <c r="BA310" s="338"/>
      <c r="BD310" s="72"/>
      <c r="BK310" s="61"/>
      <c r="BL310" s="201" t="s">
        <v>532</v>
      </c>
    </row>
    <row r="311" spans="1:64" ht="15.75" customHeight="1">
      <c r="A311" s="215"/>
      <c r="B311" s="72"/>
      <c r="I311" s="71"/>
      <c r="J311" s="217"/>
      <c r="K311" s="217"/>
      <c r="L311" s="217"/>
      <c r="M311" s="217"/>
      <c r="N311" s="337"/>
      <c r="O311" s="337"/>
      <c r="P311" s="338"/>
      <c r="Q311" s="338"/>
      <c r="R311" s="338" t="s">
        <v>534</v>
      </c>
      <c r="S311" s="338"/>
      <c r="T311" s="338"/>
      <c r="U311" s="338"/>
      <c r="V311" s="338"/>
      <c r="W311" s="338"/>
      <c r="X311" s="338"/>
      <c r="Y311" s="338"/>
      <c r="Z311" s="338"/>
      <c r="AA311" s="338" t="s">
        <v>460</v>
      </c>
      <c r="AB311" s="338"/>
      <c r="AC311" s="338"/>
      <c r="AD311" s="338"/>
      <c r="AE311" s="338"/>
      <c r="AF311" s="338"/>
      <c r="AG311" s="338"/>
      <c r="AH311" s="338"/>
      <c r="AI311" s="338"/>
      <c r="AJ311" s="338"/>
      <c r="AK311" s="338"/>
      <c r="AL311" s="338"/>
      <c r="AM311" s="338"/>
      <c r="AN311" s="338"/>
      <c r="AO311" s="338"/>
      <c r="AP311" s="338"/>
      <c r="AQ311" s="338"/>
      <c r="AR311" s="338"/>
      <c r="AS311" s="338"/>
      <c r="AT311" s="338"/>
      <c r="AU311" s="338"/>
      <c r="AV311" s="338"/>
      <c r="AW311" s="338"/>
      <c r="AX311" s="338"/>
      <c r="AY311" s="338"/>
      <c r="AZ311" s="338"/>
      <c r="BA311" s="338"/>
      <c r="BD311" s="72"/>
      <c r="BK311" s="61"/>
      <c r="BL311" s="201" t="s">
        <v>532</v>
      </c>
    </row>
    <row r="312" spans="1:64" ht="15.75" customHeight="1">
      <c r="A312" s="215"/>
      <c r="B312" s="72"/>
      <c r="I312" s="71"/>
      <c r="J312" s="217"/>
      <c r="K312" s="217"/>
      <c r="L312" s="217"/>
      <c r="M312" s="217"/>
      <c r="N312" s="337"/>
      <c r="O312" s="337"/>
      <c r="P312" s="338" t="s">
        <v>345</v>
      </c>
      <c r="Q312" s="338"/>
      <c r="R312" s="338"/>
      <c r="S312" s="338"/>
      <c r="T312" s="338"/>
      <c r="U312" s="338"/>
      <c r="V312" s="338"/>
      <c r="W312" s="338"/>
      <c r="X312" s="338"/>
      <c r="Y312" s="338"/>
      <c r="Z312" s="338"/>
      <c r="AA312" s="338"/>
      <c r="AB312" s="338"/>
      <c r="AC312" s="338"/>
      <c r="AD312" s="338"/>
      <c r="AE312" s="338"/>
      <c r="AF312" s="338"/>
      <c r="AG312" s="338"/>
      <c r="AH312" s="338"/>
      <c r="AI312" s="338"/>
      <c r="AJ312" s="338"/>
      <c r="AK312" s="338"/>
      <c r="AL312" s="338"/>
      <c r="AM312" s="338"/>
      <c r="AN312" s="338"/>
      <c r="AO312" s="338"/>
      <c r="AP312" s="338"/>
      <c r="AQ312" s="338"/>
      <c r="AR312" s="338"/>
      <c r="AS312" s="338"/>
      <c r="AT312" s="338"/>
      <c r="AU312" s="338"/>
      <c r="AV312" s="338"/>
      <c r="AW312" s="338"/>
      <c r="AX312" s="338"/>
      <c r="AY312" s="338"/>
      <c r="AZ312" s="338"/>
      <c r="BA312" s="338"/>
      <c r="BD312" s="72"/>
      <c r="BK312" s="61"/>
      <c r="BL312" s="201" t="s">
        <v>532</v>
      </c>
    </row>
    <row r="313" spans="1:64" ht="15.75" customHeight="1">
      <c r="A313" s="215"/>
      <c r="B313" s="72"/>
      <c r="I313" s="71"/>
      <c r="J313" s="217"/>
      <c r="K313" s="217"/>
      <c r="L313" s="217"/>
      <c r="M313" s="217"/>
      <c r="N313" s="337"/>
      <c r="O313" s="337"/>
      <c r="P313" s="338"/>
      <c r="Q313" s="338"/>
      <c r="R313" s="338" t="s">
        <v>535</v>
      </c>
      <c r="S313" s="338"/>
      <c r="T313" s="338"/>
      <c r="U313" s="338"/>
      <c r="V313" s="338"/>
      <c r="W313" s="338"/>
      <c r="X313" s="338"/>
      <c r="Y313" s="338"/>
      <c r="Z313" s="338"/>
      <c r="AA313" s="338"/>
      <c r="AB313" s="338"/>
      <c r="AC313" s="338" t="s">
        <v>326</v>
      </c>
      <c r="AD313" s="338"/>
      <c r="AE313" s="338"/>
      <c r="AF313" s="338"/>
      <c r="AG313" s="338" t="s">
        <v>536</v>
      </c>
      <c r="AH313" s="338"/>
      <c r="AI313" s="338"/>
      <c r="AJ313" s="338"/>
      <c r="AK313" s="338"/>
      <c r="AL313" s="338"/>
      <c r="AM313" s="338"/>
      <c r="AN313" s="338"/>
      <c r="AO313" s="338"/>
      <c r="AP313" s="338"/>
      <c r="AQ313" s="338"/>
      <c r="AR313" s="338"/>
      <c r="AS313" s="338"/>
      <c r="AT313" s="338"/>
      <c r="AU313" s="338"/>
      <c r="AV313" s="338"/>
      <c r="AW313" s="338"/>
      <c r="AX313" s="338"/>
      <c r="AY313" s="338"/>
      <c r="AZ313" s="338"/>
      <c r="BA313" s="338"/>
      <c r="BD313" s="72"/>
      <c r="BK313" s="61"/>
      <c r="BL313" s="201" t="s">
        <v>532</v>
      </c>
    </row>
    <row r="314" spans="1:64" ht="15.75" customHeight="1">
      <c r="A314" s="215"/>
      <c r="B314" s="72"/>
      <c r="I314" s="71"/>
      <c r="J314" s="217"/>
      <c r="K314" s="217"/>
      <c r="L314" s="217"/>
      <c r="M314" s="217"/>
      <c r="N314" s="337"/>
      <c r="O314" s="337"/>
      <c r="P314" s="338"/>
      <c r="Q314" s="338"/>
      <c r="R314" s="338" t="s">
        <v>537</v>
      </c>
      <c r="S314" s="338"/>
      <c r="T314" s="338"/>
      <c r="U314" s="338"/>
      <c r="V314" s="338"/>
      <c r="W314" s="338"/>
      <c r="X314" s="338"/>
      <c r="Y314" s="338"/>
      <c r="Z314" s="338"/>
      <c r="AA314" s="338"/>
      <c r="AB314" s="338"/>
      <c r="AC314" s="338" t="s">
        <v>326</v>
      </c>
      <c r="AD314" s="338"/>
      <c r="AE314" s="338"/>
      <c r="AF314" s="338"/>
      <c r="AG314" s="339" t="s">
        <v>538</v>
      </c>
      <c r="AH314" s="338"/>
      <c r="AI314" s="338"/>
      <c r="AJ314" s="338"/>
      <c r="AK314" s="338"/>
      <c r="AL314" s="338"/>
      <c r="AM314" s="338"/>
      <c r="AN314" s="338"/>
      <c r="AO314" s="338"/>
      <c r="AP314" s="338"/>
      <c r="AQ314" s="338"/>
      <c r="AR314" s="338"/>
      <c r="AS314" s="338"/>
      <c r="AT314" s="338"/>
      <c r="AU314" s="338"/>
      <c r="AV314" s="338"/>
      <c r="AW314" s="338"/>
      <c r="AX314" s="338"/>
      <c r="AY314" s="338"/>
      <c r="AZ314" s="338"/>
      <c r="BA314" s="338"/>
      <c r="BD314" s="72"/>
      <c r="BK314" s="61"/>
      <c r="BL314" s="201" t="s">
        <v>532</v>
      </c>
    </row>
    <row r="315" spans="1:64" ht="15.75" customHeight="1">
      <c r="A315" s="215"/>
      <c r="B315" s="72"/>
      <c r="I315" s="71"/>
      <c r="J315" s="217"/>
      <c r="K315" s="217"/>
      <c r="L315" s="217"/>
      <c r="M315" s="217"/>
      <c r="N315" s="337"/>
      <c r="O315" s="337"/>
      <c r="P315" s="338"/>
      <c r="Q315" s="338"/>
      <c r="R315" s="338" t="s">
        <v>539</v>
      </c>
      <c r="S315" s="338"/>
      <c r="T315" s="338"/>
      <c r="U315" s="338"/>
      <c r="V315" s="338"/>
      <c r="W315" s="338"/>
      <c r="X315" s="338"/>
      <c r="Y315" s="338"/>
      <c r="Z315" s="338"/>
      <c r="AA315" s="338"/>
      <c r="AB315" s="338"/>
      <c r="AC315" s="338" t="s">
        <v>326</v>
      </c>
      <c r="AD315" s="338"/>
      <c r="AE315" s="338"/>
      <c r="AF315" s="338"/>
      <c r="AG315" s="339" t="s">
        <v>538</v>
      </c>
      <c r="AH315" s="338"/>
      <c r="AI315" s="338"/>
      <c r="AJ315" s="338"/>
      <c r="AK315" s="338"/>
      <c r="AL315" s="338"/>
      <c r="AM315" s="338"/>
      <c r="AN315" s="338"/>
      <c r="AO315" s="338"/>
      <c r="AP315" s="338"/>
      <c r="AQ315" s="338"/>
      <c r="AR315" s="338"/>
      <c r="AS315" s="338"/>
      <c r="AT315" s="338"/>
      <c r="AU315" s="338"/>
      <c r="AV315" s="338"/>
      <c r="AW315" s="338"/>
      <c r="AX315" s="338"/>
      <c r="AY315" s="338"/>
      <c r="AZ315" s="338"/>
      <c r="BA315" s="338"/>
      <c r="BD315" s="72"/>
      <c r="BK315" s="61"/>
      <c r="BL315" s="201" t="s">
        <v>532</v>
      </c>
    </row>
    <row r="316" spans="1:64" ht="15.75" customHeight="1">
      <c r="A316" s="215"/>
      <c r="B316" s="72"/>
      <c r="I316" s="71"/>
      <c r="J316" s="217"/>
      <c r="K316" s="217"/>
      <c r="L316" s="217"/>
      <c r="M316" s="217"/>
      <c r="N316" s="337"/>
      <c r="O316" s="337"/>
      <c r="P316" s="338"/>
      <c r="Q316" s="338"/>
      <c r="R316" s="338" t="s">
        <v>540</v>
      </c>
      <c r="S316" s="338"/>
      <c r="T316" s="338"/>
      <c r="U316" s="338"/>
      <c r="V316" s="338"/>
      <c r="W316" s="338"/>
      <c r="X316" s="338"/>
      <c r="Y316" s="338"/>
      <c r="Z316" s="338"/>
      <c r="AA316" s="338"/>
      <c r="AB316" s="338"/>
      <c r="AC316" s="338" t="s">
        <v>326</v>
      </c>
      <c r="AD316" s="338"/>
      <c r="AE316" s="338"/>
      <c r="AF316" s="338"/>
      <c r="AG316" s="338" t="s">
        <v>427</v>
      </c>
      <c r="AH316" s="338"/>
      <c r="AI316" s="338"/>
      <c r="AJ316" s="338"/>
      <c r="AK316" s="338"/>
      <c r="AL316" s="338"/>
      <c r="AM316" s="338"/>
      <c r="AN316" s="338"/>
      <c r="AO316" s="338"/>
      <c r="AP316" s="338"/>
      <c r="AQ316" s="338"/>
      <c r="AR316" s="338"/>
      <c r="AS316" s="338"/>
      <c r="AT316" s="338"/>
      <c r="AU316" s="340" t="s">
        <v>505</v>
      </c>
      <c r="AV316" s="338"/>
      <c r="AW316" s="338"/>
      <c r="AX316" s="338"/>
      <c r="AY316" s="338"/>
      <c r="AZ316" s="338"/>
      <c r="BA316" s="338"/>
      <c r="BD316" s="72"/>
      <c r="BK316" s="61"/>
      <c r="BL316" s="201" t="s">
        <v>532</v>
      </c>
    </row>
    <row r="317" spans="1:64" ht="15.75" customHeight="1">
      <c r="A317" s="215"/>
      <c r="B317" s="72"/>
      <c r="I317" s="71"/>
      <c r="J317" s="217"/>
      <c r="K317" s="217"/>
      <c r="L317" s="217"/>
      <c r="M317" s="217"/>
      <c r="N317" s="337"/>
      <c r="O317" s="337"/>
      <c r="P317" s="338"/>
      <c r="Q317" s="338"/>
      <c r="R317" s="338" t="s">
        <v>541</v>
      </c>
      <c r="S317" s="338"/>
      <c r="T317" s="338"/>
      <c r="U317" s="338"/>
      <c r="V317" s="338"/>
      <c r="W317" s="338"/>
      <c r="X317" s="338"/>
      <c r="Y317" s="338"/>
      <c r="Z317" s="338"/>
      <c r="AA317" s="338"/>
      <c r="AB317" s="338"/>
      <c r="AC317" s="338" t="s">
        <v>326</v>
      </c>
      <c r="AD317" s="338"/>
      <c r="AE317" s="338"/>
      <c r="AF317" s="338"/>
      <c r="AG317" s="338" t="s">
        <v>427</v>
      </c>
      <c r="AH317" s="338"/>
      <c r="AI317" s="338"/>
      <c r="AJ317" s="338"/>
      <c r="AK317" s="338"/>
      <c r="AL317" s="338"/>
      <c r="AM317" s="338"/>
      <c r="AN317" s="338"/>
      <c r="AO317" s="338"/>
      <c r="AP317" s="338"/>
      <c r="AQ317" s="338"/>
      <c r="AR317" s="338"/>
      <c r="AS317" s="338"/>
      <c r="AT317" s="338"/>
      <c r="AU317" s="340" t="s">
        <v>505</v>
      </c>
      <c r="AV317" s="338"/>
      <c r="AW317" s="338"/>
      <c r="AX317" s="338"/>
      <c r="AY317" s="338"/>
      <c r="AZ317" s="338"/>
      <c r="BA317" s="338"/>
      <c r="BD317" s="72"/>
      <c r="BK317" s="61"/>
      <c r="BL317" s="201" t="s">
        <v>532</v>
      </c>
    </row>
    <row r="318" spans="1:64" ht="15.75" customHeight="1">
      <c r="A318" s="215"/>
      <c r="B318" s="72"/>
      <c r="I318" s="71"/>
      <c r="J318" s="217"/>
      <c r="K318" s="217"/>
      <c r="L318" s="217"/>
      <c r="M318" s="217"/>
      <c r="N318" s="337"/>
      <c r="O318" s="337"/>
      <c r="P318" s="338"/>
      <c r="Q318" s="338"/>
      <c r="R318" s="338" t="s">
        <v>542</v>
      </c>
      <c r="S318" s="338"/>
      <c r="T318" s="338"/>
      <c r="U318" s="338"/>
      <c r="V318" s="338"/>
      <c r="W318" s="338"/>
      <c r="X318" s="338"/>
      <c r="Y318" s="338"/>
      <c r="Z318" s="338"/>
      <c r="AA318" s="338"/>
      <c r="AB318" s="338"/>
      <c r="AC318" s="338" t="s">
        <v>326</v>
      </c>
      <c r="AD318" s="338"/>
      <c r="AE318" s="338"/>
      <c r="AF318" s="338"/>
      <c r="AG318" s="338" t="s">
        <v>497</v>
      </c>
      <c r="AH318" s="338"/>
      <c r="AI318" s="338"/>
      <c r="AJ318" s="338"/>
      <c r="AK318" s="338"/>
      <c r="AL318" s="338"/>
      <c r="AM318" s="338"/>
      <c r="AN318" s="338"/>
      <c r="AO318" s="338"/>
      <c r="AP318" s="338"/>
      <c r="AQ318" s="338"/>
      <c r="AR318" s="338"/>
      <c r="AS318" s="338"/>
      <c r="AT318" s="338"/>
      <c r="AU318" s="338"/>
      <c r="AV318" s="338"/>
      <c r="AW318" s="338"/>
      <c r="AX318" s="338"/>
      <c r="AY318" s="338"/>
      <c r="AZ318" s="338"/>
      <c r="BA318" s="338"/>
      <c r="BD318" s="72"/>
      <c r="BK318" s="61"/>
      <c r="BL318" s="201" t="s">
        <v>532</v>
      </c>
    </row>
    <row r="319" spans="1:64" ht="15.75" customHeight="1">
      <c r="A319" s="215"/>
      <c r="B319" s="72"/>
      <c r="I319" s="71"/>
      <c r="BD319" s="72"/>
      <c r="BK319" s="61"/>
    </row>
    <row r="320" spans="1:64" ht="15.75" customHeight="1">
      <c r="A320" s="215"/>
      <c r="B320" s="72"/>
      <c r="I320" s="71"/>
      <c r="J320" s="217"/>
      <c r="K320" s="217"/>
      <c r="L320" s="217"/>
      <c r="M320" s="217"/>
      <c r="N320" s="217" t="s">
        <v>543</v>
      </c>
      <c r="O320" s="217" t="s">
        <v>544</v>
      </c>
      <c r="BD320" s="72"/>
      <c r="BK320" s="61"/>
    </row>
    <row r="321" spans="1:63" ht="15.75" customHeight="1">
      <c r="A321" s="215"/>
      <c r="B321" s="72"/>
      <c r="I321" s="71"/>
      <c r="J321" s="217"/>
      <c r="K321" s="217"/>
      <c r="L321" s="217"/>
      <c r="M321" s="217"/>
      <c r="N321" s="217"/>
      <c r="O321" s="217" t="s">
        <v>545</v>
      </c>
      <c r="P321" s="217"/>
      <c r="Q321" s="217"/>
      <c r="BD321" s="72"/>
      <c r="BK321" s="61"/>
    </row>
    <row r="322" spans="1:63" ht="15.75" customHeight="1">
      <c r="A322" s="215"/>
      <c r="B322" s="72"/>
      <c r="I322" s="71"/>
      <c r="J322" s="217"/>
      <c r="K322" s="217"/>
      <c r="L322" s="217"/>
      <c r="M322" s="217"/>
      <c r="N322" s="217"/>
      <c r="O322" s="217" t="s">
        <v>546</v>
      </c>
      <c r="P322" s="217"/>
      <c r="Q322" s="217"/>
      <c r="BD322" s="72"/>
      <c r="BK322" s="61"/>
    </row>
    <row r="323" spans="1:63" ht="15.75" customHeight="1">
      <c r="A323" s="215"/>
      <c r="B323" s="72"/>
      <c r="I323" s="71"/>
      <c r="J323" s="217"/>
      <c r="K323" s="217"/>
      <c r="L323" s="217"/>
      <c r="M323" s="217"/>
      <c r="N323" s="217"/>
      <c r="O323" s="217"/>
      <c r="P323" s="217"/>
      <c r="Q323" s="217"/>
      <c r="BD323" s="72"/>
      <c r="BK323" s="61"/>
    </row>
    <row r="324" spans="1:63" ht="15.75" customHeight="1">
      <c r="A324" s="215"/>
      <c r="B324" s="72"/>
      <c r="I324" s="71"/>
      <c r="J324" s="217"/>
      <c r="K324" s="217"/>
      <c r="L324" s="217"/>
      <c r="M324" s="217"/>
      <c r="N324" s="217"/>
      <c r="O324" s="217" t="s">
        <v>547</v>
      </c>
      <c r="BD324" s="72"/>
      <c r="BK324" s="61"/>
    </row>
    <row r="325" spans="1:63" ht="15.75" customHeight="1">
      <c r="A325" s="215"/>
      <c r="B325" s="72"/>
      <c r="I325" s="71"/>
      <c r="J325" s="217"/>
      <c r="K325" s="217"/>
      <c r="L325" s="217"/>
      <c r="M325" s="217"/>
      <c r="N325" s="217"/>
      <c r="O325" s="316" t="s">
        <v>548</v>
      </c>
      <c r="P325" s="317"/>
      <c r="Q325" s="317"/>
      <c r="R325" s="317"/>
      <c r="S325" s="317"/>
      <c r="T325" s="317"/>
      <c r="U325" s="317"/>
      <c r="V325" s="317"/>
      <c r="W325" s="317"/>
      <c r="X325" s="318"/>
      <c r="Y325" s="318"/>
      <c r="Z325" s="316" t="s">
        <v>549</v>
      </c>
      <c r="AA325" s="317"/>
      <c r="AB325" s="317"/>
      <c r="AC325" s="317"/>
      <c r="AD325" s="317"/>
      <c r="AE325" s="317"/>
      <c r="AF325" s="317"/>
      <c r="AG325" s="317"/>
      <c r="AH325" s="317"/>
      <c r="AI325" s="317"/>
      <c r="AJ325" s="317"/>
      <c r="AK325" s="317"/>
      <c r="AL325" s="317"/>
      <c r="AM325" s="317"/>
      <c r="AN325" s="317"/>
      <c r="AO325" s="317"/>
      <c r="AP325" s="317"/>
      <c r="AQ325" s="317"/>
      <c r="AR325" s="316" t="s">
        <v>550</v>
      </c>
      <c r="AS325" s="317"/>
      <c r="AT325" s="317"/>
      <c r="AU325" s="317"/>
      <c r="AV325" s="317"/>
      <c r="AW325" s="317"/>
      <c r="AX325" s="317"/>
      <c r="AY325" s="317"/>
      <c r="AZ325" s="317"/>
      <c r="BA325" s="317"/>
      <c r="BB325" s="319"/>
      <c r="BD325" s="72"/>
      <c r="BK325" s="61"/>
    </row>
    <row r="326" spans="1:63" ht="15.75" customHeight="1">
      <c r="A326" s="215"/>
      <c r="B326" s="72"/>
      <c r="I326" s="71"/>
      <c r="J326" s="217"/>
      <c r="K326" s="217"/>
      <c r="L326" s="217"/>
      <c r="M326" s="217"/>
      <c r="N326" s="217"/>
      <c r="O326" s="323" t="s">
        <v>551</v>
      </c>
      <c r="P326" s="324"/>
      <c r="Q326" s="324"/>
      <c r="R326" s="324"/>
      <c r="S326" s="8"/>
      <c r="T326" s="8"/>
      <c r="U326" s="8"/>
      <c r="V326" s="8"/>
      <c r="W326" s="324"/>
      <c r="X326" s="324"/>
      <c r="Y326" s="321"/>
      <c r="Z326" s="325" t="s">
        <v>552</v>
      </c>
      <c r="AA326" s="321"/>
      <c r="AB326" s="321"/>
      <c r="AC326" s="321"/>
      <c r="AD326" s="321"/>
      <c r="AE326" s="321"/>
      <c r="AF326" s="321"/>
      <c r="AG326" s="321"/>
      <c r="AH326" s="321"/>
      <c r="AI326" s="321"/>
      <c r="AJ326" s="321"/>
      <c r="AK326" s="321"/>
      <c r="AL326" s="321"/>
      <c r="AM326" s="321"/>
      <c r="AN326" s="321"/>
      <c r="AO326" s="321"/>
      <c r="AP326" s="321"/>
      <c r="AQ326" s="321"/>
      <c r="AR326" s="320"/>
      <c r="AS326" s="321"/>
      <c r="AT326" s="321"/>
      <c r="AU326" s="321"/>
      <c r="AV326" s="321"/>
      <c r="AW326" s="321"/>
      <c r="AX326" s="321"/>
      <c r="AY326" s="321"/>
      <c r="AZ326" s="321"/>
      <c r="BA326" s="321"/>
      <c r="BB326" s="322"/>
      <c r="BD326" s="72"/>
      <c r="BK326" s="61"/>
    </row>
    <row r="327" spans="1:63" ht="15.75" customHeight="1">
      <c r="A327" s="215"/>
      <c r="B327" s="72"/>
      <c r="I327" s="71"/>
      <c r="J327" s="217"/>
      <c r="K327" s="217"/>
      <c r="L327" s="217"/>
      <c r="M327" s="217"/>
      <c r="N327" s="217"/>
      <c r="O327" s="323" t="s">
        <v>529</v>
      </c>
      <c r="P327" s="324"/>
      <c r="Q327" s="324"/>
      <c r="R327" s="324"/>
      <c r="S327" s="8"/>
      <c r="T327" s="8"/>
      <c r="U327" s="8"/>
      <c r="V327" s="8"/>
      <c r="W327" s="324"/>
      <c r="X327" s="324"/>
      <c r="Y327" s="321"/>
      <c r="Z327" s="320" t="s">
        <v>553</v>
      </c>
      <c r="AA327" s="321"/>
      <c r="AB327" s="321"/>
      <c r="AC327" s="321"/>
      <c r="AD327" s="321"/>
      <c r="AE327" s="321"/>
      <c r="AF327" s="321"/>
      <c r="AG327" s="321"/>
      <c r="AH327" s="321"/>
      <c r="AI327" s="321"/>
      <c r="AJ327" s="321"/>
      <c r="AK327" s="321"/>
      <c r="AL327" s="321"/>
      <c r="AM327" s="321"/>
      <c r="AN327" s="321"/>
      <c r="AO327" s="321"/>
      <c r="AP327" s="321"/>
      <c r="AQ327" s="321"/>
      <c r="AR327" s="320"/>
      <c r="AS327" s="321"/>
      <c r="AT327" s="321"/>
      <c r="AU327" s="321"/>
      <c r="AV327" s="321"/>
      <c r="AW327" s="321"/>
      <c r="AX327" s="321"/>
      <c r="AY327" s="321"/>
      <c r="AZ327" s="321"/>
      <c r="BA327" s="321"/>
      <c r="BB327" s="322"/>
      <c r="BD327" s="72"/>
      <c r="BK327" s="61"/>
    </row>
    <row r="328" spans="1:63" ht="15.75" customHeight="1">
      <c r="A328" s="215"/>
      <c r="B328" s="72"/>
      <c r="I328" s="71"/>
      <c r="J328" s="217"/>
      <c r="K328" s="217"/>
      <c r="L328" s="217"/>
      <c r="M328" s="217"/>
      <c r="N328" s="217"/>
      <c r="O328" s="323" t="s">
        <v>527</v>
      </c>
      <c r="P328" s="324"/>
      <c r="Q328" s="324"/>
      <c r="R328" s="324"/>
      <c r="S328" s="8"/>
      <c r="T328" s="8"/>
      <c r="U328" s="8"/>
      <c r="V328" s="8"/>
      <c r="W328" s="324"/>
      <c r="X328" s="324"/>
      <c r="Y328" s="321"/>
      <c r="Z328" s="320" t="s">
        <v>554</v>
      </c>
      <c r="AA328" s="321"/>
      <c r="AB328" s="321"/>
      <c r="AC328" s="321"/>
      <c r="AD328" s="321"/>
      <c r="AE328" s="321"/>
      <c r="AF328" s="321"/>
      <c r="AG328" s="321"/>
      <c r="AH328" s="321"/>
      <c r="AI328" s="321"/>
      <c r="AJ328" s="321"/>
      <c r="AK328" s="321"/>
      <c r="AL328" s="321"/>
      <c r="AM328" s="321"/>
      <c r="AN328" s="321"/>
      <c r="AO328" s="321"/>
      <c r="AP328" s="321"/>
      <c r="AQ328" s="321"/>
      <c r="AR328" s="320"/>
      <c r="AS328" s="321"/>
      <c r="AT328" s="321"/>
      <c r="AU328" s="321"/>
      <c r="AV328" s="321"/>
      <c r="AW328" s="321"/>
      <c r="AX328" s="321"/>
      <c r="AY328" s="321"/>
      <c r="AZ328" s="321"/>
      <c r="BA328" s="321"/>
      <c r="BB328" s="322"/>
      <c r="BD328" s="72"/>
      <c r="BK328" s="61"/>
    </row>
    <row r="329" spans="1:63" ht="15.75" customHeight="1">
      <c r="A329" s="215"/>
      <c r="B329" s="72"/>
      <c r="I329" s="71"/>
      <c r="J329" s="217"/>
      <c r="K329" s="217"/>
      <c r="L329" s="217"/>
      <c r="M329" s="217"/>
      <c r="N329" s="217"/>
      <c r="O329" s="323" t="s">
        <v>555</v>
      </c>
      <c r="P329" s="324"/>
      <c r="Q329" s="324"/>
      <c r="R329" s="324"/>
      <c r="S329" s="8"/>
      <c r="T329" s="8"/>
      <c r="U329" s="8"/>
      <c r="V329" s="8"/>
      <c r="W329" s="324"/>
      <c r="X329" s="324"/>
      <c r="Y329" s="321"/>
      <c r="Z329" s="320" t="s">
        <v>556</v>
      </c>
      <c r="AA329" s="321"/>
      <c r="AB329" s="321"/>
      <c r="AC329" s="321"/>
      <c r="AD329" s="321"/>
      <c r="AE329" s="321"/>
      <c r="AF329" s="321"/>
      <c r="AG329" s="321"/>
      <c r="AH329" s="321"/>
      <c r="AI329" s="321"/>
      <c r="AJ329" s="321"/>
      <c r="AK329" s="321"/>
      <c r="AL329" s="321"/>
      <c r="AM329" s="321"/>
      <c r="AN329" s="321"/>
      <c r="AO329" s="321"/>
      <c r="AP329" s="321"/>
      <c r="AQ329" s="321"/>
      <c r="AR329" s="320"/>
      <c r="AS329" s="321"/>
      <c r="AT329" s="321"/>
      <c r="AU329" s="321"/>
      <c r="AV329" s="321"/>
      <c r="AW329" s="321"/>
      <c r="AX329" s="321"/>
      <c r="AY329" s="321"/>
      <c r="AZ329" s="321"/>
      <c r="BA329" s="321"/>
      <c r="BB329" s="322"/>
      <c r="BD329" s="72"/>
      <c r="BK329" s="61"/>
    </row>
    <row r="330" spans="1:63" ht="15.75" customHeight="1">
      <c r="A330" s="215"/>
      <c r="B330" s="72"/>
      <c r="I330" s="71"/>
      <c r="J330" s="217"/>
      <c r="K330" s="217"/>
      <c r="L330" s="217"/>
      <c r="M330" s="217"/>
      <c r="N330" s="217"/>
      <c r="O330" s="323" t="s">
        <v>557</v>
      </c>
      <c r="P330" s="324"/>
      <c r="Q330" s="324"/>
      <c r="R330" s="324"/>
      <c r="S330" s="8"/>
      <c r="T330" s="8"/>
      <c r="U330" s="8"/>
      <c r="V330" s="8"/>
      <c r="W330" s="324"/>
      <c r="X330" s="324"/>
      <c r="Y330" s="321"/>
      <c r="Z330" s="320" t="s">
        <v>558</v>
      </c>
      <c r="AA330" s="321"/>
      <c r="AB330" s="321"/>
      <c r="AC330" s="321"/>
      <c r="AD330" s="321"/>
      <c r="AE330" s="321"/>
      <c r="AF330" s="321"/>
      <c r="AG330" s="321"/>
      <c r="AH330" s="321"/>
      <c r="AI330" s="321"/>
      <c r="AJ330" s="321"/>
      <c r="AK330" s="321"/>
      <c r="AL330" s="321"/>
      <c r="AM330" s="321"/>
      <c r="AN330" s="321"/>
      <c r="AO330" s="321"/>
      <c r="AP330" s="321"/>
      <c r="AQ330" s="321"/>
      <c r="AR330" s="320"/>
      <c r="AS330" s="321"/>
      <c r="AT330" s="321"/>
      <c r="AU330" s="321"/>
      <c r="AV330" s="321"/>
      <c r="AW330" s="321"/>
      <c r="AX330" s="321"/>
      <c r="AY330" s="321"/>
      <c r="AZ330" s="321"/>
      <c r="BA330" s="321"/>
      <c r="BB330" s="322"/>
      <c r="BD330" s="72"/>
      <c r="BK330" s="61"/>
    </row>
    <row r="331" spans="1:63" ht="15.75" customHeight="1">
      <c r="A331" s="215"/>
      <c r="B331" s="72"/>
      <c r="I331" s="71"/>
      <c r="J331" s="217"/>
      <c r="K331" s="217"/>
      <c r="L331" s="217"/>
      <c r="M331" s="217"/>
      <c r="N331" s="217"/>
      <c r="O331" s="323" t="s">
        <v>559</v>
      </c>
      <c r="P331" s="324"/>
      <c r="Q331" s="324"/>
      <c r="R331" s="324"/>
      <c r="S331" s="8"/>
      <c r="T331" s="8"/>
      <c r="U331" s="8"/>
      <c r="V331" s="8"/>
      <c r="W331" s="324"/>
      <c r="X331" s="324"/>
      <c r="Y331" s="321"/>
      <c r="Z331" s="320" t="s">
        <v>558</v>
      </c>
      <c r="AA331" s="321"/>
      <c r="AB331" s="321"/>
      <c r="AC331" s="321"/>
      <c r="AD331" s="321"/>
      <c r="AE331" s="321"/>
      <c r="AF331" s="321"/>
      <c r="AG331" s="321"/>
      <c r="AH331" s="321"/>
      <c r="AI331" s="321"/>
      <c r="AJ331" s="321"/>
      <c r="AK331" s="321"/>
      <c r="AL331" s="321"/>
      <c r="AM331" s="321"/>
      <c r="AN331" s="321"/>
      <c r="AO331" s="321"/>
      <c r="AP331" s="321"/>
      <c r="AQ331" s="321"/>
      <c r="AR331" s="320"/>
      <c r="AS331" s="321"/>
      <c r="AT331" s="321"/>
      <c r="AU331" s="321"/>
      <c r="AV331" s="321"/>
      <c r="AW331" s="321"/>
      <c r="AX331" s="321"/>
      <c r="AY331" s="321"/>
      <c r="AZ331" s="321"/>
      <c r="BA331" s="321"/>
      <c r="BB331" s="322"/>
      <c r="BD331" s="72"/>
      <c r="BK331" s="61"/>
    </row>
    <row r="332" spans="1:63" ht="15.75" customHeight="1">
      <c r="A332" s="215"/>
      <c r="B332" s="72"/>
      <c r="I332" s="71"/>
      <c r="J332" s="217"/>
      <c r="K332" s="217"/>
      <c r="L332" s="217"/>
      <c r="M332" s="217"/>
      <c r="N332" s="217"/>
      <c r="O332" s="323" t="s">
        <v>560</v>
      </c>
      <c r="P332" s="324"/>
      <c r="Q332" s="324"/>
      <c r="R332" s="324"/>
      <c r="S332" s="8"/>
      <c r="T332" s="8"/>
      <c r="U332" s="8"/>
      <c r="V332" s="8"/>
      <c r="W332" s="324"/>
      <c r="X332" s="324"/>
      <c r="Y332" s="321"/>
      <c r="Z332" s="320" t="s">
        <v>556</v>
      </c>
      <c r="AA332" s="321"/>
      <c r="AB332" s="321"/>
      <c r="AC332" s="321"/>
      <c r="AD332" s="321"/>
      <c r="AE332" s="321"/>
      <c r="AF332" s="321"/>
      <c r="AG332" s="321"/>
      <c r="AH332" s="321"/>
      <c r="AI332" s="321"/>
      <c r="AJ332" s="321"/>
      <c r="AK332" s="321"/>
      <c r="AL332" s="321"/>
      <c r="AM332" s="321"/>
      <c r="AN332" s="321"/>
      <c r="AO332" s="321"/>
      <c r="AP332" s="321"/>
      <c r="AQ332" s="321"/>
      <c r="AR332" s="320"/>
      <c r="AS332" s="321"/>
      <c r="AT332" s="321"/>
      <c r="AU332" s="321"/>
      <c r="AV332" s="321"/>
      <c r="AW332" s="321"/>
      <c r="AX332" s="321"/>
      <c r="AY332" s="321"/>
      <c r="AZ332" s="321"/>
      <c r="BA332" s="321"/>
      <c r="BB332" s="322"/>
      <c r="BD332" s="72"/>
      <c r="BK332" s="61"/>
    </row>
    <row r="333" spans="1:63" ht="15.75" customHeight="1">
      <c r="A333" s="215"/>
      <c r="B333" s="72"/>
      <c r="I333" s="71"/>
      <c r="J333" s="217"/>
      <c r="K333" s="217"/>
      <c r="L333" s="217"/>
      <c r="M333" s="217"/>
      <c r="N333" s="217"/>
      <c r="O333" s="323" t="s">
        <v>561</v>
      </c>
      <c r="P333" s="324"/>
      <c r="Q333" s="324"/>
      <c r="R333" s="324"/>
      <c r="S333" s="8"/>
      <c r="T333" s="8"/>
      <c r="U333" s="8"/>
      <c r="V333" s="8"/>
      <c r="W333" s="324"/>
      <c r="X333" s="324"/>
      <c r="Y333" s="321"/>
      <c r="Z333" s="320" t="s">
        <v>556</v>
      </c>
      <c r="AA333" s="321"/>
      <c r="AB333" s="321"/>
      <c r="AC333" s="321"/>
      <c r="AD333" s="321"/>
      <c r="AE333" s="321"/>
      <c r="AF333" s="321"/>
      <c r="AG333" s="321"/>
      <c r="AH333" s="321"/>
      <c r="AI333" s="321"/>
      <c r="AJ333" s="321"/>
      <c r="AK333" s="321"/>
      <c r="AL333" s="321"/>
      <c r="AM333" s="321"/>
      <c r="AN333" s="321"/>
      <c r="AO333" s="321"/>
      <c r="AP333" s="321"/>
      <c r="AQ333" s="321"/>
      <c r="AR333" s="320"/>
      <c r="AS333" s="321"/>
      <c r="AT333" s="321"/>
      <c r="AU333" s="321"/>
      <c r="AV333" s="321"/>
      <c r="AW333" s="321"/>
      <c r="AX333" s="321"/>
      <c r="AY333" s="321"/>
      <c r="AZ333" s="321"/>
      <c r="BA333" s="321"/>
      <c r="BB333" s="322"/>
      <c r="BD333" s="72"/>
      <c r="BK333" s="61"/>
    </row>
    <row r="334" spans="1:63" ht="15.75" customHeight="1">
      <c r="A334" s="215"/>
      <c r="B334" s="72"/>
      <c r="I334" s="71"/>
      <c r="J334" s="217"/>
      <c r="K334" s="217"/>
      <c r="L334" s="217"/>
      <c r="M334" s="217"/>
      <c r="N334" s="217"/>
      <c r="O334" s="323" t="s">
        <v>562</v>
      </c>
      <c r="P334" s="324"/>
      <c r="Q334" s="324"/>
      <c r="R334" s="324"/>
      <c r="S334" s="8"/>
      <c r="T334" s="8"/>
      <c r="U334" s="8"/>
      <c r="V334" s="8"/>
      <c r="W334" s="324"/>
      <c r="X334" s="324"/>
      <c r="Y334" s="321"/>
      <c r="Z334" s="320" t="s">
        <v>563</v>
      </c>
      <c r="AA334" s="321"/>
      <c r="AB334" s="321"/>
      <c r="AC334" s="321"/>
      <c r="AD334" s="321"/>
      <c r="AE334" s="321"/>
      <c r="AF334" s="321"/>
      <c r="AG334" s="321"/>
      <c r="AH334" s="321"/>
      <c r="AI334" s="321"/>
      <c r="AJ334" s="321"/>
      <c r="AK334" s="321"/>
      <c r="AL334" s="321"/>
      <c r="AM334" s="321"/>
      <c r="AN334" s="321"/>
      <c r="AO334" s="321"/>
      <c r="AP334" s="321"/>
      <c r="AQ334" s="321"/>
      <c r="AR334" s="320"/>
      <c r="AS334" s="321"/>
      <c r="AT334" s="321"/>
      <c r="AU334" s="321"/>
      <c r="AV334" s="321"/>
      <c r="AW334" s="321"/>
      <c r="AX334" s="321"/>
      <c r="AY334" s="321"/>
      <c r="AZ334" s="321"/>
      <c r="BA334" s="321"/>
      <c r="BB334" s="322"/>
      <c r="BD334" s="72"/>
      <c r="BK334" s="61"/>
    </row>
    <row r="335" spans="1:63" ht="15.75" customHeight="1">
      <c r="A335" s="215"/>
      <c r="B335" s="72"/>
      <c r="I335" s="71"/>
      <c r="J335" s="217"/>
      <c r="K335" s="217"/>
      <c r="L335" s="217"/>
      <c r="M335" s="217"/>
      <c r="N335" s="217"/>
      <c r="O335" s="323" t="s">
        <v>564</v>
      </c>
      <c r="P335" s="324"/>
      <c r="Q335" s="324"/>
      <c r="R335" s="324"/>
      <c r="S335" s="8"/>
      <c r="T335" s="8"/>
      <c r="U335" s="8"/>
      <c r="V335" s="8"/>
      <c r="W335" s="324"/>
      <c r="X335" s="324"/>
      <c r="Y335" s="321"/>
      <c r="Z335" s="320" t="s">
        <v>556</v>
      </c>
      <c r="AA335" s="321"/>
      <c r="AB335" s="321"/>
      <c r="AC335" s="321"/>
      <c r="AD335" s="321"/>
      <c r="AE335" s="321"/>
      <c r="AF335" s="321"/>
      <c r="AG335" s="321"/>
      <c r="AH335" s="321"/>
      <c r="AI335" s="321"/>
      <c r="AJ335" s="321"/>
      <c r="AK335" s="321"/>
      <c r="AL335" s="321"/>
      <c r="AM335" s="321"/>
      <c r="AN335" s="321"/>
      <c r="AO335" s="321"/>
      <c r="AP335" s="321"/>
      <c r="AQ335" s="321"/>
      <c r="AR335" s="320"/>
      <c r="AS335" s="321"/>
      <c r="AT335" s="321"/>
      <c r="AU335" s="321"/>
      <c r="AV335" s="321"/>
      <c r="AW335" s="321"/>
      <c r="AX335" s="321"/>
      <c r="AY335" s="321"/>
      <c r="AZ335" s="321"/>
      <c r="BA335" s="321"/>
      <c r="BB335" s="322"/>
      <c r="BD335" s="72"/>
      <c r="BK335" s="61"/>
    </row>
    <row r="336" spans="1:63" ht="15.75" customHeight="1">
      <c r="A336" s="215"/>
      <c r="B336" s="72"/>
      <c r="I336" s="71"/>
      <c r="J336" s="217"/>
      <c r="K336" s="217"/>
      <c r="L336" s="217"/>
      <c r="M336" s="217"/>
      <c r="N336" s="217"/>
      <c r="O336" s="323" t="s">
        <v>565</v>
      </c>
      <c r="P336" s="324"/>
      <c r="Q336" s="324"/>
      <c r="R336" s="324"/>
      <c r="S336" s="8"/>
      <c r="T336" s="8"/>
      <c r="U336" s="8"/>
      <c r="V336" s="8"/>
      <c r="W336" s="324"/>
      <c r="X336" s="324"/>
      <c r="Y336" s="321"/>
      <c r="Z336" s="320" t="s">
        <v>566</v>
      </c>
      <c r="AA336" s="321"/>
      <c r="AB336" s="321"/>
      <c r="AC336" s="321"/>
      <c r="AD336" s="321"/>
      <c r="AE336" s="321"/>
      <c r="AF336" s="321"/>
      <c r="AG336" s="321"/>
      <c r="AH336" s="321"/>
      <c r="AI336" s="321"/>
      <c r="AJ336" s="321"/>
      <c r="AK336" s="321"/>
      <c r="AL336" s="321"/>
      <c r="AM336" s="321"/>
      <c r="AN336" s="321"/>
      <c r="AO336" s="321"/>
      <c r="AP336" s="321"/>
      <c r="AQ336" s="321"/>
      <c r="AR336" s="320" t="s">
        <v>567</v>
      </c>
      <c r="AS336" s="321"/>
      <c r="AT336" s="321"/>
      <c r="AU336" s="321"/>
      <c r="AV336" s="321"/>
      <c r="AW336" s="321"/>
      <c r="AX336" s="321"/>
      <c r="AY336" s="321"/>
      <c r="AZ336" s="321"/>
      <c r="BA336" s="321"/>
      <c r="BB336" s="322"/>
      <c r="BD336" s="72"/>
      <c r="BK336" s="61"/>
    </row>
    <row r="337" spans="1:63" ht="15.75" customHeight="1">
      <c r="A337" s="215"/>
      <c r="B337" s="72"/>
      <c r="I337" s="71"/>
      <c r="J337" s="217"/>
      <c r="K337" s="217"/>
      <c r="L337" s="217"/>
      <c r="M337" s="217"/>
      <c r="N337" s="217"/>
      <c r="O337" s="323" t="s">
        <v>568</v>
      </c>
      <c r="P337" s="324"/>
      <c r="Q337" s="324"/>
      <c r="R337" s="324"/>
      <c r="S337" s="8"/>
      <c r="T337" s="8"/>
      <c r="U337" s="8"/>
      <c r="V337" s="8"/>
      <c r="W337" s="324"/>
      <c r="X337" s="324"/>
      <c r="Y337" s="321"/>
      <c r="Z337" s="320" t="s">
        <v>556</v>
      </c>
      <c r="AA337" s="321"/>
      <c r="AB337" s="321"/>
      <c r="AC337" s="321"/>
      <c r="AD337" s="321"/>
      <c r="AE337" s="321"/>
      <c r="AF337" s="321"/>
      <c r="AG337" s="321"/>
      <c r="AH337" s="321"/>
      <c r="AI337" s="321"/>
      <c r="AJ337" s="321"/>
      <c r="AK337" s="321"/>
      <c r="AL337" s="321"/>
      <c r="AM337" s="321"/>
      <c r="AN337" s="321"/>
      <c r="AO337" s="321"/>
      <c r="AP337" s="321"/>
      <c r="AQ337" s="321"/>
      <c r="AR337" s="320"/>
      <c r="AS337" s="321"/>
      <c r="AT337" s="321"/>
      <c r="AU337" s="321"/>
      <c r="AV337" s="321"/>
      <c r="AW337" s="321"/>
      <c r="AX337" s="321"/>
      <c r="AY337" s="321"/>
      <c r="AZ337" s="321"/>
      <c r="BA337" s="321"/>
      <c r="BB337" s="322"/>
      <c r="BD337" s="72"/>
      <c r="BK337" s="61"/>
    </row>
    <row r="338" spans="1:63" ht="15.75" customHeight="1">
      <c r="A338" s="215"/>
      <c r="B338" s="72"/>
      <c r="I338" s="71"/>
      <c r="J338" s="217"/>
      <c r="K338" s="217"/>
      <c r="L338" s="217"/>
      <c r="M338" s="217"/>
      <c r="N338" s="217"/>
      <c r="O338" s="323" t="s">
        <v>569</v>
      </c>
      <c r="P338" s="324"/>
      <c r="Q338" s="324"/>
      <c r="R338" s="324"/>
      <c r="S338" s="8"/>
      <c r="T338" s="8"/>
      <c r="U338" s="8"/>
      <c r="V338" s="8"/>
      <c r="W338" s="324"/>
      <c r="X338" s="324"/>
      <c r="Y338" s="321"/>
      <c r="Z338" s="320" t="s">
        <v>556</v>
      </c>
      <c r="AA338" s="321"/>
      <c r="AB338" s="321"/>
      <c r="AC338" s="321"/>
      <c r="AD338" s="321"/>
      <c r="AE338" s="321"/>
      <c r="AF338" s="321"/>
      <c r="AG338" s="321"/>
      <c r="AH338" s="321"/>
      <c r="AI338" s="321"/>
      <c r="AJ338" s="321"/>
      <c r="AK338" s="321"/>
      <c r="AL338" s="321"/>
      <c r="AM338" s="321"/>
      <c r="AN338" s="321"/>
      <c r="AO338" s="321"/>
      <c r="AP338" s="321"/>
      <c r="AQ338" s="321"/>
      <c r="AR338" s="320"/>
      <c r="AS338" s="321"/>
      <c r="AT338" s="321"/>
      <c r="AU338" s="321"/>
      <c r="AV338" s="321"/>
      <c r="AW338" s="321"/>
      <c r="AX338" s="321"/>
      <c r="AY338" s="321"/>
      <c r="AZ338" s="321"/>
      <c r="BA338" s="321"/>
      <c r="BB338" s="322"/>
      <c r="BD338" s="72"/>
      <c r="BK338" s="61"/>
    </row>
    <row r="339" spans="1:63" ht="15.75" customHeight="1">
      <c r="A339" s="215"/>
      <c r="B339" s="72"/>
      <c r="I339" s="71"/>
      <c r="J339" s="217"/>
      <c r="K339" s="217"/>
      <c r="L339" s="217"/>
      <c r="M339" s="217"/>
      <c r="N339" s="217"/>
      <c r="O339" s="323" t="s">
        <v>570</v>
      </c>
      <c r="P339" s="324"/>
      <c r="Q339" s="324"/>
      <c r="R339" s="324"/>
      <c r="S339" s="8"/>
      <c r="T339" s="8"/>
      <c r="U339" s="8"/>
      <c r="V339" s="8"/>
      <c r="W339" s="324"/>
      <c r="X339" s="324"/>
      <c r="Y339" s="321"/>
      <c r="Z339" s="320" t="s">
        <v>556</v>
      </c>
      <c r="AA339" s="321"/>
      <c r="AB339" s="321"/>
      <c r="AC339" s="321"/>
      <c r="AD339" s="321"/>
      <c r="AE339" s="321"/>
      <c r="AF339" s="321"/>
      <c r="AG339" s="321"/>
      <c r="AH339" s="321"/>
      <c r="AI339" s="321"/>
      <c r="AJ339" s="321"/>
      <c r="AK339" s="321"/>
      <c r="AL339" s="321"/>
      <c r="AM339" s="321"/>
      <c r="AN339" s="321"/>
      <c r="AO339" s="321"/>
      <c r="AP339" s="321"/>
      <c r="AQ339" s="321"/>
      <c r="AR339" s="320"/>
      <c r="AS339" s="321"/>
      <c r="AT339" s="321"/>
      <c r="AU339" s="321"/>
      <c r="AV339" s="321"/>
      <c r="AW339" s="321"/>
      <c r="AX339" s="321"/>
      <c r="AY339" s="321"/>
      <c r="AZ339" s="321"/>
      <c r="BA339" s="321"/>
      <c r="BB339" s="322"/>
      <c r="BD339" s="72"/>
      <c r="BK339" s="61"/>
    </row>
    <row r="340" spans="1:63" ht="15.75" customHeight="1">
      <c r="A340" s="215"/>
      <c r="B340" s="72"/>
      <c r="I340" s="71"/>
      <c r="J340" s="217"/>
      <c r="K340" s="217"/>
      <c r="L340" s="217"/>
      <c r="M340" s="217"/>
      <c r="N340" s="217"/>
      <c r="O340" s="323" t="s">
        <v>571</v>
      </c>
      <c r="P340" s="324"/>
      <c r="Q340" s="324"/>
      <c r="R340" s="324"/>
      <c r="S340" s="8"/>
      <c r="T340" s="8"/>
      <c r="U340" s="8"/>
      <c r="V340" s="8"/>
      <c r="W340" s="324"/>
      <c r="X340" s="324"/>
      <c r="Y340" s="321"/>
      <c r="Z340" s="320" t="s">
        <v>556</v>
      </c>
      <c r="AA340" s="321"/>
      <c r="AB340" s="321"/>
      <c r="AC340" s="321"/>
      <c r="AD340" s="321"/>
      <c r="AE340" s="321"/>
      <c r="AF340" s="321"/>
      <c r="AG340" s="321"/>
      <c r="AH340" s="321"/>
      <c r="AI340" s="321"/>
      <c r="AJ340" s="321"/>
      <c r="AK340" s="321"/>
      <c r="AL340" s="321"/>
      <c r="AM340" s="321"/>
      <c r="AN340" s="321"/>
      <c r="AO340" s="321"/>
      <c r="AP340" s="321"/>
      <c r="AQ340" s="321"/>
      <c r="AR340" s="320" t="s">
        <v>572</v>
      </c>
      <c r="AS340" s="321"/>
      <c r="AT340" s="321"/>
      <c r="AU340" s="321"/>
      <c r="AV340" s="321"/>
      <c r="AW340" s="321"/>
      <c r="AX340" s="321"/>
      <c r="AY340" s="321"/>
      <c r="AZ340" s="321"/>
      <c r="BA340" s="321"/>
      <c r="BB340" s="322"/>
      <c r="BD340" s="72"/>
      <c r="BK340" s="61"/>
    </row>
    <row r="341" spans="1:63" ht="15.75" customHeight="1">
      <c r="A341" s="215"/>
      <c r="B341" s="72"/>
      <c r="I341" s="71"/>
      <c r="J341" s="217"/>
      <c r="K341" s="217"/>
      <c r="L341" s="217"/>
      <c r="M341" s="217"/>
      <c r="N341" s="217"/>
      <c r="O341" s="217"/>
      <c r="BD341" s="72"/>
      <c r="BK341" s="61"/>
    </row>
    <row r="342" spans="1:63" ht="15.75" customHeight="1">
      <c r="A342" s="215"/>
      <c r="B342" s="72"/>
      <c r="I342" s="71"/>
      <c r="J342" s="217"/>
      <c r="K342" s="217"/>
      <c r="L342" s="217"/>
      <c r="M342" s="217"/>
      <c r="N342" s="217"/>
      <c r="O342" s="217" t="s">
        <v>573</v>
      </c>
      <c r="BD342" s="72"/>
      <c r="BK342" s="61"/>
    </row>
    <row r="343" spans="1:63" ht="15.75" customHeight="1">
      <c r="A343" s="215"/>
      <c r="B343" s="72"/>
      <c r="I343" s="71"/>
      <c r="J343" s="217"/>
      <c r="K343" s="217"/>
      <c r="L343" s="217"/>
      <c r="M343" s="217"/>
      <c r="N343" s="217"/>
      <c r="O343" s="316" t="s">
        <v>548</v>
      </c>
      <c r="P343" s="317"/>
      <c r="Q343" s="317"/>
      <c r="R343" s="317"/>
      <c r="S343" s="317"/>
      <c r="T343" s="317"/>
      <c r="U343" s="317"/>
      <c r="V343" s="317"/>
      <c r="W343" s="317"/>
      <c r="X343" s="318"/>
      <c r="Y343" s="318"/>
      <c r="Z343" s="316" t="s">
        <v>549</v>
      </c>
      <c r="AA343" s="317"/>
      <c r="AB343" s="317"/>
      <c r="AC343" s="317"/>
      <c r="AD343" s="317"/>
      <c r="AE343" s="317"/>
      <c r="AF343" s="317"/>
      <c r="AG343" s="317"/>
      <c r="AH343" s="317"/>
      <c r="AI343" s="317"/>
      <c r="AJ343" s="317"/>
      <c r="AK343" s="317"/>
      <c r="AL343" s="317"/>
      <c r="AM343" s="317"/>
      <c r="AN343" s="317"/>
      <c r="AO343" s="317"/>
      <c r="AP343" s="317"/>
      <c r="AQ343" s="317"/>
      <c r="AR343" s="316" t="s">
        <v>550</v>
      </c>
      <c r="AS343" s="317"/>
      <c r="AT343" s="317"/>
      <c r="AU343" s="317"/>
      <c r="AV343" s="317"/>
      <c r="AW343" s="317"/>
      <c r="AX343" s="317"/>
      <c r="AY343" s="317"/>
      <c r="AZ343" s="317"/>
      <c r="BA343" s="317"/>
      <c r="BB343" s="319"/>
      <c r="BD343" s="72"/>
      <c r="BK343" s="61"/>
    </row>
    <row r="344" spans="1:63" ht="15.75" customHeight="1">
      <c r="A344" s="215"/>
      <c r="B344" s="72"/>
      <c r="I344" s="71"/>
      <c r="J344" s="217"/>
      <c r="K344" s="217"/>
      <c r="L344" s="217"/>
      <c r="M344" s="217"/>
      <c r="N344" s="217"/>
      <c r="O344" s="323" t="s">
        <v>574</v>
      </c>
      <c r="P344" s="324"/>
      <c r="Q344" s="324"/>
      <c r="R344" s="324"/>
      <c r="S344" s="8"/>
      <c r="T344" s="8"/>
      <c r="U344" s="8"/>
      <c r="V344" s="8"/>
      <c r="W344" s="324"/>
      <c r="X344" s="324"/>
      <c r="Y344" s="321"/>
      <c r="Z344" s="320" t="s">
        <v>566</v>
      </c>
      <c r="AA344" s="321"/>
      <c r="AB344" s="321"/>
      <c r="AC344" s="321"/>
      <c r="AD344" s="321"/>
      <c r="AE344" s="321"/>
      <c r="AF344" s="321"/>
      <c r="AG344" s="321"/>
      <c r="AH344" s="321"/>
      <c r="AI344" s="321"/>
      <c r="AJ344" s="321"/>
      <c r="AK344" s="321"/>
      <c r="AL344" s="321"/>
      <c r="AM344" s="321"/>
      <c r="AN344" s="321"/>
      <c r="AO344" s="321"/>
      <c r="AP344" s="321"/>
      <c r="AQ344" s="321"/>
      <c r="AR344" s="320" t="s">
        <v>575</v>
      </c>
      <c r="AS344" s="321"/>
      <c r="AT344" s="321"/>
      <c r="AU344" s="321"/>
      <c r="AV344" s="321"/>
      <c r="AW344" s="321"/>
      <c r="AX344" s="321"/>
      <c r="AY344" s="321"/>
      <c r="AZ344" s="321"/>
      <c r="BA344" s="321"/>
      <c r="BB344" s="322"/>
      <c r="BD344" s="72"/>
      <c r="BK344" s="61"/>
    </row>
    <row r="345" spans="1:63" ht="15.75" customHeight="1">
      <c r="A345" s="215"/>
      <c r="B345" s="72"/>
      <c r="I345" s="71"/>
      <c r="J345" s="217"/>
      <c r="K345" s="217"/>
      <c r="L345" s="217"/>
      <c r="M345" s="217"/>
      <c r="N345" s="217"/>
      <c r="O345" s="323" t="s">
        <v>576</v>
      </c>
      <c r="P345" s="324"/>
      <c r="Q345" s="324"/>
      <c r="R345" s="324"/>
      <c r="S345" s="8"/>
      <c r="T345" s="8"/>
      <c r="U345" s="8"/>
      <c r="V345" s="8"/>
      <c r="W345" s="324"/>
      <c r="X345" s="324"/>
      <c r="Y345" s="321"/>
      <c r="Z345" s="320" t="s">
        <v>577</v>
      </c>
      <c r="AA345" s="321"/>
      <c r="AB345" s="321"/>
      <c r="AC345" s="321"/>
      <c r="AD345" s="321"/>
      <c r="AE345" s="321"/>
      <c r="AF345" s="321"/>
      <c r="AG345" s="321"/>
      <c r="AH345" s="321"/>
      <c r="AI345" s="321"/>
      <c r="AJ345" s="321"/>
      <c r="AK345" s="321"/>
      <c r="AL345" s="321"/>
      <c r="AM345" s="321"/>
      <c r="AN345" s="321"/>
      <c r="AO345" s="321"/>
      <c r="AP345" s="321"/>
      <c r="AQ345" s="321"/>
      <c r="AR345" s="320"/>
      <c r="AS345" s="321"/>
      <c r="AT345" s="321"/>
      <c r="AU345" s="321"/>
      <c r="AV345" s="321"/>
      <c r="AW345" s="321"/>
      <c r="AX345" s="321"/>
      <c r="AY345" s="321"/>
      <c r="AZ345" s="321"/>
      <c r="BA345" s="321"/>
      <c r="BB345" s="322"/>
      <c r="BD345" s="72"/>
      <c r="BK345" s="61"/>
    </row>
    <row r="346" spans="1:63" ht="15.75" customHeight="1">
      <c r="A346" s="215"/>
      <c r="B346" s="72"/>
      <c r="I346" s="71"/>
      <c r="J346" s="217"/>
      <c r="K346" s="217"/>
      <c r="L346" s="217"/>
      <c r="M346" s="217"/>
      <c r="N346" s="217"/>
      <c r="O346" s="323" t="s">
        <v>578</v>
      </c>
      <c r="P346" s="324"/>
      <c r="Q346" s="324"/>
      <c r="R346" s="324"/>
      <c r="S346" s="8"/>
      <c r="T346" s="8"/>
      <c r="U346" s="8"/>
      <c r="V346" s="8"/>
      <c r="W346" s="324"/>
      <c r="X346" s="324"/>
      <c r="Y346" s="321"/>
      <c r="Z346" s="320" t="s">
        <v>579</v>
      </c>
      <c r="AA346" s="321"/>
      <c r="AB346" s="321"/>
      <c r="AC346" s="321"/>
      <c r="AD346" s="321"/>
      <c r="AE346" s="321"/>
      <c r="AF346" s="321"/>
      <c r="AG346" s="321"/>
      <c r="AH346" s="321"/>
      <c r="AI346" s="321"/>
      <c r="AJ346" s="321"/>
      <c r="AK346" s="321"/>
      <c r="AL346" s="321"/>
      <c r="AM346" s="321"/>
      <c r="AN346" s="321"/>
      <c r="AO346" s="321"/>
      <c r="AP346" s="321"/>
      <c r="AQ346" s="321"/>
      <c r="AR346" s="320"/>
      <c r="AS346" s="321"/>
      <c r="AT346" s="321"/>
      <c r="AU346" s="321"/>
      <c r="AV346" s="321"/>
      <c r="AW346" s="321"/>
      <c r="AX346" s="321"/>
      <c r="AY346" s="321"/>
      <c r="AZ346" s="321"/>
      <c r="BA346" s="321"/>
      <c r="BB346" s="322"/>
      <c r="BD346" s="72"/>
      <c r="BK346" s="61"/>
    </row>
    <row r="347" spans="1:63" ht="15.75" customHeight="1">
      <c r="A347" s="215"/>
      <c r="B347" s="72"/>
      <c r="I347" s="71"/>
      <c r="J347" s="217"/>
      <c r="K347" s="217"/>
      <c r="L347" s="217"/>
      <c r="M347" s="217"/>
      <c r="N347" s="217"/>
      <c r="O347" s="323" t="s">
        <v>580</v>
      </c>
      <c r="P347" s="324"/>
      <c r="Q347" s="324"/>
      <c r="R347" s="324"/>
      <c r="S347" s="8"/>
      <c r="T347" s="8"/>
      <c r="U347" s="8"/>
      <c r="V347" s="8"/>
      <c r="W347" s="324"/>
      <c r="X347" s="324"/>
      <c r="Y347" s="321"/>
      <c r="Z347" s="320" t="s">
        <v>581</v>
      </c>
      <c r="AA347" s="321"/>
      <c r="AB347" s="321"/>
      <c r="AC347" s="321"/>
      <c r="AD347" s="321"/>
      <c r="AE347" s="321"/>
      <c r="AF347" s="321"/>
      <c r="AG347" s="321"/>
      <c r="AH347" s="321"/>
      <c r="AI347" s="321"/>
      <c r="AJ347" s="321"/>
      <c r="AK347" s="321"/>
      <c r="AL347" s="321"/>
      <c r="AM347" s="321"/>
      <c r="AN347" s="321"/>
      <c r="AO347" s="321"/>
      <c r="AP347" s="321"/>
      <c r="AQ347" s="321"/>
      <c r="AR347" s="320"/>
      <c r="AS347" s="321"/>
      <c r="AT347" s="321"/>
      <c r="AU347" s="321"/>
      <c r="AV347" s="321"/>
      <c r="AW347" s="321"/>
      <c r="AX347" s="321"/>
      <c r="AY347" s="321"/>
      <c r="AZ347" s="321"/>
      <c r="BA347" s="321"/>
      <c r="BB347" s="322"/>
      <c r="BD347" s="72"/>
      <c r="BK347" s="61"/>
    </row>
    <row r="348" spans="1:63" ht="15.75" customHeight="1">
      <c r="A348" s="215"/>
      <c r="B348" s="72"/>
      <c r="I348" s="71"/>
      <c r="J348" s="217"/>
      <c r="K348" s="217"/>
      <c r="L348" s="217"/>
      <c r="M348" s="217"/>
      <c r="N348" s="217"/>
      <c r="O348" s="323" t="s">
        <v>582</v>
      </c>
      <c r="P348" s="324"/>
      <c r="Q348" s="324"/>
      <c r="R348" s="324"/>
      <c r="S348" s="8"/>
      <c r="T348" s="8"/>
      <c r="U348" s="8"/>
      <c r="V348" s="8"/>
      <c r="W348" s="324"/>
      <c r="X348" s="324"/>
      <c r="Y348" s="321"/>
      <c r="Z348" s="320" t="s">
        <v>583</v>
      </c>
      <c r="AA348" s="321"/>
      <c r="AB348" s="321"/>
      <c r="AC348" s="321"/>
      <c r="AD348" s="321"/>
      <c r="AE348" s="321"/>
      <c r="AF348" s="321"/>
      <c r="AG348" s="321"/>
      <c r="AH348" s="321"/>
      <c r="AI348" s="321"/>
      <c r="AJ348" s="321"/>
      <c r="AK348" s="321"/>
      <c r="AL348" s="321"/>
      <c r="AM348" s="321"/>
      <c r="AN348" s="321"/>
      <c r="AO348" s="321"/>
      <c r="AP348" s="321"/>
      <c r="AQ348" s="321"/>
      <c r="AR348" s="320"/>
      <c r="AS348" s="321"/>
      <c r="AT348" s="321"/>
      <c r="AU348" s="321"/>
      <c r="AV348" s="321"/>
      <c r="AW348" s="321"/>
      <c r="AX348" s="321"/>
      <c r="AY348" s="321"/>
      <c r="AZ348" s="321"/>
      <c r="BA348" s="321"/>
      <c r="BB348" s="322"/>
      <c r="BD348" s="72"/>
      <c r="BK348" s="61"/>
    </row>
    <row r="349" spans="1:63" ht="15.75" customHeight="1">
      <c r="A349" s="215"/>
      <c r="B349" s="72"/>
      <c r="I349" s="71"/>
      <c r="J349" s="217"/>
      <c r="K349" s="217"/>
      <c r="L349" s="217"/>
      <c r="M349" s="217"/>
      <c r="N349" s="217"/>
      <c r="O349" s="323" t="s">
        <v>584</v>
      </c>
      <c r="P349" s="324"/>
      <c r="Q349" s="324"/>
      <c r="R349" s="324"/>
      <c r="S349" s="8"/>
      <c r="T349" s="8"/>
      <c r="U349" s="8"/>
      <c r="V349" s="8"/>
      <c r="W349" s="324"/>
      <c r="X349" s="324"/>
      <c r="Y349" s="321"/>
      <c r="Z349" s="320" t="s">
        <v>585</v>
      </c>
      <c r="AA349" s="321"/>
      <c r="AB349" s="321"/>
      <c r="AC349" s="321"/>
      <c r="AD349" s="321"/>
      <c r="AE349" s="321"/>
      <c r="AF349" s="321"/>
      <c r="AG349" s="321"/>
      <c r="AH349" s="321"/>
      <c r="AI349" s="321"/>
      <c r="AJ349" s="321"/>
      <c r="AK349" s="321"/>
      <c r="AL349" s="321"/>
      <c r="AM349" s="321"/>
      <c r="AN349" s="321"/>
      <c r="AO349" s="321"/>
      <c r="AP349" s="321"/>
      <c r="AQ349" s="321"/>
      <c r="AR349" s="320"/>
      <c r="AS349" s="321"/>
      <c r="AT349" s="321"/>
      <c r="AU349" s="321"/>
      <c r="AV349" s="321"/>
      <c r="AW349" s="321"/>
      <c r="AX349" s="321"/>
      <c r="AY349" s="321"/>
      <c r="AZ349" s="321"/>
      <c r="BA349" s="321"/>
      <c r="BB349" s="322"/>
      <c r="BD349" s="72"/>
      <c r="BK349" s="61"/>
    </row>
    <row r="350" spans="1:63" ht="15.75" customHeight="1">
      <c r="A350" s="215"/>
      <c r="B350" s="72"/>
      <c r="I350" s="71"/>
      <c r="J350" s="217"/>
      <c r="K350" s="217"/>
      <c r="L350" s="217"/>
      <c r="M350" s="217"/>
      <c r="N350" s="217"/>
      <c r="O350" s="323" t="s">
        <v>586</v>
      </c>
      <c r="P350" s="324"/>
      <c r="Q350" s="324"/>
      <c r="R350" s="324"/>
      <c r="S350" s="8"/>
      <c r="T350" s="8"/>
      <c r="U350" s="8"/>
      <c r="V350" s="8"/>
      <c r="W350" s="324"/>
      <c r="X350" s="324"/>
      <c r="Y350" s="321"/>
      <c r="Z350" s="320" t="s">
        <v>587</v>
      </c>
      <c r="AA350" s="321"/>
      <c r="AB350" s="321"/>
      <c r="AC350" s="321"/>
      <c r="AD350" s="321"/>
      <c r="AE350" s="321"/>
      <c r="AF350" s="321"/>
      <c r="AG350" s="321"/>
      <c r="AH350" s="321"/>
      <c r="AI350" s="321"/>
      <c r="AJ350" s="321"/>
      <c r="AK350" s="321"/>
      <c r="AL350" s="321"/>
      <c r="AM350" s="321"/>
      <c r="AN350" s="321"/>
      <c r="AO350" s="321"/>
      <c r="AP350" s="321"/>
      <c r="AQ350" s="321"/>
      <c r="AR350" s="320"/>
      <c r="AS350" s="321"/>
      <c r="AT350" s="321"/>
      <c r="AU350" s="321"/>
      <c r="AV350" s="321"/>
      <c r="AW350" s="321"/>
      <c r="AX350" s="321"/>
      <c r="AY350" s="321"/>
      <c r="AZ350" s="321"/>
      <c r="BA350" s="321"/>
      <c r="BB350" s="322"/>
      <c r="BD350" s="72"/>
      <c r="BK350" s="61"/>
    </row>
    <row r="351" spans="1:63" ht="15.75" customHeight="1">
      <c r="A351" s="215"/>
      <c r="B351" s="72"/>
      <c r="I351" s="71"/>
      <c r="J351" s="217"/>
      <c r="K351" s="217"/>
      <c r="L351" s="217"/>
      <c r="M351" s="217"/>
      <c r="N351" s="217"/>
      <c r="O351" s="323" t="s">
        <v>588</v>
      </c>
      <c r="P351" s="324"/>
      <c r="Q351" s="324"/>
      <c r="R351" s="324"/>
      <c r="S351" s="8"/>
      <c r="T351" s="8"/>
      <c r="U351" s="8"/>
      <c r="V351" s="8"/>
      <c r="W351" s="324"/>
      <c r="X351" s="324"/>
      <c r="Y351" s="321"/>
      <c r="Z351" s="320" t="s">
        <v>589</v>
      </c>
      <c r="AA351" s="321"/>
      <c r="AB351" s="321"/>
      <c r="AC351" s="321"/>
      <c r="AD351" s="321"/>
      <c r="AE351" s="321"/>
      <c r="AF351" s="321"/>
      <c r="AG351" s="321"/>
      <c r="AH351" s="321"/>
      <c r="AI351" s="321"/>
      <c r="AJ351" s="321"/>
      <c r="AK351" s="321"/>
      <c r="AL351" s="321"/>
      <c r="AM351" s="321"/>
      <c r="AN351" s="321"/>
      <c r="AO351" s="321"/>
      <c r="AP351" s="321"/>
      <c r="AQ351" s="321"/>
      <c r="AR351" s="320"/>
      <c r="AS351" s="321"/>
      <c r="AT351" s="321"/>
      <c r="AU351" s="321"/>
      <c r="AV351" s="321"/>
      <c r="AW351" s="321"/>
      <c r="AX351" s="321"/>
      <c r="AY351" s="321"/>
      <c r="AZ351" s="321"/>
      <c r="BA351" s="321"/>
      <c r="BB351" s="322"/>
      <c r="BD351" s="72"/>
      <c r="BK351" s="61"/>
    </row>
    <row r="352" spans="1:63" ht="15.75" customHeight="1">
      <c r="A352" s="215"/>
      <c r="B352" s="72"/>
      <c r="I352" s="71"/>
      <c r="J352" s="217"/>
      <c r="K352" s="217"/>
      <c r="L352" s="217"/>
      <c r="M352" s="217"/>
      <c r="N352" s="217"/>
      <c r="O352" s="323" t="s">
        <v>590</v>
      </c>
      <c r="P352" s="324"/>
      <c r="Q352" s="324"/>
      <c r="R352" s="324"/>
      <c r="S352" s="8"/>
      <c r="T352" s="8"/>
      <c r="U352" s="8"/>
      <c r="V352" s="8"/>
      <c r="W352" s="324"/>
      <c r="X352" s="324"/>
      <c r="Y352" s="321"/>
      <c r="Z352" s="320" t="s">
        <v>591</v>
      </c>
      <c r="AA352" s="321"/>
      <c r="AB352" s="321"/>
      <c r="AC352" s="321"/>
      <c r="AD352" s="321"/>
      <c r="AE352" s="321"/>
      <c r="AF352" s="321"/>
      <c r="AG352" s="321"/>
      <c r="AH352" s="321"/>
      <c r="AI352" s="321"/>
      <c r="AJ352" s="321"/>
      <c r="AK352" s="321"/>
      <c r="AL352" s="321"/>
      <c r="AM352" s="321"/>
      <c r="AN352" s="321"/>
      <c r="AO352" s="321"/>
      <c r="AP352" s="321"/>
      <c r="AQ352" s="321"/>
      <c r="AR352" s="320"/>
      <c r="AS352" s="321"/>
      <c r="AT352" s="321"/>
      <c r="AU352" s="321"/>
      <c r="AV352" s="321"/>
      <c r="AW352" s="321"/>
      <c r="AX352" s="321"/>
      <c r="AY352" s="321"/>
      <c r="AZ352" s="321"/>
      <c r="BA352" s="321"/>
      <c r="BB352" s="322"/>
      <c r="BD352" s="72"/>
      <c r="BK352" s="61"/>
    </row>
    <row r="353" spans="1:63" ht="15.75" customHeight="1">
      <c r="A353" s="215"/>
      <c r="B353" s="72"/>
      <c r="I353" s="71"/>
      <c r="J353" s="217"/>
      <c r="K353" s="217"/>
      <c r="L353" s="217"/>
      <c r="M353" s="217"/>
      <c r="N353" s="217"/>
      <c r="O353" s="323" t="s">
        <v>592</v>
      </c>
      <c r="P353" s="324"/>
      <c r="Q353" s="324"/>
      <c r="R353" s="324"/>
      <c r="S353" s="8"/>
      <c r="T353" s="8"/>
      <c r="U353" s="8"/>
      <c r="V353" s="8"/>
      <c r="W353" s="324"/>
      <c r="X353" s="324"/>
      <c r="Y353" s="321"/>
      <c r="Z353" s="320" t="s">
        <v>593</v>
      </c>
      <c r="AA353" s="321"/>
      <c r="AB353" s="321"/>
      <c r="AC353" s="321"/>
      <c r="AD353" s="321"/>
      <c r="AE353" s="321"/>
      <c r="AF353" s="321"/>
      <c r="AG353" s="321"/>
      <c r="AH353" s="321"/>
      <c r="AI353" s="321"/>
      <c r="AJ353" s="321"/>
      <c r="AK353" s="321"/>
      <c r="AL353" s="321"/>
      <c r="AM353" s="321"/>
      <c r="AN353" s="321"/>
      <c r="AO353" s="321"/>
      <c r="AP353" s="321"/>
      <c r="AQ353" s="321"/>
      <c r="AR353" s="320"/>
      <c r="AS353" s="321"/>
      <c r="AT353" s="321"/>
      <c r="AU353" s="321"/>
      <c r="AV353" s="321"/>
      <c r="AW353" s="321"/>
      <c r="AX353" s="321"/>
      <c r="AY353" s="321"/>
      <c r="AZ353" s="321"/>
      <c r="BA353" s="321"/>
      <c r="BB353" s="322"/>
      <c r="BD353" s="72"/>
      <c r="BK353" s="61"/>
    </row>
    <row r="354" spans="1:63" ht="15.75" customHeight="1">
      <c r="A354" s="215"/>
      <c r="B354" s="72"/>
      <c r="I354" s="71"/>
      <c r="J354" s="217"/>
      <c r="K354" s="217"/>
      <c r="L354" s="217"/>
      <c r="M354" s="217"/>
      <c r="N354" s="217"/>
      <c r="O354" s="323" t="s">
        <v>594</v>
      </c>
      <c r="P354" s="324"/>
      <c r="Q354" s="324"/>
      <c r="R354" s="324"/>
      <c r="S354" s="8"/>
      <c r="T354" s="8"/>
      <c r="U354" s="8"/>
      <c r="V354" s="8"/>
      <c r="W354" s="324"/>
      <c r="X354" s="324"/>
      <c r="Y354" s="321"/>
      <c r="Z354" s="320" t="s">
        <v>595</v>
      </c>
      <c r="AA354" s="321"/>
      <c r="AB354" s="321"/>
      <c r="AC354" s="321"/>
      <c r="AD354" s="321"/>
      <c r="AE354" s="321"/>
      <c r="AF354" s="321"/>
      <c r="AG354" s="321"/>
      <c r="AH354" s="321"/>
      <c r="AI354" s="321"/>
      <c r="AJ354" s="321"/>
      <c r="AK354" s="321"/>
      <c r="AL354" s="321"/>
      <c r="AM354" s="321"/>
      <c r="AN354" s="321"/>
      <c r="AO354" s="321"/>
      <c r="AP354" s="321"/>
      <c r="AQ354" s="321"/>
      <c r="AR354" s="320"/>
      <c r="AS354" s="321"/>
      <c r="AT354" s="321"/>
      <c r="AU354" s="321"/>
      <c r="AV354" s="321"/>
      <c r="AW354" s="321"/>
      <c r="AX354" s="321"/>
      <c r="AY354" s="321"/>
      <c r="AZ354" s="321"/>
      <c r="BA354" s="321"/>
      <c r="BB354" s="322"/>
      <c r="BD354" s="72"/>
      <c r="BK354" s="61"/>
    </row>
    <row r="355" spans="1:63" ht="15.75" customHeight="1">
      <c r="A355" s="215"/>
      <c r="B355" s="72"/>
      <c r="I355" s="71"/>
      <c r="J355" s="217"/>
      <c r="K355" s="217"/>
      <c r="L355" s="217"/>
      <c r="M355" s="217"/>
      <c r="N355" s="217"/>
      <c r="O355" s="323" t="s">
        <v>596</v>
      </c>
      <c r="P355" s="324"/>
      <c r="Q355" s="324"/>
      <c r="R355" s="324"/>
      <c r="S355" s="8"/>
      <c r="T355" s="8"/>
      <c r="U355" s="8"/>
      <c r="V355" s="8"/>
      <c r="W355" s="324"/>
      <c r="X355" s="324"/>
      <c r="Y355" s="321"/>
      <c r="Z355" s="320" t="s">
        <v>597</v>
      </c>
      <c r="AA355" s="321"/>
      <c r="AB355" s="321"/>
      <c r="AC355" s="321"/>
      <c r="AD355" s="321"/>
      <c r="AE355" s="321"/>
      <c r="AF355" s="321"/>
      <c r="AG355" s="321"/>
      <c r="AH355" s="321"/>
      <c r="AI355" s="321"/>
      <c r="AJ355" s="321"/>
      <c r="AK355" s="321"/>
      <c r="AL355" s="321"/>
      <c r="AM355" s="321"/>
      <c r="AN355" s="321"/>
      <c r="AO355" s="321"/>
      <c r="AP355" s="321"/>
      <c r="AQ355" s="321"/>
      <c r="AR355" s="320"/>
      <c r="AS355" s="321"/>
      <c r="AT355" s="321"/>
      <c r="AU355" s="321"/>
      <c r="AV355" s="321"/>
      <c r="AW355" s="321"/>
      <c r="AX355" s="321"/>
      <c r="AY355" s="321"/>
      <c r="AZ355" s="321"/>
      <c r="BA355" s="321"/>
      <c r="BB355" s="322"/>
      <c r="BD355" s="72"/>
      <c r="BK355" s="61"/>
    </row>
    <row r="356" spans="1:63" ht="15.75" customHeight="1">
      <c r="A356" s="215"/>
      <c r="B356" s="72"/>
      <c r="I356" s="71"/>
      <c r="J356" s="217"/>
      <c r="K356" s="217"/>
      <c r="L356" s="217"/>
      <c r="M356" s="217"/>
      <c r="N356" s="217"/>
      <c r="O356" s="323" t="s">
        <v>598</v>
      </c>
      <c r="P356" s="324"/>
      <c r="Q356" s="324"/>
      <c r="R356" s="324"/>
      <c r="S356" s="8"/>
      <c r="T356" s="8"/>
      <c r="U356" s="8"/>
      <c r="V356" s="8"/>
      <c r="W356" s="324"/>
      <c r="X356" s="324"/>
      <c r="Y356" s="321"/>
      <c r="Z356" s="320" t="s">
        <v>599</v>
      </c>
      <c r="AA356" s="321"/>
      <c r="AB356" s="321"/>
      <c r="AC356" s="321"/>
      <c r="AD356" s="321"/>
      <c r="AE356" s="321"/>
      <c r="AF356" s="321"/>
      <c r="AG356" s="321"/>
      <c r="AH356" s="321"/>
      <c r="AI356" s="321"/>
      <c r="AJ356" s="321"/>
      <c r="AK356" s="321"/>
      <c r="AL356" s="321"/>
      <c r="AM356" s="321"/>
      <c r="AN356" s="321"/>
      <c r="AO356" s="321"/>
      <c r="AP356" s="321"/>
      <c r="AQ356" s="321"/>
      <c r="AR356" s="320" t="s">
        <v>600</v>
      </c>
      <c r="AS356" s="321"/>
      <c r="AT356" s="321"/>
      <c r="AU356" s="321"/>
      <c r="AV356" s="321"/>
      <c r="AW356" s="321"/>
      <c r="AX356" s="321"/>
      <c r="AY356" s="321"/>
      <c r="AZ356" s="321"/>
      <c r="BA356" s="321"/>
      <c r="BB356" s="322"/>
      <c r="BD356" s="72"/>
      <c r="BK356" s="61"/>
    </row>
    <row r="357" spans="1:63" ht="42" customHeight="1">
      <c r="A357" s="215"/>
      <c r="B357" s="72"/>
      <c r="I357" s="71"/>
      <c r="J357" s="217"/>
      <c r="K357" s="217"/>
      <c r="L357" s="217"/>
      <c r="M357" s="217"/>
      <c r="N357" s="217"/>
      <c r="O357" s="323" t="s">
        <v>601</v>
      </c>
      <c r="P357" s="324"/>
      <c r="Q357" s="324"/>
      <c r="R357" s="324"/>
      <c r="S357" s="8"/>
      <c r="T357" s="8"/>
      <c r="U357" s="8"/>
      <c r="V357" s="8"/>
      <c r="W357" s="324"/>
      <c r="X357" s="324"/>
      <c r="Y357" s="321"/>
      <c r="Z357" s="320" t="s">
        <v>556</v>
      </c>
      <c r="AA357" s="321"/>
      <c r="AB357" s="321"/>
      <c r="AC357" s="321"/>
      <c r="AD357" s="321"/>
      <c r="AE357" s="321"/>
      <c r="AF357" s="321"/>
      <c r="AG357" s="321"/>
      <c r="AH357" s="321"/>
      <c r="AI357" s="321"/>
      <c r="AJ357" s="321"/>
      <c r="AK357" s="321"/>
      <c r="AL357" s="321"/>
      <c r="AM357" s="321"/>
      <c r="AN357" s="321"/>
      <c r="AO357" s="321"/>
      <c r="AP357" s="321"/>
      <c r="AQ357" s="321"/>
      <c r="AR357" s="664" t="s">
        <v>602</v>
      </c>
      <c r="AS357" s="665"/>
      <c r="AT357" s="665"/>
      <c r="AU357" s="665"/>
      <c r="AV357" s="665"/>
      <c r="AW357" s="665"/>
      <c r="AX357" s="665"/>
      <c r="AY357" s="665"/>
      <c r="AZ357" s="665"/>
      <c r="BA357" s="665"/>
      <c r="BB357" s="666"/>
      <c r="BD357" s="72"/>
      <c r="BK357" s="61"/>
    </row>
    <row r="358" spans="1:63" ht="42" customHeight="1">
      <c r="A358" s="215"/>
      <c r="B358" s="72"/>
      <c r="I358" s="71"/>
      <c r="J358" s="217"/>
      <c r="K358" s="217"/>
      <c r="L358" s="217"/>
      <c r="M358" s="217"/>
      <c r="N358" s="217"/>
      <c r="O358" s="323" t="s">
        <v>603</v>
      </c>
      <c r="P358" s="324"/>
      <c r="Q358" s="324"/>
      <c r="R358" s="324"/>
      <c r="S358" s="8"/>
      <c r="T358" s="8"/>
      <c r="U358" s="8"/>
      <c r="V358" s="8"/>
      <c r="W358" s="324"/>
      <c r="X358" s="324"/>
      <c r="Y358" s="321"/>
      <c r="Z358" s="320" t="s">
        <v>556</v>
      </c>
      <c r="AA358" s="321"/>
      <c r="AB358" s="321"/>
      <c r="AC358" s="321"/>
      <c r="AD358" s="321"/>
      <c r="AE358" s="321"/>
      <c r="AF358" s="321"/>
      <c r="AG358" s="321"/>
      <c r="AH358" s="321"/>
      <c r="AI358" s="321"/>
      <c r="AJ358" s="321"/>
      <c r="AK358" s="321"/>
      <c r="AL358" s="321"/>
      <c r="AM358" s="321"/>
      <c r="AN358" s="321"/>
      <c r="AO358" s="321"/>
      <c r="AP358" s="321"/>
      <c r="AQ358" s="321"/>
      <c r="AR358" s="664" t="s">
        <v>602</v>
      </c>
      <c r="AS358" s="665"/>
      <c r="AT358" s="665"/>
      <c r="AU358" s="665"/>
      <c r="AV358" s="665"/>
      <c r="AW358" s="665"/>
      <c r="AX358" s="665"/>
      <c r="AY358" s="665"/>
      <c r="AZ358" s="665"/>
      <c r="BA358" s="665"/>
      <c r="BB358" s="666"/>
      <c r="BD358" s="72"/>
      <c r="BK358" s="61"/>
    </row>
    <row r="359" spans="1:63" ht="15.75" customHeight="1">
      <c r="A359" s="215"/>
      <c r="B359" s="72"/>
      <c r="I359" s="71"/>
      <c r="J359" s="217"/>
      <c r="K359" s="217"/>
      <c r="L359" s="217"/>
      <c r="M359" s="217"/>
      <c r="N359" s="217"/>
      <c r="O359" s="323" t="s">
        <v>604</v>
      </c>
      <c r="P359" s="324"/>
      <c r="Q359" s="324"/>
      <c r="R359" s="324"/>
      <c r="S359" s="8"/>
      <c r="T359" s="8"/>
      <c r="U359" s="8"/>
      <c r="V359" s="8"/>
      <c r="W359" s="324"/>
      <c r="X359" s="324"/>
      <c r="Y359" s="321"/>
      <c r="Z359" s="325" t="s">
        <v>605</v>
      </c>
      <c r="AA359" s="321"/>
      <c r="AB359" s="321"/>
      <c r="AC359" s="321"/>
      <c r="AD359" s="321"/>
      <c r="AE359" s="321"/>
      <c r="AF359" s="321"/>
      <c r="AG359" s="321"/>
      <c r="AH359" s="321"/>
      <c r="AI359" s="321"/>
      <c r="AJ359" s="321"/>
      <c r="AK359" s="321"/>
      <c r="AL359" s="321"/>
      <c r="AM359" s="321"/>
      <c r="AN359" s="321"/>
      <c r="AO359" s="321"/>
      <c r="AP359" s="321"/>
      <c r="AQ359" s="321"/>
      <c r="AR359" s="320"/>
      <c r="AS359" s="321"/>
      <c r="AT359" s="321"/>
      <c r="AU359" s="321"/>
      <c r="AV359" s="321"/>
      <c r="AW359" s="321"/>
      <c r="AX359" s="321"/>
      <c r="AY359" s="321"/>
      <c r="AZ359" s="321"/>
      <c r="BA359" s="321"/>
      <c r="BB359" s="322"/>
      <c r="BD359" s="72"/>
      <c r="BK359" s="61"/>
    </row>
    <row r="360" spans="1:63" ht="15.75" customHeight="1">
      <c r="A360" s="215"/>
      <c r="B360" s="72"/>
      <c r="I360" s="71"/>
      <c r="J360" s="217"/>
      <c r="K360" s="217"/>
      <c r="L360" s="217"/>
      <c r="M360" s="217"/>
      <c r="N360" s="217"/>
      <c r="O360" s="323" t="s">
        <v>606</v>
      </c>
      <c r="P360" s="324"/>
      <c r="Q360" s="324"/>
      <c r="R360" s="324"/>
      <c r="S360" s="8"/>
      <c r="T360" s="8"/>
      <c r="U360" s="8"/>
      <c r="V360" s="8"/>
      <c r="W360" s="324"/>
      <c r="X360" s="324"/>
      <c r="Y360" s="321"/>
      <c r="Z360" s="320" t="s">
        <v>607</v>
      </c>
      <c r="AA360" s="321"/>
      <c r="AB360" s="321"/>
      <c r="AC360" s="321"/>
      <c r="AD360" s="321"/>
      <c r="AE360" s="321"/>
      <c r="AF360" s="321"/>
      <c r="AG360" s="321"/>
      <c r="AH360" s="321"/>
      <c r="AI360" s="321"/>
      <c r="AJ360" s="321"/>
      <c r="AK360" s="321"/>
      <c r="AL360" s="321"/>
      <c r="AM360" s="321"/>
      <c r="AN360" s="321"/>
      <c r="AO360" s="321"/>
      <c r="AP360" s="321"/>
      <c r="AQ360" s="321"/>
      <c r="AR360" s="320"/>
      <c r="AS360" s="321"/>
      <c r="AT360" s="321"/>
      <c r="AU360" s="321"/>
      <c r="AV360" s="321"/>
      <c r="AW360" s="321"/>
      <c r="AX360" s="321"/>
      <c r="AY360" s="321"/>
      <c r="AZ360" s="321"/>
      <c r="BA360" s="321"/>
      <c r="BB360" s="322"/>
      <c r="BD360" s="72"/>
      <c r="BK360" s="61"/>
    </row>
    <row r="361" spans="1:63" ht="15.75" customHeight="1">
      <c r="A361" s="215"/>
      <c r="B361" s="72"/>
      <c r="I361" s="71"/>
      <c r="J361" s="217"/>
      <c r="K361" s="217"/>
      <c r="L361" s="217"/>
      <c r="M361" s="217"/>
      <c r="N361" s="217"/>
      <c r="O361" s="323" t="s">
        <v>608</v>
      </c>
      <c r="P361" s="324"/>
      <c r="Q361" s="324"/>
      <c r="R361" s="324"/>
      <c r="S361" s="8"/>
      <c r="T361" s="8"/>
      <c r="U361" s="8"/>
      <c r="V361" s="8"/>
      <c r="W361" s="324"/>
      <c r="X361" s="324"/>
      <c r="Y361" s="321"/>
      <c r="Z361" s="320" t="s">
        <v>609</v>
      </c>
      <c r="AA361" s="321"/>
      <c r="AB361" s="321"/>
      <c r="AC361" s="321"/>
      <c r="AD361" s="321"/>
      <c r="AE361" s="321"/>
      <c r="AF361" s="321"/>
      <c r="AG361" s="321"/>
      <c r="AH361" s="321"/>
      <c r="AI361" s="321"/>
      <c r="AJ361" s="321"/>
      <c r="AK361" s="321"/>
      <c r="AL361" s="321"/>
      <c r="AM361" s="321"/>
      <c r="AN361" s="321"/>
      <c r="AO361" s="321"/>
      <c r="AP361" s="321"/>
      <c r="AQ361" s="321"/>
      <c r="AR361" s="320"/>
      <c r="AS361" s="321"/>
      <c r="AT361" s="321"/>
      <c r="AU361" s="321"/>
      <c r="AV361" s="321"/>
      <c r="AW361" s="321"/>
      <c r="AX361" s="321"/>
      <c r="AY361" s="321"/>
      <c r="AZ361" s="321"/>
      <c r="BA361" s="321"/>
      <c r="BB361" s="322"/>
      <c r="BD361" s="72"/>
      <c r="BK361" s="61"/>
    </row>
    <row r="362" spans="1:63" ht="15.75" customHeight="1">
      <c r="A362" s="215"/>
      <c r="B362" s="72"/>
      <c r="I362" s="71"/>
      <c r="J362" s="217"/>
      <c r="K362" s="217"/>
      <c r="L362" s="217"/>
      <c r="M362" s="217"/>
      <c r="N362" s="217"/>
      <c r="O362" s="323" t="s">
        <v>610</v>
      </c>
      <c r="P362" s="324"/>
      <c r="Q362" s="324"/>
      <c r="R362" s="324"/>
      <c r="S362" s="8"/>
      <c r="T362" s="8"/>
      <c r="U362" s="8"/>
      <c r="V362" s="8"/>
      <c r="W362" s="324"/>
      <c r="X362" s="324"/>
      <c r="Y362" s="321"/>
      <c r="Z362" s="320" t="s">
        <v>556</v>
      </c>
      <c r="AA362" s="321"/>
      <c r="AB362" s="321"/>
      <c r="AC362" s="321"/>
      <c r="AD362" s="321"/>
      <c r="AE362" s="321"/>
      <c r="AF362" s="321"/>
      <c r="AG362" s="321"/>
      <c r="AH362" s="321"/>
      <c r="AI362" s="321"/>
      <c r="AJ362" s="321"/>
      <c r="AK362" s="321"/>
      <c r="AL362" s="321"/>
      <c r="AM362" s="321"/>
      <c r="AN362" s="321"/>
      <c r="AO362" s="321"/>
      <c r="AP362" s="321"/>
      <c r="AQ362" s="321"/>
      <c r="AR362" s="320"/>
      <c r="AS362" s="321"/>
      <c r="AT362" s="321"/>
      <c r="AU362" s="321"/>
      <c r="AV362" s="321"/>
      <c r="AW362" s="321"/>
      <c r="AX362" s="321"/>
      <c r="AY362" s="321"/>
      <c r="AZ362" s="321"/>
      <c r="BA362" s="321"/>
      <c r="BB362" s="322"/>
      <c r="BD362" s="72"/>
      <c r="BK362" s="61"/>
    </row>
    <row r="363" spans="1:63" ht="15.75" customHeight="1">
      <c r="A363" s="215"/>
      <c r="B363" s="72"/>
      <c r="I363" s="71"/>
      <c r="J363" s="217"/>
      <c r="K363" s="217"/>
      <c r="L363" s="217"/>
      <c r="M363" s="217"/>
      <c r="N363" s="217"/>
      <c r="O363" s="323" t="s">
        <v>611</v>
      </c>
      <c r="P363" s="324"/>
      <c r="Q363" s="324"/>
      <c r="R363" s="324"/>
      <c r="S363" s="8"/>
      <c r="T363" s="8"/>
      <c r="U363" s="8"/>
      <c r="V363" s="8"/>
      <c r="W363" s="324"/>
      <c r="X363" s="324"/>
      <c r="Y363" s="321"/>
      <c r="Z363" s="320" t="s">
        <v>556</v>
      </c>
      <c r="AA363" s="321"/>
      <c r="AB363" s="321"/>
      <c r="AC363" s="321"/>
      <c r="AD363" s="321"/>
      <c r="AE363" s="321"/>
      <c r="AF363" s="321"/>
      <c r="AG363" s="321"/>
      <c r="AH363" s="321"/>
      <c r="AI363" s="321"/>
      <c r="AJ363" s="321"/>
      <c r="AK363" s="321"/>
      <c r="AL363" s="321"/>
      <c r="AM363" s="321"/>
      <c r="AN363" s="321"/>
      <c r="AO363" s="321"/>
      <c r="AP363" s="321"/>
      <c r="AQ363" s="321"/>
      <c r="AR363" s="320"/>
      <c r="AS363" s="321"/>
      <c r="AT363" s="321"/>
      <c r="AU363" s="321"/>
      <c r="AV363" s="321"/>
      <c r="AW363" s="321"/>
      <c r="AX363" s="321"/>
      <c r="AY363" s="321"/>
      <c r="AZ363" s="321"/>
      <c r="BA363" s="321"/>
      <c r="BB363" s="322"/>
      <c r="BD363" s="72"/>
      <c r="BK363" s="61"/>
    </row>
    <row r="364" spans="1:63" ht="15.75" customHeight="1">
      <c r="A364" s="215"/>
      <c r="B364" s="72"/>
      <c r="I364" s="71"/>
      <c r="J364" s="217"/>
      <c r="K364" s="217"/>
      <c r="L364" s="217"/>
      <c r="M364" s="217"/>
      <c r="N364" s="217"/>
      <c r="O364" s="323" t="s">
        <v>612</v>
      </c>
      <c r="P364" s="324"/>
      <c r="Q364" s="324"/>
      <c r="R364" s="324"/>
      <c r="S364" s="8"/>
      <c r="T364" s="8"/>
      <c r="U364" s="8"/>
      <c r="V364" s="8"/>
      <c r="W364" s="324"/>
      <c r="X364" s="324"/>
      <c r="Y364" s="321"/>
      <c r="Z364" s="325" t="s">
        <v>613</v>
      </c>
      <c r="AA364" s="321"/>
      <c r="AB364" s="321"/>
      <c r="AC364" s="321"/>
      <c r="AD364" s="321"/>
      <c r="AE364" s="321"/>
      <c r="AF364" s="321"/>
      <c r="AG364" s="321"/>
      <c r="AH364" s="321"/>
      <c r="AI364" s="321"/>
      <c r="AJ364" s="321"/>
      <c r="AK364" s="321"/>
      <c r="AL364" s="321"/>
      <c r="AM364" s="321"/>
      <c r="AN364" s="321"/>
      <c r="AO364" s="321"/>
      <c r="AP364" s="321"/>
      <c r="AQ364" s="321"/>
      <c r="AR364" s="320"/>
      <c r="AS364" s="321"/>
      <c r="AT364" s="321"/>
      <c r="AU364" s="321"/>
      <c r="AV364" s="321"/>
      <c r="AW364" s="321"/>
      <c r="AX364" s="321"/>
      <c r="AY364" s="321"/>
      <c r="AZ364" s="321"/>
      <c r="BA364" s="321"/>
      <c r="BB364" s="322"/>
      <c r="BD364" s="72"/>
      <c r="BK364" s="61"/>
    </row>
    <row r="365" spans="1:63" ht="15.75" customHeight="1">
      <c r="A365" s="215"/>
      <c r="B365" s="72"/>
      <c r="I365" s="71"/>
      <c r="J365" s="217"/>
      <c r="K365" s="217"/>
      <c r="L365" s="217"/>
      <c r="M365" s="217"/>
      <c r="N365" s="217"/>
      <c r="O365" s="323" t="s">
        <v>614</v>
      </c>
      <c r="P365" s="324"/>
      <c r="Q365" s="324"/>
      <c r="R365" s="324"/>
      <c r="S365" s="8"/>
      <c r="T365" s="8"/>
      <c r="U365" s="8"/>
      <c r="V365" s="8"/>
      <c r="W365" s="324"/>
      <c r="X365" s="324"/>
      <c r="Y365" s="321"/>
      <c r="Z365" s="325" t="s">
        <v>615</v>
      </c>
      <c r="AA365" s="321"/>
      <c r="AB365" s="321"/>
      <c r="AC365" s="321"/>
      <c r="AD365" s="321"/>
      <c r="AE365" s="321"/>
      <c r="AF365" s="321"/>
      <c r="AG365" s="321"/>
      <c r="AH365" s="321"/>
      <c r="AI365" s="321"/>
      <c r="AJ365" s="321"/>
      <c r="AK365" s="321"/>
      <c r="AL365" s="321"/>
      <c r="AM365" s="321"/>
      <c r="AN365" s="321"/>
      <c r="AO365" s="321"/>
      <c r="AP365" s="321"/>
      <c r="AQ365" s="321"/>
      <c r="AR365" s="320"/>
      <c r="AS365" s="321"/>
      <c r="AT365" s="321"/>
      <c r="AU365" s="321"/>
      <c r="AV365" s="321"/>
      <c r="AW365" s="321"/>
      <c r="AX365" s="321"/>
      <c r="AY365" s="321"/>
      <c r="AZ365" s="321"/>
      <c r="BA365" s="321"/>
      <c r="BB365" s="322"/>
      <c r="BD365" s="72"/>
      <c r="BK365" s="61"/>
    </row>
    <row r="366" spans="1:63" ht="15.75" customHeight="1">
      <c r="A366" s="215"/>
      <c r="B366" s="72"/>
      <c r="I366" s="71"/>
      <c r="J366" s="217"/>
      <c r="K366" s="217"/>
      <c r="L366" s="217"/>
      <c r="M366" s="217"/>
      <c r="N366" s="217"/>
      <c r="O366" s="323" t="s">
        <v>616</v>
      </c>
      <c r="P366" s="324"/>
      <c r="Q366" s="324"/>
      <c r="R366" s="324"/>
      <c r="S366" s="8"/>
      <c r="T366" s="8"/>
      <c r="U366" s="8"/>
      <c r="V366" s="8"/>
      <c r="W366" s="324"/>
      <c r="X366" s="324"/>
      <c r="Y366" s="321"/>
      <c r="Z366" s="320" t="s">
        <v>617</v>
      </c>
      <c r="AA366" s="321"/>
      <c r="AB366" s="321"/>
      <c r="AC366" s="321"/>
      <c r="AD366" s="321"/>
      <c r="AE366" s="321"/>
      <c r="AF366" s="321"/>
      <c r="AG366" s="321"/>
      <c r="AH366" s="321"/>
      <c r="AI366" s="321"/>
      <c r="AJ366" s="321"/>
      <c r="AK366" s="321"/>
      <c r="AL366" s="321"/>
      <c r="AM366" s="321"/>
      <c r="AN366" s="321"/>
      <c r="AO366" s="321"/>
      <c r="AP366" s="321"/>
      <c r="AQ366" s="321"/>
      <c r="AR366" s="320"/>
      <c r="AS366" s="321"/>
      <c r="AT366" s="321"/>
      <c r="AU366" s="321"/>
      <c r="AV366" s="321"/>
      <c r="AW366" s="321"/>
      <c r="AX366" s="321"/>
      <c r="AY366" s="321"/>
      <c r="AZ366" s="321"/>
      <c r="BA366" s="321"/>
      <c r="BB366" s="322"/>
      <c r="BD366" s="72"/>
      <c r="BK366" s="61"/>
    </row>
    <row r="367" spans="1:63" ht="15.75" customHeight="1">
      <c r="A367" s="215"/>
      <c r="B367" s="72"/>
      <c r="I367" s="71"/>
      <c r="J367" s="217"/>
      <c r="K367" s="217"/>
      <c r="L367" s="217"/>
      <c r="M367" s="217"/>
      <c r="N367" s="217"/>
      <c r="O367" s="323" t="s">
        <v>618</v>
      </c>
      <c r="P367" s="324"/>
      <c r="Q367" s="324"/>
      <c r="R367" s="324"/>
      <c r="S367" s="8"/>
      <c r="T367" s="8"/>
      <c r="U367" s="8"/>
      <c r="V367" s="8"/>
      <c r="W367" s="324"/>
      <c r="X367" s="324"/>
      <c r="Y367" s="321"/>
      <c r="Z367" s="320" t="s">
        <v>556</v>
      </c>
      <c r="AA367" s="321"/>
      <c r="AB367" s="321"/>
      <c r="AC367" s="321"/>
      <c r="AD367" s="321"/>
      <c r="AE367" s="321"/>
      <c r="AF367" s="321"/>
      <c r="AG367" s="321"/>
      <c r="AH367" s="321"/>
      <c r="AI367" s="321"/>
      <c r="AJ367" s="321"/>
      <c r="AK367" s="321"/>
      <c r="AL367" s="321"/>
      <c r="AM367" s="321"/>
      <c r="AN367" s="321"/>
      <c r="AO367" s="321"/>
      <c r="AP367" s="321"/>
      <c r="AQ367" s="321"/>
      <c r="AR367" s="320"/>
      <c r="AS367" s="321"/>
      <c r="AT367" s="321"/>
      <c r="AU367" s="321"/>
      <c r="AV367" s="321"/>
      <c r="AW367" s="321"/>
      <c r="AX367" s="321"/>
      <c r="AY367" s="321"/>
      <c r="AZ367" s="321"/>
      <c r="BA367" s="321"/>
      <c r="BB367" s="322"/>
      <c r="BD367" s="72"/>
      <c r="BK367" s="61"/>
    </row>
    <row r="368" spans="1:63" ht="15.75" customHeight="1">
      <c r="A368" s="215"/>
      <c r="B368" s="72"/>
      <c r="I368" s="71"/>
      <c r="J368" s="217"/>
      <c r="K368" s="217"/>
      <c r="L368" s="217"/>
      <c r="M368" s="217"/>
      <c r="N368" s="217"/>
      <c r="O368" s="323" t="s">
        <v>420</v>
      </c>
      <c r="P368" s="324"/>
      <c r="Q368" s="324"/>
      <c r="R368" s="324"/>
      <c r="S368" s="8"/>
      <c r="T368" s="8"/>
      <c r="U368" s="8"/>
      <c r="V368" s="8"/>
      <c r="W368" s="324"/>
      <c r="X368" s="324"/>
      <c r="Y368" s="321"/>
      <c r="Z368" s="320" t="s">
        <v>619</v>
      </c>
      <c r="AA368" s="321"/>
      <c r="AB368" s="321"/>
      <c r="AC368" s="321"/>
      <c r="AD368" s="321"/>
      <c r="AE368" s="321"/>
      <c r="AF368" s="321"/>
      <c r="AG368" s="321"/>
      <c r="AH368" s="321"/>
      <c r="AI368" s="321"/>
      <c r="AJ368" s="321"/>
      <c r="AK368" s="321"/>
      <c r="AL368" s="321"/>
      <c r="AM368" s="321"/>
      <c r="AN368" s="321"/>
      <c r="AO368" s="321"/>
      <c r="AP368" s="321"/>
      <c r="AQ368" s="321"/>
      <c r="AR368" s="320"/>
      <c r="AS368" s="321"/>
      <c r="AT368" s="321"/>
      <c r="AU368" s="321"/>
      <c r="AV368" s="321"/>
      <c r="AW368" s="321"/>
      <c r="AX368" s="321"/>
      <c r="AY368" s="321"/>
      <c r="AZ368" s="321"/>
      <c r="BA368" s="321"/>
      <c r="BB368" s="322"/>
      <c r="BD368" s="72"/>
      <c r="BK368" s="61"/>
    </row>
    <row r="369" spans="1:63" ht="15.75" customHeight="1">
      <c r="A369" s="215"/>
      <c r="B369" s="72"/>
      <c r="I369" s="71"/>
      <c r="J369" s="217"/>
      <c r="K369" s="217"/>
      <c r="L369" s="217"/>
      <c r="M369" s="217"/>
      <c r="N369" s="217"/>
      <c r="O369" s="323" t="s">
        <v>421</v>
      </c>
      <c r="P369" s="324"/>
      <c r="Q369" s="324"/>
      <c r="R369" s="324"/>
      <c r="S369" s="8"/>
      <c r="T369" s="8"/>
      <c r="U369" s="8"/>
      <c r="V369" s="8"/>
      <c r="W369" s="324"/>
      <c r="X369" s="324"/>
      <c r="Y369" s="321"/>
      <c r="Z369" s="320" t="s">
        <v>581</v>
      </c>
      <c r="AA369" s="321"/>
      <c r="AB369" s="321"/>
      <c r="AC369" s="321"/>
      <c r="AD369" s="321"/>
      <c r="AE369" s="321"/>
      <c r="AF369" s="321"/>
      <c r="AG369" s="321"/>
      <c r="AH369" s="321"/>
      <c r="AI369" s="321"/>
      <c r="AJ369" s="321"/>
      <c r="AK369" s="321"/>
      <c r="AL369" s="321"/>
      <c r="AM369" s="321"/>
      <c r="AN369" s="321"/>
      <c r="AO369" s="321"/>
      <c r="AP369" s="321"/>
      <c r="AQ369" s="321"/>
      <c r="AR369" s="320"/>
      <c r="AS369" s="321"/>
      <c r="AT369" s="321"/>
      <c r="AU369" s="321"/>
      <c r="AV369" s="321"/>
      <c r="AW369" s="321"/>
      <c r="AX369" s="321"/>
      <c r="AY369" s="321"/>
      <c r="AZ369" s="321"/>
      <c r="BA369" s="321"/>
      <c r="BB369" s="322"/>
      <c r="BD369" s="72"/>
      <c r="BK369" s="61"/>
    </row>
    <row r="370" spans="1:63" ht="15.75" customHeight="1">
      <c r="A370" s="215"/>
      <c r="B370" s="72"/>
      <c r="I370" s="71"/>
      <c r="J370" s="217"/>
      <c r="K370" s="217"/>
      <c r="L370" s="217"/>
      <c r="M370" s="217"/>
      <c r="N370" s="217"/>
      <c r="O370" s="323" t="s">
        <v>620</v>
      </c>
      <c r="P370" s="324"/>
      <c r="Q370" s="324"/>
      <c r="R370" s="324"/>
      <c r="S370" s="8"/>
      <c r="T370" s="8"/>
      <c r="U370" s="8"/>
      <c r="V370" s="8"/>
      <c r="W370" s="324"/>
      <c r="X370" s="324"/>
      <c r="Y370" s="321"/>
      <c r="Z370" s="320" t="s">
        <v>581</v>
      </c>
      <c r="AA370" s="321"/>
      <c r="AB370" s="321"/>
      <c r="AC370" s="321"/>
      <c r="AD370" s="321"/>
      <c r="AE370" s="321"/>
      <c r="AF370" s="321"/>
      <c r="AG370" s="321"/>
      <c r="AH370" s="321"/>
      <c r="AI370" s="321"/>
      <c r="AJ370" s="321"/>
      <c r="AK370" s="321"/>
      <c r="AL370" s="321"/>
      <c r="AM370" s="321"/>
      <c r="AN370" s="321"/>
      <c r="AO370" s="321"/>
      <c r="AP370" s="321"/>
      <c r="AQ370" s="321"/>
      <c r="AR370" s="320"/>
      <c r="AS370" s="321"/>
      <c r="AT370" s="321"/>
      <c r="AU370" s="321"/>
      <c r="AV370" s="321"/>
      <c r="AW370" s="321"/>
      <c r="AX370" s="321"/>
      <c r="AY370" s="321"/>
      <c r="AZ370" s="321"/>
      <c r="BA370" s="321"/>
      <c r="BB370" s="322"/>
      <c r="BD370" s="72"/>
      <c r="BK370" s="61"/>
    </row>
    <row r="371" spans="1:63" ht="15.75" customHeight="1">
      <c r="A371" s="215"/>
      <c r="B371" s="72"/>
      <c r="I371" s="71"/>
      <c r="J371" s="217"/>
      <c r="K371" s="217"/>
      <c r="L371" s="217"/>
      <c r="M371" s="217"/>
      <c r="N371" s="217"/>
      <c r="O371" s="323" t="s">
        <v>621</v>
      </c>
      <c r="P371" s="324"/>
      <c r="Q371" s="324"/>
      <c r="R371" s="324"/>
      <c r="S371" s="8"/>
      <c r="T371" s="8"/>
      <c r="U371" s="8"/>
      <c r="V371" s="8"/>
      <c r="W371" s="324"/>
      <c r="X371" s="324"/>
      <c r="Y371" s="321"/>
      <c r="Z371" s="320" t="s">
        <v>581</v>
      </c>
      <c r="AA371" s="321"/>
      <c r="AB371" s="321"/>
      <c r="AC371" s="321"/>
      <c r="AD371" s="321"/>
      <c r="AE371" s="321"/>
      <c r="AF371" s="321"/>
      <c r="AG371" s="321"/>
      <c r="AH371" s="321"/>
      <c r="AI371" s="321"/>
      <c r="AJ371" s="321"/>
      <c r="AK371" s="321"/>
      <c r="AL371" s="321"/>
      <c r="AM371" s="321"/>
      <c r="AN371" s="321"/>
      <c r="AO371" s="321"/>
      <c r="AP371" s="321"/>
      <c r="AQ371" s="321"/>
      <c r="AR371" s="320"/>
      <c r="AS371" s="321"/>
      <c r="AT371" s="321"/>
      <c r="AU371" s="321"/>
      <c r="AV371" s="321"/>
      <c r="AW371" s="321"/>
      <c r="AX371" s="321"/>
      <c r="AY371" s="321"/>
      <c r="AZ371" s="321"/>
      <c r="BA371" s="321"/>
      <c r="BB371" s="322"/>
      <c r="BD371" s="72"/>
      <c r="BK371" s="61"/>
    </row>
    <row r="372" spans="1:63" ht="15.75" customHeight="1">
      <c r="A372" s="215"/>
      <c r="B372" s="72"/>
      <c r="I372" s="71"/>
      <c r="J372" s="217"/>
      <c r="K372" s="217"/>
      <c r="L372" s="217"/>
      <c r="M372" s="217"/>
      <c r="N372" s="217"/>
      <c r="O372" s="323" t="s">
        <v>622</v>
      </c>
      <c r="P372" s="324"/>
      <c r="Q372" s="324"/>
      <c r="R372" s="324"/>
      <c r="S372" s="8"/>
      <c r="T372" s="8"/>
      <c r="U372" s="8"/>
      <c r="V372" s="8"/>
      <c r="W372" s="324"/>
      <c r="X372" s="324"/>
      <c r="Y372" s="321"/>
      <c r="Z372" s="320" t="s">
        <v>556</v>
      </c>
      <c r="AA372" s="321"/>
      <c r="AB372" s="321"/>
      <c r="AC372" s="321"/>
      <c r="AD372" s="321"/>
      <c r="AE372" s="321"/>
      <c r="AF372" s="321"/>
      <c r="AG372" s="321"/>
      <c r="AH372" s="321"/>
      <c r="AI372" s="321"/>
      <c r="AJ372" s="321"/>
      <c r="AK372" s="321"/>
      <c r="AL372" s="321"/>
      <c r="AM372" s="321"/>
      <c r="AN372" s="321"/>
      <c r="AO372" s="321"/>
      <c r="AP372" s="321"/>
      <c r="AQ372" s="321"/>
      <c r="AR372" s="320"/>
      <c r="AS372" s="321"/>
      <c r="AT372" s="321"/>
      <c r="AU372" s="321"/>
      <c r="AV372" s="321"/>
      <c r="AW372" s="321"/>
      <c r="AX372" s="321"/>
      <c r="AY372" s="321"/>
      <c r="AZ372" s="321"/>
      <c r="BA372" s="321"/>
      <c r="BB372" s="322"/>
      <c r="BD372" s="72"/>
      <c r="BK372" s="61"/>
    </row>
    <row r="373" spans="1:63" ht="15.75" customHeight="1">
      <c r="A373" s="215"/>
      <c r="B373" s="72"/>
      <c r="I373" s="71"/>
      <c r="J373" s="217"/>
      <c r="K373" s="217"/>
      <c r="L373" s="217"/>
      <c r="M373" s="217"/>
      <c r="N373" s="217"/>
      <c r="O373" s="323" t="s">
        <v>623</v>
      </c>
      <c r="P373" s="324"/>
      <c r="Q373" s="324"/>
      <c r="R373" s="324"/>
      <c r="S373" s="8"/>
      <c r="T373" s="8"/>
      <c r="U373" s="8"/>
      <c r="V373" s="8"/>
      <c r="W373" s="324"/>
      <c r="X373" s="324"/>
      <c r="Y373" s="321"/>
      <c r="Z373" s="320" t="s">
        <v>556</v>
      </c>
      <c r="AA373" s="321"/>
      <c r="AB373" s="321"/>
      <c r="AC373" s="321"/>
      <c r="AD373" s="321"/>
      <c r="AE373" s="321"/>
      <c r="AF373" s="321"/>
      <c r="AG373" s="321"/>
      <c r="AH373" s="321"/>
      <c r="AI373" s="321"/>
      <c r="AJ373" s="321"/>
      <c r="AK373" s="321"/>
      <c r="AL373" s="321"/>
      <c r="AM373" s="321"/>
      <c r="AN373" s="321"/>
      <c r="AO373" s="321"/>
      <c r="AP373" s="321"/>
      <c r="AQ373" s="321"/>
      <c r="AR373" s="320"/>
      <c r="AS373" s="321"/>
      <c r="AT373" s="321"/>
      <c r="AU373" s="321"/>
      <c r="AV373" s="321"/>
      <c r="AW373" s="321"/>
      <c r="AX373" s="321"/>
      <c r="AY373" s="321"/>
      <c r="AZ373" s="321"/>
      <c r="BA373" s="321"/>
      <c r="BB373" s="322"/>
      <c r="BD373" s="72"/>
      <c r="BK373" s="61"/>
    </row>
    <row r="374" spans="1:63" ht="15.75" customHeight="1">
      <c r="A374" s="215"/>
      <c r="B374" s="72"/>
      <c r="I374" s="71"/>
      <c r="J374" s="217"/>
      <c r="K374" s="217"/>
      <c r="L374" s="217"/>
      <c r="M374" s="217"/>
      <c r="N374" s="217"/>
      <c r="O374" s="323" t="s">
        <v>624</v>
      </c>
      <c r="P374" s="324"/>
      <c r="Q374" s="324"/>
      <c r="R374" s="324"/>
      <c r="S374" s="8"/>
      <c r="T374" s="8"/>
      <c r="U374" s="8"/>
      <c r="V374" s="8"/>
      <c r="W374" s="324"/>
      <c r="X374" s="324"/>
      <c r="Y374" s="321"/>
      <c r="Z374" s="320" t="s">
        <v>625</v>
      </c>
      <c r="AA374" s="321"/>
      <c r="AB374" s="321"/>
      <c r="AC374" s="321"/>
      <c r="AD374" s="321"/>
      <c r="AE374" s="321"/>
      <c r="AF374" s="321"/>
      <c r="AG374" s="321"/>
      <c r="AH374" s="321"/>
      <c r="AI374" s="321"/>
      <c r="AJ374" s="321"/>
      <c r="AK374" s="321"/>
      <c r="AL374" s="321"/>
      <c r="AM374" s="321"/>
      <c r="AN374" s="321"/>
      <c r="AO374" s="321"/>
      <c r="AP374" s="321"/>
      <c r="AQ374" s="321"/>
      <c r="AR374" s="320"/>
      <c r="AS374" s="321"/>
      <c r="AT374" s="321"/>
      <c r="AU374" s="321"/>
      <c r="AV374" s="321"/>
      <c r="AW374" s="321"/>
      <c r="AX374" s="321"/>
      <c r="AY374" s="321"/>
      <c r="AZ374" s="321"/>
      <c r="BA374" s="321"/>
      <c r="BB374" s="322"/>
      <c r="BD374" s="72"/>
      <c r="BK374" s="61"/>
    </row>
    <row r="375" spans="1:63" ht="15.75" customHeight="1">
      <c r="A375" s="215"/>
      <c r="B375" s="72"/>
      <c r="I375" s="71"/>
      <c r="J375" s="217"/>
      <c r="K375" s="217"/>
      <c r="L375" s="217"/>
      <c r="M375" s="217"/>
      <c r="N375" s="217"/>
      <c r="O375" s="323" t="s">
        <v>626</v>
      </c>
      <c r="P375" s="324"/>
      <c r="Q375" s="324"/>
      <c r="R375" s="324"/>
      <c r="S375" s="8"/>
      <c r="T375" s="8"/>
      <c r="U375" s="8"/>
      <c r="V375" s="8"/>
      <c r="W375" s="324"/>
      <c r="X375" s="324"/>
      <c r="Y375" s="321"/>
      <c r="Z375" s="320" t="s">
        <v>627</v>
      </c>
      <c r="AA375" s="321"/>
      <c r="AB375" s="321"/>
      <c r="AC375" s="321"/>
      <c r="AD375" s="321"/>
      <c r="AE375" s="321"/>
      <c r="AF375" s="321"/>
      <c r="AG375" s="321"/>
      <c r="AH375" s="321"/>
      <c r="AI375" s="321"/>
      <c r="AJ375" s="321"/>
      <c r="AK375" s="321"/>
      <c r="AL375" s="321"/>
      <c r="AM375" s="321"/>
      <c r="AN375" s="321"/>
      <c r="AO375" s="321"/>
      <c r="AP375" s="321"/>
      <c r="AQ375" s="321"/>
      <c r="AR375" s="320"/>
      <c r="AS375" s="321"/>
      <c r="AT375" s="321"/>
      <c r="AU375" s="321"/>
      <c r="AV375" s="321"/>
      <c r="AW375" s="321"/>
      <c r="AX375" s="321"/>
      <c r="AY375" s="321"/>
      <c r="AZ375" s="321"/>
      <c r="BA375" s="321"/>
      <c r="BB375" s="322"/>
      <c r="BD375" s="72"/>
      <c r="BK375" s="61"/>
    </row>
    <row r="376" spans="1:63" ht="15.75" customHeight="1">
      <c r="A376" s="215"/>
      <c r="B376" s="72"/>
      <c r="I376" s="71"/>
      <c r="J376" s="217"/>
      <c r="K376" s="217"/>
      <c r="L376" s="217"/>
      <c r="M376" s="217"/>
      <c r="N376" s="217"/>
      <c r="O376" s="323" t="s">
        <v>628</v>
      </c>
      <c r="P376" s="324"/>
      <c r="Q376" s="324"/>
      <c r="R376" s="324"/>
      <c r="S376" s="8"/>
      <c r="T376" s="8"/>
      <c r="U376" s="8"/>
      <c r="V376" s="8"/>
      <c r="W376" s="324"/>
      <c r="X376" s="324"/>
      <c r="Y376" s="321"/>
      <c r="Z376" s="320" t="s">
        <v>556</v>
      </c>
      <c r="AA376" s="321"/>
      <c r="AB376" s="321"/>
      <c r="AC376" s="321"/>
      <c r="AD376" s="321"/>
      <c r="AE376" s="321"/>
      <c r="AF376" s="321"/>
      <c r="AG376" s="321"/>
      <c r="AH376" s="321"/>
      <c r="AI376" s="321"/>
      <c r="AJ376" s="321"/>
      <c r="AK376" s="321"/>
      <c r="AL376" s="321"/>
      <c r="AM376" s="321"/>
      <c r="AN376" s="321"/>
      <c r="AO376" s="321"/>
      <c r="AP376" s="321"/>
      <c r="AQ376" s="321"/>
      <c r="AR376" s="320"/>
      <c r="AS376" s="321"/>
      <c r="AT376" s="321"/>
      <c r="AU376" s="321"/>
      <c r="AV376" s="321"/>
      <c r="AW376" s="321"/>
      <c r="AX376" s="321"/>
      <c r="AY376" s="321"/>
      <c r="AZ376" s="321"/>
      <c r="BA376" s="321"/>
      <c r="BB376" s="322"/>
      <c r="BD376" s="72"/>
      <c r="BK376" s="61"/>
    </row>
    <row r="377" spans="1:63" ht="15.75" customHeight="1">
      <c r="A377" s="215"/>
      <c r="B377" s="72"/>
      <c r="I377" s="71"/>
      <c r="J377" s="217"/>
      <c r="K377" s="217"/>
      <c r="L377" s="217"/>
      <c r="M377" s="217"/>
      <c r="N377" s="217"/>
      <c r="O377" s="323" t="s">
        <v>629</v>
      </c>
      <c r="P377" s="324"/>
      <c r="Q377" s="324"/>
      <c r="R377" s="324"/>
      <c r="S377" s="8"/>
      <c r="T377" s="8"/>
      <c r="U377" s="8"/>
      <c r="V377" s="8"/>
      <c r="W377" s="324"/>
      <c r="X377" s="324"/>
      <c r="Y377" s="321"/>
      <c r="Z377" s="320" t="s">
        <v>556</v>
      </c>
      <c r="AA377" s="321"/>
      <c r="AB377" s="321"/>
      <c r="AC377" s="321"/>
      <c r="AD377" s="321"/>
      <c r="AE377" s="321"/>
      <c r="AF377" s="321"/>
      <c r="AG377" s="321"/>
      <c r="AH377" s="321"/>
      <c r="AI377" s="321"/>
      <c r="AJ377" s="321"/>
      <c r="AK377" s="321"/>
      <c r="AL377" s="321"/>
      <c r="AM377" s="321"/>
      <c r="AN377" s="321"/>
      <c r="AO377" s="321"/>
      <c r="AP377" s="321"/>
      <c r="AQ377" s="321"/>
      <c r="AR377" s="320"/>
      <c r="AS377" s="321"/>
      <c r="AT377" s="321"/>
      <c r="AU377" s="321"/>
      <c r="AV377" s="321"/>
      <c r="AW377" s="321"/>
      <c r="AX377" s="321"/>
      <c r="AY377" s="321"/>
      <c r="AZ377" s="321"/>
      <c r="BA377" s="321"/>
      <c r="BB377" s="322"/>
      <c r="BD377" s="72"/>
      <c r="BK377" s="61"/>
    </row>
    <row r="378" spans="1:63" ht="15.75" customHeight="1">
      <c r="A378" s="215"/>
      <c r="B378" s="72"/>
      <c r="I378" s="71"/>
      <c r="J378" s="217"/>
      <c r="K378" s="217"/>
      <c r="L378" s="217"/>
      <c r="M378" s="217"/>
      <c r="N378" s="217"/>
      <c r="O378" s="323" t="s">
        <v>630</v>
      </c>
      <c r="P378" s="324"/>
      <c r="Q378" s="324"/>
      <c r="R378" s="324"/>
      <c r="S378" s="8"/>
      <c r="T378" s="8"/>
      <c r="U378" s="8"/>
      <c r="V378" s="8"/>
      <c r="W378" s="324"/>
      <c r="X378" s="324"/>
      <c r="Y378" s="321"/>
      <c r="Z378" s="320" t="s">
        <v>556</v>
      </c>
      <c r="AA378" s="321"/>
      <c r="AB378" s="321"/>
      <c r="AC378" s="321"/>
      <c r="AD378" s="321"/>
      <c r="AE378" s="321"/>
      <c r="AF378" s="321"/>
      <c r="AG378" s="321"/>
      <c r="AH378" s="321"/>
      <c r="AI378" s="321"/>
      <c r="AJ378" s="321"/>
      <c r="AK378" s="321"/>
      <c r="AL378" s="321"/>
      <c r="AM378" s="321"/>
      <c r="AN378" s="321"/>
      <c r="AO378" s="321"/>
      <c r="AP378" s="321"/>
      <c r="AQ378" s="321"/>
      <c r="AR378" s="320"/>
      <c r="AS378" s="321"/>
      <c r="AT378" s="321"/>
      <c r="AU378" s="321"/>
      <c r="AV378" s="321"/>
      <c r="AW378" s="321"/>
      <c r="AX378" s="321"/>
      <c r="AY378" s="321"/>
      <c r="AZ378" s="321"/>
      <c r="BA378" s="321"/>
      <c r="BB378" s="322"/>
      <c r="BD378" s="72"/>
      <c r="BK378" s="61"/>
    </row>
    <row r="379" spans="1:63" ht="15.75" customHeight="1">
      <c r="A379" s="215"/>
      <c r="B379" s="72"/>
      <c r="I379" s="71"/>
      <c r="J379" s="217"/>
      <c r="K379" s="217"/>
      <c r="L379" s="217"/>
      <c r="M379" s="217"/>
      <c r="N379" s="217"/>
      <c r="O379" s="323" t="s">
        <v>631</v>
      </c>
      <c r="P379" s="324"/>
      <c r="Q379" s="324"/>
      <c r="R379" s="324"/>
      <c r="S379" s="8"/>
      <c r="T379" s="8"/>
      <c r="U379" s="8"/>
      <c r="V379" s="8"/>
      <c r="W379" s="324"/>
      <c r="X379" s="324"/>
      <c r="Y379" s="321"/>
      <c r="Z379" s="320" t="s">
        <v>556</v>
      </c>
      <c r="AA379" s="321"/>
      <c r="AB379" s="321"/>
      <c r="AC379" s="321"/>
      <c r="AD379" s="321"/>
      <c r="AE379" s="321"/>
      <c r="AF379" s="321"/>
      <c r="AG379" s="321"/>
      <c r="AH379" s="321"/>
      <c r="AI379" s="321"/>
      <c r="AJ379" s="321"/>
      <c r="AK379" s="321"/>
      <c r="AL379" s="321"/>
      <c r="AM379" s="321"/>
      <c r="AN379" s="321"/>
      <c r="AO379" s="321"/>
      <c r="AP379" s="321"/>
      <c r="AQ379" s="321"/>
      <c r="AR379" s="320"/>
      <c r="AS379" s="321"/>
      <c r="AT379" s="321"/>
      <c r="AU379" s="321"/>
      <c r="AV379" s="321"/>
      <c r="AW379" s="321"/>
      <c r="AX379" s="321"/>
      <c r="AY379" s="321"/>
      <c r="AZ379" s="321"/>
      <c r="BA379" s="321"/>
      <c r="BB379" s="322"/>
      <c r="BD379" s="72"/>
      <c r="BK379" s="61"/>
    </row>
    <row r="380" spans="1:63" ht="15.75" customHeight="1">
      <c r="A380" s="215"/>
      <c r="B380" s="72"/>
      <c r="I380" s="71"/>
      <c r="J380" s="217"/>
      <c r="K380" s="217"/>
      <c r="L380" s="217"/>
      <c r="M380" s="217"/>
      <c r="N380" s="217"/>
      <c r="O380" s="323" t="s">
        <v>632</v>
      </c>
      <c r="P380" s="324"/>
      <c r="Q380" s="324"/>
      <c r="R380" s="324"/>
      <c r="S380" s="8"/>
      <c r="T380" s="8"/>
      <c r="U380" s="8"/>
      <c r="V380" s="8"/>
      <c r="W380" s="324"/>
      <c r="X380" s="324"/>
      <c r="Y380" s="321"/>
      <c r="Z380" s="320" t="s">
        <v>556</v>
      </c>
      <c r="AA380" s="321"/>
      <c r="AB380" s="321"/>
      <c r="AC380" s="321"/>
      <c r="AD380" s="321"/>
      <c r="AE380" s="321"/>
      <c r="AF380" s="321"/>
      <c r="AG380" s="321"/>
      <c r="AH380" s="321"/>
      <c r="AI380" s="321"/>
      <c r="AJ380" s="321"/>
      <c r="AK380" s="321"/>
      <c r="AL380" s="321"/>
      <c r="AM380" s="321"/>
      <c r="AN380" s="321"/>
      <c r="AO380" s="321"/>
      <c r="AP380" s="321"/>
      <c r="AQ380" s="321"/>
      <c r="AR380" s="320"/>
      <c r="AS380" s="321"/>
      <c r="AT380" s="321"/>
      <c r="AU380" s="321"/>
      <c r="AV380" s="321"/>
      <c r="AW380" s="321"/>
      <c r="AX380" s="321"/>
      <c r="AY380" s="321"/>
      <c r="AZ380" s="321"/>
      <c r="BA380" s="321"/>
      <c r="BB380" s="322"/>
      <c r="BD380" s="72"/>
      <c r="BK380" s="61"/>
    </row>
    <row r="381" spans="1:63" ht="15.75" customHeight="1">
      <c r="A381" s="215"/>
      <c r="B381" s="72"/>
      <c r="I381" s="71"/>
      <c r="J381" s="217"/>
      <c r="K381" s="217"/>
      <c r="L381" s="217"/>
      <c r="M381" s="217"/>
      <c r="N381" s="217"/>
      <c r="O381" s="323" t="s">
        <v>633</v>
      </c>
      <c r="P381" s="324"/>
      <c r="Q381" s="324"/>
      <c r="R381" s="324"/>
      <c r="S381" s="8"/>
      <c r="T381" s="8"/>
      <c r="U381" s="8"/>
      <c r="V381" s="8"/>
      <c r="W381" s="324"/>
      <c r="X381" s="324"/>
      <c r="Y381" s="321"/>
      <c r="Z381" s="320" t="s">
        <v>556</v>
      </c>
      <c r="AA381" s="321"/>
      <c r="AB381" s="321"/>
      <c r="AC381" s="321"/>
      <c r="AD381" s="321"/>
      <c r="AE381" s="321"/>
      <c r="AF381" s="321"/>
      <c r="AG381" s="321"/>
      <c r="AH381" s="321"/>
      <c r="AI381" s="321"/>
      <c r="AJ381" s="321"/>
      <c r="AK381" s="321"/>
      <c r="AL381" s="321"/>
      <c r="AM381" s="321"/>
      <c r="AN381" s="321"/>
      <c r="AO381" s="321"/>
      <c r="AP381" s="321"/>
      <c r="AQ381" s="321"/>
      <c r="AR381" s="320"/>
      <c r="AS381" s="321"/>
      <c r="AT381" s="321"/>
      <c r="AU381" s="321"/>
      <c r="AV381" s="321"/>
      <c r="AW381" s="321"/>
      <c r="AX381" s="321"/>
      <c r="AY381" s="321"/>
      <c r="AZ381" s="321"/>
      <c r="BA381" s="321"/>
      <c r="BB381" s="322"/>
      <c r="BD381" s="72"/>
      <c r="BK381" s="61"/>
    </row>
    <row r="382" spans="1:63" ht="15.75" customHeight="1">
      <c r="A382" s="215"/>
      <c r="B382" s="72"/>
      <c r="I382" s="71"/>
      <c r="J382" s="217"/>
      <c r="K382" s="217"/>
      <c r="L382" s="217"/>
      <c r="M382" s="217"/>
      <c r="N382" s="217"/>
      <c r="O382" s="323" t="s">
        <v>634</v>
      </c>
      <c r="P382" s="324"/>
      <c r="Q382" s="324"/>
      <c r="R382" s="324"/>
      <c r="S382" s="8"/>
      <c r="T382" s="8"/>
      <c r="U382" s="8"/>
      <c r="V382" s="8"/>
      <c r="W382" s="324"/>
      <c r="X382" s="324"/>
      <c r="Y382" s="321"/>
      <c r="Z382" s="320" t="s">
        <v>556</v>
      </c>
      <c r="AA382" s="321"/>
      <c r="AB382" s="321"/>
      <c r="AC382" s="321"/>
      <c r="AD382" s="321"/>
      <c r="AE382" s="321"/>
      <c r="AF382" s="321"/>
      <c r="AG382" s="321"/>
      <c r="AH382" s="321"/>
      <c r="AI382" s="321"/>
      <c r="AJ382" s="321"/>
      <c r="AK382" s="321"/>
      <c r="AL382" s="321"/>
      <c r="AM382" s="321"/>
      <c r="AN382" s="321"/>
      <c r="AO382" s="321"/>
      <c r="AP382" s="321"/>
      <c r="AQ382" s="321"/>
      <c r="AR382" s="320"/>
      <c r="AS382" s="321"/>
      <c r="AT382" s="321"/>
      <c r="AU382" s="321"/>
      <c r="AV382" s="321"/>
      <c r="AW382" s="321"/>
      <c r="AX382" s="321"/>
      <c r="AY382" s="321"/>
      <c r="AZ382" s="321"/>
      <c r="BA382" s="321"/>
      <c r="BB382" s="322"/>
      <c r="BD382" s="72"/>
      <c r="BK382" s="61"/>
    </row>
    <row r="383" spans="1:63" ht="15.75" customHeight="1">
      <c r="A383" s="215"/>
      <c r="B383" s="72"/>
      <c r="I383" s="71"/>
      <c r="J383" s="217"/>
      <c r="K383" s="217"/>
      <c r="L383" s="217"/>
      <c r="M383" s="217"/>
      <c r="N383" s="217"/>
      <c r="O383" s="323" t="s">
        <v>635</v>
      </c>
      <c r="P383" s="324"/>
      <c r="Q383" s="324"/>
      <c r="R383" s="324"/>
      <c r="S383" s="8"/>
      <c r="T383" s="8"/>
      <c r="U383" s="8"/>
      <c r="V383" s="8"/>
      <c r="W383" s="324"/>
      <c r="X383" s="324"/>
      <c r="Y383" s="321"/>
      <c r="Z383" s="320" t="s">
        <v>556</v>
      </c>
      <c r="AA383" s="321"/>
      <c r="AB383" s="321"/>
      <c r="AC383" s="321"/>
      <c r="AD383" s="321"/>
      <c r="AE383" s="321"/>
      <c r="AF383" s="321"/>
      <c r="AG383" s="321"/>
      <c r="AH383" s="321"/>
      <c r="AI383" s="321"/>
      <c r="AJ383" s="321"/>
      <c r="AK383" s="321"/>
      <c r="AL383" s="321"/>
      <c r="AM383" s="321"/>
      <c r="AN383" s="321"/>
      <c r="AO383" s="321"/>
      <c r="AP383" s="321"/>
      <c r="AQ383" s="321"/>
      <c r="AR383" s="320"/>
      <c r="AS383" s="321"/>
      <c r="AT383" s="321"/>
      <c r="AU383" s="321"/>
      <c r="AV383" s="321"/>
      <c r="AW383" s="321"/>
      <c r="AX383" s="321"/>
      <c r="AY383" s="321"/>
      <c r="AZ383" s="321"/>
      <c r="BA383" s="321"/>
      <c r="BB383" s="322"/>
      <c r="BD383" s="72"/>
      <c r="BK383" s="61"/>
    </row>
    <row r="384" spans="1:63" ht="15.75" customHeight="1">
      <c r="A384" s="215"/>
      <c r="B384" s="72"/>
      <c r="I384" s="71"/>
      <c r="J384" s="217"/>
      <c r="K384" s="217"/>
      <c r="L384" s="217"/>
      <c r="M384" s="217"/>
      <c r="N384" s="217"/>
      <c r="O384" s="323" t="s">
        <v>636</v>
      </c>
      <c r="P384" s="324"/>
      <c r="Q384" s="324"/>
      <c r="R384" s="324"/>
      <c r="S384" s="8"/>
      <c r="T384" s="8"/>
      <c r="U384" s="8"/>
      <c r="V384" s="8"/>
      <c r="W384" s="324"/>
      <c r="X384" s="324"/>
      <c r="Y384" s="321"/>
      <c r="Z384" s="320" t="s">
        <v>556</v>
      </c>
      <c r="AA384" s="321"/>
      <c r="AB384" s="321"/>
      <c r="AC384" s="321"/>
      <c r="AD384" s="321"/>
      <c r="AE384" s="321"/>
      <c r="AF384" s="321"/>
      <c r="AG384" s="321"/>
      <c r="AH384" s="321"/>
      <c r="AI384" s="321"/>
      <c r="AJ384" s="321"/>
      <c r="AK384" s="321"/>
      <c r="AL384" s="321"/>
      <c r="AM384" s="321"/>
      <c r="AN384" s="321"/>
      <c r="AO384" s="321"/>
      <c r="AP384" s="321"/>
      <c r="AQ384" s="321"/>
      <c r="AR384" s="320"/>
      <c r="AS384" s="321"/>
      <c r="AT384" s="321"/>
      <c r="AU384" s="321"/>
      <c r="AV384" s="321"/>
      <c r="AW384" s="321"/>
      <c r="AX384" s="321"/>
      <c r="AY384" s="321"/>
      <c r="AZ384" s="321"/>
      <c r="BA384" s="321"/>
      <c r="BB384" s="322"/>
      <c r="BD384" s="72"/>
      <c r="BK384" s="61"/>
    </row>
    <row r="385" spans="1:63" ht="15.75" customHeight="1">
      <c r="A385" s="215"/>
      <c r="B385" s="72"/>
      <c r="I385" s="71"/>
      <c r="J385" s="217"/>
      <c r="K385" s="217"/>
      <c r="L385" s="217"/>
      <c r="M385" s="217"/>
      <c r="N385" s="217"/>
      <c r="O385" s="323" t="s">
        <v>637</v>
      </c>
      <c r="P385" s="324"/>
      <c r="Q385" s="324"/>
      <c r="R385" s="324"/>
      <c r="S385" s="8"/>
      <c r="T385" s="8"/>
      <c r="U385" s="8"/>
      <c r="V385" s="8"/>
      <c r="W385" s="324"/>
      <c r="X385" s="324"/>
      <c r="Y385" s="321"/>
      <c r="Z385" s="320" t="s">
        <v>556</v>
      </c>
      <c r="AA385" s="321"/>
      <c r="AB385" s="321"/>
      <c r="AC385" s="321"/>
      <c r="AD385" s="321"/>
      <c r="AE385" s="321"/>
      <c r="AF385" s="321"/>
      <c r="AG385" s="321"/>
      <c r="AH385" s="321"/>
      <c r="AI385" s="321"/>
      <c r="AJ385" s="321"/>
      <c r="AK385" s="321"/>
      <c r="AL385" s="321"/>
      <c r="AM385" s="321"/>
      <c r="AN385" s="321"/>
      <c r="AO385" s="321"/>
      <c r="AP385" s="321"/>
      <c r="AQ385" s="321"/>
      <c r="AR385" s="320"/>
      <c r="AS385" s="321"/>
      <c r="AT385" s="321"/>
      <c r="AU385" s="321"/>
      <c r="AV385" s="321"/>
      <c r="AW385" s="321"/>
      <c r="AX385" s="321"/>
      <c r="AY385" s="321"/>
      <c r="AZ385" s="321"/>
      <c r="BA385" s="321"/>
      <c r="BB385" s="322"/>
      <c r="BD385" s="72"/>
      <c r="BK385" s="61"/>
    </row>
    <row r="386" spans="1:63" ht="15.75" customHeight="1">
      <c r="A386" s="215"/>
      <c r="B386" s="72"/>
      <c r="I386" s="71"/>
      <c r="J386" s="217"/>
      <c r="K386" s="217"/>
      <c r="L386" s="217"/>
      <c r="M386" s="217"/>
      <c r="N386" s="217"/>
      <c r="O386" s="323" t="s">
        <v>638</v>
      </c>
      <c r="P386" s="324"/>
      <c r="Q386" s="324"/>
      <c r="R386" s="324"/>
      <c r="S386" s="8"/>
      <c r="T386" s="8"/>
      <c r="U386" s="8"/>
      <c r="V386" s="8"/>
      <c r="W386" s="324"/>
      <c r="X386" s="324"/>
      <c r="Y386" s="321"/>
      <c r="Z386" s="320" t="s">
        <v>556</v>
      </c>
      <c r="AA386" s="321"/>
      <c r="AB386" s="321"/>
      <c r="AC386" s="321"/>
      <c r="AD386" s="321"/>
      <c r="AE386" s="321"/>
      <c r="AF386" s="321"/>
      <c r="AG386" s="321"/>
      <c r="AH386" s="321"/>
      <c r="AI386" s="321"/>
      <c r="AJ386" s="321"/>
      <c r="AK386" s="321"/>
      <c r="AL386" s="321"/>
      <c r="AM386" s="321"/>
      <c r="AN386" s="321"/>
      <c r="AO386" s="321"/>
      <c r="AP386" s="321"/>
      <c r="AQ386" s="321"/>
      <c r="AR386" s="320"/>
      <c r="AS386" s="321"/>
      <c r="AT386" s="321"/>
      <c r="AU386" s="321"/>
      <c r="AV386" s="321"/>
      <c r="AW386" s="321"/>
      <c r="AX386" s="321"/>
      <c r="AY386" s="321"/>
      <c r="AZ386" s="321"/>
      <c r="BA386" s="321"/>
      <c r="BB386" s="322"/>
      <c r="BD386" s="72"/>
      <c r="BK386" s="61"/>
    </row>
    <row r="387" spans="1:63" ht="15.75" customHeight="1">
      <c r="A387" s="215"/>
      <c r="B387" s="72"/>
      <c r="I387" s="71"/>
      <c r="J387" s="217"/>
      <c r="K387" s="217"/>
      <c r="L387" s="217"/>
      <c r="M387" s="217"/>
      <c r="N387" s="217"/>
      <c r="O387" s="323" t="s">
        <v>639</v>
      </c>
      <c r="P387" s="324"/>
      <c r="Q387" s="324"/>
      <c r="R387" s="324"/>
      <c r="S387" s="8"/>
      <c r="T387" s="8"/>
      <c r="U387" s="8"/>
      <c r="V387" s="8"/>
      <c r="W387" s="324"/>
      <c r="X387" s="324"/>
      <c r="Y387" s="321"/>
      <c r="Z387" s="320" t="s">
        <v>556</v>
      </c>
      <c r="AA387" s="321"/>
      <c r="AB387" s="321"/>
      <c r="AC387" s="321"/>
      <c r="AD387" s="321"/>
      <c r="AE387" s="321"/>
      <c r="AF387" s="321"/>
      <c r="AG387" s="321"/>
      <c r="AH387" s="321"/>
      <c r="AI387" s="321"/>
      <c r="AJ387" s="321"/>
      <c r="AK387" s="321"/>
      <c r="AL387" s="321"/>
      <c r="AM387" s="321"/>
      <c r="AN387" s="321"/>
      <c r="AO387" s="321"/>
      <c r="AP387" s="321"/>
      <c r="AQ387" s="321"/>
      <c r="AR387" s="320"/>
      <c r="AS387" s="321"/>
      <c r="AT387" s="321"/>
      <c r="AU387" s="321"/>
      <c r="AV387" s="321"/>
      <c r="AW387" s="321"/>
      <c r="AX387" s="321"/>
      <c r="AY387" s="321"/>
      <c r="AZ387" s="321"/>
      <c r="BA387" s="321"/>
      <c r="BB387" s="322"/>
      <c r="BD387" s="72"/>
      <c r="BK387" s="61"/>
    </row>
    <row r="388" spans="1:63" ht="15.75" customHeight="1">
      <c r="A388" s="215"/>
      <c r="B388" s="72"/>
      <c r="I388" s="71"/>
      <c r="J388" s="217"/>
      <c r="K388" s="217"/>
      <c r="L388" s="217"/>
      <c r="M388" s="217"/>
      <c r="N388" s="217"/>
      <c r="O388" s="323" t="s">
        <v>640</v>
      </c>
      <c r="P388" s="324"/>
      <c r="Q388" s="324"/>
      <c r="R388" s="324"/>
      <c r="S388" s="8"/>
      <c r="T388" s="8"/>
      <c r="U388" s="8"/>
      <c r="V388" s="8"/>
      <c r="W388" s="324"/>
      <c r="X388" s="324"/>
      <c r="Y388" s="321"/>
      <c r="Z388" s="320" t="s">
        <v>556</v>
      </c>
      <c r="AA388" s="321"/>
      <c r="AB388" s="321"/>
      <c r="AC388" s="321"/>
      <c r="AD388" s="321"/>
      <c r="AE388" s="321"/>
      <c r="AF388" s="321"/>
      <c r="AG388" s="321"/>
      <c r="AH388" s="321"/>
      <c r="AI388" s="321"/>
      <c r="AJ388" s="321"/>
      <c r="AK388" s="321"/>
      <c r="AL388" s="321"/>
      <c r="AM388" s="321"/>
      <c r="AN388" s="321"/>
      <c r="AO388" s="321"/>
      <c r="AP388" s="321"/>
      <c r="AQ388" s="321"/>
      <c r="AR388" s="320"/>
      <c r="AS388" s="321"/>
      <c r="AT388" s="321"/>
      <c r="AU388" s="321"/>
      <c r="AV388" s="321"/>
      <c r="AW388" s="321"/>
      <c r="AX388" s="321"/>
      <c r="AY388" s="321"/>
      <c r="AZ388" s="321"/>
      <c r="BA388" s="321"/>
      <c r="BB388" s="322"/>
      <c r="BD388" s="72"/>
      <c r="BK388" s="61"/>
    </row>
    <row r="389" spans="1:63" ht="15.75" customHeight="1">
      <c r="A389" s="215"/>
      <c r="B389" s="72"/>
      <c r="I389" s="71"/>
      <c r="J389" s="217"/>
      <c r="K389" s="217"/>
      <c r="L389" s="217"/>
      <c r="M389" s="217"/>
      <c r="N389" s="217"/>
      <c r="O389" s="323" t="s">
        <v>641</v>
      </c>
      <c r="P389" s="324"/>
      <c r="Q389" s="324"/>
      <c r="R389" s="324"/>
      <c r="S389" s="8"/>
      <c r="T389" s="8"/>
      <c r="U389" s="8"/>
      <c r="V389" s="8"/>
      <c r="W389" s="324"/>
      <c r="X389" s="324"/>
      <c r="Y389" s="321"/>
      <c r="Z389" s="320" t="s">
        <v>556</v>
      </c>
      <c r="AA389" s="321"/>
      <c r="AB389" s="321"/>
      <c r="AC389" s="321"/>
      <c r="AD389" s="321"/>
      <c r="AE389" s="321"/>
      <c r="AF389" s="321"/>
      <c r="AG389" s="321"/>
      <c r="AH389" s="321"/>
      <c r="AI389" s="321"/>
      <c r="AJ389" s="321"/>
      <c r="AK389" s="321"/>
      <c r="AL389" s="321"/>
      <c r="AM389" s="321"/>
      <c r="AN389" s="321"/>
      <c r="AO389" s="321"/>
      <c r="AP389" s="321"/>
      <c r="AQ389" s="321"/>
      <c r="AR389" s="320"/>
      <c r="AS389" s="321"/>
      <c r="AT389" s="321"/>
      <c r="AU389" s="321"/>
      <c r="AV389" s="321"/>
      <c r="AW389" s="321"/>
      <c r="AX389" s="321"/>
      <c r="AY389" s="321"/>
      <c r="AZ389" s="321"/>
      <c r="BA389" s="321"/>
      <c r="BB389" s="322"/>
      <c r="BD389" s="72"/>
      <c r="BK389" s="61"/>
    </row>
    <row r="390" spans="1:63" ht="15.75" customHeight="1">
      <c r="A390" s="215"/>
      <c r="B390" s="72"/>
      <c r="I390" s="71"/>
      <c r="J390" s="217"/>
      <c r="K390" s="217"/>
      <c r="L390" s="217"/>
      <c r="M390" s="217"/>
      <c r="N390" s="217"/>
      <c r="O390" s="323" t="s">
        <v>642</v>
      </c>
      <c r="P390" s="324"/>
      <c r="Q390" s="324"/>
      <c r="R390" s="324"/>
      <c r="S390" s="8"/>
      <c r="T390" s="8"/>
      <c r="U390" s="8"/>
      <c r="V390" s="8"/>
      <c r="W390" s="324"/>
      <c r="X390" s="324"/>
      <c r="Y390" s="321"/>
      <c r="Z390" s="320" t="s">
        <v>556</v>
      </c>
      <c r="AA390" s="321"/>
      <c r="AB390" s="321"/>
      <c r="AC390" s="321"/>
      <c r="AD390" s="321"/>
      <c r="AE390" s="321"/>
      <c r="AF390" s="321"/>
      <c r="AG390" s="321"/>
      <c r="AH390" s="321"/>
      <c r="AI390" s="321"/>
      <c r="AJ390" s="321"/>
      <c r="AK390" s="321"/>
      <c r="AL390" s="321"/>
      <c r="AM390" s="321"/>
      <c r="AN390" s="321"/>
      <c r="AO390" s="321"/>
      <c r="AP390" s="321"/>
      <c r="AQ390" s="321"/>
      <c r="AR390" s="320"/>
      <c r="AS390" s="321"/>
      <c r="AT390" s="321"/>
      <c r="AU390" s="321"/>
      <c r="AV390" s="321"/>
      <c r="AW390" s="321"/>
      <c r="AX390" s="321"/>
      <c r="AY390" s="321"/>
      <c r="AZ390" s="321"/>
      <c r="BA390" s="321"/>
      <c r="BB390" s="322"/>
      <c r="BD390" s="72"/>
      <c r="BK390" s="61"/>
    </row>
    <row r="391" spans="1:63" ht="15.75" customHeight="1">
      <c r="A391" s="215"/>
      <c r="B391" s="72"/>
      <c r="I391" s="71"/>
      <c r="J391" s="217"/>
      <c r="K391" s="217"/>
      <c r="L391" s="217"/>
      <c r="M391" s="217"/>
      <c r="N391" s="217"/>
      <c r="O391" s="323" t="s">
        <v>643</v>
      </c>
      <c r="P391" s="324"/>
      <c r="Q391" s="324"/>
      <c r="R391" s="324"/>
      <c r="S391" s="8"/>
      <c r="T391" s="8"/>
      <c r="U391" s="8"/>
      <c r="V391" s="8"/>
      <c r="W391" s="324"/>
      <c r="X391" s="324"/>
      <c r="Y391" s="321"/>
      <c r="Z391" s="320" t="s">
        <v>556</v>
      </c>
      <c r="AA391" s="321"/>
      <c r="AB391" s="321"/>
      <c r="AC391" s="321"/>
      <c r="AD391" s="321"/>
      <c r="AE391" s="321"/>
      <c r="AF391" s="321"/>
      <c r="AG391" s="321"/>
      <c r="AH391" s="321"/>
      <c r="AI391" s="321"/>
      <c r="AJ391" s="321"/>
      <c r="AK391" s="321"/>
      <c r="AL391" s="321"/>
      <c r="AM391" s="321"/>
      <c r="AN391" s="321"/>
      <c r="AO391" s="321"/>
      <c r="AP391" s="321"/>
      <c r="AQ391" s="321"/>
      <c r="AR391" s="320"/>
      <c r="AS391" s="321"/>
      <c r="AT391" s="321"/>
      <c r="AU391" s="321"/>
      <c r="AV391" s="321"/>
      <c r="AW391" s="321"/>
      <c r="AX391" s="321"/>
      <c r="AY391" s="321"/>
      <c r="AZ391" s="321"/>
      <c r="BA391" s="321"/>
      <c r="BB391" s="322"/>
      <c r="BD391" s="72"/>
      <c r="BK391" s="61"/>
    </row>
    <row r="392" spans="1:63" ht="15.75" customHeight="1">
      <c r="A392" s="215"/>
      <c r="B392" s="72"/>
      <c r="I392" s="71"/>
      <c r="J392" s="217"/>
      <c r="K392" s="217"/>
      <c r="L392" s="217"/>
      <c r="M392" s="217"/>
      <c r="N392" s="217"/>
      <c r="O392" s="323" t="s">
        <v>644</v>
      </c>
      <c r="P392" s="324"/>
      <c r="Q392" s="324"/>
      <c r="R392" s="324"/>
      <c r="S392" s="8"/>
      <c r="T392" s="8"/>
      <c r="U392" s="8"/>
      <c r="V392" s="8"/>
      <c r="W392" s="324"/>
      <c r="X392" s="324"/>
      <c r="Y392" s="321"/>
      <c r="Z392" s="320" t="s">
        <v>556</v>
      </c>
      <c r="AA392" s="321"/>
      <c r="AB392" s="321"/>
      <c r="AC392" s="321"/>
      <c r="AD392" s="321"/>
      <c r="AE392" s="321"/>
      <c r="AF392" s="321"/>
      <c r="AG392" s="321"/>
      <c r="AH392" s="321"/>
      <c r="AI392" s="321"/>
      <c r="AJ392" s="321"/>
      <c r="AK392" s="321"/>
      <c r="AL392" s="321"/>
      <c r="AM392" s="321"/>
      <c r="AN392" s="321"/>
      <c r="AO392" s="321"/>
      <c r="AP392" s="321"/>
      <c r="AQ392" s="321"/>
      <c r="AR392" s="320"/>
      <c r="AS392" s="321"/>
      <c r="AT392" s="321"/>
      <c r="AU392" s="321"/>
      <c r="AV392" s="321"/>
      <c r="AW392" s="321"/>
      <c r="AX392" s="321"/>
      <c r="AY392" s="321"/>
      <c r="AZ392" s="321"/>
      <c r="BA392" s="321"/>
      <c r="BB392" s="322"/>
      <c r="BD392" s="72"/>
      <c r="BK392" s="61"/>
    </row>
    <row r="393" spans="1:63" ht="15.75" customHeight="1">
      <c r="A393" s="215"/>
      <c r="B393" s="72"/>
      <c r="I393" s="71"/>
      <c r="J393" s="217"/>
      <c r="K393" s="217"/>
      <c r="L393" s="217"/>
      <c r="M393" s="217"/>
      <c r="N393" s="217"/>
      <c r="O393" s="323" t="s">
        <v>645</v>
      </c>
      <c r="P393" s="324"/>
      <c r="Q393" s="324"/>
      <c r="R393" s="324"/>
      <c r="S393" s="8"/>
      <c r="T393" s="8"/>
      <c r="U393" s="8"/>
      <c r="V393" s="8"/>
      <c r="W393" s="324"/>
      <c r="X393" s="324"/>
      <c r="Y393" s="321"/>
      <c r="Z393" s="320" t="s">
        <v>556</v>
      </c>
      <c r="AA393" s="321"/>
      <c r="AB393" s="321"/>
      <c r="AC393" s="321"/>
      <c r="AD393" s="321"/>
      <c r="AE393" s="321"/>
      <c r="AF393" s="321"/>
      <c r="AG393" s="321"/>
      <c r="AH393" s="321"/>
      <c r="AI393" s="321"/>
      <c r="AJ393" s="321"/>
      <c r="AK393" s="321"/>
      <c r="AL393" s="321"/>
      <c r="AM393" s="321"/>
      <c r="AN393" s="321"/>
      <c r="AO393" s="321"/>
      <c r="AP393" s="321"/>
      <c r="AQ393" s="321"/>
      <c r="AR393" s="320"/>
      <c r="AS393" s="321"/>
      <c r="AT393" s="321"/>
      <c r="AU393" s="321"/>
      <c r="AV393" s="321"/>
      <c r="AW393" s="321"/>
      <c r="AX393" s="321"/>
      <c r="AY393" s="321"/>
      <c r="AZ393" s="321"/>
      <c r="BA393" s="321"/>
      <c r="BB393" s="322"/>
      <c r="BD393" s="72"/>
      <c r="BK393" s="61"/>
    </row>
    <row r="394" spans="1:63" ht="15.75" customHeight="1">
      <c r="A394" s="215"/>
      <c r="B394" s="72"/>
      <c r="I394" s="71"/>
      <c r="J394" s="217"/>
      <c r="K394" s="217"/>
      <c r="L394" s="217"/>
      <c r="M394" s="217"/>
      <c r="N394" s="217"/>
      <c r="O394" s="323" t="s">
        <v>568</v>
      </c>
      <c r="P394" s="324"/>
      <c r="Q394" s="324"/>
      <c r="R394" s="324"/>
      <c r="S394" s="8"/>
      <c r="T394" s="8"/>
      <c r="U394" s="8"/>
      <c r="V394" s="8"/>
      <c r="W394" s="324"/>
      <c r="X394" s="324"/>
      <c r="Y394" s="321"/>
      <c r="Z394" s="320" t="s">
        <v>556</v>
      </c>
      <c r="AA394" s="321"/>
      <c r="AB394" s="321"/>
      <c r="AC394" s="321"/>
      <c r="AD394" s="321"/>
      <c r="AE394" s="321"/>
      <c r="AF394" s="321"/>
      <c r="AG394" s="321"/>
      <c r="AH394" s="321"/>
      <c r="AI394" s="321"/>
      <c r="AJ394" s="321"/>
      <c r="AK394" s="321"/>
      <c r="AL394" s="321"/>
      <c r="AM394" s="321"/>
      <c r="AN394" s="321"/>
      <c r="AO394" s="321"/>
      <c r="AP394" s="321"/>
      <c r="AQ394" s="321"/>
      <c r="AR394" s="320"/>
      <c r="AS394" s="321"/>
      <c r="AT394" s="321"/>
      <c r="AU394" s="321"/>
      <c r="AV394" s="321"/>
      <c r="AW394" s="321"/>
      <c r="AX394" s="321"/>
      <c r="AY394" s="321"/>
      <c r="AZ394" s="321"/>
      <c r="BA394" s="321"/>
      <c r="BB394" s="322"/>
      <c r="BD394" s="72"/>
      <c r="BK394" s="61"/>
    </row>
    <row r="395" spans="1:63" ht="15.75" customHeight="1">
      <c r="A395" s="215"/>
      <c r="B395" s="72"/>
      <c r="I395" s="71"/>
      <c r="J395" s="217"/>
      <c r="K395" s="217"/>
      <c r="L395" s="217"/>
      <c r="M395" s="217"/>
      <c r="N395" s="217"/>
      <c r="O395" s="323" t="s">
        <v>569</v>
      </c>
      <c r="P395" s="324"/>
      <c r="Q395" s="324"/>
      <c r="R395" s="324"/>
      <c r="S395" s="8"/>
      <c r="T395" s="8"/>
      <c r="U395" s="8"/>
      <c r="V395" s="8"/>
      <c r="W395" s="324"/>
      <c r="X395" s="324"/>
      <c r="Y395" s="321"/>
      <c r="Z395" s="320" t="s">
        <v>556</v>
      </c>
      <c r="AA395" s="321"/>
      <c r="AB395" s="321"/>
      <c r="AC395" s="321"/>
      <c r="AD395" s="321"/>
      <c r="AE395" s="321"/>
      <c r="AF395" s="321"/>
      <c r="AG395" s="321"/>
      <c r="AH395" s="321"/>
      <c r="AI395" s="321"/>
      <c r="AJ395" s="321"/>
      <c r="AK395" s="321"/>
      <c r="AL395" s="321"/>
      <c r="AM395" s="321"/>
      <c r="AN395" s="321"/>
      <c r="AO395" s="321"/>
      <c r="AP395" s="321"/>
      <c r="AQ395" s="321"/>
      <c r="AR395" s="320"/>
      <c r="AS395" s="321"/>
      <c r="AT395" s="321"/>
      <c r="AU395" s="321"/>
      <c r="AV395" s="321"/>
      <c r="AW395" s="321"/>
      <c r="AX395" s="321"/>
      <c r="AY395" s="321"/>
      <c r="AZ395" s="321"/>
      <c r="BA395" s="321"/>
      <c r="BB395" s="322"/>
      <c r="BD395" s="72"/>
      <c r="BK395" s="61"/>
    </row>
    <row r="396" spans="1:63" ht="15.75" customHeight="1">
      <c r="A396" s="215"/>
      <c r="B396" s="72"/>
      <c r="I396" s="71"/>
      <c r="J396" s="217"/>
      <c r="K396" s="217"/>
      <c r="L396" s="217"/>
      <c r="M396" s="217"/>
      <c r="N396" s="217"/>
      <c r="O396" s="323" t="s">
        <v>570</v>
      </c>
      <c r="P396" s="324"/>
      <c r="Q396" s="324"/>
      <c r="R396" s="324"/>
      <c r="S396" s="8"/>
      <c r="T396" s="8"/>
      <c r="U396" s="8"/>
      <c r="V396" s="8"/>
      <c r="W396" s="324"/>
      <c r="X396" s="324"/>
      <c r="Y396" s="321"/>
      <c r="Z396" s="320" t="s">
        <v>556</v>
      </c>
      <c r="AA396" s="321"/>
      <c r="AB396" s="321"/>
      <c r="AC396" s="321"/>
      <c r="AD396" s="321"/>
      <c r="AE396" s="321"/>
      <c r="AF396" s="321"/>
      <c r="AG396" s="321"/>
      <c r="AH396" s="321"/>
      <c r="AI396" s="321"/>
      <c r="AJ396" s="321"/>
      <c r="AK396" s="321"/>
      <c r="AL396" s="321"/>
      <c r="AM396" s="321"/>
      <c r="AN396" s="321"/>
      <c r="AO396" s="321"/>
      <c r="AP396" s="321"/>
      <c r="AQ396" s="321"/>
      <c r="AR396" s="320"/>
      <c r="AS396" s="321"/>
      <c r="AT396" s="321"/>
      <c r="AU396" s="321"/>
      <c r="AV396" s="321"/>
      <c r="AW396" s="321"/>
      <c r="AX396" s="321"/>
      <c r="AY396" s="321"/>
      <c r="AZ396" s="321"/>
      <c r="BA396" s="321"/>
      <c r="BB396" s="322"/>
      <c r="BD396" s="72"/>
      <c r="BK396" s="61"/>
    </row>
    <row r="397" spans="1:63" ht="15.75" customHeight="1">
      <c r="A397" s="215"/>
      <c r="B397" s="72"/>
      <c r="I397" s="71"/>
      <c r="J397" s="217"/>
      <c r="K397" s="217"/>
      <c r="L397" s="217"/>
      <c r="M397" s="217"/>
      <c r="N397" s="217"/>
      <c r="O397" s="323" t="s">
        <v>646</v>
      </c>
      <c r="P397" s="324"/>
      <c r="Q397" s="324"/>
      <c r="R397" s="324"/>
      <c r="S397" s="8"/>
      <c r="T397" s="8"/>
      <c r="U397" s="8"/>
      <c r="V397" s="8"/>
      <c r="W397" s="324"/>
      <c r="X397" s="324"/>
      <c r="Y397" s="321"/>
      <c r="Z397" s="320" t="s">
        <v>556</v>
      </c>
      <c r="AA397" s="321"/>
      <c r="AB397" s="321"/>
      <c r="AC397" s="321"/>
      <c r="AD397" s="321"/>
      <c r="AE397" s="321"/>
      <c r="AF397" s="321"/>
      <c r="AG397" s="321"/>
      <c r="AH397" s="321"/>
      <c r="AI397" s="321"/>
      <c r="AJ397" s="321"/>
      <c r="AK397" s="321"/>
      <c r="AL397" s="321"/>
      <c r="AM397" s="321"/>
      <c r="AN397" s="321"/>
      <c r="AO397" s="321"/>
      <c r="AP397" s="321"/>
      <c r="AQ397" s="321"/>
      <c r="AR397" s="320"/>
      <c r="AS397" s="321"/>
      <c r="AT397" s="321"/>
      <c r="AU397" s="321"/>
      <c r="AV397" s="321"/>
      <c r="AW397" s="321"/>
      <c r="AX397" s="321"/>
      <c r="AY397" s="321"/>
      <c r="AZ397" s="321"/>
      <c r="BA397" s="321"/>
      <c r="BB397" s="322"/>
      <c r="BD397" s="72"/>
      <c r="BK397" s="61"/>
    </row>
    <row r="398" spans="1:63" ht="15.75" customHeight="1">
      <c r="A398" s="215"/>
      <c r="B398" s="72"/>
      <c r="I398" s="71"/>
      <c r="J398" s="217"/>
      <c r="K398" s="217"/>
      <c r="L398" s="217"/>
      <c r="M398" s="217"/>
      <c r="N398" s="217"/>
      <c r="O398" s="217"/>
      <c r="BD398" s="72"/>
      <c r="BK398" s="61"/>
    </row>
    <row r="399" spans="1:63" ht="15.75" customHeight="1">
      <c r="A399" s="215"/>
      <c r="B399" s="72"/>
      <c r="I399" s="71"/>
      <c r="J399" s="217"/>
      <c r="K399" s="217"/>
      <c r="L399" s="217"/>
      <c r="M399" s="217"/>
      <c r="N399" s="217" t="s">
        <v>647</v>
      </c>
      <c r="O399" s="217" t="s">
        <v>648</v>
      </c>
      <c r="BD399" s="72"/>
      <c r="BK399" s="61"/>
    </row>
    <row r="400" spans="1:63" ht="15.75" customHeight="1">
      <c r="A400" s="215"/>
      <c r="B400" s="72"/>
      <c r="I400" s="71"/>
      <c r="J400" s="217"/>
      <c r="K400" s="217"/>
      <c r="L400" s="217"/>
      <c r="M400" s="217"/>
      <c r="N400" s="217"/>
      <c r="O400" s="217" t="s">
        <v>649</v>
      </c>
      <c r="P400" s="217"/>
      <c r="Q400" s="217"/>
      <c r="BD400" s="72"/>
      <c r="BK400" s="61"/>
    </row>
    <row r="401" spans="1:63" ht="15.75" customHeight="1">
      <c r="A401" s="215"/>
      <c r="B401" s="72"/>
      <c r="I401" s="71"/>
      <c r="J401" s="217"/>
      <c r="K401" s="217"/>
      <c r="L401" s="217"/>
      <c r="M401" s="217"/>
      <c r="N401" s="217"/>
      <c r="O401" s="217" t="s">
        <v>546</v>
      </c>
      <c r="P401" s="217"/>
      <c r="Q401" s="217"/>
      <c r="BD401" s="72"/>
      <c r="BK401" s="61"/>
    </row>
    <row r="402" spans="1:63" ht="15.75" customHeight="1">
      <c r="A402" s="215"/>
      <c r="B402" s="72"/>
      <c r="I402" s="71"/>
      <c r="J402" s="217"/>
      <c r="K402" s="217"/>
      <c r="L402" s="217"/>
      <c r="M402" s="217"/>
      <c r="N402" s="217"/>
      <c r="O402" s="217"/>
      <c r="P402" s="217"/>
      <c r="Q402" s="217"/>
      <c r="BD402" s="72"/>
      <c r="BK402" s="61"/>
    </row>
    <row r="403" spans="1:63" ht="15.75" customHeight="1">
      <c r="A403" s="215"/>
      <c r="B403" s="72"/>
      <c r="I403" s="71"/>
      <c r="J403" s="217"/>
      <c r="K403" s="217"/>
      <c r="L403" s="217"/>
      <c r="M403" s="217"/>
      <c r="N403" s="217"/>
      <c r="O403" s="217" t="s">
        <v>547</v>
      </c>
      <c r="BD403" s="72"/>
      <c r="BK403" s="61"/>
    </row>
    <row r="404" spans="1:63" ht="15.75" customHeight="1">
      <c r="A404" s="215"/>
      <c r="B404" s="72"/>
      <c r="I404" s="71"/>
      <c r="J404" s="217"/>
      <c r="K404" s="217"/>
      <c r="L404" s="217"/>
      <c r="M404" s="217"/>
      <c r="N404" s="217"/>
      <c r="O404" s="316" t="s">
        <v>548</v>
      </c>
      <c r="P404" s="317"/>
      <c r="Q404" s="317"/>
      <c r="R404" s="317"/>
      <c r="S404" s="317"/>
      <c r="T404" s="317"/>
      <c r="U404" s="317"/>
      <c r="V404" s="317"/>
      <c r="W404" s="317"/>
      <c r="X404" s="318"/>
      <c r="Y404" s="318"/>
      <c r="Z404" s="316" t="s">
        <v>549</v>
      </c>
      <c r="AA404" s="317"/>
      <c r="AB404" s="317"/>
      <c r="AC404" s="317"/>
      <c r="AD404" s="317"/>
      <c r="AE404" s="317"/>
      <c r="AF404" s="317"/>
      <c r="AG404" s="317"/>
      <c r="AH404" s="317"/>
      <c r="AI404" s="317"/>
      <c r="AJ404" s="317"/>
      <c r="AK404" s="317"/>
      <c r="AL404" s="317"/>
      <c r="AM404" s="317"/>
      <c r="AN404" s="317"/>
      <c r="AO404" s="317"/>
      <c r="AP404" s="317"/>
      <c r="AQ404" s="317"/>
      <c r="AR404" s="316" t="s">
        <v>550</v>
      </c>
      <c r="AS404" s="317"/>
      <c r="AT404" s="317"/>
      <c r="AU404" s="317"/>
      <c r="AV404" s="317"/>
      <c r="AW404" s="317"/>
      <c r="AX404" s="317"/>
      <c r="AY404" s="317"/>
      <c r="AZ404" s="317"/>
      <c r="BA404" s="317"/>
      <c r="BB404" s="319"/>
      <c r="BD404" s="72"/>
      <c r="BK404" s="61"/>
    </row>
    <row r="405" spans="1:63" ht="15.75" customHeight="1">
      <c r="A405" s="215"/>
      <c r="B405" s="72"/>
      <c r="I405" s="71"/>
      <c r="J405" s="217"/>
      <c r="K405" s="217"/>
      <c r="L405" s="217"/>
      <c r="M405" s="217"/>
      <c r="N405" s="217"/>
      <c r="O405" s="323" t="s">
        <v>551</v>
      </c>
      <c r="P405" s="324"/>
      <c r="Q405" s="324"/>
      <c r="R405" s="324"/>
      <c r="S405" s="8"/>
      <c r="T405" s="8"/>
      <c r="U405" s="8"/>
      <c r="V405" s="8"/>
      <c r="W405" s="324"/>
      <c r="X405" s="324"/>
      <c r="Y405" s="321"/>
      <c r="Z405" s="325" t="s">
        <v>650</v>
      </c>
      <c r="AA405" s="321"/>
      <c r="AB405" s="321"/>
      <c r="AC405" s="321"/>
      <c r="AD405" s="321"/>
      <c r="AE405" s="321"/>
      <c r="AF405" s="321"/>
      <c r="AG405" s="321"/>
      <c r="AH405" s="321"/>
      <c r="AI405" s="321"/>
      <c r="AJ405" s="321"/>
      <c r="AK405" s="321"/>
      <c r="AL405" s="321"/>
      <c r="AM405" s="321"/>
      <c r="AN405" s="321"/>
      <c r="AO405" s="321"/>
      <c r="AP405" s="321"/>
      <c r="AQ405" s="321"/>
      <c r="AR405" s="320"/>
      <c r="AS405" s="321"/>
      <c r="AT405" s="321"/>
      <c r="AU405" s="321"/>
      <c r="AV405" s="321"/>
      <c r="AW405" s="321"/>
      <c r="AX405" s="321"/>
      <c r="AY405" s="321"/>
      <c r="AZ405" s="321"/>
      <c r="BA405" s="321"/>
      <c r="BB405" s="322"/>
      <c r="BD405" s="72"/>
      <c r="BK405" s="61"/>
    </row>
    <row r="406" spans="1:63" ht="15.75" customHeight="1">
      <c r="A406" s="215"/>
      <c r="B406" s="72"/>
      <c r="I406" s="71"/>
      <c r="J406" s="217"/>
      <c r="K406" s="217"/>
      <c r="L406" s="217"/>
      <c r="M406" s="217"/>
      <c r="N406" s="217"/>
      <c r="O406" s="323" t="s">
        <v>529</v>
      </c>
      <c r="P406" s="324"/>
      <c r="Q406" s="324"/>
      <c r="R406" s="324"/>
      <c r="S406" s="8"/>
      <c r="T406" s="8"/>
      <c r="U406" s="8"/>
      <c r="V406" s="8"/>
      <c r="W406" s="324"/>
      <c r="X406" s="324"/>
      <c r="Y406" s="321"/>
      <c r="Z406" s="320" t="s">
        <v>553</v>
      </c>
      <c r="AA406" s="321"/>
      <c r="AB406" s="321"/>
      <c r="AC406" s="321"/>
      <c r="AD406" s="321"/>
      <c r="AE406" s="321"/>
      <c r="AF406" s="321"/>
      <c r="AG406" s="321"/>
      <c r="AH406" s="321"/>
      <c r="AI406" s="321"/>
      <c r="AJ406" s="321"/>
      <c r="AK406" s="321"/>
      <c r="AL406" s="321"/>
      <c r="AM406" s="321"/>
      <c r="AN406" s="321"/>
      <c r="AO406" s="321"/>
      <c r="AP406" s="321"/>
      <c r="AQ406" s="321"/>
      <c r="AR406" s="320"/>
      <c r="AS406" s="321"/>
      <c r="AT406" s="321"/>
      <c r="AU406" s="321"/>
      <c r="AV406" s="321"/>
      <c r="AW406" s="321"/>
      <c r="AX406" s="321"/>
      <c r="AY406" s="321"/>
      <c r="AZ406" s="321"/>
      <c r="BA406" s="321"/>
      <c r="BB406" s="322"/>
      <c r="BD406" s="72"/>
      <c r="BK406" s="61"/>
    </row>
    <row r="407" spans="1:63" ht="15.75" customHeight="1">
      <c r="A407" s="215"/>
      <c r="B407" s="72"/>
      <c r="I407" s="71"/>
      <c r="J407" s="217"/>
      <c r="K407" s="217"/>
      <c r="L407" s="217"/>
      <c r="M407" s="217"/>
      <c r="N407" s="217"/>
      <c r="O407" s="323" t="s">
        <v>527</v>
      </c>
      <c r="P407" s="324"/>
      <c r="Q407" s="324"/>
      <c r="R407" s="324"/>
      <c r="S407" s="8"/>
      <c r="T407" s="8"/>
      <c r="U407" s="8"/>
      <c r="V407" s="8"/>
      <c r="W407" s="324"/>
      <c r="X407" s="324"/>
      <c r="Y407" s="321"/>
      <c r="Z407" s="320" t="s">
        <v>554</v>
      </c>
      <c r="AA407" s="321"/>
      <c r="AB407" s="321"/>
      <c r="AC407" s="321"/>
      <c r="AD407" s="321"/>
      <c r="AE407" s="321"/>
      <c r="AF407" s="321"/>
      <c r="AG407" s="321"/>
      <c r="AH407" s="321"/>
      <c r="AI407" s="321"/>
      <c r="AJ407" s="321"/>
      <c r="AK407" s="321"/>
      <c r="AL407" s="321"/>
      <c r="AM407" s="321"/>
      <c r="AN407" s="321"/>
      <c r="AO407" s="321"/>
      <c r="AP407" s="321"/>
      <c r="AQ407" s="321"/>
      <c r="AR407" s="320"/>
      <c r="AS407" s="321"/>
      <c r="AT407" s="321"/>
      <c r="AU407" s="321"/>
      <c r="AV407" s="321"/>
      <c r="AW407" s="321"/>
      <c r="AX407" s="321"/>
      <c r="AY407" s="321"/>
      <c r="AZ407" s="321"/>
      <c r="BA407" s="321"/>
      <c r="BB407" s="322"/>
      <c r="BD407" s="72"/>
      <c r="BK407" s="61"/>
    </row>
    <row r="408" spans="1:63" ht="15.75" customHeight="1">
      <c r="A408" s="215"/>
      <c r="B408" s="72"/>
      <c r="I408" s="71"/>
      <c r="J408" s="217"/>
      <c r="K408" s="217"/>
      <c r="L408" s="217"/>
      <c r="M408" s="217"/>
      <c r="N408" s="217"/>
      <c r="O408" s="323" t="s">
        <v>651</v>
      </c>
      <c r="P408" s="324"/>
      <c r="Q408" s="324"/>
      <c r="R408" s="324"/>
      <c r="S408" s="8"/>
      <c r="T408" s="8"/>
      <c r="U408" s="8"/>
      <c r="V408" s="8"/>
      <c r="W408" s="324"/>
      <c r="X408" s="324"/>
      <c r="Y408" s="321"/>
      <c r="Z408" s="320" t="s">
        <v>556</v>
      </c>
      <c r="AA408" s="321"/>
      <c r="AB408" s="321"/>
      <c r="AC408" s="321"/>
      <c r="AD408" s="321"/>
      <c r="AE408" s="321"/>
      <c r="AF408" s="321"/>
      <c r="AG408" s="321"/>
      <c r="AH408" s="321"/>
      <c r="AI408" s="321"/>
      <c r="AJ408" s="321"/>
      <c r="AK408" s="321"/>
      <c r="AL408" s="321"/>
      <c r="AM408" s="321"/>
      <c r="AN408" s="321"/>
      <c r="AO408" s="321"/>
      <c r="AP408" s="321"/>
      <c r="AQ408" s="321"/>
      <c r="AR408" s="320"/>
      <c r="AS408" s="321"/>
      <c r="AT408" s="321"/>
      <c r="AU408" s="321"/>
      <c r="AV408" s="321"/>
      <c r="AW408" s="321"/>
      <c r="AX408" s="321"/>
      <c r="AY408" s="321"/>
      <c r="AZ408" s="321"/>
      <c r="BA408" s="321"/>
      <c r="BB408" s="322"/>
      <c r="BD408" s="72"/>
      <c r="BK408" s="61"/>
    </row>
    <row r="409" spans="1:63" ht="15.75" customHeight="1">
      <c r="A409" s="215"/>
      <c r="B409" s="72"/>
      <c r="I409" s="71"/>
      <c r="J409" s="217"/>
      <c r="K409" s="217"/>
      <c r="L409" s="217"/>
      <c r="M409" s="217"/>
      <c r="N409" s="217"/>
      <c r="O409" s="323" t="s">
        <v>557</v>
      </c>
      <c r="P409" s="324"/>
      <c r="Q409" s="324"/>
      <c r="R409" s="324"/>
      <c r="S409" s="8"/>
      <c r="T409" s="8"/>
      <c r="U409" s="8"/>
      <c r="V409" s="8"/>
      <c r="W409" s="324"/>
      <c r="X409" s="324"/>
      <c r="Y409" s="321"/>
      <c r="Z409" s="320" t="s">
        <v>558</v>
      </c>
      <c r="AA409" s="321"/>
      <c r="AB409" s="321"/>
      <c r="AC409" s="321"/>
      <c r="AD409" s="321"/>
      <c r="AE409" s="321"/>
      <c r="AF409" s="321"/>
      <c r="AG409" s="321"/>
      <c r="AH409" s="321"/>
      <c r="AI409" s="321"/>
      <c r="AJ409" s="321"/>
      <c r="AK409" s="321"/>
      <c r="AL409" s="321"/>
      <c r="AM409" s="321"/>
      <c r="AN409" s="321"/>
      <c r="AO409" s="321"/>
      <c r="AP409" s="321"/>
      <c r="AQ409" s="321"/>
      <c r="AR409" s="320"/>
      <c r="AS409" s="321"/>
      <c r="AT409" s="321"/>
      <c r="AU409" s="321"/>
      <c r="AV409" s="321"/>
      <c r="AW409" s="321"/>
      <c r="AX409" s="321"/>
      <c r="AY409" s="321"/>
      <c r="AZ409" s="321"/>
      <c r="BA409" s="321"/>
      <c r="BB409" s="322"/>
      <c r="BD409" s="72"/>
      <c r="BK409" s="61"/>
    </row>
    <row r="410" spans="1:63" ht="15.75" customHeight="1">
      <c r="A410" s="215"/>
      <c r="B410" s="72"/>
      <c r="I410" s="71"/>
      <c r="J410" s="217"/>
      <c r="K410" s="217"/>
      <c r="L410" s="217"/>
      <c r="M410" s="217"/>
      <c r="N410" s="217"/>
      <c r="O410" s="323" t="s">
        <v>559</v>
      </c>
      <c r="P410" s="324"/>
      <c r="Q410" s="324"/>
      <c r="R410" s="324"/>
      <c r="S410" s="8"/>
      <c r="T410" s="8"/>
      <c r="U410" s="8"/>
      <c r="V410" s="8"/>
      <c r="W410" s="324"/>
      <c r="X410" s="324"/>
      <c r="Y410" s="321"/>
      <c r="Z410" s="320" t="s">
        <v>558</v>
      </c>
      <c r="AA410" s="321"/>
      <c r="AB410" s="321"/>
      <c r="AC410" s="321"/>
      <c r="AD410" s="321"/>
      <c r="AE410" s="321"/>
      <c r="AF410" s="321"/>
      <c r="AG410" s="321"/>
      <c r="AH410" s="321"/>
      <c r="AI410" s="321"/>
      <c r="AJ410" s="321"/>
      <c r="AK410" s="321"/>
      <c r="AL410" s="321"/>
      <c r="AM410" s="321"/>
      <c r="AN410" s="321"/>
      <c r="AO410" s="321"/>
      <c r="AP410" s="321"/>
      <c r="AQ410" s="321"/>
      <c r="AR410" s="320"/>
      <c r="AS410" s="321"/>
      <c r="AT410" s="321"/>
      <c r="AU410" s="321"/>
      <c r="AV410" s="321"/>
      <c r="AW410" s="321"/>
      <c r="AX410" s="321"/>
      <c r="AY410" s="321"/>
      <c r="AZ410" s="321"/>
      <c r="BA410" s="321"/>
      <c r="BB410" s="322"/>
      <c r="BD410" s="72"/>
      <c r="BK410" s="61"/>
    </row>
    <row r="411" spans="1:63" ht="15.75" customHeight="1">
      <c r="A411" s="215"/>
      <c r="B411" s="72"/>
      <c r="I411" s="71"/>
      <c r="J411" s="217"/>
      <c r="K411" s="217"/>
      <c r="L411" s="217"/>
      <c r="M411" s="217"/>
      <c r="N411" s="217"/>
      <c r="O411" s="323" t="s">
        <v>560</v>
      </c>
      <c r="P411" s="324"/>
      <c r="Q411" s="324"/>
      <c r="R411" s="324"/>
      <c r="S411" s="8"/>
      <c r="T411" s="8"/>
      <c r="U411" s="8"/>
      <c r="V411" s="8"/>
      <c r="W411" s="324"/>
      <c r="X411" s="324"/>
      <c r="Y411" s="321"/>
      <c r="Z411" s="320" t="s">
        <v>556</v>
      </c>
      <c r="AA411" s="321"/>
      <c r="AB411" s="321"/>
      <c r="AC411" s="321"/>
      <c r="AD411" s="321"/>
      <c r="AE411" s="321"/>
      <c r="AF411" s="321"/>
      <c r="AG411" s="321"/>
      <c r="AH411" s="321"/>
      <c r="AI411" s="321"/>
      <c r="AJ411" s="321"/>
      <c r="AK411" s="321"/>
      <c r="AL411" s="321"/>
      <c r="AM411" s="321"/>
      <c r="AN411" s="321"/>
      <c r="AO411" s="321"/>
      <c r="AP411" s="321"/>
      <c r="AQ411" s="321"/>
      <c r="AR411" s="320"/>
      <c r="AS411" s="321"/>
      <c r="AT411" s="321"/>
      <c r="AU411" s="321"/>
      <c r="AV411" s="321"/>
      <c r="AW411" s="321"/>
      <c r="AX411" s="321"/>
      <c r="AY411" s="321"/>
      <c r="AZ411" s="321"/>
      <c r="BA411" s="321"/>
      <c r="BB411" s="322"/>
      <c r="BD411" s="72"/>
      <c r="BK411" s="61"/>
    </row>
    <row r="412" spans="1:63" ht="15.75" customHeight="1">
      <c r="A412" s="215"/>
      <c r="B412" s="72"/>
      <c r="I412" s="71"/>
      <c r="J412" s="217"/>
      <c r="K412" s="217"/>
      <c r="L412" s="217"/>
      <c r="M412" s="217"/>
      <c r="N412" s="217"/>
      <c r="O412" s="323" t="s">
        <v>561</v>
      </c>
      <c r="P412" s="324"/>
      <c r="Q412" s="324"/>
      <c r="R412" s="324"/>
      <c r="S412" s="8"/>
      <c r="T412" s="8"/>
      <c r="U412" s="8"/>
      <c r="V412" s="8"/>
      <c r="W412" s="324"/>
      <c r="X412" s="324"/>
      <c r="Y412" s="321"/>
      <c r="Z412" s="320" t="s">
        <v>556</v>
      </c>
      <c r="AA412" s="321"/>
      <c r="AB412" s="321"/>
      <c r="AC412" s="321"/>
      <c r="AD412" s="321"/>
      <c r="AE412" s="321"/>
      <c r="AF412" s="321"/>
      <c r="AG412" s="321"/>
      <c r="AH412" s="321"/>
      <c r="AI412" s="321"/>
      <c r="AJ412" s="321"/>
      <c r="AK412" s="321"/>
      <c r="AL412" s="321"/>
      <c r="AM412" s="321"/>
      <c r="AN412" s="321"/>
      <c r="AO412" s="321"/>
      <c r="AP412" s="321"/>
      <c r="AQ412" s="321"/>
      <c r="AR412" s="320"/>
      <c r="AS412" s="321"/>
      <c r="AT412" s="321"/>
      <c r="AU412" s="321"/>
      <c r="AV412" s="321"/>
      <c r="AW412" s="321"/>
      <c r="AX412" s="321"/>
      <c r="AY412" s="321"/>
      <c r="AZ412" s="321"/>
      <c r="BA412" s="321"/>
      <c r="BB412" s="322"/>
      <c r="BD412" s="72"/>
      <c r="BK412" s="61"/>
    </row>
    <row r="413" spans="1:63" ht="15.75" customHeight="1">
      <c r="A413" s="215"/>
      <c r="B413" s="72"/>
      <c r="I413" s="71"/>
      <c r="J413" s="217"/>
      <c r="K413" s="217"/>
      <c r="L413" s="217"/>
      <c r="M413" s="217"/>
      <c r="N413" s="217"/>
      <c r="O413" s="323" t="s">
        <v>562</v>
      </c>
      <c r="P413" s="324"/>
      <c r="Q413" s="324"/>
      <c r="R413" s="324"/>
      <c r="S413" s="8"/>
      <c r="T413" s="8"/>
      <c r="U413" s="8"/>
      <c r="V413" s="8"/>
      <c r="W413" s="324"/>
      <c r="X413" s="324"/>
      <c r="Y413" s="321"/>
      <c r="Z413" s="320" t="s">
        <v>563</v>
      </c>
      <c r="AA413" s="321"/>
      <c r="AB413" s="321"/>
      <c r="AC413" s="321"/>
      <c r="AD413" s="321"/>
      <c r="AE413" s="321"/>
      <c r="AF413" s="321"/>
      <c r="AG413" s="321"/>
      <c r="AH413" s="321"/>
      <c r="AI413" s="321"/>
      <c r="AJ413" s="321"/>
      <c r="AK413" s="321"/>
      <c r="AL413" s="321"/>
      <c r="AM413" s="321"/>
      <c r="AN413" s="321"/>
      <c r="AO413" s="321"/>
      <c r="AP413" s="321"/>
      <c r="AQ413" s="321"/>
      <c r="AR413" s="320"/>
      <c r="AS413" s="321"/>
      <c r="AT413" s="321"/>
      <c r="AU413" s="321"/>
      <c r="AV413" s="321"/>
      <c r="AW413" s="321"/>
      <c r="AX413" s="321"/>
      <c r="AY413" s="321"/>
      <c r="AZ413" s="321"/>
      <c r="BA413" s="321"/>
      <c r="BB413" s="322"/>
      <c r="BD413" s="72"/>
      <c r="BK413" s="61"/>
    </row>
    <row r="414" spans="1:63" ht="15.75" customHeight="1">
      <c r="A414" s="215"/>
      <c r="B414" s="72"/>
      <c r="I414" s="71"/>
      <c r="J414" s="217"/>
      <c r="K414" s="217"/>
      <c r="L414" s="217"/>
      <c r="M414" s="217"/>
      <c r="N414" s="217"/>
      <c r="O414" s="323" t="s">
        <v>564</v>
      </c>
      <c r="P414" s="324"/>
      <c r="Q414" s="324"/>
      <c r="R414" s="324"/>
      <c r="S414" s="8"/>
      <c r="T414" s="8"/>
      <c r="U414" s="8"/>
      <c r="V414" s="8"/>
      <c r="W414" s="324"/>
      <c r="X414" s="324"/>
      <c r="Y414" s="321"/>
      <c r="Z414" s="320" t="s">
        <v>556</v>
      </c>
      <c r="AA414" s="321"/>
      <c r="AB414" s="321"/>
      <c r="AC414" s="321"/>
      <c r="AD414" s="321"/>
      <c r="AE414" s="321"/>
      <c r="AF414" s="321"/>
      <c r="AG414" s="321"/>
      <c r="AH414" s="321"/>
      <c r="AI414" s="321"/>
      <c r="AJ414" s="321"/>
      <c r="AK414" s="321"/>
      <c r="AL414" s="321"/>
      <c r="AM414" s="321"/>
      <c r="AN414" s="321"/>
      <c r="AO414" s="321"/>
      <c r="AP414" s="321"/>
      <c r="AQ414" s="321"/>
      <c r="AR414" s="320"/>
      <c r="AS414" s="321"/>
      <c r="AT414" s="321"/>
      <c r="AU414" s="321"/>
      <c r="AV414" s="321"/>
      <c r="AW414" s="321"/>
      <c r="AX414" s="321"/>
      <c r="AY414" s="321"/>
      <c r="AZ414" s="321"/>
      <c r="BA414" s="321"/>
      <c r="BB414" s="322"/>
      <c r="BD414" s="72"/>
      <c r="BK414" s="61"/>
    </row>
    <row r="415" spans="1:63" ht="15.75" customHeight="1">
      <c r="A415" s="215"/>
      <c r="B415" s="72"/>
      <c r="I415" s="71"/>
      <c r="J415" s="217"/>
      <c r="K415" s="217"/>
      <c r="L415" s="217"/>
      <c r="M415" s="217"/>
      <c r="N415" s="217"/>
      <c r="O415" s="323" t="s">
        <v>565</v>
      </c>
      <c r="P415" s="324"/>
      <c r="Q415" s="324"/>
      <c r="R415" s="324"/>
      <c r="S415" s="8"/>
      <c r="T415" s="8"/>
      <c r="U415" s="8"/>
      <c r="V415" s="8"/>
      <c r="W415" s="324"/>
      <c r="X415" s="324"/>
      <c r="Y415" s="321"/>
      <c r="Z415" s="320" t="s">
        <v>566</v>
      </c>
      <c r="AA415" s="321"/>
      <c r="AB415" s="321"/>
      <c r="AC415" s="321"/>
      <c r="AD415" s="321"/>
      <c r="AE415" s="321"/>
      <c r="AF415" s="321"/>
      <c r="AG415" s="321"/>
      <c r="AH415" s="321"/>
      <c r="AI415" s="321"/>
      <c r="AJ415" s="321"/>
      <c r="AK415" s="321"/>
      <c r="AL415" s="321"/>
      <c r="AM415" s="321"/>
      <c r="AN415" s="321"/>
      <c r="AO415" s="321"/>
      <c r="AP415" s="321"/>
      <c r="AQ415" s="321"/>
      <c r="AR415" s="320" t="s">
        <v>567</v>
      </c>
      <c r="AS415" s="321"/>
      <c r="AT415" s="321"/>
      <c r="AU415" s="321"/>
      <c r="AV415" s="321"/>
      <c r="AW415" s="321"/>
      <c r="AX415" s="321"/>
      <c r="AY415" s="321"/>
      <c r="AZ415" s="321"/>
      <c r="BA415" s="321"/>
      <c r="BB415" s="322"/>
      <c r="BD415" s="72"/>
      <c r="BK415" s="61"/>
    </row>
    <row r="416" spans="1:63" ht="15.75" customHeight="1">
      <c r="A416" s="215"/>
      <c r="B416" s="72"/>
      <c r="I416" s="71"/>
      <c r="J416" s="217"/>
      <c r="K416" s="217"/>
      <c r="L416" s="217"/>
      <c r="M416" s="217"/>
      <c r="N416" s="217"/>
      <c r="O416" s="323" t="s">
        <v>568</v>
      </c>
      <c r="P416" s="324"/>
      <c r="Q416" s="324"/>
      <c r="R416" s="324"/>
      <c r="S416" s="8"/>
      <c r="T416" s="8"/>
      <c r="U416" s="8"/>
      <c r="V416" s="8"/>
      <c r="W416" s="324"/>
      <c r="X416" s="324"/>
      <c r="Y416" s="321"/>
      <c r="Z416" s="320" t="s">
        <v>556</v>
      </c>
      <c r="AA416" s="321"/>
      <c r="AB416" s="321"/>
      <c r="AC416" s="321"/>
      <c r="AD416" s="321"/>
      <c r="AE416" s="321"/>
      <c r="AF416" s="321"/>
      <c r="AG416" s="321"/>
      <c r="AH416" s="321"/>
      <c r="AI416" s="321"/>
      <c r="AJ416" s="321"/>
      <c r="AK416" s="321"/>
      <c r="AL416" s="321"/>
      <c r="AM416" s="321"/>
      <c r="AN416" s="321"/>
      <c r="AO416" s="321"/>
      <c r="AP416" s="321"/>
      <c r="AQ416" s="321"/>
      <c r="AR416" s="320"/>
      <c r="AS416" s="321"/>
      <c r="AT416" s="321"/>
      <c r="AU416" s="321"/>
      <c r="AV416" s="321"/>
      <c r="AW416" s="321"/>
      <c r="AX416" s="321"/>
      <c r="AY416" s="321"/>
      <c r="AZ416" s="321"/>
      <c r="BA416" s="321"/>
      <c r="BB416" s="322"/>
      <c r="BD416" s="72"/>
      <c r="BK416" s="61"/>
    </row>
    <row r="417" spans="1:63" ht="15.75" customHeight="1">
      <c r="A417" s="215"/>
      <c r="B417" s="72"/>
      <c r="I417" s="71"/>
      <c r="J417" s="217"/>
      <c r="K417" s="217"/>
      <c r="L417" s="217"/>
      <c r="M417" s="217"/>
      <c r="N417" s="217"/>
      <c r="O417" s="323" t="s">
        <v>569</v>
      </c>
      <c r="P417" s="324"/>
      <c r="Q417" s="324"/>
      <c r="R417" s="324"/>
      <c r="S417" s="8"/>
      <c r="T417" s="8"/>
      <c r="U417" s="8"/>
      <c r="V417" s="8"/>
      <c r="W417" s="324"/>
      <c r="X417" s="324"/>
      <c r="Y417" s="321"/>
      <c r="Z417" s="320" t="s">
        <v>556</v>
      </c>
      <c r="AA417" s="321"/>
      <c r="AB417" s="321"/>
      <c r="AC417" s="321"/>
      <c r="AD417" s="321"/>
      <c r="AE417" s="321"/>
      <c r="AF417" s="321"/>
      <c r="AG417" s="321"/>
      <c r="AH417" s="321"/>
      <c r="AI417" s="321"/>
      <c r="AJ417" s="321"/>
      <c r="AK417" s="321"/>
      <c r="AL417" s="321"/>
      <c r="AM417" s="321"/>
      <c r="AN417" s="321"/>
      <c r="AO417" s="321"/>
      <c r="AP417" s="321"/>
      <c r="AQ417" s="321"/>
      <c r="AR417" s="320"/>
      <c r="AS417" s="321"/>
      <c r="AT417" s="321"/>
      <c r="AU417" s="321"/>
      <c r="AV417" s="321"/>
      <c r="AW417" s="321"/>
      <c r="AX417" s="321"/>
      <c r="AY417" s="321"/>
      <c r="AZ417" s="321"/>
      <c r="BA417" s="321"/>
      <c r="BB417" s="322"/>
      <c r="BD417" s="72"/>
      <c r="BK417" s="61"/>
    </row>
    <row r="418" spans="1:63" ht="15.75" customHeight="1">
      <c r="A418" s="215"/>
      <c r="B418" s="72"/>
      <c r="I418" s="71"/>
      <c r="J418" s="217"/>
      <c r="K418" s="217"/>
      <c r="L418" s="217"/>
      <c r="M418" s="217"/>
      <c r="N418" s="217"/>
      <c r="O418" s="323" t="s">
        <v>570</v>
      </c>
      <c r="P418" s="324"/>
      <c r="Q418" s="324"/>
      <c r="R418" s="324"/>
      <c r="S418" s="8"/>
      <c r="T418" s="8"/>
      <c r="U418" s="8"/>
      <c r="V418" s="8"/>
      <c r="W418" s="324"/>
      <c r="X418" s="324"/>
      <c r="Y418" s="321"/>
      <c r="Z418" s="320" t="s">
        <v>556</v>
      </c>
      <c r="AA418" s="321"/>
      <c r="AB418" s="321"/>
      <c r="AC418" s="321"/>
      <c r="AD418" s="321"/>
      <c r="AE418" s="321"/>
      <c r="AF418" s="321"/>
      <c r="AG418" s="321"/>
      <c r="AH418" s="321"/>
      <c r="AI418" s="321"/>
      <c r="AJ418" s="321"/>
      <c r="AK418" s="321"/>
      <c r="AL418" s="321"/>
      <c r="AM418" s="321"/>
      <c r="AN418" s="321"/>
      <c r="AO418" s="321"/>
      <c r="AP418" s="321"/>
      <c r="AQ418" s="321"/>
      <c r="AR418" s="320"/>
      <c r="AS418" s="321"/>
      <c r="AT418" s="321"/>
      <c r="AU418" s="321"/>
      <c r="AV418" s="321"/>
      <c r="AW418" s="321"/>
      <c r="AX418" s="321"/>
      <c r="AY418" s="321"/>
      <c r="AZ418" s="321"/>
      <c r="BA418" s="321"/>
      <c r="BB418" s="322"/>
      <c r="BD418" s="72"/>
      <c r="BK418" s="61"/>
    </row>
    <row r="419" spans="1:63" ht="15.75" customHeight="1">
      <c r="A419" s="215"/>
      <c r="B419" s="72"/>
      <c r="I419" s="71"/>
      <c r="J419" s="217"/>
      <c r="K419" s="217"/>
      <c r="L419" s="217"/>
      <c r="M419" s="217"/>
      <c r="N419" s="217"/>
      <c r="O419" s="323" t="s">
        <v>571</v>
      </c>
      <c r="P419" s="324"/>
      <c r="Q419" s="324"/>
      <c r="R419" s="324"/>
      <c r="S419" s="8"/>
      <c r="T419" s="8"/>
      <c r="U419" s="8"/>
      <c r="V419" s="8"/>
      <c r="W419" s="324"/>
      <c r="X419" s="324"/>
      <c r="Y419" s="321"/>
      <c r="Z419" s="320" t="s">
        <v>556</v>
      </c>
      <c r="AA419" s="321"/>
      <c r="AB419" s="321"/>
      <c r="AC419" s="321"/>
      <c r="AD419" s="321"/>
      <c r="AE419" s="321"/>
      <c r="AF419" s="321"/>
      <c r="AG419" s="321"/>
      <c r="AH419" s="321"/>
      <c r="AI419" s="321"/>
      <c r="AJ419" s="321"/>
      <c r="AK419" s="321"/>
      <c r="AL419" s="321"/>
      <c r="AM419" s="321"/>
      <c r="AN419" s="321"/>
      <c r="AO419" s="321"/>
      <c r="AP419" s="321"/>
      <c r="AQ419" s="321"/>
      <c r="AR419" s="320" t="s">
        <v>572</v>
      </c>
      <c r="AS419" s="321"/>
      <c r="AT419" s="321"/>
      <c r="AU419" s="321"/>
      <c r="AV419" s="321"/>
      <c r="AW419" s="321"/>
      <c r="AX419" s="321"/>
      <c r="AY419" s="321"/>
      <c r="AZ419" s="321"/>
      <c r="BA419" s="321"/>
      <c r="BB419" s="322"/>
      <c r="BD419" s="72"/>
      <c r="BK419" s="61"/>
    </row>
    <row r="420" spans="1:63" ht="15.75" customHeight="1">
      <c r="A420" s="215"/>
      <c r="B420" s="72"/>
      <c r="I420" s="71"/>
      <c r="J420" s="217"/>
      <c r="K420" s="217"/>
      <c r="L420" s="217"/>
      <c r="M420" s="217"/>
      <c r="N420" s="217"/>
      <c r="O420" s="217"/>
      <c r="BD420" s="72"/>
      <c r="BK420" s="61"/>
    </row>
    <row r="421" spans="1:63" ht="15.75" customHeight="1">
      <c r="A421" s="215"/>
      <c r="B421" s="72"/>
      <c r="I421" s="71"/>
      <c r="J421" s="217"/>
      <c r="K421" s="217"/>
      <c r="L421" s="217"/>
      <c r="M421" s="217"/>
      <c r="N421" s="217"/>
      <c r="O421" s="217" t="s">
        <v>573</v>
      </c>
      <c r="BD421" s="72"/>
      <c r="BK421" s="61"/>
    </row>
    <row r="422" spans="1:63" ht="15.75" customHeight="1">
      <c r="A422" s="215"/>
      <c r="B422" s="72"/>
      <c r="I422" s="71"/>
      <c r="J422" s="217"/>
      <c r="K422" s="217"/>
      <c r="L422" s="217"/>
      <c r="M422" s="217"/>
      <c r="N422" s="217"/>
      <c r="O422" s="316" t="s">
        <v>548</v>
      </c>
      <c r="P422" s="317"/>
      <c r="Q422" s="317"/>
      <c r="R422" s="317"/>
      <c r="S422" s="317"/>
      <c r="T422" s="317"/>
      <c r="U422" s="317"/>
      <c r="V422" s="317"/>
      <c r="W422" s="317"/>
      <c r="X422" s="318"/>
      <c r="Y422" s="318"/>
      <c r="Z422" s="316" t="s">
        <v>549</v>
      </c>
      <c r="AA422" s="317"/>
      <c r="AB422" s="317"/>
      <c r="AC422" s="317"/>
      <c r="AD422" s="317"/>
      <c r="AE422" s="317"/>
      <c r="AF422" s="317"/>
      <c r="AG422" s="317"/>
      <c r="AH422" s="317"/>
      <c r="AI422" s="317"/>
      <c r="AJ422" s="317"/>
      <c r="AK422" s="317"/>
      <c r="AL422" s="317"/>
      <c r="AM422" s="317"/>
      <c r="AN422" s="317"/>
      <c r="AO422" s="317"/>
      <c r="AP422" s="317"/>
      <c r="AQ422" s="317"/>
      <c r="AR422" s="316" t="s">
        <v>550</v>
      </c>
      <c r="AS422" s="317"/>
      <c r="AT422" s="317"/>
      <c r="AU422" s="317"/>
      <c r="AV422" s="317"/>
      <c r="AW422" s="317"/>
      <c r="AX422" s="317"/>
      <c r="AY422" s="317"/>
      <c r="AZ422" s="317"/>
      <c r="BA422" s="317"/>
      <c r="BB422" s="319"/>
      <c r="BD422" s="72"/>
      <c r="BK422" s="61"/>
    </row>
    <row r="423" spans="1:63" ht="15.75" customHeight="1">
      <c r="A423" s="215"/>
      <c r="B423" s="72"/>
      <c r="I423" s="71"/>
      <c r="J423" s="217"/>
      <c r="K423" s="217"/>
      <c r="L423" s="217"/>
      <c r="M423" s="217"/>
      <c r="N423" s="217"/>
      <c r="O423" s="323" t="s">
        <v>574</v>
      </c>
      <c r="P423" s="324"/>
      <c r="Q423" s="324"/>
      <c r="R423" s="324"/>
      <c r="S423" s="8"/>
      <c r="T423" s="8"/>
      <c r="U423" s="8"/>
      <c r="V423" s="8"/>
      <c r="W423" s="324"/>
      <c r="X423" s="324"/>
      <c r="Y423" s="321"/>
      <c r="Z423" s="320" t="s">
        <v>566</v>
      </c>
      <c r="AA423" s="321"/>
      <c r="AB423" s="321"/>
      <c r="AC423" s="321"/>
      <c r="AD423" s="321"/>
      <c r="AE423" s="321"/>
      <c r="AF423" s="321"/>
      <c r="AG423" s="321"/>
      <c r="AH423" s="321"/>
      <c r="AI423" s="321"/>
      <c r="AJ423" s="321"/>
      <c r="AK423" s="321"/>
      <c r="AL423" s="321"/>
      <c r="AM423" s="321"/>
      <c r="AN423" s="321"/>
      <c r="AO423" s="321"/>
      <c r="AP423" s="321"/>
      <c r="AQ423" s="321"/>
      <c r="AR423" s="320" t="s">
        <v>575</v>
      </c>
      <c r="AS423" s="321"/>
      <c r="AT423" s="321"/>
      <c r="AU423" s="321"/>
      <c r="AV423" s="321"/>
      <c r="AW423" s="321"/>
      <c r="AX423" s="321"/>
      <c r="AY423" s="321"/>
      <c r="AZ423" s="321"/>
      <c r="BA423" s="321"/>
      <c r="BB423" s="322"/>
      <c r="BD423" s="72"/>
      <c r="BK423" s="61"/>
    </row>
    <row r="424" spans="1:63" ht="15.75" customHeight="1">
      <c r="A424" s="215"/>
      <c r="B424" s="72"/>
      <c r="I424" s="71"/>
      <c r="J424" s="217"/>
      <c r="K424" s="217"/>
      <c r="L424" s="217"/>
      <c r="M424" s="217"/>
      <c r="N424" s="217"/>
      <c r="O424" s="323" t="s">
        <v>576</v>
      </c>
      <c r="P424" s="324"/>
      <c r="Q424" s="324"/>
      <c r="R424" s="324"/>
      <c r="S424" s="8"/>
      <c r="T424" s="8"/>
      <c r="U424" s="8"/>
      <c r="V424" s="8"/>
      <c r="W424" s="324"/>
      <c r="X424" s="324"/>
      <c r="Y424" s="321"/>
      <c r="Z424" s="320" t="s">
        <v>577</v>
      </c>
      <c r="AA424" s="321"/>
      <c r="AB424" s="321"/>
      <c r="AC424" s="321"/>
      <c r="AD424" s="321"/>
      <c r="AE424" s="321"/>
      <c r="AF424" s="321"/>
      <c r="AG424" s="321"/>
      <c r="AH424" s="321"/>
      <c r="AI424" s="321"/>
      <c r="AJ424" s="321"/>
      <c r="AK424" s="321"/>
      <c r="AL424" s="321"/>
      <c r="AM424" s="321"/>
      <c r="AN424" s="321"/>
      <c r="AO424" s="321"/>
      <c r="AP424" s="321"/>
      <c r="AQ424" s="321"/>
      <c r="AR424" s="320"/>
      <c r="AS424" s="321"/>
      <c r="AT424" s="321"/>
      <c r="AU424" s="321"/>
      <c r="AV424" s="321"/>
      <c r="AW424" s="321"/>
      <c r="AX424" s="321"/>
      <c r="AY424" s="321"/>
      <c r="AZ424" s="321"/>
      <c r="BA424" s="321"/>
      <c r="BB424" s="322"/>
      <c r="BD424" s="72"/>
      <c r="BK424" s="61"/>
    </row>
    <row r="425" spans="1:63" ht="15.75" customHeight="1">
      <c r="A425" s="215"/>
      <c r="B425" s="72"/>
      <c r="I425" s="71"/>
      <c r="J425" s="217"/>
      <c r="K425" s="217"/>
      <c r="L425" s="217"/>
      <c r="M425" s="217"/>
      <c r="N425" s="217"/>
      <c r="O425" s="323" t="s">
        <v>578</v>
      </c>
      <c r="P425" s="324"/>
      <c r="Q425" s="324"/>
      <c r="R425" s="324"/>
      <c r="S425" s="8"/>
      <c r="T425" s="8"/>
      <c r="U425" s="8"/>
      <c r="V425" s="8"/>
      <c r="W425" s="324"/>
      <c r="X425" s="324"/>
      <c r="Y425" s="321"/>
      <c r="Z425" s="320" t="s">
        <v>579</v>
      </c>
      <c r="AA425" s="321"/>
      <c r="AB425" s="321"/>
      <c r="AC425" s="321"/>
      <c r="AD425" s="321"/>
      <c r="AE425" s="321"/>
      <c r="AF425" s="321"/>
      <c r="AG425" s="321"/>
      <c r="AH425" s="321"/>
      <c r="AI425" s="321"/>
      <c r="AJ425" s="321"/>
      <c r="AK425" s="321"/>
      <c r="AL425" s="321"/>
      <c r="AM425" s="321"/>
      <c r="AN425" s="321"/>
      <c r="AO425" s="321"/>
      <c r="AP425" s="321"/>
      <c r="AQ425" s="321"/>
      <c r="AR425" s="320"/>
      <c r="AS425" s="321"/>
      <c r="AT425" s="321"/>
      <c r="AU425" s="321"/>
      <c r="AV425" s="321"/>
      <c r="AW425" s="321"/>
      <c r="AX425" s="321"/>
      <c r="AY425" s="321"/>
      <c r="AZ425" s="321"/>
      <c r="BA425" s="321"/>
      <c r="BB425" s="322"/>
      <c r="BD425" s="72"/>
      <c r="BK425" s="61"/>
    </row>
    <row r="426" spans="1:63" ht="15.75" customHeight="1">
      <c r="A426" s="215"/>
      <c r="B426" s="72"/>
      <c r="I426" s="71"/>
      <c r="J426" s="217"/>
      <c r="K426" s="217"/>
      <c r="L426" s="217"/>
      <c r="M426" s="217"/>
      <c r="N426" s="217"/>
      <c r="O426" s="323" t="s">
        <v>580</v>
      </c>
      <c r="P426" s="324"/>
      <c r="Q426" s="324"/>
      <c r="R426" s="324"/>
      <c r="S426" s="8"/>
      <c r="T426" s="8"/>
      <c r="U426" s="8"/>
      <c r="V426" s="8"/>
      <c r="W426" s="324"/>
      <c r="X426" s="324"/>
      <c r="Y426" s="321"/>
      <c r="Z426" s="320" t="s">
        <v>581</v>
      </c>
      <c r="AA426" s="321"/>
      <c r="AB426" s="321"/>
      <c r="AC426" s="321"/>
      <c r="AD426" s="321"/>
      <c r="AE426" s="321"/>
      <c r="AF426" s="321"/>
      <c r="AG426" s="321"/>
      <c r="AH426" s="321"/>
      <c r="AI426" s="321"/>
      <c r="AJ426" s="321"/>
      <c r="AK426" s="321"/>
      <c r="AL426" s="321"/>
      <c r="AM426" s="321"/>
      <c r="AN426" s="321"/>
      <c r="AO426" s="321"/>
      <c r="AP426" s="321"/>
      <c r="AQ426" s="321"/>
      <c r="AR426" s="320"/>
      <c r="AS426" s="321"/>
      <c r="AT426" s="321"/>
      <c r="AU426" s="321"/>
      <c r="AV426" s="321"/>
      <c r="AW426" s="321"/>
      <c r="AX426" s="321"/>
      <c r="AY426" s="321"/>
      <c r="AZ426" s="321"/>
      <c r="BA426" s="321"/>
      <c r="BB426" s="322"/>
      <c r="BD426" s="72"/>
      <c r="BK426" s="61"/>
    </row>
    <row r="427" spans="1:63" ht="15.75" customHeight="1">
      <c r="A427" s="215"/>
      <c r="B427" s="72"/>
      <c r="I427" s="71"/>
      <c r="J427" s="217"/>
      <c r="K427" s="217"/>
      <c r="L427" s="217"/>
      <c r="M427" s="217"/>
      <c r="N427" s="217"/>
      <c r="O427" s="323" t="s">
        <v>582</v>
      </c>
      <c r="P427" s="324"/>
      <c r="Q427" s="324"/>
      <c r="R427" s="324"/>
      <c r="S427" s="8"/>
      <c r="T427" s="8"/>
      <c r="U427" s="8"/>
      <c r="V427" s="8"/>
      <c r="W427" s="324"/>
      <c r="X427" s="324"/>
      <c r="Y427" s="321"/>
      <c r="Z427" s="320" t="s">
        <v>583</v>
      </c>
      <c r="AA427" s="321"/>
      <c r="AB427" s="321"/>
      <c r="AC427" s="321"/>
      <c r="AD427" s="321"/>
      <c r="AE427" s="321"/>
      <c r="AF427" s="321"/>
      <c r="AG427" s="321"/>
      <c r="AH427" s="321"/>
      <c r="AI427" s="321"/>
      <c r="AJ427" s="321"/>
      <c r="AK427" s="321"/>
      <c r="AL427" s="321"/>
      <c r="AM427" s="321"/>
      <c r="AN427" s="321"/>
      <c r="AO427" s="321"/>
      <c r="AP427" s="321"/>
      <c r="AQ427" s="321"/>
      <c r="AR427" s="320"/>
      <c r="AS427" s="321"/>
      <c r="AT427" s="321"/>
      <c r="AU427" s="321"/>
      <c r="AV427" s="321"/>
      <c r="AW427" s="321"/>
      <c r="AX427" s="321"/>
      <c r="AY427" s="321"/>
      <c r="AZ427" s="321"/>
      <c r="BA427" s="321"/>
      <c r="BB427" s="322"/>
      <c r="BD427" s="72"/>
      <c r="BK427" s="61"/>
    </row>
    <row r="428" spans="1:63" ht="15.75" customHeight="1">
      <c r="A428" s="215"/>
      <c r="B428" s="72"/>
      <c r="I428" s="71"/>
      <c r="J428" s="217"/>
      <c r="K428" s="217"/>
      <c r="L428" s="217"/>
      <c r="M428" s="217"/>
      <c r="N428" s="217"/>
      <c r="O428" s="323" t="s">
        <v>584</v>
      </c>
      <c r="P428" s="324"/>
      <c r="Q428" s="324"/>
      <c r="R428" s="324"/>
      <c r="S428" s="8"/>
      <c r="T428" s="8"/>
      <c r="U428" s="8"/>
      <c r="V428" s="8"/>
      <c r="W428" s="324"/>
      <c r="X428" s="324"/>
      <c r="Y428" s="321"/>
      <c r="Z428" s="320" t="s">
        <v>585</v>
      </c>
      <c r="AA428" s="321"/>
      <c r="AB428" s="321"/>
      <c r="AC428" s="321"/>
      <c r="AD428" s="321"/>
      <c r="AE428" s="321"/>
      <c r="AF428" s="321"/>
      <c r="AG428" s="321"/>
      <c r="AH428" s="321"/>
      <c r="AI428" s="321"/>
      <c r="AJ428" s="321"/>
      <c r="AK428" s="321"/>
      <c r="AL428" s="321"/>
      <c r="AM428" s="321"/>
      <c r="AN428" s="321"/>
      <c r="AO428" s="321"/>
      <c r="AP428" s="321"/>
      <c r="AQ428" s="321"/>
      <c r="AR428" s="320"/>
      <c r="AS428" s="321"/>
      <c r="AT428" s="321"/>
      <c r="AU428" s="321"/>
      <c r="AV428" s="321"/>
      <c r="AW428" s="321"/>
      <c r="AX428" s="321"/>
      <c r="AY428" s="321"/>
      <c r="AZ428" s="321"/>
      <c r="BA428" s="321"/>
      <c r="BB428" s="322"/>
      <c r="BD428" s="72"/>
      <c r="BK428" s="61"/>
    </row>
    <row r="429" spans="1:63" ht="15.75" customHeight="1">
      <c r="A429" s="215"/>
      <c r="B429" s="72"/>
      <c r="I429" s="71"/>
      <c r="J429" s="217"/>
      <c r="K429" s="217"/>
      <c r="L429" s="217"/>
      <c r="M429" s="217"/>
      <c r="N429" s="217"/>
      <c r="O429" s="323" t="s">
        <v>586</v>
      </c>
      <c r="P429" s="324"/>
      <c r="Q429" s="324"/>
      <c r="R429" s="324"/>
      <c r="S429" s="8"/>
      <c r="T429" s="8"/>
      <c r="U429" s="8"/>
      <c r="V429" s="8"/>
      <c r="W429" s="324"/>
      <c r="X429" s="324"/>
      <c r="Y429" s="321"/>
      <c r="Z429" s="320" t="s">
        <v>587</v>
      </c>
      <c r="AA429" s="321"/>
      <c r="AB429" s="321"/>
      <c r="AC429" s="321"/>
      <c r="AD429" s="321"/>
      <c r="AE429" s="321"/>
      <c r="AF429" s="321"/>
      <c r="AG429" s="321"/>
      <c r="AH429" s="321"/>
      <c r="AI429" s="321"/>
      <c r="AJ429" s="321"/>
      <c r="AK429" s="321"/>
      <c r="AL429" s="321"/>
      <c r="AM429" s="321"/>
      <c r="AN429" s="321"/>
      <c r="AO429" s="321"/>
      <c r="AP429" s="321"/>
      <c r="AQ429" s="321"/>
      <c r="AR429" s="320"/>
      <c r="AS429" s="321"/>
      <c r="AT429" s="321"/>
      <c r="AU429" s="321"/>
      <c r="AV429" s="321"/>
      <c r="AW429" s="321"/>
      <c r="AX429" s="321"/>
      <c r="AY429" s="321"/>
      <c r="AZ429" s="321"/>
      <c r="BA429" s="321"/>
      <c r="BB429" s="322"/>
      <c r="BD429" s="72"/>
      <c r="BK429" s="61"/>
    </row>
    <row r="430" spans="1:63" ht="15.75" customHeight="1">
      <c r="A430" s="215"/>
      <c r="B430" s="72"/>
      <c r="I430" s="71"/>
      <c r="J430" s="217"/>
      <c r="K430" s="217"/>
      <c r="L430" s="217"/>
      <c r="M430" s="217"/>
      <c r="N430" s="217"/>
      <c r="O430" s="323" t="s">
        <v>588</v>
      </c>
      <c r="P430" s="324"/>
      <c r="Q430" s="324"/>
      <c r="R430" s="324"/>
      <c r="S430" s="8"/>
      <c r="T430" s="8"/>
      <c r="U430" s="8"/>
      <c r="V430" s="8"/>
      <c r="W430" s="324"/>
      <c r="X430" s="324"/>
      <c r="Y430" s="321"/>
      <c r="Z430" s="320" t="s">
        <v>589</v>
      </c>
      <c r="AA430" s="321"/>
      <c r="AB430" s="321"/>
      <c r="AC430" s="321"/>
      <c r="AD430" s="321"/>
      <c r="AE430" s="321"/>
      <c r="AF430" s="321"/>
      <c r="AG430" s="321"/>
      <c r="AH430" s="321"/>
      <c r="AI430" s="321"/>
      <c r="AJ430" s="321"/>
      <c r="AK430" s="321"/>
      <c r="AL430" s="321"/>
      <c r="AM430" s="321"/>
      <c r="AN430" s="321"/>
      <c r="AO430" s="321"/>
      <c r="AP430" s="321"/>
      <c r="AQ430" s="321"/>
      <c r="AR430" s="320"/>
      <c r="AS430" s="321"/>
      <c r="AT430" s="321"/>
      <c r="AU430" s="321"/>
      <c r="AV430" s="321"/>
      <c r="AW430" s="321"/>
      <c r="AX430" s="321"/>
      <c r="AY430" s="321"/>
      <c r="AZ430" s="321"/>
      <c r="BA430" s="321"/>
      <c r="BB430" s="322"/>
      <c r="BD430" s="72"/>
      <c r="BK430" s="61"/>
    </row>
    <row r="431" spans="1:63" ht="15.75" customHeight="1">
      <c r="A431" s="215"/>
      <c r="B431" s="72"/>
      <c r="I431" s="71"/>
      <c r="J431" s="217"/>
      <c r="K431" s="217"/>
      <c r="L431" s="217"/>
      <c r="M431" s="217"/>
      <c r="N431" s="217"/>
      <c r="O431" s="323" t="s">
        <v>590</v>
      </c>
      <c r="P431" s="324"/>
      <c r="Q431" s="324"/>
      <c r="R431" s="324"/>
      <c r="S431" s="8"/>
      <c r="T431" s="8"/>
      <c r="U431" s="8"/>
      <c r="V431" s="8"/>
      <c r="W431" s="324"/>
      <c r="X431" s="324"/>
      <c r="Y431" s="321"/>
      <c r="Z431" s="320" t="s">
        <v>591</v>
      </c>
      <c r="AA431" s="321"/>
      <c r="AB431" s="321"/>
      <c r="AC431" s="321"/>
      <c r="AD431" s="321"/>
      <c r="AE431" s="321"/>
      <c r="AF431" s="321"/>
      <c r="AG431" s="321"/>
      <c r="AH431" s="321"/>
      <c r="AI431" s="321"/>
      <c r="AJ431" s="321"/>
      <c r="AK431" s="321"/>
      <c r="AL431" s="321"/>
      <c r="AM431" s="321"/>
      <c r="AN431" s="321"/>
      <c r="AO431" s="321"/>
      <c r="AP431" s="321"/>
      <c r="AQ431" s="321"/>
      <c r="AR431" s="320"/>
      <c r="AS431" s="321"/>
      <c r="AT431" s="321"/>
      <c r="AU431" s="321"/>
      <c r="AV431" s="321"/>
      <c r="AW431" s="321"/>
      <c r="AX431" s="321"/>
      <c r="AY431" s="321"/>
      <c r="AZ431" s="321"/>
      <c r="BA431" s="321"/>
      <c r="BB431" s="322"/>
      <c r="BD431" s="72"/>
      <c r="BK431" s="61"/>
    </row>
    <row r="432" spans="1:63" ht="15.75" customHeight="1">
      <c r="A432" s="215"/>
      <c r="B432" s="72"/>
      <c r="I432" s="71"/>
      <c r="J432" s="217"/>
      <c r="K432" s="217"/>
      <c r="L432" s="217"/>
      <c r="M432" s="217"/>
      <c r="N432" s="217"/>
      <c r="O432" s="323" t="s">
        <v>592</v>
      </c>
      <c r="P432" s="324"/>
      <c r="Q432" s="324"/>
      <c r="R432" s="324"/>
      <c r="S432" s="8"/>
      <c r="T432" s="8"/>
      <c r="U432" s="8"/>
      <c r="V432" s="8"/>
      <c r="W432" s="324"/>
      <c r="X432" s="324"/>
      <c r="Y432" s="321"/>
      <c r="Z432" s="320" t="s">
        <v>593</v>
      </c>
      <c r="AA432" s="321"/>
      <c r="AB432" s="321"/>
      <c r="AC432" s="321"/>
      <c r="AD432" s="321"/>
      <c r="AE432" s="321"/>
      <c r="AF432" s="321"/>
      <c r="AG432" s="321"/>
      <c r="AH432" s="321"/>
      <c r="AI432" s="321"/>
      <c r="AJ432" s="321"/>
      <c r="AK432" s="321"/>
      <c r="AL432" s="321"/>
      <c r="AM432" s="321"/>
      <c r="AN432" s="321"/>
      <c r="AO432" s="321"/>
      <c r="AP432" s="321"/>
      <c r="AQ432" s="321"/>
      <c r="AR432" s="320"/>
      <c r="AS432" s="321"/>
      <c r="AT432" s="321"/>
      <c r="AU432" s="321"/>
      <c r="AV432" s="321"/>
      <c r="AW432" s="321"/>
      <c r="AX432" s="321"/>
      <c r="AY432" s="321"/>
      <c r="AZ432" s="321"/>
      <c r="BA432" s="321"/>
      <c r="BB432" s="322"/>
      <c r="BD432" s="72"/>
      <c r="BK432" s="61"/>
    </row>
    <row r="433" spans="1:63" ht="15.75" customHeight="1">
      <c r="A433" s="215"/>
      <c r="B433" s="72"/>
      <c r="I433" s="71"/>
      <c r="J433" s="217"/>
      <c r="K433" s="217"/>
      <c r="L433" s="217"/>
      <c r="M433" s="217"/>
      <c r="N433" s="217"/>
      <c r="O433" s="323" t="s">
        <v>594</v>
      </c>
      <c r="P433" s="324"/>
      <c r="Q433" s="324"/>
      <c r="R433" s="324"/>
      <c r="S433" s="8"/>
      <c r="T433" s="8"/>
      <c r="U433" s="8"/>
      <c r="V433" s="8"/>
      <c r="W433" s="324"/>
      <c r="X433" s="324"/>
      <c r="Y433" s="321"/>
      <c r="Z433" s="320" t="s">
        <v>595</v>
      </c>
      <c r="AA433" s="321"/>
      <c r="AB433" s="321"/>
      <c r="AC433" s="321"/>
      <c r="AD433" s="321"/>
      <c r="AE433" s="321"/>
      <c r="AF433" s="321"/>
      <c r="AG433" s="321"/>
      <c r="AH433" s="321"/>
      <c r="AI433" s="321"/>
      <c r="AJ433" s="321"/>
      <c r="AK433" s="321"/>
      <c r="AL433" s="321"/>
      <c r="AM433" s="321"/>
      <c r="AN433" s="321"/>
      <c r="AO433" s="321"/>
      <c r="AP433" s="321"/>
      <c r="AQ433" s="321"/>
      <c r="AR433" s="320"/>
      <c r="AS433" s="321"/>
      <c r="AT433" s="321"/>
      <c r="AU433" s="321"/>
      <c r="AV433" s="321"/>
      <c r="AW433" s="321"/>
      <c r="AX433" s="321"/>
      <c r="AY433" s="321"/>
      <c r="AZ433" s="321"/>
      <c r="BA433" s="321"/>
      <c r="BB433" s="322"/>
      <c r="BD433" s="72"/>
      <c r="BK433" s="61"/>
    </row>
    <row r="434" spans="1:63" ht="15.75" customHeight="1">
      <c r="A434" s="215"/>
      <c r="B434" s="72"/>
      <c r="I434" s="71"/>
      <c r="J434" s="217"/>
      <c r="K434" s="217"/>
      <c r="L434" s="217"/>
      <c r="M434" s="217"/>
      <c r="N434" s="217"/>
      <c r="O434" s="323" t="s">
        <v>596</v>
      </c>
      <c r="P434" s="324"/>
      <c r="Q434" s="324"/>
      <c r="R434" s="324"/>
      <c r="S434" s="8"/>
      <c r="T434" s="8"/>
      <c r="U434" s="8"/>
      <c r="V434" s="8"/>
      <c r="W434" s="324"/>
      <c r="X434" s="324"/>
      <c r="Y434" s="321"/>
      <c r="Z434" s="320" t="s">
        <v>597</v>
      </c>
      <c r="AA434" s="321"/>
      <c r="AB434" s="321"/>
      <c r="AC434" s="321"/>
      <c r="AD434" s="321"/>
      <c r="AE434" s="321"/>
      <c r="AF434" s="321"/>
      <c r="AG434" s="321"/>
      <c r="AH434" s="321"/>
      <c r="AI434" s="321"/>
      <c r="AJ434" s="321"/>
      <c r="AK434" s="321"/>
      <c r="AL434" s="321"/>
      <c r="AM434" s="321"/>
      <c r="AN434" s="321"/>
      <c r="AO434" s="321"/>
      <c r="AP434" s="321"/>
      <c r="AQ434" s="321"/>
      <c r="AR434" s="320"/>
      <c r="AS434" s="321"/>
      <c r="AT434" s="321"/>
      <c r="AU434" s="321"/>
      <c r="AV434" s="321"/>
      <c r="AW434" s="321"/>
      <c r="AX434" s="321"/>
      <c r="AY434" s="321"/>
      <c r="AZ434" s="321"/>
      <c r="BA434" s="321"/>
      <c r="BB434" s="322"/>
      <c r="BD434" s="72"/>
      <c r="BK434" s="61"/>
    </row>
    <row r="435" spans="1:63" ht="15.75" customHeight="1">
      <c r="A435" s="215"/>
      <c r="B435" s="72"/>
      <c r="I435" s="71"/>
      <c r="J435" s="217"/>
      <c r="K435" s="217"/>
      <c r="L435" s="217"/>
      <c r="M435" s="217"/>
      <c r="N435" s="217"/>
      <c r="O435" s="323" t="s">
        <v>598</v>
      </c>
      <c r="P435" s="324"/>
      <c r="Q435" s="324"/>
      <c r="R435" s="324"/>
      <c r="S435" s="8"/>
      <c r="T435" s="8"/>
      <c r="U435" s="8"/>
      <c r="V435" s="8"/>
      <c r="W435" s="324"/>
      <c r="X435" s="324"/>
      <c r="Y435" s="321"/>
      <c r="Z435" s="320" t="s">
        <v>566</v>
      </c>
      <c r="AA435" s="321"/>
      <c r="AB435" s="321"/>
      <c r="AC435" s="321"/>
      <c r="AD435" s="321"/>
      <c r="AE435" s="321"/>
      <c r="AF435" s="321"/>
      <c r="AG435" s="321"/>
      <c r="AH435" s="321"/>
      <c r="AI435" s="321"/>
      <c r="AJ435" s="321"/>
      <c r="AK435" s="321"/>
      <c r="AL435" s="321"/>
      <c r="AM435" s="321"/>
      <c r="AN435" s="321"/>
      <c r="AO435" s="321"/>
      <c r="AP435" s="321"/>
      <c r="AQ435" s="321"/>
      <c r="AR435" s="320"/>
      <c r="AS435" s="321"/>
      <c r="AT435" s="321"/>
      <c r="AU435" s="321"/>
      <c r="AV435" s="321"/>
      <c r="AW435" s="321"/>
      <c r="AX435" s="321"/>
      <c r="AY435" s="321"/>
      <c r="AZ435" s="321"/>
      <c r="BA435" s="321"/>
      <c r="BB435" s="322"/>
      <c r="BD435" s="72"/>
      <c r="BK435" s="61"/>
    </row>
    <row r="436" spans="1:63" ht="15.75" customHeight="1">
      <c r="A436" s="215"/>
      <c r="B436" s="72"/>
      <c r="I436" s="71"/>
      <c r="J436" s="217"/>
      <c r="K436" s="217"/>
      <c r="L436" s="217"/>
      <c r="M436" s="217"/>
      <c r="N436" s="217"/>
      <c r="O436" s="323" t="s">
        <v>652</v>
      </c>
      <c r="P436" s="324"/>
      <c r="Q436" s="324"/>
      <c r="R436" s="324"/>
      <c r="S436" s="8"/>
      <c r="T436" s="8"/>
      <c r="U436" s="8"/>
      <c r="V436" s="8"/>
      <c r="W436" s="324"/>
      <c r="X436" s="324"/>
      <c r="Y436" s="321"/>
      <c r="Z436" s="320" t="s">
        <v>653</v>
      </c>
      <c r="AA436" s="321"/>
      <c r="AB436" s="321"/>
      <c r="AC436" s="321"/>
      <c r="AD436" s="321"/>
      <c r="AE436" s="321"/>
      <c r="AF436" s="321"/>
      <c r="AG436" s="321"/>
      <c r="AH436" s="321"/>
      <c r="AI436" s="321"/>
      <c r="AJ436" s="321"/>
      <c r="AK436" s="321"/>
      <c r="AL436" s="321"/>
      <c r="AM436" s="321"/>
      <c r="AN436" s="321"/>
      <c r="AO436" s="321"/>
      <c r="AP436" s="321"/>
      <c r="AQ436" s="321"/>
      <c r="AR436" s="320"/>
      <c r="AS436" s="321"/>
      <c r="AT436" s="321"/>
      <c r="AU436" s="321"/>
      <c r="AV436" s="321"/>
      <c r="AW436" s="321"/>
      <c r="AX436" s="321"/>
      <c r="AY436" s="321"/>
      <c r="AZ436" s="321"/>
      <c r="BA436" s="321"/>
      <c r="BB436" s="322"/>
      <c r="BD436" s="72"/>
      <c r="BK436" s="61"/>
    </row>
    <row r="437" spans="1:63" ht="15.75" customHeight="1">
      <c r="A437" s="215"/>
      <c r="B437" s="72"/>
      <c r="I437" s="71"/>
      <c r="J437" s="217"/>
      <c r="K437" s="217"/>
      <c r="L437" s="217"/>
      <c r="M437" s="217"/>
      <c r="N437" s="217"/>
      <c r="O437" s="323" t="s">
        <v>654</v>
      </c>
      <c r="P437" s="324"/>
      <c r="Q437" s="324"/>
      <c r="R437" s="324"/>
      <c r="S437" s="8"/>
      <c r="T437" s="8"/>
      <c r="U437" s="8"/>
      <c r="V437" s="8"/>
      <c r="W437" s="324"/>
      <c r="X437" s="324"/>
      <c r="Y437" s="321"/>
      <c r="Z437" s="320" t="s">
        <v>655</v>
      </c>
      <c r="AA437" s="321"/>
      <c r="AB437" s="321"/>
      <c r="AC437" s="321"/>
      <c r="AD437" s="321"/>
      <c r="AE437" s="321"/>
      <c r="AF437" s="321"/>
      <c r="AG437" s="321"/>
      <c r="AH437" s="321"/>
      <c r="AI437" s="321"/>
      <c r="AJ437" s="321"/>
      <c r="AK437" s="321"/>
      <c r="AL437" s="321"/>
      <c r="AM437" s="321"/>
      <c r="AN437" s="321"/>
      <c r="AO437" s="321"/>
      <c r="AP437" s="321"/>
      <c r="AQ437" s="321"/>
      <c r="AR437" s="320"/>
      <c r="AS437" s="321"/>
      <c r="AT437" s="321"/>
      <c r="AU437" s="321"/>
      <c r="AV437" s="321"/>
      <c r="AW437" s="321"/>
      <c r="AX437" s="321"/>
      <c r="AY437" s="321"/>
      <c r="AZ437" s="321"/>
      <c r="BA437" s="321"/>
      <c r="BB437" s="322"/>
      <c r="BD437" s="72"/>
      <c r="BK437" s="61"/>
    </row>
    <row r="438" spans="1:63" ht="15.75" customHeight="1">
      <c r="A438" s="215"/>
      <c r="B438" s="72"/>
      <c r="I438" s="71"/>
      <c r="J438" s="217"/>
      <c r="K438" s="217"/>
      <c r="L438" s="217"/>
      <c r="M438" s="217"/>
      <c r="N438" s="217"/>
      <c r="O438" s="323" t="s">
        <v>604</v>
      </c>
      <c r="P438" s="324"/>
      <c r="Q438" s="324"/>
      <c r="R438" s="324"/>
      <c r="S438" s="8"/>
      <c r="T438" s="8"/>
      <c r="U438" s="8"/>
      <c r="V438" s="8"/>
      <c r="W438" s="324"/>
      <c r="X438" s="324"/>
      <c r="Y438" s="321"/>
      <c r="Z438" s="325" t="s">
        <v>605</v>
      </c>
      <c r="AA438" s="321"/>
      <c r="AB438" s="321"/>
      <c r="AC438" s="321"/>
      <c r="AD438" s="321"/>
      <c r="AE438" s="321"/>
      <c r="AF438" s="321"/>
      <c r="AG438" s="321"/>
      <c r="AH438" s="321"/>
      <c r="AI438" s="321"/>
      <c r="AJ438" s="321"/>
      <c r="AK438" s="321"/>
      <c r="AL438" s="321"/>
      <c r="AM438" s="321"/>
      <c r="AN438" s="321"/>
      <c r="AO438" s="321"/>
      <c r="AP438" s="321"/>
      <c r="AQ438" s="321"/>
      <c r="AR438" s="320"/>
      <c r="AS438" s="321"/>
      <c r="AT438" s="321"/>
      <c r="AU438" s="321"/>
      <c r="AV438" s="321"/>
      <c r="AW438" s="321"/>
      <c r="AX438" s="321"/>
      <c r="AY438" s="321"/>
      <c r="AZ438" s="321"/>
      <c r="BA438" s="321"/>
      <c r="BB438" s="322"/>
      <c r="BD438" s="72"/>
      <c r="BK438" s="61"/>
    </row>
    <row r="439" spans="1:63" ht="15.75" customHeight="1">
      <c r="A439" s="215"/>
      <c r="B439" s="72"/>
      <c r="I439" s="71"/>
      <c r="J439" s="217"/>
      <c r="K439" s="217"/>
      <c r="L439" s="217"/>
      <c r="M439" s="217"/>
      <c r="N439" s="217"/>
      <c r="O439" s="323" t="s">
        <v>606</v>
      </c>
      <c r="P439" s="324"/>
      <c r="Q439" s="324"/>
      <c r="R439" s="324"/>
      <c r="S439" s="8"/>
      <c r="T439" s="8"/>
      <c r="U439" s="8"/>
      <c r="V439" s="8"/>
      <c r="W439" s="324"/>
      <c r="X439" s="324"/>
      <c r="Y439" s="321"/>
      <c r="Z439" s="320" t="s">
        <v>607</v>
      </c>
      <c r="AA439" s="321"/>
      <c r="AB439" s="321"/>
      <c r="AC439" s="321"/>
      <c r="AD439" s="321"/>
      <c r="AE439" s="321"/>
      <c r="AF439" s="321"/>
      <c r="AG439" s="321"/>
      <c r="AH439" s="321"/>
      <c r="AI439" s="321"/>
      <c r="AJ439" s="321"/>
      <c r="AK439" s="321"/>
      <c r="AL439" s="321"/>
      <c r="AM439" s="321"/>
      <c r="AN439" s="321"/>
      <c r="AO439" s="321"/>
      <c r="AP439" s="321"/>
      <c r="AQ439" s="321"/>
      <c r="AR439" s="320"/>
      <c r="AS439" s="321"/>
      <c r="AT439" s="321"/>
      <c r="AU439" s="321"/>
      <c r="AV439" s="321"/>
      <c r="AW439" s="321"/>
      <c r="AX439" s="321"/>
      <c r="AY439" s="321"/>
      <c r="AZ439" s="321"/>
      <c r="BA439" s="321"/>
      <c r="BB439" s="322"/>
      <c r="BD439" s="72"/>
      <c r="BK439" s="61"/>
    </row>
    <row r="440" spans="1:63" ht="15.75" customHeight="1">
      <c r="A440" s="215"/>
      <c r="B440" s="72"/>
      <c r="I440" s="71"/>
      <c r="J440" s="217"/>
      <c r="K440" s="217"/>
      <c r="L440" s="217"/>
      <c r="M440" s="217"/>
      <c r="N440" s="217"/>
      <c r="O440" s="323" t="s">
        <v>608</v>
      </c>
      <c r="P440" s="324"/>
      <c r="Q440" s="324"/>
      <c r="R440" s="324"/>
      <c r="S440" s="8"/>
      <c r="T440" s="8"/>
      <c r="U440" s="8"/>
      <c r="V440" s="8"/>
      <c r="W440" s="324"/>
      <c r="X440" s="324"/>
      <c r="Y440" s="321"/>
      <c r="Z440" s="320" t="s">
        <v>609</v>
      </c>
      <c r="AA440" s="321"/>
      <c r="AB440" s="321"/>
      <c r="AC440" s="321"/>
      <c r="AD440" s="321"/>
      <c r="AE440" s="321"/>
      <c r="AF440" s="321"/>
      <c r="AG440" s="321"/>
      <c r="AH440" s="321"/>
      <c r="AI440" s="321"/>
      <c r="AJ440" s="321"/>
      <c r="AK440" s="321"/>
      <c r="AL440" s="321"/>
      <c r="AM440" s="321"/>
      <c r="AN440" s="321"/>
      <c r="AO440" s="321"/>
      <c r="AP440" s="321"/>
      <c r="AQ440" s="321"/>
      <c r="AR440" s="320"/>
      <c r="AS440" s="321"/>
      <c r="AT440" s="321"/>
      <c r="AU440" s="321"/>
      <c r="AV440" s="321"/>
      <c r="AW440" s="321"/>
      <c r="AX440" s="321"/>
      <c r="AY440" s="321"/>
      <c r="AZ440" s="321"/>
      <c r="BA440" s="321"/>
      <c r="BB440" s="322"/>
      <c r="BD440" s="72"/>
      <c r="BK440" s="61"/>
    </row>
    <row r="441" spans="1:63" ht="15.75" customHeight="1">
      <c r="A441" s="215"/>
      <c r="B441" s="72"/>
      <c r="I441" s="71"/>
      <c r="J441" s="217"/>
      <c r="K441" s="217"/>
      <c r="L441" s="217"/>
      <c r="M441" s="217"/>
      <c r="N441" s="217"/>
      <c r="O441" s="323" t="s">
        <v>610</v>
      </c>
      <c r="P441" s="324"/>
      <c r="Q441" s="324"/>
      <c r="R441" s="324"/>
      <c r="S441" s="8"/>
      <c r="T441" s="8"/>
      <c r="U441" s="8"/>
      <c r="V441" s="8"/>
      <c r="W441" s="324"/>
      <c r="X441" s="324"/>
      <c r="Y441" s="321"/>
      <c r="Z441" s="320" t="s">
        <v>556</v>
      </c>
      <c r="AA441" s="321"/>
      <c r="AB441" s="321"/>
      <c r="AC441" s="321"/>
      <c r="AD441" s="321"/>
      <c r="AE441" s="321"/>
      <c r="AF441" s="321"/>
      <c r="AG441" s="321"/>
      <c r="AH441" s="321"/>
      <c r="AI441" s="321"/>
      <c r="AJ441" s="321"/>
      <c r="AK441" s="321"/>
      <c r="AL441" s="321"/>
      <c r="AM441" s="321"/>
      <c r="AN441" s="321"/>
      <c r="AO441" s="321"/>
      <c r="AP441" s="321"/>
      <c r="AQ441" s="321"/>
      <c r="AR441" s="320"/>
      <c r="AS441" s="321"/>
      <c r="AT441" s="321"/>
      <c r="AU441" s="321"/>
      <c r="AV441" s="321"/>
      <c r="AW441" s="321"/>
      <c r="AX441" s="321"/>
      <c r="AY441" s="321"/>
      <c r="AZ441" s="321"/>
      <c r="BA441" s="321"/>
      <c r="BB441" s="322"/>
      <c r="BD441" s="72"/>
      <c r="BK441" s="61"/>
    </row>
    <row r="442" spans="1:63" ht="15.75" customHeight="1">
      <c r="A442" s="215"/>
      <c r="B442" s="72"/>
      <c r="I442" s="71"/>
      <c r="J442" s="217"/>
      <c r="K442" s="217"/>
      <c r="L442" s="217"/>
      <c r="M442" s="217"/>
      <c r="N442" s="217"/>
      <c r="O442" s="323" t="s">
        <v>611</v>
      </c>
      <c r="P442" s="324"/>
      <c r="Q442" s="324"/>
      <c r="R442" s="324"/>
      <c r="S442" s="8"/>
      <c r="T442" s="8"/>
      <c r="U442" s="8"/>
      <c r="V442" s="8"/>
      <c r="W442" s="324"/>
      <c r="X442" s="324"/>
      <c r="Y442" s="321"/>
      <c r="Z442" s="320" t="s">
        <v>556</v>
      </c>
      <c r="AA442" s="321"/>
      <c r="AB442" s="321"/>
      <c r="AC442" s="321"/>
      <c r="AD442" s="321"/>
      <c r="AE442" s="321"/>
      <c r="AF442" s="321"/>
      <c r="AG442" s="321"/>
      <c r="AH442" s="321"/>
      <c r="AI442" s="321"/>
      <c r="AJ442" s="321"/>
      <c r="AK442" s="321"/>
      <c r="AL442" s="321"/>
      <c r="AM442" s="321"/>
      <c r="AN442" s="321"/>
      <c r="AO442" s="321"/>
      <c r="AP442" s="321"/>
      <c r="AQ442" s="321"/>
      <c r="AR442" s="320"/>
      <c r="AS442" s="321"/>
      <c r="AT442" s="321"/>
      <c r="AU442" s="321"/>
      <c r="AV442" s="321"/>
      <c r="AW442" s="321"/>
      <c r="AX442" s="321"/>
      <c r="AY442" s="321"/>
      <c r="AZ442" s="321"/>
      <c r="BA442" s="321"/>
      <c r="BB442" s="322"/>
      <c r="BD442" s="72"/>
      <c r="BK442" s="61"/>
    </row>
    <row r="443" spans="1:63" ht="15.75" customHeight="1">
      <c r="A443" s="215"/>
      <c r="B443" s="72"/>
      <c r="I443" s="71"/>
      <c r="J443" s="217"/>
      <c r="K443" s="217"/>
      <c r="L443" s="217"/>
      <c r="M443" s="217"/>
      <c r="N443" s="217"/>
      <c r="O443" s="323" t="s">
        <v>612</v>
      </c>
      <c r="P443" s="324"/>
      <c r="Q443" s="324"/>
      <c r="R443" s="324"/>
      <c r="S443" s="8"/>
      <c r="T443" s="8"/>
      <c r="U443" s="8"/>
      <c r="V443" s="8"/>
      <c r="W443" s="324"/>
      <c r="X443" s="324"/>
      <c r="Y443" s="321"/>
      <c r="Z443" s="325" t="s">
        <v>613</v>
      </c>
      <c r="AA443" s="321"/>
      <c r="AB443" s="321"/>
      <c r="AC443" s="321"/>
      <c r="AD443" s="321"/>
      <c r="AE443" s="321"/>
      <c r="AF443" s="321"/>
      <c r="AG443" s="321"/>
      <c r="AH443" s="321"/>
      <c r="AI443" s="321"/>
      <c r="AJ443" s="321"/>
      <c r="AK443" s="321"/>
      <c r="AL443" s="321"/>
      <c r="AM443" s="321"/>
      <c r="AN443" s="321"/>
      <c r="AO443" s="321"/>
      <c r="AP443" s="321"/>
      <c r="AQ443" s="321"/>
      <c r="AR443" s="320"/>
      <c r="AS443" s="321"/>
      <c r="AT443" s="321"/>
      <c r="AU443" s="321"/>
      <c r="AV443" s="321"/>
      <c r="AW443" s="321"/>
      <c r="AX443" s="321"/>
      <c r="AY443" s="321"/>
      <c r="AZ443" s="321"/>
      <c r="BA443" s="321"/>
      <c r="BB443" s="322"/>
      <c r="BD443" s="72"/>
      <c r="BK443" s="61"/>
    </row>
    <row r="444" spans="1:63" ht="15.75" customHeight="1">
      <c r="A444" s="215"/>
      <c r="B444" s="72"/>
      <c r="I444" s="71"/>
      <c r="J444" s="217"/>
      <c r="K444" s="217"/>
      <c r="L444" s="217"/>
      <c r="M444" s="217"/>
      <c r="N444" s="217"/>
      <c r="O444" s="323" t="s">
        <v>614</v>
      </c>
      <c r="P444" s="324"/>
      <c r="Q444" s="324"/>
      <c r="R444" s="324"/>
      <c r="S444" s="8"/>
      <c r="T444" s="8"/>
      <c r="U444" s="8"/>
      <c r="V444" s="8"/>
      <c r="W444" s="324"/>
      <c r="X444" s="324"/>
      <c r="Y444" s="321"/>
      <c r="Z444" s="325" t="s">
        <v>615</v>
      </c>
      <c r="AA444" s="321"/>
      <c r="AB444" s="321"/>
      <c r="AC444" s="321"/>
      <c r="AD444" s="321"/>
      <c r="AE444" s="321"/>
      <c r="AF444" s="321"/>
      <c r="AG444" s="321"/>
      <c r="AH444" s="321"/>
      <c r="AI444" s="321"/>
      <c r="AJ444" s="321"/>
      <c r="AK444" s="321"/>
      <c r="AL444" s="321"/>
      <c r="AM444" s="321"/>
      <c r="AN444" s="321"/>
      <c r="AO444" s="321"/>
      <c r="AP444" s="321"/>
      <c r="AQ444" s="321"/>
      <c r="AR444" s="320"/>
      <c r="AS444" s="321"/>
      <c r="AT444" s="321"/>
      <c r="AU444" s="321"/>
      <c r="AV444" s="321"/>
      <c r="AW444" s="321"/>
      <c r="AX444" s="321"/>
      <c r="AY444" s="321"/>
      <c r="AZ444" s="321"/>
      <c r="BA444" s="321"/>
      <c r="BB444" s="322"/>
      <c r="BD444" s="72"/>
      <c r="BK444" s="61"/>
    </row>
    <row r="445" spans="1:63" ht="15.75" customHeight="1">
      <c r="A445" s="215"/>
      <c r="B445" s="72"/>
      <c r="I445" s="71"/>
      <c r="J445" s="217"/>
      <c r="K445" s="217"/>
      <c r="L445" s="217"/>
      <c r="M445" s="217"/>
      <c r="N445" s="217"/>
      <c r="O445" s="323" t="s">
        <v>616</v>
      </c>
      <c r="P445" s="324"/>
      <c r="Q445" s="324"/>
      <c r="R445" s="324"/>
      <c r="S445" s="8"/>
      <c r="T445" s="8"/>
      <c r="U445" s="8"/>
      <c r="V445" s="8"/>
      <c r="W445" s="324"/>
      <c r="X445" s="324"/>
      <c r="Y445" s="321"/>
      <c r="Z445" s="320" t="s">
        <v>617</v>
      </c>
      <c r="AA445" s="321"/>
      <c r="AB445" s="321"/>
      <c r="AC445" s="321"/>
      <c r="AD445" s="321"/>
      <c r="AE445" s="321"/>
      <c r="AF445" s="321"/>
      <c r="AG445" s="321"/>
      <c r="AH445" s="321"/>
      <c r="AI445" s="321"/>
      <c r="AJ445" s="321"/>
      <c r="AK445" s="321"/>
      <c r="AL445" s="321"/>
      <c r="AM445" s="321"/>
      <c r="AN445" s="321"/>
      <c r="AO445" s="321"/>
      <c r="AP445" s="321"/>
      <c r="AQ445" s="321"/>
      <c r="AR445" s="320"/>
      <c r="AS445" s="321"/>
      <c r="AT445" s="321"/>
      <c r="AU445" s="321"/>
      <c r="AV445" s="321"/>
      <c r="AW445" s="321"/>
      <c r="AX445" s="321"/>
      <c r="AY445" s="321"/>
      <c r="AZ445" s="321"/>
      <c r="BA445" s="321"/>
      <c r="BB445" s="322"/>
      <c r="BD445" s="72"/>
      <c r="BK445" s="61"/>
    </row>
    <row r="446" spans="1:63" ht="15.75" customHeight="1">
      <c r="A446" s="215"/>
      <c r="B446" s="72"/>
      <c r="I446" s="71"/>
      <c r="J446" s="217"/>
      <c r="K446" s="217"/>
      <c r="L446" s="217"/>
      <c r="M446" s="217"/>
      <c r="N446" s="217"/>
      <c r="O446" s="323" t="s">
        <v>618</v>
      </c>
      <c r="P446" s="324"/>
      <c r="Q446" s="324"/>
      <c r="R446" s="324"/>
      <c r="S446" s="8"/>
      <c r="T446" s="8"/>
      <c r="U446" s="8"/>
      <c r="V446" s="8"/>
      <c r="W446" s="324"/>
      <c r="X446" s="324"/>
      <c r="Y446" s="321"/>
      <c r="Z446" s="320" t="s">
        <v>556</v>
      </c>
      <c r="AA446" s="321"/>
      <c r="AB446" s="321"/>
      <c r="AC446" s="321"/>
      <c r="AD446" s="321"/>
      <c r="AE446" s="321"/>
      <c r="AF446" s="321"/>
      <c r="AG446" s="321"/>
      <c r="AH446" s="321"/>
      <c r="AI446" s="321"/>
      <c r="AJ446" s="321"/>
      <c r="AK446" s="321"/>
      <c r="AL446" s="321"/>
      <c r="AM446" s="321"/>
      <c r="AN446" s="321"/>
      <c r="AO446" s="321"/>
      <c r="AP446" s="321"/>
      <c r="AQ446" s="321"/>
      <c r="AR446" s="320"/>
      <c r="AS446" s="321"/>
      <c r="AT446" s="321"/>
      <c r="AU446" s="321"/>
      <c r="AV446" s="321"/>
      <c r="AW446" s="321"/>
      <c r="AX446" s="321"/>
      <c r="AY446" s="321"/>
      <c r="AZ446" s="321"/>
      <c r="BA446" s="321"/>
      <c r="BB446" s="322"/>
      <c r="BD446" s="72"/>
      <c r="BK446" s="61"/>
    </row>
    <row r="447" spans="1:63" ht="15.75" customHeight="1">
      <c r="A447" s="215"/>
      <c r="B447" s="72"/>
      <c r="I447" s="71"/>
      <c r="J447" s="217"/>
      <c r="K447" s="217"/>
      <c r="L447" s="217"/>
      <c r="M447" s="217"/>
      <c r="N447" s="217"/>
      <c r="O447" s="323" t="s">
        <v>420</v>
      </c>
      <c r="P447" s="324"/>
      <c r="Q447" s="324"/>
      <c r="R447" s="324"/>
      <c r="S447" s="8"/>
      <c r="T447" s="8"/>
      <c r="U447" s="8"/>
      <c r="V447" s="8"/>
      <c r="W447" s="324"/>
      <c r="X447" s="324"/>
      <c r="Y447" s="321"/>
      <c r="Z447" s="320" t="s">
        <v>619</v>
      </c>
      <c r="AA447" s="321"/>
      <c r="AB447" s="321"/>
      <c r="AC447" s="321"/>
      <c r="AD447" s="321"/>
      <c r="AE447" s="321"/>
      <c r="AF447" s="321"/>
      <c r="AG447" s="321"/>
      <c r="AH447" s="321"/>
      <c r="AI447" s="321"/>
      <c r="AJ447" s="321"/>
      <c r="AK447" s="321"/>
      <c r="AL447" s="321"/>
      <c r="AM447" s="321"/>
      <c r="AN447" s="321"/>
      <c r="AO447" s="321"/>
      <c r="AP447" s="321"/>
      <c r="AQ447" s="321"/>
      <c r="AR447" s="320"/>
      <c r="AS447" s="321"/>
      <c r="AT447" s="321"/>
      <c r="AU447" s="321"/>
      <c r="AV447" s="321"/>
      <c r="AW447" s="321"/>
      <c r="AX447" s="321"/>
      <c r="AY447" s="321"/>
      <c r="AZ447" s="321"/>
      <c r="BA447" s="321"/>
      <c r="BB447" s="322"/>
      <c r="BD447" s="72"/>
      <c r="BK447" s="61"/>
    </row>
    <row r="448" spans="1:63" ht="15.75" customHeight="1">
      <c r="A448" s="215"/>
      <c r="B448" s="72"/>
      <c r="I448" s="71"/>
      <c r="J448" s="217"/>
      <c r="K448" s="217"/>
      <c r="L448" s="217"/>
      <c r="M448" s="217"/>
      <c r="N448" s="217"/>
      <c r="O448" s="323" t="s">
        <v>421</v>
      </c>
      <c r="P448" s="324"/>
      <c r="Q448" s="324"/>
      <c r="R448" s="324"/>
      <c r="S448" s="8"/>
      <c r="T448" s="8"/>
      <c r="U448" s="8"/>
      <c r="V448" s="8"/>
      <c r="W448" s="324"/>
      <c r="X448" s="324"/>
      <c r="Y448" s="321"/>
      <c r="Z448" s="320" t="s">
        <v>581</v>
      </c>
      <c r="AA448" s="321"/>
      <c r="AB448" s="321"/>
      <c r="AC448" s="321"/>
      <c r="AD448" s="321"/>
      <c r="AE448" s="321"/>
      <c r="AF448" s="321"/>
      <c r="AG448" s="321"/>
      <c r="AH448" s="321"/>
      <c r="AI448" s="321"/>
      <c r="AJ448" s="321"/>
      <c r="AK448" s="321"/>
      <c r="AL448" s="321"/>
      <c r="AM448" s="321"/>
      <c r="AN448" s="321"/>
      <c r="AO448" s="321"/>
      <c r="AP448" s="321"/>
      <c r="AQ448" s="321"/>
      <c r="AR448" s="320"/>
      <c r="AS448" s="321"/>
      <c r="AT448" s="321"/>
      <c r="AU448" s="321"/>
      <c r="AV448" s="321"/>
      <c r="AW448" s="321"/>
      <c r="AX448" s="321"/>
      <c r="AY448" s="321"/>
      <c r="AZ448" s="321"/>
      <c r="BA448" s="321"/>
      <c r="BB448" s="322"/>
      <c r="BD448" s="72"/>
      <c r="BK448" s="61"/>
    </row>
    <row r="449" spans="1:63" ht="15.75" customHeight="1">
      <c r="A449" s="215"/>
      <c r="B449" s="72"/>
      <c r="I449" s="71"/>
      <c r="J449" s="217"/>
      <c r="K449" s="217"/>
      <c r="L449" s="217"/>
      <c r="M449" s="217"/>
      <c r="N449" s="217"/>
      <c r="O449" s="323" t="s">
        <v>620</v>
      </c>
      <c r="P449" s="324"/>
      <c r="Q449" s="324"/>
      <c r="R449" s="324"/>
      <c r="S449" s="8"/>
      <c r="T449" s="8"/>
      <c r="U449" s="8"/>
      <c r="V449" s="8"/>
      <c r="W449" s="324"/>
      <c r="X449" s="324"/>
      <c r="Y449" s="321"/>
      <c r="Z449" s="320" t="s">
        <v>581</v>
      </c>
      <c r="AA449" s="321"/>
      <c r="AB449" s="321"/>
      <c r="AC449" s="321"/>
      <c r="AD449" s="321"/>
      <c r="AE449" s="321"/>
      <c r="AF449" s="321"/>
      <c r="AG449" s="321"/>
      <c r="AH449" s="321"/>
      <c r="AI449" s="321"/>
      <c r="AJ449" s="321"/>
      <c r="AK449" s="321"/>
      <c r="AL449" s="321"/>
      <c r="AM449" s="321"/>
      <c r="AN449" s="321"/>
      <c r="AO449" s="321"/>
      <c r="AP449" s="321"/>
      <c r="AQ449" s="321"/>
      <c r="AR449" s="320"/>
      <c r="AS449" s="321"/>
      <c r="AT449" s="321"/>
      <c r="AU449" s="321"/>
      <c r="AV449" s="321"/>
      <c r="AW449" s="321"/>
      <c r="AX449" s="321"/>
      <c r="AY449" s="321"/>
      <c r="AZ449" s="321"/>
      <c r="BA449" s="321"/>
      <c r="BB449" s="322"/>
      <c r="BD449" s="72"/>
      <c r="BK449" s="61"/>
    </row>
    <row r="450" spans="1:63" ht="15.75" customHeight="1">
      <c r="A450" s="215"/>
      <c r="B450" s="72"/>
      <c r="I450" s="71"/>
      <c r="J450" s="217"/>
      <c r="K450" s="217"/>
      <c r="L450" s="217"/>
      <c r="M450" s="217"/>
      <c r="N450" s="217"/>
      <c r="O450" s="323" t="s">
        <v>621</v>
      </c>
      <c r="P450" s="324"/>
      <c r="Q450" s="324"/>
      <c r="R450" s="324"/>
      <c r="S450" s="8"/>
      <c r="T450" s="8"/>
      <c r="U450" s="8"/>
      <c r="V450" s="8"/>
      <c r="W450" s="324"/>
      <c r="X450" s="324"/>
      <c r="Y450" s="321"/>
      <c r="Z450" s="320" t="s">
        <v>581</v>
      </c>
      <c r="AA450" s="321"/>
      <c r="AB450" s="321"/>
      <c r="AC450" s="321"/>
      <c r="AD450" s="321"/>
      <c r="AE450" s="321"/>
      <c r="AF450" s="321"/>
      <c r="AG450" s="321"/>
      <c r="AH450" s="321"/>
      <c r="AI450" s="321"/>
      <c r="AJ450" s="321"/>
      <c r="AK450" s="321"/>
      <c r="AL450" s="321"/>
      <c r="AM450" s="321"/>
      <c r="AN450" s="321"/>
      <c r="AO450" s="321"/>
      <c r="AP450" s="321"/>
      <c r="AQ450" s="321"/>
      <c r="AR450" s="320"/>
      <c r="AS450" s="321"/>
      <c r="AT450" s="321"/>
      <c r="AU450" s="321"/>
      <c r="AV450" s="321"/>
      <c r="AW450" s="321"/>
      <c r="AX450" s="321"/>
      <c r="AY450" s="321"/>
      <c r="AZ450" s="321"/>
      <c r="BA450" s="321"/>
      <c r="BB450" s="322"/>
      <c r="BD450" s="72"/>
      <c r="BK450" s="61"/>
    </row>
    <row r="451" spans="1:63" ht="15.75" customHeight="1">
      <c r="A451" s="215"/>
      <c r="B451" s="72"/>
      <c r="I451" s="71"/>
      <c r="J451" s="217"/>
      <c r="K451" s="217"/>
      <c r="L451" s="217"/>
      <c r="M451" s="217"/>
      <c r="N451" s="217"/>
      <c r="O451" s="323" t="s">
        <v>622</v>
      </c>
      <c r="P451" s="324"/>
      <c r="Q451" s="324"/>
      <c r="R451" s="324"/>
      <c r="S451" s="8"/>
      <c r="T451" s="8"/>
      <c r="U451" s="8"/>
      <c r="V451" s="8"/>
      <c r="W451" s="324"/>
      <c r="X451" s="324"/>
      <c r="Y451" s="321"/>
      <c r="Z451" s="320" t="s">
        <v>556</v>
      </c>
      <c r="AA451" s="321"/>
      <c r="AB451" s="321"/>
      <c r="AC451" s="321"/>
      <c r="AD451" s="321"/>
      <c r="AE451" s="321"/>
      <c r="AF451" s="321"/>
      <c r="AG451" s="321"/>
      <c r="AH451" s="321"/>
      <c r="AI451" s="321"/>
      <c r="AJ451" s="321"/>
      <c r="AK451" s="321"/>
      <c r="AL451" s="321"/>
      <c r="AM451" s="321"/>
      <c r="AN451" s="321"/>
      <c r="AO451" s="321"/>
      <c r="AP451" s="321"/>
      <c r="AQ451" s="321"/>
      <c r="AR451" s="320"/>
      <c r="AS451" s="321"/>
      <c r="AT451" s="321"/>
      <c r="AU451" s="321"/>
      <c r="AV451" s="321"/>
      <c r="AW451" s="321"/>
      <c r="AX451" s="321"/>
      <c r="AY451" s="321"/>
      <c r="AZ451" s="321"/>
      <c r="BA451" s="321"/>
      <c r="BB451" s="322"/>
      <c r="BD451" s="72"/>
      <c r="BK451" s="61"/>
    </row>
    <row r="452" spans="1:63" ht="15.75" customHeight="1">
      <c r="A452" s="215"/>
      <c r="B452" s="72"/>
      <c r="I452" s="71"/>
      <c r="J452" s="217"/>
      <c r="K452" s="217"/>
      <c r="L452" s="217"/>
      <c r="M452" s="217"/>
      <c r="N452" s="217"/>
      <c r="O452" s="323" t="s">
        <v>623</v>
      </c>
      <c r="P452" s="324"/>
      <c r="Q452" s="324"/>
      <c r="R452" s="324"/>
      <c r="S452" s="8"/>
      <c r="T452" s="8"/>
      <c r="U452" s="8"/>
      <c r="V452" s="8"/>
      <c r="W452" s="324"/>
      <c r="X452" s="324"/>
      <c r="Y452" s="321"/>
      <c r="Z452" s="320" t="s">
        <v>556</v>
      </c>
      <c r="AA452" s="321"/>
      <c r="AB452" s="321"/>
      <c r="AC452" s="321"/>
      <c r="AD452" s="321"/>
      <c r="AE452" s="321"/>
      <c r="AF452" s="321"/>
      <c r="AG452" s="321"/>
      <c r="AH452" s="321"/>
      <c r="AI452" s="321"/>
      <c r="AJ452" s="321"/>
      <c r="AK452" s="321"/>
      <c r="AL452" s="321"/>
      <c r="AM452" s="321"/>
      <c r="AN452" s="321"/>
      <c r="AO452" s="321"/>
      <c r="AP452" s="321"/>
      <c r="AQ452" s="321"/>
      <c r="AR452" s="320"/>
      <c r="AS452" s="321"/>
      <c r="AT452" s="321"/>
      <c r="AU452" s="321"/>
      <c r="AV452" s="321"/>
      <c r="AW452" s="321"/>
      <c r="AX452" s="321"/>
      <c r="AY452" s="321"/>
      <c r="AZ452" s="321"/>
      <c r="BA452" s="321"/>
      <c r="BB452" s="322"/>
      <c r="BD452" s="72"/>
      <c r="BK452" s="61"/>
    </row>
    <row r="453" spans="1:63" ht="15.75" customHeight="1">
      <c r="A453" s="215"/>
      <c r="B453" s="72"/>
      <c r="I453" s="71"/>
      <c r="J453" s="217"/>
      <c r="K453" s="217"/>
      <c r="L453" s="217"/>
      <c r="M453" s="217"/>
      <c r="N453" s="217"/>
      <c r="O453" s="323" t="s">
        <v>624</v>
      </c>
      <c r="P453" s="324"/>
      <c r="Q453" s="324"/>
      <c r="R453" s="324"/>
      <c r="S453" s="8"/>
      <c r="T453" s="8"/>
      <c r="U453" s="8"/>
      <c r="V453" s="8"/>
      <c r="W453" s="324"/>
      <c r="X453" s="324"/>
      <c r="Y453" s="321"/>
      <c r="Z453" s="320" t="s">
        <v>656</v>
      </c>
      <c r="AA453" s="321"/>
      <c r="AB453" s="321"/>
      <c r="AC453" s="321"/>
      <c r="AD453" s="321"/>
      <c r="AE453" s="321"/>
      <c r="AF453" s="321"/>
      <c r="AG453" s="321"/>
      <c r="AH453" s="321"/>
      <c r="AI453" s="321"/>
      <c r="AJ453" s="321"/>
      <c r="AK453" s="321"/>
      <c r="AL453" s="321"/>
      <c r="AM453" s="321"/>
      <c r="AN453" s="321"/>
      <c r="AO453" s="321"/>
      <c r="AP453" s="321"/>
      <c r="AQ453" s="321"/>
      <c r="AR453" s="320"/>
      <c r="AS453" s="321"/>
      <c r="AT453" s="321"/>
      <c r="AU453" s="321"/>
      <c r="AV453" s="321"/>
      <c r="AW453" s="321"/>
      <c r="AX453" s="321"/>
      <c r="AY453" s="321"/>
      <c r="AZ453" s="321"/>
      <c r="BA453" s="321"/>
      <c r="BB453" s="322"/>
      <c r="BD453" s="72"/>
      <c r="BK453" s="61"/>
    </row>
    <row r="454" spans="1:63" ht="15.75" customHeight="1">
      <c r="A454" s="215"/>
      <c r="B454" s="72"/>
      <c r="I454" s="71"/>
      <c r="J454" s="217"/>
      <c r="K454" s="217"/>
      <c r="L454" s="217"/>
      <c r="M454" s="217"/>
      <c r="N454" s="217"/>
      <c r="O454" s="323" t="s">
        <v>626</v>
      </c>
      <c r="P454" s="324"/>
      <c r="Q454" s="324"/>
      <c r="R454" s="324"/>
      <c r="S454" s="8"/>
      <c r="T454" s="8"/>
      <c r="U454" s="8"/>
      <c r="V454" s="8"/>
      <c r="W454" s="324"/>
      <c r="X454" s="324"/>
      <c r="Y454" s="321"/>
      <c r="Z454" s="320" t="s">
        <v>657</v>
      </c>
      <c r="AA454" s="321"/>
      <c r="AB454" s="321"/>
      <c r="AC454" s="321"/>
      <c r="AD454" s="321"/>
      <c r="AE454" s="321"/>
      <c r="AF454" s="321"/>
      <c r="AG454" s="321"/>
      <c r="AH454" s="321"/>
      <c r="AI454" s="321"/>
      <c r="AJ454" s="321"/>
      <c r="AK454" s="321"/>
      <c r="AL454" s="321"/>
      <c r="AM454" s="321"/>
      <c r="AN454" s="321"/>
      <c r="AO454" s="321"/>
      <c r="AP454" s="321"/>
      <c r="AQ454" s="321"/>
      <c r="AR454" s="320"/>
      <c r="AS454" s="321"/>
      <c r="AT454" s="321"/>
      <c r="AU454" s="321"/>
      <c r="AV454" s="321"/>
      <c r="AW454" s="321"/>
      <c r="AX454" s="321"/>
      <c r="AY454" s="321"/>
      <c r="AZ454" s="321"/>
      <c r="BA454" s="321"/>
      <c r="BB454" s="322"/>
      <c r="BD454" s="72"/>
      <c r="BK454" s="61"/>
    </row>
    <row r="455" spans="1:63" ht="15.75" customHeight="1">
      <c r="A455" s="215"/>
      <c r="B455" s="72"/>
      <c r="I455" s="71"/>
      <c r="J455" s="217"/>
      <c r="K455" s="217"/>
      <c r="L455" s="217"/>
      <c r="M455" s="217"/>
      <c r="N455" s="217"/>
      <c r="O455" s="323" t="s">
        <v>628</v>
      </c>
      <c r="P455" s="324"/>
      <c r="Q455" s="324"/>
      <c r="R455" s="324"/>
      <c r="S455" s="8"/>
      <c r="T455" s="8"/>
      <c r="U455" s="8"/>
      <c r="V455" s="8"/>
      <c r="W455" s="324"/>
      <c r="X455" s="324"/>
      <c r="Y455" s="321"/>
      <c r="Z455" s="320" t="s">
        <v>556</v>
      </c>
      <c r="AA455" s="321"/>
      <c r="AB455" s="321"/>
      <c r="AC455" s="321"/>
      <c r="AD455" s="321"/>
      <c r="AE455" s="321"/>
      <c r="AF455" s="321"/>
      <c r="AG455" s="321"/>
      <c r="AH455" s="321"/>
      <c r="AI455" s="321"/>
      <c r="AJ455" s="321"/>
      <c r="AK455" s="321"/>
      <c r="AL455" s="321"/>
      <c r="AM455" s="321"/>
      <c r="AN455" s="321"/>
      <c r="AO455" s="321"/>
      <c r="AP455" s="321"/>
      <c r="AQ455" s="321"/>
      <c r="AR455" s="320"/>
      <c r="AS455" s="321"/>
      <c r="AT455" s="321"/>
      <c r="AU455" s="321"/>
      <c r="AV455" s="321"/>
      <c r="AW455" s="321"/>
      <c r="AX455" s="321"/>
      <c r="AY455" s="321"/>
      <c r="AZ455" s="321"/>
      <c r="BA455" s="321"/>
      <c r="BB455" s="322"/>
      <c r="BD455" s="72"/>
      <c r="BK455" s="61"/>
    </row>
    <row r="456" spans="1:63" ht="15.75" customHeight="1">
      <c r="A456" s="215"/>
      <c r="B456" s="72"/>
      <c r="I456" s="71"/>
      <c r="J456" s="217"/>
      <c r="K456" s="217"/>
      <c r="L456" s="217"/>
      <c r="M456" s="217"/>
      <c r="N456" s="217"/>
      <c r="O456" s="323" t="s">
        <v>629</v>
      </c>
      <c r="P456" s="324"/>
      <c r="Q456" s="324"/>
      <c r="R456" s="324"/>
      <c r="S456" s="8"/>
      <c r="T456" s="8"/>
      <c r="U456" s="8"/>
      <c r="V456" s="8"/>
      <c r="W456" s="324"/>
      <c r="X456" s="324"/>
      <c r="Y456" s="321"/>
      <c r="Z456" s="320" t="s">
        <v>556</v>
      </c>
      <c r="AA456" s="321"/>
      <c r="AB456" s="321"/>
      <c r="AC456" s="321"/>
      <c r="AD456" s="321"/>
      <c r="AE456" s="321"/>
      <c r="AF456" s="321"/>
      <c r="AG456" s="321"/>
      <c r="AH456" s="321"/>
      <c r="AI456" s="321"/>
      <c r="AJ456" s="321"/>
      <c r="AK456" s="321"/>
      <c r="AL456" s="321"/>
      <c r="AM456" s="321"/>
      <c r="AN456" s="321"/>
      <c r="AO456" s="321"/>
      <c r="AP456" s="321"/>
      <c r="AQ456" s="321"/>
      <c r="AR456" s="320"/>
      <c r="AS456" s="321"/>
      <c r="AT456" s="321"/>
      <c r="AU456" s="321"/>
      <c r="AV456" s="321"/>
      <c r="AW456" s="321"/>
      <c r="AX456" s="321"/>
      <c r="AY456" s="321"/>
      <c r="AZ456" s="321"/>
      <c r="BA456" s="321"/>
      <c r="BB456" s="322"/>
      <c r="BD456" s="72"/>
      <c r="BK456" s="61"/>
    </row>
    <row r="457" spans="1:63" ht="15.75" customHeight="1">
      <c r="A457" s="215"/>
      <c r="B457" s="72"/>
      <c r="I457" s="71"/>
      <c r="J457" s="217"/>
      <c r="K457" s="217"/>
      <c r="L457" s="217"/>
      <c r="M457" s="217"/>
      <c r="N457" s="217"/>
      <c r="O457" s="323" t="s">
        <v>630</v>
      </c>
      <c r="P457" s="324"/>
      <c r="Q457" s="324"/>
      <c r="R457" s="324"/>
      <c r="S457" s="8"/>
      <c r="T457" s="8"/>
      <c r="U457" s="8"/>
      <c r="V457" s="8"/>
      <c r="W457" s="324"/>
      <c r="X457" s="324"/>
      <c r="Y457" s="321"/>
      <c r="Z457" s="320" t="s">
        <v>556</v>
      </c>
      <c r="AA457" s="321"/>
      <c r="AB457" s="321"/>
      <c r="AC457" s="321"/>
      <c r="AD457" s="321"/>
      <c r="AE457" s="321"/>
      <c r="AF457" s="321"/>
      <c r="AG457" s="321"/>
      <c r="AH457" s="321"/>
      <c r="AI457" s="321"/>
      <c r="AJ457" s="321"/>
      <c r="AK457" s="321"/>
      <c r="AL457" s="321"/>
      <c r="AM457" s="321"/>
      <c r="AN457" s="321"/>
      <c r="AO457" s="321"/>
      <c r="AP457" s="321"/>
      <c r="AQ457" s="321"/>
      <c r="AR457" s="320"/>
      <c r="AS457" s="321"/>
      <c r="AT457" s="321"/>
      <c r="AU457" s="321"/>
      <c r="AV457" s="321"/>
      <c r="AW457" s="321"/>
      <c r="AX457" s="321"/>
      <c r="AY457" s="321"/>
      <c r="AZ457" s="321"/>
      <c r="BA457" s="321"/>
      <c r="BB457" s="322"/>
      <c r="BD457" s="72"/>
      <c r="BK457" s="61"/>
    </row>
    <row r="458" spans="1:63" ht="15.75" customHeight="1">
      <c r="A458" s="215"/>
      <c r="B458" s="72"/>
      <c r="I458" s="71"/>
      <c r="J458" s="217"/>
      <c r="K458" s="217"/>
      <c r="L458" s="217"/>
      <c r="M458" s="217"/>
      <c r="N458" s="217"/>
      <c r="O458" s="323" t="s">
        <v>631</v>
      </c>
      <c r="P458" s="324"/>
      <c r="Q458" s="324"/>
      <c r="R458" s="324"/>
      <c r="S458" s="8"/>
      <c r="T458" s="8"/>
      <c r="U458" s="8"/>
      <c r="V458" s="8"/>
      <c r="W458" s="324"/>
      <c r="X458" s="324"/>
      <c r="Y458" s="321"/>
      <c r="Z458" s="320" t="s">
        <v>556</v>
      </c>
      <c r="AA458" s="321"/>
      <c r="AB458" s="321"/>
      <c r="AC458" s="321"/>
      <c r="AD458" s="321"/>
      <c r="AE458" s="321"/>
      <c r="AF458" s="321"/>
      <c r="AG458" s="321"/>
      <c r="AH458" s="321"/>
      <c r="AI458" s="321"/>
      <c r="AJ458" s="321"/>
      <c r="AK458" s="321"/>
      <c r="AL458" s="321"/>
      <c r="AM458" s="321"/>
      <c r="AN458" s="321"/>
      <c r="AO458" s="321"/>
      <c r="AP458" s="321"/>
      <c r="AQ458" s="321"/>
      <c r="AR458" s="320"/>
      <c r="AS458" s="321"/>
      <c r="AT458" s="321"/>
      <c r="AU458" s="321"/>
      <c r="AV458" s="321"/>
      <c r="AW458" s="321"/>
      <c r="AX458" s="321"/>
      <c r="AY458" s="321"/>
      <c r="AZ458" s="321"/>
      <c r="BA458" s="321"/>
      <c r="BB458" s="322"/>
      <c r="BD458" s="72"/>
      <c r="BK458" s="61"/>
    </row>
    <row r="459" spans="1:63" ht="15.75" customHeight="1">
      <c r="A459" s="215"/>
      <c r="B459" s="72"/>
      <c r="I459" s="71"/>
      <c r="J459" s="217"/>
      <c r="K459" s="217"/>
      <c r="L459" s="217"/>
      <c r="M459" s="217"/>
      <c r="N459" s="217"/>
      <c r="O459" s="323" t="s">
        <v>632</v>
      </c>
      <c r="P459" s="324"/>
      <c r="Q459" s="324"/>
      <c r="R459" s="324"/>
      <c r="S459" s="8"/>
      <c r="T459" s="8"/>
      <c r="U459" s="8"/>
      <c r="V459" s="8"/>
      <c r="W459" s="324"/>
      <c r="X459" s="324"/>
      <c r="Y459" s="321"/>
      <c r="Z459" s="320" t="s">
        <v>556</v>
      </c>
      <c r="AA459" s="321"/>
      <c r="AB459" s="321"/>
      <c r="AC459" s="321"/>
      <c r="AD459" s="321"/>
      <c r="AE459" s="321"/>
      <c r="AF459" s="321"/>
      <c r="AG459" s="321"/>
      <c r="AH459" s="321"/>
      <c r="AI459" s="321"/>
      <c r="AJ459" s="321"/>
      <c r="AK459" s="321"/>
      <c r="AL459" s="321"/>
      <c r="AM459" s="321"/>
      <c r="AN459" s="321"/>
      <c r="AO459" s="321"/>
      <c r="AP459" s="321"/>
      <c r="AQ459" s="321"/>
      <c r="AR459" s="320"/>
      <c r="AS459" s="321"/>
      <c r="AT459" s="321"/>
      <c r="AU459" s="321"/>
      <c r="AV459" s="321"/>
      <c r="AW459" s="321"/>
      <c r="AX459" s="321"/>
      <c r="AY459" s="321"/>
      <c r="AZ459" s="321"/>
      <c r="BA459" s="321"/>
      <c r="BB459" s="322"/>
      <c r="BD459" s="72"/>
      <c r="BK459" s="61"/>
    </row>
    <row r="460" spans="1:63" ht="15.75" customHeight="1">
      <c r="A460" s="215"/>
      <c r="B460" s="72"/>
      <c r="I460" s="71"/>
      <c r="J460" s="217"/>
      <c r="K460" s="217"/>
      <c r="L460" s="217"/>
      <c r="M460" s="217"/>
      <c r="N460" s="217"/>
      <c r="O460" s="323" t="s">
        <v>633</v>
      </c>
      <c r="P460" s="324"/>
      <c r="Q460" s="324"/>
      <c r="R460" s="324"/>
      <c r="S460" s="8"/>
      <c r="T460" s="8"/>
      <c r="U460" s="8"/>
      <c r="V460" s="8"/>
      <c r="W460" s="324"/>
      <c r="X460" s="324"/>
      <c r="Y460" s="321"/>
      <c r="Z460" s="320" t="s">
        <v>556</v>
      </c>
      <c r="AA460" s="321"/>
      <c r="AB460" s="321"/>
      <c r="AC460" s="321"/>
      <c r="AD460" s="321"/>
      <c r="AE460" s="321"/>
      <c r="AF460" s="321"/>
      <c r="AG460" s="321"/>
      <c r="AH460" s="321"/>
      <c r="AI460" s="321"/>
      <c r="AJ460" s="321"/>
      <c r="AK460" s="321"/>
      <c r="AL460" s="321"/>
      <c r="AM460" s="321"/>
      <c r="AN460" s="321"/>
      <c r="AO460" s="321"/>
      <c r="AP460" s="321"/>
      <c r="AQ460" s="321"/>
      <c r="AR460" s="320"/>
      <c r="AS460" s="321"/>
      <c r="AT460" s="321"/>
      <c r="AU460" s="321"/>
      <c r="AV460" s="321"/>
      <c r="AW460" s="321"/>
      <c r="AX460" s="321"/>
      <c r="AY460" s="321"/>
      <c r="AZ460" s="321"/>
      <c r="BA460" s="321"/>
      <c r="BB460" s="322"/>
      <c r="BD460" s="72"/>
      <c r="BK460" s="61"/>
    </row>
    <row r="461" spans="1:63" ht="15.75" customHeight="1">
      <c r="A461" s="215"/>
      <c r="B461" s="72"/>
      <c r="I461" s="71"/>
      <c r="J461" s="217"/>
      <c r="K461" s="217"/>
      <c r="L461" s="217"/>
      <c r="M461" s="217"/>
      <c r="N461" s="217"/>
      <c r="O461" s="323" t="s">
        <v>634</v>
      </c>
      <c r="P461" s="324"/>
      <c r="Q461" s="324"/>
      <c r="R461" s="324"/>
      <c r="S461" s="8"/>
      <c r="T461" s="8"/>
      <c r="U461" s="8"/>
      <c r="V461" s="8"/>
      <c r="W461" s="324"/>
      <c r="X461" s="324"/>
      <c r="Y461" s="321"/>
      <c r="Z461" s="320" t="s">
        <v>556</v>
      </c>
      <c r="AA461" s="321"/>
      <c r="AB461" s="321"/>
      <c r="AC461" s="321"/>
      <c r="AD461" s="321"/>
      <c r="AE461" s="321"/>
      <c r="AF461" s="321"/>
      <c r="AG461" s="321"/>
      <c r="AH461" s="321"/>
      <c r="AI461" s="321"/>
      <c r="AJ461" s="321"/>
      <c r="AK461" s="321"/>
      <c r="AL461" s="321"/>
      <c r="AM461" s="321"/>
      <c r="AN461" s="321"/>
      <c r="AO461" s="321"/>
      <c r="AP461" s="321"/>
      <c r="AQ461" s="321"/>
      <c r="AR461" s="320"/>
      <c r="AS461" s="321"/>
      <c r="AT461" s="321"/>
      <c r="AU461" s="321"/>
      <c r="AV461" s="321"/>
      <c r="AW461" s="321"/>
      <c r="AX461" s="321"/>
      <c r="AY461" s="321"/>
      <c r="AZ461" s="321"/>
      <c r="BA461" s="321"/>
      <c r="BB461" s="322"/>
      <c r="BD461" s="72"/>
      <c r="BK461" s="61"/>
    </row>
    <row r="462" spans="1:63" ht="15.75" customHeight="1">
      <c r="A462" s="215"/>
      <c r="B462" s="72"/>
      <c r="I462" s="71"/>
      <c r="J462" s="217"/>
      <c r="K462" s="217"/>
      <c r="L462" s="217"/>
      <c r="M462" s="217"/>
      <c r="N462" s="217"/>
      <c r="O462" s="323" t="s">
        <v>635</v>
      </c>
      <c r="P462" s="324"/>
      <c r="Q462" s="324"/>
      <c r="R462" s="324"/>
      <c r="S462" s="8"/>
      <c r="T462" s="8"/>
      <c r="U462" s="8"/>
      <c r="V462" s="8"/>
      <c r="W462" s="324"/>
      <c r="X462" s="324"/>
      <c r="Y462" s="321"/>
      <c r="Z462" s="320" t="s">
        <v>556</v>
      </c>
      <c r="AA462" s="321"/>
      <c r="AB462" s="321"/>
      <c r="AC462" s="321"/>
      <c r="AD462" s="321"/>
      <c r="AE462" s="321"/>
      <c r="AF462" s="321"/>
      <c r="AG462" s="321"/>
      <c r="AH462" s="321"/>
      <c r="AI462" s="321"/>
      <c r="AJ462" s="321"/>
      <c r="AK462" s="321"/>
      <c r="AL462" s="321"/>
      <c r="AM462" s="321"/>
      <c r="AN462" s="321"/>
      <c r="AO462" s="321"/>
      <c r="AP462" s="321"/>
      <c r="AQ462" s="321"/>
      <c r="AR462" s="320"/>
      <c r="AS462" s="321"/>
      <c r="AT462" s="321"/>
      <c r="AU462" s="321"/>
      <c r="AV462" s="321"/>
      <c r="AW462" s="321"/>
      <c r="AX462" s="321"/>
      <c r="AY462" s="321"/>
      <c r="AZ462" s="321"/>
      <c r="BA462" s="321"/>
      <c r="BB462" s="322"/>
      <c r="BD462" s="72"/>
      <c r="BK462" s="61"/>
    </row>
    <row r="463" spans="1:63" ht="15.75" customHeight="1">
      <c r="A463" s="215"/>
      <c r="B463" s="72"/>
      <c r="I463" s="71"/>
      <c r="J463" s="217"/>
      <c r="K463" s="217"/>
      <c r="L463" s="217"/>
      <c r="M463" s="217"/>
      <c r="N463" s="217"/>
      <c r="O463" s="323" t="s">
        <v>636</v>
      </c>
      <c r="P463" s="324"/>
      <c r="Q463" s="324"/>
      <c r="R463" s="324"/>
      <c r="S463" s="8"/>
      <c r="T463" s="8"/>
      <c r="U463" s="8"/>
      <c r="V463" s="8"/>
      <c r="W463" s="324"/>
      <c r="X463" s="324"/>
      <c r="Y463" s="321"/>
      <c r="Z463" s="320" t="s">
        <v>556</v>
      </c>
      <c r="AA463" s="321"/>
      <c r="AB463" s="321"/>
      <c r="AC463" s="321"/>
      <c r="AD463" s="321"/>
      <c r="AE463" s="321"/>
      <c r="AF463" s="321"/>
      <c r="AG463" s="321"/>
      <c r="AH463" s="321"/>
      <c r="AI463" s="321"/>
      <c r="AJ463" s="321"/>
      <c r="AK463" s="321"/>
      <c r="AL463" s="321"/>
      <c r="AM463" s="321"/>
      <c r="AN463" s="321"/>
      <c r="AO463" s="321"/>
      <c r="AP463" s="321"/>
      <c r="AQ463" s="321"/>
      <c r="AR463" s="320"/>
      <c r="AS463" s="321"/>
      <c r="AT463" s="321"/>
      <c r="AU463" s="321"/>
      <c r="AV463" s="321"/>
      <c r="AW463" s="321"/>
      <c r="AX463" s="321"/>
      <c r="AY463" s="321"/>
      <c r="AZ463" s="321"/>
      <c r="BA463" s="321"/>
      <c r="BB463" s="322"/>
      <c r="BD463" s="72"/>
      <c r="BK463" s="61"/>
    </row>
    <row r="464" spans="1:63" ht="15.75" customHeight="1">
      <c r="A464" s="215"/>
      <c r="B464" s="72"/>
      <c r="I464" s="71"/>
      <c r="J464" s="217"/>
      <c r="K464" s="217"/>
      <c r="L464" s="217"/>
      <c r="M464" s="217"/>
      <c r="N464" s="217"/>
      <c r="O464" s="323" t="s">
        <v>637</v>
      </c>
      <c r="P464" s="324"/>
      <c r="Q464" s="324"/>
      <c r="R464" s="324"/>
      <c r="S464" s="8"/>
      <c r="T464" s="8"/>
      <c r="U464" s="8"/>
      <c r="V464" s="8"/>
      <c r="W464" s="324"/>
      <c r="X464" s="324"/>
      <c r="Y464" s="321"/>
      <c r="Z464" s="320" t="s">
        <v>556</v>
      </c>
      <c r="AA464" s="321"/>
      <c r="AB464" s="321"/>
      <c r="AC464" s="321"/>
      <c r="AD464" s="321"/>
      <c r="AE464" s="321"/>
      <c r="AF464" s="321"/>
      <c r="AG464" s="321"/>
      <c r="AH464" s="321"/>
      <c r="AI464" s="321"/>
      <c r="AJ464" s="321"/>
      <c r="AK464" s="321"/>
      <c r="AL464" s="321"/>
      <c r="AM464" s="321"/>
      <c r="AN464" s="321"/>
      <c r="AO464" s="321"/>
      <c r="AP464" s="321"/>
      <c r="AQ464" s="321"/>
      <c r="AR464" s="320"/>
      <c r="AS464" s="321"/>
      <c r="AT464" s="321"/>
      <c r="AU464" s="321"/>
      <c r="AV464" s="321"/>
      <c r="AW464" s="321"/>
      <c r="AX464" s="321"/>
      <c r="AY464" s="321"/>
      <c r="AZ464" s="321"/>
      <c r="BA464" s="321"/>
      <c r="BB464" s="322"/>
      <c r="BD464" s="72"/>
      <c r="BK464" s="61"/>
    </row>
    <row r="465" spans="1:63" ht="15.75" customHeight="1">
      <c r="A465" s="215"/>
      <c r="B465" s="72"/>
      <c r="I465" s="71"/>
      <c r="J465" s="217"/>
      <c r="K465" s="217"/>
      <c r="L465" s="217"/>
      <c r="M465" s="217"/>
      <c r="N465" s="217"/>
      <c r="O465" s="323" t="s">
        <v>638</v>
      </c>
      <c r="P465" s="324"/>
      <c r="Q465" s="324"/>
      <c r="R465" s="324"/>
      <c r="S465" s="8"/>
      <c r="T465" s="8"/>
      <c r="U465" s="8"/>
      <c r="V465" s="8"/>
      <c r="W465" s="324"/>
      <c r="X465" s="324"/>
      <c r="Y465" s="321"/>
      <c r="Z465" s="320" t="s">
        <v>556</v>
      </c>
      <c r="AA465" s="321"/>
      <c r="AB465" s="321"/>
      <c r="AC465" s="321"/>
      <c r="AD465" s="321"/>
      <c r="AE465" s="321"/>
      <c r="AF465" s="321"/>
      <c r="AG465" s="321"/>
      <c r="AH465" s="321"/>
      <c r="AI465" s="321"/>
      <c r="AJ465" s="321"/>
      <c r="AK465" s="321"/>
      <c r="AL465" s="321"/>
      <c r="AM465" s="321"/>
      <c r="AN465" s="321"/>
      <c r="AO465" s="321"/>
      <c r="AP465" s="321"/>
      <c r="AQ465" s="321"/>
      <c r="AR465" s="320"/>
      <c r="AS465" s="321"/>
      <c r="AT465" s="321"/>
      <c r="AU465" s="321"/>
      <c r="AV465" s="321"/>
      <c r="AW465" s="321"/>
      <c r="AX465" s="321"/>
      <c r="AY465" s="321"/>
      <c r="AZ465" s="321"/>
      <c r="BA465" s="321"/>
      <c r="BB465" s="322"/>
      <c r="BD465" s="72"/>
      <c r="BK465" s="61"/>
    </row>
    <row r="466" spans="1:63" ht="15.75" customHeight="1">
      <c r="A466" s="215"/>
      <c r="B466" s="72"/>
      <c r="I466" s="71"/>
      <c r="J466" s="217"/>
      <c r="K466" s="217"/>
      <c r="L466" s="217"/>
      <c r="M466" s="217"/>
      <c r="N466" s="217"/>
      <c r="O466" s="323" t="s">
        <v>639</v>
      </c>
      <c r="P466" s="324"/>
      <c r="Q466" s="324"/>
      <c r="R466" s="324"/>
      <c r="S466" s="8"/>
      <c r="T466" s="8"/>
      <c r="U466" s="8"/>
      <c r="V466" s="8"/>
      <c r="W466" s="324"/>
      <c r="X466" s="324"/>
      <c r="Y466" s="321"/>
      <c r="Z466" s="320" t="s">
        <v>556</v>
      </c>
      <c r="AA466" s="321"/>
      <c r="AB466" s="321"/>
      <c r="AC466" s="321"/>
      <c r="AD466" s="321"/>
      <c r="AE466" s="321"/>
      <c r="AF466" s="321"/>
      <c r="AG466" s="321"/>
      <c r="AH466" s="321"/>
      <c r="AI466" s="321"/>
      <c r="AJ466" s="321"/>
      <c r="AK466" s="321"/>
      <c r="AL466" s="321"/>
      <c r="AM466" s="321"/>
      <c r="AN466" s="321"/>
      <c r="AO466" s="321"/>
      <c r="AP466" s="321"/>
      <c r="AQ466" s="321"/>
      <c r="AR466" s="320"/>
      <c r="AS466" s="321"/>
      <c r="AT466" s="321"/>
      <c r="AU466" s="321"/>
      <c r="AV466" s="321"/>
      <c r="AW466" s="321"/>
      <c r="AX466" s="321"/>
      <c r="AY466" s="321"/>
      <c r="AZ466" s="321"/>
      <c r="BA466" s="321"/>
      <c r="BB466" s="322"/>
      <c r="BD466" s="72"/>
      <c r="BK466" s="61"/>
    </row>
    <row r="467" spans="1:63" ht="15.75" customHeight="1">
      <c r="A467" s="215"/>
      <c r="B467" s="72"/>
      <c r="I467" s="71"/>
      <c r="J467" s="217"/>
      <c r="K467" s="217"/>
      <c r="L467" s="217"/>
      <c r="M467" s="217"/>
      <c r="N467" s="217"/>
      <c r="O467" s="323" t="s">
        <v>640</v>
      </c>
      <c r="P467" s="324"/>
      <c r="Q467" s="324"/>
      <c r="R467" s="324"/>
      <c r="S467" s="8"/>
      <c r="T467" s="8"/>
      <c r="U467" s="8"/>
      <c r="V467" s="8"/>
      <c r="W467" s="324"/>
      <c r="X467" s="324"/>
      <c r="Y467" s="321"/>
      <c r="Z467" s="320" t="s">
        <v>556</v>
      </c>
      <c r="AA467" s="321"/>
      <c r="AB467" s="321"/>
      <c r="AC467" s="321"/>
      <c r="AD467" s="321"/>
      <c r="AE467" s="321"/>
      <c r="AF467" s="321"/>
      <c r="AG467" s="321"/>
      <c r="AH467" s="321"/>
      <c r="AI467" s="321"/>
      <c r="AJ467" s="321"/>
      <c r="AK467" s="321"/>
      <c r="AL467" s="321"/>
      <c r="AM467" s="321"/>
      <c r="AN467" s="321"/>
      <c r="AO467" s="321"/>
      <c r="AP467" s="321"/>
      <c r="AQ467" s="321"/>
      <c r="AR467" s="320"/>
      <c r="AS467" s="321"/>
      <c r="AT467" s="321"/>
      <c r="AU467" s="321"/>
      <c r="AV467" s="321"/>
      <c r="AW467" s="321"/>
      <c r="AX467" s="321"/>
      <c r="AY467" s="321"/>
      <c r="AZ467" s="321"/>
      <c r="BA467" s="321"/>
      <c r="BB467" s="322"/>
      <c r="BD467" s="72"/>
      <c r="BK467" s="61"/>
    </row>
    <row r="468" spans="1:63" ht="15.75" customHeight="1">
      <c r="A468" s="215"/>
      <c r="B468" s="72"/>
      <c r="I468" s="71"/>
      <c r="J468" s="217"/>
      <c r="K468" s="217"/>
      <c r="L468" s="217"/>
      <c r="M468" s="217"/>
      <c r="N468" s="217"/>
      <c r="O468" s="323" t="s">
        <v>641</v>
      </c>
      <c r="P468" s="324"/>
      <c r="Q468" s="324"/>
      <c r="R468" s="324"/>
      <c r="S468" s="8"/>
      <c r="T468" s="8"/>
      <c r="U468" s="8"/>
      <c r="V468" s="8"/>
      <c r="W468" s="324"/>
      <c r="X468" s="324"/>
      <c r="Y468" s="321"/>
      <c r="Z468" s="320" t="s">
        <v>556</v>
      </c>
      <c r="AA468" s="321"/>
      <c r="AB468" s="321"/>
      <c r="AC468" s="321"/>
      <c r="AD468" s="321"/>
      <c r="AE468" s="321"/>
      <c r="AF468" s="321"/>
      <c r="AG468" s="321"/>
      <c r="AH468" s="321"/>
      <c r="AI468" s="321"/>
      <c r="AJ468" s="321"/>
      <c r="AK468" s="321"/>
      <c r="AL468" s="321"/>
      <c r="AM468" s="321"/>
      <c r="AN468" s="321"/>
      <c r="AO468" s="321"/>
      <c r="AP468" s="321"/>
      <c r="AQ468" s="321"/>
      <c r="AR468" s="320"/>
      <c r="AS468" s="321"/>
      <c r="AT468" s="321"/>
      <c r="AU468" s="321"/>
      <c r="AV468" s="321"/>
      <c r="AW468" s="321"/>
      <c r="AX468" s="321"/>
      <c r="AY468" s="321"/>
      <c r="AZ468" s="321"/>
      <c r="BA468" s="321"/>
      <c r="BB468" s="322"/>
      <c r="BD468" s="72"/>
      <c r="BK468" s="61"/>
    </row>
    <row r="469" spans="1:63" ht="15.75" customHeight="1">
      <c r="A469" s="215"/>
      <c r="B469" s="72"/>
      <c r="I469" s="71"/>
      <c r="J469" s="217"/>
      <c r="K469" s="217"/>
      <c r="L469" s="217"/>
      <c r="M469" s="217"/>
      <c r="N469" s="217"/>
      <c r="O469" s="323" t="s">
        <v>642</v>
      </c>
      <c r="P469" s="324"/>
      <c r="Q469" s="324"/>
      <c r="R469" s="324"/>
      <c r="S469" s="8"/>
      <c r="T469" s="8"/>
      <c r="U469" s="8"/>
      <c r="V469" s="8"/>
      <c r="W469" s="324"/>
      <c r="X469" s="324"/>
      <c r="Y469" s="321"/>
      <c r="Z469" s="320" t="s">
        <v>556</v>
      </c>
      <c r="AA469" s="321"/>
      <c r="AB469" s="321"/>
      <c r="AC469" s="321"/>
      <c r="AD469" s="321"/>
      <c r="AE469" s="321"/>
      <c r="AF469" s="321"/>
      <c r="AG469" s="321"/>
      <c r="AH469" s="321"/>
      <c r="AI469" s="321"/>
      <c r="AJ469" s="321"/>
      <c r="AK469" s="321"/>
      <c r="AL469" s="321"/>
      <c r="AM469" s="321"/>
      <c r="AN469" s="321"/>
      <c r="AO469" s="321"/>
      <c r="AP469" s="321"/>
      <c r="AQ469" s="321"/>
      <c r="AR469" s="320"/>
      <c r="AS469" s="321"/>
      <c r="AT469" s="321"/>
      <c r="AU469" s="321"/>
      <c r="AV469" s="321"/>
      <c r="AW469" s="321"/>
      <c r="AX469" s="321"/>
      <c r="AY469" s="321"/>
      <c r="AZ469" s="321"/>
      <c r="BA469" s="321"/>
      <c r="BB469" s="322"/>
      <c r="BD469" s="72"/>
      <c r="BK469" s="61"/>
    </row>
    <row r="470" spans="1:63" ht="15.75" customHeight="1">
      <c r="A470" s="215"/>
      <c r="B470" s="72"/>
      <c r="I470" s="71"/>
      <c r="J470" s="217"/>
      <c r="K470" s="217"/>
      <c r="L470" s="217"/>
      <c r="M470" s="217"/>
      <c r="N470" s="217"/>
      <c r="O470" s="323" t="s">
        <v>643</v>
      </c>
      <c r="P470" s="324"/>
      <c r="Q470" s="324"/>
      <c r="R470" s="324"/>
      <c r="S470" s="8"/>
      <c r="T470" s="8"/>
      <c r="U470" s="8"/>
      <c r="V470" s="8"/>
      <c r="W470" s="324"/>
      <c r="X470" s="324"/>
      <c r="Y470" s="321"/>
      <c r="Z470" s="320" t="s">
        <v>556</v>
      </c>
      <c r="AA470" s="321"/>
      <c r="AB470" s="321"/>
      <c r="AC470" s="321"/>
      <c r="AD470" s="321"/>
      <c r="AE470" s="321"/>
      <c r="AF470" s="321"/>
      <c r="AG470" s="321"/>
      <c r="AH470" s="321"/>
      <c r="AI470" s="321"/>
      <c r="AJ470" s="321"/>
      <c r="AK470" s="321"/>
      <c r="AL470" s="321"/>
      <c r="AM470" s="321"/>
      <c r="AN470" s="321"/>
      <c r="AO470" s="321"/>
      <c r="AP470" s="321"/>
      <c r="AQ470" s="321"/>
      <c r="AR470" s="320"/>
      <c r="AS470" s="321"/>
      <c r="AT470" s="321"/>
      <c r="AU470" s="321"/>
      <c r="AV470" s="321"/>
      <c r="AW470" s="321"/>
      <c r="AX470" s="321"/>
      <c r="AY470" s="321"/>
      <c r="AZ470" s="321"/>
      <c r="BA470" s="321"/>
      <c r="BB470" s="322"/>
      <c r="BD470" s="72"/>
      <c r="BK470" s="61"/>
    </row>
    <row r="471" spans="1:63" ht="15.75" customHeight="1">
      <c r="A471" s="215"/>
      <c r="B471" s="72"/>
      <c r="I471" s="71"/>
      <c r="J471" s="217"/>
      <c r="K471" s="217"/>
      <c r="L471" s="217"/>
      <c r="M471" s="217"/>
      <c r="N471" s="217"/>
      <c r="O471" s="323" t="s">
        <v>644</v>
      </c>
      <c r="P471" s="324"/>
      <c r="Q471" s="324"/>
      <c r="R471" s="324"/>
      <c r="S471" s="8"/>
      <c r="T471" s="8"/>
      <c r="U471" s="8"/>
      <c r="V471" s="8"/>
      <c r="W471" s="324"/>
      <c r="X471" s="324"/>
      <c r="Y471" s="321"/>
      <c r="Z471" s="320" t="s">
        <v>556</v>
      </c>
      <c r="AA471" s="321"/>
      <c r="AB471" s="321"/>
      <c r="AC471" s="321"/>
      <c r="AD471" s="321"/>
      <c r="AE471" s="321"/>
      <c r="AF471" s="321"/>
      <c r="AG471" s="321"/>
      <c r="AH471" s="321"/>
      <c r="AI471" s="321"/>
      <c r="AJ471" s="321"/>
      <c r="AK471" s="321"/>
      <c r="AL471" s="321"/>
      <c r="AM471" s="321"/>
      <c r="AN471" s="321"/>
      <c r="AO471" s="321"/>
      <c r="AP471" s="321"/>
      <c r="AQ471" s="321"/>
      <c r="AR471" s="320"/>
      <c r="AS471" s="321"/>
      <c r="AT471" s="321"/>
      <c r="AU471" s="321"/>
      <c r="AV471" s="321"/>
      <c r="AW471" s="321"/>
      <c r="AX471" s="321"/>
      <c r="AY471" s="321"/>
      <c r="AZ471" s="321"/>
      <c r="BA471" s="321"/>
      <c r="BB471" s="322"/>
      <c r="BD471" s="72"/>
      <c r="BK471" s="61"/>
    </row>
    <row r="472" spans="1:63" ht="15.75" customHeight="1">
      <c r="A472" s="215"/>
      <c r="B472" s="72"/>
      <c r="I472" s="71"/>
      <c r="J472" s="217"/>
      <c r="K472" s="217"/>
      <c r="L472" s="217"/>
      <c r="M472" s="217"/>
      <c r="N472" s="217"/>
      <c r="O472" s="323" t="s">
        <v>645</v>
      </c>
      <c r="P472" s="324"/>
      <c r="Q472" s="324"/>
      <c r="R472" s="324"/>
      <c r="S472" s="8"/>
      <c r="T472" s="8"/>
      <c r="U472" s="8"/>
      <c r="V472" s="8"/>
      <c r="W472" s="324"/>
      <c r="X472" s="324"/>
      <c r="Y472" s="321"/>
      <c r="Z472" s="320" t="s">
        <v>556</v>
      </c>
      <c r="AA472" s="321"/>
      <c r="AB472" s="321"/>
      <c r="AC472" s="321"/>
      <c r="AD472" s="321"/>
      <c r="AE472" s="321"/>
      <c r="AF472" s="321"/>
      <c r="AG472" s="321"/>
      <c r="AH472" s="321"/>
      <c r="AI472" s="321"/>
      <c r="AJ472" s="321"/>
      <c r="AK472" s="321"/>
      <c r="AL472" s="321"/>
      <c r="AM472" s="321"/>
      <c r="AN472" s="321"/>
      <c r="AO472" s="321"/>
      <c r="AP472" s="321"/>
      <c r="AQ472" s="321"/>
      <c r="AR472" s="320"/>
      <c r="AS472" s="321"/>
      <c r="AT472" s="321"/>
      <c r="AU472" s="321"/>
      <c r="AV472" s="321"/>
      <c r="AW472" s="321"/>
      <c r="AX472" s="321"/>
      <c r="AY472" s="321"/>
      <c r="AZ472" s="321"/>
      <c r="BA472" s="321"/>
      <c r="BB472" s="322"/>
      <c r="BD472" s="72"/>
      <c r="BK472" s="61"/>
    </row>
    <row r="473" spans="1:63" ht="15.75" customHeight="1">
      <c r="A473" s="215"/>
      <c r="B473" s="72"/>
      <c r="I473" s="71"/>
      <c r="J473" s="217"/>
      <c r="K473" s="217"/>
      <c r="L473" s="217"/>
      <c r="M473" s="217"/>
      <c r="N473" s="217"/>
      <c r="O473" s="323" t="s">
        <v>568</v>
      </c>
      <c r="P473" s="324"/>
      <c r="Q473" s="324"/>
      <c r="R473" s="324"/>
      <c r="S473" s="8"/>
      <c r="T473" s="8"/>
      <c r="U473" s="8"/>
      <c r="V473" s="8"/>
      <c r="W473" s="324"/>
      <c r="X473" s="324"/>
      <c r="Y473" s="321"/>
      <c r="Z473" s="320" t="s">
        <v>556</v>
      </c>
      <c r="AA473" s="321"/>
      <c r="AB473" s="321"/>
      <c r="AC473" s="321"/>
      <c r="AD473" s="321"/>
      <c r="AE473" s="321"/>
      <c r="AF473" s="321"/>
      <c r="AG473" s="321"/>
      <c r="AH473" s="321"/>
      <c r="AI473" s="321"/>
      <c r="AJ473" s="321"/>
      <c r="AK473" s="321"/>
      <c r="AL473" s="321"/>
      <c r="AM473" s="321"/>
      <c r="AN473" s="321"/>
      <c r="AO473" s="321"/>
      <c r="AP473" s="321"/>
      <c r="AQ473" s="321"/>
      <c r="AR473" s="320"/>
      <c r="AS473" s="321"/>
      <c r="AT473" s="321"/>
      <c r="AU473" s="321"/>
      <c r="AV473" s="321"/>
      <c r="AW473" s="321"/>
      <c r="AX473" s="321"/>
      <c r="AY473" s="321"/>
      <c r="AZ473" s="321"/>
      <c r="BA473" s="321"/>
      <c r="BB473" s="322"/>
      <c r="BD473" s="72"/>
      <c r="BK473" s="61"/>
    </row>
    <row r="474" spans="1:63" ht="15.75" customHeight="1">
      <c r="A474" s="215"/>
      <c r="B474" s="72"/>
      <c r="I474" s="71"/>
      <c r="J474" s="217"/>
      <c r="K474" s="217"/>
      <c r="L474" s="217"/>
      <c r="M474" s="217"/>
      <c r="N474" s="217"/>
      <c r="O474" s="323" t="s">
        <v>569</v>
      </c>
      <c r="P474" s="324"/>
      <c r="Q474" s="324"/>
      <c r="R474" s="324"/>
      <c r="S474" s="8"/>
      <c r="T474" s="8"/>
      <c r="U474" s="8"/>
      <c r="V474" s="8"/>
      <c r="W474" s="324"/>
      <c r="X474" s="324"/>
      <c r="Y474" s="321"/>
      <c r="Z474" s="320" t="s">
        <v>556</v>
      </c>
      <c r="AA474" s="321"/>
      <c r="AB474" s="321"/>
      <c r="AC474" s="321"/>
      <c r="AD474" s="321"/>
      <c r="AE474" s="321"/>
      <c r="AF474" s="321"/>
      <c r="AG474" s="321"/>
      <c r="AH474" s="321"/>
      <c r="AI474" s="321"/>
      <c r="AJ474" s="321"/>
      <c r="AK474" s="321"/>
      <c r="AL474" s="321"/>
      <c r="AM474" s="321"/>
      <c r="AN474" s="321"/>
      <c r="AO474" s="321"/>
      <c r="AP474" s="321"/>
      <c r="AQ474" s="321"/>
      <c r="AR474" s="320"/>
      <c r="AS474" s="321"/>
      <c r="AT474" s="321"/>
      <c r="AU474" s="321"/>
      <c r="AV474" s="321"/>
      <c r="AW474" s="321"/>
      <c r="AX474" s="321"/>
      <c r="AY474" s="321"/>
      <c r="AZ474" s="321"/>
      <c r="BA474" s="321"/>
      <c r="BB474" s="322"/>
      <c r="BD474" s="72"/>
      <c r="BK474" s="61"/>
    </row>
    <row r="475" spans="1:63" ht="15.75" customHeight="1">
      <c r="A475" s="215"/>
      <c r="B475" s="72"/>
      <c r="I475" s="71"/>
      <c r="J475" s="217"/>
      <c r="K475" s="217"/>
      <c r="L475" s="217"/>
      <c r="M475" s="217"/>
      <c r="N475" s="217"/>
      <c r="O475" s="323" t="s">
        <v>570</v>
      </c>
      <c r="P475" s="324"/>
      <c r="Q475" s="324"/>
      <c r="R475" s="324"/>
      <c r="S475" s="8"/>
      <c r="T475" s="8"/>
      <c r="U475" s="8"/>
      <c r="V475" s="8"/>
      <c r="W475" s="324"/>
      <c r="X475" s="324"/>
      <c r="Y475" s="321"/>
      <c r="Z475" s="320" t="s">
        <v>556</v>
      </c>
      <c r="AA475" s="321"/>
      <c r="AB475" s="321"/>
      <c r="AC475" s="321"/>
      <c r="AD475" s="321"/>
      <c r="AE475" s="321"/>
      <c r="AF475" s="321"/>
      <c r="AG475" s="321"/>
      <c r="AH475" s="321"/>
      <c r="AI475" s="321"/>
      <c r="AJ475" s="321"/>
      <c r="AK475" s="321"/>
      <c r="AL475" s="321"/>
      <c r="AM475" s="321"/>
      <c r="AN475" s="321"/>
      <c r="AO475" s="321"/>
      <c r="AP475" s="321"/>
      <c r="AQ475" s="321"/>
      <c r="AR475" s="320"/>
      <c r="AS475" s="321"/>
      <c r="AT475" s="321"/>
      <c r="AU475" s="321"/>
      <c r="AV475" s="321"/>
      <c r="AW475" s="321"/>
      <c r="AX475" s="321"/>
      <c r="AY475" s="321"/>
      <c r="AZ475" s="321"/>
      <c r="BA475" s="321"/>
      <c r="BB475" s="322"/>
      <c r="BD475" s="72"/>
      <c r="BK475" s="61"/>
    </row>
    <row r="476" spans="1:63" ht="15.75" customHeight="1">
      <c r="A476" s="215"/>
      <c r="B476" s="72"/>
      <c r="I476" s="71"/>
      <c r="J476" s="217"/>
      <c r="K476" s="217"/>
      <c r="L476" s="217"/>
      <c r="M476" s="217"/>
      <c r="N476" s="217"/>
      <c r="O476" s="323" t="s">
        <v>646</v>
      </c>
      <c r="P476" s="324"/>
      <c r="Q476" s="324"/>
      <c r="R476" s="324"/>
      <c r="S476" s="8"/>
      <c r="T476" s="8"/>
      <c r="U476" s="8"/>
      <c r="V476" s="8"/>
      <c r="W476" s="324"/>
      <c r="X476" s="324"/>
      <c r="Y476" s="321"/>
      <c r="Z476" s="320" t="s">
        <v>556</v>
      </c>
      <c r="AA476" s="321"/>
      <c r="AB476" s="321"/>
      <c r="AC476" s="321"/>
      <c r="AD476" s="321"/>
      <c r="AE476" s="321"/>
      <c r="AF476" s="321"/>
      <c r="AG476" s="321"/>
      <c r="AH476" s="321"/>
      <c r="AI476" s="321"/>
      <c r="AJ476" s="321"/>
      <c r="AK476" s="321"/>
      <c r="AL476" s="321"/>
      <c r="AM476" s="321"/>
      <c r="AN476" s="321"/>
      <c r="AO476" s="321"/>
      <c r="AP476" s="321"/>
      <c r="AQ476" s="321"/>
      <c r="AR476" s="320"/>
      <c r="AS476" s="321"/>
      <c r="AT476" s="321"/>
      <c r="AU476" s="321"/>
      <c r="AV476" s="321"/>
      <c r="AW476" s="321"/>
      <c r="AX476" s="321"/>
      <c r="AY476" s="321"/>
      <c r="AZ476" s="321"/>
      <c r="BA476" s="321"/>
      <c r="BB476" s="322"/>
      <c r="BD476" s="72"/>
      <c r="BK476" s="61"/>
    </row>
    <row r="477" spans="1:63" ht="15.75" customHeight="1">
      <c r="A477" s="215"/>
      <c r="B477" s="72"/>
      <c r="I477" s="71"/>
      <c r="J477" s="217"/>
      <c r="K477" s="217"/>
      <c r="L477" s="217"/>
      <c r="M477" s="217"/>
      <c r="N477" s="217"/>
      <c r="O477" s="217"/>
      <c r="BD477" s="72"/>
      <c r="BK477" s="61"/>
    </row>
    <row r="478" spans="1:63" ht="15.75" customHeight="1">
      <c r="A478" s="215"/>
      <c r="B478" s="72"/>
      <c r="I478" s="71"/>
      <c r="J478" s="336" t="s">
        <v>305</v>
      </c>
      <c r="K478" s="334" t="s">
        <v>658</v>
      </c>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c r="AI478" s="334"/>
      <c r="AJ478" s="334"/>
      <c r="AK478" s="334"/>
      <c r="AL478" s="334"/>
      <c r="AM478" s="334"/>
      <c r="AN478" s="334"/>
      <c r="AO478" s="334"/>
      <c r="AP478" s="334"/>
      <c r="AQ478" s="334"/>
      <c r="AR478" s="334"/>
      <c r="BD478" s="216" t="s">
        <v>261</v>
      </c>
      <c r="BK478" s="61"/>
    </row>
    <row r="479" spans="1:63" ht="15.75" customHeight="1">
      <c r="A479" s="215"/>
      <c r="B479" s="72"/>
      <c r="I479" s="71"/>
      <c r="J479" s="217"/>
      <c r="K479" s="217"/>
      <c r="L479" s="217"/>
      <c r="M479" s="217"/>
      <c r="N479" s="217"/>
      <c r="O479" s="217"/>
      <c r="BD479" s="72"/>
      <c r="BK479" s="61"/>
    </row>
    <row r="480" spans="1:63" ht="15.75" customHeight="1">
      <c r="A480" s="215"/>
      <c r="B480" s="72"/>
      <c r="I480" s="71"/>
      <c r="J480" s="216" t="s">
        <v>659</v>
      </c>
      <c r="K480" s="11" t="s">
        <v>306</v>
      </c>
      <c r="BD480" s="216" t="s">
        <v>258</v>
      </c>
      <c r="BK480" s="61"/>
    </row>
    <row r="481" spans="1:63" ht="15.75" customHeight="1">
      <c r="A481" s="215"/>
      <c r="B481" s="72"/>
      <c r="I481" s="71"/>
      <c r="J481" s="217"/>
      <c r="K481" s="217" t="s">
        <v>259</v>
      </c>
      <c r="L481" s="217"/>
      <c r="M481" s="217"/>
      <c r="N481" s="217"/>
      <c r="O481" s="217"/>
      <c r="BD481" s="72"/>
      <c r="BK481" s="61"/>
    </row>
    <row r="482" spans="1:63" ht="15.75" customHeight="1" thickBot="1">
      <c r="A482" s="312"/>
      <c r="B482" s="313"/>
      <c r="C482" s="84"/>
      <c r="D482" s="84"/>
      <c r="E482" s="84"/>
      <c r="F482" s="84"/>
      <c r="G482" s="84"/>
      <c r="H482" s="84"/>
      <c r="I482" s="314"/>
      <c r="J482" s="315"/>
      <c r="K482" s="315"/>
      <c r="L482" s="315"/>
      <c r="M482" s="315"/>
      <c r="N482" s="315"/>
      <c r="O482" s="315"/>
      <c r="P482" s="84"/>
      <c r="Q482" s="84"/>
      <c r="R482" s="84"/>
      <c r="S482" s="84"/>
      <c r="T482" s="84"/>
      <c r="U482" s="84"/>
      <c r="V482" s="84"/>
      <c r="W482" s="84"/>
      <c r="X482" s="84"/>
      <c r="Y482" s="84"/>
      <c r="Z482" s="84"/>
      <c r="AA482" s="84"/>
      <c r="AB482" s="84"/>
      <c r="AC482" s="84"/>
      <c r="AD482" s="84"/>
      <c r="AE482" s="84"/>
      <c r="AF482" s="84"/>
      <c r="AG482" s="84"/>
      <c r="AH482" s="84"/>
      <c r="AI482" s="84"/>
      <c r="AJ482" s="84"/>
      <c r="AK482" s="84"/>
      <c r="AL482" s="84"/>
      <c r="AM482" s="84"/>
      <c r="AN482" s="84"/>
      <c r="AO482" s="84"/>
      <c r="AP482" s="84"/>
      <c r="AQ482" s="84"/>
      <c r="AR482" s="84"/>
      <c r="AS482" s="84"/>
      <c r="AT482" s="84"/>
      <c r="AU482" s="84"/>
      <c r="AV482" s="84"/>
      <c r="AW482" s="84"/>
      <c r="AX482" s="84"/>
      <c r="AY482" s="84"/>
      <c r="AZ482" s="84"/>
      <c r="BA482" s="84"/>
      <c r="BB482" s="84"/>
      <c r="BC482" s="84"/>
      <c r="BD482" s="313"/>
      <c r="BE482" s="84"/>
      <c r="BF482" s="84"/>
      <c r="BG482" s="84"/>
      <c r="BH482" s="84"/>
      <c r="BI482" s="84"/>
      <c r="BJ482" s="84"/>
      <c r="BK482" s="86"/>
    </row>
  </sheetData>
  <mergeCells count="23">
    <mergeCell ref="AR357:BB357"/>
    <mergeCell ref="AR358:BB358"/>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BK88"/>
  <sheetViews>
    <sheetView showGridLines="0" showZeros="0" view="pageBreakPreview" zoomScaleNormal="100" zoomScaleSheetLayoutView="100" workbookViewId="0">
      <selection activeCell="AJ1" sqref="AJ1:AR1"/>
    </sheetView>
  </sheetViews>
  <sheetFormatPr defaultColWidth="2.125" defaultRowHeight="15.75" customHeight="1"/>
  <cols>
    <col min="1" max="1" width="2.125" style="101" customWidth="1"/>
    <col min="2" max="2" width="2.125" style="11" customWidth="1"/>
    <col min="3" max="3" width="2.375" style="11" customWidth="1"/>
    <col min="4" max="4" width="2.125" style="11" customWidth="1"/>
    <col min="5" max="5" width="3" style="11" customWidth="1"/>
    <col min="6" max="63" width="2.125" style="11" customWidth="1"/>
    <col min="64" max="16384" width="2.125" style="11"/>
  </cols>
  <sheetData>
    <row r="1" spans="1:63" s="7" customFormat="1" ht="15.7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75" customHeight="1">
      <c r="A2" s="468"/>
      <c r="B2" s="469"/>
      <c r="C2" s="469"/>
      <c r="D2" s="469"/>
      <c r="E2" s="469"/>
      <c r="F2" s="469"/>
      <c r="G2" s="469"/>
      <c r="H2" s="469"/>
      <c r="I2" s="469"/>
      <c r="J2" s="470"/>
      <c r="K2" s="498" t="str">
        <f>文書名_カスタマイズ</f>
        <v>バッチ機能</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文書番号_カスタマイズ</f>
        <v>J052-0-0001</v>
      </c>
      <c r="AT2" s="506"/>
      <c r="AU2" s="506"/>
      <c r="AV2" s="506"/>
      <c r="AW2" s="506"/>
      <c r="AX2" s="506"/>
      <c r="AY2" s="506"/>
      <c r="AZ2" s="508" t="str">
        <f>Ver.</f>
        <v>7.0.1</v>
      </c>
      <c r="BA2" s="440"/>
      <c r="BB2" s="440"/>
      <c r="BC2" s="440"/>
      <c r="BD2" s="440"/>
      <c r="BE2" s="441"/>
      <c r="BF2" s="654">
        <f>Rev.</f>
        <v>0.1</v>
      </c>
      <c r="BG2" s="655"/>
      <c r="BH2" s="655"/>
      <c r="BI2" s="655"/>
      <c r="BJ2" s="655"/>
      <c r="BK2" s="656"/>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657"/>
      <c r="BG3" s="718"/>
      <c r="BH3" s="718"/>
      <c r="BI3" s="718"/>
      <c r="BJ3" s="718"/>
      <c r="BK3" s="658"/>
    </row>
    <row r="4" spans="1:63" s="7" customFormat="1" ht="6.75" customHeight="1" thickBot="1">
      <c r="B4" s="3"/>
      <c r="C4" s="4"/>
      <c r="D4" s="4"/>
      <c r="E4" s="4"/>
      <c r="F4" s="5"/>
      <c r="G4" s="5"/>
      <c r="H4" s="5"/>
      <c r="I4" s="5"/>
      <c r="J4" s="4"/>
      <c r="K4" s="5"/>
      <c r="L4" s="5"/>
      <c r="M4" s="5"/>
      <c r="N4" s="5"/>
      <c r="O4" s="5"/>
      <c r="P4" s="5"/>
      <c r="Q4" s="6"/>
    </row>
    <row r="5" spans="1:63" ht="15.75" customHeight="1">
      <c r="A5" s="225" t="s">
        <v>251</v>
      </c>
      <c r="B5" s="226"/>
      <c r="C5" s="226"/>
      <c r="D5" s="226"/>
      <c r="E5" s="227"/>
      <c r="F5" s="228"/>
      <c r="G5" s="229">
        <v>1</v>
      </c>
      <c r="H5" s="270"/>
      <c r="I5" s="234"/>
      <c r="J5" s="234"/>
      <c r="K5" s="234"/>
      <c r="L5" s="234"/>
      <c r="M5" s="234"/>
      <c r="N5" s="234"/>
      <c r="O5" s="234"/>
      <c r="P5" s="234"/>
      <c r="Q5" s="234"/>
      <c r="R5" s="271"/>
      <c r="S5" s="230" t="s">
        <v>660</v>
      </c>
      <c r="T5" s="231"/>
      <c r="U5" s="231"/>
      <c r="V5" s="231"/>
      <c r="W5" s="231"/>
      <c r="X5" s="231"/>
      <c r="Y5" s="232"/>
      <c r="Z5" s="233" t="s">
        <v>122</v>
      </c>
      <c r="AA5" s="233"/>
      <c r="AB5" s="233"/>
      <c r="AC5" s="233"/>
      <c r="AD5" s="234"/>
      <c r="AE5" s="233"/>
      <c r="AF5" s="233"/>
      <c r="AG5" s="233"/>
      <c r="AH5" s="235" t="s">
        <v>69</v>
      </c>
      <c r="AI5" s="231"/>
      <c r="AJ5" s="232"/>
      <c r="AK5" s="233" t="s">
        <v>661</v>
      </c>
      <c r="AL5" s="233"/>
      <c r="AM5" s="233"/>
      <c r="AN5" s="233"/>
      <c r="AO5" s="233"/>
      <c r="AP5" s="233"/>
      <c r="AQ5" s="233"/>
      <c r="AR5" s="233"/>
      <c r="AS5" s="233"/>
      <c r="AT5" s="233"/>
      <c r="AU5" s="233"/>
      <c r="AV5" s="233"/>
      <c r="AW5" s="233"/>
      <c r="AX5" s="233"/>
      <c r="AY5" s="233"/>
      <c r="AZ5" s="233"/>
      <c r="BA5" s="233"/>
      <c r="BB5" s="233"/>
      <c r="BC5" s="233"/>
      <c r="BD5" s="233"/>
      <c r="BE5" s="233"/>
      <c r="BF5" s="233"/>
      <c r="BG5" s="233"/>
      <c r="BH5" s="233"/>
      <c r="BI5" s="233"/>
      <c r="BJ5" s="233"/>
      <c r="BK5" s="236"/>
    </row>
    <row r="6" spans="1:63" ht="15.75" customHeight="1">
      <c r="A6" s="237" t="s">
        <v>662</v>
      </c>
      <c r="B6" s="238"/>
      <c r="C6" s="238"/>
      <c r="D6" s="239"/>
      <c r="E6" s="240" t="s">
        <v>663</v>
      </c>
      <c r="F6" s="241"/>
      <c r="G6" s="241"/>
      <c r="H6" s="242"/>
      <c r="I6" s="242"/>
      <c r="J6" s="242"/>
      <c r="K6" s="242"/>
      <c r="L6" s="243"/>
      <c r="M6" s="243"/>
      <c r="N6" s="243"/>
      <c r="O6" s="243"/>
      <c r="P6" s="243"/>
      <c r="Q6" s="243"/>
      <c r="R6" s="243"/>
      <c r="S6" s="243"/>
      <c r="T6" s="243"/>
      <c r="U6" s="243"/>
      <c r="V6" s="243"/>
      <c r="W6" s="243"/>
      <c r="X6" s="243"/>
      <c r="Y6" s="243"/>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4"/>
    </row>
    <row r="7" spans="1:63" ht="15.75" customHeight="1">
      <c r="A7" s="245" t="s">
        <v>251</v>
      </c>
      <c r="B7" s="246"/>
      <c r="C7" s="247" t="s">
        <v>664</v>
      </c>
      <c r="D7" s="248"/>
      <c r="E7" s="249"/>
      <c r="F7" s="249"/>
      <c r="G7" s="249"/>
      <c r="H7" s="249"/>
      <c r="I7" s="249"/>
      <c r="J7" s="249"/>
      <c r="K7" s="249"/>
      <c r="L7" s="249"/>
      <c r="M7" s="249"/>
      <c r="N7" s="249"/>
      <c r="O7" s="249"/>
      <c r="P7" s="249"/>
      <c r="Q7" s="249"/>
      <c r="R7" s="249"/>
      <c r="S7" s="249"/>
      <c r="T7" s="249"/>
      <c r="U7" s="249"/>
      <c r="V7" s="247" t="s">
        <v>665</v>
      </c>
      <c r="W7" s="248"/>
      <c r="X7" s="249"/>
      <c r="Y7" s="249"/>
      <c r="Z7" s="249"/>
      <c r="AA7" s="249"/>
      <c r="AB7" s="249"/>
      <c r="AC7" s="249"/>
      <c r="AD7" s="249"/>
      <c r="AE7" s="249"/>
      <c r="AF7" s="246"/>
      <c r="AG7" s="246"/>
      <c r="AH7" s="246"/>
      <c r="AI7" s="246"/>
      <c r="AJ7" s="246"/>
      <c r="AK7" s="246"/>
      <c r="AL7" s="246"/>
      <c r="AM7" s="246"/>
      <c r="AN7" s="246"/>
      <c r="AO7" s="246"/>
      <c r="AP7" s="246"/>
      <c r="AQ7" s="250" t="s">
        <v>229</v>
      </c>
      <c r="AR7" s="246"/>
      <c r="AS7" s="246"/>
      <c r="AT7" s="246"/>
      <c r="AU7" s="246"/>
      <c r="AV7" s="246"/>
      <c r="AW7" s="246"/>
      <c r="AX7" s="246"/>
      <c r="AY7" s="246"/>
      <c r="AZ7" s="246"/>
      <c r="BA7" s="246"/>
      <c r="BB7" s="246"/>
      <c r="BC7" s="246"/>
      <c r="BD7" s="246"/>
      <c r="BE7" s="246"/>
      <c r="BF7" s="246"/>
      <c r="BG7" s="246"/>
      <c r="BH7" s="246"/>
      <c r="BI7" s="246"/>
      <c r="BJ7" s="246"/>
      <c r="BK7" s="251"/>
    </row>
    <row r="8" spans="1:63" ht="15.75" customHeight="1" thickBot="1">
      <c r="A8" s="252"/>
      <c r="B8" s="253"/>
      <c r="C8" s="254" t="s">
        <v>666</v>
      </c>
      <c r="D8" s="255" t="s">
        <v>667</v>
      </c>
      <c r="E8" s="256"/>
      <c r="F8" s="256"/>
      <c r="G8" s="256"/>
      <c r="H8" s="256"/>
      <c r="I8" s="256"/>
      <c r="J8" s="257"/>
      <c r="K8" s="255" t="s">
        <v>228</v>
      </c>
      <c r="L8" s="256"/>
      <c r="M8" s="256"/>
      <c r="N8" s="256"/>
      <c r="O8" s="256"/>
      <c r="P8" s="256"/>
      <c r="Q8" s="256"/>
      <c r="R8" s="256"/>
      <c r="S8" s="256"/>
      <c r="T8" s="256"/>
      <c r="U8" s="257"/>
      <c r="V8" s="254" t="s">
        <v>666</v>
      </c>
      <c r="W8" s="255" t="s">
        <v>667</v>
      </c>
      <c r="X8" s="256"/>
      <c r="Y8" s="256"/>
      <c r="Z8" s="256"/>
      <c r="AA8" s="256"/>
      <c r="AB8" s="256"/>
      <c r="AC8" s="256"/>
      <c r="AD8" s="256"/>
      <c r="AE8" s="257"/>
      <c r="AF8" s="255" t="s">
        <v>228</v>
      </c>
      <c r="AG8" s="256"/>
      <c r="AH8" s="256"/>
      <c r="AI8" s="256"/>
      <c r="AJ8" s="256"/>
      <c r="AK8" s="256"/>
      <c r="AL8" s="256"/>
      <c r="AM8" s="256"/>
      <c r="AN8" s="256"/>
      <c r="AO8" s="256"/>
      <c r="AP8" s="257"/>
      <c r="AQ8" s="258"/>
      <c r="AR8" s="253"/>
      <c r="AS8" s="253"/>
      <c r="AT8" s="253"/>
      <c r="AU8" s="253"/>
      <c r="AV8" s="253"/>
      <c r="AW8" s="253"/>
      <c r="AX8" s="253"/>
      <c r="AY8" s="253"/>
      <c r="AZ8" s="253"/>
      <c r="BA8" s="253"/>
      <c r="BB8" s="253"/>
      <c r="BC8" s="253"/>
      <c r="BD8" s="253"/>
      <c r="BE8" s="253"/>
      <c r="BF8" s="253"/>
      <c r="BG8" s="253"/>
      <c r="BH8" s="253"/>
      <c r="BI8" s="253"/>
      <c r="BJ8" s="253"/>
      <c r="BK8" s="259"/>
    </row>
    <row r="9" spans="1:63" ht="44.1" customHeight="1" thickTop="1">
      <c r="A9" s="674">
        <v>1</v>
      </c>
      <c r="B9" s="675"/>
      <c r="C9" s="260" t="s">
        <v>668</v>
      </c>
      <c r="D9" s="261" t="s">
        <v>669</v>
      </c>
      <c r="E9" s="262"/>
      <c r="F9" s="262"/>
      <c r="G9" s="262"/>
      <c r="H9" s="262"/>
      <c r="I9" s="262"/>
      <c r="J9" s="263"/>
      <c r="K9" s="261" t="s">
        <v>277</v>
      </c>
      <c r="L9" s="262"/>
      <c r="M9" s="262"/>
      <c r="N9" s="262"/>
      <c r="O9" s="262"/>
      <c r="P9" s="262"/>
      <c r="Q9" s="262"/>
      <c r="R9" s="262"/>
      <c r="S9" s="262"/>
      <c r="T9" s="262"/>
      <c r="U9" s="263"/>
      <c r="V9" s="264" t="s">
        <v>668</v>
      </c>
      <c r="W9" s="261" t="s">
        <v>670</v>
      </c>
      <c r="X9" s="262"/>
      <c r="Y9" s="262"/>
      <c r="Z9" s="262"/>
      <c r="AA9" s="262"/>
      <c r="AB9" s="262"/>
      <c r="AC9" s="262"/>
      <c r="AD9" s="262"/>
      <c r="AE9" s="263"/>
      <c r="AF9" s="261" t="s">
        <v>671</v>
      </c>
      <c r="AG9" s="262"/>
      <c r="AH9" s="262"/>
      <c r="AI9" s="262"/>
      <c r="AJ9" s="262"/>
      <c r="AK9" s="262"/>
      <c r="AL9" s="262"/>
      <c r="AM9" s="262"/>
      <c r="AN9" s="262"/>
      <c r="AO9" s="262"/>
      <c r="AP9" s="263"/>
      <c r="AQ9" s="678" t="s">
        <v>672</v>
      </c>
      <c r="AR9" s="679"/>
      <c r="AS9" s="679"/>
      <c r="AT9" s="679"/>
      <c r="AU9" s="679"/>
      <c r="AV9" s="679"/>
      <c r="AW9" s="679"/>
      <c r="AX9" s="679"/>
      <c r="AY9" s="679"/>
      <c r="AZ9" s="679"/>
      <c r="BA9" s="679"/>
      <c r="BB9" s="679"/>
      <c r="BC9" s="679"/>
      <c r="BD9" s="679"/>
      <c r="BE9" s="679"/>
      <c r="BF9" s="679"/>
      <c r="BG9" s="679"/>
      <c r="BH9" s="679"/>
      <c r="BI9" s="679"/>
      <c r="BJ9" s="679"/>
      <c r="BK9" s="680"/>
    </row>
    <row r="10" spans="1:63" ht="13.5" customHeight="1">
      <c r="A10" s="676">
        <v>2</v>
      </c>
      <c r="B10" s="677"/>
      <c r="C10" s="279" t="s">
        <v>668</v>
      </c>
      <c r="D10" s="69" t="s">
        <v>669</v>
      </c>
      <c r="E10" s="67"/>
      <c r="F10" s="67"/>
      <c r="G10" s="67"/>
      <c r="H10" s="67"/>
      <c r="I10" s="67"/>
      <c r="J10" s="68"/>
      <c r="K10" s="69" t="s">
        <v>673</v>
      </c>
      <c r="L10" s="67"/>
      <c r="M10" s="67"/>
      <c r="N10" s="67"/>
      <c r="O10" s="67"/>
      <c r="P10" s="67"/>
      <c r="Q10" s="67"/>
      <c r="R10" s="67"/>
      <c r="S10" s="67"/>
      <c r="T10" s="67"/>
      <c r="U10" s="68"/>
      <c r="V10" s="311" t="s">
        <v>668</v>
      </c>
      <c r="W10" s="69" t="s">
        <v>670</v>
      </c>
      <c r="X10" s="67"/>
      <c r="Y10" s="67"/>
      <c r="Z10" s="67"/>
      <c r="AA10" s="67"/>
      <c r="AB10" s="67"/>
      <c r="AC10" s="67"/>
      <c r="AD10" s="67"/>
      <c r="AE10" s="68"/>
      <c r="AF10" s="69" t="s">
        <v>674</v>
      </c>
      <c r="AG10" s="67"/>
      <c r="AH10" s="67"/>
      <c r="AI10" s="67"/>
      <c r="AJ10" s="67"/>
      <c r="AK10" s="67"/>
      <c r="AL10" s="67"/>
      <c r="AM10" s="67"/>
      <c r="AN10" s="67"/>
      <c r="AO10" s="67"/>
      <c r="AP10" s="68"/>
      <c r="AQ10" s="69" t="s">
        <v>675</v>
      </c>
      <c r="AR10" s="67"/>
      <c r="AS10" s="67"/>
      <c r="AT10" s="67"/>
      <c r="AU10" s="67"/>
      <c r="AV10" s="67"/>
      <c r="AW10" s="67"/>
      <c r="AX10" s="67"/>
      <c r="AY10" s="67"/>
      <c r="AZ10" s="67"/>
      <c r="BA10" s="67"/>
      <c r="BB10" s="67"/>
      <c r="BC10" s="67"/>
      <c r="BD10" s="67"/>
      <c r="BE10" s="67"/>
      <c r="BF10" s="67"/>
      <c r="BG10" s="67"/>
      <c r="BH10" s="67"/>
      <c r="BI10" s="67"/>
      <c r="BJ10" s="67"/>
      <c r="BK10" s="204"/>
    </row>
    <row r="11" spans="1:63" ht="13.5" customHeight="1">
      <c r="A11" s="667">
        <v>3</v>
      </c>
      <c r="B11" s="668"/>
      <c r="C11" s="266" t="s">
        <v>676</v>
      </c>
      <c r="D11" s="81" t="s">
        <v>669</v>
      </c>
      <c r="E11" s="8"/>
      <c r="F11" s="8"/>
      <c r="G11" s="8"/>
      <c r="H11" s="8"/>
      <c r="I11" s="8"/>
      <c r="J11" s="9"/>
      <c r="K11" s="81" t="s">
        <v>677</v>
      </c>
      <c r="L11" s="8"/>
      <c r="M11" s="8"/>
      <c r="N11" s="8"/>
      <c r="O11" s="8"/>
      <c r="P11" s="8"/>
      <c r="Q11" s="8"/>
      <c r="R11" s="8"/>
      <c r="S11" s="8"/>
      <c r="T11" s="8"/>
      <c r="U11" s="9"/>
      <c r="V11" s="267" t="s">
        <v>676</v>
      </c>
      <c r="W11" s="81" t="s">
        <v>670</v>
      </c>
      <c r="X11" s="8"/>
      <c r="Y11" s="8"/>
      <c r="Z11" s="8"/>
      <c r="AA11" s="8"/>
      <c r="AB11" s="8"/>
      <c r="AC11" s="8"/>
      <c r="AD11" s="8"/>
      <c r="AE11" s="9"/>
      <c r="AF11" s="81" t="s">
        <v>678</v>
      </c>
      <c r="AG11" s="8"/>
      <c r="AH11" s="8"/>
      <c r="AI11" s="8"/>
      <c r="AJ11" s="8"/>
      <c r="AK11" s="8"/>
      <c r="AL11" s="8"/>
      <c r="AM11" s="8"/>
      <c r="AN11" s="8"/>
      <c r="AO11" s="8"/>
      <c r="AP11" s="9"/>
      <c r="AQ11" s="81" t="s">
        <v>679</v>
      </c>
      <c r="AR11" s="8"/>
      <c r="AS11" s="8"/>
      <c r="AT11" s="8"/>
      <c r="AU11" s="8"/>
      <c r="AV11" s="8"/>
      <c r="AW11" s="8"/>
      <c r="AX11" s="8"/>
      <c r="AY11" s="8"/>
      <c r="AZ11" s="8"/>
      <c r="BA11" s="8"/>
      <c r="BB11" s="8"/>
      <c r="BC11" s="8"/>
      <c r="BD11" s="8"/>
      <c r="BE11" s="8"/>
      <c r="BF11" s="8"/>
      <c r="BG11" s="8"/>
      <c r="BH11" s="8"/>
      <c r="BI11" s="8"/>
      <c r="BJ11" s="8"/>
      <c r="BK11" s="12"/>
    </row>
    <row r="12" spans="1:63" ht="13.5" customHeight="1" thickBot="1">
      <c r="A12" s="667"/>
      <c r="B12" s="668"/>
      <c r="C12" s="266"/>
      <c r="D12" s="81"/>
      <c r="E12" s="8"/>
      <c r="F12" s="8"/>
      <c r="G12" s="8"/>
      <c r="H12" s="8"/>
      <c r="I12" s="8"/>
      <c r="J12" s="9"/>
      <c r="K12" s="81"/>
      <c r="L12" s="8"/>
      <c r="M12" s="8"/>
      <c r="N12" s="8"/>
      <c r="O12" s="8"/>
      <c r="P12" s="8"/>
      <c r="Q12" s="8"/>
      <c r="R12" s="8"/>
      <c r="S12" s="8"/>
      <c r="T12" s="8"/>
      <c r="U12" s="9"/>
      <c r="V12" s="267"/>
      <c r="W12" s="81"/>
      <c r="X12" s="8"/>
      <c r="Y12" s="8"/>
      <c r="Z12" s="8"/>
      <c r="AA12" s="8"/>
      <c r="AB12" s="8"/>
      <c r="AC12" s="8"/>
      <c r="AD12" s="8"/>
      <c r="AE12" s="9"/>
      <c r="AF12" s="81"/>
      <c r="AG12" s="8"/>
      <c r="AH12" s="8"/>
      <c r="AI12" s="8"/>
      <c r="AJ12" s="8"/>
      <c r="AK12" s="8"/>
      <c r="AL12" s="8"/>
      <c r="AM12" s="8"/>
      <c r="AN12" s="8"/>
      <c r="AO12" s="8"/>
      <c r="AP12" s="9"/>
      <c r="AQ12" s="81"/>
      <c r="AR12" s="8"/>
      <c r="AS12" s="8"/>
      <c r="AT12" s="8"/>
      <c r="AU12" s="8"/>
      <c r="AV12" s="8"/>
      <c r="AW12" s="8"/>
      <c r="AX12" s="8"/>
      <c r="AY12" s="8"/>
      <c r="AZ12" s="8"/>
      <c r="BA12" s="8"/>
      <c r="BB12" s="8"/>
      <c r="BC12" s="8"/>
      <c r="BD12" s="8"/>
      <c r="BE12" s="8"/>
      <c r="BF12" s="8"/>
      <c r="BG12" s="8"/>
      <c r="BH12" s="8"/>
      <c r="BI12" s="8"/>
      <c r="BJ12" s="8"/>
      <c r="BK12" s="12"/>
    </row>
    <row r="13" spans="1:63" ht="15.75" customHeight="1">
      <c r="A13" s="225" t="s">
        <v>251</v>
      </c>
      <c r="B13" s="226"/>
      <c r="C13" s="226"/>
      <c r="D13" s="226"/>
      <c r="E13" s="227"/>
      <c r="F13" s="228"/>
      <c r="G13" s="229">
        <v>2</v>
      </c>
      <c r="H13" s="270"/>
      <c r="I13" s="234"/>
      <c r="J13" s="234"/>
      <c r="K13" s="234"/>
      <c r="L13" s="234"/>
      <c r="M13" s="234"/>
      <c r="N13" s="234"/>
      <c r="O13" s="234"/>
      <c r="P13" s="234"/>
      <c r="Q13" s="234"/>
      <c r="R13" s="271"/>
      <c r="S13" s="230" t="s">
        <v>660</v>
      </c>
      <c r="T13" s="231"/>
      <c r="U13" s="231"/>
      <c r="V13" s="231"/>
      <c r="W13" s="231"/>
      <c r="X13" s="231"/>
      <c r="Y13" s="232"/>
      <c r="Z13" s="233" t="s">
        <v>122</v>
      </c>
      <c r="AA13" s="233"/>
      <c r="AB13" s="233"/>
      <c r="AC13" s="233"/>
      <c r="AD13" s="234"/>
      <c r="AE13" s="233"/>
      <c r="AF13" s="233"/>
      <c r="AG13" s="233"/>
      <c r="AH13" s="235" t="s">
        <v>69</v>
      </c>
      <c r="AI13" s="231"/>
      <c r="AJ13" s="232"/>
      <c r="AK13" s="233" t="s">
        <v>431</v>
      </c>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233"/>
      <c r="BJ13" s="233"/>
      <c r="BK13" s="236"/>
    </row>
    <row r="14" spans="1:63" ht="15.75" customHeight="1">
      <c r="A14" s="237" t="s">
        <v>662</v>
      </c>
      <c r="B14" s="238"/>
      <c r="C14" s="238"/>
      <c r="D14" s="239"/>
      <c r="E14" s="240" t="s">
        <v>680</v>
      </c>
      <c r="F14" s="241"/>
      <c r="G14" s="241"/>
      <c r="H14" s="242"/>
      <c r="I14" s="242"/>
      <c r="J14" s="242"/>
      <c r="K14" s="242"/>
      <c r="L14" s="243"/>
      <c r="M14" s="243"/>
      <c r="N14" s="243"/>
      <c r="O14" s="243"/>
      <c r="P14" s="243"/>
      <c r="Q14" s="243"/>
      <c r="R14" s="243"/>
      <c r="S14" s="243"/>
      <c r="T14" s="243"/>
      <c r="U14" s="243"/>
      <c r="V14" s="243"/>
      <c r="W14" s="243"/>
      <c r="X14" s="243"/>
      <c r="Y14" s="243"/>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4"/>
    </row>
    <row r="15" spans="1:63" ht="15.75" customHeight="1">
      <c r="A15" s="245" t="s">
        <v>251</v>
      </c>
      <c r="B15" s="246"/>
      <c r="C15" s="247" t="s">
        <v>664</v>
      </c>
      <c r="D15" s="248"/>
      <c r="E15" s="249"/>
      <c r="F15" s="249"/>
      <c r="G15" s="249"/>
      <c r="H15" s="249"/>
      <c r="I15" s="249"/>
      <c r="J15" s="249"/>
      <c r="K15" s="249"/>
      <c r="L15" s="249"/>
      <c r="M15" s="249"/>
      <c r="N15" s="249"/>
      <c r="O15" s="249"/>
      <c r="P15" s="249"/>
      <c r="Q15" s="249"/>
      <c r="R15" s="249"/>
      <c r="S15" s="249"/>
      <c r="T15" s="249"/>
      <c r="U15" s="249"/>
      <c r="V15" s="247" t="s">
        <v>665</v>
      </c>
      <c r="W15" s="248"/>
      <c r="X15" s="249"/>
      <c r="Y15" s="249"/>
      <c r="Z15" s="249"/>
      <c r="AA15" s="249"/>
      <c r="AB15" s="249"/>
      <c r="AC15" s="249"/>
      <c r="AD15" s="249"/>
      <c r="AE15" s="249"/>
      <c r="AF15" s="246"/>
      <c r="AG15" s="246"/>
      <c r="AH15" s="246"/>
      <c r="AI15" s="246"/>
      <c r="AJ15" s="246"/>
      <c r="AK15" s="246"/>
      <c r="AL15" s="246"/>
      <c r="AM15" s="246"/>
      <c r="AN15" s="246"/>
      <c r="AO15" s="246"/>
      <c r="AP15" s="246"/>
      <c r="AQ15" s="250" t="s">
        <v>229</v>
      </c>
      <c r="AR15" s="246"/>
      <c r="AS15" s="246"/>
      <c r="AT15" s="246"/>
      <c r="AU15" s="246"/>
      <c r="AV15" s="246"/>
      <c r="AW15" s="246"/>
      <c r="AX15" s="246"/>
      <c r="AY15" s="246"/>
      <c r="AZ15" s="246"/>
      <c r="BA15" s="246"/>
      <c r="BB15" s="246"/>
      <c r="BC15" s="246"/>
      <c r="BD15" s="246"/>
      <c r="BE15" s="246"/>
      <c r="BF15" s="246"/>
      <c r="BG15" s="246"/>
      <c r="BH15" s="246"/>
      <c r="BI15" s="246"/>
      <c r="BJ15" s="246"/>
      <c r="BK15" s="251"/>
    </row>
    <row r="16" spans="1:63" ht="15.75" customHeight="1" thickBot="1">
      <c r="A16" s="252"/>
      <c r="B16" s="253"/>
      <c r="C16" s="254" t="s">
        <v>666</v>
      </c>
      <c r="D16" s="255" t="s">
        <v>667</v>
      </c>
      <c r="E16" s="256"/>
      <c r="F16" s="256"/>
      <c r="G16" s="256"/>
      <c r="H16" s="256"/>
      <c r="I16" s="256"/>
      <c r="J16" s="257"/>
      <c r="K16" s="255" t="s">
        <v>228</v>
      </c>
      <c r="L16" s="256"/>
      <c r="M16" s="256"/>
      <c r="N16" s="256"/>
      <c r="O16" s="256"/>
      <c r="P16" s="256"/>
      <c r="Q16" s="256"/>
      <c r="R16" s="256"/>
      <c r="S16" s="256"/>
      <c r="T16" s="256"/>
      <c r="U16" s="257"/>
      <c r="V16" s="254" t="s">
        <v>666</v>
      </c>
      <c r="W16" s="255" t="s">
        <v>667</v>
      </c>
      <c r="X16" s="256"/>
      <c r="Y16" s="256"/>
      <c r="Z16" s="256"/>
      <c r="AA16" s="256"/>
      <c r="AB16" s="256"/>
      <c r="AC16" s="256"/>
      <c r="AD16" s="256"/>
      <c r="AE16" s="257"/>
      <c r="AF16" s="255" t="s">
        <v>228</v>
      </c>
      <c r="AG16" s="256"/>
      <c r="AH16" s="256"/>
      <c r="AI16" s="256"/>
      <c r="AJ16" s="256"/>
      <c r="AK16" s="256"/>
      <c r="AL16" s="256"/>
      <c r="AM16" s="256"/>
      <c r="AN16" s="256"/>
      <c r="AO16" s="256"/>
      <c r="AP16" s="257"/>
      <c r="AQ16" s="258"/>
      <c r="AR16" s="253"/>
      <c r="AS16" s="253"/>
      <c r="AT16" s="253"/>
      <c r="AU16" s="253"/>
      <c r="AV16" s="253"/>
      <c r="AW16" s="253"/>
      <c r="AX16" s="253"/>
      <c r="AY16" s="253"/>
      <c r="AZ16" s="253"/>
      <c r="BA16" s="253"/>
      <c r="BB16" s="253"/>
      <c r="BC16" s="253"/>
      <c r="BD16" s="253"/>
      <c r="BE16" s="253"/>
      <c r="BF16" s="253"/>
      <c r="BG16" s="253"/>
      <c r="BH16" s="253"/>
      <c r="BI16" s="253"/>
      <c r="BJ16" s="253"/>
      <c r="BK16" s="259"/>
    </row>
    <row r="17" spans="1:63" ht="13.5" customHeight="1" thickTop="1">
      <c r="A17" s="674">
        <v>1</v>
      </c>
      <c r="B17" s="675"/>
      <c r="C17" s="260" t="s">
        <v>668</v>
      </c>
      <c r="D17" s="261" t="s">
        <v>681</v>
      </c>
      <c r="E17" s="262"/>
      <c r="F17" s="262"/>
      <c r="G17" s="262"/>
      <c r="H17" s="262"/>
      <c r="I17" s="262"/>
      <c r="J17" s="263"/>
      <c r="K17" s="261" t="s">
        <v>682</v>
      </c>
      <c r="L17" s="262"/>
      <c r="M17" s="262"/>
      <c r="N17" s="262"/>
      <c r="O17" s="262"/>
      <c r="P17" s="262"/>
      <c r="Q17" s="262"/>
      <c r="R17" s="262"/>
      <c r="S17" s="262"/>
      <c r="T17" s="262"/>
      <c r="U17" s="263"/>
      <c r="V17" s="264" t="s">
        <v>676</v>
      </c>
      <c r="W17" s="261"/>
      <c r="X17" s="262"/>
      <c r="Y17" s="262"/>
      <c r="Z17" s="262"/>
      <c r="AA17" s="262"/>
      <c r="AB17" s="262"/>
      <c r="AC17" s="262"/>
      <c r="AD17" s="262"/>
      <c r="AE17" s="263"/>
      <c r="AF17" s="261"/>
      <c r="AG17" s="262"/>
      <c r="AH17" s="262"/>
      <c r="AI17" s="262"/>
      <c r="AJ17" s="262"/>
      <c r="AK17" s="262"/>
      <c r="AL17" s="262"/>
      <c r="AM17" s="262"/>
      <c r="AN17" s="262"/>
      <c r="AO17" s="262"/>
      <c r="AP17" s="263"/>
      <c r="AQ17" s="261" t="s">
        <v>683</v>
      </c>
      <c r="AR17" s="262"/>
      <c r="AS17" s="262"/>
      <c r="AT17" s="262"/>
      <c r="AU17" s="262"/>
      <c r="AV17" s="262"/>
      <c r="AW17" s="262"/>
      <c r="AX17" s="262"/>
      <c r="AY17" s="262"/>
      <c r="AZ17" s="262"/>
      <c r="BA17" s="262"/>
      <c r="BB17" s="262"/>
      <c r="BC17" s="262"/>
      <c r="BD17" s="262"/>
      <c r="BE17" s="262"/>
      <c r="BF17" s="262"/>
      <c r="BG17" s="262"/>
      <c r="BH17" s="262"/>
      <c r="BI17" s="262"/>
      <c r="BJ17" s="262"/>
      <c r="BK17" s="265"/>
    </row>
    <row r="18" spans="1:63" ht="13.5" customHeight="1">
      <c r="A18" s="667">
        <v>2</v>
      </c>
      <c r="B18" s="668"/>
      <c r="C18" s="266" t="s">
        <v>676</v>
      </c>
      <c r="D18" s="81" t="s">
        <v>681</v>
      </c>
      <c r="E18" s="8"/>
      <c r="F18" s="8"/>
      <c r="G18" s="8"/>
      <c r="H18" s="8"/>
      <c r="I18" s="8"/>
      <c r="J18" s="9"/>
      <c r="K18" s="81" t="s">
        <v>684</v>
      </c>
      <c r="L18" s="8"/>
      <c r="M18" s="8"/>
      <c r="N18" s="8"/>
      <c r="O18" s="8"/>
      <c r="P18" s="8"/>
      <c r="Q18" s="8"/>
      <c r="R18" s="8"/>
      <c r="S18" s="8"/>
      <c r="T18" s="8"/>
      <c r="U18" s="9"/>
      <c r="V18" s="267" t="s">
        <v>668</v>
      </c>
      <c r="W18" s="81"/>
      <c r="X18" s="8"/>
      <c r="Y18" s="8"/>
      <c r="Z18" s="8"/>
      <c r="AA18" s="8"/>
      <c r="AB18" s="8"/>
      <c r="AC18" s="8"/>
      <c r="AD18" s="8"/>
      <c r="AE18" s="9"/>
      <c r="AF18" s="81"/>
      <c r="AG18" s="8"/>
      <c r="AH18" s="8"/>
      <c r="AI18" s="8"/>
      <c r="AJ18" s="8"/>
      <c r="AK18" s="8"/>
      <c r="AL18" s="8"/>
      <c r="AM18" s="8"/>
      <c r="AN18" s="8"/>
      <c r="AO18" s="8"/>
      <c r="AP18" s="9"/>
      <c r="AQ18" s="81" t="s">
        <v>556</v>
      </c>
      <c r="AR18" s="8"/>
      <c r="AS18" s="8"/>
      <c r="AT18" s="8"/>
      <c r="AU18" s="8"/>
      <c r="AV18" s="8"/>
      <c r="AW18" s="8"/>
      <c r="AX18" s="8"/>
      <c r="AY18" s="8"/>
      <c r="AZ18" s="8"/>
      <c r="BA18" s="8"/>
      <c r="BB18" s="8"/>
      <c r="BC18" s="8"/>
      <c r="BD18" s="8"/>
      <c r="BE18" s="8"/>
      <c r="BF18" s="8"/>
      <c r="BG18" s="8"/>
      <c r="BH18" s="8"/>
      <c r="BI18" s="8"/>
      <c r="BJ18" s="8"/>
      <c r="BK18" s="12"/>
    </row>
    <row r="19" spans="1:63" ht="13.5" customHeight="1">
      <c r="A19" s="667">
        <v>3</v>
      </c>
      <c r="B19" s="668"/>
      <c r="C19" s="266" t="s">
        <v>676</v>
      </c>
      <c r="D19" s="81" t="s">
        <v>681</v>
      </c>
      <c r="E19" s="8"/>
      <c r="F19" s="8"/>
      <c r="G19" s="8"/>
      <c r="H19" s="8"/>
      <c r="I19" s="8"/>
      <c r="J19" s="9"/>
      <c r="K19" s="81" t="s">
        <v>685</v>
      </c>
      <c r="L19" s="8"/>
      <c r="M19" s="8"/>
      <c r="N19" s="8"/>
      <c r="O19" s="8"/>
      <c r="P19" s="8"/>
      <c r="Q19" s="8"/>
      <c r="R19" s="8"/>
      <c r="S19" s="8"/>
      <c r="T19" s="8"/>
      <c r="U19" s="9"/>
      <c r="V19" s="267" t="s">
        <v>676</v>
      </c>
      <c r="W19" s="81"/>
      <c r="X19" s="8"/>
      <c r="Y19" s="8"/>
      <c r="Z19" s="8"/>
      <c r="AA19" s="8"/>
      <c r="AB19" s="8"/>
      <c r="AC19" s="8"/>
      <c r="AD19" s="8"/>
      <c r="AE19" s="9"/>
      <c r="AF19" s="81"/>
      <c r="AG19" s="8"/>
      <c r="AH19" s="8"/>
      <c r="AI19" s="8"/>
      <c r="AJ19" s="8"/>
      <c r="AK19" s="8"/>
      <c r="AL19" s="8"/>
      <c r="AM19" s="8"/>
      <c r="AN19" s="8"/>
      <c r="AO19" s="8"/>
      <c r="AP19" s="9"/>
      <c r="AQ19" s="81" t="s">
        <v>556</v>
      </c>
      <c r="AR19" s="8"/>
      <c r="AS19" s="8"/>
      <c r="AT19" s="8"/>
      <c r="AU19" s="8"/>
      <c r="AV19" s="8"/>
      <c r="AW19" s="8"/>
      <c r="AX19" s="8"/>
      <c r="AY19" s="8"/>
      <c r="AZ19" s="8"/>
      <c r="BA19" s="8"/>
      <c r="BB19" s="8"/>
      <c r="BC19" s="8"/>
      <c r="BD19" s="8"/>
      <c r="BE19" s="8"/>
      <c r="BF19" s="8"/>
      <c r="BG19" s="8"/>
      <c r="BH19" s="8"/>
      <c r="BI19" s="8"/>
      <c r="BJ19" s="8"/>
      <c r="BK19" s="12"/>
    </row>
    <row r="20" spans="1:63" ht="13.5" customHeight="1">
      <c r="A20" s="667">
        <v>4</v>
      </c>
      <c r="B20" s="668"/>
      <c r="C20" s="266" t="s">
        <v>676</v>
      </c>
      <c r="D20" s="81" t="s">
        <v>681</v>
      </c>
      <c r="E20" s="8"/>
      <c r="F20" s="8"/>
      <c r="G20" s="8"/>
      <c r="H20" s="8"/>
      <c r="I20" s="8"/>
      <c r="J20" s="9"/>
      <c r="K20" s="81" t="s">
        <v>686</v>
      </c>
      <c r="L20" s="8"/>
      <c r="M20" s="8"/>
      <c r="N20" s="8"/>
      <c r="O20" s="8"/>
      <c r="P20" s="8"/>
      <c r="Q20" s="8"/>
      <c r="R20" s="8"/>
      <c r="S20" s="8"/>
      <c r="T20" s="8"/>
      <c r="U20" s="9"/>
      <c r="V20" s="267" t="s">
        <v>676</v>
      </c>
      <c r="W20" s="81"/>
      <c r="X20" s="8"/>
      <c r="Y20" s="8"/>
      <c r="Z20" s="8"/>
      <c r="AA20" s="8"/>
      <c r="AB20" s="8"/>
      <c r="AC20" s="8"/>
      <c r="AD20" s="8"/>
      <c r="AE20" s="9"/>
      <c r="AF20" s="81"/>
      <c r="AG20" s="8"/>
      <c r="AH20" s="8"/>
      <c r="AI20" s="8"/>
      <c r="AJ20" s="8"/>
      <c r="AK20" s="8"/>
      <c r="AL20" s="8"/>
      <c r="AM20" s="8"/>
      <c r="AN20" s="8"/>
      <c r="AO20" s="8"/>
      <c r="AP20" s="9"/>
      <c r="AQ20" s="81" t="s">
        <v>556</v>
      </c>
      <c r="AR20" s="8"/>
      <c r="AS20" s="8"/>
      <c r="AT20" s="8"/>
      <c r="AU20" s="8"/>
      <c r="AV20" s="8"/>
      <c r="AW20" s="8"/>
      <c r="AX20" s="8"/>
      <c r="AY20" s="8"/>
      <c r="AZ20" s="8"/>
      <c r="BA20" s="8"/>
      <c r="BB20" s="8"/>
      <c r="BC20" s="8"/>
      <c r="BD20" s="8"/>
      <c r="BE20" s="8"/>
      <c r="BF20" s="8"/>
      <c r="BG20" s="8"/>
      <c r="BH20" s="8"/>
      <c r="BI20" s="8"/>
      <c r="BJ20" s="8"/>
      <c r="BK20" s="12"/>
    </row>
    <row r="21" spans="1:63" ht="13.5" customHeight="1">
      <c r="A21" s="667">
        <v>5</v>
      </c>
      <c r="B21" s="668"/>
      <c r="C21" s="266" t="s">
        <v>676</v>
      </c>
      <c r="D21" s="81" t="s">
        <v>681</v>
      </c>
      <c r="E21" s="8"/>
      <c r="F21" s="8"/>
      <c r="G21" s="8"/>
      <c r="H21" s="8"/>
      <c r="I21" s="8"/>
      <c r="J21" s="9"/>
      <c r="K21" s="81" t="s">
        <v>687</v>
      </c>
      <c r="L21" s="8"/>
      <c r="M21" s="8"/>
      <c r="N21" s="8"/>
      <c r="O21" s="8"/>
      <c r="P21" s="8"/>
      <c r="Q21" s="8"/>
      <c r="R21" s="8"/>
      <c r="S21" s="8"/>
      <c r="T21" s="8"/>
      <c r="U21" s="9"/>
      <c r="V21" s="267" t="s">
        <v>676</v>
      </c>
      <c r="W21" s="81"/>
      <c r="X21" s="8"/>
      <c r="Y21" s="8"/>
      <c r="Z21" s="8"/>
      <c r="AA21" s="8"/>
      <c r="AB21" s="8"/>
      <c r="AC21" s="8"/>
      <c r="AD21" s="8"/>
      <c r="AE21" s="9"/>
      <c r="AF21" s="81"/>
      <c r="AG21" s="8"/>
      <c r="AH21" s="8"/>
      <c r="AI21" s="8"/>
      <c r="AJ21" s="8"/>
      <c r="AK21" s="8"/>
      <c r="AL21" s="8"/>
      <c r="AM21" s="8"/>
      <c r="AN21" s="8"/>
      <c r="AO21" s="8"/>
      <c r="AP21" s="9"/>
      <c r="AQ21" s="81" t="s">
        <v>556</v>
      </c>
      <c r="AR21" s="8"/>
      <c r="AS21" s="8"/>
      <c r="AT21" s="8"/>
      <c r="AU21" s="8"/>
      <c r="AV21" s="8"/>
      <c r="AW21" s="8"/>
      <c r="AX21" s="8"/>
      <c r="AY21" s="8"/>
      <c r="AZ21" s="8"/>
      <c r="BA21" s="8"/>
      <c r="BB21" s="8"/>
      <c r="BC21" s="8"/>
      <c r="BD21" s="8"/>
      <c r="BE21" s="8"/>
      <c r="BF21" s="8"/>
      <c r="BG21" s="8"/>
      <c r="BH21" s="8"/>
      <c r="BI21" s="8"/>
      <c r="BJ21" s="8"/>
      <c r="BK21" s="12"/>
    </row>
    <row r="22" spans="1:63" ht="13.5" customHeight="1">
      <c r="A22" s="667">
        <v>6</v>
      </c>
      <c r="B22" s="668"/>
      <c r="C22" s="266" t="s">
        <v>676</v>
      </c>
      <c r="D22" s="81" t="s">
        <v>681</v>
      </c>
      <c r="E22" s="8"/>
      <c r="F22" s="8"/>
      <c r="G22" s="8"/>
      <c r="H22" s="8"/>
      <c r="I22" s="8"/>
      <c r="J22" s="9"/>
      <c r="K22" s="81" t="s">
        <v>688</v>
      </c>
      <c r="L22" s="8"/>
      <c r="M22" s="8"/>
      <c r="N22" s="8"/>
      <c r="O22" s="8"/>
      <c r="P22" s="8"/>
      <c r="Q22" s="8"/>
      <c r="R22" s="8"/>
      <c r="S22" s="8"/>
      <c r="T22" s="8"/>
      <c r="U22" s="9"/>
      <c r="V22" s="267" t="s">
        <v>676</v>
      </c>
      <c r="W22" s="81"/>
      <c r="X22" s="8"/>
      <c r="Y22" s="8"/>
      <c r="Z22" s="8"/>
      <c r="AA22" s="8"/>
      <c r="AB22" s="8"/>
      <c r="AC22" s="8"/>
      <c r="AD22" s="8"/>
      <c r="AE22" s="9"/>
      <c r="AF22" s="81"/>
      <c r="AG22" s="8"/>
      <c r="AH22" s="8"/>
      <c r="AI22" s="8"/>
      <c r="AJ22" s="8"/>
      <c r="AK22" s="8"/>
      <c r="AL22" s="8"/>
      <c r="AM22" s="8"/>
      <c r="AN22" s="8"/>
      <c r="AO22" s="8"/>
      <c r="AP22" s="9"/>
      <c r="AQ22" s="81" t="s">
        <v>556</v>
      </c>
      <c r="AR22" s="8"/>
      <c r="AS22" s="8"/>
      <c r="AT22" s="8"/>
      <c r="AU22" s="8"/>
      <c r="AV22" s="8"/>
      <c r="AW22" s="8"/>
      <c r="AX22" s="8"/>
      <c r="AY22" s="8"/>
      <c r="AZ22" s="8"/>
      <c r="BA22" s="8"/>
      <c r="BB22" s="8"/>
      <c r="BC22" s="8"/>
      <c r="BD22" s="8"/>
      <c r="BE22" s="8"/>
      <c r="BF22" s="8"/>
      <c r="BG22" s="8"/>
      <c r="BH22" s="8"/>
      <c r="BI22" s="8"/>
      <c r="BJ22" s="8"/>
      <c r="BK22" s="12"/>
    </row>
    <row r="23" spans="1:63" ht="54" customHeight="1">
      <c r="A23" s="667">
        <v>7</v>
      </c>
      <c r="B23" s="668"/>
      <c r="C23" s="266" t="s">
        <v>676</v>
      </c>
      <c r="D23" s="81" t="s">
        <v>681</v>
      </c>
      <c r="E23" s="8"/>
      <c r="F23" s="8"/>
      <c r="G23" s="8"/>
      <c r="H23" s="8"/>
      <c r="I23" s="8"/>
      <c r="J23" s="9"/>
      <c r="K23" s="81" t="s">
        <v>689</v>
      </c>
      <c r="L23" s="8"/>
      <c r="M23" s="8"/>
      <c r="N23" s="8"/>
      <c r="O23" s="8"/>
      <c r="P23" s="8"/>
      <c r="Q23" s="8"/>
      <c r="R23" s="8"/>
      <c r="S23" s="8"/>
      <c r="T23" s="8"/>
      <c r="U23" s="9"/>
      <c r="V23" s="267" t="s">
        <v>676</v>
      </c>
      <c r="W23" s="81" t="s">
        <v>690</v>
      </c>
      <c r="X23" s="8"/>
      <c r="Y23" s="8"/>
      <c r="Z23" s="8"/>
      <c r="AA23" s="8"/>
      <c r="AB23" s="8"/>
      <c r="AC23" s="8"/>
      <c r="AD23" s="8"/>
      <c r="AE23" s="9"/>
      <c r="AF23" s="81" t="s">
        <v>342</v>
      </c>
      <c r="AG23" s="8"/>
      <c r="AH23" s="8"/>
      <c r="AI23" s="8"/>
      <c r="AJ23" s="8"/>
      <c r="AK23" s="8"/>
      <c r="AL23" s="8"/>
      <c r="AM23" s="8"/>
      <c r="AN23" s="8"/>
      <c r="AO23" s="8"/>
      <c r="AP23" s="9"/>
      <c r="AQ23" s="669" t="s">
        <v>691</v>
      </c>
      <c r="AR23" s="670"/>
      <c r="AS23" s="670"/>
      <c r="AT23" s="670"/>
      <c r="AU23" s="670"/>
      <c r="AV23" s="670"/>
      <c r="AW23" s="670"/>
      <c r="AX23" s="670"/>
      <c r="AY23" s="670"/>
      <c r="AZ23" s="670"/>
      <c r="BA23" s="670"/>
      <c r="BB23" s="670"/>
      <c r="BC23" s="670"/>
      <c r="BD23" s="670"/>
      <c r="BE23" s="670"/>
      <c r="BF23" s="670"/>
      <c r="BG23" s="670"/>
      <c r="BH23" s="670"/>
      <c r="BI23" s="670"/>
      <c r="BJ23" s="670"/>
      <c r="BK23" s="671"/>
    </row>
    <row r="24" spans="1:63" ht="13.5" customHeight="1">
      <c r="A24" s="667">
        <v>8</v>
      </c>
      <c r="B24" s="668"/>
      <c r="C24" s="266" t="s">
        <v>676</v>
      </c>
      <c r="D24" s="81" t="s">
        <v>681</v>
      </c>
      <c r="E24" s="8"/>
      <c r="F24" s="8"/>
      <c r="G24" s="8"/>
      <c r="H24" s="8"/>
      <c r="I24" s="8"/>
      <c r="J24" s="9"/>
      <c r="K24" s="81" t="s">
        <v>692</v>
      </c>
      <c r="L24" s="8"/>
      <c r="M24" s="8"/>
      <c r="N24" s="8"/>
      <c r="O24" s="8"/>
      <c r="P24" s="8"/>
      <c r="Q24" s="8"/>
      <c r="R24" s="8"/>
      <c r="S24" s="8"/>
      <c r="T24" s="8"/>
      <c r="U24" s="9"/>
      <c r="V24" s="267" t="s">
        <v>676</v>
      </c>
      <c r="W24" s="81"/>
      <c r="X24" s="8"/>
      <c r="Y24" s="8"/>
      <c r="Z24" s="8"/>
      <c r="AA24" s="8"/>
      <c r="AB24" s="8"/>
      <c r="AC24" s="8"/>
      <c r="AD24" s="8"/>
      <c r="AE24" s="9"/>
      <c r="AF24" s="81"/>
      <c r="AG24" s="8"/>
      <c r="AH24" s="8"/>
      <c r="AI24" s="8"/>
      <c r="AJ24" s="8"/>
      <c r="AK24" s="8"/>
      <c r="AL24" s="8"/>
      <c r="AM24" s="8"/>
      <c r="AN24" s="8"/>
      <c r="AO24" s="8"/>
      <c r="AP24" s="9"/>
      <c r="AQ24" s="81" t="s">
        <v>693</v>
      </c>
      <c r="AR24" s="8"/>
      <c r="AS24" s="8"/>
      <c r="AT24" s="8"/>
      <c r="AU24" s="8"/>
      <c r="AV24" s="8"/>
      <c r="AW24" s="8"/>
      <c r="AX24" s="8"/>
      <c r="AY24" s="8"/>
      <c r="AZ24" s="8"/>
      <c r="BA24" s="8"/>
      <c r="BB24" s="8"/>
      <c r="BC24" s="8"/>
      <c r="BD24" s="8"/>
      <c r="BE24" s="8"/>
      <c r="BF24" s="8"/>
      <c r="BG24" s="8"/>
      <c r="BH24" s="8"/>
      <c r="BI24" s="8"/>
      <c r="BJ24" s="8"/>
      <c r="BK24" s="12"/>
    </row>
    <row r="25" spans="1:63" ht="13.5" customHeight="1">
      <c r="A25" s="667">
        <v>9</v>
      </c>
      <c r="B25" s="668"/>
      <c r="C25" s="266" t="s">
        <v>676</v>
      </c>
      <c r="D25" s="81" t="s">
        <v>681</v>
      </c>
      <c r="E25" s="8"/>
      <c r="F25" s="8"/>
      <c r="G25" s="8"/>
      <c r="H25" s="8"/>
      <c r="I25" s="8"/>
      <c r="J25" s="9"/>
      <c r="K25" s="81" t="s">
        <v>694</v>
      </c>
      <c r="L25" s="8"/>
      <c r="M25" s="8"/>
      <c r="N25" s="8"/>
      <c r="O25" s="8"/>
      <c r="P25" s="8"/>
      <c r="Q25" s="8"/>
      <c r="R25" s="8"/>
      <c r="S25" s="8"/>
      <c r="T25" s="8"/>
      <c r="U25" s="9"/>
      <c r="V25" s="267" t="s">
        <v>676</v>
      </c>
      <c r="W25" s="81"/>
      <c r="X25" s="8"/>
      <c r="Y25" s="8"/>
      <c r="Z25" s="8"/>
      <c r="AA25" s="8"/>
      <c r="AB25" s="8"/>
      <c r="AC25" s="8"/>
      <c r="AD25" s="8"/>
      <c r="AE25" s="9"/>
      <c r="AF25" s="81"/>
      <c r="AG25" s="8"/>
      <c r="AH25" s="8"/>
      <c r="AI25" s="8"/>
      <c r="AJ25" s="8"/>
      <c r="AK25" s="8"/>
      <c r="AL25" s="8"/>
      <c r="AM25" s="8"/>
      <c r="AN25" s="8"/>
      <c r="AO25" s="8"/>
      <c r="AP25" s="9"/>
      <c r="AQ25" s="81" t="s">
        <v>556</v>
      </c>
      <c r="AR25" s="8"/>
      <c r="AS25" s="8"/>
      <c r="AT25" s="8"/>
      <c r="AU25" s="8"/>
      <c r="AV25" s="8"/>
      <c r="AW25" s="8"/>
      <c r="AX25" s="8"/>
      <c r="AY25" s="8"/>
      <c r="AZ25" s="8"/>
      <c r="BA25" s="8"/>
      <c r="BB25" s="8"/>
      <c r="BC25" s="8"/>
      <c r="BD25" s="8"/>
      <c r="BE25" s="8"/>
      <c r="BF25" s="8"/>
      <c r="BG25" s="8"/>
      <c r="BH25" s="8"/>
      <c r="BI25" s="8"/>
      <c r="BJ25" s="8"/>
      <c r="BK25" s="12"/>
    </row>
    <row r="26" spans="1:63" ht="13.5" customHeight="1">
      <c r="A26" s="667">
        <v>10</v>
      </c>
      <c r="B26" s="668"/>
      <c r="C26" s="266" t="s">
        <v>676</v>
      </c>
      <c r="D26" s="81" t="s">
        <v>681</v>
      </c>
      <c r="E26" s="8"/>
      <c r="F26" s="8"/>
      <c r="G26" s="8"/>
      <c r="H26" s="8"/>
      <c r="I26" s="8"/>
      <c r="J26" s="9"/>
      <c r="K26" s="81" t="s">
        <v>695</v>
      </c>
      <c r="L26" s="8"/>
      <c r="M26" s="8"/>
      <c r="N26" s="8"/>
      <c r="O26" s="8"/>
      <c r="P26" s="8"/>
      <c r="Q26" s="8"/>
      <c r="R26" s="8"/>
      <c r="S26" s="8"/>
      <c r="T26" s="8"/>
      <c r="U26" s="9"/>
      <c r="V26" s="267" t="s">
        <v>676</v>
      </c>
      <c r="W26" s="81"/>
      <c r="X26" s="8"/>
      <c r="Y26" s="8"/>
      <c r="Z26" s="8"/>
      <c r="AA26" s="8"/>
      <c r="AB26" s="8"/>
      <c r="AC26" s="8"/>
      <c r="AD26" s="8"/>
      <c r="AE26" s="9"/>
      <c r="AF26" s="81"/>
      <c r="AG26" s="8"/>
      <c r="AH26" s="8"/>
      <c r="AI26" s="8"/>
      <c r="AJ26" s="8"/>
      <c r="AK26" s="8"/>
      <c r="AL26" s="8"/>
      <c r="AM26" s="8"/>
      <c r="AN26" s="8"/>
      <c r="AO26" s="8"/>
      <c r="AP26" s="9"/>
      <c r="AQ26" s="81" t="s">
        <v>556</v>
      </c>
      <c r="AR26" s="8"/>
      <c r="AS26" s="8"/>
      <c r="AT26" s="8"/>
      <c r="AU26" s="8"/>
      <c r="AV26" s="8"/>
      <c r="AW26" s="8"/>
      <c r="AX26" s="8"/>
      <c r="AY26" s="8"/>
      <c r="AZ26" s="8"/>
      <c r="BA26" s="8"/>
      <c r="BB26" s="8"/>
      <c r="BC26" s="8"/>
      <c r="BD26" s="8"/>
      <c r="BE26" s="8"/>
      <c r="BF26" s="8"/>
      <c r="BG26" s="8"/>
      <c r="BH26" s="8"/>
      <c r="BI26" s="8"/>
      <c r="BJ26" s="8"/>
      <c r="BK26" s="12"/>
    </row>
    <row r="27" spans="1:63" ht="13.5" customHeight="1">
      <c r="A27" s="667">
        <v>11</v>
      </c>
      <c r="B27" s="668"/>
      <c r="C27" s="266" t="s">
        <v>676</v>
      </c>
      <c r="D27" s="81" t="s">
        <v>681</v>
      </c>
      <c r="E27" s="8"/>
      <c r="F27" s="8"/>
      <c r="G27" s="8"/>
      <c r="H27" s="8"/>
      <c r="I27" s="8"/>
      <c r="J27" s="9"/>
      <c r="K27" s="81" t="s">
        <v>696</v>
      </c>
      <c r="L27" s="8"/>
      <c r="M27" s="8"/>
      <c r="N27" s="8"/>
      <c r="O27" s="8"/>
      <c r="P27" s="8"/>
      <c r="Q27" s="8"/>
      <c r="R27" s="8"/>
      <c r="S27" s="8"/>
      <c r="T27" s="8"/>
      <c r="U27" s="9"/>
      <c r="V27" s="267" t="s">
        <v>676</v>
      </c>
      <c r="W27" s="81"/>
      <c r="X27" s="8"/>
      <c r="Y27" s="8"/>
      <c r="Z27" s="8"/>
      <c r="AA27" s="8"/>
      <c r="AB27" s="8"/>
      <c r="AC27" s="8"/>
      <c r="AD27" s="8"/>
      <c r="AE27" s="9"/>
      <c r="AF27" s="81"/>
      <c r="AG27" s="8"/>
      <c r="AH27" s="8"/>
      <c r="AI27" s="8"/>
      <c r="AJ27" s="8"/>
      <c r="AK27" s="8"/>
      <c r="AL27" s="8"/>
      <c r="AM27" s="8"/>
      <c r="AN27" s="8"/>
      <c r="AO27" s="8"/>
      <c r="AP27" s="9"/>
      <c r="AQ27" s="81" t="s">
        <v>556</v>
      </c>
      <c r="AR27" s="8"/>
      <c r="AS27" s="8"/>
      <c r="AT27" s="8"/>
      <c r="AU27" s="8"/>
      <c r="AV27" s="8"/>
      <c r="AW27" s="8"/>
      <c r="AX27" s="8"/>
      <c r="AY27" s="8"/>
      <c r="AZ27" s="8"/>
      <c r="BA27" s="8"/>
      <c r="BB27" s="8"/>
      <c r="BC27" s="8"/>
      <c r="BD27" s="8"/>
      <c r="BE27" s="8"/>
      <c r="BF27" s="8"/>
      <c r="BG27" s="8"/>
      <c r="BH27" s="8"/>
      <c r="BI27" s="8"/>
      <c r="BJ27" s="8"/>
      <c r="BK27" s="12"/>
    </row>
    <row r="28" spans="1:63" ht="13.5" customHeight="1">
      <c r="A28" s="667">
        <v>12</v>
      </c>
      <c r="B28" s="668"/>
      <c r="C28" s="266" t="s">
        <v>676</v>
      </c>
      <c r="D28" s="81" t="s">
        <v>681</v>
      </c>
      <c r="E28" s="8"/>
      <c r="F28" s="8"/>
      <c r="G28" s="8"/>
      <c r="H28" s="8"/>
      <c r="I28" s="8"/>
      <c r="J28" s="9"/>
      <c r="K28" s="81" t="s">
        <v>417</v>
      </c>
      <c r="L28" s="8"/>
      <c r="M28" s="8"/>
      <c r="N28" s="8"/>
      <c r="O28" s="8"/>
      <c r="P28" s="8"/>
      <c r="Q28" s="8"/>
      <c r="R28" s="8"/>
      <c r="S28" s="8"/>
      <c r="T28" s="8"/>
      <c r="U28" s="9"/>
      <c r="V28" s="267" t="s">
        <v>676</v>
      </c>
      <c r="W28" s="81" t="s">
        <v>697</v>
      </c>
      <c r="X28" s="8"/>
      <c r="Y28" s="8"/>
      <c r="Z28" s="8"/>
      <c r="AA28" s="8"/>
      <c r="AB28" s="8"/>
      <c r="AC28" s="8"/>
      <c r="AD28" s="8"/>
      <c r="AE28" s="9"/>
      <c r="AF28" s="81" t="s">
        <v>698</v>
      </c>
      <c r="AG28" s="8"/>
      <c r="AH28" s="8"/>
      <c r="AI28" s="8"/>
      <c r="AJ28" s="8"/>
      <c r="AK28" s="8"/>
      <c r="AL28" s="8"/>
      <c r="AM28" s="8"/>
      <c r="AN28" s="8"/>
      <c r="AO28" s="8"/>
      <c r="AP28" s="9"/>
      <c r="AQ28" s="81"/>
      <c r="AR28" s="8"/>
      <c r="AS28" s="8"/>
      <c r="AT28" s="8"/>
      <c r="AU28" s="8"/>
      <c r="AV28" s="8"/>
      <c r="AW28" s="8"/>
      <c r="AX28" s="8"/>
      <c r="AY28" s="8"/>
      <c r="AZ28" s="8"/>
      <c r="BA28" s="8"/>
      <c r="BB28" s="8"/>
      <c r="BC28" s="8"/>
      <c r="BD28" s="8"/>
      <c r="BE28" s="8"/>
      <c r="BF28" s="8"/>
      <c r="BG28" s="8"/>
      <c r="BH28" s="8"/>
      <c r="BI28" s="8"/>
      <c r="BJ28" s="8"/>
      <c r="BK28" s="12"/>
    </row>
    <row r="29" spans="1:63" ht="13.5" customHeight="1">
      <c r="A29" s="667">
        <v>13</v>
      </c>
      <c r="B29" s="668"/>
      <c r="C29" s="266" t="s">
        <v>676</v>
      </c>
      <c r="D29" s="81" t="s">
        <v>681</v>
      </c>
      <c r="E29" s="8"/>
      <c r="F29" s="8"/>
      <c r="G29" s="8"/>
      <c r="H29" s="8"/>
      <c r="I29" s="8"/>
      <c r="J29" s="9"/>
      <c r="K29" s="81" t="s">
        <v>699</v>
      </c>
      <c r="L29" s="8"/>
      <c r="M29" s="8"/>
      <c r="N29" s="8"/>
      <c r="O29" s="8"/>
      <c r="P29" s="8"/>
      <c r="Q29" s="8"/>
      <c r="R29" s="8"/>
      <c r="S29" s="8"/>
      <c r="T29" s="8"/>
      <c r="U29" s="9"/>
      <c r="V29" s="267" t="s">
        <v>676</v>
      </c>
      <c r="W29" s="81"/>
      <c r="X29" s="8"/>
      <c r="Y29" s="8"/>
      <c r="Z29" s="8"/>
      <c r="AA29" s="8"/>
      <c r="AB29" s="8"/>
      <c r="AC29" s="8"/>
      <c r="AD29" s="8"/>
      <c r="AE29" s="9"/>
      <c r="AF29" s="81"/>
      <c r="AG29" s="8"/>
      <c r="AH29" s="8"/>
      <c r="AI29" s="8"/>
      <c r="AJ29" s="8"/>
      <c r="AK29" s="8"/>
      <c r="AL29" s="8"/>
      <c r="AM29" s="8"/>
      <c r="AN29" s="8"/>
      <c r="AO29" s="8"/>
      <c r="AP29" s="9"/>
      <c r="AQ29" s="81" t="s">
        <v>556</v>
      </c>
      <c r="AR29" s="8"/>
      <c r="AS29" s="8"/>
      <c r="AT29" s="8"/>
      <c r="AU29" s="8"/>
      <c r="AV29" s="8"/>
      <c r="AW29" s="8"/>
      <c r="AX29" s="8"/>
      <c r="AY29" s="8"/>
      <c r="AZ29" s="8"/>
      <c r="BA29" s="8"/>
      <c r="BB29" s="8"/>
      <c r="BC29" s="8"/>
      <c r="BD29" s="8"/>
      <c r="BE29" s="8"/>
      <c r="BF29" s="8"/>
      <c r="BG29" s="8"/>
      <c r="BH29" s="8"/>
      <c r="BI29" s="8"/>
      <c r="BJ29" s="8"/>
      <c r="BK29" s="12"/>
    </row>
    <row r="30" spans="1:63" ht="13.5" customHeight="1">
      <c r="A30" s="667">
        <v>14</v>
      </c>
      <c r="B30" s="668"/>
      <c r="C30" s="266" t="s">
        <v>676</v>
      </c>
      <c r="D30" s="81" t="s">
        <v>681</v>
      </c>
      <c r="E30" s="8"/>
      <c r="F30" s="8"/>
      <c r="G30" s="8"/>
      <c r="H30" s="8"/>
      <c r="I30" s="8"/>
      <c r="J30" s="9"/>
      <c r="K30" s="81" t="s">
        <v>700</v>
      </c>
      <c r="L30" s="8"/>
      <c r="M30" s="8"/>
      <c r="N30" s="8"/>
      <c r="O30" s="8"/>
      <c r="P30" s="8"/>
      <c r="Q30" s="8"/>
      <c r="R30" s="8"/>
      <c r="S30" s="8"/>
      <c r="T30" s="8"/>
      <c r="U30" s="9"/>
      <c r="V30" s="267" t="s">
        <v>676</v>
      </c>
      <c r="W30" s="81"/>
      <c r="X30" s="8"/>
      <c r="Y30" s="8"/>
      <c r="Z30" s="8"/>
      <c r="AA30" s="8"/>
      <c r="AB30" s="8"/>
      <c r="AC30" s="8"/>
      <c r="AD30" s="8"/>
      <c r="AE30" s="9"/>
      <c r="AF30" s="81"/>
      <c r="AG30" s="8"/>
      <c r="AH30" s="8"/>
      <c r="AI30" s="8"/>
      <c r="AJ30" s="8"/>
      <c r="AK30" s="8"/>
      <c r="AL30" s="8"/>
      <c r="AM30" s="8"/>
      <c r="AN30" s="8"/>
      <c r="AO30" s="8"/>
      <c r="AP30" s="9"/>
      <c r="AQ30" s="77" t="s">
        <v>566</v>
      </c>
      <c r="AR30" s="8"/>
      <c r="AS30" s="8"/>
      <c r="AT30" s="8"/>
      <c r="AU30" s="8"/>
      <c r="AV30" s="8"/>
      <c r="AW30" s="8"/>
      <c r="AX30" s="8"/>
      <c r="AY30" s="8"/>
      <c r="AZ30" s="8"/>
      <c r="BA30" s="8"/>
      <c r="BB30" s="8"/>
      <c r="BC30" s="8"/>
      <c r="BD30" s="8"/>
      <c r="BE30" s="8"/>
      <c r="BF30" s="8"/>
      <c r="BG30" s="8"/>
      <c r="BH30" s="8"/>
      <c r="BI30" s="8"/>
      <c r="BJ30" s="8"/>
      <c r="BK30" s="12"/>
    </row>
    <row r="31" spans="1:63" ht="13.5" customHeight="1">
      <c r="A31" s="667">
        <v>15</v>
      </c>
      <c r="B31" s="668"/>
      <c r="C31" s="266" t="s">
        <v>676</v>
      </c>
      <c r="D31" s="81" t="s">
        <v>681</v>
      </c>
      <c r="E31" s="8"/>
      <c r="F31" s="8"/>
      <c r="G31" s="8"/>
      <c r="H31" s="8"/>
      <c r="I31" s="8"/>
      <c r="J31" s="9"/>
      <c r="K31" s="81" t="s">
        <v>701</v>
      </c>
      <c r="L31" s="8"/>
      <c r="M31" s="8"/>
      <c r="N31" s="8"/>
      <c r="O31" s="8"/>
      <c r="P31" s="8"/>
      <c r="Q31" s="8"/>
      <c r="R31" s="8"/>
      <c r="S31" s="8"/>
      <c r="T31" s="8"/>
      <c r="U31" s="9"/>
      <c r="V31" s="267" t="s">
        <v>676</v>
      </c>
      <c r="W31" s="81"/>
      <c r="X31" s="8"/>
      <c r="Y31" s="8"/>
      <c r="Z31" s="8"/>
      <c r="AA31" s="8"/>
      <c r="AB31" s="8"/>
      <c r="AC31" s="8"/>
      <c r="AD31" s="8"/>
      <c r="AE31" s="9"/>
      <c r="AF31" s="81"/>
      <c r="AG31" s="8"/>
      <c r="AH31" s="8"/>
      <c r="AI31" s="8"/>
      <c r="AJ31" s="8"/>
      <c r="AK31" s="8"/>
      <c r="AL31" s="8"/>
      <c r="AM31" s="8"/>
      <c r="AN31" s="8"/>
      <c r="AO31" s="8"/>
      <c r="AP31" s="9"/>
      <c r="AQ31" s="81" t="s">
        <v>556</v>
      </c>
      <c r="AR31" s="8"/>
      <c r="AS31" s="8"/>
      <c r="AT31" s="8"/>
      <c r="AU31" s="8"/>
      <c r="AV31" s="8"/>
      <c r="AW31" s="8"/>
      <c r="AX31" s="8"/>
      <c r="AY31" s="8"/>
      <c r="AZ31" s="8"/>
      <c r="BA31" s="8"/>
      <c r="BB31" s="8"/>
      <c r="BC31" s="8"/>
      <c r="BD31" s="8"/>
      <c r="BE31" s="8"/>
      <c r="BF31" s="8"/>
      <c r="BG31" s="8"/>
      <c r="BH31" s="8"/>
      <c r="BI31" s="8"/>
      <c r="BJ31" s="8"/>
      <c r="BK31" s="12"/>
    </row>
    <row r="32" spans="1:63" ht="13.5" customHeight="1">
      <c r="A32" s="676">
        <v>16</v>
      </c>
      <c r="B32" s="677"/>
      <c r="C32" s="279" t="s">
        <v>676</v>
      </c>
      <c r="D32" s="69" t="s">
        <v>681</v>
      </c>
      <c r="E32" s="67"/>
      <c r="F32" s="67"/>
      <c r="G32" s="67"/>
      <c r="H32" s="67"/>
      <c r="I32" s="67"/>
      <c r="J32" s="68"/>
      <c r="K32" s="69" t="s">
        <v>418</v>
      </c>
      <c r="L32" s="67"/>
      <c r="M32" s="67"/>
      <c r="N32" s="67"/>
      <c r="O32" s="67"/>
      <c r="P32" s="67"/>
      <c r="Q32" s="67"/>
      <c r="R32" s="67"/>
      <c r="S32" s="67"/>
      <c r="T32" s="67"/>
      <c r="U32" s="68"/>
      <c r="V32" s="267" t="s">
        <v>676</v>
      </c>
      <c r="W32" s="81" t="s">
        <v>697</v>
      </c>
      <c r="X32" s="8"/>
      <c r="Y32" s="8"/>
      <c r="Z32" s="8"/>
      <c r="AA32" s="8"/>
      <c r="AB32" s="8"/>
      <c r="AC32" s="8"/>
      <c r="AD32" s="8"/>
      <c r="AE32" s="9"/>
      <c r="AF32" s="81" t="s">
        <v>418</v>
      </c>
      <c r="AG32" s="8"/>
      <c r="AH32" s="8"/>
      <c r="AI32" s="8"/>
      <c r="AJ32" s="8"/>
      <c r="AK32" s="8"/>
      <c r="AL32" s="8"/>
      <c r="AM32" s="8"/>
      <c r="AN32" s="8"/>
      <c r="AO32" s="8"/>
      <c r="AP32" s="9"/>
      <c r="AQ32" s="81" t="s">
        <v>702</v>
      </c>
      <c r="AR32" s="8"/>
      <c r="AS32" s="8"/>
      <c r="AT32" s="8"/>
      <c r="AU32" s="8"/>
      <c r="AV32" s="8"/>
      <c r="AW32" s="8"/>
      <c r="AX32" s="8"/>
      <c r="AY32" s="8"/>
      <c r="AZ32" s="8"/>
      <c r="BA32" s="8"/>
      <c r="BB32" s="8"/>
      <c r="BC32" s="8"/>
      <c r="BD32" s="8"/>
      <c r="BE32" s="8"/>
      <c r="BF32" s="8"/>
      <c r="BG32" s="8"/>
      <c r="BH32" s="8"/>
      <c r="BI32" s="8"/>
      <c r="BJ32" s="8"/>
      <c r="BK32" s="12"/>
    </row>
    <row r="33" spans="1:63" ht="27" customHeight="1">
      <c r="A33" s="280"/>
      <c r="B33" s="281"/>
      <c r="C33" s="282"/>
      <c r="D33" s="73"/>
      <c r="E33" s="74"/>
      <c r="F33" s="74"/>
      <c r="G33" s="74"/>
      <c r="H33" s="74"/>
      <c r="I33" s="74"/>
      <c r="J33" s="75"/>
      <c r="K33" s="73"/>
      <c r="L33" s="74"/>
      <c r="M33" s="74"/>
      <c r="N33" s="74"/>
      <c r="O33" s="74"/>
      <c r="P33" s="74"/>
      <c r="Q33" s="74"/>
      <c r="R33" s="74"/>
      <c r="S33" s="74"/>
      <c r="T33" s="74"/>
      <c r="U33" s="75"/>
      <c r="V33" s="267" t="s">
        <v>676</v>
      </c>
      <c r="W33" s="81" t="s">
        <v>690</v>
      </c>
      <c r="X33" s="8"/>
      <c r="Y33" s="8"/>
      <c r="Z33" s="8"/>
      <c r="AA33" s="8"/>
      <c r="AB33" s="8"/>
      <c r="AC33" s="8"/>
      <c r="AD33" s="8"/>
      <c r="AE33" s="9"/>
      <c r="AF33" s="81" t="s">
        <v>511</v>
      </c>
      <c r="AG33" s="8"/>
      <c r="AH33" s="8"/>
      <c r="AI33" s="8"/>
      <c r="AJ33" s="8"/>
      <c r="AK33" s="8"/>
      <c r="AL33" s="8"/>
      <c r="AM33" s="8"/>
      <c r="AN33" s="8"/>
      <c r="AO33" s="8"/>
      <c r="AP33" s="9"/>
      <c r="AQ33" s="669" t="s">
        <v>703</v>
      </c>
      <c r="AR33" s="670"/>
      <c r="AS33" s="670"/>
      <c r="AT33" s="670"/>
      <c r="AU33" s="670"/>
      <c r="AV33" s="670"/>
      <c r="AW33" s="670"/>
      <c r="AX33" s="670"/>
      <c r="AY33" s="670"/>
      <c r="AZ33" s="670"/>
      <c r="BA33" s="670"/>
      <c r="BB33" s="670"/>
      <c r="BC33" s="670"/>
      <c r="BD33" s="670"/>
      <c r="BE33" s="670"/>
      <c r="BF33" s="670"/>
      <c r="BG33" s="670"/>
      <c r="BH33" s="670"/>
      <c r="BI33" s="670"/>
      <c r="BJ33" s="670"/>
      <c r="BK33" s="671"/>
    </row>
    <row r="34" spans="1:63" ht="13.5" customHeight="1">
      <c r="A34" s="676">
        <v>17</v>
      </c>
      <c r="B34" s="677"/>
      <c r="C34" s="279" t="s">
        <v>676</v>
      </c>
      <c r="D34" s="69" t="s">
        <v>681</v>
      </c>
      <c r="E34" s="67"/>
      <c r="F34" s="67"/>
      <c r="G34" s="67"/>
      <c r="H34" s="67"/>
      <c r="I34" s="67"/>
      <c r="J34" s="68"/>
      <c r="K34" s="69" t="s">
        <v>419</v>
      </c>
      <c r="L34" s="67"/>
      <c r="M34" s="67"/>
      <c r="N34" s="67"/>
      <c r="O34" s="67"/>
      <c r="P34" s="67"/>
      <c r="Q34" s="67"/>
      <c r="R34" s="67"/>
      <c r="S34" s="67"/>
      <c r="T34" s="67"/>
      <c r="U34" s="68"/>
      <c r="V34" s="267" t="s">
        <v>676</v>
      </c>
      <c r="W34" s="81" t="s">
        <v>697</v>
      </c>
      <c r="X34" s="8"/>
      <c r="Y34" s="8"/>
      <c r="Z34" s="8"/>
      <c r="AA34" s="8"/>
      <c r="AB34" s="8"/>
      <c r="AC34" s="8"/>
      <c r="AD34" s="8"/>
      <c r="AE34" s="9"/>
      <c r="AF34" s="81" t="s">
        <v>419</v>
      </c>
      <c r="AG34" s="8"/>
      <c r="AH34" s="8"/>
      <c r="AI34" s="8"/>
      <c r="AJ34" s="8"/>
      <c r="AK34" s="8"/>
      <c r="AL34" s="8"/>
      <c r="AM34" s="8"/>
      <c r="AN34" s="8"/>
      <c r="AO34" s="8"/>
      <c r="AP34" s="9"/>
      <c r="AQ34" s="81" t="s">
        <v>704</v>
      </c>
      <c r="AR34" s="8"/>
      <c r="AS34" s="8"/>
      <c r="AT34" s="8"/>
      <c r="AU34" s="8"/>
      <c r="AV34" s="8"/>
      <c r="AW34" s="8"/>
      <c r="AX34" s="8"/>
      <c r="AY34" s="8"/>
      <c r="AZ34" s="8"/>
      <c r="BA34" s="8"/>
      <c r="BB34" s="8"/>
      <c r="BC34" s="8"/>
      <c r="BD34" s="8"/>
      <c r="BE34" s="8"/>
      <c r="BF34" s="8"/>
      <c r="BG34" s="8"/>
      <c r="BH34" s="8"/>
      <c r="BI34" s="8"/>
      <c r="BJ34" s="8"/>
      <c r="BK34" s="12"/>
    </row>
    <row r="35" spans="1:63" ht="27" customHeight="1">
      <c r="A35" s="280"/>
      <c r="B35" s="281"/>
      <c r="C35" s="282"/>
      <c r="D35" s="73"/>
      <c r="E35" s="74"/>
      <c r="F35" s="74"/>
      <c r="G35" s="74"/>
      <c r="H35" s="74"/>
      <c r="I35" s="74"/>
      <c r="J35" s="75"/>
      <c r="K35" s="73"/>
      <c r="L35" s="74"/>
      <c r="M35" s="74"/>
      <c r="N35" s="74"/>
      <c r="O35" s="74"/>
      <c r="P35" s="74"/>
      <c r="Q35" s="74"/>
      <c r="R35" s="74"/>
      <c r="S35" s="74"/>
      <c r="T35" s="74"/>
      <c r="U35" s="75"/>
      <c r="V35" s="267" t="s">
        <v>676</v>
      </c>
      <c r="W35" s="81" t="s">
        <v>690</v>
      </c>
      <c r="X35" s="8"/>
      <c r="Y35" s="8"/>
      <c r="Z35" s="8"/>
      <c r="AA35" s="8"/>
      <c r="AB35" s="8"/>
      <c r="AC35" s="8"/>
      <c r="AD35" s="8"/>
      <c r="AE35" s="9"/>
      <c r="AF35" s="81" t="s">
        <v>407</v>
      </c>
      <c r="AG35" s="8"/>
      <c r="AH35" s="8"/>
      <c r="AI35" s="8"/>
      <c r="AJ35" s="8"/>
      <c r="AK35" s="8"/>
      <c r="AL35" s="8"/>
      <c r="AM35" s="8"/>
      <c r="AN35" s="8"/>
      <c r="AO35" s="8"/>
      <c r="AP35" s="9"/>
      <c r="AQ35" s="669" t="s">
        <v>705</v>
      </c>
      <c r="AR35" s="670"/>
      <c r="AS35" s="670"/>
      <c r="AT35" s="670"/>
      <c r="AU35" s="670"/>
      <c r="AV35" s="670"/>
      <c r="AW35" s="670"/>
      <c r="AX35" s="670"/>
      <c r="AY35" s="670"/>
      <c r="AZ35" s="670"/>
      <c r="BA35" s="670"/>
      <c r="BB35" s="670"/>
      <c r="BC35" s="670"/>
      <c r="BD35" s="670"/>
      <c r="BE35" s="670"/>
      <c r="BF35" s="670"/>
      <c r="BG35" s="670"/>
      <c r="BH35" s="670"/>
      <c r="BI35" s="670"/>
      <c r="BJ35" s="670"/>
      <c r="BK35" s="671"/>
    </row>
    <row r="36" spans="1:63" ht="13.5" customHeight="1">
      <c r="A36" s="667">
        <v>18</v>
      </c>
      <c r="B36" s="668"/>
      <c r="C36" s="266" t="s">
        <v>676</v>
      </c>
      <c r="D36" s="81" t="s">
        <v>681</v>
      </c>
      <c r="E36" s="8"/>
      <c r="F36" s="8"/>
      <c r="G36" s="8"/>
      <c r="H36" s="8"/>
      <c r="I36" s="8"/>
      <c r="J36" s="9"/>
      <c r="K36" s="81" t="s">
        <v>706</v>
      </c>
      <c r="L36" s="8"/>
      <c r="M36" s="8"/>
      <c r="N36" s="8"/>
      <c r="O36" s="8"/>
      <c r="P36" s="8"/>
      <c r="Q36" s="8"/>
      <c r="R36" s="8"/>
      <c r="S36" s="8"/>
      <c r="T36" s="8"/>
      <c r="U36" s="9"/>
      <c r="V36" s="267" t="s">
        <v>676</v>
      </c>
      <c r="W36" s="81"/>
      <c r="X36" s="8"/>
      <c r="Y36" s="8"/>
      <c r="Z36" s="8"/>
      <c r="AA36" s="8"/>
      <c r="AB36" s="8"/>
      <c r="AC36" s="8"/>
      <c r="AD36" s="8"/>
      <c r="AE36" s="9"/>
      <c r="AF36" s="81"/>
      <c r="AG36" s="8"/>
      <c r="AH36" s="8"/>
      <c r="AI36" s="8"/>
      <c r="AJ36" s="8"/>
      <c r="AK36" s="8"/>
      <c r="AL36" s="8"/>
      <c r="AM36" s="8"/>
      <c r="AN36" s="8"/>
      <c r="AO36" s="8"/>
      <c r="AP36" s="9"/>
      <c r="AQ36" s="81" t="s">
        <v>605</v>
      </c>
      <c r="AR36" s="8"/>
      <c r="AS36" s="8"/>
      <c r="AT36" s="8"/>
      <c r="AU36" s="8"/>
      <c r="AV36" s="8"/>
      <c r="AW36" s="8"/>
      <c r="AX36" s="8"/>
      <c r="AY36" s="8"/>
      <c r="AZ36" s="8"/>
      <c r="BA36" s="8"/>
      <c r="BB36" s="8"/>
      <c r="BC36" s="8"/>
      <c r="BD36" s="8"/>
      <c r="BE36" s="8"/>
      <c r="BF36" s="8"/>
      <c r="BG36" s="8"/>
      <c r="BH36" s="8"/>
      <c r="BI36" s="8"/>
      <c r="BJ36" s="8"/>
      <c r="BK36" s="12"/>
    </row>
    <row r="37" spans="1:63" ht="13.5" customHeight="1">
      <c r="A37" s="667">
        <v>19</v>
      </c>
      <c r="B37" s="668"/>
      <c r="C37" s="266" t="s">
        <v>676</v>
      </c>
      <c r="D37" s="81" t="s">
        <v>681</v>
      </c>
      <c r="E37" s="8"/>
      <c r="F37" s="8"/>
      <c r="G37" s="8"/>
      <c r="H37" s="8"/>
      <c r="I37" s="8"/>
      <c r="J37" s="9"/>
      <c r="K37" s="81" t="s">
        <v>707</v>
      </c>
      <c r="L37" s="8"/>
      <c r="M37" s="8"/>
      <c r="N37" s="8"/>
      <c r="O37" s="8"/>
      <c r="P37" s="8"/>
      <c r="Q37" s="8"/>
      <c r="R37" s="8"/>
      <c r="S37" s="8"/>
      <c r="T37" s="8"/>
      <c r="U37" s="9"/>
      <c r="V37" s="267" t="s">
        <v>676</v>
      </c>
      <c r="W37" s="81"/>
      <c r="X37" s="8"/>
      <c r="Y37" s="8"/>
      <c r="Z37" s="8"/>
      <c r="AA37" s="8"/>
      <c r="AB37" s="8"/>
      <c r="AC37" s="8"/>
      <c r="AD37" s="8"/>
      <c r="AE37" s="9"/>
      <c r="AF37" s="81"/>
      <c r="AG37" s="8"/>
      <c r="AH37" s="8"/>
      <c r="AI37" s="8"/>
      <c r="AJ37" s="8"/>
      <c r="AK37" s="8"/>
      <c r="AL37" s="8"/>
      <c r="AM37" s="8"/>
      <c r="AN37" s="8"/>
      <c r="AO37" s="8"/>
      <c r="AP37" s="9"/>
      <c r="AQ37" s="81" t="s">
        <v>556</v>
      </c>
      <c r="AR37" s="8"/>
      <c r="AS37" s="8"/>
      <c r="AT37" s="8"/>
      <c r="AU37" s="8"/>
      <c r="AV37" s="8"/>
      <c r="AW37" s="8"/>
      <c r="AX37" s="8"/>
      <c r="AY37" s="8"/>
      <c r="AZ37" s="8"/>
      <c r="BA37" s="8"/>
      <c r="BB37" s="8"/>
      <c r="BC37" s="8"/>
      <c r="BD37" s="8"/>
      <c r="BE37" s="8"/>
      <c r="BF37" s="8"/>
      <c r="BG37" s="8"/>
      <c r="BH37" s="8"/>
      <c r="BI37" s="8"/>
      <c r="BJ37" s="8"/>
      <c r="BK37" s="12"/>
    </row>
    <row r="38" spans="1:63" ht="13.5" customHeight="1">
      <c r="A38" s="667">
        <v>20</v>
      </c>
      <c r="B38" s="668"/>
      <c r="C38" s="266" t="s">
        <v>676</v>
      </c>
      <c r="D38" s="81" t="s">
        <v>681</v>
      </c>
      <c r="E38" s="8"/>
      <c r="F38" s="8"/>
      <c r="G38" s="8"/>
      <c r="H38" s="8"/>
      <c r="I38" s="8"/>
      <c r="J38" s="9"/>
      <c r="K38" s="81" t="s">
        <v>708</v>
      </c>
      <c r="L38" s="8"/>
      <c r="M38" s="8"/>
      <c r="N38" s="8"/>
      <c r="O38" s="8"/>
      <c r="P38" s="8"/>
      <c r="Q38" s="8"/>
      <c r="R38" s="8"/>
      <c r="S38" s="8"/>
      <c r="T38" s="8"/>
      <c r="U38" s="9"/>
      <c r="V38" s="267" t="s">
        <v>676</v>
      </c>
      <c r="W38" s="81"/>
      <c r="X38" s="8"/>
      <c r="Y38" s="8"/>
      <c r="Z38" s="8"/>
      <c r="AA38" s="8"/>
      <c r="AB38" s="8"/>
      <c r="AC38" s="8"/>
      <c r="AD38" s="8"/>
      <c r="AE38" s="9"/>
      <c r="AF38" s="81"/>
      <c r="AG38" s="8"/>
      <c r="AH38" s="8"/>
      <c r="AI38" s="8"/>
      <c r="AJ38" s="8"/>
      <c r="AK38" s="8"/>
      <c r="AL38" s="8"/>
      <c r="AM38" s="8"/>
      <c r="AN38" s="8"/>
      <c r="AO38" s="8"/>
      <c r="AP38" s="9"/>
      <c r="AQ38" s="81" t="s">
        <v>556</v>
      </c>
      <c r="AR38" s="8"/>
      <c r="AS38" s="8"/>
      <c r="AT38" s="8"/>
      <c r="AU38" s="8"/>
      <c r="AV38" s="8"/>
      <c r="AW38" s="8"/>
      <c r="AX38" s="8"/>
      <c r="AY38" s="8"/>
      <c r="AZ38" s="8"/>
      <c r="BA38" s="8"/>
      <c r="BB38" s="8"/>
      <c r="BC38" s="8"/>
      <c r="BD38" s="8"/>
      <c r="BE38" s="8"/>
      <c r="BF38" s="8"/>
      <c r="BG38" s="8"/>
      <c r="BH38" s="8"/>
      <c r="BI38" s="8"/>
      <c r="BJ38" s="8"/>
      <c r="BK38" s="12"/>
    </row>
    <row r="39" spans="1:63" ht="13.5" customHeight="1">
      <c r="A39" s="667">
        <v>21</v>
      </c>
      <c r="B39" s="668"/>
      <c r="C39" s="266" t="s">
        <v>676</v>
      </c>
      <c r="D39" s="81" t="s">
        <v>681</v>
      </c>
      <c r="E39" s="8"/>
      <c r="F39" s="8"/>
      <c r="G39" s="8"/>
      <c r="H39" s="8"/>
      <c r="I39" s="8"/>
      <c r="J39" s="9"/>
      <c r="K39" s="81" t="s">
        <v>709</v>
      </c>
      <c r="L39" s="8"/>
      <c r="M39" s="8"/>
      <c r="N39" s="8"/>
      <c r="O39" s="8"/>
      <c r="P39" s="8"/>
      <c r="Q39" s="8"/>
      <c r="R39" s="8"/>
      <c r="S39" s="8"/>
      <c r="T39" s="8"/>
      <c r="U39" s="9"/>
      <c r="V39" s="267" t="s">
        <v>676</v>
      </c>
      <c r="W39" s="81"/>
      <c r="X39" s="8"/>
      <c r="Y39" s="8"/>
      <c r="Z39" s="8"/>
      <c r="AA39" s="8"/>
      <c r="AB39" s="8"/>
      <c r="AC39" s="8"/>
      <c r="AD39" s="8"/>
      <c r="AE39" s="9"/>
      <c r="AF39" s="81"/>
      <c r="AG39" s="8"/>
      <c r="AH39" s="8"/>
      <c r="AI39" s="8"/>
      <c r="AJ39" s="8"/>
      <c r="AK39" s="8"/>
      <c r="AL39" s="8"/>
      <c r="AM39" s="8"/>
      <c r="AN39" s="8"/>
      <c r="AO39" s="8"/>
      <c r="AP39" s="9"/>
      <c r="AQ39" s="81" t="s">
        <v>556</v>
      </c>
      <c r="AR39" s="8"/>
      <c r="AS39" s="8"/>
      <c r="AT39" s="8"/>
      <c r="AU39" s="8"/>
      <c r="AV39" s="8"/>
      <c r="AW39" s="8"/>
      <c r="AX39" s="8"/>
      <c r="AY39" s="8"/>
      <c r="AZ39" s="8"/>
      <c r="BA39" s="8"/>
      <c r="BB39" s="8"/>
      <c r="BC39" s="8"/>
      <c r="BD39" s="8"/>
      <c r="BE39" s="8"/>
      <c r="BF39" s="8"/>
      <c r="BG39" s="8"/>
      <c r="BH39" s="8"/>
      <c r="BI39" s="8"/>
      <c r="BJ39" s="8"/>
      <c r="BK39" s="12"/>
    </row>
    <row r="40" spans="1:63" ht="13.5" customHeight="1">
      <c r="A40" s="667">
        <v>22</v>
      </c>
      <c r="B40" s="668"/>
      <c r="C40" s="266" t="s">
        <v>676</v>
      </c>
      <c r="D40" s="81" t="s">
        <v>681</v>
      </c>
      <c r="E40" s="8"/>
      <c r="F40" s="8"/>
      <c r="G40" s="8"/>
      <c r="H40" s="8"/>
      <c r="I40" s="8"/>
      <c r="J40" s="9"/>
      <c r="K40" s="81" t="s">
        <v>673</v>
      </c>
      <c r="L40" s="8"/>
      <c r="M40" s="8"/>
      <c r="N40" s="8"/>
      <c r="O40" s="8"/>
      <c r="P40" s="8"/>
      <c r="Q40" s="8"/>
      <c r="R40" s="8"/>
      <c r="S40" s="8"/>
      <c r="T40" s="8"/>
      <c r="U40" s="9"/>
      <c r="V40" s="267" t="s">
        <v>676</v>
      </c>
      <c r="W40" s="81" t="s">
        <v>697</v>
      </c>
      <c r="X40" s="8"/>
      <c r="Y40" s="8"/>
      <c r="Z40" s="8"/>
      <c r="AA40" s="8"/>
      <c r="AB40" s="8"/>
      <c r="AC40" s="8"/>
      <c r="AD40" s="8"/>
      <c r="AE40" s="9"/>
      <c r="AF40" s="81" t="s">
        <v>673</v>
      </c>
      <c r="AG40" s="8"/>
      <c r="AH40" s="8"/>
      <c r="AI40" s="8"/>
      <c r="AJ40" s="8"/>
      <c r="AK40" s="8"/>
      <c r="AL40" s="8"/>
      <c r="AM40" s="8"/>
      <c r="AN40" s="8"/>
      <c r="AO40" s="8"/>
      <c r="AP40" s="9"/>
      <c r="AQ40" s="81"/>
      <c r="AR40" s="8"/>
      <c r="AS40" s="8"/>
      <c r="AT40" s="8"/>
      <c r="AU40" s="8"/>
      <c r="AV40" s="8"/>
      <c r="AW40" s="8"/>
      <c r="AX40" s="8"/>
      <c r="AY40" s="8"/>
      <c r="AZ40" s="8"/>
      <c r="BA40" s="8"/>
      <c r="BB40" s="8"/>
      <c r="BC40" s="8"/>
      <c r="BD40" s="8"/>
      <c r="BE40" s="8"/>
      <c r="BF40" s="8"/>
      <c r="BG40" s="8"/>
      <c r="BH40" s="8"/>
      <c r="BI40" s="8"/>
      <c r="BJ40" s="8"/>
      <c r="BK40" s="12"/>
    </row>
    <row r="41" spans="1:63" ht="13.5" customHeight="1">
      <c r="A41" s="667">
        <v>23</v>
      </c>
      <c r="B41" s="668"/>
      <c r="C41" s="266" t="s">
        <v>676</v>
      </c>
      <c r="D41" s="81" t="s">
        <v>681</v>
      </c>
      <c r="E41" s="8"/>
      <c r="F41" s="8"/>
      <c r="G41" s="8"/>
      <c r="H41" s="8"/>
      <c r="I41" s="8"/>
      <c r="J41" s="9"/>
      <c r="K41" s="81" t="s">
        <v>677</v>
      </c>
      <c r="L41" s="8"/>
      <c r="M41" s="8"/>
      <c r="N41" s="8"/>
      <c r="O41" s="8"/>
      <c r="P41" s="8"/>
      <c r="Q41" s="8"/>
      <c r="R41" s="8"/>
      <c r="S41" s="8"/>
      <c r="T41" s="8"/>
      <c r="U41" s="9"/>
      <c r="V41" s="267" t="s">
        <v>676</v>
      </c>
      <c r="W41" s="81" t="s">
        <v>697</v>
      </c>
      <c r="X41" s="8"/>
      <c r="Y41" s="8"/>
      <c r="Z41" s="8"/>
      <c r="AA41" s="8"/>
      <c r="AB41" s="8"/>
      <c r="AC41" s="8"/>
      <c r="AD41" s="8"/>
      <c r="AE41" s="9"/>
      <c r="AF41" s="81" t="s">
        <v>677</v>
      </c>
      <c r="AG41" s="8"/>
      <c r="AH41" s="8"/>
      <c r="AI41" s="8"/>
      <c r="AJ41" s="8"/>
      <c r="AK41" s="8"/>
      <c r="AL41" s="8"/>
      <c r="AM41" s="8"/>
      <c r="AN41" s="8"/>
      <c r="AO41" s="8"/>
      <c r="AP41" s="9"/>
      <c r="AQ41" s="81"/>
      <c r="AR41" s="8"/>
      <c r="AS41" s="8"/>
      <c r="AT41" s="8"/>
      <c r="AU41" s="8"/>
      <c r="AV41" s="8"/>
      <c r="AW41" s="8"/>
      <c r="AX41" s="8"/>
      <c r="AY41" s="8"/>
      <c r="AZ41" s="8"/>
      <c r="BA41" s="8"/>
      <c r="BB41" s="8"/>
      <c r="BC41" s="8"/>
      <c r="BD41" s="8"/>
      <c r="BE41" s="8"/>
      <c r="BF41" s="8"/>
      <c r="BG41" s="8"/>
      <c r="BH41" s="8"/>
      <c r="BI41" s="8"/>
      <c r="BJ41" s="8"/>
      <c r="BK41" s="12"/>
    </row>
    <row r="42" spans="1:63" ht="13.5" customHeight="1">
      <c r="A42" s="667">
        <v>24</v>
      </c>
      <c r="B42" s="668"/>
      <c r="C42" s="266" t="s">
        <v>676</v>
      </c>
      <c r="D42" s="81" t="s">
        <v>681</v>
      </c>
      <c r="E42" s="8"/>
      <c r="F42" s="8"/>
      <c r="G42" s="8"/>
      <c r="H42" s="8"/>
      <c r="I42" s="8"/>
      <c r="J42" s="9"/>
      <c r="K42" s="81" t="s">
        <v>710</v>
      </c>
      <c r="L42" s="8"/>
      <c r="M42" s="8"/>
      <c r="N42" s="8"/>
      <c r="O42" s="8"/>
      <c r="P42" s="8"/>
      <c r="Q42" s="8"/>
      <c r="R42" s="8"/>
      <c r="S42" s="8"/>
      <c r="T42" s="8"/>
      <c r="U42" s="9"/>
      <c r="V42" s="267" t="s">
        <v>676</v>
      </c>
      <c r="W42" s="81" t="s">
        <v>697</v>
      </c>
      <c r="X42" s="8"/>
      <c r="Y42" s="8"/>
      <c r="Z42" s="8"/>
      <c r="AA42" s="8"/>
      <c r="AB42" s="8"/>
      <c r="AC42" s="8"/>
      <c r="AD42" s="8"/>
      <c r="AE42" s="9"/>
      <c r="AF42" s="81" t="s">
        <v>710</v>
      </c>
      <c r="AG42" s="8"/>
      <c r="AH42" s="8"/>
      <c r="AI42" s="8"/>
      <c r="AJ42" s="8"/>
      <c r="AK42" s="8"/>
      <c r="AL42" s="8"/>
      <c r="AM42" s="8"/>
      <c r="AN42" s="8"/>
      <c r="AO42" s="8"/>
      <c r="AP42" s="9"/>
      <c r="AQ42" s="81"/>
      <c r="AR42" s="8"/>
      <c r="AS42" s="8"/>
      <c r="AT42" s="8"/>
      <c r="AU42" s="8"/>
      <c r="AV42" s="8"/>
      <c r="AW42" s="8"/>
      <c r="AX42" s="8"/>
      <c r="AY42" s="8"/>
      <c r="AZ42" s="8"/>
      <c r="BA42" s="8"/>
      <c r="BB42" s="8"/>
      <c r="BC42" s="8"/>
      <c r="BD42" s="8"/>
      <c r="BE42" s="8"/>
      <c r="BF42" s="8"/>
      <c r="BG42" s="8"/>
      <c r="BH42" s="8"/>
      <c r="BI42" s="8"/>
      <c r="BJ42" s="8"/>
      <c r="BK42" s="12"/>
    </row>
    <row r="43" spans="1:63" ht="13.5" customHeight="1">
      <c r="A43" s="667">
        <v>25</v>
      </c>
      <c r="B43" s="668"/>
      <c r="C43" s="266" t="s">
        <v>676</v>
      </c>
      <c r="D43" s="81" t="s">
        <v>681</v>
      </c>
      <c r="E43" s="8"/>
      <c r="F43" s="8"/>
      <c r="G43" s="8"/>
      <c r="H43" s="8"/>
      <c r="I43" s="8"/>
      <c r="J43" s="9"/>
      <c r="K43" s="81" t="s">
        <v>711</v>
      </c>
      <c r="L43" s="8"/>
      <c r="M43" s="8"/>
      <c r="N43" s="8"/>
      <c r="O43" s="8"/>
      <c r="P43" s="8"/>
      <c r="Q43" s="8"/>
      <c r="R43" s="8"/>
      <c r="S43" s="8"/>
      <c r="T43" s="8"/>
      <c r="U43" s="9"/>
      <c r="V43" s="267" t="s">
        <v>676</v>
      </c>
      <c r="W43" s="81" t="s">
        <v>697</v>
      </c>
      <c r="X43" s="8"/>
      <c r="Y43" s="8"/>
      <c r="Z43" s="8"/>
      <c r="AA43" s="8"/>
      <c r="AB43" s="8"/>
      <c r="AC43" s="8"/>
      <c r="AD43" s="8"/>
      <c r="AE43" s="9"/>
      <c r="AF43" s="81" t="s">
        <v>711</v>
      </c>
      <c r="AG43" s="8"/>
      <c r="AH43" s="8"/>
      <c r="AI43" s="8"/>
      <c r="AJ43" s="8"/>
      <c r="AK43" s="8"/>
      <c r="AL43" s="8"/>
      <c r="AM43" s="8"/>
      <c r="AN43" s="8"/>
      <c r="AO43" s="8"/>
      <c r="AP43" s="9"/>
      <c r="AQ43" s="81"/>
      <c r="AR43" s="8"/>
      <c r="AS43" s="8"/>
      <c r="AT43" s="8"/>
      <c r="AU43" s="8"/>
      <c r="AV43" s="8"/>
      <c r="AW43" s="8"/>
      <c r="AX43" s="8"/>
      <c r="AY43" s="8"/>
      <c r="AZ43" s="8"/>
      <c r="BA43" s="8"/>
      <c r="BB43" s="8"/>
      <c r="BC43" s="8"/>
      <c r="BD43" s="8"/>
      <c r="BE43" s="8"/>
      <c r="BF43" s="8"/>
      <c r="BG43" s="8"/>
      <c r="BH43" s="8"/>
      <c r="BI43" s="8"/>
      <c r="BJ43" s="8"/>
      <c r="BK43" s="12"/>
    </row>
    <row r="44" spans="1:63" ht="13.5" customHeight="1">
      <c r="A44" s="667">
        <v>26</v>
      </c>
      <c r="B44" s="668"/>
      <c r="C44" s="266" t="s">
        <v>676</v>
      </c>
      <c r="D44" s="81" t="s">
        <v>681</v>
      </c>
      <c r="E44" s="8"/>
      <c r="F44" s="8"/>
      <c r="G44" s="8"/>
      <c r="H44" s="8"/>
      <c r="I44" s="8"/>
      <c r="J44" s="9"/>
      <c r="K44" s="81" t="s">
        <v>712</v>
      </c>
      <c r="L44" s="8"/>
      <c r="M44" s="8"/>
      <c r="N44" s="8"/>
      <c r="O44" s="8"/>
      <c r="P44" s="8"/>
      <c r="Q44" s="8"/>
      <c r="R44" s="8"/>
      <c r="S44" s="8"/>
      <c r="T44" s="8"/>
      <c r="U44" s="9"/>
      <c r="V44" s="267" t="s">
        <v>676</v>
      </c>
      <c r="W44" s="81" t="s">
        <v>697</v>
      </c>
      <c r="X44" s="8"/>
      <c r="Y44" s="8"/>
      <c r="Z44" s="8"/>
      <c r="AA44" s="8"/>
      <c r="AB44" s="8"/>
      <c r="AC44" s="8"/>
      <c r="AD44" s="8"/>
      <c r="AE44" s="9"/>
      <c r="AF44" s="81" t="s">
        <v>712</v>
      </c>
      <c r="AG44" s="8"/>
      <c r="AH44" s="8"/>
      <c r="AI44" s="8"/>
      <c r="AJ44" s="8"/>
      <c r="AK44" s="8"/>
      <c r="AL44" s="8"/>
      <c r="AM44" s="8"/>
      <c r="AN44" s="8"/>
      <c r="AO44" s="8"/>
      <c r="AP44" s="9"/>
      <c r="AQ44" s="81"/>
      <c r="AR44" s="8"/>
      <c r="AS44" s="8"/>
      <c r="AT44" s="8"/>
      <c r="AU44" s="8"/>
      <c r="AV44" s="8"/>
      <c r="AW44" s="8"/>
      <c r="AX44" s="8"/>
      <c r="AY44" s="8"/>
      <c r="AZ44" s="8"/>
      <c r="BA44" s="8"/>
      <c r="BB44" s="8"/>
      <c r="BC44" s="8"/>
      <c r="BD44" s="8"/>
      <c r="BE44" s="8"/>
      <c r="BF44" s="8"/>
      <c r="BG44" s="8"/>
      <c r="BH44" s="8"/>
      <c r="BI44" s="8"/>
      <c r="BJ44" s="8"/>
      <c r="BK44" s="12"/>
    </row>
    <row r="45" spans="1:63" ht="27" customHeight="1">
      <c r="A45" s="667">
        <v>27</v>
      </c>
      <c r="B45" s="668"/>
      <c r="C45" s="266" t="s">
        <v>676</v>
      </c>
      <c r="D45" s="81" t="s">
        <v>681</v>
      </c>
      <c r="E45" s="8"/>
      <c r="F45" s="8"/>
      <c r="G45" s="8"/>
      <c r="H45" s="8"/>
      <c r="I45" s="8"/>
      <c r="J45" s="9"/>
      <c r="K45" s="81" t="s">
        <v>578</v>
      </c>
      <c r="L45" s="8"/>
      <c r="M45" s="8"/>
      <c r="N45" s="8"/>
      <c r="O45" s="8"/>
      <c r="P45" s="8"/>
      <c r="Q45" s="8"/>
      <c r="R45" s="8"/>
      <c r="S45" s="8"/>
      <c r="T45" s="8"/>
      <c r="U45" s="9"/>
      <c r="V45" s="267" t="s">
        <v>676</v>
      </c>
      <c r="W45" s="81"/>
      <c r="X45" s="8"/>
      <c r="Y45" s="8"/>
      <c r="Z45" s="8"/>
      <c r="AA45" s="8"/>
      <c r="AB45" s="8"/>
      <c r="AC45" s="8"/>
      <c r="AD45" s="8"/>
      <c r="AE45" s="9"/>
      <c r="AF45" s="81"/>
      <c r="AG45" s="8"/>
      <c r="AH45" s="8"/>
      <c r="AI45" s="8"/>
      <c r="AJ45" s="8"/>
      <c r="AK45" s="8"/>
      <c r="AL45" s="8"/>
      <c r="AM45" s="8"/>
      <c r="AN45" s="8"/>
      <c r="AO45" s="8"/>
      <c r="AP45" s="9"/>
      <c r="AQ45" s="669" t="s">
        <v>713</v>
      </c>
      <c r="AR45" s="670"/>
      <c r="AS45" s="670"/>
      <c r="AT45" s="670"/>
      <c r="AU45" s="670"/>
      <c r="AV45" s="670"/>
      <c r="AW45" s="670"/>
      <c r="AX45" s="670"/>
      <c r="AY45" s="670"/>
      <c r="AZ45" s="670"/>
      <c r="BA45" s="670"/>
      <c r="BB45" s="670"/>
      <c r="BC45" s="670"/>
      <c r="BD45" s="670"/>
      <c r="BE45" s="670"/>
      <c r="BF45" s="670"/>
      <c r="BG45" s="670"/>
      <c r="BH45" s="670"/>
      <c r="BI45" s="670"/>
      <c r="BJ45" s="670"/>
      <c r="BK45" s="671"/>
    </row>
    <row r="46" spans="1:63" ht="27" customHeight="1">
      <c r="A46" s="667">
        <v>28</v>
      </c>
      <c r="B46" s="668"/>
      <c r="C46" s="266" t="s">
        <v>676</v>
      </c>
      <c r="D46" s="81" t="s">
        <v>681</v>
      </c>
      <c r="E46" s="8"/>
      <c r="F46" s="8"/>
      <c r="G46" s="8"/>
      <c r="H46" s="8"/>
      <c r="I46" s="8"/>
      <c r="J46" s="9"/>
      <c r="K46" s="81" t="s">
        <v>580</v>
      </c>
      <c r="L46" s="8"/>
      <c r="M46" s="8"/>
      <c r="N46" s="8"/>
      <c r="O46" s="8"/>
      <c r="P46" s="8"/>
      <c r="Q46" s="8"/>
      <c r="R46" s="8"/>
      <c r="S46" s="8"/>
      <c r="T46" s="8"/>
      <c r="U46" s="9"/>
      <c r="V46" s="267" t="s">
        <v>676</v>
      </c>
      <c r="W46" s="81"/>
      <c r="X46" s="8"/>
      <c r="Y46" s="8"/>
      <c r="Z46" s="8"/>
      <c r="AA46" s="8"/>
      <c r="AB46" s="8"/>
      <c r="AC46" s="8"/>
      <c r="AD46" s="8"/>
      <c r="AE46" s="9"/>
      <c r="AF46" s="81"/>
      <c r="AG46" s="8"/>
      <c r="AH46" s="8"/>
      <c r="AI46" s="8"/>
      <c r="AJ46" s="8"/>
      <c r="AK46" s="8"/>
      <c r="AL46" s="8"/>
      <c r="AM46" s="8"/>
      <c r="AN46" s="8"/>
      <c r="AO46" s="8"/>
      <c r="AP46" s="9"/>
      <c r="AQ46" s="669" t="s">
        <v>713</v>
      </c>
      <c r="AR46" s="670"/>
      <c r="AS46" s="670"/>
      <c r="AT46" s="670"/>
      <c r="AU46" s="670"/>
      <c r="AV46" s="670"/>
      <c r="AW46" s="670"/>
      <c r="AX46" s="670"/>
      <c r="AY46" s="670"/>
      <c r="AZ46" s="670"/>
      <c r="BA46" s="670"/>
      <c r="BB46" s="670"/>
      <c r="BC46" s="670"/>
      <c r="BD46" s="670"/>
      <c r="BE46" s="670"/>
      <c r="BF46" s="670"/>
      <c r="BG46" s="670"/>
      <c r="BH46" s="670"/>
      <c r="BI46" s="670"/>
      <c r="BJ46" s="670"/>
      <c r="BK46" s="671"/>
    </row>
    <row r="47" spans="1:63" ht="27" customHeight="1">
      <c r="A47" s="667">
        <v>29</v>
      </c>
      <c r="B47" s="668"/>
      <c r="C47" s="266" t="s">
        <v>676</v>
      </c>
      <c r="D47" s="81" t="s">
        <v>681</v>
      </c>
      <c r="E47" s="8"/>
      <c r="F47" s="8"/>
      <c r="G47" s="8"/>
      <c r="H47" s="8"/>
      <c r="I47" s="8"/>
      <c r="J47" s="9"/>
      <c r="K47" s="81" t="s">
        <v>582</v>
      </c>
      <c r="L47" s="8"/>
      <c r="M47" s="8"/>
      <c r="N47" s="8"/>
      <c r="O47" s="8"/>
      <c r="P47" s="8"/>
      <c r="Q47" s="8"/>
      <c r="R47" s="8"/>
      <c r="S47" s="8"/>
      <c r="T47" s="8"/>
      <c r="U47" s="9"/>
      <c r="V47" s="267" t="s">
        <v>676</v>
      </c>
      <c r="W47" s="81"/>
      <c r="X47" s="8"/>
      <c r="Y47" s="8"/>
      <c r="Z47" s="8"/>
      <c r="AA47" s="8"/>
      <c r="AB47" s="8"/>
      <c r="AC47" s="8"/>
      <c r="AD47" s="8"/>
      <c r="AE47" s="9"/>
      <c r="AF47" s="81"/>
      <c r="AG47" s="8"/>
      <c r="AH47" s="8"/>
      <c r="AI47" s="8"/>
      <c r="AJ47" s="8"/>
      <c r="AK47" s="8"/>
      <c r="AL47" s="8"/>
      <c r="AM47" s="8"/>
      <c r="AN47" s="8"/>
      <c r="AO47" s="8"/>
      <c r="AP47" s="9"/>
      <c r="AQ47" s="669" t="s">
        <v>713</v>
      </c>
      <c r="AR47" s="670"/>
      <c r="AS47" s="670"/>
      <c r="AT47" s="670"/>
      <c r="AU47" s="670"/>
      <c r="AV47" s="670"/>
      <c r="AW47" s="670"/>
      <c r="AX47" s="670"/>
      <c r="AY47" s="670"/>
      <c r="AZ47" s="670"/>
      <c r="BA47" s="670"/>
      <c r="BB47" s="670"/>
      <c r="BC47" s="670"/>
      <c r="BD47" s="670"/>
      <c r="BE47" s="670"/>
      <c r="BF47" s="670"/>
      <c r="BG47" s="670"/>
      <c r="BH47" s="670"/>
      <c r="BI47" s="670"/>
      <c r="BJ47" s="670"/>
      <c r="BK47" s="671"/>
    </row>
    <row r="48" spans="1:63" ht="13.5" customHeight="1">
      <c r="A48" s="667">
        <v>30</v>
      </c>
      <c r="B48" s="668"/>
      <c r="C48" s="266" t="s">
        <v>676</v>
      </c>
      <c r="D48" s="81" t="s">
        <v>681</v>
      </c>
      <c r="E48" s="8"/>
      <c r="F48" s="8"/>
      <c r="G48" s="8"/>
      <c r="H48" s="8"/>
      <c r="I48" s="8"/>
      <c r="J48" s="9"/>
      <c r="K48" s="81" t="s">
        <v>652</v>
      </c>
      <c r="L48" s="8"/>
      <c r="M48" s="8"/>
      <c r="N48" s="8"/>
      <c r="O48" s="8"/>
      <c r="P48" s="8"/>
      <c r="Q48" s="8"/>
      <c r="R48" s="8"/>
      <c r="S48" s="8"/>
      <c r="T48" s="8"/>
      <c r="U48" s="9"/>
      <c r="V48" s="267" t="s">
        <v>676</v>
      </c>
      <c r="W48" s="81" t="s">
        <v>697</v>
      </c>
      <c r="X48" s="8"/>
      <c r="Y48" s="8"/>
      <c r="Z48" s="8"/>
      <c r="AA48" s="8"/>
      <c r="AB48" s="8"/>
      <c r="AC48" s="8"/>
      <c r="AD48" s="8"/>
      <c r="AE48" s="9"/>
      <c r="AF48" s="81" t="s">
        <v>601</v>
      </c>
      <c r="AG48" s="8"/>
      <c r="AH48" s="8"/>
      <c r="AI48" s="8"/>
      <c r="AJ48" s="8"/>
      <c r="AK48" s="8"/>
      <c r="AL48" s="8"/>
      <c r="AM48" s="8"/>
      <c r="AN48" s="8"/>
      <c r="AO48" s="8"/>
      <c r="AP48" s="9"/>
      <c r="AQ48" s="81"/>
      <c r="AR48" s="8"/>
      <c r="AS48" s="8"/>
      <c r="AT48" s="8"/>
      <c r="AU48" s="8"/>
      <c r="AV48" s="8"/>
      <c r="AW48" s="8"/>
      <c r="AX48" s="8"/>
      <c r="AY48" s="8"/>
      <c r="AZ48" s="8"/>
      <c r="BA48" s="8"/>
      <c r="BB48" s="8"/>
      <c r="BC48" s="8"/>
      <c r="BD48" s="8"/>
      <c r="BE48" s="8"/>
      <c r="BF48" s="8"/>
      <c r="BG48" s="8"/>
      <c r="BH48" s="8"/>
      <c r="BI48" s="8"/>
      <c r="BJ48" s="8"/>
      <c r="BK48" s="12"/>
    </row>
    <row r="49" spans="1:63" ht="13.5" customHeight="1">
      <c r="A49" s="667">
        <v>31</v>
      </c>
      <c r="B49" s="668"/>
      <c r="C49" s="266" t="s">
        <v>676</v>
      </c>
      <c r="D49" s="81" t="s">
        <v>681</v>
      </c>
      <c r="E49" s="8"/>
      <c r="F49" s="8"/>
      <c r="G49" s="8"/>
      <c r="H49" s="8"/>
      <c r="I49" s="8"/>
      <c r="J49" s="9"/>
      <c r="K49" s="81" t="s">
        <v>654</v>
      </c>
      <c r="L49" s="8"/>
      <c r="M49" s="8"/>
      <c r="N49" s="8"/>
      <c r="O49" s="8"/>
      <c r="P49" s="8"/>
      <c r="Q49" s="8"/>
      <c r="R49" s="8"/>
      <c r="S49" s="8"/>
      <c r="T49" s="8"/>
      <c r="U49" s="9"/>
      <c r="V49" s="267" t="s">
        <v>676</v>
      </c>
      <c r="W49" s="81" t="s">
        <v>697</v>
      </c>
      <c r="X49" s="8"/>
      <c r="Y49" s="8"/>
      <c r="Z49" s="8"/>
      <c r="AA49" s="8"/>
      <c r="AB49" s="8"/>
      <c r="AC49" s="8"/>
      <c r="AD49" s="8"/>
      <c r="AE49" s="9"/>
      <c r="AF49" s="81" t="s">
        <v>603</v>
      </c>
      <c r="AG49" s="8"/>
      <c r="AH49" s="8"/>
      <c r="AI49" s="8"/>
      <c r="AJ49" s="8"/>
      <c r="AK49" s="8"/>
      <c r="AL49" s="8"/>
      <c r="AM49" s="8"/>
      <c r="AN49" s="8"/>
      <c r="AO49" s="8"/>
      <c r="AP49" s="9"/>
      <c r="AQ49" s="81"/>
      <c r="AR49" s="8"/>
      <c r="AS49" s="8"/>
      <c r="AT49" s="8"/>
      <c r="AU49" s="8"/>
      <c r="AV49" s="8"/>
      <c r="AW49" s="8"/>
      <c r="AX49" s="8"/>
      <c r="AY49" s="8"/>
      <c r="AZ49" s="8"/>
      <c r="BA49" s="8"/>
      <c r="BB49" s="8"/>
      <c r="BC49" s="8"/>
      <c r="BD49" s="8"/>
      <c r="BE49" s="8"/>
      <c r="BF49" s="8"/>
      <c r="BG49" s="8"/>
      <c r="BH49" s="8"/>
      <c r="BI49" s="8"/>
      <c r="BJ49" s="8"/>
      <c r="BK49" s="12"/>
    </row>
    <row r="50" spans="1:63" ht="13.5" customHeight="1">
      <c r="A50" s="676">
        <v>32</v>
      </c>
      <c r="B50" s="677"/>
      <c r="C50" s="279" t="s">
        <v>676</v>
      </c>
      <c r="D50" s="69" t="s">
        <v>681</v>
      </c>
      <c r="E50" s="67"/>
      <c r="F50" s="67"/>
      <c r="G50" s="67"/>
      <c r="H50" s="67"/>
      <c r="I50" s="67"/>
      <c r="J50" s="68"/>
      <c r="K50" s="69" t="s">
        <v>714</v>
      </c>
      <c r="L50" s="67"/>
      <c r="M50" s="67"/>
      <c r="N50" s="67"/>
      <c r="O50" s="67"/>
      <c r="P50" s="67"/>
      <c r="Q50" s="67"/>
      <c r="R50" s="67"/>
      <c r="S50" s="67"/>
      <c r="T50" s="67"/>
      <c r="U50" s="68"/>
      <c r="V50" s="267" t="s">
        <v>676</v>
      </c>
      <c r="W50" s="81" t="s">
        <v>697</v>
      </c>
      <c r="X50" s="8"/>
      <c r="Y50" s="8"/>
      <c r="Z50" s="8"/>
      <c r="AA50" s="8"/>
      <c r="AB50" s="8"/>
      <c r="AC50" s="8"/>
      <c r="AD50" s="8"/>
      <c r="AE50" s="9"/>
      <c r="AF50" s="81" t="s">
        <v>239</v>
      </c>
      <c r="AG50" s="8"/>
      <c r="AH50" s="8"/>
      <c r="AI50" s="8"/>
      <c r="AJ50" s="8"/>
      <c r="AK50" s="8"/>
      <c r="AL50" s="8"/>
      <c r="AM50" s="8"/>
      <c r="AN50" s="8"/>
      <c r="AO50" s="8"/>
      <c r="AP50" s="9"/>
      <c r="AQ50" s="81" t="s">
        <v>715</v>
      </c>
      <c r="AR50" s="8"/>
      <c r="AS50" s="8"/>
      <c r="AT50" s="8"/>
      <c r="AU50" s="8"/>
      <c r="AV50" s="8"/>
      <c r="AW50" s="8"/>
      <c r="AX50" s="8"/>
      <c r="AY50" s="8"/>
      <c r="AZ50" s="8"/>
      <c r="BA50" s="8"/>
      <c r="BB50" s="8"/>
      <c r="BC50" s="8"/>
      <c r="BD50" s="8"/>
      <c r="BE50" s="8"/>
      <c r="BF50" s="8"/>
      <c r="BG50" s="8"/>
      <c r="BH50" s="8"/>
      <c r="BI50" s="8"/>
      <c r="BJ50" s="8"/>
      <c r="BK50" s="12"/>
    </row>
    <row r="51" spans="1:63" ht="40.5" customHeight="1">
      <c r="A51" s="280"/>
      <c r="B51" s="281"/>
      <c r="C51" s="282"/>
      <c r="D51" s="73"/>
      <c r="E51" s="74"/>
      <c r="F51" s="74"/>
      <c r="G51" s="74"/>
      <c r="H51" s="74"/>
      <c r="I51" s="74"/>
      <c r="J51" s="75"/>
      <c r="K51" s="73"/>
      <c r="L51" s="74"/>
      <c r="M51" s="74"/>
      <c r="N51" s="74"/>
      <c r="O51" s="74"/>
      <c r="P51" s="74"/>
      <c r="Q51" s="74"/>
      <c r="R51" s="74"/>
      <c r="S51" s="74"/>
      <c r="T51" s="74"/>
      <c r="U51" s="75"/>
      <c r="V51" s="267" t="s">
        <v>676</v>
      </c>
      <c r="W51" s="81" t="s">
        <v>690</v>
      </c>
      <c r="X51" s="8"/>
      <c r="Y51" s="8"/>
      <c r="Z51" s="8"/>
      <c r="AA51" s="8"/>
      <c r="AB51" s="8"/>
      <c r="AC51" s="8"/>
      <c r="AD51" s="8"/>
      <c r="AE51" s="9"/>
      <c r="AF51" s="81" t="s">
        <v>409</v>
      </c>
      <c r="AG51" s="8"/>
      <c r="AH51" s="8"/>
      <c r="AI51" s="8"/>
      <c r="AJ51" s="8"/>
      <c r="AK51" s="8"/>
      <c r="AL51" s="8"/>
      <c r="AM51" s="8"/>
      <c r="AN51" s="8"/>
      <c r="AO51" s="8"/>
      <c r="AP51" s="9"/>
      <c r="AQ51" s="669" t="s">
        <v>716</v>
      </c>
      <c r="AR51" s="670"/>
      <c r="AS51" s="670"/>
      <c r="AT51" s="670"/>
      <c r="AU51" s="670"/>
      <c r="AV51" s="670"/>
      <c r="AW51" s="670"/>
      <c r="AX51" s="670"/>
      <c r="AY51" s="670"/>
      <c r="AZ51" s="670"/>
      <c r="BA51" s="670"/>
      <c r="BB51" s="670"/>
      <c r="BC51" s="670"/>
      <c r="BD51" s="670"/>
      <c r="BE51" s="670"/>
      <c r="BF51" s="670"/>
      <c r="BG51" s="670"/>
      <c r="BH51" s="670"/>
      <c r="BI51" s="670"/>
      <c r="BJ51" s="670"/>
      <c r="BK51" s="671"/>
    </row>
    <row r="52" spans="1:63" ht="13.5" customHeight="1">
      <c r="A52" s="676">
        <v>33</v>
      </c>
      <c r="B52" s="677"/>
      <c r="C52" s="279" t="s">
        <v>676</v>
      </c>
      <c r="D52" s="69" t="s">
        <v>681</v>
      </c>
      <c r="E52" s="67"/>
      <c r="F52" s="67"/>
      <c r="G52" s="67"/>
      <c r="H52" s="67"/>
      <c r="I52" s="67"/>
      <c r="J52" s="68"/>
      <c r="K52" s="69" t="s">
        <v>717</v>
      </c>
      <c r="L52" s="67"/>
      <c r="M52" s="67"/>
      <c r="N52" s="67"/>
      <c r="O52" s="67"/>
      <c r="P52" s="67"/>
      <c r="Q52" s="67"/>
      <c r="R52" s="67"/>
      <c r="S52" s="67"/>
      <c r="T52" s="67"/>
      <c r="U52" s="68"/>
      <c r="V52" s="267" t="s">
        <v>676</v>
      </c>
      <c r="W52" s="81" t="s">
        <v>697</v>
      </c>
      <c r="X52" s="8"/>
      <c r="Y52" s="8"/>
      <c r="Z52" s="8"/>
      <c r="AA52" s="8"/>
      <c r="AB52" s="8"/>
      <c r="AC52" s="8"/>
      <c r="AD52" s="8"/>
      <c r="AE52" s="9"/>
      <c r="AF52" s="81" t="s">
        <v>239</v>
      </c>
      <c r="AG52" s="8"/>
      <c r="AH52" s="8"/>
      <c r="AI52" s="8"/>
      <c r="AJ52" s="8"/>
      <c r="AK52" s="8"/>
      <c r="AL52" s="8"/>
      <c r="AM52" s="8"/>
      <c r="AN52" s="8"/>
      <c r="AO52" s="8"/>
      <c r="AP52" s="9"/>
      <c r="AQ52" s="81" t="s">
        <v>715</v>
      </c>
      <c r="AR52" s="8"/>
      <c r="AS52" s="8"/>
      <c r="AT52" s="8"/>
      <c r="AU52" s="8"/>
      <c r="AV52" s="8"/>
      <c r="AW52" s="8"/>
      <c r="AX52" s="8"/>
      <c r="AY52" s="8"/>
      <c r="AZ52" s="8"/>
      <c r="BA52" s="8"/>
      <c r="BB52" s="8"/>
      <c r="BC52" s="8"/>
      <c r="BD52" s="8"/>
      <c r="BE52" s="8"/>
      <c r="BF52" s="8"/>
      <c r="BG52" s="8"/>
      <c r="BH52" s="8"/>
      <c r="BI52" s="8"/>
      <c r="BJ52" s="8"/>
      <c r="BK52" s="12"/>
    </row>
    <row r="53" spans="1:63" ht="40.5" customHeight="1">
      <c r="A53" s="280"/>
      <c r="B53" s="281"/>
      <c r="C53" s="282"/>
      <c r="D53" s="73"/>
      <c r="E53" s="74"/>
      <c r="F53" s="74"/>
      <c r="G53" s="74"/>
      <c r="H53" s="74"/>
      <c r="I53" s="74"/>
      <c r="J53" s="75"/>
      <c r="K53" s="73"/>
      <c r="L53" s="74"/>
      <c r="M53" s="74"/>
      <c r="N53" s="74"/>
      <c r="O53" s="74"/>
      <c r="P53" s="74"/>
      <c r="Q53" s="74"/>
      <c r="R53" s="74"/>
      <c r="S53" s="74"/>
      <c r="T53" s="74"/>
      <c r="U53" s="75"/>
      <c r="V53" s="267" t="s">
        <v>676</v>
      </c>
      <c r="W53" s="81" t="s">
        <v>690</v>
      </c>
      <c r="X53" s="8"/>
      <c r="Y53" s="8"/>
      <c r="Z53" s="8"/>
      <c r="AA53" s="8"/>
      <c r="AB53" s="8"/>
      <c r="AC53" s="8"/>
      <c r="AD53" s="8"/>
      <c r="AE53" s="9"/>
      <c r="AF53" s="81" t="s">
        <v>409</v>
      </c>
      <c r="AG53" s="8"/>
      <c r="AH53" s="8"/>
      <c r="AI53" s="8"/>
      <c r="AJ53" s="8"/>
      <c r="AK53" s="8"/>
      <c r="AL53" s="8"/>
      <c r="AM53" s="8"/>
      <c r="AN53" s="8"/>
      <c r="AO53" s="8"/>
      <c r="AP53" s="9"/>
      <c r="AQ53" s="669" t="s">
        <v>718</v>
      </c>
      <c r="AR53" s="670"/>
      <c r="AS53" s="670"/>
      <c r="AT53" s="670"/>
      <c r="AU53" s="670"/>
      <c r="AV53" s="670"/>
      <c r="AW53" s="670"/>
      <c r="AX53" s="670"/>
      <c r="AY53" s="670"/>
      <c r="AZ53" s="670"/>
      <c r="BA53" s="670"/>
      <c r="BB53" s="670"/>
      <c r="BC53" s="670"/>
      <c r="BD53" s="670"/>
      <c r="BE53" s="670"/>
      <c r="BF53" s="670"/>
      <c r="BG53" s="670"/>
      <c r="BH53" s="670"/>
      <c r="BI53" s="670"/>
      <c r="BJ53" s="670"/>
      <c r="BK53" s="671"/>
    </row>
    <row r="54" spans="1:63" ht="13.5" customHeight="1">
      <c r="A54" s="667">
        <v>34</v>
      </c>
      <c r="B54" s="668"/>
      <c r="C54" s="266" t="s">
        <v>676</v>
      </c>
      <c r="D54" s="81" t="s">
        <v>681</v>
      </c>
      <c r="E54" s="8"/>
      <c r="F54" s="8"/>
      <c r="G54" s="8"/>
      <c r="H54" s="8"/>
      <c r="I54" s="8"/>
      <c r="J54" s="9"/>
      <c r="K54" s="81" t="s">
        <v>562</v>
      </c>
      <c r="L54" s="8"/>
      <c r="M54" s="8"/>
      <c r="N54" s="8"/>
      <c r="O54" s="8"/>
      <c r="P54" s="8"/>
      <c r="Q54" s="8"/>
      <c r="R54" s="8"/>
      <c r="S54" s="8"/>
      <c r="T54" s="8"/>
      <c r="U54" s="9"/>
      <c r="V54" s="267" t="s">
        <v>676</v>
      </c>
      <c r="W54" s="81"/>
      <c r="X54" s="8"/>
      <c r="Y54" s="8"/>
      <c r="Z54" s="8"/>
      <c r="AA54" s="8"/>
      <c r="AB54" s="8"/>
      <c r="AC54" s="8"/>
      <c r="AD54" s="8"/>
      <c r="AE54" s="9"/>
      <c r="AF54" s="81"/>
      <c r="AG54" s="8"/>
      <c r="AH54" s="8"/>
      <c r="AI54" s="8"/>
      <c r="AJ54" s="8"/>
      <c r="AK54" s="8"/>
      <c r="AL54" s="8"/>
      <c r="AM54" s="8"/>
      <c r="AN54" s="8"/>
      <c r="AO54" s="8"/>
      <c r="AP54" s="9"/>
      <c r="AQ54" s="81" t="s">
        <v>556</v>
      </c>
      <c r="AR54" s="8"/>
      <c r="AS54" s="8"/>
      <c r="AT54" s="8"/>
      <c r="AU54" s="8"/>
      <c r="AV54" s="8"/>
      <c r="AW54" s="8"/>
      <c r="AX54" s="8"/>
      <c r="AY54" s="8"/>
      <c r="AZ54" s="8"/>
      <c r="BA54" s="8"/>
      <c r="BB54" s="8"/>
      <c r="BC54" s="8"/>
      <c r="BD54" s="8"/>
      <c r="BE54" s="8"/>
      <c r="BF54" s="8"/>
      <c r="BG54" s="8"/>
      <c r="BH54" s="8"/>
      <c r="BI54" s="8"/>
      <c r="BJ54" s="8"/>
      <c r="BK54" s="12"/>
    </row>
    <row r="55" spans="1:63" ht="13.5" customHeight="1">
      <c r="A55" s="667">
        <v>35</v>
      </c>
      <c r="B55" s="668"/>
      <c r="C55" s="266" t="s">
        <v>676</v>
      </c>
      <c r="D55" s="81" t="s">
        <v>681</v>
      </c>
      <c r="E55" s="8"/>
      <c r="F55" s="8"/>
      <c r="G55" s="8"/>
      <c r="H55" s="8"/>
      <c r="I55" s="8"/>
      <c r="J55" s="9"/>
      <c r="K55" s="81" t="s">
        <v>568</v>
      </c>
      <c r="L55" s="8"/>
      <c r="M55" s="8"/>
      <c r="N55" s="8"/>
      <c r="O55" s="8"/>
      <c r="P55" s="8"/>
      <c r="Q55" s="8"/>
      <c r="R55" s="8"/>
      <c r="S55" s="8"/>
      <c r="T55" s="8"/>
      <c r="U55" s="9"/>
      <c r="V55" s="267" t="s">
        <v>676</v>
      </c>
      <c r="W55" s="81"/>
      <c r="X55" s="8"/>
      <c r="Y55" s="8"/>
      <c r="Z55" s="8"/>
      <c r="AA55" s="8"/>
      <c r="AB55" s="8"/>
      <c r="AC55" s="8"/>
      <c r="AD55" s="8"/>
      <c r="AE55" s="9"/>
      <c r="AF55" s="81"/>
      <c r="AG55" s="8"/>
      <c r="AH55" s="8"/>
      <c r="AI55" s="8"/>
      <c r="AJ55" s="8"/>
      <c r="AK55" s="8"/>
      <c r="AL55" s="8"/>
      <c r="AM55" s="8"/>
      <c r="AN55" s="8"/>
      <c r="AO55" s="8"/>
      <c r="AP55" s="9"/>
      <c r="AQ55" s="81" t="s">
        <v>556</v>
      </c>
      <c r="AR55" s="8"/>
      <c r="AS55" s="8"/>
      <c r="AT55" s="8"/>
      <c r="AU55" s="8"/>
      <c r="AV55" s="8"/>
      <c r="AW55" s="8"/>
      <c r="AX55" s="8"/>
      <c r="AY55" s="8"/>
      <c r="AZ55" s="8"/>
      <c r="BA55" s="8"/>
      <c r="BB55" s="8"/>
      <c r="BC55" s="8"/>
      <c r="BD55" s="8"/>
      <c r="BE55" s="8"/>
      <c r="BF55" s="8"/>
      <c r="BG55" s="8"/>
      <c r="BH55" s="8"/>
      <c r="BI55" s="8"/>
      <c r="BJ55" s="8"/>
      <c r="BK55" s="12"/>
    </row>
    <row r="56" spans="1:63" ht="13.5" customHeight="1">
      <c r="A56" s="667">
        <v>36</v>
      </c>
      <c r="B56" s="668"/>
      <c r="C56" s="266" t="s">
        <v>676</v>
      </c>
      <c r="D56" s="81" t="s">
        <v>681</v>
      </c>
      <c r="E56" s="8"/>
      <c r="F56" s="8"/>
      <c r="G56" s="8"/>
      <c r="H56" s="8"/>
      <c r="I56" s="8"/>
      <c r="J56" s="9"/>
      <c r="K56" s="81" t="s">
        <v>569</v>
      </c>
      <c r="L56" s="8"/>
      <c r="M56" s="8"/>
      <c r="N56" s="8"/>
      <c r="O56" s="8"/>
      <c r="P56" s="8"/>
      <c r="Q56" s="8"/>
      <c r="R56" s="8"/>
      <c r="S56" s="8"/>
      <c r="T56" s="8"/>
      <c r="U56" s="9"/>
      <c r="V56" s="267" t="s">
        <v>676</v>
      </c>
      <c r="W56" s="81"/>
      <c r="X56" s="8"/>
      <c r="Y56" s="8"/>
      <c r="Z56" s="8"/>
      <c r="AA56" s="8"/>
      <c r="AB56" s="8"/>
      <c r="AC56" s="8"/>
      <c r="AD56" s="8"/>
      <c r="AE56" s="9"/>
      <c r="AF56" s="81"/>
      <c r="AG56" s="8"/>
      <c r="AH56" s="8"/>
      <c r="AI56" s="8"/>
      <c r="AJ56" s="8"/>
      <c r="AK56" s="8"/>
      <c r="AL56" s="8"/>
      <c r="AM56" s="8"/>
      <c r="AN56" s="8"/>
      <c r="AO56" s="8"/>
      <c r="AP56" s="9"/>
      <c r="AQ56" s="81" t="s">
        <v>556</v>
      </c>
      <c r="AR56" s="8"/>
      <c r="AS56" s="8"/>
      <c r="AT56" s="8"/>
      <c r="AU56" s="8"/>
      <c r="AV56" s="8"/>
      <c r="AW56" s="8"/>
      <c r="AX56" s="8"/>
      <c r="AY56" s="8"/>
      <c r="AZ56" s="8"/>
      <c r="BA56" s="8"/>
      <c r="BB56" s="8"/>
      <c r="BC56" s="8"/>
      <c r="BD56" s="8"/>
      <c r="BE56" s="8"/>
      <c r="BF56" s="8"/>
      <c r="BG56" s="8"/>
      <c r="BH56" s="8"/>
      <c r="BI56" s="8"/>
      <c r="BJ56" s="8"/>
      <c r="BK56" s="12"/>
    </row>
    <row r="57" spans="1:63" ht="13.5" customHeight="1">
      <c r="A57" s="667">
        <v>37</v>
      </c>
      <c r="B57" s="668"/>
      <c r="C57" s="266" t="s">
        <v>676</v>
      </c>
      <c r="D57" s="81" t="s">
        <v>681</v>
      </c>
      <c r="E57" s="8"/>
      <c r="F57" s="8"/>
      <c r="G57" s="8"/>
      <c r="H57" s="8"/>
      <c r="I57" s="8"/>
      <c r="J57" s="9"/>
      <c r="K57" s="81" t="s">
        <v>570</v>
      </c>
      <c r="L57" s="8"/>
      <c r="M57" s="8"/>
      <c r="N57" s="8"/>
      <c r="O57" s="8"/>
      <c r="P57" s="8"/>
      <c r="Q57" s="8"/>
      <c r="R57" s="8"/>
      <c r="S57" s="8"/>
      <c r="T57" s="8"/>
      <c r="U57" s="9"/>
      <c r="V57" s="267" t="s">
        <v>676</v>
      </c>
      <c r="W57" s="81"/>
      <c r="X57" s="8"/>
      <c r="Y57" s="8"/>
      <c r="Z57" s="8"/>
      <c r="AA57" s="8"/>
      <c r="AB57" s="8"/>
      <c r="AC57" s="8"/>
      <c r="AD57" s="8"/>
      <c r="AE57" s="9"/>
      <c r="AF57" s="81"/>
      <c r="AG57" s="8"/>
      <c r="AH57" s="8"/>
      <c r="AI57" s="8"/>
      <c r="AJ57" s="8"/>
      <c r="AK57" s="8"/>
      <c r="AL57" s="8"/>
      <c r="AM57" s="8"/>
      <c r="AN57" s="8"/>
      <c r="AO57" s="8"/>
      <c r="AP57" s="9"/>
      <c r="AQ57" s="81" t="s">
        <v>556</v>
      </c>
      <c r="AR57" s="8"/>
      <c r="AS57" s="8"/>
      <c r="AT57" s="8"/>
      <c r="AU57" s="8"/>
      <c r="AV57" s="8"/>
      <c r="AW57" s="8"/>
      <c r="AX57" s="8"/>
      <c r="AY57" s="8"/>
      <c r="AZ57" s="8"/>
      <c r="BA57" s="8"/>
      <c r="BB57" s="8"/>
      <c r="BC57" s="8"/>
      <c r="BD57" s="8"/>
      <c r="BE57" s="8"/>
      <c r="BF57" s="8"/>
      <c r="BG57" s="8"/>
      <c r="BH57" s="8"/>
      <c r="BI57" s="8"/>
      <c r="BJ57" s="8"/>
      <c r="BK57" s="12"/>
    </row>
    <row r="58" spans="1:63" ht="13.5" customHeight="1">
      <c r="A58" s="667">
        <v>38</v>
      </c>
      <c r="B58" s="668"/>
      <c r="C58" s="266" t="s">
        <v>676</v>
      </c>
      <c r="D58" s="81" t="s">
        <v>681</v>
      </c>
      <c r="E58" s="8"/>
      <c r="F58" s="8"/>
      <c r="G58" s="8"/>
      <c r="H58" s="8"/>
      <c r="I58" s="8"/>
      <c r="J58" s="9"/>
      <c r="K58" s="81" t="s">
        <v>719</v>
      </c>
      <c r="L58" s="8"/>
      <c r="M58" s="8"/>
      <c r="N58" s="8"/>
      <c r="O58" s="8"/>
      <c r="P58" s="8"/>
      <c r="Q58" s="8"/>
      <c r="R58" s="8"/>
      <c r="S58" s="8"/>
      <c r="T58" s="8"/>
      <c r="U58" s="9"/>
      <c r="V58" s="267" t="s">
        <v>676</v>
      </c>
      <c r="W58" s="81"/>
      <c r="X58" s="8"/>
      <c r="Y58" s="8"/>
      <c r="Z58" s="8"/>
      <c r="AA58" s="8"/>
      <c r="AB58" s="8"/>
      <c r="AC58" s="8"/>
      <c r="AD58" s="8"/>
      <c r="AE58" s="9"/>
      <c r="AF58" s="81"/>
      <c r="AG58" s="8"/>
      <c r="AH58" s="8"/>
      <c r="AI58" s="8"/>
      <c r="AJ58" s="8"/>
      <c r="AK58" s="8"/>
      <c r="AL58" s="8"/>
      <c r="AM58" s="8"/>
      <c r="AN58" s="8"/>
      <c r="AO58" s="8"/>
      <c r="AP58" s="9"/>
      <c r="AQ58" s="77" t="s">
        <v>566</v>
      </c>
      <c r="AR58" s="8"/>
      <c r="AS58" s="8"/>
      <c r="AT58" s="8"/>
      <c r="AU58" s="8"/>
      <c r="AV58" s="8"/>
      <c r="AW58" s="8"/>
      <c r="AX58" s="8"/>
      <c r="AY58" s="8"/>
      <c r="AZ58" s="8"/>
      <c r="BA58" s="8"/>
      <c r="BB58" s="8"/>
      <c r="BC58" s="8"/>
      <c r="BD58" s="8"/>
      <c r="BE58" s="8"/>
      <c r="BF58" s="8"/>
      <c r="BG58" s="8"/>
      <c r="BH58" s="8"/>
      <c r="BI58" s="8"/>
      <c r="BJ58" s="8"/>
      <c r="BK58" s="12"/>
    </row>
    <row r="59" spans="1:63" ht="13.5" customHeight="1">
      <c r="A59" s="667">
        <v>39</v>
      </c>
      <c r="B59" s="668"/>
      <c r="C59" s="266" t="s">
        <v>676</v>
      </c>
      <c r="D59" s="81" t="s">
        <v>681</v>
      </c>
      <c r="E59" s="8"/>
      <c r="F59" s="8"/>
      <c r="G59" s="8"/>
      <c r="H59" s="8"/>
      <c r="I59" s="8"/>
      <c r="J59" s="9"/>
      <c r="K59" s="81" t="s">
        <v>720</v>
      </c>
      <c r="L59" s="8"/>
      <c r="M59" s="8"/>
      <c r="N59" s="8"/>
      <c r="O59" s="8"/>
      <c r="P59" s="8"/>
      <c r="Q59" s="8"/>
      <c r="R59" s="8"/>
      <c r="S59" s="8"/>
      <c r="T59" s="8"/>
      <c r="U59" s="9"/>
      <c r="V59" s="267" t="s">
        <v>676</v>
      </c>
      <c r="W59" s="81"/>
      <c r="X59" s="8"/>
      <c r="Y59" s="8"/>
      <c r="Z59" s="8"/>
      <c r="AA59" s="8"/>
      <c r="AB59" s="8"/>
      <c r="AC59" s="8"/>
      <c r="AD59" s="8"/>
      <c r="AE59" s="9"/>
      <c r="AF59" s="81"/>
      <c r="AG59" s="8"/>
      <c r="AH59" s="8"/>
      <c r="AI59" s="8"/>
      <c r="AJ59" s="8"/>
      <c r="AK59" s="8"/>
      <c r="AL59" s="8"/>
      <c r="AM59" s="8"/>
      <c r="AN59" s="8"/>
      <c r="AO59" s="8"/>
      <c r="AP59" s="9"/>
      <c r="AQ59" s="81" t="s">
        <v>556</v>
      </c>
      <c r="AR59" s="8"/>
      <c r="AS59" s="8"/>
      <c r="AT59" s="8"/>
      <c r="AU59" s="8"/>
      <c r="AV59" s="8"/>
      <c r="AW59" s="8"/>
      <c r="AX59" s="8"/>
      <c r="AY59" s="8"/>
      <c r="AZ59" s="8"/>
      <c r="BA59" s="8"/>
      <c r="BB59" s="8"/>
      <c r="BC59" s="8"/>
      <c r="BD59" s="8"/>
      <c r="BE59" s="8"/>
      <c r="BF59" s="8"/>
      <c r="BG59" s="8"/>
      <c r="BH59" s="8"/>
      <c r="BI59" s="8"/>
      <c r="BJ59" s="8"/>
      <c r="BK59" s="12"/>
    </row>
    <row r="60" spans="1:63" ht="13.5" customHeight="1">
      <c r="A60" s="667">
        <v>40</v>
      </c>
      <c r="B60" s="668"/>
      <c r="C60" s="266" t="s">
        <v>676</v>
      </c>
      <c r="D60" s="81" t="s">
        <v>681</v>
      </c>
      <c r="E60" s="8"/>
      <c r="F60" s="8"/>
      <c r="G60" s="8"/>
      <c r="H60" s="8"/>
      <c r="I60" s="8"/>
      <c r="J60" s="9"/>
      <c r="K60" s="81" t="s">
        <v>721</v>
      </c>
      <c r="L60" s="8"/>
      <c r="M60" s="8"/>
      <c r="N60" s="8"/>
      <c r="O60" s="8"/>
      <c r="P60" s="8"/>
      <c r="Q60" s="8"/>
      <c r="R60" s="8"/>
      <c r="S60" s="8"/>
      <c r="T60" s="8"/>
      <c r="U60" s="9"/>
      <c r="V60" s="267" t="s">
        <v>676</v>
      </c>
      <c r="W60" s="81"/>
      <c r="X60" s="8"/>
      <c r="Y60" s="8"/>
      <c r="Z60" s="8"/>
      <c r="AA60" s="8"/>
      <c r="AB60" s="8"/>
      <c r="AC60" s="8"/>
      <c r="AD60" s="8"/>
      <c r="AE60" s="9"/>
      <c r="AF60" s="81"/>
      <c r="AG60" s="8"/>
      <c r="AH60" s="8"/>
      <c r="AI60" s="8"/>
      <c r="AJ60" s="8"/>
      <c r="AK60" s="8"/>
      <c r="AL60" s="8"/>
      <c r="AM60" s="8"/>
      <c r="AN60" s="8"/>
      <c r="AO60" s="8"/>
      <c r="AP60" s="9"/>
      <c r="AQ60" s="81" t="s">
        <v>556</v>
      </c>
      <c r="AR60" s="8"/>
      <c r="AS60" s="8"/>
      <c r="AT60" s="8"/>
      <c r="AU60" s="8"/>
      <c r="AV60" s="8"/>
      <c r="AW60" s="8"/>
      <c r="AX60" s="8"/>
      <c r="AY60" s="8"/>
      <c r="AZ60" s="8"/>
      <c r="BA60" s="8"/>
      <c r="BB60" s="8"/>
      <c r="BC60" s="8"/>
      <c r="BD60" s="8"/>
      <c r="BE60" s="8"/>
      <c r="BF60" s="8"/>
      <c r="BG60" s="8"/>
      <c r="BH60" s="8"/>
      <c r="BI60" s="8"/>
      <c r="BJ60" s="8"/>
      <c r="BK60" s="12"/>
    </row>
    <row r="61" spans="1:63" ht="13.5" customHeight="1" thickBot="1">
      <c r="A61" s="667"/>
      <c r="B61" s="668"/>
      <c r="C61" s="266"/>
      <c r="D61" s="81"/>
      <c r="E61" s="8"/>
      <c r="F61" s="8"/>
      <c r="G61" s="8"/>
      <c r="H61" s="8"/>
      <c r="I61" s="8"/>
      <c r="J61" s="9"/>
      <c r="K61" s="81"/>
      <c r="L61" s="8"/>
      <c r="M61" s="8"/>
      <c r="N61" s="8"/>
      <c r="O61" s="8"/>
      <c r="P61" s="8"/>
      <c r="Q61" s="8"/>
      <c r="R61" s="8"/>
      <c r="S61" s="8"/>
      <c r="T61" s="8"/>
      <c r="U61" s="9"/>
      <c r="V61" s="267"/>
      <c r="W61" s="81"/>
      <c r="X61" s="8"/>
      <c r="Y61" s="8"/>
      <c r="Z61" s="8"/>
      <c r="AA61" s="8"/>
      <c r="AB61" s="8"/>
      <c r="AC61" s="8"/>
      <c r="AD61" s="8"/>
      <c r="AE61" s="9"/>
      <c r="AF61" s="81"/>
      <c r="AG61" s="8"/>
      <c r="AH61" s="8"/>
      <c r="AI61" s="8"/>
      <c r="AJ61" s="8"/>
      <c r="AK61" s="8"/>
      <c r="AL61" s="8"/>
      <c r="AM61" s="8"/>
      <c r="AN61" s="8"/>
      <c r="AO61" s="8"/>
      <c r="AP61" s="9"/>
      <c r="AQ61" s="81"/>
      <c r="AR61" s="8"/>
      <c r="AS61" s="8"/>
      <c r="AT61" s="8"/>
      <c r="AU61" s="8"/>
      <c r="AV61" s="8"/>
      <c r="AW61" s="8"/>
      <c r="AX61" s="8"/>
      <c r="AY61" s="8"/>
      <c r="AZ61" s="8"/>
      <c r="BA61" s="8"/>
      <c r="BB61" s="8"/>
      <c r="BC61" s="8"/>
      <c r="BD61" s="8"/>
      <c r="BE61" s="8"/>
      <c r="BF61" s="8"/>
      <c r="BG61" s="8"/>
      <c r="BH61" s="8"/>
      <c r="BI61" s="8"/>
      <c r="BJ61" s="8"/>
      <c r="BK61" s="12"/>
    </row>
    <row r="62" spans="1:63" ht="15.75" customHeight="1">
      <c r="A62" s="225" t="s">
        <v>251</v>
      </c>
      <c r="B62" s="226"/>
      <c r="C62" s="226"/>
      <c r="D62" s="226"/>
      <c r="E62" s="227"/>
      <c r="F62" s="228"/>
      <c r="G62" s="229">
        <v>3</v>
      </c>
      <c r="H62" s="270"/>
      <c r="I62" s="234"/>
      <c r="J62" s="234"/>
      <c r="K62" s="234"/>
      <c r="L62" s="234"/>
      <c r="M62" s="234"/>
      <c r="N62" s="234"/>
      <c r="O62" s="234"/>
      <c r="P62" s="234"/>
      <c r="Q62" s="234"/>
      <c r="R62" s="271"/>
      <c r="S62" s="230" t="s">
        <v>660</v>
      </c>
      <c r="T62" s="231"/>
      <c r="U62" s="231"/>
      <c r="V62" s="231"/>
      <c r="W62" s="231"/>
      <c r="X62" s="231"/>
      <c r="Y62" s="232"/>
      <c r="Z62" s="233" t="s">
        <v>122</v>
      </c>
      <c r="AA62" s="233"/>
      <c r="AB62" s="233"/>
      <c r="AC62" s="233"/>
      <c r="AD62" s="234"/>
      <c r="AE62" s="233"/>
      <c r="AF62" s="233"/>
      <c r="AG62" s="233"/>
      <c r="AH62" s="235" t="s">
        <v>69</v>
      </c>
      <c r="AI62" s="231"/>
      <c r="AJ62" s="232"/>
      <c r="AK62" s="233" t="s">
        <v>722</v>
      </c>
      <c r="AL62" s="233"/>
      <c r="AM62" s="233"/>
      <c r="AN62" s="233"/>
      <c r="AO62" s="233"/>
      <c r="AP62" s="233"/>
      <c r="AQ62" s="233"/>
      <c r="AR62" s="233"/>
      <c r="AS62" s="233"/>
      <c r="AT62" s="233"/>
      <c r="AU62" s="233"/>
      <c r="AV62" s="233"/>
      <c r="AW62" s="233"/>
      <c r="AX62" s="233"/>
      <c r="AY62" s="233"/>
      <c r="AZ62" s="233"/>
      <c r="BA62" s="233"/>
      <c r="BB62" s="233"/>
      <c r="BC62" s="233"/>
      <c r="BD62" s="233"/>
      <c r="BE62" s="233"/>
      <c r="BF62" s="233"/>
      <c r="BG62" s="233"/>
      <c r="BH62" s="233"/>
      <c r="BI62" s="233"/>
      <c r="BJ62" s="233"/>
      <c r="BK62" s="236"/>
    </row>
    <row r="63" spans="1:63" ht="15.75" customHeight="1">
      <c r="A63" s="237" t="s">
        <v>662</v>
      </c>
      <c r="B63" s="238"/>
      <c r="C63" s="238"/>
      <c r="D63" s="239"/>
      <c r="E63" s="240" t="s">
        <v>680</v>
      </c>
      <c r="F63" s="241"/>
      <c r="G63" s="241"/>
      <c r="H63" s="242"/>
      <c r="I63" s="242"/>
      <c r="J63" s="242"/>
      <c r="K63" s="242"/>
      <c r="L63" s="243"/>
      <c r="M63" s="243"/>
      <c r="N63" s="243"/>
      <c r="O63" s="243"/>
      <c r="P63" s="243"/>
      <c r="Q63" s="243"/>
      <c r="R63" s="243"/>
      <c r="S63" s="243"/>
      <c r="T63" s="243"/>
      <c r="U63" s="243"/>
      <c r="V63" s="243"/>
      <c r="W63" s="243"/>
      <c r="X63" s="243"/>
      <c r="Y63" s="243"/>
      <c r="Z63" s="241"/>
      <c r="AA63" s="241"/>
      <c r="AB63" s="241"/>
      <c r="AC63" s="241"/>
      <c r="AD63" s="241"/>
      <c r="AE63" s="241"/>
      <c r="AF63" s="241"/>
      <c r="AG63" s="241"/>
      <c r="AH63" s="241"/>
      <c r="AI63" s="241"/>
      <c r="AJ63" s="241"/>
      <c r="AK63" s="241"/>
      <c r="AL63" s="241"/>
      <c r="AM63" s="241"/>
      <c r="AN63" s="241"/>
      <c r="AO63" s="241"/>
      <c r="AP63" s="241"/>
      <c r="AQ63" s="241"/>
      <c r="AR63" s="241"/>
      <c r="AS63" s="241"/>
      <c r="AT63" s="241"/>
      <c r="AU63" s="241"/>
      <c r="AV63" s="241"/>
      <c r="AW63" s="241"/>
      <c r="AX63" s="241"/>
      <c r="AY63" s="241"/>
      <c r="AZ63" s="241"/>
      <c r="BA63" s="241"/>
      <c r="BB63" s="241"/>
      <c r="BC63" s="241"/>
      <c r="BD63" s="241"/>
      <c r="BE63" s="241"/>
      <c r="BF63" s="241"/>
      <c r="BG63" s="241"/>
      <c r="BH63" s="241"/>
      <c r="BI63" s="241"/>
      <c r="BJ63" s="241"/>
      <c r="BK63" s="244"/>
    </row>
    <row r="64" spans="1:63" ht="15.75" customHeight="1">
      <c r="A64" s="245" t="s">
        <v>251</v>
      </c>
      <c r="B64" s="246"/>
      <c r="C64" s="247" t="s">
        <v>664</v>
      </c>
      <c r="D64" s="248"/>
      <c r="E64" s="249"/>
      <c r="F64" s="249"/>
      <c r="G64" s="249"/>
      <c r="H64" s="249"/>
      <c r="I64" s="249"/>
      <c r="J64" s="249"/>
      <c r="K64" s="249"/>
      <c r="L64" s="249"/>
      <c r="M64" s="249"/>
      <c r="N64" s="249"/>
      <c r="O64" s="249"/>
      <c r="P64" s="249"/>
      <c r="Q64" s="249"/>
      <c r="R64" s="249"/>
      <c r="S64" s="249"/>
      <c r="T64" s="249"/>
      <c r="U64" s="249"/>
      <c r="V64" s="247" t="s">
        <v>665</v>
      </c>
      <c r="W64" s="248"/>
      <c r="X64" s="249"/>
      <c r="Y64" s="249"/>
      <c r="Z64" s="249"/>
      <c r="AA64" s="249"/>
      <c r="AB64" s="249"/>
      <c r="AC64" s="249"/>
      <c r="AD64" s="249"/>
      <c r="AE64" s="249"/>
      <c r="AF64" s="246"/>
      <c r="AG64" s="246"/>
      <c r="AH64" s="246"/>
      <c r="AI64" s="246"/>
      <c r="AJ64" s="246"/>
      <c r="AK64" s="246"/>
      <c r="AL64" s="246"/>
      <c r="AM64" s="246"/>
      <c r="AN64" s="246"/>
      <c r="AO64" s="246"/>
      <c r="AP64" s="246"/>
      <c r="AQ64" s="250" t="s">
        <v>229</v>
      </c>
      <c r="AR64" s="246"/>
      <c r="AS64" s="246"/>
      <c r="AT64" s="246"/>
      <c r="AU64" s="246"/>
      <c r="AV64" s="246"/>
      <c r="AW64" s="246"/>
      <c r="AX64" s="246"/>
      <c r="AY64" s="246"/>
      <c r="AZ64" s="246"/>
      <c r="BA64" s="246"/>
      <c r="BB64" s="246"/>
      <c r="BC64" s="246"/>
      <c r="BD64" s="246"/>
      <c r="BE64" s="246"/>
      <c r="BF64" s="246"/>
      <c r="BG64" s="246"/>
      <c r="BH64" s="246"/>
      <c r="BI64" s="246"/>
      <c r="BJ64" s="246"/>
      <c r="BK64" s="251"/>
    </row>
    <row r="65" spans="1:63" ht="15.75" customHeight="1" thickBot="1">
      <c r="A65" s="252"/>
      <c r="B65" s="253"/>
      <c r="C65" s="254" t="s">
        <v>666</v>
      </c>
      <c r="D65" s="255" t="s">
        <v>667</v>
      </c>
      <c r="E65" s="256"/>
      <c r="F65" s="256"/>
      <c r="G65" s="256"/>
      <c r="H65" s="256"/>
      <c r="I65" s="256"/>
      <c r="J65" s="257"/>
      <c r="K65" s="255" t="s">
        <v>228</v>
      </c>
      <c r="L65" s="256"/>
      <c r="M65" s="256"/>
      <c r="N65" s="256"/>
      <c r="O65" s="256"/>
      <c r="P65" s="256"/>
      <c r="Q65" s="256"/>
      <c r="R65" s="256"/>
      <c r="S65" s="256"/>
      <c r="T65" s="256"/>
      <c r="U65" s="257"/>
      <c r="V65" s="254" t="s">
        <v>666</v>
      </c>
      <c r="W65" s="255" t="s">
        <v>667</v>
      </c>
      <c r="X65" s="256"/>
      <c r="Y65" s="256"/>
      <c r="Z65" s="256"/>
      <c r="AA65" s="256"/>
      <c r="AB65" s="256"/>
      <c r="AC65" s="256"/>
      <c r="AD65" s="256"/>
      <c r="AE65" s="257"/>
      <c r="AF65" s="255" t="s">
        <v>228</v>
      </c>
      <c r="AG65" s="256"/>
      <c r="AH65" s="256"/>
      <c r="AI65" s="256"/>
      <c r="AJ65" s="256"/>
      <c r="AK65" s="256"/>
      <c r="AL65" s="256"/>
      <c r="AM65" s="256"/>
      <c r="AN65" s="256"/>
      <c r="AO65" s="256"/>
      <c r="AP65" s="257"/>
      <c r="AQ65" s="258"/>
      <c r="AR65" s="253"/>
      <c r="AS65" s="253"/>
      <c r="AT65" s="253"/>
      <c r="AU65" s="253"/>
      <c r="AV65" s="253"/>
      <c r="AW65" s="253"/>
      <c r="AX65" s="253"/>
      <c r="AY65" s="253"/>
      <c r="AZ65" s="253"/>
      <c r="BA65" s="253"/>
      <c r="BB65" s="253"/>
      <c r="BC65" s="253"/>
      <c r="BD65" s="253"/>
      <c r="BE65" s="253"/>
      <c r="BF65" s="253"/>
      <c r="BG65" s="253"/>
      <c r="BH65" s="253"/>
      <c r="BI65" s="253"/>
      <c r="BJ65" s="253"/>
      <c r="BK65" s="259"/>
    </row>
    <row r="66" spans="1:63" ht="13.5" customHeight="1" thickTop="1">
      <c r="A66" s="674">
        <v>1</v>
      </c>
      <c r="B66" s="675"/>
      <c r="C66" s="260" t="s">
        <v>668</v>
      </c>
      <c r="D66" s="261" t="s">
        <v>723</v>
      </c>
      <c r="E66" s="262"/>
      <c r="F66" s="262"/>
      <c r="G66" s="262"/>
      <c r="H66" s="262"/>
      <c r="I66" s="262"/>
      <c r="J66" s="263"/>
      <c r="K66" s="261" t="s">
        <v>724</v>
      </c>
      <c r="L66" s="262"/>
      <c r="M66" s="262"/>
      <c r="N66" s="262"/>
      <c r="O66" s="262"/>
      <c r="P66" s="262"/>
      <c r="Q66" s="262"/>
      <c r="R66" s="262"/>
      <c r="S66" s="262"/>
      <c r="T66" s="262"/>
      <c r="U66" s="263"/>
      <c r="V66" s="264"/>
      <c r="W66" s="261"/>
      <c r="X66" s="262"/>
      <c r="Y66" s="262"/>
      <c r="Z66" s="262"/>
      <c r="AA66" s="262"/>
      <c r="AB66" s="262"/>
      <c r="AC66" s="262"/>
      <c r="AD66" s="262"/>
      <c r="AE66" s="263"/>
      <c r="AF66" s="261"/>
      <c r="AG66" s="262"/>
      <c r="AH66" s="262"/>
      <c r="AI66" s="262"/>
      <c r="AJ66" s="262"/>
      <c r="AK66" s="262"/>
      <c r="AL66" s="262"/>
      <c r="AM66" s="262"/>
      <c r="AN66" s="262"/>
      <c r="AO66" s="262"/>
      <c r="AP66" s="263"/>
      <c r="AQ66" s="261" t="s">
        <v>725</v>
      </c>
      <c r="AR66" s="262"/>
      <c r="AS66" s="262"/>
      <c r="AT66" s="262"/>
      <c r="AU66" s="262"/>
      <c r="AV66" s="262"/>
      <c r="AW66" s="262"/>
      <c r="AX66" s="262"/>
      <c r="AY66" s="262"/>
      <c r="AZ66" s="262"/>
      <c r="BA66" s="262"/>
      <c r="BB66" s="262"/>
      <c r="BC66" s="262"/>
      <c r="BD66" s="262"/>
      <c r="BE66" s="262"/>
      <c r="BF66" s="262"/>
      <c r="BG66" s="262"/>
      <c r="BH66" s="262"/>
      <c r="BI66" s="262"/>
      <c r="BJ66" s="262"/>
      <c r="BK66" s="265"/>
    </row>
    <row r="67" spans="1:63" ht="13.5" customHeight="1">
      <c r="A67" s="667">
        <v>2</v>
      </c>
      <c r="B67" s="668"/>
      <c r="C67" s="266" t="s">
        <v>676</v>
      </c>
      <c r="D67" s="81" t="s">
        <v>723</v>
      </c>
      <c r="E67" s="8"/>
      <c r="F67" s="8"/>
      <c r="G67" s="8"/>
      <c r="H67" s="8"/>
      <c r="I67" s="8"/>
      <c r="J67" s="9"/>
      <c r="K67" s="81" t="s">
        <v>726</v>
      </c>
      <c r="L67" s="8"/>
      <c r="M67" s="8"/>
      <c r="N67" s="8"/>
      <c r="O67" s="8"/>
      <c r="P67" s="8"/>
      <c r="Q67" s="8"/>
      <c r="R67" s="8"/>
      <c r="S67" s="8"/>
      <c r="T67" s="8"/>
      <c r="U67" s="9"/>
      <c r="V67" s="267" t="s">
        <v>676</v>
      </c>
      <c r="W67" s="81" t="s">
        <v>690</v>
      </c>
      <c r="X67" s="8"/>
      <c r="Y67" s="8"/>
      <c r="Z67" s="8"/>
      <c r="AA67" s="8"/>
      <c r="AB67" s="8"/>
      <c r="AC67" s="8"/>
      <c r="AD67" s="8"/>
      <c r="AE67" s="9"/>
      <c r="AF67" s="81"/>
      <c r="AG67" s="8"/>
      <c r="AH67" s="8"/>
      <c r="AI67" s="8"/>
      <c r="AJ67" s="8"/>
      <c r="AK67" s="8"/>
      <c r="AL67" s="8"/>
      <c r="AM67" s="8"/>
      <c r="AN67" s="8"/>
      <c r="AO67" s="8"/>
      <c r="AP67" s="9"/>
      <c r="AQ67" s="81"/>
      <c r="AR67" s="8"/>
      <c r="AS67" s="8"/>
      <c r="AT67" s="8"/>
      <c r="AU67" s="8"/>
      <c r="AV67" s="8"/>
      <c r="AW67" s="8"/>
      <c r="AX67" s="8"/>
      <c r="AY67" s="8"/>
      <c r="AZ67" s="8"/>
      <c r="BA67" s="8"/>
      <c r="BB67" s="8"/>
      <c r="BC67" s="8"/>
      <c r="BD67" s="8"/>
      <c r="BE67" s="8"/>
      <c r="BF67" s="8"/>
      <c r="BG67" s="8"/>
      <c r="BH67" s="8"/>
      <c r="BI67" s="8"/>
      <c r="BJ67" s="8"/>
      <c r="BK67" s="12"/>
    </row>
    <row r="68" spans="1:63" ht="13.5" customHeight="1">
      <c r="A68" s="667">
        <v>3</v>
      </c>
      <c r="B68" s="668"/>
      <c r="C68" s="266" t="s">
        <v>676</v>
      </c>
      <c r="D68" s="81" t="s">
        <v>723</v>
      </c>
      <c r="E68" s="8"/>
      <c r="F68" s="8"/>
      <c r="G68" s="8"/>
      <c r="H68" s="8"/>
      <c r="I68" s="8"/>
      <c r="J68" s="9"/>
      <c r="K68" s="81" t="s">
        <v>727</v>
      </c>
      <c r="L68" s="8"/>
      <c r="M68" s="8"/>
      <c r="N68" s="8"/>
      <c r="O68" s="8"/>
      <c r="P68" s="8"/>
      <c r="Q68" s="8"/>
      <c r="R68" s="8"/>
      <c r="S68" s="8"/>
      <c r="T68" s="8"/>
      <c r="U68" s="9"/>
      <c r="V68" s="267" t="s">
        <v>676</v>
      </c>
      <c r="W68" s="81" t="s">
        <v>697</v>
      </c>
      <c r="X68" s="8"/>
      <c r="Y68" s="8"/>
      <c r="Z68" s="8"/>
      <c r="AA68" s="8"/>
      <c r="AB68" s="8"/>
      <c r="AC68" s="8"/>
      <c r="AD68" s="8"/>
      <c r="AE68" s="9"/>
      <c r="AF68" s="81" t="s">
        <v>698</v>
      </c>
      <c r="AG68" s="8"/>
      <c r="AH68" s="8"/>
      <c r="AI68" s="8"/>
      <c r="AJ68" s="8"/>
      <c r="AK68" s="8"/>
      <c r="AL68" s="8"/>
      <c r="AM68" s="8"/>
      <c r="AN68" s="8"/>
      <c r="AO68" s="8"/>
      <c r="AP68" s="9"/>
      <c r="AQ68" s="81"/>
      <c r="AR68" s="8"/>
      <c r="AS68" s="8"/>
      <c r="AT68" s="8"/>
      <c r="AU68" s="8"/>
      <c r="AV68" s="8"/>
      <c r="AW68" s="8"/>
      <c r="AX68" s="8"/>
      <c r="AY68" s="8"/>
      <c r="AZ68" s="8"/>
      <c r="BA68" s="8"/>
      <c r="BB68" s="8"/>
      <c r="BC68" s="8"/>
      <c r="BD68" s="8"/>
      <c r="BE68" s="8"/>
      <c r="BF68" s="8"/>
      <c r="BG68" s="8"/>
      <c r="BH68" s="8"/>
      <c r="BI68" s="8"/>
      <c r="BJ68" s="8"/>
      <c r="BK68" s="12"/>
    </row>
    <row r="69" spans="1:63" ht="13.5" customHeight="1">
      <c r="A69" s="667">
        <v>4</v>
      </c>
      <c r="B69" s="668"/>
      <c r="C69" s="266" t="s">
        <v>676</v>
      </c>
      <c r="D69" s="81" t="s">
        <v>728</v>
      </c>
      <c r="E69" s="8"/>
      <c r="F69" s="8"/>
      <c r="G69" s="8"/>
      <c r="H69" s="8"/>
      <c r="I69" s="8"/>
      <c r="J69" s="9"/>
      <c r="K69" s="81" t="s">
        <v>576</v>
      </c>
      <c r="L69" s="8"/>
      <c r="M69" s="8"/>
      <c r="N69" s="8"/>
      <c r="O69" s="8"/>
      <c r="P69" s="8"/>
      <c r="Q69" s="8"/>
      <c r="R69" s="8"/>
      <c r="S69" s="8"/>
      <c r="T69" s="8"/>
      <c r="U69" s="9"/>
      <c r="V69" s="267" t="s">
        <v>676</v>
      </c>
      <c r="W69" s="81" t="s">
        <v>697</v>
      </c>
      <c r="X69" s="8"/>
      <c r="Y69" s="8"/>
      <c r="Z69" s="8"/>
      <c r="AA69" s="8"/>
      <c r="AB69" s="8"/>
      <c r="AC69" s="8"/>
      <c r="AD69" s="8"/>
      <c r="AE69" s="9"/>
      <c r="AF69" s="81" t="s">
        <v>576</v>
      </c>
      <c r="AG69" s="8"/>
      <c r="AH69" s="8"/>
      <c r="AI69" s="8"/>
      <c r="AJ69" s="8"/>
      <c r="AK69" s="8"/>
      <c r="AL69" s="8"/>
      <c r="AM69" s="8"/>
      <c r="AN69" s="8"/>
      <c r="AO69" s="8"/>
      <c r="AP69" s="9"/>
      <c r="AQ69" s="81"/>
      <c r="AR69" s="8"/>
      <c r="AS69" s="8"/>
      <c r="AT69" s="8"/>
      <c r="AU69" s="8"/>
      <c r="AV69" s="8"/>
      <c r="AW69" s="8"/>
      <c r="AX69" s="8"/>
      <c r="AY69" s="8"/>
      <c r="AZ69" s="8"/>
      <c r="BA69" s="8"/>
      <c r="BB69" s="8"/>
      <c r="BC69" s="8"/>
      <c r="BD69" s="8"/>
      <c r="BE69" s="8"/>
      <c r="BF69" s="8"/>
      <c r="BG69" s="8"/>
      <c r="BH69" s="8"/>
      <c r="BI69" s="8"/>
      <c r="BJ69" s="8"/>
      <c r="BK69" s="12"/>
    </row>
    <row r="70" spans="1:63" ht="13.5" customHeight="1">
      <c r="A70" s="667">
        <v>5</v>
      </c>
      <c r="B70" s="668"/>
      <c r="C70" s="266" t="s">
        <v>676</v>
      </c>
      <c r="D70" s="81" t="s">
        <v>728</v>
      </c>
      <c r="E70" s="8"/>
      <c r="F70" s="8"/>
      <c r="G70" s="8"/>
      <c r="H70" s="8"/>
      <c r="I70" s="8"/>
      <c r="J70" s="9"/>
      <c r="K70" s="81" t="s">
        <v>729</v>
      </c>
      <c r="L70" s="8"/>
      <c r="M70" s="8"/>
      <c r="N70" s="8"/>
      <c r="O70" s="8"/>
      <c r="P70" s="8"/>
      <c r="Q70" s="8"/>
      <c r="R70" s="8"/>
      <c r="S70" s="8"/>
      <c r="T70" s="8"/>
      <c r="U70" s="9"/>
      <c r="V70" s="267"/>
      <c r="W70" s="81"/>
      <c r="X70" s="8"/>
      <c r="Y70" s="8"/>
      <c r="Z70" s="8"/>
      <c r="AA70" s="8"/>
      <c r="AB70" s="8"/>
      <c r="AC70" s="8"/>
      <c r="AD70" s="8"/>
      <c r="AE70" s="9"/>
      <c r="AF70" s="81"/>
      <c r="AG70" s="8"/>
      <c r="AH70" s="8"/>
      <c r="AI70" s="8"/>
      <c r="AJ70" s="8"/>
      <c r="AK70" s="8"/>
      <c r="AL70" s="8"/>
      <c r="AM70" s="8"/>
      <c r="AN70" s="8"/>
      <c r="AO70" s="8"/>
      <c r="AP70" s="9"/>
      <c r="AQ70" s="81" t="s">
        <v>693</v>
      </c>
      <c r="AR70" s="8"/>
      <c r="AS70" s="8"/>
      <c r="AT70" s="8"/>
      <c r="AU70" s="8"/>
      <c r="AV70" s="8"/>
      <c r="AW70" s="8"/>
      <c r="AX70" s="8"/>
      <c r="AY70" s="8"/>
      <c r="AZ70" s="8"/>
      <c r="BA70" s="8"/>
      <c r="BB70" s="8"/>
      <c r="BC70" s="8"/>
      <c r="BD70" s="8"/>
      <c r="BE70" s="8"/>
      <c r="BF70" s="8"/>
      <c r="BG70" s="8"/>
      <c r="BH70" s="8"/>
      <c r="BI70" s="8"/>
      <c r="BJ70" s="8"/>
      <c r="BK70" s="12"/>
    </row>
    <row r="71" spans="1:63" ht="13.5" customHeight="1">
      <c r="A71" s="667">
        <v>6</v>
      </c>
      <c r="B71" s="668"/>
      <c r="C71" s="266" t="s">
        <v>676</v>
      </c>
      <c r="D71" s="81" t="s">
        <v>728</v>
      </c>
      <c r="E71" s="8"/>
      <c r="F71" s="8"/>
      <c r="G71" s="8"/>
      <c r="H71" s="8"/>
      <c r="I71" s="8"/>
      <c r="J71" s="9"/>
      <c r="K71" s="81" t="s">
        <v>730</v>
      </c>
      <c r="L71" s="8"/>
      <c r="M71" s="8"/>
      <c r="N71" s="8"/>
      <c r="O71" s="8"/>
      <c r="P71" s="8"/>
      <c r="Q71" s="8"/>
      <c r="R71" s="8"/>
      <c r="S71" s="8"/>
      <c r="T71" s="8"/>
      <c r="U71" s="9"/>
      <c r="V71" s="267" t="s">
        <v>676</v>
      </c>
      <c r="W71" s="81" t="s">
        <v>697</v>
      </c>
      <c r="X71" s="8"/>
      <c r="Y71" s="8"/>
      <c r="Z71" s="8"/>
      <c r="AA71" s="8"/>
      <c r="AB71" s="8"/>
      <c r="AC71" s="8"/>
      <c r="AD71" s="8"/>
      <c r="AE71" s="9"/>
      <c r="AF71" s="81" t="s">
        <v>673</v>
      </c>
      <c r="AG71" s="8"/>
      <c r="AH71" s="8"/>
      <c r="AI71" s="8"/>
      <c r="AJ71" s="8"/>
      <c r="AK71" s="8"/>
      <c r="AL71" s="8"/>
      <c r="AM71" s="8"/>
      <c r="AN71" s="8"/>
      <c r="AO71" s="8"/>
      <c r="AP71" s="9"/>
      <c r="AQ71" s="81"/>
      <c r="AR71" s="8"/>
      <c r="AS71" s="8"/>
      <c r="AT71" s="8"/>
      <c r="AU71" s="8"/>
      <c r="AV71" s="8"/>
      <c r="AW71" s="8"/>
      <c r="AX71" s="8"/>
      <c r="AY71" s="8"/>
      <c r="AZ71" s="8"/>
      <c r="BA71" s="8"/>
      <c r="BB71" s="8"/>
      <c r="BC71" s="8"/>
      <c r="BD71" s="8"/>
      <c r="BE71" s="8"/>
      <c r="BF71" s="8"/>
      <c r="BG71" s="8"/>
      <c r="BH71" s="8"/>
      <c r="BI71" s="8"/>
      <c r="BJ71" s="8"/>
      <c r="BK71" s="12"/>
    </row>
    <row r="72" spans="1:63" ht="13.5" customHeight="1">
      <c r="A72" s="667">
        <v>7</v>
      </c>
      <c r="B72" s="668"/>
      <c r="C72" s="266" t="s">
        <v>676</v>
      </c>
      <c r="D72" s="81" t="s">
        <v>728</v>
      </c>
      <c r="E72" s="8"/>
      <c r="F72" s="8"/>
      <c r="G72" s="8"/>
      <c r="H72" s="8"/>
      <c r="I72" s="8"/>
      <c r="J72" s="9"/>
      <c r="K72" s="81" t="s">
        <v>731</v>
      </c>
      <c r="L72" s="8"/>
      <c r="M72" s="8"/>
      <c r="N72" s="8"/>
      <c r="O72" s="8"/>
      <c r="P72" s="8"/>
      <c r="Q72" s="8"/>
      <c r="R72" s="8"/>
      <c r="S72" s="8"/>
      <c r="T72" s="8"/>
      <c r="U72" s="9"/>
      <c r="V72" s="267" t="s">
        <v>676</v>
      </c>
      <c r="W72" s="81" t="s">
        <v>690</v>
      </c>
      <c r="X72" s="8"/>
      <c r="Y72" s="8"/>
      <c r="Z72" s="8"/>
      <c r="AA72" s="8"/>
      <c r="AB72" s="8"/>
      <c r="AC72" s="8"/>
      <c r="AD72" s="8"/>
      <c r="AE72" s="9"/>
      <c r="AF72" s="81"/>
      <c r="AG72" s="8"/>
      <c r="AH72" s="8"/>
      <c r="AI72" s="8"/>
      <c r="AJ72" s="8"/>
      <c r="AK72" s="8"/>
      <c r="AL72" s="8"/>
      <c r="AM72" s="8"/>
      <c r="AN72" s="8"/>
      <c r="AO72" s="8"/>
      <c r="AP72" s="9"/>
      <c r="AQ72" s="81"/>
      <c r="AR72" s="8"/>
      <c r="AS72" s="8"/>
      <c r="AT72" s="8"/>
      <c r="AU72" s="8"/>
      <c r="AV72" s="8"/>
      <c r="AW72" s="8"/>
      <c r="AX72" s="8"/>
      <c r="AY72" s="8"/>
      <c r="AZ72" s="8"/>
      <c r="BA72" s="8"/>
      <c r="BB72" s="8"/>
      <c r="BC72" s="8"/>
      <c r="BD72" s="8"/>
      <c r="BE72" s="8"/>
      <c r="BF72" s="8"/>
      <c r="BG72" s="8"/>
      <c r="BH72" s="8"/>
      <c r="BI72" s="8"/>
      <c r="BJ72" s="8"/>
      <c r="BK72" s="12"/>
    </row>
    <row r="73" spans="1:63" ht="13.5" customHeight="1">
      <c r="A73" s="667">
        <v>8</v>
      </c>
      <c r="B73" s="668"/>
      <c r="C73" s="266" t="s">
        <v>676</v>
      </c>
      <c r="D73" s="81" t="s">
        <v>728</v>
      </c>
      <c r="E73" s="8"/>
      <c r="F73" s="8"/>
      <c r="G73" s="8"/>
      <c r="H73" s="8"/>
      <c r="I73" s="8"/>
      <c r="J73" s="9"/>
      <c r="K73" s="81" t="s">
        <v>732</v>
      </c>
      <c r="L73" s="8"/>
      <c r="M73" s="8"/>
      <c r="N73" s="8"/>
      <c r="O73" s="8"/>
      <c r="P73" s="8"/>
      <c r="Q73" s="8"/>
      <c r="R73" s="8"/>
      <c r="S73" s="8"/>
      <c r="T73" s="8"/>
      <c r="U73" s="9"/>
      <c r="V73" s="267" t="s">
        <v>676</v>
      </c>
      <c r="W73" s="81" t="s">
        <v>690</v>
      </c>
      <c r="X73" s="8"/>
      <c r="Y73" s="8"/>
      <c r="Z73" s="8"/>
      <c r="AA73" s="8"/>
      <c r="AB73" s="8"/>
      <c r="AC73" s="8"/>
      <c r="AD73" s="8"/>
      <c r="AE73" s="9"/>
      <c r="AF73" s="81"/>
      <c r="AG73" s="8"/>
      <c r="AH73" s="8"/>
      <c r="AI73" s="8"/>
      <c r="AJ73" s="8"/>
      <c r="AK73" s="8"/>
      <c r="AL73" s="8"/>
      <c r="AM73" s="8"/>
      <c r="AN73" s="8"/>
      <c r="AO73" s="8"/>
      <c r="AP73" s="9"/>
      <c r="AQ73" s="81"/>
      <c r="AR73" s="8"/>
      <c r="AS73" s="8"/>
      <c r="AT73" s="8"/>
      <c r="AU73" s="8"/>
      <c r="AV73" s="8"/>
      <c r="AW73" s="8"/>
      <c r="AX73" s="8"/>
      <c r="AY73" s="8"/>
      <c r="AZ73" s="8"/>
      <c r="BA73" s="8"/>
      <c r="BB73" s="8"/>
      <c r="BC73" s="8"/>
      <c r="BD73" s="8"/>
      <c r="BE73" s="8"/>
      <c r="BF73" s="8"/>
      <c r="BG73" s="8"/>
      <c r="BH73" s="8"/>
      <c r="BI73" s="8"/>
      <c r="BJ73" s="8"/>
      <c r="BK73" s="12"/>
    </row>
    <row r="74" spans="1:63" ht="13.5" customHeight="1" thickBot="1">
      <c r="A74" s="283"/>
      <c r="B74" s="284"/>
      <c r="C74" s="266"/>
      <c r="D74" s="81"/>
      <c r="E74" s="8"/>
      <c r="F74" s="8"/>
      <c r="G74" s="8"/>
      <c r="H74" s="8"/>
      <c r="I74" s="8"/>
      <c r="J74" s="9"/>
      <c r="K74" s="81"/>
      <c r="L74" s="8"/>
      <c r="M74" s="8"/>
      <c r="N74" s="8"/>
      <c r="O74" s="8"/>
      <c r="P74" s="8"/>
      <c r="Q74" s="8"/>
      <c r="R74" s="8"/>
      <c r="S74" s="8"/>
      <c r="T74" s="8"/>
      <c r="U74" s="9"/>
      <c r="V74" s="267"/>
      <c r="W74" s="81"/>
      <c r="X74" s="8"/>
      <c r="Y74" s="8"/>
      <c r="Z74" s="8"/>
      <c r="AA74" s="8"/>
      <c r="AB74" s="8"/>
      <c r="AC74" s="8"/>
      <c r="AD74" s="8"/>
      <c r="AE74" s="9"/>
      <c r="AF74" s="81"/>
      <c r="AG74" s="8"/>
      <c r="AH74" s="8"/>
      <c r="AI74" s="8"/>
      <c r="AJ74" s="8"/>
      <c r="AK74" s="8"/>
      <c r="AL74" s="8"/>
      <c r="AM74" s="8"/>
      <c r="AN74" s="8"/>
      <c r="AO74" s="8"/>
      <c r="AP74" s="9"/>
      <c r="AQ74" s="81"/>
      <c r="AR74" s="8"/>
      <c r="AS74" s="8"/>
      <c r="AT74" s="8"/>
      <c r="AU74" s="8"/>
      <c r="AV74" s="8"/>
      <c r="AW74" s="8"/>
      <c r="AX74" s="8"/>
      <c r="AY74" s="8"/>
      <c r="AZ74" s="8"/>
      <c r="BA74" s="8"/>
      <c r="BB74" s="8"/>
      <c r="BC74" s="8"/>
      <c r="BD74" s="8"/>
      <c r="BE74" s="8"/>
      <c r="BF74" s="8"/>
      <c r="BG74" s="8"/>
      <c r="BH74" s="8"/>
      <c r="BI74" s="8"/>
      <c r="BJ74" s="8"/>
      <c r="BK74" s="12"/>
    </row>
    <row r="75" spans="1:63" ht="15.75" customHeight="1">
      <c r="A75" s="225" t="s">
        <v>251</v>
      </c>
      <c r="B75" s="226"/>
      <c r="C75" s="226"/>
      <c r="D75" s="226"/>
      <c r="E75" s="227"/>
      <c r="F75" s="228"/>
      <c r="G75" s="229">
        <v>4</v>
      </c>
      <c r="H75" s="270"/>
      <c r="I75" s="234"/>
      <c r="J75" s="234"/>
      <c r="K75" s="234"/>
      <c r="L75" s="234"/>
      <c r="M75" s="234"/>
      <c r="N75" s="234"/>
      <c r="O75" s="234"/>
      <c r="P75" s="234"/>
      <c r="Q75" s="234"/>
      <c r="R75" s="271"/>
      <c r="S75" s="230" t="s">
        <v>660</v>
      </c>
      <c r="T75" s="231"/>
      <c r="U75" s="231"/>
      <c r="V75" s="231"/>
      <c r="W75" s="231"/>
      <c r="X75" s="231"/>
      <c r="Y75" s="232"/>
      <c r="Z75" s="233" t="s">
        <v>122</v>
      </c>
      <c r="AA75" s="233"/>
      <c r="AB75" s="233"/>
      <c r="AC75" s="233"/>
      <c r="AD75" s="234"/>
      <c r="AE75" s="233"/>
      <c r="AF75" s="233"/>
      <c r="AG75" s="233"/>
      <c r="AH75" s="235" t="s">
        <v>69</v>
      </c>
      <c r="AI75" s="231"/>
      <c r="AJ75" s="232"/>
      <c r="AK75" s="233" t="s">
        <v>733</v>
      </c>
      <c r="AL75" s="233"/>
      <c r="AM75" s="233"/>
      <c r="AN75" s="233"/>
      <c r="AO75" s="233"/>
      <c r="AP75" s="233"/>
      <c r="AQ75" s="233"/>
      <c r="AR75" s="233"/>
      <c r="AS75" s="233"/>
      <c r="AT75" s="233"/>
      <c r="AU75" s="233"/>
      <c r="AV75" s="233"/>
      <c r="AW75" s="233"/>
      <c r="AX75" s="233"/>
      <c r="AY75" s="233"/>
      <c r="AZ75" s="233"/>
      <c r="BA75" s="233"/>
      <c r="BB75" s="233"/>
      <c r="BC75" s="233"/>
      <c r="BD75" s="233"/>
      <c r="BE75" s="233"/>
      <c r="BF75" s="233"/>
      <c r="BG75" s="233"/>
      <c r="BH75" s="233"/>
      <c r="BI75" s="233"/>
      <c r="BJ75" s="233"/>
      <c r="BK75" s="236"/>
    </row>
    <row r="76" spans="1:63" ht="15.75" customHeight="1">
      <c r="A76" s="237" t="s">
        <v>662</v>
      </c>
      <c r="B76" s="238"/>
      <c r="C76" s="238"/>
      <c r="D76" s="239"/>
      <c r="E76" s="240" t="s">
        <v>680</v>
      </c>
      <c r="F76" s="241"/>
      <c r="G76" s="241"/>
      <c r="H76" s="242"/>
      <c r="I76" s="242"/>
      <c r="J76" s="242"/>
      <c r="K76" s="242"/>
      <c r="L76" s="243"/>
      <c r="M76" s="243"/>
      <c r="N76" s="243"/>
      <c r="O76" s="243"/>
      <c r="P76" s="243"/>
      <c r="Q76" s="243"/>
      <c r="R76" s="243"/>
      <c r="S76" s="243"/>
      <c r="T76" s="243"/>
      <c r="U76" s="243"/>
      <c r="V76" s="243"/>
      <c r="W76" s="243"/>
      <c r="X76" s="243"/>
      <c r="Y76" s="243"/>
      <c r="Z76" s="241"/>
      <c r="AA76" s="241"/>
      <c r="AB76" s="241"/>
      <c r="AC76" s="241"/>
      <c r="AD76" s="241"/>
      <c r="AE76" s="241"/>
      <c r="AF76" s="241"/>
      <c r="AG76" s="241"/>
      <c r="AH76" s="241"/>
      <c r="AI76" s="241"/>
      <c r="AJ76" s="241"/>
      <c r="AK76" s="241"/>
      <c r="AL76" s="241"/>
      <c r="AM76" s="241"/>
      <c r="AN76" s="241"/>
      <c r="AO76" s="241"/>
      <c r="AP76" s="241"/>
      <c r="AQ76" s="241"/>
      <c r="AR76" s="241"/>
      <c r="AS76" s="241"/>
      <c r="AT76" s="241"/>
      <c r="AU76" s="241"/>
      <c r="AV76" s="241"/>
      <c r="AW76" s="241"/>
      <c r="AX76" s="241"/>
      <c r="AY76" s="241"/>
      <c r="AZ76" s="241"/>
      <c r="BA76" s="241"/>
      <c r="BB76" s="241"/>
      <c r="BC76" s="241"/>
      <c r="BD76" s="241"/>
      <c r="BE76" s="241"/>
      <c r="BF76" s="241"/>
      <c r="BG76" s="241"/>
      <c r="BH76" s="241"/>
      <c r="BI76" s="241"/>
      <c r="BJ76" s="241"/>
      <c r="BK76" s="244"/>
    </row>
    <row r="77" spans="1:63" ht="15.75" customHeight="1">
      <c r="A77" s="245" t="s">
        <v>251</v>
      </c>
      <c r="B77" s="246"/>
      <c r="C77" s="247" t="s">
        <v>664</v>
      </c>
      <c r="D77" s="248"/>
      <c r="E77" s="249"/>
      <c r="F77" s="249"/>
      <c r="G77" s="249"/>
      <c r="H77" s="249"/>
      <c r="I77" s="249"/>
      <c r="J77" s="249"/>
      <c r="K77" s="249"/>
      <c r="L77" s="249"/>
      <c r="M77" s="249"/>
      <c r="N77" s="249"/>
      <c r="O77" s="249"/>
      <c r="P77" s="249"/>
      <c r="Q77" s="249"/>
      <c r="R77" s="249"/>
      <c r="S77" s="249"/>
      <c r="T77" s="249"/>
      <c r="U77" s="249"/>
      <c r="V77" s="247" t="s">
        <v>665</v>
      </c>
      <c r="W77" s="248"/>
      <c r="X77" s="249"/>
      <c r="Y77" s="249"/>
      <c r="Z77" s="249"/>
      <c r="AA77" s="249"/>
      <c r="AB77" s="249"/>
      <c r="AC77" s="249"/>
      <c r="AD77" s="249"/>
      <c r="AE77" s="249"/>
      <c r="AF77" s="246"/>
      <c r="AG77" s="246"/>
      <c r="AH77" s="246"/>
      <c r="AI77" s="246"/>
      <c r="AJ77" s="246"/>
      <c r="AK77" s="246"/>
      <c r="AL77" s="246"/>
      <c r="AM77" s="246"/>
      <c r="AN77" s="246"/>
      <c r="AO77" s="246"/>
      <c r="AP77" s="246"/>
      <c r="AQ77" s="250" t="s">
        <v>229</v>
      </c>
      <c r="AR77" s="246"/>
      <c r="AS77" s="246"/>
      <c r="AT77" s="246"/>
      <c r="AU77" s="246"/>
      <c r="AV77" s="246"/>
      <c r="AW77" s="246"/>
      <c r="AX77" s="246"/>
      <c r="AY77" s="246"/>
      <c r="AZ77" s="246"/>
      <c r="BA77" s="246"/>
      <c r="BB77" s="246"/>
      <c r="BC77" s="246"/>
      <c r="BD77" s="246"/>
      <c r="BE77" s="246"/>
      <c r="BF77" s="246"/>
      <c r="BG77" s="246"/>
      <c r="BH77" s="246"/>
      <c r="BI77" s="246"/>
      <c r="BJ77" s="246"/>
      <c r="BK77" s="251"/>
    </row>
    <row r="78" spans="1:63" ht="15.75" customHeight="1" thickBot="1">
      <c r="A78" s="252"/>
      <c r="B78" s="253"/>
      <c r="C78" s="254" t="s">
        <v>666</v>
      </c>
      <c r="D78" s="255" t="s">
        <v>667</v>
      </c>
      <c r="E78" s="256"/>
      <c r="F78" s="256"/>
      <c r="G78" s="256"/>
      <c r="H78" s="256"/>
      <c r="I78" s="256"/>
      <c r="J78" s="257"/>
      <c r="K78" s="255" t="s">
        <v>228</v>
      </c>
      <c r="L78" s="256"/>
      <c r="M78" s="256"/>
      <c r="N78" s="256"/>
      <c r="O78" s="256"/>
      <c r="P78" s="256"/>
      <c r="Q78" s="256"/>
      <c r="R78" s="256"/>
      <c r="S78" s="256"/>
      <c r="T78" s="256"/>
      <c r="U78" s="257"/>
      <c r="V78" s="254" t="s">
        <v>666</v>
      </c>
      <c r="W78" s="255" t="s">
        <v>667</v>
      </c>
      <c r="X78" s="256"/>
      <c r="Y78" s="256"/>
      <c r="Z78" s="256"/>
      <c r="AA78" s="256"/>
      <c r="AB78" s="256"/>
      <c r="AC78" s="256"/>
      <c r="AD78" s="256"/>
      <c r="AE78" s="257"/>
      <c r="AF78" s="255" t="s">
        <v>228</v>
      </c>
      <c r="AG78" s="256"/>
      <c r="AH78" s="256"/>
      <c r="AI78" s="256"/>
      <c r="AJ78" s="256"/>
      <c r="AK78" s="256"/>
      <c r="AL78" s="256"/>
      <c r="AM78" s="256"/>
      <c r="AN78" s="256"/>
      <c r="AO78" s="256"/>
      <c r="AP78" s="257"/>
      <c r="AQ78" s="258"/>
      <c r="AR78" s="253"/>
      <c r="AS78" s="253"/>
      <c r="AT78" s="253"/>
      <c r="AU78" s="253"/>
      <c r="AV78" s="253"/>
      <c r="AW78" s="253"/>
      <c r="AX78" s="253"/>
      <c r="AY78" s="253"/>
      <c r="AZ78" s="253"/>
      <c r="BA78" s="253"/>
      <c r="BB78" s="253"/>
      <c r="BC78" s="253"/>
      <c r="BD78" s="253"/>
      <c r="BE78" s="253"/>
      <c r="BF78" s="253"/>
      <c r="BG78" s="253"/>
      <c r="BH78" s="253"/>
      <c r="BI78" s="253"/>
      <c r="BJ78" s="253"/>
      <c r="BK78" s="259"/>
    </row>
    <row r="79" spans="1:63" ht="13.5" customHeight="1" thickTop="1">
      <c r="A79" s="674">
        <v>1</v>
      </c>
      <c r="B79" s="675"/>
      <c r="C79" s="260" t="s">
        <v>668</v>
      </c>
      <c r="D79" s="261" t="s">
        <v>723</v>
      </c>
      <c r="E79" s="262"/>
      <c r="F79" s="262"/>
      <c r="G79" s="262"/>
      <c r="H79" s="262"/>
      <c r="I79" s="262"/>
      <c r="J79" s="263"/>
      <c r="K79" s="261" t="s">
        <v>724</v>
      </c>
      <c r="L79" s="262"/>
      <c r="M79" s="262"/>
      <c r="N79" s="262"/>
      <c r="O79" s="262"/>
      <c r="P79" s="262"/>
      <c r="Q79" s="262"/>
      <c r="R79" s="262"/>
      <c r="S79" s="262"/>
      <c r="T79" s="262"/>
      <c r="U79" s="263"/>
      <c r="V79" s="264"/>
      <c r="W79" s="261"/>
      <c r="X79" s="262"/>
      <c r="Y79" s="262"/>
      <c r="Z79" s="262"/>
      <c r="AA79" s="262"/>
      <c r="AB79" s="262"/>
      <c r="AC79" s="262"/>
      <c r="AD79" s="262"/>
      <c r="AE79" s="263"/>
      <c r="AF79" s="261"/>
      <c r="AG79" s="262"/>
      <c r="AH79" s="262"/>
      <c r="AI79" s="262"/>
      <c r="AJ79" s="262"/>
      <c r="AK79" s="262"/>
      <c r="AL79" s="262"/>
      <c r="AM79" s="262"/>
      <c r="AN79" s="262"/>
      <c r="AO79" s="262"/>
      <c r="AP79" s="263"/>
      <c r="AQ79" s="261" t="s">
        <v>734</v>
      </c>
      <c r="AR79" s="262"/>
      <c r="AS79" s="262"/>
      <c r="AT79" s="262"/>
      <c r="AU79" s="262"/>
      <c r="AV79" s="262"/>
      <c r="AW79" s="262"/>
      <c r="AX79" s="262"/>
      <c r="AY79" s="262"/>
      <c r="AZ79" s="262"/>
      <c r="BA79" s="262"/>
      <c r="BB79" s="262"/>
      <c r="BC79" s="262"/>
      <c r="BD79" s="262"/>
      <c r="BE79" s="262"/>
      <c r="BF79" s="262"/>
      <c r="BG79" s="262"/>
      <c r="BH79" s="262"/>
      <c r="BI79" s="262"/>
      <c r="BJ79" s="262"/>
      <c r="BK79" s="265"/>
    </row>
    <row r="80" spans="1:63" ht="13.5" customHeight="1">
      <c r="A80" s="667">
        <v>2</v>
      </c>
      <c r="B80" s="668"/>
      <c r="C80" s="266" t="s">
        <v>676</v>
      </c>
      <c r="D80" s="81" t="s">
        <v>723</v>
      </c>
      <c r="E80" s="8"/>
      <c r="F80" s="8"/>
      <c r="G80" s="8"/>
      <c r="H80" s="8"/>
      <c r="I80" s="8"/>
      <c r="J80" s="9"/>
      <c r="K80" s="81" t="s">
        <v>726</v>
      </c>
      <c r="L80" s="8"/>
      <c r="M80" s="8"/>
      <c r="N80" s="8"/>
      <c r="O80" s="8"/>
      <c r="P80" s="8"/>
      <c r="Q80" s="8"/>
      <c r="R80" s="8"/>
      <c r="S80" s="8"/>
      <c r="T80" s="8"/>
      <c r="U80" s="9"/>
      <c r="V80" s="267" t="s">
        <v>676</v>
      </c>
      <c r="W80" s="81" t="s">
        <v>690</v>
      </c>
      <c r="X80" s="8"/>
      <c r="Y80" s="8"/>
      <c r="Z80" s="8"/>
      <c r="AA80" s="8"/>
      <c r="AB80" s="8"/>
      <c r="AC80" s="8"/>
      <c r="AD80" s="8"/>
      <c r="AE80" s="9"/>
      <c r="AF80" s="81"/>
      <c r="AG80" s="8"/>
      <c r="AH80" s="8"/>
      <c r="AI80" s="8"/>
      <c r="AJ80" s="8"/>
      <c r="AK80" s="8"/>
      <c r="AL80" s="8"/>
      <c r="AM80" s="8"/>
      <c r="AN80" s="8"/>
      <c r="AO80" s="8"/>
      <c r="AP80" s="9"/>
      <c r="AQ80" s="81"/>
      <c r="AR80" s="8"/>
      <c r="AS80" s="8"/>
      <c r="AT80" s="8"/>
      <c r="AU80" s="8"/>
      <c r="AV80" s="8"/>
      <c r="AW80" s="8"/>
      <c r="AX80" s="8"/>
      <c r="AY80" s="8"/>
      <c r="AZ80" s="8"/>
      <c r="BA80" s="8"/>
      <c r="BB80" s="8"/>
      <c r="BC80" s="8"/>
      <c r="BD80" s="8"/>
      <c r="BE80" s="8"/>
      <c r="BF80" s="8"/>
      <c r="BG80" s="8"/>
      <c r="BH80" s="8"/>
      <c r="BI80" s="8"/>
      <c r="BJ80" s="8"/>
      <c r="BK80" s="12"/>
    </row>
    <row r="81" spans="1:63" ht="13.5" customHeight="1">
      <c r="A81" s="667">
        <v>3</v>
      </c>
      <c r="B81" s="668"/>
      <c r="C81" s="266" t="s">
        <v>676</v>
      </c>
      <c r="D81" s="81" t="s">
        <v>723</v>
      </c>
      <c r="E81" s="8"/>
      <c r="F81" s="8"/>
      <c r="G81" s="8"/>
      <c r="H81" s="8"/>
      <c r="I81" s="8"/>
      <c r="J81" s="9"/>
      <c r="K81" s="81" t="s">
        <v>727</v>
      </c>
      <c r="L81" s="8"/>
      <c r="M81" s="8"/>
      <c r="N81" s="8"/>
      <c r="O81" s="8"/>
      <c r="P81" s="8"/>
      <c r="Q81" s="8"/>
      <c r="R81" s="8"/>
      <c r="S81" s="8"/>
      <c r="T81" s="8"/>
      <c r="U81" s="9"/>
      <c r="V81" s="267" t="s">
        <v>676</v>
      </c>
      <c r="W81" s="81" t="s">
        <v>697</v>
      </c>
      <c r="X81" s="8"/>
      <c r="Y81" s="8"/>
      <c r="Z81" s="8"/>
      <c r="AA81" s="8"/>
      <c r="AB81" s="8"/>
      <c r="AC81" s="8"/>
      <c r="AD81" s="8"/>
      <c r="AE81" s="9"/>
      <c r="AF81" s="81" t="s">
        <v>698</v>
      </c>
      <c r="AG81" s="8"/>
      <c r="AH81" s="8"/>
      <c r="AI81" s="8"/>
      <c r="AJ81" s="8"/>
      <c r="AK81" s="8"/>
      <c r="AL81" s="8"/>
      <c r="AM81" s="8"/>
      <c r="AN81" s="8"/>
      <c r="AO81" s="8"/>
      <c r="AP81" s="9"/>
      <c r="AQ81" s="81"/>
      <c r="AR81" s="8"/>
      <c r="AS81" s="8"/>
      <c r="AT81" s="8"/>
      <c r="AU81" s="8"/>
      <c r="AV81" s="8"/>
      <c r="AW81" s="8"/>
      <c r="AX81" s="8"/>
      <c r="AY81" s="8"/>
      <c r="AZ81" s="8"/>
      <c r="BA81" s="8"/>
      <c r="BB81" s="8"/>
      <c r="BC81" s="8"/>
      <c r="BD81" s="8"/>
      <c r="BE81" s="8"/>
      <c r="BF81" s="8"/>
      <c r="BG81" s="8"/>
      <c r="BH81" s="8"/>
      <c r="BI81" s="8"/>
      <c r="BJ81" s="8"/>
      <c r="BK81" s="12"/>
    </row>
    <row r="82" spans="1:63" ht="13.5" customHeight="1">
      <c r="A82" s="667">
        <v>4</v>
      </c>
      <c r="B82" s="668"/>
      <c r="C82" s="266" t="s">
        <v>676</v>
      </c>
      <c r="D82" s="81" t="s">
        <v>728</v>
      </c>
      <c r="E82" s="8"/>
      <c r="F82" s="8"/>
      <c r="G82" s="8"/>
      <c r="H82" s="8"/>
      <c r="I82" s="8"/>
      <c r="J82" s="9"/>
      <c r="K82" s="81" t="s">
        <v>576</v>
      </c>
      <c r="L82" s="8"/>
      <c r="M82" s="8"/>
      <c r="N82" s="8"/>
      <c r="O82" s="8"/>
      <c r="P82" s="8"/>
      <c r="Q82" s="8"/>
      <c r="R82" s="8"/>
      <c r="S82" s="8"/>
      <c r="T82" s="8"/>
      <c r="U82" s="9"/>
      <c r="V82" s="267" t="s">
        <v>676</v>
      </c>
      <c r="W82" s="81" t="s">
        <v>697</v>
      </c>
      <c r="X82" s="8"/>
      <c r="Y82" s="8"/>
      <c r="Z82" s="8"/>
      <c r="AA82" s="8"/>
      <c r="AB82" s="8"/>
      <c r="AC82" s="8"/>
      <c r="AD82" s="8"/>
      <c r="AE82" s="9"/>
      <c r="AF82" s="81" t="s">
        <v>576</v>
      </c>
      <c r="AG82" s="8"/>
      <c r="AH82" s="8"/>
      <c r="AI82" s="8"/>
      <c r="AJ82" s="8"/>
      <c r="AK82" s="8"/>
      <c r="AL82" s="8"/>
      <c r="AM82" s="8"/>
      <c r="AN82" s="8"/>
      <c r="AO82" s="8"/>
      <c r="AP82" s="9"/>
      <c r="AQ82" s="81"/>
      <c r="AR82" s="8"/>
      <c r="AS82" s="8"/>
      <c r="AT82" s="8"/>
      <c r="AU82" s="8"/>
      <c r="AV82" s="8"/>
      <c r="AW82" s="8"/>
      <c r="AX82" s="8"/>
      <c r="AY82" s="8"/>
      <c r="AZ82" s="8"/>
      <c r="BA82" s="8"/>
      <c r="BB82" s="8"/>
      <c r="BC82" s="8"/>
      <c r="BD82" s="8"/>
      <c r="BE82" s="8"/>
      <c r="BF82" s="8"/>
      <c r="BG82" s="8"/>
      <c r="BH82" s="8"/>
      <c r="BI82" s="8"/>
      <c r="BJ82" s="8"/>
      <c r="BK82" s="12"/>
    </row>
    <row r="83" spans="1:63" ht="13.5" customHeight="1">
      <c r="A83" s="667">
        <v>5</v>
      </c>
      <c r="B83" s="668"/>
      <c r="C83" s="266" t="s">
        <v>676</v>
      </c>
      <c r="D83" s="81" t="s">
        <v>728</v>
      </c>
      <c r="E83" s="8"/>
      <c r="F83" s="8"/>
      <c r="G83" s="8"/>
      <c r="H83" s="8"/>
      <c r="I83" s="8"/>
      <c r="J83" s="9"/>
      <c r="K83" s="81" t="s">
        <v>729</v>
      </c>
      <c r="L83" s="8"/>
      <c r="M83" s="8"/>
      <c r="N83" s="8"/>
      <c r="O83" s="8"/>
      <c r="P83" s="8"/>
      <c r="Q83" s="8"/>
      <c r="R83" s="8"/>
      <c r="S83" s="8"/>
      <c r="T83" s="8"/>
      <c r="U83" s="9"/>
      <c r="V83" s="267"/>
      <c r="W83" s="81"/>
      <c r="X83" s="8"/>
      <c r="Y83" s="8"/>
      <c r="Z83" s="8"/>
      <c r="AA83" s="8"/>
      <c r="AB83" s="8"/>
      <c r="AC83" s="8"/>
      <c r="AD83" s="8"/>
      <c r="AE83" s="9"/>
      <c r="AF83" s="81"/>
      <c r="AG83" s="8"/>
      <c r="AH83" s="8"/>
      <c r="AI83" s="8"/>
      <c r="AJ83" s="8"/>
      <c r="AK83" s="8"/>
      <c r="AL83" s="8"/>
      <c r="AM83" s="8"/>
      <c r="AN83" s="8"/>
      <c r="AO83" s="8"/>
      <c r="AP83" s="9"/>
      <c r="AQ83" s="81" t="s">
        <v>693</v>
      </c>
      <c r="AR83" s="8"/>
      <c r="AS83" s="8"/>
      <c r="AT83" s="8"/>
      <c r="AU83" s="8"/>
      <c r="AV83" s="8"/>
      <c r="AW83" s="8"/>
      <c r="AX83" s="8"/>
      <c r="AY83" s="8"/>
      <c r="AZ83" s="8"/>
      <c r="BA83" s="8"/>
      <c r="BB83" s="8"/>
      <c r="BC83" s="8"/>
      <c r="BD83" s="8"/>
      <c r="BE83" s="8"/>
      <c r="BF83" s="8"/>
      <c r="BG83" s="8"/>
      <c r="BH83" s="8"/>
      <c r="BI83" s="8"/>
      <c r="BJ83" s="8"/>
      <c r="BK83" s="12"/>
    </row>
    <row r="84" spans="1:63" ht="13.5" customHeight="1">
      <c r="A84" s="667">
        <v>6</v>
      </c>
      <c r="B84" s="668"/>
      <c r="C84" s="266" t="s">
        <v>676</v>
      </c>
      <c r="D84" s="81" t="s">
        <v>728</v>
      </c>
      <c r="E84" s="8"/>
      <c r="F84" s="8"/>
      <c r="G84" s="8"/>
      <c r="H84" s="8"/>
      <c r="I84" s="8"/>
      <c r="J84" s="9"/>
      <c r="K84" s="81" t="s">
        <v>730</v>
      </c>
      <c r="L84" s="8"/>
      <c r="M84" s="8"/>
      <c r="N84" s="8"/>
      <c r="O84" s="8"/>
      <c r="P84" s="8"/>
      <c r="Q84" s="8"/>
      <c r="R84" s="8"/>
      <c r="S84" s="8"/>
      <c r="T84" s="8"/>
      <c r="U84" s="9"/>
      <c r="V84" s="267" t="s">
        <v>676</v>
      </c>
      <c r="W84" s="81" t="s">
        <v>697</v>
      </c>
      <c r="X84" s="8"/>
      <c r="Y84" s="8"/>
      <c r="Z84" s="8"/>
      <c r="AA84" s="8"/>
      <c r="AB84" s="8"/>
      <c r="AC84" s="8"/>
      <c r="AD84" s="8"/>
      <c r="AE84" s="9"/>
      <c r="AF84" s="81" t="s">
        <v>673</v>
      </c>
      <c r="AG84" s="8"/>
      <c r="AH84" s="8"/>
      <c r="AI84" s="8"/>
      <c r="AJ84" s="8"/>
      <c r="AK84" s="8"/>
      <c r="AL84" s="8"/>
      <c r="AM84" s="8"/>
      <c r="AN84" s="8"/>
      <c r="AO84" s="8"/>
      <c r="AP84" s="9"/>
      <c r="AQ84" s="81"/>
      <c r="AR84" s="8"/>
      <c r="AS84" s="8"/>
      <c r="AT84" s="8"/>
      <c r="AU84" s="8"/>
      <c r="AV84" s="8"/>
      <c r="AW84" s="8"/>
      <c r="AX84" s="8"/>
      <c r="AY84" s="8"/>
      <c r="AZ84" s="8"/>
      <c r="BA84" s="8"/>
      <c r="BB84" s="8"/>
      <c r="BC84" s="8"/>
      <c r="BD84" s="8"/>
      <c r="BE84" s="8"/>
      <c r="BF84" s="8"/>
      <c r="BG84" s="8"/>
      <c r="BH84" s="8"/>
      <c r="BI84" s="8"/>
      <c r="BJ84" s="8"/>
      <c r="BK84" s="12"/>
    </row>
    <row r="85" spans="1:63" ht="13.5" customHeight="1">
      <c r="A85" s="667">
        <v>7</v>
      </c>
      <c r="B85" s="668"/>
      <c r="C85" s="266" t="s">
        <v>676</v>
      </c>
      <c r="D85" s="81" t="s">
        <v>728</v>
      </c>
      <c r="E85" s="8"/>
      <c r="F85" s="8"/>
      <c r="G85" s="8"/>
      <c r="H85" s="8"/>
      <c r="I85" s="8"/>
      <c r="J85" s="9"/>
      <c r="K85" s="81" t="s">
        <v>731</v>
      </c>
      <c r="L85" s="8"/>
      <c r="M85" s="8"/>
      <c r="N85" s="8"/>
      <c r="O85" s="8"/>
      <c r="P85" s="8"/>
      <c r="Q85" s="8"/>
      <c r="R85" s="8"/>
      <c r="S85" s="8"/>
      <c r="T85" s="8"/>
      <c r="U85" s="9"/>
      <c r="V85" s="267" t="s">
        <v>676</v>
      </c>
      <c r="W85" s="81" t="s">
        <v>690</v>
      </c>
      <c r="X85" s="8"/>
      <c r="Y85" s="8"/>
      <c r="Z85" s="8"/>
      <c r="AA85" s="8"/>
      <c r="AB85" s="8"/>
      <c r="AC85" s="8"/>
      <c r="AD85" s="8"/>
      <c r="AE85" s="9"/>
      <c r="AF85" s="81"/>
      <c r="AG85" s="8"/>
      <c r="AH85" s="8"/>
      <c r="AI85" s="8"/>
      <c r="AJ85" s="8"/>
      <c r="AK85" s="8"/>
      <c r="AL85" s="8"/>
      <c r="AM85" s="8"/>
      <c r="AN85" s="8"/>
      <c r="AO85" s="8"/>
      <c r="AP85" s="9"/>
      <c r="AQ85" s="81"/>
      <c r="AR85" s="8"/>
      <c r="AS85" s="8"/>
      <c r="AT85" s="8"/>
      <c r="AU85" s="8"/>
      <c r="AV85" s="8"/>
      <c r="AW85" s="8"/>
      <c r="AX85" s="8"/>
      <c r="AY85" s="8"/>
      <c r="AZ85" s="8"/>
      <c r="BA85" s="8"/>
      <c r="BB85" s="8"/>
      <c r="BC85" s="8"/>
      <c r="BD85" s="8"/>
      <c r="BE85" s="8"/>
      <c r="BF85" s="8"/>
      <c r="BG85" s="8"/>
      <c r="BH85" s="8"/>
      <c r="BI85" s="8"/>
      <c r="BJ85" s="8"/>
      <c r="BK85" s="12"/>
    </row>
    <row r="86" spans="1:63" ht="13.5" customHeight="1">
      <c r="A86" s="667">
        <v>8</v>
      </c>
      <c r="B86" s="668"/>
      <c r="C86" s="266" t="s">
        <v>676</v>
      </c>
      <c r="D86" s="81" t="s">
        <v>728</v>
      </c>
      <c r="E86" s="8"/>
      <c r="F86" s="8"/>
      <c r="G86" s="8"/>
      <c r="H86" s="8"/>
      <c r="I86" s="8"/>
      <c r="J86" s="9"/>
      <c r="K86" s="81" t="s">
        <v>732</v>
      </c>
      <c r="L86" s="8"/>
      <c r="M86" s="8"/>
      <c r="N86" s="8"/>
      <c r="O86" s="8"/>
      <c r="P86" s="8"/>
      <c r="Q86" s="8"/>
      <c r="R86" s="8"/>
      <c r="S86" s="8"/>
      <c r="T86" s="8"/>
      <c r="U86" s="9"/>
      <c r="V86" s="267" t="s">
        <v>676</v>
      </c>
      <c r="W86" s="81" t="s">
        <v>690</v>
      </c>
      <c r="X86" s="8"/>
      <c r="Y86" s="8"/>
      <c r="Z86" s="8"/>
      <c r="AA86" s="8"/>
      <c r="AB86" s="8"/>
      <c r="AC86" s="8"/>
      <c r="AD86" s="8"/>
      <c r="AE86" s="9"/>
      <c r="AF86" s="81"/>
      <c r="AG86" s="8"/>
      <c r="AH86" s="8"/>
      <c r="AI86" s="8"/>
      <c r="AJ86" s="8"/>
      <c r="AK86" s="8"/>
      <c r="AL86" s="8"/>
      <c r="AM86" s="8"/>
      <c r="AN86" s="8"/>
      <c r="AO86" s="8"/>
      <c r="AP86" s="9"/>
      <c r="AQ86" s="81"/>
      <c r="AR86" s="8"/>
      <c r="AS86" s="8"/>
      <c r="AT86" s="8"/>
      <c r="AU86" s="8"/>
      <c r="AV86" s="8"/>
      <c r="AW86" s="8"/>
      <c r="AX86" s="8"/>
      <c r="AY86" s="8"/>
      <c r="AZ86" s="8"/>
      <c r="BA86" s="8"/>
      <c r="BB86" s="8"/>
      <c r="BC86" s="8"/>
      <c r="BD86" s="8"/>
      <c r="BE86" s="8"/>
      <c r="BF86" s="8"/>
      <c r="BG86" s="8"/>
      <c r="BH86" s="8"/>
      <c r="BI86" s="8"/>
      <c r="BJ86" s="8"/>
      <c r="BK86" s="12"/>
    </row>
    <row r="87" spans="1:63" ht="13.5" customHeight="1">
      <c r="A87" s="283"/>
      <c r="B87" s="284"/>
      <c r="C87" s="266"/>
      <c r="D87" s="81"/>
      <c r="E87" s="8"/>
      <c r="F87" s="8"/>
      <c r="G87" s="8"/>
      <c r="H87" s="8"/>
      <c r="I87" s="8"/>
      <c r="J87" s="9"/>
      <c r="K87" s="81"/>
      <c r="L87" s="8"/>
      <c r="M87" s="8"/>
      <c r="N87" s="8"/>
      <c r="O87" s="8"/>
      <c r="P87" s="8"/>
      <c r="Q87" s="8"/>
      <c r="R87" s="8"/>
      <c r="S87" s="8"/>
      <c r="T87" s="8"/>
      <c r="U87" s="9"/>
      <c r="V87" s="267"/>
      <c r="W87" s="81"/>
      <c r="X87" s="8"/>
      <c r="Y87" s="8"/>
      <c r="Z87" s="8"/>
      <c r="AA87" s="8"/>
      <c r="AB87" s="8"/>
      <c r="AC87" s="8"/>
      <c r="AD87" s="8"/>
      <c r="AE87" s="9"/>
      <c r="AF87" s="81"/>
      <c r="AG87" s="8"/>
      <c r="AH87" s="8"/>
      <c r="AI87" s="8"/>
      <c r="AJ87" s="8"/>
      <c r="AK87" s="8"/>
      <c r="AL87" s="8"/>
      <c r="AM87" s="8"/>
      <c r="AN87" s="8"/>
      <c r="AO87" s="8"/>
      <c r="AP87" s="9"/>
      <c r="AQ87" s="81"/>
      <c r="AR87" s="8"/>
      <c r="AS87" s="8"/>
      <c r="AT87" s="8"/>
      <c r="AU87" s="8"/>
      <c r="AV87" s="8"/>
      <c r="AW87" s="8"/>
      <c r="AX87" s="8"/>
      <c r="AY87" s="8"/>
      <c r="AZ87" s="8"/>
      <c r="BA87" s="8"/>
      <c r="BB87" s="8"/>
      <c r="BC87" s="8"/>
      <c r="BD87" s="8"/>
      <c r="BE87" s="8"/>
      <c r="BF87" s="8"/>
      <c r="BG87" s="8"/>
      <c r="BH87" s="8"/>
      <c r="BI87" s="8"/>
      <c r="BJ87" s="8"/>
      <c r="BK87" s="12"/>
    </row>
    <row r="88" spans="1:63" ht="13.5" customHeight="1" thickBot="1">
      <c r="A88" s="672"/>
      <c r="B88" s="673"/>
      <c r="C88" s="268"/>
      <c r="D88" s="100"/>
      <c r="E88" s="105"/>
      <c r="F88" s="105"/>
      <c r="G88" s="105"/>
      <c r="H88" s="105"/>
      <c r="I88" s="105"/>
      <c r="J88" s="108"/>
      <c r="K88" s="100"/>
      <c r="L88" s="105"/>
      <c r="M88" s="105"/>
      <c r="N88" s="105"/>
      <c r="O88" s="105"/>
      <c r="P88" s="105"/>
      <c r="Q88" s="105"/>
      <c r="R88" s="105"/>
      <c r="S88" s="105"/>
      <c r="T88" s="105"/>
      <c r="U88" s="108"/>
      <c r="V88" s="269"/>
      <c r="W88" s="100"/>
      <c r="X88" s="105"/>
      <c r="Y88" s="105"/>
      <c r="Z88" s="105"/>
      <c r="AA88" s="105"/>
      <c r="AB88" s="105"/>
      <c r="AC88" s="105"/>
      <c r="AD88" s="105"/>
      <c r="AE88" s="108"/>
      <c r="AF88" s="100"/>
      <c r="AG88" s="105"/>
      <c r="AH88" s="105"/>
      <c r="AI88" s="105"/>
      <c r="AJ88" s="105"/>
      <c r="AK88" s="105"/>
      <c r="AL88" s="105"/>
      <c r="AM88" s="105"/>
      <c r="AN88" s="105"/>
      <c r="AO88" s="105"/>
      <c r="AP88" s="108"/>
      <c r="AQ88" s="100"/>
      <c r="AR88" s="105"/>
      <c r="AS88" s="105"/>
      <c r="AT88" s="105"/>
      <c r="AU88" s="105"/>
      <c r="AV88" s="105"/>
      <c r="AW88" s="105"/>
      <c r="AX88" s="105"/>
      <c r="AY88" s="105"/>
      <c r="AZ88" s="105"/>
      <c r="BA88" s="105"/>
      <c r="BB88" s="105"/>
      <c r="BC88" s="105"/>
      <c r="BD88" s="105"/>
      <c r="BE88" s="105"/>
      <c r="BF88" s="105"/>
      <c r="BG88" s="105"/>
      <c r="BH88" s="105"/>
      <c r="BI88" s="105"/>
      <c r="BJ88" s="105"/>
      <c r="BK88" s="109"/>
    </row>
  </sheetData>
  <mergeCells count="92">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52:B52"/>
    <mergeCell ref="A17:B17"/>
    <mergeCell ref="A23:B23"/>
    <mergeCell ref="A24:B24"/>
    <mergeCell ref="A42:B42"/>
    <mergeCell ref="A48:B48"/>
    <mergeCell ref="A40:B40"/>
    <mergeCell ref="A41:B41"/>
    <mergeCell ref="A34:B34"/>
    <mergeCell ref="A50:B50"/>
    <mergeCell ref="A26:B26"/>
    <mergeCell ref="A27:B27"/>
    <mergeCell ref="A31:B31"/>
    <mergeCell ref="AJ1:AR1"/>
    <mergeCell ref="A36:B36"/>
    <mergeCell ref="A11:B11"/>
    <mergeCell ref="A12:B12"/>
    <mergeCell ref="A28:B28"/>
    <mergeCell ref="A32:B32"/>
    <mergeCell ref="A10:B10"/>
    <mergeCell ref="A1:J3"/>
    <mergeCell ref="A9:B9"/>
    <mergeCell ref="AQ9:BK9"/>
    <mergeCell ref="A22:B22"/>
    <mergeCell ref="A20:B20"/>
    <mergeCell ref="A18:B18"/>
    <mergeCell ref="A19:B19"/>
    <mergeCell ref="A21:B21"/>
    <mergeCell ref="A25:B25"/>
    <mergeCell ref="A88:B88"/>
    <mergeCell ref="A43:B43"/>
    <mergeCell ref="A49:B49"/>
    <mergeCell ref="A61:B61"/>
    <mergeCell ref="A66:B66"/>
    <mergeCell ref="A67:B67"/>
    <mergeCell ref="A68:B68"/>
    <mergeCell ref="A69:B69"/>
    <mergeCell ref="A70:B70"/>
    <mergeCell ref="A71:B71"/>
    <mergeCell ref="A72:B72"/>
    <mergeCell ref="A73:B73"/>
    <mergeCell ref="A79:B79"/>
    <mergeCell ref="A80:B80"/>
    <mergeCell ref="A86:B86"/>
    <mergeCell ref="A81:B81"/>
    <mergeCell ref="A82:B82"/>
    <mergeCell ref="A83:B83"/>
    <mergeCell ref="A84:B84"/>
    <mergeCell ref="A85:B85"/>
    <mergeCell ref="A29:B29"/>
    <mergeCell ref="A30:B30"/>
    <mergeCell ref="A37:B37"/>
    <mergeCell ref="A38:B38"/>
    <mergeCell ref="A39:B39"/>
    <mergeCell ref="A44:B44"/>
    <mergeCell ref="A47:B47"/>
    <mergeCell ref="A45:B45"/>
    <mergeCell ref="A46:B46"/>
    <mergeCell ref="A60:B60"/>
    <mergeCell ref="A59:B59"/>
    <mergeCell ref="A57:B57"/>
    <mergeCell ref="A58:B58"/>
    <mergeCell ref="A54:B54"/>
    <mergeCell ref="A55:B55"/>
    <mergeCell ref="A56:B56"/>
    <mergeCell ref="AQ23:BK23"/>
    <mergeCell ref="AQ33:BK33"/>
    <mergeCell ref="AQ35:BK35"/>
    <mergeCell ref="AQ51:BK51"/>
    <mergeCell ref="AQ53:BK53"/>
    <mergeCell ref="AQ45:BK45"/>
    <mergeCell ref="AQ46:BK46"/>
    <mergeCell ref="AQ47:BK47"/>
  </mergeCells>
  <phoneticPr fontId="1"/>
  <dataValidations count="1">
    <dataValidation imeMode="off" allowBlank="1" showInputMessage="1" showErrorMessage="1" sqref="W9:AE12 D9:J12 D79:J88 W79:AE87 W66:AE74 D66:J74 W17:AE39 W54:AE60 K54:K60 D17:J61 W40:W53" xr:uid="{00000000-0002-0000-0900-000000000000}"/>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5E0B-5257-4881-B3CA-2B44A60295A6}">
  <sheetPr>
    <tabColor rgb="FFFFFF00"/>
  </sheetPr>
  <dimension ref="A1:BK26"/>
  <sheetViews>
    <sheetView showGridLines="0" showZeros="0" view="pageBreakPreview" zoomScaleNormal="100" zoomScaleSheetLayoutView="100" workbookViewId="0">
      <selection sqref="A1:J3"/>
    </sheetView>
  </sheetViews>
  <sheetFormatPr defaultColWidth="2.125" defaultRowHeight="15.75" customHeight="1"/>
  <cols>
    <col min="1" max="2" width="2.125" style="11" customWidth="1"/>
    <col min="3" max="3" width="2.375" style="11" customWidth="1"/>
    <col min="4" max="4" width="2.125" style="11" customWidth="1"/>
    <col min="5" max="5" width="3" style="11" customWidth="1"/>
    <col min="6" max="63" width="2.125" style="11" customWidth="1"/>
    <col min="64" max="16384" width="2.125" style="11"/>
  </cols>
  <sheetData>
    <row r="1" spans="1:63" s="7" customFormat="1" ht="1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 customHeight="1">
      <c r="A2" s="468"/>
      <c r="B2" s="469"/>
      <c r="C2" s="469"/>
      <c r="D2" s="469"/>
      <c r="E2" s="469"/>
      <c r="F2" s="469"/>
      <c r="G2" s="469"/>
      <c r="H2" s="469"/>
      <c r="I2" s="469"/>
      <c r="J2" s="470"/>
      <c r="K2" s="498" t="s">
        <v>735</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f>
        <v>M7-US-1311</v>
      </c>
      <c r="AT2" s="506"/>
      <c r="AU2" s="506"/>
      <c r="AV2" s="506"/>
      <c r="AW2" s="506"/>
      <c r="AX2" s="506"/>
      <c r="AY2" s="506"/>
      <c r="AZ2" s="508" t="s">
        <v>736</v>
      </c>
      <c r="BA2" s="440"/>
      <c r="BB2" s="440"/>
      <c r="BC2" s="440"/>
      <c r="BD2" s="440"/>
      <c r="BE2" s="441"/>
      <c r="BF2" s="526" t="s">
        <v>737</v>
      </c>
      <c r="BG2" s="440"/>
      <c r="BH2" s="440"/>
      <c r="BI2" s="440"/>
      <c r="BJ2" s="440"/>
      <c r="BK2" s="512"/>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509"/>
      <c r="BG3" s="633"/>
      <c r="BH3" s="633"/>
      <c r="BI3" s="633"/>
      <c r="BJ3" s="633"/>
      <c r="BK3" s="513"/>
    </row>
    <row r="4" spans="1:63" s="7" customFormat="1" ht="6.75" customHeight="1" thickBot="1">
      <c r="B4" s="3"/>
      <c r="C4" s="4"/>
      <c r="D4" s="4"/>
      <c r="E4" s="4"/>
      <c r="F4" s="5"/>
      <c r="G4" s="5"/>
      <c r="H4" s="5"/>
      <c r="I4" s="5"/>
      <c r="J4" s="4"/>
      <c r="K4" s="5"/>
      <c r="L4" s="5"/>
      <c r="M4" s="5"/>
      <c r="N4" s="5"/>
      <c r="O4" s="5"/>
      <c r="P4" s="5"/>
      <c r="Q4" s="6"/>
    </row>
    <row r="5" spans="1:63" s="301" customFormat="1" ht="13.5" customHeight="1" thickBot="1">
      <c r="A5" s="699" t="s">
        <v>251</v>
      </c>
      <c r="B5" s="700"/>
      <c r="C5" s="701" t="s">
        <v>738</v>
      </c>
      <c r="D5" s="702"/>
      <c r="E5" s="701" t="s">
        <v>739</v>
      </c>
      <c r="F5" s="702"/>
      <c r="G5" s="298" t="s">
        <v>740</v>
      </c>
      <c r="H5" s="299"/>
      <c r="I5" s="299"/>
      <c r="J5" s="299"/>
      <c r="K5" s="299"/>
      <c r="L5" s="299"/>
      <c r="M5" s="299"/>
      <c r="N5" s="299"/>
      <c r="O5" s="299"/>
      <c r="P5" s="299"/>
      <c r="Q5" s="299"/>
      <c r="R5" s="299"/>
      <c r="S5" s="299"/>
      <c r="T5" s="299"/>
      <c r="U5" s="299"/>
      <c r="V5" s="299"/>
      <c r="W5" s="299"/>
      <c r="X5" s="299"/>
      <c r="Y5" s="299"/>
      <c r="Z5" s="299"/>
      <c r="AA5" s="299"/>
      <c r="AB5" s="299"/>
      <c r="AC5" s="299"/>
      <c r="AD5" s="299"/>
      <c r="AE5" s="299"/>
      <c r="AF5" s="299"/>
      <c r="AG5" s="299"/>
      <c r="AH5" s="299"/>
      <c r="AI5" s="299"/>
      <c r="AJ5" s="299"/>
      <c r="AK5" s="299"/>
      <c r="AL5" s="299"/>
      <c r="AM5" s="299"/>
      <c r="AN5" s="299"/>
      <c r="AO5" s="299"/>
      <c r="AP5" s="300"/>
      <c r="AQ5" s="703" t="s">
        <v>741</v>
      </c>
      <c r="AR5" s="703"/>
      <c r="AS5" s="703"/>
      <c r="AT5" s="703"/>
      <c r="AU5" s="703"/>
      <c r="AV5" s="703"/>
      <c r="AW5" s="703"/>
      <c r="AX5" s="703"/>
      <c r="AY5" s="703"/>
      <c r="AZ5" s="703"/>
      <c r="BA5" s="703"/>
      <c r="BB5" s="703"/>
      <c r="BC5" s="703"/>
      <c r="BD5" s="703"/>
      <c r="BE5" s="703"/>
      <c r="BF5" s="703"/>
      <c r="BG5" s="703" t="s">
        <v>742</v>
      </c>
      <c r="BH5" s="703"/>
      <c r="BI5" s="703"/>
      <c r="BJ5" s="703"/>
      <c r="BK5" s="704"/>
    </row>
    <row r="6" spans="1:63" s="301" customFormat="1" ht="27" customHeight="1" thickTop="1">
      <c r="A6" s="683">
        <v>1</v>
      </c>
      <c r="B6" s="684"/>
      <c r="C6" s="685" t="s">
        <v>743</v>
      </c>
      <c r="D6" s="685"/>
      <c r="E6" s="685" t="s">
        <v>744</v>
      </c>
      <c r="F6" s="685"/>
      <c r="G6" s="686" t="s">
        <v>745</v>
      </c>
      <c r="H6" s="687"/>
      <c r="I6" s="687"/>
      <c r="J6" s="687"/>
      <c r="K6" s="687"/>
      <c r="L6" s="687"/>
      <c r="M6" s="687"/>
      <c r="N6" s="687"/>
      <c r="O6" s="687"/>
      <c r="P6" s="687"/>
      <c r="Q6" s="687"/>
      <c r="R6" s="687"/>
      <c r="S6" s="687"/>
      <c r="T6" s="687"/>
      <c r="U6" s="687"/>
      <c r="V6" s="687"/>
      <c r="W6" s="687"/>
      <c r="X6" s="687"/>
      <c r="Y6" s="687"/>
      <c r="Z6" s="687"/>
      <c r="AA6" s="687"/>
      <c r="AB6" s="687"/>
      <c r="AC6" s="687"/>
      <c r="AD6" s="687"/>
      <c r="AE6" s="687"/>
      <c r="AF6" s="687"/>
      <c r="AG6" s="687"/>
      <c r="AH6" s="687"/>
      <c r="AI6" s="687"/>
      <c r="AJ6" s="687"/>
      <c r="AK6" s="687"/>
      <c r="AL6" s="687"/>
      <c r="AM6" s="687"/>
      <c r="AN6" s="687"/>
      <c r="AO6" s="687"/>
      <c r="AP6" s="688"/>
      <c r="AQ6" s="689" t="s">
        <v>746</v>
      </c>
      <c r="AR6" s="685"/>
      <c r="AS6" s="685"/>
      <c r="AT6" s="685"/>
      <c r="AU6" s="685"/>
      <c r="AV6" s="685"/>
      <c r="AW6" s="685"/>
      <c r="AX6" s="685"/>
      <c r="AY6" s="685"/>
      <c r="AZ6" s="685"/>
      <c r="BA6" s="685"/>
      <c r="BB6" s="685"/>
      <c r="BC6" s="685"/>
      <c r="BD6" s="685"/>
      <c r="BE6" s="685"/>
      <c r="BF6" s="685"/>
      <c r="BG6" s="685" t="s">
        <v>747</v>
      </c>
      <c r="BH6" s="685"/>
      <c r="BI6" s="685"/>
      <c r="BJ6" s="685"/>
      <c r="BK6" s="690"/>
    </row>
    <row r="7" spans="1:63" s="301" customFormat="1" ht="27" customHeight="1">
      <c r="A7" s="691">
        <v>2</v>
      </c>
      <c r="B7" s="692"/>
      <c r="C7" s="693" t="s">
        <v>748</v>
      </c>
      <c r="D7" s="693"/>
      <c r="E7" s="693" t="s">
        <v>744</v>
      </c>
      <c r="F7" s="693"/>
      <c r="G7" s="694" t="s">
        <v>749</v>
      </c>
      <c r="H7" s="695"/>
      <c r="I7" s="695"/>
      <c r="J7" s="695"/>
      <c r="K7" s="695"/>
      <c r="L7" s="695"/>
      <c r="M7" s="695"/>
      <c r="N7" s="695"/>
      <c r="O7" s="695"/>
      <c r="P7" s="695"/>
      <c r="Q7" s="695"/>
      <c r="R7" s="695"/>
      <c r="S7" s="695"/>
      <c r="T7" s="695"/>
      <c r="U7" s="695"/>
      <c r="V7" s="695"/>
      <c r="W7" s="695"/>
      <c r="X7" s="695"/>
      <c r="Y7" s="695"/>
      <c r="Z7" s="695"/>
      <c r="AA7" s="695"/>
      <c r="AB7" s="695"/>
      <c r="AC7" s="695"/>
      <c r="AD7" s="695"/>
      <c r="AE7" s="695"/>
      <c r="AF7" s="695"/>
      <c r="AG7" s="695"/>
      <c r="AH7" s="695"/>
      <c r="AI7" s="695"/>
      <c r="AJ7" s="695"/>
      <c r="AK7" s="695"/>
      <c r="AL7" s="695"/>
      <c r="AM7" s="695"/>
      <c r="AN7" s="695"/>
      <c r="AO7" s="695"/>
      <c r="AP7" s="696"/>
      <c r="AQ7" s="697" t="s">
        <v>750</v>
      </c>
      <c r="AR7" s="698"/>
      <c r="AS7" s="698"/>
      <c r="AT7" s="698"/>
      <c r="AU7" s="698"/>
      <c r="AV7" s="698"/>
      <c r="AW7" s="698"/>
      <c r="AX7" s="698"/>
      <c r="AY7" s="698"/>
      <c r="AZ7" s="698"/>
      <c r="BA7" s="698"/>
      <c r="BB7" s="698"/>
      <c r="BC7" s="698"/>
      <c r="BD7" s="698"/>
      <c r="BE7" s="698"/>
      <c r="BF7" s="698"/>
      <c r="BG7" s="681" t="s">
        <v>751</v>
      </c>
      <c r="BH7" s="681"/>
      <c r="BI7" s="681"/>
      <c r="BJ7" s="681"/>
      <c r="BK7" s="682"/>
    </row>
    <row r="8" spans="1:63" s="301" customFormat="1" ht="40.5" customHeight="1">
      <c r="A8" s="705">
        <v>3</v>
      </c>
      <c r="B8" s="706"/>
      <c r="C8" s="716" t="s">
        <v>748</v>
      </c>
      <c r="D8" s="717"/>
      <c r="E8" s="716" t="s">
        <v>744</v>
      </c>
      <c r="F8" s="717"/>
      <c r="G8" s="713" t="s">
        <v>752</v>
      </c>
      <c r="H8" s="714"/>
      <c r="I8" s="714"/>
      <c r="J8" s="714"/>
      <c r="K8" s="714"/>
      <c r="L8" s="714"/>
      <c r="M8" s="714"/>
      <c r="N8" s="714"/>
      <c r="O8" s="714"/>
      <c r="P8" s="714"/>
      <c r="Q8" s="714"/>
      <c r="R8" s="714"/>
      <c r="S8" s="714"/>
      <c r="T8" s="714"/>
      <c r="U8" s="714"/>
      <c r="V8" s="714"/>
      <c r="W8" s="714"/>
      <c r="X8" s="714"/>
      <c r="Y8" s="714"/>
      <c r="Z8" s="714"/>
      <c r="AA8" s="714"/>
      <c r="AB8" s="714"/>
      <c r="AC8" s="714"/>
      <c r="AD8" s="714"/>
      <c r="AE8" s="714"/>
      <c r="AF8" s="714"/>
      <c r="AG8" s="714"/>
      <c r="AH8" s="714"/>
      <c r="AI8" s="714"/>
      <c r="AJ8" s="714"/>
      <c r="AK8" s="714"/>
      <c r="AL8" s="714"/>
      <c r="AM8" s="714"/>
      <c r="AN8" s="714"/>
      <c r="AO8" s="714"/>
      <c r="AP8" s="715"/>
      <c r="AQ8" s="710" t="s">
        <v>753</v>
      </c>
      <c r="AR8" s="711"/>
      <c r="AS8" s="711"/>
      <c r="AT8" s="711"/>
      <c r="AU8" s="711"/>
      <c r="AV8" s="711"/>
      <c r="AW8" s="711"/>
      <c r="AX8" s="711"/>
      <c r="AY8" s="711"/>
      <c r="AZ8" s="711"/>
      <c r="BA8" s="711"/>
      <c r="BB8" s="711"/>
      <c r="BC8" s="711"/>
      <c r="BD8" s="711"/>
      <c r="BE8" s="711"/>
      <c r="BF8" s="712"/>
      <c r="BG8" s="707" t="s">
        <v>754</v>
      </c>
      <c r="BH8" s="708"/>
      <c r="BI8" s="708"/>
      <c r="BJ8" s="708"/>
      <c r="BK8" s="709"/>
    </row>
    <row r="9" spans="1:63" s="301" customFormat="1" ht="15.75" customHeight="1">
      <c r="A9" s="304"/>
      <c r="B9" s="305"/>
      <c r="C9" s="306"/>
      <c r="D9" s="306"/>
      <c r="E9" s="306"/>
      <c r="F9" s="306"/>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307"/>
      <c r="AI9" s="307"/>
      <c r="AJ9" s="307"/>
      <c r="AK9" s="307"/>
      <c r="AL9" s="307"/>
      <c r="AM9" s="307"/>
      <c r="AN9" s="307"/>
      <c r="AO9" s="307"/>
      <c r="AP9" s="307"/>
      <c r="AQ9" s="308"/>
      <c r="AR9" s="309"/>
      <c r="AS9" s="309"/>
      <c r="AT9" s="309"/>
      <c r="AU9" s="309"/>
      <c r="AV9" s="309"/>
      <c r="AW9" s="309"/>
      <c r="AX9" s="309"/>
      <c r="AY9" s="309"/>
      <c r="AZ9" s="309"/>
      <c r="BA9" s="309"/>
      <c r="BB9" s="309"/>
      <c r="BC9" s="309"/>
      <c r="BD9" s="309"/>
      <c r="BE9" s="309"/>
      <c r="BF9" s="309"/>
      <c r="BG9" s="309"/>
      <c r="BH9" s="309"/>
      <c r="BI9" s="309"/>
      <c r="BJ9" s="309"/>
      <c r="BK9" s="310"/>
    </row>
    <row r="10" spans="1:63" s="301" customFormat="1" ht="15.75" customHeight="1">
      <c r="A10" s="304"/>
      <c r="B10" s="305"/>
      <c r="C10" s="306"/>
      <c r="D10" s="306"/>
      <c r="E10" s="306"/>
      <c r="F10" s="306"/>
      <c r="G10" s="307"/>
      <c r="H10" s="307"/>
      <c r="I10" s="307"/>
      <c r="J10" s="307"/>
      <c r="K10" s="307"/>
      <c r="L10" s="307"/>
      <c r="M10" s="307"/>
      <c r="N10" s="307"/>
      <c r="O10" s="307"/>
      <c r="P10" s="307"/>
      <c r="Q10" s="307"/>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7"/>
      <c r="AP10" s="307"/>
      <c r="AQ10" s="308"/>
      <c r="AR10" s="309"/>
      <c r="AS10" s="309"/>
      <c r="AT10" s="309"/>
      <c r="AU10" s="309"/>
      <c r="AV10" s="309"/>
      <c r="AW10" s="309"/>
      <c r="AX10" s="309"/>
      <c r="AY10" s="309"/>
      <c r="AZ10" s="309"/>
      <c r="BA10" s="309"/>
      <c r="BB10" s="309"/>
      <c r="BC10" s="309"/>
      <c r="BD10" s="309"/>
      <c r="BE10" s="309"/>
      <c r="BF10" s="309"/>
      <c r="BG10" s="309"/>
      <c r="BH10" s="309"/>
      <c r="BI10" s="309"/>
      <c r="BJ10" s="309"/>
      <c r="BK10" s="310"/>
    </row>
    <row r="11" spans="1:63" s="301" customFormat="1" ht="15.75" customHeight="1">
      <c r="A11" s="304"/>
      <c r="B11" s="305"/>
      <c r="C11" s="306"/>
      <c r="D11" s="306"/>
      <c r="E11" s="306"/>
      <c r="F11" s="306"/>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8"/>
      <c r="AR11" s="309"/>
      <c r="AS11" s="309"/>
      <c r="AT11" s="309"/>
      <c r="AU11" s="309"/>
      <c r="AV11" s="309"/>
      <c r="AW11" s="309"/>
      <c r="AX11" s="309"/>
      <c r="AY11" s="309"/>
      <c r="AZ11" s="309"/>
      <c r="BA11" s="309"/>
      <c r="BB11" s="309"/>
      <c r="BC11" s="309"/>
      <c r="BD11" s="309"/>
      <c r="BE11" s="309"/>
      <c r="BF11" s="309"/>
      <c r="BG11" s="309"/>
      <c r="BH11" s="309"/>
      <c r="BI11" s="309"/>
      <c r="BJ11" s="309"/>
      <c r="BK11" s="310"/>
    </row>
    <row r="12" spans="1:63" s="301" customFormat="1" ht="15.75" customHeight="1">
      <c r="A12" s="304"/>
      <c r="B12" s="305"/>
      <c r="C12" s="306"/>
      <c r="D12" s="306"/>
      <c r="E12" s="306"/>
      <c r="F12" s="306"/>
      <c r="G12" s="307"/>
      <c r="H12" s="307"/>
      <c r="I12" s="307"/>
      <c r="J12" s="307"/>
      <c r="K12" s="307"/>
      <c r="L12" s="307"/>
      <c r="M12" s="307"/>
      <c r="N12" s="307"/>
      <c r="O12" s="307"/>
      <c r="P12" s="307"/>
      <c r="Q12" s="307"/>
      <c r="R12" s="307"/>
      <c r="S12" s="307"/>
      <c r="T12" s="307"/>
      <c r="U12" s="307"/>
      <c r="V12" s="307"/>
      <c r="W12" s="307"/>
      <c r="X12" s="307"/>
      <c r="Y12" s="307"/>
      <c r="Z12" s="307"/>
      <c r="AA12" s="307"/>
      <c r="AB12" s="307"/>
      <c r="AC12" s="307"/>
      <c r="AD12" s="307"/>
      <c r="AE12" s="307"/>
      <c r="AF12" s="307"/>
      <c r="AG12" s="307"/>
      <c r="AH12" s="307"/>
      <c r="AI12" s="307"/>
      <c r="AJ12" s="307"/>
      <c r="AK12" s="307"/>
      <c r="AL12" s="307"/>
      <c r="AM12" s="307"/>
      <c r="AN12" s="307"/>
      <c r="AO12" s="307"/>
      <c r="AP12" s="307"/>
      <c r="AQ12" s="308"/>
      <c r="AR12" s="309"/>
      <c r="AS12" s="309"/>
      <c r="AT12" s="309"/>
      <c r="AU12" s="309"/>
      <c r="AV12" s="309"/>
      <c r="AW12" s="309"/>
      <c r="AX12" s="309"/>
      <c r="AY12" s="309"/>
      <c r="AZ12" s="309"/>
      <c r="BA12" s="309"/>
      <c r="BB12" s="309"/>
      <c r="BC12" s="309"/>
      <c r="BD12" s="309"/>
      <c r="BE12" s="309"/>
      <c r="BF12" s="309"/>
      <c r="BG12" s="309"/>
      <c r="BH12" s="309"/>
      <c r="BI12" s="309"/>
      <c r="BJ12" s="309"/>
      <c r="BK12" s="310"/>
    </row>
    <row r="13" spans="1:63" s="301" customFormat="1" ht="15.75" customHeight="1">
      <c r="A13" s="304"/>
      <c r="B13" s="305"/>
      <c r="C13" s="306"/>
      <c r="D13" s="306"/>
      <c r="E13" s="306"/>
      <c r="F13" s="306"/>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8"/>
      <c r="AR13" s="309"/>
      <c r="AS13" s="309"/>
      <c r="AT13" s="309"/>
      <c r="AU13" s="309"/>
      <c r="AV13" s="309"/>
      <c r="AW13" s="309"/>
      <c r="AX13" s="309"/>
      <c r="AY13" s="309"/>
      <c r="AZ13" s="309"/>
      <c r="BA13" s="309"/>
      <c r="BB13" s="309"/>
      <c r="BC13" s="309"/>
      <c r="BD13" s="309"/>
      <c r="BE13" s="309"/>
      <c r="BF13" s="309"/>
      <c r="BG13" s="309"/>
      <c r="BH13" s="309"/>
      <c r="BI13" s="309"/>
      <c r="BJ13" s="309"/>
      <c r="BK13" s="310"/>
    </row>
    <row r="14" spans="1:63" s="301" customFormat="1" ht="15.75" customHeight="1">
      <c r="A14" s="304"/>
      <c r="B14" s="305"/>
      <c r="C14" s="306"/>
      <c r="D14" s="306"/>
      <c r="E14" s="306"/>
      <c r="F14" s="306"/>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8"/>
      <c r="AR14" s="309"/>
      <c r="AS14" s="309"/>
      <c r="AT14" s="309"/>
      <c r="AU14" s="309"/>
      <c r="AV14" s="309"/>
      <c r="AW14" s="309"/>
      <c r="AX14" s="309"/>
      <c r="AY14" s="309"/>
      <c r="AZ14" s="309"/>
      <c r="BA14" s="309"/>
      <c r="BB14" s="309"/>
      <c r="BC14" s="309"/>
      <c r="BD14" s="309"/>
      <c r="BE14" s="309"/>
      <c r="BF14" s="309"/>
      <c r="BG14" s="309"/>
      <c r="BH14" s="309"/>
      <c r="BI14" s="309"/>
      <c r="BJ14" s="309"/>
      <c r="BK14" s="310"/>
    </row>
    <row r="15" spans="1:63" s="301" customFormat="1" ht="15.75" customHeight="1">
      <c r="A15" s="304"/>
      <c r="B15" s="305"/>
      <c r="C15" s="306"/>
      <c r="D15" s="306"/>
      <c r="E15" s="306"/>
      <c r="F15" s="306"/>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8"/>
      <c r="AR15" s="309"/>
      <c r="AS15" s="309"/>
      <c r="AT15" s="309"/>
      <c r="AU15" s="309"/>
      <c r="AV15" s="309"/>
      <c r="AW15" s="309"/>
      <c r="AX15" s="309"/>
      <c r="AY15" s="309"/>
      <c r="AZ15" s="309"/>
      <c r="BA15" s="309"/>
      <c r="BB15" s="309"/>
      <c r="BC15" s="309"/>
      <c r="BD15" s="309"/>
      <c r="BE15" s="309"/>
      <c r="BF15" s="309"/>
      <c r="BG15" s="309"/>
      <c r="BH15" s="309"/>
      <c r="BI15" s="309"/>
      <c r="BJ15" s="309"/>
      <c r="BK15" s="310"/>
    </row>
    <row r="16" spans="1:63" s="301" customFormat="1" ht="15.75" customHeight="1">
      <c r="A16" s="304"/>
      <c r="B16" s="305"/>
      <c r="C16" s="306"/>
      <c r="D16" s="306"/>
      <c r="E16" s="306"/>
      <c r="F16" s="306"/>
      <c r="G16" s="307"/>
      <c r="H16" s="307"/>
      <c r="I16" s="307"/>
      <c r="J16" s="307"/>
      <c r="K16" s="307"/>
      <c r="L16" s="307"/>
      <c r="M16" s="307"/>
      <c r="N16" s="307"/>
      <c r="O16" s="307"/>
      <c r="P16" s="307"/>
      <c r="Q16" s="307"/>
      <c r="R16" s="307"/>
      <c r="S16" s="307"/>
      <c r="T16" s="307"/>
      <c r="U16" s="307"/>
      <c r="V16" s="307"/>
      <c r="W16" s="307"/>
      <c r="X16" s="307"/>
      <c r="Y16" s="307"/>
      <c r="Z16" s="307"/>
      <c r="AA16" s="307"/>
      <c r="AB16" s="307"/>
      <c r="AC16" s="307"/>
      <c r="AD16" s="307"/>
      <c r="AE16" s="307"/>
      <c r="AF16" s="307"/>
      <c r="AG16" s="307"/>
      <c r="AH16" s="307"/>
      <c r="AI16" s="307"/>
      <c r="AJ16" s="307"/>
      <c r="AK16" s="307"/>
      <c r="AL16" s="307"/>
      <c r="AM16" s="307"/>
      <c r="AN16" s="307"/>
      <c r="AO16" s="307"/>
      <c r="AP16" s="307"/>
      <c r="AQ16" s="308"/>
      <c r="AR16" s="309"/>
      <c r="AS16" s="309"/>
      <c r="AT16" s="309"/>
      <c r="AU16" s="309"/>
      <c r="AV16" s="309"/>
      <c r="AW16" s="309"/>
      <c r="AX16" s="309"/>
      <c r="AY16" s="309"/>
      <c r="AZ16" s="309"/>
      <c r="BA16" s="309"/>
      <c r="BB16" s="309"/>
      <c r="BC16" s="309"/>
      <c r="BD16" s="309"/>
      <c r="BE16" s="309"/>
      <c r="BF16" s="309"/>
      <c r="BG16" s="309"/>
      <c r="BH16" s="309"/>
      <c r="BI16" s="309"/>
      <c r="BJ16" s="309"/>
      <c r="BK16" s="310"/>
    </row>
    <row r="17" spans="1:63" s="301" customFormat="1" ht="15.75" customHeight="1">
      <c r="A17" s="304"/>
      <c r="B17" s="305"/>
      <c r="C17" s="306"/>
      <c r="D17" s="306"/>
      <c r="E17" s="306"/>
      <c r="F17" s="306"/>
      <c r="G17" s="307"/>
      <c r="H17" s="307"/>
      <c r="I17" s="307"/>
      <c r="J17" s="307"/>
      <c r="K17" s="307"/>
      <c r="L17" s="307"/>
      <c r="M17" s="307"/>
      <c r="N17" s="307"/>
      <c r="O17" s="307"/>
      <c r="P17" s="307"/>
      <c r="Q17" s="307"/>
      <c r="R17" s="307"/>
      <c r="S17" s="307"/>
      <c r="T17" s="307"/>
      <c r="U17" s="307"/>
      <c r="V17" s="307"/>
      <c r="W17" s="307"/>
      <c r="X17" s="307"/>
      <c r="Y17" s="307"/>
      <c r="Z17" s="307"/>
      <c r="AA17" s="307"/>
      <c r="AB17" s="307"/>
      <c r="AC17" s="307"/>
      <c r="AD17" s="307"/>
      <c r="AE17" s="307"/>
      <c r="AF17" s="307"/>
      <c r="AG17" s="307"/>
      <c r="AH17" s="307"/>
      <c r="AI17" s="307"/>
      <c r="AJ17" s="307"/>
      <c r="AK17" s="307"/>
      <c r="AL17" s="307"/>
      <c r="AM17" s="307"/>
      <c r="AN17" s="307"/>
      <c r="AO17" s="307"/>
      <c r="AP17" s="307"/>
      <c r="AQ17" s="308"/>
      <c r="AR17" s="309"/>
      <c r="AS17" s="309"/>
      <c r="AT17" s="309"/>
      <c r="AU17" s="309"/>
      <c r="AV17" s="309"/>
      <c r="AW17" s="309"/>
      <c r="AX17" s="309"/>
      <c r="AY17" s="309"/>
      <c r="AZ17" s="309"/>
      <c r="BA17" s="309"/>
      <c r="BB17" s="309"/>
      <c r="BC17" s="309"/>
      <c r="BD17" s="309"/>
      <c r="BE17" s="309"/>
      <c r="BF17" s="309"/>
      <c r="BG17" s="309"/>
      <c r="BH17" s="309"/>
      <c r="BI17" s="309"/>
      <c r="BJ17" s="309"/>
      <c r="BK17" s="310"/>
    </row>
    <row r="18" spans="1:63" s="301" customFormat="1" ht="15.75" customHeight="1">
      <c r="A18" s="304"/>
      <c r="B18" s="305"/>
      <c r="C18" s="306"/>
      <c r="D18" s="306"/>
      <c r="E18" s="306"/>
      <c r="F18" s="306"/>
      <c r="G18" s="307"/>
      <c r="H18" s="307"/>
      <c r="I18" s="307"/>
      <c r="J18" s="307"/>
      <c r="K18" s="307"/>
      <c r="L18" s="307"/>
      <c r="M18" s="307"/>
      <c r="N18" s="307"/>
      <c r="O18" s="307"/>
      <c r="P18" s="307"/>
      <c r="Q18" s="307"/>
      <c r="R18" s="307"/>
      <c r="S18" s="307"/>
      <c r="T18" s="307"/>
      <c r="U18" s="307"/>
      <c r="V18" s="307"/>
      <c r="W18" s="307"/>
      <c r="X18" s="307"/>
      <c r="Y18" s="307"/>
      <c r="Z18" s="307"/>
      <c r="AA18" s="307"/>
      <c r="AB18" s="307"/>
      <c r="AC18" s="307"/>
      <c r="AD18" s="307"/>
      <c r="AE18" s="307"/>
      <c r="AF18" s="307"/>
      <c r="AG18" s="307"/>
      <c r="AH18" s="307"/>
      <c r="AI18" s="307"/>
      <c r="AJ18" s="307"/>
      <c r="AK18" s="307"/>
      <c r="AL18" s="307"/>
      <c r="AM18" s="307"/>
      <c r="AN18" s="307"/>
      <c r="AO18" s="307"/>
      <c r="AP18" s="307"/>
      <c r="AQ18" s="308"/>
      <c r="AR18" s="309"/>
      <c r="AS18" s="309"/>
      <c r="AT18" s="309"/>
      <c r="AU18" s="309"/>
      <c r="AV18" s="309"/>
      <c r="AW18" s="309"/>
      <c r="AX18" s="309"/>
      <c r="AY18" s="309"/>
      <c r="AZ18" s="309"/>
      <c r="BA18" s="309"/>
      <c r="BB18" s="309"/>
      <c r="BC18" s="309"/>
      <c r="BD18" s="309"/>
      <c r="BE18" s="309"/>
      <c r="BF18" s="309"/>
      <c r="BG18" s="309"/>
      <c r="BH18" s="309"/>
      <c r="BI18" s="309"/>
      <c r="BJ18" s="309"/>
      <c r="BK18" s="310"/>
    </row>
    <row r="19" spans="1:63" s="301" customFormat="1" ht="15.75" customHeight="1">
      <c r="A19" s="304"/>
      <c r="B19" s="305"/>
      <c r="C19" s="306"/>
      <c r="D19" s="306"/>
      <c r="E19" s="306"/>
      <c r="F19" s="306"/>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7"/>
      <c r="AH19" s="307"/>
      <c r="AI19" s="307"/>
      <c r="AJ19" s="307"/>
      <c r="AK19" s="307"/>
      <c r="AL19" s="307"/>
      <c r="AM19" s="307"/>
      <c r="AN19" s="307"/>
      <c r="AO19" s="307"/>
      <c r="AP19" s="307"/>
      <c r="AQ19" s="308"/>
      <c r="AR19" s="309"/>
      <c r="AS19" s="309"/>
      <c r="AT19" s="309"/>
      <c r="AU19" s="309"/>
      <c r="AV19" s="309"/>
      <c r="AW19" s="309"/>
      <c r="AX19" s="309"/>
      <c r="AY19" s="309"/>
      <c r="AZ19" s="309"/>
      <c r="BA19" s="309"/>
      <c r="BB19" s="309"/>
      <c r="BC19" s="309"/>
      <c r="BD19" s="309"/>
      <c r="BE19" s="309"/>
      <c r="BF19" s="309"/>
      <c r="BG19" s="309"/>
      <c r="BH19" s="309"/>
      <c r="BI19" s="309"/>
      <c r="BJ19" s="309"/>
      <c r="BK19" s="310"/>
    </row>
    <row r="20" spans="1:63" s="301" customFormat="1" ht="15.75" customHeight="1">
      <c r="A20" s="304"/>
      <c r="B20" s="305"/>
      <c r="C20" s="306"/>
      <c r="D20" s="306"/>
      <c r="E20" s="306"/>
      <c r="F20" s="306"/>
      <c r="G20" s="307"/>
      <c r="H20" s="307"/>
      <c r="I20" s="307"/>
      <c r="J20" s="307"/>
      <c r="K20" s="307"/>
      <c r="L20" s="307"/>
      <c r="M20" s="307"/>
      <c r="N20" s="307"/>
      <c r="O20" s="307"/>
      <c r="P20" s="307"/>
      <c r="Q20" s="307"/>
      <c r="R20" s="307"/>
      <c r="S20" s="307"/>
      <c r="T20" s="307"/>
      <c r="U20" s="307"/>
      <c r="V20" s="307"/>
      <c r="W20" s="307"/>
      <c r="X20" s="307"/>
      <c r="Y20" s="307"/>
      <c r="Z20" s="307"/>
      <c r="AA20" s="307"/>
      <c r="AB20" s="307"/>
      <c r="AC20" s="307"/>
      <c r="AD20" s="307"/>
      <c r="AE20" s="307"/>
      <c r="AF20" s="307"/>
      <c r="AG20" s="307"/>
      <c r="AH20" s="307"/>
      <c r="AI20" s="307"/>
      <c r="AJ20" s="307"/>
      <c r="AK20" s="307"/>
      <c r="AL20" s="307"/>
      <c r="AM20" s="307"/>
      <c r="AN20" s="307"/>
      <c r="AO20" s="307"/>
      <c r="AP20" s="307"/>
      <c r="AQ20" s="308"/>
      <c r="AR20" s="309"/>
      <c r="AS20" s="309"/>
      <c r="AT20" s="309"/>
      <c r="AU20" s="309"/>
      <c r="AV20" s="309"/>
      <c r="AW20" s="309"/>
      <c r="AX20" s="309"/>
      <c r="AY20" s="309"/>
      <c r="AZ20" s="309"/>
      <c r="BA20" s="309"/>
      <c r="BB20" s="309"/>
      <c r="BC20" s="309"/>
      <c r="BD20" s="309"/>
      <c r="BE20" s="309"/>
      <c r="BF20" s="309"/>
      <c r="BG20" s="309"/>
      <c r="BH20" s="309"/>
      <c r="BI20" s="309"/>
      <c r="BJ20" s="309"/>
      <c r="BK20" s="310"/>
    </row>
    <row r="21" spans="1:63" s="301" customFormat="1" ht="15.75" customHeight="1">
      <c r="A21" s="304"/>
      <c r="B21" s="305"/>
      <c r="C21" s="306"/>
      <c r="D21" s="306"/>
      <c r="E21" s="306"/>
      <c r="F21" s="306"/>
      <c r="G21" s="307"/>
      <c r="H21" s="307"/>
      <c r="I21" s="307"/>
      <c r="J21" s="307"/>
      <c r="K21" s="307"/>
      <c r="L21" s="307"/>
      <c r="M21" s="307"/>
      <c r="N21" s="307"/>
      <c r="O21" s="307"/>
      <c r="P21" s="307"/>
      <c r="Q21" s="307"/>
      <c r="R21" s="307"/>
      <c r="S21" s="307"/>
      <c r="T21" s="307"/>
      <c r="U21" s="307"/>
      <c r="V21" s="307"/>
      <c r="W21" s="307"/>
      <c r="X21" s="307"/>
      <c r="Y21" s="307"/>
      <c r="Z21" s="307"/>
      <c r="AA21" s="307"/>
      <c r="AB21" s="307"/>
      <c r="AC21" s="307"/>
      <c r="AD21" s="307"/>
      <c r="AE21" s="307"/>
      <c r="AF21" s="307"/>
      <c r="AG21" s="307"/>
      <c r="AH21" s="307"/>
      <c r="AI21" s="307"/>
      <c r="AJ21" s="307"/>
      <c r="AK21" s="307"/>
      <c r="AL21" s="307"/>
      <c r="AM21" s="307"/>
      <c r="AN21" s="307"/>
      <c r="AO21" s="307"/>
      <c r="AP21" s="307"/>
      <c r="AQ21" s="308"/>
      <c r="AR21" s="309"/>
      <c r="AS21" s="309"/>
      <c r="AT21" s="309"/>
      <c r="AU21" s="309"/>
      <c r="AV21" s="309"/>
      <c r="AW21" s="309"/>
      <c r="AX21" s="309"/>
      <c r="AY21" s="309"/>
      <c r="AZ21" s="309"/>
      <c r="BA21" s="309"/>
      <c r="BB21" s="309"/>
      <c r="BC21" s="309"/>
      <c r="BD21" s="309"/>
      <c r="BE21" s="309"/>
      <c r="BF21" s="309"/>
      <c r="BG21" s="309"/>
      <c r="BH21" s="309"/>
      <c r="BI21" s="309"/>
      <c r="BJ21" s="309"/>
      <c r="BK21" s="310"/>
    </row>
    <row r="22" spans="1:63" s="301" customFormat="1" ht="15.75" customHeight="1">
      <c r="A22" s="304"/>
      <c r="B22" s="305"/>
      <c r="C22" s="306"/>
      <c r="D22" s="306"/>
      <c r="E22" s="306"/>
      <c r="F22" s="306"/>
      <c r="G22" s="307"/>
      <c r="H22" s="307"/>
      <c r="I22" s="307"/>
      <c r="J22" s="307"/>
      <c r="K22" s="307"/>
      <c r="L22" s="307"/>
      <c r="M22" s="307"/>
      <c r="N22" s="307"/>
      <c r="O22" s="307"/>
      <c r="P22" s="307"/>
      <c r="Q22" s="307"/>
      <c r="R22" s="307"/>
      <c r="S22" s="307"/>
      <c r="T22" s="307"/>
      <c r="U22" s="307"/>
      <c r="V22" s="307"/>
      <c r="W22" s="307"/>
      <c r="X22" s="307"/>
      <c r="Y22" s="307"/>
      <c r="Z22" s="307"/>
      <c r="AA22" s="307"/>
      <c r="AB22" s="307"/>
      <c r="AC22" s="307"/>
      <c r="AD22" s="307"/>
      <c r="AE22" s="307"/>
      <c r="AF22" s="307"/>
      <c r="AG22" s="307"/>
      <c r="AH22" s="307"/>
      <c r="AI22" s="307"/>
      <c r="AJ22" s="307"/>
      <c r="AK22" s="307"/>
      <c r="AL22" s="307"/>
      <c r="AM22" s="307"/>
      <c r="AN22" s="307"/>
      <c r="AO22" s="307"/>
      <c r="AP22" s="307"/>
      <c r="AQ22" s="308"/>
      <c r="AR22" s="309"/>
      <c r="AS22" s="309"/>
      <c r="AT22" s="309"/>
      <c r="AU22" s="309"/>
      <c r="AV22" s="309"/>
      <c r="AW22" s="309"/>
      <c r="AX22" s="309"/>
      <c r="AY22" s="309"/>
      <c r="AZ22" s="309"/>
      <c r="BA22" s="309"/>
      <c r="BB22" s="309"/>
      <c r="BC22" s="309"/>
      <c r="BD22" s="309"/>
      <c r="BE22" s="309"/>
      <c r="BF22" s="309"/>
      <c r="BG22" s="309"/>
      <c r="BH22" s="309"/>
      <c r="BI22" s="309"/>
      <c r="BJ22" s="309"/>
      <c r="BK22" s="310"/>
    </row>
    <row r="23" spans="1:63" s="301" customFormat="1" ht="15.75" customHeight="1">
      <c r="A23" s="304"/>
      <c r="B23" s="305"/>
      <c r="C23" s="306"/>
      <c r="D23" s="306"/>
      <c r="E23" s="306"/>
      <c r="F23" s="306"/>
      <c r="G23" s="307"/>
      <c r="H23" s="307"/>
      <c r="I23" s="307"/>
      <c r="J23" s="307"/>
      <c r="K23" s="307"/>
      <c r="L23" s="307"/>
      <c r="M23" s="307"/>
      <c r="N23" s="307"/>
      <c r="O23" s="307"/>
      <c r="P23" s="307"/>
      <c r="Q23" s="307"/>
      <c r="R23" s="307"/>
      <c r="S23" s="307"/>
      <c r="T23" s="307"/>
      <c r="U23" s="307"/>
      <c r="V23" s="307"/>
      <c r="W23" s="307"/>
      <c r="X23" s="307"/>
      <c r="Y23" s="307"/>
      <c r="Z23" s="307"/>
      <c r="AA23" s="307"/>
      <c r="AB23" s="307"/>
      <c r="AC23" s="307"/>
      <c r="AD23" s="307"/>
      <c r="AE23" s="307"/>
      <c r="AF23" s="307"/>
      <c r="AG23" s="307"/>
      <c r="AH23" s="307"/>
      <c r="AI23" s="307"/>
      <c r="AJ23" s="307"/>
      <c r="AK23" s="307"/>
      <c r="AL23" s="307"/>
      <c r="AM23" s="307"/>
      <c r="AN23" s="307"/>
      <c r="AO23" s="307"/>
      <c r="AP23" s="307"/>
      <c r="AQ23" s="308"/>
      <c r="AR23" s="309"/>
      <c r="AS23" s="309"/>
      <c r="AT23" s="309"/>
      <c r="AU23" s="309"/>
      <c r="AV23" s="309"/>
      <c r="AW23" s="309"/>
      <c r="AX23" s="309"/>
      <c r="AY23" s="309"/>
      <c r="AZ23" s="309"/>
      <c r="BA23" s="309"/>
      <c r="BB23" s="309"/>
      <c r="BC23" s="309"/>
      <c r="BD23" s="309"/>
      <c r="BE23" s="309"/>
      <c r="BF23" s="309"/>
      <c r="BG23" s="309"/>
      <c r="BH23" s="309"/>
      <c r="BI23" s="309"/>
      <c r="BJ23" s="309"/>
      <c r="BK23" s="310"/>
    </row>
    <row r="24" spans="1:63" s="301" customFormat="1" ht="15.75" customHeight="1">
      <c r="A24" s="304"/>
      <c r="B24" s="305"/>
      <c r="C24" s="306"/>
      <c r="D24" s="306"/>
      <c r="E24" s="306"/>
      <c r="F24" s="306"/>
      <c r="G24" s="307"/>
      <c r="H24" s="307"/>
      <c r="I24" s="307"/>
      <c r="J24" s="307"/>
      <c r="K24" s="307"/>
      <c r="L24" s="307"/>
      <c r="M24" s="307"/>
      <c r="N24" s="307"/>
      <c r="O24" s="307"/>
      <c r="P24" s="307"/>
      <c r="Q24" s="307"/>
      <c r="R24" s="307"/>
      <c r="S24" s="307"/>
      <c r="T24" s="307"/>
      <c r="U24" s="307"/>
      <c r="V24" s="307"/>
      <c r="W24" s="307"/>
      <c r="X24" s="307"/>
      <c r="Y24" s="307"/>
      <c r="Z24" s="307"/>
      <c r="AA24" s="307"/>
      <c r="AB24" s="307"/>
      <c r="AC24" s="307"/>
      <c r="AD24" s="307"/>
      <c r="AE24" s="307"/>
      <c r="AF24" s="307"/>
      <c r="AG24" s="307"/>
      <c r="AH24" s="307"/>
      <c r="AI24" s="307"/>
      <c r="AJ24" s="307"/>
      <c r="AK24" s="307"/>
      <c r="AL24" s="307"/>
      <c r="AM24" s="307"/>
      <c r="AN24" s="307"/>
      <c r="AO24" s="307"/>
      <c r="AP24" s="307"/>
      <c r="AQ24" s="308"/>
      <c r="AR24" s="309"/>
      <c r="AS24" s="309"/>
      <c r="AT24" s="309"/>
      <c r="AU24" s="309"/>
      <c r="AV24" s="309"/>
      <c r="AW24" s="309"/>
      <c r="AX24" s="309"/>
      <c r="AY24" s="309"/>
      <c r="AZ24" s="309"/>
      <c r="BA24" s="309"/>
      <c r="BB24" s="309"/>
      <c r="BC24" s="309"/>
      <c r="BD24" s="309"/>
      <c r="BE24" s="309"/>
      <c r="BF24" s="309"/>
      <c r="BG24" s="309"/>
      <c r="BH24" s="309"/>
      <c r="BI24" s="309"/>
      <c r="BJ24" s="309"/>
      <c r="BK24" s="310"/>
    </row>
    <row r="25" spans="1:63" s="301" customFormat="1" ht="15.75" customHeight="1">
      <c r="A25" s="304"/>
      <c r="B25" s="305"/>
      <c r="C25" s="306"/>
      <c r="D25" s="306"/>
      <c r="E25" s="306"/>
      <c r="F25" s="306"/>
      <c r="G25" s="307"/>
      <c r="H25" s="307"/>
      <c r="I25" s="307"/>
      <c r="J25" s="307"/>
      <c r="K25" s="307"/>
      <c r="L25" s="307"/>
      <c r="M25" s="307"/>
      <c r="N25" s="307"/>
      <c r="O25" s="307"/>
      <c r="P25" s="307"/>
      <c r="Q25" s="307"/>
      <c r="R25" s="307"/>
      <c r="S25" s="307"/>
      <c r="T25" s="307"/>
      <c r="U25" s="307"/>
      <c r="V25" s="307"/>
      <c r="W25" s="307"/>
      <c r="X25" s="307"/>
      <c r="Y25" s="307"/>
      <c r="Z25" s="307"/>
      <c r="AA25" s="307"/>
      <c r="AB25" s="307"/>
      <c r="AC25" s="307"/>
      <c r="AD25" s="307"/>
      <c r="AE25" s="307"/>
      <c r="AF25" s="307"/>
      <c r="AG25" s="307"/>
      <c r="AH25" s="307"/>
      <c r="AI25" s="307"/>
      <c r="AJ25" s="307"/>
      <c r="AK25" s="307"/>
      <c r="AL25" s="307"/>
      <c r="AM25" s="307"/>
      <c r="AN25" s="307"/>
      <c r="AO25" s="307"/>
      <c r="AP25" s="307"/>
      <c r="AQ25" s="308"/>
      <c r="AR25" s="309"/>
      <c r="AS25" s="309"/>
      <c r="AT25" s="309"/>
      <c r="AU25" s="309"/>
      <c r="AV25" s="309"/>
      <c r="AW25" s="309"/>
      <c r="AX25" s="309"/>
      <c r="AY25" s="309"/>
      <c r="AZ25" s="309"/>
      <c r="BA25" s="309"/>
      <c r="BB25" s="309"/>
      <c r="BC25" s="309"/>
      <c r="BD25" s="309"/>
      <c r="BE25" s="309"/>
      <c r="BF25" s="309"/>
      <c r="BG25" s="309"/>
      <c r="BH25" s="309"/>
      <c r="BI25" s="309"/>
      <c r="BJ25" s="309"/>
      <c r="BK25" s="310"/>
    </row>
    <row r="26" spans="1:63" ht="15.75" customHeight="1">
      <c r="A26" s="302"/>
      <c r="B26" s="297"/>
      <c r="D26" s="10"/>
      <c r="L26" s="303"/>
      <c r="BK26" s="61"/>
    </row>
  </sheetData>
  <mergeCells count="44">
    <mergeCell ref="A8:B8"/>
    <mergeCell ref="BG8:BK8"/>
    <mergeCell ref="AQ8:BF8"/>
    <mergeCell ref="G8:AP8"/>
    <mergeCell ref="E8:F8"/>
    <mergeCell ref="C8:D8"/>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5:B5"/>
    <mergeCell ref="C5:D5"/>
    <mergeCell ref="E5:F5"/>
    <mergeCell ref="AQ5:BF5"/>
    <mergeCell ref="BG5:BK5"/>
    <mergeCell ref="BG7:BK7"/>
    <mergeCell ref="A6:B6"/>
    <mergeCell ref="C6:D6"/>
    <mergeCell ref="E6:F6"/>
    <mergeCell ref="G6:AP6"/>
    <mergeCell ref="AQ6:BF6"/>
    <mergeCell ref="BG6:BK6"/>
    <mergeCell ref="A7:B7"/>
    <mergeCell ref="C7:D7"/>
    <mergeCell ref="E7:F7"/>
    <mergeCell ref="G7:AP7"/>
    <mergeCell ref="AQ7:BF7"/>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92"/>
  <sheetViews>
    <sheetView showGridLines="0" showZeros="0" view="pageBreakPreview" zoomScaleNormal="100" zoomScaleSheetLayoutView="100" workbookViewId="0">
      <selection sqref="A1:J3"/>
    </sheetView>
  </sheetViews>
  <sheetFormatPr defaultColWidth="2.125" defaultRowHeight="15.75" customHeight="1"/>
  <cols>
    <col min="1" max="2" width="2.125" style="11" customWidth="1"/>
    <col min="3" max="3" width="2.375" style="11" customWidth="1"/>
    <col min="4" max="4" width="2.125" style="11" customWidth="1"/>
    <col min="5" max="5" width="3" style="11" customWidth="1"/>
    <col min="6" max="63" width="2.125" style="11" customWidth="1"/>
    <col min="64" max="16384" width="2.125" style="11"/>
  </cols>
  <sheetData>
    <row r="1" spans="1:63" s="7" customFormat="1" ht="1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 customHeight="1">
      <c r="A2" s="468"/>
      <c r="B2" s="469"/>
      <c r="C2" s="469"/>
      <c r="D2" s="469"/>
      <c r="E2" s="469"/>
      <c r="F2" s="469"/>
      <c r="G2" s="469"/>
      <c r="H2" s="469"/>
      <c r="I2" s="469"/>
      <c r="J2" s="470"/>
      <c r="K2" s="498" t="s">
        <v>735</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f>
        <v>M7-US-1311</v>
      </c>
      <c r="AT2" s="506"/>
      <c r="AU2" s="506"/>
      <c r="AV2" s="506"/>
      <c r="AW2" s="506"/>
      <c r="AX2" s="506"/>
      <c r="AY2" s="506"/>
      <c r="AZ2" s="508" t="s">
        <v>736</v>
      </c>
      <c r="BA2" s="440"/>
      <c r="BB2" s="440"/>
      <c r="BC2" s="440"/>
      <c r="BD2" s="440"/>
      <c r="BE2" s="441"/>
      <c r="BF2" s="526" t="s">
        <v>737</v>
      </c>
      <c r="BG2" s="440"/>
      <c r="BH2" s="440"/>
      <c r="BI2" s="440"/>
      <c r="BJ2" s="440"/>
      <c r="BK2" s="512"/>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509"/>
      <c r="BG3" s="633"/>
      <c r="BH3" s="633"/>
      <c r="BI3" s="633"/>
      <c r="BJ3" s="633"/>
      <c r="BK3" s="513"/>
    </row>
    <row r="4" spans="1:63" s="7" customFormat="1" ht="6.75" customHeight="1" thickBot="1">
      <c r="B4" s="3"/>
      <c r="C4" s="4"/>
      <c r="D4" s="4"/>
      <c r="E4" s="4"/>
      <c r="F4" s="5"/>
      <c r="G4" s="5"/>
      <c r="H4" s="5"/>
      <c r="I4" s="5"/>
      <c r="J4" s="4"/>
      <c r="K4" s="5"/>
      <c r="L4" s="5"/>
      <c r="M4" s="5"/>
      <c r="N4" s="5"/>
      <c r="O4" s="5"/>
      <c r="P4" s="5"/>
      <c r="Q4" s="6"/>
    </row>
    <row r="5" spans="1:63" ht="15.75" customHeight="1">
      <c r="A5" s="102"/>
      <c r="B5" s="88" t="s">
        <v>755</v>
      </c>
      <c r="C5" s="89"/>
      <c r="D5" s="89"/>
      <c r="E5" s="89"/>
      <c r="F5" s="89"/>
      <c r="G5" s="89"/>
      <c r="H5" s="89"/>
      <c r="I5" s="89"/>
      <c r="J5" s="89"/>
      <c r="K5" s="89"/>
      <c r="L5" s="103"/>
      <c r="M5" s="89"/>
      <c r="N5" s="89" t="s">
        <v>229</v>
      </c>
      <c r="O5" s="89"/>
      <c r="P5" s="89"/>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E5" s="89"/>
      <c r="BF5" s="89"/>
      <c r="BG5" s="89"/>
      <c r="BH5" s="89"/>
      <c r="BI5" s="89"/>
      <c r="BJ5" s="89"/>
      <c r="BK5" s="90"/>
    </row>
    <row r="6" spans="1:63" ht="15.75" customHeight="1">
      <c r="A6" s="104"/>
      <c r="B6" s="99" t="s">
        <v>172</v>
      </c>
      <c r="C6" s="8"/>
      <c r="D6" s="8"/>
      <c r="E6" s="8"/>
      <c r="F6" s="8"/>
      <c r="G6" s="8"/>
      <c r="H6" s="8"/>
      <c r="I6" s="8"/>
      <c r="J6" s="8"/>
      <c r="K6" s="8"/>
      <c r="L6" s="9"/>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12"/>
    </row>
    <row r="7" spans="1:63" ht="15.75" customHeight="1">
      <c r="A7" s="104"/>
      <c r="B7" s="99" t="s">
        <v>173</v>
      </c>
      <c r="C7" s="8"/>
      <c r="D7" s="8"/>
      <c r="E7" s="8"/>
      <c r="F7" s="8"/>
      <c r="G7" s="8"/>
      <c r="H7" s="8"/>
      <c r="I7" s="8"/>
      <c r="J7" s="8"/>
      <c r="K7" s="8"/>
      <c r="L7" s="9"/>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12"/>
    </row>
    <row r="8" spans="1:63" ht="15.75" customHeight="1">
      <c r="A8" s="104"/>
      <c r="B8" s="99" t="s">
        <v>176</v>
      </c>
      <c r="C8" s="8"/>
      <c r="D8" s="8"/>
      <c r="E8" s="8"/>
      <c r="F8" s="8"/>
      <c r="G8" s="8"/>
      <c r="H8" s="8"/>
      <c r="I8" s="8"/>
      <c r="J8" s="8"/>
      <c r="K8" s="8"/>
      <c r="L8" s="9"/>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12"/>
    </row>
    <row r="9" spans="1:63" ht="15.75" customHeight="1">
      <c r="A9" s="104"/>
      <c r="B9" s="99" t="s">
        <v>756</v>
      </c>
      <c r="C9" s="8"/>
      <c r="D9" s="8"/>
      <c r="E9" s="8"/>
      <c r="F9" s="8"/>
      <c r="G9" s="8"/>
      <c r="H9" s="8"/>
      <c r="I9" s="8"/>
      <c r="J9" s="8"/>
      <c r="K9" s="8"/>
      <c r="L9" s="9"/>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12"/>
    </row>
    <row r="10" spans="1:63" ht="15.75" customHeight="1">
      <c r="A10" s="104"/>
      <c r="B10" s="99" t="s">
        <v>757</v>
      </c>
      <c r="C10" s="8"/>
      <c r="D10" s="8"/>
      <c r="E10" s="8"/>
      <c r="F10" s="8"/>
      <c r="G10" s="8"/>
      <c r="H10" s="8"/>
      <c r="I10" s="8"/>
      <c r="J10" s="8"/>
      <c r="K10" s="8"/>
      <c r="L10" s="9"/>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12"/>
    </row>
    <row r="11" spans="1:63" ht="15.75" customHeight="1">
      <c r="A11" s="104"/>
      <c r="B11" s="99" t="s">
        <v>758</v>
      </c>
      <c r="C11" s="8"/>
      <c r="D11" s="8"/>
      <c r="E11" s="8"/>
      <c r="F11" s="8"/>
      <c r="G11" s="8"/>
      <c r="H11" s="8"/>
      <c r="I11" s="8"/>
      <c r="J11" s="8"/>
      <c r="K11" s="8"/>
      <c r="L11" s="9"/>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12"/>
    </row>
    <row r="12" spans="1:63" ht="15.75" customHeight="1">
      <c r="A12" s="104"/>
      <c r="B12" s="99" t="s">
        <v>759</v>
      </c>
      <c r="C12" s="8"/>
      <c r="D12" s="8"/>
      <c r="E12" s="8"/>
      <c r="F12" s="8"/>
      <c r="G12" s="8"/>
      <c r="H12" s="8"/>
      <c r="I12" s="8"/>
      <c r="J12" s="8"/>
      <c r="K12" s="8"/>
      <c r="L12" s="9"/>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12"/>
    </row>
    <row r="13" spans="1:63" ht="15.75" customHeight="1">
      <c r="A13" s="104"/>
      <c r="B13" s="99" t="s">
        <v>760</v>
      </c>
      <c r="C13" s="8"/>
      <c r="D13" s="8"/>
      <c r="E13" s="8"/>
      <c r="F13" s="8"/>
      <c r="G13" s="8"/>
      <c r="H13" s="8"/>
      <c r="I13" s="8"/>
      <c r="J13" s="8"/>
      <c r="K13" s="8"/>
      <c r="L13" s="9"/>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12"/>
    </row>
    <row r="14" spans="1:63" ht="15.75" customHeight="1">
      <c r="A14" s="104"/>
      <c r="B14" s="99" t="s">
        <v>761</v>
      </c>
      <c r="C14" s="8"/>
      <c r="D14" s="8"/>
      <c r="E14" s="8"/>
      <c r="F14" s="8"/>
      <c r="G14" s="8"/>
      <c r="H14" s="8"/>
      <c r="I14" s="8"/>
      <c r="J14" s="8"/>
      <c r="K14" s="8"/>
      <c r="L14" s="9"/>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12"/>
    </row>
    <row r="15" spans="1:63" ht="15.75" customHeight="1">
      <c r="A15" s="104"/>
      <c r="B15" s="99" t="s">
        <v>762</v>
      </c>
      <c r="C15" s="8"/>
      <c r="D15" s="8"/>
      <c r="E15" s="8"/>
      <c r="F15" s="8"/>
      <c r="G15" s="8"/>
      <c r="H15" s="8"/>
      <c r="I15" s="8"/>
      <c r="J15" s="8"/>
      <c r="K15" s="8"/>
      <c r="L15" s="9"/>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12"/>
    </row>
    <row r="16" spans="1:63" ht="15.75" customHeight="1">
      <c r="A16" s="104"/>
      <c r="B16" s="99" t="s">
        <v>763</v>
      </c>
      <c r="C16" s="8"/>
      <c r="D16" s="8"/>
      <c r="E16" s="8"/>
      <c r="F16" s="8"/>
      <c r="G16" s="8"/>
      <c r="H16" s="8"/>
      <c r="I16" s="8"/>
      <c r="J16" s="8"/>
      <c r="K16" s="8"/>
      <c r="L16" s="9"/>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12"/>
    </row>
    <row r="17" spans="1:63" ht="15.75" customHeight="1">
      <c r="A17" s="104"/>
      <c r="B17" s="99" t="s">
        <v>764</v>
      </c>
      <c r="C17" s="8"/>
      <c r="D17" s="8"/>
      <c r="E17" s="8"/>
      <c r="F17" s="8"/>
      <c r="G17" s="8"/>
      <c r="H17" s="8"/>
      <c r="I17" s="8"/>
      <c r="J17" s="8"/>
      <c r="K17" s="8"/>
      <c r="L17" s="9"/>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12"/>
    </row>
    <row r="18" spans="1:63" ht="15.75" customHeight="1">
      <c r="A18" s="104"/>
      <c r="B18" s="99" t="s">
        <v>765</v>
      </c>
      <c r="C18" s="8"/>
      <c r="D18" s="8"/>
      <c r="E18" s="8"/>
      <c r="F18" s="8"/>
      <c r="G18" s="8"/>
      <c r="H18" s="8"/>
      <c r="I18" s="8"/>
      <c r="J18" s="8"/>
      <c r="K18" s="8"/>
      <c r="L18" s="9"/>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12"/>
    </row>
    <row r="19" spans="1:63" ht="15.75" customHeight="1">
      <c r="A19" s="104"/>
      <c r="B19" s="99" t="s">
        <v>766</v>
      </c>
      <c r="C19" s="8"/>
      <c r="D19" s="8"/>
      <c r="E19" s="8"/>
      <c r="F19" s="8"/>
      <c r="G19" s="8"/>
      <c r="H19" s="8"/>
      <c r="I19" s="8"/>
      <c r="J19" s="8"/>
      <c r="K19" s="8"/>
      <c r="L19" s="9"/>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12"/>
    </row>
    <row r="20" spans="1:63" ht="15.75" customHeight="1">
      <c r="A20" s="104"/>
      <c r="B20" s="99" t="s">
        <v>236</v>
      </c>
      <c r="C20" s="8"/>
      <c r="D20" s="8"/>
      <c r="E20" s="8"/>
      <c r="F20" s="8"/>
      <c r="G20" s="8"/>
      <c r="H20" s="8"/>
      <c r="I20" s="8"/>
      <c r="J20" s="8"/>
      <c r="K20" s="8"/>
      <c r="L20" s="9"/>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12"/>
    </row>
    <row r="21" spans="1:63" ht="15.75" customHeight="1">
      <c r="A21" s="104"/>
      <c r="B21" s="99" t="s">
        <v>232</v>
      </c>
      <c r="C21" s="8"/>
      <c r="D21" s="8"/>
      <c r="E21" s="8"/>
      <c r="F21" s="8"/>
      <c r="G21" s="8"/>
      <c r="H21" s="8"/>
      <c r="I21" s="8"/>
      <c r="J21" s="8"/>
      <c r="K21" s="8"/>
      <c r="L21" s="9"/>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12"/>
    </row>
    <row r="22" spans="1:63" ht="15.75" customHeight="1">
      <c r="A22" s="104"/>
      <c r="B22" s="99" t="s">
        <v>234</v>
      </c>
      <c r="C22" s="8"/>
      <c r="D22" s="8"/>
      <c r="E22" s="8"/>
      <c r="F22" s="8"/>
      <c r="G22" s="8"/>
      <c r="H22" s="8"/>
      <c r="I22" s="8"/>
      <c r="J22" s="8"/>
      <c r="K22" s="8"/>
      <c r="L22" s="9"/>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12"/>
    </row>
    <row r="23" spans="1:63" ht="15.75" customHeight="1">
      <c r="A23" s="104"/>
      <c r="B23" s="99" t="s">
        <v>767</v>
      </c>
      <c r="C23" s="8"/>
      <c r="D23" s="8"/>
      <c r="E23" s="8"/>
      <c r="F23" s="8"/>
      <c r="G23" s="8"/>
      <c r="H23" s="8"/>
      <c r="I23" s="8"/>
      <c r="J23" s="8"/>
      <c r="K23" s="8"/>
      <c r="L23" s="9"/>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12"/>
    </row>
    <row r="24" spans="1:63" ht="15.75" customHeight="1">
      <c r="A24" s="104"/>
      <c r="B24" s="99" t="s">
        <v>768</v>
      </c>
      <c r="C24" s="8"/>
      <c r="D24" s="8"/>
      <c r="E24" s="8"/>
      <c r="F24" s="8"/>
      <c r="G24" s="8"/>
      <c r="H24" s="8"/>
      <c r="I24" s="8"/>
      <c r="J24" s="8"/>
      <c r="K24" s="8"/>
      <c r="L24" s="9"/>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12"/>
    </row>
    <row r="25" spans="1:63" ht="15.75" customHeight="1">
      <c r="A25" s="104"/>
      <c r="B25" s="99" t="s">
        <v>769</v>
      </c>
      <c r="C25" s="8"/>
      <c r="D25" s="8"/>
      <c r="E25" s="8"/>
      <c r="F25" s="8"/>
      <c r="G25" s="8"/>
      <c r="H25" s="8"/>
      <c r="I25" s="8"/>
      <c r="J25" s="8"/>
      <c r="K25" s="8"/>
      <c r="L25" s="9"/>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12"/>
    </row>
    <row r="26" spans="1:63" ht="15.75" customHeight="1">
      <c r="A26" s="104"/>
      <c r="B26" s="99" t="s">
        <v>770</v>
      </c>
      <c r="C26" s="8"/>
      <c r="D26" s="8"/>
      <c r="E26" s="8"/>
      <c r="F26" s="8"/>
      <c r="G26" s="8"/>
      <c r="H26" s="8"/>
      <c r="I26" s="8"/>
      <c r="J26" s="8"/>
      <c r="K26" s="8"/>
      <c r="L26" s="9"/>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12"/>
    </row>
    <row r="27" spans="1:63" ht="15.75" customHeight="1">
      <c r="A27" s="104"/>
      <c r="B27" s="99" t="s">
        <v>771</v>
      </c>
      <c r="C27" s="8"/>
      <c r="D27" s="8"/>
      <c r="E27" s="8"/>
      <c r="F27" s="8"/>
      <c r="G27" s="8"/>
      <c r="H27" s="8"/>
      <c r="I27" s="8"/>
      <c r="J27" s="8"/>
      <c r="K27" s="8"/>
      <c r="L27" s="9"/>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12"/>
    </row>
    <row r="28" spans="1:63" ht="15.75" customHeight="1">
      <c r="A28" s="104"/>
      <c r="B28" s="99" t="s">
        <v>772</v>
      </c>
      <c r="C28" s="8"/>
      <c r="D28" s="8"/>
      <c r="E28" s="8"/>
      <c r="F28" s="8"/>
      <c r="G28" s="8"/>
      <c r="H28" s="8"/>
      <c r="I28" s="8"/>
      <c r="J28" s="8"/>
      <c r="K28" s="8"/>
      <c r="L28" s="9"/>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12"/>
    </row>
    <row r="29" spans="1:63" ht="15.75" customHeight="1">
      <c r="A29" s="104"/>
      <c r="B29" s="99" t="s">
        <v>773</v>
      </c>
      <c r="C29" s="8"/>
      <c r="D29" s="8"/>
      <c r="E29" s="8"/>
      <c r="F29" s="8"/>
      <c r="G29" s="8"/>
      <c r="H29" s="8"/>
      <c r="I29" s="8"/>
      <c r="J29" s="8"/>
      <c r="K29" s="8"/>
      <c r="L29" s="9"/>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12"/>
    </row>
    <row r="30" spans="1:63" ht="15.75" customHeight="1">
      <c r="A30" s="104"/>
      <c r="B30" s="99" t="s">
        <v>774</v>
      </c>
      <c r="C30" s="8"/>
      <c r="D30" s="8"/>
      <c r="E30" s="8"/>
      <c r="F30" s="8"/>
      <c r="G30" s="8"/>
      <c r="H30" s="8"/>
      <c r="I30" s="8"/>
      <c r="J30" s="8"/>
      <c r="K30" s="8"/>
      <c r="L30" s="9"/>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12"/>
    </row>
    <row r="31" spans="1:63" ht="15.75" customHeight="1">
      <c r="A31" s="104"/>
      <c r="B31" s="99" t="s">
        <v>775</v>
      </c>
      <c r="C31" s="8"/>
      <c r="D31" s="8"/>
      <c r="E31" s="8"/>
      <c r="F31" s="8"/>
      <c r="G31" s="8"/>
      <c r="H31" s="8"/>
      <c r="I31" s="8"/>
      <c r="J31" s="8"/>
      <c r="K31" s="8"/>
      <c r="L31" s="9"/>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12"/>
    </row>
    <row r="32" spans="1:63" ht="15.75" customHeight="1">
      <c r="A32" s="104"/>
      <c r="B32" s="99" t="s">
        <v>776</v>
      </c>
      <c r="C32" s="8"/>
      <c r="D32" s="8"/>
      <c r="E32" s="8"/>
      <c r="F32" s="8"/>
      <c r="G32" s="8"/>
      <c r="H32" s="8"/>
      <c r="I32" s="8"/>
      <c r="J32" s="8"/>
      <c r="K32" s="8"/>
      <c r="L32" s="9"/>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12"/>
    </row>
    <row r="33" spans="1:63" ht="15.75" customHeight="1" thickBot="1">
      <c r="A33" s="104"/>
      <c r="B33" s="99"/>
      <c r="C33" s="8"/>
      <c r="D33" s="8"/>
      <c r="E33" s="8"/>
      <c r="F33" s="8"/>
      <c r="G33" s="8"/>
      <c r="H33" s="8"/>
      <c r="I33" s="8"/>
      <c r="J33" s="8"/>
      <c r="K33" s="8"/>
      <c r="L33" s="9"/>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105"/>
      <c r="AZ33" s="105"/>
      <c r="BA33" s="8"/>
      <c r="BB33" s="8"/>
      <c r="BC33" s="8"/>
      <c r="BD33" s="8"/>
      <c r="BE33" s="8"/>
      <c r="BF33" s="8"/>
      <c r="BG33" s="8"/>
      <c r="BH33" s="8"/>
      <c r="BI33" s="8"/>
      <c r="BJ33" s="8"/>
      <c r="BK33" s="12"/>
    </row>
    <row r="34" spans="1:63" ht="15.75" customHeight="1">
      <c r="A34" s="102"/>
      <c r="B34" s="88" t="s">
        <v>777</v>
      </c>
      <c r="C34" s="89"/>
      <c r="D34" s="89"/>
      <c r="E34" s="89"/>
      <c r="F34" s="89"/>
      <c r="G34" s="89"/>
      <c r="H34" s="89"/>
      <c r="I34" s="89"/>
      <c r="J34" s="89"/>
      <c r="K34" s="89"/>
      <c r="L34" s="103"/>
      <c r="M34" s="89"/>
      <c r="N34" s="89" t="s">
        <v>229</v>
      </c>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90"/>
    </row>
    <row r="35" spans="1:63" ht="15.75" customHeight="1">
      <c r="A35" s="104"/>
      <c r="B35" s="99" t="s">
        <v>172</v>
      </c>
      <c r="C35" s="8"/>
      <c r="D35" s="8"/>
      <c r="E35" s="8"/>
      <c r="F35" s="8"/>
      <c r="G35" s="8"/>
      <c r="H35" s="8"/>
      <c r="I35" s="8"/>
      <c r="J35" s="8"/>
      <c r="K35" s="8"/>
      <c r="L35" s="9"/>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12"/>
    </row>
    <row r="36" spans="1:63" ht="15.75" customHeight="1">
      <c r="A36" s="104"/>
      <c r="B36" s="99" t="s">
        <v>173</v>
      </c>
      <c r="C36" s="8"/>
      <c r="D36" s="8"/>
      <c r="E36" s="8"/>
      <c r="F36" s="8"/>
      <c r="G36" s="8"/>
      <c r="H36" s="8"/>
      <c r="I36" s="8"/>
      <c r="J36" s="8"/>
      <c r="K36" s="8"/>
      <c r="L36" s="9"/>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12"/>
    </row>
    <row r="37" spans="1:63" ht="15.75" customHeight="1">
      <c r="A37" s="104"/>
      <c r="B37" s="99" t="s">
        <v>778</v>
      </c>
      <c r="C37" s="8"/>
      <c r="D37" s="8"/>
      <c r="E37" s="8"/>
      <c r="F37" s="8"/>
      <c r="G37" s="8"/>
      <c r="H37" s="8"/>
      <c r="I37" s="8"/>
      <c r="J37" s="8"/>
      <c r="K37" s="8"/>
      <c r="L37" s="9"/>
      <c r="M37" s="8" t="s">
        <v>779</v>
      </c>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12"/>
    </row>
    <row r="38" spans="1:63" ht="15.75" customHeight="1">
      <c r="A38" s="104"/>
      <c r="B38" s="99" t="s">
        <v>780</v>
      </c>
      <c r="C38" s="8"/>
      <c r="D38" s="8"/>
      <c r="E38" s="8"/>
      <c r="F38" s="8"/>
      <c r="G38" s="8"/>
      <c r="H38" s="8"/>
      <c r="I38" s="8"/>
      <c r="J38" s="8"/>
      <c r="K38" s="8"/>
      <c r="L38" s="9"/>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12"/>
    </row>
    <row r="39" spans="1:63" ht="15.75" customHeight="1">
      <c r="A39" s="104"/>
      <c r="B39" s="99" t="s">
        <v>781</v>
      </c>
      <c r="C39" s="8"/>
      <c r="D39" s="8"/>
      <c r="E39" s="8"/>
      <c r="F39" s="8"/>
      <c r="G39" s="8"/>
      <c r="H39" s="8"/>
      <c r="I39" s="8"/>
      <c r="J39" s="8"/>
      <c r="K39" s="8"/>
      <c r="L39" s="9"/>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12"/>
    </row>
    <row r="40" spans="1:63" ht="15.75" customHeight="1">
      <c r="A40" s="104"/>
      <c r="B40" s="99" t="s">
        <v>782</v>
      </c>
      <c r="C40" s="8"/>
      <c r="D40" s="8"/>
      <c r="E40" s="8"/>
      <c r="F40" s="8"/>
      <c r="G40" s="8"/>
      <c r="H40" s="8"/>
      <c r="I40" s="8"/>
      <c r="J40" s="8"/>
      <c r="K40" s="8"/>
      <c r="L40" s="9"/>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12"/>
    </row>
    <row r="41" spans="1:63" ht="15.75" customHeight="1">
      <c r="A41" s="104"/>
      <c r="B41" s="99" t="s">
        <v>757</v>
      </c>
      <c r="C41" s="8"/>
      <c r="D41" s="8"/>
      <c r="E41" s="8"/>
      <c r="F41" s="8"/>
      <c r="G41" s="8"/>
      <c r="H41" s="8"/>
      <c r="I41" s="8"/>
      <c r="J41" s="8"/>
      <c r="K41" s="8"/>
      <c r="L41" s="9"/>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12"/>
    </row>
    <row r="42" spans="1:63" ht="15.75" customHeight="1">
      <c r="A42" s="104"/>
      <c r="B42" s="99" t="s">
        <v>758</v>
      </c>
      <c r="C42" s="8"/>
      <c r="D42" s="8"/>
      <c r="E42" s="8"/>
      <c r="F42" s="8"/>
      <c r="G42" s="8"/>
      <c r="H42" s="8"/>
      <c r="I42" s="8"/>
      <c r="J42" s="8"/>
      <c r="K42" s="8"/>
      <c r="L42" s="9"/>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12"/>
    </row>
    <row r="43" spans="1:63" ht="15.75" customHeight="1">
      <c r="A43" s="104"/>
      <c r="B43" s="99" t="s">
        <v>759</v>
      </c>
      <c r="C43" s="8"/>
      <c r="D43" s="8"/>
      <c r="E43" s="8"/>
      <c r="F43" s="8"/>
      <c r="G43" s="8"/>
      <c r="H43" s="8"/>
      <c r="I43" s="8"/>
      <c r="J43" s="8"/>
      <c r="K43" s="8"/>
      <c r="L43" s="9"/>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12"/>
    </row>
    <row r="44" spans="1:63" ht="15.75" customHeight="1">
      <c r="A44" s="104"/>
      <c r="B44" s="99" t="s">
        <v>760</v>
      </c>
      <c r="C44" s="8"/>
      <c r="D44" s="8"/>
      <c r="E44" s="8"/>
      <c r="F44" s="8"/>
      <c r="G44" s="8"/>
      <c r="H44" s="8"/>
      <c r="I44" s="8"/>
      <c r="J44" s="8"/>
      <c r="K44" s="8"/>
      <c r="L44" s="9"/>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12"/>
    </row>
    <row r="45" spans="1:63" ht="15.75" customHeight="1">
      <c r="A45" s="104"/>
      <c r="B45" s="99" t="s">
        <v>761</v>
      </c>
      <c r="C45" s="8"/>
      <c r="D45" s="8"/>
      <c r="E45" s="8"/>
      <c r="F45" s="8"/>
      <c r="G45" s="8"/>
      <c r="H45" s="8"/>
      <c r="I45" s="8"/>
      <c r="J45" s="8"/>
      <c r="K45" s="8"/>
      <c r="L45" s="9"/>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12"/>
    </row>
    <row r="46" spans="1:63" ht="15.75" customHeight="1">
      <c r="A46" s="104"/>
      <c r="B46" s="99" t="s">
        <v>783</v>
      </c>
      <c r="C46" s="8"/>
      <c r="D46" s="8"/>
      <c r="E46" s="8"/>
      <c r="F46" s="8"/>
      <c r="G46" s="8"/>
      <c r="H46" s="8"/>
      <c r="I46" s="8"/>
      <c r="J46" s="8"/>
      <c r="K46" s="8"/>
      <c r="L46" s="9"/>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12"/>
    </row>
    <row r="47" spans="1:63" ht="15.75" customHeight="1">
      <c r="A47" s="104"/>
      <c r="B47" s="99" t="s">
        <v>784</v>
      </c>
      <c r="C47" s="8"/>
      <c r="D47" s="8"/>
      <c r="E47" s="8"/>
      <c r="F47" s="8"/>
      <c r="G47" s="8"/>
      <c r="H47" s="8"/>
      <c r="I47" s="8"/>
      <c r="J47" s="8"/>
      <c r="K47" s="8"/>
      <c r="L47" s="9"/>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12"/>
    </row>
    <row r="48" spans="1:63" ht="15.75" customHeight="1">
      <c r="A48" s="104"/>
      <c r="B48" s="99" t="s">
        <v>236</v>
      </c>
      <c r="C48" s="8"/>
      <c r="D48" s="8"/>
      <c r="E48" s="8"/>
      <c r="F48" s="8"/>
      <c r="G48" s="8"/>
      <c r="H48" s="8"/>
      <c r="I48" s="8"/>
      <c r="J48" s="8"/>
      <c r="K48" s="8"/>
      <c r="L48" s="9"/>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12"/>
    </row>
    <row r="49" spans="1:63" ht="15.75" customHeight="1">
      <c r="A49" s="104"/>
      <c r="B49" s="99" t="s">
        <v>174</v>
      </c>
      <c r="C49" s="8"/>
      <c r="D49" s="8"/>
      <c r="E49" s="8"/>
      <c r="F49" s="8"/>
      <c r="G49" s="8"/>
      <c r="H49" s="8"/>
      <c r="I49" s="8"/>
      <c r="J49" s="8"/>
      <c r="K49" s="8"/>
      <c r="L49" s="9"/>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12"/>
    </row>
    <row r="50" spans="1:63" ht="15.75" customHeight="1">
      <c r="A50" s="104"/>
      <c r="B50" s="99" t="s">
        <v>767</v>
      </c>
      <c r="C50" s="8"/>
      <c r="D50" s="8"/>
      <c r="E50" s="8"/>
      <c r="F50" s="8"/>
      <c r="G50" s="8"/>
      <c r="H50" s="8"/>
      <c r="I50" s="8"/>
      <c r="J50" s="8"/>
      <c r="K50" s="8"/>
      <c r="L50" s="9"/>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12"/>
    </row>
    <row r="51" spans="1:63" ht="15.75" customHeight="1">
      <c r="A51" s="104"/>
      <c r="B51" s="99" t="s">
        <v>768</v>
      </c>
      <c r="C51" s="8"/>
      <c r="D51" s="8"/>
      <c r="E51" s="8"/>
      <c r="F51" s="8"/>
      <c r="G51" s="8"/>
      <c r="H51" s="8"/>
      <c r="I51" s="8"/>
      <c r="J51" s="8"/>
      <c r="K51" s="8"/>
      <c r="L51" s="9"/>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12"/>
    </row>
    <row r="52" spans="1:63" ht="15.75" customHeight="1">
      <c r="A52" s="104"/>
      <c r="B52" s="99" t="s">
        <v>769</v>
      </c>
      <c r="C52" s="8"/>
      <c r="D52" s="8"/>
      <c r="E52" s="8"/>
      <c r="F52" s="8"/>
      <c r="G52" s="8"/>
      <c r="H52" s="8"/>
      <c r="I52" s="8"/>
      <c r="J52" s="8"/>
      <c r="K52" s="8"/>
      <c r="L52" s="9"/>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12"/>
    </row>
    <row r="53" spans="1:63" ht="15.75" customHeight="1">
      <c r="A53" s="104"/>
      <c r="B53" s="99" t="s">
        <v>785</v>
      </c>
      <c r="C53" s="8"/>
      <c r="D53" s="8"/>
      <c r="E53" s="8"/>
      <c r="F53" s="8"/>
      <c r="G53" s="8"/>
      <c r="H53" s="8"/>
      <c r="I53" s="8"/>
      <c r="J53" s="8"/>
      <c r="K53" s="8"/>
      <c r="L53" s="9"/>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12"/>
    </row>
    <row r="54" spans="1:63" ht="15.75" customHeight="1">
      <c r="A54" s="104"/>
      <c r="B54" s="99" t="s">
        <v>786</v>
      </c>
      <c r="C54" s="8"/>
      <c r="D54" s="8"/>
      <c r="E54" s="8"/>
      <c r="F54" s="8"/>
      <c r="G54" s="8"/>
      <c r="H54" s="8"/>
      <c r="I54" s="8"/>
      <c r="J54" s="8"/>
      <c r="K54" s="8"/>
      <c r="L54" s="9"/>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12"/>
    </row>
    <row r="55" spans="1:63" ht="15.75" customHeight="1">
      <c r="A55" s="104"/>
      <c r="B55" s="99" t="s">
        <v>787</v>
      </c>
      <c r="C55" s="8"/>
      <c r="D55" s="8"/>
      <c r="E55" s="8"/>
      <c r="F55" s="8"/>
      <c r="G55" s="8"/>
      <c r="H55" s="8"/>
      <c r="I55" s="8"/>
      <c r="J55" s="8"/>
      <c r="K55" s="8"/>
      <c r="L55" s="9"/>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12"/>
    </row>
    <row r="56" spans="1:63" ht="15.75" customHeight="1">
      <c r="A56" s="104"/>
      <c r="B56" s="99" t="s">
        <v>788</v>
      </c>
      <c r="C56" s="8"/>
      <c r="D56" s="8"/>
      <c r="E56" s="8"/>
      <c r="F56" s="8"/>
      <c r="G56" s="8"/>
      <c r="H56" s="8"/>
      <c r="I56" s="8"/>
      <c r="J56" s="8"/>
      <c r="K56" s="8"/>
      <c r="L56" s="9"/>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12"/>
    </row>
    <row r="57" spans="1:63" ht="15.75" customHeight="1">
      <c r="A57" s="104"/>
      <c r="B57" s="99" t="s">
        <v>277</v>
      </c>
      <c r="C57" s="8"/>
      <c r="D57" s="8"/>
      <c r="E57" s="8"/>
      <c r="F57" s="8"/>
      <c r="G57" s="8"/>
      <c r="H57" s="8"/>
      <c r="I57" s="8"/>
      <c r="J57" s="8"/>
      <c r="K57" s="8"/>
      <c r="L57" s="9"/>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12"/>
    </row>
    <row r="58" spans="1:63" ht="15.75" customHeight="1">
      <c r="A58" s="104"/>
      <c r="B58" s="99" t="s">
        <v>789</v>
      </c>
      <c r="C58" s="8"/>
      <c r="D58" s="8"/>
      <c r="E58" s="8"/>
      <c r="F58" s="8"/>
      <c r="G58" s="8"/>
      <c r="H58" s="8"/>
      <c r="I58" s="8"/>
      <c r="J58" s="8"/>
      <c r="K58" s="8"/>
      <c r="L58" s="9"/>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12"/>
    </row>
    <row r="59" spans="1:63" ht="15.75" customHeight="1">
      <c r="A59" s="104"/>
      <c r="B59" s="99" t="s">
        <v>790</v>
      </c>
      <c r="C59" s="8"/>
      <c r="D59" s="8"/>
      <c r="E59" s="8"/>
      <c r="F59" s="8"/>
      <c r="G59" s="8"/>
      <c r="H59" s="8"/>
      <c r="I59" s="8"/>
      <c r="J59" s="8"/>
      <c r="K59" s="8"/>
      <c r="L59" s="9"/>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12"/>
    </row>
    <row r="60" spans="1:63" ht="15.75" customHeight="1">
      <c r="A60" s="104"/>
      <c r="B60" s="99" t="s">
        <v>791</v>
      </c>
      <c r="C60" s="8"/>
      <c r="D60" s="8"/>
      <c r="E60" s="8"/>
      <c r="F60" s="8"/>
      <c r="G60" s="8"/>
      <c r="H60" s="8"/>
      <c r="I60" s="8"/>
      <c r="J60" s="8"/>
      <c r="K60" s="8"/>
      <c r="L60" s="9"/>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12"/>
    </row>
    <row r="61" spans="1:63" ht="15.75" customHeight="1">
      <c r="A61" s="104"/>
      <c r="B61" s="99" t="s">
        <v>652</v>
      </c>
      <c r="C61" s="8"/>
      <c r="D61" s="8"/>
      <c r="E61" s="8"/>
      <c r="F61" s="8"/>
      <c r="G61" s="8"/>
      <c r="H61" s="8"/>
      <c r="I61" s="8"/>
      <c r="J61" s="8"/>
      <c r="K61" s="8"/>
      <c r="L61" s="9"/>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12"/>
    </row>
    <row r="62" spans="1:63" ht="15.75" customHeight="1">
      <c r="A62" s="104"/>
      <c r="B62" s="99" t="s">
        <v>654</v>
      </c>
      <c r="C62" s="8"/>
      <c r="D62" s="8"/>
      <c r="E62" s="8"/>
      <c r="F62" s="8"/>
      <c r="G62" s="8"/>
      <c r="H62" s="8"/>
      <c r="I62" s="8"/>
      <c r="J62" s="8"/>
      <c r="K62" s="8"/>
      <c r="L62" s="9"/>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12"/>
    </row>
    <row r="63" spans="1:63" ht="15.75" customHeight="1">
      <c r="A63" s="104"/>
      <c r="B63" s="99" t="s">
        <v>673</v>
      </c>
      <c r="C63" s="8"/>
      <c r="D63" s="8"/>
      <c r="E63" s="8"/>
      <c r="F63" s="8"/>
      <c r="G63" s="8"/>
      <c r="H63" s="8"/>
      <c r="I63" s="8"/>
      <c r="J63" s="8"/>
      <c r="K63" s="8"/>
      <c r="L63" s="9"/>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12"/>
    </row>
    <row r="64" spans="1:63" ht="15.75" customHeight="1">
      <c r="A64" s="104"/>
      <c r="B64" s="99" t="s">
        <v>677</v>
      </c>
      <c r="C64" s="8"/>
      <c r="D64" s="8"/>
      <c r="E64" s="8"/>
      <c r="F64" s="8"/>
      <c r="G64" s="8"/>
      <c r="H64" s="8"/>
      <c r="I64" s="8"/>
      <c r="J64" s="8"/>
      <c r="K64" s="8"/>
      <c r="L64" s="9"/>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12"/>
    </row>
    <row r="65" spans="1:63" ht="15.75" customHeight="1">
      <c r="A65" s="104"/>
      <c r="B65" s="99" t="s">
        <v>710</v>
      </c>
      <c r="C65" s="8"/>
      <c r="D65" s="8"/>
      <c r="E65" s="8"/>
      <c r="F65" s="8"/>
      <c r="G65" s="8"/>
      <c r="H65" s="8"/>
      <c r="I65" s="8"/>
      <c r="J65" s="8"/>
      <c r="K65" s="8"/>
      <c r="L65" s="9"/>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12"/>
    </row>
    <row r="66" spans="1:63" ht="15.75" customHeight="1">
      <c r="A66" s="104"/>
      <c r="B66" s="99" t="s">
        <v>711</v>
      </c>
      <c r="C66" s="8"/>
      <c r="D66" s="8"/>
      <c r="E66" s="8"/>
      <c r="F66" s="8"/>
      <c r="G66" s="8"/>
      <c r="H66" s="8"/>
      <c r="I66" s="8"/>
      <c r="J66" s="8"/>
      <c r="K66" s="8"/>
      <c r="L66" s="9"/>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12"/>
    </row>
    <row r="67" spans="1:63" ht="15.75" customHeight="1">
      <c r="A67" s="104"/>
      <c r="B67" s="99" t="s">
        <v>792</v>
      </c>
      <c r="C67" s="8"/>
      <c r="D67" s="8"/>
      <c r="E67" s="8"/>
      <c r="F67" s="8"/>
      <c r="G67" s="8"/>
      <c r="H67" s="8"/>
      <c r="I67" s="8"/>
      <c r="J67" s="8"/>
      <c r="K67" s="8"/>
      <c r="L67" s="9"/>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12"/>
    </row>
    <row r="68" spans="1:63" ht="15.75" customHeight="1">
      <c r="A68" s="104"/>
      <c r="B68" s="99" t="s">
        <v>793</v>
      </c>
      <c r="C68" s="8"/>
      <c r="D68" s="8"/>
      <c r="E68" s="8"/>
      <c r="F68" s="8"/>
      <c r="G68" s="8"/>
      <c r="H68" s="8"/>
      <c r="I68" s="8"/>
      <c r="J68" s="8"/>
      <c r="K68" s="8"/>
      <c r="L68" s="9"/>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12"/>
    </row>
    <row r="69" spans="1:63" ht="15.75" customHeight="1">
      <c r="A69" s="104"/>
      <c r="B69" s="99" t="s">
        <v>794</v>
      </c>
      <c r="C69" s="8"/>
      <c r="D69" s="8"/>
      <c r="E69" s="8"/>
      <c r="F69" s="8"/>
      <c r="G69" s="8"/>
      <c r="H69" s="8"/>
      <c r="I69" s="8"/>
      <c r="J69" s="8"/>
      <c r="K69" s="8"/>
      <c r="L69" s="9"/>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12"/>
    </row>
    <row r="70" spans="1:63" ht="15.75" customHeight="1">
      <c r="A70" s="104"/>
      <c r="B70" s="99" t="s">
        <v>795</v>
      </c>
      <c r="C70" s="8"/>
      <c r="D70" s="8"/>
      <c r="E70" s="8"/>
      <c r="F70" s="8"/>
      <c r="G70" s="8"/>
      <c r="H70" s="8"/>
      <c r="I70" s="8"/>
      <c r="J70" s="8"/>
      <c r="K70" s="8"/>
      <c r="L70" s="9"/>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12"/>
    </row>
    <row r="71" spans="1:63" ht="15.75" customHeight="1">
      <c r="A71" s="104"/>
      <c r="B71" s="99" t="s">
        <v>177</v>
      </c>
      <c r="C71" s="8"/>
      <c r="D71" s="8"/>
      <c r="E71" s="8"/>
      <c r="F71" s="8"/>
      <c r="G71" s="8"/>
      <c r="H71" s="8"/>
      <c r="I71" s="8"/>
      <c r="J71" s="8"/>
      <c r="K71" s="8"/>
      <c r="L71" s="9"/>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12"/>
    </row>
    <row r="72" spans="1:63" ht="15.75" customHeight="1">
      <c r="A72" s="104"/>
      <c r="B72" s="99" t="s">
        <v>69</v>
      </c>
      <c r="C72" s="8"/>
      <c r="D72" s="8"/>
      <c r="E72" s="8"/>
      <c r="F72" s="8"/>
      <c r="G72" s="8"/>
      <c r="H72" s="8"/>
      <c r="I72" s="8"/>
      <c r="J72" s="8"/>
      <c r="K72" s="8"/>
      <c r="L72" s="9"/>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12"/>
    </row>
    <row r="73" spans="1:63" ht="15.75" customHeight="1">
      <c r="A73" s="104"/>
      <c r="B73" s="99" t="s">
        <v>796</v>
      </c>
      <c r="C73" s="8"/>
      <c r="D73" s="8"/>
      <c r="E73" s="8"/>
      <c r="F73" s="8"/>
      <c r="G73" s="8"/>
      <c r="H73" s="8"/>
      <c r="I73" s="8"/>
      <c r="J73" s="8"/>
      <c r="K73" s="8"/>
      <c r="L73" s="9"/>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12"/>
    </row>
    <row r="74" spans="1:63" ht="15.75" customHeight="1">
      <c r="A74" s="104"/>
      <c r="B74" s="99" t="s">
        <v>797</v>
      </c>
      <c r="C74" s="8"/>
      <c r="D74" s="8"/>
      <c r="E74" s="8"/>
      <c r="F74" s="8"/>
      <c r="G74" s="8"/>
      <c r="H74" s="8"/>
      <c r="I74" s="8"/>
      <c r="J74" s="8"/>
      <c r="K74" s="8"/>
      <c r="L74" s="9"/>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12"/>
    </row>
    <row r="75" spans="1:63" ht="15.75" customHeight="1">
      <c r="A75" s="104"/>
      <c r="B75" s="99" t="s">
        <v>798</v>
      </c>
      <c r="C75" s="8"/>
      <c r="D75" s="8"/>
      <c r="E75" s="8"/>
      <c r="F75" s="8"/>
      <c r="G75" s="8"/>
      <c r="H75" s="8"/>
      <c r="I75" s="8"/>
      <c r="J75" s="8"/>
      <c r="K75" s="8"/>
      <c r="L75" s="9"/>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12"/>
    </row>
    <row r="76" spans="1:63" ht="15.75" customHeight="1">
      <c r="A76" s="104"/>
      <c r="B76" s="99" t="s">
        <v>799</v>
      </c>
      <c r="C76" s="8"/>
      <c r="D76" s="8"/>
      <c r="E76" s="8"/>
      <c r="F76" s="8"/>
      <c r="G76" s="8"/>
      <c r="H76" s="8"/>
      <c r="I76" s="8"/>
      <c r="J76" s="8"/>
      <c r="K76" s="8"/>
      <c r="L76" s="9"/>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12"/>
    </row>
    <row r="77" spans="1:63" ht="15.75" customHeight="1">
      <c r="A77" s="104"/>
      <c r="B77" s="99" t="s">
        <v>800</v>
      </c>
      <c r="C77" s="8"/>
      <c r="D77" s="8"/>
      <c r="E77" s="8"/>
      <c r="F77" s="8"/>
      <c r="G77" s="8"/>
      <c r="H77" s="8"/>
      <c r="I77" s="8"/>
      <c r="J77" s="8"/>
      <c r="K77" s="8"/>
      <c r="L77" s="9"/>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12"/>
    </row>
    <row r="78" spans="1:63" ht="15.75" customHeight="1">
      <c r="A78" s="104"/>
      <c r="B78" s="99" t="s">
        <v>801</v>
      </c>
      <c r="C78" s="8"/>
      <c r="D78" s="8"/>
      <c r="E78" s="8"/>
      <c r="F78" s="8"/>
      <c r="G78" s="8"/>
      <c r="H78" s="8"/>
      <c r="I78" s="8"/>
      <c r="J78" s="8"/>
      <c r="K78" s="8"/>
      <c r="L78" s="9"/>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12"/>
    </row>
    <row r="79" spans="1:63" ht="15.75" customHeight="1">
      <c r="A79" s="104"/>
      <c r="B79" s="99" t="s">
        <v>802</v>
      </c>
      <c r="C79" s="8"/>
      <c r="D79" s="8"/>
      <c r="E79" s="8"/>
      <c r="F79" s="8"/>
      <c r="G79" s="8"/>
      <c r="H79" s="8"/>
      <c r="I79" s="8"/>
      <c r="J79" s="8"/>
      <c r="K79" s="8"/>
      <c r="L79" s="9"/>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12"/>
    </row>
    <row r="80" spans="1:63" ht="15.75" customHeight="1">
      <c r="A80" s="104"/>
      <c r="B80" s="99" t="s">
        <v>803</v>
      </c>
      <c r="C80" s="8"/>
      <c r="D80" s="8"/>
      <c r="E80" s="8"/>
      <c r="F80" s="8"/>
      <c r="G80" s="8"/>
      <c r="H80" s="8"/>
      <c r="I80" s="8"/>
      <c r="J80" s="8"/>
      <c r="K80" s="8"/>
      <c r="L80" s="9"/>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12"/>
    </row>
    <row r="81" spans="1:63" ht="15.75" customHeight="1">
      <c r="A81" s="104"/>
      <c r="B81" s="99" t="s">
        <v>804</v>
      </c>
      <c r="C81" s="8"/>
      <c r="D81" s="8"/>
      <c r="E81" s="8"/>
      <c r="F81" s="8"/>
      <c r="G81" s="8"/>
      <c r="H81" s="8"/>
      <c r="I81" s="8"/>
      <c r="J81" s="8"/>
      <c r="K81" s="8"/>
      <c r="L81" s="9"/>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12"/>
    </row>
    <row r="82" spans="1:63" ht="15.75" customHeight="1">
      <c r="A82" s="104"/>
      <c r="B82" s="99" t="s">
        <v>805</v>
      </c>
      <c r="C82" s="8"/>
      <c r="D82" s="8"/>
      <c r="E82" s="8"/>
      <c r="F82" s="8"/>
      <c r="G82" s="8"/>
      <c r="H82" s="8"/>
      <c r="I82" s="8"/>
      <c r="J82" s="8"/>
      <c r="K82" s="8"/>
      <c r="L82" s="9"/>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12"/>
    </row>
    <row r="83" spans="1:63" ht="15.75" customHeight="1">
      <c r="A83" s="104"/>
      <c r="B83" s="99" t="s">
        <v>806</v>
      </c>
      <c r="C83" s="8"/>
      <c r="D83" s="8"/>
      <c r="E83" s="8"/>
      <c r="F83" s="8"/>
      <c r="G83" s="8"/>
      <c r="H83" s="8"/>
      <c r="I83" s="8"/>
      <c r="J83" s="8"/>
      <c r="K83" s="8"/>
      <c r="L83" s="9"/>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12"/>
    </row>
    <row r="84" spans="1:63" ht="15.75" customHeight="1">
      <c r="A84" s="104"/>
      <c r="B84" s="99" t="s">
        <v>807</v>
      </c>
      <c r="C84" s="8"/>
      <c r="D84" s="8"/>
      <c r="E84" s="8"/>
      <c r="F84" s="8"/>
      <c r="G84" s="8"/>
      <c r="H84" s="8"/>
      <c r="I84" s="8"/>
      <c r="J84" s="8"/>
      <c r="K84" s="8"/>
      <c r="L84" s="9"/>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12"/>
    </row>
    <row r="85" spans="1:63" ht="15.75" customHeight="1">
      <c r="A85" s="104"/>
      <c r="B85" s="99" t="s">
        <v>808</v>
      </c>
      <c r="C85" s="8"/>
      <c r="D85" s="8"/>
      <c r="E85" s="8"/>
      <c r="F85" s="8"/>
      <c r="G85" s="8"/>
      <c r="H85" s="8"/>
      <c r="I85" s="8"/>
      <c r="J85" s="8"/>
      <c r="K85" s="8"/>
      <c r="L85" s="9"/>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12"/>
    </row>
    <row r="86" spans="1:63" ht="15.75" customHeight="1">
      <c r="A86" s="104"/>
      <c r="B86" s="99" t="s">
        <v>809</v>
      </c>
      <c r="C86" s="8"/>
      <c r="D86" s="8"/>
      <c r="E86" s="8"/>
      <c r="F86" s="8"/>
      <c r="G86" s="8"/>
      <c r="H86" s="8"/>
      <c r="I86" s="8"/>
      <c r="J86" s="8"/>
      <c r="K86" s="8"/>
      <c r="L86" s="9"/>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12"/>
    </row>
    <row r="87" spans="1:63" ht="15.75" customHeight="1">
      <c r="A87" s="104"/>
      <c r="B87" s="99" t="s">
        <v>810</v>
      </c>
      <c r="C87" s="8"/>
      <c r="D87" s="8"/>
      <c r="E87" s="8"/>
      <c r="F87" s="8"/>
      <c r="G87" s="8"/>
      <c r="H87" s="8"/>
      <c r="I87" s="8"/>
      <c r="J87" s="8"/>
      <c r="K87" s="8"/>
      <c r="L87" s="9"/>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12"/>
    </row>
    <row r="88" spans="1:63" ht="15.75" customHeight="1">
      <c r="A88" s="104"/>
      <c r="B88" s="99" t="s">
        <v>811</v>
      </c>
      <c r="C88" s="8"/>
      <c r="D88" s="8"/>
      <c r="E88" s="8"/>
      <c r="F88" s="8"/>
      <c r="G88" s="8"/>
      <c r="H88" s="8"/>
      <c r="I88" s="8"/>
      <c r="J88" s="8"/>
      <c r="K88" s="8"/>
      <c r="L88" s="9"/>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12"/>
    </row>
    <row r="89" spans="1:63" ht="15.75" customHeight="1">
      <c r="A89" s="104"/>
      <c r="B89" s="99" t="s">
        <v>812</v>
      </c>
      <c r="C89" s="8"/>
      <c r="D89" s="8"/>
      <c r="E89" s="8"/>
      <c r="F89" s="8"/>
      <c r="G89" s="8"/>
      <c r="H89" s="8"/>
      <c r="I89" s="8"/>
      <c r="J89" s="8"/>
      <c r="K89" s="8"/>
      <c r="L89" s="9"/>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12"/>
    </row>
    <row r="90" spans="1:63" ht="15.75" customHeight="1">
      <c r="A90" s="104"/>
      <c r="B90" s="99" t="s">
        <v>813</v>
      </c>
      <c r="C90" s="8"/>
      <c r="D90" s="8"/>
      <c r="E90" s="8"/>
      <c r="F90" s="8"/>
      <c r="G90" s="8"/>
      <c r="H90" s="8"/>
      <c r="I90" s="8"/>
      <c r="J90" s="8"/>
      <c r="K90" s="8"/>
      <c r="L90" s="9"/>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12"/>
    </row>
    <row r="91" spans="1:63" ht="15.75" customHeight="1">
      <c r="A91" s="104"/>
      <c r="B91" s="99" t="s">
        <v>814</v>
      </c>
      <c r="C91" s="8"/>
      <c r="D91" s="8"/>
      <c r="E91" s="8"/>
      <c r="F91" s="8"/>
      <c r="G91" s="8"/>
      <c r="H91" s="8"/>
      <c r="I91" s="8"/>
      <c r="J91" s="8"/>
      <c r="K91" s="8"/>
      <c r="L91" s="9"/>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12"/>
    </row>
    <row r="92" spans="1:63" ht="15.75" customHeight="1" thickBot="1">
      <c r="A92" s="110"/>
      <c r="B92" s="107"/>
      <c r="C92" s="105"/>
      <c r="D92" s="105"/>
      <c r="E92" s="105"/>
      <c r="F92" s="105"/>
      <c r="G92" s="105"/>
      <c r="H92" s="105"/>
      <c r="I92" s="105"/>
      <c r="J92" s="105"/>
      <c r="K92" s="105"/>
      <c r="L92" s="105"/>
      <c r="M92" s="100"/>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9"/>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BK36"/>
  <sheetViews>
    <sheetView showGridLines="0" showZeros="0" view="pageBreakPreview" zoomScale="130" zoomScaleNormal="100" zoomScaleSheetLayoutView="130" workbookViewId="0">
      <selection sqref="A1:J3"/>
    </sheetView>
  </sheetViews>
  <sheetFormatPr defaultColWidth="2.125" defaultRowHeight="15.75" customHeight="1"/>
  <cols>
    <col min="1" max="1" width="2.125" style="101" customWidth="1"/>
    <col min="2" max="2" width="2.125" style="11" customWidth="1"/>
    <col min="3" max="3" width="2.375" style="11" customWidth="1"/>
    <col min="4" max="4" width="2.125" style="11" customWidth="1"/>
    <col min="5" max="5" width="3" style="11" customWidth="1"/>
    <col min="6" max="63" width="2.125" style="11" customWidth="1"/>
    <col min="64" max="16384" width="2.125" style="11"/>
  </cols>
  <sheetData>
    <row r="1" spans="1:63" s="7" customFormat="1" ht="15.75" customHeight="1">
      <c r="A1" s="465" t="str">
        <f>表紙!$A$39</f>
        <v>mcframe 7</v>
      </c>
      <c r="B1" s="466"/>
      <c r="C1" s="466"/>
      <c r="D1" s="466"/>
      <c r="E1" s="466"/>
      <c r="F1" s="466"/>
      <c r="G1" s="466"/>
      <c r="H1" s="466"/>
      <c r="I1" s="466"/>
      <c r="J1" s="467"/>
      <c r="K1" s="473" t="s">
        <v>49</v>
      </c>
      <c r="L1" s="474"/>
      <c r="M1" s="474"/>
      <c r="N1" s="474"/>
      <c r="O1" s="474"/>
      <c r="P1" s="474"/>
      <c r="Q1" s="474"/>
      <c r="R1" s="474"/>
      <c r="S1" s="474"/>
      <c r="T1" s="475"/>
      <c r="U1" s="476" t="s">
        <v>50</v>
      </c>
      <c r="V1" s="477"/>
      <c r="W1" s="477"/>
      <c r="X1" s="477"/>
      <c r="Y1" s="478"/>
      <c r="Z1" s="493" t="str">
        <f>表紙!$Z$39</f>
        <v>MG</v>
      </c>
      <c r="AA1" s="494"/>
      <c r="AB1" s="494"/>
      <c r="AC1" s="494"/>
      <c r="AD1" s="495"/>
      <c r="AE1" s="496" t="s">
        <v>52</v>
      </c>
      <c r="AF1" s="494"/>
      <c r="AG1" s="494"/>
      <c r="AH1" s="494"/>
      <c r="AI1" s="495"/>
      <c r="AJ1" s="493" t="str">
        <f>表紙!$AJ$39</f>
        <v>原価管理</v>
      </c>
      <c r="AK1" s="494"/>
      <c r="AL1" s="494"/>
      <c r="AM1" s="494"/>
      <c r="AN1" s="494"/>
      <c r="AO1" s="494"/>
      <c r="AP1" s="494"/>
      <c r="AQ1" s="494"/>
      <c r="AR1" s="495"/>
      <c r="AS1" s="485" t="s">
        <v>6</v>
      </c>
      <c r="AT1" s="485"/>
      <c r="AU1" s="485"/>
      <c r="AV1" s="485"/>
      <c r="AW1" s="485"/>
      <c r="AX1" s="485"/>
      <c r="AY1" s="485"/>
      <c r="AZ1" s="496" t="s">
        <v>39</v>
      </c>
      <c r="BA1" s="494"/>
      <c r="BB1" s="494"/>
      <c r="BC1" s="494"/>
      <c r="BD1" s="494"/>
      <c r="BE1" s="495"/>
      <c r="BF1" s="496" t="s">
        <v>53</v>
      </c>
      <c r="BG1" s="494"/>
      <c r="BH1" s="494"/>
      <c r="BI1" s="494"/>
      <c r="BJ1" s="494"/>
      <c r="BK1" s="497"/>
    </row>
    <row r="2" spans="1:63" s="7" customFormat="1" ht="15.75" customHeight="1">
      <c r="A2" s="468"/>
      <c r="B2" s="469"/>
      <c r="C2" s="469"/>
      <c r="D2" s="469"/>
      <c r="E2" s="469"/>
      <c r="F2" s="469"/>
      <c r="G2" s="469"/>
      <c r="H2" s="469"/>
      <c r="I2" s="469"/>
      <c r="J2" s="470"/>
      <c r="K2" s="498" t="str">
        <f>文書名_カスタマイズ</f>
        <v>バッチ機能</v>
      </c>
      <c r="L2" s="440"/>
      <c r="M2" s="440"/>
      <c r="N2" s="440"/>
      <c r="O2" s="440"/>
      <c r="P2" s="440"/>
      <c r="Q2" s="440"/>
      <c r="R2" s="440"/>
      <c r="S2" s="440"/>
      <c r="T2" s="441"/>
      <c r="U2" s="499" t="s">
        <v>54</v>
      </c>
      <c r="V2" s="500"/>
      <c r="W2" s="500"/>
      <c r="X2" s="500"/>
      <c r="Y2" s="501"/>
      <c r="Z2" s="502" t="str">
        <f>表紙!$Z$40</f>
        <v>MGBG</v>
      </c>
      <c r="AA2" s="503"/>
      <c r="AB2" s="503"/>
      <c r="AC2" s="503"/>
      <c r="AD2" s="504"/>
      <c r="AE2" s="505" t="s">
        <v>56</v>
      </c>
      <c r="AF2" s="503"/>
      <c r="AG2" s="503"/>
      <c r="AH2" s="503"/>
      <c r="AI2" s="504"/>
      <c r="AJ2" s="502" t="str">
        <f>表紙!$AJ$40</f>
        <v>配賦管理</v>
      </c>
      <c r="AK2" s="524"/>
      <c r="AL2" s="524"/>
      <c r="AM2" s="524"/>
      <c r="AN2" s="524"/>
      <c r="AO2" s="524"/>
      <c r="AP2" s="524"/>
      <c r="AQ2" s="524"/>
      <c r="AR2" s="525"/>
      <c r="AS2" s="506" t="str">
        <f>文書番号_カスタマイズ</f>
        <v>J052-0-0001</v>
      </c>
      <c r="AT2" s="506"/>
      <c r="AU2" s="506"/>
      <c r="AV2" s="506"/>
      <c r="AW2" s="506"/>
      <c r="AX2" s="506"/>
      <c r="AY2" s="506"/>
      <c r="AZ2" s="508" t="str">
        <f>Ver.</f>
        <v>7.0.1</v>
      </c>
      <c r="BA2" s="440"/>
      <c r="BB2" s="440"/>
      <c r="BC2" s="440"/>
      <c r="BD2" s="440"/>
      <c r="BE2" s="441"/>
      <c r="BF2" s="654">
        <f>Rev.</f>
        <v>0.1</v>
      </c>
      <c r="BG2" s="655"/>
      <c r="BH2" s="655"/>
      <c r="BI2" s="655"/>
      <c r="BJ2" s="655"/>
      <c r="BK2" s="656"/>
    </row>
    <row r="3" spans="1:63" s="7" customFormat="1" ht="15.75" customHeight="1" thickBot="1">
      <c r="A3" s="471"/>
      <c r="B3" s="630"/>
      <c r="C3" s="630"/>
      <c r="D3" s="630"/>
      <c r="E3" s="630"/>
      <c r="F3" s="630"/>
      <c r="G3" s="630"/>
      <c r="H3" s="630"/>
      <c r="I3" s="630"/>
      <c r="J3" s="472"/>
      <c r="K3" s="514" t="e">
        <f ca="1">RIGHT(CELL("filename",$A$1),LEN(CELL("filename",$A$1))-FIND("]",CELL("filename",$A$1)))</f>
        <v>#VALUE!</v>
      </c>
      <c r="L3" s="635"/>
      <c r="M3" s="635"/>
      <c r="N3" s="635"/>
      <c r="O3" s="635"/>
      <c r="P3" s="635"/>
      <c r="Q3" s="635"/>
      <c r="R3" s="635"/>
      <c r="S3" s="635"/>
      <c r="T3" s="515"/>
      <c r="U3" s="516" t="s">
        <v>58</v>
      </c>
      <c r="V3" s="517"/>
      <c r="W3" s="517"/>
      <c r="X3" s="517"/>
      <c r="Y3" s="518"/>
      <c r="Z3" s="662" t="str">
        <f>表紙!$Z$41</f>
        <v>MGBGB0020</v>
      </c>
      <c r="AA3" s="663"/>
      <c r="AB3" s="663"/>
      <c r="AC3" s="663"/>
      <c r="AD3" s="663"/>
      <c r="AE3" s="521" t="str">
        <f>表紙!$AE$41</f>
        <v>配賦費用実績ＩＦ取込バッチ</v>
      </c>
      <c r="AF3" s="522"/>
      <c r="AG3" s="522"/>
      <c r="AH3" s="522"/>
      <c r="AI3" s="522"/>
      <c r="AJ3" s="522"/>
      <c r="AK3" s="522"/>
      <c r="AL3" s="522"/>
      <c r="AM3" s="522"/>
      <c r="AN3" s="522"/>
      <c r="AO3" s="522"/>
      <c r="AP3" s="522"/>
      <c r="AQ3" s="522"/>
      <c r="AR3" s="523"/>
      <c r="AS3" s="507"/>
      <c r="AT3" s="507"/>
      <c r="AU3" s="507"/>
      <c r="AV3" s="507"/>
      <c r="AW3" s="507"/>
      <c r="AX3" s="507"/>
      <c r="AY3" s="507"/>
      <c r="AZ3" s="509"/>
      <c r="BA3" s="633"/>
      <c r="BB3" s="633"/>
      <c r="BC3" s="633"/>
      <c r="BD3" s="633"/>
      <c r="BE3" s="510"/>
      <c r="BF3" s="657"/>
      <c r="BG3" s="718"/>
      <c r="BH3" s="718"/>
      <c r="BI3" s="718"/>
      <c r="BJ3" s="718"/>
      <c r="BK3" s="658"/>
    </row>
    <row r="4" spans="1:63" s="7" customFormat="1" ht="6.75" customHeight="1">
      <c r="B4" s="3"/>
      <c r="C4" s="4"/>
      <c r="D4" s="4"/>
      <c r="E4" s="4"/>
      <c r="F4" s="5"/>
      <c r="G4" s="5"/>
      <c r="H4" s="5"/>
      <c r="I4" s="5"/>
      <c r="J4" s="4"/>
      <c r="K4" s="5"/>
      <c r="L4" s="5"/>
      <c r="M4" s="5"/>
      <c r="N4" s="5"/>
      <c r="O4" s="5"/>
      <c r="P4" s="5"/>
      <c r="Q4" s="6"/>
    </row>
    <row r="5" spans="1:63" ht="15.75" customHeight="1">
      <c r="A5" s="203"/>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204"/>
    </row>
    <row r="6" spans="1:63" ht="15.75" customHeight="1">
      <c r="A6" s="205"/>
      <c r="B6" s="201"/>
      <c r="BK6" s="61"/>
    </row>
    <row r="7" spans="1:63" ht="15.75" customHeight="1">
      <c r="A7" s="205"/>
      <c r="B7" s="201"/>
      <c r="BK7" s="61"/>
    </row>
    <row r="8" spans="1:63" ht="15.75" customHeight="1">
      <c r="A8" s="205"/>
      <c r="BK8" s="61"/>
    </row>
    <row r="9" spans="1:63" ht="15.75" customHeight="1">
      <c r="A9" s="205"/>
      <c r="C9" s="272" t="s">
        <v>815</v>
      </c>
      <c r="D9" s="273"/>
      <c r="E9" s="273"/>
      <c r="F9" s="273"/>
      <c r="G9" s="273"/>
      <c r="H9" s="273"/>
      <c r="I9" s="273"/>
      <c r="J9" s="273"/>
      <c r="K9" s="273"/>
      <c r="L9" s="274"/>
      <c r="BK9" s="61"/>
    </row>
    <row r="10" spans="1:63" ht="15.75" customHeight="1">
      <c r="A10" s="205"/>
      <c r="C10" s="272" t="s">
        <v>816</v>
      </c>
      <c r="D10" s="273"/>
      <c r="E10" s="273"/>
      <c r="F10" s="273"/>
      <c r="G10" s="274"/>
      <c r="H10" s="275" t="s">
        <v>817</v>
      </c>
      <c r="I10" s="276"/>
      <c r="J10" s="276"/>
      <c r="K10" s="276"/>
      <c r="L10" s="277"/>
      <c r="N10" s="11" t="s">
        <v>818</v>
      </c>
      <c r="U10" s="11" t="s">
        <v>819</v>
      </c>
      <c r="AA10" s="11" t="s">
        <v>820</v>
      </c>
      <c r="BC10" s="11" t="s">
        <v>821</v>
      </c>
      <c r="BK10" s="61"/>
    </row>
    <row r="11" spans="1:63" ht="15.75" customHeight="1">
      <c r="A11" s="205"/>
      <c r="C11" s="278" t="s">
        <v>822</v>
      </c>
      <c r="D11" s="174"/>
      <c r="E11" s="174"/>
      <c r="F11" s="174"/>
      <c r="G11" s="177"/>
      <c r="H11" s="69" t="s">
        <v>823</v>
      </c>
      <c r="I11" s="67"/>
      <c r="J11" s="67"/>
      <c r="K11" s="67"/>
      <c r="L11" s="68"/>
      <c r="N11" s="11" t="s">
        <v>824</v>
      </c>
      <c r="U11" s="11" t="s">
        <v>825</v>
      </c>
      <c r="AA11" s="11" t="s">
        <v>826</v>
      </c>
      <c r="BC11" s="11" t="s">
        <v>827</v>
      </c>
      <c r="BK11" s="61"/>
    </row>
    <row r="12" spans="1:63" ht="15.75" customHeight="1">
      <c r="A12" s="205"/>
      <c r="C12" s="187"/>
      <c r="D12" s="185"/>
      <c r="E12" s="185"/>
      <c r="F12" s="291"/>
      <c r="G12" s="292"/>
      <c r="H12" s="293" t="s">
        <v>828</v>
      </c>
      <c r="I12" s="294"/>
      <c r="J12" s="294"/>
      <c r="K12" s="294"/>
      <c r="L12" s="295"/>
      <c r="N12" s="11" t="s">
        <v>829</v>
      </c>
      <c r="U12" s="11" t="s">
        <v>825</v>
      </c>
      <c r="BK12" s="61"/>
    </row>
    <row r="13" spans="1:63" ht="15.75" customHeight="1">
      <c r="A13" s="205"/>
      <c r="C13" s="278" t="s">
        <v>830</v>
      </c>
      <c r="D13" s="174"/>
      <c r="E13" s="174"/>
      <c r="F13" s="174"/>
      <c r="G13" s="177"/>
      <c r="H13" s="69" t="s">
        <v>823</v>
      </c>
      <c r="I13" s="67"/>
      <c r="J13" s="67"/>
      <c r="K13" s="67"/>
      <c r="L13" s="68"/>
      <c r="N13" s="11" t="s">
        <v>824</v>
      </c>
      <c r="U13" s="11" t="s">
        <v>825</v>
      </c>
      <c r="BK13" s="61"/>
    </row>
    <row r="14" spans="1:63" ht="15.75" customHeight="1">
      <c r="A14" s="205"/>
      <c r="C14" s="187"/>
      <c r="D14" s="185"/>
      <c r="E14" s="185"/>
      <c r="F14" s="291"/>
      <c r="G14" s="292"/>
      <c r="H14" s="293" t="s">
        <v>828</v>
      </c>
      <c r="I14" s="294"/>
      <c r="J14" s="294"/>
      <c r="K14" s="294"/>
      <c r="L14" s="295"/>
      <c r="N14" s="11" t="s">
        <v>829</v>
      </c>
      <c r="U14" s="11" t="s">
        <v>825</v>
      </c>
      <c r="BK14" s="61"/>
    </row>
    <row r="15" spans="1:63" ht="15.75" customHeight="1">
      <c r="A15" s="205"/>
      <c r="C15" s="81" t="s">
        <v>831</v>
      </c>
      <c r="D15" s="8"/>
      <c r="E15" s="8"/>
      <c r="F15" s="8"/>
      <c r="G15" s="9"/>
      <c r="H15" s="81"/>
      <c r="I15" s="8"/>
      <c r="J15" s="8"/>
      <c r="K15" s="8"/>
      <c r="L15" s="9"/>
      <c r="N15" s="11" t="s">
        <v>824</v>
      </c>
      <c r="U15" s="11" t="s">
        <v>825</v>
      </c>
      <c r="BK15" s="61"/>
    </row>
    <row r="16" spans="1:63" ht="15.75" customHeight="1">
      <c r="A16" s="205"/>
      <c r="C16" s="288" t="s">
        <v>832</v>
      </c>
      <c r="D16" s="289"/>
      <c r="E16" s="289"/>
      <c r="F16" s="289"/>
      <c r="G16" s="290"/>
      <c r="H16" s="288"/>
      <c r="I16" s="289"/>
      <c r="J16" s="289"/>
      <c r="K16" s="289"/>
      <c r="L16" s="9"/>
      <c r="N16" s="11" t="s">
        <v>824</v>
      </c>
      <c r="U16" s="11" t="s">
        <v>825</v>
      </c>
      <c r="BK16" s="61"/>
    </row>
    <row r="17" spans="1:63" ht="15.75" customHeight="1">
      <c r="A17" s="205"/>
      <c r="C17" s="81" t="s">
        <v>833</v>
      </c>
      <c r="D17" s="285"/>
      <c r="E17" s="285"/>
      <c r="F17" s="285"/>
      <c r="G17" s="286"/>
      <c r="H17" s="287"/>
      <c r="I17" s="285"/>
      <c r="J17" s="285"/>
      <c r="K17" s="285"/>
      <c r="L17" s="286"/>
      <c r="N17" s="11" t="s">
        <v>834</v>
      </c>
      <c r="U17" s="11" t="s">
        <v>825</v>
      </c>
      <c r="AA17" s="11" t="s">
        <v>826</v>
      </c>
      <c r="BK17" s="61"/>
    </row>
    <row r="18" spans="1:63" ht="15.75" customHeight="1">
      <c r="A18" s="205"/>
      <c r="C18" s="81" t="s">
        <v>835</v>
      </c>
      <c r="D18" s="285"/>
      <c r="E18" s="285"/>
      <c r="F18" s="285"/>
      <c r="G18" s="286"/>
      <c r="H18" s="287"/>
      <c r="I18" s="285"/>
      <c r="J18" s="285"/>
      <c r="K18" s="285"/>
      <c r="L18" s="286"/>
      <c r="N18" s="11" t="s">
        <v>834</v>
      </c>
      <c r="U18" s="11" t="s">
        <v>836</v>
      </c>
      <c r="BK18" s="61"/>
    </row>
    <row r="19" spans="1:63" ht="15.75" customHeight="1">
      <c r="A19" s="205"/>
      <c r="C19" s="81" t="s">
        <v>837</v>
      </c>
      <c r="D19" s="285"/>
      <c r="E19" s="285"/>
      <c r="F19" s="285"/>
      <c r="G19" s="286"/>
      <c r="H19" s="287"/>
      <c r="I19" s="285"/>
      <c r="J19" s="285"/>
      <c r="K19" s="285"/>
      <c r="L19" s="286"/>
      <c r="N19" s="11" t="s">
        <v>834</v>
      </c>
      <c r="U19" s="11" t="s">
        <v>836</v>
      </c>
      <c r="BK19" s="61"/>
    </row>
    <row r="20" spans="1:63" ht="15.75" customHeight="1">
      <c r="A20" s="205"/>
      <c r="BK20" s="61"/>
    </row>
    <row r="21" spans="1:63" ht="15.75" customHeight="1">
      <c r="A21" s="205"/>
      <c r="BK21" s="61"/>
    </row>
    <row r="22" spans="1:63" ht="15.75" customHeight="1">
      <c r="A22" s="205"/>
      <c r="BK22" s="61"/>
    </row>
    <row r="23" spans="1:63" ht="15.75" customHeight="1">
      <c r="A23" s="205"/>
      <c r="BK23" s="61"/>
    </row>
    <row r="24" spans="1:63" ht="15.75" customHeight="1">
      <c r="A24" s="205"/>
      <c r="BK24" s="61"/>
    </row>
    <row r="25" spans="1:63" ht="15.75" customHeight="1">
      <c r="A25" s="205"/>
      <c r="BK25" s="61"/>
    </row>
    <row r="26" spans="1:63" ht="15.75" customHeight="1">
      <c r="A26" s="205"/>
      <c r="BK26" s="61"/>
    </row>
    <row r="27" spans="1:63" ht="15.75" customHeight="1">
      <c r="A27" s="205"/>
      <c r="BK27" s="61"/>
    </row>
    <row r="28" spans="1:63" ht="15.75" customHeight="1">
      <c r="A28" s="205"/>
      <c r="BK28" s="61"/>
    </row>
    <row r="29" spans="1:63" ht="15.75" customHeight="1">
      <c r="A29" s="205"/>
      <c r="BK29" s="61"/>
    </row>
    <row r="30" spans="1:63" ht="15.75" customHeight="1">
      <c r="A30" s="205"/>
      <c r="BK30" s="61"/>
    </row>
    <row r="31" spans="1:63" ht="15.75" customHeight="1">
      <c r="A31" s="205"/>
      <c r="BK31" s="61"/>
    </row>
    <row r="32" spans="1:63" ht="15.75" customHeight="1">
      <c r="A32" s="205"/>
      <c r="BK32" s="61"/>
    </row>
    <row r="33" spans="1:63" ht="15.75" customHeight="1">
      <c r="A33" s="205"/>
      <c r="BK33" s="61"/>
    </row>
    <row r="34" spans="1:63" ht="15.75" customHeight="1">
      <c r="A34" s="205"/>
      <c r="BK34" s="61"/>
    </row>
    <row r="35" spans="1:63" ht="15.75" customHeight="1">
      <c r="A35" s="205"/>
      <c r="BK35" s="61"/>
    </row>
    <row r="36" spans="1:63" ht="15.75" customHeight="1" thickBot="1">
      <c r="A36" s="206"/>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6"/>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
  <pageMargins left="0.51181102362204722" right="0.74803149606299213" top="0.70866141732283472" bottom="0.43307086614173229" header="0.51181102362204722" footer="0.35433070866141736"/>
  <pageSetup paperSize="9" fitToHeight="0" orientation="landscape" r:id="rId1"/>
  <headerFooter alignWithMargins="0">
    <oddFooter>&amp;L&amp;"Meiryo UI,標準"&amp;10MGBGB0020&amp;C&amp;"Meiryo UI,標準"&amp;10&amp;P&amp;R&amp;"Meiryo UI,標準"&amp;10(C)Toyo 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EVCTUWYQZQYC-538864054-22424</_dlc_DocId>
    <_dlc_DocIdUrl xmlns="276bdb53-d102-4a67-8437-273e78fbb7dc">
      <Url>https://mitsubishielectricgroup.sharepoint.com/sites/009989/_layouts/15/DocIdRedir.aspx?ID=EVCTUWYQZQYC-538864054-22424</Url>
      <Description>EVCTUWYQZQYC-538864054-22424</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247B5B0-A37C-470A-930E-A42AA00AC300}"/>
</file>

<file path=customXml/itemProps2.xml><?xml version="1.0" encoding="utf-8"?>
<ds:datastoreItem xmlns:ds="http://schemas.openxmlformats.org/officeDocument/2006/customXml" ds:itemID="{D18C997A-3128-4EB9-A6B7-77E18F03CF39}"/>
</file>

<file path=customXml/itemProps3.xml><?xml version="1.0" encoding="utf-8"?>
<ds:datastoreItem xmlns:ds="http://schemas.openxmlformats.org/officeDocument/2006/customXml" ds:itemID="{C7093876-D6F1-4584-82B9-98DB57E7649B}"/>
</file>

<file path=customXml/itemProps4.xml><?xml version="1.0" encoding="utf-8"?>
<ds:datastoreItem xmlns:ds="http://schemas.openxmlformats.org/officeDocument/2006/customXml" ds:itemID="{E546B92D-A7E7-49BF-B477-5C5A5B7BC6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Okumoto Toshio/奥本 俊夫(ＭＤＳＯＬ/製造事/製プロＳＥ２)</cp:lastModifiedBy>
  <cp:revision/>
  <dcterms:created xsi:type="dcterms:W3CDTF">1997-07-09T00:24:33Z</dcterms:created>
  <dcterms:modified xsi:type="dcterms:W3CDTF">2022-11-16T03:12:30Z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25cda289-6833-449a-a798-21c268b6e1c2</vt:lpwstr>
  </property>
  <property fmtid="{D5CDD505-2E9C-101B-9397-08002B2CF9AE}" pid="4" name="MediaServiceImageTags">
    <vt:lpwstr/>
  </property>
</Properties>
</file>