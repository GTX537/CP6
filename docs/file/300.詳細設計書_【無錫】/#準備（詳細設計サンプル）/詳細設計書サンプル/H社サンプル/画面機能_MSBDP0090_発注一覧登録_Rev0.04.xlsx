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codeName="ThisWorkbook"/>
  <mc:AlternateContent xmlns:mc="http://schemas.openxmlformats.org/markup-compatibility/2006">
    <mc:Choice Requires="x15">
      <x15ac:absPath xmlns:x15ac="http://schemas.microsoft.com/office/spreadsheetml/2010/11/ac" url="C:\Users\okumotot\Documents\01_個人フォルダ\Project\270_クラウンパッケージ\04_ソフトウェア開発フェーズ\詳細設計書サンプル\H社サンプル\"/>
    </mc:Choice>
  </mc:AlternateContent>
  <xr:revisionPtr revIDLastSave="0" documentId="13_ncr:1_{EBDD3640-5049-4F6B-B561-A2F80F3BCE12}" xr6:coauthVersionLast="47" xr6:coauthVersionMax="47" xr10:uidLastSave="{00000000-0000-0000-0000-000000000000}"/>
  <bookViews>
    <workbookView xWindow="-110" yWindow="-110" windowWidth="19420" windowHeight="10420" tabRatio="863" xr2:uid="{00000000-000D-0000-FFFF-FFFF00000000}"/>
  </bookViews>
  <sheets>
    <sheet name="表紙（カスタマイズ）" sheetId="105" r:id="rId1"/>
    <sheet name="表紙" sheetId="99" r:id="rId2"/>
    <sheet name="変更来歴（カスタマイズ）" sheetId="106" r:id="rId3"/>
    <sheet name="変更来歴" sheetId="102" r:id="rId4"/>
    <sheet name="概要（カスタマイズ）" sheetId="107" r:id="rId5"/>
    <sheet name="概要" sheetId="103" r:id="rId6"/>
    <sheet name="画面イメージ" sheetId="104" r:id="rId7"/>
    <sheet name="項目説明（カスタマイズ）" sheetId="110" r:id="rId8"/>
    <sheet name="項目説明" sheetId="100" r:id="rId9"/>
    <sheet name="画面遷移" sheetId="72" r:id="rId10"/>
    <sheet name="処理・サービス関連図" sheetId="109" r:id="rId11"/>
    <sheet name="処理詳細 (システム設計時)" sheetId="117" r:id="rId12"/>
    <sheet name="処理詳細（ソフトウェア開発時）" sheetId="112" r:id="rId13"/>
    <sheet name="更新入出力仕様" sheetId="116" r:id="rId14"/>
    <sheet name="メッセージ一覧" sheetId="114" r:id="rId15"/>
    <sheet name="補足説明" sheetId="108" r:id="rId16"/>
  </sheets>
  <externalReferences>
    <externalReference r:id="rId17"/>
    <externalReference r:id="rId18"/>
  </externalReferences>
  <definedNames>
    <definedName name="_____________a1" localSheetId="13" hidden="1">{"'Sheet1'!$A$3:$I$11"}</definedName>
    <definedName name="_____________a1" localSheetId="11" hidden="1">{"'Sheet1'!$A$3:$I$11"}</definedName>
    <definedName name="_____________a1" localSheetId="12" hidden="1">{"'Sheet1'!$A$3:$I$11"}</definedName>
    <definedName name="_____________a1" localSheetId="2" hidden="1">{"'Sheet1'!$A$3:$I$11"}</definedName>
    <definedName name="_____________a1" hidden="1">{"'Sheet1'!$A$3:$I$11"}</definedName>
    <definedName name="____________a1" localSheetId="13" hidden="1">{"'Sheet1'!$A$3:$I$11"}</definedName>
    <definedName name="____________a1" localSheetId="11" hidden="1">{"'Sheet1'!$A$3:$I$11"}</definedName>
    <definedName name="____________a1" localSheetId="12" hidden="1">{"'Sheet1'!$A$3:$I$11"}</definedName>
    <definedName name="____________a1" localSheetId="2" hidden="1">{"'Sheet1'!$A$3:$I$11"}</definedName>
    <definedName name="____________a1" hidden="1">{"'Sheet1'!$A$3:$I$11"}</definedName>
    <definedName name="___________a1" localSheetId="13" hidden="1">{"'Sheet1'!$A$3:$I$11"}</definedName>
    <definedName name="___________a1" localSheetId="11" hidden="1">{"'Sheet1'!$A$3:$I$11"}</definedName>
    <definedName name="___________a1" localSheetId="12" hidden="1">{"'Sheet1'!$A$3:$I$11"}</definedName>
    <definedName name="___________a1" localSheetId="2" hidden="1">{"'Sheet1'!$A$3:$I$11"}</definedName>
    <definedName name="___________a1" hidden="1">{"'Sheet1'!$A$3:$I$11"}</definedName>
    <definedName name="_________a1" localSheetId="13" hidden="1">{"'Sheet1'!$A$3:$I$11"}</definedName>
    <definedName name="_________a1" localSheetId="11" hidden="1">{"'Sheet1'!$A$3:$I$11"}</definedName>
    <definedName name="_________a1" localSheetId="12" hidden="1">{"'Sheet1'!$A$3:$I$11"}</definedName>
    <definedName name="_________a1" localSheetId="2" hidden="1">{"'Sheet1'!$A$3:$I$11"}</definedName>
    <definedName name="_________a1" hidden="1">{"'Sheet1'!$A$3:$I$11"}</definedName>
    <definedName name="________a1" localSheetId="13" hidden="1">{"'Sheet1'!$A$3:$I$11"}</definedName>
    <definedName name="________a1" localSheetId="11" hidden="1">{"'Sheet1'!$A$3:$I$11"}</definedName>
    <definedName name="________a1" localSheetId="12" hidden="1">{"'Sheet1'!$A$3:$I$11"}</definedName>
    <definedName name="________a1" localSheetId="2" hidden="1">{"'Sheet1'!$A$3:$I$11"}</definedName>
    <definedName name="________a1" hidden="1">{"'Sheet1'!$A$3:$I$11"}</definedName>
    <definedName name="______a1" localSheetId="13" hidden="1">{"'Sheet1'!$A$3:$I$11"}</definedName>
    <definedName name="______a1" localSheetId="11" hidden="1">{"'Sheet1'!$A$3:$I$11"}</definedName>
    <definedName name="______a1" localSheetId="12" hidden="1">{"'Sheet1'!$A$3:$I$11"}</definedName>
    <definedName name="______a1" localSheetId="2" hidden="1">{"'Sheet1'!$A$3:$I$11"}</definedName>
    <definedName name="______a1" hidden="1">{"'Sheet1'!$A$3:$I$11"}</definedName>
    <definedName name="_____a1" localSheetId="13" hidden="1">{"'Sheet1'!$A$3:$I$11"}</definedName>
    <definedName name="_____a1" localSheetId="11" hidden="1">{"'Sheet1'!$A$3:$I$11"}</definedName>
    <definedName name="_____a1" localSheetId="12" hidden="1">{"'Sheet1'!$A$3:$I$11"}</definedName>
    <definedName name="_____a1" localSheetId="2" hidden="1">{"'Sheet1'!$A$3:$I$11"}</definedName>
    <definedName name="_____a1" hidden="1">{"'Sheet1'!$A$3:$I$11"}</definedName>
    <definedName name="____a1" localSheetId="13" hidden="1">{"'Sheet1'!$A$3:$I$11"}</definedName>
    <definedName name="____a1" localSheetId="11" hidden="1">{"'Sheet1'!$A$3:$I$11"}</definedName>
    <definedName name="____a1" localSheetId="12" hidden="1">{"'Sheet1'!$A$3:$I$11"}</definedName>
    <definedName name="____a1" localSheetId="2" hidden="1">{"'Sheet1'!$A$3:$I$11"}</definedName>
    <definedName name="____a1" hidden="1">{"'Sheet1'!$A$3:$I$11"}</definedName>
    <definedName name="___a1" localSheetId="13" hidden="1">{"'Sheet1'!$A$3:$I$11"}</definedName>
    <definedName name="___a1" localSheetId="11" hidden="1">{"'Sheet1'!$A$3:$I$11"}</definedName>
    <definedName name="___a1" localSheetId="12" hidden="1">{"'Sheet1'!$A$3:$I$11"}</definedName>
    <definedName name="___a1" localSheetId="2" hidden="1">{"'Sheet1'!$A$3:$I$11"}</definedName>
    <definedName name="___a1" hidden="1">{"'Sheet1'!$A$3:$I$11"}</definedName>
    <definedName name="__a1" localSheetId="13" hidden="1">{"'Sheet1'!$A$3:$I$11"}</definedName>
    <definedName name="__a1" localSheetId="11" hidden="1">{"'Sheet1'!$A$3:$I$11"}</definedName>
    <definedName name="__a1" localSheetId="12" hidden="1">{"'Sheet1'!$A$3:$I$11"}</definedName>
    <definedName name="__a1" localSheetId="2" hidden="1">{"'Sheet1'!$A$3:$I$11"}</definedName>
    <definedName name="__a1" hidden="1">{"'Sheet1'!$A$3:$I$11"}</definedName>
    <definedName name="_Order1" hidden="1">255</definedName>
    <definedName name="_Table2_In1" hidden="1">[1]LIST!#REF!</definedName>
    <definedName name="_Table2_In2" hidden="1">[1]LIST!#REF!</definedName>
    <definedName name="A" hidden="1">#REF!</definedName>
    <definedName name="aa" localSheetId="13" hidden="1">{"'その他費用'!$B$3:$J$22"}</definedName>
    <definedName name="aa" localSheetId="11" hidden="1">{"'その他費用'!$B$3:$J$22"}</definedName>
    <definedName name="aa" localSheetId="12" hidden="1">{"'その他費用'!$B$3:$J$22"}</definedName>
    <definedName name="aa" localSheetId="2" hidden="1">{"'その他費用'!$B$3:$J$22"}</definedName>
    <definedName name="aa" hidden="1">{"'その他費用'!$B$3:$J$22"}</definedName>
    <definedName name="AB" hidden="1">#REF!</definedName>
    <definedName name="Access_Button" hidden="1">"価格H_hard_諸元___2__List"</definedName>
    <definedName name="AccessDatabase" hidden="1">"C:\MTAKAHAS\価格H.mdb"</definedName>
    <definedName name="ADDON" localSheetId="13" hidden="1">{"'その他費用'!$B$3:$J$22"}</definedName>
    <definedName name="ADDON" localSheetId="11" hidden="1">{"'その他費用'!$B$3:$J$22"}</definedName>
    <definedName name="ADDON" localSheetId="12" hidden="1">{"'その他費用'!$B$3:$J$22"}</definedName>
    <definedName name="ADDON" localSheetId="2" hidden="1">{"'その他費用'!$B$3:$J$22"}</definedName>
    <definedName name="ADDON" hidden="1">{"'その他費用'!$B$3:$J$22"}</definedName>
    <definedName name="ADDON_2" localSheetId="13" hidden="1">{"'その他費用'!$B$3:$J$22"}</definedName>
    <definedName name="ADDON_2" localSheetId="11" hidden="1">{"'その他費用'!$B$3:$J$22"}</definedName>
    <definedName name="ADDON_2" localSheetId="12" hidden="1">{"'その他費用'!$B$3:$J$22"}</definedName>
    <definedName name="ADDON_2" localSheetId="2" hidden="1">{"'その他費用'!$B$3:$J$22"}</definedName>
    <definedName name="ADDON_2" hidden="1">{"'その他費用'!$B$3:$J$22"}</definedName>
    <definedName name="B" localSheetId="13" hidden="1">{"'その他費用'!$B$3:$J$22"}</definedName>
    <definedName name="B" localSheetId="11" hidden="1">{"'その他費用'!$B$3:$J$22"}</definedName>
    <definedName name="B" localSheetId="12" hidden="1">{"'その他費用'!$B$3:$J$22"}</definedName>
    <definedName name="B" localSheetId="2" hidden="1">{"'その他費用'!$B$3:$J$22"}</definedName>
    <definedName name="B" hidden="1">{"'その他費用'!$B$3:$J$22"}</definedName>
    <definedName name="cc" localSheetId="13" hidden="1">{"'その他費用'!$B$3:$J$22"}</definedName>
    <definedName name="cc" localSheetId="11" hidden="1">{"'その他費用'!$B$3:$J$22"}</definedName>
    <definedName name="cc" localSheetId="12" hidden="1">{"'その他費用'!$B$3:$J$22"}</definedName>
    <definedName name="cc" localSheetId="2" hidden="1">{"'その他費用'!$B$3:$J$22"}</definedName>
    <definedName name="cc" hidden="1">{"'その他費用'!$B$3:$J$22"}</definedName>
    <definedName name="dd" localSheetId="13" hidden="1">{"'その他費用'!$B$3:$J$22"}</definedName>
    <definedName name="dd" localSheetId="11" hidden="1">{"'その他費用'!$B$3:$J$22"}</definedName>
    <definedName name="dd" localSheetId="12" hidden="1">{"'その他費用'!$B$3:$J$22"}</definedName>
    <definedName name="dd" localSheetId="2" hidden="1">{"'その他費用'!$B$3:$J$22"}</definedName>
    <definedName name="dd" hidden="1">{"'その他費用'!$B$3:$J$22"}</definedName>
    <definedName name="ee" localSheetId="13" hidden="1">{"'その他費用'!$B$3:$J$22"}</definedName>
    <definedName name="ee" localSheetId="11" hidden="1">{"'その他費用'!$B$3:$J$22"}</definedName>
    <definedName name="ee" localSheetId="12" hidden="1">{"'その他費用'!$B$3:$J$22"}</definedName>
    <definedName name="ee" localSheetId="2" hidden="1">{"'その他費用'!$B$3:$J$22"}</definedName>
    <definedName name="ee" hidden="1">{"'その他費用'!$B$3:$J$22"}</definedName>
    <definedName name="f" localSheetId="13" hidden="1">{"'その他費用'!$B$3:$J$22"}</definedName>
    <definedName name="f" localSheetId="11" hidden="1">{"'その他費用'!$B$3:$J$22"}</definedName>
    <definedName name="f" localSheetId="12" hidden="1">{"'その他費用'!$B$3:$J$22"}</definedName>
    <definedName name="f" localSheetId="2" hidden="1">{"'その他費用'!$B$3:$J$22"}</definedName>
    <definedName name="f" hidden="1">{"'その他費用'!$B$3:$J$22"}</definedName>
    <definedName name="ffff" localSheetId="13" hidden="1">{"'その他費用'!$B$3:$J$22"}</definedName>
    <definedName name="ffff" localSheetId="11" hidden="1">{"'その他費用'!$B$3:$J$22"}</definedName>
    <definedName name="ffff" localSheetId="12" hidden="1">{"'その他費用'!$B$3:$J$22"}</definedName>
    <definedName name="ffff" localSheetId="2" hidden="1">{"'その他費用'!$B$3:$J$22"}</definedName>
    <definedName name="ffff" hidden="1">{"'その他費用'!$B$3:$J$22"}</definedName>
    <definedName name="HTML_CodePage" hidden="1">932</definedName>
    <definedName name="HTML_Control" localSheetId="13" hidden="1">{"'その他費用'!$B$3:$J$22"}</definedName>
    <definedName name="HTML_Control" localSheetId="11" hidden="1">{"'その他費用'!$B$3:$J$22"}</definedName>
    <definedName name="HTML_Control" localSheetId="12" hidden="1">{"'その他費用'!$B$3:$J$22"}</definedName>
    <definedName name="HTML_Control" localSheetId="2" hidden="1">{"'その他費用'!$B$3:$J$22"}</definedName>
    <definedName name="HTML_Control" hidden="1">{"'その他費用'!$B$3:$J$22"}</definedName>
    <definedName name="HTML_Control1" localSheetId="13" hidden="1">{"'その他費用'!$B$3:$J$22"}</definedName>
    <definedName name="HTML_Control1" localSheetId="11" hidden="1">{"'その他費用'!$B$3:$J$22"}</definedName>
    <definedName name="HTML_Control1" localSheetId="12" hidden="1">{"'その他費用'!$B$3:$J$22"}</definedName>
    <definedName name="HTML_Control1" localSheetId="2" hidden="1">{"'その他費用'!$B$3:$J$22"}</definedName>
    <definedName name="HTML_Control1" hidden="1">{"'その他費用'!$B$3:$J$22"}</definedName>
    <definedName name="HTML_Control2" localSheetId="13" hidden="1">{"'その他費用'!$B$3:$J$22"}</definedName>
    <definedName name="HTML_Control2" localSheetId="11" hidden="1">{"'その他費用'!$B$3:$J$22"}</definedName>
    <definedName name="HTML_Control2" localSheetId="12" hidden="1">{"'その他費用'!$B$3:$J$22"}</definedName>
    <definedName name="HTML_Control2" localSheetId="2" hidden="1">{"'その他費用'!$B$3:$J$22"}</definedName>
    <definedName name="HTML_Control2" hidden="1">{"'その他費用'!$B$3:$J$22"}</definedName>
    <definedName name="HTML_Control3" localSheetId="13" hidden="1">{"'その他費用'!$B$3:$J$22"}</definedName>
    <definedName name="HTML_Control3" localSheetId="11" hidden="1">{"'その他費用'!$B$3:$J$22"}</definedName>
    <definedName name="HTML_Control3" localSheetId="12" hidden="1">{"'その他費用'!$B$3:$J$22"}</definedName>
    <definedName name="HTML_Control3" localSheetId="2" hidden="1">{"'その他費用'!$B$3:$J$22"}</definedName>
    <definedName name="HTML_Control3" hidden="1">{"'その他費用'!$B$3:$J$22"}</definedName>
    <definedName name="HTML_Description" hidden="1">""</definedName>
    <definedName name="HTML_Email" hidden="1">""</definedName>
    <definedName name="HTML_Header" hidden="1">"その他費用"</definedName>
    <definedName name="HTML_LastUpdate" hidden="1">"98/09/08"</definedName>
    <definedName name="HTML_LineAfter" hidden="1">FALSE</definedName>
    <definedName name="HTML_LineBefore" hidden="1">FALSE</definedName>
    <definedName name="HTML_Name" hidden="1">"情報システム製作所 情革ニ"</definedName>
    <definedName name="HTML_OBDlg2" hidden="1">TRUE</definedName>
    <definedName name="HTML_OBDlg4" hidden="1">TRUE</definedName>
    <definedName name="HTML_OS" hidden="1">0</definedName>
    <definedName name="HTML_PathFile" hidden="1">"C:\temp\MyHTML.htm"</definedName>
    <definedName name="HTML_Title" hidden="1">"980910S1"</definedName>
    <definedName name="InterFace" localSheetId="13" hidden="1">{"'その他費用'!$B$3:$J$22"}</definedName>
    <definedName name="InterFace" localSheetId="11" hidden="1">{"'その他費用'!$B$3:$J$22"}</definedName>
    <definedName name="InterFace" localSheetId="12" hidden="1">{"'その他費用'!$B$3:$J$22"}</definedName>
    <definedName name="InterFace" localSheetId="2" hidden="1">{"'その他費用'!$B$3:$J$22"}</definedName>
    <definedName name="InterFace" hidden="1">{"'その他費用'!$B$3:$J$22"}</definedName>
    <definedName name="_xlnm.Print_Area" localSheetId="14">メッセージ一覧!$A$1:$CA$35</definedName>
    <definedName name="_xlnm.Print_Area" localSheetId="6">画面イメージ!$A$1:$BK$35</definedName>
    <definedName name="_xlnm.Print_Area" localSheetId="13">更新入出力仕様!$A$1:$BI$18</definedName>
    <definedName name="_xlnm.Print_Area" localSheetId="8">項目説明!$A$1:$BK$625</definedName>
    <definedName name="_xlnm.Print_Area" localSheetId="7">'項目説明（カスタマイズ）'!$A$1:$BK$634</definedName>
    <definedName name="_xlnm.Print_Area" localSheetId="11">'処理詳細 (システム設計時)'!$A$1:$BK$35</definedName>
    <definedName name="_xlnm.Print_Area" localSheetId="12">'処理詳細（ソフトウェア開発時）'!$A$1:$BI$167</definedName>
    <definedName name="_xlnm.Print_Area" localSheetId="1">表紙!$A$1:$AX$34</definedName>
    <definedName name="_xlnm.Print_Area" localSheetId="0">'表紙（カスタマイズ）'!$A$1:$AV$46</definedName>
    <definedName name="_xlnm.Print_Area" localSheetId="3">変更来歴!$A$1:$BM$35</definedName>
    <definedName name="_xlnm.Print_Area" localSheetId="2">'変更来歴（カスタマイズ）'!$A$1:$BM$30</definedName>
    <definedName name="_xlnm.Print_Area" localSheetId="15">補足説明!$A$1:$CH$55</definedName>
    <definedName name="_xlnm.Print_Titles" localSheetId="14">メッセージ一覧!$1:$4</definedName>
    <definedName name="_xlnm.Print_Titles" localSheetId="6">画面イメージ!$1:$4</definedName>
    <definedName name="_xlnm.Print_Titles" localSheetId="9">画面遷移!$1:$4</definedName>
    <definedName name="_xlnm.Print_Titles" localSheetId="5">概要!$1:$4</definedName>
    <definedName name="_xlnm.Print_Titles" localSheetId="4">'概要（カスタマイズ）'!$1:$4</definedName>
    <definedName name="_xlnm.Print_Titles" localSheetId="13">更新入出力仕様!$1:$4</definedName>
    <definedName name="_xlnm.Print_Titles" localSheetId="8">項目説明!$1:$4</definedName>
    <definedName name="_xlnm.Print_Titles" localSheetId="7">'項目説明（カスタマイズ）'!$1:$4</definedName>
    <definedName name="_xlnm.Print_Titles" localSheetId="10">処理・サービス関連図!$1:$4</definedName>
    <definedName name="_xlnm.Print_Titles" localSheetId="11">'処理詳細 (システム設計時)'!$1:$4</definedName>
    <definedName name="_xlnm.Print_Titles" localSheetId="12">'処理詳細（ソフトウェア開発時）'!$1:$4</definedName>
    <definedName name="_xlnm.Print_Titles" localSheetId="3">変更来歴!$1:$5</definedName>
    <definedName name="_xlnm.Print_Titles" localSheetId="2">'変更来歴（カスタマイズ）'!$1:$5</definedName>
    <definedName name="_xlnm.Print_Titles" localSheetId="15">補足説明!$1:$4</definedName>
    <definedName name="Rev." localSheetId="11">'[2]表紙（カスタマイズ）'!$U$22</definedName>
    <definedName name="Rev.">'表紙（カスタマイズ）'!$U$22</definedName>
    <definedName name="Revision" localSheetId="11">[2]表紙!$AP$5</definedName>
    <definedName name="Revision">表紙!$AP$5</definedName>
    <definedName name="RR" localSheetId="13" hidden="1">{"'その他費用'!$B$3:$J$22"}</definedName>
    <definedName name="RR" localSheetId="11" hidden="1">{"'その他費用'!$B$3:$J$22"}</definedName>
    <definedName name="RR" localSheetId="12" hidden="1">{"'その他費用'!$B$3:$J$22"}</definedName>
    <definedName name="RR" localSheetId="2" hidden="1">{"'その他費用'!$B$3:$J$22"}</definedName>
    <definedName name="RR" hidden="1">{"'その他費用'!$B$3:$J$22"}</definedName>
    <definedName name="Ver." localSheetId="11">'[2]表紙（カスタマイズ）'!$AE$26</definedName>
    <definedName name="Ver.">'表紙（カスタマイズ）'!$AE$26</definedName>
    <definedName name="Version" localSheetId="11">[2]表紙!$AJ$5</definedName>
    <definedName name="Version">表紙!$AJ$5</definedName>
    <definedName name="weww" localSheetId="13" hidden="1">{#N/A,#N/A,FALSE,"１）背景";#N/A,#N/A,FALSE,"２）前提事項";#N/A,#N/A,FALSE,"３）優先順位";#N/A,#N/A,FALSE,"４）改善サマリー";#N/A,#N/A,FALSE,"５）懸念-1";#N/A,#N/A,FALSE,"５）懸念-2";#N/A,#N/A,FALSE,"５）懸念-3";#N/A,#N/A,FALSE,"５）懸念-4";#N/A,#N/A,FALSE,"６）組織図";#N/A,#N/A,FALSE,"６）スケジュール"}</definedName>
    <definedName name="weww" localSheetId="11" hidden="1">{#N/A,#N/A,FALSE,"１）背景";#N/A,#N/A,FALSE,"２）前提事項";#N/A,#N/A,FALSE,"３）優先順位";#N/A,#N/A,FALSE,"４）改善サマリー";#N/A,#N/A,FALSE,"５）懸念-1";#N/A,#N/A,FALSE,"５）懸念-2";#N/A,#N/A,FALSE,"５）懸念-3";#N/A,#N/A,FALSE,"５）懸念-4";#N/A,#N/A,FALSE,"６）組織図";#N/A,#N/A,FALSE,"６）スケジュール"}</definedName>
    <definedName name="weww" localSheetId="12" hidden="1">{#N/A,#N/A,FALSE,"１）背景";#N/A,#N/A,FALSE,"２）前提事項";#N/A,#N/A,FALSE,"３）優先順位";#N/A,#N/A,FALSE,"４）改善サマリー";#N/A,#N/A,FALSE,"５）懸念-1";#N/A,#N/A,FALSE,"５）懸念-2";#N/A,#N/A,FALSE,"５）懸念-3";#N/A,#N/A,FALSE,"５）懸念-4";#N/A,#N/A,FALSE,"６）組織図";#N/A,#N/A,FALSE,"６）スケジュール"}</definedName>
    <definedName name="weww" localSheetId="2" hidden="1">{#N/A,#N/A,FALSE,"１）背景";#N/A,#N/A,FALSE,"２）前提事項";#N/A,#N/A,FALSE,"３）優先順位";#N/A,#N/A,FALSE,"４）改善サマリー";#N/A,#N/A,FALSE,"５）懸念-1";#N/A,#N/A,FALSE,"５）懸念-2";#N/A,#N/A,FALSE,"５）懸念-3";#N/A,#N/A,FALSE,"５）懸念-4";#N/A,#N/A,FALSE,"６）組織図";#N/A,#N/A,FALSE,"６）スケジュール"}</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3"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1"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2"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2"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 name="ああ" localSheetId="13" hidden="1">{"'その他費用'!$B$3:$J$22"}</definedName>
    <definedName name="ああ" localSheetId="11" hidden="1">{"'その他費用'!$B$3:$J$22"}</definedName>
    <definedName name="ああ" localSheetId="12" hidden="1">{"'その他費用'!$B$3:$J$22"}</definedName>
    <definedName name="ああ" localSheetId="2" hidden="1">{"'その他費用'!$B$3:$J$22"}</definedName>
    <definedName name="ああ" hidden="1">{"'その他費用'!$B$3:$J$22"}</definedName>
    <definedName name="アドオン" localSheetId="13" hidden="1">{"'その他費用'!$B$3:$J$22"}</definedName>
    <definedName name="アドオン" localSheetId="11" hidden="1">{"'その他費用'!$B$3:$J$22"}</definedName>
    <definedName name="アドオン" localSheetId="12" hidden="1">{"'その他費用'!$B$3:$J$22"}</definedName>
    <definedName name="アドオン" localSheetId="2" hidden="1">{"'その他費用'!$B$3:$J$22"}</definedName>
    <definedName name="アドオン" hidden="1">{"'その他費用'!$B$3:$J$22"}</definedName>
    <definedName name="こ" localSheetId="13" hidden="1">{"'その他費用'!$B$3:$J$22"}</definedName>
    <definedName name="こ" localSheetId="11" hidden="1">{"'その他費用'!$B$3:$J$22"}</definedName>
    <definedName name="こ" localSheetId="12" hidden="1">{"'その他費用'!$B$3:$J$22"}</definedName>
    <definedName name="こ" localSheetId="2" hidden="1">{"'その他費用'!$B$3:$J$22"}</definedName>
    <definedName name="こ" hidden="1">{"'その他費用'!$B$3:$J$22"}</definedName>
    <definedName name="ご確認者">'表紙（カスタマイズ）'!$AG$40</definedName>
    <definedName name="ご確認日">'表紙（カスタマイズ）'!$AG$42</definedName>
    <definedName name="サブシステム名">'表紙（カスタマイズ）'!$U$28</definedName>
    <definedName name="システム名">'表紙（カスタマイズ）'!$U$26</definedName>
    <definedName name="プロジェクト名">'表紙（カスタマイズ）'!$U$18</definedName>
    <definedName name="開発区分">'表紙（カスタマイズ）'!$U$36</definedName>
    <definedName name="機能ＩＤ">'表紙（カスタマイズ）'!$U$32</definedName>
    <definedName name="機能区分">'表紙（カスタマイズ）'!$U$34</definedName>
    <definedName name="機能名称">'表紙（カスタマイズ）'!$U$30</definedName>
    <definedName name="顧客名">'表紙（カスタマイズ）'!$U$16</definedName>
    <definedName name="最終更新者">'表紙（カスタマイズ）'!$AB$40</definedName>
    <definedName name="最終更新日">'表紙（カスタマイズ）'!$AB$42</definedName>
    <definedName name="作成者">'表紙（カスタマイズ）'!$W$40</definedName>
    <definedName name="作成日">'表紙（カスタマイズ）'!$W$42</definedName>
    <definedName name="章">'表紙（カスタマイズ）'!$M$10</definedName>
    <definedName name="発行日">表紙!$C$31</definedName>
    <definedName name="文書番号" localSheetId="11">[2]表紙!$O$5</definedName>
    <definedName name="文書番号">表紙!$O$5</definedName>
    <definedName name="文書番号_カスタマイズ" localSheetId="11">'[2]表紙（カスタマイズ）'!$U$20</definedName>
    <definedName name="文書番号_カスタマイズ">'表紙（カスタマイズ）'!$U$20</definedName>
    <definedName name="文書名" localSheetId="11">[2]表紙!$M$15</definedName>
    <definedName name="文書名">表紙!$M$15</definedName>
    <definedName name="文書名_カスタマイズ" localSheetId="11">'[2]表紙（カスタマイズ）'!$M$10</definedName>
    <definedName name="文書名_カスタマイズ">'表紙（カスタマイズ）'!$M$10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3" i="117" l="1"/>
  <c r="A13" i="116"/>
  <c r="A12" i="116"/>
  <c r="A11" i="116"/>
  <c r="A10" i="116"/>
  <c r="A9" i="116"/>
  <c r="AJ2" i="117"/>
  <c r="Z2" i="117"/>
  <c r="AJ1" i="117"/>
  <c r="Z1" i="117"/>
  <c r="Z3" i="117"/>
  <c r="AE3" i="117"/>
  <c r="K3" i="116" l="1"/>
  <c r="AX2" i="116"/>
  <c r="AQ2" i="116"/>
  <c r="K2" i="116"/>
  <c r="Z2" i="116"/>
  <c r="AJ1" i="116"/>
  <c r="AJ2" i="116"/>
  <c r="Z1" i="116"/>
  <c r="AE3" i="116"/>
  <c r="Z3" i="116"/>
  <c r="AB40" i="105" l="1"/>
  <c r="BH2" i="102" l="1"/>
  <c r="O2" i="114" l="1"/>
  <c r="O3" i="114"/>
  <c r="BN2" i="114" l="1"/>
  <c r="BE2" i="114"/>
  <c r="K3" i="112"/>
  <c r="O3" i="108"/>
  <c r="AQ2" i="114"/>
  <c r="AC2" i="114"/>
  <c r="AC3" i="114"/>
  <c r="AJ3" i="114"/>
  <c r="A1" i="114"/>
  <c r="AQ1" i="114"/>
  <c r="AC1" i="114"/>
  <c r="BU2" i="108" l="1"/>
  <c r="BL2" i="108"/>
  <c r="O2" i="108"/>
  <c r="AX2" i="112"/>
  <c r="AQ2" i="112"/>
  <c r="K2" i="112"/>
  <c r="O3" i="109"/>
  <c r="BU2" i="109"/>
  <c r="BL2" i="109"/>
  <c r="O2" i="109"/>
  <c r="AE3" i="72"/>
  <c r="Z3" i="72"/>
  <c r="K3" i="72"/>
  <c r="BF2" i="72"/>
  <c r="AZ2" i="72"/>
  <c r="AS2" i="72"/>
  <c r="AJ2" i="72"/>
  <c r="Z2" i="72"/>
  <c r="K2" i="72"/>
  <c r="AJ1" i="72"/>
  <c r="Z1" i="72"/>
  <c r="A1" i="72"/>
  <c r="K3" i="100"/>
  <c r="BF2" i="100"/>
  <c r="AZ2" i="100"/>
  <c r="AS2" i="100"/>
  <c r="K3" i="110"/>
  <c r="AZ2" i="110"/>
  <c r="AS2" i="110"/>
  <c r="K3" i="104"/>
  <c r="AZ2" i="104"/>
  <c r="AS2" i="104"/>
  <c r="O3" i="103"/>
  <c r="CB2" i="103"/>
  <c r="BU2" i="103"/>
  <c r="BL2" i="103"/>
  <c r="O3" i="107"/>
  <c r="BU2" i="107"/>
  <c r="BL2" i="107"/>
  <c r="O2" i="107"/>
  <c r="K3" i="102"/>
  <c r="BB2" i="102"/>
  <c r="AU2" i="102"/>
  <c r="K2" i="102"/>
  <c r="K3" i="106"/>
  <c r="AQ50" i="99"/>
  <c r="AJ50" i="99"/>
  <c r="O50" i="99"/>
  <c r="CB49" i="99"/>
  <c r="BU49" i="99"/>
  <c r="BL49" i="99"/>
  <c r="AX49" i="99"/>
  <c r="AJ49" i="99"/>
  <c r="O49" i="99"/>
  <c r="AX48" i="99"/>
  <c r="AJ48" i="99"/>
  <c r="A48" i="99"/>
  <c r="AE45" i="99"/>
  <c r="Z45" i="99"/>
  <c r="K45" i="99"/>
  <c r="BF44" i="99"/>
  <c r="AZ44" i="99"/>
  <c r="AS44" i="99"/>
  <c r="AJ44" i="99"/>
  <c r="Z44" i="99"/>
  <c r="K44" i="99"/>
  <c r="AJ43" i="99"/>
  <c r="Z43" i="99"/>
  <c r="A43" i="99"/>
  <c r="K41" i="99"/>
  <c r="AS40" i="99"/>
  <c r="K40" i="99"/>
  <c r="AB42" i="105"/>
  <c r="W42" i="105"/>
  <c r="W40" i="105"/>
  <c r="U22" i="105" a="1"/>
  <c r="U22" i="105" s="1"/>
  <c r="AL2" i="106"/>
  <c r="AJ3" i="109"/>
  <c r="AX2" i="109"/>
  <c r="Z3" i="104"/>
  <c r="AE3" i="112"/>
  <c r="AJ3" i="107"/>
  <c r="AX2" i="108"/>
  <c r="AL1" i="102"/>
  <c r="AJ2" i="100"/>
  <c r="AJ1" i="104"/>
  <c r="Z1" i="110"/>
  <c r="A1" i="104"/>
  <c r="Z1" i="106"/>
  <c r="AJ1" i="109"/>
  <c r="Z1" i="104"/>
  <c r="AL1" i="106"/>
  <c r="AE3" i="100"/>
  <c r="Z3" i="106"/>
  <c r="Z2" i="112"/>
  <c r="AJ2" i="103"/>
  <c r="AQ3" i="108"/>
  <c r="Z3" i="112"/>
  <c r="Z1" i="102"/>
  <c r="AG3" i="102"/>
  <c r="AJ3" i="108"/>
  <c r="AJ2" i="110"/>
  <c r="A1" i="107"/>
  <c r="Z2" i="110"/>
  <c r="AX1" i="103"/>
  <c r="Z2" i="100"/>
  <c r="A1" i="102"/>
  <c r="AJ1" i="110"/>
  <c r="AJ2" i="112"/>
  <c r="Z3" i="102"/>
  <c r="AJ1" i="112"/>
  <c r="AE3" i="104"/>
  <c r="AJ1" i="103"/>
  <c r="AX1" i="107"/>
  <c r="Z2" i="102"/>
  <c r="A1" i="110"/>
  <c r="AJ2" i="109"/>
  <c r="Z2" i="104"/>
  <c r="AJ1" i="100"/>
  <c r="AX1" i="108"/>
  <c r="AX2" i="107"/>
  <c r="AJ2" i="104"/>
  <c r="Z3" i="100"/>
  <c r="AQ3" i="107"/>
  <c r="AJ2" i="107"/>
  <c r="AJ3" i="103"/>
  <c r="Z1" i="100"/>
  <c r="Z3" i="110"/>
  <c r="Z1" i="112"/>
  <c r="AJ1" i="108"/>
  <c r="AE3" i="110"/>
  <c r="AJ2" i="108"/>
  <c r="AJ1" i="107"/>
  <c r="Z2" i="106"/>
  <c r="AX1" i="109"/>
  <c r="AX2" i="103"/>
  <c r="AL2" i="102"/>
  <c r="AQ3" i="109"/>
  <c r="A1" i="106"/>
  <c r="AQ3" i="103"/>
  <c r="A1" i="103"/>
  <c r="A1" i="108"/>
  <c r="A1" i="109"/>
  <c r="AG3" i="106"/>
  <c r="A1" i="100"/>
  <c r="BD2" i="116" l="1"/>
  <c r="BF2" i="104"/>
  <c r="BF2" i="110"/>
  <c r="BU2" i="114"/>
  <c r="BH2" i="106"/>
  <c r="CB2" i="109"/>
  <c r="CB2" i="107"/>
  <c r="CB2" i="108"/>
  <c r="BD2" i="1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75A1E6B2-9314-420B-8490-B8A732770D6A}">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5" authorId="0" shapeId="0" xr:uid="{7E9C194D-6E30-4B69-B3BD-F705CEA39FB7}">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00000000-0006-0000-0B00-000001000000}">
      <text>
        <r>
          <rPr>
            <sz val="9"/>
            <rFont val="ＭＳ Ｐゴシック"/>
            <family val="3"/>
            <charset val="128"/>
          </rPr>
          <t>＜画面・下り電文の場合＞
　</t>
        </r>
        <r>
          <rPr>
            <sz val="9"/>
            <color indexed="10"/>
            <rFont val="ＭＳ Ｐゴシック"/>
            <family val="3"/>
            <charset val="128"/>
          </rPr>
          <t>ブロック名．項目名</t>
        </r>
        <r>
          <rPr>
            <sz val="9"/>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rFont val="ＭＳ Ｐゴシック"/>
            <family val="3"/>
            <charset val="128"/>
          </rPr>
          <t xml:space="preserve">
　例）受注明細．消費税額
＜サービスの場合＞
</t>
        </r>
        <r>
          <rPr>
            <sz val="9"/>
            <color indexed="10"/>
            <rFont val="ＭＳ Ｐゴシック"/>
            <family val="3"/>
            <charset val="128"/>
          </rPr>
          <t>　呼出サービスNo．1</t>
        </r>
        <r>
          <rPr>
            <sz val="9"/>
            <rFont val="ＭＳ Ｐゴシック"/>
            <family val="3"/>
            <charset val="128"/>
          </rPr>
          <t xml:space="preserve">
　例）呼出サービスNo．1
＜ファイルの場合＞
</t>
        </r>
        <r>
          <rPr>
            <sz val="9"/>
            <color indexed="10"/>
            <rFont val="ＭＳ Ｐゴシック"/>
            <family val="3"/>
            <charset val="128"/>
          </rPr>
          <t>　[ファイル名（論理）]項目名</t>
        </r>
        <r>
          <rPr>
            <sz val="9"/>
            <rFont val="ＭＳ Ｐゴシック"/>
            <family val="3"/>
            <charset val="128"/>
          </rPr>
          <t xml:space="preserve">
　例）[製造指図書ＣＳＶ]工程指図ＮＯ</t>
        </r>
      </text>
    </comment>
    <comment ref="BI5" authorId="0" shapeId="0" xr:uid="{00000000-0006-0000-0B00-000002000000}">
      <text>
        <r>
          <rPr>
            <sz val="9"/>
            <rFont val="ＭＳ Ｐゴシック"/>
            <family val="3"/>
            <charset val="128"/>
          </rPr>
          <t>＜画面・下り電文の場合＞
　</t>
        </r>
        <r>
          <rPr>
            <sz val="9"/>
            <color indexed="10"/>
            <rFont val="ＭＳ Ｐゴシック"/>
            <family val="3"/>
            <charset val="128"/>
          </rPr>
          <t>ブロック名．項目名</t>
        </r>
        <r>
          <rPr>
            <sz val="9"/>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rFont val="ＭＳ Ｐゴシック"/>
            <family val="3"/>
            <charset val="128"/>
          </rPr>
          <t xml:space="preserve">
　例）受注明細．消費税額
＜サービスの場合＞
</t>
        </r>
        <r>
          <rPr>
            <sz val="9"/>
            <color indexed="10"/>
            <rFont val="ＭＳ Ｐゴシック"/>
            <family val="3"/>
            <charset val="128"/>
          </rPr>
          <t>　呼出サービスNo．1</t>
        </r>
        <r>
          <rPr>
            <sz val="9"/>
            <rFont val="ＭＳ Ｐゴシック"/>
            <family val="3"/>
            <charset val="128"/>
          </rPr>
          <t xml:space="preserve">
　例）呼出サービスNo．1
＜ファイルの場合＞
</t>
        </r>
        <r>
          <rPr>
            <sz val="9"/>
            <color indexed="10"/>
            <rFont val="ＭＳ Ｐゴシック"/>
            <family val="3"/>
            <charset val="128"/>
          </rPr>
          <t>　[ファイル名（論理）]項目名</t>
        </r>
        <r>
          <rPr>
            <sz val="9"/>
            <rFont val="ＭＳ Ｐゴシック"/>
            <family val="3"/>
            <charset val="128"/>
          </rPr>
          <t xml:space="preserve">
　例）[製造指図書ＣＳＶ]工程指図ＮＯ
＜メッセージの場合＞
　例）メッセージＩＤ：SEL0001W</t>
        </r>
      </text>
    </comment>
  </commentList>
</comments>
</file>

<file path=xl/sharedStrings.xml><?xml version="1.0" encoding="utf-8"?>
<sst xmlns="http://schemas.openxmlformats.org/spreadsheetml/2006/main" count="6411" uniqueCount="1461">
  <si>
    <t>基本設計</t>
  </si>
  <si>
    <t>画面機能</t>
  </si>
  <si>
    <t>顧客</t>
  </si>
  <si>
    <t>プロジェクト名</t>
  </si>
  <si>
    <t>ERPシステム</t>
  </si>
  <si>
    <t>文書番号</t>
  </si>
  <si>
    <t>J052-0-0001</t>
  </si>
  <si>
    <t>Ｒｅｖ．</t>
  </si>
  <si>
    <t>機密性区分</t>
  </si>
  <si>
    <t>取扱注意（Ｃ）</t>
  </si>
  <si>
    <t>システム名</t>
  </si>
  <si>
    <t>mcframe7</t>
  </si>
  <si>
    <t>Ver.</t>
  </si>
  <si>
    <t>7.0.1</t>
  </si>
  <si>
    <t>サブモジュール</t>
  </si>
  <si>
    <t>購買管理</t>
  </si>
  <si>
    <t>業務共通</t>
  </si>
  <si>
    <t>原価管理</t>
  </si>
  <si>
    <t>機能名</t>
  </si>
  <si>
    <t>発注一覧登録</t>
  </si>
  <si>
    <t>生産管理</t>
  </si>
  <si>
    <t>機能ID</t>
  </si>
  <si>
    <t>MSBDP0090</t>
  </si>
  <si>
    <t>機能区分</t>
  </si>
  <si>
    <t>画面</t>
  </si>
  <si>
    <t>帳票</t>
  </si>
  <si>
    <t>開発区分</t>
  </si>
  <si>
    <t>カスタマイズ</t>
  </si>
  <si>
    <t>バッチ</t>
  </si>
  <si>
    <t>作成</t>
  </si>
  <si>
    <t>最終更新</t>
  </si>
  <si>
    <t>ご確認</t>
  </si>
  <si>
    <t>アドオン</t>
  </si>
  <si>
    <t>MDSOL</t>
  </si>
  <si>
    <t>mcframe 7</t>
  </si>
  <si>
    <t>画面ID</t>
  </si>
  <si>
    <t>画面名</t>
  </si>
  <si>
    <t>Version</t>
  </si>
  <si>
    <t>Revision</t>
  </si>
  <si>
    <t>M7-US-1104</t>
  </si>
  <si>
    <t>r02.05</t>
  </si>
  <si>
    <t>【MSBD】購買管理</t>
  </si>
  <si>
    <t>画面説明書</t>
  </si>
  <si>
    <t>発行日</t>
  </si>
  <si>
    <t>共通（元データ）</t>
  </si>
  <si>
    <t>文書名</t>
  </si>
  <si>
    <t>モジュールID</t>
  </si>
  <si>
    <t>MS</t>
  </si>
  <si>
    <t>モジュール名</t>
  </si>
  <si>
    <t>SCM</t>
  </si>
  <si>
    <t>Rev.</t>
  </si>
  <si>
    <t>ｻﾌﾞﾓｼﾞｭｰﾙID</t>
  </si>
  <si>
    <t>MSBD</t>
  </si>
  <si>
    <t>ｻﾌﾞﾓｼﾞｭｰﾙ名</t>
  </si>
  <si>
    <t>7.0.0</t>
  </si>
  <si>
    <t>r00.01</t>
  </si>
  <si>
    <t>表題</t>
  </si>
  <si>
    <t>共通（リンク用）</t>
  </si>
  <si>
    <t>概要シート用</t>
  </si>
  <si>
    <t>サブモジュールID</t>
  </si>
  <si>
    <t>サブモジュール名</t>
  </si>
  <si>
    <t>変更内容</t>
  </si>
  <si>
    <t>変更・追加箇所</t>
  </si>
  <si>
    <t>作成更新日</t>
  </si>
  <si>
    <t>作成更新者</t>
  </si>
  <si>
    <t>備考</t>
  </si>
  <si>
    <t>0.01</t>
  </si>
  <si>
    <t>初版作成</t>
  </si>
  <si>
    <t>0.02</t>
  </si>
  <si>
    <t>レビュー対応</t>
  </si>
  <si>
    <t>帳票出力オプションの並び順変更</t>
  </si>
  <si>
    <t>画面イメージ、項目説明（カスタマイズ）</t>
  </si>
  <si>
    <t>新規発行、再発行（現品票）、再発行（現品票以外）ボタンの制御仕様</t>
  </si>
  <si>
    <t>補足説明</t>
  </si>
  <si>
    <t>協定品場合の購買単価チェックを追加する（課題No.144）</t>
  </si>
  <si>
    <t>概要（カスタマイズ）、処理詳細</t>
  </si>
  <si>
    <t>r01.01</t>
  </si>
  <si>
    <t>r02.01</t>
  </si>
  <si>
    <t>変更注文書発行予定日の行コピー欄（「コ」の欄）に「コ」を記載</t>
  </si>
  <si>
    <t>項目説明</t>
  </si>
  <si>
    <t>〃</t>
  </si>
  <si>
    <t>「変更注文書発行予定日」を「為替レート」の下に移動</t>
  </si>
  <si>
    <t>検索の欄に「発注予定ＮＯ」を追加</t>
  </si>
  <si>
    <t>「注文書発行日ＦＲＯＭ」、「注文書発行日ＴＯ」を削除</t>
  </si>
  <si>
    <t>「注文書発行日」を「注文書発行日時」に変更。</t>
  </si>
  <si>
    <t>複数明細のボリュームディスカウント単価取得機能追加に伴う修正。
・目的の表で「発注予定のまとめ対象を選択する」の補足を削除
・自由記述の「単票形式画面との差異」を削除</t>
  </si>
  <si>
    <t>概要</t>
  </si>
  <si>
    <t>「削除可能」を「取消可能」に変更</t>
  </si>
  <si>
    <t>ソート順を追加</t>
  </si>
  <si>
    <t>データアクセスコントロールを追加</t>
  </si>
  <si>
    <t>一覧ダブルクリックを追加</t>
  </si>
  <si>
    <t>画面遷移</t>
  </si>
  <si>
    <t>一覧の「負担部門」をコンボボックスから入力補助に変更</t>
  </si>
  <si>
    <t>検索に「直納区分」、「直納区分名」を追加</t>
  </si>
  <si>
    <t>一覧に「納品先部署」「納品先担当者」「配送先部署」「配送先担当者」を追加</t>
  </si>
  <si>
    <t>一覧の「結果」、「結果情報」の行コピー欄をクリア</t>
  </si>
  <si>
    <t>一覧の「納入指示回答受領日」、「納期回答受領日」、「納期回答受領数量」、「納入指示回答受領数量」の説明を修正</t>
  </si>
  <si>
    <t>画面イメージ差し替え</t>
  </si>
  <si>
    <t>画面イメージ</t>
  </si>
  <si>
    <t>r02.02</t>
  </si>
  <si>
    <t>・一覧の「外注」「製造場所」「製造場所名」「構成パタン」の項目位置を修正
・一覧の「製造場所」「構成パタン」を入力可能にしリストロジック欄をコンボボックスに修正
・一覧の「発注先」「製造場所」「メーカ」「発注予定作成元区分」の説明を修正
・一覧の「発注予定作成元ＮＯ」の行コピー欄をクリア
・共通項目４の「行コピー」の説明を修正</t>
  </si>
  <si>
    <t>MS7011#107に伴う修正</t>
  </si>
  <si>
    <t>r02.03</t>
  </si>
  <si>
    <t>標準納入ＬＴの説明を修正</t>
  </si>
  <si>
    <t>納入残数量の説明を修正</t>
  </si>
  <si>
    <t>MS7011#212に伴う修正</t>
  </si>
  <si>
    <t>r02.04</t>
  </si>
  <si>
    <t>「非同期」を追加</t>
  </si>
  <si>
    <t>MS7011#504に伴う修正</t>
  </si>
  <si>
    <t>検索欄に「ＥＤＩ対象」枠を追加</t>
  </si>
  <si>
    <t>MS7011#600に伴う修正</t>
  </si>
  <si>
    <t>一覧に以下の項目を追加。
今回ＥＤＩ、前回ＥＤＩ、ＥＤＩ予備文字列１、ＥＤＩ予備文字列２、ＥＤＩ予備文字列３、ＥＤＩ予備文字列４、ＥＤＩ予備文字列５、ＥＤＩ予備数値、ＥＤＩ予備日付、ＥＤＩ明細予備文字列１、ＥＤＩ明細予備文字列２、ＥＤＩ明細予備文字列３、ＥＤＩ明細予備文字列４、ＥＤＩ明細予備文字列５、ＥＤＩ明細予備数値、ＥＤＩ明細予備日付</t>
  </si>
  <si>
    <t>上記修正に伴い、画面イメージを修正</t>
  </si>
  <si>
    <t>【SQLID一覧】を修正</t>
  </si>
  <si>
    <t>MS7012#001に伴う修正</t>
  </si>
  <si>
    <t>ファイル入力について追記</t>
  </si>
  <si>
    <t>MS7012#004に伴う修正</t>
  </si>
  <si>
    <t>一覧の入力可、ファイル入力の対象とする項目について修正</t>
  </si>
  <si>
    <t>本ドキュメントの著作権は、東洋ビジネスエンジニアリング株式会社（B-EN-G）またはB-EN-Gのライセンサーに帰属します。</t>
  </si>
  <si>
    <t>【業務要件】</t>
  </si>
  <si>
    <t>内容</t>
  </si>
  <si>
    <t>No.</t>
  </si>
  <si>
    <t>発注登録画面または発注一覧登録画面より、注文書を発行する。画面にてオプション選択した場合には、同時に現品票も発行する。</t>
  </si>
  <si>
    <t>また、承認前に仮注文書を発行できる。</t>
  </si>
  <si>
    <t>発注登録画面または発注一覧登録画面より、発注入力時点で納品書、受領書、見積書を出力する。</t>
  </si>
  <si>
    <t>【機能概要】</t>
  </si>
  <si>
    <t>1.</t>
  </si>
  <si>
    <t>下記帳票のチェックボックスを設け、個別に出力するかを指定可能とする。</t>
  </si>
  <si>
    <t>・</t>
  </si>
  <si>
    <t>仮注文書</t>
  </si>
  <si>
    <t>現品票</t>
  </si>
  <si>
    <t>見積書</t>
  </si>
  <si>
    <t>納品書</t>
  </si>
  <si>
    <t>受領書</t>
  </si>
  <si>
    <t>注文書</t>
  </si>
  <si>
    <t>2.</t>
  </si>
  <si>
    <t>標準では伝票の最終承認後に帳票を出力可能となるが、発注入力完了時点で出力できるようにする。</t>
  </si>
  <si>
    <t>帳票出力可否の制御詳細は補足説明シートを参照。</t>
  </si>
  <si>
    <t>3.</t>
  </si>
  <si>
    <t>注文書は承認前に注文書発行でき、その場合にはタイトルを「仮注文書」とする。</t>
  </si>
  <si>
    <t>「現品票発行済ＦＬＧ」、「仮注文書発行済ＦＬＧ」をアドオンする。</t>
  </si>
  <si>
    <t>4.</t>
  </si>
  <si>
    <t>現品票は新規帳票（アドオン）とし、オプション選択にて、注文書と同時に発行できる。</t>
  </si>
  <si>
    <t>5.</t>
  </si>
  <si>
    <t>mcframe標準の納品書と同一レイアウトで受領書、見積書も出力する。（タイトルのみ異なるイメージ）</t>
  </si>
  <si>
    <t>6.</t>
  </si>
  <si>
    <t>7.</t>
  </si>
  <si>
    <t>発注登録時、協定品の場合に購買単価マスタの登録有無をチェックし、登録がない場合エラー（処理継続不可）とする。</t>
  </si>
  <si>
    <t>【前提条件】</t>
  </si>
  <si>
    <t>特になし。</t>
  </si>
  <si>
    <t>【説明】</t>
  </si>
  <si>
    <t>発注予定をもとにした発注、および計画外の発注を一括で登録する画面</t>
  </si>
  <si>
    <t>【目的】</t>
  </si>
  <si>
    <t>目的（レベル１）</t>
  </si>
  <si>
    <t>目的（レベル２）</t>
  </si>
  <si>
    <t>利用シーン/補足</t>
  </si>
  <si>
    <t>操作種別/検索モード</t>
  </si>
  <si>
    <t>発注を登録する。</t>
  </si>
  <si>
    <t>発注予定を元にした発注を登録する。</t>
  </si>
  <si>
    <t>登録する</t>
  </si>
  <si>
    <t>計画外の発注を登録する。</t>
  </si>
  <si>
    <t>ファイル入力で発注データを一括で取り込む。</t>
  </si>
  <si>
    <t>【利用シーン】</t>
  </si>
  <si>
    <t>別途用意した取り込み用のファイルを元にして一括で計画外の発注を登録する場合。</t>
  </si>
  <si>
    <t>発注を取り消す。</t>
  </si>
  <si>
    <t>発注ヘッダを取り消す。</t>
  </si>
  <si>
    <t>【補足】</t>
  </si>
  <si>
    <t>取り消す</t>
  </si>
  <si>
    <t>同一発注ヘッダの中の全明細を取り消すか、検索モードを「ヘッダ」にして取り消すと、</t>
  </si>
  <si>
    <t>注文書の取り消しとして扱われる。</t>
  </si>
  <si>
    <t>発注明細を取り消す。</t>
  </si>
  <si>
    <t>同一発注ヘッダ中の一部明細を取り消すと、注文書の訂正として扱われる。</t>
  </si>
  <si>
    <t>（取り消した明細の行削除）</t>
  </si>
  <si>
    <t>発注の進捗状況を確認する。</t>
  </si>
  <si>
    <t>発注明細の購買状況区分で発注の進捗状況を確認する。</t>
  </si>
  <si>
    <t>参照する</t>
  </si>
  <si>
    <t>納期遅れを確認・分析する。</t>
  </si>
  <si>
    <t>遅れ見込数を確認する。</t>
  </si>
  <si>
    <t>※発注明細の「遅れ見込数」を確認する。</t>
  </si>
  <si>
    <t>発注後、購買状況区分が完了になるまでの間に、どの程度の遅れ（数量）が</t>
  </si>
  <si>
    <t>見込まれるかを分析する場合。</t>
  </si>
  <si>
    <t>自由記述の「発注状況の確認および分析方法について」を参照。</t>
  </si>
  <si>
    <t>納入希望日遅れを分析する。</t>
  </si>
  <si>
    <t>検索条件の「納入希望日遅れ」をオンで検索し、納入希望日</t>
  </si>
  <si>
    <t>（発注時に指定した納入希望日）よりも遅い納入があった発注明細を</t>
  </si>
  <si>
    <t>分析する場合。</t>
  </si>
  <si>
    <t>回答納期遅れを分析する。</t>
  </si>
  <si>
    <t>検索条件の「回答納期日遅れ」をオンで検索し、</t>
  </si>
  <si>
    <t>発注先から受領した納期回答よりも遅い納入があった発注明細を分析する場合。</t>
  </si>
  <si>
    <t>進捗率を分析する。</t>
  </si>
  <si>
    <t>※発注明細の「入荷進捗率」、「仕入進捗率」で進捗の度合いを分析する。</t>
  </si>
  <si>
    <t>入荷あるいは仕入が未完了の発注明細において、</t>
  </si>
  <si>
    <t>入荷あるいは仕入の進捗がどの程度かを分析する場合。</t>
  </si>
  <si>
    <t>注文書を発行する。</t>
  </si>
  <si>
    <t>注文書を新規発行する。</t>
  </si>
  <si>
    <t>登録する、取り消す、</t>
  </si>
  <si>
    <t>注文書発行済みデータを訂正（発注ヘッダの一部明細を取り消し）することで、</t>
  </si>
  <si>
    <t>参照する、帳票発行</t>
  </si>
  <si>
    <t>注文書の改訂番号がカウントアップされる。</t>
  </si>
  <si>
    <t>納品書を発行する。</t>
  </si>
  <si>
    <t>登録する、参照する、</t>
  </si>
  <si>
    <t>帳票発行</t>
  </si>
  <si>
    <t>発注予定のまとめ対象を選択する。</t>
  </si>
  <si>
    <t>まとめる</t>
  </si>
  <si>
    <t>【発注登録】画面に遷移し、複数明細をまとめて（1明細にして）発注したい場合。</t>
  </si>
  <si>
    <t>【処理関連図/サービス関連図】</t>
  </si>
  <si>
    <t>■登録する</t>
  </si>
  <si>
    <t>検索処理</t>
  </si>
  <si>
    <t>更新処理</t>
  </si>
  <si>
    <t>※発注登録サービス以降の関連は、発注登録画面の【処理関連図/サービス関連図】を参照。</t>
  </si>
  <si>
    <t>【オペレーション一覧】</t>
  </si>
  <si>
    <t>ID</t>
  </si>
  <si>
    <t>処理名</t>
  </si>
  <si>
    <t>処理概要</t>
  </si>
  <si>
    <t>Chk01</t>
  </si>
  <si>
    <t>登録前チェック</t>
  </si>
  <si>
    <t>登録前チェック。</t>
  </si>
  <si>
    <t>Chk02</t>
  </si>
  <si>
    <t>取り消し前チェック</t>
  </si>
  <si>
    <t>取り消し前チェック。</t>
  </si>
  <si>
    <t>Srch01</t>
  </si>
  <si>
    <t>検索</t>
  </si>
  <si>
    <t>発注情報を検索する。</t>
  </si>
  <si>
    <t>Srch02</t>
  </si>
  <si>
    <t>発注予定を検索する。</t>
  </si>
  <si>
    <t>Sprt01</t>
  </si>
  <si>
    <t>予定日・マスタ取得</t>
  </si>
  <si>
    <t>予定日・マスタ取得。</t>
  </si>
  <si>
    <t>Sprt02</t>
  </si>
  <si>
    <t>単価取得</t>
  </si>
  <si>
    <t>単価再取得。</t>
  </si>
  <si>
    <t>Sprt03</t>
  </si>
  <si>
    <t>納品先取得</t>
  </si>
  <si>
    <t>納品先取得。</t>
  </si>
  <si>
    <t>Imp01</t>
  </si>
  <si>
    <t>ファイル入力</t>
  </si>
  <si>
    <t>Ins01</t>
  </si>
  <si>
    <t>登録</t>
  </si>
  <si>
    <t>Del01</t>
  </si>
  <si>
    <t>取消</t>
  </si>
  <si>
    <t>Prnt01</t>
  </si>
  <si>
    <t>注文書または納品書を発行する。</t>
  </si>
  <si>
    <t>【SQLID一覧】</t>
  </si>
  <si>
    <t>SQLID</t>
  </si>
  <si>
    <t>使用オペレーション</t>
  </si>
  <si>
    <t>目的</t>
  </si>
  <si>
    <t>MSBDL0090_MST_PO_S02</t>
  </si>
  <si>
    <t>発注情報をヘッダ単位で取得する。</t>
  </si>
  <si>
    <t>MSBDL0090_MST_PO_S02_WHERE01</t>
  </si>
  <si>
    <t>操作種別：取消選択時にMSBDL0090_MST_PO_S02に付加する条件文。</t>
  </si>
  <si>
    <t>MSBDL0090_MST_PO_S03</t>
  </si>
  <si>
    <t>発注情報を明細単位で取得する。（未使用）</t>
  </si>
  <si>
    <t>MSBDL0090_MST_PO_S03_WHERE01</t>
  </si>
  <si>
    <t>操作種別：取消選択時にMSBDL0090_MST_PO_D_S03に付加する条件文。</t>
  </si>
  <si>
    <t>MSBDL0090_MST_PO_S04</t>
  </si>
  <si>
    <t>発注情報を明細単位で取得する。</t>
  </si>
  <si>
    <t>MSBDL0090_MST_PO_D_S03</t>
  </si>
  <si>
    <t>遅れ見込み数を算出する。</t>
  </si>
  <si>
    <t>MSBDL0090_MST_PO_SCHD_S01</t>
  </si>
  <si>
    <t>発注予定を取得する。（未使用）</t>
  </si>
  <si>
    <t>MSBDL0090_MST_PO_SCHD_S02</t>
  </si>
  <si>
    <t>発注予定を取得する。</t>
  </si>
  <si>
    <t>【ソート順】</t>
  </si>
  <si>
    <t>オペレーションID</t>
  </si>
  <si>
    <t>一覧名</t>
  </si>
  <si>
    <t>ソート順</t>
  </si>
  <si>
    <t>条件</t>
  </si>
  <si>
    <t>一覧</t>
  </si>
  <si>
    <t>発注ＮＯ</t>
  </si>
  <si>
    <t>「検索モード：ヘッダ」の場合</t>
  </si>
  <si>
    <t>発注ＮＯ、発注改訂番号、表示順（非表示）</t>
  </si>
  <si>
    <t>「検索モード：明細」の場合</t>
  </si>
  <si>
    <t>発注予定ＮＯ</t>
  </si>
  <si>
    <t>【データアクセスコントロール】</t>
  </si>
  <si>
    <t>ボタン名</t>
  </si>
  <si>
    <t>データアクセスコントロール対象項目</t>
  </si>
  <si>
    <t>検索する</t>
  </si>
  <si>
    <t>発注ヘッダの購買部門</t>
  </si>
  <si>
    <t>取消、参照、帳票発行のいずれかの場合</t>
  </si>
  <si>
    <t>発注予定の購買部門</t>
  </si>
  <si>
    <t>新規登録またはまとめの場合</t>
  </si>
  <si>
    <t>更新する</t>
  </si>
  <si>
    <t>一覧の購買部門</t>
  </si>
  <si>
    <t>【自由記述】</t>
  </si>
  <si>
    <t>＜特記すべき入出力パターン＞</t>
  </si>
  <si>
    <t>■「まとめる」種別</t>
  </si>
  <si>
    <t>複数の発注予定をまとめて1つの発注明細として登録したい場合に利用する。まとめる対象の明細を選択して発注登録画面に遷移する。</t>
  </si>
  <si>
    <t>上記の発注予定まとめを行わない場合でも、同一の発注ヘッダとして登録したい明細を選択して発注登録画面に遷移するという使い方も可能。</t>
  </si>
  <si>
    <t>■同一の発注ヘッダとして登録される単位</t>
  </si>
  <si>
    <t>本画面から登録した明細は、発注ヘッダの値が同じ単位で同一の発注ヘッダとして登録される。</t>
  </si>
  <si>
    <t>以下の項目が同じ場合に同一発注ヘッダになる。</t>
  </si>
  <si>
    <t>取引ＣＤ、購買部門ＣＤ、購買担当者ＣＤ、発注先ＣＤ、発注日、変更注文書発行予定日、</t>
  </si>
  <si>
    <t>訂正理由ＣＤ、案件NO、取引通貨ＣＤ、為替レート、為替レート指定ＦＬＧ、納税為替レート、納税為替レート指定ＦＬＧ、</t>
  </si>
  <si>
    <t>注文書表示ＣＤ、取引条件ＣＤ１、取引条件備考１、取引条件ＣＤ２、取引条件備考２、取引条件ＣＤ３、取引条件備考３、</t>
  </si>
  <si>
    <t>取引備考、内部備考、注文書備考、納品書備考、予備１、予備２、予備３</t>
  </si>
  <si>
    <t>■発注状況の確認および分析方法について</t>
  </si>
  <si>
    <t>納入希望日遅れ</t>
  </si>
  <si>
    <t>発注時の納入希望日よりも後の日付で入荷実績がある場合は希望納期遅れとみなす。</t>
  </si>
  <si>
    <t>【例】</t>
  </si>
  <si>
    <t>納入希望日</t>
  </si>
  <si>
    <t>数量</t>
  </si>
  <si>
    <t>入荷日</t>
  </si>
  <si>
    <t>18日</t>
  </si>
  <si>
    <t>19日</t>
  </si>
  <si>
    <t>納入希望日の18日よりも遅い入荷があるので、納入希望日遅れとなる。</t>
  </si>
  <si>
    <t>明細の購買状況区分が「完了」の場合のみ値を表示する。</t>
  </si>
  <si>
    <t>回答納入日遅れ</t>
  </si>
  <si>
    <t>納期回答受領数量と、入荷実績数量を累積（※）し、「入荷済数量＜納期回答受領数量」となる日付が発生したら回答納期遅れとみなす。</t>
  </si>
  <si>
    <t>※納期回答受領数量は回答納入日、入荷実績数量は入荷日を使用して日付の小さい順にそれぞれの数量を加算していく。</t>
  </si>
  <si>
    <t>回答納入日</t>
  </si>
  <si>
    <t>25日</t>
  </si>
  <si>
    <t>23日</t>
  </si>
  <si>
    <t>28日</t>
  </si>
  <si>
    <t>回答納入日と入荷日日の累計を計算する。</t>
  </si>
  <si>
    <t>回答数量</t>
  </si>
  <si>
    <t>納入数量</t>
  </si>
  <si>
    <t>「入荷済数量＜納期回答受領数量」となる部分があり、回答納入日遅れとなる。</t>
  </si>
  <si>
    <t>遅れ見込み数</t>
  </si>
  <si>
    <t>受領した納期回答のうち、納入希望日よりも遅れて入荷する見込の数量。</t>
  </si>
  <si>
    <t>具体的には以下の数量を遅れ見込み数としている。</t>
  </si>
  <si>
    <t xml:space="preserve"> ・</t>
  </si>
  <si>
    <t>納入希望日を過ぎている未入荷数量</t>
  </si>
  <si>
    <t>遅れ見込数に含める</t>
  </si>
  <si>
    <t>納入希望日以前の未入荷数量</t>
  </si>
  <si>
    <t>運用日付 &lt;= 納入希望日の場合</t>
  </si>
  <si>
    <t>遅れ見込数に含めない（納入希望日までに入荷されればよい）。</t>
  </si>
  <si>
    <t>運用日付 &gt; 納入希望日の場合</t>
  </si>
  <si>
    <t>遅れ見込数に含める。</t>
  </si>
  <si>
    <t>運用日付 &lt;= 納入希望日</t>
  </si>
  <si>
    <t xml:space="preserve"> </t>
  </si>
  <si>
    <t>納入希望日までの入荷予定数量を上回る入荷実績数量がない。</t>
  </si>
  <si>
    <t>納入希望日までの入荷予定数量を上回る入荷実績数量がある。</t>
  </si>
  <si>
    <t>運用日付までの入荷実績数量</t>
  </si>
  <si>
    <t>15個</t>
  </si>
  <si>
    <t>45個</t>
  </si>
  <si>
    <t>入荷予定</t>
  </si>
  <si>
    <t>10個</t>
  </si>
  <si>
    <t>20個</t>
  </si>
  <si>
    <t>30個</t>
  </si>
  <si>
    <t>40個</t>
  </si>
  <si>
    <t>10日</t>
  </si>
  <si>
    <t>15日</t>
  </si>
  <si>
    <t>20日</t>
  </si>
  <si>
    <t>運用日付</t>
  </si>
  <si>
    <t>12日</t>
  </si>
  <si>
    <t>遅れ見込数</t>
  </si>
  <si>
    <t>70個</t>
  </si>
  <si>
    <t>30 + 40 = 70</t>
  </si>
  <si>
    <t>55個</t>
  </si>
  <si>
    <t>(10 + 20 - 45) + (30 + 40) = 55</t>
  </si>
  <si>
    <t>運用日付 &gt; 納入希望日</t>
  </si>
  <si>
    <t>24日</t>
  </si>
  <si>
    <t>85個</t>
  </si>
  <si>
    <t>(10 + 20 - 15) + (30 + 40) = 85</t>
  </si>
  <si>
    <t>進捗率</t>
  </si>
  <si>
    <t>入荷予定数量に対する入荷実績数量、仕入予定数量に対する仕入実績数量が、「入荷進捗率」、「仕入進捗率」として表示される。</t>
  </si>
  <si>
    <t>進捗率は以下の式で計算される。</t>
  </si>
  <si>
    <t>入荷進捗率＝入荷数量 / 発注数量 × 100</t>
  </si>
  <si>
    <t>仕入進捗率＝仕入数量 / 発注数量 × 100</t>
  </si>
  <si>
    <t>納入希望日時を過ぎている発注明細のうち進捗率の悪いものを抽出するといった検索ができる。</t>
  </si>
  <si>
    <t>※検索条件の納入希望日時、入荷進捗率、仕入進捗率を使用する。</t>
  </si>
  <si>
    <t>購買状況区分</t>
  </si>
  <si>
    <t>発注のステータスは「購買状況区分」で確認できる。「購買状況区分」には以下の種類がある。</t>
  </si>
  <si>
    <t>No</t>
  </si>
  <si>
    <t>購買状況区分名</t>
  </si>
  <si>
    <t>発注明細の状況</t>
  </si>
  <si>
    <t>発注済</t>
  </si>
  <si>
    <t>発注済の状態</t>
  </si>
  <si>
    <t>納期回答受領済</t>
  </si>
  <si>
    <t>発注に対して納期回答を受領した状態</t>
  </si>
  <si>
    <t>納期回答反映済</t>
  </si>
  <si>
    <t>発注に対して受領した納期回答を入荷予定に反映した状態</t>
  </si>
  <si>
    <t>納入指示済</t>
  </si>
  <si>
    <t>納入指示を行った状態</t>
  </si>
  <si>
    <t>納入指示回答受領済</t>
  </si>
  <si>
    <t>納入指示に対して納期回答を受領した状態</t>
  </si>
  <si>
    <t>納入指示回答反映済</t>
  </si>
  <si>
    <t>納入指示に対して受領した納期回答を入荷予定に反映した状態</t>
  </si>
  <si>
    <t>入荷済</t>
  </si>
  <si>
    <t>入荷が完了した状態</t>
  </si>
  <si>
    <t>仕入済</t>
  </si>
  <si>
    <t>仕入が完了した状態</t>
  </si>
  <si>
    <t>完了</t>
  </si>
  <si>
    <t>入荷と仕入の両方が、完了あるいは打切りされた状態</t>
  </si>
  <si>
    <t>■予定日・マスタ取得</t>
  </si>
  <si>
    <t>以下の項目を設定する。</t>
  </si>
  <si>
    <t>マスタから取得する項目</t>
  </si>
  <si>
    <t>版適用期間マスタ：版ＮＯ</t>
  </si>
  <si>
    <t>※画面で版ＮＯが指定されていない場合のみ</t>
  </si>
  <si>
    <t>品目詳細マスタ：発注先、メーカ</t>
  </si>
  <si>
    <t>※画面で発注先が指定されていない場合のみ</t>
  </si>
  <si>
    <t>取引先マスタ：取引通貨</t>
  </si>
  <si>
    <t>依頼元使用可能希望日を元にして日付計算する項目</t>
  </si>
  <si>
    <t>納入希望日、仕入予定日</t>
  </si>
  <si>
    <t>■ファイル入力について</t>
  </si>
  <si>
    <t>ファイルから入力する場合、ファイルに値を指定していない項目についてはマスタ等から値を補完する処理を行う。</t>
  </si>
  <si>
    <t>ただし、MCAppServerリソースに次のリソースキーを指定することにより補完しない動作とすることもできる。</t>
  </si>
  <si>
    <t>リソースキー：MSBDL0090.Imp01.項目名.会社ＣＤ</t>
  </si>
  <si>
    <t>値：false</t>
  </si>
  <si>
    <t>※「項目名」は、itm_cdなどの物理名を指定する。「会社ＣＤ」は省略可能。</t>
  </si>
  <si>
    <t>※任意入力の項目について、値を補完せずに空欄のままとしたい場合に使用する。</t>
  </si>
  <si>
    <t>変更</t>
  </si>
  <si>
    <t>操作種別</t>
  </si>
  <si>
    <t>説明</t>
  </si>
  <si>
    <t>リ</t>
  </si>
  <si>
    <t>型</t>
  </si>
  <si>
    <t>参</t>
  </si>
  <si>
    <t>コ</t>
  </si>
  <si>
    <t>入</t>
  </si>
  <si>
    <t>非</t>
  </si>
  <si>
    <t>Ｏ</t>
  </si>
  <si>
    <t>●</t>
  </si>
  <si>
    <t>R</t>
  </si>
  <si>
    <t>検索モード</t>
  </si>
  <si>
    <t>明細</t>
  </si>
  <si>
    <t>ヘッダ</t>
  </si>
  <si>
    <t>○</t>
  </si>
  <si>
    <t>未発行</t>
  </si>
  <si>
    <t>未発行データを検索対象とする場合にオンにする。</t>
  </si>
  <si>
    <t>F</t>
  </si>
  <si>
    <t>再発行</t>
  </si>
  <si>
    <t>再発行データを検索対象とする場合にオンにする。</t>
  </si>
  <si>
    <t>検索 &gt; 発注承認状況</t>
  </si>
  <si>
    <t>未承認</t>
  </si>
  <si>
    <t>発注承認状況が未承認のデータを検索対象とする場合にオンにする。</t>
  </si>
  <si>
    <t>一次承認済</t>
  </si>
  <si>
    <t>発注承認状況が一次承認済のデータを検索対象とする場合にオンにする。</t>
  </si>
  <si>
    <t>最終承認済</t>
  </si>
  <si>
    <t>発注承認状況が最終承認済のデータを検索対象とする場合にオンにする。</t>
  </si>
  <si>
    <t>却下</t>
  </si>
  <si>
    <t>発注承認状況が却下のデータを検索対象とする場合にオンにする。</t>
  </si>
  <si>
    <t>否認</t>
  </si>
  <si>
    <t>発注承認状況が否認のデータを検索対象とする場合にオンにする。</t>
  </si>
  <si>
    <t>対象外</t>
  </si>
  <si>
    <t>発注承認状況が対象外のデータを検索対象とする場合にオンにする。</t>
  </si>
  <si>
    <t>検索 &gt; 諸口品</t>
  </si>
  <si>
    <t>通常品</t>
  </si>
  <si>
    <t>品目が通常品のデータを検索対象とする場合にオンにする。</t>
  </si>
  <si>
    <t>諸口品</t>
  </si>
  <si>
    <t>品目が諸口品のデータを検索対象とする場合にオンにする。</t>
  </si>
  <si>
    <t>検索 &gt; Ｉ／Ｖ取引対象</t>
  </si>
  <si>
    <t>対象</t>
  </si>
  <si>
    <t>発注先がインボイス取引対象のデータを検索対象とする場合にオンにする。</t>
  </si>
  <si>
    <t>発注先がインボイス取引対象ではないデータを検索対象とする場合にオンにする。</t>
  </si>
  <si>
    <t>検索 &gt; ＥＤＩ対象</t>
  </si>
  <si>
    <t>・「登録する」「まとめる」種別
　発注先がＥＤＩ発注送信対象の発注予定を検索する場合にオンにする。
・「取り消す」「参照する」「帳票発行」
　ＥＤＩで発注送信した発注データを検索する場合にオンにする。</t>
  </si>
  <si>
    <t>・「登録する」「まとめる」種別
　発注先がＥＤＩ発注送信対象外の発注予定を検索する場合にオンにする。
・「取り消す」「参照する」「帳票発行」
　ＥＤＩで発注送信していない発注データを検索する場合にオンにする。</t>
  </si>
  <si>
    <t>検索 &gt; 入荷</t>
  </si>
  <si>
    <t>未入荷</t>
  </si>
  <si>
    <t>未入荷のデータを検索対象とする場合にオンにする。
※入荷実績の発生していないデータ</t>
  </si>
  <si>
    <t>一部入荷</t>
  </si>
  <si>
    <t>一部入荷のデータを検索対象とする場合にオンにする。
※「入荷数量＜発注数量」かつ、入荷予定が打切りされていないデータ</t>
  </si>
  <si>
    <t>入荷完了</t>
  </si>
  <si>
    <t>入荷完了のデータを検索対象とする場合にオンにする。
※「発注数量≦入荷数量」となっているか、入荷予定が打切りされているデータ</t>
  </si>
  <si>
    <t>検索 &gt; 仕入</t>
  </si>
  <si>
    <t>未仕入</t>
  </si>
  <si>
    <t>未仕入のデータを検索対象とする場合にオンにする。
※仕入実績の発生していないデータ</t>
  </si>
  <si>
    <t>一部仕入</t>
  </si>
  <si>
    <t>一部仕入のデータを検索対象とする場合にオンにする。
※「仕入数量＋検収不良数量＜発注数量」かつ、仕入予定が打切りされていないデータ</t>
  </si>
  <si>
    <t>仕入完了</t>
  </si>
  <si>
    <t>仕入完了のデータを検索対象とする場合にオンにする。
※「発注数量≦仕入数量＋検収不良数量」となっているか、仕入予定が打切りされているデータ</t>
  </si>
  <si>
    <t>納入希望日ＦＲＯＭ</t>
  </si>
  <si>
    <t>D</t>
  </si>
  <si>
    <t>納入希望時刻ＦＲＯＭ</t>
  </si>
  <si>
    <t>H</t>
  </si>
  <si>
    <t>納入希望日ＴＯ</t>
  </si>
  <si>
    <t>納入希望時刻ＴＯ</t>
  </si>
  <si>
    <t>依頼元納入希望日ＦＲＯＭ</t>
  </si>
  <si>
    <t>依頼元納入希望時刻ＦＲＯＭ</t>
  </si>
  <si>
    <t>依頼元納入希望日ＴＯ</t>
  </si>
  <si>
    <t>依頼元納入希望時刻ＴＯ</t>
  </si>
  <si>
    <t>発注予定日ＦＲＯＭ</t>
  </si>
  <si>
    <t>発注予定日ＴＯ</t>
  </si>
  <si>
    <t>発注予定日が指定された日付以前のデータを検索する。登録対象のデータを検索する場合などに使用する。</t>
  </si>
  <si>
    <t>発注日ＦＲＯＭ</t>
  </si>
  <si>
    <t>発注日ＴＯ</t>
  </si>
  <si>
    <t>請書受領</t>
  </si>
  <si>
    <t>請書を受領したデータを検索対象とする場合にオンにする。</t>
  </si>
  <si>
    <t>請書受領日ＦＲＯＭ</t>
  </si>
  <si>
    <t>請書受領日ＴＯ</t>
  </si>
  <si>
    <t>納入指示日ＦＲＯＭ</t>
  </si>
  <si>
    <t>納入指示日ＴＯ</t>
  </si>
  <si>
    <t>入荷日ＦＲＯＭ</t>
  </si>
  <si>
    <t>入荷時刻ＦＲＯＭ</t>
  </si>
  <si>
    <t>入荷日ＴＯ</t>
  </si>
  <si>
    <t>入荷時刻ＴＯ</t>
  </si>
  <si>
    <t>C</t>
  </si>
  <si>
    <t>S</t>
  </si>
  <si>
    <t>発注先</t>
  </si>
  <si>
    <t>I</t>
  </si>
  <si>
    <t>発注先名</t>
  </si>
  <si>
    <t>下請対象</t>
  </si>
  <si>
    <t>発注先が下請対象のデータを検索対象とする場合にオンにする。</t>
  </si>
  <si>
    <t>業者ロットＮＯ</t>
  </si>
  <si>
    <t>工場・物流倉庫</t>
  </si>
  <si>
    <t>工場・物流倉庫名</t>
  </si>
  <si>
    <t>納入場所ＷＧ</t>
  </si>
  <si>
    <t>納入場所ＷＧ名</t>
  </si>
  <si>
    <t>納入場所</t>
  </si>
  <si>
    <t>納入場所名</t>
  </si>
  <si>
    <t>棚・ライン</t>
  </si>
  <si>
    <t>棚・ライン名</t>
  </si>
  <si>
    <t>納品先</t>
  </si>
  <si>
    <t>納品先名</t>
  </si>
  <si>
    <t>品目区分</t>
  </si>
  <si>
    <t>品目区分名</t>
  </si>
  <si>
    <t>品目区分詳細</t>
  </si>
  <si>
    <t>品目区分詳細名</t>
  </si>
  <si>
    <t>品目</t>
  </si>
  <si>
    <t>枝番１</t>
  </si>
  <si>
    <t>枝番２</t>
  </si>
  <si>
    <t>枝番３</t>
  </si>
  <si>
    <t>品名</t>
  </si>
  <si>
    <t>版ＮＯ</t>
  </si>
  <si>
    <t>医</t>
  </si>
  <si>
    <t>手配ＮＯ１</t>
  </si>
  <si>
    <t>手配ＮＯ２</t>
  </si>
  <si>
    <t>手配ＮＯ３</t>
  </si>
  <si>
    <t>手配ＮＯ４</t>
  </si>
  <si>
    <t>案件ＮＯ</t>
  </si>
  <si>
    <t>案件名</t>
  </si>
  <si>
    <t>資産管理区分</t>
  </si>
  <si>
    <t>資産管理区分名</t>
  </si>
  <si>
    <t>購買担当者</t>
  </si>
  <si>
    <t>購買担当者名</t>
  </si>
  <si>
    <t>購買部門</t>
  </si>
  <si>
    <t>購買部門名</t>
  </si>
  <si>
    <t>ＷＧ</t>
  </si>
  <si>
    <t>ＷＧ名</t>
  </si>
  <si>
    <t>債務部門</t>
  </si>
  <si>
    <t>債務部門名</t>
  </si>
  <si>
    <t>直納区分</t>
  </si>
  <si>
    <t>直納区分名</t>
  </si>
  <si>
    <t>発注予定作成元区分</t>
  </si>
  <si>
    <t>発注予定作成元区分名</t>
  </si>
  <si>
    <t>発注予定作成元ＮＯ</t>
  </si>
  <si>
    <t>発注明細ＮＯ</t>
  </si>
  <si>
    <t>受注ＮＯ</t>
  </si>
  <si>
    <t>受注に紐づいた発注を検索する場合に指定する。
紐切れ（明細の紐切れがオン）の発注明細は、紐切れになる前の受注ＮＯで検索できる。
　※紐切れがオンになっても、発注明細の受注ＮＯには紐切れになる前の受注ＮＯが残っているため
まとめを行った発注明細（明細のまとめがオン）は、まとめる前の発注予定に受注紐づきのデータがあっても、まとめ後の発注明細は受注ＮＯが設定されないので、受注ＮＯで検索できない。</t>
  </si>
  <si>
    <t>受注明細ＮＯ</t>
  </si>
  <si>
    <t>受注に紐づいた発注を検索する場合に指定する。
紐切れ（明細の紐切れがオン）の発注明細は、紐切れになる前の受注明細ＮＯで検索できる。
　※紐切れがオンになっても、発注明細の受注明細ＮＯには紐切れになる前の受注明細ＮＯが残っているため
まとめを行った発注明細（明細のまとめがオン）は、まとめる前の発注予定に受注紐づきのデータがあっても、まとめ後の発注明細は受注明細ＮＯが設定されないので、受注明細ＮＯで検索できない。</t>
  </si>
  <si>
    <t>承認ＮＯ</t>
  </si>
  <si>
    <t>メーカ</t>
  </si>
  <si>
    <t>メーカ名</t>
  </si>
  <si>
    <t>通貨</t>
  </si>
  <si>
    <t>通貨名</t>
  </si>
  <si>
    <t>入荷進捗率（以上）</t>
  </si>
  <si>
    <t>分析を目的として、予定と実績の乖離が大きいデータを検索する場合に使用する。また、残数量分の打切登録に漏れがないかを確認する場合などにも使用する。
例：「99%など、ほぼ完了に近い数値を指定」「予定日が過去日のデータ」「完了：オフ」として検索することで、実際には業務が完了しているがシステムへの打切登録が漏れているデータがないかを確認する想定</t>
  </si>
  <si>
    <t>N</t>
  </si>
  <si>
    <t>入荷進捗率（以下）</t>
  </si>
  <si>
    <t>分析を目的として、予定と実績の乖離が大きいデータを検索する場合に使用する。</t>
  </si>
  <si>
    <t>仕入進捗率（以上）</t>
  </si>
  <si>
    <t>分析を目的として、予定と実績の乖離が大きいデータを検索する場合に使用する。また、残数量分の打切登録に漏れがないかを確認する場合などにも使用する。
例：「99%など、ほぼ完了に近い数値を指定」「予定日が過去日のデータ」「完了：オフ」として検索することで、実際には業務が完了しているがシステムへの打切登録が漏れているデータがないかを確認する想定。</t>
  </si>
  <si>
    <t>仕入進捗率（以下）</t>
  </si>
  <si>
    <t>回答納入日遅れのデータを検索対象とする場合にオンにする（明細の回答納入日遅れがオンのデータ）。</t>
  </si>
  <si>
    <t>納入希望日遅れのデータを検索対象とする場合にオンにする（明細の納入希望日遅れがオンのデータ）。</t>
  </si>
  <si>
    <t>取消含む</t>
  </si>
  <si>
    <t>取消データを検索対象に含める場合にオンにする。</t>
  </si>
  <si>
    <t>打切含む</t>
  </si>
  <si>
    <t>打切データを検索対象に含める場合にオンにする。</t>
  </si>
  <si>
    <t>発注連絡備考</t>
  </si>
  <si>
    <t>取引備考</t>
  </si>
  <si>
    <t>内部備考</t>
  </si>
  <si>
    <t>注文書備考</t>
  </si>
  <si>
    <t>納品書備考</t>
  </si>
  <si>
    <t>内部明細備考</t>
  </si>
  <si>
    <t>取引明細備考</t>
  </si>
  <si>
    <t>注文書明細備考</t>
  </si>
  <si>
    <t>納品書明細備考</t>
  </si>
  <si>
    <t>発注予定予備１</t>
  </si>
  <si>
    <t>発注予定予備２</t>
  </si>
  <si>
    <t>発注予定予備３</t>
  </si>
  <si>
    <t>予備１</t>
  </si>
  <si>
    <t>予備２</t>
  </si>
  <si>
    <t>予備３</t>
  </si>
  <si>
    <t>明細予備１</t>
  </si>
  <si>
    <t>明細予備２</t>
  </si>
  <si>
    <t>明細予備３</t>
  </si>
  <si>
    <t>発注先分類</t>
  </si>
  <si>
    <t>発注先分類１</t>
  </si>
  <si>
    <t>取引先分類ＣＤ１</t>
  </si>
  <si>
    <t>取引先分類名１</t>
  </si>
  <si>
    <t>発注先分類２</t>
  </si>
  <si>
    <t>取引先分類ＣＤ２</t>
  </si>
  <si>
    <t>取引先分類名２</t>
  </si>
  <si>
    <t>発注先分類３</t>
  </si>
  <si>
    <t>取引先分類ＣＤ３</t>
  </si>
  <si>
    <t>取引先分類名３</t>
  </si>
  <si>
    <t>発注先分類４</t>
  </si>
  <si>
    <t>取引先分類ＣＤ４</t>
  </si>
  <si>
    <t>取引先分類名４</t>
  </si>
  <si>
    <t>発注先分類５</t>
  </si>
  <si>
    <t>取引先分類ＣＤ５</t>
  </si>
  <si>
    <t>取引先分類名５</t>
  </si>
  <si>
    <t>発注先分類６</t>
  </si>
  <si>
    <t>取引先分類ＣＤ６</t>
  </si>
  <si>
    <t>取引先分類名６</t>
  </si>
  <si>
    <t>発注先分類７</t>
  </si>
  <si>
    <t>取引先分類ＣＤ７</t>
  </si>
  <si>
    <t>取引先分類名７</t>
  </si>
  <si>
    <t>発注先分類８</t>
  </si>
  <si>
    <t>取引先分類ＣＤ８</t>
  </si>
  <si>
    <t>取引先分類名８</t>
  </si>
  <si>
    <t>発注先分類９</t>
  </si>
  <si>
    <t>取引先分類ＣＤ９</t>
  </si>
  <si>
    <t>取引先分類名９</t>
  </si>
  <si>
    <t>発注先分類１０</t>
  </si>
  <si>
    <t>取引先分類ＣＤ１０</t>
  </si>
  <si>
    <t>取引先分類名１０</t>
  </si>
  <si>
    <t>品目分類</t>
  </si>
  <si>
    <t>品目分類１</t>
  </si>
  <si>
    <t>品目分類ＣＤ１</t>
  </si>
  <si>
    <t>品目分類名１</t>
  </si>
  <si>
    <t>品目分類２</t>
  </si>
  <si>
    <t>品目分類ＣＤ２</t>
  </si>
  <si>
    <t>品目分類名２</t>
  </si>
  <si>
    <t>品目分類３</t>
  </si>
  <si>
    <t>品目分類ＣＤ３</t>
  </si>
  <si>
    <t>品目分類名３</t>
  </si>
  <si>
    <t>品目分類４</t>
  </si>
  <si>
    <t>品目分類ＣＤ４</t>
  </si>
  <si>
    <t>品目分類名４</t>
  </si>
  <si>
    <t>品目分類５</t>
  </si>
  <si>
    <t>品目分類ＣＤ５</t>
  </si>
  <si>
    <t>品目分類名５</t>
  </si>
  <si>
    <t>品目分類６</t>
  </si>
  <si>
    <t>品目分類ＣＤ６</t>
  </si>
  <si>
    <t>品目分類名６</t>
  </si>
  <si>
    <t>品目分類７</t>
  </si>
  <si>
    <t>品目分類ＣＤ７</t>
  </si>
  <si>
    <t>品目分類名７</t>
  </si>
  <si>
    <t>品目分類８</t>
  </si>
  <si>
    <t>品目分類ＣＤ８</t>
  </si>
  <si>
    <t>品目分類名８</t>
  </si>
  <si>
    <t>品目分類９</t>
  </si>
  <si>
    <t>品目分類ＣＤ９</t>
  </si>
  <si>
    <t>品目分類名９</t>
  </si>
  <si>
    <t>品目分類１０</t>
  </si>
  <si>
    <t>品目分類ＣＤ１０</t>
  </si>
  <si>
    <t>品目分類名１０</t>
  </si>
  <si>
    <t>共通項目１</t>
  </si>
  <si>
    <t>開く</t>
  </si>
  <si>
    <t>B</t>
  </si>
  <si>
    <t>閉じる</t>
  </si>
  <si>
    <t>共通項目２</t>
  </si>
  <si>
    <t>ダウンロードする</t>
  </si>
  <si>
    <t>共通項目３</t>
  </si>
  <si>
    <t>発注日</t>
  </si>
  <si>
    <t>明細の発注日に反映する値を指定する。</t>
  </si>
  <si>
    <t>明細の購買担当者に反映する値を指定する。</t>
  </si>
  <si>
    <t>明細の購買部門に反映する値を指定する。</t>
  </si>
  <si>
    <t>同一ヘッダ選択</t>
  </si>
  <si>
    <t>操作種別が「まとめる」の場合に指定できる。同一の発注ヘッダとして登録可能な明細をまとめて選択する場合にオンにする。</t>
  </si>
  <si>
    <t>非同期</t>
  </si>
  <si>
    <t>ファイル入力時のチェック、発注の登録を非同期実行する場合にオンにする。
プッシュメッセージ確認画面からサーバ処理確認画面に遷移し、データ確認ボタンを押下すると、本画面が開かれ、実行結果が表示される。</t>
  </si>
  <si>
    <t>選択</t>
  </si>
  <si>
    <t>処理対象とする行に対してオンにする。</t>
  </si>
  <si>
    <t>取引</t>
  </si>
  <si>
    <t>取引名</t>
  </si>
  <si>
    <t>発注予定日</t>
  </si>
  <si>
    <t>発注予定の発注予定日を表示する。</t>
  </si>
  <si>
    <t>発注した日付を指定する。注文書の「注文依頼日」に表示される。</t>
  </si>
  <si>
    <t>注文書発行日時</t>
  </si>
  <si>
    <t>注文書が発行されたシステム日時を表示する。</t>
  </si>
  <si>
    <t>注文書改訂番号</t>
  </si>
  <si>
    <t>注文書発行済</t>
  </si>
  <si>
    <t>入荷する場所を指定する。</t>
  </si>
  <si>
    <t>住所表示</t>
  </si>
  <si>
    <t>ボタンを押下すると住所画面に遷移する。遷移先画面で住所を確認できる。</t>
  </si>
  <si>
    <t>納入場所郵便番号</t>
  </si>
  <si>
    <t>納入場所住所１</t>
  </si>
  <si>
    <t>納入場所住所２</t>
  </si>
  <si>
    <t>納入場所住所３</t>
  </si>
  <si>
    <t>納入場所住所４</t>
  </si>
  <si>
    <t>納入場所ＴＥＬ</t>
  </si>
  <si>
    <t>以下のいずれかの値を表示する。「1：経由」「2：直送」
仕入直送あるいは支給直送の場合に「2：直送」、それ以外の取引の場合に「1：経由」となる。
※仕入直送：仕入直送の受注に紐づく発注の場合
※支給直送：納入場所が外注場所（場所マスタで発注先に値が設定されている場所）の場合</t>
  </si>
  <si>
    <t>無</t>
  </si>
  <si>
    <t>棚・ラインを指定しない場合にオンにする。</t>
  </si>
  <si>
    <t>依頼元使用可能希望日</t>
  </si>
  <si>
    <t>発注の依頼元（生産計画や受注などを登録した部門）が使用を希望する日付を指定する。発注予定を引き継ぐ場合は入力できない。</t>
  </si>
  <si>
    <t>品目が諸口品の場合に指定できる。
発注予定を引き継ぐ場合は入力できない。</t>
  </si>
  <si>
    <t>品目マスタで「諸口品」がオンの品目が指定されている場合にオンになる。</t>
  </si>
  <si>
    <t>以下のいずれかの値を表示する。「1：商品」「2：製品」「3：中間品」「4：部品」「5：資材」「6：原料」「7：架空品」「9：その他」</t>
  </si>
  <si>
    <t>外注品を計画発注する場合（発注予定に紐づき「外注」がオンの場合）は発注予定の値を引き継ぐのみで、入力できない。</t>
  </si>
  <si>
    <t>CI</t>
  </si>
  <si>
    <t>外注</t>
  </si>
  <si>
    <t>製造場所</t>
  </si>
  <si>
    <t>計画外発注の場合に製造場所を指定する。製造場所を指定すると「外注」がオンになる。計画外発注の新規登録時以外は、入力不可。</t>
  </si>
  <si>
    <t>製造場所名</t>
  </si>
  <si>
    <t>構成パタン</t>
  </si>
  <si>
    <t>計画外発注の場合に構成パタンを指定する。計画外発注の新規登録時以外は、入力不可。</t>
  </si>
  <si>
    <t>発注先国</t>
  </si>
  <si>
    <t>発注先国名</t>
  </si>
  <si>
    <t>発注先郵便番号</t>
  </si>
  <si>
    <t>発注先住所１</t>
  </si>
  <si>
    <t>発注先住所２</t>
  </si>
  <si>
    <t>発注先住所３</t>
  </si>
  <si>
    <t>発注先住所４</t>
  </si>
  <si>
    <t>発注先ＴＥＬ</t>
  </si>
  <si>
    <t>発注先ＦＡＸ</t>
  </si>
  <si>
    <t>発注先部署</t>
  </si>
  <si>
    <t>発注先担当者</t>
  </si>
  <si>
    <t>価格印字</t>
  </si>
  <si>
    <t>納品書に金額項目を印字する場合にオンにする。取引先マスタの発注先納品書が指定されている場合に入力できる。</t>
  </si>
  <si>
    <t>Ｉ／Ｖ取引対象</t>
  </si>
  <si>
    <t>発注先に指定された取引先がインボイス取引対象の場合にオンになる。
※取引先マスタの発注先インボイス取引ＦＬＧ：オン</t>
  </si>
  <si>
    <t>発注先に指定された取引先が下請対象の場合にオンになる。
※取引先マスタの下請対象ＦＬＧ：オン</t>
  </si>
  <si>
    <t>注文書表示</t>
  </si>
  <si>
    <t>注文書に表示する文言（取引の条件など）を指定する。
表示する内容は注文書表示マスタに設定する。</t>
  </si>
  <si>
    <t>注文書表示名</t>
  </si>
  <si>
    <t>発注先品目</t>
  </si>
  <si>
    <t>発注先品名</t>
  </si>
  <si>
    <t>Ｉ／Ｖ表記品名</t>
  </si>
  <si>
    <t>インボイス取引の発注先の場合に表示する。発注先の帳票出力ロケールでの品名を表示する。諸口品の場合に指定可能。</t>
  </si>
  <si>
    <t>買掛先</t>
  </si>
  <si>
    <t>買掛先名</t>
  </si>
  <si>
    <t>発注の依頼元（生産計画や受注などを登録した部門）が納入を希望する日付を指定する。
依頼元使用可能希望日を入力すると、マスタに定義されているリードタイム等をもとにして日付を自動計算して表示する。</t>
  </si>
  <si>
    <t>納入希望時刻</t>
  </si>
  <si>
    <t>納入を希望する時刻を指定する。</t>
  </si>
  <si>
    <t>依頼元納入希望日</t>
  </si>
  <si>
    <t>依頼元納入希望時刻</t>
  </si>
  <si>
    <t>仕入予定日</t>
  </si>
  <si>
    <t>仕入計上の予定日を指定する。
購買識別区分が「ＶＭＩ」あるいは「無償受給」の場合は入力できない。
納入希望日を入力するとマスタに定義されているリードタイム等をもとにして日付を自動計算して表示する。</t>
  </si>
  <si>
    <t>同時計上</t>
  </si>
  <si>
    <t>入荷、仕入を同時に上する場合にオンにする（入荷実績登録や仕入実績登録で入荷と仕入を同時計上する場合にオン）。
仕入予定日と納入希望日が同じでも入荷と仕入を別々に計上する場合はオフにする。
詳細は、【M7-US-1104_MSBDP0080_画面説明書（発注登録）】の自由記述「入荷実績、仕入実績を計上する順番」を参照。</t>
  </si>
  <si>
    <t>諸口</t>
  </si>
  <si>
    <t>取引先マスタで「納品先諸口品」がオンの納品先が指定されている場合にオンになる。</t>
  </si>
  <si>
    <t>納品先住所表示</t>
  </si>
  <si>
    <t>納品先国</t>
  </si>
  <si>
    <t>納品先国名</t>
  </si>
  <si>
    <t>納品先郵便番号</t>
  </si>
  <si>
    <t>納品先住所１</t>
  </si>
  <si>
    <t>納品先住所２</t>
  </si>
  <si>
    <t>納品先住所３</t>
  </si>
  <si>
    <t>納品先住所４</t>
  </si>
  <si>
    <t>納品先ＴＥＬ</t>
  </si>
  <si>
    <t>納品先ＦＡＸ</t>
  </si>
  <si>
    <t>納品先部署</t>
  </si>
  <si>
    <t>納品先担当者</t>
  </si>
  <si>
    <t>配送先</t>
  </si>
  <si>
    <t>配送先名</t>
  </si>
  <si>
    <t>取引先マスタで「納品先諸口品」がオンの配送先が指定されている場合にオンになる。</t>
  </si>
  <si>
    <t>配送先住所表示</t>
  </si>
  <si>
    <t>配送先国</t>
  </si>
  <si>
    <t>配送先国名</t>
  </si>
  <si>
    <t>配送先郵便番号</t>
  </si>
  <si>
    <t>配送先住所１</t>
  </si>
  <si>
    <t>配送先住所２</t>
  </si>
  <si>
    <t>配送先住所３</t>
  </si>
  <si>
    <t>配送先住所４</t>
  </si>
  <si>
    <t>配送先ＴＥＬ</t>
  </si>
  <si>
    <t>配送先ＦＡＸ</t>
  </si>
  <si>
    <t>配送先部署</t>
  </si>
  <si>
    <t>配送先担当者</t>
  </si>
  <si>
    <t>購買識別区分</t>
  </si>
  <si>
    <t>「1：通常購買」「2：無償受給」「3：有償受給」「4：ＶＭＩ」のいずれかの値を指定する。
・外注品を発注する場合（明細の「外注」がオンの場合）、通常購買、有償受給が指定可能
・仕入直送の場合、通常購買が指定可能
・値引品目を発注する場合、通常購買が指定可能
　※品目マスタの値引品目ＦＬＧ：オン
・在庫管理しない品目を発注する場合、ＶＭＩは指定できない
・資産管理しない品目を発注する場合、ＶＭＩは指定できない
・支給直送の場合、ＶＭＩは指定できない
・入荷不要の品目を発注する場合、無償受給は指定できない
　※品目マスタの入荷不要ＦＬＧ：オン</t>
  </si>
  <si>
    <t>購買識別区分名</t>
  </si>
  <si>
    <t>発注先から注文請書を受領した場合にオンにする。このフラグによる動作の制御はない。</t>
  </si>
  <si>
    <t>請書受領日</t>
  </si>
  <si>
    <t>請書受領がオンの場合に入力可能。発注先から注文請書を受領した日付を指定する。</t>
  </si>
  <si>
    <t>単位</t>
  </si>
  <si>
    <t>発注する単位（取引単位）を指定する。値引品の場合は基準単位で固定。</t>
  </si>
  <si>
    <t>単位名</t>
  </si>
  <si>
    <t>発注する数量（取引単位）を指定する。値引品の場合は「1」で固定。</t>
  </si>
  <si>
    <t>基準単位</t>
  </si>
  <si>
    <t>基準単位名</t>
  </si>
  <si>
    <t>基準単位数量</t>
  </si>
  <si>
    <t>標準有効成分</t>
  </si>
  <si>
    <t>標準有効成分係数</t>
  </si>
  <si>
    <t>有効成分単位</t>
  </si>
  <si>
    <t>有効成分単位名</t>
  </si>
  <si>
    <t>取引通貨を指定する。</t>
  </si>
  <si>
    <t>支払繰越回数</t>
  </si>
  <si>
    <t>初期値は品目マスタあるいは取引先マスタの支払繰越回数が表示される（品目マスタの値を優先して表示する）。
購買識別区分が「ＶＭＩ」あるいは「無償受給」の場合は入力できない。</t>
  </si>
  <si>
    <t>購買単価取得区分</t>
  </si>
  <si>
    <t>単価マスタを取得する基準日。
「1：発注日」「2：入荷予定日」「3：仕入予定日」のいずれかの値を指定する。購買識別区分が「ＶＭＩ」あるいは「無償受給」の場合は入力できない。
詳細は【M7-US-0304_MS_機能概要（購買管理）】を参照。</t>
  </si>
  <si>
    <t>購買単価取得区分名</t>
  </si>
  <si>
    <t>取得対象外</t>
  </si>
  <si>
    <t>単価取得ボタン押下時及び登録時に単価をマスタ取得しない場合にオンにする。
オンにした場合はマニュアルで単価を入力する。
※単価マスタが登録されていないケースでオンにする。
　運賃などで単価が毎回異なるような品目を入力した場合や、値引品目を入力して値引額をマニュアルで指定する場合にオンにすることを想定。</t>
  </si>
  <si>
    <t>単価</t>
  </si>
  <si>
    <t>注文する単価を指定する。
品目マスタ、取引先マスタの購買単価変更許可ＦＬＧのうち、どちらか一方がオンであれば入力できる。
ただし、購買識別区分が「ＶＭＩ」あるいは「無償受給」の場合は入力できない。
　※単価を指定するケースについては上記「取得対象外」の説明を参照。
マスタから単価を取得する方法の詳細は【M7-US-0304_MS_機能概要（購買管理）】を参照。</t>
  </si>
  <si>
    <t>仮単価</t>
  </si>
  <si>
    <t>単価が決定していない取引の場合にオンにする。品目マスタ、取引先マスタの購買単価変更許可ＦＬＧのうち、どちらか一方がオンであれば入力できる。
詳細は【M7-US-0304_MS_機能概要（購買管理）】を参照。</t>
  </si>
  <si>
    <t>金額</t>
  </si>
  <si>
    <t>購入金額（単価×数量ー値引額）。
内税の場合は上記金額から税額を除いた額。</t>
  </si>
  <si>
    <t>税込金額</t>
  </si>
  <si>
    <t>金額＋税額</t>
  </si>
  <si>
    <t>税指定</t>
  </si>
  <si>
    <t>本画面で税を指定し、実績登録時にも引き継ぐ場合にオンにする。
オフの場合は、「税」にマスタ（※）から取得した値が採用されるが、実績登録時にも再取得される。
※品目マスタ、取引先マスタ、会社補助マスタから仕入税ＣＤを取得する。詳細は【M7-US-0315_MA_機能概要（マスタ管理）_【基本マスタ編】】を参照。</t>
  </si>
  <si>
    <t>税</t>
  </si>
  <si>
    <t>税名</t>
  </si>
  <si>
    <t>税率</t>
  </si>
  <si>
    <t>税額</t>
  </si>
  <si>
    <t>外税の場合は金額、内税の場合は税込金額から計算した消費税額を表示する。</t>
  </si>
  <si>
    <t>値引額</t>
  </si>
  <si>
    <t xml:space="preserve">明細単位に値引きする場合、値引する金額を指定する。
</t>
  </si>
  <si>
    <t>値引理由</t>
  </si>
  <si>
    <t>値引額を指定した際の値引理由。</t>
  </si>
  <si>
    <t>値引理由名</t>
  </si>
  <si>
    <t>加工単価</t>
  </si>
  <si>
    <t>外注品を発注する場合（「外注」がオンの場合）に入力できる。
品目マスタ、取引先マスタの購買単価変更許可ＦＬＧのうち、どちらか一方がオンであれば入力できる。
ただし、単価取得時に加工単価マスタから値を取得して表示するため、マスタの単価から変更しない場合は入力しない。</t>
  </si>
  <si>
    <t>加工金額</t>
  </si>
  <si>
    <t>加工単価×数量を表示する。</t>
  </si>
  <si>
    <t>有償支給単価</t>
  </si>
  <si>
    <t>外注品を発注する場合（「外注」がオンの場合）に入力できる。
品目マスタ、取引先マスタの購買単価変更許可ＦＬＧのうち、どちらか一方がオンであれば入力できる。
ただし、単価取得時に支給単価マスタから値を取得して表示するため、マスタの単価から変更しない場合は入力しない。</t>
  </si>
  <si>
    <t>有償支給金額</t>
  </si>
  <si>
    <t>有償支給単価×数量を表示する。</t>
  </si>
  <si>
    <t>為替レート指定</t>
  </si>
  <si>
    <t>本画面で為替レートを指定し、実績登録時にも引き継ぐ場合にオンにする。
オフの場合は、参考値として為替レートマスタから取得した値が採用されるが、実績登録時にも再取得される。</t>
  </si>
  <si>
    <t>為替レート</t>
  </si>
  <si>
    <t>仕入実績登録あるいは受領インボイス登録時に初期表示する為替レートを指定する。
・入力制御
為替レート指定がオンの場合に入力可能。
取引通貨と基準通貨が等しい場合は「1」が設定され、入力できない。
取引通貨が基準通貨と異なる場合に必須。
・新規登録時の初期表示（発注予定を引き継ぐ場合）
為替レート指定がオフの場合、為替レートマスタから取得した為替レートを初期表示する。
為替レート指定がオンの場合、発注予定に指定されている為替レートを初期表示する。</t>
  </si>
  <si>
    <t>変更注文書発行予定日</t>
  </si>
  <si>
    <t>仮単価を含む注文書を発行する場合などに、本単価の注文書を発行する予定日を指定する。</t>
  </si>
  <si>
    <t>基準通貨</t>
  </si>
  <si>
    <t>基準通貨名</t>
  </si>
  <si>
    <t>基準通貨単価</t>
  </si>
  <si>
    <t>単価を為替レートで換算した値を表示する。</t>
  </si>
  <si>
    <t>基準通貨値引額</t>
  </si>
  <si>
    <t>値引額を為替レートで換算した値を表示する。</t>
  </si>
  <si>
    <t>基準通貨金額</t>
  </si>
  <si>
    <t>金額を為替レートで換算した値を表示する。</t>
  </si>
  <si>
    <t>基準通貨税額</t>
  </si>
  <si>
    <t>税額を為替レートで換算した値を表示する。</t>
  </si>
  <si>
    <t>基準通貨税込金額</t>
  </si>
  <si>
    <t>税込金額を為替レートで換算した値を表示する。</t>
  </si>
  <si>
    <t>基準通貨加工単価</t>
  </si>
  <si>
    <t>加工単価を為替レートで換算した値を表示する。</t>
  </si>
  <si>
    <t>基準通貨加工金額</t>
  </si>
  <si>
    <t>加工金額を為替レートで換算した値を表示する。</t>
  </si>
  <si>
    <t>基準通貨有償支給単価</t>
  </si>
  <si>
    <t>有償支給単価を為替レートで換算した値を表示する。</t>
  </si>
  <si>
    <t>基準通貨有償支給金額</t>
  </si>
  <si>
    <t>有償支給金額を為替レートで換算した値を表示する。</t>
  </si>
  <si>
    <t>納税為替レート指定</t>
  </si>
  <si>
    <t>本画面で納税為替レートを指定し、実績登録時にも引き継ぐ場合にオンにする。
オフの場合は、参考値として為替レートマスタから取得した値が採用されるが、実績登録時にも再取得される。</t>
  </si>
  <si>
    <t>納税為替レート</t>
  </si>
  <si>
    <t>仕入実績登録あるいは受領インボイス登録時に初期表示する納税為替レートを指定する。
・入力制御
納税為替レート指定がオンの場合に入力可能。
取引通貨と納税通貨が等しい場合は「1」が設定され、入力できない。
会社マスタの納税通貨が設定されていない場合は値が空白で表示され、入力できない。
・新規登録時の初期表示（発注予定を引き継ぐ場合）
納税予定レート指定がオフの場合、為替レートマスタから取得した為替レートを初期表示する。
納税予定レート指定がオンの場合、発注予定に指定されている納税為替レートを初期表示する。</t>
  </si>
  <si>
    <t>納税通貨</t>
  </si>
  <si>
    <t>納税通貨名</t>
  </si>
  <si>
    <t>納税通貨単価</t>
  </si>
  <si>
    <t>単価を納税為替レートで換算した値を表示する。</t>
  </si>
  <si>
    <t>納税通貨値引額</t>
  </si>
  <si>
    <t>値引額を納税為替レートで換算した値を表示する。</t>
  </si>
  <si>
    <t>納税通貨金額</t>
  </si>
  <si>
    <t>金額を納税為替レートで換算した値を表示する。</t>
  </si>
  <si>
    <t>納税通貨税額</t>
  </si>
  <si>
    <t>税額を納税為替レートで換算した値を表示する。</t>
  </si>
  <si>
    <t>納税通貨税込金額</t>
  </si>
  <si>
    <t>税込金額を納税為替レートで換算した値を表示する。</t>
  </si>
  <si>
    <t>納税通貨加工単価</t>
  </si>
  <si>
    <t>加工単価を納税為替レートで換算した値を表示する。</t>
  </si>
  <si>
    <t>納税通貨加工金額</t>
  </si>
  <si>
    <t>加工金額を納税為替レートで換算した値を表示する。</t>
  </si>
  <si>
    <t>納税通貨有償支給単価</t>
  </si>
  <si>
    <t>有償支給単価を納税為替レートで換算した値を表示する。</t>
  </si>
  <si>
    <t>納税通貨有償支給金額</t>
  </si>
  <si>
    <t>有償支給金額を納税為替レートで換算した値を表示する。</t>
  </si>
  <si>
    <t>源泉税率</t>
  </si>
  <si>
    <t>品目入力時に品目マスタの源泉税率を初期表示する。手入力でも変更可能。
会社マスタの取引通貨、基準通貨が一致し、納税通貨が設定されていない場合に入力できる。
※取引通貨、基準通貨、納税通貨が同じ場合のみ利用できる。会社マスタで基準通貨と納税通貨が同じ場合、納税通貨は基準通貨と同じとみなす。</t>
  </si>
  <si>
    <t>源泉税額</t>
  </si>
  <si>
    <t>金額×源泉税率で計算される金額（取引通貨）。</t>
  </si>
  <si>
    <t>仕入理由</t>
  </si>
  <si>
    <t>・入力された品目が資産管理しない品目の場合
　入力が必須
　業務理由マスタで「経費購買」がオンの業務理由が入力可能
・明細に入力された品目が資産管理する品目の場合
　入力は任意
　業務理由マスタで「仕入」がオンの業務理由が入力可能</t>
  </si>
  <si>
    <t>仕入理由名</t>
  </si>
  <si>
    <t>訂正理由</t>
  </si>
  <si>
    <t>下請対象の発注先の場合、注文書発行済の発注を訂正する際に必須。</t>
  </si>
  <si>
    <t>訂正理由名</t>
  </si>
  <si>
    <t>訂正理由備考</t>
  </si>
  <si>
    <t>手配ＮＯ１に紐つく案件ＮＯを表示する。手配ＮＯ１と案件ＮＯの関係は、案件登録画面で登録する。</t>
  </si>
  <si>
    <t>発注先分類名１</t>
  </si>
  <si>
    <t>発注先分類名２</t>
  </si>
  <si>
    <t>発注先分類名３</t>
  </si>
  <si>
    <t>発注先分類名４</t>
  </si>
  <si>
    <t>発注先分類名５</t>
  </si>
  <si>
    <t>発注先分類名６</t>
  </si>
  <si>
    <t>発注先分類名７</t>
  </si>
  <si>
    <t>発注先分類名８</t>
  </si>
  <si>
    <t>発注先分類名９</t>
  </si>
  <si>
    <t>発注先分類名１０</t>
  </si>
  <si>
    <t>負担部門</t>
  </si>
  <si>
    <t>経費取引で発生した購入費用を特定部門の費用として配賦する場合に該当する部門を指定する。
原価管理モジュールに連携する項目。
購買識別区分が「ＶＭＩ」あるいは「無償受給」の場合は入力できない。</t>
  </si>
  <si>
    <t>負担部門名</t>
  </si>
  <si>
    <t>負担品目</t>
  </si>
  <si>
    <t>経費取引で発生した購入費用を特定品目に直接負担させたい場合に指定する。
原価管理モジュールに連携する項目。
購買識別区分が「ＶＭＩ」あるいは「無償受給」の場合は入力できない。</t>
  </si>
  <si>
    <t>負担枝番１</t>
  </si>
  <si>
    <t>負担品目を指定すると入力可能。</t>
  </si>
  <si>
    <t>負担枝番２</t>
  </si>
  <si>
    <t>負担枝番３</t>
  </si>
  <si>
    <t>負担品目名</t>
  </si>
  <si>
    <t>負担ロットＮＯ</t>
  </si>
  <si>
    <t>負担品目がロット管理する品目の場合に入力可能。</t>
  </si>
  <si>
    <t>負担サブロットＮＯ</t>
  </si>
  <si>
    <t>負担品目がサブロット管理する品目の場合に入力可能。</t>
  </si>
  <si>
    <t>負担手配ＮＯ１</t>
  </si>
  <si>
    <t>負担品目が手配ＮＯ１を管理する品目の場合に入力可能。</t>
  </si>
  <si>
    <t>負担手配ＮＯ２</t>
  </si>
  <si>
    <t>負担品目が手配ＮＯ２を管理する品目の場合に入力可能。</t>
  </si>
  <si>
    <t>負担手配ＮＯ３</t>
  </si>
  <si>
    <t>負担品目が手配ＮＯ３を管理する品目の場合に入力可能。</t>
  </si>
  <si>
    <t>負担手配ＮＯ４</t>
  </si>
  <si>
    <t>負担品目が手配ＮＯ４を管理する品目の場合に入力可能。</t>
  </si>
  <si>
    <t>負担場所</t>
  </si>
  <si>
    <t>経費取引で発生した購入費用を特定場所の配賦費用としたい場合に指定する。
原価管理モジュールに連携する項目。
購買識別区分が「ＶＭＩ」あるいは「無償受給」の場合は入力できない。</t>
  </si>
  <si>
    <t>負担場所名</t>
  </si>
  <si>
    <t>負担品群</t>
  </si>
  <si>
    <t>経費取引で発生した購入費用を特定品群の配賦費用としたい場合に指定する。
原価管理モジュールに連携する項目。
購買識別区分が「ＶＭＩ」あるいは「無償受給」の場合は入力できない。</t>
  </si>
  <si>
    <t>負担品群名</t>
  </si>
  <si>
    <t>負担工程</t>
  </si>
  <si>
    <t>経費取引で発生した購入費用を特定工程の配賦費用としたい場合に指定する。
原価管理モジュールに連携する項目。
購買識別区分が「ＶＭＩ」あるいは「無償受給」の場合は入力できない。</t>
  </si>
  <si>
    <t>負担工程名</t>
  </si>
  <si>
    <t>負担インボイスＮＯ</t>
  </si>
  <si>
    <t>経費取引で発生した購入費用を特定のインボイスに含まれる品目の配賦費用としたい場合に指定する。
原価管理モジュールに連携する項目。
購買識別区分が「ＶＭＩ」あるいは「無償受給」の場合は入力できない。</t>
  </si>
  <si>
    <t>負担受注ＮＯ</t>
  </si>
  <si>
    <t>経費取引で発生した購入費用を特定の受注に含まれる品目の配賦費用としたい場合に指定する。
原価管理モジュールに連携する項目。
購買識別区分が「ＶＭＩ」あるいは「無償受給」の場合は入力できない。</t>
  </si>
  <si>
    <t>負担発注ＮＯ</t>
  </si>
  <si>
    <t>経費取引で発生した購入費用を特定の発注に含まれる品目の配賦費用としたい場合に指定する。
原価管理モジュールに連携する項目。
購買識別区分が「ＶＭＩ」あるいは「無償受給」の場合は入力できない。</t>
  </si>
  <si>
    <t>取引条件１</t>
  </si>
  <si>
    <t>取引条件名１</t>
  </si>
  <si>
    <t>取引条件備考１</t>
  </si>
  <si>
    <t>取引条件２</t>
  </si>
  <si>
    <t>取引条件名２</t>
  </si>
  <si>
    <t>取引条件備考２</t>
  </si>
  <si>
    <t>取引条件３</t>
  </si>
  <si>
    <t>取引条件名３</t>
  </si>
  <si>
    <t>取引条件備考３</t>
  </si>
  <si>
    <t>発注が承認対象の場合に、承認情報を識別するNOが表示される。</t>
  </si>
  <si>
    <t>承認状況区分</t>
  </si>
  <si>
    <t>以下のいずれかの値を表示する。「1：未承認」「2：一次承認済」「9：最終承認済」「C：却下」「X：否認」</t>
  </si>
  <si>
    <t>承認状況区分名</t>
  </si>
  <si>
    <t>承認引戻</t>
  </si>
  <si>
    <t>最終承認済、一次承認済のデータを訂正、取消する場合にオンにする。
「更新可能」あるいは「削除可能」がオンの場合に入力可能。
一度オンにすると、オフに戻すことはできないため、オフに戻したい場合は受注を再検索する必要がある。</t>
  </si>
  <si>
    <t>承認対象</t>
  </si>
  <si>
    <t>発注が承認対象の場合にオンになる。</t>
  </si>
  <si>
    <t>更新可能</t>
  </si>
  <si>
    <t>発注が承認対象で、一次承認済あるいは最終承認済の状態でも訂正可能な場合にオンになる。</t>
  </si>
  <si>
    <t>取消可能</t>
  </si>
  <si>
    <t>発注が承認対象で、一次承認済あるいは最終承認済の状態でも取消可能な場合にオンになる。</t>
  </si>
  <si>
    <t>まとめ</t>
  </si>
  <si>
    <t>複数の発注予定をまとめて作成された発注明細の場合にオンになる。
※計画外の発注明細をまとめてもオンにはならない。</t>
  </si>
  <si>
    <t>依頼元受注</t>
  </si>
  <si>
    <t>受注からの依頼である場合にオンになる。まとめが行われた発注明細の場合、まとめた発注予定の中に1件でも受注からの依頼が存在すればオンになる。</t>
  </si>
  <si>
    <t>紐切れ</t>
  </si>
  <si>
    <t>受注に紐づく発注明細の場合に使用する項目。
・受注に紐づかない発注明細の場合は常にオフ
・受注に紐づく発注明細の場合
　「紐切れ」がオフの場合が受注に紐づいている状態を表すが、以下の操作を行った場合は「紐切れ」がオンになり、受注との紐づきが無い状態となる。
　　・発注済の状態で依頼元の受注を取り消したり打切を行った場合
　　・発注予定の　「紐切れ」がオンのデータを引き継いで発注登録した場合
　　　※発注予定の「依頼元訂正不可」がオンの状態で依頼元の受注を取り消したり打切を行うと、発注予定の　「紐切れ」がオンになる
　「紐切れ」がオンの場合は計画外の発注とみなし、受注状況の更新が行われない。
　「紐切れ」がオフの場合は発注時や入荷、仕入時などに受注状況（販売納期調整登録画面で確認できる受注の状況）を更新する。</t>
  </si>
  <si>
    <t>今回ＥＤＩ</t>
  </si>
  <si>
    <t>ＥＤＩＩＦ制御マスタに運用日付時点で発注送信対象として登録されている場合にオンになり、入力可能となる
訂正もしくは取消時に送信対象外にする場合はオフにする</t>
  </si>
  <si>
    <t>前回ＥＤＩ</t>
  </si>
  <si>
    <t>登録済の発注データを検索した際に、前回登録時の今回ＥＤＩの値を表示する。</t>
  </si>
  <si>
    <t>発注が取り消されている場合にオンになる。</t>
  </si>
  <si>
    <t>注文書に表示される。</t>
  </si>
  <si>
    <t>納品書に表示される。</t>
  </si>
  <si>
    <t>発注予定から値を引き継いで表示する。</t>
  </si>
  <si>
    <t>入荷連絡備考</t>
  </si>
  <si>
    <t>入荷担当者への連絡備考を指定する。入荷実績登録に引継される。</t>
  </si>
  <si>
    <t>仕入実績登録時に、取引明細備考の初期値として引継される。</t>
  </si>
  <si>
    <t>ＥＤＩ予備文字列１</t>
  </si>
  <si>
    <t>ＥＤＩで連携する予備項目。
発注送信ＩＦデータと注文情報ファイルに引き継がれる。</t>
  </si>
  <si>
    <t>ＥＤＩ予備文字列２</t>
  </si>
  <si>
    <t>ＥＤＩ予備文字列３</t>
  </si>
  <si>
    <t>ＥＤＩ予備文字列４</t>
  </si>
  <si>
    <t>ＥＤＩ予備文字列５</t>
  </si>
  <si>
    <t>ＥＤＩ予備数値</t>
  </si>
  <si>
    <t>ＥＤＩ予備日付</t>
  </si>
  <si>
    <t>ＥＤＩ明細予備文字列１</t>
  </si>
  <si>
    <t>ＥＤＩ明細予備文字列２</t>
  </si>
  <si>
    <t>ＥＤＩ明細予備文字列３</t>
  </si>
  <si>
    <t>ＥＤＩ明細予備文字列４</t>
  </si>
  <si>
    <t>ＥＤＩ明細予備文字列５</t>
  </si>
  <si>
    <t>ＥＤＩ明細予備数値</t>
  </si>
  <si>
    <t>ＥＤＩ明細予備日付</t>
  </si>
  <si>
    <t>受注を引き継いだ明細の場合に、対応する受注の受注ＮＯが表示される。
紐切れ（明細の紐切れがオン）の発注明細は、紐切れになる前の受注ＮＯが表示される。
まとめを行った発注明細（明細のまとめがオン）は値が表示されない（まとめを行った発注予定に受注紐づきのデータがあっても表示されない）。</t>
  </si>
  <si>
    <t>受注を引き継いだ明細の場合に、対応する受注の受注明細ＮＯが表示される。
紐切れ（明細の紐切れがオン）の発注明細は、紐切れになる前の受注明細ＮＯが表示される。
まとめを行った発注明細（明細のまとめがオン）は値が表示されない（まとめを行った発注予定に受注紐づきのデータがあっても表示されない）。</t>
  </si>
  <si>
    <t>以下のいずれかの値を表示する。「1：ＷＧ間依頼」「2：受注」「3：生産計画・外注発注」「4：発注点在庫補充」「5：製造指図」「6：計画外」。区分の詳細は【M7-US-1104_MSBDP0030_画面説明書（発注予定一覧登録）】の自由記述「発注予定作成元区分」を参照。</t>
  </si>
  <si>
    <t>発注予定作成元区分に応じて設定される。
設定される値については【M7-US-1104_MSBDP0030_画面説明書（発注予定一覧登録）】の自由記述「発注予定作成元区分」を参照。</t>
  </si>
  <si>
    <t>発注予定を引き継いだ明細の場合に、対応する発注予定の発注予定ＮＯが表示される。</t>
  </si>
  <si>
    <t>登録時に発番される発注ＮＯが表示される。新規登録時は登録後に表示される。</t>
  </si>
  <si>
    <t>改訂番号</t>
  </si>
  <si>
    <t>登録した発注の改訂番号が表示される。</t>
  </si>
  <si>
    <t>登録時に発番される発注明細ＮＯが表示される。新規登録時は登録後に表示される。</t>
  </si>
  <si>
    <t>受領した納期回答の回答納入日に遅れた入荷が存在する場合オンになる。
詳細は自由記述の「発注状況の確認および分析方法について」を参照。</t>
  </si>
  <si>
    <t>発注時の納入希望日よりも後の日付で入荷実績がある場合にオンになる。
詳細は自由記述の「発注状況の確認および分析方法について」を参照。</t>
  </si>
  <si>
    <t>以下のいずれかの値を表示する。「1：発注済」「2：納期回答受領済」「3：納期回答反映済」「4：納入指示済」「5：納入指示回答受領済」「6：納入指示回答反映済」「7：入荷済」「8：仕入済」「9：完了」
区分値の詳細は自由記述の「購買状況区分」を参照。</t>
  </si>
  <si>
    <t>以下のいずれかの値を表示する。「1：発注済」「2：納期回答受領済」「3：納期回答反映済」「4：納入指示済」「5：納入指示回答受領済」「6：納入指示回答反映済」「7：入荷済」「8：仕入済」「9：完了」</t>
  </si>
  <si>
    <t>明細の購買状況区分が「完了」の場合のみ値を表示する。
発注明細に対して登録された入荷実績の入荷日時のうち、最も遅い日時を表示する（入荷日に日付部分、入荷時刻に時刻部分を表示する）。</t>
  </si>
  <si>
    <t>入荷時刻</t>
  </si>
  <si>
    <t>「入荷日」の説明を参照。</t>
  </si>
  <si>
    <t>仕入日</t>
  </si>
  <si>
    <t>明細の購買状況区分が「完了」の場合のみ値を表示する。
発注明細に対して登録された仕入実績の仕入日のうち、最も遅い日付を表示する。</t>
  </si>
  <si>
    <t>入荷予定日</t>
  </si>
  <si>
    <t>発注明細に紐づく入荷予定の入荷予定日時のうち、最も遅い日時が設定される（入荷予定日に日付部分、入荷予定時刻に時刻部分を表示する）。</t>
  </si>
  <si>
    <t>入荷予定時刻</t>
  </si>
  <si>
    <t>「入荷予定日」の説明を参照。</t>
  </si>
  <si>
    <t>入荷予定分割</t>
  </si>
  <si>
    <t>発注明細に対して入荷予定が2件以上に分割されている場合にオンになる。</t>
  </si>
  <si>
    <t>入荷が完了している場合にオンになる（「発注数量≦入荷数量」の場合あるいは入荷予定が打切りされている場合）。</t>
  </si>
  <si>
    <t>仕入が完了している場合にオンになる（「発注数量≦仕入数量＋検収不良数量」の場合あるいは仕入予定が打切りされている場合）。</t>
  </si>
  <si>
    <t>納入ＬＴ</t>
  </si>
  <si>
    <t>明細の購買状況区分が「完了」の場合のみ値を表示する。
発注日と入荷日の間のリードタイムを表示する。リードタイムは、取引先マスタの発注先カレンダ（未設定の場合は会社マスタの標準カレンダ）の稼働日を考慮する。</t>
  </si>
  <si>
    <t>標準納入ＬＴ</t>
  </si>
  <si>
    <t>発注の登録、訂正時に保持される以下の値を表示する。
・仕入直送、支給直送の場合、仕入直送ＬＴマスタの購入ＬＴ
　仕入直送ＬＴマスタに設定がない場合は品目詳細マスタの購入ＬＴ
・上記以外の場合、品目詳細マスタの購入ＬＴ</t>
  </si>
  <si>
    <t>納入指示日</t>
  </si>
  <si>
    <t>納入指示を行った日付のうち最も遅い日付（納入指示ヘッダの納入指示日）を表示する。</t>
  </si>
  <si>
    <t>納入指示数量</t>
  </si>
  <si>
    <t>納入指示が行われた数量の合計を表示する（基準単位）。</t>
  </si>
  <si>
    <t>納入指示回答受領日</t>
  </si>
  <si>
    <t>納入指示に対して回答を受領した日付のうち最も遅い日付を表示する。</t>
  </si>
  <si>
    <t>納入指示回答反映日</t>
  </si>
  <si>
    <t>納入指示に対して受領した納期回答を入荷予定に反映した日付のうち最も遅い日付（納入指示ヘッダの入荷予定反映日）を表示する。</t>
  </si>
  <si>
    <t>納期回答受領日</t>
  </si>
  <si>
    <t>発注に対して回答を受領した日付のうち最も遅い日付を表示する。</t>
  </si>
  <si>
    <t>納期回答反映日</t>
  </si>
  <si>
    <t>発注に対して受領した納期回答を入荷予定に反映した日付のうち最も遅い日付（納入指示ヘッダの入荷予定反映日）を表示する。</t>
  </si>
  <si>
    <t>受領した納期回答の回答納入日のうち、最も遅い日付を表示する。発注数量に対して一部数量のみ回答を受領している場合は表示しない。</t>
  </si>
  <si>
    <t>納期回答受領数量</t>
  </si>
  <si>
    <t>発注に対して受領した回答（※）の数量の合計を表示する（基準単位）。
※【購買納期調整登録】画面で登録された納期回答受領明細の納入指示明細NOに値が設定されていないデータ</t>
  </si>
  <si>
    <t>納期回答反映済数量</t>
  </si>
  <si>
    <t>発注明細に対して受領した納期回答を入荷予定に反映した数量を表示する。</t>
  </si>
  <si>
    <t>納入指示回答受領数量</t>
  </si>
  <si>
    <t>納入指示に対して受領した回答（※）の数量の合計を表示する（基準単位）。
※【購買納期調整登録】画面で登録された納期回答受領明細の納入指示明細NOに値が設定されているデータ</t>
  </si>
  <si>
    <t>納入指示回答反映済数量</t>
  </si>
  <si>
    <t>納入指示に対して受領した納期回答を入荷予定に反映した数量を表示する。</t>
  </si>
  <si>
    <t>打切数量</t>
  </si>
  <si>
    <t>入荷予定を打切りした数量を表示する（基準単位）。</t>
  </si>
  <si>
    <t>入荷数量</t>
  </si>
  <si>
    <t>入荷済の数量を表示する（基準単位）。</t>
  </si>
  <si>
    <t>納入残数量</t>
  </si>
  <si>
    <t>「基準単位数量＋発注明細に対する再入荷予定数量の合計ー入荷数量ー打切数量」を表示する。</t>
  </si>
  <si>
    <t>仕入数量</t>
  </si>
  <si>
    <t>仕入済の数量を表示する（基準単位）。</t>
  </si>
  <si>
    <t>入荷進捗率</t>
  </si>
  <si>
    <t>仕入進捗率</t>
  </si>
  <si>
    <t>受領Ｉ／Ｖ数量</t>
  </si>
  <si>
    <t>発注数量のうち、受領インボイスに引き継いだ数量の合計を表示する（基準単位）。</t>
  </si>
  <si>
    <t>出来高予定数量</t>
  </si>
  <si>
    <t>品目オーダの出来高予定数量を表示する。</t>
  </si>
  <si>
    <t>計画発注予定日</t>
  </si>
  <si>
    <t>品目オーダの発注予定日を表示する。</t>
  </si>
  <si>
    <t>格納完了予定日</t>
  </si>
  <si>
    <t>品目オーダの格納完了予定日を表示する。</t>
  </si>
  <si>
    <t>計画変更</t>
  </si>
  <si>
    <t>・明細の「計画外」がオンの場合
オンになる。
・明細の「計画外」がオフの場合
以下のどれかに該当すればオン、該当しなければオフになる。
　　発注明細の取引単位数量と品目オーダの出来高予定数量が異なる
　　発注明細の発注日と品目オーダの発注予定日が異なる
　　発注明細の入荷予定日と品目オーダの格納完了予定日が異なる</t>
  </si>
  <si>
    <t>計画外</t>
  </si>
  <si>
    <t>・発注予定を引き継ぐ場合
引き継いだ発注予定の計画品目オーダＮＯに値がある場合にオフ、それ以外の場合にオンになる。
・発注予定を引き継がない場合
オンになる。</t>
  </si>
  <si>
    <t>登録ユーザＩＤ</t>
  </si>
  <si>
    <t>登録ユーザ名</t>
  </si>
  <si>
    <t>登録機能ＩＤ</t>
  </si>
  <si>
    <t>登録機能名</t>
  </si>
  <si>
    <t>登録日時</t>
  </si>
  <si>
    <t>T</t>
  </si>
  <si>
    <t>更新ユーザＩＤ</t>
  </si>
  <si>
    <t>更新ユーザ名</t>
  </si>
  <si>
    <t>更新機能ＩＤ</t>
  </si>
  <si>
    <t>更新機能名</t>
  </si>
  <si>
    <t>更新日時</t>
  </si>
  <si>
    <t>更新リクエストＮＯ</t>
  </si>
  <si>
    <t>結果</t>
  </si>
  <si>
    <t>正常終了した行の場合「○」、エラーとなった行の場合「×」を表示する。</t>
  </si>
  <si>
    <t>結果情報</t>
  </si>
  <si>
    <t>エラー時のメッセージを表示する。</t>
  </si>
  <si>
    <t>共通項目４</t>
  </si>
  <si>
    <t>発注登録</t>
  </si>
  <si>
    <t>発注登録画面に遷移する。詳細は【画面遷移】の記述を参照。</t>
  </si>
  <si>
    <t>納期調整</t>
  </si>
  <si>
    <t>購買納期調整登録画面に遷移する。詳細は【画面遷移】の記述を参照。</t>
  </si>
  <si>
    <t>仕入実績</t>
  </si>
  <si>
    <t>仕入実績登録画面に遷移する。詳細は【画面遷移】の記述を参照。</t>
  </si>
  <si>
    <t>直送売上</t>
  </si>
  <si>
    <t>直送売上登録画面に遷移する。詳細は【画面遷移】の記述を参照。</t>
  </si>
  <si>
    <t>自由記述の「予定日・マスタ取得」を参照。</t>
  </si>
  <si>
    <t>【M7-US-1104_MSBDP0080_画面説明書（発注登録）】の自由記述「単価再取得」を参照。</t>
  </si>
  <si>
    <t>【M7-US-1104_MSBDP0080_画面説明書（発注登録）】の自由記述「納品先取得」を参照。</t>
  </si>
  <si>
    <t>全選択</t>
  </si>
  <si>
    <t>全解除</t>
  </si>
  <si>
    <t>行追加</t>
  </si>
  <si>
    <t>行削除</t>
  </si>
  <si>
    <t>計画外で追加した行のみ押下可能（登録する種別）。</t>
  </si>
  <si>
    <t>行コピー</t>
  </si>
  <si>
    <t>仕入直送の場合は押下できない。</t>
  </si>
  <si>
    <t>変</t>
  </si>
  <si>
    <t>新規発行</t>
  </si>
  <si>
    <t>帳票を新規発行する。
ラベル変更：「帳票」→「新規発行」</t>
  </si>
  <si>
    <t>現品票を再発行する。</t>
  </si>
  <si>
    <t>再発行（現品票以外）</t>
  </si>
  <si>
    <t>オプション選択（仮注文書、見積書、納品書、受領書、注文書）に応じて、現品票以外の帳票を再発行する。</t>
  </si>
  <si>
    <t>新</t>
  </si>
  <si>
    <t>見積書を発行する場合にオンにする。</t>
  </si>
  <si>
    <t>仮注文書を発行する場合にオンにする。</t>
  </si>
  <si>
    <t>注文書を発行する場合にオンにする。</t>
  </si>
  <si>
    <t>納品書を発行する場合にオンにする。</t>
  </si>
  <si>
    <t>受領書を発行する場合にオンにする。</t>
  </si>
  <si>
    <t>共通項目５</t>
  </si>
  <si>
    <t>帳票を発行する。</t>
  </si>
  <si>
    <t>ダブルクリック対象</t>
  </si>
  <si>
    <t>ダブルクリック処理条件</t>
  </si>
  <si>
    <t>S01</t>
  </si>
  <si>
    <t>遷移処理</t>
  </si>
  <si>
    <t>遷移先画面ＩＤ</t>
  </si>
  <si>
    <t>MSBDP0120</t>
  </si>
  <si>
    <t>遷移先画面名</t>
  </si>
  <si>
    <t>購買納期調整登録</t>
  </si>
  <si>
    <t>遷移条件</t>
  </si>
  <si>
    <t>操作種別が「登録する」で登録後、操作種別が「取り消す」で登録前、操作種別が「参照する」のいずれか</t>
  </si>
  <si>
    <t>引継項目・種別</t>
  </si>
  <si>
    <t>遷移元画面項目</t>
  </si>
  <si>
    <t>遷移先画面項目</t>
  </si>
  <si>
    <t>発注明細ＮＯ（検索モードが「明細」の場合）</t>
  </si>
  <si>
    <t>検索対象ＮＯ（発注明細ＮＯ)</t>
  </si>
  <si>
    <t>操作種別：本画面の操作種別が「登録する」の場合、「納入指示」。</t>
  </si>
  <si>
    <t>　それ以外は「参照する」</t>
  </si>
  <si>
    <t>発注ＮＯ（検索モードが「ヘッダ」の場合）</t>
  </si>
  <si>
    <t>検索対象ＮＯ（発注ＮＯ)</t>
  </si>
  <si>
    <t>操作種別：「参照する」</t>
  </si>
  <si>
    <t>遷移後のアクション</t>
  </si>
  <si>
    <t>S02</t>
  </si>
  <si>
    <t>操作種別が「取り消す」、「参照する」、「帳票発行」のいずれかである場合</t>
  </si>
  <si>
    <t>MSBDP0080</t>
  </si>
  <si>
    <t>操作種別が「登録する」で登録後、操作種別が「取り消す」で登録前、操作種別が「参照する」・「まとめる」のいずれか</t>
  </si>
  <si>
    <t>引継項目</t>
  </si>
  <si>
    <t>S03</t>
  </si>
  <si>
    <t>MSBDP0140</t>
  </si>
  <si>
    <t>仕入実績登録</t>
  </si>
  <si>
    <t>操作種別が「登録する」で登録後、操作種別が「取り消す」で登録前、操作種別が「参照する」のいずれか、かつ、仕入対象外でない場合</t>
  </si>
  <si>
    <t>操作種別：「登録する」</t>
  </si>
  <si>
    <t>S04</t>
  </si>
  <si>
    <t>仕入直送</t>
  </si>
  <si>
    <t>MSBBP1360</t>
  </si>
  <si>
    <t>仕入直送売上登録</t>
  </si>
  <si>
    <t>操作種別が「登録する」で登録後、操作種別が「取り消す」で登録前、操作種別が「参照する」のいずれか、かつ、仕入直送の場合</t>
  </si>
  <si>
    <t>検索対象ＮＯ（受注ＮＯ)</t>
  </si>
  <si>
    <t>凡例</t>
  </si>
  <si>
    <t>外部システムサービス</t>
  </si>
  <si>
    <t>サービス</t>
  </si>
  <si>
    <t>テーブル</t>
  </si>
  <si>
    <t>サービス・テーブルのグループ</t>
  </si>
  <si>
    <t>ファイル</t>
  </si>
  <si>
    <t>入力</t>
  </si>
  <si>
    <t>処理</t>
  </si>
  <si>
    <t>出力</t>
  </si>
  <si>
    <t>Srch01/検索</t>
  </si>
  <si>
    <t>発注情報を検索する</t>
  </si>
  <si>
    <t>標準から変更なし。</t>
  </si>
  <si>
    <t>Srch02/検索</t>
  </si>
  <si>
    <t>発注予定を検索する</t>
  </si>
  <si>
    <t>Ins01/登録</t>
  </si>
  <si>
    <t>Del01/取消</t>
  </si>
  <si>
    <t>Prnt01/帳票発行</t>
  </si>
  <si>
    <t>1．各帳票の出力制御</t>
  </si>
  <si>
    <t>承認前に、「仮注文書」を出力可能とする。</t>
  </si>
  <si>
    <t>「注文書」は承認後のみ、出力可能とする。</t>
  </si>
  <si>
    <t>発注伝票が承認対象外の場合、「仮注文書」も「注文書」も出力可能。</t>
  </si>
  <si>
    <t>発注承認状況</t>
  </si>
  <si>
    <t>承認対象外</t>
  </si>
  <si>
    <t>発注承認状況　各ステータスの内容は以下の通り。</t>
  </si>
  <si>
    <t>〇</t>
  </si>
  <si>
    <t>×</t>
  </si>
  <si>
    <t>※</t>
  </si>
  <si>
    <t>発注取消データに対して、注文書を発行できる。</t>
  </si>
  <si>
    <t>１円発注対応</t>
  </si>
  <si>
    <t>注文書（仮）</t>
  </si>
  <si>
    <t>3．新規発行、再発行（現品票）、再発行（現品票以外）ボタンの制御仕様</t>
  </si>
  <si>
    <t>帳票ごとの発行ステータス管理（発行済／未発行）は以下の粒度で行う。</t>
  </si>
  <si>
    <t>管理粒度</t>
  </si>
  <si>
    <t>発注NO単位</t>
  </si>
  <si>
    <t>発注明細NO単位</t>
  </si>
  <si>
    <t>新規発行、再発行（現品票）、再発行（現品票以外）ボタンの制御仕様は以下の通り。</t>
  </si>
  <si>
    <t>発行済のみ(※1)</t>
  </si>
  <si>
    <t>未発行のみ(※2)</t>
  </si>
  <si>
    <t>発行済・未発行混在</t>
  </si>
  <si>
    <t>エラー</t>
  </si>
  <si>
    <t>-</t>
  </si>
  <si>
    <t>※1　発行対象帳票に対して、選択行は全て「発行済」の状態である</t>
  </si>
  <si>
    <t>※2　発行対象帳票に対して、選択行は全て「未発行」の状態である</t>
  </si>
  <si>
    <t>※3　発行対象帳票に対して、選択されたデータは発行済・未発行混在の状態である</t>
  </si>
  <si>
    <t>１円発注対応</t>
    <phoneticPr fontId="65"/>
  </si>
  <si>
    <t>金額は見積書のみ出力するものとし、納品書、受領書には出力しない。（1円発注の場合、金額を印字しない）</t>
    <phoneticPr fontId="65"/>
  </si>
  <si>
    <t>納品書に金額項目を印字する場合にオンにする。取引先マスタの発注先納品書が指定されている場合に入力できる。</t>
    <phoneticPr fontId="65"/>
  </si>
  <si>
    <t>価格印字</t>
    <phoneticPr fontId="65"/>
  </si>
  <si>
    <t>見積書</t>
    <phoneticPr fontId="65"/>
  </si>
  <si>
    <t>注文書（仮）</t>
    <phoneticPr fontId="65"/>
  </si>
  <si>
    <t>単価・金額</t>
    <phoneticPr fontId="65"/>
  </si>
  <si>
    <t>2．各帳票の金額印字仕様</t>
    <phoneticPr fontId="65"/>
  </si>
  <si>
    <t>印字</t>
    <phoneticPr fontId="65"/>
  </si>
  <si>
    <t>受領書</t>
    <phoneticPr fontId="65"/>
  </si>
  <si>
    <t>納品書</t>
    <phoneticPr fontId="65"/>
  </si>
  <si>
    <t>現品票</t>
    <phoneticPr fontId="65"/>
  </si>
  <si>
    <t>1.</t>
    <phoneticPr fontId="65"/>
  </si>
  <si>
    <t>メッセージID:</t>
    <phoneticPr fontId="65"/>
  </si>
  <si>
    <t>協定品の判別は以下となる。</t>
  </si>
  <si>
    <t>（注）</t>
    <rPh sb="1" eb="2">
      <t>チュウ</t>
    </rPh>
    <phoneticPr fontId="65"/>
  </si>
  <si>
    <t>※定数「協定品区分」で定義する。</t>
    <rPh sb="1" eb="3">
      <t>テイスウ</t>
    </rPh>
    <rPh sb="4" eb="6">
      <t>キョウテイ</t>
    </rPh>
    <rPh sb="6" eb="7">
      <t>ヒン</t>
    </rPh>
    <rPh sb="7" eb="9">
      <t>クブン</t>
    </rPh>
    <rPh sb="11" eb="13">
      <t>テイギ</t>
    </rPh>
    <phoneticPr fontId="65"/>
  </si>
  <si>
    <t>No</t>
    <phoneticPr fontId="65"/>
  </si>
  <si>
    <t>新/変</t>
    <rPh sb="0" eb="1">
      <t>シン</t>
    </rPh>
    <rPh sb="2" eb="3">
      <t>ヘン</t>
    </rPh>
    <phoneticPr fontId="65"/>
  </si>
  <si>
    <t>種別</t>
    <rPh sb="0" eb="2">
      <t>シュベツ</t>
    </rPh>
    <phoneticPr fontId="65"/>
  </si>
  <si>
    <t>メッセージ内容</t>
    <rPh sb="5" eb="7">
      <t>ナイヨウ</t>
    </rPh>
    <phoneticPr fontId="65"/>
  </si>
  <si>
    <t>備考（パラメータ等）</t>
    <rPh sb="0" eb="2">
      <t>ビコウ</t>
    </rPh>
    <rPh sb="8" eb="9">
      <t>トウ</t>
    </rPh>
    <phoneticPr fontId="65"/>
  </si>
  <si>
    <t>メッセージID</t>
    <phoneticPr fontId="65"/>
  </si>
  <si>
    <t>新</t>
    <rPh sb="0" eb="1">
      <t>シン</t>
    </rPh>
    <phoneticPr fontId="65"/>
  </si>
  <si>
    <t>W</t>
    <phoneticPr fontId="68"/>
  </si>
  <si>
    <t>発注情報の登録処理</t>
    <phoneticPr fontId="65"/>
  </si>
  <si>
    <t>MSBDLA0001</t>
  </si>
  <si>
    <t>協定品は購買単価マスタには登録する必要です。
品目ＣＤ：{1}</t>
    <rPh sb="0" eb="2">
      <t>キョウテイ</t>
    </rPh>
    <rPh sb="2" eb="3">
      <t>ヒン</t>
    </rPh>
    <rPh sb="13" eb="15">
      <t>トウロク</t>
    </rPh>
    <rPh sb="17" eb="19">
      <t>ヒツヨウ</t>
    </rPh>
    <rPh sb="23" eb="25">
      <t>ヒンモク</t>
    </rPh>
    <phoneticPr fontId="65"/>
  </si>
  <si>
    <t>{1}：協定品の品目ＣＤ</t>
    <rPh sb="4" eb="7">
      <t>キョウテイヒン</t>
    </rPh>
    <rPh sb="8" eb="10">
      <t>ヒンモク</t>
    </rPh>
    <phoneticPr fontId="65"/>
  </si>
  <si>
    <t>MSBDLA0001</t>
    <phoneticPr fontId="65"/>
  </si>
  <si>
    <t>〇</t>
    <phoneticPr fontId="65"/>
  </si>
  <si>
    <t>承認提供サービス（MBBAL5010）の呼び出し</t>
    <rPh sb="20" eb="21">
      <t>ヨ</t>
    </rPh>
    <rPh sb="22" eb="23">
      <t>ダ</t>
    </rPh>
    <phoneticPr fontId="65"/>
  </si>
  <si>
    <t>・</t>
    <phoneticPr fontId="65"/>
  </si>
  <si>
    <t>協定品（注）の場合に購買単価マスタの登録有無をチェックし、登録がない場合エラーメッセージを出し処理を中止する。</t>
  </si>
  <si>
    <t>・</t>
    <phoneticPr fontId="65"/>
  </si>
  <si>
    <t>上り電文の「承認作成元拡張項目１」を、以下の仕様で設定する。</t>
    <rPh sb="0" eb="1">
      <t>ノボ</t>
    </rPh>
    <rPh sb="2" eb="4">
      <t>デンブン</t>
    </rPh>
    <rPh sb="19" eb="21">
      <t>イカ</t>
    </rPh>
    <rPh sb="22" eb="24">
      <t>シヨウ</t>
    </rPh>
    <rPh sb="25" eb="27">
      <t>セッテイ</t>
    </rPh>
    <phoneticPr fontId="65"/>
  </si>
  <si>
    <t>発注ＮＯ単位で、すべての発注明細の発注品目の「品目分類ＣＤ４」が、</t>
    <rPh sb="0" eb="2">
      <t>ハッチュウ</t>
    </rPh>
    <rPh sb="4" eb="6">
      <t>タンイ</t>
    </rPh>
    <rPh sb="12" eb="16">
      <t>ハッチュウメイサイ</t>
    </rPh>
    <rPh sb="17" eb="19">
      <t>ハッチュウ</t>
    </rPh>
    <rPh sb="19" eb="21">
      <t>ヒンモク</t>
    </rPh>
    <phoneticPr fontId="65"/>
  </si>
  <si>
    <t>１件目の発注明細の発注品目の「品目分類ＣＤ４」を設定する。</t>
    <rPh sb="1" eb="2">
      <t>ケン</t>
    </rPh>
    <rPh sb="2" eb="3">
      <t>メ</t>
    </rPh>
    <rPh sb="24" eb="26">
      <t>セッテイ</t>
    </rPh>
    <phoneticPr fontId="65"/>
  </si>
  <si>
    <t>上記以外、</t>
    <rPh sb="0" eb="2">
      <t>ジョウキ</t>
    </rPh>
    <rPh sb="2" eb="4">
      <t>イガイ</t>
    </rPh>
    <phoneticPr fontId="65"/>
  </si>
  <si>
    <t>NULLを設定する。</t>
    <rPh sb="5" eb="7">
      <t>セッテイ</t>
    </rPh>
    <phoneticPr fontId="65"/>
  </si>
  <si>
    <t>2.</t>
    <phoneticPr fontId="65"/>
  </si>
  <si>
    <t>協定品以外は、標準から変更なし。</t>
    <phoneticPr fontId="65"/>
  </si>
  <si>
    <t>以外、標準から変更なし。</t>
    <rPh sb="0" eb="2">
      <t>イガイ</t>
    </rPh>
    <phoneticPr fontId="65"/>
  </si>
  <si>
    <t>特記：</t>
    <rPh sb="0" eb="2">
      <t>トッキ</t>
    </rPh>
    <phoneticPr fontId="65"/>
  </si>
  <si>
    <t>該当処理は、承認一覧登録画面でアドオンされた品目分類ＣＤ４の検索と表示するため。</t>
    <rPh sb="0" eb="2">
      <t>ガイトウ</t>
    </rPh>
    <rPh sb="2" eb="4">
      <t>ショリ</t>
    </rPh>
    <rPh sb="6" eb="8">
      <t>ショウニン</t>
    </rPh>
    <rPh sb="8" eb="10">
      <t>イチラン</t>
    </rPh>
    <rPh sb="10" eb="12">
      <t>トウロク</t>
    </rPh>
    <rPh sb="12" eb="14">
      <t>ガメン</t>
    </rPh>
    <rPh sb="30" eb="32">
      <t>ケンサク</t>
    </rPh>
    <rPh sb="33" eb="35">
      <t>ヒョウジ</t>
    </rPh>
    <phoneticPr fontId="65"/>
  </si>
  <si>
    <t>詳細は、基本設計書の「画面機能_MBBAP0020_承認一覧登録」の「概要（カスタマイズ）」シートの【特記事項】NO.1を参照。</t>
    <rPh sb="0" eb="2">
      <t>ショウサイ</t>
    </rPh>
    <rPh sb="4" eb="6">
      <t>キホン</t>
    </rPh>
    <rPh sb="6" eb="9">
      <t>セッケイショ</t>
    </rPh>
    <rPh sb="61" eb="63">
      <t>サンショウ</t>
    </rPh>
    <phoneticPr fontId="65"/>
  </si>
  <si>
    <t>1.</t>
    <phoneticPr fontId="65"/>
  </si>
  <si>
    <t>操作種別：登録するの場合</t>
    <rPh sb="0" eb="2">
      <t>ソウサ</t>
    </rPh>
    <rPh sb="2" eb="4">
      <t>シュベツ</t>
    </rPh>
    <rPh sb="5" eb="7">
      <t>トウロク</t>
    </rPh>
    <rPh sb="10" eb="12">
      <t>バアイ</t>
    </rPh>
    <phoneticPr fontId="65"/>
  </si>
  <si>
    <t>未承認</t>
    <phoneticPr fontId="65"/>
  </si>
  <si>
    <t>新規登録後に未承認となった発注の注文書は、標準の通り以下のエラーメッセージが出力される。</t>
    <rPh sb="0" eb="2">
      <t>シンキ</t>
    </rPh>
    <rPh sb="2" eb="4">
      <t>トウロク</t>
    </rPh>
    <rPh sb="4" eb="5">
      <t>アト</t>
    </rPh>
    <rPh sb="13" eb="15">
      <t>ハッチュウ</t>
    </rPh>
    <rPh sb="16" eb="19">
      <t>チュウモンショ</t>
    </rPh>
    <rPh sb="21" eb="23">
      <t>ヒョウジュン</t>
    </rPh>
    <rPh sb="24" eb="25">
      <t>トオ</t>
    </rPh>
    <rPh sb="26" eb="28">
      <t>イカ</t>
    </rPh>
    <rPh sb="38" eb="40">
      <t>シュツリョク</t>
    </rPh>
    <phoneticPr fontId="65"/>
  </si>
  <si>
    <t>メッセージＩＤ：</t>
    <phoneticPr fontId="65"/>
  </si>
  <si>
    <t>MSBDL0014</t>
  </si>
  <si>
    <t>メッセージ内容：</t>
    <rPh sb="5" eb="7">
      <t>ナイヨウ</t>
    </rPh>
    <phoneticPr fontId="65"/>
  </si>
  <si>
    <t>発注が承認されていないため、注文書は発行できません。</t>
  </si>
  <si>
    <t>発注ＮＯ：（発行された発注ＮＯ）</t>
    <rPh sb="6" eb="8">
      <t>ハッコウ</t>
    </rPh>
    <rPh sb="11" eb="13">
      <t>ハッチュウ</t>
    </rPh>
    <phoneticPr fontId="65"/>
  </si>
  <si>
    <t>承認ＮＯ：（発行された承認ＮＯ）</t>
    <rPh sb="6" eb="8">
      <t>ハッコウ</t>
    </rPh>
    <phoneticPr fontId="65"/>
  </si>
  <si>
    <t>行番号：（エラーとなった行番号）</t>
    <rPh sb="12" eb="15">
      <t>ギョウバンゴウ</t>
    </rPh>
    <phoneticPr fontId="65"/>
  </si>
  <si>
    <t>2.</t>
    <phoneticPr fontId="65"/>
  </si>
  <si>
    <t>操作種別：取り消すの場合</t>
    <rPh sb="5" eb="6">
      <t>ト</t>
    </rPh>
    <rPh sb="7" eb="8">
      <t>ケ</t>
    </rPh>
    <phoneticPr fontId="65"/>
  </si>
  <si>
    <t>注文書以外の帳票がチェックオンされた場合、エラーメッセージを出し処理を中止する。</t>
    <rPh sb="3" eb="5">
      <t>イガイ</t>
    </rPh>
    <rPh sb="6" eb="8">
      <t>チョウヒョウ</t>
    </rPh>
    <rPh sb="18" eb="20">
      <t>バアイ</t>
    </rPh>
    <rPh sb="30" eb="31">
      <t>ダ</t>
    </rPh>
    <rPh sb="32" eb="34">
      <t>ショリ</t>
    </rPh>
    <rPh sb="35" eb="37">
      <t>チュウシ</t>
    </rPh>
    <phoneticPr fontId="65"/>
  </si>
  <si>
    <t>発注取消データに対して、注文書以外の帳票（仮注文書含む）は発行できない。</t>
    <phoneticPr fontId="65"/>
  </si>
  <si>
    <t>発注取消データに対して、注文書以外の帳票は発行できません。</t>
    <rPh sb="0" eb="2">
      <t>ハッチュウ</t>
    </rPh>
    <rPh sb="2" eb="4">
      <t>トリケシ</t>
    </rPh>
    <rPh sb="8" eb="9">
      <t>タイ</t>
    </rPh>
    <rPh sb="12" eb="15">
      <t>チュウモンショ</t>
    </rPh>
    <rPh sb="15" eb="17">
      <t>イガイ</t>
    </rPh>
    <rPh sb="18" eb="20">
      <t>チョウヒョウ</t>
    </rPh>
    <rPh sb="21" eb="23">
      <t>ハッコウ</t>
    </rPh>
    <phoneticPr fontId="65"/>
  </si>
  <si>
    <t>3.</t>
    <phoneticPr fontId="65"/>
  </si>
  <si>
    <t>操作種別：帳票発行の場合</t>
    <rPh sb="5" eb="7">
      <t>チョウヒョウ</t>
    </rPh>
    <rPh sb="7" eb="9">
      <t>ハッコウ</t>
    </rPh>
    <phoneticPr fontId="65"/>
  </si>
  <si>
    <t>3.1</t>
    <phoneticPr fontId="65"/>
  </si>
  <si>
    <t>新規発行</t>
    <phoneticPr fontId="65"/>
  </si>
  <si>
    <t>(1)</t>
    <phoneticPr fontId="65"/>
  </si>
  <si>
    <t>帳票種類選択チェック</t>
    <rPh sb="0" eb="2">
      <t>チョウヒョウ</t>
    </rPh>
    <rPh sb="2" eb="4">
      <t>シュルイ</t>
    </rPh>
    <rPh sb="4" eb="6">
      <t>センタク</t>
    </rPh>
    <phoneticPr fontId="65"/>
  </si>
  <si>
    <t>次のいずれかを選択してください。</t>
  </si>
  <si>
    <t>FXBAP0060</t>
  </si>
  <si>
    <t>(2)</t>
    <phoneticPr fontId="65"/>
  </si>
  <si>
    <t>発行済かのチェック</t>
    <rPh sb="0" eb="2">
      <t>ハッコウ</t>
    </rPh>
    <rPh sb="2" eb="3">
      <t>ズ</t>
    </rPh>
    <phoneticPr fontId="65"/>
  </si>
  <si>
    <t>一覧</t>
    <phoneticPr fontId="65"/>
  </si>
  <si>
    <t>既に発行済となった場合、エラーメッセージを出し処理を中止する。</t>
    <rPh sb="0" eb="1">
      <t>スデ</t>
    </rPh>
    <rPh sb="2" eb="4">
      <t>ハッコウ</t>
    </rPh>
    <rPh sb="4" eb="5">
      <t>ズ</t>
    </rPh>
    <rPh sb="9" eb="11">
      <t>バアイ</t>
    </rPh>
    <phoneticPr fontId="65"/>
  </si>
  <si>
    <t>{1}がすでに発行済です。
行番号：{2}</t>
    <rPh sb="7" eb="9">
      <t>ハッコウ</t>
    </rPh>
    <rPh sb="9" eb="10">
      <t>スミ</t>
    </rPh>
    <phoneticPr fontId="65"/>
  </si>
  <si>
    <t>{1}：以下の帳票種類名のいずれか
　見積書、仮注文書、注文書、現品票、受領書、納品書
{2}：行番号</t>
    <rPh sb="4" eb="6">
      <t>イカ</t>
    </rPh>
    <rPh sb="7" eb="9">
      <t>チョウヒョウ</t>
    </rPh>
    <rPh sb="9" eb="11">
      <t>シュルイ</t>
    </rPh>
    <rPh sb="11" eb="12">
      <t>メイ</t>
    </rPh>
    <phoneticPr fontId="65"/>
  </si>
  <si>
    <t>(3)</t>
    <phoneticPr fontId="65"/>
  </si>
  <si>
    <t>承認状況に関するチェック</t>
    <rPh sb="0" eb="2">
      <t>ショウニン</t>
    </rPh>
    <rPh sb="2" eb="4">
      <t>ジョウキョウ</t>
    </rPh>
    <rPh sb="5" eb="6">
      <t>カン</t>
    </rPh>
    <phoneticPr fontId="65"/>
  </si>
  <si>
    <t>仮注文書</t>
    <phoneticPr fontId="65"/>
  </si>
  <si>
    <t>①</t>
    <phoneticPr fontId="65"/>
  </si>
  <si>
    <t>最終承認済</t>
    <phoneticPr fontId="65"/>
  </si>
  <si>
    <t>最終承認済となった仮注文書は発行できません。
行番号：{1}</t>
    <rPh sb="9" eb="10">
      <t>カリ</t>
    </rPh>
    <rPh sb="10" eb="13">
      <t>チュウモンショ</t>
    </rPh>
    <rPh sb="14" eb="16">
      <t>ハッコウ</t>
    </rPh>
    <phoneticPr fontId="65"/>
  </si>
  <si>
    <t>{1}：行番号</t>
    <phoneticPr fontId="65"/>
  </si>
  <si>
    <t>3.2</t>
    <phoneticPr fontId="65"/>
  </si>
  <si>
    <t>帳票発行</t>
    <rPh sb="0" eb="2">
      <t>チョウヒョウ</t>
    </rPh>
    <rPh sb="2" eb="4">
      <t>ハッコウ</t>
    </rPh>
    <phoneticPr fontId="65"/>
  </si>
  <si>
    <t>同一値の場合、</t>
    <rPh sb="2" eb="3">
      <t>アタイ</t>
    </rPh>
    <phoneticPr fontId="65"/>
  </si>
  <si>
    <t>注文書</t>
    <phoneticPr fontId="65"/>
  </si>
  <si>
    <t>見積書</t>
    <phoneticPr fontId="65"/>
  </si>
  <si>
    <t>仮注文書</t>
    <phoneticPr fontId="65"/>
  </si>
  <si>
    <t>現品票</t>
    <phoneticPr fontId="65"/>
  </si>
  <si>
    <t>受領書</t>
    <phoneticPr fontId="65"/>
  </si>
  <si>
    <t>見積書、仮注文書、受領書、現品票</t>
    <phoneticPr fontId="65"/>
  </si>
  <si>
    <t>チェックオンの帳票（見積書、仮注文書、注文書、受領書、納品書、現品票）を出力する。</t>
    <rPh sb="7" eb="9">
      <t>チョウヒョウ</t>
    </rPh>
    <phoneticPr fontId="65"/>
  </si>
  <si>
    <t>全ての帳票（見積書、仮注文書、注文書、受領書、納品書、現品票）がチェックオフの場合、</t>
    <rPh sb="0" eb="1">
      <t>スベ</t>
    </rPh>
    <rPh sb="3" eb="5">
      <t>チョウヒョウ</t>
    </rPh>
    <rPh sb="39" eb="41">
      <t>バアイ</t>
    </rPh>
    <phoneticPr fontId="65"/>
  </si>
  <si>
    <t>[一覧]選択がオンの行に対して、チェックオンの帳票（見積書、仮注文書、注文書、受領書、納品書、現品票）に対し、</t>
    <rPh sb="4" eb="6">
      <t>センタク</t>
    </rPh>
    <rPh sb="10" eb="11">
      <t>ギョウ</t>
    </rPh>
    <rPh sb="12" eb="13">
      <t>タイ</t>
    </rPh>
    <rPh sb="52" eb="53">
      <t>タイ</t>
    </rPh>
    <phoneticPr fontId="65"/>
  </si>
  <si>
    <t>再発行（現品票）</t>
    <phoneticPr fontId="65"/>
  </si>
  <si>
    <t>(4)</t>
    <phoneticPr fontId="65"/>
  </si>
  <si>
    <t>エラーメッセージ（注）を出し処理を中止する。</t>
    <rPh sb="9" eb="10">
      <t>チュウ</t>
    </rPh>
    <phoneticPr fontId="65"/>
  </si>
  <si>
    <t>（注）</t>
    <rPh sb="1" eb="2">
      <t>チュウ</t>
    </rPh>
    <phoneticPr fontId="65"/>
  </si>
  <si>
    <t>該当メッセージは標準から変更なし。メッセージ内容は以下のようになる。</t>
    <rPh sb="0" eb="2">
      <t>ガイトウ</t>
    </rPh>
    <rPh sb="8" eb="10">
      <t>ヒョウジュン</t>
    </rPh>
    <rPh sb="12" eb="14">
      <t>ヘンコウ</t>
    </rPh>
    <rPh sb="22" eb="24">
      <t>ナイヨウ</t>
    </rPh>
    <rPh sb="25" eb="27">
      <t>イカ</t>
    </rPh>
    <phoneticPr fontId="65"/>
  </si>
  <si>
    <t>実装上は標準javaソースの「checkAtLeastOne()」の引数に、以下アドオンの帳票を追加する形で実現する。</t>
    <rPh sb="0" eb="2">
      <t>ジッソウ</t>
    </rPh>
    <rPh sb="2" eb="3">
      <t>ジョウ</t>
    </rPh>
    <rPh sb="4" eb="6">
      <t>ヒョウジュン</t>
    </rPh>
    <rPh sb="34" eb="36">
      <t>ヒキスウ</t>
    </rPh>
    <rPh sb="38" eb="40">
      <t>イカ</t>
    </rPh>
    <rPh sb="45" eb="47">
      <t>チョウヒョウ</t>
    </rPh>
    <rPh sb="48" eb="50">
      <t>ツイカ</t>
    </rPh>
    <rPh sb="52" eb="53">
      <t>カタチ</t>
    </rPh>
    <rPh sb="54" eb="56">
      <t>ジツゲン</t>
    </rPh>
    <phoneticPr fontId="65"/>
  </si>
  <si>
    <t>MSBDPA0002</t>
    <phoneticPr fontId="65"/>
  </si>
  <si>
    <t>現品票以外の帳票は発行できません。</t>
    <rPh sb="0" eb="3">
      <t>ゲンピンヒョウ</t>
    </rPh>
    <rPh sb="3" eb="5">
      <t>イガイ</t>
    </rPh>
    <rPh sb="6" eb="8">
      <t>チョウヒョウ</t>
    </rPh>
    <rPh sb="9" eb="11">
      <t>ハッコウ</t>
    </rPh>
    <phoneticPr fontId="65"/>
  </si>
  <si>
    <t>現品票を選択してください。</t>
    <rPh sb="0" eb="3">
      <t>ゲンピンヒョウ</t>
    </rPh>
    <rPh sb="4" eb="6">
      <t>センタク</t>
    </rPh>
    <phoneticPr fontId="65"/>
  </si>
  <si>
    <t>MSBDPA0003</t>
  </si>
  <si>
    <t>MSBDPA0003</t>
    <phoneticPr fontId="65"/>
  </si>
  <si>
    <t>①</t>
    <phoneticPr fontId="65"/>
  </si>
  <si>
    <t>②</t>
    <phoneticPr fontId="65"/>
  </si>
  <si>
    <t>現品票以外の帳票をチェックオンした場合、エラーメッセージを出し処理を中止する。</t>
    <rPh sb="0" eb="3">
      <t>ゲンピンヒョウ</t>
    </rPh>
    <rPh sb="3" eb="5">
      <t>イガイ</t>
    </rPh>
    <rPh sb="6" eb="8">
      <t>チョウヒョウ</t>
    </rPh>
    <rPh sb="17" eb="19">
      <t>バアイ</t>
    </rPh>
    <phoneticPr fontId="65"/>
  </si>
  <si>
    <t>現品票をチェックオンした場合、エラーメッセージを出し処理を中止する。</t>
    <rPh sb="0" eb="3">
      <t>ゲンピンヒョウ</t>
    </rPh>
    <rPh sb="12" eb="14">
      <t>バアイ</t>
    </rPh>
    <phoneticPr fontId="65"/>
  </si>
  <si>
    <t>現品票をチェックオフした場合、エラーメッセージを出し処理を中止する。</t>
    <rPh sb="0" eb="3">
      <t>ゲンピンヒョウ</t>
    </rPh>
    <rPh sb="12" eb="14">
      <t>バアイ</t>
    </rPh>
    <phoneticPr fontId="65"/>
  </si>
  <si>
    <t>MSBDPA0005</t>
    <phoneticPr fontId="65"/>
  </si>
  <si>
    <t>MSBDPA0006</t>
    <phoneticPr fontId="65"/>
  </si>
  <si>
    <t>MSBDPA0005</t>
    <phoneticPr fontId="65"/>
  </si>
  <si>
    <t>MSBDPA0006</t>
    <phoneticPr fontId="65"/>
  </si>
  <si>
    <t>MSBDPA0004</t>
    <phoneticPr fontId="65"/>
  </si>
  <si>
    <t>MSBDPA0007</t>
    <phoneticPr fontId="65"/>
  </si>
  <si>
    <t>{1}は新規発行済ではないため、再発行できません。
行番号：{2}</t>
    <rPh sb="4" eb="6">
      <t>シンキ</t>
    </rPh>
    <rPh sb="6" eb="8">
      <t>ハッコウ</t>
    </rPh>
    <rPh sb="8" eb="9">
      <t>ズ</t>
    </rPh>
    <rPh sb="16" eb="17">
      <t>サイ</t>
    </rPh>
    <rPh sb="17" eb="19">
      <t>ハッコウ</t>
    </rPh>
    <phoneticPr fontId="65"/>
  </si>
  <si>
    <t>MSBDPA0007</t>
    <phoneticPr fontId="65"/>
  </si>
  <si>
    <t>現品票を再発行する。</t>
    <rPh sb="0" eb="3">
      <t>ゲンピンヒョウ</t>
    </rPh>
    <rPh sb="4" eb="5">
      <t>サイ</t>
    </rPh>
    <rPh sb="5" eb="7">
      <t>ハッコウ</t>
    </rPh>
    <phoneticPr fontId="65"/>
  </si>
  <si>
    <t>3.3</t>
    <phoneticPr fontId="65"/>
  </si>
  <si>
    <t>MSBDPA0008</t>
    <phoneticPr fontId="65"/>
  </si>
  <si>
    <t>現品票は発行できません。</t>
    <rPh sb="0" eb="3">
      <t>ゲンピンヒョウ</t>
    </rPh>
    <rPh sb="4" eb="6">
      <t>ハッコウ</t>
    </rPh>
    <phoneticPr fontId="65"/>
  </si>
  <si>
    <t>MSBDPA0008</t>
    <phoneticPr fontId="65"/>
  </si>
  <si>
    <t>現品票以外の帳票（見積書、仮注文書、注文書、受領書、納品書）が全てチェックオフの場合、</t>
    <rPh sb="3" eb="5">
      <t>イガイ</t>
    </rPh>
    <rPh sb="6" eb="8">
      <t>チョウヒョウ</t>
    </rPh>
    <rPh sb="9" eb="12">
      <t>ミツモリショ</t>
    </rPh>
    <rPh sb="13" eb="14">
      <t>カリ</t>
    </rPh>
    <rPh sb="14" eb="17">
      <t>チュウモンショ</t>
    </rPh>
    <rPh sb="18" eb="21">
      <t>チュウモンショ</t>
    </rPh>
    <rPh sb="22" eb="25">
      <t>ジュリョウショ</t>
    </rPh>
    <rPh sb="26" eb="29">
      <t>ノウヒンショ</t>
    </rPh>
    <rPh sb="31" eb="32">
      <t>スベ</t>
    </rPh>
    <rPh sb="40" eb="42">
      <t>バアイ</t>
    </rPh>
    <phoneticPr fontId="65"/>
  </si>
  <si>
    <t>見積書、仮注文書、受領書</t>
    <phoneticPr fontId="65"/>
  </si>
  <si>
    <t>エラーメッセージ（注）を出し処理を中止する。</t>
    <phoneticPr fontId="65"/>
  </si>
  <si>
    <t>チェックオンとなった帳票を再発行する。</t>
    <rPh sb="10" eb="12">
      <t>チョウヒョウ</t>
    </rPh>
    <rPh sb="13" eb="14">
      <t>サイ</t>
    </rPh>
    <rPh sb="14" eb="16">
      <t>ハッコウ</t>
    </rPh>
    <phoneticPr fontId="65"/>
  </si>
  <si>
    <t>4.</t>
    <phoneticPr fontId="65"/>
  </si>
  <si>
    <t>抽出元</t>
    <rPh sb="0" eb="2">
      <t>チュウシュツ</t>
    </rPh>
    <rPh sb="2" eb="3">
      <t>モト</t>
    </rPh>
    <phoneticPr fontId="65"/>
  </si>
  <si>
    <t>製番</t>
  </si>
  <si>
    <t>型番</t>
  </si>
  <si>
    <t>【発注明細】手配ＮＯ１</t>
  </si>
  <si>
    <t>現品票</t>
    <rPh sb="0" eb="3">
      <t>ゲンピンヒョウ</t>
    </rPh>
    <phoneticPr fontId="65"/>
  </si>
  <si>
    <t>アドオン項目の印字</t>
    <rPh sb="4" eb="6">
      <t>コウモク</t>
    </rPh>
    <rPh sb="7" eb="9">
      <t>インジ</t>
    </rPh>
    <phoneticPr fontId="65"/>
  </si>
  <si>
    <t>表面処理</t>
  </si>
  <si>
    <t>材質</t>
  </si>
  <si>
    <t>１円発注対応</t>
    <rPh sb="1" eb="2">
      <t>エン</t>
    </rPh>
    <rPh sb="2" eb="4">
      <t>ハッチュウ</t>
    </rPh>
    <rPh sb="4" eb="6">
      <t>タイオウ</t>
    </rPh>
    <phoneticPr fontId="65"/>
  </si>
  <si>
    <t>仮注文書、見積書の単価、金額を印字しない。</t>
    <phoneticPr fontId="65"/>
  </si>
  <si>
    <t>項目名</t>
    <rPh sb="2" eb="3">
      <t>メイ</t>
    </rPh>
    <phoneticPr fontId="65"/>
  </si>
  <si>
    <t>0.03</t>
    <phoneticPr fontId="65"/>
  </si>
  <si>
    <t>詳細設計書作成</t>
    <phoneticPr fontId="65"/>
  </si>
  <si>
    <t>TBK</t>
    <phoneticPr fontId="65"/>
  </si>
  <si>
    <t>【品目マスタ】品目別名２</t>
    <phoneticPr fontId="65"/>
  </si>
  <si>
    <t>【品目マスタ】品目別名４</t>
    <phoneticPr fontId="65"/>
  </si>
  <si>
    <t>【品目マスタ】品目別名３</t>
    <phoneticPr fontId="65"/>
  </si>
  <si>
    <t>発注明細の発注品目の「品目分類ＣＤ４」='a'（※）</t>
    <phoneticPr fontId="65"/>
  </si>
  <si>
    <t>単価が１円の場合、</t>
    <rPh sb="0" eb="2">
      <t>タンカ</t>
    </rPh>
    <phoneticPr fontId="65"/>
  </si>
  <si>
    <t>「新規発行」ボタン押下時</t>
    <rPh sb="9" eb="10">
      <t>オ</t>
    </rPh>
    <rPh sb="10" eb="11">
      <t>シタ</t>
    </rPh>
    <rPh sb="11" eb="12">
      <t>トキ</t>
    </rPh>
    <phoneticPr fontId="65"/>
  </si>
  <si>
    <t>「再発行（現品票）」ボタン押下時</t>
    <rPh sb="13" eb="14">
      <t>オ</t>
    </rPh>
    <rPh sb="14" eb="15">
      <t>シタ</t>
    </rPh>
    <rPh sb="15" eb="16">
      <t>トキ</t>
    </rPh>
    <phoneticPr fontId="65"/>
  </si>
  <si>
    <t>「再発行（現品票以外）」ボタン押下時</t>
    <rPh sb="8" eb="10">
      <t>イガイ</t>
    </rPh>
    <rPh sb="15" eb="16">
      <t>オ</t>
    </rPh>
    <rPh sb="16" eb="17">
      <t>シタ</t>
    </rPh>
    <rPh sb="17" eb="18">
      <t>トキ</t>
    </rPh>
    <phoneticPr fontId="65"/>
  </si>
  <si>
    <t>※「協定品区分」は複数指定不可。</t>
    <rPh sb="2" eb="4">
      <t>キョウテイ</t>
    </rPh>
    <rPh sb="4" eb="5">
      <t>ヒン</t>
    </rPh>
    <rPh sb="5" eb="7">
      <t>クブン</t>
    </rPh>
    <rPh sb="9" eb="11">
      <t>フクスウ</t>
    </rPh>
    <rPh sb="11" eb="13">
      <t>シテイ</t>
    </rPh>
    <rPh sb="13" eb="15">
      <t>フカ</t>
    </rPh>
    <phoneticPr fontId="65"/>
  </si>
  <si>
    <t>■抽出条件</t>
    <rPh sb="1" eb="3">
      <t>チュウシュツ</t>
    </rPh>
    <rPh sb="3" eb="5">
      <t>ジョウケン</t>
    </rPh>
    <phoneticPr fontId="65"/>
  </si>
  <si>
    <t>【購買単価マスタ】品目</t>
    <phoneticPr fontId="65"/>
  </si>
  <si>
    <t>＝</t>
    <phoneticPr fontId="65"/>
  </si>
  <si>
    <t>【発注明細】品目</t>
    <phoneticPr fontId="65"/>
  </si>
  <si>
    <t>【購買単価マスタ】単位</t>
    <phoneticPr fontId="65"/>
  </si>
  <si>
    <t>【発注明細】取引単位</t>
    <phoneticPr fontId="65"/>
  </si>
  <si>
    <t>【購買単価マスタ】適用開始日</t>
    <phoneticPr fontId="65"/>
  </si>
  <si>
    <t>【購買単価マスタ】適用終了日</t>
    <phoneticPr fontId="65"/>
  </si>
  <si>
    <t>発行済ではない場合、エラーメッセージを出し処理を中止する。</t>
    <rPh sb="0" eb="2">
      <t>ハッコウ</t>
    </rPh>
    <rPh sb="2" eb="3">
      <t>ズ</t>
    </rPh>
    <rPh sb="7" eb="9">
      <t>バアイ</t>
    </rPh>
    <phoneticPr fontId="65"/>
  </si>
  <si>
    <t>ボタン</t>
  </si>
  <si>
    <t>ロジック名称</t>
  </si>
  <si>
    <t>Prnt01/帳票発行</t>
    <rPh sb="7" eb="9">
      <t>チョウヒョウ</t>
    </rPh>
    <rPh sb="9" eb="11">
      <t>ハッコウ</t>
    </rPh>
    <phoneticPr fontId="65"/>
  </si>
  <si>
    <t>備考</t>
    <rPh sb="0" eb="2">
      <t>ビコウ</t>
    </rPh>
    <phoneticPr fontId="65"/>
  </si>
  <si>
    <t>【発注ヘッダ】の項目設定仕様</t>
    <phoneticPr fontId="65"/>
  </si>
  <si>
    <t>転送先</t>
  </si>
  <si>
    <t>転送元</t>
  </si>
  <si>
    <t>種</t>
  </si>
  <si>
    <t>オブジェクト</t>
  </si>
  <si>
    <t>項目名</t>
  </si>
  <si>
    <t>T</t>
    <phoneticPr fontId="65"/>
  </si>
  <si>
    <t>【発注ヘッダ】</t>
    <phoneticPr fontId="65"/>
  </si>
  <si>
    <t>注文書発行済ＦＬＧ</t>
    <phoneticPr fontId="65"/>
  </si>
  <si>
    <t>見積書発行済ＦＬＧ</t>
  </si>
  <si>
    <t>仮注文書発行済ＦＬＧ</t>
  </si>
  <si>
    <t>納品書発行済ＦＬＧ</t>
  </si>
  <si>
    <t>受領書発行済ＦＬＧ</t>
  </si>
  <si>
    <t>【発注明細】の項目設定仕様</t>
    <phoneticPr fontId="65"/>
  </si>
  <si>
    <t>現品票発行済ＦＬＧ</t>
    <phoneticPr fontId="65"/>
  </si>
  <si>
    <t>0.04</t>
    <phoneticPr fontId="65"/>
  </si>
  <si>
    <t>更新する</t>
    <rPh sb="0" eb="2">
      <t>コウシン</t>
    </rPh>
    <phoneticPr fontId="65"/>
  </si>
  <si>
    <t>画</t>
    <rPh sb="0" eb="1">
      <t>ガ</t>
    </rPh>
    <phoneticPr fontId="65"/>
  </si>
  <si>
    <t>画面．注文書ＦＬＧ=オンの場合、発注NOをキーに【発注ヘッダ】注文書発行済ＦＬＧをオンに更新する。
※【発注ヘッダ】発注改訂番号が上がった場合でも、注文書発行済ＦＬＧはオフにリセットしない。</t>
    <rPh sb="0" eb="2">
      <t>ガメン</t>
    </rPh>
    <rPh sb="13" eb="15">
      <t>バアイ</t>
    </rPh>
    <rPh sb="16" eb="18">
      <t>ハッチュウ</t>
    </rPh>
    <rPh sb="25" eb="27">
      <t>ハッチュウ</t>
    </rPh>
    <rPh sb="44" eb="46">
      <t>コウシン</t>
    </rPh>
    <rPh sb="66" eb="67">
      <t>ア</t>
    </rPh>
    <rPh sb="70" eb="72">
      <t>バアイ</t>
    </rPh>
    <phoneticPr fontId="65"/>
  </si>
  <si>
    <t>画面．見積書ＦＬＧ=オンの場合、発注NOをキーに【発注ヘッダ】見積書発行済ＦＬＧをオンに更新する。
※【発注ヘッダ】発注改訂番号が上がった場合でも、見積書発行済ＦＬＧはオフにリセットしない。</t>
    <phoneticPr fontId="65"/>
  </si>
  <si>
    <t>画面．仮注文書ＦＬＧ=オンの場合、発注NOをキーに【発注ヘッダ】仮注文書発行済ＦＬＧをオンに更新する。
※【発注ヘッダ】発注改訂番号が上がった場合でも、仮注文書発行済ＦＬＧはオフにリセットしない。</t>
    <phoneticPr fontId="65"/>
  </si>
  <si>
    <t>画面．納品書ＦＬＧ=オンの場合、発注NOをキーに【発注ヘッダ】納品書発行済ＦＬＧをオンに更新する。
※【発注ヘッダ】発注改訂番号が上がった場合でも、納品書発行済ＦＬＧはオフにリセットしない。</t>
    <phoneticPr fontId="65"/>
  </si>
  <si>
    <t>画面．受領書ＦＬＧ=オンの場合、発注NOをキーに【発注ヘッダ】受領書発行済ＦＬＧをオンに更新する。
※【発注ヘッダ】発注改訂番号が上がった場合でも、受領書発行済ＦＬＧはオフにリセットしない。</t>
    <phoneticPr fontId="65"/>
  </si>
  <si>
    <t>【発注明細】</t>
    <rPh sb="3" eb="5">
      <t>メイサイ</t>
    </rPh>
    <phoneticPr fontId="65"/>
  </si>
  <si>
    <t>開発QA-T-0003_発注一覧登録において、各種帳票再発行の定義について</t>
  </si>
  <si>
    <t>5.</t>
    <phoneticPr fontId="65"/>
  </si>
  <si>
    <t>発行済ＦＬＧを更新する。</t>
    <rPh sb="0" eb="2">
      <t>ハッコウ</t>
    </rPh>
    <rPh sb="2" eb="3">
      <t>ズ</t>
    </rPh>
    <rPh sb="7" eb="9">
      <t>コウシン</t>
    </rPh>
    <phoneticPr fontId="65"/>
  </si>
  <si>
    <t>詳細は更新入出力仕様シートを参照</t>
    <rPh sb="14" eb="16">
      <t>サンショウ</t>
    </rPh>
    <phoneticPr fontId="65"/>
  </si>
  <si>
    <t>【発注ヘッダ】</t>
    <rPh sb="1" eb="3">
      <t>ハッチュウ</t>
    </rPh>
    <phoneticPr fontId="65"/>
  </si>
  <si>
    <t>【発注明細】</t>
    <rPh sb="1" eb="3">
      <t>ハッチュウ</t>
    </rPh>
    <rPh sb="3" eb="5">
      <t>メイサイ</t>
    </rPh>
    <phoneticPr fontId="65"/>
  </si>
  <si>
    <t>詳細設計レビュー対応</t>
    <phoneticPr fontId="65"/>
  </si>
  <si>
    <t>更新入出力仕様シートを追加</t>
    <phoneticPr fontId="65"/>
  </si>
  <si>
    <t>更新入出力仕様</t>
    <phoneticPr fontId="65"/>
  </si>
  <si>
    <t>画面．現品票ＦＬＧ=オンの場合、発注明細NOをキーに【発注明細】現品票発行済ＦＬＧをオンに更新する。
※【発注明細】発注改訂番号が上がった場合でも、現品票発行済ＦＬＧはオフにリセットしない。</t>
    <rPh sb="3" eb="6">
      <t>ゲンピンヒョウ</t>
    </rPh>
    <rPh sb="18" eb="20">
      <t>メイサイ</t>
    </rPh>
    <rPh sb="29" eb="31">
      <t>メイサイ</t>
    </rPh>
    <rPh sb="32" eb="35">
      <t>ゲンピンヒョウ</t>
    </rPh>
    <rPh sb="56" eb="58">
      <t>メイサイ</t>
    </rPh>
    <rPh sb="75" eb="78">
      <t>ゲンピンヒョウ</t>
    </rPh>
    <phoneticPr fontId="65"/>
  </si>
  <si>
    <t>共通項目４</t>
    <phoneticPr fontId="65"/>
  </si>
  <si>
    <t>※発行済ＦＬＧ=オンの場合、発行済として扱う。</t>
    <rPh sb="1" eb="3">
      <t>ハッコウ</t>
    </rPh>
    <rPh sb="3" eb="4">
      <t>ズ</t>
    </rPh>
    <rPh sb="11" eb="13">
      <t>バアイ</t>
    </rPh>
    <rPh sb="20" eb="21">
      <t>アツカ</t>
    </rPh>
    <phoneticPr fontId="65"/>
  </si>
  <si>
    <t>帳票</t>
    <rPh sb="0" eb="2">
      <t>チョウヒョウ</t>
    </rPh>
    <phoneticPr fontId="65"/>
  </si>
  <si>
    <t>見積書</t>
    <rPh sb="0" eb="2">
      <t>ミツモリ</t>
    </rPh>
    <rPh sb="2" eb="3">
      <t>ショ</t>
    </rPh>
    <phoneticPr fontId="65"/>
  </si>
  <si>
    <t>仮注文書</t>
    <rPh sb="0" eb="4">
      <t>カリチュウモンショ</t>
    </rPh>
    <phoneticPr fontId="65"/>
  </si>
  <si>
    <t>注文書</t>
    <rPh sb="0" eb="3">
      <t>チュウモンショ</t>
    </rPh>
    <phoneticPr fontId="65"/>
  </si>
  <si>
    <t>受領書</t>
    <rPh sb="0" eb="3">
      <t>ジュリョウショ</t>
    </rPh>
    <phoneticPr fontId="65"/>
  </si>
  <si>
    <t>納品書</t>
    <rPh sb="0" eb="2">
      <t>ノウヒン</t>
    </rPh>
    <rPh sb="2" eb="3">
      <t>ショ</t>
    </rPh>
    <phoneticPr fontId="65"/>
  </si>
  <si>
    <t>【発注ヘッダ】見積書発行済ＦＬＧ</t>
    <rPh sb="1" eb="3">
      <t>ハッチュウ</t>
    </rPh>
    <rPh sb="10" eb="13">
      <t>ハッコウズ</t>
    </rPh>
    <phoneticPr fontId="65"/>
  </si>
  <si>
    <t>【発注ヘッダ】仮注文書発行済ＦＬＧ</t>
    <rPh sb="1" eb="3">
      <t>ハッチュウ</t>
    </rPh>
    <rPh sb="7" eb="11">
      <t>カリチュウモンショ</t>
    </rPh>
    <rPh sb="11" eb="13">
      <t>ハッコウ</t>
    </rPh>
    <rPh sb="13" eb="14">
      <t>ズ</t>
    </rPh>
    <phoneticPr fontId="65"/>
  </si>
  <si>
    <t>【発注ヘッダ】注文書発行済ＦＬＧ</t>
    <rPh sb="1" eb="3">
      <t>ハッチュウ</t>
    </rPh>
    <rPh sb="7" eb="10">
      <t>チュウモンショ</t>
    </rPh>
    <rPh sb="10" eb="13">
      <t>ハッコウズ</t>
    </rPh>
    <phoneticPr fontId="65"/>
  </si>
  <si>
    <t>【発注ヘッダ】受領書発行済ＦＬＧ</t>
    <rPh sb="1" eb="3">
      <t>ハッチュウ</t>
    </rPh>
    <rPh sb="7" eb="10">
      <t>ジュリョウショ</t>
    </rPh>
    <rPh sb="10" eb="13">
      <t>ハッコウズ</t>
    </rPh>
    <phoneticPr fontId="65"/>
  </si>
  <si>
    <t>【発注ヘッダ】納品書発行済ＦＬＧ</t>
    <rPh sb="1" eb="3">
      <t>ハッチュウ</t>
    </rPh>
    <rPh sb="7" eb="10">
      <t>ノウヒンショ</t>
    </rPh>
    <rPh sb="10" eb="12">
      <t>ハッコウ</t>
    </rPh>
    <rPh sb="12" eb="13">
      <t>ズ</t>
    </rPh>
    <phoneticPr fontId="65"/>
  </si>
  <si>
    <t>【発注明細】現品票発行済ＦＬＧ</t>
    <rPh sb="1" eb="3">
      <t>ハッチュウ</t>
    </rPh>
    <rPh sb="3" eb="5">
      <t>メイサイ</t>
    </rPh>
    <rPh sb="6" eb="9">
      <t>ゲンピンヒョウ</t>
    </rPh>
    <rPh sb="9" eb="11">
      <t>ハッコウ</t>
    </rPh>
    <rPh sb="11" eb="12">
      <t>ズ</t>
    </rPh>
    <phoneticPr fontId="65"/>
  </si>
  <si>
    <t>対象発行済ＦＬＧ</t>
    <rPh sb="0" eb="2">
      <t>タイショウ</t>
    </rPh>
    <rPh sb="2" eb="4">
      <t>ハッコウ</t>
    </rPh>
    <rPh sb="4" eb="5">
      <t>ズ</t>
    </rPh>
    <phoneticPr fontId="65"/>
  </si>
  <si>
    <t>処理詳細</t>
    <phoneticPr fontId="65"/>
  </si>
  <si>
    <t>発注済みのチェックロジック詳細を追加</t>
    <rPh sb="13" eb="15">
      <t>ショウサイ</t>
    </rPh>
    <rPh sb="16" eb="18">
      <t>ツイカ</t>
    </rPh>
    <phoneticPr fontId="65"/>
  </si>
  <si>
    <t>[一覧]承認状況区分が'9'（最終承認済）の場合、エラーメッセージを出し処理を中止する。</t>
    <rPh sb="1" eb="3">
      <t>イチラン</t>
    </rPh>
    <rPh sb="4" eb="6">
      <t>ショウニン</t>
    </rPh>
    <rPh sb="6" eb="8">
      <t>ジョウキョウ</t>
    </rPh>
    <rPh sb="8" eb="10">
      <t>クブン</t>
    </rPh>
    <rPh sb="22" eb="24">
      <t>バアイ</t>
    </rPh>
    <phoneticPr fontId="65"/>
  </si>
  <si>
    <t>[一覧]選択がオンの行に対して、チェックオンの帳票（見積書、仮注文書、注文書、受領書、納品書、現品票）に対し、帳票を発行する。</t>
    <phoneticPr fontId="65"/>
  </si>
  <si>
    <t>※チェックエラーが１件でもある場合、帳票発行処理を行わない。</t>
    <rPh sb="18" eb="20">
      <t>チョウヒョウ</t>
    </rPh>
    <rPh sb="20" eb="22">
      <t>ハッコウ</t>
    </rPh>
    <rPh sb="22" eb="24">
      <t>ショリ</t>
    </rPh>
    <rPh sb="25" eb="26">
      <t>オコナ</t>
    </rPh>
    <phoneticPr fontId="65"/>
  </si>
  <si>
    <t>開発QA-T-0006_発注一覧登録のセット品関連仕様について</t>
    <phoneticPr fontId="65"/>
  </si>
  <si>
    <t>品目区分名</t>
    <phoneticPr fontId="65"/>
  </si>
  <si>
    <t>新</t>
    <phoneticPr fontId="65"/>
  </si>
  <si>
    <t>S</t>
    <phoneticPr fontId="65"/>
  </si>
  <si>
    <t>現品票印刷（明細）</t>
    <rPh sb="3" eb="5">
      <t>インサツ</t>
    </rPh>
    <rPh sb="6" eb="8">
      <t>メイサイ</t>
    </rPh>
    <phoneticPr fontId="65"/>
  </si>
  <si>
    <t>種別＝参照する 且つ 検索モード＝明細の場合、明細単位の現品票を発行する。</t>
    <rPh sb="8" eb="9">
      <t>カ</t>
    </rPh>
    <rPh sb="20" eb="22">
      <t>バアイ</t>
    </rPh>
    <rPh sb="23" eb="25">
      <t>メイサイ</t>
    </rPh>
    <rPh sb="25" eb="27">
      <t>タンイ</t>
    </rPh>
    <phoneticPr fontId="65"/>
  </si>
  <si>
    <t>現品票印刷（明細）ボタンの追加</t>
    <rPh sb="13" eb="15">
      <t>ツイカ</t>
    </rPh>
    <phoneticPr fontId="65"/>
  </si>
  <si>
    <t>開発QA-T-0001対応</t>
    <rPh sb="11" eb="13">
      <t>タイオウ</t>
    </rPh>
    <phoneticPr fontId="65"/>
  </si>
  <si>
    <t>画面イメージ、項目説明（カスタマイズ）</t>
    <phoneticPr fontId="65"/>
  </si>
  <si>
    <t>開発QA-T-0006対応</t>
    <rPh sb="11" eb="13">
      <t>タイオウ</t>
    </rPh>
    <phoneticPr fontId="65"/>
  </si>
  <si>
    <t>現品票を発行する場合にオンにする。
種別＝参照する 且つ 検索モード＝明細の場合、オン固定。</t>
    <rPh sb="43" eb="45">
      <t>コテイ</t>
    </rPh>
    <phoneticPr fontId="65"/>
  </si>
  <si>
    <t>品目別名１の追加</t>
    <rPh sb="6" eb="8">
      <t>ツイカ</t>
    </rPh>
    <phoneticPr fontId="65"/>
  </si>
  <si>
    <t>セット品番で検索する場合に指定する。</t>
    <rPh sb="3" eb="5">
      <t>ヒンバン</t>
    </rPh>
    <rPh sb="6" eb="8">
      <t>ケンサク</t>
    </rPh>
    <rPh sb="10" eb="12">
      <t>バアイ</t>
    </rPh>
    <rPh sb="13" eb="15">
      <t>シテイ</t>
    </rPh>
    <phoneticPr fontId="65"/>
  </si>
  <si>
    <t>品目別名１</t>
    <phoneticPr fontId="65"/>
  </si>
  <si>
    <t>品目マスタの品目別名１を表示する。</t>
    <rPh sb="0" eb="2">
      <t>ヒンモク</t>
    </rPh>
    <rPh sb="6" eb="8">
      <t>ヒンモク</t>
    </rPh>
    <rPh sb="8" eb="10">
      <t>ベツメイ</t>
    </rPh>
    <rPh sb="12" eb="14">
      <t>ヒョウジ</t>
    </rPh>
    <phoneticPr fontId="65"/>
  </si>
  <si>
    <t>8.</t>
    <phoneticPr fontId="65"/>
  </si>
  <si>
    <t>概要（カスタマイズ）、項目説明（カスタマイズ）</t>
    <phoneticPr fontId="65"/>
  </si>
  <si>
    <t>検索項目に「品目別名１」を追加。</t>
    <rPh sb="0" eb="2">
      <t>ケンサク</t>
    </rPh>
    <rPh sb="2" eb="4">
      <t>コウモク</t>
    </rPh>
    <rPh sb="6" eb="8">
      <t>ヒンモク</t>
    </rPh>
    <rPh sb="8" eb="10">
      <t>ベツメイ</t>
    </rPh>
    <rPh sb="13" eb="15">
      <t>ツイカ</t>
    </rPh>
    <phoneticPr fontId="65"/>
  </si>
  <si>
    <t>一覧項目に「品目別名１」を追加。</t>
    <rPh sb="0" eb="2">
      <t>イチラン</t>
    </rPh>
    <rPh sb="2" eb="4">
      <t>コウモク</t>
    </rPh>
    <rPh sb="6" eb="8">
      <t>ヒンモク</t>
    </rPh>
    <rPh sb="8" eb="10">
      <t>ベツメイ</t>
    </rPh>
    <rPh sb="13" eb="15">
      <t>ツイカ</t>
    </rPh>
    <phoneticPr fontId="65"/>
  </si>
  <si>
    <t>現品票、見積書以外</t>
    <rPh sb="0" eb="3">
      <t>ゲンピンヒョウ</t>
    </rPh>
    <rPh sb="4" eb="7">
      <t>ミツモリショ</t>
    </rPh>
    <rPh sb="7" eb="9">
      <t>イガイ</t>
    </rPh>
    <phoneticPr fontId="65"/>
  </si>
  <si>
    <t>見積書</t>
    <rPh sb="0" eb="3">
      <t>ミツモリショ</t>
    </rPh>
    <phoneticPr fontId="65"/>
  </si>
  <si>
    <t>協定品区分</t>
    <rPh sb="0" eb="3">
      <t>キョウテイヒン</t>
    </rPh>
    <rPh sb="3" eb="5">
      <t>クブン</t>
    </rPh>
    <phoneticPr fontId="65"/>
  </si>
  <si>
    <t>③</t>
    <phoneticPr fontId="65"/>
  </si>
  <si>
    <t>表示する値も汎用マスタ（汎用区分：S005）に保持する</t>
    <phoneticPr fontId="65"/>
  </si>
  <si>
    <t>品目分類４が協定品に該当する場合、</t>
    <phoneticPr fontId="65"/>
  </si>
  <si>
    <t>汎用マスタから表示記号を取得し、表示する。</t>
    <phoneticPr fontId="65"/>
  </si>
  <si>
    <t>それ以外の場合は空白とする</t>
    <phoneticPr fontId="65"/>
  </si>
  <si>
    <t>メーカ名</t>
    <rPh sb="3" eb="4">
      <t>メイ</t>
    </rPh>
    <phoneticPr fontId="65"/>
  </si>
  <si>
    <t>【発注明細】メーカＣＤに対するメーカ名</t>
    <rPh sb="1" eb="3">
      <t>ハッチュウ</t>
    </rPh>
    <rPh sb="3" eb="5">
      <t>メイサイ</t>
    </rPh>
    <rPh sb="12" eb="13">
      <t>タイ</t>
    </rPh>
    <rPh sb="18" eb="19">
      <t>メイ</t>
    </rPh>
    <phoneticPr fontId="65"/>
  </si>
  <si>
    <t>文書名</t>
    <rPh sb="0" eb="2">
      <t>ブンショ</t>
    </rPh>
    <rPh sb="2" eb="3">
      <t>メイ</t>
    </rPh>
    <phoneticPr fontId="65"/>
  </si>
  <si>
    <t>モジュールID</t>
    <phoneticPr fontId="65"/>
  </si>
  <si>
    <t>モジュール名</t>
    <rPh sb="5" eb="6">
      <t>メイ</t>
    </rPh>
    <phoneticPr fontId="65"/>
  </si>
  <si>
    <t>文書番号</t>
    <rPh sb="0" eb="2">
      <t>ブンショ</t>
    </rPh>
    <rPh sb="2" eb="4">
      <t>バンゴウ</t>
    </rPh>
    <phoneticPr fontId="65"/>
  </si>
  <si>
    <t>Version</t>
    <phoneticPr fontId="65"/>
  </si>
  <si>
    <t>Rev.</t>
    <phoneticPr fontId="65"/>
  </si>
  <si>
    <t>ｻﾌﾞﾓｼﾞｭｰﾙID</t>
    <phoneticPr fontId="65"/>
  </si>
  <si>
    <t>ｻﾌﾞﾓｼﾞｭｰﾙ名</t>
    <rPh sb="9" eb="10">
      <t>メイ</t>
    </rPh>
    <phoneticPr fontId="65"/>
  </si>
  <si>
    <t>表題</t>
    <rPh sb="0" eb="2">
      <t>ヒョウダイ</t>
    </rPh>
    <phoneticPr fontId="65"/>
  </si>
  <si>
    <t>入力</t>
    <rPh sb="0" eb="2">
      <t>ニュウリョク</t>
    </rPh>
    <phoneticPr fontId="65"/>
  </si>
  <si>
    <t>処理</t>
    <rPh sb="0" eb="2">
      <t>ショリ</t>
    </rPh>
    <phoneticPr fontId="65"/>
  </si>
  <si>
    <t>出力</t>
    <rPh sb="0" eb="2">
      <t>シュツリョク</t>
    </rPh>
    <phoneticPr fontId="65"/>
  </si>
  <si>
    <t>Srch01/検索</t>
    <rPh sb="7" eb="9">
      <t>ケンサク</t>
    </rPh>
    <phoneticPr fontId="65"/>
  </si>
  <si>
    <t>発注情報を検索する</t>
    <rPh sb="0" eb="2">
      <t>ハッチュウ</t>
    </rPh>
    <rPh sb="2" eb="4">
      <t>ジョウホウ</t>
    </rPh>
    <rPh sb="5" eb="7">
      <t>ケンサク</t>
    </rPh>
    <phoneticPr fontId="65"/>
  </si>
  <si>
    <t>標準から変更なし。</t>
    <phoneticPr fontId="70"/>
  </si>
  <si>
    <t>Srch02/検索</t>
    <rPh sb="7" eb="9">
      <t>ケンサク</t>
    </rPh>
    <phoneticPr fontId="65"/>
  </si>
  <si>
    <t>発注予定を検索する</t>
    <rPh sb="0" eb="2">
      <t>ハッチュウ</t>
    </rPh>
    <rPh sb="2" eb="4">
      <t>ヨテイ</t>
    </rPh>
    <rPh sb="5" eb="7">
      <t>ケンサク</t>
    </rPh>
    <phoneticPr fontId="65"/>
  </si>
  <si>
    <t>Ins01/登録</t>
    <rPh sb="6" eb="8">
      <t>トウロク</t>
    </rPh>
    <phoneticPr fontId="65"/>
  </si>
  <si>
    <t>発注を登録する。</t>
    <rPh sb="0" eb="2">
      <t>ハッチュウ</t>
    </rPh>
    <rPh sb="3" eb="5">
      <t>トウロク</t>
    </rPh>
    <phoneticPr fontId="65"/>
  </si>
  <si>
    <t>発注情報の登録処理。</t>
    <rPh sb="0" eb="2">
      <t>ハッチュウ</t>
    </rPh>
    <rPh sb="2" eb="4">
      <t>ジョウホウ</t>
    </rPh>
    <rPh sb="5" eb="7">
      <t>トウロク</t>
    </rPh>
    <rPh sb="7" eb="9">
      <t>ショリ</t>
    </rPh>
    <phoneticPr fontId="65"/>
  </si>
  <si>
    <t>・発注登録時、協定品の場合に購買単価マスタの登録有無をチェックし、登録がない場合エラー（処理継続不可）とする。</t>
    <rPh sb="1" eb="3">
      <t>ハッチュウ</t>
    </rPh>
    <rPh sb="3" eb="5">
      <t>トウロク</t>
    </rPh>
    <rPh sb="5" eb="6">
      <t>ジ</t>
    </rPh>
    <rPh sb="7" eb="9">
      <t>キョウテイ</t>
    </rPh>
    <rPh sb="9" eb="10">
      <t>ヒン</t>
    </rPh>
    <rPh sb="11" eb="13">
      <t>バアイ</t>
    </rPh>
    <rPh sb="14" eb="18">
      <t>コウバイタンカ</t>
    </rPh>
    <rPh sb="22" eb="24">
      <t>トウロク</t>
    </rPh>
    <rPh sb="24" eb="26">
      <t>ウム</t>
    </rPh>
    <rPh sb="33" eb="35">
      <t>トウロク</t>
    </rPh>
    <rPh sb="38" eb="40">
      <t>バアイ</t>
    </rPh>
    <rPh sb="44" eb="46">
      <t>ショリ</t>
    </rPh>
    <rPh sb="46" eb="48">
      <t>ケイゾク</t>
    </rPh>
    <rPh sb="48" eb="50">
      <t>フカ</t>
    </rPh>
    <phoneticPr fontId="65"/>
  </si>
  <si>
    <t>・協定品場合の購買単価チェック以外は、標準から変更なし。</t>
    <rPh sb="15" eb="17">
      <t>イガイ</t>
    </rPh>
    <phoneticPr fontId="65"/>
  </si>
  <si>
    <t>承認提供サービス（MBBAL5010）を呼び出して、発注承認データを作成する。</t>
    <rPh sb="20" eb="21">
      <t>ヨ</t>
    </rPh>
    <rPh sb="22" eb="23">
      <t>ダ</t>
    </rPh>
    <rPh sb="26" eb="28">
      <t>ハッチュウ</t>
    </rPh>
    <rPh sb="28" eb="30">
      <t>ショウニン</t>
    </rPh>
    <rPh sb="34" eb="36">
      <t>サクセイ</t>
    </rPh>
    <phoneticPr fontId="65"/>
  </si>
  <si>
    <t>2.1</t>
    <phoneticPr fontId="65"/>
  </si>
  <si>
    <t>承認提供サービスを実行するための上り電文の設定を行う。</t>
    <phoneticPr fontId="65"/>
  </si>
  <si>
    <t>・承認作成元拡張項目１に「発注伝票区分」を設定する。</t>
    <rPh sb="21" eb="23">
      <t>セッテイ</t>
    </rPh>
    <phoneticPr fontId="65"/>
  </si>
  <si>
    <t>全発注明細が協定品の場合、「1：協定品発注伝票」を設定する。</t>
    <rPh sb="0" eb="1">
      <t>ゼン</t>
    </rPh>
    <rPh sb="1" eb="3">
      <t>ハッチュウ</t>
    </rPh>
    <rPh sb="3" eb="5">
      <t>メイサイ</t>
    </rPh>
    <rPh sb="10" eb="12">
      <t>バアイ</t>
    </rPh>
    <phoneticPr fontId="65"/>
  </si>
  <si>
    <t>全発注明細が通常品の場合、「2：通常品発注伝票」を設定する。</t>
    <rPh sb="0" eb="1">
      <t>ゼン</t>
    </rPh>
    <rPh sb="1" eb="3">
      <t>ハッチュウ</t>
    </rPh>
    <rPh sb="3" eb="5">
      <t>メイサイ</t>
    </rPh>
    <rPh sb="6" eb="8">
      <t>ツウジョウ</t>
    </rPh>
    <rPh sb="8" eb="9">
      <t>ヒン</t>
    </rPh>
    <rPh sb="10" eb="12">
      <t>バアイ</t>
    </rPh>
    <phoneticPr fontId="65"/>
  </si>
  <si>
    <t>協定品と通常品が混在した場合、「2：通常品発注伝票」を設定する。</t>
    <rPh sb="8" eb="10">
      <t>コンザイ</t>
    </rPh>
    <rPh sb="12" eb="14">
      <t>バアイ</t>
    </rPh>
    <rPh sb="27" eb="29">
      <t>セッテイ</t>
    </rPh>
    <phoneticPr fontId="65"/>
  </si>
  <si>
    <t>・承認作成元拡張項目１以外は標準通り。</t>
    <rPh sb="11" eb="13">
      <t>イガイ</t>
    </rPh>
    <rPh sb="14" eb="16">
      <t>ヒョウジュン</t>
    </rPh>
    <rPh sb="16" eb="17">
      <t>トオ</t>
    </rPh>
    <phoneticPr fontId="65"/>
  </si>
  <si>
    <t>2.2</t>
    <phoneticPr fontId="65"/>
  </si>
  <si>
    <t>承認提供サービスを実行する。</t>
    <rPh sb="9" eb="11">
      <t>ジッコウ</t>
    </rPh>
    <phoneticPr fontId="65"/>
  </si>
  <si>
    <t>【承認情報ヘッダ】</t>
    <rPh sb="1" eb="3">
      <t>ショウニン</t>
    </rPh>
    <rPh sb="3" eb="5">
      <t>ジョウホウ</t>
    </rPh>
    <phoneticPr fontId="65"/>
  </si>
  <si>
    <t>・標準から変更なし。</t>
    <phoneticPr fontId="65"/>
  </si>
  <si>
    <t>【承認情報明細】</t>
    <rPh sb="1" eb="3">
      <t>ショウニン</t>
    </rPh>
    <rPh sb="3" eb="5">
      <t>ジョウホウ</t>
    </rPh>
    <rPh sb="5" eb="7">
      <t>メイサイ</t>
    </rPh>
    <phoneticPr fontId="65"/>
  </si>
  <si>
    <t>Del01/取消</t>
    <rPh sb="6" eb="8">
      <t>トリケシ</t>
    </rPh>
    <phoneticPr fontId="65"/>
  </si>
  <si>
    <t>発注を取り消す。</t>
    <rPh sb="0" eb="2">
      <t>ハッチュウ</t>
    </rPh>
    <rPh sb="3" eb="4">
      <t>ト</t>
    </rPh>
    <rPh sb="5" eb="6">
      <t>ケ</t>
    </rPh>
    <phoneticPr fontId="65"/>
  </si>
  <si>
    <t>帳票を発行する。</t>
    <rPh sb="0" eb="2">
      <t>チョウヒョウ</t>
    </rPh>
    <rPh sb="3" eb="5">
      <t>ハッコウ</t>
    </rPh>
    <phoneticPr fontId="65"/>
  </si>
  <si>
    <t>選択されているチェックボックスに応じて、帳票を発行する。</t>
    <rPh sb="0" eb="2">
      <t>センタク</t>
    </rPh>
    <rPh sb="16" eb="17">
      <t>オウ</t>
    </rPh>
    <rPh sb="20" eb="22">
      <t>チョウヒョウ</t>
    </rPh>
    <rPh sb="23" eb="25">
      <t>ハッコウ</t>
    </rPh>
    <phoneticPr fontId="65"/>
  </si>
  <si>
    <t>詳細仕様は「補足説明」を参照。</t>
    <rPh sb="0" eb="2">
      <t>ショウサイ</t>
    </rPh>
    <rPh sb="2" eb="4">
      <t>シヨウ</t>
    </rPh>
    <rPh sb="12" eb="14">
      <t>サンショウ</t>
    </rPh>
    <phoneticPr fontId="65"/>
  </si>
  <si>
    <t>株式会社H</t>
    <phoneticPr fontId="6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</si>
</sst>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quot;-&quot;"/>
    <numFmt numFmtId="177" formatCode="0.0_ "/>
    <numFmt numFmtId="178" formatCode="0.0_);[Red]\(0.0\)"/>
    <numFmt numFmtId="179" formatCode="0.0;&quot;▲ &quot;0.0"/>
  </numFmts>
  <fonts count="72">
    <font>
      <sz val="11"/>
      <name val="ＭＳ Ｐゴシック"/>
      <charset val="128"/>
    </font>
    <font>
      <sz val="10"/>
      <name val="Meiryo UI"/>
      <family val="3"/>
      <charset val="128"/>
    </font>
    <font>
      <sz val="9"/>
      <name val="Meiryo UI"/>
      <family val="3"/>
      <charset val="128"/>
    </font>
    <font>
      <sz val="12"/>
      <name val="メイリオ"/>
      <family val="3"/>
      <charset val="128"/>
    </font>
    <font>
      <sz val="12"/>
      <name val="ＭＳ Ｐゴシック"/>
      <family val="3"/>
      <charset val="128"/>
    </font>
    <font>
      <sz val="9"/>
      <color rgb="FFFF0000"/>
      <name val="Meiryo UI"/>
      <family val="3"/>
      <charset val="128"/>
    </font>
    <font>
      <b/>
      <sz val="11"/>
      <name val="Meiryo UI"/>
      <family val="3"/>
      <charset val="128"/>
    </font>
    <font>
      <b/>
      <sz val="9"/>
      <name val="Meiryo UI"/>
      <family val="3"/>
      <charset val="128"/>
    </font>
    <font>
      <sz val="9"/>
      <name val="ＭＳ Ｐゴシック"/>
      <family val="3"/>
      <charset val="128"/>
    </font>
    <font>
      <sz val="11"/>
      <name val="Meiryo UI"/>
      <family val="3"/>
      <charset val="128"/>
    </font>
    <font>
      <sz val="10"/>
      <color theme="1"/>
      <name val="Meiryo UI"/>
      <family val="3"/>
      <charset val="128"/>
    </font>
    <font>
      <b/>
      <sz val="8"/>
      <name val="Meiryo UI"/>
      <family val="3"/>
      <charset val="128"/>
    </font>
    <font>
      <sz val="6"/>
      <name val="Meiryo UI"/>
      <family val="3"/>
      <charset val="128"/>
    </font>
    <font>
      <b/>
      <sz val="9"/>
      <color theme="1"/>
      <name val="Meiryo UI"/>
      <family val="3"/>
      <charset val="128"/>
    </font>
    <font>
      <sz val="9"/>
      <color theme="1"/>
      <name val="Meiryo UI"/>
      <family val="3"/>
      <charset val="128"/>
    </font>
    <font>
      <sz val="9"/>
      <color rgb="FF0000FF"/>
      <name val="Meiryo UI"/>
      <family val="3"/>
      <charset val="128"/>
    </font>
    <font>
      <sz val="11"/>
      <color rgb="FF0000FF"/>
      <name val="ＭＳ Ｐゴシック"/>
      <family val="3"/>
      <charset val="128"/>
    </font>
    <font>
      <sz val="8"/>
      <name val="Meiryo UI"/>
      <family val="3"/>
      <charset val="128"/>
    </font>
    <font>
      <sz val="22"/>
      <name val="メイリオ"/>
      <family val="3"/>
      <charset val="128"/>
    </font>
    <font>
      <sz val="18"/>
      <name val="Meiryo UI"/>
      <family val="3"/>
      <charset val="128"/>
    </font>
    <font>
      <sz val="8"/>
      <color rgb="FFFF0000"/>
      <name val="Meiryo UI"/>
      <family val="3"/>
      <charset val="128"/>
    </font>
    <font>
      <sz val="48"/>
      <name val="Meiryo UI"/>
      <family val="3"/>
      <charset val="128"/>
    </font>
    <font>
      <sz val="28"/>
      <color indexed="62"/>
      <name val="Wunderlich-BoldItalic"/>
      <family val="2"/>
    </font>
    <font>
      <sz val="9"/>
      <color indexed="62"/>
      <name val="ＭＳ Ｐゴシック"/>
      <family val="3"/>
      <charset val="128"/>
    </font>
    <font>
      <sz val="20"/>
      <name val="ＭＳ Ｐゴシック"/>
      <family val="3"/>
      <charset val="128"/>
    </font>
    <font>
      <sz val="14"/>
      <name val="ＭＳ Ｐゴシック"/>
      <family val="3"/>
      <charset val="128"/>
    </font>
    <font>
      <b/>
      <sz val="11"/>
      <name val="ＭＳ Ｐゴシック"/>
      <family val="3"/>
      <charset val="128"/>
    </font>
    <font>
      <sz val="11"/>
      <name val="Times New Roman"/>
      <family val="1"/>
    </font>
    <font>
      <sz val="24"/>
      <name val="ＭＳ Ｐゴシック"/>
      <family val="3"/>
      <charset val="128"/>
    </font>
    <font>
      <b/>
      <sz val="18"/>
      <name val="ＭＳ Ｐゴシック"/>
      <family val="3"/>
      <charset val="128"/>
    </font>
    <font>
      <b/>
      <sz val="12"/>
      <name val="ＭＳ Ｐゴシック"/>
      <family val="3"/>
      <charset val="128"/>
    </font>
    <font>
      <b/>
      <sz val="9"/>
      <name val="ＭＳ Ｐゴシック"/>
      <family val="3"/>
      <charset val="128"/>
    </font>
    <font>
      <sz val="8"/>
      <color theme="1"/>
      <name val="ＭＳ Ｐゴシック"/>
      <family val="3"/>
      <charset val="128"/>
      <scheme val="minor"/>
    </font>
    <font>
      <sz val="8"/>
      <name val="ＭＳ Ｐゴシック"/>
      <family val="3"/>
      <charset val="128"/>
    </font>
    <font>
      <b/>
      <sz val="8"/>
      <name val="ＭＳ Ｐゴシック"/>
      <family val="3"/>
      <charset val="128"/>
    </font>
    <font>
      <sz val="11"/>
      <color indexed="9"/>
      <name val="ＭＳ Ｐゴシック"/>
      <family val="3"/>
      <charset val="128"/>
    </font>
    <font>
      <sz val="11"/>
      <color indexed="8"/>
      <name val="ＭＳ Ｐゴシック"/>
      <family val="3"/>
      <charset val="128"/>
    </font>
    <font>
      <sz val="11"/>
      <color theme="1"/>
      <name val="ＭＳ Ｐゴシック"/>
      <family val="3"/>
      <charset val="128"/>
      <scheme val="minor"/>
    </font>
    <font>
      <sz val="11"/>
      <name val="ＭＳ 明朝"/>
      <family val="1"/>
      <charset val="128"/>
    </font>
    <font>
      <sz val="11"/>
      <color indexed="19"/>
      <name val="ＭＳ Ｐゴシック"/>
      <family val="3"/>
      <charset val="128"/>
    </font>
    <font>
      <sz val="11"/>
      <color theme="1"/>
      <name val="ＭＳ Ｐゴシック"/>
      <family val="3"/>
      <charset val="128"/>
      <scheme val="minor"/>
    </font>
    <font>
      <sz val="10"/>
      <color theme="0"/>
      <name val="Meiryo UI"/>
      <family val="3"/>
      <charset val="128"/>
    </font>
    <font>
      <i/>
      <sz val="11"/>
      <color indexed="23"/>
      <name val="ＭＳ Ｐゴシック"/>
      <family val="3"/>
      <charset val="128"/>
    </font>
    <font>
      <b/>
      <sz val="11"/>
      <color indexed="63"/>
      <name val="ＭＳ Ｐゴシック"/>
      <family val="3"/>
      <charset val="128"/>
    </font>
    <font>
      <sz val="11"/>
      <color theme="0"/>
      <name val="ＭＳ Ｐゴシック"/>
      <family val="3"/>
      <charset val="128"/>
      <scheme val="minor"/>
    </font>
    <font>
      <sz val="10"/>
      <name val="MS Sans Serif"/>
      <family val="2"/>
    </font>
    <font>
      <sz val="11"/>
      <color indexed="10"/>
      <name val="ＭＳ Ｐゴシック"/>
      <family val="3"/>
      <charset val="128"/>
    </font>
    <font>
      <b/>
      <sz val="13"/>
      <color indexed="62"/>
      <name val="ＭＳ Ｐゴシック"/>
      <family val="3"/>
      <charset val="128"/>
    </font>
    <font>
      <b/>
      <sz val="11"/>
      <color indexed="10"/>
      <name val="ＭＳ Ｐゴシック"/>
      <family val="3"/>
      <charset val="128"/>
    </font>
    <font>
      <b/>
      <sz val="12"/>
      <name val="Arial"/>
      <family val="2"/>
    </font>
    <font>
      <sz val="11"/>
      <color indexed="20"/>
      <name val="ＭＳ Ｐゴシック"/>
      <family val="3"/>
      <charset val="128"/>
    </font>
    <font>
      <b/>
      <sz val="15"/>
      <color indexed="62"/>
      <name val="ＭＳ Ｐゴシック"/>
      <family val="3"/>
      <charset val="128"/>
    </font>
    <font>
      <sz val="11"/>
      <name val="明朝"/>
      <charset val="128"/>
    </font>
    <font>
      <sz val="10"/>
      <color indexed="8"/>
      <name val="Arial"/>
      <family val="2"/>
    </font>
    <font>
      <sz val="10"/>
      <name val="ＭＳ Ｐゴシック"/>
      <family val="3"/>
      <charset val="128"/>
    </font>
    <font>
      <b/>
      <sz val="11"/>
      <color indexed="62"/>
      <name val="ＭＳ Ｐゴシック"/>
      <family val="3"/>
      <charset val="128"/>
    </font>
    <font>
      <b/>
      <sz val="10"/>
      <name val="MS Sans Serif"/>
      <family val="2"/>
    </font>
    <font>
      <b/>
      <sz val="11"/>
      <color indexed="8"/>
      <name val="ＭＳ Ｐゴシック"/>
      <family val="3"/>
      <charset val="128"/>
    </font>
    <font>
      <b/>
      <sz val="18"/>
      <color indexed="62"/>
      <name val="ＭＳ Ｐゴシック"/>
      <family val="3"/>
      <charset val="128"/>
    </font>
    <font>
      <b/>
      <sz val="11"/>
      <color indexed="9"/>
      <name val="ＭＳ Ｐゴシック"/>
      <family val="3"/>
      <charset val="128"/>
    </font>
    <font>
      <sz val="11"/>
      <color indexed="62"/>
      <name val="ＭＳ Ｐゴシック"/>
      <family val="3"/>
      <charset val="128"/>
    </font>
    <font>
      <sz val="14"/>
      <name val="ＭＳ 明朝"/>
      <family val="1"/>
      <charset val="128"/>
    </font>
    <font>
      <sz val="11"/>
      <color indexed="17"/>
      <name val="ＭＳ Ｐゴシック"/>
      <family val="3"/>
      <charset val="128"/>
    </font>
    <font>
      <sz val="9"/>
      <color indexed="10"/>
      <name val="ＭＳ Ｐゴシック"/>
      <family val="3"/>
      <charset val="128"/>
    </font>
    <font>
      <sz val="11"/>
      <name val="ＭＳ Ｐゴシック"/>
      <family val="3"/>
      <charset val="128"/>
    </font>
    <font>
      <sz val="6"/>
      <name val="ＭＳ Ｐゴシック"/>
      <family val="3"/>
      <charset val="128"/>
    </font>
    <font>
      <b/>
      <sz val="10"/>
      <name val="ＭＳ ゴシック"/>
      <family val="3"/>
      <charset val="128"/>
    </font>
    <font>
      <sz val="10"/>
      <name val="ＭＳ ゴシック"/>
      <family val="3"/>
      <charset val="128"/>
    </font>
    <font>
      <sz val="6"/>
      <name val="ＭＳ Ｐゴシック"/>
      <family val="3"/>
      <charset val="128"/>
      <scheme val="minor"/>
    </font>
    <font>
      <sz val="11"/>
      <color rgb="FFFF0000"/>
      <name val="ＭＳ Ｐゴシック"/>
      <family val="3"/>
      <charset val="128"/>
    </font>
    <font>
      <sz val="6"/>
      <name val="ＭＳ Ｐゴシック"/>
      <family val="2"/>
      <charset val="128"/>
      <scheme val="minor"/>
    </font>
    <font>
      <sz val="9"/>
      <color indexed="81"/>
      <name val="ＭＳ Ｐゴシック"/>
      <family val="3"/>
      <charset val="128"/>
    </font>
  </fonts>
  <fills count="38">
    <fill>
      <patternFill patternType="none"/>
    </fill>
    <fill>
      <patternFill patternType="gray125"/>
    </fill>
    <fill>
      <patternFill patternType="solid">
        <fgColor rgb="FFCCFFCC"/>
        <bgColor indexed="64"/>
      </patternFill>
    </fill>
    <fill>
      <patternFill patternType="solid">
        <fgColor theme="5" tint="0.79995117038483843"/>
        <bgColor indexed="64"/>
      </patternFill>
    </fill>
    <fill>
      <patternFill patternType="solid">
        <fgColor indexed="42"/>
        <bgColor indexed="64"/>
      </patternFill>
    </fill>
    <fill>
      <patternFill patternType="solid">
        <fgColor indexed="43"/>
        <bgColor indexed="64"/>
      </patternFill>
    </fill>
    <fill>
      <patternFill patternType="solid">
        <fgColor indexed="65"/>
        <bgColor theme="0"/>
      </patternFill>
    </fill>
    <fill>
      <patternFill patternType="solid">
        <fgColor theme="5" tint="0.79992065187536243"/>
        <bgColor theme="0"/>
      </patternFill>
    </fill>
    <fill>
      <patternFill patternType="solid">
        <fgColor rgb="FF92D050"/>
        <bgColor theme="0"/>
      </patternFill>
    </fill>
    <fill>
      <patternFill patternType="solid">
        <fgColor rgb="FF92D050"/>
        <bgColor indexed="64"/>
      </patternFill>
    </fill>
    <fill>
      <patternFill patternType="solid">
        <fgColor theme="5" tint="0.79992065187536243"/>
        <bgColor indexed="64"/>
      </patternFill>
    </fill>
    <fill>
      <patternFill patternType="solid">
        <fgColor theme="0"/>
        <bgColor indexed="64"/>
      </patternFill>
    </fill>
    <fill>
      <patternFill patternType="solid">
        <fgColor theme="5" tint="0.79995117038483843"/>
        <bgColor theme="0"/>
      </patternFill>
    </fill>
    <fill>
      <patternFill patternType="solid">
        <fgColor theme="0"/>
        <bgColor theme="0"/>
      </patternFill>
    </fill>
    <fill>
      <patternFill patternType="solid">
        <fgColor theme="9" tint="0.59999389629810485"/>
        <bgColor indexed="64"/>
      </patternFill>
    </fill>
    <fill>
      <patternFill patternType="solid">
        <fgColor theme="4" tint="0.59999389629810485"/>
        <bgColor indexed="64"/>
      </patternFill>
    </fill>
    <fill>
      <patternFill patternType="solid">
        <fgColor rgb="FFFFFFCC"/>
        <bgColor indexed="64"/>
      </patternFill>
    </fill>
    <fill>
      <patternFill patternType="solid">
        <fgColor indexed="27"/>
        <bgColor indexed="64"/>
      </patternFill>
    </fill>
    <fill>
      <patternFill patternType="solid">
        <fgColor indexed="26"/>
        <bgColor indexed="64"/>
      </patternFill>
    </fill>
    <fill>
      <patternFill patternType="solid">
        <fgColor indexed="41"/>
        <bgColor indexed="64"/>
      </patternFill>
    </fill>
    <fill>
      <patternFill patternType="solid">
        <fgColor indexed="29"/>
        <bgColor indexed="64"/>
      </patternFill>
    </fill>
    <fill>
      <patternFill patternType="solid">
        <fgColor theme="4"/>
        <bgColor indexed="64"/>
      </patternFill>
    </fill>
    <fill>
      <patternFill patternType="solid">
        <fgColor theme="6"/>
        <bgColor indexed="64"/>
      </patternFill>
    </fill>
    <fill>
      <patternFill patternType="solid">
        <fgColor indexed="9"/>
        <bgColor indexed="64"/>
      </patternFill>
    </fill>
    <fill>
      <patternFill patternType="solid">
        <fgColor indexed="49"/>
        <bgColor indexed="64"/>
      </patternFill>
    </fill>
    <fill>
      <patternFill patternType="solid">
        <fgColor indexed="44"/>
        <bgColor indexed="64"/>
      </patternFill>
    </fill>
    <fill>
      <patternFill patternType="solid">
        <fgColor indexed="47"/>
        <bgColor indexed="64"/>
      </patternFill>
    </fill>
    <fill>
      <patternFill patternType="solid">
        <fgColor indexed="54"/>
        <bgColor indexed="64"/>
      </patternFill>
    </fill>
    <fill>
      <patternFill patternType="solid">
        <fgColor indexed="56"/>
        <bgColor indexed="64"/>
      </patternFill>
    </fill>
    <fill>
      <patternFill patternType="solid">
        <fgColor indexed="45"/>
        <bgColor indexed="64"/>
      </patternFill>
    </fill>
    <fill>
      <patternFill patternType="solid">
        <fgColor indexed="51"/>
        <bgColor indexed="64"/>
      </patternFill>
    </fill>
    <fill>
      <patternFill patternType="solid">
        <fgColor indexed="53"/>
        <bgColor indexed="64"/>
      </patternFill>
    </fill>
    <fill>
      <patternFill patternType="solid">
        <fgColor indexed="46"/>
        <bgColor indexed="64"/>
      </patternFill>
    </fill>
    <fill>
      <patternFill patternType="solid">
        <fgColor indexed="10"/>
        <bgColor indexed="64"/>
      </patternFill>
    </fill>
    <fill>
      <patternFill patternType="solid">
        <fgColor indexed="55"/>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rgb="FFFFFF99"/>
        <bgColor indexed="64"/>
      </patternFill>
    </fill>
  </fills>
  <borders count="128">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medium">
        <color auto="1"/>
      </top>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bottom style="medium">
        <color auto="1"/>
      </bottom>
      <diagonal/>
    </border>
    <border>
      <left style="thin">
        <color auto="1"/>
      </left>
      <right/>
      <top/>
      <bottom style="medium">
        <color auto="1"/>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style="thin">
        <color auto="1"/>
      </left>
      <right/>
      <top style="thin">
        <color auto="1"/>
      </top>
      <bottom style="medium">
        <color auto="1"/>
      </bottom>
      <diagonal/>
    </border>
    <border>
      <left/>
      <right/>
      <top style="thin">
        <color auto="1"/>
      </top>
      <bottom style="medium">
        <color auto="1"/>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right style="medium">
        <color auto="1"/>
      </right>
      <top style="medium">
        <color auto="1"/>
      </top>
      <bottom style="thin">
        <color auto="1"/>
      </bottom>
      <diagonal/>
    </border>
    <border>
      <left/>
      <right style="medium">
        <color auto="1"/>
      </right>
      <top style="thin">
        <color auto="1"/>
      </top>
      <bottom/>
      <diagonal/>
    </border>
    <border>
      <left/>
      <right style="medium">
        <color auto="1"/>
      </right>
      <top/>
      <bottom style="medium">
        <color auto="1"/>
      </bottom>
      <diagonal/>
    </border>
    <border>
      <left/>
      <right style="medium">
        <color auto="1"/>
      </right>
      <top/>
      <bottom/>
      <diagonal/>
    </border>
    <border>
      <left style="medium">
        <color auto="1"/>
      </left>
      <right/>
      <top style="medium">
        <color auto="1"/>
      </top>
      <bottom style="double">
        <color auto="1"/>
      </bottom>
      <diagonal/>
    </border>
    <border>
      <left/>
      <right/>
      <top style="medium">
        <color auto="1"/>
      </top>
      <bottom style="double">
        <color auto="1"/>
      </bottom>
      <diagonal/>
    </border>
    <border>
      <left style="medium">
        <color auto="1"/>
      </left>
      <right style="thin">
        <color auto="1"/>
      </right>
      <top style="double">
        <color auto="1"/>
      </top>
      <bottom/>
      <diagonal/>
    </border>
    <border>
      <left style="medium">
        <color auto="1"/>
      </left>
      <right style="thin">
        <color auto="1"/>
      </right>
      <top/>
      <bottom/>
      <diagonal/>
    </border>
    <border>
      <left style="medium">
        <color auto="1"/>
      </left>
      <right style="thin">
        <color auto="1"/>
      </right>
      <top style="thin">
        <color auto="1"/>
      </top>
      <bottom/>
      <diagonal/>
    </border>
    <border>
      <left/>
      <right style="thin">
        <color auto="1"/>
      </right>
      <top style="medium">
        <color auto="1"/>
      </top>
      <bottom style="double">
        <color auto="1"/>
      </bottom>
      <diagonal/>
    </border>
    <border>
      <left/>
      <right style="medium">
        <color auto="1"/>
      </right>
      <top style="medium">
        <color auto="1"/>
      </top>
      <bottom style="double">
        <color auto="1"/>
      </bottom>
      <diagonal/>
    </border>
    <border>
      <left/>
      <right style="medium">
        <color auto="1"/>
      </right>
      <top style="thin">
        <color auto="1"/>
      </top>
      <bottom style="thin">
        <color auto="1"/>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hair">
        <color auto="1"/>
      </left>
      <right/>
      <top style="medium">
        <color auto="1"/>
      </top>
      <bottom/>
      <diagonal/>
    </border>
    <border>
      <left style="hair">
        <color auto="1"/>
      </left>
      <right/>
      <top style="thin">
        <color auto="1"/>
      </top>
      <bottom/>
      <diagonal/>
    </border>
    <border>
      <left style="hair">
        <color auto="1"/>
      </left>
      <right/>
      <top style="thin">
        <color auto="1"/>
      </top>
      <bottom style="thin">
        <color auto="1"/>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medium">
        <color auto="1"/>
      </right>
      <top style="thin">
        <color auto="1"/>
      </top>
      <bottom style="thin">
        <color auto="1"/>
      </bottom>
      <diagonal/>
    </border>
    <border>
      <left style="medium">
        <color auto="1"/>
      </left>
      <right style="hair">
        <color auto="1"/>
      </right>
      <top style="thin">
        <color auto="1"/>
      </top>
      <bottom style="thin">
        <color auto="1"/>
      </bottom>
      <diagonal/>
    </border>
    <border>
      <left style="hair">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thin">
        <color auto="1"/>
      </top>
      <bottom style="medium">
        <color auto="1"/>
      </bottom>
      <diagonal/>
    </border>
    <border>
      <left style="hair">
        <color auto="1"/>
      </left>
      <right/>
      <top style="thin">
        <color auto="1"/>
      </top>
      <bottom style="medium">
        <color auto="1"/>
      </bottom>
      <diagonal/>
    </border>
    <border>
      <left style="thin">
        <color auto="1"/>
      </left>
      <right style="medium">
        <color auto="1"/>
      </right>
      <top style="thin">
        <color auto="1"/>
      </top>
      <bottom style="medium">
        <color auto="1"/>
      </bottom>
      <diagonal/>
    </border>
    <border>
      <left/>
      <right style="hair">
        <color auto="1"/>
      </right>
      <top style="thin">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right/>
      <top style="hair">
        <color auto="1"/>
      </top>
      <bottom/>
      <diagonal/>
    </border>
    <border>
      <left style="thin">
        <color auto="1"/>
      </left>
      <right/>
      <top style="hair">
        <color auto="1"/>
      </top>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hair">
        <color auto="1"/>
      </top>
      <bottom/>
      <diagonal/>
    </border>
    <border>
      <left/>
      <right style="thin">
        <color auto="1"/>
      </right>
      <top style="thin">
        <color auto="1"/>
      </top>
      <bottom style="hair">
        <color auto="1"/>
      </bottom>
      <diagonal/>
    </border>
    <border>
      <left style="thin">
        <color indexed="63"/>
      </left>
      <right style="thin">
        <color indexed="63"/>
      </right>
      <top style="thin">
        <color indexed="63"/>
      </top>
      <bottom style="thin">
        <color indexed="63"/>
      </bottom>
      <diagonal/>
    </border>
    <border>
      <left/>
      <right/>
      <top/>
      <bottom style="double">
        <color indexed="10"/>
      </bottom>
      <diagonal/>
    </border>
    <border>
      <left/>
      <right/>
      <top/>
      <bottom style="thick">
        <color indexed="27"/>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medium">
        <color indexed="27"/>
      </bottom>
      <diagonal/>
    </border>
    <border>
      <left/>
      <right/>
      <top style="medium">
        <color auto="1"/>
      </top>
      <bottom style="medium">
        <color auto="1"/>
      </bottom>
      <diagonal/>
    </border>
    <border>
      <left/>
      <right/>
      <top style="thin">
        <color indexed="56"/>
      </top>
      <bottom style="double">
        <color indexed="56"/>
      </bottom>
      <diagonal/>
    </border>
    <border>
      <left style="double">
        <color indexed="63"/>
      </left>
      <right style="double">
        <color indexed="63"/>
      </right>
      <top style="double">
        <color indexed="63"/>
      </top>
      <bottom style="double">
        <color indexed="63"/>
      </bottom>
      <diagonal/>
    </border>
    <border>
      <left style="medium">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double">
        <color indexed="64"/>
      </top>
      <bottom/>
      <diagonal/>
    </border>
    <border>
      <left style="thin">
        <color indexed="64"/>
      </left>
      <right style="thin">
        <color indexed="64"/>
      </right>
      <top style="double">
        <color indexed="64"/>
      </top>
      <bottom/>
      <diagonal/>
    </border>
    <border>
      <left/>
      <right style="medium">
        <color indexed="64"/>
      </right>
      <top style="double">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top style="thin">
        <color auto="1"/>
      </top>
      <bottom style="double">
        <color auto="1"/>
      </bottom>
      <diagonal/>
    </border>
    <border>
      <left/>
      <right style="thin">
        <color auto="1"/>
      </right>
      <top style="thin">
        <color auto="1"/>
      </top>
      <bottom style="double">
        <color auto="1"/>
      </bottom>
      <diagonal/>
    </border>
    <border>
      <left/>
      <right/>
      <top style="thin">
        <color auto="1"/>
      </top>
      <bottom style="double">
        <color auto="1"/>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top style="thin">
        <color indexed="64"/>
      </top>
      <bottom/>
      <diagonal/>
    </border>
    <border>
      <left style="medium">
        <color indexed="64"/>
      </left>
      <right/>
      <top/>
      <bottom style="double">
        <color auto="1"/>
      </bottom>
      <diagonal/>
    </border>
    <border>
      <left style="medium">
        <color indexed="64"/>
      </left>
      <right/>
      <top style="thin">
        <color indexed="64"/>
      </top>
      <bottom style="thin">
        <color indexed="64"/>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right style="thin">
        <color indexed="64"/>
      </right>
      <top style="double">
        <color indexed="64"/>
      </top>
      <bottom style="medium">
        <color indexed="64"/>
      </bottom>
      <diagonal/>
    </border>
    <border>
      <left style="thin">
        <color indexed="64"/>
      </left>
      <right/>
      <top style="double">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hair">
        <color auto="1"/>
      </left>
      <right/>
      <top style="thin">
        <color auto="1"/>
      </top>
      <bottom style="thin">
        <color auto="1"/>
      </bottom>
      <diagonal/>
    </border>
    <border>
      <left style="thin">
        <color auto="1"/>
      </left>
      <right style="medium">
        <color auto="1"/>
      </right>
      <top style="thin">
        <color auto="1"/>
      </top>
      <bottom style="thin">
        <color auto="1"/>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medium">
        <color auto="1"/>
      </right>
      <top/>
      <bottom style="medium">
        <color auto="1"/>
      </bottom>
      <diagonal/>
    </border>
  </borders>
  <cellStyleXfs count="182">
    <xf numFmtId="0" fontId="0" fillId="0" borderId="0"/>
    <xf numFmtId="0" fontId="42" fillId="0" borderId="0" applyNumberFormat="0" applyFill="0" applyBorder="0" applyAlignment="0" applyProtection="0">
      <alignment vertical="center"/>
    </xf>
    <xf numFmtId="0" fontId="36" fillId="17" borderId="0" applyNumberFormat="0" applyBorder="0" applyAlignment="0" applyProtection="0">
      <alignment vertical="center"/>
    </xf>
    <xf numFmtId="0" fontId="35" fillId="24" borderId="0" applyNumberFormat="0" applyBorder="0" applyAlignment="0" applyProtection="0">
      <alignment vertical="center"/>
    </xf>
    <xf numFmtId="0" fontId="44" fillId="22" borderId="0" applyNumberFormat="0" applyBorder="0" applyAlignment="0" applyProtection="0">
      <alignment vertical="center"/>
    </xf>
    <xf numFmtId="0" fontId="35" fillId="20" borderId="0" applyNumberFormat="0" applyBorder="0" applyAlignment="0" applyProtection="0">
      <alignment vertical="center"/>
    </xf>
    <xf numFmtId="0" fontId="40" fillId="0" borderId="0">
      <alignment vertical="center"/>
    </xf>
    <xf numFmtId="0" fontId="36" fillId="5" borderId="0" applyNumberFormat="0" applyBorder="0" applyAlignment="0" applyProtection="0">
      <alignment vertical="center"/>
    </xf>
    <xf numFmtId="0" fontId="39" fillId="5" borderId="0" applyNumberFormat="0" applyBorder="0" applyAlignment="0" applyProtection="0">
      <alignment vertical="center"/>
    </xf>
    <xf numFmtId="0" fontId="39" fillId="5" borderId="0" applyNumberFormat="0" applyBorder="0" applyAlignment="0" applyProtection="0">
      <alignment vertical="center"/>
    </xf>
    <xf numFmtId="0" fontId="39" fillId="5" borderId="0" applyNumberFormat="0" applyBorder="0" applyAlignment="0" applyProtection="0">
      <alignment vertical="center"/>
    </xf>
    <xf numFmtId="0" fontId="38" fillId="0" borderId="0"/>
    <xf numFmtId="0" fontId="41" fillId="22" borderId="0" applyNumberFormat="0" applyBorder="0" applyAlignment="0" applyProtection="0">
      <alignment vertical="center"/>
    </xf>
    <xf numFmtId="0" fontId="64" fillId="0" borderId="0">
      <alignment vertical="center"/>
    </xf>
    <xf numFmtId="0" fontId="36" fillId="18" borderId="0" applyNumberFormat="0" applyBorder="0" applyAlignment="0" applyProtection="0">
      <alignment vertical="center"/>
    </xf>
    <xf numFmtId="0" fontId="43" fillId="23" borderId="74" applyNumberFormat="0" applyAlignment="0" applyProtection="0">
      <alignment vertical="center"/>
    </xf>
    <xf numFmtId="0" fontId="36" fillId="18" borderId="0" applyNumberFormat="0" applyBorder="0" applyAlignment="0" applyProtection="0">
      <alignment vertical="center"/>
    </xf>
    <xf numFmtId="0" fontId="36" fillId="18" borderId="0" applyNumberFormat="0" applyBorder="0" applyAlignment="0" applyProtection="0">
      <alignment vertical="center"/>
    </xf>
    <xf numFmtId="0" fontId="36" fillId="26" borderId="0" applyNumberFormat="0" applyBorder="0" applyAlignment="0" applyProtection="0">
      <alignment vertical="center"/>
    </xf>
    <xf numFmtId="0" fontId="64" fillId="0" borderId="0"/>
    <xf numFmtId="0" fontId="36" fillId="26" borderId="0" applyNumberFormat="0" applyBorder="0" applyAlignment="0" applyProtection="0">
      <alignment vertical="center"/>
    </xf>
    <xf numFmtId="0" fontId="64" fillId="0" borderId="0"/>
    <xf numFmtId="0" fontId="45" fillId="0" borderId="0" applyNumberFormat="0" applyFont="0" applyFill="0" applyBorder="0" applyAlignment="0" applyProtection="0">
      <alignment horizontal="left"/>
    </xf>
    <xf numFmtId="0" fontId="36" fillId="18" borderId="0" applyNumberFormat="0" applyBorder="0" applyAlignment="0" applyProtection="0">
      <alignment vertical="center"/>
    </xf>
    <xf numFmtId="0" fontId="36" fillId="25" borderId="0" applyNumberFormat="0" applyBorder="0" applyAlignment="0" applyProtection="0">
      <alignment vertical="center"/>
    </xf>
    <xf numFmtId="0" fontId="40" fillId="0" borderId="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64" fillId="0" borderId="0">
      <alignment vertical="center"/>
    </xf>
    <xf numFmtId="0" fontId="38" fillId="0" borderId="0"/>
    <xf numFmtId="0" fontId="35" fillId="28" borderId="0" applyNumberFormat="0" applyBorder="0" applyAlignment="0" applyProtection="0">
      <alignment vertical="center"/>
    </xf>
    <xf numFmtId="0" fontId="36" fillId="25" borderId="0" applyNumberFormat="0" applyBorder="0" applyAlignment="0" applyProtection="0">
      <alignment vertical="center"/>
    </xf>
    <xf numFmtId="0" fontId="36" fillId="25" borderId="0" applyNumberFormat="0" applyBorder="0" applyAlignment="0" applyProtection="0">
      <alignment vertical="center"/>
    </xf>
    <xf numFmtId="0" fontId="40" fillId="0" borderId="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40" fillId="0" borderId="0">
      <alignment vertical="center"/>
    </xf>
    <xf numFmtId="0" fontId="64" fillId="0" borderId="0"/>
    <xf numFmtId="0" fontId="36" fillId="20" borderId="0" applyNumberFormat="0" applyBorder="0" applyAlignment="0" applyProtection="0">
      <alignment vertical="center"/>
    </xf>
    <xf numFmtId="0" fontId="40" fillId="0" borderId="0">
      <alignment vertical="center"/>
    </xf>
    <xf numFmtId="0" fontId="36" fillId="18" borderId="0" applyNumberFormat="0" applyBorder="0" applyAlignment="0" applyProtection="0">
      <alignment vertical="center"/>
    </xf>
    <xf numFmtId="0" fontId="36" fillId="18" borderId="0" applyNumberFormat="0" applyBorder="0" applyAlignment="0" applyProtection="0">
      <alignment vertical="center"/>
    </xf>
    <xf numFmtId="0" fontId="10" fillId="0" borderId="0">
      <alignment vertical="center"/>
    </xf>
    <xf numFmtId="0" fontId="36" fillId="26" borderId="0" applyNumberFormat="0" applyBorder="0" applyAlignment="0" applyProtection="0">
      <alignment vertical="center"/>
    </xf>
    <xf numFmtId="0" fontId="36" fillId="17" borderId="0" applyNumberFormat="0" applyBorder="0" applyAlignment="0" applyProtection="0">
      <alignment vertical="center"/>
    </xf>
    <xf numFmtId="0" fontId="36" fillId="18" borderId="0" applyNumberFormat="0" applyBorder="0" applyAlignment="0" applyProtection="0">
      <alignment vertical="center"/>
    </xf>
    <xf numFmtId="0" fontId="36" fillId="18" borderId="0" applyNumberFormat="0" applyBorder="0" applyAlignment="0" applyProtection="0">
      <alignment vertical="center"/>
    </xf>
    <xf numFmtId="0" fontId="36" fillId="18"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5" borderId="0" applyNumberFormat="0" applyBorder="0" applyAlignment="0" applyProtection="0">
      <alignment vertical="center"/>
    </xf>
    <xf numFmtId="0" fontId="40" fillId="0" borderId="0">
      <alignment vertical="center"/>
    </xf>
    <xf numFmtId="0" fontId="36" fillId="5" borderId="0" applyNumberFormat="0" applyBorder="0" applyAlignment="0" applyProtection="0">
      <alignment vertical="center"/>
    </xf>
    <xf numFmtId="0" fontId="40" fillId="0" borderId="0">
      <alignment vertical="center"/>
    </xf>
    <xf numFmtId="0" fontId="36" fillId="29" borderId="0" applyNumberFormat="0" applyBorder="0" applyAlignment="0" applyProtection="0">
      <alignment vertical="center"/>
    </xf>
    <xf numFmtId="0" fontId="40" fillId="0" borderId="0">
      <alignment vertical="center"/>
    </xf>
    <xf numFmtId="0" fontId="36" fillId="29" borderId="0" applyNumberFormat="0" applyBorder="0" applyAlignment="0" applyProtection="0">
      <alignment vertical="center"/>
    </xf>
    <xf numFmtId="0" fontId="36" fillId="29"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5" fillId="17" borderId="0" applyNumberFormat="0" applyBorder="0" applyAlignment="0" applyProtection="0">
      <alignment vertical="center"/>
    </xf>
    <xf numFmtId="0" fontId="35" fillId="17" borderId="0" applyNumberFormat="0" applyBorder="0" applyAlignment="0" applyProtection="0">
      <alignment vertical="center"/>
    </xf>
    <xf numFmtId="0" fontId="35" fillId="17" borderId="0" applyNumberFormat="0" applyBorder="0" applyAlignment="0" applyProtection="0">
      <alignment vertical="center"/>
    </xf>
    <xf numFmtId="0" fontId="35" fillId="31" borderId="0" applyNumberFormat="0" applyBorder="0" applyAlignment="0" applyProtection="0">
      <alignment vertical="center"/>
    </xf>
    <xf numFmtId="0" fontId="35" fillId="31" borderId="0" applyNumberFormat="0" applyBorder="0" applyAlignment="0" applyProtection="0">
      <alignment vertical="center"/>
    </xf>
    <xf numFmtId="0" fontId="35" fillId="31" borderId="0" applyNumberFormat="0" applyBorder="0" applyAlignment="0" applyProtection="0">
      <alignment vertical="center"/>
    </xf>
    <xf numFmtId="0" fontId="54" fillId="0" borderId="0">
      <alignment wrapText="1"/>
    </xf>
    <xf numFmtId="0" fontId="35" fillId="30" borderId="0" applyNumberFormat="0" applyBorder="0" applyAlignment="0" applyProtection="0">
      <alignment vertical="center"/>
    </xf>
    <xf numFmtId="0" fontId="8" fillId="0" borderId="0">
      <alignment vertical="center"/>
    </xf>
    <xf numFmtId="0" fontId="35" fillId="30" borderId="0" applyNumberFormat="0" applyBorder="0" applyAlignment="0" applyProtection="0">
      <alignment vertical="center"/>
    </xf>
    <xf numFmtId="0" fontId="35" fillId="30" borderId="0" applyNumberFormat="0" applyBorder="0" applyAlignment="0" applyProtection="0">
      <alignment vertical="center"/>
    </xf>
    <xf numFmtId="0" fontId="35" fillId="29" borderId="0" applyNumberFormat="0" applyBorder="0" applyAlignment="0" applyProtection="0">
      <alignment vertical="center"/>
    </xf>
    <xf numFmtId="0" fontId="35" fillId="29" borderId="0" applyNumberFormat="0" applyBorder="0" applyAlignment="0" applyProtection="0">
      <alignment vertical="center"/>
    </xf>
    <xf numFmtId="0" fontId="35" fillId="29" borderId="0" applyNumberFormat="0" applyBorder="0" applyAlignment="0" applyProtection="0">
      <alignment vertical="center"/>
    </xf>
    <xf numFmtId="0" fontId="35" fillId="17" borderId="0" applyNumberFormat="0" applyBorder="0" applyAlignment="0" applyProtection="0">
      <alignment vertical="center"/>
    </xf>
    <xf numFmtId="0" fontId="35" fillId="17" borderId="0" applyNumberFormat="0" applyBorder="0" applyAlignment="0" applyProtection="0">
      <alignment vertical="center"/>
    </xf>
    <xf numFmtId="0" fontId="35" fillId="17" borderId="0" applyNumberFormat="0" applyBorder="0" applyAlignment="0" applyProtection="0">
      <alignment vertical="center"/>
    </xf>
    <xf numFmtId="0" fontId="35" fillId="20" borderId="0" applyNumberFormat="0" applyBorder="0" applyAlignment="0" applyProtection="0">
      <alignment vertical="center"/>
    </xf>
    <xf numFmtId="0" fontId="35" fillId="20" borderId="0" applyNumberFormat="0" applyBorder="0" applyAlignment="0" applyProtection="0">
      <alignment vertical="center"/>
    </xf>
    <xf numFmtId="176" fontId="53" fillId="0" borderId="0" applyFill="0" applyBorder="0" applyAlignment="0"/>
    <xf numFmtId="0" fontId="49" fillId="0" borderId="81" applyNumberFormat="0" applyAlignment="0" applyProtection="0">
      <alignment horizontal="left" vertical="center"/>
    </xf>
    <xf numFmtId="0" fontId="49" fillId="0" borderId="7">
      <alignment horizontal="left" vertical="center"/>
    </xf>
    <xf numFmtId="0" fontId="56" fillId="0" borderId="5">
      <alignment horizontal="center"/>
    </xf>
    <xf numFmtId="0" fontId="56" fillId="0" borderId="5">
      <alignment horizontal="center"/>
    </xf>
    <xf numFmtId="0" fontId="41" fillId="21" borderId="0" applyNumberFormat="0" applyBorder="0" applyAlignment="0" applyProtection="0">
      <alignment vertical="center"/>
    </xf>
    <xf numFmtId="0" fontId="44" fillId="21" borderId="0" applyNumberFormat="0" applyBorder="0" applyAlignment="0" applyProtection="0">
      <alignment vertical="center"/>
    </xf>
    <xf numFmtId="0" fontId="35" fillId="28" borderId="0" applyNumberFormat="0" applyBorder="0" applyAlignment="0" applyProtection="0">
      <alignment vertical="center"/>
    </xf>
    <xf numFmtId="0" fontId="35" fillId="31" borderId="0" applyNumberFormat="0" applyBorder="0" applyAlignment="0" applyProtection="0">
      <alignment vertical="center"/>
    </xf>
    <xf numFmtId="0" fontId="35" fillId="31" borderId="0" applyNumberFormat="0" applyBorder="0" applyAlignment="0" applyProtection="0">
      <alignment vertical="center"/>
    </xf>
    <xf numFmtId="0" fontId="35" fillId="31" borderId="0" applyNumberFormat="0" applyBorder="0" applyAlignment="0" applyProtection="0">
      <alignment vertical="center"/>
    </xf>
    <xf numFmtId="0" fontId="35" fillId="30" borderId="0" applyNumberFormat="0" applyBorder="0" applyAlignment="0" applyProtection="0">
      <alignment vertical="center"/>
    </xf>
    <xf numFmtId="0" fontId="35" fillId="30" borderId="0" applyNumberFormat="0" applyBorder="0" applyAlignment="0" applyProtection="0">
      <alignment vertical="center"/>
    </xf>
    <xf numFmtId="0" fontId="35" fillId="27" borderId="0" applyNumberFormat="0" applyBorder="0" applyAlignment="0" applyProtection="0">
      <alignment vertical="center"/>
    </xf>
    <xf numFmtId="0" fontId="35" fillId="27" borderId="0" applyNumberFormat="0" applyBorder="0" applyAlignment="0" applyProtection="0">
      <alignment vertical="center"/>
    </xf>
    <xf numFmtId="0" fontId="35" fillId="27" borderId="0" applyNumberFormat="0" applyBorder="0" applyAlignment="0" applyProtection="0">
      <alignment vertical="center"/>
    </xf>
    <xf numFmtId="0" fontId="35" fillId="24" borderId="0" applyNumberFormat="0" applyBorder="0" applyAlignment="0" applyProtection="0">
      <alignment vertical="center"/>
    </xf>
    <xf numFmtId="0" fontId="35" fillId="24" borderId="0" applyNumberFormat="0" applyBorder="0" applyAlignment="0" applyProtection="0">
      <alignment vertical="center"/>
    </xf>
    <xf numFmtId="0" fontId="35" fillId="33" borderId="0" applyNumberFormat="0" applyBorder="0" applyAlignment="0" applyProtection="0">
      <alignment vertical="center"/>
    </xf>
    <xf numFmtId="0" fontId="35" fillId="33" borderId="0" applyNumberFormat="0" applyBorder="0" applyAlignment="0" applyProtection="0">
      <alignment vertical="center"/>
    </xf>
    <xf numFmtId="0" fontId="35" fillId="33" borderId="0" applyNumberFormat="0" applyBorder="0" applyAlignment="0" applyProtection="0">
      <alignment vertical="center"/>
    </xf>
    <xf numFmtId="0" fontId="58" fillId="0" borderId="0" applyNumberFormat="0" applyFill="0" applyBorder="0" applyAlignment="0" applyProtection="0">
      <alignment vertical="center"/>
    </xf>
    <xf numFmtId="0" fontId="58" fillId="0" borderId="0" applyNumberFormat="0" applyFill="0" applyBorder="0" applyAlignment="0" applyProtection="0">
      <alignment vertical="center"/>
    </xf>
    <xf numFmtId="0" fontId="58" fillId="0" borderId="0" applyNumberFormat="0" applyFill="0" applyBorder="0" applyAlignment="0" applyProtection="0">
      <alignment vertical="center"/>
    </xf>
    <xf numFmtId="0" fontId="64" fillId="0" borderId="0">
      <alignment vertical="center"/>
    </xf>
    <xf numFmtId="0" fontId="59" fillId="34" borderId="83" applyNumberFormat="0" applyAlignment="0" applyProtection="0">
      <alignment vertical="center"/>
    </xf>
    <xf numFmtId="0" fontId="60" fillId="5" borderId="78" applyNumberFormat="0" applyAlignment="0" applyProtection="0">
      <alignment vertical="center"/>
    </xf>
    <xf numFmtId="0" fontId="59" fillId="34" borderId="83" applyNumberFormat="0" applyAlignment="0" applyProtection="0">
      <alignment vertical="center"/>
    </xf>
    <xf numFmtId="0" fontId="60" fillId="5" borderId="78" applyNumberFormat="0" applyAlignment="0" applyProtection="0">
      <alignment vertical="center"/>
    </xf>
    <xf numFmtId="0" fontId="59" fillId="34" borderId="83" applyNumberFormat="0" applyAlignment="0" applyProtection="0">
      <alignment vertical="center"/>
    </xf>
    <xf numFmtId="0" fontId="57" fillId="0" borderId="82" applyNumberFormat="0" applyFill="0" applyAlignment="0" applyProtection="0">
      <alignment vertical="center"/>
    </xf>
    <xf numFmtId="0" fontId="60" fillId="5" borderId="78" applyNumberFormat="0" applyAlignment="0" applyProtection="0">
      <alignment vertical="center"/>
    </xf>
    <xf numFmtId="0" fontId="64" fillId="18" borderId="77" applyNumberFormat="0" applyFont="0" applyAlignment="0" applyProtection="0">
      <alignment vertical="center"/>
    </xf>
    <xf numFmtId="0" fontId="64" fillId="18" borderId="77" applyNumberFormat="0" applyFont="0" applyAlignment="0" applyProtection="0">
      <alignment vertical="center"/>
    </xf>
    <xf numFmtId="0" fontId="64" fillId="18" borderId="77" applyNumberFormat="0" applyFont="0" applyAlignment="0" applyProtection="0">
      <alignment vertical="center"/>
    </xf>
    <xf numFmtId="0" fontId="46" fillId="0" borderId="75" applyNumberFormat="0" applyFill="0" applyAlignment="0" applyProtection="0">
      <alignment vertical="center"/>
    </xf>
    <xf numFmtId="0" fontId="64" fillId="0" borderId="0">
      <alignment vertical="center"/>
    </xf>
    <xf numFmtId="0" fontId="46" fillId="0" borderId="75" applyNumberFormat="0" applyFill="0" applyAlignment="0" applyProtection="0">
      <alignment vertical="center"/>
    </xf>
    <xf numFmtId="0" fontId="46" fillId="0" borderId="75" applyNumberFormat="0" applyFill="0" applyAlignment="0" applyProtection="0">
      <alignment vertical="center"/>
    </xf>
    <xf numFmtId="0" fontId="52" fillId="0" borderId="0"/>
    <xf numFmtId="0" fontId="50" fillId="32" borderId="0" applyNumberFormat="0" applyBorder="0" applyAlignment="0" applyProtection="0">
      <alignment vertical="center"/>
    </xf>
    <xf numFmtId="0" fontId="50" fillId="32" borderId="0" applyNumberFormat="0" applyBorder="0" applyAlignment="0" applyProtection="0">
      <alignment vertical="center"/>
    </xf>
    <xf numFmtId="0" fontId="48" fillId="23" borderId="78" applyNumberFormat="0" applyAlignment="0" applyProtection="0">
      <alignment vertical="center"/>
    </xf>
    <xf numFmtId="0" fontId="50" fillId="32" borderId="0" applyNumberFormat="0" applyBorder="0" applyAlignment="0" applyProtection="0">
      <alignment vertical="center"/>
    </xf>
    <xf numFmtId="0" fontId="48" fillId="23" borderId="78" applyNumberFormat="0" applyAlignment="0" applyProtection="0">
      <alignment vertical="center"/>
    </xf>
    <xf numFmtId="0" fontId="48" fillId="23" borderId="78" applyNumberFormat="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38" fontId="64" fillId="0" borderId="0" applyFont="0" applyFill="0" applyBorder="0" applyAlignment="0" applyProtection="0"/>
    <xf numFmtId="38" fontId="37" fillId="0" borderId="0" applyFont="0" applyFill="0" applyBorder="0" applyAlignment="0" applyProtection="0">
      <alignment vertical="center"/>
    </xf>
    <xf numFmtId="0" fontId="51" fillId="0" borderId="79" applyNumberFormat="0" applyFill="0" applyAlignment="0" applyProtection="0">
      <alignment vertical="center"/>
    </xf>
    <xf numFmtId="0" fontId="51" fillId="0" borderId="79" applyNumberFormat="0" applyFill="0" applyAlignment="0" applyProtection="0">
      <alignment vertical="center"/>
    </xf>
    <xf numFmtId="0" fontId="51" fillId="0" borderId="79" applyNumberFormat="0" applyFill="0" applyAlignment="0" applyProtection="0">
      <alignment vertical="center"/>
    </xf>
    <xf numFmtId="0" fontId="64" fillId="0" borderId="0"/>
    <xf numFmtId="0" fontId="47" fillId="0" borderId="76" applyNumberFormat="0" applyFill="0" applyAlignment="0" applyProtection="0">
      <alignment vertical="center"/>
    </xf>
    <xf numFmtId="0" fontId="47" fillId="0" borderId="76" applyNumberFormat="0" applyFill="0" applyAlignment="0" applyProtection="0">
      <alignment vertical="center"/>
    </xf>
    <xf numFmtId="0" fontId="47" fillId="0" borderId="76" applyNumberFormat="0" applyFill="0" applyAlignment="0" applyProtection="0">
      <alignment vertical="center"/>
    </xf>
    <xf numFmtId="0" fontId="55" fillId="0" borderId="80" applyNumberFormat="0" applyFill="0" applyAlignment="0" applyProtection="0">
      <alignment vertical="center"/>
    </xf>
    <xf numFmtId="0" fontId="55" fillId="0" borderId="80" applyNumberFormat="0" applyFill="0" applyAlignment="0" applyProtection="0">
      <alignment vertical="center"/>
    </xf>
    <xf numFmtId="0" fontId="55" fillId="0" borderId="80" applyNumberFormat="0" applyFill="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40" fillId="0" borderId="0">
      <alignment vertical="center"/>
    </xf>
    <xf numFmtId="0" fontId="55" fillId="0" borderId="0" applyNumberFormat="0" applyFill="0" applyBorder="0" applyAlignment="0" applyProtection="0">
      <alignment vertical="center"/>
    </xf>
    <xf numFmtId="0" fontId="57" fillId="0" borderId="82" applyNumberFormat="0" applyFill="0" applyAlignment="0" applyProtection="0">
      <alignment vertical="center"/>
    </xf>
    <xf numFmtId="0" fontId="57" fillId="0" borderId="82" applyNumberFormat="0" applyFill="0" applyAlignment="0" applyProtection="0">
      <alignment vertical="center"/>
    </xf>
    <xf numFmtId="0" fontId="43" fillId="23" borderId="74" applyNumberFormat="0" applyAlignment="0" applyProtection="0">
      <alignment vertical="center"/>
    </xf>
    <xf numFmtId="0" fontId="43" fillId="23" borderId="74" applyNumberFormat="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0" fillId="0" borderId="0">
      <alignment vertical="center"/>
    </xf>
    <xf numFmtId="0" fontId="64" fillId="0" borderId="0"/>
    <xf numFmtId="0" fontId="64" fillId="0" borderId="0">
      <alignment vertical="center"/>
    </xf>
    <xf numFmtId="0" fontId="40" fillId="0" borderId="0">
      <alignment vertical="center"/>
    </xf>
    <xf numFmtId="0" fontId="40" fillId="0" borderId="0">
      <alignment vertical="center"/>
    </xf>
    <xf numFmtId="0" fontId="64" fillId="0" borderId="0"/>
    <xf numFmtId="0" fontId="8" fillId="0" borderId="0"/>
    <xf numFmtId="0" fontId="37" fillId="0" borderId="0"/>
    <xf numFmtId="0" fontId="40" fillId="0" borderId="0">
      <alignment vertical="center"/>
    </xf>
    <xf numFmtId="0" fontId="64" fillId="0" borderId="0">
      <alignment vertical="center"/>
    </xf>
    <xf numFmtId="0" fontId="8" fillId="0" borderId="0"/>
    <xf numFmtId="0" fontId="10" fillId="0" borderId="0">
      <alignment vertical="center"/>
    </xf>
    <xf numFmtId="0" fontId="40" fillId="0" borderId="0">
      <alignment vertical="center"/>
    </xf>
    <xf numFmtId="0" fontId="64" fillId="0" borderId="0"/>
    <xf numFmtId="0" fontId="64" fillId="0" borderId="0">
      <alignment vertical="center"/>
    </xf>
    <xf numFmtId="0" fontId="37" fillId="0" borderId="0"/>
    <xf numFmtId="0" fontId="64" fillId="0" borderId="0">
      <alignment vertical="center"/>
    </xf>
    <xf numFmtId="0" fontId="40" fillId="0" borderId="0">
      <alignment vertical="center"/>
    </xf>
    <xf numFmtId="0" fontId="8" fillId="0" borderId="0"/>
    <xf numFmtId="0" fontId="64" fillId="0" borderId="0"/>
    <xf numFmtId="0" fontId="8" fillId="0" borderId="0"/>
    <xf numFmtId="0" fontId="61" fillId="0" borderId="0"/>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4" fillId="0" borderId="0">
      <alignment vertical="center"/>
    </xf>
    <xf numFmtId="0" fontId="64" fillId="0" borderId="0">
      <alignment vertical="center"/>
    </xf>
    <xf numFmtId="0" fontId="8" fillId="0" borderId="0"/>
  </cellStyleXfs>
  <cellXfs count="1227">
    <xf numFmtId="0" fontId="0" fillId="0" borderId="0" xfId="0"/>
    <xf numFmtId="0" fontId="1" fillId="0" borderId="0" xfId="19" applyFont="1"/>
    <xf numFmtId="0" fontId="2" fillId="0" borderId="0" xfId="0" applyFont="1" applyAlignment="1">
      <alignment vertical="center"/>
    </xf>
    <xf numFmtId="0" fontId="2" fillId="0" borderId="0" xfId="19" applyFont="1" applyAlignment="1">
      <alignment vertical="center"/>
    </xf>
    <xf numFmtId="0" fontId="2" fillId="0" borderId="0" xfId="19" applyFont="1" applyAlignment="1">
      <alignment horizontal="center" vertical="center"/>
    </xf>
    <xf numFmtId="0" fontId="2" fillId="0" borderId="0" xfId="19" applyFont="1" applyAlignment="1">
      <alignment vertical="center" wrapText="1"/>
    </xf>
    <xf numFmtId="0" fontId="1" fillId="0" borderId="0" xfId="19" applyFont="1" applyAlignment="1">
      <alignment vertical="top"/>
    </xf>
    <xf numFmtId="0" fontId="1" fillId="0" borderId="0" xfId="19" applyFont="1" applyAlignment="1">
      <alignment horizontal="center" vertical="center"/>
    </xf>
    <xf numFmtId="0" fontId="1" fillId="0" borderId="0" xfId="19" applyFont="1" applyAlignment="1">
      <alignment vertical="center"/>
    </xf>
    <xf numFmtId="0" fontId="2" fillId="0" borderId="3" xfId="0" applyFont="1" applyBorder="1" applyAlignment="1">
      <alignment vertical="center"/>
    </xf>
    <xf numFmtId="0" fontId="2" fillId="0" borderId="0" xfId="0" applyFont="1" applyBorder="1" applyAlignment="1">
      <alignment vertical="center"/>
    </xf>
    <xf numFmtId="49" fontId="2" fillId="0" borderId="0" xfId="163" applyNumberFormat="1" applyFont="1">
      <alignment vertical="center"/>
    </xf>
    <xf numFmtId="0" fontId="2" fillId="0" borderId="6" xfId="0" applyFont="1" applyBorder="1" applyAlignment="1">
      <alignment vertical="center"/>
    </xf>
    <xf numFmtId="0" fontId="2" fillId="0" borderId="7" xfId="0" applyFont="1" applyBorder="1" applyAlignment="1">
      <alignment vertical="center"/>
    </xf>
    <xf numFmtId="0" fontId="2" fillId="0" borderId="8" xfId="0" applyFont="1" applyBorder="1" applyAlignment="1">
      <alignment vertical="center"/>
    </xf>
    <xf numFmtId="49" fontId="5" fillId="0" borderId="0" xfId="163" applyNumberFormat="1" applyFont="1">
      <alignment vertical="center"/>
    </xf>
    <xf numFmtId="0" fontId="5" fillId="0" borderId="0" xfId="0" applyFont="1" applyBorder="1" applyAlignment="1">
      <alignment vertical="center"/>
    </xf>
    <xf numFmtId="0" fontId="5" fillId="0" borderId="6" xfId="0" applyFont="1" applyBorder="1" applyAlignment="1">
      <alignment vertical="center"/>
    </xf>
    <xf numFmtId="0" fontId="5" fillId="0" borderId="7" xfId="0" applyFont="1" applyBorder="1" applyAlignment="1">
      <alignment vertical="center"/>
    </xf>
    <xf numFmtId="0" fontId="5" fillId="0" borderId="8" xfId="0" applyFont="1" applyBorder="1" applyAlignment="1">
      <alignment vertical="center"/>
    </xf>
    <xf numFmtId="0" fontId="5" fillId="2" borderId="6" xfId="0" applyFont="1" applyFill="1" applyBorder="1" applyAlignment="1">
      <alignment vertical="center"/>
    </xf>
    <xf numFmtId="0" fontId="2" fillId="0" borderId="4" xfId="0" applyFont="1" applyBorder="1" applyAlignment="1">
      <alignment vertical="center"/>
    </xf>
    <xf numFmtId="0" fontId="2" fillId="0" borderId="5" xfId="0" applyFont="1" applyBorder="1" applyAlignment="1">
      <alignment vertical="center"/>
    </xf>
    <xf numFmtId="0" fontId="2" fillId="2" borderId="6" xfId="0" applyFont="1" applyFill="1" applyBorder="1" applyAlignment="1">
      <alignment vertical="center"/>
    </xf>
    <xf numFmtId="0" fontId="2" fillId="2" borderId="7" xfId="0" applyFont="1" applyFill="1" applyBorder="1" applyAlignment="1">
      <alignment vertical="center"/>
    </xf>
    <xf numFmtId="0" fontId="2" fillId="2" borderId="8" xfId="0" applyFont="1" applyFill="1" applyBorder="1" applyAlignment="1">
      <alignment vertical="center"/>
    </xf>
    <xf numFmtId="0" fontId="2" fillId="2" borderId="13" xfId="0" applyFont="1" applyFill="1" applyBorder="1" applyAlignment="1">
      <alignment vertical="center"/>
    </xf>
    <xf numFmtId="0" fontId="2" fillId="2" borderId="14" xfId="0" applyFont="1" applyFill="1" applyBorder="1" applyAlignment="1">
      <alignment vertical="center"/>
    </xf>
    <xf numFmtId="0" fontId="2" fillId="2" borderId="17" xfId="0" applyFont="1" applyFill="1" applyBorder="1" applyAlignment="1">
      <alignment vertical="center"/>
    </xf>
    <xf numFmtId="0" fontId="2" fillId="2" borderId="18" xfId="0" applyFont="1" applyFill="1" applyBorder="1" applyAlignment="1">
      <alignment vertical="center"/>
    </xf>
    <xf numFmtId="0" fontId="2" fillId="2" borderId="19" xfId="0" applyFont="1" applyFill="1" applyBorder="1" applyAlignment="1">
      <alignment vertical="center"/>
    </xf>
    <xf numFmtId="0" fontId="2" fillId="2" borderId="20" xfId="0" applyFont="1" applyFill="1" applyBorder="1" applyAlignment="1">
      <alignment vertical="center"/>
    </xf>
    <xf numFmtId="0" fontId="5" fillId="2" borderId="7" xfId="0" applyFont="1" applyFill="1" applyBorder="1" applyAlignment="1">
      <alignment vertical="center"/>
    </xf>
    <xf numFmtId="0" fontId="5" fillId="2" borderId="8" xfId="0" applyFont="1" applyFill="1" applyBorder="1" applyAlignment="1">
      <alignment vertical="center"/>
    </xf>
    <xf numFmtId="0" fontId="5" fillId="0" borderId="13" xfId="0" applyFont="1" applyBorder="1" applyAlignment="1">
      <alignment vertical="center"/>
    </xf>
    <xf numFmtId="0" fontId="5" fillId="0" borderId="14" xfId="0" applyFont="1" applyBorder="1" applyAlignment="1">
      <alignment vertical="center"/>
    </xf>
    <xf numFmtId="0" fontId="5" fillId="0" borderId="17" xfId="0" applyFont="1" applyBorder="1" applyAlignment="1">
      <alignment vertical="center"/>
    </xf>
    <xf numFmtId="0" fontId="5" fillId="0" borderId="21" xfId="0" applyFont="1" applyBorder="1" applyAlignment="1">
      <alignment vertical="center"/>
    </xf>
    <xf numFmtId="0" fontId="5" fillId="0" borderId="12" xfId="0" applyFont="1" applyBorder="1" applyAlignment="1">
      <alignment vertical="center"/>
    </xf>
    <xf numFmtId="0" fontId="5" fillId="0" borderId="18" xfId="0" applyFont="1" applyBorder="1" applyAlignment="1">
      <alignment vertical="center"/>
    </xf>
    <xf numFmtId="0" fontId="5" fillId="0" borderId="19" xfId="0" applyFont="1" applyBorder="1" applyAlignment="1">
      <alignment vertical="center"/>
    </xf>
    <xf numFmtId="0" fontId="5" fillId="0" borderId="20" xfId="0" applyFont="1" applyBorder="1" applyAlignment="1">
      <alignment vertical="center"/>
    </xf>
    <xf numFmtId="0" fontId="1" fillId="0" borderId="0" xfId="19" applyFont="1" applyAlignment="1">
      <alignment vertical="center" wrapText="1"/>
    </xf>
    <xf numFmtId="0" fontId="2" fillId="0" borderId="0" xfId="0" applyFont="1" applyBorder="1" applyAlignment="1">
      <alignment vertical="center" wrapText="1"/>
    </xf>
    <xf numFmtId="0" fontId="2" fillId="2" borderId="7" xfId="0" applyFont="1" applyFill="1" applyBorder="1" applyAlignment="1">
      <alignment vertical="center" wrapText="1"/>
    </xf>
    <xf numFmtId="0" fontId="2" fillId="2" borderId="14" xfId="0" applyFont="1" applyFill="1" applyBorder="1" applyAlignment="1">
      <alignment vertical="center" wrapText="1"/>
    </xf>
    <xf numFmtId="0" fontId="2" fillId="2" borderId="19" xfId="0" applyFont="1" applyFill="1" applyBorder="1" applyAlignment="1">
      <alignment vertical="center" wrapText="1"/>
    </xf>
    <xf numFmtId="0" fontId="2" fillId="0" borderId="7" xfId="0" applyFont="1" applyBorder="1" applyAlignment="1">
      <alignment vertical="center" wrapText="1"/>
    </xf>
    <xf numFmtId="0" fontId="5" fillId="0" borderId="0" xfId="0" applyFont="1" applyBorder="1" applyAlignment="1">
      <alignment vertical="center" wrapText="1"/>
    </xf>
    <xf numFmtId="0" fontId="5" fillId="2" borderId="7" xfId="0" applyFont="1" applyFill="1" applyBorder="1" applyAlignment="1">
      <alignment vertical="center" wrapText="1"/>
    </xf>
    <xf numFmtId="0" fontId="5" fillId="0" borderId="7" xfId="0" applyFont="1" applyBorder="1" applyAlignment="1">
      <alignment vertical="center" wrapText="1"/>
    </xf>
    <xf numFmtId="0" fontId="2" fillId="0" borderId="29" xfId="0" applyFont="1" applyBorder="1" applyAlignment="1">
      <alignment vertical="center"/>
    </xf>
    <xf numFmtId="0" fontId="2" fillId="0" borderId="28" xfId="0" applyFont="1" applyBorder="1" applyAlignment="1">
      <alignment vertical="center"/>
    </xf>
    <xf numFmtId="0" fontId="10" fillId="0" borderId="0" xfId="171" applyFont="1">
      <alignment vertical="center"/>
    </xf>
    <xf numFmtId="0" fontId="1" fillId="0" borderId="0" xfId="0" applyFont="1"/>
    <xf numFmtId="0" fontId="2" fillId="0" borderId="0" xfId="0" applyFont="1" applyAlignment="1">
      <alignment vertical="center" shrinkToFit="1"/>
    </xf>
    <xf numFmtId="0" fontId="1" fillId="0" borderId="0" xfId="0" applyFont="1" applyAlignment="1">
      <alignment vertical="top"/>
    </xf>
    <xf numFmtId="0" fontId="1" fillId="0" borderId="0" xfId="0" applyFont="1" applyAlignment="1">
      <alignment horizontal="center" vertical="center"/>
    </xf>
    <xf numFmtId="0" fontId="1" fillId="0" borderId="0" xfId="0" applyFont="1" applyAlignment="1">
      <alignment vertical="center"/>
    </xf>
    <xf numFmtId="49" fontId="11" fillId="4" borderId="30" xfId="0" applyNumberFormat="1" applyFont="1" applyFill="1" applyBorder="1" applyAlignment="1">
      <alignment vertical="center" shrinkToFit="1"/>
    </xf>
    <xf numFmtId="49" fontId="7" fillId="4" borderId="31" xfId="0" applyNumberFormat="1" applyFont="1" applyFill="1" applyBorder="1" applyAlignment="1">
      <alignment vertical="center"/>
    </xf>
    <xf numFmtId="0" fontId="2" fillId="0" borderId="32" xfId="0" applyFont="1" applyBorder="1" applyAlignment="1">
      <alignment vertical="center" shrinkToFit="1"/>
    </xf>
    <xf numFmtId="49" fontId="7" fillId="5" borderId="7" xfId="0" applyNumberFormat="1" applyFont="1" applyFill="1" applyBorder="1" applyAlignment="1">
      <alignment vertical="center"/>
    </xf>
    <xf numFmtId="49" fontId="2" fillId="5" borderId="7" xfId="0" applyNumberFormat="1" applyFont="1" applyFill="1" applyBorder="1" applyAlignment="1">
      <alignment vertical="center"/>
    </xf>
    <xf numFmtId="0" fontId="2" fillId="0" borderId="33" xfId="0" applyFont="1" applyBorder="1" applyAlignment="1">
      <alignment vertical="center" shrinkToFit="1"/>
    </xf>
    <xf numFmtId="0" fontId="2" fillId="0" borderId="13" xfId="0" applyFont="1" applyBorder="1" applyAlignment="1">
      <alignment vertical="center"/>
    </xf>
    <xf numFmtId="0" fontId="2" fillId="0" borderId="14" xfId="0" applyFont="1" applyBorder="1" applyAlignment="1">
      <alignment vertical="center"/>
    </xf>
    <xf numFmtId="0" fontId="2" fillId="0" borderId="21" xfId="0" applyFont="1" applyBorder="1" applyAlignment="1">
      <alignment vertical="center"/>
    </xf>
    <xf numFmtId="0" fontId="2" fillId="0" borderId="34" xfId="0" applyFont="1" applyBorder="1" applyAlignment="1">
      <alignment vertical="center" shrinkToFit="1"/>
    </xf>
    <xf numFmtId="49" fontId="7" fillId="4" borderId="35" xfId="0" applyNumberFormat="1" applyFont="1" applyFill="1" applyBorder="1" applyAlignment="1">
      <alignment vertical="center"/>
    </xf>
    <xf numFmtId="0" fontId="2" fillId="0" borderId="17" xfId="0" applyFont="1" applyBorder="1" applyAlignment="1">
      <alignment vertical="center"/>
    </xf>
    <xf numFmtId="49" fontId="2" fillId="0" borderId="21" xfId="0" applyNumberFormat="1" applyFont="1" applyBorder="1" applyAlignment="1">
      <alignment horizontal="left" vertical="center"/>
    </xf>
    <xf numFmtId="49" fontId="2" fillId="0" borderId="0" xfId="0" applyNumberFormat="1" applyFont="1" applyAlignment="1">
      <alignment horizontal="left" vertical="center"/>
    </xf>
    <xf numFmtId="0" fontId="2" fillId="0" borderId="12" xfId="0" applyFont="1" applyBorder="1" applyAlignment="1">
      <alignment vertical="center"/>
    </xf>
    <xf numFmtId="49" fontId="2" fillId="0" borderId="0" xfId="0" applyNumberFormat="1" applyFont="1" applyBorder="1" applyAlignment="1">
      <alignment horizontal="left" vertical="center"/>
    </xf>
    <xf numFmtId="0" fontId="1" fillId="0" borderId="0" xfId="0" applyFont="1" applyAlignment="1">
      <alignment vertical="center" wrapText="1"/>
    </xf>
    <xf numFmtId="0" fontId="2" fillId="0" borderId="7" xfId="0" applyFont="1" applyFill="1" applyBorder="1" applyAlignment="1">
      <alignment vertical="center"/>
    </xf>
    <xf numFmtId="0" fontId="2" fillId="0" borderId="0" xfId="0" applyFont="1" applyFill="1" applyBorder="1" applyAlignment="1">
      <alignment vertical="center"/>
    </xf>
    <xf numFmtId="49" fontId="7" fillId="4" borderId="36" xfId="0" applyNumberFormat="1" applyFont="1" applyFill="1" applyBorder="1" applyAlignment="1">
      <alignment vertical="center"/>
    </xf>
    <xf numFmtId="49" fontId="2" fillId="5" borderId="37" xfId="0" applyNumberFormat="1" applyFont="1" applyFill="1" applyBorder="1" applyAlignment="1">
      <alignment vertical="center"/>
    </xf>
    <xf numFmtId="0" fontId="2" fillId="0" borderId="27" xfId="0" applyFont="1" applyBorder="1" applyAlignment="1">
      <alignment vertical="center"/>
    </xf>
    <xf numFmtId="0" fontId="2" fillId="0" borderId="5" xfId="0" applyFont="1" applyBorder="1" applyAlignment="1">
      <alignment vertical="center" wrapText="1"/>
    </xf>
    <xf numFmtId="0" fontId="2" fillId="0" borderId="18" xfId="0" applyFont="1" applyBorder="1" applyAlignment="1">
      <alignment vertical="center"/>
    </xf>
    <xf numFmtId="0" fontId="2" fillId="0" borderId="19" xfId="0" applyFont="1" applyBorder="1" applyAlignment="1">
      <alignment vertical="center"/>
    </xf>
    <xf numFmtId="0" fontId="12" fillId="0" borderId="14" xfId="0" applyFont="1" applyBorder="1" applyAlignment="1">
      <alignment vertical="center"/>
    </xf>
    <xf numFmtId="0" fontId="12" fillId="0" borderId="0" xfId="0" applyFont="1" applyAlignment="1">
      <alignment horizontal="right" vertical="center"/>
    </xf>
    <xf numFmtId="0" fontId="12" fillId="0" borderId="0" xfId="0" applyFont="1" applyAlignment="1">
      <alignment vertical="center"/>
    </xf>
    <xf numFmtId="0" fontId="12" fillId="0" borderId="19" xfId="0" applyFont="1" applyBorder="1" applyAlignment="1">
      <alignment vertical="center"/>
    </xf>
    <xf numFmtId="0" fontId="2" fillId="0" borderId="20" xfId="0" applyFont="1" applyBorder="1" applyAlignment="1">
      <alignment vertical="center"/>
    </xf>
    <xf numFmtId="0" fontId="1" fillId="6" borderId="0" xfId="0" applyFont="1" applyFill="1"/>
    <xf numFmtId="0" fontId="2" fillId="6" borderId="0" xfId="0" applyFont="1" applyFill="1" applyAlignment="1">
      <alignment vertical="center"/>
    </xf>
    <xf numFmtId="0" fontId="2" fillId="6" borderId="0" xfId="0" applyFont="1" applyFill="1" applyBorder="1" applyAlignment="1">
      <alignment vertical="center"/>
    </xf>
    <xf numFmtId="0" fontId="2" fillId="0" borderId="0" xfId="0" applyFont="1" applyFill="1" applyAlignment="1">
      <alignment vertical="center"/>
    </xf>
    <xf numFmtId="0" fontId="2" fillId="0" borderId="0" xfId="0" applyFont="1" applyAlignment="1">
      <alignment horizontal="center" vertical="center"/>
    </xf>
    <xf numFmtId="0" fontId="2" fillId="0" borderId="0" xfId="0" applyFont="1" applyAlignment="1">
      <alignment vertical="center" wrapText="1"/>
    </xf>
    <xf numFmtId="0" fontId="6" fillId="7" borderId="38" xfId="0" applyFont="1" applyFill="1" applyBorder="1" applyAlignment="1">
      <alignment vertical="center"/>
    </xf>
    <xf numFmtId="0" fontId="6" fillId="7" borderId="11" xfId="0" applyFont="1" applyFill="1" applyBorder="1" applyAlignment="1">
      <alignment vertical="center"/>
    </xf>
    <xf numFmtId="0" fontId="6" fillId="7" borderId="10" xfId="0" applyFont="1" applyFill="1" applyBorder="1" applyAlignment="1">
      <alignment vertical="center"/>
    </xf>
    <xf numFmtId="0" fontId="2" fillId="6" borderId="39" xfId="0" applyFont="1" applyFill="1" applyBorder="1" applyAlignment="1">
      <alignment vertical="center"/>
    </xf>
    <xf numFmtId="0" fontId="2" fillId="6" borderId="7" xfId="0" applyFont="1" applyFill="1" applyBorder="1" applyAlignment="1">
      <alignment vertical="center"/>
    </xf>
    <xf numFmtId="0" fontId="7" fillId="6" borderId="7" xfId="0" applyFont="1" applyFill="1" applyBorder="1" applyAlignment="1">
      <alignment vertical="center"/>
    </xf>
    <xf numFmtId="0" fontId="2" fillId="6" borderId="6" xfId="0" applyFont="1" applyFill="1" applyBorder="1" applyAlignment="1">
      <alignment vertical="center"/>
    </xf>
    <xf numFmtId="0" fontId="2" fillId="6" borderId="40" xfId="0" applyFont="1" applyFill="1" applyBorder="1" applyAlignment="1">
      <alignment vertical="center"/>
    </xf>
    <xf numFmtId="0" fontId="2" fillId="6" borderId="14" xfId="0" applyFont="1" applyFill="1" applyBorder="1" applyAlignment="1">
      <alignment vertical="center"/>
    </xf>
    <xf numFmtId="0" fontId="2" fillId="6" borderId="14" xfId="0" applyFont="1" applyFill="1" applyBorder="1" applyAlignment="1">
      <alignment horizontal="center" vertical="center"/>
    </xf>
    <xf numFmtId="0" fontId="2" fillId="6" borderId="3" xfId="0" applyFont="1" applyFill="1" applyBorder="1" applyAlignment="1">
      <alignment vertical="center"/>
    </xf>
    <xf numFmtId="0" fontId="7" fillId="6" borderId="0" xfId="0" applyFont="1" applyFill="1" applyBorder="1" applyAlignment="1">
      <alignment vertical="center"/>
    </xf>
    <xf numFmtId="0" fontId="2" fillId="6" borderId="0" xfId="0" applyFont="1" applyFill="1" applyBorder="1" applyAlignment="1">
      <alignment horizontal="center" vertical="center"/>
    </xf>
    <xf numFmtId="0" fontId="7" fillId="8" borderId="6" xfId="0" applyFont="1" applyFill="1" applyBorder="1" applyAlignment="1">
      <alignment vertical="center"/>
    </xf>
    <xf numFmtId="0" fontId="2" fillId="8" borderId="7" xfId="0" applyFont="1" applyFill="1" applyBorder="1" applyAlignment="1">
      <alignment vertical="center"/>
    </xf>
    <xf numFmtId="0" fontId="2" fillId="8" borderId="7" xfId="0" applyFont="1" applyFill="1" applyBorder="1" applyAlignment="1">
      <alignment horizontal="left" vertical="center"/>
    </xf>
    <xf numFmtId="0" fontId="2" fillId="8" borderId="8" xfId="0" applyFont="1" applyFill="1" applyBorder="1" applyAlignment="1">
      <alignment vertical="center"/>
    </xf>
    <xf numFmtId="0" fontId="2" fillId="8" borderId="7" xfId="0" applyFont="1" applyFill="1" applyBorder="1" applyAlignment="1">
      <alignment horizontal="center" vertical="center"/>
    </xf>
    <xf numFmtId="0" fontId="7" fillId="8" borderId="13" xfId="0" applyFont="1" applyFill="1" applyBorder="1" applyAlignment="1">
      <alignment vertical="center"/>
    </xf>
    <xf numFmtId="0" fontId="2" fillId="8" borderId="14" xfId="0" applyFont="1" applyFill="1" applyBorder="1" applyAlignment="1">
      <alignment vertical="center"/>
    </xf>
    <xf numFmtId="0" fontId="2" fillId="8" borderId="14" xfId="0" applyFont="1" applyFill="1" applyBorder="1" applyAlignment="1">
      <alignment horizontal="left" vertical="center"/>
    </xf>
    <xf numFmtId="0" fontId="2" fillId="8" borderId="17" xfId="0" applyFont="1" applyFill="1" applyBorder="1" applyAlignment="1">
      <alignment vertical="center"/>
    </xf>
    <xf numFmtId="0" fontId="7" fillId="8" borderId="21" xfId="0" applyFont="1" applyFill="1" applyBorder="1" applyAlignment="1">
      <alignment vertical="center"/>
    </xf>
    <xf numFmtId="0" fontId="2" fillId="8" borderId="0" xfId="0" applyFont="1" applyFill="1" applyBorder="1" applyAlignment="1">
      <alignment vertical="center"/>
    </xf>
    <xf numFmtId="0" fontId="2" fillId="8" borderId="0" xfId="0" applyFont="1" applyFill="1" applyBorder="1" applyAlignment="1">
      <alignment horizontal="left" vertical="center"/>
    </xf>
    <xf numFmtId="0" fontId="2" fillId="8" borderId="12" xfId="0" applyFont="1" applyFill="1" applyBorder="1" applyAlignment="1">
      <alignment vertical="center"/>
    </xf>
    <xf numFmtId="0" fontId="7" fillId="8" borderId="18" xfId="0" applyFont="1" applyFill="1" applyBorder="1" applyAlignment="1">
      <alignment vertical="center"/>
    </xf>
    <xf numFmtId="0" fontId="2" fillId="8" borderId="19" xfId="0" applyFont="1" applyFill="1" applyBorder="1" applyAlignment="1">
      <alignment vertical="center"/>
    </xf>
    <xf numFmtId="0" fontId="2" fillId="8" borderId="19" xfId="0" applyFont="1" applyFill="1" applyBorder="1" applyAlignment="1">
      <alignment horizontal="left" vertical="center"/>
    </xf>
    <xf numFmtId="0" fontId="2" fillId="8" borderId="20" xfId="0" applyFont="1" applyFill="1" applyBorder="1" applyAlignment="1">
      <alignment vertical="center"/>
    </xf>
    <xf numFmtId="0" fontId="2" fillId="0" borderId="3" xfId="0" applyFont="1" applyFill="1" applyBorder="1" applyAlignment="1">
      <alignment vertical="center"/>
    </xf>
    <xf numFmtId="0" fontId="7" fillId="0" borderId="0" xfId="0" applyFont="1" applyFill="1" applyBorder="1" applyAlignment="1">
      <alignment vertical="center"/>
    </xf>
    <xf numFmtId="0" fontId="2" fillId="0" borderId="0" xfId="0" applyFont="1" applyFill="1" applyBorder="1" applyAlignment="1">
      <alignment horizontal="center" vertical="center"/>
    </xf>
    <xf numFmtId="0" fontId="2" fillId="0" borderId="39" xfId="0" applyFont="1" applyBorder="1" applyAlignment="1">
      <alignment vertical="center"/>
    </xf>
    <xf numFmtId="0" fontId="7" fillId="0" borderId="7" xfId="0" applyFont="1" applyBorder="1" applyAlignment="1">
      <alignment vertical="center"/>
    </xf>
    <xf numFmtId="0" fontId="2" fillId="0" borderId="40" xfId="0" applyFont="1" applyBorder="1" applyAlignment="1">
      <alignment vertical="center"/>
    </xf>
    <xf numFmtId="0" fontId="2" fillId="0" borderId="14" xfId="0" applyFont="1" applyBorder="1" applyAlignment="1">
      <alignment horizontal="center" vertical="center"/>
    </xf>
    <xf numFmtId="0" fontId="7" fillId="9" borderId="6" xfId="0" applyFont="1" applyFill="1" applyBorder="1" applyAlignment="1">
      <alignment vertical="center"/>
    </xf>
    <xf numFmtId="0" fontId="2" fillId="9" borderId="7" xfId="0" applyFont="1" applyFill="1" applyBorder="1" applyAlignment="1">
      <alignment vertical="center"/>
    </xf>
    <xf numFmtId="0" fontId="2" fillId="9" borderId="7" xfId="0" applyFont="1" applyFill="1" applyBorder="1" applyAlignment="1">
      <alignment horizontal="left" vertical="center"/>
    </xf>
    <xf numFmtId="0" fontId="2" fillId="9" borderId="8" xfId="0" applyFont="1" applyFill="1" applyBorder="1" applyAlignment="1">
      <alignment vertical="center"/>
    </xf>
    <xf numFmtId="0" fontId="2" fillId="9" borderId="7" xfId="0" applyFont="1" applyFill="1" applyBorder="1" applyAlignment="1">
      <alignment horizontal="center" vertical="center"/>
    </xf>
    <xf numFmtId="0" fontId="7" fillId="0" borderId="5" xfId="0" applyFont="1" applyBorder="1" applyAlignment="1">
      <alignment vertical="center"/>
    </xf>
    <xf numFmtId="0" fontId="2" fillId="0" borderId="5" xfId="0" applyFont="1" applyBorder="1" applyAlignment="1">
      <alignment horizontal="center" vertical="center"/>
    </xf>
    <xf numFmtId="0" fontId="6" fillId="10" borderId="38" xfId="0" applyFont="1" applyFill="1" applyBorder="1" applyAlignment="1">
      <alignment vertical="center"/>
    </xf>
    <xf numFmtId="0" fontId="6" fillId="10" borderId="11" xfId="0" applyFont="1" applyFill="1" applyBorder="1" applyAlignment="1">
      <alignment vertical="center"/>
    </xf>
    <xf numFmtId="0" fontId="6" fillId="10" borderId="10" xfId="0" applyFont="1" applyFill="1" applyBorder="1" applyAlignment="1">
      <alignment vertical="center"/>
    </xf>
    <xf numFmtId="0" fontId="7" fillId="0" borderId="0" xfId="0" applyFont="1" applyBorder="1" applyAlignment="1">
      <alignment vertical="center"/>
    </xf>
    <xf numFmtId="0" fontId="2" fillId="0" borderId="0" xfId="0" applyFont="1" applyBorder="1" applyAlignment="1">
      <alignment horizontal="center" vertical="center"/>
    </xf>
    <xf numFmtId="0" fontId="2" fillId="6" borderId="7" xfId="0" applyFont="1" applyFill="1" applyBorder="1" applyAlignment="1">
      <alignment horizontal="center" vertical="center"/>
    </xf>
    <xf numFmtId="0" fontId="2" fillId="0" borderId="7" xfId="0" applyFont="1" applyBorder="1" applyAlignment="1">
      <alignment horizontal="center" vertical="center"/>
    </xf>
    <xf numFmtId="0" fontId="2" fillId="6" borderId="7" xfId="0" applyFont="1" applyFill="1" applyBorder="1" applyAlignment="1">
      <alignment vertical="center" wrapText="1"/>
    </xf>
    <xf numFmtId="0" fontId="2" fillId="6" borderId="14" xfId="0" applyFont="1" applyFill="1" applyBorder="1" applyAlignment="1">
      <alignment vertical="center" wrapText="1"/>
    </xf>
    <xf numFmtId="0" fontId="2" fillId="6" borderId="0" xfId="0" applyFont="1" applyFill="1" applyBorder="1" applyAlignment="1">
      <alignment vertical="center" wrapText="1"/>
    </xf>
    <xf numFmtId="0" fontId="2" fillId="8" borderId="7" xfId="0" applyFont="1" applyFill="1" applyBorder="1" applyAlignment="1">
      <alignment vertical="center" wrapText="1"/>
    </xf>
    <xf numFmtId="0" fontId="2" fillId="0" borderId="0" xfId="0" applyFont="1" applyFill="1" applyBorder="1" applyAlignment="1">
      <alignment vertical="center" wrapText="1"/>
    </xf>
    <xf numFmtId="0" fontId="2" fillId="0" borderId="14" xfId="0" applyFont="1" applyBorder="1" applyAlignment="1">
      <alignment vertical="center" wrapText="1"/>
    </xf>
    <xf numFmtId="0" fontId="2" fillId="0" borderId="7" xfId="0" applyFont="1" applyFill="1" applyBorder="1" applyAlignment="1">
      <alignment vertical="center" wrapText="1"/>
    </xf>
    <xf numFmtId="0" fontId="6" fillId="10" borderId="24" xfId="0" applyFont="1" applyFill="1" applyBorder="1" applyAlignment="1">
      <alignment vertical="center"/>
    </xf>
    <xf numFmtId="0" fontId="2" fillId="6" borderId="8" xfId="0" applyFont="1" applyFill="1" applyBorder="1" applyAlignment="1">
      <alignment vertical="center"/>
    </xf>
    <xf numFmtId="0" fontId="6" fillId="7" borderId="26" xfId="0" applyFont="1" applyFill="1" applyBorder="1"/>
    <xf numFmtId="0" fontId="2" fillId="6" borderId="37" xfId="0" applyFont="1" applyFill="1" applyBorder="1" applyAlignment="1">
      <alignment vertical="center"/>
    </xf>
    <xf numFmtId="0" fontId="2" fillId="6" borderId="27" xfId="0" applyFont="1" applyFill="1" applyBorder="1" applyAlignment="1">
      <alignment vertical="center"/>
    </xf>
    <xf numFmtId="0" fontId="2" fillId="6" borderId="29" xfId="0" applyFont="1" applyFill="1" applyBorder="1" applyAlignment="1">
      <alignment vertical="center"/>
    </xf>
    <xf numFmtId="0" fontId="2" fillId="0" borderId="29" xfId="0" applyFont="1" applyFill="1" applyBorder="1" applyAlignment="1">
      <alignment vertical="center"/>
    </xf>
    <xf numFmtId="0" fontId="2" fillId="0" borderId="37" xfId="0" applyFont="1" applyBorder="1" applyAlignment="1">
      <alignment vertical="center"/>
    </xf>
    <xf numFmtId="0" fontId="2" fillId="0" borderId="8" xfId="0" applyFont="1" applyFill="1" applyBorder="1" applyAlignment="1">
      <alignment vertical="center"/>
    </xf>
    <xf numFmtId="0" fontId="6" fillId="10" borderId="26" xfId="0" applyFont="1" applyFill="1" applyBorder="1"/>
    <xf numFmtId="0" fontId="1" fillId="6" borderId="0" xfId="19" applyFont="1" applyFill="1"/>
    <xf numFmtId="0" fontId="0" fillId="0" borderId="0" xfId="0" applyAlignment="1">
      <alignment vertical="center"/>
    </xf>
    <xf numFmtId="0" fontId="2" fillId="6" borderId="0" xfId="19" applyFont="1" applyFill="1" applyAlignment="1" applyProtection="1">
      <alignment vertical="center"/>
    </xf>
    <xf numFmtId="0" fontId="0" fillId="0" borderId="0" xfId="0" applyFill="1" applyAlignment="1">
      <alignment vertical="center"/>
    </xf>
    <xf numFmtId="0" fontId="0" fillId="11" borderId="0" xfId="0" applyFill="1" applyAlignment="1">
      <alignment vertical="center"/>
    </xf>
    <xf numFmtId="0" fontId="2" fillId="6" borderId="0" xfId="19" applyFont="1" applyFill="1" applyAlignment="1">
      <alignment vertical="center"/>
    </xf>
    <xf numFmtId="0" fontId="2" fillId="6" borderId="0" xfId="19" applyFont="1" applyFill="1" applyAlignment="1">
      <alignment horizontal="center" vertical="center"/>
    </xf>
    <xf numFmtId="0" fontId="2" fillId="6" borderId="0" xfId="19" applyFont="1" applyFill="1" applyAlignment="1">
      <alignment vertical="center" wrapText="1"/>
    </xf>
    <xf numFmtId="0" fontId="1" fillId="6" borderId="0" xfId="19" applyFont="1" applyFill="1" applyAlignment="1">
      <alignment vertical="top"/>
    </xf>
    <xf numFmtId="0" fontId="1" fillId="6" borderId="0" xfId="19" applyFont="1" applyFill="1" applyAlignment="1">
      <alignment horizontal="center" vertical="center"/>
    </xf>
    <xf numFmtId="0" fontId="1" fillId="6" borderId="0" xfId="19" applyFont="1" applyFill="1" applyAlignment="1">
      <alignment vertical="center"/>
    </xf>
    <xf numFmtId="0" fontId="13" fillId="10" borderId="1" xfId="0" applyFont="1" applyFill="1" applyBorder="1" applyAlignment="1">
      <alignment vertical="center"/>
    </xf>
    <xf numFmtId="49" fontId="13" fillId="10" borderId="44" xfId="0" applyNumberFormat="1" applyFont="1" applyFill="1" applyBorder="1" applyAlignment="1">
      <alignment vertical="center"/>
    </xf>
    <xf numFmtId="0" fontId="13" fillId="10" borderId="2" xfId="0" applyFont="1" applyFill="1" applyBorder="1" applyAlignment="1">
      <alignment vertical="center"/>
    </xf>
    <xf numFmtId="49" fontId="14" fillId="0" borderId="40" xfId="0" applyNumberFormat="1" applyFont="1" applyBorder="1" applyAlignment="1">
      <alignment vertical="center"/>
    </xf>
    <xf numFmtId="49" fontId="14" fillId="0" borderId="45" xfId="0" applyNumberFormat="1" applyFont="1" applyBorder="1" applyAlignment="1">
      <alignment vertical="center"/>
    </xf>
    <xf numFmtId="0" fontId="14" fillId="0" borderId="14" xfId="0" applyFont="1" applyBorder="1" applyAlignment="1">
      <alignment vertical="center"/>
    </xf>
    <xf numFmtId="0" fontId="14" fillId="0" borderId="40" xfId="0" applyFont="1" applyBorder="1" applyAlignment="1">
      <alignment vertical="center"/>
    </xf>
    <xf numFmtId="0" fontId="14" fillId="0" borderId="45" xfId="0" applyFont="1" applyBorder="1" applyAlignment="1">
      <alignment vertical="center"/>
    </xf>
    <xf numFmtId="49" fontId="14" fillId="0" borderId="39" xfId="0" applyNumberFormat="1" applyFont="1" applyBorder="1" applyAlignment="1">
      <alignment vertical="center"/>
    </xf>
    <xf numFmtId="49" fontId="14" fillId="0" borderId="46" xfId="0" applyNumberFormat="1" applyFont="1" applyBorder="1" applyAlignment="1">
      <alignment vertical="center"/>
    </xf>
    <xf numFmtId="0" fontId="14" fillId="0" borderId="7" xfId="0" applyFont="1" applyBorder="1" applyAlignment="1">
      <alignment vertical="center"/>
    </xf>
    <xf numFmtId="0" fontId="14" fillId="0" borderId="39" xfId="0" applyFont="1" applyBorder="1" applyAlignment="1">
      <alignment vertical="center"/>
    </xf>
    <xf numFmtId="0" fontId="14" fillId="0" borderId="46" xfId="0" applyFont="1" applyBorder="1" applyAlignment="1">
      <alignment vertical="center"/>
    </xf>
    <xf numFmtId="0" fontId="13" fillId="10" borderId="39" xfId="0" applyFont="1" applyFill="1" applyBorder="1" applyAlignment="1">
      <alignment vertical="center"/>
    </xf>
    <xf numFmtId="49" fontId="13" fillId="10" borderId="46" xfId="0" applyNumberFormat="1" applyFont="1" applyFill="1" applyBorder="1" applyAlignment="1">
      <alignment vertical="center"/>
    </xf>
    <xf numFmtId="0" fontId="13" fillId="10" borderId="7" xfId="0" applyFont="1" applyFill="1" applyBorder="1" applyAlignment="1">
      <alignment vertical="center"/>
    </xf>
    <xf numFmtId="0" fontId="13" fillId="10" borderId="9" xfId="0" applyFont="1" applyFill="1" applyBorder="1" applyAlignment="1">
      <alignment vertical="center"/>
    </xf>
    <xf numFmtId="49" fontId="13" fillId="10" borderId="2" xfId="0" applyNumberFormat="1" applyFont="1" applyFill="1" applyBorder="1" applyAlignment="1">
      <alignment vertical="center"/>
    </xf>
    <xf numFmtId="0" fontId="14" fillId="0" borderId="17" xfId="0" applyFont="1" applyBorder="1" applyAlignment="1">
      <alignment vertical="center"/>
    </xf>
    <xf numFmtId="0" fontId="14" fillId="0" borderId="8" xfId="0" applyFont="1" applyBorder="1" applyAlignment="1">
      <alignment vertical="center"/>
    </xf>
    <xf numFmtId="0" fontId="0" fillId="0" borderId="7" xfId="0" applyBorder="1" applyAlignment="1">
      <alignment vertical="center" wrapText="1"/>
    </xf>
    <xf numFmtId="0" fontId="13" fillId="10" borderId="8" xfId="0" applyFont="1" applyFill="1" applyBorder="1" applyAlignment="1">
      <alignment vertical="center"/>
    </xf>
    <xf numFmtId="49" fontId="13" fillId="10" borderId="7" xfId="0" applyNumberFormat="1" applyFont="1" applyFill="1" applyBorder="1" applyAlignment="1">
      <alignment vertical="center"/>
    </xf>
    <xf numFmtId="0" fontId="14" fillId="0" borderId="7" xfId="0" applyFont="1" applyBorder="1" applyAlignment="1">
      <alignment vertical="center" wrapText="1"/>
    </xf>
    <xf numFmtId="0" fontId="1" fillId="6" borderId="0" xfId="19" applyFont="1" applyFill="1" applyAlignment="1">
      <alignment vertical="center" wrapText="1"/>
    </xf>
    <xf numFmtId="49" fontId="13" fillId="10" borderId="47" xfId="0" applyNumberFormat="1" applyFont="1" applyFill="1" applyBorder="1" applyAlignment="1">
      <alignment vertical="center"/>
    </xf>
    <xf numFmtId="49" fontId="13" fillId="10" borderId="48" xfId="0" applyNumberFormat="1" applyFont="1" applyFill="1" applyBorder="1" applyAlignment="1">
      <alignment vertical="center"/>
    </xf>
    <xf numFmtId="0" fontId="14" fillId="0" borderId="49" xfId="0" applyFont="1" applyBorder="1" applyAlignment="1">
      <alignment vertical="center"/>
    </xf>
    <xf numFmtId="49" fontId="14" fillId="0" borderId="49" xfId="0" applyNumberFormat="1" applyFont="1" applyBorder="1" applyAlignment="1">
      <alignment vertical="center"/>
    </xf>
    <xf numFmtId="0" fontId="14" fillId="0" borderId="50" xfId="0" applyFont="1" applyBorder="1" applyAlignment="1">
      <alignment vertical="center"/>
    </xf>
    <xf numFmtId="0" fontId="14" fillId="0" borderId="42" xfId="0" applyFont="1" applyBorder="1" applyAlignment="1">
      <alignment vertical="center"/>
    </xf>
    <xf numFmtId="49" fontId="14" fillId="0" borderId="42" xfId="0" applyNumberFormat="1" applyFont="1" applyBorder="1" applyAlignment="1">
      <alignment vertical="center"/>
    </xf>
    <xf numFmtId="0" fontId="14" fillId="0" borderId="51" xfId="0" applyFont="1" applyBorder="1" applyAlignment="1">
      <alignment vertical="center"/>
    </xf>
    <xf numFmtId="49" fontId="13" fillId="10" borderId="42" xfId="0" applyNumberFormat="1" applyFont="1" applyFill="1" applyBorder="1" applyAlignment="1">
      <alignment vertical="center"/>
    </xf>
    <xf numFmtId="49" fontId="13" fillId="10" borderId="51" xfId="0" applyNumberFormat="1" applyFont="1" applyFill="1" applyBorder="1" applyAlignment="1">
      <alignment vertical="center"/>
    </xf>
    <xf numFmtId="49" fontId="14" fillId="0" borderId="51" xfId="0" applyNumberFormat="1" applyFont="1" applyBorder="1" applyAlignment="1">
      <alignment vertical="center"/>
    </xf>
    <xf numFmtId="49" fontId="14" fillId="0" borderId="52" xfId="171" applyNumberFormat="1" applyFont="1" applyBorder="1" applyProtection="1">
      <alignment vertical="center"/>
    </xf>
    <xf numFmtId="49" fontId="14" fillId="0" borderId="46" xfId="171" applyNumberFormat="1" applyFont="1" applyBorder="1" applyProtection="1">
      <alignment vertical="center"/>
    </xf>
    <xf numFmtId="0" fontId="14" fillId="0" borderId="7" xfId="171" applyFont="1" applyBorder="1" applyProtection="1">
      <alignment vertical="center"/>
    </xf>
    <xf numFmtId="0" fontId="13" fillId="10" borderId="38" xfId="0" applyFont="1" applyFill="1" applyBorder="1" applyAlignment="1">
      <alignment vertical="center"/>
    </xf>
    <xf numFmtId="49" fontId="13" fillId="10" borderId="53" xfId="0" applyNumberFormat="1" applyFont="1" applyFill="1" applyBorder="1" applyAlignment="1">
      <alignment vertical="center"/>
    </xf>
    <xf numFmtId="0" fontId="13" fillId="10" borderId="11" xfId="0" applyFont="1" applyFill="1" applyBorder="1" applyAlignment="1">
      <alignment vertical="center"/>
    </xf>
    <xf numFmtId="0" fontId="14" fillId="0" borderId="39" xfId="0" applyFont="1" applyFill="1" applyBorder="1" applyAlignment="1">
      <alignment vertical="center"/>
    </xf>
    <xf numFmtId="49" fontId="14" fillId="0" borderId="46" xfId="0" applyNumberFormat="1" applyFont="1" applyFill="1" applyBorder="1" applyAlignment="1">
      <alignment vertical="center"/>
    </xf>
    <xf numFmtId="0" fontId="14" fillId="0" borderId="7" xfId="0" applyFont="1" applyFill="1" applyBorder="1" applyAlignment="1">
      <alignment vertical="center"/>
    </xf>
    <xf numFmtId="0" fontId="14" fillId="0" borderId="8" xfId="171" applyFont="1" applyBorder="1" applyProtection="1">
      <alignment vertical="center"/>
    </xf>
    <xf numFmtId="0" fontId="13" fillId="10" borderId="24" xfId="0" applyFont="1" applyFill="1" applyBorder="1" applyAlignment="1">
      <alignment vertical="center"/>
    </xf>
    <xf numFmtId="49" fontId="13" fillId="10" borderId="11" xfId="0" applyNumberFormat="1" applyFont="1" applyFill="1" applyBorder="1" applyAlignment="1">
      <alignment vertical="center"/>
    </xf>
    <xf numFmtId="0" fontId="14" fillId="0" borderId="8" xfId="0" applyFont="1" applyFill="1" applyBorder="1" applyAlignment="1">
      <alignment vertical="center"/>
    </xf>
    <xf numFmtId="0" fontId="14" fillId="0" borderId="42" xfId="171" applyFont="1" applyBorder="1" applyAlignment="1" applyProtection="1">
      <alignment vertical="center" shrinkToFit="1"/>
    </xf>
    <xf numFmtId="49" fontId="14" fillId="0" borderId="42" xfId="171" applyNumberFormat="1" applyFont="1" applyBorder="1" applyAlignment="1" applyProtection="1">
      <alignment vertical="center" shrinkToFit="1"/>
    </xf>
    <xf numFmtId="49" fontId="13" fillId="10" borderId="41" xfId="0" applyNumberFormat="1" applyFont="1" applyFill="1" applyBorder="1" applyAlignment="1">
      <alignment vertical="center"/>
    </xf>
    <xf numFmtId="49" fontId="13" fillId="10" borderId="54" xfId="0" applyNumberFormat="1" applyFont="1" applyFill="1" applyBorder="1" applyAlignment="1">
      <alignment vertical="center"/>
    </xf>
    <xf numFmtId="0" fontId="14" fillId="0" borderId="42" xfId="0" applyFont="1" applyFill="1" applyBorder="1" applyAlignment="1">
      <alignment vertical="center"/>
    </xf>
    <xf numFmtId="49" fontId="14" fillId="0" borderId="42" xfId="0" applyNumberFormat="1" applyFont="1" applyFill="1" applyBorder="1" applyAlignment="1">
      <alignment vertical="center"/>
    </xf>
    <xf numFmtId="0" fontId="14" fillId="0" borderId="51" xfId="0" applyFont="1" applyFill="1" applyBorder="1" applyAlignment="1">
      <alignment vertical="center"/>
    </xf>
    <xf numFmtId="0" fontId="14" fillId="11" borderId="39" xfId="0" applyFont="1" applyFill="1" applyBorder="1" applyAlignment="1">
      <alignment vertical="center"/>
    </xf>
    <xf numFmtId="49" fontId="14" fillId="11" borderId="46" xfId="0" applyNumberFormat="1" applyFont="1" applyFill="1" applyBorder="1" applyAlignment="1">
      <alignment vertical="center"/>
    </xf>
    <xf numFmtId="0" fontId="14" fillId="11" borderId="7" xfId="0" applyFont="1" applyFill="1" applyBorder="1" applyAlignment="1">
      <alignment vertical="center"/>
    </xf>
    <xf numFmtId="0" fontId="2" fillId="6" borderId="46" xfId="19" applyFont="1" applyFill="1" applyBorder="1" applyAlignment="1">
      <alignment vertical="center"/>
    </xf>
    <xf numFmtId="0" fontId="14" fillId="11" borderId="8" xfId="0" applyFont="1" applyFill="1" applyBorder="1" applyAlignment="1">
      <alignment vertical="center"/>
    </xf>
    <xf numFmtId="0" fontId="14" fillId="11" borderId="7" xfId="0" applyFont="1" applyFill="1" applyBorder="1" applyAlignment="1">
      <alignment vertical="center" wrapText="1"/>
    </xf>
    <xf numFmtId="0" fontId="14" fillId="11" borderId="42" xfId="0" applyFont="1" applyFill="1" applyBorder="1" applyAlignment="1">
      <alignment vertical="center"/>
    </xf>
    <xf numFmtId="49" fontId="14" fillId="11" borderId="42" xfId="0" applyNumberFormat="1" applyFont="1" applyFill="1" applyBorder="1" applyAlignment="1">
      <alignment vertical="center"/>
    </xf>
    <xf numFmtId="0" fontId="14" fillId="11" borderId="51" xfId="0" applyFont="1" applyFill="1" applyBorder="1" applyAlignment="1">
      <alignment vertical="center"/>
    </xf>
    <xf numFmtId="0" fontId="2" fillId="6" borderId="52" xfId="19" applyFont="1" applyFill="1" applyBorder="1" applyAlignment="1">
      <alignment vertical="center"/>
    </xf>
    <xf numFmtId="0" fontId="7" fillId="6" borderId="7" xfId="19" applyFont="1" applyFill="1" applyBorder="1" applyAlignment="1">
      <alignment vertical="center"/>
    </xf>
    <xf numFmtId="0" fontId="2" fillId="6" borderId="7" xfId="19" applyFont="1" applyFill="1" applyBorder="1" applyAlignment="1">
      <alignment vertical="center"/>
    </xf>
    <xf numFmtId="0" fontId="2" fillId="6" borderId="42" xfId="19" applyFont="1" applyFill="1" applyBorder="1" applyAlignment="1">
      <alignment vertical="center"/>
    </xf>
    <xf numFmtId="0" fontId="14" fillId="0" borderId="55" xfId="0" applyFont="1" applyBorder="1" applyAlignment="1">
      <alignment vertical="center"/>
    </xf>
    <xf numFmtId="0" fontId="14" fillId="0" borderId="56" xfId="0" applyFont="1" applyBorder="1" applyAlignment="1">
      <alignment vertical="center"/>
    </xf>
    <xf numFmtId="0" fontId="14" fillId="0" borderId="23" xfId="0" applyFont="1" applyBorder="1" applyAlignment="1">
      <alignment vertical="center"/>
    </xf>
    <xf numFmtId="0" fontId="14" fillId="0" borderId="25" xfId="0" applyFont="1" applyBorder="1" applyAlignment="1">
      <alignment vertical="center"/>
    </xf>
    <xf numFmtId="0" fontId="14" fillId="0" borderId="23" xfId="0" applyFont="1" applyBorder="1" applyAlignment="1">
      <alignment vertical="center" wrapText="1"/>
    </xf>
    <xf numFmtId="0" fontId="14" fillId="0" borderId="43" xfId="0" applyFont="1" applyBorder="1" applyAlignment="1">
      <alignment vertical="center"/>
    </xf>
    <xf numFmtId="0" fontId="14" fillId="0" borderId="57" xfId="0" applyFont="1" applyBorder="1" applyAlignment="1">
      <alignment vertical="center"/>
    </xf>
    <xf numFmtId="49" fontId="14" fillId="0" borderId="14" xfId="0" applyNumberFormat="1" applyFont="1" applyBorder="1" applyAlignment="1">
      <alignment vertical="center"/>
    </xf>
    <xf numFmtId="49" fontId="14" fillId="0" borderId="7" xfId="0" applyNumberFormat="1" applyFont="1" applyBorder="1" applyAlignment="1">
      <alignment vertical="center"/>
    </xf>
    <xf numFmtId="0" fontId="14" fillId="0" borderId="39" xfId="171" applyFont="1" applyBorder="1" applyProtection="1">
      <alignment vertical="center"/>
    </xf>
    <xf numFmtId="49" fontId="14" fillId="0" borderId="58" xfId="171" applyNumberFormat="1" applyFont="1" applyBorder="1" applyProtection="1">
      <alignment vertical="center"/>
    </xf>
    <xf numFmtId="0" fontId="2" fillId="6" borderId="39" xfId="19" applyFont="1" applyFill="1" applyBorder="1" applyAlignment="1">
      <alignment vertical="center"/>
    </xf>
    <xf numFmtId="0" fontId="2" fillId="6" borderId="8" xfId="19" applyFont="1" applyFill="1" applyBorder="1" applyAlignment="1">
      <alignment vertical="center"/>
    </xf>
    <xf numFmtId="0" fontId="2" fillId="6" borderId="58" xfId="19" applyFont="1" applyFill="1" applyBorder="1" applyAlignment="1">
      <alignment vertical="center"/>
    </xf>
    <xf numFmtId="49" fontId="15" fillId="0" borderId="7" xfId="0" applyNumberFormat="1" applyFont="1" applyBorder="1" applyAlignment="1">
      <alignment vertical="center"/>
    </xf>
    <xf numFmtId="49" fontId="15" fillId="0" borderId="46" xfId="0" applyNumberFormat="1" applyFont="1" applyBorder="1" applyAlignment="1">
      <alignment vertical="center"/>
    </xf>
    <xf numFmtId="0" fontId="15" fillId="0" borderId="7" xfId="0" applyFont="1" applyBorder="1" applyAlignment="1">
      <alignment vertical="center"/>
    </xf>
    <xf numFmtId="0" fontId="15" fillId="0" borderId="8" xfId="0" applyFont="1" applyBorder="1" applyAlignment="1">
      <alignment vertical="center"/>
    </xf>
    <xf numFmtId="0" fontId="15" fillId="0" borderId="42" xfId="0" applyFont="1" applyBorder="1" applyAlignment="1">
      <alignment vertical="center"/>
    </xf>
    <xf numFmtId="49" fontId="15" fillId="0" borderId="42" xfId="0" applyNumberFormat="1" applyFont="1" applyBorder="1" applyAlignment="1">
      <alignment vertical="center"/>
    </xf>
    <xf numFmtId="0" fontId="15" fillId="0" borderId="51" xfId="0" applyFont="1" applyBorder="1" applyAlignment="1">
      <alignment vertical="center"/>
    </xf>
    <xf numFmtId="0" fontId="9" fillId="6" borderId="3" xfId="19" applyFont="1" applyFill="1" applyBorder="1"/>
    <xf numFmtId="0" fontId="9" fillId="6" borderId="0" xfId="19" applyFont="1" applyFill="1" applyBorder="1" applyAlignment="1">
      <alignment vertical="top"/>
    </xf>
    <xf numFmtId="0" fontId="9" fillId="6" borderId="0" xfId="19" applyFont="1" applyFill="1" applyBorder="1" applyAlignment="1">
      <alignment horizontal="center" vertical="center"/>
    </xf>
    <xf numFmtId="0" fontId="9" fillId="6" borderId="0" xfId="19" applyFont="1" applyFill="1" applyBorder="1" applyAlignment="1">
      <alignment vertical="center"/>
    </xf>
    <xf numFmtId="0" fontId="9" fillId="6" borderId="4" xfId="19" applyFont="1" applyFill="1" applyBorder="1"/>
    <xf numFmtId="0" fontId="9" fillId="6" borderId="5" xfId="19" applyFont="1" applyFill="1" applyBorder="1" applyAlignment="1">
      <alignment vertical="top"/>
    </xf>
    <xf numFmtId="0" fontId="9" fillId="6" borderId="5" xfId="19" applyFont="1" applyFill="1" applyBorder="1" applyAlignment="1">
      <alignment horizontal="center" vertical="center"/>
    </xf>
    <xf numFmtId="0" fontId="9" fillId="6" borderId="5" xfId="19" applyFont="1" applyFill="1" applyBorder="1" applyAlignment="1">
      <alignment vertical="center"/>
    </xf>
    <xf numFmtId="0" fontId="9" fillId="6" borderId="0" xfId="19" applyFont="1" applyFill="1"/>
    <xf numFmtId="0" fontId="9" fillId="6" borderId="0" xfId="19" applyFont="1" applyFill="1" applyAlignment="1">
      <alignment vertical="top"/>
    </xf>
    <xf numFmtId="0" fontId="9" fillId="6" borderId="0" xfId="19" applyFont="1" applyFill="1" applyAlignment="1">
      <alignment horizontal="center" vertical="center"/>
    </xf>
    <xf numFmtId="0" fontId="9" fillId="6" borderId="0" xfId="19" applyFont="1" applyFill="1" applyAlignment="1">
      <alignment vertical="center"/>
    </xf>
    <xf numFmtId="0" fontId="9" fillId="6" borderId="0" xfId="19" applyFont="1" applyFill="1" applyBorder="1" applyAlignment="1">
      <alignment vertical="center" wrapText="1"/>
    </xf>
    <xf numFmtId="0" fontId="9" fillId="6" borderId="0" xfId="19" applyFont="1" applyFill="1" applyBorder="1"/>
    <xf numFmtId="0" fontId="9" fillId="6" borderId="5" xfId="19" applyFont="1" applyFill="1" applyBorder="1" applyAlignment="1">
      <alignment vertical="center" wrapText="1"/>
    </xf>
    <xf numFmtId="0" fontId="9" fillId="6" borderId="5" xfId="19" applyFont="1" applyFill="1" applyBorder="1"/>
    <xf numFmtId="0" fontId="9" fillId="6" borderId="0" xfId="19" applyFont="1" applyFill="1" applyAlignment="1">
      <alignment vertical="center" wrapText="1"/>
    </xf>
    <xf numFmtId="0" fontId="9" fillId="6" borderId="29" xfId="19" applyFont="1" applyFill="1" applyBorder="1"/>
    <xf numFmtId="0" fontId="9" fillId="6" borderId="28" xfId="19" applyFont="1" applyFill="1" applyBorder="1"/>
    <xf numFmtId="0" fontId="1" fillId="0" borderId="0" xfId="0" applyFont="1" applyAlignment="1"/>
    <xf numFmtId="0" fontId="7" fillId="0" borderId="0" xfId="19" applyFont="1" applyBorder="1" applyAlignment="1">
      <alignment vertical="center"/>
    </xf>
    <xf numFmtId="0" fontId="2" fillId="0" borderId="0" xfId="19" applyFont="1" applyBorder="1" applyAlignment="1">
      <alignment vertical="center"/>
    </xf>
    <xf numFmtId="0" fontId="2" fillId="0" borderId="3" xfId="19" applyFont="1" applyBorder="1" applyAlignment="1">
      <alignment vertical="center"/>
    </xf>
    <xf numFmtId="0" fontId="7" fillId="9" borderId="6" xfId="19" applyFont="1" applyFill="1" applyBorder="1" applyAlignment="1">
      <alignment vertical="center"/>
    </xf>
    <xf numFmtId="0" fontId="2" fillId="9" borderId="7" xfId="19" applyFont="1" applyFill="1" applyBorder="1" applyAlignment="1">
      <alignment vertical="center"/>
    </xf>
    <xf numFmtId="0" fontId="2" fillId="0" borderId="13" xfId="19" applyFont="1" applyBorder="1" applyAlignment="1">
      <alignment vertical="center"/>
    </xf>
    <xf numFmtId="0" fontId="2" fillId="0" borderId="14" xfId="19" applyFont="1" applyBorder="1" applyAlignment="1">
      <alignment vertical="center"/>
    </xf>
    <xf numFmtId="0" fontId="2" fillId="0" borderId="21" xfId="19" applyFont="1" applyBorder="1" applyAlignment="1">
      <alignment vertical="center"/>
    </xf>
    <xf numFmtId="0" fontId="2" fillId="0" borderId="18" xfId="19" applyFont="1" applyBorder="1" applyAlignment="1">
      <alignment vertical="center"/>
    </xf>
    <xf numFmtId="0" fontId="2" fillId="0" borderId="19" xfId="19" applyFont="1" applyBorder="1" applyAlignment="1">
      <alignment vertical="center"/>
    </xf>
    <xf numFmtId="0" fontId="7" fillId="14" borderId="0" xfId="19" applyFont="1" applyFill="1" applyBorder="1" applyAlignment="1">
      <alignment vertical="center"/>
    </xf>
    <xf numFmtId="0" fontId="2" fillId="14" borderId="0" xfId="19" applyFont="1" applyFill="1" applyBorder="1" applyAlignment="1">
      <alignment vertical="center"/>
    </xf>
    <xf numFmtId="0" fontId="2" fillId="14" borderId="0" xfId="19" applyFont="1" applyFill="1" applyAlignment="1">
      <alignment vertical="center"/>
    </xf>
    <xf numFmtId="0" fontId="2" fillId="0" borderId="20" xfId="19" applyFont="1" applyBorder="1" applyAlignment="1">
      <alignment vertical="center"/>
    </xf>
    <xf numFmtId="0" fontId="2" fillId="0" borderId="17" xfId="19" applyFont="1" applyBorder="1" applyAlignment="1">
      <alignment vertical="center"/>
    </xf>
    <xf numFmtId="0" fontId="2" fillId="0" borderId="12" xfId="19" applyFont="1" applyBorder="1" applyAlignment="1">
      <alignment vertical="center"/>
    </xf>
    <xf numFmtId="0" fontId="2" fillId="0" borderId="6" xfId="19" applyFont="1" applyBorder="1" applyAlignment="1">
      <alignment vertical="center"/>
    </xf>
    <xf numFmtId="0" fontId="2" fillId="0" borderId="7" xfId="19" applyFont="1" applyBorder="1" applyAlignment="1">
      <alignment vertical="center"/>
    </xf>
    <xf numFmtId="0" fontId="2" fillId="14" borderId="0" xfId="0" applyFont="1" applyFill="1" applyAlignment="1">
      <alignment vertical="center"/>
    </xf>
    <xf numFmtId="49" fontId="2" fillId="0" borderId="13" xfId="19" applyNumberFormat="1" applyFont="1" applyBorder="1" applyAlignment="1">
      <alignment vertical="center"/>
    </xf>
    <xf numFmtId="49" fontId="2" fillId="0" borderId="6" xfId="19" applyNumberFormat="1" applyFont="1" applyBorder="1" applyAlignment="1">
      <alignment vertical="center"/>
    </xf>
    <xf numFmtId="49" fontId="2" fillId="0" borderId="21" xfId="19" applyNumberFormat="1" applyFont="1" applyBorder="1" applyAlignment="1">
      <alignment vertical="center"/>
    </xf>
    <xf numFmtId="49" fontId="2" fillId="0" borderId="18" xfId="19" applyNumberFormat="1" applyFont="1" applyBorder="1" applyAlignment="1">
      <alignment vertical="center"/>
    </xf>
    <xf numFmtId="0" fontId="6" fillId="10" borderId="26" xfId="0" applyFont="1" applyFill="1" applyBorder="1" applyAlignment="1"/>
    <xf numFmtId="0" fontId="2" fillId="9" borderId="8" xfId="19" applyFont="1" applyFill="1" applyBorder="1" applyAlignment="1">
      <alignment vertical="center"/>
    </xf>
    <xf numFmtId="0" fontId="2" fillId="0" borderId="29" xfId="19" applyFont="1" applyBorder="1" applyAlignment="1">
      <alignment vertical="center"/>
    </xf>
    <xf numFmtId="0" fontId="2" fillId="0" borderId="8" xfId="19" applyFont="1" applyBorder="1" applyAlignment="1">
      <alignment vertical="center"/>
    </xf>
    <xf numFmtId="0" fontId="2" fillId="0" borderId="0" xfId="19" applyFont="1" applyFill="1" applyBorder="1" applyAlignment="1">
      <alignment vertical="center"/>
    </xf>
    <xf numFmtId="0" fontId="5" fillId="0" borderId="0" xfId="19" applyFont="1" applyBorder="1" applyAlignment="1">
      <alignment vertical="center"/>
    </xf>
    <xf numFmtId="0" fontId="7" fillId="9" borderId="7" xfId="0" applyFont="1" applyFill="1" applyBorder="1" applyAlignment="1">
      <alignment vertical="center"/>
    </xf>
    <xf numFmtId="0" fontId="7" fillId="9" borderId="8" xfId="0" applyFont="1" applyFill="1" applyBorder="1" applyAlignment="1">
      <alignment vertical="center"/>
    </xf>
    <xf numFmtId="0" fontId="7" fillId="15" borderId="0" xfId="19" applyFont="1" applyFill="1" applyBorder="1" applyAlignment="1">
      <alignment vertical="center"/>
    </xf>
    <xf numFmtId="0" fontId="2" fillId="15" borderId="0" xfId="0" applyFont="1" applyFill="1" applyAlignment="1">
      <alignment vertical="center"/>
    </xf>
    <xf numFmtId="0" fontId="10" fillId="0" borderId="0" xfId="171" applyFont="1" applyBorder="1" applyAlignment="1">
      <alignment horizontal="center" vertical="center"/>
    </xf>
    <xf numFmtId="0" fontId="10" fillId="0" borderId="0" xfId="171" applyFont="1" applyAlignment="1">
      <alignment vertical="center"/>
    </xf>
    <xf numFmtId="0" fontId="10" fillId="0" borderId="13" xfId="171" applyFont="1" applyBorder="1">
      <alignment vertical="center"/>
    </xf>
    <xf numFmtId="0" fontId="10" fillId="0" borderId="14" xfId="171" applyFont="1" applyBorder="1">
      <alignment vertical="center"/>
    </xf>
    <xf numFmtId="0" fontId="10" fillId="0" borderId="17" xfId="171" applyFont="1" applyBorder="1">
      <alignment vertical="center"/>
    </xf>
    <xf numFmtId="0" fontId="10" fillId="0" borderId="21" xfId="171" applyFont="1" applyBorder="1">
      <alignment vertical="center"/>
    </xf>
    <xf numFmtId="0" fontId="10" fillId="0" borderId="0" xfId="171" applyFont="1" applyBorder="1" applyAlignment="1">
      <alignment vertical="center"/>
    </xf>
    <xf numFmtId="0" fontId="10" fillId="0" borderId="0" xfId="171" applyFont="1" applyBorder="1">
      <alignment vertical="center"/>
    </xf>
    <xf numFmtId="0" fontId="10" fillId="0" borderId="18" xfId="171" applyFont="1" applyBorder="1">
      <alignment vertical="center"/>
    </xf>
    <xf numFmtId="0" fontId="10" fillId="0" borderId="19" xfId="171" applyFont="1" applyBorder="1">
      <alignment vertical="center"/>
    </xf>
    <xf numFmtId="0" fontId="10" fillId="0" borderId="0" xfId="171" applyFont="1" applyBorder="1" applyAlignment="1">
      <alignment horizontal="left" vertical="center"/>
    </xf>
    <xf numFmtId="0" fontId="10" fillId="0" borderId="0" xfId="171" applyFont="1" applyBorder="1" applyAlignment="1">
      <alignment horizontal="left" vertical="top"/>
    </xf>
    <xf numFmtId="0" fontId="2" fillId="9" borderId="6" xfId="0" applyFont="1" applyFill="1" applyBorder="1" applyAlignment="1">
      <alignment horizontal="left" vertical="top"/>
    </xf>
    <xf numFmtId="0" fontId="2" fillId="9" borderId="8" xfId="0" applyFont="1" applyFill="1" applyBorder="1" applyAlignment="1">
      <alignment horizontal="center" vertical="center"/>
    </xf>
    <xf numFmtId="0" fontId="2" fillId="0" borderId="6" xfId="0" applyFont="1" applyBorder="1" applyAlignment="1">
      <alignment horizontal="left" vertical="top"/>
    </xf>
    <xf numFmtId="0" fontId="2" fillId="0" borderId="8" xfId="0" applyFont="1" applyBorder="1" applyAlignment="1">
      <alignment horizontal="center" vertical="center"/>
    </xf>
    <xf numFmtId="0" fontId="2" fillId="9" borderId="7" xfId="0" applyFont="1" applyFill="1" applyBorder="1" applyAlignment="1">
      <alignment horizontal="left" vertical="top"/>
    </xf>
    <xf numFmtId="0" fontId="2" fillId="0" borderId="7" xfId="0" applyFont="1" applyBorder="1" applyAlignment="1">
      <alignment horizontal="left" vertical="top"/>
    </xf>
    <xf numFmtId="0" fontId="10" fillId="0" borderId="0" xfId="171" applyFont="1" applyAlignment="1">
      <alignment horizontal="left" vertical="top"/>
    </xf>
    <xf numFmtId="0" fontId="10" fillId="0" borderId="12" xfId="171" applyFont="1" applyBorder="1">
      <alignment vertical="center"/>
    </xf>
    <xf numFmtId="0" fontId="10" fillId="0" borderId="12" xfId="171" applyFont="1" applyBorder="1" applyAlignment="1">
      <alignment vertical="center"/>
    </xf>
    <xf numFmtId="0" fontId="10" fillId="0" borderId="20" xfId="171" applyFont="1" applyBorder="1">
      <alignment vertical="center"/>
    </xf>
    <xf numFmtId="0" fontId="2" fillId="9" borderId="8" xfId="0" applyFont="1" applyFill="1" applyBorder="1" applyAlignment="1">
      <alignment horizontal="left" vertical="top"/>
    </xf>
    <xf numFmtId="0" fontId="2" fillId="0" borderId="8" xfId="0" applyFont="1" applyBorder="1" applyAlignment="1">
      <alignment horizontal="left" vertical="top"/>
    </xf>
    <xf numFmtId="0" fontId="7" fillId="0" borderId="0" xfId="0" applyFont="1" applyAlignment="1">
      <alignment vertical="center"/>
    </xf>
    <xf numFmtId="0" fontId="7" fillId="2" borderId="13" xfId="0" applyFont="1" applyFill="1" applyBorder="1" applyAlignment="1">
      <alignment vertical="center"/>
    </xf>
    <xf numFmtId="0" fontId="7" fillId="2" borderId="14" xfId="0" applyFont="1" applyFill="1" applyBorder="1" applyAlignment="1">
      <alignment vertical="center"/>
    </xf>
    <xf numFmtId="0" fontId="7" fillId="2" borderId="17" xfId="0" applyFont="1" applyFill="1" applyBorder="1" applyAlignment="1">
      <alignment vertical="center"/>
    </xf>
    <xf numFmtId="0" fontId="7" fillId="2" borderId="18" xfId="0" applyFont="1" applyFill="1" applyBorder="1" applyAlignment="1">
      <alignment vertical="center"/>
    </xf>
    <xf numFmtId="0" fontId="7" fillId="2" borderId="19" xfId="0" applyFont="1" applyFill="1" applyBorder="1" applyAlignment="1">
      <alignment vertical="center"/>
    </xf>
    <xf numFmtId="0" fontId="7" fillId="2" borderId="20" xfId="0" applyFont="1" applyFill="1" applyBorder="1" applyAlignment="1">
      <alignment vertical="center"/>
    </xf>
    <xf numFmtId="0" fontId="2" fillId="0" borderId="18" xfId="0" applyFont="1" applyBorder="1" applyAlignment="1">
      <alignment horizontal="right" vertical="center"/>
    </xf>
    <xf numFmtId="0" fontId="2" fillId="0" borderId="19" xfId="0" applyFont="1" applyBorder="1" applyAlignment="1">
      <alignment horizontal="right" vertical="center"/>
    </xf>
    <xf numFmtId="0" fontId="2" fillId="0" borderId="20" xfId="0" applyFont="1" applyBorder="1" applyAlignment="1">
      <alignment horizontal="right" vertical="center"/>
    </xf>
    <xf numFmtId="0" fontId="7" fillId="2" borderId="14" xfId="0" applyFont="1" applyFill="1" applyBorder="1" applyAlignment="1">
      <alignment vertical="center" wrapText="1"/>
    </xf>
    <xf numFmtId="0" fontId="7" fillId="2" borderId="19" xfId="0" applyFont="1" applyFill="1" applyBorder="1" applyAlignment="1">
      <alignment vertical="center" wrapText="1"/>
    </xf>
    <xf numFmtId="0" fontId="2" fillId="0" borderId="19" xfId="0" applyFont="1" applyBorder="1" applyAlignment="1">
      <alignment vertical="center" wrapText="1"/>
    </xf>
    <xf numFmtId="0" fontId="9" fillId="0" borderId="0" xfId="156" applyFont="1" applyBorder="1" applyAlignment="1">
      <alignment vertical="center"/>
    </xf>
    <xf numFmtId="0" fontId="1" fillId="0" borderId="0" xfId="19" applyFont="1" applyBorder="1"/>
    <xf numFmtId="0" fontId="1" fillId="0" borderId="0" xfId="19" applyFont="1" applyBorder="1" applyAlignment="1">
      <alignment vertical="top"/>
    </xf>
    <xf numFmtId="0" fontId="1" fillId="0" borderId="0" xfId="19" applyFont="1" applyBorder="1" applyAlignment="1">
      <alignment horizontal="center" vertical="center"/>
    </xf>
    <xf numFmtId="0" fontId="1" fillId="0" borderId="0" xfId="19" applyFont="1" applyBorder="1" applyAlignment="1">
      <alignment vertical="center"/>
    </xf>
    <xf numFmtId="0" fontId="1" fillId="0" borderId="0" xfId="19" applyFont="1" applyBorder="1" applyAlignment="1">
      <alignment vertical="center" wrapText="1"/>
    </xf>
    <xf numFmtId="0" fontId="9" fillId="0" borderId="0" xfId="173" applyFont="1"/>
    <xf numFmtId="0" fontId="9" fillId="0" borderId="0" xfId="19" applyFont="1" applyBorder="1"/>
    <xf numFmtId="0" fontId="9" fillId="0" borderId="0" xfId="19" applyFont="1" applyBorder="1" applyAlignment="1">
      <alignment vertical="top"/>
    </xf>
    <xf numFmtId="0" fontId="9" fillId="0" borderId="0" xfId="19" applyFont="1" applyBorder="1" applyAlignment="1">
      <alignment horizontal="center" vertical="center"/>
    </xf>
    <xf numFmtId="0" fontId="9" fillId="0" borderId="0" xfId="19" applyFont="1" applyBorder="1" applyAlignment="1">
      <alignment vertical="center"/>
    </xf>
    <xf numFmtId="177" fontId="9" fillId="0" borderId="0" xfId="173" applyNumberFormat="1" applyFont="1" applyBorder="1" applyAlignment="1">
      <alignment horizontal="left" vertical="center"/>
    </xf>
    <xf numFmtId="0" fontId="9" fillId="0" borderId="0" xfId="173" applyFont="1" applyBorder="1" applyAlignment="1">
      <alignment vertical="center"/>
    </xf>
    <xf numFmtId="0" fontId="9" fillId="0" borderId="60" xfId="173" applyFont="1" applyBorder="1" applyAlignment="1">
      <alignment vertical="center"/>
    </xf>
    <xf numFmtId="14" fontId="9" fillId="0" borderId="60" xfId="173" applyNumberFormat="1" applyFont="1" applyBorder="1" applyAlignment="1">
      <alignment horizontal="center" vertical="center"/>
    </xf>
    <xf numFmtId="0" fontId="9" fillId="0" borderId="60" xfId="173" applyFont="1" applyBorder="1" applyAlignment="1">
      <alignment horizontal="center" vertical="center"/>
    </xf>
    <xf numFmtId="0" fontId="9" fillId="0" borderId="63" xfId="173" applyFont="1" applyBorder="1" applyAlignment="1">
      <alignment vertical="center"/>
    </xf>
    <xf numFmtId="14" fontId="9" fillId="0" borderId="63" xfId="173" applyNumberFormat="1" applyFont="1" applyBorder="1" applyAlignment="1">
      <alignment horizontal="center" vertical="center"/>
    </xf>
    <xf numFmtId="14" fontId="9" fillId="0" borderId="0" xfId="173" applyNumberFormat="1" applyFont="1" applyBorder="1" applyAlignment="1">
      <alignment horizontal="center" vertical="center" shrinkToFit="1"/>
    </xf>
    <xf numFmtId="0" fontId="9" fillId="0" borderId="0" xfId="173" applyFont="1" applyBorder="1" applyAlignment="1">
      <alignment horizontal="center" vertical="center"/>
    </xf>
    <xf numFmtId="0" fontId="9" fillId="0" borderId="60" xfId="19" applyFont="1" applyBorder="1" applyAlignment="1">
      <alignment vertical="center"/>
    </xf>
    <xf numFmtId="0" fontId="9" fillId="0" borderId="61" xfId="19" applyFont="1" applyBorder="1" applyAlignment="1">
      <alignment vertical="center"/>
    </xf>
    <xf numFmtId="0" fontId="9" fillId="0" borderId="63" xfId="173" applyFont="1" applyBorder="1" applyAlignment="1">
      <alignment horizontal="center" vertical="center"/>
    </xf>
    <xf numFmtId="0" fontId="9" fillId="0" borderId="63" xfId="19" applyFont="1" applyBorder="1" applyAlignment="1">
      <alignment vertical="center"/>
    </xf>
    <xf numFmtId="0" fontId="9" fillId="0" borderId="64" xfId="19" applyFont="1" applyBorder="1" applyAlignment="1">
      <alignment vertical="center"/>
    </xf>
    <xf numFmtId="0" fontId="9" fillId="0" borderId="0" xfId="19" applyFont="1" applyBorder="1" applyAlignment="1">
      <alignment vertical="center" wrapText="1"/>
    </xf>
    <xf numFmtId="0" fontId="9" fillId="0" borderId="0" xfId="156" applyFont="1" applyBorder="1" applyAlignment="1">
      <alignment vertical="center" wrapText="1"/>
    </xf>
    <xf numFmtId="0" fontId="9" fillId="0" borderId="59" xfId="19" applyFont="1" applyBorder="1" applyAlignment="1">
      <alignment horizontal="left" vertical="center"/>
    </xf>
    <xf numFmtId="0" fontId="9" fillId="0" borderId="62" xfId="19" applyFont="1" applyBorder="1" applyAlignment="1">
      <alignment vertical="center"/>
    </xf>
    <xf numFmtId="0" fontId="9" fillId="0" borderId="68" xfId="19" applyFont="1" applyBorder="1" applyAlignment="1">
      <alignment vertical="center"/>
    </xf>
    <xf numFmtId="0" fontId="9" fillId="0" borderId="69" xfId="19" applyFont="1" applyBorder="1" applyAlignment="1">
      <alignment vertical="center"/>
    </xf>
    <xf numFmtId="0" fontId="9" fillId="0" borderId="72" xfId="19" applyFont="1" applyBorder="1" applyAlignment="1">
      <alignment vertical="center"/>
    </xf>
    <xf numFmtId="0" fontId="9" fillId="0" borderId="60" xfId="19" applyFont="1" applyBorder="1"/>
    <xf numFmtId="0" fontId="9" fillId="0" borderId="63" xfId="19" applyFont="1" applyBorder="1"/>
    <xf numFmtId="0" fontId="9" fillId="0" borderId="68" xfId="19" applyFont="1" applyBorder="1"/>
    <xf numFmtId="0" fontId="9" fillId="0" borderId="66" xfId="19" applyFont="1" applyBorder="1"/>
    <xf numFmtId="0" fontId="9" fillId="0" borderId="61" xfId="19" applyFont="1" applyBorder="1"/>
    <xf numFmtId="0" fontId="9" fillId="0" borderId="64" xfId="19" applyFont="1" applyBorder="1"/>
    <xf numFmtId="0" fontId="9" fillId="0" borderId="72" xfId="19" applyFont="1" applyBorder="1"/>
    <xf numFmtId="0" fontId="9" fillId="0" borderId="67" xfId="19" applyFont="1" applyBorder="1"/>
    <xf numFmtId="0" fontId="9" fillId="0" borderId="0" xfId="156" applyFont="1">
      <alignment vertical="center"/>
    </xf>
    <xf numFmtId="0" fontId="2" fillId="3" borderId="6" xfId="0" applyFont="1" applyFill="1" applyBorder="1" applyAlignment="1">
      <alignment vertical="center"/>
    </xf>
    <xf numFmtId="0" fontId="2" fillId="3" borderId="7" xfId="0" applyFont="1" applyFill="1" applyBorder="1" applyAlignment="1">
      <alignment vertical="center"/>
    </xf>
    <xf numFmtId="0" fontId="2" fillId="3" borderId="8" xfId="0" applyFont="1" applyFill="1" applyBorder="1" applyAlignment="1">
      <alignment vertical="center"/>
    </xf>
    <xf numFmtId="0" fontId="2" fillId="0" borderId="71" xfId="0" applyFont="1" applyBorder="1" applyAlignment="1">
      <alignment vertical="center"/>
    </xf>
    <xf numFmtId="0" fontId="2" fillId="0" borderId="63" xfId="0" applyFont="1" applyBorder="1" applyAlignment="1">
      <alignment vertical="center"/>
    </xf>
    <xf numFmtId="0" fontId="2" fillId="0" borderId="66" xfId="0" applyFont="1" applyBorder="1" applyAlignment="1">
      <alignment vertical="center"/>
    </xf>
    <xf numFmtId="14" fontId="2" fillId="0" borderId="71" xfId="0" applyNumberFormat="1" applyFont="1" applyBorder="1" applyAlignment="1">
      <alignment horizontal="center" vertical="center"/>
    </xf>
    <xf numFmtId="0" fontId="2" fillId="0" borderId="71" xfId="0" applyFont="1" applyBorder="1" applyAlignment="1">
      <alignment horizontal="center" vertical="center"/>
    </xf>
    <xf numFmtId="14" fontId="2" fillId="0" borderId="63" xfId="0" applyNumberFormat="1" applyFont="1" applyBorder="1" applyAlignment="1">
      <alignment horizontal="center" vertical="center"/>
    </xf>
    <xf numFmtId="0" fontId="2" fillId="0" borderId="63" xfId="0" applyFont="1" applyBorder="1" applyAlignment="1">
      <alignment horizontal="center" vertical="center"/>
    </xf>
    <xf numFmtId="0" fontId="2" fillId="0" borderId="73" xfId="0" applyFont="1" applyBorder="1" applyAlignment="1">
      <alignment vertical="center"/>
    </xf>
    <xf numFmtId="0" fontId="2" fillId="0" borderId="70" xfId="0" applyFont="1" applyBorder="1" applyAlignment="1">
      <alignment horizontal="left" vertical="center"/>
    </xf>
    <xf numFmtId="0" fontId="2" fillId="0" borderId="64" xfId="0" applyFont="1" applyBorder="1" applyAlignment="1">
      <alignment vertical="center"/>
    </xf>
    <xf numFmtId="0" fontId="2" fillId="0" borderId="62" xfId="0" applyFont="1" applyBorder="1" applyAlignment="1">
      <alignment vertical="center"/>
    </xf>
    <xf numFmtId="0" fontId="2" fillId="0" borderId="67" xfId="0" applyFont="1" applyBorder="1" applyAlignment="1">
      <alignment vertical="center"/>
    </xf>
    <xf numFmtId="0" fontId="2" fillId="0" borderId="65" xfId="0" applyFont="1" applyBorder="1" applyAlignment="1">
      <alignment vertical="center"/>
    </xf>
    <xf numFmtId="0" fontId="17" fillId="0" borderId="0" xfId="174" applyFont="1"/>
    <xf numFmtId="0" fontId="9" fillId="0" borderId="0" xfId="174" applyFont="1"/>
    <xf numFmtId="0" fontId="9" fillId="0" borderId="0" xfId="174" applyFont="1" applyBorder="1"/>
    <xf numFmtId="0" fontId="19" fillId="0" borderId="0" xfId="174" applyFont="1" applyBorder="1" applyAlignment="1"/>
    <xf numFmtId="0" fontId="9" fillId="0" borderId="0" xfId="174" applyFont="1" applyBorder="1" applyAlignment="1"/>
    <xf numFmtId="0" fontId="6" fillId="0" borderId="0" xfId="174" applyFont="1" applyBorder="1" applyAlignment="1"/>
    <xf numFmtId="0" fontId="20" fillId="0" borderId="0" xfId="174" applyFont="1"/>
    <xf numFmtId="0" fontId="64" fillId="0" borderId="0" xfId="19" applyBorder="1" applyAlignment="1">
      <alignment horizontal="center" vertical="center" wrapText="1"/>
    </xf>
    <xf numFmtId="0" fontId="18" fillId="0" borderId="0" xfId="174" applyFont="1" applyBorder="1" applyAlignment="1">
      <alignment vertical="center"/>
    </xf>
    <xf numFmtId="0" fontId="6" fillId="0" borderId="0" xfId="107" applyFont="1" applyFill="1" applyBorder="1" applyAlignment="1">
      <alignment horizontal="center" vertical="center"/>
    </xf>
    <xf numFmtId="0" fontId="64" fillId="0" borderId="0" xfId="19" applyBorder="1" applyAlignment="1">
      <alignment horizontal="center" vertical="center"/>
    </xf>
    <xf numFmtId="0" fontId="64" fillId="0" borderId="0" xfId="19" applyBorder="1" applyAlignment="1">
      <alignment horizontal="center" shrinkToFit="1"/>
    </xf>
    <xf numFmtId="0" fontId="2" fillId="0" borderId="0" xfId="107" applyFont="1" applyFill="1" applyBorder="1" applyAlignment="1">
      <alignment horizontal="center"/>
    </xf>
    <xf numFmtId="0" fontId="64" fillId="0" borderId="0" xfId="19" applyBorder="1" applyAlignment="1">
      <alignment horizontal="center"/>
    </xf>
    <xf numFmtId="0" fontId="2" fillId="0" borderId="0" xfId="107" applyFont="1" applyFill="1" applyBorder="1" applyAlignment="1">
      <alignment horizontal="center" shrinkToFit="1"/>
    </xf>
    <xf numFmtId="14" fontId="9" fillId="0" borderId="0" xfId="172" applyNumberFormat="1" applyFont="1" applyFill="1" applyBorder="1" applyAlignment="1">
      <alignment horizontal="center" vertical="center"/>
    </xf>
    <xf numFmtId="0" fontId="17" fillId="0" borderId="0" xfId="174" applyFont="1" applyBorder="1"/>
    <xf numFmtId="0" fontId="8" fillId="0" borderId="0" xfId="160" applyProtection="1">
      <protection locked="0"/>
    </xf>
    <xf numFmtId="0" fontId="22" fillId="0" borderId="0" xfId="160" applyFont="1" applyProtection="1">
      <protection locked="0"/>
    </xf>
    <xf numFmtId="0" fontId="23" fillId="0" borderId="0" xfId="160" applyFont="1" applyProtection="1">
      <protection locked="0"/>
    </xf>
    <xf numFmtId="0" fontId="24" fillId="0" borderId="0" xfId="160" applyFont="1" applyProtection="1">
      <protection locked="0"/>
    </xf>
    <xf numFmtId="0" fontId="25" fillId="0" borderId="0" xfId="160" applyFont="1" applyAlignment="1" applyProtection="1">
      <alignment horizontal="center" vertical="center"/>
      <protection locked="0"/>
    </xf>
    <xf numFmtId="0" fontId="26" fillId="0" borderId="0" xfId="160" applyFont="1" applyAlignment="1" applyProtection="1">
      <alignment horizontal="center" vertical="center"/>
      <protection locked="0"/>
    </xf>
    <xf numFmtId="0" fontId="28" fillId="0" borderId="19" xfId="160" applyFont="1" applyBorder="1" applyAlignment="1" applyProtection="1">
      <alignment vertical="center" wrapText="1"/>
      <protection locked="0"/>
    </xf>
    <xf numFmtId="0" fontId="8" fillId="0" borderId="0" xfId="160" applyAlignment="1" applyProtection="1">
      <alignment horizontal="center"/>
      <protection locked="0"/>
    </xf>
    <xf numFmtId="14" fontId="8" fillId="0" borderId="0" xfId="160" applyNumberFormat="1" applyAlignment="1" applyProtection="1">
      <alignment horizontal="center"/>
      <protection locked="0"/>
    </xf>
    <xf numFmtId="0" fontId="0" fillId="0" borderId="0" xfId="160" applyFont="1" applyAlignment="1" applyProtection="1">
      <alignment horizontal="center" vertical="center"/>
      <protection locked="0"/>
    </xf>
    <xf numFmtId="178" fontId="27" fillId="0" borderId="0" xfId="160" applyNumberFormat="1" applyFont="1" applyAlignment="1" applyProtection="1">
      <alignment horizontal="center" vertical="center"/>
      <protection locked="0"/>
    </xf>
    <xf numFmtId="0" fontId="32" fillId="0" borderId="0" xfId="161" applyFont="1"/>
    <xf numFmtId="0" fontId="33" fillId="0" borderId="0" xfId="160" applyFont="1" applyProtection="1">
      <protection locked="0"/>
    </xf>
    <xf numFmtId="179" fontId="34" fillId="0" borderId="0" xfId="160" applyNumberFormat="1" applyFont="1" applyAlignment="1" applyProtection="1">
      <alignment vertical="center"/>
      <protection locked="0"/>
    </xf>
    <xf numFmtId="179" fontId="30" fillId="0" borderId="21" xfId="160" applyNumberFormat="1" applyFont="1" applyBorder="1" applyAlignment="1" applyProtection="1">
      <alignment vertical="center"/>
      <protection locked="0"/>
    </xf>
    <xf numFmtId="179" fontId="31" fillId="0" borderId="21" xfId="160" applyNumberFormat="1" applyFont="1" applyBorder="1" applyAlignment="1" applyProtection="1">
      <alignment vertical="center"/>
      <protection locked="0"/>
    </xf>
    <xf numFmtId="179" fontId="31" fillId="0" borderId="0" xfId="160" applyNumberFormat="1" applyFont="1" applyAlignment="1" applyProtection="1">
      <alignment vertical="center"/>
      <protection locked="0"/>
    </xf>
    <xf numFmtId="0" fontId="0" fillId="0" borderId="0" xfId="160" applyFont="1" applyProtection="1">
      <protection locked="0"/>
    </xf>
    <xf numFmtId="0" fontId="2" fillId="0" borderId="0" xfId="0" quotePrefix="1" applyFont="1" applyAlignment="1">
      <alignment vertical="center"/>
    </xf>
    <xf numFmtId="0" fontId="66" fillId="4" borderId="85" xfId="179" applyFont="1" applyFill="1" applyBorder="1">
      <alignment vertical="center"/>
    </xf>
    <xf numFmtId="0" fontId="66" fillId="4" borderId="31" xfId="179" applyFont="1" applyFill="1" applyBorder="1">
      <alignment vertical="center"/>
    </xf>
    <xf numFmtId="0" fontId="66" fillId="4" borderId="35" xfId="179" applyFont="1" applyFill="1" applyBorder="1">
      <alignment vertical="center"/>
    </xf>
    <xf numFmtId="0" fontId="64" fillId="0" borderId="0" xfId="179">
      <alignment vertical="center"/>
    </xf>
    <xf numFmtId="0" fontId="66" fillId="4" borderId="85" xfId="179" applyFont="1" applyFill="1" applyBorder="1" applyAlignment="1">
      <alignment horizontal="left" vertical="center"/>
    </xf>
    <xf numFmtId="0" fontId="66" fillId="4" borderId="31" xfId="179" applyFont="1" applyFill="1" applyBorder="1" applyAlignment="1">
      <alignment horizontal="left" vertical="center"/>
    </xf>
    <xf numFmtId="0" fontId="66" fillId="4" borderId="35" xfId="179" applyFont="1" applyFill="1" applyBorder="1" applyAlignment="1">
      <alignment horizontal="left" vertical="center"/>
    </xf>
    <xf numFmtId="0" fontId="66" fillId="4" borderId="36" xfId="179" applyFont="1" applyFill="1" applyBorder="1" applyAlignment="1">
      <alignment horizontal="left" vertical="center"/>
    </xf>
    <xf numFmtId="0" fontId="67" fillId="0" borderId="87" xfId="180" applyFont="1" applyBorder="1" applyAlignment="1">
      <alignment vertical="top"/>
    </xf>
    <xf numFmtId="0" fontId="67" fillId="0" borderId="88" xfId="180" applyFont="1" applyBorder="1" applyAlignment="1">
      <alignment vertical="top"/>
    </xf>
    <xf numFmtId="0" fontId="67" fillId="0" borderId="98" xfId="180" applyFont="1" applyBorder="1" applyAlignment="1">
      <alignment vertical="top"/>
    </xf>
    <xf numFmtId="0" fontId="67" fillId="0" borderId="92" xfId="180" applyFont="1" applyBorder="1" applyAlignment="1">
      <alignment vertical="top"/>
    </xf>
    <xf numFmtId="0" fontId="67" fillId="0" borderId="93" xfId="180" applyFont="1" applyBorder="1" applyAlignment="1">
      <alignment vertical="top"/>
    </xf>
    <xf numFmtId="0" fontId="67" fillId="0" borderId="95" xfId="180" applyFont="1" applyBorder="1" applyAlignment="1">
      <alignment vertical="top"/>
    </xf>
    <xf numFmtId="49" fontId="2" fillId="0" borderId="92" xfId="0" applyNumberFormat="1" applyFont="1" applyBorder="1" applyAlignment="1">
      <alignment horizontal="left" vertical="center"/>
    </xf>
    <xf numFmtId="49" fontId="2" fillId="0" borderId="93" xfId="0" applyNumberFormat="1" applyFont="1" applyBorder="1" applyAlignment="1">
      <alignment horizontal="left" vertical="center"/>
    </xf>
    <xf numFmtId="0" fontId="2" fillId="0" borderId="93" xfId="0" applyFont="1" applyBorder="1" applyAlignment="1">
      <alignment vertical="center"/>
    </xf>
    <xf numFmtId="0" fontId="2" fillId="0" borderId="94" xfId="0" applyFont="1" applyBorder="1" applyAlignment="1">
      <alignment vertical="center"/>
    </xf>
    <xf numFmtId="0" fontId="2" fillId="0" borderId="92" xfId="0" applyFont="1" applyBorder="1" applyAlignment="1">
      <alignment vertical="center"/>
    </xf>
    <xf numFmtId="49" fontId="2" fillId="35" borderId="92" xfId="0" applyNumberFormat="1" applyFont="1" applyFill="1" applyBorder="1" applyAlignment="1">
      <alignment horizontal="left" vertical="center"/>
    </xf>
    <xf numFmtId="49" fontId="2" fillId="35" borderId="93" xfId="0" applyNumberFormat="1" applyFont="1" applyFill="1" applyBorder="1" applyAlignment="1">
      <alignment horizontal="left" vertical="center"/>
    </xf>
    <xf numFmtId="0" fontId="2" fillId="35" borderId="93" xfId="0" applyFont="1" applyFill="1" applyBorder="1" applyAlignment="1">
      <alignment vertical="center"/>
    </xf>
    <xf numFmtId="0" fontId="2" fillId="35" borderId="92" xfId="0" applyFont="1" applyFill="1" applyBorder="1" applyAlignment="1">
      <alignment vertical="center"/>
    </xf>
    <xf numFmtId="0" fontId="2" fillId="35" borderId="94" xfId="0" applyFont="1" applyFill="1" applyBorder="1" applyAlignment="1">
      <alignment vertical="center"/>
    </xf>
    <xf numFmtId="14" fontId="2" fillId="0" borderId="63" xfId="0" applyNumberFormat="1" applyFont="1" applyBorder="1" applyAlignment="1">
      <alignment horizontal="center" vertical="center"/>
    </xf>
    <xf numFmtId="0" fontId="2" fillId="0" borderId="63" xfId="0" applyFont="1" applyBorder="1" applyAlignment="1">
      <alignment horizontal="center" vertical="center"/>
    </xf>
    <xf numFmtId="0" fontId="2" fillId="0" borderId="92" xfId="0" applyFont="1" applyFill="1" applyBorder="1" applyAlignment="1">
      <alignment vertical="center"/>
    </xf>
    <xf numFmtId="0" fontId="2" fillId="0" borderId="93" xfId="0" applyFont="1" applyFill="1" applyBorder="1" applyAlignment="1">
      <alignment vertical="center"/>
    </xf>
    <xf numFmtId="14" fontId="2" fillId="0" borderId="63" xfId="0" applyNumberFormat="1" applyFont="1" applyBorder="1" applyAlignment="1">
      <alignment horizontal="center" vertical="center"/>
    </xf>
    <xf numFmtId="0" fontId="2" fillId="0" borderId="63" xfId="0" applyFont="1" applyBorder="1" applyAlignment="1">
      <alignment horizontal="center" vertical="center"/>
    </xf>
    <xf numFmtId="0" fontId="2" fillId="36" borderId="92" xfId="0" applyFont="1" applyFill="1" applyBorder="1" applyAlignment="1">
      <alignment vertical="center"/>
    </xf>
    <xf numFmtId="0" fontId="2" fillId="36" borderId="93" xfId="0" applyFont="1" applyFill="1" applyBorder="1" applyAlignment="1">
      <alignment vertical="center"/>
    </xf>
    <xf numFmtId="0" fontId="2" fillId="36" borderId="94" xfId="0" applyFont="1" applyFill="1" applyBorder="1" applyAlignment="1">
      <alignment vertical="center"/>
    </xf>
    <xf numFmtId="0" fontId="2" fillId="0" borderId="92" xfId="181" applyFont="1" applyBorder="1" applyAlignment="1">
      <alignment vertical="center"/>
    </xf>
    <xf numFmtId="0" fontId="2" fillId="0" borderId="93" xfId="181" applyFont="1" applyBorder="1" applyAlignment="1">
      <alignment vertical="center"/>
    </xf>
    <xf numFmtId="0" fontId="2" fillId="37" borderId="100" xfId="0" applyFont="1" applyFill="1" applyBorder="1" applyAlignment="1">
      <alignment vertical="center"/>
    </xf>
    <xf numFmtId="0" fontId="2" fillId="37" borderId="101" xfId="0" applyFont="1" applyFill="1" applyBorder="1" applyAlignment="1">
      <alignment vertical="center"/>
    </xf>
    <xf numFmtId="0" fontId="2" fillId="37" borderId="92" xfId="0" applyFont="1" applyFill="1" applyBorder="1" applyAlignment="1">
      <alignment vertical="center"/>
    </xf>
    <xf numFmtId="0" fontId="2" fillId="37" borderId="93" xfId="0" applyFont="1" applyFill="1" applyBorder="1" applyAlignment="1">
      <alignment vertical="center"/>
    </xf>
    <xf numFmtId="0" fontId="2" fillId="37" borderId="94" xfId="0" applyFont="1" applyFill="1" applyBorder="1" applyAlignment="1">
      <alignment vertical="center"/>
    </xf>
    <xf numFmtId="0" fontId="2" fillId="37" borderId="103" xfId="0" applyFont="1" applyFill="1" applyBorder="1" applyAlignment="1">
      <alignment vertical="center"/>
    </xf>
    <xf numFmtId="0" fontId="2" fillId="37" borderId="104" xfId="0" applyFont="1" applyFill="1" applyBorder="1" applyAlignment="1">
      <alignment vertical="center"/>
    </xf>
    <xf numFmtId="0" fontId="2" fillId="37" borderId="105" xfId="0" applyFont="1" applyFill="1" applyBorder="1" applyAlignment="1">
      <alignment vertical="center"/>
    </xf>
    <xf numFmtId="0" fontId="2" fillId="37" borderId="106" xfId="0" applyFont="1" applyFill="1" applyBorder="1" applyAlignment="1">
      <alignment vertical="center"/>
    </xf>
    <xf numFmtId="0" fontId="2" fillId="37" borderId="107" xfId="0" applyFont="1" applyFill="1" applyBorder="1" applyAlignment="1">
      <alignment vertical="center"/>
    </xf>
    <xf numFmtId="0" fontId="2" fillId="37" borderId="110" xfId="0" applyFont="1" applyFill="1" applyBorder="1" applyAlignment="1">
      <alignment vertical="center"/>
    </xf>
    <xf numFmtId="0" fontId="2" fillId="37" borderId="111" xfId="0" applyFont="1" applyFill="1" applyBorder="1" applyAlignment="1">
      <alignment vertical="center"/>
    </xf>
    <xf numFmtId="0" fontId="2" fillId="0" borderId="87" xfId="0" applyFont="1" applyBorder="1" applyAlignment="1">
      <alignment vertical="top"/>
    </xf>
    <xf numFmtId="0" fontId="2" fillId="0" borderId="89" xfId="0" applyFont="1" applyBorder="1" applyAlignment="1">
      <alignment vertical="top"/>
    </xf>
    <xf numFmtId="0" fontId="2" fillId="0" borderId="88" xfId="0" applyFont="1" applyBorder="1" applyAlignment="1">
      <alignment vertical="top"/>
    </xf>
    <xf numFmtId="0" fontId="2" fillId="0" borderId="12" xfId="0" applyFont="1" applyBorder="1" applyAlignment="1">
      <alignment vertical="top"/>
    </xf>
    <xf numFmtId="0" fontId="2" fillId="0" borderId="92" xfId="0" applyFont="1" applyBorder="1" applyAlignment="1">
      <alignment horizontal="left" vertical="top"/>
    </xf>
    <xf numFmtId="0" fontId="2" fillId="0" borderId="93" xfId="0" applyFont="1" applyBorder="1" applyAlignment="1">
      <alignment horizontal="left" vertical="top"/>
    </xf>
    <xf numFmtId="0" fontId="2" fillId="0" borderId="94" xfId="0" applyFont="1" applyBorder="1" applyAlignment="1">
      <alignment horizontal="left" vertical="top"/>
    </xf>
    <xf numFmtId="0" fontId="2" fillId="0" borderId="21" xfId="0" applyFont="1" applyBorder="1" applyAlignment="1">
      <alignment vertical="top"/>
    </xf>
    <xf numFmtId="0" fontId="2" fillId="36" borderId="112" xfId="0" applyFont="1" applyFill="1" applyBorder="1" applyAlignment="1">
      <alignment vertical="center"/>
    </xf>
    <xf numFmtId="0" fontId="2" fillId="0" borderId="16" xfId="0" applyFont="1" applyBorder="1" applyAlignment="1">
      <alignment vertical="top"/>
    </xf>
    <xf numFmtId="0" fontId="2" fillId="0" borderId="5" xfId="0" applyFont="1" applyBorder="1" applyAlignment="1">
      <alignment vertical="top"/>
    </xf>
    <xf numFmtId="0" fontId="2" fillId="0" borderId="15" xfId="0" applyFont="1" applyBorder="1" applyAlignment="1">
      <alignment vertical="top"/>
    </xf>
    <xf numFmtId="0" fontId="2" fillId="0" borderId="117" xfId="0" applyFont="1" applyBorder="1" applyAlignment="1">
      <alignment horizontal="left" vertical="top"/>
    </xf>
    <xf numFmtId="0" fontId="2" fillId="0" borderId="118" xfId="0" applyFont="1" applyBorder="1" applyAlignment="1">
      <alignment horizontal="left" vertical="center"/>
    </xf>
    <xf numFmtId="0" fontId="2" fillId="0" borderId="119" xfId="0" applyFont="1" applyBorder="1" applyAlignment="1">
      <alignment horizontal="left" vertical="center"/>
    </xf>
    <xf numFmtId="0" fontId="2" fillId="0" borderId="118" xfId="0" applyFont="1" applyBorder="1" applyAlignment="1">
      <alignment horizontal="left" vertical="top"/>
    </xf>
    <xf numFmtId="0" fontId="2" fillId="0" borderId="119" xfId="0" applyFont="1" applyBorder="1" applyAlignment="1">
      <alignment horizontal="left" vertical="top"/>
    </xf>
    <xf numFmtId="0" fontId="2" fillId="0" borderId="0" xfId="0" applyFont="1" applyBorder="1" applyAlignment="1">
      <alignment vertical="top"/>
    </xf>
    <xf numFmtId="0" fontId="69" fillId="0" borderId="0" xfId="0" applyFont="1" applyAlignment="1">
      <alignment vertical="center"/>
    </xf>
    <xf numFmtId="49" fontId="2" fillId="35" borderId="94" xfId="0" applyNumberFormat="1" applyFont="1" applyFill="1" applyBorder="1" applyAlignment="1">
      <alignment horizontal="left" vertical="center"/>
    </xf>
    <xf numFmtId="49" fontId="2" fillId="0" borderId="94" xfId="0" applyNumberFormat="1" applyFont="1" applyBorder="1" applyAlignment="1">
      <alignment horizontal="left" vertical="center"/>
    </xf>
    <xf numFmtId="0" fontId="15" fillId="0" borderId="112" xfId="0" applyFont="1" applyBorder="1" applyAlignment="1">
      <alignment vertical="center"/>
    </xf>
    <xf numFmtId="0" fontId="15" fillId="0" borderId="94" xfId="0" applyFont="1" applyBorder="1" applyAlignment="1">
      <alignment vertical="center"/>
    </xf>
    <xf numFmtId="49" fontId="15" fillId="0" borderId="120" xfId="0" applyNumberFormat="1" applyFont="1" applyBorder="1" applyAlignment="1">
      <alignment vertical="center"/>
    </xf>
    <xf numFmtId="0" fontId="15" fillId="0" borderId="93" xfId="0" applyFont="1" applyBorder="1" applyAlignment="1">
      <alignment vertical="center"/>
    </xf>
    <xf numFmtId="0" fontId="15" fillId="0" borderId="91" xfId="0" applyFont="1" applyBorder="1" applyAlignment="1">
      <alignment vertical="center"/>
    </xf>
    <xf numFmtId="49" fontId="15" fillId="0" borderId="91" xfId="0" applyNumberFormat="1" applyFont="1" applyBorder="1" applyAlignment="1">
      <alignment vertical="center"/>
    </xf>
    <xf numFmtId="0" fontId="15" fillId="0" borderId="121" xfId="0" applyFont="1" applyBorder="1" applyAlignment="1">
      <alignment vertical="center"/>
    </xf>
    <xf numFmtId="49" fontId="2" fillId="0" borderId="99" xfId="0" applyNumberFormat="1" applyFont="1" applyBorder="1" applyAlignment="1">
      <alignment horizontal="left" vertical="center"/>
    </xf>
    <xf numFmtId="49" fontId="2" fillId="0" borderId="100" xfId="0" applyNumberFormat="1" applyFont="1" applyBorder="1" applyAlignment="1">
      <alignment horizontal="left" vertical="center"/>
    </xf>
    <xf numFmtId="0" fontId="2" fillId="0" borderId="100" xfId="0" applyFont="1" applyBorder="1" applyAlignment="1">
      <alignment vertical="center"/>
    </xf>
    <xf numFmtId="49" fontId="2" fillId="0" borderId="101" xfId="0" applyNumberFormat="1" applyFont="1" applyBorder="1" applyAlignment="1">
      <alignment horizontal="left" vertical="center"/>
    </xf>
    <xf numFmtId="49" fontId="2" fillId="0" borderId="12" xfId="0" applyNumberFormat="1" applyFont="1" applyBorder="1" applyAlignment="1">
      <alignment horizontal="left" vertical="center"/>
    </xf>
    <xf numFmtId="49" fontId="2" fillId="0" borderId="18" xfId="0" applyNumberFormat="1" applyFont="1" applyBorder="1" applyAlignment="1">
      <alignment horizontal="left" vertical="center"/>
    </xf>
    <xf numFmtId="49" fontId="2" fillId="0" borderId="19" xfId="0" applyNumberFormat="1" applyFont="1" applyBorder="1" applyAlignment="1">
      <alignment horizontal="left" vertical="center"/>
    </xf>
    <xf numFmtId="49" fontId="2" fillId="0" borderId="20" xfId="0" applyNumberFormat="1" applyFont="1" applyBorder="1" applyAlignment="1">
      <alignment horizontal="left" vertical="center"/>
    </xf>
    <xf numFmtId="0" fontId="2" fillId="0" borderId="99" xfId="0" applyFont="1" applyFill="1" applyBorder="1" applyAlignment="1">
      <alignment vertical="center"/>
    </xf>
    <xf numFmtId="0" fontId="2" fillId="0" borderId="100" xfId="0" applyFont="1" applyFill="1" applyBorder="1" applyAlignment="1">
      <alignment vertical="center"/>
    </xf>
    <xf numFmtId="0" fontId="2" fillId="0" borderId="101" xfId="0" applyFont="1" applyBorder="1" applyAlignment="1">
      <alignment vertical="center"/>
    </xf>
    <xf numFmtId="0" fontId="2" fillId="0" borderId="21" xfId="0" applyFont="1" applyFill="1" applyBorder="1" applyAlignment="1">
      <alignment vertical="center"/>
    </xf>
    <xf numFmtId="0" fontId="2" fillId="0" borderId="18" xfId="0" applyFont="1" applyFill="1" applyBorder="1" applyAlignment="1">
      <alignment vertical="center"/>
    </xf>
    <xf numFmtId="0" fontId="2" fillId="0" borderId="19" xfId="0" applyFont="1" applyFill="1" applyBorder="1" applyAlignment="1">
      <alignment vertical="center"/>
    </xf>
    <xf numFmtId="0" fontId="1" fillId="0" borderId="0" xfId="155" applyFont="1"/>
    <xf numFmtId="0" fontId="1" fillId="0" borderId="0" xfId="155" applyFont="1" applyAlignment="1">
      <alignment vertical="top"/>
    </xf>
    <xf numFmtId="0" fontId="1" fillId="0" borderId="0" xfId="155" applyFont="1" applyAlignment="1">
      <alignment horizontal="center" vertical="center"/>
    </xf>
    <xf numFmtId="0" fontId="1" fillId="0" borderId="0" xfId="155" applyFont="1" applyAlignment="1">
      <alignment vertical="center"/>
    </xf>
    <xf numFmtId="0" fontId="1" fillId="0" borderId="0" xfId="155" applyFont="1" applyAlignment="1">
      <alignment vertical="center" wrapText="1"/>
    </xf>
    <xf numFmtId="49" fontId="11" fillId="4" borderId="30" xfId="155" applyNumberFormat="1" applyFont="1" applyFill="1" applyBorder="1" applyAlignment="1">
      <alignment vertical="center" shrinkToFit="1"/>
    </xf>
    <xf numFmtId="49" fontId="7" fillId="4" borderId="31" xfId="155" applyNumberFormat="1" applyFont="1" applyFill="1" applyBorder="1" applyAlignment="1">
      <alignment vertical="center"/>
    </xf>
    <xf numFmtId="49" fontId="7" fillId="4" borderId="35" xfId="155" applyNumberFormat="1" applyFont="1" applyFill="1" applyBorder="1" applyAlignment="1">
      <alignment vertical="center"/>
    </xf>
    <xf numFmtId="49" fontId="7" fillId="4" borderId="36" xfId="155" applyNumberFormat="1" applyFont="1" applyFill="1" applyBorder="1" applyAlignment="1">
      <alignment vertical="center"/>
    </xf>
    <xf numFmtId="0" fontId="2" fillId="0" borderId="3" xfId="155" applyFont="1" applyBorder="1" applyAlignment="1">
      <alignment vertical="center"/>
    </xf>
    <xf numFmtId="0" fontId="2" fillId="0" borderId="0" xfId="155" applyFont="1" applyAlignment="1">
      <alignment vertical="center"/>
    </xf>
    <xf numFmtId="0" fontId="2" fillId="0" borderId="96" xfId="155" applyFont="1" applyBorder="1" applyAlignment="1">
      <alignment vertical="center" shrinkToFit="1"/>
    </xf>
    <xf numFmtId="49" fontId="7" fillId="5" borderId="93" xfId="155" applyNumberFormat="1" applyFont="1" applyFill="1" applyBorder="1" applyAlignment="1">
      <alignment vertical="center"/>
    </xf>
    <xf numFmtId="49" fontId="2" fillId="5" borderId="93" xfId="155" applyNumberFormat="1" applyFont="1" applyFill="1" applyBorder="1" applyAlignment="1">
      <alignment vertical="center"/>
    </xf>
    <xf numFmtId="49" fontId="2" fillId="5" borderId="95" xfId="155" applyNumberFormat="1" applyFont="1" applyFill="1" applyBorder="1" applyAlignment="1">
      <alignment vertical="center"/>
    </xf>
    <xf numFmtId="0" fontId="2" fillId="0" borderId="33" xfId="155" applyFont="1" applyBorder="1" applyAlignment="1">
      <alignment vertical="center" shrinkToFit="1"/>
    </xf>
    <xf numFmtId="0" fontId="2" fillId="0" borderId="99" xfId="155" applyFont="1" applyBorder="1" applyAlignment="1">
      <alignment vertical="center"/>
    </xf>
    <xf numFmtId="0" fontId="2" fillId="0" borderId="100" xfId="155" applyFont="1" applyBorder="1" applyAlignment="1">
      <alignment vertical="center"/>
    </xf>
    <xf numFmtId="0" fontId="2" fillId="0" borderId="101" xfId="155" applyFont="1" applyBorder="1" applyAlignment="1">
      <alignment vertical="center"/>
    </xf>
    <xf numFmtId="49" fontId="2" fillId="0" borderId="21" xfId="155" applyNumberFormat="1" applyFont="1" applyBorder="1" applyAlignment="1">
      <alignment horizontal="left" vertical="center"/>
    </xf>
    <xf numFmtId="49" fontId="2" fillId="0" borderId="0" xfId="155" applyNumberFormat="1" applyFont="1" applyAlignment="1">
      <alignment horizontal="left" vertical="center"/>
    </xf>
    <xf numFmtId="0" fontId="2" fillId="0" borderId="122" xfId="155" applyFont="1" applyBorder="1" applyAlignment="1">
      <alignment vertical="center"/>
    </xf>
    <xf numFmtId="0" fontId="2" fillId="0" borderId="21" xfId="155" applyFont="1" applyBorder="1" applyAlignment="1">
      <alignment vertical="center"/>
    </xf>
    <xf numFmtId="0" fontId="2" fillId="0" borderId="12" xfId="155" applyFont="1" applyBorder="1" applyAlignment="1">
      <alignment vertical="center"/>
    </xf>
    <xf numFmtId="0" fontId="2" fillId="0" borderId="0" xfId="155" quotePrefix="1" applyFont="1" applyAlignment="1">
      <alignment vertical="center"/>
    </xf>
    <xf numFmtId="0" fontId="2" fillId="0" borderId="29" xfId="155" applyFont="1" applyBorder="1" applyAlignment="1">
      <alignment vertical="center"/>
    </xf>
    <xf numFmtId="0" fontId="2" fillId="0" borderId="123" xfId="155" applyFont="1" applyBorder="1" applyAlignment="1">
      <alignment vertical="center" shrinkToFit="1"/>
    </xf>
    <xf numFmtId="49" fontId="5" fillId="0" borderId="0" xfId="155" applyNumberFormat="1" applyFont="1" applyAlignment="1">
      <alignment horizontal="left" vertical="center"/>
    </xf>
    <xf numFmtId="0" fontId="5" fillId="0" borderId="0" xfId="155" applyFont="1" applyAlignment="1">
      <alignment vertical="center"/>
    </xf>
    <xf numFmtId="0" fontId="2" fillId="0" borderId="124" xfId="155" applyFont="1" applyBorder="1" applyAlignment="1">
      <alignment vertical="center" shrinkToFit="1"/>
    </xf>
    <xf numFmtId="0" fontId="2" fillId="0" borderId="125" xfId="155" applyFont="1" applyBorder="1" applyAlignment="1">
      <alignment vertical="center"/>
    </xf>
    <xf numFmtId="0" fontId="2" fillId="0" borderId="5" xfId="155" applyFont="1" applyBorder="1" applyAlignment="1">
      <alignment vertical="center"/>
    </xf>
    <xf numFmtId="0" fontId="2" fillId="0" borderId="126" xfId="155" applyFont="1" applyBorder="1" applyAlignment="1">
      <alignment vertical="center"/>
    </xf>
    <xf numFmtId="0" fontId="2" fillId="0" borderId="127" xfId="155" applyFont="1" applyBorder="1" applyAlignment="1">
      <alignment vertical="center"/>
    </xf>
    <xf numFmtId="0" fontId="2" fillId="0" borderId="0" xfId="155" applyFont="1" applyAlignment="1">
      <alignment vertical="center" shrinkToFit="1"/>
    </xf>
    <xf numFmtId="14" fontId="8" fillId="0" borderId="62" xfId="160" applyNumberFormat="1" applyBorder="1" applyAlignment="1">
      <alignment horizontal="center" vertical="center"/>
    </xf>
    <xf numFmtId="14" fontId="8" fillId="0" borderId="63" xfId="160" applyNumberFormat="1" applyBorder="1" applyAlignment="1">
      <alignment horizontal="center" vertical="center"/>
    </xf>
    <xf numFmtId="14" fontId="8" fillId="0" borderId="64" xfId="160" applyNumberFormat="1" applyBorder="1" applyAlignment="1">
      <alignment horizontal="center" vertical="center"/>
    </xf>
    <xf numFmtId="14" fontId="8" fillId="0" borderId="65" xfId="160" applyNumberFormat="1" applyBorder="1" applyAlignment="1">
      <alignment horizontal="center" vertical="center"/>
    </xf>
    <xf numFmtId="14" fontId="8" fillId="0" borderId="66" xfId="160" applyNumberFormat="1" applyBorder="1" applyAlignment="1">
      <alignment horizontal="center" vertical="center"/>
    </xf>
    <xf numFmtId="14" fontId="8" fillId="0" borderId="67" xfId="160" applyNumberFormat="1" applyBorder="1" applyAlignment="1">
      <alignment horizontal="center" vertical="center"/>
    </xf>
    <xf numFmtId="14" fontId="8" fillId="18" borderId="62" xfId="160" applyNumberFormat="1" applyFill="1" applyBorder="1" applyAlignment="1" applyProtection="1">
      <alignment horizontal="center" vertical="center"/>
      <protection locked="0"/>
    </xf>
    <xf numFmtId="14" fontId="8" fillId="18" borderId="63" xfId="160" applyNumberFormat="1" applyFill="1" applyBorder="1" applyAlignment="1" applyProtection="1">
      <alignment horizontal="center" vertical="center"/>
      <protection locked="0"/>
    </xf>
    <xf numFmtId="14" fontId="8" fillId="18" borderId="64" xfId="160" applyNumberFormat="1" applyFill="1" applyBorder="1" applyAlignment="1" applyProtection="1">
      <alignment horizontal="center" vertical="center"/>
      <protection locked="0"/>
    </xf>
    <xf numFmtId="14" fontId="8" fillId="18" borderId="65" xfId="160" applyNumberFormat="1" applyFill="1" applyBorder="1" applyAlignment="1" applyProtection="1">
      <alignment horizontal="center" vertical="center"/>
      <protection locked="0"/>
    </xf>
    <xf numFmtId="14" fontId="8" fillId="18" borderId="66" xfId="160" applyNumberFormat="1" applyFill="1" applyBorder="1" applyAlignment="1" applyProtection="1">
      <alignment horizontal="center" vertical="center"/>
      <protection locked="0"/>
    </xf>
    <xf numFmtId="14" fontId="8" fillId="18" borderId="67" xfId="160" applyNumberFormat="1" applyFill="1" applyBorder="1" applyAlignment="1" applyProtection="1">
      <alignment horizontal="center" vertical="center"/>
      <protection locked="0"/>
    </xf>
    <xf numFmtId="0" fontId="26" fillId="0" borderId="0" xfId="160" applyFont="1" applyAlignment="1" applyProtection="1">
      <alignment horizontal="center" vertical="center"/>
      <protection locked="0"/>
    </xf>
    <xf numFmtId="14" fontId="27" fillId="0" borderId="0" xfId="160" applyNumberFormat="1" applyFont="1" applyAlignment="1" applyProtection="1">
      <alignment horizontal="center" vertical="center"/>
      <protection locked="0"/>
    </xf>
    <xf numFmtId="0" fontId="4" fillId="17" borderId="13" xfId="160" applyFont="1" applyFill="1" applyBorder="1" applyAlignment="1" applyProtection="1">
      <alignment horizontal="left" vertical="center" indent="1"/>
      <protection locked="0"/>
    </xf>
    <xf numFmtId="0" fontId="4" fillId="17" borderId="14" xfId="160" applyFont="1" applyFill="1" applyBorder="1" applyAlignment="1" applyProtection="1">
      <alignment horizontal="left" vertical="center" indent="1"/>
      <protection locked="0"/>
    </xf>
    <xf numFmtId="0" fontId="4" fillId="17" borderId="17" xfId="160" applyFont="1" applyFill="1" applyBorder="1" applyAlignment="1" applyProtection="1">
      <alignment horizontal="left" vertical="center" indent="1"/>
      <protection locked="0"/>
    </xf>
    <xf numFmtId="0" fontId="4" fillId="17" borderId="18" xfId="160" applyFont="1" applyFill="1" applyBorder="1" applyAlignment="1" applyProtection="1">
      <alignment horizontal="left" vertical="center" indent="1"/>
      <protection locked="0"/>
    </xf>
    <xf numFmtId="0" fontId="4" fillId="17" borderId="19" xfId="160" applyFont="1" applyFill="1" applyBorder="1" applyAlignment="1" applyProtection="1">
      <alignment horizontal="left" vertical="center" indent="1"/>
      <protection locked="0"/>
    </xf>
    <xf numFmtId="0" fontId="4" fillId="17" borderId="20" xfId="160" applyFont="1" applyFill="1" applyBorder="1" applyAlignment="1" applyProtection="1">
      <alignment horizontal="left" vertical="center" indent="1"/>
      <protection locked="0"/>
    </xf>
    <xf numFmtId="0" fontId="30" fillId="18" borderId="13" xfId="160" applyFont="1" applyFill="1" applyBorder="1" applyAlignment="1" applyProtection="1">
      <alignment horizontal="left" vertical="center" indent="1"/>
      <protection locked="0"/>
    </xf>
    <xf numFmtId="0" fontId="31" fillId="18" borderId="14" xfId="160" applyFont="1" applyFill="1" applyBorder="1" applyAlignment="1" applyProtection="1">
      <alignment horizontal="left" vertical="center" indent="1"/>
      <protection locked="0"/>
    </xf>
    <xf numFmtId="0" fontId="31" fillId="18" borderId="17" xfId="160" applyFont="1" applyFill="1" applyBorder="1" applyAlignment="1" applyProtection="1">
      <alignment horizontal="left" vertical="center" indent="1"/>
      <protection locked="0"/>
    </xf>
    <xf numFmtId="0" fontId="31" fillId="18" borderId="18" xfId="160" applyFont="1" applyFill="1" applyBorder="1" applyAlignment="1" applyProtection="1">
      <alignment horizontal="left" vertical="center" indent="1"/>
      <protection locked="0"/>
    </xf>
    <xf numFmtId="0" fontId="31" fillId="18" borderId="19" xfId="160" applyFont="1" applyFill="1" applyBorder="1" applyAlignment="1" applyProtection="1">
      <alignment horizontal="left" vertical="center" indent="1"/>
      <protection locked="0"/>
    </xf>
    <xf numFmtId="0" fontId="31" fillId="18" borderId="20" xfId="160" applyFont="1" applyFill="1" applyBorder="1" applyAlignment="1" applyProtection="1">
      <alignment horizontal="left" vertical="center" indent="1"/>
      <protection locked="0"/>
    </xf>
    <xf numFmtId="0" fontId="8" fillId="0" borderId="70" xfId="160" applyBorder="1" applyAlignment="1">
      <alignment horizontal="center" vertical="center"/>
    </xf>
    <xf numFmtId="0" fontId="8" fillId="0" borderId="71" xfId="160" applyBorder="1" applyAlignment="1">
      <alignment horizontal="center" vertical="center"/>
    </xf>
    <xf numFmtId="0" fontId="8" fillId="0" borderId="73" xfId="160" applyBorder="1" applyAlignment="1">
      <alignment horizontal="center" vertical="center"/>
    </xf>
    <xf numFmtId="0" fontId="8" fillId="0" borderId="62" xfId="160" applyBorder="1" applyAlignment="1">
      <alignment horizontal="center" vertical="center"/>
    </xf>
    <xf numFmtId="0" fontId="8" fillId="0" borderId="63" xfId="160" applyBorder="1" applyAlignment="1">
      <alignment horizontal="center" vertical="center"/>
    </xf>
    <xf numFmtId="0" fontId="8" fillId="0" borderId="64" xfId="160" applyBorder="1" applyAlignment="1">
      <alignment horizontal="center" vertical="center"/>
    </xf>
    <xf numFmtId="0" fontId="8" fillId="18" borderId="70" xfId="160" applyFill="1" applyBorder="1" applyAlignment="1" applyProtection="1">
      <alignment horizontal="center" vertical="center"/>
      <protection locked="0"/>
    </xf>
    <xf numFmtId="0" fontId="8" fillId="18" borderId="71" xfId="160" applyFill="1" applyBorder="1" applyAlignment="1" applyProtection="1">
      <alignment horizontal="center" vertical="center"/>
      <protection locked="0"/>
    </xf>
    <xf numFmtId="0" fontId="8" fillId="18" borderId="73" xfId="160" applyFill="1" applyBorder="1" applyAlignment="1" applyProtection="1">
      <alignment horizontal="center" vertical="center"/>
      <protection locked="0"/>
    </xf>
    <xf numFmtId="0" fontId="8" fillId="18" borderId="62" xfId="160" applyFill="1" applyBorder="1" applyAlignment="1" applyProtection="1">
      <alignment horizontal="center" vertical="center"/>
      <protection locked="0"/>
    </xf>
    <xf numFmtId="0" fontId="8" fillId="18" borderId="63" xfId="160" applyFill="1" applyBorder="1" applyAlignment="1" applyProtection="1">
      <alignment horizontal="center" vertical="center"/>
      <protection locked="0"/>
    </xf>
    <xf numFmtId="0" fontId="8" fillId="18" borderId="64" xfId="160" applyFill="1" applyBorder="1" applyAlignment="1" applyProtection="1">
      <alignment horizontal="center" vertical="center"/>
      <protection locked="0"/>
    </xf>
    <xf numFmtId="179" fontId="30" fillId="18" borderId="13" xfId="160" applyNumberFormat="1" applyFont="1" applyFill="1" applyBorder="1" applyAlignment="1" applyProtection="1">
      <alignment horizontal="left" vertical="center" indent="1"/>
      <protection locked="0"/>
    </xf>
    <xf numFmtId="179" fontId="31" fillId="18" borderId="14" xfId="160" applyNumberFormat="1" applyFont="1" applyFill="1" applyBorder="1" applyAlignment="1" applyProtection="1">
      <alignment horizontal="left" vertical="center" indent="1"/>
      <protection locked="0"/>
    </xf>
    <xf numFmtId="179" fontId="31" fillId="18" borderId="17" xfId="160" applyNumberFormat="1" applyFont="1" applyFill="1" applyBorder="1" applyAlignment="1" applyProtection="1">
      <alignment horizontal="left" vertical="center" indent="1"/>
      <protection locked="0"/>
    </xf>
    <xf numFmtId="179" fontId="31" fillId="18" borderId="18" xfId="160" applyNumberFormat="1" applyFont="1" applyFill="1" applyBorder="1" applyAlignment="1" applyProtection="1">
      <alignment horizontal="left" vertical="center" indent="1"/>
      <protection locked="0"/>
    </xf>
    <xf numFmtId="179" fontId="31" fillId="18" borderId="19" xfId="160" applyNumberFormat="1" applyFont="1" applyFill="1" applyBorder="1" applyAlignment="1" applyProtection="1">
      <alignment horizontal="left" vertical="center" indent="1"/>
      <protection locked="0"/>
    </xf>
    <xf numFmtId="179" fontId="31" fillId="18" borderId="20" xfId="160" applyNumberFormat="1" applyFont="1" applyFill="1" applyBorder="1" applyAlignment="1" applyProtection="1">
      <alignment horizontal="left" vertical="center" indent="1"/>
      <protection locked="0"/>
    </xf>
    <xf numFmtId="0" fontId="8" fillId="19" borderId="6" xfId="160" applyFill="1" applyBorder="1" applyAlignment="1" applyProtection="1">
      <alignment horizontal="center" vertical="center"/>
      <protection locked="0"/>
    </xf>
    <xf numFmtId="0" fontId="8" fillId="19" borderId="7" xfId="160" applyFill="1" applyBorder="1" applyAlignment="1" applyProtection="1">
      <alignment horizontal="center" vertical="center"/>
      <protection locked="0"/>
    </xf>
    <xf numFmtId="0" fontId="8" fillId="19" borderId="8" xfId="160" applyFill="1" applyBorder="1" applyAlignment="1" applyProtection="1">
      <alignment horizontal="center" vertical="center"/>
      <protection locked="0"/>
    </xf>
    <xf numFmtId="2" fontId="30" fillId="0" borderId="13" xfId="160" applyNumberFormat="1" applyFont="1" applyBorder="1" applyAlignment="1">
      <alignment horizontal="left" vertical="center" indent="1"/>
    </xf>
    <xf numFmtId="2" fontId="31" fillId="0" borderId="14" xfId="160" applyNumberFormat="1" applyFont="1" applyBorder="1" applyAlignment="1">
      <alignment horizontal="left" vertical="center" indent="1"/>
    </xf>
    <xf numFmtId="2" fontId="31" fillId="0" borderId="17" xfId="160" applyNumberFormat="1" applyFont="1" applyBorder="1" applyAlignment="1">
      <alignment horizontal="left" vertical="center" indent="1"/>
    </xf>
    <xf numFmtId="2" fontId="31" fillId="0" borderId="18" xfId="160" applyNumberFormat="1" applyFont="1" applyBorder="1" applyAlignment="1">
      <alignment horizontal="left" vertical="center" indent="1"/>
    </xf>
    <xf numFmtId="2" fontId="31" fillId="0" borderId="19" xfId="160" applyNumberFormat="1" applyFont="1" applyBorder="1" applyAlignment="1">
      <alignment horizontal="left" vertical="center" indent="1"/>
    </xf>
    <xf numFmtId="2" fontId="31" fillId="0" borderId="20" xfId="160" applyNumberFormat="1" applyFont="1" applyBorder="1" applyAlignment="1">
      <alignment horizontal="left" vertical="center" indent="1"/>
    </xf>
    <xf numFmtId="179" fontId="30" fillId="0" borderId="13" xfId="160" applyNumberFormat="1" applyFont="1" applyBorder="1" applyAlignment="1" applyProtection="1">
      <alignment horizontal="left" vertical="center" indent="1"/>
      <protection locked="0"/>
    </xf>
    <xf numFmtId="179" fontId="31" fillId="0" borderId="14" xfId="160" applyNumberFormat="1" applyFont="1" applyBorder="1" applyAlignment="1" applyProtection="1">
      <alignment horizontal="left" vertical="center" indent="1"/>
      <protection locked="0"/>
    </xf>
    <xf numFmtId="179" fontId="31" fillId="0" borderId="17" xfId="160" applyNumberFormat="1" applyFont="1" applyBorder="1" applyAlignment="1" applyProtection="1">
      <alignment horizontal="left" vertical="center" indent="1"/>
      <protection locked="0"/>
    </xf>
    <xf numFmtId="179" fontId="31" fillId="0" borderId="18" xfId="160" applyNumberFormat="1" applyFont="1" applyBorder="1" applyAlignment="1" applyProtection="1">
      <alignment horizontal="left" vertical="center" indent="1"/>
      <protection locked="0"/>
    </xf>
    <xf numFmtId="179" fontId="31" fillId="0" borderId="19" xfId="160" applyNumberFormat="1" applyFont="1" applyBorder="1" applyAlignment="1" applyProtection="1">
      <alignment horizontal="left" vertical="center" indent="1"/>
      <protection locked="0"/>
    </xf>
    <xf numFmtId="179" fontId="31" fillId="0" borderId="20" xfId="160" applyNumberFormat="1" applyFont="1" applyBorder="1" applyAlignment="1" applyProtection="1">
      <alignment horizontal="left" vertical="center" indent="1"/>
      <protection locked="0"/>
    </xf>
    <xf numFmtId="179" fontId="30" fillId="0" borderId="14" xfId="160" applyNumberFormat="1" applyFont="1" applyBorder="1" applyAlignment="1" applyProtection="1">
      <alignment horizontal="left" vertical="center" indent="1"/>
      <protection locked="0"/>
    </xf>
    <xf numFmtId="179" fontId="30" fillId="0" borderId="17" xfId="160" applyNumberFormat="1" applyFont="1" applyBorder="1" applyAlignment="1" applyProtection="1">
      <alignment horizontal="left" vertical="center" indent="1"/>
      <protection locked="0"/>
    </xf>
    <xf numFmtId="179" fontId="30" fillId="0" borderId="18" xfId="160" applyNumberFormat="1" applyFont="1" applyBorder="1" applyAlignment="1" applyProtection="1">
      <alignment horizontal="left" vertical="center" indent="1"/>
      <protection locked="0"/>
    </xf>
    <xf numFmtId="179" fontId="30" fillId="0" borderId="19" xfId="160" applyNumberFormat="1" applyFont="1" applyBorder="1" applyAlignment="1" applyProtection="1">
      <alignment horizontal="left" vertical="center" indent="1"/>
      <protection locked="0"/>
    </xf>
    <xf numFmtId="179" fontId="30" fillId="0" borderId="20" xfId="160" applyNumberFormat="1" applyFont="1" applyBorder="1" applyAlignment="1" applyProtection="1">
      <alignment horizontal="left" vertical="center" indent="1"/>
      <protection locked="0"/>
    </xf>
    <xf numFmtId="179" fontId="4" fillId="19" borderId="13" xfId="160" applyNumberFormat="1" applyFont="1" applyFill="1" applyBorder="1" applyAlignment="1" applyProtection="1">
      <alignment horizontal="center" vertical="center"/>
      <protection locked="0"/>
    </xf>
    <xf numFmtId="179" fontId="4" fillId="19" borderId="17" xfId="160" applyNumberFormat="1" applyFont="1" applyFill="1" applyBorder="1" applyAlignment="1" applyProtection="1">
      <alignment horizontal="center" vertical="center"/>
      <protection locked="0"/>
    </xf>
    <xf numFmtId="179" fontId="4" fillId="19" borderId="18" xfId="160" applyNumberFormat="1" applyFont="1" applyFill="1" applyBorder="1" applyAlignment="1" applyProtection="1">
      <alignment horizontal="center" vertical="center"/>
      <protection locked="0"/>
    </xf>
    <xf numFmtId="179" fontId="4" fillId="19" borderId="20" xfId="160" applyNumberFormat="1" applyFont="1" applyFill="1" applyBorder="1" applyAlignment="1" applyProtection="1">
      <alignment horizontal="center" vertical="center"/>
      <protection locked="0"/>
    </xf>
    <xf numFmtId="0" fontId="30" fillId="0" borderId="13" xfId="160" applyFont="1" applyBorder="1" applyAlignment="1" applyProtection="1">
      <alignment horizontal="left" vertical="center" indent="1"/>
      <protection locked="0"/>
    </xf>
    <xf numFmtId="0" fontId="31" fillId="0" borderId="14" xfId="160" applyFont="1" applyBorder="1" applyAlignment="1" applyProtection="1">
      <alignment horizontal="left" vertical="center" indent="1"/>
      <protection locked="0"/>
    </xf>
    <xf numFmtId="0" fontId="31" fillId="0" borderId="17" xfId="160" applyFont="1" applyBorder="1" applyAlignment="1" applyProtection="1">
      <alignment horizontal="left" vertical="center" indent="1"/>
      <protection locked="0"/>
    </xf>
    <xf numFmtId="0" fontId="31" fillId="0" borderId="18" xfId="160" applyFont="1" applyBorder="1" applyAlignment="1" applyProtection="1">
      <alignment horizontal="left" vertical="center" indent="1"/>
      <protection locked="0"/>
    </xf>
    <xf numFmtId="0" fontId="31" fillId="0" borderId="19" xfId="160" applyFont="1" applyBorder="1" applyAlignment="1" applyProtection="1">
      <alignment horizontal="left" vertical="center" indent="1"/>
      <protection locked="0"/>
    </xf>
    <xf numFmtId="0" fontId="31" fillId="0" borderId="20" xfId="160" applyFont="1" applyBorder="1" applyAlignment="1" applyProtection="1">
      <alignment horizontal="left" vertical="center" indent="1"/>
      <protection locked="0"/>
    </xf>
    <xf numFmtId="0" fontId="30" fillId="0" borderId="14" xfId="160" applyFont="1" applyBorder="1" applyAlignment="1" applyProtection="1">
      <alignment horizontal="left" vertical="center" indent="1"/>
      <protection locked="0"/>
    </xf>
    <xf numFmtId="0" fontId="30" fillId="0" borderId="17" xfId="160" applyFont="1" applyBorder="1" applyAlignment="1" applyProtection="1">
      <alignment horizontal="left" vertical="center" indent="1"/>
      <protection locked="0"/>
    </xf>
    <xf numFmtId="0" fontId="30" fillId="0" borderId="18" xfId="160" applyFont="1" applyBorder="1" applyAlignment="1" applyProtection="1">
      <alignment horizontal="left" vertical="center" indent="1"/>
      <protection locked="0"/>
    </xf>
    <xf numFmtId="0" fontId="30" fillId="0" borderId="19" xfId="160" applyFont="1" applyBorder="1" applyAlignment="1" applyProtection="1">
      <alignment horizontal="left" vertical="center" indent="1"/>
      <protection locked="0"/>
    </xf>
    <xf numFmtId="0" fontId="30" fillId="0" borderId="20" xfId="160" applyFont="1" applyBorder="1" applyAlignment="1" applyProtection="1">
      <alignment horizontal="left" vertical="center" indent="1"/>
      <protection locked="0"/>
    </xf>
    <xf numFmtId="0" fontId="26" fillId="0" borderId="0" xfId="160" applyFont="1" applyAlignment="1" applyProtection="1">
      <alignment horizontal="center" vertical="center" wrapText="1"/>
      <protection locked="0"/>
    </xf>
    <xf numFmtId="0" fontId="8" fillId="0" borderId="0" xfId="160" applyAlignment="1" applyProtection="1">
      <alignment horizontal="center" vertical="center" wrapText="1"/>
      <protection locked="0"/>
    </xf>
    <xf numFmtId="0" fontId="28" fillId="0" borderId="21" xfId="160" applyFont="1" applyBorder="1" applyAlignment="1" applyProtection="1">
      <alignment horizontal="center" vertical="center" wrapText="1"/>
      <protection locked="0"/>
    </xf>
    <xf numFmtId="0" fontId="28" fillId="0" borderId="0" xfId="160" applyFont="1" applyAlignment="1" applyProtection="1">
      <alignment horizontal="center" vertical="center" wrapText="1"/>
      <protection locked="0"/>
    </xf>
    <xf numFmtId="0" fontId="28" fillId="0" borderId="12" xfId="160" applyFont="1" applyBorder="1" applyAlignment="1" applyProtection="1">
      <alignment horizontal="center" vertical="center" wrapText="1"/>
      <protection locked="0"/>
    </xf>
    <xf numFmtId="0" fontId="29" fillId="0" borderId="21" xfId="160" applyFont="1" applyBorder="1" applyAlignment="1" applyProtection="1">
      <alignment horizontal="center" vertical="center"/>
      <protection locked="0"/>
    </xf>
    <xf numFmtId="0" fontId="29" fillId="0" borderId="0" xfId="160" applyFont="1" applyAlignment="1" applyProtection="1">
      <alignment horizontal="center" vertical="center"/>
      <protection locked="0"/>
    </xf>
    <xf numFmtId="0" fontId="29" fillId="0" borderId="12" xfId="160" applyFont="1" applyBorder="1" applyAlignment="1" applyProtection="1">
      <alignment horizontal="center" vertical="center"/>
      <protection locked="0"/>
    </xf>
    <xf numFmtId="0" fontId="29" fillId="0" borderId="18" xfId="160" applyFont="1" applyBorder="1" applyAlignment="1" applyProtection="1">
      <alignment horizontal="center" vertical="center"/>
      <protection locked="0"/>
    </xf>
    <xf numFmtId="0" fontId="29" fillId="0" borderId="19" xfId="160" applyFont="1" applyBorder="1" applyAlignment="1" applyProtection="1">
      <alignment horizontal="center" vertical="center"/>
      <protection locked="0"/>
    </xf>
    <xf numFmtId="0" fontId="29" fillId="0" borderId="20" xfId="160" applyFont="1" applyBorder="1" applyAlignment="1" applyProtection="1">
      <alignment horizontal="center" vertical="center"/>
      <protection locked="0"/>
    </xf>
    <xf numFmtId="0" fontId="27" fillId="0" borderId="0" xfId="160" applyFont="1" applyAlignment="1" applyProtection="1">
      <alignment horizontal="center" vertical="center"/>
      <protection locked="0"/>
    </xf>
    <xf numFmtId="178" fontId="27" fillId="0" borderId="0" xfId="160" applyNumberFormat="1" applyFont="1" applyAlignment="1" applyProtection="1">
      <alignment horizontal="center" vertical="center"/>
      <protection locked="0"/>
    </xf>
    <xf numFmtId="0" fontId="3" fillId="0" borderId="1" xfId="107" applyFont="1" applyFill="1" applyBorder="1" applyAlignment="1">
      <alignment horizontal="center" vertical="center" wrapText="1"/>
    </xf>
    <xf numFmtId="0" fontId="4" fillId="0" borderId="2" xfId="19" applyFont="1" applyBorder="1" applyAlignment="1">
      <alignment horizontal="center" vertical="center" wrapText="1"/>
    </xf>
    <xf numFmtId="0" fontId="4" fillId="0" borderId="9" xfId="19" applyFont="1" applyBorder="1" applyAlignment="1">
      <alignment horizontal="center" vertical="center" wrapText="1"/>
    </xf>
    <xf numFmtId="0" fontId="4" fillId="0" borderId="3" xfId="19" applyFont="1" applyBorder="1" applyAlignment="1">
      <alignment horizontal="center" vertical="center" wrapText="1"/>
    </xf>
    <xf numFmtId="0" fontId="4" fillId="0" borderId="0" xfId="19" applyFont="1" applyAlignment="1">
      <alignment horizontal="center" vertical="center" wrapText="1"/>
    </xf>
    <xf numFmtId="0" fontId="4" fillId="0" borderId="12" xfId="19" applyFont="1" applyBorder="1" applyAlignment="1">
      <alignment horizontal="center" vertical="center" wrapText="1"/>
    </xf>
    <xf numFmtId="0" fontId="4" fillId="0" borderId="4" xfId="19" applyFont="1" applyBorder="1" applyAlignment="1">
      <alignment horizontal="center" vertical="center" wrapText="1"/>
    </xf>
    <xf numFmtId="0" fontId="4" fillId="0" borderId="5" xfId="19" applyFont="1" applyBorder="1" applyAlignment="1">
      <alignment horizontal="center" vertical="center" wrapText="1"/>
    </xf>
    <xf numFmtId="0" fontId="4" fillId="0" borderId="15" xfId="19" applyFont="1" applyBorder="1" applyAlignment="1">
      <alignment horizontal="center" vertical="center" wrapText="1"/>
    </xf>
    <xf numFmtId="0" fontId="9" fillId="0" borderId="42" xfId="172" applyNumberFormat="1" applyFont="1" applyFill="1" applyBorder="1" applyAlignment="1">
      <alignment horizontal="center" vertical="center"/>
    </xf>
    <xf numFmtId="0" fontId="9" fillId="0" borderId="43" xfId="172" applyNumberFormat="1" applyFont="1" applyFill="1" applyBorder="1" applyAlignment="1">
      <alignment horizontal="center" vertical="center"/>
    </xf>
    <xf numFmtId="0" fontId="9" fillId="0" borderId="13" xfId="172" applyFont="1" applyFill="1" applyBorder="1" applyAlignment="1">
      <alignment horizontal="center" vertical="center" wrapText="1"/>
    </xf>
    <xf numFmtId="0" fontId="64" fillId="0" borderId="14" xfId="19" applyBorder="1" applyAlignment="1">
      <alignment horizontal="center" vertical="center" wrapText="1"/>
    </xf>
    <xf numFmtId="0" fontId="64" fillId="0" borderId="17" xfId="19" applyBorder="1" applyAlignment="1">
      <alignment horizontal="center" vertical="center" wrapText="1"/>
    </xf>
    <xf numFmtId="0" fontId="64" fillId="0" borderId="16" xfId="19" applyBorder="1" applyAlignment="1">
      <alignment horizontal="center" vertical="center" wrapText="1"/>
    </xf>
    <xf numFmtId="0" fontId="64" fillId="0" borderId="5" xfId="19" applyBorder="1" applyAlignment="1">
      <alignment horizontal="center" vertical="center" wrapText="1"/>
    </xf>
    <xf numFmtId="0" fontId="64" fillId="0" borderId="15" xfId="19" applyBorder="1" applyAlignment="1">
      <alignment horizontal="center" vertical="center" wrapText="1"/>
    </xf>
    <xf numFmtId="177" fontId="9" fillId="0" borderId="13" xfId="172" applyNumberFormat="1" applyFont="1" applyBorder="1" applyAlignment="1">
      <alignment horizontal="center" vertical="center" wrapText="1"/>
    </xf>
    <xf numFmtId="0" fontId="64" fillId="0" borderId="27" xfId="19" applyBorder="1" applyAlignment="1">
      <alignment horizontal="center" vertical="center" wrapText="1"/>
    </xf>
    <xf numFmtId="0" fontId="64" fillId="0" borderId="28" xfId="19" applyBorder="1" applyAlignment="1">
      <alignment horizontal="center" vertical="center" wrapText="1"/>
    </xf>
    <xf numFmtId="0" fontId="7" fillId="0" borderId="16" xfId="107" applyFont="1" applyFill="1" applyBorder="1" applyAlignment="1">
      <alignment horizontal="center" vertical="center" shrinkToFit="1"/>
    </xf>
    <xf numFmtId="0" fontId="8" fillId="0" borderId="5" xfId="19" applyFont="1" applyBorder="1" applyAlignment="1">
      <alignment horizontal="center" vertical="center" shrinkToFit="1"/>
    </xf>
    <xf numFmtId="0" fontId="6" fillId="3" borderId="22" xfId="107" applyFont="1" applyFill="1" applyBorder="1" applyAlignment="1">
      <alignment horizontal="center" wrapText="1"/>
    </xf>
    <xf numFmtId="0" fontId="64" fillId="0" borderId="23" xfId="19" applyBorder="1" applyAlignment="1">
      <alignment horizontal="center" wrapText="1"/>
    </xf>
    <xf numFmtId="0" fontId="64" fillId="0" borderId="25" xfId="19" applyBorder="1" applyAlignment="1">
      <alignment horizontal="center" wrapText="1"/>
    </xf>
    <xf numFmtId="0" fontId="2" fillId="0" borderId="22" xfId="174" applyFont="1" applyBorder="1" applyAlignment="1">
      <alignment horizontal="center" wrapText="1"/>
    </xf>
    <xf numFmtId="0" fontId="2" fillId="0" borderId="23" xfId="174" applyFont="1" applyBorder="1" applyAlignment="1">
      <alignment horizontal="center" wrapText="1"/>
    </xf>
    <xf numFmtId="0" fontId="2" fillId="0" borderId="23" xfId="174" quotePrefix="1" applyFont="1" applyBorder="1" applyAlignment="1">
      <alignment wrapText="1"/>
    </xf>
    <xf numFmtId="0" fontId="8" fillId="0" borderId="23" xfId="19" applyFont="1" applyBorder="1" applyAlignment="1">
      <alignment wrapText="1"/>
    </xf>
    <xf numFmtId="0" fontId="8" fillId="0" borderId="25" xfId="19" applyFont="1" applyBorder="1" applyAlignment="1">
      <alignment wrapText="1"/>
    </xf>
    <xf numFmtId="0" fontId="9" fillId="0" borderId="10" xfId="107" applyFont="1" applyBorder="1" applyAlignment="1">
      <alignment horizontal="center" wrapText="1"/>
    </xf>
    <xf numFmtId="0" fontId="64" fillId="0" borderId="11" xfId="19" applyBorder="1" applyAlignment="1">
      <alignment horizontal="center" wrapText="1"/>
    </xf>
    <xf numFmtId="0" fontId="64" fillId="0" borderId="24" xfId="19" applyBorder="1" applyAlignment="1">
      <alignment horizontal="center" wrapText="1"/>
    </xf>
    <xf numFmtId="0" fontId="8" fillId="0" borderId="15" xfId="19" applyFont="1" applyBorder="1" applyAlignment="1">
      <alignment horizontal="center" vertical="center" shrinkToFit="1"/>
    </xf>
    <xf numFmtId="0" fontId="6" fillId="3" borderId="22" xfId="107" applyFont="1" applyFill="1" applyBorder="1" applyAlignment="1">
      <alignment horizontal="center" shrinkToFit="1"/>
    </xf>
    <xf numFmtId="0" fontId="64" fillId="0" borderId="23" xfId="19" applyBorder="1" applyAlignment="1">
      <alignment horizontal="center" shrinkToFit="1"/>
    </xf>
    <xf numFmtId="0" fontId="64" fillId="0" borderId="25" xfId="19" applyBorder="1" applyAlignment="1">
      <alignment horizontal="center" shrinkToFit="1"/>
    </xf>
    <xf numFmtId="0" fontId="2" fillId="0" borderId="22" xfId="107" applyFont="1" applyFill="1" applyBorder="1" applyAlignment="1">
      <alignment horizontal="center" wrapText="1"/>
    </xf>
    <xf numFmtId="0" fontId="2" fillId="0" borderId="23" xfId="107" quotePrefix="1" applyFont="1" applyFill="1" applyBorder="1" applyAlignment="1">
      <alignment horizontal="left" wrapText="1"/>
    </xf>
    <xf numFmtId="0" fontId="8" fillId="0" borderId="23" xfId="19" applyFont="1" applyBorder="1" applyAlignment="1">
      <alignment horizontal="left" wrapText="1"/>
    </xf>
    <xf numFmtId="0" fontId="8" fillId="0" borderId="25" xfId="19" applyFont="1" applyBorder="1" applyAlignment="1">
      <alignment horizontal="left" wrapText="1"/>
    </xf>
    <xf numFmtId="0" fontId="6" fillId="3" borderId="41" xfId="172" applyFont="1" applyFill="1" applyBorder="1" applyAlignment="1">
      <alignment horizontal="center"/>
    </xf>
    <xf numFmtId="0" fontId="6" fillId="3" borderId="10" xfId="172" applyFont="1" applyFill="1" applyBorder="1" applyAlignment="1">
      <alignment horizontal="center" wrapText="1"/>
    </xf>
    <xf numFmtId="14" fontId="9" fillId="6" borderId="42" xfId="174" applyNumberFormat="1" applyFont="1" applyFill="1" applyBorder="1" applyAlignment="1">
      <alignment horizontal="center" vertical="center"/>
    </xf>
    <xf numFmtId="0" fontId="21" fillId="0" borderId="0" xfId="174" applyFont="1" applyBorder="1" applyAlignment="1">
      <alignment horizontal="center" vertical="center"/>
    </xf>
    <xf numFmtId="14" fontId="9" fillId="0" borderId="42" xfId="172" applyNumberFormat="1" applyFont="1" applyFill="1" applyBorder="1" applyAlignment="1">
      <alignment horizontal="center" vertical="center"/>
    </xf>
    <xf numFmtId="14" fontId="9" fillId="0" borderId="43" xfId="172" applyNumberFormat="1" applyFont="1" applyFill="1" applyBorder="1" applyAlignment="1">
      <alignment horizontal="center" vertical="center"/>
    </xf>
    <xf numFmtId="0" fontId="9" fillId="0" borderId="13" xfId="174" applyFont="1" applyBorder="1" applyAlignment="1">
      <alignment horizontal="center" vertical="center"/>
    </xf>
    <xf numFmtId="0" fontId="9" fillId="0" borderId="14" xfId="174" applyFont="1" applyBorder="1" applyAlignment="1">
      <alignment horizontal="center" vertical="center"/>
    </xf>
    <xf numFmtId="0" fontId="9" fillId="0" borderId="17" xfId="174" applyFont="1" applyBorder="1" applyAlignment="1">
      <alignment horizontal="center" vertical="center"/>
    </xf>
    <xf numFmtId="0" fontId="9" fillId="0" borderId="18" xfId="174" applyFont="1" applyBorder="1" applyAlignment="1">
      <alignment horizontal="center" vertical="center"/>
    </xf>
    <xf numFmtId="0" fontId="9" fillId="0" borderId="19" xfId="174" applyFont="1" applyBorder="1" applyAlignment="1">
      <alignment horizontal="center" vertical="center"/>
    </xf>
    <xf numFmtId="0" fontId="9" fillId="0" borderId="20" xfId="174" applyFont="1" applyBorder="1" applyAlignment="1">
      <alignment horizontal="center" vertical="center"/>
    </xf>
    <xf numFmtId="0" fontId="6" fillId="3" borderId="42" xfId="174" applyFont="1" applyFill="1" applyBorder="1" applyAlignment="1">
      <alignment horizontal="center" vertical="center"/>
    </xf>
    <xf numFmtId="0" fontId="18" fillId="0" borderId="0" xfId="174" applyFont="1" applyBorder="1" applyAlignment="1">
      <alignment horizontal="center" vertical="center"/>
    </xf>
    <xf numFmtId="0" fontId="6" fillId="3" borderId="13" xfId="174" applyFont="1" applyFill="1" applyBorder="1" applyAlignment="1">
      <alignment horizontal="center" vertical="center" wrapText="1"/>
    </xf>
    <xf numFmtId="0" fontId="6" fillId="3" borderId="14" xfId="174" applyFont="1" applyFill="1" applyBorder="1" applyAlignment="1">
      <alignment horizontal="center" vertical="center" wrapText="1"/>
    </xf>
    <xf numFmtId="0" fontId="6" fillId="3" borderId="17" xfId="174" applyFont="1" applyFill="1" applyBorder="1" applyAlignment="1">
      <alignment horizontal="center" vertical="center" wrapText="1"/>
    </xf>
    <xf numFmtId="0" fontId="6" fillId="3" borderId="18" xfId="174" applyFont="1" applyFill="1" applyBorder="1" applyAlignment="1">
      <alignment horizontal="center" vertical="center" wrapText="1"/>
    </xf>
    <xf numFmtId="0" fontId="6" fillId="3" borderId="19" xfId="174" applyFont="1" applyFill="1" applyBorder="1" applyAlignment="1">
      <alignment horizontal="center" vertical="center" wrapText="1"/>
    </xf>
    <xf numFmtId="0" fontId="6" fillId="3" borderId="20" xfId="174" applyFont="1" applyFill="1" applyBorder="1" applyAlignment="1">
      <alignment horizontal="center" vertical="center" wrapText="1"/>
    </xf>
    <xf numFmtId="0" fontId="64" fillId="0" borderId="14" xfId="163" applyBorder="1" applyAlignment="1">
      <alignment horizontal="center" vertical="center" wrapText="1"/>
    </xf>
    <xf numFmtId="0" fontId="64" fillId="0" borderId="17" xfId="163" applyBorder="1" applyAlignment="1">
      <alignment horizontal="center" vertical="center" wrapText="1"/>
    </xf>
    <xf numFmtId="0" fontId="64" fillId="0" borderId="18" xfId="163" applyBorder="1" applyAlignment="1">
      <alignment horizontal="center" vertical="center" wrapText="1"/>
    </xf>
    <xf numFmtId="0" fontId="64" fillId="0" borderId="19" xfId="163" applyBorder="1" applyAlignment="1">
      <alignment horizontal="center" vertical="center" wrapText="1"/>
    </xf>
    <xf numFmtId="0" fontId="64" fillId="0" borderId="20" xfId="163" applyBorder="1" applyAlignment="1">
      <alignment horizontal="center" vertical="center" wrapText="1"/>
    </xf>
    <xf numFmtId="0" fontId="6" fillId="3" borderId="13" xfId="174" applyFont="1" applyFill="1" applyBorder="1" applyAlignment="1">
      <alignment horizontal="center" vertical="center"/>
    </xf>
    <xf numFmtId="0" fontId="6" fillId="3" borderId="14" xfId="174" applyFont="1" applyFill="1" applyBorder="1" applyAlignment="1">
      <alignment horizontal="center" vertical="center"/>
    </xf>
    <xf numFmtId="0" fontId="6" fillId="3" borderId="17" xfId="174" applyFont="1" applyFill="1" applyBorder="1" applyAlignment="1">
      <alignment horizontal="center" vertical="center"/>
    </xf>
    <xf numFmtId="0" fontId="6" fillId="3" borderId="18" xfId="174" applyFont="1" applyFill="1" applyBorder="1" applyAlignment="1">
      <alignment horizontal="center" vertical="center"/>
    </xf>
    <xf numFmtId="0" fontId="6" fillId="3" borderId="19" xfId="174" applyFont="1" applyFill="1" applyBorder="1" applyAlignment="1">
      <alignment horizontal="center" vertical="center"/>
    </xf>
    <xf numFmtId="0" fontId="6" fillId="3" borderId="20" xfId="174" applyFont="1" applyFill="1" applyBorder="1" applyAlignment="1">
      <alignment horizontal="center" vertical="center"/>
    </xf>
    <xf numFmtId="14" fontId="9" fillId="0" borderId="13" xfId="174" applyNumberFormat="1" applyFont="1" applyBorder="1" applyAlignment="1">
      <alignment horizontal="center" vertical="center" wrapText="1"/>
    </xf>
    <xf numFmtId="14" fontId="9" fillId="0" borderId="14" xfId="174" applyNumberFormat="1" applyFont="1" applyBorder="1" applyAlignment="1">
      <alignment horizontal="center" vertical="center" wrapText="1"/>
    </xf>
    <xf numFmtId="14" fontId="9" fillId="0" borderId="17" xfId="174" applyNumberFormat="1" applyFont="1" applyBorder="1" applyAlignment="1">
      <alignment horizontal="center" vertical="center" wrapText="1"/>
    </xf>
    <xf numFmtId="14" fontId="9" fillId="0" borderId="18" xfId="174" applyNumberFormat="1" applyFont="1" applyBorder="1" applyAlignment="1">
      <alignment horizontal="center" vertical="center" wrapText="1"/>
    </xf>
    <xf numFmtId="14" fontId="9" fillId="0" borderId="19" xfId="174" applyNumberFormat="1" applyFont="1" applyBorder="1" applyAlignment="1">
      <alignment horizontal="center" vertical="center" wrapText="1"/>
    </xf>
    <xf numFmtId="14" fontId="9" fillId="0" borderId="20" xfId="174" applyNumberFormat="1" applyFont="1" applyBorder="1" applyAlignment="1">
      <alignment horizontal="center" vertical="center" wrapText="1"/>
    </xf>
    <xf numFmtId="14" fontId="2" fillId="0" borderId="13" xfId="174" quotePrefix="1" applyNumberFormat="1" applyFont="1" applyBorder="1" applyAlignment="1">
      <alignment horizontal="center" vertical="center" wrapText="1" shrinkToFit="1"/>
    </xf>
    <xf numFmtId="0" fontId="64" fillId="0" borderId="14" xfId="19" applyBorder="1" applyAlignment="1">
      <alignment horizontal="center" vertical="center" wrapText="1" shrinkToFit="1"/>
    </xf>
    <xf numFmtId="0" fontId="64" fillId="0" borderId="17" xfId="19" applyBorder="1" applyAlignment="1">
      <alignment horizontal="center" vertical="center" wrapText="1" shrinkToFit="1"/>
    </xf>
    <xf numFmtId="0" fontId="64" fillId="0" borderId="18" xfId="19" applyBorder="1" applyAlignment="1">
      <alignment horizontal="center" vertical="center" wrapText="1" shrinkToFit="1"/>
    </xf>
    <xf numFmtId="0" fontId="64" fillId="0" borderId="19" xfId="19" applyBorder="1" applyAlignment="1">
      <alignment horizontal="center" vertical="center" wrapText="1" shrinkToFit="1"/>
    </xf>
    <xf numFmtId="0" fontId="64" fillId="0" borderId="20" xfId="19" applyBorder="1" applyAlignment="1">
      <alignment horizontal="center" vertical="center" wrapText="1" shrinkToFit="1"/>
    </xf>
    <xf numFmtId="178" fontId="9" fillId="0" borderId="13" xfId="174" quotePrefix="1" applyNumberFormat="1" applyFont="1" applyBorder="1" applyAlignment="1">
      <alignment horizontal="center" vertical="center"/>
    </xf>
    <xf numFmtId="178" fontId="9" fillId="0" borderId="14" xfId="174" applyNumberFormat="1" applyFont="1" applyBorder="1" applyAlignment="1">
      <alignment horizontal="center" vertical="center"/>
    </xf>
    <xf numFmtId="178" fontId="9" fillId="0" borderId="17" xfId="174" applyNumberFormat="1" applyFont="1" applyBorder="1" applyAlignment="1">
      <alignment horizontal="center" vertical="center"/>
    </xf>
    <xf numFmtId="178" fontId="9" fillId="0" borderId="18" xfId="174" applyNumberFormat="1" applyFont="1" applyBorder="1" applyAlignment="1">
      <alignment horizontal="center" vertical="center"/>
    </xf>
    <xf numFmtId="178" fontId="9" fillId="0" borderId="19" xfId="174" applyNumberFormat="1" applyFont="1" applyBorder="1" applyAlignment="1">
      <alignment horizontal="center" vertical="center"/>
    </xf>
    <xf numFmtId="178" fontId="9" fillId="0" borderId="20" xfId="174" applyNumberFormat="1" applyFont="1" applyBorder="1" applyAlignment="1">
      <alignment horizontal="center" vertical="center"/>
    </xf>
    <xf numFmtId="0" fontId="6" fillId="3" borderId="10" xfId="172" applyFont="1" applyFill="1" applyBorder="1" applyAlignment="1">
      <alignment horizontal="center"/>
    </xf>
    <xf numFmtId="0" fontId="64" fillId="0" borderId="11" xfId="19" applyBorder="1" applyAlignment="1">
      <alignment horizontal="center"/>
    </xf>
    <xf numFmtId="0" fontId="64" fillId="0" borderId="24" xfId="19" applyBorder="1" applyAlignment="1">
      <alignment horizontal="center"/>
    </xf>
    <xf numFmtId="0" fontId="64" fillId="0" borderId="26" xfId="19" applyBorder="1" applyAlignment="1">
      <alignment horizontal="center"/>
    </xf>
    <xf numFmtId="0" fontId="6" fillId="0" borderId="13" xfId="107" applyFont="1" applyFill="1" applyBorder="1" applyAlignment="1">
      <alignment horizontal="center" vertical="center" wrapText="1"/>
    </xf>
    <xf numFmtId="0" fontId="6" fillId="3" borderId="6" xfId="107" applyFont="1" applyFill="1" applyBorder="1" applyAlignment="1">
      <alignment horizontal="center" wrapText="1"/>
    </xf>
    <xf numFmtId="0" fontId="64" fillId="0" borderId="7" xfId="19" applyBorder="1" applyAlignment="1">
      <alignment horizontal="center" wrapText="1"/>
    </xf>
    <xf numFmtId="0" fontId="64" fillId="0" borderId="8" xfId="19" applyBorder="1" applyAlignment="1">
      <alignment horizontal="center" wrapText="1"/>
    </xf>
    <xf numFmtId="0" fontId="9" fillId="0" borderId="6" xfId="107" applyFont="1" applyBorder="1" applyAlignment="1">
      <alignment horizontal="center" wrapText="1"/>
    </xf>
    <xf numFmtId="0" fontId="9" fillId="0" borderId="7" xfId="107" applyFont="1" applyBorder="1" applyAlignment="1">
      <alignment horizontal="center" wrapText="1"/>
    </xf>
    <xf numFmtId="0" fontId="9" fillId="0" borderId="8" xfId="107" applyFont="1" applyBorder="1" applyAlignment="1">
      <alignment horizontal="center" wrapText="1"/>
    </xf>
    <xf numFmtId="0" fontId="9" fillId="0" borderId="6" xfId="19" applyFont="1" applyBorder="1" applyAlignment="1">
      <alignment horizontal="center" wrapText="1"/>
    </xf>
    <xf numFmtId="0" fontId="9" fillId="0" borderId="13" xfId="172" applyNumberFormat="1" applyFont="1" applyFill="1" applyBorder="1" applyAlignment="1">
      <alignment horizontal="center" vertical="center" wrapText="1"/>
    </xf>
    <xf numFmtId="0" fontId="64" fillId="0" borderId="14" xfId="19" applyNumberFormat="1" applyBorder="1" applyAlignment="1">
      <alignment horizontal="center" vertical="center" wrapText="1"/>
    </xf>
    <xf numFmtId="0" fontId="64" fillId="0" borderId="17" xfId="19" applyNumberFormat="1" applyBorder="1" applyAlignment="1">
      <alignment horizontal="center" vertical="center" wrapText="1"/>
    </xf>
    <xf numFmtId="0" fontId="64" fillId="0" borderId="16" xfId="19" applyNumberFormat="1" applyBorder="1" applyAlignment="1">
      <alignment horizontal="center" vertical="center" wrapText="1"/>
    </xf>
    <xf numFmtId="0" fontId="64" fillId="0" borderId="5" xfId="19" applyNumberFormat="1" applyBorder="1" applyAlignment="1">
      <alignment horizontal="center" vertical="center" wrapText="1"/>
    </xf>
    <xf numFmtId="0" fontId="64" fillId="0" borderId="15" xfId="19" applyNumberFormat="1" applyBorder="1" applyAlignment="1">
      <alignment horizontal="center" vertical="center" wrapText="1"/>
    </xf>
    <xf numFmtId="0" fontId="6" fillId="3" borderId="10" xfId="107" applyFont="1" applyFill="1" applyBorder="1" applyAlignment="1">
      <alignment horizontal="center" vertical="center" wrapText="1"/>
    </xf>
    <xf numFmtId="0" fontId="64" fillId="0" borderId="11" xfId="19" applyBorder="1" applyAlignment="1">
      <alignment horizontal="center" vertical="center" wrapText="1"/>
    </xf>
    <xf numFmtId="0" fontId="6" fillId="3" borderId="10" xfId="107" applyFont="1" applyFill="1" applyBorder="1" applyAlignment="1">
      <alignment horizontal="center" wrapText="1"/>
    </xf>
    <xf numFmtId="0" fontId="64" fillId="0" borderId="26" xfId="19" applyBorder="1" applyAlignment="1">
      <alignment horizontal="center" wrapText="1"/>
    </xf>
    <xf numFmtId="0" fontId="6" fillId="3" borderId="6" xfId="107" applyFont="1" applyFill="1" applyBorder="1" applyAlignment="1">
      <alignment horizontal="center" shrinkToFit="1"/>
    </xf>
    <xf numFmtId="0" fontId="64" fillId="0" borderId="7" xfId="19" applyBorder="1" applyAlignment="1">
      <alignment horizontal="center" shrinkToFit="1"/>
    </xf>
    <xf numFmtId="0" fontId="64" fillId="0" borderId="8" xfId="19" applyBorder="1" applyAlignment="1">
      <alignment horizontal="center" shrinkToFit="1"/>
    </xf>
    <xf numFmtId="0" fontId="9" fillId="0" borderId="7" xfId="19" applyFont="1" applyBorder="1" applyAlignment="1">
      <alignment horizontal="center" wrapText="1"/>
    </xf>
    <xf numFmtId="0" fontId="9" fillId="0" borderId="8" xfId="19" applyFont="1" applyBorder="1" applyAlignment="1">
      <alignment horizontal="center" wrapText="1"/>
    </xf>
    <xf numFmtId="0" fontId="64" fillId="0" borderId="24" xfId="19" applyBorder="1" applyAlignment="1">
      <alignment horizontal="center" vertical="center" wrapText="1"/>
    </xf>
    <xf numFmtId="0" fontId="6" fillId="3" borderId="10" xfId="107" applyFont="1" applyFill="1" applyBorder="1" applyAlignment="1">
      <alignment horizontal="center" shrinkToFit="1"/>
    </xf>
    <xf numFmtId="0" fontId="64" fillId="0" borderId="11" xfId="19" applyBorder="1" applyAlignment="1">
      <alignment horizontal="center" shrinkToFit="1"/>
    </xf>
    <xf numFmtId="0" fontId="64" fillId="0" borderId="24" xfId="19" applyBorder="1" applyAlignment="1">
      <alignment horizontal="center" shrinkToFit="1"/>
    </xf>
    <xf numFmtId="0" fontId="9" fillId="0" borderId="10" xfId="107" applyFont="1" applyBorder="1" applyAlignment="1">
      <alignment horizontal="center" shrinkToFit="1"/>
    </xf>
    <xf numFmtId="49" fontId="2" fillId="0" borderId="65" xfId="0" applyNumberFormat="1" applyFont="1" applyBorder="1" applyAlignment="1">
      <alignment horizontal="left" vertical="center"/>
    </xf>
    <xf numFmtId="49" fontId="2" fillId="0" borderId="66" xfId="0" applyNumberFormat="1" applyFont="1" applyBorder="1" applyAlignment="1">
      <alignment horizontal="left" vertical="center"/>
    </xf>
    <xf numFmtId="49" fontId="2" fillId="0" borderId="67" xfId="0" applyNumberFormat="1" applyFont="1" applyBorder="1" applyAlignment="1">
      <alignment horizontal="left" vertical="center"/>
    </xf>
    <xf numFmtId="14" fontId="2" fillId="0" borderId="65" xfId="0" applyNumberFormat="1" applyFont="1" applyBorder="1" applyAlignment="1">
      <alignment horizontal="center" vertical="center"/>
    </xf>
    <xf numFmtId="14" fontId="2" fillId="0" borderId="66" xfId="0" applyNumberFormat="1" applyFont="1" applyBorder="1" applyAlignment="1">
      <alignment horizontal="center" vertical="center"/>
    </xf>
    <xf numFmtId="14" fontId="2" fillId="0" borderId="67" xfId="0" applyNumberFormat="1" applyFont="1" applyBorder="1" applyAlignment="1">
      <alignment horizontal="center" vertical="center"/>
    </xf>
    <xf numFmtId="0" fontId="2" fillId="0" borderId="65" xfId="0" applyFont="1" applyBorder="1" applyAlignment="1">
      <alignment horizontal="center" vertical="center"/>
    </xf>
    <xf numFmtId="0" fontId="2" fillId="0" borderId="66" xfId="0" applyFont="1" applyBorder="1" applyAlignment="1">
      <alignment horizontal="center" vertical="center"/>
    </xf>
    <xf numFmtId="0" fontId="2" fillId="0" borderId="67" xfId="0" applyFont="1" applyBorder="1" applyAlignment="1">
      <alignment horizontal="center" vertical="center"/>
    </xf>
    <xf numFmtId="0" fontId="9" fillId="0" borderId="42" xfId="172" applyFont="1" applyBorder="1" applyAlignment="1">
      <alignment horizontal="center" vertical="center"/>
    </xf>
    <xf numFmtId="0" fontId="9" fillId="0" borderId="43" xfId="172" applyFont="1" applyBorder="1" applyAlignment="1">
      <alignment horizontal="center" vertical="center"/>
    </xf>
    <xf numFmtId="0" fontId="9" fillId="0" borderId="13" xfId="172" applyFont="1" applyBorder="1" applyAlignment="1">
      <alignment horizontal="center" vertical="center" wrapText="1"/>
    </xf>
    <xf numFmtId="0" fontId="64" fillId="0" borderId="14" xfId="21" applyBorder="1" applyAlignment="1">
      <alignment horizontal="center" vertical="center" wrapText="1"/>
    </xf>
    <xf numFmtId="0" fontId="64" fillId="0" borderId="17" xfId="21" applyBorder="1" applyAlignment="1">
      <alignment horizontal="center" vertical="center" wrapText="1"/>
    </xf>
    <xf numFmtId="0" fontId="64" fillId="0" borderId="16" xfId="21" applyBorder="1" applyAlignment="1">
      <alignment horizontal="center" vertical="center" wrapText="1"/>
    </xf>
    <xf numFmtId="0" fontId="64" fillId="0" borderId="5" xfId="21" applyBorder="1" applyAlignment="1">
      <alignment horizontal="center" vertical="center" wrapText="1"/>
    </xf>
    <xf numFmtId="0" fontId="64" fillId="0" borderId="15" xfId="21" applyBorder="1" applyAlignment="1">
      <alignment horizontal="center" vertical="center" wrapText="1"/>
    </xf>
    <xf numFmtId="0" fontId="3" fillId="0" borderId="1" xfId="107" applyFont="1" applyBorder="1" applyAlignment="1">
      <alignment horizontal="center" vertical="center" wrapText="1"/>
    </xf>
    <xf numFmtId="0" fontId="4" fillId="0" borderId="2" xfId="21" applyFont="1" applyBorder="1" applyAlignment="1">
      <alignment horizontal="center" vertical="center" wrapText="1"/>
    </xf>
    <xf numFmtId="0" fontId="4" fillId="0" borderId="9" xfId="21" applyFont="1" applyBorder="1" applyAlignment="1">
      <alignment horizontal="center" vertical="center" wrapText="1"/>
    </xf>
    <xf numFmtId="0" fontId="4" fillId="0" borderId="3" xfId="21" applyFont="1" applyBorder="1" applyAlignment="1">
      <alignment horizontal="center" vertical="center" wrapText="1"/>
    </xf>
    <xf numFmtId="0" fontId="4" fillId="0" borderId="0" xfId="21" applyFont="1" applyAlignment="1">
      <alignment horizontal="center" vertical="center" wrapText="1"/>
    </xf>
    <xf numFmtId="0" fontId="4" fillId="0" borderId="12" xfId="21" applyFont="1" applyBorder="1" applyAlignment="1">
      <alignment horizontal="center" vertical="center" wrapText="1"/>
    </xf>
    <xf numFmtId="0" fontId="4" fillId="0" borderId="4" xfId="21" applyFont="1" applyBorder="1" applyAlignment="1">
      <alignment horizontal="center" vertical="center" wrapText="1"/>
    </xf>
    <xf numFmtId="0" fontId="4" fillId="0" borderId="5" xfId="21" applyFont="1" applyBorder="1" applyAlignment="1">
      <alignment horizontal="center" vertical="center" wrapText="1"/>
    </xf>
    <xf numFmtId="0" fontId="4" fillId="0" borderId="15" xfId="21" applyFont="1" applyBorder="1" applyAlignment="1">
      <alignment horizontal="center" vertical="center" wrapText="1"/>
    </xf>
    <xf numFmtId="49" fontId="2" fillId="0" borderId="62" xfId="0" applyNumberFormat="1" applyFont="1" applyBorder="1" applyAlignment="1">
      <alignment horizontal="left" vertical="center"/>
    </xf>
    <xf numFmtId="49" fontId="2" fillId="0" borderId="63" xfId="0" applyNumberFormat="1" applyFont="1" applyBorder="1" applyAlignment="1">
      <alignment horizontal="left" vertical="center"/>
    </xf>
    <xf numFmtId="49" fontId="2" fillId="0" borderId="64" xfId="0" applyNumberFormat="1" applyFont="1" applyBorder="1" applyAlignment="1">
      <alignment horizontal="left" vertical="center"/>
    </xf>
    <xf numFmtId="14" fontId="2" fillId="0" borderId="62" xfId="0" applyNumberFormat="1" applyFont="1" applyBorder="1" applyAlignment="1">
      <alignment horizontal="center" vertical="center"/>
    </xf>
    <xf numFmtId="14" fontId="2" fillId="0" borderId="63" xfId="0" applyNumberFormat="1" applyFont="1" applyBorder="1" applyAlignment="1">
      <alignment horizontal="center" vertical="center"/>
    </xf>
    <xf numFmtId="14" fontId="2" fillId="0" borderId="64" xfId="0" applyNumberFormat="1" applyFont="1" applyBorder="1" applyAlignment="1">
      <alignment horizontal="center" vertical="center"/>
    </xf>
    <xf numFmtId="0" fontId="2" fillId="0" borderId="62" xfId="0" applyFont="1" applyBorder="1" applyAlignment="1">
      <alignment horizontal="center" vertical="center"/>
    </xf>
    <xf numFmtId="0" fontId="2" fillId="0" borderId="63" xfId="0" applyFont="1" applyBorder="1" applyAlignment="1">
      <alignment horizontal="center" vertical="center"/>
    </xf>
    <xf numFmtId="0" fontId="2" fillId="0" borderId="64" xfId="0" applyFont="1" applyBorder="1" applyAlignment="1">
      <alignment horizontal="center" vertical="center"/>
    </xf>
    <xf numFmtId="49" fontId="2" fillId="0" borderId="62" xfId="0" quotePrefix="1" applyNumberFormat="1" applyFont="1" applyBorder="1" applyAlignment="1">
      <alignment horizontal="left" vertical="center"/>
    </xf>
    <xf numFmtId="49" fontId="2" fillId="0" borderId="63" xfId="0" quotePrefix="1" applyNumberFormat="1" applyFont="1" applyBorder="1" applyAlignment="1">
      <alignment horizontal="left" vertical="center"/>
    </xf>
    <xf numFmtId="49" fontId="2" fillId="0" borderId="64" xfId="0" quotePrefix="1" applyNumberFormat="1" applyFont="1" applyBorder="1" applyAlignment="1">
      <alignment horizontal="left" vertical="center"/>
    </xf>
    <xf numFmtId="0" fontId="2" fillId="0" borderId="70" xfId="0" applyFont="1" applyBorder="1" applyAlignment="1">
      <alignment horizontal="center" vertical="center"/>
    </xf>
    <xf numFmtId="0" fontId="2" fillId="0" borderId="71" xfId="0" applyFont="1" applyBorder="1" applyAlignment="1">
      <alignment horizontal="center" vertical="center"/>
    </xf>
    <xf numFmtId="0" fontId="2" fillId="0" borderId="73" xfId="0" applyFont="1" applyBorder="1" applyAlignment="1">
      <alignment horizontal="center" vertical="center"/>
    </xf>
    <xf numFmtId="0" fontId="2" fillId="0" borderId="22" xfId="107" applyFont="1" applyBorder="1" applyAlignment="1">
      <alignment horizontal="center" wrapText="1"/>
    </xf>
    <xf numFmtId="0" fontId="2" fillId="0" borderId="23" xfId="107" applyFont="1" applyBorder="1" applyAlignment="1">
      <alignment horizontal="center" wrapText="1"/>
    </xf>
    <xf numFmtId="0" fontId="2" fillId="0" borderId="23" xfId="107" quotePrefix="1" applyFont="1" applyBorder="1" applyAlignment="1">
      <alignment horizontal="left" wrapText="1"/>
    </xf>
    <xf numFmtId="0" fontId="8" fillId="0" borderId="23" xfId="21" applyFont="1" applyBorder="1" applyAlignment="1">
      <alignment horizontal="left" wrapText="1"/>
    </xf>
    <xf numFmtId="0" fontId="8" fillId="0" borderId="25" xfId="21" applyFont="1" applyBorder="1" applyAlignment="1">
      <alignment horizontal="left" wrapText="1"/>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49" fontId="2" fillId="0" borderId="70" xfId="0" quotePrefix="1" applyNumberFormat="1" applyFont="1" applyBorder="1" applyAlignment="1">
      <alignment horizontal="left" vertical="center"/>
    </xf>
    <xf numFmtId="49" fontId="2" fillId="0" borderId="71" xfId="0" applyNumberFormat="1" applyFont="1" applyBorder="1" applyAlignment="1">
      <alignment horizontal="left" vertical="center"/>
    </xf>
    <xf numFmtId="49" fontId="2" fillId="0" borderId="73" xfId="0" applyNumberFormat="1" applyFont="1" applyBorder="1" applyAlignment="1">
      <alignment horizontal="left" vertical="center"/>
    </xf>
    <xf numFmtId="14" fontId="2" fillId="0" borderId="70" xfId="0" applyNumberFormat="1" applyFont="1" applyBorder="1" applyAlignment="1">
      <alignment horizontal="center" vertical="center"/>
    </xf>
    <xf numFmtId="14" fontId="2" fillId="0" borderId="71" xfId="0" applyNumberFormat="1" applyFont="1" applyBorder="1" applyAlignment="1">
      <alignment horizontal="center" vertical="center"/>
    </xf>
    <xf numFmtId="14" fontId="2" fillId="0" borderId="73" xfId="0" applyNumberFormat="1" applyFont="1" applyBorder="1" applyAlignment="1">
      <alignment horizontal="center" vertical="center"/>
    </xf>
    <xf numFmtId="0" fontId="64" fillId="0" borderId="11" xfId="21" applyBorder="1" applyAlignment="1">
      <alignment horizontal="center" wrapText="1"/>
    </xf>
    <xf numFmtId="0" fontId="64" fillId="0" borderId="24" xfId="21" applyBorder="1" applyAlignment="1">
      <alignment horizontal="center" wrapText="1"/>
    </xf>
    <xf numFmtId="0" fontId="64" fillId="0" borderId="26" xfId="21" applyBorder="1" applyAlignment="1">
      <alignment horizontal="center" wrapText="1"/>
    </xf>
    <xf numFmtId="0" fontId="6" fillId="0" borderId="13" xfId="107" applyFont="1" applyBorder="1" applyAlignment="1">
      <alignment horizontal="center" vertical="center" wrapText="1"/>
    </xf>
    <xf numFmtId="0" fontId="64" fillId="0" borderId="7" xfId="21" applyBorder="1" applyAlignment="1">
      <alignment horizontal="center" shrinkToFit="1"/>
    </xf>
    <xf numFmtId="0" fontId="64" fillId="0" borderId="8" xfId="21" applyBorder="1" applyAlignment="1">
      <alignment horizontal="center" shrinkToFit="1"/>
    </xf>
    <xf numFmtId="0" fontId="64" fillId="0" borderId="7" xfId="21" applyBorder="1" applyAlignment="1">
      <alignment horizontal="center" wrapText="1"/>
    </xf>
    <xf numFmtId="0" fontId="64" fillId="0" borderId="8" xfId="21" applyBorder="1" applyAlignment="1">
      <alignment horizontal="center" wrapText="1"/>
    </xf>
    <xf numFmtId="0" fontId="9" fillId="0" borderId="6" xfId="21" applyFont="1" applyBorder="1" applyAlignment="1">
      <alignment horizontal="center" wrapText="1"/>
    </xf>
    <xf numFmtId="0" fontId="9" fillId="0" borderId="7" xfId="21" applyFont="1" applyBorder="1" applyAlignment="1">
      <alignment horizontal="center" wrapText="1"/>
    </xf>
    <xf numFmtId="0" fontId="9" fillId="0" borderId="8" xfId="21" applyFont="1" applyBorder="1" applyAlignment="1">
      <alignment horizontal="center" wrapText="1"/>
    </xf>
    <xf numFmtId="2" fontId="9" fillId="0" borderId="13" xfId="172" applyNumberFormat="1" applyFont="1" applyBorder="1" applyAlignment="1">
      <alignment horizontal="center" vertical="center" wrapText="1"/>
    </xf>
    <xf numFmtId="2" fontId="64" fillId="0" borderId="14" xfId="21" applyNumberFormat="1" applyBorder="1" applyAlignment="1">
      <alignment horizontal="center" vertical="center" wrapText="1"/>
    </xf>
    <xf numFmtId="2" fontId="64" fillId="0" borderId="27" xfId="21" applyNumberFormat="1" applyBorder="1" applyAlignment="1">
      <alignment horizontal="center" vertical="center" wrapText="1"/>
    </xf>
    <xf numFmtId="2" fontId="64" fillId="0" borderId="16" xfId="21" applyNumberFormat="1" applyBorder="1" applyAlignment="1">
      <alignment horizontal="center" vertical="center" wrapText="1"/>
    </xf>
    <xf numFmtId="2" fontId="64" fillId="0" borderId="5" xfId="21" applyNumberFormat="1" applyBorder="1" applyAlignment="1">
      <alignment horizontal="center" vertical="center" wrapText="1"/>
    </xf>
    <xf numFmtId="2" fontId="64" fillId="0" borderId="28" xfId="21" applyNumberFormat="1" applyBorder="1" applyAlignment="1">
      <alignment horizontal="center" vertical="center" wrapText="1"/>
    </xf>
    <xf numFmtId="0" fontId="64" fillId="0" borderId="11" xfId="21" applyBorder="1" applyAlignment="1">
      <alignment horizontal="center" vertical="center" wrapText="1"/>
    </xf>
    <xf numFmtId="0" fontId="64" fillId="0" borderId="24" xfId="21" applyBorder="1" applyAlignment="1">
      <alignment horizontal="center" vertical="center" wrapText="1"/>
    </xf>
    <xf numFmtId="0" fontId="64" fillId="0" borderId="11" xfId="21" applyBorder="1" applyAlignment="1">
      <alignment horizontal="center" shrinkToFit="1"/>
    </xf>
    <xf numFmtId="0" fontId="64" fillId="0" borderId="24" xfId="21" applyBorder="1" applyAlignment="1">
      <alignment horizontal="center" shrinkToFit="1"/>
    </xf>
    <xf numFmtId="0" fontId="9" fillId="0" borderId="11" xfId="107" applyFont="1" applyBorder="1" applyAlignment="1">
      <alignment horizontal="center" wrapText="1"/>
    </xf>
    <xf numFmtId="0" fontId="9" fillId="0" borderId="24" xfId="107" applyFont="1" applyBorder="1" applyAlignment="1">
      <alignment horizontal="center" wrapText="1"/>
    </xf>
    <xf numFmtId="0" fontId="7" fillId="0" borderId="16" xfId="107" applyFont="1" applyBorder="1" applyAlignment="1">
      <alignment horizontal="center" vertical="center" shrinkToFit="1"/>
    </xf>
    <xf numFmtId="0" fontId="8" fillId="0" borderId="5" xfId="21" applyFont="1" applyBorder="1" applyAlignment="1">
      <alignment horizontal="center" vertical="center" shrinkToFit="1"/>
    </xf>
    <xf numFmtId="0" fontId="8" fillId="0" borderId="15" xfId="21" applyFont="1" applyBorder="1" applyAlignment="1">
      <alignment horizontal="center" vertical="center" shrinkToFit="1"/>
    </xf>
    <xf numFmtId="0" fontId="64" fillId="0" borderId="23" xfId="21" applyBorder="1" applyAlignment="1">
      <alignment horizontal="center" shrinkToFit="1"/>
    </xf>
    <xf numFmtId="0" fontId="64" fillId="0" borderId="25" xfId="21" applyBorder="1" applyAlignment="1">
      <alignment horizontal="center" shrinkToFit="1"/>
    </xf>
    <xf numFmtId="49" fontId="9" fillId="0" borderId="62" xfId="173" applyNumberFormat="1" applyFont="1" applyBorder="1" applyAlignment="1">
      <alignment horizontal="center" vertical="center"/>
    </xf>
    <xf numFmtId="49" fontId="9" fillId="0" borderId="63" xfId="173" applyNumberFormat="1" applyFont="1" applyBorder="1" applyAlignment="1">
      <alignment horizontal="center" vertical="center"/>
    </xf>
    <xf numFmtId="49" fontId="9" fillId="0" borderId="64" xfId="173" applyNumberFormat="1" applyFont="1" applyBorder="1" applyAlignment="1">
      <alignment horizontal="center" vertical="center"/>
    </xf>
    <xf numFmtId="0" fontId="9" fillId="0" borderId="62" xfId="173" applyFont="1" applyBorder="1" applyAlignment="1">
      <alignment vertical="center" wrapText="1"/>
    </xf>
    <xf numFmtId="0" fontId="9" fillId="0" borderId="63" xfId="173" applyFont="1" applyBorder="1" applyAlignment="1">
      <alignment vertical="center"/>
    </xf>
    <xf numFmtId="0" fontId="9" fillId="0" borderId="64" xfId="173" applyFont="1" applyBorder="1" applyAlignment="1">
      <alignment vertical="center"/>
    </xf>
    <xf numFmtId="0" fontId="9" fillId="0" borderId="62" xfId="19" applyFont="1" applyBorder="1" applyAlignment="1">
      <alignment horizontal="left" vertical="center"/>
    </xf>
    <xf numFmtId="0" fontId="9" fillId="0" borderId="63" xfId="19" applyFont="1" applyBorder="1" applyAlignment="1">
      <alignment horizontal="left" vertical="center"/>
    </xf>
    <xf numFmtId="0" fontId="9" fillId="0" borderId="64" xfId="19" applyFont="1" applyBorder="1" applyAlignment="1">
      <alignment horizontal="left" vertical="center"/>
    </xf>
    <xf numFmtId="14" fontId="9" fillId="0" borderId="62" xfId="19" applyNumberFormat="1" applyFont="1" applyBorder="1" applyAlignment="1">
      <alignment horizontal="center" vertical="center" readingOrder="1"/>
    </xf>
    <xf numFmtId="0" fontId="9" fillId="0" borderId="63" xfId="19" applyFont="1" applyBorder="1" applyAlignment="1">
      <alignment horizontal="center" vertical="center" readingOrder="1"/>
    </xf>
    <xf numFmtId="0" fontId="9" fillId="0" borderId="64" xfId="19" applyFont="1" applyBorder="1" applyAlignment="1">
      <alignment horizontal="center" vertical="center" readingOrder="1"/>
    </xf>
    <xf numFmtId="0" fontId="9" fillId="0" borderId="63" xfId="173" applyFont="1" applyBorder="1" applyAlignment="1">
      <alignment vertical="center" wrapText="1"/>
    </xf>
    <xf numFmtId="0" fontId="9" fillId="0" borderId="64" xfId="173" applyFont="1" applyBorder="1" applyAlignment="1">
      <alignment vertical="center" wrapText="1"/>
    </xf>
    <xf numFmtId="0" fontId="9" fillId="0" borderId="62" xfId="19" applyFont="1" applyBorder="1" applyAlignment="1">
      <alignment horizontal="center" vertical="center" readingOrder="1"/>
    </xf>
    <xf numFmtId="49" fontId="9" fillId="0" borderId="65" xfId="173" applyNumberFormat="1" applyFont="1" applyBorder="1" applyAlignment="1">
      <alignment horizontal="center" vertical="center"/>
    </xf>
    <xf numFmtId="49" fontId="9" fillId="0" borderId="66" xfId="173" applyNumberFormat="1" applyFont="1" applyBorder="1" applyAlignment="1">
      <alignment horizontal="center" vertical="center"/>
    </xf>
    <xf numFmtId="49" fontId="9" fillId="0" borderId="67" xfId="173" applyNumberFormat="1" applyFont="1" applyBorder="1" applyAlignment="1">
      <alignment horizontal="center" vertical="center"/>
    </xf>
    <xf numFmtId="0" fontId="9" fillId="0" borderId="65" xfId="173" applyFont="1" applyBorder="1" applyAlignment="1">
      <alignment horizontal="left" vertical="center"/>
    </xf>
    <xf numFmtId="0" fontId="9" fillId="0" borderId="66" xfId="173" applyFont="1" applyBorder="1" applyAlignment="1">
      <alignment horizontal="left" vertical="center"/>
    </xf>
    <xf numFmtId="0" fontId="9" fillId="0" borderId="67" xfId="173" applyFont="1" applyBorder="1" applyAlignment="1">
      <alignment horizontal="left" vertical="center"/>
    </xf>
    <xf numFmtId="0" fontId="9" fillId="0" borderId="65" xfId="19" applyFont="1" applyBorder="1" applyAlignment="1">
      <alignment horizontal="left" vertical="center"/>
    </xf>
    <xf numFmtId="0" fontId="9" fillId="0" borderId="66" xfId="19" applyFont="1" applyBorder="1" applyAlignment="1">
      <alignment horizontal="left" vertical="center"/>
    </xf>
    <xf numFmtId="0" fontId="9" fillId="0" borderId="67" xfId="19" applyFont="1" applyBorder="1" applyAlignment="1">
      <alignment horizontal="left" vertical="center"/>
    </xf>
    <xf numFmtId="0" fontId="9" fillId="0" borderId="65" xfId="19" applyFont="1" applyBorder="1" applyAlignment="1">
      <alignment horizontal="center" vertical="center" readingOrder="1"/>
    </xf>
    <xf numFmtId="0" fontId="9" fillId="0" borderId="66" xfId="19" applyFont="1" applyBorder="1" applyAlignment="1">
      <alignment horizontal="center" vertical="center" readingOrder="1"/>
    </xf>
    <xf numFmtId="0" fontId="9" fillId="0" borderId="67" xfId="19" applyFont="1" applyBorder="1" applyAlignment="1">
      <alignment horizontal="center" vertical="center" readingOrder="1"/>
    </xf>
    <xf numFmtId="0" fontId="9" fillId="0" borderId="62" xfId="173" applyFont="1" applyBorder="1" applyAlignment="1">
      <alignment horizontal="left" vertical="center" wrapText="1"/>
    </xf>
    <xf numFmtId="0" fontId="9" fillId="0" borderId="63" xfId="173" applyFont="1" applyBorder="1" applyAlignment="1">
      <alignment horizontal="left" vertical="center"/>
    </xf>
    <xf numFmtId="0" fontId="9" fillId="0" borderId="64" xfId="173" applyFont="1" applyBorder="1" applyAlignment="1">
      <alignment horizontal="left" vertical="center"/>
    </xf>
    <xf numFmtId="0" fontId="9" fillId="0" borderId="62" xfId="173" applyFont="1" applyBorder="1" applyAlignment="1">
      <alignment horizontal="left" vertical="top" wrapText="1"/>
    </xf>
    <xf numFmtId="0" fontId="9" fillId="0" borderId="63" xfId="173" applyFont="1" applyBorder="1" applyAlignment="1">
      <alignment horizontal="left" vertical="top" wrapText="1"/>
    </xf>
    <xf numFmtId="0" fontId="9" fillId="0" borderId="64" xfId="173" applyFont="1" applyBorder="1" applyAlignment="1">
      <alignment horizontal="left" vertical="top" wrapText="1"/>
    </xf>
    <xf numFmtId="0" fontId="9" fillId="0" borderId="62" xfId="173" applyFont="1" applyBorder="1" applyAlignment="1">
      <alignment horizontal="left" vertical="center"/>
    </xf>
    <xf numFmtId="0" fontId="9" fillId="0" borderId="63" xfId="173" applyFont="1" applyBorder="1" applyAlignment="1">
      <alignment horizontal="left" vertical="center" wrapText="1"/>
    </xf>
    <xf numFmtId="0" fontId="9" fillId="0" borderId="64" xfId="173" applyFont="1" applyBorder="1" applyAlignment="1">
      <alignment horizontal="left" vertical="center" wrapText="1"/>
    </xf>
    <xf numFmtId="49" fontId="9" fillId="0" borderId="59" xfId="173" applyNumberFormat="1" applyFont="1" applyBorder="1" applyAlignment="1">
      <alignment horizontal="center" vertical="center"/>
    </xf>
    <xf numFmtId="49" fontId="9" fillId="0" borderId="60" xfId="173" applyNumberFormat="1" applyFont="1" applyBorder="1" applyAlignment="1">
      <alignment horizontal="center" vertical="center"/>
    </xf>
    <xf numFmtId="49" fontId="9" fillId="0" borderId="61" xfId="173" applyNumberFormat="1" applyFont="1" applyBorder="1" applyAlignment="1">
      <alignment horizontal="center" vertical="center"/>
    </xf>
    <xf numFmtId="14" fontId="9" fillId="0" borderId="70" xfId="19" applyNumberFormat="1" applyFont="1" applyBorder="1" applyAlignment="1">
      <alignment horizontal="center"/>
    </xf>
    <xf numFmtId="0" fontId="9" fillId="0" borderId="71" xfId="19" applyFont="1" applyBorder="1" applyAlignment="1">
      <alignment horizontal="center"/>
    </xf>
    <xf numFmtId="0" fontId="9" fillId="0" borderId="73" xfId="19" applyFont="1" applyBorder="1" applyAlignment="1">
      <alignment horizontal="center"/>
    </xf>
    <xf numFmtId="0" fontId="9" fillId="3" borderId="6" xfId="173" applyFont="1" applyFill="1" applyBorder="1" applyAlignment="1">
      <alignment horizontal="center" vertical="center"/>
    </xf>
    <xf numFmtId="0" fontId="9" fillId="3" borderId="7" xfId="173" applyFont="1" applyFill="1" applyBorder="1" applyAlignment="1">
      <alignment horizontal="center" vertical="center"/>
    </xf>
    <xf numFmtId="0" fontId="9" fillId="3" borderId="8" xfId="173" applyFont="1" applyFill="1" applyBorder="1" applyAlignment="1">
      <alignment horizontal="center" vertical="center"/>
    </xf>
    <xf numFmtId="0" fontId="64" fillId="0" borderId="27" xfId="21" applyBorder="1" applyAlignment="1">
      <alignment horizontal="center" vertical="center" wrapText="1"/>
    </xf>
    <xf numFmtId="0" fontId="64" fillId="0" borderId="28" xfId="21" applyBorder="1" applyAlignment="1">
      <alignment horizontal="center" vertical="center" wrapText="1"/>
    </xf>
    <xf numFmtId="0" fontId="2" fillId="0" borderId="22" xfId="107" applyNumberFormat="1" applyFont="1" applyFill="1" applyBorder="1" applyAlignment="1">
      <alignment horizontal="center" wrapText="1"/>
    </xf>
    <xf numFmtId="0" fontId="2" fillId="0" borderId="23" xfId="107" applyNumberFormat="1" applyFont="1" applyFill="1" applyBorder="1" applyAlignment="1">
      <alignment horizontal="center" wrapText="1"/>
    </xf>
    <xf numFmtId="0" fontId="2" fillId="0" borderId="13" xfId="0" applyFont="1" applyBorder="1" applyAlignment="1">
      <alignment horizontal="right" vertical="center"/>
    </xf>
    <xf numFmtId="0" fontId="2" fillId="0" borderId="14" xfId="0" applyFont="1" applyBorder="1" applyAlignment="1">
      <alignment horizontal="right" vertical="center"/>
    </xf>
    <xf numFmtId="0" fontId="2" fillId="0" borderId="17" xfId="0" applyFont="1" applyBorder="1" applyAlignment="1">
      <alignment horizontal="right" vertical="center"/>
    </xf>
    <xf numFmtId="2" fontId="64" fillId="0" borderId="14" xfId="19" applyNumberFormat="1" applyBorder="1" applyAlignment="1">
      <alignment horizontal="center" vertical="center" wrapText="1"/>
    </xf>
    <xf numFmtId="2" fontId="64" fillId="0" borderId="27" xfId="19" applyNumberFormat="1" applyBorder="1" applyAlignment="1">
      <alignment horizontal="center" vertical="center" wrapText="1"/>
    </xf>
    <xf numFmtId="2" fontId="64" fillId="0" borderId="16" xfId="19" applyNumberFormat="1" applyBorder="1" applyAlignment="1">
      <alignment horizontal="center" vertical="center" wrapText="1"/>
    </xf>
    <xf numFmtId="2" fontId="64" fillId="0" borderId="5" xfId="19" applyNumberFormat="1" applyBorder="1" applyAlignment="1">
      <alignment horizontal="center" vertical="center" wrapText="1"/>
    </xf>
    <xf numFmtId="2" fontId="64" fillId="0" borderId="28" xfId="19" applyNumberFormat="1" applyBorder="1" applyAlignment="1">
      <alignment horizontal="center" vertical="center" wrapText="1"/>
    </xf>
    <xf numFmtId="0" fontId="10" fillId="0" borderId="0" xfId="171" applyFont="1" applyBorder="1" applyAlignment="1">
      <alignment horizontal="center" vertical="center"/>
    </xf>
    <xf numFmtId="0" fontId="10" fillId="0" borderId="42" xfId="171" applyFont="1" applyBorder="1" applyAlignment="1">
      <alignment horizontal="center" vertical="center"/>
    </xf>
    <xf numFmtId="0" fontId="10" fillId="0" borderId="6" xfId="171" applyFont="1" applyBorder="1" applyAlignment="1">
      <alignment horizontal="center" vertical="center"/>
    </xf>
    <xf numFmtId="0" fontId="10" fillId="0" borderId="7" xfId="171" applyFont="1" applyBorder="1" applyAlignment="1">
      <alignment horizontal="center" vertical="center"/>
    </xf>
    <xf numFmtId="0" fontId="10" fillId="0" borderId="8" xfId="171" applyFont="1" applyBorder="1" applyAlignment="1">
      <alignment horizontal="center" vertical="center"/>
    </xf>
    <xf numFmtId="0" fontId="10" fillId="16" borderId="6" xfId="171" applyFont="1" applyFill="1" applyBorder="1" applyAlignment="1">
      <alignment horizontal="center" vertical="center"/>
    </xf>
    <xf numFmtId="0" fontId="10" fillId="16" borderId="7" xfId="171" applyFont="1" applyFill="1" applyBorder="1" applyAlignment="1">
      <alignment horizontal="center" vertical="center"/>
    </xf>
    <xf numFmtId="0" fontId="10" fillId="16" borderId="8" xfId="171" applyFont="1" applyFill="1" applyBorder="1" applyAlignment="1">
      <alignment horizontal="center" vertical="center"/>
    </xf>
    <xf numFmtId="0" fontId="7" fillId="6" borderId="16" xfId="107" applyFont="1" applyFill="1" applyBorder="1" applyAlignment="1">
      <alignment horizontal="center" vertical="center" shrinkToFit="1"/>
    </xf>
    <xf numFmtId="0" fontId="8" fillId="6" borderId="5" xfId="19" applyFont="1" applyFill="1" applyBorder="1" applyAlignment="1">
      <alignment horizontal="center" vertical="center" shrinkToFit="1"/>
    </xf>
    <xf numFmtId="0" fontId="8" fillId="6" borderId="15" xfId="19" applyFont="1" applyFill="1" applyBorder="1" applyAlignment="1">
      <alignment horizontal="center" vertical="center" shrinkToFit="1"/>
    </xf>
    <xf numFmtId="0" fontId="6" fillId="12" borderId="22" xfId="107" applyFont="1" applyFill="1" applyBorder="1" applyAlignment="1">
      <alignment horizontal="center" shrinkToFit="1"/>
    </xf>
    <xf numFmtId="0" fontId="64" fillId="6" borderId="23" xfId="19" applyFill="1" applyBorder="1" applyAlignment="1">
      <alignment horizontal="center" shrinkToFit="1"/>
    </xf>
    <xf numFmtId="0" fontId="64" fillId="6" borderId="25" xfId="19" applyFill="1" applyBorder="1" applyAlignment="1">
      <alignment horizontal="center" shrinkToFit="1"/>
    </xf>
    <xf numFmtId="0" fontId="2" fillId="6" borderId="22" xfId="107" applyFont="1" applyFill="1" applyBorder="1" applyAlignment="1">
      <alignment horizontal="center" wrapText="1"/>
    </xf>
    <xf numFmtId="0" fontId="64" fillId="6" borderId="23" xfId="19" applyFill="1" applyBorder="1" applyAlignment="1">
      <alignment horizontal="center" wrapText="1"/>
    </xf>
    <xf numFmtId="0" fontId="2" fillId="6" borderId="23" xfId="107" quotePrefix="1" applyFont="1" applyFill="1" applyBorder="1" applyAlignment="1">
      <alignment horizontal="left" wrapText="1"/>
    </xf>
    <xf numFmtId="0" fontId="8" fillId="6" borderId="23" xfId="19" applyFont="1" applyFill="1" applyBorder="1" applyAlignment="1">
      <alignment horizontal="left" wrapText="1"/>
    </xf>
    <xf numFmtId="0" fontId="8" fillId="6" borderId="25" xfId="19" applyFont="1" applyFill="1" applyBorder="1" applyAlignment="1">
      <alignment horizontal="left" wrapText="1"/>
    </xf>
    <xf numFmtId="0" fontId="6" fillId="7" borderId="38" xfId="19" applyFont="1" applyFill="1" applyBorder="1" applyAlignment="1">
      <alignment horizontal="center" vertical="center"/>
    </xf>
    <xf numFmtId="0" fontId="6" fillId="7" borderId="11" xfId="19" applyFont="1" applyFill="1" applyBorder="1" applyAlignment="1">
      <alignment horizontal="center" vertical="center"/>
    </xf>
    <xf numFmtId="0" fontId="6" fillId="7" borderId="26" xfId="19" applyFont="1" applyFill="1" applyBorder="1" applyAlignment="1">
      <alignment horizontal="center" vertical="center"/>
    </xf>
    <xf numFmtId="0" fontId="9" fillId="6" borderId="42" xfId="172" applyNumberFormat="1" applyFont="1" applyFill="1" applyBorder="1" applyAlignment="1">
      <alignment horizontal="center" vertical="center"/>
    </xf>
    <xf numFmtId="0" fontId="9" fillId="6" borderId="43" xfId="172" applyNumberFormat="1" applyFont="1" applyFill="1" applyBorder="1" applyAlignment="1">
      <alignment horizontal="center" vertical="center"/>
    </xf>
    <xf numFmtId="0" fontId="9" fillId="6" borderId="13" xfId="172" applyFont="1" applyFill="1" applyBorder="1" applyAlignment="1">
      <alignment horizontal="center" vertical="center" wrapText="1"/>
    </xf>
    <xf numFmtId="0" fontId="64" fillId="6" borderId="14" xfId="19" applyFill="1" applyBorder="1" applyAlignment="1">
      <alignment horizontal="center" vertical="center" wrapText="1"/>
    </xf>
    <xf numFmtId="0" fontId="64" fillId="6" borderId="17" xfId="19" applyFill="1" applyBorder="1" applyAlignment="1">
      <alignment horizontal="center" vertical="center" wrapText="1"/>
    </xf>
    <xf numFmtId="0" fontId="64" fillId="6" borderId="16" xfId="19" applyFill="1" applyBorder="1" applyAlignment="1">
      <alignment horizontal="center" vertical="center" wrapText="1"/>
    </xf>
    <xf numFmtId="0" fontId="64" fillId="6" borderId="5" xfId="19" applyFill="1" applyBorder="1" applyAlignment="1">
      <alignment horizontal="center" vertical="center" wrapText="1"/>
    </xf>
    <xf numFmtId="0" fontId="64" fillId="6" borderId="15" xfId="19" applyFill="1" applyBorder="1" applyAlignment="1">
      <alignment horizontal="center" vertical="center" wrapText="1"/>
    </xf>
    <xf numFmtId="2" fontId="9" fillId="6" borderId="13" xfId="172" applyNumberFormat="1" applyFont="1" applyFill="1" applyBorder="1" applyAlignment="1">
      <alignment horizontal="center" vertical="center" wrapText="1"/>
    </xf>
    <xf numFmtId="2" fontId="9" fillId="6" borderId="14" xfId="172" applyNumberFormat="1" applyFont="1" applyFill="1" applyBorder="1" applyAlignment="1">
      <alignment horizontal="center" vertical="center" wrapText="1"/>
    </xf>
    <xf numFmtId="2" fontId="9" fillId="6" borderId="27" xfId="172" applyNumberFormat="1" applyFont="1" applyFill="1" applyBorder="1" applyAlignment="1">
      <alignment horizontal="center" vertical="center" wrapText="1"/>
    </xf>
    <xf numFmtId="2" fontId="9" fillId="6" borderId="16" xfId="172" applyNumberFormat="1" applyFont="1" applyFill="1" applyBorder="1" applyAlignment="1">
      <alignment horizontal="center" vertical="center" wrapText="1"/>
    </xf>
    <xf numFmtId="2" fontId="9" fillId="6" borderId="5" xfId="172" applyNumberFormat="1" applyFont="1" applyFill="1" applyBorder="1" applyAlignment="1">
      <alignment horizontal="center" vertical="center" wrapText="1"/>
    </xf>
    <xf numFmtId="2" fontId="9" fillId="6" borderId="28" xfId="172" applyNumberFormat="1" applyFont="1" applyFill="1" applyBorder="1" applyAlignment="1">
      <alignment horizontal="center" vertical="center" wrapText="1"/>
    </xf>
    <xf numFmtId="0" fontId="3" fillId="6" borderId="1" xfId="107" applyFont="1" applyFill="1" applyBorder="1" applyAlignment="1">
      <alignment horizontal="center" vertical="center" wrapText="1"/>
    </xf>
    <xf numFmtId="0" fontId="4" fillId="6" borderId="2" xfId="19" applyFont="1" applyFill="1" applyBorder="1" applyAlignment="1">
      <alignment horizontal="center" vertical="center" wrapText="1"/>
    </xf>
    <xf numFmtId="0" fontId="4" fillId="6" borderId="9" xfId="19" applyFont="1" applyFill="1" applyBorder="1" applyAlignment="1">
      <alignment horizontal="center" vertical="center" wrapText="1"/>
    </xf>
    <xf numFmtId="0" fontId="4" fillId="6" borderId="3" xfId="19" applyFont="1" applyFill="1" applyBorder="1" applyAlignment="1">
      <alignment horizontal="center" vertical="center" wrapText="1"/>
    </xf>
    <xf numFmtId="0" fontId="4" fillId="6" borderId="0" xfId="19" applyFont="1" applyFill="1" applyAlignment="1">
      <alignment horizontal="center" vertical="center" wrapText="1"/>
    </xf>
    <xf numFmtId="0" fontId="4" fillId="6" borderId="12" xfId="19" applyFont="1" applyFill="1" applyBorder="1" applyAlignment="1">
      <alignment horizontal="center" vertical="center" wrapText="1"/>
    </xf>
    <xf numFmtId="0" fontId="4" fillId="6" borderId="4" xfId="19" applyFont="1" applyFill="1" applyBorder="1" applyAlignment="1">
      <alignment horizontal="center" vertical="center" wrapText="1"/>
    </xf>
    <xf numFmtId="0" fontId="4" fillId="6" borderId="5" xfId="19" applyFont="1" applyFill="1" applyBorder="1" applyAlignment="1">
      <alignment horizontal="center" vertical="center" wrapText="1"/>
    </xf>
    <xf numFmtId="0" fontId="4" fillId="6" borderId="15" xfId="19" applyFont="1" applyFill="1" applyBorder="1" applyAlignment="1">
      <alignment horizontal="center" vertical="center" wrapText="1"/>
    </xf>
    <xf numFmtId="0" fontId="6" fillId="12" borderId="41" xfId="172" applyFont="1" applyFill="1" applyBorder="1" applyAlignment="1">
      <alignment horizontal="center"/>
    </xf>
    <xf numFmtId="0" fontId="6" fillId="12" borderId="10" xfId="172" applyFont="1" applyFill="1" applyBorder="1" applyAlignment="1">
      <alignment horizontal="center" wrapText="1"/>
    </xf>
    <xf numFmtId="0" fontId="64" fillId="6" borderId="11" xfId="19" applyFill="1" applyBorder="1" applyAlignment="1">
      <alignment horizontal="center" wrapText="1"/>
    </xf>
    <xf numFmtId="0" fontId="64" fillId="6" borderId="24" xfId="19" applyFill="1" applyBorder="1" applyAlignment="1">
      <alignment horizontal="center" wrapText="1"/>
    </xf>
    <xf numFmtId="0" fontId="64" fillId="6" borderId="26" xfId="19" applyFill="1" applyBorder="1" applyAlignment="1">
      <alignment horizontal="center" wrapText="1"/>
    </xf>
    <xf numFmtId="0" fontId="6" fillId="6" borderId="13" xfId="107" applyFont="1" applyFill="1" applyBorder="1" applyAlignment="1">
      <alignment horizontal="center" vertical="center" wrapText="1"/>
    </xf>
    <xf numFmtId="0" fontId="6" fillId="12" borderId="6" xfId="107" applyFont="1" applyFill="1" applyBorder="1" applyAlignment="1">
      <alignment horizontal="center" shrinkToFit="1"/>
    </xf>
    <xf numFmtId="0" fontId="64" fillId="6" borderId="7" xfId="19" applyFill="1" applyBorder="1" applyAlignment="1">
      <alignment horizontal="center" shrinkToFit="1"/>
    </xf>
    <xf numFmtId="0" fontId="64" fillId="6" borderId="8" xfId="19" applyFill="1" applyBorder="1" applyAlignment="1">
      <alignment horizontal="center" shrinkToFit="1"/>
    </xf>
    <xf numFmtId="0" fontId="9" fillId="6" borderId="6" xfId="107" applyFont="1" applyFill="1" applyBorder="1" applyAlignment="1">
      <alignment horizontal="center" wrapText="1"/>
    </xf>
    <xf numFmtId="0" fontId="64" fillId="6" borderId="7" xfId="19" applyFill="1" applyBorder="1" applyAlignment="1">
      <alignment horizontal="center" wrapText="1"/>
    </xf>
    <xf numFmtId="0" fontId="64" fillId="6" borderId="8" xfId="19" applyFill="1" applyBorder="1" applyAlignment="1">
      <alignment horizontal="center" wrapText="1"/>
    </xf>
    <xf numFmtId="0" fontId="6" fillId="12" borderId="6" xfId="107" applyFont="1" applyFill="1" applyBorder="1" applyAlignment="1">
      <alignment horizontal="center" wrapText="1"/>
    </xf>
    <xf numFmtId="0" fontId="9" fillId="6" borderId="6" xfId="19" applyFont="1" applyFill="1" applyBorder="1" applyAlignment="1">
      <alignment horizontal="center" wrapText="1"/>
    </xf>
    <xf numFmtId="0" fontId="9" fillId="6" borderId="7" xfId="19" applyFont="1" applyFill="1" applyBorder="1" applyAlignment="1">
      <alignment horizontal="center" wrapText="1"/>
    </xf>
    <xf numFmtId="0" fontId="9" fillId="6" borderId="8" xfId="19" applyFont="1" applyFill="1" applyBorder="1" applyAlignment="1">
      <alignment horizontal="center" wrapText="1"/>
    </xf>
    <xf numFmtId="0" fontId="6" fillId="12" borderId="10" xfId="107" applyFont="1" applyFill="1" applyBorder="1" applyAlignment="1">
      <alignment horizontal="center" vertical="center" wrapText="1"/>
    </xf>
    <xf numFmtId="0" fontId="64" fillId="6" borderId="11" xfId="19" applyFill="1" applyBorder="1" applyAlignment="1">
      <alignment horizontal="center" vertical="center" wrapText="1"/>
    </xf>
    <xf numFmtId="0" fontId="64" fillId="6" borderId="24" xfId="19" applyFill="1" applyBorder="1" applyAlignment="1">
      <alignment horizontal="center" vertical="center" wrapText="1"/>
    </xf>
    <xf numFmtId="0" fontId="6" fillId="12" borderId="10" xfId="107" applyFont="1" applyFill="1" applyBorder="1" applyAlignment="1">
      <alignment horizontal="center" shrinkToFit="1"/>
    </xf>
    <xf numFmtId="0" fontId="64" fillId="6" borderId="11" xfId="19" applyFill="1" applyBorder="1" applyAlignment="1">
      <alignment horizontal="center" shrinkToFit="1"/>
    </xf>
    <xf numFmtId="0" fontId="64" fillId="6" borderId="24" xfId="19" applyFill="1" applyBorder="1" applyAlignment="1">
      <alignment horizontal="center" shrinkToFit="1"/>
    </xf>
    <xf numFmtId="0" fontId="9" fillId="6" borderId="10" xfId="107" applyFont="1" applyFill="1" applyBorder="1" applyAlignment="1">
      <alignment horizontal="center" wrapText="1"/>
    </xf>
    <xf numFmtId="0" fontId="6" fillId="12" borderId="10" xfId="107" applyFont="1" applyFill="1" applyBorder="1" applyAlignment="1">
      <alignment horizontal="center" wrapText="1"/>
    </xf>
    <xf numFmtId="0" fontId="9" fillId="6" borderId="10" xfId="107" applyFont="1" applyFill="1" applyBorder="1" applyAlignment="1">
      <alignment horizontal="center" shrinkToFit="1"/>
    </xf>
    <xf numFmtId="0" fontId="15" fillId="0" borderId="39" xfId="0" applyFont="1" applyBorder="1" applyAlignment="1">
      <alignment horizontal="center" vertical="center"/>
    </xf>
    <xf numFmtId="0" fontId="15" fillId="0" borderId="8" xfId="0" applyFont="1" applyBorder="1" applyAlignment="1">
      <alignment horizontal="center" vertical="center"/>
    </xf>
    <xf numFmtId="49" fontId="15" fillId="0" borderId="7" xfId="0" applyNumberFormat="1" applyFont="1" applyBorder="1" applyAlignment="1">
      <alignment vertical="center" wrapText="1"/>
    </xf>
    <xf numFmtId="0" fontId="16" fillId="0" borderId="7" xfId="0" applyFont="1" applyBorder="1" applyAlignment="1">
      <alignment vertical="center" wrapText="1"/>
    </xf>
    <xf numFmtId="0" fontId="14" fillId="0" borderId="14" xfId="0" applyFont="1" applyBorder="1" applyAlignment="1">
      <alignment vertical="center" wrapText="1"/>
    </xf>
    <xf numFmtId="0" fontId="0" fillId="0" borderId="14" xfId="0" applyBorder="1" applyAlignment="1">
      <alignment vertical="center" wrapText="1"/>
    </xf>
    <xf numFmtId="49" fontId="14" fillId="0" borderId="7" xfId="0" applyNumberFormat="1" applyFont="1" applyBorder="1" applyAlignment="1">
      <alignment vertical="center" wrapText="1"/>
    </xf>
    <xf numFmtId="0" fontId="0" fillId="0" borderId="7" xfId="0" applyBorder="1" applyAlignment="1">
      <alignment vertical="center" wrapText="1"/>
    </xf>
    <xf numFmtId="0" fontId="14" fillId="0" borderId="7" xfId="0" applyFont="1" applyBorder="1" applyAlignment="1">
      <alignment vertical="center" wrapText="1"/>
    </xf>
    <xf numFmtId="0" fontId="14" fillId="0" borderId="7" xfId="0" applyFont="1" applyFill="1" applyBorder="1" applyAlignment="1">
      <alignment vertical="center" wrapText="1"/>
    </xf>
    <xf numFmtId="0" fontId="14" fillId="6" borderId="7" xfId="19" applyFont="1" applyFill="1" applyBorder="1" applyAlignment="1">
      <alignment horizontal="left" vertical="center" wrapText="1"/>
    </xf>
    <xf numFmtId="0" fontId="0" fillId="0" borderId="7" xfId="0" applyBorder="1" applyAlignment="1">
      <alignment horizontal="left" vertical="center" wrapText="1"/>
    </xf>
    <xf numFmtId="0" fontId="2" fillId="6" borderId="6" xfId="19" applyFont="1" applyFill="1" applyBorder="1" applyAlignment="1">
      <alignment horizontal="left" vertical="center" wrapText="1"/>
    </xf>
    <xf numFmtId="0" fontId="2" fillId="6" borderId="7" xfId="19" applyFont="1" applyFill="1" applyBorder="1" applyAlignment="1">
      <alignment horizontal="left" vertical="center" wrapText="1"/>
    </xf>
    <xf numFmtId="0" fontId="2" fillId="6" borderId="8" xfId="19" applyFont="1" applyFill="1" applyBorder="1" applyAlignment="1">
      <alignment horizontal="left" vertical="center" wrapText="1"/>
    </xf>
    <xf numFmtId="0" fontId="14" fillId="13" borderId="7" xfId="19" applyFont="1" applyFill="1" applyBorder="1" applyAlignment="1">
      <alignment horizontal="left" vertical="center" wrapText="1"/>
    </xf>
    <xf numFmtId="0" fontId="14" fillId="6" borderId="7" xfId="19" applyFont="1" applyFill="1" applyBorder="1" applyAlignment="1">
      <alignment vertical="center" wrapText="1"/>
    </xf>
    <xf numFmtId="0" fontId="14" fillId="11" borderId="7" xfId="0" applyFont="1" applyFill="1" applyBorder="1" applyAlignment="1">
      <alignment vertical="center" wrapText="1"/>
    </xf>
    <xf numFmtId="0" fontId="0" fillId="0" borderId="7" xfId="0" applyFill="1" applyBorder="1" applyAlignment="1">
      <alignment vertical="center" wrapText="1"/>
    </xf>
    <xf numFmtId="0" fontId="14" fillId="0" borderId="6" xfId="0" applyFont="1" applyBorder="1" applyAlignment="1">
      <alignment vertical="center" wrapText="1"/>
    </xf>
    <xf numFmtId="0" fontId="14" fillId="0" borderId="8" xfId="0" applyFont="1" applyBorder="1" applyAlignment="1">
      <alignment vertical="center" wrapText="1"/>
    </xf>
    <xf numFmtId="49" fontId="14" fillId="0" borderId="14" xfId="0" applyNumberFormat="1" applyFont="1" applyBorder="1" applyAlignment="1">
      <alignment vertical="center" wrapText="1"/>
    </xf>
    <xf numFmtId="49" fontId="14" fillId="0" borderId="6" xfId="171" applyNumberFormat="1" applyFont="1" applyBorder="1" applyAlignment="1" applyProtection="1">
      <alignment vertical="center" wrapText="1"/>
    </xf>
    <xf numFmtId="49" fontId="14" fillId="0" borderId="7" xfId="171" applyNumberFormat="1" applyFont="1" applyBorder="1" applyAlignment="1" applyProtection="1">
      <alignment vertical="center" wrapText="1"/>
    </xf>
    <xf numFmtId="49" fontId="14" fillId="0" borderId="8" xfId="171" applyNumberFormat="1" applyFont="1" applyBorder="1" applyAlignment="1" applyProtection="1">
      <alignment vertical="center" wrapText="1"/>
    </xf>
    <xf numFmtId="0" fontId="15" fillId="0" borderId="92" xfId="0" applyFont="1" applyBorder="1" applyAlignment="1">
      <alignment horizontal="left" vertical="center" wrapText="1"/>
    </xf>
    <xf numFmtId="0" fontId="15" fillId="0" borderId="93" xfId="0" applyFont="1" applyBorder="1" applyAlignment="1">
      <alignment horizontal="left" vertical="center" wrapText="1"/>
    </xf>
    <xf numFmtId="0" fontId="15" fillId="0" borderId="94" xfId="0" applyFont="1" applyBorder="1" applyAlignment="1">
      <alignment horizontal="left" vertical="center" wrapText="1"/>
    </xf>
    <xf numFmtId="0" fontId="6" fillId="12" borderId="22" xfId="107" applyFont="1" applyFill="1" applyBorder="1" applyAlignment="1">
      <alignment horizontal="center" vertical="center" shrinkToFit="1"/>
    </xf>
    <xf numFmtId="0" fontId="64" fillId="6" borderId="23" xfId="19" applyFill="1" applyBorder="1" applyAlignment="1">
      <alignment horizontal="center" vertical="center" shrinkToFit="1"/>
    </xf>
    <xf numFmtId="0" fontId="64" fillId="6" borderId="25" xfId="19" applyFill="1" applyBorder="1" applyAlignment="1">
      <alignment horizontal="center" vertical="center" shrinkToFit="1"/>
    </xf>
    <xf numFmtId="0" fontId="2" fillId="6" borderId="22" xfId="107" applyFont="1" applyFill="1" applyBorder="1" applyAlignment="1">
      <alignment horizontal="center" vertical="center" wrapText="1"/>
    </xf>
    <xf numFmtId="0" fontId="64" fillId="6" borderId="23" xfId="19" applyFill="1" applyBorder="1" applyAlignment="1">
      <alignment horizontal="center" vertical="center" wrapText="1"/>
    </xf>
    <xf numFmtId="0" fontId="2" fillId="6" borderId="23" xfId="107" quotePrefix="1" applyFont="1" applyFill="1" applyBorder="1" applyAlignment="1">
      <alignment horizontal="left" vertical="center" wrapText="1"/>
    </xf>
    <xf numFmtId="0" fontId="8" fillId="6" borderId="23" xfId="19" applyFont="1" applyFill="1" applyBorder="1" applyAlignment="1">
      <alignment horizontal="left" vertical="center" wrapText="1"/>
    </xf>
    <xf numFmtId="0" fontId="8" fillId="6" borderId="25" xfId="19" applyFont="1" applyFill="1" applyBorder="1" applyAlignment="1">
      <alignment horizontal="left" vertical="center" wrapText="1"/>
    </xf>
    <xf numFmtId="0" fontId="6" fillId="12" borderId="10" xfId="107" applyFont="1" applyFill="1" applyBorder="1" applyAlignment="1">
      <alignment horizontal="center" vertical="center" shrinkToFit="1"/>
    </xf>
    <xf numFmtId="0" fontId="64" fillId="6" borderId="11" xfId="19" applyFill="1" applyBorder="1" applyAlignment="1">
      <alignment horizontal="center" vertical="center" shrinkToFit="1"/>
    </xf>
    <xf numFmtId="0" fontId="64" fillId="6" borderId="24" xfId="19" applyFill="1" applyBorder="1" applyAlignment="1">
      <alignment horizontal="center" vertical="center" shrinkToFit="1"/>
    </xf>
    <xf numFmtId="0" fontId="9" fillId="6" borderId="10" xfId="107" applyFont="1" applyFill="1" applyBorder="1" applyAlignment="1">
      <alignment horizontal="center" vertical="center" wrapText="1"/>
    </xf>
    <xf numFmtId="0" fontId="9" fillId="6" borderId="10" xfId="107" applyFont="1" applyFill="1" applyBorder="1" applyAlignment="1">
      <alignment horizontal="center" vertical="center" shrinkToFit="1"/>
    </xf>
    <xf numFmtId="0" fontId="6" fillId="12" borderId="41" xfId="172" applyFont="1" applyFill="1" applyBorder="1" applyAlignment="1">
      <alignment horizontal="center" vertical="center"/>
    </xf>
    <xf numFmtId="0" fontId="6" fillId="12" borderId="6" xfId="107" applyFont="1" applyFill="1" applyBorder="1" applyAlignment="1">
      <alignment horizontal="center" vertical="center" shrinkToFit="1"/>
    </xf>
    <xf numFmtId="0" fontId="64" fillId="6" borderId="7" xfId="19" applyFill="1" applyBorder="1" applyAlignment="1">
      <alignment horizontal="center" vertical="center" shrinkToFit="1"/>
    </xf>
    <xf numFmtId="0" fontId="64" fillId="6" borderId="8" xfId="19" applyFill="1" applyBorder="1" applyAlignment="1">
      <alignment horizontal="center" vertical="center" shrinkToFit="1"/>
    </xf>
    <xf numFmtId="0" fontId="9" fillId="6" borderId="6" xfId="107" applyFont="1" applyFill="1" applyBorder="1" applyAlignment="1">
      <alignment horizontal="center" vertical="center" wrapText="1"/>
    </xf>
    <xf numFmtId="0" fontId="64" fillId="6" borderId="7" xfId="19" applyFill="1" applyBorder="1" applyAlignment="1">
      <alignment horizontal="center" vertical="center" wrapText="1"/>
    </xf>
    <xf numFmtId="0" fontId="64" fillId="6" borderId="8" xfId="19" applyFill="1" applyBorder="1" applyAlignment="1">
      <alignment horizontal="center" vertical="center" wrapText="1"/>
    </xf>
    <xf numFmtId="0" fontId="6" fillId="12" borderId="6" xfId="107" applyFont="1" applyFill="1" applyBorder="1" applyAlignment="1">
      <alignment horizontal="center" vertical="center" wrapText="1"/>
    </xf>
    <xf numFmtId="0" fontId="9" fillId="6" borderId="6" xfId="19" applyFont="1" applyFill="1" applyBorder="1" applyAlignment="1">
      <alignment horizontal="center" vertical="center" wrapText="1"/>
    </xf>
    <xf numFmtId="0" fontId="9" fillId="6" borderId="7" xfId="19" applyFont="1" applyFill="1" applyBorder="1" applyAlignment="1">
      <alignment horizontal="center" vertical="center" wrapText="1"/>
    </xf>
    <xf numFmtId="0" fontId="9" fillId="6" borderId="8" xfId="19" applyFont="1" applyFill="1" applyBorder="1" applyAlignment="1">
      <alignment horizontal="center" vertical="center" wrapText="1"/>
    </xf>
    <xf numFmtId="177" fontId="9" fillId="6" borderId="13" xfId="172" applyNumberFormat="1" applyFont="1" applyFill="1" applyBorder="1" applyAlignment="1">
      <alignment horizontal="center" vertical="center" wrapText="1"/>
    </xf>
    <xf numFmtId="0" fontId="64" fillId="6" borderId="27" xfId="19" applyFill="1" applyBorder="1" applyAlignment="1">
      <alignment horizontal="center" vertical="center" wrapText="1"/>
    </xf>
    <xf numFmtId="0" fontId="64" fillId="6" borderId="28" xfId="19" applyFill="1" applyBorder="1" applyAlignment="1">
      <alignment horizontal="center" vertical="center" wrapText="1"/>
    </xf>
    <xf numFmtId="0" fontId="3" fillId="0" borderId="1" xfId="155" applyFont="1" applyBorder="1" applyAlignment="1">
      <alignment horizontal="center" vertical="center" wrapText="1"/>
    </xf>
    <xf numFmtId="0" fontId="3" fillId="0" borderId="2" xfId="155" applyFont="1" applyBorder="1" applyAlignment="1">
      <alignment horizontal="center" vertical="center" wrapText="1"/>
    </xf>
    <xf numFmtId="0" fontId="3" fillId="0" borderId="9" xfId="155" applyFont="1" applyBorder="1" applyAlignment="1">
      <alignment horizontal="center" vertical="center" wrapText="1"/>
    </xf>
    <xf numFmtId="0" fontId="3" fillId="0" borderId="3" xfId="155" applyFont="1" applyBorder="1" applyAlignment="1">
      <alignment horizontal="center" vertical="center" wrapText="1"/>
    </xf>
    <xf numFmtId="0" fontId="3" fillId="0" borderId="0" xfId="155" applyFont="1" applyAlignment="1">
      <alignment horizontal="center" vertical="center" wrapText="1"/>
    </xf>
    <xf numFmtId="0" fontId="3" fillId="0" borderId="12" xfId="155" applyFont="1" applyBorder="1" applyAlignment="1">
      <alignment horizontal="center" vertical="center" wrapText="1"/>
    </xf>
    <xf numFmtId="0" fontId="3" fillId="0" borderId="4" xfId="155" applyFont="1" applyBorder="1" applyAlignment="1">
      <alignment horizontal="center" vertical="center" wrapText="1"/>
    </xf>
    <xf numFmtId="0" fontId="3" fillId="0" borderId="5" xfId="155" applyFont="1" applyBorder="1" applyAlignment="1">
      <alignment horizontal="center" vertical="center" wrapText="1"/>
    </xf>
    <xf numFmtId="0" fontId="3" fillId="0" borderId="15" xfId="155" applyFont="1" applyBorder="1" applyAlignment="1">
      <alignment horizontal="center" vertical="center" wrapText="1"/>
    </xf>
    <xf numFmtId="0" fontId="6" fillId="36" borderId="10" xfId="155" applyFont="1" applyFill="1" applyBorder="1" applyAlignment="1">
      <alignment horizontal="center" vertical="center" wrapText="1"/>
    </xf>
    <xf numFmtId="0" fontId="6" fillId="36" borderId="11" xfId="155" applyFont="1" applyFill="1" applyBorder="1" applyAlignment="1">
      <alignment horizontal="center" vertical="center" wrapText="1"/>
    </xf>
    <xf numFmtId="0" fontId="6" fillId="36" borderId="24" xfId="155" applyFont="1" applyFill="1" applyBorder="1" applyAlignment="1">
      <alignment horizontal="center" vertical="center" wrapText="1"/>
    </xf>
    <xf numFmtId="0" fontId="6" fillId="36" borderId="10" xfId="155" applyFont="1" applyFill="1" applyBorder="1" applyAlignment="1">
      <alignment horizontal="center" shrinkToFit="1"/>
    </xf>
    <xf numFmtId="0" fontId="6" fillId="36" borderId="11" xfId="155" applyFont="1" applyFill="1" applyBorder="1" applyAlignment="1">
      <alignment horizontal="center" shrinkToFit="1"/>
    </xf>
    <xf numFmtId="0" fontId="6" fillId="36" borderId="24" xfId="155" applyFont="1" applyFill="1" applyBorder="1" applyAlignment="1">
      <alignment horizontal="center" shrinkToFit="1"/>
    </xf>
    <xf numFmtId="0" fontId="9" fillId="0" borderId="10" xfId="155" applyFont="1" applyBorder="1" applyAlignment="1">
      <alignment horizontal="center" wrapText="1"/>
    </xf>
    <xf numFmtId="0" fontId="9" fillId="0" borderId="11" xfId="155" applyFont="1" applyBorder="1" applyAlignment="1">
      <alignment horizontal="center" wrapText="1"/>
    </xf>
    <xf numFmtId="0" fontId="9" fillId="0" borderId="24" xfId="155" applyFont="1" applyBorder="1" applyAlignment="1">
      <alignment horizontal="center" wrapText="1"/>
    </xf>
    <xf numFmtId="0" fontId="6" fillId="36" borderId="10" xfId="155" applyFont="1" applyFill="1" applyBorder="1" applyAlignment="1">
      <alignment horizontal="center" wrapText="1"/>
    </xf>
    <xf numFmtId="0" fontId="6" fillId="36" borderId="11" xfId="155" applyFont="1" applyFill="1" applyBorder="1" applyAlignment="1">
      <alignment horizontal="center" wrapText="1"/>
    </xf>
    <xf numFmtId="0" fontId="6" fillId="36" borderId="24" xfId="155" applyFont="1" applyFill="1" applyBorder="1" applyAlignment="1">
      <alignment horizontal="center" wrapText="1"/>
    </xf>
    <xf numFmtId="0" fontId="6" fillId="36" borderId="10" xfId="155" applyFont="1" applyFill="1" applyBorder="1" applyAlignment="1">
      <alignment horizontal="center"/>
    </xf>
    <xf numFmtId="0" fontId="6" fillId="36" borderId="11" xfId="155" applyFont="1" applyFill="1" applyBorder="1" applyAlignment="1">
      <alignment horizontal="center"/>
    </xf>
    <xf numFmtId="0" fontId="6" fillId="36" borderId="24" xfId="155" applyFont="1" applyFill="1" applyBorder="1" applyAlignment="1">
      <alignment horizontal="center"/>
    </xf>
    <xf numFmtId="0" fontId="6" fillId="36" borderId="26" xfId="155" applyFont="1" applyFill="1" applyBorder="1" applyAlignment="1">
      <alignment horizontal="center" wrapText="1"/>
    </xf>
    <xf numFmtId="0" fontId="6" fillId="0" borderId="99" xfId="155" applyFont="1" applyBorder="1" applyAlignment="1">
      <alignment horizontal="center" vertical="center" wrapText="1"/>
    </xf>
    <xf numFmtId="0" fontId="6" fillId="0" borderId="100" xfId="155" applyFont="1" applyBorder="1" applyAlignment="1">
      <alignment horizontal="center" vertical="center" wrapText="1"/>
    </xf>
    <xf numFmtId="0" fontId="6" fillId="0" borderId="101" xfId="155" applyFont="1" applyBorder="1" applyAlignment="1">
      <alignment horizontal="center" vertical="center" wrapText="1"/>
    </xf>
    <xf numFmtId="0" fontId="6" fillId="36" borderId="92" xfId="155" applyFont="1" applyFill="1" applyBorder="1" applyAlignment="1">
      <alignment horizontal="center" shrinkToFit="1"/>
    </xf>
    <xf numFmtId="0" fontId="6" fillId="36" borderId="93" xfId="155" applyFont="1" applyFill="1" applyBorder="1" applyAlignment="1">
      <alignment horizontal="center" shrinkToFit="1"/>
    </xf>
    <xf numFmtId="0" fontId="6" fillId="36" borderId="94" xfId="155" applyFont="1" applyFill="1" applyBorder="1" applyAlignment="1">
      <alignment horizontal="center" shrinkToFit="1"/>
    </xf>
    <xf numFmtId="0" fontId="9" fillId="0" borderId="92" xfId="155" applyFont="1" applyBorder="1" applyAlignment="1">
      <alignment horizontal="center" wrapText="1"/>
    </xf>
    <xf numFmtId="0" fontId="9" fillId="0" borderId="93" xfId="155" applyFont="1" applyBorder="1" applyAlignment="1">
      <alignment horizontal="center" wrapText="1"/>
    </xf>
    <xf numFmtId="0" fontId="9" fillId="0" borderId="94" xfId="155" applyFont="1" applyBorder="1" applyAlignment="1">
      <alignment horizontal="center" wrapText="1"/>
    </xf>
    <xf numFmtId="0" fontId="6" fillId="36" borderId="92" xfId="155" applyFont="1" applyFill="1" applyBorder="1" applyAlignment="1">
      <alignment horizontal="center" wrapText="1"/>
    </xf>
    <xf numFmtId="0" fontId="6" fillId="36" borderId="93" xfId="155" applyFont="1" applyFill="1" applyBorder="1" applyAlignment="1">
      <alignment horizontal="center" wrapText="1"/>
    </xf>
    <xf numFmtId="0" fontId="6" fillId="36" borderId="94" xfId="155" applyFont="1" applyFill="1" applyBorder="1" applyAlignment="1">
      <alignment horizontal="center" wrapText="1"/>
    </xf>
    <xf numFmtId="0" fontId="9" fillId="0" borderId="99" xfId="155" applyFont="1" applyBorder="1" applyAlignment="1">
      <alignment horizontal="center" vertical="center"/>
    </xf>
    <xf numFmtId="0" fontId="9" fillId="0" borderId="100" xfId="155" applyFont="1" applyBorder="1" applyAlignment="1">
      <alignment horizontal="center" vertical="center"/>
    </xf>
    <xf numFmtId="0" fontId="9" fillId="0" borderId="101" xfId="155" applyFont="1" applyBorder="1" applyAlignment="1">
      <alignment horizontal="center" vertical="center"/>
    </xf>
    <xf numFmtId="0" fontId="9" fillId="0" borderId="16" xfId="155" applyFont="1" applyBorder="1" applyAlignment="1">
      <alignment horizontal="center" vertical="center"/>
    </xf>
    <xf numFmtId="0" fontId="9" fillId="0" borderId="5" xfId="155" applyFont="1" applyBorder="1" applyAlignment="1">
      <alignment horizontal="center" vertical="center"/>
    </xf>
    <xf numFmtId="0" fontId="9" fillId="0" borderId="15" xfId="155" applyFont="1" applyBorder="1" applyAlignment="1">
      <alignment horizontal="center" vertical="center"/>
    </xf>
    <xf numFmtId="0" fontId="9" fillId="0" borderId="99" xfId="155" applyFont="1" applyBorder="1" applyAlignment="1">
      <alignment horizontal="center" vertical="center" wrapText="1"/>
    </xf>
    <xf numFmtId="0" fontId="9" fillId="0" borderId="100" xfId="155" applyFont="1" applyBorder="1" applyAlignment="1">
      <alignment horizontal="center" vertical="center" wrapText="1"/>
    </xf>
    <xf numFmtId="0" fontId="9" fillId="0" borderId="101" xfId="155" applyFont="1" applyBorder="1" applyAlignment="1">
      <alignment horizontal="center" vertical="center" wrapText="1"/>
    </xf>
    <xf numFmtId="0" fontId="9" fillId="0" borderId="16" xfId="155" applyFont="1" applyBorder="1" applyAlignment="1">
      <alignment horizontal="center" vertical="center" wrapText="1"/>
    </xf>
    <xf numFmtId="0" fontId="9" fillId="0" borderId="5" xfId="155" applyFont="1" applyBorder="1" applyAlignment="1">
      <alignment horizontal="center" vertical="center" wrapText="1"/>
    </xf>
    <xf numFmtId="0" fontId="9" fillId="0" borderId="15" xfId="155" applyFont="1" applyBorder="1" applyAlignment="1">
      <alignment horizontal="center" vertical="center" wrapText="1"/>
    </xf>
    <xf numFmtId="2" fontId="9" fillId="0" borderId="99" xfId="155" applyNumberFormat="1" applyFont="1" applyBorder="1" applyAlignment="1">
      <alignment horizontal="center" vertical="center" wrapText="1"/>
    </xf>
    <xf numFmtId="2" fontId="9" fillId="0" borderId="100" xfId="155" applyNumberFormat="1" applyFont="1" applyBorder="1" applyAlignment="1">
      <alignment horizontal="center" vertical="center" wrapText="1"/>
    </xf>
    <xf numFmtId="2" fontId="9" fillId="0" borderId="122" xfId="155" applyNumberFormat="1" applyFont="1" applyBorder="1" applyAlignment="1">
      <alignment horizontal="center" vertical="center" wrapText="1"/>
    </xf>
    <xf numFmtId="2" fontId="9" fillId="0" borderId="16" xfId="155" applyNumberFormat="1" applyFont="1" applyBorder="1" applyAlignment="1">
      <alignment horizontal="center" vertical="center" wrapText="1"/>
    </xf>
    <xf numFmtId="2" fontId="9" fillId="0" borderId="5" xfId="155" applyNumberFormat="1" applyFont="1" applyBorder="1" applyAlignment="1">
      <alignment horizontal="center" vertical="center" wrapText="1"/>
    </xf>
    <xf numFmtId="2" fontId="9" fillId="0" borderId="28" xfId="155" applyNumberFormat="1" applyFont="1" applyBorder="1" applyAlignment="1">
      <alignment horizontal="center" vertical="center" wrapText="1"/>
    </xf>
    <xf numFmtId="0" fontId="7" fillId="0" borderId="16" xfId="155" applyFont="1" applyBorder="1" applyAlignment="1">
      <alignment horizontal="center" vertical="center" shrinkToFit="1"/>
    </xf>
    <xf numFmtId="0" fontId="7" fillId="0" borderId="5" xfId="155" applyFont="1" applyBorder="1" applyAlignment="1">
      <alignment horizontal="center" vertical="center" shrinkToFit="1"/>
    </xf>
    <xf numFmtId="0" fontId="7" fillId="0" borderId="15" xfId="155" applyFont="1" applyBorder="1" applyAlignment="1">
      <alignment horizontal="center" vertical="center" shrinkToFit="1"/>
    </xf>
    <xf numFmtId="0" fontId="6" fillId="36" borderId="117" xfId="155" applyFont="1" applyFill="1" applyBorder="1" applyAlignment="1">
      <alignment horizontal="center" shrinkToFit="1"/>
    </xf>
    <xf numFmtId="0" fontId="6" fillId="36" borderId="118" xfId="155" applyFont="1" applyFill="1" applyBorder="1" applyAlignment="1">
      <alignment horizontal="center" shrinkToFit="1"/>
    </xf>
    <xf numFmtId="0" fontId="6" fillId="36" borderId="119" xfId="155" applyFont="1" applyFill="1" applyBorder="1" applyAlignment="1">
      <alignment horizontal="center" shrinkToFit="1"/>
    </xf>
    <xf numFmtId="0" fontId="2" fillId="0" borderId="117" xfId="155" applyFont="1" applyBorder="1" applyAlignment="1">
      <alignment horizontal="center" shrinkToFit="1"/>
    </xf>
    <xf numFmtId="0" fontId="2" fillId="0" borderId="118" xfId="155" applyFont="1" applyBorder="1" applyAlignment="1">
      <alignment horizontal="center" shrinkToFit="1"/>
    </xf>
    <xf numFmtId="0" fontId="2" fillId="0" borderId="118" xfId="155" quotePrefix="1" applyFont="1" applyBorder="1" applyAlignment="1">
      <alignment horizontal="left" wrapText="1"/>
    </xf>
    <xf numFmtId="0" fontId="2" fillId="0" borderId="119" xfId="155" quotePrefix="1" applyFont="1" applyBorder="1" applyAlignment="1">
      <alignment horizontal="left" wrapText="1"/>
    </xf>
    <xf numFmtId="0" fontId="7" fillId="0" borderId="16" xfId="0" applyFont="1" applyBorder="1" applyAlignment="1">
      <alignment horizontal="center" vertical="center" shrinkToFit="1"/>
    </xf>
    <xf numFmtId="0" fontId="7" fillId="0" borderId="5" xfId="0" applyFont="1" applyBorder="1" applyAlignment="1">
      <alignment horizontal="center" vertical="center" shrinkToFit="1"/>
    </xf>
    <xf numFmtId="0" fontId="7" fillId="0" borderId="15" xfId="0" applyFont="1" applyBorder="1" applyAlignment="1">
      <alignment horizontal="center" vertical="center" shrinkToFit="1"/>
    </xf>
    <xf numFmtId="0" fontId="6" fillId="3" borderId="22" xfId="0" applyFont="1" applyFill="1" applyBorder="1" applyAlignment="1">
      <alignment horizontal="center" shrinkToFit="1"/>
    </xf>
    <xf numFmtId="0" fontId="6" fillId="3" borderId="23" xfId="0" applyFont="1" applyFill="1" applyBorder="1" applyAlignment="1">
      <alignment horizontal="center" shrinkToFit="1"/>
    </xf>
    <xf numFmtId="0" fontId="6" fillId="3" borderId="25" xfId="0" applyFont="1" applyFill="1" applyBorder="1" applyAlignment="1">
      <alignment horizontal="center" shrinkToFit="1"/>
    </xf>
    <xf numFmtId="0" fontId="2" fillId="0" borderId="22" xfId="0" applyFont="1" applyBorder="1" applyAlignment="1">
      <alignment horizontal="center" shrinkToFit="1"/>
    </xf>
    <xf numFmtId="0" fontId="2" fillId="0" borderId="23" xfId="0" applyFont="1" applyBorder="1" applyAlignment="1">
      <alignment horizontal="center" shrinkToFit="1"/>
    </xf>
    <xf numFmtId="0" fontId="2" fillId="0" borderId="23" xfId="0" quotePrefix="1" applyFont="1" applyBorder="1" applyAlignment="1">
      <alignment horizontal="left" wrapText="1"/>
    </xf>
    <xf numFmtId="0" fontId="2" fillId="0" borderId="23" xfId="0" applyFont="1" applyBorder="1" applyAlignment="1">
      <alignment horizontal="left" wrapText="1"/>
    </xf>
    <xf numFmtId="0" fontId="2" fillId="0" borderId="25" xfId="0" applyFont="1" applyBorder="1" applyAlignment="1">
      <alignment horizontal="left"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9" xfId="0" applyFont="1" applyBorder="1" applyAlignment="1">
      <alignment horizontal="center" vertical="center" wrapText="1"/>
    </xf>
    <xf numFmtId="0" fontId="3" fillId="0" borderId="3" xfId="0" applyFont="1" applyBorder="1" applyAlignment="1">
      <alignment horizontal="center" vertical="center" wrapText="1"/>
    </xf>
    <xf numFmtId="0" fontId="3" fillId="0" borderId="0" xfId="0" applyFont="1" applyAlignment="1">
      <alignment horizontal="center" vertical="center" wrapText="1"/>
    </xf>
    <xf numFmtId="0" fontId="3" fillId="0" borderId="12"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15" xfId="0" applyFont="1" applyBorder="1" applyAlignment="1">
      <alignment horizontal="center" vertical="center" wrapText="1"/>
    </xf>
    <xf numFmtId="0" fontId="6" fillId="3" borderId="10" xfId="0" applyFont="1" applyFill="1" applyBorder="1" applyAlignment="1">
      <alignment horizontal="center"/>
    </xf>
    <xf numFmtId="0" fontId="6" fillId="3" borderId="11" xfId="0" applyFont="1" applyFill="1" applyBorder="1" applyAlignment="1">
      <alignment horizontal="center"/>
    </xf>
    <xf numFmtId="0" fontId="6" fillId="3" borderId="24" xfId="0" applyFont="1" applyFill="1" applyBorder="1" applyAlignment="1">
      <alignment horizontal="center"/>
    </xf>
    <xf numFmtId="0" fontId="6" fillId="3" borderId="10" xfId="0" applyFont="1" applyFill="1" applyBorder="1" applyAlignment="1">
      <alignment horizontal="center" wrapText="1"/>
    </xf>
    <xf numFmtId="0" fontId="6" fillId="3" borderId="11" xfId="0" applyFont="1" applyFill="1" applyBorder="1" applyAlignment="1">
      <alignment horizontal="center" wrapText="1"/>
    </xf>
    <xf numFmtId="0" fontId="6" fillId="3" borderId="24" xfId="0" applyFont="1" applyFill="1" applyBorder="1" applyAlignment="1">
      <alignment horizontal="center" wrapText="1"/>
    </xf>
    <xf numFmtId="0" fontId="6" fillId="3" borderId="26" xfId="0" applyFont="1" applyFill="1" applyBorder="1" applyAlignment="1">
      <alignment horizontal="center" wrapText="1"/>
    </xf>
    <xf numFmtId="0" fontId="6" fillId="0" borderId="13"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17" xfId="0" applyFont="1" applyBorder="1" applyAlignment="1">
      <alignment horizontal="center" vertical="center" wrapText="1"/>
    </xf>
    <xf numFmtId="0" fontId="6" fillId="3" borderId="6" xfId="0" applyFont="1" applyFill="1" applyBorder="1" applyAlignment="1">
      <alignment horizontal="center" shrinkToFit="1"/>
    </xf>
    <xf numFmtId="0" fontId="6" fillId="3" borderId="7" xfId="0" applyFont="1" applyFill="1" applyBorder="1" applyAlignment="1">
      <alignment horizontal="center" shrinkToFit="1"/>
    </xf>
    <xf numFmtId="0" fontId="6" fillId="3" borderId="8" xfId="0" applyFont="1" applyFill="1" applyBorder="1" applyAlignment="1">
      <alignment horizontal="center" shrinkToFit="1"/>
    </xf>
    <xf numFmtId="0" fontId="9" fillId="0" borderId="6" xfId="0" applyFont="1" applyBorder="1" applyAlignment="1">
      <alignment horizontal="center" wrapText="1"/>
    </xf>
    <xf numFmtId="0" fontId="9" fillId="0" borderId="7" xfId="0" applyFont="1" applyBorder="1" applyAlignment="1">
      <alignment horizontal="center" wrapText="1"/>
    </xf>
    <xf numFmtId="0" fontId="9" fillId="0" borderId="8" xfId="0" applyFont="1" applyBorder="1" applyAlignment="1">
      <alignment horizontal="center" wrapText="1"/>
    </xf>
    <xf numFmtId="0" fontId="6" fillId="3" borderId="6" xfId="0" applyFont="1" applyFill="1" applyBorder="1" applyAlignment="1">
      <alignment horizontal="center" wrapText="1"/>
    </xf>
    <xf numFmtId="0" fontId="6" fillId="3" borderId="7" xfId="0" applyFont="1" applyFill="1" applyBorder="1" applyAlignment="1">
      <alignment horizontal="center" wrapText="1"/>
    </xf>
    <xf numFmtId="0" fontId="6" fillId="3" borderId="8" xfId="0" applyFont="1" applyFill="1" applyBorder="1" applyAlignment="1">
      <alignment horizontal="center" wrapText="1"/>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9" fillId="0" borderId="17" xfId="0" applyFont="1" applyBorder="1" applyAlignment="1">
      <alignment horizontal="center" vertical="center"/>
    </xf>
    <xf numFmtId="0" fontId="9" fillId="0" borderId="16" xfId="0" applyFont="1" applyBorder="1" applyAlignment="1">
      <alignment horizontal="center" vertical="center"/>
    </xf>
    <xf numFmtId="0" fontId="9" fillId="0" borderId="5" xfId="0" applyFont="1" applyBorder="1" applyAlignment="1">
      <alignment horizontal="center" vertical="center"/>
    </xf>
    <xf numFmtId="0" fontId="9" fillId="0" borderId="15" xfId="0" applyFont="1" applyBorder="1" applyAlignment="1">
      <alignment horizontal="center" vertical="center"/>
    </xf>
    <xf numFmtId="0" fontId="9" fillId="0" borderId="13" xfId="0" applyFont="1" applyBorder="1" applyAlignment="1">
      <alignment horizontal="center" vertical="center" wrapText="1"/>
    </xf>
    <xf numFmtId="0" fontId="9" fillId="0" borderId="14" xfId="0" applyFont="1" applyBorder="1" applyAlignment="1">
      <alignment horizontal="center" vertical="center" wrapText="1"/>
    </xf>
    <xf numFmtId="0" fontId="9" fillId="0" borderId="17" xfId="0" applyFont="1" applyBorder="1" applyAlignment="1">
      <alignment horizontal="center" vertical="center" wrapText="1"/>
    </xf>
    <xf numFmtId="0" fontId="9" fillId="0" borderId="16" xfId="0" applyFont="1" applyBorder="1" applyAlignment="1">
      <alignment horizontal="center" vertical="center" wrapText="1"/>
    </xf>
    <xf numFmtId="0" fontId="9" fillId="0" borderId="5" xfId="0" applyFont="1" applyBorder="1" applyAlignment="1">
      <alignment horizontal="center" vertical="center" wrapText="1"/>
    </xf>
    <xf numFmtId="0" fontId="9" fillId="0" borderId="15" xfId="0" applyFont="1" applyBorder="1" applyAlignment="1">
      <alignment horizontal="center" vertical="center" wrapText="1"/>
    </xf>
    <xf numFmtId="2" fontId="9" fillId="0" borderId="13" xfId="0" applyNumberFormat="1" applyFont="1" applyBorder="1" applyAlignment="1">
      <alignment horizontal="center" vertical="center" wrapText="1"/>
    </xf>
    <xf numFmtId="2" fontId="9" fillId="0" borderId="14" xfId="0" applyNumberFormat="1" applyFont="1" applyBorder="1" applyAlignment="1">
      <alignment horizontal="center" vertical="center" wrapText="1"/>
    </xf>
    <xf numFmtId="2" fontId="9" fillId="0" borderId="27" xfId="0" applyNumberFormat="1" applyFont="1" applyBorder="1" applyAlignment="1">
      <alignment horizontal="center" vertical="center" wrapText="1"/>
    </xf>
    <xf numFmtId="2" fontId="9" fillId="0" borderId="16" xfId="0" applyNumberFormat="1" applyFont="1" applyBorder="1" applyAlignment="1">
      <alignment horizontal="center" vertical="center" wrapText="1"/>
    </xf>
    <xf numFmtId="2" fontId="9" fillId="0" borderId="5" xfId="0" applyNumberFormat="1" applyFont="1" applyBorder="1" applyAlignment="1">
      <alignment horizontal="center" vertical="center" wrapText="1"/>
    </xf>
    <xf numFmtId="2" fontId="9" fillId="0" borderId="28" xfId="0" applyNumberFormat="1" applyFont="1" applyBorder="1" applyAlignment="1">
      <alignment horizontal="center" vertical="center" wrapText="1"/>
    </xf>
    <xf numFmtId="0" fontId="6" fillId="3" borderId="10"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6" fillId="3" borderId="24" xfId="0" applyFont="1" applyFill="1" applyBorder="1" applyAlignment="1">
      <alignment horizontal="center" vertical="center" wrapText="1"/>
    </xf>
    <xf numFmtId="0" fontId="6" fillId="3" borderId="10" xfId="0" applyFont="1" applyFill="1" applyBorder="1" applyAlignment="1">
      <alignment horizontal="center" shrinkToFit="1"/>
    </xf>
    <xf numFmtId="0" fontId="6" fillId="3" borderId="11" xfId="0" applyFont="1" applyFill="1" applyBorder="1" applyAlignment="1">
      <alignment horizontal="center" shrinkToFit="1"/>
    </xf>
    <xf numFmtId="0" fontId="6" fillId="3" borderId="24" xfId="0" applyFont="1" applyFill="1" applyBorder="1" applyAlignment="1">
      <alignment horizontal="center" shrinkToFit="1"/>
    </xf>
    <xf numFmtId="0" fontId="9" fillId="0" borderId="10" xfId="0" applyFont="1" applyBorder="1" applyAlignment="1">
      <alignment horizontal="center" wrapText="1"/>
    </xf>
    <xf numFmtId="0" fontId="9" fillId="0" borderId="11" xfId="0" applyFont="1" applyBorder="1" applyAlignment="1">
      <alignment horizontal="center" wrapText="1"/>
    </xf>
    <xf numFmtId="0" fontId="9" fillId="0" borderId="24" xfId="0" applyFont="1" applyBorder="1" applyAlignment="1">
      <alignment horizontal="center" wrapText="1"/>
    </xf>
    <xf numFmtId="0" fontId="2" fillId="0" borderId="92" xfId="0" applyFont="1" applyBorder="1" applyAlignment="1">
      <alignment horizontal="left" vertical="top"/>
    </xf>
    <xf numFmtId="0" fontId="2" fillId="0" borderId="94" xfId="0" applyFont="1" applyBorder="1" applyAlignment="1">
      <alignment horizontal="left" vertical="top"/>
    </xf>
    <xf numFmtId="0" fontId="2" fillId="0" borderId="92" xfId="0" applyFont="1" applyBorder="1" applyAlignment="1">
      <alignment horizontal="left" vertical="top" wrapText="1"/>
    </xf>
    <xf numFmtId="0" fontId="2" fillId="0" borderId="93" xfId="0" applyFont="1" applyBorder="1" applyAlignment="1">
      <alignment horizontal="left" vertical="top" wrapText="1"/>
    </xf>
    <xf numFmtId="0" fontId="2" fillId="0" borderId="94" xfId="0" applyFont="1" applyBorder="1" applyAlignment="1">
      <alignment horizontal="left" vertical="top" wrapText="1"/>
    </xf>
    <xf numFmtId="0" fontId="2" fillId="0" borderId="113" xfId="0" applyFont="1" applyBorder="1" applyAlignment="1">
      <alignment horizontal="left" vertical="top"/>
    </xf>
    <xf numFmtId="0" fontId="2" fillId="0" borderId="114" xfId="0" applyFont="1" applyBorder="1" applyAlignment="1">
      <alignment horizontal="left" vertical="top"/>
    </xf>
    <xf numFmtId="0" fontId="2" fillId="0" borderId="115" xfId="0" applyFont="1" applyBorder="1" applyAlignment="1">
      <alignment horizontal="left" vertical="top"/>
    </xf>
    <xf numFmtId="0" fontId="2" fillId="0" borderId="112" xfId="0" applyFont="1" applyBorder="1" applyAlignment="1">
      <alignment horizontal="left" vertical="top"/>
    </xf>
    <xf numFmtId="0" fontId="2" fillId="0" borderId="93" xfId="0" applyFont="1" applyBorder="1" applyAlignment="1">
      <alignment horizontal="left" vertical="top"/>
    </xf>
    <xf numFmtId="0" fontId="7" fillId="37" borderId="99" xfId="0" applyFont="1" applyFill="1" applyBorder="1" applyAlignment="1">
      <alignment vertical="center"/>
    </xf>
    <xf numFmtId="0" fontId="7" fillId="37" borderId="100" xfId="0" applyFont="1" applyFill="1" applyBorder="1" applyAlignment="1">
      <alignment vertical="center"/>
    </xf>
    <xf numFmtId="0" fontId="7" fillId="37" borderId="101" xfId="0" applyFont="1" applyFill="1" applyBorder="1" applyAlignment="1">
      <alignment vertical="center"/>
    </xf>
    <xf numFmtId="0" fontId="7" fillId="37" borderId="102" xfId="0" applyFont="1" applyFill="1" applyBorder="1" applyAlignment="1">
      <alignment vertical="center"/>
    </xf>
    <xf numFmtId="0" fontId="7" fillId="37" borderId="103" xfId="0" applyFont="1" applyFill="1" applyBorder="1" applyAlignment="1">
      <alignment vertical="center"/>
    </xf>
    <xf numFmtId="0" fontId="7" fillId="37" borderId="104" xfId="0" applyFont="1" applyFill="1" applyBorder="1" applyAlignment="1">
      <alignment vertical="center"/>
    </xf>
    <xf numFmtId="0" fontId="2" fillId="0" borderId="116" xfId="0" applyFont="1" applyBorder="1" applyAlignment="1">
      <alignment horizontal="left" vertical="top"/>
    </xf>
    <xf numFmtId="0" fontId="2" fillId="0" borderId="16" xfId="0" applyFont="1" applyBorder="1" applyAlignment="1">
      <alignment horizontal="left" vertical="top"/>
    </xf>
    <xf numFmtId="0" fontId="2" fillId="0" borderId="15" xfId="0" applyFont="1" applyBorder="1" applyAlignment="1">
      <alignment horizontal="left" vertical="top"/>
    </xf>
    <xf numFmtId="0" fontId="2" fillId="0" borderId="117" xfId="0" applyFont="1" applyBorder="1" applyAlignment="1">
      <alignment horizontal="left" vertical="top" wrapText="1"/>
    </xf>
    <xf numFmtId="0" fontId="2" fillId="0" borderId="118" xfId="0" applyFont="1" applyBorder="1" applyAlignment="1">
      <alignment horizontal="left" vertical="top" wrapText="1"/>
    </xf>
    <xf numFmtId="0" fontId="2" fillId="0" borderId="119" xfId="0" applyFont="1" applyBorder="1" applyAlignment="1">
      <alignment horizontal="left" vertical="top" wrapText="1"/>
    </xf>
    <xf numFmtId="0" fontId="2" fillId="0" borderId="108" xfId="0" applyFont="1" applyBorder="1" applyAlignment="1">
      <alignment horizontal="left" vertical="top"/>
    </xf>
    <xf numFmtId="0" fontId="2" fillId="0" borderId="109" xfId="0" applyFont="1" applyBorder="1" applyAlignment="1">
      <alignment horizontal="left" vertical="top"/>
    </xf>
    <xf numFmtId="0" fontId="67" fillId="0" borderId="90" xfId="180" applyFont="1" applyBorder="1" applyAlignment="1">
      <alignment horizontal="center" vertical="top"/>
    </xf>
    <xf numFmtId="0" fontId="67" fillId="0" borderId="91" xfId="180" applyFont="1" applyBorder="1" applyAlignment="1">
      <alignment horizontal="center" vertical="top"/>
    </xf>
    <xf numFmtId="0" fontId="67" fillId="0" borderId="91" xfId="180" applyFont="1" applyBorder="1" applyAlignment="1">
      <alignment vertical="top"/>
    </xf>
    <xf numFmtId="0" fontId="67" fillId="0" borderId="92" xfId="180" applyFont="1" applyBorder="1" applyAlignment="1">
      <alignment horizontal="left" vertical="top" wrapText="1"/>
    </xf>
    <xf numFmtId="0" fontId="0" fillId="0" borderId="93" xfId="0" applyBorder="1" applyAlignment="1">
      <alignment horizontal="left" vertical="top" wrapText="1"/>
    </xf>
    <xf numFmtId="0" fontId="0" fillId="0" borderId="94" xfId="0" applyBorder="1" applyAlignment="1">
      <alignment horizontal="left" vertical="top" wrapText="1"/>
    </xf>
    <xf numFmtId="0" fontId="67" fillId="0" borderId="92" xfId="180" applyFont="1" applyBorder="1" applyAlignment="1">
      <alignment vertical="top" wrapText="1"/>
    </xf>
    <xf numFmtId="0" fontId="0" fillId="0" borderId="93" xfId="0" applyBorder="1" applyAlignment="1">
      <alignment vertical="top" wrapText="1"/>
    </xf>
    <xf numFmtId="0" fontId="0" fillId="0" borderId="94" xfId="0" applyBorder="1" applyAlignment="1">
      <alignment vertical="top" wrapText="1"/>
    </xf>
    <xf numFmtId="0" fontId="67" fillId="0" borderId="87" xfId="180" applyFont="1" applyBorder="1" applyAlignment="1">
      <alignment horizontal="left" vertical="top" wrapText="1"/>
    </xf>
    <xf numFmtId="0" fontId="0" fillId="0" borderId="88" xfId="0" applyBorder="1" applyAlignment="1">
      <alignment horizontal="left" vertical="top" wrapText="1"/>
    </xf>
    <xf numFmtId="0" fontId="0" fillId="0" borderId="89" xfId="0" applyBorder="1" applyAlignment="1">
      <alignment horizontal="left" vertical="top" wrapText="1"/>
    </xf>
    <xf numFmtId="0" fontId="67" fillId="0" borderId="87" xfId="180" applyFont="1" applyBorder="1" applyAlignment="1">
      <alignment vertical="top" wrapText="1"/>
    </xf>
    <xf numFmtId="0" fontId="0" fillId="0" borderId="88" xfId="0" applyBorder="1" applyAlignment="1">
      <alignment vertical="top" wrapText="1"/>
    </xf>
    <xf numFmtId="0" fontId="0" fillId="0" borderId="89" xfId="0" applyBorder="1" applyAlignment="1">
      <alignment vertical="top" wrapText="1"/>
    </xf>
    <xf numFmtId="0" fontId="67" fillId="0" borderId="96" xfId="180" applyFont="1" applyBorder="1" applyAlignment="1">
      <alignment horizontal="center" vertical="top"/>
    </xf>
    <xf numFmtId="0" fontId="67" fillId="0" borderId="97" xfId="180" applyFont="1" applyBorder="1" applyAlignment="1">
      <alignment horizontal="center" vertical="top"/>
    </xf>
    <xf numFmtId="0" fontId="67" fillId="0" borderId="97" xfId="180" applyFont="1" applyBorder="1" applyAlignment="1">
      <alignment vertical="top"/>
    </xf>
    <xf numFmtId="0" fontId="66" fillId="4" borderId="84" xfId="179" applyFont="1" applyFill="1" applyBorder="1" applyAlignment="1">
      <alignment horizontal="center" vertical="center"/>
    </xf>
    <xf numFmtId="0" fontId="67" fillId="0" borderId="85" xfId="179" applyFont="1" applyBorder="1" applyAlignment="1">
      <alignment horizontal="center" vertical="center"/>
    </xf>
    <xf numFmtId="0" fontId="66" fillId="4" borderId="86" xfId="179" applyFont="1" applyFill="1" applyBorder="1" applyAlignment="1">
      <alignment horizontal="center" vertical="center"/>
    </xf>
    <xf numFmtId="0" fontId="67" fillId="0" borderId="86" xfId="179" applyFont="1" applyBorder="1" applyAlignment="1">
      <alignment horizontal="center" vertical="center"/>
    </xf>
  </cellXfs>
  <cellStyles count="182">
    <cellStyle name="0301" xfId="29" xr:uid="{00000000-0005-0000-0000-00004D000000}"/>
    <cellStyle name="0_x0014_標準_F_02?P_Dd080301" xfId="11" xr:uid="{00000000-0005-0000-0000-000020000000}"/>
    <cellStyle name="20% - アクセント 1 2" xfId="31" xr:uid="{00000000-0005-0000-0000-00004F000000}"/>
    <cellStyle name="20% - アクセント 1 3" xfId="24" xr:uid="{00000000-0005-0000-0000-000048000000}"/>
    <cellStyle name="20% - アクセント 1 4" xfId="32" xr:uid="{00000000-0005-0000-0000-000050000000}"/>
    <cellStyle name="20% - アクセント 2 2" xfId="34" xr:uid="{00000000-0005-0000-0000-000052000000}"/>
    <cellStyle name="20% - アクセント 2 3" xfId="35" xr:uid="{00000000-0005-0000-0000-000053000000}"/>
    <cellStyle name="20% - アクセント 2 4" xfId="38" xr:uid="{00000000-0005-0000-0000-000056000000}"/>
    <cellStyle name="20% - アクセント 3 2" xfId="40" xr:uid="{00000000-0005-0000-0000-000058000000}"/>
    <cellStyle name="20% - アクセント 3 3" xfId="14" xr:uid="{00000000-0005-0000-0000-000027000000}"/>
    <cellStyle name="20% - アクセント 3 4" xfId="41" xr:uid="{00000000-0005-0000-0000-000059000000}"/>
    <cellStyle name="20% - アクセント 4 2" xfId="43" xr:uid="{00000000-0005-0000-0000-00005B000000}"/>
    <cellStyle name="20% - アクセント 4 3" xfId="18" xr:uid="{00000000-0005-0000-0000-000034000000}"/>
    <cellStyle name="20% - アクセント 4 4" xfId="20" xr:uid="{00000000-0005-0000-0000-000038000000}"/>
    <cellStyle name="20% - アクセント 5 2" xfId="26" xr:uid="{00000000-0005-0000-0000-00004A000000}"/>
    <cellStyle name="20% - アクセント 5 3" xfId="27" xr:uid="{00000000-0005-0000-0000-00004B000000}"/>
    <cellStyle name="20% - アクセント 5 4" xfId="44" xr:uid="{00000000-0005-0000-0000-00005C000000}"/>
    <cellStyle name="20% - アクセント 6 2" xfId="45" xr:uid="{00000000-0005-0000-0000-00005D000000}"/>
    <cellStyle name="20% - アクセント 6 3" xfId="46" xr:uid="{00000000-0005-0000-0000-00005E000000}"/>
    <cellStyle name="20% - アクセント 6 4" xfId="47" xr:uid="{00000000-0005-0000-0000-00005F000000}"/>
    <cellStyle name="40% - アクセント 1 2" xfId="48" xr:uid="{00000000-0005-0000-0000-000060000000}"/>
    <cellStyle name="40% - アクセント 1 3" xfId="49" xr:uid="{00000000-0005-0000-0000-000061000000}"/>
    <cellStyle name="40% - アクセント 1 4" xfId="50" xr:uid="{00000000-0005-0000-0000-000062000000}"/>
    <cellStyle name="40% - アクセント 2 2" xfId="51" xr:uid="{00000000-0005-0000-0000-000063000000}"/>
    <cellStyle name="40% - アクセント 2 3" xfId="52" xr:uid="{00000000-0005-0000-0000-000064000000}"/>
    <cellStyle name="40% - アクセント 2 4" xfId="53" xr:uid="{00000000-0005-0000-0000-000065000000}"/>
    <cellStyle name="40% - アクセント 3 2" xfId="54" xr:uid="{00000000-0005-0000-0000-000066000000}"/>
    <cellStyle name="40% - アクセント 3 3" xfId="7" xr:uid="{00000000-0005-0000-0000-000018000000}"/>
    <cellStyle name="40% - アクセント 3 4" xfId="56" xr:uid="{00000000-0005-0000-0000-000068000000}"/>
    <cellStyle name="40% - アクセント 4 2" xfId="58" xr:uid="{00000000-0005-0000-0000-00006A000000}"/>
    <cellStyle name="40% - アクセント 4 3" xfId="60" xr:uid="{00000000-0005-0000-0000-00006C000000}"/>
    <cellStyle name="40% - アクセント 4 4" xfId="61" xr:uid="{00000000-0005-0000-0000-00006D000000}"/>
    <cellStyle name="40% - アクセント 5 2" xfId="62" xr:uid="{00000000-0005-0000-0000-00006E000000}"/>
    <cellStyle name="40% - アクセント 5 3" xfId="63" xr:uid="{00000000-0005-0000-0000-00006F000000}"/>
    <cellStyle name="40% - アクセント 5 4" xfId="2" xr:uid="{00000000-0005-0000-0000-000008000000}"/>
    <cellStyle name="40% - アクセント 6 2" xfId="23" xr:uid="{00000000-0005-0000-0000-00003F000000}"/>
    <cellStyle name="40% - アクセント 6 3" xfId="17" xr:uid="{00000000-0005-0000-0000-000031000000}"/>
    <cellStyle name="40% - アクセント 6 4" xfId="16" xr:uid="{00000000-0005-0000-0000-00002B000000}"/>
    <cellStyle name="60% - アクセント 1 2" xfId="64" xr:uid="{00000000-0005-0000-0000-000070000000}"/>
    <cellStyle name="60% - アクセント 1 3" xfId="65" xr:uid="{00000000-0005-0000-0000-000071000000}"/>
    <cellStyle name="60% - アクセント 1 4" xfId="66" xr:uid="{00000000-0005-0000-0000-000072000000}"/>
    <cellStyle name="60% - アクセント 2 2" xfId="67" xr:uid="{00000000-0005-0000-0000-000073000000}"/>
    <cellStyle name="60% - アクセント 2 3" xfId="68" xr:uid="{00000000-0005-0000-0000-000074000000}"/>
    <cellStyle name="60% - アクセント 2 4" xfId="69" xr:uid="{00000000-0005-0000-0000-000075000000}"/>
    <cellStyle name="60% - アクセント 3 2" xfId="71" xr:uid="{00000000-0005-0000-0000-000077000000}"/>
    <cellStyle name="60% - アクセント 3 3" xfId="73" xr:uid="{00000000-0005-0000-0000-000079000000}"/>
    <cellStyle name="60% - アクセント 3 4" xfId="74" xr:uid="{00000000-0005-0000-0000-00007A000000}"/>
    <cellStyle name="60% - アクセント 4 2" xfId="75" xr:uid="{00000000-0005-0000-0000-00007B000000}"/>
    <cellStyle name="60% - アクセント 4 3" xfId="76" xr:uid="{00000000-0005-0000-0000-00007C000000}"/>
    <cellStyle name="60% - アクセント 4 4" xfId="77" xr:uid="{00000000-0005-0000-0000-00007D000000}"/>
    <cellStyle name="60% - アクセント 5 2" xfId="78" xr:uid="{00000000-0005-0000-0000-00007E000000}"/>
    <cellStyle name="60% - アクセント 5 3" xfId="79" xr:uid="{00000000-0005-0000-0000-00007F000000}"/>
    <cellStyle name="60% - アクセント 5 4" xfId="80" xr:uid="{00000000-0005-0000-0000-000080000000}"/>
    <cellStyle name="60% - アクセント 6 2" xfId="5" xr:uid="{00000000-0005-0000-0000-000013000000}"/>
    <cellStyle name="60% - アクセント 6 3" xfId="81" xr:uid="{00000000-0005-0000-0000-000081000000}"/>
    <cellStyle name="60% - アクセント 6 4" xfId="82" xr:uid="{00000000-0005-0000-0000-000082000000}"/>
    <cellStyle name="Calc Currency (0)" xfId="83" xr:uid="{00000000-0005-0000-0000-000083000000}"/>
    <cellStyle name="Header1" xfId="84" xr:uid="{00000000-0005-0000-0000-000084000000}"/>
    <cellStyle name="Header2" xfId="85" xr:uid="{00000000-0005-0000-0000-000085000000}"/>
    <cellStyle name="PSChar" xfId="22" xr:uid="{00000000-0005-0000-0000-00003D000000}"/>
    <cellStyle name="PSHeading" xfId="86" xr:uid="{00000000-0005-0000-0000-000087000000}"/>
    <cellStyle name="PSHeading 2" xfId="87" xr:uid="{00000000-0005-0000-0000-000088000000}"/>
    <cellStyle name="u" xfId="70" xr:uid="{00000000-0005-0000-0000-000076000000}"/>
    <cellStyle name="アクセント 1 2" xfId="88" xr:uid="{00000000-0005-0000-0000-000089000000}"/>
    <cellStyle name="アクセント 1 2 2" xfId="89" xr:uid="{00000000-0005-0000-0000-00008A000000}"/>
    <cellStyle name="アクセント 1 3" xfId="90" xr:uid="{00000000-0005-0000-0000-00008B000000}"/>
    <cellStyle name="アクセント 1 4" xfId="30" xr:uid="{00000000-0005-0000-0000-00004E000000}"/>
    <cellStyle name="アクセント 2 2" xfId="91" xr:uid="{00000000-0005-0000-0000-00008C000000}"/>
    <cellStyle name="アクセント 2 3" xfId="92" xr:uid="{00000000-0005-0000-0000-00008D000000}"/>
    <cellStyle name="アクセント 2 4" xfId="93" xr:uid="{00000000-0005-0000-0000-00008E000000}"/>
    <cellStyle name="アクセント 3 2" xfId="12" xr:uid="{00000000-0005-0000-0000-000025000000}"/>
    <cellStyle name="アクセント 3 2 2" xfId="4" xr:uid="{00000000-0005-0000-0000-00000C000000}"/>
    <cellStyle name="アクセント 3 3" xfId="94" xr:uid="{00000000-0005-0000-0000-00008F000000}"/>
    <cellStyle name="アクセント 3 4" xfId="95" xr:uid="{00000000-0005-0000-0000-000090000000}"/>
    <cellStyle name="アクセント 4 2" xfId="96" xr:uid="{00000000-0005-0000-0000-000091000000}"/>
    <cellStyle name="アクセント 4 3" xfId="97" xr:uid="{00000000-0005-0000-0000-000092000000}"/>
    <cellStyle name="アクセント 4 4" xfId="98" xr:uid="{00000000-0005-0000-0000-000093000000}"/>
    <cellStyle name="アクセント 5 2" xfId="3" xr:uid="{00000000-0005-0000-0000-00000A000000}"/>
    <cellStyle name="アクセント 5 3" xfId="99" xr:uid="{00000000-0005-0000-0000-000094000000}"/>
    <cellStyle name="アクセント 5 4" xfId="100" xr:uid="{00000000-0005-0000-0000-000095000000}"/>
    <cellStyle name="アクセント 6 2" xfId="101" xr:uid="{00000000-0005-0000-0000-000096000000}"/>
    <cellStyle name="アクセント 6 3" xfId="102" xr:uid="{00000000-0005-0000-0000-000097000000}"/>
    <cellStyle name="アクセント 6 4" xfId="103" xr:uid="{00000000-0005-0000-0000-000098000000}"/>
    <cellStyle name="タイトル 2" xfId="104" xr:uid="{00000000-0005-0000-0000-000099000000}"/>
    <cellStyle name="タイトル 3" xfId="105" xr:uid="{00000000-0005-0000-0000-00009A000000}"/>
    <cellStyle name="タイトル 4" xfId="106" xr:uid="{00000000-0005-0000-0000-00009B000000}"/>
    <cellStyle name="チェック セル 2" xfId="108" xr:uid="{00000000-0005-0000-0000-00009D000000}"/>
    <cellStyle name="チェック セル 3" xfId="110" xr:uid="{00000000-0005-0000-0000-00009F000000}"/>
    <cellStyle name="チェック セル 4" xfId="112" xr:uid="{00000000-0005-0000-0000-0000A1000000}"/>
    <cellStyle name="どちらでもない 2" xfId="8" xr:uid="{00000000-0005-0000-0000-00001B000000}"/>
    <cellStyle name="どちらでもない 3" xfId="9" xr:uid="{00000000-0005-0000-0000-00001D000000}"/>
    <cellStyle name="どちらでもない 4" xfId="10" xr:uid="{00000000-0005-0000-0000-00001F000000}"/>
    <cellStyle name="メモ 2" xfId="115" xr:uid="{00000000-0005-0000-0000-0000A4000000}"/>
    <cellStyle name="メモ 3" xfId="116" xr:uid="{00000000-0005-0000-0000-0000A5000000}"/>
    <cellStyle name="メモ 4" xfId="117" xr:uid="{00000000-0005-0000-0000-0000A6000000}"/>
    <cellStyle name="リンク セル 2" xfId="118" xr:uid="{00000000-0005-0000-0000-0000A7000000}"/>
    <cellStyle name="リンク セル 3" xfId="120" xr:uid="{00000000-0005-0000-0000-0000A9000000}"/>
    <cellStyle name="リンク セル 4" xfId="121" xr:uid="{00000000-0005-0000-0000-0000AA000000}"/>
    <cellStyle name="_x001d__x000c_K_x0014__x000d_&gt;V_x0001_&gt;_x0014_n_x001e__x0007__x0001__x0001_" xfId="122" xr:uid="{00000000-0005-0000-0000-0000AB000000}"/>
    <cellStyle name="悪い 2" xfId="123" xr:uid="{00000000-0005-0000-0000-0000AC000000}"/>
    <cellStyle name="悪い 3" xfId="124" xr:uid="{00000000-0005-0000-0000-0000AD000000}"/>
    <cellStyle name="悪い 4" xfId="126" xr:uid="{00000000-0005-0000-0000-0000AF000000}"/>
    <cellStyle name="計算 2" xfId="125" xr:uid="{00000000-0005-0000-0000-0000AE000000}"/>
    <cellStyle name="計算 3" xfId="127" xr:uid="{00000000-0005-0000-0000-0000B0000000}"/>
    <cellStyle name="計算 4" xfId="128" xr:uid="{00000000-0005-0000-0000-0000B1000000}"/>
    <cellStyle name="警告文 2" xfId="129" xr:uid="{00000000-0005-0000-0000-0000B2000000}"/>
    <cellStyle name="警告文 3" xfId="130" xr:uid="{00000000-0005-0000-0000-0000B3000000}"/>
    <cellStyle name="警告文 4" xfId="131" xr:uid="{00000000-0005-0000-0000-0000B4000000}"/>
    <cellStyle name="桁区切り 2" xfId="132" xr:uid="{00000000-0005-0000-0000-0000B5000000}"/>
    <cellStyle name="桁区切り 3" xfId="133" xr:uid="{00000000-0005-0000-0000-0000B6000000}"/>
    <cellStyle name="見出し 1 2" xfId="134" xr:uid="{00000000-0005-0000-0000-0000B7000000}"/>
    <cellStyle name="見出し 1 3" xfId="135" xr:uid="{00000000-0005-0000-0000-0000B8000000}"/>
    <cellStyle name="見出し 1 4" xfId="136" xr:uid="{00000000-0005-0000-0000-0000B9000000}"/>
    <cellStyle name="見出し 2 2" xfId="138" xr:uid="{00000000-0005-0000-0000-0000BB000000}"/>
    <cellStyle name="見出し 2 3" xfId="139" xr:uid="{00000000-0005-0000-0000-0000BC000000}"/>
    <cellStyle name="見出し 2 4" xfId="140" xr:uid="{00000000-0005-0000-0000-0000BD000000}"/>
    <cellStyle name="見出し 3 2" xfId="141" xr:uid="{00000000-0005-0000-0000-0000BE000000}"/>
    <cellStyle name="見出し 3 3" xfId="142" xr:uid="{00000000-0005-0000-0000-0000BF000000}"/>
    <cellStyle name="見出し 3 4" xfId="143" xr:uid="{00000000-0005-0000-0000-0000C0000000}"/>
    <cellStyle name="見出し 4 2" xfId="144" xr:uid="{00000000-0005-0000-0000-0000C1000000}"/>
    <cellStyle name="見出し 4 3" xfId="145" xr:uid="{00000000-0005-0000-0000-0000C2000000}"/>
    <cellStyle name="見出し 4 4" xfId="147" xr:uid="{00000000-0005-0000-0000-0000C4000000}"/>
    <cellStyle name="集計 2" xfId="113" xr:uid="{00000000-0005-0000-0000-0000A2000000}"/>
    <cellStyle name="集計 3" xfId="148" xr:uid="{00000000-0005-0000-0000-0000C5000000}"/>
    <cellStyle name="集計 4" xfId="149" xr:uid="{00000000-0005-0000-0000-0000C6000000}"/>
    <cellStyle name="出力 2" xfId="15" xr:uid="{00000000-0005-0000-0000-00002A000000}"/>
    <cellStyle name="出力 3" xfId="150" xr:uid="{00000000-0005-0000-0000-0000C7000000}"/>
    <cellStyle name="出力 4" xfId="151" xr:uid="{00000000-0005-0000-0000-0000C8000000}"/>
    <cellStyle name="説明文 2" xfId="152" xr:uid="{00000000-0005-0000-0000-0000C9000000}"/>
    <cellStyle name="説明文 3" xfId="1" xr:uid="{00000000-0005-0000-0000-000003000000}"/>
    <cellStyle name="説明文 4" xfId="153" xr:uid="{00000000-0005-0000-0000-0000CA000000}"/>
    <cellStyle name="入力 2" xfId="109" xr:uid="{00000000-0005-0000-0000-00009E000000}"/>
    <cellStyle name="入力 3" xfId="111" xr:uid="{00000000-0005-0000-0000-0000A0000000}"/>
    <cellStyle name="入力 4" xfId="114" xr:uid="{00000000-0005-0000-0000-0000A3000000}"/>
    <cellStyle name="標準" xfId="0" builtinId="0"/>
    <cellStyle name="標準 10" xfId="72" xr:uid="{00000000-0005-0000-0000-000078000000}"/>
    <cellStyle name="標準 2" xfId="154" xr:uid="{00000000-0005-0000-0000-0000CB000000}"/>
    <cellStyle name="標準 2 2" xfId="25" xr:uid="{00000000-0005-0000-0000-000049000000}"/>
    <cellStyle name="標準 2 2 2" xfId="155" xr:uid="{00000000-0005-0000-0000-0000CC000000}"/>
    <cellStyle name="標準 2 2 3" xfId="156" xr:uid="{00000000-0005-0000-0000-0000CD000000}"/>
    <cellStyle name="標準 2 3" xfId="33" xr:uid="{00000000-0005-0000-0000-000051000000}"/>
    <cellStyle name="標準 2 35" xfId="179" xr:uid="{BB49ECF1-5EF5-4616-897E-887363F31398}"/>
    <cellStyle name="標準 2 4" xfId="157" xr:uid="{00000000-0005-0000-0000-0000CE000000}"/>
    <cellStyle name="標準 2 5" xfId="55" xr:uid="{00000000-0005-0000-0000-000067000000}"/>
    <cellStyle name="標準 2 6" xfId="6" xr:uid="{00000000-0005-0000-0000-000017000000}"/>
    <cellStyle name="標準 2 7" xfId="57" xr:uid="{00000000-0005-0000-0000-000069000000}"/>
    <cellStyle name="標準 2_Sheet3" xfId="119" xr:uid="{00000000-0005-0000-0000-0000A8000000}"/>
    <cellStyle name="標準 3" xfId="158" xr:uid="{00000000-0005-0000-0000-0000CF000000}"/>
    <cellStyle name="標準 3 2" xfId="36" xr:uid="{00000000-0005-0000-0000-000054000000}"/>
    <cellStyle name="標準 3 2 2" xfId="159" xr:uid="{00000000-0005-0000-0000-0000D0000000}"/>
    <cellStyle name="標準 3 2 3" xfId="160" xr:uid="{00000000-0005-0000-0000-0000D1000000}"/>
    <cellStyle name="標準 3 3" xfId="39" xr:uid="{00000000-0005-0000-0000-000057000000}"/>
    <cellStyle name="標準 3 3 2" xfId="161" xr:uid="{00000000-0005-0000-0000-0000D2000000}"/>
    <cellStyle name="標準 3 4" xfId="162" xr:uid="{00000000-0005-0000-0000-0000D3000000}"/>
    <cellStyle name="標準 3 5" xfId="59" xr:uid="{00000000-0005-0000-0000-00006B000000}"/>
    <cellStyle name="標準 3_Sheet3" xfId="137" xr:uid="{00000000-0005-0000-0000-0000BA000000}"/>
    <cellStyle name="標準 4" xfId="163" xr:uid="{00000000-0005-0000-0000-0000D4000000}"/>
    <cellStyle name="標準 4 2" xfId="13" xr:uid="{00000000-0005-0000-0000-000026000000}"/>
    <cellStyle name="標準 4 2 2" xfId="146" xr:uid="{00000000-0005-0000-0000-0000C3000000}"/>
    <cellStyle name="標準 4 3" xfId="42" xr:uid="{00000000-0005-0000-0000-00005A000000}"/>
    <cellStyle name="標準 4_Sheet3" xfId="164" xr:uid="{00000000-0005-0000-0000-0000D5000000}"/>
    <cellStyle name="標準 5" xfId="165" xr:uid="{00000000-0005-0000-0000-0000D6000000}"/>
    <cellStyle name="標準 5 2" xfId="19" xr:uid="{00000000-0005-0000-0000-000035000000}"/>
    <cellStyle name="標準 5 2 2" xfId="166" xr:uid="{00000000-0005-0000-0000-0000D7000000}"/>
    <cellStyle name="標準 5 2 9" xfId="167" xr:uid="{00000000-0005-0000-0000-0000D8000000}"/>
    <cellStyle name="標準 5 3" xfId="21" xr:uid="{00000000-0005-0000-0000-000039000000}"/>
    <cellStyle name="標準 51" xfId="180" xr:uid="{CE44B3A8-1180-42DB-A496-B25813490754}"/>
    <cellStyle name="標準 6" xfId="168" xr:uid="{00000000-0005-0000-0000-0000D9000000}"/>
    <cellStyle name="標準 6 2" xfId="28" xr:uid="{00000000-0005-0000-0000-00004C000000}"/>
    <cellStyle name="標準 6_Sheet3" xfId="37" xr:uid="{00000000-0005-0000-0000-000055000000}"/>
    <cellStyle name="標準 7" xfId="169" xr:uid="{00000000-0005-0000-0000-0000DA000000}"/>
    <cellStyle name="標準 8" xfId="170" xr:uid="{00000000-0005-0000-0000-0000DB000000}"/>
    <cellStyle name="標準 9" xfId="171" xr:uid="{00000000-0005-0000-0000-0000DC000000}"/>
    <cellStyle name="標準_【361】データベースオブジェクト一覧" xfId="172" xr:uid="{00000000-0005-0000-0000-0000DD000000}"/>
    <cellStyle name="標準_03-010国内原料" xfId="173" xr:uid="{00000000-0005-0000-0000-0000DE000000}"/>
    <cellStyle name="標準_IH-SC-01_画面一覧_表紙" xfId="174" xr:uid="{00000000-0005-0000-0000-0000DF000000}"/>
    <cellStyle name="標準_画面説明書（詳細）_画面ID_画面名称_vx.x" xfId="181" xr:uid="{1B7A2E6A-7B00-46F2-9B57-F4B549EC8270}"/>
    <cellStyle name="標準_画面説明書_CAP0010_承認状況確認" xfId="107" xr:uid="{00000000-0005-0000-0000-00009C000000}"/>
    <cellStyle name="未定義" xfId="175" xr:uid="{00000000-0005-0000-0000-0000E0000000}"/>
    <cellStyle name="良い 2" xfId="176" xr:uid="{00000000-0005-0000-0000-0000E1000000}"/>
    <cellStyle name="良い 3" xfId="177" xr:uid="{00000000-0005-0000-0000-0000E2000000}"/>
    <cellStyle name="良い 4" xfId="178" xr:uid="{00000000-0005-0000-0000-0000E3000000}"/>
  </cellStyles>
  <dxfs count="0"/>
  <tableStyles count="0" defaultTableStyle="TableStyleMedium9" defaultPivotStyle="PivotStyleLight16"/>
  <colors>
    <mruColors>
      <color rgb="FF0000FF"/>
      <color rgb="FFCCFFCC"/>
      <color rgb="FFFFFFCC"/>
      <color rgb="FFFFCCCC"/>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5" Type="http://schemas.openxmlformats.org/officeDocument/2006/relationships/image" Target="../media/image7.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5" Type="http://schemas.openxmlformats.org/officeDocument/2006/relationships/image" Target="../media/image7.png"/><Relationship Id="rId4"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9</xdr:col>
      <xdr:colOff>0</xdr:colOff>
      <xdr:row>11</xdr:row>
      <xdr:rowOff>0</xdr:rowOff>
    </xdr:from>
    <xdr:to>
      <xdr:col>42</xdr:col>
      <xdr:colOff>0</xdr:colOff>
      <xdr:row>21</xdr:row>
      <xdr:rowOff>0</xdr:rowOff>
    </xdr:to>
    <xdr:sp macro="" textlink="">
      <xdr:nvSpPr>
        <xdr:cNvPr id="2" name="角丸四角形 1">
          <a:extLst>
            <a:ext uri="{FF2B5EF4-FFF2-40B4-BE49-F238E27FC236}">
              <a16:creationId xmlns:a16="http://schemas.microsoft.com/office/drawing/2014/main" id="{00000000-0008-0000-0100-000002000000}"/>
            </a:ext>
          </a:extLst>
        </xdr:cNvPr>
        <xdr:cNvSpPr/>
      </xdr:nvSpPr>
      <xdr:spPr>
        <a:xfrm>
          <a:off x="1665605" y="2274570"/>
          <a:ext cx="5993765" cy="1905000"/>
        </a:xfrm>
        <a:prstGeom prst="roundRect">
          <a:avLst/>
        </a:prstGeom>
        <a:noFill/>
        <a:ln w="2857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3600">
            <a:latin typeface="Meiryo UI" panose="020B0604030504040204" pitchFamily="50" charset="-128"/>
            <a:ea typeface="Meiryo UI" panose="020B0604030504040204" pitchFamily="50" charset="-128"/>
          </a:endParaRPr>
        </a:p>
      </xdr:txBody>
    </xdr:sp>
    <xdr:clientData/>
  </xdr:twoCellAnchor>
  <xdr:twoCellAnchor editAs="oneCell">
    <xdr:from>
      <xdr:col>41</xdr:col>
      <xdr:colOff>1</xdr:colOff>
      <xdr:row>0</xdr:row>
      <xdr:rowOff>0</xdr:rowOff>
    </xdr:from>
    <xdr:to>
      <xdr:col>47</xdr:col>
      <xdr:colOff>0</xdr:colOff>
      <xdr:row>1</xdr:row>
      <xdr:rowOff>1</xdr:rowOff>
    </xdr:to>
    <xdr:sp macro="" textlink="">
      <xdr:nvSpPr>
        <xdr:cNvPr id="3" name="Rectangle 23">
          <a:extLst>
            <a:ext uri="{FF2B5EF4-FFF2-40B4-BE49-F238E27FC236}">
              <a16:creationId xmlns:a16="http://schemas.microsoft.com/office/drawing/2014/main" id="{00000000-0008-0000-0100-000003000000}"/>
            </a:ext>
          </a:extLst>
        </xdr:cNvPr>
        <xdr:cNvSpPr>
          <a:spLocks noChangeArrowheads="1"/>
        </xdr:cNvSpPr>
      </xdr:nvSpPr>
      <xdr:spPr>
        <a:xfrm>
          <a:off x="7479030" y="0"/>
          <a:ext cx="1082040" cy="200025"/>
        </a:xfrm>
        <a:prstGeom prst="rect">
          <a:avLst/>
        </a:prstGeom>
        <a:noFill/>
        <a:ln w="6350">
          <a:solidFill>
            <a:srgbClr val="000000"/>
          </a:solidFill>
          <a:miter lim="800000"/>
        </a:ln>
        <a:effectLst/>
      </xdr:spPr>
      <xdr:txBody>
        <a:bodyPr vertOverflow="clip" wrap="square" lIns="27432" tIns="18288" rIns="27432" bIns="18288" anchor="ctr" upright="1"/>
        <a:lstStyle/>
        <a:p>
          <a:pPr algn="ctr" rtl="0">
            <a:defRPr sz="1000"/>
          </a:pPr>
          <a:r>
            <a:rPr lang="en-US" altLang="ja-JP" sz="1000" b="0" i="0" strike="noStrike">
              <a:solidFill>
                <a:srgbClr val="000000"/>
              </a:solidFill>
              <a:latin typeface="Meiryo UI" panose="020B0604030504040204" pitchFamily="50" charset="-128"/>
              <a:ea typeface="Meiryo UI" panose="020B0604030504040204" pitchFamily="50" charset="-128"/>
            </a:rPr>
            <a:t>Confidential</a:t>
          </a:r>
        </a:p>
      </xdr:txBody>
    </xdr:sp>
    <xdr:clientData/>
  </xdr:twoCellAnchor>
  <xdr:twoCellAnchor editAs="oneCell">
    <xdr:from>
      <xdr:col>16</xdr:col>
      <xdr:colOff>16863</xdr:colOff>
      <xdr:row>23</xdr:row>
      <xdr:rowOff>179527</xdr:rowOff>
    </xdr:from>
    <xdr:to>
      <xdr:col>34</xdr:col>
      <xdr:colOff>152400</xdr:colOff>
      <xdr:row>31</xdr:row>
      <xdr:rowOff>0</xdr:rowOff>
    </xdr:to>
    <xdr:pic>
      <xdr:nvPicPr>
        <xdr:cNvPr id="4" name="図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44495" y="4739640"/>
          <a:ext cx="3424555" cy="13639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20</xdr:col>
      <xdr:colOff>23166</xdr:colOff>
      <xdr:row>66</xdr:row>
      <xdr:rowOff>126634</xdr:rowOff>
    </xdr:from>
    <xdr:to>
      <xdr:col>33</xdr:col>
      <xdr:colOff>113218</xdr:colOff>
      <xdr:row>69</xdr:row>
      <xdr:rowOff>149051</xdr:rowOff>
    </xdr:to>
    <xdr:sp macro="" textlink="">
      <xdr:nvSpPr>
        <xdr:cNvPr id="2" name="フローチャート: 定義済み処理 8">
          <a:extLst>
            <a:ext uri="{FF2B5EF4-FFF2-40B4-BE49-F238E27FC236}">
              <a16:creationId xmlns:a16="http://schemas.microsoft.com/office/drawing/2014/main" id="{00000000-0008-0000-0500-000002000000}"/>
            </a:ext>
          </a:extLst>
        </xdr:cNvPr>
        <xdr:cNvSpPr/>
      </xdr:nvSpPr>
      <xdr:spPr>
        <a:xfrm>
          <a:off x="3020695" y="13194665"/>
          <a:ext cx="1988820" cy="622300"/>
        </a:xfrm>
        <a:prstGeom prst="flowChartPredefined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noAutofit/>
        </a:bodyPr>
        <a:lstStyle/>
        <a:p>
          <a:pPr algn="ctr"/>
          <a:r>
            <a:rPr kumimoji="1" lang="en-US" altLang="ja-JP" sz="800">
              <a:effectLst/>
              <a:latin typeface="Meiryo UI" panose="020B0604030504040204" pitchFamily="50" charset="-128"/>
              <a:ea typeface="Meiryo UI" panose="020B0604030504040204" pitchFamily="50" charset="-128"/>
              <a:cs typeface="Meiryo UI" panose="020B0604030504040204" pitchFamily="50" charset="-128"/>
            </a:rPr>
            <a:t>MSBDL5100</a:t>
          </a:r>
          <a:br>
            <a:rPr kumimoji="1" lang="en-US" altLang="ja-JP" sz="800">
              <a:effectLst/>
              <a:latin typeface="Meiryo UI" panose="020B0604030504040204" pitchFamily="50" charset="-128"/>
              <a:ea typeface="Meiryo UI" panose="020B0604030504040204" pitchFamily="50" charset="-128"/>
              <a:cs typeface="Meiryo UI" panose="020B0604030504040204" pitchFamily="50" charset="-128"/>
            </a:rPr>
          </a:br>
          <a:r>
            <a:rPr kumimoji="1" lang="ja-JP" altLang="en-US" sz="800">
              <a:effectLst/>
              <a:latin typeface="Meiryo UI" panose="020B0604030504040204" pitchFamily="50" charset="-128"/>
              <a:ea typeface="Meiryo UI" panose="020B0604030504040204" pitchFamily="50" charset="-128"/>
              <a:cs typeface="Meiryo UI" panose="020B0604030504040204" pitchFamily="50" charset="-128"/>
            </a:rPr>
            <a:t>発注登録サービス</a:t>
          </a:r>
          <a:endParaRPr lang="ja-JP" altLang="ja-JP" sz="800">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27456</xdr:colOff>
      <xdr:row>64</xdr:row>
      <xdr:rowOff>88899</xdr:rowOff>
    </xdr:from>
    <xdr:to>
      <xdr:col>10</xdr:col>
      <xdr:colOff>27456</xdr:colOff>
      <xdr:row>66</xdr:row>
      <xdr:rowOff>118034</xdr:rowOff>
    </xdr:to>
    <xdr:cxnSp macro="">
      <xdr:nvCxnSpPr>
        <xdr:cNvPr id="3" name="カギ線コネクタ 2">
          <a:extLst>
            <a:ext uri="{FF2B5EF4-FFF2-40B4-BE49-F238E27FC236}">
              <a16:creationId xmlns:a16="http://schemas.microsoft.com/office/drawing/2014/main" id="{00000000-0008-0000-0500-000003000000}"/>
            </a:ext>
          </a:extLst>
        </xdr:cNvPr>
        <xdr:cNvCxnSpPr>
          <a:stCxn id="6" idx="2"/>
          <a:endCxn id="4" idx="0"/>
        </xdr:cNvCxnSpPr>
      </xdr:nvCxnSpPr>
      <xdr:spPr>
        <a:xfrm rot="16200000" flipH="1">
          <a:off x="1350010" y="12971145"/>
          <a:ext cx="429260" cy="0"/>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xdr:col>
      <xdr:colOff>132228</xdr:colOff>
      <xdr:row>66</xdr:row>
      <xdr:rowOff>118035</xdr:rowOff>
    </xdr:from>
    <xdr:to>
      <xdr:col>17</xdr:col>
      <xdr:colOff>2422</xdr:colOff>
      <xdr:row>69</xdr:row>
      <xdr:rowOff>150117</xdr:rowOff>
    </xdr:to>
    <xdr:sp macro="" textlink="">
      <xdr:nvSpPr>
        <xdr:cNvPr id="4" name="フローチャート: 処理 3">
          <a:extLst>
            <a:ext uri="{FF2B5EF4-FFF2-40B4-BE49-F238E27FC236}">
              <a16:creationId xmlns:a16="http://schemas.microsoft.com/office/drawing/2014/main" id="{00000000-0008-0000-0500-000004000000}"/>
            </a:ext>
          </a:extLst>
        </xdr:cNvPr>
        <xdr:cNvSpPr/>
      </xdr:nvSpPr>
      <xdr:spPr>
        <a:xfrm>
          <a:off x="587375" y="13185775"/>
          <a:ext cx="1974215" cy="632460"/>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noAutofit/>
        </a:bodyP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MSBDP0090</a:t>
          </a:r>
        </a:p>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発注一覧登録</a:t>
          </a:r>
        </a:p>
      </xdr:txBody>
    </xdr:sp>
    <xdr:clientData/>
  </xdr:twoCellAnchor>
  <xdr:twoCellAnchor>
    <xdr:from>
      <xdr:col>17</xdr:col>
      <xdr:colOff>2422</xdr:colOff>
      <xdr:row>68</xdr:row>
      <xdr:rowOff>32476</xdr:rowOff>
    </xdr:from>
    <xdr:to>
      <xdr:col>20</xdr:col>
      <xdr:colOff>23166</xdr:colOff>
      <xdr:row>68</xdr:row>
      <xdr:rowOff>32476</xdr:rowOff>
    </xdr:to>
    <xdr:cxnSp macro="">
      <xdr:nvCxnSpPr>
        <xdr:cNvPr id="5" name="直線矢印コネクタ 4">
          <a:extLst>
            <a:ext uri="{FF2B5EF4-FFF2-40B4-BE49-F238E27FC236}">
              <a16:creationId xmlns:a16="http://schemas.microsoft.com/office/drawing/2014/main" id="{00000000-0008-0000-0500-000005000000}"/>
            </a:ext>
          </a:extLst>
        </xdr:cNvPr>
        <xdr:cNvCxnSpPr>
          <a:stCxn id="4" idx="3"/>
          <a:endCxn id="2" idx="1"/>
        </xdr:cNvCxnSpPr>
      </xdr:nvCxnSpPr>
      <xdr:spPr>
        <a:xfrm>
          <a:off x="2561590" y="13500735"/>
          <a:ext cx="459105"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xdr:col>
      <xdr:colOff>93010</xdr:colOff>
      <xdr:row>58</xdr:row>
      <xdr:rowOff>114021</xdr:rowOff>
    </xdr:from>
    <xdr:to>
      <xdr:col>17</xdr:col>
      <xdr:colOff>25400</xdr:colOff>
      <xdr:row>64</xdr:row>
      <xdr:rowOff>88900</xdr:rowOff>
    </xdr:to>
    <xdr:sp macro="" textlink="">
      <xdr:nvSpPr>
        <xdr:cNvPr id="6" name="正方形/長方形 5">
          <a:extLst>
            <a:ext uri="{FF2B5EF4-FFF2-40B4-BE49-F238E27FC236}">
              <a16:creationId xmlns:a16="http://schemas.microsoft.com/office/drawing/2014/main" id="{00000000-0008-0000-0500-000006000000}"/>
            </a:ext>
          </a:extLst>
        </xdr:cNvPr>
        <xdr:cNvSpPr/>
      </xdr:nvSpPr>
      <xdr:spPr>
        <a:xfrm>
          <a:off x="548005" y="11581765"/>
          <a:ext cx="2037080" cy="1175385"/>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操作種別：登録する</a:t>
          </a:r>
        </a:p>
      </xdr:txBody>
    </xdr:sp>
    <xdr:clientData/>
  </xdr:twoCellAnchor>
  <xdr:twoCellAnchor>
    <xdr:from>
      <xdr:col>5</xdr:col>
      <xdr:colOff>59392</xdr:colOff>
      <xdr:row>60</xdr:row>
      <xdr:rowOff>8806</xdr:rowOff>
    </xdr:from>
    <xdr:to>
      <xdr:col>15</xdr:col>
      <xdr:colOff>5433</xdr:colOff>
      <xdr:row>63</xdr:row>
      <xdr:rowOff>99817</xdr:rowOff>
    </xdr:to>
    <xdr:sp macro="" textlink="">
      <xdr:nvSpPr>
        <xdr:cNvPr id="7" name="Text Box 56">
          <a:extLst>
            <a:ext uri="{FF2B5EF4-FFF2-40B4-BE49-F238E27FC236}">
              <a16:creationId xmlns:a16="http://schemas.microsoft.com/office/drawing/2014/main" id="{00000000-0008-0000-0500-000007000000}"/>
            </a:ext>
          </a:extLst>
        </xdr:cNvPr>
        <xdr:cNvSpPr txBox="1">
          <a:spLocks noChangeArrowheads="1"/>
        </xdr:cNvSpPr>
      </xdr:nvSpPr>
      <xdr:spPr>
        <a:xfrm>
          <a:off x="866140" y="11876405"/>
          <a:ext cx="1406525" cy="69151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発注予定</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12</xdr:col>
      <xdr:colOff>0</xdr:colOff>
      <xdr:row>196</xdr:row>
      <xdr:rowOff>0</xdr:rowOff>
    </xdr:from>
    <xdr:to>
      <xdr:col>30</xdr:col>
      <xdr:colOff>0</xdr:colOff>
      <xdr:row>196</xdr:row>
      <xdr:rowOff>0</xdr:rowOff>
    </xdr:to>
    <xdr:cxnSp macro="">
      <xdr:nvCxnSpPr>
        <xdr:cNvPr id="28" name="直線矢印コネクタ 27">
          <a:extLst>
            <a:ext uri="{FF2B5EF4-FFF2-40B4-BE49-F238E27FC236}">
              <a16:creationId xmlns:a16="http://schemas.microsoft.com/office/drawing/2014/main" id="{00000000-0008-0000-0500-00001C000000}"/>
            </a:ext>
          </a:extLst>
        </xdr:cNvPr>
        <xdr:cNvCxnSpPr/>
      </xdr:nvCxnSpPr>
      <xdr:spPr>
        <a:xfrm>
          <a:off x="1829435" y="39071550"/>
          <a:ext cx="26289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0</xdr:colOff>
      <xdr:row>195</xdr:row>
      <xdr:rowOff>0</xdr:rowOff>
    </xdr:from>
    <xdr:to>
      <xdr:col>15</xdr:col>
      <xdr:colOff>0</xdr:colOff>
      <xdr:row>196</xdr:row>
      <xdr:rowOff>11906</xdr:rowOff>
    </xdr:to>
    <xdr:cxnSp macro="">
      <xdr:nvCxnSpPr>
        <xdr:cNvPr id="29" name="直線矢印コネクタ 28">
          <a:extLst>
            <a:ext uri="{FF2B5EF4-FFF2-40B4-BE49-F238E27FC236}">
              <a16:creationId xmlns:a16="http://schemas.microsoft.com/office/drawing/2014/main" id="{00000000-0008-0000-0500-00001D000000}"/>
            </a:ext>
          </a:extLst>
        </xdr:cNvPr>
        <xdr:cNvCxnSpPr/>
      </xdr:nvCxnSpPr>
      <xdr:spPr>
        <a:xfrm>
          <a:off x="2267585" y="38871525"/>
          <a:ext cx="0" cy="21145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0</xdr:colOff>
      <xdr:row>195</xdr:row>
      <xdr:rowOff>0</xdr:rowOff>
    </xdr:from>
    <xdr:to>
      <xdr:col>19</xdr:col>
      <xdr:colOff>0</xdr:colOff>
      <xdr:row>196</xdr:row>
      <xdr:rowOff>0</xdr:rowOff>
    </xdr:to>
    <xdr:cxnSp macro="">
      <xdr:nvCxnSpPr>
        <xdr:cNvPr id="30" name="直線矢印コネクタ 29">
          <a:extLst>
            <a:ext uri="{FF2B5EF4-FFF2-40B4-BE49-F238E27FC236}">
              <a16:creationId xmlns:a16="http://schemas.microsoft.com/office/drawing/2014/main" id="{00000000-0008-0000-0500-00001E000000}"/>
            </a:ext>
          </a:extLst>
        </xdr:cNvPr>
        <xdr:cNvCxnSpPr/>
      </xdr:nvCxnSpPr>
      <xdr:spPr>
        <a:xfrm>
          <a:off x="2851785" y="38871525"/>
          <a:ext cx="0" cy="2000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0</xdr:colOff>
      <xdr:row>195</xdr:row>
      <xdr:rowOff>0</xdr:rowOff>
    </xdr:from>
    <xdr:to>
      <xdr:col>23</xdr:col>
      <xdr:colOff>0</xdr:colOff>
      <xdr:row>196</xdr:row>
      <xdr:rowOff>0</xdr:rowOff>
    </xdr:to>
    <xdr:cxnSp macro="">
      <xdr:nvCxnSpPr>
        <xdr:cNvPr id="31" name="直線矢印コネクタ 30">
          <a:extLst>
            <a:ext uri="{FF2B5EF4-FFF2-40B4-BE49-F238E27FC236}">
              <a16:creationId xmlns:a16="http://schemas.microsoft.com/office/drawing/2014/main" id="{00000000-0008-0000-0500-00001F000000}"/>
            </a:ext>
          </a:extLst>
        </xdr:cNvPr>
        <xdr:cNvCxnSpPr/>
      </xdr:nvCxnSpPr>
      <xdr:spPr>
        <a:xfrm>
          <a:off x="3435985" y="38871525"/>
          <a:ext cx="0" cy="2000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0</xdr:colOff>
      <xdr:row>195</xdr:row>
      <xdr:rowOff>0</xdr:rowOff>
    </xdr:from>
    <xdr:to>
      <xdr:col>27</xdr:col>
      <xdr:colOff>0</xdr:colOff>
      <xdr:row>196</xdr:row>
      <xdr:rowOff>0</xdr:rowOff>
    </xdr:to>
    <xdr:cxnSp macro="">
      <xdr:nvCxnSpPr>
        <xdr:cNvPr id="32" name="直線矢印コネクタ 31">
          <a:extLst>
            <a:ext uri="{FF2B5EF4-FFF2-40B4-BE49-F238E27FC236}">
              <a16:creationId xmlns:a16="http://schemas.microsoft.com/office/drawing/2014/main" id="{00000000-0008-0000-0500-000020000000}"/>
            </a:ext>
          </a:extLst>
        </xdr:cNvPr>
        <xdr:cNvCxnSpPr/>
      </xdr:nvCxnSpPr>
      <xdr:spPr>
        <a:xfrm>
          <a:off x="4020185" y="38871525"/>
          <a:ext cx="0" cy="2000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0</xdr:colOff>
      <xdr:row>196</xdr:row>
      <xdr:rowOff>0</xdr:rowOff>
    </xdr:from>
    <xdr:to>
      <xdr:col>58</xdr:col>
      <xdr:colOff>0</xdr:colOff>
      <xdr:row>196</xdr:row>
      <xdr:rowOff>0</xdr:rowOff>
    </xdr:to>
    <xdr:cxnSp macro="">
      <xdr:nvCxnSpPr>
        <xdr:cNvPr id="33" name="直線矢印コネクタ 32">
          <a:extLst>
            <a:ext uri="{FF2B5EF4-FFF2-40B4-BE49-F238E27FC236}">
              <a16:creationId xmlns:a16="http://schemas.microsoft.com/office/drawing/2014/main" id="{00000000-0008-0000-0500-000021000000}"/>
            </a:ext>
          </a:extLst>
        </xdr:cNvPr>
        <xdr:cNvCxnSpPr/>
      </xdr:nvCxnSpPr>
      <xdr:spPr>
        <a:xfrm>
          <a:off x="5918835" y="39071550"/>
          <a:ext cx="26289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43</xdr:col>
      <xdr:colOff>0</xdr:colOff>
      <xdr:row>195</xdr:row>
      <xdr:rowOff>0</xdr:rowOff>
    </xdr:from>
    <xdr:to>
      <xdr:col>43</xdr:col>
      <xdr:colOff>0</xdr:colOff>
      <xdr:row>196</xdr:row>
      <xdr:rowOff>11906</xdr:rowOff>
    </xdr:to>
    <xdr:cxnSp macro="">
      <xdr:nvCxnSpPr>
        <xdr:cNvPr id="34" name="直線矢印コネクタ 33">
          <a:extLst>
            <a:ext uri="{FF2B5EF4-FFF2-40B4-BE49-F238E27FC236}">
              <a16:creationId xmlns:a16="http://schemas.microsoft.com/office/drawing/2014/main" id="{00000000-0008-0000-0500-000022000000}"/>
            </a:ext>
          </a:extLst>
        </xdr:cNvPr>
        <xdr:cNvCxnSpPr/>
      </xdr:nvCxnSpPr>
      <xdr:spPr>
        <a:xfrm>
          <a:off x="6356985" y="38871525"/>
          <a:ext cx="0" cy="21145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47</xdr:col>
      <xdr:colOff>0</xdr:colOff>
      <xdr:row>195</xdr:row>
      <xdr:rowOff>0</xdr:rowOff>
    </xdr:from>
    <xdr:to>
      <xdr:col>47</xdr:col>
      <xdr:colOff>0</xdr:colOff>
      <xdr:row>196</xdr:row>
      <xdr:rowOff>0</xdr:rowOff>
    </xdr:to>
    <xdr:cxnSp macro="">
      <xdr:nvCxnSpPr>
        <xdr:cNvPr id="35" name="直線矢印コネクタ 34">
          <a:extLst>
            <a:ext uri="{FF2B5EF4-FFF2-40B4-BE49-F238E27FC236}">
              <a16:creationId xmlns:a16="http://schemas.microsoft.com/office/drawing/2014/main" id="{00000000-0008-0000-0500-000023000000}"/>
            </a:ext>
          </a:extLst>
        </xdr:cNvPr>
        <xdr:cNvCxnSpPr/>
      </xdr:nvCxnSpPr>
      <xdr:spPr>
        <a:xfrm>
          <a:off x="6941185" y="38871525"/>
          <a:ext cx="0" cy="2000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51</xdr:col>
      <xdr:colOff>0</xdr:colOff>
      <xdr:row>195</xdr:row>
      <xdr:rowOff>0</xdr:rowOff>
    </xdr:from>
    <xdr:to>
      <xdr:col>51</xdr:col>
      <xdr:colOff>0</xdr:colOff>
      <xdr:row>196</xdr:row>
      <xdr:rowOff>0</xdr:rowOff>
    </xdr:to>
    <xdr:cxnSp macro="">
      <xdr:nvCxnSpPr>
        <xdr:cNvPr id="36" name="直線矢印コネクタ 35">
          <a:extLst>
            <a:ext uri="{FF2B5EF4-FFF2-40B4-BE49-F238E27FC236}">
              <a16:creationId xmlns:a16="http://schemas.microsoft.com/office/drawing/2014/main" id="{00000000-0008-0000-0500-000024000000}"/>
            </a:ext>
          </a:extLst>
        </xdr:cNvPr>
        <xdr:cNvCxnSpPr/>
      </xdr:nvCxnSpPr>
      <xdr:spPr>
        <a:xfrm>
          <a:off x="7525385" y="38871525"/>
          <a:ext cx="0" cy="2000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55</xdr:col>
      <xdr:colOff>0</xdr:colOff>
      <xdr:row>195</xdr:row>
      <xdr:rowOff>0</xdr:rowOff>
    </xdr:from>
    <xdr:to>
      <xdr:col>55</xdr:col>
      <xdr:colOff>0</xdr:colOff>
      <xdr:row>196</xdr:row>
      <xdr:rowOff>0</xdr:rowOff>
    </xdr:to>
    <xdr:cxnSp macro="">
      <xdr:nvCxnSpPr>
        <xdr:cNvPr id="37" name="直線矢印コネクタ 36">
          <a:extLst>
            <a:ext uri="{FF2B5EF4-FFF2-40B4-BE49-F238E27FC236}">
              <a16:creationId xmlns:a16="http://schemas.microsoft.com/office/drawing/2014/main" id="{00000000-0008-0000-0500-000025000000}"/>
            </a:ext>
          </a:extLst>
        </xdr:cNvPr>
        <xdr:cNvCxnSpPr/>
      </xdr:nvCxnSpPr>
      <xdr:spPr>
        <a:xfrm>
          <a:off x="8109585" y="38871525"/>
          <a:ext cx="0" cy="2000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0</xdr:colOff>
      <xdr:row>211</xdr:row>
      <xdr:rowOff>0</xdr:rowOff>
    </xdr:from>
    <xdr:to>
      <xdr:col>30</xdr:col>
      <xdr:colOff>0</xdr:colOff>
      <xdr:row>211</xdr:row>
      <xdr:rowOff>0</xdr:rowOff>
    </xdr:to>
    <xdr:cxnSp macro="">
      <xdr:nvCxnSpPr>
        <xdr:cNvPr id="38" name="直線矢印コネクタ 37">
          <a:extLst>
            <a:ext uri="{FF2B5EF4-FFF2-40B4-BE49-F238E27FC236}">
              <a16:creationId xmlns:a16="http://schemas.microsoft.com/office/drawing/2014/main" id="{00000000-0008-0000-0500-000026000000}"/>
            </a:ext>
          </a:extLst>
        </xdr:cNvPr>
        <xdr:cNvCxnSpPr/>
      </xdr:nvCxnSpPr>
      <xdr:spPr>
        <a:xfrm>
          <a:off x="1829435" y="42071925"/>
          <a:ext cx="26289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0</xdr:colOff>
      <xdr:row>210</xdr:row>
      <xdr:rowOff>0</xdr:rowOff>
    </xdr:from>
    <xdr:to>
      <xdr:col>15</xdr:col>
      <xdr:colOff>0</xdr:colOff>
      <xdr:row>211</xdr:row>
      <xdr:rowOff>11906</xdr:rowOff>
    </xdr:to>
    <xdr:cxnSp macro="">
      <xdr:nvCxnSpPr>
        <xdr:cNvPr id="39" name="直線矢印コネクタ 38">
          <a:extLst>
            <a:ext uri="{FF2B5EF4-FFF2-40B4-BE49-F238E27FC236}">
              <a16:creationId xmlns:a16="http://schemas.microsoft.com/office/drawing/2014/main" id="{00000000-0008-0000-0500-000027000000}"/>
            </a:ext>
          </a:extLst>
        </xdr:cNvPr>
        <xdr:cNvCxnSpPr/>
      </xdr:nvCxnSpPr>
      <xdr:spPr>
        <a:xfrm>
          <a:off x="2267585" y="41871900"/>
          <a:ext cx="0" cy="21145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0</xdr:colOff>
      <xdr:row>210</xdr:row>
      <xdr:rowOff>0</xdr:rowOff>
    </xdr:from>
    <xdr:to>
      <xdr:col>19</xdr:col>
      <xdr:colOff>0</xdr:colOff>
      <xdr:row>211</xdr:row>
      <xdr:rowOff>0</xdr:rowOff>
    </xdr:to>
    <xdr:cxnSp macro="">
      <xdr:nvCxnSpPr>
        <xdr:cNvPr id="40" name="直線矢印コネクタ 39">
          <a:extLst>
            <a:ext uri="{FF2B5EF4-FFF2-40B4-BE49-F238E27FC236}">
              <a16:creationId xmlns:a16="http://schemas.microsoft.com/office/drawing/2014/main" id="{00000000-0008-0000-0500-000028000000}"/>
            </a:ext>
          </a:extLst>
        </xdr:cNvPr>
        <xdr:cNvCxnSpPr/>
      </xdr:nvCxnSpPr>
      <xdr:spPr>
        <a:xfrm>
          <a:off x="2851785" y="41871900"/>
          <a:ext cx="0" cy="2000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0</xdr:colOff>
      <xdr:row>210</xdr:row>
      <xdr:rowOff>0</xdr:rowOff>
    </xdr:from>
    <xdr:to>
      <xdr:col>23</xdr:col>
      <xdr:colOff>0</xdr:colOff>
      <xdr:row>211</xdr:row>
      <xdr:rowOff>0</xdr:rowOff>
    </xdr:to>
    <xdr:cxnSp macro="">
      <xdr:nvCxnSpPr>
        <xdr:cNvPr id="41" name="直線矢印コネクタ 40">
          <a:extLst>
            <a:ext uri="{FF2B5EF4-FFF2-40B4-BE49-F238E27FC236}">
              <a16:creationId xmlns:a16="http://schemas.microsoft.com/office/drawing/2014/main" id="{00000000-0008-0000-0500-000029000000}"/>
            </a:ext>
          </a:extLst>
        </xdr:cNvPr>
        <xdr:cNvCxnSpPr/>
      </xdr:nvCxnSpPr>
      <xdr:spPr>
        <a:xfrm>
          <a:off x="3435985" y="41871900"/>
          <a:ext cx="0" cy="2000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0</xdr:colOff>
      <xdr:row>210</xdr:row>
      <xdr:rowOff>0</xdr:rowOff>
    </xdr:from>
    <xdr:to>
      <xdr:col>27</xdr:col>
      <xdr:colOff>0</xdr:colOff>
      <xdr:row>211</xdr:row>
      <xdr:rowOff>0</xdr:rowOff>
    </xdr:to>
    <xdr:cxnSp macro="">
      <xdr:nvCxnSpPr>
        <xdr:cNvPr id="42" name="直線矢印コネクタ 41">
          <a:extLst>
            <a:ext uri="{FF2B5EF4-FFF2-40B4-BE49-F238E27FC236}">
              <a16:creationId xmlns:a16="http://schemas.microsoft.com/office/drawing/2014/main" id="{00000000-0008-0000-0500-00002A000000}"/>
            </a:ext>
          </a:extLst>
        </xdr:cNvPr>
        <xdr:cNvCxnSpPr/>
      </xdr:nvCxnSpPr>
      <xdr:spPr>
        <a:xfrm>
          <a:off x="4020185" y="41871900"/>
          <a:ext cx="0" cy="2000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0</xdr:colOff>
      <xdr:row>211</xdr:row>
      <xdr:rowOff>0</xdr:rowOff>
    </xdr:from>
    <xdr:to>
      <xdr:col>58</xdr:col>
      <xdr:colOff>0</xdr:colOff>
      <xdr:row>211</xdr:row>
      <xdr:rowOff>0</xdr:rowOff>
    </xdr:to>
    <xdr:cxnSp macro="">
      <xdr:nvCxnSpPr>
        <xdr:cNvPr id="43" name="直線矢印コネクタ 42">
          <a:extLst>
            <a:ext uri="{FF2B5EF4-FFF2-40B4-BE49-F238E27FC236}">
              <a16:creationId xmlns:a16="http://schemas.microsoft.com/office/drawing/2014/main" id="{00000000-0008-0000-0500-00002B000000}"/>
            </a:ext>
          </a:extLst>
        </xdr:cNvPr>
        <xdr:cNvCxnSpPr/>
      </xdr:nvCxnSpPr>
      <xdr:spPr>
        <a:xfrm>
          <a:off x="5918835" y="42071925"/>
          <a:ext cx="26289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43</xdr:col>
      <xdr:colOff>0</xdr:colOff>
      <xdr:row>210</xdr:row>
      <xdr:rowOff>0</xdr:rowOff>
    </xdr:from>
    <xdr:to>
      <xdr:col>43</xdr:col>
      <xdr:colOff>0</xdr:colOff>
      <xdr:row>211</xdr:row>
      <xdr:rowOff>11906</xdr:rowOff>
    </xdr:to>
    <xdr:cxnSp macro="">
      <xdr:nvCxnSpPr>
        <xdr:cNvPr id="44" name="直線矢印コネクタ 43">
          <a:extLst>
            <a:ext uri="{FF2B5EF4-FFF2-40B4-BE49-F238E27FC236}">
              <a16:creationId xmlns:a16="http://schemas.microsoft.com/office/drawing/2014/main" id="{00000000-0008-0000-0500-00002C000000}"/>
            </a:ext>
          </a:extLst>
        </xdr:cNvPr>
        <xdr:cNvCxnSpPr/>
      </xdr:nvCxnSpPr>
      <xdr:spPr>
        <a:xfrm>
          <a:off x="6356985" y="41871900"/>
          <a:ext cx="0" cy="21145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47</xdr:col>
      <xdr:colOff>0</xdr:colOff>
      <xdr:row>210</xdr:row>
      <xdr:rowOff>0</xdr:rowOff>
    </xdr:from>
    <xdr:to>
      <xdr:col>47</xdr:col>
      <xdr:colOff>0</xdr:colOff>
      <xdr:row>211</xdr:row>
      <xdr:rowOff>0</xdr:rowOff>
    </xdr:to>
    <xdr:cxnSp macro="">
      <xdr:nvCxnSpPr>
        <xdr:cNvPr id="45" name="直線矢印コネクタ 44">
          <a:extLst>
            <a:ext uri="{FF2B5EF4-FFF2-40B4-BE49-F238E27FC236}">
              <a16:creationId xmlns:a16="http://schemas.microsoft.com/office/drawing/2014/main" id="{00000000-0008-0000-0500-00002D000000}"/>
            </a:ext>
          </a:extLst>
        </xdr:cNvPr>
        <xdr:cNvCxnSpPr/>
      </xdr:nvCxnSpPr>
      <xdr:spPr>
        <a:xfrm>
          <a:off x="6941185" y="41871900"/>
          <a:ext cx="0" cy="2000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51</xdr:col>
      <xdr:colOff>0</xdr:colOff>
      <xdr:row>210</xdr:row>
      <xdr:rowOff>0</xdr:rowOff>
    </xdr:from>
    <xdr:to>
      <xdr:col>51</xdr:col>
      <xdr:colOff>0</xdr:colOff>
      <xdr:row>211</xdr:row>
      <xdr:rowOff>0</xdr:rowOff>
    </xdr:to>
    <xdr:cxnSp macro="">
      <xdr:nvCxnSpPr>
        <xdr:cNvPr id="46" name="直線矢印コネクタ 45">
          <a:extLst>
            <a:ext uri="{FF2B5EF4-FFF2-40B4-BE49-F238E27FC236}">
              <a16:creationId xmlns:a16="http://schemas.microsoft.com/office/drawing/2014/main" id="{00000000-0008-0000-0500-00002E000000}"/>
            </a:ext>
          </a:extLst>
        </xdr:cNvPr>
        <xdr:cNvCxnSpPr/>
      </xdr:nvCxnSpPr>
      <xdr:spPr>
        <a:xfrm>
          <a:off x="7525385" y="41871900"/>
          <a:ext cx="0" cy="2000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55</xdr:col>
      <xdr:colOff>0</xdr:colOff>
      <xdr:row>210</xdr:row>
      <xdr:rowOff>0</xdr:rowOff>
    </xdr:from>
    <xdr:to>
      <xdr:col>55</xdr:col>
      <xdr:colOff>0</xdr:colOff>
      <xdr:row>211</xdr:row>
      <xdr:rowOff>0</xdr:rowOff>
    </xdr:to>
    <xdr:cxnSp macro="">
      <xdr:nvCxnSpPr>
        <xdr:cNvPr id="47" name="直線矢印コネクタ 46">
          <a:extLst>
            <a:ext uri="{FF2B5EF4-FFF2-40B4-BE49-F238E27FC236}">
              <a16:creationId xmlns:a16="http://schemas.microsoft.com/office/drawing/2014/main" id="{00000000-0008-0000-0500-00002F000000}"/>
            </a:ext>
          </a:extLst>
        </xdr:cNvPr>
        <xdr:cNvCxnSpPr/>
      </xdr:nvCxnSpPr>
      <xdr:spPr>
        <a:xfrm>
          <a:off x="8109585" y="41871900"/>
          <a:ext cx="0" cy="2000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62</xdr:col>
      <xdr:colOff>31216</xdr:colOff>
      <xdr:row>33</xdr:row>
      <xdr:rowOff>36286</xdr:rowOff>
    </xdr:to>
    <xdr:pic>
      <xdr:nvPicPr>
        <xdr:cNvPr id="2" name="図 1">
          <a:extLst>
            <a:ext uri="{FF2B5EF4-FFF2-40B4-BE49-F238E27FC236}">
              <a16:creationId xmlns:a16="http://schemas.microsoft.com/office/drawing/2014/main" id="{E59B07CE-351A-4722-8DD7-CB8A0401669B}"/>
            </a:ext>
          </a:extLst>
        </xdr:cNvPr>
        <xdr:cNvPicPr>
          <a:picLocks noChangeAspect="1"/>
        </xdr:cNvPicPr>
      </xdr:nvPicPr>
      <xdr:blipFill>
        <a:blip xmlns:r="http://schemas.openxmlformats.org/officeDocument/2006/relationships" r:embed="rId1"/>
        <a:stretch>
          <a:fillRect/>
        </a:stretch>
      </xdr:blipFill>
      <xdr:spPr>
        <a:xfrm>
          <a:off x="145143" y="1061357"/>
          <a:ext cx="8966573" cy="5179786"/>
        </a:xfrm>
        <a:prstGeom prst="rect">
          <a:avLst/>
        </a:prstGeom>
      </xdr:spPr>
    </xdr:pic>
    <xdr:clientData/>
  </xdr:twoCellAnchor>
  <xdr:oneCellAnchor>
    <xdr:from>
      <xdr:col>39</xdr:col>
      <xdr:colOff>129561</xdr:colOff>
      <xdr:row>10</xdr:row>
      <xdr:rowOff>1</xdr:rowOff>
    </xdr:from>
    <xdr:ext cx="2943275" cy="3495302"/>
    <xdr:sp macro="" textlink="">
      <xdr:nvSpPr>
        <xdr:cNvPr id="3" name="四角形吹き出し 10">
          <a:extLst>
            <a:ext uri="{FF2B5EF4-FFF2-40B4-BE49-F238E27FC236}">
              <a16:creationId xmlns:a16="http://schemas.microsoft.com/office/drawing/2014/main" id="{00000000-0008-0000-0600-000003000000}"/>
            </a:ext>
          </a:extLst>
        </xdr:cNvPr>
        <xdr:cNvSpPr/>
      </xdr:nvSpPr>
      <xdr:spPr>
        <a:xfrm>
          <a:off x="5871775" y="1823358"/>
          <a:ext cx="2943275" cy="3495302"/>
        </a:xfrm>
        <a:prstGeom prst="wedgeRectCallout">
          <a:avLst>
            <a:gd name="adj1" fmla="val -36586"/>
            <a:gd name="adj2" fmla="val 60374"/>
          </a:avLst>
        </a:prstGeom>
        <a:solidFill>
          <a:srgbClr val="CCFFFF"/>
        </a:solidFill>
        <a:ln>
          <a:solidFill>
            <a:sysClr val="windowText" lastClr="000000"/>
          </a:solidFill>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t">
          <a:noAutofit/>
        </a:bodyPr>
        <a:lstStyle/>
        <a:p>
          <a:r>
            <a:rPr kumimoji="1" lang="ja-JP" altLang="en-US" sz="900">
              <a:solidFill>
                <a:schemeClr val="dk1"/>
              </a:solidFill>
              <a:effectLst/>
              <a:latin typeface="Meiryo UI" panose="020B0604030504040204" pitchFamily="50" charset="-128"/>
              <a:ea typeface="Meiryo UI" panose="020B0604030504040204" pitchFamily="50" charset="-128"/>
              <a:cs typeface="+mn-cs"/>
            </a:rPr>
            <a:t>検索枠に以下の項目を追加。</a:t>
          </a:r>
          <a:endParaRPr kumimoji="1" lang="en-US" altLang="ja-JP" sz="900">
            <a:solidFill>
              <a:schemeClr val="dk1"/>
            </a:solidFill>
            <a:effectLst/>
            <a:latin typeface="Meiryo UI" panose="020B0604030504040204" pitchFamily="50" charset="-128"/>
            <a:ea typeface="Meiryo UI" panose="020B0604030504040204" pitchFamily="50" charset="-128"/>
            <a:cs typeface="+mn-cs"/>
          </a:endParaRPr>
        </a:p>
        <a:p>
          <a:r>
            <a:rPr kumimoji="1" lang="ja-JP" altLang="en-US" sz="900">
              <a:solidFill>
                <a:schemeClr val="dk1"/>
              </a:solidFill>
              <a:effectLst/>
              <a:latin typeface="Meiryo UI" panose="020B0604030504040204" pitchFamily="50" charset="-128"/>
              <a:ea typeface="Meiryo UI" panose="020B0604030504040204" pitchFamily="50" charset="-128"/>
              <a:cs typeface="+mn-cs"/>
            </a:rPr>
            <a:t>・品目別名１</a:t>
          </a:r>
          <a:endParaRPr kumimoji="1" lang="en-US" altLang="ja-JP" sz="900">
            <a:solidFill>
              <a:schemeClr val="dk1"/>
            </a:solidFill>
            <a:effectLst/>
            <a:latin typeface="Meiryo UI" panose="020B0604030504040204" pitchFamily="50" charset="-128"/>
            <a:ea typeface="Meiryo UI" panose="020B0604030504040204" pitchFamily="50" charset="-128"/>
            <a:cs typeface="+mn-cs"/>
          </a:endParaRPr>
        </a:p>
        <a:p>
          <a:endParaRPr kumimoji="1" lang="en-US" altLang="ja-JP" sz="900">
            <a:solidFill>
              <a:schemeClr val="dk1"/>
            </a:solidFill>
            <a:effectLst/>
            <a:latin typeface="Meiryo UI" panose="020B0604030504040204" pitchFamily="50" charset="-128"/>
            <a:ea typeface="Meiryo UI" panose="020B0604030504040204" pitchFamily="50" charset="-128"/>
            <a:cs typeface="+mn-cs"/>
          </a:endParaRPr>
        </a:p>
        <a:p>
          <a:r>
            <a:rPr kumimoji="1" lang="ja-JP" altLang="en-US" sz="900">
              <a:solidFill>
                <a:schemeClr val="dk1"/>
              </a:solidFill>
              <a:effectLst/>
              <a:latin typeface="Meiryo UI" panose="020B0604030504040204" pitchFamily="50" charset="-128"/>
              <a:ea typeface="Meiryo UI" panose="020B0604030504040204" pitchFamily="50" charset="-128"/>
              <a:cs typeface="+mn-cs"/>
            </a:rPr>
            <a:t>一覧枠に以下の項目を追加。</a:t>
          </a:r>
          <a:endParaRPr kumimoji="1" lang="en-US" altLang="ja-JP" sz="900">
            <a:solidFill>
              <a:schemeClr val="dk1"/>
            </a:solidFill>
            <a:effectLst/>
            <a:latin typeface="Meiryo UI" panose="020B0604030504040204" pitchFamily="50" charset="-128"/>
            <a:ea typeface="Meiryo UI" panose="020B0604030504040204" pitchFamily="50" charset="-128"/>
            <a:cs typeface="+mn-cs"/>
          </a:endParaRPr>
        </a:p>
        <a:p>
          <a:r>
            <a:rPr kumimoji="1" lang="ja-JP" altLang="en-US" sz="900">
              <a:solidFill>
                <a:schemeClr val="dk1"/>
              </a:solidFill>
              <a:effectLst/>
              <a:latin typeface="Meiryo UI" panose="020B0604030504040204" pitchFamily="50" charset="-128"/>
              <a:ea typeface="Meiryo UI" panose="020B0604030504040204" pitchFamily="50" charset="-128"/>
              <a:cs typeface="+mn-cs"/>
            </a:rPr>
            <a:t>・品目別名１</a:t>
          </a:r>
          <a:endParaRPr kumimoji="1" lang="en-US" altLang="ja-JP" sz="900">
            <a:solidFill>
              <a:schemeClr val="dk1"/>
            </a:solidFill>
            <a:effectLst/>
            <a:latin typeface="Meiryo UI" panose="020B0604030504040204" pitchFamily="50" charset="-128"/>
            <a:ea typeface="Meiryo UI" panose="020B0604030504040204" pitchFamily="50" charset="-128"/>
            <a:cs typeface="+mn-cs"/>
          </a:endParaRPr>
        </a:p>
        <a:p>
          <a:endParaRPr kumimoji="1" lang="en-US" altLang="ja-JP" sz="900">
            <a:solidFill>
              <a:schemeClr val="dk1"/>
            </a:solidFill>
            <a:effectLst/>
            <a:latin typeface="Meiryo UI" panose="020B0604030504040204" pitchFamily="50" charset="-128"/>
            <a:ea typeface="Meiryo UI" panose="020B0604030504040204" pitchFamily="50" charset="-128"/>
            <a:cs typeface="+mn-cs"/>
          </a:endParaRPr>
        </a:p>
        <a:p>
          <a:r>
            <a:rPr kumimoji="1" lang="ja-JP" altLang="en-US" sz="900">
              <a:solidFill>
                <a:schemeClr val="dk1"/>
              </a:solidFill>
              <a:effectLst/>
              <a:latin typeface="Meiryo UI" panose="020B0604030504040204" pitchFamily="50" charset="-128"/>
              <a:ea typeface="Meiryo UI" panose="020B0604030504040204" pitchFamily="50" charset="-128"/>
              <a:cs typeface="+mn-cs"/>
            </a:rPr>
            <a:t>共通項目４に以下の項目（帳票出力オプション）を追加。</a:t>
          </a:r>
        </a:p>
        <a:p>
          <a:r>
            <a:rPr kumimoji="1" lang="ja-JP" altLang="en-US" sz="900">
              <a:solidFill>
                <a:schemeClr val="dk1"/>
              </a:solidFill>
              <a:effectLst/>
              <a:latin typeface="Meiryo UI" panose="020B0604030504040204" pitchFamily="50" charset="-128"/>
              <a:ea typeface="Meiryo UI" panose="020B0604030504040204" pitchFamily="50" charset="-128"/>
              <a:cs typeface="+mn-cs"/>
            </a:rPr>
            <a:t>・仮注文書</a:t>
          </a:r>
          <a:endParaRPr kumimoji="1" lang="en-US" altLang="ja-JP" sz="900">
            <a:solidFill>
              <a:schemeClr val="dk1"/>
            </a:solidFill>
            <a:effectLst/>
            <a:latin typeface="Meiryo UI" panose="020B0604030504040204" pitchFamily="50" charset="-128"/>
            <a:ea typeface="Meiryo UI" panose="020B0604030504040204" pitchFamily="50" charset="-128"/>
            <a:cs typeface="+mn-cs"/>
          </a:endParaRPr>
        </a:p>
        <a:p>
          <a:r>
            <a:rPr kumimoji="1" lang="ja-JP" altLang="en-US" sz="900">
              <a:solidFill>
                <a:schemeClr val="dk1"/>
              </a:solidFill>
              <a:effectLst/>
              <a:latin typeface="Meiryo UI" panose="020B0604030504040204" pitchFamily="50" charset="-128"/>
              <a:ea typeface="Meiryo UI" panose="020B0604030504040204" pitchFamily="50" charset="-128"/>
              <a:cs typeface="+mn-cs"/>
            </a:rPr>
            <a:t>・現品票</a:t>
          </a:r>
          <a:endParaRPr kumimoji="1" lang="en-US" altLang="ja-JP" sz="900">
            <a:solidFill>
              <a:schemeClr val="dk1"/>
            </a:solidFill>
            <a:effectLst/>
            <a:latin typeface="Meiryo UI" panose="020B0604030504040204" pitchFamily="50" charset="-128"/>
            <a:ea typeface="Meiryo UI" panose="020B0604030504040204" pitchFamily="50" charset="-128"/>
            <a:cs typeface="+mn-cs"/>
          </a:endParaRPr>
        </a:p>
        <a:p>
          <a:r>
            <a:rPr kumimoji="1" lang="ja-JP" altLang="en-US" sz="900">
              <a:solidFill>
                <a:schemeClr val="dk1"/>
              </a:solidFill>
              <a:effectLst/>
              <a:latin typeface="Meiryo UI" panose="020B0604030504040204" pitchFamily="50" charset="-128"/>
              <a:ea typeface="Meiryo UI" panose="020B0604030504040204" pitchFamily="50" charset="-128"/>
              <a:cs typeface="+mn-cs"/>
            </a:rPr>
            <a:t>・見積書</a:t>
          </a:r>
          <a:endParaRPr kumimoji="1" lang="en-US" altLang="ja-JP" sz="900">
            <a:solidFill>
              <a:schemeClr val="dk1"/>
            </a:solidFill>
            <a:effectLst/>
            <a:latin typeface="Meiryo UI" panose="020B0604030504040204" pitchFamily="50" charset="-128"/>
            <a:ea typeface="Meiryo UI" panose="020B0604030504040204" pitchFamily="50" charset="-128"/>
            <a:cs typeface="+mn-cs"/>
          </a:endParaRPr>
        </a:p>
        <a:p>
          <a:r>
            <a:rPr kumimoji="1" lang="ja-JP" altLang="en-US" sz="900">
              <a:solidFill>
                <a:schemeClr val="dk1"/>
              </a:solidFill>
              <a:effectLst/>
              <a:latin typeface="Meiryo UI" panose="020B0604030504040204" pitchFamily="50" charset="-128"/>
              <a:ea typeface="Meiryo UI" panose="020B0604030504040204" pitchFamily="50" charset="-128"/>
              <a:cs typeface="+mn-cs"/>
            </a:rPr>
            <a:t>・受領書</a:t>
          </a:r>
          <a:endParaRPr kumimoji="1" lang="en-US" altLang="ja-JP" sz="900">
            <a:solidFill>
              <a:schemeClr val="dk1"/>
            </a:solidFill>
            <a:effectLst/>
            <a:latin typeface="Meiryo UI" panose="020B0604030504040204" pitchFamily="50" charset="-128"/>
            <a:ea typeface="Meiryo UI" panose="020B0604030504040204" pitchFamily="50" charset="-128"/>
            <a:cs typeface="+mn-cs"/>
          </a:endParaRPr>
        </a:p>
        <a:p>
          <a:endParaRPr kumimoji="1" lang="en-US" altLang="ja-JP" sz="900">
            <a:solidFill>
              <a:schemeClr val="dk1"/>
            </a:solidFill>
            <a:effectLst/>
            <a:latin typeface="Meiryo UI" panose="020B0604030504040204" pitchFamily="50" charset="-128"/>
            <a:ea typeface="Meiryo UI" panose="020B0604030504040204" pitchFamily="50" charset="-128"/>
            <a:cs typeface="+mn-cs"/>
          </a:endParaRPr>
        </a:p>
        <a:p>
          <a:r>
            <a:rPr kumimoji="0" lang="ja-JP" altLang="en-US" sz="900">
              <a:solidFill>
                <a:sysClr val="windowText" lastClr="000000"/>
              </a:solidFill>
              <a:effectLst/>
              <a:latin typeface="Meiryo UI" panose="020B0604030504040204" pitchFamily="50" charset="-128"/>
              <a:ea typeface="Meiryo UI" panose="020B0604030504040204" pitchFamily="50" charset="-128"/>
              <a:cs typeface="+mn-cs"/>
            </a:rPr>
            <a:t>共通項目４に以下のボタンを追加。</a:t>
          </a:r>
          <a:endParaRPr kumimoji="0" lang="en-US" altLang="ja-JP" sz="900">
            <a:solidFill>
              <a:sysClr val="windowText" lastClr="000000"/>
            </a:solidFill>
            <a:effectLst/>
            <a:latin typeface="Meiryo UI" panose="020B0604030504040204" pitchFamily="50" charset="-128"/>
            <a:ea typeface="Meiryo UI" panose="020B0604030504040204" pitchFamily="50" charset="-128"/>
            <a:cs typeface="+mn-cs"/>
          </a:endParaRPr>
        </a:p>
        <a:p>
          <a:r>
            <a:rPr kumimoji="0" lang="ja-JP" altLang="en-US" sz="900">
              <a:solidFill>
                <a:sysClr val="windowText" lastClr="000000"/>
              </a:solidFill>
              <a:effectLst/>
              <a:latin typeface="Meiryo UI" panose="020B0604030504040204" pitchFamily="50" charset="-128"/>
              <a:ea typeface="Meiryo UI" panose="020B0604030504040204" pitchFamily="50" charset="-128"/>
              <a:cs typeface="+mn-cs"/>
            </a:rPr>
            <a:t>・再発行（現品票）</a:t>
          </a:r>
          <a:endParaRPr kumimoji="0" lang="en-US" altLang="ja-JP" sz="900">
            <a:solidFill>
              <a:sysClr val="windowText" lastClr="000000"/>
            </a:solidFill>
            <a:effectLst/>
            <a:latin typeface="Meiryo UI" panose="020B0604030504040204" pitchFamily="50" charset="-128"/>
            <a:ea typeface="Meiryo UI" panose="020B0604030504040204" pitchFamily="50" charset="-128"/>
            <a:cs typeface="+mn-cs"/>
          </a:endParaRPr>
        </a:p>
        <a:p>
          <a:r>
            <a:rPr kumimoji="0" lang="ja-JP" altLang="en-US" sz="900">
              <a:solidFill>
                <a:sysClr val="windowText" lastClr="000000"/>
              </a:solidFill>
              <a:effectLst/>
              <a:latin typeface="Meiryo UI" panose="020B0604030504040204" pitchFamily="50" charset="-128"/>
              <a:ea typeface="Meiryo UI" panose="020B0604030504040204" pitchFamily="50" charset="-128"/>
              <a:cs typeface="+mn-cs"/>
            </a:rPr>
            <a:t>・再発行（現品票以外）</a:t>
          </a:r>
          <a:endParaRPr kumimoji="0" lang="en-US" altLang="ja-JP" sz="900">
            <a:solidFill>
              <a:sysClr val="windowText" lastClr="000000"/>
            </a:solidFill>
            <a:effectLst/>
            <a:latin typeface="Meiryo UI" panose="020B0604030504040204" pitchFamily="50" charset="-128"/>
            <a:ea typeface="Meiryo UI" panose="020B0604030504040204" pitchFamily="50" charset="-128"/>
            <a:cs typeface="+mn-cs"/>
          </a:endParaRPr>
        </a:p>
        <a:p>
          <a:r>
            <a:rPr kumimoji="0" lang="ja-JP" altLang="en-US" sz="900">
              <a:solidFill>
                <a:sysClr val="windowText" lastClr="000000"/>
              </a:solidFill>
              <a:effectLst/>
              <a:latin typeface="Meiryo UI" panose="020B0604030504040204" pitchFamily="50" charset="-128"/>
              <a:ea typeface="Meiryo UI" panose="020B0604030504040204" pitchFamily="50" charset="-128"/>
              <a:cs typeface="+mn-cs"/>
            </a:rPr>
            <a:t>・現品票印刷（明細）</a:t>
          </a:r>
          <a:endParaRPr kumimoji="0" lang="en-US" altLang="ja-JP" sz="90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614</xdr:row>
      <xdr:rowOff>29308</xdr:rowOff>
    </xdr:from>
    <xdr:to>
      <xdr:col>2</xdr:col>
      <xdr:colOff>146592</xdr:colOff>
      <xdr:row>614</xdr:row>
      <xdr:rowOff>181689</xdr:rowOff>
    </xdr:to>
    <xdr:pic>
      <xdr:nvPicPr>
        <xdr:cNvPr id="2" name="図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292100" y="157739080"/>
          <a:ext cx="146050" cy="152400"/>
        </a:xfrm>
        <a:prstGeom prst="rect">
          <a:avLst/>
        </a:prstGeom>
      </xdr:spPr>
    </xdr:pic>
    <xdr:clientData/>
  </xdr:twoCellAnchor>
  <xdr:twoCellAnchor editAs="oneCell">
    <xdr:from>
      <xdr:col>2</xdr:col>
      <xdr:colOff>14654</xdr:colOff>
      <xdr:row>615</xdr:row>
      <xdr:rowOff>38833</xdr:rowOff>
    </xdr:from>
    <xdr:to>
      <xdr:col>2</xdr:col>
      <xdr:colOff>146679</xdr:colOff>
      <xdr:row>616</xdr:row>
      <xdr:rowOff>2909</xdr:rowOff>
    </xdr:to>
    <xdr:pic>
      <xdr:nvPicPr>
        <xdr:cNvPr id="3" name="図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a:stretch>
          <a:fillRect/>
        </a:stretch>
      </xdr:blipFill>
      <xdr:spPr>
        <a:xfrm>
          <a:off x="306705" y="157948630"/>
          <a:ext cx="131445" cy="163830"/>
        </a:xfrm>
        <a:prstGeom prst="rect">
          <a:avLst/>
        </a:prstGeom>
      </xdr:spPr>
    </xdr:pic>
    <xdr:clientData/>
  </xdr:twoCellAnchor>
  <xdr:twoCellAnchor editAs="oneCell">
    <xdr:from>
      <xdr:col>2</xdr:col>
      <xdr:colOff>0</xdr:colOff>
      <xdr:row>616</xdr:row>
      <xdr:rowOff>36635</xdr:rowOff>
    </xdr:from>
    <xdr:to>
      <xdr:col>2</xdr:col>
      <xdr:colOff>141451</xdr:colOff>
      <xdr:row>616</xdr:row>
      <xdr:rowOff>179492</xdr:rowOff>
    </xdr:to>
    <xdr:pic>
      <xdr:nvPicPr>
        <xdr:cNvPr id="4" name="図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3"/>
        <a:stretch>
          <a:fillRect/>
        </a:stretch>
      </xdr:blipFill>
      <xdr:spPr>
        <a:xfrm>
          <a:off x="292100" y="158146115"/>
          <a:ext cx="140970" cy="142875"/>
        </a:xfrm>
        <a:prstGeom prst="rect">
          <a:avLst/>
        </a:prstGeom>
      </xdr:spPr>
    </xdr:pic>
    <xdr:clientData/>
  </xdr:twoCellAnchor>
  <xdr:twoCellAnchor editAs="oneCell">
    <xdr:from>
      <xdr:col>2</xdr:col>
      <xdr:colOff>0</xdr:colOff>
      <xdr:row>617</xdr:row>
      <xdr:rowOff>43962</xdr:rowOff>
    </xdr:from>
    <xdr:to>
      <xdr:col>2</xdr:col>
      <xdr:colOff>150340</xdr:colOff>
      <xdr:row>618</xdr:row>
      <xdr:rowOff>5842</xdr:rowOff>
    </xdr:to>
    <xdr:pic>
      <xdr:nvPicPr>
        <xdr:cNvPr id="5" name="図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4"/>
        <a:stretch>
          <a:fillRect/>
        </a:stretch>
      </xdr:blipFill>
      <xdr:spPr>
        <a:xfrm>
          <a:off x="292100" y="158353760"/>
          <a:ext cx="149860" cy="161925"/>
        </a:xfrm>
        <a:prstGeom prst="rect">
          <a:avLst/>
        </a:prstGeom>
      </xdr:spPr>
    </xdr:pic>
    <xdr:clientData/>
  </xdr:twoCellAnchor>
  <xdr:twoCellAnchor editAs="oneCell">
    <xdr:from>
      <xdr:col>2</xdr:col>
      <xdr:colOff>0</xdr:colOff>
      <xdr:row>618</xdr:row>
      <xdr:rowOff>36636</xdr:rowOff>
    </xdr:from>
    <xdr:to>
      <xdr:col>2</xdr:col>
      <xdr:colOff>144761</xdr:colOff>
      <xdr:row>618</xdr:row>
      <xdr:rowOff>177295</xdr:rowOff>
    </xdr:to>
    <xdr:pic>
      <xdr:nvPicPr>
        <xdr:cNvPr id="6" name="図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5"/>
        <a:stretch>
          <a:fillRect/>
        </a:stretch>
      </xdr:blipFill>
      <xdr:spPr>
        <a:xfrm>
          <a:off x="292100" y="158546165"/>
          <a:ext cx="144145" cy="140970"/>
        </a:xfrm>
        <a:prstGeom prst="rect">
          <a:avLst/>
        </a:prstGeom>
      </xdr:spPr>
    </xdr:pic>
    <xdr:clientData/>
  </xdr:twoCellAnchor>
  <xdr:oneCellAnchor>
    <xdr:from>
      <xdr:col>2</xdr:col>
      <xdr:colOff>9525</xdr:colOff>
      <xdr:row>234</xdr:row>
      <xdr:rowOff>38100</xdr:rowOff>
    </xdr:from>
    <xdr:ext cx="142857" cy="161905"/>
    <xdr:pic>
      <xdr:nvPicPr>
        <xdr:cNvPr id="7" name="図 6">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2"/>
        <a:stretch>
          <a:fillRect/>
        </a:stretch>
      </xdr:blipFill>
      <xdr:spPr>
        <a:xfrm>
          <a:off x="301625" y="52235100"/>
          <a:ext cx="142240" cy="16129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612</xdr:row>
      <xdr:rowOff>29308</xdr:rowOff>
    </xdr:from>
    <xdr:to>
      <xdr:col>1</xdr:col>
      <xdr:colOff>542</xdr:colOff>
      <xdr:row>612</xdr:row>
      <xdr:rowOff>181689</xdr:rowOff>
    </xdr:to>
    <xdr:pic>
      <xdr:nvPicPr>
        <xdr:cNvPr id="17" name="図 16">
          <a:extLst>
            <a:ext uri="{FF2B5EF4-FFF2-40B4-BE49-F238E27FC236}">
              <a16:creationId xmlns:a16="http://schemas.microsoft.com/office/drawing/2014/main" id="{00000000-0008-0000-0800-000011000000}"/>
            </a:ext>
          </a:extLst>
        </xdr:cNvPr>
        <xdr:cNvPicPr>
          <a:picLocks noChangeAspect="1"/>
        </xdr:cNvPicPr>
      </xdr:nvPicPr>
      <xdr:blipFill>
        <a:blip xmlns:r="http://schemas.openxmlformats.org/officeDocument/2006/relationships" r:embed="rId1"/>
        <a:stretch>
          <a:fillRect/>
        </a:stretch>
      </xdr:blipFill>
      <xdr:spPr>
        <a:xfrm>
          <a:off x="0" y="157739080"/>
          <a:ext cx="146050" cy="152400"/>
        </a:xfrm>
        <a:prstGeom prst="rect">
          <a:avLst/>
        </a:prstGeom>
      </xdr:spPr>
    </xdr:pic>
    <xdr:clientData/>
  </xdr:twoCellAnchor>
  <xdr:twoCellAnchor editAs="oneCell">
    <xdr:from>
      <xdr:col>0</xdr:col>
      <xdr:colOff>14654</xdr:colOff>
      <xdr:row>613</xdr:row>
      <xdr:rowOff>38833</xdr:rowOff>
    </xdr:from>
    <xdr:to>
      <xdr:col>1</xdr:col>
      <xdr:colOff>629</xdr:colOff>
      <xdr:row>614</xdr:row>
      <xdr:rowOff>2909</xdr:rowOff>
    </xdr:to>
    <xdr:pic>
      <xdr:nvPicPr>
        <xdr:cNvPr id="18" name="図 17">
          <a:extLst>
            <a:ext uri="{FF2B5EF4-FFF2-40B4-BE49-F238E27FC236}">
              <a16:creationId xmlns:a16="http://schemas.microsoft.com/office/drawing/2014/main" id="{00000000-0008-0000-0800-000012000000}"/>
            </a:ext>
          </a:extLst>
        </xdr:cNvPr>
        <xdr:cNvPicPr>
          <a:picLocks noChangeAspect="1"/>
        </xdr:cNvPicPr>
      </xdr:nvPicPr>
      <xdr:blipFill>
        <a:blip xmlns:r="http://schemas.openxmlformats.org/officeDocument/2006/relationships" r:embed="rId2"/>
        <a:stretch>
          <a:fillRect/>
        </a:stretch>
      </xdr:blipFill>
      <xdr:spPr>
        <a:xfrm>
          <a:off x="14605" y="157948630"/>
          <a:ext cx="131445" cy="163830"/>
        </a:xfrm>
        <a:prstGeom prst="rect">
          <a:avLst/>
        </a:prstGeom>
      </xdr:spPr>
    </xdr:pic>
    <xdr:clientData/>
  </xdr:twoCellAnchor>
  <xdr:twoCellAnchor editAs="oneCell">
    <xdr:from>
      <xdr:col>0</xdr:col>
      <xdr:colOff>0</xdr:colOff>
      <xdr:row>614</xdr:row>
      <xdr:rowOff>36635</xdr:rowOff>
    </xdr:from>
    <xdr:to>
      <xdr:col>0</xdr:col>
      <xdr:colOff>141451</xdr:colOff>
      <xdr:row>614</xdr:row>
      <xdr:rowOff>179492</xdr:rowOff>
    </xdr:to>
    <xdr:pic>
      <xdr:nvPicPr>
        <xdr:cNvPr id="19" name="図 18">
          <a:extLst>
            <a:ext uri="{FF2B5EF4-FFF2-40B4-BE49-F238E27FC236}">
              <a16:creationId xmlns:a16="http://schemas.microsoft.com/office/drawing/2014/main" id="{00000000-0008-0000-0800-000013000000}"/>
            </a:ext>
          </a:extLst>
        </xdr:cNvPr>
        <xdr:cNvPicPr>
          <a:picLocks noChangeAspect="1"/>
        </xdr:cNvPicPr>
      </xdr:nvPicPr>
      <xdr:blipFill>
        <a:blip xmlns:r="http://schemas.openxmlformats.org/officeDocument/2006/relationships" r:embed="rId3"/>
        <a:stretch>
          <a:fillRect/>
        </a:stretch>
      </xdr:blipFill>
      <xdr:spPr>
        <a:xfrm>
          <a:off x="0" y="158146115"/>
          <a:ext cx="140970" cy="142875"/>
        </a:xfrm>
        <a:prstGeom prst="rect">
          <a:avLst/>
        </a:prstGeom>
      </xdr:spPr>
    </xdr:pic>
    <xdr:clientData/>
  </xdr:twoCellAnchor>
  <xdr:twoCellAnchor editAs="oneCell">
    <xdr:from>
      <xdr:col>0</xdr:col>
      <xdr:colOff>0</xdr:colOff>
      <xdr:row>615</xdr:row>
      <xdr:rowOff>43962</xdr:rowOff>
    </xdr:from>
    <xdr:to>
      <xdr:col>1</xdr:col>
      <xdr:colOff>4290</xdr:colOff>
      <xdr:row>616</xdr:row>
      <xdr:rowOff>5842</xdr:rowOff>
    </xdr:to>
    <xdr:pic>
      <xdr:nvPicPr>
        <xdr:cNvPr id="20" name="図 19">
          <a:extLst>
            <a:ext uri="{FF2B5EF4-FFF2-40B4-BE49-F238E27FC236}">
              <a16:creationId xmlns:a16="http://schemas.microsoft.com/office/drawing/2014/main" id="{00000000-0008-0000-0800-000014000000}"/>
            </a:ext>
          </a:extLst>
        </xdr:cNvPr>
        <xdr:cNvPicPr>
          <a:picLocks noChangeAspect="1"/>
        </xdr:cNvPicPr>
      </xdr:nvPicPr>
      <xdr:blipFill>
        <a:blip xmlns:r="http://schemas.openxmlformats.org/officeDocument/2006/relationships" r:embed="rId4"/>
        <a:stretch>
          <a:fillRect/>
        </a:stretch>
      </xdr:blipFill>
      <xdr:spPr>
        <a:xfrm>
          <a:off x="0" y="158353760"/>
          <a:ext cx="149860" cy="161925"/>
        </a:xfrm>
        <a:prstGeom prst="rect">
          <a:avLst/>
        </a:prstGeom>
      </xdr:spPr>
    </xdr:pic>
    <xdr:clientData/>
  </xdr:twoCellAnchor>
  <xdr:twoCellAnchor editAs="oneCell">
    <xdr:from>
      <xdr:col>0</xdr:col>
      <xdr:colOff>0</xdr:colOff>
      <xdr:row>616</xdr:row>
      <xdr:rowOff>36636</xdr:rowOff>
    </xdr:from>
    <xdr:to>
      <xdr:col>0</xdr:col>
      <xdr:colOff>144761</xdr:colOff>
      <xdr:row>616</xdr:row>
      <xdr:rowOff>177295</xdr:rowOff>
    </xdr:to>
    <xdr:pic>
      <xdr:nvPicPr>
        <xdr:cNvPr id="21" name="図 20">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5"/>
        <a:stretch>
          <a:fillRect/>
        </a:stretch>
      </xdr:blipFill>
      <xdr:spPr>
        <a:xfrm>
          <a:off x="0" y="158546165"/>
          <a:ext cx="144145" cy="140970"/>
        </a:xfrm>
        <a:prstGeom prst="rect">
          <a:avLst/>
        </a:prstGeom>
      </xdr:spPr>
    </xdr:pic>
    <xdr:clientData/>
  </xdr:twoCellAnchor>
  <xdr:oneCellAnchor>
    <xdr:from>
      <xdr:col>0</xdr:col>
      <xdr:colOff>9525</xdr:colOff>
      <xdr:row>233</xdr:row>
      <xdr:rowOff>38100</xdr:rowOff>
    </xdr:from>
    <xdr:ext cx="142857" cy="161905"/>
    <xdr:pic>
      <xdr:nvPicPr>
        <xdr:cNvPr id="7" name="図 6">
          <a:extLst>
            <a:ext uri="{FF2B5EF4-FFF2-40B4-BE49-F238E27FC236}">
              <a16:creationId xmlns:a16="http://schemas.microsoft.com/office/drawing/2014/main" id="{00000000-0008-0000-0800-000007000000}"/>
            </a:ext>
          </a:extLst>
        </xdr:cNvPr>
        <xdr:cNvPicPr>
          <a:picLocks noChangeAspect="1"/>
        </xdr:cNvPicPr>
      </xdr:nvPicPr>
      <xdr:blipFill>
        <a:blip xmlns:r="http://schemas.openxmlformats.org/officeDocument/2006/relationships" r:embed="rId2"/>
        <a:stretch>
          <a:fillRect/>
        </a:stretch>
      </xdr:blipFill>
      <xdr:spPr>
        <a:xfrm>
          <a:off x="9525" y="52235100"/>
          <a:ext cx="142240" cy="16129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xdr:from>
      <xdr:col>81</xdr:col>
      <xdr:colOff>0</xdr:colOff>
      <xdr:row>10</xdr:row>
      <xdr:rowOff>1</xdr:rowOff>
    </xdr:from>
    <xdr:to>
      <xdr:col>83</xdr:col>
      <xdr:colOff>120649</xdr:colOff>
      <xdr:row>11</xdr:row>
      <xdr:rowOff>6350</xdr:rowOff>
    </xdr:to>
    <xdr:sp macro="" textlink="">
      <xdr:nvSpPr>
        <xdr:cNvPr id="34" name="Text Box 56">
          <a:extLst>
            <a:ext uri="{FF2B5EF4-FFF2-40B4-BE49-F238E27FC236}">
              <a16:creationId xmlns:a16="http://schemas.microsoft.com/office/drawing/2014/main" id="{00000000-0008-0000-0A00-000022000000}"/>
            </a:ext>
          </a:extLst>
        </xdr:cNvPr>
        <xdr:cNvSpPr txBox="1">
          <a:spLocks noChangeArrowheads="1"/>
        </xdr:cNvSpPr>
      </xdr:nvSpPr>
      <xdr:spPr>
        <a:xfrm>
          <a:off x="11915140" y="1876425"/>
          <a:ext cx="412115" cy="2063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81</xdr:col>
      <xdr:colOff>0</xdr:colOff>
      <xdr:row>11</xdr:row>
      <xdr:rowOff>190500</xdr:rowOff>
    </xdr:from>
    <xdr:to>
      <xdr:col>83</xdr:col>
      <xdr:colOff>121900</xdr:colOff>
      <xdr:row>13</xdr:row>
      <xdr:rowOff>38100</xdr:rowOff>
    </xdr:to>
    <xdr:sp macro="" textlink="">
      <xdr:nvSpPr>
        <xdr:cNvPr id="35" name="正方形/長方形 34">
          <a:extLst>
            <a:ext uri="{FF2B5EF4-FFF2-40B4-BE49-F238E27FC236}">
              <a16:creationId xmlns:a16="http://schemas.microsoft.com/office/drawing/2014/main" id="{00000000-0008-0000-0A00-000023000000}"/>
            </a:ext>
          </a:extLst>
        </xdr:cNvPr>
        <xdr:cNvSpPr/>
      </xdr:nvSpPr>
      <xdr:spPr>
        <a:xfrm>
          <a:off x="11915140" y="2266950"/>
          <a:ext cx="413385" cy="247650"/>
        </a:xfrm>
        <a:prstGeom prst="rect">
          <a:avLst/>
        </a:prstGeom>
        <a:no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81</xdr:col>
      <xdr:colOff>0</xdr:colOff>
      <xdr:row>14</xdr:row>
      <xdr:rowOff>12701</xdr:rowOff>
    </xdr:from>
    <xdr:to>
      <xdr:col>83</xdr:col>
      <xdr:colOff>121900</xdr:colOff>
      <xdr:row>15</xdr:row>
      <xdr:rowOff>44451</xdr:rowOff>
    </xdr:to>
    <xdr:sp macro="" textlink="">
      <xdr:nvSpPr>
        <xdr:cNvPr id="36" name="フローチャート: データ 35">
          <a:extLst>
            <a:ext uri="{FF2B5EF4-FFF2-40B4-BE49-F238E27FC236}">
              <a16:creationId xmlns:a16="http://schemas.microsoft.com/office/drawing/2014/main" id="{00000000-0008-0000-0A00-000024000000}"/>
            </a:ext>
          </a:extLst>
        </xdr:cNvPr>
        <xdr:cNvSpPr/>
      </xdr:nvSpPr>
      <xdr:spPr>
        <a:xfrm>
          <a:off x="11915140" y="2689225"/>
          <a:ext cx="413385" cy="231775"/>
        </a:xfrm>
        <a:prstGeom prst="flowChartInputOutpu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81</xdr:col>
      <xdr:colOff>0</xdr:colOff>
      <xdr:row>16</xdr:row>
      <xdr:rowOff>0</xdr:rowOff>
    </xdr:from>
    <xdr:to>
      <xdr:col>83</xdr:col>
      <xdr:colOff>121900</xdr:colOff>
      <xdr:row>17</xdr:row>
      <xdr:rowOff>50800</xdr:rowOff>
    </xdr:to>
    <xdr:sp macro="" textlink="">
      <xdr:nvSpPr>
        <xdr:cNvPr id="37" name="AutoShape 49">
          <a:extLst>
            <a:ext uri="{FF2B5EF4-FFF2-40B4-BE49-F238E27FC236}">
              <a16:creationId xmlns:a16="http://schemas.microsoft.com/office/drawing/2014/main" id="{00000000-0008-0000-0A00-000025000000}"/>
            </a:ext>
          </a:extLst>
        </xdr:cNvPr>
        <xdr:cNvSpPr>
          <a:spLocks noChangeArrowheads="1"/>
        </xdr:cNvSpPr>
      </xdr:nvSpPr>
      <xdr:spPr>
        <a:xfrm>
          <a:off x="11915140" y="3076575"/>
          <a:ext cx="413385" cy="250825"/>
        </a:xfrm>
        <a:prstGeom prst="flowChartDocument">
          <a:avLst/>
        </a:prstGeom>
        <a:noFill/>
        <a:ln w="9525">
          <a:solidFill>
            <a:sysClr val="windowText" lastClr="000000"/>
          </a:solidFill>
          <a:miter lim="800000"/>
        </a:ln>
      </xdr:spPr>
      <xdr:txBody>
        <a:bodyPr vertOverflow="clip" wrap="square" lIns="27432" tIns="18288" rIns="27432" bIns="18288" anchor="ctr" upright="1"/>
        <a:lstStyle/>
        <a:p>
          <a:pPr algn="ctr" rtl="0">
            <a:defRPr sz="1000"/>
          </a:pPr>
          <a:endParaRPr lang="ja-JP" altLang="en-US" sz="9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81</xdr:col>
      <xdr:colOff>0</xdr:colOff>
      <xdr:row>7</xdr:row>
      <xdr:rowOff>150133</xdr:rowOff>
    </xdr:from>
    <xdr:to>
      <xdr:col>83</xdr:col>
      <xdr:colOff>121900</xdr:colOff>
      <xdr:row>8</xdr:row>
      <xdr:rowOff>194583</xdr:rowOff>
    </xdr:to>
    <xdr:sp macro="" textlink="">
      <xdr:nvSpPr>
        <xdr:cNvPr id="38" name="フローチャート : 定義済み処理 66">
          <a:extLst>
            <a:ext uri="{FF2B5EF4-FFF2-40B4-BE49-F238E27FC236}">
              <a16:creationId xmlns:a16="http://schemas.microsoft.com/office/drawing/2014/main" id="{00000000-0008-0000-0A00-000026000000}"/>
            </a:ext>
          </a:extLst>
        </xdr:cNvPr>
        <xdr:cNvSpPr>
          <a:spLocks noChangeArrowheads="1"/>
        </xdr:cNvSpPr>
      </xdr:nvSpPr>
      <xdr:spPr>
        <a:xfrm>
          <a:off x="11915140" y="1426210"/>
          <a:ext cx="413385" cy="244475"/>
        </a:xfrm>
        <a:prstGeom prst="flowChartPredefinedProcess">
          <a:avLst/>
        </a:prstGeom>
        <a:noFill/>
        <a:ln w="9525" algn="ctr">
          <a:solidFill>
            <a:srgbClr val="000000"/>
          </a:solidFill>
          <a:miter lim="800000"/>
        </a:ln>
      </xdr:spPr>
      <xdr:txBody>
        <a:bodyPr vertOverflow="clip" wrap="square" lIns="27432" tIns="18288" rIns="27432" bIns="18288" anchor="ctr" upright="1"/>
        <a:lstStyle/>
        <a:p>
          <a:pPr marL="0" indent="0" algn="ctr" rtl="0">
            <a:lnSpc>
              <a:spcPts val="1000"/>
            </a:lnSpc>
            <a:defRPr sz="1000"/>
          </a:pPr>
          <a:endParaRPr lang="en-US" altLang="ja-JP" sz="900" b="0" i="0" u="none" strike="noStrike" baseline="0">
            <a:solidFill>
              <a:srgbClr val="000000"/>
            </a:solidFill>
            <a:latin typeface="ＭＳ Ｐゴシック" panose="020B0600070205080204" charset="-128"/>
            <a:ea typeface="ＭＳ Ｐゴシック" panose="020B0600070205080204" charset="-128"/>
            <a:cs typeface="+mn-cs"/>
          </a:endParaRPr>
        </a:p>
      </xdr:txBody>
    </xdr:sp>
    <xdr:clientData/>
  </xdr:twoCellAnchor>
  <xdr:twoCellAnchor>
    <xdr:from>
      <xdr:col>81</xdr:col>
      <xdr:colOff>0</xdr:colOff>
      <xdr:row>5</xdr:row>
      <xdr:rowOff>120650</xdr:rowOff>
    </xdr:from>
    <xdr:to>
      <xdr:col>83</xdr:col>
      <xdr:colOff>121900</xdr:colOff>
      <xdr:row>7</xdr:row>
      <xdr:rowOff>0</xdr:rowOff>
    </xdr:to>
    <xdr:sp macro="" textlink="">
      <xdr:nvSpPr>
        <xdr:cNvPr id="39" name="フローチャート: 処理 38">
          <a:extLst>
            <a:ext uri="{FF2B5EF4-FFF2-40B4-BE49-F238E27FC236}">
              <a16:creationId xmlns:a16="http://schemas.microsoft.com/office/drawing/2014/main" id="{00000000-0008-0000-0A00-000027000000}"/>
            </a:ext>
          </a:extLst>
        </xdr:cNvPr>
        <xdr:cNvSpPr/>
      </xdr:nvSpPr>
      <xdr:spPr>
        <a:xfrm>
          <a:off x="11915140" y="996950"/>
          <a:ext cx="413385" cy="279400"/>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noAutofit/>
        </a:bodyP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73</xdr:col>
      <xdr:colOff>90714</xdr:colOff>
      <xdr:row>7</xdr:row>
      <xdr:rowOff>150133</xdr:rowOff>
    </xdr:from>
    <xdr:to>
      <xdr:col>76</xdr:col>
      <xdr:colOff>67471</xdr:colOff>
      <xdr:row>8</xdr:row>
      <xdr:rowOff>194583</xdr:rowOff>
    </xdr:to>
    <xdr:sp macro="" textlink="">
      <xdr:nvSpPr>
        <xdr:cNvPr id="40" name="フローチャート : 定義済み処理 66">
          <a:extLst>
            <a:ext uri="{FF2B5EF4-FFF2-40B4-BE49-F238E27FC236}">
              <a16:creationId xmlns:a16="http://schemas.microsoft.com/office/drawing/2014/main" id="{00000000-0008-0000-0A00-000028000000}"/>
            </a:ext>
          </a:extLst>
        </xdr:cNvPr>
        <xdr:cNvSpPr>
          <a:spLocks noChangeArrowheads="1"/>
        </xdr:cNvSpPr>
      </xdr:nvSpPr>
      <xdr:spPr>
        <a:xfrm>
          <a:off x="10836910" y="1426210"/>
          <a:ext cx="415290" cy="244475"/>
        </a:xfrm>
        <a:prstGeom prst="flowChartPredefinedProcess">
          <a:avLst/>
        </a:prstGeom>
        <a:noFill/>
        <a:ln w="28575" algn="ctr">
          <a:solidFill>
            <a:srgbClr val="FF0000"/>
          </a:solidFill>
          <a:miter lim="800000"/>
        </a:ln>
      </xdr:spPr>
      <xdr:txBody>
        <a:bodyPr vertOverflow="clip" wrap="square" lIns="27432" tIns="18288" rIns="27432" bIns="18288" anchor="ctr" upright="1"/>
        <a:lstStyle/>
        <a:p>
          <a:pPr marL="0" indent="0" algn="ctr" rtl="0">
            <a:lnSpc>
              <a:spcPts val="1000"/>
            </a:lnSpc>
            <a:defRPr sz="1000"/>
          </a:pPr>
          <a:endParaRPr lang="en-US" altLang="ja-JP" sz="900" b="0" i="0" u="none" strike="noStrike" baseline="0">
            <a:solidFill>
              <a:srgbClr val="000000"/>
            </a:solidFill>
            <a:latin typeface="ＭＳ Ｐゴシック" panose="020B0600070205080204" charset="-128"/>
            <a:ea typeface="ＭＳ Ｐゴシック" panose="020B0600070205080204" charset="-128"/>
            <a:cs typeface="+mn-cs"/>
          </a:endParaRPr>
        </a:p>
      </xdr:txBody>
    </xdr:sp>
    <xdr:clientData/>
  </xdr:twoCellAnchor>
  <xdr:twoCellAnchor>
    <xdr:from>
      <xdr:col>19</xdr:col>
      <xdr:colOff>40821</xdr:colOff>
      <xdr:row>14</xdr:row>
      <xdr:rowOff>9074</xdr:rowOff>
    </xdr:from>
    <xdr:to>
      <xdr:col>28</xdr:col>
      <xdr:colOff>113392</xdr:colOff>
      <xdr:row>17</xdr:row>
      <xdr:rowOff>9074</xdr:rowOff>
    </xdr:to>
    <xdr:sp macro="" textlink="">
      <xdr:nvSpPr>
        <xdr:cNvPr id="3" name="フローチャート: 処理 2">
          <a:extLst>
            <a:ext uri="{FF2B5EF4-FFF2-40B4-BE49-F238E27FC236}">
              <a16:creationId xmlns:a16="http://schemas.microsoft.com/office/drawing/2014/main" id="{00000000-0008-0000-0A00-000003000000}"/>
            </a:ext>
          </a:extLst>
        </xdr:cNvPr>
        <xdr:cNvSpPr/>
      </xdr:nvSpPr>
      <xdr:spPr>
        <a:xfrm>
          <a:off x="2892425" y="2685415"/>
          <a:ext cx="1386840" cy="600075"/>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noAutofit/>
        </a:bodyP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MSBDP0090</a:t>
          </a:r>
        </a:p>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発注一覧登録</a:t>
          </a:r>
        </a:p>
      </xdr:txBody>
    </xdr:sp>
    <xdr:clientData/>
  </xdr:twoCellAnchor>
  <xdr:twoCellAnchor>
    <xdr:from>
      <xdr:col>42</xdr:col>
      <xdr:colOff>72570</xdr:colOff>
      <xdr:row>11</xdr:row>
      <xdr:rowOff>117928</xdr:rowOff>
    </xdr:from>
    <xdr:to>
      <xdr:col>52</xdr:col>
      <xdr:colOff>81641</xdr:colOff>
      <xdr:row>18</xdr:row>
      <xdr:rowOff>114192</xdr:rowOff>
    </xdr:to>
    <xdr:grpSp>
      <xdr:nvGrpSpPr>
        <xdr:cNvPr id="90" name="グループ化 89">
          <a:extLst>
            <a:ext uri="{FF2B5EF4-FFF2-40B4-BE49-F238E27FC236}">
              <a16:creationId xmlns:a16="http://schemas.microsoft.com/office/drawing/2014/main" id="{00000000-0008-0000-0A00-00005A000000}"/>
            </a:ext>
          </a:extLst>
        </xdr:cNvPr>
        <xdr:cNvGrpSpPr/>
      </xdr:nvGrpSpPr>
      <xdr:grpSpPr>
        <a:xfrm>
          <a:off x="6422570" y="2134987"/>
          <a:ext cx="1503189" cy="1355911"/>
          <a:chOff x="5978070" y="1451428"/>
          <a:chExt cx="1460499" cy="1393264"/>
        </a:xfrm>
      </xdr:grpSpPr>
      <xdr:sp macro="" textlink="">
        <xdr:nvSpPr>
          <xdr:cNvPr id="8" name="Text Box 56">
            <a:extLst>
              <a:ext uri="{FF2B5EF4-FFF2-40B4-BE49-F238E27FC236}">
                <a16:creationId xmlns:a16="http://schemas.microsoft.com/office/drawing/2014/main" id="{00000000-0008-0000-0A00-000008000000}"/>
              </a:ext>
            </a:extLst>
          </xdr:cNvPr>
          <xdr:cNvSpPr txBox="1">
            <a:spLocks noChangeArrowheads="1"/>
          </xdr:cNvSpPr>
        </xdr:nvSpPr>
        <xdr:spPr>
          <a:xfrm>
            <a:off x="6116818" y="1612752"/>
            <a:ext cx="1197453" cy="44416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発注ヘッダ</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9" name="Text Box 56">
            <a:extLst>
              <a:ext uri="{FF2B5EF4-FFF2-40B4-BE49-F238E27FC236}">
                <a16:creationId xmlns:a16="http://schemas.microsoft.com/office/drawing/2014/main" id="{00000000-0008-0000-0A00-000009000000}"/>
              </a:ext>
            </a:extLst>
          </xdr:cNvPr>
          <xdr:cNvSpPr txBox="1">
            <a:spLocks noChangeArrowheads="1"/>
          </xdr:cNvSpPr>
        </xdr:nvSpPr>
        <xdr:spPr>
          <a:xfrm>
            <a:off x="6102213" y="2265387"/>
            <a:ext cx="1197453" cy="44416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発注明細</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0" name="正方形/長方形 9">
            <a:extLst>
              <a:ext uri="{FF2B5EF4-FFF2-40B4-BE49-F238E27FC236}">
                <a16:creationId xmlns:a16="http://schemas.microsoft.com/office/drawing/2014/main" id="{00000000-0008-0000-0A00-00000A000000}"/>
              </a:ext>
            </a:extLst>
          </xdr:cNvPr>
          <xdr:cNvSpPr/>
        </xdr:nvSpPr>
        <xdr:spPr>
          <a:xfrm>
            <a:off x="5978070" y="1451428"/>
            <a:ext cx="1460499" cy="1393264"/>
          </a:xfrm>
          <a:prstGeom prst="rect">
            <a:avLst/>
          </a:prstGeom>
          <a:no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29</xdr:col>
      <xdr:colOff>81644</xdr:colOff>
      <xdr:row>15</xdr:row>
      <xdr:rowOff>16274</xdr:rowOff>
    </xdr:from>
    <xdr:to>
      <xdr:col>42</xdr:col>
      <xdr:colOff>72570</xdr:colOff>
      <xdr:row>17</xdr:row>
      <xdr:rowOff>108856</xdr:rowOff>
    </xdr:to>
    <xdr:cxnSp macro="">
      <xdr:nvCxnSpPr>
        <xdr:cNvPr id="11" name="コネクタ: カギ線 10">
          <a:extLst>
            <a:ext uri="{FF2B5EF4-FFF2-40B4-BE49-F238E27FC236}">
              <a16:creationId xmlns:a16="http://schemas.microsoft.com/office/drawing/2014/main" id="{00000000-0008-0000-0A00-00000B000000}"/>
            </a:ext>
          </a:extLst>
        </xdr:cNvPr>
        <xdr:cNvCxnSpPr>
          <a:stCxn id="89" idx="3"/>
          <a:endCxn id="10" idx="1"/>
        </xdr:cNvCxnSpPr>
      </xdr:nvCxnSpPr>
      <xdr:spPr>
        <a:xfrm flipV="1">
          <a:off x="4393565" y="2892425"/>
          <a:ext cx="1889760" cy="492760"/>
        </a:xfrm>
        <a:prstGeom prst="bentConnector3">
          <a:avLst>
            <a:gd name="adj1" fmla="val 50000"/>
          </a:avLst>
        </a:prstGeom>
        <a:solidFill>
          <a:srgbClr val="FFFFFF"/>
        </a:solidFill>
        <a:ln w="9525" cap="flat" cmpd="sng" algn="ctr">
          <a:solidFill>
            <a:srgbClr val="000000"/>
          </a:solidFill>
          <a:prstDash val="solid"/>
          <a:round/>
          <a:headEnd type="triangle"/>
          <a:tailEnd type="triangle"/>
        </a:ln>
        <a:effectLst/>
      </xdr:spPr>
    </xdr:cxnSp>
    <xdr:clientData/>
  </xdr:twoCellAnchor>
  <xdr:twoCellAnchor>
    <xdr:from>
      <xdr:col>19</xdr:col>
      <xdr:colOff>40821</xdr:colOff>
      <xdr:row>17</xdr:row>
      <xdr:rowOff>181427</xdr:rowOff>
    </xdr:from>
    <xdr:to>
      <xdr:col>28</xdr:col>
      <xdr:colOff>113392</xdr:colOff>
      <xdr:row>20</xdr:row>
      <xdr:rowOff>181427</xdr:rowOff>
    </xdr:to>
    <xdr:sp macro="" textlink="">
      <xdr:nvSpPr>
        <xdr:cNvPr id="16" name="フローチャート: 処理 15">
          <a:extLst>
            <a:ext uri="{FF2B5EF4-FFF2-40B4-BE49-F238E27FC236}">
              <a16:creationId xmlns:a16="http://schemas.microsoft.com/office/drawing/2014/main" id="{00000000-0008-0000-0A00-000010000000}"/>
            </a:ext>
          </a:extLst>
        </xdr:cNvPr>
        <xdr:cNvSpPr/>
      </xdr:nvSpPr>
      <xdr:spPr>
        <a:xfrm>
          <a:off x="2892425" y="3457575"/>
          <a:ext cx="1386840" cy="600075"/>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noAutofit/>
        </a:bodyP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MSBDP0080</a:t>
          </a:r>
        </a:p>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発注登録</a:t>
          </a:r>
        </a:p>
      </xdr:txBody>
    </xdr:sp>
    <xdr:clientData/>
  </xdr:twoCellAnchor>
  <xdr:twoCellAnchor>
    <xdr:from>
      <xdr:col>7</xdr:col>
      <xdr:colOff>36285</xdr:colOff>
      <xdr:row>11</xdr:row>
      <xdr:rowOff>172358</xdr:rowOff>
    </xdr:from>
    <xdr:to>
      <xdr:col>14</xdr:col>
      <xdr:colOff>0</xdr:colOff>
      <xdr:row>15</xdr:row>
      <xdr:rowOff>36286</xdr:rowOff>
    </xdr:to>
    <xdr:sp macro="" textlink="">
      <xdr:nvSpPr>
        <xdr:cNvPr id="41" name="AutoShape 49">
          <a:extLst>
            <a:ext uri="{FF2B5EF4-FFF2-40B4-BE49-F238E27FC236}">
              <a16:creationId xmlns:a16="http://schemas.microsoft.com/office/drawing/2014/main" id="{00000000-0008-0000-0A00-000029000000}"/>
            </a:ext>
          </a:extLst>
        </xdr:cNvPr>
        <xdr:cNvSpPr>
          <a:spLocks noChangeArrowheads="1"/>
        </xdr:cNvSpPr>
      </xdr:nvSpPr>
      <xdr:spPr>
        <a:xfrm>
          <a:off x="1135380" y="2248535"/>
          <a:ext cx="986155" cy="664210"/>
        </a:xfrm>
        <a:prstGeom prst="flowChartDocument">
          <a:avLst/>
        </a:prstGeom>
        <a:noFill/>
        <a:ln w="9525">
          <a:solidFill>
            <a:sysClr val="windowText" lastClr="000000"/>
          </a:solidFill>
          <a:miter lim="800000"/>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rPr>
            <a:t>MSBDR0030</a:t>
          </a: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注文書（仮）</a:t>
          </a:r>
        </a:p>
      </xdr:txBody>
    </xdr:sp>
    <xdr:clientData/>
  </xdr:twoCellAnchor>
  <xdr:twoCellAnchor>
    <xdr:from>
      <xdr:col>7</xdr:col>
      <xdr:colOff>45358</xdr:colOff>
      <xdr:row>15</xdr:row>
      <xdr:rowOff>172357</xdr:rowOff>
    </xdr:from>
    <xdr:to>
      <xdr:col>14</xdr:col>
      <xdr:colOff>9073</xdr:colOff>
      <xdr:row>19</xdr:row>
      <xdr:rowOff>36285</xdr:rowOff>
    </xdr:to>
    <xdr:sp macro="" textlink="">
      <xdr:nvSpPr>
        <xdr:cNvPr id="43" name="AutoShape 49">
          <a:extLst>
            <a:ext uri="{FF2B5EF4-FFF2-40B4-BE49-F238E27FC236}">
              <a16:creationId xmlns:a16="http://schemas.microsoft.com/office/drawing/2014/main" id="{00000000-0008-0000-0A00-00002B000000}"/>
            </a:ext>
          </a:extLst>
        </xdr:cNvPr>
        <xdr:cNvSpPr>
          <a:spLocks noChangeArrowheads="1"/>
        </xdr:cNvSpPr>
      </xdr:nvSpPr>
      <xdr:spPr>
        <a:xfrm>
          <a:off x="1144270" y="3048635"/>
          <a:ext cx="986155" cy="664210"/>
        </a:xfrm>
        <a:prstGeom prst="flowChartDocument">
          <a:avLst/>
        </a:prstGeom>
        <a:noFill/>
        <a:ln w="9525">
          <a:solidFill>
            <a:sysClr val="windowText" lastClr="000000"/>
          </a:solidFill>
          <a:miter lim="800000"/>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rPr>
            <a:t>MSBER0010</a:t>
          </a: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現品票</a:t>
          </a:r>
        </a:p>
      </xdr:txBody>
    </xdr:sp>
    <xdr:clientData/>
  </xdr:twoCellAnchor>
  <xdr:twoCellAnchor>
    <xdr:from>
      <xdr:col>7</xdr:col>
      <xdr:colOff>36286</xdr:colOff>
      <xdr:row>19</xdr:row>
      <xdr:rowOff>163285</xdr:rowOff>
    </xdr:from>
    <xdr:to>
      <xdr:col>14</xdr:col>
      <xdr:colOff>1</xdr:colOff>
      <xdr:row>23</xdr:row>
      <xdr:rowOff>27214</xdr:rowOff>
    </xdr:to>
    <xdr:sp macro="" textlink="">
      <xdr:nvSpPr>
        <xdr:cNvPr id="44" name="AutoShape 49">
          <a:extLst>
            <a:ext uri="{FF2B5EF4-FFF2-40B4-BE49-F238E27FC236}">
              <a16:creationId xmlns:a16="http://schemas.microsoft.com/office/drawing/2014/main" id="{00000000-0008-0000-0A00-00002C000000}"/>
            </a:ext>
          </a:extLst>
        </xdr:cNvPr>
        <xdr:cNvSpPr>
          <a:spLocks noChangeArrowheads="1"/>
        </xdr:cNvSpPr>
      </xdr:nvSpPr>
      <xdr:spPr>
        <a:xfrm>
          <a:off x="1135380" y="3839845"/>
          <a:ext cx="986155" cy="663575"/>
        </a:xfrm>
        <a:prstGeom prst="flowChartDocument">
          <a:avLst/>
        </a:prstGeom>
        <a:noFill/>
        <a:ln w="9525">
          <a:solidFill>
            <a:sysClr val="windowText" lastClr="000000"/>
          </a:solidFill>
          <a:miter lim="800000"/>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rPr>
            <a:t>MSBER0500</a:t>
          </a: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納品書</a:t>
          </a:r>
        </a:p>
      </xdr:txBody>
    </xdr:sp>
    <xdr:clientData/>
  </xdr:twoCellAnchor>
  <xdr:twoCellAnchor>
    <xdr:from>
      <xdr:col>7</xdr:col>
      <xdr:colOff>36286</xdr:colOff>
      <xdr:row>23</xdr:row>
      <xdr:rowOff>181429</xdr:rowOff>
    </xdr:from>
    <xdr:to>
      <xdr:col>14</xdr:col>
      <xdr:colOff>1</xdr:colOff>
      <xdr:row>27</xdr:row>
      <xdr:rowOff>45357</xdr:rowOff>
    </xdr:to>
    <xdr:sp macro="" textlink="">
      <xdr:nvSpPr>
        <xdr:cNvPr id="45" name="AutoShape 49">
          <a:extLst>
            <a:ext uri="{FF2B5EF4-FFF2-40B4-BE49-F238E27FC236}">
              <a16:creationId xmlns:a16="http://schemas.microsoft.com/office/drawing/2014/main" id="{00000000-0008-0000-0A00-00002D000000}"/>
            </a:ext>
          </a:extLst>
        </xdr:cNvPr>
        <xdr:cNvSpPr>
          <a:spLocks noChangeArrowheads="1"/>
        </xdr:cNvSpPr>
      </xdr:nvSpPr>
      <xdr:spPr>
        <a:xfrm>
          <a:off x="1135380" y="4657725"/>
          <a:ext cx="986155" cy="664210"/>
        </a:xfrm>
        <a:prstGeom prst="flowChartDocument">
          <a:avLst/>
        </a:prstGeom>
        <a:noFill/>
        <a:ln w="9525">
          <a:solidFill>
            <a:sysClr val="windowText" lastClr="000000"/>
          </a:solidFill>
          <a:miter lim="800000"/>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rPr>
            <a:t>MSBER0500</a:t>
          </a: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受領書</a:t>
          </a:r>
        </a:p>
      </xdr:txBody>
    </xdr:sp>
    <xdr:clientData/>
  </xdr:twoCellAnchor>
  <xdr:twoCellAnchor>
    <xdr:from>
      <xdr:col>7</xdr:col>
      <xdr:colOff>27215</xdr:colOff>
      <xdr:row>27</xdr:row>
      <xdr:rowOff>163285</xdr:rowOff>
    </xdr:from>
    <xdr:to>
      <xdr:col>13</xdr:col>
      <xdr:colOff>136073</xdr:colOff>
      <xdr:row>31</xdr:row>
      <xdr:rowOff>27213</xdr:rowOff>
    </xdr:to>
    <xdr:sp macro="" textlink="">
      <xdr:nvSpPr>
        <xdr:cNvPr id="46" name="AutoShape 49">
          <a:extLst>
            <a:ext uri="{FF2B5EF4-FFF2-40B4-BE49-F238E27FC236}">
              <a16:creationId xmlns:a16="http://schemas.microsoft.com/office/drawing/2014/main" id="{00000000-0008-0000-0A00-00002E000000}"/>
            </a:ext>
          </a:extLst>
        </xdr:cNvPr>
        <xdr:cNvSpPr>
          <a:spLocks noChangeArrowheads="1"/>
        </xdr:cNvSpPr>
      </xdr:nvSpPr>
      <xdr:spPr>
        <a:xfrm>
          <a:off x="1125855" y="5440045"/>
          <a:ext cx="985520" cy="663575"/>
        </a:xfrm>
        <a:prstGeom prst="flowChartDocument">
          <a:avLst/>
        </a:prstGeom>
        <a:noFill/>
        <a:ln w="9525">
          <a:solidFill>
            <a:sysClr val="windowText" lastClr="000000"/>
          </a:solidFill>
          <a:miter lim="800000"/>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rPr>
            <a:t>MSBER0500</a:t>
          </a: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見積書</a:t>
          </a:r>
        </a:p>
      </xdr:txBody>
    </xdr:sp>
    <xdr:clientData/>
  </xdr:twoCellAnchor>
  <xdr:twoCellAnchor>
    <xdr:from>
      <xdr:col>21</xdr:col>
      <xdr:colOff>81644</xdr:colOff>
      <xdr:row>26</xdr:row>
      <xdr:rowOff>54427</xdr:rowOff>
    </xdr:from>
    <xdr:to>
      <xdr:col>31</xdr:col>
      <xdr:colOff>127002</xdr:colOff>
      <xdr:row>28</xdr:row>
      <xdr:rowOff>190499</xdr:rowOff>
    </xdr:to>
    <xdr:sp macro="" textlink="">
      <xdr:nvSpPr>
        <xdr:cNvPr id="47" name="フローチャート : 定義済み処理 66">
          <a:extLst>
            <a:ext uri="{FF2B5EF4-FFF2-40B4-BE49-F238E27FC236}">
              <a16:creationId xmlns:a16="http://schemas.microsoft.com/office/drawing/2014/main" id="{00000000-0008-0000-0A00-00002F000000}"/>
            </a:ext>
          </a:extLst>
        </xdr:cNvPr>
        <xdr:cNvSpPr>
          <a:spLocks noChangeArrowheads="1"/>
        </xdr:cNvSpPr>
      </xdr:nvSpPr>
      <xdr:spPr>
        <a:xfrm>
          <a:off x="3225165" y="5130800"/>
          <a:ext cx="1506220" cy="535940"/>
        </a:xfrm>
        <a:prstGeom prst="flowChartPredefinedProcess">
          <a:avLst/>
        </a:prstGeom>
        <a:noFill/>
        <a:ln w="9525" algn="ctr">
          <a:solidFill>
            <a:srgbClr val="000000"/>
          </a:solidFill>
          <a:miter lim="800000"/>
        </a:ln>
      </xdr:spPr>
      <xdr:txBody>
        <a:bodyPr vertOverflow="clip" wrap="square" lIns="27432" tIns="18288" rIns="27432" bIns="18288" anchor="ctr" upright="1"/>
        <a:lstStyle/>
        <a:p>
          <a:pPr marL="0" indent="0" algn="ctr" rtl="0">
            <a:lnSpc>
              <a:spcPts val="1000"/>
            </a:lnSpc>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cs typeface="+mn-cs"/>
            </a:rPr>
            <a:t>MBBAL5010</a:t>
          </a:r>
        </a:p>
        <a:p>
          <a:pPr marL="0" indent="0" algn="ctr" rtl="0">
            <a:lnSpc>
              <a:spcPts val="10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n-cs"/>
            </a:rPr>
            <a:t>承認提供サービス</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n-cs"/>
          </a:endParaRPr>
        </a:p>
      </xdr:txBody>
    </xdr:sp>
    <xdr:clientData/>
  </xdr:twoCellAnchor>
  <xdr:twoCellAnchor>
    <xdr:from>
      <xdr:col>23</xdr:col>
      <xdr:colOff>140607</xdr:colOff>
      <xdr:row>21</xdr:row>
      <xdr:rowOff>126998</xdr:rowOff>
    </xdr:from>
    <xdr:to>
      <xdr:col>26</xdr:col>
      <xdr:colOff>104322</xdr:colOff>
      <xdr:row>26</xdr:row>
      <xdr:rowOff>54427</xdr:rowOff>
    </xdr:to>
    <xdr:cxnSp macro="">
      <xdr:nvCxnSpPr>
        <xdr:cNvPr id="51" name="カギ線コネクタ 29">
          <a:extLst>
            <a:ext uri="{FF2B5EF4-FFF2-40B4-BE49-F238E27FC236}">
              <a16:creationId xmlns:a16="http://schemas.microsoft.com/office/drawing/2014/main" id="{00000000-0008-0000-0A00-000033000000}"/>
            </a:ext>
          </a:extLst>
        </xdr:cNvPr>
        <xdr:cNvCxnSpPr>
          <a:stCxn id="89" idx="2"/>
          <a:endCxn id="47" idx="0"/>
        </xdr:cNvCxnSpPr>
      </xdr:nvCxnSpPr>
      <xdr:spPr>
        <a:xfrm rot="16200000" flipH="1">
          <a:off x="3313430" y="4465955"/>
          <a:ext cx="927735" cy="401955"/>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35</xdr:col>
      <xdr:colOff>36286</xdr:colOff>
      <xdr:row>23</xdr:row>
      <xdr:rowOff>90716</xdr:rowOff>
    </xdr:from>
    <xdr:to>
      <xdr:col>45</xdr:col>
      <xdr:colOff>45357</xdr:colOff>
      <xdr:row>30</xdr:row>
      <xdr:rowOff>86980</xdr:rowOff>
    </xdr:to>
    <xdr:grpSp>
      <xdr:nvGrpSpPr>
        <xdr:cNvPr id="57" name="グループ化 56">
          <a:extLst>
            <a:ext uri="{FF2B5EF4-FFF2-40B4-BE49-F238E27FC236}">
              <a16:creationId xmlns:a16="http://schemas.microsoft.com/office/drawing/2014/main" id="{00000000-0008-0000-0A00-000039000000}"/>
            </a:ext>
          </a:extLst>
        </xdr:cNvPr>
        <xdr:cNvGrpSpPr/>
      </xdr:nvGrpSpPr>
      <xdr:grpSpPr>
        <a:xfrm>
          <a:off x="5340404" y="4438598"/>
          <a:ext cx="1503188" cy="1355911"/>
          <a:chOff x="2104571" y="5052787"/>
          <a:chExt cx="1460499" cy="1393264"/>
        </a:xfrm>
      </xdr:grpSpPr>
      <xdr:sp macro="" textlink="">
        <xdr:nvSpPr>
          <xdr:cNvPr id="54" name="Text Box 56">
            <a:extLst>
              <a:ext uri="{FF2B5EF4-FFF2-40B4-BE49-F238E27FC236}">
                <a16:creationId xmlns:a16="http://schemas.microsoft.com/office/drawing/2014/main" id="{00000000-0008-0000-0A00-000036000000}"/>
              </a:ext>
            </a:extLst>
          </xdr:cNvPr>
          <xdr:cNvSpPr txBox="1">
            <a:spLocks noChangeArrowheads="1"/>
          </xdr:cNvSpPr>
        </xdr:nvSpPr>
        <xdr:spPr>
          <a:xfrm>
            <a:off x="2240643" y="5207000"/>
            <a:ext cx="1197453" cy="44416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承認情報ヘッダ</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55" name="Text Box 56">
            <a:extLst>
              <a:ext uri="{FF2B5EF4-FFF2-40B4-BE49-F238E27FC236}">
                <a16:creationId xmlns:a16="http://schemas.microsoft.com/office/drawing/2014/main" id="{00000000-0008-0000-0A00-000037000000}"/>
              </a:ext>
            </a:extLst>
          </xdr:cNvPr>
          <xdr:cNvSpPr txBox="1">
            <a:spLocks noChangeArrowheads="1"/>
          </xdr:cNvSpPr>
        </xdr:nvSpPr>
        <xdr:spPr>
          <a:xfrm>
            <a:off x="2240643" y="5832928"/>
            <a:ext cx="1197453" cy="44416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承認情報明細</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56" name="正方形/長方形 55">
            <a:extLst>
              <a:ext uri="{FF2B5EF4-FFF2-40B4-BE49-F238E27FC236}">
                <a16:creationId xmlns:a16="http://schemas.microsoft.com/office/drawing/2014/main" id="{00000000-0008-0000-0A00-000038000000}"/>
              </a:ext>
            </a:extLst>
          </xdr:cNvPr>
          <xdr:cNvSpPr/>
        </xdr:nvSpPr>
        <xdr:spPr>
          <a:xfrm>
            <a:off x="2104571" y="5052787"/>
            <a:ext cx="1460499" cy="1393264"/>
          </a:xfrm>
          <a:prstGeom prst="rect">
            <a:avLst/>
          </a:prstGeom>
          <a:no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21</xdr:col>
      <xdr:colOff>27227</xdr:colOff>
      <xdr:row>28</xdr:row>
      <xdr:rowOff>190500</xdr:rowOff>
    </xdr:from>
    <xdr:to>
      <xdr:col>26</xdr:col>
      <xdr:colOff>104322</xdr:colOff>
      <xdr:row>32</xdr:row>
      <xdr:rowOff>45359</xdr:rowOff>
    </xdr:to>
    <xdr:cxnSp macro="">
      <xdr:nvCxnSpPr>
        <xdr:cNvPr id="58" name="カギ線コネクタ 29">
          <a:extLst>
            <a:ext uri="{FF2B5EF4-FFF2-40B4-BE49-F238E27FC236}">
              <a16:creationId xmlns:a16="http://schemas.microsoft.com/office/drawing/2014/main" id="{00000000-0008-0000-0A00-00003A000000}"/>
            </a:ext>
          </a:extLst>
        </xdr:cNvPr>
        <xdr:cNvCxnSpPr>
          <a:stCxn id="61" idx="0"/>
          <a:endCxn id="47" idx="2"/>
        </xdr:cNvCxnSpPr>
      </xdr:nvCxnSpPr>
      <xdr:spPr>
        <a:xfrm rot="5400000" flipH="1" flipV="1">
          <a:off x="3246755" y="5591175"/>
          <a:ext cx="655320" cy="807085"/>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9073</xdr:colOff>
      <xdr:row>32</xdr:row>
      <xdr:rowOff>45358</xdr:rowOff>
    </xdr:from>
    <xdr:to>
      <xdr:col>25</xdr:col>
      <xdr:colOff>45383</xdr:colOff>
      <xdr:row>34</xdr:row>
      <xdr:rowOff>90380</xdr:rowOff>
    </xdr:to>
    <xdr:sp macro="" textlink="">
      <xdr:nvSpPr>
        <xdr:cNvPr id="61" name="Text Box 56">
          <a:extLst>
            <a:ext uri="{FF2B5EF4-FFF2-40B4-BE49-F238E27FC236}">
              <a16:creationId xmlns:a16="http://schemas.microsoft.com/office/drawing/2014/main" id="{00000000-0008-0000-0A00-00003D000000}"/>
            </a:ext>
          </a:extLst>
        </xdr:cNvPr>
        <xdr:cNvSpPr txBox="1">
          <a:spLocks noChangeArrowheads="1"/>
        </xdr:cNvSpPr>
      </xdr:nvSpPr>
      <xdr:spPr>
        <a:xfrm>
          <a:off x="2568575" y="6322060"/>
          <a:ext cx="1204595" cy="44513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承認情報マスタ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127002</xdr:colOff>
      <xdr:row>26</xdr:row>
      <xdr:rowOff>188633</xdr:rowOff>
    </xdr:from>
    <xdr:to>
      <xdr:col>35</xdr:col>
      <xdr:colOff>36286</xdr:colOff>
      <xdr:row>27</xdr:row>
      <xdr:rowOff>122464</xdr:rowOff>
    </xdr:to>
    <xdr:cxnSp macro="">
      <xdr:nvCxnSpPr>
        <xdr:cNvPr id="64" name="カギ線コネクタ 29">
          <a:extLst>
            <a:ext uri="{FF2B5EF4-FFF2-40B4-BE49-F238E27FC236}">
              <a16:creationId xmlns:a16="http://schemas.microsoft.com/office/drawing/2014/main" id="{00000000-0008-0000-0A00-000040000000}"/>
            </a:ext>
          </a:extLst>
        </xdr:cNvPr>
        <xdr:cNvCxnSpPr>
          <a:stCxn id="47" idx="3"/>
          <a:endCxn id="56" idx="1"/>
        </xdr:cNvCxnSpPr>
      </xdr:nvCxnSpPr>
      <xdr:spPr>
        <a:xfrm flipV="1">
          <a:off x="4731385" y="5265420"/>
          <a:ext cx="493395" cy="133350"/>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35</xdr:col>
      <xdr:colOff>72573</xdr:colOff>
      <xdr:row>33</xdr:row>
      <xdr:rowOff>172357</xdr:rowOff>
    </xdr:from>
    <xdr:to>
      <xdr:col>45</xdr:col>
      <xdr:colOff>2</xdr:colOff>
      <xdr:row>36</xdr:row>
      <xdr:rowOff>172357</xdr:rowOff>
    </xdr:to>
    <xdr:sp macro="" textlink="">
      <xdr:nvSpPr>
        <xdr:cNvPr id="67" name="フローチャート: 処理 66">
          <a:extLst>
            <a:ext uri="{FF2B5EF4-FFF2-40B4-BE49-F238E27FC236}">
              <a16:creationId xmlns:a16="http://schemas.microsoft.com/office/drawing/2014/main" id="{00000000-0008-0000-0A00-000043000000}"/>
            </a:ext>
          </a:extLst>
        </xdr:cNvPr>
        <xdr:cNvSpPr/>
      </xdr:nvSpPr>
      <xdr:spPr>
        <a:xfrm>
          <a:off x="5260975" y="6649085"/>
          <a:ext cx="1388110" cy="600075"/>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noAutofit/>
        </a:bodyP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MBBAP0020</a:t>
          </a:r>
        </a:p>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承認一覧登録</a:t>
          </a:r>
        </a:p>
      </xdr:txBody>
    </xdr:sp>
    <xdr:clientData/>
  </xdr:twoCellAnchor>
  <xdr:twoCellAnchor>
    <xdr:from>
      <xdr:col>40</xdr:col>
      <xdr:colOff>36288</xdr:colOff>
      <xdr:row>30</xdr:row>
      <xdr:rowOff>86980</xdr:rowOff>
    </xdr:from>
    <xdr:to>
      <xdr:col>40</xdr:col>
      <xdr:colOff>40822</xdr:colOff>
      <xdr:row>33</xdr:row>
      <xdr:rowOff>172357</xdr:rowOff>
    </xdr:to>
    <xdr:cxnSp macro="">
      <xdr:nvCxnSpPr>
        <xdr:cNvPr id="70" name="直線矢印コネクタ 69">
          <a:extLst>
            <a:ext uri="{FF2B5EF4-FFF2-40B4-BE49-F238E27FC236}">
              <a16:creationId xmlns:a16="http://schemas.microsoft.com/office/drawing/2014/main" id="{00000000-0008-0000-0A00-000046000000}"/>
            </a:ext>
          </a:extLst>
        </xdr:cNvPr>
        <xdr:cNvCxnSpPr>
          <a:stCxn id="56" idx="2"/>
          <a:endCxn id="67" idx="0"/>
        </xdr:cNvCxnSpPr>
      </xdr:nvCxnSpPr>
      <xdr:spPr>
        <a:xfrm flipH="1">
          <a:off x="5955030" y="5963285"/>
          <a:ext cx="4445" cy="685800"/>
        </a:xfrm>
        <a:prstGeom prst="straightConnector1">
          <a:avLst/>
        </a:prstGeom>
        <a:solidFill>
          <a:srgbClr val="FFFFFF"/>
        </a:solidFill>
        <a:ln w="9525" cap="flat" cmpd="sng" algn="ctr">
          <a:solidFill>
            <a:srgbClr val="000000"/>
          </a:solidFill>
          <a:prstDash val="solid"/>
          <a:round/>
          <a:headEnd type="triangle"/>
          <a:tailEnd type="triangle"/>
        </a:ln>
        <a:effectLst/>
      </xdr:spPr>
    </xdr:cxnSp>
    <xdr:clientData/>
  </xdr:twoCellAnchor>
  <xdr:twoCellAnchor>
    <xdr:from>
      <xdr:col>29</xdr:col>
      <xdr:colOff>81644</xdr:colOff>
      <xdr:row>17</xdr:row>
      <xdr:rowOff>108856</xdr:rowOff>
    </xdr:from>
    <xdr:to>
      <xdr:col>40</xdr:col>
      <xdr:colOff>40822</xdr:colOff>
      <xdr:row>23</xdr:row>
      <xdr:rowOff>90716</xdr:rowOff>
    </xdr:to>
    <xdr:cxnSp macro="">
      <xdr:nvCxnSpPr>
        <xdr:cNvPr id="74" name="カギ線コネクタ 29">
          <a:extLst>
            <a:ext uri="{FF2B5EF4-FFF2-40B4-BE49-F238E27FC236}">
              <a16:creationId xmlns:a16="http://schemas.microsoft.com/office/drawing/2014/main" id="{00000000-0008-0000-0A00-00004A000000}"/>
            </a:ext>
          </a:extLst>
        </xdr:cNvPr>
        <xdr:cNvCxnSpPr>
          <a:stCxn id="56" idx="0"/>
          <a:endCxn id="89" idx="3"/>
        </xdr:cNvCxnSpPr>
      </xdr:nvCxnSpPr>
      <xdr:spPr>
        <a:xfrm rot="16200000" flipV="1">
          <a:off x="4585335" y="3193415"/>
          <a:ext cx="1182370" cy="1565910"/>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54430</xdr:colOff>
      <xdr:row>13</xdr:row>
      <xdr:rowOff>90714</xdr:rowOff>
    </xdr:from>
    <xdr:to>
      <xdr:col>29</xdr:col>
      <xdr:colOff>81644</xdr:colOff>
      <xdr:row>21</xdr:row>
      <xdr:rowOff>126998</xdr:rowOff>
    </xdr:to>
    <xdr:sp macro="" textlink="">
      <xdr:nvSpPr>
        <xdr:cNvPr id="89" name="正方形/長方形 88">
          <a:extLst>
            <a:ext uri="{FF2B5EF4-FFF2-40B4-BE49-F238E27FC236}">
              <a16:creationId xmlns:a16="http://schemas.microsoft.com/office/drawing/2014/main" id="{00000000-0008-0000-0A00-000059000000}"/>
            </a:ext>
          </a:extLst>
        </xdr:cNvPr>
        <xdr:cNvSpPr/>
      </xdr:nvSpPr>
      <xdr:spPr>
        <a:xfrm>
          <a:off x="2759710" y="2566670"/>
          <a:ext cx="1633855" cy="1636395"/>
        </a:xfrm>
        <a:prstGeom prst="rect">
          <a:avLst/>
        </a:prstGeom>
        <a:no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20</xdr:col>
      <xdr:colOff>81643</xdr:colOff>
      <xdr:row>8</xdr:row>
      <xdr:rowOff>190500</xdr:rowOff>
    </xdr:from>
    <xdr:to>
      <xdr:col>27</xdr:col>
      <xdr:colOff>45358</xdr:colOff>
      <xdr:row>12</xdr:row>
      <xdr:rowOff>54428</xdr:rowOff>
    </xdr:to>
    <xdr:sp macro="" textlink="">
      <xdr:nvSpPr>
        <xdr:cNvPr id="109" name="AutoShape 49">
          <a:extLst>
            <a:ext uri="{FF2B5EF4-FFF2-40B4-BE49-F238E27FC236}">
              <a16:creationId xmlns:a16="http://schemas.microsoft.com/office/drawing/2014/main" id="{00000000-0008-0000-0A00-00006D000000}"/>
            </a:ext>
          </a:extLst>
        </xdr:cNvPr>
        <xdr:cNvSpPr>
          <a:spLocks noChangeArrowheads="1"/>
        </xdr:cNvSpPr>
      </xdr:nvSpPr>
      <xdr:spPr>
        <a:xfrm>
          <a:off x="3079115" y="1666875"/>
          <a:ext cx="986155" cy="663575"/>
        </a:xfrm>
        <a:prstGeom prst="flowChartDocument">
          <a:avLst/>
        </a:prstGeom>
        <a:noFill/>
        <a:ln w="9525">
          <a:solidFill>
            <a:sysClr val="windowText" lastClr="000000"/>
          </a:solidFill>
          <a:miter lim="800000"/>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rPr>
            <a:t>MSBDR0030</a:t>
          </a: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注文書</a:t>
          </a:r>
        </a:p>
      </xdr:txBody>
    </xdr:sp>
    <xdr:clientData/>
  </xdr:twoCellAnchor>
  <xdr:twoCellAnchor>
    <xdr:from>
      <xdr:col>14</xdr:col>
      <xdr:colOff>1</xdr:colOff>
      <xdr:row>13</xdr:row>
      <xdr:rowOff>104322</xdr:rowOff>
    </xdr:from>
    <xdr:to>
      <xdr:col>18</xdr:col>
      <xdr:colOff>54431</xdr:colOff>
      <xdr:row>17</xdr:row>
      <xdr:rowOff>108856</xdr:rowOff>
    </xdr:to>
    <xdr:cxnSp macro="">
      <xdr:nvCxnSpPr>
        <xdr:cNvPr id="110" name="カギ線コネクタ 29">
          <a:extLst>
            <a:ext uri="{FF2B5EF4-FFF2-40B4-BE49-F238E27FC236}">
              <a16:creationId xmlns:a16="http://schemas.microsoft.com/office/drawing/2014/main" id="{00000000-0008-0000-0A00-00006E000000}"/>
            </a:ext>
          </a:extLst>
        </xdr:cNvPr>
        <xdr:cNvCxnSpPr>
          <a:stCxn id="89" idx="1"/>
          <a:endCxn id="41" idx="3"/>
        </xdr:cNvCxnSpPr>
      </xdr:nvCxnSpPr>
      <xdr:spPr>
        <a:xfrm rot="10800000">
          <a:off x="2121535" y="2580640"/>
          <a:ext cx="638175" cy="804545"/>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xdr:colOff>
      <xdr:row>17</xdr:row>
      <xdr:rowOff>108855</xdr:rowOff>
    </xdr:from>
    <xdr:to>
      <xdr:col>18</xdr:col>
      <xdr:colOff>54430</xdr:colOff>
      <xdr:row>21</xdr:row>
      <xdr:rowOff>95248</xdr:rowOff>
    </xdr:to>
    <xdr:cxnSp macro="">
      <xdr:nvCxnSpPr>
        <xdr:cNvPr id="113" name="カギ線コネクタ 29">
          <a:extLst>
            <a:ext uri="{FF2B5EF4-FFF2-40B4-BE49-F238E27FC236}">
              <a16:creationId xmlns:a16="http://schemas.microsoft.com/office/drawing/2014/main" id="{00000000-0008-0000-0A00-000071000000}"/>
            </a:ext>
          </a:extLst>
        </xdr:cNvPr>
        <xdr:cNvCxnSpPr>
          <a:stCxn id="89" idx="1"/>
          <a:endCxn id="44" idx="3"/>
        </xdr:cNvCxnSpPr>
      </xdr:nvCxnSpPr>
      <xdr:spPr>
        <a:xfrm rot="10800000" flipV="1">
          <a:off x="2121535" y="3385185"/>
          <a:ext cx="638175" cy="786130"/>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xdr:colOff>
      <xdr:row>17</xdr:row>
      <xdr:rowOff>108856</xdr:rowOff>
    </xdr:from>
    <xdr:to>
      <xdr:col>18</xdr:col>
      <xdr:colOff>54430</xdr:colOff>
      <xdr:row>25</xdr:row>
      <xdr:rowOff>113393</xdr:rowOff>
    </xdr:to>
    <xdr:cxnSp macro="">
      <xdr:nvCxnSpPr>
        <xdr:cNvPr id="116" name="カギ線コネクタ 29">
          <a:extLst>
            <a:ext uri="{FF2B5EF4-FFF2-40B4-BE49-F238E27FC236}">
              <a16:creationId xmlns:a16="http://schemas.microsoft.com/office/drawing/2014/main" id="{00000000-0008-0000-0A00-000074000000}"/>
            </a:ext>
          </a:extLst>
        </xdr:cNvPr>
        <xdr:cNvCxnSpPr>
          <a:stCxn id="89" idx="1"/>
          <a:endCxn id="45" idx="3"/>
        </xdr:cNvCxnSpPr>
      </xdr:nvCxnSpPr>
      <xdr:spPr>
        <a:xfrm rot="10800000" flipV="1">
          <a:off x="2121535" y="3385185"/>
          <a:ext cx="638175" cy="1604645"/>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136074</xdr:colOff>
      <xdr:row>17</xdr:row>
      <xdr:rowOff>108856</xdr:rowOff>
    </xdr:from>
    <xdr:to>
      <xdr:col>18</xdr:col>
      <xdr:colOff>54431</xdr:colOff>
      <xdr:row>29</xdr:row>
      <xdr:rowOff>95249</xdr:rowOff>
    </xdr:to>
    <xdr:cxnSp macro="">
      <xdr:nvCxnSpPr>
        <xdr:cNvPr id="119" name="カギ線コネクタ 29">
          <a:extLst>
            <a:ext uri="{FF2B5EF4-FFF2-40B4-BE49-F238E27FC236}">
              <a16:creationId xmlns:a16="http://schemas.microsoft.com/office/drawing/2014/main" id="{00000000-0008-0000-0A00-000077000000}"/>
            </a:ext>
          </a:extLst>
        </xdr:cNvPr>
        <xdr:cNvCxnSpPr>
          <a:stCxn id="89" idx="1"/>
          <a:endCxn id="46" idx="3"/>
        </xdr:cNvCxnSpPr>
      </xdr:nvCxnSpPr>
      <xdr:spPr>
        <a:xfrm rot="10800000" flipV="1">
          <a:off x="2111375" y="3385185"/>
          <a:ext cx="648335" cy="2386330"/>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9073</xdr:colOff>
      <xdr:row>17</xdr:row>
      <xdr:rowOff>104322</xdr:rowOff>
    </xdr:from>
    <xdr:to>
      <xdr:col>18</xdr:col>
      <xdr:colOff>54430</xdr:colOff>
      <xdr:row>17</xdr:row>
      <xdr:rowOff>108857</xdr:rowOff>
    </xdr:to>
    <xdr:cxnSp macro="">
      <xdr:nvCxnSpPr>
        <xdr:cNvPr id="122" name="カギ線コネクタ 29">
          <a:extLst>
            <a:ext uri="{FF2B5EF4-FFF2-40B4-BE49-F238E27FC236}">
              <a16:creationId xmlns:a16="http://schemas.microsoft.com/office/drawing/2014/main" id="{00000000-0008-0000-0A00-00007A000000}"/>
            </a:ext>
          </a:extLst>
        </xdr:cNvPr>
        <xdr:cNvCxnSpPr>
          <a:stCxn id="89" idx="1"/>
          <a:endCxn id="43" idx="3"/>
        </xdr:cNvCxnSpPr>
      </xdr:nvCxnSpPr>
      <xdr:spPr>
        <a:xfrm rot="10800000">
          <a:off x="2130425" y="3380740"/>
          <a:ext cx="629285" cy="4445"/>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136072</xdr:colOff>
      <xdr:row>12</xdr:row>
      <xdr:rowOff>10648</xdr:rowOff>
    </xdr:from>
    <xdr:to>
      <xdr:col>23</xdr:col>
      <xdr:colOff>140608</xdr:colOff>
      <xdr:row>13</xdr:row>
      <xdr:rowOff>90714</xdr:rowOff>
    </xdr:to>
    <xdr:cxnSp macro="">
      <xdr:nvCxnSpPr>
        <xdr:cNvPr id="126" name="直線矢印コネクタ 125">
          <a:extLst>
            <a:ext uri="{FF2B5EF4-FFF2-40B4-BE49-F238E27FC236}">
              <a16:creationId xmlns:a16="http://schemas.microsoft.com/office/drawing/2014/main" id="{00000000-0008-0000-0A00-00007E000000}"/>
            </a:ext>
          </a:extLst>
        </xdr:cNvPr>
        <xdr:cNvCxnSpPr>
          <a:stCxn id="89" idx="0"/>
          <a:endCxn id="109" idx="2"/>
        </xdr:cNvCxnSpPr>
      </xdr:nvCxnSpPr>
      <xdr:spPr>
        <a:xfrm flipH="1" flipV="1">
          <a:off x="3571875" y="2286635"/>
          <a:ext cx="4445" cy="28003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16</xdr:col>
      <xdr:colOff>63499</xdr:colOff>
      <xdr:row>37</xdr:row>
      <xdr:rowOff>18143</xdr:rowOff>
    </xdr:from>
    <xdr:to>
      <xdr:col>25</xdr:col>
      <xdr:colOff>136071</xdr:colOff>
      <xdr:row>40</xdr:row>
      <xdr:rowOff>18142</xdr:rowOff>
    </xdr:to>
    <xdr:sp macro="" textlink="">
      <xdr:nvSpPr>
        <xdr:cNvPr id="42" name="フローチャート: 処理 41">
          <a:extLst>
            <a:ext uri="{FF2B5EF4-FFF2-40B4-BE49-F238E27FC236}">
              <a16:creationId xmlns:a16="http://schemas.microsoft.com/office/drawing/2014/main" id="{00000000-0008-0000-0A00-00002A000000}"/>
            </a:ext>
          </a:extLst>
        </xdr:cNvPr>
        <xdr:cNvSpPr/>
      </xdr:nvSpPr>
      <xdr:spPr>
        <a:xfrm>
          <a:off x="2476500" y="7294880"/>
          <a:ext cx="1387475" cy="600075"/>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noAutofit/>
        </a:bodyP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MABCP0120</a:t>
          </a:r>
        </a:p>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承認情報マスタ登録</a:t>
          </a:r>
        </a:p>
      </xdr:txBody>
    </xdr:sp>
    <xdr:clientData/>
  </xdr:twoCellAnchor>
  <xdr:twoCellAnchor>
    <xdr:from>
      <xdr:col>21</xdr:col>
      <xdr:colOff>27214</xdr:colOff>
      <xdr:row>34</xdr:row>
      <xdr:rowOff>90380</xdr:rowOff>
    </xdr:from>
    <xdr:to>
      <xdr:col>21</xdr:col>
      <xdr:colOff>27228</xdr:colOff>
      <xdr:row>37</xdr:row>
      <xdr:rowOff>18143</xdr:rowOff>
    </xdr:to>
    <xdr:cxnSp macro="">
      <xdr:nvCxnSpPr>
        <xdr:cNvPr id="48" name="直線矢印コネクタ 47">
          <a:extLst>
            <a:ext uri="{FF2B5EF4-FFF2-40B4-BE49-F238E27FC236}">
              <a16:creationId xmlns:a16="http://schemas.microsoft.com/office/drawing/2014/main" id="{00000000-0008-0000-0A00-000030000000}"/>
            </a:ext>
          </a:extLst>
        </xdr:cNvPr>
        <xdr:cNvCxnSpPr>
          <a:stCxn id="61" idx="2"/>
          <a:endCxn id="42" idx="0"/>
        </xdr:cNvCxnSpPr>
      </xdr:nvCxnSpPr>
      <xdr:spPr>
        <a:xfrm flipH="1">
          <a:off x="3170555" y="6767195"/>
          <a:ext cx="0" cy="527685"/>
        </a:xfrm>
        <a:prstGeom prst="straightConnector1">
          <a:avLst/>
        </a:prstGeom>
        <a:solidFill>
          <a:srgbClr val="FFFFFF"/>
        </a:solidFill>
        <a:ln w="9525" cap="flat" cmpd="sng" algn="ctr">
          <a:solidFill>
            <a:srgbClr val="000000"/>
          </a:solidFill>
          <a:prstDash val="solid"/>
          <a:round/>
          <a:headEnd type="triangle"/>
          <a:tailEnd type="triangle"/>
        </a:ln>
        <a:effectLst/>
      </xdr:spPr>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37</xdr:col>
      <xdr:colOff>26670</xdr:colOff>
      <xdr:row>12</xdr:row>
      <xdr:rowOff>62865</xdr:rowOff>
    </xdr:from>
    <xdr:to>
      <xdr:col>85</xdr:col>
      <xdr:colOff>45720</xdr:colOff>
      <xdr:row>18</xdr:row>
      <xdr:rowOff>14787</xdr:rowOff>
    </xdr:to>
    <xdr:pic>
      <xdr:nvPicPr>
        <xdr:cNvPr id="2" name="図 1">
          <a:extLst>
            <a:ext uri="{FF2B5EF4-FFF2-40B4-BE49-F238E27FC236}">
              <a16:creationId xmlns:a16="http://schemas.microsoft.com/office/drawing/2014/main" id="{00000000-0008-0000-0C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07355" y="2339340"/>
          <a:ext cx="7037705" cy="1151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COMMON\DOC\DB_XLS\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mbnet.local\dfs\00&#26412;&#31038;&#21942;&#26989;(&#31038;&#22806;&#31192;)\02.&#12471;&#12473;&#12486;&#12512;&#21942;&#26989;&#37096;\01_&#35069;&#36896;&#20107;&#26989;&#37096;\10_&#65331;&#65317;&#31532;&#20108;&#37096;\03_&#31532;&#20108;&#35506;&#65288;&#35199;&#25903;&#65289;\31_&#24037;&#20107;&#20491;&#21029;\2003_&#12498;&#12521;&#12494;&#12486;&#12463;&#12471;&#12540;&#12489;ERP&#65306;&#31192;\30_&#12471;&#12473;&#12486;&#12512;&#35373;&#35336;\&#12471;&#12473;&#12486;&#12512;&#20181;&#27096;&#26360;_ver1.00\08_&#38283;&#30330;&#27231;&#33021;&#20181;&#27096;\&#29983;&#29987;&#31649;&#29702;\&#30011;&#38754;&#27231;&#33021;_MSBDP0090_&#30330;&#27880;&#19968;&#35239;&#30331;&#37682;_Rev0.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sheetName val="社員リスト"/>
      <sheetName val="承認票"/>
      <sheetName val="１．InfoCube (YKCH0010)案１"/>
      <sheetName val="１．InfoCube (YKCH0010) 案２"/>
    </sheetNames>
    <sheetDataSet>
      <sheetData sheetId="0"/>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カスタマイズ）"/>
      <sheetName val="表紙"/>
      <sheetName val="変更来歴（カスタマイズ）"/>
      <sheetName val="変更来歴"/>
      <sheetName val="概要（カスタマイズ）"/>
      <sheetName val="概要"/>
      <sheetName val="画面イメージ"/>
      <sheetName val="項目説明（カスタマイズ）"/>
      <sheetName val="項目説明"/>
      <sheetName val="画面遷移"/>
      <sheetName val="処理・サービス関連図"/>
      <sheetName val="処理詳細"/>
      <sheetName val="補足説明"/>
    </sheetNames>
    <sheetDataSet>
      <sheetData sheetId="0">
        <row r="10">
          <cell r="M10" t="str">
            <v>画面機能</v>
          </cell>
        </row>
        <row r="20">
          <cell r="U20" t="str">
            <v>J052-0-0001</v>
          </cell>
        </row>
        <row r="22">
          <cell r="U22">
            <v>0.02</v>
          </cell>
        </row>
        <row r="26">
          <cell r="AE26" t="str">
            <v>7.0.1</v>
          </cell>
        </row>
      </sheetData>
      <sheetData sheetId="1">
        <row r="5">
          <cell r="O5" t="str">
            <v>M7-US-1104</v>
          </cell>
          <cell r="AJ5" t="str">
            <v>7.0.1</v>
          </cell>
          <cell r="AP5" t="str">
            <v>r02.05</v>
          </cell>
        </row>
        <row r="15">
          <cell r="M15" t="str">
            <v>画面説明書</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テーマ">
  <a:themeElements>
    <a:clrScheme name="黄緑">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olid"/>
          <a:round/>
          <a:headEnd type="none" w="med" len="med"/>
          <a:tailEnd type="none" w="med" len="med"/>
        </a:ln>
      </a:spPr>
      <a:bodyPr vertOverflow="clip" horzOverflow="clip" wrap="square" lIns="18288" tIns="0" rIns="0" bIns="0" rtlCol="0" anchor="t" upright="1"/>
      <a:lstStyle>
        <a:defPPr algn="l">
          <a:defRPr kumimoji="1" sz="1100">
            <a:latin typeface="Meiryo UI" panose="020B0604030504040204" pitchFamily="50" charset="-128"/>
            <a:ea typeface="Meiryo UI" panose="020B0604030504040204" pitchFamily="50" charset="-128"/>
            <a:cs typeface="Meiryo UI" panose="020B0604030504040204" pitchFamily="50" charset="-128"/>
          </a:defRPr>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B3:WXF46"/>
  <sheetViews>
    <sheetView showGridLines="0" tabSelected="1" view="pageBreakPreview" zoomScale="70" zoomScaleNormal="100" zoomScaleSheetLayoutView="70" workbookViewId="0">
      <selection activeCell="U20" sqref="U20:AJ21"/>
    </sheetView>
  </sheetViews>
  <sheetFormatPr defaultColWidth="9" defaultRowHeight="11"/>
  <cols>
    <col min="1" max="48" width="2.453125" style="428" customWidth="1"/>
    <col min="49" max="49" width="2.453125" style="428" hidden="1" customWidth="1"/>
    <col min="50" max="86" width="2.453125" style="428" customWidth="1"/>
    <col min="87" max="256" width="8.7265625" style="428"/>
    <col min="257" max="305" width="2.453125" style="428" customWidth="1"/>
    <col min="306" max="306" width="9" style="428" hidden="1" customWidth="1"/>
    <col min="307" max="512" width="8.7265625" style="428"/>
    <col min="513" max="561" width="2.453125" style="428" customWidth="1"/>
    <col min="562" max="562" width="9" style="428" hidden="1" customWidth="1"/>
    <col min="563" max="768" width="8.7265625" style="428"/>
    <col min="769" max="817" width="2.453125" style="428" customWidth="1"/>
    <col min="818" max="818" width="9" style="428" hidden="1" customWidth="1"/>
    <col min="819" max="1024" width="8.7265625" style="428"/>
    <col min="1025" max="1073" width="2.453125" style="428" customWidth="1"/>
    <col min="1074" max="1074" width="9" style="428" hidden="1" customWidth="1"/>
    <col min="1075" max="1280" width="8.7265625" style="428"/>
    <col min="1281" max="1329" width="2.453125" style="428" customWidth="1"/>
    <col min="1330" max="1330" width="9" style="428" hidden="1" customWidth="1"/>
    <col min="1331" max="1536" width="8.7265625" style="428"/>
    <col min="1537" max="1585" width="2.453125" style="428" customWidth="1"/>
    <col min="1586" max="1586" width="9" style="428" hidden="1" customWidth="1"/>
    <col min="1587" max="1792" width="8.7265625" style="428"/>
    <col min="1793" max="1841" width="2.453125" style="428" customWidth="1"/>
    <col min="1842" max="1842" width="9" style="428" hidden="1" customWidth="1"/>
    <col min="1843" max="2048" width="8.7265625" style="428"/>
    <col min="2049" max="2097" width="2.453125" style="428" customWidth="1"/>
    <col min="2098" max="2098" width="9" style="428" hidden="1" customWidth="1"/>
    <col min="2099" max="2304" width="8.7265625" style="428"/>
    <col min="2305" max="2353" width="2.453125" style="428" customWidth="1"/>
    <col min="2354" max="2354" width="9" style="428" hidden="1" customWidth="1"/>
    <col min="2355" max="2560" width="8.7265625" style="428"/>
    <col min="2561" max="2609" width="2.453125" style="428" customWidth="1"/>
    <col min="2610" max="2610" width="9" style="428" hidden="1" customWidth="1"/>
    <col min="2611" max="2816" width="8.7265625" style="428"/>
    <col min="2817" max="2865" width="2.453125" style="428" customWidth="1"/>
    <col min="2866" max="2866" width="9" style="428" hidden="1" customWidth="1"/>
    <col min="2867" max="3072" width="8.7265625" style="428"/>
    <col min="3073" max="3121" width="2.453125" style="428" customWidth="1"/>
    <col min="3122" max="3122" width="9" style="428" hidden="1" customWidth="1"/>
    <col min="3123" max="3328" width="8.7265625" style="428"/>
    <col min="3329" max="3377" width="2.453125" style="428" customWidth="1"/>
    <col min="3378" max="3378" width="9" style="428" hidden="1" customWidth="1"/>
    <col min="3379" max="3584" width="8.7265625" style="428"/>
    <col min="3585" max="3633" width="2.453125" style="428" customWidth="1"/>
    <col min="3634" max="3634" width="9" style="428" hidden="1" customWidth="1"/>
    <col min="3635" max="3840" width="8.7265625" style="428"/>
    <col min="3841" max="3889" width="2.453125" style="428" customWidth="1"/>
    <col min="3890" max="3890" width="9" style="428" hidden="1" customWidth="1"/>
    <col min="3891" max="4096" width="8.7265625" style="428"/>
    <col min="4097" max="4145" width="2.453125" style="428" customWidth="1"/>
    <col min="4146" max="4146" width="9" style="428" hidden="1" customWidth="1"/>
    <col min="4147" max="4352" width="8.7265625" style="428"/>
    <col min="4353" max="4401" width="2.453125" style="428" customWidth="1"/>
    <col min="4402" max="4402" width="9" style="428" hidden="1" customWidth="1"/>
    <col min="4403" max="4608" width="8.7265625" style="428"/>
    <col min="4609" max="4657" width="2.453125" style="428" customWidth="1"/>
    <col min="4658" max="4658" width="9" style="428" hidden="1" customWidth="1"/>
    <col min="4659" max="4864" width="8.7265625" style="428"/>
    <col min="4865" max="4913" width="2.453125" style="428" customWidth="1"/>
    <col min="4914" max="4914" width="9" style="428" hidden="1" customWidth="1"/>
    <col min="4915" max="5120" width="8.7265625" style="428"/>
    <col min="5121" max="5169" width="2.453125" style="428" customWidth="1"/>
    <col min="5170" max="5170" width="9" style="428" hidden="1" customWidth="1"/>
    <col min="5171" max="5376" width="8.7265625" style="428"/>
    <col min="5377" max="5425" width="2.453125" style="428" customWidth="1"/>
    <col min="5426" max="5426" width="9" style="428" hidden="1" customWidth="1"/>
    <col min="5427" max="5632" width="8.7265625" style="428"/>
    <col min="5633" max="5681" width="2.453125" style="428" customWidth="1"/>
    <col min="5682" max="5682" width="9" style="428" hidden="1" customWidth="1"/>
    <col min="5683" max="5888" width="8.7265625" style="428"/>
    <col min="5889" max="5937" width="2.453125" style="428" customWidth="1"/>
    <col min="5938" max="5938" width="9" style="428" hidden="1" customWidth="1"/>
    <col min="5939" max="6144" width="8.7265625" style="428"/>
    <col min="6145" max="6193" width="2.453125" style="428" customWidth="1"/>
    <col min="6194" max="6194" width="9" style="428" hidden="1" customWidth="1"/>
    <col min="6195" max="6400" width="8.7265625" style="428"/>
    <col min="6401" max="6449" width="2.453125" style="428" customWidth="1"/>
    <col min="6450" max="6450" width="9" style="428" hidden="1" customWidth="1"/>
    <col min="6451" max="6656" width="8.7265625" style="428"/>
    <col min="6657" max="6705" width="2.453125" style="428" customWidth="1"/>
    <col min="6706" max="6706" width="9" style="428" hidden="1" customWidth="1"/>
    <col min="6707" max="6912" width="8.7265625" style="428"/>
    <col min="6913" max="6961" width="2.453125" style="428" customWidth="1"/>
    <col min="6962" max="6962" width="9" style="428" hidden="1" customWidth="1"/>
    <col min="6963" max="7168" width="8.7265625" style="428"/>
    <col min="7169" max="7217" width="2.453125" style="428" customWidth="1"/>
    <col min="7218" max="7218" width="9" style="428" hidden="1" customWidth="1"/>
    <col min="7219" max="7424" width="8.7265625" style="428"/>
    <col min="7425" max="7473" width="2.453125" style="428" customWidth="1"/>
    <col min="7474" max="7474" width="9" style="428" hidden="1" customWidth="1"/>
    <col min="7475" max="7680" width="8.7265625" style="428"/>
    <col min="7681" max="7729" width="2.453125" style="428" customWidth="1"/>
    <col min="7730" max="7730" width="9" style="428" hidden="1" customWidth="1"/>
    <col min="7731" max="7936" width="8.7265625" style="428"/>
    <col min="7937" max="7985" width="2.453125" style="428" customWidth="1"/>
    <col min="7986" max="7986" width="9" style="428" hidden="1" customWidth="1"/>
    <col min="7987" max="8192" width="8.7265625" style="428"/>
    <col min="8193" max="8241" width="2.453125" style="428" customWidth="1"/>
    <col min="8242" max="8242" width="9" style="428" hidden="1" customWidth="1"/>
    <col min="8243" max="8448" width="8.7265625" style="428"/>
    <col min="8449" max="8497" width="2.453125" style="428" customWidth="1"/>
    <col min="8498" max="8498" width="9" style="428" hidden="1" customWidth="1"/>
    <col min="8499" max="8704" width="8.7265625" style="428"/>
    <col min="8705" max="8753" width="2.453125" style="428" customWidth="1"/>
    <col min="8754" max="8754" width="9" style="428" hidden="1" customWidth="1"/>
    <col min="8755" max="8960" width="8.7265625" style="428"/>
    <col min="8961" max="9009" width="2.453125" style="428" customWidth="1"/>
    <col min="9010" max="9010" width="9" style="428" hidden="1" customWidth="1"/>
    <col min="9011" max="9216" width="8.7265625" style="428"/>
    <col min="9217" max="9265" width="2.453125" style="428" customWidth="1"/>
    <col min="9266" max="9266" width="9" style="428" hidden="1" customWidth="1"/>
    <col min="9267" max="9472" width="8.7265625" style="428"/>
    <col min="9473" max="9521" width="2.453125" style="428" customWidth="1"/>
    <col min="9522" max="9522" width="9" style="428" hidden="1" customWidth="1"/>
    <col min="9523" max="9728" width="8.7265625" style="428"/>
    <col min="9729" max="9777" width="2.453125" style="428" customWidth="1"/>
    <col min="9778" max="9778" width="9" style="428" hidden="1" customWidth="1"/>
    <col min="9779" max="9984" width="8.7265625" style="428"/>
    <col min="9985" max="10033" width="2.453125" style="428" customWidth="1"/>
    <col min="10034" max="10034" width="9" style="428" hidden="1" customWidth="1"/>
    <col min="10035" max="10240" width="8.7265625" style="428"/>
    <col min="10241" max="10289" width="2.453125" style="428" customWidth="1"/>
    <col min="10290" max="10290" width="9" style="428" hidden="1" customWidth="1"/>
    <col min="10291" max="10496" width="8.7265625" style="428"/>
    <col min="10497" max="10545" width="2.453125" style="428" customWidth="1"/>
    <col min="10546" max="10546" width="9" style="428" hidden="1" customWidth="1"/>
    <col min="10547" max="10752" width="8.7265625" style="428"/>
    <col min="10753" max="10801" width="2.453125" style="428" customWidth="1"/>
    <col min="10802" max="10802" width="9" style="428" hidden="1" customWidth="1"/>
    <col min="10803" max="11008" width="8.7265625" style="428"/>
    <col min="11009" max="11057" width="2.453125" style="428" customWidth="1"/>
    <col min="11058" max="11058" width="9" style="428" hidden="1" customWidth="1"/>
    <col min="11059" max="11264" width="8.7265625" style="428"/>
    <col min="11265" max="11313" width="2.453125" style="428" customWidth="1"/>
    <col min="11314" max="11314" width="9" style="428" hidden="1" customWidth="1"/>
    <col min="11315" max="11520" width="8.7265625" style="428"/>
    <col min="11521" max="11569" width="2.453125" style="428" customWidth="1"/>
    <col min="11570" max="11570" width="9" style="428" hidden="1" customWidth="1"/>
    <col min="11571" max="11776" width="8.7265625" style="428"/>
    <col min="11777" max="11825" width="2.453125" style="428" customWidth="1"/>
    <col min="11826" max="11826" width="9" style="428" hidden="1" customWidth="1"/>
    <col min="11827" max="12032" width="8.7265625" style="428"/>
    <col min="12033" max="12081" width="2.453125" style="428" customWidth="1"/>
    <col min="12082" max="12082" width="9" style="428" hidden="1" customWidth="1"/>
    <col min="12083" max="12288" width="8.7265625" style="428"/>
    <col min="12289" max="12337" width="2.453125" style="428" customWidth="1"/>
    <col min="12338" max="12338" width="9" style="428" hidden="1" customWidth="1"/>
    <col min="12339" max="12544" width="8.7265625" style="428"/>
    <col min="12545" max="12593" width="2.453125" style="428" customWidth="1"/>
    <col min="12594" max="12594" width="9" style="428" hidden="1" customWidth="1"/>
    <col min="12595" max="12800" width="8.7265625" style="428"/>
    <col min="12801" max="12849" width="2.453125" style="428" customWidth="1"/>
    <col min="12850" max="12850" width="9" style="428" hidden="1" customWidth="1"/>
    <col min="12851" max="13056" width="8.7265625" style="428"/>
    <col min="13057" max="13105" width="2.453125" style="428" customWidth="1"/>
    <col min="13106" max="13106" width="9" style="428" hidden="1" customWidth="1"/>
    <col min="13107" max="13312" width="8.7265625" style="428"/>
    <col min="13313" max="13361" width="2.453125" style="428" customWidth="1"/>
    <col min="13362" max="13362" width="9" style="428" hidden="1" customWidth="1"/>
    <col min="13363" max="13568" width="8.7265625" style="428"/>
    <col min="13569" max="13617" width="2.453125" style="428" customWidth="1"/>
    <col min="13618" max="13618" width="9" style="428" hidden="1" customWidth="1"/>
    <col min="13619" max="13824" width="8.7265625" style="428"/>
    <col min="13825" max="13873" width="2.453125" style="428" customWidth="1"/>
    <col min="13874" max="13874" width="9" style="428" hidden="1" customWidth="1"/>
    <col min="13875" max="14080" width="8.7265625" style="428"/>
    <col min="14081" max="14129" width="2.453125" style="428" customWidth="1"/>
    <col min="14130" max="14130" width="9" style="428" hidden="1" customWidth="1"/>
    <col min="14131" max="14336" width="8.7265625" style="428"/>
    <col min="14337" max="14385" width="2.453125" style="428" customWidth="1"/>
    <col min="14386" max="14386" width="9" style="428" hidden="1" customWidth="1"/>
    <col min="14387" max="14592" width="8.7265625" style="428"/>
    <col min="14593" max="14641" width="2.453125" style="428" customWidth="1"/>
    <col min="14642" max="14642" width="9" style="428" hidden="1" customWidth="1"/>
    <col min="14643" max="14848" width="8.7265625" style="428"/>
    <col min="14849" max="14897" width="2.453125" style="428" customWidth="1"/>
    <col min="14898" max="14898" width="9" style="428" hidden="1" customWidth="1"/>
    <col min="14899" max="15104" width="8.7265625" style="428"/>
    <col min="15105" max="15153" width="2.453125" style="428" customWidth="1"/>
    <col min="15154" max="15154" width="9" style="428" hidden="1" customWidth="1"/>
    <col min="15155" max="15360" width="8.7265625" style="428"/>
    <col min="15361" max="15409" width="2.453125" style="428" customWidth="1"/>
    <col min="15410" max="15410" width="9" style="428" hidden="1" customWidth="1"/>
    <col min="15411" max="15616" width="8.7265625" style="428"/>
    <col min="15617" max="15665" width="2.453125" style="428" customWidth="1"/>
    <col min="15666" max="15666" width="9" style="428" hidden="1" customWidth="1"/>
    <col min="15667" max="15872" width="8.7265625" style="428"/>
    <col min="15873" max="15921" width="2.453125" style="428" customWidth="1"/>
    <col min="15922" max="15922" width="9" style="428" hidden="1" customWidth="1"/>
    <col min="15923" max="16128" width="8.7265625" style="428"/>
    <col min="16129" max="16177" width="2.453125" style="428" customWidth="1"/>
    <col min="16178" max="16178" width="9" style="428" hidden="1" customWidth="1"/>
    <col min="16179" max="16384" width="8.7265625" style="428"/>
  </cols>
  <sheetData>
    <row r="3" spans="2:47" ht="11.25" customHeight="1">
      <c r="AC3" s="650"/>
      <c r="AD3" s="651"/>
      <c r="AE3" s="651"/>
      <c r="AF3" s="651"/>
      <c r="AG3" s="651"/>
      <c r="AH3" s="651"/>
      <c r="AI3" s="650"/>
      <c r="AJ3" s="650"/>
      <c r="AK3" s="650"/>
      <c r="AL3" s="650"/>
      <c r="AM3" s="650"/>
      <c r="AN3" s="583"/>
      <c r="AO3" s="583"/>
      <c r="AP3" s="583"/>
      <c r="AQ3" s="583"/>
      <c r="AR3" s="583"/>
      <c r="AS3" s="583"/>
      <c r="AT3" s="583"/>
      <c r="AU3" s="433"/>
    </row>
    <row r="4" spans="2:47" ht="11.15" customHeight="1">
      <c r="B4" s="429"/>
      <c r="C4" s="430"/>
      <c r="D4" s="430"/>
      <c r="E4" s="430"/>
      <c r="F4" s="430"/>
      <c r="G4" s="430"/>
      <c r="H4" s="430"/>
      <c r="I4" s="430"/>
      <c r="J4" s="430"/>
      <c r="AC4" s="651"/>
      <c r="AD4" s="651"/>
      <c r="AE4" s="651"/>
      <c r="AF4" s="651"/>
      <c r="AG4" s="651"/>
      <c r="AH4" s="651"/>
      <c r="AI4" s="650"/>
      <c r="AJ4" s="650"/>
      <c r="AK4" s="650"/>
      <c r="AL4" s="650"/>
      <c r="AM4" s="650"/>
      <c r="AN4" s="583"/>
      <c r="AO4" s="583"/>
      <c r="AP4" s="583"/>
      <c r="AQ4" s="583"/>
      <c r="AR4" s="583"/>
      <c r="AS4" s="583"/>
      <c r="AT4" s="583"/>
      <c r="AU4" s="433"/>
    </row>
    <row r="5" spans="2:47" ht="11.25" customHeight="1">
      <c r="AC5" s="651"/>
      <c r="AD5" s="651"/>
      <c r="AE5" s="651"/>
      <c r="AF5" s="651"/>
      <c r="AG5" s="651"/>
      <c r="AH5" s="651"/>
      <c r="AI5" s="661"/>
      <c r="AJ5" s="661"/>
      <c r="AK5" s="661"/>
      <c r="AL5" s="661"/>
      <c r="AM5" s="661"/>
      <c r="AN5" s="662"/>
      <c r="AO5" s="662"/>
      <c r="AP5" s="662"/>
      <c r="AQ5" s="662"/>
      <c r="AR5" s="662"/>
      <c r="AS5" s="662"/>
      <c r="AT5" s="662"/>
      <c r="AU5" s="438"/>
    </row>
    <row r="6" spans="2:47" ht="12.75" customHeight="1">
      <c r="B6" s="431"/>
      <c r="M6" s="434"/>
      <c r="N6" s="434"/>
      <c r="O6" s="434"/>
      <c r="P6" s="434"/>
      <c r="Q6" s="434"/>
      <c r="R6" s="434"/>
      <c r="S6" s="434"/>
      <c r="T6" s="434"/>
      <c r="U6" s="434"/>
      <c r="V6" s="434"/>
      <c r="W6" s="434"/>
      <c r="X6" s="434"/>
      <c r="Y6" s="434"/>
      <c r="Z6" s="434"/>
      <c r="AA6" s="434"/>
      <c r="AB6" s="434"/>
      <c r="AC6" s="434"/>
      <c r="AD6" s="434"/>
      <c r="AE6" s="434"/>
      <c r="AF6" s="434"/>
      <c r="AG6" s="434"/>
      <c r="AH6" s="434"/>
      <c r="AI6" s="434"/>
      <c r="AJ6" s="434"/>
    </row>
    <row r="7" spans="2:47" ht="11.25" customHeight="1">
      <c r="M7" s="652" t="s">
        <v>0</v>
      </c>
      <c r="N7" s="653"/>
      <c r="O7" s="653"/>
      <c r="P7" s="653"/>
      <c r="Q7" s="653"/>
      <c r="R7" s="653"/>
      <c r="S7" s="653"/>
      <c r="T7" s="653"/>
      <c r="U7" s="653"/>
      <c r="V7" s="653"/>
      <c r="W7" s="653"/>
      <c r="X7" s="653"/>
      <c r="Y7" s="653"/>
      <c r="Z7" s="653"/>
      <c r="AA7" s="653"/>
      <c r="AB7" s="653"/>
      <c r="AC7" s="653"/>
      <c r="AD7" s="653"/>
      <c r="AE7" s="653"/>
      <c r="AF7" s="653"/>
      <c r="AG7" s="653"/>
      <c r="AH7" s="653"/>
      <c r="AI7" s="653"/>
      <c r="AJ7" s="654"/>
    </row>
    <row r="8" spans="2:47" ht="11.25" customHeight="1">
      <c r="M8" s="652"/>
      <c r="N8" s="653"/>
      <c r="O8" s="653"/>
      <c r="P8" s="653"/>
      <c r="Q8" s="653"/>
      <c r="R8" s="653"/>
      <c r="S8" s="653"/>
      <c r="T8" s="653"/>
      <c r="U8" s="653"/>
      <c r="V8" s="653"/>
      <c r="W8" s="653"/>
      <c r="X8" s="653"/>
      <c r="Y8" s="653"/>
      <c r="Z8" s="653"/>
      <c r="AA8" s="653"/>
      <c r="AB8" s="653"/>
      <c r="AC8" s="653"/>
      <c r="AD8" s="653"/>
      <c r="AE8" s="653"/>
      <c r="AF8" s="653"/>
      <c r="AG8" s="653"/>
      <c r="AH8" s="653"/>
      <c r="AI8" s="653"/>
      <c r="AJ8" s="654"/>
    </row>
    <row r="9" spans="2:47" ht="11.25" customHeight="1">
      <c r="M9" s="652"/>
      <c r="N9" s="653"/>
      <c r="O9" s="653"/>
      <c r="P9" s="653"/>
      <c r="Q9" s="653"/>
      <c r="R9" s="653"/>
      <c r="S9" s="653"/>
      <c r="T9" s="653"/>
      <c r="U9" s="653"/>
      <c r="V9" s="653"/>
      <c r="W9" s="653"/>
      <c r="X9" s="653"/>
      <c r="Y9" s="653"/>
      <c r="Z9" s="653"/>
      <c r="AA9" s="653"/>
      <c r="AB9" s="653"/>
      <c r="AC9" s="653"/>
      <c r="AD9" s="653"/>
      <c r="AE9" s="653"/>
      <c r="AF9" s="653"/>
      <c r="AG9" s="653"/>
      <c r="AH9" s="653"/>
      <c r="AI9" s="653"/>
      <c r="AJ9" s="654"/>
    </row>
    <row r="10" spans="2:47" ht="11.25" customHeight="1">
      <c r="M10" s="655" t="s">
        <v>1</v>
      </c>
      <c r="N10" s="656"/>
      <c r="O10" s="656"/>
      <c r="P10" s="656"/>
      <c r="Q10" s="656"/>
      <c r="R10" s="656"/>
      <c r="S10" s="656"/>
      <c r="T10" s="656"/>
      <c r="U10" s="656"/>
      <c r="V10" s="656"/>
      <c r="W10" s="656"/>
      <c r="X10" s="656"/>
      <c r="Y10" s="656"/>
      <c r="Z10" s="656"/>
      <c r="AA10" s="656"/>
      <c r="AB10" s="656"/>
      <c r="AC10" s="656"/>
      <c r="AD10" s="656"/>
      <c r="AE10" s="656"/>
      <c r="AF10" s="656"/>
      <c r="AG10" s="656"/>
      <c r="AH10" s="656"/>
      <c r="AI10" s="656"/>
      <c r="AJ10" s="657"/>
    </row>
    <row r="11" spans="2:47" ht="11.25" customHeight="1">
      <c r="M11" s="655"/>
      <c r="N11" s="656"/>
      <c r="O11" s="656"/>
      <c r="P11" s="656"/>
      <c r="Q11" s="656"/>
      <c r="R11" s="656"/>
      <c r="S11" s="656"/>
      <c r="T11" s="656"/>
      <c r="U11" s="656"/>
      <c r="V11" s="656"/>
      <c r="W11" s="656"/>
      <c r="X11" s="656"/>
      <c r="Y11" s="656"/>
      <c r="Z11" s="656"/>
      <c r="AA11" s="656"/>
      <c r="AB11" s="656"/>
      <c r="AC11" s="656"/>
      <c r="AD11" s="656"/>
      <c r="AE11" s="656"/>
      <c r="AF11" s="656"/>
      <c r="AG11" s="656"/>
      <c r="AH11" s="656"/>
      <c r="AI11" s="656"/>
      <c r="AJ11" s="657"/>
    </row>
    <row r="12" spans="2:47" ht="11.25" customHeight="1">
      <c r="M12" s="658"/>
      <c r="N12" s="659"/>
      <c r="O12" s="659"/>
      <c r="P12" s="659"/>
      <c r="Q12" s="659"/>
      <c r="R12" s="659"/>
      <c r="S12" s="659"/>
      <c r="T12" s="659"/>
      <c r="U12" s="659"/>
      <c r="V12" s="659"/>
      <c r="W12" s="659"/>
      <c r="X12" s="659"/>
      <c r="Y12" s="659"/>
      <c r="Z12" s="659"/>
      <c r="AA12" s="659"/>
      <c r="AB12" s="659"/>
      <c r="AC12" s="659"/>
      <c r="AD12" s="659"/>
      <c r="AE12" s="659"/>
      <c r="AF12" s="659"/>
      <c r="AG12" s="659"/>
      <c r="AH12" s="659"/>
      <c r="AI12" s="659"/>
      <c r="AJ12" s="660"/>
    </row>
    <row r="16" spans="2:47">
      <c r="M16" s="585" t="s">
        <v>2</v>
      </c>
      <c r="N16" s="586"/>
      <c r="O16" s="586"/>
      <c r="P16" s="586"/>
      <c r="Q16" s="586"/>
      <c r="R16" s="586"/>
      <c r="S16" s="586"/>
      <c r="T16" s="587"/>
      <c r="U16" s="639" t="s">
        <v>1460</v>
      </c>
      <c r="V16" s="640"/>
      <c r="W16" s="640"/>
      <c r="X16" s="640"/>
      <c r="Y16" s="640"/>
      <c r="Z16" s="640"/>
      <c r="AA16" s="640"/>
      <c r="AB16" s="640"/>
      <c r="AC16" s="640"/>
      <c r="AD16" s="640"/>
      <c r="AE16" s="640"/>
      <c r="AF16" s="640"/>
      <c r="AG16" s="640"/>
      <c r="AH16" s="640"/>
      <c r="AI16" s="640"/>
      <c r="AJ16" s="641"/>
    </row>
    <row r="17" spans="13:52">
      <c r="M17" s="588"/>
      <c r="N17" s="589"/>
      <c r="O17" s="589"/>
      <c r="P17" s="589"/>
      <c r="Q17" s="589"/>
      <c r="R17" s="589"/>
      <c r="S17" s="589"/>
      <c r="T17" s="590"/>
      <c r="U17" s="642"/>
      <c r="V17" s="643"/>
      <c r="W17" s="643"/>
      <c r="X17" s="643"/>
      <c r="Y17" s="643"/>
      <c r="Z17" s="643"/>
      <c r="AA17" s="643"/>
      <c r="AB17" s="643"/>
      <c r="AC17" s="643"/>
      <c r="AD17" s="643"/>
      <c r="AE17" s="643"/>
      <c r="AF17" s="643"/>
      <c r="AG17" s="643"/>
      <c r="AH17" s="643"/>
      <c r="AI17" s="643"/>
      <c r="AJ17" s="644"/>
      <c r="AL17" s="439"/>
      <c r="AM17" s="440"/>
      <c r="AN17" s="440"/>
      <c r="AO17" s="440"/>
      <c r="AP17" s="440"/>
      <c r="AQ17" s="440"/>
      <c r="AR17" s="440"/>
    </row>
    <row r="18" spans="13:52">
      <c r="M18" s="585" t="s">
        <v>3</v>
      </c>
      <c r="N18" s="586"/>
      <c r="O18" s="586"/>
      <c r="P18" s="586"/>
      <c r="Q18" s="586"/>
      <c r="R18" s="586"/>
      <c r="S18" s="586"/>
      <c r="T18" s="587"/>
      <c r="U18" s="639" t="s">
        <v>4</v>
      </c>
      <c r="V18" s="640"/>
      <c r="W18" s="640"/>
      <c r="X18" s="640"/>
      <c r="Y18" s="640"/>
      <c r="Z18" s="640"/>
      <c r="AA18" s="640"/>
      <c r="AB18" s="640"/>
      <c r="AC18" s="640"/>
      <c r="AD18" s="640"/>
      <c r="AE18" s="640"/>
      <c r="AF18" s="640"/>
      <c r="AG18" s="640"/>
      <c r="AH18" s="640"/>
      <c r="AI18" s="640"/>
      <c r="AJ18" s="641"/>
      <c r="AL18" s="439"/>
      <c r="AM18" s="440"/>
      <c r="AN18" s="440"/>
      <c r="AO18" s="440"/>
      <c r="AP18" s="440"/>
      <c r="AQ18" s="440"/>
      <c r="AR18" s="440"/>
    </row>
    <row r="19" spans="13:52">
      <c r="M19" s="588"/>
      <c r="N19" s="589"/>
      <c r="O19" s="589"/>
      <c r="P19" s="589"/>
      <c r="Q19" s="589"/>
      <c r="R19" s="589"/>
      <c r="S19" s="589"/>
      <c r="T19" s="590"/>
      <c r="U19" s="642"/>
      <c r="V19" s="643"/>
      <c r="W19" s="643"/>
      <c r="X19" s="643"/>
      <c r="Y19" s="643"/>
      <c r="Z19" s="643"/>
      <c r="AA19" s="643"/>
      <c r="AB19" s="643"/>
      <c r="AC19" s="643"/>
      <c r="AD19" s="643"/>
      <c r="AE19" s="643"/>
      <c r="AF19" s="643"/>
      <c r="AG19" s="643"/>
      <c r="AH19" s="643"/>
      <c r="AI19" s="643"/>
      <c r="AJ19" s="644"/>
      <c r="AL19" s="439"/>
      <c r="AM19" s="440"/>
      <c r="AN19" s="440"/>
      <c r="AO19" s="440"/>
      <c r="AP19" s="440"/>
      <c r="AQ19" s="440"/>
      <c r="AR19" s="440"/>
    </row>
    <row r="20" spans="13:52" ht="11.25" customHeight="1">
      <c r="M20" s="585" t="s">
        <v>5</v>
      </c>
      <c r="N20" s="586"/>
      <c r="O20" s="586"/>
      <c r="P20" s="586"/>
      <c r="Q20" s="586"/>
      <c r="R20" s="586"/>
      <c r="S20" s="586"/>
      <c r="T20" s="587"/>
      <c r="U20" s="639" t="s">
        <v>6</v>
      </c>
      <c r="V20" s="645"/>
      <c r="W20" s="645"/>
      <c r="X20" s="645"/>
      <c r="Y20" s="645"/>
      <c r="Z20" s="645"/>
      <c r="AA20" s="645"/>
      <c r="AB20" s="645"/>
      <c r="AC20" s="645"/>
      <c r="AD20" s="645"/>
      <c r="AE20" s="645"/>
      <c r="AF20" s="645"/>
      <c r="AG20" s="645"/>
      <c r="AH20" s="645"/>
      <c r="AI20" s="645"/>
      <c r="AJ20" s="646"/>
      <c r="AL20" s="439"/>
      <c r="AM20" s="440"/>
      <c r="AN20" s="440"/>
      <c r="AO20" s="440"/>
      <c r="AP20" s="440"/>
      <c r="AQ20" s="440"/>
      <c r="AR20" s="440"/>
    </row>
    <row r="21" spans="13:52" ht="11.25" customHeight="1">
      <c r="M21" s="588"/>
      <c r="N21" s="589"/>
      <c r="O21" s="589"/>
      <c r="P21" s="589"/>
      <c r="Q21" s="589"/>
      <c r="R21" s="589"/>
      <c r="S21" s="589"/>
      <c r="T21" s="590"/>
      <c r="U21" s="647"/>
      <c r="V21" s="648"/>
      <c r="W21" s="648"/>
      <c r="X21" s="648"/>
      <c r="Y21" s="648"/>
      <c r="Z21" s="648"/>
      <c r="AA21" s="648"/>
      <c r="AB21" s="648"/>
      <c r="AC21" s="648"/>
      <c r="AD21" s="648"/>
      <c r="AE21" s="648"/>
      <c r="AF21" s="648"/>
      <c r="AG21" s="648"/>
      <c r="AH21" s="648"/>
      <c r="AI21" s="648"/>
      <c r="AJ21" s="649"/>
      <c r="AL21" s="439"/>
      <c r="AM21" s="440"/>
      <c r="AN21" s="440"/>
      <c r="AO21" s="440"/>
      <c r="AP21" s="440"/>
      <c r="AQ21" s="440"/>
      <c r="AR21" s="440"/>
    </row>
    <row r="22" spans="13:52">
      <c r="M22" s="585" t="s">
        <v>7</v>
      </c>
      <c r="N22" s="586"/>
      <c r="O22" s="586"/>
      <c r="P22" s="586"/>
      <c r="Q22" s="586"/>
      <c r="R22" s="586"/>
      <c r="S22" s="586"/>
      <c r="T22" s="587"/>
      <c r="U22" s="618">
        <f t="array" ref="U22">MAX(_xlfn.NUMBERVALUE('変更来歴（カスタマイズ）'!A6:A30))</f>
        <v>0.04</v>
      </c>
      <c r="V22" s="619"/>
      <c r="W22" s="619"/>
      <c r="X22" s="619"/>
      <c r="Y22" s="619"/>
      <c r="Z22" s="619"/>
      <c r="AA22" s="619"/>
      <c r="AB22" s="619"/>
      <c r="AC22" s="619"/>
      <c r="AD22" s="619"/>
      <c r="AE22" s="619"/>
      <c r="AF22" s="619"/>
      <c r="AG22" s="619"/>
      <c r="AH22" s="619"/>
      <c r="AI22" s="619"/>
      <c r="AJ22" s="620"/>
      <c r="AL22" s="439"/>
      <c r="AM22" s="440"/>
      <c r="AN22" s="440"/>
      <c r="AO22" s="440"/>
      <c r="AP22" s="440"/>
      <c r="AQ22" s="440"/>
      <c r="AR22" s="440"/>
    </row>
    <row r="23" spans="13:52">
      <c r="M23" s="588"/>
      <c r="N23" s="589"/>
      <c r="O23" s="589"/>
      <c r="P23" s="589"/>
      <c r="Q23" s="589"/>
      <c r="R23" s="589"/>
      <c r="S23" s="589"/>
      <c r="T23" s="590"/>
      <c r="U23" s="621"/>
      <c r="V23" s="622"/>
      <c r="W23" s="622"/>
      <c r="X23" s="622"/>
      <c r="Y23" s="622"/>
      <c r="Z23" s="622"/>
      <c r="AA23" s="622"/>
      <c r="AB23" s="622"/>
      <c r="AC23" s="622"/>
      <c r="AD23" s="622"/>
      <c r="AE23" s="622"/>
      <c r="AF23" s="622"/>
      <c r="AG23" s="622"/>
      <c r="AH23" s="622"/>
      <c r="AI23" s="622"/>
      <c r="AJ23" s="623"/>
      <c r="AL23" s="439"/>
      <c r="AM23" s="440"/>
      <c r="AN23" s="440"/>
      <c r="AO23" s="440"/>
      <c r="AP23" s="440"/>
      <c r="AQ23" s="440"/>
      <c r="AR23" s="440"/>
    </row>
    <row r="24" spans="13:52">
      <c r="M24" s="585" t="s">
        <v>8</v>
      </c>
      <c r="N24" s="586"/>
      <c r="O24" s="586"/>
      <c r="P24" s="586"/>
      <c r="Q24" s="586"/>
      <c r="R24" s="586"/>
      <c r="S24" s="586"/>
      <c r="T24" s="587"/>
      <c r="U24" s="624" t="s">
        <v>9</v>
      </c>
      <c r="V24" s="625"/>
      <c r="W24" s="625"/>
      <c r="X24" s="625"/>
      <c r="Y24" s="625"/>
      <c r="Z24" s="625"/>
      <c r="AA24" s="625"/>
      <c r="AB24" s="625"/>
      <c r="AC24" s="625"/>
      <c r="AD24" s="625"/>
      <c r="AE24" s="625"/>
      <c r="AF24" s="625"/>
      <c r="AG24" s="625"/>
      <c r="AH24" s="625"/>
      <c r="AI24" s="625"/>
      <c r="AJ24" s="626"/>
      <c r="AL24" s="439"/>
      <c r="AM24" s="440"/>
      <c r="AN24" s="440"/>
      <c r="AO24" s="440"/>
      <c r="AP24" s="440"/>
      <c r="AQ24" s="440"/>
      <c r="AR24" s="440"/>
    </row>
    <row r="25" spans="13:52">
      <c r="M25" s="588"/>
      <c r="N25" s="589"/>
      <c r="O25" s="589"/>
      <c r="P25" s="589"/>
      <c r="Q25" s="589"/>
      <c r="R25" s="589"/>
      <c r="S25" s="589"/>
      <c r="T25" s="590"/>
      <c r="U25" s="627"/>
      <c r="V25" s="628"/>
      <c r="W25" s="628"/>
      <c r="X25" s="628"/>
      <c r="Y25" s="628"/>
      <c r="Z25" s="628"/>
      <c r="AA25" s="628"/>
      <c r="AB25" s="628"/>
      <c r="AC25" s="628"/>
      <c r="AD25" s="628"/>
      <c r="AE25" s="628"/>
      <c r="AF25" s="628"/>
      <c r="AG25" s="628"/>
      <c r="AH25" s="628"/>
      <c r="AI25" s="628"/>
      <c r="AJ25" s="629"/>
      <c r="AL25" s="439"/>
      <c r="AM25" s="441"/>
      <c r="AN25" s="441"/>
      <c r="AO25" s="441"/>
      <c r="AP25" s="441"/>
      <c r="AQ25" s="441"/>
      <c r="AR25" s="441"/>
      <c r="AS25" s="444"/>
      <c r="AU25" s="444"/>
    </row>
    <row r="26" spans="13:52" ht="11.25" customHeight="1">
      <c r="M26" s="585" t="s">
        <v>10</v>
      </c>
      <c r="N26" s="586"/>
      <c r="O26" s="586"/>
      <c r="P26" s="586"/>
      <c r="Q26" s="586"/>
      <c r="R26" s="586"/>
      <c r="S26" s="586"/>
      <c r="T26" s="587"/>
      <c r="U26" s="624" t="s">
        <v>11</v>
      </c>
      <c r="V26" s="630"/>
      <c r="W26" s="630"/>
      <c r="X26" s="630"/>
      <c r="Y26" s="630"/>
      <c r="Z26" s="630"/>
      <c r="AA26" s="630"/>
      <c r="AB26" s="631"/>
      <c r="AC26" s="635" t="s">
        <v>12</v>
      </c>
      <c r="AD26" s="636"/>
      <c r="AE26" s="624" t="s">
        <v>13</v>
      </c>
      <c r="AF26" s="630"/>
      <c r="AG26" s="630"/>
      <c r="AH26" s="630"/>
      <c r="AI26" s="630"/>
      <c r="AJ26" s="631"/>
      <c r="AK26" s="442"/>
      <c r="AL26" s="439"/>
      <c r="AM26" s="441"/>
      <c r="AN26" s="441"/>
      <c r="AO26" s="441"/>
      <c r="AP26" s="441"/>
      <c r="AQ26" s="441"/>
      <c r="AR26" s="441"/>
      <c r="AS26" s="444"/>
      <c r="AU26" s="444"/>
      <c r="AV26" s="444"/>
      <c r="AW26" s="444"/>
      <c r="AX26" s="444"/>
      <c r="AY26" s="444"/>
      <c r="AZ26" s="444"/>
    </row>
    <row r="27" spans="13:52">
      <c r="M27" s="588"/>
      <c r="N27" s="589"/>
      <c r="O27" s="589"/>
      <c r="P27" s="589"/>
      <c r="Q27" s="589"/>
      <c r="R27" s="589"/>
      <c r="S27" s="589"/>
      <c r="T27" s="590"/>
      <c r="U27" s="632"/>
      <c r="V27" s="633"/>
      <c r="W27" s="633"/>
      <c r="X27" s="633"/>
      <c r="Y27" s="633"/>
      <c r="Z27" s="633"/>
      <c r="AA27" s="633"/>
      <c r="AB27" s="634"/>
      <c r="AC27" s="637"/>
      <c r="AD27" s="638"/>
      <c r="AE27" s="632"/>
      <c r="AF27" s="633"/>
      <c r="AG27" s="633"/>
      <c r="AH27" s="633"/>
      <c r="AI27" s="633"/>
      <c r="AJ27" s="634"/>
      <c r="AK27" s="443"/>
      <c r="AL27" s="439"/>
      <c r="AM27" s="440"/>
      <c r="AN27" s="440"/>
      <c r="AO27" s="440"/>
      <c r="AP27" s="440"/>
      <c r="AQ27" s="440"/>
      <c r="AR27" s="440"/>
      <c r="AV27" s="444"/>
      <c r="AW27" s="444"/>
      <c r="AX27" s="444"/>
      <c r="AY27" s="444"/>
      <c r="AZ27" s="444"/>
    </row>
    <row r="28" spans="13:52" ht="13">
      <c r="M28" s="585" t="s">
        <v>14</v>
      </c>
      <c r="N28" s="586"/>
      <c r="O28" s="586"/>
      <c r="P28" s="586"/>
      <c r="Q28" s="586"/>
      <c r="R28" s="586"/>
      <c r="S28" s="586"/>
      <c r="T28" s="587"/>
      <c r="U28" s="591" t="s">
        <v>15</v>
      </c>
      <c r="V28" s="592"/>
      <c r="W28" s="592"/>
      <c r="X28" s="592"/>
      <c r="Y28" s="592"/>
      <c r="Z28" s="592"/>
      <c r="AA28" s="592"/>
      <c r="AB28" s="592"/>
      <c r="AC28" s="592"/>
      <c r="AD28" s="592"/>
      <c r="AE28" s="592"/>
      <c r="AF28" s="592"/>
      <c r="AG28" s="592"/>
      <c r="AH28" s="592"/>
      <c r="AI28" s="592"/>
      <c r="AJ28" s="593"/>
      <c r="AL28" s="439"/>
      <c r="AM28" s="440"/>
      <c r="AN28" s="440"/>
      <c r="AO28" s="440"/>
      <c r="AP28" s="440"/>
      <c r="AQ28" s="440"/>
      <c r="AR28" s="440"/>
      <c r="AW28" s="445" t="s">
        <v>16</v>
      </c>
    </row>
    <row r="29" spans="13:52" ht="11.25" customHeight="1">
      <c r="M29" s="588"/>
      <c r="N29" s="589"/>
      <c r="O29" s="589"/>
      <c r="P29" s="589"/>
      <c r="Q29" s="589"/>
      <c r="R29" s="589"/>
      <c r="S29" s="589"/>
      <c r="T29" s="590"/>
      <c r="U29" s="594"/>
      <c r="V29" s="595"/>
      <c r="W29" s="595"/>
      <c r="X29" s="595"/>
      <c r="Y29" s="595"/>
      <c r="Z29" s="595"/>
      <c r="AA29" s="595"/>
      <c r="AB29" s="595"/>
      <c r="AC29" s="595"/>
      <c r="AD29" s="595"/>
      <c r="AE29" s="595"/>
      <c r="AF29" s="595"/>
      <c r="AG29" s="595"/>
      <c r="AH29" s="595"/>
      <c r="AI29" s="595"/>
      <c r="AJ29" s="596"/>
      <c r="AL29" s="439"/>
      <c r="AM29" s="440"/>
      <c r="AN29" s="440"/>
      <c r="AO29" s="440"/>
      <c r="AP29" s="440"/>
      <c r="AQ29" s="440"/>
      <c r="AR29" s="440"/>
      <c r="AW29" s="445" t="s">
        <v>17</v>
      </c>
      <c r="AX29" s="445"/>
    </row>
    <row r="30" spans="13:52" ht="11.25" customHeight="1">
      <c r="M30" s="585" t="s">
        <v>18</v>
      </c>
      <c r="N30" s="586"/>
      <c r="O30" s="586"/>
      <c r="P30" s="586"/>
      <c r="Q30" s="586"/>
      <c r="R30" s="586"/>
      <c r="S30" s="586"/>
      <c r="T30" s="587"/>
      <c r="U30" s="591" t="s">
        <v>19</v>
      </c>
      <c r="V30" s="592"/>
      <c r="W30" s="592"/>
      <c r="X30" s="592"/>
      <c r="Y30" s="592"/>
      <c r="Z30" s="592"/>
      <c r="AA30" s="592"/>
      <c r="AB30" s="592"/>
      <c r="AC30" s="592"/>
      <c r="AD30" s="592"/>
      <c r="AE30" s="592"/>
      <c r="AF30" s="592"/>
      <c r="AG30" s="592"/>
      <c r="AH30" s="592"/>
      <c r="AI30" s="592"/>
      <c r="AJ30" s="593"/>
      <c r="AL30" s="439"/>
      <c r="AM30" s="440"/>
      <c r="AN30" s="440"/>
      <c r="AO30" s="440"/>
      <c r="AP30" s="440"/>
      <c r="AQ30" s="440"/>
      <c r="AR30" s="440"/>
      <c r="AW30" s="445" t="s">
        <v>15</v>
      </c>
      <c r="AX30" s="445"/>
    </row>
    <row r="31" spans="13:52" ht="11.25" customHeight="1">
      <c r="M31" s="588"/>
      <c r="N31" s="589"/>
      <c r="O31" s="589"/>
      <c r="P31" s="589"/>
      <c r="Q31" s="589"/>
      <c r="R31" s="589"/>
      <c r="S31" s="589"/>
      <c r="T31" s="590"/>
      <c r="U31" s="594"/>
      <c r="V31" s="595"/>
      <c r="W31" s="595"/>
      <c r="X31" s="595"/>
      <c r="Y31" s="595"/>
      <c r="Z31" s="595"/>
      <c r="AA31" s="595"/>
      <c r="AB31" s="595"/>
      <c r="AC31" s="595"/>
      <c r="AD31" s="595"/>
      <c r="AE31" s="595"/>
      <c r="AF31" s="595"/>
      <c r="AG31" s="595"/>
      <c r="AH31" s="595"/>
      <c r="AI31" s="595"/>
      <c r="AJ31" s="596"/>
      <c r="AL31" s="439"/>
      <c r="AM31" s="440"/>
      <c r="AN31" s="440"/>
      <c r="AO31" s="440"/>
      <c r="AP31" s="440"/>
      <c r="AQ31" s="440"/>
      <c r="AR31" s="440"/>
      <c r="AW31" s="445" t="s">
        <v>20</v>
      </c>
    </row>
    <row r="32" spans="13:52" ht="11.25" customHeight="1">
      <c r="M32" s="585" t="s">
        <v>21</v>
      </c>
      <c r="N32" s="586"/>
      <c r="O32" s="586"/>
      <c r="P32" s="586"/>
      <c r="Q32" s="586"/>
      <c r="R32" s="586"/>
      <c r="S32" s="586"/>
      <c r="T32" s="587"/>
      <c r="U32" s="591" t="s">
        <v>22</v>
      </c>
      <c r="V32" s="592"/>
      <c r="W32" s="592"/>
      <c r="X32" s="592"/>
      <c r="Y32" s="592"/>
      <c r="Z32" s="592"/>
      <c r="AA32" s="592"/>
      <c r="AB32" s="592"/>
      <c r="AC32" s="592"/>
      <c r="AD32" s="592"/>
      <c r="AE32" s="592"/>
      <c r="AF32" s="592"/>
      <c r="AG32" s="592"/>
      <c r="AH32" s="592"/>
      <c r="AI32" s="592"/>
      <c r="AJ32" s="593"/>
      <c r="AL32" s="439"/>
      <c r="AM32" s="440"/>
      <c r="AN32" s="440"/>
      <c r="AO32" s="440"/>
      <c r="AP32" s="440"/>
      <c r="AQ32" s="440"/>
      <c r="AR32" s="440"/>
    </row>
    <row r="33" spans="2:49" ht="11.25" customHeight="1">
      <c r="M33" s="588"/>
      <c r="N33" s="589"/>
      <c r="O33" s="589"/>
      <c r="P33" s="589"/>
      <c r="Q33" s="589"/>
      <c r="R33" s="589"/>
      <c r="S33" s="589"/>
      <c r="T33" s="590"/>
      <c r="U33" s="594"/>
      <c r="V33" s="595"/>
      <c r="W33" s="595"/>
      <c r="X33" s="595"/>
      <c r="Y33" s="595"/>
      <c r="Z33" s="595"/>
      <c r="AA33" s="595"/>
      <c r="AB33" s="595"/>
      <c r="AC33" s="595"/>
      <c r="AD33" s="595"/>
      <c r="AE33" s="595"/>
      <c r="AF33" s="595"/>
      <c r="AG33" s="595"/>
      <c r="AH33" s="595"/>
      <c r="AI33" s="595"/>
      <c r="AJ33" s="596"/>
      <c r="AL33" s="439"/>
      <c r="AM33" s="440"/>
      <c r="AN33" s="440"/>
      <c r="AO33" s="440"/>
      <c r="AP33" s="440"/>
      <c r="AQ33" s="440"/>
      <c r="AR33" s="440"/>
    </row>
    <row r="34" spans="2:49" ht="13.5" customHeight="1">
      <c r="M34" s="585" t="s">
        <v>23</v>
      </c>
      <c r="N34" s="586"/>
      <c r="O34" s="586"/>
      <c r="P34" s="586"/>
      <c r="Q34" s="586"/>
      <c r="R34" s="586"/>
      <c r="S34" s="586"/>
      <c r="T34" s="587"/>
      <c r="U34" s="609" t="s">
        <v>24</v>
      </c>
      <c r="V34" s="610"/>
      <c r="W34" s="610"/>
      <c r="X34" s="610"/>
      <c r="Y34" s="610"/>
      <c r="Z34" s="610"/>
      <c r="AA34" s="610"/>
      <c r="AB34" s="610"/>
      <c r="AC34" s="610"/>
      <c r="AD34" s="610"/>
      <c r="AE34" s="610"/>
      <c r="AF34" s="610"/>
      <c r="AG34" s="610"/>
      <c r="AH34" s="610"/>
      <c r="AI34" s="610"/>
      <c r="AJ34" s="611"/>
      <c r="AL34" s="439"/>
      <c r="AM34" s="440"/>
      <c r="AN34" s="440"/>
      <c r="AO34" s="440"/>
      <c r="AP34" s="440"/>
      <c r="AQ34" s="440"/>
      <c r="AR34" s="440"/>
      <c r="AW34" s="445" t="s">
        <v>24</v>
      </c>
    </row>
    <row r="35" spans="2:49" ht="11.25" customHeight="1">
      <c r="M35" s="588"/>
      <c r="N35" s="589"/>
      <c r="O35" s="589"/>
      <c r="P35" s="589"/>
      <c r="Q35" s="589"/>
      <c r="R35" s="589"/>
      <c r="S35" s="589"/>
      <c r="T35" s="590"/>
      <c r="U35" s="612"/>
      <c r="V35" s="613"/>
      <c r="W35" s="613"/>
      <c r="X35" s="613"/>
      <c r="Y35" s="613"/>
      <c r="Z35" s="613"/>
      <c r="AA35" s="613"/>
      <c r="AB35" s="613"/>
      <c r="AC35" s="613"/>
      <c r="AD35" s="613"/>
      <c r="AE35" s="613"/>
      <c r="AF35" s="613"/>
      <c r="AG35" s="613"/>
      <c r="AH35" s="613"/>
      <c r="AI35" s="613"/>
      <c r="AJ35" s="614"/>
      <c r="AL35" s="439"/>
      <c r="AM35" s="440"/>
      <c r="AN35" s="440"/>
      <c r="AO35" s="440"/>
      <c r="AP35" s="440"/>
      <c r="AQ35" s="440"/>
      <c r="AR35" s="440"/>
      <c r="AW35" s="445" t="s">
        <v>25</v>
      </c>
    </row>
    <row r="36" spans="2:49" ht="11.25" customHeight="1">
      <c r="M36" s="585" t="s">
        <v>26</v>
      </c>
      <c r="N36" s="586"/>
      <c r="O36" s="586"/>
      <c r="P36" s="586"/>
      <c r="Q36" s="586"/>
      <c r="R36" s="586"/>
      <c r="S36" s="586"/>
      <c r="T36" s="587"/>
      <c r="U36" s="609" t="s">
        <v>27</v>
      </c>
      <c r="V36" s="610"/>
      <c r="W36" s="610"/>
      <c r="X36" s="610"/>
      <c r="Y36" s="610"/>
      <c r="Z36" s="610"/>
      <c r="AA36" s="610"/>
      <c r="AB36" s="610"/>
      <c r="AC36" s="610"/>
      <c r="AD36" s="610"/>
      <c r="AE36" s="610"/>
      <c r="AF36" s="610"/>
      <c r="AG36" s="610"/>
      <c r="AH36" s="610"/>
      <c r="AI36" s="610"/>
      <c r="AJ36" s="611"/>
      <c r="AL36" s="439"/>
      <c r="AM36" s="440"/>
      <c r="AN36" s="440"/>
      <c r="AO36" s="440"/>
      <c r="AP36" s="440"/>
      <c r="AQ36" s="440"/>
      <c r="AR36" s="440"/>
      <c r="AW36" s="445" t="s">
        <v>28</v>
      </c>
    </row>
    <row r="37" spans="2:49" ht="11.25" customHeight="1">
      <c r="B37" s="432"/>
      <c r="C37" s="432"/>
      <c r="D37" s="432"/>
      <c r="M37" s="588"/>
      <c r="N37" s="589"/>
      <c r="O37" s="589"/>
      <c r="P37" s="589"/>
      <c r="Q37" s="589"/>
      <c r="R37" s="589"/>
      <c r="S37" s="589"/>
      <c r="T37" s="590"/>
      <c r="U37" s="612"/>
      <c r="V37" s="613"/>
      <c r="W37" s="613"/>
      <c r="X37" s="613"/>
      <c r="Y37" s="613"/>
      <c r="Z37" s="613"/>
      <c r="AA37" s="613"/>
      <c r="AB37" s="613"/>
      <c r="AC37" s="613"/>
      <c r="AD37" s="613"/>
      <c r="AE37" s="613"/>
      <c r="AF37" s="613"/>
      <c r="AG37" s="613"/>
      <c r="AH37" s="613"/>
      <c r="AI37" s="613"/>
      <c r="AJ37" s="614"/>
      <c r="AL37" s="439"/>
      <c r="AM37" s="440"/>
      <c r="AN37" s="440"/>
      <c r="AO37" s="440"/>
      <c r="AP37" s="440"/>
      <c r="AQ37" s="440"/>
      <c r="AR37" s="440"/>
    </row>
    <row r="38" spans="2:49" ht="13.5" customHeight="1">
      <c r="U38" s="437"/>
      <c r="V38" s="437"/>
      <c r="W38" s="437"/>
      <c r="X38" s="437"/>
      <c r="Y38" s="437"/>
      <c r="Z38" s="437"/>
      <c r="AA38" s="437"/>
      <c r="AB38" s="437"/>
      <c r="AC38" s="437"/>
      <c r="AD38" s="437"/>
      <c r="AE38" s="437"/>
      <c r="AF38" s="437"/>
      <c r="AW38" s="428" t="s">
        <v>27</v>
      </c>
    </row>
    <row r="39" spans="2:49" ht="13.5" customHeight="1">
      <c r="M39" s="435"/>
      <c r="N39" s="435"/>
      <c r="O39" s="435"/>
      <c r="P39" s="435"/>
      <c r="R39" s="435"/>
      <c r="S39" s="435"/>
      <c r="T39" s="435"/>
      <c r="U39" s="435"/>
      <c r="W39" s="615" t="s">
        <v>29</v>
      </c>
      <c r="X39" s="616"/>
      <c r="Y39" s="616"/>
      <c r="Z39" s="617"/>
      <c r="AB39" s="615" t="s">
        <v>30</v>
      </c>
      <c r="AC39" s="616"/>
      <c r="AD39" s="616"/>
      <c r="AE39" s="617"/>
      <c r="AG39" s="615" t="s">
        <v>31</v>
      </c>
      <c r="AH39" s="616"/>
      <c r="AI39" s="616"/>
      <c r="AJ39" s="617"/>
      <c r="AW39" s="428" t="s">
        <v>32</v>
      </c>
    </row>
    <row r="40" spans="2:49" ht="11.25" customHeight="1">
      <c r="M40" s="435"/>
      <c r="N40" s="435"/>
      <c r="O40" s="435"/>
      <c r="P40" s="435"/>
      <c r="R40" s="435"/>
      <c r="S40" s="435"/>
      <c r="T40" s="435"/>
      <c r="U40" s="435"/>
      <c r="W40" s="597" t="str">
        <f>'変更来歴（カスタマイズ）'!AV6</f>
        <v>MDSOL</v>
      </c>
      <c r="X40" s="598"/>
      <c r="Y40" s="598"/>
      <c r="Z40" s="599"/>
      <c r="AB40" s="597" t="str">
        <f>IF(COUNTA('変更来歴（カスタマイズ）'!AV6:AV30),INDEX('変更来歴（カスタマイズ）'!AV6:AV30,MATCH("*", '変更来歴（カスタマイズ）'!AV6:AV30,-1)),"")</f>
        <v>TBK</v>
      </c>
      <c r="AC40" s="598"/>
      <c r="AD40" s="598"/>
      <c r="AE40" s="599"/>
      <c r="AG40" s="603"/>
      <c r="AH40" s="604"/>
      <c r="AI40" s="604"/>
      <c r="AJ40" s="605"/>
    </row>
    <row r="41" spans="2:49">
      <c r="M41" s="435"/>
      <c r="N41" s="435"/>
      <c r="O41" s="435"/>
      <c r="P41" s="435"/>
      <c r="R41" s="435"/>
      <c r="S41" s="435"/>
      <c r="T41" s="435"/>
      <c r="U41" s="435"/>
      <c r="W41" s="600"/>
      <c r="X41" s="601"/>
      <c r="Y41" s="601"/>
      <c r="Z41" s="602"/>
      <c r="AB41" s="600"/>
      <c r="AC41" s="601"/>
      <c r="AD41" s="601"/>
      <c r="AE41" s="602"/>
      <c r="AG41" s="606"/>
      <c r="AH41" s="607"/>
      <c r="AI41" s="607"/>
      <c r="AJ41" s="608"/>
    </row>
    <row r="42" spans="2:49">
      <c r="M42" s="436"/>
      <c r="N42" s="436"/>
      <c r="O42" s="436"/>
      <c r="P42" s="436"/>
      <c r="R42" s="436"/>
      <c r="S42" s="436"/>
      <c r="T42" s="436"/>
      <c r="U42" s="436"/>
      <c r="W42" s="571">
        <f>'変更来歴（カスタマイズ）'!AQ6</f>
        <v>44075</v>
      </c>
      <c r="X42" s="572"/>
      <c r="Y42" s="572"/>
      <c r="Z42" s="573"/>
      <c r="AB42" s="571">
        <f>MAX('変更来歴（カスタマイズ）'!AQ6:AU30)</f>
        <v>44230</v>
      </c>
      <c r="AC42" s="572"/>
      <c r="AD42" s="572"/>
      <c r="AE42" s="573"/>
      <c r="AG42" s="577"/>
      <c r="AH42" s="578"/>
      <c r="AI42" s="578"/>
      <c r="AJ42" s="579"/>
    </row>
    <row r="43" spans="2:49">
      <c r="C43" s="583"/>
      <c r="D43" s="583"/>
      <c r="E43" s="583"/>
      <c r="F43" s="583"/>
      <c r="G43" s="583"/>
      <c r="H43" s="583"/>
      <c r="M43" s="436"/>
      <c r="N43" s="436"/>
      <c r="O43" s="436"/>
      <c r="P43" s="436"/>
      <c r="R43" s="436"/>
      <c r="S43" s="436"/>
      <c r="T43" s="436"/>
      <c r="U43" s="436"/>
      <c r="W43" s="574"/>
      <c r="X43" s="575"/>
      <c r="Y43" s="575"/>
      <c r="Z43" s="576"/>
      <c r="AB43" s="574"/>
      <c r="AC43" s="575"/>
      <c r="AD43" s="575"/>
      <c r="AE43" s="576"/>
      <c r="AG43" s="580"/>
      <c r="AH43" s="581"/>
      <c r="AI43" s="581"/>
      <c r="AJ43" s="582"/>
    </row>
    <row r="44" spans="2:49">
      <c r="C44" s="583"/>
      <c r="D44" s="583"/>
      <c r="E44" s="583"/>
      <c r="F44" s="583"/>
      <c r="G44" s="583"/>
      <c r="H44" s="583"/>
    </row>
    <row r="45" spans="2:49">
      <c r="C45" s="584"/>
      <c r="D45" s="584"/>
      <c r="E45" s="584"/>
      <c r="F45" s="584"/>
      <c r="G45" s="584"/>
      <c r="H45" s="584"/>
    </row>
    <row r="46" spans="2:49">
      <c r="C46" s="584"/>
      <c r="D46" s="584"/>
      <c r="E46" s="584"/>
      <c r="F46" s="584"/>
      <c r="G46" s="584"/>
      <c r="H46" s="584"/>
    </row>
  </sheetData>
  <mergeCells count="43">
    <mergeCell ref="AC3:AH4"/>
    <mergeCell ref="AI3:AM4"/>
    <mergeCell ref="AN3:AT4"/>
    <mergeCell ref="M7:AJ9"/>
    <mergeCell ref="M10:AJ12"/>
    <mergeCell ref="AC5:AH5"/>
    <mergeCell ref="AI5:AM5"/>
    <mergeCell ref="AN5:AT5"/>
    <mergeCell ref="M16:T17"/>
    <mergeCell ref="U16:AJ17"/>
    <mergeCell ref="M18:T19"/>
    <mergeCell ref="U18:AJ19"/>
    <mergeCell ref="M20:T21"/>
    <mergeCell ref="U20:AJ21"/>
    <mergeCell ref="M22:T23"/>
    <mergeCell ref="U22:AJ23"/>
    <mergeCell ref="M24:T25"/>
    <mergeCell ref="U24:AJ25"/>
    <mergeCell ref="M26:T27"/>
    <mergeCell ref="U26:AB27"/>
    <mergeCell ref="AC26:AD27"/>
    <mergeCell ref="AE26:AJ27"/>
    <mergeCell ref="M28:T29"/>
    <mergeCell ref="U28:AJ29"/>
    <mergeCell ref="W40:Z41"/>
    <mergeCell ref="AB40:AE41"/>
    <mergeCell ref="AG40:AJ41"/>
    <mergeCell ref="M30:T31"/>
    <mergeCell ref="U30:AJ31"/>
    <mergeCell ref="M32:T33"/>
    <mergeCell ref="U32:AJ33"/>
    <mergeCell ref="M34:T35"/>
    <mergeCell ref="U34:AJ35"/>
    <mergeCell ref="M36:T37"/>
    <mergeCell ref="U36:AJ37"/>
    <mergeCell ref="W39:Z39"/>
    <mergeCell ref="AB39:AE39"/>
    <mergeCell ref="AG39:AJ39"/>
    <mergeCell ref="W42:Z43"/>
    <mergeCell ref="AB42:AE43"/>
    <mergeCell ref="AG42:AJ43"/>
    <mergeCell ref="C43:H44"/>
    <mergeCell ref="C45:H46"/>
  </mergeCells>
  <phoneticPr fontId="65"/>
  <dataValidations count="3">
    <dataValidation type="list" allowBlank="1" showInputMessage="1" showErrorMessage="1" sqref="U28:AJ29 JQ28:KF29 TM28:UB29 ADI28:ADX29 ANE28:ANT29 AXA28:AXP29 BGW28:BHL29 BQS28:BRH29 CAO28:CBD29 CKK28:CKZ29 CUG28:CUV29 DEC28:DER29 DNY28:DON29 DXU28:DYJ29 EHQ28:EIF29 ERM28:ESB29 FBI28:FBX29 FLE28:FLT29 FVA28:FVP29 GEW28:GFL29 GOS28:GPH29 GYO28:GZD29 HIK28:HIZ29 HSG28:HSV29 ICC28:ICR29 ILY28:IMN29 IVU28:IWJ29 JFQ28:JGF29 JPM28:JQB29 JZI28:JZX29 KJE28:KJT29 KTA28:KTP29 LCW28:LDL29 LMS28:LNH29 LWO28:LXD29 MGK28:MGZ29 MQG28:MQV29 NAC28:NAR29 NJY28:NKN29 NTU28:NUJ29 ODQ28:OEF29 ONM28:OOB29 OXI28:OXX29 PHE28:PHT29 PRA28:PRP29 QAW28:QBL29 QKS28:QLH29 QUO28:QVD29 REK28:REZ29 ROG28:ROV29 RYC28:RYR29 SHY28:SIN29 SRU28:SSJ29 TBQ28:TCF29 TLM28:TMB29 TVI28:TVX29 UFE28:UFT29 UPA28:UPP29 UYW28:UZL29 VIS28:VJH29 VSO28:VTD29 WCK28:WCZ29 WMG28:WMV29 WWC28:WWR29 V65564:AK65565 JR65564:KG65565 TN65564:UC65565 ADJ65564:ADY65565 ANF65564:ANU65565 AXB65564:AXQ65565 BGX65564:BHM65565 BQT65564:BRI65565 CAP65564:CBE65565 CKL65564:CLA65565 CUH65564:CUW65565 DED65564:DES65565 DNZ65564:DOO65565 DXV65564:DYK65565 EHR65564:EIG65565 ERN65564:ESC65565 FBJ65564:FBY65565 FLF65564:FLU65565 FVB65564:FVQ65565 GEX65564:GFM65565 GOT65564:GPI65565 GYP65564:GZE65565 HIL65564:HJA65565 HSH65564:HSW65565 ICD65564:ICS65565 ILZ65564:IMO65565 IVV65564:IWK65565 JFR65564:JGG65565 JPN65564:JQC65565 JZJ65564:JZY65565 KJF65564:KJU65565 KTB65564:KTQ65565 LCX65564:LDM65565 LMT65564:LNI65565 LWP65564:LXE65565 MGL65564:MHA65565 MQH65564:MQW65565 NAD65564:NAS65565 NJZ65564:NKO65565 NTV65564:NUK65565 ODR65564:OEG65565 ONN65564:OOC65565 OXJ65564:OXY65565 PHF65564:PHU65565 PRB65564:PRQ65565 QAX65564:QBM65565 QKT65564:QLI65565 QUP65564:QVE65565 REL65564:RFA65565 ROH65564:ROW65565 RYD65564:RYS65565 SHZ65564:SIO65565 SRV65564:SSK65565 TBR65564:TCG65565 TLN65564:TMC65565 TVJ65564:TVY65565 UFF65564:UFU65565 UPB65564:UPQ65565 UYX65564:UZM65565 VIT65564:VJI65565 VSP65564:VTE65565 WCL65564:WDA65565 WMH65564:WMW65565 WWD65564:WWS65565 V131100:AK131101 JR131100:KG131101 TN131100:UC131101 ADJ131100:ADY131101 ANF131100:ANU131101 AXB131100:AXQ131101 BGX131100:BHM131101 BQT131100:BRI131101 CAP131100:CBE131101 CKL131100:CLA131101 CUH131100:CUW131101 DED131100:DES131101 DNZ131100:DOO131101 DXV131100:DYK131101 EHR131100:EIG131101 ERN131100:ESC131101 FBJ131100:FBY131101 FLF131100:FLU131101 FVB131100:FVQ131101 GEX131100:GFM131101 GOT131100:GPI131101 GYP131100:GZE131101 HIL131100:HJA131101 HSH131100:HSW131101 ICD131100:ICS131101 ILZ131100:IMO131101 IVV131100:IWK131101 JFR131100:JGG131101 JPN131100:JQC131101 JZJ131100:JZY131101 KJF131100:KJU131101 KTB131100:KTQ131101 LCX131100:LDM131101 LMT131100:LNI131101 LWP131100:LXE131101 MGL131100:MHA131101 MQH131100:MQW131101 NAD131100:NAS131101 NJZ131100:NKO131101 NTV131100:NUK131101 ODR131100:OEG131101 ONN131100:OOC131101 OXJ131100:OXY131101 PHF131100:PHU131101 PRB131100:PRQ131101 QAX131100:QBM131101 QKT131100:QLI131101 QUP131100:QVE131101 REL131100:RFA131101 ROH131100:ROW131101 RYD131100:RYS131101 SHZ131100:SIO131101 SRV131100:SSK131101 TBR131100:TCG131101 TLN131100:TMC131101 TVJ131100:TVY131101 UFF131100:UFU131101 UPB131100:UPQ131101 UYX131100:UZM131101 VIT131100:VJI131101 VSP131100:VTE131101 WCL131100:WDA131101 WMH131100:WMW131101 WWD131100:WWS131101 V196636:AK196637 JR196636:KG196637 TN196636:UC196637 ADJ196636:ADY196637 ANF196636:ANU196637 AXB196636:AXQ196637 BGX196636:BHM196637 BQT196636:BRI196637 CAP196636:CBE196637 CKL196636:CLA196637 CUH196636:CUW196637 DED196636:DES196637 DNZ196636:DOO196637 DXV196636:DYK196637 EHR196636:EIG196637 ERN196636:ESC196637 FBJ196636:FBY196637 FLF196636:FLU196637 FVB196636:FVQ196637 GEX196636:GFM196637 GOT196636:GPI196637 GYP196636:GZE196637 HIL196636:HJA196637 HSH196636:HSW196637 ICD196636:ICS196637 ILZ196636:IMO196637 IVV196636:IWK196637 JFR196636:JGG196637 JPN196636:JQC196637 JZJ196636:JZY196637 KJF196636:KJU196637 KTB196636:KTQ196637 LCX196636:LDM196637 LMT196636:LNI196637 LWP196636:LXE196637 MGL196636:MHA196637 MQH196636:MQW196637 NAD196636:NAS196637 NJZ196636:NKO196637 NTV196636:NUK196637 ODR196636:OEG196637 ONN196636:OOC196637 OXJ196636:OXY196637 PHF196636:PHU196637 PRB196636:PRQ196637 QAX196636:QBM196637 QKT196636:QLI196637 QUP196636:QVE196637 REL196636:RFA196637 ROH196636:ROW196637 RYD196636:RYS196637 SHZ196636:SIO196637 SRV196636:SSK196637 TBR196636:TCG196637 TLN196636:TMC196637 TVJ196636:TVY196637 UFF196636:UFU196637 UPB196636:UPQ196637 UYX196636:UZM196637 VIT196636:VJI196637 VSP196636:VTE196637 WCL196636:WDA196637 WMH196636:WMW196637 WWD196636:WWS196637 V262172:AK262173 JR262172:KG262173 TN262172:UC262173 ADJ262172:ADY262173 ANF262172:ANU262173 AXB262172:AXQ262173 BGX262172:BHM262173 BQT262172:BRI262173 CAP262172:CBE262173 CKL262172:CLA262173 CUH262172:CUW262173 DED262172:DES262173 DNZ262172:DOO262173 DXV262172:DYK262173 EHR262172:EIG262173 ERN262172:ESC262173 FBJ262172:FBY262173 FLF262172:FLU262173 FVB262172:FVQ262173 GEX262172:GFM262173 GOT262172:GPI262173 GYP262172:GZE262173 HIL262172:HJA262173 HSH262172:HSW262173 ICD262172:ICS262173 ILZ262172:IMO262173 IVV262172:IWK262173 JFR262172:JGG262173 JPN262172:JQC262173 JZJ262172:JZY262173 KJF262172:KJU262173 KTB262172:KTQ262173 LCX262172:LDM262173 LMT262172:LNI262173 LWP262172:LXE262173 MGL262172:MHA262173 MQH262172:MQW262173 NAD262172:NAS262173 NJZ262172:NKO262173 NTV262172:NUK262173 ODR262172:OEG262173 ONN262172:OOC262173 OXJ262172:OXY262173 PHF262172:PHU262173 PRB262172:PRQ262173 QAX262172:QBM262173 QKT262172:QLI262173 QUP262172:QVE262173 REL262172:RFA262173 ROH262172:ROW262173 RYD262172:RYS262173 SHZ262172:SIO262173 SRV262172:SSK262173 TBR262172:TCG262173 TLN262172:TMC262173 TVJ262172:TVY262173 UFF262172:UFU262173 UPB262172:UPQ262173 UYX262172:UZM262173 VIT262172:VJI262173 VSP262172:VTE262173 WCL262172:WDA262173 WMH262172:WMW262173 WWD262172:WWS262173 V327708:AK327709 JR327708:KG327709 TN327708:UC327709 ADJ327708:ADY327709 ANF327708:ANU327709 AXB327708:AXQ327709 BGX327708:BHM327709 BQT327708:BRI327709 CAP327708:CBE327709 CKL327708:CLA327709 CUH327708:CUW327709 DED327708:DES327709 DNZ327708:DOO327709 DXV327708:DYK327709 EHR327708:EIG327709 ERN327708:ESC327709 FBJ327708:FBY327709 FLF327708:FLU327709 FVB327708:FVQ327709 GEX327708:GFM327709 GOT327708:GPI327709 GYP327708:GZE327709 HIL327708:HJA327709 HSH327708:HSW327709 ICD327708:ICS327709 ILZ327708:IMO327709 IVV327708:IWK327709 JFR327708:JGG327709 JPN327708:JQC327709 JZJ327708:JZY327709 KJF327708:KJU327709 KTB327708:KTQ327709 LCX327708:LDM327709 LMT327708:LNI327709 LWP327708:LXE327709 MGL327708:MHA327709 MQH327708:MQW327709 NAD327708:NAS327709 NJZ327708:NKO327709 NTV327708:NUK327709 ODR327708:OEG327709 ONN327708:OOC327709 OXJ327708:OXY327709 PHF327708:PHU327709 PRB327708:PRQ327709 QAX327708:QBM327709 QKT327708:QLI327709 QUP327708:QVE327709 REL327708:RFA327709 ROH327708:ROW327709 RYD327708:RYS327709 SHZ327708:SIO327709 SRV327708:SSK327709 TBR327708:TCG327709 TLN327708:TMC327709 TVJ327708:TVY327709 UFF327708:UFU327709 UPB327708:UPQ327709 UYX327708:UZM327709 VIT327708:VJI327709 VSP327708:VTE327709 WCL327708:WDA327709 WMH327708:WMW327709 WWD327708:WWS327709 V393244:AK393245 JR393244:KG393245 TN393244:UC393245 ADJ393244:ADY393245 ANF393244:ANU393245 AXB393244:AXQ393245 BGX393244:BHM393245 BQT393244:BRI393245 CAP393244:CBE393245 CKL393244:CLA393245 CUH393244:CUW393245 DED393244:DES393245 DNZ393244:DOO393245 DXV393244:DYK393245 EHR393244:EIG393245 ERN393244:ESC393245 FBJ393244:FBY393245 FLF393244:FLU393245 FVB393244:FVQ393245 GEX393244:GFM393245 GOT393244:GPI393245 GYP393244:GZE393245 HIL393244:HJA393245 HSH393244:HSW393245 ICD393244:ICS393245 ILZ393244:IMO393245 IVV393244:IWK393245 JFR393244:JGG393245 JPN393244:JQC393245 JZJ393244:JZY393245 KJF393244:KJU393245 KTB393244:KTQ393245 LCX393244:LDM393245 LMT393244:LNI393245 LWP393244:LXE393245 MGL393244:MHA393245 MQH393244:MQW393245 NAD393244:NAS393245 NJZ393244:NKO393245 NTV393244:NUK393245 ODR393244:OEG393245 ONN393244:OOC393245 OXJ393244:OXY393245 PHF393244:PHU393245 PRB393244:PRQ393245 QAX393244:QBM393245 QKT393244:QLI393245 QUP393244:QVE393245 REL393244:RFA393245 ROH393244:ROW393245 RYD393244:RYS393245 SHZ393244:SIO393245 SRV393244:SSK393245 TBR393244:TCG393245 TLN393244:TMC393245 TVJ393244:TVY393245 UFF393244:UFU393245 UPB393244:UPQ393245 UYX393244:UZM393245 VIT393244:VJI393245 VSP393244:VTE393245 WCL393244:WDA393245 WMH393244:WMW393245 WWD393244:WWS393245 V458780:AK458781 JR458780:KG458781 TN458780:UC458781 ADJ458780:ADY458781 ANF458780:ANU458781 AXB458780:AXQ458781 BGX458780:BHM458781 BQT458780:BRI458781 CAP458780:CBE458781 CKL458780:CLA458781 CUH458780:CUW458781 DED458780:DES458781 DNZ458780:DOO458781 DXV458780:DYK458781 EHR458780:EIG458781 ERN458780:ESC458781 FBJ458780:FBY458781 FLF458780:FLU458781 FVB458780:FVQ458781 GEX458780:GFM458781 GOT458780:GPI458781 GYP458780:GZE458781 HIL458780:HJA458781 HSH458780:HSW458781 ICD458780:ICS458781 ILZ458780:IMO458781 IVV458780:IWK458781 JFR458780:JGG458781 JPN458780:JQC458781 JZJ458780:JZY458781 KJF458780:KJU458781 KTB458780:KTQ458781 LCX458780:LDM458781 LMT458780:LNI458781 LWP458780:LXE458781 MGL458780:MHA458781 MQH458780:MQW458781 NAD458780:NAS458781 NJZ458780:NKO458781 NTV458780:NUK458781 ODR458780:OEG458781 ONN458780:OOC458781 OXJ458780:OXY458781 PHF458780:PHU458781 PRB458780:PRQ458781 QAX458780:QBM458781 QKT458780:QLI458781 QUP458780:QVE458781 REL458780:RFA458781 ROH458780:ROW458781 RYD458780:RYS458781 SHZ458780:SIO458781 SRV458780:SSK458781 TBR458780:TCG458781 TLN458780:TMC458781 TVJ458780:TVY458781 UFF458780:UFU458781 UPB458780:UPQ458781 UYX458780:UZM458781 VIT458780:VJI458781 VSP458780:VTE458781 WCL458780:WDA458781 WMH458780:WMW458781 WWD458780:WWS458781 V524316:AK524317 JR524316:KG524317 TN524316:UC524317 ADJ524316:ADY524317 ANF524316:ANU524317 AXB524316:AXQ524317 BGX524316:BHM524317 BQT524316:BRI524317 CAP524316:CBE524317 CKL524316:CLA524317 CUH524316:CUW524317 DED524316:DES524317 DNZ524316:DOO524317 DXV524316:DYK524317 EHR524316:EIG524317 ERN524316:ESC524317 FBJ524316:FBY524317 FLF524316:FLU524317 FVB524316:FVQ524317 GEX524316:GFM524317 GOT524316:GPI524317 GYP524316:GZE524317 HIL524316:HJA524317 HSH524316:HSW524317 ICD524316:ICS524317 ILZ524316:IMO524317 IVV524316:IWK524317 JFR524316:JGG524317 JPN524316:JQC524317 JZJ524316:JZY524317 KJF524316:KJU524317 KTB524316:KTQ524317 LCX524316:LDM524317 LMT524316:LNI524317 LWP524316:LXE524317 MGL524316:MHA524317 MQH524316:MQW524317 NAD524316:NAS524317 NJZ524316:NKO524317 NTV524316:NUK524317 ODR524316:OEG524317 ONN524316:OOC524317 OXJ524316:OXY524317 PHF524316:PHU524317 PRB524316:PRQ524317 QAX524316:QBM524317 QKT524316:QLI524317 QUP524316:QVE524317 REL524316:RFA524317 ROH524316:ROW524317 RYD524316:RYS524317 SHZ524316:SIO524317 SRV524316:SSK524317 TBR524316:TCG524317 TLN524316:TMC524317 TVJ524316:TVY524317 UFF524316:UFU524317 UPB524316:UPQ524317 UYX524316:UZM524317 VIT524316:VJI524317 VSP524316:VTE524317 WCL524316:WDA524317 WMH524316:WMW524317 WWD524316:WWS524317 V589852:AK589853 JR589852:KG589853 TN589852:UC589853 ADJ589852:ADY589853 ANF589852:ANU589853 AXB589852:AXQ589853 BGX589852:BHM589853 BQT589852:BRI589853 CAP589852:CBE589853 CKL589852:CLA589853 CUH589852:CUW589853 DED589852:DES589853 DNZ589852:DOO589853 DXV589852:DYK589853 EHR589852:EIG589853 ERN589852:ESC589853 FBJ589852:FBY589853 FLF589852:FLU589853 FVB589852:FVQ589853 GEX589852:GFM589853 GOT589852:GPI589853 GYP589852:GZE589853 HIL589852:HJA589853 HSH589852:HSW589853 ICD589852:ICS589853 ILZ589852:IMO589853 IVV589852:IWK589853 JFR589852:JGG589853 JPN589852:JQC589853 JZJ589852:JZY589853 KJF589852:KJU589853 KTB589852:KTQ589853 LCX589852:LDM589853 LMT589852:LNI589853 LWP589852:LXE589853 MGL589852:MHA589853 MQH589852:MQW589853 NAD589852:NAS589853 NJZ589852:NKO589853 NTV589852:NUK589853 ODR589852:OEG589853 ONN589852:OOC589853 OXJ589852:OXY589853 PHF589852:PHU589853 PRB589852:PRQ589853 QAX589852:QBM589853 QKT589852:QLI589853 QUP589852:QVE589853 REL589852:RFA589853 ROH589852:ROW589853 RYD589852:RYS589853 SHZ589852:SIO589853 SRV589852:SSK589853 TBR589852:TCG589853 TLN589852:TMC589853 TVJ589852:TVY589853 UFF589852:UFU589853 UPB589852:UPQ589853 UYX589852:UZM589853 VIT589852:VJI589853 VSP589852:VTE589853 WCL589852:WDA589853 WMH589852:WMW589853 WWD589852:WWS589853 V655388:AK655389 JR655388:KG655389 TN655388:UC655389 ADJ655388:ADY655389 ANF655388:ANU655389 AXB655388:AXQ655389 BGX655388:BHM655389 BQT655388:BRI655389 CAP655388:CBE655389 CKL655388:CLA655389 CUH655388:CUW655389 DED655388:DES655389 DNZ655388:DOO655389 DXV655388:DYK655389 EHR655388:EIG655389 ERN655388:ESC655389 FBJ655388:FBY655389 FLF655388:FLU655389 FVB655388:FVQ655389 GEX655388:GFM655389 GOT655388:GPI655389 GYP655388:GZE655389 HIL655388:HJA655389 HSH655388:HSW655389 ICD655388:ICS655389 ILZ655388:IMO655389 IVV655388:IWK655389 JFR655388:JGG655389 JPN655388:JQC655389 JZJ655388:JZY655389 KJF655388:KJU655389 KTB655388:KTQ655389 LCX655388:LDM655389 LMT655388:LNI655389 LWP655388:LXE655389 MGL655388:MHA655389 MQH655388:MQW655389 NAD655388:NAS655389 NJZ655388:NKO655389 NTV655388:NUK655389 ODR655388:OEG655389 ONN655388:OOC655389 OXJ655388:OXY655389 PHF655388:PHU655389 PRB655388:PRQ655389 QAX655388:QBM655389 QKT655388:QLI655389 QUP655388:QVE655389 REL655388:RFA655389 ROH655388:ROW655389 RYD655388:RYS655389 SHZ655388:SIO655389 SRV655388:SSK655389 TBR655388:TCG655389 TLN655388:TMC655389 TVJ655388:TVY655389 UFF655388:UFU655389 UPB655388:UPQ655389 UYX655388:UZM655389 VIT655388:VJI655389 VSP655388:VTE655389 WCL655388:WDA655389 WMH655388:WMW655389 WWD655388:WWS655389 V720924:AK720925 JR720924:KG720925 TN720924:UC720925 ADJ720924:ADY720925 ANF720924:ANU720925 AXB720924:AXQ720925 BGX720924:BHM720925 BQT720924:BRI720925 CAP720924:CBE720925 CKL720924:CLA720925 CUH720924:CUW720925 DED720924:DES720925 DNZ720924:DOO720925 DXV720924:DYK720925 EHR720924:EIG720925 ERN720924:ESC720925 FBJ720924:FBY720925 FLF720924:FLU720925 FVB720924:FVQ720925 GEX720924:GFM720925 GOT720924:GPI720925 GYP720924:GZE720925 HIL720924:HJA720925 HSH720924:HSW720925 ICD720924:ICS720925 ILZ720924:IMO720925 IVV720924:IWK720925 JFR720924:JGG720925 JPN720924:JQC720925 JZJ720924:JZY720925 KJF720924:KJU720925 KTB720924:KTQ720925 LCX720924:LDM720925 LMT720924:LNI720925 LWP720924:LXE720925 MGL720924:MHA720925 MQH720924:MQW720925 NAD720924:NAS720925 NJZ720924:NKO720925 NTV720924:NUK720925 ODR720924:OEG720925 ONN720924:OOC720925 OXJ720924:OXY720925 PHF720924:PHU720925 PRB720924:PRQ720925 QAX720924:QBM720925 QKT720924:QLI720925 QUP720924:QVE720925 REL720924:RFA720925 ROH720924:ROW720925 RYD720924:RYS720925 SHZ720924:SIO720925 SRV720924:SSK720925 TBR720924:TCG720925 TLN720924:TMC720925 TVJ720924:TVY720925 UFF720924:UFU720925 UPB720924:UPQ720925 UYX720924:UZM720925 VIT720924:VJI720925 VSP720924:VTE720925 WCL720924:WDA720925 WMH720924:WMW720925 WWD720924:WWS720925 V786460:AK786461 JR786460:KG786461 TN786460:UC786461 ADJ786460:ADY786461 ANF786460:ANU786461 AXB786460:AXQ786461 BGX786460:BHM786461 BQT786460:BRI786461 CAP786460:CBE786461 CKL786460:CLA786461 CUH786460:CUW786461 DED786460:DES786461 DNZ786460:DOO786461 DXV786460:DYK786461 EHR786460:EIG786461 ERN786460:ESC786461 FBJ786460:FBY786461 FLF786460:FLU786461 FVB786460:FVQ786461 GEX786460:GFM786461 GOT786460:GPI786461 GYP786460:GZE786461 HIL786460:HJA786461 HSH786460:HSW786461 ICD786460:ICS786461 ILZ786460:IMO786461 IVV786460:IWK786461 JFR786460:JGG786461 JPN786460:JQC786461 JZJ786460:JZY786461 KJF786460:KJU786461 KTB786460:KTQ786461 LCX786460:LDM786461 LMT786460:LNI786461 LWP786460:LXE786461 MGL786460:MHA786461 MQH786460:MQW786461 NAD786460:NAS786461 NJZ786460:NKO786461 NTV786460:NUK786461 ODR786460:OEG786461 ONN786460:OOC786461 OXJ786460:OXY786461 PHF786460:PHU786461 PRB786460:PRQ786461 QAX786460:QBM786461 QKT786460:QLI786461 QUP786460:QVE786461 REL786460:RFA786461 ROH786460:ROW786461 RYD786460:RYS786461 SHZ786460:SIO786461 SRV786460:SSK786461 TBR786460:TCG786461 TLN786460:TMC786461 TVJ786460:TVY786461 UFF786460:UFU786461 UPB786460:UPQ786461 UYX786460:UZM786461 VIT786460:VJI786461 VSP786460:VTE786461 WCL786460:WDA786461 WMH786460:WMW786461 WWD786460:WWS786461 V851996:AK851997 JR851996:KG851997 TN851996:UC851997 ADJ851996:ADY851997 ANF851996:ANU851997 AXB851996:AXQ851997 BGX851996:BHM851997 BQT851996:BRI851997 CAP851996:CBE851997 CKL851996:CLA851997 CUH851996:CUW851997 DED851996:DES851997 DNZ851996:DOO851997 DXV851996:DYK851997 EHR851996:EIG851997 ERN851996:ESC851997 FBJ851996:FBY851997 FLF851996:FLU851997 FVB851996:FVQ851997 GEX851996:GFM851997 GOT851996:GPI851997 GYP851996:GZE851997 HIL851996:HJA851997 HSH851996:HSW851997 ICD851996:ICS851997 ILZ851996:IMO851997 IVV851996:IWK851997 JFR851996:JGG851997 JPN851996:JQC851997 JZJ851996:JZY851997 KJF851996:KJU851997 KTB851996:KTQ851997 LCX851996:LDM851997 LMT851996:LNI851997 LWP851996:LXE851997 MGL851996:MHA851997 MQH851996:MQW851997 NAD851996:NAS851997 NJZ851996:NKO851997 NTV851996:NUK851997 ODR851996:OEG851997 ONN851996:OOC851997 OXJ851996:OXY851997 PHF851996:PHU851997 PRB851996:PRQ851997 QAX851996:QBM851997 QKT851996:QLI851997 QUP851996:QVE851997 REL851996:RFA851997 ROH851996:ROW851997 RYD851996:RYS851997 SHZ851996:SIO851997 SRV851996:SSK851997 TBR851996:TCG851997 TLN851996:TMC851997 TVJ851996:TVY851997 UFF851996:UFU851997 UPB851996:UPQ851997 UYX851996:UZM851997 VIT851996:VJI851997 VSP851996:VTE851997 WCL851996:WDA851997 WMH851996:WMW851997 WWD851996:WWS851997 V917532:AK917533 JR917532:KG917533 TN917532:UC917533 ADJ917532:ADY917533 ANF917532:ANU917533 AXB917532:AXQ917533 BGX917532:BHM917533 BQT917532:BRI917533 CAP917532:CBE917533 CKL917532:CLA917533 CUH917532:CUW917533 DED917532:DES917533 DNZ917532:DOO917533 DXV917532:DYK917533 EHR917532:EIG917533 ERN917532:ESC917533 FBJ917532:FBY917533 FLF917532:FLU917533 FVB917532:FVQ917533 GEX917532:GFM917533 GOT917532:GPI917533 GYP917532:GZE917533 HIL917532:HJA917533 HSH917532:HSW917533 ICD917532:ICS917533 ILZ917532:IMO917533 IVV917532:IWK917533 JFR917532:JGG917533 JPN917532:JQC917533 JZJ917532:JZY917533 KJF917532:KJU917533 KTB917532:KTQ917533 LCX917532:LDM917533 LMT917532:LNI917533 LWP917532:LXE917533 MGL917532:MHA917533 MQH917532:MQW917533 NAD917532:NAS917533 NJZ917532:NKO917533 NTV917532:NUK917533 ODR917532:OEG917533 ONN917532:OOC917533 OXJ917532:OXY917533 PHF917532:PHU917533 PRB917532:PRQ917533 QAX917532:QBM917533 QKT917532:QLI917533 QUP917532:QVE917533 REL917532:RFA917533 ROH917532:ROW917533 RYD917532:RYS917533 SHZ917532:SIO917533 SRV917532:SSK917533 TBR917532:TCG917533 TLN917532:TMC917533 TVJ917532:TVY917533 UFF917532:UFU917533 UPB917532:UPQ917533 UYX917532:UZM917533 VIT917532:VJI917533 VSP917532:VTE917533 WCL917532:WDA917533 WMH917532:WMW917533 WWD917532:WWS917533 V983068:AK983069 JR983068:KG983069 TN983068:UC983069 ADJ983068:ADY983069 ANF983068:ANU983069 AXB983068:AXQ983069 BGX983068:BHM983069 BQT983068:BRI983069 CAP983068:CBE983069 CKL983068:CLA983069 CUH983068:CUW983069 DED983068:DES983069 DNZ983068:DOO983069 DXV983068:DYK983069 EHR983068:EIG983069 ERN983068:ESC983069 FBJ983068:FBY983069 FLF983068:FLU983069 FVB983068:FVQ983069 GEX983068:GFM983069 GOT983068:GPI983069 GYP983068:GZE983069 HIL983068:HJA983069 HSH983068:HSW983069 ICD983068:ICS983069 ILZ983068:IMO983069 IVV983068:IWK983069 JFR983068:JGG983069 JPN983068:JQC983069 JZJ983068:JZY983069 KJF983068:KJU983069 KTB983068:KTQ983069 LCX983068:LDM983069 LMT983068:LNI983069 LWP983068:LXE983069 MGL983068:MHA983069 MQH983068:MQW983069 NAD983068:NAS983069 NJZ983068:NKO983069 NTV983068:NUK983069 ODR983068:OEG983069 ONN983068:OOC983069 OXJ983068:OXY983069 PHF983068:PHU983069 PRB983068:PRQ983069 QAX983068:QBM983069 QKT983068:QLI983069 QUP983068:QVE983069 REL983068:RFA983069 ROH983068:ROW983069 RYD983068:RYS983069 SHZ983068:SIO983069 SRV983068:SSK983069 TBR983068:TCG983069 TLN983068:TMC983069 TVJ983068:TVY983069 UFF983068:UFU983069 UPB983068:UPQ983069 UYX983068:UZM983069 VIT983068:VJI983069 VSP983068:VTE983069 WCL983068:WDA983069 WMH983068:WMW983069 WWD983068:WWS983069" xr:uid="{00000000-0002-0000-0000-000000000000}">
      <formula1>AW28:AW31</formula1>
    </dataValidation>
    <dataValidation type="list" allowBlank="1" showInputMessage="1" showErrorMessage="1" sqref="U34:AJ35 JQ34:KF35 TM34:UB35 ADI34:ADX35 ANE34:ANT35 AXA34:AXP35 BGW34:BHL35 BQS34:BRH35 CAO34:CBD35 CKK34:CKZ35 CUG34:CUV35 DEC34:DER35 DNY34:DON35 DXU34:DYJ35 EHQ34:EIF35 ERM34:ESB35 FBI34:FBX35 FLE34:FLT35 FVA34:FVP35 GEW34:GFL35 GOS34:GPH35 GYO34:GZD35 HIK34:HIZ35 HSG34:HSV35 ICC34:ICR35 ILY34:IMN35 IVU34:IWJ35 JFQ34:JGF35 JPM34:JQB35 JZI34:JZX35 KJE34:KJT35 KTA34:KTP35 LCW34:LDL35 LMS34:LNH35 LWO34:LXD35 MGK34:MGZ35 MQG34:MQV35 NAC34:NAR35 NJY34:NKN35 NTU34:NUJ35 ODQ34:OEF35 ONM34:OOB35 OXI34:OXX35 PHE34:PHT35 PRA34:PRP35 QAW34:QBL35 QKS34:QLH35 QUO34:QVD35 REK34:REZ35 ROG34:ROV35 RYC34:RYR35 SHY34:SIN35 SRU34:SSJ35 TBQ34:TCF35 TLM34:TMB35 TVI34:TVX35 UFE34:UFT35 UPA34:UPP35 UYW34:UZL35 VIS34:VJH35 VSO34:VTD35 WCK34:WCZ35 WMG34:WMV35 WWC34:WWR35 V65570:AK65571 JR65570:KG65571 TN65570:UC65571 ADJ65570:ADY65571 ANF65570:ANU65571 AXB65570:AXQ65571 BGX65570:BHM65571 BQT65570:BRI65571 CAP65570:CBE65571 CKL65570:CLA65571 CUH65570:CUW65571 DED65570:DES65571 DNZ65570:DOO65571 DXV65570:DYK65571 EHR65570:EIG65571 ERN65570:ESC65571 FBJ65570:FBY65571 FLF65570:FLU65571 FVB65570:FVQ65571 GEX65570:GFM65571 GOT65570:GPI65571 GYP65570:GZE65571 HIL65570:HJA65571 HSH65570:HSW65571 ICD65570:ICS65571 ILZ65570:IMO65571 IVV65570:IWK65571 JFR65570:JGG65571 JPN65570:JQC65571 JZJ65570:JZY65571 KJF65570:KJU65571 KTB65570:KTQ65571 LCX65570:LDM65571 LMT65570:LNI65571 LWP65570:LXE65571 MGL65570:MHA65571 MQH65570:MQW65571 NAD65570:NAS65571 NJZ65570:NKO65571 NTV65570:NUK65571 ODR65570:OEG65571 ONN65570:OOC65571 OXJ65570:OXY65571 PHF65570:PHU65571 PRB65570:PRQ65571 QAX65570:QBM65571 QKT65570:QLI65571 QUP65570:QVE65571 REL65570:RFA65571 ROH65570:ROW65571 RYD65570:RYS65571 SHZ65570:SIO65571 SRV65570:SSK65571 TBR65570:TCG65571 TLN65570:TMC65571 TVJ65570:TVY65571 UFF65570:UFU65571 UPB65570:UPQ65571 UYX65570:UZM65571 VIT65570:VJI65571 VSP65570:VTE65571 WCL65570:WDA65571 WMH65570:WMW65571 WWD65570:WWS65571 V131106:AK131107 JR131106:KG131107 TN131106:UC131107 ADJ131106:ADY131107 ANF131106:ANU131107 AXB131106:AXQ131107 BGX131106:BHM131107 BQT131106:BRI131107 CAP131106:CBE131107 CKL131106:CLA131107 CUH131106:CUW131107 DED131106:DES131107 DNZ131106:DOO131107 DXV131106:DYK131107 EHR131106:EIG131107 ERN131106:ESC131107 FBJ131106:FBY131107 FLF131106:FLU131107 FVB131106:FVQ131107 GEX131106:GFM131107 GOT131106:GPI131107 GYP131106:GZE131107 HIL131106:HJA131107 HSH131106:HSW131107 ICD131106:ICS131107 ILZ131106:IMO131107 IVV131106:IWK131107 JFR131106:JGG131107 JPN131106:JQC131107 JZJ131106:JZY131107 KJF131106:KJU131107 KTB131106:KTQ131107 LCX131106:LDM131107 LMT131106:LNI131107 LWP131106:LXE131107 MGL131106:MHA131107 MQH131106:MQW131107 NAD131106:NAS131107 NJZ131106:NKO131107 NTV131106:NUK131107 ODR131106:OEG131107 ONN131106:OOC131107 OXJ131106:OXY131107 PHF131106:PHU131107 PRB131106:PRQ131107 QAX131106:QBM131107 QKT131106:QLI131107 QUP131106:QVE131107 REL131106:RFA131107 ROH131106:ROW131107 RYD131106:RYS131107 SHZ131106:SIO131107 SRV131106:SSK131107 TBR131106:TCG131107 TLN131106:TMC131107 TVJ131106:TVY131107 UFF131106:UFU131107 UPB131106:UPQ131107 UYX131106:UZM131107 VIT131106:VJI131107 VSP131106:VTE131107 WCL131106:WDA131107 WMH131106:WMW131107 WWD131106:WWS131107 V196642:AK196643 JR196642:KG196643 TN196642:UC196643 ADJ196642:ADY196643 ANF196642:ANU196643 AXB196642:AXQ196643 BGX196642:BHM196643 BQT196642:BRI196643 CAP196642:CBE196643 CKL196642:CLA196643 CUH196642:CUW196643 DED196642:DES196643 DNZ196642:DOO196643 DXV196642:DYK196643 EHR196642:EIG196643 ERN196642:ESC196643 FBJ196642:FBY196643 FLF196642:FLU196643 FVB196642:FVQ196643 GEX196642:GFM196643 GOT196642:GPI196643 GYP196642:GZE196643 HIL196642:HJA196643 HSH196642:HSW196643 ICD196642:ICS196643 ILZ196642:IMO196643 IVV196642:IWK196643 JFR196642:JGG196643 JPN196642:JQC196643 JZJ196642:JZY196643 KJF196642:KJU196643 KTB196642:KTQ196643 LCX196642:LDM196643 LMT196642:LNI196643 LWP196642:LXE196643 MGL196642:MHA196643 MQH196642:MQW196643 NAD196642:NAS196643 NJZ196642:NKO196643 NTV196642:NUK196643 ODR196642:OEG196643 ONN196642:OOC196643 OXJ196642:OXY196643 PHF196642:PHU196643 PRB196642:PRQ196643 QAX196642:QBM196643 QKT196642:QLI196643 QUP196642:QVE196643 REL196642:RFA196643 ROH196642:ROW196643 RYD196642:RYS196643 SHZ196642:SIO196643 SRV196642:SSK196643 TBR196642:TCG196643 TLN196642:TMC196643 TVJ196642:TVY196643 UFF196642:UFU196643 UPB196642:UPQ196643 UYX196642:UZM196643 VIT196642:VJI196643 VSP196642:VTE196643 WCL196642:WDA196643 WMH196642:WMW196643 WWD196642:WWS196643 V262178:AK262179 JR262178:KG262179 TN262178:UC262179 ADJ262178:ADY262179 ANF262178:ANU262179 AXB262178:AXQ262179 BGX262178:BHM262179 BQT262178:BRI262179 CAP262178:CBE262179 CKL262178:CLA262179 CUH262178:CUW262179 DED262178:DES262179 DNZ262178:DOO262179 DXV262178:DYK262179 EHR262178:EIG262179 ERN262178:ESC262179 FBJ262178:FBY262179 FLF262178:FLU262179 FVB262178:FVQ262179 GEX262178:GFM262179 GOT262178:GPI262179 GYP262178:GZE262179 HIL262178:HJA262179 HSH262178:HSW262179 ICD262178:ICS262179 ILZ262178:IMO262179 IVV262178:IWK262179 JFR262178:JGG262179 JPN262178:JQC262179 JZJ262178:JZY262179 KJF262178:KJU262179 KTB262178:KTQ262179 LCX262178:LDM262179 LMT262178:LNI262179 LWP262178:LXE262179 MGL262178:MHA262179 MQH262178:MQW262179 NAD262178:NAS262179 NJZ262178:NKO262179 NTV262178:NUK262179 ODR262178:OEG262179 ONN262178:OOC262179 OXJ262178:OXY262179 PHF262178:PHU262179 PRB262178:PRQ262179 QAX262178:QBM262179 QKT262178:QLI262179 QUP262178:QVE262179 REL262178:RFA262179 ROH262178:ROW262179 RYD262178:RYS262179 SHZ262178:SIO262179 SRV262178:SSK262179 TBR262178:TCG262179 TLN262178:TMC262179 TVJ262178:TVY262179 UFF262178:UFU262179 UPB262178:UPQ262179 UYX262178:UZM262179 VIT262178:VJI262179 VSP262178:VTE262179 WCL262178:WDA262179 WMH262178:WMW262179 WWD262178:WWS262179 V327714:AK327715 JR327714:KG327715 TN327714:UC327715 ADJ327714:ADY327715 ANF327714:ANU327715 AXB327714:AXQ327715 BGX327714:BHM327715 BQT327714:BRI327715 CAP327714:CBE327715 CKL327714:CLA327715 CUH327714:CUW327715 DED327714:DES327715 DNZ327714:DOO327715 DXV327714:DYK327715 EHR327714:EIG327715 ERN327714:ESC327715 FBJ327714:FBY327715 FLF327714:FLU327715 FVB327714:FVQ327715 GEX327714:GFM327715 GOT327714:GPI327715 GYP327714:GZE327715 HIL327714:HJA327715 HSH327714:HSW327715 ICD327714:ICS327715 ILZ327714:IMO327715 IVV327714:IWK327715 JFR327714:JGG327715 JPN327714:JQC327715 JZJ327714:JZY327715 KJF327714:KJU327715 KTB327714:KTQ327715 LCX327714:LDM327715 LMT327714:LNI327715 LWP327714:LXE327715 MGL327714:MHA327715 MQH327714:MQW327715 NAD327714:NAS327715 NJZ327714:NKO327715 NTV327714:NUK327715 ODR327714:OEG327715 ONN327714:OOC327715 OXJ327714:OXY327715 PHF327714:PHU327715 PRB327714:PRQ327715 QAX327714:QBM327715 QKT327714:QLI327715 QUP327714:QVE327715 REL327714:RFA327715 ROH327714:ROW327715 RYD327714:RYS327715 SHZ327714:SIO327715 SRV327714:SSK327715 TBR327714:TCG327715 TLN327714:TMC327715 TVJ327714:TVY327715 UFF327714:UFU327715 UPB327714:UPQ327715 UYX327714:UZM327715 VIT327714:VJI327715 VSP327714:VTE327715 WCL327714:WDA327715 WMH327714:WMW327715 WWD327714:WWS327715 V393250:AK393251 JR393250:KG393251 TN393250:UC393251 ADJ393250:ADY393251 ANF393250:ANU393251 AXB393250:AXQ393251 BGX393250:BHM393251 BQT393250:BRI393251 CAP393250:CBE393251 CKL393250:CLA393251 CUH393250:CUW393251 DED393250:DES393251 DNZ393250:DOO393251 DXV393250:DYK393251 EHR393250:EIG393251 ERN393250:ESC393251 FBJ393250:FBY393251 FLF393250:FLU393251 FVB393250:FVQ393251 GEX393250:GFM393251 GOT393250:GPI393251 GYP393250:GZE393251 HIL393250:HJA393251 HSH393250:HSW393251 ICD393250:ICS393251 ILZ393250:IMO393251 IVV393250:IWK393251 JFR393250:JGG393251 JPN393250:JQC393251 JZJ393250:JZY393251 KJF393250:KJU393251 KTB393250:KTQ393251 LCX393250:LDM393251 LMT393250:LNI393251 LWP393250:LXE393251 MGL393250:MHA393251 MQH393250:MQW393251 NAD393250:NAS393251 NJZ393250:NKO393251 NTV393250:NUK393251 ODR393250:OEG393251 ONN393250:OOC393251 OXJ393250:OXY393251 PHF393250:PHU393251 PRB393250:PRQ393251 QAX393250:QBM393251 QKT393250:QLI393251 QUP393250:QVE393251 REL393250:RFA393251 ROH393250:ROW393251 RYD393250:RYS393251 SHZ393250:SIO393251 SRV393250:SSK393251 TBR393250:TCG393251 TLN393250:TMC393251 TVJ393250:TVY393251 UFF393250:UFU393251 UPB393250:UPQ393251 UYX393250:UZM393251 VIT393250:VJI393251 VSP393250:VTE393251 WCL393250:WDA393251 WMH393250:WMW393251 WWD393250:WWS393251 V458786:AK458787 JR458786:KG458787 TN458786:UC458787 ADJ458786:ADY458787 ANF458786:ANU458787 AXB458786:AXQ458787 BGX458786:BHM458787 BQT458786:BRI458787 CAP458786:CBE458787 CKL458786:CLA458787 CUH458786:CUW458787 DED458786:DES458787 DNZ458786:DOO458787 DXV458786:DYK458787 EHR458786:EIG458787 ERN458786:ESC458787 FBJ458786:FBY458787 FLF458786:FLU458787 FVB458786:FVQ458787 GEX458786:GFM458787 GOT458786:GPI458787 GYP458786:GZE458787 HIL458786:HJA458787 HSH458786:HSW458787 ICD458786:ICS458787 ILZ458786:IMO458787 IVV458786:IWK458787 JFR458786:JGG458787 JPN458786:JQC458787 JZJ458786:JZY458787 KJF458786:KJU458787 KTB458786:KTQ458787 LCX458786:LDM458787 LMT458786:LNI458787 LWP458786:LXE458787 MGL458786:MHA458787 MQH458786:MQW458787 NAD458786:NAS458787 NJZ458786:NKO458787 NTV458786:NUK458787 ODR458786:OEG458787 ONN458786:OOC458787 OXJ458786:OXY458787 PHF458786:PHU458787 PRB458786:PRQ458787 QAX458786:QBM458787 QKT458786:QLI458787 QUP458786:QVE458787 REL458786:RFA458787 ROH458786:ROW458787 RYD458786:RYS458787 SHZ458786:SIO458787 SRV458786:SSK458787 TBR458786:TCG458787 TLN458786:TMC458787 TVJ458786:TVY458787 UFF458786:UFU458787 UPB458786:UPQ458787 UYX458786:UZM458787 VIT458786:VJI458787 VSP458786:VTE458787 WCL458786:WDA458787 WMH458786:WMW458787 WWD458786:WWS458787 V524322:AK524323 JR524322:KG524323 TN524322:UC524323 ADJ524322:ADY524323 ANF524322:ANU524323 AXB524322:AXQ524323 BGX524322:BHM524323 BQT524322:BRI524323 CAP524322:CBE524323 CKL524322:CLA524323 CUH524322:CUW524323 DED524322:DES524323 DNZ524322:DOO524323 DXV524322:DYK524323 EHR524322:EIG524323 ERN524322:ESC524323 FBJ524322:FBY524323 FLF524322:FLU524323 FVB524322:FVQ524323 GEX524322:GFM524323 GOT524322:GPI524323 GYP524322:GZE524323 HIL524322:HJA524323 HSH524322:HSW524323 ICD524322:ICS524323 ILZ524322:IMO524323 IVV524322:IWK524323 JFR524322:JGG524323 JPN524322:JQC524323 JZJ524322:JZY524323 KJF524322:KJU524323 KTB524322:KTQ524323 LCX524322:LDM524323 LMT524322:LNI524323 LWP524322:LXE524323 MGL524322:MHA524323 MQH524322:MQW524323 NAD524322:NAS524323 NJZ524322:NKO524323 NTV524322:NUK524323 ODR524322:OEG524323 ONN524322:OOC524323 OXJ524322:OXY524323 PHF524322:PHU524323 PRB524322:PRQ524323 QAX524322:QBM524323 QKT524322:QLI524323 QUP524322:QVE524323 REL524322:RFA524323 ROH524322:ROW524323 RYD524322:RYS524323 SHZ524322:SIO524323 SRV524322:SSK524323 TBR524322:TCG524323 TLN524322:TMC524323 TVJ524322:TVY524323 UFF524322:UFU524323 UPB524322:UPQ524323 UYX524322:UZM524323 VIT524322:VJI524323 VSP524322:VTE524323 WCL524322:WDA524323 WMH524322:WMW524323 WWD524322:WWS524323 V589858:AK589859 JR589858:KG589859 TN589858:UC589859 ADJ589858:ADY589859 ANF589858:ANU589859 AXB589858:AXQ589859 BGX589858:BHM589859 BQT589858:BRI589859 CAP589858:CBE589859 CKL589858:CLA589859 CUH589858:CUW589859 DED589858:DES589859 DNZ589858:DOO589859 DXV589858:DYK589859 EHR589858:EIG589859 ERN589858:ESC589859 FBJ589858:FBY589859 FLF589858:FLU589859 FVB589858:FVQ589859 GEX589858:GFM589859 GOT589858:GPI589859 GYP589858:GZE589859 HIL589858:HJA589859 HSH589858:HSW589859 ICD589858:ICS589859 ILZ589858:IMO589859 IVV589858:IWK589859 JFR589858:JGG589859 JPN589858:JQC589859 JZJ589858:JZY589859 KJF589858:KJU589859 KTB589858:KTQ589859 LCX589858:LDM589859 LMT589858:LNI589859 LWP589858:LXE589859 MGL589858:MHA589859 MQH589858:MQW589859 NAD589858:NAS589859 NJZ589858:NKO589859 NTV589858:NUK589859 ODR589858:OEG589859 ONN589858:OOC589859 OXJ589858:OXY589859 PHF589858:PHU589859 PRB589858:PRQ589859 QAX589858:QBM589859 QKT589858:QLI589859 QUP589858:QVE589859 REL589858:RFA589859 ROH589858:ROW589859 RYD589858:RYS589859 SHZ589858:SIO589859 SRV589858:SSK589859 TBR589858:TCG589859 TLN589858:TMC589859 TVJ589858:TVY589859 UFF589858:UFU589859 UPB589858:UPQ589859 UYX589858:UZM589859 VIT589858:VJI589859 VSP589858:VTE589859 WCL589858:WDA589859 WMH589858:WMW589859 WWD589858:WWS589859 V655394:AK655395 JR655394:KG655395 TN655394:UC655395 ADJ655394:ADY655395 ANF655394:ANU655395 AXB655394:AXQ655395 BGX655394:BHM655395 BQT655394:BRI655395 CAP655394:CBE655395 CKL655394:CLA655395 CUH655394:CUW655395 DED655394:DES655395 DNZ655394:DOO655395 DXV655394:DYK655395 EHR655394:EIG655395 ERN655394:ESC655395 FBJ655394:FBY655395 FLF655394:FLU655395 FVB655394:FVQ655395 GEX655394:GFM655395 GOT655394:GPI655395 GYP655394:GZE655395 HIL655394:HJA655395 HSH655394:HSW655395 ICD655394:ICS655395 ILZ655394:IMO655395 IVV655394:IWK655395 JFR655394:JGG655395 JPN655394:JQC655395 JZJ655394:JZY655395 KJF655394:KJU655395 KTB655394:KTQ655395 LCX655394:LDM655395 LMT655394:LNI655395 LWP655394:LXE655395 MGL655394:MHA655395 MQH655394:MQW655395 NAD655394:NAS655395 NJZ655394:NKO655395 NTV655394:NUK655395 ODR655394:OEG655395 ONN655394:OOC655395 OXJ655394:OXY655395 PHF655394:PHU655395 PRB655394:PRQ655395 QAX655394:QBM655395 QKT655394:QLI655395 QUP655394:QVE655395 REL655394:RFA655395 ROH655394:ROW655395 RYD655394:RYS655395 SHZ655394:SIO655395 SRV655394:SSK655395 TBR655394:TCG655395 TLN655394:TMC655395 TVJ655394:TVY655395 UFF655394:UFU655395 UPB655394:UPQ655395 UYX655394:UZM655395 VIT655394:VJI655395 VSP655394:VTE655395 WCL655394:WDA655395 WMH655394:WMW655395 WWD655394:WWS655395 V720930:AK720931 JR720930:KG720931 TN720930:UC720931 ADJ720930:ADY720931 ANF720930:ANU720931 AXB720930:AXQ720931 BGX720930:BHM720931 BQT720930:BRI720931 CAP720930:CBE720931 CKL720930:CLA720931 CUH720930:CUW720931 DED720930:DES720931 DNZ720930:DOO720931 DXV720930:DYK720931 EHR720930:EIG720931 ERN720930:ESC720931 FBJ720930:FBY720931 FLF720930:FLU720931 FVB720930:FVQ720931 GEX720930:GFM720931 GOT720930:GPI720931 GYP720930:GZE720931 HIL720930:HJA720931 HSH720930:HSW720931 ICD720930:ICS720931 ILZ720930:IMO720931 IVV720930:IWK720931 JFR720930:JGG720931 JPN720930:JQC720931 JZJ720930:JZY720931 KJF720930:KJU720931 KTB720930:KTQ720931 LCX720930:LDM720931 LMT720930:LNI720931 LWP720930:LXE720931 MGL720930:MHA720931 MQH720930:MQW720931 NAD720930:NAS720931 NJZ720930:NKO720931 NTV720930:NUK720931 ODR720930:OEG720931 ONN720930:OOC720931 OXJ720930:OXY720931 PHF720930:PHU720931 PRB720930:PRQ720931 QAX720930:QBM720931 QKT720930:QLI720931 QUP720930:QVE720931 REL720930:RFA720931 ROH720930:ROW720931 RYD720930:RYS720931 SHZ720930:SIO720931 SRV720930:SSK720931 TBR720930:TCG720931 TLN720930:TMC720931 TVJ720930:TVY720931 UFF720930:UFU720931 UPB720930:UPQ720931 UYX720930:UZM720931 VIT720930:VJI720931 VSP720930:VTE720931 WCL720930:WDA720931 WMH720930:WMW720931 WWD720930:WWS720931 V786466:AK786467 JR786466:KG786467 TN786466:UC786467 ADJ786466:ADY786467 ANF786466:ANU786467 AXB786466:AXQ786467 BGX786466:BHM786467 BQT786466:BRI786467 CAP786466:CBE786467 CKL786466:CLA786467 CUH786466:CUW786467 DED786466:DES786467 DNZ786466:DOO786467 DXV786466:DYK786467 EHR786466:EIG786467 ERN786466:ESC786467 FBJ786466:FBY786467 FLF786466:FLU786467 FVB786466:FVQ786467 GEX786466:GFM786467 GOT786466:GPI786467 GYP786466:GZE786467 HIL786466:HJA786467 HSH786466:HSW786467 ICD786466:ICS786467 ILZ786466:IMO786467 IVV786466:IWK786467 JFR786466:JGG786467 JPN786466:JQC786467 JZJ786466:JZY786467 KJF786466:KJU786467 KTB786466:KTQ786467 LCX786466:LDM786467 LMT786466:LNI786467 LWP786466:LXE786467 MGL786466:MHA786467 MQH786466:MQW786467 NAD786466:NAS786467 NJZ786466:NKO786467 NTV786466:NUK786467 ODR786466:OEG786467 ONN786466:OOC786467 OXJ786466:OXY786467 PHF786466:PHU786467 PRB786466:PRQ786467 QAX786466:QBM786467 QKT786466:QLI786467 QUP786466:QVE786467 REL786466:RFA786467 ROH786466:ROW786467 RYD786466:RYS786467 SHZ786466:SIO786467 SRV786466:SSK786467 TBR786466:TCG786467 TLN786466:TMC786467 TVJ786466:TVY786467 UFF786466:UFU786467 UPB786466:UPQ786467 UYX786466:UZM786467 VIT786466:VJI786467 VSP786466:VTE786467 WCL786466:WDA786467 WMH786466:WMW786467 WWD786466:WWS786467 V852002:AK852003 JR852002:KG852003 TN852002:UC852003 ADJ852002:ADY852003 ANF852002:ANU852003 AXB852002:AXQ852003 BGX852002:BHM852003 BQT852002:BRI852003 CAP852002:CBE852003 CKL852002:CLA852003 CUH852002:CUW852003 DED852002:DES852003 DNZ852002:DOO852003 DXV852002:DYK852003 EHR852002:EIG852003 ERN852002:ESC852003 FBJ852002:FBY852003 FLF852002:FLU852003 FVB852002:FVQ852003 GEX852002:GFM852003 GOT852002:GPI852003 GYP852002:GZE852003 HIL852002:HJA852003 HSH852002:HSW852003 ICD852002:ICS852003 ILZ852002:IMO852003 IVV852002:IWK852003 JFR852002:JGG852003 JPN852002:JQC852003 JZJ852002:JZY852003 KJF852002:KJU852003 KTB852002:KTQ852003 LCX852002:LDM852003 LMT852002:LNI852003 LWP852002:LXE852003 MGL852002:MHA852003 MQH852002:MQW852003 NAD852002:NAS852003 NJZ852002:NKO852003 NTV852002:NUK852003 ODR852002:OEG852003 ONN852002:OOC852003 OXJ852002:OXY852003 PHF852002:PHU852003 PRB852002:PRQ852003 QAX852002:QBM852003 QKT852002:QLI852003 QUP852002:QVE852003 REL852002:RFA852003 ROH852002:ROW852003 RYD852002:RYS852003 SHZ852002:SIO852003 SRV852002:SSK852003 TBR852002:TCG852003 TLN852002:TMC852003 TVJ852002:TVY852003 UFF852002:UFU852003 UPB852002:UPQ852003 UYX852002:UZM852003 VIT852002:VJI852003 VSP852002:VTE852003 WCL852002:WDA852003 WMH852002:WMW852003 WWD852002:WWS852003 V917538:AK917539 JR917538:KG917539 TN917538:UC917539 ADJ917538:ADY917539 ANF917538:ANU917539 AXB917538:AXQ917539 BGX917538:BHM917539 BQT917538:BRI917539 CAP917538:CBE917539 CKL917538:CLA917539 CUH917538:CUW917539 DED917538:DES917539 DNZ917538:DOO917539 DXV917538:DYK917539 EHR917538:EIG917539 ERN917538:ESC917539 FBJ917538:FBY917539 FLF917538:FLU917539 FVB917538:FVQ917539 GEX917538:GFM917539 GOT917538:GPI917539 GYP917538:GZE917539 HIL917538:HJA917539 HSH917538:HSW917539 ICD917538:ICS917539 ILZ917538:IMO917539 IVV917538:IWK917539 JFR917538:JGG917539 JPN917538:JQC917539 JZJ917538:JZY917539 KJF917538:KJU917539 KTB917538:KTQ917539 LCX917538:LDM917539 LMT917538:LNI917539 LWP917538:LXE917539 MGL917538:MHA917539 MQH917538:MQW917539 NAD917538:NAS917539 NJZ917538:NKO917539 NTV917538:NUK917539 ODR917538:OEG917539 ONN917538:OOC917539 OXJ917538:OXY917539 PHF917538:PHU917539 PRB917538:PRQ917539 QAX917538:QBM917539 QKT917538:QLI917539 QUP917538:QVE917539 REL917538:RFA917539 ROH917538:ROW917539 RYD917538:RYS917539 SHZ917538:SIO917539 SRV917538:SSK917539 TBR917538:TCG917539 TLN917538:TMC917539 TVJ917538:TVY917539 UFF917538:UFU917539 UPB917538:UPQ917539 UYX917538:UZM917539 VIT917538:VJI917539 VSP917538:VTE917539 WCL917538:WDA917539 WMH917538:WMW917539 WWD917538:WWS917539 V983074:AK983075 JR983074:KG983075 TN983074:UC983075 ADJ983074:ADY983075 ANF983074:ANU983075 AXB983074:AXQ983075 BGX983074:BHM983075 BQT983074:BRI983075 CAP983074:CBE983075 CKL983074:CLA983075 CUH983074:CUW983075 DED983074:DES983075 DNZ983074:DOO983075 DXV983074:DYK983075 EHR983074:EIG983075 ERN983074:ESC983075 FBJ983074:FBY983075 FLF983074:FLU983075 FVB983074:FVQ983075 GEX983074:GFM983075 GOT983074:GPI983075 GYP983074:GZE983075 HIL983074:HJA983075 HSH983074:HSW983075 ICD983074:ICS983075 ILZ983074:IMO983075 IVV983074:IWK983075 JFR983074:JGG983075 JPN983074:JQC983075 JZJ983074:JZY983075 KJF983074:KJU983075 KTB983074:KTQ983075 LCX983074:LDM983075 LMT983074:LNI983075 LWP983074:LXE983075 MGL983074:MHA983075 MQH983074:MQW983075 NAD983074:NAS983075 NJZ983074:NKO983075 NTV983074:NUK983075 ODR983074:OEG983075 ONN983074:OOC983075 OXJ983074:OXY983075 PHF983074:PHU983075 PRB983074:PRQ983075 QAX983074:QBM983075 QKT983074:QLI983075 QUP983074:QVE983075 REL983074:RFA983075 ROH983074:ROW983075 RYD983074:RYS983075 SHZ983074:SIO983075 SRV983074:SSK983075 TBR983074:TCG983075 TLN983074:TMC983075 TVJ983074:TVY983075 UFF983074:UFU983075 UPB983074:UPQ983075 UYX983074:UZM983075 VIT983074:VJI983075 VSP983074:VTE983075 WCL983074:WDA983075 WMH983074:WMW983075 WWD983074:WWS983075" xr:uid="{00000000-0002-0000-0000-000001000000}">
      <formula1>$AW$34:$AW$36</formula1>
    </dataValidation>
    <dataValidation type="list" allowBlank="1" showInputMessage="1" showErrorMessage="1" sqref="U36:AJ37 JQ36:KF37 TM36:UB37 ADI36:ADX37 ANE36:ANT37 AXA36:AXP37 BGW36:BHL37 BQS36:BRH37 CAO36:CBD37 CKK36:CKZ37 CUG36:CUV37 DEC36:DER37 DNY36:DON37 DXU36:DYJ37 EHQ36:EIF37 ERM36:ESB37 FBI36:FBX37 FLE36:FLT37 FVA36:FVP37 GEW36:GFL37 GOS36:GPH37 GYO36:GZD37 HIK36:HIZ37 HSG36:HSV37 ICC36:ICR37 ILY36:IMN37 IVU36:IWJ37 JFQ36:JGF37 JPM36:JQB37 JZI36:JZX37 KJE36:KJT37 KTA36:KTP37 LCW36:LDL37 LMS36:LNH37 LWO36:LXD37 MGK36:MGZ37 MQG36:MQV37 NAC36:NAR37 NJY36:NKN37 NTU36:NUJ37 ODQ36:OEF37 ONM36:OOB37 OXI36:OXX37 PHE36:PHT37 PRA36:PRP37 QAW36:QBL37 QKS36:QLH37 QUO36:QVD37 REK36:REZ37 ROG36:ROV37 RYC36:RYR37 SHY36:SIN37 SRU36:SSJ37 TBQ36:TCF37 TLM36:TMB37 TVI36:TVX37 UFE36:UFT37 UPA36:UPP37 UYW36:UZL37 VIS36:VJH37 VSO36:VTD37 WCK36:WCZ37 WMG36:WMV37 WWC36:WWR37 V65572:AK65573 JR65572:KG65573 TN65572:UC65573 ADJ65572:ADY65573 ANF65572:ANU65573 AXB65572:AXQ65573 BGX65572:BHM65573 BQT65572:BRI65573 CAP65572:CBE65573 CKL65572:CLA65573 CUH65572:CUW65573 DED65572:DES65573 DNZ65572:DOO65573 DXV65572:DYK65573 EHR65572:EIG65573 ERN65572:ESC65573 FBJ65572:FBY65573 FLF65572:FLU65573 FVB65572:FVQ65573 GEX65572:GFM65573 GOT65572:GPI65573 GYP65572:GZE65573 HIL65572:HJA65573 HSH65572:HSW65573 ICD65572:ICS65573 ILZ65572:IMO65573 IVV65572:IWK65573 JFR65572:JGG65573 JPN65572:JQC65573 JZJ65572:JZY65573 KJF65572:KJU65573 KTB65572:KTQ65573 LCX65572:LDM65573 LMT65572:LNI65573 LWP65572:LXE65573 MGL65572:MHA65573 MQH65572:MQW65573 NAD65572:NAS65573 NJZ65572:NKO65573 NTV65572:NUK65573 ODR65572:OEG65573 ONN65572:OOC65573 OXJ65572:OXY65573 PHF65572:PHU65573 PRB65572:PRQ65573 QAX65572:QBM65573 QKT65572:QLI65573 QUP65572:QVE65573 REL65572:RFA65573 ROH65572:ROW65573 RYD65572:RYS65573 SHZ65572:SIO65573 SRV65572:SSK65573 TBR65572:TCG65573 TLN65572:TMC65573 TVJ65572:TVY65573 UFF65572:UFU65573 UPB65572:UPQ65573 UYX65572:UZM65573 VIT65572:VJI65573 VSP65572:VTE65573 WCL65572:WDA65573 WMH65572:WMW65573 WWD65572:WWS65573 V131108:AK131109 JR131108:KG131109 TN131108:UC131109 ADJ131108:ADY131109 ANF131108:ANU131109 AXB131108:AXQ131109 BGX131108:BHM131109 BQT131108:BRI131109 CAP131108:CBE131109 CKL131108:CLA131109 CUH131108:CUW131109 DED131108:DES131109 DNZ131108:DOO131109 DXV131108:DYK131109 EHR131108:EIG131109 ERN131108:ESC131109 FBJ131108:FBY131109 FLF131108:FLU131109 FVB131108:FVQ131109 GEX131108:GFM131109 GOT131108:GPI131109 GYP131108:GZE131109 HIL131108:HJA131109 HSH131108:HSW131109 ICD131108:ICS131109 ILZ131108:IMO131109 IVV131108:IWK131109 JFR131108:JGG131109 JPN131108:JQC131109 JZJ131108:JZY131109 KJF131108:KJU131109 KTB131108:KTQ131109 LCX131108:LDM131109 LMT131108:LNI131109 LWP131108:LXE131109 MGL131108:MHA131109 MQH131108:MQW131109 NAD131108:NAS131109 NJZ131108:NKO131109 NTV131108:NUK131109 ODR131108:OEG131109 ONN131108:OOC131109 OXJ131108:OXY131109 PHF131108:PHU131109 PRB131108:PRQ131109 QAX131108:QBM131109 QKT131108:QLI131109 QUP131108:QVE131109 REL131108:RFA131109 ROH131108:ROW131109 RYD131108:RYS131109 SHZ131108:SIO131109 SRV131108:SSK131109 TBR131108:TCG131109 TLN131108:TMC131109 TVJ131108:TVY131109 UFF131108:UFU131109 UPB131108:UPQ131109 UYX131108:UZM131109 VIT131108:VJI131109 VSP131108:VTE131109 WCL131108:WDA131109 WMH131108:WMW131109 WWD131108:WWS131109 V196644:AK196645 JR196644:KG196645 TN196644:UC196645 ADJ196644:ADY196645 ANF196644:ANU196645 AXB196644:AXQ196645 BGX196644:BHM196645 BQT196644:BRI196645 CAP196644:CBE196645 CKL196644:CLA196645 CUH196644:CUW196645 DED196644:DES196645 DNZ196644:DOO196645 DXV196644:DYK196645 EHR196644:EIG196645 ERN196644:ESC196645 FBJ196644:FBY196645 FLF196644:FLU196645 FVB196644:FVQ196645 GEX196644:GFM196645 GOT196644:GPI196645 GYP196644:GZE196645 HIL196644:HJA196645 HSH196644:HSW196645 ICD196644:ICS196645 ILZ196644:IMO196645 IVV196644:IWK196645 JFR196644:JGG196645 JPN196644:JQC196645 JZJ196644:JZY196645 KJF196644:KJU196645 KTB196644:KTQ196645 LCX196644:LDM196645 LMT196644:LNI196645 LWP196644:LXE196645 MGL196644:MHA196645 MQH196644:MQW196645 NAD196644:NAS196645 NJZ196644:NKO196645 NTV196644:NUK196645 ODR196644:OEG196645 ONN196644:OOC196645 OXJ196644:OXY196645 PHF196644:PHU196645 PRB196644:PRQ196645 QAX196644:QBM196645 QKT196644:QLI196645 QUP196644:QVE196645 REL196644:RFA196645 ROH196644:ROW196645 RYD196644:RYS196645 SHZ196644:SIO196645 SRV196644:SSK196645 TBR196644:TCG196645 TLN196644:TMC196645 TVJ196644:TVY196645 UFF196644:UFU196645 UPB196644:UPQ196645 UYX196644:UZM196645 VIT196644:VJI196645 VSP196644:VTE196645 WCL196644:WDA196645 WMH196644:WMW196645 WWD196644:WWS196645 V262180:AK262181 JR262180:KG262181 TN262180:UC262181 ADJ262180:ADY262181 ANF262180:ANU262181 AXB262180:AXQ262181 BGX262180:BHM262181 BQT262180:BRI262181 CAP262180:CBE262181 CKL262180:CLA262181 CUH262180:CUW262181 DED262180:DES262181 DNZ262180:DOO262181 DXV262180:DYK262181 EHR262180:EIG262181 ERN262180:ESC262181 FBJ262180:FBY262181 FLF262180:FLU262181 FVB262180:FVQ262181 GEX262180:GFM262181 GOT262180:GPI262181 GYP262180:GZE262181 HIL262180:HJA262181 HSH262180:HSW262181 ICD262180:ICS262181 ILZ262180:IMO262181 IVV262180:IWK262181 JFR262180:JGG262181 JPN262180:JQC262181 JZJ262180:JZY262181 KJF262180:KJU262181 KTB262180:KTQ262181 LCX262180:LDM262181 LMT262180:LNI262181 LWP262180:LXE262181 MGL262180:MHA262181 MQH262180:MQW262181 NAD262180:NAS262181 NJZ262180:NKO262181 NTV262180:NUK262181 ODR262180:OEG262181 ONN262180:OOC262181 OXJ262180:OXY262181 PHF262180:PHU262181 PRB262180:PRQ262181 QAX262180:QBM262181 QKT262180:QLI262181 QUP262180:QVE262181 REL262180:RFA262181 ROH262180:ROW262181 RYD262180:RYS262181 SHZ262180:SIO262181 SRV262180:SSK262181 TBR262180:TCG262181 TLN262180:TMC262181 TVJ262180:TVY262181 UFF262180:UFU262181 UPB262180:UPQ262181 UYX262180:UZM262181 VIT262180:VJI262181 VSP262180:VTE262181 WCL262180:WDA262181 WMH262180:WMW262181 WWD262180:WWS262181 V327716:AK327717 JR327716:KG327717 TN327716:UC327717 ADJ327716:ADY327717 ANF327716:ANU327717 AXB327716:AXQ327717 BGX327716:BHM327717 BQT327716:BRI327717 CAP327716:CBE327717 CKL327716:CLA327717 CUH327716:CUW327717 DED327716:DES327717 DNZ327716:DOO327717 DXV327716:DYK327717 EHR327716:EIG327717 ERN327716:ESC327717 FBJ327716:FBY327717 FLF327716:FLU327717 FVB327716:FVQ327717 GEX327716:GFM327717 GOT327716:GPI327717 GYP327716:GZE327717 HIL327716:HJA327717 HSH327716:HSW327717 ICD327716:ICS327717 ILZ327716:IMO327717 IVV327716:IWK327717 JFR327716:JGG327717 JPN327716:JQC327717 JZJ327716:JZY327717 KJF327716:KJU327717 KTB327716:KTQ327717 LCX327716:LDM327717 LMT327716:LNI327717 LWP327716:LXE327717 MGL327716:MHA327717 MQH327716:MQW327717 NAD327716:NAS327717 NJZ327716:NKO327717 NTV327716:NUK327717 ODR327716:OEG327717 ONN327716:OOC327717 OXJ327716:OXY327717 PHF327716:PHU327717 PRB327716:PRQ327717 QAX327716:QBM327717 QKT327716:QLI327717 QUP327716:QVE327717 REL327716:RFA327717 ROH327716:ROW327717 RYD327716:RYS327717 SHZ327716:SIO327717 SRV327716:SSK327717 TBR327716:TCG327717 TLN327716:TMC327717 TVJ327716:TVY327717 UFF327716:UFU327717 UPB327716:UPQ327717 UYX327716:UZM327717 VIT327716:VJI327717 VSP327716:VTE327717 WCL327716:WDA327717 WMH327716:WMW327717 WWD327716:WWS327717 V393252:AK393253 JR393252:KG393253 TN393252:UC393253 ADJ393252:ADY393253 ANF393252:ANU393253 AXB393252:AXQ393253 BGX393252:BHM393253 BQT393252:BRI393253 CAP393252:CBE393253 CKL393252:CLA393253 CUH393252:CUW393253 DED393252:DES393253 DNZ393252:DOO393253 DXV393252:DYK393253 EHR393252:EIG393253 ERN393252:ESC393253 FBJ393252:FBY393253 FLF393252:FLU393253 FVB393252:FVQ393253 GEX393252:GFM393253 GOT393252:GPI393253 GYP393252:GZE393253 HIL393252:HJA393253 HSH393252:HSW393253 ICD393252:ICS393253 ILZ393252:IMO393253 IVV393252:IWK393253 JFR393252:JGG393253 JPN393252:JQC393253 JZJ393252:JZY393253 KJF393252:KJU393253 KTB393252:KTQ393253 LCX393252:LDM393253 LMT393252:LNI393253 LWP393252:LXE393253 MGL393252:MHA393253 MQH393252:MQW393253 NAD393252:NAS393253 NJZ393252:NKO393253 NTV393252:NUK393253 ODR393252:OEG393253 ONN393252:OOC393253 OXJ393252:OXY393253 PHF393252:PHU393253 PRB393252:PRQ393253 QAX393252:QBM393253 QKT393252:QLI393253 QUP393252:QVE393253 REL393252:RFA393253 ROH393252:ROW393253 RYD393252:RYS393253 SHZ393252:SIO393253 SRV393252:SSK393253 TBR393252:TCG393253 TLN393252:TMC393253 TVJ393252:TVY393253 UFF393252:UFU393253 UPB393252:UPQ393253 UYX393252:UZM393253 VIT393252:VJI393253 VSP393252:VTE393253 WCL393252:WDA393253 WMH393252:WMW393253 WWD393252:WWS393253 V458788:AK458789 JR458788:KG458789 TN458788:UC458789 ADJ458788:ADY458789 ANF458788:ANU458789 AXB458788:AXQ458789 BGX458788:BHM458789 BQT458788:BRI458789 CAP458788:CBE458789 CKL458788:CLA458789 CUH458788:CUW458789 DED458788:DES458789 DNZ458788:DOO458789 DXV458788:DYK458789 EHR458788:EIG458789 ERN458788:ESC458789 FBJ458788:FBY458789 FLF458788:FLU458789 FVB458788:FVQ458789 GEX458788:GFM458789 GOT458788:GPI458789 GYP458788:GZE458789 HIL458788:HJA458789 HSH458788:HSW458789 ICD458788:ICS458789 ILZ458788:IMO458789 IVV458788:IWK458789 JFR458788:JGG458789 JPN458788:JQC458789 JZJ458788:JZY458789 KJF458788:KJU458789 KTB458788:KTQ458789 LCX458788:LDM458789 LMT458788:LNI458789 LWP458788:LXE458789 MGL458788:MHA458789 MQH458788:MQW458789 NAD458788:NAS458789 NJZ458788:NKO458789 NTV458788:NUK458789 ODR458788:OEG458789 ONN458788:OOC458789 OXJ458788:OXY458789 PHF458788:PHU458789 PRB458788:PRQ458789 QAX458788:QBM458789 QKT458788:QLI458789 QUP458788:QVE458789 REL458788:RFA458789 ROH458788:ROW458789 RYD458788:RYS458789 SHZ458788:SIO458789 SRV458788:SSK458789 TBR458788:TCG458789 TLN458788:TMC458789 TVJ458788:TVY458789 UFF458788:UFU458789 UPB458788:UPQ458789 UYX458788:UZM458789 VIT458788:VJI458789 VSP458788:VTE458789 WCL458788:WDA458789 WMH458788:WMW458789 WWD458788:WWS458789 V524324:AK524325 JR524324:KG524325 TN524324:UC524325 ADJ524324:ADY524325 ANF524324:ANU524325 AXB524324:AXQ524325 BGX524324:BHM524325 BQT524324:BRI524325 CAP524324:CBE524325 CKL524324:CLA524325 CUH524324:CUW524325 DED524324:DES524325 DNZ524324:DOO524325 DXV524324:DYK524325 EHR524324:EIG524325 ERN524324:ESC524325 FBJ524324:FBY524325 FLF524324:FLU524325 FVB524324:FVQ524325 GEX524324:GFM524325 GOT524324:GPI524325 GYP524324:GZE524325 HIL524324:HJA524325 HSH524324:HSW524325 ICD524324:ICS524325 ILZ524324:IMO524325 IVV524324:IWK524325 JFR524324:JGG524325 JPN524324:JQC524325 JZJ524324:JZY524325 KJF524324:KJU524325 KTB524324:KTQ524325 LCX524324:LDM524325 LMT524324:LNI524325 LWP524324:LXE524325 MGL524324:MHA524325 MQH524324:MQW524325 NAD524324:NAS524325 NJZ524324:NKO524325 NTV524324:NUK524325 ODR524324:OEG524325 ONN524324:OOC524325 OXJ524324:OXY524325 PHF524324:PHU524325 PRB524324:PRQ524325 QAX524324:QBM524325 QKT524324:QLI524325 QUP524324:QVE524325 REL524324:RFA524325 ROH524324:ROW524325 RYD524324:RYS524325 SHZ524324:SIO524325 SRV524324:SSK524325 TBR524324:TCG524325 TLN524324:TMC524325 TVJ524324:TVY524325 UFF524324:UFU524325 UPB524324:UPQ524325 UYX524324:UZM524325 VIT524324:VJI524325 VSP524324:VTE524325 WCL524324:WDA524325 WMH524324:WMW524325 WWD524324:WWS524325 V589860:AK589861 JR589860:KG589861 TN589860:UC589861 ADJ589860:ADY589861 ANF589860:ANU589861 AXB589860:AXQ589861 BGX589860:BHM589861 BQT589860:BRI589861 CAP589860:CBE589861 CKL589860:CLA589861 CUH589860:CUW589861 DED589860:DES589861 DNZ589860:DOO589861 DXV589860:DYK589861 EHR589860:EIG589861 ERN589860:ESC589861 FBJ589860:FBY589861 FLF589860:FLU589861 FVB589860:FVQ589861 GEX589860:GFM589861 GOT589860:GPI589861 GYP589860:GZE589861 HIL589860:HJA589861 HSH589860:HSW589861 ICD589860:ICS589861 ILZ589860:IMO589861 IVV589860:IWK589861 JFR589860:JGG589861 JPN589860:JQC589861 JZJ589860:JZY589861 KJF589860:KJU589861 KTB589860:KTQ589861 LCX589860:LDM589861 LMT589860:LNI589861 LWP589860:LXE589861 MGL589860:MHA589861 MQH589860:MQW589861 NAD589860:NAS589861 NJZ589860:NKO589861 NTV589860:NUK589861 ODR589860:OEG589861 ONN589860:OOC589861 OXJ589860:OXY589861 PHF589860:PHU589861 PRB589860:PRQ589861 QAX589860:QBM589861 QKT589860:QLI589861 QUP589860:QVE589861 REL589860:RFA589861 ROH589860:ROW589861 RYD589860:RYS589861 SHZ589860:SIO589861 SRV589860:SSK589861 TBR589860:TCG589861 TLN589860:TMC589861 TVJ589860:TVY589861 UFF589860:UFU589861 UPB589860:UPQ589861 UYX589860:UZM589861 VIT589860:VJI589861 VSP589860:VTE589861 WCL589860:WDA589861 WMH589860:WMW589861 WWD589860:WWS589861 V655396:AK655397 JR655396:KG655397 TN655396:UC655397 ADJ655396:ADY655397 ANF655396:ANU655397 AXB655396:AXQ655397 BGX655396:BHM655397 BQT655396:BRI655397 CAP655396:CBE655397 CKL655396:CLA655397 CUH655396:CUW655397 DED655396:DES655397 DNZ655396:DOO655397 DXV655396:DYK655397 EHR655396:EIG655397 ERN655396:ESC655397 FBJ655396:FBY655397 FLF655396:FLU655397 FVB655396:FVQ655397 GEX655396:GFM655397 GOT655396:GPI655397 GYP655396:GZE655397 HIL655396:HJA655397 HSH655396:HSW655397 ICD655396:ICS655397 ILZ655396:IMO655397 IVV655396:IWK655397 JFR655396:JGG655397 JPN655396:JQC655397 JZJ655396:JZY655397 KJF655396:KJU655397 KTB655396:KTQ655397 LCX655396:LDM655397 LMT655396:LNI655397 LWP655396:LXE655397 MGL655396:MHA655397 MQH655396:MQW655397 NAD655396:NAS655397 NJZ655396:NKO655397 NTV655396:NUK655397 ODR655396:OEG655397 ONN655396:OOC655397 OXJ655396:OXY655397 PHF655396:PHU655397 PRB655396:PRQ655397 QAX655396:QBM655397 QKT655396:QLI655397 QUP655396:QVE655397 REL655396:RFA655397 ROH655396:ROW655397 RYD655396:RYS655397 SHZ655396:SIO655397 SRV655396:SSK655397 TBR655396:TCG655397 TLN655396:TMC655397 TVJ655396:TVY655397 UFF655396:UFU655397 UPB655396:UPQ655397 UYX655396:UZM655397 VIT655396:VJI655397 VSP655396:VTE655397 WCL655396:WDA655397 WMH655396:WMW655397 WWD655396:WWS655397 V720932:AK720933 JR720932:KG720933 TN720932:UC720933 ADJ720932:ADY720933 ANF720932:ANU720933 AXB720932:AXQ720933 BGX720932:BHM720933 BQT720932:BRI720933 CAP720932:CBE720933 CKL720932:CLA720933 CUH720932:CUW720933 DED720932:DES720933 DNZ720932:DOO720933 DXV720932:DYK720933 EHR720932:EIG720933 ERN720932:ESC720933 FBJ720932:FBY720933 FLF720932:FLU720933 FVB720932:FVQ720933 GEX720932:GFM720933 GOT720932:GPI720933 GYP720932:GZE720933 HIL720932:HJA720933 HSH720932:HSW720933 ICD720932:ICS720933 ILZ720932:IMO720933 IVV720932:IWK720933 JFR720932:JGG720933 JPN720932:JQC720933 JZJ720932:JZY720933 KJF720932:KJU720933 KTB720932:KTQ720933 LCX720932:LDM720933 LMT720932:LNI720933 LWP720932:LXE720933 MGL720932:MHA720933 MQH720932:MQW720933 NAD720932:NAS720933 NJZ720932:NKO720933 NTV720932:NUK720933 ODR720932:OEG720933 ONN720932:OOC720933 OXJ720932:OXY720933 PHF720932:PHU720933 PRB720932:PRQ720933 QAX720932:QBM720933 QKT720932:QLI720933 QUP720932:QVE720933 REL720932:RFA720933 ROH720932:ROW720933 RYD720932:RYS720933 SHZ720932:SIO720933 SRV720932:SSK720933 TBR720932:TCG720933 TLN720932:TMC720933 TVJ720932:TVY720933 UFF720932:UFU720933 UPB720932:UPQ720933 UYX720932:UZM720933 VIT720932:VJI720933 VSP720932:VTE720933 WCL720932:WDA720933 WMH720932:WMW720933 WWD720932:WWS720933 V786468:AK786469 JR786468:KG786469 TN786468:UC786469 ADJ786468:ADY786469 ANF786468:ANU786469 AXB786468:AXQ786469 BGX786468:BHM786469 BQT786468:BRI786469 CAP786468:CBE786469 CKL786468:CLA786469 CUH786468:CUW786469 DED786468:DES786469 DNZ786468:DOO786469 DXV786468:DYK786469 EHR786468:EIG786469 ERN786468:ESC786469 FBJ786468:FBY786469 FLF786468:FLU786469 FVB786468:FVQ786469 GEX786468:GFM786469 GOT786468:GPI786469 GYP786468:GZE786469 HIL786468:HJA786469 HSH786468:HSW786469 ICD786468:ICS786469 ILZ786468:IMO786469 IVV786468:IWK786469 JFR786468:JGG786469 JPN786468:JQC786469 JZJ786468:JZY786469 KJF786468:KJU786469 KTB786468:KTQ786469 LCX786468:LDM786469 LMT786468:LNI786469 LWP786468:LXE786469 MGL786468:MHA786469 MQH786468:MQW786469 NAD786468:NAS786469 NJZ786468:NKO786469 NTV786468:NUK786469 ODR786468:OEG786469 ONN786468:OOC786469 OXJ786468:OXY786469 PHF786468:PHU786469 PRB786468:PRQ786469 QAX786468:QBM786469 QKT786468:QLI786469 QUP786468:QVE786469 REL786468:RFA786469 ROH786468:ROW786469 RYD786468:RYS786469 SHZ786468:SIO786469 SRV786468:SSK786469 TBR786468:TCG786469 TLN786468:TMC786469 TVJ786468:TVY786469 UFF786468:UFU786469 UPB786468:UPQ786469 UYX786468:UZM786469 VIT786468:VJI786469 VSP786468:VTE786469 WCL786468:WDA786469 WMH786468:WMW786469 WWD786468:WWS786469 V852004:AK852005 JR852004:KG852005 TN852004:UC852005 ADJ852004:ADY852005 ANF852004:ANU852005 AXB852004:AXQ852005 BGX852004:BHM852005 BQT852004:BRI852005 CAP852004:CBE852005 CKL852004:CLA852005 CUH852004:CUW852005 DED852004:DES852005 DNZ852004:DOO852005 DXV852004:DYK852005 EHR852004:EIG852005 ERN852004:ESC852005 FBJ852004:FBY852005 FLF852004:FLU852005 FVB852004:FVQ852005 GEX852004:GFM852005 GOT852004:GPI852005 GYP852004:GZE852005 HIL852004:HJA852005 HSH852004:HSW852005 ICD852004:ICS852005 ILZ852004:IMO852005 IVV852004:IWK852005 JFR852004:JGG852005 JPN852004:JQC852005 JZJ852004:JZY852005 KJF852004:KJU852005 KTB852004:KTQ852005 LCX852004:LDM852005 LMT852004:LNI852005 LWP852004:LXE852005 MGL852004:MHA852005 MQH852004:MQW852005 NAD852004:NAS852005 NJZ852004:NKO852005 NTV852004:NUK852005 ODR852004:OEG852005 ONN852004:OOC852005 OXJ852004:OXY852005 PHF852004:PHU852005 PRB852004:PRQ852005 QAX852004:QBM852005 QKT852004:QLI852005 QUP852004:QVE852005 REL852004:RFA852005 ROH852004:ROW852005 RYD852004:RYS852005 SHZ852004:SIO852005 SRV852004:SSK852005 TBR852004:TCG852005 TLN852004:TMC852005 TVJ852004:TVY852005 UFF852004:UFU852005 UPB852004:UPQ852005 UYX852004:UZM852005 VIT852004:VJI852005 VSP852004:VTE852005 WCL852004:WDA852005 WMH852004:WMW852005 WWD852004:WWS852005 V917540:AK917541 JR917540:KG917541 TN917540:UC917541 ADJ917540:ADY917541 ANF917540:ANU917541 AXB917540:AXQ917541 BGX917540:BHM917541 BQT917540:BRI917541 CAP917540:CBE917541 CKL917540:CLA917541 CUH917540:CUW917541 DED917540:DES917541 DNZ917540:DOO917541 DXV917540:DYK917541 EHR917540:EIG917541 ERN917540:ESC917541 FBJ917540:FBY917541 FLF917540:FLU917541 FVB917540:FVQ917541 GEX917540:GFM917541 GOT917540:GPI917541 GYP917540:GZE917541 HIL917540:HJA917541 HSH917540:HSW917541 ICD917540:ICS917541 ILZ917540:IMO917541 IVV917540:IWK917541 JFR917540:JGG917541 JPN917540:JQC917541 JZJ917540:JZY917541 KJF917540:KJU917541 KTB917540:KTQ917541 LCX917540:LDM917541 LMT917540:LNI917541 LWP917540:LXE917541 MGL917540:MHA917541 MQH917540:MQW917541 NAD917540:NAS917541 NJZ917540:NKO917541 NTV917540:NUK917541 ODR917540:OEG917541 ONN917540:OOC917541 OXJ917540:OXY917541 PHF917540:PHU917541 PRB917540:PRQ917541 QAX917540:QBM917541 QKT917540:QLI917541 QUP917540:QVE917541 REL917540:RFA917541 ROH917540:ROW917541 RYD917540:RYS917541 SHZ917540:SIO917541 SRV917540:SSK917541 TBR917540:TCG917541 TLN917540:TMC917541 TVJ917540:TVY917541 UFF917540:UFU917541 UPB917540:UPQ917541 UYX917540:UZM917541 VIT917540:VJI917541 VSP917540:VTE917541 WCL917540:WDA917541 WMH917540:WMW917541 WWD917540:WWS917541 V983076:AK983077 JR983076:KG983077 TN983076:UC983077 ADJ983076:ADY983077 ANF983076:ANU983077 AXB983076:AXQ983077 BGX983076:BHM983077 BQT983076:BRI983077 CAP983076:CBE983077 CKL983076:CLA983077 CUH983076:CUW983077 DED983076:DES983077 DNZ983076:DOO983077 DXV983076:DYK983077 EHR983076:EIG983077 ERN983076:ESC983077 FBJ983076:FBY983077 FLF983076:FLU983077 FVB983076:FVQ983077 GEX983076:GFM983077 GOT983076:GPI983077 GYP983076:GZE983077 HIL983076:HJA983077 HSH983076:HSW983077 ICD983076:ICS983077 ILZ983076:IMO983077 IVV983076:IWK983077 JFR983076:JGG983077 JPN983076:JQC983077 JZJ983076:JZY983077 KJF983076:KJU983077 KTB983076:KTQ983077 LCX983076:LDM983077 LMT983076:LNI983077 LWP983076:LXE983077 MGL983076:MHA983077 MQH983076:MQW983077 NAD983076:NAS983077 NJZ983076:NKO983077 NTV983076:NUK983077 ODR983076:OEG983077 ONN983076:OOC983077 OXJ983076:OXY983077 PHF983076:PHU983077 PRB983076:PRQ983077 QAX983076:QBM983077 QKT983076:QLI983077 QUP983076:QVE983077 REL983076:RFA983077 ROH983076:ROW983077 RYD983076:RYS983077 SHZ983076:SIO983077 SRV983076:SSK983077 TBR983076:TCG983077 TLN983076:TMC983077 TVJ983076:TVY983077 UFF983076:UFU983077 UPB983076:UPQ983077 UYX983076:UZM983077 VIT983076:VJI983077 VSP983076:VTE983077 WCL983076:WDA983077 WMH983076:WMW983077 WWD983076:WWS983077" xr:uid="{00000000-0002-0000-0000-000002000000}">
      <formula1>$AW$38:$AW$39</formula1>
    </dataValidation>
  </dataValidations>
  <printOptions horizontalCentered="1"/>
  <pageMargins left="0.196850393700787" right="0.196850393700787" top="0.70866141732283505" bottom="0.39370078740157499" header="0.511811023622047" footer="0.196850393700787"/>
  <pageSetup paperSize="9" fitToHeight="0" orientation="landscape" r:id="rId1"/>
  <headerFooter alignWithMargins="0">
    <oddFooter>&amp;C&amp;P /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H54"/>
  <sheetViews>
    <sheetView showGridLines="0" view="pageBreakPreview" zoomScale="85" zoomScaleNormal="100" zoomScaleSheetLayoutView="85" workbookViewId="0">
      <selection activeCell="AP5" sqref="AP5:AU6"/>
    </sheetView>
  </sheetViews>
  <sheetFormatPr defaultColWidth="2.6328125" defaultRowHeight="15"/>
  <cols>
    <col min="1" max="6" width="2.6328125" style="412"/>
    <col min="7" max="7" width="3.26953125" style="412" customWidth="1"/>
    <col min="8" max="17" width="2.6328125" style="412"/>
    <col min="18" max="18" width="3.26953125" style="412" customWidth="1"/>
    <col min="19" max="65" width="2.6328125" style="412"/>
    <col min="66" max="75" width="2.6328125" style="412" customWidth="1"/>
    <col min="76" max="85" width="2.6328125" style="412"/>
    <col min="86" max="86" width="2.6328125" style="413"/>
    <col min="87" max="16384" width="2.6328125" style="412"/>
  </cols>
  <sheetData>
    <row r="1" spans="1:47" ht="15.75" customHeight="1">
      <c r="A1" s="413"/>
      <c r="B1" s="413"/>
      <c r="C1" s="413"/>
      <c r="D1" s="413"/>
      <c r="E1" s="413"/>
      <c r="F1" s="413"/>
      <c r="G1" s="413"/>
      <c r="H1" s="413"/>
      <c r="I1" s="413"/>
      <c r="J1" s="413"/>
      <c r="K1" s="413"/>
      <c r="L1" s="413"/>
      <c r="M1" s="413"/>
      <c r="N1" s="413"/>
      <c r="O1" s="413"/>
      <c r="P1" s="413"/>
      <c r="Q1" s="413"/>
      <c r="R1" s="413"/>
    </row>
    <row r="2" spans="1:47" ht="15.75" customHeight="1">
      <c r="A2" s="413"/>
      <c r="B2" s="413"/>
      <c r="C2" s="413"/>
      <c r="D2" s="413"/>
      <c r="E2" s="413"/>
      <c r="F2" s="413"/>
      <c r="G2" s="413"/>
      <c r="H2" s="413"/>
      <c r="I2" s="413"/>
      <c r="J2" s="413"/>
      <c r="K2" s="413"/>
      <c r="L2" s="413"/>
      <c r="M2" s="413"/>
      <c r="N2" s="413"/>
      <c r="O2" s="413"/>
      <c r="P2" s="413"/>
      <c r="Q2" s="413"/>
      <c r="R2" s="413"/>
    </row>
    <row r="3" spans="1:47" ht="15.75" customHeight="1">
      <c r="A3" s="413"/>
      <c r="B3" s="717" t="s">
        <v>34</v>
      </c>
      <c r="C3" s="717"/>
      <c r="D3" s="717"/>
      <c r="E3" s="717"/>
      <c r="F3" s="717"/>
      <c r="G3" s="717"/>
      <c r="H3" s="717"/>
      <c r="I3" s="717"/>
      <c r="J3" s="717"/>
      <c r="K3" s="419"/>
      <c r="L3" s="419"/>
      <c r="M3" s="413"/>
      <c r="N3" s="413"/>
      <c r="O3" s="718" t="s">
        <v>5</v>
      </c>
      <c r="P3" s="719"/>
      <c r="Q3" s="719"/>
      <c r="R3" s="719"/>
      <c r="S3" s="719"/>
      <c r="T3" s="720"/>
      <c r="U3" s="718" t="s">
        <v>35</v>
      </c>
      <c r="V3" s="719"/>
      <c r="W3" s="719"/>
      <c r="X3" s="719"/>
      <c r="Y3" s="719"/>
      <c r="Z3" s="720"/>
      <c r="AA3" s="718" t="s">
        <v>36</v>
      </c>
      <c r="AB3" s="724"/>
      <c r="AC3" s="724"/>
      <c r="AD3" s="724"/>
      <c r="AE3" s="724"/>
      <c r="AF3" s="724"/>
      <c r="AG3" s="724"/>
      <c r="AH3" s="724"/>
      <c r="AI3" s="725"/>
      <c r="AJ3" s="718" t="s">
        <v>37</v>
      </c>
      <c r="AK3" s="719"/>
      <c r="AL3" s="719"/>
      <c r="AM3" s="719"/>
      <c r="AN3" s="719"/>
      <c r="AO3" s="720"/>
      <c r="AP3" s="729" t="s">
        <v>38</v>
      </c>
      <c r="AQ3" s="730"/>
      <c r="AR3" s="730"/>
      <c r="AS3" s="730"/>
      <c r="AT3" s="730"/>
      <c r="AU3" s="731"/>
    </row>
    <row r="4" spans="1:47" ht="15.75" customHeight="1">
      <c r="B4" s="717"/>
      <c r="C4" s="717"/>
      <c r="D4" s="717"/>
      <c r="E4" s="717"/>
      <c r="F4" s="717"/>
      <c r="G4" s="717"/>
      <c r="H4" s="717"/>
      <c r="I4" s="717"/>
      <c r="J4" s="717"/>
      <c r="K4" s="419"/>
      <c r="L4" s="419"/>
      <c r="M4" s="413"/>
      <c r="N4" s="413"/>
      <c r="O4" s="721"/>
      <c r="P4" s="722"/>
      <c r="Q4" s="722"/>
      <c r="R4" s="722"/>
      <c r="S4" s="722"/>
      <c r="T4" s="723"/>
      <c r="U4" s="721"/>
      <c r="V4" s="722"/>
      <c r="W4" s="722"/>
      <c r="X4" s="722"/>
      <c r="Y4" s="722"/>
      <c r="Z4" s="723"/>
      <c r="AA4" s="726"/>
      <c r="AB4" s="727"/>
      <c r="AC4" s="727"/>
      <c r="AD4" s="727"/>
      <c r="AE4" s="727"/>
      <c r="AF4" s="727"/>
      <c r="AG4" s="727"/>
      <c r="AH4" s="727"/>
      <c r="AI4" s="728"/>
      <c r="AJ4" s="721"/>
      <c r="AK4" s="722"/>
      <c r="AL4" s="722"/>
      <c r="AM4" s="722"/>
      <c r="AN4" s="722"/>
      <c r="AO4" s="723"/>
      <c r="AP4" s="732"/>
      <c r="AQ4" s="733"/>
      <c r="AR4" s="733"/>
      <c r="AS4" s="733"/>
      <c r="AT4" s="733"/>
      <c r="AU4" s="734"/>
    </row>
    <row r="5" spans="1:47" ht="15.75" customHeight="1">
      <c r="A5" s="413"/>
      <c r="B5" s="717"/>
      <c r="C5" s="717"/>
      <c r="D5" s="717"/>
      <c r="E5" s="717"/>
      <c r="F5" s="717"/>
      <c r="G5" s="717"/>
      <c r="H5" s="717"/>
      <c r="I5" s="717"/>
      <c r="J5" s="717"/>
      <c r="K5" s="419"/>
      <c r="L5" s="419"/>
      <c r="M5" s="413"/>
      <c r="N5" s="413"/>
      <c r="O5" s="735" t="s">
        <v>39</v>
      </c>
      <c r="P5" s="736"/>
      <c r="Q5" s="736"/>
      <c r="R5" s="736"/>
      <c r="S5" s="736"/>
      <c r="T5" s="737"/>
      <c r="U5" s="735" t="s">
        <v>22</v>
      </c>
      <c r="V5" s="736"/>
      <c r="W5" s="736"/>
      <c r="X5" s="736"/>
      <c r="Y5" s="736"/>
      <c r="Z5" s="737"/>
      <c r="AA5" s="741" t="s">
        <v>19</v>
      </c>
      <c r="AB5" s="742"/>
      <c r="AC5" s="742"/>
      <c r="AD5" s="742"/>
      <c r="AE5" s="742"/>
      <c r="AF5" s="742"/>
      <c r="AG5" s="742"/>
      <c r="AH5" s="742"/>
      <c r="AI5" s="743"/>
      <c r="AJ5" s="710" t="s">
        <v>13</v>
      </c>
      <c r="AK5" s="711"/>
      <c r="AL5" s="711"/>
      <c r="AM5" s="711"/>
      <c r="AN5" s="711"/>
      <c r="AO5" s="712"/>
      <c r="AP5" s="747" t="s">
        <v>40</v>
      </c>
      <c r="AQ5" s="748"/>
      <c r="AR5" s="748"/>
      <c r="AS5" s="748"/>
      <c r="AT5" s="748"/>
      <c r="AU5" s="749"/>
    </row>
    <row r="6" spans="1:47" ht="15.75" customHeight="1">
      <c r="A6" s="413"/>
      <c r="B6" s="717"/>
      <c r="C6" s="717"/>
      <c r="D6" s="717"/>
      <c r="E6" s="717"/>
      <c r="F6" s="717"/>
      <c r="G6" s="717"/>
      <c r="H6" s="717"/>
      <c r="I6" s="717"/>
      <c r="J6" s="717"/>
      <c r="K6" s="419"/>
      <c r="L6" s="419"/>
      <c r="M6" s="413"/>
      <c r="N6" s="413"/>
      <c r="O6" s="738"/>
      <c r="P6" s="739"/>
      <c r="Q6" s="739"/>
      <c r="R6" s="739"/>
      <c r="S6" s="739"/>
      <c r="T6" s="740"/>
      <c r="U6" s="738"/>
      <c r="V6" s="739"/>
      <c r="W6" s="739"/>
      <c r="X6" s="739"/>
      <c r="Y6" s="739"/>
      <c r="Z6" s="740"/>
      <c r="AA6" s="744"/>
      <c r="AB6" s="745"/>
      <c r="AC6" s="745"/>
      <c r="AD6" s="745"/>
      <c r="AE6" s="745"/>
      <c r="AF6" s="745"/>
      <c r="AG6" s="745"/>
      <c r="AH6" s="745"/>
      <c r="AI6" s="746"/>
      <c r="AJ6" s="713"/>
      <c r="AK6" s="714"/>
      <c r="AL6" s="714"/>
      <c r="AM6" s="714"/>
      <c r="AN6" s="714"/>
      <c r="AO6" s="715"/>
      <c r="AP6" s="750"/>
      <c r="AQ6" s="751"/>
      <c r="AR6" s="751"/>
      <c r="AS6" s="751"/>
      <c r="AT6" s="751"/>
      <c r="AU6" s="752"/>
    </row>
    <row r="7" spans="1:47" ht="24.5">
      <c r="A7" s="413"/>
      <c r="B7" s="414" t="s">
        <v>41</v>
      </c>
      <c r="C7" s="415"/>
      <c r="D7" s="416"/>
      <c r="E7" s="416"/>
      <c r="F7" s="416"/>
      <c r="G7" s="416"/>
      <c r="H7" s="416"/>
      <c r="I7" s="416"/>
      <c r="J7" s="416"/>
      <c r="K7" s="416"/>
      <c r="L7" s="416"/>
      <c r="M7" s="413"/>
      <c r="N7" s="413"/>
      <c r="O7" s="413"/>
      <c r="P7" s="413"/>
      <c r="Q7" s="413"/>
      <c r="R7" s="413"/>
    </row>
    <row r="8" spans="1:47">
      <c r="A8" s="413"/>
      <c r="D8" s="413"/>
      <c r="E8" s="413"/>
      <c r="F8" s="413"/>
      <c r="G8" s="413"/>
      <c r="H8" s="413"/>
      <c r="I8" s="413"/>
      <c r="J8" s="413"/>
      <c r="K8" s="413"/>
      <c r="L8" s="413"/>
      <c r="M8" s="413"/>
      <c r="N8" s="413"/>
      <c r="O8" s="413"/>
      <c r="P8" s="413"/>
      <c r="Q8" s="413"/>
      <c r="R8" s="413"/>
    </row>
    <row r="9" spans="1:47">
      <c r="A9" s="413"/>
      <c r="B9" s="413"/>
      <c r="C9" s="413"/>
      <c r="D9" s="413"/>
      <c r="E9" s="413"/>
      <c r="F9" s="413"/>
      <c r="G9" s="413"/>
      <c r="H9" s="413"/>
      <c r="I9" s="413"/>
      <c r="J9" s="413"/>
      <c r="K9" s="413"/>
      <c r="L9" s="413"/>
      <c r="M9" s="413"/>
      <c r="N9" s="413"/>
      <c r="O9" s="413"/>
      <c r="P9" s="413"/>
      <c r="Q9" s="413"/>
      <c r="R9" s="413"/>
    </row>
    <row r="10" spans="1:47">
      <c r="A10" s="413"/>
      <c r="B10" s="413"/>
      <c r="C10" s="413"/>
      <c r="D10" s="413"/>
      <c r="E10" s="413"/>
      <c r="F10" s="413"/>
      <c r="G10" s="413"/>
      <c r="H10" s="413"/>
      <c r="I10" s="413"/>
      <c r="J10" s="413"/>
      <c r="K10" s="413"/>
      <c r="L10" s="413"/>
      <c r="M10" s="413"/>
      <c r="N10" s="413"/>
      <c r="O10" s="413"/>
      <c r="P10" s="413"/>
      <c r="Q10" s="413"/>
      <c r="R10" s="413"/>
    </row>
    <row r="11" spans="1:47">
      <c r="A11" s="413"/>
      <c r="B11" s="413"/>
      <c r="C11" s="413"/>
      <c r="D11" s="413"/>
      <c r="E11" s="413"/>
      <c r="F11" s="413"/>
      <c r="G11" s="413"/>
      <c r="H11" s="413"/>
      <c r="I11" s="413"/>
      <c r="J11" s="413"/>
      <c r="K11" s="413"/>
      <c r="L11" s="413"/>
      <c r="M11" s="413"/>
      <c r="N11" s="413"/>
      <c r="O11" s="413"/>
      <c r="P11" s="413"/>
      <c r="Q11" s="413"/>
      <c r="R11" s="413"/>
    </row>
    <row r="12" spans="1:47">
      <c r="A12" s="413"/>
      <c r="B12" s="413"/>
      <c r="C12" s="413"/>
      <c r="D12" s="413"/>
      <c r="E12" s="413"/>
      <c r="F12" s="413"/>
      <c r="G12" s="413"/>
      <c r="H12" s="413"/>
      <c r="I12" s="413"/>
      <c r="J12" s="413"/>
      <c r="K12" s="413"/>
      <c r="L12" s="413"/>
      <c r="M12" s="413"/>
      <c r="N12" s="413"/>
      <c r="O12" s="413"/>
      <c r="P12" s="413"/>
      <c r="Q12" s="413"/>
      <c r="R12" s="413"/>
    </row>
    <row r="13" spans="1:47">
      <c r="A13" s="413"/>
      <c r="B13" s="413"/>
      <c r="C13" s="413"/>
      <c r="D13" s="413"/>
      <c r="E13" s="413"/>
      <c r="F13" s="413"/>
      <c r="G13" s="413"/>
      <c r="H13" s="413"/>
      <c r="I13" s="413"/>
      <c r="J13" s="413"/>
      <c r="K13" s="413"/>
      <c r="L13" s="413"/>
      <c r="M13" s="413"/>
      <c r="N13" s="413"/>
      <c r="O13" s="413"/>
      <c r="P13" s="413"/>
      <c r="Q13" s="413"/>
      <c r="R13" s="413"/>
    </row>
    <row r="14" spans="1:47">
      <c r="A14" s="413"/>
      <c r="B14" s="413"/>
      <c r="C14" s="413"/>
      <c r="D14" s="413"/>
      <c r="E14" s="413"/>
      <c r="F14" s="413"/>
      <c r="G14" s="413"/>
      <c r="H14" s="413"/>
      <c r="I14" s="413"/>
      <c r="J14" s="413"/>
      <c r="K14" s="413"/>
      <c r="L14" s="413"/>
      <c r="M14" s="413"/>
      <c r="N14" s="413"/>
      <c r="O14" s="413"/>
      <c r="P14" s="413"/>
      <c r="Q14" s="413"/>
      <c r="R14" s="413"/>
    </row>
    <row r="15" spans="1:47">
      <c r="A15" s="413"/>
      <c r="B15" s="413"/>
      <c r="C15" s="413"/>
      <c r="D15" s="413"/>
      <c r="E15" s="413"/>
      <c r="F15" s="413"/>
      <c r="G15" s="413"/>
      <c r="H15" s="413"/>
      <c r="I15" s="413"/>
      <c r="J15" s="413"/>
      <c r="K15" s="413"/>
      <c r="L15" s="413"/>
      <c r="M15" s="707" t="s">
        <v>42</v>
      </c>
      <c r="N15" s="707"/>
      <c r="O15" s="707"/>
      <c r="P15" s="707"/>
      <c r="Q15" s="707"/>
      <c r="R15" s="707"/>
      <c r="S15" s="707"/>
      <c r="T15" s="707"/>
      <c r="U15" s="707"/>
      <c r="V15" s="707"/>
      <c r="W15" s="707"/>
      <c r="X15" s="707"/>
      <c r="Y15" s="707"/>
      <c r="Z15" s="707"/>
      <c r="AA15" s="707"/>
      <c r="AB15" s="707"/>
      <c r="AC15" s="707"/>
      <c r="AD15" s="707"/>
      <c r="AE15" s="707"/>
      <c r="AF15" s="707"/>
      <c r="AG15" s="707"/>
      <c r="AH15" s="707"/>
      <c r="AI15" s="707"/>
      <c r="AJ15" s="707"/>
      <c r="AK15" s="707"/>
      <c r="AL15" s="707"/>
      <c r="AM15" s="707"/>
    </row>
    <row r="16" spans="1:47">
      <c r="A16" s="413"/>
      <c r="B16" s="413"/>
      <c r="C16" s="413"/>
      <c r="D16" s="413"/>
      <c r="E16" s="413"/>
      <c r="F16" s="413"/>
      <c r="G16" s="413"/>
      <c r="H16" s="413"/>
      <c r="I16" s="413"/>
      <c r="J16" s="413"/>
      <c r="K16" s="413"/>
      <c r="L16" s="413"/>
      <c r="M16" s="707"/>
      <c r="N16" s="707"/>
      <c r="O16" s="707"/>
      <c r="P16" s="707"/>
      <c r="Q16" s="707"/>
      <c r="R16" s="707"/>
      <c r="S16" s="707"/>
      <c r="T16" s="707"/>
      <c r="U16" s="707"/>
      <c r="V16" s="707"/>
      <c r="W16" s="707"/>
      <c r="X16" s="707"/>
      <c r="Y16" s="707"/>
      <c r="Z16" s="707"/>
      <c r="AA16" s="707"/>
      <c r="AB16" s="707"/>
      <c r="AC16" s="707"/>
      <c r="AD16" s="707"/>
      <c r="AE16" s="707"/>
      <c r="AF16" s="707"/>
      <c r="AG16" s="707"/>
      <c r="AH16" s="707"/>
      <c r="AI16" s="707"/>
      <c r="AJ16" s="707"/>
      <c r="AK16" s="707"/>
      <c r="AL16" s="707"/>
      <c r="AM16" s="707"/>
    </row>
    <row r="17" spans="1:39">
      <c r="A17" s="413"/>
      <c r="B17" s="413"/>
      <c r="C17" s="413"/>
      <c r="D17" s="413"/>
      <c r="E17" s="413"/>
      <c r="F17" s="413"/>
      <c r="G17" s="413"/>
      <c r="H17" s="413"/>
      <c r="I17" s="413"/>
      <c r="J17" s="413"/>
      <c r="K17" s="413"/>
      <c r="L17" s="413"/>
      <c r="M17" s="707"/>
      <c r="N17" s="707"/>
      <c r="O17" s="707"/>
      <c r="P17" s="707"/>
      <c r="Q17" s="707"/>
      <c r="R17" s="707"/>
      <c r="S17" s="707"/>
      <c r="T17" s="707"/>
      <c r="U17" s="707"/>
      <c r="V17" s="707"/>
      <c r="W17" s="707"/>
      <c r="X17" s="707"/>
      <c r="Y17" s="707"/>
      <c r="Z17" s="707"/>
      <c r="AA17" s="707"/>
      <c r="AB17" s="707"/>
      <c r="AC17" s="707"/>
      <c r="AD17" s="707"/>
      <c r="AE17" s="707"/>
      <c r="AF17" s="707"/>
      <c r="AG17" s="707"/>
      <c r="AH17" s="707"/>
      <c r="AI17" s="707"/>
      <c r="AJ17" s="707"/>
      <c r="AK17" s="707"/>
      <c r="AL17" s="707"/>
      <c r="AM17" s="707"/>
    </row>
    <row r="18" spans="1:39">
      <c r="A18" s="413"/>
      <c r="B18" s="413"/>
      <c r="C18" s="413"/>
      <c r="D18" s="413"/>
      <c r="E18" s="413"/>
      <c r="F18" s="413"/>
      <c r="G18" s="413"/>
      <c r="H18" s="413"/>
      <c r="I18" s="413"/>
      <c r="J18" s="413"/>
      <c r="K18" s="413"/>
      <c r="L18" s="413"/>
      <c r="M18" s="707"/>
      <c r="N18" s="707"/>
      <c r="O18" s="707"/>
      <c r="P18" s="707"/>
      <c r="Q18" s="707"/>
      <c r="R18" s="707"/>
      <c r="S18" s="707"/>
      <c r="T18" s="707"/>
      <c r="U18" s="707"/>
      <c r="V18" s="707"/>
      <c r="W18" s="707"/>
      <c r="X18" s="707"/>
      <c r="Y18" s="707"/>
      <c r="Z18" s="707"/>
      <c r="AA18" s="707"/>
      <c r="AB18" s="707"/>
      <c r="AC18" s="707"/>
      <c r="AD18" s="707"/>
      <c r="AE18" s="707"/>
      <c r="AF18" s="707"/>
      <c r="AG18" s="707"/>
      <c r="AH18" s="707"/>
      <c r="AI18" s="707"/>
      <c r="AJ18" s="707"/>
      <c r="AK18" s="707"/>
      <c r="AL18" s="707"/>
      <c r="AM18" s="707"/>
    </row>
    <row r="19" spans="1:39">
      <c r="A19" s="413"/>
      <c r="B19" s="413"/>
      <c r="C19" s="413"/>
      <c r="D19" s="413"/>
      <c r="E19" s="413"/>
      <c r="F19" s="413"/>
      <c r="G19" s="413"/>
      <c r="H19" s="413"/>
      <c r="I19" s="413"/>
      <c r="J19" s="413"/>
      <c r="K19" s="413"/>
      <c r="L19" s="413"/>
      <c r="M19" s="413"/>
      <c r="N19" s="413"/>
      <c r="O19" s="413"/>
      <c r="P19" s="413"/>
      <c r="Q19" s="413"/>
      <c r="R19" s="413"/>
    </row>
    <row r="20" spans="1:39">
      <c r="A20" s="413"/>
      <c r="B20" s="413"/>
      <c r="C20" s="413"/>
      <c r="D20" s="413"/>
      <c r="E20" s="413"/>
      <c r="F20" s="413"/>
      <c r="G20" s="413"/>
      <c r="H20" s="413"/>
      <c r="I20" s="413"/>
      <c r="J20" s="413"/>
      <c r="K20" s="413"/>
      <c r="L20" s="413"/>
      <c r="M20" s="413"/>
      <c r="N20" s="413"/>
      <c r="O20" s="413"/>
      <c r="P20" s="413"/>
      <c r="Q20" s="413"/>
      <c r="R20" s="413"/>
    </row>
    <row r="21" spans="1:39">
      <c r="A21" s="413"/>
      <c r="B21" s="413"/>
      <c r="C21" s="413"/>
      <c r="D21" s="413"/>
      <c r="E21" s="413"/>
      <c r="F21" s="413"/>
      <c r="G21" s="413"/>
      <c r="H21" s="413"/>
      <c r="I21" s="413"/>
      <c r="J21" s="413"/>
      <c r="K21" s="413"/>
      <c r="L21" s="413"/>
      <c r="M21" s="413"/>
      <c r="N21" s="413"/>
      <c r="O21" s="413"/>
      <c r="P21" s="413"/>
      <c r="Q21" s="413"/>
      <c r="R21" s="413"/>
    </row>
    <row r="22" spans="1:39">
      <c r="A22" s="413"/>
      <c r="B22" s="413"/>
      <c r="C22" s="413"/>
      <c r="D22" s="413"/>
      <c r="E22" s="413"/>
      <c r="F22" s="413"/>
      <c r="G22" s="413"/>
      <c r="H22" s="413"/>
      <c r="I22" s="413"/>
      <c r="J22" s="413"/>
      <c r="K22" s="413"/>
      <c r="L22" s="413"/>
      <c r="M22" s="413"/>
      <c r="N22" s="413"/>
      <c r="O22" s="413"/>
      <c r="P22" s="413"/>
      <c r="Q22" s="413"/>
      <c r="R22" s="413"/>
    </row>
    <row r="23" spans="1:39">
      <c r="A23" s="413"/>
      <c r="B23" s="413"/>
      <c r="C23" s="413"/>
      <c r="D23" s="413"/>
      <c r="E23" s="413"/>
      <c r="F23" s="413"/>
      <c r="G23" s="413"/>
      <c r="H23" s="413"/>
      <c r="I23" s="413"/>
      <c r="J23" s="413"/>
      <c r="K23" s="413"/>
      <c r="L23" s="413"/>
      <c r="M23" s="413"/>
      <c r="N23" s="413"/>
      <c r="O23" s="413"/>
      <c r="P23" s="413"/>
      <c r="Q23" s="413"/>
      <c r="R23" s="413"/>
    </row>
    <row r="24" spans="1:39">
      <c r="A24" s="413"/>
      <c r="B24" s="413"/>
      <c r="C24" s="413"/>
      <c r="D24" s="413"/>
      <c r="E24" s="413"/>
      <c r="F24" s="413"/>
      <c r="G24" s="413"/>
      <c r="H24" s="413"/>
      <c r="I24" s="413"/>
      <c r="J24" s="413"/>
      <c r="K24" s="413"/>
      <c r="L24" s="413"/>
      <c r="M24" s="413"/>
      <c r="N24" s="413"/>
      <c r="O24" s="413"/>
    </row>
    <row r="25" spans="1:39">
      <c r="A25" s="413"/>
      <c r="B25" s="413"/>
      <c r="C25" s="413"/>
      <c r="D25" s="413"/>
      <c r="E25" s="413"/>
      <c r="F25" s="413"/>
      <c r="G25" s="413"/>
      <c r="H25" s="413"/>
      <c r="I25" s="413"/>
      <c r="J25" s="413"/>
      <c r="K25" s="413"/>
      <c r="L25" s="413"/>
    </row>
    <row r="26" spans="1:39" ht="15.75" customHeight="1">
      <c r="A26" s="413"/>
      <c r="B26" s="413"/>
      <c r="C26" s="413"/>
      <c r="D26" s="413"/>
      <c r="E26" s="413"/>
      <c r="F26" s="413"/>
      <c r="G26" s="413"/>
      <c r="H26" s="413"/>
      <c r="I26" s="413"/>
    </row>
    <row r="27" spans="1:39" ht="15.75" customHeight="1">
      <c r="A27" s="413"/>
      <c r="B27" s="413"/>
      <c r="C27" s="413"/>
      <c r="D27" s="413"/>
      <c r="E27" s="413"/>
      <c r="F27" s="413"/>
      <c r="G27" s="413"/>
      <c r="H27" s="413"/>
      <c r="I27" s="413"/>
    </row>
    <row r="28" spans="1:39">
      <c r="A28" s="413"/>
      <c r="B28" s="413"/>
      <c r="C28" s="413"/>
      <c r="D28" s="413"/>
      <c r="Q28" s="413"/>
    </row>
    <row r="29" spans="1:39">
      <c r="A29" s="413"/>
      <c r="C29" s="716" t="s">
        <v>43</v>
      </c>
      <c r="D29" s="716"/>
      <c r="E29" s="716"/>
      <c r="F29" s="716"/>
      <c r="G29" s="716"/>
      <c r="H29" s="716"/>
      <c r="Q29" s="413"/>
    </row>
    <row r="30" spans="1:39">
      <c r="A30" s="413"/>
      <c r="C30" s="716"/>
      <c r="D30" s="716"/>
      <c r="E30" s="716"/>
      <c r="F30" s="716"/>
      <c r="G30" s="716"/>
      <c r="H30" s="716"/>
      <c r="O30" s="413"/>
      <c r="P30" s="413"/>
      <c r="Q30" s="413"/>
    </row>
    <row r="31" spans="1:39">
      <c r="A31" s="413"/>
      <c r="C31" s="706">
        <v>43332</v>
      </c>
      <c r="D31" s="706"/>
      <c r="E31" s="706"/>
      <c r="F31" s="706"/>
      <c r="G31" s="706"/>
      <c r="H31" s="706"/>
      <c r="O31" s="413"/>
      <c r="P31" s="413"/>
      <c r="Q31" s="413"/>
    </row>
    <row r="32" spans="1:39">
      <c r="A32" s="413"/>
      <c r="C32" s="706"/>
      <c r="D32" s="706"/>
      <c r="E32" s="706"/>
      <c r="F32" s="706"/>
      <c r="G32" s="706"/>
      <c r="H32" s="706"/>
      <c r="O32" s="413"/>
      <c r="P32" s="413"/>
      <c r="Q32" s="413"/>
    </row>
    <row r="34" spans="1:86" s="411" customFormat="1" ht="11">
      <c r="A34" s="417"/>
      <c r="CH34" s="427"/>
    </row>
    <row r="35" spans="1:86" s="411" customFormat="1" ht="11">
      <c r="A35" s="417"/>
      <c r="CH35" s="427"/>
    </row>
    <row r="36" spans="1:86" s="411" customFormat="1" ht="11">
      <c r="A36" s="417"/>
      <c r="CH36" s="427"/>
    </row>
    <row r="37" spans="1:86" s="411" customFormat="1" ht="11">
      <c r="A37" s="417"/>
      <c r="CH37" s="427"/>
    </row>
    <row r="38" spans="1:86">
      <c r="A38" s="412" t="s">
        <v>44</v>
      </c>
    </row>
    <row r="39" spans="1:86">
      <c r="A39" s="663" t="s">
        <v>34</v>
      </c>
      <c r="B39" s="664"/>
      <c r="C39" s="664"/>
      <c r="D39" s="664"/>
      <c r="E39" s="664"/>
      <c r="F39" s="664"/>
      <c r="G39" s="664"/>
      <c r="H39" s="664"/>
      <c r="I39" s="664"/>
      <c r="J39" s="665"/>
      <c r="K39" s="771" t="s">
        <v>45</v>
      </c>
      <c r="L39" s="772"/>
      <c r="M39" s="772"/>
      <c r="N39" s="772"/>
      <c r="O39" s="772"/>
      <c r="P39" s="772"/>
      <c r="Q39" s="772"/>
      <c r="R39" s="772"/>
      <c r="S39" s="772"/>
      <c r="T39" s="780"/>
      <c r="U39" s="781" t="s">
        <v>46</v>
      </c>
      <c r="V39" s="782"/>
      <c r="W39" s="782"/>
      <c r="X39" s="782"/>
      <c r="Y39" s="783"/>
      <c r="Z39" s="693" t="s">
        <v>47</v>
      </c>
      <c r="AA39" s="694"/>
      <c r="AB39" s="694"/>
      <c r="AC39" s="694"/>
      <c r="AD39" s="695"/>
      <c r="AE39" s="773" t="s">
        <v>48</v>
      </c>
      <c r="AF39" s="694"/>
      <c r="AG39" s="694"/>
      <c r="AH39" s="694"/>
      <c r="AI39" s="695"/>
      <c r="AJ39" s="784" t="s">
        <v>49</v>
      </c>
      <c r="AK39" s="782"/>
      <c r="AL39" s="782"/>
      <c r="AM39" s="782"/>
      <c r="AN39" s="782"/>
      <c r="AO39" s="782"/>
      <c r="AP39" s="782"/>
      <c r="AQ39" s="782"/>
      <c r="AR39" s="783"/>
      <c r="AS39" s="704" t="s">
        <v>5</v>
      </c>
      <c r="AT39" s="704"/>
      <c r="AU39" s="704"/>
      <c r="AV39" s="704"/>
      <c r="AW39" s="704"/>
      <c r="AX39" s="704"/>
      <c r="AY39" s="704"/>
      <c r="AZ39" s="705" t="s">
        <v>37</v>
      </c>
      <c r="BA39" s="694"/>
      <c r="BB39" s="694"/>
      <c r="BC39" s="694"/>
      <c r="BD39" s="694"/>
      <c r="BE39" s="695"/>
      <c r="BF39" s="705" t="s">
        <v>50</v>
      </c>
      <c r="BG39" s="694"/>
      <c r="BH39" s="694"/>
      <c r="BI39" s="694"/>
      <c r="BJ39" s="694"/>
      <c r="BK39" s="774"/>
    </row>
    <row r="40" spans="1:86" ht="15.75" customHeight="1">
      <c r="A40" s="666"/>
      <c r="B40" s="667"/>
      <c r="C40" s="667"/>
      <c r="D40" s="667"/>
      <c r="E40" s="667"/>
      <c r="F40" s="667"/>
      <c r="G40" s="667"/>
      <c r="H40" s="667"/>
      <c r="I40" s="667"/>
      <c r="J40" s="668"/>
      <c r="K40" s="757" t="str">
        <f>文書名</f>
        <v>画面説明書</v>
      </c>
      <c r="L40" s="675"/>
      <c r="M40" s="675"/>
      <c r="N40" s="675"/>
      <c r="O40" s="675"/>
      <c r="P40" s="675"/>
      <c r="Q40" s="675"/>
      <c r="R40" s="675"/>
      <c r="S40" s="675"/>
      <c r="T40" s="676"/>
      <c r="U40" s="775" t="s">
        <v>51</v>
      </c>
      <c r="V40" s="776"/>
      <c r="W40" s="776"/>
      <c r="X40" s="776"/>
      <c r="Y40" s="777"/>
      <c r="Z40" s="761" t="s">
        <v>52</v>
      </c>
      <c r="AA40" s="759"/>
      <c r="AB40" s="759"/>
      <c r="AC40" s="759"/>
      <c r="AD40" s="760"/>
      <c r="AE40" s="758" t="s">
        <v>53</v>
      </c>
      <c r="AF40" s="759"/>
      <c r="AG40" s="759"/>
      <c r="AH40" s="759"/>
      <c r="AI40" s="760"/>
      <c r="AJ40" s="764" t="s">
        <v>15</v>
      </c>
      <c r="AK40" s="759"/>
      <c r="AL40" s="759"/>
      <c r="AM40" s="759"/>
      <c r="AN40" s="759"/>
      <c r="AO40" s="759"/>
      <c r="AP40" s="759"/>
      <c r="AQ40" s="759"/>
      <c r="AR40" s="760"/>
      <c r="AS40" s="708" t="str">
        <f>文書番号</f>
        <v>M7-US-1104</v>
      </c>
      <c r="AT40" s="708"/>
      <c r="AU40" s="708"/>
      <c r="AV40" s="708"/>
      <c r="AW40" s="708"/>
      <c r="AX40" s="708"/>
      <c r="AY40" s="708"/>
      <c r="AZ40" s="710" t="s">
        <v>54</v>
      </c>
      <c r="BA40" s="711"/>
      <c r="BB40" s="711"/>
      <c r="BC40" s="711"/>
      <c r="BD40" s="711"/>
      <c r="BE40" s="712"/>
      <c r="BF40" s="680" t="s">
        <v>55</v>
      </c>
      <c r="BG40" s="675"/>
      <c r="BH40" s="675"/>
      <c r="BI40" s="675"/>
      <c r="BJ40" s="675"/>
      <c r="BK40" s="681"/>
    </row>
    <row r="41" spans="1:86">
      <c r="A41" s="669"/>
      <c r="B41" s="670"/>
      <c r="C41" s="670"/>
      <c r="D41" s="670"/>
      <c r="E41" s="670"/>
      <c r="F41" s="670"/>
      <c r="G41" s="670"/>
      <c r="H41" s="670"/>
      <c r="I41" s="670"/>
      <c r="J41" s="671"/>
      <c r="K41" s="683" t="str">
        <f ca="1">RIGHT(CELL("filename",$A$1),LEN(CELL("filename",$A$1))-FIND("]",CELL("filename",$A$1)))</f>
        <v>表紙</v>
      </c>
      <c r="L41" s="684"/>
      <c r="M41" s="684"/>
      <c r="N41" s="684"/>
      <c r="O41" s="684"/>
      <c r="P41" s="684"/>
      <c r="Q41" s="684"/>
      <c r="R41" s="684"/>
      <c r="S41" s="684"/>
      <c r="T41" s="696"/>
      <c r="U41" s="697" t="s">
        <v>56</v>
      </c>
      <c r="V41" s="698"/>
      <c r="W41" s="698"/>
      <c r="X41" s="698"/>
      <c r="Y41" s="699"/>
      <c r="Z41" s="700" t="s">
        <v>22</v>
      </c>
      <c r="AA41" s="686"/>
      <c r="AB41" s="686"/>
      <c r="AC41" s="686"/>
      <c r="AD41" s="686"/>
      <c r="AE41" s="701" t="s">
        <v>19</v>
      </c>
      <c r="AF41" s="702"/>
      <c r="AG41" s="702"/>
      <c r="AH41" s="702"/>
      <c r="AI41" s="702"/>
      <c r="AJ41" s="702"/>
      <c r="AK41" s="702"/>
      <c r="AL41" s="702"/>
      <c r="AM41" s="702"/>
      <c r="AN41" s="702"/>
      <c r="AO41" s="702"/>
      <c r="AP41" s="702"/>
      <c r="AQ41" s="702"/>
      <c r="AR41" s="703"/>
      <c r="AS41" s="709"/>
      <c r="AT41" s="709"/>
      <c r="AU41" s="709"/>
      <c r="AV41" s="709"/>
      <c r="AW41" s="709"/>
      <c r="AX41" s="709"/>
      <c r="AY41" s="709"/>
      <c r="AZ41" s="713"/>
      <c r="BA41" s="714"/>
      <c r="BB41" s="714"/>
      <c r="BC41" s="714"/>
      <c r="BD41" s="714"/>
      <c r="BE41" s="715"/>
      <c r="BF41" s="677"/>
      <c r="BG41" s="678"/>
      <c r="BH41" s="678"/>
      <c r="BI41" s="678"/>
      <c r="BJ41" s="678"/>
      <c r="BK41" s="682"/>
    </row>
    <row r="42" spans="1:86">
      <c r="A42" s="412" t="s">
        <v>57</v>
      </c>
      <c r="B42" s="418"/>
      <c r="C42" s="418"/>
      <c r="D42" s="418"/>
      <c r="E42" s="418"/>
      <c r="F42" s="418"/>
      <c r="G42" s="418"/>
      <c r="H42" s="418"/>
      <c r="I42" s="418"/>
      <c r="J42" s="418"/>
      <c r="K42" s="418"/>
      <c r="L42" s="420"/>
      <c r="M42" s="421"/>
      <c r="N42" s="421"/>
      <c r="O42" s="421"/>
      <c r="P42" s="421"/>
      <c r="Q42" s="421"/>
      <c r="R42" s="421"/>
      <c r="S42" s="421"/>
      <c r="T42" s="421"/>
      <c r="U42" s="421"/>
      <c r="V42" s="421"/>
      <c r="W42" s="421"/>
      <c r="X42" s="421"/>
      <c r="Y42" s="421"/>
      <c r="Z42" s="421"/>
      <c r="AA42" s="422"/>
      <c r="AB42" s="423"/>
      <c r="AC42" s="424"/>
      <c r="AD42" s="424"/>
      <c r="AE42" s="424"/>
      <c r="AF42" s="424"/>
      <c r="AG42" s="424"/>
      <c r="AH42" s="425"/>
      <c r="AI42" s="422"/>
      <c r="AJ42" s="422"/>
      <c r="AK42" s="422"/>
      <c r="AL42" s="422"/>
      <c r="AM42" s="422"/>
      <c r="AN42" s="422"/>
      <c r="AO42" s="422"/>
      <c r="AP42" s="422"/>
      <c r="AQ42" s="422"/>
      <c r="AR42" s="422"/>
      <c r="AS42" s="422"/>
      <c r="AT42" s="422"/>
      <c r="AU42" s="426"/>
      <c r="AV42" s="426"/>
      <c r="AW42" s="426"/>
      <c r="AX42" s="426"/>
      <c r="AY42" s="426"/>
      <c r="AZ42" s="426"/>
      <c r="BA42" s="426"/>
      <c r="BB42" s="418"/>
      <c r="BC42" s="418"/>
      <c r="BD42" s="418"/>
      <c r="BE42" s="418"/>
      <c r="BF42" s="418"/>
      <c r="BG42" s="421"/>
      <c r="BH42" s="421"/>
      <c r="BI42" s="421"/>
      <c r="BJ42" s="421"/>
      <c r="BK42" s="421"/>
    </row>
    <row r="43" spans="1:86">
      <c r="A43" s="663" t="str">
        <f>表紙!$A$39</f>
        <v>mcframe 7</v>
      </c>
      <c r="B43" s="664"/>
      <c r="C43" s="664"/>
      <c r="D43" s="664"/>
      <c r="E43" s="664"/>
      <c r="F43" s="664"/>
      <c r="G43" s="664"/>
      <c r="H43" s="664"/>
      <c r="I43" s="664"/>
      <c r="J43" s="665"/>
      <c r="K43" s="771" t="s">
        <v>45</v>
      </c>
      <c r="L43" s="772"/>
      <c r="M43" s="772"/>
      <c r="N43" s="772"/>
      <c r="O43" s="772"/>
      <c r="P43" s="772"/>
      <c r="Q43" s="772"/>
      <c r="R43" s="772"/>
      <c r="S43" s="772"/>
      <c r="T43" s="780"/>
      <c r="U43" s="781" t="s">
        <v>46</v>
      </c>
      <c r="V43" s="782"/>
      <c r="W43" s="782"/>
      <c r="X43" s="782"/>
      <c r="Y43" s="783"/>
      <c r="Z43" s="693" t="str">
        <f>表紙!$Z$39</f>
        <v>MS</v>
      </c>
      <c r="AA43" s="694"/>
      <c r="AB43" s="694"/>
      <c r="AC43" s="694"/>
      <c r="AD43" s="695"/>
      <c r="AE43" s="773" t="s">
        <v>48</v>
      </c>
      <c r="AF43" s="694"/>
      <c r="AG43" s="694"/>
      <c r="AH43" s="694"/>
      <c r="AI43" s="695"/>
      <c r="AJ43" s="784" t="str">
        <f>表紙!$AJ$39</f>
        <v>SCM</v>
      </c>
      <c r="AK43" s="782"/>
      <c r="AL43" s="782"/>
      <c r="AM43" s="782"/>
      <c r="AN43" s="782"/>
      <c r="AO43" s="782"/>
      <c r="AP43" s="782"/>
      <c r="AQ43" s="782"/>
      <c r="AR43" s="783"/>
      <c r="AS43" s="704" t="s">
        <v>5</v>
      </c>
      <c r="AT43" s="704"/>
      <c r="AU43" s="704"/>
      <c r="AV43" s="704"/>
      <c r="AW43" s="704"/>
      <c r="AX43" s="704"/>
      <c r="AY43" s="704"/>
      <c r="AZ43" s="705" t="s">
        <v>37</v>
      </c>
      <c r="BA43" s="694"/>
      <c r="BB43" s="694"/>
      <c r="BC43" s="694"/>
      <c r="BD43" s="694"/>
      <c r="BE43" s="695"/>
      <c r="BF43" s="705" t="s">
        <v>50</v>
      </c>
      <c r="BG43" s="694"/>
      <c r="BH43" s="694"/>
      <c r="BI43" s="694"/>
      <c r="BJ43" s="694"/>
      <c r="BK43" s="774"/>
    </row>
    <row r="44" spans="1:86" ht="15.75" customHeight="1">
      <c r="A44" s="666"/>
      <c r="B44" s="667"/>
      <c r="C44" s="667"/>
      <c r="D44" s="667"/>
      <c r="E44" s="667"/>
      <c r="F44" s="667"/>
      <c r="G44" s="667"/>
      <c r="H44" s="667"/>
      <c r="I44" s="667"/>
      <c r="J44" s="668"/>
      <c r="K44" s="757" t="str">
        <f>文書名</f>
        <v>画面説明書</v>
      </c>
      <c r="L44" s="675"/>
      <c r="M44" s="675"/>
      <c r="N44" s="675"/>
      <c r="O44" s="675"/>
      <c r="P44" s="675"/>
      <c r="Q44" s="675"/>
      <c r="R44" s="675"/>
      <c r="S44" s="675"/>
      <c r="T44" s="676"/>
      <c r="U44" s="775" t="s">
        <v>51</v>
      </c>
      <c r="V44" s="776"/>
      <c r="W44" s="776"/>
      <c r="X44" s="776"/>
      <c r="Y44" s="777"/>
      <c r="Z44" s="761" t="str">
        <f>表紙!$Z$40</f>
        <v>MSBD</v>
      </c>
      <c r="AA44" s="759"/>
      <c r="AB44" s="759"/>
      <c r="AC44" s="759"/>
      <c r="AD44" s="760"/>
      <c r="AE44" s="758" t="s">
        <v>53</v>
      </c>
      <c r="AF44" s="759"/>
      <c r="AG44" s="759"/>
      <c r="AH44" s="759"/>
      <c r="AI44" s="760"/>
      <c r="AJ44" s="764" t="str">
        <f>表紙!$AJ$40</f>
        <v>購買管理</v>
      </c>
      <c r="AK44" s="778"/>
      <c r="AL44" s="778"/>
      <c r="AM44" s="778"/>
      <c r="AN44" s="778"/>
      <c r="AO44" s="778"/>
      <c r="AP44" s="778"/>
      <c r="AQ44" s="778"/>
      <c r="AR44" s="779"/>
      <c r="AS44" s="672" t="str">
        <f>文書番号</f>
        <v>M7-US-1104</v>
      </c>
      <c r="AT44" s="672"/>
      <c r="AU44" s="672"/>
      <c r="AV44" s="672"/>
      <c r="AW44" s="672"/>
      <c r="AX44" s="672"/>
      <c r="AY44" s="672"/>
      <c r="AZ44" s="674" t="str">
        <f>Version</f>
        <v>7.0.1</v>
      </c>
      <c r="BA44" s="675"/>
      <c r="BB44" s="675"/>
      <c r="BC44" s="675"/>
      <c r="BD44" s="675"/>
      <c r="BE44" s="676"/>
      <c r="BF44" s="680" t="str">
        <f>Revision</f>
        <v>r02.05</v>
      </c>
      <c r="BG44" s="675"/>
      <c r="BH44" s="675"/>
      <c r="BI44" s="675"/>
      <c r="BJ44" s="675"/>
      <c r="BK44" s="681"/>
    </row>
    <row r="45" spans="1:86">
      <c r="A45" s="669"/>
      <c r="B45" s="670"/>
      <c r="C45" s="670"/>
      <c r="D45" s="670"/>
      <c r="E45" s="670"/>
      <c r="F45" s="670"/>
      <c r="G45" s="670"/>
      <c r="H45" s="670"/>
      <c r="I45" s="670"/>
      <c r="J45" s="671"/>
      <c r="K45" s="683" t="str">
        <f ca="1">RIGHT(CELL("filename",$A$1),LEN(CELL("filename",$A$1))-FIND("]",CELL("filename",$A$1)))</f>
        <v>表紙</v>
      </c>
      <c r="L45" s="684"/>
      <c r="M45" s="684"/>
      <c r="N45" s="684"/>
      <c r="O45" s="684"/>
      <c r="P45" s="684"/>
      <c r="Q45" s="684"/>
      <c r="R45" s="684"/>
      <c r="S45" s="684"/>
      <c r="T45" s="696"/>
      <c r="U45" s="697" t="s">
        <v>56</v>
      </c>
      <c r="V45" s="698"/>
      <c r="W45" s="698"/>
      <c r="X45" s="698"/>
      <c r="Y45" s="699"/>
      <c r="Z45" s="700" t="str">
        <f>表紙!$Z$41</f>
        <v>MSBDP0090</v>
      </c>
      <c r="AA45" s="686"/>
      <c r="AB45" s="686"/>
      <c r="AC45" s="686"/>
      <c r="AD45" s="686"/>
      <c r="AE45" s="701" t="str">
        <f>表紙!$AE$41</f>
        <v>発注一覧登録</v>
      </c>
      <c r="AF45" s="702"/>
      <c r="AG45" s="702"/>
      <c r="AH45" s="702"/>
      <c r="AI45" s="702"/>
      <c r="AJ45" s="702"/>
      <c r="AK45" s="702"/>
      <c r="AL45" s="702"/>
      <c r="AM45" s="702"/>
      <c r="AN45" s="702"/>
      <c r="AO45" s="702"/>
      <c r="AP45" s="702"/>
      <c r="AQ45" s="702"/>
      <c r="AR45" s="703"/>
      <c r="AS45" s="673"/>
      <c r="AT45" s="673"/>
      <c r="AU45" s="673"/>
      <c r="AV45" s="673"/>
      <c r="AW45" s="673"/>
      <c r="AX45" s="673"/>
      <c r="AY45" s="673"/>
      <c r="AZ45" s="677"/>
      <c r="BA45" s="678"/>
      <c r="BB45" s="678"/>
      <c r="BC45" s="678"/>
      <c r="BD45" s="678"/>
      <c r="BE45" s="679"/>
      <c r="BF45" s="677"/>
      <c r="BG45" s="678"/>
      <c r="BH45" s="678"/>
      <c r="BI45" s="678"/>
      <c r="BJ45" s="678"/>
      <c r="BK45" s="682"/>
    </row>
    <row r="46" spans="1:86">
      <c r="A46" s="418"/>
      <c r="B46" s="418"/>
      <c r="C46" s="418"/>
      <c r="D46" s="418"/>
      <c r="E46" s="418"/>
      <c r="F46" s="418"/>
      <c r="G46" s="418"/>
      <c r="H46" s="418"/>
      <c r="I46" s="418"/>
      <c r="J46" s="418"/>
      <c r="K46" s="418"/>
      <c r="L46" s="420"/>
      <c r="M46" s="421"/>
      <c r="N46" s="421"/>
      <c r="O46" s="421"/>
      <c r="P46" s="421"/>
      <c r="Q46" s="421"/>
      <c r="R46" s="421"/>
      <c r="S46" s="421"/>
      <c r="T46" s="421"/>
      <c r="U46" s="421"/>
      <c r="V46" s="421"/>
      <c r="W46" s="421"/>
      <c r="X46" s="421"/>
      <c r="Y46" s="421"/>
      <c r="Z46" s="421"/>
      <c r="AA46" s="422"/>
      <c r="AB46" s="423"/>
      <c r="AC46" s="424"/>
      <c r="AD46" s="424"/>
      <c r="AE46" s="424"/>
      <c r="AF46" s="424"/>
      <c r="AG46" s="424"/>
      <c r="AH46" s="425"/>
      <c r="AI46" s="422"/>
      <c r="AJ46" s="422"/>
      <c r="AK46" s="422"/>
      <c r="AL46" s="422"/>
      <c r="AM46" s="422"/>
      <c r="AN46" s="422"/>
      <c r="AO46" s="422"/>
      <c r="AP46" s="422"/>
      <c r="AQ46" s="422"/>
      <c r="AR46" s="422"/>
      <c r="AS46" s="422"/>
      <c r="AT46" s="422"/>
      <c r="AU46" s="426"/>
      <c r="AV46" s="426"/>
      <c r="AW46" s="426"/>
      <c r="AX46" s="426"/>
      <c r="AY46" s="426"/>
      <c r="AZ46" s="426"/>
      <c r="BA46" s="426"/>
      <c r="BB46" s="418"/>
      <c r="BC46" s="418"/>
      <c r="BD46" s="418"/>
      <c r="BE46" s="418"/>
      <c r="BF46" s="418"/>
      <c r="BG46" s="421"/>
      <c r="BH46" s="421"/>
      <c r="BI46" s="421"/>
      <c r="BJ46" s="421"/>
      <c r="BK46" s="421"/>
    </row>
    <row r="47" spans="1:86">
      <c r="A47" s="412" t="s">
        <v>58</v>
      </c>
    </row>
    <row r="48" spans="1:86" ht="15.75" customHeight="1">
      <c r="A48" s="663" t="str">
        <f>表紙!$A$39</f>
        <v>mcframe 7</v>
      </c>
      <c r="B48" s="664"/>
      <c r="C48" s="664"/>
      <c r="D48" s="664"/>
      <c r="E48" s="664"/>
      <c r="F48" s="664"/>
      <c r="G48" s="664"/>
      <c r="H48" s="664"/>
      <c r="I48" s="664"/>
      <c r="J48" s="664"/>
      <c r="K48" s="664"/>
      <c r="L48" s="664"/>
      <c r="M48" s="664"/>
      <c r="N48" s="665"/>
      <c r="O48" s="771" t="s">
        <v>45</v>
      </c>
      <c r="P48" s="772"/>
      <c r="Q48" s="772"/>
      <c r="R48" s="772"/>
      <c r="S48" s="772"/>
      <c r="T48" s="772"/>
      <c r="U48" s="772"/>
      <c r="V48" s="772"/>
      <c r="W48" s="772"/>
      <c r="X48" s="772"/>
      <c r="Y48" s="772"/>
      <c r="Z48" s="772"/>
      <c r="AA48" s="772"/>
      <c r="AB48" s="772"/>
      <c r="AC48" s="773" t="s">
        <v>46</v>
      </c>
      <c r="AD48" s="694"/>
      <c r="AE48" s="694"/>
      <c r="AF48" s="694"/>
      <c r="AG48" s="694"/>
      <c r="AH48" s="694"/>
      <c r="AI48" s="695"/>
      <c r="AJ48" s="693" t="str">
        <f>表紙!$Z$39</f>
        <v>MS</v>
      </c>
      <c r="AK48" s="694"/>
      <c r="AL48" s="694"/>
      <c r="AM48" s="694"/>
      <c r="AN48" s="694"/>
      <c r="AO48" s="694"/>
      <c r="AP48" s="695"/>
      <c r="AQ48" s="773" t="s">
        <v>48</v>
      </c>
      <c r="AR48" s="694"/>
      <c r="AS48" s="694"/>
      <c r="AT48" s="694"/>
      <c r="AU48" s="694"/>
      <c r="AV48" s="694"/>
      <c r="AW48" s="695"/>
      <c r="AX48" s="693" t="str">
        <f>表紙!$AJ$39</f>
        <v>SCM</v>
      </c>
      <c r="AY48" s="694"/>
      <c r="AZ48" s="694"/>
      <c r="BA48" s="694"/>
      <c r="BB48" s="694"/>
      <c r="BC48" s="694"/>
      <c r="BD48" s="694"/>
      <c r="BE48" s="694"/>
      <c r="BF48" s="694"/>
      <c r="BG48" s="694"/>
      <c r="BH48" s="694"/>
      <c r="BI48" s="694"/>
      <c r="BJ48" s="694"/>
      <c r="BK48" s="695"/>
      <c r="BL48" s="705" t="s">
        <v>5</v>
      </c>
      <c r="BM48" s="694"/>
      <c r="BN48" s="694"/>
      <c r="BO48" s="694"/>
      <c r="BP48" s="694"/>
      <c r="BQ48" s="694"/>
      <c r="BR48" s="694"/>
      <c r="BS48" s="694"/>
      <c r="BT48" s="695"/>
      <c r="BU48" s="753" t="s">
        <v>37</v>
      </c>
      <c r="BV48" s="754"/>
      <c r="BW48" s="754"/>
      <c r="BX48" s="754"/>
      <c r="BY48" s="754"/>
      <c r="BZ48" s="754"/>
      <c r="CA48" s="755"/>
      <c r="CB48" s="753" t="s">
        <v>50</v>
      </c>
      <c r="CC48" s="754"/>
      <c r="CD48" s="754"/>
      <c r="CE48" s="754"/>
      <c r="CF48" s="754"/>
      <c r="CG48" s="754"/>
      <c r="CH48" s="756"/>
    </row>
    <row r="49" spans="1:86" ht="15.75" customHeight="1">
      <c r="A49" s="666"/>
      <c r="B49" s="667"/>
      <c r="C49" s="667"/>
      <c r="D49" s="667"/>
      <c r="E49" s="667"/>
      <c r="F49" s="667"/>
      <c r="G49" s="667"/>
      <c r="H49" s="667"/>
      <c r="I49" s="667"/>
      <c r="J49" s="667"/>
      <c r="K49" s="667"/>
      <c r="L49" s="667"/>
      <c r="M49" s="667"/>
      <c r="N49" s="668"/>
      <c r="O49" s="757" t="str">
        <f>文書名</f>
        <v>画面説明書</v>
      </c>
      <c r="P49" s="675"/>
      <c r="Q49" s="675"/>
      <c r="R49" s="675"/>
      <c r="S49" s="675"/>
      <c r="T49" s="675"/>
      <c r="U49" s="675"/>
      <c r="V49" s="675"/>
      <c r="W49" s="675"/>
      <c r="X49" s="675"/>
      <c r="Y49" s="675"/>
      <c r="Z49" s="675"/>
      <c r="AA49" s="675"/>
      <c r="AB49" s="675"/>
      <c r="AC49" s="758" t="s">
        <v>59</v>
      </c>
      <c r="AD49" s="759"/>
      <c r="AE49" s="759"/>
      <c r="AF49" s="759"/>
      <c r="AG49" s="759"/>
      <c r="AH49" s="759"/>
      <c r="AI49" s="760"/>
      <c r="AJ49" s="761" t="str">
        <f>表紙!$Z$40</f>
        <v>MSBD</v>
      </c>
      <c r="AK49" s="762"/>
      <c r="AL49" s="762"/>
      <c r="AM49" s="762"/>
      <c r="AN49" s="762"/>
      <c r="AO49" s="762"/>
      <c r="AP49" s="763"/>
      <c r="AQ49" s="758" t="s">
        <v>60</v>
      </c>
      <c r="AR49" s="759"/>
      <c r="AS49" s="759"/>
      <c r="AT49" s="759"/>
      <c r="AU49" s="759"/>
      <c r="AV49" s="759"/>
      <c r="AW49" s="760"/>
      <c r="AX49" s="764" t="str">
        <f>表紙!$AJ$40</f>
        <v>購買管理</v>
      </c>
      <c r="AY49" s="759"/>
      <c r="AZ49" s="759"/>
      <c r="BA49" s="759"/>
      <c r="BB49" s="759"/>
      <c r="BC49" s="759"/>
      <c r="BD49" s="759"/>
      <c r="BE49" s="759"/>
      <c r="BF49" s="759"/>
      <c r="BG49" s="759"/>
      <c r="BH49" s="759"/>
      <c r="BI49" s="759"/>
      <c r="BJ49" s="759"/>
      <c r="BK49" s="760"/>
      <c r="BL49" s="765" t="str">
        <f>文書番号</f>
        <v>M7-US-1104</v>
      </c>
      <c r="BM49" s="766"/>
      <c r="BN49" s="766"/>
      <c r="BO49" s="766"/>
      <c r="BP49" s="766"/>
      <c r="BQ49" s="766"/>
      <c r="BR49" s="766"/>
      <c r="BS49" s="766"/>
      <c r="BT49" s="767"/>
      <c r="BU49" s="674" t="str">
        <f>Version</f>
        <v>7.0.1</v>
      </c>
      <c r="BV49" s="675"/>
      <c r="BW49" s="675"/>
      <c r="BX49" s="675"/>
      <c r="BY49" s="675"/>
      <c r="BZ49" s="675"/>
      <c r="CA49" s="676"/>
      <c r="CB49" s="680" t="str">
        <f>Revision</f>
        <v>r02.05</v>
      </c>
      <c r="CC49" s="675"/>
      <c r="CD49" s="675"/>
      <c r="CE49" s="675"/>
      <c r="CF49" s="675"/>
      <c r="CG49" s="675"/>
      <c r="CH49" s="681"/>
    </row>
    <row r="50" spans="1:86" ht="16.5" customHeight="1">
      <c r="A50" s="669"/>
      <c r="B50" s="670"/>
      <c r="C50" s="670"/>
      <c r="D50" s="670"/>
      <c r="E50" s="670"/>
      <c r="F50" s="670"/>
      <c r="G50" s="670"/>
      <c r="H50" s="670"/>
      <c r="I50" s="670"/>
      <c r="J50" s="670"/>
      <c r="K50" s="670"/>
      <c r="L50" s="670"/>
      <c r="M50" s="670"/>
      <c r="N50" s="671"/>
      <c r="O50" s="683" t="str">
        <f ca="1">RIGHT(CELL("filename",$A$1),LEN(CELL("filename",$A$1))-FIND("]",CELL("filename",$A$1)))</f>
        <v>表紙</v>
      </c>
      <c r="P50" s="684"/>
      <c r="Q50" s="684"/>
      <c r="R50" s="684"/>
      <c r="S50" s="684"/>
      <c r="T50" s="684"/>
      <c r="U50" s="684"/>
      <c r="V50" s="684"/>
      <c r="W50" s="684"/>
      <c r="X50" s="684"/>
      <c r="Y50" s="684"/>
      <c r="Z50" s="684"/>
      <c r="AA50" s="684"/>
      <c r="AB50" s="684"/>
      <c r="AC50" s="685" t="s">
        <v>56</v>
      </c>
      <c r="AD50" s="686"/>
      <c r="AE50" s="686"/>
      <c r="AF50" s="686"/>
      <c r="AG50" s="686"/>
      <c r="AH50" s="686"/>
      <c r="AI50" s="687"/>
      <c r="AJ50" s="688" t="str">
        <f>表紙!$Z$41</f>
        <v>MSBDP0090</v>
      </c>
      <c r="AK50" s="689"/>
      <c r="AL50" s="689"/>
      <c r="AM50" s="689"/>
      <c r="AN50" s="689"/>
      <c r="AO50" s="689"/>
      <c r="AP50" s="689"/>
      <c r="AQ50" s="690" t="str">
        <f>表紙!$AE$41</f>
        <v>発注一覧登録</v>
      </c>
      <c r="AR50" s="691"/>
      <c r="AS50" s="691"/>
      <c r="AT50" s="691"/>
      <c r="AU50" s="691"/>
      <c r="AV50" s="691"/>
      <c r="AW50" s="691"/>
      <c r="AX50" s="691"/>
      <c r="AY50" s="691"/>
      <c r="AZ50" s="691"/>
      <c r="BA50" s="691"/>
      <c r="BB50" s="691"/>
      <c r="BC50" s="691"/>
      <c r="BD50" s="691"/>
      <c r="BE50" s="691"/>
      <c r="BF50" s="691"/>
      <c r="BG50" s="691"/>
      <c r="BH50" s="691"/>
      <c r="BI50" s="691"/>
      <c r="BJ50" s="691"/>
      <c r="BK50" s="692"/>
      <c r="BL50" s="768"/>
      <c r="BM50" s="769"/>
      <c r="BN50" s="769"/>
      <c r="BO50" s="769"/>
      <c r="BP50" s="769"/>
      <c r="BQ50" s="769"/>
      <c r="BR50" s="769"/>
      <c r="BS50" s="769"/>
      <c r="BT50" s="770"/>
      <c r="BU50" s="677"/>
      <c r="BV50" s="678"/>
      <c r="BW50" s="678"/>
      <c r="BX50" s="678"/>
      <c r="BY50" s="678"/>
      <c r="BZ50" s="678"/>
      <c r="CA50" s="679"/>
      <c r="CB50" s="677"/>
      <c r="CC50" s="678"/>
      <c r="CD50" s="678"/>
      <c r="CE50" s="678"/>
      <c r="CF50" s="678"/>
      <c r="CG50" s="678"/>
      <c r="CH50" s="682"/>
    </row>
    <row r="53" spans="1:86">
      <c r="A53" s="417"/>
      <c r="B53" s="411"/>
      <c r="C53" s="411"/>
      <c r="D53" s="411"/>
      <c r="E53" s="411"/>
      <c r="F53" s="411"/>
      <c r="G53" s="411"/>
      <c r="H53" s="411"/>
      <c r="I53" s="411"/>
      <c r="J53" s="411"/>
      <c r="K53" s="411"/>
      <c r="L53" s="411"/>
      <c r="M53" s="411"/>
      <c r="N53" s="411"/>
      <c r="O53" s="411"/>
      <c r="P53" s="411"/>
      <c r="Q53" s="411"/>
      <c r="R53" s="411"/>
      <c r="S53" s="411"/>
      <c r="T53" s="411"/>
      <c r="U53" s="411"/>
      <c r="V53" s="411"/>
      <c r="W53" s="411"/>
      <c r="X53" s="411"/>
      <c r="Y53" s="411"/>
      <c r="Z53" s="411"/>
      <c r="AA53" s="411"/>
      <c r="AB53" s="411"/>
      <c r="AC53" s="411"/>
      <c r="AD53" s="411"/>
      <c r="AE53" s="411"/>
      <c r="AF53" s="411"/>
      <c r="AG53" s="411"/>
      <c r="AH53" s="411"/>
      <c r="AI53" s="411"/>
      <c r="AJ53" s="411"/>
      <c r="AK53" s="411"/>
      <c r="AL53" s="411"/>
      <c r="AM53" s="411"/>
      <c r="AN53" s="411"/>
      <c r="AO53" s="411"/>
      <c r="AP53" s="411"/>
      <c r="AQ53" s="411"/>
      <c r="AR53" s="411"/>
      <c r="AS53" s="411"/>
      <c r="AT53" s="411"/>
      <c r="AU53" s="411"/>
      <c r="AV53" s="411"/>
      <c r="AW53" s="411"/>
      <c r="AX53" s="411"/>
      <c r="AY53" s="411"/>
      <c r="AZ53" s="411"/>
      <c r="BA53" s="411"/>
      <c r="BB53" s="411"/>
      <c r="BC53" s="411"/>
      <c r="BD53" s="411"/>
      <c r="BE53" s="411"/>
      <c r="BF53" s="411"/>
      <c r="BG53" s="411"/>
      <c r="BH53" s="411"/>
      <c r="BI53" s="411"/>
      <c r="BJ53" s="411"/>
      <c r="BK53" s="411"/>
      <c r="BL53" s="411"/>
      <c r="BM53" s="411"/>
      <c r="BN53" s="411"/>
    </row>
    <row r="54" spans="1:86">
      <c r="A54" s="417"/>
      <c r="B54" s="411"/>
      <c r="C54" s="411"/>
      <c r="D54" s="411"/>
      <c r="E54" s="411"/>
      <c r="F54" s="411"/>
      <c r="G54" s="411"/>
      <c r="H54" s="411"/>
      <c r="I54" s="411"/>
      <c r="J54" s="411"/>
      <c r="K54" s="411"/>
      <c r="L54" s="411"/>
      <c r="M54" s="411"/>
      <c r="N54" s="411"/>
      <c r="O54" s="411"/>
      <c r="P54" s="411"/>
      <c r="Q54" s="411"/>
      <c r="R54" s="411"/>
      <c r="S54" s="411"/>
      <c r="T54" s="411"/>
      <c r="U54" s="411"/>
      <c r="V54" s="411"/>
      <c r="W54" s="411"/>
      <c r="X54" s="411"/>
      <c r="Y54" s="411"/>
      <c r="Z54" s="411"/>
      <c r="AA54" s="411"/>
      <c r="AB54" s="411"/>
      <c r="AC54" s="411"/>
      <c r="AD54" s="411"/>
      <c r="AE54" s="411"/>
      <c r="AF54" s="411"/>
      <c r="AG54" s="411"/>
      <c r="AH54" s="411"/>
      <c r="AI54" s="411"/>
      <c r="AJ54" s="411"/>
      <c r="AK54" s="411"/>
      <c r="AL54" s="411"/>
      <c r="AM54" s="411"/>
      <c r="AN54" s="411"/>
      <c r="AO54" s="411"/>
      <c r="AP54" s="411"/>
      <c r="AQ54" s="411"/>
      <c r="AR54" s="411"/>
      <c r="AS54" s="411"/>
      <c r="AT54" s="411"/>
      <c r="AU54" s="411"/>
      <c r="AV54" s="411"/>
      <c r="AW54" s="411"/>
      <c r="AX54" s="411"/>
      <c r="AY54" s="411"/>
      <c r="AZ54" s="411"/>
      <c r="BA54" s="411"/>
      <c r="BB54" s="411"/>
      <c r="BC54" s="411"/>
      <c r="BD54" s="411"/>
      <c r="BE54" s="411"/>
      <c r="BF54" s="411"/>
      <c r="BG54" s="411"/>
      <c r="BH54" s="411"/>
      <c r="BI54" s="411"/>
      <c r="BJ54" s="411"/>
      <c r="BK54" s="411"/>
      <c r="BL54" s="411"/>
      <c r="BM54" s="411"/>
      <c r="BN54" s="411"/>
    </row>
  </sheetData>
  <mergeCells count="77">
    <mergeCell ref="BF39:BK39"/>
    <mergeCell ref="K40:T40"/>
    <mergeCell ref="U40:Y40"/>
    <mergeCell ref="Z40:AD40"/>
    <mergeCell ref="AE40:AI40"/>
    <mergeCell ref="AJ40:AR40"/>
    <mergeCell ref="BF40:BK41"/>
    <mergeCell ref="K39:T39"/>
    <mergeCell ref="U39:Y39"/>
    <mergeCell ref="Z39:AD39"/>
    <mergeCell ref="AE39:AI39"/>
    <mergeCell ref="AJ39:AR39"/>
    <mergeCell ref="BF43:BK43"/>
    <mergeCell ref="K44:T44"/>
    <mergeCell ref="U44:Y44"/>
    <mergeCell ref="Z44:AD44"/>
    <mergeCell ref="AE44:AI44"/>
    <mergeCell ref="AJ44:AR44"/>
    <mergeCell ref="K43:T43"/>
    <mergeCell ref="U43:Y43"/>
    <mergeCell ref="Z43:AD43"/>
    <mergeCell ref="AE43:AI43"/>
    <mergeCell ref="AJ43:AR43"/>
    <mergeCell ref="BL48:BT48"/>
    <mergeCell ref="BU48:CA48"/>
    <mergeCell ref="CB48:CH48"/>
    <mergeCell ref="O49:AB49"/>
    <mergeCell ref="AC49:AI49"/>
    <mergeCell ref="AJ49:AP49"/>
    <mergeCell ref="AQ49:AW49"/>
    <mergeCell ref="AX49:BK49"/>
    <mergeCell ref="BL49:BT50"/>
    <mergeCell ref="BU49:CA50"/>
    <mergeCell ref="CB49:CH50"/>
    <mergeCell ref="O48:AB48"/>
    <mergeCell ref="AC48:AI48"/>
    <mergeCell ref="AJ48:AP48"/>
    <mergeCell ref="AQ48:AW48"/>
    <mergeCell ref="AP3:AU4"/>
    <mergeCell ref="O5:T6"/>
    <mergeCell ref="U5:Z6"/>
    <mergeCell ref="AA5:AI6"/>
    <mergeCell ref="AJ5:AO6"/>
    <mergeCell ref="AP5:AU6"/>
    <mergeCell ref="B3:J6"/>
    <mergeCell ref="O3:T4"/>
    <mergeCell ref="U3:Z4"/>
    <mergeCell ref="AA3:AI4"/>
    <mergeCell ref="AJ3:AO4"/>
    <mergeCell ref="C31:H32"/>
    <mergeCell ref="A39:J41"/>
    <mergeCell ref="M15:AM18"/>
    <mergeCell ref="AS40:AY41"/>
    <mergeCell ref="AZ40:BE41"/>
    <mergeCell ref="C29:H30"/>
    <mergeCell ref="K41:T41"/>
    <mergeCell ref="U41:Y41"/>
    <mergeCell ref="Z41:AD41"/>
    <mergeCell ref="AE41:AR41"/>
    <mergeCell ref="AS39:AY39"/>
    <mergeCell ref="AZ39:BE39"/>
    <mergeCell ref="A43:J45"/>
    <mergeCell ref="AS44:AY45"/>
    <mergeCell ref="AZ44:BE45"/>
    <mergeCell ref="BF44:BK45"/>
    <mergeCell ref="A48:N50"/>
    <mergeCell ref="O50:AB50"/>
    <mergeCell ref="AC50:AI50"/>
    <mergeCell ref="AJ50:AP50"/>
    <mergeCell ref="AQ50:BK50"/>
    <mergeCell ref="AX48:BK48"/>
    <mergeCell ref="K45:T45"/>
    <mergeCell ref="U45:Y45"/>
    <mergeCell ref="Z45:AD45"/>
    <mergeCell ref="AE45:AR45"/>
    <mergeCell ref="AS43:AY43"/>
    <mergeCell ref="AZ43:BE43"/>
  </mergeCells>
  <phoneticPr fontId="65"/>
  <printOptions horizontalCentered="1" verticalCentered="1"/>
  <pageMargins left="0.78740157480314998" right="0.55118110236220497" top="0.70866141732283505" bottom="0.55118110236220497" header="0.31496062992126" footer="0.15748031496063"/>
  <pageSetup paperSize="9" firstPageNumber="0" orientation="landscape" useFirstPageNumber="1"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BM30"/>
  <sheetViews>
    <sheetView showGridLines="0" showZeros="0" view="pageBreakPreview" zoomScaleNormal="100" zoomScaleSheetLayoutView="100" workbookViewId="0">
      <selection sqref="A1:J3"/>
    </sheetView>
  </sheetViews>
  <sheetFormatPr defaultColWidth="2.08984375" defaultRowHeight="13.5"/>
  <cols>
    <col min="1" max="1" width="2" style="1" customWidth="1"/>
    <col min="2" max="2" width="2" style="6" customWidth="1"/>
    <col min="3" max="5" width="2" style="7" customWidth="1"/>
    <col min="6" max="9" width="2" style="8" customWidth="1"/>
    <col min="10" max="10" width="2" style="7" customWidth="1"/>
    <col min="11" max="16" width="2" style="8" customWidth="1"/>
    <col min="17" max="17" width="2" style="42" customWidth="1"/>
    <col min="18" max="65" width="2" style="1" customWidth="1"/>
    <col min="66" max="16384" width="2.08984375" style="1"/>
  </cols>
  <sheetData>
    <row r="1" spans="1:65" ht="15.75" customHeight="1">
      <c r="A1" s="802" t="str">
        <f ca="1">INDIRECT("表紙!$A$39")</f>
        <v>mcframe 7</v>
      </c>
      <c r="B1" s="803"/>
      <c r="C1" s="803"/>
      <c r="D1" s="803"/>
      <c r="E1" s="803"/>
      <c r="F1" s="803"/>
      <c r="G1" s="803"/>
      <c r="H1" s="803"/>
      <c r="I1" s="803"/>
      <c r="J1" s="804"/>
      <c r="K1" s="771" t="s">
        <v>45</v>
      </c>
      <c r="L1" s="857"/>
      <c r="M1" s="857"/>
      <c r="N1" s="857"/>
      <c r="O1" s="857"/>
      <c r="P1" s="857"/>
      <c r="Q1" s="857"/>
      <c r="R1" s="857"/>
      <c r="S1" s="857"/>
      <c r="T1" s="858"/>
      <c r="U1" s="781" t="s">
        <v>46</v>
      </c>
      <c r="V1" s="859"/>
      <c r="W1" s="859"/>
      <c r="X1" s="859"/>
      <c r="Y1" s="860"/>
      <c r="Z1" s="693" t="str">
        <f ca="1">INDIRECT("表紙!$Z$39")</f>
        <v>MS</v>
      </c>
      <c r="AA1" s="861"/>
      <c r="AB1" s="861"/>
      <c r="AC1" s="861"/>
      <c r="AD1" s="861"/>
      <c r="AE1" s="861"/>
      <c r="AF1" s="862"/>
      <c r="AG1" s="773" t="s">
        <v>48</v>
      </c>
      <c r="AH1" s="840"/>
      <c r="AI1" s="840"/>
      <c r="AJ1" s="840"/>
      <c r="AK1" s="841"/>
      <c r="AL1" s="784" t="str">
        <f ca="1">INDIRECT("表紙!$AJ$39")</f>
        <v>SCM</v>
      </c>
      <c r="AM1" s="859"/>
      <c r="AN1" s="859"/>
      <c r="AO1" s="859"/>
      <c r="AP1" s="859"/>
      <c r="AQ1" s="859"/>
      <c r="AR1" s="859"/>
      <c r="AS1" s="859"/>
      <c r="AT1" s="860"/>
      <c r="AU1" s="704" t="s">
        <v>5</v>
      </c>
      <c r="AV1" s="704"/>
      <c r="AW1" s="704"/>
      <c r="AX1" s="704"/>
      <c r="AY1" s="704"/>
      <c r="AZ1" s="704"/>
      <c r="BA1" s="704"/>
      <c r="BB1" s="705" t="s">
        <v>37</v>
      </c>
      <c r="BC1" s="840"/>
      <c r="BD1" s="840"/>
      <c r="BE1" s="840"/>
      <c r="BF1" s="840"/>
      <c r="BG1" s="841"/>
      <c r="BH1" s="705" t="s">
        <v>50</v>
      </c>
      <c r="BI1" s="840"/>
      <c r="BJ1" s="840"/>
      <c r="BK1" s="840"/>
      <c r="BL1" s="840"/>
      <c r="BM1" s="842"/>
    </row>
    <row r="2" spans="1:65" ht="15.75" customHeight="1">
      <c r="A2" s="805"/>
      <c r="B2" s="806"/>
      <c r="C2" s="806"/>
      <c r="D2" s="806"/>
      <c r="E2" s="806"/>
      <c r="F2" s="806"/>
      <c r="G2" s="806"/>
      <c r="H2" s="806"/>
      <c r="I2" s="806"/>
      <c r="J2" s="807"/>
      <c r="K2" s="843" t="s">
        <v>0</v>
      </c>
      <c r="L2" s="797"/>
      <c r="M2" s="797"/>
      <c r="N2" s="797"/>
      <c r="O2" s="797"/>
      <c r="P2" s="797"/>
      <c r="Q2" s="797"/>
      <c r="R2" s="797"/>
      <c r="S2" s="797"/>
      <c r="T2" s="798"/>
      <c r="U2" s="775" t="s">
        <v>51</v>
      </c>
      <c r="V2" s="844"/>
      <c r="W2" s="844"/>
      <c r="X2" s="844"/>
      <c r="Y2" s="845"/>
      <c r="Z2" s="761" t="str">
        <f ca="1">INDIRECT("表紙!$Z$40")</f>
        <v>MSBD</v>
      </c>
      <c r="AA2" s="762"/>
      <c r="AB2" s="762"/>
      <c r="AC2" s="762"/>
      <c r="AD2" s="762"/>
      <c r="AE2" s="762"/>
      <c r="AF2" s="763"/>
      <c r="AG2" s="758" t="s">
        <v>53</v>
      </c>
      <c r="AH2" s="846"/>
      <c r="AI2" s="846"/>
      <c r="AJ2" s="846"/>
      <c r="AK2" s="847"/>
      <c r="AL2" s="848" t="str">
        <f ca="1">INDIRECT("表紙!$AJ$40")</f>
        <v>購買管理</v>
      </c>
      <c r="AM2" s="849"/>
      <c r="AN2" s="849"/>
      <c r="AO2" s="849"/>
      <c r="AP2" s="849"/>
      <c r="AQ2" s="849"/>
      <c r="AR2" s="849"/>
      <c r="AS2" s="849"/>
      <c r="AT2" s="850"/>
      <c r="AU2" s="794" t="s">
        <v>6</v>
      </c>
      <c r="AV2" s="794"/>
      <c r="AW2" s="794"/>
      <c r="AX2" s="794"/>
      <c r="AY2" s="794"/>
      <c r="AZ2" s="794"/>
      <c r="BA2" s="794"/>
      <c r="BB2" s="796" t="s">
        <v>13</v>
      </c>
      <c r="BC2" s="797"/>
      <c r="BD2" s="797"/>
      <c r="BE2" s="797"/>
      <c r="BF2" s="797"/>
      <c r="BG2" s="798"/>
      <c r="BH2" s="851">
        <f>Rev.</f>
        <v>0.04</v>
      </c>
      <c r="BI2" s="852"/>
      <c r="BJ2" s="852"/>
      <c r="BK2" s="852"/>
      <c r="BL2" s="852"/>
      <c r="BM2" s="853"/>
    </row>
    <row r="3" spans="1:65" ht="15.75" customHeight="1">
      <c r="A3" s="808"/>
      <c r="B3" s="809"/>
      <c r="C3" s="809"/>
      <c r="D3" s="809"/>
      <c r="E3" s="809"/>
      <c r="F3" s="809"/>
      <c r="G3" s="809"/>
      <c r="H3" s="809"/>
      <c r="I3" s="809"/>
      <c r="J3" s="810"/>
      <c r="K3" s="863" t="str">
        <f ca="1">RIGHT(CELL("filename",$A$1),LEN(CELL("filename",$A$1))-FIND("]",CELL("filename",$A$1)))</f>
        <v>変更来歴（カスタマイズ）</v>
      </c>
      <c r="L3" s="864"/>
      <c r="M3" s="864"/>
      <c r="N3" s="864"/>
      <c r="O3" s="864"/>
      <c r="P3" s="864"/>
      <c r="Q3" s="864"/>
      <c r="R3" s="864"/>
      <c r="S3" s="864"/>
      <c r="T3" s="865"/>
      <c r="U3" s="697" t="s">
        <v>56</v>
      </c>
      <c r="V3" s="866"/>
      <c r="W3" s="866"/>
      <c r="X3" s="866"/>
      <c r="Y3" s="867"/>
      <c r="Z3" s="826" t="str">
        <f ca="1">INDIRECT("表紙!$Z$41")</f>
        <v>MSBDP0090</v>
      </c>
      <c r="AA3" s="827"/>
      <c r="AB3" s="827"/>
      <c r="AC3" s="827"/>
      <c r="AD3" s="827"/>
      <c r="AE3" s="827"/>
      <c r="AF3" s="827"/>
      <c r="AG3" s="828" t="str">
        <f ca="1">INDIRECT("表紙!$AE$41")</f>
        <v>発注一覧登録</v>
      </c>
      <c r="AH3" s="829"/>
      <c r="AI3" s="829"/>
      <c r="AJ3" s="829"/>
      <c r="AK3" s="829"/>
      <c r="AL3" s="829"/>
      <c r="AM3" s="829"/>
      <c r="AN3" s="829"/>
      <c r="AO3" s="829"/>
      <c r="AP3" s="829"/>
      <c r="AQ3" s="829"/>
      <c r="AR3" s="829"/>
      <c r="AS3" s="829"/>
      <c r="AT3" s="830"/>
      <c r="AU3" s="795"/>
      <c r="AV3" s="795"/>
      <c r="AW3" s="795"/>
      <c r="AX3" s="795"/>
      <c r="AY3" s="795"/>
      <c r="AZ3" s="795"/>
      <c r="BA3" s="795"/>
      <c r="BB3" s="799"/>
      <c r="BC3" s="800"/>
      <c r="BD3" s="800"/>
      <c r="BE3" s="800"/>
      <c r="BF3" s="800"/>
      <c r="BG3" s="801"/>
      <c r="BH3" s="854"/>
      <c r="BI3" s="855"/>
      <c r="BJ3" s="855"/>
      <c r="BK3" s="855"/>
      <c r="BL3" s="855"/>
      <c r="BM3" s="856"/>
    </row>
    <row r="4" spans="1:65" ht="9.75" customHeight="1">
      <c r="A4" s="360"/>
      <c r="B4" s="360"/>
      <c r="C4" s="360"/>
      <c r="D4" s="360"/>
      <c r="E4" s="360"/>
      <c r="F4" s="360"/>
      <c r="G4" s="360"/>
      <c r="H4" s="360"/>
      <c r="I4" s="360"/>
      <c r="J4" s="360"/>
    </row>
    <row r="5" spans="1:65" ht="15.75" customHeight="1">
      <c r="A5" s="395" t="s">
        <v>50</v>
      </c>
      <c r="B5" s="396"/>
      <c r="C5" s="396"/>
      <c r="D5" s="397"/>
      <c r="E5" s="395" t="s">
        <v>61</v>
      </c>
      <c r="F5" s="396"/>
      <c r="G5" s="396"/>
      <c r="H5" s="396"/>
      <c r="I5" s="396"/>
      <c r="J5" s="396"/>
      <c r="K5" s="396"/>
      <c r="L5" s="396"/>
      <c r="M5" s="396"/>
      <c r="N5" s="396"/>
      <c r="O5" s="396"/>
      <c r="P5" s="396"/>
      <c r="Q5" s="396"/>
      <c r="R5" s="396"/>
      <c r="S5" s="396"/>
      <c r="T5" s="396"/>
      <c r="U5" s="396"/>
      <c r="V5" s="397"/>
      <c r="W5" s="831" t="s">
        <v>62</v>
      </c>
      <c r="X5" s="832"/>
      <c r="Y5" s="832"/>
      <c r="Z5" s="832"/>
      <c r="AA5" s="832"/>
      <c r="AB5" s="832"/>
      <c r="AC5" s="832"/>
      <c r="AD5" s="832"/>
      <c r="AE5" s="832"/>
      <c r="AF5" s="832"/>
      <c r="AG5" s="832"/>
      <c r="AH5" s="832"/>
      <c r="AI5" s="832"/>
      <c r="AJ5" s="832"/>
      <c r="AK5" s="832"/>
      <c r="AL5" s="832"/>
      <c r="AM5" s="832"/>
      <c r="AN5" s="832"/>
      <c r="AO5" s="832"/>
      <c r="AP5" s="833"/>
      <c r="AQ5" s="395" t="s">
        <v>63</v>
      </c>
      <c r="AR5" s="396"/>
      <c r="AS5" s="396"/>
      <c r="AT5" s="396"/>
      <c r="AU5" s="397"/>
      <c r="AV5" s="395" t="s">
        <v>64</v>
      </c>
      <c r="AW5" s="396"/>
      <c r="AX5" s="396"/>
      <c r="AY5" s="396"/>
      <c r="AZ5" s="397"/>
      <c r="BA5" s="395" t="s">
        <v>65</v>
      </c>
      <c r="BB5" s="396"/>
      <c r="BC5" s="396"/>
      <c r="BD5" s="396"/>
      <c r="BE5" s="396"/>
      <c r="BF5" s="396"/>
      <c r="BG5" s="396"/>
      <c r="BH5" s="396"/>
      <c r="BI5" s="396"/>
      <c r="BJ5" s="396"/>
      <c r="BK5" s="396"/>
      <c r="BL5" s="396"/>
      <c r="BM5" s="397"/>
    </row>
    <row r="6" spans="1:65" ht="15.75" customHeight="1">
      <c r="A6" s="834" t="s">
        <v>66</v>
      </c>
      <c r="B6" s="835"/>
      <c r="C6" s="835"/>
      <c r="D6" s="836"/>
      <c r="E6" s="398" t="s">
        <v>67</v>
      </c>
      <c r="F6" s="398"/>
      <c r="G6" s="398"/>
      <c r="H6" s="398"/>
      <c r="I6" s="398"/>
      <c r="J6" s="401"/>
      <c r="K6" s="402"/>
      <c r="L6" s="401"/>
      <c r="M6" s="402"/>
      <c r="N6" s="402"/>
      <c r="O6" s="402"/>
      <c r="P6" s="398"/>
      <c r="Q6" s="398"/>
      <c r="R6" s="398"/>
      <c r="S6" s="398"/>
      <c r="T6" s="398"/>
      <c r="U6" s="398"/>
      <c r="V6" s="405"/>
      <c r="W6" s="406"/>
      <c r="X6" s="398"/>
      <c r="Y6" s="398"/>
      <c r="Z6" s="398"/>
      <c r="AA6" s="398"/>
      <c r="AB6" s="398"/>
      <c r="AC6" s="398"/>
      <c r="AD6" s="398"/>
      <c r="AE6" s="398"/>
      <c r="AF6" s="398"/>
      <c r="AG6" s="398"/>
      <c r="AH6" s="398"/>
      <c r="AI6" s="398"/>
      <c r="AJ6" s="398"/>
      <c r="AK6" s="398"/>
      <c r="AL6" s="398"/>
      <c r="AM6" s="398"/>
      <c r="AN6" s="398"/>
      <c r="AO6" s="398"/>
      <c r="AP6" s="405"/>
      <c r="AQ6" s="837">
        <v>44075</v>
      </c>
      <c r="AR6" s="838"/>
      <c r="AS6" s="838"/>
      <c r="AT6" s="838"/>
      <c r="AU6" s="839"/>
      <c r="AV6" s="823" t="s">
        <v>33</v>
      </c>
      <c r="AW6" s="824"/>
      <c r="AX6" s="824"/>
      <c r="AY6" s="824"/>
      <c r="AZ6" s="825"/>
      <c r="BA6" s="398"/>
      <c r="BB6" s="398"/>
      <c r="BC6" s="398"/>
      <c r="BD6" s="398"/>
      <c r="BE6" s="398"/>
      <c r="BF6" s="398"/>
      <c r="BG6" s="398"/>
      <c r="BH6" s="398"/>
      <c r="BI6" s="398"/>
      <c r="BJ6" s="398"/>
      <c r="BK6" s="398"/>
      <c r="BL6" s="398"/>
      <c r="BM6" s="405"/>
    </row>
    <row r="7" spans="1:65" ht="15.75" customHeight="1">
      <c r="A7" s="820" t="s">
        <v>68</v>
      </c>
      <c r="B7" s="812"/>
      <c r="C7" s="812"/>
      <c r="D7" s="813"/>
      <c r="E7" s="399" t="s">
        <v>69</v>
      </c>
      <c r="F7" s="399"/>
      <c r="G7" s="399"/>
      <c r="H7" s="399"/>
      <c r="I7" s="399"/>
      <c r="J7" s="399"/>
      <c r="K7" s="399"/>
      <c r="L7" s="403"/>
      <c r="M7" s="404"/>
      <c r="N7" s="404"/>
      <c r="O7" s="404"/>
      <c r="P7" s="399"/>
      <c r="Q7" s="399"/>
      <c r="R7" s="399"/>
      <c r="S7" s="399"/>
      <c r="T7" s="399"/>
      <c r="U7" s="399"/>
      <c r="V7" s="407"/>
      <c r="W7" s="408" t="s">
        <v>70</v>
      </c>
      <c r="X7" s="399"/>
      <c r="Y7" s="399"/>
      <c r="Z7" s="399"/>
      <c r="AA7" s="399"/>
      <c r="AB7" s="399"/>
      <c r="AC7" s="399"/>
      <c r="AD7" s="399"/>
      <c r="AE7" s="399"/>
      <c r="AF7" s="399"/>
      <c r="AG7" s="399"/>
      <c r="AH7" s="399"/>
      <c r="AI7" s="399"/>
      <c r="AJ7" s="399"/>
      <c r="AK7" s="399"/>
      <c r="AL7" s="399"/>
      <c r="AM7" s="399"/>
      <c r="AN7" s="399"/>
      <c r="AO7" s="399"/>
      <c r="AP7" s="407"/>
      <c r="AQ7" s="814">
        <v>44154</v>
      </c>
      <c r="AR7" s="815"/>
      <c r="AS7" s="815"/>
      <c r="AT7" s="815"/>
      <c r="AU7" s="816"/>
      <c r="AV7" s="817" t="s">
        <v>33</v>
      </c>
      <c r="AW7" s="818"/>
      <c r="AX7" s="818"/>
      <c r="AY7" s="818"/>
      <c r="AZ7" s="819"/>
      <c r="BA7" s="399" t="s">
        <v>71</v>
      </c>
      <c r="BB7" s="399"/>
      <c r="BC7" s="399"/>
      <c r="BD7" s="399"/>
      <c r="BE7" s="399"/>
      <c r="BF7" s="399"/>
      <c r="BG7" s="399"/>
      <c r="BH7" s="399"/>
      <c r="BI7" s="399"/>
      <c r="BJ7" s="399"/>
      <c r="BK7" s="399"/>
      <c r="BL7" s="399"/>
      <c r="BM7" s="407"/>
    </row>
    <row r="8" spans="1:65" ht="15.75" customHeight="1">
      <c r="A8" s="811"/>
      <c r="B8" s="812"/>
      <c r="C8" s="812"/>
      <c r="D8" s="813"/>
      <c r="E8" s="399"/>
      <c r="F8" s="399"/>
      <c r="G8" s="399"/>
      <c r="H8" s="399"/>
      <c r="I8" s="399"/>
      <c r="J8" s="399"/>
      <c r="K8" s="399"/>
      <c r="L8" s="403"/>
      <c r="M8" s="404"/>
      <c r="N8" s="404"/>
      <c r="O8" s="404"/>
      <c r="P8" s="399"/>
      <c r="Q8" s="399"/>
      <c r="R8" s="399"/>
      <c r="S8" s="399"/>
      <c r="T8" s="399"/>
      <c r="U8" s="399"/>
      <c r="V8" s="407"/>
      <c r="W8" s="408" t="s">
        <v>72</v>
      </c>
      <c r="X8" s="399"/>
      <c r="Y8" s="399"/>
      <c r="Z8" s="399"/>
      <c r="AA8" s="399"/>
      <c r="AB8" s="399"/>
      <c r="AC8" s="399"/>
      <c r="AD8" s="399"/>
      <c r="AE8" s="399"/>
      <c r="AF8" s="399"/>
      <c r="AG8" s="399"/>
      <c r="AH8" s="399"/>
      <c r="AI8" s="399"/>
      <c r="AJ8" s="399"/>
      <c r="AK8" s="399"/>
      <c r="AL8" s="399"/>
      <c r="AM8" s="399"/>
      <c r="AN8" s="399"/>
      <c r="AO8" s="399"/>
      <c r="AP8" s="407"/>
      <c r="AQ8" s="814"/>
      <c r="AR8" s="815"/>
      <c r="AS8" s="815"/>
      <c r="AT8" s="815"/>
      <c r="AU8" s="816"/>
      <c r="AV8" s="817"/>
      <c r="AW8" s="818"/>
      <c r="AX8" s="818"/>
      <c r="AY8" s="818"/>
      <c r="AZ8" s="819"/>
      <c r="BA8" s="399" t="s">
        <v>73</v>
      </c>
      <c r="BB8" s="399"/>
      <c r="BC8" s="399"/>
      <c r="BD8" s="399"/>
      <c r="BE8" s="399"/>
      <c r="BF8" s="399"/>
      <c r="BG8" s="399"/>
      <c r="BH8" s="399"/>
      <c r="BI8" s="399"/>
      <c r="BJ8" s="399"/>
      <c r="BK8" s="399"/>
      <c r="BL8" s="399"/>
      <c r="BM8" s="407"/>
    </row>
    <row r="9" spans="1:65" ht="15.75" customHeight="1">
      <c r="A9" s="811"/>
      <c r="B9" s="812"/>
      <c r="C9" s="812"/>
      <c r="D9" s="813"/>
      <c r="E9" s="399" t="s">
        <v>74</v>
      </c>
      <c r="F9" s="399"/>
      <c r="G9" s="399"/>
      <c r="H9" s="399"/>
      <c r="I9" s="399"/>
      <c r="J9" s="399"/>
      <c r="K9" s="399"/>
      <c r="L9" s="403"/>
      <c r="M9" s="404"/>
      <c r="N9" s="404"/>
      <c r="O9" s="404"/>
      <c r="P9" s="399"/>
      <c r="Q9" s="399"/>
      <c r="R9" s="399"/>
      <c r="S9" s="399"/>
      <c r="T9" s="399"/>
      <c r="U9" s="399"/>
      <c r="V9" s="407"/>
      <c r="W9" s="408"/>
      <c r="X9" s="399"/>
      <c r="Y9" s="399"/>
      <c r="Z9" s="399"/>
      <c r="AA9" s="399"/>
      <c r="AB9" s="399"/>
      <c r="AC9" s="399"/>
      <c r="AD9" s="399"/>
      <c r="AE9" s="399"/>
      <c r="AF9" s="399"/>
      <c r="AG9" s="399"/>
      <c r="AH9" s="399"/>
      <c r="AI9" s="399"/>
      <c r="AJ9" s="399"/>
      <c r="AK9" s="399"/>
      <c r="AL9" s="399"/>
      <c r="AM9" s="399"/>
      <c r="AN9" s="399"/>
      <c r="AO9" s="399"/>
      <c r="AP9" s="407"/>
      <c r="AQ9" s="814"/>
      <c r="AR9" s="815"/>
      <c r="AS9" s="815"/>
      <c r="AT9" s="815"/>
      <c r="AU9" s="816"/>
      <c r="AV9" s="817"/>
      <c r="AW9" s="818"/>
      <c r="AX9" s="818"/>
      <c r="AY9" s="818"/>
      <c r="AZ9" s="819"/>
      <c r="BA9" s="399" t="s">
        <v>75</v>
      </c>
      <c r="BB9" s="399"/>
      <c r="BC9" s="399"/>
      <c r="BD9" s="399"/>
      <c r="BE9" s="399"/>
      <c r="BF9" s="399"/>
      <c r="BG9" s="399"/>
      <c r="BH9" s="399"/>
      <c r="BI9" s="399"/>
      <c r="BJ9" s="399"/>
      <c r="BK9" s="399"/>
      <c r="BL9" s="399"/>
      <c r="BM9" s="407"/>
    </row>
    <row r="10" spans="1:65" ht="15.75" customHeight="1">
      <c r="A10" s="820" t="s">
        <v>1312</v>
      </c>
      <c r="B10" s="821"/>
      <c r="C10" s="821"/>
      <c r="D10" s="822"/>
      <c r="E10" s="399" t="s">
        <v>1313</v>
      </c>
      <c r="F10" s="399"/>
      <c r="G10" s="399"/>
      <c r="H10" s="399"/>
      <c r="I10" s="399"/>
      <c r="J10" s="399"/>
      <c r="K10" s="399"/>
      <c r="L10" s="471"/>
      <c r="M10" s="472"/>
      <c r="N10" s="472"/>
      <c r="O10" s="472"/>
      <c r="P10" s="399"/>
      <c r="Q10" s="399"/>
      <c r="R10" s="399"/>
      <c r="S10" s="399"/>
      <c r="T10" s="399"/>
      <c r="U10" s="399"/>
      <c r="V10" s="407"/>
      <c r="W10" s="408"/>
      <c r="X10" s="399"/>
      <c r="Y10" s="399"/>
      <c r="Z10" s="399"/>
      <c r="AA10" s="399"/>
      <c r="AB10" s="399"/>
      <c r="AC10" s="399"/>
      <c r="AD10" s="399"/>
      <c r="AE10" s="399"/>
      <c r="AF10" s="399"/>
      <c r="AG10" s="399"/>
      <c r="AH10" s="399"/>
      <c r="AI10" s="399"/>
      <c r="AJ10" s="399"/>
      <c r="AK10" s="399"/>
      <c r="AL10" s="399"/>
      <c r="AM10" s="399"/>
      <c r="AN10" s="399"/>
      <c r="AO10" s="399"/>
      <c r="AP10" s="407"/>
      <c r="AQ10" s="814">
        <v>44172</v>
      </c>
      <c r="AR10" s="815"/>
      <c r="AS10" s="815"/>
      <c r="AT10" s="815"/>
      <c r="AU10" s="816"/>
      <c r="AV10" s="817" t="s">
        <v>1314</v>
      </c>
      <c r="AW10" s="818"/>
      <c r="AX10" s="818"/>
      <c r="AY10" s="818"/>
      <c r="AZ10" s="819"/>
      <c r="BA10" s="399"/>
      <c r="BB10" s="399"/>
      <c r="BC10" s="399"/>
      <c r="BD10" s="399"/>
      <c r="BE10" s="399"/>
      <c r="BF10" s="399"/>
      <c r="BG10" s="399"/>
      <c r="BH10" s="399"/>
      <c r="BI10" s="399"/>
      <c r="BJ10" s="399"/>
      <c r="BK10" s="399"/>
      <c r="BL10" s="399"/>
      <c r="BM10" s="407"/>
    </row>
    <row r="11" spans="1:65" ht="15.75" customHeight="1">
      <c r="A11" s="820" t="s">
        <v>1352</v>
      </c>
      <c r="B11" s="821"/>
      <c r="C11" s="821"/>
      <c r="D11" s="822"/>
      <c r="E11" s="399" t="s">
        <v>1367</v>
      </c>
      <c r="F11" s="399"/>
      <c r="G11" s="399"/>
      <c r="H11" s="399"/>
      <c r="I11" s="399"/>
      <c r="J11" s="399"/>
      <c r="K11" s="399"/>
      <c r="L11" s="475"/>
      <c r="M11" s="476"/>
      <c r="N11" s="476"/>
      <c r="O11" s="476"/>
      <c r="P11" s="399"/>
      <c r="Q11" s="399"/>
      <c r="R11" s="399"/>
      <c r="S11" s="399"/>
      <c r="T11" s="399"/>
      <c r="U11" s="399"/>
      <c r="V11" s="407"/>
      <c r="W11" s="408" t="s">
        <v>1368</v>
      </c>
      <c r="X11" s="399"/>
      <c r="Y11" s="399"/>
      <c r="Z11" s="399"/>
      <c r="AA11" s="399"/>
      <c r="AB11" s="399"/>
      <c r="AC11" s="399"/>
      <c r="AD11" s="399"/>
      <c r="AE11" s="399"/>
      <c r="AF11" s="399"/>
      <c r="AG11" s="399"/>
      <c r="AH11" s="399"/>
      <c r="AI11" s="399"/>
      <c r="AJ11" s="399"/>
      <c r="AK11" s="399"/>
      <c r="AL11" s="399"/>
      <c r="AM11" s="399"/>
      <c r="AN11" s="399"/>
      <c r="AO11" s="399"/>
      <c r="AP11" s="407"/>
      <c r="AQ11" s="814">
        <v>44230</v>
      </c>
      <c r="AR11" s="815"/>
      <c r="AS11" s="815"/>
      <c r="AT11" s="815"/>
      <c r="AU11" s="816"/>
      <c r="AV11" s="817" t="s">
        <v>1314</v>
      </c>
      <c r="AW11" s="818"/>
      <c r="AX11" s="818"/>
      <c r="AY11" s="818"/>
      <c r="AZ11" s="819"/>
      <c r="BA11" s="399" t="s">
        <v>1369</v>
      </c>
      <c r="BB11" s="399"/>
      <c r="BC11" s="399"/>
      <c r="BD11" s="399"/>
      <c r="BE11" s="399"/>
      <c r="BF11" s="399"/>
      <c r="BG11" s="399"/>
      <c r="BH11" s="399"/>
      <c r="BI11" s="399"/>
      <c r="BJ11" s="399"/>
      <c r="BK11" s="399"/>
      <c r="BL11" s="399"/>
      <c r="BM11" s="407"/>
    </row>
    <row r="12" spans="1:65" ht="15.75" customHeight="1">
      <c r="A12" s="820"/>
      <c r="B12" s="821"/>
      <c r="C12" s="821"/>
      <c r="D12" s="822"/>
      <c r="E12" s="399"/>
      <c r="F12" s="399"/>
      <c r="G12" s="399"/>
      <c r="H12" s="399"/>
      <c r="I12" s="399"/>
      <c r="J12" s="399"/>
      <c r="K12" s="399"/>
      <c r="L12" s="399"/>
      <c r="M12" s="399"/>
      <c r="N12" s="399"/>
      <c r="O12" s="399"/>
      <c r="P12" s="399"/>
      <c r="Q12" s="399"/>
      <c r="R12" s="399"/>
      <c r="S12" s="399"/>
      <c r="T12" s="399"/>
      <c r="U12" s="399"/>
      <c r="V12" s="407"/>
      <c r="W12" s="408" t="s">
        <v>1387</v>
      </c>
      <c r="X12" s="399"/>
      <c r="Y12" s="399"/>
      <c r="Z12" s="399"/>
      <c r="AA12" s="399"/>
      <c r="AB12" s="399"/>
      <c r="AC12" s="399"/>
      <c r="AD12" s="399"/>
      <c r="AE12" s="399"/>
      <c r="AF12" s="399"/>
      <c r="AG12" s="399"/>
      <c r="AH12" s="399"/>
      <c r="AI12" s="399"/>
      <c r="AJ12" s="399"/>
      <c r="AK12" s="399"/>
      <c r="AL12" s="399"/>
      <c r="AM12" s="399"/>
      <c r="AN12" s="399"/>
      <c r="AO12" s="399"/>
      <c r="AP12" s="407"/>
      <c r="AQ12" s="814"/>
      <c r="AR12" s="815"/>
      <c r="AS12" s="815"/>
      <c r="AT12" s="815"/>
      <c r="AU12" s="816"/>
      <c r="AV12" s="817"/>
      <c r="AW12" s="818"/>
      <c r="AX12" s="818"/>
      <c r="AY12" s="818"/>
      <c r="AZ12" s="819"/>
      <c r="BA12" s="399" t="s">
        <v>1386</v>
      </c>
      <c r="BB12" s="399"/>
      <c r="BC12" s="399"/>
      <c r="BD12" s="399"/>
      <c r="BE12" s="399"/>
      <c r="BF12" s="399"/>
      <c r="BG12" s="399"/>
      <c r="BH12" s="399"/>
      <c r="BI12" s="399"/>
      <c r="BJ12" s="399"/>
      <c r="BK12" s="399"/>
      <c r="BL12" s="399"/>
      <c r="BM12" s="407"/>
    </row>
    <row r="13" spans="1:65" ht="15.75" customHeight="1">
      <c r="A13" s="811"/>
      <c r="B13" s="812"/>
      <c r="C13" s="812"/>
      <c r="D13" s="813"/>
      <c r="E13" s="399" t="s">
        <v>1398</v>
      </c>
      <c r="F13" s="399"/>
      <c r="G13" s="399"/>
      <c r="H13" s="399"/>
      <c r="I13" s="399"/>
      <c r="J13" s="399"/>
      <c r="K13" s="399"/>
      <c r="L13" s="399"/>
      <c r="M13" s="399"/>
      <c r="N13" s="399"/>
      <c r="O13" s="399"/>
      <c r="P13" s="399"/>
      <c r="Q13" s="399"/>
      <c r="R13" s="399"/>
      <c r="S13" s="399"/>
      <c r="T13" s="399"/>
      <c r="U13" s="399"/>
      <c r="V13" s="407"/>
      <c r="W13" s="408" t="s">
        <v>1397</v>
      </c>
      <c r="X13" s="399"/>
      <c r="Y13" s="399"/>
      <c r="Z13" s="399"/>
      <c r="AA13" s="399"/>
      <c r="AB13" s="399"/>
      <c r="AC13" s="399"/>
      <c r="AD13" s="399"/>
      <c r="AE13" s="399"/>
      <c r="AF13" s="399"/>
      <c r="AG13" s="399"/>
      <c r="AH13" s="399"/>
      <c r="AI13" s="399"/>
      <c r="AJ13" s="399"/>
      <c r="AK13" s="399"/>
      <c r="AL13" s="399"/>
      <c r="AM13" s="399"/>
      <c r="AN13" s="399"/>
      <c r="AO13" s="399"/>
      <c r="AP13" s="407"/>
      <c r="AQ13" s="814"/>
      <c r="AR13" s="815"/>
      <c r="AS13" s="815"/>
      <c r="AT13" s="815"/>
      <c r="AU13" s="816"/>
      <c r="AV13" s="817"/>
      <c r="AW13" s="818"/>
      <c r="AX13" s="818"/>
      <c r="AY13" s="818"/>
      <c r="AZ13" s="819"/>
      <c r="BA13" s="399" t="s">
        <v>1399</v>
      </c>
      <c r="BB13" s="399"/>
      <c r="BC13" s="399"/>
      <c r="BD13" s="399"/>
      <c r="BE13" s="399"/>
      <c r="BF13" s="399"/>
      <c r="BG13" s="399"/>
      <c r="BH13" s="399"/>
      <c r="BI13" s="399"/>
      <c r="BJ13" s="399"/>
      <c r="BK13" s="399"/>
      <c r="BL13" s="399"/>
      <c r="BM13" s="407"/>
    </row>
    <row r="14" spans="1:65" ht="15.75" customHeight="1">
      <c r="A14" s="811"/>
      <c r="B14" s="812"/>
      <c r="C14" s="812"/>
      <c r="D14" s="813"/>
      <c r="E14" s="399" t="s">
        <v>1400</v>
      </c>
      <c r="F14" s="399"/>
      <c r="G14" s="399"/>
      <c r="H14" s="399"/>
      <c r="I14" s="399"/>
      <c r="J14" s="399"/>
      <c r="K14" s="399"/>
      <c r="L14" s="399"/>
      <c r="M14" s="399"/>
      <c r="N14" s="399"/>
      <c r="O14" s="399"/>
      <c r="P14" s="399"/>
      <c r="Q14" s="399"/>
      <c r="R14" s="399"/>
      <c r="S14" s="399"/>
      <c r="T14" s="399"/>
      <c r="U14" s="399"/>
      <c r="V14" s="407"/>
      <c r="W14" s="408" t="s">
        <v>1402</v>
      </c>
      <c r="X14" s="399"/>
      <c r="Y14" s="399"/>
      <c r="Z14" s="399"/>
      <c r="AA14" s="399"/>
      <c r="AB14" s="399"/>
      <c r="AC14" s="399"/>
      <c r="AD14" s="399"/>
      <c r="AE14" s="399"/>
      <c r="AF14" s="399"/>
      <c r="AG14" s="399"/>
      <c r="AH14" s="399"/>
      <c r="AI14" s="399"/>
      <c r="AJ14" s="399"/>
      <c r="AK14" s="399"/>
      <c r="AL14" s="399"/>
      <c r="AM14" s="399"/>
      <c r="AN14" s="399"/>
      <c r="AO14" s="399"/>
      <c r="AP14" s="407"/>
      <c r="AQ14" s="814"/>
      <c r="AR14" s="815"/>
      <c r="AS14" s="815"/>
      <c r="AT14" s="815"/>
      <c r="AU14" s="816"/>
      <c r="AV14" s="817"/>
      <c r="AW14" s="818"/>
      <c r="AX14" s="818"/>
      <c r="AY14" s="818"/>
      <c r="AZ14" s="819"/>
      <c r="BA14" s="399" t="s">
        <v>1407</v>
      </c>
      <c r="BB14" s="399"/>
      <c r="BC14" s="399"/>
      <c r="BD14" s="399"/>
      <c r="BE14" s="399"/>
      <c r="BF14" s="399"/>
      <c r="BG14" s="399"/>
      <c r="BH14" s="399"/>
      <c r="BI14" s="399"/>
      <c r="BJ14" s="399"/>
      <c r="BK14" s="399"/>
      <c r="BL14" s="399"/>
      <c r="BM14" s="407"/>
    </row>
    <row r="15" spans="1:65" ht="15.75" customHeight="1">
      <c r="A15" s="811"/>
      <c r="B15" s="812"/>
      <c r="C15" s="812"/>
      <c r="D15" s="813"/>
      <c r="E15" s="399"/>
      <c r="F15" s="399"/>
      <c r="G15" s="399"/>
      <c r="H15" s="399"/>
      <c r="I15" s="399"/>
      <c r="J15" s="399"/>
      <c r="K15" s="399"/>
      <c r="L15" s="399"/>
      <c r="M15" s="399"/>
      <c r="N15" s="399"/>
      <c r="O15" s="399"/>
      <c r="P15" s="399"/>
      <c r="Q15" s="399"/>
      <c r="R15" s="399"/>
      <c r="S15" s="399"/>
      <c r="T15" s="399"/>
      <c r="U15" s="399"/>
      <c r="V15" s="407"/>
      <c r="W15" s="408"/>
      <c r="X15" s="399"/>
      <c r="Y15" s="399"/>
      <c r="Z15" s="399"/>
      <c r="AA15" s="399"/>
      <c r="AB15" s="399"/>
      <c r="AC15" s="399"/>
      <c r="AD15" s="399"/>
      <c r="AE15" s="399"/>
      <c r="AF15" s="399"/>
      <c r="AG15" s="399"/>
      <c r="AH15" s="399"/>
      <c r="AI15" s="399"/>
      <c r="AJ15" s="399"/>
      <c r="AK15" s="399"/>
      <c r="AL15" s="399"/>
      <c r="AM15" s="399"/>
      <c r="AN15" s="399"/>
      <c r="AO15" s="399"/>
      <c r="AP15" s="407"/>
      <c r="AQ15" s="814"/>
      <c r="AR15" s="815"/>
      <c r="AS15" s="815"/>
      <c r="AT15" s="815"/>
      <c r="AU15" s="816"/>
      <c r="AV15" s="817"/>
      <c r="AW15" s="818"/>
      <c r="AX15" s="818"/>
      <c r="AY15" s="818"/>
      <c r="AZ15" s="819"/>
      <c r="BA15" s="399"/>
      <c r="BB15" s="399"/>
      <c r="BC15" s="399"/>
      <c r="BD15" s="399"/>
      <c r="BE15" s="399"/>
      <c r="BF15" s="399"/>
      <c r="BG15" s="399"/>
      <c r="BH15" s="399"/>
      <c r="BI15" s="399"/>
      <c r="BJ15" s="399"/>
      <c r="BK15" s="399"/>
      <c r="BL15" s="399"/>
      <c r="BM15" s="407"/>
    </row>
    <row r="16" spans="1:65" ht="15.75" customHeight="1">
      <c r="A16" s="811"/>
      <c r="B16" s="812"/>
      <c r="C16" s="812"/>
      <c r="D16" s="813"/>
      <c r="E16" s="399"/>
      <c r="F16" s="399"/>
      <c r="G16" s="399"/>
      <c r="H16" s="399"/>
      <c r="I16" s="399"/>
      <c r="J16" s="399"/>
      <c r="K16" s="399"/>
      <c r="L16" s="399"/>
      <c r="M16" s="399"/>
      <c r="N16" s="399"/>
      <c r="O16" s="399"/>
      <c r="P16" s="399"/>
      <c r="Q16" s="399"/>
      <c r="R16" s="399"/>
      <c r="S16" s="399"/>
      <c r="T16" s="399"/>
      <c r="U16" s="399"/>
      <c r="V16" s="407"/>
      <c r="W16" s="408"/>
      <c r="X16" s="399"/>
      <c r="Y16" s="399"/>
      <c r="Z16" s="399"/>
      <c r="AA16" s="399"/>
      <c r="AB16" s="399"/>
      <c r="AC16" s="399"/>
      <c r="AD16" s="399"/>
      <c r="AE16" s="399"/>
      <c r="AF16" s="399"/>
      <c r="AG16" s="399"/>
      <c r="AH16" s="399"/>
      <c r="AI16" s="399"/>
      <c r="AJ16" s="399"/>
      <c r="AK16" s="399"/>
      <c r="AL16" s="399"/>
      <c r="AM16" s="399"/>
      <c r="AN16" s="399"/>
      <c r="AO16" s="399"/>
      <c r="AP16" s="407"/>
      <c r="AQ16" s="814"/>
      <c r="AR16" s="815"/>
      <c r="AS16" s="815"/>
      <c r="AT16" s="815"/>
      <c r="AU16" s="816"/>
      <c r="AV16" s="817"/>
      <c r="AW16" s="818"/>
      <c r="AX16" s="818"/>
      <c r="AY16" s="818"/>
      <c r="AZ16" s="819"/>
      <c r="BA16" s="399"/>
      <c r="BB16" s="399"/>
      <c r="BC16" s="399"/>
      <c r="BD16" s="399"/>
      <c r="BE16" s="399"/>
      <c r="BF16" s="399"/>
      <c r="BG16" s="399"/>
      <c r="BH16" s="399"/>
      <c r="BI16" s="399"/>
      <c r="BJ16" s="399"/>
      <c r="BK16" s="399"/>
      <c r="BL16" s="399"/>
      <c r="BM16" s="407"/>
    </row>
    <row r="17" spans="1:65" ht="15.75" customHeight="1">
      <c r="A17" s="811"/>
      <c r="B17" s="812"/>
      <c r="C17" s="812"/>
      <c r="D17" s="813"/>
      <c r="E17" s="399"/>
      <c r="F17" s="399"/>
      <c r="G17" s="399"/>
      <c r="H17" s="399"/>
      <c r="I17" s="399"/>
      <c r="J17" s="399"/>
      <c r="K17" s="399"/>
      <c r="L17" s="399"/>
      <c r="M17" s="399"/>
      <c r="N17" s="399"/>
      <c r="O17" s="399"/>
      <c r="P17" s="399"/>
      <c r="Q17" s="399"/>
      <c r="R17" s="399"/>
      <c r="S17" s="399"/>
      <c r="T17" s="399"/>
      <c r="U17" s="399"/>
      <c r="V17" s="407"/>
      <c r="W17" s="408"/>
      <c r="X17" s="399"/>
      <c r="Y17" s="399"/>
      <c r="Z17" s="399"/>
      <c r="AA17" s="399"/>
      <c r="AB17" s="399"/>
      <c r="AC17" s="399"/>
      <c r="AD17" s="399"/>
      <c r="AE17" s="399"/>
      <c r="AF17" s="399"/>
      <c r="AG17" s="399"/>
      <c r="AH17" s="399"/>
      <c r="AI17" s="399"/>
      <c r="AJ17" s="399"/>
      <c r="AK17" s="399"/>
      <c r="AL17" s="399"/>
      <c r="AM17" s="399"/>
      <c r="AN17" s="399"/>
      <c r="AO17" s="399"/>
      <c r="AP17" s="407"/>
      <c r="AQ17" s="814"/>
      <c r="AR17" s="815"/>
      <c r="AS17" s="815"/>
      <c r="AT17" s="815"/>
      <c r="AU17" s="816"/>
      <c r="AV17" s="817"/>
      <c r="AW17" s="818"/>
      <c r="AX17" s="818"/>
      <c r="AY17" s="818"/>
      <c r="AZ17" s="819"/>
      <c r="BA17" s="399"/>
      <c r="BB17" s="399"/>
      <c r="BC17" s="399"/>
      <c r="BD17" s="399"/>
      <c r="BE17" s="399"/>
      <c r="BF17" s="399"/>
      <c r="BG17" s="399"/>
      <c r="BH17" s="399"/>
      <c r="BI17" s="399"/>
      <c r="BJ17" s="399"/>
      <c r="BK17" s="399"/>
      <c r="BL17" s="399"/>
      <c r="BM17" s="407"/>
    </row>
    <row r="18" spans="1:65" ht="15.75" customHeight="1">
      <c r="A18" s="811"/>
      <c r="B18" s="812"/>
      <c r="C18" s="812"/>
      <c r="D18" s="813"/>
      <c r="E18" s="399"/>
      <c r="F18" s="399"/>
      <c r="G18" s="399"/>
      <c r="H18" s="399"/>
      <c r="I18" s="399"/>
      <c r="J18" s="399"/>
      <c r="K18" s="399"/>
      <c r="L18" s="399"/>
      <c r="M18" s="399"/>
      <c r="N18" s="399"/>
      <c r="O18" s="399"/>
      <c r="P18" s="399"/>
      <c r="Q18" s="399"/>
      <c r="R18" s="399"/>
      <c r="S18" s="399"/>
      <c r="T18" s="399"/>
      <c r="U18" s="399"/>
      <c r="V18" s="407"/>
      <c r="W18" s="408"/>
      <c r="X18" s="399"/>
      <c r="Y18" s="399"/>
      <c r="Z18" s="399"/>
      <c r="AA18" s="399"/>
      <c r="AB18" s="399"/>
      <c r="AC18" s="399"/>
      <c r="AD18" s="399"/>
      <c r="AE18" s="399"/>
      <c r="AF18" s="399"/>
      <c r="AG18" s="399"/>
      <c r="AH18" s="399"/>
      <c r="AI18" s="399"/>
      <c r="AJ18" s="399"/>
      <c r="AK18" s="399"/>
      <c r="AL18" s="399"/>
      <c r="AM18" s="399"/>
      <c r="AN18" s="399"/>
      <c r="AO18" s="399"/>
      <c r="AP18" s="407"/>
      <c r="AQ18" s="814"/>
      <c r="AR18" s="815"/>
      <c r="AS18" s="815"/>
      <c r="AT18" s="815"/>
      <c r="AU18" s="816"/>
      <c r="AV18" s="817"/>
      <c r="AW18" s="818"/>
      <c r="AX18" s="818"/>
      <c r="AY18" s="818"/>
      <c r="AZ18" s="819"/>
      <c r="BA18" s="399"/>
      <c r="BB18" s="399"/>
      <c r="BC18" s="399"/>
      <c r="BD18" s="399"/>
      <c r="BE18" s="399"/>
      <c r="BF18" s="399"/>
      <c r="BG18" s="399"/>
      <c r="BH18" s="399"/>
      <c r="BI18" s="399"/>
      <c r="BJ18" s="399"/>
      <c r="BK18" s="399"/>
      <c r="BL18" s="399"/>
      <c r="BM18" s="407"/>
    </row>
    <row r="19" spans="1:65" ht="15.75" customHeight="1">
      <c r="A19" s="811"/>
      <c r="B19" s="812"/>
      <c r="C19" s="812"/>
      <c r="D19" s="813"/>
      <c r="E19" s="399"/>
      <c r="F19" s="399"/>
      <c r="G19" s="399"/>
      <c r="H19" s="399"/>
      <c r="I19" s="399"/>
      <c r="J19" s="399"/>
      <c r="K19" s="399"/>
      <c r="L19" s="399"/>
      <c r="M19" s="399"/>
      <c r="N19" s="399"/>
      <c r="O19" s="399"/>
      <c r="P19" s="399"/>
      <c r="Q19" s="399"/>
      <c r="R19" s="399"/>
      <c r="S19" s="399"/>
      <c r="T19" s="399"/>
      <c r="U19" s="399"/>
      <c r="V19" s="407"/>
      <c r="W19" s="408"/>
      <c r="X19" s="399"/>
      <c r="Y19" s="399"/>
      <c r="Z19" s="399"/>
      <c r="AA19" s="399"/>
      <c r="AB19" s="399"/>
      <c r="AC19" s="399"/>
      <c r="AD19" s="399"/>
      <c r="AE19" s="399"/>
      <c r="AF19" s="399"/>
      <c r="AG19" s="399"/>
      <c r="AH19" s="399"/>
      <c r="AI19" s="399"/>
      <c r="AJ19" s="399"/>
      <c r="AK19" s="399"/>
      <c r="AL19" s="399"/>
      <c r="AM19" s="399"/>
      <c r="AN19" s="399"/>
      <c r="AO19" s="399"/>
      <c r="AP19" s="407"/>
      <c r="AQ19" s="814"/>
      <c r="AR19" s="815"/>
      <c r="AS19" s="815"/>
      <c r="AT19" s="815"/>
      <c r="AU19" s="816"/>
      <c r="AV19" s="817"/>
      <c r="AW19" s="818"/>
      <c r="AX19" s="818"/>
      <c r="AY19" s="818"/>
      <c r="AZ19" s="819"/>
      <c r="BA19" s="399"/>
      <c r="BB19" s="399"/>
      <c r="BC19" s="399"/>
      <c r="BD19" s="399"/>
      <c r="BE19" s="399"/>
      <c r="BF19" s="399"/>
      <c r="BG19" s="399"/>
      <c r="BH19" s="399"/>
      <c r="BI19" s="399"/>
      <c r="BJ19" s="399"/>
      <c r="BK19" s="399"/>
      <c r="BL19" s="399"/>
      <c r="BM19" s="407"/>
    </row>
    <row r="20" spans="1:65" ht="15.75" customHeight="1">
      <c r="A20" s="811"/>
      <c r="B20" s="812"/>
      <c r="C20" s="812"/>
      <c r="D20" s="813"/>
      <c r="E20" s="399"/>
      <c r="F20" s="399"/>
      <c r="G20" s="399"/>
      <c r="H20" s="399"/>
      <c r="I20" s="399"/>
      <c r="J20" s="399"/>
      <c r="K20" s="399"/>
      <c r="L20" s="399"/>
      <c r="M20" s="399"/>
      <c r="N20" s="399"/>
      <c r="O20" s="399"/>
      <c r="P20" s="399"/>
      <c r="Q20" s="399"/>
      <c r="R20" s="399"/>
      <c r="S20" s="399"/>
      <c r="T20" s="399"/>
      <c r="U20" s="399"/>
      <c r="V20" s="407"/>
      <c r="W20" s="408"/>
      <c r="X20" s="399"/>
      <c r="Y20" s="399"/>
      <c r="Z20" s="399"/>
      <c r="AA20" s="399"/>
      <c r="AB20" s="399"/>
      <c r="AC20" s="399"/>
      <c r="AD20" s="399"/>
      <c r="AE20" s="399"/>
      <c r="AF20" s="399"/>
      <c r="AG20" s="399"/>
      <c r="AH20" s="399"/>
      <c r="AI20" s="399"/>
      <c r="AJ20" s="399"/>
      <c r="AK20" s="399"/>
      <c r="AL20" s="399"/>
      <c r="AM20" s="399"/>
      <c r="AN20" s="399"/>
      <c r="AO20" s="399"/>
      <c r="AP20" s="407"/>
      <c r="AQ20" s="814"/>
      <c r="AR20" s="815"/>
      <c r="AS20" s="815"/>
      <c r="AT20" s="815"/>
      <c r="AU20" s="816"/>
      <c r="AV20" s="817"/>
      <c r="AW20" s="818"/>
      <c r="AX20" s="818"/>
      <c r="AY20" s="818"/>
      <c r="AZ20" s="819"/>
      <c r="BA20" s="399"/>
      <c r="BB20" s="399"/>
      <c r="BC20" s="399"/>
      <c r="BD20" s="399"/>
      <c r="BE20" s="399"/>
      <c r="BF20" s="399"/>
      <c r="BG20" s="399"/>
      <c r="BH20" s="399"/>
      <c r="BI20" s="399"/>
      <c r="BJ20" s="399"/>
      <c r="BK20" s="399"/>
      <c r="BL20" s="399"/>
      <c r="BM20" s="407"/>
    </row>
    <row r="21" spans="1:65" ht="15.75" customHeight="1">
      <c r="A21" s="811"/>
      <c r="B21" s="812"/>
      <c r="C21" s="812"/>
      <c r="D21" s="813"/>
      <c r="E21" s="399"/>
      <c r="F21" s="399"/>
      <c r="G21" s="399"/>
      <c r="H21" s="399"/>
      <c r="I21" s="399"/>
      <c r="J21" s="399"/>
      <c r="K21" s="399"/>
      <c r="L21" s="399"/>
      <c r="M21" s="399"/>
      <c r="N21" s="399"/>
      <c r="O21" s="399"/>
      <c r="P21" s="399"/>
      <c r="Q21" s="399"/>
      <c r="R21" s="399"/>
      <c r="S21" s="399"/>
      <c r="T21" s="399"/>
      <c r="U21" s="399"/>
      <c r="V21" s="407"/>
      <c r="W21" s="408"/>
      <c r="X21" s="399"/>
      <c r="Y21" s="399"/>
      <c r="Z21" s="399"/>
      <c r="AA21" s="399"/>
      <c r="AB21" s="399"/>
      <c r="AC21" s="399"/>
      <c r="AD21" s="399"/>
      <c r="AE21" s="399"/>
      <c r="AF21" s="399"/>
      <c r="AG21" s="399"/>
      <c r="AH21" s="399"/>
      <c r="AI21" s="399"/>
      <c r="AJ21" s="399"/>
      <c r="AK21" s="399"/>
      <c r="AL21" s="399"/>
      <c r="AM21" s="399"/>
      <c r="AN21" s="399"/>
      <c r="AO21" s="399"/>
      <c r="AP21" s="407"/>
      <c r="AQ21" s="814"/>
      <c r="AR21" s="815"/>
      <c r="AS21" s="815"/>
      <c r="AT21" s="815"/>
      <c r="AU21" s="816"/>
      <c r="AV21" s="817"/>
      <c r="AW21" s="818"/>
      <c r="AX21" s="818"/>
      <c r="AY21" s="818"/>
      <c r="AZ21" s="819"/>
      <c r="BA21" s="399"/>
      <c r="BB21" s="399"/>
      <c r="BC21" s="399"/>
      <c r="BD21" s="399"/>
      <c r="BE21" s="399"/>
      <c r="BF21" s="399"/>
      <c r="BG21" s="399"/>
      <c r="BH21" s="399"/>
      <c r="BI21" s="399"/>
      <c r="BJ21" s="399"/>
      <c r="BK21" s="399"/>
      <c r="BL21" s="399"/>
      <c r="BM21" s="407"/>
    </row>
    <row r="22" spans="1:65" ht="15.75" customHeight="1">
      <c r="A22" s="811"/>
      <c r="B22" s="812"/>
      <c r="C22" s="812"/>
      <c r="D22" s="813"/>
      <c r="E22" s="399"/>
      <c r="F22" s="399"/>
      <c r="G22" s="399"/>
      <c r="H22" s="399"/>
      <c r="I22" s="399"/>
      <c r="J22" s="399"/>
      <c r="K22" s="399"/>
      <c r="L22" s="399"/>
      <c r="M22" s="399"/>
      <c r="N22" s="399"/>
      <c r="O22" s="399"/>
      <c r="P22" s="399"/>
      <c r="Q22" s="399"/>
      <c r="R22" s="399"/>
      <c r="S22" s="399"/>
      <c r="T22" s="399"/>
      <c r="U22" s="399"/>
      <c r="V22" s="407"/>
      <c r="W22" s="408"/>
      <c r="X22" s="399"/>
      <c r="Y22" s="399"/>
      <c r="Z22" s="399"/>
      <c r="AA22" s="399"/>
      <c r="AB22" s="399"/>
      <c r="AC22" s="399"/>
      <c r="AD22" s="399"/>
      <c r="AE22" s="399"/>
      <c r="AF22" s="399"/>
      <c r="AG22" s="399"/>
      <c r="AH22" s="399"/>
      <c r="AI22" s="399"/>
      <c r="AJ22" s="399"/>
      <c r="AK22" s="399"/>
      <c r="AL22" s="399"/>
      <c r="AM22" s="399"/>
      <c r="AN22" s="399"/>
      <c r="AO22" s="399"/>
      <c r="AP22" s="407"/>
      <c r="AQ22" s="814"/>
      <c r="AR22" s="815"/>
      <c r="AS22" s="815"/>
      <c r="AT22" s="815"/>
      <c r="AU22" s="816"/>
      <c r="AV22" s="817"/>
      <c r="AW22" s="818"/>
      <c r="AX22" s="818"/>
      <c r="AY22" s="818"/>
      <c r="AZ22" s="819"/>
      <c r="BA22" s="399"/>
      <c r="BB22" s="399"/>
      <c r="BC22" s="399"/>
      <c r="BD22" s="399"/>
      <c r="BE22" s="399"/>
      <c r="BF22" s="399"/>
      <c r="BG22" s="399"/>
      <c r="BH22" s="399"/>
      <c r="BI22" s="399"/>
      <c r="BJ22" s="399"/>
      <c r="BK22" s="399"/>
      <c r="BL22" s="399"/>
      <c r="BM22" s="407"/>
    </row>
    <row r="23" spans="1:65" ht="15.75" customHeight="1">
      <c r="A23" s="811"/>
      <c r="B23" s="812"/>
      <c r="C23" s="812"/>
      <c r="D23" s="813"/>
      <c r="E23" s="399"/>
      <c r="F23" s="399"/>
      <c r="G23" s="399"/>
      <c r="H23" s="399"/>
      <c r="I23" s="399"/>
      <c r="J23" s="399"/>
      <c r="K23" s="399"/>
      <c r="L23" s="399"/>
      <c r="M23" s="399"/>
      <c r="N23" s="399"/>
      <c r="O23" s="399"/>
      <c r="P23" s="399"/>
      <c r="Q23" s="399"/>
      <c r="R23" s="399"/>
      <c r="S23" s="399"/>
      <c r="T23" s="399"/>
      <c r="U23" s="399"/>
      <c r="V23" s="407"/>
      <c r="W23" s="408"/>
      <c r="X23" s="399"/>
      <c r="Y23" s="399"/>
      <c r="Z23" s="399"/>
      <c r="AA23" s="399"/>
      <c r="AB23" s="399"/>
      <c r="AC23" s="399"/>
      <c r="AD23" s="399"/>
      <c r="AE23" s="399"/>
      <c r="AF23" s="399"/>
      <c r="AG23" s="399"/>
      <c r="AH23" s="399"/>
      <c r="AI23" s="399"/>
      <c r="AJ23" s="399"/>
      <c r="AK23" s="399"/>
      <c r="AL23" s="399"/>
      <c r="AM23" s="399"/>
      <c r="AN23" s="399"/>
      <c r="AO23" s="399"/>
      <c r="AP23" s="407"/>
      <c r="AQ23" s="814"/>
      <c r="AR23" s="815"/>
      <c r="AS23" s="815"/>
      <c r="AT23" s="815"/>
      <c r="AU23" s="816"/>
      <c r="AV23" s="817"/>
      <c r="AW23" s="818"/>
      <c r="AX23" s="818"/>
      <c r="AY23" s="818"/>
      <c r="AZ23" s="819"/>
      <c r="BA23" s="399"/>
      <c r="BB23" s="399"/>
      <c r="BC23" s="399"/>
      <c r="BD23" s="399"/>
      <c r="BE23" s="399"/>
      <c r="BF23" s="399"/>
      <c r="BG23" s="399"/>
      <c r="BH23" s="399"/>
      <c r="BI23" s="399"/>
      <c r="BJ23" s="399"/>
      <c r="BK23" s="399"/>
      <c r="BL23" s="399"/>
      <c r="BM23" s="407"/>
    </row>
    <row r="24" spans="1:65" s="394" customFormat="1" ht="15.75" customHeight="1">
      <c r="A24" s="811"/>
      <c r="B24" s="812"/>
      <c r="C24" s="812"/>
      <c r="D24" s="813"/>
      <c r="E24" s="399"/>
      <c r="F24" s="399"/>
      <c r="G24" s="399"/>
      <c r="H24" s="399"/>
      <c r="I24" s="399"/>
      <c r="J24" s="399"/>
      <c r="K24" s="399"/>
      <c r="L24" s="399"/>
      <c r="M24" s="399"/>
      <c r="N24" s="399"/>
      <c r="O24" s="399"/>
      <c r="P24" s="399"/>
      <c r="Q24" s="399"/>
      <c r="R24" s="399"/>
      <c r="S24" s="399"/>
      <c r="T24" s="399"/>
      <c r="U24" s="399"/>
      <c r="V24" s="407"/>
      <c r="W24" s="408"/>
      <c r="X24" s="399"/>
      <c r="Y24" s="399"/>
      <c r="Z24" s="399"/>
      <c r="AA24" s="399"/>
      <c r="AB24" s="399"/>
      <c r="AC24" s="399"/>
      <c r="AD24" s="399"/>
      <c r="AE24" s="399"/>
      <c r="AF24" s="399"/>
      <c r="AG24" s="399"/>
      <c r="AH24" s="399"/>
      <c r="AI24" s="399"/>
      <c r="AJ24" s="399"/>
      <c r="AK24" s="399"/>
      <c r="AL24" s="399"/>
      <c r="AM24" s="399"/>
      <c r="AN24" s="399"/>
      <c r="AO24" s="399"/>
      <c r="AP24" s="407"/>
      <c r="AQ24" s="814"/>
      <c r="AR24" s="815"/>
      <c r="AS24" s="815"/>
      <c r="AT24" s="815"/>
      <c r="AU24" s="816"/>
      <c r="AV24" s="817"/>
      <c r="AW24" s="818"/>
      <c r="AX24" s="818"/>
      <c r="AY24" s="818"/>
      <c r="AZ24" s="819"/>
      <c r="BA24" s="399"/>
      <c r="BB24" s="399"/>
      <c r="BC24" s="399"/>
      <c r="BD24" s="399"/>
      <c r="BE24" s="399"/>
      <c r="BF24" s="399"/>
      <c r="BG24" s="399"/>
      <c r="BH24" s="399"/>
      <c r="BI24" s="399"/>
      <c r="BJ24" s="399"/>
      <c r="BK24" s="399"/>
      <c r="BL24" s="399"/>
      <c r="BM24" s="407"/>
    </row>
    <row r="25" spans="1:65" ht="15.75" customHeight="1">
      <c r="A25" s="811"/>
      <c r="B25" s="812"/>
      <c r="C25" s="812"/>
      <c r="D25" s="813"/>
      <c r="E25" s="399"/>
      <c r="F25" s="399"/>
      <c r="G25" s="399"/>
      <c r="H25" s="399"/>
      <c r="I25" s="399"/>
      <c r="J25" s="399"/>
      <c r="K25" s="399"/>
      <c r="L25" s="399"/>
      <c r="M25" s="399"/>
      <c r="N25" s="399"/>
      <c r="O25" s="399"/>
      <c r="P25" s="399"/>
      <c r="Q25" s="399"/>
      <c r="R25" s="399"/>
      <c r="S25" s="399"/>
      <c r="T25" s="399"/>
      <c r="U25" s="399"/>
      <c r="V25" s="407"/>
      <c r="W25" s="408"/>
      <c r="X25" s="399"/>
      <c r="Y25" s="399"/>
      <c r="Z25" s="399"/>
      <c r="AA25" s="399"/>
      <c r="AB25" s="399"/>
      <c r="AC25" s="399"/>
      <c r="AD25" s="399"/>
      <c r="AE25" s="399"/>
      <c r="AF25" s="399"/>
      <c r="AG25" s="399"/>
      <c r="AH25" s="399"/>
      <c r="AI25" s="399"/>
      <c r="AJ25" s="399"/>
      <c r="AK25" s="399"/>
      <c r="AL25" s="399"/>
      <c r="AM25" s="399"/>
      <c r="AN25" s="399"/>
      <c r="AO25" s="399"/>
      <c r="AP25" s="407"/>
      <c r="AQ25" s="814"/>
      <c r="AR25" s="815"/>
      <c r="AS25" s="815"/>
      <c r="AT25" s="815"/>
      <c r="AU25" s="816"/>
      <c r="AV25" s="817"/>
      <c r="AW25" s="818"/>
      <c r="AX25" s="818"/>
      <c r="AY25" s="818"/>
      <c r="AZ25" s="819"/>
      <c r="BA25" s="399"/>
      <c r="BB25" s="399"/>
      <c r="BC25" s="399"/>
      <c r="BD25" s="399"/>
      <c r="BE25" s="399"/>
      <c r="BF25" s="399"/>
      <c r="BG25" s="399"/>
      <c r="BH25" s="399"/>
      <c r="BI25" s="399"/>
      <c r="BJ25" s="399"/>
      <c r="BK25" s="399"/>
      <c r="BL25" s="399"/>
      <c r="BM25" s="407"/>
    </row>
    <row r="26" spans="1:65" ht="15.75" customHeight="1">
      <c r="A26" s="811"/>
      <c r="B26" s="812"/>
      <c r="C26" s="812"/>
      <c r="D26" s="813"/>
      <c r="E26" s="399"/>
      <c r="F26" s="399"/>
      <c r="G26" s="399"/>
      <c r="H26" s="399"/>
      <c r="I26" s="399"/>
      <c r="J26" s="399"/>
      <c r="K26" s="399"/>
      <c r="L26" s="399"/>
      <c r="M26" s="399"/>
      <c r="N26" s="399"/>
      <c r="O26" s="399"/>
      <c r="P26" s="399"/>
      <c r="Q26" s="399"/>
      <c r="R26" s="399"/>
      <c r="S26" s="399"/>
      <c r="T26" s="399"/>
      <c r="U26" s="399"/>
      <c r="V26" s="407"/>
      <c r="W26" s="408"/>
      <c r="X26" s="399"/>
      <c r="Y26" s="399"/>
      <c r="Z26" s="399"/>
      <c r="AA26" s="399"/>
      <c r="AB26" s="399"/>
      <c r="AC26" s="399"/>
      <c r="AD26" s="399"/>
      <c r="AE26" s="399"/>
      <c r="AF26" s="399"/>
      <c r="AG26" s="399"/>
      <c r="AH26" s="399"/>
      <c r="AI26" s="399"/>
      <c r="AJ26" s="399"/>
      <c r="AK26" s="399"/>
      <c r="AL26" s="399"/>
      <c r="AM26" s="399"/>
      <c r="AN26" s="399"/>
      <c r="AO26" s="399"/>
      <c r="AP26" s="407"/>
      <c r="AQ26" s="814"/>
      <c r="AR26" s="815"/>
      <c r="AS26" s="815"/>
      <c r="AT26" s="815"/>
      <c r="AU26" s="816"/>
      <c r="AV26" s="817"/>
      <c r="AW26" s="818"/>
      <c r="AX26" s="818"/>
      <c r="AY26" s="818"/>
      <c r="AZ26" s="819"/>
      <c r="BA26" s="399"/>
      <c r="BB26" s="399"/>
      <c r="BC26" s="399"/>
      <c r="BD26" s="399"/>
      <c r="BE26" s="399"/>
      <c r="BF26" s="399"/>
      <c r="BG26" s="399"/>
      <c r="BH26" s="399"/>
      <c r="BI26" s="399"/>
      <c r="BJ26" s="399"/>
      <c r="BK26" s="399"/>
      <c r="BL26" s="399"/>
      <c r="BM26" s="407"/>
    </row>
    <row r="27" spans="1:65" ht="15.75" customHeight="1">
      <c r="A27" s="811"/>
      <c r="B27" s="812"/>
      <c r="C27" s="812"/>
      <c r="D27" s="813"/>
      <c r="E27" s="399"/>
      <c r="F27" s="399"/>
      <c r="G27" s="399"/>
      <c r="H27" s="399"/>
      <c r="I27" s="399"/>
      <c r="J27" s="399"/>
      <c r="K27" s="399"/>
      <c r="L27" s="399"/>
      <c r="M27" s="399"/>
      <c r="N27" s="399"/>
      <c r="O27" s="399"/>
      <c r="P27" s="399"/>
      <c r="Q27" s="399"/>
      <c r="R27" s="399"/>
      <c r="S27" s="399"/>
      <c r="T27" s="399"/>
      <c r="U27" s="399"/>
      <c r="V27" s="407"/>
      <c r="W27" s="408"/>
      <c r="X27" s="399"/>
      <c r="Y27" s="399"/>
      <c r="Z27" s="399"/>
      <c r="AA27" s="399"/>
      <c r="AB27" s="399"/>
      <c r="AC27" s="399"/>
      <c r="AD27" s="399"/>
      <c r="AE27" s="399"/>
      <c r="AF27" s="399"/>
      <c r="AG27" s="399"/>
      <c r="AH27" s="399"/>
      <c r="AI27" s="399"/>
      <c r="AJ27" s="399"/>
      <c r="AK27" s="399"/>
      <c r="AL27" s="399"/>
      <c r="AM27" s="399"/>
      <c r="AN27" s="399"/>
      <c r="AO27" s="399"/>
      <c r="AP27" s="407"/>
      <c r="AQ27" s="814"/>
      <c r="AR27" s="815"/>
      <c r="AS27" s="815"/>
      <c r="AT27" s="815"/>
      <c r="AU27" s="816"/>
      <c r="AV27" s="817"/>
      <c r="AW27" s="818"/>
      <c r="AX27" s="818"/>
      <c r="AY27" s="818"/>
      <c r="AZ27" s="819"/>
      <c r="BA27" s="399"/>
      <c r="BB27" s="399"/>
      <c r="BC27" s="399"/>
      <c r="BD27" s="399"/>
      <c r="BE27" s="399"/>
      <c r="BF27" s="399"/>
      <c r="BG27" s="399"/>
      <c r="BH27" s="399"/>
      <c r="BI27" s="399"/>
      <c r="BJ27" s="399"/>
      <c r="BK27" s="399"/>
      <c r="BL27" s="399"/>
      <c r="BM27" s="407"/>
    </row>
    <row r="28" spans="1:65" ht="15.75" customHeight="1">
      <c r="A28" s="811"/>
      <c r="B28" s="812"/>
      <c r="C28" s="812"/>
      <c r="D28" s="813"/>
      <c r="E28" s="399"/>
      <c r="F28" s="399"/>
      <c r="G28" s="399"/>
      <c r="H28" s="399"/>
      <c r="I28" s="399"/>
      <c r="J28" s="399"/>
      <c r="K28" s="399"/>
      <c r="L28" s="399"/>
      <c r="M28" s="399"/>
      <c r="N28" s="399"/>
      <c r="O28" s="399"/>
      <c r="P28" s="399"/>
      <c r="Q28" s="399"/>
      <c r="R28" s="399"/>
      <c r="S28" s="399"/>
      <c r="T28" s="399"/>
      <c r="U28" s="399"/>
      <c r="V28" s="407"/>
      <c r="W28" s="408"/>
      <c r="X28" s="399"/>
      <c r="Y28" s="399"/>
      <c r="Z28" s="399"/>
      <c r="AA28" s="399"/>
      <c r="AB28" s="399"/>
      <c r="AC28" s="399"/>
      <c r="AD28" s="399"/>
      <c r="AE28" s="399"/>
      <c r="AF28" s="399"/>
      <c r="AG28" s="399"/>
      <c r="AH28" s="399"/>
      <c r="AI28" s="399"/>
      <c r="AJ28" s="399"/>
      <c r="AK28" s="399"/>
      <c r="AL28" s="399"/>
      <c r="AM28" s="399"/>
      <c r="AN28" s="399"/>
      <c r="AO28" s="399"/>
      <c r="AP28" s="407"/>
      <c r="AQ28" s="814"/>
      <c r="AR28" s="815"/>
      <c r="AS28" s="815"/>
      <c r="AT28" s="815"/>
      <c r="AU28" s="816"/>
      <c r="AV28" s="817"/>
      <c r="AW28" s="818"/>
      <c r="AX28" s="818"/>
      <c r="AY28" s="818"/>
      <c r="AZ28" s="819"/>
      <c r="BA28" s="399"/>
      <c r="BB28" s="399"/>
      <c r="BC28" s="399"/>
      <c r="BD28" s="399"/>
      <c r="BE28" s="399"/>
      <c r="BF28" s="399"/>
      <c r="BG28" s="399"/>
      <c r="BH28" s="399"/>
      <c r="BI28" s="399"/>
      <c r="BJ28" s="399"/>
      <c r="BK28" s="399"/>
      <c r="BL28" s="399"/>
      <c r="BM28" s="407"/>
    </row>
    <row r="29" spans="1:65" ht="15.75" customHeight="1">
      <c r="A29" s="811"/>
      <c r="B29" s="812"/>
      <c r="C29" s="812"/>
      <c r="D29" s="813"/>
      <c r="E29" s="399"/>
      <c r="F29" s="399"/>
      <c r="G29" s="399"/>
      <c r="H29" s="399"/>
      <c r="I29" s="399"/>
      <c r="J29" s="399"/>
      <c r="K29" s="399"/>
      <c r="L29" s="399"/>
      <c r="M29" s="399"/>
      <c r="N29" s="399"/>
      <c r="O29" s="399"/>
      <c r="P29" s="399"/>
      <c r="Q29" s="399"/>
      <c r="R29" s="399"/>
      <c r="S29" s="399"/>
      <c r="T29" s="399"/>
      <c r="U29" s="399"/>
      <c r="V29" s="407"/>
      <c r="W29" s="408"/>
      <c r="X29" s="399"/>
      <c r="Y29" s="399"/>
      <c r="Z29" s="399"/>
      <c r="AA29" s="399"/>
      <c r="AB29" s="399"/>
      <c r="AC29" s="399"/>
      <c r="AD29" s="399"/>
      <c r="AE29" s="399"/>
      <c r="AF29" s="399"/>
      <c r="AG29" s="399"/>
      <c r="AH29" s="399"/>
      <c r="AI29" s="399"/>
      <c r="AJ29" s="399"/>
      <c r="AK29" s="399"/>
      <c r="AL29" s="399"/>
      <c r="AM29" s="399"/>
      <c r="AN29" s="399"/>
      <c r="AO29" s="399"/>
      <c r="AP29" s="407"/>
      <c r="AQ29" s="814"/>
      <c r="AR29" s="815"/>
      <c r="AS29" s="815"/>
      <c r="AT29" s="815"/>
      <c r="AU29" s="816"/>
      <c r="AV29" s="817"/>
      <c r="AW29" s="818"/>
      <c r="AX29" s="818"/>
      <c r="AY29" s="818"/>
      <c r="AZ29" s="819"/>
      <c r="BA29" s="399"/>
      <c r="BB29" s="399"/>
      <c r="BC29" s="399"/>
      <c r="BD29" s="399"/>
      <c r="BE29" s="399"/>
      <c r="BF29" s="399"/>
      <c r="BG29" s="399"/>
      <c r="BH29" s="399"/>
      <c r="BI29" s="399"/>
      <c r="BJ29" s="399"/>
      <c r="BK29" s="399"/>
      <c r="BL29" s="399"/>
      <c r="BM29" s="407"/>
    </row>
    <row r="30" spans="1:65" ht="15.75" customHeight="1">
      <c r="A30" s="785"/>
      <c r="B30" s="786"/>
      <c r="C30" s="786"/>
      <c r="D30" s="787"/>
      <c r="E30" s="400"/>
      <c r="F30" s="400"/>
      <c r="G30" s="400"/>
      <c r="H30" s="400"/>
      <c r="I30" s="400"/>
      <c r="J30" s="400"/>
      <c r="K30" s="400"/>
      <c r="L30" s="400"/>
      <c r="M30" s="400"/>
      <c r="N30" s="400"/>
      <c r="O30" s="400"/>
      <c r="P30" s="400"/>
      <c r="Q30" s="400"/>
      <c r="R30" s="400"/>
      <c r="S30" s="400"/>
      <c r="T30" s="400"/>
      <c r="U30" s="400"/>
      <c r="V30" s="409"/>
      <c r="W30" s="410"/>
      <c r="X30" s="400"/>
      <c r="Y30" s="400"/>
      <c r="Z30" s="400"/>
      <c r="AA30" s="400"/>
      <c r="AB30" s="400"/>
      <c r="AC30" s="400"/>
      <c r="AD30" s="400"/>
      <c r="AE30" s="400"/>
      <c r="AF30" s="400"/>
      <c r="AG30" s="400"/>
      <c r="AH30" s="400"/>
      <c r="AI30" s="400"/>
      <c r="AJ30" s="400"/>
      <c r="AK30" s="400"/>
      <c r="AL30" s="400"/>
      <c r="AM30" s="400"/>
      <c r="AN30" s="400"/>
      <c r="AO30" s="400"/>
      <c r="AP30" s="409"/>
      <c r="AQ30" s="788"/>
      <c r="AR30" s="789"/>
      <c r="AS30" s="789"/>
      <c r="AT30" s="789"/>
      <c r="AU30" s="790"/>
      <c r="AV30" s="791"/>
      <c r="AW30" s="792"/>
      <c r="AX30" s="792"/>
      <c r="AY30" s="792"/>
      <c r="AZ30" s="793"/>
      <c r="BA30" s="400"/>
      <c r="BB30" s="400"/>
      <c r="BC30" s="400"/>
      <c r="BD30" s="400"/>
      <c r="BE30" s="400"/>
      <c r="BF30" s="400"/>
      <c r="BG30" s="400"/>
      <c r="BH30" s="400"/>
      <c r="BI30" s="400"/>
      <c r="BJ30" s="400"/>
      <c r="BK30" s="400"/>
      <c r="BL30" s="400"/>
      <c r="BM30" s="409"/>
    </row>
  </sheetData>
  <mergeCells count="97">
    <mergeCell ref="AU1:BA1"/>
    <mergeCell ref="BB1:BG1"/>
    <mergeCell ref="BH1:BM1"/>
    <mergeCell ref="K2:T2"/>
    <mergeCell ref="U2:Y2"/>
    <mergeCell ref="Z2:AF2"/>
    <mergeCell ref="AG2:AK2"/>
    <mergeCell ref="AL2:AT2"/>
    <mergeCell ref="BH2:BM3"/>
    <mergeCell ref="K1:T1"/>
    <mergeCell ref="U1:Y1"/>
    <mergeCell ref="Z1:AF1"/>
    <mergeCell ref="AG1:AK1"/>
    <mergeCell ref="AL1:AT1"/>
    <mergeCell ref="K3:T3"/>
    <mergeCell ref="U3:Y3"/>
    <mergeCell ref="Z3:AF3"/>
    <mergeCell ref="AG3:AT3"/>
    <mergeCell ref="W5:AP5"/>
    <mergeCell ref="A6:D6"/>
    <mergeCell ref="AQ6:AU6"/>
    <mergeCell ref="AV6:AZ6"/>
    <mergeCell ref="A7:D7"/>
    <mergeCell ref="AQ7:AU7"/>
    <mergeCell ref="AV7:AZ7"/>
    <mergeCell ref="A8:D8"/>
    <mergeCell ref="AQ8:AU8"/>
    <mergeCell ref="AV8:AZ8"/>
    <mergeCell ref="A9:D9"/>
    <mergeCell ref="AQ9:AU9"/>
    <mergeCell ref="AV9:AZ9"/>
    <mergeCell ref="A10:D10"/>
    <mergeCell ref="AQ10:AU10"/>
    <mergeCell ref="AV10:AZ10"/>
    <mergeCell ref="A11:D11"/>
    <mergeCell ref="AQ11:AU11"/>
    <mergeCell ref="AV11:AZ11"/>
    <mergeCell ref="A12:D12"/>
    <mergeCell ref="AQ12:AU12"/>
    <mergeCell ref="AV12:AZ12"/>
    <mergeCell ref="A13:D13"/>
    <mergeCell ref="AQ13:AU13"/>
    <mergeCell ref="AV13:AZ13"/>
    <mergeCell ref="A14:D14"/>
    <mergeCell ref="AQ14:AU14"/>
    <mergeCell ref="AV14:AZ14"/>
    <mergeCell ref="A15:D15"/>
    <mergeCell ref="AQ15:AU15"/>
    <mergeCell ref="AV15:AZ15"/>
    <mergeCell ref="A16:D16"/>
    <mergeCell ref="AQ16:AU16"/>
    <mergeCell ref="AV16:AZ16"/>
    <mergeCell ref="A17:D17"/>
    <mergeCell ref="AQ17:AU17"/>
    <mergeCell ref="AV17:AZ17"/>
    <mergeCell ref="A18:D18"/>
    <mergeCell ref="AQ18:AU18"/>
    <mergeCell ref="AV18:AZ18"/>
    <mergeCell ref="A19:D19"/>
    <mergeCell ref="AQ19:AU19"/>
    <mergeCell ref="AV19:AZ19"/>
    <mergeCell ref="A20:D20"/>
    <mergeCell ref="AQ20:AU20"/>
    <mergeCell ref="AV20:AZ20"/>
    <mergeCell ref="A21:D21"/>
    <mergeCell ref="AQ21:AU21"/>
    <mergeCell ref="AV21:AZ21"/>
    <mergeCell ref="A22:D22"/>
    <mergeCell ref="AQ22:AU22"/>
    <mergeCell ref="AV22:AZ22"/>
    <mergeCell ref="A23:D23"/>
    <mergeCell ref="AQ23:AU23"/>
    <mergeCell ref="AV23:AZ23"/>
    <mergeCell ref="AQ27:AU27"/>
    <mergeCell ref="AV27:AZ27"/>
    <mergeCell ref="A24:D24"/>
    <mergeCell ref="AQ24:AU24"/>
    <mergeCell ref="AV24:AZ24"/>
    <mergeCell ref="A25:D25"/>
    <mergeCell ref="AQ25:AU25"/>
    <mergeCell ref="AV25:AZ25"/>
    <mergeCell ref="A30:D30"/>
    <mergeCell ref="AQ30:AU30"/>
    <mergeCell ref="AV30:AZ30"/>
    <mergeCell ref="AU2:BA3"/>
    <mergeCell ref="BB2:BG3"/>
    <mergeCell ref="A1:J3"/>
    <mergeCell ref="A28:D28"/>
    <mergeCell ref="AQ28:AU28"/>
    <mergeCell ref="AV28:AZ28"/>
    <mergeCell ref="A29:D29"/>
    <mergeCell ref="AQ29:AU29"/>
    <mergeCell ref="AV29:AZ29"/>
    <mergeCell ref="A26:D26"/>
    <mergeCell ref="AQ26:AU26"/>
    <mergeCell ref="AV26:AZ26"/>
    <mergeCell ref="A27:D27"/>
  </mergeCells>
  <phoneticPr fontId="65"/>
  <pageMargins left="0.511811023622047" right="0.74803149606299202" top="0.70866141732283505" bottom="0.43307086614173201" header="0.511811023622047" footer="0.35433070866141703"/>
  <pageSetup paperSize="9" scale="86" fitToHeight="0" orientation="landscape" r:id="rId1"/>
  <headerFooter alignWithMargins="0">
    <oddFooter>&amp;L&amp;"Meiryo UI"&amp;10MSBBP1210&amp;C&amp;"Meiryo UI,標準"&amp;10&amp;P&amp;R&amp;"Meiryo UI,標準"&amp;10(C)Toyo Business Engineering Corp.[Confidential]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M38"/>
  <sheetViews>
    <sheetView showGridLines="0" showZeros="0" view="pageBreakPreview" zoomScale="85" zoomScaleNormal="100" zoomScaleSheetLayoutView="85" workbookViewId="0">
      <selection activeCell="AF10" sqref="AF10:AF11"/>
    </sheetView>
  </sheetViews>
  <sheetFormatPr defaultColWidth="2.08984375" defaultRowHeight="13.5"/>
  <cols>
    <col min="1" max="1" width="2" style="355" customWidth="1"/>
    <col min="2" max="2" width="2" style="356" customWidth="1"/>
    <col min="3" max="5" width="2" style="357" customWidth="1"/>
    <col min="6" max="9" width="2" style="358" customWidth="1"/>
    <col min="10" max="10" width="2" style="357" customWidth="1"/>
    <col min="11" max="16" width="2" style="358" customWidth="1"/>
    <col min="17" max="17" width="2" style="359" customWidth="1"/>
    <col min="18" max="24" width="2" style="355" customWidth="1"/>
    <col min="25" max="25" width="2" style="358" customWidth="1"/>
    <col min="26" max="65" width="2" style="355" customWidth="1"/>
    <col min="66" max="16384" width="2.08984375" style="355"/>
  </cols>
  <sheetData>
    <row r="1" spans="1:65" ht="15.75" customHeight="1">
      <c r="A1" s="663" t="str">
        <f ca="1">INDIRECT("表紙!$A$39")</f>
        <v>mcframe 7</v>
      </c>
      <c r="B1" s="803"/>
      <c r="C1" s="803"/>
      <c r="D1" s="803"/>
      <c r="E1" s="803"/>
      <c r="F1" s="803"/>
      <c r="G1" s="803"/>
      <c r="H1" s="803"/>
      <c r="I1" s="803"/>
      <c r="J1" s="804"/>
      <c r="K1" s="771" t="s">
        <v>45</v>
      </c>
      <c r="L1" s="857"/>
      <c r="M1" s="857"/>
      <c r="N1" s="857"/>
      <c r="O1" s="857"/>
      <c r="P1" s="857"/>
      <c r="Q1" s="857"/>
      <c r="R1" s="857"/>
      <c r="S1" s="857"/>
      <c r="T1" s="858"/>
      <c r="U1" s="781" t="s">
        <v>46</v>
      </c>
      <c r="V1" s="859"/>
      <c r="W1" s="859"/>
      <c r="X1" s="859"/>
      <c r="Y1" s="860"/>
      <c r="Z1" s="693" t="str">
        <f ca="1">INDIRECT("表紙!$Z$39")</f>
        <v>MS</v>
      </c>
      <c r="AA1" s="861"/>
      <c r="AB1" s="861"/>
      <c r="AC1" s="861"/>
      <c r="AD1" s="861"/>
      <c r="AE1" s="861"/>
      <c r="AF1" s="862"/>
      <c r="AG1" s="773" t="s">
        <v>48</v>
      </c>
      <c r="AH1" s="840"/>
      <c r="AI1" s="840"/>
      <c r="AJ1" s="840"/>
      <c r="AK1" s="841"/>
      <c r="AL1" s="784" t="str">
        <f ca="1">INDIRECT("表紙!$AJ$39")</f>
        <v>SCM</v>
      </c>
      <c r="AM1" s="859"/>
      <c r="AN1" s="859"/>
      <c r="AO1" s="859"/>
      <c r="AP1" s="859"/>
      <c r="AQ1" s="859"/>
      <c r="AR1" s="859"/>
      <c r="AS1" s="859"/>
      <c r="AT1" s="860"/>
      <c r="AU1" s="704" t="s">
        <v>5</v>
      </c>
      <c r="AV1" s="704"/>
      <c r="AW1" s="704"/>
      <c r="AX1" s="704"/>
      <c r="AY1" s="704"/>
      <c r="AZ1" s="704"/>
      <c r="BA1" s="704"/>
      <c r="BB1" s="705" t="s">
        <v>37</v>
      </c>
      <c r="BC1" s="840"/>
      <c r="BD1" s="840"/>
      <c r="BE1" s="840"/>
      <c r="BF1" s="840"/>
      <c r="BG1" s="841"/>
      <c r="BH1" s="705" t="s">
        <v>50</v>
      </c>
      <c r="BI1" s="840"/>
      <c r="BJ1" s="840"/>
      <c r="BK1" s="840"/>
      <c r="BL1" s="840"/>
      <c r="BM1" s="842"/>
    </row>
    <row r="2" spans="1:65" ht="15.75" customHeight="1">
      <c r="A2" s="805"/>
      <c r="B2" s="806"/>
      <c r="C2" s="806"/>
      <c r="D2" s="806"/>
      <c r="E2" s="806"/>
      <c r="F2" s="806"/>
      <c r="G2" s="806"/>
      <c r="H2" s="806"/>
      <c r="I2" s="806"/>
      <c r="J2" s="807"/>
      <c r="K2" s="757" t="str">
        <f>文書名</f>
        <v>画面説明書</v>
      </c>
      <c r="L2" s="797"/>
      <c r="M2" s="797"/>
      <c r="N2" s="797"/>
      <c r="O2" s="797"/>
      <c r="P2" s="797"/>
      <c r="Q2" s="797"/>
      <c r="R2" s="797"/>
      <c r="S2" s="797"/>
      <c r="T2" s="798"/>
      <c r="U2" s="775" t="s">
        <v>51</v>
      </c>
      <c r="V2" s="844"/>
      <c r="W2" s="844"/>
      <c r="X2" s="844"/>
      <c r="Y2" s="845"/>
      <c r="Z2" s="761" t="str">
        <f ca="1">INDIRECT("表紙!$Z$40")</f>
        <v>MSBD</v>
      </c>
      <c r="AA2" s="762"/>
      <c r="AB2" s="762"/>
      <c r="AC2" s="762"/>
      <c r="AD2" s="762"/>
      <c r="AE2" s="762"/>
      <c r="AF2" s="763"/>
      <c r="AG2" s="758" t="s">
        <v>53</v>
      </c>
      <c r="AH2" s="846"/>
      <c r="AI2" s="846"/>
      <c r="AJ2" s="846"/>
      <c r="AK2" s="847"/>
      <c r="AL2" s="848" t="str">
        <f ca="1">INDIRECT("表紙!$AJ$40")</f>
        <v>購買管理</v>
      </c>
      <c r="AM2" s="849"/>
      <c r="AN2" s="849"/>
      <c r="AO2" s="849"/>
      <c r="AP2" s="849"/>
      <c r="AQ2" s="849"/>
      <c r="AR2" s="849"/>
      <c r="AS2" s="849"/>
      <c r="AT2" s="850"/>
      <c r="AU2" s="672" t="str">
        <f>文書番号</f>
        <v>M7-US-1104</v>
      </c>
      <c r="AV2" s="672"/>
      <c r="AW2" s="672"/>
      <c r="AX2" s="672"/>
      <c r="AY2" s="672"/>
      <c r="AZ2" s="672"/>
      <c r="BA2" s="672"/>
      <c r="BB2" s="674" t="str">
        <f>Version</f>
        <v>7.0.1</v>
      </c>
      <c r="BC2" s="797"/>
      <c r="BD2" s="797"/>
      <c r="BE2" s="797"/>
      <c r="BF2" s="797"/>
      <c r="BG2" s="798"/>
      <c r="BH2" s="680" t="str">
        <f>Revision</f>
        <v>r02.05</v>
      </c>
      <c r="BI2" s="797"/>
      <c r="BJ2" s="797"/>
      <c r="BK2" s="797"/>
      <c r="BL2" s="797"/>
      <c r="BM2" s="913"/>
    </row>
    <row r="3" spans="1:65" ht="15.75" customHeight="1">
      <c r="A3" s="808"/>
      <c r="B3" s="809"/>
      <c r="C3" s="809"/>
      <c r="D3" s="809"/>
      <c r="E3" s="809"/>
      <c r="F3" s="809"/>
      <c r="G3" s="809"/>
      <c r="H3" s="809"/>
      <c r="I3" s="809"/>
      <c r="J3" s="810"/>
      <c r="K3" s="683" t="str">
        <f ca="1">RIGHT(CELL("filename",$A$1),LEN(CELL("filename",$A$1))-FIND("]",CELL("filename",$A$1)))</f>
        <v>変更来歴</v>
      </c>
      <c r="L3" s="864"/>
      <c r="M3" s="864"/>
      <c r="N3" s="864"/>
      <c r="O3" s="864"/>
      <c r="P3" s="864"/>
      <c r="Q3" s="864"/>
      <c r="R3" s="864"/>
      <c r="S3" s="864"/>
      <c r="T3" s="865"/>
      <c r="U3" s="697" t="s">
        <v>56</v>
      </c>
      <c r="V3" s="866"/>
      <c r="W3" s="866"/>
      <c r="X3" s="866"/>
      <c r="Y3" s="867"/>
      <c r="Z3" s="915" t="str">
        <f ca="1">INDIRECT("表紙!$Z$41")</f>
        <v>MSBDP0090</v>
      </c>
      <c r="AA3" s="916"/>
      <c r="AB3" s="916"/>
      <c r="AC3" s="916"/>
      <c r="AD3" s="916"/>
      <c r="AE3" s="916"/>
      <c r="AF3" s="916"/>
      <c r="AG3" s="701" t="str">
        <f ca="1">INDIRECT("表紙!$AE$41")</f>
        <v>発注一覧登録</v>
      </c>
      <c r="AH3" s="829"/>
      <c r="AI3" s="829"/>
      <c r="AJ3" s="829"/>
      <c r="AK3" s="829"/>
      <c r="AL3" s="829"/>
      <c r="AM3" s="829"/>
      <c r="AN3" s="829"/>
      <c r="AO3" s="829"/>
      <c r="AP3" s="829"/>
      <c r="AQ3" s="829"/>
      <c r="AR3" s="829"/>
      <c r="AS3" s="829"/>
      <c r="AT3" s="830"/>
      <c r="AU3" s="673"/>
      <c r="AV3" s="673"/>
      <c r="AW3" s="673"/>
      <c r="AX3" s="673"/>
      <c r="AY3" s="673"/>
      <c r="AZ3" s="673"/>
      <c r="BA3" s="673"/>
      <c r="BB3" s="799"/>
      <c r="BC3" s="800"/>
      <c r="BD3" s="800"/>
      <c r="BE3" s="800"/>
      <c r="BF3" s="800"/>
      <c r="BG3" s="801"/>
      <c r="BH3" s="799"/>
      <c r="BI3" s="800"/>
      <c r="BJ3" s="800"/>
      <c r="BK3" s="800"/>
      <c r="BL3" s="800"/>
      <c r="BM3" s="914"/>
    </row>
    <row r="4" spans="1:65" ht="9.75" customHeight="1">
      <c r="A4" s="360"/>
      <c r="B4" s="360"/>
      <c r="C4" s="360"/>
      <c r="D4" s="360"/>
      <c r="E4" s="360"/>
      <c r="F4" s="360"/>
      <c r="G4" s="360"/>
      <c r="H4" s="360"/>
      <c r="I4" s="360"/>
      <c r="J4" s="360"/>
    </row>
    <row r="5" spans="1:65" ht="15.75" customHeight="1">
      <c r="A5" s="910" t="s">
        <v>50</v>
      </c>
      <c r="B5" s="911"/>
      <c r="C5" s="911"/>
      <c r="D5" s="911"/>
      <c r="E5" s="911"/>
      <c r="F5" s="911"/>
      <c r="G5" s="911"/>
      <c r="H5" s="912"/>
      <c r="I5" s="910" t="s">
        <v>61</v>
      </c>
      <c r="J5" s="911"/>
      <c r="K5" s="911"/>
      <c r="L5" s="911"/>
      <c r="M5" s="911"/>
      <c r="N5" s="911"/>
      <c r="O5" s="911"/>
      <c r="P5" s="911"/>
      <c r="Q5" s="911"/>
      <c r="R5" s="911"/>
      <c r="S5" s="911"/>
      <c r="T5" s="911"/>
      <c r="U5" s="911"/>
      <c r="V5" s="911"/>
      <c r="W5" s="911"/>
      <c r="X5" s="912"/>
      <c r="Y5" s="910" t="s">
        <v>62</v>
      </c>
      <c r="Z5" s="911"/>
      <c r="AA5" s="911"/>
      <c r="AB5" s="911"/>
      <c r="AC5" s="911"/>
      <c r="AD5" s="911"/>
      <c r="AE5" s="911"/>
      <c r="AF5" s="911"/>
      <c r="AG5" s="911"/>
      <c r="AH5" s="911"/>
      <c r="AI5" s="911"/>
      <c r="AJ5" s="911"/>
      <c r="AK5" s="911"/>
      <c r="AL5" s="911"/>
      <c r="AM5" s="911"/>
      <c r="AN5" s="911"/>
      <c r="AO5" s="911"/>
      <c r="AP5" s="911"/>
      <c r="AQ5" s="911"/>
      <c r="AR5" s="912"/>
      <c r="AS5" s="910" t="s">
        <v>43</v>
      </c>
      <c r="AT5" s="911"/>
      <c r="AU5" s="911"/>
      <c r="AV5" s="911"/>
      <c r="AW5" s="911"/>
      <c r="AX5" s="911"/>
      <c r="AY5" s="911"/>
      <c r="AZ5" s="912"/>
      <c r="BA5" s="910" t="s">
        <v>65</v>
      </c>
      <c r="BB5" s="911"/>
      <c r="BC5" s="911"/>
      <c r="BD5" s="911"/>
      <c r="BE5" s="911"/>
      <c r="BF5" s="911"/>
      <c r="BG5" s="911"/>
      <c r="BH5" s="911"/>
      <c r="BI5" s="911"/>
      <c r="BJ5" s="911"/>
      <c r="BK5" s="911"/>
      <c r="BL5" s="911"/>
      <c r="BM5" s="912"/>
    </row>
    <row r="6" spans="1:65" ht="15.75" customHeight="1">
      <c r="A6" s="904" t="s">
        <v>76</v>
      </c>
      <c r="B6" s="905"/>
      <c r="C6" s="905"/>
      <c r="D6" s="905"/>
      <c r="E6" s="905"/>
      <c r="F6" s="905"/>
      <c r="G6" s="905"/>
      <c r="H6" s="906"/>
      <c r="I6" s="367" t="s">
        <v>67</v>
      </c>
      <c r="J6" s="367"/>
      <c r="K6" s="367"/>
      <c r="L6" s="367"/>
      <c r="M6" s="367"/>
      <c r="N6" s="368"/>
      <c r="O6" s="369"/>
      <c r="P6" s="368"/>
      <c r="Q6" s="369"/>
      <c r="R6" s="374"/>
      <c r="S6" s="374"/>
      <c r="T6" s="374"/>
      <c r="U6" s="374"/>
      <c r="V6" s="374"/>
      <c r="W6" s="374"/>
      <c r="X6" s="375"/>
      <c r="Y6" s="381"/>
      <c r="Z6" s="374"/>
      <c r="AA6" s="374"/>
      <c r="AB6" s="374"/>
      <c r="AC6" s="374"/>
      <c r="AD6" s="374"/>
      <c r="AE6" s="374"/>
      <c r="AF6" s="374"/>
      <c r="AG6" s="374"/>
      <c r="AH6" s="374"/>
      <c r="AI6" s="374"/>
      <c r="AJ6" s="374"/>
      <c r="AK6" s="374"/>
      <c r="AL6" s="374"/>
      <c r="AM6" s="374"/>
      <c r="AN6" s="374"/>
      <c r="AO6" s="374"/>
      <c r="AP6" s="374"/>
      <c r="AQ6" s="374"/>
      <c r="AR6" s="375"/>
      <c r="AS6" s="907">
        <v>42916</v>
      </c>
      <c r="AT6" s="908"/>
      <c r="AU6" s="908"/>
      <c r="AV6" s="908"/>
      <c r="AW6" s="908"/>
      <c r="AX6" s="908"/>
      <c r="AY6" s="908"/>
      <c r="AZ6" s="909"/>
      <c r="BA6" s="386">
        <v>2016</v>
      </c>
      <c r="BB6" s="386"/>
      <c r="BC6" s="386"/>
      <c r="BD6" s="386"/>
      <c r="BE6" s="386"/>
      <c r="BF6" s="386"/>
      <c r="BG6" s="386"/>
      <c r="BH6" s="386"/>
      <c r="BI6" s="386"/>
      <c r="BJ6" s="386"/>
      <c r="BK6" s="386"/>
      <c r="BL6" s="386"/>
      <c r="BM6" s="390"/>
    </row>
    <row r="7" spans="1:65" ht="33.75" customHeight="1">
      <c r="A7" s="868" t="s">
        <v>77</v>
      </c>
      <c r="B7" s="869"/>
      <c r="C7" s="869"/>
      <c r="D7" s="869"/>
      <c r="E7" s="869"/>
      <c r="F7" s="869"/>
      <c r="G7" s="869"/>
      <c r="H7" s="870"/>
      <c r="I7" s="895" t="s">
        <v>78</v>
      </c>
      <c r="J7" s="902"/>
      <c r="K7" s="902"/>
      <c r="L7" s="902"/>
      <c r="M7" s="902"/>
      <c r="N7" s="902"/>
      <c r="O7" s="902"/>
      <c r="P7" s="902"/>
      <c r="Q7" s="902"/>
      <c r="R7" s="902"/>
      <c r="S7" s="902"/>
      <c r="T7" s="902"/>
      <c r="U7" s="902"/>
      <c r="V7" s="902"/>
      <c r="W7" s="902"/>
      <c r="X7" s="903"/>
      <c r="Y7" s="382" t="s">
        <v>79</v>
      </c>
      <c r="Z7" s="377"/>
      <c r="AA7" s="377"/>
      <c r="AB7" s="377"/>
      <c r="AC7" s="377"/>
      <c r="AD7" s="377"/>
      <c r="AE7" s="377"/>
      <c r="AF7" s="377"/>
      <c r="AG7" s="377"/>
      <c r="AH7" s="377"/>
      <c r="AI7" s="377"/>
      <c r="AJ7" s="377"/>
      <c r="AK7" s="377"/>
      <c r="AL7" s="377"/>
      <c r="AM7" s="377"/>
      <c r="AN7" s="377"/>
      <c r="AO7" s="377"/>
      <c r="AP7" s="377"/>
      <c r="AQ7" s="377"/>
      <c r="AR7" s="378"/>
      <c r="AS7" s="877">
        <v>43008</v>
      </c>
      <c r="AT7" s="878"/>
      <c r="AU7" s="878"/>
      <c r="AV7" s="878"/>
      <c r="AW7" s="878"/>
      <c r="AX7" s="878"/>
      <c r="AY7" s="878"/>
      <c r="AZ7" s="879"/>
      <c r="BA7" s="387"/>
      <c r="BB7" s="387"/>
      <c r="BC7" s="387"/>
      <c r="BD7" s="387"/>
      <c r="BE7" s="387"/>
      <c r="BF7" s="387"/>
      <c r="BG7" s="387"/>
      <c r="BH7" s="387"/>
      <c r="BI7" s="387"/>
      <c r="BJ7" s="387"/>
      <c r="BK7" s="387"/>
      <c r="BL7" s="387"/>
      <c r="BM7" s="391"/>
    </row>
    <row r="8" spans="1:65" ht="33.75" customHeight="1">
      <c r="A8" s="868" t="s">
        <v>80</v>
      </c>
      <c r="B8" s="869"/>
      <c r="C8" s="869"/>
      <c r="D8" s="869"/>
      <c r="E8" s="869"/>
      <c r="F8" s="869"/>
      <c r="G8" s="869"/>
      <c r="H8" s="870"/>
      <c r="I8" s="895" t="s">
        <v>81</v>
      </c>
      <c r="J8" s="902"/>
      <c r="K8" s="902"/>
      <c r="L8" s="902"/>
      <c r="M8" s="902"/>
      <c r="N8" s="902"/>
      <c r="O8" s="902"/>
      <c r="P8" s="902"/>
      <c r="Q8" s="902"/>
      <c r="R8" s="902"/>
      <c r="S8" s="902"/>
      <c r="T8" s="902"/>
      <c r="U8" s="902"/>
      <c r="V8" s="902"/>
      <c r="W8" s="902"/>
      <c r="X8" s="903"/>
      <c r="Y8" s="382" t="s">
        <v>79</v>
      </c>
      <c r="Z8" s="377"/>
      <c r="AA8" s="377"/>
      <c r="AB8" s="377"/>
      <c r="AC8" s="377"/>
      <c r="AD8" s="377"/>
      <c r="AE8" s="377"/>
      <c r="AF8" s="377"/>
      <c r="AG8" s="377"/>
      <c r="AH8" s="377"/>
      <c r="AI8" s="377"/>
      <c r="AJ8" s="377"/>
      <c r="AK8" s="377"/>
      <c r="AL8" s="377"/>
      <c r="AM8" s="377"/>
      <c r="AN8" s="377"/>
      <c r="AO8" s="377"/>
      <c r="AP8" s="377"/>
      <c r="AQ8" s="377"/>
      <c r="AR8" s="378"/>
      <c r="AS8" s="882" t="s">
        <v>80</v>
      </c>
      <c r="AT8" s="878"/>
      <c r="AU8" s="878"/>
      <c r="AV8" s="878"/>
      <c r="AW8" s="878"/>
      <c r="AX8" s="878"/>
      <c r="AY8" s="878"/>
      <c r="AZ8" s="879"/>
      <c r="BA8" s="387"/>
      <c r="BB8" s="387"/>
      <c r="BC8" s="387"/>
      <c r="BD8" s="387"/>
      <c r="BE8" s="387"/>
      <c r="BF8" s="387"/>
      <c r="BG8" s="387"/>
      <c r="BH8" s="387"/>
      <c r="BI8" s="387"/>
      <c r="BJ8" s="387"/>
      <c r="BK8" s="387"/>
      <c r="BL8" s="387"/>
      <c r="BM8" s="391"/>
    </row>
    <row r="9" spans="1:65" ht="15.75" customHeight="1">
      <c r="A9" s="868" t="s">
        <v>80</v>
      </c>
      <c r="B9" s="869"/>
      <c r="C9" s="869"/>
      <c r="D9" s="869"/>
      <c r="E9" s="869"/>
      <c r="F9" s="869"/>
      <c r="G9" s="869"/>
      <c r="H9" s="870"/>
      <c r="I9" s="370" t="s">
        <v>82</v>
      </c>
      <c r="J9" s="370"/>
      <c r="K9" s="370"/>
      <c r="L9" s="370"/>
      <c r="M9" s="370"/>
      <c r="N9" s="370"/>
      <c r="O9" s="370"/>
      <c r="P9" s="371"/>
      <c r="Q9" s="376"/>
      <c r="R9" s="377"/>
      <c r="S9" s="377"/>
      <c r="T9" s="377"/>
      <c r="U9" s="377"/>
      <c r="V9" s="377"/>
      <c r="W9" s="377"/>
      <c r="X9" s="378"/>
      <c r="Y9" s="382" t="s">
        <v>79</v>
      </c>
      <c r="Z9" s="377"/>
      <c r="AA9" s="377"/>
      <c r="AB9" s="377"/>
      <c r="AC9" s="377"/>
      <c r="AD9" s="377"/>
      <c r="AE9" s="377"/>
      <c r="AF9" s="377"/>
      <c r="AG9" s="377"/>
      <c r="AH9" s="377"/>
      <c r="AI9" s="377"/>
      <c r="AJ9" s="377"/>
      <c r="AK9" s="377"/>
      <c r="AL9" s="377"/>
      <c r="AM9" s="377"/>
      <c r="AN9" s="377"/>
      <c r="AO9" s="377"/>
      <c r="AP9" s="377"/>
      <c r="AQ9" s="377"/>
      <c r="AR9" s="378"/>
      <c r="AS9" s="882" t="s">
        <v>80</v>
      </c>
      <c r="AT9" s="878"/>
      <c r="AU9" s="878"/>
      <c r="AV9" s="878"/>
      <c r="AW9" s="878"/>
      <c r="AX9" s="878"/>
      <c r="AY9" s="878"/>
      <c r="AZ9" s="879"/>
      <c r="BA9" s="387"/>
      <c r="BB9" s="387"/>
      <c r="BC9" s="387"/>
      <c r="BD9" s="387"/>
      <c r="BE9" s="387"/>
      <c r="BF9" s="387"/>
      <c r="BG9" s="387"/>
      <c r="BH9" s="387"/>
      <c r="BI9" s="387"/>
      <c r="BJ9" s="387"/>
      <c r="BK9" s="387"/>
      <c r="BL9" s="387"/>
      <c r="BM9" s="391"/>
    </row>
    <row r="10" spans="1:65" ht="39.75" customHeight="1">
      <c r="A10" s="868" t="s">
        <v>80</v>
      </c>
      <c r="B10" s="869"/>
      <c r="C10" s="869"/>
      <c r="D10" s="869"/>
      <c r="E10" s="869"/>
      <c r="F10" s="869"/>
      <c r="G10" s="869"/>
      <c r="H10" s="870"/>
      <c r="I10" s="895" t="s">
        <v>83</v>
      </c>
      <c r="J10" s="902"/>
      <c r="K10" s="902"/>
      <c r="L10" s="902"/>
      <c r="M10" s="902"/>
      <c r="N10" s="902"/>
      <c r="O10" s="902"/>
      <c r="P10" s="902"/>
      <c r="Q10" s="902"/>
      <c r="R10" s="902"/>
      <c r="S10" s="902"/>
      <c r="T10" s="902"/>
      <c r="U10" s="902"/>
      <c r="V10" s="902"/>
      <c r="W10" s="902"/>
      <c r="X10" s="903"/>
      <c r="Y10" s="382" t="s">
        <v>79</v>
      </c>
      <c r="Z10" s="377"/>
      <c r="AA10" s="377"/>
      <c r="AB10" s="377"/>
      <c r="AC10" s="377"/>
      <c r="AD10" s="377"/>
      <c r="AE10" s="377"/>
      <c r="AF10" s="377"/>
      <c r="AG10" s="377"/>
      <c r="AH10" s="377"/>
      <c r="AI10" s="377"/>
      <c r="AJ10" s="377"/>
      <c r="AK10" s="377"/>
      <c r="AL10" s="377"/>
      <c r="AM10" s="377"/>
      <c r="AN10" s="377"/>
      <c r="AO10" s="377"/>
      <c r="AP10" s="377"/>
      <c r="AQ10" s="377"/>
      <c r="AR10" s="378"/>
      <c r="AS10" s="882" t="s">
        <v>80</v>
      </c>
      <c r="AT10" s="878"/>
      <c r="AU10" s="878"/>
      <c r="AV10" s="878"/>
      <c r="AW10" s="878"/>
      <c r="AX10" s="878"/>
      <c r="AY10" s="878"/>
      <c r="AZ10" s="879"/>
      <c r="BA10" s="387"/>
      <c r="BB10" s="387"/>
      <c r="BC10" s="387"/>
      <c r="BD10" s="387"/>
      <c r="BE10" s="387"/>
      <c r="BF10" s="387"/>
      <c r="BG10" s="387"/>
      <c r="BH10" s="387"/>
      <c r="BI10" s="387"/>
      <c r="BJ10" s="387"/>
      <c r="BK10" s="387"/>
      <c r="BL10" s="387"/>
      <c r="BM10" s="391"/>
    </row>
    <row r="11" spans="1:65" ht="31.5" customHeight="1">
      <c r="A11" s="868" t="s">
        <v>80</v>
      </c>
      <c r="B11" s="869"/>
      <c r="C11" s="869"/>
      <c r="D11" s="869"/>
      <c r="E11" s="869"/>
      <c r="F11" s="869"/>
      <c r="G11" s="869"/>
      <c r="H11" s="870"/>
      <c r="I11" s="895" t="s">
        <v>84</v>
      </c>
      <c r="J11" s="902"/>
      <c r="K11" s="902"/>
      <c r="L11" s="902"/>
      <c r="M11" s="902"/>
      <c r="N11" s="902"/>
      <c r="O11" s="902"/>
      <c r="P11" s="902"/>
      <c r="Q11" s="902"/>
      <c r="R11" s="902"/>
      <c r="S11" s="902"/>
      <c r="T11" s="902"/>
      <c r="U11" s="902"/>
      <c r="V11" s="902"/>
      <c r="W11" s="902"/>
      <c r="X11" s="903"/>
      <c r="Y11" s="382" t="s">
        <v>79</v>
      </c>
      <c r="Z11" s="377"/>
      <c r="AA11" s="377"/>
      <c r="AB11" s="377"/>
      <c r="AC11" s="377"/>
      <c r="AD11" s="377"/>
      <c r="AE11" s="377"/>
      <c r="AF11" s="377"/>
      <c r="AG11" s="377"/>
      <c r="AH11" s="377"/>
      <c r="AI11" s="377"/>
      <c r="AJ11" s="377"/>
      <c r="AK11" s="377"/>
      <c r="AL11" s="377"/>
      <c r="AM11" s="377"/>
      <c r="AN11" s="377"/>
      <c r="AO11" s="377"/>
      <c r="AP11" s="377"/>
      <c r="AQ11" s="377"/>
      <c r="AR11" s="378"/>
      <c r="AS11" s="882" t="s">
        <v>80</v>
      </c>
      <c r="AT11" s="878"/>
      <c r="AU11" s="878"/>
      <c r="AV11" s="878"/>
      <c r="AW11" s="878"/>
      <c r="AX11" s="878"/>
      <c r="AY11" s="878"/>
      <c r="AZ11" s="879"/>
      <c r="BA11" s="387"/>
      <c r="BB11" s="387"/>
      <c r="BC11" s="387"/>
      <c r="BD11" s="387"/>
      <c r="BE11" s="387"/>
      <c r="BF11" s="387"/>
      <c r="BG11" s="387"/>
      <c r="BH11" s="387"/>
      <c r="BI11" s="387"/>
      <c r="BJ11" s="387"/>
      <c r="BK11" s="387"/>
      <c r="BL11" s="387"/>
      <c r="BM11" s="391"/>
    </row>
    <row r="12" spans="1:65" ht="106.5" customHeight="1">
      <c r="A12" s="868" t="s">
        <v>80</v>
      </c>
      <c r="B12" s="869"/>
      <c r="C12" s="869"/>
      <c r="D12" s="869"/>
      <c r="E12" s="869"/>
      <c r="F12" s="869"/>
      <c r="G12" s="869"/>
      <c r="H12" s="870"/>
      <c r="I12" s="895" t="s">
        <v>85</v>
      </c>
      <c r="J12" s="902"/>
      <c r="K12" s="902"/>
      <c r="L12" s="902"/>
      <c r="M12" s="902"/>
      <c r="N12" s="902"/>
      <c r="O12" s="902"/>
      <c r="P12" s="902"/>
      <c r="Q12" s="902"/>
      <c r="R12" s="902"/>
      <c r="S12" s="902"/>
      <c r="T12" s="902"/>
      <c r="U12" s="902"/>
      <c r="V12" s="902"/>
      <c r="W12" s="902"/>
      <c r="X12" s="903"/>
      <c r="Y12" s="382" t="s">
        <v>86</v>
      </c>
      <c r="Z12" s="377"/>
      <c r="AA12" s="377"/>
      <c r="AB12" s="377"/>
      <c r="AC12" s="377"/>
      <c r="AD12" s="377"/>
      <c r="AE12" s="377"/>
      <c r="AF12" s="377"/>
      <c r="AG12" s="377"/>
      <c r="AH12" s="377"/>
      <c r="AI12" s="377"/>
      <c r="AJ12" s="377"/>
      <c r="AK12" s="377"/>
      <c r="AL12" s="377"/>
      <c r="AM12" s="377"/>
      <c r="AN12" s="377"/>
      <c r="AO12" s="377"/>
      <c r="AP12" s="377"/>
      <c r="AQ12" s="377"/>
      <c r="AR12" s="378"/>
      <c r="AS12" s="882" t="s">
        <v>80</v>
      </c>
      <c r="AT12" s="878"/>
      <c r="AU12" s="878"/>
      <c r="AV12" s="878"/>
      <c r="AW12" s="878"/>
      <c r="AX12" s="878"/>
      <c r="AY12" s="878"/>
      <c r="AZ12" s="879"/>
      <c r="BA12" s="387"/>
      <c r="BB12" s="387"/>
      <c r="BC12" s="387"/>
      <c r="BD12" s="387"/>
      <c r="BE12" s="387"/>
      <c r="BF12" s="387"/>
      <c r="BG12" s="387"/>
      <c r="BH12" s="387"/>
      <c r="BI12" s="387"/>
      <c r="BJ12" s="387"/>
      <c r="BK12" s="387"/>
      <c r="BL12" s="387"/>
      <c r="BM12" s="391"/>
    </row>
    <row r="13" spans="1:65" ht="15.75" customHeight="1">
      <c r="A13" s="868" t="s">
        <v>80</v>
      </c>
      <c r="B13" s="869"/>
      <c r="C13" s="869"/>
      <c r="D13" s="869"/>
      <c r="E13" s="869"/>
      <c r="F13" s="869"/>
      <c r="G13" s="869"/>
      <c r="H13" s="870"/>
      <c r="I13" s="370" t="s">
        <v>87</v>
      </c>
      <c r="J13" s="370"/>
      <c r="K13" s="370"/>
      <c r="L13" s="370"/>
      <c r="M13" s="370"/>
      <c r="N13" s="370"/>
      <c r="O13" s="370"/>
      <c r="P13" s="371"/>
      <c r="Q13" s="376"/>
      <c r="R13" s="377"/>
      <c r="S13" s="377"/>
      <c r="T13" s="377"/>
      <c r="U13" s="377"/>
      <c r="V13" s="377"/>
      <c r="W13" s="377"/>
      <c r="X13" s="378"/>
      <c r="Y13" s="382" t="s">
        <v>79</v>
      </c>
      <c r="Z13" s="377"/>
      <c r="AA13" s="377"/>
      <c r="AB13" s="377"/>
      <c r="AC13" s="377"/>
      <c r="AD13" s="377"/>
      <c r="AE13" s="377"/>
      <c r="AF13" s="377"/>
      <c r="AG13" s="377"/>
      <c r="AH13" s="377"/>
      <c r="AI13" s="377"/>
      <c r="AJ13" s="377"/>
      <c r="AK13" s="377"/>
      <c r="AL13" s="377"/>
      <c r="AM13" s="377"/>
      <c r="AN13" s="377"/>
      <c r="AO13" s="377"/>
      <c r="AP13" s="377"/>
      <c r="AQ13" s="377"/>
      <c r="AR13" s="378"/>
      <c r="AS13" s="882" t="s">
        <v>80</v>
      </c>
      <c r="AT13" s="878"/>
      <c r="AU13" s="878"/>
      <c r="AV13" s="878"/>
      <c r="AW13" s="878"/>
      <c r="AX13" s="878"/>
      <c r="AY13" s="878"/>
      <c r="AZ13" s="879"/>
      <c r="BA13" s="387"/>
      <c r="BB13" s="387"/>
      <c r="BC13" s="387"/>
      <c r="BD13" s="387"/>
      <c r="BE13" s="387"/>
      <c r="BF13" s="387"/>
      <c r="BG13" s="387"/>
      <c r="BH13" s="387"/>
      <c r="BI13" s="387"/>
      <c r="BJ13" s="387"/>
      <c r="BK13" s="387"/>
      <c r="BL13" s="387"/>
      <c r="BM13" s="391"/>
    </row>
    <row r="14" spans="1:65" ht="15.75" customHeight="1">
      <c r="A14" s="868" t="s">
        <v>80</v>
      </c>
      <c r="B14" s="869"/>
      <c r="C14" s="869"/>
      <c r="D14" s="869"/>
      <c r="E14" s="869"/>
      <c r="F14" s="869"/>
      <c r="G14" s="869"/>
      <c r="H14" s="870"/>
      <c r="I14" s="895" t="s">
        <v>88</v>
      </c>
      <c r="J14" s="902"/>
      <c r="K14" s="902"/>
      <c r="L14" s="902"/>
      <c r="M14" s="902"/>
      <c r="N14" s="902"/>
      <c r="O14" s="902"/>
      <c r="P14" s="902"/>
      <c r="Q14" s="902"/>
      <c r="R14" s="902"/>
      <c r="S14" s="902"/>
      <c r="T14" s="902"/>
      <c r="U14" s="902"/>
      <c r="V14" s="902"/>
      <c r="W14" s="902"/>
      <c r="X14" s="903"/>
      <c r="Y14" s="874" t="s">
        <v>86</v>
      </c>
      <c r="Z14" s="875"/>
      <c r="AA14" s="875"/>
      <c r="AB14" s="875"/>
      <c r="AC14" s="875"/>
      <c r="AD14" s="875"/>
      <c r="AE14" s="875"/>
      <c r="AF14" s="875"/>
      <c r="AG14" s="875"/>
      <c r="AH14" s="875"/>
      <c r="AI14" s="875"/>
      <c r="AJ14" s="875"/>
      <c r="AK14" s="875"/>
      <c r="AL14" s="875"/>
      <c r="AM14" s="875"/>
      <c r="AN14" s="875"/>
      <c r="AO14" s="875"/>
      <c r="AP14" s="875"/>
      <c r="AQ14" s="875"/>
      <c r="AR14" s="876"/>
      <c r="AS14" s="882" t="s">
        <v>80</v>
      </c>
      <c r="AT14" s="878"/>
      <c r="AU14" s="878"/>
      <c r="AV14" s="878"/>
      <c r="AW14" s="878"/>
      <c r="AX14" s="878"/>
      <c r="AY14" s="878"/>
      <c r="AZ14" s="879"/>
      <c r="BA14" s="387"/>
      <c r="BB14" s="387"/>
      <c r="BC14" s="387"/>
      <c r="BD14" s="387"/>
      <c r="BE14" s="387"/>
      <c r="BF14" s="387"/>
      <c r="BG14" s="387"/>
      <c r="BH14" s="387"/>
      <c r="BI14" s="387"/>
      <c r="BJ14" s="387"/>
      <c r="BK14" s="387"/>
      <c r="BL14" s="387"/>
      <c r="BM14" s="391"/>
    </row>
    <row r="15" spans="1:65" ht="15.75" customHeight="1">
      <c r="A15" s="868" t="s">
        <v>80</v>
      </c>
      <c r="B15" s="869"/>
      <c r="C15" s="869"/>
      <c r="D15" s="869"/>
      <c r="E15" s="869"/>
      <c r="F15" s="869"/>
      <c r="G15" s="869"/>
      <c r="H15" s="870"/>
      <c r="I15" s="901" t="s">
        <v>89</v>
      </c>
      <c r="J15" s="896"/>
      <c r="K15" s="896"/>
      <c r="L15" s="896"/>
      <c r="M15" s="896"/>
      <c r="N15" s="896"/>
      <c r="O15" s="896"/>
      <c r="P15" s="896"/>
      <c r="Q15" s="896"/>
      <c r="R15" s="896"/>
      <c r="S15" s="896"/>
      <c r="T15" s="896"/>
      <c r="U15" s="896"/>
      <c r="V15" s="896"/>
      <c r="W15" s="896"/>
      <c r="X15" s="897"/>
      <c r="Y15" s="874" t="s">
        <v>86</v>
      </c>
      <c r="Z15" s="875"/>
      <c r="AA15" s="875"/>
      <c r="AB15" s="875"/>
      <c r="AC15" s="875"/>
      <c r="AD15" s="875"/>
      <c r="AE15" s="875"/>
      <c r="AF15" s="875"/>
      <c r="AG15" s="875"/>
      <c r="AH15" s="875"/>
      <c r="AI15" s="875"/>
      <c r="AJ15" s="875"/>
      <c r="AK15" s="875"/>
      <c r="AL15" s="875"/>
      <c r="AM15" s="875"/>
      <c r="AN15" s="875"/>
      <c r="AO15" s="875"/>
      <c r="AP15" s="875"/>
      <c r="AQ15" s="875"/>
      <c r="AR15" s="876"/>
      <c r="AS15" s="882" t="s">
        <v>80</v>
      </c>
      <c r="AT15" s="878"/>
      <c r="AU15" s="878"/>
      <c r="AV15" s="878"/>
      <c r="AW15" s="878"/>
      <c r="AX15" s="878"/>
      <c r="AY15" s="878"/>
      <c r="AZ15" s="879"/>
      <c r="BA15" s="387"/>
      <c r="BB15" s="387"/>
      <c r="BC15" s="387"/>
      <c r="BD15" s="387"/>
      <c r="BE15" s="387"/>
      <c r="BF15" s="387"/>
      <c r="BG15" s="387"/>
      <c r="BH15" s="387"/>
      <c r="BI15" s="387"/>
      <c r="BJ15" s="387"/>
      <c r="BK15" s="387"/>
      <c r="BL15" s="387"/>
      <c r="BM15" s="391"/>
    </row>
    <row r="16" spans="1:65" ht="15.75" customHeight="1">
      <c r="A16" s="868" t="s">
        <v>80</v>
      </c>
      <c r="B16" s="869"/>
      <c r="C16" s="869"/>
      <c r="D16" s="869"/>
      <c r="E16" s="869"/>
      <c r="F16" s="869"/>
      <c r="G16" s="869"/>
      <c r="H16" s="870"/>
      <c r="I16" s="901" t="s">
        <v>90</v>
      </c>
      <c r="J16" s="896"/>
      <c r="K16" s="896"/>
      <c r="L16" s="896"/>
      <c r="M16" s="896"/>
      <c r="N16" s="896"/>
      <c r="O16" s="896"/>
      <c r="P16" s="896"/>
      <c r="Q16" s="896"/>
      <c r="R16" s="896"/>
      <c r="S16" s="896"/>
      <c r="T16" s="896"/>
      <c r="U16" s="896"/>
      <c r="V16" s="896"/>
      <c r="W16" s="896"/>
      <c r="X16" s="897"/>
      <c r="Y16" s="874" t="s">
        <v>91</v>
      </c>
      <c r="Z16" s="875"/>
      <c r="AA16" s="875"/>
      <c r="AB16" s="875"/>
      <c r="AC16" s="875"/>
      <c r="AD16" s="875"/>
      <c r="AE16" s="875"/>
      <c r="AF16" s="875"/>
      <c r="AG16" s="875"/>
      <c r="AH16" s="875"/>
      <c r="AI16" s="875"/>
      <c r="AJ16" s="875"/>
      <c r="AK16" s="875"/>
      <c r="AL16" s="875"/>
      <c r="AM16" s="875"/>
      <c r="AN16" s="875"/>
      <c r="AO16" s="875"/>
      <c r="AP16" s="875"/>
      <c r="AQ16" s="875"/>
      <c r="AR16" s="876"/>
      <c r="AS16" s="882" t="s">
        <v>80</v>
      </c>
      <c r="AT16" s="878"/>
      <c r="AU16" s="878"/>
      <c r="AV16" s="878"/>
      <c r="AW16" s="878"/>
      <c r="AX16" s="878"/>
      <c r="AY16" s="878"/>
      <c r="AZ16" s="879"/>
      <c r="BA16" s="387"/>
      <c r="BB16" s="387"/>
      <c r="BC16" s="387"/>
      <c r="BD16" s="387"/>
      <c r="BE16" s="387"/>
      <c r="BF16" s="387"/>
      <c r="BG16" s="387"/>
      <c r="BH16" s="387"/>
      <c r="BI16" s="387"/>
      <c r="BJ16" s="387"/>
      <c r="BK16" s="387"/>
      <c r="BL16" s="387"/>
      <c r="BM16" s="391"/>
    </row>
    <row r="17" spans="1:65" ht="31.5" customHeight="1">
      <c r="A17" s="868" t="s">
        <v>80</v>
      </c>
      <c r="B17" s="869"/>
      <c r="C17" s="869"/>
      <c r="D17" s="869"/>
      <c r="E17" s="869"/>
      <c r="F17" s="869"/>
      <c r="G17" s="869"/>
      <c r="H17" s="870"/>
      <c r="I17" s="895" t="s">
        <v>92</v>
      </c>
      <c r="J17" s="902"/>
      <c r="K17" s="902"/>
      <c r="L17" s="902"/>
      <c r="M17" s="902"/>
      <c r="N17" s="902"/>
      <c r="O17" s="902"/>
      <c r="P17" s="902"/>
      <c r="Q17" s="902"/>
      <c r="R17" s="902"/>
      <c r="S17" s="902"/>
      <c r="T17" s="902"/>
      <c r="U17" s="902"/>
      <c r="V17" s="902"/>
      <c r="W17" s="902"/>
      <c r="X17" s="903"/>
      <c r="Y17" s="874" t="s">
        <v>79</v>
      </c>
      <c r="Z17" s="875"/>
      <c r="AA17" s="875"/>
      <c r="AB17" s="875"/>
      <c r="AC17" s="875"/>
      <c r="AD17" s="875"/>
      <c r="AE17" s="875"/>
      <c r="AF17" s="875"/>
      <c r="AG17" s="875"/>
      <c r="AH17" s="875"/>
      <c r="AI17" s="875"/>
      <c r="AJ17" s="875"/>
      <c r="AK17" s="875"/>
      <c r="AL17" s="875"/>
      <c r="AM17" s="875"/>
      <c r="AN17" s="875"/>
      <c r="AO17" s="875"/>
      <c r="AP17" s="875"/>
      <c r="AQ17" s="875"/>
      <c r="AR17" s="876"/>
      <c r="AS17" s="882" t="s">
        <v>80</v>
      </c>
      <c r="AT17" s="878"/>
      <c r="AU17" s="878"/>
      <c r="AV17" s="878"/>
      <c r="AW17" s="878"/>
      <c r="AX17" s="878"/>
      <c r="AY17" s="878"/>
      <c r="AZ17" s="879"/>
      <c r="BA17" s="387"/>
      <c r="BB17" s="387"/>
      <c r="BC17" s="387"/>
      <c r="BD17" s="387"/>
      <c r="BE17" s="387"/>
      <c r="BF17" s="387"/>
      <c r="BG17" s="387"/>
      <c r="BH17" s="387"/>
      <c r="BI17" s="387"/>
      <c r="BJ17" s="387"/>
      <c r="BK17" s="387"/>
      <c r="BL17" s="387"/>
      <c r="BM17" s="391"/>
    </row>
    <row r="18" spans="1:65" ht="31.5" customHeight="1">
      <c r="A18" s="868" t="s">
        <v>80</v>
      </c>
      <c r="B18" s="869"/>
      <c r="C18" s="869"/>
      <c r="D18" s="869"/>
      <c r="E18" s="869"/>
      <c r="F18" s="869"/>
      <c r="G18" s="869"/>
      <c r="H18" s="870"/>
      <c r="I18" s="895" t="s">
        <v>93</v>
      </c>
      <c r="J18" s="902"/>
      <c r="K18" s="902"/>
      <c r="L18" s="902"/>
      <c r="M18" s="902"/>
      <c r="N18" s="902"/>
      <c r="O18" s="902"/>
      <c r="P18" s="902"/>
      <c r="Q18" s="902"/>
      <c r="R18" s="902"/>
      <c r="S18" s="902"/>
      <c r="T18" s="902"/>
      <c r="U18" s="902"/>
      <c r="V18" s="902"/>
      <c r="W18" s="902"/>
      <c r="X18" s="903"/>
      <c r="Y18" s="874" t="s">
        <v>79</v>
      </c>
      <c r="Z18" s="875"/>
      <c r="AA18" s="875"/>
      <c r="AB18" s="875"/>
      <c r="AC18" s="875"/>
      <c r="AD18" s="875"/>
      <c r="AE18" s="875"/>
      <c r="AF18" s="875"/>
      <c r="AG18" s="875"/>
      <c r="AH18" s="875"/>
      <c r="AI18" s="875"/>
      <c r="AJ18" s="875"/>
      <c r="AK18" s="875"/>
      <c r="AL18" s="875"/>
      <c r="AM18" s="875"/>
      <c r="AN18" s="875"/>
      <c r="AO18" s="875"/>
      <c r="AP18" s="875"/>
      <c r="AQ18" s="875"/>
      <c r="AR18" s="876"/>
      <c r="AS18" s="882" t="s">
        <v>80</v>
      </c>
      <c r="AT18" s="878"/>
      <c r="AU18" s="878"/>
      <c r="AV18" s="878"/>
      <c r="AW18" s="878"/>
      <c r="AX18" s="878"/>
      <c r="AY18" s="878"/>
      <c r="AZ18" s="879"/>
      <c r="BA18" s="387"/>
      <c r="BB18" s="387"/>
      <c r="BC18" s="387"/>
      <c r="BD18" s="387"/>
      <c r="BE18" s="387"/>
      <c r="BF18" s="387"/>
      <c r="BG18" s="387"/>
      <c r="BH18" s="387"/>
      <c r="BI18" s="387"/>
      <c r="BJ18" s="387"/>
      <c r="BK18" s="387"/>
      <c r="BL18" s="387"/>
      <c r="BM18" s="391"/>
    </row>
    <row r="19" spans="1:65" ht="53.25" customHeight="1">
      <c r="A19" s="868" t="s">
        <v>80</v>
      </c>
      <c r="B19" s="869"/>
      <c r="C19" s="869"/>
      <c r="D19" s="869"/>
      <c r="E19" s="869"/>
      <c r="F19" s="869"/>
      <c r="G19" s="869"/>
      <c r="H19" s="870"/>
      <c r="I19" s="895" t="s">
        <v>94</v>
      </c>
      <c r="J19" s="902"/>
      <c r="K19" s="902"/>
      <c r="L19" s="902"/>
      <c r="M19" s="902"/>
      <c r="N19" s="902"/>
      <c r="O19" s="902"/>
      <c r="P19" s="902"/>
      <c r="Q19" s="902"/>
      <c r="R19" s="902"/>
      <c r="S19" s="902"/>
      <c r="T19" s="902"/>
      <c r="U19" s="902"/>
      <c r="V19" s="902"/>
      <c r="W19" s="902"/>
      <c r="X19" s="903"/>
      <c r="Y19" s="382" t="s">
        <v>79</v>
      </c>
      <c r="Z19" s="377"/>
      <c r="AA19" s="377"/>
      <c r="AB19" s="377"/>
      <c r="AC19" s="377"/>
      <c r="AD19" s="377"/>
      <c r="AE19" s="377"/>
      <c r="AF19" s="377"/>
      <c r="AG19" s="377"/>
      <c r="AH19" s="377"/>
      <c r="AI19" s="377"/>
      <c r="AJ19" s="377"/>
      <c r="AK19" s="377"/>
      <c r="AL19" s="377"/>
      <c r="AM19" s="377"/>
      <c r="AN19" s="377"/>
      <c r="AO19" s="377"/>
      <c r="AP19" s="377"/>
      <c r="AQ19" s="377"/>
      <c r="AR19" s="378"/>
      <c r="AS19" s="882" t="s">
        <v>80</v>
      </c>
      <c r="AT19" s="878"/>
      <c r="AU19" s="878"/>
      <c r="AV19" s="878"/>
      <c r="AW19" s="878"/>
      <c r="AX19" s="878"/>
      <c r="AY19" s="878"/>
      <c r="AZ19" s="879"/>
      <c r="BA19" s="387"/>
      <c r="BB19" s="387"/>
      <c r="BC19" s="387"/>
      <c r="BD19" s="387"/>
      <c r="BE19" s="387"/>
      <c r="BF19" s="387"/>
      <c r="BG19" s="387"/>
      <c r="BH19" s="387"/>
      <c r="BI19" s="387"/>
      <c r="BJ19" s="387"/>
      <c r="BK19" s="387"/>
      <c r="BL19" s="387"/>
      <c r="BM19" s="391"/>
    </row>
    <row r="20" spans="1:65" ht="36.75" customHeight="1">
      <c r="A20" s="868" t="s">
        <v>80</v>
      </c>
      <c r="B20" s="869"/>
      <c r="C20" s="869"/>
      <c r="D20" s="869"/>
      <c r="E20" s="869"/>
      <c r="F20" s="869"/>
      <c r="G20" s="869"/>
      <c r="H20" s="870"/>
      <c r="I20" s="895" t="s">
        <v>95</v>
      </c>
      <c r="J20" s="902"/>
      <c r="K20" s="902"/>
      <c r="L20" s="902"/>
      <c r="M20" s="902"/>
      <c r="N20" s="902"/>
      <c r="O20" s="902"/>
      <c r="P20" s="902"/>
      <c r="Q20" s="902"/>
      <c r="R20" s="902"/>
      <c r="S20" s="902"/>
      <c r="T20" s="902"/>
      <c r="U20" s="902"/>
      <c r="V20" s="902"/>
      <c r="W20" s="902"/>
      <c r="X20" s="903"/>
      <c r="Y20" s="382" t="s">
        <v>79</v>
      </c>
      <c r="Z20" s="377"/>
      <c r="AA20" s="377"/>
      <c r="AB20" s="377"/>
      <c r="AC20" s="377"/>
      <c r="AD20" s="377"/>
      <c r="AE20" s="377"/>
      <c r="AF20" s="377"/>
      <c r="AG20" s="377"/>
      <c r="AH20" s="377"/>
      <c r="AI20" s="377"/>
      <c r="AJ20" s="377"/>
      <c r="AK20" s="377"/>
      <c r="AL20" s="377"/>
      <c r="AM20" s="377"/>
      <c r="AN20" s="377"/>
      <c r="AO20" s="377"/>
      <c r="AP20" s="377"/>
      <c r="AQ20" s="377"/>
      <c r="AR20" s="378"/>
      <c r="AS20" s="882" t="s">
        <v>80</v>
      </c>
      <c r="AT20" s="878"/>
      <c r="AU20" s="878"/>
      <c r="AV20" s="878"/>
      <c r="AW20" s="878"/>
      <c r="AX20" s="878"/>
      <c r="AY20" s="878"/>
      <c r="AZ20" s="879"/>
      <c r="BA20" s="387"/>
      <c r="BB20" s="387"/>
      <c r="BC20" s="387"/>
      <c r="BD20" s="387"/>
      <c r="BE20" s="387"/>
      <c r="BF20" s="387"/>
      <c r="BG20" s="387"/>
      <c r="BH20" s="387"/>
      <c r="BI20" s="387"/>
      <c r="BJ20" s="387"/>
      <c r="BK20" s="387"/>
      <c r="BL20" s="387"/>
      <c r="BM20" s="391"/>
    </row>
    <row r="21" spans="1:65" ht="72" customHeight="1">
      <c r="A21" s="868" t="s">
        <v>80</v>
      </c>
      <c r="B21" s="869"/>
      <c r="C21" s="869"/>
      <c r="D21" s="869"/>
      <c r="E21" s="869"/>
      <c r="F21" s="869"/>
      <c r="G21" s="869"/>
      <c r="H21" s="870"/>
      <c r="I21" s="895" t="s">
        <v>96</v>
      </c>
      <c r="J21" s="902"/>
      <c r="K21" s="902"/>
      <c r="L21" s="902"/>
      <c r="M21" s="902"/>
      <c r="N21" s="902"/>
      <c r="O21" s="902"/>
      <c r="P21" s="902"/>
      <c r="Q21" s="902"/>
      <c r="R21" s="902"/>
      <c r="S21" s="902"/>
      <c r="T21" s="902"/>
      <c r="U21" s="902"/>
      <c r="V21" s="902"/>
      <c r="W21" s="902"/>
      <c r="X21" s="903"/>
      <c r="Y21" s="382" t="s">
        <v>79</v>
      </c>
      <c r="Z21" s="377"/>
      <c r="AA21" s="377"/>
      <c r="AB21" s="377"/>
      <c r="AC21" s="377"/>
      <c r="AD21" s="377"/>
      <c r="AE21" s="377"/>
      <c r="AF21" s="377"/>
      <c r="AG21" s="377"/>
      <c r="AH21" s="377"/>
      <c r="AI21" s="377"/>
      <c r="AJ21" s="377"/>
      <c r="AK21" s="377"/>
      <c r="AL21" s="377"/>
      <c r="AM21" s="377"/>
      <c r="AN21" s="377"/>
      <c r="AO21" s="377"/>
      <c r="AP21" s="377"/>
      <c r="AQ21" s="377"/>
      <c r="AR21" s="378"/>
      <c r="AS21" s="882" t="s">
        <v>80</v>
      </c>
      <c r="AT21" s="878"/>
      <c r="AU21" s="878"/>
      <c r="AV21" s="878"/>
      <c r="AW21" s="878"/>
      <c r="AX21" s="878"/>
      <c r="AY21" s="878"/>
      <c r="AZ21" s="879"/>
      <c r="BA21" s="387"/>
      <c r="BB21" s="387"/>
      <c r="BC21" s="387"/>
      <c r="BD21" s="387"/>
      <c r="BE21" s="387"/>
      <c r="BF21" s="387"/>
      <c r="BG21" s="387"/>
      <c r="BH21" s="387"/>
      <c r="BI21" s="387"/>
      <c r="BJ21" s="387"/>
      <c r="BK21" s="387"/>
      <c r="BL21" s="387"/>
      <c r="BM21" s="391"/>
    </row>
    <row r="22" spans="1:65" ht="15.75" customHeight="1">
      <c r="A22" s="868" t="s">
        <v>80</v>
      </c>
      <c r="B22" s="869"/>
      <c r="C22" s="869"/>
      <c r="D22" s="869"/>
      <c r="E22" s="869"/>
      <c r="F22" s="869"/>
      <c r="G22" s="869"/>
      <c r="H22" s="870"/>
      <c r="I22" s="901" t="s">
        <v>97</v>
      </c>
      <c r="J22" s="896"/>
      <c r="K22" s="896"/>
      <c r="L22" s="896"/>
      <c r="M22" s="896"/>
      <c r="N22" s="896"/>
      <c r="O22" s="896"/>
      <c r="P22" s="896"/>
      <c r="Q22" s="896"/>
      <c r="R22" s="896"/>
      <c r="S22" s="896"/>
      <c r="T22" s="896"/>
      <c r="U22" s="896"/>
      <c r="V22" s="896"/>
      <c r="W22" s="896"/>
      <c r="X22" s="897"/>
      <c r="Y22" s="874" t="s">
        <v>98</v>
      </c>
      <c r="Z22" s="875"/>
      <c r="AA22" s="875"/>
      <c r="AB22" s="875"/>
      <c r="AC22" s="875"/>
      <c r="AD22" s="875"/>
      <c r="AE22" s="875"/>
      <c r="AF22" s="875"/>
      <c r="AG22" s="875"/>
      <c r="AH22" s="875"/>
      <c r="AI22" s="875"/>
      <c r="AJ22" s="875"/>
      <c r="AK22" s="875"/>
      <c r="AL22" s="875"/>
      <c r="AM22" s="875"/>
      <c r="AN22" s="875"/>
      <c r="AO22" s="875"/>
      <c r="AP22" s="875"/>
      <c r="AQ22" s="875"/>
      <c r="AR22" s="876"/>
      <c r="AS22" s="882" t="s">
        <v>80</v>
      </c>
      <c r="AT22" s="878"/>
      <c r="AU22" s="878"/>
      <c r="AV22" s="878"/>
      <c r="AW22" s="878"/>
      <c r="AX22" s="878"/>
      <c r="AY22" s="878"/>
      <c r="AZ22" s="879"/>
      <c r="BA22" s="387"/>
      <c r="BB22" s="387"/>
      <c r="BC22" s="387"/>
      <c r="BD22" s="387"/>
      <c r="BE22" s="387"/>
      <c r="BF22" s="387"/>
      <c r="BG22" s="387"/>
      <c r="BH22" s="387"/>
      <c r="BI22" s="387"/>
      <c r="BJ22" s="387"/>
      <c r="BK22" s="387"/>
      <c r="BL22" s="387"/>
      <c r="BM22" s="391"/>
    </row>
    <row r="23" spans="1:65" ht="191.25" customHeight="1">
      <c r="A23" s="868" t="s">
        <v>99</v>
      </c>
      <c r="B23" s="869"/>
      <c r="C23" s="869"/>
      <c r="D23" s="869"/>
      <c r="E23" s="869"/>
      <c r="F23" s="869"/>
      <c r="G23" s="869"/>
      <c r="H23" s="870"/>
      <c r="I23" s="895" t="s">
        <v>100</v>
      </c>
      <c r="J23" s="902"/>
      <c r="K23" s="902"/>
      <c r="L23" s="902"/>
      <c r="M23" s="902"/>
      <c r="N23" s="902"/>
      <c r="O23" s="902"/>
      <c r="P23" s="902"/>
      <c r="Q23" s="902"/>
      <c r="R23" s="902"/>
      <c r="S23" s="902"/>
      <c r="T23" s="902"/>
      <c r="U23" s="902"/>
      <c r="V23" s="902"/>
      <c r="W23" s="902"/>
      <c r="X23" s="903"/>
      <c r="Y23" s="382" t="s">
        <v>79</v>
      </c>
      <c r="Z23" s="377"/>
      <c r="AA23" s="377"/>
      <c r="AB23" s="377"/>
      <c r="AC23" s="377"/>
      <c r="AD23" s="377"/>
      <c r="AE23" s="377"/>
      <c r="AF23" s="377"/>
      <c r="AG23" s="377"/>
      <c r="AH23" s="377"/>
      <c r="AI23" s="377"/>
      <c r="AJ23" s="377"/>
      <c r="AK23" s="377"/>
      <c r="AL23" s="377"/>
      <c r="AM23" s="377"/>
      <c r="AN23" s="377"/>
      <c r="AO23" s="377"/>
      <c r="AP23" s="377"/>
      <c r="AQ23" s="377"/>
      <c r="AR23" s="378"/>
      <c r="AS23" s="877">
        <v>43199</v>
      </c>
      <c r="AT23" s="878"/>
      <c r="AU23" s="878"/>
      <c r="AV23" s="878"/>
      <c r="AW23" s="878"/>
      <c r="AX23" s="878"/>
      <c r="AY23" s="878"/>
      <c r="AZ23" s="879"/>
      <c r="BA23" s="377" t="s">
        <v>101</v>
      </c>
      <c r="BB23" s="387"/>
      <c r="BC23" s="387"/>
      <c r="BD23" s="387"/>
      <c r="BE23" s="387"/>
      <c r="BF23" s="387"/>
      <c r="BG23" s="387"/>
      <c r="BH23" s="387"/>
      <c r="BI23" s="387"/>
      <c r="BJ23" s="387"/>
      <c r="BK23" s="387"/>
      <c r="BL23" s="387"/>
      <c r="BM23" s="391"/>
    </row>
    <row r="24" spans="1:65" ht="15.75" customHeight="1">
      <c r="A24" s="868" t="s">
        <v>102</v>
      </c>
      <c r="B24" s="869"/>
      <c r="C24" s="869"/>
      <c r="D24" s="869"/>
      <c r="E24" s="869"/>
      <c r="F24" s="869"/>
      <c r="G24" s="869"/>
      <c r="H24" s="870"/>
      <c r="I24" s="901" t="s">
        <v>103</v>
      </c>
      <c r="J24" s="896"/>
      <c r="K24" s="896"/>
      <c r="L24" s="896"/>
      <c r="M24" s="896"/>
      <c r="N24" s="896"/>
      <c r="O24" s="896"/>
      <c r="P24" s="896"/>
      <c r="Q24" s="896"/>
      <c r="R24" s="896"/>
      <c r="S24" s="896"/>
      <c r="T24" s="896"/>
      <c r="U24" s="896"/>
      <c r="V24" s="896"/>
      <c r="W24" s="896"/>
      <c r="X24" s="897"/>
      <c r="Y24" s="382" t="s">
        <v>79</v>
      </c>
      <c r="Z24" s="383"/>
      <c r="AA24" s="383"/>
      <c r="AB24" s="383"/>
      <c r="AC24" s="383"/>
      <c r="AD24" s="383"/>
      <c r="AE24" s="383"/>
      <c r="AF24" s="383"/>
      <c r="AG24" s="383"/>
      <c r="AH24" s="383"/>
      <c r="AI24" s="383"/>
      <c r="AJ24" s="383"/>
      <c r="AK24" s="383"/>
      <c r="AL24" s="383"/>
      <c r="AM24" s="383"/>
      <c r="AN24" s="383"/>
      <c r="AO24" s="383"/>
      <c r="AP24" s="383"/>
      <c r="AQ24" s="383"/>
      <c r="AR24" s="385"/>
      <c r="AS24" s="877">
        <v>43262</v>
      </c>
      <c r="AT24" s="878"/>
      <c r="AU24" s="878"/>
      <c r="AV24" s="878"/>
      <c r="AW24" s="878"/>
      <c r="AX24" s="878"/>
      <c r="AY24" s="878"/>
      <c r="AZ24" s="879"/>
      <c r="BA24" s="388"/>
      <c r="BB24" s="388"/>
      <c r="BC24" s="388"/>
      <c r="BD24" s="388"/>
      <c r="BE24" s="388"/>
      <c r="BF24" s="388"/>
      <c r="BG24" s="388"/>
      <c r="BH24" s="388"/>
      <c r="BI24" s="388"/>
      <c r="BJ24" s="388"/>
      <c r="BK24" s="388"/>
      <c r="BL24" s="388"/>
      <c r="BM24" s="392"/>
    </row>
    <row r="25" spans="1:65" ht="15.75" customHeight="1">
      <c r="A25" s="868" t="s">
        <v>80</v>
      </c>
      <c r="B25" s="869"/>
      <c r="C25" s="869"/>
      <c r="D25" s="869"/>
      <c r="E25" s="869"/>
      <c r="F25" s="869"/>
      <c r="G25" s="869"/>
      <c r="H25" s="870"/>
      <c r="I25" s="901" t="s">
        <v>104</v>
      </c>
      <c r="J25" s="896"/>
      <c r="K25" s="896"/>
      <c r="L25" s="896"/>
      <c r="M25" s="896"/>
      <c r="N25" s="896"/>
      <c r="O25" s="896"/>
      <c r="P25" s="896"/>
      <c r="Q25" s="896"/>
      <c r="R25" s="896"/>
      <c r="S25" s="896"/>
      <c r="T25" s="896"/>
      <c r="U25" s="896"/>
      <c r="V25" s="896"/>
      <c r="W25" s="896"/>
      <c r="X25" s="897"/>
      <c r="Y25" s="382" t="s">
        <v>79</v>
      </c>
      <c r="Z25" s="383"/>
      <c r="AA25" s="383"/>
      <c r="AB25" s="383"/>
      <c r="AC25" s="383"/>
      <c r="AD25" s="383"/>
      <c r="AE25" s="383"/>
      <c r="AF25" s="383"/>
      <c r="AG25" s="383"/>
      <c r="AH25" s="383"/>
      <c r="AI25" s="383"/>
      <c r="AJ25" s="383"/>
      <c r="AK25" s="383"/>
      <c r="AL25" s="383"/>
      <c r="AM25" s="383"/>
      <c r="AN25" s="383"/>
      <c r="AO25" s="383"/>
      <c r="AP25" s="383"/>
      <c r="AQ25" s="383"/>
      <c r="AR25" s="385"/>
      <c r="AS25" s="882" t="s">
        <v>80</v>
      </c>
      <c r="AT25" s="878"/>
      <c r="AU25" s="878"/>
      <c r="AV25" s="878"/>
      <c r="AW25" s="878"/>
      <c r="AX25" s="878"/>
      <c r="AY25" s="878"/>
      <c r="AZ25" s="879"/>
      <c r="BA25" s="377" t="s">
        <v>105</v>
      </c>
      <c r="BB25" s="388"/>
      <c r="BC25" s="388"/>
      <c r="BD25" s="388"/>
      <c r="BE25" s="388"/>
      <c r="BF25" s="388"/>
      <c r="BG25" s="388"/>
      <c r="BH25" s="388"/>
      <c r="BI25" s="388"/>
      <c r="BJ25" s="388"/>
      <c r="BK25" s="388"/>
      <c r="BL25" s="388"/>
      <c r="BM25" s="392"/>
    </row>
    <row r="26" spans="1:65" ht="15.75" customHeight="1">
      <c r="A26" s="868" t="s">
        <v>106</v>
      </c>
      <c r="B26" s="869"/>
      <c r="C26" s="869"/>
      <c r="D26" s="869"/>
      <c r="E26" s="869"/>
      <c r="F26" s="869"/>
      <c r="G26" s="869"/>
      <c r="H26" s="870"/>
      <c r="I26" s="901" t="s">
        <v>107</v>
      </c>
      <c r="J26" s="896"/>
      <c r="K26" s="896"/>
      <c r="L26" s="896"/>
      <c r="M26" s="896"/>
      <c r="N26" s="896"/>
      <c r="O26" s="896"/>
      <c r="P26" s="896"/>
      <c r="Q26" s="896"/>
      <c r="R26" s="896"/>
      <c r="S26" s="896"/>
      <c r="T26" s="896"/>
      <c r="U26" s="896"/>
      <c r="V26" s="896"/>
      <c r="W26" s="896"/>
      <c r="X26" s="897"/>
      <c r="Y26" s="874" t="s">
        <v>79</v>
      </c>
      <c r="Z26" s="875"/>
      <c r="AA26" s="875"/>
      <c r="AB26" s="875"/>
      <c r="AC26" s="875"/>
      <c r="AD26" s="875"/>
      <c r="AE26" s="875"/>
      <c r="AF26" s="875"/>
      <c r="AG26" s="875"/>
      <c r="AH26" s="875"/>
      <c r="AI26" s="875"/>
      <c r="AJ26" s="875"/>
      <c r="AK26" s="875"/>
      <c r="AL26" s="875"/>
      <c r="AM26" s="875"/>
      <c r="AN26" s="875"/>
      <c r="AO26" s="875"/>
      <c r="AP26" s="875"/>
      <c r="AQ26" s="875"/>
      <c r="AR26" s="876"/>
      <c r="AS26" s="877">
        <v>43294</v>
      </c>
      <c r="AT26" s="878"/>
      <c r="AU26" s="878"/>
      <c r="AV26" s="878"/>
      <c r="AW26" s="878"/>
      <c r="AX26" s="878"/>
      <c r="AY26" s="878"/>
      <c r="AZ26" s="879"/>
      <c r="BA26" s="387" t="s">
        <v>108</v>
      </c>
      <c r="BB26" s="387"/>
      <c r="BC26" s="387"/>
      <c r="BD26" s="387"/>
      <c r="BE26" s="387"/>
      <c r="BF26" s="387"/>
      <c r="BG26" s="387"/>
      <c r="BH26" s="387"/>
      <c r="BI26" s="387"/>
      <c r="BJ26" s="387"/>
      <c r="BK26" s="387"/>
      <c r="BL26" s="387"/>
      <c r="BM26" s="391"/>
    </row>
    <row r="27" spans="1:65" ht="15.75" customHeight="1">
      <c r="A27" s="868" t="s">
        <v>80</v>
      </c>
      <c r="B27" s="869"/>
      <c r="C27" s="869"/>
      <c r="D27" s="869"/>
      <c r="E27" s="869"/>
      <c r="F27" s="869"/>
      <c r="G27" s="869"/>
      <c r="H27" s="870"/>
      <c r="I27" s="901" t="s">
        <v>109</v>
      </c>
      <c r="J27" s="896"/>
      <c r="K27" s="896"/>
      <c r="L27" s="896"/>
      <c r="M27" s="896"/>
      <c r="N27" s="896"/>
      <c r="O27" s="896"/>
      <c r="P27" s="896"/>
      <c r="Q27" s="896"/>
      <c r="R27" s="896"/>
      <c r="S27" s="896"/>
      <c r="T27" s="896"/>
      <c r="U27" s="896"/>
      <c r="V27" s="896"/>
      <c r="W27" s="896"/>
      <c r="X27" s="897"/>
      <c r="Y27" s="874" t="s">
        <v>79</v>
      </c>
      <c r="Z27" s="875"/>
      <c r="AA27" s="875"/>
      <c r="AB27" s="875"/>
      <c r="AC27" s="875"/>
      <c r="AD27" s="875"/>
      <c r="AE27" s="875"/>
      <c r="AF27" s="875"/>
      <c r="AG27" s="875"/>
      <c r="AH27" s="875"/>
      <c r="AI27" s="875"/>
      <c r="AJ27" s="875"/>
      <c r="AK27" s="875"/>
      <c r="AL27" s="875"/>
      <c r="AM27" s="875"/>
      <c r="AN27" s="875"/>
      <c r="AO27" s="875"/>
      <c r="AP27" s="875"/>
      <c r="AQ27" s="875"/>
      <c r="AR27" s="876"/>
      <c r="AS27" s="882" t="s">
        <v>80</v>
      </c>
      <c r="AT27" s="878"/>
      <c r="AU27" s="878"/>
      <c r="AV27" s="878"/>
      <c r="AW27" s="878"/>
      <c r="AX27" s="878"/>
      <c r="AY27" s="878"/>
      <c r="AZ27" s="879"/>
      <c r="BA27" s="377" t="s">
        <v>110</v>
      </c>
      <c r="BB27" s="387"/>
      <c r="BC27" s="387"/>
      <c r="BD27" s="387"/>
      <c r="BE27" s="387"/>
      <c r="BF27" s="387"/>
      <c r="BG27" s="387"/>
      <c r="BH27" s="387"/>
      <c r="BI27" s="387"/>
      <c r="BJ27" s="387"/>
      <c r="BK27" s="387"/>
      <c r="BL27" s="387"/>
      <c r="BM27" s="391"/>
    </row>
    <row r="28" spans="1:65" ht="212.25" customHeight="1">
      <c r="A28" s="868" t="s">
        <v>80</v>
      </c>
      <c r="B28" s="869"/>
      <c r="C28" s="869"/>
      <c r="D28" s="869"/>
      <c r="E28" s="869"/>
      <c r="F28" s="869"/>
      <c r="G28" s="869"/>
      <c r="H28" s="870"/>
      <c r="I28" s="895" t="s">
        <v>111</v>
      </c>
      <c r="J28" s="896"/>
      <c r="K28" s="896"/>
      <c r="L28" s="896"/>
      <c r="M28" s="896"/>
      <c r="N28" s="896"/>
      <c r="O28" s="896"/>
      <c r="P28" s="896"/>
      <c r="Q28" s="896"/>
      <c r="R28" s="896"/>
      <c r="S28" s="896"/>
      <c r="T28" s="896"/>
      <c r="U28" s="896"/>
      <c r="V28" s="896"/>
      <c r="W28" s="896"/>
      <c r="X28" s="897"/>
      <c r="Y28" s="874" t="s">
        <v>79</v>
      </c>
      <c r="Z28" s="875"/>
      <c r="AA28" s="875"/>
      <c r="AB28" s="875"/>
      <c r="AC28" s="875"/>
      <c r="AD28" s="875"/>
      <c r="AE28" s="875"/>
      <c r="AF28" s="875"/>
      <c r="AG28" s="875"/>
      <c r="AH28" s="875"/>
      <c r="AI28" s="875"/>
      <c r="AJ28" s="875"/>
      <c r="AK28" s="875"/>
      <c r="AL28" s="875"/>
      <c r="AM28" s="875"/>
      <c r="AN28" s="875"/>
      <c r="AO28" s="875"/>
      <c r="AP28" s="875"/>
      <c r="AQ28" s="875"/>
      <c r="AR28" s="876"/>
      <c r="AS28" s="882" t="s">
        <v>80</v>
      </c>
      <c r="AT28" s="878"/>
      <c r="AU28" s="878"/>
      <c r="AV28" s="878"/>
      <c r="AW28" s="878"/>
      <c r="AX28" s="878"/>
      <c r="AY28" s="878"/>
      <c r="AZ28" s="879"/>
      <c r="BA28" s="377" t="s">
        <v>80</v>
      </c>
      <c r="BB28" s="387"/>
      <c r="BC28" s="387"/>
      <c r="BD28" s="387"/>
      <c r="BE28" s="387"/>
      <c r="BF28" s="387"/>
      <c r="BG28" s="387"/>
      <c r="BH28" s="387"/>
      <c r="BI28" s="387"/>
      <c r="BJ28" s="387"/>
      <c r="BK28" s="387"/>
      <c r="BL28" s="387"/>
      <c r="BM28" s="391"/>
    </row>
    <row r="29" spans="1:65" ht="15.75" customHeight="1">
      <c r="A29" s="868" t="s">
        <v>80</v>
      </c>
      <c r="B29" s="869"/>
      <c r="C29" s="869"/>
      <c r="D29" s="869"/>
      <c r="E29" s="869"/>
      <c r="F29" s="869"/>
      <c r="G29" s="869"/>
      <c r="H29" s="870"/>
      <c r="I29" s="898" t="s">
        <v>112</v>
      </c>
      <c r="J29" s="899"/>
      <c r="K29" s="899"/>
      <c r="L29" s="899"/>
      <c r="M29" s="899"/>
      <c r="N29" s="899"/>
      <c r="O29" s="899"/>
      <c r="P29" s="899"/>
      <c r="Q29" s="899"/>
      <c r="R29" s="899"/>
      <c r="S29" s="899"/>
      <c r="T29" s="899"/>
      <c r="U29" s="899"/>
      <c r="V29" s="899"/>
      <c r="W29" s="899"/>
      <c r="X29" s="900"/>
      <c r="Y29" s="384" t="s">
        <v>98</v>
      </c>
      <c r="Z29" s="383"/>
      <c r="AA29" s="383"/>
      <c r="AB29" s="383"/>
      <c r="AC29" s="383"/>
      <c r="AD29" s="383"/>
      <c r="AE29" s="383"/>
      <c r="AF29" s="383"/>
      <c r="AG29" s="383"/>
      <c r="AH29" s="383"/>
      <c r="AI29" s="383"/>
      <c r="AJ29" s="383"/>
      <c r="AK29" s="383"/>
      <c r="AL29" s="383"/>
      <c r="AM29" s="383"/>
      <c r="AN29" s="383"/>
      <c r="AO29" s="383"/>
      <c r="AP29" s="383"/>
      <c r="AQ29" s="383"/>
      <c r="AR29" s="385"/>
      <c r="AS29" s="882" t="s">
        <v>80</v>
      </c>
      <c r="AT29" s="878"/>
      <c r="AU29" s="878"/>
      <c r="AV29" s="878"/>
      <c r="AW29" s="878"/>
      <c r="AX29" s="878"/>
      <c r="AY29" s="878"/>
      <c r="AZ29" s="879"/>
      <c r="BA29" s="377" t="s">
        <v>80</v>
      </c>
      <c r="BB29" s="387"/>
      <c r="BC29" s="387"/>
      <c r="BD29" s="387"/>
      <c r="BE29" s="387"/>
      <c r="BF29" s="387"/>
      <c r="BG29" s="387"/>
      <c r="BH29" s="387"/>
      <c r="BI29" s="387"/>
      <c r="BJ29" s="387"/>
      <c r="BK29" s="387"/>
      <c r="BL29" s="387"/>
      <c r="BM29" s="391"/>
    </row>
    <row r="30" spans="1:65" ht="15">
      <c r="A30" s="868" t="s">
        <v>40</v>
      </c>
      <c r="B30" s="869"/>
      <c r="C30" s="869"/>
      <c r="D30" s="869"/>
      <c r="E30" s="869"/>
      <c r="F30" s="869"/>
      <c r="G30" s="869"/>
      <c r="H30" s="870"/>
      <c r="I30" s="871" t="s">
        <v>113</v>
      </c>
      <c r="J30" s="872"/>
      <c r="K30" s="872"/>
      <c r="L30" s="872"/>
      <c r="M30" s="872"/>
      <c r="N30" s="872"/>
      <c r="O30" s="872"/>
      <c r="P30" s="872"/>
      <c r="Q30" s="872"/>
      <c r="R30" s="872"/>
      <c r="S30" s="872"/>
      <c r="T30" s="872"/>
      <c r="U30" s="872"/>
      <c r="V30" s="872"/>
      <c r="W30" s="872"/>
      <c r="X30" s="873"/>
      <c r="Y30" s="874" t="s">
        <v>86</v>
      </c>
      <c r="Z30" s="875"/>
      <c r="AA30" s="875"/>
      <c r="AB30" s="875"/>
      <c r="AC30" s="875"/>
      <c r="AD30" s="875"/>
      <c r="AE30" s="875"/>
      <c r="AF30" s="875"/>
      <c r="AG30" s="875"/>
      <c r="AH30" s="875"/>
      <c r="AI30" s="875"/>
      <c r="AJ30" s="875"/>
      <c r="AK30" s="875"/>
      <c r="AL30" s="875"/>
      <c r="AM30" s="875"/>
      <c r="AN30" s="875"/>
      <c r="AO30" s="875"/>
      <c r="AP30" s="875"/>
      <c r="AQ30" s="875"/>
      <c r="AR30" s="876"/>
      <c r="AS30" s="877">
        <v>43332</v>
      </c>
      <c r="AT30" s="878"/>
      <c r="AU30" s="878"/>
      <c r="AV30" s="878"/>
      <c r="AW30" s="878"/>
      <c r="AX30" s="878"/>
      <c r="AY30" s="878"/>
      <c r="AZ30" s="879"/>
      <c r="BA30" s="377" t="s">
        <v>114</v>
      </c>
      <c r="BB30" s="388"/>
      <c r="BC30" s="388"/>
      <c r="BD30" s="388"/>
      <c r="BE30" s="388"/>
      <c r="BF30" s="388"/>
      <c r="BG30" s="388"/>
      <c r="BH30" s="388"/>
      <c r="BI30" s="388"/>
      <c r="BJ30" s="388"/>
      <c r="BK30" s="388"/>
      <c r="BL30" s="388"/>
      <c r="BM30" s="392"/>
    </row>
    <row r="31" spans="1:65" ht="15">
      <c r="A31" s="868" t="s">
        <v>80</v>
      </c>
      <c r="B31" s="869"/>
      <c r="C31" s="869"/>
      <c r="D31" s="869"/>
      <c r="E31" s="869"/>
      <c r="F31" s="869"/>
      <c r="G31" s="869"/>
      <c r="H31" s="870"/>
      <c r="I31" s="871" t="s">
        <v>115</v>
      </c>
      <c r="J31" s="872"/>
      <c r="K31" s="872"/>
      <c r="L31" s="872"/>
      <c r="M31" s="872"/>
      <c r="N31" s="872"/>
      <c r="O31" s="872"/>
      <c r="P31" s="872"/>
      <c r="Q31" s="872"/>
      <c r="R31" s="872"/>
      <c r="S31" s="872"/>
      <c r="T31" s="872"/>
      <c r="U31" s="872"/>
      <c r="V31" s="872"/>
      <c r="W31" s="872"/>
      <c r="X31" s="873"/>
      <c r="Y31" s="874" t="s">
        <v>80</v>
      </c>
      <c r="Z31" s="875"/>
      <c r="AA31" s="875"/>
      <c r="AB31" s="875"/>
      <c r="AC31" s="875"/>
      <c r="AD31" s="875"/>
      <c r="AE31" s="875"/>
      <c r="AF31" s="875"/>
      <c r="AG31" s="875"/>
      <c r="AH31" s="875"/>
      <c r="AI31" s="875"/>
      <c r="AJ31" s="875"/>
      <c r="AK31" s="875"/>
      <c r="AL31" s="875"/>
      <c r="AM31" s="875"/>
      <c r="AN31" s="875"/>
      <c r="AO31" s="875"/>
      <c r="AP31" s="875"/>
      <c r="AQ31" s="875"/>
      <c r="AR31" s="876"/>
      <c r="AS31" s="877" t="s">
        <v>80</v>
      </c>
      <c r="AT31" s="878"/>
      <c r="AU31" s="878"/>
      <c r="AV31" s="878"/>
      <c r="AW31" s="878"/>
      <c r="AX31" s="878"/>
      <c r="AY31" s="878"/>
      <c r="AZ31" s="879"/>
      <c r="BA31" s="377" t="s">
        <v>116</v>
      </c>
      <c r="BB31" s="388"/>
      <c r="BC31" s="388"/>
      <c r="BD31" s="388"/>
      <c r="BE31" s="388"/>
      <c r="BF31" s="388"/>
      <c r="BG31" s="388"/>
      <c r="BH31" s="388"/>
      <c r="BI31" s="388"/>
      <c r="BJ31" s="388"/>
      <c r="BK31" s="388"/>
      <c r="BL31" s="388"/>
      <c r="BM31" s="392"/>
    </row>
    <row r="32" spans="1:65" ht="31.5" customHeight="1">
      <c r="A32" s="868" t="s">
        <v>80</v>
      </c>
      <c r="B32" s="869"/>
      <c r="C32" s="869"/>
      <c r="D32" s="869"/>
      <c r="E32" s="869"/>
      <c r="F32" s="869"/>
      <c r="G32" s="869"/>
      <c r="H32" s="870"/>
      <c r="I32" s="871" t="s">
        <v>117</v>
      </c>
      <c r="J32" s="880"/>
      <c r="K32" s="880"/>
      <c r="L32" s="880"/>
      <c r="M32" s="880"/>
      <c r="N32" s="880"/>
      <c r="O32" s="880"/>
      <c r="P32" s="880"/>
      <c r="Q32" s="880"/>
      <c r="R32" s="880"/>
      <c r="S32" s="880"/>
      <c r="T32" s="880"/>
      <c r="U32" s="880"/>
      <c r="V32" s="880"/>
      <c r="W32" s="880"/>
      <c r="X32" s="881"/>
      <c r="Y32" s="874" t="s">
        <v>79</v>
      </c>
      <c r="Z32" s="875"/>
      <c r="AA32" s="875"/>
      <c r="AB32" s="875"/>
      <c r="AC32" s="875"/>
      <c r="AD32" s="875"/>
      <c r="AE32" s="875"/>
      <c r="AF32" s="875"/>
      <c r="AG32" s="875"/>
      <c r="AH32" s="875"/>
      <c r="AI32" s="875"/>
      <c r="AJ32" s="875"/>
      <c r="AK32" s="875"/>
      <c r="AL32" s="875"/>
      <c r="AM32" s="875"/>
      <c r="AN32" s="875"/>
      <c r="AO32" s="875"/>
      <c r="AP32" s="875"/>
      <c r="AQ32" s="875"/>
      <c r="AR32" s="876"/>
      <c r="AS32" s="882" t="s">
        <v>80</v>
      </c>
      <c r="AT32" s="878"/>
      <c r="AU32" s="878"/>
      <c r="AV32" s="878"/>
      <c r="AW32" s="878"/>
      <c r="AX32" s="878"/>
      <c r="AY32" s="878"/>
      <c r="AZ32" s="879"/>
      <c r="BA32" s="383"/>
      <c r="BB32" s="388"/>
      <c r="BC32" s="388"/>
      <c r="BD32" s="388"/>
      <c r="BE32" s="388"/>
      <c r="BF32" s="388"/>
      <c r="BG32" s="388"/>
      <c r="BH32" s="388"/>
      <c r="BI32" s="388"/>
      <c r="BJ32" s="388"/>
      <c r="BK32" s="388"/>
      <c r="BL32" s="388"/>
      <c r="BM32" s="392"/>
    </row>
    <row r="33" spans="1:65" ht="15.75" customHeight="1">
      <c r="A33" s="883"/>
      <c r="B33" s="884"/>
      <c r="C33" s="884"/>
      <c r="D33" s="884"/>
      <c r="E33" s="884"/>
      <c r="F33" s="884"/>
      <c r="G33" s="884"/>
      <c r="H33" s="885"/>
      <c r="I33" s="886"/>
      <c r="J33" s="887"/>
      <c r="K33" s="887"/>
      <c r="L33" s="887"/>
      <c r="M33" s="887"/>
      <c r="N33" s="887"/>
      <c r="O33" s="887"/>
      <c r="P33" s="887"/>
      <c r="Q33" s="887"/>
      <c r="R33" s="887"/>
      <c r="S33" s="887"/>
      <c r="T33" s="887"/>
      <c r="U33" s="887"/>
      <c r="V33" s="887"/>
      <c r="W33" s="887"/>
      <c r="X33" s="888"/>
      <c r="Y33" s="889"/>
      <c r="Z33" s="890"/>
      <c r="AA33" s="890"/>
      <c r="AB33" s="890"/>
      <c r="AC33" s="890"/>
      <c r="AD33" s="890"/>
      <c r="AE33" s="890"/>
      <c r="AF33" s="890"/>
      <c r="AG33" s="890"/>
      <c r="AH33" s="890"/>
      <c r="AI33" s="890"/>
      <c r="AJ33" s="890"/>
      <c r="AK33" s="890"/>
      <c r="AL33" s="890"/>
      <c r="AM33" s="890"/>
      <c r="AN33" s="890"/>
      <c r="AO33" s="890"/>
      <c r="AP33" s="890"/>
      <c r="AQ33" s="890"/>
      <c r="AR33" s="891"/>
      <c r="AS33" s="892"/>
      <c r="AT33" s="893"/>
      <c r="AU33" s="893"/>
      <c r="AV33" s="893"/>
      <c r="AW33" s="893"/>
      <c r="AX33" s="893"/>
      <c r="AY33" s="893"/>
      <c r="AZ33" s="894"/>
      <c r="BA33" s="389"/>
      <c r="BB33" s="389"/>
      <c r="BC33" s="389"/>
      <c r="BD33" s="389"/>
      <c r="BE33" s="389"/>
      <c r="BF33" s="389"/>
      <c r="BG33" s="389"/>
      <c r="BH33" s="389"/>
      <c r="BI33" s="389"/>
      <c r="BJ33" s="389"/>
      <c r="BK33" s="389"/>
      <c r="BL33" s="389"/>
      <c r="BM33" s="393"/>
    </row>
    <row r="34" spans="1:65" ht="15">
      <c r="A34" s="361"/>
      <c r="B34" s="362"/>
      <c r="C34" s="363"/>
      <c r="D34" s="363"/>
      <c r="E34" s="363"/>
      <c r="F34" s="364"/>
      <c r="G34" s="364"/>
      <c r="H34" s="364"/>
      <c r="I34" s="364"/>
      <c r="J34" s="363"/>
      <c r="K34" s="364"/>
      <c r="L34" s="364"/>
      <c r="M34" s="364"/>
      <c r="N34" s="364"/>
      <c r="O34" s="364"/>
      <c r="P34" s="364"/>
      <c r="Q34" s="379"/>
      <c r="R34" s="361"/>
      <c r="S34" s="361"/>
      <c r="T34" s="361"/>
      <c r="U34" s="361"/>
      <c r="V34" s="361"/>
      <c r="W34" s="361"/>
      <c r="X34" s="361"/>
      <c r="Y34" s="364"/>
      <c r="Z34" s="361"/>
      <c r="AA34" s="361"/>
      <c r="AB34" s="361"/>
      <c r="AC34" s="361"/>
      <c r="AD34" s="361"/>
      <c r="AE34" s="361"/>
      <c r="AF34" s="361"/>
      <c r="AG34" s="361"/>
      <c r="AH34" s="361"/>
      <c r="AI34" s="361"/>
      <c r="AJ34" s="361"/>
      <c r="AK34" s="361"/>
      <c r="AL34" s="361"/>
      <c r="AM34" s="361"/>
      <c r="AN34" s="361"/>
      <c r="AO34" s="361"/>
      <c r="AP34" s="361"/>
      <c r="AQ34" s="361"/>
      <c r="AR34" s="361"/>
      <c r="AS34" s="361"/>
      <c r="AT34" s="361"/>
      <c r="AU34" s="361"/>
      <c r="AV34" s="361"/>
      <c r="AW34" s="361"/>
      <c r="AX34" s="361"/>
      <c r="AY34" s="361"/>
      <c r="AZ34" s="361"/>
      <c r="BA34" s="361"/>
      <c r="BB34" s="361"/>
      <c r="BC34" s="361"/>
      <c r="BD34" s="361"/>
      <c r="BE34" s="361"/>
      <c r="BF34" s="361"/>
      <c r="BG34" s="361"/>
      <c r="BH34" s="361"/>
      <c r="BI34" s="361"/>
      <c r="BJ34" s="361"/>
      <c r="BK34" s="361"/>
      <c r="BL34" s="361"/>
      <c r="BM34" s="361"/>
    </row>
    <row r="35" spans="1:65" s="354" customFormat="1" ht="15">
      <c r="A35" s="365" t="s">
        <v>118</v>
      </c>
      <c r="B35" s="366"/>
      <c r="C35" s="366"/>
      <c r="D35" s="366"/>
      <c r="E35" s="366"/>
      <c r="F35" s="366"/>
      <c r="G35" s="366"/>
      <c r="H35" s="366"/>
      <c r="I35" s="372"/>
      <c r="J35" s="373"/>
      <c r="Q35" s="380"/>
    </row>
    <row r="36" spans="1:65" ht="15">
      <c r="A36" s="361"/>
      <c r="B36" s="362"/>
      <c r="C36" s="363"/>
      <c r="D36" s="363"/>
      <c r="E36" s="363"/>
      <c r="F36" s="364"/>
      <c r="G36" s="364"/>
      <c r="H36" s="364"/>
      <c r="I36" s="364"/>
      <c r="J36" s="363"/>
      <c r="K36" s="364"/>
      <c r="L36" s="364"/>
      <c r="M36" s="364"/>
      <c r="N36" s="364"/>
      <c r="O36" s="364"/>
      <c r="P36" s="364"/>
      <c r="Q36" s="379"/>
      <c r="R36" s="361"/>
      <c r="S36" s="361"/>
      <c r="T36" s="361"/>
      <c r="U36" s="361"/>
      <c r="V36" s="361"/>
      <c r="W36" s="361"/>
      <c r="X36" s="361"/>
      <c r="Y36" s="364"/>
      <c r="Z36" s="361"/>
      <c r="AA36" s="361"/>
      <c r="AB36" s="361"/>
      <c r="AC36" s="361"/>
      <c r="AD36" s="361"/>
      <c r="AE36" s="361"/>
      <c r="AF36" s="361"/>
      <c r="AG36" s="361"/>
      <c r="AH36" s="361"/>
      <c r="AI36" s="361"/>
      <c r="AJ36" s="361"/>
      <c r="AK36" s="361"/>
      <c r="AL36" s="361"/>
      <c r="AM36" s="361"/>
      <c r="AN36" s="361"/>
      <c r="AO36" s="361"/>
      <c r="AP36" s="361"/>
      <c r="AQ36" s="361"/>
      <c r="AR36" s="361"/>
      <c r="AS36" s="361"/>
      <c r="AT36" s="361"/>
      <c r="AU36" s="361"/>
      <c r="AV36" s="361"/>
      <c r="AW36" s="361"/>
      <c r="AX36" s="361"/>
      <c r="AY36" s="361"/>
      <c r="AZ36" s="361"/>
      <c r="BA36" s="361"/>
      <c r="BB36" s="361"/>
      <c r="BC36" s="361"/>
      <c r="BD36" s="361"/>
      <c r="BE36" s="361"/>
      <c r="BF36" s="361"/>
      <c r="BG36" s="361"/>
      <c r="BH36" s="361"/>
      <c r="BI36" s="361"/>
      <c r="BJ36" s="361"/>
      <c r="BK36" s="361"/>
      <c r="BL36" s="361"/>
      <c r="BM36" s="361"/>
    </row>
    <row r="37" spans="1:65" ht="15">
      <c r="A37" s="361"/>
      <c r="B37" s="362"/>
      <c r="C37" s="363"/>
      <c r="D37" s="363"/>
      <c r="E37" s="363"/>
      <c r="F37" s="364"/>
      <c r="G37" s="364"/>
      <c r="H37" s="364"/>
      <c r="I37" s="364"/>
      <c r="J37" s="363"/>
      <c r="K37" s="364"/>
      <c r="L37" s="364"/>
      <c r="M37" s="364"/>
      <c r="N37" s="364"/>
      <c r="O37" s="364"/>
      <c r="P37" s="364"/>
      <c r="Q37" s="379"/>
      <c r="R37" s="361"/>
      <c r="S37" s="361"/>
      <c r="T37" s="361"/>
      <c r="U37" s="361"/>
      <c r="V37" s="361"/>
      <c r="W37" s="361"/>
      <c r="X37" s="361"/>
      <c r="Y37" s="364"/>
      <c r="Z37" s="361"/>
      <c r="AA37" s="361"/>
      <c r="AB37" s="361"/>
      <c r="AC37" s="361"/>
      <c r="AD37" s="361"/>
      <c r="AE37" s="361"/>
      <c r="AF37" s="361"/>
      <c r="AG37" s="361"/>
      <c r="AH37" s="361"/>
      <c r="AI37" s="361"/>
      <c r="AJ37" s="361"/>
      <c r="AK37" s="361"/>
      <c r="AL37" s="361"/>
      <c r="AM37" s="361"/>
      <c r="AN37" s="361"/>
      <c r="AO37" s="361"/>
      <c r="AP37" s="361"/>
      <c r="AQ37" s="361"/>
      <c r="AR37" s="361"/>
      <c r="AS37" s="361"/>
      <c r="AT37" s="361"/>
      <c r="AU37" s="361"/>
      <c r="AV37" s="361"/>
      <c r="AW37" s="361"/>
      <c r="AX37" s="361"/>
      <c r="AY37" s="361"/>
      <c r="AZ37" s="361"/>
      <c r="BA37" s="361"/>
      <c r="BB37" s="361"/>
      <c r="BC37" s="361"/>
      <c r="BD37" s="361"/>
      <c r="BE37" s="361"/>
      <c r="BF37" s="361"/>
      <c r="BG37" s="361"/>
      <c r="BH37" s="361"/>
      <c r="BI37" s="361"/>
      <c r="BJ37" s="361"/>
      <c r="BK37" s="361"/>
      <c r="BL37" s="361"/>
      <c r="BM37" s="361"/>
    </row>
    <row r="38" spans="1:65" ht="15">
      <c r="A38" s="361"/>
      <c r="B38" s="362"/>
      <c r="C38" s="363"/>
      <c r="D38" s="363"/>
      <c r="E38" s="363"/>
      <c r="F38" s="364"/>
      <c r="G38" s="364"/>
      <c r="H38" s="364"/>
      <c r="I38" s="364"/>
      <c r="J38" s="363"/>
      <c r="K38" s="364"/>
      <c r="L38" s="364"/>
      <c r="M38" s="364"/>
      <c r="N38" s="364"/>
      <c r="O38" s="364"/>
      <c r="P38" s="364"/>
      <c r="Q38" s="379"/>
      <c r="R38" s="361"/>
      <c r="S38" s="361"/>
      <c r="T38" s="361"/>
      <c r="U38" s="361"/>
      <c r="V38" s="361"/>
      <c r="W38" s="361"/>
      <c r="X38" s="361"/>
      <c r="Y38" s="364"/>
      <c r="Z38" s="361"/>
      <c r="AA38" s="361"/>
      <c r="AB38" s="361"/>
      <c r="AC38" s="361"/>
      <c r="AD38" s="361"/>
      <c r="AE38" s="361"/>
      <c r="AF38" s="361"/>
      <c r="AG38" s="361"/>
      <c r="AH38" s="361"/>
      <c r="AI38" s="361"/>
      <c r="AJ38" s="361"/>
      <c r="AK38" s="361"/>
      <c r="AL38" s="361"/>
      <c r="AM38" s="361"/>
      <c r="AN38" s="361"/>
      <c r="AO38" s="361"/>
      <c r="AP38" s="361"/>
      <c r="AQ38" s="361"/>
      <c r="AR38" s="361"/>
      <c r="AS38" s="361"/>
      <c r="AT38" s="361"/>
      <c r="AU38" s="361"/>
      <c r="AV38" s="361"/>
      <c r="AW38" s="361"/>
      <c r="AX38" s="361"/>
      <c r="AY38" s="361"/>
      <c r="AZ38" s="361"/>
      <c r="BA38" s="361"/>
      <c r="BB38" s="361"/>
      <c r="BC38" s="361"/>
      <c r="BD38" s="361"/>
      <c r="BE38" s="361"/>
      <c r="BF38" s="361"/>
      <c r="BG38" s="361"/>
      <c r="BH38" s="361"/>
      <c r="BI38" s="361"/>
      <c r="BJ38" s="361"/>
      <c r="BK38" s="361"/>
      <c r="BL38" s="361"/>
      <c r="BM38" s="361"/>
    </row>
  </sheetData>
  <mergeCells count="120">
    <mergeCell ref="BA5:BM5"/>
    <mergeCell ref="AU2:BA3"/>
    <mergeCell ref="BB2:BG3"/>
    <mergeCell ref="BH2:BM3"/>
    <mergeCell ref="A1:J3"/>
    <mergeCell ref="K1:T1"/>
    <mergeCell ref="U1:Y1"/>
    <mergeCell ref="Z1:AF1"/>
    <mergeCell ref="AG1:AK1"/>
    <mergeCell ref="AL1:AT1"/>
    <mergeCell ref="AU1:BA1"/>
    <mergeCell ref="BB1:BG1"/>
    <mergeCell ref="BH1:BM1"/>
    <mergeCell ref="K2:T2"/>
    <mergeCell ref="U2:Y2"/>
    <mergeCell ref="Z2:AF2"/>
    <mergeCell ref="AG2:AK2"/>
    <mergeCell ref="AL2:AT2"/>
    <mergeCell ref="K3:T3"/>
    <mergeCell ref="U3:Y3"/>
    <mergeCell ref="Z3:AF3"/>
    <mergeCell ref="AG3:AT3"/>
    <mergeCell ref="A5:H5"/>
    <mergeCell ref="I5:X5"/>
    <mergeCell ref="A6:H6"/>
    <mergeCell ref="AS6:AZ6"/>
    <mergeCell ref="A7:H7"/>
    <mergeCell ref="I7:X7"/>
    <mergeCell ref="AS7:AZ7"/>
    <mergeCell ref="A8:H8"/>
    <mergeCell ref="I8:X8"/>
    <mergeCell ref="AS8:AZ8"/>
    <mergeCell ref="Y5:AR5"/>
    <mergeCell ref="AS5:AZ5"/>
    <mergeCell ref="A9:H9"/>
    <mergeCell ref="AS9:AZ9"/>
    <mergeCell ref="A10:H10"/>
    <mergeCell ref="I10:X10"/>
    <mergeCell ref="AS10:AZ10"/>
    <mergeCell ref="A11:H11"/>
    <mergeCell ref="I11:X11"/>
    <mergeCell ref="AS11:AZ11"/>
    <mergeCell ref="A12:H12"/>
    <mergeCell ref="I12:X12"/>
    <mergeCell ref="AS12:AZ12"/>
    <mergeCell ref="A13:H13"/>
    <mergeCell ref="AS13:AZ13"/>
    <mergeCell ref="A14:H14"/>
    <mergeCell ref="I14:X14"/>
    <mergeCell ref="Y14:AR14"/>
    <mergeCell ref="AS14:AZ14"/>
    <mergeCell ref="A15:H15"/>
    <mergeCell ref="I15:X15"/>
    <mergeCell ref="Y15:AR15"/>
    <mergeCell ref="AS15:AZ15"/>
    <mergeCell ref="A16:H16"/>
    <mergeCell ref="I16:X16"/>
    <mergeCell ref="Y16:AR16"/>
    <mergeCell ref="AS16:AZ16"/>
    <mergeCell ref="A17:H17"/>
    <mergeCell ref="I17:X17"/>
    <mergeCell ref="Y17:AR17"/>
    <mergeCell ref="AS17:AZ17"/>
    <mergeCell ref="A18:H18"/>
    <mergeCell ref="I18:X18"/>
    <mergeCell ref="Y18:AR18"/>
    <mergeCell ref="AS18:AZ18"/>
    <mergeCell ref="A19:H19"/>
    <mergeCell ref="I19:X19"/>
    <mergeCell ref="AS19:AZ19"/>
    <mergeCell ref="A20:H20"/>
    <mergeCell ref="I20:X20"/>
    <mergeCell ref="AS20:AZ20"/>
    <mergeCell ref="A21:H21"/>
    <mergeCell ref="I21:X21"/>
    <mergeCell ref="AS21:AZ21"/>
    <mergeCell ref="A22:H22"/>
    <mergeCell ref="I22:X22"/>
    <mergeCell ref="Y22:AR22"/>
    <mergeCell ref="AS22:AZ22"/>
    <mergeCell ref="A23:H23"/>
    <mergeCell ref="I23:X23"/>
    <mergeCell ref="AS23:AZ23"/>
    <mergeCell ref="A24:H24"/>
    <mergeCell ref="I24:X24"/>
    <mergeCell ref="AS24:AZ24"/>
    <mergeCell ref="A25:H25"/>
    <mergeCell ref="I25:X25"/>
    <mergeCell ref="AS25:AZ25"/>
    <mergeCell ref="A26:H26"/>
    <mergeCell ref="I26:X26"/>
    <mergeCell ref="Y26:AR26"/>
    <mergeCell ref="AS26:AZ26"/>
    <mergeCell ref="A27:H27"/>
    <mergeCell ref="I27:X27"/>
    <mergeCell ref="Y27:AR27"/>
    <mergeCell ref="AS27:AZ27"/>
    <mergeCell ref="A28:H28"/>
    <mergeCell ref="I28:X28"/>
    <mergeCell ref="Y28:AR28"/>
    <mergeCell ref="AS28:AZ28"/>
    <mergeCell ref="A29:H29"/>
    <mergeCell ref="I29:X29"/>
    <mergeCell ref="AS29:AZ29"/>
    <mergeCell ref="A30:H30"/>
    <mergeCell ref="I30:X30"/>
    <mergeCell ref="Y30:AR30"/>
    <mergeCell ref="AS30:AZ30"/>
    <mergeCell ref="A31:H31"/>
    <mergeCell ref="I31:X31"/>
    <mergeCell ref="Y31:AR31"/>
    <mergeCell ref="AS31:AZ31"/>
    <mergeCell ref="A32:H32"/>
    <mergeCell ref="I32:X32"/>
    <mergeCell ref="Y32:AR32"/>
    <mergeCell ref="AS32:AZ32"/>
    <mergeCell ref="A33:H33"/>
    <mergeCell ref="I33:X33"/>
    <mergeCell ref="Y33:AR33"/>
    <mergeCell ref="AS33:AZ33"/>
  </mergeCells>
  <phoneticPr fontId="65"/>
  <pageMargins left="0.511811023622047" right="0.74803149606299202" top="0.70866141732283505" bottom="0.43307086614173201" header="0.511811023622047" footer="0.35433070866141703"/>
  <pageSetup paperSize="9" fitToHeight="0" orientation="landscape" r:id="rId1"/>
  <headerFooter alignWithMargins="0">
    <oddFooter>&amp;L&amp;"Meiryo UI"&amp;10MSBDP0090&amp;C&amp;"Meiryo UI,標準"&amp;10&amp;P&amp;R&amp;"Meiryo UI,標準"&amp;10(C)Toyo Business Engineering Corp.[Confidential]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pageSetUpPr fitToPage="1"/>
  </sheetPr>
  <dimension ref="A1:CH73"/>
  <sheetViews>
    <sheetView showGridLines="0" showZeros="0" view="pageBreakPreview" zoomScale="70" zoomScaleNormal="100" zoomScaleSheetLayoutView="70" workbookViewId="0">
      <pane ySplit="4" topLeftCell="A5" activePane="bottomLeft" state="frozen"/>
      <selection pane="bottomLeft" sqref="A1:N3"/>
    </sheetView>
  </sheetViews>
  <sheetFormatPr defaultColWidth="2.08984375" defaultRowHeight="15.75" customHeight="1"/>
  <cols>
    <col min="1" max="2" width="2.08984375" style="3" customWidth="1"/>
    <col min="3" max="3" width="2.36328125" style="4" customWidth="1"/>
    <col min="4" max="4" width="2.08984375" style="4" customWidth="1"/>
    <col min="5" max="5" width="3" style="4" customWidth="1"/>
    <col min="6" max="9" width="2.08984375" style="3" customWidth="1"/>
    <col min="10" max="10" width="2.08984375" style="4" customWidth="1"/>
    <col min="11" max="16" width="2.08984375" style="3" customWidth="1"/>
    <col min="17" max="17" width="2.08984375" style="5" customWidth="1"/>
    <col min="18" max="62" width="2.08984375" style="3" customWidth="1"/>
    <col min="63" max="63" width="2.26953125" style="3" customWidth="1"/>
    <col min="64" max="16384" width="2.08984375" style="3"/>
  </cols>
  <sheetData>
    <row r="1" spans="1:86" s="1" customFormat="1" ht="15">
      <c r="A1" s="663" t="str">
        <f ca="1">INDIRECT("表紙!$A$39")</f>
        <v>mcframe 7</v>
      </c>
      <c r="B1" s="664"/>
      <c r="C1" s="664"/>
      <c r="D1" s="664"/>
      <c r="E1" s="664"/>
      <c r="F1" s="664"/>
      <c r="G1" s="664"/>
      <c r="H1" s="664"/>
      <c r="I1" s="664"/>
      <c r="J1" s="664"/>
      <c r="K1" s="664"/>
      <c r="L1" s="664"/>
      <c r="M1" s="664"/>
      <c r="N1" s="665"/>
      <c r="O1" s="771" t="s">
        <v>45</v>
      </c>
      <c r="P1" s="772"/>
      <c r="Q1" s="772"/>
      <c r="R1" s="772"/>
      <c r="S1" s="772"/>
      <c r="T1" s="772"/>
      <c r="U1" s="772"/>
      <c r="V1" s="772"/>
      <c r="W1" s="772"/>
      <c r="X1" s="772"/>
      <c r="Y1" s="772"/>
      <c r="Z1" s="772"/>
      <c r="AA1" s="772"/>
      <c r="AB1" s="772"/>
      <c r="AC1" s="773" t="s">
        <v>46</v>
      </c>
      <c r="AD1" s="694"/>
      <c r="AE1" s="694"/>
      <c r="AF1" s="694"/>
      <c r="AG1" s="694"/>
      <c r="AH1" s="694"/>
      <c r="AI1" s="695"/>
      <c r="AJ1" s="693" t="str">
        <f ca="1">INDIRECT("表紙!$Z$39")</f>
        <v>MS</v>
      </c>
      <c r="AK1" s="694"/>
      <c r="AL1" s="694"/>
      <c r="AM1" s="694"/>
      <c r="AN1" s="694"/>
      <c r="AO1" s="694"/>
      <c r="AP1" s="695"/>
      <c r="AQ1" s="773" t="s">
        <v>48</v>
      </c>
      <c r="AR1" s="694"/>
      <c r="AS1" s="694"/>
      <c r="AT1" s="694"/>
      <c r="AU1" s="694"/>
      <c r="AV1" s="694"/>
      <c r="AW1" s="695"/>
      <c r="AX1" s="693" t="str">
        <f ca="1">INDIRECT("表紙!$AJ$39")</f>
        <v>SCM</v>
      </c>
      <c r="AY1" s="694"/>
      <c r="AZ1" s="694"/>
      <c r="BA1" s="694"/>
      <c r="BB1" s="694"/>
      <c r="BC1" s="694"/>
      <c r="BD1" s="694"/>
      <c r="BE1" s="694"/>
      <c r="BF1" s="694"/>
      <c r="BG1" s="694"/>
      <c r="BH1" s="694"/>
      <c r="BI1" s="694"/>
      <c r="BJ1" s="694"/>
      <c r="BK1" s="695"/>
      <c r="BL1" s="705" t="s">
        <v>5</v>
      </c>
      <c r="BM1" s="694"/>
      <c r="BN1" s="694"/>
      <c r="BO1" s="694"/>
      <c r="BP1" s="694"/>
      <c r="BQ1" s="694"/>
      <c r="BR1" s="694"/>
      <c r="BS1" s="694"/>
      <c r="BT1" s="695"/>
      <c r="BU1" s="753" t="s">
        <v>37</v>
      </c>
      <c r="BV1" s="754"/>
      <c r="BW1" s="754"/>
      <c r="BX1" s="754"/>
      <c r="BY1" s="754"/>
      <c r="BZ1" s="754"/>
      <c r="CA1" s="755"/>
      <c r="CB1" s="753" t="s">
        <v>50</v>
      </c>
      <c r="CC1" s="754"/>
      <c r="CD1" s="754"/>
      <c r="CE1" s="754"/>
      <c r="CF1" s="754"/>
      <c r="CG1" s="754"/>
      <c r="CH1" s="756"/>
    </row>
    <row r="2" spans="1:86" s="1" customFormat="1" ht="15.75" customHeight="1">
      <c r="A2" s="666"/>
      <c r="B2" s="667"/>
      <c r="C2" s="667"/>
      <c r="D2" s="667"/>
      <c r="E2" s="667"/>
      <c r="F2" s="667"/>
      <c r="G2" s="667"/>
      <c r="H2" s="667"/>
      <c r="I2" s="667"/>
      <c r="J2" s="667"/>
      <c r="K2" s="667"/>
      <c r="L2" s="667"/>
      <c r="M2" s="667"/>
      <c r="N2" s="668"/>
      <c r="O2" s="757" t="str">
        <f>文書名_カスタマイズ</f>
        <v>画面機能</v>
      </c>
      <c r="P2" s="675"/>
      <c r="Q2" s="675"/>
      <c r="R2" s="675"/>
      <c r="S2" s="675"/>
      <c r="T2" s="675"/>
      <c r="U2" s="675"/>
      <c r="V2" s="675"/>
      <c r="W2" s="675"/>
      <c r="X2" s="675"/>
      <c r="Y2" s="675"/>
      <c r="Z2" s="675"/>
      <c r="AA2" s="675"/>
      <c r="AB2" s="675"/>
      <c r="AC2" s="758" t="s">
        <v>59</v>
      </c>
      <c r="AD2" s="759"/>
      <c r="AE2" s="759"/>
      <c r="AF2" s="759"/>
      <c r="AG2" s="759"/>
      <c r="AH2" s="759"/>
      <c r="AI2" s="760"/>
      <c r="AJ2" s="761" t="str">
        <f ca="1">INDIRECT("表紙!$Z$40")</f>
        <v>MSBD</v>
      </c>
      <c r="AK2" s="759"/>
      <c r="AL2" s="759"/>
      <c r="AM2" s="759"/>
      <c r="AN2" s="759"/>
      <c r="AO2" s="759"/>
      <c r="AP2" s="760"/>
      <c r="AQ2" s="758" t="s">
        <v>60</v>
      </c>
      <c r="AR2" s="759"/>
      <c r="AS2" s="759"/>
      <c r="AT2" s="759"/>
      <c r="AU2" s="759"/>
      <c r="AV2" s="759"/>
      <c r="AW2" s="760"/>
      <c r="AX2" s="764" t="str">
        <f ca="1">INDIRECT("表紙!$AJ$40")</f>
        <v>購買管理</v>
      </c>
      <c r="AY2" s="759"/>
      <c r="AZ2" s="759"/>
      <c r="BA2" s="759"/>
      <c r="BB2" s="759"/>
      <c r="BC2" s="759"/>
      <c r="BD2" s="759"/>
      <c r="BE2" s="759"/>
      <c r="BF2" s="759"/>
      <c r="BG2" s="759"/>
      <c r="BH2" s="759"/>
      <c r="BI2" s="759"/>
      <c r="BJ2" s="759"/>
      <c r="BK2" s="760"/>
      <c r="BL2" s="765" t="str">
        <f>文書番号_カスタマイズ</f>
        <v>J052-0-0001</v>
      </c>
      <c r="BM2" s="766"/>
      <c r="BN2" s="766"/>
      <c r="BO2" s="766"/>
      <c r="BP2" s="766"/>
      <c r="BQ2" s="766"/>
      <c r="BR2" s="766"/>
      <c r="BS2" s="766"/>
      <c r="BT2" s="767"/>
      <c r="BU2" s="674" t="str">
        <f>Ver.</f>
        <v>7.0.1</v>
      </c>
      <c r="BV2" s="675"/>
      <c r="BW2" s="675"/>
      <c r="BX2" s="675"/>
      <c r="BY2" s="675"/>
      <c r="BZ2" s="675"/>
      <c r="CA2" s="676"/>
      <c r="CB2" s="851">
        <f>Rev.</f>
        <v>0.04</v>
      </c>
      <c r="CC2" s="920"/>
      <c r="CD2" s="920"/>
      <c r="CE2" s="920"/>
      <c r="CF2" s="920"/>
      <c r="CG2" s="920"/>
      <c r="CH2" s="921"/>
    </row>
    <row r="3" spans="1:86" s="1" customFormat="1" ht="14.5">
      <c r="A3" s="669"/>
      <c r="B3" s="670"/>
      <c r="C3" s="670"/>
      <c r="D3" s="670"/>
      <c r="E3" s="670"/>
      <c r="F3" s="670"/>
      <c r="G3" s="670"/>
      <c r="H3" s="670"/>
      <c r="I3" s="670"/>
      <c r="J3" s="670"/>
      <c r="K3" s="670"/>
      <c r="L3" s="670"/>
      <c r="M3" s="670"/>
      <c r="N3" s="671"/>
      <c r="O3" s="683" t="str">
        <f ca="1">RIGHT(CELL("filename",$A$1),LEN(CELL("filename",$A$1))-FIND("]",CELL("filename",$A$1)))</f>
        <v>概要（カスタマイズ）</v>
      </c>
      <c r="P3" s="684"/>
      <c r="Q3" s="684"/>
      <c r="R3" s="684"/>
      <c r="S3" s="684"/>
      <c r="T3" s="684"/>
      <c r="U3" s="684"/>
      <c r="V3" s="684"/>
      <c r="W3" s="684"/>
      <c r="X3" s="684"/>
      <c r="Y3" s="684"/>
      <c r="Z3" s="684"/>
      <c r="AA3" s="684"/>
      <c r="AB3" s="684"/>
      <c r="AC3" s="685" t="s">
        <v>56</v>
      </c>
      <c r="AD3" s="686"/>
      <c r="AE3" s="686"/>
      <c r="AF3" s="686"/>
      <c r="AG3" s="686"/>
      <c r="AH3" s="686"/>
      <c r="AI3" s="687"/>
      <c r="AJ3" s="688" t="str">
        <f ca="1">INDIRECT("表紙!$Z$41")</f>
        <v>MSBDP0090</v>
      </c>
      <c r="AK3" s="689"/>
      <c r="AL3" s="689"/>
      <c r="AM3" s="689"/>
      <c r="AN3" s="689"/>
      <c r="AO3" s="689"/>
      <c r="AP3" s="689"/>
      <c r="AQ3" s="690" t="str">
        <f ca="1">INDIRECT("表紙!$AE$41")</f>
        <v>発注一覧登録</v>
      </c>
      <c r="AR3" s="691"/>
      <c r="AS3" s="691"/>
      <c r="AT3" s="691"/>
      <c r="AU3" s="691"/>
      <c r="AV3" s="691"/>
      <c r="AW3" s="691"/>
      <c r="AX3" s="691"/>
      <c r="AY3" s="691"/>
      <c r="AZ3" s="691"/>
      <c r="BA3" s="691"/>
      <c r="BB3" s="691"/>
      <c r="BC3" s="691"/>
      <c r="BD3" s="691"/>
      <c r="BE3" s="691"/>
      <c r="BF3" s="691"/>
      <c r="BG3" s="691"/>
      <c r="BH3" s="691"/>
      <c r="BI3" s="691"/>
      <c r="BJ3" s="691"/>
      <c r="BK3" s="692"/>
      <c r="BL3" s="768"/>
      <c r="BM3" s="769"/>
      <c r="BN3" s="769"/>
      <c r="BO3" s="769"/>
      <c r="BP3" s="769"/>
      <c r="BQ3" s="769"/>
      <c r="BR3" s="769"/>
      <c r="BS3" s="769"/>
      <c r="BT3" s="770"/>
      <c r="BU3" s="677"/>
      <c r="BV3" s="678"/>
      <c r="BW3" s="678"/>
      <c r="BX3" s="678"/>
      <c r="BY3" s="678"/>
      <c r="BZ3" s="678"/>
      <c r="CA3" s="679"/>
      <c r="CB3" s="922"/>
      <c r="CC3" s="923"/>
      <c r="CD3" s="923"/>
      <c r="CE3" s="923"/>
      <c r="CF3" s="923"/>
      <c r="CG3" s="923"/>
      <c r="CH3" s="924"/>
    </row>
    <row r="4" spans="1:86" s="1" customFormat="1" ht="6.75" customHeight="1">
      <c r="B4" s="6"/>
      <c r="C4" s="7"/>
      <c r="D4" s="7"/>
      <c r="E4" s="7"/>
      <c r="F4" s="8"/>
      <c r="G4" s="8"/>
      <c r="H4" s="8"/>
      <c r="I4" s="8"/>
      <c r="J4" s="7"/>
      <c r="K4" s="8"/>
      <c r="L4" s="8"/>
      <c r="M4" s="8"/>
      <c r="N4" s="8"/>
      <c r="O4" s="8"/>
      <c r="P4" s="8"/>
      <c r="Q4" s="42"/>
    </row>
    <row r="5" spans="1:86" s="283" customFormat="1" ht="15">
      <c r="A5" s="139"/>
      <c r="B5" s="140"/>
      <c r="C5" s="140"/>
      <c r="D5" s="140"/>
      <c r="E5" s="140"/>
      <c r="F5" s="140"/>
      <c r="G5" s="140"/>
      <c r="H5" s="140"/>
      <c r="I5" s="140"/>
      <c r="J5" s="140"/>
      <c r="K5" s="140"/>
      <c r="L5" s="140"/>
      <c r="M5" s="140"/>
      <c r="N5" s="140"/>
      <c r="O5" s="140"/>
      <c r="P5" s="140"/>
      <c r="Q5" s="140"/>
      <c r="R5" s="140"/>
      <c r="S5" s="140"/>
      <c r="T5" s="140"/>
      <c r="U5" s="140"/>
      <c r="V5" s="140"/>
      <c r="W5" s="140"/>
      <c r="X5" s="140"/>
      <c r="Y5" s="140"/>
      <c r="Z5" s="140"/>
      <c r="AA5" s="140"/>
      <c r="AB5" s="140"/>
      <c r="AC5" s="140"/>
      <c r="AD5" s="140"/>
      <c r="AE5" s="140"/>
      <c r="AF5" s="140"/>
      <c r="AG5" s="140"/>
      <c r="AH5" s="140"/>
      <c r="AI5" s="140"/>
      <c r="AJ5" s="140"/>
      <c r="AK5" s="140"/>
      <c r="AL5" s="140"/>
      <c r="AM5" s="140"/>
      <c r="AN5" s="140"/>
      <c r="AO5" s="140" t="s">
        <v>86</v>
      </c>
      <c r="AP5" s="140"/>
      <c r="AQ5" s="140"/>
      <c r="AR5" s="140"/>
      <c r="AS5" s="140"/>
      <c r="AT5" s="140"/>
      <c r="AU5" s="140"/>
      <c r="AV5" s="140"/>
      <c r="AW5" s="140"/>
      <c r="AX5" s="140"/>
      <c r="AY5" s="140"/>
      <c r="AZ5" s="140"/>
      <c r="BA5" s="140"/>
      <c r="BB5" s="140"/>
      <c r="BC5" s="140"/>
      <c r="BD5" s="140"/>
      <c r="BE5" s="140"/>
      <c r="BF5" s="140"/>
      <c r="BG5" s="140"/>
      <c r="BH5" s="140"/>
      <c r="BI5" s="140"/>
      <c r="BJ5" s="140"/>
      <c r="BK5" s="140"/>
      <c r="BL5" s="140"/>
      <c r="BM5" s="140"/>
      <c r="BN5" s="140"/>
      <c r="BO5" s="140"/>
      <c r="BP5" s="140"/>
      <c r="BQ5" s="140"/>
      <c r="BR5" s="140"/>
      <c r="BS5" s="140"/>
      <c r="BT5" s="140"/>
      <c r="BU5" s="140"/>
      <c r="BV5" s="140"/>
      <c r="BW5" s="140"/>
      <c r="BX5" s="140"/>
      <c r="BY5" s="140"/>
      <c r="BZ5" s="140"/>
      <c r="CA5" s="140"/>
      <c r="CB5" s="140"/>
      <c r="CC5" s="140"/>
      <c r="CD5" s="140"/>
      <c r="CE5" s="140"/>
      <c r="CF5" s="140"/>
      <c r="CG5" s="140"/>
      <c r="CH5" s="307"/>
    </row>
    <row r="6" spans="1:86" s="2" customFormat="1" ht="15.75" customHeight="1">
      <c r="A6" s="9"/>
      <c r="B6" s="10"/>
      <c r="C6" s="10"/>
      <c r="D6" s="10"/>
      <c r="E6" s="10"/>
      <c r="F6" s="10"/>
      <c r="G6" s="10"/>
      <c r="H6" s="10"/>
      <c r="I6" s="10"/>
      <c r="J6" s="10"/>
      <c r="K6" s="10"/>
      <c r="L6" s="10"/>
      <c r="M6" s="10"/>
      <c r="N6" s="10"/>
      <c r="O6" s="10"/>
      <c r="P6" s="10"/>
      <c r="Q6" s="10"/>
      <c r="R6" s="10"/>
      <c r="S6" s="43"/>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51"/>
    </row>
    <row r="7" spans="1:86" s="2" customFormat="1" ht="15.75" customHeight="1">
      <c r="A7" s="9"/>
      <c r="B7" s="341" t="s">
        <v>119</v>
      </c>
      <c r="S7" s="94"/>
      <c r="CC7" s="10"/>
      <c r="CD7" s="10"/>
      <c r="CE7" s="10"/>
      <c r="CF7" s="10"/>
      <c r="CG7" s="10"/>
      <c r="CH7" s="51"/>
    </row>
    <row r="8" spans="1:86" s="2" customFormat="1" ht="15.75" customHeight="1">
      <c r="A8" s="9"/>
      <c r="B8" s="341"/>
      <c r="C8" s="342" t="s">
        <v>27</v>
      </c>
      <c r="D8" s="343"/>
      <c r="E8" s="343"/>
      <c r="F8" s="344"/>
      <c r="G8" s="342" t="s">
        <v>120</v>
      </c>
      <c r="H8" s="343"/>
      <c r="I8" s="343"/>
      <c r="J8" s="343"/>
      <c r="K8" s="343"/>
      <c r="L8" s="343"/>
      <c r="M8" s="343"/>
      <c r="N8" s="343"/>
      <c r="O8" s="343"/>
      <c r="P8" s="343"/>
      <c r="Q8" s="343"/>
      <c r="R8" s="343"/>
      <c r="S8" s="351"/>
      <c r="T8" s="343"/>
      <c r="U8" s="343"/>
      <c r="V8" s="343"/>
      <c r="W8" s="343"/>
      <c r="X8" s="343"/>
      <c r="Y8" s="343"/>
      <c r="Z8" s="343"/>
      <c r="AA8" s="343"/>
      <c r="AB8" s="343"/>
      <c r="AC8" s="343"/>
      <c r="AD8" s="343"/>
      <c r="AE8" s="343"/>
      <c r="AF8" s="343"/>
      <c r="AG8" s="343"/>
      <c r="AH8" s="343"/>
      <c r="AI8" s="343"/>
      <c r="AJ8" s="343"/>
      <c r="AK8" s="343"/>
      <c r="AL8" s="343"/>
      <c r="AM8" s="343"/>
      <c r="AN8" s="343"/>
      <c r="AO8" s="343"/>
      <c r="AP8" s="343"/>
      <c r="AQ8" s="343"/>
      <c r="AR8" s="343"/>
      <c r="AS8" s="343"/>
      <c r="AT8" s="343"/>
      <c r="AU8" s="343"/>
      <c r="AV8" s="343"/>
      <c r="AW8" s="343"/>
      <c r="AX8" s="343"/>
      <c r="AY8" s="343"/>
      <c r="AZ8" s="343"/>
      <c r="BA8" s="343"/>
      <c r="BB8" s="343"/>
      <c r="BC8" s="343"/>
      <c r="BD8" s="343"/>
      <c r="BE8" s="343"/>
      <c r="BF8" s="343"/>
      <c r="BG8" s="343"/>
      <c r="BH8" s="343"/>
      <c r="BI8" s="343"/>
      <c r="BJ8" s="343"/>
      <c r="BK8" s="343"/>
      <c r="BL8" s="343"/>
      <c r="BM8" s="343"/>
      <c r="BN8" s="343"/>
      <c r="BO8" s="343"/>
      <c r="BP8" s="343"/>
      <c r="BQ8" s="343"/>
      <c r="BR8" s="343"/>
      <c r="BS8" s="343"/>
      <c r="BT8" s="343"/>
      <c r="BU8" s="343"/>
      <c r="BV8" s="343"/>
      <c r="BW8" s="343"/>
      <c r="BX8" s="343"/>
      <c r="BY8" s="343"/>
      <c r="BZ8" s="343"/>
      <c r="CA8" s="344"/>
      <c r="CC8" s="10"/>
      <c r="CD8" s="10"/>
      <c r="CE8" s="10"/>
      <c r="CF8" s="10"/>
      <c r="CG8" s="10"/>
      <c r="CH8" s="51"/>
    </row>
    <row r="9" spans="1:86" s="2" customFormat="1" ht="15.75" customHeight="1">
      <c r="A9" s="9"/>
      <c r="C9" s="345" t="s">
        <v>121</v>
      </c>
      <c r="D9" s="346"/>
      <c r="E9" s="346"/>
      <c r="F9" s="347"/>
      <c r="G9" s="345"/>
      <c r="H9" s="346"/>
      <c r="I9" s="346"/>
      <c r="J9" s="346"/>
      <c r="K9" s="346"/>
      <c r="L9" s="346"/>
      <c r="M9" s="346"/>
      <c r="N9" s="346"/>
      <c r="O9" s="346"/>
      <c r="P9" s="346"/>
      <c r="Q9" s="346"/>
      <c r="R9" s="346"/>
      <c r="S9" s="352"/>
      <c r="T9" s="346"/>
      <c r="U9" s="346"/>
      <c r="V9" s="346"/>
      <c r="W9" s="346"/>
      <c r="X9" s="346"/>
      <c r="Y9" s="346"/>
      <c r="Z9" s="346"/>
      <c r="AA9" s="346"/>
      <c r="AB9" s="346"/>
      <c r="AC9" s="346"/>
      <c r="AD9" s="346"/>
      <c r="AE9" s="346"/>
      <c r="AF9" s="346"/>
      <c r="AG9" s="346"/>
      <c r="AH9" s="346"/>
      <c r="AI9" s="346"/>
      <c r="AJ9" s="346"/>
      <c r="AK9" s="346"/>
      <c r="AL9" s="346"/>
      <c r="AM9" s="346"/>
      <c r="AN9" s="346"/>
      <c r="AO9" s="346"/>
      <c r="AP9" s="346"/>
      <c r="AQ9" s="346"/>
      <c r="AR9" s="346"/>
      <c r="AS9" s="346"/>
      <c r="AT9" s="346"/>
      <c r="AU9" s="346"/>
      <c r="AV9" s="346"/>
      <c r="AW9" s="346"/>
      <c r="AX9" s="346"/>
      <c r="AY9" s="346"/>
      <c r="AZ9" s="346"/>
      <c r="BA9" s="346"/>
      <c r="BB9" s="346"/>
      <c r="BC9" s="346"/>
      <c r="BD9" s="346"/>
      <c r="BE9" s="346"/>
      <c r="BF9" s="346"/>
      <c r="BG9" s="346"/>
      <c r="BH9" s="346"/>
      <c r="BI9" s="346"/>
      <c r="BJ9" s="346"/>
      <c r="BK9" s="346"/>
      <c r="BL9" s="346"/>
      <c r="BM9" s="346"/>
      <c r="BN9" s="346"/>
      <c r="BO9" s="346"/>
      <c r="BP9" s="346"/>
      <c r="BQ9" s="346"/>
      <c r="BR9" s="346"/>
      <c r="BS9" s="346"/>
      <c r="BT9" s="346"/>
      <c r="BU9" s="346"/>
      <c r="BV9" s="346"/>
      <c r="BW9" s="346"/>
      <c r="BX9" s="346"/>
      <c r="BY9" s="346"/>
      <c r="BZ9" s="346"/>
      <c r="CA9" s="347"/>
      <c r="CC9" s="10"/>
      <c r="CD9" s="10"/>
      <c r="CE9" s="10"/>
      <c r="CF9" s="10"/>
      <c r="CG9" s="10"/>
      <c r="CH9" s="51"/>
    </row>
    <row r="10" spans="1:86" s="2" customFormat="1" ht="15.75" customHeight="1">
      <c r="A10" s="9"/>
      <c r="C10" s="917">
        <v>5</v>
      </c>
      <c r="D10" s="918"/>
      <c r="E10" s="918"/>
      <c r="F10" s="919"/>
      <c r="G10" s="65" t="s">
        <v>122</v>
      </c>
      <c r="H10" s="66"/>
      <c r="I10" s="66"/>
      <c r="J10" s="66"/>
      <c r="K10" s="66"/>
      <c r="L10" s="66"/>
      <c r="M10" s="66"/>
      <c r="N10" s="66"/>
      <c r="O10" s="66"/>
      <c r="P10" s="66"/>
      <c r="Q10" s="66"/>
      <c r="R10" s="66"/>
      <c r="S10" s="151"/>
      <c r="T10" s="66"/>
      <c r="U10" s="66"/>
      <c r="V10" s="66"/>
      <c r="W10" s="66"/>
      <c r="X10" s="66"/>
      <c r="Y10" s="66"/>
      <c r="Z10" s="66"/>
      <c r="AA10" s="66"/>
      <c r="AB10" s="66"/>
      <c r="AC10" s="66"/>
      <c r="AD10" s="66"/>
      <c r="AE10" s="66"/>
      <c r="AF10" s="66"/>
      <c r="AG10" s="66"/>
      <c r="AH10" s="66"/>
      <c r="AI10" s="66"/>
      <c r="AJ10" s="66"/>
      <c r="AK10" s="66"/>
      <c r="AL10" s="66"/>
      <c r="AM10" s="66"/>
      <c r="AN10" s="66"/>
      <c r="AO10" s="66"/>
      <c r="AP10" s="66"/>
      <c r="AQ10" s="66"/>
      <c r="AR10" s="66"/>
      <c r="AS10" s="66"/>
      <c r="AT10" s="66"/>
      <c r="AU10" s="66"/>
      <c r="AV10" s="66"/>
      <c r="AW10" s="66"/>
      <c r="AX10" s="66"/>
      <c r="AY10" s="66"/>
      <c r="AZ10" s="66"/>
      <c r="BA10" s="66"/>
      <c r="BB10" s="66"/>
      <c r="BC10" s="66"/>
      <c r="BD10" s="66"/>
      <c r="BE10" s="66"/>
      <c r="BF10" s="66"/>
      <c r="BG10" s="66"/>
      <c r="BH10" s="66"/>
      <c r="BI10" s="66"/>
      <c r="BJ10" s="66"/>
      <c r="BK10" s="66"/>
      <c r="BL10" s="66"/>
      <c r="BM10" s="66"/>
      <c r="BN10" s="66"/>
      <c r="BO10" s="66"/>
      <c r="BP10" s="66"/>
      <c r="BQ10" s="66"/>
      <c r="BR10" s="66"/>
      <c r="BS10" s="66"/>
      <c r="BT10" s="66"/>
      <c r="BU10" s="66"/>
      <c r="BV10" s="66"/>
      <c r="BW10" s="66"/>
      <c r="BX10" s="66"/>
      <c r="BY10" s="66"/>
      <c r="BZ10" s="66"/>
      <c r="CA10" s="70"/>
      <c r="CC10" s="10"/>
      <c r="CD10" s="10"/>
      <c r="CE10" s="10"/>
      <c r="CF10" s="10"/>
      <c r="CG10" s="10"/>
      <c r="CH10" s="51"/>
    </row>
    <row r="11" spans="1:86" s="2" customFormat="1" ht="15.75" customHeight="1">
      <c r="A11" s="9"/>
      <c r="C11" s="348"/>
      <c r="D11" s="349"/>
      <c r="E11" s="349"/>
      <c r="F11" s="350"/>
      <c r="G11" s="82" t="s">
        <v>123</v>
      </c>
      <c r="H11" s="83"/>
      <c r="I11" s="83"/>
      <c r="J11" s="83"/>
      <c r="K11" s="83"/>
      <c r="L11" s="83"/>
      <c r="M11" s="83"/>
      <c r="N11" s="83"/>
      <c r="O11" s="83"/>
      <c r="P11" s="83"/>
      <c r="Q11" s="83"/>
      <c r="R11" s="83"/>
      <c r="S11" s="353"/>
      <c r="T11" s="83"/>
      <c r="U11" s="83"/>
      <c r="V11" s="83"/>
      <c r="W11" s="83"/>
      <c r="X11" s="83"/>
      <c r="Y11" s="83"/>
      <c r="Z11" s="83"/>
      <c r="AA11" s="83"/>
      <c r="AB11" s="83"/>
      <c r="AC11" s="83"/>
      <c r="AD11" s="83"/>
      <c r="AE11" s="83"/>
      <c r="AF11" s="83"/>
      <c r="AG11" s="83"/>
      <c r="AH11" s="83"/>
      <c r="AI11" s="83"/>
      <c r="AJ11" s="83"/>
      <c r="AK11" s="83"/>
      <c r="AL11" s="83"/>
      <c r="AM11" s="83"/>
      <c r="AN11" s="83"/>
      <c r="AO11" s="83"/>
      <c r="AP11" s="83"/>
      <c r="AQ11" s="83"/>
      <c r="AR11" s="83"/>
      <c r="AS11" s="83"/>
      <c r="AT11" s="83"/>
      <c r="AU11" s="83"/>
      <c r="AV11" s="83"/>
      <c r="AW11" s="83"/>
      <c r="AX11" s="83"/>
      <c r="AY11" s="83"/>
      <c r="AZ11" s="83"/>
      <c r="BA11" s="83"/>
      <c r="BB11" s="83"/>
      <c r="BC11" s="83"/>
      <c r="BD11" s="83"/>
      <c r="BE11" s="83"/>
      <c r="BF11" s="83"/>
      <c r="BG11" s="83"/>
      <c r="BH11" s="83"/>
      <c r="BI11" s="83"/>
      <c r="BJ11" s="83"/>
      <c r="BK11" s="83"/>
      <c r="BL11" s="83"/>
      <c r="BM11" s="83"/>
      <c r="BN11" s="83"/>
      <c r="BO11" s="83"/>
      <c r="BP11" s="83"/>
      <c r="BQ11" s="83"/>
      <c r="BR11" s="83"/>
      <c r="BS11" s="83"/>
      <c r="BT11" s="83"/>
      <c r="BU11" s="83"/>
      <c r="BV11" s="83"/>
      <c r="BW11" s="83"/>
      <c r="BX11" s="83"/>
      <c r="BY11" s="83"/>
      <c r="BZ11" s="83"/>
      <c r="CA11" s="88"/>
      <c r="CC11" s="10"/>
      <c r="CD11" s="10"/>
      <c r="CE11" s="10"/>
      <c r="CF11" s="10"/>
      <c r="CG11" s="10"/>
      <c r="CH11" s="51"/>
    </row>
    <row r="12" spans="1:86" s="2" customFormat="1" ht="15.75" customHeight="1">
      <c r="A12" s="9"/>
      <c r="C12" s="917">
        <v>6</v>
      </c>
      <c r="D12" s="918"/>
      <c r="E12" s="918"/>
      <c r="F12" s="919"/>
      <c r="G12" s="65" t="s">
        <v>124</v>
      </c>
      <c r="H12" s="66"/>
      <c r="I12" s="66"/>
      <c r="J12" s="66"/>
      <c r="K12" s="66"/>
      <c r="L12" s="66"/>
      <c r="M12" s="66"/>
      <c r="N12" s="66"/>
      <c r="O12" s="66"/>
      <c r="P12" s="66"/>
      <c r="Q12" s="66"/>
      <c r="R12" s="66"/>
      <c r="S12" s="151"/>
      <c r="T12" s="66"/>
      <c r="U12" s="66"/>
      <c r="V12" s="66"/>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c r="BO12" s="66"/>
      <c r="BP12" s="66"/>
      <c r="BQ12" s="66"/>
      <c r="BR12" s="66"/>
      <c r="BS12" s="66"/>
      <c r="BT12" s="66"/>
      <c r="BU12" s="66"/>
      <c r="BV12" s="66"/>
      <c r="BW12" s="66"/>
      <c r="BX12" s="66"/>
      <c r="BY12" s="66"/>
      <c r="BZ12" s="66"/>
      <c r="CA12" s="70"/>
      <c r="CC12" s="10"/>
      <c r="CD12" s="10"/>
      <c r="CE12" s="10"/>
      <c r="CF12" s="10"/>
      <c r="CG12" s="10"/>
      <c r="CH12" s="51"/>
    </row>
    <row r="13" spans="1:86" s="2" customFormat="1" ht="15.75" customHeight="1">
      <c r="A13" s="9"/>
      <c r="C13" s="348"/>
      <c r="D13" s="349"/>
      <c r="E13" s="349"/>
      <c r="F13" s="350"/>
      <c r="G13" s="82"/>
      <c r="H13" s="83"/>
      <c r="I13" s="83"/>
      <c r="J13" s="83"/>
      <c r="K13" s="83"/>
      <c r="L13" s="83"/>
      <c r="M13" s="83"/>
      <c r="N13" s="83"/>
      <c r="O13" s="83"/>
      <c r="P13" s="83"/>
      <c r="Q13" s="83"/>
      <c r="R13" s="83"/>
      <c r="S13" s="353"/>
      <c r="T13" s="83"/>
      <c r="U13" s="83"/>
      <c r="V13" s="83"/>
      <c r="W13" s="83"/>
      <c r="X13" s="83"/>
      <c r="Y13" s="83"/>
      <c r="Z13" s="83"/>
      <c r="AA13" s="83"/>
      <c r="AB13" s="83"/>
      <c r="AC13" s="83"/>
      <c r="AD13" s="83"/>
      <c r="AE13" s="83"/>
      <c r="AF13" s="83"/>
      <c r="AG13" s="83"/>
      <c r="AH13" s="83"/>
      <c r="AI13" s="83"/>
      <c r="AJ13" s="83"/>
      <c r="AK13" s="83"/>
      <c r="AL13" s="83"/>
      <c r="AM13" s="83"/>
      <c r="AN13" s="83"/>
      <c r="AO13" s="83"/>
      <c r="AP13" s="83"/>
      <c r="AQ13" s="83"/>
      <c r="AR13" s="83"/>
      <c r="AS13" s="83"/>
      <c r="AT13" s="83"/>
      <c r="AU13" s="83"/>
      <c r="AV13" s="83"/>
      <c r="AW13" s="83"/>
      <c r="AX13" s="83"/>
      <c r="AY13" s="83"/>
      <c r="AZ13" s="83"/>
      <c r="BA13" s="83"/>
      <c r="BB13" s="83"/>
      <c r="BC13" s="83"/>
      <c r="BD13" s="83"/>
      <c r="BE13" s="83"/>
      <c r="BF13" s="83"/>
      <c r="BG13" s="83"/>
      <c r="BH13" s="83"/>
      <c r="BI13" s="83"/>
      <c r="BJ13" s="83"/>
      <c r="BK13" s="83"/>
      <c r="BL13" s="83"/>
      <c r="BM13" s="83"/>
      <c r="BN13" s="83"/>
      <c r="BO13" s="83"/>
      <c r="BP13" s="83"/>
      <c r="BQ13" s="83"/>
      <c r="BR13" s="83"/>
      <c r="BS13" s="83"/>
      <c r="BT13" s="83"/>
      <c r="BU13" s="83"/>
      <c r="BV13" s="83"/>
      <c r="BW13" s="83"/>
      <c r="BX13" s="83"/>
      <c r="BY13" s="83"/>
      <c r="BZ13" s="83"/>
      <c r="CA13" s="88"/>
      <c r="CC13" s="10"/>
      <c r="CD13" s="10"/>
      <c r="CE13" s="10"/>
      <c r="CF13" s="10"/>
      <c r="CG13" s="10"/>
      <c r="CH13" s="51"/>
    </row>
    <row r="14" spans="1:86" s="2" customFormat="1" ht="15.75" customHeight="1">
      <c r="A14" s="9"/>
      <c r="S14" s="94"/>
      <c r="CC14" s="10"/>
      <c r="CD14" s="10"/>
      <c r="CE14" s="10"/>
      <c r="CF14" s="10"/>
      <c r="CG14" s="10"/>
      <c r="CH14" s="51"/>
    </row>
    <row r="15" spans="1:86" s="2" customFormat="1" ht="15.75" customHeight="1">
      <c r="A15" s="9"/>
      <c r="B15" s="341" t="s">
        <v>125</v>
      </c>
      <c r="S15" s="94"/>
      <c r="CC15" s="10"/>
      <c r="CD15" s="10"/>
      <c r="CE15" s="10"/>
      <c r="CF15" s="10"/>
      <c r="CG15" s="10"/>
      <c r="CH15" s="51"/>
    </row>
    <row r="16" spans="1:86" s="2" customFormat="1" ht="15.75" customHeight="1">
      <c r="A16" s="9"/>
      <c r="B16" s="341"/>
      <c r="C16" s="446" t="s">
        <v>126</v>
      </c>
      <c r="D16" s="2" t="s">
        <v>127</v>
      </c>
      <c r="S16" s="94"/>
      <c r="CC16" s="10"/>
      <c r="CD16" s="10"/>
      <c r="CE16" s="10"/>
      <c r="CF16" s="10"/>
      <c r="CG16" s="10"/>
      <c r="CH16" s="51"/>
    </row>
    <row r="17" spans="1:86" s="2" customFormat="1" ht="15.75" customHeight="1">
      <c r="A17" s="9"/>
      <c r="B17" s="341"/>
      <c r="D17" s="2" t="s">
        <v>128</v>
      </c>
      <c r="E17" s="2" t="s">
        <v>129</v>
      </c>
      <c r="S17" s="94"/>
      <c r="CC17" s="10"/>
      <c r="CD17" s="10"/>
      <c r="CE17" s="10"/>
      <c r="CF17" s="10"/>
      <c r="CG17" s="10"/>
      <c r="CH17" s="51"/>
    </row>
    <row r="18" spans="1:86" s="2" customFormat="1" ht="15.75" customHeight="1">
      <c r="A18" s="9"/>
      <c r="B18" s="341"/>
      <c r="D18" s="2" t="s">
        <v>128</v>
      </c>
      <c r="E18" s="2" t="s">
        <v>130</v>
      </c>
      <c r="S18" s="94"/>
      <c r="CC18" s="10"/>
      <c r="CD18" s="10"/>
      <c r="CE18" s="10"/>
      <c r="CF18" s="10"/>
      <c r="CG18" s="10"/>
      <c r="CH18" s="51"/>
    </row>
    <row r="19" spans="1:86" s="2" customFormat="1" ht="15.75" customHeight="1">
      <c r="A19" s="9"/>
      <c r="B19" s="341"/>
      <c r="D19" s="2" t="s">
        <v>128</v>
      </c>
      <c r="E19" s="2" t="s">
        <v>131</v>
      </c>
      <c r="S19" s="94"/>
      <c r="CC19" s="10"/>
      <c r="CD19" s="10"/>
      <c r="CE19" s="10"/>
      <c r="CF19" s="10"/>
      <c r="CG19" s="10"/>
      <c r="CH19" s="51"/>
    </row>
    <row r="20" spans="1:86" s="2" customFormat="1" ht="15.75" customHeight="1">
      <c r="A20" s="9"/>
      <c r="B20" s="341"/>
      <c r="D20" s="2" t="s">
        <v>128</v>
      </c>
      <c r="E20" s="2" t="s">
        <v>132</v>
      </c>
      <c r="S20" s="94"/>
      <c r="CC20" s="10"/>
      <c r="CD20" s="10"/>
      <c r="CE20" s="10"/>
      <c r="CF20" s="10"/>
      <c r="CG20" s="10"/>
      <c r="CH20" s="51"/>
    </row>
    <row r="21" spans="1:86" s="2" customFormat="1" ht="15.75" customHeight="1">
      <c r="A21" s="9"/>
      <c r="B21" s="341"/>
      <c r="D21" s="2" t="s">
        <v>128</v>
      </c>
      <c r="E21" s="2" t="s">
        <v>133</v>
      </c>
      <c r="S21" s="94"/>
      <c r="CC21" s="10"/>
      <c r="CD21" s="10"/>
      <c r="CE21" s="10"/>
      <c r="CF21" s="10"/>
      <c r="CG21" s="10"/>
      <c r="CH21" s="51"/>
    </row>
    <row r="22" spans="1:86" s="2" customFormat="1" ht="15.75" customHeight="1">
      <c r="A22" s="9"/>
      <c r="B22" s="341"/>
      <c r="D22" s="2" t="s">
        <v>128</v>
      </c>
      <c r="E22" s="2" t="s">
        <v>134</v>
      </c>
      <c r="S22" s="94"/>
      <c r="CC22" s="10"/>
      <c r="CD22" s="10"/>
      <c r="CE22" s="10"/>
      <c r="CF22" s="10"/>
      <c r="CG22" s="10"/>
      <c r="CH22" s="51"/>
    </row>
    <row r="23" spans="1:86" s="2" customFormat="1" ht="15.75" customHeight="1">
      <c r="A23" s="9"/>
      <c r="B23" s="341"/>
      <c r="C23" s="446" t="s">
        <v>135</v>
      </c>
      <c r="D23" s="2" t="s">
        <v>136</v>
      </c>
      <c r="S23" s="94"/>
      <c r="CC23" s="10"/>
      <c r="CD23" s="10"/>
      <c r="CE23" s="10"/>
      <c r="CF23" s="10"/>
      <c r="CG23" s="10"/>
      <c r="CH23" s="51"/>
    </row>
    <row r="24" spans="1:86" s="2" customFormat="1" ht="15.75" customHeight="1">
      <c r="A24" s="9"/>
      <c r="B24" s="341"/>
      <c r="D24" s="2" t="s">
        <v>137</v>
      </c>
      <c r="S24" s="94"/>
      <c r="CC24" s="10"/>
      <c r="CD24" s="10"/>
      <c r="CE24" s="10"/>
      <c r="CF24" s="10"/>
      <c r="CG24" s="10"/>
      <c r="CH24" s="51"/>
    </row>
    <row r="25" spans="1:86" s="2" customFormat="1" ht="15.75" customHeight="1">
      <c r="A25" s="9"/>
      <c r="B25" s="341"/>
      <c r="C25" s="446" t="s">
        <v>138</v>
      </c>
      <c r="D25" s="2" t="s">
        <v>139</v>
      </c>
      <c r="S25" s="94"/>
      <c r="CC25" s="10"/>
      <c r="CD25" s="10"/>
      <c r="CE25" s="10"/>
      <c r="CF25" s="10"/>
      <c r="CG25" s="10"/>
      <c r="CH25" s="51"/>
    </row>
    <row r="26" spans="1:86" s="2" customFormat="1" ht="15.75" customHeight="1">
      <c r="A26" s="9"/>
      <c r="B26" s="341"/>
      <c r="D26" s="2" t="s">
        <v>140</v>
      </c>
      <c r="S26" s="94"/>
      <c r="CC26" s="10"/>
      <c r="CD26" s="10"/>
      <c r="CE26" s="10"/>
      <c r="CF26" s="10"/>
      <c r="CG26" s="10"/>
      <c r="CH26" s="51"/>
    </row>
    <row r="27" spans="1:86" s="2" customFormat="1" ht="15.75" customHeight="1">
      <c r="A27" s="9"/>
      <c r="B27" s="341"/>
      <c r="C27" s="446" t="s">
        <v>141</v>
      </c>
      <c r="D27" s="2" t="s">
        <v>142</v>
      </c>
      <c r="S27" s="94"/>
      <c r="CC27" s="10"/>
      <c r="CD27" s="10"/>
      <c r="CE27" s="10"/>
      <c r="CF27" s="10"/>
      <c r="CG27" s="10"/>
      <c r="CH27" s="51"/>
    </row>
    <row r="28" spans="1:86" s="2" customFormat="1" ht="15.75" customHeight="1">
      <c r="A28" s="9"/>
      <c r="B28" s="341"/>
      <c r="C28" s="446" t="s">
        <v>143</v>
      </c>
      <c r="D28" s="2" t="s">
        <v>144</v>
      </c>
      <c r="S28" s="94"/>
      <c r="CC28" s="10"/>
      <c r="CD28" s="10"/>
      <c r="CE28" s="10"/>
      <c r="CF28" s="10"/>
      <c r="CG28" s="10"/>
      <c r="CH28" s="51"/>
    </row>
    <row r="29" spans="1:86" s="2" customFormat="1" ht="15.75" customHeight="1">
      <c r="A29" s="9"/>
      <c r="B29" s="341"/>
      <c r="C29" s="446" t="s">
        <v>145</v>
      </c>
      <c r="D29" s="2" t="s">
        <v>1173</v>
      </c>
      <c r="S29" s="94"/>
      <c r="CC29" s="10"/>
      <c r="CD29" s="10"/>
      <c r="CE29" s="10"/>
      <c r="CF29" s="10"/>
      <c r="CG29" s="10"/>
      <c r="CH29" s="51"/>
    </row>
    <row r="30" spans="1:86" s="2" customFormat="1" ht="15.75" customHeight="1">
      <c r="A30" s="9"/>
      <c r="B30" s="341"/>
      <c r="C30" s="446" t="s">
        <v>146</v>
      </c>
      <c r="D30" s="2" t="s">
        <v>147</v>
      </c>
      <c r="S30" s="94"/>
      <c r="CC30" s="10"/>
      <c r="CD30" s="10"/>
      <c r="CE30" s="10"/>
      <c r="CF30" s="10"/>
      <c r="CG30" s="10"/>
      <c r="CH30" s="51"/>
    </row>
    <row r="31" spans="1:86" s="2" customFormat="1" ht="15.75" customHeight="1">
      <c r="A31" s="9"/>
      <c r="B31" s="341"/>
      <c r="C31" s="446" t="s">
        <v>1406</v>
      </c>
      <c r="D31" s="2" t="s">
        <v>1408</v>
      </c>
      <c r="S31" s="94"/>
      <c r="CC31" s="10"/>
      <c r="CD31" s="10"/>
      <c r="CE31" s="10"/>
      <c r="CF31" s="10"/>
      <c r="CG31" s="10"/>
      <c r="CH31" s="51"/>
    </row>
    <row r="32" spans="1:86" s="2" customFormat="1" ht="15.75" customHeight="1">
      <c r="A32" s="9"/>
      <c r="B32" s="341"/>
      <c r="C32" s="446"/>
      <c r="D32" s="2" t="s">
        <v>1409</v>
      </c>
      <c r="S32" s="94"/>
      <c r="CC32" s="10"/>
      <c r="CD32" s="10"/>
      <c r="CE32" s="10"/>
      <c r="CF32" s="10"/>
      <c r="CG32" s="10"/>
      <c r="CH32" s="51"/>
    </row>
    <row r="33" spans="1:86" s="2" customFormat="1" ht="15.75" customHeight="1">
      <c r="A33" s="9"/>
      <c r="B33" s="341"/>
      <c r="S33" s="94"/>
      <c r="CC33" s="10"/>
      <c r="CD33" s="10"/>
      <c r="CE33" s="10"/>
      <c r="CF33" s="10"/>
      <c r="CG33" s="10"/>
      <c r="CH33" s="51"/>
    </row>
    <row r="34" spans="1:86" s="2" customFormat="1" ht="15.75" customHeight="1">
      <c r="A34" s="9"/>
      <c r="B34" s="341" t="s">
        <v>148</v>
      </c>
      <c r="S34" s="94"/>
      <c r="CC34" s="10"/>
      <c r="CD34" s="10"/>
      <c r="CE34" s="10"/>
      <c r="CF34" s="10"/>
      <c r="CG34" s="10"/>
      <c r="CH34" s="51"/>
    </row>
    <row r="35" spans="1:86" s="2" customFormat="1" ht="15.75" customHeight="1">
      <c r="A35" s="9"/>
      <c r="B35" s="341"/>
      <c r="C35" s="2" t="s">
        <v>149</v>
      </c>
      <c r="S35" s="94"/>
      <c r="CC35" s="10"/>
      <c r="CD35" s="10"/>
      <c r="CE35" s="10"/>
      <c r="CF35" s="10"/>
      <c r="CG35" s="10"/>
      <c r="CH35" s="51"/>
    </row>
    <row r="36" spans="1:86" s="2" customFormat="1" ht="15.75" customHeight="1">
      <c r="A36" s="9"/>
      <c r="B36" s="341"/>
      <c r="S36" s="94"/>
      <c r="CC36" s="10"/>
      <c r="CD36" s="10"/>
      <c r="CE36" s="10"/>
      <c r="CF36" s="10"/>
      <c r="CG36" s="10"/>
      <c r="CH36" s="51"/>
    </row>
    <row r="37" spans="1:86" s="2" customFormat="1" ht="15.75" customHeight="1">
      <c r="A37" s="9"/>
      <c r="B37" s="341"/>
      <c r="S37" s="94"/>
      <c r="CC37" s="10"/>
      <c r="CD37" s="10"/>
      <c r="CE37" s="10"/>
      <c r="CF37" s="10"/>
      <c r="CG37" s="10"/>
      <c r="CH37" s="51"/>
    </row>
    <row r="38" spans="1:86" s="2" customFormat="1" ht="15.75" customHeight="1">
      <c r="A38" s="9"/>
      <c r="B38" s="341"/>
      <c r="S38" s="94"/>
      <c r="CC38" s="10"/>
      <c r="CD38" s="10"/>
      <c r="CE38" s="10"/>
      <c r="CF38" s="10"/>
      <c r="CG38" s="10"/>
      <c r="CH38" s="51"/>
    </row>
    <row r="39" spans="1:86" s="2" customFormat="1" ht="15.75" customHeight="1">
      <c r="A39" s="9"/>
      <c r="B39" s="10"/>
      <c r="C39" s="10"/>
      <c r="D39" s="10"/>
      <c r="E39" s="10"/>
      <c r="F39" s="10"/>
      <c r="G39" s="10"/>
      <c r="H39" s="10"/>
      <c r="I39" s="10"/>
      <c r="J39" s="10"/>
      <c r="K39" s="10"/>
      <c r="L39" s="10"/>
      <c r="M39" s="10"/>
      <c r="N39" s="10"/>
      <c r="O39" s="10"/>
      <c r="P39" s="10"/>
      <c r="Q39" s="10"/>
      <c r="R39" s="10"/>
      <c r="S39" s="43"/>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51"/>
    </row>
    <row r="40" spans="1:86" s="2" customFormat="1" ht="15.75" customHeight="1">
      <c r="A40" s="9"/>
      <c r="B40" s="10"/>
      <c r="C40" s="10"/>
      <c r="D40" s="10"/>
      <c r="E40" s="10"/>
      <c r="F40" s="10"/>
      <c r="G40" s="10"/>
      <c r="H40" s="10"/>
      <c r="I40" s="10"/>
      <c r="J40" s="10"/>
      <c r="K40" s="10"/>
      <c r="L40" s="10"/>
      <c r="M40" s="10"/>
      <c r="N40" s="10"/>
      <c r="O40" s="10"/>
      <c r="P40" s="10"/>
      <c r="Q40" s="10"/>
      <c r="R40" s="10"/>
      <c r="S40" s="43"/>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51"/>
    </row>
    <row r="41" spans="1:86" s="2" customFormat="1" ht="15.75" customHeight="1">
      <c r="A41" s="9"/>
      <c r="B41" s="10"/>
      <c r="C41" s="10"/>
      <c r="D41" s="10"/>
      <c r="E41" s="10"/>
      <c r="F41" s="10"/>
      <c r="G41" s="10"/>
      <c r="H41" s="10"/>
      <c r="I41" s="10"/>
      <c r="J41" s="10"/>
      <c r="K41" s="10"/>
      <c r="L41" s="10"/>
      <c r="M41" s="10"/>
      <c r="N41" s="10"/>
      <c r="O41" s="10"/>
      <c r="P41" s="10"/>
      <c r="Q41" s="10"/>
      <c r="R41" s="10"/>
      <c r="S41" s="43"/>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51"/>
    </row>
    <row r="42" spans="1:86" s="2" customFormat="1" ht="15.75" customHeight="1">
      <c r="A42" s="9"/>
      <c r="B42" s="10"/>
      <c r="C42" s="10"/>
      <c r="D42" s="10"/>
      <c r="E42" s="10"/>
      <c r="F42" s="10"/>
      <c r="G42" s="10"/>
      <c r="H42" s="10"/>
      <c r="I42" s="10"/>
      <c r="J42" s="10"/>
      <c r="K42" s="10"/>
      <c r="L42" s="10"/>
      <c r="M42" s="10"/>
      <c r="N42" s="10"/>
      <c r="O42" s="10"/>
      <c r="P42" s="10"/>
      <c r="Q42" s="10"/>
      <c r="R42" s="10"/>
      <c r="S42" s="43"/>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51"/>
    </row>
    <row r="43" spans="1:86" s="2" customFormat="1" ht="15.75" customHeight="1">
      <c r="A43" s="21"/>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2"/>
      <c r="BR43" s="22"/>
      <c r="BS43" s="22"/>
      <c r="BT43" s="22"/>
      <c r="BU43" s="22"/>
      <c r="BV43" s="22"/>
      <c r="BW43" s="22"/>
      <c r="BX43" s="22"/>
      <c r="BY43" s="22"/>
      <c r="BZ43" s="22"/>
      <c r="CA43" s="22"/>
      <c r="CB43" s="22"/>
      <c r="CC43" s="22"/>
      <c r="CD43" s="22"/>
      <c r="CE43" s="22"/>
      <c r="CF43" s="22"/>
      <c r="CG43" s="22"/>
      <c r="CH43" s="52"/>
    </row>
    <row r="44" spans="1:86" s="2" customFormat="1"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row>
    <row r="45" spans="1:86" s="2" customFormat="1"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row>
    <row r="46" spans="1:86" s="2" customFormat="1"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row>
    <row r="47" spans="1:86" s="2" customFormat="1"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row>
    <row r="48" spans="1:86" s="2" customFormat="1"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row>
    <row r="49" spans="1:86" s="2" customFormat="1"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row>
    <row r="50" spans="1:86" s="2" customFormat="1"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row>
    <row r="51" spans="1:86" s="2" customFormat="1"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row>
    <row r="52" spans="1:86" s="2" customFormat="1"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row>
    <row r="53" spans="1:86" s="2" customFormat="1"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row>
    <row r="54" spans="1:86" s="2" customFormat="1"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row>
    <row r="55" spans="1:86" s="2" customFormat="1"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row>
    <row r="56" spans="1:86" s="2" customFormat="1"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row>
    <row r="57" spans="1:86" s="2" customFormat="1"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row>
    <row r="58" spans="1:86" s="2" customFormat="1"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row>
    <row r="59" spans="1:86" s="2" customFormat="1"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row>
    <row r="60" spans="1:86" s="2" customFormat="1"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row>
    <row r="61" spans="1:86" s="2" customFormat="1"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row>
    <row r="62" spans="1:86" s="2" customFormat="1"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row>
    <row r="63" spans="1:86" s="2" customFormat="1"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row>
    <row r="64" spans="1:86" s="2" customFormat="1"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row>
    <row r="65" spans="1:86" s="2" customFormat="1"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row>
    <row r="66" spans="1:86" s="2" customFormat="1"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row>
    <row r="67" spans="1:86" s="2" customFormat="1"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row>
    <row r="68" spans="1:86" s="2" customFormat="1"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row>
    <row r="69" spans="1:86" s="2" customFormat="1"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row>
    <row r="70" spans="1:86" s="2" customFormat="1"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row>
    <row r="71" spans="1:86" s="2" customFormat="1"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row>
    <row r="72" spans="1:86" s="2" customFormat="1"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row>
    <row r="73" spans="1:86" ht="15.75" customHeight="1">
      <c r="D73" s="53"/>
      <c r="E73" s="53"/>
      <c r="F73" s="53"/>
      <c r="G73" s="53"/>
      <c r="H73" s="53"/>
      <c r="I73" s="53"/>
      <c r="J73" s="53"/>
      <c r="K73" s="53"/>
      <c r="L73" s="53"/>
      <c r="M73" s="53"/>
      <c r="N73" s="53"/>
      <c r="O73" s="53"/>
      <c r="P73" s="53"/>
      <c r="Q73" s="53"/>
      <c r="R73" s="53"/>
      <c r="S73" s="53"/>
      <c r="T73" s="53"/>
      <c r="U73" s="53"/>
      <c r="V73" s="53"/>
      <c r="W73" s="53"/>
      <c r="X73" s="53"/>
      <c r="Y73" s="53"/>
      <c r="Z73" s="53"/>
      <c r="AA73" s="53"/>
      <c r="AB73" s="53"/>
      <c r="AC73" s="53"/>
      <c r="AD73" s="53"/>
      <c r="AE73" s="53"/>
      <c r="AF73" s="53"/>
      <c r="AG73" s="53"/>
      <c r="AH73" s="53"/>
      <c r="AI73" s="53"/>
      <c r="AJ73" s="53"/>
      <c r="AK73" s="53"/>
      <c r="AL73" s="53"/>
      <c r="AM73" s="53"/>
      <c r="AN73" s="53"/>
      <c r="AO73" s="53"/>
      <c r="AP73" s="53"/>
      <c r="AQ73" s="53"/>
      <c r="AR73" s="53"/>
      <c r="AS73" s="53"/>
      <c r="AT73" s="53"/>
      <c r="AU73" s="53"/>
      <c r="AV73" s="53"/>
      <c r="AW73" s="53"/>
      <c r="AX73" s="53"/>
      <c r="AY73" s="53"/>
      <c r="AZ73" s="53"/>
      <c r="BA73" s="53"/>
      <c r="BB73" s="53"/>
      <c r="BC73" s="53"/>
      <c r="BD73" s="53"/>
      <c r="BE73" s="53"/>
      <c r="BF73" s="53"/>
      <c r="BG73" s="53"/>
      <c r="BH73" s="53"/>
      <c r="BI73" s="53"/>
      <c r="BJ73" s="53"/>
      <c r="BK73" s="53"/>
    </row>
  </sheetData>
  <mergeCells count="23">
    <mergeCell ref="AQ2:AW2"/>
    <mergeCell ref="AX2:BK2"/>
    <mergeCell ref="O1:AB1"/>
    <mergeCell ref="AC1:AI1"/>
    <mergeCell ref="AJ1:AP1"/>
    <mergeCell ref="AQ1:AW1"/>
    <mergeCell ref="AX1:BK1"/>
    <mergeCell ref="C12:F12"/>
    <mergeCell ref="BU2:CA3"/>
    <mergeCell ref="CB2:CH3"/>
    <mergeCell ref="A1:N3"/>
    <mergeCell ref="BL2:BT3"/>
    <mergeCell ref="O3:AB3"/>
    <mergeCell ref="AC3:AI3"/>
    <mergeCell ref="AJ3:AP3"/>
    <mergeCell ref="AQ3:BK3"/>
    <mergeCell ref="C10:F10"/>
    <mergeCell ref="BL1:BT1"/>
    <mergeCell ref="BU1:CA1"/>
    <mergeCell ref="CB1:CH1"/>
    <mergeCell ref="O2:AB2"/>
    <mergeCell ref="AC2:AI2"/>
    <mergeCell ref="AJ2:AP2"/>
  </mergeCells>
  <phoneticPr fontId="65"/>
  <pageMargins left="0.511811023622047" right="0.74803149606299202" top="0.70866141732283505" bottom="0.43307086614173201" header="0.511811023622047" footer="0.35433070866141703"/>
  <pageSetup paperSize="9" scale="75" fitToHeight="0" orientation="landscape" r:id="rId1"/>
  <headerFooter alignWithMargins="0">
    <oddFooter>&amp;L&amp;"Meiryo UI"&amp;10MSBDP0090&amp;C&amp;"Meiryo UI,標準"&amp;10&amp;P&amp;R&amp;"Meiryo UI,標準"&amp;10(C)Toyo Business Engineering Corp.[Confidential]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CH303"/>
  <sheetViews>
    <sheetView showGridLines="0" showZeros="0" view="pageBreakPreview" zoomScale="70" zoomScaleNormal="100" zoomScaleSheetLayoutView="70" workbookViewId="0">
      <pane ySplit="4" topLeftCell="A110" activePane="bottomLeft" state="frozen"/>
      <selection pane="bottomLeft" activeCell="CB2" sqref="CB2:CH3"/>
    </sheetView>
  </sheetViews>
  <sheetFormatPr defaultColWidth="2.08984375" defaultRowHeight="15.75" customHeight="1"/>
  <cols>
    <col min="1" max="2" width="2.08984375" style="3" customWidth="1"/>
    <col min="3" max="3" width="2.36328125" style="4" customWidth="1"/>
    <col min="4" max="4" width="2.08984375" style="4" customWidth="1"/>
    <col min="5" max="5" width="3" style="4" customWidth="1"/>
    <col min="6" max="9" width="2.08984375" style="3" customWidth="1"/>
    <col min="10" max="10" width="2.08984375" style="4" customWidth="1"/>
    <col min="11" max="16" width="2.08984375" style="3" customWidth="1"/>
    <col min="17" max="17" width="2.08984375" style="5" customWidth="1"/>
    <col min="18" max="62" width="2.08984375" style="3" customWidth="1"/>
    <col min="63" max="63" width="2.26953125" style="3" customWidth="1"/>
    <col min="64" max="16384" width="2.08984375" style="3"/>
  </cols>
  <sheetData>
    <row r="1" spans="1:86" s="1" customFormat="1" ht="15">
      <c r="A1" s="663" t="str">
        <f ca="1">INDIRECT("表紙!$A$39")</f>
        <v>mcframe 7</v>
      </c>
      <c r="B1" s="664"/>
      <c r="C1" s="664"/>
      <c r="D1" s="664"/>
      <c r="E1" s="664"/>
      <c r="F1" s="664"/>
      <c r="G1" s="664"/>
      <c r="H1" s="664"/>
      <c r="I1" s="664"/>
      <c r="J1" s="664"/>
      <c r="K1" s="664"/>
      <c r="L1" s="664"/>
      <c r="M1" s="664"/>
      <c r="N1" s="665"/>
      <c r="O1" s="771" t="s">
        <v>45</v>
      </c>
      <c r="P1" s="772"/>
      <c r="Q1" s="772"/>
      <c r="R1" s="772"/>
      <c r="S1" s="772"/>
      <c r="T1" s="772"/>
      <c r="U1" s="772"/>
      <c r="V1" s="772"/>
      <c r="W1" s="772"/>
      <c r="X1" s="772"/>
      <c r="Y1" s="772"/>
      <c r="Z1" s="772"/>
      <c r="AA1" s="772"/>
      <c r="AB1" s="772"/>
      <c r="AC1" s="773" t="s">
        <v>46</v>
      </c>
      <c r="AD1" s="694"/>
      <c r="AE1" s="694"/>
      <c r="AF1" s="694"/>
      <c r="AG1" s="694"/>
      <c r="AH1" s="694"/>
      <c r="AI1" s="695"/>
      <c r="AJ1" s="693" t="str">
        <f ca="1">INDIRECT("表紙!$Z$39")</f>
        <v>MS</v>
      </c>
      <c r="AK1" s="694"/>
      <c r="AL1" s="694"/>
      <c r="AM1" s="694"/>
      <c r="AN1" s="694"/>
      <c r="AO1" s="694"/>
      <c r="AP1" s="695"/>
      <c r="AQ1" s="773" t="s">
        <v>48</v>
      </c>
      <c r="AR1" s="694"/>
      <c r="AS1" s="694"/>
      <c r="AT1" s="694"/>
      <c r="AU1" s="694"/>
      <c r="AV1" s="694"/>
      <c r="AW1" s="695"/>
      <c r="AX1" s="693" t="str">
        <f ca="1">INDIRECT("表紙!$AJ$39")</f>
        <v>SCM</v>
      </c>
      <c r="AY1" s="694"/>
      <c r="AZ1" s="694"/>
      <c r="BA1" s="694"/>
      <c r="BB1" s="694"/>
      <c r="BC1" s="694"/>
      <c r="BD1" s="694"/>
      <c r="BE1" s="694"/>
      <c r="BF1" s="694"/>
      <c r="BG1" s="694"/>
      <c r="BH1" s="694"/>
      <c r="BI1" s="694"/>
      <c r="BJ1" s="694"/>
      <c r="BK1" s="695"/>
      <c r="BL1" s="705" t="s">
        <v>5</v>
      </c>
      <c r="BM1" s="694"/>
      <c r="BN1" s="694"/>
      <c r="BO1" s="694"/>
      <c r="BP1" s="694"/>
      <c r="BQ1" s="694"/>
      <c r="BR1" s="694"/>
      <c r="BS1" s="694"/>
      <c r="BT1" s="695"/>
      <c r="BU1" s="753" t="s">
        <v>37</v>
      </c>
      <c r="BV1" s="754"/>
      <c r="BW1" s="754"/>
      <c r="BX1" s="754"/>
      <c r="BY1" s="754"/>
      <c r="BZ1" s="754"/>
      <c r="CA1" s="755"/>
      <c r="CB1" s="753" t="s">
        <v>50</v>
      </c>
      <c r="CC1" s="754"/>
      <c r="CD1" s="754"/>
      <c r="CE1" s="754"/>
      <c r="CF1" s="754"/>
      <c r="CG1" s="754"/>
      <c r="CH1" s="756"/>
    </row>
    <row r="2" spans="1:86" s="1" customFormat="1" ht="15.75" customHeight="1">
      <c r="A2" s="666"/>
      <c r="B2" s="667"/>
      <c r="C2" s="667"/>
      <c r="D2" s="667"/>
      <c r="E2" s="667"/>
      <c r="F2" s="667"/>
      <c r="G2" s="667"/>
      <c r="H2" s="667"/>
      <c r="I2" s="667"/>
      <c r="J2" s="667"/>
      <c r="K2" s="667"/>
      <c r="L2" s="667"/>
      <c r="M2" s="667"/>
      <c r="N2" s="668"/>
      <c r="O2" s="757" t="s">
        <v>42</v>
      </c>
      <c r="P2" s="675"/>
      <c r="Q2" s="675"/>
      <c r="R2" s="675"/>
      <c r="S2" s="675"/>
      <c r="T2" s="675"/>
      <c r="U2" s="675"/>
      <c r="V2" s="675"/>
      <c r="W2" s="675"/>
      <c r="X2" s="675"/>
      <c r="Y2" s="675"/>
      <c r="Z2" s="675"/>
      <c r="AA2" s="675"/>
      <c r="AB2" s="675"/>
      <c r="AC2" s="758" t="s">
        <v>59</v>
      </c>
      <c r="AD2" s="759"/>
      <c r="AE2" s="759"/>
      <c r="AF2" s="759"/>
      <c r="AG2" s="759"/>
      <c r="AH2" s="759"/>
      <c r="AI2" s="760"/>
      <c r="AJ2" s="761" t="str">
        <f ca="1">INDIRECT("表紙!$Z$40")</f>
        <v>MSBD</v>
      </c>
      <c r="AK2" s="759"/>
      <c r="AL2" s="759"/>
      <c r="AM2" s="759"/>
      <c r="AN2" s="759"/>
      <c r="AO2" s="759"/>
      <c r="AP2" s="760"/>
      <c r="AQ2" s="758" t="s">
        <v>60</v>
      </c>
      <c r="AR2" s="759"/>
      <c r="AS2" s="759"/>
      <c r="AT2" s="759"/>
      <c r="AU2" s="759"/>
      <c r="AV2" s="759"/>
      <c r="AW2" s="760"/>
      <c r="AX2" s="764" t="str">
        <f ca="1">INDIRECT("表紙!$AJ$40")</f>
        <v>購買管理</v>
      </c>
      <c r="AY2" s="759"/>
      <c r="AZ2" s="759"/>
      <c r="BA2" s="759"/>
      <c r="BB2" s="759"/>
      <c r="BC2" s="759"/>
      <c r="BD2" s="759"/>
      <c r="BE2" s="759"/>
      <c r="BF2" s="759"/>
      <c r="BG2" s="759"/>
      <c r="BH2" s="759"/>
      <c r="BI2" s="759"/>
      <c r="BJ2" s="759"/>
      <c r="BK2" s="760"/>
      <c r="BL2" s="765" t="str">
        <f>文書番号</f>
        <v>M7-US-1104</v>
      </c>
      <c r="BM2" s="766"/>
      <c r="BN2" s="766"/>
      <c r="BO2" s="766"/>
      <c r="BP2" s="766"/>
      <c r="BQ2" s="766"/>
      <c r="BR2" s="766"/>
      <c r="BS2" s="766"/>
      <c r="BT2" s="767"/>
      <c r="BU2" s="674" t="str">
        <f>Version</f>
        <v>7.0.1</v>
      </c>
      <c r="BV2" s="675"/>
      <c r="BW2" s="675"/>
      <c r="BX2" s="675"/>
      <c r="BY2" s="675"/>
      <c r="BZ2" s="675"/>
      <c r="CA2" s="676"/>
      <c r="CB2" s="680" t="str">
        <f>Revision</f>
        <v>r02.05</v>
      </c>
      <c r="CC2" s="675"/>
      <c r="CD2" s="675"/>
      <c r="CE2" s="675"/>
      <c r="CF2" s="675"/>
      <c r="CG2" s="675"/>
      <c r="CH2" s="681"/>
    </row>
    <row r="3" spans="1:86" s="1" customFormat="1" ht="14.5">
      <c r="A3" s="669"/>
      <c r="B3" s="670"/>
      <c r="C3" s="670"/>
      <c r="D3" s="670"/>
      <c r="E3" s="670"/>
      <c r="F3" s="670"/>
      <c r="G3" s="670"/>
      <c r="H3" s="670"/>
      <c r="I3" s="670"/>
      <c r="J3" s="670"/>
      <c r="K3" s="670"/>
      <c r="L3" s="670"/>
      <c r="M3" s="670"/>
      <c r="N3" s="671"/>
      <c r="O3" s="683" t="str">
        <f ca="1">RIGHT(CELL("filename",$A$1),LEN(CELL("filename",$A$1))-FIND("]",CELL("filename",$A$1)))</f>
        <v>概要</v>
      </c>
      <c r="P3" s="684"/>
      <c r="Q3" s="684"/>
      <c r="R3" s="684"/>
      <c r="S3" s="684"/>
      <c r="T3" s="684"/>
      <c r="U3" s="684"/>
      <c r="V3" s="684"/>
      <c r="W3" s="684"/>
      <c r="X3" s="684"/>
      <c r="Y3" s="684"/>
      <c r="Z3" s="684"/>
      <c r="AA3" s="684"/>
      <c r="AB3" s="684"/>
      <c r="AC3" s="685" t="s">
        <v>56</v>
      </c>
      <c r="AD3" s="686"/>
      <c r="AE3" s="686"/>
      <c r="AF3" s="686"/>
      <c r="AG3" s="686"/>
      <c r="AH3" s="686"/>
      <c r="AI3" s="687"/>
      <c r="AJ3" s="688" t="str">
        <f ca="1">INDIRECT("表紙!$Z$41")</f>
        <v>MSBDP0090</v>
      </c>
      <c r="AK3" s="689"/>
      <c r="AL3" s="689"/>
      <c r="AM3" s="689"/>
      <c r="AN3" s="689"/>
      <c r="AO3" s="689"/>
      <c r="AP3" s="689"/>
      <c r="AQ3" s="690" t="str">
        <f ca="1">INDIRECT("表紙!$AE$41")</f>
        <v>発注一覧登録</v>
      </c>
      <c r="AR3" s="691"/>
      <c r="AS3" s="691"/>
      <c r="AT3" s="691"/>
      <c r="AU3" s="691"/>
      <c r="AV3" s="691"/>
      <c r="AW3" s="691"/>
      <c r="AX3" s="691"/>
      <c r="AY3" s="691"/>
      <c r="AZ3" s="691"/>
      <c r="BA3" s="691"/>
      <c r="BB3" s="691"/>
      <c r="BC3" s="691"/>
      <c r="BD3" s="691"/>
      <c r="BE3" s="691"/>
      <c r="BF3" s="691"/>
      <c r="BG3" s="691"/>
      <c r="BH3" s="691"/>
      <c r="BI3" s="691"/>
      <c r="BJ3" s="691"/>
      <c r="BK3" s="692"/>
      <c r="BL3" s="768"/>
      <c r="BM3" s="769"/>
      <c r="BN3" s="769"/>
      <c r="BO3" s="769"/>
      <c r="BP3" s="769"/>
      <c r="BQ3" s="769"/>
      <c r="BR3" s="769"/>
      <c r="BS3" s="769"/>
      <c r="BT3" s="770"/>
      <c r="BU3" s="677"/>
      <c r="BV3" s="678"/>
      <c r="BW3" s="678"/>
      <c r="BX3" s="678"/>
      <c r="BY3" s="678"/>
      <c r="BZ3" s="678"/>
      <c r="CA3" s="679"/>
      <c r="CB3" s="677"/>
      <c r="CC3" s="678"/>
      <c r="CD3" s="678"/>
      <c r="CE3" s="678"/>
      <c r="CF3" s="678"/>
      <c r="CG3" s="678"/>
      <c r="CH3" s="682"/>
    </row>
    <row r="4" spans="1:86" s="1" customFormat="1" ht="6.75" customHeight="1">
      <c r="B4" s="6"/>
      <c r="C4" s="7"/>
      <c r="D4" s="7"/>
      <c r="E4" s="7"/>
      <c r="F4" s="8"/>
      <c r="G4" s="8"/>
      <c r="H4" s="8"/>
      <c r="I4" s="8"/>
      <c r="J4" s="7"/>
      <c r="K4" s="8"/>
      <c r="L4" s="8"/>
      <c r="M4" s="8"/>
      <c r="N4" s="8"/>
      <c r="O4" s="8"/>
      <c r="P4" s="8"/>
      <c r="Q4" s="42"/>
    </row>
    <row r="5" spans="1:86" s="283" customFormat="1" ht="15">
      <c r="A5" s="139"/>
      <c r="B5" s="140"/>
      <c r="C5" s="140"/>
      <c r="D5" s="140"/>
      <c r="E5" s="140"/>
      <c r="F5" s="140"/>
      <c r="G5" s="140"/>
      <c r="H5" s="140"/>
      <c r="I5" s="140"/>
      <c r="J5" s="140"/>
      <c r="K5" s="140"/>
      <c r="L5" s="140"/>
      <c r="M5" s="140"/>
      <c r="N5" s="140"/>
      <c r="O5" s="140"/>
      <c r="P5" s="140"/>
      <c r="Q5" s="140"/>
      <c r="R5" s="140"/>
      <c r="S5" s="140"/>
      <c r="T5" s="140"/>
      <c r="U5" s="140"/>
      <c r="V5" s="140"/>
      <c r="W5" s="140"/>
      <c r="X5" s="140"/>
      <c r="Y5" s="140"/>
      <c r="Z5" s="140"/>
      <c r="AA5" s="140"/>
      <c r="AB5" s="140"/>
      <c r="AC5" s="140"/>
      <c r="AD5" s="140"/>
      <c r="AE5" s="140"/>
      <c r="AF5" s="140"/>
      <c r="AG5" s="140"/>
      <c r="AH5" s="140"/>
      <c r="AI5" s="140"/>
      <c r="AJ5" s="140"/>
      <c r="AK5" s="140"/>
      <c r="AL5" s="140"/>
      <c r="AM5" s="140"/>
      <c r="AN5" s="140"/>
      <c r="AO5" s="140" t="s">
        <v>86</v>
      </c>
      <c r="AP5" s="140"/>
      <c r="AQ5" s="140"/>
      <c r="AR5" s="140"/>
      <c r="AS5" s="140"/>
      <c r="AT5" s="140"/>
      <c r="AU5" s="140"/>
      <c r="AV5" s="140"/>
      <c r="AW5" s="140"/>
      <c r="AX5" s="140"/>
      <c r="AY5" s="140"/>
      <c r="AZ5" s="140"/>
      <c r="BA5" s="140"/>
      <c r="BB5" s="140"/>
      <c r="BC5" s="140"/>
      <c r="BD5" s="140"/>
      <c r="BE5" s="140"/>
      <c r="BF5" s="140"/>
      <c r="BG5" s="140"/>
      <c r="BH5" s="140"/>
      <c r="BI5" s="140"/>
      <c r="BJ5" s="140"/>
      <c r="BK5" s="140"/>
      <c r="BL5" s="140"/>
      <c r="BM5" s="140"/>
      <c r="BN5" s="140"/>
      <c r="BO5" s="140"/>
      <c r="BP5" s="140"/>
      <c r="BQ5" s="140"/>
      <c r="BR5" s="140"/>
      <c r="BS5" s="140"/>
      <c r="BT5" s="140"/>
      <c r="BU5" s="140"/>
      <c r="BV5" s="140"/>
      <c r="BW5" s="140"/>
      <c r="BX5" s="140"/>
      <c r="BY5" s="140"/>
      <c r="BZ5" s="140"/>
      <c r="CA5" s="140"/>
      <c r="CB5" s="140"/>
      <c r="CC5" s="140"/>
      <c r="CD5" s="140"/>
      <c r="CE5" s="140"/>
      <c r="CF5" s="140"/>
      <c r="CG5" s="140"/>
      <c r="CH5" s="307"/>
    </row>
    <row r="6" spans="1:86" s="2" customFormat="1" ht="15.75" customHeight="1">
      <c r="A6" s="9"/>
      <c r="B6" s="10"/>
      <c r="C6" s="10"/>
      <c r="D6" s="10"/>
      <c r="E6" s="10"/>
      <c r="F6" s="10"/>
      <c r="G6" s="10"/>
      <c r="H6" s="10"/>
      <c r="I6" s="10"/>
      <c r="J6" s="10"/>
      <c r="K6" s="10"/>
      <c r="L6" s="10"/>
      <c r="M6" s="10"/>
      <c r="N6" s="10"/>
      <c r="O6" s="10"/>
      <c r="P6" s="10"/>
      <c r="Q6" s="10"/>
      <c r="R6" s="10"/>
      <c r="S6" s="43"/>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51"/>
    </row>
    <row r="7" spans="1:86" s="2" customFormat="1" ht="15.75" customHeight="1">
      <c r="A7" s="9"/>
      <c r="B7" s="284" t="s">
        <v>150</v>
      </c>
      <c r="C7" s="3"/>
      <c r="D7" s="3"/>
      <c r="Q7" s="94"/>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51"/>
    </row>
    <row r="8" spans="1:86" s="2" customFormat="1" ht="15.75" customHeight="1">
      <c r="A8" s="9"/>
      <c r="B8" s="285"/>
      <c r="C8" s="3" t="s">
        <v>151</v>
      </c>
      <c r="D8" s="3"/>
      <c r="Q8" s="94"/>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51"/>
    </row>
    <row r="9" spans="1:86" s="2" customFormat="1" ht="15.75" customHeight="1">
      <c r="A9" s="9"/>
      <c r="B9" s="285"/>
      <c r="C9" s="3"/>
      <c r="D9" s="3"/>
      <c r="Q9" s="94"/>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51"/>
    </row>
    <row r="10" spans="1:86" s="2" customFormat="1" ht="15.75" customHeight="1">
      <c r="A10" s="9"/>
      <c r="B10" s="284" t="s">
        <v>152</v>
      </c>
      <c r="C10" s="3"/>
      <c r="D10" s="3"/>
      <c r="Q10" s="94"/>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51"/>
    </row>
    <row r="11" spans="1:86" s="2" customFormat="1" ht="15.75" customHeight="1">
      <c r="A11" s="9"/>
      <c r="B11" s="285"/>
      <c r="C11" s="3"/>
      <c r="D11" s="3"/>
      <c r="Q11" s="94"/>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51"/>
    </row>
    <row r="12" spans="1:86" s="2" customFormat="1" ht="15.75" customHeight="1">
      <c r="A12" s="286"/>
      <c r="B12" s="285"/>
      <c r="C12" s="287" t="s">
        <v>153</v>
      </c>
      <c r="D12" s="288"/>
      <c r="E12" s="288"/>
      <c r="F12" s="288"/>
      <c r="G12" s="288"/>
      <c r="H12" s="288"/>
      <c r="I12" s="288"/>
      <c r="J12" s="288"/>
      <c r="K12" s="288"/>
      <c r="L12" s="288"/>
      <c r="M12" s="288"/>
      <c r="N12" s="288"/>
      <c r="O12" s="288"/>
      <c r="P12" s="288"/>
      <c r="Q12" s="287" t="s">
        <v>154</v>
      </c>
      <c r="R12" s="288"/>
      <c r="S12" s="288"/>
      <c r="T12" s="288"/>
      <c r="U12" s="288"/>
      <c r="V12" s="288"/>
      <c r="W12" s="288"/>
      <c r="X12" s="288"/>
      <c r="Y12" s="288"/>
      <c r="Z12" s="288"/>
      <c r="AA12" s="288"/>
      <c r="AB12" s="288"/>
      <c r="AC12" s="288"/>
      <c r="AD12" s="288"/>
      <c r="AE12" s="288"/>
      <c r="AF12" s="288"/>
      <c r="AG12" s="288"/>
      <c r="AH12" s="288"/>
      <c r="AI12" s="288"/>
      <c r="AJ12" s="288"/>
      <c r="AK12" s="288"/>
      <c r="AL12" s="288"/>
      <c r="AM12" s="288"/>
      <c r="AN12" s="288"/>
      <c r="AO12" s="288"/>
      <c r="AP12" s="288"/>
      <c r="AQ12" s="288"/>
      <c r="AR12" s="288"/>
      <c r="AS12" s="288"/>
      <c r="AT12" s="287" t="s">
        <v>155</v>
      </c>
      <c r="AU12" s="288"/>
      <c r="AV12" s="288"/>
      <c r="AW12" s="288"/>
      <c r="AX12" s="288"/>
      <c r="AY12" s="288"/>
      <c r="AZ12" s="288"/>
      <c r="BA12" s="288"/>
      <c r="BB12" s="288"/>
      <c r="BC12" s="288"/>
      <c r="BD12" s="288"/>
      <c r="BE12" s="288"/>
      <c r="BF12" s="288"/>
      <c r="BG12" s="288"/>
      <c r="BH12" s="288"/>
      <c r="BI12" s="288"/>
      <c r="BJ12" s="288"/>
      <c r="BK12" s="288"/>
      <c r="BL12" s="288"/>
      <c r="BM12" s="288"/>
      <c r="BN12" s="288"/>
      <c r="BO12" s="288"/>
      <c r="BP12" s="288"/>
      <c r="BQ12" s="288"/>
      <c r="BR12" s="288"/>
      <c r="BS12" s="288"/>
      <c r="BT12" s="288"/>
      <c r="BU12" s="288"/>
      <c r="BV12" s="287" t="s">
        <v>156</v>
      </c>
      <c r="BW12" s="288"/>
      <c r="BX12" s="288"/>
      <c r="BY12" s="288"/>
      <c r="BZ12" s="288"/>
      <c r="CA12" s="288"/>
      <c r="CB12" s="288"/>
      <c r="CC12" s="288"/>
      <c r="CD12" s="288"/>
      <c r="CE12" s="288"/>
      <c r="CF12" s="288"/>
      <c r="CG12" s="308"/>
      <c r="CH12" s="309"/>
    </row>
    <row r="13" spans="1:86" s="2" customFormat="1" ht="15.75" customHeight="1">
      <c r="A13" s="286"/>
      <c r="B13" s="285"/>
      <c r="C13" s="289" t="s">
        <v>157</v>
      </c>
      <c r="D13" s="290"/>
      <c r="E13" s="290"/>
      <c r="F13" s="290"/>
      <c r="G13" s="290"/>
      <c r="H13" s="290"/>
      <c r="I13" s="290"/>
      <c r="J13" s="290"/>
      <c r="K13" s="290"/>
      <c r="L13" s="290"/>
      <c r="M13" s="290"/>
      <c r="N13" s="290"/>
      <c r="O13" s="290"/>
      <c r="P13" s="290"/>
      <c r="Q13" s="289" t="s">
        <v>158</v>
      </c>
      <c r="R13" s="290"/>
      <c r="S13" s="290"/>
      <c r="T13" s="290"/>
      <c r="U13" s="290"/>
      <c r="V13" s="290"/>
      <c r="W13" s="290"/>
      <c r="X13" s="290"/>
      <c r="Y13" s="290"/>
      <c r="Z13" s="290"/>
      <c r="AA13" s="290"/>
      <c r="AB13" s="290"/>
      <c r="AC13" s="290"/>
      <c r="AD13" s="290"/>
      <c r="AE13" s="290"/>
      <c r="AF13" s="290"/>
      <c r="AG13" s="290"/>
      <c r="AH13" s="290"/>
      <c r="AI13" s="290"/>
      <c r="AJ13" s="290"/>
      <c r="AK13" s="290"/>
      <c r="AL13" s="290"/>
      <c r="AM13" s="290"/>
      <c r="AN13" s="290"/>
      <c r="AO13" s="290"/>
      <c r="AP13" s="290"/>
      <c r="AQ13" s="290"/>
      <c r="AR13" s="290"/>
      <c r="AS13" s="290"/>
      <c r="AT13" s="289"/>
      <c r="AU13" s="290"/>
      <c r="AV13" s="290"/>
      <c r="AW13" s="290"/>
      <c r="AX13" s="290"/>
      <c r="AY13" s="290"/>
      <c r="AZ13" s="290"/>
      <c r="BA13" s="290"/>
      <c r="BB13" s="290"/>
      <c r="BC13" s="290"/>
      <c r="BD13" s="290"/>
      <c r="BE13" s="290"/>
      <c r="BF13" s="290"/>
      <c r="BG13" s="290"/>
      <c r="BH13" s="290"/>
      <c r="BI13" s="290"/>
      <c r="BJ13" s="290"/>
      <c r="BK13" s="290"/>
      <c r="BL13" s="290"/>
      <c r="BM13" s="290"/>
      <c r="BN13" s="290"/>
      <c r="BO13" s="290"/>
      <c r="BP13" s="290"/>
      <c r="BQ13" s="290"/>
      <c r="BR13" s="290"/>
      <c r="BS13" s="290"/>
      <c r="BT13" s="290"/>
      <c r="BU13" s="290"/>
      <c r="BV13" s="303" t="s">
        <v>159</v>
      </c>
      <c r="BW13" s="290"/>
      <c r="BX13" s="290"/>
      <c r="BY13" s="290"/>
      <c r="BZ13" s="290"/>
      <c r="CA13" s="290"/>
      <c r="CB13" s="290"/>
      <c r="CC13" s="290"/>
      <c r="CD13" s="290"/>
      <c r="CE13" s="290"/>
      <c r="CF13" s="290"/>
      <c r="CG13" s="298"/>
      <c r="CH13" s="309"/>
    </row>
    <row r="14" spans="1:86" s="2" customFormat="1" ht="15.75" customHeight="1">
      <c r="A14" s="286"/>
      <c r="B14" s="285"/>
      <c r="C14" s="291"/>
      <c r="D14" s="285"/>
      <c r="E14" s="285"/>
      <c r="F14" s="285"/>
      <c r="G14" s="285"/>
      <c r="H14" s="285"/>
      <c r="I14" s="285"/>
      <c r="J14" s="285"/>
      <c r="K14" s="285"/>
      <c r="L14" s="285"/>
      <c r="M14" s="285"/>
      <c r="N14" s="285"/>
      <c r="O14" s="285"/>
      <c r="P14" s="285"/>
      <c r="Q14" s="300" t="s">
        <v>160</v>
      </c>
      <c r="R14" s="301"/>
      <c r="S14" s="301"/>
      <c r="T14" s="301"/>
      <c r="U14" s="301"/>
      <c r="V14" s="301"/>
      <c r="W14" s="301"/>
      <c r="X14" s="301"/>
      <c r="Y14" s="301"/>
      <c r="Z14" s="301"/>
      <c r="AA14" s="301"/>
      <c r="AB14" s="301"/>
      <c r="AC14" s="301"/>
      <c r="AD14" s="301"/>
      <c r="AE14" s="301"/>
      <c r="AF14" s="301"/>
      <c r="AG14" s="301"/>
      <c r="AH14" s="301"/>
      <c r="AI14" s="301"/>
      <c r="AJ14" s="301"/>
      <c r="AK14" s="301"/>
      <c r="AL14" s="301"/>
      <c r="AM14" s="301"/>
      <c r="AN14" s="301"/>
      <c r="AO14" s="301"/>
      <c r="AP14" s="301"/>
      <c r="AQ14" s="301"/>
      <c r="AR14" s="301"/>
      <c r="AS14" s="301"/>
      <c r="AT14" s="300"/>
      <c r="AU14" s="301"/>
      <c r="AV14" s="301"/>
      <c r="AW14" s="301"/>
      <c r="AX14" s="301"/>
      <c r="AY14" s="301"/>
      <c r="AZ14" s="301"/>
      <c r="BA14" s="301"/>
      <c r="BB14" s="301"/>
      <c r="BC14" s="301"/>
      <c r="BD14" s="301"/>
      <c r="BE14" s="301"/>
      <c r="BF14" s="301"/>
      <c r="BG14" s="301"/>
      <c r="BH14" s="301"/>
      <c r="BI14" s="301"/>
      <c r="BJ14" s="301"/>
      <c r="BK14" s="301"/>
      <c r="BL14" s="301"/>
      <c r="BM14" s="301"/>
      <c r="BN14" s="301"/>
      <c r="BO14" s="301"/>
      <c r="BP14" s="301"/>
      <c r="BQ14" s="301"/>
      <c r="BR14" s="301"/>
      <c r="BS14" s="301"/>
      <c r="BT14" s="301"/>
      <c r="BU14" s="301"/>
      <c r="BV14" s="304" t="s">
        <v>159</v>
      </c>
      <c r="BW14" s="301"/>
      <c r="BX14" s="301"/>
      <c r="BY14" s="301"/>
      <c r="BZ14" s="301"/>
      <c r="CA14" s="301"/>
      <c r="CB14" s="301"/>
      <c r="CC14" s="301"/>
      <c r="CD14" s="301"/>
      <c r="CE14" s="301"/>
      <c r="CF14" s="301"/>
      <c r="CG14" s="310"/>
      <c r="CH14" s="309"/>
    </row>
    <row r="15" spans="1:86" s="2" customFormat="1" ht="15.75" customHeight="1">
      <c r="A15" s="286"/>
      <c r="B15" s="285"/>
      <c r="C15" s="291"/>
      <c r="D15" s="285"/>
      <c r="E15" s="285"/>
      <c r="F15" s="285"/>
      <c r="G15" s="285"/>
      <c r="H15" s="285"/>
      <c r="I15" s="285"/>
      <c r="J15" s="285"/>
      <c r="K15" s="285"/>
      <c r="L15" s="285"/>
      <c r="M15" s="285"/>
      <c r="N15" s="285"/>
      <c r="O15" s="285"/>
      <c r="P15" s="285"/>
      <c r="Q15" s="291" t="s">
        <v>161</v>
      </c>
      <c r="R15" s="285"/>
      <c r="S15" s="285"/>
      <c r="T15" s="285"/>
      <c r="U15" s="285"/>
      <c r="V15" s="285"/>
      <c r="W15" s="285"/>
      <c r="X15" s="285"/>
      <c r="Y15" s="285"/>
      <c r="Z15" s="285"/>
      <c r="AA15" s="285"/>
      <c r="AB15" s="285"/>
      <c r="AC15" s="285"/>
      <c r="AD15" s="285"/>
      <c r="AE15" s="285"/>
      <c r="AF15" s="285"/>
      <c r="AG15" s="285"/>
      <c r="AH15" s="285"/>
      <c r="AI15" s="285"/>
      <c r="AJ15" s="285"/>
      <c r="AK15" s="285"/>
      <c r="AL15" s="285"/>
      <c r="AM15" s="285"/>
      <c r="AN15" s="285"/>
      <c r="AO15" s="285"/>
      <c r="AP15" s="285"/>
      <c r="AQ15" s="285"/>
      <c r="AR15" s="285"/>
      <c r="AS15" s="285"/>
      <c r="AT15" s="291" t="s">
        <v>162</v>
      </c>
      <c r="AU15" s="285"/>
      <c r="AV15" s="285"/>
      <c r="AW15" s="285"/>
      <c r="AX15" s="285"/>
      <c r="AY15" s="285"/>
      <c r="AZ15" s="285"/>
      <c r="BA15" s="285"/>
      <c r="BB15" s="285"/>
      <c r="BC15" s="285"/>
      <c r="BD15" s="285"/>
      <c r="BE15" s="285"/>
      <c r="BF15" s="285"/>
      <c r="BG15" s="285"/>
      <c r="BH15" s="285"/>
      <c r="BI15" s="285"/>
      <c r="BJ15" s="285"/>
      <c r="BK15" s="285"/>
      <c r="BL15" s="285"/>
      <c r="BM15" s="285"/>
      <c r="BN15" s="285"/>
      <c r="BO15" s="285"/>
      <c r="BP15" s="285"/>
      <c r="BQ15" s="285"/>
      <c r="BR15" s="285"/>
      <c r="BS15" s="285"/>
      <c r="BT15" s="285"/>
      <c r="BU15" s="285"/>
      <c r="BV15" s="305" t="s">
        <v>159</v>
      </c>
      <c r="BW15" s="285"/>
      <c r="BX15" s="285"/>
      <c r="BY15" s="285"/>
      <c r="BZ15" s="285"/>
      <c r="CA15" s="285"/>
      <c r="CB15" s="285"/>
      <c r="CC15" s="285"/>
      <c r="CD15" s="285"/>
      <c r="CE15" s="285"/>
      <c r="CF15" s="285"/>
      <c r="CG15" s="299"/>
      <c r="CH15" s="309"/>
    </row>
    <row r="16" spans="1:86" s="2" customFormat="1" ht="15.75" customHeight="1">
      <c r="A16" s="286"/>
      <c r="B16" s="285"/>
      <c r="C16" s="292"/>
      <c r="D16" s="293"/>
      <c r="E16" s="293"/>
      <c r="F16" s="293"/>
      <c r="G16" s="293"/>
      <c r="H16" s="293"/>
      <c r="I16" s="293"/>
      <c r="J16" s="293"/>
      <c r="K16" s="293"/>
      <c r="L16" s="293"/>
      <c r="M16" s="293"/>
      <c r="N16" s="293"/>
      <c r="O16" s="293"/>
      <c r="P16" s="297"/>
      <c r="Q16" s="292"/>
      <c r="R16" s="293"/>
      <c r="S16" s="293"/>
      <c r="T16" s="293"/>
      <c r="U16" s="293"/>
      <c r="V16" s="293"/>
      <c r="W16" s="293"/>
      <c r="X16" s="293"/>
      <c r="Y16" s="293"/>
      <c r="Z16" s="293"/>
      <c r="AA16" s="293"/>
      <c r="AB16" s="293"/>
      <c r="AC16" s="293"/>
      <c r="AD16" s="293"/>
      <c r="AE16" s="293"/>
      <c r="AF16" s="293"/>
      <c r="AG16" s="293"/>
      <c r="AH16" s="293"/>
      <c r="AI16" s="293"/>
      <c r="AJ16" s="293"/>
      <c r="AK16" s="293"/>
      <c r="AL16" s="293"/>
      <c r="AM16" s="293"/>
      <c r="AN16" s="293"/>
      <c r="AO16" s="293"/>
      <c r="AP16" s="293"/>
      <c r="AQ16" s="293"/>
      <c r="AR16" s="293"/>
      <c r="AS16" s="293"/>
      <c r="AT16" s="292" t="s">
        <v>163</v>
      </c>
      <c r="AU16" s="293"/>
      <c r="AV16" s="293"/>
      <c r="AW16" s="293"/>
      <c r="AX16" s="293"/>
      <c r="AY16" s="293"/>
      <c r="AZ16" s="293"/>
      <c r="BA16" s="293"/>
      <c r="BB16" s="293"/>
      <c r="BC16" s="293"/>
      <c r="BD16" s="293"/>
      <c r="BE16" s="293"/>
      <c r="BF16" s="293"/>
      <c r="BG16" s="293"/>
      <c r="BH16" s="293"/>
      <c r="BI16" s="293"/>
      <c r="BJ16" s="293"/>
      <c r="BK16" s="293"/>
      <c r="BL16" s="293"/>
      <c r="BM16" s="293"/>
      <c r="BN16" s="293"/>
      <c r="BO16" s="293"/>
      <c r="BP16" s="293"/>
      <c r="BQ16" s="293"/>
      <c r="BR16" s="293"/>
      <c r="BS16" s="293"/>
      <c r="BT16" s="293"/>
      <c r="BU16" s="293"/>
      <c r="BV16" s="306"/>
      <c r="BW16" s="293"/>
      <c r="BX16" s="293"/>
      <c r="BY16" s="293"/>
      <c r="BZ16" s="293"/>
      <c r="CA16" s="293"/>
      <c r="CB16" s="293"/>
      <c r="CC16" s="293"/>
      <c r="CD16" s="293"/>
      <c r="CE16" s="293"/>
      <c r="CF16" s="293"/>
      <c r="CG16" s="297"/>
      <c r="CH16" s="309"/>
    </row>
    <row r="17" spans="1:86" s="2" customFormat="1" ht="15.75" customHeight="1">
      <c r="A17" s="286"/>
      <c r="B17" s="285"/>
      <c r="C17" s="289" t="s">
        <v>164</v>
      </c>
      <c r="D17" s="290"/>
      <c r="E17" s="290"/>
      <c r="F17" s="290"/>
      <c r="G17" s="290"/>
      <c r="H17" s="290"/>
      <c r="I17" s="290"/>
      <c r="J17" s="290"/>
      <c r="K17" s="290"/>
      <c r="L17" s="290"/>
      <c r="M17" s="290"/>
      <c r="N17" s="290"/>
      <c r="O17" s="290"/>
      <c r="P17" s="298"/>
      <c r="Q17" s="291" t="s">
        <v>165</v>
      </c>
      <c r="R17" s="285"/>
      <c r="S17" s="285"/>
      <c r="T17" s="285"/>
      <c r="U17" s="285"/>
      <c r="V17" s="285"/>
      <c r="W17" s="285"/>
      <c r="X17" s="285"/>
      <c r="Y17" s="285"/>
      <c r="Z17" s="285"/>
      <c r="AA17" s="285"/>
      <c r="AB17" s="285"/>
      <c r="AC17" s="285"/>
      <c r="AD17" s="285"/>
      <c r="AE17" s="285"/>
      <c r="AF17" s="285"/>
      <c r="AG17" s="285"/>
      <c r="AH17" s="285"/>
      <c r="AI17" s="285"/>
      <c r="AJ17" s="285"/>
      <c r="AK17" s="285"/>
      <c r="AL17" s="285"/>
      <c r="AM17" s="285"/>
      <c r="AN17" s="285"/>
      <c r="AO17" s="285"/>
      <c r="AP17" s="285"/>
      <c r="AQ17" s="285"/>
      <c r="AR17" s="285"/>
      <c r="AS17" s="285"/>
      <c r="AT17" s="291" t="s">
        <v>166</v>
      </c>
      <c r="AU17" s="285"/>
      <c r="AV17" s="285"/>
      <c r="AW17" s="285"/>
      <c r="AX17" s="285"/>
      <c r="AY17" s="285"/>
      <c r="AZ17" s="285"/>
      <c r="BA17" s="285"/>
      <c r="BB17" s="285"/>
      <c r="BC17" s="285"/>
      <c r="BD17" s="285"/>
      <c r="BE17" s="285"/>
      <c r="BF17" s="285"/>
      <c r="BG17" s="285"/>
      <c r="BH17" s="285"/>
      <c r="BI17" s="285"/>
      <c r="BJ17" s="285"/>
      <c r="BK17" s="285"/>
      <c r="BL17" s="285"/>
      <c r="BM17" s="285"/>
      <c r="BN17" s="285"/>
      <c r="BO17" s="285"/>
      <c r="BP17" s="285"/>
      <c r="BQ17" s="285"/>
      <c r="BR17" s="285"/>
      <c r="BS17" s="285"/>
      <c r="BT17" s="285"/>
      <c r="BU17" s="285"/>
      <c r="BV17" s="305" t="s">
        <v>167</v>
      </c>
      <c r="BW17" s="285"/>
      <c r="BX17" s="285"/>
      <c r="BY17" s="285"/>
      <c r="BZ17" s="285"/>
      <c r="CA17" s="285"/>
      <c r="CB17" s="285"/>
      <c r="CC17" s="285"/>
      <c r="CD17" s="285"/>
      <c r="CE17" s="285"/>
      <c r="CF17" s="285"/>
      <c r="CG17" s="299"/>
      <c r="CH17" s="309"/>
    </row>
    <row r="18" spans="1:86" s="2" customFormat="1" ht="15.75" customHeight="1">
      <c r="A18" s="286"/>
      <c r="B18" s="285"/>
      <c r="C18" s="291"/>
      <c r="D18" s="285"/>
      <c r="E18" s="285"/>
      <c r="F18" s="285"/>
      <c r="G18" s="285"/>
      <c r="H18" s="285"/>
      <c r="I18" s="285"/>
      <c r="J18" s="285"/>
      <c r="K18" s="285"/>
      <c r="L18" s="285"/>
      <c r="M18" s="285"/>
      <c r="N18" s="285"/>
      <c r="O18" s="285"/>
      <c r="P18" s="299"/>
      <c r="Q18" s="291"/>
      <c r="R18" s="285"/>
      <c r="S18" s="285"/>
      <c r="T18" s="285"/>
      <c r="U18" s="285"/>
      <c r="V18" s="285"/>
      <c r="W18" s="285"/>
      <c r="X18" s="285"/>
      <c r="Y18" s="285"/>
      <c r="Z18" s="285"/>
      <c r="AA18" s="285"/>
      <c r="AB18" s="285"/>
      <c r="AC18" s="285"/>
      <c r="AD18" s="285"/>
      <c r="AE18" s="285"/>
      <c r="AF18" s="285"/>
      <c r="AG18" s="285"/>
      <c r="AH18" s="285"/>
      <c r="AI18" s="285"/>
      <c r="AJ18" s="285"/>
      <c r="AK18" s="285"/>
      <c r="AL18" s="285"/>
      <c r="AM18" s="285"/>
      <c r="AN18" s="285"/>
      <c r="AO18" s="285"/>
      <c r="AP18" s="285"/>
      <c r="AQ18" s="285"/>
      <c r="AR18" s="285"/>
      <c r="AS18" s="285"/>
      <c r="AT18" s="291" t="s">
        <v>168</v>
      </c>
      <c r="AU18" s="285"/>
      <c r="AV18" s="285"/>
      <c r="AW18" s="285"/>
      <c r="AX18" s="285"/>
      <c r="AY18" s="285"/>
      <c r="AZ18" s="285"/>
      <c r="BA18" s="285"/>
      <c r="BB18" s="285"/>
      <c r="BC18" s="285"/>
      <c r="BD18" s="285"/>
      <c r="BE18" s="285"/>
      <c r="BF18" s="285"/>
      <c r="BG18" s="285"/>
      <c r="BH18" s="285"/>
      <c r="BI18" s="285"/>
      <c r="BJ18" s="285"/>
      <c r="BK18" s="285"/>
      <c r="BL18" s="285"/>
      <c r="BM18" s="285"/>
      <c r="BN18" s="285"/>
      <c r="BO18" s="285"/>
      <c r="BP18" s="285"/>
      <c r="BQ18" s="285"/>
      <c r="BR18" s="285"/>
      <c r="BS18" s="285"/>
      <c r="BT18" s="285"/>
      <c r="BU18" s="285"/>
      <c r="BV18" s="305"/>
      <c r="BW18" s="285"/>
      <c r="BX18" s="285"/>
      <c r="BY18" s="285"/>
      <c r="BZ18" s="285"/>
      <c r="CA18" s="285"/>
      <c r="CB18" s="285"/>
      <c r="CC18" s="285"/>
      <c r="CD18" s="285"/>
      <c r="CE18" s="285"/>
      <c r="CF18" s="285"/>
      <c r="CG18" s="299"/>
      <c r="CH18" s="309"/>
    </row>
    <row r="19" spans="1:86" s="2" customFormat="1" ht="15.75" customHeight="1">
      <c r="A19" s="286"/>
      <c r="B19" s="285"/>
      <c r="C19" s="291"/>
      <c r="D19" s="285"/>
      <c r="E19" s="285"/>
      <c r="F19" s="285"/>
      <c r="G19" s="285"/>
      <c r="H19" s="285"/>
      <c r="I19" s="285"/>
      <c r="J19" s="285"/>
      <c r="K19" s="285"/>
      <c r="L19" s="285"/>
      <c r="M19" s="285"/>
      <c r="N19" s="285"/>
      <c r="O19" s="285"/>
      <c r="P19" s="299"/>
      <c r="Q19" s="291"/>
      <c r="R19" s="285"/>
      <c r="S19" s="285"/>
      <c r="T19" s="285"/>
      <c r="U19" s="285"/>
      <c r="V19" s="285"/>
      <c r="W19" s="285"/>
      <c r="X19" s="285"/>
      <c r="Y19" s="285"/>
      <c r="Z19" s="285"/>
      <c r="AA19" s="285"/>
      <c r="AB19" s="285"/>
      <c r="AC19" s="285"/>
      <c r="AD19" s="285"/>
      <c r="AE19" s="285"/>
      <c r="AF19" s="285"/>
      <c r="AG19" s="285"/>
      <c r="AH19" s="285"/>
      <c r="AI19" s="285"/>
      <c r="AJ19" s="285"/>
      <c r="AK19" s="285"/>
      <c r="AL19" s="285"/>
      <c r="AM19" s="285"/>
      <c r="AN19" s="285"/>
      <c r="AO19" s="285"/>
      <c r="AP19" s="285"/>
      <c r="AQ19" s="285"/>
      <c r="AR19" s="285"/>
      <c r="AS19" s="285"/>
      <c r="AT19" s="291" t="s">
        <v>169</v>
      </c>
      <c r="AU19" s="285"/>
      <c r="AV19" s="285"/>
      <c r="AW19" s="285"/>
      <c r="AX19" s="285"/>
      <c r="AY19" s="285"/>
      <c r="AZ19" s="285"/>
      <c r="BA19" s="285"/>
      <c r="BB19" s="285"/>
      <c r="BC19" s="285"/>
      <c r="BD19" s="285"/>
      <c r="BE19" s="285"/>
      <c r="BF19" s="285"/>
      <c r="BG19" s="285"/>
      <c r="BH19" s="285"/>
      <c r="BI19" s="285"/>
      <c r="BJ19" s="285"/>
      <c r="BK19" s="285"/>
      <c r="BL19" s="285"/>
      <c r="BM19" s="285"/>
      <c r="BN19" s="285"/>
      <c r="BO19" s="285"/>
      <c r="BP19" s="285"/>
      <c r="BQ19" s="285"/>
      <c r="BR19" s="285"/>
      <c r="BS19" s="285"/>
      <c r="BT19" s="285"/>
      <c r="BU19" s="285"/>
      <c r="BV19" s="305"/>
      <c r="BW19" s="285"/>
      <c r="BX19" s="285"/>
      <c r="BY19" s="285"/>
      <c r="BZ19" s="285"/>
      <c r="CA19" s="285"/>
      <c r="CB19" s="285"/>
      <c r="CC19" s="285"/>
      <c r="CD19" s="285"/>
      <c r="CE19" s="285"/>
      <c r="CF19" s="285"/>
      <c r="CG19" s="299"/>
      <c r="CH19" s="309"/>
    </row>
    <row r="20" spans="1:86" s="2" customFormat="1" ht="15.75" customHeight="1">
      <c r="A20" s="286"/>
      <c r="B20" s="285"/>
      <c r="C20" s="291"/>
      <c r="D20" s="285"/>
      <c r="E20" s="285"/>
      <c r="F20" s="285"/>
      <c r="G20" s="285"/>
      <c r="H20" s="285"/>
      <c r="I20" s="285"/>
      <c r="J20" s="285"/>
      <c r="K20" s="285"/>
      <c r="L20" s="285"/>
      <c r="M20" s="285"/>
      <c r="N20" s="285"/>
      <c r="O20" s="285"/>
      <c r="P20" s="299"/>
      <c r="Q20" s="289" t="s">
        <v>170</v>
      </c>
      <c r="R20" s="290"/>
      <c r="S20" s="290"/>
      <c r="T20" s="290"/>
      <c r="U20" s="290"/>
      <c r="V20" s="290"/>
      <c r="W20" s="290"/>
      <c r="X20" s="290"/>
      <c r="Y20" s="290"/>
      <c r="Z20" s="290"/>
      <c r="AA20" s="290"/>
      <c r="AB20" s="290"/>
      <c r="AC20" s="290"/>
      <c r="AD20" s="290"/>
      <c r="AE20" s="290"/>
      <c r="AF20" s="290"/>
      <c r="AG20" s="290"/>
      <c r="AH20" s="290"/>
      <c r="AI20" s="290"/>
      <c r="AJ20" s="290"/>
      <c r="AK20" s="290"/>
      <c r="AL20" s="290"/>
      <c r="AM20" s="290"/>
      <c r="AN20" s="290"/>
      <c r="AO20" s="290"/>
      <c r="AP20" s="290"/>
      <c r="AQ20" s="290"/>
      <c r="AR20" s="290"/>
      <c r="AS20" s="290"/>
      <c r="AT20" s="289" t="s">
        <v>166</v>
      </c>
      <c r="AU20" s="290"/>
      <c r="AV20" s="290"/>
      <c r="AW20" s="290"/>
      <c r="AX20" s="290"/>
      <c r="AY20" s="290"/>
      <c r="AZ20" s="290"/>
      <c r="BA20" s="290"/>
      <c r="BB20" s="290"/>
      <c r="BC20" s="290"/>
      <c r="BD20" s="290"/>
      <c r="BE20" s="290"/>
      <c r="BF20" s="290"/>
      <c r="BG20" s="290"/>
      <c r="BH20" s="290"/>
      <c r="BI20" s="290"/>
      <c r="BJ20" s="290"/>
      <c r="BK20" s="290"/>
      <c r="BL20" s="290"/>
      <c r="BM20" s="290"/>
      <c r="BN20" s="290"/>
      <c r="BO20" s="290"/>
      <c r="BP20" s="290"/>
      <c r="BQ20" s="290"/>
      <c r="BR20" s="290"/>
      <c r="BS20" s="290"/>
      <c r="BT20" s="290"/>
      <c r="BU20" s="290"/>
      <c r="BV20" s="303" t="s">
        <v>167</v>
      </c>
      <c r="BW20" s="290"/>
      <c r="BX20" s="290"/>
      <c r="BY20" s="290"/>
      <c r="BZ20" s="290"/>
      <c r="CA20" s="290"/>
      <c r="CB20" s="290"/>
      <c r="CC20" s="290"/>
      <c r="CD20" s="290"/>
      <c r="CE20" s="290"/>
      <c r="CF20" s="290"/>
      <c r="CG20" s="298"/>
      <c r="CH20" s="309"/>
    </row>
    <row r="21" spans="1:86" s="2" customFormat="1" ht="15.75" customHeight="1">
      <c r="A21" s="286"/>
      <c r="B21" s="285"/>
      <c r="C21" s="291"/>
      <c r="D21" s="285"/>
      <c r="E21" s="285"/>
      <c r="F21" s="285"/>
      <c r="G21" s="285"/>
      <c r="H21" s="285"/>
      <c r="I21" s="285"/>
      <c r="J21" s="285"/>
      <c r="K21" s="285"/>
      <c r="L21" s="285"/>
      <c r="M21" s="285"/>
      <c r="N21" s="285"/>
      <c r="O21" s="285"/>
      <c r="P21" s="299"/>
      <c r="Q21" s="291"/>
      <c r="R21" s="285"/>
      <c r="S21" s="285"/>
      <c r="T21" s="285"/>
      <c r="U21" s="285"/>
      <c r="V21" s="285"/>
      <c r="W21" s="285"/>
      <c r="X21" s="285"/>
      <c r="Y21" s="285"/>
      <c r="Z21" s="285"/>
      <c r="AA21" s="285"/>
      <c r="AB21" s="285"/>
      <c r="AC21" s="285"/>
      <c r="AD21" s="285"/>
      <c r="AE21" s="285"/>
      <c r="AF21" s="285"/>
      <c r="AG21" s="285"/>
      <c r="AH21" s="285"/>
      <c r="AI21" s="285"/>
      <c r="AJ21" s="285"/>
      <c r="AK21" s="285"/>
      <c r="AL21" s="285"/>
      <c r="AM21" s="285"/>
      <c r="AN21" s="285"/>
      <c r="AO21" s="285"/>
      <c r="AP21" s="285"/>
      <c r="AQ21" s="285"/>
      <c r="AR21" s="285"/>
      <c r="AS21" s="285"/>
      <c r="AT21" s="291" t="s">
        <v>171</v>
      </c>
      <c r="AU21" s="285"/>
      <c r="AV21" s="285"/>
      <c r="AW21" s="285"/>
      <c r="AX21" s="285"/>
      <c r="AY21" s="285"/>
      <c r="AZ21" s="285"/>
      <c r="BA21" s="285"/>
      <c r="BB21" s="285"/>
      <c r="BC21" s="285"/>
      <c r="BD21" s="285"/>
      <c r="BE21" s="285"/>
      <c r="BF21" s="285"/>
      <c r="BG21" s="285"/>
      <c r="BH21" s="285"/>
      <c r="BI21" s="285"/>
      <c r="BJ21" s="285"/>
      <c r="BK21" s="285"/>
      <c r="BL21" s="285"/>
      <c r="BM21" s="285"/>
      <c r="BN21" s="285"/>
      <c r="BO21" s="285"/>
      <c r="BP21" s="285"/>
      <c r="BQ21" s="285"/>
      <c r="BR21" s="285"/>
      <c r="BS21" s="285"/>
      <c r="BT21" s="285"/>
      <c r="BU21" s="285"/>
      <c r="BV21" s="305"/>
      <c r="BW21" s="285"/>
      <c r="BX21" s="285"/>
      <c r="BY21" s="285"/>
      <c r="BZ21" s="285"/>
      <c r="CA21" s="285"/>
      <c r="CB21" s="285"/>
      <c r="CC21" s="285"/>
      <c r="CD21" s="285"/>
      <c r="CE21" s="285"/>
      <c r="CF21" s="285"/>
      <c r="CG21" s="299"/>
      <c r="CH21" s="309"/>
    </row>
    <row r="22" spans="1:86" s="2" customFormat="1" ht="15.75" customHeight="1">
      <c r="A22" s="286"/>
      <c r="B22" s="285"/>
      <c r="C22" s="292"/>
      <c r="D22" s="293"/>
      <c r="E22" s="293"/>
      <c r="F22" s="293"/>
      <c r="G22" s="293"/>
      <c r="H22" s="293"/>
      <c r="I22" s="293"/>
      <c r="J22" s="293"/>
      <c r="K22" s="293"/>
      <c r="L22" s="293"/>
      <c r="M22" s="293"/>
      <c r="N22" s="293"/>
      <c r="O22" s="293"/>
      <c r="P22" s="297"/>
      <c r="Q22" s="292"/>
      <c r="R22" s="293"/>
      <c r="S22" s="293"/>
      <c r="T22" s="293"/>
      <c r="U22" s="293"/>
      <c r="V22" s="293"/>
      <c r="W22" s="293"/>
      <c r="X22" s="293"/>
      <c r="Y22" s="293"/>
      <c r="Z22" s="293"/>
      <c r="AA22" s="293"/>
      <c r="AB22" s="293"/>
      <c r="AC22" s="293"/>
      <c r="AD22" s="293"/>
      <c r="AE22" s="293"/>
      <c r="AF22" s="293"/>
      <c r="AG22" s="293"/>
      <c r="AH22" s="293"/>
      <c r="AI22" s="293"/>
      <c r="AJ22" s="293"/>
      <c r="AK22" s="293"/>
      <c r="AL22" s="293"/>
      <c r="AM22" s="293"/>
      <c r="AN22" s="293"/>
      <c r="AO22" s="293"/>
      <c r="AP22" s="293"/>
      <c r="AQ22" s="293"/>
      <c r="AR22" s="293"/>
      <c r="AS22" s="297"/>
      <c r="AT22" s="292" t="s">
        <v>172</v>
      </c>
      <c r="AU22" s="293"/>
      <c r="AV22" s="293"/>
      <c r="AW22" s="293"/>
      <c r="AX22" s="293"/>
      <c r="AY22" s="293"/>
      <c r="AZ22" s="293"/>
      <c r="BA22" s="293"/>
      <c r="BB22" s="293"/>
      <c r="BC22" s="293"/>
      <c r="BD22" s="293"/>
      <c r="BE22" s="293"/>
      <c r="BF22" s="293"/>
      <c r="BG22" s="293"/>
      <c r="BH22" s="293"/>
      <c r="BI22" s="293"/>
      <c r="BJ22" s="293"/>
      <c r="BK22" s="293"/>
      <c r="BL22" s="293"/>
      <c r="BM22" s="293"/>
      <c r="BN22" s="293"/>
      <c r="BO22" s="293"/>
      <c r="BP22" s="293"/>
      <c r="BQ22" s="293"/>
      <c r="BR22" s="293"/>
      <c r="BS22" s="293"/>
      <c r="BT22" s="293"/>
      <c r="BU22" s="297"/>
      <c r="BV22" s="306"/>
      <c r="BW22" s="293"/>
      <c r="BX22" s="293"/>
      <c r="BY22" s="293"/>
      <c r="BZ22" s="293"/>
      <c r="CA22" s="293"/>
      <c r="CB22" s="293"/>
      <c r="CC22" s="293"/>
      <c r="CD22" s="293"/>
      <c r="CE22" s="293"/>
      <c r="CF22" s="293"/>
      <c r="CG22" s="297"/>
      <c r="CH22" s="309"/>
    </row>
    <row r="23" spans="1:86" s="2" customFormat="1" ht="15.75" customHeight="1">
      <c r="A23" s="286"/>
      <c r="B23" s="285"/>
      <c r="C23" s="289" t="s">
        <v>173</v>
      </c>
      <c r="D23" s="290"/>
      <c r="E23" s="290"/>
      <c r="F23" s="290"/>
      <c r="G23" s="290"/>
      <c r="H23" s="290"/>
      <c r="I23" s="290"/>
      <c r="J23" s="290"/>
      <c r="K23" s="290"/>
      <c r="L23" s="290"/>
      <c r="M23" s="290"/>
      <c r="N23" s="290"/>
      <c r="O23" s="290"/>
      <c r="P23" s="290"/>
      <c r="Q23" s="289" t="s">
        <v>174</v>
      </c>
      <c r="R23" s="290"/>
      <c r="S23" s="290"/>
      <c r="T23" s="290"/>
      <c r="U23" s="290"/>
      <c r="V23" s="290"/>
      <c r="W23" s="290"/>
      <c r="X23" s="290"/>
      <c r="Y23" s="290"/>
      <c r="Z23" s="290"/>
      <c r="AA23" s="290"/>
      <c r="AB23" s="290"/>
      <c r="AC23" s="290"/>
      <c r="AD23" s="290"/>
      <c r="AE23" s="290"/>
      <c r="AF23" s="290"/>
      <c r="AG23" s="290"/>
      <c r="AH23" s="290"/>
      <c r="AI23" s="290"/>
      <c r="AJ23" s="290"/>
      <c r="AK23" s="290"/>
      <c r="AL23" s="290"/>
      <c r="AM23" s="290"/>
      <c r="AN23" s="290"/>
      <c r="AO23" s="290"/>
      <c r="AP23" s="290"/>
      <c r="AQ23" s="290"/>
      <c r="AR23" s="290"/>
      <c r="AS23" s="298"/>
      <c r="AT23" s="289"/>
      <c r="AU23" s="290"/>
      <c r="AV23" s="290"/>
      <c r="AW23" s="290"/>
      <c r="AX23" s="290"/>
      <c r="AY23" s="290"/>
      <c r="AZ23" s="290"/>
      <c r="BA23" s="290"/>
      <c r="BB23" s="290"/>
      <c r="BC23" s="290"/>
      <c r="BD23" s="290"/>
      <c r="BE23" s="290"/>
      <c r="BF23" s="290"/>
      <c r="BG23" s="290"/>
      <c r="BH23" s="290"/>
      <c r="BI23" s="290"/>
      <c r="BJ23" s="290"/>
      <c r="BK23" s="290"/>
      <c r="BL23" s="290"/>
      <c r="BM23" s="290"/>
      <c r="BN23" s="290"/>
      <c r="BO23" s="290"/>
      <c r="BP23" s="290"/>
      <c r="BQ23" s="290"/>
      <c r="BR23" s="290"/>
      <c r="BS23" s="290"/>
      <c r="BT23" s="290"/>
      <c r="BU23" s="298"/>
      <c r="BV23" s="303" t="s">
        <v>175</v>
      </c>
      <c r="BW23" s="290"/>
      <c r="BX23" s="290"/>
      <c r="BY23" s="290"/>
      <c r="BZ23" s="290"/>
      <c r="CA23" s="290"/>
      <c r="CB23" s="290"/>
      <c r="CC23" s="290"/>
      <c r="CD23" s="290"/>
      <c r="CE23" s="290"/>
      <c r="CF23" s="290"/>
      <c r="CG23" s="298"/>
      <c r="CH23" s="309"/>
    </row>
    <row r="24" spans="1:86" s="2" customFormat="1" ht="15.75" customHeight="1">
      <c r="A24" s="286"/>
      <c r="B24" s="285"/>
      <c r="C24" s="291" t="s">
        <v>176</v>
      </c>
      <c r="D24" s="285"/>
      <c r="E24" s="285"/>
      <c r="F24" s="285"/>
      <c r="G24" s="285"/>
      <c r="H24" s="285"/>
      <c r="I24" s="285"/>
      <c r="J24" s="285"/>
      <c r="K24" s="285"/>
      <c r="L24" s="285"/>
      <c r="M24" s="285"/>
      <c r="N24" s="285"/>
      <c r="O24" s="285"/>
      <c r="P24" s="285"/>
      <c r="Q24" s="289" t="s">
        <v>177</v>
      </c>
      <c r="R24" s="290"/>
      <c r="S24" s="290"/>
      <c r="T24" s="290"/>
      <c r="U24" s="290"/>
      <c r="V24" s="290"/>
      <c r="W24" s="290"/>
      <c r="X24" s="290"/>
      <c r="Y24" s="290"/>
      <c r="Z24" s="290"/>
      <c r="AA24" s="290"/>
      <c r="AB24" s="290"/>
      <c r="AC24" s="290"/>
      <c r="AD24" s="290"/>
      <c r="AE24" s="290"/>
      <c r="AF24" s="290"/>
      <c r="AG24" s="290"/>
      <c r="AH24" s="290"/>
      <c r="AI24" s="290"/>
      <c r="AJ24" s="290"/>
      <c r="AK24" s="290"/>
      <c r="AL24" s="290"/>
      <c r="AM24" s="290"/>
      <c r="AN24" s="290"/>
      <c r="AO24" s="290"/>
      <c r="AP24" s="290"/>
      <c r="AQ24" s="290"/>
      <c r="AR24" s="290"/>
      <c r="AS24" s="290"/>
      <c r="AT24" s="289" t="s">
        <v>162</v>
      </c>
      <c r="AU24" s="290"/>
      <c r="AV24" s="290"/>
      <c r="AW24" s="290"/>
      <c r="AX24" s="290"/>
      <c r="AY24" s="290"/>
      <c r="AZ24" s="290"/>
      <c r="BA24" s="290"/>
      <c r="BB24" s="290"/>
      <c r="BC24" s="290"/>
      <c r="BD24" s="290"/>
      <c r="BE24" s="290"/>
      <c r="BF24" s="290"/>
      <c r="BG24" s="290"/>
      <c r="BH24" s="290"/>
      <c r="BI24" s="290"/>
      <c r="BJ24" s="290"/>
      <c r="BK24" s="290"/>
      <c r="BL24" s="290"/>
      <c r="BM24" s="290"/>
      <c r="BN24" s="290"/>
      <c r="BO24" s="290"/>
      <c r="BP24" s="290"/>
      <c r="BQ24" s="290"/>
      <c r="BR24" s="290"/>
      <c r="BS24" s="290"/>
      <c r="BT24" s="290"/>
      <c r="BU24" s="290"/>
      <c r="BV24" s="303" t="s">
        <v>175</v>
      </c>
      <c r="BW24" s="290"/>
      <c r="BX24" s="290"/>
      <c r="BY24" s="290"/>
      <c r="BZ24" s="290"/>
      <c r="CA24" s="290"/>
      <c r="CB24" s="290"/>
      <c r="CC24" s="290"/>
      <c r="CD24" s="290"/>
      <c r="CE24" s="290"/>
      <c r="CF24" s="290"/>
      <c r="CG24" s="298"/>
      <c r="CH24" s="309"/>
    </row>
    <row r="25" spans="1:86" s="2" customFormat="1" ht="15.75" customHeight="1">
      <c r="A25" s="286"/>
      <c r="B25" s="285"/>
      <c r="C25" s="291"/>
      <c r="D25" s="285"/>
      <c r="E25" s="285"/>
      <c r="F25" s="285"/>
      <c r="G25" s="285"/>
      <c r="H25" s="285"/>
      <c r="I25" s="285"/>
      <c r="J25" s="285"/>
      <c r="K25" s="285"/>
      <c r="L25" s="285"/>
      <c r="M25" s="285"/>
      <c r="N25" s="285"/>
      <c r="O25" s="285"/>
      <c r="P25" s="285"/>
      <c r="Q25" s="291" t="s">
        <v>178</v>
      </c>
      <c r="R25" s="285"/>
      <c r="S25" s="285"/>
      <c r="T25" s="285"/>
      <c r="U25" s="285"/>
      <c r="V25" s="285"/>
      <c r="W25" s="285"/>
      <c r="X25" s="285"/>
      <c r="Y25" s="285"/>
      <c r="Z25" s="285"/>
      <c r="AA25" s="285"/>
      <c r="AB25" s="285"/>
      <c r="AC25" s="285"/>
      <c r="AD25" s="285"/>
      <c r="AE25" s="285"/>
      <c r="AF25" s="285"/>
      <c r="AG25" s="285"/>
      <c r="AH25" s="285"/>
      <c r="AI25" s="285"/>
      <c r="AJ25" s="285"/>
      <c r="AK25" s="285"/>
      <c r="AL25" s="285"/>
      <c r="AM25" s="285"/>
      <c r="AN25" s="285"/>
      <c r="AO25" s="285"/>
      <c r="AP25" s="285"/>
      <c r="AQ25" s="285"/>
      <c r="AR25" s="285"/>
      <c r="AS25" s="285"/>
      <c r="AT25" s="291" t="s">
        <v>179</v>
      </c>
      <c r="AU25" s="285"/>
      <c r="AV25" s="285"/>
      <c r="AW25" s="285"/>
      <c r="AX25" s="285"/>
      <c r="AY25" s="285"/>
      <c r="AZ25" s="285"/>
      <c r="BA25" s="285"/>
      <c r="BB25" s="285"/>
      <c r="BC25" s="285"/>
      <c r="BD25" s="285"/>
      <c r="BE25" s="285"/>
      <c r="BF25" s="285"/>
      <c r="BG25" s="285"/>
      <c r="BH25" s="285"/>
      <c r="BI25" s="285"/>
      <c r="BJ25" s="285"/>
      <c r="BK25" s="285"/>
      <c r="BL25" s="285"/>
      <c r="BM25" s="285"/>
      <c r="BN25" s="285"/>
      <c r="BO25" s="285"/>
      <c r="BP25" s="285"/>
      <c r="BQ25" s="285"/>
      <c r="BR25" s="285"/>
      <c r="BS25" s="285"/>
      <c r="BT25" s="285"/>
      <c r="BU25" s="299"/>
      <c r="BV25" s="305"/>
      <c r="BW25" s="285"/>
      <c r="BX25" s="285"/>
      <c r="BY25" s="285"/>
      <c r="BZ25" s="285"/>
      <c r="CA25" s="285"/>
      <c r="CB25" s="285"/>
      <c r="CC25" s="285"/>
      <c r="CD25" s="285"/>
      <c r="CE25" s="285"/>
      <c r="CF25" s="285"/>
      <c r="CG25" s="299"/>
      <c r="CH25" s="309"/>
    </row>
    <row r="26" spans="1:86" s="2" customFormat="1" ht="15.75" customHeight="1">
      <c r="A26" s="286"/>
      <c r="B26" s="285"/>
      <c r="C26" s="291"/>
      <c r="D26" s="285"/>
      <c r="E26" s="285"/>
      <c r="F26" s="285"/>
      <c r="G26" s="285"/>
      <c r="H26" s="285"/>
      <c r="I26" s="285"/>
      <c r="J26" s="285"/>
      <c r="K26" s="285"/>
      <c r="L26" s="285"/>
      <c r="M26" s="285"/>
      <c r="N26" s="285"/>
      <c r="O26" s="285"/>
      <c r="P26" s="285"/>
      <c r="Q26" s="291"/>
      <c r="R26" s="285"/>
      <c r="S26" s="285"/>
      <c r="T26" s="285"/>
      <c r="U26" s="285"/>
      <c r="V26" s="285"/>
      <c r="W26" s="285"/>
      <c r="X26" s="285"/>
      <c r="Y26" s="285"/>
      <c r="Z26" s="285"/>
      <c r="AA26" s="285"/>
      <c r="AB26" s="285"/>
      <c r="AC26" s="285"/>
      <c r="AD26" s="285"/>
      <c r="AE26" s="285"/>
      <c r="AF26" s="285"/>
      <c r="AG26" s="285"/>
      <c r="AH26" s="285"/>
      <c r="AI26" s="285"/>
      <c r="AJ26" s="285"/>
      <c r="AK26" s="285"/>
      <c r="AL26" s="285"/>
      <c r="AM26" s="285"/>
      <c r="AN26" s="285"/>
      <c r="AO26" s="285"/>
      <c r="AP26" s="285"/>
      <c r="AQ26" s="285"/>
      <c r="AR26" s="285"/>
      <c r="AS26" s="285"/>
      <c r="AT26" s="291" t="s">
        <v>180</v>
      </c>
      <c r="AU26" s="285"/>
      <c r="AV26" s="285"/>
      <c r="AW26" s="285"/>
      <c r="AX26" s="285"/>
      <c r="AY26" s="285"/>
      <c r="AZ26" s="285"/>
      <c r="BA26" s="285"/>
      <c r="BB26" s="285"/>
      <c r="BC26" s="285"/>
      <c r="BD26" s="285"/>
      <c r="BE26" s="285"/>
      <c r="BF26" s="285"/>
      <c r="BG26" s="285"/>
      <c r="BH26" s="285"/>
      <c r="BI26" s="285"/>
      <c r="BJ26" s="285"/>
      <c r="BK26" s="285"/>
      <c r="BL26" s="285"/>
      <c r="BM26" s="285"/>
      <c r="BN26" s="285"/>
      <c r="BO26" s="285"/>
      <c r="BP26" s="285"/>
      <c r="BQ26" s="285"/>
      <c r="BR26" s="285"/>
      <c r="BS26" s="285"/>
      <c r="BT26" s="285"/>
      <c r="BU26" s="299"/>
      <c r="BV26" s="305"/>
      <c r="BW26" s="285"/>
      <c r="BX26" s="285"/>
      <c r="BY26" s="285"/>
      <c r="BZ26" s="285"/>
      <c r="CA26" s="285"/>
      <c r="CB26" s="285"/>
      <c r="CC26" s="285"/>
      <c r="CD26" s="285"/>
      <c r="CE26" s="285"/>
      <c r="CF26" s="285"/>
      <c r="CG26" s="299"/>
      <c r="CH26" s="309"/>
    </row>
    <row r="27" spans="1:86" s="2" customFormat="1" ht="15.75" customHeight="1">
      <c r="A27" s="286"/>
      <c r="B27" s="285"/>
      <c r="C27" s="291"/>
      <c r="D27" s="285"/>
      <c r="E27" s="285"/>
      <c r="F27" s="285"/>
      <c r="G27" s="285"/>
      <c r="H27" s="285"/>
      <c r="I27" s="285"/>
      <c r="J27" s="285"/>
      <c r="K27" s="285"/>
      <c r="L27" s="285"/>
      <c r="M27" s="285"/>
      <c r="N27" s="285"/>
      <c r="O27" s="285"/>
      <c r="P27" s="285"/>
      <c r="Q27" s="291"/>
      <c r="R27" s="285"/>
      <c r="S27" s="285"/>
      <c r="T27" s="285"/>
      <c r="U27" s="285"/>
      <c r="V27" s="285"/>
      <c r="W27" s="285"/>
      <c r="X27" s="285"/>
      <c r="Y27" s="285"/>
      <c r="Z27" s="285"/>
      <c r="AA27" s="285"/>
      <c r="AB27" s="285"/>
      <c r="AC27" s="285"/>
      <c r="AD27" s="285"/>
      <c r="AE27" s="285"/>
      <c r="AF27" s="285"/>
      <c r="AG27" s="285"/>
      <c r="AH27" s="285"/>
      <c r="AI27" s="285"/>
      <c r="AJ27" s="285"/>
      <c r="AK27" s="285"/>
      <c r="AL27" s="285"/>
      <c r="AM27" s="285"/>
      <c r="AN27" s="285"/>
      <c r="AO27" s="285"/>
      <c r="AP27" s="285"/>
      <c r="AQ27" s="285"/>
      <c r="AR27" s="285"/>
      <c r="AS27" s="285"/>
      <c r="AT27" s="291" t="s">
        <v>166</v>
      </c>
      <c r="AU27" s="285"/>
      <c r="AV27" s="285"/>
      <c r="AW27" s="285"/>
      <c r="AX27" s="285"/>
      <c r="AY27" s="285"/>
      <c r="AZ27" s="285"/>
      <c r="BA27" s="285"/>
      <c r="BB27" s="285"/>
      <c r="BC27" s="285"/>
      <c r="BD27" s="285"/>
      <c r="BE27" s="285"/>
      <c r="BF27" s="285"/>
      <c r="BG27" s="285"/>
      <c r="BH27" s="285"/>
      <c r="BI27" s="285"/>
      <c r="BJ27" s="285"/>
      <c r="BK27" s="285"/>
      <c r="BL27" s="285"/>
      <c r="BM27" s="285"/>
      <c r="BN27" s="285"/>
      <c r="BO27" s="285"/>
      <c r="BP27" s="285"/>
      <c r="BQ27" s="285"/>
      <c r="BR27" s="285"/>
      <c r="BS27" s="285"/>
      <c r="BT27" s="285"/>
      <c r="BU27" s="299"/>
      <c r="BV27" s="305"/>
      <c r="BW27" s="285"/>
      <c r="BX27" s="285"/>
      <c r="BY27" s="285"/>
      <c r="BZ27" s="285"/>
      <c r="CA27" s="285"/>
      <c r="CB27" s="285"/>
      <c r="CC27" s="285"/>
      <c r="CD27" s="285"/>
      <c r="CE27" s="285"/>
      <c r="CF27" s="285"/>
      <c r="CG27" s="299"/>
      <c r="CH27" s="309"/>
    </row>
    <row r="28" spans="1:86" s="2" customFormat="1" ht="15.75" customHeight="1">
      <c r="A28" s="286"/>
      <c r="B28" s="285"/>
      <c r="C28" s="291"/>
      <c r="D28" s="285"/>
      <c r="E28" s="285"/>
      <c r="F28" s="285"/>
      <c r="G28" s="285"/>
      <c r="H28" s="285"/>
      <c r="I28" s="285"/>
      <c r="J28" s="285"/>
      <c r="K28" s="285"/>
      <c r="L28" s="285"/>
      <c r="M28" s="285"/>
      <c r="N28" s="285"/>
      <c r="O28" s="285"/>
      <c r="P28" s="285"/>
      <c r="Q28" s="292"/>
      <c r="R28" s="293"/>
      <c r="S28" s="293"/>
      <c r="T28" s="293"/>
      <c r="U28" s="293"/>
      <c r="V28" s="293"/>
      <c r="W28" s="293"/>
      <c r="X28" s="293"/>
      <c r="Y28" s="293"/>
      <c r="Z28" s="293"/>
      <c r="AA28" s="293"/>
      <c r="AB28" s="293"/>
      <c r="AC28" s="293"/>
      <c r="AD28" s="293"/>
      <c r="AE28" s="293"/>
      <c r="AF28" s="293"/>
      <c r="AG28" s="293"/>
      <c r="AH28" s="293"/>
      <c r="AI28" s="293"/>
      <c r="AJ28" s="293"/>
      <c r="AK28" s="293"/>
      <c r="AL28" s="293"/>
      <c r="AM28" s="293"/>
      <c r="AN28" s="293"/>
      <c r="AO28" s="293"/>
      <c r="AP28" s="293"/>
      <c r="AQ28" s="293"/>
      <c r="AR28" s="293"/>
      <c r="AS28" s="293"/>
      <c r="AT28" s="292" t="s">
        <v>181</v>
      </c>
      <c r="AU28" s="293"/>
      <c r="AV28" s="293"/>
      <c r="AW28" s="293"/>
      <c r="AX28" s="293"/>
      <c r="AY28" s="293"/>
      <c r="AZ28" s="293"/>
      <c r="BA28" s="293"/>
      <c r="BB28" s="293"/>
      <c r="BC28" s="293"/>
      <c r="BD28" s="293"/>
      <c r="BE28" s="293"/>
      <c r="BF28" s="293"/>
      <c r="BG28" s="293"/>
      <c r="BH28" s="293"/>
      <c r="BI28" s="293"/>
      <c r="BJ28" s="293"/>
      <c r="BK28" s="293"/>
      <c r="BL28" s="293"/>
      <c r="BM28" s="293"/>
      <c r="BN28" s="293"/>
      <c r="BO28" s="293"/>
      <c r="BP28" s="293"/>
      <c r="BQ28" s="293"/>
      <c r="BR28" s="293"/>
      <c r="BS28" s="293"/>
      <c r="BT28" s="293"/>
      <c r="BU28" s="297"/>
      <c r="BV28" s="306"/>
      <c r="BW28" s="293"/>
      <c r="BX28" s="293"/>
      <c r="BY28" s="293"/>
      <c r="BZ28" s="293"/>
      <c r="CA28" s="293"/>
      <c r="CB28" s="293"/>
      <c r="CC28" s="293"/>
      <c r="CD28" s="293"/>
      <c r="CE28" s="293"/>
      <c r="CF28" s="293"/>
      <c r="CG28" s="297"/>
      <c r="CH28" s="309"/>
    </row>
    <row r="29" spans="1:86" s="2" customFormat="1" ht="15.75" customHeight="1">
      <c r="A29" s="286"/>
      <c r="B29" s="285"/>
      <c r="C29" s="291"/>
      <c r="D29" s="285"/>
      <c r="E29" s="285"/>
      <c r="F29" s="285"/>
      <c r="G29" s="285"/>
      <c r="H29" s="285"/>
      <c r="I29" s="285"/>
      <c r="J29" s="285"/>
      <c r="K29" s="285"/>
      <c r="L29" s="285"/>
      <c r="M29" s="285"/>
      <c r="N29" s="285"/>
      <c r="O29" s="285"/>
      <c r="P29" s="285"/>
      <c r="Q29" s="291" t="s">
        <v>182</v>
      </c>
      <c r="R29" s="285"/>
      <c r="S29" s="285"/>
      <c r="T29" s="285"/>
      <c r="U29" s="285"/>
      <c r="V29" s="285"/>
      <c r="W29" s="285"/>
      <c r="X29" s="285"/>
      <c r="Y29" s="285"/>
      <c r="Z29" s="285"/>
      <c r="AA29" s="285"/>
      <c r="AB29" s="285"/>
      <c r="AC29" s="285"/>
      <c r="AD29" s="285"/>
      <c r="AE29" s="285"/>
      <c r="AF29" s="285"/>
      <c r="AG29" s="285"/>
      <c r="AH29" s="285"/>
      <c r="AI29" s="285"/>
      <c r="AJ29" s="285"/>
      <c r="AK29" s="285"/>
      <c r="AL29" s="285"/>
      <c r="AM29" s="285"/>
      <c r="AN29" s="285"/>
      <c r="AO29" s="285"/>
      <c r="AP29" s="285"/>
      <c r="AQ29" s="285"/>
      <c r="AR29" s="285"/>
      <c r="AS29" s="285"/>
      <c r="AT29" s="291" t="s">
        <v>162</v>
      </c>
      <c r="AU29" s="285"/>
      <c r="AV29" s="285"/>
      <c r="AW29" s="285"/>
      <c r="AX29" s="285"/>
      <c r="AY29" s="285"/>
      <c r="AZ29" s="285"/>
      <c r="BA29" s="285"/>
      <c r="BB29" s="285"/>
      <c r="BC29" s="285"/>
      <c r="BD29" s="285"/>
      <c r="BE29" s="285"/>
      <c r="BF29" s="285"/>
      <c r="BG29" s="285"/>
      <c r="BH29" s="285"/>
      <c r="BI29" s="285"/>
      <c r="BJ29" s="285"/>
      <c r="BK29" s="285"/>
      <c r="BL29" s="285"/>
      <c r="BM29" s="285"/>
      <c r="BN29" s="285"/>
      <c r="BO29" s="285"/>
      <c r="BP29" s="285"/>
      <c r="BQ29" s="285"/>
      <c r="BR29" s="285"/>
      <c r="BS29" s="285"/>
      <c r="BT29" s="285"/>
      <c r="BU29" s="299"/>
      <c r="BV29" s="305" t="s">
        <v>175</v>
      </c>
      <c r="BW29" s="285"/>
      <c r="BX29" s="285"/>
      <c r="BY29" s="285"/>
      <c r="BZ29" s="285"/>
      <c r="CA29" s="285"/>
      <c r="CB29" s="285"/>
      <c r="CC29" s="285"/>
      <c r="CD29" s="285"/>
      <c r="CE29" s="285"/>
      <c r="CF29" s="285"/>
      <c r="CG29" s="299"/>
      <c r="CH29" s="309"/>
    </row>
    <row r="30" spans="1:86" s="2" customFormat="1" ht="15.75" customHeight="1">
      <c r="A30" s="286"/>
      <c r="B30" s="285"/>
      <c r="C30" s="291"/>
      <c r="D30" s="285"/>
      <c r="E30" s="285"/>
      <c r="F30" s="285"/>
      <c r="G30" s="285"/>
      <c r="H30" s="285"/>
      <c r="I30" s="285"/>
      <c r="J30" s="285"/>
      <c r="K30" s="285"/>
      <c r="L30" s="285"/>
      <c r="M30" s="285"/>
      <c r="N30" s="285"/>
      <c r="O30" s="285"/>
      <c r="P30" s="285"/>
      <c r="Q30" s="291"/>
      <c r="R30" s="285"/>
      <c r="S30" s="285"/>
      <c r="T30" s="285"/>
      <c r="U30" s="285"/>
      <c r="V30" s="285"/>
      <c r="W30" s="285"/>
      <c r="X30" s="285"/>
      <c r="Y30" s="285"/>
      <c r="Z30" s="285"/>
      <c r="AA30" s="285"/>
      <c r="AB30" s="285"/>
      <c r="AC30" s="285"/>
      <c r="AD30" s="285"/>
      <c r="AE30" s="285"/>
      <c r="AF30" s="285"/>
      <c r="AG30" s="285"/>
      <c r="AH30" s="285"/>
      <c r="AI30" s="285"/>
      <c r="AJ30" s="285"/>
      <c r="AK30" s="285"/>
      <c r="AL30" s="285"/>
      <c r="AM30" s="285"/>
      <c r="AN30" s="285"/>
      <c r="AO30" s="285"/>
      <c r="AP30" s="285"/>
      <c r="AQ30" s="285"/>
      <c r="AR30" s="285"/>
      <c r="AS30" s="285"/>
      <c r="AT30" s="291" t="s">
        <v>183</v>
      </c>
      <c r="AU30" s="285"/>
      <c r="AV30" s="285"/>
      <c r="AW30" s="285"/>
      <c r="AX30" s="285"/>
      <c r="AY30" s="285"/>
      <c r="AZ30" s="285"/>
      <c r="BA30" s="285"/>
      <c r="BB30" s="285"/>
      <c r="BC30" s="285"/>
      <c r="BD30" s="285"/>
      <c r="BE30" s="285"/>
      <c r="BF30" s="285"/>
      <c r="BG30" s="285"/>
      <c r="BH30" s="285"/>
      <c r="BI30" s="285"/>
      <c r="BJ30" s="285"/>
      <c r="BK30" s="285"/>
      <c r="BL30" s="285"/>
      <c r="BM30" s="285"/>
      <c r="BN30" s="285"/>
      <c r="BO30" s="285"/>
      <c r="BP30" s="285"/>
      <c r="BQ30" s="285"/>
      <c r="BR30" s="285"/>
      <c r="BS30" s="285"/>
      <c r="BT30" s="285"/>
      <c r="BU30" s="299"/>
      <c r="BV30" s="305"/>
      <c r="BW30" s="285"/>
      <c r="BX30" s="285"/>
      <c r="BY30" s="285"/>
      <c r="BZ30" s="285"/>
      <c r="CA30" s="285"/>
      <c r="CB30" s="285"/>
      <c r="CC30" s="285"/>
      <c r="CD30" s="285"/>
      <c r="CE30" s="285"/>
      <c r="CF30" s="285"/>
      <c r="CG30" s="299"/>
      <c r="CH30" s="309"/>
    </row>
    <row r="31" spans="1:86" s="2" customFormat="1" ht="15.75" customHeight="1">
      <c r="A31" s="286"/>
      <c r="B31" s="285"/>
      <c r="C31" s="291"/>
      <c r="D31" s="285"/>
      <c r="E31" s="285"/>
      <c r="F31" s="285"/>
      <c r="G31" s="285"/>
      <c r="H31" s="285"/>
      <c r="I31" s="285"/>
      <c r="J31" s="285"/>
      <c r="K31" s="285"/>
      <c r="L31" s="285"/>
      <c r="M31" s="285"/>
      <c r="N31" s="285"/>
      <c r="O31" s="285"/>
      <c r="P31" s="285"/>
      <c r="Q31" s="291"/>
      <c r="R31" s="285"/>
      <c r="S31" s="285"/>
      <c r="T31" s="285"/>
      <c r="U31" s="285"/>
      <c r="V31" s="285"/>
      <c r="W31" s="285"/>
      <c r="X31" s="285"/>
      <c r="Y31" s="285"/>
      <c r="Z31" s="285"/>
      <c r="AA31" s="285"/>
      <c r="AB31" s="285"/>
      <c r="AC31" s="285"/>
      <c r="AD31" s="285"/>
      <c r="AE31" s="285"/>
      <c r="AF31" s="285"/>
      <c r="AG31" s="285"/>
      <c r="AH31" s="285"/>
      <c r="AI31" s="285"/>
      <c r="AJ31" s="285"/>
      <c r="AK31" s="285"/>
      <c r="AL31" s="285"/>
      <c r="AM31" s="285"/>
      <c r="AN31" s="285"/>
      <c r="AO31" s="285"/>
      <c r="AP31" s="285"/>
      <c r="AQ31" s="285"/>
      <c r="AR31" s="285"/>
      <c r="AS31" s="285"/>
      <c r="AT31" s="291" t="s">
        <v>184</v>
      </c>
      <c r="AU31" s="285"/>
      <c r="AV31" s="285"/>
      <c r="AW31" s="285"/>
      <c r="AX31" s="285"/>
      <c r="AY31" s="285"/>
      <c r="AZ31" s="285"/>
      <c r="BA31" s="285"/>
      <c r="BB31" s="285"/>
      <c r="BC31" s="285"/>
      <c r="BD31" s="285"/>
      <c r="BE31" s="285"/>
      <c r="BF31" s="285"/>
      <c r="BG31" s="285"/>
      <c r="BH31" s="285"/>
      <c r="BI31" s="285"/>
      <c r="BJ31" s="285"/>
      <c r="BK31" s="285"/>
      <c r="BL31" s="285"/>
      <c r="BM31" s="285"/>
      <c r="BN31" s="285"/>
      <c r="BO31" s="285"/>
      <c r="BP31" s="285"/>
      <c r="BQ31" s="285"/>
      <c r="BR31" s="285"/>
      <c r="BS31" s="285"/>
      <c r="BT31" s="285"/>
      <c r="BU31" s="299"/>
      <c r="BV31" s="305"/>
      <c r="BW31" s="285"/>
      <c r="BX31" s="285"/>
      <c r="BY31" s="285"/>
      <c r="BZ31" s="285"/>
      <c r="CA31" s="285"/>
      <c r="CB31" s="285"/>
      <c r="CC31" s="285"/>
      <c r="CD31" s="285"/>
      <c r="CE31" s="285"/>
      <c r="CF31" s="285"/>
      <c r="CG31" s="299"/>
      <c r="CH31" s="309"/>
    </row>
    <row r="32" spans="1:86" s="2" customFormat="1" ht="15.75" customHeight="1">
      <c r="A32" s="286"/>
      <c r="B32" s="285"/>
      <c r="C32" s="291"/>
      <c r="D32" s="285"/>
      <c r="E32" s="285"/>
      <c r="F32" s="285"/>
      <c r="G32" s="285"/>
      <c r="H32" s="285"/>
      <c r="I32" s="285"/>
      <c r="J32" s="285"/>
      <c r="K32" s="285"/>
      <c r="L32" s="285"/>
      <c r="M32" s="285"/>
      <c r="N32" s="285"/>
      <c r="O32" s="285"/>
      <c r="P32" s="285"/>
      <c r="Q32" s="291"/>
      <c r="R32" s="285"/>
      <c r="S32" s="285"/>
      <c r="T32" s="285"/>
      <c r="U32" s="285"/>
      <c r="V32" s="285"/>
      <c r="W32" s="285"/>
      <c r="X32" s="285"/>
      <c r="Y32" s="285"/>
      <c r="Z32" s="285"/>
      <c r="AA32" s="285"/>
      <c r="AB32" s="285"/>
      <c r="AC32" s="285"/>
      <c r="AD32" s="285"/>
      <c r="AE32" s="285"/>
      <c r="AF32" s="285"/>
      <c r="AG32" s="285"/>
      <c r="AH32" s="285"/>
      <c r="AI32" s="285"/>
      <c r="AJ32" s="285"/>
      <c r="AK32" s="285"/>
      <c r="AL32" s="285"/>
      <c r="AM32" s="285"/>
      <c r="AN32" s="285"/>
      <c r="AO32" s="285"/>
      <c r="AP32" s="285"/>
      <c r="AQ32" s="285"/>
      <c r="AR32" s="285"/>
      <c r="AS32" s="285"/>
      <c r="AT32" s="291" t="s">
        <v>185</v>
      </c>
      <c r="AU32" s="285"/>
      <c r="AV32" s="285"/>
      <c r="AW32" s="285"/>
      <c r="AX32" s="285"/>
      <c r="AY32" s="285"/>
      <c r="AZ32" s="285"/>
      <c r="BA32" s="285"/>
      <c r="BB32" s="285"/>
      <c r="BC32" s="285"/>
      <c r="BD32" s="285"/>
      <c r="BE32" s="285"/>
      <c r="BF32" s="285"/>
      <c r="BG32" s="285"/>
      <c r="BH32" s="285"/>
      <c r="BI32" s="285"/>
      <c r="BJ32" s="285"/>
      <c r="BK32" s="285"/>
      <c r="BL32" s="285"/>
      <c r="BM32" s="285"/>
      <c r="BN32" s="285"/>
      <c r="BO32" s="285"/>
      <c r="BP32" s="285"/>
      <c r="BQ32" s="285"/>
      <c r="BR32" s="285"/>
      <c r="BS32" s="285"/>
      <c r="BT32" s="285"/>
      <c r="BU32" s="299"/>
      <c r="BV32" s="305"/>
      <c r="BW32" s="285"/>
      <c r="BX32" s="285"/>
      <c r="BY32" s="285"/>
      <c r="BZ32" s="285"/>
      <c r="CA32" s="285"/>
      <c r="CB32" s="285"/>
      <c r="CC32" s="285"/>
      <c r="CD32" s="285"/>
      <c r="CE32" s="285"/>
      <c r="CF32" s="285"/>
      <c r="CG32" s="299"/>
      <c r="CH32" s="309"/>
    </row>
    <row r="33" spans="1:86" s="2" customFormat="1" ht="15.75" customHeight="1">
      <c r="A33" s="286"/>
      <c r="B33" s="285"/>
      <c r="C33" s="291"/>
      <c r="D33" s="285"/>
      <c r="E33" s="285"/>
      <c r="F33" s="285"/>
      <c r="G33" s="285"/>
      <c r="H33" s="285"/>
      <c r="I33" s="285"/>
      <c r="J33" s="285"/>
      <c r="K33" s="285"/>
      <c r="L33" s="285"/>
      <c r="M33" s="285"/>
      <c r="N33" s="285"/>
      <c r="O33" s="285"/>
      <c r="P33" s="285"/>
      <c r="Q33" s="291"/>
      <c r="R33" s="285"/>
      <c r="S33" s="285"/>
      <c r="T33" s="285"/>
      <c r="U33" s="285"/>
      <c r="V33" s="285"/>
      <c r="W33" s="285"/>
      <c r="X33" s="285"/>
      <c r="Y33" s="285"/>
      <c r="Z33" s="285"/>
      <c r="AA33" s="285"/>
      <c r="AB33" s="285"/>
      <c r="AC33" s="285"/>
      <c r="AD33" s="285"/>
      <c r="AE33" s="285"/>
      <c r="AF33" s="285"/>
      <c r="AG33" s="285"/>
      <c r="AH33" s="285"/>
      <c r="AI33" s="285"/>
      <c r="AJ33" s="285"/>
      <c r="AK33" s="285"/>
      <c r="AL33" s="285"/>
      <c r="AM33" s="285"/>
      <c r="AN33" s="285"/>
      <c r="AO33" s="285"/>
      <c r="AP33" s="285"/>
      <c r="AQ33" s="285"/>
      <c r="AR33" s="285"/>
      <c r="AS33" s="285"/>
      <c r="AT33" s="291" t="s">
        <v>166</v>
      </c>
      <c r="AU33" s="285"/>
      <c r="AV33" s="285"/>
      <c r="AW33" s="285"/>
      <c r="AX33" s="285"/>
      <c r="AY33" s="285"/>
      <c r="AZ33" s="285"/>
      <c r="BA33" s="285"/>
      <c r="BB33" s="285"/>
      <c r="BC33" s="285"/>
      <c r="BD33" s="285"/>
      <c r="BE33" s="285"/>
      <c r="BF33" s="285"/>
      <c r="BG33" s="285"/>
      <c r="BH33" s="285"/>
      <c r="BI33" s="285"/>
      <c r="BJ33" s="285"/>
      <c r="BK33" s="285"/>
      <c r="BL33" s="285"/>
      <c r="BM33" s="285"/>
      <c r="BN33" s="285"/>
      <c r="BO33" s="285"/>
      <c r="BP33" s="285"/>
      <c r="BQ33" s="285"/>
      <c r="BR33" s="285"/>
      <c r="BS33" s="285"/>
      <c r="BT33" s="285"/>
      <c r="BU33" s="299"/>
      <c r="BV33" s="305"/>
      <c r="BW33" s="285"/>
      <c r="BX33" s="285"/>
      <c r="BY33" s="285"/>
      <c r="BZ33" s="285"/>
      <c r="CA33" s="285"/>
      <c r="CB33" s="285"/>
      <c r="CC33" s="285"/>
      <c r="CD33" s="285"/>
      <c r="CE33" s="285"/>
      <c r="CF33" s="285"/>
      <c r="CG33" s="299"/>
      <c r="CH33" s="309"/>
    </row>
    <row r="34" spans="1:86" s="2" customFormat="1" ht="15.75" customHeight="1">
      <c r="A34" s="286"/>
      <c r="B34" s="285"/>
      <c r="C34" s="291"/>
      <c r="D34" s="285"/>
      <c r="E34" s="285"/>
      <c r="F34" s="285"/>
      <c r="G34" s="285"/>
      <c r="H34" s="285"/>
      <c r="I34" s="285"/>
      <c r="J34" s="285"/>
      <c r="K34" s="285"/>
      <c r="L34" s="285"/>
      <c r="M34" s="285"/>
      <c r="N34" s="285"/>
      <c r="O34" s="285"/>
      <c r="P34" s="285"/>
      <c r="Q34" s="291"/>
      <c r="R34" s="285"/>
      <c r="S34" s="285"/>
      <c r="T34" s="285"/>
      <c r="U34" s="285"/>
      <c r="V34" s="285"/>
      <c r="W34" s="285"/>
      <c r="X34" s="285"/>
      <c r="Y34" s="285"/>
      <c r="Z34" s="285"/>
      <c r="AA34" s="285"/>
      <c r="AB34" s="285"/>
      <c r="AC34" s="285"/>
      <c r="AD34" s="285"/>
      <c r="AE34" s="285"/>
      <c r="AF34" s="285"/>
      <c r="AG34" s="285"/>
      <c r="AH34" s="285"/>
      <c r="AI34" s="285"/>
      <c r="AJ34" s="285"/>
      <c r="AK34" s="285"/>
      <c r="AL34" s="285"/>
      <c r="AM34" s="285"/>
      <c r="AN34" s="285"/>
      <c r="AO34" s="285"/>
      <c r="AP34" s="285"/>
      <c r="AQ34" s="285"/>
      <c r="AR34" s="285"/>
      <c r="AS34" s="285"/>
      <c r="AT34" s="291" t="s">
        <v>181</v>
      </c>
      <c r="AU34" s="285"/>
      <c r="AV34" s="285"/>
      <c r="AW34" s="285"/>
      <c r="AX34" s="285"/>
      <c r="AY34" s="285"/>
      <c r="AZ34" s="285"/>
      <c r="BA34" s="285"/>
      <c r="BB34" s="285"/>
      <c r="BC34" s="285"/>
      <c r="BD34" s="285"/>
      <c r="BE34" s="285"/>
      <c r="BF34" s="285"/>
      <c r="BG34" s="285"/>
      <c r="BH34" s="285"/>
      <c r="BI34" s="285"/>
      <c r="BJ34" s="285"/>
      <c r="BK34" s="285"/>
      <c r="BL34" s="285"/>
      <c r="BM34" s="285"/>
      <c r="BN34" s="285"/>
      <c r="BO34" s="285"/>
      <c r="BP34" s="285"/>
      <c r="BQ34" s="285"/>
      <c r="BR34" s="285"/>
      <c r="BS34" s="285"/>
      <c r="BT34" s="285"/>
      <c r="BU34" s="299"/>
      <c r="BV34" s="305"/>
      <c r="BW34" s="285"/>
      <c r="BX34" s="285"/>
      <c r="BY34" s="285"/>
      <c r="BZ34" s="285"/>
      <c r="CA34" s="285"/>
      <c r="CB34" s="285"/>
      <c r="CC34" s="285"/>
      <c r="CD34" s="285"/>
      <c r="CE34" s="285"/>
      <c r="CF34" s="285"/>
      <c r="CG34" s="299"/>
      <c r="CH34" s="309"/>
    </row>
    <row r="35" spans="1:86" s="2" customFormat="1" ht="15.75" customHeight="1">
      <c r="A35" s="286"/>
      <c r="B35" s="285"/>
      <c r="C35" s="291"/>
      <c r="D35" s="285"/>
      <c r="E35" s="285"/>
      <c r="F35" s="285"/>
      <c r="G35" s="285"/>
      <c r="H35" s="285"/>
      <c r="I35" s="285"/>
      <c r="J35" s="285"/>
      <c r="K35" s="285"/>
      <c r="L35" s="285"/>
      <c r="M35" s="285"/>
      <c r="N35" s="285"/>
      <c r="O35" s="285"/>
      <c r="P35" s="285"/>
      <c r="Q35" s="289" t="s">
        <v>186</v>
      </c>
      <c r="R35" s="290"/>
      <c r="S35" s="290"/>
      <c r="T35" s="290"/>
      <c r="U35" s="290"/>
      <c r="V35" s="290"/>
      <c r="W35" s="290"/>
      <c r="X35" s="290"/>
      <c r="Y35" s="290"/>
      <c r="Z35" s="290"/>
      <c r="AA35" s="290"/>
      <c r="AB35" s="290"/>
      <c r="AC35" s="290"/>
      <c r="AD35" s="290"/>
      <c r="AE35" s="290"/>
      <c r="AF35" s="290"/>
      <c r="AG35" s="290"/>
      <c r="AH35" s="290"/>
      <c r="AI35" s="290"/>
      <c r="AJ35" s="290"/>
      <c r="AK35" s="290"/>
      <c r="AL35" s="290"/>
      <c r="AM35" s="290"/>
      <c r="AN35" s="290"/>
      <c r="AO35" s="290"/>
      <c r="AP35" s="290"/>
      <c r="AQ35" s="290"/>
      <c r="AR35" s="290"/>
      <c r="AS35" s="290"/>
      <c r="AT35" s="289" t="s">
        <v>162</v>
      </c>
      <c r="AU35" s="290"/>
      <c r="AV35" s="290"/>
      <c r="AW35" s="290"/>
      <c r="AX35" s="290"/>
      <c r="AY35" s="290"/>
      <c r="AZ35" s="290"/>
      <c r="BA35" s="290"/>
      <c r="BB35" s="290"/>
      <c r="BC35" s="290"/>
      <c r="BD35" s="290"/>
      <c r="BE35" s="290"/>
      <c r="BF35" s="290"/>
      <c r="BG35" s="290"/>
      <c r="BH35" s="290"/>
      <c r="BI35" s="290"/>
      <c r="BJ35" s="290"/>
      <c r="BK35" s="290"/>
      <c r="BL35" s="290"/>
      <c r="BM35" s="290"/>
      <c r="BN35" s="290"/>
      <c r="BO35" s="290"/>
      <c r="BP35" s="290"/>
      <c r="BQ35" s="290"/>
      <c r="BR35" s="290"/>
      <c r="BS35" s="290"/>
      <c r="BT35" s="290"/>
      <c r="BU35" s="298"/>
      <c r="BV35" s="303" t="s">
        <v>175</v>
      </c>
      <c r="BW35" s="290"/>
      <c r="BX35" s="290"/>
      <c r="BY35" s="290"/>
      <c r="BZ35" s="290"/>
      <c r="CA35" s="290"/>
      <c r="CB35" s="290"/>
      <c r="CC35" s="290"/>
      <c r="CD35" s="290"/>
      <c r="CE35" s="290"/>
      <c r="CF35" s="290"/>
      <c r="CG35" s="298"/>
      <c r="CH35" s="309"/>
    </row>
    <row r="36" spans="1:86" s="2" customFormat="1" ht="15.75" customHeight="1">
      <c r="A36" s="286"/>
      <c r="B36" s="285"/>
      <c r="C36" s="291"/>
      <c r="D36" s="285"/>
      <c r="E36" s="285"/>
      <c r="F36" s="285"/>
      <c r="G36" s="285"/>
      <c r="H36" s="285"/>
      <c r="I36" s="285"/>
      <c r="J36" s="285"/>
      <c r="K36" s="285"/>
      <c r="L36" s="285"/>
      <c r="M36" s="285"/>
      <c r="N36" s="285"/>
      <c r="O36" s="285"/>
      <c r="P36" s="285"/>
      <c r="Q36" s="291"/>
      <c r="R36" s="285"/>
      <c r="S36" s="285"/>
      <c r="T36" s="285"/>
      <c r="U36" s="285"/>
      <c r="V36" s="285"/>
      <c r="W36" s="285"/>
      <c r="X36" s="285"/>
      <c r="Y36" s="285"/>
      <c r="Z36" s="285"/>
      <c r="AA36" s="285"/>
      <c r="AB36" s="285"/>
      <c r="AC36" s="285"/>
      <c r="AD36" s="285"/>
      <c r="AE36" s="285"/>
      <c r="AF36" s="285"/>
      <c r="AG36" s="285"/>
      <c r="AH36" s="285"/>
      <c r="AI36" s="285"/>
      <c r="AJ36" s="285"/>
      <c r="AK36" s="285"/>
      <c r="AL36" s="285"/>
      <c r="AM36" s="285"/>
      <c r="AN36" s="285"/>
      <c r="AO36" s="285"/>
      <c r="AP36" s="285"/>
      <c r="AQ36" s="285"/>
      <c r="AR36" s="285"/>
      <c r="AS36" s="285"/>
      <c r="AT36" s="291" t="s">
        <v>187</v>
      </c>
      <c r="AU36" s="285"/>
      <c r="AV36" s="285"/>
      <c r="AW36" s="285"/>
      <c r="AX36" s="285"/>
      <c r="AY36" s="285"/>
      <c r="AZ36" s="285"/>
      <c r="BA36" s="285"/>
      <c r="BB36" s="285"/>
      <c r="BC36" s="285"/>
      <c r="BD36" s="285"/>
      <c r="BE36" s="285"/>
      <c r="BF36" s="285"/>
      <c r="BG36" s="285"/>
      <c r="BH36" s="285"/>
      <c r="BI36" s="285"/>
      <c r="BJ36" s="285"/>
      <c r="BK36" s="285"/>
      <c r="BL36" s="285"/>
      <c r="BM36" s="285"/>
      <c r="BN36" s="285"/>
      <c r="BO36" s="285"/>
      <c r="BP36" s="285"/>
      <c r="BQ36" s="285"/>
      <c r="BR36" s="285"/>
      <c r="BS36" s="285"/>
      <c r="BT36" s="285"/>
      <c r="BU36" s="299"/>
      <c r="BV36" s="305"/>
      <c r="BW36" s="285"/>
      <c r="BX36" s="285"/>
      <c r="BY36" s="285"/>
      <c r="BZ36" s="285"/>
      <c r="CA36" s="285"/>
      <c r="CB36" s="285"/>
      <c r="CC36" s="285"/>
      <c r="CD36" s="285"/>
      <c r="CE36" s="285"/>
      <c r="CF36" s="285"/>
      <c r="CG36" s="299"/>
      <c r="CH36" s="309"/>
    </row>
    <row r="37" spans="1:86" s="2" customFormat="1" ht="15.75" customHeight="1">
      <c r="A37" s="286"/>
      <c r="B37" s="285"/>
      <c r="C37" s="291"/>
      <c r="D37" s="285"/>
      <c r="E37" s="285"/>
      <c r="F37" s="285"/>
      <c r="G37" s="285"/>
      <c r="H37" s="285"/>
      <c r="I37" s="285"/>
      <c r="J37" s="285"/>
      <c r="K37" s="285"/>
      <c r="L37" s="285"/>
      <c r="M37" s="285"/>
      <c r="N37" s="285"/>
      <c r="O37" s="285"/>
      <c r="P37" s="285"/>
      <c r="Q37" s="291"/>
      <c r="R37" s="285"/>
      <c r="S37" s="285"/>
      <c r="T37" s="285"/>
      <c r="U37" s="285"/>
      <c r="V37" s="285"/>
      <c r="W37" s="285"/>
      <c r="X37" s="285"/>
      <c r="Y37" s="285"/>
      <c r="Z37" s="285"/>
      <c r="AA37" s="285"/>
      <c r="AB37" s="285"/>
      <c r="AC37" s="285"/>
      <c r="AD37" s="285"/>
      <c r="AE37" s="285"/>
      <c r="AF37" s="285"/>
      <c r="AG37" s="285"/>
      <c r="AH37" s="285"/>
      <c r="AI37" s="285"/>
      <c r="AJ37" s="285"/>
      <c r="AK37" s="285"/>
      <c r="AL37" s="285"/>
      <c r="AM37" s="285"/>
      <c r="AN37" s="285"/>
      <c r="AO37" s="285"/>
      <c r="AP37" s="285"/>
      <c r="AQ37" s="285"/>
      <c r="AR37" s="285"/>
      <c r="AS37" s="285"/>
      <c r="AT37" s="291" t="s">
        <v>188</v>
      </c>
      <c r="AU37" s="285"/>
      <c r="AV37" s="285"/>
      <c r="AW37" s="285"/>
      <c r="AX37" s="285"/>
      <c r="AY37" s="285"/>
      <c r="AZ37" s="285"/>
      <c r="BA37" s="285"/>
      <c r="BB37" s="285"/>
      <c r="BC37" s="285"/>
      <c r="BD37" s="285"/>
      <c r="BE37" s="285"/>
      <c r="BF37" s="285"/>
      <c r="BG37" s="285"/>
      <c r="BH37" s="285"/>
      <c r="BI37" s="285"/>
      <c r="BJ37" s="285"/>
      <c r="BK37" s="285"/>
      <c r="BL37" s="285"/>
      <c r="BM37" s="285"/>
      <c r="BN37" s="285"/>
      <c r="BO37" s="285"/>
      <c r="BP37" s="285"/>
      <c r="BQ37" s="285"/>
      <c r="BR37" s="285"/>
      <c r="BS37" s="285"/>
      <c r="BT37" s="285"/>
      <c r="BU37" s="299"/>
      <c r="BV37" s="305"/>
      <c r="BW37" s="285"/>
      <c r="BX37" s="285"/>
      <c r="BY37" s="285"/>
      <c r="BZ37" s="285"/>
      <c r="CA37" s="285"/>
      <c r="CB37" s="285"/>
      <c r="CC37" s="285"/>
      <c r="CD37" s="285"/>
      <c r="CE37" s="285"/>
      <c r="CF37" s="285"/>
      <c r="CG37" s="299"/>
      <c r="CH37" s="309"/>
    </row>
    <row r="38" spans="1:86" s="2" customFormat="1" ht="15.75" customHeight="1">
      <c r="A38" s="286"/>
      <c r="B38" s="285"/>
      <c r="C38" s="291"/>
      <c r="D38" s="285"/>
      <c r="E38" s="285"/>
      <c r="F38" s="285"/>
      <c r="G38" s="285"/>
      <c r="H38" s="285"/>
      <c r="I38" s="285"/>
      <c r="J38" s="285"/>
      <c r="K38" s="285"/>
      <c r="L38" s="285"/>
      <c r="M38" s="285"/>
      <c r="N38" s="285"/>
      <c r="O38" s="285"/>
      <c r="P38" s="285"/>
      <c r="Q38" s="291"/>
      <c r="R38" s="285"/>
      <c r="S38" s="285"/>
      <c r="T38" s="285"/>
      <c r="U38" s="285"/>
      <c r="V38" s="285"/>
      <c r="W38" s="285"/>
      <c r="X38" s="285"/>
      <c r="Y38" s="285"/>
      <c r="Z38" s="285"/>
      <c r="AA38" s="285"/>
      <c r="AB38" s="285"/>
      <c r="AC38" s="285"/>
      <c r="AD38" s="285"/>
      <c r="AE38" s="285"/>
      <c r="AF38" s="285"/>
      <c r="AG38" s="285"/>
      <c r="AH38" s="285"/>
      <c r="AI38" s="285"/>
      <c r="AJ38" s="285"/>
      <c r="AK38" s="285"/>
      <c r="AL38" s="285"/>
      <c r="AM38" s="285"/>
      <c r="AN38" s="285"/>
      <c r="AO38" s="285"/>
      <c r="AP38" s="285"/>
      <c r="AQ38" s="285"/>
      <c r="AR38" s="285"/>
      <c r="AS38" s="285"/>
      <c r="AT38" s="291" t="s">
        <v>166</v>
      </c>
      <c r="AU38" s="285"/>
      <c r="AV38" s="285"/>
      <c r="AW38" s="285"/>
      <c r="AX38" s="285"/>
      <c r="AY38" s="285"/>
      <c r="AZ38" s="285"/>
      <c r="BA38" s="285"/>
      <c r="BB38" s="285"/>
      <c r="BC38" s="285"/>
      <c r="BD38" s="285"/>
      <c r="BE38" s="285"/>
      <c r="BF38" s="285"/>
      <c r="BG38" s="285"/>
      <c r="BH38" s="285"/>
      <c r="BI38" s="285"/>
      <c r="BJ38" s="285"/>
      <c r="BK38" s="285"/>
      <c r="BL38" s="285"/>
      <c r="BM38" s="285"/>
      <c r="BN38" s="285"/>
      <c r="BO38" s="285"/>
      <c r="BP38" s="285"/>
      <c r="BQ38" s="285"/>
      <c r="BR38" s="285"/>
      <c r="BS38" s="285"/>
      <c r="BT38" s="285"/>
      <c r="BU38" s="299"/>
      <c r="BV38" s="305"/>
      <c r="BW38" s="285"/>
      <c r="BX38" s="285"/>
      <c r="BY38" s="285"/>
      <c r="BZ38" s="285"/>
      <c r="CA38" s="285"/>
      <c r="CB38" s="285"/>
      <c r="CC38" s="285"/>
      <c r="CD38" s="285"/>
      <c r="CE38" s="285"/>
      <c r="CF38" s="285"/>
      <c r="CG38" s="299"/>
      <c r="CH38" s="309"/>
    </row>
    <row r="39" spans="1:86" s="2" customFormat="1" ht="15.75" customHeight="1">
      <c r="A39" s="286"/>
      <c r="B39" s="285"/>
      <c r="C39" s="291"/>
      <c r="D39" s="285"/>
      <c r="E39" s="285"/>
      <c r="F39" s="285"/>
      <c r="G39" s="285"/>
      <c r="H39" s="285"/>
      <c r="I39" s="285"/>
      <c r="J39" s="285"/>
      <c r="K39" s="285"/>
      <c r="L39" s="285"/>
      <c r="M39" s="285"/>
      <c r="N39" s="285"/>
      <c r="O39" s="285"/>
      <c r="P39" s="285"/>
      <c r="Q39" s="292"/>
      <c r="R39" s="293"/>
      <c r="S39" s="293"/>
      <c r="T39" s="293"/>
      <c r="U39" s="293"/>
      <c r="V39" s="293"/>
      <c r="W39" s="293"/>
      <c r="X39" s="293"/>
      <c r="Y39" s="293"/>
      <c r="Z39" s="293"/>
      <c r="AA39" s="293"/>
      <c r="AB39" s="293"/>
      <c r="AC39" s="293"/>
      <c r="AD39" s="293"/>
      <c r="AE39" s="293"/>
      <c r="AF39" s="293"/>
      <c r="AG39" s="293"/>
      <c r="AH39" s="293"/>
      <c r="AI39" s="293"/>
      <c r="AJ39" s="293"/>
      <c r="AK39" s="293"/>
      <c r="AL39" s="293"/>
      <c r="AM39" s="293"/>
      <c r="AN39" s="293"/>
      <c r="AO39" s="293"/>
      <c r="AP39" s="293"/>
      <c r="AQ39" s="293"/>
      <c r="AR39" s="293"/>
      <c r="AS39" s="293"/>
      <c r="AT39" s="292" t="s">
        <v>181</v>
      </c>
      <c r="AU39" s="293"/>
      <c r="AV39" s="293"/>
      <c r="AW39" s="293"/>
      <c r="AX39" s="293"/>
      <c r="AY39" s="293"/>
      <c r="AZ39" s="293"/>
      <c r="BA39" s="293"/>
      <c r="BB39" s="293"/>
      <c r="BC39" s="293"/>
      <c r="BD39" s="293"/>
      <c r="BE39" s="293"/>
      <c r="BF39" s="293"/>
      <c r="BG39" s="293"/>
      <c r="BH39" s="293"/>
      <c r="BI39" s="293"/>
      <c r="BJ39" s="293"/>
      <c r="BK39" s="293"/>
      <c r="BL39" s="293"/>
      <c r="BM39" s="293"/>
      <c r="BN39" s="293"/>
      <c r="BO39" s="293"/>
      <c r="BP39" s="293"/>
      <c r="BQ39" s="293"/>
      <c r="BR39" s="293"/>
      <c r="BS39" s="293"/>
      <c r="BT39" s="293"/>
      <c r="BU39" s="297"/>
      <c r="BV39" s="306"/>
      <c r="BW39" s="293"/>
      <c r="BX39" s="293"/>
      <c r="BY39" s="293"/>
      <c r="BZ39" s="293"/>
      <c r="CA39" s="293"/>
      <c r="CB39" s="293"/>
      <c r="CC39" s="293"/>
      <c r="CD39" s="293"/>
      <c r="CE39" s="293"/>
      <c r="CF39" s="293"/>
      <c r="CG39" s="297"/>
      <c r="CH39" s="309"/>
    </row>
    <row r="40" spans="1:86" s="2" customFormat="1" ht="15.75" customHeight="1">
      <c r="A40" s="286"/>
      <c r="B40" s="285"/>
      <c r="C40" s="291"/>
      <c r="D40" s="285"/>
      <c r="E40" s="285"/>
      <c r="F40" s="285"/>
      <c r="G40" s="285"/>
      <c r="H40" s="285"/>
      <c r="I40" s="285"/>
      <c r="J40" s="285"/>
      <c r="K40" s="285"/>
      <c r="L40" s="285"/>
      <c r="M40" s="285"/>
      <c r="N40" s="285"/>
      <c r="O40" s="285"/>
      <c r="P40" s="285"/>
      <c r="Q40" s="291" t="s">
        <v>189</v>
      </c>
      <c r="R40" s="285"/>
      <c r="S40" s="285"/>
      <c r="T40" s="285"/>
      <c r="U40" s="285"/>
      <c r="V40" s="285"/>
      <c r="W40" s="285"/>
      <c r="X40" s="285"/>
      <c r="Y40" s="285"/>
      <c r="Z40" s="285"/>
      <c r="AA40" s="285"/>
      <c r="AB40" s="285"/>
      <c r="AC40" s="285"/>
      <c r="AD40" s="285"/>
      <c r="AE40" s="285"/>
      <c r="AF40" s="285"/>
      <c r="AG40" s="285"/>
      <c r="AH40" s="285"/>
      <c r="AI40" s="285"/>
      <c r="AJ40" s="285"/>
      <c r="AK40" s="285"/>
      <c r="AL40" s="285"/>
      <c r="AM40" s="285"/>
      <c r="AN40" s="285"/>
      <c r="AO40" s="285"/>
      <c r="AP40" s="285"/>
      <c r="AQ40" s="285"/>
      <c r="AR40" s="285"/>
      <c r="AS40" s="285"/>
      <c r="AT40" s="291" t="s">
        <v>162</v>
      </c>
      <c r="AU40" s="285"/>
      <c r="AV40" s="285"/>
      <c r="AW40" s="285"/>
      <c r="AX40" s="285"/>
      <c r="AY40" s="285"/>
      <c r="AZ40" s="285"/>
      <c r="BA40" s="285"/>
      <c r="BB40" s="285"/>
      <c r="BC40" s="285"/>
      <c r="BD40" s="285"/>
      <c r="BE40" s="285"/>
      <c r="BF40" s="285"/>
      <c r="BG40" s="285"/>
      <c r="BH40" s="285"/>
      <c r="BI40" s="285"/>
      <c r="BJ40" s="285"/>
      <c r="BK40" s="285"/>
      <c r="BL40" s="285"/>
      <c r="BM40" s="285"/>
      <c r="BN40" s="285"/>
      <c r="BO40" s="285"/>
      <c r="BP40" s="285"/>
      <c r="BQ40" s="285"/>
      <c r="BR40" s="285"/>
      <c r="BS40" s="285"/>
      <c r="BT40" s="285"/>
      <c r="BU40" s="299"/>
      <c r="BV40" s="305" t="s">
        <v>175</v>
      </c>
      <c r="BW40" s="285"/>
      <c r="BX40" s="285"/>
      <c r="BY40" s="285"/>
      <c r="BZ40" s="285"/>
      <c r="CA40" s="285"/>
      <c r="CB40" s="285"/>
      <c r="CC40" s="285"/>
      <c r="CD40" s="285"/>
      <c r="CE40" s="285"/>
      <c r="CF40" s="285"/>
      <c r="CG40" s="299"/>
      <c r="CH40" s="309"/>
    </row>
    <row r="41" spans="1:86" s="2" customFormat="1" ht="15.75" customHeight="1">
      <c r="A41" s="286"/>
      <c r="B41" s="285"/>
      <c r="C41" s="291"/>
      <c r="D41" s="285"/>
      <c r="E41" s="285"/>
      <c r="F41" s="285"/>
      <c r="G41" s="285"/>
      <c r="H41" s="285"/>
      <c r="I41" s="285"/>
      <c r="J41" s="285"/>
      <c r="K41" s="285"/>
      <c r="L41" s="285"/>
      <c r="M41" s="285"/>
      <c r="N41" s="285"/>
      <c r="O41" s="285"/>
      <c r="P41" s="285"/>
      <c r="Q41" s="291" t="s">
        <v>190</v>
      </c>
      <c r="R41" s="285"/>
      <c r="S41" s="285"/>
      <c r="T41" s="285"/>
      <c r="U41" s="285"/>
      <c r="V41" s="285"/>
      <c r="W41" s="285"/>
      <c r="X41" s="285"/>
      <c r="Y41" s="285"/>
      <c r="Z41" s="285"/>
      <c r="AA41" s="285"/>
      <c r="AB41" s="285"/>
      <c r="AC41" s="285"/>
      <c r="AD41" s="285"/>
      <c r="AE41" s="285"/>
      <c r="AF41" s="285"/>
      <c r="AG41" s="285"/>
      <c r="AH41" s="285"/>
      <c r="AI41" s="285"/>
      <c r="AJ41" s="285"/>
      <c r="AK41" s="285"/>
      <c r="AL41" s="285"/>
      <c r="AM41" s="285"/>
      <c r="AN41" s="285"/>
      <c r="AO41" s="285"/>
      <c r="AP41" s="285"/>
      <c r="AQ41" s="285"/>
      <c r="AR41" s="285"/>
      <c r="AS41" s="285"/>
      <c r="AT41" s="291" t="s">
        <v>191</v>
      </c>
      <c r="AU41" s="285"/>
      <c r="AV41" s="285"/>
      <c r="AW41" s="285"/>
      <c r="AX41" s="285"/>
      <c r="AY41" s="285"/>
      <c r="AZ41" s="285"/>
      <c r="BA41" s="285"/>
      <c r="BB41" s="285"/>
      <c r="BC41" s="285"/>
      <c r="BD41" s="285"/>
      <c r="BE41" s="285"/>
      <c r="BF41" s="285"/>
      <c r="BG41" s="285"/>
      <c r="BH41" s="285"/>
      <c r="BI41" s="285"/>
      <c r="BJ41" s="285"/>
      <c r="BK41" s="285"/>
      <c r="BL41" s="285"/>
      <c r="BM41" s="285"/>
      <c r="BN41" s="285"/>
      <c r="BO41" s="285"/>
      <c r="BP41" s="285"/>
      <c r="BQ41" s="285"/>
      <c r="BR41" s="285"/>
      <c r="BS41" s="285"/>
      <c r="BT41" s="285"/>
      <c r="BU41" s="299"/>
      <c r="BV41" s="305"/>
      <c r="BW41" s="285"/>
      <c r="BX41" s="285"/>
      <c r="BY41" s="285"/>
      <c r="BZ41" s="285"/>
      <c r="CA41" s="285"/>
      <c r="CB41" s="285"/>
      <c r="CC41" s="285"/>
      <c r="CD41" s="285"/>
      <c r="CE41" s="285"/>
      <c r="CF41" s="285"/>
      <c r="CG41" s="299"/>
      <c r="CH41" s="309"/>
    </row>
    <row r="42" spans="1:86" s="2" customFormat="1" ht="15.75" customHeight="1">
      <c r="A42" s="286"/>
      <c r="B42" s="285"/>
      <c r="C42" s="291"/>
      <c r="D42" s="285"/>
      <c r="E42" s="285"/>
      <c r="F42" s="285"/>
      <c r="G42" s="285"/>
      <c r="H42" s="285"/>
      <c r="I42" s="285"/>
      <c r="J42" s="285"/>
      <c r="K42" s="285"/>
      <c r="L42" s="285"/>
      <c r="M42" s="285"/>
      <c r="N42" s="285"/>
      <c r="O42" s="285"/>
      <c r="P42" s="285"/>
      <c r="Q42" s="291"/>
      <c r="R42" s="285"/>
      <c r="S42" s="285"/>
      <c r="T42" s="285"/>
      <c r="U42" s="285"/>
      <c r="V42" s="285"/>
      <c r="W42" s="285"/>
      <c r="X42" s="285"/>
      <c r="Y42" s="285"/>
      <c r="Z42" s="285"/>
      <c r="AA42" s="285"/>
      <c r="AB42" s="285"/>
      <c r="AC42" s="285"/>
      <c r="AD42" s="285"/>
      <c r="AE42" s="285"/>
      <c r="AF42" s="285"/>
      <c r="AG42" s="285"/>
      <c r="AH42" s="285"/>
      <c r="AI42" s="285"/>
      <c r="AJ42" s="285"/>
      <c r="AK42" s="285"/>
      <c r="AL42" s="285"/>
      <c r="AM42" s="285"/>
      <c r="AN42" s="285"/>
      <c r="AO42" s="285"/>
      <c r="AP42" s="285"/>
      <c r="AQ42" s="285"/>
      <c r="AR42" s="285"/>
      <c r="AS42" s="285"/>
      <c r="AT42" s="291" t="s">
        <v>192</v>
      </c>
      <c r="AU42" s="285"/>
      <c r="AV42" s="285"/>
      <c r="AW42" s="285"/>
      <c r="AX42" s="285"/>
      <c r="AY42" s="285"/>
      <c r="AZ42" s="285"/>
      <c r="BA42" s="285"/>
      <c r="BB42" s="285"/>
      <c r="BC42" s="285"/>
      <c r="BD42" s="285"/>
      <c r="BE42" s="285"/>
      <c r="BF42" s="285"/>
      <c r="BG42" s="285"/>
      <c r="BH42" s="285"/>
      <c r="BI42" s="285"/>
      <c r="BJ42" s="285"/>
      <c r="BK42" s="285"/>
      <c r="BL42" s="285"/>
      <c r="BM42" s="285"/>
      <c r="BN42" s="285"/>
      <c r="BO42" s="285"/>
      <c r="BP42" s="285"/>
      <c r="BQ42" s="285"/>
      <c r="BR42" s="285"/>
      <c r="BS42" s="285"/>
      <c r="BT42" s="285"/>
      <c r="BU42" s="299"/>
      <c r="BV42" s="305"/>
      <c r="BW42" s="285"/>
      <c r="BX42" s="285"/>
      <c r="BY42" s="285"/>
      <c r="BZ42" s="285"/>
      <c r="CA42" s="285"/>
      <c r="CB42" s="285"/>
      <c r="CC42" s="285"/>
      <c r="CD42" s="285"/>
      <c r="CE42" s="285"/>
      <c r="CF42" s="285"/>
      <c r="CG42" s="299"/>
      <c r="CH42" s="309"/>
    </row>
    <row r="43" spans="1:86" s="2" customFormat="1" ht="15.75" customHeight="1">
      <c r="A43" s="286"/>
      <c r="B43" s="285"/>
      <c r="C43" s="291"/>
      <c r="D43" s="285"/>
      <c r="E43" s="285"/>
      <c r="F43" s="285"/>
      <c r="G43" s="285"/>
      <c r="H43" s="285"/>
      <c r="I43" s="285"/>
      <c r="J43" s="285"/>
      <c r="K43" s="285"/>
      <c r="L43" s="285"/>
      <c r="M43" s="285"/>
      <c r="N43" s="285"/>
      <c r="O43" s="285"/>
      <c r="P43" s="285"/>
      <c r="Q43" s="291"/>
      <c r="R43" s="285"/>
      <c r="S43" s="285"/>
      <c r="T43" s="285"/>
      <c r="U43" s="285"/>
      <c r="V43" s="285"/>
      <c r="W43" s="285"/>
      <c r="X43" s="285"/>
      <c r="Y43" s="285"/>
      <c r="Z43" s="285"/>
      <c r="AA43" s="285"/>
      <c r="AB43" s="285"/>
      <c r="AC43" s="285"/>
      <c r="AD43" s="285"/>
      <c r="AE43" s="285"/>
      <c r="AF43" s="285"/>
      <c r="AG43" s="285"/>
      <c r="AH43" s="285"/>
      <c r="AI43" s="285"/>
      <c r="AJ43" s="285"/>
      <c r="AK43" s="285"/>
      <c r="AL43" s="285"/>
      <c r="AM43" s="285"/>
      <c r="AN43" s="285"/>
      <c r="AO43" s="285"/>
      <c r="AP43" s="285"/>
      <c r="AQ43" s="285"/>
      <c r="AR43" s="285"/>
      <c r="AS43" s="285"/>
      <c r="AT43" s="291" t="s">
        <v>166</v>
      </c>
      <c r="AU43" s="285"/>
      <c r="AV43" s="285"/>
      <c r="AW43" s="285"/>
      <c r="AX43" s="285"/>
      <c r="AY43" s="285"/>
      <c r="AZ43" s="285"/>
      <c r="BA43" s="285"/>
      <c r="BB43" s="285"/>
      <c r="BC43" s="285"/>
      <c r="BD43" s="285"/>
      <c r="BE43" s="285"/>
      <c r="BF43" s="285"/>
      <c r="BG43" s="285"/>
      <c r="BH43" s="285"/>
      <c r="BI43" s="285"/>
      <c r="BJ43" s="285"/>
      <c r="BK43" s="285"/>
      <c r="BL43" s="285"/>
      <c r="BM43" s="285"/>
      <c r="BN43" s="285"/>
      <c r="BO43" s="285"/>
      <c r="BP43" s="285"/>
      <c r="BQ43" s="285"/>
      <c r="BR43" s="285"/>
      <c r="BS43" s="285"/>
      <c r="BT43" s="285"/>
      <c r="BU43" s="299"/>
      <c r="BV43" s="305"/>
      <c r="BW43" s="285"/>
      <c r="BX43" s="285"/>
      <c r="BY43" s="285"/>
      <c r="BZ43" s="285"/>
      <c r="CA43" s="285"/>
      <c r="CB43" s="285"/>
      <c r="CC43" s="285"/>
      <c r="CD43" s="285"/>
      <c r="CE43" s="285"/>
      <c r="CF43" s="285"/>
      <c r="CG43" s="299"/>
      <c r="CH43" s="309"/>
    </row>
    <row r="44" spans="1:86" s="2" customFormat="1" ht="15.75" customHeight="1">
      <c r="A44" s="286"/>
      <c r="B44" s="285"/>
      <c r="C44" s="292"/>
      <c r="D44" s="293"/>
      <c r="E44" s="293"/>
      <c r="F44" s="293"/>
      <c r="G44" s="293"/>
      <c r="H44" s="293"/>
      <c r="I44" s="293"/>
      <c r="J44" s="293"/>
      <c r="K44" s="293"/>
      <c r="L44" s="293"/>
      <c r="M44" s="293"/>
      <c r="N44" s="293"/>
      <c r="O44" s="293"/>
      <c r="P44" s="293"/>
      <c r="Q44" s="292"/>
      <c r="R44" s="293"/>
      <c r="S44" s="293"/>
      <c r="T44" s="293"/>
      <c r="U44" s="293"/>
      <c r="V44" s="293"/>
      <c r="W44" s="293"/>
      <c r="X44" s="293"/>
      <c r="Y44" s="293"/>
      <c r="Z44" s="293"/>
      <c r="AA44" s="293"/>
      <c r="AB44" s="293"/>
      <c r="AC44" s="293"/>
      <c r="AD44" s="293"/>
      <c r="AE44" s="293"/>
      <c r="AF44" s="293"/>
      <c r="AG44" s="293"/>
      <c r="AH44" s="293"/>
      <c r="AI44" s="293"/>
      <c r="AJ44" s="293"/>
      <c r="AK44" s="293"/>
      <c r="AL44" s="293"/>
      <c r="AM44" s="293"/>
      <c r="AN44" s="293"/>
      <c r="AO44" s="293"/>
      <c r="AP44" s="293"/>
      <c r="AQ44" s="293"/>
      <c r="AR44" s="293"/>
      <c r="AS44" s="293"/>
      <c r="AT44" s="292" t="s">
        <v>181</v>
      </c>
      <c r="AU44" s="293"/>
      <c r="AV44" s="293"/>
      <c r="AW44" s="293"/>
      <c r="AX44" s="293"/>
      <c r="AY44" s="293"/>
      <c r="AZ44" s="293"/>
      <c r="BA44" s="293"/>
      <c r="BB44" s="293"/>
      <c r="BC44" s="293"/>
      <c r="BD44" s="293"/>
      <c r="BE44" s="293"/>
      <c r="BF44" s="293"/>
      <c r="BG44" s="293"/>
      <c r="BH44" s="293"/>
      <c r="BI44" s="293"/>
      <c r="BJ44" s="293"/>
      <c r="BK44" s="293"/>
      <c r="BL44" s="293"/>
      <c r="BM44" s="293"/>
      <c r="BN44" s="293"/>
      <c r="BO44" s="293"/>
      <c r="BP44" s="293"/>
      <c r="BQ44" s="293"/>
      <c r="BR44" s="293"/>
      <c r="BS44" s="293"/>
      <c r="BT44" s="293"/>
      <c r="BU44" s="297"/>
      <c r="BV44" s="306"/>
      <c r="BW44" s="293"/>
      <c r="BX44" s="293"/>
      <c r="BY44" s="293"/>
      <c r="BZ44" s="293"/>
      <c r="CA44" s="293"/>
      <c r="CB44" s="293"/>
      <c r="CC44" s="293"/>
      <c r="CD44" s="293"/>
      <c r="CE44" s="293"/>
      <c r="CF44" s="293"/>
      <c r="CG44" s="297"/>
      <c r="CH44" s="309"/>
    </row>
    <row r="45" spans="1:86" s="2" customFormat="1" ht="15.75" customHeight="1">
      <c r="A45" s="286"/>
      <c r="B45" s="285"/>
      <c r="C45" s="291" t="s">
        <v>193</v>
      </c>
      <c r="D45" s="285"/>
      <c r="E45" s="285"/>
      <c r="F45" s="285"/>
      <c r="G45" s="285"/>
      <c r="H45" s="285"/>
      <c r="I45" s="285"/>
      <c r="J45" s="285"/>
      <c r="K45" s="285"/>
      <c r="L45" s="285"/>
      <c r="M45" s="285"/>
      <c r="N45" s="285"/>
      <c r="O45" s="285"/>
      <c r="P45" s="285"/>
      <c r="Q45" s="291" t="s">
        <v>194</v>
      </c>
      <c r="R45" s="285"/>
      <c r="S45" s="285"/>
      <c r="T45" s="285"/>
      <c r="U45" s="285"/>
      <c r="V45" s="285"/>
      <c r="W45" s="285"/>
      <c r="X45" s="285"/>
      <c r="Y45" s="285"/>
      <c r="Z45" s="285"/>
      <c r="AA45" s="285"/>
      <c r="AB45" s="285"/>
      <c r="AC45" s="285"/>
      <c r="AD45" s="285"/>
      <c r="AE45" s="285"/>
      <c r="AF45" s="285"/>
      <c r="AG45" s="285"/>
      <c r="AH45" s="285"/>
      <c r="AI45" s="285"/>
      <c r="AJ45" s="285"/>
      <c r="AK45" s="285"/>
      <c r="AL45" s="285"/>
      <c r="AM45" s="285"/>
      <c r="AN45" s="285"/>
      <c r="AO45" s="285"/>
      <c r="AP45" s="285"/>
      <c r="AQ45" s="285"/>
      <c r="AR45" s="285"/>
      <c r="AS45" s="285"/>
      <c r="AT45" s="291" t="s">
        <v>166</v>
      </c>
      <c r="AU45" s="285"/>
      <c r="AV45" s="285"/>
      <c r="AW45" s="285"/>
      <c r="AX45" s="285"/>
      <c r="AY45" s="285"/>
      <c r="AZ45" s="285"/>
      <c r="BA45" s="285"/>
      <c r="BB45" s="285"/>
      <c r="BC45" s="285"/>
      <c r="BD45" s="285"/>
      <c r="BE45" s="285"/>
      <c r="BF45" s="285"/>
      <c r="BG45" s="285"/>
      <c r="BH45" s="285"/>
      <c r="BI45" s="285"/>
      <c r="BJ45" s="285"/>
      <c r="BK45" s="285"/>
      <c r="BL45" s="285"/>
      <c r="BM45" s="285"/>
      <c r="BN45" s="285"/>
      <c r="BO45" s="285"/>
      <c r="BP45" s="285"/>
      <c r="BQ45" s="285"/>
      <c r="BR45" s="285"/>
      <c r="BS45" s="285"/>
      <c r="BT45" s="285"/>
      <c r="BU45" s="299"/>
      <c r="BV45" s="305" t="s">
        <v>195</v>
      </c>
      <c r="BW45" s="285"/>
      <c r="BX45" s="285"/>
      <c r="BY45" s="285"/>
      <c r="BZ45" s="285"/>
      <c r="CA45" s="285"/>
      <c r="CB45" s="285"/>
      <c r="CC45" s="285"/>
      <c r="CD45" s="285"/>
      <c r="CE45" s="285"/>
      <c r="CF45" s="285"/>
      <c r="CG45" s="299"/>
      <c r="CH45" s="309"/>
    </row>
    <row r="46" spans="1:86" s="2" customFormat="1" ht="15.75" customHeight="1">
      <c r="A46" s="286"/>
      <c r="B46" s="285"/>
      <c r="C46" s="291"/>
      <c r="D46" s="285"/>
      <c r="E46" s="285"/>
      <c r="F46" s="285"/>
      <c r="G46" s="285"/>
      <c r="H46" s="285"/>
      <c r="I46" s="285"/>
      <c r="J46" s="285"/>
      <c r="K46" s="285"/>
      <c r="L46" s="285"/>
      <c r="M46" s="285"/>
      <c r="N46" s="285"/>
      <c r="O46" s="285"/>
      <c r="P46" s="285"/>
      <c r="Q46" s="291"/>
      <c r="R46" s="285"/>
      <c r="S46" s="285"/>
      <c r="T46" s="285"/>
      <c r="U46" s="285"/>
      <c r="V46" s="285"/>
      <c r="W46" s="285"/>
      <c r="X46" s="285"/>
      <c r="Y46" s="285"/>
      <c r="Z46" s="285"/>
      <c r="AA46" s="285"/>
      <c r="AB46" s="285"/>
      <c r="AC46" s="285"/>
      <c r="AD46" s="285"/>
      <c r="AE46" s="285"/>
      <c r="AF46" s="285"/>
      <c r="AG46" s="285"/>
      <c r="AH46" s="285"/>
      <c r="AI46" s="285"/>
      <c r="AJ46" s="285"/>
      <c r="AK46" s="285"/>
      <c r="AL46" s="285"/>
      <c r="AM46" s="285"/>
      <c r="AN46" s="285"/>
      <c r="AO46" s="285"/>
      <c r="AP46" s="285"/>
      <c r="AQ46" s="285"/>
      <c r="AR46" s="285"/>
      <c r="AS46" s="285"/>
      <c r="AT46" s="291" t="s">
        <v>196</v>
      </c>
      <c r="AU46" s="285"/>
      <c r="AV46" s="285"/>
      <c r="AW46" s="285"/>
      <c r="AX46" s="285"/>
      <c r="AY46" s="285"/>
      <c r="AZ46" s="285"/>
      <c r="BA46" s="285"/>
      <c r="BB46" s="285"/>
      <c r="BC46" s="285"/>
      <c r="BD46" s="285"/>
      <c r="BE46" s="285"/>
      <c r="BF46" s="285"/>
      <c r="BG46" s="285"/>
      <c r="BH46" s="285"/>
      <c r="BI46" s="285"/>
      <c r="BJ46" s="285"/>
      <c r="BK46" s="285"/>
      <c r="BL46" s="285"/>
      <c r="BM46" s="285"/>
      <c r="BN46" s="285"/>
      <c r="BO46" s="285"/>
      <c r="BP46" s="285"/>
      <c r="BQ46" s="285"/>
      <c r="BR46" s="285"/>
      <c r="BS46" s="285"/>
      <c r="BT46" s="285"/>
      <c r="BU46" s="299"/>
      <c r="BV46" s="305" t="s">
        <v>197</v>
      </c>
      <c r="BW46" s="285"/>
      <c r="BX46" s="285"/>
      <c r="BY46" s="285"/>
      <c r="BZ46" s="285"/>
      <c r="CA46" s="285"/>
      <c r="CB46" s="285"/>
      <c r="CC46" s="285"/>
      <c r="CD46" s="285"/>
      <c r="CE46" s="285"/>
      <c r="CF46" s="285"/>
      <c r="CG46" s="299"/>
      <c r="CH46" s="309"/>
    </row>
    <row r="47" spans="1:86" s="2" customFormat="1" ht="15.75" customHeight="1">
      <c r="A47" s="286"/>
      <c r="B47" s="285"/>
      <c r="C47" s="291"/>
      <c r="D47" s="285"/>
      <c r="E47" s="285"/>
      <c r="F47" s="285"/>
      <c r="G47" s="285"/>
      <c r="H47" s="285"/>
      <c r="I47" s="285"/>
      <c r="J47" s="285"/>
      <c r="K47" s="285"/>
      <c r="L47" s="285"/>
      <c r="M47" s="285"/>
      <c r="N47" s="285"/>
      <c r="O47" s="285"/>
      <c r="P47" s="285"/>
      <c r="Q47" s="291"/>
      <c r="R47" s="285"/>
      <c r="S47" s="285"/>
      <c r="T47" s="285"/>
      <c r="U47" s="285"/>
      <c r="V47" s="285"/>
      <c r="W47" s="285"/>
      <c r="X47" s="285"/>
      <c r="Y47" s="285"/>
      <c r="Z47" s="285"/>
      <c r="AA47" s="285"/>
      <c r="AB47" s="285"/>
      <c r="AC47" s="285"/>
      <c r="AD47" s="285"/>
      <c r="AE47" s="285"/>
      <c r="AF47" s="285"/>
      <c r="AG47" s="285"/>
      <c r="AH47" s="285"/>
      <c r="AI47" s="285"/>
      <c r="AJ47" s="285"/>
      <c r="AK47" s="285"/>
      <c r="AL47" s="285"/>
      <c r="AM47" s="285"/>
      <c r="AN47" s="285"/>
      <c r="AO47" s="285"/>
      <c r="AP47" s="285"/>
      <c r="AQ47" s="285"/>
      <c r="AR47" s="285"/>
      <c r="AS47" s="285"/>
      <c r="AT47" s="291" t="s">
        <v>198</v>
      </c>
      <c r="AU47" s="285"/>
      <c r="AV47" s="285"/>
      <c r="AW47" s="285"/>
      <c r="AX47" s="285"/>
      <c r="AY47" s="285"/>
      <c r="AZ47" s="285"/>
      <c r="BA47" s="285"/>
      <c r="BB47" s="285"/>
      <c r="BC47" s="285"/>
      <c r="BD47" s="285"/>
      <c r="BE47" s="285"/>
      <c r="BF47" s="285"/>
      <c r="BG47" s="285"/>
      <c r="BH47" s="285"/>
      <c r="BI47" s="285"/>
      <c r="BJ47" s="285"/>
      <c r="BK47" s="285"/>
      <c r="BL47" s="285"/>
      <c r="BM47" s="285"/>
      <c r="BN47" s="285"/>
      <c r="BO47" s="285"/>
      <c r="BP47" s="285"/>
      <c r="BQ47" s="285"/>
      <c r="BR47" s="285"/>
      <c r="BS47" s="285"/>
      <c r="BT47" s="285"/>
      <c r="BU47" s="299"/>
      <c r="BV47" s="305"/>
      <c r="BW47" s="285"/>
      <c r="BX47" s="285"/>
      <c r="BY47" s="285"/>
      <c r="BZ47" s="285"/>
      <c r="CA47" s="285"/>
      <c r="CB47" s="285"/>
      <c r="CC47" s="285"/>
      <c r="CD47" s="285"/>
      <c r="CE47" s="285"/>
      <c r="CF47" s="285"/>
      <c r="CG47" s="299"/>
      <c r="CH47" s="309"/>
    </row>
    <row r="48" spans="1:86" s="2" customFormat="1" ht="15.75" customHeight="1">
      <c r="A48" s="286"/>
      <c r="B48" s="285"/>
      <c r="C48" s="289" t="s">
        <v>199</v>
      </c>
      <c r="D48" s="290"/>
      <c r="E48" s="290"/>
      <c r="F48" s="290"/>
      <c r="G48" s="290"/>
      <c r="H48" s="290"/>
      <c r="I48" s="290"/>
      <c r="J48" s="290"/>
      <c r="K48" s="290"/>
      <c r="L48" s="290"/>
      <c r="M48" s="290"/>
      <c r="N48" s="290"/>
      <c r="O48" s="290"/>
      <c r="P48" s="290"/>
      <c r="Q48" s="289"/>
      <c r="R48" s="290"/>
      <c r="S48" s="290"/>
      <c r="T48" s="290"/>
      <c r="U48" s="290"/>
      <c r="V48" s="290"/>
      <c r="W48" s="290"/>
      <c r="X48" s="290"/>
      <c r="Y48" s="290"/>
      <c r="Z48" s="290"/>
      <c r="AA48" s="290"/>
      <c r="AB48" s="290"/>
      <c r="AC48" s="290"/>
      <c r="AD48" s="290"/>
      <c r="AE48" s="290"/>
      <c r="AF48" s="290"/>
      <c r="AG48" s="290"/>
      <c r="AH48" s="290"/>
      <c r="AI48" s="290"/>
      <c r="AJ48" s="290"/>
      <c r="AK48" s="290"/>
      <c r="AL48" s="290"/>
      <c r="AM48" s="290"/>
      <c r="AN48" s="290"/>
      <c r="AO48" s="290"/>
      <c r="AP48" s="290"/>
      <c r="AQ48" s="290"/>
      <c r="AR48" s="290"/>
      <c r="AS48" s="290"/>
      <c r="AT48" s="289"/>
      <c r="AU48" s="290"/>
      <c r="AV48" s="290"/>
      <c r="AW48" s="290"/>
      <c r="AX48" s="290"/>
      <c r="AY48" s="290"/>
      <c r="AZ48" s="290"/>
      <c r="BA48" s="290"/>
      <c r="BB48" s="290"/>
      <c r="BC48" s="290"/>
      <c r="BD48" s="290"/>
      <c r="BE48" s="290"/>
      <c r="BF48" s="290"/>
      <c r="BG48" s="290"/>
      <c r="BH48" s="290"/>
      <c r="BI48" s="290"/>
      <c r="BJ48" s="290"/>
      <c r="BK48" s="290"/>
      <c r="BL48" s="290"/>
      <c r="BM48" s="290"/>
      <c r="BN48" s="290"/>
      <c r="BO48" s="290"/>
      <c r="BP48" s="290"/>
      <c r="BQ48" s="290"/>
      <c r="BR48" s="290"/>
      <c r="BS48" s="290"/>
      <c r="BT48" s="290"/>
      <c r="BU48" s="298"/>
      <c r="BV48" s="303" t="s">
        <v>200</v>
      </c>
      <c r="BW48" s="290"/>
      <c r="BX48" s="290"/>
      <c r="BY48" s="290"/>
      <c r="BZ48" s="290"/>
      <c r="CA48" s="290"/>
      <c r="CB48" s="290"/>
      <c r="CC48" s="290"/>
      <c r="CD48" s="290"/>
      <c r="CE48" s="290"/>
      <c r="CF48" s="290"/>
      <c r="CG48" s="298"/>
      <c r="CH48" s="309"/>
    </row>
    <row r="49" spans="1:86" s="2" customFormat="1" ht="15.75" customHeight="1">
      <c r="A49" s="286"/>
      <c r="B49" s="285"/>
      <c r="C49" s="292"/>
      <c r="D49" s="293"/>
      <c r="E49" s="293"/>
      <c r="F49" s="293"/>
      <c r="G49" s="293"/>
      <c r="H49" s="293"/>
      <c r="I49" s="293"/>
      <c r="J49" s="293"/>
      <c r="K49" s="293"/>
      <c r="L49" s="293"/>
      <c r="M49" s="293"/>
      <c r="N49" s="293"/>
      <c r="O49" s="293"/>
      <c r="P49" s="293"/>
      <c r="Q49" s="292"/>
      <c r="R49" s="293"/>
      <c r="S49" s="293"/>
      <c r="T49" s="293"/>
      <c r="U49" s="293"/>
      <c r="V49" s="293"/>
      <c r="W49" s="293"/>
      <c r="X49" s="293"/>
      <c r="Y49" s="293"/>
      <c r="Z49" s="293"/>
      <c r="AA49" s="293"/>
      <c r="AB49" s="293"/>
      <c r="AC49" s="293"/>
      <c r="AD49" s="293"/>
      <c r="AE49" s="293"/>
      <c r="AF49" s="293"/>
      <c r="AG49" s="293"/>
      <c r="AH49" s="293"/>
      <c r="AI49" s="293"/>
      <c r="AJ49" s="293"/>
      <c r="AK49" s="293"/>
      <c r="AL49" s="293"/>
      <c r="AM49" s="293"/>
      <c r="AN49" s="293"/>
      <c r="AO49" s="293"/>
      <c r="AP49" s="293"/>
      <c r="AQ49" s="293"/>
      <c r="AR49" s="293"/>
      <c r="AS49" s="293"/>
      <c r="AT49" s="292"/>
      <c r="AU49" s="293"/>
      <c r="AV49" s="293"/>
      <c r="AW49" s="293"/>
      <c r="AX49" s="293"/>
      <c r="AY49" s="293"/>
      <c r="AZ49" s="293"/>
      <c r="BA49" s="293"/>
      <c r="BB49" s="293"/>
      <c r="BC49" s="293"/>
      <c r="BD49" s="293"/>
      <c r="BE49" s="293"/>
      <c r="BF49" s="293"/>
      <c r="BG49" s="293"/>
      <c r="BH49" s="293"/>
      <c r="BI49" s="293"/>
      <c r="BJ49" s="293"/>
      <c r="BK49" s="293"/>
      <c r="BL49" s="293"/>
      <c r="BM49" s="293"/>
      <c r="BN49" s="293"/>
      <c r="BO49" s="293"/>
      <c r="BP49" s="293"/>
      <c r="BQ49" s="293"/>
      <c r="BR49" s="293"/>
      <c r="BS49" s="293"/>
      <c r="BT49" s="293"/>
      <c r="BU49" s="297"/>
      <c r="BV49" s="306" t="s">
        <v>201</v>
      </c>
      <c r="BW49" s="293"/>
      <c r="BX49" s="293"/>
      <c r="BY49" s="293"/>
      <c r="BZ49" s="293"/>
      <c r="CA49" s="293"/>
      <c r="CB49" s="293"/>
      <c r="CC49" s="293"/>
      <c r="CD49" s="293"/>
      <c r="CE49" s="293"/>
      <c r="CF49" s="293"/>
      <c r="CG49" s="297"/>
      <c r="CH49" s="309"/>
    </row>
    <row r="50" spans="1:86" s="2" customFormat="1" ht="15.75" customHeight="1">
      <c r="A50" s="9"/>
      <c r="B50" s="285"/>
      <c r="C50" s="3"/>
      <c r="D50" s="3"/>
      <c r="Q50" s="94"/>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51"/>
    </row>
    <row r="51" spans="1:86" s="2" customFormat="1" ht="15.75" customHeight="1">
      <c r="A51" s="286"/>
      <c r="B51" s="285"/>
      <c r="C51" s="287" t="s">
        <v>153</v>
      </c>
      <c r="D51" s="288"/>
      <c r="E51" s="288"/>
      <c r="F51" s="288"/>
      <c r="G51" s="288"/>
      <c r="H51" s="288"/>
      <c r="I51" s="288"/>
      <c r="J51" s="288"/>
      <c r="K51" s="288"/>
      <c r="L51" s="288"/>
      <c r="M51" s="288"/>
      <c r="N51" s="288"/>
      <c r="O51" s="288"/>
      <c r="P51" s="288"/>
      <c r="Q51" s="287" t="s">
        <v>154</v>
      </c>
      <c r="R51" s="288"/>
      <c r="S51" s="288"/>
      <c r="T51" s="288"/>
      <c r="U51" s="288"/>
      <c r="V51" s="288"/>
      <c r="W51" s="288"/>
      <c r="X51" s="288"/>
      <c r="Y51" s="288"/>
      <c r="Z51" s="288"/>
      <c r="AA51" s="288"/>
      <c r="AB51" s="288"/>
      <c r="AC51" s="288"/>
      <c r="AD51" s="288"/>
      <c r="AE51" s="288"/>
      <c r="AF51" s="288"/>
      <c r="AG51" s="288"/>
      <c r="AH51" s="288"/>
      <c r="AI51" s="288"/>
      <c r="AJ51" s="288"/>
      <c r="AK51" s="288"/>
      <c r="AL51" s="288"/>
      <c r="AM51" s="288"/>
      <c r="AN51" s="288"/>
      <c r="AO51" s="288"/>
      <c r="AP51" s="288"/>
      <c r="AQ51" s="288"/>
      <c r="AR51" s="288"/>
      <c r="AS51" s="288"/>
      <c r="AT51" s="287" t="s">
        <v>155</v>
      </c>
      <c r="AU51" s="288"/>
      <c r="AV51" s="288"/>
      <c r="AW51" s="288"/>
      <c r="AX51" s="288"/>
      <c r="AY51" s="288"/>
      <c r="AZ51" s="288"/>
      <c r="BA51" s="288"/>
      <c r="BB51" s="288"/>
      <c r="BC51" s="288"/>
      <c r="BD51" s="288"/>
      <c r="BE51" s="288"/>
      <c r="BF51" s="288"/>
      <c r="BG51" s="288"/>
      <c r="BH51" s="288"/>
      <c r="BI51" s="288"/>
      <c r="BJ51" s="288"/>
      <c r="BK51" s="288"/>
      <c r="BL51" s="288"/>
      <c r="BM51" s="288"/>
      <c r="BN51" s="288"/>
      <c r="BO51" s="288"/>
      <c r="BP51" s="288"/>
      <c r="BQ51" s="288"/>
      <c r="BR51" s="288"/>
      <c r="BS51" s="288"/>
      <c r="BT51" s="288"/>
      <c r="BU51" s="288"/>
      <c r="BV51" s="287" t="s">
        <v>156</v>
      </c>
      <c r="BW51" s="288"/>
      <c r="BX51" s="288"/>
      <c r="BY51" s="288"/>
      <c r="BZ51" s="288"/>
      <c r="CA51" s="288"/>
      <c r="CB51" s="288"/>
      <c r="CC51" s="288"/>
      <c r="CD51" s="288"/>
      <c r="CE51" s="288"/>
      <c r="CF51" s="288"/>
      <c r="CG51" s="308"/>
      <c r="CH51" s="309"/>
    </row>
    <row r="52" spans="1:86" s="2" customFormat="1" ht="15.75" customHeight="1">
      <c r="A52" s="286"/>
      <c r="B52" s="285"/>
      <c r="C52" s="289" t="s">
        <v>202</v>
      </c>
      <c r="D52" s="290"/>
      <c r="E52" s="290"/>
      <c r="F52" s="290"/>
      <c r="G52" s="290"/>
      <c r="H52" s="290"/>
      <c r="I52" s="290"/>
      <c r="J52" s="290"/>
      <c r="K52" s="290"/>
      <c r="L52" s="290"/>
      <c r="M52" s="290"/>
      <c r="N52" s="290"/>
      <c r="O52" s="290"/>
      <c r="P52" s="290"/>
      <c r="Q52" s="289"/>
      <c r="R52" s="290"/>
      <c r="S52" s="290"/>
      <c r="T52" s="290"/>
      <c r="U52" s="290"/>
      <c r="V52" s="290"/>
      <c r="W52" s="290"/>
      <c r="X52" s="290"/>
      <c r="Y52" s="290"/>
      <c r="Z52" s="290"/>
      <c r="AA52" s="290"/>
      <c r="AB52" s="290"/>
      <c r="AC52" s="290"/>
      <c r="AD52" s="290"/>
      <c r="AE52" s="290"/>
      <c r="AF52" s="290"/>
      <c r="AG52" s="290"/>
      <c r="AH52" s="290"/>
      <c r="AI52" s="290"/>
      <c r="AJ52" s="290"/>
      <c r="AK52" s="290"/>
      <c r="AL52" s="290"/>
      <c r="AM52" s="290"/>
      <c r="AN52" s="290"/>
      <c r="AO52" s="290"/>
      <c r="AP52" s="290"/>
      <c r="AQ52" s="290"/>
      <c r="AR52" s="290"/>
      <c r="AS52" s="290"/>
      <c r="AT52" s="289" t="s">
        <v>162</v>
      </c>
      <c r="AU52" s="290"/>
      <c r="AV52" s="290"/>
      <c r="AW52" s="290"/>
      <c r="AX52" s="290"/>
      <c r="AY52" s="290"/>
      <c r="AZ52" s="290"/>
      <c r="BA52" s="290"/>
      <c r="BB52" s="290"/>
      <c r="BC52" s="290"/>
      <c r="BD52" s="290"/>
      <c r="BE52" s="290"/>
      <c r="BF52" s="290"/>
      <c r="BG52" s="290"/>
      <c r="BH52" s="290"/>
      <c r="BI52" s="290"/>
      <c r="BJ52" s="290"/>
      <c r="BK52" s="290"/>
      <c r="BL52" s="290"/>
      <c r="BM52" s="290"/>
      <c r="BN52" s="290"/>
      <c r="BO52" s="290"/>
      <c r="BP52" s="290"/>
      <c r="BQ52" s="290"/>
      <c r="BR52" s="290"/>
      <c r="BS52" s="290"/>
      <c r="BT52" s="290"/>
      <c r="BU52" s="298"/>
      <c r="BV52" s="303" t="s">
        <v>203</v>
      </c>
      <c r="BW52" s="290"/>
      <c r="BX52" s="290"/>
      <c r="BY52" s="290"/>
      <c r="BZ52" s="290"/>
      <c r="CA52" s="290"/>
      <c r="CB52" s="290"/>
      <c r="CC52" s="290"/>
      <c r="CD52" s="290"/>
      <c r="CE52" s="290"/>
      <c r="CF52" s="290"/>
      <c r="CG52" s="298"/>
      <c r="CH52" s="309"/>
    </row>
    <row r="53" spans="1:86" s="2" customFormat="1" ht="15.75" customHeight="1">
      <c r="A53" s="286"/>
      <c r="B53" s="285"/>
      <c r="C53" s="291"/>
      <c r="D53" s="285"/>
      <c r="E53" s="285"/>
      <c r="F53" s="285"/>
      <c r="G53" s="285"/>
      <c r="H53" s="285"/>
      <c r="I53" s="285"/>
      <c r="J53" s="285"/>
      <c r="K53" s="285"/>
      <c r="L53" s="285"/>
      <c r="M53" s="285"/>
      <c r="N53" s="285"/>
      <c r="O53" s="285"/>
      <c r="P53" s="285"/>
      <c r="Q53" s="291"/>
      <c r="R53" s="285"/>
      <c r="S53" s="285"/>
      <c r="T53" s="285"/>
      <c r="U53" s="285"/>
      <c r="V53" s="285"/>
      <c r="W53" s="285"/>
      <c r="X53" s="285"/>
      <c r="Y53" s="285"/>
      <c r="Z53" s="285"/>
      <c r="AA53" s="285"/>
      <c r="AB53" s="285"/>
      <c r="AC53" s="285"/>
      <c r="AD53" s="285"/>
      <c r="AE53" s="285"/>
      <c r="AF53" s="285"/>
      <c r="AG53" s="285"/>
      <c r="AH53" s="285"/>
      <c r="AI53" s="285"/>
      <c r="AJ53" s="285"/>
      <c r="AK53" s="285"/>
      <c r="AL53" s="285"/>
      <c r="AM53" s="285"/>
      <c r="AN53" s="285"/>
      <c r="AO53" s="285"/>
      <c r="AP53" s="285"/>
      <c r="AQ53" s="285"/>
      <c r="AR53" s="285"/>
      <c r="AS53" s="285"/>
      <c r="AT53" s="291" t="s">
        <v>204</v>
      </c>
      <c r="AU53" s="285"/>
      <c r="AV53" s="285"/>
      <c r="AW53" s="285"/>
      <c r="AX53" s="285"/>
      <c r="AY53" s="285"/>
      <c r="AZ53" s="285"/>
      <c r="BA53" s="285"/>
      <c r="BB53" s="285"/>
      <c r="BC53" s="285"/>
      <c r="BD53" s="285"/>
      <c r="BE53" s="285"/>
      <c r="BF53" s="285"/>
      <c r="BG53" s="285"/>
      <c r="BH53" s="285"/>
      <c r="BI53" s="285"/>
      <c r="BJ53" s="285"/>
      <c r="BK53" s="285"/>
      <c r="BL53" s="285"/>
      <c r="BM53" s="285"/>
      <c r="BN53" s="285"/>
      <c r="BO53" s="285"/>
      <c r="BP53" s="285"/>
      <c r="BQ53" s="285"/>
      <c r="BR53" s="285"/>
      <c r="BS53" s="285"/>
      <c r="BT53" s="285"/>
      <c r="BU53" s="299"/>
      <c r="BV53" s="305"/>
      <c r="BW53" s="285"/>
      <c r="BX53" s="285"/>
      <c r="BY53" s="285"/>
      <c r="BZ53" s="285"/>
      <c r="CA53" s="285"/>
      <c r="CB53" s="285"/>
      <c r="CC53" s="285"/>
      <c r="CD53" s="285"/>
      <c r="CE53" s="285"/>
      <c r="CF53" s="285"/>
      <c r="CG53" s="299"/>
      <c r="CH53" s="309"/>
    </row>
    <row r="54" spans="1:86" s="2" customFormat="1" ht="15.75" customHeight="1">
      <c r="A54" s="286"/>
      <c r="B54" s="285"/>
      <c r="C54" s="292"/>
      <c r="D54" s="293"/>
      <c r="E54" s="293"/>
      <c r="F54" s="293"/>
      <c r="G54" s="293"/>
      <c r="H54" s="293"/>
      <c r="I54" s="293"/>
      <c r="J54" s="293"/>
      <c r="K54" s="293"/>
      <c r="L54" s="293"/>
      <c r="M54" s="293"/>
      <c r="N54" s="293"/>
      <c r="O54" s="293"/>
      <c r="P54" s="293"/>
      <c r="Q54" s="292"/>
      <c r="R54" s="293"/>
      <c r="S54" s="293"/>
      <c r="T54" s="293"/>
      <c r="U54" s="293"/>
      <c r="V54" s="293"/>
      <c r="W54" s="293"/>
      <c r="X54" s="293"/>
      <c r="Y54" s="293"/>
      <c r="Z54" s="293"/>
      <c r="AA54" s="293"/>
      <c r="AB54" s="293"/>
      <c r="AC54" s="293"/>
      <c r="AD54" s="293"/>
      <c r="AE54" s="293"/>
      <c r="AF54" s="293"/>
      <c r="AG54" s="293"/>
      <c r="AH54" s="293"/>
      <c r="AI54" s="293"/>
      <c r="AJ54" s="293"/>
      <c r="AK54" s="293"/>
      <c r="AL54" s="293"/>
      <c r="AM54" s="293"/>
      <c r="AN54" s="293"/>
      <c r="AO54" s="293"/>
      <c r="AP54" s="293"/>
      <c r="AQ54" s="293"/>
      <c r="AR54" s="293"/>
      <c r="AS54" s="293"/>
      <c r="AT54" s="292"/>
      <c r="AU54" s="293"/>
      <c r="AV54" s="293"/>
      <c r="AW54" s="293"/>
      <c r="AX54" s="293"/>
      <c r="AY54" s="293"/>
      <c r="AZ54" s="293"/>
      <c r="BA54" s="293"/>
      <c r="BB54" s="293"/>
      <c r="BC54" s="293"/>
      <c r="BD54" s="293"/>
      <c r="BE54" s="293"/>
      <c r="BF54" s="293"/>
      <c r="BG54" s="293"/>
      <c r="BH54" s="293"/>
      <c r="BI54" s="293"/>
      <c r="BJ54" s="293"/>
      <c r="BK54" s="293"/>
      <c r="BL54" s="293"/>
      <c r="BM54" s="293"/>
      <c r="BN54" s="293"/>
      <c r="BO54" s="293"/>
      <c r="BP54" s="293"/>
      <c r="BQ54" s="293"/>
      <c r="BR54" s="293"/>
      <c r="BS54" s="293"/>
      <c r="BT54" s="293"/>
      <c r="BU54" s="297"/>
      <c r="BV54" s="306"/>
      <c r="BW54" s="293"/>
      <c r="BX54" s="293"/>
      <c r="BY54" s="293"/>
      <c r="BZ54" s="293"/>
      <c r="CA54" s="293"/>
      <c r="CB54" s="293"/>
      <c r="CC54" s="293"/>
      <c r="CD54" s="293"/>
      <c r="CE54" s="293"/>
      <c r="CF54" s="293"/>
      <c r="CG54" s="297"/>
      <c r="CH54" s="309"/>
    </row>
    <row r="55" spans="1:86" s="2" customFormat="1" ht="15.75" customHeight="1">
      <c r="A55" s="286"/>
      <c r="B55" s="285"/>
      <c r="CH55" s="309"/>
    </row>
    <row r="56" spans="1:86" s="2" customFormat="1" ht="15.75" customHeight="1">
      <c r="A56" s="9"/>
      <c r="B56" s="284" t="s">
        <v>205</v>
      </c>
      <c r="C56" s="3"/>
      <c r="D56" s="3"/>
      <c r="Q56" s="94"/>
      <c r="AJ56" s="92"/>
      <c r="AK56" s="92"/>
      <c r="AL56" s="92"/>
      <c r="AM56" s="92"/>
      <c r="AN56" s="92"/>
      <c r="AO56" s="92"/>
      <c r="AP56" s="92"/>
      <c r="AQ56" s="92"/>
      <c r="AR56" s="92"/>
      <c r="AS56" s="92"/>
      <c r="AT56" s="92"/>
      <c r="AU56" s="92"/>
      <c r="AV56" s="92"/>
      <c r="AW56" s="92"/>
      <c r="AX56" s="92"/>
      <c r="AY56" s="92"/>
      <c r="AZ56" s="92"/>
      <c r="BA56" s="92"/>
      <c r="BB56" s="92"/>
      <c r="BC56" s="77"/>
      <c r="BD56" s="77"/>
      <c r="BE56" s="77"/>
      <c r="BF56" s="77"/>
      <c r="BG56" s="77"/>
      <c r="BH56" s="77"/>
      <c r="BI56" s="77"/>
      <c r="BJ56" s="77"/>
      <c r="BK56" s="77"/>
      <c r="BL56" s="77"/>
      <c r="BM56" s="77"/>
      <c r="BN56" s="77"/>
      <c r="BO56" s="77"/>
      <c r="BP56" s="77"/>
      <c r="BQ56" s="77"/>
      <c r="BR56" s="77"/>
      <c r="BS56" s="77"/>
      <c r="BT56" s="77"/>
      <c r="BU56" s="77"/>
      <c r="BV56" s="10"/>
      <c r="BW56" s="10"/>
      <c r="BX56" s="10"/>
      <c r="BY56" s="10"/>
      <c r="BZ56" s="10"/>
      <c r="CA56" s="10"/>
      <c r="CB56" s="10"/>
      <c r="CC56" s="10"/>
      <c r="CD56" s="10"/>
      <c r="CE56" s="10"/>
      <c r="CF56" s="10"/>
      <c r="CG56" s="10"/>
      <c r="CH56" s="51"/>
    </row>
    <row r="57" spans="1:86" s="2" customFormat="1" ht="15.75" customHeight="1">
      <c r="A57" s="9"/>
      <c r="B57" s="10"/>
      <c r="C57" s="284" t="s">
        <v>206</v>
      </c>
      <c r="D57" s="285"/>
      <c r="E57" s="285"/>
      <c r="F57" s="285"/>
      <c r="G57" s="285"/>
      <c r="H57" s="285"/>
      <c r="I57" s="285"/>
      <c r="J57" s="285"/>
      <c r="K57" s="285"/>
      <c r="L57" s="285"/>
      <c r="M57" s="285"/>
      <c r="N57" s="285"/>
      <c r="O57" s="285"/>
      <c r="P57" s="285"/>
      <c r="Q57" s="285"/>
      <c r="AJ57" s="92"/>
      <c r="AK57" s="92"/>
      <c r="AL57" s="92"/>
      <c r="AM57" s="92"/>
      <c r="AN57" s="92"/>
      <c r="AO57" s="92"/>
      <c r="AP57" s="92"/>
      <c r="AQ57" s="92"/>
      <c r="AR57" s="92"/>
      <c r="AS57" s="92"/>
      <c r="AT57" s="92"/>
      <c r="AU57" s="92"/>
      <c r="AV57" s="92"/>
      <c r="AW57" s="92"/>
      <c r="AX57" s="92"/>
      <c r="AY57" s="92"/>
      <c r="AZ57" s="92"/>
      <c r="BA57" s="92"/>
      <c r="BB57" s="92"/>
      <c r="BC57" s="77"/>
      <c r="BD57" s="77"/>
      <c r="BE57" s="77"/>
      <c r="BF57" s="77"/>
      <c r="BG57" s="77"/>
      <c r="BH57" s="77"/>
      <c r="BI57" s="77"/>
      <c r="BJ57" s="77"/>
      <c r="BK57" s="77"/>
      <c r="BL57" s="77"/>
      <c r="BM57" s="77"/>
      <c r="BN57" s="77"/>
      <c r="BO57" s="77"/>
      <c r="BP57" s="77"/>
      <c r="BQ57" s="77"/>
      <c r="BR57" s="77"/>
      <c r="BS57" s="77"/>
      <c r="BT57" s="77"/>
      <c r="BU57" s="77"/>
      <c r="BV57" s="10"/>
      <c r="BW57" s="10"/>
      <c r="BX57" s="10"/>
      <c r="BY57" s="10"/>
      <c r="BZ57" s="10"/>
      <c r="CA57" s="10"/>
      <c r="CB57" s="10"/>
      <c r="CC57" s="10"/>
      <c r="CD57" s="10"/>
      <c r="CE57" s="10"/>
      <c r="CF57" s="10"/>
      <c r="CG57" s="10"/>
      <c r="CH57" s="51"/>
    </row>
    <row r="58" spans="1:86" s="2" customFormat="1" ht="15.75" customHeight="1">
      <c r="A58" s="9"/>
      <c r="B58" s="10"/>
      <c r="C58" s="294" t="s">
        <v>207</v>
      </c>
      <c r="D58" s="295"/>
      <c r="E58" s="295"/>
      <c r="F58" s="295"/>
      <c r="G58" s="295"/>
      <c r="H58" s="295"/>
      <c r="I58" s="295"/>
      <c r="J58" s="295"/>
      <c r="K58" s="295"/>
      <c r="L58" s="295"/>
      <c r="M58" s="295"/>
      <c r="N58" s="295"/>
      <c r="O58" s="295"/>
      <c r="P58" s="295"/>
      <c r="Q58" s="295"/>
      <c r="R58" s="302"/>
      <c r="AJ58" s="92"/>
      <c r="AK58" s="92"/>
      <c r="AL58" s="92"/>
      <c r="AM58" s="92"/>
      <c r="AN58" s="92"/>
      <c r="AO58" s="92"/>
      <c r="AP58" s="92"/>
      <c r="AQ58" s="92"/>
      <c r="AR58" s="92"/>
      <c r="AS58" s="92"/>
      <c r="AT58" s="92"/>
      <c r="AU58" s="92"/>
      <c r="AV58" s="92"/>
      <c r="AW58" s="92"/>
      <c r="AX58" s="92"/>
      <c r="AY58" s="92"/>
      <c r="AZ58" s="92"/>
      <c r="BA58" s="92"/>
      <c r="BB58" s="92"/>
      <c r="BC58" s="77"/>
      <c r="BD58" s="77"/>
      <c r="BE58" s="77"/>
      <c r="BF58" s="77"/>
      <c r="BG58" s="77"/>
      <c r="BH58" s="77"/>
      <c r="BI58" s="77"/>
      <c r="BJ58" s="77"/>
      <c r="BK58" s="77"/>
      <c r="BL58" s="77"/>
      <c r="BM58" s="77"/>
      <c r="BN58" s="77"/>
      <c r="BO58" s="77"/>
      <c r="BP58" s="77"/>
      <c r="BQ58" s="77"/>
      <c r="BR58" s="77"/>
      <c r="BS58" s="77"/>
      <c r="BT58" s="77"/>
      <c r="BU58" s="77"/>
      <c r="BV58" s="10"/>
      <c r="BW58" s="10"/>
      <c r="BX58" s="10"/>
      <c r="BY58" s="10"/>
      <c r="BZ58" s="10"/>
      <c r="CA58" s="10"/>
      <c r="CB58" s="10"/>
      <c r="CC58" s="10"/>
      <c r="CD58" s="10"/>
      <c r="CE58" s="10"/>
      <c r="CF58" s="10"/>
      <c r="CG58" s="10"/>
      <c r="CH58" s="51"/>
    </row>
    <row r="59" spans="1:86" s="2" customFormat="1" ht="15.75" customHeight="1">
      <c r="A59" s="9"/>
      <c r="B59" s="10"/>
      <c r="C59" s="296"/>
      <c r="D59" s="295"/>
      <c r="E59" s="295"/>
      <c r="F59" s="295"/>
      <c r="G59" s="295"/>
      <c r="H59" s="295"/>
      <c r="I59" s="295"/>
      <c r="J59" s="295"/>
      <c r="K59" s="295"/>
      <c r="L59" s="295"/>
      <c r="M59" s="295"/>
      <c r="N59" s="295"/>
      <c r="O59" s="295"/>
      <c r="P59" s="295"/>
      <c r="Q59" s="295"/>
      <c r="R59" s="302"/>
      <c r="AJ59" s="92"/>
      <c r="AK59" s="92"/>
      <c r="AL59" s="92"/>
      <c r="AM59" s="92"/>
      <c r="AN59" s="92"/>
      <c r="AO59" s="92"/>
      <c r="AP59" s="92"/>
      <c r="AQ59" s="92"/>
      <c r="AR59" s="92"/>
      <c r="AS59" s="92"/>
      <c r="AT59" s="92"/>
      <c r="AU59" s="92"/>
      <c r="AV59" s="92"/>
      <c r="AW59" s="92"/>
      <c r="AX59" s="92"/>
      <c r="AY59" s="92"/>
      <c r="AZ59" s="92"/>
      <c r="BA59" s="92"/>
      <c r="BB59" s="92"/>
      <c r="BC59" s="77"/>
      <c r="BD59" s="77"/>
      <c r="BE59" s="77"/>
      <c r="BF59" s="77"/>
      <c r="BG59" s="77"/>
      <c r="BH59" s="77"/>
      <c r="BI59" s="77"/>
      <c r="BJ59" s="77"/>
      <c r="BK59" s="77"/>
      <c r="BL59" s="77"/>
      <c r="BM59" s="77"/>
      <c r="BN59" s="77"/>
      <c r="BO59" s="77"/>
      <c r="BP59" s="77"/>
      <c r="BQ59" s="77"/>
      <c r="BR59" s="77"/>
      <c r="BS59" s="77"/>
      <c r="BT59" s="77"/>
      <c r="BU59" s="77"/>
      <c r="BV59" s="10"/>
      <c r="BW59" s="10"/>
      <c r="BX59" s="10"/>
      <c r="BY59" s="10"/>
      <c r="BZ59" s="10"/>
      <c r="CA59" s="10"/>
      <c r="CB59" s="10"/>
      <c r="CC59" s="10"/>
      <c r="CD59" s="10"/>
      <c r="CE59" s="10"/>
      <c r="CF59" s="10"/>
      <c r="CG59" s="10"/>
      <c r="CH59" s="51"/>
    </row>
    <row r="60" spans="1:86" s="2" customFormat="1" ht="15.75" customHeight="1">
      <c r="A60" s="9"/>
      <c r="B60" s="10"/>
      <c r="C60" s="295"/>
      <c r="D60" s="295"/>
      <c r="E60" s="295"/>
      <c r="F60" s="295"/>
      <c r="G60" s="295"/>
      <c r="H60" s="295"/>
      <c r="I60" s="295"/>
      <c r="J60" s="295"/>
      <c r="K60" s="295"/>
      <c r="L60" s="295"/>
      <c r="M60" s="295"/>
      <c r="N60" s="295"/>
      <c r="O60" s="295"/>
      <c r="P60" s="295"/>
      <c r="Q60" s="295"/>
      <c r="R60" s="302"/>
      <c r="AJ60" s="92"/>
      <c r="AK60" s="92"/>
      <c r="AL60" s="92"/>
      <c r="AM60" s="92"/>
      <c r="AN60" s="92"/>
      <c r="AO60" s="92"/>
      <c r="AP60" s="92"/>
      <c r="AQ60" s="92"/>
      <c r="AR60" s="92"/>
      <c r="AS60" s="92"/>
      <c r="AT60" s="92"/>
      <c r="AU60" s="92"/>
      <c r="AV60" s="92"/>
      <c r="AW60" s="92"/>
      <c r="AX60" s="92"/>
      <c r="AY60" s="92"/>
      <c r="AZ60" s="92"/>
      <c r="BA60" s="92"/>
      <c r="BB60" s="92"/>
      <c r="BC60" s="77"/>
      <c r="BD60" s="77"/>
      <c r="BE60" s="77"/>
      <c r="BF60" s="77"/>
      <c r="BG60" s="77"/>
      <c r="BH60" s="77"/>
      <c r="BI60" s="77"/>
      <c r="BJ60" s="77"/>
      <c r="BK60" s="77"/>
      <c r="BL60" s="77"/>
      <c r="BM60" s="77"/>
      <c r="BN60" s="77"/>
      <c r="BO60" s="77"/>
      <c r="BP60" s="77"/>
      <c r="BQ60" s="77"/>
      <c r="BR60" s="77"/>
      <c r="BS60" s="77"/>
      <c r="BT60" s="77"/>
      <c r="BU60" s="77"/>
      <c r="BV60" s="10"/>
      <c r="BW60" s="10"/>
      <c r="BX60" s="10"/>
      <c r="BY60" s="10"/>
      <c r="BZ60" s="10"/>
      <c r="CA60" s="10"/>
      <c r="CB60" s="10"/>
      <c r="CC60" s="10"/>
      <c r="CD60" s="10"/>
      <c r="CE60" s="10"/>
      <c r="CF60" s="10"/>
      <c r="CG60" s="10"/>
      <c r="CH60" s="51"/>
    </row>
    <row r="61" spans="1:86" s="2" customFormat="1" ht="15.75" customHeight="1">
      <c r="A61" s="9"/>
      <c r="B61" s="10"/>
      <c r="C61" s="295"/>
      <c r="D61" s="295"/>
      <c r="E61" s="295"/>
      <c r="F61" s="295"/>
      <c r="G61" s="295"/>
      <c r="H61" s="295"/>
      <c r="I61" s="295"/>
      <c r="J61" s="295"/>
      <c r="K61" s="295"/>
      <c r="L61" s="295"/>
      <c r="M61" s="295"/>
      <c r="N61" s="295"/>
      <c r="O61" s="295"/>
      <c r="P61" s="295"/>
      <c r="Q61" s="295"/>
      <c r="R61" s="302"/>
      <c r="AJ61" s="92"/>
      <c r="AK61" s="92"/>
      <c r="AL61" s="92"/>
      <c r="AM61" s="92"/>
      <c r="AN61" s="92"/>
      <c r="AO61" s="92"/>
      <c r="AP61" s="92"/>
      <c r="AQ61" s="92"/>
      <c r="AR61" s="92"/>
      <c r="AS61" s="92"/>
      <c r="AT61" s="92"/>
      <c r="AU61" s="92"/>
      <c r="AV61" s="92"/>
      <c r="AW61" s="92"/>
      <c r="AX61" s="92"/>
      <c r="AY61" s="92"/>
      <c r="AZ61" s="92"/>
      <c r="BA61" s="92"/>
      <c r="BB61" s="92"/>
      <c r="BC61" s="77"/>
      <c r="BD61" s="77"/>
      <c r="BE61" s="77"/>
      <c r="BF61" s="77"/>
      <c r="BG61" s="77"/>
      <c r="BH61" s="77"/>
      <c r="BI61" s="77"/>
      <c r="BJ61" s="77"/>
      <c r="BK61" s="77"/>
      <c r="BL61" s="77"/>
      <c r="BM61" s="77"/>
      <c r="BN61" s="77"/>
      <c r="BO61" s="77"/>
      <c r="BP61" s="77"/>
      <c r="BQ61" s="77"/>
      <c r="BR61" s="77"/>
      <c r="BS61" s="77"/>
      <c r="BT61" s="77"/>
      <c r="BU61" s="77"/>
      <c r="BV61" s="10"/>
      <c r="BW61" s="10"/>
      <c r="BX61" s="10"/>
      <c r="BY61" s="10"/>
      <c r="BZ61" s="10"/>
      <c r="CA61" s="10"/>
      <c r="CB61" s="10"/>
      <c r="CC61" s="10"/>
      <c r="CD61" s="10"/>
      <c r="CE61" s="10"/>
      <c r="CF61" s="10"/>
      <c r="CG61" s="10"/>
      <c r="CH61" s="51"/>
    </row>
    <row r="62" spans="1:86" s="2" customFormat="1" ht="15.75" customHeight="1">
      <c r="A62" s="9"/>
      <c r="B62" s="10"/>
      <c r="C62" s="295"/>
      <c r="D62" s="295"/>
      <c r="E62" s="295"/>
      <c r="F62" s="295"/>
      <c r="G62" s="295"/>
      <c r="H62" s="295"/>
      <c r="I62" s="295"/>
      <c r="J62" s="295"/>
      <c r="K62" s="295"/>
      <c r="L62" s="295"/>
      <c r="M62" s="295"/>
      <c r="N62" s="295"/>
      <c r="O62" s="295"/>
      <c r="P62" s="295"/>
      <c r="Q62" s="295"/>
      <c r="R62" s="302"/>
      <c r="AJ62" s="92"/>
      <c r="AK62" s="92"/>
      <c r="AL62" s="92"/>
      <c r="AM62" s="92"/>
      <c r="AN62" s="92"/>
      <c r="AO62" s="92"/>
      <c r="AP62" s="92"/>
      <c r="AQ62" s="92"/>
      <c r="AR62" s="92"/>
      <c r="AS62" s="92"/>
      <c r="AT62" s="92"/>
      <c r="AU62" s="92"/>
      <c r="AV62" s="92"/>
      <c r="AW62" s="92"/>
      <c r="AX62" s="92"/>
      <c r="AY62" s="92"/>
      <c r="AZ62" s="92"/>
      <c r="BA62" s="92"/>
      <c r="BB62" s="92"/>
      <c r="BC62" s="77"/>
      <c r="BD62" s="77"/>
      <c r="BE62" s="77"/>
      <c r="BF62" s="77"/>
      <c r="BG62" s="77"/>
      <c r="BH62" s="77"/>
      <c r="BI62" s="77"/>
      <c r="BJ62" s="77"/>
      <c r="BK62" s="77"/>
      <c r="BL62" s="77"/>
      <c r="BM62" s="77"/>
      <c r="BN62" s="77"/>
      <c r="BO62" s="77"/>
      <c r="BP62" s="77"/>
      <c r="BQ62" s="77"/>
      <c r="BR62" s="77"/>
      <c r="BS62" s="77"/>
      <c r="BT62" s="77"/>
      <c r="BU62" s="77"/>
      <c r="BV62" s="10"/>
      <c r="BW62" s="10"/>
      <c r="BX62" s="10"/>
      <c r="BY62" s="10"/>
      <c r="BZ62" s="10"/>
      <c r="CA62" s="10"/>
      <c r="CB62" s="10"/>
      <c r="CC62" s="10"/>
      <c r="CD62" s="10"/>
      <c r="CE62" s="10"/>
      <c r="CF62" s="10"/>
      <c r="CG62" s="10"/>
      <c r="CH62" s="51"/>
    </row>
    <row r="63" spans="1:86" s="2" customFormat="1" ht="15.75" customHeight="1">
      <c r="A63" s="9"/>
      <c r="B63" s="10"/>
      <c r="C63" s="295"/>
      <c r="D63" s="295"/>
      <c r="E63" s="295"/>
      <c r="F63" s="295"/>
      <c r="G63" s="295"/>
      <c r="H63" s="295"/>
      <c r="I63" s="295"/>
      <c r="J63" s="295"/>
      <c r="K63" s="295"/>
      <c r="L63" s="295"/>
      <c r="M63" s="295"/>
      <c r="N63" s="295"/>
      <c r="O63" s="295"/>
      <c r="P63" s="295"/>
      <c r="Q63" s="295"/>
      <c r="R63" s="302"/>
      <c r="AJ63" s="92"/>
      <c r="AK63" s="92"/>
      <c r="AL63" s="92"/>
      <c r="AM63" s="92"/>
      <c r="AN63" s="92"/>
      <c r="AO63" s="92"/>
      <c r="AP63" s="92"/>
      <c r="AQ63" s="92"/>
      <c r="AR63" s="92"/>
      <c r="AS63" s="92"/>
      <c r="AT63" s="92"/>
      <c r="AU63" s="92"/>
      <c r="AV63" s="92"/>
      <c r="AW63" s="92"/>
      <c r="AX63" s="92"/>
      <c r="AY63" s="92"/>
      <c r="AZ63" s="92"/>
      <c r="BA63" s="92"/>
      <c r="BB63" s="92"/>
      <c r="BC63" s="77"/>
      <c r="BD63" s="77"/>
      <c r="BE63" s="77"/>
      <c r="BF63" s="77"/>
      <c r="BG63" s="77"/>
      <c r="BH63" s="77"/>
      <c r="BI63" s="77"/>
      <c r="BJ63" s="77"/>
      <c r="BK63" s="77"/>
      <c r="BL63" s="77"/>
      <c r="BM63" s="77"/>
      <c r="BN63" s="77"/>
      <c r="BO63" s="77"/>
      <c r="BP63" s="77"/>
      <c r="BQ63" s="77"/>
      <c r="BR63" s="77"/>
      <c r="BS63" s="77"/>
      <c r="BT63" s="77"/>
      <c r="BU63" s="77"/>
      <c r="BV63" s="10"/>
      <c r="BW63" s="10"/>
      <c r="BX63" s="10"/>
      <c r="BY63" s="10"/>
      <c r="BZ63" s="10"/>
      <c r="CA63" s="10"/>
      <c r="CB63" s="10"/>
      <c r="CC63" s="10"/>
      <c r="CD63" s="10"/>
      <c r="CE63" s="10"/>
      <c r="CF63" s="10"/>
      <c r="CG63" s="10"/>
      <c r="CH63" s="51"/>
    </row>
    <row r="64" spans="1:86" s="2" customFormat="1" ht="15.75" customHeight="1">
      <c r="A64" s="9"/>
      <c r="B64" s="10"/>
      <c r="C64" s="295"/>
      <c r="D64" s="295"/>
      <c r="E64" s="295"/>
      <c r="F64" s="295"/>
      <c r="G64" s="295"/>
      <c r="H64" s="295"/>
      <c r="I64" s="295"/>
      <c r="J64" s="295"/>
      <c r="K64" s="295"/>
      <c r="L64" s="295"/>
      <c r="M64" s="295"/>
      <c r="N64" s="295"/>
      <c r="O64" s="295"/>
      <c r="P64" s="295"/>
      <c r="Q64" s="295"/>
      <c r="R64" s="302"/>
      <c r="AJ64" s="92"/>
      <c r="AK64" s="92"/>
      <c r="AL64" s="92"/>
      <c r="AM64" s="92"/>
      <c r="AN64" s="92"/>
      <c r="AO64" s="92"/>
      <c r="AP64" s="92"/>
      <c r="AQ64" s="92"/>
      <c r="AR64" s="92"/>
      <c r="AS64" s="92"/>
      <c r="AT64" s="92"/>
      <c r="AU64" s="92"/>
      <c r="AV64" s="92"/>
      <c r="AW64" s="92"/>
      <c r="AX64" s="92"/>
      <c r="AY64" s="92"/>
      <c r="AZ64" s="92"/>
      <c r="BA64" s="92"/>
      <c r="BB64" s="92"/>
      <c r="BC64" s="77"/>
      <c r="BD64" s="77"/>
      <c r="BE64" s="77"/>
      <c r="BF64" s="77"/>
      <c r="BG64" s="77"/>
      <c r="BH64" s="77"/>
      <c r="BI64" s="77"/>
      <c r="BJ64" s="77"/>
      <c r="BK64" s="77"/>
      <c r="BL64" s="77"/>
      <c r="BM64" s="77"/>
      <c r="BN64" s="77"/>
      <c r="BO64" s="77"/>
      <c r="BP64" s="77"/>
      <c r="BQ64" s="77"/>
      <c r="BR64" s="77"/>
      <c r="BS64" s="77"/>
      <c r="BT64" s="77"/>
      <c r="BU64" s="77"/>
      <c r="BV64" s="10"/>
      <c r="BW64" s="10"/>
      <c r="BX64" s="10"/>
      <c r="BY64" s="10"/>
      <c r="BZ64" s="10"/>
      <c r="CA64" s="10"/>
      <c r="CB64" s="10"/>
      <c r="CC64" s="10"/>
      <c r="CD64" s="10"/>
      <c r="CE64" s="10"/>
      <c r="CF64" s="10"/>
      <c r="CG64" s="10"/>
      <c r="CH64" s="51"/>
    </row>
    <row r="65" spans="1:86" s="2" customFormat="1" ht="15.75" customHeight="1">
      <c r="A65" s="9"/>
      <c r="B65" s="10"/>
      <c r="C65" s="295"/>
      <c r="D65" s="295"/>
      <c r="E65" s="295"/>
      <c r="F65" s="295"/>
      <c r="G65" s="295"/>
      <c r="H65" s="295"/>
      <c r="I65" s="295"/>
      <c r="J65" s="295"/>
      <c r="K65" s="295"/>
      <c r="L65" s="295"/>
      <c r="M65" s="295"/>
      <c r="N65" s="295"/>
      <c r="O65" s="295"/>
      <c r="P65" s="295"/>
      <c r="Q65" s="295"/>
      <c r="R65" s="302"/>
      <c r="AJ65" s="92"/>
      <c r="AK65" s="92"/>
      <c r="AL65" s="92"/>
      <c r="AM65" s="92"/>
      <c r="AN65" s="92"/>
      <c r="AO65" s="92"/>
      <c r="AP65" s="92"/>
      <c r="AQ65" s="92"/>
      <c r="AR65" s="92"/>
      <c r="AS65" s="92"/>
      <c r="AT65" s="92"/>
      <c r="AU65" s="92"/>
      <c r="AV65" s="92"/>
      <c r="AW65" s="92"/>
      <c r="AX65" s="92"/>
      <c r="AY65" s="92"/>
      <c r="AZ65" s="92"/>
      <c r="BA65" s="92"/>
      <c r="BB65" s="92"/>
      <c r="BC65" s="77"/>
      <c r="BD65" s="77"/>
      <c r="BE65" s="77"/>
      <c r="BF65" s="77"/>
      <c r="BG65" s="77"/>
      <c r="BH65" s="77"/>
      <c r="BI65" s="77"/>
      <c r="BJ65" s="77"/>
      <c r="BK65" s="77"/>
      <c r="BL65" s="77"/>
      <c r="BM65" s="77"/>
      <c r="BN65" s="77"/>
      <c r="BO65" s="77"/>
      <c r="BP65" s="77"/>
      <c r="BQ65" s="77"/>
      <c r="BR65" s="77"/>
      <c r="BS65" s="77"/>
      <c r="BT65" s="77"/>
      <c r="BU65" s="77"/>
      <c r="BV65" s="10"/>
      <c r="BW65" s="10"/>
      <c r="BX65" s="10"/>
      <c r="BY65" s="10"/>
      <c r="BZ65" s="10"/>
      <c r="CA65" s="10"/>
      <c r="CB65" s="10"/>
      <c r="CC65" s="10"/>
      <c r="CD65" s="10"/>
      <c r="CE65" s="10"/>
      <c r="CF65" s="10"/>
      <c r="CG65" s="10"/>
      <c r="CH65" s="51"/>
    </row>
    <row r="66" spans="1:86" s="2" customFormat="1" ht="15.75" customHeight="1">
      <c r="A66" s="9"/>
      <c r="B66" s="10"/>
      <c r="C66" s="311"/>
      <c r="D66" s="311"/>
      <c r="E66" s="311"/>
      <c r="F66" s="311"/>
      <c r="G66" s="311"/>
      <c r="H66" s="311"/>
      <c r="I66" s="311"/>
      <c r="J66" s="311"/>
      <c r="K66" s="311"/>
      <c r="L66" s="311"/>
      <c r="M66" s="311"/>
      <c r="N66" s="311"/>
      <c r="O66" s="311"/>
      <c r="P66" s="311"/>
      <c r="Q66" s="311"/>
      <c r="R66" s="92"/>
      <c r="S66" s="92"/>
      <c r="T66" s="315" t="s">
        <v>208</v>
      </c>
      <c r="U66" s="316"/>
      <c r="V66" s="316"/>
      <c r="W66" s="316"/>
      <c r="X66" s="316"/>
      <c r="Y66" s="316"/>
      <c r="Z66" s="316"/>
      <c r="AA66" s="316"/>
      <c r="AB66" s="316"/>
      <c r="AC66" s="316"/>
      <c r="AD66" s="316"/>
      <c r="AE66" s="316"/>
      <c r="AF66" s="316"/>
      <c r="AG66" s="316"/>
      <c r="AH66" s="316"/>
      <c r="AI66" s="316"/>
      <c r="AJ66" s="316"/>
      <c r="AK66" s="316"/>
      <c r="AL66" s="316"/>
      <c r="AM66" s="316"/>
      <c r="AN66" s="316"/>
      <c r="AO66" s="316"/>
      <c r="AP66" s="316"/>
      <c r="AQ66" s="316"/>
      <c r="AR66" s="316"/>
      <c r="AS66" s="316"/>
      <c r="AT66" s="316"/>
      <c r="AU66" s="316"/>
      <c r="AV66" s="316"/>
      <c r="AW66" s="316"/>
      <c r="AX66" s="316"/>
      <c r="AY66" s="316"/>
      <c r="AZ66" s="316"/>
      <c r="BA66" s="92"/>
      <c r="BB66" s="92"/>
      <c r="BC66" s="77"/>
      <c r="BD66" s="77"/>
      <c r="BE66" s="77"/>
      <c r="BF66" s="77"/>
      <c r="BG66" s="77"/>
      <c r="BH66" s="77"/>
      <c r="BI66" s="77"/>
      <c r="BJ66" s="77"/>
      <c r="BK66" s="77"/>
      <c r="BL66" s="77"/>
      <c r="BM66" s="77"/>
      <c r="BN66" s="77"/>
      <c r="BO66" s="77"/>
      <c r="BP66" s="77"/>
      <c r="BQ66" s="77"/>
      <c r="BR66" s="77"/>
      <c r="BS66" s="77"/>
      <c r="BT66" s="77"/>
      <c r="BU66" s="10"/>
      <c r="BV66" s="10"/>
      <c r="BW66" s="10"/>
      <c r="BX66" s="10"/>
      <c r="BY66" s="10"/>
      <c r="BZ66" s="10"/>
      <c r="CA66" s="10"/>
      <c r="CB66" s="10"/>
      <c r="CC66" s="10"/>
      <c r="CD66" s="10"/>
      <c r="CE66" s="10"/>
      <c r="CF66" s="10"/>
      <c r="CG66" s="10"/>
      <c r="CH66" s="51"/>
    </row>
    <row r="67" spans="1:86" s="2" customFormat="1" ht="15.75" customHeight="1">
      <c r="A67" s="9"/>
      <c r="B67" s="10"/>
      <c r="C67" s="311"/>
      <c r="D67" s="311"/>
      <c r="E67" s="311"/>
      <c r="F67" s="311"/>
      <c r="G67" s="311"/>
      <c r="H67" s="311"/>
      <c r="I67" s="311"/>
      <c r="J67" s="311"/>
      <c r="K67" s="311"/>
      <c r="L67" s="311"/>
      <c r="M67" s="311"/>
      <c r="N67" s="311"/>
      <c r="O67" s="311"/>
      <c r="P67" s="311"/>
      <c r="Q67" s="311"/>
      <c r="R67" s="92"/>
      <c r="S67" s="92"/>
      <c r="T67" s="316"/>
      <c r="U67" s="316"/>
      <c r="V67" s="316"/>
      <c r="W67" s="316"/>
      <c r="X67" s="316"/>
      <c r="Y67" s="316"/>
      <c r="Z67" s="316"/>
      <c r="AA67" s="316"/>
      <c r="AB67" s="316"/>
      <c r="AC67" s="316"/>
      <c r="AD67" s="316"/>
      <c r="AE67" s="316"/>
      <c r="AF67" s="316"/>
      <c r="AG67" s="316"/>
      <c r="AH67" s="316"/>
      <c r="AI67" s="316"/>
      <c r="AJ67" s="316"/>
      <c r="AK67" s="316"/>
      <c r="AL67" s="316"/>
      <c r="AM67" s="316"/>
      <c r="AN67" s="316"/>
      <c r="AO67" s="316"/>
      <c r="AP67" s="316"/>
      <c r="AQ67" s="316"/>
      <c r="AR67" s="316"/>
      <c r="AS67" s="316"/>
      <c r="AT67" s="316"/>
      <c r="AU67" s="316"/>
      <c r="AV67" s="316"/>
      <c r="AW67" s="316"/>
      <c r="AX67" s="316"/>
      <c r="AY67" s="316"/>
      <c r="AZ67" s="316"/>
      <c r="BA67" s="92"/>
      <c r="BB67" s="92"/>
      <c r="BC67" s="77"/>
      <c r="BD67" s="77"/>
      <c r="BE67" s="77"/>
      <c r="BF67" s="77"/>
      <c r="BG67" s="77"/>
      <c r="BH67" s="77"/>
      <c r="BI67" s="77"/>
      <c r="BJ67" s="77"/>
      <c r="BK67" s="77"/>
      <c r="BL67" s="77"/>
      <c r="BM67" s="77"/>
      <c r="BN67" s="77"/>
      <c r="BO67" s="77"/>
      <c r="BP67" s="77"/>
      <c r="BQ67" s="77"/>
      <c r="BR67" s="77"/>
      <c r="BS67" s="77"/>
      <c r="BT67" s="77"/>
      <c r="BU67" s="10"/>
      <c r="BV67" s="10"/>
      <c r="BW67" s="10"/>
      <c r="BX67" s="10"/>
      <c r="BY67" s="10"/>
      <c r="BZ67" s="10"/>
      <c r="CA67" s="10"/>
      <c r="CB67" s="10"/>
      <c r="CC67" s="10"/>
      <c r="CD67" s="10"/>
      <c r="CE67" s="10"/>
      <c r="CF67" s="10"/>
      <c r="CG67" s="10"/>
      <c r="CH67" s="51"/>
    </row>
    <row r="68" spans="1:86" s="2" customFormat="1" ht="15.75" customHeight="1">
      <c r="A68" s="9"/>
      <c r="B68" s="10"/>
      <c r="C68" s="311"/>
      <c r="D68" s="311"/>
      <c r="E68" s="311"/>
      <c r="F68" s="311"/>
      <c r="G68" s="311"/>
      <c r="H68" s="311"/>
      <c r="I68" s="311"/>
      <c r="J68" s="311"/>
      <c r="K68" s="311"/>
      <c r="L68" s="311"/>
      <c r="M68" s="311"/>
      <c r="N68" s="311"/>
      <c r="O68" s="311"/>
      <c r="P68" s="311"/>
      <c r="Q68" s="311"/>
      <c r="R68" s="92"/>
      <c r="S68" s="92"/>
      <c r="T68" s="316"/>
      <c r="U68" s="316"/>
      <c r="V68" s="316"/>
      <c r="W68" s="316"/>
      <c r="X68" s="316"/>
      <c r="Y68" s="316"/>
      <c r="Z68" s="316"/>
      <c r="AA68" s="316"/>
      <c r="AB68" s="316"/>
      <c r="AC68" s="316"/>
      <c r="AD68" s="316"/>
      <c r="AE68" s="316"/>
      <c r="AF68" s="316"/>
      <c r="AG68" s="316"/>
      <c r="AH68" s="316"/>
      <c r="AI68" s="316"/>
      <c r="AJ68" s="316"/>
      <c r="AK68" s="316"/>
      <c r="AL68" s="316"/>
      <c r="AM68" s="316"/>
      <c r="AN68" s="316"/>
      <c r="AO68" s="316"/>
      <c r="AP68" s="316"/>
      <c r="AQ68" s="316"/>
      <c r="AR68" s="316"/>
      <c r="AS68" s="316"/>
      <c r="AT68" s="316"/>
      <c r="AU68" s="316"/>
      <c r="AV68" s="316"/>
      <c r="AW68" s="316"/>
      <c r="AX68" s="316"/>
      <c r="AY68" s="316"/>
      <c r="AZ68" s="316"/>
      <c r="BA68" s="92"/>
      <c r="BB68" s="92"/>
      <c r="BC68" s="77"/>
      <c r="BD68" s="77"/>
      <c r="BE68" s="77"/>
      <c r="BF68" s="77"/>
      <c r="BG68" s="77"/>
      <c r="BH68" s="77"/>
      <c r="BI68" s="77"/>
      <c r="BJ68" s="77"/>
      <c r="BK68" s="77"/>
      <c r="BL68" s="77"/>
      <c r="BM68" s="77"/>
      <c r="BN68" s="77"/>
      <c r="BO68" s="77"/>
      <c r="BP68" s="77"/>
      <c r="BQ68" s="77"/>
      <c r="BR68" s="77"/>
      <c r="BS68" s="77"/>
      <c r="BT68" s="77"/>
      <c r="BU68" s="10"/>
      <c r="BV68" s="10"/>
      <c r="BW68" s="10"/>
      <c r="BX68" s="10"/>
      <c r="BY68" s="10"/>
      <c r="BZ68" s="10"/>
      <c r="CA68" s="10"/>
      <c r="CB68" s="10"/>
      <c r="CC68" s="10"/>
      <c r="CD68" s="10"/>
      <c r="CE68" s="10"/>
      <c r="CF68" s="10"/>
      <c r="CG68" s="10"/>
      <c r="CH68" s="51"/>
    </row>
    <row r="69" spans="1:86" s="2" customFormat="1" ht="15.75" customHeight="1">
      <c r="A69" s="9"/>
      <c r="B69" s="10"/>
      <c r="C69" s="311"/>
      <c r="D69" s="311"/>
      <c r="E69" s="311"/>
      <c r="F69" s="311"/>
      <c r="G69" s="311"/>
      <c r="H69" s="311"/>
      <c r="I69" s="311"/>
      <c r="J69" s="311"/>
      <c r="K69" s="311"/>
      <c r="L69" s="311"/>
      <c r="M69" s="311"/>
      <c r="N69" s="311"/>
      <c r="O69" s="311"/>
      <c r="P69" s="311"/>
      <c r="Q69" s="311"/>
      <c r="R69" s="92"/>
      <c r="S69" s="92"/>
      <c r="T69" s="316"/>
      <c r="U69" s="316"/>
      <c r="V69" s="316"/>
      <c r="W69" s="316"/>
      <c r="X69" s="316"/>
      <c r="Y69" s="316"/>
      <c r="Z69" s="316"/>
      <c r="AA69" s="316"/>
      <c r="AB69" s="316"/>
      <c r="AC69" s="316"/>
      <c r="AD69" s="316"/>
      <c r="AE69" s="316"/>
      <c r="AF69" s="316"/>
      <c r="AG69" s="316"/>
      <c r="AH69" s="316"/>
      <c r="AI69" s="316"/>
      <c r="AJ69" s="316"/>
      <c r="AK69" s="316"/>
      <c r="AL69" s="316"/>
      <c r="AM69" s="316"/>
      <c r="AN69" s="316"/>
      <c r="AO69" s="316"/>
      <c r="AP69" s="316"/>
      <c r="AQ69" s="316"/>
      <c r="AR69" s="316"/>
      <c r="AS69" s="316"/>
      <c r="AT69" s="316"/>
      <c r="AU69" s="316"/>
      <c r="AV69" s="316"/>
      <c r="AW69" s="316"/>
      <c r="AX69" s="316"/>
      <c r="AY69" s="316"/>
      <c r="AZ69" s="316"/>
      <c r="BA69" s="92"/>
      <c r="BB69" s="92"/>
      <c r="BC69" s="77"/>
      <c r="BD69" s="77"/>
      <c r="BE69" s="77"/>
      <c r="BF69" s="77"/>
      <c r="BG69" s="77"/>
      <c r="BH69" s="77"/>
      <c r="BI69" s="77"/>
      <c r="BJ69" s="77"/>
      <c r="BK69" s="77"/>
      <c r="BL69" s="77"/>
      <c r="BM69" s="77"/>
      <c r="BN69" s="77"/>
      <c r="BO69" s="77"/>
      <c r="BP69" s="77"/>
      <c r="BQ69" s="77"/>
      <c r="BR69" s="77"/>
      <c r="BS69" s="77"/>
      <c r="BT69" s="77"/>
      <c r="BU69" s="10"/>
      <c r="BV69" s="10"/>
      <c r="BW69" s="10"/>
      <c r="BX69" s="10"/>
      <c r="BY69" s="10"/>
      <c r="BZ69" s="10"/>
      <c r="CA69" s="10"/>
      <c r="CB69" s="10"/>
      <c r="CC69" s="10"/>
      <c r="CD69" s="10"/>
      <c r="CE69" s="10"/>
      <c r="CF69" s="10"/>
      <c r="CG69" s="10"/>
      <c r="CH69" s="51"/>
    </row>
    <row r="70" spans="1:86" s="2" customFormat="1" ht="15.75" customHeight="1">
      <c r="A70" s="9"/>
      <c r="B70" s="10"/>
      <c r="C70" s="311"/>
      <c r="D70" s="311"/>
      <c r="E70" s="311"/>
      <c r="F70" s="311"/>
      <c r="G70" s="311"/>
      <c r="H70" s="311"/>
      <c r="I70" s="311"/>
      <c r="J70" s="311"/>
      <c r="K70" s="311"/>
      <c r="L70" s="311"/>
      <c r="M70" s="311"/>
      <c r="N70" s="311"/>
      <c r="O70" s="311"/>
      <c r="P70" s="311"/>
      <c r="Q70" s="311"/>
      <c r="R70" s="92"/>
      <c r="S70" s="92"/>
      <c r="T70" s="316"/>
      <c r="U70" s="316"/>
      <c r="V70" s="316"/>
      <c r="W70" s="316"/>
      <c r="X70" s="316"/>
      <c r="Y70" s="316"/>
      <c r="Z70" s="316"/>
      <c r="AA70" s="316"/>
      <c r="AB70" s="316"/>
      <c r="AC70" s="316"/>
      <c r="AD70" s="316"/>
      <c r="AE70" s="316"/>
      <c r="AF70" s="316"/>
      <c r="AG70" s="316"/>
      <c r="AH70" s="316"/>
      <c r="AI70" s="316"/>
      <c r="AJ70" s="316"/>
      <c r="AK70" s="316"/>
      <c r="AL70" s="316"/>
      <c r="AM70" s="316"/>
      <c r="AN70" s="316"/>
      <c r="AO70" s="316"/>
      <c r="AP70" s="316"/>
      <c r="AQ70" s="316"/>
      <c r="AR70" s="316"/>
      <c r="AS70" s="316"/>
      <c r="AT70" s="316"/>
      <c r="AU70" s="316"/>
      <c r="AV70" s="316"/>
      <c r="AW70" s="316"/>
      <c r="AX70" s="316"/>
      <c r="AY70" s="316"/>
      <c r="AZ70" s="316"/>
      <c r="BA70" s="92"/>
      <c r="BB70" s="92"/>
      <c r="BC70" s="77"/>
      <c r="BD70" s="77"/>
      <c r="BE70" s="77"/>
      <c r="BF70" s="77"/>
      <c r="BG70" s="77"/>
      <c r="BH70" s="77"/>
      <c r="BI70" s="77"/>
      <c r="BJ70" s="77"/>
      <c r="BK70" s="77"/>
      <c r="BL70" s="77"/>
      <c r="BM70" s="77"/>
      <c r="BN70" s="77"/>
      <c r="BO70" s="77"/>
      <c r="BP70" s="77"/>
      <c r="BQ70" s="77"/>
      <c r="BR70" s="77"/>
      <c r="BS70" s="77"/>
      <c r="BT70" s="77"/>
      <c r="BU70" s="10"/>
      <c r="BV70" s="10"/>
      <c r="BW70" s="10"/>
      <c r="BX70" s="10"/>
      <c r="BY70" s="10"/>
      <c r="BZ70" s="10"/>
      <c r="CA70" s="10"/>
      <c r="CB70" s="10"/>
      <c r="CC70" s="10"/>
      <c r="CD70" s="10"/>
      <c r="CE70" s="10"/>
      <c r="CF70" s="10"/>
      <c r="CG70" s="10"/>
      <c r="CH70" s="51"/>
    </row>
    <row r="71" spans="1:86" s="2" customFormat="1" ht="15.75" customHeight="1">
      <c r="A71" s="9"/>
      <c r="B71" s="10"/>
      <c r="C71" s="311"/>
      <c r="D71" s="311"/>
      <c r="E71" s="311"/>
      <c r="F71" s="311"/>
      <c r="G71" s="311"/>
      <c r="H71" s="311"/>
      <c r="I71" s="311"/>
      <c r="J71" s="311"/>
      <c r="K71" s="311"/>
      <c r="L71" s="311"/>
      <c r="M71" s="311"/>
      <c r="N71" s="311"/>
      <c r="O71" s="311"/>
      <c r="P71" s="311"/>
      <c r="Q71" s="311"/>
      <c r="R71" s="92"/>
      <c r="S71" s="92"/>
      <c r="T71" s="316"/>
      <c r="U71" s="316"/>
      <c r="V71" s="316"/>
      <c r="W71" s="316"/>
      <c r="X71" s="316"/>
      <c r="Y71" s="316"/>
      <c r="Z71" s="316"/>
      <c r="AA71" s="316"/>
      <c r="AB71" s="316"/>
      <c r="AC71" s="316"/>
      <c r="AD71" s="316"/>
      <c r="AE71" s="316"/>
      <c r="AF71" s="316"/>
      <c r="AG71" s="316"/>
      <c r="AH71" s="316"/>
      <c r="AI71" s="316"/>
      <c r="AJ71" s="316"/>
      <c r="AK71" s="316"/>
      <c r="AL71" s="316"/>
      <c r="AM71" s="316"/>
      <c r="AN71" s="316"/>
      <c r="AO71" s="316"/>
      <c r="AP71" s="316"/>
      <c r="AQ71" s="316"/>
      <c r="AR71" s="316"/>
      <c r="AS71" s="316"/>
      <c r="AT71" s="316"/>
      <c r="AU71" s="316"/>
      <c r="AV71" s="316"/>
      <c r="AW71" s="316"/>
      <c r="AX71" s="316"/>
      <c r="AY71" s="316"/>
      <c r="AZ71" s="316"/>
      <c r="BA71" s="92"/>
      <c r="BB71" s="92"/>
      <c r="BC71" s="77"/>
      <c r="BD71" s="77"/>
      <c r="BE71" s="77"/>
      <c r="BF71" s="77"/>
      <c r="BG71" s="77"/>
      <c r="BH71" s="77"/>
      <c r="BI71" s="77"/>
      <c r="BJ71" s="77"/>
      <c r="BK71" s="77"/>
      <c r="BL71" s="77"/>
      <c r="BM71" s="77"/>
      <c r="BN71" s="77"/>
      <c r="BO71" s="77"/>
      <c r="BP71" s="77"/>
      <c r="BQ71" s="77"/>
      <c r="BR71" s="77"/>
      <c r="BS71" s="77"/>
      <c r="BT71" s="77"/>
      <c r="BU71" s="10"/>
      <c r="BV71" s="10"/>
      <c r="BW71" s="10"/>
      <c r="BX71" s="10"/>
      <c r="BY71" s="10"/>
      <c r="BZ71" s="10"/>
      <c r="CA71" s="10"/>
      <c r="CB71" s="10"/>
      <c r="CC71" s="10"/>
      <c r="CD71" s="10"/>
      <c r="CE71" s="10"/>
      <c r="CF71" s="10"/>
      <c r="CG71" s="10"/>
      <c r="CH71" s="51"/>
    </row>
    <row r="72" spans="1:86" s="2" customFormat="1" ht="15.75" customHeight="1">
      <c r="A72" s="9"/>
      <c r="B72" s="10"/>
      <c r="C72" s="311"/>
      <c r="D72" s="311"/>
      <c r="E72" s="311"/>
      <c r="F72" s="311"/>
      <c r="G72" s="311"/>
      <c r="H72" s="311"/>
      <c r="I72" s="311"/>
      <c r="J72" s="311"/>
      <c r="K72" s="311"/>
      <c r="L72" s="311"/>
      <c r="M72" s="311"/>
      <c r="N72" s="311"/>
      <c r="O72" s="311"/>
      <c r="P72" s="311"/>
      <c r="Q72" s="311"/>
      <c r="R72" s="92"/>
      <c r="S72" s="92"/>
      <c r="T72" s="316" t="s">
        <v>209</v>
      </c>
      <c r="U72" s="316"/>
      <c r="V72" s="316"/>
      <c r="W72" s="316"/>
      <c r="X72" s="316"/>
      <c r="Y72" s="316"/>
      <c r="Z72" s="316"/>
      <c r="AA72" s="316"/>
      <c r="AB72" s="316"/>
      <c r="AC72" s="316"/>
      <c r="AD72" s="316"/>
      <c r="AE72" s="316"/>
      <c r="AF72" s="316"/>
      <c r="AG72" s="316"/>
      <c r="AH72" s="316"/>
      <c r="AI72" s="316"/>
      <c r="AJ72" s="316"/>
      <c r="AK72" s="316"/>
      <c r="AL72" s="316"/>
      <c r="AM72" s="316"/>
      <c r="AN72" s="316"/>
      <c r="AO72" s="316"/>
      <c r="AP72" s="316"/>
      <c r="AQ72" s="316"/>
      <c r="AR72" s="316"/>
      <c r="AS72" s="316"/>
      <c r="AT72" s="316"/>
      <c r="AU72" s="316"/>
      <c r="AV72" s="316"/>
      <c r="AW72" s="316"/>
      <c r="AX72" s="316"/>
      <c r="AY72" s="316"/>
      <c r="AZ72" s="316"/>
      <c r="BA72" s="92"/>
      <c r="BB72" s="92"/>
      <c r="BC72" s="77"/>
      <c r="BD72" s="77"/>
      <c r="BE72" s="77"/>
      <c r="BF72" s="77"/>
      <c r="BG72" s="77"/>
      <c r="BH72" s="77"/>
      <c r="BI72" s="77"/>
      <c r="BJ72" s="77"/>
      <c r="BK72" s="77"/>
      <c r="BL72" s="77"/>
      <c r="BM72" s="77"/>
      <c r="BN72" s="77"/>
      <c r="BO72" s="77"/>
      <c r="BP72" s="77"/>
      <c r="BQ72" s="77"/>
      <c r="BR72" s="77"/>
      <c r="BS72" s="77"/>
      <c r="BT72" s="77"/>
      <c r="BU72" s="10"/>
      <c r="BV72" s="10"/>
      <c r="BW72" s="10"/>
      <c r="BX72" s="10"/>
      <c r="BY72" s="10"/>
      <c r="BZ72" s="10"/>
      <c r="CA72" s="10"/>
      <c r="CB72" s="10"/>
      <c r="CC72" s="10"/>
      <c r="CD72" s="10"/>
      <c r="CE72" s="10"/>
      <c r="CF72" s="10"/>
      <c r="CG72" s="10"/>
      <c r="CH72" s="51"/>
    </row>
    <row r="73" spans="1:86" s="2" customFormat="1" ht="15.75" customHeight="1">
      <c r="A73" s="9"/>
      <c r="B73" s="10"/>
      <c r="C73" s="10"/>
      <c r="D73" s="10"/>
      <c r="E73" s="10"/>
      <c r="F73" s="10"/>
      <c r="G73" s="10"/>
      <c r="H73" s="10"/>
      <c r="I73" s="10"/>
      <c r="J73" s="10"/>
      <c r="K73" s="10"/>
      <c r="L73" s="10"/>
      <c r="M73" s="10"/>
      <c r="N73" s="10"/>
      <c r="O73" s="10"/>
      <c r="P73" s="10"/>
      <c r="Q73" s="43"/>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51"/>
    </row>
    <row r="74" spans="1:86" s="2" customFormat="1" ht="15.75" customHeight="1">
      <c r="A74" s="286"/>
      <c r="B74" s="142" t="s">
        <v>210</v>
      </c>
      <c r="C74" s="285"/>
      <c r="D74" s="285"/>
      <c r="E74" s="312"/>
      <c r="F74" s="312"/>
      <c r="G74" s="312"/>
      <c r="H74" s="285"/>
      <c r="I74" s="285"/>
      <c r="J74" s="285"/>
      <c r="K74" s="285"/>
      <c r="L74" s="285"/>
      <c r="M74" s="285"/>
      <c r="N74" s="285"/>
      <c r="O74" s="285"/>
      <c r="P74" s="285"/>
      <c r="Q74" s="285"/>
      <c r="R74" s="285"/>
      <c r="S74" s="285"/>
      <c r="T74" s="285"/>
      <c r="U74" s="285"/>
      <c r="V74" s="285"/>
      <c r="W74" s="285"/>
      <c r="X74" s="285"/>
      <c r="Y74" s="285"/>
      <c r="Z74" s="285"/>
      <c r="AA74" s="285"/>
      <c r="AB74" s="285"/>
      <c r="AC74" s="285"/>
      <c r="AD74" s="285"/>
      <c r="AE74" s="285"/>
      <c r="AF74" s="285"/>
      <c r="AG74" s="285"/>
      <c r="AH74" s="285"/>
      <c r="AI74" s="285"/>
      <c r="AJ74" s="285"/>
      <c r="AK74" s="285"/>
      <c r="AL74" s="285"/>
      <c r="AM74" s="285"/>
      <c r="AN74" s="285"/>
      <c r="AO74" s="285"/>
      <c r="AP74" s="285"/>
      <c r="AQ74" s="285"/>
      <c r="AR74" s="285"/>
      <c r="AS74" s="285"/>
      <c r="AT74" s="285"/>
      <c r="AU74" s="285"/>
      <c r="AV74" s="285"/>
      <c r="AW74" s="285"/>
      <c r="AX74" s="285"/>
      <c r="AY74" s="285"/>
      <c r="AZ74" s="285"/>
      <c r="BA74" s="285"/>
      <c r="BB74" s="285"/>
      <c r="BC74" s="285"/>
      <c r="BD74" s="285"/>
      <c r="BE74" s="285"/>
      <c r="BF74" s="285"/>
      <c r="BG74" s="285"/>
      <c r="BH74" s="285"/>
      <c r="BI74" s="285"/>
      <c r="BJ74" s="285"/>
      <c r="BK74" s="285"/>
      <c r="BL74" s="285"/>
      <c r="BM74" s="285"/>
      <c r="BN74" s="285"/>
      <c r="BO74" s="285"/>
      <c r="BP74" s="285"/>
      <c r="BQ74" s="285"/>
      <c r="BR74" s="285"/>
      <c r="BS74" s="285"/>
      <c r="BT74" s="285"/>
      <c r="BU74" s="285"/>
      <c r="BV74" s="285"/>
      <c r="BW74" s="285"/>
      <c r="BX74" s="285"/>
      <c r="BY74" s="285"/>
      <c r="BZ74" s="285"/>
      <c r="CA74" s="285"/>
      <c r="CB74" s="285"/>
      <c r="CC74" s="285"/>
      <c r="CD74" s="285"/>
      <c r="CE74" s="285"/>
      <c r="CF74" s="285"/>
      <c r="CG74" s="285"/>
      <c r="CH74" s="309"/>
    </row>
    <row r="75" spans="1:86" s="2" customFormat="1" ht="15.75" customHeight="1">
      <c r="A75" s="286"/>
      <c r="B75" s="285"/>
      <c r="C75" s="285"/>
      <c r="D75" s="285"/>
      <c r="E75" s="312"/>
      <c r="F75" s="312"/>
      <c r="G75" s="312"/>
      <c r="H75" s="285"/>
      <c r="I75" s="285"/>
      <c r="J75" s="285"/>
      <c r="K75" s="285"/>
      <c r="L75" s="285"/>
      <c r="M75" s="285"/>
      <c r="BC75" s="285"/>
      <c r="BD75" s="285"/>
      <c r="BE75" s="285"/>
      <c r="BF75" s="285"/>
      <c r="BG75" s="285"/>
      <c r="BH75" s="285"/>
      <c r="BI75" s="285"/>
      <c r="BJ75" s="285"/>
      <c r="BK75" s="285"/>
      <c r="BL75" s="285"/>
      <c r="BM75" s="285"/>
      <c r="BN75" s="285"/>
      <c r="BO75" s="285"/>
      <c r="BP75" s="285"/>
      <c r="BQ75" s="285"/>
      <c r="BR75" s="285"/>
      <c r="BS75" s="285"/>
      <c r="BT75" s="285"/>
      <c r="BU75" s="285"/>
      <c r="BV75" s="285"/>
      <c r="BW75" s="285"/>
      <c r="BX75" s="285"/>
      <c r="BY75" s="285"/>
      <c r="BZ75" s="285"/>
      <c r="CA75" s="285"/>
      <c r="CB75" s="285"/>
      <c r="CC75" s="285"/>
      <c r="CD75" s="285"/>
      <c r="CE75" s="285"/>
      <c r="CF75" s="285"/>
      <c r="CG75" s="285"/>
      <c r="CH75" s="309"/>
    </row>
    <row r="76" spans="1:86" s="2" customFormat="1" ht="15.75" customHeight="1">
      <c r="A76" s="286"/>
      <c r="B76" s="10"/>
      <c r="C76" s="132" t="s">
        <v>211</v>
      </c>
      <c r="D76" s="313"/>
      <c r="E76" s="313"/>
      <c r="F76" s="313"/>
      <c r="G76" s="313"/>
      <c r="H76" s="313"/>
      <c r="I76" s="314"/>
      <c r="J76" s="132" t="s">
        <v>212</v>
      </c>
      <c r="K76" s="313"/>
      <c r="L76" s="313"/>
      <c r="M76" s="313"/>
      <c r="N76" s="313"/>
      <c r="O76" s="313"/>
      <c r="P76" s="313"/>
      <c r="Q76" s="313"/>
      <c r="R76" s="313"/>
      <c r="S76" s="313"/>
      <c r="T76" s="313"/>
      <c r="U76" s="313"/>
      <c r="V76" s="314"/>
      <c r="W76" s="132" t="s">
        <v>213</v>
      </c>
      <c r="X76" s="313"/>
      <c r="Y76" s="313"/>
      <c r="Z76" s="313"/>
      <c r="AA76" s="313"/>
      <c r="AB76" s="313"/>
      <c r="AC76" s="313"/>
      <c r="AD76" s="313"/>
      <c r="AE76" s="313"/>
      <c r="AF76" s="313"/>
      <c r="AG76" s="313"/>
      <c r="AH76" s="313"/>
      <c r="AI76" s="313"/>
      <c r="AJ76" s="313"/>
      <c r="AK76" s="313"/>
      <c r="AL76" s="313"/>
      <c r="AM76" s="313"/>
      <c r="AN76" s="313"/>
      <c r="AO76" s="313"/>
      <c r="AP76" s="313"/>
      <c r="AQ76" s="313"/>
      <c r="AR76" s="313"/>
      <c r="AS76" s="313"/>
      <c r="AT76" s="313"/>
      <c r="AU76" s="313"/>
      <c r="AV76" s="313"/>
      <c r="AW76" s="313"/>
      <c r="AX76" s="313"/>
      <c r="AY76" s="313"/>
      <c r="AZ76" s="313"/>
      <c r="BA76" s="313"/>
      <c r="BB76" s="313"/>
      <c r="BC76" s="313"/>
      <c r="BD76" s="313"/>
      <c r="BE76" s="313"/>
      <c r="BF76" s="313"/>
      <c r="BG76" s="313"/>
      <c r="BH76" s="313"/>
      <c r="BI76" s="313"/>
      <c r="BJ76" s="313"/>
      <c r="BK76" s="313"/>
      <c r="BL76" s="313"/>
      <c r="BM76" s="313"/>
      <c r="BN76" s="313"/>
      <c r="BO76" s="313"/>
      <c r="BP76" s="313"/>
      <c r="BQ76" s="313"/>
      <c r="BR76" s="313"/>
      <c r="BS76" s="313"/>
      <c r="BT76" s="313"/>
      <c r="BU76" s="313"/>
      <c r="BV76" s="313"/>
      <c r="BW76" s="313"/>
      <c r="BX76" s="313"/>
      <c r="BY76" s="313"/>
      <c r="BZ76" s="313"/>
      <c r="CA76" s="313"/>
      <c r="CB76" s="313"/>
      <c r="CC76" s="313"/>
      <c r="CD76" s="313"/>
      <c r="CE76" s="313"/>
      <c r="CF76" s="313"/>
      <c r="CG76" s="314"/>
      <c r="CH76" s="309"/>
    </row>
    <row r="77" spans="1:86" s="2" customFormat="1" ht="15.75" customHeight="1">
      <c r="A77" s="286"/>
      <c r="B77" s="10"/>
      <c r="C77" s="12" t="s">
        <v>214</v>
      </c>
      <c r="D77" s="13"/>
      <c r="E77" s="13"/>
      <c r="F77" s="13"/>
      <c r="G77" s="13"/>
      <c r="H77" s="13"/>
      <c r="I77" s="14"/>
      <c r="J77" s="12" t="s">
        <v>215</v>
      </c>
      <c r="K77" s="13"/>
      <c r="L77" s="13"/>
      <c r="M77" s="13"/>
      <c r="N77" s="13"/>
      <c r="O77" s="13"/>
      <c r="P77" s="13"/>
      <c r="Q77" s="13"/>
      <c r="R77" s="13"/>
      <c r="S77" s="13"/>
      <c r="T77" s="13"/>
      <c r="U77" s="13"/>
      <c r="V77" s="14"/>
      <c r="W77" s="12" t="s">
        <v>216</v>
      </c>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c r="BC77" s="13"/>
      <c r="BD77" s="13"/>
      <c r="BE77" s="13"/>
      <c r="BF77" s="13"/>
      <c r="BG77" s="13"/>
      <c r="BH77" s="13"/>
      <c r="BI77" s="13"/>
      <c r="BJ77" s="13"/>
      <c r="BK77" s="13"/>
      <c r="BL77" s="13"/>
      <c r="BM77" s="13"/>
      <c r="BN77" s="13"/>
      <c r="BO77" s="13"/>
      <c r="BP77" s="13"/>
      <c r="BQ77" s="13"/>
      <c r="BR77" s="13"/>
      <c r="BS77" s="13"/>
      <c r="BT77" s="13"/>
      <c r="BU77" s="13"/>
      <c r="BV77" s="13"/>
      <c r="BW77" s="13"/>
      <c r="BX77" s="13"/>
      <c r="BY77" s="13"/>
      <c r="BZ77" s="13"/>
      <c r="CA77" s="13"/>
      <c r="CB77" s="13"/>
      <c r="CC77" s="13"/>
      <c r="CD77" s="13"/>
      <c r="CE77" s="13"/>
      <c r="CF77" s="13"/>
      <c r="CG77" s="14"/>
      <c r="CH77" s="309"/>
    </row>
    <row r="78" spans="1:86" s="2" customFormat="1" ht="15.75" customHeight="1">
      <c r="A78" s="286"/>
      <c r="B78" s="10"/>
      <c r="C78" s="12" t="s">
        <v>217</v>
      </c>
      <c r="D78" s="13"/>
      <c r="E78" s="13"/>
      <c r="F78" s="13"/>
      <c r="G78" s="13"/>
      <c r="H78" s="13"/>
      <c r="I78" s="14"/>
      <c r="J78" s="12" t="s">
        <v>218</v>
      </c>
      <c r="K78" s="13"/>
      <c r="L78" s="13"/>
      <c r="M78" s="13"/>
      <c r="N78" s="13"/>
      <c r="O78" s="13"/>
      <c r="P78" s="13"/>
      <c r="Q78" s="13"/>
      <c r="R78" s="13"/>
      <c r="S78" s="13"/>
      <c r="T78" s="13"/>
      <c r="U78" s="13"/>
      <c r="V78" s="14"/>
      <c r="W78" s="12" t="s">
        <v>219</v>
      </c>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c r="BG78" s="13"/>
      <c r="BH78" s="13"/>
      <c r="BI78" s="13"/>
      <c r="BJ78" s="13"/>
      <c r="BK78" s="13"/>
      <c r="BL78" s="13"/>
      <c r="BM78" s="13"/>
      <c r="BN78" s="13"/>
      <c r="BO78" s="13"/>
      <c r="BP78" s="13"/>
      <c r="BQ78" s="13"/>
      <c r="BR78" s="13"/>
      <c r="BS78" s="13"/>
      <c r="BT78" s="13"/>
      <c r="BU78" s="13"/>
      <c r="BV78" s="13"/>
      <c r="BW78" s="13"/>
      <c r="BX78" s="13"/>
      <c r="BY78" s="13"/>
      <c r="BZ78" s="13"/>
      <c r="CA78" s="13"/>
      <c r="CB78" s="13"/>
      <c r="CC78" s="13"/>
      <c r="CD78" s="13"/>
      <c r="CE78" s="13"/>
      <c r="CF78" s="13"/>
      <c r="CG78" s="14"/>
      <c r="CH78" s="309"/>
    </row>
    <row r="79" spans="1:86" s="2" customFormat="1" ht="15.75" customHeight="1">
      <c r="A79" s="286"/>
      <c r="C79" s="12" t="s">
        <v>220</v>
      </c>
      <c r="D79" s="13"/>
      <c r="E79" s="13"/>
      <c r="F79" s="13"/>
      <c r="G79" s="13"/>
      <c r="H79" s="13"/>
      <c r="I79" s="14"/>
      <c r="J79" s="12" t="s">
        <v>221</v>
      </c>
      <c r="K79" s="13"/>
      <c r="L79" s="13"/>
      <c r="M79" s="13"/>
      <c r="N79" s="13"/>
      <c r="O79" s="13"/>
      <c r="P79" s="13"/>
      <c r="Q79" s="13"/>
      <c r="R79" s="13"/>
      <c r="S79" s="13"/>
      <c r="T79" s="13"/>
      <c r="U79" s="13"/>
      <c r="V79" s="14"/>
      <c r="W79" s="12" t="s">
        <v>222</v>
      </c>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3"/>
      <c r="BH79" s="13"/>
      <c r="BI79" s="13"/>
      <c r="BJ79" s="13"/>
      <c r="BK79" s="13"/>
      <c r="BL79" s="13"/>
      <c r="BM79" s="13"/>
      <c r="BN79" s="13"/>
      <c r="BO79" s="13"/>
      <c r="BP79" s="13"/>
      <c r="BQ79" s="13"/>
      <c r="BR79" s="13"/>
      <c r="BS79" s="13"/>
      <c r="BT79" s="13"/>
      <c r="BU79" s="13"/>
      <c r="BV79" s="13"/>
      <c r="BW79" s="13"/>
      <c r="BX79" s="13"/>
      <c r="BY79" s="13"/>
      <c r="BZ79" s="13"/>
      <c r="CA79" s="13"/>
      <c r="CB79" s="13"/>
      <c r="CC79" s="13"/>
      <c r="CD79" s="13"/>
      <c r="CE79" s="13"/>
      <c r="CF79" s="13"/>
      <c r="CG79" s="14"/>
      <c r="CH79" s="309"/>
    </row>
    <row r="80" spans="1:86" s="2" customFormat="1" ht="15.75" customHeight="1">
      <c r="A80" s="286"/>
      <c r="C80" s="12" t="s">
        <v>223</v>
      </c>
      <c r="D80" s="13"/>
      <c r="E80" s="13"/>
      <c r="F80" s="13"/>
      <c r="G80" s="13"/>
      <c r="H80" s="13"/>
      <c r="I80" s="14"/>
      <c r="J80" s="12" t="s">
        <v>221</v>
      </c>
      <c r="K80" s="13"/>
      <c r="L80" s="13"/>
      <c r="M80" s="13"/>
      <c r="N80" s="13"/>
      <c r="O80" s="13"/>
      <c r="P80" s="13"/>
      <c r="Q80" s="13"/>
      <c r="R80" s="13"/>
      <c r="S80" s="13"/>
      <c r="T80" s="13"/>
      <c r="U80" s="13"/>
      <c r="V80" s="14"/>
      <c r="W80" s="12" t="s">
        <v>224</v>
      </c>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c r="BD80" s="13"/>
      <c r="BE80" s="13"/>
      <c r="BF80" s="13"/>
      <c r="BG80" s="13"/>
      <c r="BH80" s="13"/>
      <c r="BI80" s="13"/>
      <c r="BJ80" s="13"/>
      <c r="BK80" s="13"/>
      <c r="BL80" s="13"/>
      <c r="BM80" s="13"/>
      <c r="BN80" s="13"/>
      <c r="BO80" s="13"/>
      <c r="BP80" s="13"/>
      <c r="BQ80" s="13"/>
      <c r="BR80" s="13"/>
      <c r="BS80" s="13"/>
      <c r="BT80" s="13"/>
      <c r="BU80" s="13"/>
      <c r="BV80" s="13"/>
      <c r="BW80" s="13"/>
      <c r="BX80" s="13"/>
      <c r="BY80" s="13"/>
      <c r="BZ80" s="13"/>
      <c r="CA80" s="13"/>
      <c r="CB80" s="13"/>
      <c r="CC80" s="13"/>
      <c r="CD80" s="13"/>
      <c r="CE80" s="13"/>
      <c r="CF80" s="13"/>
      <c r="CG80" s="14"/>
      <c r="CH80" s="309"/>
    </row>
    <row r="81" spans="1:86" s="2" customFormat="1" ht="15.75" customHeight="1">
      <c r="A81" s="286"/>
      <c r="B81" s="10"/>
      <c r="C81" s="12" t="s">
        <v>225</v>
      </c>
      <c r="D81" s="13"/>
      <c r="E81" s="13"/>
      <c r="F81" s="13"/>
      <c r="G81" s="13"/>
      <c r="H81" s="13"/>
      <c r="I81" s="14"/>
      <c r="J81" s="12" t="s">
        <v>226</v>
      </c>
      <c r="K81" s="13"/>
      <c r="L81" s="13"/>
      <c r="M81" s="13"/>
      <c r="N81" s="13"/>
      <c r="O81" s="13"/>
      <c r="P81" s="13"/>
      <c r="Q81" s="13"/>
      <c r="R81" s="13"/>
      <c r="S81" s="13"/>
      <c r="T81" s="13"/>
      <c r="U81" s="13"/>
      <c r="V81" s="14"/>
      <c r="W81" s="12" t="s">
        <v>227</v>
      </c>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c r="BD81" s="13"/>
      <c r="BE81" s="13"/>
      <c r="BF81" s="13"/>
      <c r="BG81" s="13"/>
      <c r="BH81" s="13"/>
      <c r="BI81" s="13"/>
      <c r="BJ81" s="13"/>
      <c r="BK81" s="13"/>
      <c r="BL81" s="13"/>
      <c r="BM81" s="13"/>
      <c r="BN81" s="13"/>
      <c r="BO81" s="13"/>
      <c r="BP81" s="13"/>
      <c r="BQ81" s="13"/>
      <c r="BR81" s="13"/>
      <c r="BS81" s="13"/>
      <c r="BT81" s="13"/>
      <c r="BU81" s="13"/>
      <c r="BV81" s="13"/>
      <c r="BW81" s="13"/>
      <c r="BX81" s="13"/>
      <c r="BY81" s="13"/>
      <c r="BZ81" s="13"/>
      <c r="CA81" s="13"/>
      <c r="CB81" s="13"/>
      <c r="CC81" s="13"/>
      <c r="CD81" s="13"/>
      <c r="CE81" s="13"/>
      <c r="CF81" s="13"/>
      <c r="CG81" s="14"/>
      <c r="CH81" s="309"/>
    </row>
    <row r="82" spans="1:86" s="2" customFormat="1" ht="15.75" customHeight="1">
      <c r="A82" s="286"/>
      <c r="B82" s="10"/>
      <c r="C82" s="12" t="s">
        <v>228</v>
      </c>
      <c r="D82" s="13"/>
      <c r="E82" s="13"/>
      <c r="F82" s="13"/>
      <c r="G82" s="13"/>
      <c r="H82" s="13"/>
      <c r="I82" s="14"/>
      <c r="J82" s="12" t="s">
        <v>229</v>
      </c>
      <c r="K82" s="13"/>
      <c r="L82" s="13"/>
      <c r="M82" s="13"/>
      <c r="N82" s="13"/>
      <c r="O82" s="13"/>
      <c r="P82" s="13"/>
      <c r="Q82" s="13"/>
      <c r="R82" s="13"/>
      <c r="S82" s="13"/>
      <c r="T82" s="13"/>
      <c r="U82" s="13"/>
      <c r="V82" s="14"/>
      <c r="W82" s="12" t="s">
        <v>230</v>
      </c>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3"/>
      <c r="BD82" s="13"/>
      <c r="BE82" s="13"/>
      <c r="BF82" s="13"/>
      <c r="BG82" s="13"/>
      <c r="BH82" s="13"/>
      <c r="BI82" s="13"/>
      <c r="BJ82" s="13"/>
      <c r="BK82" s="13"/>
      <c r="BL82" s="13"/>
      <c r="BM82" s="13"/>
      <c r="BN82" s="13"/>
      <c r="BO82" s="13"/>
      <c r="BP82" s="13"/>
      <c r="BQ82" s="13"/>
      <c r="BR82" s="13"/>
      <c r="BS82" s="13"/>
      <c r="BT82" s="13"/>
      <c r="BU82" s="13"/>
      <c r="BV82" s="13"/>
      <c r="BW82" s="13"/>
      <c r="BX82" s="13"/>
      <c r="BY82" s="13"/>
      <c r="BZ82" s="13"/>
      <c r="CA82" s="13"/>
      <c r="CB82" s="13"/>
      <c r="CC82" s="13"/>
      <c r="CD82" s="13"/>
      <c r="CE82" s="13"/>
      <c r="CF82" s="13"/>
      <c r="CG82" s="14"/>
      <c r="CH82" s="309"/>
    </row>
    <row r="83" spans="1:86" s="2" customFormat="1" ht="15.75" customHeight="1">
      <c r="A83" s="286"/>
      <c r="C83" s="12" t="s">
        <v>231</v>
      </c>
      <c r="D83" s="13"/>
      <c r="E83" s="13"/>
      <c r="F83" s="13"/>
      <c r="G83" s="13"/>
      <c r="H83" s="13"/>
      <c r="I83" s="14"/>
      <c r="J83" s="12" t="s">
        <v>232</v>
      </c>
      <c r="K83" s="13"/>
      <c r="L83" s="13"/>
      <c r="M83" s="13"/>
      <c r="N83" s="13"/>
      <c r="O83" s="13"/>
      <c r="P83" s="13"/>
      <c r="Q83" s="13"/>
      <c r="R83" s="13"/>
      <c r="S83" s="13"/>
      <c r="T83" s="13"/>
      <c r="U83" s="13"/>
      <c r="V83" s="14"/>
      <c r="W83" s="12" t="s">
        <v>233</v>
      </c>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c r="BE83" s="13"/>
      <c r="BF83" s="13"/>
      <c r="BG83" s="13"/>
      <c r="BH83" s="13"/>
      <c r="BI83" s="13"/>
      <c r="BJ83" s="13"/>
      <c r="BK83" s="13"/>
      <c r="BL83" s="13"/>
      <c r="BM83" s="13"/>
      <c r="BN83" s="13"/>
      <c r="BO83" s="13"/>
      <c r="BP83" s="13"/>
      <c r="BQ83" s="13"/>
      <c r="BR83" s="13"/>
      <c r="BS83" s="13"/>
      <c r="BT83" s="13"/>
      <c r="BU83" s="13"/>
      <c r="BV83" s="13"/>
      <c r="BW83" s="13"/>
      <c r="BX83" s="13"/>
      <c r="BY83" s="13"/>
      <c r="BZ83" s="13"/>
      <c r="CA83" s="13"/>
      <c r="CB83" s="13"/>
      <c r="CC83" s="13"/>
      <c r="CD83" s="13"/>
      <c r="CE83" s="13"/>
      <c r="CF83" s="13"/>
      <c r="CG83" s="14"/>
      <c r="CH83" s="309"/>
    </row>
    <row r="84" spans="1:86" s="2" customFormat="1" ht="15.75" customHeight="1">
      <c r="A84" s="286"/>
      <c r="C84" s="12" t="s">
        <v>234</v>
      </c>
      <c r="D84" s="13"/>
      <c r="E84" s="13"/>
      <c r="F84" s="13"/>
      <c r="G84" s="13"/>
      <c r="H84" s="13"/>
      <c r="I84" s="14"/>
      <c r="J84" s="12" t="s">
        <v>235</v>
      </c>
      <c r="K84" s="13"/>
      <c r="L84" s="13"/>
      <c r="M84" s="13"/>
      <c r="N84" s="13"/>
      <c r="O84" s="13"/>
      <c r="P84" s="13"/>
      <c r="Q84" s="13"/>
      <c r="R84" s="13"/>
      <c r="S84" s="13"/>
      <c r="T84" s="13"/>
      <c r="U84" s="13"/>
      <c r="V84" s="14"/>
      <c r="W84" s="12" t="s">
        <v>157</v>
      </c>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c r="BD84" s="13"/>
      <c r="BE84" s="13"/>
      <c r="BF84" s="13"/>
      <c r="BG84" s="13"/>
      <c r="BH84" s="13"/>
      <c r="BI84" s="13"/>
      <c r="BJ84" s="13"/>
      <c r="BK84" s="13"/>
      <c r="BL84" s="13"/>
      <c r="BM84" s="13"/>
      <c r="BN84" s="13"/>
      <c r="BO84" s="13"/>
      <c r="BP84" s="13"/>
      <c r="BQ84" s="13"/>
      <c r="BR84" s="13"/>
      <c r="BS84" s="13"/>
      <c r="BT84" s="13"/>
      <c r="BU84" s="13"/>
      <c r="BV84" s="13"/>
      <c r="BW84" s="13"/>
      <c r="BX84" s="13"/>
      <c r="BY84" s="13"/>
      <c r="BZ84" s="13"/>
      <c r="CA84" s="13"/>
      <c r="CB84" s="13"/>
      <c r="CC84" s="13"/>
      <c r="CD84" s="13"/>
      <c r="CE84" s="13"/>
      <c r="CF84" s="13"/>
      <c r="CG84" s="14"/>
      <c r="CH84" s="309"/>
    </row>
    <row r="85" spans="1:86" s="2" customFormat="1" ht="15.75" customHeight="1">
      <c r="A85" s="286"/>
      <c r="B85" s="10"/>
      <c r="C85" s="12" t="s">
        <v>236</v>
      </c>
      <c r="D85" s="13"/>
      <c r="E85" s="13"/>
      <c r="F85" s="13"/>
      <c r="G85" s="13"/>
      <c r="H85" s="13"/>
      <c r="I85" s="14"/>
      <c r="J85" s="12" t="s">
        <v>237</v>
      </c>
      <c r="K85" s="13"/>
      <c r="L85" s="13"/>
      <c r="M85" s="13"/>
      <c r="N85" s="13"/>
      <c r="O85" s="13"/>
      <c r="P85" s="13"/>
      <c r="Q85" s="13"/>
      <c r="R85" s="13"/>
      <c r="S85" s="13"/>
      <c r="T85" s="13"/>
      <c r="U85" s="13"/>
      <c r="V85" s="14"/>
      <c r="W85" s="12" t="s">
        <v>157</v>
      </c>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c r="BC85" s="13"/>
      <c r="BD85" s="13"/>
      <c r="BE85" s="13"/>
      <c r="BF85" s="13"/>
      <c r="BG85" s="13"/>
      <c r="BH85" s="13"/>
      <c r="BI85" s="13"/>
      <c r="BJ85" s="13"/>
      <c r="BK85" s="13"/>
      <c r="BL85" s="13"/>
      <c r="BM85" s="13"/>
      <c r="BN85" s="13"/>
      <c r="BO85" s="13"/>
      <c r="BP85" s="13"/>
      <c r="BQ85" s="13"/>
      <c r="BR85" s="13"/>
      <c r="BS85" s="13"/>
      <c r="BT85" s="13"/>
      <c r="BU85" s="13"/>
      <c r="BV85" s="13"/>
      <c r="BW85" s="13"/>
      <c r="BX85" s="13"/>
      <c r="BY85" s="13"/>
      <c r="BZ85" s="13"/>
      <c r="CA85" s="13"/>
      <c r="CB85" s="13"/>
      <c r="CC85" s="13"/>
      <c r="CD85" s="13"/>
      <c r="CE85" s="13"/>
      <c r="CF85" s="13"/>
      <c r="CG85" s="14"/>
      <c r="CH85" s="309"/>
    </row>
    <row r="86" spans="1:86" s="2" customFormat="1" ht="15.75" customHeight="1">
      <c r="A86" s="286"/>
      <c r="B86" s="10"/>
      <c r="C86" s="12" t="s">
        <v>238</v>
      </c>
      <c r="D86" s="13"/>
      <c r="E86" s="13"/>
      <c r="F86" s="13"/>
      <c r="G86" s="13"/>
      <c r="H86" s="13"/>
      <c r="I86" s="14"/>
      <c r="J86" s="12" t="s">
        <v>239</v>
      </c>
      <c r="K86" s="13"/>
      <c r="L86" s="13"/>
      <c r="M86" s="13"/>
      <c r="N86" s="13"/>
      <c r="O86" s="13"/>
      <c r="P86" s="13"/>
      <c r="Q86" s="13"/>
      <c r="R86" s="13"/>
      <c r="S86" s="13"/>
      <c r="T86" s="13"/>
      <c r="U86" s="13"/>
      <c r="V86" s="14"/>
      <c r="W86" s="12" t="s">
        <v>164</v>
      </c>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c r="BD86" s="13"/>
      <c r="BE86" s="13"/>
      <c r="BF86" s="13"/>
      <c r="BG86" s="13"/>
      <c r="BH86" s="13"/>
      <c r="BI86" s="13"/>
      <c r="BJ86" s="13"/>
      <c r="BK86" s="13"/>
      <c r="BL86" s="13"/>
      <c r="BM86" s="13"/>
      <c r="BN86" s="13"/>
      <c r="BO86" s="13"/>
      <c r="BP86" s="13"/>
      <c r="BQ86" s="13"/>
      <c r="BR86" s="13"/>
      <c r="BS86" s="13"/>
      <c r="BT86" s="13"/>
      <c r="BU86" s="13"/>
      <c r="BV86" s="13"/>
      <c r="BW86" s="13"/>
      <c r="BX86" s="13"/>
      <c r="BY86" s="13"/>
      <c r="BZ86" s="13"/>
      <c r="CA86" s="13"/>
      <c r="CB86" s="13"/>
      <c r="CC86" s="13"/>
      <c r="CD86" s="13"/>
      <c r="CE86" s="13"/>
      <c r="CF86" s="13"/>
      <c r="CG86" s="14"/>
      <c r="CH86" s="309"/>
    </row>
    <row r="87" spans="1:86" s="2" customFormat="1" ht="15.75" customHeight="1">
      <c r="A87" s="286"/>
      <c r="C87" s="12" t="s">
        <v>240</v>
      </c>
      <c r="D87" s="13"/>
      <c r="E87" s="13"/>
      <c r="F87" s="13"/>
      <c r="G87" s="13"/>
      <c r="H87" s="13"/>
      <c r="I87" s="14"/>
      <c r="J87" s="12" t="s">
        <v>201</v>
      </c>
      <c r="K87" s="13"/>
      <c r="L87" s="13"/>
      <c r="M87" s="13"/>
      <c r="N87" s="13"/>
      <c r="O87" s="13"/>
      <c r="P87" s="13"/>
      <c r="Q87" s="13"/>
      <c r="R87" s="13"/>
      <c r="S87" s="13"/>
      <c r="T87" s="13"/>
      <c r="U87" s="13"/>
      <c r="V87" s="14"/>
      <c r="W87" s="12" t="s">
        <v>241</v>
      </c>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c r="BD87" s="13"/>
      <c r="BE87" s="13"/>
      <c r="BF87" s="13"/>
      <c r="BG87" s="13"/>
      <c r="BH87" s="13"/>
      <c r="BI87" s="13"/>
      <c r="BJ87" s="13"/>
      <c r="BK87" s="13"/>
      <c r="BL87" s="13"/>
      <c r="BM87" s="13"/>
      <c r="BN87" s="13"/>
      <c r="BO87" s="13"/>
      <c r="BP87" s="13"/>
      <c r="BQ87" s="13"/>
      <c r="BR87" s="13"/>
      <c r="BS87" s="13"/>
      <c r="BT87" s="13"/>
      <c r="BU87" s="13"/>
      <c r="BV87" s="13"/>
      <c r="BW87" s="13"/>
      <c r="BX87" s="13"/>
      <c r="BY87" s="13"/>
      <c r="BZ87" s="13"/>
      <c r="CA87" s="13"/>
      <c r="CB87" s="13"/>
      <c r="CC87" s="13"/>
      <c r="CD87" s="13"/>
      <c r="CE87" s="13"/>
      <c r="CF87" s="13"/>
      <c r="CG87" s="14"/>
      <c r="CH87" s="309"/>
    </row>
    <row r="88" spans="1:86" s="2" customFormat="1" ht="15.75" customHeight="1">
      <c r="A88" s="286"/>
      <c r="BC88" s="285"/>
      <c r="BD88" s="285"/>
      <c r="BE88" s="285"/>
      <c r="BF88" s="285"/>
      <c r="BG88" s="285"/>
      <c r="BH88" s="285"/>
      <c r="BI88" s="285"/>
      <c r="BJ88" s="285"/>
      <c r="BK88" s="285"/>
      <c r="BL88" s="285"/>
      <c r="BM88" s="285"/>
      <c r="BN88" s="285"/>
      <c r="BO88" s="285"/>
      <c r="BP88" s="285"/>
      <c r="BQ88" s="285"/>
      <c r="BR88" s="285"/>
      <c r="BS88" s="285"/>
      <c r="BT88" s="285"/>
      <c r="BU88" s="285"/>
      <c r="BV88" s="285"/>
      <c r="BW88" s="285"/>
      <c r="BX88" s="285"/>
      <c r="BY88" s="285"/>
      <c r="BZ88" s="285"/>
      <c r="CA88" s="285"/>
      <c r="CB88" s="285"/>
      <c r="CC88" s="285"/>
      <c r="CD88" s="285"/>
      <c r="CE88" s="285"/>
      <c r="CF88" s="285"/>
      <c r="CG88" s="285"/>
      <c r="CH88" s="309"/>
    </row>
    <row r="89" spans="1:86" s="2" customFormat="1" ht="15.75" customHeight="1">
      <c r="A89" s="286"/>
      <c r="B89" s="142"/>
      <c r="BC89" s="285"/>
      <c r="BD89" s="285"/>
      <c r="BE89" s="285"/>
      <c r="BF89" s="285"/>
      <c r="BG89" s="285"/>
      <c r="BH89" s="285"/>
      <c r="BI89" s="285"/>
      <c r="BJ89" s="285"/>
      <c r="BK89" s="285"/>
      <c r="BL89" s="285"/>
      <c r="BM89" s="285"/>
      <c r="BN89" s="285"/>
      <c r="BO89" s="285"/>
      <c r="BP89" s="285"/>
      <c r="BQ89" s="285"/>
      <c r="BR89" s="285"/>
      <c r="BS89" s="285"/>
      <c r="BT89" s="285"/>
      <c r="BU89" s="285"/>
      <c r="BV89" s="285"/>
      <c r="BW89" s="285"/>
      <c r="BX89" s="285"/>
      <c r="BY89" s="285"/>
      <c r="BZ89" s="285"/>
      <c r="CA89" s="285"/>
      <c r="CB89" s="285"/>
      <c r="CC89" s="285"/>
      <c r="CD89" s="285"/>
      <c r="CE89" s="285"/>
      <c r="CF89" s="285"/>
      <c r="CG89" s="285"/>
      <c r="CH89" s="309"/>
    </row>
    <row r="90" spans="1:86" s="2" customFormat="1" ht="15.75" customHeight="1">
      <c r="A90" s="286"/>
      <c r="B90" s="142"/>
      <c r="BC90" s="285"/>
      <c r="BD90" s="285"/>
      <c r="BE90" s="285"/>
      <c r="BF90" s="285"/>
      <c r="BG90" s="285"/>
      <c r="BH90" s="285"/>
      <c r="BI90" s="285"/>
      <c r="BJ90" s="285"/>
      <c r="BK90" s="285"/>
      <c r="BL90" s="285"/>
      <c r="BM90" s="285"/>
      <c r="BN90" s="285"/>
      <c r="BO90" s="285"/>
      <c r="BP90" s="285"/>
      <c r="BQ90" s="285"/>
      <c r="BR90" s="285"/>
      <c r="BS90" s="285"/>
      <c r="BT90" s="285"/>
      <c r="BU90" s="285"/>
      <c r="BV90" s="285"/>
      <c r="BW90" s="285"/>
      <c r="BX90" s="285"/>
      <c r="BY90" s="285"/>
      <c r="BZ90" s="285"/>
      <c r="CA90" s="285"/>
      <c r="CB90" s="285"/>
      <c r="CC90" s="285"/>
      <c r="CD90" s="285"/>
      <c r="CE90" s="285"/>
      <c r="CF90" s="285"/>
      <c r="CG90" s="285"/>
      <c r="CH90" s="309"/>
    </row>
    <row r="91" spans="1:86" s="2" customFormat="1" ht="15.75" customHeight="1">
      <c r="A91" s="286"/>
      <c r="B91" s="142"/>
      <c r="BC91" s="285"/>
      <c r="BD91" s="285"/>
      <c r="BE91" s="285"/>
      <c r="BF91" s="285"/>
      <c r="BG91" s="285"/>
      <c r="BH91" s="285"/>
      <c r="BI91" s="285"/>
      <c r="BJ91" s="285"/>
      <c r="BK91" s="285"/>
      <c r="BL91" s="285"/>
      <c r="BM91" s="285"/>
      <c r="BN91" s="285"/>
      <c r="BO91" s="285"/>
      <c r="BP91" s="285"/>
      <c r="BQ91" s="285"/>
      <c r="BR91" s="285"/>
      <c r="BS91" s="285"/>
      <c r="BT91" s="285"/>
      <c r="BU91" s="285"/>
      <c r="BV91" s="285"/>
      <c r="BW91" s="285"/>
      <c r="BX91" s="285"/>
      <c r="BY91" s="285"/>
      <c r="BZ91" s="285"/>
      <c r="CA91" s="285"/>
      <c r="CB91" s="285"/>
      <c r="CC91" s="285"/>
      <c r="CD91" s="285"/>
      <c r="CE91" s="285"/>
      <c r="CF91" s="285"/>
      <c r="CG91" s="285"/>
      <c r="CH91" s="309"/>
    </row>
    <row r="92" spans="1:86" s="2" customFormat="1" ht="15.75" customHeight="1">
      <c r="A92" s="286"/>
      <c r="B92" s="142"/>
      <c r="BC92" s="285"/>
      <c r="BD92" s="285"/>
      <c r="BE92" s="285"/>
      <c r="BF92" s="285"/>
      <c r="BG92" s="285"/>
      <c r="BH92" s="285"/>
      <c r="BI92" s="285"/>
      <c r="BJ92" s="285"/>
      <c r="BK92" s="285"/>
      <c r="BL92" s="285"/>
      <c r="BM92" s="285"/>
      <c r="BN92" s="285"/>
      <c r="BO92" s="285"/>
      <c r="BP92" s="285"/>
      <c r="BQ92" s="285"/>
      <c r="BR92" s="285"/>
      <c r="BS92" s="285"/>
      <c r="BT92" s="285"/>
      <c r="BU92" s="285"/>
      <c r="BV92" s="285"/>
      <c r="BW92" s="285"/>
      <c r="BX92" s="285"/>
      <c r="BY92" s="285"/>
      <c r="BZ92" s="285"/>
      <c r="CA92" s="285"/>
      <c r="CB92" s="285"/>
      <c r="CC92" s="285"/>
      <c r="CD92" s="285"/>
      <c r="CE92" s="285"/>
      <c r="CF92" s="285"/>
      <c r="CG92" s="285"/>
      <c r="CH92" s="309"/>
    </row>
    <row r="93" spans="1:86" s="2" customFormat="1" ht="15.75" customHeight="1">
      <c r="A93" s="286"/>
      <c r="B93" s="142"/>
      <c r="BC93" s="285"/>
      <c r="BD93" s="285"/>
      <c r="BE93" s="285"/>
      <c r="BF93" s="285"/>
      <c r="BG93" s="285"/>
      <c r="BH93" s="285"/>
      <c r="BI93" s="285"/>
      <c r="BJ93" s="285"/>
      <c r="BK93" s="285"/>
      <c r="BL93" s="285"/>
      <c r="BM93" s="285"/>
      <c r="BN93" s="285"/>
      <c r="BO93" s="285"/>
      <c r="BP93" s="285"/>
      <c r="BQ93" s="285"/>
      <c r="BR93" s="285"/>
      <c r="BS93" s="285"/>
      <c r="BT93" s="285"/>
      <c r="BU93" s="285"/>
      <c r="BV93" s="285"/>
      <c r="BW93" s="285"/>
      <c r="BX93" s="285"/>
      <c r="BY93" s="285"/>
      <c r="BZ93" s="285"/>
      <c r="CA93" s="285"/>
      <c r="CB93" s="285"/>
      <c r="CC93" s="285"/>
      <c r="CD93" s="285"/>
      <c r="CE93" s="285"/>
      <c r="CF93" s="285"/>
      <c r="CG93" s="285"/>
      <c r="CH93" s="309"/>
    </row>
    <row r="94" spans="1:86" s="2" customFormat="1" ht="15.75" customHeight="1">
      <c r="A94" s="286"/>
      <c r="B94" s="142"/>
      <c r="BC94" s="285"/>
      <c r="BD94" s="285"/>
      <c r="BE94" s="285"/>
      <c r="BF94" s="285"/>
      <c r="BG94" s="285"/>
      <c r="BH94" s="285"/>
      <c r="BI94" s="285"/>
      <c r="BJ94" s="285"/>
      <c r="BK94" s="285"/>
      <c r="BL94" s="285"/>
      <c r="BM94" s="285"/>
      <c r="BN94" s="285"/>
      <c r="BO94" s="285"/>
      <c r="BP94" s="285"/>
      <c r="BQ94" s="285"/>
      <c r="BR94" s="285"/>
      <c r="BS94" s="285"/>
      <c r="BT94" s="285"/>
      <c r="BU94" s="285"/>
      <c r="BV94" s="285"/>
      <c r="BW94" s="285"/>
      <c r="BX94" s="285"/>
      <c r="BY94" s="285"/>
      <c r="BZ94" s="285"/>
      <c r="CA94" s="285"/>
      <c r="CB94" s="285"/>
      <c r="CC94" s="285"/>
      <c r="CD94" s="285"/>
      <c r="CE94" s="285"/>
      <c r="CF94" s="285"/>
      <c r="CG94" s="285"/>
      <c r="CH94" s="309"/>
    </row>
    <row r="95" spans="1:86" s="2" customFormat="1" ht="15.75" customHeight="1">
      <c r="A95" s="286"/>
      <c r="B95" s="142"/>
      <c r="BC95" s="285"/>
      <c r="BD95" s="285"/>
      <c r="BE95" s="285"/>
      <c r="BF95" s="285"/>
      <c r="BG95" s="285"/>
      <c r="BH95" s="285"/>
      <c r="BI95" s="285"/>
      <c r="BJ95" s="285"/>
      <c r="BK95" s="285"/>
      <c r="BL95" s="285"/>
      <c r="BM95" s="285"/>
      <c r="BN95" s="285"/>
      <c r="BO95" s="285"/>
      <c r="BP95" s="285"/>
      <c r="BQ95" s="285"/>
      <c r="BR95" s="285"/>
      <c r="BS95" s="285"/>
      <c r="BT95" s="285"/>
      <c r="BU95" s="285"/>
      <c r="BV95" s="285"/>
      <c r="BW95" s="285"/>
      <c r="BX95" s="285"/>
      <c r="BY95" s="285"/>
      <c r="BZ95" s="285"/>
      <c r="CA95" s="285"/>
      <c r="CB95" s="285"/>
      <c r="CC95" s="285"/>
      <c r="CD95" s="285"/>
      <c r="CE95" s="285"/>
      <c r="CF95" s="285"/>
      <c r="CG95" s="285"/>
      <c r="CH95" s="309"/>
    </row>
    <row r="96" spans="1:86" s="2" customFormat="1" ht="15.75" customHeight="1">
      <c r="A96" s="286"/>
      <c r="B96" s="142" t="s">
        <v>242</v>
      </c>
      <c r="BC96" s="285"/>
      <c r="BD96" s="285"/>
      <c r="BE96" s="285"/>
      <c r="BF96" s="285"/>
      <c r="BG96" s="285"/>
      <c r="BH96" s="285"/>
      <c r="BI96" s="285"/>
      <c r="BJ96" s="285"/>
      <c r="BK96" s="285"/>
      <c r="BL96" s="285"/>
      <c r="BM96" s="285"/>
      <c r="BN96" s="285"/>
      <c r="BO96" s="285"/>
      <c r="BP96" s="285"/>
      <c r="BQ96" s="285"/>
      <c r="BR96" s="285"/>
      <c r="BS96" s="285"/>
      <c r="BT96" s="285"/>
      <c r="BU96" s="285"/>
      <c r="BV96" s="285"/>
      <c r="BW96" s="285"/>
      <c r="BX96" s="285"/>
      <c r="BY96" s="285"/>
      <c r="BZ96" s="285"/>
      <c r="CA96" s="285"/>
      <c r="CB96" s="285"/>
      <c r="CC96" s="285"/>
      <c r="CD96" s="285"/>
      <c r="CE96" s="285"/>
      <c r="CF96" s="285"/>
      <c r="CG96" s="285"/>
      <c r="CH96" s="309"/>
    </row>
    <row r="97" spans="1:86" s="2" customFormat="1" ht="15.75" customHeight="1">
      <c r="A97" s="286"/>
      <c r="B97" s="285"/>
      <c r="C97" s="285"/>
      <c r="D97" s="285"/>
      <c r="E97" s="312"/>
      <c r="F97" s="312"/>
      <c r="G97" s="312"/>
      <c r="H97" s="285"/>
      <c r="I97" s="285"/>
      <c r="J97" s="285"/>
      <c r="K97" s="285"/>
      <c r="L97" s="285"/>
      <c r="M97" s="285"/>
      <c r="BC97" s="285"/>
      <c r="BD97" s="285"/>
      <c r="BE97" s="285"/>
      <c r="BF97" s="285"/>
      <c r="BG97" s="285"/>
      <c r="BH97" s="285"/>
      <c r="BI97" s="285"/>
      <c r="BJ97" s="285"/>
      <c r="BK97" s="285"/>
      <c r="BL97" s="285"/>
      <c r="BM97" s="285"/>
      <c r="BN97" s="285"/>
      <c r="BO97" s="285"/>
      <c r="BP97" s="285"/>
      <c r="BQ97" s="285"/>
      <c r="BR97" s="285"/>
      <c r="BS97" s="285"/>
      <c r="BT97" s="285"/>
      <c r="BU97" s="285"/>
      <c r="BV97" s="285"/>
      <c r="BW97" s="285"/>
      <c r="BX97" s="285"/>
      <c r="BY97" s="285"/>
      <c r="BZ97" s="285"/>
      <c r="CA97" s="285"/>
      <c r="CB97" s="285"/>
      <c r="CC97" s="285"/>
      <c r="CD97" s="285"/>
      <c r="CE97" s="285"/>
      <c r="CF97" s="285"/>
      <c r="CG97" s="285"/>
      <c r="CH97" s="309"/>
    </row>
    <row r="98" spans="1:86" s="2" customFormat="1" ht="15.75" customHeight="1">
      <c r="A98" s="286"/>
      <c r="B98" s="10"/>
      <c r="C98" s="132" t="s">
        <v>243</v>
      </c>
      <c r="D98" s="313"/>
      <c r="E98" s="313"/>
      <c r="F98" s="313"/>
      <c r="G98" s="313"/>
      <c r="H98" s="313"/>
      <c r="I98" s="313"/>
      <c r="J98" s="313"/>
      <c r="K98" s="313"/>
      <c r="L98" s="313"/>
      <c r="M98" s="313"/>
      <c r="N98" s="313"/>
      <c r="O98" s="313"/>
      <c r="P98" s="313"/>
      <c r="Q98" s="313"/>
      <c r="R98" s="313"/>
      <c r="S98" s="313"/>
      <c r="T98" s="313"/>
      <c r="U98" s="313"/>
      <c r="V98" s="314"/>
      <c r="W98" s="132" t="s">
        <v>244</v>
      </c>
      <c r="X98" s="313"/>
      <c r="Y98" s="313"/>
      <c r="Z98" s="313"/>
      <c r="AA98" s="313"/>
      <c r="AB98" s="313"/>
      <c r="AC98" s="313"/>
      <c r="AD98" s="313"/>
      <c r="AE98" s="313"/>
      <c r="AF98" s="313"/>
      <c r="AG98" s="313"/>
      <c r="AH98" s="313"/>
      <c r="AI98" s="313"/>
      <c r="AJ98" s="132" t="s">
        <v>245</v>
      </c>
      <c r="AK98" s="313"/>
      <c r="AL98" s="313"/>
      <c r="AM98" s="313"/>
      <c r="AN98" s="313"/>
      <c r="AO98" s="313"/>
      <c r="AP98" s="313"/>
      <c r="AQ98" s="313"/>
      <c r="AR98" s="313"/>
      <c r="AS98" s="313"/>
      <c r="AT98" s="313"/>
      <c r="AU98" s="313"/>
      <c r="AV98" s="313"/>
      <c r="AW98" s="313"/>
      <c r="AX98" s="313"/>
      <c r="AY98" s="313"/>
      <c r="AZ98" s="313"/>
      <c r="BA98" s="313"/>
      <c r="BB98" s="313"/>
      <c r="BC98" s="313"/>
      <c r="BD98" s="313"/>
      <c r="BE98" s="313"/>
      <c r="BF98" s="313"/>
      <c r="BG98" s="313"/>
      <c r="BH98" s="313"/>
      <c r="BI98" s="313"/>
      <c r="BJ98" s="313"/>
      <c r="BK98" s="313"/>
      <c r="BL98" s="313"/>
      <c r="BM98" s="313"/>
      <c r="BN98" s="313"/>
      <c r="BO98" s="313"/>
      <c r="BP98" s="313"/>
      <c r="BQ98" s="313"/>
      <c r="BR98" s="313"/>
      <c r="BS98" s="313"/>
      <c r="BT98" s="313"/>
      <c r="BU98" s="313"/>
      <c r="BV98" s="313"/>
      <c r="BW98" s="313"/>
      <c r="BX98" s="313"/>
      <c r="BY98" s="313"/>
      <c r="BZ98" s="313"/>
      <c r="CA98" s="313"/>
      <c r="CB98" s="313"/>
      <c r="CC98" s="313"/>
      <c r="CD98" s="313"/>
      <c r="CE98" s="313"/>
      <c r="CF98" s="313"/>
      <c r="CG98" s="314"/>
      <c r="CH98" s="309"/>
    </row>
    <row r="99" spans="1:86" s="2" customFormat="1" ht="15.75" customHeight="1">
      <c r="A99" s="286"/>
      <c r="B99" s="10"/>
      <c r="C99" s="12" t="s">
        <v>246</v>
      </c>
      <c r="D99" s="13"/>
      <c r="E99" s="13"/>
      <c r="F99" s="13"/>
      <c r="G99" s="13"/>
      <c r="H99" s="13"/>
      <c r="I99" s="13"/>
      <c r="J99" s="13"/>
      <c r="K99" s="13"/>
      <c r="L99" s="13"/>
      <c r="M99" s="13"/>
      <c r="N99" s="13"/>
      <c r="O99" s="13"/>
      <c r="P99" s="13"/>
      <c r="Q99" s="13"/>
      <c r="R99" s="13"/>
      <c r="S99" s="13"/>
      <c r="T99" s="13"/>
      <c r="U99" s="13"/>
      <c r="V99" s="14"/>
      <c r="W99" s="12" t="s">
        <v>220</v>
      </c>
      <c r="X99" s="13"/>
      <c r="Y99" s="13"/>
      <c r="Z99" s="13"/>
      <c r="AA99" s="13"/>
      <c r="AB99" s="13"/>
      <c r="AC99" s="13"/>
      <c r="AD99" s="13"/>
      <c r="AE99" s="13"/>
      <c r="AF99" s="13"/>
      <c r="AG99" s="13"/>
      <c r="AH99" s="13"/>
      <c r="AI99" s="13"/>
      <c r="AJ99" s="12" t="s">
        <v>247</v>
      </c>
      <c r="AK99" s="13"/>
      <c r="AL99" s="13"/>
      <c r="AM99" s="13"/>
      <c r="AN99" s="13"/>
      <c r="AO99" s="13"/>
      <c r="AP99" s="13"/>
      <c r="AQ99" s="13"/>
      <c r="AR99" s="13"/>
      <c r="AS99" s="13"/>
      <c r="AT99" s="13"/>
      <c r="AU99" s="13"/>
      <c r="AV99" s="13"/>
      <c r="AW99" s="13"/>
      <c r="AX99" s="13"/>
      <c r="AY99" s="13"/>
      <c r="AZ99" s="13"/>
      <c r="BA99" s="13"/>
      <c r="BB99" s="13"/>
      <c r="BC99" s="13"/>
      <c r="BD99" s="13"/>
      <c r="BE99" s="13"/>
      <c r="BF99" s="13"/>
      <c r="BG99" s="13"/>
      <c r="BH99" s="13"/>
      <c r="BI99" s="13"/>
      <c r="BJ99" s="13"/>
      <c r="BK99" s="13"/>
      <c r="BL99" s="13"/>
      <c r="BM99" s="13"/>
      <c r="BN99" s="13"/>
      <c r="BO99" s="13"/>
      <c r="BP99" s="13"/>
      <c r="BQ99" s="13"/>
      <c r="BR99" s="13"/>
      <c r="BS99" s="13"/>
      <c r="BT99" s="13"/>
      <c r="BU99" s="13"/>
      <c r="BV99" s="13"/>
      <c r="BW99" s="13"/>
      <c r="BX99" s="13"/>
      <c r="BY99" s="13"/>
      <c r="BZ99" s="13"/>
      <c r="CA99" s="13"/>
      <c r="CB99" s="13"/>
      <c r="CC99" s="13"/>
      <c r="CD99" s="13"/>
      <c r="CE99" s="13"/>
      <c r="CF99" s="13"/>
      <c r="CG99" s="14"/>
      <c r="CH99" s="309"/>
    </row>
    <row r="100" spans="1:86" s="2" customFormat="1" ht="15.75" customHeight="1">
      <c r="A100" s="286"/>
      <c r="B100" s="10"/>
      <c r="C100" s="12" t="s">
        <v>248</v>
      </c>
      <c r="D100" s="13"/>
      <c r="E100" s="13"/>
      <c r="F100" s="13"/>
      <c r="G100" s="13"/>
      <c r="H100" s="13"/>
      <c r="I100" s="13"/>
      <c r="J100" s="13"/>
      <c r="K100" s="13"/>
      <c r="L100" s="13"/>
      <c r="M100" s="13"/>
      <c r="N100" s="13"/>
      <c r="O100" s="13"/>
      <c r="P100" s="13"/>
      <c r="Q100" s="13"/>
      <c r="R100" s="13"/>
      <c r="S100" s="13"/>
      <c r="T100" s="13"/>
      <c r="U100" s="13"/>
      <c r="V100" s="14"/>
      <c r="W100" s="12" t="s">
        <v>220</v>
      </c>
      <c r="X100" s="13"/>
      <c r="Y100" s="13"/>
      <c r="Z100" s="13"/>
      <c r="AA100" s="13"/>
      <c r="AB100" s="13"/>
      <c r="AC100" s="13"/>
      <c r="AD100" s="13"/>
      <c r="AE100" s="13"/>
      <c r="AF100" s="13"/>
      <c r="AG100" s="13"/>
      <c r="AH100" s="13"/>
      <c r="AI100" s="13"/>
      <c r="AJ100" s="12" t="s">
        <v>249</v>
      </c>
      <c r="AK100" s="13"/>
      <c r="AL100" s="13"/>
      <c r="AM100" s="13"/>
      <c r="AN100" s="13"/>
      <c r="AO100" s="13"/>
      <c r="AP100" s="13"/>
      <c r="AQ100" s="13"/>
      <c r="AR100" s="13"/>
      <c r="AS100" s="13"/>
      <c r="AT100" s="13"/>
      <c r="AU100" s="13"/>
      <c r="AV100" s="13"/>
      <c r="AW100" s="13"/>
      <c r="AX100" s="13"/>
      <c r="AY100" s="13"/>
      <c r="AZ100" s="13"/>
      <c r="BA100" s="13"/>
      <c r="BB100" s="13"/>
      <c r="BC100" s="13"/>
      <c r="BD100" s="13"/>
      <c r="BE100" s="13"/>
      <c r="BF100" s="13"/>
      <c r="BG100" s="13"/>
      <c r="BH100" s="13"/>
      <c r="BI100" s="13"/>
      <c r="BJ100" s="13"/>
      <c r="BK100" s="13"/>
      <c r="BL100" s="13"/>
      <c r="BM100" s="13"/>
      <c r="BN100" s="13"/>
      <c r="BO100" s="13"/>
      <c r="BP100" s="13"/>
      <c r="BQ100" s="13"/>
      <c r="BR100" s="13"/>
      <c r="BS100" s="13"/>
      <c r="BT100" s="13"/>
      <c r="BU100" s="13"/>
      <c r="BV100" s="13"/>
      <c r="BW100" s="13"/>
      <c r="BX100" s="13"/>
      <c r="BY100" s="13"/>
      <c r="BZ100" s="13"/>
      <c r="CA100" s="13"/>
      <c r="CB100" s="13"/>
      <c r="CC100" s="13"/>
      <c r="CD100" s="13"/>
      <c r="CE100" s="13"/>
      <c r="CF100" s="13"/>
      <c r="CG100" s="14"/>
      <c r="CH100" s="309"/>
    </row>
    <row r="101" spans="1:86" s="2" customFormat="1" ht="15.75" customHeight="1">
      <c r="A101" s="286"/>
      <c r="B101" s="10"/>
      <c r="C101" s="12" t="s">
        <v>250</v>
      </c>
      <c r="D101" s="13"/>
      <c r="E101" s="13"/>
      <c r="F101" s="13"/>
      <c r="G101" s="13"/>
      <c r="H101" s="13"/>
      <c r="I101" s="13"/>
      <c r="J101" s="13"/>
      <c r="K101" s="13"/>
      <c r="L101" s="13"/>
      <c r="M101" s="13"/>
      <c r="N101" s="13"/>
      <c r="O101" s="13"/>
      <c r="P101" s="13"/>
      <c r="Q101" s="13"/>
      <c r="R101" s="13"/>
      <c r="S101" s="13"/>
      <c r="T101" s="13"/>
      <c r="U101" s="13"/>
      <c r="V101" s="14"/>
      <c r="W101" s="12" t="s">
        <v>220</v>
      </c>
      <c r="X101" s="13"/>
      <c r="Y101" s="13"/>
      <c r="Z101" s="13"/>
      <c r="AA101" s="13"/>
      <c r="AB101" s="13"/>
      <c r="AC101" s="13"/>
      <c r="AD101" s="13"/>
      <c r="AE101" s="13"/>
      <c r="AF101" s="13"/>
      <c r="AG101" s="13"/>
      <c r="AH101" s="13"/>
      <c r="AI101" s="13"/>
      <c r="AJ101" s="12" t="s">
        <v>251</v>
      </c>
      <c r="AK101" s="13"/>
      <c r="AL101" s="13"/>
      <c r="AM101" s="13"/>
      <c r="AN101" s="13"/>
      <c r="AO101" s="13"/>
      <c r="AP101" s="13"/>
      <c r="AQ101" s="13"/>
      <c r="AR101" s="13"/>
      <c r="AS101" s="13"/>
      <c r="AT101" s="13"/>
      <c r="AU101" s="13"/>
      <c r="AV101" s="13"/>
      <c r="AW101" s="13"/>
      <c r="AX101" s="13"/>
      <c r="AY101" s="13"/>
      <c r="AZ101" s="13"/>
      <c r="BA101" s="13"/>
      <c r="BB101" s="13"/>
      <c r="BC101" s="13"/>
      <c r="BD101" s="13"/>
      <c r="BE101" s="13"/>
      <c r="BF101" s="13"/>
      <c r="BG101" s="13"/>
      <c r="BH101" s="13"/>
      <c r="BI101" s="13"/>
      <c r="BJ101" s="13"/>
      <c r="BK101" s="13"/>
      <c r="BL101" s="13"/>
      <c r="BM101" s="13"/>
      <c r="BN101" s="13"/>
      <c r="BO101" s="13"/>
      <c r="BP101" s="13"/>
      <c r="BQ101" s="13"/>
      <c r="BR101" s="13"/>
      <c r="BS101" s="13"/>
      <c r="BT101" s="13"/>
      <c r="BU101" s="13"/>
      <c r="BV101" s="13"/>
      <c r="BW101" s="13"/>
      <c r="BX101" s="13"/>
      <c r="BY101" s="13"/>
      <c r="BZ101" s="13"/>
      <c r="CA101" s="13"/>
      <c r="CB101" s="13"/>
      <c r="CC101" s="13"/>
      <c r="CD101" s="13"/>
      <c r="CE101" s="13"/>
      <c r="CF101" s="13"/>
      <c r="CG101" s="14"/>
      <c r="CH101" s="309"/>
    </row>
    <row r="102" spans="1:86" s="2" customFormat="1" ht="15.75" customHeight="1">
      <c r="A102" s="286"/>
      <c r="B102" s="10"/>
      <c r="C102" s="12" t="s">
        <v>252</v>
      </c>
      <c r="D102" s="13"/>
      <c r="E102" s="13"/>
      <c r="F102" s="13"/>
      <c r="G102" s="13"/>
      <c r="H102" s="13"/>
      <c r="I102" s="13"/>
      <c r="J102" s="13"/>
      <c r="K102" s="13"/>
      <c r="L102" s="13"/>
      <c r="M102" s="13"/>
      <c r="N102" s="13"/>
      <c r="O102" s="13"/>
      <c r="P102" s="13"/>
      <c r="Q102" s="13"/>
      <c r="R102" s="13"/>
      <c r="S102" s="13"/>
      <c r="T102" s="13"/>
      <c r="U102" s="13"/>
      <c r="V102" s="14"/>
      <c r="W102" s="12" t="s">
        <v>220</v>
      </c>
      <c r="X102" s="13"/>
      <c r="Y102" s="13"/>
      <c r="Z102" s="13"/>
      <c r="AA102" s="13"/>
      <c r="AB102" s="13"/>
      <c r="AC102" s="13"/>
      <c r="AD102" s="13"/>
      <c r="AE102" s="13"/>
      <c r="AF102" s="13"/>
      <c r="AG102" s="13"/>
      <c r="AH102" s="13"/>
      <c r="AI102" s="13"/>
      <c r="AJ102" s="12" t="s">
        <v>253</v>
      </c>
      <c r="AK102" s="13"/>
      <c r="AL102" s="13"/>
      <c r="AM102" s="13"/>
      <c r="AN102" s="13"/>
      <c r="AO102" s="13"/>
      <c r="AP102" s="13"/>
      <c r="AQ102" s="13"/>
      <c r="AR102" s="13"/>
      <c r="AS102" s="13"/>
      <c r="AT102" s="13"/>
      <c r="AU102" s="13"/>
      <c r="AV102" s="13"/>
      <c r="AW102" s="13"/>
      <c r="AX102" s="13"/>
      <c r="AY102" s="13"/>
      <c r="AZ102" s="13"/>
      <c r="BA102" s="13"/>
      <c r="BB102" s="13"/>
      <c r="BC102" s="13"/>
      <c r="BD102" s="13"/>
      <c r="BE102" s="13"/>
      <c r="BF102" s="13"/>
      <c r="BG102" s="13"/>
      <c r="BH102" s="13"/>
      <c r="BI102" s="13"/>
      <c r="BJ102" s="13"/>
      <c r="BK102" s="13"/>
      <c r="BL102" s="13"/>
      <c r="BM102" s="13"/>
      <c r="BN102" s="13"/>
      <c r="BO102" s="13"/>
      <c r="BP102" s="13"/>
      <c r="BQ102" s="13"/>
      <c r="BR102" s="13"/>
      <c r="BS102" s="13"/>
      <c r="BT102" s="13"/>
      <c r="BU102" s="13"/>
      <c r="BV102" s="13"/>
      <c r="BW102" s="13"/>
      <c r="BX102" s="13"/>
      <c r="BY102" s="13"/>
      <c r="BZ102" s="13"/>
      <c r="CA102" s="13"/>
      <c r="CB102" s="13"/>
      <c r="CC102" s="13"/>
      <c r="CD102" s="13"/>
      <c r="CE102" s="13"/>
      <c r="CF102" s="13"/>
      <c r="CG102" s="14"/>
      <c r="CH102" s="309"/>
    </row>
    <row r="103" spans="1:86" s="2" customFormat="1" ht="15.75" customHeight="1">
      <c r="A103" s="286"/>
      <c r="B103" s="10"/>
      <c r="C103" s="12" t="s">
        <v>254</v>
      </c>
      <c r="D103" s="13"/>
      <c r="E103" s="13"/>
      <c r="F103" s="13"/>
      <c r="G103" s="13"/>
      <c r="H103" s="13"/>
      <c r="I103" s="13"/>
      <c r="J103" s="13"/>
      <c r="K103" s="13"/>
      <c r="L103" s="13"/>
      <c r="M103" s="13"/>
      <c r="N103" s="13"/>
      <c r="O103" s="13"/>
      <c r="P103" s="13"/>
      <c r="Q103" s="13"/>
      <c r="R103" s="13"/>
      <c r="S103" s="13"/>
      <c r="T103" s="13"/>
      <c r="U103" s="13"/>
      <c r="V103" s="14"/>
      <c r="W103" s="12" t="s">
        <v>220</v>
      </c>
      <c r="X103" s="13"/>
      <c r="Y103" s="13"/>
      <c r="Z103" s="13"/>
      <c r="AA103" s="13"/>
      <c r="AB103" s="13"/>
      <c r="AC103" s="13"/>
      <c r="AD103" s="13"/>
      <c r="AE103" s="13"/>
      <c r="AF103" s="13"/>
      <c r="AG103" s="13"/>
      <c r="AH103" s="13"/>
      <c r="AI103" s="13"/>
      <c r="AJ103" s="12" t="s">
        <v>255</v>
      </c>
      <c r="AK103" s="13"/>
      <c r="AL103" s="13"/>
      <c r="AM103" s="13"/>
      <c r="AN103" s="13"/>
      <c r="AO103" s="13"/>
      <c r="AP103" s="13"/>
      <c r="AQ103" s="13"/>
      <c r="AR103" s="13"/>
      <c r="AS103" s="13"/>
      <c r="AT103" s="13"/>
      <c r="AU103" s="13"/>
      <c r="AV103" s="13"/>
      <c r="AW103" s="13"/>
      <c r="AX103" s="13"/>
      <c r="AY103" s="13"/>
      <c r="AZ103" s="13"/>
      <c r="BA103" s="13"/>
      <c r="BB103" s="13"/>
      <c r="BC103" s="13"/>
      <c r="BD103" s="13"/>
      <c r="BE103" s="13"/>
      <c r="BF103" s="13"/>
      <c r="BG103" s="13"/>
      <c r="BH103" s="13"/>
      <c r="BI103" s="13"/>
      <c r="BJ103" s="13"/>
      <c r="BK103" s="13"/>
      <c r="BL103" s="13"/>
      <c r="BM103" s="13"/>
      <c r="BN103" s="13"/>
      <c r="BO103" s="13"/>
      <c r="BP103" s="13"/>
      <c r="BQ103" s="13"/>
      <c r="BR103" s="13"/>
      <c r="BS103" s="13"/>
      <c r="BT103" s="13"/>
      <c r="BU103" s="13"/>
      <c r="BV103" s="13"/>
      <c r="BW103" s="13"/>
      <c r="BX103" s="13"/>
      <c r="BY103" s="13"/>
      <c r="BZ103" s="13"/>
      <c r="CA103" s="13"/>
      <c r="CB103" s="13"/>
      <c r="CC103" s="13"/>
      <c r="CD103" s="13"/>
      <c r="CE103" s="13"/>
      <c r="CF103" s="13"/>
      <c r="CG103" s="14"/>
      <c r="CH103" s="309"/>
    </row>
    <row r="104" spans="1:86" s="2" customFormat="1" ht="15.75" customHeight="1">
      <c r="A104" s="286"/>
      <c r="B104" s="10"/>
      <c r="C104" s="12" t="s">
        <v>256</v>
      </c>
      <c r="D104" s="13"/>
      <c r="E104" s="13"/>
      <c r="F104" s="13"/>
      <c r="G104" s="13"/>
      <c r="H104" s="13"/>
      <c r="I104" s="13"/>
      <c r="J104" s="13"/>
      <c r="K104" s="13"/>
      <c r="L104" s="13"/>
      <c r="M104" s="13"/>
      <c r="N104" s="13"/>
      <c r="O104" s="13"/>
      <c r="P104" s="13"/>
      <c r="Q104" s="13"/>
      <c r="R104" s="13"/>
      <c r="S104" s="13"/>
      <c r="T104" s="13"/>
      <c r="U104" s="13"/>
      <c r="V104" s="14"/>
      <c r="W104" s="12" t="s">
        <v>220</v>
      </c>
      <c r="X104" s="13"/>
      <c r="Y104" s="13"/>
      <c r="Z104" s="13"/>
      <c r="AA104" s="13"/>
      <c r="AB104" s="13"/>
      <c r="AC104" s="13"/>
      <c r="AD104" s="13"/>
      <c r="AE104" s="13"/>
      <c r="AF104" s="13"/>
      <c r="AG104" s="13"/>
      <c r="AH104" s="13"/>
      <c r="AI104" s="13"/>
      <c r="AJ104" s="12" t="s">
        <v>257</v>
      </c>
      <c r="AK104" s="13"/>
      <c r="AL104" s="13"/>
      <c r="AM104" s="13"/>
      <c r="AN104" s="13"/>
      <c r="AO104" s="13"/>
      <c r="AP104" s="13"/>
      <c r="AQ104" s="13"/>
      <c r="AR104" s="13"/>
      <c r="AS104" s="13"/>
      <c r="AT104" s="13"/>
      <c r="AU104" s="13"/>
      <c r="AV104" s="13"/>
      <c r="AW104" s="13"/>
      <c r="AX104" s="13"/>
      <c r="AY104" s="13"/>
      <c r="AZ104" s="13"/>
      <c r="BA104" s="13"/>
      <c r="BB104" s="13"/>
      <c r="BC104" s="13"/>
      <c r="BD104" s="13"/>
      <c r="BE104" s="13"/>
      <c r="BF104" s="13"/>
      <c r="BG104" s="13"/>
      <c r="BH104" s="13"/>
      <c r="BI104" s="13"/>
      <c r="BJ104" s="13"/>
      <c r="BK104" s="13"/>
      <c r="BL104" s="13"/>
      <c r="BM104" s="13"/>
      <c r="BN104" s="13"/>
      <c r="BO104" s="13"/>
      <c r="BP104" s="13"/>
      <c r="BQ104" s="13"/>
      <c r="BR104" s="13"/>
      <c r="BS104" s="13"/>
      <c r="BT104" s="13"/>
      <c r="BU104" s="13"/>
      <c r="BV104" s="13"/>
      <c r="BW104" s="13"/>
      <c r="BX104" s="13"/>
      <c r="BY104" s="13"/>
      <c r="BZ104" s="13"/>
      <c r="CA104" s="13"/>
      <c r="CB104" s="13"/>
      <c r="CC104" s="13"/>
      <c r="CD104" s="13"/>
      <c r="CE104" s="13"/>
      <c r="CF104" s="13"/>
      <c r="CG104" s="14"/>
      <c r="CH104" s="309"/>
    </row>
    <row r="105" spans="1:86" s="2" customFormat="1" ht="15.75" customHeight="1">
      <c r="A105" s="286"/>
      <c r="B105" s="10"/>
      <c r="C105" s="12" t="s">
        <v>258</v>
      </c>
      <c r="D105" s="13"/>
      <c r="E105" s="13"/>
      <c r="F105" s="13"/>
      <c r="G105" s="13"/>
      <c r="H105" s="13"/>
      <c r="I105" s="13"/>
      <c r="J105" s="13"/>
      <c r="K105" s="13"/>
      <c r="L105" s="13"/>
      <c r="M105" s="13"/>
      <c r="N105" s="13"/>
      <c r="O105" s="13"/>
      <c r="P105" s="13"/>
      <c r="Q105" s="13"/>
      <c r="R105" s="13"/>
      <c r="S105" s="13"/>
      <c r="T105" s="13"/>
      <c r="U105" s="13"/>
      <c r="V105" s="14"/>
      <c r="W105" s="12" t="s">
        <v>223</v>
      </c>
      <c r="X105" s="13"/>
      <c r="Y105" s="13"/>
      <c r="Z105" s="13"/>
      <c r="AA105" s="13"/>
      <c r="AB105" s="13"/>
      <c r="AC105" s="13"/>
      <c r="AD105" s="13"/>
      <c r="AE105" s="13"/>
      <c r="AF105" s="13"/>
      <c r="AG105" s="13"/>
      <c r="AH105" s="13"/>
      <c r="AI105" s="13"/>
      <c r="AJ105" s="12" t="s">
        <v>259</v>
      </c>
      <c r="AK105" s="13"/>
      <c r="AL105" s="13"/>
      <c r="AM105" s="13"/>
      <c r="AN105" s="13"/>
      <c r="AO105" s="13"/>
      <c r="AP105" s="13"/>
      <c r="AQ105" s="13"/>
      <c r="AR105" s="13"/>
      <c r="AS105" s="13"/>
      <c r="AT105" s="13"/>
      <c r="AU105" s="13"/>
      <c r="AV105" s="13"/>
      <c r="AW105" s="13"/>
      <c r="AX105" s="13"/>
      <c r="AY105" s="13"/>
      <c r="AZ105" s="13"/>
      <c r="BA105" s="13"/>
      <c r="BB105" s="13"/>
      <c r="BC105" s="13"/>
      <c r="BD105" s="13"/>
      <c r="BE105" s="13"/>
      <c r="BF105" s="13"/>
      <c r="BG105" s="13"/>
      <c r="BH105" s="13"/>
      <c r="BI105" s="13"/>
      <c r="BJ105" s="13"/>
      <c r="BK105" s="13"/>
      <c r="BL105" s="13"/>
      <c r="BM105" s="13"/>
      <c r="BN105" s="13"/>
      <c r="BO105" s="13"/>
      <c r="BP105" s="13"/>
      <c r="BQ105" s="13"/>
      <c r="BR105" s="13"/>
      <c r="BS105" s="13"/>
      <c r="BT105" s="13"/>
      <c r="BU105" s="13"/>
      <c r="BV105" s="13"/>
      <c r="BW105" s="13"/>
      <c r="BX105" s="13"/>
      <c r="BY105" s="13"/>
      <c r="BZ105" s="13"/>
      <c r="CA105" s="13"/>
      <c r="CB105" s="13"/>
      <c r="CC105" s="13"/>
      <c r="CD105" s="13"/>
      <c r="CE105" s="13"/>
      <c r="CF105" s="13"/>
      <c r="CG105" s="14"/>
      <c r="CH105" s="309"/>
    </row>
    <row r="106" spans="1:86" s="2" customFormat="1" ht="15.75" customHeight="1">
      <c r="A106" s="286"/>
      <c r="B106" s="10"/>
      <c r="C106" s="12" t="s">
        <v>260</v>
      </c>
      <c r="D106" s="13"/>
      <c r="E106" s="13"/>
      <c r="F106" s="13"/>
      <c r="G106" s="13"/>
      <c r="H106" s="13"/>
      <c r="I106" s="13"/>
      <c r="J106" s="13"/>
      <c r="K106" s="13"/>
      <c r="L106" s="13"/>
      <c r="M106" s="13"/>
      <c r="N106" s="13"/>
      <c r="O106" s="13"/>
      <c r="P106" s="13"/>
      <c r="Q106" s="13"/>
      <c r="R106" s="13"/>
      <c r="S106" s="13"/>
      <c r="T106" s="13"/>
      <c r="U106" s="13"/>
      <c r="V106" s="14"/>
      <c r="W106" s="12" t="s">
        <v>223</v>
      </c>
      <c r="X106" s="13"/>
      <c r="Y106" s="13"/>
      <c r="Z106" s="13"/>
      <c r="AA106" s="13"/>
      <c r="AB106" s="13"/>
      <c r="AC106" s="13"/>
      <c r="AD106" s="13"/>
      <c r="AE106" s="13"/>
      <c r="AF106" s="13"/>
      <c r="AG106" s="13"/>
      <c r="AH106" s="13"/>
      <c r="AI106" s="13"/>
      <c r="AJ106" s="12" t="s">
        <v>261</v>
      </c>
      <c r="AK106" s="13"/>
      <c r="AL106" s="13"/>
      <c r="AM106" s="13"/>
      <c r="AN106" s="13"/>
      <c r="AO106" s="13"/>
      <c r="AP106" s="13"/>
      <c r="AQ106" s="13"/>
      <c r="AR106" s="13"/>
      <c r="AS106" s="13"/>
      <c r="AT106" s="13"/>
      <c r="AU106" s="13"/>
      <c r="AV106" s="13"/>
      <c r="AW106" s="13"/>
      <c r="AX106" s="13"/>
      <c r="AY106" s="13"/>
      <c r="AZ106" s="13"/>
      <c r="BA106" s="13"/>
      <c r="BB106" s="13"/>
      <c r="BC106" s="13"/>
      <c r="BD106" s="13"/>
      <c r="BE106" s="13"/>
      <c r="BF106" s="13"/>
      <c r="BG106" s="13"/>
      <c r="BH106" s="13"/>
      <c r="BI106" s="13"/>
      <c r="BJ106" s="13"/>
      <c r="BK106" s="13"/>
      <c r="BL106" s="13"/>
      <c r="BM106" s="13"/>
      <c r="BN106" s="13"/>
      <c r="BO106" s="13"/>
      <c r="BP106" s="13"/>
      <c r="BQ106" s="13"/>
      <c r="BR106" s="13"/>
      <c r="BS106" s="13"/>
      <c r="BT106" s="13"/>
      <c r="BU106" s="13"/>
      <c r="BV106" s="13"/>
      <c r="BW106" s="13"/>
      <c r="BX106" s="13"/>
      <c r="BY106" s="13"/>
      <c r="BZ106" s="13"/>
      <c r="CA106" s="13"/>
      <c r="CB106" s="13"/>
      <c r="CC106" s="13"/>
      <c r="CD106" s="13"/>
      <c r="CE106" s="13"/>
      <c r="CF106" s="13"/>
      <c r="CG106" s="14"/>
      <c r="CH106" s="309"/>
    </row>
    <row r="107" spans="1:86" s="2" customFormat="1" ht="15.75" customHeight="1">
      <c r="A107" s="9"/>
      <c r="B107" s="142"/>
      <c r="Q107" s="94"/>
      <c r="BD107" s="10"/>
      <c r="BE107" s="10"/>
      <c r="BF107" s="10"/>
      <c r="BG107" s="10"/>
      <c r="BH107" s="10"/>
      <c r="BI107" s="10"/>
      <c r="BJ107" s="10"/>
      <c r="BK107" s="10"/>
      <c r="BL107" s="10"/>
      <c r="BM107" s="10"/>
      <c r="BN107" s="10"/>
      <c r="BO107" s="10"/>
      <c r="BP107" s="10"/>
      <c r="BQ107" s="10"/>
      <c r="BR107" s="10"/>
      <c r="BS107" s="10"/>
      <c r="BT107" s="10"/>
      <c r="BU107" s="10"/>
      <c r="BV107" s="10"/>
      <c r="BW107" s="10"/>
      <c r="BX107" s="10"/>
      <c r="BY107" s="10"/>
      <c r="BZ107" s="10"/>
      <c r="CA107" s="10"/>
      <c r="CB107" s="10"/>
      <c r="CC107" s="10"/>
      <c r="CD107" s="10"/>
      <c r="CE107" s="10"/>
      <c r="CF107" s="10"/>
      <c r="CG107" s="10"/>
      <c r="CH107" s="51"/>
    </row>
    <row r="108" spans="1:86" s="2" customFormat="1" ht="15.75" customHeight="1">
      <c r="A108" s="9"/>
      <c r="B108" s="142" t="s">
        <v>262</v>
      </c>
      <c r="C108" s="285"/>
      <c r="D108" s="285"/>
      <c r="E108" s="312"/>
      <c r="F108" s="312"/>
      <c r="G108" s="312"/>
      <c r="H108" s="285"/>
      <c r="I108" s="285"/>
      <c r="J108" s="285"/>
      <c r="K108" s="285"/>
      <c r="L108" s="285"/>
      <c r="M108" s="285"/>
      <c r="N108" s="285"/>
      <c r="O108" s="285"/>
      <c r="P108" s="285"/>
      <c r="Q108" s="285"/>
      <c r="R108" s="285"/>
      <c r="S108" s="285"/>
      <c r="T108" s="285"/>
      <c r="U108" s="285"/>
      <c r="V108" s="285"/>
      <c r="W108" s="285"/>
      <c r="X108" s="285"/>
      <c r="Y108" s="285"/>
      <c r="Z108" s="285"/>
      <c r="AA108" s="285"/>
      <c r="AB108" s="285"/>
      <c r="AC108" s="285"/>
      <c r="AD108" s="285"/>
      <c r="AE108" s="285"/>
      <c r="AF108" s="285"/>
      <c r="AG108" s="285"/>
      <c r="AH108" s="285"/>
      <c r="AI108" s="285"/>
      <c r="AJ108" s="285"/>
      <c r="AK108" s="285"/>
      <c r="AL108" s="285"/>
      <c r="AM108" s="285"/>
      <c r="AN108" s="285"/>
      <c r="AO108" s="285"/>
      <c r="AP108" s="285"/>
      <c r="AQ108" s="285"/>
      <c r="AR108" s="285"/>
      <c r="AS108" s="285"/>
      <c r="AT108" s="285"/>
      <c r="AU108" s="285"/>
      <c r="AV108" s="285"/>
      <c r="AW108" s="285"/>
      <c r="AX108" s="285"/>
      <c r="AY108" s="285"/>
      <c r="AZ108" s="285"/>
      <c r="BA108" s="285"/>
      <c r="BB108" s="285"/>
      <c r="BC108" s="285"/>
      <c r="BD108" s="285"/>
      <c r="BE108" s="285"/>
      <c r="BF108" s="285"/>
      <c r="BG108" s="285"/>
      <c r="BH108" s="285"/>
      <c r="BI108" s="285"/>
      <c r="BJ108" s="285"/>
      <c r="BK108" s="285"/>
      <c r="BL108" s="285"/>
      <c r="BM108" s="285"/>
      <c r="BN108" s="285"/>
      <c r="BO108" s="285"/>
      <c r="BP108" s="285"/>
      <c r="BQ108" s="285"/>
      <c r="BR108" s="285"/>
      <c r="BS108" s="285"/>
      <c r="BT108" s="285"/>
      <c r="BU108" s="285"/>
      <c r="BV108" s="285"/>
      <c r="BW108" s="285"/>
      <c r="BX108" s="285"/>
      <c r="BY108" s="285"/>
      <c r="BZ108" s="285"/>
      <c r="CA108" s="285"/>
      <c r="CB108" s="285"/>
      <c r="CC108" s="285"/>
      <c r="CD108" s="285"/>
      <c r="CE108" s="285"/>
      <c r="CF108" s="285"/>
      <c r="CG108" s="285"/>
      <c r="CH108" s="51"/>
    </row>
    <row r="109" spans="1:86" s="2" customFormat="1" ht="15.75" customHeight="1">
      <c r="A109" s="9"/>
      <c r="B109" s="142"/>
      <c r="C109" s="285"/>
      <c r="D109" s="285"/>
      <c r="E109" s="312"/>
      <c r="F109" s="312"/>
      <c r="G109" s="312"/>
      <c r="H109" s="285"/>
      <c r="I109" s="285"/>
      <c r="J109" s="285"/>
      <c r="K109" s="285"/>
      <c r="L109" s="285"/>
      <c r="M109" s="285"/>
      <c r="N109" s="285"/>
      <c r="O109" s="285"/>
      <c r="P109" s="285"/>
      <c r="Q109" s="285"/>
      <c r="R109" s="285"/>
      <c r="S109" s="285"/>
      <c r="T109" s="285"/>
      <c r="U109" s="285"/>
      <c r="V109" s="285"/>
      <c r="W109" s="285"/>
      <c r="X109" s="285"/>
      <c r="Y109" s="285"/>
      <c r="Z109" s="285"/>
      <c r="AA109" s="285"/>
      <c r="AB109" s="285"/>
      <c r="AC109" s="285"/>
      <c r="AD109" s="285"/>
      <c r="AE109" s="285"/>
      <c r="AF109" s="285"/>
      <c r="AG109" s="285"/>
      <c r="AH109" s="285"/>
      <c r="AI109" s="285"/>
      <c r="AJ109" s="285"/>
      <c r="AK109" s="285"/>
      <c r="AL109" s="285"/>
      <c r="AM109" s="285"/>
      <c r="AN109" s="285"/>
      <c r="AO109" s="285"/>
      <c r="AP109" s="285"/>
      <c r="AQ109" s="285"/>
      <c r="AR109" s="285"/>
      <c r="AS109" s="285"/>
      <c r="AT109" s="285"/>
      <c r="AU109" s="285"/>
      <c r="AV109" s="285"/>
      <c r="AW109" s="285"/>
      <c r="AX109" s="285"/>
      <c r="AY109" s="285"/>
      <c r="AZ109" s="285"/>
      <c r="BA109" s="285"/>
      <c r="BB109" s="285"/>
      <c r="BC109" s="285"/>
      <c r="BD109" s="285"/>
      <c r="BE109" s="285"/>
      <c r="BF109" s="285"/>
      <c r="BG109" s="285"/>
      <c r="BH109" s="285"/>
      <c r="BI109" s="285"/>
      <c r="BJ109" s="285"/>
      <c r="BK109" s="285"/>
      <c r="BL109" s="285"/>
      <c r="BM109" s="285"/>
      <c r="BN109" s="285"/>
      <c r="BO109" s="285"/>
      <c r="BP109" s="285"/>
      <c r="BQ109" s="285"/>
      <c r="BR109" s="285"/>
      <c r="BS109" s="285"/>
      <c r="BT109" s="285"/>
      <c r="BU109" s="285"/>
      <c r="BV109" s="285"/>
      <c r="BW109" s="285"/>
      <c r="BX109" s="285"/>
      <c r="BY109" s="285"/>
      <c r="BZ109" s="285"/>
      <c r="CA109" s="285"/>
      <c r="CB109" s="285"/>
      <c r="CC109" s="285"/>
      <c r="CD109" s="285"/>
      <c r="CE109" s="285"/>
      <c r="CF109" s="285"/>
      <c r="CG109" s="285"/>
      <c r="CH109" s="51"/>
    </row>
    <row r="110" spans="1:86" s="2" customFormat="1" ht="15.75" customHeight="1">
      <c r="A110" s="9"/>
      <c r="B110" s="285"/>
      <c r="C110" s="132" t="s">
        <v>263</v>
      </c>
      <c r="D110" s="313"/>
      <c r="E110" s="313"/>
      <c r="F110" s="313"/>
      <c r="G110" s="313"/>
      <c r="H110" s="313"/>
      <c r="I110" s="314"/>
      <c r="J110" s="132" t="s">
        <v>264</v>
      </c>
      <c r="K110" s="313"/>
      <c r="L110" s="313"/>
      <c r="M110" s="313"/>
      <c r="N110" s="313"/>
      <c r="O110" s="313"/>
      <c r="P110" s="313"/>
      <c r="Q110" s="132" t="s">
        <v>265</v>
      </c>
      <c r="R110" s="313"/>
      <c r="S110" s="313"/>
      <c r="T110" s="313"/>
      <c r="U110" s="313"/>
      <c r="V110" s="313"/>
      <c r="W110" s="313"/>
      <c r="X110" s="313"/>
      <c r="Y110" s="313"/>
      <c r="Z110" s="313"/>
      <c r="AA110" s="313"/>
      <c r="AB110" s="313"/>
      <c r="AC110" s="313"/>
      <c r="AD110" s="313"/>
      <c r="AE110" s="313"/>
      <c r="AF110" s="313"/>
      <c r="AG110" s="313"/>
      <c r="AH110" s="313"/>
      <c r="AI110" s="313"/>
      <c r="AJ110" s="313"/>
      <c r="AK110" s="313"/>
      <c r="AL110" s="313"/>
      <c r="AM110" s="313"/>
      <c r="AN110" s="313"/>
      <c r="AO110" s="313"/>
      <c r="AP110" s="313"/>
      <c r="AQ110" s="313"/>
      <c r="AR110" s="313"/>
      <c r="AS110" s="313"/>
      <c r="AT110" s="313"/>
      <c r="AU110" s="313"/>
      <c r="AV110" s="313"/>
      <c r="AW110" s="313"/>
      <c r="AX110" s="313"/>
      <c r="AY110" s="313"/>
      <c r="AZ110" s="314"/>
      <c r="BA110" s="132" t="s">
        <v>266</v>
      </c>
      <c r="BB110" s="313"/>
      <c r="BC110" s="313"/>
      <c r="BD110" s="313"/>
      <c r="BE110" s="313"/>
      <c r="BF110" s="313"/>
      <c r="BG110" s="313"/>
      <c r="BH110" s="313"/>
      <c r="BI110" s="313"/>
      <c r="BJ110" s="313"/>
      <c r="BK110" s="313"/>
      <c r="BL110" s="313"/>
      <c r="BM110" s="313"/>
      <c r="BN110" s="313"/>
      <c r="BO110" s="313"/>
      <c r="BP110" s="313"/>
      <c r="BQ110" s="313"/>
      <c r="BR110" s="313"/>
      <c r="BS110" s="313"/>
      <c r="BT110" s="313"/>
      <c r="BU110" s="313"/>
      <c r="BV110" s="313"/>
      <c r="BW110" s="313"/>
      <c r="BX110" s="313"/>
      <c r="BY110" s="313"/>
      <c r="BZ110" s="313"/>
      <c r="CA110" s="313"/>
      <c r="CB110" s="313"/>
      <c r="CC110" s="313"/>
      <c r="CD110" s="313"/>
      <c r="CE110" s="313"/>
      <c r="CF110" s="313"/>
      <c r="CG110" s="314"/>
      <c r="CH110" s="51"/>
    </row>
    <row r="111" spans="1:86" s="2" customFormat="1" ht="15.75" customHeight="1">
      <c r="A111" s="9"/>
      <c r="B111" s="10"/>
      <c r="C111" s="12" t="s">
        <v>220</v>
      </c>
      <c r="D111" s="13"/>
      <c r="E111" s="13"/>
      <c r="F111" s="13"/>
      <c r="G111" s="13"/>
      <c r="H111" s="13"/>
      <c r="I111" s="14"/>
      <c r="J111" s="13" t="s">
        <v>267</v>
      </c>
      <c r="K111" s="13"/>
      <c r="L111" s="13"/>
      <c r="M111" s="13"/>
      <c r="N111" s="13"/>
      <c r="O111" s="13"/>
      <c r="P111" s="13"/>
      <c r="Q111" s="12" t="s">
        <v>268</v>
      </c>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4"/>
      <c r="BA111" s="12" t="s">
        <v>269</v>
      </c>
      <c r="BB111" s="13"/>
      <c r="BC111" s="13"/>
      <c r="BD111" s="13"/>
      <c r="BE111" s="13"/>
      <c r="BF111" s="13"/>
      <c r="BG111" s="13"/>
      <c r="BH111" s="13"/>
      <c r="BI111" s="13"/>
      <c r="BJ111" s="13"/>
      <c r="BK111" s="13"/>
      <c r="BL111" s="13"/>
      <c r="BM111" s="13"/>
      <c r="BN111" s="13"/>
      <c r="BO111" s="13"/>
      <c r="BP111" s="13"/>
      <c r="BQ111" s="13"/>
      <c r="BR111" s="13"/>
      <c r="BS111" s="13"/>
      <c r="BT111" s="13"/>
      <c r="BU111" s="13"/>
      <c r="BV111" s="13"/>
      <c r="BW111" s="13"/>
      <c r="BX111" s="13"/>
      <c r="BY111" s="13"/>
      <c r="BZ111" s="13"/>
      <c r="CA111" s="13"/>
      <c r="CB111" s="13"/>
      <c r="CC111" s="13"/>
      <c r="CD111" s="13"/>
      <c r="CE111" s="13"/>
      <c r="CF111" s="13"/>
      <c r="CG111" s="14"/>
      <c r="CH111" s="51"/>
    </row>
    <row r="112" spans="1:86" s="2" customFormat="1" ht="15.75" customHeight="1">
      <c r="A112" s="9"/>
      <c r="B112" s="10"/>
      <c r="C112" s="12" t="s">
        <v>220</v>
      </c>
      <c r="D112" s="13"/>
      <c r="E112" s="13"/>
      <c r="F112" s="13"/>
      <c r="G112" s="13"/>
      <c r="H112" s="13"/>
      <c r="I112" s="14"/>
      <c r="J112" s="13" t="s">
        <v>267</v>
      </c>
      <c r="K112" s="13"/>
      <c r="L112" s="13"/>
      <c r="M112" s="13"/>
      <c r="N112" s="13"/>
      <c r="O112" s="13"/>
      <c r="P112" s="13"/>
      <c r="Q112" s="12" t="s">
        <v>270</v>
      </c>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4"/>
      <c r="BA112" s="12" t="s">
        <v>271</v>
      </c>
      <c r="BB112" s="13"/>
      <c r="BC112" s="13"/>
      <c r="BD112" s="13"/>
      <c r="BE112" s="13"/>
      <c r="BF112" s="13"/>
      <c r="BG112" s="13"/>
      <c r="BH112" s="13"/>
      <c r="BI112" s="13"/>
      <c r="BJ112" s="13"/>
      <c r="BK112" s="13"/>
      <c r="BL112" s="13"/>
      <c r="BM112" s="13"/>
      <c r="BN112" s="13"/>
      <c r="BO112" s="13"/>
      <c r="BP112" s="13"/>
      <c r="BQ112" s="13"/>
      <c r="BR112" s="13"/>
      <c r="BS112" s="13"/>
      <c r="BT112" s="13"/>
      <c r="BU112" s="13"/>
      <c r="BV112" s="13"/>
      <c r="BW112" s="13"/>
      <c r="BX112" s="13"/>
      <c r="BY112" s="13"/>
      <c r="BZ112" s="13"/>
      <c r="CA112" s="13"/>
      <c r="CB112" s="13"/>
      <c r="CC112" s="13"/>
      <c r="CD112" s="13"/>
      <c r="CE112" s="13"/>
      <c r="CF112" s="13"/>
      <c r="CG112" s="14"/>
      <c r="CH112" s="51"/>
    </row>
    <row r="113" spans="1:86" s="2" customFormat="1" ht="15.75" customHeight="1">
      <c r="A113" s="9"/>
      <c r="B113" s="10"/>
      <c r="C113" s="12" t="s">
        <v>223</v>
      </c>
      <c r="D113" s="13"/>
      <c r="E113" s="13"/>
      <c r="F113" s="13"/>
      <c r="G113" s="13"/>
      <c r="H113" s="13"/>
      <c r="I113" s="14"/>
      <c r="J113" s="13" t="s">
        <v>267</v>
      </c>
      <c r="K113" s="13"/>
      <c r="L113" s="13"/>
      <c r="M113" s="13"/>
      <c r="N113" s="13"/>
      <c r="O113" s="13"/>
      <c r="P113" s="13"/>
      <c r="Q113" s="12" t="s">
        <v>272</v>
      </c>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4"/>
      <c r="BA113" s="12"/>
      <c r="BB113" s="13"/>
      <c r="BC113" s="13"/>
      <c r="BD113" s="13"/>
      <c r="BE113" s="13"/>
      <c r="BF113" s="13"/>
      <c r="BG113" s="13"/>
      <c r="BH113" s="13"/>
      <c r="BI113" s="13"/>
      <c r="BJ113" s="13"/>
      <c r="BK113" s="13"/>
      <c r="BL113" s="13"/>
      <c r="BM113" s="13"/>
      <c r="BN113" s="13"/>
      <c r="BO113" s="13"/>
      <c r="BP113" s="13"/>
      <c r="BQ113" s="13"/>
      <c r="BR113" s="13"/>
      <c r="BS113" s="13"/>
      <c r="BT113" s="13"/>
      <c r="BU113" s="13"/>
      <c r="BV113" s="13"/>
      <c r="BW113" s="13"/>
      <c r="BX113" s="13"/>
      <c r="BY113" s="13"/>
      <c r="BZ113" s="13"/>
      <c r="CA113" s="13"/>
      <c r="CB113" s="13"/>
      <c r="CC113" s="13"/>
      <c r="CD113" s="13"/>
      <c r="CE113" s="13"/>
      <c r="CF113" s="13"/>
      <c r="CG113" s="14"/>
      <c r="CH113" s="51"/>
    </row>
    <row r="114" spans="1:86" s="2" customFormat="1" ht="15.75" customHeight="1">
      <c r="A114" s="9"/>
      <c r="B114" s="10"/>
      <c r="Q114" s="94"/>
      <c r="CH114" s="51"/>
    </row>
    <row r="115" spans="1:86" s="2" customFormat="1" ht="15.75" customHeight="1">
      <c r="A115" s="9"/>
      <c r="B115" s="142" t="s">
        <v>273</v>
      </c>
      <c r="C115" s="285"/>
      <c r="D115" s="285"/>
      <c r="E115" s="312"/>
      <c r="F115" s="312"/>
      <c r="G115" s="312"/>
      <c r="H115" s="285"/>
      <c r="I115" s="285"/>
      <c r="J115" s="285"/>
      <c r="K115" s="285"/>
      <c r="L115" s="285"/>
      <c r="M115" s="285"/>
      <c r="N115" s="285"/>
      <c r="O115" s="285"/>
      <c r="P115" s="285"/>
      <c r="Q115" s="285"/>
      <c r="R115" s="285"/>
      <c r="S115" s="285"/>
      <c r="T115" s="285"/>
      <c r="U115" s="285"/>
      <c r="V115" s="285"/>
      <c r="W115" s="285"/>
      <c r="X115" s="285"/>
      <c r="Y115" s="285"/>
      <c r="Z115" s="285"/>
      <c r="AA115" s="285"/>
      <c r="AB115" s="285"/>
      <c r="AC115" s="285"/>
      <c r="AD115" s="285"/>
      <c r="AE115" s="285"/>
      <c r="AF115" s="285"/>
      <c r="AG115" s="285"/>
      <c r="AH115" s="285"/>
      <c r="AI115" s="285"/>
      <c r="AJ115" s="285"/>
      <c r="AK115" s="285"/>
      <c r="AL115" s="285"/>
      <c r="AM115" s="285"/>
      <c r="AN115" s="285"/>
      <c r="AO115" s="285"/>
      <c r="AP115" s="285"/>
      <c r="AQ115" s="285"/>
      <c r="AR115" s="285"/>
      <c r="AS115" s="285"/>
      <c r="AT115" s="285"/>
      <c r="AU115" s="285"/>
      <c r="AV115" s="285"/>
      <c r="AW115" s="285"/>
      <c r="AX115" s="285"/>
      <c r="AY115" s="285"/>
      <c r="AZ115" s="285"/>
      <c r="BA115" s="285"/>
      <c r="BB115" s="285"/>
      <c r="BC115" s="285"/>
      <c r="BD115" s="285"/>
      <c r="BE115" s="285"/>
      <c r="BF115" s="285"/>
      <c r="BG115" s="285"/>
      <c r="BH115" s="285"/>
      <c r="BI115" s="285"/>
      <c r="BJ115" s="285"/>
      <c r="BK115" s="285"/>
      <c r="BL115" s="285"/>
      <c r="BM115" s="285"/>
      <c r="BN115" s="285"/>
      <c r="BO115" s="285"/>
      <c r="BP115" s="285"/>
      <c r="BQ115" s="285"/>
      <c r="BR115" s="285"/>
      <c r="BS115" s="285"/>
      <c r="BT115" s="285"/>
      <c r="BU115" s="285"/>
      <c r="BV115" s="285"/>
      <c r="BW115" s="285"/>
      <c r="BX115" s="285"/>
      <c r="BY115" s="285"/>
      <c r="BZ115" s="285"/>
      <c r="CA115" s="285"/>
      <c r="CB115" s="285"/>
      <c r="CC115" s="285"/>
      <c r="CD115" s="285"/>
      <c r="CE115" s="285"/>
      <c r="CF115" s="285"/>
      <c r="CG115" s="285"/>
      <c r="CH115" s="51"/>
    </row>
    <row r="116" spans="1:86" s="2" customFormat="1" ht="15.75" customHeight="1">
      <c r="A116" s="9"/>
      <c r="B116" s="142"/>
      <c r="C116" s="285"/>
      <c r="D116" s="285"/>
      <c r="E116" s="312"/>
      <c r="F116" s="312"/>
      <c r="G116" s="312"/>
      <c r="H116" s="285"/>
      <c r="I116" s="285"/>
      <c r="J116" s="285"/>
      <c r="K116" s="285"/>
      <c r="L116" s="285"/>
      <c r="M116" s="285"/>
      <c r="N116" s="285"/>
      <c r="O116" s="285"/>
      <c r="P116" s="285"/>
      <c r="Q116" s="285"/>
      <c r="R116" s="285"/>
      <c r="S116" s="285"/>
      <c r="T116" s="285"/>
      <c r="U116" s="285"/>
      <c r="V116" s="285"/>
      <c r="W116" s="285"/>
      <c r="X116" s="285"/>
      <c r="Y116" s="285"/>
      <c r="Z116" s="285"/>
      <c r="AA116" s="285"/>
      <c r="AB116" s="285"/>
      <c r="AC116" s="285"/>
      <c r="AD116" s="285"/>
      <c r="AE116" s="285"/>
      <c r="AF116" s="285"/>
      <c r="AG116" s="285"/>
      <c r="AH116" s="285"/>
      <c r="AI116" s="285"/>
      <c r="AJ116" s="285"/>
      <c r="AK116" s="285"/>
      <c r="AL116" s="285"/>
      <c r="AM116" s="285"/>
      <c r="AN116" s="285"/>
      <c r="AO116" s="285"/>
      <c r="AP116" s="285"/>
      <c r="AQ116" s="285"/>
      <c r="AR116" s="285"/>
      <c r="AS116" s="285"/>
      <c r="AT116" s="285"/>
      <c r="AU116" s="285"/>
      <c r="AV116" s="285"/>
      <c r="AW116" s="285"/>
      <c r="AX116" s="285"/>
      <c r="AY116" s="285"/>
      <c r="AZ116" s="285"/>
      <c r="BA116" s="285"/>
      <c r="BB116" s="285"/>
      <c r="BC116" s="285"/>
      <c r="BD116" s="285"/>
      <c r="BE116" s="285"/>
      <c r="BF116" s="285"/>
      <c r="BG116" s="285"/>
      <c r="BH116" s="285"/>
      <c r="BI116" s="285"/>
      <c r="BJ116" s="285"/>
      <c r="BK116" s="285"/>
      <c r="BL116" s="285"/>
      <c r="BM116" s="285"/>
      <c r="BN116" s="285"/>
      <c r="BO116" s="285"/>
      <c r="BP116" s="285"/>
      <c r="BQ116" s="285"/>
      <c r="BR116" s="285"/>
      <c r="BS116" s="285"/>
      <c r="BT116" s="285"/>
      <c r="BU116" s="285"/>
      <c r="BV116" s="285"/>
      <c r="BW116" s="285"/>
      <c r="BX116" s="285"/>
      <c r="BY116" s="285"/>
      <c r="BZ116" s="285"/>
      <c r="CA116" s="285"/>
      <c r="CB116" s="285"/>
      <c r="CC116" s="285"/>
      <c r="CD116" s="285"/>
      <c r="CE116" s="285"/>
      <c r="CF116" s="285"/>
      <c r="CG116" s="285"/>
      <c r="CH116" s="51"/>
    </row>
    <row r="117" spans="1:86" s="2" customFormat="1" ht="15.75" customHeight="1">
      <c r="A117" s="9"/>
      <c r="B117" s="10"/>
      <c r="C117" s="132" t="s">
        <v>274</v>
      </c>
      <c r="D117" s="313"/>
      <c r="E117" s="313"/>
      <c r="F117" s="313"/>
      <c r="G117" s="313"/>
      <c r="H117" s="313"/>
      <c r="I117" s="314"/>
      <c r="J117" s="132" t="s">
        <v>275</v>
      </c>
      <c r="K117" s="313"/>
      <c r="L117" s="313"/>
      <c r="M117" s="313"/>
      <c r="N117" s="313"/>
      <c r="O117" s="313"/>
      <c r="P117" s="313"/>
      <c r="Q117" s="313"/>
      <c r="R117" s="313"/>
      <c r="S117" s="313"/>
      <c r="T117" s="313"/>
      <c r="U117" s="313"/>
      <c r="V117" s="313"/>
      <c r="W117" s="313"/>
      <c r="X117" s="313"/>
      <c r="Y117" s="314"/>
      <c r="Z117" s="132" t="s">
        <v>266</v>
      </c>
      <c r="AA117" s="313"/>
      <c r="AB117" s="313"/>
      <c r="AC117" s="313"/>
      <c r="AD117" s="313"/>
      <c r="AE117" s="313"/>
      <c r="AF117" s="313"/>
      <c r="AG117" s="313"/>
      <c r="AH117" s="313"/>
      <c r="AI117" s="313"/>
      <c r="AJ117" s="313"/>
      <c r="AK117" s="313"/>
      <c r="AL117" s="313"/>
      <c r="AM117" s="313"/>
      <c r="AN117" s="313"/>
      <c r="AO117" s="313"/>
      <c r="AP117" s="313"/>
      <c r="AQ117" s="313"/>
      <c r="AR117" s="313"/>
      <c r="AS117" s="313"/>
      <c r="AT117" s="313"/>
      <c r="AU117" s="313"/>
      <c r="AV117" s="313"/>
      <c r="AW117" s="313"/>
      <c r="AX117" s="313"/>
      <c r="AY117" s="313"/>
      <c r="AZ117" s="313"/>
      <c r="BA117" s="313"/>
      <c r="BB117" s="313"/>
      <c r="BC117" s="313"/>
      <c r="BD117" s="313"/>
      <c r="BE117" s="313"/>
      <c r="BF117" s="313"/>
      <c r="BG117" s="313"/>
      <c r="BH117" s="313"/>
      <c r="BI117" s="313"/>
      <c r="BJ117" s="313"/>
      <c r="BK117" s="313"/>
      <c r="BL117" s="313"/>
      <c r="BM117" s="313"/>
      <c r="BN117" s="313"/>
      <c r="BO117" s="313"/>
      <c r="BP117" s="313"/>
      <c r="BQ117" s="313"/>
      <c r="BR117" s="313"/>
      <c r="BS117" s="313"/>
      <c r="BT117" s="313"/>
      <c r="BU117" s="313"/>
      <c r="BV117" s="313"/>
      <c r="BW117" s="313"/>
      <c r="BX117" s="313"/>
      <c r="BY117" s="313"/>
      <c r="BZ117" s="313"/>
      <c r="CA117" s="313"/>
      <c r="CB117" s="313"/>
      <c r="CC117" s="313"/>
      <c r="CD117" s="313"/>
      <c r="CE117" s="313"/>
      <c r="CF117" s="313"/>
      <c r="CG117" s="314"/>
      <c r="CH117" s="51"/>
    </row>
    <row r="118" spans="1:86" s="2" customFormat="1" ht="15.75" customHeight="1">
      <c r="A118" s="9"/>
      <c r="B118" s="10"/>
      <c r="C118" s="12" t="s">
        <v>276</v>
      </c>
      <c r="D118" s="13"/>
      <c r="E118" s="13"/>
      <c r="F118" s="13"/>
      <c r="G118" s="13"/>
      <c r="H118" s="13"/>
      <c r="I118" s="14"/>
      <c r="J118" s="12" t="s">
        <v>277</v>
      </c>
      <c r="K118" s="13"/>
      <c r="L118" s="13"/>
      <c r="M118" s="13"/>
      <c r="N118" s="13"/>
      <c r="O118" s="13"/>
      <c r="P118" s="13"/>
      <c r="Q118" s="13"/>
      <c r="R118" s="13"/>
      <c r="S118" s="13"/>
      <c r="T118" s="13"/>
      <c r="U118" s="13"/>
      <c r="V118" s="13"/>
      <c r="W118" s="13"/>
      <c r="X118" s="13"/>
      <c r="Y118" s="14"/>
      <c r="Z118" s="12" t="s">
        <v>278</v>
      </c>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c r="BC118" s="13"/>
      <c r="BD118" s="13"/>
      <c r="BE118" s="13"/>
      <c r="BF118" s="13"/>
      <c r="BG118" s="13"/>
      <c r="BH118" s="13"/>
      <c r="BI118" s="13"/>
      <c r="BJ118" s="13"/>
      <c r="BK118" s="13"/>
      <c r="BL118" s="13"/>
      <c r="BM118" s="13"/>
      <c r="BN118" s="13"/>
      <c r="BO118" s="13"/>
      <c r="BP118" s="13"/>
      <c r="BQ118" s="13"/>
      <c r="BR118" s="13"/>
      <c r="BS118" s="13"/>
      <c r="BT118" s="13"/>
      <c r="BU118" s="13"/>
      <c r="BV118" s="13"/>
      <c r="BW118" s="13"/>
      <c r="BX118" s="13"/>
      <c r="BY118" s="13"/>
      <c r="BZ118" s="13"/>
      <c r="CA118" s="13"/>
      <c r="CB118" s="13"/>
      <c r="CC118" s="13"/>
      <c r="CD118" s="13"/>
      <c r="CE118" s="13"/>
      <c r="CF118" s="13"/>
      <c r="CG118" s="14"/>
      <c r="CH118" s="51"/>
    </row>
    <row r="119" spans="1:86" s="2" customFormat="1" ht="15.75" customHeight="1">
      <c r="A119" s="9"/>
      <c r="B119" s="10"/>
      <c r="C119" s="12" t="s">
        <v>276</v>
      </c>
      <c r="D119" s="13"/>
      <c r="E119" s="13"/>
      <c r="F119" s="13"/>
      <c r="G119" s="13"/>
      <c r="H119" s="13"/>
      <c r="I119" s="14"/>
      <c r="J119" s="12" t="s">
        <v>279</v>
      </c>
      <c r="K119" s="13"/>
      <c r="L119" s="13"/>
      <c r="M119" s="13"/>
      <c r="N119" s="13"/>
      <c r="O119" s="13"/>
      <c r="P119" s="13"/>
      <c r="Q119" s="13"/>
      <c r="R119" s="13"/>
      <c r="S119" s="13"/>
      <c r="T119" s="13"/>
      <c r="U119" s="13"/>
      <c r="V119" s="13"/>
      <c r="W119" s="13"/>
      <c r="X119" s="13"/>
      <c r="Y119" s="14"/>
      <c r="Z119" s="12" t="s">
        <v>280</v>
      </c>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c r="BC119" s="13"/>
      <c r="BD119" s="13"/>
      <c r="BE119" s="13"/>
      <c r="BF119" s="13"/>
      <c r="BG119" s="13"/>
      <c r="BH119" s="13"/>
      <c r="BI119" s="13"/>
      <c r="BJ119" s="13"/>
      <c r="BK119" s="13"/>
      <c r="BL119" s="13"/>
      <c r="BM119" s="13"/>
      <c r="BN119" s="13"/>
      <c r="BO119" s="13"/>
      <c r="BP119" s="13"/>
      <c r="BQ119" s="13"/>
      <c r="BR119" s="13"/>
      <c r="BS119" s="13"/>
      <c r="BT119" s="13"/>
      <c r="BU119" s="13"/>
      <c r="BV119" s="13"/>
      <c r="BW119" s="13"/>
      <c r="BX119" s="13"/>
      <c r="BY119" s="13"/>
      <c r="BZ119" s="13"/>
      <c r="CA119" s="13"/>
      <c r="CB119" s="13"/>
      <c r="CC119" s="13"/>
      <c r="CD119" s="13"/>
      <c r="CE119" s="13"/>
      <c r="CF119" s="13"/>
      <c r="CG119" s="14"/>
      <c r="CH119" s="51"/>
    </row>
    <row r="120" spans="1:86" s="2" customFormat="1" ht="15.75" customHeight="1">
      <c r="A120" s="9"/>
      <c r="B120" s="10"/>
      <c r="C120" s="12" t="s">
        <v>281</v>
      </c>
      <c r="D120" s="13"/>
      <c r="E120" s="13"/>
      <c r="F120" s="13"/>
      <c r="G120" s="13"/>
      <c r="H120" s="13"/>
      <c r="I120" s="14"/>
      <c r="J120" s="12" t="s">
        <v>282</v>
      </c>
      <c r="K120" s="13"/>
      <c r="L120" s="13"/>
      <c r="M120" s="13"/>
      <c r="N120" s="13"/>
      <c r="O120" s="13"/>
      <c r="P120" s="13"/>
      <c r="Q120" s="13"/>
      <c r="R120" s="13"/>
      <c r="S120" s="13"/>
      <c r="T120" s="13"/>
      <c r="U120" s="13"/>
      <c r="V120" s="13"/>
      <c r="W120" s="13"/>
      <c r="X120" s="13"/>
      <c r="Y120" s="14"/>
      <c r="Z120" s="12"/>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c r="BC120" s="13"/>
      <c r="BD120" s="13"/>
      <c r="BE120" s="13"/>
      <c r="BF120" s="13"/>
      <c r="BG120" s="13"/>
      <c r="BH120" s="13"/>
      <c r="BI120" s="13"/>
      <c r="BJ120" s="13"/>
      <c r="BK120" s="13"/>
      <c r="BL120" s="13"/>
      <c r="BM120" s="13"/>
      <c r="BN120" s="13"/>
      <c r="BO120" s="13"/>
      <c r="BP120" s="13"/>
      <c r="BQ120" s="13"/>
      <c r="BR120" s="13"/>
      <c r="BS120" s="13"/>
      <c r="BT120" s="13"/>
      <c r="BU120" s="13"/>
      <c r="BV120" s="13"/>
      <c r="BW120" s="13"/>
      <c r="BX120" s="13"/>
      <c r="BY120" s="13"/>
      <c r="BZ120" s="13"/>
      <c r="CA120" s="13"/>
      <c r="CB120" s="13"/>
      <c r="CC120" s="13"/>
      <c r="CD120" s="13"/>
      <c r="CE120" s="13"/>
      <c r="CF120" s="13"/>
      <c r="CG120" s="14"/>
      <c r="CH120" s="51"/>
    </row>
    <row r="121" spans="1:86" s="2" customFormat="1" ht="15.75" customHeight="1">
      <c r="A121" s="9"/>
      <c r="C121" s="82" t="s">
        <v>167</v>
      </c>
      <c r="D121" s="83"/>
      <c r="E121" s="83"/>
      <c r="F121" s="83"/>
      <c r="G121" s="83"/>
      <c r="H121" s="83"/>
      <c r="I121" s="88"/>
      <c r="J121" s="82" t="s">
        <v>277</v>
      </c>
      <c r="K121" s="83"/>
      <c r="L121" s="83"/>
      <c r="M121" s="83"/>
      <c r="N121" s="83"/>
      <c r="O121" s="83"/>
      <c r="P121" s="83"/>
      <c r="Q121" s="83"/>
      <c r="R121" s="83"/>
      <c r="S121" s="83"/>
      <c r="T121" s="83"/>
      <c r="U121" s="83"/>
      <c r="V121" s="83"/>
      <c r="W121" s="83"/>
      <c r="X121" s="83"/>
      <c r="Y121" s="88"/>
      <c r="Z121" s="82"/>
      <c r="AA121" s="83"/>
      <c r="AB121" s="83"/>
      <c r="AC121" s="83"/>
      <c r="AD121" s="83"/>
      <c r="AE121" s="83"/>
      <c r="AF121" s="83"/>
      <c r="AG121" s="83"/>
      <c r="AH121" s="83"/>
      <c r="AI121" s="83"/>
      <c r="AJ121" s="83"/>
      <c r="AK121" s="83"/>
      <c r="AL121" s="83"/>
      <c r="AM121" s="83"/>
      <c r="AN121" s="83"/>
      <c r="AO121" s="83"/>
      <c r="AP121" s="83"/>
      <c r="AQ121" s="83"/>
      <c r="AR121" s="83"/>
      <c r="AS121" s="83"/>
      <c r="AT121" s="83"/>
      <c r="AU121" s="83"/>
      <c r="AV121" s="83"/>
      <c r="AW121" s="83"/>
      <c r="AX121" s="83"/>
      <c r="AY121" s="83"/>
      <c r="AZ121" s="83"/>
      <c r="BA121" s="83"/>
      <c r="BB121" s="83"/>
      <c r="BC121" s="83"/>
      <c r="BD121" s="83"/>
      <c r="BE121" s="83"/>
      <c r="BF121" s="83"/>
      <c r="BG121" s="83"/>
      <c r="BH121" s="83"/>
      <c r="BI121" s="83"/>
      <c r="BJ121" s="83"/>
      <c r="BK121" s="83"/>
      <c r="BL121" s="83"/>
      <c r="BM121" s="83"/>
      <c r="BN121" s="83"/>
      <c r="BO121" s="83"/>
      <c r="BP121" s="83"/>
      <c r="BQ121" s="83"/>
      <c r="BR121" s="83"/>
      <c r="BS121" s="83"/>
      <c r="BT121" s="83"/>
      <c r="BU121" s="83"/>
      <c r="BV121" s="83"/>
      <c r="BW121" s="83"/>
      <c r="BX121" s="83"/>
      <c r="BY121" s="83"/>
      <c r="BZ121" s="83"/>
      <c r="CA121" s="83"/>
      <c r="CB121" s="83"/>
      <c r="CC121" s="83"/>
      <c r="CD121" s="83"/>
      <c r="CE121" s="83"/>
      <c r="CF121" s="83"/>
      <c r="CG121" s="88"/>
      <c r="CH121" s="51"/>
    </row>
    <row r="122" spans="1:86" s="2" customFormat="1" ht="15.75" customHeight="1">
      <c r="A122" s="9"/>
      <c r="B122" s="142"/>
      <c r="Q122" s="94"/>
      <c r="BD122" s="10"/>
      <c r="BE122" s="10"/>
      <c r="BF122" s="10"/>
      <c r="BG122" s="10"/>
      <c r="BH122" s="10"/>
      <c r="BI122" s="10"/>
      <c r="BJ122" s="10"/>
      <c r="BK122" s="10"/>
      <c r="BL122" s="10"/>
      <c r="BM122" s="10"/>
      <c r="BN122" s="10"/>
      <c r="BO122" s="10"/>
      <c r="BP122" s="10"/>
      <c r="BQ122" s="10"/>
      <c r="BR122" s="10"/>
      <c r="BS122" s="10"/>
      <c r="BT122" s="10"/>
      <c r="BU122" s="10"/>
      <c r="BV122" s="10"/>
      <c r="BW122" s="10"/>
      <c r="BX122" s="10"/>
      <c r="BY122" s="10"/>
      <c r="BZ122" s="10"/>
      <c r="CA122" s="10"/>
      <c r="CB122" s="10"/>
      <c r="CC122" s="10"/>
      <c r="CD122" s="10"/>
      <c r="CE122" s="10"/>
      <c r="CF122" s="10"/>
      <c r="CG122" s="10"/>
      <c r="CH122" s="51"/>
    </row>
    <row r="123" spans="1:86" s="2" customFormat="1" ht="15.75" customHeight="1">
      <c r="A123" s="9"/>
      <c r="B123" s="142" t="s">
        <v>283</v>
      </c>
      <c r="Q123" s="94"/>
      <c r="BD123" s="10"/>
      <c r="BE123" s="10"/>
      <c r="BF123" s="10"/>
      <c r="BG123" s="10"/>
      <c r="BH123" s="10"/>
      <c r="BI123" s="10"/>
      <c r="BJ123" s="10"/>
      <c r="BK123" s="10"/>
      <c r="BL123" s="10"/>
      <c r="BM123" s="10"/>
      <c r="BN123" s="10"/>
      <c r="BO123" s="10"/>
      <c r="BP123" s="10"/>
      <c r="BQ123" s="10"/>
      <c r="BR123" s="10"/>
      <c r="BS123" s="10"/>
      <c r="BT123" s="10"/>
      <c r="BU123" s="10"/>
      <c r="BV123" s="10"/>
      <c r="BW123" s="10"/>
      <c r="BX123" s="10"/>
      <c r="BY123" s="10"/>
      <c r="BZ123" s="10"/>
      <c r="CA123" s="10"/>
      <c r="CB123" s="10"/>
      <c r="CC123" s="10"/>
      <c r="CD123" s="10"/>
      <c r="CE123" s="10"/>
      <c r="CF123" s="10"/>
      <c r="CG123" s="10"/>
      <c r="CH123" s="51"/>
    </row>
    <row r="124" spans="1:86" s="2" customFormat="1" ht="15.75" customHeight="1">
      <c r="A124" s="9"/>
      <c r="B124" s="142"/>
      <c r="C124" s="284"/>
      <c r="Q124" s="94"/>
      <c r="BD124" s="10"/>
      <c r="BE124" s="10"/>
      <c r="BF124" s="10"/>
      <c r="BG124" s="10"/>
      <c r="BH124" s="10"/>
      <c r="BI124" s="10"/>
      <c r="BJ124" s="10"/>
      <c r="BK124" s="10"/>
      <c r="BL124" s="10"/>
      <c r="BM124" s="10"/>
      <c r="BN124" s="10"/>
      <c r="BO124" s="10"/>
      <c r="BP124" s="10"/>
      <c r="BQ124" s="10"/>
      <c r="BR124" s="10"/>
      <c r="BS124" s="10"/>
      <c r="BT124" s="10"/>
      <c r="BU124" s="10"/>
      <c r="BV124" s="10"/>
      <c r="BW124" s="10"/>
      <c r="BX124" s="10"/>
      <c r="BY124" s="10"/>
      <c r="BZ124" s="10"/>
      <c r="CA124" s="10"/>
      <c r="CB124" s="10"/>
      <c r="CC124" s="10"/>
      <c r="CD124" s="10"/>
      <c r="CE124" s="10"/>
      <c r="CF124" s="10"/>
      <c r="CG124" s="10"/>
      <c r="CH124" s="51"/>
    </row>
    <row r="125" spans="1:86" s="2" customFormat="1" ht="15.75" customHeight="1">
      <c r="A125" s="9"/>
      <c r="B125" s="142"/>
      <c r="C125" s="284" t="s">
        <v>284</v>
      </c>
      <c r="Q125" s="94"/>
      <c r="BD125" s="10"/>
      <c r="BE125" s="10"/>
      <c r="BF125" s="10"/>
      <c r="BG125" s="10"/>
      <c r="BH125" s="10"/>
      <c r="BI125" s="10"/>
      <c r="BJ125" s="10"/>
      <c r="BK125" s="10"/>
      <c r="BL125" s="10"/>
      <c r="BM125" s="10"/>
      <c r="BN125" s="10"/>
      <c r="BO125" s="10"/>
      <c r="BP125" s="10"/>
      <c r="BQ125" s="10"/>
      <c r="BR125" s="10"/>
      <c r="BS125" s="10"/>
      <c r="BT125" s="10"/>
      <c r="BU125" s="10"/>
      <c r="BV125" s="10"/>
      <c r="BW125" s="10"/>
      <c r="BX125" s="10"/>
      <c r="BY125" s="10"/>
      <c r="BZ125" s="10"/>
      <c r="CA125" s="10"/>
      <c r="CB125" s="10"/>
      <c r="CC125" s="10"/>
      <c r="CD125" s="10"/>
      <c r="CE125" s="10"/>
      <c r="CF125" s="10"/>
      <c r="CG125" s="10"/>
      <c r="CH125" s="51"/>
    </row>
    <row r="126" spans="1:86" s="2" customFormat="1" ht="15.75" customHeight="1">
      <c r="A126" s="9"/>
      <c r="B126" s="142"/>
      <c r="C126" s="284"/>
      <c r="D126" s="284" t="s">
        <v>285</v>
      </c>
      <c r="Q126" s="94"/>
      <c r="BD126" s="10"/>
      <c r="BE126" s="10"/>
      <c r="BF126" s="10"/>
      <c r="BG126" s="10"/>
      <c r="BH126" s="10"/>
      <c r="BI126" s="10"/>
      <c r="BJ126" s="10"/>
      <c r="BK126" s="10"/>
      <c r="BL126" s="10"/>
      <c r="BM126" s="10"/>
      <c r="BN126" s="10"/>
      <c r="BO126" s="10"/>
      <c r="BP126" s="10"/>
      <c r="BQ126" s="10"/>
      <c r="BR126" s="10"/>
      <c r="BS126" s="10"/>
      <c r="BT126" s="10"/>
      <c r="BU126" s="10"/>
      <c r="BV126" s="10"/>
      <c r="BW126" s="10"/>
      <c r="BX126" s="10"/>
      <c r="BY126" s="10"/>
      <c r="BZ126" s="10"/>
      <c r="CA126" s="10"/>
      <c r="CB126" s="10"/>
      <c r="CC126" s="10"/>
      <c r="CD126" s="10"/>
      <c r="CE126" s="10"/>
      <c r="CF126" s="10"/>
      <c r="CG126" s="10"/>
      <c r="CH126" s="51"/>
    </row>
    <row r="127" spans="1:86" s="2" customFormat="1" ht="15.75" customHeight="1">
      <c r="A127" s="9"/>
      <c r="B127" s="142"/>
      <c r="C127" s="284"/>
      <c r="D127" s="53" t="s">
        <v>128</v>
      </c>
      <c r="E127" s="2" t="s">
        <v>286</v>
      </c>
      <c r="Q127" s="94"/>
      <c r="BD127" s="10"/>
      <c r="BE127" s="10"/>
      <c r="BF127" s="10"/>
      <c r="BG127" s="10"/>
      <c r="BH127" s="10"/>
      <c r="BI127" s="10"/>
      <c r="BJ127" s="10"/>
      <c r="BK127" s="10"/>
      <c r="BL127" s="10"/>
      <c r="BM127" s="10"/>
      <c r="BN127" s="10"/>
      <c r="BO127" s="10"/>
      <c r="BP127" s="10"/>
      <c r="BQ127" s="10"/>
      <c r="BR127" s="10"/>
      <c r="BS127" s="10"/>
      <c r="BT127" s="10"/>
      <c r="BU127" s="10"/>
      <c r="BV127" s="10"/>
      <c r="BW127" s="10"/>
      <c r="BX127" s="10"/>
      <c r="BY127" s="10"/>
      <c r="BZ127" s="10"/>
      <c r="CA127" s="10"/>
      <c r="CB127" s="10"/>
      <c r="CC127" s="10"/>
      <c r="CD127" s="10"/>
      <c r="CE127" s="10"/>
      <c r="CF127" s="10"/>
      <c r="CG127" s="10"/>
      <c r="CH127" s="51"/>
    </row>
    <row r="128" spans="1:86" s="2" customFormat="1" ht="15.75" customHeight="1">
      <c r="A128" s="9"/>
      <c r="B128" s="142"/>
      <c r="C128" s="284"/>
      <c r="D128" s="53" t="s">
        <v>128</v>
      </c>
      <c r="E128" s="2" t="s">
        <v>287</v>
      </c>
      <c r="Q128" s="94"/>
      <c r="BD128" s="10"/>
      <c r="BE128" s="10"/>
      <c r="BF128" s="10"/>
      <c r="BG128" s="10"/>
      <c r="BH128" s="10"/>
      <c r="BI128" s="10"/>
      <c r="BJ128" s="10"/>
      <c r="BK128" s="10"/>
      <c r="BL128" s="10"/>
      <c r="BM128" s="10"/>
      <c r="BN128" s="10"/>
      <c r="BO128" s="10"/>
      <c r="BP128" s="10"/>
      <c r="BQ128" s="10"/>
      <c r="BR128" s="10"/>
      <c r="BS128" s="10"/>
      <c r="BT128" s="10"/>
      <c r="BU128" s="10"/>
      <c r="BV128" s="10"/>
      <c r="BW128" s="10"/>
      <c r="BX128" s="10"/>
      <c r="BY128" s="10"/>
      <c r="BZ128" s="10"/>
      <c r="CA128" s="10"/>
      <c r="CB128" s="10"/>
      <c r="CC128" s="10"/>
      <c r="CD128" s="10"/>
      <c r="CE128" s="10"/>
      <c r="CF128" s="10"/>
      <c r="CG128" s="10"/>
      <c r="CH128" s="51"/>
    </row>
    <row r="129" spans="1:86" s="2" customFormat="1" ht="15.75" customHeight="1">
      <c r="A129" s="9"/>
      <c r="B129" s="142"/>
      <c r="C129" s="284"/>
      <c r="D129" s="284"/>
      <c r="Q129" s="94"/>
      <c r="BD129" s="10"/>
      <c r="BE129" s="10"/>
      <c r="BF129" s="10"/>
      <c r="BG129" s="10"/>
      <c r="BH129" s="10"/>
      <c r="BI129" s="10"/>
      <c r="BJ129" s="10"/>
      <c r="BK129" s="10"/>
      <c r="BL129" s="10"/>
      <c r="BM129" s="10"/>
      <c r="BN129" s="10"/>
      <c r="BO129" s="10"/>
      <c r="BP129" s="10"/>
      <c r="BQ129" s="10"/>
      <c r="BR129" s="10"/>
      <c r="BS129" s="10"/>
      <c r="BT129" s="10"/>
      <c r="BU129" s="10"/>
      <c r="BV129" s="10"/>
      <c r="BW129" s="10"/>
      <c r="BX129" s="10"/>
      <c r="BY129" s="10"/>
      <c r="BZ129" s="10"/>
      <c r="CA129" s="10"/>
      <c r="CB129" s="10"/>
      <c r="CC129" s="10"/>
      <c r="CD129" s="10"/>
      <c r="CE129" s="10"/>
      <c r="CF129" s="10"/>
      <c r="CG129" s="10"/>
      <c r="CH129" s="51"/>
    </row>
    <row r="130" spans="1:86" s="2" customFormat="1" ht="15.75" customHeight="1">
      <c r="A130" s="9"/>
      <c r="B130" s="142"/>
      <c r="C130" s="284"/>
      <c r="D130" s="284" t="s">
        <v>288</v>
      </c>
      <c r="Q130" s="94"/>
      <c r="BD130" s="10"/>
      <c r="BE130" s="10"/>
      <c r="BF130" s="10"/>
      <c r="BG130" s="10"/>
      <c r="BH130" s="10"/>
      <c r="BI130" s="10"/>
      <c r="BJ130" s="10"/>
      <c r="BK130" s="10"/>
      <c r="BL130" s="10"/>
      <c r="BM130" s="10"/>
      <c r="BN130" s="10"/>
      <c r="BO130" s="10"/>
      <c r="BP130" s="10"/>
      <c r="BQ130" s="10"/>
      <c r="BR130" s="10"/>
      <c r="BS130" s="10"/>
      <c r="BT130" s="10"/>
      <c r="BU130" s="10"/>
      <c r="BV130" s="10"/>
      <c r="BW130" s="10"/>
      <c r="BX130" s="10"/>
      <c r="BY130" s="10"/>
      <c r="BZ130" s="10"/>
      <c r="CA130" s="10"/>
      <c r="CB130" s="10"/>
      <c r="CC130" s="10"/>
      <c r="CD130" s="10"/>
      <c r="CE130" s="10"/>
      <c r="CF130" s="10"/>
      <c r="CG130" s="10"/>
      <c r="CH130" s="51"/>
    </row>
    <row r="131" spans="1:86" s="2" customFormat="1" ht="15.75" customHeight="1">
      <c r="A131" s="9"/>
      <c r="B131" s="142"/>
      <c r="C131" s="284"/>
      <c r="D131" s="53" t="s">
        <v>128</v>
      </c>
      <c r="E131" s="2" t="s">
        <v>289</v>
      </c>
      <c r="Q131" s="94"/>
      <c r="BD131" s="10"/>
      <c r="BE131" s="10"/>
      <c r="BF131" s="10"/>
      <c r="BG131" s="10"/>
      <c r="BH131" s="10"/>
      <c r="BI131" s="10"/>
      <c r="BJ131" s="10"/>
      <c r="BK131" s="10"/>
      <c r="BL131" s="10"/>
      <c r="BM131" s="10"/>
      <c r="BN131" s="10"/>
      <c r="BO131" s="10"/>
      <c r="BP131" s="10"/>
      <c r="BQ131" s="10"/>
      <c r="BR131" s="10"/>
      <c r="BS131" s="10"/>
      <c r="BT131" s="10"/>
      <c r="BU131" s="10"/>
      <c r="BV131" s="10"/>
      <c r="BW131" s="10"/>
      <c r="BX131" s="10"/>
      <c r="BY131" s="10"/>
      <c r="BZ131" s="10"/>
      <c r="CA131" s="10"/>
      <c r="CB131" s="10"/>
      <c r="CC131" s="10"/>
      <c r="CD131" s="10"/>
      <c r="CE131" s="10"/>
      <c r="CF131" s="10"/>
      <c r="CG131" s="10"/>
      <c r="CH131" s="51"/>
    </row>
    <row r="132" spans="1:86" s="2" customFormat="1" ht="15.75" customHeight="1">
      <c r="A132" s="9"/>
      <c r="B132" s="142"/>
      <c r="C132" s="284"/>
      <c r="D132" s="53" t="s">
        <v>128</v>
      </c>
      <c r="E132" s="2" t="s">
        <v>290</v>
      </c>
      <c r="Q132" s="94"/>
      <c r="BD132" s="10"/>
      <c r="BE132" s="10"/>
      <c r="BF132" s="10"/>
      <c r="BG132" s="10"/>
      <c r="BH132" s="10"/>
      <c r="BI132" s="10"/>
      <c r="BJ132" s="10"/>
      <c r="BK132" s="10"/>
      <c r="BL132" s="10"/>
      <c r="BM132" s="10"/>
      <c r="BN132" s="10"/>
      <c r="BO132" s="10"/>
      <c r="BP132" s="10"/>
      <c r="BQ132" s="10"/>
      <c r="BR132" s="10"/>
      <c r="BS132" s="10"/>
      <c r="BT132" s="10"/>
      <c r="BU132" s="10"/>
      <c r="BV132" s="10"/>
      <c r="BW132" s="10"/>
      <c r="BX132" s="10"/>
      <c r="BY132" s="10"/>
      <c r="BZ132" s="10"/>
      <c r="CA132" s="10"/>
      <c r="CB132" s="10"/>
      <c r="CC132" s="10"/>
      <c r="CD132" s="10"/>
      <c r="CE132" s="10"/>
      <c r="CF132" s="10"/>
      <c r="CG132" s="10"/>
      <c r="CH132" s="51"/>
    </row>
    <row r="133" spans="1:86" s="2" customFormat="1" ht="15.75" customHeight="1">
      <c r="A133" s="9"/>
      <c r="B133" s="142"/>
      <c r="C133" s="284"/>
      <c r="D133" s="284"/>
      <c r="F133" s="2" t="s">
        <v>291</v>
      </c>
      <c r="Q133" s="94"/>
      <c r="BD133" s="10"/>
      <c r="BE133" s="10"/>
      <c r="BF133" s="10"/>
      <c r="BG133" s="10"/>
      <c r="BH133" s="10"/>
      <c r="BI133" s="10"/>
      <c r="BJ133" s="10"/>
      <c r="BK133" s="10"/>
      <c r="BL133" s="10"/>
      <c r="BM133" s="10"/>
      <c r="BN133" s="10"/>
      <c r="BO133" s="10"/>
      <c r="BP133" s="10"/>
      <c r="BQ133" s="10"/>
      <c r="BR133" s="10"/>
      <c r="BS133" s="10"/>
      <c r="BT133" s="10"/>
      <c r="BU133" s="10"/>
      <c r="BV133" s="10"/>
      <c r="BW133" s="10"/>
      <c r="BX133" s="10"/>
      <c r="BY133" s="10"/>
      <c r="BZ133" s="10"/>
      <c r="CA133" s="10"/>
      <c r="CB133" s="10"/>
      <c r="CC133" s="10"/>
      <c r="CD133" s="10"/>
      <c r="CE133" s="10"/>
      <c r="CF133" s="10"/>
      <c r="CG133" s="10"/>
      <c r="CH133" s="51"/>
    </row>
    <row r="134" spans="1:86" s="2" customFormat="1" ht="15.75" customHeight="1">
      <c r="A134" s="9"/>
      <c r="B134" s="142"/>
      <c r="C134" s="284"/>
      <c r="D134" s="284"/>
      <c r="F134" s="2" t="s">
        <v>292</v>
      </c>
      <c r="Q134" s="94"/>
      <c r="BD134" s="10"/>
      <c r="BE134" s="10"/>
      <c r="BF134" s="10"/>
      <c r="BG134" s="10"/>
      <c r="BH134" s="10"/>
      <c r="BI134" s="10"/>
      <c r="BJ134" s="10"/>
      <c r="BK134" s="10"/>
      <c r="BL134" s="10"/>
      <c r="BM134" s="10"/>
      <c r="BN134" s="10"/>
      <c r="BO134" s="10"/>
      <c r="BP134" s="10"/>
      <c r="BQ134" s="10"/>
      <c r="BR134" s="10"/>
      <c r="BS134" s="10"/>
      <c r="BT134" s="10"/>
      <c r="BU134" s="10"/>
      <c r="BV134" s="10"/>
      <c r="BW134" s="10"/>
      <c r="BX134" s="10"/>
      <c r="BY134" s="10"/>
      <c r="BZ134" s="10"/>
      <c r="CA134" s="10"/>
      <c r="CB134" s="10"/>
      <c r="CC134" s="10"/>
      <c r="CD134" s="10"/>
      <c r="CE134" s="10"/>
      <c r="CF134" s="10"/>
      <c r="CG134" s="10"/>
      <c r="CH134" s="51"/>
    </row>
    <row r="135" spans="1:86" s="2" customFormat="1" ht="15.75" customHeight="1">
      <c r="A135" s="9"/>
      <c r="B135" s="142"/>
      <c r="C135" s="284"/>
      <c r="D135" s="284"/>
      <c r="F135" s="2" t="s">
        <v>293</v>
      </c>
      <c r="Q135" s="94"/>
      <c r="BD135" s="10"/>
      <c r="BE135" s="10"/>
      <c r="BF135" s="10"/>
      <c r="BG135" s="10"/>
      <c r="BH135" s="10"/>
      <c r="BI135" s="10"/>
      <c r="BJ135" s="10"/>
      <c r="BK135" s="10"/>
      <c r="BL135" s="10"/>
      <c r="BM135" s="10"/>
      <c r="BN135" s="10"/>
      <c r="BO135" s="10"/>
      <c r="BP135" s="10"/>
      <c r="BQ135" s="10"/>
      <c r="BR135" s="10"/>
      <c r="BS135" s="10"/>
      <c r="BT135" s="10"/>
      <c r="BU135" s="10"/>
      <c r="BV135" s="10"/>
      <c r="BW135" s="10"/>
      <c r="BX135" s="10"/>
      <c r="BY135" s="10"/>
      <c r="BZ135" s="10"/>
      <c r="CA135" s="10"/>
      <c r="CB135" s="10"/>
      <c r="CC135" s="10"/>
      <c r="CD135" s="10"/>
      <c r="CE135" s="10"/>
      <c r="CF135" s="10"/>
      <c r="CG135" s="10"/>
      <c r="CH135" s="51"/>
    </row>
    <row r="136" spans="1:86" s="2" customFormat="1" ht="15.75" customHeight="1">
      <c r="A136" s="9"/>
      <c r="B136" s="142"/>
      <c r="C136" s="284"/>
      <c r="D136" s="284"/>
      <c r="F136" s="2" t="s">
        <v>294</v>
      </c>
      <c r="Q136" s="94"/>
      <c r="BD136" s="10"/>
      <c r="BE136" s="10"/>
      <c r="BF136" s="10"/>
      <c r="BG136" s="10"/>
      <c r="BH136" s="10"/>
      <c r="BI136" s="10"/>
      <c r="BJ136" s="10"/>
      <c r="BK136" s="10"/>
      <c r="BL136" s="10"/>
      <c r="BM136" s="10"/>
      <c r="BN136" s="10"/>
      <c r="BO136" s="10"/>
      <c r="BP136" s="10"/>
      <c r="BQ136" s="10"/>
      <c r="BR136" s="10"/>
      <c r="BS136" s="10"/>
      <c r="BT136" s="10"/>
      <c r="BU136" s="10"/>
      <c r="BV136" s="10"/>
      <c r="BW136" s="10"/>
      <c r="BX136" s="10"/>
      <c r="BY136" s="10"/>
      <c r="BZ136" s="10"/>
      <c r="CA136" s="10"/>
      <c r="CB136" s="10"/>
      <c r="CC136" s="10"/>
      <c r="CD136" s="10"/>
      <c r="CE136" s="10"/>
      <c r="CF136" s="10"/>
      <c r="CG136" s="10"/>
      <c r="CH136" s="51"/>
    </row>
    <row r="137" spans="1:86" s="2" customFormat="1" ht="15.75" customHeight="1">
      <c r="A137" s="9"/>
      <c r="B137" s="142"/>
      <c r="C137" s="284"/>
      <c r="D137" s="284"/>
      <c r="Q137" s="94"/>
      <c r="BD137" s="10"/>
      <c r="BE137" s="10"/>
      <c r="BF137" s="10"/>
      <c r="BG137" s="10"/>
      <c r="BH137" s="10"/>
      <c r="BI137" s="10"/>
      <c r="BJ137" s="10"/>
      <c r="BK137" s="10"/>
      <c r="BL137" s="10"/>
      <c r="BM137" s="10"/>
      <c r="BN137" s="10"/>
      <c r="BO137" s="10"/>
      <c r="BP137" s="10"/>
      <c r="BQ137" s="10"/>
      <c r="BR137" s="10"/>
      <c r="BS137" s="10"/>
      <c r="BT137" s="10"/>
      <c r="BU137" s="10"/>
      <c r="BV137" s="10"/>
      <c r="BW137" s="10"/>
      <c r="BX137" s="10"/>
      <c r="BY137" s="10"/>
      <c r="BZ137" s="10"/>
      <c r="CA137" s="10"/>
      <c r="CB137" s="10"/>
      <c r="CC137" s="10"/>
      <c r="CD137" s="10"/>
      <c r="CE137" s="10"/>
      <c r="CF137" s="10"/>
      <c r="CG137" s="10"/>
      <c r="CH137" s="51"/>
    </row>
    <row r="138" spans="1:86" s="2" customFormat="1" ht="15.75" customHeight="1">
      <c r="A138" s="9"/>
      <c r="B138" s="142"/>
      <c r="C138" s="284"/>
      <c r="D138" s="284"/>
      <c r="Q138" s="94"/>
      <c r="BD138" s="10"/>
      <c r="BE138" s="10"/>
      <c r="BF138" s="10"/>
      <c r="BG138" s="10"/>
      <c r="BH138" s="10"/>
      <c r="BI138" s="10"/>
      <c r="BJ138" s="10"/>
      <c r="BK138" s="10"/>
      <c r="BL138" s="10"/>
      <c r="BM138" s="10"/>
      <c r="BN138" s="10"/>
      <c r="BO138" s="10"/>
      <c r="BP138" s="10"/>
      <c r="BQ138" s="10"/>
      <c r="BR138" s="10"/>
      <c r="BS138" s="10"/>
      <c r="BT138" s="10"/>
      <c r="BU138" s="10"/>
      <c r="BV138" s="10"/>
      <c r="BW138" s="10"/>
      <c r="BX138" s="10"/>
      <c r="BY138" s="10"/>
      <c r="BZ138" s="10"/>
      <c r="CA138" s="10"/>
      <c r="CB138" s="10"/>
      <c r="CC138" s="10"/>
      <c r="CD138" s="10"/>
      <c r="CE138" s="10"/>
      <c r="CF138" s="10"/>
      <c r="CG138" s="10"/>
      <c r="CH138" s="51"/>
    </row>
    <row r="139" spans="1:86" s="2" customFormat="1" ht="15.75" customHeight="1">
      <c r="A139" s="9"/>
      <c r="B139" s="142"/>
      <c r="C139" s="284"/>
      <c r="D139" s="284"/>
      <c r="Q139" s="94"/>
      <c r="BD139" s="10"/>
      <c r="BE139" s="10"/>
      <c r="BF139" s="10"/>
      <c r="BG139" s="10"/>
      <c r="BH139" s="10"/>
      <c r="BI139" s="10"/>
      <c r="BJ139" s="10"/>
      <c r="BK139" s="10"/>
      <c r="BL139" s="10"/>
      <c r="BM139" s="10"/>
      <c r="BN139" s="10"/>
      <c r="BO139" s="10"/>
      <c r="BP139" s="10"/>
      <c r="BQ139" s="10"/>
      <c r="BR139" s="10"/>
      <c r="BS139" s="10"/>
      <c r="BT139" s="10"/>
      <c r="BU139" s="10"/>
      <c r="BV139" s="10"/>
      <c r="BW139" s="10"/>
      <c r="BX139" s="10"/>
      <c r="BY139" s="10"/>
      <c r="BZ139" s="10"/>
      <c r="CA139" s="10"/>
      <c r="CB139" s="10"/>
      <c r="CC139" s="10"/>
      <c r="CD139" s="10"/>
      <c r="CE139" s="10"/>
      <c r="CF139" s="10"/>
      <c r="CG139" s="10"/>
      <c r="CH139" s="51"/>
    </row>
    <row r="140" spans="1:86" s="2" customFormat="1" ht="15.75" customHeight="1">
      <c r="A140" s="9"/>
      <c r="B140" s="142"/>
      <c r="C140" s="284"/>
      <c r="D140" s="284"/>
      <c r="Q140" s="94"/>
      <c r="BD140" s="10"/>
      <c r="BE140" s="10"/>
      <c r="BF140" s="10"/>
      <c r="BG140" s="10"/>
      <c r="BH140" s="10"/>
      <c r="BI140" s="10"/>
      <c r="BJ140" s="10"/>
      <c r="BK140" s="10"/>
      <c r="BL140" s="10"/>
      <c r="BM140" s="10"/>
      <c r="BN140" s="10"/>
      <c r="BO140" s="10"/>
      <c r="BP140" s="10"/>
      <c r="BQ140" s="10"/>
      <c r="BR140" s="10"/>
      <c r="BS140" s="10"/>
      <c r="BT140" s="10"/>
      <c r="BU140" s="10"/>
      <c r="BV140" s="10"/>
      <c r="BW140" s="10"/>
      <c r="BX140" s="10"/>
      <c r="BY140" s="10"/>
      <c r="BZ140" s="10"/>
      <c r="CA140" s="10"/>
      <c r="CB140" s="10"/>
      <c r="CC140" s="10"/>
      <c r="CD140" s="10"/>
      <c r="CE140" s="10"/>
      <c r="CF140" s="10"/>
      <c r="CG140" s="10"/>
      <c r="CH140" s="51"/>
    </row>
    <row r="141" spans="1:86" s="2" customFormat="1" ht="15.75" customHeight="1">
      <c r="A141" s="9"/>
      <c r="B141" s="142"/>
      <c r="C141" s="284"/>
      <c r="D141" s="284"/>
      <c r="Q141" s="94"/>
      <c r="BD141" s="10"/>
      <c r="BE141" s="10"/>
      <c r="BF141" s="10"/>
      <c r="BG141" s="10"/>
      <c r="BH141" s="10"/>
      <c r="BI141" s="10"/>
      <c r="BJ141" s="10"/>
      <c r="BK141" s="10"/>
      <c r="BL141" s="10"/>
      <c r="BM141" s="10"/>
      <c r="BN141" s="10"/>
      <c r="BO141" s="10"/>
      <c r="BP141" s="10"/>
      <c r="BQ141" s="10"/>
      <c r="BR141" s="10"/>
      <c r="BS141" s="10"/>
      <c r="BT141" s="10"/>
      <c r="BU141" s="10"/>
      <c r="BV141" s="10"/>
      <c r="BW141" s="10"/>
      <c r="BX141" s="10"/>
      <c r="BY141" s="10"/>
      <c r="BZ141" s="10"/>
      <c r="CA141" s="10"/>
      <c r="CB141" s="10"/>
      <c r="CC141" s="10"/>
      <c r="CD141" s="10"/>
      <c r="CE141" s="10"/>
      <c r="CF141" s="10"/>
      <c r="CG141" s="10"/>
      <c r="CH141" s="51"/>
    </row>
    <row r="142" spans="1:86" s="2" customFormat="1" ht="15.75" customHeight="1">
      <c r="A142" s="9"/>
      <c r="B142" s="142"/>
      <c r="C142" s="284"/>
      <c r="D142" s="284"/>
      <c r="Q142" s="94"/>
      <c r="BD142" s="10"/>
      <c r="BE142" s="10"/>
      <c r="BF142" s="10"/>
      <c r="BG142" s="10"/>
      <c r="BH142" s="10"/>
      <c r="BI142" s="10"/>
      <c r="BJ142" s="10"/>
      <c r="BK142" s="10"/>
      <c r="BL142" s="10"/>
      <c r="BM142" s="10"/>
      <c r="BN142" s="10"/>
      <c r="BO142" s="10"/>
      <c r="BP142" s="10"/>
      <c r="BQ142" s="10"/>
      <c r="BR142" s="10"/>
      <c r="BS142" s="10"/>
      <c r="BT142" s="10"/>
      <c r="BU142" s="10"/>
      <c r="BV142" s="10"/>
      <c r="BW142" s="10"/>
      <c r="BX142" s="10"/>
      <c r="BY142" s="10"/>
      <c r="BZ142" s="10"/>
      <c r="CA142" s="10"/>
      <c r="CB142" s="10"/>
      <c r="CC142" s="10"/>
      <c r="CD142" s="10"/>
      <c r="CE142" s="10"/>
      <c r="CF142" s="10"/>
      <c r="CG142" s="10"/>
      <c r="CH142" s="51"/>
    </row>
    <row r="143" spans="1:86" s="2" customFormat="1" ht="15.75" customHeight="1">
      <c r="A143" s="9"/>
      <c r="B143" s="142"/>
      <c r="D143" s="284" t="s">
        <v>295</v>
      </c>
      <c r="Q143" s="94"/>
      <c r="BD143" s="10"/>
      <c r="BE143" s="10"/>
      <c r="BF143" s="10"/>
      <c r="BG143" s="10"/>
      <c r="BH143" s="10"/>
      <c r="BI143" s="10"/>
      <c r="BJ143" s="10"/>
      <c r="BK143" s="10"/>
      <c r="BL143" s="10"/>
      <c r="BM143" s="10"/>
      <c r="BN143" s="10"/>
      <c r="BO143" s="10"/>
      <c r="BP143" s="10"/>
      <c r="BQ143" s="10"/>
      <c r="BR143" s="10"/>
      <c r="BS143" s="10"/>
      <c r="BT143" s="10"/>
      <c r="BU143" s="10"/>
      <c r="BV143" s="10"/>
      <c r="BW143" s="10"/>
      <c r="BX143" s="10"/>
      <c r="BY143" s="10"/>
      <c r="BZ143" s="10"/>
      <c r="CA143" s="10"/>
      <c r="CB143" s="10"/>
      <c r="CC143" s="10"/>
      <c r="CD143" s="10"/>
      <c r="CE143" s="10"/>
      <c r="CF143" s="10"/>
      <c r="CG143" s="10"/>
      <c r="CH143" s="51"/>
    </row>
    <row r="144" spans="1:86" s="2" customFormat="1" ht="15.75" customHeight="1">
      <c r="A144" s="9"/>
      <c r="B144" s="142"/>
      <c r="D144" s="53"/>
      <c r="E144" s="53" t="s">
        <v>128</v>
      </c>
      <c r="F144" s="53" t="s">
        <v>296</v>
      </c>
      <c r="G144" s="53"/>
      <c r="H144" s="53"/>
      <c r="I144" s="53"/>
      <c r="J144" s="53"/>
      <c r="K144" s="53"/>
      <c r="L144" s="53"/>
      <c r="M144" s="53"/>
      <c r="N144" s="53"/>
      <c r="O144" s="53"/>
      <c r="P144" s="53"/>
      <c r="Q144" s="53"/>
      <c r="R144" s="53"/>
      <c r="S144" s="53"/>
      <c r="T144" s="53"/>
      <c r="U144" s="53"/>
      <c r="V144" s="53"/>
      <c r="W144" s="53"/>
      <c r="X144" s="53"/>
      <c r="Y144" s="53"/>
      <c r="Z144" s="53"/>
      <c r="AA144" s="53"/>
      <c r="AB144" s="53"/>
      <c r="AC144" s="53"/>
      <c r="AD144" s="53"/>
      <c r="AE144" s="53"/>
      <c r="AF144" s="53"/>
      <c r="AG144" s="53"/>
      <c r="AH144" s="53"/>
      <c r="AI144" s="53"/>
      <c r="AJ144" s="53"/>
      <c r="AK144" s="53"/>
      <c r="AL144" s="53"/>
      <c r="AM144" s="53"/>
      <c r="AN144" s="53"/>
      <c r="AO144" s="53"/>
      <c r="AP144" s="53"/>
      <c r="AQ144" s="53"/>
      <c r="AR144" s="53"/>
      <c r="AS144" s="53"/>
      <c r="AT144" s="53"/>
      <c r="AU144" s="53"/>
      <c r="AV144" s="53"/>
      <c r="AW144" s="53"/>
      <c r="AX144" s="53"/>
      <c r="AY144" s="53"/>
      <c r="AZ144" s="53"/>
      <c r="BA144" s="53"/>
      <c r="BB144" s="53"/>
      <c r="BC144" s="53"/>
      <c r="BD144" s="53"/>
      <c r="BE144" s="53"/>
      <c r="BF144" s="53"/>
      <c r="BG144" s="53"/>
      <c r="BH144" s="53"/>
      <c r="BI144" s="53"/>
      <c r="BJ144" s="53"/>
      <c r="BK144" s="53"/>
      <c r="BL144" s="10"/>
      <c r="BM144" s="10"/>
      <c r="BN144" s="10"/>
      <c r="BO144" s="10"/>
      <c r="BP144" s="10"/>
      <c r="BQ144" s="10"/>
      <c r="BR144" s="10"/>
      <c r="BS144" s="10"/>
      <c r="BT144" s="10"/>
      <c r="BU144" s="10"/>
      <c r="BV144" s="10"/>
      <c r="BW144" s="10"/>
      <c r="BX144" s="10"/>
      <c r="BY144" s="10"/>
      <c r="BZ144" s="10"/>
      <c r="CA144" s="10"/>
      <c r="CB144" s="10"/>
      <c r="CC144" s="10"/>
      <c r="CD144" s="10"/>
      <c r="CE144" s="10"/>
      <c r="CF144" s="10"/>
      <c r="CG144" s="10"/>
      <c r="CH144" s="51"/>
    </row>
    <row r="145" spans="1:86" s="2" customFormat="1" ht="15.75" customHeight="1">
      <c r="A145" s="9"/>
      <c r="B145" s="142"/>
      <c r="D145" s="53"/>
      <c r="E145" s="53"/>
      <c r="F145" s="53" t="s">
        <v>297</v>
      </c>
      <c r="G145" s="53"/>
      <c r="H145" s="53"/>
      <c r="I145" s="53"/>
      <c r="J145" s="53"/>
      <c r="K145" s="53"/>
      <c r="L145" s="53"/>
      <c r="M145" s="53"/>
      <c r="N145" s="53"/>
      <c r="O145" s="53"/>
      <c r="P145" s="53"/>
      <c r="Q145" s="53"/>
      <c r="R145" s="53"/>
      <c r="S145" s="53"/>
      <c r="T145" s="53"/>
      <c r="U145" s="53"/>
      <c r="V145" s="53"/>
      <c r="W145" s="53"/>
      <c r="X145" s="53"/>
      <c r="Y145" s="53"/>
      <c r="Z145" s="53"/>
      <c r="AA145" s="53"/>
      <c r="AB145" s="53"/>
      <c r="AC145" s="53"/>
      <c r="AD145" s="53"/>
      <c r="AE145" s="53"/>
      <c r="AF145" s="53"/>
      <c r="AG145" s="53"/>
      <c r="AH145" s="53"/>
      <c r="AI145" s="53"/>
      <c r="AJ145" s="53"/>
      <c r="AK145" s="53"/>
      <c r="AL145" s="53"/>
      <c r="AM145" s="53"/>
      <c r="AN145" s="53"/>
      <c r="AO145" s="53"/>
      <c r="AP145" s="53"/>
      <c r="AQ145" s="53"/>
      <c r="AR145" s="53"/>
      <c r="AS145" s="53"/>
      <c r="AT145" s="53"/>
      <c r="AU145" s="53"/>
      <c r="AV145" s="53"/>
      <c r="AW145" s="53"/>
      <c r="AX145" s="53"/>
      <c r="AY145" s="53"/>
      <c r="AZ145" s="53"/>
      <c r="BA145" s="53"/>
      <c r="BB145" s="53"/>
      <c r="BC145" s="53"/>
      <c r="BD145" s="53"/>
      <c r="BE145" s="53"/>
      <c r="BF145" s="53"/>
      <c r="BG145" s="53"/>
      <c r="BH145" s="53"/>
      <c r="BI145" s="53"/>
      <c r="BJ145" s="53"/>
      <c r="BK145" s="53"/>
      <c r="BL145" s="10"/>
      <c r="BM145" s="10"/>
      <c r="BN145" s="10"/>
      <c r="BO145" s="10"/>
      <c r="BP145" s="10"/>
      <c r="BQ145" s="10"/>
      <c r="BR145" s="10"/>
      <c r="BS145" s="10"/>
      <c r="BT145" s="10"/>
      <c r="BU145" s="10"/>
      <c r="BV145" s="10"/>
      <c r="BW145" s="10"/>
      <c r="BX145" s="10"/>
      <c r="BY145" s="10"/>
      <c r="BZ145" s="10"/>
      <c r="CA145" s="10"/>
      <c r="CB145" s="10"/>
      <c r="CC145" s="10"/>
      <c r="CD145" s="10"/>
      <c r="CE145" s="10"/>
      <c r="CF145" s="10"/>
      <c r="CG145" s="10"/>
      <c r="CH145" s="51"/>
    </row>
    <row r="146" spans="1:86" s="2" customFormat="1" ht="15.75" customHeight="1">
      <c r="A146" s="9"/>
      <c r="B146" s="142"/>
      <c r="D146" s="53"/>
      <c r="E146" s="53"/>
      <c r="F146" s="53" t="s">
        <v>298</v>
      </c>
      <c r="G146" s="53"/>
      <c r="H146" s="53"/>
      <c r="I146" s="53"/>
      <c r="J146" s="53"/>
      <c r="K146" s="53"/>
      <c r="L146" s="53"/>
      <c r="M146" s="53"/>
      <c r="N146" s="53"/>
      <c r="O146" s="53"/>
      <c r="P146" s="53"/>
      <c r="Q146" s="53"/>
      <c r="R146" s="53"/>
      <c r="S146" s="53"/>
      <c r="T146" s="53"/>
      <c r="U146" s="53"/>
      <c r="V146" s="53"/>
      <c r="W146" s="53"/>
      <c r="X146" s="53"/>
      <c r="Y146" s="53"/>
      <c r="Z146" s="53"/>
      <c r="AA146" s="53"/>
      <c r="AB146" s="53"/>
      <c r="AC146" s="53"/>
      <c r="AD146" s="53"/>
      <c r="AE146" s="53"/>
      <c r="AF146" s="53"/>
      <c r="AG146" s="53"/>
      <c r="AH146" s="53"/>
      <c r="AI146" s="53"/>
      <c r="AJ146" s="53"/>
      <c r="AK146" s="53"/>
      <c r="AL146" s="53"/>
      <c r="AM146" s="53"/>
      <c r="AN146" s="53"/>
      <c r="AO146" s="53"/>
      <c r="AP146" s="53"/>
      <c r="AQ146" s="53"/>
      <c r="AR146" s="53"/>
      <c r="AS146" s="53"/>
      <c r="AT146" s="53"/>
      <c r="AU146" s="53"/>
      <c r="AV146" s="53"/>
      <c r="AW146" s="53"/>
      <c r="AX146" s="53"/>
      <c r="AY146" s="53"/>
      <c r="AZ146" s="53"/>
      <c r="BA146" s="53"/>
      <c r="BB146" s="53"/>
      <c r="BC146" s="53"/>
      <c r="BD146" s="53"/>
      <c r="BE146" s="53"/>
      <c r="BF146" s="53"/>
      <c r="BG146" s="53"/>
      <c r="BH146" s="53"/>
      <c r="BI146" s="53"/>
      <c r="BJ146" s="53"/>
      <c r="BK146" s="53"/>
      <c r="BL146" s="10"/>
      <c r="BM146" s="10"/>
      <c r="BN146" s="10"/>
      <c r="BO146" s="10"/>
      <c r="BP146" s="10"/>
      <c r="BQ146" s="10"/>
      <c r="BR146" s="10"/>
      <c r="BS146" s="10"/>
      <c r="BT146" s="10"/>
      <c r="BU146" s="10"/>
      <c r="BV146" s="10"/>
      <c r="BW146" s="10"/>
      <c r="BX146" s="10"/>
      <c r="BY146" s="10"/>
      <c r="BZ146" s="10"/>
      <c r="CA146" s="10"/>
      <c r="CB146" s="10"/>
      <c r="CC146" s="10"/>
      <c r="CD146" s="10"/>
      <c r="CE146" s="10"/>
      <c r="CF146" s="10"/>
      <c r="CG146" s="10"/>
      <c r="CH146" s="51"/>
    </row>
    <row r="147" spans="1:86" s="2" customFormat="1" ht="15.75" customHeight="1">
      <c r="A147" s="9"/>
      <c r="B147" s="142"/>
      <c r="D147" s="53"/>
      <c r="E147" s="53"/>
      <c r="F147" s="53"/>
      <c r="G147" s="927" t="s">
        <v>299</v>
      </c>
      <c r="H147" s="928"/>
      <c r="I147" s="928"/>
      <c r="J147" s="928"/>
      <c r="K147" s="928"/>
      <c r="L147" s="929"/>
      <c r="M147" s="927" t="s">
        <v>300</v>
      </c>
      <c r="N147" s="928"/>
      <c r="O147" s="928"/>
      <c r="P147" s="928"/>
      <c r="Q147" s="928"/>
      <c r="R147" s="929"/>
      <c r="S147" s="53"/>
      <c r="T147" s="53"/>
      <c r="U147" s="927" t="s">
        <v>301</v>
      </c>
      <c r="V147" s="928"/>
      <c r="W147" s="928"/>
      <c r="X147" s="928"/>
      <c r="Y147" s="928"/>
      <c r="Z147" s="929"/>
      <c r="AA147" s="927" t="s">
        <v>300</v>
      </c>
      <c r="AB147" s="928"/>
      <c r="AC147" s="928"/>
      <c r="AD147" s="928"/>
      <c r="AE147" s="928"/>
      <c r="AF147" s="929"/>
      <c r="AG147" s="53"/>
      <c r="AH147" s="53"/>
      <c r="AI147" s="53"/>
      <c r="AJ147" s="53"/>
      <c r="AK147" s="53"/>
      <c r="AL147" s="53"/>
      <c r="AM147" s="53"/>
      <c r="AN147" s="53"/>
      <c r="AO147" s="53"/>
      <c r="AP147" s="53"/>
      <c r="AQ147" s="53"/>
      <c r="AR147" s="53"/>
      <c r="AS147" s="53"/>
      <c r="AT147" s="53"/>
      <c r="AU147" s="53"/>
      <c r="AV147" s="53"/>
      <c r="AW147" s="53"/>
      <c r="AX147" s="53"/>
      <c r="AY147" s="53"/>
      <c r="AZ147" s="53"/>
      <c r="BA147" s="53"/>
      <c r="BB147" s="53"/>
      <c r="BC147" s="53"/>
      <c r="BD147" s="53"/>
      <c r="BE147" s="53"/>
      <c r="BF147" s="53"/>
      <c r="BG147" s="53"/>
      <c r="BH147" s="53"/>
      <c r="BI147" s="53"/>
      <c r="BJ147" s="53"/>
      <c r="BK147" s="53"/>
      <c r="BL147" s="10"/>
      <c r="BM147" s="10"/>
      <c r="BN147" s="10"/>
      <c r="BO147" s="10"/>
      <c r="BP147" s="10"/>
      <c r="BQ147" s="10"/>
      <c r="BR147" s="10"/>
      <c r="BS147" s="10"/>
      <c r="BT147" s="10"/>
      <c r="BU147" s="10"/>
      <c r="BV147" s="10"/>
      <c r="BW147" s="10"/>
      <c r="BX147" s="10"/>
      <c r="BY147" s="10"/>
      <c r="BZ147" s="10"/>
      <c r="CA147" s="10"/>
      <c r="CB147" s="10"/>
      <c r="CC147" s="10"/>
      <c r="CD147" s="10"/>
      <c r="CE147" s="10"/>
      <c r="CF147" s="10"/>
      <c r="CG147" s="10"/>
      <c r="CH147" s="51"/>
    </row>
    <row r="148" spans="1:86" s="2" customFormat="1" ht="15.75" customHeight="1">
      <c r="A148" s="9"/>
      <c r="B148" s="142"/>
      <c r="D148" s="53"/>
      <c r="E148" s="53"/>
      <c r="F148" s="53"/>
      <c r="G148" s="927" t="s">
        <v>302</v>
      </c>
      <c r="H148" s="928"/>
      <c r="I148" s="928"/>
      <c r="J148" s="928"/>
      <c r="K148" s="928"/>
      <c r="L148" s="929"/>
      <c r="M148" s="927">
        <v>100</v>
      </c>
      <c r="N148" s="928"/>
      <c r="O148" s="928"/>
      <c r="P148" s="928"/>
      <c r="Q148" s="928"/>
      <c r="R148" s="929"/>
      <c r="S148" s="53"/>
      <c r="T148" s="53"/>
      <c r="U148" s="927" t="s">
        <v>302</v>
      </c>
      <c r="V148" s="928"/>
      <c r="W148" s="928"/>
      <c r="X148" s="928"/>
      <c r="Y148" s="928"/>
      <c r="Z148" s="929"/>
      <c r="AA148" s="927">
        <v>90</v>
      </c>
      <c r="AB148" s="928"/>
      <c r="AC148" s="928"/>
      <c r="AD148" s="928"/>
      <c r="AE148" s="928"/>
      <c r="AF148" s="929"/>
      <c r="AG148" s="53"/>
      <c r="AH148" s="53"/>
      <c r="AI148" s="53"/>
      <c r="AJ148" s="53"/>
      <c r="AK148" s="53"/>
      <c r="AL148" s="53"/>
      <c r="AM148" s="53"/>
      <c r="AN148" s="53"/>
      <c r="AO148" s="53"/>
      <c r="AP148" s="53"/>
      <c r="AQ148" s="53"/>
      <c r="AR148" s="53"/>
      <c r="AS148" s="53"/>
      <c r="AT148" s="53"/>
      <c r="AU148" s="53"/>
      <c r="AV148" s="53"/>
      <c r="AW148" s="53"/>
      <c r="AX148" s="53"/>
      <c r="AY148" s="53"/>
      <c r="AZ148" s="53"/>
      <c r="BA148" s="53"/>
      <c r="BB148" s="53"/>
      <c r="BC148" s="53"/>
      <c r="BD148" s="53"/>
      <c r="BE148" s="53"/>
      <c r="BF148" s="53"/>
      <c r="BG148" s="53"/>
      <c r="BH148" s="53"/>
      <c r="BI148" s="53"/>
      <c r="BJ148" s="53"/>
      <c r="BK148" s="53"/>
      <c r="BL148" s="10"/>
      <c r="BM148" s="10"/>
      <c r="BN148" s="10"/>
      <c r="BO148" s="10"/>
      <c r="BP148" s="10"/>
      <c r="BQ148" s="10"/>
      <c r="BR148" s="10"/>
      <c r="BS148" s="10"/>
      <c r="BT148" s="10"/>
      <c r="BU148" s="10"/>
      <c r="BV148" s="10"/>
      <c r="BW148" s="10"/>
      <c r="BX148" s="10"/>
      <c r="BY148" s="10"/>
      <c r="BZ148" s="10"/>
      <c r="CA148" s="10"/>
      <c r="CB148" s="10"/>
      <c r="CC148" s="10"/>
      <c r="CD148" s="10"/>
      <c r="CE148" s="10"/>
      <c r="CF148" s="10"/>
      <c r="CG148" s="10"/>
      <c r="CH148" s="51"/>
    </row>
    <row r="149" spans="1:86" s="2" customFormat="1" ht="15.75" customHeight="1">
      <c r="A149" s="9"/>
      <c r="B149" s="142"/>
      <c r="D149" s="53"/>
      <c r="E149" s="53"/>
      <c r="F149" s="53"/>
      <c r="G149" s="53"/>
      <c r="H149" s="53"/>
      <c r="I149" s="53"/>
      <c r="J149" s="53"/>
      <c r="K149" s="53"/>
      <c r="L149" s="53"/>
      <c r="M149" s="53"/>
      <c r="N149" s="53"/>
      <c r="O149" s="53"/>
      <c r="P149" s="53"/>
      <c r="Q149" s="53"/>
      <c r="R149" s="53"/>
      <c r="S149" s="53"/>
      <c r="T149" s="53"/>
      <c r="U149" s="930" t="s">
        <v>303</v>
      </c>
      <c r="V149" s="931"/>
      <c r="W149" s="931"/>
      <c r="X149" s="931"/>
      <c r="Y149" s="931"/>
      <c r="Z149" s="932"/>
      <c r="AA149" s="930">
        <v>10</v>
      </c>
      <c r="AB149" s="931"/>
      <c r="AC149" s="931"/>
      <c r="AD149" s="931"/>
      <c r="AE149" s="931"/>
      <c r="AF149" s="932"/>
      <c r="AG149" s="53"/>
      <c r="AH149" s="53"/>
      <c r="AI149" s="53"/>
      <c r="AJ149" s="53"/>
      <c r="AK149" s="53"/>
      <c r="AL149" s="53"/>
      <c r="AM149" s="53"/>
      <c r="AN149" s="53"/>
      <c r="AO149" s="53"/>
      <c r="AP149" s="53"/>
      <c r="AQ149" s="53"/>
      <c r="AR149" s="53"/>
      <c r="AS149" s="53"/>
      <c r="AT149" s="53"/>
      <c r="AU149" s="53"/>
      <c r="AV149" s="53"/>
      <c r="AW149" s="53"/>
      <c r="AX149" s="53"/>
      <c r="AY149" s="53"/>
      <c r="AZ149" s="53"/>
      <c r="BA149" s="53"/>
      <c r="BB149" s="53"/>
      <c r="BC149" s="53"/>
      <c r="BD149" s="53"/>
      <c r="BE149" s="53"/>
      <c r="BF149" s="53"/>
      <c r="BG149" s="53"/>
      <c r="BH149" s="53"/>
      <c r="BI149" s="53"/>
      <c r="BJ149" s="53"/>
      <c r="BK149" s="53"/>
      <c r="BL149" s="10"/>
      <c r="BM149" s="10"/>
      <c r="BN149" s="10"/>
      <c r="BO149" s="10"/>
      <c r="BP149" s="10"/>
      <c r="BQ149" s="10"/>
      <c r="BR149" s="10"/>
      <c r="BS149" s="10"/>
      <c r="BT149" s="10"/>
      <c r="BU149" s="10"/>
      <c r="BV149" s="10"/>
      <c r="BW149" s="10"/>
      <c r="BX149" s="10"/>
      <c r="BY149" s="10"/>
      <c r="BZ149" s="10"/>
      <c r="CA149" s="10"/>
      <c r="CB149" s="10"/>
      <c r="CC149" s="10"/>
      <c r="CD149" s="10"/>
      <c r="CE149" s="10"/>
      <c r="CF149" s="10"/>
      <c r="CG149" s="10"/>
      <c r="CH149" s="51"/>
    </row>
    <row r="150" spans="1:86" s="2" customFormat="1" ht="15.75" customHeight="1">
      <c r="A150" s="9"/>
      <c r="B150" s="142"/>
      <c r="D150" s="53"/>
      <c r="E150" s="53"/>
      <c r="F150" s="53"/>
      <c r="G150" s="53" t="s">
        <v>304</v>
      </c>
      <c r="H150" s="53"/>
      <c r="I150" s="53"/>
      <c r="J150" s="53"/>
      <c r="K150" s="53"/>
      <c r="L150" s="53"/>
      <c r="M150" s="53"/>
      <c r="N150" s="53"/>
      <c r="O150" s="53"/>
      <c r="P150" s="53"/>
      <c r="Q150" s="53"/>
      <c r="R150" s="53"/>
      <c r="S150" s="53"/>
      <c r="T150" s="53"/>
      <c r="U150" s="53"/>
      <c r="V150" s="53"/>
      <c r="W150" s="53"/>
      <c r="X150" s="53"/>
      <c r="Y150" s="53"/>
      <c r="Z150" s="53"/>
      <c r="AA150" s="53"/>
      <c r="AB150" s="53"/>
      <c r="AC150" s="53"/>
      <c r="AD150" s="53"/>
      <c r="AE150" s="53"/>
      <c r="AF150" s="53"/>
      <c r="AG150" s="53"/>
      <c r="AH150" s="53"/>
      <c r="AI150" s="53"/>
      <c r="AJ150" s="53"/>
      <c r="AK150" s="53"/>
      <c r="AL150" s="53"/>
      <c r="AM150" s="53"/>
      <c r="AN150" s="53"/>
      <c r="AO150" s="53"/>
      <c r="AP150" s="53"/>
      <c r="AQ150" s="53"/>
      <c r="AR150" s="53"/>
      <c r="AS150" s="53"/>
      <c r="AT150" s="53"/>
      <c r="AU150" s="53"/>
      <c r="AV150" s="53"/>
      <c r="AW150" s="53"/>
      <c r="AX150" s="53"/>
      <c r="AY150" s="53"/>
      <c r="AZ150" s="53"/>
      <c r="BA150" s="53"/>
      <c r="BB150" s="53"/>
      <c r="BC150" s="53"/>
      <c r="BD150" s="53"/>
      <c r="BE150" s="53"/>
      <c r="BF150" s="53"/>
      <c r="BG150" s="53"/>
      <c r="BH150" s="53"/>
      <c r="BI150" s="53"/>
      <c r="BJ150" s="53"/>
      <c r="BK150" s="53"/>
      <c r="BL150" s="10"/>
      <c r="BM150" s="10"/>
      <c r="BN150" s="10"/>
      <c r="BO150" s="10"/>
      <c r="BP150" s="10"/>
      <c r="BQ150" s="10"/>
      <c r="BR150" s="10"/>
      <c r="BS150" s="10"/>
      <c r="BT150" s="10"/>
      <c r="BU150" s="10"/>
      <c r="BV150" s="10"/>
      <c r="BW150" s="10"/>
      <c r="BX150" s="10"/>
      <c r="BY150" s="10"/>
      <c r="BZ150" s="10"/>
      <c r="CA150" s="10"/>
      <c r="CB150" s="10"/>
      <c r="CC150" s="10"/>
      <c r="CD150" s="10"/>
      <c r="CE150" s="10"/>
      <c r="CF150" s="10"/>
      <c r="CG150" s="10"/>
      <c r="CH150" s="51"/>
    </row>
    <row r="151" spans="1:86" s="2" customFormat="1" ht="15.75" customHeight="1">
      <c r="A151" s="9"/>
      <c r="B151" s="142"/>
      <c r="D151" s="53"/>
      <c r="E151" s="53"/>
      <c r="F151" s="53"/>
      <c r="G151" s="53" t="s">
        <v>305</v>
      </c>
      <c r="H151" s="53"/>
      <c r="I151" s="53"/>
      <c r="J151" s="53"/>
      <c r="K151" s="53"/>
      <c r="L151" s="53"/>
      <c r="M151" s="53"/>
      <c r="N151" s="53"/>
      <c r="O151" s="53"/>
      <c r="P151" s="53"/>
      <c r="Q151" s="53"/>
      <c r="R151" s="53"/>
      <c r="S151" s="53"/>
      <c r="T151" s="53"/>
      <c r="U151" s="53"/>
      <c r="V151" s="53"/>
      <c r="W151" s="53"/>
      <c r="X151" s="53"/>
      <c r="Y151" s="53"/>
      <c r="Z151" s="53"/>
      <c r="AA151" s="53"/>
      <c r="AB151" s="53"/>
      <c r="AC151" s="53"/>
      <c r="AD151" s="53"/>
      <c r="AE151" s="53"/>
      <c r="AF151" s="53"/>
      <c r="AG151" s="53"/>
      <c r="AH151" s="53"/>
      <c r="AI151" s="53"/>
      <c r="AJ151" s="53"/>
      <c r="AK151" s="53"/>
      <c r="AL151" s="53"/>
      <c r="AM151" s="53"/>
      <c r="AN151" s="53"/>
      <c r="AO151" s="53"/>
      <c r="AP151" s="53"/>
      <c r="AQ151" s="53"/>
      <c r="AR151" s="53"/>
      <c r="AS151" s="53"/>
      <c r="AT151" s="53"/>
      <c r="AU151" s="53"/>
      <c r="AV151" s="53"/>
      <c r="AW151" s="53"/>
      <c r="AX151" s="53"/>
      <c r="AY151" s="53"/>
      <c r="AZ151" s="53"/>
      <c r="BA151" s="53"/>
      <c r="BB151" s="53"/>
      <c r="BC151" s="53"/>
      <c r="BD151" s="53"/>
      <c r="BE151" s="53"/>
      <c r="BF151" s="53"/>
      <c r="BG151" s="53"/>
      <c r="BH151" s="53"/>
      <c r="BI151" s="53"/>
      <c r="BJ151" s="53"/>
      <c r="BK151" s="53"/>
      <c r="BL151" s="10"/>
      <c r="BM151" s="10"/>
      <c r="BN151" s="10"/>
      <c r="BO151" s="10"/>
      <c r="BP151" s="10"/>
      <c r="BQ151" s="10"/>
      <c r="BR151" s="10"/>
      <c r="BS151" s="10"/>
      <c r="BT151" s="10"/>
      <c r="BU151" s="10"/>
      <c r="BV151" s="10"/>
      <c r="BW151" s="10"/>
      <c r="BX151" s="10"/>
      <c r="BY151" s="10"/>
      <c r="BZ151" s="10"/>
      <c r="CA151" s="10"/>
      <c r="CB151" s="10"/>
      <c r="CC151" s="10"/>
      <c r="CD151" s="10"/>
      <c r="CE151" s="10"/>
      <c r="CF151" s="10"/>
      <c r="CG151" s="10"/>
      <c r="CH151" s="51"/>
    </row>
    <row r="152" spans="1:86" s="2" customFormat="1" ht="15.75" customHeight="1">
      <c r="A152" s="9"/>
      <c r="B152" s="142"/>
      <c r="D152" s="53"/>
      <c r="E152" s="53"/>
      <c r="F152" s="53"/>
      <c r="G152" s="53"/>
      <c r="H152" s="53"/>
      <c r="I152" s="53"/>
      <c r="J152" s="53"/>
      <c r="K152" s="53"/>
      <c r="L152" s="53"/>
      <c r="M152" s="53"/>
      <c r="N152" s="53"/>
      <c r="O152" s="53"/>
      <c r="P152" s="53"/>
      <c r="Q152" s="53"/>
      <c r="R152" s="53"/>
      <c r="S152" s="53"/>
      <c r="T152" s="53"/>
      <c r="U152" s="53"/>
      <c r="V152" s="53"/>
      <c r="W152" s="53"/>
      <c r="X152" s="53"/>
      <c r="Y152" s="53"/>
      <c r="Z152" s="53"/>
      <c r="AA152" s="53"/>
      <c r="AB152" s="53"/>
      <c r="AC152" s="53"/>
      <c r="AD152" s="53"/>
      <c r="AE152" s="53"/>
      <c r="AF152" s="53"/>
      <c r="AG152" s="53"/>
      <c r="AH152" s="53"/>
      <c r="AI152" s="53"/>
      <c r="AJ152" s="53"/>
      <c r="AK152" s="53"/>
      <c r="AL152" s="53"/>
      <c r="AM152" s="53"/>
      <c r="AN152" s="53"/>
      <c r="AO152" s="53"/>
      <c r="AP152" s="53"/>
      <c r="AQ152" s="53"/>
      <c r="AR152" s="53"/>
      <c r="AS152" s="53"/>
      <c r="AT152" s="53"/>
      <c r="AU152" s="53"/>
      <c r="AV152" s="53"/>
      <c r="AW152" s="53"/>
      <c r="AX152" s="53"/>
      <c r="AY152" s="53"/>
      <c r="AZ152" s="53"/>
      <c r="BA152" s="53"/>
      <c r="BB152" s="53"/>
      <c r="BC152" s="53"/>
      <c r="BD152" s="53"/>
      <c r="BE152" s="53"/>
      <c r="BF152" s="53"/>
      <c r="BG152" s="53"/>
      <c r="BH152" s="53"/>
      <c r="BI152" s="53"/>
      <c r="BJ152" s="53"/>
      <c r="BK152" s="53"/>
      <c r="BL152" s="10"/>
      <c r="BM152" s="10"/>
      <c r="BN152" s="10"/>
      <c r="BO152" s="10"/>
      <c r="BP152" s="10"/>
      <c r="BQ152" s="10"/>
      <c r="BR152" s="10"/>
      <c r="BS152" s="10"/>
      <c r="BT152" s="10"/>
      <c r="BU152" s="10"/>
      <c r="BV152" s="10"/>
      <c r="BW152" s="10"/>
      <c r="BX152" s="10"/>
      <c r="BY152" s="10"/>
      <c r="BZ152" s="10"/>
      <c r="CA152" s="10"/>
      <c r="CB152" s="10"/>
      <c r="CC152" s="10"/>
      <c r="CD152" s="10"/>
      <c r="CE152" s="10"/>
      <c r="CF152" s="10"/>
      <c r="CG152" s="10"/>
      <c r="CH152" s="51"/>
    </row>
    <row r="153" spans="1:86" s="2" customFormat="1" ht="15.75" customHeight="1">
      <c r="A153" s="9"/>
      <c r="B153" s="142"/>
      <c r="D153" s="53"/>
      <c r="E153" s="53" t="s">
        <v>128</v>
      </c>
      <c r="F153" s="53" t="s">
        <v>306</v>
      </c>
      <c r="G153" s="53"/>
      <c r="H153" s="53"/>
      <c r="I153" s="53"/>
      <c r="J153" s="53"/>
      <c r="K153" s="53"/>
      <c r="L153" s="53"/>
      <c r="M153" s="53"/>
      <c r="N153" s="53"/>
      <c r="O153" s="53"/>
      <c r="P153" s="53"/>
      <c r="Q153" s="53"/>
      <c r="R153" s="53"/>
      <c r="S153" s="53"/>
      <c r="T153" s="53"/>
      <c r="U153" s="53"/>
      <c r="V153" s="53"/>
      <c r="W153" s="53"/>
      <c r="X153" s="53"/>
      <c r="Y153" s="53"/>
      <c r="Z153" s="53"/>
      <c r="AA153" s="53"/>
      <c r="AB153" s="53"/>
      <c r="AC153" s="53"/>
      <c r="AD153" s="53"/>
      <c r="AE153" s="53"/>
      <c r="AF153" s="53"/>
      <c r="AG153" s="53"/>
      <c r="AH153" s="53"/>
      <c r="AI153" s="53"/>
      <c r="AJ153" s="53"/>
      <c r="AK153" s="53"/>
      <c r="AL153" s="53"/>
      <c r="AM153" s="53"/>
      <c r="AN153" s="53"/>
      <c r="AO153" s="53"/>
      <c r="AP153" s="53"/>
      <c r="AQ153" s="53"/>
      <c r="AR153" s="53"/>
      <c r="AS153" s="53"/>
      <c r="AT153" s="53"/>
      <c r="AU153" s="53"/>
      <c r="AV153" s="53"/>
      <c r="AW153" s="53"/>
      <c r="AX153" s="53"/>
      <c r="AY153" s="53"/>
      <c r="AZ153" s="53"/>
      <c r="BA153" s="53"/>
      <c r="BB153" s="53"/>
      <c r="BC153" s="53"/>
      <c r="BD153" s="53"/>
      <c r="BE153" s="53"/>
      <c r="BF153" s="53"/>
      <c r="BG153" s="53"/>
      <c r="BH153" s="53"/>
      <c r="BI153" s="53"/>
      <c r="BJ153" s="53"/>
      <c r="BK153" s="53"/>
      <c r="BL153" s="10"/>
      <c r="BM153" s="10"/>
      <c r="BN153" s="10"/>
      <c r="BO153" s="10"/>
      <c r="BP153" s="10"/>
      <c r="BQ153" s="10"/>
      <c r="BR153" s="10"/>
      <c r="BS153" s="10"/>
      <c r="BT153" s="10"/>
      <c r="BU153" s="10"/>
      <c r="BV153" s="10"/>
      <c r="BW153" s="10"/>
      <c r="BX153" s="10"/>
      <c r="BY153" s="10"/>
      <c r="BZ153" s="10"/>
      <c r="CA153" s="10"/>
      <c r="CB153" s="10"/>
      <c r="CC153" s="10"/>
      <c r="CD153" s="10"/>
      <c r="CE153" s="10"/>
      <c r="CF153" s="10"/>
      <c r="CG153" s="10"/>
      <c r="CH153" s="51"/>
    </row>
    <row r="154" spans="1:86" s="2" customFormat="1" ht="15.75" customHeight="1">
      <c r="A154" s="9"/>
      <c r="B154" s="142"/>
      <c r="D154" s="53"/>
      <c r="E154" s="53"/>
      <c r="F154" s="53" t="s">
        <v>307</v>
      </c>
      <c r="G154" s="53"/>
      <c r="H154" s="53"/>
      <c r="I154" s="53"/>
      <c r="J154" s="53"/>
      <c r="K154" s="53"/>
      <c r="L154" s="53"/>
      <c r="M154" s="53"/>
      <c r="N154" s="53"/>
      <c r="O154" s="53"/>
      <c r="P154" s="53"/>
      <c r="Q154" s="53"/>
      <c r="R154" s="53"/>
      <c r="S154" s="53"/>
      <c r="T154" s="53"/>
      <c r="U154" s="53"/>
      <c r="V154" s="53"/>
      <c r="W154" s="53"/>
      <c r="X154" s="53"/>
      <c r="Y154" s="53"/>
      <c r="Z154" s="53"/>
      <c r="AA154" s="53"/>
      <c r="AB154" s="53"/>
      <c r="AC154" s="53"/>
      <c r="AD154" s="53"/>
      <c r="AE154" s="53"/>
      <c r="AF154" s="53"/>
      <c r="AG154" s="53"/>
      <c r="AH154" s="53"/>
      <c r="AI154" s="53"/>
      <c r="AJ154" s="53"/>
      <c r="AK154" s="53"/>
      <c r="AL154" s="53"/>
      <c r="AM154" s="53"/>
      <c r="AN154" s="53"/>
      <c r="AO154" s="53"/>
      <c r="AP154" s="53"/>
      <c r="AQ154" s="53"/>
      <c r="AR154" s="53"/>
      <c r="AS154" s="53"/>
      <c r="AT154" s="53"/>
      <c r="AU154" s="53"/>
      <c r="AV154" s="53"/>
      <c r="AW154" s="53"/>
      <c r="AX154" s="53"/>
      <c r="AY154" s="53"/>
      <c r="AZ154" s="53"/>
      <c r="BA154" s="53"/>
      <c r="BB154" s="53"/>
      <c r="BC154" s="53"/>
      <c r="BD154" s="53"/>
      <c r="BE154" s="53"/>
      <c r="BF154" s="53"/>
      <c r="BG154" s="53"/>
      <c r="BH154" s="53"/>
      <c r="BI154" s="53"/>
      <c r="BJ154" s="53"/>
      <c r="BK154" s="53"/>
      <c r="BL154" s="10"/>
      <c r="BM154" s="10"/>
      <c r="BN154" s="10"/>
      <c r="BO154" s="10"/>
      <c r="BP154" s="10"/>
      <c r="BQ154" s="10"/>
      <c r="BR154" s="10"/>
      <c r="BS154" s="10"/>
      <c r="BT154" s="10"/>
      <c r="BU154" s="10"/>
      <c r="BV154" s="10"/>
      <c r="BW154" s="10"/>
      <c r="BX154" s="10"/>
      <c r="BY154" s="10"/>
      <c r="BZ154" s="10"/>
      <c r="CA154" s="10"/>
      <c r="CB154" s="10"/>
      <c r="CC154" s="10"/>
      <c r="CD154" s="10"/>
      <c r="CE154" s="10"/>
      <c r="CF154" s="10"/>
      <c r="CG154" s="10"/>
      <c r="CH154" s="51"/>
    </row>
    <row r="155" spans="1:86" s="2" customFormat="1" ht="15.75" customHeight="1">
      <c r="A155" s="9"/>
      <c r="B155" s="142"/>
      <c r="D155" s="53"/>
      <c r="E155" s="53"/>
      <c r="F155" s="53" t="s">
        <v>308</v>
      </c>
      <c r="G155" s="53"/>
      <c r="H155" s="53"/>
      <c r="I155" s="53"/>
      <c r="J155" s="53"/>
      <c r="K155" s="53"/>
      <c r="L155" s="53"/>
      <c r="M155" s="53"/>
      <c r="N155" s="53"/>
      <c r="O155" s="53"/>
      <c r="P155" s="53"/>
      <c r="Q155" s="53"/>
      <c r="R155" s="53"/>
      <c r="S155" s="53"/>
      <c r="T155" s="53"/>
      <c r="U155" s="53"/>
      <c r="V155" s="53"/>
      <c r="W155" s="53"/>
      <c r="X155" s="53"/>
      <c r="Y155" s="53"/>
      <c r="Z155" s="53"/>
      <c r="AA155" s="53"/>
      <c r="AB155" s="53"/>
      <c r="AC155" s="53"/>
      <c r="AD155" s="53"/>
      <c r="AE155" s="53"/>
      <c r="AF155" s="53"/>
      <c r="AG155" s="53"/>
      <c r="AH155" s="53"/>
      <c r="AI155" s="53"/>
      <c r="AJ155" s="53"/>
      <c r="AK155" s="53"/>
      <c r="AL155" s="53"/>
      <c r="AM155" s="53"/>
      <c r="AN155" s="53"/>
      <c r="AO155" s="53"/>
      <c r="AP155" s="53"/>
      <c r="AQ155" s="53"/>
      <c r="AR155" s="53"/>
      <c r="AS155" s="53"/>
      <c r="AT155" s="53"/>
      <c r="AU155" s="53"/>
      <c r="AV155" s="53"/>
      <c r="AW155" s="53"/>
      <c r="AX155" s="53"/>
      <c r="AY155" s="53"/>
      <c r="AZ155" s="53"/>
      <c r="BA155" s="53"/>
      <c r="BB155" s="53"/>
      <c r="BC155" s="53"/>
      <c r="BD155" s="53"/>
      <c r="BE155" s="53"/>
      <c r="BF155" s="53"/>
      <c r="BG155" s="53"/>
      <c r="BH155" s="53"/>
      <c r="BI155" s="53"/>
      <c r="BJ155" s="53"/>
      <c r="BK155" s="53"/>
      <c r="BL155" s="10"/>
      <c r="BM155" s="10"/>
      <c r="BN155" s="10"/>
      <c r="BO155" s="10"/>
      <c r="BP155" s="10"/>
      <c r="BQ155" s="10"/>
      <c r="BR155" s="10"/>
      <c r="BS155" s="10"/>
      <c r="BT155" s="10"/>
      <c r="BU155" s="10"/>
      <c r="BV155" s="10"/>
      <c r="BW155" s="10"/>
      <c r="BX155" s="10"/>
      <c r="BY155" s="10"/>
      <c r="BZ155" s="10"/>
      <c r="CA155" s="10"/>
      <c r="CB155" s="10"/>
      <c r="CC155" s="10"/>
      <c r="CD155" s="10"/>
      <c r="CE155" s="10"/>
      <c r="CF155" s="10"/>
      <c r="CG155" s="10"/>
      <c r="CH155" s="51"/>
    </row>
    <row r="156" spans="1:86" s="2" customFormat="1" ht="15.75" customHeight="1">
      <c r="A156" s="9"/>
      <c r="B156" s="142"/>
      <c r="D156" s="53"/>
      <c r="E156" s="53"/>
      <c r="F156" s="53" t="s">
        <v>298</v>
      </c>
      <c r="G156" s="53"/>
      <c r="H156" s="53"/>
      <c r="I156" s="53"/>
      <c r="J156" s="53"/>
      <c r="K156" s="53"/>
      <c r="L156" s="53"/>
      <c r="M156" s="53"/>
      <c r="N156" s="53"/>
      <c r="O156" s="53"/>
      <c r="P156" s="53"/>
      <c r="Q156" s="53"/>
      <c r="R156" s="53"/>
      <c r="S156" s="53"/>
      <c r="T156" s="53"/>
      <c r="U156" s="53"/>
      <c r="V156" s="53"/>
      <c r="W156" s="53"/>
      <c r="X156" s="53"/>
      <c r="Y156" s="53"/>
      <c r="Z156" s="53"/>
      <c r="AA156" s="53"/>
      <c r="AB156" s="53"/>
      <c r="AC156" s="53"/>
      <c r="AD156" s="53"/>
      <c r="AE156" s="53"/>
      <c r="AF156" s="53"/>
      <c r="AG156" s="53"/>
      <c r="AH156" s="53"/>
      <c r="AI156" s="53"/>
      <c r="AJ156" s="53"/>
      <c r="AK156" s="53"/>
      <c r="AL156" s="53"/>
      <c r="AM156" s="53"/>
      <c r="AN156" s="53"/>
      <c r="AO156" s="53"/>
      <c r="AP156" s="53"/>
      <c r="AQ156" s="53"/>
      <c r="AR156" s="53"/>
      <c r="AS156" s="53"/>
      <c r="AT156" s="53"/>
      <c r="AU156" s="53"/>
      <c r="AV156" s="53"/>
      <c r="AW156" s="53"/>
      <c r="AX156" s="53"/>
      <c r="AY156" s="53"/>
      <c r="AZ156" s="53"/>
      <c r="BA156" s="53"/>
      <c r="BB156" s="53"/>
      <c r="BC156" s="53"/>
      <c r="BD156" s="53"/>
      <c r="BE156" s="53"/>
      <c r="BF156" s="53"/>
      <c r="BG156" s="53"/>
      <c r="BH156" s="53"/>
      <c r="BI156" s="53"/>
      <c r="BJ156" s="53"/>
      <c r="BK156" s="53"/>
      <c r="BL156" s="10"/>
      <c r="BM156" s="10"/>
      <c r="BN156" s="10"/>
      <c r="BO156" s="10"/>
      <c r="BP156" s="10"/>
      <c r="BQ156" s="10"/>
      <c r="BR156" s="10"/>
      <c r="BS156" s="10"/>
      <c r="BT156" s="10"/>
      <c r="BU156" s="10"/>
      <c r="BV156" s="10"/>
      <c r="BW156" s="10"/>
      <c r="BX156" s="10"/>
      <c r="BY156" s="10"/>
      <c r="BZ156" s="10"/>
      <c r="CA156" s="10"/>
      <c r="CB156" s="10"/>
      <c r="CC156" s="10"/>
      <c r="CD156" s="10"/>
      <c r="CE156" s="10"/>
      <c r="CF156" s="10"/>
      <c r="CG156" s="10"/>
      <c r="CH156" s="51"/>
    </row>
    <row r="157" spans="1:86" s="2" customFormat="1" ht="15.75" customHeight="1">
      <c r="A157" s="9"/>
      <c r="B157" s="142"/>
      <c r="D157" s="53"/>
      <c r="E157" s="53"/>
      <c r="F157" s="53"/>
      <c r="G157" s="927" t="s">
        <v>309</v>
      </c>
      <c r="H157" s="928"/>
      <c r="I157" s="928"/>
      <c r="J157" s="928"/>
      <c r="K157" s="928"/>
      <c r="L157" s="929"/>
      <c r="M157" s="927" t="s">
        <v>300</v>
      </c>
      <c r="N157" s="928"/>
      <c r="O157" s="928"/>
      <c r="P157" s="928"/>
      <c r="Q157" s="928"/>
      <c r="R157" s="929"/>
      <c r="S157" s="53"/>
      <c r="T157" s="53"/>
      <c r="U157" s="927" t="s">
        <v>301</v>
      </c>
      <c r="V157" s="928"/>
      <c r="W157" s="928"/>
      <c r="X157" s="928"/>
      <c r="Y157" s="928"/>
      <c r="Z157" s="929"/>
      <c r="AA157" s="927" t="s">
        <v>300</v>
      </c>
      <c r="AB157" s="928"/>
      <c r="AC157" s="928"/>
      <c r="AD157" s="928"/>
      <c r="AE157" s="928"/>
      <c r="AF157" s="929"/>
      <c r="AG157" s="53"/>
      <c r="AH157" s="53"/>
      <c r="AI157" s="53"/>
      <c r="AJ157" s="53"/>
      <c r="AK157" s="53"/>
      <c r="AL157" s="53"/>
      <c r="AM157" s="53"/>
      <c r="AN157" s="53"/>
      <c r="AO157" s="53"/>
      <c r="AP157" s="53"/>
      <c r="AQ157" s="53"/>
      <c r="AR157" s="53"/>
      <c r="AS157" s="53"/>
      <c r="AT157" s="53"/>
      <c r="AU157" s="53"/>
      <c r="AV157" s="53"/>
      <c r="AW157" s="53"/>
      <c r="AX157" s="53"/>
      <c r="AY157" s="53"/>
      <c r="AZ157" s="53"/>
      <c r="BA157" s="53"/>
      <c r="BB157" s="53"/>
      <c r="BC157" s="53"/>
      <c r="BD157" s="53"/>
      <c r="BE157" s="53"/>
      <c r="BF157" s="53"/>
      <c r="BG157" s="53"/>
      <c r="BH157" s="53"/>
      <c r="BI157" s="53"/>
      <c r="BJ157" s="53"/>
      <c r="BK157" s="53"/>
      <c r="BL157" s="10"/>
      <c r="BM157" s="10"/>
      <c r="BN157" s="10"/>
      <c r="BO157" s="10"/>
      <c r="BP157" s="10"/>
      <c r="BQ157" s="10"/>
      <c r="BR157" s="10"/>
      <c r="BS157" s="10"/>
      <c r="BT157" s="10"/>
      <c r="BU157" s="10"/>
      <c r="BV157" s="10"/>
      <c r="BW157" s="10"/>
      <c r="BX157" s="10"/>
      <c r="BY157" s="10"/>
      <c r="BZ157" s="10"/>
      <c r="CA157" s="10"/>
      <c r="CB157" s="10"/>
      <c r="CC157" s="10"/>
      <c r="CD157" s="10"/>
      <c r="CE157" s="10"/>
      <c r="CF157" s="10"/>
      <c r="CG157" s="10"/>
      <c r="CH157" s="51"/>
    </row>
    <row r="158" spans="1:86" s="2" customFormat="1" ht="15.75" customHeight="1">
      <c r="A158" s="9"/>
      <c r="B158" s="142"/>
      <c r="D158" s="53"/>
      <c r="E158" s="53"/>
      <c r="F158" s="53"/>
      <c r="G158" s="927" t="s">
        <v>302</v>
      </c>
      <c r="H158" s="928"/>
      <c r="I158" s="928"/>
      <c r="J158" s="928"/>
      <c r="K158" s="928"/>
      <c r="L158" s="929"/>
      <c r="M158" s="927">
        <v>50</v>
      </c>
      <c r="N158" s="928"/>
      <c r="O158" s="928"/>
      <c r="P158" s="928"/>
      <c r="Q158" s="928"/>
      <c r="R158" s="929"/>
      <c r="S158" s="53"/>
      <c r="T158" s="53"/>
      <c r="U158" s="927" t="s">
        <v>302</v>
      </c>
      <c r="V158" s="928"/>
      <c r="W158" s="928"/>
      <c r="X158" s="928"/>
      <c r="Y158" s="928"/>
      <c r="Z158" s="929"/>
      <c r="AA158" s="927">
        <v>60</v>
      </c>
      <c r="AB158" s="928"/>
      <c r="AC158" s="928"/>
      <c r="AD158" s="928"/>
      <c r="AE158" s="928"/>
      <c r="AF158" s="929"/>
      <c r="AG158" s="53"/>
      <c r="AH158" s="53"/>
      <c r="AI158" s="53"/>
      <c r="AJ158" s="53"/>
      <c r="AK158" s="53"/>
      <c r="AL158" s="53"/>
      <c r="AM158" s="53"/>
      <c r="AN158" s="53"/>
      <c r="AO158" s="53"/>
      <c r="AP158" s="53"/>
      <c r="AQ158" s="53"/>
      <c r="AR158" s="53"/>
      <c r="AS158" s="53"/>
      <c r="AT158" s="53"/>
      <c r="AU158" s="53"/>
      <c r="AV158" s="53"/>
      <c r="AW158" s="53"/>
      <c r="AX158" s="53"/>
      <c r="AY158" s="53"/>
      <c r="AZ158" s="53"/>
      <c r="BA158" s="53"/>
      <c r="BB158" s="53"/>
      <c r="BC158" s="53"/>
      <c r="BD158" s="53"/>
      <c r="BE158" s="53"/>
      <c r="BF158" s="53"/>
      <c r="BG158" s="53"/>
      <c r="BH158" s="53"/>
      <c r="BI158" s="53"/>
      <c r="BJ158" s="53"/>
      <c r="BK158" s="53"/>
      <c r="BL158" s="10"/>
      <c r="BM158" s="10"/>
      <c r="BN158" s="10"/>
      <c r="BO158" s="10"/>
      <c r="BP158" s="10"/>
      <c r="BQ158" s="10"/>
      <c r="BR158" s="10"/>
      <c r="BS158" s="10"/>
      <c r="BT158" s="10"/>
      <c r="BU158" s="10"/>
      <c r="BV158" s="10"/>
      <c r="BW158" s="10"/>
      <c r="BX158" s="10"/>
      <c r="BY158" s="10"/>
      <c r="BZ158" s="10"/>
      <c r="CA158" s="10"/>
      <c r="CB158" s="10"/>
      <c r="CC158" s="10"/>
      <c r="CD158" s="10"/>
      <c r="CE158" s="10"/>
      <c r="CF158" s="10"/>
      <c r="CG158" s="10"/>
      <c r="CH158" s="51"/>
    </row>
    <row r="159" spans="1:86" s="2" customFormat="1" ht="15.75" customHeight="1">
      <c r="A159" s="9"/>
      <c r="B159" s="142"/>
      <c r="D159" s="53"/>
      <c r="E159" s="53"/>
      <c r="F159" s="53"/>
      <c r="G159" s="927" t="s">
        <v>310</v>
      </c>
      <c r="H159" s="928"/>
      <c r="I159" s="928"/>
      <c r="J159" s="928"/>
      <c r="K159" s="928"/>
      <c r="L159" s="929"/>
      <c r="M159" s="927">
        <v>50</v>
      </c>
      <c r="N159" s="928"/>
      <c r="O159" s="928"/>
      <c r="P159" s="928"/>
      <c r="Q159" s="928"/>
      <c r="R159" s="929"/>
      <c r="S159" s="53"/>
      <c r="T159" s="53"/>
      <c r="U159" s="927" t="s">
        <v>311</v>
      </c>
      <c r="V159" s="928"/>
      <c r="W159" s="928"/>
      <c r="X159" s="928"/>
      <c r="Y159" s="928"/>
      <c r="Z159" s="929"/>
      <c r="AA159" s="927">
        <v>30</v>
      </c>
      <c r="AB159" s="928"/>
      <c r="AC159" s="928"/>
      <c r="AD159" s="928"/>
      <c r="AE159" s="928"/>
      <c r="AF159" s="929"/>
      <c r="AG159" s="53"/>
      <c r="AH159" s="53"/>
      <c r="AI159" s="53"/>
      <c r="AJ159" s="53"/>
      <c r="AK159" s="53"/>
      <c r="AL159" s="53"/>
      <c r="AM159" s="53"/>
      <c r="AN159" s="53"/>
      <c r="AO159" s="53"/>
      <c r="AP159" s="53"/>
      <c r="AQ159" s="53"/>
      <c r="AR159" s="53"/>
      <c r="AS159" s="53"/>
      <c r="AT159" s="53"/>
      <c r="AU159" s="53"/>
      <c r="AV159" s="53"/>
      <c r="AW159" s="53"/>
      <c r="AX159" s="53"/>
      <c r="AY159" s="53"/>
      <c r="AZ159" s="53"/>
      <c r="BA159" s="53"/>
      <c r="BB159" s="53"/>
      <c r="BC159" s="53"/>
      <c r="BD159" s="53"/>
      <c r="BE159" s="53"/>
      <c r="BF159" s="53"/>
      <c r="BG159" s="53"/>
      <c r="BH159" s="53"/>
      <c r="BI159" s="53"/>
      <c r="BJ159" s="53"/>
      <c r="BK159" s="53"/>
      <c r="BL159" s="10"/>
      <c r="BM159" s="10"/>
      <c r="BN159" s="10"/>
      <c r="BO159" s="10"/>
      <c r="BP159" s="10"/>
      <c r="BQ159" s="10"/>
      <c r="BR159" s="10"/>
      <c r="BS159" s="10"/>
      <c r="BT159" s="10"/>
      <c r="BU159" s="10"/>
      <c r="BV159" s="10"/>
      <c r="BW159" s="10"/>
      <c r="BX159" s="10"/>
      <c r="BY159" s="10"/>
      <c r="BZ159" s="10"/>
      <c r="CA159" s="10"/>
      <c r="CB159" s="10"/>
      <c r="CC159" s="10"/>
      <c r="CD159" s="10"/>
      <c r="CE159" s="10"/>
      <c r="CF159" s="10"/>
      <c r="CG159" s="10"/>
      <c r="CH159" s="51"/>
    </row>
    <row r="160" spans="1:86" s="2" customFormat="1" ht="15.75" customHeight="1">
      <c r="A160" s="9"/>
      <c r="B160" s="142"/>
      <c r="D160" s="53"/>
      <c r="E160" s="53"/>
      <c r="F160" s="53"/>
      <c r="G160" s="53"/>
      <c r="H160" s="53"/>
      <c r="I160" s="53"/>
      <c r="J160" s="53"/>
      <c r="K160" s="53"/>
      <c r="L160" s="53"/>
      <c r="M160" s="53"/>
      <c r="N160" s="53"/>
      <c r="O160" s="53"/>
      <c r="P160" s="53"/>
      <c r="Q160" s="53"/>
      <c r="R160" s="53"/>
      <c r="S160" s="53"/>
      <c r="T160" s="53"/>
      <c r="U160" s="927" t="s">
        <v>312</v>
      </c>
      <c r="V160" s="928"/>
      <c r="W160" s="928"/>
      <c r="X160" s="928"/>
      <c r="Y160" s="928"/>
      <c r="Z160" s="929"/>
      <c r="AA160" s="927">
        <v>10</v>
      </c>
      <c r="AB160" s="928"/>
      <c r="AC160" s="928"/>
      <c r="AD160" s="928"/>
      <c r="AE160" s="928"/>
      <c r="AF160" s="929"/>
      <c r="AG160" s="53"/>
      <c r="AH160" s="53"/>
      <c r="AI160" s="53"/>
      <c r="AJ160" s="53"/>
      <c r="AK160" s="53"/>
      <c r="AL160" s="53"/>
      <c r="AM160" s="53"/>
      <c r="AN160" s="53"/>
      <c r="AO160" s="53"/>
      <c r="AP160" s="53"/>
      <c r="AQ160" s="53"/>
      <c r="AR160" s="53"/>
      <c r="AS160" s="53"/>
      <c r="AT160" s="53"/>
      <c r="AU160" s="53"/>
      <c r="AV160" s="53"/>
      <c r="AW160" s="53"/>
      <c r="AX160" s="53"/>
      <c r="AY160" s="53"/>
      <c r="AZ160" s="53"/>
      <c r="BA160" s="53"/>
      <c r="BB160" s="53"/>
      <c r="BC160" s="53"/>
      <c r="BD160" s="53"/>
      <c r="BE160" s="53"/>
      <c r="BF160" s="53"/>
      <c r="BG160" s="53"/>
      <c r="BH160" s="53"/>
      <c r="BI160" s="53"/>
      <c r="BJ160" s="53"/>
      <c r="BK160" s="53"/>
      <c r="BL160" s="10"/>
      <c r="BM160" s="10"/>
      <c r="BN160" s="10"/>
      <c r="BO160" s="10"/>
      <c r="BP160" s="10"/>
      <c r="BQ160" s="10"/>
      <c r="BR160" s="10"/>
      <c r="BS160" s="10"/>
      <c r="BT160" s="10"/>
      <c r="BU160" s="10"/>
      <c r="BV160" s="10"/>
      <c r="BW160" s="10"/>
      <c r="BX160" s="10"/>
      <c r="BY160" s="10"/>
      <c r="BZ160" s="10"/>
      <c r="CA160" s="10"/>
      <c r="CB160" s="10"/>
      <c r="CC160" s="10"/>
      <c r="CD160" s="10"/>
      <c r="CE160" s="10"/>
      <c r="CF160" s="10"/>
      <c r="CG160" s="10"/>
      <c r="CH160" s="51"/>
    </row>
    <row r="161" spans="1:86" s="2" customFormat="1" ht="15.75" customHeight="1">
      <c r="A161" s="9"/>
      <c r="B161" s="142"/>
      <c r="D161" s="53"/>
      <c r="E161" s="53"/>
      <c r="F161" s="53"/>
      <c r="G161" s="53"/>
      <c r="H161" s="53"/>
      <c r="I161" s="53"/>
      <c r="J161" s="53"/>
      <c r="K161" s="53"/>
      <c r="L161" s="53"/>
      <c r="M161" s="53"/>
      <c r="N161" s="53"/>
      <c r="O161" s="53"/>
      <c r="P161" s="53"/>
      <c r="Q161" s="53"/>
      <c r="R161" s="53"/>
      <c r="S161" s="53"/>
      <c r="T161" s="53"/>
      <c r="U161" s="53"/>
      <c r="V161" s="53"/>
      <c r="W161" s="53"/>
      <c r="X161" s="53"/>
      <c r="Y161" s="53"/>
      <c r="Z161" s="53"/>
      <c r="AA161" s="53"/>
      <c r="AB161" s="53"/>
      <c r="AC161" s="53"/>
      <c r="AD161" s="53"/>
      <c r="AE161" s="53"/>
      <c r="AF161" s="53"/>
      <c r="AG161" s="53"/>
      <c r="AH161" s="53"/>
      <c r="AI161" s="53"/>
      <c r="AJ161" s="53"/>
      <c r="AK161" s="53"/>
      <c r="AL161" s="53"/>
      <c r="AM161" s="53"/>
      <c r="AN161" s="53"/>
      <c r="AO161" s="53"/>
      <c r="AP161" s="53"/>
      <c r="AQ161" s="53"/>
      <c r="AR161" s="53"/>
      <c r="AS161" s="53"/>
      <c r="AT161" s="53"/>
      <c r="AU161" s="53"/>
      <c r="AV161" s="53"/>
      <c r="AW161" s="53"/>
      <c r="AX161" s="53"/>
      <c r="AY161" s="53"/>
      <c r="AZ161" s="53"/>
      <c r="BA161" s="53"/>
      <c r="BB161" s="53"/>
      <c r="BC161" s="53"/>
      <c r="BD161" s="53"/>
      <c r="BE161" s="53"/>
      <c r="BF161" s="53"/>
      <c r="BG161" s="53"/>
      <c r="BH161" s="53"/>
      <c r="BI161" s="53"/>
      <c r="BJ161" s="53"/>
      <c r="BK161" s="53"/>
      <c r="BL161" s="10"/>
      <c r="BM161" s="10"/>
      <c r="BN161" s="10"/>
      <c r="BO161" s="10"/>
      <c r="BP161" s="10"/>
      <c r="BQ161" s="10"/>
      <c r="BR161" s="10"/>
      <c r="BS161" s="10"/>
      <c r="BT161" s="10"/>
      <c r="BU161" s="10"/>
      <c r="BV161" s="10"/>
      <c r="BW161" s="10"/>
      <c r="BX161" s="10"/>
      <c r="BY161" s="10"/>
      <c r="BZ161" s="10"/>
      <c r="CA161" s="10"/>
      <c r="CB161" s="10"/>
      <c r="CC161" s="10"/>
      <c r="CD161" s="10"/>
      <c r="CE161" s="10"/>
      <c r="CF161" s="10"/>
      <c r="CG161" s="10"/>
      <c r="CH161" s="51"/>
    </row>
    <row r="162" spans="1:86" s="2" customFormat="1" ht="15.75" customHeight="1">
      <c r="A162" s="9"/>
      <c r="B162" s="142"/>
      <c r="D162" s="53"/>
      <c r="E162" s="53"/>
      <c r="F162" s="53"/>
      <c r="G162" s="53" t="s">
        <v>313</v>
      </c>
      <c r="H162" s="53"/>
      <c r="I162" s="53"/>
      <c r="J162" s="53"/>
      <c r="K162" s="53"/>
      <c r="L162" s="53"/>
      <c r="M162" s="53"/>
      <c r="N162" s="53"/>
      <c r="O162" s="53"/>
      <c r="P162" s="53"/>
      <c r="Q162" s="53"/>
      <c r="R162" s="53"/>
      <c r="S162" s="53"/>
      <c r="T162" s="53"/>
      <c r="U162" s="53"/>
      <c r="V162" s="53"/>
      <c r="W162" s="53"/>
      <c r="X162" s="53"/>
      <c r="Y162" s="53"/>
      <c r="Z162" s="53"/>
      <c r="AA162" s="53"/>
      <c r="AB162" s="53"/>
      <c r="AC162" s="53"/>
      <c r="AD162" s="53"/>
      <c r="AE162" s="53"/>
      <c r="AF162" s="53"/>
      <c r="AG162" s="53"/>
      <c r="AH162" s="53"/>
      <c r="AI162" s="53"/>
      <c r="AJ162" s="53"/>
      <c r="AK162" s="53"/>
      <c r="AL162" s="53"/>
      <c r="AM162" s="53"/>
      <c r="AN162" s="53"/>
      <c r="AO162" s="53"/>
      <c r="AP162" s="53"/>
      <c r="AQ162" s="53"/>
      <c r="AR162" s="53"/>
      <c r="AS162" s="53"/>
      <c r="AT162" s="53"/>
      <c r="AU162" s="53"/>
      <c r="AV162" s="53"/>
      <c r="AW162" s="53"/>
      <c r="AX162" s="53"/>
      <c r="AY162" s="53"/>
      <c r="AZ162" s="53"/>
      <c r="BA162" s="53"/>
      <c r="BB162" s="53"/>
      <c r="BC162" s="53"/>
      <c r="BD162" s="53"/>
      <c r="BE162" s="53"/>
      <c r="BF162" s="53"/>
      <c r="BG162" s="53"/>
      <c r="BH162" s="53"/>
      <c r="BI162" s="53"/>
      <c r="BJ162" s="53"/>
      <c r="BK162" s="53"/>
      <c r="BL162" s="10"/>
      <c r="BM162" s="10"/>
      <c r="BN162" s="10"/>
      <c r="BO162" s="10"/>
      <c r="BP162" s="10"/>
      <c r="BQ162" s="10"/>
      <c r="BR162" s="10"/>
      <c r="BS162" s="10"/>
      <c r="BT162" s="10"/>
      <c r="BU162" s="10"/>
      <c r="BV162" s="10"/>
      <c r="BW162" s="10"/>
      <c r="BX162" s="10"/>
      <c r="BY162" s="10"/>
      <c r="BZ162" s="10"/>
      <c r="CA162" s="10"/>
      <c r="CB162" s="10"/>
      <c r="CC162" s="10"/>
      <c r="CD162" s="10"/>
      <c r="CE162" s="10"/>
      <c r="CF162" s="10"/>
      <c r="CG162" s="10"/>
      <c r="CH162" s="51"/>
    </row>
    <row r="163" spans="1:86" s="2" customFormat="1" ht="15.75" customHeight="1">
      <c r="A163" s="9"/>
      <c r="B163" s="142"/>
      <c r="D163" s="53"/>
      <c r="E163" s="53"/>
      <c r="F163" s="53"/>
      <c r="G163" s="53"/>
      <c r="H163" s="53"/>
      <c r="I163" s="53"/>
      <c r="J163" s="53"/>
      <c r="K163" s="53"/>
      <c r="L163" s="53"/>
      <c r="M163" s="927" t="s">
        <v>314</v>
      </c>
      <c r="N163" s="928"/>
      <c r="O163" s="928"/>
      <c r="P163" s="928"/>
      <c r="Q163" s="928"/>
      <c r="R163" s="929"/>
      <c r="S163" s="927" t="s">
        <v>315</v>
      </c>
      <c r="T163" s="928"/>
      <c r="U163" s="928"/>
      <c r="V163" s="928"/>
      <c r="W163" s="928"/>
      <c r="X163" s="929"/>
      <c r="Y163" s="53"/>
      <c r="Z163" s="53"/>
      <c r="AA163" s="53"/>
      <c r="AB163" s="53"/>
      <c r="AC163" s="53"/>
      <c r="AD163" s="53"/>
      <c r="AE163" s="53"/>
      <c r="AF163" s="53"/>
      <c r="AG163" s="53"/>
      <c r="AH163" s="53"/>
      <c r="AI163" s="53"/>
      <c r="AJ163" s="53"/>
      <c r="AK163" s="53"/>
      <c r="AL163" s="53"/>
      <c r="AM163" s="53"/>
      <c r="AN163" s="53"/>
      <c r="AO163" s="53"/>
      <c r="AP163" s="53"/>
      <c r="AQ163" s="53"/>
      <c r="AR163" s="53"/>
      <c r="AS163" s="53"/>
      <c r="AT163" s="53"/>
      <c r="AU163" s="53"/>
      <c r="AV163" s="53"/>
      <c r="AW163" s="53"/>
      <c r="AX163" s="53"/>
      <c r="AY163" s="53"/>
      <c r="AZ163" s="53"/>
      <c r="BA163" s="53"/>
      <c r="BB163" s="53"/>
      <c r="BC163" s="53"/>
      <c r="BD163" s="53"/>
      <c r="BE163" s="53"/>
      <c r="BF163" s="53"/>
      <c r="BG163" s="53"/>
      <c r="BH163" s="53"/>
      <c r="BI163" s="53"/>
      <c r="BJ163" s="53"/>
      <c r="BK163" s="53"/>
      <c r="BL163" s="10"/>
      <c r="BM163" s="10"/>
      <c r="BN163" s="10"/>
      <c r="BO163" s="10"/>
      <c r="BP163" s="10"/>
      <c r="BQ163" s="10"/>
      <c r="BR163" s="10"/>
      <c r="BS163" s="10"/>
      <c r="BT163" s="10"/>
      <c r="BU163" s="10"/>
      <c r="BV163" s="10"/>
      <c r="BW163" s="10"/>
      <c r="BX163" s="10"/>
      <c r="BY163" s="10"/>
      <c r="BZ163" s="10"/>
      <c r="CA163" s="10"/>
      <c r="CB163" s="10"/>
      <c r="CC163" s="10"/>
      <c r="CD163" s="10"/>
      <c r="CE163" s="10"/>
      <c r="CF163" s="10"/>
      <c r="CG163" s="10"/>
      <c r="CH163" s="51"/>
    </row>
    <row r="164" spans="1:86" s="2" customFormat="1" ht="15.75" customHeight="1">
      <c r="A164" s="9"/>
      <c r="B164" s="142"/>
      <c r="D164" s="53"/>
      <c r="E164" s="53"/>
      <c r="F164" s="53"/>
      <c r="G164" s="927" t="s">
        <v>302</v>
      </c>
      <c r="H164" s="928"/>
      <c r="I164" s="928"/>
      <c r="J164" s="928"/>
      <c r="K164" s="928"/>
      <c r="L164" s="929"/>
      <c r="M164" s="927">
        <v>50</v>
      </c>
      <c r="N164" s="928"/>
      <c r="O164" s="928"/>
      <c r="P164" s="928"/>
      <c r="Q164" s="928"/>
      <c r="R164" s="929"/>
      <c r="S164" s="927">
        <v>60</v>
      </c>
      <c r="T164" s="928"/>
      <c r="U164" s="928"/>
      <c r="V164" s="928"/>
      <c r="W164" s="928"/>
      <c r="X164" s="929"/>
      <c r="Y164" s="53"/>
      <c r="Z164" s="53"/>
      <c r="AA164" s="53"/>
      <c r="AB164" s="53"/>
      <c r="AC164" s="53"/>
      <c r="AD164" s="53"/>
      <c r="AE164" s="53"/>
      <c r="AF164" s="53"/>
      <c r="AG164" s="53"/>
      <c r="AH164" s="53"/>
      <c r="AI164" s="53"/>
      <c r="AJ164" s="53"/>
      <c r="AK164" s="53"/>
      <c r="AL164" s="53"/>
      <c r="AM164" s="53"/>
      <c r="AN164" s="53"/>
      <c r="AO164" s="53"/>
      <c r="AP164" s="53"/>
      <c r="AQ164" s="53"/>
      <c r="AR164" s="53"/>
      <c r="AS164" s="53"/>
      <c r="AT164" s="53"/>
      <c r="AU164" s="53"/>
      <c r="AV164" s="53"/>
      <c r="AW164" s="53"/>
      <c r="AX164" s="53"/>
      <c r="AY164" s="53"/>
      <c r="AZ164" s="53"/>
      <c r="BA164" s="53"/>
      <c r="BB164" s="53"/>
      <c r="BC164" s="53"/>
      <c r="BD164" s="53"/>
      <c r="BE164" s="53"/>
      <c r="BF164" s="53"/>
      <c r="BG164" s="53"/>
      <c r="BH164" s="53"/>
      <c r="BI164" s="53"/>
      <c r="BJ164" s="53"/>
      <c r="BK164" s="53"/>
      <c r="BL164" s="10"/>
      <c r="BM164" s="10"/>
      <c r="BN164" s="10"/>
      <c r="BO164" s="10"/>
      <c r="BP164" s="10"/>
      <c r="BQ164" s="10"/>
      <c r="BR164" s="10"/>
      <c r="BS164" s="10"/>
      <c r="BT164" s="10"/>
      <c r="BU164" s="10"/>
      <c r="BV164" s="10"/>
      <c r="BW164" s="10"/>
      <c r="BX164" s="10"/>
      <c r="BY164" s="10"/>
      <c r="BZ164" s="10"/>
      <c r="CA164" s="10"/>
      <c r="CB164" s="10"/>
      <c r="CC164" s="10"/>
      <c r="CD164" s="10"/>
      <c r="CE164" s="10"/>
      <c r="CF164" s="10"/>
      <c r="CG164" s="10"/>
      <c r="CH164" s="51"/>
    </row>
    <row r="165" spans="1:86" s="2" customFormat="1" ht="15.75" customHeight="1">
      <c r="A165" s="9"/>
      <c r="B165" s="142"/>
      <c r="D165" s="53"/>
      <c r="E165" s="53"/>
      <c r="F165" s="53"/>
      <c r="G165" s="927" t="s">
        <v>311</v>
      </c>
      <c r="H165" s="928"/>
      <c r="I165" s="928"/>
      <c r="J165" s="928"/>
      <c r="K165" s="928"/>
      <c r="L165" s="929"/>
      <c r="M165" s="927">
        <v>50</v>
      </c>
      <c r="N165" s="928"/>
      <c r="O165" s="928"/>
      <c r="P165" s="928"/>
      <c r="Q165" s="928"/>
      <c r="R165" s="929"/>
      <c r="S165" s="927">
        <v>90</v>
      </c>
      <c r="T165" s="928"/>
      <c r="U165" s="928"/>
      <c r="V165" s="928"/>
      <c r="W165" s="928"/>
      <c r="X165" s="929"/>
      <c r="Y165" s="53"/>
      <c r="Z165" s="53"/>
      <c r="AA165" s="53"/>
      <c r="AB165" s="53"/>
      <c r="AC165" s="53"/>
      <c r="AD165" s="53"/>
      <c r="AE165" s="53"/>
      <c r="AF165" s="53"/>
      <c r="AG165" s="53"/>
      <c r="AH165" s="53"/>
      <c r="AI165" s="53"/>
      <c r="AJ165" s="53"/>
      <c r="AK165" s="53"/>
      <c r="AL165" s="53"/>
      <c r="AM165" s="53"/>
      <c r="AN165" s="53"/>
      <c r="AO165" s="53"/>
      <c r="AP165" s="53"/>
      <c r="AQ165" s="53"/>
      <c r="AR165" s="53"/>
      <c r="AS165" s="53"/>
      <c r="AT165" s="53"/>
      <c r="AU165" s="53"/>
      <c r="AV165" s="53"/>
      <c r="AW165" s="53"/>
      <c r="AX165" s="53"/>
      <c r="AY165" s="53"/>
      <c r="AZ165" s="53"/>
      <c r="BA165" s="53"/>
      <c r="BB165" s="53"/>
      <c r="BC165" s="53"/>
      <c r="BD165" s="53"/>
      <c r="BE165" s="53"/>
      <c r="BF165" s="53"/>
      <c r="BG165" s="53"/>
      <c r="BH165" s="53"/>
      <c r="BI165" s="53"/>
      <c r="BJ165" s="53"/>
      <c r="BK165" s="53"/>
      <c r="BL165" s="10"/>
      <c r="BM165" s="10"/>
      <c r="BN165" s="10"/>
      <c r="BO165" s="10"/>
      <c r="BP165" s="10"/>
      <c r="BQ165" s="10"/>
      <c r="BR165" s="10"/>
      <c r="BS165" s="10"/>
      <c r="BT165" s="10"/>
      <c r="BU165" s="10"/>
      <c r="BV165" s="10"/>
      <c r="BW165" s="10"/>
      <c r="BX165" s="10"/>
      <c r="BY165" s="10"/>
      <c r="BZ165" s="10"/>
      <c r="CA165" s="10"/>
      <c r="CB165" s="10"/>
      <c r="CC165" s="10"/>
      <c r="CD165" s="10"/>
      <c r="CE165" s="10"/>
      <c r="CF165" s="10"/>
      <c r="CG165" s="10"/>
      <c r="CH165" s="51"/>
    </row>
    <row r="166" spans="1:86" s="2" customFormat="1" ht="15.75" customHeight="1">
      <c r="A166" s="9"/>
      <c r="B166" s="142"/>
      <c r="D166" s="53"/>
      <c r="E166" s="53"/>
      <c r="F166" s="53"/>
      <c r="G166" s="927" t="s">
        <v>310</v>
      </c>
      <c r="H166" s="928"/>
      <c r="I166" s="928"/>
      <c r="J166" s="928"/>
      <c r="K166" s="928"/>
      <c r="L166" s="929"/>
      <c r="M166" s="930">
        <v>100</v>
      </c>
      <c r="N166" s="931"/>
      <c r="O166" s="931"/>
      <c r="P166" s="931"/>
      <c r="Q166" s="931"/>
      <c r="R166" s="932"/>
      <c r="S166" s="930">
        <v>90</v>
      </c>
      <c r="T166" s="931"/>
      <c r="U166" s="931"/>
      <c r="V166" s="931"/>
      <c r="W166" s="931"/>
      <c r="X166" s="932"/>
      <c r="Y166" s="53"/>
      <c r="Z166" s="53"/>
      <c r="AA166" s="53"/>
      <c r="AB166" s="53"/>
      <c r="AC166" s="53"/>
      <c r="AD166" s="53"/>
      <c r="AE166" s="53"/>
      <c r="AF166" s="53"/>
      <c r="AG166" s="53"/>
      <c r="AH166" s="53"/>
      <c r="AI166" s="53"/>
      <c r="AJ166" s="53"/>
      <c r="AK166" s="53"/>
      <c r="AL166" s="53"/>
      <c r="AM166" s="53"/>
      <c r="AN166" s="53"/>
      <c r="AO166" s="53"/>
      <c r="AP166" s="53"/>
      <c r="AQ166" s="53"/>
      <c r="AR166" s="53"/>
      <c r="AS166" s="53"/>
      <c r="AT166" s="53"/>
      <c r="AU166" s="53"/>
      <c r="AV166" s="53"/>
      <c r="AW166" s="53"/>
      <c r="AX166" s="53"/>
      <c r="AY166" s="53"/>
      <c r="AZ166" s="53"/>
      <c r="BA166" s="53"/>
      <c r="BB166" s="53"/>
      <c r="BC166" s="53"/>
      <c r="BD166" s="53"/>
      <c r="BE166" s="53"/>
      <c r="BF166" s="53"/>
      <c r="BG166" s="53"/>
      <c r="BH166" s="53"/>
      <c r="BI166" s="53"/>
      <c r="BJ166" s="53"/>
      <c r="BK166" s="53"/>
      <c r="BL166" s="10"/>
      <c r="BM166" s="10"/>
      <c r="BN166" s="10"/>
      <c r="BO166" s="10"/>
      <c r="BP166" s="10"/>
      <c r="BQ166" s="10"/>
      <c r="BR166" s="10"/>
      <c r="BS166" s="10"/>
      <c r="BT166" s="10"/>
      <c r="BU166" s="10"/>
      <c r="BV166" s="10"/>
      <c r="BW166" s="10"/>
      <c r="BX166" s="10"/>
      <c r="BY166" s="10"/>
      <c r="BZ166" s="10"/>
      <c r="CA166" s="10"/>
      <c r="CB166" s="10"/>
      <c r="CC166" s="10"/>
      <c r="CD166" s="10"/>
      <c r="CE166" s="10"/>
      <c r="CF166" s="10"/>
      <c r="CG166" s="10"/>
      <c r="CH166" s="51"/>
    </row>
    <row r="167" spans="1:86" s="2" customFormat="1" ht="15.75" customHeight="1">
      <c r="A167" s="9"/>
      <c r="B167" s="142"/>
      <c r="D167" s="53"/>
      <c r="E167" s="53"/>
      <c r="F167" s="53"/>
      <c r="G167" s="927" t="s">
        <v>312</v>
      </c>
      <c r="H167" s="928"/>
      <c r="I167" s="928"/>
      <c r="J167" s="928"/>
      <c r="K167" s="928"/>
      <c r="L167" s="929"/>
      <c r="M167" s="927">
        <v>100</v>
      </c>
      <c r="N167" s="928"/>
      <c r="O167" s="928"/>
      <c r="P167" s="928"/>
      <c r="Q167" s="928"/>
      <c r="R167" s="929"/>
      <c r="S167" s="927">
        <v>100</v>
      </c>
      <c r="T167" s="928"/>
      <c r="U167" s="928"/>
      <c r="V167" s="928"/>
      <c r="W167" s="928"/>
      <c r="X167" s="929"/>
      <c r="Y167" s="53"/>
      <c r="Z167" s="53"/>
      <c r="AA167" s="53"/>
      <c r="AB167" s="53"/>
      <c r="AC167" s="53"/>
      <c r="AD167" s="53"/>
      <c r="AE167" s="53"/>
      <c r="AF167" s="53"/>
      <c r="AG167" s="53"/>
      <c r="AH167" s="53"/>
      <c r="AI167" s="53"/>
      <c r="AJ167" s="53"/>
      <c r="AK167" s="53"/>
      <c r="AL167" s="53"/>
      <c r="AM167" s="53"/>
      <c r="AN167" s="53"/>
      <c r="AO167" s="53"/>
      <c r="AP167" s="53"/>
      <c r="AQ167" s="53"/>
      <c r="AR167" s="53"/>
      <c r="AS167" s="53"/>
      <c r="AT167" s="53"/>
      <c r="AU167" s="53"/>
      <c r="AV167" s="53"/>
      <c r="AW167" s="53"/>
      <c r="AX167" s="53"/>
      <c r="AY167" s="53"/>
      <c r="AZ167" s="53"/>
      <c r="BA167" s="53"/>
      <c r="BB167" s="53"/>
      <c r="BC167" s="53"/>
      <c r="BD167" s="53"/>
      <c r="BE167" s="53"/>
      <c r="BF167" s="53"/>
      <c r="BG167" s="53"/>
      <c r="BH167" s="53"/>
      <c r="BI167" s="53"/>
      <c r="BJ167" s="53"/>
      <c r="BK167" s="53"/>
      <c r="BL167" s="10"/>
      <c r="BM167" s="10"/>
      <c r="BN167" s="10"/>
      <c r="BO167" s="10"/>
      <c r="BP167" s="10"/>
      <c r="BQ167" s="10"/>
      <c r="BR167" s="10"/>
      <c r="BS167" s="10"/>
      <c r="BT167" s="10"/>
      <c r="BU167" s="10"/>
      <c r="BV167" s="10"/>
      <c r="BW167" s="10"/>
      <c r="BX167" s="10"/>
      <c r="BY167" s="10"/>
      <c r="BZ167" s="10"/>
      <c r="CA167" s="10"/>
      <c r="CB167" s="10"/>
      <c r="CC167" s="10"/>
      <c r="CD167" s="10"/>
      <c r="CE167" s="10"/>
      <c r="CF167" s="10"/>
      <c r="CG167" s="10"/>
      <c r="CH167" s="51"/>
    </row>
    <row r="168" spans="1:86" s="2" customFormat="1" ht="15.75" customHeight="1">
      <c r="A168" s="9"/>
      <c r="B168" s="142"/>
      <c r="D168" s="53"/>
      <c r="E168" s="53"/>
      <c r="F168" s="317"/>
      <c r="G168" s="317"/>
      <c r="H168" s="317"/>
      <c r="I168" s="317"/>
      <c r="J168" s="317"/>
      <c r="K168" s="317"/>
      <c r="L168" s="53"/>
      <c r="M168" s="53"/>
      <c r="N168" s="53"/>
      <c r="O168" s="53"/>
      <c r="P168" s="53"/>
      <c r="Q168" s="53"/>
      <c r="R168" s="53"/>
      <c r="S168" s="53"/>
      <c r="T168" s="53"/>
      <c r="U168" s="53"/>
      <c r="V168" s="53"/>
      <c r="W168" s="53"/>
      <c r="X168" s="53"/>
      <c r="Y168" s="53"/>
      <c r="Z168" s="53"/>
      <c r="AA168" s="53"/>
      <c r="AB168" s="53"/>
      <c r="AC168" s="53"/>
      <c r="AD168" s="53"/>
      <c r="AE168" s="53"/>
      <c r="AF168" s="53"/>
      <c r="AG168" s="53"/>
      <c r="AH168" s="53"/>
      <c r="AI168" s="53"/>
      <c r="AJ168" s="53"/>
      <c r="AK168" s="53"/>
      <c r="AL168" s="53"/>
      <c r="AM168" s="53"/>
      <c r="AN168" s="53"/>
      <c r="AO168" s="53"/>
      <c r="AP168" s="53"/>
      <c r="AQ168" s="53"/>
      <c r="AR168" s="53"/>
      <c r="AS168" s="53"/>
      <c r="AT168" s="53"/>
      <c r="AU168" s="53"/>
      <c r="AV168" s="53"/>
      <c r="AW168" s="53"/>
      <c r="AX168" s="53"/>
      <c r="AY168" s="53"/>
      <c r="AZ168" s="53"/>
      <c r="BA168" s="53"/>
      <c r="BB168" s="53"/>
      <c r="BC168" s="53"/>
      <c r="BD168" s="53"/>
      <c r="BE168" s="53"/>
      <c r="BF168" s="53"/>
      <c r="BG168" s="53"/>
      <c r="BH168" s="53"/>
      <c r="BI168" s="53"/>
      <c r="BJ168" s="53"/>
      <c r="BK168" s="53"/>
      <c r="BL168" s="10"/>
      <c r="BM168" s="10"/>
      <c r="BN168" s="10"/>
      <c r="BO168" s="10"/>
      <c r="BP168" s="10"/>
      <c r="BQ168" s="10"/>
      <c r="BR168" s="10"/>
      <c r="BS168" s="10"/>
      <c r="BT168" s="10"/>
      <c r="BU168" s="10"/>
      <c r="BV168" s="10"/>
      <c r="BW168" s="10"/>
      <c r="BX168" s="10"/>
      <c r="BY168" s="10"/>
      <c r="BZ168" s="10"/>
      <c r="CA168" s="10"/>
      <c r="CB168" s="10"/>
      <c r="CC168" s="10"/>
      <c r="CD168" s="10"/>
      <c r="CE168" s="10"/>
      <c r="CF168" s="10"/>
      <c r="CG168" s="10"/>
      <c r="CH168" s="51"/>
    </row>
    <row r="169" spans="1:86" s="2" customFormat="1" ht="15.75" customHeight="1">
      <c r="A169" s="9"/>
      <c r="B169" s="142"/>
      <c r="D169" s="53"/>
      <c r="E169" s="53"/>
      <c r="G169" s="53" t="s">
        <v>316</v>
      </c>
      <c r="H169" s="53"/>
      <c r="I169" s="53"/>
      <c r="J169" s="53"/>
      <c r="K169" s="53"/>
      <c r="L169" s="53"/>
      <c r="M169" s="53"/>
      <c r="N169" s="53"/>
      <c r="O169" s="53"/>
      <c r="P169" s="53"/>
      <c r="Q169" s="53"/>
      <c r="R169" s="53"/>
      <c r="S169" s="53"/>
      <c r="T169" s="53"/>
      <c r="U169" s="53"/>
      <c r="V169" s="53"/>
      <c r="W169" s="53"/>
      <c r="X169" s="53"/>
      <c r="Y169" s="53"/>
      <c r="Z169" s="53"/>
      <c r="AA169" s="53"/>
      <c r="AB169" s="53"/>
      <c r="AC169" s="53"/>
      <c r="AD169" s="53"/>
      <c r="AE169" s="53"/>
      <c r="AF169" s="53"/>
      <c r="AG169" s="53"/>
      <c r="AH169" s="53"/>
      <c r="AI169" s="53"/>
      <c r="AJ169" s="53"/>
      <c r="AK169" s="53"/>
      <c r="AL169" s="53"/>
      <c r="AM169" s="53"/>
      <c r="AN169" s="53"/>
      <c r="AO169" s="53"/>
      <c r="AP169" s="53"/>
      <c r="AQ169" s="53"/>
      <c r="AR169" s="53"/>
      <c r="AS169" s="53"/>
      <c r="AT169" s="53"/>
      <c r="AU169" s="53"/>
      <c r="AV169" s="53"/>
      <c r="AW169" s="53"/>
      <c r="AX169" s="53"/>
      <c r="AY169" s="53"/>
      <c r="AZ169" s="53"/>
      <c r="BA169" s="53"/>
      <c r="BB169" s="53"/>
      <c r="BC169" s="53"/>
      <c r="BD169" s="53"/>
      <c r="BE169" s="53"/>
      <c r="BF169" s="53"/>
      <c r="BG169" s="53"/>
      <c r="BH169" s="53"/>
      <c r="BI169" s="53"/>
      <c r="BJ169" s="53"/>
      <c r="BK169" s="53"/>
      <c r="BL169" s="10"/>
      <c r="BM169" s="10"/>
      <c r="BN169" s="10"/>
      <c r="BO169" s="10"/>
      <c r="BP169" s="10"/>
      <c r="BQ169" s="10"/>
      <c r="BR169" s="10"/>
      <c r="BS169" s="10"/>
      <c r="BT169" s="10"/>
      <c r="BU169" s="10"/>
      <c r="BV169" s="10"/>
      <c r="BW169" s="10"/>
      <c r="BX169" s="10"/>
      <c r="BY169" s="10"/>
      <c r="BZ169" s="10"/>
      <c r="CA169" s="10"/>
      <c r="CB169" s="10"/>
      <c r="CC169" s="10"/>
      <c r="CD169" s="10"/>
      <c r="CE169" s="10"/>
      <c r="CF169" s="10"/>
      <c r="CG169" s="10"/>
      <c r="CH169" s="51"/>
    </row>
    <row r="170" spans="1:86" s="2" customFormat="1" ht="15.75" customHeight="1">
      <c r="A170" s="9"/>
      <c r="B170" s="142"/>
      <c r="D170" s="53"/>
      <c r="E170" s="53"/>
      <c r="G170" s="53" t="s">
        <v>305</v>
      </c>
      <c r="H170" s="53"/>
      <c r="I170" s="53"/>
      <c r="J170" s="53"/>
      <c r="K170" s="53"/>
      <c r="L170" s="53"/>
      <c r="M170" s="53"/>
      <c r="N170" s="53"/>
      <c r="O170" s="53"/>
      <c r="P170" s="53"/>
      <c r="Q170" s="53"/>
      <c r="R170" s="53"/>
      <c r="S170" s="53"/>
      <c r="T170" s="53"/>
      <c r="U170" s="53"/>
      <c r="V170" s="53"/>
      <c r="W170" s="53"/>
      <c r="X170" s="53"/>
      <c r="Y170" s="53"/>
      <c r="Z170" s="53"/>
      <c r="AA170" s="53"/>
      <c r="AB170" s="53"/>
      <c r="AC170" s="53"/>
      <c r="AD170" s="53"/>
      <c r="AE170" s="53"/>
      <c r="AF170" s="53"/>
      <c r="AG170" s="53"/>
      <c r="AH170" s="53"/>
      <c r="AI170" s="53"/>
      <c r="AJ170" s="53"/>
      <c r="AK170" s="53"/>
      <c r="AL170" s="53"/>
      <c r="AM170" s="53"/>
      <c r="AN170" s="53"/>
      <c r="AO170" s="53"/>
      <c r="AP170" s="53"/>
      <c r="AQ170" s="53"/>
      <c r="AR170" s="53"/>
      <c r="AS170" s="53"/>
      <c r="AT170" s="53"/>
      <c r="AU170" s="53"/>
      <c r="AV170" s="53"/>
      <c r="AW170" s="53"/>
      <c r="AX170" s="53"/>
      <c r="AY170" s="53"/>
      <c r="AZ170" s="53"/>
      <c r="BA170" s="53"/>
      <c r="BB170" s="53"/>
      <c r="BC170" s="53"/>
      <c r="BD170" s="53"/>
      <c r="BE170" s="53"/>
      <c r="BF170" s="53"/>
      <c r="BG170" s="53"/>
      <c r="BH170" s="53"/>
      <c r="BI170" s="53"/>
      <c r="BJ170" s="53"/>
      <c r="BK170" s="53"/>
      <c r="BL170" s="10"/>
      <c r="BM170" s="10"/>
      <c r="BN170" s="10"/>
      <c r="BO170" s="10"/>
      <c r="BP170" s="10"/>
      <c r="BQ170" s="10"/>
      <c r="BR170" s="10"/>
      <c r="BS170" s="10"/>
      <c r="BT170" s="10"/>
      <c r="BU170" s="10"/>
      <c r="BV170" s="10"/>
      <c r="BW170" s="10"/>
      <c r="BX170" s="10"/>
      <c r="BY170" s="10"/>
      <c r="BZ170" s="10"/>
      <c r="CA170" s="10"/>
      <c r="CB170" s="10"/>
      <c r="CC170" s="10"/>
      <c r="CD170" s="10"/>
      <c r="CE170" s="10"/>
      <c r="CF170" s="10"/>
      <c r="CG170" s="10"/>
      <c r="CH170" s="51"/>
    </row>
    <row r="171" spans="1:86" s="2" customFormat="1" ht="15.75" customHeight="1">
      <c r="A171" s="9"/>
      <c r="B171" s="142"/>
      <c r="D171" s="53"/>
      <c r="E171" s="53"/>
      <c r="F171" s="53"/>
      <c r="G171" s="53"/>
      <c r="H171" s="53"/>
      <c r="I171" s="53"/>
      <c r="J171" s="53"/>
      <c r="K171" s="53"/>
      <c r="L171" s="53"/>
      <c r="M171" s="53"/>
      <c r="N171" s="53"/>
      <c r="O171" s="53"/>
      <c r="P171" s="53"/>
      <c r="Q171" s="53"/>
      <c r="R171" s="53"/>
      <c r="S171" s="53"/>
      <c r="T171" s="53"/>
      <c r="U171" s="53"/>
      <c r="V171" s="53"/>
      <c r="W171" s="53"/>
      <c r="X171" s="53"/>
      <c r="Y171" s="53"/>
      <c r="Z171" s="53"/>
      <c r="AA171" s="53"/>
      <c r="AB171" s="53"/>
      <c r="AC171" s="53"/>
      <c r="AD171" s="53"/>
      <c r="AE171" s="53"/>
      <c r="AF171" s="53"/>
      <c r="AG171" s="53"/>
      <c r="AH171" s="53"/>
      <c r="AI171" s="53"/>
      <c r="AJ171" s="53"/>
      <c r="AK171" s="53"/>
      <c r="AL171" s="53"/>
      <c r="AM171" s="53"/>
      <c r="AN171" s="53"/>
      <c r="AO171" s="53"/>
      <c r="AP171" s="53"/>
      <c r="AQ171" s="53"/>
      <c r="AR171" s="53"/>
      <c r="AS171" s="53"/>
      <c r="AT171" s="53"/>
      <c r="AU171" s="53"/>
      <c r="AV171" s="53"/>
      <c r="AW171" s="53"/>
      <c r="AX171" s="53"/>
      <c r="AY171" s="53"/>
      <c r="AZ171" s="53"/>
      <c r="BA171" s="53"/>
      <c r="BB171" s="53"/>
      <c r="BC171" s="53"/>
      <c r="BD171" s="53"/>
      <c r="BE171" s="53"/>
      <c r="BF171" s="53"/>
      <c r="BG171" s="53"/>
      <c r="BH171" s="53"/>
      <c r="BI171" s="53"/>
      <c r="BJ171" s="53"/>
      <c r="BK171" s="53"/>
      <c r="BL171" s="10"/>
      <c r="BM171" s="10"/>
      <c r="BN171" s="10"/>
      <c r="BO171" s="10"/>
      <c r="BP171" s="10"/>
      <c r="BQ171" s="10"/>
      <c r="BR171" s="10"/>
      <c r="BS171" s="10"/>
      <c r="BT171" s="10"/>
      <c r="BU171" s="10"/>
      <c r="BV171" s="10"/>
      <c r="BW171" s="10"/>
      <c r="BX171" s="10"/>
      <c r="BY171" s="10"/>
      <c r="BZ171" s="10"/>
      <c r="CA171" s="10"/>
      <c r="CB171" s="10"/>
      <c r="CC171" s="10"/>
      <c r="CD171" s="10"/>
      <c r="CE171" s="10"/>
      <c r="CF171" s="10"/>
      <c r="CG171" s="10"/>
      <c r="CH171" s="51"/>
    </row>
    <row r="172" spans="1:86" s="2" customFormat="1" ht="15.75" customHeight="1">
      <c r="A172" s="9"/>
      <c r="B172" s="142"/>
      <c r="D172" s="53"/>
      <c r="E172" s="53" t="s">
        <v>128</v>
      </c>
      <c r="F172" s="53" t="s">
        <v>317</v>
      </c>
      <c r="G172" s="53"/>
      <c r="H172" s="53"/>
      <c r="I172" s="53"/>
      <c r="J172" s="53"/>
      <c r="K172" s="53"/>
      <c r="L172" s="53"/>
      <c r="M172" s="53"/>
      <c r="N172" s="53"/>
      <c r="O172" s="53"/>
      <c r="P172" s="53"/>
      <c r="Q172" s="53"/>
      <c r="R172" s="53"/>
      <c r="S172" s="53"/>
      <c r="T172" s="53"/>
      <c r="U172" s="53"/>
      <c r="V172" s="53"/>
      <c r="W172" s="53"/>
      <c r="X172" s="53"/>
      <c r="Y172" s="53"/>
      <c r="Z172" s="53"/>
      <c r="AA172" s="53"/>
      <c r="AB172" s="53"/>
      <c r="AC172" s="53"/>
      <c r="AD172" s="53"/>
      <c r="AE172" s="53"/>
      <c r="AF172" s="53"/>
      <c r="AG172" s="53"/>
      <c r="AH172" s="53"/>
      <c r="AI172" s="53"/>
      <c r="AJ172" s="53"/>
      <c r="AK172" s="53"/>
      <c r="AL172" s="53"/>
      <c r="AM172" s="53"/>
      <c r="AN172" s="53"/>
      <c r="AO172" s="53"/>
      <c r="AP172" s="53"/>
      <c r="AQ172" s="53"/>
      <c r="AR172" s="53"/>
      <c r="AS172" s="53"/>
      <c r="AT172" s="53"/>
      <c r="AU172" s="53"/>
      <c r="AV172" s="53"/>
      <c r="AW172" s="53"/>
      <c r="AX172" s="53"/>
      <c r="AY172" s="53"/>
      <c r="AZ172" s="53"/>
      <c r="BA172" s="53"/>
      <c r="BB172" s="53"/>
      <c r="BC172" s="53"/>
      <c r="BD172" s="53"/>
      <c r="BE172" s="53"/>
      <c r="BF172" s="53"/>
      <c r="BG172" s="53"/>
      <c r="BH172" s="53"/>
      <c r="BI172" s="53"/>
      <c r="BJ172" s="53"/>
      <c r="BK172" s="53"/>
      <c r="BL172" s="10"/>
      <c r="BM172" s="10"/>
      <c r="BN172" s="10"/>
      <c r="BO172" s="10"/>
      <c r="BP172" s="10"/>
      <c r="BQ172" s="10"/>
      <c r="BR172" s="10"/>
      <c r="BS172" s="10"/>
      <c r="BT172" s="10"/>
      <c r="BU172" s="10"/>
      <c r="BV172" s="10"/>
      <c r="BW172" s="10"/>
      <c r="BX172" s="10"/>
      <c r="BY172" s="10"/>
      <c r="BZ172" s="10"/>
      <c r="CA172" s="10"/>
      <c r="CB172" s="10"/>
      <c r="CC172" s="10"/>
      <c r="CD172" s="10"/>
      <c r="CE172" s="10"/>
      <c r="CF172" s="10"/>
      <c r="CG172" s="10"/>
      <c r="CH172" s="51"/>
    </row>
    <row r="173" spans="1:86" s="2" customFormat="1" ht="15.75" customHeight="1">
      <c r="A173" s="9"/>
      <c r="B173" s="142"/>
      <c r="D173" s="53"/>
      <c r="E173" s="53"/>
      <c r="F173" s="53" t="s">
        <v>318</v>
      </c>
      <c r="G173" s="53"/>
      <c r="H173" s="53"/>
      <c r="I173" s="53"/>
      <c r="J173" s="53"/>
      <c r="K173" s="53"/>
      <c r="L173" s="53"/>
      <c r="M173" s="53"/>
      <c r="N173" s="53"/>
      <c r="O173" s="53"/>
      <c r="P173" s="53"/>
      <c r="Q173" s="53"/>
      <c r="R173" s="53"/>
      <c r="S173" s="53"/>
      <c r="T173" s="53"/>
      <c r="U173" s="53"/>
      <c r="V173" s="53"/>
      <c r="W173" s="53"/>
      <c r="X173" s="53"/>
      <c r="Y173" s="53"/>
      <c r="Z173" s="53"/>
      <c r="AA173" s="53"/>
      <c r="AB173" s="53"/>
      <c r="AC173" s="53"/>
      <c r="AD173" s="53"/>
      <c r="AE173" s="53"/>
      <c r="AF173" s="53"/>
      <c r="AG173" s="53"/>
      <c r="AH173" s="53"/>
      <c r="AI173" s="53"/>
      <c r="AJ173" s="53"/>
      <c r="AK173" s="53"/>
      <c r="AL173" s="53"/>
      <c r="AM173" s="53"/>
      <c r="AN173" s="53"/>
      <c r="AO173" s="53"/>
      <c r="AP173" s="53"/>
      <c r="AQ173" s="53"/>
      <c r="AR173" s="53"/>
      <c r="AS173" s="53"/>
      <c r="AT173" s="53"/>
      <c r="AU173" s="53"/>
      <c r="AV173" s="53"/>
      <c r="AW173" s="53"/>
      <c r="AX173" s="53"/>
      <c r="AY173" s="53"/>
      <c r="AZ173" s="53"/>
      <c r="BA173" s="53"/>
      <c r="BB173" s="53"/>
      <c r="BC173" s="53"/>
      <c r="BD173" s="53"/>
      <c r="BE173" s="53"/>
      <c r="BF173" s="53"/>
      <c r="BG173" s="53"/>
      <c r="BH173" s="53"/>
      <c r="BI173" s="53"/>
      <c r="BJ173" s="53"/>
      <c r="BK173" s="53"/>
      <c r="BL173" s="10"/>
      <c r="BM173" s="10"/>
      <c r="BN173" s="10"/>
      <c r="BO173" s="10"/>
      <c r="BP173" s="10"/>
      <c r="BQ173" s="10"/>
      <c r="BR173" s="10"/>
      <c r="BS173" s="10"/>
      <c r="BT173" s="10"/>
      <c r="BU173" s="10"/>
      <c r="BV173" s="10"/>
      <c r="BW173" s="10"/>
      <c r="BX173" s="10"/>
      <c r="BY173" s="10"/>
      <c r="BZ173" s="10"/>
      <c r="CA173" s="10"/>
      <c r="CB173" s="10"/>
      <c r="CC173" s="10"/>
      <c r="CD173" s="10"/>
      <c r="CE173" s="10"/>
      <c r="CF173" s="10"/>
      <c r="CG173" s="10"/>
      <c r="CH173" s="51"/>
    </row>
    <row r="174" spans="1:86" s="2" customFormat="1" ht="15.75" customHeight="1">
      <c r="A174" s="9"/>
      <c r="B174" s="142"/>
      <c r="D174" s="53"/>
      <c r="E174" s="53"/>
      <c r="F174" s="53" t="s">
        <v>319</v>
      </c>
      <c r="G174" s="53"/>
      <c r="H174" s="53"/>
      <c r="I174" s="53"/>
      <c r="J174" s="53"/>
      <c r="K174" s="53"/>
      <c r="L174" s="53"/>
      <c r="M174" s="53"/>
      <c r="N174" s="53"/>
      <c r="O174" s="53"/>
      <c r="P174" s="53"/>
      <c r="Q174" s="53"/>
      <c r="R174" s="53"/>
      <c r="S174" s="53"/>
      <c r="T174" s="53"/>
      <c r="U174" s="53"/>
      <c r="V174" s="53"/>
      <c r="W174" s="53"/>
      <c r="X174" s="53"/>
      <c r="Y174" s="53"/>
      <c r="Z174" s="53"/>
      <c r="AA174" s="53"/>
      <c r="AB174" s="53"/>
      <c r="AC174" s="53"/>
      <c r="AD174" s="53"/>
      <c r="AE174" s="53"/>
      <c r="AF174" s="53"/>
      <c r="AG174" s="53"/>
      <c r="AH174" s="53"/>
      <c r="AI174" s="53"/>
      <c r="AJ174" s="53"/>
      <c r="AK174" s="53"/>
      <c r="AL174" s="53"/>
      <c r="AM174" s="53"/>
      <c r="AN174" s="53"/>
      <c r="AO174" s="53"/>
      <c r="AP174" s="53"/>
      <c r="AQ174" s="53"/>
      <c r="AR174" s="53"/>
      <c r="AS174" s="53"/>
      <c r="AT174" s="53"/>
      <c r="AU174" s="53"/>
      <c r="AV174" s="53"/>
      <c r="AW174" s="53"/>
      <c r="AX174" s="53"/>
      <c r="AY174" s="53"/>
      <c r="AZ174" s="53"/>
      <c r="BA174" s="53"/>
      <c r="BB174" s="53"/>
      <c r="BC174" s="53"/>
      <c r="BD174" s="53"/>
      <c r="BE174" s="53"/>
      <c r="BF174" s="53"/>
      <c r="BG174" s="53"/>
      <c r="BH174" s="53"/>
      <c r="BI174" s="53"/>
      <c r="BJ174" s="53"/>
      <c r="BK174" s="53"/>
      <c r="BL174" s="10"/>
      <c r="BM174" s="10"/>
      <c r="BN174" s="10"/>
      <c r="BO174" s="10"/>
      <c r="BP174" s="10"/>
      <c r="BQ174" s="10"/>
      <c r="BR174" s="10"/>
      <c r="BS174" s="10"/>
      <c r="BT174" s="10"/>
      <c r="BU174" s="10"/>
      <c r="BV174" s="10"/>
      <c r="BW174" s="10"/>
      <c r="BX174" s="10"/>
      <c r="BY174" s="10"/>
      <c r="BZ174" s="10"/>
      <c r="CA174" s="10"/>
      <c r="CB174" s="10"/>
      <c r="CC174" s="10"/>
      <c r="CD174" s="10"/>
      <c r="CE174" s="10"/>
      <c r="CF174" s="10"/>
      <c r="CG174" s="10"/>
      <c r="CH174" s="51"/>
    </row>
    <row r="175" spans="1:86" s="2" customFormat="1" ht="15.75" customHeight="1">
      <c r="A175" s="9"/>
      <c r="B175" s="142"/>
      <c r="D175" s="53"/>
      <c r="E175" s="53"/>
      <c r="F175" s="53"/>
      <c r="G175" s="53" t="s">
        <v>320</v>
      </c>
      <c r="H175" s="53" t="s">
        <v>321</v>
      </c>
      <c r="I175" s="53"/>
      <c r="J175" s="53"/>
      <c r="K175" s="53"/>
      <c r="L175" s="53"/>
      <c r="M175" s="53"/>
      <c r="N175" s="53"/>
      <c r="O175" s="53"/>
      <c r="P175" s="53"/>
      <c r="Q175" s="53"/>
      <c r="R175" s="53"/>
      <c r="S175" s="53"/>
      <c r="T175" s="53"/>
      <c r="U175" s="53"/>
      <c r="V175" s="53"/>
      <c r="W175" s="53"/>
      <c r="X175" s="53"/>
      <c r="Y175" s="53"/>
      <c r="Z175" s="53"/>
      <c r="AA175" s="53"/>
      <c r="AB175" s="53"/>
      <c r="AC175" s="53"/>
      <c r="AD175" s="53"/>
      <c r="AE175" s="53"/>
      <c r="AF175" s="53"/>
      <c r="AG175" s="53"/>
      <c r="AH175" s="53"/>
      <c r="AI175" s="53"/>
      <c r="AJ175" s="53"/>
      <c r="AK175" s="53"/>
      <c r="AL175" s="53"/>
      <c r="AM175" s="53"/>
      <c r="AN175" s="53"/>
      <c r="AO175" s="53"/>
      <c r="AP175" s="53"/>
      <c r="AQ175" s="53"/>
      <c r="AR175" s="53"/>
      <c r="AS175" s="53"/>
      <c r="AT175" s="53"/>
      <c r="AU175" s="53"/>
      <c r="AV175" s="53"/>
      <c r="AW175" s="53"/>
      <c r="AX175" s="53"/>
      <c r="AY175" s="53"/>
      <c r="AZ175" s="53"/>
      <c r="BA175" s="53"/>
      <c r="BB175" s="53"/>
      <c r="BC175" s="53"/>
      <c r="BD175" s="53"/>
      <c r="BE175" s="53"/>
      <c r="BF175" s="53"/>
      <c r="BG175" s="53"/>
      <c r="BH175" s="53"/>
      <c r="BI175" s="53"/>
      <c r="BJ175" s="53"/>
      <c r="BK175" s="53"/>
      <c r="BL175" s="10"/>
      <c r="BM175" s="10"/>
      <c r="BN175" s="10"/>
      <c r="BO175" s="10"/>
      <c r="BP175" s="10"/>
      <c r="BQ175" s="10"/>
      <c r="BR175" s="10"/>
      <c r="BS175" s="10"/>
      <c r="BT175" s="10"/>
      <c r="BU175" s="10"/>
      <c r="BV175" s="10"/>
      <c r="BW175" s="10"/>
      <c r="BX175" s="10"/>
      <c r="BY175" s="10"/>
      <c r="BZ175" s="10"/>
      <c r="CA175" s="10"/>
      <c r="CB175" s="10"/>
      <c r="CC175" s="10"/>
      <c r="CD175" s="10"/>
      <c r="CE175" s="10"/>
      <c r="CF175" s="10"/>
      <c r="CG175" s="10"/>
      <c r="CH175" s="51"/>
    </row>
    <row r="176" spans="1:86" s="2" customFormat="1" ht="15.75" customHeight="1">
      <c r="A176" s="9"/>
      <c r="B176" s="142"/>
      <c r="D176" s="53"/>
      <c r="E176" s="53"/>
      <c r="F176" s="53"/>
      <c r="G176" s="53"/>
      <c r="H176" s="53"/>
      <c r="I176" s="53" t="s">
        <v>322</v>
      </c>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c r="AI176" s="53"/>
      <c r="AJ176" s="53"/>
      <c r="AK176" s="53"/>
      <c r="AL176" s="53"/>
      <c r="AM176" s="53"/>
      <c r="AN176" s="53"/>
      <c r="AO176" s="53"/>
      <c r="AP176" s="53"/>
      <c r="AQ176" s="53"/>
      <c r="AR176" s="53"/>
      <c r="AS176" s="53"/>
      <c r="AT176" s="53"/>
      <c r="AU176" s="53"/>
      <c r="AV176" s="53"/>
      <c r="AW176" s="53"/>
      <c r="AX176" s="53"/>
      <c r="AY176" s="53"/>
      <c r="AZ176" s="53"/>
      <c r="BA176" s="53"/>
      <c r="BB176" s="53"/>
      <c r="BC176" s="53"/>
      <c r="BD176" s="53"/>
      <c r="BE176" s="53"/>
      <c r="BF176" s="53"/>
      <c r="BG176" s="53"/>
      <c r="BH176" s="53"/>
      <c r="BI176" s="53"/>
      <c r="BJ176" s="53"/>
      <c r="BK176" s="53"/>
      <c r="BL176" s="10"/>
      <c r="BM176" s="10"/>
      <c r="BN176" s="10"/>
      <c r="BO176" s="10"/>
      <c r="BP176" s="10"/>
      <c r="BQ176" s="10"/>
      <c r="BR176" s="10"/>
      <c r="BS176" s="10"/>
      <c r="BT176" s="10"/>
      <c r="BU176" s="10"/>
      <c r="BV176" s="10"/>
      <c r="BW176" s="10"/>
      <c r="BX176" s="10"/>
      <c r="BY176" s="10"/>
      <c r="BZ176" s="10"/>
      <c r="CA176" s="10"/>
      <c r="CB176" s="10"/>
      <c r="CC176" s="10"/>
      <c r="CD176" s="10"/>
      <c r="CE176" s="10"/>
      <c r="CF176" s="10"/>
      <c r="CG176" s="10"/>
      <c r="CH176" s="51"/>
    </row>
    <row r="177" spans="1:86" s="2" customFormat="1" ht="15.75" customHeight="1">
      <c r="A177" s="9"/>
      <c r="B177" s="142"/>
      <c r="D177" s="53"/>
      <c r="F177" s="53"/>
      <c r="G177" s="53" t="s">
        <v>320</v>
      </c>
      <c r="H177" s="53" t="s">
        <v>323</v>
      </c>
      <c r="I177" s="53"/>
      <c r="J177" s="53"/>
      <c r="K177" s="53"/>
      <c r="L177" s="53"/>
      <c r="M177" s="53"/>
      <c r="N177" s="53"/>
      <c r="O177" s="53"/>
      <c r="P177" s="53"/>
      <c r="Q177" s="53"/>
      <c r="R177" s="53"/>
      <c r="S177" s="53"/>
      <c r="T177" s="53"/>
      <c r="U177" s="53"/>
      <c r="V177" s="53"/>
      <c r="W177" s="53"/>
      <c r="X177" s="53"/>
      <c r="Y177" s="53"/>
      <c r="Z177" s="53"/>
      <c r="AA177" s="53"/>
      <c r="AB177" s="53"/>
      <c r="AC177" s="53"/>
      <c r="AD177" s="53"/>
      <c r="AE177" s="53"/>
      <c r="AF177" s="53"/>
      <c r="AG177" s="53"/>
      <c r="AH177" s="53"/>
      <c r="AI177" s="53"/>
      <c r="AJ177" s="53"/>
      <c r="AK177" s="53"/>
      <c r="AL177" s="53"/>
      <c r="AM177" s="53"/>
      <c r="AN177" s="53"/>
      <c r="AO177" s="53"/>
      <c r="AP177" s="53"/>
      <c r="AQ177" s="53"/>
      <c r="AR177" s="53"/>
      <c r="AS177" s="53"/>
      <c r="AT177" s="53"/>
      <c r="AU177" s="53"/>
      <c r="AV177" s="53"/>
      <c r="AW177" s="53"/>
      <c r="AX177" s="53"/>
      <c r="AY177" s="53"/>
      <c r="AZ177" s="53"/>
      <c r="BA177" s="53"/>
      <c r="BB177" s="53"/>
      <c r="BC177" s="53"/>
      <c r="BD177" s="53"/>
      <c r="BE177" s="53"/>
      <c r="BF177" s="53"/>
      <c r="BG177" s="53"/>
      <c r="BH177" s="53"/>
      <c r="BI177" s="53"/>
      <c r="BJ177" s="53"/>
      <c r="BK177" s="53"/>
      <c r="BL177" s="10"/>
      <c r="BM177" s="10"/>
      <c r="BN177" s="10"/>
      <c r="BO177" s="10"/>
      <c r="BP177" s="10"/>
      <c r="BQ177" s="10"/>
      <c r="BR177" s="10"/>
      <c r="BS177" s="10"/>
      <c r="BT177" s="10"/>
      <c r="BU177" s="10"/>
      <c r="BV177" s="10"/>
      <c r="BW177" s="10"/>
      <c r="BX177" s="10"/>
      <c r="BY177" s="10"/>
      <c r="BZ177" s="10"/>
      <c r="CA177" s="10"/>
      <c r="CB177" s="10"/>
      <c r="CC177" s="10"/>
      <c r="CD177" s="10"/>
      <c r="CE177" s="10"/>
      <c r="CF177" s="10"/>
      <c r="CG177" s="10"/>
      <c r="CH177" s="51"/>
    </row>
    <row r="178" spans="1:86" s="2" customFormat="1" ht="15.75" customHeight="1">
      <c r="A178" s="9"/>
      <c r="B178" s="142"/>
      <c r="D178" s="53"/>
      <c r="F178" s="53"/>
      <c r="G178" s="53"/>
      <c r="H178" s="53"/>
      <c r="I178" s="53" t="s">
        <v>324</v>
      </c>
      <c r="J178" s="53"/>
      <c r="K178" s="53"/>
      <c r="L178" s="53"/>
      <c r="M178" s="53"/>
      <c r="N178" s="53"/>
      <c r="O178" s="53"/>
      <c r="P178" s="53"/>
      <c r="Q178" s="53"/>
      <c r="R178" s="53"/>
      <c r="S178" s="53"/>
      <c r="T178" s="53"/>
      <c r="U178" s="53"/>
      <c r="V178" s="53"/>
      <c r="W178" s="53"/>
      <c r="X178" s="53"/>
      <c r="Y178" s="53"/>
      <c r="Z178" s="53"/>
      <c r="AA178" s="53"/>
      <c r="AB178" s="53"/>
      <c r="AC178" s="53"/>
      <c r="AD178" s="53"/>
      <c r="AE178" s="53"/>
      <c r="AF178" s="53"/>
      <c r="AG178" s="53"/>
      <c r="AH178" s="53"/>
      <c r="AI178" s="53"/>
      <c r="AJ178" s="53"/>
      <c r="AK178" s="53"/>
      <c r="AL178" s="53"/>
      <c r="AM178" s="53"/>
      <c r="AN178" s="53"/>
      <c r="AO178" s="53"/>
      <c r="AP178" s="53"/>
      <c r="AQ178" s="53"/>
      <c r="AR178" s="53"/>
      <c r="AS178" s="53"/>
      <c r="AT178" s="53"/>
      <c r="AU178" s="53"/>
      <c r="AV178" s="53"/>
      <c r="AW178" s="53"/>
      <c r="AX178" s="53"/>
      <c r="AY178" s="53"/>
      <c r="AZ178" s="53"/>
      <c r="BA178" s="53"/>
      <c r="BB178" s="53"/>
      <c r="BC178" s="53"/>
      <c r="BD178" s="53"/>
      <c r="BE178" s="53"/>
      <c r="BF178" s="53"/>
      <c r="BG178" s="53"/>
      <c r="BH178" s="53"/>
      <c r="BI178" s="53"/>
      <c r="BJ178" s="53"/>
      <c r="BK178" s="53"/>
      <c r="BL178" s="10"/>
      <c r="BM178" s="10"/>
      <c r="BN178" s="10"/>
      <c r="BO178" s="10"/>
      <c r="BP178" s="10"/>
      <c r="BQ178" s="10"/>
      <c r="BR178" s="10"/>
      <c r="BS178" s="10"/>
      <c r="BT178" s="10"/>
      <c r="BU178" s="10"/>
      <c r="BV178" s="10"/>
      <c r="BW178" s="10"/>
      <c r="BX178" s="10"/>
      <c r="BY178" s="10"/>
      <c r="BZ178" s="10"/>
      <c r="CA178" s="10"/>
      <c r="CB178" s="10"/>
      <c r="CC178" s="10"/>
      <c r="CD178" s="10"/>
      <c r="CE178" s="10"/>
      <c r="CF178" s="10"/>
      <c r="CG178" s="10"/>
      <c r="CH178" s="51"/>
    </row>
    <row r="179" spans="1:86" s="2" customFormat="1" ht="15.75" customHeight="1">
      <c r="A179" s="9"/>
      <c r="B179" s="142"/>
      <c r="D179" s="53"/>
      <c r="F179" s="53"/>
      <c r="G179" s="53"/>
      <c r="H179" s="53"/>
      <c r="I179" s="53"/>
      <c r="J179" s="53" t="s">
        <v>325</v>
      </c>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c r="AH179" s="53"/>
      <c r="AI179" s="53"/>
      <c r="AJ179" s="53"/>
      <c r="AK179" s="53"/>
      <c r="AL179" s="53"/>
      <c r="AM179" s="53"/>
      <c r="AN179" s="53"/>
      <c r="AO179" s="53"/>
      <c r="AP179" s="53"/>
      <c r="AQ179" s="53"/>
      <c r="AR179" s="53"/>
      <c r="AS179" s="53"/>
      <c r="AT179" s="53"/>
      <c r="AU179" s="53"/>
      <c r="AV179" s="53"/>
      <c r="AW179" s="53"/>
      <c r="AX179" s="53"/>
      <c r="AY179" s="53"/>
      <c r="AZ179" s="53"/>
      <c r="BA179" s="53"/>
      <c r="BB179" s="53"/>
      <c r="BC179" s="53"/>
      <c r="BD179" s="53"/>
      <c r="BE179" s="53"/>
      <c r="BF179" s="53"/>
      <c r="BG179" s="53"/>
      <c r="BH179" s="53"/>
      <c r="BI179" s="53"/>
      <c r="BJ179" s="53"/>
      <c r="BK179" s="53"/>
      <c r="BL179" s="10"/>
      <c r="BM179" s="10"/>
      <c r="BN179" s="10"/>
      <c r="BO179" s="10"/>
      <c r="BP179" s="10"/>
      <c r="BQ179" s="10"/>
      <c r="BR179" s="10"/>
      <c r="BS179" s="10"/>
      <c r="BT179" s="10"/>
      <c r="BU179" s="10"/>
      <c r="BV179" s="10"/>
      <c r="BW179" s="10"/>
      <c r="BX179" s="10"/>
      <c r="BY179" s="10"/>
      <c r="BZ179" s="10"/>
      <c r="CA179" s="10"/>
      <c r="CB179" s="10"/>
      <c r="CC179" s="10"/>
      <c r="CD179" s="10"/>
      <c r="CE179" s="10"/>
      <c r="CF179" s="10"/>
      <c r="CG179" s="10"/>
      <c r="CH179" s="51"/>
    </row>
    <row r="180" spans="1:86" s="2" customFormat="1" ht="15.75" customHeight="1">
      <c r="A180" s="9"/>
      <c r="B180" s="142"/>
      <c r="D180" s="53"/>
      <c r="F180" s="53"/>
      <c r="G180" s="53"/>
      <c r="H180" s="53"/>
      <c r="I180" s="53" t="s">
        <v>326</v>
      </c>
      <c r="J180" s="53"/>
      <c r="K180" s="53"/>
      <c r="L180" s="53"/>
      <c r="M180" s="53"/>
      <c r="N180" s="53"/>
      <c r="O180" s="53"/>
      <c r="P180" s="53"/>
      <c r="Q180" s="53"/>
      <c r="R180" s="53"/>
      <c r="S180" s="53"/>
      <c r="T180" s="53"/>
      <c r="U180" s="53"/>
      <c r="V180" s="53"/>
      <c r="W180" s="53"/>
      <c r="X180" s="53"/>
      <c r="Y180" s="53"/>
      <c r="Z180" s="53"/>
      <c r="AA180" s="53"/>
      <c r="AB180" s="53"/>
      <c r="AC180" s="53"/>
      <c r="AD180" s="53"/>
      <c r="AE180" s="53"/>
      <c r="AF180" s="53"/>
      <c r="AG180" s="53"/>
      <c r="AH180" s="53"/>
      <c r="AI180" s="53"/>
      <c r="AJ180" s="53"/>
      <c r="AK180" s="53"/>
      <c r="AL180" s="53"/>
      <c r="AM180" s="53"/>
      <c r="AN180" s="53"/>
      <c r="AO180" s="53"/>
      <c r="AP180" s="53"/>
      <c r="AQ180" s="53"/>
      <c r="AR180" s="53"/>
      <c r="AS180" s="53"/>
      <c r="AT180" s="53"/>
      <c r="AU180" s="53"/>
      <c r="AV180" s="53"/>
      <c r="AW180" s="53"/>
      <c r="AX180" s="53"/>
      <c r="AY180" s="53"/>
      <c r="AZ180" s="53"/>
      <c r="BA180" s="53"/>
      <c r="BB180" s="53"/>
      <c r="BC180" s="53"/>
      <c r="BD180" s="53"/>
      <c r="BE180" s="53"/>
      <c r="BF180" s="53"/>
      <c r="BG180" s="53"/>
      <c r="BH180" s="53"/>
      <c r="BI180" s="53"/>
      <c r="BJ180" s="53"/>
      <c r="BK180" s="53"/>
      <c r="BL180" s="10"/>
      <c r="BM180" s="10"/>
      <c r="BN180" s="10"/>
      <c r="BO180" s="10"/>
      <c r="BP180" s="10"/>
      <c r="BQ180" s="10"/>
      <c r="BR180" s="10"/>
      <c r="BS180" s="10"/>
      <c r="BT180" s="10"/>
      <c r="BU180" s="10"/>
      <c r="BV180" s="10"/>
      <c r="BW180" s="10"/>
      <c r="BX180" s="10"/>
      <c r="BY180" s="10"/>
      <c r="BZ180" s="10"/>
      <c r="CA180" s="10"/>
      <c r="CB180" s="10"/>
      <c r="CC180" s="10"/>
      <c r="CD180" s="10"/>
      <c r="CE180" s="10"/>
      <c r="CF180" s="10"/>
      <c r="CG180" s="10"/>
      <c r="CH180" s="51"/>
    </row>
    <row r="181" spans="1:86" s="2" customFormat="1" ht="15.75" customHeight="1">
      <c r="A181" s="9"/>
      <c r="B181" s="142"/>
      <c r="D181" s="53"/>
      <c r="F181" s="53"/>
      <c r="G181" s="53"/>
      <c r="H181" s="53"/>
      <c r="I181" s="53"/>
      <c r="J181" s="53" t="s">
        <v>327</v>
      </c>
      <c r="K181" s="53"/>
      <c r="L181" s="53"/>
      <c r="M181" s="53"/>
      <c r="N181" s="53"/>
      <c r="O181" s="53"/>
      <c r="P181" s="53"/>
      <c r="Q181" s="53"/>
      <c r="R181" s="53"/>
      <c r="S181" s="53"/>
      <c r="T181" s="53"/>
      <c r="U181" s="53"/>
      <c r="V181" s="53"/>
      <c r="W181" s="53"/>
      <c r="X181" s="53"/>
      <c r="Y181" s="53"/>
      <c r="Z181" s="53"/>
      <c r="AA181" s="53"/>
      <c r="AB181" s="53"/>
      <c r="AC181" s="53"/>
      <c r="AD181" s="53"/>
      <c r="AE181" s="53"/>
      <c r="AF181" s="53"/>
      <c r="AG181" s="53"/>
      <c r="AH181" s="53"/>
      <c r="AI181" s="53"/>
      <c r="AJ181" s="53"/>
      <c r="AK181" s="53"/>
      <c r="AL181" s="53"/>
      <c r="AM181" s="53"/>
      <c r="AN181" s="53"/>
      <c r="AO181" s="53"/>
      <c r="AP181" s="53"/>
      <c r="AQ181" s="53"/>
      <c r="AR181" s="53"/>
      <c r="AS181" s="53"/>
      <c r="AT181" s="53"/>
      <c r="AU181" s="53"/>
      <c r="AV181" s="53"/>
      <c r="AW181" s="53"/>
      <c r="AX181" s="53"/>
      <c r="AY181" s="53"/>
      <c r="AZ181" s="53"/>
      <c r="BA181" s="53"/>
      <c r="BB181" s="53"/>
      <c r="BC181" s="53"/>
      <c r="BD181" s="53"/>
      <c r="BE181" s="53"/>
      <c r="BF181" s="53"/>
      <c r="BG181" s="53"/>
      <c r="BH181" s="53"/>
      <c r="BI181" s="53"/>
      <c r="BJ181" s="53"/>
      <c r="BK181" s="53"/>
      <c r="BL181" s="10"/>
      <c r="BM181" s="10"/>
      <c r="BN181" s="10"/>
      <c r="BO181" s="10"/>
      <c r="BP181" s="10"/>
      <c r="BQ181" s="10"/>
      <c r="BR181" s="10"/>
      <c r="BS181" s="10"/>
      <c r="BT181" s="10"/>
      <c r="BU181" s="10"/>
      <c r="BV181" s="10"/>
      <c r="BW181" s="10"/>
      <c r="BX181" s="10"/>
      <c r="BY181" s="10"/>
      <c r="BZ181" s="10"/>
      <c r="CA181" s="10"/>
      <c r="CB181" s="10"/>
      <c r="CC181" s="10"/>
      <c r="CD181" s="10"/>
      <c r="CE181" s="10"/>
      <c r="CF181" s="10"/>
      <c r="CG181" s="10"/>
      <c r="CH181" s="51"/>
    </row>
    <row r="182" spans="1:86" s="2" customFormat="1" ht="15.75" customHeight="1">
      <c r="A182" s="9"/>
      <c r="B182" s="142"/>
      <c r="D182" s="53"/>
      <c r="F182" s="53"/>
      <c r="G182" s="53"/>
      <c r="H182" s="53"/>
      <c r="I182" s="53"/>
      <c r="J182" s="53"/>
      <c r="K182" s="53"/>
      <c r="L182" s="53"/>
      <c r="M182" s="53"/>
      <c r="N182" s="53"/>
      <c r="O182" s="53"/>
      <c r="P182" s="53"/>
      <c r="Q182" s="53"/>
      <c r="R182" s="53"/>
      <c r="S182" s="53"/>
      <c r="T182" s="53"/>
      <c r="U182" s="53"/>
      <c r="V182" s="53"/>
      <c r="W182" s="53"/>
      <c r="X182" s="53"/>
      <c r="Y182" s="53"/>
      <c r="Z182" s="53"/>
      <c r="AA182" s="53"/>
      <c r="AB182" s="53"/>
      <c r="AC182" s="53"/>
      <c r="AD182" s="53"/>
      <c r="AE182" s="53"/>
      <c r="AF182" s="53"/>
      <c r="AG182" s="53"/>
      <c r="AH182" s="53"/>
      <c r="AI182" s="53"/>
      <c r="AJ182" s="53"/>
      <c r="AK182" s="53"/>
      <c r="AL182" s="53"/>
      <c r="AM182" s="53"/>
      <c r="AN182" s="53"/>
      <c r="AO182" s="53"/>
      <c r="AP182" s="53"/>
      <c r="AQ182" s="53"/>
      <c r="AR182" s="53"/>
      <c r="AS182" s="53"/>
      <c r="AT182" s="53"/>
      <c r="AU182" s="53"/>
      <c r="AV182" s="53"/>
      <c r="AW182" s="53"/>
      <c r="AX182" s="53"/>
      <c r="AY182" s="53"/>
      <c r="AZ182" s="53"/>
      <c r="BA182" s="53"/>
      <c r="BB182" s="53"/>
      <c r="BC182" s="53"/>
      <c r="BD182" s="53"/>
      <c r="BE182" s="53"/>
      <c r="BF182" s="53"/>
      <c r="BG182" s="53"/>
      <c r="BH182" s="53"/>
      <c r="BI182" s="53"/>
      <c r="BJ182" s="53"/>
      <c r="BK182" s="53"/>
      <c r="BL182" s="10"/>
      <c r="BM182" s="10"/>
      <c r="BN182" s="10"/>
      <c r="BO182" s="10"/>
      <c r="BP182" s="10"/>
      <c r="BQ182" s="10"/>
      <c r="BR182" s="10"/>
      <c r="BS182" s="10"/>
      <c r="BT182" s="10"/>
      <c r="BU182" s="10"/>
      <c r="BV182" s="10"/>
      <c r="BW182" s="10"/>
      <c r="BX182" s="10"/>
      <c r="BY182" s="10"/>
      <c r="BZ182" s="10"/>
      <c r="CA182" s="10"/>
      <c r="CB182" s="10"/>
      <c r="CC182" s="10"/>
      <c r="CD182" s="10"/>
      <c r="CE182" s="10"/>
      <c r="CF182" s="10"/>
      <c r="CG182" s="10"/>
      <c r="CH182" s="51"/>
    </row>
    <row r="183" spans="1:86" s="2" customFormat="1" ht="15.75" customHeight="1">
      <c r="A183" s="9"/>
      <c r="B183" s="142"/>
      <c r="D183" s="53"/>
      <c r="F183" s="53"/>
      <c r="G183" s="53"/>
      <c r="H183" s="53"/>
      <c r="I183" s="53"/>
      <c r="J183" s="53"/>
      <c r="K183" s="53"/>
      <c r="L183" s="53"/>
      <c r="M183" s="53"/>
      <c r="N183" s="53"/>
      <c r="O183" s="53"/>
      <c r="P183" s="53"/>
      <c r="Q183" s="53"/>
      <c r="R183" s="53"/>
      <c r="S183" s="53"/>
      <c r="T183" s="53"/>
      <c r="U183" s="53"/>
      <c r="V183" s="53"/>
      <c r="W183" s="53"/>
      <c r="X183" s="53"/>
      <c r="Y183" s="53"/>
      <c r="Z183" s="53"/>
      <c r="AA183" s="53"/>
      <c r="AB183" s="53"/>
      <c r="AC183" s="53"/>
      <c r="AD183" s="53"/>
      <c r="AE183" s="53"/>
      <c r="AF183" s="53"/>
      <c r="AG183" s="53"/>
      <c r="AH183" s="53"/>
      <c r="AI183" s="53"/>
      <c r="AJ183" s="53"/>
      <c r="AK183" s="53"/>
      <c r="AL183" s="53"/>
      <c r="AM183" s="53"/>
      <c r="AN183" s="53"/>
      <c r="AO183" s="53"/>
      <c r="AP183" s="53"/>
      <c r="AQ183" s="53"/>
      <c r="AR183" s="53"/>
      <c r="AS183" s="53"/>
      <c r="AT183" s="53"/>
      <c r="AU183" s="53"/>
      <c r="AV183" s="53"/>
      <c r="AW183" s="53"/>
      <c r="AX183" s="53"/>
      <c r="AY183" s="53"/>
      <c r="AZ183" s="53"/>
      <c r="BA183" s="53"/>
      <c r="BB183" s="53"/>
      <c r="BC183" s="53"/>
      <c r="BD183" s="53"/>
      <c r="BE183" s="53"/>
      <c r="BF183" s="53"/>
      <c r="BG183" s="53"/>
      <c r="BH183" s="53"/>
      <c r="BI183" s="53"/>
      <c r="BJ183" s="53"/>
      <c r="BK183" s="53"/>
      <c r="BL183" s="10"/>
      <c r="BM183" s="10"/>
      <c r="BN183" s="10"/>
      <c r="BO183" s="10"/>
      <c r="BP183" s="10"/>
      <c r="BQ183" s="10"/>
      <c r="BR183" s="10"/>
      <c r="BS183" s="10"/>
      <c r="BT183" s="10"/>
      <c r="BU183" s="10"/>
      <c r="BV183" s="10"/>
      <c r="BW183" s="10"/>
      <c r="BX183" s="10"/>
      <c r="BY183" s="10"/>
      <c r="BZ183" s="10"/>
      <c r="CA183" s="10"/>
      <c r="CB183" s="10"/>
      <c r="CC183" s="10"/>
      <c r="CD183" s="10"/>
      <c r="CE183" s="10"/>
      <c r="CF183" s="10"/>
      <c r="CG183" s="10"/>
      <c r="CH183" s="51"/>
    </row>
    <row r="184" spans="1:86" s="2" customFormat="1" ht="15.75" customHeight="1">
      <c r="A184" s="9"/>
      <c r="B184" s="142"/>
      <c r="D184" s="53"/>
      <c r="F184" s="53"/>
      <c r="G184" s="53"/>
      <c r="H184" s="53"/>
      <c r="I184" s="53"/>
      <c r="J184" s="53"/>
      <c r="K184" s="53"/>
      <c r="L184" s="53"/>
      <c r="M184" s="53"/>
      <c r="N184" s="53"/>
      <c r="O184" s="53"/>
      <c r="P184" s="53"/>
      <c r="Q184" s="53"/>
      <c r="R184" s="53"/>
      <c r="S184" s="53"/>
      <c r="T184" s="53"/>
      <c r="U184" s="53"/>
      <c r="V184" s="53"/>
      <c r="W184" s="53"/>
      <c r="X184" s="53"/>
      <c r="Y184" s="53"/>
      <c r="Z184" s="53"/>
      <c r="AA184" s="53"/>
      <c r="AB184" s="53"/>
      <c r="AC184" s="53"/>
      <c r="AD184" s="53"/>
      <c r="AE184" s="53"/>
      <c r="AF184" s="53"/>
      <c r="AG184" s="53"/>
      <c r="AH184" s="53"/>
      <c r="AI184" s="53"/>
      <c r="AJ184" s="53"/>
      <c r="AK184" s="53"/>
      <c r="AL184" s="53"/>
      <c r="AM184" s="53"/>
      <c r="AN184" s="53"/>
      <c r="AO184" s="53"/>
      <c r="AP184" s="53"/>
      <c r="AQ184" s="53"/>
      <c r="AR184" s="53"/>
      <c r="AS184" s="53"/>
      <c r="AT184" s="53"/>
      <c r="AU184" s="53"/>
      <c r="AV184" s="53"/>
      <c r="AW184" s="53"/>
      <c r="AX184" s="53"/>
      <c r="AY184" s="53"/>
      <c r="AZ184" s="53"/>
      <c r="BA184" s="53"/>
      <c r="BB184" s="53"/>
      <c r="BC184" s="53"/>
      <c r="BD184" s="53"/>
      <c r="BE184" s="53"/>
      <c r="BF184" s="53"/>
      <c r="BG184" s="53"/>
      <c r="BH184" s="53"/>
      <c r="BI184" s="53"/>
      <c r="BJ184" s="53"/>
      <c r="BK184" s="53"/>
      <c r="BL184" s="10"/>
      <c r="BM184" s="10"/>
      <c r="BN184" s="10"/>
      <c r="BO184" s="10"/>
      <c r="BP184" s="10"/>
      <c r="BQ184" s="10"/>
      <c r="BR184" s="10"/>
      <c r="BS184" s="10"/>
      <c r="BT184" s="10"/>
      <c r="BU184" s="10"/>
      <c r="BV184" s="10"/>
      <c r="BW184" s="10"/>
      <c r="BX184" s="10"/>
      <c r="BY184" s="10"/>
      <c r="BZ184" s="10"/>
      <c r="CA184" s="10"/>
      <c r="CB184" s="10"/>
      <c r="CC184" s="10"/>
      <c r="CD184" s="10"/>
      <c r="CE184" s="10"/>
      <c r="CF184" s="10"/>
      <c r="CG184" s="10"/>
      <c r="CH184" s="51"/>
    </row>
    <row r="185" spans="1:86" s="2" customFormat="1" ht="15.75" customHeight="1">
      <c r="A185" s="9"/>
      <c r="B185" s="142"/>
      <c r="D185" s="53"/>
      <c r="F185" s="53"/>
      <c r="G185" s="53"/>
      <c r="H185" s="53"/>
      <c r="I185" s="53"/>
      <c r="J185" s="53"/>
      <c r="K185" s="53"/>
      <c r="L185" s="53"/>
      <c r="M185" s="53"/>
      <c r="N185" s="53"/>
      <c r="O185" s="53"/>
      <c r="P185" s="53"/>
      <c r="Q185" s="53"/>
      <c r="R185" s="53"/>
      <c r="S185" s="53"/>
      <c r="T185" s="53"/>
      <c r="U185" s="53"/>
      <c r="V185" s="53"/>
      <c r="W185" s="53"/>
      <c r="X185" s="53"/>
      <c r="Y185" s="53"/>
      <c r="Z185" s="53"/>
      <c r="AA185" s="53"/>
      <c r="AB185" s="53"/>
      <c r="AC185" s="53"/>
      <c r="AD185" s="53"/>
      <c r="AE185" s="53"/>
      <c r="AF185" s="53"/>
      <c r="AG185" s="53"/>
      <c r="AH185" s="53"/>
      <c r="AI185" s="53"/>
      <c r="AJ185" s="53"/>
      <c r="AK185" s="53"/>
      <c r="AL185" s="53"/>
      <c r="AM185" s="53"/>
      <c r="AN185" s="53"/>
      <c r="AO185" s="53"/>
      <c r="AP185" s="53"/>
      <c r="AQ185" s="53"/>
      <c r="AR185" s="53"/>
      <c r="AS185" s="53"/>
      <c r="AT185" s="53"/>
      <c r="AU185" s="53"/>
      <c r="AV185" s="53"/>
      <c r="AW185" s="53"/>
      <c r="AX185" s="53"/>
      <c r="AY185" s="53"/>
      <c r="AZ185" s="53"/>
      <c r="BA185" s="53"/>
      <c r="BB185" s="53"/>
      <c r="BC185" s="53"/>
      <c r="BD185" s="53"/>
      <c r="BE185" s="53"/>
      <c r="BF185" s="53"/>
      <c r="BG185" s="53"/>
      <c r="BH185" s="53"/>
      <c r="BI185" s="53"/>
      <c r="BJ185" s="53"/>
      <c r="BK185" s="53"/>
      <c r="BL185" s="10"/>
      <c r="BM185" s="10"/>
      <c r="BN185" s="10"/>
      <c r="BO185" s="10"/>
      <c r="BP185" s="10"/>
      <c r="BQ185" s="10"/>
      <c r="BR185" s="10"/>
      <c r="BS185" s="10"/>
      <c r="BT185" s="10"/>
      <c r="BU185" s="10"/>
      <c r="BV185" s="10"/>
      <c r="BW185" s="10"/>
      <c r="BX185" s="10"/>
      <c r="BY185" s="10"/>
      <c r="BZ185" s="10"/>
      <c r="CA185" s="10"/>
      <c r="CB185" s="10"/>
      <c r="CC185" s="10"/>
      <c r="CD185" s="10"/>
      <c r="CE185" s="10"/>
      <c r="CF185" s="10"/>
      <c r="CG185" s="10"/>
      <c r="CH185" s="51"/>
    </row>
    <row r="186" spans="1:86" s="2" customFormat="1" ht="15.75" customHeight="1">
      <c r="A186" s="9"/>
      <c r="B186" s="142"/>
      <c r="D186" s="53"/>
      <c r="F186" s="53"/>
      <c r="G186" s="53"/>
      <c r="H186" s="53"/>
      <c r="I186" s="53"/>
      <c r="J186" s="53"/>
      <c r="K186" s="53"/>
      <c r="L186" s="53"/>
      <c r="M186" s="53"/>
      <c r="N186" s="53"/>
      <c r="O186" s="53"/>
      <c r="P186" s="53"/>
      <c r="Q186" s="53"/>
      <c r="R186" s="53"/>
      <c r="S186" s="53"/>
      <c r="T186" s="53"/>
      <c r="U186" s="53"/>
      <c r="V186" s="53"/>
      <c r="W186" s="53"/>
      <c r="X186" s="53"/>
      <c r="Y186" s="53"/>
      <c r="Z186" s="53"/>
      <c r="AA186" s="53"/>
      <c r="AB186" s="53"/>
      <c r="AC186" s="53"/>
      <c r="AD186" s="53"/>
      <c r="AE186" s="53"/>
      <c r="AF186" s="53"/>
      <c r="AG186" s="53"/>
      <c r="AH186" s="53"/>
      <c r="AI186" s="53"/>
      <c r="AJ186" s="53"/>
      <c r="AK186" s="53"/>
      <c r="AL186" s="53"/>
      <c r="AM186" s="53"/>
      <c r="AN186" s="53"/>
      <c r="AO186" s="53"/>
      <c r="AP186" s="53"/>
      <c r="AQ186" s="53"/>
      <c r="AR186" s="53"/>
      <c r="AS186" s="53"/>
      <c r="AT186" s="53"/>
      <c r="AU186" s="53"/>
      <c r="AV186" s="53"/>
      <c r="AW186" s="53"/>
      <c r="AX186" s="53"/>
      <c r="AY186" s="53"/>
      <c r="AZ186" s="53"/>
      <c r="BA186" s="53"/>
      <c r="BB186" s="53"/>
      <c r="BC186" s="53"/>
      <c r="BD186" s="53"/>
      <c r="BE186" s="53"/>
      <c r="BF186" s="53"/>
      <c r="BG186" s="53"/>
      <c r="BH186" s="53"/>
      <c r="BI186" s="53"/>
      <c r="BJ186" s="53"/>
      <c r="BK186" s="53"/>
      <c r="BL186" s="10"/>
      <c r="BM186" s="10"/>
      <c r="BN186" s="10"/>
      <c r="BO186" s="10"/>
      <c r="BP186" s="10"/>
      <c r="BQ186" s="10"/>
      <c r="BR186" s="10"/>
      <c r="BS186" s="10"/>
      <c r="BT186" s="10"/>
      <c r="BU186" s="10"/>
      <c r="BV186" s="10"/>
      <c r="BW186" s="10"/>
      <c r="BX186" s="10"/>
      <c r="BY186" s="10"/>
      <c r="BZ186" s="10"/>
      <c r="CA186" s="10"/>
      <c r="CB186" s="10"/>
      <c r="CC186" s="10"/>
      <c r="CD186" s="10"/>
      <c r="CE186" s="10"/>
      <c r="CF186" s="10"/>
      <c r="CG186" s="10"/>
      <c r="CH186" s="51"/>
    </row>
    <row r="187" spans="1:86" s="2" customFormat="1" ht="15.75" customHeight="1">
      <c r="A187" s="9"/>
      <c r="B187" s="142"/>
      <c r="D187" s="53"/>
      <c r="F187" s="53"/>
      <c r="G187" s="53"/>
      <c r="H187" s="53"/>
      <c r="I187" s="53"/>
      <c r="J187" s="53"/>
      <c r="K187" s="53"/>
      <c r="L187" s="53"/>
      <c r="M187" s="53"/>
      <c r="N187" s="53"/>
      <c r="O187" s="53"/>
      <c r="P187" s="53"/>
      <c r="Q187" s="53"/>
      <c r="R187" s="53"/>
      <c r="S187" s="53"/>
      <c r="T187" s="53"/>
      <c r="U187" s="53"/>
      <c r="V187" s="53"/>
      <c r="W187" s="53"/>
      <c r="X187" s="53"/>
      <c r="Y187" s="53"/>
      <c r="Z187" s="53"/>
      <c r="AA187" s="53"/>
      <c r="AB187" s="53"/>
      <c r="AC187" s="53"/>
      <c r="AD187" s="53"/>
      <c r="AE187" s="53"/>
      <c r="AF187" s="53"/>
      <c r="AG187" s="53"/>
      <c r="AH187" s="53"/>
      <c r="AI187" s="53"/>
      <c r="AJ187" s="53"/>
      <c r="AK187" s="53"/>
      <c r="AL187" s="53"/>
      <c r="AM187" s="53"/>
      <c r="AN187" s="53"/>
      <c r="AO187" s="53"/>
      <c r="AP187" s="53"/>
      <c r="AQ187" s="53"/>
      <c r="AR187" s="53"/>
      <c r="AS187" s="53"/>
      <c r="AT187" s="53"/>
      <c r="AU187" s="53"/>
      <c r="AV187" s="53"/>
      <c r="AW187" s="53"/>
      <c r="AX187" s="53"/>
      <c r="AY187" s="53"/>
      <c r="AZ187" s="53"/>
      <c r="BA187" s="53"/>
      <c r="BB187" s="53"/>
      <c r="BC187" s="53"/>
      <c r="BD187" s="53"/>
      <c r="BE187" s="53"/>
      <c r="BF187" s="53"/>
      <c r="BG187" s="53"/>
      <c r="BH187" s="53"/>
      <c r="BI187" s="53"/>
      <c r="BJ187" s="53"/>
      <c r="BK187" s="53"/>
      <c r="BL187" s="10"/>
      <c r="BM187" s="10"/>
      <c r="BN187" s="10"/>
      <c r="BO187" s="10"/>
      <c r="BP187" s="10"/>
      <c r="BQ187" s="10"/>
      <c r="BR187" s="10"/>
      <c r="BS187" s="10"/>
      <c r="BT187" s="10"/>
      <c r="BU187" s="10"/>
      <c r="BV187" s="10"/>
      <c r="BW187" s="10"/>
      <c r="BX187" s="10"/>
      <c r="BY187" s="10"/>
      <c r="BZ187" s="10"/>
      <c r="CA187" s="10"/>
      <c r="CB187" s="10"/>
      <c r="CC187" s="10"/>
      <c r="CD187" s="10"/>
      <c r="CE187" s="10"/>
      <c r="CF187" s="10"/>
      <c r="CG187" s="10"/>
      <c r="CH187" s="51"/>
    </row>
    <row r="188" spans="1:86" s="2" customFormat="1" ht="15.75" customHeight="1">
      <c r="A188" s="9"/>
      <c r="B188" s="142"/>
      <c r="D188" s="53"/>
      <c r="E188" s="53"/>
      <c r="F188" s="53" t="s">
        <v>298</v>
      </c>
      <c r="H188" s="53"/>
      <c r="I188" s="53"/>
      <c r="J188" s="53"/>
      <c r="K188" s="53"/>
      <c r="L188" s="53"/>
      <c r="M188" s="53"/>
      <c r="N188" s="53"/>
      <c r="O188" s="53"/>
      <c r="P188" s="53"/>
      <c r="Q188" s="53"/>
      <c r="R188" s="53"/>
      <c r="S188" s="53"/>
      <c r="T188" s="53"/>
      <c r="U188" s="53"/>
      <c r="V188" s="53"/>
      <c r="W188" s="53"/>
      <c r="X188" s="53"/>
      <c r="Y188" s="53"/>
      <c r="Z188" s="53"/>
      <c r="AA188" s="53"/>
      <c r="AB188" s="53"/>
      <c r="AC188" s="53"/>
      <c r="AD188" s="53"/>
      <c r="AE188" s="53"/>
      <c r="AF188" s="53"/>
      <c r="AG188" s="53"/>
      <c r="AH188" s="53"/>
      <c r="AI188" s="53"/>
      <c r="AJ188" s="53"/>
      <c r="AK188" s="53"/>
      <c r="AL188" s="53"/>
      <c r="AM188" s="53"/>
      <c r="AN188" s="53"/>
      <c r="AO188" s="53"/>
      <c r="AP188" s="53"/>
      <c r="AQ188" s="53"/>
      <c r="AR188" s="53"/>
      <c r="AS188" s="53"/>
      <c r="AT188" s="53"/>
      <c r="AU188" s="53"/>
      <c r="AV188" s="53"/>
      <c r="AW188" s="53"/>
      <c r="AX188" s="53"/>
      <c r="AY188" s="53"/>
      <c r="AZ188" s="53"/>
      <c r="BA188" s="53"/>
      <c r="BB188" s="53"/>
      <c r="BC188" s="53"/>
      <c r="BD188" s="53"/>
      <c r="BE188" s="53"/>
      <c r="BF188" s="53"/>
      <c r="BG188" s="53"/>
      <c r="BH188" s="53"/>
      <c r="BI188" s="53"/>
      <c r="BJ188" s="53"/>
      <c r="BK188" s="53"/>
      <c r="BL188" s="10"/>
      <c r="BM188" s="10"/>
      <c r="BN188" s="10"/>
      <c r="BO188" s="10"/>
      <c r="BP188" s="10"/>
      <c r="BQ188" s="10"/>
      <c r="BR188" s="10"/>
      <c r="BS188" s="10"/>
      <c r="BT188" s="10"/>
      <c r="BU188" s="10"/>
      <c r="BV188" s="10"/>
      <c r="BW188" s="10"/>
      <c r="BX188" s="10"/>
      <c r="BY188" s="10"/>
      <c r="BZ188" s="10"/>
      <c r="CA188" s="10"/>
      <c r="CB188" s="10"/>
      <c r="CC188" s="10"/>
      <c r="CD188" s="10"/>
      <c r="CE188" s="10"/>
      <c r="CF188" s="10"/>
      <c r="CG188" s="10"/>
      <c r="CH188" s="51"/>
    </row>
    <row r="189" spans="1:86" s="2" customFormat="1" ht="15.75" customHeight="1">
      <c r="A189" s="9"/>
      <c r="B189" s="142"/>
      <c r="D189" s="53"/>
      <c r="E189" s="53"/>
      <c r="F189" s="318">
        <v>1</v>
      </c>
      <c r="G189" s="53"/>
      <c r="H189" s="53" t="s">
        <v>328</v>
      </c>
      <c r="I189" s="318"/>
      <c r="J189" s="53"/>
      <c r="K189" s="53"/>
      <c r="L189" s="53"/>
      <c r="M189" s="53"/>
      <c r="N189" s="53"/>
      <c r="O189" s="53"/>
      <c r="P189" s="53"/>
      <c r="Q189" s="53"/>
      <c r="R189" s="53"/>
      <c r="S189" s="53"/>
      <c r="T189" s="53"/>
      <c r="U189" s="53"/>
      <c r="V189" s="53"/>
      <c r="W189" s="53"/>
      <c r="X189" s="53"/>
      <c r="Y189" s="53"/>
      <c r="Z189" s="53"/>
      <c r="AA189" s="53"/>
      <c r="AB189" s="53"/>
      <c r="AC189" s="53"/>
      <c r="AD189" s="53"/>
      <c r="AE189" s="53"/>
      <c r="AF189" s="53"/>
      <c r="AG189" s="53"/>
      <c r="AH189" s="318">
        <v>2</v>
      </c>
      <c r="AI189" s="53"/>
      <c r="AJ189" s="53" t="s">
        <v>328</v>
      </c>
      <c r="AK189" s="318"/>
      <c r="AL189" s="53"/>
      <c r="AM189" s="53"/>
      <c r="AN189" s="53"/>
      <c r="AO189" s="53"/>
      <c r="AP189" s="53"/>
      <c r="AQ189" s="53"/>
      <c r="AR189" s="53"/>
      <c r="AS189" s="53"/>
      <c r="AT189" s="53"/>
      <c r="AU189" s="53"/>
      <c r="AV189" s="53"/>
      <c r="AW189" s="53"/>
      <c r="AX189" s="53"/>
      <c r="AY189" s="53"/>
      <c r="AZ189" s="53"/>
      <c r="BA189" s="53"/>
      <c r="BB189" s="53"/>
      <c r="BC189" s="53"/>
      <c r="BD189" s="53"/>
      <c r="BE189" s="53"/>
      <c r="BF189" s="53"/>
      <c r="BG189" s="53"/>
      <c r="BH189" s="53"/>
      <c r="BI189" s="53"/>
      <c r="BJ189" s="53"/>
      <c r="BK189" s="53"/>
      <c r="BL189" s="10"/>
      <c r="BM189" s="10"/>
      <c r="BN189" s="10"/>
      <c r="BO189" s="10"/>
      <c r="BP189" s="10"/>
      <c r="BQ189" s="10"/>
      <c r="BR189" s="10"/>
      <c r="BS189" s="10"/>
      <c r="BT189" s="10"/>
      <c r="BU189" s="10"/>
      <c r="BV189" s="10"/>
      <c r="BW189" s="10"/>
      <c r="BX189" s="10"/>
      <c r="BY189" s="10"/>
      <c r="BZ189" s="10"/>
      <c r="CA189" s="10"/>
      <c r="CB189" s="10"/>
      <c r="CC189" s="10"/>
      <c r="CD189" s="10"/>
      <c r="CE189" s="10"/>
      <c r="CF189" s="10"/>
      <c r="CG189" s="10"/>
      <c r="CH189" s="51"/>
    </row>
    <row r="190" spans="1:86" s="2" customFormat="1" ht="15.75" customHeight="1">
      <c r="A190" s="9"/>
      <c r="B190" s="142"/>
      <c r="D190" s="53"/>
      <c r="E190" s="53"/>
      <c r="F190" s="318"/>
      <c r="G190" s="53" t="s">
        <v>329</v>
      </c>
      <c r="H190" s="53" t="s">
        <v>330</v>
      </c>
      <c r="I190" s="318"/>
      <c r="J190" s="53"/>
      <c r="K190" s="53"/>
      <c r="L190" s="53"/>
      <c r="M190" s="53"/>
      <c r="N190" s="53"/>
      <c r="O190" s="53"/>
      <c r="P190" s="53"/>
      <c r="Q190" s="53"/>
      <c r="R190" s="53"/>
      <c r="S190" s="53"/>
      <c r="T190" s="53"/>
      <c r="U190" s="53"/>
      <c r="V190" s="53"/>
      <c r="W190" s="53"/>
      <c r="X190" s="53"/>
      <c r="Y190" s="53"/>
      <c r="Z190" s="53"/>
      <c r="AA190" s="53"/>
      <c r="AB190" s="53"/>
      <c r="AC190" s="53"/>
      <c r="AD190" s="53"/>
      <c r="AE190" s="53"/>
      <c r="AF190" s="53"/>
      <c r="AG190" s="53"/>
      <c r="AH190" s="318"/>
      <c r="AI190" s="53"/>
      <c r="AJ190" s="53" t="s">
        <v>331</v>
      </c>
      <c r="AK190" s="318"/>
      <c r="AL190" s="53"/>
      <c r="AM190" s="53"/>
      <c r="AN190" s="53"/>
      <c r="AO190" s="53"/>
      <c r="AP190" s="53"/>
      <c r="AQ190" s="53"/>
      <c r="AR190" s="53"/>
      <c r="AS190" s="53"/>
      <c r="AT190" s="53"/>
      <c r="AU190" s="53"/>
      <c r="AV190" s="53"/>
      <c r="AW190" s="53"/>
      <c r="AX190" s="53"/>
      <c r="AY190" s="53"/>
      <c r="AZ190" s="53"/>
      <c r="BA190" s="53"/>
      <c r="BB190" s="53"/>
      <c r="BC190" s="53"/>
      <c r="BD190" s="53"/>
      <c r="BE190" s="53"/>
      <c r="BF190" s="53"/>
      <c r="BG190" s="53"/>
      <c r="BH190" s="53"/>
      <c r="BI190" s="53"/>
      <c r="BJ190" s="53"/>
      <c r="BK190" s="53"/>
      <c r="BL190" s="10"/>
      <c r="BM190" s="10"/>
      <c r="BN190" s="10"/>
      <c r="BO190" s="10"/>
      <c r="BP190" s="10"/>
      <c r="BQ190" s="10"/>
      <c r="BR190" s="10"/>
      <c r="BS190" s="10"/>
      <c r="BT190" s="10"/>
      <c r="BU190" s="10"/>
      <c r="BV190" s="10"/>
      <c r="BW190" s="10"/>
      <c r="BX190" s="10"/>
      <c r="BY190" s="10"/>
      <c r="BZ190" s="10"/>
      <c r="CA190" s="10"/>
      <c r="CB190" s="10"/>
      <c r="CC190" s="10"/>
      <c r="CD190" s="10"/>
      <c r="CE190" s="10"/>
      <c r="CF190" s="10"/>
      <c r="CG190" s="10"/>
      <c r="CH190" s="51"/>
    </row>
    <row r="191" spans="1:86" s="2" customFormat="1" ht="15.75" customHeight="1">
      <c r="A191" s="9"/>
      <c r="B191" s="142"/>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c r="AB191" s="53"/>
      <c r="AC191" s="53"/>
      <c r="AD191" s="53"/>
      <c r="AE191" s="53"/>
      <c r="AF191" s="53"/>
      <c r="AG191" s="53"/>
      <c r="AH191" s="53"/>
      <c r="AI191" s="53"/>
      <c r="AJ191" s="53"/>
      <c r="AK191" s="53"/>
      <c r="AL191" s="53"/>
      <c r="AM191" s="53"/>
      <c r="AN191" s="53"/>
      <c r="AO191" s="53"/>
      <c r="AP191" s="53"/>
      <c r="AQ191" s="53"/>
      <c r="AR191" s="53"/>
      <c r="AS191" s="53"/>
      <c r="AT191" s="53"/>
      <c r="AU191" s="53"/>
      <c r="AV191" s="53"/>
      <c r="AW191" s="53"/>
      <c r="AX191" s="53"/>
      <c r="AY191" s="53"/>
      <c r="AZ191" s="53"/>
      <c r="BA191" s="53"/>
      <c r="BB191" s="53"/>
      <c r="BC191" s="53"/>
      <c r="BD191" s="53"/>
      <c r="BE191" s="53"/>
      <c r="BF191" s="53"/>
      <c r="BG191" s="53"/>
      <c r="BH191" s="53"/>
      <c r="BI191" s="53"/>
      <c r="BJ191" s="53"/>
      <c r="BK191" s="53"/>
      <c r="BL191" s="10"/>
      <c r="BM191" s="10"/>
      <c r="BN191" s="10"/>
      <c r="BO191" s="10"/>
      <c r="BP191" s="10"/>
      <c r="BQ191" s="10"/>
      <c r="BR191" s="10"/>
      <c r="BS191" s="10"/>
      <c r="BT191" s="10"/>
      <c r="BU191" s="10"/>
      <c r="BV191" s="10"/>
      <c r="BW191" s="10"/>
      <c r="BX191" s="10"/>
      <c r="BY191" s="10"/>
      <c r="BZ191" s="10"/>
      <c r="CA191" s="10"/>
      <c r="CB191" s="10"/>
      <c r="CC191" s="10"/>
      <c r="CD191" s="10"/>
      <c r="CE191" s="10"/>
      <c r="CF191" s="10"/>
      <c r="CG191" s="10"/>
      <c r="CH191" s="51"/>
    </row>
    <row r="192" spans="1:86" s="2" customFormat="1" ht="15.75" customHeight="1">
      <c r="A192" s="9"/>
      <c r="B192" s="142"/>
      <c r="D192" s="53"/>
      <c r="E192" s="53"/>
      <c r="F192" s="319"/>
      <c r="G192" s="320"/>
      <c r="H192" s="320"/>
      <c r="I192" s="320"/>
      <c r="J192" s="320"/>
      <c r="K192" s="320"/>
      <c r="L192" s="320"/>
      <c r="M192" s="320"/>
      <c r="N192" s="320"/>
      <c r="O192" s="320"/>
      <c r="P192" s="320"/>
      <c r="Q192" s="320"/>
      <c r="R192" s="320"/>
      <c r="S192" s="320"/>
      <c r="T192" s="320"/>
      <c r="U192" s="320"/>
      <c r="V192" s="320"/>
      <c r="W192" s="320"/>
      <c r="X192" s="320"/>
      <c r="Y192" s="320"/>
      <c r="Z192" s="320"/>
      <c r="AA192" s="320"/>
      <c r="AB192" s="320"/>
      <c r="AC192" s="320"/>
      <c r="AD192" s="320"/>
      <c r="AE192" s="321"/>
      <c r="AF192" s="53"/>
      <c r="AG192" s="53"/>
      <c r="AH192" s="319"/>
      <c r="AI192" s="320"/>
      <c r="AJ192" s="320"/>
      <c r="AK192" s="320"/>
      <c r="AL192" s="320"/>
      <c r="AM192" s="320"/>
      <c r="AN192" s="320"/>
      <c r="AO192" s="320"/>
      <c r="AP192" s="320"/>
      <c r="AQ192" s="320"/>
      <c r="AR192" s="320"/>
      <c r="AS192" s="320"/>
      <c r="AT192" s="320"/>
      <c r="AU192" s="320"/>
      <c r="AV192" s="320"/>
      <c r="AW192" s="320"/>
      <c r="AX192" s="320"/>
      <c r="AY192" s="320"/>
      <c r="AZ192" s="320"/>
      <c r="BA192" s="320"/>
      <c r="BB192" s="320"/>
      <c r="BC192" s="320"/>
      <c r="BD192" s="320"/>
      <c r="BE192" s="320"/>
      <c r="BF192" s="320"/>
      <c r="BG192" s="321"/>
      <c r="BH192" s="53"/>
      <c r="BI192" s="53"/>
      <c r="BJ192" s="53"/>
      <c r="BK192" s="53"/>
      <c r="BL192" s="10"/>
      <c r="BM192" s="10"/>
      <c r="BN192" s="10"/>
      <c r="BO192" s="10"/>
      <c r="BP192" s="10"/>
      <c r="BQ192" s="10"/>
      <c r="BR192" s="10"/>
      <c r="BS192" s="10"/>
      <c r="BT192" s="10"/>
      <c r="BU192" s="10"/>
      <c r="BV192" s="10"/>
      <c r="BW192" s="10"/>
      <c r="BX192" s="10"/>
      <c r="BY192" s="10"/>
      <c r="BZ192" s="10"/>
      <c r="CA192" s="10"/>
      <c r="CB192" s="10"/>
      <c r="CC192" s="10"/>
      <c r="CD192" s="10"/>
      <c r="CE192" s="10"/>
      <c r="CF192" s="10"/>
      <c r="CG192" s="10"/>
      <c r="CH192" s="51"/>
    </row>
    <row r="193" spans="1:86" s="2" customFormat="1" ht="15.75" customHeight="1">
      <c r="A193" s="9"/>
      <c r="B193" s="142"/>
      <c r="D193" s="53"/>
      <c r="E193" s="53"/>
      <c r="F193" s="322"/>
      <c r="G193" s="323" t="s">
        <v>332</v>
      </c>
      <c r="H193" s="323"/>
      <c r="I193" s="323"/>
      <c r="J193" s="323"/>
      <c r="K193" s="323"/>
      <c r="L193" s="323"/>
      <c r="M193" s="323"/>
      <c r="N193" s="323"/>
      <c r="O193" s="323"/>
      <c r="R193" s="925" t="s">
        <v>333</v>
      </c>
      <c r="S193" s="925"/>
      <c r="T193" s="324"/>
      <c r="U193" s="324"/>
      <c r="V193" s="324"/>
      <c r="W193" s="324"/>
      <c r="X193" s="324"/>
      <c r="Y193" s="324"/>
      <c r="Z193" s="324"/>
      <c r="AA193" s="324"/>
      <c r="AB193" s="324"/>
      <c r="AC193" s="324"/>
      <c r="AD193" s="324"/>
      <c r="AE193" s="336"/>
      <c r="AF193" s="53"/>
      <c r="AG193" s="53"/>
      <c r="AH193" s="322"/>
      <c r="AI193" s="323" t="s">
        <v>332</v>
      </c>
      <c r="AJ193" s="323"/>
      <c r="AK193" s="323"/>
      <c r="AL193" s="323"/>
      <c r="AM193" s="323"/>
      <c r="AN193" s="323"/>
      <c r="AO193" s="323"/>
      <c r="AP193" s="323"/>
      <c r="AQ193" s="323"/>
      <c r="AT193" s="925" t="s">
        <v>334</v>
      </c>
      <c r="AU193" s="925"/>
      <c r="AV193" s="324"/>
      <c r="AW193" s="324"/>
      <c r="AX193" s="324"/>
      <c r="AY193" s="324"/>
      <c r="AZ193" s="324"/>
      <c r="BA193" s="324"/>
      <c r="BB193" s="324"/>
      <c r="BC193" s="324"/>
      <c r="BD193" s="324"/>
      <c r="BE193" s="324"/>
      <c r="BF193" s="324"/>
      <c r="BG193" s="336"/>
      <c r="BH193" s="53"/>
      <c r="BI193" s="53"/>
      <c r="BJ193" s="53"/>
      <c r="BK193" s="53"/>
      <c r="BL193" s="10"/>
      <c r="BM193" s="10"/>
      <c r="BN193" s="10"/>
      <c r="BO193" s="10"/>
      <c r="BP193" s="10"/>
      <c r="BQ193" s="10"/>
      <c r="BR193" s="10"/>
      <c r="BS193" s="10"/>
      <c r="BT193" s="10"/>
      <c r="BU193" s="10"/>
      <c r="BV193" s="10"/>
      <c r="BW193" s="10"/>
      <c r="BX193" s="10"/>
      <c r="BY193" s="10"/>
      <c r="BZ193" s="10"/>
      <c r="CA193" s="10"/>
      <c r="CB193" s="10"/>
      <c r="CC193" s="10"/>
      <c r="CD193" s="10"/>
      <c r="CE193" s="10"/>
      <c r="CF193" s="10"/>
      <c r="CG193" s="10"/>
      <c r="CH193" s="51"/>
    </row>
    <row r="194" spans="1:86" s="2" customFormat="1" ht="15.75" customHeight="1">
      <c r="A194" s="9"/>
      <c r="B194" s="142"/>
      <c r="D194" s="53"/>
      <c r="E194" s="53"/>
      <c r="F194" s="322"/>
      <c r="G194" s="323"/>
      <c r="H194" s="323"/>
      <c r="I194" s="323"/>
      <c r="J194" s="323"/>
      <c r="K194" s="323"/>
      <c r="L194" s="323"/>
      <c r="M194" s="324"/>
      <c r="N194" s="324"/>
      <c r="O194" s="324"/>
      <c r="P194" s="324"/>
      <c r="Q194" s="324"/>
      <c r="R194" s="324"/>
      <c r="S194" s="324"/>
      <c r="T194" s="324"/>
      <c r="U194" s="324"/>
      <c r="V194" s="324"/>
      <c r="W194" s="324"/>
      <c r="X194" s="324"/>
      <c r="Y194" s="324"/>
      <c r="Z194" s="324"/>
      <c r="AA194" s="324"/>
      <c r="AB194" s="324"/>
      <c r="AC194" s="324"/>
      <c r="AD194" s="324"/>
      <c r="AE194" s="336"/>
      <c r="AF194" s="53"/>
      <c r="AG194" s="53"/>
      <c r="AH194" s="322"/>
      <c r="AI194" s="317"/>
      <c r="AJ194" s="317"/>
      <c r="AK194" s="317"/>
      <c r="AL194" s="317"/>
      <c r="AM194" s="317"/>
      <c r="AN194" s="317"/>
      <c r="AO194" s="324"/>
      <c r="AP194" s="324"/>
      <c r="AQ194" s="324"/>
      <c r="AR194" s="324"/>
      <c r="AS194" s="324"/>
      <c r="AT194" s="324"/>
      <c r="AU194" s="324"/>
      <c r="AV194" s="324"/>
      <c r="AW194" s="324"/>
      <c r="AX194" s="324"/>
      <c r="AY194" s="324"/>
      <c r="AZ194" s="324"/>
      <c r="BA194" s="324"/>
      <c r="BB194" s="324"/>
      <c r="BC194" s="324"/>
      <c r="BD194" s="324"/>
      <c r="BE194" s="324"/>
      <c r="BF194" s="324"/>
      <c r="BG194" s="336"/>
      <c r="BH194" s="53"/>
      <c r="BI194" s="53"/>
      <c r="BJ194" s="53"/>
      <c r="BK194" s="53"/>
      <c r="BL194" s="10"/>
      <c r="BM194" s="10"/>
      <c r="BN194" s="10"/>
      <c r="BO194" s="10"/>
      <c r="BP194" s="10"/>
      <c r="BQ194" s="10"/>
      <c r="BR194" s="10"/>
      <c r="BS194" s="10"/>
      <c r="BT194" s="10"/>
      <c r="BU194" s="10"/>
      <c r="BV194" s="10"/>
      <c r="BW194" s="10"/>
      <c r="BX194" s="10"/>
      <c r="BY194" s="10"/>
      <c r="BZ194" s="10"/>
      <c r="CA194" s="10"/>
      <c r="CB194" s="10"/>
      <c r="CC194" s="10"/>
      <c r="CD194" s="10"/>
      <c r="CE194" s="10"/>
      <c r="CF194" s="10"/>
      <c r="CG194" s="10"/>
      <c r="CH194" s="51"/>
    </row>
    <row r="195" spans="1:86" s="2" customFormat="1" ht="15.75" customHeight="1">
      <c r="A195" s="9"/>
      <c r="B195" s="142"/>
      <c r="D195" s="53"/>
      <c r="E195" s="53"/>
      <c r="F195" s="322"/>
      <c r="G195" s="925" t="s">
        <v>335</v>
      </c>
      <c r="H195" s="925"/>
      <c r="I195" s="925"/>
      <c r="J195" s="925"/>
      <c r="K195" s="925"/>
      <c r="L195" s="925"/>
      <c r="M195" s="324"/>
      <c r="N195" s="324"/>
      <c r="O195" s="925" t="s">
        <v>336</v>
      </c>
      <c r="P195" s="925"/>
      <c r="Q195" s="317"/>
      <c r="R195" s="324"/>
      <c r="S195" s="925" t="s">
        <v>337</v>
      </c>
      <c r="T195" s="925"/>
      <c r="U195" s="317"/>
      <c r="V195" s="324"/>
      <c r="W195" s="925" t="s">
        <v>338</v>
      </c>
      <c r="X195" s="925"/>
      <c r="Y195" s="317"/>
      <c r="Z195" s="324"/>
      <c r="AA195" s="925" t="s">
        <v>339</v>
      </c>
      <c r="AB195" s="925"/>
      <c r="AC195" s="324"/>
      <c r="AD195" s="324"/>
      <c r="AE195" s="336"/>
      <c r="AF195" s="53"/>
      <c r="AG195" s="53"/>
      <c r="AH195" s="322"/>
      <c r="AI195" s="925" t="s">
        <v>335</v>
      </c>
      <c r="AJ195" s="925"/>
      <c r="AK195" s="925"/>
      <c r="AL195" s="925"/>
      <c r="AM195" s="925"/>
      <c r="AN195" s="925"/>
      <c r="AO195" s="324"/>
      <c r="AP195" s="324"/>
      <c r="AQ195" s="925" t="s">
        <v>336</v>
      </c>
      <c r="AR195" s="925"/>
      <c r="AS195" s="317"/>
      <c r="AT195" s="324"/>
      <c r="AU195" s="925" t="s">
        <v>337</v>
      </c>
      <c r="AV195" s="925"/>
      <c r="AW195" s="317"/>
      <c r="AX195" s="324"/>
      <c r="AY195" s="925" t="s">
        <v>338</v>
      </c>
      <c r="AZ195" s="925"/>
      <c r="BA195" s="317"/>
      <c r="BB195" s="324"/>
      <c r="BC195" s="925" t="s">
        <v>339</v>
      </c>
      <c r="BD195" s="925"/>
      <c r="BE195" s="324"/>
      <c r="BF195" s="324"/>
      <c r="BG195" s="336"/>
      <c r="BH195" s="53"/>
      <c r="BI195" s="53"/>
      <c r="BJ195" s="53"/>
      <c r="BK195" s="53"/>
      <c r="BL195" s="10"/>
      <c r="BM195" s="10"/>
      <c r="BN195" s="10"/>
      <c r="BO195" s="10"/>
      <c r="BP195" s="10"/>
      <c r="BQ195" s="10"/>
      <c r="BR195" s="10"/>
      <c r="BS195" s="10"/>
      <c r="BT195" s="10"/>
      <c r="BU195" s="10"/>
      <c r="BV195" s="10"/>
      <c r="BW195" s="10"/>
      <c r="BX195" s="10"/>
      <c r="BY195" s="10"/>
      <c r="BZ195" s="10"/>
      <c r="CA195" s="10"/>
      <c r="CB195" s="10"/>
      <c r="CC195" s="10"/>
      <c r="CD195" s="10"/>
      <c r="CE195" s="10"/>
      <c r="CF195" s="10"/>
      <c r="CG195" s="10"/>
      <c r="CH195" s="51"/>
    </row>
    <row r="196" spans="1:86" s="2" customFormat="1" ht="15.75" customHeight="1">
      <c r="A196" s="9"/>
      <c r="B196" s="142"/>
      <c r="D196" s="53"/>
      <c r="E196" s="53"/>
      <c r="F196" s="322"/>
      <c r="G196" s="324"/>
      <c r="H196" s="324"/>
      <c r="I196" s="324"/>
      <c r="J196" s="324"/>
      <c r="K196" s="324"/>
      <c r="L196" s="324"/>
      <c r="M196" s="324"/>
      <c r="N196" s="324"/>
      <c r="O196" s="324"/>
      <c r="P196" s="324"/>
      <c r="Q196" s="324"/>
      <c r="R196" s="324"/>
      <c r="S196" s="324"/>
      <c r="T196" s="324"/>
      <c r="U196" s="324"/>
      <c r="V196" s="324"/>
      <c r="W196" s="324"/>
      <c r="X196" s="324"/>
      <c r="Y196" s="324"/>
      <c r="Z196" s="324"/>
      <c r="AA196" s="324"/>
      <c r="AB196" s="324"/>
      <c r="AC196" s="324"/>
      <c r="AD196" s="324"/>
      <c r="AE196" s="336"/>
      <c r="AF196" s="53"/>
      <c r="AG196" s="53"/>
      <c r="AH196" s="322"/>
      <c r="AI196" s="324"/>
      <c r="AJ196" s="324"/>
      <c r="AK196" s="324"/>
      <c r="AL196" s="324"/>
      <c r="AM196" s="324"/>
      <c r="AN196" s="324"/>
      <c r="AO196" s="324"/>
      <c r="AP196" s="324"/>
      <c r="AQ196" s="324"/>
      <c r="AR196" s="324"/>
      <c r="AS196" s="324"/>
      <c r="AT196" s="324"/>
      <c r="AU196" s="324"/>
      <c r="AV196" s="324"/>
      <c r="AW196" s="324"/>
      <c r="AX196" s="324"/>
      <c r="AY196" s="324"/>
      <c r="AZ196" s="324"/>
      <c r="BA196" s="324"/>
      <c r="BB196" s="324"/>
      <c r="BC196" s="324"/>
      <c r="BD196" s="324"/>
      <c r="BE196" s="324"/>
      <c r="BF196" s="324"/>
      <c r="BG196" s="336"/>
      <c r="BH196" s="53"/>
      <c r="BI196" s="53"/>
      <c r="BJ196" s="53"/>
      <c r="BK196" s="53"/>
      <c r="BL196" s="10"/>
      <c r="BM196" s="10"/>
      <c r="BN196" s="10"/>
      <c r="BO196" s="10"/>
      <c r="BP196" s="10"/>
      <c r="BQ196" s="10"/>
      <c r="BR196" s="10"/>
      <c r="BS196" s="10"/>
      <c r="BT196" s="10"/>
      <c r="BU196" s="10"/>
      <c r="BV196" s="10"/>
      <c r="BW196" s="10"/>
      <c r="BX196" s="10"/>
      <c r="BY196" s="10"/>
      <c r="BZ196" s="10"/>
      <c r="CA196" s="10"/>
      <c r="CB196" s="10"/>
      <c r="CC196" s="10"/>
      <c r="CD196" s="10"/>
      <c r="CE196" s="10"/>
      <c r="CF196" s="10"/>
      <c r="CG196" s="10"/>
      <c r="CH196" s="51"/>
    </row>
    <row r="197" spans="1:86" s="2" customFormat="1" ht="15.75" customHeight="1">
      <c r="A197" s="9"/>
      <c r="B197" s="142"/>
      <c r="D197" s="53"/>
      <c r="E197" s="53"/>
      <c r="F197" s="322"/>
      <c r="G197" s="324"/>
      <c r="H197" s="324"/>
      <c r="I197" s="324"/>
      <c r="J197" s="324"/>
      <c r="K197" s="324"/>
      <c r="L197" s="324"/>
      <c r="M197" s="324"/>
      <c r="N197" s="324"/>
      <c r="O197" s="925" t="s">
        <v>340</v>
      </c>
      <c r="P197" s="925"/>
      <c r="Q197" s="317"/>
      <c r="R197" s="324"/>
      <c r="S197" s="925" t="s">
        <v>341</v>
      </c>
      <c r="T197" s="925"/>
      <c r="U197" s="317"/>
      <c r="V197" s="324"/>
      <c r="W197" s="925" t="s">
        <v>342</v>
      </c>
      <c r="X197" s="925"/>
      <c r="Y197" s="317"/>
      <c r="Z197" s="324"/>
      <c r="AA197" s="925" t="s">
        <v>310</v>
      </c>
      <c r="AB197" s="925"/>
      <c r="AC197" s="324"/>
      <c r="AD197" s="324"/>
      <c r="AE197" s="336"/>
      <c r="AF197" s="53"/>
      <c r="AG197" s="53"/>
      <c r="AH197" s="322"/>
      <c r="AI197" s="324"/>
      <c r="AJ197" s="324"/>
      <c r="AK197" s="324"/>
      <c r="AL197" s="324"/>
      <c r="AM197" s="324"/>
      <c r="AN197" s="324"/>
      <c r="AO197" s="324"/>
      <c r="AP197" s="324"/>
      <c r="AQ197" s="925" t="s">
        <v>340</v>
      </c>
      <c r="AR197" s="925"/>
      <c r="AS197" s="317"/>
      <c r="AT197" s="324"/>
      <c r="AU197" s="925" t="s">
        <v>341</v>
      </c>
      <c r="AV197" s="925"/>
      <c r="AW197" s="317"/>
      <c r="AX197" s="324"/>
      <c r="AY197" s="925" t="s">
        <v>342</v>
      </c>
      <c r="AZ197" s="925"/>
      <c r="BA197" s="317"/>
      <c r="BB197" s="324"/>
      <c r="BC197" s="925" t="s">
        <v>310</v>
      </c>
      <c r="BD197" s="925"/>
      <c r="BE197" s="324"/>
      <c r="BF197" s="324"/>
      <c r="BG197" s="336"/>
      <c r="BH197" s="53"/>
      <c r="BI197" s="53"/>
      <c r="BJ197" s="53"/>
      <c r="BK197" s="53"/>
      <c r="BL197" s="10"/>
      <c r="BM197" s="10"/>
      <c r="BN197" s="10"/>
      <c r="BO197" s="10"/>
      <c r="BP197" s="10"/>
      <c r="BQ197" s="10"/>
      <c r="BR197" s="10"/>
      <c r="BS197" s="10"/>
      <c r="BT197" s="10"/>
      <c r="BU197" s="10"/>
      <c r="BV197" s="10"/>
      <c r="BW197" s="10"/>
      <c r="BX197" s="10"/>
      <c r="BY197" s="10"/>
      <c r="BZ197" s="10"/>
      <c r="CA197" s="10"/>
      <c r="CB197" s="10"/>
      <c r="CC197" s="10"/>
      <c r="CD197" s="10"/>
      <c r="CE197" s="10"/>
      <c r="CF197" s="10"/>
      <c r="CG197" s="10"/>
      <c r="CH197" s="51"/>
    </row>
    <row r="198" spans="1:86" s="2" customFormat="1" ht="15.75" customHeight="1">
      <c r="A198" s="9"/>
      <c r="B198" s="142"/>
      <c r="D198" s="53"/>
      <c r="E198" s="53"/>
      <c r="F198" s="322"/>
      <c r="G198" s="925" t="s">
        <v>343</v>
      </c>
      <c r="H198" s="925"/>
      <c r="I198" s="925"/>
      <c r="J198" s="925"/>
      <c r="K198" s="925"/>
      <c r="L198" s="925"/>
      <c r="M198" s="324"/>
      <c r="N198" s="324"/>
      <c r="O198" s="324"/>
      <c r="P198" s="324"/>
      <c r="Q198" s="925" t="s">
        <v>344</v>
      </c>
      <c r="R198" s="925"/>
      <c r="S198" s="324"/>
      <c r="T198" s="324"/>
      <c r="U198" s="324"/>
      <c r="V198" s="324"/>
      <c r="W198" s="324"/>
      <c r="X198" s="324"/>
      <c r="Y198" s="324"/>
      <c r="Z198" s="324"/>
      <c r="AA198" s="324"/>
      <c r="AB198" s="324"/>
      <c r="AC198" s="324"/>
      <c r="AD198" s="324"/>
      <c r="AE198" s="337"/>
      <c r="AF198" s="318"/>
      <c r="AG198" s="53"/>
      <c r="AH198" s="322"/>
      <c r="AI198" s="925" t="s">
        <v>343</v>
      </c>
      <c r="AJ198" s="925"/>
      <c r="AK198" s="925"/>
      <c r="AL198" s="925"/>
      <c r="AM198" s="925"/>
      <c r="AN198" s="925"/>
      <c r="AO198" s="324"/>
      <c r="AP198" s="324"/>
      <c r="AQ198" s="324"/>
      <c r="AR198" s="324"/>
      <c r="AS198" s="925" t="s">
        <v>344</v>
      </c>
      <c r="AT198" s="925"/>
      <c r="AU198" s="324"/>
      <c r="AV198" s="324"/>
      <c r="AW198" s="324"/>
      <c r="AX198" s="324"/>
      <c r="AY198" s="324"/>
      <c r="AZ198" s="324"/>
      <c r="BA198" s="324"/>
      <c r="BB198" s="324"/>
      <c r="BC198" s="324"/>
      <c r="BD198" s="324"/>
      <c r="BE198" s="324"/>
      <c r="BF198" s="324"/>
      <c r="BG198" s="337"/>
      <c r="BH198" s="53"/>
      <c r="BI198" s="53"/>
      <c r="BJ198" s="53"/>
      <c r="BK198" s="53"/>
      <c r="BL198" s="10"/>
      <c r="BM198" s="10"/>
      <c r="BN198" s="10"/>
      <c r="BO198" s="10"/>
      <c r="BP198" s="10"/>
      <c r="BQ198" s="10"/>
      <c r="BR198" s="10"/>
      <c r="BS198" s="10"/>
      <c r="BT198" s="10"/>
      <c r="BU198" s="10"/>
      <c r="BV198" s="10"/>
      <c r="BW198" s="10"/>
      <c r="BX198" s="10"/>
      <c r="BY198" s="10"/>
      <c r="BZ198" s="10"/>
      <c r="CA198" s="10"/>
      <c r="CB198" s="10"/>
      <c r="CC198" s="10"/>
      <c r="CD198" s="10"/>
      <c r="CE198" s="10"/>
      <c r="CF198" s="10"/>
      <c r="CG198" s="10"/>
      <c r="CH198" s="51"/>
    </row>
    <row r="199" spans="1:86" s="2" customFormat="1" ht="15.75" customHeight="1">
      <c r="A199" s="9"/>
      <c r="B199" s="142"/>
      <c r="D199" s="53"/>
      <c r="E199" s="53"/>
      <c r="F199" s="322"/>
      <c r="G199" s="925" t="s">
        <v>299</v>
      </c>
      <c r="H199" s="925"/>
      <c r="I199" s="925"/>
      <c r="J199" s="925"/>
      <c r="K199" s="925"/>
      <c r="L199" s="925"/>
      <c r="M199" s="324"/>
      <c r="N199" s="324"/>
      <c r="O199" s="324"/>
      <c r="P199" s="324"/>
      <c r="Q199" s="324"/>
      <c r="R199" s="324"/>
      <c r="S199" s="324"/>
      <c r="T199" s="324"/>
      <c r="U199" s="925" t="s">
        <v>302</v>
      </c>
      <c r="V199" s="925"/>
      <c r="W199" s="324"/>
      <c r="X199" s="324"/>
      <c r="Y199" s="53"/>
      <c r="Z199" s="53"/>
      <c r="AA199" s="324"/>
      <c r="AB199" s="323"/>
      <c r="AC199" s="323"/>
      <c r="AD199" s="323"/>
      <c r="AE199" s="336"/>
      <c r="AF199" s="53"/>
      <c r="AG199" s="53"/>
      <c r="AH199" s="322"/>
      <c r="AI199" s="925" t="s">
        <v>299</v>
      </c>
      <c r="AJ199" s="925"/>
      <c r="AK199" s="925"/>
      <c r="AL199" s="925"/>
      <c r="AM199" s="925"/>
      <c r="AN199" s="925"/>
      <c r="AO199" s="324"/>
      <c r="AP199" s="324"/>
      <c r="AQ199" s="324"/>
      <c r="AR199" s="324"/>
      <c r="AS199" s="324"/>
      <c r="AT199" s="324"/>
      <c r="AU199" s="324"/>
      <c r="AV199" s="324"/>
      <c r="AW199" s="925" t="s">
        <v>302</v>
      </c>
      <c r="AX199" s="925"/>
      <c r="AY199" s="324"/>
      <c r="AZ199" s="324"/>
      <c r="BA199" s="53"/>
      <c r="BB199" s="53"/>
      <c r="BC199" s="324"/>
      <c r="BD199" s="323"/>
      <c r="BE199" s="323"/>
      <c r="BF199" s="323"/>
      <c r="BG199" s="336"/>
      <c r="BH199" s="53"/>
      <c r="BI199" s="53"/>
      <c r="BJ199" s="53"/>
      <c r="BK199" s="53"/>
      <c r="BL199" s="10"/>
      <c r="BM199" s="10"/>
      <c r="BN199" s="10"/>
      <c r="BO199" s="10"/>
      <c r="BP199" s="10"/>
      <c r="BQ199" s="10"/>
      <c r="BR199" s="10"/>
      <c r="BS199" s="10"/>
      <c r="BT199" s="10"/>
      <c r="BU199" s="10"/>
      <c r="BV199" s="10"/>
      <c r="BW199" s="10"/>
      <c r="BX199" s="10"/>
      <c r="BY199" s="10"/>
      <c r="BZ199" s="10"/>
      <c r="CA199" s="10"/>
      <c r="CB199" s="10"/>
      <c r="CC199" s="10"/>
      <c r="CD199" s="10"/>
      <c r="CE199" s="10"/>
      <c r="CF199" s="10"/>
      <c r="CG199" s="10"/>
      <c r="CH199" s="51"/>
    </row>
    <row r="200" spans="1:86" s="2" customFormat="1" ht="15.75" customHeight="1">
      <c r="A200" s="9"/>
      <c r="B200" s="142"/>
      <c r="D200" s="53"/>
      <c r="E200" s="53"/>
      <c r="F200" s="325"/>
      <c r="G200" s="326"/>
      <c r="H200" s="326"/>
      <c r="I200" s="326"/>
      <c r="J200" s="326"/>
      <c r="K200" s="326"/>
      <c r="L200" s="326"/>
      <c r="M200" s="326"/>
      <c r="N200" s="326"/>
      <c r="O200" s="326"/>
      <c r="P200" s="326"/>
      <c r="Q200" s="326"/>
      <c r="R200" s="326"/>
      <c r="S200" s="326"/>
      <c r="T200" s="326"/>
      <c r="U200" s="326"/>
      <c r="V200" s="326"/>
      <c r="W200" s="326"/>
      <c r="X200" s="326"/>
      <c r="Y200" s="326"/>
      <c r="Z200" s="326"/>
      <c r="AA200" s="326"/>
      <c r="AB200" s="326"/>
      <c r="AC200" s="326"/>
      <c r="AD200" s="326"/>
      <c r="AE200" s="338"/>
      <c r="AF200" s="53"/>
      <c r="AG200" s="53"/>
      <c r="AH200" s="325"/>
      <c r="AI200" s="326"/>
      <c r="AJ200" s="326"/>
      <c r="AK200" s="326"/>
      <c r="AL200" s="326"/>
      <c r="AM200" s="326"/>
      <c r="AN200" s="326"/>
      <c r="AO200" s="326"/>
      <c r="AP200" s="326"/>
      <c r="AQ200" s="326"/>
      <c r="AR200" s="326"/>
      <c r="AS200" s="326"/>
      <c r="AT200" s="326"/>
      <c r="AU200" s="326"/>
      <c r="AV200" s="326"/>
      <c r="AW200" s="326"/>
      <c r="AX200" s="326"/>
      <c r="AY200" s="326"/>
      <c r="AZ200" s="326"/>
      <c r="BA200" s="326"/>
      <c r="BB200" s="326"/>
      <c r="BC200" s="326"/>
      <c r="BD200" s="326"/>
      <c r="BE200" s="326"/>
      <c r="BF200" s="326"/>
      <c r="BG200" s="338"/>
      <c r="BH200" s="53"/>
      <c r="BI200" s="53"/>
      <c r="BJ200" s="53"/>
      <c r="BK200" s="53"/>
      <c r="BL200" s="10"/>
      <c r="BM200" s="10"/>
      <c r="BN200" s="10"/>
      <c r="BO200" s="10"/>
      <c r="BP200" s="10"/>
      <c r="BQ200" s="10"/>
      <c r="BR200" s="10"/>
      <c r="BS200" s="10"/>
      <c r="BT200" s="10"/>
      <c r="BU200" s="10"/>
      <c r="BV200" s="10"/>
      <c r="BW200" s="10"/>
      <c r="BX200" s="10"/>
      <c r="BY200" s="10"/>
      <c r="BZ200" s="10"/>
      <c r="CA200" s="10"/>
      <c r="CB200" s="10"/>
      <c r="CC200" s="10"/>
      <c r="CD200" s="10"/>
      <c r="CE200" s="10"/>
      <c r="CF200" s="10"/>
      <c r="CG200" s="10"/>
      <c r="CH200" s="51"/>
    </row>
    <row r="201" spans="1:86" s="2" customFormat="1" ht="15.75" customHeight="1">
      <c r="A201" s="9"/>
      <c r="B201" s="142"/>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c r="AB201" s="53"/>
      <c r="AC201" s="53"/>
      <c r="AD201" s="53"/>
      <c r="AE201" s="53"/>
      <c r="AF201" s="53"/>
      <c r="AG201" s="53"/>
      <c r="AH201" s="53"/>
      <c r="AI201" s="53"/>
      <c r="AJ201" s="53"/>
      <c r="AK201" s="53"/>
      <c r="AL201" s="53"/>
      <c r="AM201" s="53"/>
      <c r="AN201" s="53"/>
      <c r="AO201" s="53"/>
      <c r="AP201" s="53"/>
      <c r="AQ201" s="53"/>
      <c r="AR201" s="53"/>
      <c r="AS201" s="53"/>
      <c r="AT201" s="53"/>
      <c r="AU201" s="53"/>
      <c r="AV201" s="53"/>
      <c r="AW201" s="53"/>
      <c r="AX201" s="53"/>
      <c r="AY201" s="53"/>
      <c r="AZ201" s="53"/>
      <c r="BA201" s="53"/>
      <c r="BB201" s="53"/>
      <c r="BC201" s="53"/>
      <c r="BD201" s="53"/>
      <c r="BE201" s="53"/>
      <c r="BF201" s="53"/>
      <c r="BG201" s="53"/>
      <c r="BH201" s="53"/>
      <c r="BI201" s="53"/>
      <c r="BJ201" s="53"/>
      <c r="BK201" s="53"/>
      <c r="BL201" s="10"/>
      <c r="BM201" s="10"/>
      <c r="BN201" s="10"/>
      <c r="BO201" s="10"/>
      <c r="BP201" s="10"/>
      <c r="BQ201" s="10"/>
      <c r="BR201" s="10"/>
      <c r="BS201" s="10"/>
      <c r="BT201" s="10"/>
      <c r="BU201" s="10"/>
      <c r="BV201" s="10"/>
      <c r="BW201" s="10"/>
      <c r="BX201" s="10"/>
      <c r="BY201" s="10"/>
      <c r="BZ201" s="10"/>
      <c r="CA201" s="10"/>
      <c r="CB201" s="10"/>
      <c r="CC201" s="10"/>
      <c r="CD201" s="10"/>
      <c r="CE201" s="10"/>
      <c r="CF201" s="10"/>
      <c r="CG201" s="10"/>
      <c r="CH201" s="51"/>
    </row>
    <row r="202" spans="1:86" s="2" customFormat="1" ht="15.75" customHeight="1">
      <c r="A202" s="9"/>
      <c r="B202" s="142"/>
      <c r="D202" s="53"/>
      <c r="E202" s="53"/>
      <c r="F202" s="926" t="s">
        <v>345</v>
      </c>
      <c r="G202" s="926"/>
      <c r="H202" s="926"/>
      <c r="I202" s="926"/>
      <c r="J202" s="926"/>
      <c r="K202" s="926"/>
      <c r="L202" s="926" t="s">
        <v>346</v>
      </c>
      <c r="M202" s="926"/>
      <c r="N202" s="926"/>
      <c r="O202" s="926"/>
      <c r="P202" s="926"/>
      <c r="Q202" s="926"/>
      <c r="R202" s="53"/>
      <c r="S202" s="53" t="s">
        <v>347</v>
      </c>
      <c r="T202" s="53"/>
      <c r="U202" s="53"/>
      <c r="V202" s="53"/>
      <c r="W202" s="53"/>
      <c r="X202" s="53"/>
      <c r="Y202" s="53"/>
      <c r="Z202" s="53"/>
      <c r="AA202" s="53"/>
      <c r="AB202" s="53"/>
      <c r="AC202" s="53"/>
      <c r="AD202" s="53"/>
      <c r="AE202" s="53"/>
      <c r="AF202" s="53"/>
      <c r="AG202" s="53"/>
      <c r="AH202" s="926" t="s">
        <v>345</v>
      </c>
      <c r="AI202" s="926"/>
      <c r="AJ202" s="926"/>
      <c r="AK202" s="926"/>
      <c r="AL202" s="926"/>
      <c r="AM202" s="926"/>
      <c r="AN202" s="926" t="s">
        <v>348</v>
      </c>
      <c r="AO202" s="926"/>
      <c r="AP202" s="926"/>
      <c r="AQ202" s="926"/>
      <c r="AR202" s="926"/>
      <c r="AS202" s="926"/>
      <c r="AT202" s="53"/>
      <c r="AU202" s="53" t="s">
        <v>349</v>
      </c>
      <c r="AV202" s="53"/>
      <c r="AW202" s="53"/>
      <c r="AX202" s="53"/>
      <c r="AY202" s="53"/>
      <c r="AZ202" s="53"/>
      <c r="BA202" s="53"/>
      <c r="BB202" s="53"/>
      <c r="BC202" s="53"/>
      <c r="BD202" s="53"/>
      <c r="BE202" s="53"/>
      <c r="BF202" s="53"/>
      <c r="BG202" s="53"/>
      <c r="BH202" s="53"/>
      <c r="BI202" s="53"/>
      <c r="BJ202" s="53"/>
      <c r="BK202" s="53"/>
      <c r="BL202" s="10"/>
      <c r="BM202" s="10"/>
      <c r="BN202" s="10"/>
      <c r="BO202" s="10"/>
      <c r="BP202" s="10"/>
      <c r="BQ202" s="10"/>
      <c r="BR202" s="10"/>
      <c r="BS202" s="10"/>
      <c r="BT202" s="10"/>
      <c r="BU202" s="10"/>
      <c r="BV202" s="10"/>
      <c r="BW202" s="10"/>
      <c r="BX202" s="10"/>
      <c r="BY202" s="10"/>
      <c r="BZ202" s="10"/>
      <c r="CA202" s="10"/>
      <c r="CB202" s="10"/>
      <c r="CC202" s="10"/>
      <c r="CD202" s="10"/>
      <c r="CE202" s="10"/>
      <c r="CF202" s="10"/>
      <c r="CG202" s="10"/>
      <c r="CH202" s="51"/>
    </row>
    <row r="203" spans="1:86" s="2" customFormat="1" ht="15.75" customHeight="1">
      <c r="A203" s="9"/>
      <c r="B203" s="142"/>
      <c r="D203" s="53"/>
      <c r="E203" s="53"/>
      <c r="F203" s="53"/>
      <c r="G203" s="53"/>
      <c r="H203" s="53"/>
      <c r="I203" s="53"/>
      <c r="J203" s="53"/>
      <c r="K203" s="53"/>
      <c r="L203" s="53"/>
      <c r="M203" s="53"/>
      <c r="N203" s="53"/>
      <c r="O203" s="53"/>
      <c r="P203" s="53"/>
      <c r="Q203" s="53"/>
      <c r="R203" s="53"/>
      <c r="S203" s="53"/>
      <c r="T203" s="53"/>
      <c r="U203" s="53"/>
      <c r="V203" s="53"/>
      <c r="W203" s="53"/>
      <c r="X203" s="53"/>
      <c r="Y203" s="53"/>
      <c r="Z203" s="53"/>
      <c r="AA203" s="53"/>
      <c r="AB203" s="53"/>
      <c r="AC203" s="53"/>
      <c r="AD203" s="53"/>
      <c r="AE203" s="53"/>
      <c r="AF203" s="53"/>
      <c r="AG203" s="53"/>
      <c r="AH203" s="53"/>
      <c r="AI203" s="53"/>
      <c r="AJ203" s="53"/>
      <c r="AK203" s="53"/>
      <c r="AL203" s="53"/>
      <c r="AM203" s="53"/>
      <c r="AN203" s="53"/>
      <c r="AO203" s="53"/>
      <c r="AP203" s="53"/>
      <c r="AQ203" s="53"/>
      <c r="AR203" s="53"/>
      <c r="AS203" s="53"/>
      <c r="AT203" s="53"/>
      <c r="AU203" s="53"/>
      <c r="AV203" s="53"/>
      <c r="AW203" s="53"/>
      <c r="AX203" s="53"/>
      <c r="AY203" s="53"/>
      <c r="AZ203" s="53"/>
      <c r="BA203" s="53"/>
      <c r="BB203" s="53"/>
      <c r="BC203" s="53"/>
      <c r="BD203" s="53"/>
      <c r="BE203" s="53"/>
      <c r="BF203" s="53"/>
      <c r="BG203" s="53"/>
      <c r="BH203" s="53"/>
      <c r="BI203" s="53"/>
      <c r="BJ203" s="53"/>
      <c r="BK203" s="53"/>
      <c r="BL203" s="10"/>
      <c r="BM203" s="10"/>
      <c r="BN203" s="10"/>
      <c r="BO203" s="10"/>
      <c r="BP203" s="10"/>
      <c r="BQ203" s="10"/>
      <c r="BR203" s="10"/>
      <c r="BS203" s="10"/>
      <c r="BT203" s="10"/>
      <c r="BU203" s="10"/>
      <c r="BV203" s="10"/>
      <c r="BW203" s="10"/>
      <c r="BX203" s="10"/>
      <c r="BY203" s="10"/>
      <c r="BZ203" s="10"/>
      <c r="CA203" s="10"/>
      <c r="CB203" s="10"/>
      <c r="CC203" s="10"/>
      <c r="CD203" s="10"/>
      <c r="CE203" s="10"/>
      <c r="CF203" s="10"/>
      <c r="CG203" s="10"/>
      <c r="CH203" s="51"/>
    </row>
    <row r="204" spans="1:86" s="2" customFormat="1" ht="15.75" customHeight="1">
      <c r="A204" s="9"/>
      <c r="B204" s="142"/>
      <c r="D204" s="53"/>
      <c r="E204" s="53"/>
      <c r="F204" s="53">
        <v>3</v>
      </c>
      <c r="G204" s="53"/>
      <c r="H204" s="53" t="s">
        <v>350</v>
      </c>
      <c r="I204" s="53"/>
      <c r="J204" s="53"/>
      <c r="K204" s="53"/>
      <c r="L204" s="53"/>
      <c r="M204" s="53"/>
      <c r="N204" s="53"/>
      <c r="O204" s="53"/>
      <c r="P204" s="53"/>
      <c r="Q204" s="53"/>
      <c r="R204" s="53"/>
      <c r="S204" s="53"/>
      <c r="T204" s="53"/>
      <c r="U204" s="53"/>
      <c r="V204" s="53"/>
      <c r="W204" s="53"/>
      <c r="X204" s="53"/>
      <c r="Y204" s="53"/>
      <c r="Z204" s="53"/>
      <c r="AA204" s="53"/>
      <c r="AB204" s="53"/>
      <c r="AC204" s="53"/>
      <c r="AD204" s="53"/>
      <c r="AE204" s="53"/>
      <c r="AF204" s="53"/>
      <c r="AG204" s="53"/>
      <c r="AH204" s="318">
        <v>4</v>
      </c>
      <c r="AI204" s="53"/>
      <c r="AJ204" s="53" t="s">
        <v>350</v>
      </c>
      <c r="AK204" s="53"/>
      <c r="AL204" s="53"/>
      <c r="AM204" s="53"/>
      <c r="AN204" s="53"/>
      <c r="AO204" s="53"/>
      <c r="AP204" s="53"/>
      <c r="AQ204" s="53"/>
      <c r="AR204" s="53"/>
      <c r="AS204" s="53"/>
      <c r="AT204" s="53"/>
      <c r="AU204" s="53"/>
      <c r="AV204" s="53"/>
      <c r="AW204" s="53"/>
      <c r="AX204" s="53"/>
      <c r="AY204" s="53"/>
      <c r="AZ204" s="53"/>
      <c r="BA204" s="53"/>
      <c r="BB204" s="53"/>
      <c r="BC204" s="53"/>
      <c r="BD204" s="53"/>
      <c r="BE204" s="53"/>
      <c r="BF204" s="53"/>
      <c r="BG204" s="53"/>
      <c r="BH204" s="53"/>
      <c r="BI204" s="53"/>
      <c r="BJ204" s="53"/>
      <c r="BK204" s="53"/>
      <c r="BL204" s="10"/>
      <c r="BM204" s="10"/>
      <c r="BN204" s="10"/>
      <c r="BO204" s="10"/>
      <c r="BP204" s="10"/>
      <c r="BQ204" s="10"/>
      <c r="BR204" s="10"/>
      <c r="BS204" s="10"/>
      <c r="BT204" s="10"/>
      <c r="BU204" s="10"/>
      <c r="BV204" s="10"/>
      <c r="BW204" s="10"/>
      <c r="BX204" s="10"/>
      <c r="BY204" s="10"/>
      <c r="BZ204" s="10"/>
      <c r="CA204" s="10"/>
      <c r="CB204" s="10"/>
      <c r="CC204" s="10"/>
      <c r="CD204" s="10"/>
      <c r="CE204" s="10"/>
      <c r="CF204" s="10"/>
      <c r="CG204" s="10"/>
      <c r="CH204" s="51"/>
    </row>
    <row r="205" spans="1:86" s="2" customFormat="1" ht="15.75" customHeight="1">
      <c r="A205" s="9"/>
      <c r="B205" s="142"/>
      <c r="D205" s="53"/>
      <c r="E205" s="53"/>
      <c r="F205" s="53"/>
      <c r="G205" s="53"/>
      <c r="H205" s="53" t="s">
        <v>330</v>
      </c>
      <c r="I205" s="53"/>
      <c r="J205" s="53"/>
      <c r="K205" s="53"/>
      <c r="L205" s="53"/>
      <c r="M205" s="53"/>
      <c r="N205" s="53"/>
      <c r="O205" s="53"/>
      <c r="P205" s="53"/>
      <c r="Q205" s="53"/>
      <c r="R205" s="53"/>
      <c r="S205" s="53"/>
      <c r="T205" s="53"/>
      <c r="U205" s="53"/>
      <c r="V205" s="53"/>
      <c r="W205" s="53"/>
      <c r="X205" s="53"/>
      <c r="Y205" s="53"/>
      <c r="Z205" s="53"/>
      <c r="AA205" s="53"/>
      <c r="AB205" s="53"/>
      <c r="AC205" s="53"/>
      <c r="AD205" s="53"/>
      <c r="AE205" s="53"/>
      <c r="AF205" s="53"/>
      <c r="AG205" s="53"/>
      <c r="AH205" s="318"/>
      <c r="AI205" s="53"/>
      <c r="AJ205" s="53" t="s">
        <v>331</v>
      </c>
      <c r="AK205" s="53"/>
      <c r="AL205" s="53"/>
      <c r="AM205" s="53"/>
      <c r="AN205" s="53"/>
      <c r="AO205" s="53"/>
      <c r="AP205" s="53"/>
      <c r="AQ205" s="53"/>
      <c r="AR205" s="53"/>
      <c r="AS205" s="53"/>
      <c r="AT205" s="53"/>
      <c r="AU205" s="53"/>
      <c r="AV205" s="53"/>
      <c r="AW205" s="53"/>
      <c r="AX205" s="53"/>
      <c r="AY205" s="53"/>
      <c r="AZ205" s="53"/>
      <c r="BA205" s="53"/>
      <c r="BB205" s="53"/>
      <c r="BC205" s="53"/>
      <c r="BD205" s="53"/>
      <c r="BE205" s="53"/>
      <c r="BF205" s="53"/>
      <c r="BG205" s="53"/>
      <c r="BH205" s="53"/>
      <c r="BI205" s="53"/>
      <c r="BJ205" s="53"/>
      <c r="BK205" s="53"/>
      <c r="BL205" s="10"/>
      <c r="BM205" s="10"/>
      <c r="BN205" s="10"/>
      <c r="BO205" s="10"/>
      <c r="BP205" s="10"/>
      <c r="BQ205" s="10"/>
      <c r="BR205" s="10"/>
      <c r="BS205" s="10"/>
      <c r="BT205" s="10"/>
      <c r="BU205" s="10"/>
      <c r="BV205" s="10"/>
      <c r="BW205" s="10"/>
      <c r="BX205" s="10"/>
      <c r="BY205" s="10"/>
      <c r="BZ205" s="10"/>
      <c r="CA205" s="10"/>
      <c r="CB205" s="10"/>
      <c r="CC205" s="10"/>
      <c r="CD205" s="10"/>
      <c r="CE205" s="10"/>
      <c r="CF205" s="10"/>
      <c r="CG205" s="10"/>
      <c r="CH205" s="51"/>
    </row>
    <row r="206" spans="1:86" s="2" customFormat="1" ht="15.75" customHeight="1">
      <c r="A206" s="9"/>
      <c r="B206" s="142"/>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c r="AB206" s="53"/>
      <c r="AC206" s="53"/>
      <c r="AD206" s="53"/>
      <c r="AE206" s="53"/>
      <c r="AF206" s="53"/>
      <c r="AG206" s="53"/>
      <c r="AH206" s="53"/>
      <c r="AI206" s="53"/>
      <c r="AJ206" s="53"/>
      <c r="AK206" s="53"/>
      <c r="AL206" s="53"/>
      <c r="AM206" s="53"/>
      <c r="AN206" s="53"/>
      <c r="AO206" s="53"/>
      <c r="AP206" s="53"/>
      <c r="AQ206" s="53"/>
      <c r="AR206" s="53"/>
      <c r="AS206" s="53"/>
      <c r="AT206" s="53"/>
      <c r="AU206" s="53"/>
      <c r="AV206" s="53"/>
      <c r="AW206" s="53"/>
      <c r="AX206" s="53"/>
      <c r="AY206" s="53"/>
      <c r="AZ206" s="53"/>
      <c r="BA206" s="53"/>
      <c r="BB206" s="53"/>
      <c r="BC206" s="53"/>
      <c r="BD206" s="53"/>
      <c r="BE206" s="53"/>
      <c r="BF206" s="53"/>
      <c r="BG206" s="53"/>
      <c r="BH206" s="53"/>
      <c r="BI206" s="53"/>
      <c r="BJ206" s="53"/>
      <c r="BK206" s="53"/>
      <c r="BL206" s="10"/>
      <c r="BM206" s="10"/>
      <c r="BN206" s="10"/>
      <c r="BO206" s="10"/>
      <c r="BP206" s="10"/>
      <c r="BQ206" s="10"/>
      <c r="BR206" s="10"/>
      <c r="BS206" s="10"/>
      <c r="BT206" s="10"/>
      <c r="BU206" s="10"/>
      <c r="BV206" s="10"/>
      <c r="BW206" s="10"/>
      <c r="BX206" s="10"/>
      <c r="BY206" s="10"/>
      <c r="BZ206" s="10"/>
      <c r="CA206" s="10"/>
      <c r="CB206" s="10"/>
      <c r="CC206" s="10"/>
      <c r="CD206" s="10"/>
      <c r="CE206" s="10"/>
      <c r="CF206" s="10"/>
      <c r="CG206" s="10"/>
      <c r="CH206" s="51"/>
    </row>
    <row r="207" spans="1:86" s="2" customFormat="1" ht="15.75" customHeight="1">
      <c r="A207" s="9"/>
      <c r="B207" s="142"/>
      <c r="D207" s="53"/>
      <c r="E207" s="53"/>
      <c r="F207" s="319"/>
      <c r="G207" s="320"/>
      <c r="H207" s="320"/>
      <c r="I207" s="320"/>
      <c r="J207" s="320"/>
      <c r="K207" s="320"/>
      <c r="L207" s="320"/>
      <c r="M207" s="320"/>
      <c r="N207" s="320"/>
      <c r="O207" s="320"/>
      <c r="P207" s="320"/>
      <c r="Q207" s="320"/>
      <c r="R207" s="320"/>
      <c r="S207" s="320"/>
      <c r="T207" s="320"/>
      <c r="U207" s="320"/>
      <c r="V207" s="320"/>
      <c r="W207" s="320"/>
      <c r="X207" s="320"/>
      <c r="Y207" s="320"/>
      <c r="Z207" s="320"/>
      <c r="AA207" s="320"/>
      <c r="AB207" s="320"/>
      <c r="AC207" s="320"/>
      <c r="AD207" s="320"/>
      <c r="AE207" s="321"/>
      <c r="AF207" s="53"/>
      <c r="AG207" s="53"/>
      <c r="AH207" s="319"/>
      <c r="AI207" s="320"/>
      <c r="AJ207" s="320"/>
      <c r="AK207" s="320"/>
      <c r="AL207" s="320"/>
      <c r="AM207" s="320"/>
      <c r="AN207" s="320"/>
      <c r="AO207" s="320"/>
      <c r="AP207" s="320"/>
      <c r="AQ207" s="320"/>
      <c r="AR207" s="320"/>
      <c r="AS207" s="320"/>
      <c r="AT207" s="320"/>
      <c r="AU207" s="320"/>
      <c r="AV207" s="320"/>
      <c r="AW207" s="320"/>
      <c r="AX207" s="320"/>
      <c r="AY207" s="320"/>
      <c r="AZ207" s="320"/>
      <c r="BA207" s="320"/>
      <c r="BB207" s="320"/>
      <c r="BC207" s="320"/>
      <c r="BD207" s="320"/>
      <c r="BE207" s="320"/>
      <c r="BF207" s="320"/>
      <c r="BG207" s="321"/>
      <c r="BH207" s="53"/>
      <c r="BI207" s="53"/>
      <c r="BJ207" s="53"/>
      <c r="BK207" s="53"/>
      <c r="BL207" s="10"/>
      <c r="BM207" s="10"/>
      <c r="BN207" s="10"/>
      <c r="BO207" s="10"/>
      <c r="BP207" s="10"/>
      <c r="BQ207" s="10"/>
      <c r="BR207" s="10"/>
      <c r="BS207" s="10"/>
      <c r="BT207" s="10"/>
      <c r="BU207" s="10"/>
      <c r="BV207" s="10"/>
      <c r="BW207" s="10"/>
      <c r="BX207" s="10"/>
      <c r="BY207" s="10"/>
      <c r="BZ207" s="10"/>
      <c r="CA207" s="10"/>
      <c r="CB207" s="10"/>
      <c r="CC207" s="10"/>
      <c r="CD207" s="10"/>
      <c r="CE207" s="10"/>
      <c r="CF207" s="10"/>
      <c r="CG207" s="10"/>
      <c r="CH207" s="51"/>
    </row>
    <row r="208" spans="1:86" s="2" customFormat="1" ht="15.75" customHeight="1">
      <c r="A208" s="9"/>
      <c r="B208" s="142"/>
      <c r="D208" s="53"/>
      <c r="E208" s="53"/>
      <c r="F208" s="322"/>
      <c r="G208" s="323" t="s">
        <v>332</v>
      </c>
      <c r="H208" s="323"/>
      <c r="I208" s="323"/>
      <c r="J208" s="323"/>
      <c r="K208" s="323"/>
      <c r="L208" s="323"/>
      <c r="M208" s="323"/>
      <c r="N208" s="323"/>
      <c r="O208" s="323"/>
      <c r="R208" s="925" t="s">
        <v>333</v>
      </c>
      <c r="S208" s="925"/>
      <c r="T208" s="324"/>
      <c r="U208" s="324"/>
      <c r="V208" s="324"/>
      <c r="W208" s="324"/>
      <c r="X208" s="324"/>
      <c r="Y208" s="324"/>
      <c r="Z208" s="324"/>
      <c r="AA208" s="324"/>
      <c r="AB208" s="324"/>
      <c r="AC208" s="324"/>
      <c r="AD208" s="324"/>
      <c r="AE208" s="336"/>
      <c r="AF208" s="53"/>
      <c r="AG208" s="53"/>
      <c r="AH208" s="322"/>
      <c r="AI208" s="323" t="s">
        <v>332</v>
      </c>
      <c r="AJ208" s="323"/>
      <c r="AK208" s="323"/>
      <c r="AL208" s="323"/>
      <c r="AM208" s="323"/>
      <c r="AN208" s="323"/>
      <c r="AO208" s="323"/>
      <c r="AP208" s="323"/>
      <c r="AQ208" s="323"/>
      <c r="AT208" s="925" t="s">
        <v>334</v>
      </c>
      <c r="AU208" s="925"/>
      <c r="AV208" s="324"/>
      <c r="AW208" s="324"/>
      <c r="AX208" s="324"/>
      <c r="AY208" s="324"/>
      <c r="AZ208" s="324"/>
      <c r="BA208" s="324"/>
      <c r="BB208" s="324"/>
      <c r="BC208" s="324"/>
      <c r="BD208" s="324"/>
      <c r="BE208" s="324"/>
      <c r="BF208" s="324"/>
      <c r="BG208" s="336"/>
      <c r="BH208" s="53"/>
      <c r="BI208" s="53"/>
      <c r="BJ208" s="53"/>
      <c r="BK208" s="53"/>
      <c r="BL208" s="10"/>
      <c r="BM208" s="10"/>
      <c r="BN208" s="10"/>
      <c r="BO208" s="10"/>
      <c r="BP208" s="10"/>
      <c r="BQ208" s="10"/>
      <c r="BR208" s="10"/>
      <c r="BS208" s="10"/>
      <c r="BT208" s="10"/>
      <c r="BU208" s="10"/>
      <c r="BV208" s="10"/>
      <c r="BW208" s="10"/>
      <c r="BX208" s="10"/>
      <c r="BY208" s="10"/>
      <c r="BZ208" s="10"/>
      <c r="CA208" s="10"/>
      <c r="CB208" s="10"/>
      <c r="CC208" s="10"/>
      <c r="CD208" s="10"/>
      <c r="CE208" s="10"/>
      <c r="CF208" s="10"/>
      <c r="CG208" s="10"/>
      <c r="CH208" s="51"/>
    </row>
    <row r="209" spans="1:86" s="2" customFormat="1" ht="15.75" customHeight="1">
      <c r="A209" s="9"/>
      <c r="B209" s="142"/>
      <c r="D209" s="53"/>
      <c r="E209" s="53"/>
      <c r="F209" s="322"/>
      <c r="G209" s="317"/>
      <c r="H209" s="317"/>
      <c r="I209" s="317"/>
      <c r="J209" s="317"/>
      <c r="K209" s="317"/>
      <c r="L209" s="317"/>
      <c r="M209" s="324"/>
      <c r="N209" s="324"/>
      <c r="O209" s="324"/>
      <c r="P209" s="324"/>
      <c r="Q209" s="324"/>
      <c r="R209" s="324"/>
      <c r="S209" s="324"/>
      <c r="T209" s="324"/>
      <c r="U209" s="324"/>
      <c r="V209" s="324"/>
      <c r="W209" s="324"/>
      <c r="X209" s="324"/>
      <c r="Y209" s="324"/>
      <c r="Z209" s="324"/>
      <c r="AA209" s="324"/>
      <c r="AB209" s="324"/>
      <c r="AC209" s="324"/>
      <c r="AD209" s="324"/>
      <c r="AE209" s="336"/>
      <c r="AF209" s="53"/>
      <c r="AG209" s="53"/>
      <c r="AH209" s="322"/>
      <c r="AI209" s="317"/>
      <c r="AJ209" s="317"/>
      <c r="AK209" s="317"/>
      <c r="AL209" s="317"/>
      <c r="AM209" s="317"/>
      <c r="AN209" s="317"/>
      <c r="AO209" s="324"/>
      <c r="AP209" s="324"/>
      <c r="AQ209" s="324"/>
      <c r="AR209" s="324"/>
      <c r="AS209" s="324"/>
      <c r="AT209" s="324"/>
      <c r="AU209" s="324"/>
      <c r="AV209" s="324"/>
      <c r="AW209" s="324"/>
      <c r="AX209" s="324"/>
      <c r="AY209" s="324"/>
      <c r="AZ209" s="324"/>
      <c r="BA209" s="324"/>
      <c r="BB209" s="324"/>
      <c r="BC209" s="324"/>
      <c r="BD209" s="324"/>
      <c r="BE209" s="324"/>
      <c r="BF209" s="324"/>
      <c r="BG209" s="336"/>
      <c r="BH209" s="53"/>
      <c r="BI209" s="53"/>
      <c r="BJ209" s="53"/>
      <c r="BK209" s="53"/>
      <c r="BL209" s="10"/>
      <c r="BM209" s="10"/>
      <c r="BN209" s="10"/>
      <c r="BO209" s="10"/>
      <c r="BP209" s="10"/>
      <c r="BQ209" s="10"/>
      <c r="BR209" s="10"/>
      <c r="BS209" s="10"/>
      <c r="BT209" s="10"/>
      <c r="BU209" s="10"/>
      <c r="BV209" s="10"/>
      <c r="BW209" s="10"/>
      <c r="BX209" s="10"/>
      <c r="BY209" s="10"/>
      <c r="BZ209" s="10"/>
      <c r="CA209" s="10"/>
      <c r="CB209" s="10"/>
      <c r="CC209" s="10"/>
      <c r="CD209" s="10"/>
      <c r="CE209" s="10"/>
      <c r="CF209" s="10"/>
      <c r="CG209" s="10"/>
      <c r="CH209" s="51"/>
    </row>
    <row r="210" spans="1:86" s="2" customFormat="1" ht="15.75" customHeight="1">
      <c r="A210" s="9"/>
      <c r="B210" s="142"/>
      <c r="D210" s="53"/>
      <c r="E210" s="53"/>
      <c r="F210" s="322"/>
      <c r="G210" s="925" t="s">
        <v>335</v>
      </c>
      <c r="H210" s="925"/>
      <c r="I210" s="925"/>
      <c r="J210" s="925"/>
      <c r="K210" s="925"/>
      <c r="L210" s="925"/>
      <c r="M210" s="324"/>
      <c r="N210" s="324"/>
      <c r="O210" s="925" t="s">
        <v>336</v>
      </c>
      <c r="P210" s="925"/>
      <c r="Q210" s="317"/>
      <c r="R210" s="324"/>
      <c r="S210" s="925" t="s">
        <v>337</v>
      </c>
      <c r="T210" s="925"/>
      <c r="U210" s="317"/>
      <c r="V210" s="324"/>
      <c r="W210" s="925" t="s">
        <v>338</v>
      </c>
      <c r="X210" s="925"/>
      <c r="Y210" s="317"/>
      <c r="Z210" s="324"/>
      <c r="AA210" s="925" t="s">
        <v>339</v>
      </c>
      <c r="AB210" s="925"/>
      <c r="AC210" s="324"/>
      <c r="AD210" s="324"/>
      <c r="AE210" s="336"/>
      <c r="AF210" s="53"/>
      <c r="AG210" s="53"/>
      <c r="AH210" s="322"/>
      <c r="AI210" s="925" t="s">
        <v>335</v>
      </c>
      <c r="AJ210" s="925"/>
      <c r="AK210" s="925"/>
      <c r="AL210" s="925"/>
      <c r="AM210" s="925"/>
      <c r="AN210" s="925"/>
      <c r="AO210" s="324"/>
      <c r="AP210" s="324"/>
      <c r="AQ210" s="925" t="s">
        <v>336</v>
      </c>
      <c r="AR210" s="925"/>
      <c r="AS210" s="317"/>
      <c r="AT210" s="324"/>
      <c r="AU210" s="925" t="s">
        <v>337</v>
      </c>
      <c r="AV210" s="925"/>
      <c r="AW210" s="317"/>
      <c r="AX210" s="324"/>
      <c r="AY210" s="925" t="s">
        <v>338</v>
      </c>
      <c r="AZ210" s="925"/>
      <c r="BA210" s="317"/>
      <c r="BB210" s="324"/>
      <c r="BC210" s="925" t="s">
        <v>339</v>
      </c>
      <c r="BD210" s="925"/>
      <c r="BE210" s="324"/>
      <c r="BF210" s="324"/>
      <c r="BG210" s="336"/>
      <c r="BH210" s="53"/>
      <c r="BI210" s="53"/>
      <c r="BJ210" s="53"/>
      <c r="BK210" s="53"/>
      <c r="BL210" s="10"/>
      <c r="BM210" s="10"/>
      <c r="BN210" s="10"/>
      <c r="BO210" s="10"/>
      <c r="BP210" s="10"/>
      <c r="BQ210" s="10"/>
      <c r="BR210" s="10"/>
      <c r="BS210" s="10"/>
      <c r="BT210" s="10"/>
      <c r="BU210" s="10"/>
      <c r="BV210" s="10"/>
      <c r="BW210" s="10"/>
      <c r="BX210" s="10"/>
      <c r="BY210" s="10"/>
      <c r="BZ210" s="10"/>
      <c r="CA210" s="10"/>
      <c r="CB210" s="10"/>
      <c r="CC210" s="10"/>
      <c r="CD210" s="10"/>
      <c r="CE210" s="10"/>
      <c r="CF210" s="10"/>
      <c r="CG210" s="10"/>
      <c r="CH210" s="51"/>
    </row>
    <row r="211" spans="1:86" s="2" customFormat="1" ht="15.75" customHeight="1">
      <c r="A211" s="9"/>
      <c r="B211" s="142"/>
      <c r="D211" s="53"/>
      <c r="E211" s="53"/>
      <c r="F211" s="322"/>
      <c r="G211" s="324"/>
      <c r="H211" s="324"/>
      <c r="I211" s="324"/>
      <c r="J211" s="324"/>
      <c r="K211" s="324"/>
      <c r="L211" s="324"/>
      <c r="M211" s="324"/>
      <c r="N211" s="324"/>
      <c r="O211" s="324"/>
      <c r="P211" s="324"/>
      <c r="Q211" s="324"/>
      <c r="R211" s="324"/>
      <c r="S211" s="324"/>
      <c r="T211" s="324"/>
      <c r="U211" s="324"/>
      <c r="V211" s="324"/>
      <c r="W211" s="324"/>
      <c r="X211" s="324"/>
      <c r="Y211" s="324"/>
      <c r="Z211" s="324"/>
      <c r="AA211" s="324"/>
      <c r="AB211" s="324"/>
      <c r="AC211" s="324"/>
      <c r="AD211" s="324"/>
      <c r="AE211" s="336"/>
      <c r="AF211" s="53"/>
      <c r="AG211" s="53"/>
      <c r="AH211" s="322"/>
      <c r="AI211" s="324"/>
      <c r="AJ211" s="324"/>
      <c r="AK211" s="324"/>
      <c r="AL211" s="324"/>
      <c r="AM211" s="324"/>
      <c r="AN211" s="324"/>
      <c r="AO211" s="324"/>
      <c r="AP211" s="324"/>
      <c r="AQ211" s="324"/>
      <c r="AR211" s="324"/>
      <c r="AS211" s="324"/>
      <c r="AT211" s="324"/>
      <c r="AU211" s="324"/>
      <c r="AV211" s="324"/>
      <c r="AW211" s="324"/>
      <c r="AX211" s="324"/>
      <c r="AY211" s="324"/>
      <c r="AZ211" s="324"/>
      <c r="BA211" s="324"/>
      <c r="BB211" s="324"/>
      <c r="BC211" s="324"/>
      <c r="BD211" s="324"/>
      <c r="BE211" s="324"/>
      <c r="BF211" s="324"/>
      <c r="BG211" s="336"/>
      <c r="BH211" s="53"/>
      <c r="BI211" s="53"/>
      <c r="BJ211" s="53"/>
      <c r="BK211" s="53"/>
      <c r="BL211" s="10"/>
      <c r="BM211" s="10"/>
      <c r="BN211" s="10"/>
      <c r="BO211" s="10"/>
      <c r="BP211" s="10"/>
      <c r="BQ211" s="10"/>
      <c r="BR211" s="10"/>
      <c r="BS211" s="10"/>
      <c r="BT211" s="10"/>
      <c r="BU211" s="10"/>
      <c r="BV211" s="10"/>
      <c r="BW211" s="10"/>
      <c r="BX211" s="10"/>
      <c r="BY211" s="10"/>
      <c r="BZ211" s="10"/>
      <c r="CA211" s="10"/>
      <c r="CB211" s="10"/>
      <c r="CC211" s="10"/>
      <c r="CD211" s="10"/>
      <c r="CE211" s="10"/>
      <c r="CF211" s="10"/>
      <c r="CG211" s="10"/>
      <c r="CH211" s="51"/>
    </row>
    <row r="212" spans="1:86" s="2" customFormat="1" ht="15.75" customHeight="1">
      <c r="A212" s="9"/>
      <c r="B212" s="142"/>
      <c r="D212" s="53"/>
      <c r="E212" s="53"/>
      <c r="F212" s="322"/>
      <c r="G212" s="324"/>
      <c r="H212" s="324"/>
      <c r="I212" s="324"/>
      <c r="J212" s="324"/>
      <c r="K212" s="324"/>
      <c r="L212" s="324"/>
      <c r="M212" s="324"/>
      <c r="N212" s="324"/>
      <c r="O212" s="925" t="s">
        <v>340</v>
      </c>
      <c r="P212" s="925"/>
      <c r="Q212" s="317"/>
      <c r="R212" s="324"/>
      <c r="S212" s="925" t="s">
        <v>341</v>
      </c>
      <c r="T212" s="925"/>
      <c r="U212" s="317"/>
      <c r="V212" s="324"/>
      <c r="W212" s="925" t="s">
        <v>342</v>
      </c>
      <c r="X212" s="925"/>
      <c r="Y212" s="317"/>
      <c r="Z212" s="324"/>
      <c r="AA212" s="925" t="s">
        <v>310</v>
      </c>
      <c r="AB212" s="925"/>
      <c r="AC212" s="324"/>
      <c r="AD212" s="324"/>
      <c r="AE212" s="336"/>
      <c r="AF212" s="53"/>
      <c r="AG212" s="53"/>
      <c r="AH212" s="322"/>
      <c r="AI212" s="324"/>
      <c r="AJ212" s="324"/>
      <c r="AK212" s="324"/>
      <c r="AL212" s="324"/>
      <c r="AM212" s="324"/>
      <c r="AN212" s="324"/>
      <c r="AO212" s="324"/>
      <c r="AP212" s="324"/>
      <c r="AQ212" s="925" t="s">
        <v>340</v>
      </c>
      <c r="AR212" s="925"/>
      <c r="AS212" s="317"/>
      <c r="AT212" s="324"/>
      <c r="AU212" s="925" t="s">
        <v>341</v>
      </c>
      <c r="AV212" s="925"/>
      <c r="AW212" s="317"/>
      <c r="AX212" s="324"/>
      <c r="AY212" s="925" t="s">
        <v>342</v>
      </c>
      <c r="AZ212" s="925"/>
      <c r="BA212" s="317"/>
      <c r="BB212" s="324"/>
      <c r="BC212" s="925" t="s">
        <v>310</v>
      </c>
      <c r="BD212" s="925"/>
      <c r="BE212" s="324"/>
      <c r="BF212" s="324"/>
      <c r="BG212" s="336"/>
      <c r="BH212" s="53"/>
      <c r="BI212" s="53"/>
      <c r="BJ212" s="53"/>
      <c r="BK212" s="53"/>
      <c r="BL212" s="10"/>
      <c r="BM212" s="10"/>
      <c r="BN212" s="10"/>
      <c r="BO212" s="10"/>
      <c r="BP212" s="10"/>
      <c r="BQ212" s="10"/>
      <c r="BR212" s="10"/>
      <c r="BS212" s="10"/>
      <c r="BT212" s="10"/>
      <c r="BU212" s="10"/>
      <c r="BV212" s="10"/>
      <c r="BW212" s="10"/>
      <c r="BX212" s="10"/>
      <c r="BY212" s="10"/>
      <c r="BZ212" s="10"/>
      <c r="CA212" s="10"/>
      <c r="CB212" s="10"/>
      <c r="CC212" s="10"/>
      <c r="CD212" s="10"/>
      <c r="CE212" s="10"/>
      <c r="CF212" s="10"/>
      <c r="CG212" s="10"/>
      <c r="CH212" s="51"/>
    </row>
    <row r="213" spans="1:86" s="2" customFormat="1" ht="15.75" customHeight="1">
      <c r="A213" s="9"/>
      <c r="B213" s="142"/>
      <c r="D213" s="53"/>
      <c r="E213" s="53"/>
      <c r="F213" s="322"/>
      <c r="G213" s="925" t="s">
        <v>343</v>
      </c>
      <c r="H213" s="925"/>
      <c r="I213" s="925"/>
      <c r="J213" s="925"/>
      <c r="K213" s="925"/>
      <c r="L213" s="925"/>
      <c r="M213" s="324"/>
      <c r="N213" s="324"/>
      <c r="O213" s="324"/>
      <c r="P213" s="324"/>
      <c r="Q213" s="53"/>
      <c r="R213" s="53"/>
      <c r="S213" s="324"/>
      <c r="T213" s="324"/>
      <c r="U213" s="324"/>
      <c r="V213" s="324"/>
      <c r="W213" s="324"/>
      <c r="X213" s="324"/>
      <c r="Y213" s="925" t="s">
        <v>351</v>
      </c>
      <c r="Z213" s="925"/>
      <c r="AA213" s="324"/>
      <c r="AB213" s="324"/>
      <c r="AC213" s="324"/>
      <c r="AD213" s="324"/>
      <c r="AE213" s="337"/>
      <c r="AF213" s="53"/>
      <c r="AG213" s="53"/>
      <c r="AH213" s="322"/>
      <c r="AI213" s="925" t="s">
        <v>343</v>
      </c>
      <c r="AJ213" s="925"/>
      <c r="AK213" s="925"/>
      <c r="AL213" s="925"/>
      <c r="AM213" s="925"/>
      <c r="AN213" s="925"/>
      <c r="AO213" s="324"/>
      <c r="AP213" s="324"/>
      <c r="AQ213" s="324"/>
      <c r="AR213" s="324"/>
      <c r="AS213" s="53"/>
      <c r="AT213" s="53"/>
      <c r="AU213" s="324"/>
      <c r="AV213" s="324"/>
      <c r="AW213" s="324"/>
      <c r="AX213" s="324"/>
      <c r="AY213" s="324"/>
      <c r="AZ213" s="324"/>
      <c r="BA213" s="925" t="s">
        <v>351</v>
      </c>
      <c r="BB213" s="925"/>
      <c r="BC213" s="324"/>
      <c r="BD213" s="324"/>
      <c r="BE213" s="324"/>
      <c r="BF213" s="324"/>
      <c r="BG213" s="337"/>
      <c r="BH213" s="53"/>
      <c r="BI213" s="53"/>
      <c r="BJ213" s="53"/>
      <c r="BK213" s="53"/>
      <c r="BL213" s="10"/>
      <c r="BM213" s="10"/>
      <c r="BN213" s="10"/>
      <c r="BO213" s="10"/>
      <c r="BP213" s="10"/>
      <c r="BQ213" s="10"/>
      <c r="BR213" s="10"/>
      <c r="BS213" s="10"/>
      <c r="BT213" s="10"/>
      <c r="BU213" s="10"/>
      <c r="BV213" s="10"/>
      <c r="BW213" s="10"/>
      <c r="BX213" s="10"/>
      <c r="BY213" s="10"/>
      <c r="BZ213" s="10"/>
      <c r="CA213" s="10"/>
      <c r="CB213" s="10"/>
      <c r="CC213" s="10"/>
      <c r="CD213" s="10"/>
      <c r="CE213" s="10"/>
      <c r="CF213" s="10"/>
      <c r="CG213" s="10"/>
      <c r="CH213" s="51"/>
    </row>
    <row r="214" spans="1:86" s="2" customFormat="1" ht="15.75" customHeight="1">
      <c r="A214" s="9"/>
      <c r="B214" s="142"/>
      <c r="D214" s="53"/>
      <c r="E214" s="53"/>
      <c r="F214" s="322"/>
      <c r="G214" s="925" t="s">
        <v>299</v>
      </c>
      <c r="H214" s="925"/>
      <c r="I214" s="925"/>
      <c r="J214" s="925"/>
      <c r="K214" s="925"/>
      <c r="L214" s="925"/>
      <c r="M214" s="324"/>
      <c r="N214" s="324"/>
      <c r="O214" s="324"/>
      <c r="P214" s="324"/>
      <c r="Q214" s="324"/>
      <c r="R214" s="324"/>
      <c r="S214" s="324"/>
      <c r="T214" s="324"/>
      <c r="U214" s="925" t="s">
        <v>302</v>
      </c>
      <c r="V214" s="925"/>
      <c r="W214" s="324"/>
      <c r="X214" s="324"/>
      <c r="Y214" s="53"/>
      <c r="Z214" s="53"/>
      <c r="AA214" s="324"/>
      <c r="AB214" s="323"/>
      <c r="AC214" s="323"/>
      <c r="AD214" s="323"/>
      <c r="AE214" s="336"/>
      <c r="AF214" s="53"/>
      <c r="AG214" s="53"/>
      <c r="AH214" s="322"/>
      <c r="AI214" s="925" t="s">
        <v>299</v>
      </c>
      <c r="AJ214" s="925"/>
      <c r="AK214" s="925"/>
      <c r="AL214" s="925"/>
      <c r="AM214" s="925"/>
      <c r="AN214" s="925"/>
      <c r="AO214" s="324"/>
      <c r="AP214" s="324"/>
      <c r="AQ214" s="324"/>
      <c r="AR214" s="324"/>
      <c r="AS214" s="324"/>
      <c r="AT214" s="324"/>
      <c r="AU214" s="324"/>
      <c r="AV214" s="324"/>
      <c r="AW214" s="925" t="s">
        <v>302</v>
      </c>
      <c r="AX214" s="925"/>
      <c r="AY214" s="324"/>
      <c r="AZ214" s="324"/>
      <c r="BA214" s="53"/>
      <c r="BB214" s="53"/>
      <c r="BC214" s="324"/>
      <c r="BD214" s="323"/>
      <c r="BE214" s="323"/>
      <c r="BF214" s="323"/>
      <c r="BG214" s="336"/>
      <c r="BH214" s="53"/>
      <c r="BI214" s="53"/>
      <c r="BJ214" s="53"/>
      <c r="BK214" s="53"/>
      <c r="BL214" s="10"/>
      <c r="BM214" s="10"/>
      <c r="BN214" s="10"/>
      <c r="BO214" s="10"/>
      <c r="BP214" s="10"/>
      <c r="BQ214" s="10"/>
      <c r="BR214" s="10"/>
      <c r="BS214" s="10"/>
      <c r="BT214" s="10"/>
      <c r="BU214" s="10"/>
      <c r="BV214" s="10"/>
      <c r="BW214" s="10"/>
      <c r="BX214" s="10"/>
      <c r="BY214" s="10"/>
      <c r="BZ214" s="10"/>
      <c r="CA214" s="10"/>
      <c r="CB214" s="10"/>
      <c r="CC214" s="10"/>
      <c r="CD214" s="10"/>
      <c r="CE214" s="10"/>
      <c r="CF214" s="10"/>
      <c r="CG214" s="10"/>
      <c r="CH214" s="51"/>
    </row>
    <row r="215" spans="1:86" s="2" customFormat="1" ht="15.75" customHeight="1">
      <c r="A215" s="9"/>
      <c r="B215" s="142"/>
      <c r="D215" s="53"/>
      <c r="E215" s="53"/>
      <c r="F215" s="325"/>
      <c r="G215" s="326"/>
      <c r="H215" s="326"/>
      <c r="I215" s="326"/>
      <c r="J215" s="326"/>
      <c r="K215" s="326"/>
      <c r="L215" s="326"/>
      <c r="M215" s="326"/>
      <c r="N215" s="326"/>
      <c r="O215" s="326"/>
      <c r="P215" s="326"/>
      <c r="Q215" s="326"/>
      <c r="R215" s="326"/>
      <c r="S215" s="326"/>
      <c r="T215" s="326"/>
      <c r="U215" s="326"/>
      <c r="V215" s="326"/>
      <c r="W215" s="326"/>
      <c r="X215" s="326"/>
      <c r="Y215" s="326"/>
      <c r="Z215" s="326"/>
      <c r="AA215" s="326"/>
      <c r="AB215" s="326"/>
      <c r="AC215" s="326"/>
      <c r="AD215" s="326"/>
      <c r="AE215" s="338"/>
      <c r="AF215" s="53"/>
      <c r="AG215" s="53"/>
      <c r="AH215" s="325"/>
      <c r="AI215" s="326"/>
      <c r="AJ215" s="326"/>
      <c r="AK215" s="326"/>
      <c r="AL215" s="326"/>
      <c r="AM215" s="326"/>
      <c r="AN215" s="326"/>
      <c r="AO215" s="326"/>
      <c r="AP215" s="326"/>
      <c r="AQ215" s="326"/>
      <c r="AR215" s="326"/>
      <c r="AS215" s="326"/>
      <c r="AT215" s="326"/>
      <c r="AU215" s="326"/>
      <c r="AV215" s="326"/>
      <c r="AW215" s="326"/>
      <c r="AX215" s="326"/>
      <c r="AY215" s="326"/>
      <c r="AZ215" s="326"/>
      <c r="BA215" s="326"/>
      <c r="BB215" s="326"/>
      <c r="BC215" s="326"/>
      <c r="BD215" s="326"/>
      <c r="BE215" s="326"/>
      <c r="BF215" s="326"/>
      <c r="BG215" s="338"/>
      <c r="BH215" s="53"/>
      <c r="BI215" s="53"/>
      <c r="BJ215" s="53"/>
      <c r="BK215" s="53"/>
      <c r="BL215" s="10"/>
      <c r="BM215" s="10"/>
      <c r="BN215" s="10"/>
      <c r="BO215" s="10"/>
      <c r="BP215" s="10"/>
      <c r="BQ215" s="10"/>
      <c r="BR215" s="10"/>
      <c r="BS215" s="10"/>
      <c r="BT215" s="10"/>
      <c r="BU215" s="10"/>
      <c r="BV215" s="10"/>
      <c r="BW215" s="10"/>
      <c r="BX215" s="10"/>
      <c r="BY215" s="10"/>
      <c r="BZ215" s="10"/>
      <c r="CA215" s="10"/>
      <c r="CB215" s="10"/>
      <c r="CC215" s="10"/>
      <c r="CD215" s="10"/>
      <c r="CE215" s="10"/>
      <c r="CF215" s="10"/>
      <c r="CG215" s="10"/>
      <c r="CH215" s="51"/>
    </row>
    <row r="216" spans="1:86" s="2" customFormat="1" ht="15.75" customHeight="1">
      <c r="A216" s="9"/>
      <c r="B216" s="142"/>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c r="AB216" s="53"/>
      <c r="AC216" s="53"/>
      <c r="AD216" s="53"/>
      <c r="AE216" s="53"/>
      <c r="AF216" s="53"/>
      <c r="AG216" s="53"/>
      <c r="AH216" s="53"/>
      <c r="AI216" s="53"/>
      <c r="AJ216" s="53"/>
      <c r="AK216" s="53"/>
      <c r="AL216" s="53"/>
      <c r="AM216" s="53"/>
      <c r="AN216" s="53"/>
      <c r="AO216" s="53"/>
      <c r="AP216" s="53"/>
      <c r="AQ216" s="53"/>
      <c r="AR216" s="53"/>
      <c r="AS216" s="53"/>
      <c r="AT216" s="53"/>
      <c r="AU216" s="53"/>
      <c r="AV216" s="53"/>
      <c r="AW216" s="53"/>
      <c r="AX216" s="53"/>
      <c r="AY216" s="53"/>
      <c r="AZ216" s="53"/>
      <c r="BA216" s="53"/>
      <c r="BB216" s="53"/>
      <c r="BC216" s="53"/>
      <c r="BD216" s="53"/>
      <c r="BE216" s="53"/>
      <c r="BF216" s="53"/>
      <c r="BG216" s="53"/>
      <c r="BH216" s="53"/>
      <c r="BI216" s="53"/>
      <c r="BJ216" s="53"/>
      <c r="BK216" s="53"/>
      <c r="BL216" s="10"/>
      <c r="BM216" s="10"/>
      <c r="BN216" s="10"/>
      <c r="BO216" s="10"/>
      <c r="BP216" s="10"/>
      <c r="BQ216" s="10"/>
      <c r="BR216" s="10"/>
      <c r="BS216" s="10"/>
      <c r="BT216" s="10"/>
      <c r="BU216" s="10"/>
      <c r="BV216" s="10"/>
      <c r="BW216" s="10"/>
      <c r="BX216" s="10"/>
      <c r="BY216" s="10"/>
      <c r="BZ216" s="10"/>
      <c r="CA216" s="10"/>
      <c r="CB216" s="10"/>
      <c r="CC216" s="10"/>
      <c r="CD216" s="10"/>
      <c r="CE216" s="10"/>
      <c r="CF216" s="10"/>
      <c r="CG216" s="10"/>
      <c r="CH216" s="51"/>
    </row>
    <row r="217" spans="1:86" s="2" customFormat="1" ht="15.75" customHeight="1">
      <c r="A217" s="9"/>
      <c r="B217" s="142"/>
      <c r="D217" s="53"/>
      <c r="E217" s="53"/>
      <c r="F217" s="926" t="s">
        <v>345</v>
      </c>
      <c r="G217" s="926"/>
      <c r="H217" s="926"/>
      <c r="I217" s="926"/>
      <c r="J217" s="926"/>
      <c r="K217" s="926"/>
      <c r="L217" s="926" t="s">
        <v>352</v>
      </c>
      <c r="M217" s="926"/>
      <c r="N217" s="926"/>
      <c r="O217" s="926"/>
      <c r="P217" s="926"/>
      <c r="Q217" s="926"/>
      <c r="R217" s="53"/>
      <c r="S217" s="53" t="s">
        <v>353</v>
      </c>
      <c r="T217" s="53"/>
      <c r="U217" s="53"/>
      <c r="V217" s="53"/>
      <c r="W217" s="53"/>
      <c r="X217" s="53"/>
      <c r="Y217" s="53"/>
      <c r="Z217" s="53"/>
      <c r="AA217" s="53"/>
      <c r="AB217" s="53"/>
      <c r="AC217" s="53"/>
      <c r="AD217" s="53"/>
      <c r="AE217" s="53"/>
      <c r="AF217" s="53"/>
      <c r="AG217" s="53"/>
      <c r="AH217" s="926" t="s">
        <v>345</v>
      </c>
      <c r="AI217" s="926"/>
      <c r="AJ217" s="926"/>
      <c r="AK217" s="926"/>
      <c r="AL217" s="926"/>
      <c r="AM217" s="926"/>
      <c r="AN217" s="926" t="s">
        <v>348</v>
      </c>
      <c r="AO217" s="926"/>
      <c r="AP217" s="926"/>
      <c r="AQ217" s="926"/>
      <c r="AR217" s="926"/>
      <c r="AS217" s="926"/>
      <c r="AT217" s="53"/>
      <c r="AU217" s="53" t="s">
        <v>349</v>
      </c>
      <c r="AV217" s="53"/>
      <c r="AW217" s="53"/>
      <c r="AX217" s="53"/>
      <c r="AY217" s="53"/>
      <c r="AZ217" s="53"/>
      <c r="BA217" s="53"/>
      <c r="BB217" s="53"/>
      <c r="BC217" s="53"/>
      <c r="BD217" s="53"/>
      <c r="BE217" s="53"/>
      <c r="BF217" s="53"/>
      <c r="BG217" s="53"/>
      <c r="BH217" s="53"/>
      <c r="BI217" s="53"/>
      <c r="BJ217" s="53"/>
      <c r="BK217" s="53"/>
      <c r="BL217" s="10"/>
      <c r="BM217" s="10"/>
      <c r="BN217" s="10"/>
      <c r="BO217" s="10"/>
      <c r="BP217" s="10"/>
      <c r="BQ217" s="10"/>
      <c r="BR217" s="10"/>
      <c r="BS217" s="10"/>
      <c r="BT217" s="10"/>
      <c r="BU217" s="10"/>
      <c r="BV217" s="10"/>
      <c r="BW217" s="10"/>
      <c r="BX217" s="10"/>
      <c r="BY217" s="10"/>
      <c r="BZ217" s="10"/>
      <c r="CA217" s="10"/>
      <c r="CB217" s="10"/>
      <c r="CC217" s="10"/>
      <c r="CD217" s="10"/>
      <c r="CE217" s="10"/>
      <c r="CF217" s="10"/>
      <c r="CG217" s="10"/>
      <c r="CH217" s="51"/>
    </row>
    <row r="218" spans="1:86" s="2" customFormat="1" ht="15.75" customHeight="1">
      <c r="A218" s="9"/>
      <c r="B218" s="142"/>
      <c r="D218" s="53"/>
      <c r="E218" s="53"/>
      <c r="F218" s="317"/>
      <c r="G218" s="317"/>
      <c r="H218" s="317"/>
      <c r="I218" s="317"/>
      <c r="J218" s="317"/>
      <c r="K218" s="317"/>
      <c r="L218" s="317"/>
      <c r="M218" s="317"/>
      <c r="N218" s="317"/>
      <c r="O218" s="317"/>
      <c r="P218" s="317"/>
      <c r="Q218" s="317"/>
      <c r="R218" s="53"/>
      <c r="S218" s="53"/>
      <c r="T218" s="53"/>
      <c r="U218" s="53"/>
      <c r="V218" s="53"/>
      <c r="W218" s="53"/>
      <c r="X218" s="53"/>
      <c r="Y218" s="53"/>
      <c r="Z218" s="53"/>
      <c r="AA218" s="53"/>
      <c r="AB218" s="53"/>
      <c r="AC218" s="53"/>
      <c r="AD218" s="53"/>
      <c r="AE218" s="53"/>
      <c r="AF218" s="53"/>
      <c r="AG218" s="53"/>
      <c r="AH218" s="317"/>
      <c r="AI218" s="317"/>
      <c r="AJ218" s="317"/>
      <c r="AK218" s="317"/>
      <c r="AL218" s="317"/>
      <c r="AM218" s="317"/>
      <c r="AN218" s="317"/>
      <c r="AO218" s="317"/>
      <c r="AP218" s="317"/>
      <c r="AQ218" s="317"/>
      <c r="AR218" s="317"/>
      <c r="AS218" s="317"/>
      <c r="AT218" s="53"/>
      <c r="AU218" s="53"/>
      <c r="AV218" s="53"/>
      <c r="AW218" s="53"/>
      <c r="AX218" s="53"/>
      <c r="AY218" s="53"/>
      <c r="AZ218" s="53"/>
      <c r="BA218" s="53"/>
      <c r="BB218" s="53"/>
      <c r="BC218" s="53"/>
      <c r="BD218" s="53"/>
      <c r="BE218" s="53"/>
      <c r="BF218" s="53"/>
      <c r="BG218" s="53"/>
      <c r="BH218" s="53"/>
      <c r="BI218" s="53"/>
      <c r="BJ218" s="53"/>
      <c r="BK218" s="53"/>
      <c r="BL218" s="10"/>
      <c r="BM218" s="10"/>
      <c r="BN218" s="10"/>
      <c r="BO218" s="10"/>
      <c r="BP218" s="10"/>
      <c r="BQ218" s="10"/>
      <c r="BR218" s="10"/>
      <c r="BS218" s="10"/>
      <c r="BT218" s="10"/>
      <c r="BU218" s="10"/>
      <c r="BV218" s="10"/>
      <c r="BW218" s="10"/>
      <c r="BX218" s="10"/>
      <c r="BY218" s="10"/>
      <c r="BZ218" s="10"/>
      <c r="CA218" s="10"/>
      <c r="CB218" s="10"/>
      <c r="CC218" s="10"/>
      <c r="CD218" s="10"/>
      <c r="CE218" s="10"/>
      <c r="CF218" s="10"/>
      <c r="CG218" s="10"/>
      <c r="CH218" s="51"/>
    </row>
    <row r="219" spans="1:86" s="2" customFormat="1" ht="15.75" customHeight="1">
      <c r="A219" s="9"/>
      <c r="B219" s="142"/>
      <c r="D219" s="53"/>
      <c r="E219" s="53" t="s">
        <v>128</v>
      </c>
      <c r="F219" s="327" t="s">
        <v>354</v>
      </c>
      <c r="G219" s="317"/>
      <c r="H219" s="317"/>
      <c r="I219" s="317"/>
      <c r="J219" s="317"/>
      <c r="K219" s="317"/>
      <c r="L219" s="317"/>
      <c r="M219" s="317"/>
      <c r="N219" s="317"/>
      <c r="O219" s="317"/>
      <c r="P219" s="317"/>
      <c r="Q219" s="317"/>
      <c r="R219" s="53"/>
      <c r="S219" s="53"/>
      <c r="T219" s="53"/>
      <c r="U219" s="53"/>
      <c r="V219" s="53"/>
      <c r="W219" s="53"/>
      <c r="X219" s="53"/>
      <c r="Y219" s="53"/>
      <c r="Z219" s="53"/>
      <c r="AA219" s="53"/>
      <c r="AB219" s="53"/>
      <c r="AC219" s="53"/>
      <c r="AD219" s="53"/>
      <c r="AE219" s="53"/>
      <c r="AF219" s="53"/>
      <c r="AG219" s="53"/>
      <c r="AH219" s="317"/>
      <c r="AI219" s="317"/>
      <c r="AJ219" s="317"/>
      <c r="AK219" s="317"/>
      <c r="AL219" s="317"/>
      <c r="AM219" s="317"/>
      <c r="AN219" s="317"/>
      <c r="AO219" s="317"/>
      <c r="AP219" s="317"/>
      <c r="AQ219" s="317"/>
      <c r="AR219" s="317"/>
      <c r="AS219" s="317"/>
      <c r="AT219" s="53"/>
      <c r="AU219" s="53"/>
      <c r="AV219" s="53"/>
      <c r="AW219" s="53"/>
      <c r="AX219" s="53"/>
      <c r="AY219" s="53"/>
      <c r="AZ219" s="53"/>
      <c r="BA219" s="53"/>
      <c r="BB219" s="53"/>
      <c r="BC219" s="53"/>
      <c r="BD219" s="53"/>
      <c r="BE219" s="53"/>
      <c r="BF219" s="53"/>
      <c r="BG219" s="53"/>
      <c r="BH219" s="53"/>
      <c r="BI219" s="53"/>
      <c r="BJ219" s="53"/>
      <c r="BK219" s="53"/>
      <c r="BL219" s="10"/>
      <c r="BM219" s="10"/>
      <c r="BN219" s="10"/>
      <c r="BO219" s="10"/>
      <c r="BP219" s="10"/>
      <c r="BQ219" s="10"/>
      <c r="BR219" s="10"/>
      <c r="BS219" s="10"/>
      <c r="BT219" s="10"/>
      <c r="BU219" s="10"/>
      <c r="BV219" s="10"/>
      <c r="BW219" s="10"/>
      <c r="BX219" s="10"/>
      <c r="BY219" s="10"/>
      <c r="BZ219" s="10"/>
      <c r="CA219" s="10"/>
      <c r="CB219" s="10"/>
      <c r="CC219" s="10"/>
      <c r="CD219" s="10"/>
      <c r="CE219" s="10"/>
      <c r="CF219" s="10"/>
      <c r="CG219" s="10"/>
      <c r="CH219" s="51"/>
    </row>
    <row r="220" spans="1:86" s="2" customFormat="1" ht="15.75" customHeight="1">
      <c r="A220" s="9"/>
      <c r="B220" s="142"/>
      <c r="D220" s="53"/>
      <c r="E220" s="53"/>
      <c r="F220" s="327" t="s">
        <v>355</v>
      </c>
      <c r="G220" s="317"/>
      <c r="H220" s="317"/>
      <c r="I220" s="317"/>
      <c r="J220" s="317"/>
      <c r="K220" s="317"/>
      <c r="L220" s="317"/>
      <c r="M220" s="317"/>
      <c r="N220" s="317"/>
      <c r="O220" s="317"/>
      <c r="P220" s="317"/>
      <c r="Q220" s="317"/>
      <c r="R220" s="53"/>
      <c r="S220" s="53"/>
      <c r="T220" s="53"/>
      <c r="U220" s="53"/>
      <c r="V220" s="53"/>
      <c r="W220" s="53"/>
      <c r="X220" s="53"/>
      <c r="Y220" s="53"/>
      <c r="Z220" s="53"/>
      <c r="AA220" s="53"/>
      <c r="AB220" s="53"/>
      <c r="AC220" s="53"/>
      <c r="AD220" s="53"/>
      <c r="AE220" s="53"/>
      <c r="AF220" s="53"/>
      <c r="AG220" s="53"/>
      <c r="AH220" s="317"/>
      <c r="AI220" s="317"/>
      <c r="AJ220" s="317"/>
      <c r="AK220" s="317"/>
      <c r="AL220" s="317"/>
      <c r="AM220" s="317"/>
      <c r="AN220" s="317"/>
      <c r="AO220" s="317"/>
      <c r="AP220" s="317"/>
      <c r="AQ220" s="317"/>
      <c r="AR220" s="317"/>
      <c r="AS220" s="317"/>
      <c r="AT220" s="53"/>
      <c r="AU220" s="53"/>
      <c r="AV220" s="53"/>
      <c r="AW220" s="53"/>
      <c r="AX220" s="53"/>
      <c r="AY220" s="53"/>
      <c r="AZ220" s="53"/>
      <c r="BA220" s="53"/>
      <c r="BB220" s="53"/>
      <c r="BC220" s="53"/>
      <c r="BD220" s="53"/>
      <c r="BE220" s="53"/>
      <c r="BF220" s="53"/>
      <c r="BG220" s="53"/>
      <c r="BH220" s="53"/>
      <c r="BI220" s="53"/>
      <c r="BJ220" s="53"/>
      <c r="BK220" s="53"/>
      <c r="BL220" s="10"/>
      <c r="BM220" s="10"/>
      <c r="BN220" s="10"/>
      <c r="BO220" s="10"/>
      <c r="BP220" s="10"/>
      <c r="BQ220" s="10"/>
      <c r="BR220" s="10"/>
      <c r="BS220" s="10"/>
      <c r="BT220" s="10"/>
      <c r="BU220" s="10"/>
      <c r="BV220" s="10"/>
      <c r="BW220" s="10"/>
      <c r="BX220" s="10"/>
      <c r="BY220" s="10"/>
      <c r="BZ220" s="10"/>
      <c r="CA220" s="10"/>
      <c r="CB220" s="10"/>
      <c r="CC220" s="10"/>
      <c r="CD220" s="10"/>
      <c r="CE220" s="10"/>
      <c r="CF220" s="10"/>
      <c r="CG220" s="10"/>
      <c r="CH220" s="51"/>
    </row>
    <row r="221" spans="1:86" s="2" customFormat="1" ht="15.75" customHeight="1">
      <c r="A221" s="9"/>
      <c r="B221" s="142"/>
      <c r="D221" s="53"/>
      <c r="E221" s="53"/>
      <c r="F221" s="327" t="s">
        <v>356</v>
      </c>
      <c r="G221" s="317"/>
      <c r="H221" s="317"/>
      <c r="I221" s="317"/>
      <c r="J221" s="317"/>
      <c r="K221" s="317"/>
      <c r="L221" s="317"/>
      <c r="M221" s="317"/>
      <c r="N221" s="317"/>
      <c r="O221" s="317"/>
      <c r="P221" s="317"/>
      <c r="Q221" s="317"/>
      <c r="R221" s="53"/>
      <c r="S221" s="53"/>
      <c r="T221" s="53"/>
      <c r="U221" s="53"/>
      <c r="V221" s="53"/>
      <c r="W221" s="53"/>
      <c r="X221" s="53"/>
      <c r="Y221" s="53"/>
      <c r="Z221" s="53"/>
      <c r="AA221" s="53"/>
      <c r="AB221" s="53"/>
      <c r="AC221" s="53"/>
      <c r="AD221" s="53"/>
      <c r="AE221" s="53"/>
      <c r="AF221" s="53"/>
      <c r="AG221" s="53"/>
      <c r="AH221" s="317"/>
      <c r="AI221" s="317"/>
      <c r="AJ221" s="317"/>
      <c r="AK221" s="317"/>
      <c r="AL221" s="317"/>
      <c r="AM221" s="317"/>
      <c r="AN221" s="317"/>
      <c r="AO221" s="317"/>
      <c r="AP221" s="317"/>
      <c r="AQ221" s="317"/>
      <c r="AR221" s="317"/>
      <c r="AS221" s="317"/>
      <c r="AT221" s="53"/>
      <c r="AU221" s="53"/>
      <c r="AV221" s="53"/>
      <c r="AW221" s="53"/>
      <c r="AX221" s="53"/>
      <c r="AY221" s="53"/>
      <c r="AZ221" s="53"/>
      <c r="BA221" s="53"/>
      <c r="BB221" s="53"/>
      <c r="BC221" s="53"/>
      <c r="BD221" s="53"/>
      <c r="BE221" s="53"/>
      <c r="BF221" s="53"/>
      <c r="BG221" s="53"/>
      <c r="BH221" s="53"/>
      <c r="BI221" s="53"/>
      <c r="BJ221" s="53"/>
      <c r="BK221" s="53"/>
      <c r="BL221" s="10"/>
      <c r="BM221" s="10"/>
      <c r="BN221" s="10"/>
      <c r="BO221" s="10"/>
      <c r="BP221" s="10"/>
      <c r="BQ221" s="10"/>
      <c r="BR221" s="10"/>
      <c r="BS221" s="10"/>
      <c r="BT221" s="10"/>
      <c r="BU221" s="10"/>
      <c r="BV221" s="10"/>
      <c r="BW221" s="10"/>
      <c r="BX221" s="10"/>
      <c r="BY221" s="10"/>
      <c r="BZ221" s="10"/>
      <c r="CA221" s="10"/>
      <c r="CB221" s="10"/>
      <c r="CC221" s="10"/>
      <c r="CD221" s="10"/>
      <c r="CE221" s="10"/>
      <c r="CF221" s="10"/>
      <c r="CG221" s="10"/>
      <c r="CH221" s="51"/>
    </row>
    <row r="222" spans="1:86" s="2" customFormat="1" ht="15.75" customHeight="1">
      <c r="A222" s="9"/>
      <c r="B222" s="142"/>
      <c r="D222" s="53"/>
      <c r="E222" s="53"/>
      <c r="G222" s="327" t="s">
        <v>357</v>
      </c>
      <c r="H222" s="317"/>
      <c r="I222" s="317"/>
      <c r="J222" s="317"/>
      <c r="K222" s="317"/>
      <c r="L222" s="317"/>
      <c r="M222" s="317"/>
      <c r="N222" s="317"/>
      <c r="O222" s="317"/>
      <c r="P222" s="317"/>
      <c r="Q222" s="317"/>
      <c r="R222" s="53"/>
      <c r="S222" s="53"/>
      <c r="T222" s="53"/>
      <c r="U222" s="53"/>
      <c r="V222" s="53"/>
      <c r="W222" s="53"/>
      <c r="X222" s="53"/>
      <c r="Y222" s="53"/>
      <c r="Z222" s="53"/>
      <c r="AA222" s="53"/>
      <c r="AB222" s="53"/>
      <c r="AC222" s="53"/>
      <c r="AD222" s="53"/>
      <c r="AE222" s="53"/>
      <c r="AF222" s="53"/>
      <c r="AG222" s="53"/>
      <c r="AH222" s="317"/>
      <c r="AI222" s="317"/>
      <c r="AJ222" s="317"/>
      <c r="AK222" s="317"/>
      <c r="AL222" s="317"/>
      <c r="AM222" s="317"/>
      <c r="AN222" s="317"/>
      <c r="AO222" s="317"/>
      <c r="AP222" s="317"/>
      <c r="AQ222" s="317"/>
      <c r="AR222" s="317"/>
      <c r="AS222" s="317"/>
      <c r="AT222" s="53"/>
      <c r="AU222" s="53"/>
      <c r="AV222" s="53"/>
      <c r="AW222" s="53"/>
      <c r="AX222" s="53"/>
      <c r="AY222" s="53"/>
      <c r="AZ222" s="53"/>
      <c r="BA222" s="53"/>
      <c r="BB222" s="53"/>
      <c r="BC222" s="53"/>
      <c r="BD222" s="53"/>
      <c r="BE222" s="53"/>
      <c r="BF222" s="53"/>
      <c r="BG222" s="53"/>
      <c r="BH222" s="53"/>
      <c r="BI222" s="53"/>
      <c r="BJ222" s="53"/>
      <c r="BK222" s="53"/>
      <c r="BL222" s="10"/>
      <c r="BM222" s="10"/>
      <c r="BN222" s="10"/>
      <c r="BO222" s="10"/>
      <c r="BP222" s="10"/>
      <c r="BQ222" s="10"/>
      <c r="BR222" s="10"/>
      <c r="BS222" s="10"/>
      <c r="BT222" s="10"/>
      <c r="BU222" s="10"/>
      <c r="BV222" s="10"/>
      <c r="BW222" s="10"/>
      <c r="BX222" s="10"/>
      <c r="BY222" s="10"/>
      <c r="BZ222" s="10"/>
      <c r="CA222" s="10"/>
      <c r="CB222" s="10"/>
      <c r="CC222" s="10"/>
      <c r="CD222" s="10"/>
      <c r="CE222" s="10"/>
      <c r="CF222" s="10"/>
      <c r="CG222" s="10"/>
      <c r="CH222" s="51"/>
    </row>
    <row r="223" spans="1:86" s="2" customFormat="1" ht="15.75" customHeight="1">
      <c r="A223" s="9"/>
      <c r="B223" s="142"/>
      <c r="D223" s="53"/>
      <c r="E223" s="53"/>
      <c r="G223" s="327" t="s">
        <v>358</v>
      </c>
      <c r="H223" s="317"/>
      <c r="I223" s="317"/>
      <c r="J223" s="317"/>
      <c r="K223" s="317"/>
      <c r="L223" s="317"/>
      <c r="M223" s="317"/>
      <c r="N223" s="317"/>
      <c r="O223" s="317"/>
      <c r="P223" s="317"/>
      <c r="Q223" s="317"/>
      <c r="R223" s="53"/>
      <c r="S223" s="53"/>
      <c r="T223" s="53"/>
      <c r="U223" s="53"/>
      <c r="V223" s="53"/>
      <c r="W223" s="53"/>
      <c r="X223" s="53"/>
      <c r="Y223" s="53"/>
      <c r="Z223" s="53"/>
      <c r="AA223" s="53"/>
      <c r="AB223" s="53"/>
      <c r="AC223" s="53"/>
      <c r="AD223" s="53"/>
      <c r="AE223" s="53"/>
      <c r="AF223" s="53"/>
      <c r="AG223" s="53"/>
      <c r="AH223" s="317"/>
      <c r="AI223" s="317"/>
      <c r="AJ223" s="317"/>
      <c r="AK223" s="317"/>
      <c r="AL223" s="317"/>
      <c r="AM223" s="317"/>
      <c r="AN223" s="317"/>
      <c r="AO223" s="317"/>
      <c r="AP223" s="317"/>
      <c r="AQ223" s="317"/>
      <c r="AR223" s="317"/>
      <c r="AS223" s="317"/>
      <c r="AT223" s="53"/>
      <c r="AU223" s="53"/>
      <c r="AV223" s="53"/>
      <c r="AW223" s="53"/>
      <c r="AX223" s="53"/>
      <c r="AY223" s="53"/>
      <c r="AZ223" s="53"/>
      <c r="BA223" s="53"/>
      <c r="BB223" s="53"/>
      <c r="BC223" s="53"/>
      <c r="BD223" s="53"/>
      <c r="BE223" s="53"/>
      <c r="BF223" s="53"/>
      <c r="BG223" s="53"/>
      <c r="BH223" s="53"/>
      <c r="BI223" s="53"/>
      <c r="BJ223" s="53"/>
      <c r="BK223" s="53"/>
      <c r="BL223" s="10"/>
      <c r="BM223" s="10"/>
      <c r="BN223" s="10"/>
      <c r="BO223" s="10"/>
      <c r="BP223" s="10"/>
      <c r="BQ223" s="10"/>
      <c r="BR223" s="10"/>
      <c r="BS223" s="10"/>
      <c r="BT223" s="10"/>
      <c r="BU223" s="10"/>
      <c r="BV223" s="10"/>
      <c r="BW223" s="10"/>
      <c r="BX223" s="10"/>
      <c r="BY223" s="10"/>
      <c r="BZ223" s="10"/>
      <c r="CA223" s="10"/>
      <c r="CB223" s="10"/>
      <c r="CC223" s="10"/>
      <c r="CD223" s="10"/>
      <c r="CE223" s="10"/>
      <c r="CF223" s="10"/>
      <c r="CG223" s="10"/>
      <c r="CH223" s="51"/>
    </row>
    <row r="224" spans="1:86" s="2" customFormat="1" ht="15.75" customHeight="1">
      <c r="A224" s="9"/>
      <c r="B224" s="142"/>
      <c r="D224" s="53"/>
      <c r="E224" s="53"/>
      <c r="F224" s="327" t="s">
        <v>359</v>
      </c>
      <c r="G224" s="317"/>
      <c r="H224" s="317"/>
      <c r="I224" s="317"/>
      <c r="J224" s="317"/>
      <c r="K224" s="317"/>
      <c r="L224" s="317"/>
      <c r="M224" s="317"/>
      <c r="N224" s="317"/>
      <c r="O224" s="317"/>
      <c r="P224" s="317"/>
      <c r="Q224" s="317"/>
      <c r="R224" s="53"/>
      <c r="S224" s="53"/>
      <c r="T224" s="53"/>
      <c r="U224" s="53"/>
      <c r="V224" s="53"/>
      <c r="W224" s="53"/>
      <c r="X224" s="53"/>
      <c r="Y224" s="53"/>
      <c r="Z224" s="53"/>
      <c r="AA224" s="53"/>
      <c r="AB224" s="53"/>
      <c r="AC224" s="53"/>
      <c r="AD224" s="53"/>
      <c r="AE224" s="53"/>
      <c r="AF224" s="53"/>
      <c r="AG224" s="53"/>
      <c r="AH224" s="317"/>
      <c r="AI224" s="317"/>
      <c r="AJ224" s="317"/>
      <c r="AK224" s="317"/>
      <c r="AL224" s="317"/>
      <c r="AM224" s="317"/>
      <c r="AN224" s="317"/>
      <c r="AO224" s="317"/>
      <c r="AP224" s="317"/>
      <c r="AQ224" s="317"/>
      <c r="AR224" s="317"/>
      <c r="AS224" s="317"/>
      <c r="AT224" s="53"/>
      <c r="AU224" s="53"/>
      <c r="AV224" s="53"/>
      <c r="AW224" s="53"/>
      <c r="AX224" s="53"/>
      <c r="AY224" s="53"/>
      <c r="AZ224" s="53"/>
      <c r="BA224" s="53"/>
      <c r="BB224" s="53"/>
      <c r="BC224" s="53"/>
      <c r="BD224" s="53"/>
      <c r="BE224" s="53"/>
      <c r="BF224" s="53"/>
      <c r="BG224" s="53"/>
      <c r="BH224" s="53"/>
      <c r="BI224" s="53"/>
      <c r="BJ224" s="53"/>
      <c r="BK224" s="53"/>
      <c r="BL224" s="10"/>
      <c r="BM224" s="10"/>
      <c r="BN224" s="10"/>
      <c r="BO224" s="10"/>
      <c r="BP224" s="10"/>
      <c r="BQ224" s="10"/>
      <c r="BR224" s="10"/>
      <c r="BS224" s="10"/>
      <c r="BT224" s="10"/>
      <c r="BU224" s="10"/>
      <c r="BV224" s="10"/>
      <c r="BW224" s="10"/>
      <c r="BX224" s="10"/>
      <c r="BY224" s="10"/>
      <c r="BZ224" s="10"/>
      <c r="CA224" s="10"/>
      <c r="CB224" s="10"/>
      <c r="CC224" s="10"/>
      <c r="CD224" s="10"/>
      <c r="CE224" s="10"/>
      <c r="CF224" s="10"/>
      <c r="CG224" s="10"/>
      <c r="CH224" s="51"/>
    </row>
    <row r="225" spans="1:86" s="2" customFormat="1" ht="15.75" customHeight="1">
      <c r="A225" s="9"/>
      <c r="B225" s="142"/>
      <c r="D225" s="53"/>
      <c r="E225" s="53"/>
      <c r="F225" s="327" t="s">
        <v>360</v>
      </c>
      <c r="G225" s="317"/>
      <c r="H225" s="317"/>
      <c r="I225" s="317"/>
      <c r="J225" s="317"/>
      <c r="K225" s="317"/>
      <c r="L225" s="317"/>
      <c r="M225" s="317"/>
      <c r="N225" s="317"/>
      <c r="O225" s="317"/>
      <c r="P225" s="317"/>
      <c r="Q225" s="317"/>
      <c r="R225" s="53"/>
      <c r="S225" s="53"/>
      <c r="T225" s="53"/>
      <c r="U225" s="53"/>
      <c r="V225" s="53"/>
      <c r="W225" s="53"/>
      <c r="X225" s="53"/>
      <c r="Y225" s="53"/>
      <c r="Z225" s="53"/>
      <c r="AA225" s="53"/>
      <c r="AB225" s="53"/>
      <c r="AC225" s="53"/>
      <c r="AD225" s="53"/>
      <c r="AE225" s="53"/>
      <c r="AF225" s="53"/>
      <c r="AG225" s="53"/>
      <c r="AH225" s="317"/>
      <c r="AI225" s="317"/>
      <c r="AJ225" s="317"/>
      <c r="AK225" s="317"/>
      <c r="AL225" s="317"/>
      <c r="AM225" s="317"/>
      <c r="AN225" s="317"/>
      <c r="AO225" s="317"/>
      <c r="AP225" s="317"/>
      <c r="AQ225" s="317"/>
      <c r="AR225" s="317"/>
      <c r="AS225" s="317"/>
      <c r="AT225" s="53"/>
      <c r="AU225" s="53"/>
      <c r="AV225" s="53"/>
      <c r="AW225" s="53"/>
      <c r="AX225" s="53"/>
      <c r="AY225" s="53"/>
      <c r="AZ225" s="53"/>
      <c r="BA225" s="53"/>
      <c r="BB225" s="53"/>
      <c r="BC225" s="53"/>
      <c r="BD225" s="53"/>
      <c r="BE225" s="53"/>
      <c r="BF225" s="53"/>
      <c r="BG225" s="53"/>
      <c r="BH225" s="53"/>
      <c r="BI225" s="53"/>
      <c r="BJ225" s="53"/>
      <c r="BK225" s="53"/>
      <c r="BL225" s="10"/>
      <c r="BM225" s="10"/>
      <c r="BN225" s="10"/>
      <c r="BO225" s="10"/>
      <c r="BP225" s="10"/>
      <c r="BQ225" s="10"/>
      <c r="BR225" s="10"/>
      <c r="BS225" s="10"/>
      <c r="BT225" s="10"/>
      <c r="BU225" s="10"/>
      <c r="BV225" s="10"/>
      <c r="BW225" s="10"/>
      <c r="BX225" s="10"/>
      <c r="BY225" s="10"/>
      <c r="BZ225" s="10"/>
      <c r="CA225" s="10"/>
      <c r="CB225" s="10"/>
      <c r="CC225" s="10"/>
      <c r="CD225" s="10"/>
      <c r="CE225" s="10"/>
      <c r="CF225" s="10"/>
      <c r="CG225" s="10"/>
      <c r="CH225" s="51"/>
    </row>
    <row r="226" spans="1:86" s="2" customFormat="1" ht="15.75" customHeight="1">
      <c r="A226" s="9"/>
      <c r="B226" s="142"/>
      <c r="D226" s="53"/>
      <c r="E226" s="53"/>
      <c r="F226" s="317"/>
      <c r="G226" s="317"/>
      <c r="H226" s="317"/>
      <c r="I226" s="317"/>
      <c r="J226" s="317"/>
      <c r="K226" s="317"/>
      <c r="L226" s="317"/>
      <c r="M226" s="317"/>
      <c r="N226" s="317"/>
      <c r="O226" s="317"/>
      <c r="P226" s="317"/>
      <c r="Q226" s="317"/>
      <c r="R226" s="53"/>
      <c r="S226" s="53"/>
      <c r="T226" s="53"/>
      <c r="U226" s="53"/>
      <c r="V226" s="53"/>
      <c r="W226" s="53"/>
      <c r="X226" s="53"/>
      <c r="Y226" s="53"/>
      <c r="Z226" s="53"/>
      <c r="AA226" s="53"/>
      <c r="AB226" s="53"/>
      <c r="AC226" s="53"/>
      <c r="AD226" s="53"/>
      <c r="AE226" s="53"/>
      <c r="AF226" s="53"/>
      <c r="AG226" s="53"/>
      <c r="AH226" s="317"/>
      <c r="AI226" s="317"/>
      <c r="AJ226" s="317"/>
      <c r="AK226" s="317"/>
      <c r="AL226" s="317"/>
      <c r="AM226" s="317"/>
      <c r="AN226" s="317"/>
      <c r="AO226" s="317"/>
      <c r="AP226" s="317"/>
      <c r="AQ226" s="317"/>
      <c r="AR226" s="317"/>
      <c r="AS226" s="317"/>
      <c r="AT226" s="53"/>
      <c r="AU226" s="53"/>
      <c r="AV226" s="53"/>
      <c r="AW226" s="53"/>
      <c r="AX226" s="53"/>
      <c r="AY226" s="53"/>
      <c r="AZ226" s="53"/>
      <c r="BA226" s="53"/>
      <c r="BB226" s="53"/>
      <c r="BC226" s="53"/>
      <c r="BD226" s="53"/>
      <c r="BE226" s="53"/>
      <c r="BF226" s="53"/>
      <c r="BG226" s="53"/>
      <c r="BH226" s="53"/>
      <c r="BI226" s="53"/>
      <c r="BJ226" s="53"/>
      <c r="BK226" s="53"/>
      <c r="BL226" s="10"/>
      <c r="BM226" s="10"/>
      <c r="BN226" s="10"/>
      <c r="BO226" s="10"/>
      <c r="BP226" s="10"/>
      <c r="BQ226" s="10"/>
      <c r="BR226" s="10"/>
      <c r="BS226" s="10"/>
      <c r="BT226" s="10"/>
      <c r="BU226" s="10"/>
      <c r="BV226" s="10"/>
      <c r="BW226" s="10"/>
      <c r="BX226" s="10"/>
      <c r="BY226" s="10"/>
      <c r="BZ226" s="10"/>
      <c r="CA226" s="10"/>
      <c r="CB226" s="10"/>
      <c r="CC226" s="10"/>
      <c r="CD226" s="10"/>
      <c r="CE226" s="10"/>
      <c r="CF226" s="10"/>
      <c r="CG226" s="10"/>
      <c r="CH226" s="51"/>
    </row>
    <row r="227" spans="1:86" s="2" customFormat="1" ht="15.75" customHeight="1">
      <c r="A227" s="9"/>
      <c r="B227" s="142"/>
      <c r="D227" s="53"/>
      <c r="E227" s="53"/>
      <c r="F227" s="317"/>
      <c r="G227" s="317"/>
      <c r="H227" s="317"/>
      <c r="I227" s="317"/>
      <c r="J227" s="317"/>
      <c r="K227" s="317"/>
      <c r="L227" s="317"/>
      <c r="M227" s="317"/>
      <c r="N227" s="317"/>
      <c r="O227" s="317"/>
      <c r="P227" s="317"/>
      <c r="Q227" s="317"/>
      <c r="R227" s="53"/>
      <c r="S227" s="53"/>
      <c r="T227" s="53"/>
      <c r="U227" s="53"/>
      <c r="V227" s="53"/>
      <c r="W227" s="53"/>
      <c r="X227" s="53"/>
      <c r="Y227" s="53"/>
      <c r="Z227" s="53"/>
      <c r="AA227" s="53"/>
      <c r="AB227" s="53"/>
      <c r="AC227" s="53"/>
      <c r="AD227" s="53"/>
      <c r="AE227" s="53"/>
      <c r="AF227" s="53"/>
      <c r="AG227" s="53"/>
      <c r="AH227" s="317"/>
      <c r="AI227" s="317"/>
      <c r="AJ227" s="317"/>
      <c r="AK227" s="317"/>
      <c r="AL227" s="317"/>
      <c r="AM227" s="317"/>
      <c r="AN227" s="317"/>
      <c r="AO227" s="317"/>
      <c r="AP227" s="317"/>
      <c r="AQ227" s="317"/>
      <c r="AR227" s="317"/>
      <c r="AS227" s="317"/>
      <c r="AT227" s="53"/>
      <c r="AU227" s="53"/>
      <c r="AV227" s="53"/>
      <c r="AW227" s="53"/>
      <c r="AX227" s="53"/>
      <c r="AY227" s="53"/>
      <c r="AZ227" s="53"/>
      <c r="BA227" s="53"/>
      <c r="BB227" s="53"/>
      <c r="BC227" s="53"/>
      <c r="BD227" s="53"/>
      <c r="BE227" s="53"/>
      <c r="BF227" s="53"/>
      <c r="BG227" s="53"/>
      <c r="BH227" s="53"/>
      <c r="BI227" s="53"/>
      <c r="BJ227" s="53"/>
      <c r="BK227" s="53"/>
      <c r="BL227" s="10"/>
      <c r="BM227" s="10"/>
      <c r="BN227" s="10"/>
      <c r="BO227" s="10"/>
      <c r="BP227" s="10"/>
      <c r="BQ227" s="10"/>
      <c r="BR227" s="10"/>
      <c r="BS227" s="10"/>
      <c r="BT227" s="10"/>
      <c r="BU227" s="10"/>
      <c r="BV227" s="10"/>
      <c r="BW227" s="10"/>
      <c r="BX227" s="10"/>
      <c r="BY227" s="10"/>
      <c r="BZ227" s="10"/>
      <c r="CA227" s="10"/>
      <c r="CB227" s="10"/>
      <c r="CC227" s="10"/>
      <c r="CD227" s="10"/>
      <c r="CE227" s="10"/>
      <c r="CF227" s="10"/>
      <c r="CG227" s="10"/>
      <c r="CH227" s="51"/>
    </row>
    <row r="228" spans="1:86" s="2" customFormat="1" ht="15.75" customHeight="1">
      <c r="A228" s="9"/>
      <c r="B228" s="142"/>
      <c r="D228" s="53"/>
      <c r="E228" s="53"/>
      <c r="F228" s="317"/>
      <c r="G228" s="317"/>
      <c r="H228" s="317"/>
      <c r="I228" s="317"/>
      <c r="J228" s="317"/>
      <c r="K228" s="317"/>
      <c r="L228" s="317"/>
      <c r="M228" s="317"/>
      <c r="N228" s="317"/>
      <c r="O228" s="317"/>
      <c r="P228" s="317"/>
      <c r="Q228" s="317"/>
      <c r="R228" s="53"/>
      <c r="S228" s="53"/>
      <c r="T228" s="53"/>
      <c r="U228" s="53"/>
      <c r="V228" s="53"/>
      <c r="W228" s="53"/>
      <c r="X228" s="53"/>
      <c r="Y228" s="53"/>
      <c r="Z228" s="53"/>
      <c r="AA228" s="53"/>
      <c r="AB228" s="53"/>
      <c r="AC228" s="53"/>
      <c r="AD228" s="53"/>
      <c r="AE228" s="53"/>
      <c r="AF228" s="53"/>
      <c r="AG228" s="53"/>
      <c r="AH228" s="317"/>
      <c r="AI228" s="317"/>
      <c r="AJ228" s="317"/>
      <c r="AK228" s="317"/>
      <c r="AL228" s="317"/>
      <c r="AM228" s="317"/>
      <c r="AN228" s="317"/>
      <c r="AO228" s="317"/>
      <c r="AP228" s="317"/>
      <c r="AQ228" s="317"/>
      <c r="AR228" s="317"/>
      <c r="AS228" s="317"/>
      <c r="AT228" s="53"/>
      <c r="AU228" s="53"/>
      <c r="AV228" s="53"/>
      <c r="AW228" s="53"/>
      <c r="AX228" s="53"/>
      <c r="AY228" s="53"/>
      <c r="AZ228" s="53"/>
      <c r="BA228" s="53"/>
      <c r="BB228" s="53"/>
      <c r="BC228" s="53"/>
      <c r="BD228" s="53"/>
      <c r="BE228" s="53"/>
      <c r="BF228" s="53"/>
      <c r="BG228" s="53"/>
      <c r="BH228" s="53"/>
      <c r="BI228" s="53"/>
      <c r="BJ228" s="53"/>
      <c r="BK228" s="53"/>
      <c r="BL228" s="10"/>
      <c r="BM228" s="10"/>
      <c r="BN228" s="10"/>
      <c r="BO228" s="10"/>
      <c r="BP228" s="10"/>
      <c r="BQ228" s="10"/>
      <c r="BR228" s="10"/>
      <c r="BS228" s="10"/>
      <c r="BT228" s="10"/>
      <c r="BU228" s="10"/>
      <c r="BV228" s="10"/>
      <c r="BW228" s="10"/>
      <c r="BX228" s="10"/>
      <c r="BY228" s="10"/>
      <c r="BZ228" s="10"/>
      <c r="CA228" s="10"/>
      <c r="CB228" s="10"/>
      <c r="CC228" s="10"/>
      <c r="CD228" s="10"/>
      <c r="CE228" s="10"/>
      <c r="CF228" s="10"/>
      <c r="CG228" s="10"/>
      <c r="CH228" s="51"/>
    </row>
    <row r="229" spans="1:86" s="2" customFormat="1" ht="15.75" customHeight="1">
      <c r="A229" s="9"/>
      <c r="B229" s="142"/>
      <c r="D229" s="53"/>
      <c r="E229" s="53"/>
      <c r="F229" s="317"/>
      <c r="G229" s="317"/>
      <c r="H229" s="317"/>
      <c r="I229" s="317"/>
      <c r="J229" s="317"/>
      <c r="K229" s="317"/>
      <c r="L229" s="317"/>
      <c r="M229" s="317"/>
      <c r="N229" s="317"/>
      <c r="O229" s="317"/>
      <c r="P229" s="317"/>
      <c r="Q229" s="317"/>
      <c r="R229" s="53"/>
      <c r="S229" s="53"/>
      <c r="T229" s="53"/>
      <c r="U229" s="53"/>
      <c r="V229" s="53"/>
      <c r="W229" s="53"/>
      <c r="X229" s="53"/>
      <c r="Y229" s="53"/>
      <c r="Z229" s="53"/>
      <c r="AA229" s="53"/>
      <c r="AB229" s="53"/>
      <c r="AC229" s="53"/>
      <c r="AD229" s="53"/>
      <c r="AE229" s="53"/>
      <c r="AF229" s="53"/>
      <c r="AG229" s="53"/>
      <c r="AH229" s="317"/>
      <c r="AI229" s="317"/>
      <c r="AJ229" s="317"/>
      <c r="AK229" s="317"/>
      <c r="AL229" s="317"/>
      <c r="AM229" s="317"/>
      <c r="AN229" s="317"/>
      <c r="AO229" s="317"/>
      <c r="AP229" s="317"/>
      <c r="AQ229" s="317"/>
      <c r="AR229" s="317"/>
      <c r="AS229" s="317"/>
      <c r="AT229" s="53"/>
      <c r="AU229" s="53"/>
      <c r="AV229" s="53"/>
      <c r="AW229" s="53"/>
      <c r="AX229" s="53"/>
      <c r="AY229" s="53"/>
      <c r="AZ229" s="53"/>
      <c r="BA229" s="53"/>
      <c r="BB229" s="53"/>
      <c r="BC229" s="53"/>
      <c r="BD229" s="53"/>
      <c r="BE229" s="53"/>
      <c r="BF229" s="53"/>
      <c r="BG229" s="53"/>
      <c r="BH229" s="53"/>
      <c r="BI229" s="53"/>
      <c r="BJ229" s="53"/>
      <c r="BK229" s="53"/>
      <c r="BL229" s="10"/>
      <c r="BM229" s="10"/>
      <c r="BN229" s="10"/>
      <c r="BO229" s="10"/>
      <c r="BP229" s="10"/>
      <c r="BQ229" s="10"/>
      <c r="BR229" s="10"/>
      <c r="BS229" s="10"/>
      <c r="BT229" s="10"/>
      <c r="BU229" s="10"/>
      <c r="BV229" s="10"/>
      <c r="BW229" s="10"/>
      <c r="BX229" s="10"/>
      <c r="BY229" s="10"/>
      <c r="BZ229" s="10"/>
      <c r="CA229" s="10"/>
      <c r="CB229" s="10"/>
      <c r="CC229" s="10"/>
      <c r="CD229" s="10"/>
      <c r="CE229" s="10"/>
      <c r="CF229" s="10"/>
      <c r="CG229" s="10"/>
      <c r="CH229" s="51"/>
    </row>
    <row r="230" spans="1:86" s="2" customFormat="1" ht="15.75" customHeight="1">
      <c r="A230" s="9"/>
      <c r="B230" s="142"/>
      <c r="D230" s="53"/>
      <c r="E230" s="53"/>
      <c r="F230" s="317"/>
      <c r="G230" s="317"/>
      <c r="H230" s="317"/>
      <c r="I230" s="317"/>
      <c r="J230" s="317"/>
      <c r="K230" s="317"/>
      <c r="L230" s="317"/>
      <c r="M230" s="317"/>
      <c r="N230" s="317"/>
      <c r="O230" s="317"/>
      <c r="P230" s="317"/>
      <c r="Q230" s="317"/>
      <c r="R230" s="53"/>
      <c r="S230" s="53"/>
      <c r="T230" s="53"/>
      <c r="U230" s="53"/>
      <c r="V230" s="53"/>
      <c r="W230" s="53"/>
      <c r="X230" s="53"/>
      <c r="Y230" s="53"/>
      <c r="Z230" s="53"/>
      <c r="AA230" s="53"/>
      <c r="AB230" s="53"/>
      <c r="AC230" s="53"/>
      <c r="AD230" s="53"/>
      <c r="AE230" s="53"/>
      <c r="AF230" s="53"/>
      <c r="AG230" s="53"/>
      <c r="AH230" s="317"/>
      <c r="AI230" s="317"/>
      <c r="AJ230" s="317"/>
      <c r="AK230" s="317"/>
      <c r="AL230" s="317"/>
      <c r="AM230" s="317"/>
      <c r="AN230" s="317"/>
      <c r="AO230" s="317"/>
      <c r="AP230" s="317"/>
      <c r="AQ230" s="317"/>
      <c r="AR230" s="317"/>
      <c r="AS230" s="317"/>
      <c r="AT230" s="53"/>
      <c r="AU230" s="53"/>
      <c r="AV230" s="53"/>
      <c r="AW230" s="53"/>
      <c r="AX230" s="53"/>
      <c r="AY230" s="53"/>
      <c r="AZ230" s="53"/>
      <c r="BA230" s="53"/>
      <c r="BB230" s="53"/>
      <c r="BC230" s="53"/>
      <c r="BD230" s="53"/>
      <c r="BE230" s="53"/>
      <c r="BF230" s="53"/>
      <c r="BG230" s="53"/>
      <c r="BH230" s="53"/>
      <c r="BI230" s="53"/>
      <c r="BJ230" s="53"/>
      <c r="BK230" s="53"/>
      <c r="BL230" s="10"/>
      <c r="BM230" s="10"/>
      <c r="BN230" s="10"/>
      <c r="BO230" s="10"/>
      <c r="BP230" s="10"/>
      <c r="BQ230" s="10"/>
      <c r="BR230" s="10"/>
      <c r="BS230" s="10"/>
      <c r="BT230" s="10"/>
      <c r="BU230" s="10"/>
      <c r="BV230" s="10"/>
      <c r="BW230" s="10"/>
      <c r="BX230" s="10"/>
      <c r="BY230" s="10"/>
      <c r="BZ230" s="10"/>
      <c r="CA230" s="10"/>
      <c r="CB230" s="10"/>
      <c r="CC230" s="10"/>
      <c r="CD230" s="10"/>
      <c r="CE230" s="10"/>
      <c r="CF230" s="10"/>
      <c r="CG230" s="10"/>
      <c r="CH230" s="51"/>
    </row>
    <row r="231" spans="1:86" s="2" customFormat="1" ht="15.75" customHeight="1">
      <c r="A231" s="9"/>
      <c r="B231" s="142"/>
      <c r="D231" s="53"/>
      <c r="E231" s="53"/>
      <c r="F231" s="317"/>
      <c r="G231" s="317"/>
      <c r="H231" s="317"/>
      <c r="I231" s="317"/>
      <c r="J231" s="317"/>
      <c r="K231" s="317"/>
      <c r="L231" s="317"/>
      <c r="M231" s="317"/>
      <c r="N231" s="317"/>
      <c r="O231" s="317"/>
      <c r="P231" s="317"/>
      <c r="Q231" s="317"/>
      <c r="R231" s="53"/>
      <c r="S231" s="53"/>
      <c r="T231" s="53"/>
      <c r="U231" s="53"/>
      <c r="V231" s="53"/>
      <c r="W231" s="53"/>
      <c r="X231" s="53"/>
      <c r="Y231" s="53"/>
      <c r="Z231" s="53"/>
      <c r="AA231" s="53"/>
      <c r="AB231" s="53"/>
      <c r="AC231" s="53"/>
      <c r="AD231" s="53"/>
      <c r="AE231" s="53"/>
      <c r="AF231" s="53"/>
      <c r="AG231" s="53"/>
      <c r="AH231" s="317"/>
      <c r="AI231" s="317"/>
      <c r="AJ231" s="317"/>
      <c r="AK231" s="317"/>
      <c r="AL231" s="317"/>
      <c r="AM231" s="317"/>
      <c r="AN231" s="317"/>
      <c r="AO231" s="317"/>
      <c r="AP231" s="317"/>
      <c r="AQ231" s="317"/>
      <c r="AR231" s="317"/>
      <c r="AS231" s="317"/>
      <c r="AT231" s="53"/>
      <c r="AU231" s="53"/>
      <c r="AV231" s="53"/>
      <c r="AW231" s="53"/>
      <c r="AX231" s="53"/>
      <c r="AY231" s="53"/>
      <c r="AZ231" s="53"/>
      <c r="BA231" s="53"/>
      <c r="BB231" s="53"/>
      <c r="BC231" s="53"/>
      <c r="BD231" s="53"/>
      <c r="BE231" s="53"/>
      <c r="BF231" s="53"/>
      <c r="BG231" s="53"/>
      <c r="BH231" s="53"/>
      <c r="BI231" s="53"/>
      <c r="BJ231" s="53"/>
      <c r="BK231" s="53"/>
      <c r="BL231" s="10"/>
      <c r="BM231" s="10"/>
      <c r="BN231" s="10"/>
      <c r="BO231" s="10"/>
      <c r="BP231" s="10"/>
      <c r="BQ231" s="10"/>
      <c r="BR231" s="10"/>
      <c r="BS231" s="10"/>
      <c r="BT231" s="10"/>
      <c r="BU231" s="10"/>
      <c r="BV231" s="10"/>
      <c r="BW231" s="10"/>
      <c r="BX231" s="10"/>
      <c r="BY231" s="10"/>
      <c r="BZ231" s="10"/>
      <c r="CA231" s="10"/>
      <c r="CB231" s="10"/>
      <c r="CC231" s="10"/>
      <c r="CD231" s="10"/>
      <c r="CE231" s="10"/>
      <c r="CF231" s="10"/>
      <c r="CG231" s="10"/>
      <c r="CH231" s="51"/>
    </row>
    <row r="232" spans="1:86" s="2" customFormat="1" ht="15.75" customHeight="1">
      <c r="A232" s="9"/>
      <c r="B232" s="142"/>
      <c r="D232" s="53"/>
      <c r="E232" s="53"/>
      <c r="F232" s="317"/>
      <c r="G232" s="317"/>
      <c r="H232" s="317"/>
      <c r="I232" s="317"/>
      <c r="J232" s="317"/>
      <c r="K232" s="317"/>
      <c r="L232" s="317"/>
      <c r="M232" s="317"/>
      <c r="N232" s="317"/>
      <c r="O232" s="317"/>
      <c r="P232" s="317"/>
      <c r="Q232" s="317"/>
      <c r="R232" s="53"/>
      <c r="S232" s="53"/>
      <c r="T232" s="53"/>
      <c r="U232" s="53"/>
      <c r="V232" s="53"/>
      <c r="W232" s="53"/>
      <c r="X232" s="53"/>
      <c r="Y232" s="53"/>
      <c r="Z232" s="53"/>
      <c r="AA232" s="53"/>
      <c r="AB232" s="53"/>
      <c r="AC232" s="53"/>
      <c r="AD232" s="53"/>
      <c r="AE232" s="53"/>
      <c r="AF232" s="53"/>
      <c r="AG232" s="53"/>
      <c r="AH232" s="317"/>
      <c r="AI232" s="317"/>
      <c r="AJ232" s="317"/>
      <c r="AK232" s="317"/>
      <c r="AL232" s="317"/>
      <c r="AM232" s="317"/>
      <c r="AN232" s="317"/>
      <c r="AO232" s="317"/>
      <c r="AP232" s="317"/>
      <c r="AQ232" s="317"/>
      <c r="AR232" s="317"/>
      <c r="AS232" s="317"/>
      <c r="AT232" s="53"/>
      <c r="AU232" s="53"/>
      <c r="AV232" s="53"/>
      <c r="AW232" s="53"/>
      <c r="AX232" s="53"/>
      <c r="AY232" s="53"/>
      <c r="AZ232" s="53"/>
      <c r="BA232" s="53"/>
      <c r="BB232" s="53"/>
      <c r="BC232" s="53"/>
      <c r="BD232" s="53"/>
      <c r="BE232" s="53"/>
      <c r="BF232" s="53"/>
      <c r="BG232" s="53"/>
      <c r="BH232" s="53"/>
      <c r="BI232" s="53"/>
      <c r="BJ232" s="53"/>
      <c r="BK232" s="53"/>
      <c r="BL232" s="10"/>
      <c r="BM232" s="10"/>
      <c r="BN232" s="10"/>
      <c r="BO232" s="10"/>
      <c r="BP232" s="10"/>
      <c r="BQ232" s="10"/>
      <c r="BR232" s="10"/>
      <c r="BS232" s="10"/>
      <c r="BT232" s="10"/>
      <c r="BU232" s="10"/>
      <c r="BV232" s="10"/>
      <c r="BW232" s="10"/>
      <c r="BX232" s="10"/>
      <c r="BY232" s="10"/>
      <c r="BZ232" s="10"/>
      <c r="CA232" s="10"/>
      <c r="CB232" s="10"/>
      <c r="CC232" s="10"/>
      <c r="CD232" s="10"/>
      <c r="CE232" s="10"/>
      <c r="CF232" s="10"/>
      <c r="CG232" s="10"/>
      <c r="CH232" s="51"/>
    </row>
    <row r="233" spans="1:86" s="2" customFormat="1" ht="15.75" customHeight="1">
      <c r="A233" s="9"/>
      <c r="B233" s="142"/>
      <c r="D233" s="53"/>
      <c r="E233" s="53" t="s">
        <v>128</v>
      </c>
      <c r="F233" s="328" t="s">
        <v>361</v>
      </c>
      <c r="G233" s="317"/>
      <c r="H233" s="317"/>
      <c r="I233" s="317"/>
      <c r="J233" s="317"/>
      <c r="K233" s="317"/>
      <c r="L233" s="317"/>
      <c r="M233" s="317"/>
      <c r="N233" s="317"/>
      <c r="O233" s="317"/>
      <c r="P233" s="317"/>
      <c r="Q233" s="317"/>
      <c r="R233" s="53"/>
      <c r="S233" s="53"/>
      <c r="T233" s="53"/>
      <c r="U233" s="53"/>
      <c r="V233" s="53"/>
      <c r="W233" s="53"/>
      <c r="X233" s="53"/>
      <c r="Y233" s="53"/>
      <c r="Z233" s="53"/>
      <c r="AA233" s="53"/>
      <c r="AB233" s="53"/>
      <c r="AC233" s="53"/>
      <c r="AD233" s="53"/>
      <c r="AE233" s="53"/>
      <c r="AF233" s="53"/>
      <c r="AG233" s="53"/>
      <c r="AH233" s="317"/>
      <c r="AI233" s="317"/>
      <c r="AJ233" s="317"/>
      <c r="AK233" s="317"/>
      <c r="AL233" s="317"/>
      <c r="AM233" s="317"/>
      <c r="AN233" s="317"/>
      <c r="AO233" s="317"/>
      <c r="AP233" s="317"/>
      <c r="AQ233" s="317"/>
      <c r="AR233" s="317"/>
      <c r="AS233" s="317"/>
      <c r="AT233" s="53"/>
      <c r="AU233" s="53"/>
      <c r="AV233" s="53"/>
      <c r="AW233" s="53"/>
      <c r="AX233" s="53"/>
      <c r="AY233" s="53"/>
      <c r="AZ233" s="53"/>
      <c r="BA233" s="53"/>
      <c r="BB233" s="53"/>
      <c r="BC233" s="53"/>
      <c r="BD233" s="53"/>
      <c r="BE233" s="53"/>
      <c r="BF233" s="53"/>
      <c r="BG233" s="53"/>
      <c r="BH233" s="53"/>
      <c r="BI233" s="53"/>
      <c r="BJ233" s="53"/>
      <c r="BK233" s="53"/>
      <c r="BL233" s="10"/>
      <c r="BM233" s="10"/>
      <c r="BN233" s="10"/>
      <c r="BO233" s="10"/>
      <c r="BP233" s="10"/>
      <c r="BQ233" s="10"/>
      <c r="BR233" s="10"/>
      <c r="BS233" s="10"/>
      <c r="BT233" s="10"/>
      <c r="BU233" s="10"/>
      <c r="BV233" s="10"/>
      <c r="BW233" s="10"/>
      <c r="BX233" s="10"/>
      <c r="BY233" s="10"/>
      <c r="BZ233" s="10"/>
      <c r="CA233" s="10"/>
      <c r="CB233" s="10"/>
      <c r="CC233" s="10"/>
      <c r="CD233" s="10"/>
      <c r="CE233" s="10"/>
      <c r="CF233" s="10"/>
      <c r="CG233" s="10"/>
      <c r="CH233" s="51"/>
    </row>
    <row r="234" spans="1:86" s="2" customFormat="1" ht="15.75" customHeight="1">
      <c r="A234" s="9"/>
      <c r="B234" s="142"/>
      <c r="D234" s="53"/>
      <c r="E234" s="53"/>
      <c r="F234" s="328" t="s">
        <v>362</v>
      </c>
      <c r="G234" s="317"/>
      <c r="H234" s="317"/>
      <c r="I234" s="317"/>
      <c r="J234" s="317"/>
      <c r="K234" s="317"/>
      <c r="L234" s="317"/>
      <c r="M234" s="317"/>
      <c r="N234" s="317"/>
      <c r="O234" s="317"/>
      <c r="P234" s="317"/>
      <c r="Q234" s="317"/>
      <c r="R234" s="53"/>
      <c r="S234" s="53"/>
      <c r="T234" s="53"/>
      <c r="U234" s="53"/>
      <c r="V234" s="53"/>
      <c r="W234" s="53"/>
      <c r="X234" s="53"/>
      <c r="Y234" s="53"/>
      <c r="Z234" s="53"/>
      <c r="AA234" s="53"/>
      <c r="AB234" s="53"/>
      <c r="AC234" s="53"/>
      <c r="AD234" s="53"/>
      <c r="AE234" s="53"/>
      <c r="AF234" s="53"/>
      <c r="AG234" s="53"/>
      <c r="AH234" s="317"/>
      <c r="AI234" s="317"/>
      <c r="AJ234" s="317"/>
      <c r="AK234" s="317"/>
      <c r="AL234" s="317"/>
      <c r="AM234" s="317"/>
      <c r="AN234" s="317"/>
      <c r="AO234" s="317"/>
      <c r="AP234" s="317"/>
      <c r="AQ234" s="317"/>
      <c r="AR234" s="317"/>
      <c r="AS234" s="317"/>
      <c r="AT234" s="53"/>
      <c r="AU234" s="53"/>
      <c r="AV234" s="53"/>
      <c r="AW234" s="53"/>
      <c r="AX234" s="53"/>
      <c r="AY234" s="53"/>
      <c r="AZ234" s="53"/>
      <c r="BA234" s="53"/>
      <c r="BB234" s="53"/>
      <c r="BC234" s="53"/>
      <c r="BD234" s="53"/>
      <c r="BE234" s="53"/>
      <c r="BF234" s="53"/>
      <c r="BG234" s="53"/>
      <c r="BH234" s="53"/>
      <c r="BI234" s="53"/>
      <c r="BJ234" s="53"/>
      <c r="BK234" s="53"/>
      <c r="BL234" s="10"/>
      <c r="BM234" s="10"/>
      <c r="BN234" s="10"/>
      <c r="BO234" s="10"/>
      <c r="BP234" s="10"/>
      <c r="BQ234" s="10"/>
      <c r="BR234" s="10"/>
      <c r="BS234" s="10"/>
      <c r="BT234" s="10"/>
      <c r="BU234" s="10"/>
      <c r="BV234" s="10"/>
      <c r="BW234" s="10"/>
      <c r="BX234" s="10"/>
      <c r="BY234" s="10"/>
      <c r="BZ234" s="10"/>
      <c r="CA234" s="10"/>
      <c r="CB234" s="10"/>
      <c r="CC234" s="10"/>
      <c r="CD234" s="10"/>
      <c r="CE234" s="10"/>
      <c r="CF234" s="10"/>
      <c r="CG234" s="10"/>
      <c r="CH234" s="51"/>
    </row>
    <row r="235" spans="1:86" s="2" customFormat="1" ht="15.75" customHeight="1">
      <c r="A235" s="9"/>
      <c r="B235" s="142"/>
      <c r="D235" s="53"/>
      <c r="E235" s="53"/>
      <c r="F235" s="329" t="s">
        <v>363</v>
      </c>
      <c r="G235" s="330"/>
      <c r="H235" s="329" t="s">
        <v>364</v>
      </c>
      <c r="I235" s="333"/>
      <c r="J235" s="333"/>
      <c r="K235" s="333"/>
      <c r="L235" s="333"/>
      <c r="M235" s="333"/>
      <c r="N235" s="333"/>
      <c r="O235" s="333"/>
      <c r="P235" s="333"/>
      <c r="Q235" s="333"/>
      <c r="R235" s="329" t="s">
        <v>365</v>
      </c>
      <c r="S235" s="333"/>
      <c r="T235" s="333"/>
      <c r="U235" s="333"/>
      <c r="V235" s="333"/>
      <c r="W235" s="333"/>
      <c r="X235" s="333"/>
      <c r="Y235" s="333"/>
      <c r="Z235" s="333"/>
      <c r="AA235" s="333"/>
      <c r="AB235" s="333"/>
      <c r="AC235" s="333"/>
      <c r="AD235" s="333"/>
      <c r="AE235" s="333"/>
      <c r="AF235" s="333"/>
      <c r="AG235" s="333"/>
      <c r="AH235" s="333"/>
      <c r="AI235" s="333"/>
      <c r="AJ235" s="333"/>
      <c r="AK235" s="333"/>
      <c r="AL235" s="333"/>
      <c r="AM235" s="333"/>
      <c r="AN235" s="339"/>
      <c r="AO235" s="317"/>
      <c r="AP235" s="53"/>
      <c r="AQ235" s="53"/>
      <c r="AR235" s="317"/>
      <c r="AS235" s="317"/>
      <c r="AT235" s="53"/>
      <c r="AU235" s="53"/>
      <c r="AV235" s="53"/>
      <c r="AW235" s="53"/>
      <c r="AX235" s="53"/>
      <c r="AY235" s="53"/>
      <c r="AZ235" s="53"/>
      <c r="BA235" s="53"/>
      <c r="BB235" s="53"/>
      <c r="BC235" s="53"/>
      <c r="BD235" s="53"/>
      <c r="BE235" s="53"/>
      <c r="BF235" s="53"/>
      <c r="BG235" s="53"/>
      <c r="BH235" s="53"/>
      <c r="BI235" s="53"/>
      <c r="BJ235" s="53"/>
      <c r="BK235" s="53"/>
      <c r="BL235" s="10"/>
      <c r="BM235" s="10"/>
      <c r="BN235" s="10"/>
      <c r="BO235" s="10"/>
      <c r="BP235" s="10"/>
      <c r="BQ235" s="10"/>
      <c r="BR235" s="10"/>
      <c r="BS235" s="10"/>
      <c r="BT235" s="10"/>
      <c r="BU235" s="10"/>
      <c r="BV235" s="10"/>
      <c r="BW235" s="10"/>
      <c r="BX235" s="10"/>
      <c r="BY235" s="10"/>
      <c r="BZ235" s="10"/>
      <c r="CA235" s="10"/>
      <c r="CB235" s="10"/>
      <c r="CC235" s="10"/>
      <c r="CD235" s="10"/>
      <c r="CE235" s="10"/>
      <c r="CF235" s="10"/>
      <c r="CG235" s="10"/>
      <c r="CH235" s="51"/>
    </row>
    <row r="236" spans="1:86" s="2" customFormat="1" ht="15.75" customHeight="1">
      <c r="A236" s="9"/>
      <c r="B236" s="142"/>
      <c r="D236" s="53"/>
      <c r="E236" s="53"/>
      <c r="F236" s="331">
        <v>1</v>
      </c>
      <c r="G236" s="332"/>
      <c r="H236" s="331" t="s">
        <v>366</v>
      </c>
      <c r="I236" s="334"/>
      <c r="J236" s="334"/>
      <c r="K236" s="334"/>
      <c r="L236" s="334"/>
      <c r="M236" s="334"/>
      <c r="N236" s="334"/>
      <c r="O236" s="334"/>
      <c r="P236" s="334"/>
      <c r="Q236" s="334"/>
      <c r="R236" s="331" t="s">
        <v>367</v>
      </c>
      <c r="S236" s="334"/>
      <c r="T236" s="334"/>
      <c r="U236" s="334"/>
      <c r="V236" s="334"/>
      <c r="W236" s="334"/>
      <c r="X236" s="334"/>
      <c r="Y236" s="334"/>
      <c r="Z236" s="334"/>
      <c r="AA236" s="334"/>
      <c r="AB236" s="334"/>
      <c r="AC236" s="334"/>
      <c r="AD236" s="334"/>
      <c r="AE236" s="334"/>
      <c r="AF236" s="334"/>
      <c r="AG236" s="334"/>
      <c r="AH236" s="334"/>
      <c r="AI236" s="334"/>
      <c r="AJ236" s="334"/>
      <c r="AK236" s="334"/>
      <c r="AL236" s="334"/>
      <c r="AM236" s="334"/>
      <c r="AN236" s="340"/>
      <c r="AO236" s="317"/>
      <c r="AP236" s="317"/>
      <c r="AQ236" s="317"/>
      <c r="AR236" s="317"/>
      <c r="AS236" s="317"/>
      <c r="AT236" s="53"/>
      <c r="AU236" s="53"/>
      <c r="AV236" s="53"/>
      <c r="AW236" s="53"/>
      <c r="AX236" s="53"/>
      <c r="AY236" s="53"/>
      <c r="AZ236" s="53"/>
      <c r="BA236" s="53"/>
      <c r="BB236" s="53"/>
      <c r="BC236" s="53"/>
      <c r="BD236" s="53"/>
      <c r="BE236" s="53"/>
      <c r="BF236" s="53"/>
      <c r="BG236" s="53"/>
      <c r="BH236" s="53"/>
      <c r="BI236" s="53"/>
      <c r="BJ236" s="53"/>
      <c r="BK236" s="53"/>
      <c r="BL236" s="10"/>
      <c r="BM236" s="10"/>
      <c r="BN236" s="10"/>
      <c r="BO236" s="10"/>
      <c r="BP236" s="10"/>
      <c r="BQ236" s="10"/>
      <c r="BR236" s="10"/>
      <c r="BS236" s="10"/>
      <c r="BT236" s="10"/>
      <c r="BU236" s="10"/>
      <c r="BV236" s="10"/>
      <c r="BW236" s="10"/>
      <c r="BX236" s="10"/>
      <c r="BY236" s="10"/>
      <c r="BZ236" s="10"/>
      <c r="CA236" s="10"/>
      <c r="CB236" s="10"/>
      <c r="CC236" s="10"/>
      <c r="CD236" s="10"/>
      <c r="CE236" s="10"/>
      <c r="CF236" s="10"/>
      <c r="CG236" s="10"/>
      <c r="CH236" s="51"/>
    </row>
    <row r="237" spans="1:86" s="2" customFormat="1" ht="15.75" customHeight="1">
      <c r="A237" s="9"/>
      <c r="B237" s="142"/>
      <c r="D237" s="53"/>
      <c r="E237" s="53"/>
      <c r="F237" s="331">
        <v>2</v>
      </c>
      <c r="G237" s="332"/>
      <c r="H237" s="331" t="s">
        <v>368</v>
      </c>
      <c r="I237" s="334"/>
      <c r="J237" s="334"/>
      <c r="K237" s="334"/>
      <c r="L237" s="334"/>
      <c r="M237" s="334"/>
      <c r="N237" s="334"/>
      <c r="O237" s="334"/>
      <c r="P237" s="334"/>
      <c r="Q237" s="334"/>
      <c r="R237" s="331" t="s">
        <v>369</v>
      </c>
      <c r="S237" s="334"/>
      <c r="T237" s="334"/>
      <c r="U237" s="334"/>
      <c r="V237" s="334"/>
      <c r="W237" s="334"/>
      <c r="X237" s="334"/>
      <c r="Y237" s="334"/>
      <c r="Z237" s="334"/>
      <c r="AA237" s="334"/>
      <c r="AB237" s="334"/>
      <c r="AC237" s="334"/>
      <c r="AD237" s="334"/>
      <c r="AE237" s="334"/>
      <c r="AF237" s="334"/>
      <c r="AG237" s="334"/>
      <c r="AH237" s="334"/>
      <c r="AI237" s="334"/>
      <c r="AJ237" s="334"/>
      <c r="AK237" s="334"/>
      <c r="AL237" s="334"/>
      <c r="AM237" s="334"/>
      <c r="AN237" s="340"/>
      <c r="AO237" s="317"/>
      <c r="AP237" s="317"/>
      <c r="AQ237" s="317"/>
      <c r="AR237" s="317"/>
      <c r="AS237" s="317"/>
      <c r="AT237" s="53"/>
      <c r="AU237" s="53"/>
      <c r="AV237" s="53"/>
      <c r="AW237" s="53"/>
      <c r="AX237" s="53"/>
      <c r="AY237" s="53"/>
      <c r="AZ237" s="53"/>
      <c r="BA237" s="53"/>
      <c r="BB237" s="53"/>
      <c r="BC237" s="53"/>
      <c r="BD237" s="53"/>
      <c r="BE237" s="53"/>
      <c r="BF237" s="53"/>
      <c r="BG237" s="53"/>
      <c r="BH237" s="53"/>
      <c r="BI237" s="53"/>
      <c r="BJ237" s="53"/>
      <c r="BK237" s="53"/>
      <c r="BL237" s="10"/>
      <c r="BM237" s="10"/>
      <c r="BN237" s="10"/>
      <c r="BO237" s="10"/>
      <c r="BP237" s="10"/>
      <c r="BQ237" s="10"/>
      <c r="BR237" s="10"/>
      <c r="BS237" s="10"/>
      <c r="BT237" s="10"/>
      <c r="BU237" s="10"/>
      <c r="BV237" s="10"/>
      <c r="BW237" s="10"/>
      <c r="BX237" s="10"/>
      <c r="BY237" s="10"/>
      <c r="BZ237" s="10"/>
      <c r="CA237" s="10"/>
      <c r="CB237" s="10"/>
      <c r="CC237" s="10"/>
      <c r="CD237" s="10"/>
      <c r="CE237" s="10"/>
      <c r="CF237" s="10"/>
      <c r="CG237" s="10"/>
      <c r="CH237" s="51"/>
    </row>
    <row r="238" spans="1:86" s="2" customFormat="1" ht="15.75" customHeight="1">
      <c r="A238" s="9"/>
      <c r="B238" s="142"/>
      <c r="D238" s="53"/>
      <c r="E238" s="53"/>
      <c r="F238" s="331">
        <v>3</v>
      </c>
      <c r="G238" s="332"/>
      <c r="H238" s="331" t="s">
        <v>370</v>
      </c>
      <c r="I238" s="334"/>
      <c r="J238" s="334"/>
      <c r="K238" s="334"/>
      <c r="L238" s="334"/>
      <c r="M238" s="334"/>
      <c r="N238" s="334"/>
      <c r="O238" s="334"/>
      <c r="P238" s="334"/>
      <c r="Q238" s="334"/>
      <c r="R238" s="331" t="s">
        <v>371</v>
      </c>
      <c r="S238" s="334"/>
      <c r="T238" s="334"/>
      <c r="U238" s="334"/>
      <c r="V238" s="334"/>
      <c r="W238" s="334"/>
      <c r="X238" s="334"/>
      <c r="Y238" s="334"/>
      <c r="Z238" s="334"/>
      <c r="AA238" s="334"/>
      <c r="AB238" s="334"/>
      <c r="AC238" s="334"/>
      <c r="AD238" s="334"/>
      <c r="AE238" s="334"/>
      <c r="AF238" s="334"/>
      <c r="AG238" s="334"/>
      <c r="AH238" s="334"/>
      <c r="AI238" s="334"/>
      <c r="AJ238" s="334"/>
      <c r="AK238" s="334"/>
      <c r="AL238" s="334"/>
      <c r="AM238" s="334"/>
      <c r="AN238" s="340"/>
      <c r="AO238" s="317"/>
      <c r="AP238" s="317"/>
      <c r="AQ238" s="317"/>
      <c r="AR238" s="317"/>
      <c r="AS238" s="317"/>
      <c r="AT238" s="53"/>
      <c r="AU238" s="53"/>
      <c r="AV238" s="53"/>
      <c r="AW238" s="53"/>
      <c r="AX238" s="53"/>
      <c r="AY238" s="53"/>
      <c r="AZ238" s="53"/>
      <c r="BA238" s="53"/>
      <c r="BB238" s="53"/>
      <c r="BC238" s="53"/>
      <c r="BD238" s="53"/>
      <c r="BE238" s="53"/>
      <c r="BF238" s="53"/>
      <c r="BG238" s="53"/>
      <c r="BH238" s="53"/>
      <c r="BI238" s="53"/>
      <c r="BJ238" s="53"/>
      <c r="BK238" s="53"/>
      <c r="BL238" s="10"/>
      <c r="BM238" s="10"/>
      <c r="BN238" s="10"/>
      <c r="BO238" s="10"/>
      <c r="BP238" s="10"/>
      <c r="BQ238" s="10"/>
      <c r="BR238" s="10"/>
      <c r="BS238" s="10"/>
      <c r="BT238" s="10"/>
      <c r="BU238" s="10"/>
      <c r="BV238" s="10"/>
      <c r="BW238" s="10"/>
      <c r="BX238" s="10"/>
      <c r="BY238" s="10"/>
      <c r="BZ238" s="10"/>
      <c r="CA238" s="10"/>
      <c r="CB238" s="10"/>
      <c r="CC238" s="10"/>
      <c r="CD238" s="10"/>
      <c r="CE238" s="10"/>
      <c r="CF238" s="10"/>
      <c r="CG238" s="10"/>
      <c r="CH238" s="51"/>
    </row>
    <row r="239" spans="1:86" s="2" customFormat="1" ht="15.75" customHeight="1">
      <c r="A239" s="9"/>
      <c r="B239" s="142"/>
      <c r="D239" s="53"/>
      <c r="E239" s="53"/>
      <c r="F239" s="331">
        <v>4</v>
      </c>
      <c r="G239" s="332"/>
      <c r="H239" s="331" t="s">
        <v>372</v>
      </c>
      <c r="I239" s="334"/>
      <c r="J239" s="334"/>
      <c r="K239" s="334"/>
      <c r="L239" s="334"/>
      <c r="M239" s="334"/>
      <c r="N239" s="334"/>
      <c r="O239" s="334"/>
      <c r="P239" s="334"/>
      <c r="Q239" s="334"/>
      <c r="R239" s="331" t="s">
        <v>373</v>
      </c>
      <c r="S239" s="334"/>
      <c r="T239" s="334"/>
      <c r="U239" s="334"/>
      <c r="V239" s="334"/>
      <c r="W239" s="334"/>
      <c r="X239" s="334"/>
      <c r="Y239" s="334"/>
      <c r="Z239" s="334"/>
      <c r="AA239" s="334"/>
      <c r="AB239" s="334"/>
      <c r="AC239" s="334"/>
      <c r="AD239" s="334"/>
      <c r="AE239" s="334"/>
      <c r="AF239" s="334"/>
      <c r="AG239" s="334"/>
      <c r="AH239" s="334"/>
      <c r="AI239" s="334"/>
      <c r="AJ239" s="334"/>
      <c r="AK239" s="334"/>
      <c r="AL239" s="334"/>
      <c r="AM239" s="334"/>
      <c r="AN239" s="340"/>
      <c r="AO239" s="317"/>
      <c r="AP239" s="317"/>
      <c r="AQ239" s="317"/>
      <c r="AR239" s="317"/>
      <c r="AS239" s="317"/>
      <c r="AT239" s="53"/>
      <c r="AU239" s="53"/>
      <c r="AV239" s="53"/>
      <c r="AW239" s="53"/>
      <c r="AX239" s="53"/>
      <c r="AY239" s="53"/>
      <c r="AZ239" s="53"/>
      <c r="BA239" s="53"/>
      <c r="BB239" s="53"/>
      <c r="BC239" s="53"/>
      <c r="BD239" s="53"/>
      <c r="BE239" s="53"/>
      <c r="BF239" s="53"/>
      <c r="BG239" s="53"/>
      <c r="BH239" s="53"/>
      <c r="BI239" s="53"/>
      <c r="BJ239" s="53"/>
      <c r="BK239" s="53"/>
      <c r="BL239" s="10"/>
      <c r="BM239" s="10"/>
      <c r="BN239" s="10"/>
      <c r="BO239" s="10"/>
      <c r="BP239" s="10"/>
      <c r="BQ239" s="10"/>
      <c r="BR239" s="10"/>
      <c r="BS239" s="10"/>
      <c r="BT239" s="10"/>
      <c r="BU239" s="10"/>
      <c r="BV239" s="10"/>
      <c r="BW239" s="10"/>
      <c r="BX239" s="10"/>
      <c r="BY239" s="10"/>
      <c r="BZ239" s="10"/>
      <c r="CA239" s="10"/>
      <c r="CB239" s="10"/>
      <c r="CC239" s="10"/>
      <c r="CD239" s="10"/>
      <c r="CE239" s="10"/>
      <c r="CF239" s="10"/>
      <c r="CG239" s="10"/>
      <c r="CH239" s="51"/>
    </row>
    <row r="240" spans="1:86" s="2" customFormat="1" ht="15.75" customHeight="1">
      <c r="A240" s="9"/>
      <c r="B240" s="142"/>
      <c r="D240" s="53"/>
      <c r="E240" s="53"/>
      <c r="F240" s="331">
        <v>5</v>
      </c>
      <c r="G240" s="332"/>
      <c r="H240" s="331" t="s">
        <v>374</v>
      </c>
      <c r="I240" s="334"/>
      <c r="J240" s="334"/>
      <c r="K240" s="334"/>
      <c r="L240" s="334"/>
      <c r="M240" s="334"/>
      <c r="N240" s="334"/>
      <c r="O240" s="334"/>
      <c r="P240" s="334"/>
      <c r="Q240" s="334"/>
      <c r="R240" s="331" t="s">
        <v>375</v>
      </c>
      <c r="S240" s="334"/>
      <c r="T240" s="334"/>
      <c r="U240" s="334"/>
      <c r="V240" s="334"/>
      <c r="W240" s="334"/>
      <c r="X240" s="334"/>
      <c r="Y240" s="334"/>
      <c r="Z240" s="334"/>
      <c r="AA240" s="334"/>
      <c r="AB240" s="334"/>
      <c r="AC240" s="334"/>
      <c r="AD240" s="334"/>
      <c r="AE240" s="334"/>
      <c r="AF240" s="334"/>
      <c r="AG240" s="334"/>
      <c r="AH240" s="334"/>
      <c r="AI240" s="334"/>
      <c r="AJ240" s="334"/>
      <c r="AK240" s="334"/>
      <c r="AL240" s="334"/>
      <c r="AM240" s="334"/>
      <c r="AN240" s="340"/>
      <c r="AO240" s="317"/>
      <c r="AP240" s="317"/>
      <c r="AQ240" s="317"/>
      <c r="AR240" s="317"/>
      <c r="AS240" s="317"/>
      <c r="AT240" s="53"/>
      <c r="AU240" s="53"/>
      <c r="AV240" s="53"/>
      <c r="AW240" s="53"/>
      <c r="AX240" s="53"/>
      <c r="AY240" s="53"/>
      <c r="AZ240" s="53"/>
      <c r="BA240" s="53"/>
      <c r="BB240" s="53"/>
      <c r="BC240" s="53"/>
      <c r="BD240" s="53"/>
      <c r="BE240" s="53"/>
      <c r="BF240" s="53"/>
      <c r="BG240" s="53"/>
      <c r="BH240" s="53"/>
      <c r="BI240" s="53"/>
      <c r="BJ240" s="53"/>
      <c r="BK240" s="53"/>
      <c r="BL240" s="10"/>
      <c r="BM240" s="10"/>
      <c r="BN240" s="10"/>
      <c r="BO240" s="10"/>
      <c r="BP240" s="10"/>
      <c r="BQ240" s="10"/>
      <c r="BR240" s="10"/>
      <c r="BS240" s="10"/>
      <c r="BT240" s="10"/>
      <c r="BU240" s="10"/>
      <c r="BV240" s="10"/>
      <c r="BW240" s="10"/>
      <c r="BX240" s="10"/>
      <c r="BY240" s="10"/>
      <c r="BZ240" s="10"/>
      <c r="CA240" s="10"/>
      <c r="CB240" s="10"/>
      <c r="CC240" s="10"/>
      <c r="CD240" s="10"/>
      <c r="CE240" s="10"/>
      <c r="CF240" s="10"/>
      <c r="CG240" s="10"/>
      <c r="CH240" s="51"/>
    </row>
    <row r="241" spans="1:86" s="2" customFormat="1" ht="15.75" customHeight="1">
      <c r="A241" s="9"/>
      <c r="B241" s="142"/>
      <c r="D241" s="53"/>
      <c r="E241" s="53"/>
      <c r="F241" s="331">
        <v>6</v>
      </c>
      <c r="G241" s="332"/>
      <c r="H241" s="331" t="s">
        <v>376</v>
      </c>
      <c r="I241" s="334"/>
      <c r="J241" s="334"/>
      <c r="K241" s="334"/>
      <c r="L241" s="334"/>
      <c r="M241" s="334"/>
      <c r="N241" s="334"/>
      <c r="O241" s="334"/>
      <c r="P241" s="334"/>
      <c r="Q241" s="334"/>
      <c r="R241" s="331" t="s">
        <v>377</v>
      </c>
      <c r="S241" s="334"/>
      <c r="T241" s="334"/>
      <c r="U241" s="334"/>
      <c r="V241" s="334"/>
      <c r="W241" s="334"/>
      <c r="X241" s="334"/>
      <c r="Y241" s="334"/>
      <c r="Z241" s="334"/>
      <c r="AA241" s="334"/>
      <c r="AB241" s="334"/>
      <c r="AC241" s="334"/>
      <c r="AD241" s="334"/>
      <c r="AE241" s="334"/>
      <c r="AF241" s="334"/>
      <c r="AG241" s="334"/>
      <c r="AH241" s="334"/>
      <c r="AI241" s="334"/>
      <c r="AJ241" s="334"/>
      <c r="AK241" s="334"/>
      <c r="AL241" s="334"/>
      <c r="AM241" s="334"/>
      <c r="AN241" s="340"/>
      <c r="AO241" s="317"/>
      <c r="AP241" s="317"/>
      <c r="AQ241" s="317"/>
      <c r="AR241" s="317"/>
      <c r="AS241" s="317"/>
      <c r="AT241" s="53"/>
      <c r="AU241" s="53"/>
      <c r="AV241" s="53"/>
      <c r="AW241" s="53"/>
      <c r="AX241" s="53"/>
      <c r="AY241" s="53"/>
      <c r="AZ241" s="53"/>
      <c r="BA241" s="53"/>
      <c r="BB241" s="53"/>
      <c r="BC241" s="53"/>
      <c r="BD241" s="53"/>
      <c r="BE241" s="53"/>
      <c r="BF241" s="53"/>
      <c r="BG241" s="53"/>
      <c r="BH241" s="53"/>
      <c r="BI241" s="53"/>
      <c r="BJ241" s="53"/>
      <c r="BK241" s="53"/>
      <c r="BL241" s="10"/>
      <c r="BM241" s="10"/>
      <c r="BN241" s="10"/>
      <c r="BO241" s="10"/>
      <c r="BP241" s="10"/>
      <c r="BQ241" s="10"/>
      <c r="BR241" s="10"/>
      <c r="BS241" s="10"/>
      <c r="BT241" s="10"/>
      <c r="BU241" s="10"/>
      <c r="BV241" s="10"/>
      <c r="BW241" s="10"/>
      <c r="BX241" s="10"/>
      <c r="BY241" s="10"/>
      <c r="BZ241" s="10"/>
      <c r="CA241" s="10"/>
      <c r="CB241" s="10"/>
      <c r="CC241" s="10"/>
      <c r="CD241" s="10"/>
      <c r="CE241" s="10"/>
      <c r="CF241" s="10"/>
      <c r="CG241" s="10"/>
      <c r="CH241" s="51"/>
    </row>
    <row r="242" spans="1:86" s="2" customFormat="1" ht="15.75" customHeight="1">
      <c r="A242" s="9"/>
      <c r="B242" s="142"/>
      <c r="D242" s="53"/>
      <c r="E242" s="53"/>
      <c r="F242" s="331">
        <v>7</v>
      </c>
      <c r="G242" s="332"/>
      <c r="H242" s="331" t="s">
        <v>378</v>
      </c>
      <c r="I242" s="334"/>
      <c r="J242" s="334"/>
      <c r="K242" s="334"/>
      <c r="L242" s="334"/>
      <c r="M242" s="334"/>
      <c r="N242" s="334"/>
      <c r="O242" s="334"/>
      <c r="P242" s="334"/>
      <c r="Q242" s="334"/>
      <c r="R242" s="331" t="s">
        <v>379</v>
      </c>
      <c r="S242" s="334"/>
      <c r="T242" s="334"/>
      <c r="U242" s="334"/>
      <c r="V242" s="334"/>
      <c r="W242" s="334"/>
      <c r="X242" s="334"/>
      <c r="Y242" s="334"/>
      <c r="Z242" s="334"/>
      <c r="AA242" s="334"/>
      <c r="AB242" s="334"/>
      <c r="AC242" s="334"/>
      <c r="AD242" s="334"/>
      <c r="AE242" s="334"/>
      <c r="AF242" s="334"/>
      <c r="AG242" s="334"/>
      <c r="AH242" s="334"/>
      <c r="AI242" s="334"/>
      <c r="AJ242" s="334"/>
      <c r="AK242" s="334"/>
      <c r="AL242" s="334"/>
      <c r="AM242" s="334"/>
      <c r="AN242" s="340"/>
      <c r="AO242" s="317"/>
      <c r="AP242" s="317"/>
      <c r="AQ242" s="317"/>
      <c r="AR242" s="317"/>
      <c r="AS242" s="317"/>
      <c r="AT242" s="53"/>
      <c r="AU242" s="53"/>
      <c r="AV242" s="53"/>
      <c r="AW242" s="53"/>
      <c r="AX242" s="53"/>
      <c r="AY242" s="53"/>
      <c r="AZ242" s="53"/>
      <c r="BA242" s="53"/>
      <c r="BB242" s="53"/>
      <c r="BC242" s="53"/>
      <c r="BD242" s="53"/>
      <c r="BE242" s="53"/>
      <c r="BF242" s="53"/>
      <c r="BG242" s="53"/>
      <c r="BH242" s="53"/>
      <c r="BI242" s="53"/>
      <c r="BJ242" s="53"/>
      <c r="BK242" s="53"/>
      <c r="BL242" s="10"/>
      <c r="BM242" s="10"/>
      <c r="BN242" s="10"/>
      <c r="BO242" s="10"/>
      <c r="BP242" s="10"/>
      <c r="BQ242" s="10"/>
      <c r="BR242" s="10"/>
      <c r="BS242" s="10"/>
      <c r="BT242" s="10"/>
      <c r="BU242" s="10"/>
      <c r="BV242" s="10"/>
      <c r="BW242" s="10"/>
      <c r="BX242" s="10"/>
      <c r="BY242" s="10"/>
      <c r="BZ242" s="10"/>
      <c r="CA242" s="10"/>
      <c r="CB242" s="10"/>
      <c r="CC242" s="10"/>
      <c r="CD242" s="10"/>
      <c r="CE242" s="10"/>
      <c r="CF242" s="10"/>
      <c r="CG242" s="10"/>
      <c r="CH242" s="51"/>
    </row>
    <row r="243" spans="1:86" s="2" customFormat="1" ht="15.75" customHeight="1">
      <c r="A243" s="9"/>
      <c r="B243" s="142"/>
      <c r="D243" s="53"/>
      <c r="E243" s="53"/>
      <c r="F243" s="331">
        <v>8</v>
      </c>
      <c r="G243" s="332"/>
      <c r="H243" s="331" t="s">
        <v>380</v>
      </c>
      <c r="I243" s="334"/>
      <c r="J243" s="334"/>
      <c r="K243" s="334"/>
      <c r="L243" s="334"/>
      <c r="M243" s="334"/>
      <c r="N243" s="334"/>
      <c r="O243" s="334"/>
      <c r="P243" s="334"/>
      <c r="Q243" s="334"/>
      <c r="R243" s="331" t="s">
        <v>381</v>
      </c>
      <c r="S243" s="334"/>
      <c r="T243" s="334"/>
      <c r="U243" s="334"/>
      <c r="V243" s="334"/>
      <c r="W243" s="334"/>
      <c r="X243" s="334"/>
      <c r="Y243" s="334"/>
      <c r="Z243" s="334"/>
      <c r="AA243" s="334"/>
      <c r="AB243" s="334"/>
      <c r="AC243" s="334"/>
      <c r="AD243" s="334"/>
      <c r="AE243" s="334"/>
      <c r="AF243" s="334"/>
      <c r="AG243" s="334"/>
      <c r="AH243" s="334"/>
      <c r="AI243" s="334"/>
      <c r="AJ243" s="334"/>
      <c r="AK243" s="334"/>
      <c r="AL243" s="334"/>
      <c r="AM243" s="334"/>
      <c r="AN243" s="340"/>
      <c r="AO243" s="317"/>
      <c r="AP243" s="317"/>
      <c r="AQ243" s="317"/>
      <c r="AR243" s="317"/>
      <c r="AS243" s="317"/>
      <c r="AT243" s="53"/>
      <c r="AU243" s="53"/>
      <c r="AV243" s="53"/>
      <c r="AW243" s="53"/>
      <c r="AX243" s="53"/>
      <c r="AY243" s="53"/>
      <c r="AZ243" s="53"/>
      <c r="BA243" s="53"/>
      <c r="BB243" s="53"/>
      <c r="BC243" s="53"/>
      <c r="BD243" s="53"/>
      <c r="BE243" s="53"/>
      <c r="BF243" s="53"/>
      <c r="BG243" s="53"/>
      <c r="BH243" s="53"/>
      <c r="BI243" s="53"/>
      <c r="BJ243" s="53"/>
      <c r="BK243" s="53"/>
      <c r="BL243" s="10"/>
      <c r="BM243" s="10"/>
      <c r="BN243" s="10"/>
      <c r="BO243" s="10"/>
      <c r="BP243" s="10"/>
      <c r="BQ243" s="10"/>
      <c r="BR243" s="10"/>
      <c r="BS243" s="10"/>
      <c r="BT243" s="10"/>
      <c r="BU243" s="10"/>
      <c r="BV243" s="10"/>
      <c r="BW243" s="10"/>
      <c r="BX243" s="10"/>
      <c r="BY243" s="10"/>
      <c r="BZ243" s="10"/>
      <c r="CA243" s="10"/>
      <c r="CB243" s="10"/>
      <c r="CC243" s="10"/>
      <c r="CD243" s="10"/>
      <c r="CE243" s="10"/>
      <c r="CF243" s="10"/>
      <c r="CG243" s="10"/>
      <c r="CH243" s="51"/>
    </row>
    <row r="244" spans="1:86" s="2" customFormat="1" ht="15.75" customHeight="1">
      <c r="A244" s="9"/>
      <c r="B244" s="142"/>
      <c r="D244" s="53"/>
      <c r="E244" s="53"/>
      <c r="F244" s="331">
        <v>9</v>
      </c>
      <c r="G244" s="332"/>
      <c r="H244" s="331" t="s">
        <v>382</v>
      </c>
      <c r="I244" s="334"/>
      <c r="J244" s="334"/>
      <c r="K244" s="334"/>
      <c r="L244" s="334"/>
      <c r="M244" s="334"/>
      <c r="N244" s="334"/>
      <c r="O244" s="334"/>
      <c r="P244" s="334"/>
      <c r="Q244" s="334"/>
      <c r="R244" s="331" t="s">
        <v>383</v>
      </c>
      <c r="S244" s="334"/>
      <c r="T244" s="334"/>
      <c r="U244" s="334"/>
      <c r="V244" s="334"/>
      <c r="W244" s="334"/>
      <c r="X244" s="334"/>
      <c r="Y244" s="334"/>
      <c r="Z244" s="334"/>
      <c r="AA244" s="334"/>
      <c r="AB244" s="334"/>
      <c r="AC244" s="334"/>
      <c r="AD244" s="334"/>
      <c r="AE244" s="334"/>
      <c r="AF244" s="334"/>
      <c r="AG244" s="334"/>
      <c r="AH244" s="334"/>
      <c r="AI244" s="334"/>
      <c r="AJ244" s="334"/>
      <c r="AK244" s="334"/>
      <c r="AL244" s="334"/>
      <c r="AM244" s="334"/>
      <c r="AN244" s="340"/>
      <c r="AO244" s="317"/>
      <c r="AP244" s="317"/>
      <c r="AQ244" s="317"/>
      <c r="AR244" s="317"/>
      <c r="AS244" s="317"/>
      <c r="AT244" s="53"/>
      <c r="AU244" s="53"/>
      <c r="AV244" s="53"/>
      <c r="AW244" s="53"/>
      <c r="AX244" s="53"/>
      <c r="AY244" s="53"/>
      <c r="AZ244" s="53"/>
      <c r="BA244" s="53"/>
      <c r="BB244" s="53"/>
      <c r="BC244" s="53"/>
      <c r="BD244" s="53"/>
      <c r="BE244" s="53"/>
      <c r="BF244" s="53"/>
      <c r="BG244" s="53"/>
      <c r="BH244" s="53"/>
      <c r="BI244" s="53"/>
      <c r="BJ244" s="53"/>
      <c r="BK244" s="53"/>
      <c r="BL244" s="10"/>
      <c r="BM244" s="10"/>
      <c r="BN244" s="10"/>
      <c r="BO244" s="10"/>
      <c r="BP244" s="10"/>
      <c r="BQ244" s="10"/>
      <c r="BR244" s="10"/>
      <c r="BS244" s="10"/>
      <c r="BT244" s="10"/>
      <c r="BU244" s="10"/>
      <c r="BV244" s="10"/>
      <c r="BW244" s="10"/>
      <c r="BX244" s="10"/>
      <c r="BY244" s="10"/>
      <c r="BZ244" s="10"/>
      <c r="CA244" s="10"/>
      <c r="CB244" s="10"/>
      <c r="CC244" s="10"/>
      <c r="CD244" s="10"/>
      <c r="CE244" s="10"/>
      <c r="CF244" s="10"/>
      <c r="CG244" s="10"/>
      <c r="CH244" s="51"/>
    </row>
    <row r="245" spans="1:86" s="2" customFormat="1" ht="15.75" customHeight="1">
      <c r="A245" s="9"/>
      <c r="B245" s="142"/>
      <c r="D245" s="53"/>
      <c r="E245" s="53"/>
      <c r="F245" s="317"/>
      <c r="G245" s="317"/>
      <c r="H245" s="317"/>
      <c r="I245" s="317"/>
      <c r="J245" s="317"/>
      <c r="K245" s="317"/>
      <c r="L245" s="317"/>
      <c r="M245" s="317"/>
      <c r="N245" s="317"/>
      <c r="O245" s="317"/>
      <c r="P245" s="317"/>
      <c r="Q245" s="317"/>
      <c r="R245" s="53"/>
      <c r="S245" s="53"/>
      <c r="T245" s="53"/>
      <c r="U245" s="53"/>
      <c r="V245" s="53"/>
      <c r="W245" s="53"/>
      <c r="X245" s="53"/>
      <c r="Y245" s="53"/>
      <c r="Z245" s="53"/>
      <c r="AA245" s="53"/>
      <c r="AB245" s="53"/>
      <c r="AC245" s="53"/>
      <c r="AD245" s="53"/>
      <c r="AE245" s="53"/>
      <c r="AF245" s="53"/>
      <c r="AG245" s="53"/>
      <c r="AH245" s="317"/>
      <c r="AI245" s="317"/>
      <c r="AJ245" s="317"/>
      <c r="AK245" s="317"/>
      <c r="AL245" s="317"/>
      <c r="AM245" s="317"/>
      <c r="AN245" s="317"/>
      <c r="AO245" s="317"/>
      <c r="AP245" s="317"/>
      <c r="AQ245" s="317"/>
      <c r="AR245" s="317"/>
      <c r="AS245" s="317"/>
      <c r="AT245" s="53"/>
      <c r="AU245" s="53"/>
      <c r="AV245" s="53"/>
      <c r="AW245" s="53"/>
      <c r="AX245" s="53"/>
      <c r="AY245" s="53"/>
      <c r="AZ245" s="53"/>
      <c r="BA245" s="53"/>
      <c r="BB245" s="53"/>
      <c r="BC245" s="53"/>
      <c r="BD245" s="53"/>
      <c r="BE245" s="53"/>
      <c r="BF245" s="53"/>
      <c r="BG245" s="53"/>
      <c r="BH245" s="53"/>
      <c r="BI245" s="53"/>
      <c r="BJ245" s="53"/>
      <c r="BK245" s="53"/>
      <c r="BL245" s="10"/>
      <c r="BM245" s="10"/>
      <c r="BN245" s="10"/>
      <c r="BO245" s="10"/>
      <c r="BP245" s="10"/>
      <c r="BQ245" s="10"/>
      <c r="BR245" s="10"/>
      <c r="BS245" s="10"/>
      <c r="BT245" s="10"/>
      <c r="BU245" s="10"/>
      <c r="BV245" s="10"/>
      <c r="BW245" s="10"/>
      <c r="BX245" s="10"/>
      <c r="BY245" s="10"/>
      <c r="BZ245" s="10"/>
      <c r="CA245" s="10"/>
      <c r="CB245" s="10"/>
      <c r="CC245" s="10"/>
      <c r="CD245" s="10"/>
      <c r="CE245" s="10"/>
      <c r="CF245" s="10"/>
      <c r="CG245" s="10"/>
      <c r="CH245" s="51"/>
    </row>
    <row r="246" spans="1:86" s="2" customFormat="1" ht="15.75" customHeight="1">
      <c r="A246" s="9"/>
      <c r="B246" s="142"/>
      <c r="D246" s="284" t="s">
        <v>384</v>
      </c>
      <c r="E246" s="53"/>
      <c r="F246" s="317"/>
      <c r="G246" s="317"/>
      <c r="H246" s="317"/>
      <c r="I246" s="317"/>
      <c r="J246" s="317"/>
      <c r="K246" s="317"/>
      <c r="L246" s="317"/>
      <c r="M246" s="317"/>
      <c r="N246" s="317"/>
      <c r="O246" s="317"/>
      <c r="P246" s="317"/>
      <c r="Q246" s="317"/>
      <c r="R246" s="53"/>
      <c r="S246" s="53"/>
      <c r="T246" s="53"/>
      <c r="U246" s="53"/>
      <c r="V246" s="53"/>
      <c r="W246" s="53"/>
      <c r="X246" s="53"/>
      <c r="Y246" s="53"/>
      <c r="Z246" s="53"/>
      <c r="AA246" s="53"/>
      <c r="AB246" s="53"/>
      <c r="AC246" s="53"/>
      <c r="AD246" s="53"/>
      <c r="AE246" s="53"/>
      <c r="AF246" s="53"/>
      <c r="AG246" s="53"/>
      <c r="AH246" s="317"/>
      <c r="AI246" s="317"/>
      <c r="AJ246" s="317"/>
      <c r="AK246" s="317"/>
      <c r="AL246" s="317"/>
      <c r="AM246" s="317"/>
      <c r="AN246" s="317"/>
      <c r="AO246" s="317"/>
      <c r="AP246" s="317"/>
      <c r="AQ246" s="317"/>
      <c r="AR246" s="317"/>
      <c r="AS246" s="317"/>
      <c r="AT246" s="53"/>
      <c r="AU246" s="53"/>
      <c r="AV246" s="53"/>
      <c r="AW246" s="53"/>
      <c r="AX246" s="53"/>
      <c r="AY246" s="53"/>
      <c r="AZ246" s="53"/>
      <c r="BA246" s="53"/>
      <c r="BB246" s="53"/>
      <c r="BC246" s="53"/>
      <c r="BD246" s="53"/>
      <c r="BE246" s="53"/>
      <c r="BF246" s="53"/>
      <c r="BG246" s="53"/>
      <c r="BH246" s="53"/>
      <c r="BI246" s="53"/>
      <c r="BJ246" s="53"/>
      <c r="BK246" s="53"/>
      <c r="BL246" s="10"/>
      <c r="BM246" s="10"/>
      <c r="BN246" s="10"/>
      <c r="BO246" s="10"/>
      <c r="BP246" s="10"/>
      <c r="BQ246" s="10"/>
      <c r="BR246" s="10"/>
      <c r="BS246" s="10"/>
      <c r="BT246" s="10"/>
      <c r="BU246" s="10"/>
      <c r="BV246" s="10"/>
      <c r="BW246" s="10"/>
      <c r="BX246" s="10"/>
      <c r="BY246" s="10"/>
      <c r="BZ246" s="10"/>
      <c r="CA246" s="10"/>
      <c r="CB246" s="10"/>
      <c r="CC246" s="10"/>
      <c r="CD246" s="10"/>
      <c r="CE246" s="10"/>
      <c r="CF246" s="10"/>
      <c r="CG246" s="10"/>
      <c r="CH246" s="51"/>
    </row>
    <row r="247" spans="1:86" s="2" customFormat="1" ht="15.75" customHeight="1">
      <c r="A247" s="9"/>
      <c r="B247" s="142"/>
      <c r="D247" s="53"/>
      <c r="E247" s="53" t="s">
        <v>385</v>
      </c>
      <c r="F247" s="317"/>
      <c r="G247" s="317"/>
      <c r="H247" s="317"/>
      <c r="I247" s="317"/>
      <c r="J247" s="317"/>
      <c r="K247" s="317"/>
      <c r="L247" s="317"/>
      <c r="M247" s="317"/>
      <c r="N247" s="317"/>
      <c r="O247" s="317"/>
      <c r="P247" s="317"/>
      <c r="Q247" s="317"/>
      <c r="R247" s="53"/>
      <c r="S247" s="53"/>
      <c r="T247" s="53"/>
      <c r="U247" s="53"/>
      <c r="V247" s="53"/>
      <c r="W247" s="53"/>
      <c r="X247" s="53"/>
      <c r="Y247" s="53"/>
      <c r="Z247" s="53"/>
      <c r="AA247" s="53"/>
      <c r="AB247" s="53"/>
      <c r="AC247" s="53"/>
      <c r="AD247" s="53"/>
      <c r="AE247" s="53"/>
      <c r="AF247" s="53"/>
      <c r="AG247" s="53"/>
      <c r="AH247" s="317"/>
      <c r="AI247" s="317"/>
      <c r="AJ247" s="317"/>
      <c r="AK247" s="317"/>
      <c r="AL247" s="317"/>
      <c r="AM247" s="317"/>
      <c r="AN247" s="317"/>
      <c r="AO247" s="317"/>
      <c r="AP247" s="317"/>
      <c r="AQ247" s="317"/>
      <c r="AR247" s="317"/>
      <c r="AS247" s="317"/>
      <c r="AT247" s="53"/>
      <c r="AU247" s="53"/>
      <c r="AV247" s="53"/>
      <c r="AW247" s="53"/>
      <c r="AX247" s="53"/>
      <c r="AY247" s="53"/>
      <c r="AZ247" s="53"/>
      <c r="BA247" s="53"/>
      <c r="BB247" s="53"/>
      <c r="BC247" s="53"/>
      <c r="BD247" s="53"/>
      <c r="BE247" s="53"/>
      <c r="BF247" s="53"/>
      <c r="BG247" s="53"/>
      <c r="BH247" s="53"/>
      <c r="BI247" s="53"/>
      <c r="BJ247" s="53"/>
      <c r="BK247" s="53"/>
      <c r="BL247" s="10"/>
      <c r="BM247" s="10"/>
      <c r="BN247" s="10"/>
      <c r="BO247" s="10"/>
      <c r="BP247" s="10"/>
      <c r="BQ247" s="10"/>
      <c r="BR247" s="10"/>
      <c r="BS247" s="10"/>
      <c r="BT247" s="10"/>
      <c r="BU247" s="10"/>
      <c r="BV247" s="10"/>
      <c r="BW247" s="10"/>
      <c r="BX247" s="10"/>
      <c r="BY247" s="10"/>
      <c r="BZ247" s="10"/>
      <c r="CA247" s="10"/>
      <c r="CB247" s="10"/>
      <c r="CC247" s="10"/>
      <c r="CD247" s="10"/>
      <c r="CE247" s="10"/>
      <c r="CF247" s="10"/>
      <c r="CG247" s="10"/>
      <c r="CH247" s="51"/>
    </row>
    <row r="248" spans="1:86" s="2" customFormat="1" ht="15.75" customHeight="1">
      <c r="A248" s="9"/>
      <c r="B248" s="142"/>
      <c r="D248" s="53"/>
      <c r="E248" s="2" t="s">
        <v>128</v>
      </c>
      <c r="F248" s="53" t="s">
        <v>386</v>
      </c>
      <c r="G248" s="317"/>
      <c r="H248" s="328"/>
      <c r="I248" s="328"/>
      <c r="J248" s="328"/>
      <c r="K248" s="328"/>
      <c r="L248" s="328"/>
      <c r="M248" s="328"/>
      <c r="N248" s="328"/>
      <c r="O248" s="328"/>
      <c r="P248" s="328"/>
      <c r="Q248" s="328"/>
      <c r="R248" s="335"/>
      <c r="S248" s="335"/>
      <c r="T248" s="335"/>
      <c r="U248" s="335"/>
      <c r="V248" s="335"/>
      <c r="W248" s="335"/>
      <c r="X248" s="335"/>
      <c r="Y248" s="335"/>
      <c r="Z248" s="335"/>
      <c r="AA248" s="335"/>
      <c r="AB248" s="335"/>
      <c r="AC248" s="335"/>
      <c r="AD248" s="335"/>
      <c r="AE248" s="335"/>
      <c r="AF248" s="335"/>
      <c r="AG248" s="335"/>
      <c r="AH248" s="328"/>
      <c r="AI248" s="328"/>
      <c r="AJ248" s="328"/>
      <c r="AK248" s="328"/>
      <c r="AL248" s="328"/>
      <c r="AM248" s="328"/>
      <c r="AN248" s="328"/>
      <c r="AO248" s="328"/>
      <c r="AP248" s="328"/>
      <c r="AQ248" s="328"/>
      <c r="AR248" s="328"/>
      <c r="AS248" s="328"/>
      <c r="AT248" s="335"/>
      <c r="AU248" s="335"/>
      <c r="AV248" s="335"/>
      <c r="AW248" s="335"/>
      <c r="AX248" s="53"/>
      <c r="AY248" s="53"/>
      <c r="AZ248" s="53"/>
      <c r="BA248" s="53"/>
      <c r="BB248" s="53"/>
      <c r="BC248" s="53"/>
      <c r="BD248" s="53"/>
      <c r="BE248" s="53"/>
      <c r="BF248" s="53"/>
      <c r="BG248" s="53"/>
      <c r="BH248" s="53"/>
      <c r="BI248" s="53"/>
      <c r="BJ248" s="53"/>
      <c r="BK248" s="53"/>
      <c r="BL248" s="10"/>
      <c r="BM248" s="10"/>
      <c r="BN248" s="10"/>
      <c r="BO248" s="10"/>
      <c r="BP248" s="10"/>
      <c r="BQ248" s="10"/>
      <c r="BR248" s="10"/>
      <c r="BS248" s="10"/>
      <c r="BT248" s="10"/>
      <c r="BU248" s="10"/>
      <c r="BV248" s="10"/>
      <c r="BW248" s="10"/>
      <c r="BX248" s="10"/>
      <c r="BY248" s="10"/>
      <c r="BZ248" s="10"/>
      <c r="CA248" s="10"/>
      <c r="CB248" s="10"/>
      <c r="CC248" s="10"/>
      <c r="CD248" s="10"/>
      <c r="CE248" s="10"/>
      <c r="CF248" s="10"/>
      <c r="CG248" s="10"/>
      <c r="CH248" s="51"/>
    </row>
    <row r="249" spans="1:86" s="2" customFormat="1" ht="15.75" customHeight="1">
      <c r="A249" s="9"/>
      <c r="B249" s="142"/>
      <c r="D249" s="53"/>
      <c r="G249" s="53" t="s">
        <v>387</v>
      </c>
      <c r="H249" s="328"/>
      <c r="I249" s="328"/>
      <c r="J249" s="328"/>
      <c r="K249" s="328"/>
      <c r="L249" s="328"/>
      <c r="M249" s="328"/>
      <c r="N249" s="328"/>
      <c r="O249" s="328"/>
      <c r="P249" s="328"/>
      <c r="Q249" s="328"/>
      <c r="R249" s="335"/>
      <c r="S249" s="335"/>
      <c r="T249" s="335"/>
      <c r="U249" s="335"/>
      <c r="V249" s="335"/>
      <c r="W249" s="335"/>
      <c r="X249" s="335"/>
      <c r="Y249" s="335"/>
      <c r="Z249" s="335"/>
      <c r="AA249" s="335"/>
      <c r="AB249" s="335"/>
      <c r="AC249" s="335"/>
      <c r="AD249" s="335"/>
      <c r="AE249" s="335"/>
      <c r="AF249" s="335"/>
      <c r="AG249" s="335"/>
      <c r="AH249" s="328"/>
      <c r="AI249" s="328"/>
      <c r="AJ249" s="328"/>
      <c r="AK249" s="328"/>
      <c r="AL249" s="328"/>
      <c r="AM249" s="328"/>
      <c r="AN249" s="328"/>
      <c r="AO249" s="328"/>
      <c r="AP249" s="328"/>
      <c r="AQ249" s="328"/>
      <c r="AR249" s="328"/>
      <c r="AS249" s="328"/>
      <c r="AT249" s="335"/>
      <c r="AU249" s="335"/>
      <c r="AV249" s="335"/>
      <c r="AW249" s="335"/>
      <c r="AX249" s="53"/>
      <c r="AY249" s="53"/>
      <c r="AZ249" s="53"/>
      <c r="BA249" s="53"/>
      <c r="BB249" s="53"/>
      <c r="BC249" s="53"/>
      <c r="BD249" s="53"/>
      <c r="BE249" s="53"/>
      <c r="BF249" s="53"/>
      <c r="BG249" s="53"/>
      <c r="BH249" s="53"/>
      <c r="BI249" s="53"/>
      <c r="BJ249" s="53"/>
      <c r="BK249" s="53"/>
      <c r="BL249" s="10"/>
      <c r="BM249" s="10"/>
      <c r="BN249" s="10"/>
      <c r="BO249" s="10"/>
      <c r="BP249" s="10"/>
      <c r="BQ249" s="10"/>
      <c r="BR249" s="10"/>
      <c r="BS249" s="10"/>
      <c r="BT249" s="10"/>
      <c r="BU249" s="10"/>
      <c r="BV249" s="10"/>
      <c r="BW249" s="10"/>
      <c r="BX249" s="10"/>
      <c r="BY249" s="10"/>
      <c r="BZ249" s="10"/>
      <c r="CA249" s="10"/>
      <c r="CB249" s="10"/>
      <c r="CC249" s="10"/>
      <c r="CD249" s="10"/>
      <c r="CE249" s="10"/>
      <c r="CF249" s="10"/>
      <c r="CG249" s="10"/>
      <c r="CH249" s="51"/>
    </row>
    <row r="250" spans="1:86" s="2" customFormat="1" ht="15.75" customHeight="1">
      <c r="A250" s="9"/>
      <c r="B250" s="142"/>
      <c r="D250" s="53"/>
      <c r="E250" s="53"/>
      <c r="F250" s="317"/>
      <c r="G250" s="317"/>
      <c r="H250" s="328" t="s">
        <v>388</v>
      </c>
      <c r="I250" s="328"/>
      <c r="J250" s="328"/>
      <c r="K250" s="328"/>
      <c r="L250" s="328"/>
      <c r="M250" s="328"/>
      <c r="N250" s="328"/>
      <c r="O250" s="328"/>
      <c r="P250" s="328"/>
      <c r="Q250" s="328"/>
      <c r="R250" s="335"/>
      <c r="S250" s="335"/>
      <c r="T250" s="335"/>
      <c r="U250" s="335"/>
      <c r="V250" s="335"/>
      <c r="W250" s="335"/>
      <c r="X250" s="335"/>
      <c r="Y250" s="335"/>
      <c r="Z250" s="335"/>
      <c r="AA250" s="335"/>
      <c r="AB250" s="335"/>
      <c r="AC250" s="335"/>
      <c r="AD250" s="335"/>
      <c r="AE250" s="335"/>
      <c r="AF250" s="335"/>
      <c r="AG250" s="335"/>
      <c r="AH250" s="328"/>
      <c r="AI250" s="328"/>
      <c r="AJ250" s="328"/>
      <c r="AK250" s="328"/>
      <c r="AL250" s="328"/>
      <c r="AM250" s="328"/>
      <c r="AN250" s="328"/>
      <c r="AO250" s="328"/>
      <c r="AP250" s="328"/>
      <c r="AQ250" s="328"/>
      <c r="AR250" s="328"/>
      <c r="AS250" s="328"/>
      <c r="AT250" s="335"/>
      <c r="AU250" s="335"/>
      <c r="AV250" s="335"/>
      <c r="AW250" s="335"/>
      <c r="AX250" s="53"/>
      <c r="AY250" s="53"/>
      <c r="AZ250" s="53"/>
      <c r="BA250" s="53"/>
      <c r="BB250" s="53"/>
      <c r="BC250" s="53"/>
      <c r="BD250" s="53"/>
      <c r="BE250" s="53"/>
      <c r="BF250" s="53"/>
      <c r="BG250" s="53"/>
      <c r="BH250" s="53"/>
      <c r="BI250" s="53"/>
      <c r="BJ250" s="53"/>
      <c r="BK250" s="53"/>
      <c r="BL250" s="10"/>
      <c r="BM250" s="10"/>
      <c r="BN250" s="10"/>
      <c r="BO250" s="10"/>
      <c r="BP250" s="10"/>
      <c r="BQ250" s="10"/>
      <c r="BR250" s="10"/>
      <c r="BS250" s="10"/>
      <c r="BT250" s="10"/>
      <c r="BU250" s="10"/>
      <c r="BV250" s="10"/>
      <c r="BW250" s="10"/>
      <c r="BX250" s="10"/>
      <c r="BY250" s="10"/>
      <c r="BZ250" s="10"/>
      <c r="CA250" s="10"/>
      <c r="CB250" s="10"/>
      <c r="CC250" s="10"/>
      <c r="CD250" s="10"/>
      <c r="CE250" s="10"/>
      <c r="CF250" s="10"/>
      <c r="CG250" s="10"/>
      <c r="CH250" s="51"/>
    </row>
    <row r="251" spans="1:86" s="2" customFormat="1" ht="15.75" customHeight="1">
      <c r="A251" s="9"/>
      <c r="B251" s="142"/>
      <c r="D251" s="53"/>
      <c r="G251" s="53" t="s">
        <v>389</v>
      </c>
      <c r="H251" s="328"/>
      <c r="I251" s="328"/>
      <c r="J251" s="328"/>
      <c r="K251" s="328"/>
      <c r="L251" s="328"/>
      <c r="M251" s="328"/>
      <c r="N251" s="328"/>
      <c r="O251" s="328"/>
      <c r="P251" s="328"/>
      <c r="Q251" s="328"/>
      <c r="R251" s="335"/>
      <c r="S251" s="335"/>
      <c r="T251" s="335"/>
      <c r="U251" s="335"/>
      <c r="V251" s="335"/>
      <c r="W251" s="335"/>
      <c r="X251" s="335"/>
      <c r="Y251" s="335"/>
      <c r="Z251" s="335"/>
      <c r="AA251" s="335"/>
      <c r="AB251" s="335"/>
      <c r="AC251" s="335"/>
      <c r="AD251" s="335"/>
      <c r="AE251" s="335"/>
      <c r="AF251" s="335"/>
      <c r="AG251" s="335"/>
      <c r="AH251" s="328"/>
      <c r="AI251" s="328"/>
      <c r="AJ251" s="328"/>
      <c r="AK251" s="328"/>
      <c r="AL251" s="328"/>
      <c r="AM251" s="328"/>
      <c r="AN251" s="328"/>
      <c r="AO251" s="328"/>
      <c r="AP251" s="328"/>
      <c r="AQ251" s="328"/>
      <c r="AR251" s="328"/>
      <c r="AS251" s="328"/>
      <c r="AT251" s="335"/>
      <c r="AU251" s="335"/>
      <c r="AV251" s="335"/>
      <c r="AW251" s="335"/>
      <c r="AX251" s="53"/>
      <c r="AY251" s="53"/>
      <c r="AZ251" s="53"/>
      <c r="BA251" s="53"/>
      <c r="BB251" s="53"/>
      <c r="BC251" s="53"/>
      <c r="BD251" s="53"/>
      <c r="BE251" s="53"/>
      <c r="BF251" s="53"/>
      <c r="BG251" s="53"/>
      <c r="BH251" s="53"/>
      <c r="BI251" s="53"/>
      <c r="BJ251" s="53"/>
      <c r="BK251" s="53"/>
      <c r="BL251" s="10"/>
      <c r="BM251" s="10"/>
      <c r="BN251" s="10"/>
      <c r="BO251" s="10"/>
      <c r="BP251" s="10"/>
      <c r="BQ251" s="10"/>
      <c r="BR251" s="10"/>
      <c r="BS251" s="10"/>
      <c r="BT251" s="10"/>
      <c r="BU251" s="10"/>
      <c r="BV251" s="10"/>
      <c r="BW251" s="10"/>
      <c r="BX251" s="10"/>
      <c r="BY251" s="10"/>
      <c r="BZ251" s="10"/>
      <c r="CA251" s="10"/>
      <c r="CB251" s="10"/>
      <c r="CC251" s="10"/>
      <c r="CD251" s="10"/>
      <c r="CE251" s="10"/>
      <c r="CF251" s="10"/>
      <c r="CG251" s="10"/>
      <c r="CH251" s="51"/>
    </row>
    <row r="252" spans="1:86" s="2" customFormat="1" ht="15.75" customHeight="1">
      <c r="A252" s="9"/>
      <c r="B252" s="142"/>
      <c r="D252" s="53"/>
      <c r="E252" s="53"/>
      <c r="F252" s="317"/>
      <c r="G252" s="317"/>
      <c r="H252" s="328" t="s">
        <v>390</v>
      </c>
      <c r="I252" s="328"/>
      <c r="J252" s="328"/>
      <c r="K252" s="328"/>
      <c r="L252" s="328"/>
      <c r="M252" s="328"/>
      <c r="N252" s="328"/>
      <c r="O252" s="328"/>
      <c r="P252" s="328"/>
      <c r="Q252" s="328"/>
      <c r="R252" s="335"/>
      <c r="S252" s="335"/>
      <c r="T252" s="335"/>
      <c r="U252" s="335"/>
      <c r="V252" s="335"/>
      <c r="W252" s="335"/>
      <c r="X252" s="335"/>
      <c r="Y252" s="335"/>
      <c r="Z252" s="335"/>
      <c r="AA252" s="335"/>
      <c r="AB252" s="335"/>
      <c r="AC252" s="335"/>
      <c r="AD252" s="335"/>
      <c r="AE252" s="335"/>
      <c r="AF252" s="335"/>
      <c r="AG252" s="335"/>
      <c r="AH252" s="328"/>
      <c r="AI252" s="328"/>
      <c r="AJ252" s="328"/>
      <c r="AK252" s="328"/>
      <c r="AL252" s="328"/>
      <c r="AM252" s="328"/>
      <c r="AN252" s="328"/>
      <c r="AO252" s="328"/>
      <c r="AP252" s="328"/>
      <c r="AQ252" s="328"/>
      <c r="AR252" s="328"/>
      <c r="AS252" s="328"/>
      <c r="AT252" s="335"/>
      <c r="AU252" s="335"/>
      <c r="AV252" s="335"/>
      <c r="AW252" s="335"/>
      <c r="AX252" s="53"/>
      <c r="AY252" s="53"/>
      <c r="AZ252" s="53"/>
      <c r="BA252" s="53"/>
      <c r="BB252" s="53"/>
      <c r="BC252" s="53"/>
      <c r="BD252" s="53"/>
      <c r="BE252" s="53"/>
      <c r="BF252" s="53"/>
      <c r="BG252" s="53"/>
      <c r="BH252" s="53"/>
      <c r="BI252" s="53"/>
      <c r="BJ252" s="53"/>
      <c r="BK252" s="53"/>
      <c r="BL252" s="10"/>
      <c r="BM252" s="10"/>
      <c r="BN252" s="10"/>
      <c r="BO252" s="10"/>
      <c r="BP252" s="10"/>
      <c r="BQ252" s="10"/>
      <c r="BR252" s="10"/>
      <c r="BS252" s="10"/>
      <c r="BT252" s="10"/>
      <c r="BU252" s="10"/>
      <c r="BV252" s="10"/>
      <c r="BW252" s="10"/>
      <c r="BX252" s="10"/>
      <c r="BY252" s="10"/>
      <c r="BZ252" s="10"/>
      <c r="CA252" s="10"/>
      <c r="CB252" s="10"/>
      <c r="CC252" s="10"/>
      <c r="CD252" s="10"/>
      <c r="CE252" s="10"/>
      <c r="CF252" s="10"/>
      <c r="CG252" s="10"/>
      <c r="CH252" s="51"/>
    </row>
    <row r="253" spans="1:86" s="2" customFormat="1" ht="15.75" customHeight="1">
      <c r="A253" s="9"/>
      <c r="B253" s="142"/>
      <c r="D253" s="53"/>
      <c r="G253" s="53" t="s">
        <v>391</v>
      </c>
      <c r="H253" s="328"/>
      <c r="I253" s="328"/>
      <c r="J253" s="328"/>
      <c r="K253" s="328"/>
      <c r="L253" s="328"/>
      <c r="M253" s="328"/>
      <c r="N253" s="328"/>
      <c r="O253" s="328"/>
      <c r="P253" s="328"/>
      <c r="Q253" s="328"/>
      <c r="R253" s="335"/>
      <c r="S253" s="335"/>
      <c r="T253" s="335"/>
      <c r="U253" s="335"/>
      <c r="V253" s="335"/>
      <c r="W253" s="335"/>
      <c r="X253" s="335"/>
      <c r="Y253" s="335"/>
      <c r="Z253" s="335"/>
      <c r="AA253" s="335"/>
      <c r="AB253" s="335"/>
      <c r="AC253" s="335"/>
      <c r="AD253" s="335"/>
      <c r="AE253" s="335"/>
      <c r="AF253" s="335"/>
      <c r="AG253" s="335"/>
      <c r="AH253" s="328"/>
      <c r="AI253" s="328"/>
      <c r="AJ253" s="328"/>
      <c r="AK253" s="328"/>
      <c r="AL253" s="328"/>
      <c r="AM253" s="328"/>
      <c r="AN253" s="328"/>
      <c r="AO253" s="328"/>
      <c r="AP253" s="328"/>
      <c r="AQ253" s="328"/>
      <c r="AR253" s="328"/>
      <c r="AS253" s="328"/>
      <c r="AT253" s="335"/>
      <c r="AU253" s="335"/>
      <c r="AV253" s="335"/>
      <c r="AW253" s="335"/>
      <c r="AX253" s="53"/>
      <c r="AY253" s="53"/>
      <c r="AZ253" s="53"/>
      <c r="BA253" s="53"/>
      <c r="BB253" s="53"/>
      <c r="BC253" s="53"/>
      <c r="BD253" s="53"/>
      <c r="BE253" s="53"/>
      <c r="BF253" s="53"/>
      <c r="BG253" s="53"/>
      <c r="BH253" s="53"/>
      <c r="BI253" s="53"/>
      <c r="BJ253" s="53"/>
      <c r="BK253" s="53"/>
      <c r="BL253" s="10"/>
      <c r="BM253" s="10"/>
      <c r="BN253" s="10"/>
      <c r="BO253" s="10"/>
      <c r="BP253" s="10"/>
      <c r="BQ253" s="10"/>
      <c r="BR253" s="10"/>
      <c r="BS253" s="10"/>
      <c r="BT253" s="10"/>
      <c r="BU253" s="10"/>
      <c r="BV253" s="10"/>
      <c r="BW253" s="10"/>
      <c r="BX253" s="10"/>
      <c r="BY253" s="10"/>
      <c r="BZ253" s="10"/>
      <c r="CA253" s="10"/>
      <c r="CB253" s="10"/>
      <c r="CC253" s="10"/>
      <c r="CD253" s="10"/>
      <c r="CE253" s="10"/>
      <c r="CF253" s="10"/>
      <c r="CG253" s="10"/>
      <c r="CH253" s="51"/>
    </row>
    <row r="254" spans="1:86" s="2" customFormat="1" ht="15.75" customHeight="1">
      <c r="A254" s="9"/>
      <c r="B254" s="142"/>
      <c r="D254" s="53"/>
      <c r="E254" s="2" t="s">
        <v>128</v>
      </c>
      <c r="F254" s="53" t="s">
        <v>392</v>
      </c>
      <c r="G254" s="317"/>
      <c r="H254" s="328"/>
      <c r="I254" s="328"/>
      <c r="J254" s="328"/>
      <c r="K254" s="328"/>
      <c r="L254" s="328"/>
      <c r="M254" s="328"/>
      <c r="N254" s="328"/>
      <c r="O254" s="328"/>
      <c r="P254" s="328"/>
      <c r="Q254" s="328"/>
      <c r="R254" s="335"/>
      <c r="S254" s="335"/>
      <c r="T254" s="335"/>
      <c r="U254" s="335"/>
      <c r="V254" s="335"/>
      <c r="W254" s="335"/>
      <c r="X254" s="335"/>
      <c r="Y254" s="335"/>
      <c r="Z254" s="335"/>
      <c r="AA254" s="335"/>
      <c r="AB254" s="335"/>
      <c r="AC254" s="335"/>
      <c r="AD254" s="335"/>
      <c r="AE254" s="335"/>
      <c r="AF254" s="335"/>
      <c r="AG254" s="335"/>
      <c r="AH254" s="328"/>
      <c r="AI254" s="328"/>
      <c r="AJ254" s="328"/>
      <c r="AK254" s="328"/>
      <c r="AL254" s="328"/>
      <c r="AM254" s="328"/>
      <c r="AN254" s="328"/>
      <c r="AO254" s="328"/>
      <c r="AP254" s="328"/>
      <c r="AQ254" s="328"/>
      <c r="AR254" s="328"/>
      <c r="AS254" s="328"/>
      <c r="AT254" s="335"/>
      <c r="AU254" s="335"/>
      <c r="AV254" s="335"/>
      <c r="AW254" s="335"/>
      <c r="AX254" s="53"/>
      <c r="AY254" s="53"/>
      <c r="AZ254" s="53"/>
      <c r="BA254" s="53"/>
      <c r="BB254" s="53"/>
      <c r="BC254" s="53"/>
      <c r="BD254" s="53"/>
      <c r="BE254" s="53"/>
      <c r="BF254" s="53"/>
      <c r="BG254" s="53"/>
      <c r="BH254" s="53"/>
      <c r="BI254" s="53"/>
      <c r="BJ254" s="53"/>
      <c r="BK254" s="53"/>
      <c r="BL254" s="10"/>
      <c r="BM254" s="10"/>
      <c r="BN254" s="10"/>
      <c r="BO254" s="10"/>
      <c r="BP254" s="10"/>
      <c r="BQ254" s="10"/>
      <c r="BR254" s="10"/>
      <c r="BS254" s="10"/>
      <c r="BT254" s="10"/>
      <c r="BU254" s="10"/>
      <c r="BV254" s="10"/>
      <c r="BW254" s="10"/>
      <c r="BX254" s="10"/>
      <c r="BY254" s="10"/>
      <c r="BZ254" s="10"/>
      <c r="CA254" s="10"/>
      <c r="CB254" s="10"/>
      <c r="CC254" s="10"/>
      <c r="CD254" s="10"/>
      <c r="CE254" s="10"/>
      <c r="CF254" s="10"/>
      <c r="CG254" s="10"/>
      <c r="CH254" s="51"/>
    </row>
    <row r="255" spans="1:86" s="2" customFormat="1" ht="15.75" customHeight="1">
      <c r="A255" s="9"/>
      <c r="B255" s="142"/>
      <c r="D255" s="53"/>
      <c r="G255" s="53" t="s">
        <v>393</v>
      </c>
      <c r="H255" s="328"/>
      <c r="I255" s="328"/>
      <c r="J255" s="328"/>
      <c r="K255" s="328"/>
      <c r="L255" s="328"/>
      <c r="M255" s="328"/>
      <c r="N255" s="328"/>
      <c r="O255" s="328"/>
      <c r="P255" s="328"/>
      <c r="Q255" s="328"/>
      <c r="R255" s="335"/>
      <c r="S255" s="335"/>
      <c r="T255" s="335"/>
      <c r="U255" s="335"/>
      <c r="V255" s="335"/>
      <c r="W255" s="335"/>
      <c r="X255" s="335"/>
      <c r="Y255" s="335"/>
      <c r="Z255" s="335"/>
      <c r="AA255" s="335"/>
      <c r="AB255" s="335"/>
      <c r="AC255" s="335"/>
      <c r="AD255" s="335"/>
      <c r="AE255" s="335"/>
      <c r="AF255" s="335"/>
      <c r="AG255" s="335"/>
      <c r="AH255" s="328"/>
      <c r="AI255" s="328"/>
      <c r="AJ255" s="328"/>
      <c r="AK255" s="328"/>
      <c r="AL255" s="328"/>
      <c r="AM255" s="328"/>
      <c r="AN255" s="328"/>
      <c r="AO255" s="328"/>
      <c r="AP255" s="328"/>
      <c r="AQ255" s="328"/>
      <c r="AR255" s="328"/>
      <c r="AS255" s="328"/>
      <c r="AT255" s="335"/>
      <c r="AU255" s="335"/>
      <c r="AV255" s="335"/>
      <c r="AW255" s="335"/>
      <c r="AX255" s="53"/>
      <c r="AY255" s="53"/>
      <c r="AZ255" s="53"/>
      <c r="BA255" s="53"/>
      <c r="BB255" s="53"/>
      <c r="BC255" s="53"/>
      <c r="BD255" s="53"/>
      <c r="BE255" s="53"/>
      <c r="BF255" s="53"/>
      <c r="BG255" s="53"/>
      <c r="BH255" s="53"/>
      <c r="BI255" s="53"/>
      <c r="BJ255" s="53"/>
      <c r="BK255" s="53"/>
      <c r="BL255" s="10"/>
      <c r="BM255" s="10"/>
      <c r="BN255" s="10"/>
      <c r="BO255" s="10"/>
      <c r="BP255" s="10"/>
      <c r="BQ255" s="10"/>
      <c r="BR255" s="10"/>
      <c r="BS255" s="10"/>
      <c r="BT255" s="10"/>
      <c r="BU255" s="10"/>
      <c r="BV255" s="10"/>
      <c r="BW255" s="10"/>
      <c r="BX255" s="10"/>
      <c r="BY255" s="10"/>
      <c r="BZ255" s="10"/>
      <c r="CA255" s="10"/>
      <c r="CB255" s="10"/>
      <c r="CC255" s="10"/>
      <c r="CD255" s="10"/>
      <c r="CE255" s="10"/>
      <c r="CF255" s="10"/>
      <c r="CG255" s="10"/>
      <c r="CH255" s="51"/>
    </row>
    <row r="256" spans="1:86" s="2" customFormat="1" ht="15.75" customHeight="1">
      <c r="A256" s="9"/>
      <c r="B256" s="142"/>
      <c r="D256" s="53"/>
      <c r="E256" s="53"/>
      <c r="F256" s="317"/>
      <c r="G256" s="317"/>
      <c r="H256" s="328"/>
      <c r="I256" s="328"/>
      <c r="J256" s="328"/>
      <c r="K256" s="328"/>
      <c r="L256" s="328"/>
      <c r="M256" s="328"/>
      <c r="N256" s="328"/>
      <c r="O256" s="328"/>
      <c r="P256" s="328"/>
      <c r="Q256" s="328"/>
      <c r="R256" s="335"/>
      <c r="S256" s="335"/>
      <c r="T256" s="335"/>
      <c r="U256" s="335"/>
      <c r="V256" s="335"/>
      <c r="W256" s="335"/>
      <c r="X256" s="335"/>
      <c r="Y256" s="335"/>
      <c r="Z256" s="335"/>
      <c r="AA256" s="335"/>
      <c r="AB256" s="335"/>
      <c r="AC256" s="335"/>
      <c r="AD256" s="335"/>
      <c r="AE256" s="335"/>
      <c r="AF256" s="335"/>
      <c r="AG256" s="335"/>
      <c r="AH256" s="328"/>
      <c r="AI256" s="328"/>
      <c r="AJ256" s="328"/>
      <c r="AK256" s="328"/>
      <c r="AL256" s="328"/>
      <c r="AM256" s="328"/>
      <c r="AN256" s="328"/>
      <c r="AO256" s="328"/>
      <c r="AP256" s="328"/>
      <c r="AQ256" s="328"/>
      <c r="AR256" s="328"/>
      <c r="AS256" s="328"/>
      <c r="AT256" s="335"/>
      <c r="AU256" s="335"/>
      <c r="AV256" s="335"/>
      <c r="AW256" s="335"/>
      <c r="AX256" s="53"/>
      <c r="AY256" s="53"/>
      <c r="AZ256" s="53"/>
      <c r="BA256" s="53"/>
      <c r="BB256" s="53"/>
      <c r="BC256" s="53"/>
      <c r="BD256" s="53"/>
      <c r="BE256" s="53"/>
      <c r="BF256" s="53"/>
      <c r="BG256" s="53"/>
      <c r="BH256" s="53"/>
      <c r="BI256" s="53"/>
      <c r="BJ256" s="53"/>
      <c r="BK256" s="53"/>
      <c r="BL256" s="10"/>
      <c r="BM256" s="10"/>
      <c r="BN256" s="10"/>
      <c r="BO256" s="10"/>
      <c r="BP256" s="10"/>
      <c r="BQ256" s="10"/>
      <c r="BR256" s="10"/>
      <c r="BS256" s="10"/>
      <c r="BT256" s="10"/>
      <c r="BU256" s="10"/>
      <c r="BV256" s="10"/>
      <c r="BW256" s="10"/>
      <c r="BX256" s="10"/>
      <c r="BY256" s="10"/>
      <c r="BZ256" s="10"/>
      <c r="CA256" s="10"/>
      <c r="CB256" s="10"/>
      <c r="CC256" s="10"/>
      <c r="CD256" s="10"/>
      <c r="CE256" s="10"/>
      <c r="CF256" s="10"/>
      <c r="CG256" s="10"/>
      <c r="CH256" s="51"/>
    </row>
    <row r="257" spans="1:86" s="2" customFormat="1" ht="15.75" customHeight="1">
      <c r="A257" s="9"/>
      <c r="B257" s="142"/>
      <c r="D257" s="284" t="s">
        <v>394</v>
      </c>
      <c r="Q257" s="94"/>
      <c r="BD257" s="10"/>
      <c r="BE257" s="10"/>
      <c r="BF257" s="10"/>
      <c r="BG257" s="10"/>
      <c r="BH257" s="10"/>
      <c r="BI257" s="10"/>
      <c r="BJ257" s="10"/>
      <c r="BK257" s="10"/>
      <c r="BL257" s="10"/>
      <c r="BM257" s="10"/>
      <c r="BN257" s="10"/>
      <c r="BO257" s="10"/>
      <c r="BP257" s="10"/>
      <c r="BQ257" s="10"/>
      <c r="BR257" s="10"/>
      <c r="BS257" s="10"/>
      <c r="BT257" s="10"/>
      <c r="BU257" s="10"/>
      <c r="BV257" s="10"/>
      <c r="BW257" s="10"/>
      <c r="BX257" s="10"/>
      <c r="BY257" s="10"/>
      <c r="BZ257" s="10"/>
      <c r="CA257" s="10"/>
      <c r="CB257" s="10"/>
      <c r="CC257" s="10"/>
      <c r="CD257" s="10"/>
      <c r="CE257" s="10"/>
      <c r="CF257" s="10"/>
      <c r="CG257" s="10"/>
      <c r="CH257" s="51"/>
    </row>
    <row r="258" spans="1:86" s="2" customFormat="1" ht="15.75" customHeight="1">
      <c r="A258" s="9"/>
      <c r="B258" s="142"/>
      <c r="D258" s="284" t="s">
        <v>128</v>
      </c>
      <c r="E258" s="2" t="s">
        <v>395</v>
      </c>
      <c r="Q258" s="94"/>
      <c r="BD258" s="10"/>
      <c r="BE258" s="10"/>
      <c r="BF258" s="10"/>
      <c r="BG258" s="10"/>
      <c r="BH258" s="10"/>
      <c r="BI258" s="10"/>
      <c r="BJ258" s="10"/>
      <c r="BK258" s="10"/>
      <c r="BL258" s="10"/>
      <c r="BM258" s="10"/>
      <c r="BN258" s="10"/>
      <c r="BO258" s="10"/>
      <c r="BP258" s="10"/>
      <c r="BQ258" s="10"/>
      <c r="BR258" s="10"/>
      <c r="BS258" s="10"/>
      <c r="BT258" s="10"/>
      <c r="BU258" s="10"/>
      <c r="BV258" s="10"/>
      <c r="BW258" s="10"/>
      <c r="BX258" s="10"/>
      <c r="BY258" s="10"/>
      <c r="BZ258" s="10"/>
      <c r="CA258" s="10"/>
      <c r="CB258" s="10"/>
      <c r="CC258" s="10"/>
      <c r="CD258" s="10"/>
      <c r="CE258" s="10"/>
      <c r="CF258" s="10"/>
      <c r="CG258" s="10"/>
      <c r="CH258" s="51"/>
    </row>
    <row r="259" spans="1:86" s="2" customFormat="1" ht="15.75" customHeight="1">
      <c r="A259" s="9"/>
      <c r="B259" s="142"/>
      <c r="E259" s="2" t="s">
        <v>396</v>
      </c>
      <c r="Q259" s="94"/>
      <c r="BD259" s="10"/>
      <c r="BE259" s="10"/>
      <c r="BF259" s="10"/>
      <c r="BG259" s="10"/>
      <c r="BH259" s="10"/>
      <c r="BI259" s="10"/>
      <c r="BJ259" s="10"/>
      <c r="BK259" s="10"/>
      <c r="BL259" s="10"/>
      <c r="BM259" s="10"/>
      <c r="BN259" s="10"/>
      <c r="BO259" s="10"/>
      <c r="BP259" s="10"/>
      <c r="BQ259" s="10"/>
      <c r="BR259" s="10"/>
      <c r="BS259" s="10"/>
      <c r="BT259" s="10"/>
      <c r="BU259" s="10"/>
      <c r="BV259" s="10"/>
      <c r="BW259" s="10"/>
      <c r="BX259" s="10"/>
      <c r="BY259" s="10"/>
      <c r="BZ259" s="10"/>
      <c r="CA259" s="10"/>
      <c r="CB259" s="10"/>
      <c r="CC259" s="10"/>
      <c r="CD259" s="10"/>
      <c r="CE259" s="10"/>
      <c r="CF259" s="10"/>
      <c r="CG259" s="10"/>
      <c r="CH259" s="51"/>
    </row>
    <row r="260" spans="1:86" s="2" customFormat="1" ht="15.75" customHeight="1">
      <c r="A260" s="9"/>
      <c r="B260" s="142"/>
      <c r="F260" s="2" t="s">
        <v>397</v>
      </c>
      <c r="Q260" s="94"/>
      <c r="BD260" s="10"/>
      <c r="BE260" s="10"/>
      <c r="BF260" s="10"/>
      <c r="BG260" s="10"/>
      <c r="BH260" s="10"/>
      <c r="BI260" s="10"/>
      <c r="BJ260" s="10"/>
      <c r="BK260" s="10"/>
      <c r="BL260" s="10"/>
      <c r="BM260" s="10"/>
      <c r="BN260" s="10"/>
      <c r="BO260" s="10"/>
      <c r="BP260" s="10"/>
      <c r="BQ260" s="10"/>
      <c r="BR260" s="10"/>
      <c r="BS260" s="10"/>
      <c r="BT260" s="10"/>
      <c r="BU260" s="10"/>
      <c r="BV260" s="10"/>
      <c r="BW260" s="10"/>
      <c r="BX260" s="10"/>
      <c r="BY260" s="10"/>
      <c r="BZ260" s="10"/>
      <c r="CA260" s="10"/>
      <c r="CB260" s="10"/>
      <c r="CC260" s="10"/>
      <c r="CD260" s="10"/>
      <c r="CE260" s="10"/>
      <c r="CF260" s="10"/>
      <c r="CG260" s="10"/>
      <c r="CH260" s="51"/>
    </row>
    <row r="261" spans="1:86" s="2" customFormat="1" ht="15.75" customHeight="1">
      <c r="A261" s="9"/>
      <c r="B261" s="142"/>
      <c r="F261" s="2" t="s">
        <v>398</v>
      </c>
      <c r="Q261" s="94"/>
      <c r="BD261" s="10"/>
      <c r="BE261" s="10"/>
      <c r="BF261" s="10"/>
      <c r="BG261" s="10"/>
      <c r="BH261" s="10"/>
      <c r="BI261" s="10"/>
      <c r="BJ261" s="10"/>
      <c r="BK261" s="10"/>
      <c r="BL261" s="10"/>
      <c r="BM261" s="10"/>
      <c r="BN261" s="10"/>
      <c r="BO261" s="10"/>
      <c r="BP261" s="10"/>
      <c r="BQ261" s="10"/>
      <c r="BR261" s="10"/>
      <c r="BS261" s="10"/>
      <c r="BT261" s="10"/>
      <c r="BU261" s="10"/>
      <c r="BV261" s="10"/>
      <c r="BW261" s="10"/>
      <c r="BX261" s="10"/>
      <c r="BY261" s="10"/>
      <c r="BZ261" s="10"/>
      <c r="CA261" s="10"/>
      <c r="CB261" s="10"/>
      <c r="CC261" s="10"/>
      <c r="CD261" s="10"/>
      <c r="CE261" s="10"/>
      <c r="CF261" s="10"/>
      <c r="CG261" s="10"/>
      <c r="CH261" s="51"/>
    </row>
    <row r="262" spans="1:86" s="2" customFormat="1" ht="15.75" customHeight="1">
      <c r="A262" s="9"/>
      <c r="B262" s="142"/>
      <c r="E262" s="2" t="s">
        <v>399</v>
      </c>
      <c r="Q262" s="94"/>
      <c r="BD262" s="10"/>
      <c r="BE262" s="10"/>
      <c r="BF262" s="10"/>
      <c r="BG262" s="10"/>
      <c r="BH262" s="10"/>
      <c r="BI262" s="10"/>
      <c r="BJ262" s="10"/>
      <c r="BK262" s="10"/>
      <c r="BL262" s="10"/>
      <c r="BM262" s="10"/>
      <c r="BN262" s="10"/>
      <c r="BO262" s="10"/>
      <c r="BP262" s="10"/>
      <c r="BQ262" s="10"/>
      <c r="BR262" s="10"/>
      <c r="BS262" s="10"/>
      <c r="BT262" s="10"/>
      <c r="BU262" s="10"/>
      <c r="BV262" s="10"/>
      <c r="BW262" s="10"/>
      <c r="BX262" s="10"/>
      <c r="BY262" s="10"/>
      <c r="BZ262" s="10"/>
      <c r="CA262" s="10"/>
      <c r="CB262" s="10"/>
      <c r="CC262" s="10"/>
      <c r="CD262" s="10"/>
      <c r="CE262" s="10"/>
      <c r="CF262" s="10"/>
      <c r="CG262" s="10"/>
      <c r="CH262" s="51"/>
    </row>
    <row r="263" spans="1:86" s="2" customFormat="1" ht="15.75" customHeight="1">
      <c r="A263" s="9"/>
      <c r="B263" s="142"/>
      <c r="E263" s="2" t="s">
        <v>400</v>
      </c>
      <c r="Q263" s="94"/>
      <c r="BD263" s="10"/>
      <c r="BE263" s="10"/>
      <c r="BF263" s="10"/>
      <c r="BG263" s="10"/>
      <c r="BH263" s="10"/>
      <c r="BI263" s="10"/>
      <c r="BJ263" s="10"/>
      <c r="BK263" s="10"/>
      <c r="BL263" s="10"/>
      <c r="BM263" s="10"/>
      <c r="BN263" s="10"/>
      <c r="BO263" s="10"/>
      <c r="BP263" s="10"/>
      <c r="BQ263" s="10"/>
      <c r="BR263" s="10"/>
      <c r="BS263" s="10"/>
      <c r="BT263" s="10"/>
      <c r="BU263" s="10"/>
      <c r="BV263" s="10"/>
      <c r="BW263" s="10"/>
      <c r="BX263" s="10"/>
      <c r="BY263" s="10"/>
      <c r="BZ263" s="10"/>
      <c r="CA263" s="10"/>
      <c r="CB263" s="10"/>
      <c r="CC263" s="10"/>
      <c r="CD263" s="10"/>
      <c r="CE263" s="10"/>
      <c r="CF263" s="10"/>
      <c r="CG263" s="10"/>
      <c r="CH263" s="51"/>
    </row>
    <row r="264" spans="1:86" s="2" customFormat="1" ht="15.75" customHeight="1">
      <c r="A264" s="9"/>
      <c r="B264" s="142"/>
      <c r="D264" s="53"/>
      <c r="E264" s="53"/>
      <c r="F264" s="317"/>
      <c r="G264" s="317"/>
      <c r="H264" s="317"/>
      <c r="I264" s="317"/>
      <c r="J264" s="317"/>
      <c r="K264" s="317"/>
      <c r="L264" s="317"/>
      <c r="M264" s="317"/>
      <c r="N264" s="317"/>
      <c r="O264" s="317"/>
      <c r="P264" s="317"/>
      <c r="Q264" s="317"/>
      <c r="R264" s="53"/>
      <c r="S264" s="53"/>
      <c r="T264" s="53"/>
      <c r="U264" s="53"/>
      <c r="V264" s="53"/>
      <c r="W264" s="53"/>
      <c r="X264" s="53"/>
      <c r="Y264" s="53"/>
      <c r="Z264" s="53"/>
      <c r="AA264" s="53"/>
      <c r="AB264" s="53"/>
      <c r="AC264" s="53"/>
      <c r="AD264" s="53"/>
      <c r="AE264" s="53"/>
      <c r="AF264" s="53"/>
      <c r="AG264" s="53"/>
      <c r="AH264" s="317"/>
      <c r="AI264" s="317"/>
      <c r="AJ264" s="317"/>
      <c r="AK264" s="317"/>
      <c r="AL264" s="317"/>
      <c r="AM264" s="317"/>
      <c r="AN264" s="317"/>
      <c r="AO264" s="317"/>
      <c r="AP264" s="317"/>
      <c r="AQ264" s="317"/>
      <c r="AR264" s="317"/>
      <c r="AS264" s="317"/>
      <c r="AT264" s="53"/>
      <c r="AU264" s="53"/>
      <c r="AV264" s="53"/>
      <c r="AW264" s="53"/>
      <c r="AX264" s="53"/>
      <c r="AY264" s="53"/>
      <c r="AZ264" s="53"/>
      <c r="BA264" s="53"/>
      <c r="BB264" s="53"/>
      <c r="BC264" s="53"/>
      <c r="BD264" s="53"/>
      <c r="BE264" s="53"/>
      <c r="BF264" s="53"/>
      <c r="BG264" s="53"/>
      <c r="BH264" s="53"/>
      <c r="BI264" s="53"/>
      <c r="BJ264" s="53"/>
      <c r="BK264" s="53"/>
      <c r="BL264" s="10"/>
      <c r="BM264" s="10"/>
      <c r="BN264" s="10"/>
      <c r="BO264" s="10"/>
      <c r="BP264" s="10"/>
      <c r="BQ264" s="10"/>
      <c r="BR264" s="10"/>
      <c r="BS264" s="10"/>
      <c r="BT264" s="10"/>
      <c r="BU264" s="10"/>
      <c r="BV264" s="10"/>
      <c r="BW264" s="10"/>
      <c r="BX264" s="10"/>
      <c r="BY264" s="10"/>
      <c r="BZ264" s="10"/>
      <c r="CA264" s="10"/>
      <c r="CB264" s="10"/>
      <c r="CC264" s="10"/>
      <c r="CD264" s="10"/>
      <c r="CE264" s="10"/>
      <c r="CF264" s="10"/>
      <c r="CG264" s="10"/>
      <c r="CH264" s="51"/>
    </row>
    <row r="265" spans="1:86" s="2" customFormat="1" ht="15.75" customHeight="1">
      <c r="A265" s="9"/>
      <c r="B265" s="142"/>
      <c r="D265" s="53"/>
      <c r="E265" s="53"/>
      <c r="F265" s="317"/>
      <c r="G265" s="317"/>
      <c r="H265" s="317"/>
      <c r="I265" s="317"/>
      <c r="J265" s="317"/>
      <c r="K265" s="317"/>
      <c r="L265" s="317"/>
      <c r="M265" s="317"/>
      <c r="N265" s="317"/>
      <c r="O265" s="317"/>
      <c r="P265" s="317"/>
      <c r="Q265" s="317"/>
      <c r="R265" s="53"/>
      <c r="S265" s="53"/>
      <c r="T265" s="53"/>
      <c r="U265" s="53"/>
      <c r="V265" s="53"/>
      <c r="W265" s="53"/>
      <c r="X265" s="53"/>
      <c r="Y265" s="53"/>
      <c r="Z265" s="53"/>
      <c r="AA265" s="53"/>
      <c r="AB265" s="53"/>
      <c r="AC265" s="53"/>
      <c r="AD265" s="53"/>
      <c r="AE265" s="53"/>
      <c r="AF265" s="53"/>
      <c r="AG265" s="53"/>
      <c r="AH265" s="317"/>
      <c r="AI265" s="317"/>
      <c r="AJ265" s="317"/>
      <c r="AK265" s="317"/>
      <c r="AL265" s="317"/>
      <c r="AM265" s="317"/>
      <c r="AN265" s="317"/>
      <c r="AO265" s="317"/>
      <c r="AP265" s="317"/>
      <c r="AQ265" s="317"/>
      <c r="AR265" s="317"/>
      <c r="AS265" s="317"/>
      <c r="AT265" s="53"/>
      <c r="AU265" s="53"/>
      <c r="AV265" s="53"/>
      <c r="AW265" s="53"/>
      <c r="AX265" s="53"/>
      <c r="AY265" s="53"/>
      <c r="AZ265" s="53"/>
      <c r="BA265" s="53"/>
      <c r="BB265" s="53"/>
      <c r="BC265" s="53"/>
      <c r="BD265" s="53"/>
      <c r="BE265" s="53"/>
      <c r="BF265" s="53"/>
      <c r="BG265" s="53"/>
      <c r="BH265" s="53"/>
      <c r="BI265" s="53"/>
      <c r="BJ265" s="53"/>
      <c r="BK265" s="53"/>
      <c r="BL265" s="10"/>
      <c r="BM265" s="10"/>
      <c r="BN265" s="10"/>
      <c r="BO265" s="10"/>
      <c r="BP265" s="10"/>
      <c r="BQ265" s="10"/>
      <c r="BR265" s="10"/>
      <c r="BS265" s="10"/>
      <c r="BT265" s="10"/>
      <c r="BU265" s="10"/>
      <c r="BV265" s="10"/>
      <c r="BW265" s="10"/>
      <c r="BX265" s="10"/>
      <c r="BY265" s="10"/>
      <c r="BZ265" s="10"/>
      <c r="CA265" s="10"/>
      <c r="CB265" s="10"/>
      <c r="CC265" s="10"/>
      <c r="CD265" s="10"/>
      <c r="CE265" s="10"/>
      <c r="CF265" s="10"/>
      <c r="CG265" s="10"/>
      <c r="CH265" s="51"/>
    </row>
    <row r="266" spans="1:86" s="2" customFormat="1" ht="15.75" customHeight="1">
      <c r="A266" s="9"/>
      <c r="B266" s="142"/>
      <c r="D266" s="53"/>
      <c r="E266" s="53"/>
      <c r="F266" s="317"/>
      <c r="G266" s="317"/>
      <c r="H266" s="317"/>
      <c r="I266" s="317"/>
      <c r="J266" s="317"/>
      <c r="K266" s="317"/>
      <c r="L266" s="317"/>
      <c r="M266" s="317"/>
      <c r="N266" s="317"/>
      <c r="O266" s="317"/>
      <c r="P266" s="317"/>
      <c r="Q266" s="317"/>
      <c r="R266" s="53"/>
      <c r="S266" s="53"/>
      <c r="T266" s="53"/>
      <c r="U266" s="53"/>
      <c r="V266" s="53"/>
      <c r="W266" s="53"/>
      <c r="X266" s="53"/>
      <c r="Y266" s="53"/>
      <c r="Z266" s="53"/>
      <c r="AA266" s="53"/>
      <c r="AB266" s="53"/>
      <c r="AC266" s="53"/>
      <c r="AD266" s="53"/>
      <c r="AE266" s="53"/>
      <c r="AF266" s="53"/>
      <c r="AG266" s="53"/>
      <c r="AH266" s="317"/>
      <c r="AI266" s="317"/>
      <c r="AJ266" s="317"/>
      <c r="AK266" s="317"/>
      <c r="AL266" s="317"/>
      <c r="AM266" s="317"/>
      <c r="AN266" s="317"/>
      <c r="AO266" s="317"/>
      <c r="AP266" s="317"/>
      <c r="AQ266" s="317"/>
      <c r="AR266" s="317"/>
      <c r="AS266" s="317"/>
      <c r="AT266" s="53"/>
      <c r="AU266" s="53"/>
      <c r="AV266" s="53"/>
      <c r="AW266" s="53"/>
      <c r="AX266" s="53"/>
      <c r="AY266" s="53"/>
      <c r="AZ266" s="53"/>
      <c r="BA266" s="53"/>
      <c r="BB266" s="53"/>
      <c r="BC266" s="53"/>
      <c r="BD266" s="53"/>
      <c r="BE266" s="53"/>
      <c r="BF266" s="53"/>
      <c r="BG266" s="53"/>
      <c r="BH266" s="53"/>
      <c r="BI266" s="53"/>
      <c r="BJ266" s="53"/>
      <c r="BK266" s="53"/>
      <c r="BL266" s="10"/>
      <c r="BM266" s="10"/>
      <c r="BN266" s="10"/>
      <c r="BO266" s="10"/>
      <c r="BP266" s="10"/>
      <c r="BQ266" s="10"/>
      <c r="BR266" s="10"/>
      <c r="BS266" s="10"/>
      <c r="BT266" s="10"/>
      <c r="BU266" s="10"/>
      <c r="BV266" s="10"/>
      <c r="BW266" s="10"/>
      <c r="BX266" s="10"/>
      <c r="BY266" s="10"/>
      <c r="BZ266" s="10"/>
      <c r="CA266" s="10"/>
      <c r="CB266" s="10"/>
      <c r="CC266" s="10"/>
      <c r="CD266" s="10"/>
      <c r="CE266" s="10"/>
      <c r="CF266" s="10"/>
      <c r="CG266" s="10"/>
      <c r="CH266" s="51"/>
    </row>
    <row r="267" spans="1:86" s="2" customFormat="1" ht="15.75" customHeight="1">
      <c r="A267" s="9"/>
      <c r="B267" s="142"/>
      <c r="D267" s="53"/>
      <c r="E267" s="53"/>
      <c r="F267" s="317"/>
      <c r="G267" s="317"/>
      <c r="H267" s="317"/>
      <c r="I267" s="317"/>
      <c r="J267" s="317"/>
      <c r="K267" s="317"/>
      <c r="L267" s="317"/>
      <c r="M267" s="317"/>
      <c r="N267" s="317"/>
      <c r="O267" s="317"/>
      <c r="P267" s="317"/>
      <c r="Q267" s="317"/>
      <c r="R267" s="53"/>
      <c r="S267" s="53"/>
      <c r="T267" s="53"/>
      <c r="U267" s="53"/>
      <c r="V267" s="53"/>
      <c r="W267" s="53"/>
      <c r="X267" s="53"/>
      <c r="Y267" s="53"/>
      <c r="Z267" s="53"/>
      <c r="AA267" s="53"/>
      <c r="AB267" s="53"/>
      <c r="AC267" s="53"/>
      <c r="AD267" s="53"/>
      <c r="AE267" s="53"/>
      <c r="AF267" s="53"/>
      <c r="AG267" s="53"/>
      <c r="AH267" s="317"/>
      <c r="AI267" s="317"/>
      <c r="AJ267" s="317"/>
      <c r="AK267" s="317"/>
      <c r="AL267" s="317"/>
      <c r="AM267" s="317"/>
      <c r="AN267" s="317"/>
      <c r="AO267" s="317"/>
      <c r="AP267" s="317"/>
      <c r="AQ267" s="317"/>
      <c r="AR267" s="317"/>
      <c r="AS267" s="317"/>
      <c r="AT267" s="53"/>
      <c r="AU267" s="53"/>
      <c r="AV267" s="53"/>
      <c r="AW267" s="53"/>
      <c r="AX267" s="53"/>
      <c r="AY267" s="53"/>
      <c r="AZ267" s="53"/>
      <c r="BA267" s="53"/>
      <c r="BB267" s="53"/>
      <c r="BC267" s="53"/>
      <c r="BD267" s="53"/>
      <c r="BE267" s="53"/>
      <c r="BF267" s="53"/>
      <c r="BG267" s="53"/>
      <c r="BH267" s="53"/>
      <c r="BI267" s="53"/>
      <c r="BJ267" s="53"/>
      <c r="BK267" s="53"/>
      <c r="BL267" s="10"/>
      <c r="BM267" s="10"/>
      <c r="BN267" s="10"/>
      <c r="BO267" s="10"/>
      <c r="BP267" s="10"/>
      <c r="BQ267" s="10"/>
      <c r="BR267" s="10"/>
      <c r="BS267" s="10"/>
      <c r="BT267" s="10"/>
      <c r="BU267" s="10"/>
      <c r="BV267" s="10"/>
      <c r="BW267" s="10"/>
      <c r="BX267" s="10"/>
      <c r="BY267" s="10"/>
      <c r="BZ267" s="10"/>
      <c r="CA267" s="10"/>
      <c r="CB267" s="10"/>
      <c r="CC267" s="10"/>
      <c r="CD267" s="10"/>
      <c r="CE267" s="10"/>
      <c r="CF267" s="10"/>
      <c r="CG267" s="10"/>
      <c r="CH267" s="51"/>
    </row>
    <row r="268" spans="1:86" s="2" customFormat="1" ht="15.75" customHeight="1">
      <c r="A268" s="9"/>
      <c r="B268" s="142"/>
      <c r="D268" s="53"/>
      <c r="E268" s="53"/>
      <c r="F268" s="317"/>
      <c r="G268" s="317"/>
      <c r="H268" s="317"/>
      <c r="I268" s="317"/>
      <c r="J268" s="317"/>
      <c r="K268" s="317"/>
      <c r="L268" s="317"/>
      <c r="M268" s="317"/>
      <c r="N268" s="317"/>
      <c r="O268" s="317"/>
      <c r="P268" s="317"/>
      <c r="Q268" s="317"/>
      <c r="R268" s="53"/>
      <c r="S268" s="53"/>
      <c r="T268" s="53"/>
      <c r="U268" s="53"/>
      <c r="V268" s="53"/>
      <c r="W268" s="53"/>
      <c r="X268" s="53"/>
      <c r="Y268" s="53"/>
      <c r="Z268" s="53"/>
      <c r="AA268" s="53"/>
      <c r="AB268" s="53"/>
      <c r="AC268" s="53"/>
      <c r="AD268" s="53"/>
      <c r="AE268" s="53"/>
      <c r="AF268" s="53"/>
      <c r="AG268" s="53"/>
      <c r="AH268" s="317"/>
      <c r="AI268" s="317"/>
      <c r="AJ268" s="317"/>
      <c r="AK268" s="317"/>
      <c r="AL268" s="317"/>
      <c r="AM268" s="317"/>
      <c r="AN268" s="317"/>
      <c r="AO268" s="317"/>
      <c r="AP268" s="317"/>
      <c r="AQ268" s="317"/>
      <c r="AR268" s="317"/>
      <c r="AS268" s="317"/>
      <c r="AT268" s="53"/>
      <c r="AU268" s="53"/>
      <c r="AV268" s="53"/>
      <c r="AW268" s="53"/>
      <c r="AX268" s="53"/>
      <c r="AY268" s="53"/>
      <c r="AZ268" s="53"/>
      <c r="BA268" s="53"/>
      <c r="BB268" s="53"/>
      <c r="BC268" s="53"/>
      <c r="BD268" s="53"/>
      <c r="BE268" s="53"/>
      <c r="BF268" s="53"/>
      <c r="BG268" s="53"/>
      <c r="BH268" s="53"/>
      <c r="BI268" s="53"/>
      <c r="BJ268" s="53"/>
      <c r="BK268" s="53"/>
      <c r="BL268" s="10"/>
      <c r="BM268" s="10"/>
      <c r="BN268" s="10"/>
      <c r="BO268" s="10"/>
      <c r="BP268" s="10"/>
      <c r="BQ268" s="10"/>
      <c r="BR268" s="10"/>
      <c r="BS268" s="10"/>
      <c r="BT268" s="10"/>
      <c r="BU268" s="10"/>
      <c r="BV268" s="10"/>
      <c r="BW268" s="10"/>
      <c r="BX268" s="10"/>
      <c r="BY268" s="10"/>
      <c r="BZ268" s="10"/>
      <c r="CA268" s="10"/>
      <c r="CB268" s="10"/>
      <c r="CC268" s="10"/>
      <c r="CD268" s="10"/>
      <c r="CE268" s="10"/>
      <c r="CF268" s="10"/>
      <c r="CG268" s="10"/>
      <c r="CH268" s="51"/>
    </row>
    <row r="269" spans="1:86" s="2" customFormat="1" ht="15.75" customHeight="1">
      <c r="A269" s="9"/>
      <c r="B269" s="142"/>
      <c r="D269" s="284"/>
      <c r="E269" s="53"/>
      <c r="F269" s="327"/>
      <c r="G269" s="317"/>
      <c r="H269" s="317"/>
      <c r="I269" s="317"/>
      <c r="J269" s="317"/>
      <c r="K269" s="317"/>
      <c r="L269" s="317"/>
      <c r="M269" s="317"/>
      <c r="N269" s="317"/>
      <c r="O269" s="317"/>
      <c r="P269" s="317"/>
      <c r="Q269" s="317"/>
      <c r="R269" s="53"/>
      <c r="S269" s="53"/>
      <c r="T269" s="53"/>
      <c r="U269" s="53"/>
      <c r="V269" s="53"/>
      <c r="W269" s="53"/>
      <c r="X269" s="53"/>
      <c r="Y269" s="53"/>
      <c r="Z269" s="53"/>
      <c r="AA269" s="53"/>
      <c r="AB269" s="53"/>
      <c r="AC269" s="53"/>
      <c r="AD269" s="53"/>
      <c r="AE269" s="53"/>
      <c r="AF269" s="53"/>
      <c r="AG269" s="53"/>
      <c r="AH269" s="317"/>
      <c r="AI269" s="317"/>
      <c r="AJ269" s="317"/>
      <c r="AK269" s="317"/>
      <c r="AL269" s="317"/>
      <c r="AM269" s="317"/>
      <c r="AN269" s="317"/>
      <c r="AO269" s="317"/>
      <c r="AP269" s="317"/>
      <c r="AQ269" s="317"/>
      <c r="AR269" s="317"/>
      <c r="AS269" s="317"/>
      <c r="AT269" s="53"/>
      <c r="AU269" s="53"/>
      <c r="AV269" s="53"/>
      <c r="AW269" s="53"/>
      <c r="AX269" s="53"/>
      <c r="AY269" s="53"/>
      <c r="AZ269" s="53"/>
      <c r="BA269" s="53"/>
      <c r="BB269" s="53"/>
      <c r="BC269" s="53"/>
      <c r="BD269" s="53"/>
      <c r="BE269" s="53"/>
      <c r="BF269" s="53"/>
      <c r="BG269" s="53"/>
      <c r="BH269" s="53"/>
      <c r="BI269" s="53"/>
      <c r="BJ269" s="53"/>
      <c r="BK269" s="53"/>
      <c r="BL269" s="10"/>
      <c r="BM269" s="10"/>
      <c r="BN269" s="10"/>
      <c r="BO269" s="10"/>
      <c r="BP269" s="10"/>
      <c r="BQ269" s="10"/>
      <c r="BR269" s="10"/>
      <c r="BS269" s="10"/>
      <c r="BT269" s="10"/>
      <c r="BU269" s="10"/>
      <c r="BV269" s="10"/>
      <c r="BW269" s="10"/>
      <c r="BX269" s="10"/>
      <c r="BY269" s="10"/>
      <c r="BZ269" s="10"/>
      <c r="CA269" s="10"/>
      <c r="CB269" s="10"/>
      <c r="CC269" s="10"/>
      <c r="CD269" s="10"/>
      <c r="CE269" s="10"/>
      <c r="CF269" s="10"/>
      <c r="CG269" s="10"/>
      <c r="CH269" s="51"/>
    </row>
    <row r="270" spans="1:86" s="2" customFormat="1" ht="15.75" customHeight="1">
      <c r="A270" s="9"/>
      <c r="B270" s="142"/>
      <c r="D270" s="53"/>
      <c r="E270" s="53"/>
      <c r="F270" s="327"/>
      <c r="G270" s="317"/>
      <c r="H270" s="317"/>
      <c r="I270" s="317"/>
      <c r="J270" s="317"/>
      <c r="K270" s="317"/>
      <c r="L270" s="317"/>
      <c r="M270" s="317"/>
      <c r="N270" s="317"/>
      <c r="O270" s="317"/>
      <c r="P270" s="317"/>
      <c r="Q270" s="317"/>
      <c r="R270" s="53"/>
      <c r="S270" s="53"/>
      <c r="T270" s="53"/>
      <c r="U270" s="53"/>
      <c r="V270" s="53"/>
      <c r="W270" s="53"/>
      <c r="X270" s="53"/>
      <c r="Y270" s="53"/>
      <c r="Z270" s="53"/>
      <c r="AA270" s="53"/>
      <c r="AB270" s="53"/>
      <c r="AC270" s="53"/>
      <c r="AD270" s="53"/>
      <c r="AE270" s="53"/>
      <c r="AF270" s="53"/>
      <c r="AG270" s="53"/>
      <c r="AH270" s="317"/>
      <c r="AI270" s="317"/>
      <c r="AJ270" s="317"/>
      <c r="AK270" s="317"/>
      <c r="AL270" s="317"/>
      <c r="AM270" s="317"/>
      <c r="AN270" s="317"/>
      <c r="AO270" s="317"/>
      <c r="AP270" s="317"/>
      <c r="AQ270" s="317"/>
      <c r="AR270" s="317"/>
      <c r="AS270" s="317"/>
      <c r="AT270" s="53"/>
      <c r="AU270" s="53"/>
      <c r="AV270" s="53"/>
      <c r="AW270" s="53"/>
      <c r="AX270" s="53"/>
      <c r="AY270" s="53"/>
      <c r="AZ270" s="53"/>
      <c r="BA270" s="53"/>
      <c r="BB270" s="53"/>
      <c r="BC270" s="53"/>
      <c r="BD270" s="53"/>
      <c r="BE270" s="53"/>
      <c r="BF270" s="53"/>
      <c r="BG270" s="53"/>
      <c r="BH270" s="53"/>
      <c r="BI270" s="53"/>
      <c r="BJ270" s="53"/>
      <c r="BK270" s="53"/>
      <c r="BL270" s="10"/>
      <c r="BM270" s="10"/>
      <c r="BN270" s="10"/>
      <c r="BO270" s="10"/>
      <c r="BP270" s="10"/>
      <c r="BQ270" s="10"/>
      <c r="BR270" s="10"/>
      <c r="BS270" s="10"/>
      <c r="BT270" s="10"/>
      <c r="BU270" s="10"/>
      <c r="BV270" s="10"/>
      <c r="BW270" s="10"/>
      <c r="BX270" s="10"/>
      <c r="BY270" s="10"/>
      <c r="BZ270" s="10"/>
      <c r="CA270" s="10"/>
      <c r="CB270" s="10"/>
      <c r="CC270" s="10"/>
      <c r="CD270" s="10"/>
      <c r="CE270" s="10"/>
      <c r="CF270" s="10"/>
      <c r="CG270" s="10"/>
      <c r="CH270" s="51"/>
    </row>
    <row r="271" spans="1:86" s="2" customFormat="1" ht="15.75" customHeight="1">
      <c r="A271" s="9"/>
      <c r="B271" s="142"/>
      <c r="D271" s="53"/>
      <c r="E271" s="53"/>
      <c r="F271" s="327"/>
      <c r="G271" s="317"/>
      <c r="H271" s="317"/>
      <c r="I271" s="317"/>
      <c r="J271" s="317"/>
      <c r="K271" s="317"/>
      <c r="L271" s="317"/>
      <c r="M271" s="317"/>
      <c r="N271" s="317"/>
      <c r="O271" s="317"/>
      <c r="P271" s="317"/>
      <c r="Q271" s="317"/>
      <c r="R271" s="53"/>
      <c r="S271" s="53"/>
      <c r="T271" s="53"/>
      <c r="U271" s="53"/>
      <c r="V271" s="53"/>
      <c r="W271" s="53"/>
      <c r="X271" s="53"/>
      <c r="Y271" s="53"/>
      <c r="Z271" s="53"/>
      <c r="AA271" s="53"/>
      <c r="AB271" s="53"/>
      <c r="AC271" s="53"/>
      <c r="AD271" s="53"/>
      <c r="AE271" s="53"/>
      <c r="AF271" s="53"/>
      <c r="AG271" s="53"/>
      <c r="AH271" s="317"/>
      <c r="AI271" s="317"/>
      <c r="AJ271" s="317"/>
      <c r="AK271" s="317"/>
      <c r="AL271" s="317"/>
      <c r="AM271" s="317"/>
      <c r="AN271" s="317"/>
      <c r="AO271" s="317"/>
      <c r="AP271" s="317"/>
      <c r="AQ271" s="317"/>
      <c r="AR271" s="317"/>
      <c r="AS271" s="317"/>
      <c r="AT271" s="53"/>
      <c r="AU271" s="53"/>
      <c r="AV271" s="53"/>
      <c r="AW271" s="53"/>
      <c r="AX271" s="53"/>
      <c r="AY271" s="53"/>
      <c r="AZ271" s="53"/>
      <c r="BA271" s="53"/>
      <c r="BB271" s="53"/>
      <c r="BC271" s="53"/>
      <c r="BD271" s="53"/>
      <c r="BE271" s="53"/>
      <c r="BF271" s="53"/>
      <c r="BG271" s="53"/>
      <c r="BH271" s="53"/>
      <c r="BI271" s="53"/>
      <c r="BJ271" s="53"/>
      <c r="BK271" s="53"/>
      <c r="BL271" s="10"/>
      <c r="BM271" s="10"/>
      <c r="BN271" s="10"/>
      <c r="BO271" s="10"/>
      <c r="BP271" s="10"/>
      <c r="BQ271" s="10"/>
      <c r="BR271" s="10"/>
      <c r="BS271" s="10"/>
      <c r="BT271" s="10"/>
      <c r="BU271" s="10"/>
      <c r="BV271" s="10"/>
      <c r="BW271" s="10"/>
      <c r="BX271" s="10"/>
      <c r="BY271" s="10"/>
      <c r="BZ271" s="10"/>
      <c r="CA271" s="10"/>
      <c r="CB271" s="10"/>
      <c r="CC271" s="10"/>
      <c r="CD271" s="10"/>
      <c r="CE271" s="10"/>
      <c r="CF271" s="10"/>
      <c r="CG271" s="10"/>
      <c r="CH271" s="51"/>
    </row>
    <row r="272" spans="1:86" s="2" customFormat="1" ht="15.75" customHeight="1">
      <c r="A272" s="9"/>
      <c r="B272" s="142"/>
      <c r="D272" s="53"/>
      <c r="E272" s="53"/>
      <c r="F272" s="317"/>
      <c r="G272" s="317"/>
      <c r="H272" s="317"/>
      <c r="I272" s="317"/>
      <c r="J272" s="317"/>
      <c r="K272" s="317"/>
      <c r="L272" s="317"/>
      <c r="M272" s="317"/>
      <c r="N272" s="317"/>
      <c r="O272" s="317"/>
      <c r="P272" s="317"/>
      <c r="Q272" s="317"/>
      <c r="R272" s="53"/>
      <c r="S272" s="53"/>
      <c r="T272" s="53"/>
      <c r="U272" s="53"/>
      <c r="V272" s="53"/>
      <c r="W272" s="53"/>
      <c r="X272" s="53"/>
      <c r="Y272" s="53"/>
      <c r="Z272" s="53"/>
      <c r="AA272" s="53"/>
      <c r="AB272" s="53"/>
      <c r="AC272" s="53"/>
      <c r="AD272" s="53"/>
      <c r="AE272" s="53"/>
      <c r="AF272" s="53"/>
      <c r="AG272" s="53"/>
      <c r="AH272" s="317"/>
      <c r="AI272" s="317"/>
      <c r="AJ272" s="317"/>
      <c r="AK272" s="317"/>
      <c r="AL272" s="317"/>
      <c r="AM272" s="317"/>
      <c r="AN272" s="317"/>
      <c r="AO272" s="317"/>
      <c r="AP272" s="317"/>
      <c r="AQ272" s="317"/>
      <c r="AR272" s="317"/>
      <c r="AS272" s="317"/>
      <c r="AT272" s="53"/>
      <c r="AU272" s="53"/>
      <c r="AV272" s="53"/>
      <c r="AW272" s="53"/>
      <c r="AX272" s="53"/>
      <c r="AY272" s="53"/>
      <c r="AZ272" s="53"/>
      <c r="BA272" s="53"/>
      <c r="BB272" s="53"/>
      <c r="BC272" s="53"/>
      <c r="BD272" s="53"/>
      <c r="BE272" s="53"/>
      <c r="BF272" s="53"/>
      <c r="BG272" s="53"/>
      <c r="BH272" s="53"/>
      <c r="BI272" s="53"/>
      <c r="BJ272" s="53"/>
      <c r="BK272" s="53"/>
      <c r="BL272" s="10"/>
      <c r="BM272" s="10"/>
      <c r="BN272" s="10"/>
      <c r="BO272" s="10"/>
      <c r="BP272" s="10"/>
      <c r="BQ272" s="10"/>
      <c r="BR272" s="10"/>
      <c r="BS272" s="10"/>
      <c r="BT272" s="10"/>
      <c r="BU272" s="10"/>
      <c r="BV272" s="10"/>
      <c r="BW272" s="10"/>
      <c r="BX272" s="10"/>
      <c r="BY272" s="10"/>
      <c r="BZ272" s="10"/>
      <c r="CA272" s="10"/>
      <c r="CB272" s="10"/>
      <c r="CC272" s="10"/>
      <c r="CD272" s="10"/>
      <c r="CE272" s="10"/>
      <c r="CF272" s="10"/>
      <c r="CG272" s="10"/>
      <c r="CH272" s="51"/>
    </row>
    <row r="273" spans="1:86" s="2" customFormat="1" ht="15.75" customHeight="1">
      <c r="A273" s="21"/>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c r="AV273" s="22"/>
      <c r="AW273" s="22"/>
      <c r="AX273" s="22"/>
      <c r="AY273" s="22"/>
      <c r="AZ273" s="22"/>
      <c r="BA273" s="22"/>
      <c r="BB273" s="22"/>
      <c r="BC273" s="22"/>
      <c r="BD273" s="22"/>
      <c r="BE273" s="22"/>
      <c r="BF273" s="22"/>
      <c r="BG273" s="22"/>
      <c r="BH273" s="22"/>
      <c r="BI273" s="22"/>
      <c r="BJ273" s="22"/>
      <c r="BK273" s="22"/>
      <c r="BL273" s="22"/>
      <c r="BM273" s="22"/>
      <c r="BN273" s="22"/>
      <c r="BO273" s="22"/>
      <c r="BP273" s="22"/>
      <c r="BQ273" s="22"/>
      <c r="BR273" s="22"/>
      <c r="BS273" s="22"/>
      <c r="BT273" s="22"/>
      <c r="BU273" s="22"/>
      <c r="BV273" s="22"/>
      <c r="BW273" s="22"/>
      <c r="BX273" s="22"/>
      <c r="BY273" s="22"/>
      <c r="BZ273" s="22"/>
      <c r="CA273" s="22"/>
      <c r="CB273" s="22"/>
      <c r="CC273" s="22"/>
      <c r="CD273" s="22"/>
      <c r="CE273" s="22"/>
      <c r="CF273" s="22"/>
      <c r="CG273" s="22"/>
      <c r="CH273" s="52"/>
    </row>
    <row r="274" spans="1:86" s="2" customFormat="1"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0"/>
      <c r="BC274" s="10"/>
      <c r="BD274" s="10"/>
      <c r="BE274" s="10"/>
      <c r="BF274" s="10"/>
      <c r="BG274" s="10"/>
      <c r="BH274" s="10"/>
      <c r="BI274" s="10"/>
      <c r="BJ274" s="10"/>
      <c r="BK274" s="10"/>
      <c r="BL274" s="10"/>
      <c r="BM274" s="10"/>
      <c r="BN274" s="10"/>
      <c r="BO274" s="10"/>
      <c r="BP274" s="10"/>
      <c r="BQ274" s="10"/>
      <c r="BR274" s="10"/>
      <c r="BS274" s="10"/>
      <c r="BT274" s="10"/>
      <c r="BU274" s="10"/>
      <c r="BV274" s="10"/>
      <c r="BW274" s="10"/>
      <c r="BX274" s="10"/>
      <c r="BY274" s="10"/>
      <c r="BZ274" s="10"/>
      <c r="CA274" s="10"/>
      <c r="CB274" s="10"/>
      <c r="CC274" s="10"/>
      <c r="CD274" s="10"/>
      <c r="CE274" s="10"/>
      <c r="CF274" s="10"/>
      <c r="CG274" s="10"/>
      <c r="CH274" s="10"/>
    </row>
    <row r="275" spans="1:86" s="2" customFormat="1"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0"/>
      <c r="BC275" s="10"/>
      <c r="BD275" s="10"/>
      <c r="BE275" s="10"/>
      <c r="BF275" s="10"/>
      <c r="BG275" s="10"/>
      <c r="BH275" s="10"/>
      <c r="BI275" s="10"/>
      <c r="BJ275" s="10"/>
      <c r="BK275" s="10"/>
      <c r="BL275" s="10"/>
      <c r="BM275" s="10"/>
      <c r="BN275" s="10"/>
      <c r="BO275" s="10"/>
      <c r="BP275" s="10"/>
      <c r="BQ275" s="10"/>
      <c r="BR275" s="10"/>
      <c r="BS275" s="10"/>
      <c r="BT275" s="10"/>
      <c r="BU275" s="10"/>
      <c r="BV275" s="10"/>
      <c r="BW275" s="10"/>
      <c r="BX275" s="10"/>
      <c r="BY275" s="10"/>
      <c r="BZ275" s="10"/>
      <c r="CA275" s="10"/>
      <c r="CB275" s="10"/>
      <c r="CC275" s="10"/>
      <c r="CD275" s="10"/>
      <c r="CE275" s="10"/>
      <c r="CF275" s="10"/>
      <c r="CG275" s="10"/>
      <c r="CH275" s="10"/>
    </row>
    <row r="276" spans="1:86" s="2" customFormat="1"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0"/>
      <c r="BC276" s="10"/>
      <c r="BD276" s="10"/>
      <c r="BE276" s="10"/>
      <c r="BF276" s="10"/>
      <c r="BG276" s="10"/>
      <c r="BH276" s="10"/>
      <c r="BI276" s="10"/>
      <c r="BJ276" s="10"/>
      <c r="BK276" s="10"/>
      <c r="BL276" s="10"/>
      <c r="BM276" s="10"/>
      <c r="BN276" s="10"/>
      <c r="BO276" s="10"/>
      <c r="BP276" s="10"/>
      <c r="BQ276" s="10"/>
      <c r="BR276" s="10"/>
      <c r="BS276" s="10"/>
      <c r="BT276" s="10"/>
      <c r="BU276" s="10"/>
      <c r="BV276" s="10"/>
      <c r="BW276" s="10"/>
      <c r="BX276" s="10"/>
      <c r="BY276" s="10"/>
      <c r="BZ276" s="10"/>
      <c r="CA276" s="10"/>
      <c r="CB276" s="10"/>
      <c r="CC276" s="10"/>
      <c r="CD276" s="10"/>
      <c r="CE276" s="10"/>
      <c r="CF276" s="10"/>
      <c r="CG276" s="10"/>
      <c r="CH276" s="10"/>
    </row>
    <row r="277" spans="1:86" s="2" customFormat="1"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0"/>
      <c r="BC277" s="10"/>
      <c r="BD277" s="10"/>
      <c r="BE277" s="10"/>
      <c r="BF277" s="10"/>
      <c r="BG277" s="10"/>
      <c r="BH277" s="10"/>
      <c r="BI277" s="10"/>
      <c r="BJ277" s="10"/>
      <c r="BK277" s="10"/>
      <c r="BL277" s="10"/>
      <c r="BM277" s="10"/>
      <c r="BN277" s="10"/>
      <c r="BO277" s="10"/>
      <c r="BP277" s="10"/>
      <c r="BQ277" s="10"/>
      <c r="BR277" s="10"/>
      <c r="BS277" s="10"/>
      <c r="BT277" s="10"/>
      <c r="BU277" s="10"/>
      <c r="BV277" s="10"/>
      <c r="BW277" s="10"/>
      <c r="BX277" s="10"/>
      <c r="BY277" s="10"/>
      <c r="BZ277" s="10"/>
      <c r="CA277" s="10"/>
      <c r="CB277" s="10"/>
      <c r="CC277" s="10"/>
      <c r="CD277" s="10"/>
      <c r="CE277" s="10"/>
      <c r="CF277" s="10"/>
      <c r="CG277" s="10"/>
      <c r="CH277" s="10"/>
    </row>
    <row r="278" spans="1:86" s="2" customFormat="1"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0"/>
      <c r="BC278" s="10"/>
      <c r="BD278" s="10"/>
      <c r="BE278" s="10"/>
      <c r="BF278" s="10"/>
      <c r="BG278" s="10"/>
      <c r="BH278" s="10"/>
      <c r="BI278" s="10"/>
      <c r="BJ278" s="10"/>
      <c r="BK278" s="10"/>
      <c r="BL278" s="10"/>
      <c r="BM278" s="10"/>
      <c r="BN278" s="10"/>
      <c r="BO278" s="10"/>
      <c r="BP278" s="10"/>
      <c r="BQ278" s="10"/>
      <c r="BR278" s="10"/>
      <c r="BS278" s="10"/>
      <c r="BT278" s="10"/>
      <c r="BU278" s="10"/>
      <c r="BV278" s="10"/>
      <c r="BW278" s="10"/>
      <c r="BX278" s="10"/>
      <c r="BY278" s="10"/>
      <c r="BZ278" s="10"/>
      <c r="CA278" s="10"/>
      <c r="CB278" s="10"/>
      <c r="CC278" s="10"/>
      <c r="CD278" s="10"/>
      <c r="CE278" s="10"/>
      <c r="CF278" s="10"/>
      <c r="CG278" s="10"/>
      <c r="CH278" s="10"/>
    </row>
    <row r="279" spans="1:86" s="2" customFormat="1"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0"/>
      <c r="BC279" s="10"/>
      <c r="BD279" s="10"/>
      <c r="BE279" s="10"/>
      <c r="BF279" s="10"/>
      <c r="BG279" s="10"/>
      <c r="BH279" s="10"/>
      <c r="BI279" s="10"/>
      <c r="BJ279" s="10"/>
      <c r="BK279" s="10"/>
      <c r="BL279" s="10"/>
      <c r="BM279" s="10"/>
      <c r="BN279" s="10"/>
      <c r="BO279" s="10"/>
      <c r="BP279" s="10"/>
      <c r="BQ279" s="10"/>
      <c r="BR279" s="10"/>
      <c r="BS279" s="10"/>
      <c r="BT279" s="10"/>
      <c r="BU279" s="10"/>
      <c r="BV279" s="10"/>
      <c r="BW279" s="10"/>
      <c r="BX279" s="10"/>
      <c r="BY279" s="10"/>
      <c r="BZ279" s="10"/>
      <c r="CA279" s="10"/>
      <c r="CB279" s="10"/>
      <c r="CC279" s="10"/>
      <c r="CD279" s="10"/>
      <c r="CE279" s="10"/>
      <c r="CF279" s="10"/>
      <c r="CG279" s="10"/>
      <c r="CH279" s="10"/>
    </row>
    <row r="280" spans="1:86" s="2" customFormat="1"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0"/>
      <c r="BC280" s="10"/>
      <c r="BD280" s="10"/>
      <c r="BE280" s="10"/>
      <c r="BF280" s="10"/>
      <c r="BG280" s="10"/>
      <c r="BH280" s="10"/>
      <c r="BI280" s="10"/>
      <c r="BJ280" s="10"/>
      <c r="BK280" s="10"/>
      <c r="BL280" s="10"/>
      <c r="BM280" s="10"/>
      <c r="BN280" s="10"/>
      <c r="BO280" s="10"/>
      <c r="BP280" s="10"/>
      <c r="BQ280" s="10"/>
      <c r="BR280" s="10"/>
      <c r="BS280" s="10"/>
      <c r="BT280" s="10"/>
      <c r="BU280" s="10"/>
      <c r="BV280" s="10"/>
      <c r="BW280" s="10"/>
      <c r="BX280" s="10"/>
      <c r="BY280" s="10"/>
      <c r="BZ280" s="10"/>
      <c r="CA280" s="10"/>
      <c r="CB280" s="10"/>
      <c r="CC280" s="10"/>
      <c r="CD280" s="10"/>
      <c r="CE280" s="10"/>
      <c r="CF280" s="10"/>
      <c r="CG280" s="10"/>
      <c r="CH280" s="10"/>
    </row>
    <row r="281" spans="1:86" s="2" customFormat="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0"/>
      <c r="BC281" s="10"/>
      <c r="BD281" s="10"/>
      <c r="BE281" s="10"/>
      <c r="BF281" s="10"/>
      <c r="BG281" s="10"/>
      <c r="BH281" s="10"/>
      <c r="BI281" s="10"/>
      <c r="BJ281" s="10"/>
      <c r="BK281" s="10"/>
      <c r="BL281" s="10"/>
      <c r="BM281" s="10"/>
      <c r="BN281" s="10"/>
      <c r="BO281" s="10"/>
      <c r="BP281" s="10"/>
      <c r="BQ281" s="10"/>
      <c r="BR281" s="10"/>
      <c r="BS281" s="10"/>
      <c r="BT281" s="10"/>
      <c r="BU281" s="10"/>
      <c r="BV281" s="10"/>
      <c r="BW281" s="10"/>
      <c r="BX281" s="10"/>
      <c r="BY281" s="10"/>
      <c r="BZ281" s="10"/>
      <c r="CA281" s="10"/>
      <c r="CB281" s="10"/>
      <c r="CC281" s="10"/>
      <c r="CD281" s="10"/>
      <c r="CE281" s="10"/>
      <c r="CF281" s="10"/>
      <c r="CG281" s="10"/>
      <c r="CH281" s="10"/>
    </row>
    <row r="282" spans="1:86" s="2" customFormat="1"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0"/>
      <c r="BC282" s="10"/>
      <c r="BD282" s="10"/>
      <c r="BE282" s="10"/>
      <c r="BF282" s="10"/>
      <c r="BG282" s="10"/>
      <c r="BH282" s="10"/>
      <c r="BI282" s="10"/>
      <c r="BJ282" s="10"/>
      <c r="BK282" s="10"/>
      <c r="BL282" s="10"/>
      <c r="BM282" s="10"/>
      <c r="BN282" s="10"/>
      <c r="BO282" s="10"/>
      <c r="BP282" s="10"/>
      <c r="BQ282" s="10"/>
      <c r="BR282" s="10"/>
      <c r="BS282" s="10"/>
      <c r="BT282" s="10"/>
      <c r="BU282" s="10"/>
      <c r="BV282" s="10"/>
      <c r="BW282" s="10"/>
      <c r="BX282" s="10"/>
      <c r="BY282" s="10"/>
      <c r="BZ282" s="10"/>
      <c r="CA282" s="10"/>
      <c r="CB282" s="10"/>
      <c r="CC282" s="10"/>
      <c r="CD282" s="10"/>
      <c r="CE282" s="10"/>
      <c r="CF282" s="10"/>
      <c r="CG282" s="10"/>
      <c r="CH282" s="10"/>
    </row>
    <row r="283" spans="1:86" s="2" customFormat="1"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0"/>
      <c r="BC283" s="10"/>
      <c r="BD283" s="10"/>
      <c r="BE283" s="10"/>
      <c r="BF283" s="10"/>
      <c r="BG283" s="10"/>
      <c r="BH283" s="10"/>
      <c r="BI283" s="10"/>
      <c r="BJ283" s="10"/>
      <c r="BK283" s="10"/>
      <c r="BL283" s="10"/>
      <c r="BM283" s="10"/>
      <c r="BN283" s="10"/>
      <c r="BO283" s="10"/>
      <c r="BP283" s="10"/>
      <c r="BQ283" s="10"/>
      <c r="BR283" s="10"/>
      <c r="BS283" s="10"/>
      <c r="BT283" s="10"/>
      <c r="BU283" s="10"/>
      <c r="BV283" s="10"/>
      <c r="BW283" s="10"/>
      <c r="BX283" s="10"/>
      <c r="BY283" s="10"/>
      <c r="BZ283" s="10"/>
      <c r="CA283" s="10"/>
      <c r="CB283" s="10"/>
      <c r="CC283" s="10"/>
      <c r="CD283" s="10"/>
      <c r="CE283" s="10"/>
      <c r="CF283" s="10"/>
      <c r="CG283" s="10"/>
      <c r="CH283" s="10"/>
    </row>
    <row r="284" spans="1:86" s="2" customFormat="1"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0"/>
      <c r="BC284" s="10"/>
      <c r="BD284" s="10"/>
      <c r="BE284" s="10"/>
      <c r="BF284" s="10"/>
      <c r="BG284" s="10"/>
      <c r="BH284" s="10"/>
      <c r="BI284" s="10"/>
      <c r="BJ284" s="10"/>
      <c r="BK284" s="10"/>
      <c r="BL284" s="10"/>
      <c r="BM284" s="10"/>
      <c r="BN284" s="10"/>
      <c r="BO284" s="10"/>
      <c r="BP284" s="10"/>
      <c r="BQ284" s="10"/>
      <c r="BR284" s="10"/>
      <c r="BS284" s="10"/>
      <c r="BT284" s="10"/>
      <c r="BU284" s="10"/>
      <c r="BV284" s="10"/>
      <c r="BW284" s="10"/>
      <c r="BX284" s="10"/>
      <c r="BY284" s="10"/>
      <c r="BZ284" s="10"/>
      <c r="CA284" s="10"/>
      <c r="CB284" s="10"/>
      <c r="CC284" s="10"/>
      <c r="CD284" s="10"/>
      <c r="CE284" s="10"/>
      <c r="CF284" s="10"/>
      <c r="CG284" s="10"/>
      <c r="CH284" s="10"/>
    </row>
    <row r="285" spans="1:86" s="2" customFormat="1"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0"/>
      <c r="BC285" s="10"/>
      <c r="BD285" s="10"/>
      <c r="BE285" s="10"/>
      <c r="BF285" s="10"/>
      <c r="BG285" s="10"/>
      <c r="BH285" s="10"/>
      <c r="BI285" s="10"/>
      <c r="BJ285" s="10"/>
      <c r="BK285" s="10"/>
      <c r="BL285" s="10"/>
      <c r="BM285" s="10"/>
      <c r="BN285" s="10"/>
      <c r="BO285" s="10"/>
      <c r="BP285" s="10"/>
      <c r="BQ285" s="10"/>
      <c r="BR285" s="10"/>
      <c r="BS285" s="10"/>
      <c r="BT285" s="10"/>
      <c r="BU285" s="10"/>
      <c r="BV285" s="10"/>
      <c r="BW285" s="10"/>
      <c r="BX285" s="10"/>
      <c r="BY285" s="10"/>
      <c r="BZ285" s="10"/>
      <c r="CA285" s="10"/>
      <c r="CB285" s="10"/>
      <c r="CC285" s="10"/>
      <c r="CD285" s="10"/>
      <c r="CE285" s="10"/>
      <c r="CF285" s="10"/>
      <c r="CG285" s="10"/>
      <c r="CH285" s="10"/>
    </row>
    <row r="286" spans="1:86" s="2" customFormat="1"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0"/>
      <c r="BC286" s="10"/>
      <c r="BD286" s="10"/>
      <c r="BE286" s="10"/>
      <c r="BF286" s="10"/>
      <c r="BG286" s="10"/>
      <c r="BH286" s="10"/>
      <c r="BI286" s="10"/>
      <c r="BJ286" s="10"/>
      <c r="BK286" s="10"/>
      <c r="BL286" s="10"/>
      <c r="BM286" s="10"/>
      <c r="BN286" s="10"/>
      <c r="BO286" s="10"/>
      <c r="BP286" s="10"/>
      <c r="BQ286" s="10"/>
      <c r="BR286" s="10"/>
      <c r="BS286" s="10"/>
      <c r="BT286" s="10"/>
      <c r="BU286" s="10"/>
      <c r="BV286" s="10"/>
      <c r="BW286" s="10"/>
      <c r="BX286" s="10"/>
      <c r="BY286" s="10"/>
      <c r="BZ286" s="10"/>
      <c r="CA286" s="10"/>
      <c r="CB286" s="10"/>
      <c r="CC286" s="10"/>
      <c r="CD286" s="10"/>
      <c r="CE286" s="10"/>
      <c r="CF286" s="10"/>
      <c r="CG286" s="10"/>
      <c r="CH286" s="10"/>
    </row>
    <row r="287" spans="1:86" s="2" customFormat="1"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0"/>
      <c r="BC287" s="10"/>
      <c r="BD287" s="10"/>
      <c r="BE287" s="10"/>
      <c r="BF287" s="10"/>
      <c r="BG287" s="10"/>
      <c r="BH287" s="10"/>
      <c r="BI287" s="10"/>
      <c r="BJ287" s="10"/>
      <c r="BK287" s="10"/>
      <c r="BL287" s="10"/>
      <c r="BM287" s="10"/>
      <c r="BN287" s="10"/>
      <c r="BO287" s="10"/>
      <c r="BP287" s="10"/>
      <c r="BQ287" s="10"/>
      <c r="BR287" s="10"/>
      <c r="BS287" s="10"/>
      <c r="BT287" s="10"/>
      <c r="BU287" s="10"/>
      <c r="BV287" s="10"/>
      <c r="BW287" s="10"/>
      <c r="BX287" s="10"/>
      <c r="BY287" s="10"/>
      <c r="BZ287" s="10"/>
      <c r="CA287" s="10"/>
      <c r="CB287" s="10"/>
      <c r="CC287" s="10"/>
      <c r="CD287" s="10"/>
      <c r="CE287" s="10"/>
      <c r="CF287" s="10"/>
      <c r="CG287" s="10"/>
      <c r="CH287" s="10"/>
    </row>
    <row r="288" spans="1:86" s="2" customFormat="1"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0"/>
      <c r="BC288" s="10"/>
      <c r="BD288" s="10"/>
      <c r="BE288" s="10"/>
      <c r="BF288" s="10"/>
      <c r="BG288" s="10"/>
      <c r="BH288" s="10"/>
      <c r="BI288" s="10"/>
      <c r="BJ288" s="10"/>
      <c r="BK288" s="10"/>
      <c r="BL288" s="10"/>
      <c r="BM288" s="10"/>
      <c r="BN288" s="10"/>
      <c r="BO288" s="10"/>
      <c r="BP288" s="10"/>
      <c r="BQ288" s="10"/>
      <c r="BR288" s="10"/>
      <c r="BS288" s="10"/>
      <c r="BT288" s="10"/>
      <c r="BU288" s="10"/>
      <c r="BV288" s="10"/>
      <c r="BW288" s="10"/>
      <c r="BX288" s="10"/>
      <c r="BY288" s="10"/>
      <c r="BZ288" s="10"/>
      <c r="CA288" s="10"/>
      <c r="CB288" s="10"/>
      <c r="CC288" s="10"/>
      <c r="CD288" s="10"/>
      <c r="CE288" s="10"/>
      <c r="CF288" s="10"/>
      <c r="CG288" s="10"/>
      <c r="CH288" s="10"/>
    </row>
    <row r="289" spans="1:86" s="2" customFormat="1"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0"/>
      <c r="BC289" s="10"/>
      <c r="BD289" s="10"/>
      <c r="BE289" s="10"/>
      <c r="BF289" s="10"/>
      <c r="BG289" s="10"/>
      <c r="BH289" s="10"/>
      <c r="BI289" s="10"/>
      <c r="BJ289" s="10"/>
      <c r="BK289" s="10"/>
      <c r="BL289" s="10"/>
      <c r="BM289" s="10"/>
      <c r="BN289" s="10"/>
      <c r="BO289" s="10"/>
      <c r="BP289" s="10"/>
      <c r="BQ289" s="10"/>
      <c r="BR289" s="10"/>
      <c r="BS289" s="10"/>
      <c r="BT289" s="10"/>
      <c r="BU289" s="10"/>
      <c r="BV289" s="10"/>
      <c r="BW289" s="10"/>
      <c r="BX289" s="10"/>
      <c r="BY289" s="10"/>
      <c r="BZ289" s="10"/>
      <c r="CA289" s="10"/>
      <c r="CB289" s="10"/>
      <c r="CC289" s="10"/>
      <c r="CD289" s="10"/>
      <c r="CE289" s="10"/>
      <c r="CF289" s="10"/>
      <c r="CG289" s="10"/>
      <c r="CH289" s="10"/>
    </row>
    <row r="290" spans="1:86" s="2" customFormat="1"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0"/>
      <c r="BC290" s="10"/>
      <c r="BD290" s="10"/>
      <c r="BE290" s="10"/>
      <c r="BF290" s="10"/>
      <c r="BG290" s="10"/>
      <c r="BH290" s="10"/>
      <c r="BI290" s="10"/>
      <c r="BJ290" s="10"/>
      <c r="BK290" s="10"/>
      <c r="BL290" s="10"/>
      <c r="BM290" s="10"/>
      <c r="BN290" s="10"/>
      <c r="BO290" s="10"/>
      <c r="BP290" s="10"/>
      <c r="BQ290" s="10"/>
      <c r="BR290" s="10"/>
      <c r="BS290" s="10"/>
      <c r="BT290" s="10"/>
      <c r="BU290" s="10"/>
      <c r="BV290" s="10"/>
      <c r="BW290" s="10"/>
      <c r="BX290" s="10"/>
      <c r="BY290" s="10"/>
      <c r="BZ290" s="10"/>
      <c r="CA290" s="10"/>
      <c r="CB290" s="10"/>
      <c r="CC290" s="10"/>
      <c r="CD290" s="10"/>
      <c r="CE290" s="10"/>
      <c r="CF290" s="10"/>
      <c r="CG290" s="10"/>
      <c r="CH290" s="10"/>
    </row>
    <row r="291" spans="1:86" s="2" customFormat="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0"/>
      <c r="BC291" s="10"/>
      <c r="BD291" s="10"/>
      <c r="BE291" s="10"/>
      <c r="BF291" s="10"/>
      <c r="BG291" s="10"/>
      <c r="BH291" s="10"/>
      <c r="BI291" s="10"/>
      <c r="BJ291" s="10"/>
      <c r="BK291" s="10"/>
      <c r="BL291" s="10"/>
      <c r="BM291" s="10"/>
      <c r="BN291" s="10"/>
      <c r="BO291" s="10"/>
      <c r="BP291" s="10"/>
      <c r="BQ291" s="10"/>
      <c r="BR291" s="10"/>
      <c r="BS291" s="10"/>
      <c r="BT291" s="10"/>
      <c r="BU291" s="10"/>
      <c r="BV291" s="10"/>
      <c r="BW291" s="10"/>
      <c r="BX291" s="10"/>
      <c r="BY291" s="10"/>
      <c r="BZ291" s="10"/>
      <c r="CA291" s="10"/>
      <c r="CB291" s="10"/>
      <c r="CC291" s="10"/>
      <c r="CD291" s="10"/>
      <c r="CE291" s="10"/>
      <c r="CF291" s="10"/>
      <c r="CG291" s="10"/>
      <c r="CH291" s="10"/>
    </row>
    <row r="292" spans="1:86" s="2" customFormat="1"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0"/>
      <c r="BC292" s="10"/>
      <c r="BD292" s="10"/>
      <c r="BE292" s="10"/>
      <c r="BF292" s="10"/>
      <c r="BG292" s="10"/>
      <c r="BH292" s="10"/>
      <c r="BI292" s="10"/>
      <c r="BJ292" s="10"/>
      <c r="BK292" s="10"/>
      <c r="BL292" s="10"/>
      <c r="BM292" s="10"/>
      <c r="BN292" s="10"/>
      <c r="BO292" s="10"/>
      <c r="BP292" s="10"/>
      <c r="BQ292" s="10"/>
      <c r="BR292" s="10"/>
      <c r="BS292" s="10"/>
      <c r="BT292" s="10"/>
      <c r="BU292" s="10"/>
      <c r="BV292" s="10"/>
      <c r="BW292" s="10"/>
      <c r="BX292" s="10"/>
      <c r="BY292" s="10"/>
      <c r="BZ292" s="10"/>
      <c r="CA292" s="10"/>
      <c r="CB292" s="10"/>
      <c r="CC292" s="10"/>
      <c r="CD292" s="10"/>
      <c r="CE292" s="10"/>
      <c r="CF292" s="10"/>
      <c r="CG292" s="10"/>
      <c r="CH292" s="10"/>
    </row>
    <row r="293" spans="1:86" s="2" customFormat="1"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0"/>
      <c r="BC293" s="10"/>
      <c r="BD293" s="10"/>
      <c r="BE293" s="10"/>
      <c r="BF293" s="10"/>
      <c r="BG293" s="10"/>
      <c r="BH293" s="10"/>
      <c r="BI293" s="10"/>
      <c r="BJ293" s="10"/>
      <c r="BK293" s="10"/>
      <c r="BL293" s="10"/>
      <c r="BM293" s="10"/>
      <c r="BN293" s="10"/>
      <c r="BO293" s="10"/>
      <c r="BP293" s="10"/>
      <c r="BQ293" s="10"/>
      <c r="BR293" s="10"/>
      <c r="BS293" s="10"/>
      <c r="BT293" s="10"/>
      <c r="BU293" s="10"/>
      <c r="BV293" s="10"/>
      <c r="BW293" s="10"/>
      <c r="BX293" s="10"/>
      <c r="BY293" s="10"/>
      <c r="BZ293" s="10"/>
      <c r="CA293" s="10"/>
      <c r="CB293" s="10"/>
      <c r="CC293" s="10"/>
      <c r="CD293" s="10"/>
      <c r="CE293" s="10"/>
      <c r="CF293" s="10"/>
      <c r="CG293" s="10"/>
      <c r="CH293" s="10"/>
    </row>
    <row r="294" spans="1:86" s="2" customFormat="1"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0"/>
      <c r="BC294" s="10"/>
      <c r="BD294" s="10"/>
      <c r="BE294" s="10"/>
      <c r="BF294" s="10"/>
      <c r="BG294" s="10"/>
      <c r="BH294" s="10"/>
      <c r="BI294" s="10"/>
      <c r="BJ294" s="10"/>
      <c r="BK294" s="10"/>
      <c r="BL294" s="10"/>
      <c r="BM294" s="10"/>
      <c r="BN294" s="10"/>
      <c r="BO294" s="10"/>
      <c r="BP294" s="10"/>
      <c r="BQ294" s="10"/>
      <c r="BR294" s="10"/>
      <c r="BS294" s="10"/>
      <c r="BT294" s="10"/>
      <c r="BU294" s="10"/>
      <c r="BV294" s="10"/>
      <c r="BW294" s="10"/>
      <c r="BX294" s="10"/>
      <c r="BY294" s="10"/>
      <c r="BZ294" s="10"/>
      <c r="CA294" s="10"/>
      <c r="CB294" s="10"/>
      <c r="CC294" s="10"/>
      <c r="CD294" s="10"/>
      <c r="CE294" s="10"/>
      <c r="CF294" s="10"/>
      <c r="CG294" s="10"/>
      <c r="CH294" s="10"/>
    </row>
    <row r="295" spans="1:86" s="2" customFormat="1"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0"/>
      <c r="BC295" s="10"/>
      <c r="BD295" s="10"/>
      <c r="BE295" s="10"/>
      <c r="BF295" s="10"/>
      <c r="BG295" s="10"/>
      <c r="BH295" s="10"/>
      <c r="BI295" s="10"/>
      <c r="BJ295" s="10"/>
      <c r="BK295" s="10"/>
      <c r="BL295" s="10"/>
      <c r="BM295" s="10"/>
      <c r="BN295" s="10"/>
      <c r="BO295" s="10"/>
      <c r="BP295" s="10"/>
      <c r="BQ295" s="10"/>
      <c r="BR295" s="10"/>
      <c r="BS295" s="10"/>
      <c r="BT295" s="10"/>
      <c r="BU295" s="10"/>
      <c r="BV295" s="10"/>
      <c r="BW295" s="10"/>
      <c r="BX295" s="10"/>
      <c r="BY295" s="10"/>
      <c r="BZ295" s="10"/>
      <c r="CA295" s="10"/>
      <c r="CB295" s="10"/>
      <c r="CC295" s="10"/>
      <c r="CD295" s="10"/>
      <c r="CE295" s="10"/>
      <c r="CF295" s="10"/>
      <c r="CG295" s="10"/>
      <c r="CH295" s="10"/>
    </row>
    <row r="296" spans="1:86" s="2" customFormat="1"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0"/>
      <c r="BC296" s="10"/>
      <c r="BD296" s="10"/>
      <c r="BE296" s="10"/>
      <c r="BF296" s="10"/>
      <c r="BG296" s="10"/>
      <c r="BH296" s="10"/>
      <c r="BI296" s="10"/>
      <c r="BJ296" s="10"/>
      <c r="BK296" s="10"/>
      <c r="BL296" s="10"/>
      <c r="BM296" s="10"/>
      <c r="BN296" s="10"/>
      <c r="BO296" s="10"/>
      <c r="BP296" s="10"/>
      <c r="BQ296" s="10"/>
      <c r="BR296" s="10"/>
      <c r="BS296" s="10"/>
      <c r="BT296" s="10"/>
      <c r="BU296" s="10"/>
      <c r="BV296" s="10"/>
      <c r="BW296" s="10"/>
      <c r="BX296" s="10"/>
      <c r="BY296" s="10"/>
      <c r="BZ296" s="10"/>
      <c r="CA296" s="10"/>
      <c r="CB296" s="10"/>
      <c r="CC296" s="10"/>
      <c r="CD296" s="10"/>
      <c r="CE296" s="10"/>
      <c r="CF296" s="10"/>
      <c r="CG296" s="10"/>
      <c r="CH296" s="10"/>
    </row>
    <row r="297" spans="1:86" s="2" customFormat="1"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0"/>
      <c r="BC297" s="10"/>
      <c r="BD297" s="10"/>
      <c r="BE297" s="10"/>
      <c r="BF297" s="10"/>
      <c r="BG297" s="10"/>
      <c r="BH297" s="10"/>
      <c r="BI297" s="10"/>
      <c r="BJ297" s="10"/>
      <c r="BK297" s="10"/>
      <c r="BL297" s="10"/>
      <c r="BM297" s="10"/>
      <c r="BN297" s="10"/>
      <c r="BO297" s="10"/>
      <c r="BP297" s="10"/>
      <c r="BQ297" s="10"/>
      <c r="BR297" s="10"/>
      <c r="BS297" s="10"/>
      <c r="BT297" s="10"/>
      <c r="BU297" s="10"/>
      <c r="BV297" s="10"/>
      <c r="BW297" s="10"/>
      <c r="BX297" s="10"/>
      <c r="BY297" s="10"/>
      <c r="BZ297" s="10"/>
      <c r="CA297" s="10"/>
      <c r="CB297" s="10"/>
      <c r="CC297" s="10"/>
      <c r="CD297" s="10"/>
      <c r="CE297" s="10"/>
      <c r="CF297" s="10"/>
      <c r="CG297" s="10"/>
      <c r="CH297" s="10"/>
    </row>
    <row r="298" spans="1:86" s="2" customFormat="1"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0"/>
      <c r="BC298" s="10"/>
      <c r="BD298" s="10"/>
      <c r="BE298" s="10"/>
      <c r="BF298" s="10"/>
      <c r="BG298" s="10"/>
      <c r="BH298" s="10"/>
      <c r="BI298" s="10"/>
      <c r="BJ298" s="10"/>
      <c r="BK298" s="10"/>
      <c r="BL298" s="10"/>
      <c r="BM298" s="10"/>
      <c r="BN298" s="10"/>
      <c r="BO298" s="10"/>
      <c r="BP298" s="10"/>
      <c r="BQ298" s="10"/>
      <c r="BR298" s="10"/>
      <c r="BS298" s="10"/>
      <c r="BT298" s="10"/>
      <c r="BU298" s="10"/>
      <c r="BV298" s="10"/>
      <c r="BW298" s="10"/>
      <c r="BX298" s="10"/>
      <c r="BY298" s="10"/>
      <c r="BZ298" s="10"/>
      <c r="CA298" s="10"/>
      <c r="CB298" s="10"/>
      <c r="CC298" s="10"/>
      <c r="CD298" s="10"/>
      <c r="CE298" s="10"/>
      <c r="CF298" s="10"/>
      <c r="CG298" s="10"/>
      <c r="CH298" s="10"/>
    </row>
    <row r="299" spans="1:86" s="2" customFormat="1"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0"/>
      <c r="BC299" s="10"/>
      <c r="BD299" s="10"/>
      <c r="BE299" s="10"/>
      <c r="BF299" s="10"/>
      <c r="BG299" s="10"/>
      <c r="BH299" s="10"/>
      <c r="BI299" s="10"/>
      <c r="BJ299" s="10"/>
      <c r="BK299" s="10"/>
      <c r="BL299" s="10"/>
      <c r="BM299" s="10"/>
      <c r="BN299" s="10"/>
      <c r="BO299" s="10"/>
      <c r="BP299" s="10"/>
      <c r="BQ299" s="10"/>
      <c r="BR299" s="10"/>
      <c r="BS299" s="10"/>
      <c r="BT299" s="10"/>
      <c r="BU299" s="10"/>
      <c r="BV299" s="10"/>
      <c r="BW299" s="10"/>
      <c r="BX299" s="10"/>
      <c r="BY299" s="10"/>
      <c r="BZ299" s="10"/>
      <c r="CA299" s="10"/>
      <c r="CB299" s="10"/>
      <c r="CC299" s="10"/>
      <c r="CD299" s="10"/>
      <c r="CE299" s="10"/>
      <c r="CF299" s="10"/>
      <c r="CG299" s="10"/>
      <c r="CH299" s="10"/>
    </row>
    <row r="300" spans="1:86" s="2" customFormat="1"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0"/>
      <c r="BC300" s="10"/>
      <c r="BD300" s="10"/>
      <c r="BE300" s="10"/>
      <c r="BF300" s="10"/>
      <c r="BG300" s="10"/>
      <c r="BH300" s="10"/>
      <c r="BI300" s="10"/>
      <c r="BJ300" s="10"/>
      <c r="BK300" s="10"/>
      <c r="BL300" s="10"/>
      <c r="BM300" s="10"/>
      <c r="BN300" s="10"/>
      <c r="BO300" s="10"/>
      <c r="BP300" s="10"/>
      <c r="BQ300" s="10"/>
      <c r="BR300" s="10"/>
      <c r="BS300" s="10"/>
      <c r="BT300" s="10"/>
      <c r="BU300" s="10"/>
      <c r="BV300" s="10"/>
      <c r="BW300" s="10"/>
      <c r="BX300" s="10"/>
      <c r="BY300" s="10"/>
      <c r="BZ300" s="10"/>
      <c r="CA300" s="10"/>
      <c r="CB300" s="10"/>
      <c r="CC300" s="10"/>
      <c r="CD300" s="10"/>
      <c r="CE300" s="10"/>
      <c r="CF300" s="10"/>
      <c r="CG300" s="10"/>
      <c r="CH300" s="10"/>
    </row>
    <row r="301" spans="1:86" s="2" customFormat="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0"/>
      <c r="BC301" s="10"/>
      <c r="BD301" s="10"/>
      <c r="BE301" s="10"/>
      <c r="BF301" s="10"/>
      <c r="BG301" s="10"/>
      <c r="BH301" s="10"/>
      <c r="BI301" s="10"/>
      <c r="BJ301" s="10"/>
      <c r="BK301" s="10"/>
      <c r="BL301" s="10"/>
      <c r="BM301" s="10"/>
      <c r="BN301" s="10"/>
      <c r="BO301" s="10"/>
      <c r="BP301" s="10"/>
      <c r="BQ301" s="10"/>
      <c r="BR301" s="10"/>
      <c r="BS301" s="10"/>
      <c r="BT301" s="10"/>
      <c r="BU301" s="10"/>
      <c r="BV301" s="10"/>
      <c r="BW301" s="10"/>
      <c r="BX301" s="10"/>
      <c r="BY301" s="10"/>
      <c r="BZ301" s="10"/>
      <c r="CA301" s="10"/>
      <c r="CB301" s="10"/>
      <c r="CC301" s="10"/>
      <c r="CD301" s="10"/>
      <c r="CE301" s="10"/>
      <c r="CF301" s="10"/>
      <c r="CG301" s="10"/>
      <c r="CH301" s="10"/>
    </row>
    <row r="302" spans="1:86" s="2" customFormat="1"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0"/>
      <c r="BC302" s="10"/>
      <c r="BD302" s="10"/>
      <c r="BE302" s="10"/>
      <c r="BF302" s="10"/>
      <c r="BG302" s="10"/>
      <c r="BH302" s="10"/>
      <c r="BI302" s="10"/>
      <c r="BJ302" s="10"/>
      <c r="BK302" s="10"/>
      <c r="BL302" s="10"/>
      <c r="BM302" s="10"/>
      <c r="BN302" s="10"/>
      <c r="BO302" s="10"/>
      <c r="BP302" s="10"/>
      <c r="BQ302" s="10"/>
      <c r="BR302" s="10"/>
      <c r="BS302" s="10"/>
      <c r="BT302" s="10"/>
      <c r="BU302" s="10"/>
      <c r="BV302" s="10"/>
      <c r="BW302" s="10"/>
      <c r="BX302" s="10"/>
      <c r="BY302" s="10"/>
      <c r="BZ302" s="10"/>
      <c r="CA302" s="10"/>
      <c r="CB302" s="10"/>
      <c r="CC302" s="10"/>
      <c r="CD302" s="10"/>
      <c r="CE302" s="10"/>
      <c r="CF302" s="10"/>
      <c r="CG302" s="10"/>
      <c r="CH302" s="10"/>
    </row>
    <row r="303" spans="1:86" ht="15.75" customHeight="1">
      <c r="D303" s="53"/>
      <c r="E303" s="53"/>
      <c r="F303" s="53"/>
      <c r="G303" s="53"/>
      <c r="H303" s="53"/>
      <c r="I303" s="53"/>
      <c r="J303" s="53"/>
      <c r="K303" s="53"/>
      <c r="L303" s="53"/>
      <c r="M303" s="53"/>
      <c r="N303" s="53"/>
      <c r="O303" s="53"/>
      <c r="P303" s="53"/>
      <c r="Q303" s="53"/>
      <c r="R303" s="53"/>
      <c r="S303" s="53"/>
      <c r="T303" s="53"/>
      <c r="U303" s="53"/>
      <c r="V303" s="53"/>
      <c r="W303" s="53"/>
      <c r="X303" s="53"/>
      <c r="Y303" s="53"/>
      <c r="Z303" s="53"/>
      <c r="AA303" s="53"/>
      <c r="AB303" s="53"/>
      <c r="AC303" s="53"/>
      <c r="AD303" s="53"/>
      <c r="AE303" s="53"/>
      <c r="AF303" s="53"/>
      <c r="AG303" s="53"/>
      <c r="AH303" s="53"/>
      <c r="AI303" s="53"/>
      <c r="AJ303" s="53"/>
      <c r="AK303" s="53"/>
      <c r="AL303" s="53"/>
      <c r="AM303" s="53"/>
      <c r="AN303" s="53"/>
      <c r="AO303" s="53"/>
      <c r="AP303" s="53"/>
      <c r="AQ303" s="53"/>
      <c r="AR303" s="53"/>
      <c r="AS303" s="53"/>
      <c r="AT303" s="53"/>
      <c r="AU303" s="53"/>
      <c r="AV303" s="53"/>
      <c r="AW303" s="53"/>
      <c r="AX303" s="53"/>
      <c r="AY303" s="53"/>
      <c r="AZ303" s="53"/>
      <c r="BA303" s="53"/>
      <c r="BB303" s="53"/>
      <c r="BC303" s="53"/>
      <c r="BD303" s="53"/>
      <c r="BE303" s="53"/>
      <c r="BF303" s="53"/>
      <c r="BG303" s="53"/>
      <c r="BH303" s="53"/>
      <c r="BI303" s="53"/>
      <c r="BJ303" s="53"/>
      <c r="BK303" s="53"/>
    </row>
  </sheetData>
  <mergeCells count="123">
    <mergeCell ref="BL1:BT1"/>
    <mergeCell ref="BU1:CA1"/>
    <mergeCell ref="CB1:CH1"/>
    <mergeCell ref="O2:AB2"/>
    <mergeCell ref="AC2:AI2"/>
    <mergeCell ref="AJ2:AP2"/>
    <mergeCell ref="AQ2:AW2"/>
    <mergeCell ref="AX2:BK2"/>
    <mergeCell ref="BL2:BT3"/>
    <mergeCell ref="BU2:CA3"/>
    <mergeCell ref="CB2:CH3"/>
    <mergeCell ref="O3:AB3"/>
    <mergeCell ref="AC3:AI3"/>
    <mergeCell ref="AJ3:AP3"/>
    <mergeCell ref="AQ3:BK3"/>
    <mergeCell ref="AJ1:AP1"/>
    <mergeCell ref="AQ1:AW1"/>
    <mergeCell ref="AX1:BK1"/>
    <mergeCell ref="G147:L147"/>
    <mergeCell ref="M147:R147"/>
    <mergeCell ref="U147:Z147"/>
    <mergeCell ref="AA147:AF147"/>
    <mergeCell ref="G148:L148"/>
    <mergeCell ref="M148:R148"/>
    <mergeCell ref="U148:Z148"/>
    <mergeCell ref="AA148:AF148"/>
    <mergeCell ref="A1:N3"/>
    <mergeCell ref="O1:AB1"/>
    <mergeCell ref="AC1:AI1"/>
    <mergeCell ref="U149:Z149"/>
    <mergeCell ref="AA149:AF149"/>
    <mergeCell ref="G157:L157"/>
    <mergeCell ref="M157:R157"/>
    <mergeCell ref="U157:Z157"/>
    <mergeCell ref="AA157:AF157"/>
    <mergeCell ref="G158:L158"/>
    <mergeCell ref="M158:R158"/>
    <mergeCell ref="U158:Z158"/>
    <mergeCell ref="AA158:AF158"/>
    <mergeCell ref="G159:L159"/>
    <mergeCell ref="M159:R159"/>
    <mergeCell ref="U159:Z159"/>
    <mergeCell ref="AA159:AF159"/>
    <mergeCell ref="U160:Z160"/>
    <mergeCell ref="AA160:AF160"/>
    <mergeCell ref="M163:R163"/>
    <mergeCell ref="S163:X163"/>
    <mergeCell ref="G164:L164"/>
    <mergeCell ref="M164:R164"/>
    <mergeCell ref="S164:X164"/>
    <mergeCell ref="G165:L165"/>
    <mergeCell ref="M165:R165"/>
    <mergeCell ref="S165:X165"/>
    <mergeCell ref="G166:L166"/>
    <mergeCell ref="M166:R166"/>
    <mergeCell ref="S166:X166"/>
    <mergeCell ref="G167:L167"/>
    <mergeCell ref="M167:R167"/>
    <mergeCell ref="S167:X167"/>
    <mergeCell ref="R193:S193"/>
    <mergeCell ref="AT193:AU193"/>
    <mergeCell ref="G195:L195"/>
    <mergeCell ref="O195:P195"/>
    <mergeCell ref="S195:T195"/>
    <mergeCell ref="W195:X195"/>
    <mergeCell ref="AA195:AB195"/>
    <mergeCell ref="AI195:AN195"/>
    <mergeCell ref="AQ195:AR195"/>
    <mergeCell ref="AU195:AV195"/>
    <mergeCell ref="AY195:AZ195"/>
    <mergeCell ref="BC195:BD195"/>
    <mergeCell ref="O197:P197"/>
    <mergeCell ref="S197:T197"/>
    <mergeCell ref="W197:X197"/>
    <mergeCell ref="AA197:AB197"/>
    <mergeCell ref="AQ197:AR197"/>
    <mergeCell ref="AU197:AV197"/>
    <mergeCell ref="AY197:AZ197"/>
    <mergeCell ref="BC197:BD197"/>
    <mergeCell ref="G198:L198"/>
    <mergeCell ref="Q198:R198"/>
    <mergeCell ref="AI198:AN198"/>
    <mergeCell ref="AS198:AT198"/>
    <mergeCell ref="G199:L199"/>
    <mergeCell ref="U199:V199"/>
    <mergeCell ref="AI199:AN199"/>
    <mergeCell ref="AW199:AX199"/>
    <mergeCell ref="F202:K202"/>
    <mergeCell ref="L202:Q202"/>
    <mergeCell ref="AH202:AM202"/>
    <mergeCell ref="AN202:AS202"/>
    <mergeCell ref="R208:S208"/>
    <mergeCell ref="AT208:AU208"/>
    <mergeCell ref="G210:L210"/>
    <mergeCell ref="O210:P210"/>
    <mergeCell ref="S210:T210"/>
    <mergeCell ref="W210:X210"/>
    <mergeCell ref="AA210:AB210"/>
    <mergeCell ref="AI210:AN210"/>
    <mergeCell ref="AQ210:AR210"/>
    <mergeCell ref="AU210:AV210"/>
    <mergeCell ref="AY210:AZ210"/>
    <mergeCell ref="BC210:BD210"/>
    <mergeCell ref="O212:P212"/>
    <mergeCell ref="S212:T212"/>
    <mergeCell ref="W212:X212"/>
    <mergeCell ref="AA212:AB212"/>
    <mergeCell ref="AQ212:AR212"/>
    <mergeCell ref="AU212:AV212"/>
    <mergeCell ref="AY212:AZ212"/>
    <mergeCell ref="BC212:BD212"/>
    <mergeCell ref="G213:L213"/>
    <mergeCell ref="Y213:Z213"/>
    <mergeCell ref="AI213:AN213"/>
    <mergeCell ref="BA213:BB213"/>
    <mergeCell ref="G214:L214"/>
    <mergeCell ref="U214:V214"/>
    <mergeCell ref="AI214:AN214"/>
    <mergeCell ref="AW214:AX214"/>
    <mergeCell ref="F217:K217"/>
    <mergeCell ref="L217:Q217"/>
    <mergeCell ref="AH217:AM217"/>
    <mergeCell ref="AN217:AS217"/>
  </mergeCells>
  <phoneticPr fontId="65"/>
  <pageMargins left="0.511811023622047" right="0.74803149606299202" top="0.70866141732283505" bottom="0.43307086614173201" header="0.511811023622047" footer="0.35433070866141703"/>
  <pageSetup paperSize="9" scale="75" fitToHeight="0" orientation="landscape" r:id="rId1"/>
  <headerFooter alignWithMargins="0">
    <oddFooter>&amp;L&amp;"Meiryo UI"&amp;10MSBDP0090&amp;C&amp;"Meiryo UI,標準"&amp;10&amp;P&amp;R&amp;"Meiryo UI,標準"&amp;10(C)Toyo Business Engineering Corp.[Confidential]</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BK55"/>
  <sheetViews>
    <sheetView showGridLines="0" showZeros="0" view="pageBreakPreview" zoomScale="70" zoomScaleNormal="85" zoomScaleSheetLayoutView="70" workbookViewId="0">
      <pane ySplit="4" topLeftCell="A5" activePane="bottomLeft" state="frozen"/>
      <selection pane="bottomLeft" sqref="A1:J3"/>
    </sheetView>
  </sheetViews>
  <sheetFormatPr defaultColWidth="9" defaultRowHeight="13.5"/>
  <cols>
    <col min="1" max="1" width="2.08984375" style="163" customWidth="1"/>
    <col min="2" max="2" width="2.08984375" style="171" customWidth="1"/>
    <col min="3" max="3" width="2.36328125" style="172" customWidth="1"/>
    <col min="4" max="4" width="2.08984375" style="172" customWidth="1"/>
    <col min="5" max="5" width="3" style="172" customWidth="1"/>
    <col min="6" max="9" width="2.08984375" style="173" customWidth="1"/>
    <col min="10" max="10" width="2.08984375" style="172" customWidth="1"/>
    <col min="11" max="16" width="2.08984375" style="173" customWidth="1"/>
    <col min="17" max="17" width="2.08984375" style="198" customWidth="1"/>
    <col min="18" max="62" width="2.08984375" style="163" customWidth="1"/>
    <col min="63" max="63" width="2.26953125" style="163" customWidth="1"/>
    <col min="64" max="16384" width="9" style="163"/>
  </cols>
  <sheetData>
    <row r="1" spans="1:63" ht="15.75" customHeight="1">
      <c r="A1" s="961" t="str">
        <f ca="1">INDIRECT("表紙!$A$39")</f>
        <v>mcframe 7</v>
      </c>
      <c r="B1" s="962"/>
      <c r="C1" s="962"/>
      <c r="D1" s="962"/>
      <c r="E1" s="962"/>
      <c r="F1" s="962"/>
      <c r="G1" s="962"/>
      <c r="H1" s="962"/>
      <c r="I1" s="962"/>
      <c r="J1" s="963"/>
      <c r="K1" s="986" t="s">
        <v>45</v>
      </c>
      <c r="L1" s="987"/>
      <c r="M1" s="987"/>
      <c r="N1" s="987"/>
      <c r="O1" s="987"/>
      <c r="P1" s="987"/>
      <c r="Q1" s="987"/>
      <c r="R1" s="987"/>
      <c r="S1" s="987"/>
      <c r="T1" s="988"/>
      <c r="U1" s="989" t="s">
        <v>46</v>
      </c>
      <c r="V1" s="990"/>
      <c r="W1" s="990"/>
      <c r="X1" s="990"/>
      <c r="Y1" s="991"/>
      <c r="Z1" s="992" t="str">
        <f ca="1">INDIRECT("表紙!$Z$39")</f>
        <v>MS</v>
      </c>
      <c r="AA1" s="972"/>
      <c r="AB1" s="972"/>
      <c r="AC1" s="972"/>
      <c r="AD1" s="973"/>
      <c r="AE1" s="993" t="s">
        <v>48</v>
      </c>
      <c r="AF1" s="972"/>
      <c r="AG1" s="972"/>
      <c r="AH1" s="972"/>
      <c r="AI1" s="973"/>
      <c r="AJ1" s="994" t="str">
        <f ca="1">INDIRECT("表紙!$AJ$39")</f>
        <v>SCM</v>
      </c>
      <c r="AK1" s="990"/>
      <c r="AL1" s="990"/>
      <c r="AM1" s="990"/>
      <c r="AN1" s="990"/>
      <c r="AO1" s="990"/>
      <c r="AP1" s="990"/>
      <c r="AQ1" s="990"/>
      <c r="AR1" s="991"/>
      <c r="AS1" s="970" t="s">
        <v>5</v>
      </c>
      <c r="AT1" s="970"/>
      <c r="AU1" s="970"/>
      <c r="AV1" s="970"/>
      <c r="AW1" s="970"/>
      <c r="AX1" s="970"/>
      <c r="AY1" s="970"/>
      <c r="AZ1" s="971" t="s">
        <v>37</v>
      </c>
      <c r="BA1" s="972"/>
      <c r="BB1" s="972"/>
      <c r="BC1" s="972"/>
      <c r="BD1" s="972"/>
      <c r="BE1" s="973"/>
      <c r="BF1" s="971" t="s">
        <v>50</v>
      </c>
      <c r="BG1" s="972"/>
      <c r="BH1" s="972"/>
      <c r="BI1" s="972"/>
      <c r="BJ1" s="972"/>
      <c r="BK1" s="974"/>
    </row>
    <row r="2" spans="1:63" ht="15.75" customHeight="1">
      <c r="A2" s="964"/>
      <c r="B2" s="965"/>
      <c r="C2" s="965"/>
      <c r="D2" s="965"/>
      <c r="E2" s="965"/>
      <c r="F2" s="965"/>
      <c r="G2" s="965"/>
      <c r="H2" s="965"/>
      <c r="I2" s="965"/>
      <c r="J2" s="966"/>
      <c r="K2" s="975" t="s">
        <v>42</v>
      </c>
      <c r="L2" s="950"/>
      <c r="M2" s="950"/>
      <c r="N2" s="950"/>
      <c r="O2" s="950"/>
      <c r="P2" s="950"/>
      <c r="Q2" s="950"/>
      <c r="R2" s="950"/>
      <c r="S2" s="950"/>
      <c r="T2" s="951"/>
      <c r="U2" s="976" t="s">
        <v>51</v>
      </c>
      <c r="V2" s="977"/>
      <c r="W2" s="977"/>
      <c r="X2" s="977"/>
      <c r="Y2" s="978"/>
      <c r="Z2" s="979" t="str">
        <f ca="1">INDIRECT("表紙!$Z$40")</f>
        <v>MSBD</v>
      </c>
      <c r="AA2" s="980"/>
      <c r="AB2" s="980"/>
      <c r="AC2" s="980"/>
      <c r="AD2" s="981"/>
      <c r="AE2" s="982" t="s">
        <v>53</v>
      </c>
      <c r="AF2" s="980"/>
      <c r="AG2" s="980"/>
      <c r="AH2" s="980"/>
      <c r="AI2" s="981"/>
      <c r="AJ2" s="983" t="str">
        <f ca="1">INDIRECT("表紙!$AJ$40")</f>
        <v>購買管理</v>
      </c>
      <c r="AK2" s="984"/>
      <c r="AL2" s="984"/>
      <c r="AM2" s="984"/>
      <c r="AN2" s="984"/>
      <c r="AO2" s="984"/>
      <c r="AP2" s="984"/>
      <c r="AQ2" s="984"/>
      <c r="AR2" s="985"/>
      <c r="AS2" s="947" t="str">
        <f>文書番号</f>
        <v>M7-US-1104</v>
      </c>
      <c r="AT2" s="947"/>
      <c r="AU2" s="947"/>
      <c r="AV2" s="947"/>
      <c r="AW2" s="947"/>
      <c r="AX2" s="947"/>
      <c r="AY2" s="947"/>
      <c r="AZ2" s="949" t="str">
        <f>Version</f>
        <v>7.0.1</v>
      </c>
      <c r="BA2" s="950"/>
      <c r="BB2" s="950"/>
      <c r="BC2" s="950"/>
      <c r="BD2" s="950"/>
      <c r="BE2" s="951"/>
      <c r="BF2" s="955">
        <f>Rev.</f>
        <v>0.04</v>
      </c>
      <c r="BG2" s="956"/>
      <c r="BH2" s="956"/>
      <c r="BI2" s="956"/>
      <c r="BJ2" s="956"/>
      <c r="BK2" s="957"/>
    </row>
    <row r="3" spans="1:63" ht="15.75" customHeight="1">
      <c r="A3" s="967"/>
      <c r="B3" s="968"/>
      <c r="C3" s="968"/>
      <c r="D3" s="968"/>
      <c r="E3" s="968"/>
      <c r="F3" s="968"/>
      <c r="G3" s="968"/>
      <c r="H3" s="968"/>
      <c r="I3" s="968"/>
      <c r="J3" s="969"/>
      <c r="K3" s="933" t="str">
        <f ca="1">RIGHT(CELL("filename",$A$1),LEN(CELL("filename",$A$1))-FIND("]",CELL("filename",$A$1)))</f>
        <v>画面イメージ</v>
      </c>
      <c r="L3" s="934"/>
      <c r="M3" s="934"/>
      <c r="N3" s="934"/>
      <c r="O3" s="934"/>
      <c r="P3" s="934"/>
      <c r="Q3" s="934"/>
      <c r="R3" s="934"/>
      <c r="S3" s="934"/>
      <c r="T3" s="935"/>
      <c r="U3" s="936" t="s">
        <v>56</v>
      </c>
      <c r="V3" s="937"/>
      <c r="W3" s="937"/>
      <c r="X3" s="937"/>
      <c r="Y3" s="938"/>
      <c r="Z3" s="939" t="str">
        <f ca="1">INDIRECT("表紙!$Z$41")</f>
        <v>MSBDP0090</v>
      </c>
      <c r="AA3" s="940"/>
      <c r="AB3" s="940"/>
      <c r="AC3" s="940"/>
      <c r="AD3" s="940"/>
      <c r="AE3" s="941" t="str">
        <f ca="1">INDIRECT("表紙!$AE$41")</f>
        <v>発注一覧登録</v>
      </c>
      <c r="AF3" s="942"/>
      <c r="AG3" s="942"/>
      <c r="AH3" s="942"/>
      <c r="AI3" s="942"/>
      <c r="AJ3" s="942"/>
      <c r="AK3" s="942"/>
      <c r="AL3" s="942"/>
      <c r="AM3" s="942"/>
      <c r="AN3" s="942"/>
      <c r="AO3" s="942"/>
      <c r="AP3" s="942"/>
      <c r="AQ3" s="942"/>
      <c r="AR3" s="943"/>
      <c r="AS3" s="948"/>
      <c r="AT3" s="948"/>
      <c r="AU3" s="948"/>
      <c r="AV3" s="948"/>
      <c r="AW3" s="948"/>
      <c r="AX3" s="948"/>
      <c r="AY3" s="948"/>
      <c r="AZ3" s="952"/>
      <c r="BA3" s="953"/>
      <c r="BB3" s="953"/>
      <c r="BC3" s="953"/>
      <c r="BD3" s="953"/>
      <c r="BE3" s="954"/>
      <c r="BF3" s="958"/>
      <c r="BG3" s="959"/>
      <c r="BH3" s="959"/>
      <c r="BI3" s="959"/>
      <c r="BJ3" s="959"/>
      <c r="BK3" s="960"/>
    </row>
    <row r="4" spans="1:63" ht="6.75" customHeight="1"/>
    <row r="5" spans="1:63" ht="15">
      <c r="A5" s="944" t="s">
        <v>98</v>
      </c>
      <c r="B5" s="945"/>
      <c r="C5" s="945"/>
      <c r="D5" s="945"/>
      <c r="E5" s="945"/>
      <c r="F5" s="945"/>
      <c r="G5" s="945"/>
      <c r="H5" s="945"/>
      <c r="I5" s="945"/>
      <c r="J5" s="945"/>
      <c r="K5" s="945"/>
      <c r="L5" s="945"/>
      <c r="M5" s="945"/>
      <c r="N5" s="945"/>
      <c r="O5" s="945"/>
      <c r="P5" s="945"/>
      <c r="Q5" s="945"/>
      <c r="R5" s="945"/>
      <c r="S5" s="945"/>
      <c r="T5" s="945"/>
      <c r="U5" s="945"/>
      <c r="V5" s="945"/>
      <c r="W5" s="945"/>
      <c r="X5" s="945"/>
      <c r="Y5" s="945"/>
      <c r="Z5" s="945"/>
      <c r="AA5" s="945"/>
      <c r="AB5" s="945"/>
      <c r="AC5" s="945"/>
      <c r="AD5" s="945"/>
      <c r="AE5" s="945"/>
      <c r="AF5" s="945"/>
      <c r="AG5" s="945"/>
      <c r="AH5" s="945"/>
      <c r="AI5" s="945"/>
      <c r="AJ5" s="945"/>
      <c r="AK5" s="945"/>
      <c r="AL5" s="945"/>
      <c r="AM5" s="945"/>
      <c r="AN5" s="945"/>
      <c r="AO5" s="945"/>
      <c r="AP5" s="945"/>
      <c r="AQ5" s="945"/>
      <c r="AR5" s="945"/>
      <c r="AS5" s="945"/>
      <c r="AT5" s="945"/>
      <c r="AU5" s="945"/>
      <c r="AV5" s="945"/>
      <c r="AW5" s="945"/>
      <c r="AX5" s="945"/>
      <c r="AY5" s="945"/>
      <c r="AZ5" s="945"/>
      <c r="BA5" s="945"/>
      <c r="BB5" s="945"/>
      <c r="BC5" s="945"/>
      <c r="BD5" s="945"/>
      <c r="BE5" s="945"/>
      <c r="BF5" s="945"/>
      <c r="BG5" s="945"/>
      <c r="BH5" s="945"/>
      <c r="BI5" s="945"/>
      <c r="BJ5" s="945"/>
      <c r="BK5" s="946"/>
    </row>
    <row r="6" spans="1:63" ht="15">
      <c r="A6" s="264"/>
      <c r="B6" s="265"/>
      <c r="C6" s="266"/>
      <c r="D6" s="266"/>
      <c r="E6" s="266"/>
      <c r="F6" s="267"/>
      <c r="G6" s="267"/>
      <c r="H6" s="267"/>
      <c r="I6" s="267"/>
      <c r="J6" s="266"/>
      <c r="K6" s="267"/>
      <c r="L6" s="267"/>
      <c r="M6" s="267"/>
      <c r="N6" s="267"/>
      <c r="O6" s="267"/>
      <c r="P6" s="267"/>
      <c r="Q6" s="276"/>
      <c r="R6" s="277"/>
      <c r="S6" s="277"/>
      <c r="T6" s="277"/>
      <c r="U6" s="277"/>
      <c r="V6" s="277"/>
      <c r="W6" s="277"/>
      <c r="X6" s="277"/>
      <c r="Y6" s="277"/>
      <c r="Z6" s="277"/>
      <c r="AA6" s="277"/>
      <c r="AB6" s="277"/>
      <c r="AC6" s="277"/>
      <c r="AD6" s="277"/>
      <c r="AE6" s="277"/>
      <c r="AF6" s="277"/>
      <c r="AG6" s="277"/>
      <c r="AH6" s="277"/>
      <c r="AI6" s="277"/>
      <c r="AJ6" s="277"/>
      <c r="AK6" s="277"/>
      <c r="AL6" s="277"/>
      <c r="AM6" s="277"/>
      <c r="AN6" s="277"/>
      <c r="AO6" s="277"/>
      <c r="AP6" s="277"/>
      <c r="AQ6" s="277"/>
      <c r="AR6" s="277"/>
      <c r="AS6" s="277"/>
      <c r="AT6" s="277"/>
      <c r="AU6" s="277"/>
      <c r="AV6" s="277"/>
      <c r="AW6" s="277"/>
      <c r="AX6" s="277"/>
      <c r="AY6" s="277"/>
      <c r="AZ6" s="277"/>
      <c r="BA6" s="277"/>
      <c r="BB6" s="277"/>
      <c r="BC6" s="277"/>
      <c r="BD6" s="277"/>
      <c r="BE6" s="277"/>
      <c r="BF6" s="277"/>
      <c r="BG6" s="277"/>
      <c r="BH6" s="277"/>
      <c r="BI6" s="277"/>
      <c r="BJ6" s="277"/>
      <c r="BK6" s="281"/>
    </row>
    <row r="7" spans="1:63" ht="15">
      <c r="A7" s="264"/>
      <c r="B7" s="265"/>
      <c r="C7" s="266"/>
      <c r="D7" s="266"/>
      <c r="E7" s="266"/>
      <c r="F7" s="267"/>
      <c r="G7" s="267"/>
      <c r="H7" s="267"/>
      <c r="I7" s="267"/>
      <c r="J7" s="266"/>
      <c r="K7" s="267"/>
      <c r="L7" s="267"/>
      <c r="M7" s="267"/>
      <c r="N7" s="267"/>
      <c r="O7" s="267"/>
      <c r="P7" s="267"/>
      <c r="Q7" s="276"/>
      <c r="R7" s="277"/>
      <c r="S7" s="277"/>
      <c r="T7" s="277"/>
      <c r="U7" s="277"/>
      <c r="V7" s="277"/>
      <c r="W7" s="277"/>
      <c r="X7" s="277"/>
      <c r="Y7" s="277"/>
      <c r="Z7" s="277"/>
      <c r="AA7" s="277"/>
      <c r="AB7" s="277"/>
      <c r="AC7" s="277"/>
      <c r="AD7" s="277"/>
      <c r="AE7" s="277"/>
      <c r="AF7" s="277"/>
      <c r="AG7" s="277"/>
      <c r="AH7" s="277"/>
      <c r="AI7" s="277"/>
      <c r="AJ7" s="277"/>
      <c r="AK7" s="277"/>
      <c r="AL7" s="277"/>
      <c r="AM7" s="277"/>
      <c r="AN7" s="277"/>
      <c r="AO7" s="277"/>
      <c r="AP7" s="277"/>
      <c r="AQ7" s="277"/>
      <c r="AR7" s="277"/>
      <c r="AS7" s="277"/>
      <c r="AT7" s="277"/>
      <c r="AU7" s="277"/>
      <c r="AV7" s="277"/>
      <c r="AW7" s="277"/>
      <c r="AX7" s="277"/>
      <c r="AY7" s="277"/>
      <c r="AZ7" s="277"/>
      <c r="BA7" s="277"/>
      <c r="BB7" s="277"/>
      <c r="BC7" s="277"/>
      <c r="BD7" s="277"/>
      <c r="BE7" s="277"/>
      <c r="BF7" s="277"/>
      <c r="BG7" s="277"/>
      <c r="BH7" s="277"/>
      <c r="BI7" s="277"/>
      <c r="BJ7" s="277"/>
      <c r="BK7" s="281"/>
    </row>
    <row r="8" spans="1:63" ht="15">
      <c r="A8" s="264"/>
      <c r="B8" s="265"/>
      <c r="C8" s="266"/>
      <c r="D8" s="266"/>
      <c r="E8" s="266"/>
      <c r="F8" s="267"/>
      <c r="G8" s="267"/>
      <c r="H8" s="267"/>
      <c r="I8" s="267"/>
      <c r="J8" s="266"/>
      <c r="K8" s="267"/>
      <c r="L8" s="267"/>
      <c r="M8" s="267"/>
      <c r="N8" s="267"/>
      <c r="O8" s="267"/>
      <c r="P8" s="267"/>
      <c r="Q8" s="276"/>
      <c r="R8" s="277"/>
      <c r="S8" s="277"/>
      <c r="T8" s="277"/>
      <c r="U8" s="277"/>
      <c r="V8" s="277"/>
      <c r="W8" s="277"/>
      <c r="X8" s="277"/>
      <c r="Y8" s="277"/>
      <c r="Z8" s="277"/>
      <c r="AA8" s="277"/>
      <c r="AB8" s="277"/>
      <c r="AC8" s="277"/>
      <c r="AD8" s="277"/>
      <c r="AE8" s="277"/>
      <c r="AF8" s="277"/>
      <c r="AG8" s="277"/>
      <c r="AH8" s="277"/>
      <c r="AI8" s="277"/>
      <c r="AJ8" s="277"/>
      <c r="AK8" s="277"/>
      <c r="AL8" s="277"/>
      <c r="AM8" s="277"/>
      <c r="AN8" s="277"/>
      <c r="AO8" s="277"/>
      <c r="AP8" s="277"/>
      <c r="AQ8" s="277"/>
      <c r="AR8" s="277"/>
      <c r="AS8" s="277"/>
      <c r="AT8" s="277"/>
      <c r="AU8" s="277"/>
      <c r="AV8" s="277"/>
      <c r="AW8" s="277"/>
      <c r="AX8" s="277"/>
      <c r="AY8" s="277"/>
      <c r="AZ8" s="277"/>
      <c r="BA8" s="277"/>
      <c r="BB8" s="277"/>
      <c r="BC8" s="277"/>
      <c r="BD8" s="277"/>
      <c r="BE8" s="277"/>
      <c r="BF8" s="277"/>
      <c r="BG8" s="277"/>
      <c r="BH8" s="277"/>
      <c r="BI8" s="277"/>
      <c r="BJ8" s="277"/>
      <c r="BK8" s="281"/>
    </row>
    <row r="9" spans="1:63" ht="15">
      <c r="A9" s="264"/>
      <c r="B9" s="265"/>
      <c r="C9" s="266"/>
      <c r="D9" s="266"/>
      <c r="E9" s="266"/>
      <c r="F9" s="267"/>
      <c r="G9" s="267"/>
      <c r="H9" s="267"/>
      <c r="I9" s="267"/>
      <c r="J9" s="266"/>
      <c r="K9" s="267"/>
      <c r="L9" s="267"/>
      <c r="M9" s="267"/>
      <c r="N9" s="267"/>
      <c r="O9" s="267"/>
      <c r="P9" s="267"/>
      <c r="Q9" s="276"/>
      <c r="R9" s="277"/>
      <c r="S9" s="277"/>
      <c r="T9" s="277"/>
      <c r="U9" s="277"/>
      <c r="V9" s="277"/>
      <c r="W9" s="277"/>
      <c r="X9" s="277"/>
      <c r="Y9" s="277"/>
      <c r="Z9" s="277"/>
      <c r="AA9" s="277"/>
      <c r="AB9" s="277"/>
      <c r="AC9" s="277"/>
      <c r="AD9" s="277"/>
      <c r="AE9" s="277"/>
      <c r="AF9" s="277"/>
      <c r="AG9" s="277"/>
      <c r="AH9" s="277"/>
      <c r="AI9" s="277"/>
      <c r="AJ9" s="277"/>
      <c r="AK9" s="277"/>
      <c r="AL9" s="277"/>
      <c r="AM9" s="277"/>
      <c r="AN9" s="277"/>
      <c r="AO9" s="277"/>
      <c r="AP9" s="277"/>
      <c r="AQ9" s="277"/>
      <c r="AR9" s="277"/>
      <c r="AS9" s="277"/>
      <c r="AT9" s="277"/>
      <c r="AU9" s="277"/>
      <c r="AV9" s="277"/>
      <c r="AW9" s="277"/>
      <c r="AX9" s="277"/>
      <c r="AY9" s="277"/>
      <c r="AZ9" s="277"/>
      <c r="BA9" s="277"/>
      <c r="BB9" s="277"/>
      <c r="BC9" s="277"/>
      <c r="BD9" s="277"/>
      <c r="BE9" s="277"/>
      <c r="BF9" s="277"/>
      <c r="BG9" s="277"/>
      <c r="BH9" s="277"/>
      <c r="BI9" s="277"/>
      <c r="BJ9" s="277"/>
      <c r="BK9" s="281"/>
    </row>
    <row r="10" spans="1:63" ht="15">
      <c r="A10" s="264"/>
      <c r="B10" s="265"/>
      <c r="C10" s="266"/>
      <c r="D10" s="266"/>
      <c r="E10" s="266"/>
      <c r="F10" s="267"/>
      <c r="G10" s="267"/>
      <c r="H10" s="267"/>
      <c r="I10" s="267"/>
      <c r="J10" s="266"/>
      <c r="K10" s="267"/>
      <c r="L10" s="267"/>
      <c r="M10" s="267"/>
      <c r="N10" s="267"/>
      <c r="O10" s="267"/>
      <c r="P10" s="267"/>
      <c r="Q10" s="276"/>
      <c r="R10" s="277"/>
      <c r="S10" s="277"/>
      <c r="T10" s="277"/>
      <c r="U10" s="277"/>
      <c r="V10" s="277"/>
      <c r="W10" s="277"/>
      <c r="X10" s="277"/>
      <c r="Y10" s="277"/>
      <c r="Z10" s="277"/>
      <c r="AA10" s="277"/>
      <c r="AB10" s="277"/>
      <c r="AC10" s="277"/>
      <c r="AD10" s="277"/>
      <c r="AE10" s="277"/>
      <c r="AF10" s="277"/>
      <c r="AG10" s="277"/>
      <c r="AH10" s="277"/>
      <c r="AI10" s="277"/>
      <c r="AJ10" s="277"/>
      <c r="AK10" s="277"/>
      <c r="AL10" s="277"/>
      <c r="AM10" s="277"/>
      <c r="AN10" s="277"/>
      <c r="AO10" s="277"/>
      <c r="AP10" s="277"/>
      <c r="AQ10" s="277"/>
      <c r="AR10" s="277"/>
      <c r="AS10" s="277"/>
      <c r="AT10" s="277"/>
      <c r="AU10" s="277"/>
      <c r="AV10" s="277"/>
      <c r="AW10" s="277"/>
      <c r="AX10" s="277"/>
      <c r="AY10" s="277"/>
      <c r="AZ10" s="277"/>
      <c r="BA10" s="277"/>
      <c r="BB10" s="277"/>
      <c r="BC10" s="277"/>
      <c r="BD10" s="277"/>
      <c r="BE10" s="277"/>
      <c r="BF10" s="277"/>
      <c r="BG10" s="277"/>
      <c r="BH10" s="277"/>
      <c r="BI10" s="277"/>
      <c r="BJ10" s="277"/>
      <c r="BK10" s="281"/>
    </row>
    <row r="11" spans="1:63" ht="15">
      <c r="A11" s="264"/>
      <c r="B11" s="265"/>
      <c r="C11" s="266"/>
      <c r="D11" s="266"/>
      <c r="E11" s="266"/>
      <c r="F11" s="267"/>
      <c r="G11" s="267"/>
      <c r="H11" s="267"/>
      <c r="I11" s="267"/>
      <c r="J11" s="266"/>
      <c r="K11" s="267"/>
      <c r="L11" s="267"/>
      <c r="M11" s="267"/>
      <c r="N11" s="267"/>
      <c r="O11" s="267"/>
      <c r="P11" s="267"/>
      <c r="Q11" s="276"/>
      <c r="R11" s="277"/>
      <c r="S11" s="277"/>
      <c r="T11" s="277"/>
      <c r="U11" s="277"/>
      <c r="V11" s="277"/>
      <c r="W11" s="277"/>
      <c r="X11" s="277"/>
      <c r="Y11" s="277"/>
      <c r="Z11" s="277"/>
      <c r="AA11" s="277"/>
      <c r="AB11" s="277"/>
      <c r="AC11" s="277"/>
      <c r="AD11" s="277"/>
      <c r="AE11" s="277"/>
      <c r="AF11" s="277"/>
      <c r="AG11" s="277"/>
      <c r="AH11" s="277"/>
      <c r="AI11" s="277"/>
      <c r="AJ11" s="277"/>
      <c r="AK11" s="277"/>
      <c r="AL11" s="277"/>
      <c r="AM11" s="277"/>
      <c r="AN11" s="277"/>
      <c r="AO11" s="277"/>
      <c r="AP11" s="277"/>
      <c r="AQ11" s="277"/>
      <c r="AR11" s="277"/>
      <c r="AS11" s="277"/>
      <c r="AT11" s="277"/>
      <c r="AU11" s="277"/>
      <c r="AV11" s="277"/>
      <c r="AW11" s="277"/>
      <c r="AX11" s="277"/>
      <c r="AY11" s="277"/>
      <c r="AZ11" s="277"/>
      <c r="BA11" s="277"/>
      <c r="BB11" s="277"/>
      <c r="BC11" s="277"/>
      <c r="BD11" s="277"/>
      <c r="BE11" s="277"/>
      <c r="BF11" s="277"/>
      <c r="BG11" s="277"/>
      <c r="BH11" s="277"/>
      <c r="BI11" s="277"/>
      <c r="BJ11" s="277"/>
      <c r="BK11" s="281"/>
    </row>
    <row r="12" spans="1:63" ht="15">
      <c r="A12" s="264"/>
      <c r="B12" s="265"/>
      <c r="C12" s="266"/>
      <c r="D12" s="266"/>
      <c r="E12" s="266"/>
      <c r="F12" s="267"/>
      <c r="G12" s="267"/>
      <c r="H12" s="267"/>
      <c r="I12" s="267"/>
      <c r="J12" s="266"/>
      <c r="K12" s="267"/>
      <c r="L12" s="267"/>
      <c r="M12" s="267"/>
      <c r="N12" s="267"/>
      <c r="O12" s="267"/>
      <c r="P12" s="267"/>
      <c r="Q12" s="276"/>
      <c r="R12" s="277"/>
      <c r="S12" s="277"/>
      <c r="T12" s="277"/>
      <c r="U12" s="277"/>
      <c r="V12" s="277"/>
      <c r="W12" s="277"/>
      <c r="X12" s="277"/>
      <c r="Y12" s="277"/>
      <c r="Z12" s="277"/>
      <c r="AA12" s="277"/>
      <c r="AB12" s="277"/>
      <c r="AC12" s="277"/>
      <c r="AD12" s="277"/>
      <c r="AE12" s="277"/>
      <c r="AF12" s="277"/>
      <c r="AG12" s="277"/>
      <c r="AH12" s="277"/>
      <c r="AI12" s="277"/>
      <c r="AJ12" s="277"/>
      <c r="AK12" s="277"/>
      <c r="AL12" s="277"/>
      <c r="AM12" s="277"/>
      <c r="AN12" s="277"/>
      <c r="AO12" s="277"/>
      <c r="AP12" s="277"/>
      <c r="AQ12" s="277"/>
      <c r="AR12" s="277"/>
      <c r="AS12" s="277"/>
      <c r="AT12" s="277"/>
      <c r="AU12" s="277"/>
      <c r="AV12" s="277"/>
      <c r="AW12" s="277"/>
      <c r="AX12" s="277"/>
      <c r="AY12" s="277"/>
      <c r="AZ12" s="277"/>
      <c r="BA12" s="277"/>
      <c r="BB12" s="277"/>
      <c r="BC12" s="277"/>
      <c r="BD12" s="277"/>
      <c r="BE12" s="277"/>
      <c r="BF12" s="277"/>
      <c r="BG12" s="277"/>
      <c r="BH12" s="277"/>
      <c r="BI12" s="277"/>
      <c r="BJ12" s="277"/>
      <c r="BK12" s="281"/>
    </row>
    <row r="13" spans="1:63" ht="15">
      <c r="A13" s="264"/>
      <c r="B13" s="265"/>
      <c r="C13" s="266"/>
      <c r="D13" s="266"/>
      <c r="E13" s="266"/>
      <c r="F13" s="267"/>
      <c r="G13" s="267"/>
      <c r="H13" s="267"/>
      <c r="I13" s="267"/>
      <c r="J13" s="266"/>
      <c r="K13" s="267"/>
      <c r="L13" s="267"/>
      <c r="M13" s="267"/>
      <c r="N13" s="267"/>
      <c r="O13" s="267"/>
      <c r="P13" s="267"/>
      <c r="Q13" s="276"/>
      <c r="R13" s="277"/>
      <c r="S13" s="277"/>
      <c r="T13" s="277"/>
      <c r="U13" s="277"/>
      <c r="V13" s="277"/>
      <c r="W13" s="277"/>
      <c r="X13" s="277"/>
      <c r="Y13" s="277"/>
      <c r="Z13" s="277"/>
      <c r="AA13" s="277"/>
      <c r="AB13" s="277"/>
      <c r="AC13" s="277"/>
      <c r="AD13" s="277"/>
      <c r="AE13" s="277"/>
      <c r="AF13" s="277"/>
      <c r="AG13" s="277"/>
      <c r="AH13" s="277"/>
      <c r="AI13" s="277"/>
      <c r="AJ13" s="277"/>
      <c r="AK13" s="277"/>
      <c r="AL13" s="277"/>
      <c r="AM13" s="277"/>
      <c r="AN13" s="277"/>
      <c r="AO13" s="277"/>
      <c r="AP13" s="277"/>
      <c r="AQ13" s="277"/>
      <c r="AR13" s="277"/>
      <c r="AS13" s="277"/>
      <c r="AT13" s="277"/>
      <c r="AU13" s="277"/>
      <c r="AV13" s="277"/>
      <c r="AW13" s="277"/>
      <c r="AX13" s="277"/>
      <c r="AY13" s="277"/>
      <c r="AZ13" s="277"/>
      <c r="BA13" s="277"/>
      <c r="BB13" s="277"/>
      <c r="BC13" s="277"/>
      <c r="BD13" s="277"/>
      <c r="BE13" s="277"/>
      <c r="BF13" s="277"/>
      <c r="BG13" s="277"/>
      <c r="BH13" s="277"/>
      <c r="BI13" s="277"/>
      <c r="BJ13" s="277"/>
      <c r="BK13" s="281"/>
    </row>
    <row r="14" spans="1:63" ht="15">
      <c r="A14" s="264"/>
      <c r="B14" s="265"/>
      <c r="C14" s="266"/>
      <c r="D14" s="266"/>
      <c r="E14" s="266"/>
      <c r="F14" s="267"/>
      <c r="G14" s="267"/>
      <c r="H14" s="267"/>
      <c r="I14" s="267"/>
      <c r="J14" s="266"/>
      <c r="K14" s="267"/>
      <c r="L14" s="267"/>
      <c r="M14" s="267"/>
      <c r="N14" s="267"/>
      <c r="O14" s="267"/>
      <c r="P14" s="267"/>
      <c r="Q14" s="276"/>
      <c r="R14" s="277"/>
      <c r="S14" s="277"/>
      <c r="T14" s="277"/>
      <c r="U14" s="277"/>
      <c r="V14" s="277"/>
      <c r="W14" s="277"/>
      <c r="X14" s="277"/>
      <c r="Y14" s="277"/>
      <c r="Z14" s="277"/>
      <c r="AA14" s="277"/>
      <c r="AB14" s="277"/>
      <c r="AC14" s="277"/>
      <c r="AD14" s="277"/>
      <c r="AE14" s="277"/>
      <c r="AF14" s="277"/>
      <c r="AG14" s="277"/>
      <c r="AH14" s="277"/>
      <c r="AI14" s="277"/>
      <c r="AJ14" s="277"/>
      <c r="AK14" s="277"/>
      <c r="AL14" s="277"/>
      <c r="AM14" s="277"/>
      <c r="AN14" s="277"/>
      <c r="AO14" s="277"/>
      <c r="AP14" s="277"/>
      <c r="AQ14" s="277"/>
      <c r="AR14" s="277"/>
      <c r="AS14" s="277"/>
      <c r="AT14" s="277"/>
      <c r="AU14" s="277"/>
      <c r="AV14" s="277"/>
      <c r="AW14" s="277"/>
      <c r="AX14" s="277"/>
      <c r="AY14" s="277"/>
      <c r="AZ14" s="277"/>
      <c r="BA14" s="277"/>
      <c r="BB14" s="277"/>
      <c r="BC14" s="277"/>
      <c r="BD14" s="277"/>
      <c r="BE14" s="277"/>
      <c r="BF14" s="277"/>
      <c r="BG14" s="277"/>
      <c r="BH14" s="277"/>
      <c r="BI14" s="277"/>
      <c r="BJ14" s="277"/>
      <c r="BK14" s="281"/>
    </row>
    <row r="15" spans="1:63" ht="15">
      <c r="A15" s="264"/>
      <c r="B15" s="265"/>
      <c r="C15" s="266"/>
      <c r="D15" s="266"/>
      <c r="E15" s="266"/>
      <c r="F15" s="267"/>
      <c r="G15" s="267"/>
      <c r="H15" s="267"/>
      <c r="I15" s="267"/>
      <c r="J15" s="266"/>
      <c r="K15" s="267"/>
      <c r="L15" s="267"/>
      <c r="M15" s="267"/>
      <c r="N15" s="267"/>
      <c r="O15" s="267"/>
      <c r="P15" s="267"/>
      <c r="Q15" s="276"/>
      <c r="R15" s="277"/>
      <c r="S15" s="277"/>
      <c r="T15" s="277"/>
      <c r="U15" s="277"/>
      <c r="V15" s="277"/>
      <c r="W15" s="277"/>
      <c r="X15" s="277"/>
      <c r="Y15" s="277"/>
      <c r="Z15" s="277"/>
      <c r="AA15" s="277"/>
      <c r="AB15" s="277"/>
      <c r="AC15" s="277"/>
      <c r="AD15" s="277"/>
      <c r="AE15" s="277"/>
      <c r="AF15" s="277"/>
      <c r="AG15" s="277"/>
      <c r="AH15" s="277"/>
      <c r="AI15" s="277"/>
      <c r="AJ15" s="277"/>
      <c r="AK15" s="277"/>
      <c r="AL15" s="277"/>
      <c r="AM15" s="277"/>
      <c r="AN15" s="277"/>
      <c r="AO15" s="277"/>
      <c r="AP15" s="277"/>
      <c r="AQ15" s="277"/>
      <c r="AR15" s="277"/>
      <c r="AS15" s="277"/>
      <c r="AT15" s="277"/>
      <c r="AU15" s="277"/>
      <c r="AV15" s="277"/>
      <c r="AW15" s="277"/>
      <c r="AX15" s="277"/>
      <c r="AY15" s="277"/>
      <c r="AZ15" s="277"/>
      <c r="BA15" s="277"/>
      <c r="BB15" s="277"/>
      <c r="BC15" s="277"/>
      <c r="BD15" s="277"/>
      <c r="BE15" s="277"/>
      <c r="BF15" s="277"/>
      <c r="BG15" s="277"/>
      <c r="BH15" s="277"/>
      <c r="BI15" s="277"/>
      <c r="BJ15" s="277"/>
      <c r="BK15" s="281"/>
    </row>
    <row r="16" spans="1:63" ht="15">
      <c r="A16" s="264"/>
      <c r="B16" s="265"/>
      <c r="C16" s="266"/>
      <c r="D16" s="266"/>
      <c r="E16" s="266"/>
      <c r="F16" s="267"/>
      <c r="G16" s="267"/>
      <c r="H16" s="267"/>
      <c r="I16" s="267"/>
      <c r="J16" s="266"/>
      <c r="K16" s="267"/>
      <c r="L16" s="267"/>
      <c r="M16" s="267"/>
      <c r="N16" s="267"/>
      <c r="O16" s="267"/>
      <c r="P16" s="267"/>
      <c r="Q16" s="276"/>
      <c r="R16" s="277"/>
      <c r="S16" s="277"/>
      <c r="T16" s="277"/>
      <c r="U16" s="277"/>
      <c r="V16" s="277"/>
      <c r="W16" s="277"/>
      <c r="X16" s="277"/>
      <c r="Y16" s="277"/>
      <c r="Z16" s="277"/>
      <c r="AA16" s="277"/>
      <c r="AB16" s="277"/>
      <c r="AC16" s="277"/>
      <c r="AD16" s="277"/>
      <c r="AE16" s="277"/>
      <c r="AF16" s="277"/>
      <c r="AG16" s="277"/>
      <c r="AH16" s="277"/>
      <c r="AI16" s="277"/>
      <c r="AJ16" s="277"/>
      <c r="AK16" s="277"/>
      <c r="AL16" s="277"/>
      <c r="AM16" s="277"/>
      <c r="AN16" s="277"/>
      <c r="AO16" s="277"/>
      <c r="AP16" s="277"/>
      <c r="AQ16" s="277"/>
      <c r="AR16" s="277"/>
      <c r="AS16" s="277"/>
      <c r="AT16" s="277"/>
      <c r="AU16" s="277"/>
      <c r="AV16" s="277"/>
      <c r="AW16" s="277"/>
      <c r="AX16" s="277"/>
      <c r="AY16" s="277"/>
      <c r="AZ16" s="277"/>
      <c r="BA16" s="277"/>
      <c r="BB16" s="277"/>
      <c r="BC16" s="277"/>
      <c r="BD16" s="277"/>
      <c r="BE16" s="277"/>
      <c r="BF16" s="277"/>
      <c r="BG16" s="277"/>
      <c r="BH16" s="277"/>
      <c r="BI16" s="277"/>
      <c r="BJ16" s="277"/>
      <c r="BK16" s="281"/>
    </row>
    <row r="17" spans="1:63" ht="15">
      <c r="A17" s="264"/>
      <c r="B17" s="265"/>
      <c r="C17" s="266"/>
      <c r="D17" s="266"/>
      <c r="E17" s="266"/>
      <c r="F17" s="267"/>
      <c r="G17" s="267"/>
      <c r="H17" s="267"/>
      <c r="I17" s="267"/>
      <c r="J17" s="266"/>
      <c r="K17" s="267"/>
      <c r="L17" s="267"/>
      <c r="M17" s="267"/>
      <c r="N17" s="267"/>
      <c r="O17" s="267"/>
      <c r="P17" s="267"/>
      <c r="Q17" s="276"/>
      <c r="R17" s="277"/>
      <c r="S17" s="277"/>
      <c r="T17" s="277"/>
      <c r="U17" s="277"/>
      <c r="V17" s="277"/>
      <c r="W17" s="277"/>
      <c r="X17" s="277"/>
      <c r="Y17" s="277"/>
      <c r="Z17" s="277"/>
      <c r="AA17" s="277"/>
      <c r="AB17" s="277"/>
      <c r="AC17" s="277"/>
      <c r="AD17" s="277"/>
      <c r="AE17" s="277"/>
      <c r="AF17" s="277"/>
      <c r="AG17" s="277"/>
      <c r="AH17" s="277"/>
      <c r="AI17" s="277"/>
      <c r="AJ17" s="277"/>
      <c r="AK17" s="277"/>
      <c r="AL17" s="277"/>
      <c r="AM17" s="277"/>
      <c r="AN17" s="277"/>
      <c r="AO17" s="277"/>
      <c r="AP17" s="277"/>
      <c r="AQ17" s="277"/>
      <c r="AR17" s="277"/>
      <c r="AS17" s="277"/>
      <c r="AT17" s="277"/>
      <c r="AU17" s="277"/>
      <c r="AV17" s="277"/>
      <c r="AW17" s="277"/>
      <c r="AX17" s="277"/>
      <c r="AY17" s="277"/>
      <c r="AZ17" s="277"/>
      <c r="BA17" s="277"/>
      <c r="BB17" s="277"/>
      <c r="BC17" s="277"/>
      <c r="BD17" s="277"/>
      <c r="BE17" s="277"/>
      <c r="BF17" s="277"/>
      <c r="BG17" s="277"/>
      <c r="BH17" s="277"/>
      <c r="BI17" s="277"/>
      <c r="BJ17" s="277"/>
      <c r="BK17" s="281"/>
    </row>
    <row r="18" spans="1:63" ht="15">
      <c r="A18" s="264"/>
      <c r="B18" s="265"/>
      <c r="C18" s="266"/>
      <c r="D18" s="266"/>
      <c r="E18" s="266"/>
      <c r="F18" s="267"/>
      <c r="G18" s="267"/>
      <c r="H18" s="267"/>
      <c r="I18" s="267"/>
      <c r="J18" s="266"/>
      <c r="K18" s="267"/>
      <c r="L18" s="267"/>
      <c r="M18" s="267"/>
      <c r="N18" s="267"/>
      <c r="O18" s="267"/>
      <c r="P18" s="267"/>
      <c r="Q18" s="276"/>
      <c r="R18" s="277"/>
      <c r="S18" s="277"/>
      <c r="T18" s="277"/>
      <c r="U18" s="277"/>
      <c r="V18" s="277"/>
      <c r="W18" s="277"/>
      <c r="X18" s="277"/>
      <c r="Y18" s="277"/>
      <c r="Z18" s="277"/>
      <c r="AA18" s="277"/>
      <c r="AB18" s="277"/>
      <c r="AC18" s="277"/>
      <c r="AD18" s="277"/>
      <c r="AE18" s="277"/>
      <c r="AF18" s="277"/>
      <c r="AG18" s="277"/>
      <c r="AH18" s="277"/>
      <c r="AI18" s="277"/>
      <c r="AJ18" s="277"/>
      <c r="AK18" s="277"/>
      <c r="AL18" s="277"/>
      <c r="AM18" s="277"/>
      <c r="AN18" s="277"/>
      <c r="AO18" s="277"/>
      <c r="AP18" s="277"/>
      <c r="AQ18" s="277"/>
      <c r="AR18" s="277"/>
      <c r="AS18" s="277"/>
      <c r="AT18" s="277"/>
      <c r="AU18" s="277"/>
      <c r="AV18" s="277"/>
      <c r="AW18" s="277"/>
      <c r="AX18" s="277"/>
      <c r="AY18" s="277"/>
      <c r="AZ18" s="277"/>
      <c r="BA18" s="277"/>
      <c r="BB18" s="277"/>
      <c r="BC18" s="277"/>
      <c r="BD18" s="277"/>
      <c r="BE18" s="277"/>
      <c r="BF18" s="277"/>
      <c r="BG18" s="277"/>
      <c r="BH18" s="277"/>
      <c r="BI18" s="277"/>
      <c r="BJ18" s="277"/>
      <c r="BK18" s="281"/>
    </row>
    <row r="19" spans="1:63" ht="15">
      <c r="A19" s="264"/>
      <c r="B19" s="265"/>
      <c r="C19" s="266"/>
      <c r="D19" s="266"/>
      <c r="E19" s="266"/>
      <c r="F19" s="267"/>
      <c r="G19" s="267"/>
      <c r="H19" s="267"/>
      <c r="I19" s="267"/>
      <c r="J19" s="266"/>
      <c r="K19" s="267"/>
      <c r="L19" s="267"/>
      <c r="M19" s="267"/>
      <c r="N19" s="267"/>
      <c r="O19" s="267"/>
      <c r="P19" s="267"/>
      <c r="Q19" s="276"/>
      <c r="R19" s="277"/>
      <c r="S19" s="277"/>
      <c r="T19" s="277"/>
      <c r="U19" s="277"/>
      <c r="V19" s="277"/>
      <c r="W19" s="277"/>
      <c r="X19" s="277"/>
      <c r="Y19" s="277"/>
      <c r="Z19" s="277"/>
      <c r="AA19" s="277"/>
      <c r="AB19" s="277"/>
      <c r="AC19" s="277"/>
      <c r="AD19" s="277"/>
      <c r="AE19" s="277"/>
      <c r="AF19" s="277"/>
      <c r="AG19" s="277"/>
      <c r="AH19" s="277"/>
      <c r="AI19" s="277"/>
      <c r="AJ19" s="277"/>
      <c r="AK19" s="277"/>
      <c r="AL19" s="277"/>
      <c r="AM19" s="277"/>
      <c r="AN19" s="277"/>
      <c r="AO19" s="277"/>
      <c r="AP19" s="277"/>
      <c r="AQ19" s="277"/>
      <c r="AR19" s="277"/>
      <c r="AS19" s="277"/>
      <c r="AT19" s="277"/>
      <c r="AU19" s="277"/>
      <c r="AV19" s="277"/>
      <c r="AW19" s="277"/>
      <c r="AX19" s="277"/>
      <c r="AY19" s="277"/>
      <c r="AZ19" s="277"/>
      <c r="BA19" s="277"/>
      <c r="BB19" s="277"/>
      <c r="BC19" s="277"/>
      <c r="BD19" s="277"/>
      <c r="BE19" s="277"/>
      <c r="BF19" s="277"/>
      <c r="BG19" s="277"/>
      <c r="BH19" s="277"/>
      <c r="BI19" s="277"/>
      <c r="BJ19" s="277"/>
      <c r="BK19" s="281"/>
    </row>
    <row r="20" spans="1:63" ht="15">
      <c r="A20" s="264"/>
      <c r="B20" s="265"/>
      <c r="C20" s="266"/>
      <c r="D20" s="266"/>
      <c r="E20" s="266"/>
      <c r="F20" s="267"/>
      <c r="G20" s="267"/>
      <c r="H20" s="267"/>
      <c r="I20" s="267"/>
      <c r="J20" s="266"/>
      <c r="K20" s="267"/>
      <c r="L20" s="267"/>
      <c r="M20" s="267"/>
      <c r="N20" s="267"/>
      <c r="O20" s="267"/>
      <c r="P20" s="267"/>
      <c r="Q20" s="276"/>
      <c r="R20" s="277"/>
      <c r="S20" s="277"/>
      <c r="T20" s="277"/>
      <c r="U20" s="277"/>
      <c r="V20" s="277"/>
      <c r="W20" s="277"/>
      <c r="X20" s="277"/>
      <c r="Y20" s="277"/>
      <c r="Z20" s="277"/>
      <c r="AA20" s="277"/>
      <c r="AB20" s="277"/>
      <c r="AC20" s="277"/>
      <c r="AD20" s="277"/>
      <c r="AE20" s="277"/>
      <c r="AF20" s="277"/>
      <c r="AG20" s="277"/>
      <c r="AH20" s="277"/>
      <c r="AI20" s="277"/>
      <c r="AJ20" s="277"/>
      <c r="AK20" s="277"/>
      <c r="AL20" s="277"/>
      <c r="AM20" s="277"/>
      <c r="AN20" s="277"/>
      <c r="AO20" s="277"/>
      <c r="AP20" s="277"/>
      <c r="AQ20" s="277"/>
      <c r="AR20" s="277"/>
      <c r="AS20" s="277"/>
      <c r="AT20" s="277"/>
      <c r="AU20" s="277"/>
      <c r="AV20" s="277"/>
      <c r="AW20" s="277"/>
      <c r="AX20" s="277"/>
      <c r="AY20" s="277"/>
      <c r="AZ20" s="277"/>
      <c r="BA20" s="277"/>
      <c r="BB20" s="277"/>
      <c r="BC20" s="277"/>
      <c r="BD20" s="277"/>
      <c r="BE20" s="277"/>
      <c r="BF20" s="277"/>
      <c r="BG20" s="277"/>
      <c r="BH20" s="277"/>
      <c r="BI20" s="277"/>
      <c r="BJ20" s="277"/>
      <c r="BK20" s="281"/>
    </row>
    <row r="21" spans="1:63" ht="15">
      <c r="A21" s="264"/>
      <c r="B21" s="265"/>
      <c r="C21" s="266"/>
      <c r="D21" s="266"/>
      <c r="E21" s="266"/>
      <c r="F21" s="267"/>
      <c r="G21" s="267"/>
      <c r="H21" s="267"/>
      <c r="I21" s="267"/>
      <c r="J21" s="266"/>
      <c r="K21" s="267"/>
      <c r="L21" s="267"/>
      <c r="M21" s="267"/>
      <c r="N21" s="267"/>
      <c r="O21" s="267"/>
      <c r="P21" s="267"/>
      <c r="Q21" s="276"/>
      <c r="R21" s="277"/>
      <c r="S21" s="277"/>
      <c r="T21" s="277"/>
      <c r="U21" s="277"/>
      <c r="V21" s="277"/>
      <c r="W21" s="277"/>
      <c r="X21" s="277"/>
      <c r="Y21" s="277"/>
      <c r="Z21" s="277"/>
      <c r="AA21" s="277"/>
      <c r="AB21" s="277"/>
      <c r="AC21" s="277"/>
      <c r="AD21" s="277"/>
      <c r="AE21" s="277"/>
      <c r="AF21" s="277"/>
      <c r="AG21" s="277"/>
      <c r="AH21" s="277"/>
      <c r="AI21" s="277"/>
      <c r="AJ21" s="277"/>
      <c r="AK21" s="277"/>
      <c r="AL21" s="277"/>
      <c r="AM21" s="277"/>
      <c r="AN21" s="277"/>
      <c r="AO21" s="277"/>
      <c r="AP21" s="277"/>
      <c r="AQ21" s="277"/>
      <c r="AR21" s="277"/>
      <c r="AS21" s="277"/>
      <c r="AT21" s="277"/>
      <c r="AU21" s="277"/>
      <c r="AV21" s="277"/>
      <c r="AW21" s="277"/>
      <c r="AX21" s="277"/>
      <c r="AY21" s="277"/>
      <c r="AZ21" s="277"/>
      <c r="BA21" s="277"/>
      <c r="BB21" s="277"/>
      <c r="BC21" s="277"/>
      <c r="BD21" s="277"/>
      <c r="BE21" s="277"/>
      <c r="BF21" s="277"/>
      <c r="BG21" s="277"/>
      <c r="BH21" s="277"/>
      <c r="BI21" s="277"/>
      <c r="BJ21" s="277"/>
      <c r="BK21" s="281"/>
    </row>
    <row r="22" spans="1:63" ht="15">
      <c r="A22" s="264"/>
      <c r="B22" s="265"/>
      <c r="C22" s="266"/>
      <c r="D22" s="266"/>
      <c r="E22" s="266"/>
      <c r="F22" s="267"/>
      <c r="G22" s="267"/>
      <c r="H22" s="267"/>
      <c r="I22" s="267"/>
      <c r="J22" s="266"/>
      <c r="K22" s="267"/>
      <c r="L22" s="267"/>
      <c r="M22" s="267"/>
      <c r="N22" s="267"/>
      <c r="O22" s="267"/>
      <c r="P22" s="267"/>
      <c r="Q22" s="276"/>
      <c r="R22" s="277"/>
      <c r="S22" s="277"/>
      <c r="T22" s="277"/>
      <c r="U22" s="277"/>
      <c r="V22" s="277"/>
      <c r="W22" s="277"/>
      <c r="X22" s="277"/>
      <c r="Y22" s="277"/>
      <c r="Z22" s="277"/>
      <c r="AA22" s="277"/>
      <c r="AB22" s="277"/>
      <c r="AC22" s="277"/>
      <c r="AD22" s="277"/>
      <c r="AE22" s="277"/>
      <c r="AF22" s="277"/>
      <c r="AG22" s="277"/>
      <c r="AH22" s="277"/>
      <c r="AI22" s="277"/>
      <c r="AJ22" s="277"/>
      <c r="AK22" s="277"/>
      <c r="AL22" s="277"/>
      <c r="AM22" s="277"/>
      <c r="AN22" s="277"/>
      <c r="AO22" s="277"/>
      <c r="AP22" s="277"/>
      <c r="AQ22" s="277"/>
      <c r="AR22" s="277"/>
      <c r="AS22" s="277"/>
      <c r="AT22" s="277"/>
      <c r="AU22" s="277"/>
      <c r="AV22" s="277"/>
      <c r="AW22" s="277"/>
      <c r="AX22" s="277"/>
      <c r="AY22" s="277"/>
      <c r="AZ22" s="277"/>
      <c r="BA22" s="277"/>
      <c r="BB22" s="277"/>
      <c r="BC22" s="277"/>
      <c r="BD22" s="277"/>
      <c r="BE22" s="277"/>
      <c r="BF22" s="277"/>
      <c r="BG22" s="277"/>
      <c r="BH22" s="277"/>
      <c r="BI22" s="277"/>
      <c r="BJ22" s="277"/>
      <c r="BK22" s="281"/>
    </row>
    <row r="23" spans="1:63" ht="15">
      <c r="A23" s="264"/>
      <c r="B23" s="265"/>
      <c r="C23" s="266"/>
      <c r="D23" s="266"/>
      <c r="E23" s="266"/>
      <c r="F23" s="267"/>
      <c r="G23" s="267"/>
      <c r="H23" s="267"/>
      <c r="I23" s="267"/>
      <c r="J23" s="266"/>
      <c r="K23" s="267"/>
      <c r="L23" s="267"/>
      <c r="M23" s="267"/>
      <c r="N23" s="267"/>
      <c r="O23" s="267"/>
      <c r="P23" s="267"/>
      <c r="Q23" s="276"/>
      <c r="R23" s="277"/>
      <c r="S23" s="277"/>
      <c r="T23" s="277"/>
      <c r="U23" s="277"/>
      <c r="V23" s="277"/>
      <c r="W23" s="277"/>
      <c r="X23" s="277"/>
      <c r="Y23" s="277"/>
      <c r="Z23" s="277"/>
      <c r="AA23" s="277"/>
      <c r="AB23" s="277"/>
      <c r="AC23" s="277"/>
      <c r="AD23" s="277"/>
      <c r="AE23" s="277"/>
      <c r="AF23" s="277"/>
      <c r="AG23" s="277"/>
      <c r="AH23" s="277"/>
      <c r="AI23" s="277"/>
      <c r="AJ23" s="277"/>
      <c r="AK23" s="277"/>
      <c r="AL23" s="277"/>
      <c r="AM23" s="277"/>
      <c r="AN23" s="277"/>
      <c r="AO23" s="277"/>
      <c r="AP23" s="277"/>
      <c r="AQ23" s="277"/>
      <c r="AR23" s="277"/>
      <c r="AS23" s="277"/>
      <c r="AT23" s="277"/>
      <c r="AU23" s="277"/>
      <c r="AV23" s="277"/>
      <c r="AW23" s="277"/>
      <c r="AX23" s="277"/>
      <c r="AY23" s="277"/>
      <c r="AZ23" s="277"/>
      <c r="BA23" s="277"/>
      <c r="BB23" s="277"/>
      <c r="BC23" s="277"/>
      <c r="BD23" s="277"/>
      <c r="BE23" s="277"/>
      <c r="BF23" s="277"/>
      <c r="BG23" s="277"/>
      <c r="BH23" s="277"/>
      <c r="BI23" s="277"/>
      <c r="BJ23" s="277"/>
      <c r="BK23" s="281"/>
    </row>
    <row r="24" spans="1:63" ht="15">
      <c r="A24" s="264"/>
      <c r="B24" s="265"/>
      <c r="C24" s="266"/>
      <c r="D24" s="266"/>
      <c r="E24" s="266"/>
      <c r="F24" s="267"/>
      <c r="G24" s="267"/>
      <c r="H24" s="267"/>
      <c r="I24" s="267"/>
      <c r="J24" s="266"/>
      <c r="K24" s="267"/>
      <c r="L24" s="267"/>
      <c r="M24" s="267"/>
      <c r="N24" s="267"/>
      <c r="O24" s="267"/>
      <c r="P24" s="267"/>
      <c r="Q24" s="276"/>
      <c r="R24" s="277"/>
      <c r="S24" s="277"/>
      <c r="T24" s="277"/>
      <c r="U24" s="277"/>
      <c r="V24" s="277"/>
      <c r="W24" s="277"/>
      <c r="X24" s="277"/>
      <c r="Y24" s="277"/>
      <c r="Z24" s="277"/>
      <c r="AA24" s="277"/>
      <c r="AB24" s="277"/>
      <c r="AC24" s="277"/>
      <c r="AD24" s="277"/>
      <c r="AE24" s="277"/>
      <c r="AF24" s="277"/>
      <c r="AG24" s="277"/>
      <c r="AH24" s="277"/>
      <c r="AI24" s="277"/>
      <c r="AJ24" s="277"/>
      <c r="AK24" s="277"/>
      <c r="AL24" s="277"/>
      <c r="AM24" s="277"/>
      <c r="AN24" s="277"/>
      <c r="AO24" s="277"/>
      <c r="AP24" s="277"/>
      <c r="AQ24" s="277"/>
      <c r="AR24" s="277"/>
      <c r="AS24" s="277"/>
      <c r="AT24" s="277"/>
      <c r="AU24" s="277"/>
      <c r="AV24" s="277"/>
      <c r="AW24" s="277"/>
      <c r="AX24" s="277"/>
      <c r="AY24" s="277"/>
      <c r="AZ24" s="277"/>
      <c r="BA24" s="277"/>
      <c r="BB24" s="277"/>
      <c r="BC24" s="277"/>
      <c r="BD24" s="277"/>
      <c r="BE24" s="277"/>
      <c r="BF24" s="277"/>
      <c r="BG24" s="277"/>
      <c r="BH24" s="277"/>
      <c r="BI24" s="277"/>
      <c r="BJ24" s="277"/>
      <c r="BK24" s="281"/>
    </row>
    <row r="25" spans="1:63" ht="15">
      <c r="A25" s="264"/>
      <c r="B25" s="265"/>
      <c r="C25" s="266"/>
      <c r="D25" s="266"/>
      <c r="E25" s="266"/>
      <c r="F25" s="267"/>
      <c r="G25" s="267"/>
      <c r="H25" s="267"/>
      <c r="I25" s="267"/>
      <c r="J25" s="266"/>
      <c r="K25" s="267"/>
      <c r="L25" s="267"/>
      <c r="M25" s="267"/>
      <c r="N25" s="267"/>
      <c r="O25" s="267"/>
      <c r="P25" s="267"/>
      <c r="Q25" s="276"/>
      <c r="R25" s="277"/>
      <c r="S25" s="277"/>
      <c r="T25" s="277"/>
      <c r="U25" s="277"/>
      <c r="V25" s="277"/>
      <c r="W25" s="277"/>
      <c r="X25" s="277"/>
      <c r="Y25" s="277"/>
      <c r="Z25" s="277"/>
      <c r="AA25" s="277"/>
      <c r="AB25" s="277"/>
      <c r="AC25" s="277"/>
      <c r="AD25" s="277"/>
      <c r="AE25" s="277"/>
      <c r="AF25" s="277"/>
      <c r="AG25" s="277"/>
      <c r="AH25" s="277"/>
      <c r="AI25" s="277"/>
      <c r="AJ25" s="277"/>
      <c r="AK25" s="277"/>
      <c r="AL25" s="277"/>
      <c r="AM25" s="277"/>
      <c r="AN25" s="277"/>
      <c r="AO25" s="277"/>
      <c r="AP25" s="277"/>
      <c r="AQ25" s="277"/>
      <c r="AR25" s="277"/>
      <c r="AS25" s="277"/>
      <c r="AT25" s="277"/>
      <c r="AU25" s="277"/>
      <c r="AV25" s="277"/>
      <c r="AW25" s="277"/>
      <c r="AX25" s="277"/>
      <c r="AY25" s="277"/>
      <c r="AZ25" s="277"/>
      <c r="BA25" s="277"/>
      <c r="BB25" s="277"/>
      <c r="BC25" s="277"/>
      <c r="BD25" s="277"/>
      <c r="BE25" s="277"/>
      <c r="BF25" s="277"/>
      <c r="BG25" s="277"/>
      <c r="BH25" s="277"/>
      <c r="BI25" s="277"/>
      <c r="BJ25" s="277"/>
      <c r="BK25" s="281"/>
    </row>
    <row r="26" spans="1:63" ht="15">
      <c r="A26" s="264"/>
      <c r="B26" s="265"/>
      <c r="C26" s="266"/>
      <c r="D26" s="266"/>
      <c r="E26" s="266"/>
      <c r="F26" s="267"/>
      <c r="G26" s="267"/>
      <c r="H26" s="267"/>
      <c r="I26" s="267"/>
      <c r="J26" s="266"/>
      <c r="K26" s="267"/>
      <c r="L26" s="267"/>
      <c r="M26" s="267"/>
      <c r="N26" s="267"/>
      <c r="O26" s="267"/>
      <c r="P26" s="267"/>
      <c r="Q26" s="276"/>
      <c r="R26" s="277"/>
      <c r="S26" s="277"/>
      <c r="T26" s="277"/>
      <c r="U26" s="277"/>
      <c r="V26" s="277"/>
      <c r="W26" s="277"/>
      <c r="X26" s="277"/>
      <c r="Y26" s="277"/>
      <c r="Z26" s="277"/>
      <c r="AA26" s="277"/>
      <c r="AB26" s="277"/>
      <c r="AC26" s="277"/>
      <c r="AD26" s="277"/>
      <c r="AE26" s="277"/>
      <c r="AF26" s="277"/>
      <c r="AG26" s="277"/>
      <c r="AH26" s="277"/>
      <c r="AI26" s="277"/>
      <c r="AJ26" s="277"/>
      <c r="AK26" s="277"/>
      <c r="AL26" s="277"/>
      <c r="AM26" s="277"/>
      <c r="AN26" s="277"/>
      <c r="AO26" s="277"/>
      <c r="AP26" s="277"/>
      <c r="AQ26" s="277"/>
      <c r="AR26" s="277"/>
      <c r="AS26" s="277"/>
      <c r="AT26" s="277"/>
      <c r="AU26" s="277"/>
      <c r="AV26" s="277"/>
      <c r="AW26" s="277"/>
      <c r="AX26" s="277"/>
      <c r="AY26" s="277"/>
      <c r="AZ26" s="277"/>
      <c r="BA26" s="277"/>
      <c r="BB26" s="277"/>
      <c r="BC26" s="277"/>
      <c r="BD26" s="277"/>
      <c r="BE26" s="277"/>
      <c r="BF26" s="277"/>
      <c r="BG26" s="277"/>
      <c r="BH26" s="277"/>
      <c r="BI26" s="277"/>
      <c r="BJ26" s="277"/>
      <c r="BK26" s="281"/>
    </row>
    <row r="27" spans="1:63" ht="15">
      <c r="A27" s="264"/>
      <c r="B27" s="265"/>
      <c r="C27" s="266"/>
      <c r="D27" s="266"/>
      <c r="E27" s="266"/>
      <c r="F27" s="267"/>
      <c r="G27" s="267"/>
      <c r="H27" s="267"/>
      <c r="I27" s="267"/>
      <c r="J27" s="266"/>
      <c r="K27" s="267"/>
      <c r="L27" s="267"/>
      <c r="M27" s="267"/>
      <c r="N27" s="267"/>
      <c r="O27" s="267"/>
      <c r="P27" s="267"/>
      <c r="Q27" s="276"/>
      <c r="R27" s="277"/>
      <c r="S27" s="277"/>
      <c r="T27" s="277"/>
      <c r="U27" s="277"/>
      <c r="V27" s="277"/>
      <c r="W27" s="277"/>
      <c r="X27" s="277"/>
      <c r="Y27" s="277"/>
      <c r="Z27" s="277"/>
      <c r="AA27" s="277"/>
      <c r="AB27" s="277"/>
      <c r="AC27" s="277"/>
      <c r="AD27" s="277"/>
      <c r="AE27" s="277"/>
      <c r="AF27" s="277"/>
      <c r="AG27" s="277"/>
      <c r="AH27" s="277"/>
      <c r="AI27" s="277"/>
      <c r="AJ27" s="277"/>
      <c r="AK27" s="277"/>
      <c r="AL27" s="277"/>
      <c r="AM27" s="277"/>
      <c r="AN27" s="277"/>
      <c r="AO27" s="277"/>
      <c r="AP27" s="277"/>
      <c r="AQ27" s="277"/>
      <c r="AR27" s="277"/>
      <c r="AS27" s="277"/>
      <c r="AT27" s="277"/>
      <c r="AU27" s="277"/>
      <c r="AV27" s="277"/>
      <c r="AW27" s="277"/>
      <c r="AX27" s="277"/>
      <c r="AY27" s="277"/>
      <c r="AZ27" s="277"/>
      <c r="BA27" s="277"/>
      <c r="BB27" s="277"/>
      <c r="BC27" s="277"/>
      <c r="BD27" s="277"/>
      <c r="BE27" s="277"/>
      <c r="BF27" s="277"/>
      <c r="BG27" s="277"/>
      <c r="BH27" s="277"/>
      <c r="BI27" s="277"/>
      <c r="BJ27" s="277"/>
      <c r="BK27" s="281"/>
    </row>
    <row r="28" spans="1:63" ht="15">
      <c r="A28" s="264"/>
      <c r="B28" s="265"/>
      <c r="C28" s="266"/>
      <c r="D28" s="266"/>
      <c r="E28" s="266"/>
      <c r="F28" s="267"/>
      <c r="G28" s="267"/>
      <c r="H28" s="267"/>
      <c r="I28" s="267"/>
      <c r="J28" s="266"/>
      <c r="K28" s="267"/>
      <c r="L28" s="267"/>
      <c r="M28" s="267"/>
      <c r="N28" s="267"/>
      <c r="O28" s="267"/>
      <c r="P28" s="267"/>
      <c r="Q28" s="276"/>
      <c r="R28" s="277"/>
      <c r="S28" s="277"/>
      <c r="T28" s="277"/>
      <c r="U28" s="277"/>
      <c r="V28" s="277"/>
      <c r="W28" s="277"/>
      <c r="X28" s="277"/>
      <c r="Y28" s="277"/>
      <c r="Z28" s="277"/>
      <c r="AA28" s="277"/>
      <c r="AB28" s="277"/>
      <c r="AC28" s="277"/>
      <c r="AD28" s="277"/>
      <c r="AE28" s="277"/>
      <c r="AF28" s="277"/>
      <c r="AG28" s="277"/>
      <c r="AH28" s="277"/>
      <c r="AI28" s="277"/>
      <c r="AJ28" s="277"/>
      <c r="AK28" s="277"/>
      <c r="AL28" s="277"/>
      <c r="AM28" s="277"/>
      <c r="AN28" s="277"/>
      <c r="AO28" s="277"/>
      <c r="AP28" s="277"/>
      <c r="AQ28" s="277"/>
      <c r="AR28" s="277"/>
      <c r="AS28" s="277"/>
      <c r="AT28" s="277"/>
      <c r="AU28" s="277"/>
      <c r="AV28" s="277"/>
      <c r="AW28" s="277"/>
      <c r="AX28" s="277"/>
      <c r="AY28" s="277"/>
      <c r="AZ28" s="277"/>
      <c r="BA28" s="277"/>
      <c r="BB28" s="277"/>
      <c r="BC28" s="277"/>
      <c r="BD28" s="277"/>
      <c r="BE28" s="277"/>
      <c r="BF28" s="277"/>
      <c r="BG28" s="277"/>
      <c r="BH28" s="277"/>
      <c r="BI28" s="277"/>
      <c r="BJ28" s="277"/>
      <c r="BK28" s="281"/>
    </row>
    <row r="29" spans="1:63" ht="15">
      <c r="A29" s="264"/>
      <c r="B29" s="265"/>
      <c r="C29" s="266"/>
      <c r="D29" s="266"/>
      <c r="E29" s="266"/>
      <c r="F29" s="267"/>
      <c r="G29" s="267"/>
      <c r="H29" s="267"/>
      <c r="I29" s="267"/>
      <c r="J29" s="266"/>
      <c r="K29" s="267"/>
      <c r="L29" s="267"/>
      <c r="M29" s="267"/>
      <c r="N29" s="267"/>
      <c r="O29" s="267"/>
      <c r="P29" s="267"/>
      <c r="Q29" s="276"/>
      <c r="R29" s="277"/>
      <c r="S29" s="277"/>
      <c r="T29" s="277"/>
      <c r="U29" s="277"/>
      <c r="V29" s="277"/>
      <c r="W29" s="277"/>
      <c r="X29" s="277"/>
      <c r="Y29" s="277"/>
      <c r="Z29" s="277"/>
      <c r="AA29" s="277"/>
      <c r="AB29" s="277"/>
      <c r="AC29" s="277"/>
      <c r="AD29" s="277"/>
      <c r="AE29" s="277"/>
      <c r="AF29" s="277"/>
      <c r="AG29" s="277"/>
      <c r="AH29" s="277"/>
      <c r="AI29" s="277"/>
      <c r="AJ29" s="277"/>
      <c r="AK29" s="277"/>
      <c r="AL29" s="277"/>
      <c r="AM29" s="277"/>
      <c r="AN29" s="277"/>
      <c r="AO29" s="277"/>
      <c r="AP29" s="277"/>
      <c r="AQ29" s="277"/>
      <c r="AR29" s="277"/>
      <c r="AS29" s="277"/>
      <c r="AT29" s="277"/>
      <c r="AU29" s="277"/>
      <c r="AV29" s="277"/>
      <c r="AW29" s="277"/>
      <c r="AX29" s="277"/>
      <c r="AY29" s="277"/>
      <c r="AZ29" s="277"/>
      <c r="BA29" s="277"/>
      <c r="BB29" s="277"/>
      <c r="BC29" s="277"/>
      <c r="BD29" s="277"/>
      <c r="BE29" s="277"/>
      <c r="BF29" s="277"/>
      <c r="BG29" s="277"/>
      <c r="BH29" s="277"/>
      <c r="BI29" s="277"/>
      <c r="BJ29" s="277"/>
      <c r="BK29" s="281"/>
    </row>
    <row r="30" spans="1:63" ht="15">
      <c r="A30" s="264"/>
      <c r="B30" s="265"/>
      <c r="C30" s="266"/>
      <c r="D30" s="266"/>
      <c r="E30" s="266"/>
      <c r="F30" s="267"/>
      <c r="G30" s="267"/>
      <c r="H30" s="267"/>
      <c r="I30" s="267"/>
      <c r="J30" s="266"/>
      <c r="K30" s="267"/>
      <c r="L30" s="267"/>
      <c r="M30" s="267"/>
      <c r="N30" s="267"/>
      <c r="O30" s="267"/>
      <c r="P30" s="267"/>
      <c r="Q30" s="276"/>
      <c r="R30" s="277"/>
      <c r="S30" s="277"/>
      <c r="T30" s="277"/>
      <c r="U30" s="277"/>
      <c r="V30" s="277"/>
      <c r="W30" s="277"/>
      <c r="X30" s="277"/>
      <c r="Y30" s="277"/>
      <c r="Z30" s="277"/>
      <c r="AA30" s="277"/>
      <c r="AB30" s="277"/>
      <c r="AC30" s="277"/>
      <c r="AD30" s="277"/>
      <c r="AE30" s="277"/>
      <c r="AF30" s="277"/>
      <c r="AG30" s="277"/>
      <c r="AH30" s="277"/>
      <c r="AI30" s="277"/>
      <c r="AJ30" s="277"/>
      <c r="AK30" s="277"/>
      <c r="AL30" s="277"/>
      <c r="AM30" s="277"/>
      <c r="AN30" s="277"/>
      <c r="AO30" s="277"/>
      <c r="AP30" s="277"/>
      <c r="AQ30" s="277"/>
      <c r="AR30" s="277"/>
      <c r="AS30" s="277"/>
      <c r="AT30" s="277"/>
      <c r="AU30" s="277"/>
      <c r="AV30" s="277"/>
      <c r="AW30" s="277"/>
      <c r="AX30" s="277"/>
      <c r="AY30" s="277"/>
      <c r="AZ30" s="277"/>
      <c r="BA30" s="277"/>
      <c r="BB30" s="277"/>
      <c r="BC30" s="277"/>
      <c r="BD30" s="277"/>
      <c r="BE30" s="277"/>
      <c r="BF30" s="277"/>
      <c r="BG30" s="277"/>
      <c r="BH30" s="277"/>
      <c r="BI30" s="277"/>
      <c r="BJ30" s="277"/>
      <c r="BK30" s="281"/>
    </row>
    <row r="31" spans="1:63" ht="15">
      <c r="A31" s="264"/>
      <c r="B31" s="265"/>
      <c r="C31" s="266"/>
      <c r="D31" s="266"/>
      <c r="E31" s="266"/>
      <c r="F31" s="267"/>
      <c r="G31" s="267"/>
      <c r="H31" s="267"/>
      <c r="I31" s="267"/>
      <c r="J31" s="266"/>
      <c r="K31" s="267"/>
      <c r="L31" s="267"/>
      <c r="M31" s="267"/>
      <c r="N31" s="267"/>
      <c r="O31" s="267"/>
      <c r="P31" s="267"/>
      <c r="Q31" s="276"/>
      <c r="R31" s="277"/>
      <c r="S31" s="277"/>
      <c r="T31" s="277"/>
      <c r="U31" s="277"/>
      <c r="V31" s="277"/>
      <c r="W31" s="277"/>
      <c r="X31" s="277"/>
      <c r="Y31" s="277"/>
      <c r="Z31" s="277"/>
      <c r="AA31" s="277"/>
      <c r="AB31" s="277"/>
      <c r="AC31" s="277"/>
      <c r="AD31" s="277"/>
      <c r="AE31" s="277"/>
      <c r="AF31" s="277"/>
      <c r="AG31" s="277"/>
      <c r="AH31" s="277"/>
      <c r="AI31" s="277"/>
      <c r="AJ31" s="277"/>
      <c r="AK31" s="277"/>
      <c r="AL31" s="277"/>
      <c r="AM31" s="277"/>
      <c r="AN31" s="277"/>
      <c r="AO31" s="277"/>
      <c r="AP31" s="277"/>
      <c r="AQ31" s="277"/>
      <c r="AR31" s="277"/>
      <c r="AS31" s="277"/>
      <c r="AT31" s="277"/>
      <c r="AU31" s="277"/>
      <c r="AV31" s="277"/>
      <c r="AW31" s="277"/>
      <c r="AX31" s="277"/>
      <c r="AY31" s="277"/>
      <c r="AZ31" s="277"/>
      <c r="BA31" s="277"/>
      <c r="BB31" s="277"/>
      <c r="BC31" s="277"/>
      <c r="BD31" s="277"/>
      <c r="BE31" s="277"/>
      <c r="BF31" s="277"/>
      <c r="BG31" s="277"/>
      <c r="BH31" s="277"/>
      <c r="BI31" s="277"/>
      <c r="BJ31" s="277"/>
      <c r="BK31" s="281"/>
    </row>
    <row r="32" spans="1:63" ht="15">
      <c r="A32" s="264"/>
      <c r="B32" s="265"/>
      <c r="C32" s="266"/>
      <c r="D32" s="266"/>
      <c r="E32" s="266"/>
      <c r="F32" s="267"/>
      <c r="G32" s="267"/>
      <c r="H32" s="267"/>
      <c r="I32" s="267"/>
      <c r="J32" s="266"/>
      <c r="K32" s="267"/>
      <c r="L32" s="267"/>
      <c r="M32" s="267"/>
      <c r="N32" s="267"/>
      <c r="O32" s="267"/>
      <c r="P32" s="267"/>
      <c r="Q32" s="276"/>
      <c r="R32" s="277"/>
      <c r="S32" s="277"/>
      <c r="T32" s="277"/>
      <c r="U32" s="277"/>
      <c r="V32" s="277"/>
      <c r="W32" s="277"/>
      <c r="X32" s="277"/>
      <c r="Y32" s="277"/>
      <c r="Z32" s="277"/>
      <c r="AA32" s="277"/>
      <c r="AB32" s="277"/>
      <c r="AC32" s="277"/>
      <c r="AD32" s="277"/>
      <c r="AE32" s="277"/>
      <c r="AF32" s="277"/>
      <c r="AG32" s="277"/>
      <c r="AH32" s="277"/>
      <c r="AI32" s="277"/>
      <c r="AJ32" s="277"/>
      <c r="AK32" s="277"/>
      <c r="AL32" s="277"/>
      <c r="AM32" s="277"/>
      <c r="AN32" s="277"/>
      <c r="AO32" s="277"/>
      <c r="AP32" s="277"/>
      <c r="AQ32" s="277"/>
      <c r="AR32" s="277"/>
      <c r="AS32" s="277"/>
      <c r="AT32" s="277"/>
      <c r="AU32" s="277"/>
      <c r="AV32" s="277"/>
      <c r="AW32" s="277"/>
      <c r="AX32" s="277"/>
      <c r="AY32" s="277"/>
      <c r="AZ32" s="277"/>
      <c r="BA32" s="277"/>
      <c r="BB32" s="277"/>
      <c r="BC32" s="277"/>
      <c r="BD32" s="277"/>
      <c r="BE32" s="277"/>
      <c r="BF32" s="277"/>
      <c r="BG32" s="277"/>
      <c r="BH32" s="277"/>
      <c r="BI32" s="277"/>
      <c r="BJ32" s="277"/>
      <c r="BK32" s="281"/>
    </row>
    <row r="33" spans="1:63" ht="15">
      <c r="A33" s="264"/>
      <c r="B33" s="265"/>
      <c r="C33" s="266"/>
      <c r="D33" s="266"/>
      <c r="E33" s="266"/>
      <c r="F33" s="267"/>
      <c r="G33" s="267"/>
      <c r="H33" s="267"/>
      <c r="I33" s="267"/>
      <c r="J33" s="266"/>
      <c r="K33" s="267"/>
      <c r="L33" s="267"/>
      <c r="M33" s="267"/>
      <c r="N33" s="267"/>
      <c r="O33" s="267"/>
      <c r="P33" s="267"/>
      <c r="Q33" s="276"/>
      <c r="R33" s="277"/>
      <c r="S33" s="277"/>
      <c r="T33" s="277"/>
      <c r="U33" s="277"/>
      <c r="V33" s="277"/>
      <c r="W33" s="277"/>
      <c r="X33" s="277"/>
      <c r="Y33" s="277"/>
      <c r="Z33" s="277"/>
      <c r="AA33" s="277"/>
      <c r="AB33" s="277"/>
      <c r="AC33" s="277"/>
      <c r="AD33" s="277"/>
      <c r="AE33" s="277"/>
      <c r="AF33" s="277"/>
      <c r="AG33" s="277"/>
      <c r="AH33" s="277"/>
      <c r="AI33" s="277"/>
      <c r="AJ33" s="277"/>
      <c r="AK33" s="277"/>
      <c r="AL33" s="277"/>
      <c r="AM33" s="277"/>
      <c r="AN33" s="277"/>
      <c r="AO33" s="277"/>
      <c r="AP33" s="277"/>
      <c r="AQ33" s="277"/>
      <c r="AR33" s="277"/>
      <c r="AS33" s="277"/>
      <c r="AT33" s="277"/>
      <c r="AU33" s="277"/>
      <c r="AV33" s="277"/>
      <c r="AW33" s="277"/>
      <c r="AX33" s="277"/>
      <c r="AY33" s="277"/>
      <c r="AZ33" s="277"/>
      <c r="BA33" s="277"/>
      <c r="BB33" s="277"/>
      <c r="BC33" s="277"/>
      <c r="BD33" s="277"/>
      <c r="BE33" s="277"/>
      <c r="BF33" s="277"/>
      <c r="BG33" s="277"/>
      <c r="BH33" s="277"/>
      <c r="BI33" s="277"/>
      <c r="BJ33" s="277"/>
      <c r="BK33" s="281"/>
    </row>
    <row r="34" spans="1:63" ht="15">
      <c r="A34" s="264"/>
      <c r="B34" s="265"/>
      <c r="C34" s="266"/>
      <c r="D34" s="266"/>
      <c r="E34" s="266"/>
      <c r="F34" s="267"/>
      <c r="G34" s="267"/>
      <c r="H34" s="267"/>
      <c r="I34" s="267"/>
      <c r="J34" s="266"/>
      <c r="K34" s="267"/>
      <c r="L34" s="267"/>
      <c r="M34" s="267"/>
      <c r="N34" s="267"/>
      <c r="O34" s="267"/>
      <c r="P34" s="267"/>
      <c r="Q34" s="276"/>
      <c r="R34" s="277"/>
      <c r="S34" s="277"/>
      <c r="T34" s="277"/>
      <c r="U34" s="277"/>
      <c r="V34" s="277"/>
      <c r="W34" s="277"/>
      <c r="X34" s="277"/>
      <c r="Y34" s="277"/>
      <c r="Z34" s="277"/>
      <c r="AA34" s="277"/>
      <c r="AB34" s="277"/>
      <c r="AC34" s="277"/>
      <c r="AD34" s="277"/>
      <c r="AE34" s="277"/>
      <c r="AF34" s="277"/>
      <c r="AG34" s="277"/>
      <c r="AH34" s="277"/>
      <c r="AI34" s="277"/>
      <c r="AJ34" s="277"/>
      <c r="AK34" s="277"/>
      <c r="AL34" s="277"/>
      <c r="AM34" s="277"/>
      <c r="AN34" s="277"/>
      <c r="AO34" s="277"/>
      <c r="AP34" s="277"/>
      <c r="AQ34" s="277"/>
      <c r="AR34" s="277"/>
      <c r="AS34" s="277"/>
      <c r="AT34" s="277"/>
      <c r="AU34" s="277"/>
      <c r="AV34" s="277"/>
      <c r="AW34" s="277"/>
      <c r="AX34" s="277"/>
      <c r="AY34" s="277"/>
      <c r="AZ34" s="277"/>
      <c r="BA34" s="277"/>
      <c r="BB34" s="277"/>
      <c r="BC34" s="277"/>
      <c r="BD34" s="277"/>
      <c r="BE34" s="277"/>
      <c r="BF34" s="277"/>
      <c r="BG34" s="277"/>
      <c r="BH34" s="277"/>
      <c r="BI34" s="277"/>
      <c r="BJ34" s="277"/>
      <c r="BK34" s="281"/>
    </row>
    <row r="35" spans="1:63" ht="15">
      <c r="A35" s="268"/>
      <c r="B35" s="269"/>
      <c r="C35" s="270"/>
      <c r="D35" s="270"/>
      <c r="E35" s="270"/>
      <c r="F35" s="271"/>
      <c r="G35" s="271"/>
      <c r="H35" s="271"/>
      <c r="I35" s="271"/>
      <c r="J35" s="270"/>
      <c r="K35" s="271"/>
      <c r="L35" s="271"/>
      <c r="M35" s="271"/>
      <c r="N35" s="271"/>
      <c r="O35" s="271"/>
      <c r="P35" s="271"/>
      <c r="Q35" s="278"/>
      <c r="R35" s="279"/>
      <c r="S35" s="279"/>
      <c r="T35" s="279"/>
      <c r="U35" s="279"/>
      <c r="V35" s="279"/>
      <c r="W35" s="279"/>
      <c r="X35" s="279"/>
      <c r="Y35" s="279"/>
      <c r="Z35" s="279"/>
      <c r="AA35" s="279"/>
      <c r="AB35" s="279"/>
      <c r="AC35" s="279"/>
      <c r="AD35" s="279"/>
      <c r="AE35" s="279"/>
      <c r="AF35" s="279"/>
      <c r="AG35" s="279"/>
      <c r="AH35" s="279"/>
      <c r="AI35" s="279"/>
      <c r="AJ35" s="279"/>
      <c r="AK35" s="279"/>
      <c r="AL35" s="279"/>
      <c r="AM35" s="279"/>
      <c r="AN35" s="279"/>
      <c r="AO35" s="279"/>
      <c r="AP35" s="279"/>
      <c r="AQ35" s="279"/>
      <c r="AR35" s="279"/>
      <c r="AS35" s="279"/>
      <c r="AT35" s="279"/>
      <c r="AU35" s="279"/>
      <c r="AV35" s="279"/>
      <c r="AW35" s="279"/>
      <c r="AX35" s="279"/>
      <c r="AY35" s="279"/>
      <c r="AZ35" s="279"/>
      <c r="BA35" s="279"/>
      <c r="BB35" s="279"/>
      <c r="BC35" s="279"/>
      <c r="BD35" s="279"/>
      <c r="BE35" s="279"/>
      <c r="BF35" s="279"/>
      <c r="BG35" s="279"/>
      <c r="BH35" s="279"/>
      <c r="BI35" s="279"/>
      <c r="BJ35" s="279"/>
      <c r="BK35" s="282"/>
    </row>
    <row r="36" spans="1:63" ht="15">
      <c r="A36" s="272"/>
      <c r="B36" s="273"/>
      <c r="C36" s="274"/>
      <c r="D36" s="274"/>
      <c r="E36" s="274"/>
      <c r="F36" s="275"/>
      <c r="G36" s="275"/>
      <c r="H36" s="275"/>
      <c r="I36" s="275"/>
      <c r="J36" s="274"/>
      <c r="K36" s="275"/>
      <c r="L36" s="275"/>
      <c r="M36" s="275"/>
      <c r="N36" s="275"/>
      <c r="O36" s="275"/>
      <c r="P36" s="275"/>
      <c r="Q36" s="280"/>
      <c r="R36" s="272"/>
      <c r="S36" s="272"/>
      <c r="T36" s="272"/>
      <c r="U36" s="272"/>
      <c r="V36" s="272"/>
      <c r="W36" s="272"/>
      <c r="X36" s="272"/>
      <c r="Y36" s="272"/>
      <c r="Z36" s="272"/>
      <c r="AA36" s="272"/>
      <c r="AB36" s="272"/>
      <c r="AC36" s="272"/>
      <c r="AD36" s="272"/>
      <c r="AE36" s="272"/>
      <c r="AF36" s="272"/>
      <c r="AG36" s="272"/>
      <c r="AH36" s="272"/>
      <c r="AI36" s="272"/>
      <c r="AJ36" s="272"/>
      <c r="AK36" s="272"/>
      <c r="AL36" s="272"/>
      <c r="AM36" s="272"/>
      <c r="AN36" s="272"/>
      <c r="AO36" s="272"/>
      <c r="AP36" s="272"/>
      <c r="AQ36" s="272"/>
      <c r="AR36" s="272"/>
      <c r="AS36" s="272"/>
      <c r="AT36" s="272"/>
      <c r="AU36" s="272"/>
      <c r="AV36" s="272"/>
      <c r="AW36" s="272"/>
      <c r="AX36" s="272"/>
      <c r="AY36" s="272"/>
      <c r="AZ36" s="272"/>
      <c r="BA36" s="272"/>
      <c r="BB36" s="272"/>
      <c r="BC36" s="272"/>
      <c r="BD36" s="272"/>
      <c r="BE36" s="272"/>
      <c r="BF36" s="272"/>
      <c r="BG36" s="272"/>
      <c r="BH36" s="272"/>
      <c r="BI36" s="272"/>
      <c r="BJ36" s="272"/>
      <c r="BK36" s="272"/>
    </row>
    <row r="37" spans="1:63" ht="15">
      <c r="A37" s="272"/>
      <c r="B37" s="273"/>
      <c r="C37" s="274"/>
      <c r="D37" s="274"/>
      <c r="E37" s="274"/>
      <c r="F37" s="275"/>
      <c r="G37" s="275"/>
      <c r="H37" s="275"/>
      <c r="I37" s="275"/>
      <c r="J37" s="274"/>
      <c r="K37" s="275"/>
      <c r="L37" s="275"/>
      <c r="M37" s="275"/>
      <c r="N37" s="275"/>
      <c r="O37" s="275"/>
      <c r="P37" s="275"/>
      <c r="Q37" s="280"/>
      <c r="R37" s="272"/>
      <c r="S37" s="272"/>
      <c r="T37" s="272"/>
      <c r="U37" s="272"/>
      <c r="V37" s="272"/>
      <c r="W37" s="272"/>
      <c r="X37" s="272"/>
      <c r="Y37" s="272"/>
      <c r="Z37" s="272"/>
      <c r="AA37" s="272"/>
      <c r="AB37" s="272"/>
      <c r="AC37" s="272"/>
      <c r="AD37" s="272"/>
      <c r="AE37" s="272"/>
      <c r="AF37" s="272"/>
      <c r="AG37" s="272"/>
      <c r="AH37" s="272"/>
      <c r="AI37" s="272"/>
      <c r="AJ37" s="272"/>
      <c r="AK37" s="272"/>
      <c r="AL37" s="272"/>
      <c r="AM37" s="272"/>
      <c r="AN37" s="272"/>
      <c r="AO37" s="272"/>
      <c r="AP37" s="272"/>
      <c r="AQ37" s="272"/>
      <c r="AR37" s="272"/>
      <c r="AS37" s="272"/>
      <c r="AT37" s="272"/>
      <c r="AU37" s="272"/>
      <c r="AV37" s="272"/>
      <c r="AW37" s="272"/>
      <c r="AX37" s="272"/>
      <c r="AY37" s="272"/>
      <c r="AZ37" s="272"/>
      <c r="BA37" s="272"/>
      <c r="BB37" s="272"/>
      <c r="BC37" s="272"/>
      <c r="BD37" s="272"/>
      <c r="BE37" s="272"/>
      <c r="BF37" s="272"/>
      <c r="BG37" s="272"/>
      <c r="BH37" s="272"/>
      <c r="BI37" s="272"/>
      <c r="BJ37" s="272"/>
      <c r="BK37" s="272"/>
    </row>
    <row r="38" spans="1:63" ht="15">
      <c r="A38" s="272"/>
      <c r="B38" s="273"/>
      <c r="C38" s="274"/>
      <c r="D38" s="274"/>
      <c r="E38" s="274"/>
      <c r="F38" s="275"/>
      <c r="G38" s="275"/>
      <c r="H38" s="275"/>
      <c r="I38" s="275"/>
      <c r="J38" s="274"/>
      <c r="K38" s="275"/>
      <c r="L38" s="275"/>
      <c r="M38" s="275"/>
      <c r="N38" s="275"/>
      <c r="O38" s="275"/>
      <c r="P38" s="275"/>
      <c r="Q38" s="280"/>
      <c r="R38" s="272"/>
      <c r="S38" s="272"/>
      <c r="T38" s="272"/>
      <c r="U38" s="272"/>
      <c r="V38" s="272"/>
      <c r="W38" s="272"/>
      <c r="X38" s="272"/>
      <c r="Y38" s="272"/>
      <c r="Z38" s="272"/>
      <c r="AA38" s="272"/>
      <c r="AB38" s="272"/>
      <c r="AC38" s="272"/>
      <c r="AD38" s="272"/>
      <c r="AE38" s="272"/>
      <c r="AF38" s="272"/>
      <c r="AG38" s="272"/>
      <c r="AH38" s="272"/>
      <c r="AI38" s="272"/>
      <c r="AJ38" s="272"/>
      <c r="AK38" s="272"/>
      <c r="AL38" s="272"/>
      <c r="AM38" s="272"/>
      <c r="AN38" s="272"/>
      <c r="AO38" s="272"/>
      <c r="AP38" s="272"/>
      <c r="AQ38" s="272"/>
      <c r="AR38" s="272"/>
      <c r="AS38" s="272"/>
      <c r="AT38" s="272"/>
      <c r="AU38" s="272"/>
      <c r="AV38" s="272"/>
      <c r="AW38" s="272"/>
      <c r="AX38" s="272"/>
      <c r="AY38" s="272"/>
      <c r="AZ38" s="272"/>
      <c r="BA38" s="272"/>
      <c r="BB38" s="272"/>
      <c r="BC38" s="272"/>
      <c r="BD38" s="272"/>
      <c r="BE38" s="272"/>
      <c r="BF38" s="272"/>
      <c r="BG38" s="272"/>
      <c r="BH38" s="272"/>
      <c r="BI38" s="272"/>
      <c r="BJ38" s="272"/>
      <c r="BK38" s="272"/>
    </row>
    <row r="39" spans="1:63" ht="15">
      <c r="A39" s="272"/>
      <c r="B39" s="273"/>
      <c r="C39" s="274"/>
      <c r="D39" s="274"/>
      <c r="E39" s="274"/>
      <c r="F39" s="275"/>
      <c r="G39" s="275"/>
      <c r="H39" s="275"/>
      <c r="I39" s="275"/>
      <c r="J39" s="274"/>
      <c r="K39" s="275"/>
      <c r="L39" s="275"/>
      <c r="M39" s="275"/>
      <c r="N39" s="275"/>
      <c r="O39" s="275"/>
      <c r="P39" s="275"/>
      <c r="Q39" s="280"/>
      <c r="R39" s="272"/>
      <c r="S39" s="272"/>
      <c r="T39" s="272"/>
      <c r="U39" s="272"/>
      <c r="V39" s="272"/>
      <c r="W39" s="272"/>
      <c r="X39" s="272"/>
      <c r="Y39" s="272"/>
      <c r="Z39" s="272"/>
      <c r="AA39" s="272"/>
      <c r="AB39" s="272"/>
      <c r="AC39" s="272"/>
      <c r="AD39" s="272"/>
      <c r="AE39" s="272"/>
      <c r="AF39" s="272"/>
      <c r="AG39" s="272"/>
      <c r="AH39" s="272"/>
      <c r="AI39" s="272"/>
      <c r="AJ39" s="272"/>
      <c r="AK39" s="272"/>
      <c r="AL39" s="272"/>
      <c r="AM39" s="272"/>
      <c r="AN39" s="272"/>
      <c r="AO39" s="272"/>
      <c r="AP39" s="272"/>
      <c r="AQ39" s="272"/>
      <c r="AR39" s="272"/>
      <c r="AS39" s="272"/>
      <c r="AT39" s="272"/>
      <c r="AU39" s="272"/>
      <c r="AV39" s="272"/>
      <c r="AW39" s="272"/>
      <c r="AX39" s="272"/>
      <c r="AY39" s="272"/>
      <c r="AZ39" s="272"/>
      <c r="BA39" s="272"/>
      <c r="BB39" s="272"/>
      <c r="BC39" s="272"/>
      <c r="BD39" s="272"/>
      <c r="BE39" s="272"/>
      <c r="BF39" s="272"/>
      <c r="BG39" s="272"/>
      <c r="BH39" s="272"/>
      <c r="BI39" s="272"/>
      <c r="BJ39" s="272"/>
      <c r="BK39" s="272"/>
    </row>
    <row r="40" spans="1:63" ht="15">
      <c r="A40" s="272"/>
      <c r="B40" s="273"/>
      <c r="C40" s="274"/>
      <c r="D40" s="274"/>
      <c r="E40" s="274"/>
      <c r="F40" s="275"/>
      <c r="G40" s="275"/>
      <c r="H40" s="275"/>
      <c r="I40" s="275"/>
      <c r="J40" s="274"/>
      <c r="K40" s="275"/>
      <c r="L40" s="275"/>
      <c r="M40" s="275"/>
      <c r="N40" s="275"/>
      <c r="O40" s="275"/>
      <c r="P40" s="275"/>
      <c r="Q40" s="280"/>
      <c r="R40" s="272"/>
      <c r="S40" s="272"/>
      <c r="T40" s="272"/>
      <c r="U40" s="272"/>
      <c r="V40" s="272"/>
      <c r="W40" s="272"/>
      <c r="X40" s="272"/>
      <c r="Y40" s="272"/>
      <c r="Z40" s="272"/>
      <c r="AA40" s="272"/>
      <c r="AB40" s="272"/>
      <c r="AC40" s="272"/>
      <c r="AD40" s="272"/>
      <c r="AE40" s="272"/>
      <c r="AF40" s="272"/>
      <c r="AG40" s="272"/>
      <c r="AH40" s="272"/>
      <c r="AI40" s="272"/>
      <c r="AJ40" s="272"/>
      <c r="AK40" s="272"/>
      <c r="AL40" s="272"/>
      <c r="AM40" s="272"/>
      <c r="AN40" s="272"/>
      <c r="AO40" s="272"/>
      <c r="AP40" s="272"/>
      <c r="AQ40" s="272"/>
      <c r="AR40" s="272"/>
      <c r="AS40" s="272"/>
      <c r="AT40" s="272"/>
      <c r="AU40" s="272"/>
      <c r="AV40" s="272"/>
      <c r="AW40" s="272"/>
      <c r="AX40" s="272"/>
      <c r="AY40" s="272"/>
      <c r="AZ40" s="272"/>
      <c r="BA40" s="272"/>
      <c r="BB40" s="272"/>
      <c r="BC40" s="272"/>
      <c r="BD40" s="272"/>
      <c r="BE40" s="272"/>
      <c r="BF40" s="272"/>
      <c r="BG40" s="272"/>
      <c r="BH40" s="272"/>
      <c r="BI40" s="272"/>
      <c r="BJ40" s="272"/>
      <c r="BK40" s="272"/>
    </row>
    <row r="41" spans="1:63" ht="15">
      <c r="A41" s="272"/>
      <c r="B41" s="273"/>
      <c r="C41" s="274"/>
      <c r="D41" s="274"/>
      <c r="E41" s="274"/>
      <c r="F41" s="275"/>
      <c r="G41" s="275"/>
      <c r="H41" s="275"/>
      <c r="I41" s="275"/>
      <c r="J41" s="274"/>
      <c r="K41" s="275"/>
      <c r="L41" s="275"/>
      <c r="M41" s="275"/>
      <c r="N41" s="275"/>
      <c r="O41" s="275"/>
      <c r="P41" s="275"/>
      <c r="Q41" s="280"/>
      <c r="R41" s="272"/>
      <c r="S41" s="272"/>
      <c r="T41" s="272"/>
      <c r="U41" s="272"/>
      <c r="V41" s="272"/>
      <c r="W41" s="272"/>
      <c r="X41" s="272"/>
      <c r="Y41" s="272"/>
      <c r="Z41" s="272"/>
      <c r="AA41" s="272"/>
      <c r="AB41" s="272"/>
      <c r="AC41" s="272"/>
      <c r="AD41" s="272"/>
      <c r="AE41" s="272"/>
      <c r="AF41" s="272"/>
      <c r="AG41" s="272"/>
      <c r="AH41" s="272"/>
      <c r="AI41" s="272"/>
      <c r="AJ41" s="272"/>
      <c r="AK41" s="272"/>
      <c r="AL41" s="272"/>
      <c r="AM41" s="272"/>
      <c r="AN41" s="272"/>
      <c r="AO41" s="272"/>
      <c r="AP41" s="272"/>
      <c r="AQ41" s="272"/>
      <c r="AR41" s="272"/>
      <c r="AS41" s="272"/>
      <c r="AT41" s="272"/>
      <c r="AU41" s="272"/>
      <c r="AV41" s="272"/>
      <c r="AW41" s="272"/>
      <c r="AX41" s="272"/>
      <c r="AY41" s="272"/>
      <c r="AZ41" s="272"/>
      <c r="BA41" s="272"/>
      <c r="BB41" s="272"/>
      <c r="BC41" s="272"/>
      <c r="BD41" s="272"/>
      <c r="BE41" s="272"/>
      <c r="BF41" s="272"/>
      <c r="BG41" s="272"/>
      <c r="BH41" s="272"/>
      <c r="BI41" s="272"/>
      <c r="BJ41" s="272"/>
      <c r="BK41" s="272"/>
    </row>
    <row r="42" spans="1:63" ht="15">
      <c r="A42" s="272"/>
      <c r="B42" s="273"/>
      <c r="C42" s="274"/>
      <c r="D42" s="274"/>
      <c r="E42" s="274"/>
      <c r="F42" s="275"/>
      <c r="G42" s="275"/>
      <c r="H42" s="275"/>
      <c r="I42" s="275"/>
      <c r="J42" s="274"/>
      <c r="K42" s="275"/>
      <c r="L42" s="275"/>
      <c r="M42" s="275"/>
      <c r="N42" s="275"/>
      <c r="O42" s="275"/>
      <c r="P42" s="275"/>
      <c r="Q42" s="280"/>
      <c r="R42" s="272"/>
      <c r="S42" s="272"/>
      <c r="T42" s="272"/>
      <c r="U42" s="272"/>
      <c r="V42" s="272"/>
      <c r="W42" s="272"/>
      <c r="X42" s="272"/>
      <c r="Y42" s="272"/>
      <c r="Z42" s="272"/>
      <c r="AA42" s="272"/>
      <c r="AB42" s="272"/>
      <c r="AC42" s="272"/>
      <c r="AD42" s="272"/>
      <c r="AE42" s="272"/>
      <c r="AF42" s="272"/>
      <c r="AG42" s="272"/>
      <c r="AH42" s="272"/>
      <c r="AI42" s="272"/>
      <c r="AJ42" s="272"/>
      <c r="AK42" s="272"/>
      <c r="AL42" s="272"/>
      <c r="AM42" s="272"/>
      <c r="AN42" s="272"/>
      <c r="AO42" s="272"/>
      <c r="AP42" s="272"/>
      <c r="AQ42" s="272"/>
      <c r="AR42" s="272"/>
      <c r="AS42" s="272"/>
      <c r="AT42" s="272"/>
      <c r="AU42" s="272"/>
      <c r="AV42" s="272"/>
      <c r="AW42" s="272"/>
      <c r="AX42" s="272"/>
      <c r="AY42" s="272"/>
      <c r="AZ42" s="272"/>
      <c r="BA42" s="272"/>
      <c r="BB42" s="272"/>
      <c r="BC42" s="272"/>
      <c r="BD42" s="272"/>
      <c r="BE42" s="272"/>
      <c r="BF42" s="272"/>
      <c r="BG42" s="272"/>
      <c r="BH42" s="272"/>
      <c r="BI42" s="272"/>
      <c r="BJ42" s="272"/>
      <c r="BK42" s="272"/>
    </row>
    <row r="43" spans="1:63" ht="15">
      <c r="A43" s="272"/>
      <c r="B43" s="273"/>
      <c r="C43" s="274"/>
      <c r="D43" s="274"/>
      <c r="E43" s="274"/>
      <c r="F43" s="275"/>
      <c r="G43" s="275"/>
      <c r="H43" s="275"/>
      <c r="I43" s="275"/>
      <c r="J43" s="274"/>
      <c r="K43" s="275"/>
      <c r="L43" s="275"/>
      <c r="M43" s="275"/>
      <c r="N43" s="275"/>
      <c r="O43" s="275"/>
      <c r="P43" s="275"/>
      <c r="Q43" s="280"/>
      <c r="R43" s="272"/>
      <c r="S43" s="272"/>
      <c r="T43" s="272"/>
      <c r="U43" s="272"/>
      <c r="V43" s="272"/>
      <c r="W43" s="272"/>
      <c r="X43" s="272"/>
      <c r="Y43" s="272"/>
      <c r="Z43" s="272"/>
      <c r="AA43" s="272"/>
      <c r="AB43" s="272"/>
      <c r="AC43" s="272"/>
      <c r="AD43" s="272"/>
      <c r="AE43" s="272"/>
      <c r="AF43" s="272"/>
      <c r="AG43" s="272"/>
      <c r="AH43" s="272"/>
      <c r="AI43" s="272"/>
      <c r="AJ43" s="272"/>
      <c r="AK43" s="272"/>
      <c r="AL43" s="272"/>
      <c r="AM43" s="272"/>
      <c r="AN43" s="272"/>
      <c r="AO43" s="272"/>
      <c r="AP43" s="272"/>
      <c r="AQ43" s="272"/>
      <c r="AR43" s="272"/>
      <c r="AS43" s="272"/>
      <c r="AT43" s="272"/>
      <c r="AU43" s="272"/>
      <c r="AV43" s="272"/>
      <c r="AW43" s="272"/>
      <c r="AX43" s="272"/>
      <c r="AY43" s="272"/>
      <c r="AZ43" s="272"/>
      <c r="BA43" s="272"/>
      <c r="BB43" s="272"/>
      <c r="BC43" s="272"/>
      <c r="BD43" s="272"/>
      <c r="BE43" s="272"/>
      <c r="BF43" s="272"/>
      <c r="BG43" s="272"/>
      <c r="BH43" s="272"/>
      <c r="BI43" s="272"/>
      <c r="BJ43" s="272"/>
      <c r="BK43" s="272"/>
    </row>
    <row r="44" spans="1:63" ht="15">
      <c r="A44" s="272"/>
      <c r="B44" s="273"/>
      <c r="C44" s="274"/>
      <c r="D44" s="274"/>
      <c r="E44" s="274"/>
      <c r="F44" s="275"/>
      <c r="G44" s="275"/>
      <c r="H44" s="275"/>
      <c r="I44" s="275"/>
      <c r="J44" s="274"/>
      <c r="K44" s="275"/>
      <c r="L44" s="275"/>
      <c r="M44" s="275"/>
      <c r="N44" s="275"/>
      <c r="O44" s="275"/>
      <c r="P44" s="275"/>
      <c r="Q44" s="280"/>
      <c r="R44" s="272"/>
      <c r="S44" s="272"/>
      <c r="T44" s="272"/>
      <c r="U44" s="272"/>
      <c r="V44" s="272"/>
      <c r="W44" s="272"/>
      <c r="X44" s="272"/>
      <c r="Y44" s="272"/>
      <c r="Z44" s="272"/>
      <c r="AA44" s="272"/>
      <c r="AB44" s="272"/>
      <c r="AC44" s="272"/>
      <c r="AD44" s="272"/>
      <c r="AE44" s="272"/>
      <c r="AF44" s="272"/>
      <c r="AG44" s="272"/>
      <c r="AH44" s="272"/>
      <c r="AI44" s="272"/>
      <c r="AJ44" s="272"/>
      <c r="AK44" s="272"/>
      <c r="AL44" s="272"/>
      <c r="AM44" s="272"/>
      <c r="AN44" s="272"/>
      <c r="AO44" s="272"/>
      <c r="AP44" s="272"/>
      <c r="AQ44" s="272"/>
      <c r="AR44" s="272"/>
      <c r="AS44" s="272"/>
      <c r="AT44" s="272"/>
      <c r="AU44" s="272"/>
      <c r="AV44" s="272"/>
      <c r="AW44" s="272"/>
      <c r="AX44" s="272"/>
      <c r="AY44" s="272"/>
      <c r="AZ44" s="272"/>
      <c r="BA44" s="272"/>
      <c r="BB44" s="272"/>
      <c r="BC44" s="272"/>
      <c r="BD44" s="272"/>
      <c r="BE44" s="272"/>
      <c r="BF44" s="272"/>
      <c r="BG44" s="272"/>
      <c r="BH44" s="272"/>
      <c r="BI44" s="272"/>
      <c r="BJ44" s="272"/>
      <c r="BK44" s="272"/>
    </row>
    <row r="45" spans="1:63" ht="15">
      <c r="A45" s="272"/>
      <c r="B45" s="273"/>
      <c r="C45" s="274"/>
      <c r="D45" s="274"/>
      <c r="E45" s="274"/>
      <c r="F45" s="275"/>
      <c r="G45" s="275"/>
      <c r="H45" s="275"/>
      <c r="I45" s="275"/>
      <c r="J45" s="274"/>
      <c r="K45" s="275"/>
      <c r="L45" s="275"/>
      <c r="M45" s="275"/>
      <c r="N45" s="275"/>
      <c r="O45" s="275"/>
      <c r="P45" s="275"/>
      <c r="Q45" s="280"/>
      <c r="R45" s="272"/>
      <c r="S45" s="272"/>
      <c r="T45" s="272"/>
      <c r="U45" s="272"/>
      <c r="V45" s="272"/>
      <c r="W45" s="272"/>
      <c r="X45" s="272"/>
      <c r="Y45" s="272"/>
      <c r="Z45" s="272"/>
      <c r="AA45" s="272"/>
      <c r="AB45" s="272"/>
      <c r="AC45" s="272"/>
      <c r="AD45" s="272"/>
      <c r="AE45" s="272"/>
      <c r="AF45" s="272"/>
      <c r="AG45" s="272"/>
      <c r="AH45" s="272"/>
      <c r="AI45" s="272"/>
      <c r="AJ45" s="272"/>
      <c r="AK45" s="272"/>
      <c r="AL45" s="272"/>
      <c r="AM45" s="272"/>
      <c r="AN45" s="272"/>
      <c r="AO45" s="272"/>
      <c r="AP45" s="272"/>
      <c r="AQ45" s="272"/>
      <c r="AR45" s="272"/>
      <c r="AS45" s="272"/>
      <c r="AT45" s="272"/>
      <c r="AU45" s="272"/>
      <c r="AV45" s="272"/>
      <c r="AW45" s="272"/>
      <c r="AX45" s="272"/>
      <c r="AY45" s="272"/>
      <c r="AZ45" s="272"/>
      <c r="BA45" s="272"/>
      <c r="BB45" s="272"/>
      <c r="BC45" s="272"/>
      <c r="BD45" s="272"/>
      <c r="BE45" s="272"/>
      <c r="BF45" s="272"/>
      <c r="BG45" s="272"/>
      <c r="BH45" s="272"/>
      <c r="BI45" s="272"/>
      <c r="BJ45" s="272"/>
      <c r="BK45" s="272"/>
    </row>
    <row r="46" spans="1:63" ht="15">
      <c r="A46" s="272"/>
      <c r="B46" s="273"/>
      <c r="C46" s="274"/>
      <c r="D46" s="274"/>
      <c r="E46" s="274"/>
      <c r="F46" s="275"/>
      <c r="G46" s="275"/>
      <c r="H46" s="275"/>
      <c r="I46" s="275"/>
      <c r="J46" s="274"/>
      <c r="K46" s="275"/>
      <c r="L46" s="275"/>
      <c r="M46" s="275"/>
      <c r="N46" s="275"/>
      <c r="O46" s="275"/>
      <c r="P46" s="275"/>
      <c r="Q46" s="280"/>
      <c r="R46" s="272"/>
      <c r="S46" s="272"/>
      <c r="T46" s="272"/>
      <c r="U46" s="272"/>
      <c r="V46" s="272"/>
      <c r="W46" s="272"/>
      <c r="X46" s="272"/>
      <c r="Y46" s="272"/>
      <c r="Z46" s="272"/>
      <c r="AA46" s="272"/>
      <c r="AB46" s="272"/>
      <c r="AC46" s="272"/>
      <c r="AD46" s="272"/>
      <c r="AE46" s="272"/>
      <c r="AF46" s="272"/>
      <c r="AG46" s="272"/>
      <c r="AH46" s="272"/>
      <c r="AI46" s="272"/>
      <c r="AJ46" s="272"/>
      <c r="AK46" s="272"/>
      <c r="AL46" s="272"/>
      <c r="AM46" s="272"/>
      <c r="AN46" s="272"/>
      <c r="AO46" s="272"/>
      <c r="AP46" s="272"/>
      <c r="AQ46" s="272"/>
      <c r="AR46" s="272"/>
      <c r="AS46" s="272"/>
      <c r="AT46" s="272"/>
      <c r="AU46" s="272"/>
      <c r="AV46" s="272"/>
      <c r="AW46" s="272"/>
      <c r="AX46" s="272"/>
      <c r="AY46" s="272"/>
      <c r="AZ46" s="272"/>
      <c r="BA46" s="272"/>
      <c r="BB46" s="272"/>
      <c r="BC46" s="272"/>
      <c r="BD46" s="272"/>
      <c r="BE46" s="272"/>
      <c r="BF46" s="272"/>
      <c r="BG46" s="272"/>
      <c r="BH46" s="272"/>
      <c r="BI46" s="272"/>
      <c r="BJ46" s="272"/>
      <c r="BK46" s="272"/>
    </row>
    <row r="47" spans="1:63" ht="15">
      <c r="A47" s="272"/>
      <c r="B47" s="273"/>
      <c r="C47" s="274"/>
      <c r="D47" s="274"/>
      <c r="E47" s="274"/>
      <c r="F47" s="275"/>
      <c r="G47" s="275"/>
      <c r="H47" s="275"/>
      <c r="I47" s="275"/>
      <c r="J47" s="274"/>
      <c r="K47" s="275"/>
      <c r="L47" s="275"/>
      <c r="M47" s="275"/>
      <c r="N47" s="275"/>
      <c r="O47" s="275"/>
      <c r="P47" s="275"/>
      <c r="Q47" s="280"/>
      <c r="R47" s="272"/>
      <c r="S47" s="272"/>
      <c r="T47" s="272"/>
      <c r="U47" s="272"/>
      <c r="V47" s="272"/>
      <c r="W47" s="272"/>
      <c r="X47" s="272"/>
      <c r="Y47" s="272"/>
      <c r="Z47" s="272"/>
      <c r="AA47" s="272"/>
      <c r="AB47" s="272"/>
      <c r="AC47" s="272"/>
      <c r="AD47" s="272"/>
      <c r="AE47" s="272"/>
      <c r="AF47" s="272"/>
      <c r="AG47" s="272"/>
      <c r="AH47" s="272"/>
      <c r="AI47" s="272"/>
      <c r="AJ47" s="272"/>
      <c r="AK47" s="272"/>
      <c r="AL47" s="272"/>
      <c r="AM47" s="272"/>
      <c r="AN47" s="272"/>
      <c r="AO47" s="272"/>
      <c r="AP47" s="272"/>
      <c r="AQ47" s="272"/>
      <c r="AR47" s="272"/>
      <c r="AS47" s="272"/>
      <c r="AT47" s="272"/>
      <c r="AU47" s="272"/>
      <c r="AV47" s="272"/>
      <c r="AW47" s="272"/>
      <c r="AX47" s="272"/>
      <c r="AY47" s="272"/>
      <c r="AZ47" s="272"/>
      <c r="BA47" s="272"/>
      <c r="BB47" s="272"/>
      <c r="BC47" s="272"/>
      <c r="BD47" s="272"/>
      <c r="BE47" s="272"/>
      <c r="BF47" s="272"/>
      <c r="BG47" s="272"/>
      <c r="BH47" s="272"/>
      <c r="BI47" s="272"/>
      <c r="BJ47" s="272"/>
      <c r="BK47" s="272"/>
    </row>
    <row r="48" spans="1:63" ht="15">
      <c r="A48" s="272"/>
      <c r="B48" s="273"/>
      <c r="C48" s="274"/>
      <c r="D48" s="274"/>
      <c r="E48" s="274"/>
      <c r="F48" s="275"/>
      <c r="G48" s="275"/>
      <c r="H48" s="275"/>
      <c r="I48" s="275"/>
      <c r="J48" s="274"/>
      <c r="K48" s="275"/>
      <c r="L48" s="275"/>
      <c r="M48" s="275"/>
      <c r="N48" s="275"/>
      <c r="O48" s="275"/>
      <c r="P48" s="275"/>
      <c r="Q48" s="280"/>
      <c r="R48" s="272"/>
      <c r="S48" s="272"/>
      <c r="T48" s="272"/>
      <c r="U48" s="272"/>
      <c r="V48" s="272"/>
      <c r="W48" s="272"/>
      <c r="X48" s="272"/>
      <c r="Y48" s="272"/>
      <c r="Z48" s="272"/>
      <c r="AA48" s="272"/>
      <c r="AB48" s="272"/>
      <c r="AC48" s="272"/>
      <c r="AD48" s="272"/>
      <c r="AE48" s="272"/>
      <c r="AF48" s="272"/>
      <c r="AG48" s="272"/>
      <c r="AH48" s="272"/>
      <c r="AI48" s="272"/>
      <c r="AJ48" s="272"/>
      <c r="AK48" s="272"/>
      <c r="AL48" s="272"/>
      <c r="AM48" s="272"/>
      <c r="AN48" s="272"/>
      <c r="AO48" s="272"/>
      <c r="AP48" s="272"/>
      <c r="AQ48" s="272"/>
      <c r="AR48" s="272"/>
      <c r="AS48" s="272"/>
      <c r="AT48" s="272"/>
      <c r="AU48" s="272"/>
      <c r="AV48" s="272"/>
      <c r="AW48" s="272"/>
      <c r="AX48" s="272"/>
      <c r="AY48" s="272"/>
      <c r="AZ48" s="272"/>
      <c r="BA48" s="272"/>
      <c r="BB48" s="272"/>
      <c r="BC48" s="272"/>
      <c r="BD48" s="272"/>
      <c r="BE48" s="272"/>
      <c r="BF48" s="272"/>
      <c r="BG48" s="272"/>
      <c r="BH48" s="272"/>
      <c r="BI48" s="272"/>
      <c r="BJ48" s="272"/>
      <c r="BK48" s="272"/>
    </row>
    <row r="49" spans="1:63" ht="15">
      <c r="A49" s="272"/>
      <c r="B49" s="273"/>
      <c r="C49" s="274"/>
      <c r="D49" s="274"/>
      <c r="E49" s="274"/>
      <c r="F49" s="275"/>
      <c r="G49" s="275"/>
      <c r="H49" s="275"/>
      <c r="I49" s="275"/>
      <c r="J49" s="274"/>
      <c r="K49" s="275"/>
      <c r="L49" s="275"/>
      <c r="M49" s="275"/>
      <c r="N49" s="275"/>
      <c r="O49" s="275"/>
      <c r="P49" s="275"/>
      <c r="Q49" s="280"/>
      <c r="R49" s="272"/>
      <c r="S49" s="272"/>
      <c r="T49" s="272"/>
      <c r="U49" s="272"/>
      <c r="V49" s="272"/>
      <c r="W49" s="272"/>
      <c r="X49" s="272"/>
      <c r="Y49" s="272"/>
      <c r="Z49" s="272"/>
      <c r="AA49" s="272"/>
      <c r="AB49" s="272"/>
      <c r="AC49" s="272"/>
      <c r="AD49" s="272"/>
      <c r="AE49" s="272"/>
      <c r="AF49" s="272"/>
      <c r="AG49" s="272"/>
      <c r="AH49" s="272"/>
      <c r="AI49" s="272"/>
      <c r="AJ49" s="272"/>
      <c r="AK49" s="272"/>
      <c r="AL49" s="272"/>
      <c r="AM49" s="272"/>
      <c r="AN49" s="272"/>
      <c r="AO49" s="272"/>
      <c r="AP49" s="272"/>
      <c r="AQ49" s="272"/>
      <c r="AR49" s="272"/>
      <c r="AS49" s="272"/>
      <c r="AT49" s="272"/>
      <c r="AU49" s="272"/>
      <c r="AV49" s="272"/>
      <c r="AW49" s="272"/>
      <c r="AX49" s="272"/>
      <c r="AY49" s="272"/>
      <c r="AZ49" s="272"/>
      <c r="BA49" s="272"/>
      <c r="BB49" s="272"/>
      <c r="BC49" s="272"/>
      <c r="BD49" s="272"/>
      <c r="BE49" s="272"/>
      <c r="BF49" s="272"/>
      <c r="BG49" s="272"/>
      <c r="BH49" s="272"/>
      <c r="BI49" s="272"/>
      <c r="BJ49" s="272"/>
      <c r="BK49" s="272"/>
    </row>
    <row r="50" spans="1:63" ht="15">
      <c r="A50" s="272"/>
      <c r="B50" s="273"/>
      <c r="C50" s="274"/>
      <c r="D50" s="274"/>
      <c r="E50" s="274"/>
      <c r="F50" s="275"/>
      <c r="G50" s="275"/>
      <c r="H50" s="275"/>
      <c r="I50" s="275"/>
      <c r="J50" s="274"/>
      <c r="K50" s="275"/>
      <c r="L50" s="275"/>
      <c r="M50" s="275"/>
      <c r="N50" s="275"/>
      <c r="O50" s="275"/>
      <c r="P50" s="275"/>
      <c r="Q50" s="280"/>
      <c r="R50" s="272"/>
      <c r="S50" s="272"/>
      <c r="T50" s="272"/>
      <c r="U50" s="272"/>
      <c r="V50" s="272"/>
      <c r="W50" s="272"/>
      <c r="X50" s="272"/>
      <c r="Y50" s="272"/>
      <c r="Z50" s="272"/>
      <c r="AA50" s="272"/>
      <c r="AB50" s="272"/>
      <c r="AC50" s="272"/>
      <c r="AD50" s="272"/>
      <c r="AE50" s="272"/>
      <c r="AF50" s="272"/>
      <c r="AG50" s="272"/>
      <c r="AH50" s="272"/>
      <c r="AI50" s="272"/>
      <c r="AJ50" s="272"/>
      <c r="AK50" s="272"/>
      <c r="AL50" s="272"/>
      <c r="AM50" s="272"/>
      <c r="AN50" s="272"/>
      <c r="AO50" s="272"/>
      <c r="AP50" s="272"/>
      <c r="AQ50" s="272"/>
      <c r="AR50" s="272"/>
      <c r="AS50" s="272"/>
      <c r="AT50" s="272"/>
      <c r="AU50" s="272"/>
      <c r="AV50" s="272"/>
      <c r="AW50" s="272"/>
      <c r="AX50" s="272"/>
      <c r="AY50" s="272"/>
      <c r="AZ50" s="272"/>
      <c r="BA50" s="272"/>
      <c r="BB50" s="272"/>
      <c r="BC50" s="272"/>
      <c r="BD50" s="272"/>
      <c r="BE50" s="272"/>
      <c r="BF50" s="272"/>
      <c r="BG50" s="272"/>
      <c r="BH50" s="272"/>
      <c r="BI50" s="272"/>
      <c r="BJ50" s="272"/>
      <c r="BK50" s="272"/>
    </row>
    <row r="51" spans="1:63" ht="15">
      <c r="A51" s="272"/>
      <c r="B51" s="273"/>
      <c r="C51" s="274"/>
      <c r="D51" s="274"/>
      <c r="E51" s="274"/>
      <c r="F51" s="275"/>
      <c r="G51" s="275"/>
      <c r="H51" s="275"/>
      <c r="I51" s="275"/>
      <c r="J51" s="274"/>
      <c r="K51" s="275"/>
      <c r="L51" s="275"/>
      <c r="M51" s="275"/>
      <c r="N51" s="275"/>
      <c r="O51" s="275"/>
      <c r="P51" s="275"/>
      <c r="Q51" s="280"/>
      <c r="R51" s="272"/>
      <c r="S51" s="272"/>
      <c r="T51" s="272"/>
      <c r="U51" s="272"/>
      <c r="V51" s="272"/>
      <c r="W51" s="272"/>
      <c r="X51" s="272"/>
      <c r="Y51" s="272"/>
      <c r="Z51" s="272"/>
      <c r="AA51" s="272"/>
      <c r="AB51" s="272"/>
      <c r="AC51" s="272"/>
      <c r="AD51" s="272"/>
      <c r="AE51" s="272"/>
      <c r="AF51" s="272"/>
      <c r="AG51" s="272"/>
      <c r="AH51" s="272"/>
      <c r="AI51" s="272"/>
      <c r="AJ51" s="272"/>
      <c r="AK51" s="272"/>
      <c r="AL51" s="272"/>
      <c r="AM51" s="272"/>
      <c r="AN51" s="272"/>
      <c r="AO51" s="272"/>
      <c r="AP51" s="272"/>
      <c r="AQ51" s="272"/>
      <c r="AR51" s="272"/>
      <c r="AS51" s="272"/>
      <c r="AT51" s="272"/>
      <c r="AU51" s="272"/>
      <c r="AV51" s="272"/>
      <c r="AW51" s="272"/>
      <c r="AX51" s="272"/>
      <c r="AY51" s="272"/>
      <c r="AZ51" s="272"/>
      <c r="BA51" s="272"/>
      <c r="BB51" s="272"/>
      <c r="BC51" s="272"/>
      <c r="BD51" s="272"/>
      <c r="BE51" s="272"/>
      <c r="BF51" s="272"/>
      <c r="BG51" s="272"/>
      <c r="BH51" s="272"/>
      <c r="BI51" s="272"/>
      <c r="BJ51" s="272"/>
      <c r="BK51" s="272"/>
    </row>
    <row r="52" spans="1:63" ht="15">
      <c r="A52" s="272"/>
      <c r="B52" s="273"/>
      <c r="C52" s="274"/>
      <c r="D52" s="274"/>
      <c r="E52" s="274"/>
      <c r="F52" s="275"/>
      <c r="G52" s="275"/>
      <c r="H52" s="275"/>
      <c r="I52" s="275"/>
      <c r="J52" s="274"/>
      <c r="K52" s="275"/>
      <c r="L52" s="275"/>
      <c r="M52" s="275"/>
      <c r="N52" s="275"/>
      <c r="O52" s="275"/>
      <c r="P52" s="275"/>
      <c r="Q52" s="280"/>
      <c r="R52" s="272"/>
      <c r="S52" s="272"/>
      <c r="T52" s="272"/>
      <c r="U52" s="272"/>
      <c r="V52" s="272"/>
      <c r="W52" s="272"/>
      <c r="X52" s="272"/>
      <c r="Y52" s="272"/>
      <c r="Z52" s="272"/>
      <c r="AA52" s="272"/>
      <c r="AB52" s="272"/>
      <c r="AC52" s="272"/>
      <c r="AD52" s="272"/>
      <c r="AE52" s="272"/>
      <c r="AF52" s="272"/>
      <c r="AG52" s="272"/>
      <c r="AH52" s="272"/>
      <c r="AI52" s="272"/>
      <c r="AJ52" s="272"/>
      <c r="AK52" s="272"/>
      <c r="AL52" s="272"/>
      <c r="AM52" s="272"/>
      <c r="AN52" s="272"/>
      <c r="AO52" s="272"/>
      <c r="AP52" s="272"/>
      <c r="AQ52" s="272"/>
      <c r="AR52" s="272"/>
      <c r="AS52" s="272"/>
      <c r="AT52" s="272"/>
      <c r="AU52" s="272"/>
      <c r="AV52" s="272"/>
      <c r="AW52" s="272"/>
      <c r="AX52" s="272"/>
      <c r="AY52" s="272"/>
      <c r="AZ52" s="272"/>
      <c r="BA52" s="272"/>
      <c r="BB52" s="272"/>
      <c r="BC52" s="272"/>
      <c r="BD52" s="272"/>
      <c r="BE52" s="272"/>
      <c r="BF52" s="272"/>
      <c r="BG52" s="272"/>
      <c r="BH52" s="272"/>
      <c r="BI52" s="272"/>
      <c r="BJ52" s="272"/>
      <c r="BK52" s="272"/>
    </row>
    <row r="53" spans="1:63" ht="15">
      <c r="A53" s="272"/>
      <c r="B53" s="273"/>
      <c r="C53" s="274"/>
      <c r="D53" s="274"/>
      <c r="E53" s="274"/>
      <c r="F53" s="275"/>
      <c r="G53" s="275"/>
      <c r="H53" s="275"/>
      <c r="I53" s="275"/>
      <c r="J53" s="274"/>
      <c r="K53" s="275"/>
      <c r="L53" s="275"/>
      <c r="M53" s="275"/>
      <c r="N53" s="275"/>
      <c r="O53" s="275"/>
      <c r="P53" s="275"/>
      <c r="Q53" s="280"/>
      <c r="R53" s="272"/>
      <c r="S53" s="272"/>
      <c r="T53" s="272"/>
      <c r="U53" s="272"/>
      <c r="V53" s="272"/>
      <c r="W53" s="272"/>
      <c r="X53" s="272"/>
      <c r="Y53" s="272"/>
      <c r="Z53" s="272"/>
      <c r="AA53" s="272"/>
      <c r="AB53" s="272"/>
      <c r="AC53" s="272"/>
      <c r="AD53" s="272"/>
      <c r="AE53" s="272"/>
      <c r="AF53" s="272"/>
      <c r="AG53" s="272"/>
      <c r="AH53" s="272"/>
      <c r="AI53" s="272"/>
      <c r="AJ53" s="272"/>
      <c r="AK53" s="272"/>
      <c r="AL53" s="272"/>
      <c r="AM53" s="272"/>
      <c r="AN53" s="272"/>
      <c r="AO53" s="272"/>
      <c r="AP53" s="272"/>
      <c r="AQ53" s="272"/>
      <c r="AR53" s="272"/>
      <c r="AS53" s="272"/>
      <c r="AT53" s="272"/>
      <c r="AU53" s="272"/>
      <c r="AV53" s="272"/>
      <c r="AW53" s="272"/>
      <c r="AX53" s="272"/>
      <c r="AY53" s="272"/>
      <c r="AZ53" s="272"/>
      <c r="BA53" s="272"/>
      <c r="BB53" s="272"/>
      <c r="BC53" s="272"/>
      <c r="BD53" s="272"/>
      <c r="BE53" s="272"/>
      <c r="BF53" s="272"/>
      <c r="BG53" s="272"/>
      <c r="BH53" s="272"/>
      <c r="BI53" s="272"/>
      <c r="BJ53" s="272"/>
      <c r="BK53" s="272"/>
    </row>
    <row r="54" spans="1:63" ht="15">
      <c r="A54" s="272"/>
      <c r="B54" s="273"/>
      <c r="C54" s="274"/>
      <c r="D54" s="274"/>
      <c r="E54" s="274"/>
      <c r="F54" s="275"/>
      <c r="G54" s="275"/>
      <c r="H54" s="275"/>
      <c r="I54" s="275"/>
      <c r="J54" s="274"/>
      <c r="K54" s="275"/>
      <c r="L54" s="275"/>
      <c r="M54" s="275"/>
      <c r="N54" s="275"/>
      <c r="O54" s="275"/>
      <c r="P54" s="275"/>
      <c r="Q54" s="280"/>
      <c r="R54" s="272"/>
      <c r="S54" s="272"/>
      <c r="T54" s="272"/>
      <c r="U54" s="272"/>
      <c r="V54" s="272"/>
      <c r="W54" s="272"/>
      <c r="X54" s="272"/>
      <c r="Y54" s="272"/>
      <c r="Z54" s="272"/>
      <c r="AA54" s="272"/>
      <c r="AB54" s="272"/>
      <c r="AC54" s="272"/>
      <c r="AD54" s="272"/>
      <c r="AE54" s="272"/>
      <c r="AF54" s="272"/>
      <c r="AG54" s="272"/>
      <c r="AH54" s="272"/>
      <c r="AI54" s="272"/>
      <c r="AJ54" s="272"/>
      <c r="AK54" s="272"/>
      <c r="AL54" s="272"/>
      <c r="AM54" s="272"/>
      <c r="AN54" s="272"/>
      <c r="AO54" s="272"/>
      <c r="AP54" s="272"/>
      <c r="AQ54" s="272"/>
      <c r="AR54" s="272"/>
      <c r="AS54" s="272"/>
      <c r="AT54" s="272"/>
      <c r="AU54" s="272"/>
      <c r="AV54" s="272"/>
      <c r="AW54" s="272"/>
      <c r="AX54" s="272"/>
      <c r="AY54" s="272"/>
      <c r="AZ54" s="272"/>
      <c r="BA54" s="272"/>
      <c r="BB54" s="272"/>
      <c r="BC54" s="272"/>
      <c r="BD54" s="272"/>
      <c r="BE54" s="272"/>
      <c r="BF54" s="272"/>
      <c r="BG54" s="272"/>
      <c r="BH54" s="272"/>
      <c r="BI54" s="272"/>
      <c r="BJ54" s="272"/>
      <c r="BK54" s="272"/>
    </row>
    <row r="55" spans="1:63" ht="15">
      <c r="A55" s="272"/>
      <c r="B55" s="273"/>
      <c r="C55" s="274"/>
      <c r="D55" s="274"/>
      <c r="E55" s="274"/>
      <c r="F55" s="275"/>
      <c r="G55" s="275"/>
      <c r="H55" s="275"/>
      <c r="I55" s="275"/>
      <c r="J55" s="274"/>
      <c r="K55" s="275"/>
      <c r="L55" s="275"/>
      <c r="M55" s="275"/>
      <c r="N55" s="275"/>
      <c r="O55" s="275"/>
      <c r="P55" s="275"/>
      <c r="Q55" s="280"/>
      <c r="R55" s="272"/>
      <c r="S55" s="272"/>
      <c r="T55" s="272"/>
      <c r="U55" s="272"/>
      <c r="V55" s="272"/>
      <c r="W55" s="272"/>
      <c r="X55" s="272"/>
      <c r="Y55" s="272"/>
      <c r="Z55" s="272"/>
      <c r="AA55" s="272"/>
      <c r="AB55" s="272"/>
      <c r="AC55" s="272"/>
      <c r="AD55" s="272"/>
      <c r="AE55" s="272"/>
      <c r="AF55" s="272"/>
      <c r="AG55" s="272"/>
      <c r="AH55" s="272"/>
      <c r="AI55" s="272"/>
      <c r="AJ55" s="272"/>
      <c r="AK55" s="272"/>
      <c r="AL55" s="272"/>
      <c r="AM55" s="272"/>
      <c r="AN55" s="272"/>
      <c r="AO55" s="272"/>
      <c r="AP55" s="272"/>
      <c r="AQ55" s="272"/>
      <c r="AR55" s="272"/>
      <c r="AS55" s="272"/>
      <c r="AT55" s="272"/>
      <c r="AU55" s="272"/>
      <c r="AV55" s="272"/>
      <c r="AW55" s="272"/>
      <c r="AX55" s="272"/>
      <c r="AY55" s="272"/>
      <c r="AZ55" s="272"/>
      <c r="BA55" s="272"/>
      <c r="BB55" s="272"/>
      <c r="BC55" s="272"/>
      <c r="BD55" s="272"/>
      <c r="BE55" s="272"/>
      <c r="BF55" s="272"/>
      <c r="BG55" s="272"/>
      <c r="BH55" s="272"/>
      <c r="BI55" s="272"/>
      <c r="BJ55" s="272"/>
      <c r="BK55" s="272"/>
    </row>
  </sheetData>
  <mergeCells count="22">
    <mergeCell ref="AJ2:AR2"/>
    <mergeCell ref="K1:T1"/>
    <mergeCell ref="U1:Y1"/>
    <mergeCell ref="Z1:AD1"/>
    <mergeCell ref="AE1:AI1"/>
    <mergeCell ref="AJ1:AR1"/>
    <mergeCell ref="K3:T3"/>
    <mergeCell ref="U3:Y3"/>
    <mergeCell ref="Z3:AD3"/>
    <mergeCell ref="AE3:AR3"/>
    <mergeCell ref="A5:BK5"/>
    <mergeCell ref="AS2:AY3"/>
    <mergeCell ref="AZ2:BE3"/>
    <mergeCell ref="BF2:BK3"/>
    <mergeCell ref="A1:J3"/>
    <mergeCell ref="AS1:AY1"/>
    <mergeCell ref="AZ1:BE1"/>
    <mergeCell ref="BF1:BK1"/>
    <mergeCell ref="K2:T2"/>
    <mergeCell ref="U2:Y2"/>
    <mergeCell ref="Z2:AD2"/>
    <mergeCell ref="AE2:AI2"/>
  </mergeCells>
  <phoneticPr fontId="65"/>
  <pageMargins left="0.511811023622047" right="0.74803149606299202" top="0.70866141732283505" bottom="0.43307086614173201" header="0.511811023622047" footer="0.35433070866141703"/>
  <pageSetup paperSize="9" fitToHeight="0" orientation="landscape" r:id="rId1"/>
  <headerFooter alignWithMargins="0">
    <oddFooter>&amp;L&amp;"Meiryo UI"&amp;10MSBDP0090&amp;C&amp;"Meiryo UI,標準"&amp;10&amp;P&amp;R&amp;"Meiryo UI,標準"&amp;10(C)Toyo Business Engineering Corp.[Confidential]</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BL634"/>
  <sheetViews>
    <sheetView showGridLines="0" showZeros="0" view="pageBreakPreview" zoomScaleNormal="85" zoomScaleSheetLayoutView="100" workbookViewId="0">
      <pane ySplit="4" topLeftCell="A5" activePane="bottomLeft" state="frozenSplit"/>
      <selection pane="bottomLeft" sqref="A1:J3"/>
    </sheetView>
  </sheetViews>
  <sheetFormatPr defaultColWidth="2.08984375" defaultRowHeight="15.75" customHeight="1"/>
  <cols>
    <col min="1" max="2" width="2.08984375" style="168" customWidth="1"/>
    <col min="3" max="3" width="2.36328125" style="169" customWidth="1"/>
    <col min="4" max="4" width="2.08984375" style="169" customWidth="1"/>
    <col min="5" max="5" width="3" style="169" customWidth="1"/>
    <col min="6" max="9" width="2.08984375" style="168" customWidth="1"/>
    <col min="10" max="10" width="2.08984375" style="169" customWidth="1"/>
    <col min="11" max="16" width="2.08984375" style="168" customWidth="1"/>
    <col min="17" max="17" width="2.08984375" style="170" customWidth="1"/>
    <col min="18" max="62" width="2.08984375" style="168" customWidth="1"/>
    <col min="63" max="63" width="2.26953125" style="168" customWidth="1"/>
    <col min="64" max="16384" width="2.08984375" style="168"/>
  </cols>
  <sheetData>
    <row r="1" spans="1:63" s="163" customFormat="1" ht="15.75" customHeight="1">
      <c r="A1" s="961" t="str">
        <f ca="1">INDIRECT("表紙!$A$39")</f>
        <v>mcframe 7</v>
      </c>
      <c r="B1" s="962"/>
      <c r="C1" s="962"/>
      <c r="D1" s="962"/>
      <c r="E1" s="962"/>
      <c r="F1" s="962"/>
      <c r="G1" s="962"/>
      <c r="H1" s="962"/>
      <c r="I1" s="962"/>
      <c r="J1" s="963"/>
      <c r="K1" s="986" t="s">
        <v>45</v>
      </c>
      <c r="L1" s="987"/>
      <c r="M1" s="987"/>
      <c r="N1" s="987"/>
      <c r="O1" s="987"/>
      <c r="P1" s="987"/>
      <c r="Q1" s="987"/>
      <c r="R1" s="987"/>
      <c r="S1" s="987"/>
      <c r="T1" s="988"/>
      <c r="U1" s="1031" t="s">
        <v>46</v>
      </c>
      <c r="V1" s="1032"/>
      <c r="W1" s="1032"/>
      <c r="X1" s="1032"/>
      <c r="Y1" s="1033"/>
      <c r="Z1" s="1034" t="str">
        <f ca="1">INDIRECT("表紙!$Z$39")</f>
        <v>MS</v>
      </c>
      <c r="AA1" s="987"/>
      <c r="AB1" s="987"/>
      <c r="AC1" s="987"/>
      <c r="AD1" s="988"/>
      <c r="AE1" s="986" t="s">
        <v>48</v>
      </c>
      <c r="AF1" s="987"/>
      <c r="AG1" s="987"/>
      <c r="AH1" s="987"/>
      <c r="AI1" s="988"/>
      <c r="AJ1" s="1035" t="str">
        <f ca="1">INDIRECT("表紙!$AJ$39")</f>
        <v>SCM</v>
      </c>
      <c r="AK1" s="1032"/>
      <c r="AL1" s="1032"/>
      <c r="AM1" s="1032"/>
      <c r="AN1" s="1032"/>
      <c r="AO1" s="1032"/>
      <c r="AP1" s="1032"/>
      <c r="AQ1" s="1032"/>
      <c r="AR1" s="1033"/>
      <c r="AS1" s="1036" t="s">
        <v>5</v>
      </c>
      <c r="AT1" s="1036"/>
      <c r="AU1" s="1036"/>
      <c r="AV1" s="1036"/>
      <c r="AW1" s="1036"/>
      <c r="AX1" s="1036"/>
      <c r="AY1" s="1036"/>
      <c r="AZ1" s="971" t="s">
        <v>37</v>
      </c>
      <c r="BA1" s="972"/>
      <c r="BB1" s="972"/>
      <c r="BC1" s="972"/>
      <c r="BD1" s="972"/>
      <c r="BE1" s="973"/>
      <c r="BF1" s="971" t="s">
        <v>50</v>
      </c>
      <c r="BG1" s="972"/>
      <c r="BH1" s="972"/>
      <c r="BI1" s="972"/>
      <c r="BJ1" s="972"/>
      <c r="BK1" s="974"/>
    </row>
    <row r="2" spans="1:63" s="163" customFormat="1" ht="15.75" customHeight="1">
      <c r="A2" s="964"/>
      <c r="B2" s="965"/>
      <c r="C2" s="965"/>
      <c r="D2" s="965"/>
      <c r="E2" s="965"/>
      <c r="F2" s="965"/>
      <c r="G2" s="965"/>
      <c r="H2" s="965"/>
      <c r="I2" s="965"/>
      <c r="J2" s="966"/>
      <c r="K2" s="975" t="s">
        <v>42</v>
      </c>
      <c r="L2" s="950"/>
      <c r="M2" s="950"/>
      <c r="N2" s="950"/>
      <c r="O2" s="950"/>
      <c r="P2" s="950"/>
      <c r="Q2" s="950"/>
      <c r="R2" s="950"/>
      <c r="S2" s="950"/>
      <c r="T2" s="951"/>
      <c r="U2" s="1037" t="s">
        <v>51</v>
      </c>
      <c r="V2" s="1038"/>
      <c r="W2" s="1038"/>
      <c r="X2" s="1038"/>
      <c r="Y2" s="1039"/>
      <c r="Z2" s="1040" t="str">
        <f ca="1">INDIRECT("表紙!$Z$40")</f>
        <v>MSBD</v>
      </c>
      <c r="AA2" s="1041"/>
      <c r="AB2" s="1041"/>
      <c r="AC2" s="1041"/>
      <c r="AD2" s="1042"/>
      <c r="AE2" s="1043" t="s">
        <v>53</v>
      </c>
      <c r="AF2" s="1041"/>
      <c r="AG2" s="1041"/>
      <c r="AH2" s="1041"/>
      <c r="AI2" s="1042"/>
      <c r="AJ2" s="1044" t="str">
        <f ca="1">INDIRECT("表紙!$AJ$40")</f>
        <v>購買管理</v>
      </c>
      <c r="AK2" s="1045"/>
      <c r="AL2" s="1045"/>
      <c r="AM2" s="1045"/>
      <c r="AN2" s="1045"/>
      <c r="AO2" s="1045"/>
      <c r="AP2" s="1045"/>
      <c r="AQ2" s="1045"/>
      <c r="AR2" s="1046"/>
      <c r="AS2" s="947" t="str">
        <f>文書番号</f>
        <v>M7-US-1104</v>
      </c>
      <c r="AT2" s="947"/>
      <c r="AU2" s="947"/>
      <c r="AV2" s="947"/>
      <c r="AW2" s="947"/>
      <c r="AX2" s="947"/>
      <c r="AY2" s="947"/>
      <c r="AZ2" s="949" t="str">
        <f>Version</f>
        <v>7.0.1</v>
      </c>
      <c r="BA2" s="950"/>
      <c r="BB2" s="950"/>
      <c r="BC2" s="950"/>
      <c r="BD2" s="950"/>
      <c r="BE2" s="951"/>
      <c r="BF2" s="955">
        <f>Rev.</f>
        <v>0.04</v>
      </c>
      <c r="BG2" s="956"/>
      <c r="BH2" s="956"/>
      <c r="BI2" s="956"/>
      <c r="BJ2" s="956"/>
      <c r="BK2" s="957"/>
    </row>
    <row r="3" spans="1:63" s="163" customFormat="1" ht="15.75" customHeight="1" thickBot="1">
      <c r="A3" s="967"/>
      <c r="B3" s="968"/>
      <c r="C3" s="968"/>
      <c r="D3" s="968"/>
      <c r="E3" s="968"/>
      <c r="F3" s="968"/>
      <c r="G3" s="968"/>
      <c r="H3" s="968"/>
      <c r="I3" s="968"/>
      <c r="J3" s="969"/>
      <c r="K3" s="933" t="str">
        <f ca="1">RIGHT(CELL("filename",$A$1),LEN(CELL("filename",$A$1))-FIND("]",CELL("filename",$A$1)))</f>
        <v>項目説明（カスタマイズ）</v>
      </c>
      <c r="L3" s="934"/>
      <c r="M3" s="934"/>
      <c r="N3" s="934"/>
      <c r="O3" s="934"/>
      <c r="P3" s="934"/>
      <c r="Q3" s="934"/>
      <c r="R3" s="934"/>
      <c r="S3" s="934"/>
      <c r="T3" s="935"/>
      <c r="U3" s="1023" t="s">
        <v>56</v>
      </c>
      <c r="V3" s="1024"/>
      <c r="W3" s="1024"/>
      <c r="X3" s="1024"/>
      <c r="Y3" s="1025"/>
      <c r="Z3" s="1026" t="str">
        <f ca="1">INDIRECT("表紙!$Z$41")</f>
        <v>MSBDP0090</v>
      </c>
      <c r="AA3" s="1027"/>
      <c r="AB3" s="1027"/>
      <c r="AC3" s="1027"/>
      <c r="AD3" s="1027"/>
      <c r="AE3" s="1028" t="str">
        <f ca="1">INDIRECT("表紙!$AE$41")</f>
        <v>発注一覧登録</v>
      </c>
      <c r="AF3" s="1029"/>
      <c r="AG3" s="1029"/>
      <c r="AH3" s="1029"/>
      <c r="AI3" s="1029"/>
      <c r="AJ3" s="1029"/>
      <c r="AK3" s="1029"/>
      <c r="AL3" s="1029"/>
      <c r="AM3" s="1029"/>
      <c r="AN3" s="1029"/>
      <c r="AO3" s="1029"/>
      <c r="AP3" s="1029"/>
      <c r="AQ3" s="1029"/>
      <c r="AR3" s="1030"/>
      <c r="AS3" s="948"/>
      <c r="AT3" s="948"/>
      <c r="AU3" s="948"/>
      <c r="AV3" s="948"/>
      <c r="AW3" s="948"/>
      <c r="AX3" s="948"/>
      <c r="AY3" s="948"/>
      <c r="AZ3" s="952"/>
      <c r="BA3" s="953"/>
      <c r="BB3" s="953"/>
      <c r="BC3" s="953"/>
      <c r="BD3" s="953"/>
      <c r="BE3" s="954"/>
      <c r="BF3" s="958"/>
      <c r="BG3" s="959"/>
      <c r="BH3" s="959"/>
      <c r="BI3" s="959"/>
      <c r="BJ3" s="959"/>
      <c r="BK3" s="960"/>
    </row>
    <row r="4" spans="1:63" s="163" customFormat="1" ht="6.75" customHeight="1" thickBot="1">
      <c r="B4" s="171"/>
      <c r="C4" s="172"/>
      <c r="D4" s="172"/>
      <c r="E4" s="172"/>
      <c r="F4" s="173"/>
      <c r="G4" s="173"/>
      <c r="H4" s="173"/>
      <c r="I4" s="173"/>
      <c r="J4" s="172"/>
      <c r="K4" s="173"/>
      <c r="L4" s="173"/>
      <c r="M4" s="173"/>
      <c r="N4" s="173"/>
      <c r="O4" s="173"/>
      <c r="P4" s="173"/>
      <c r="Q4" s="198"/>
      <c r="R4" s="173"/>
      <c r="S4" s="173"/>
      <c r="T4" s="173"/>
      <c r="U4" s="173"/>
      <c r="V4" s="173"/>
      <c r="W4" s="173"/>
      <c r="X4" s="173"/>
      <c r="Y4" s="173"/>
      <c r="Z4" s="173"/>
      <c r="AA4" s="173"/>
      <c r="AB4" s="173"/>
      <c r="AC4" s="173"/>
      <c r="AD4" s="173"/>
      <c r="AE4" s="173"/>
      <c r="AF4" s="173"/>
      <c r="AG4" s="173"/>
      <c r="AH4" s="173"/>
      <c r="AI4" s="173"/>
      <c r="AJ4" s="173"/>
      <c r="AK4" s="173"/>
      <c r="AL4" s="173"/>
      <c r="AM4" s="173"/>
      <c r="AN4" s="173"/>
      <c r="AO4" s="173"/>
      <c r="AP4" s="173"/>
      <c r="AQ4" s="173"/>
      <c r="AR4" s="173"/>
      <c r="AS4" s="173"/>
      <c r="AT4" s="173"/>
      <c r="AU4" s="173"/>
      <c r="AV4" s="173"/>
      <c r="AW4" s="173"/>
      <c r="AX4" s="173"/>
      <c r="AY4" s="173"/>
      <c r="AZ4" s="173"/>
      <c r="BA4" s="173"/>
      <c r="BB4" s="173"/>
      <c r="BC4" s="173"/>
      <c r="BD4" s="173"/>
    </row>
    <row r="5" spans="1:63" s="164" customFormat="1" ht="15.75" customHeight="1">
      <c r="A5" s="174" t="s">
        <v>401</v>
      </c>
      <c r="B5" s="190"/>
      <c r="C5" s="176"/>
      <c r="D5" s="175" t="s">
        <v>402</v>
      </c>
      <c r="E5" s="176"/>
      <c r="F5" s="176"/>
      <c r="G5" s="176"/>
      <c r="H5" s="176"/>
      <c r="I5" s="176"/>
      <c r="J5" s="176"/>
      <c r="K5" s="176"/>
      <c r="L5" s="190"/>
      <c r="M5" s="176"/>
      <c r="N5" s="191" t="s">
        <v>403</v>
      </c>
      <c r="O5" s="176"/>
      <c r="P5" s="176"/>
      <c r="Q5" s="176"/>
      <c r="R5" s="176"/>
      <c r="S5" s="176"/>
      <c r="T5" s="176"/>
      <c r="U5" s="176"/>
      <c r="V5" s="176"/>
      <c r="W5" s="176"/>
      <c r="X5" s="176"/>
      <c r="Y5" s="176"/>
      <c r="Z5" s="176"/>
      <c r="AA5" s="176"/>
      <c r="AB5" s="176"/>
      <c r="AC5" s="176"/>
      <c r="AD5" s="176"/>
      <c r="AE5" s="176"/>
      <c r="AF5" s="176"/>
      <c r="AG5" s="176"/>
      <c r="AH5" s="176"/>
      <c r="AI5" s="176"/>
      <c r="AJ5" s="176"/>
      <c r="AK5" s="176"/>
      <c r="AL5" s="176"/>
      <c r="AM5" s="176"/>
      <c r="AN5" s="176"/>
      <c r="AO5" s="176"/>
      <c r="AP5" s="176"/>
      <c r="AQ5" s="176"/>
      <c r="AR5" s="176"/>
      <c r="AS5" s="176"/>
      <c r="AT5" s="176"/>
      <c r="AU5" s="176"/>
      <c r="AV5" s="176"/>
      <c r="AW5" s="176"/>
      <c r="AX5" s="176"/>
      <c r="AY5" s="176"/>
      <c r="AZ5" s="176"/>
      <c r="BA5" s="176"/>
      <c r="BB5" s="176"/>
      <c r="BC5" s="176"/>
      <c r="BD5" s="176"/>
      <c r="BE5" s="199" t="s">
        <v>404</v>
      </c>
      <c r="BF5" s="199" t="s">
        <v>405</v>
      </c>
      <c r="BG5" s="199" t="s">
        <v>406</v>
      </c>
      <c r="BH5" s="199" t="s">
        <v>407</v>
      </c>
      <c r="BI5" s="199" t="s">
        <v>408</v>
      </c>
      <c r="BJ5" s="199" t="s">
        <v>409</v>
      </c>
      <c r="BK5" s="200" t="s">
        <v>410</v>
      </c>
    </row>
    <row r="6" spans="1:63" s="164" customFormat="1" ht="15.75" customHeight="1">
      <c r="A6" s="180"/>
      <c r="B6" s="192"/>
      <c r="C6" s="250" t="s">
        <v>411</v>
      </c>
      <c r="D6" s="178" t="s">
        <v>159</v>
      </c>
      <c r="E6" s="179"/>
      <c r="F6" s="179"/>
      <c r="G6" s="179"/>
      <c r="H6" s="179"/>
      <c r="I6" s="179"/>
      <c r="J6" s="179"/>
      <c r="K6" s="179"/>
      <c r="L6" s="192"/>
      <c r="M6" s="999"/>
      <c r="N6" s="1000"/>
      <c r="O6" s="1000"/>
      <c r="P6" s="1000"/>
      <c r="Q6" s="1000"/>
      <c r="R6" s="1000"/>
      <c r="S6" s="1000"/>
      <c r="T6" s="1000"/>
      <c r="U6" s="1000"/>
      <c r="V6" s="1000"/>
      <c r="W6" s="1000"/>
      <c r="X6" s="1000"/>
      <c r="Y6" s="1000"/>
      <c r="Z6" s="1000"/>
      <c r="AA6" s="1000"/>
      <c r="AB6" s="1000"/>
      <c r="AC6" s="1000"/>
      <c r="AD6" s="1000"/>
      <c r="AE6" s="1000"/>
      <c r="AF6" s="1000"/>
      <c r="AG6" s="1000"/>
      <c r="AH6" s="1000"/>
      <c r="AI6" s="1000"/>
      <c r="AJ6" s="1000"/>
      <c r="AK6" s="1000"/>
      <c r="AL6" s="1000"/>
      <c r="AM6" s="1000"/>
      <c r="AN6" s="1000"/>
      <c r="AO6" s="1000"/>
      <c r="AP6" s="1000"/>
      <c r="AQ6" s="1000"/>
      <c r="AR6" s="1000"/>
      <c r="AS6" s="1000"/>
      <c r="AT6" s="1000"/>
      <c r="AU6" s="1000"/>
      <c r="AV6" s="1000"/>
      <c r="AW6" s="1000"/>
      <c r="AX6" s="1000"/>
      <c r="AY6" s="1000"/>
      <c r="AZ6" s="1000"/>
      <c r="BA6" s="1000"/>
      <c r="BB6" s="1000"/>
      <c r="BC6" s="1000"/>
      <c r="BD6" s="1000"/>
      <c r="BE6" s="201"/>
      <c r="BF6" s="202" t="s">
        <v>412</v>
      </c>
      <c r="BG6" s="201"/>
      <c r="BH6" s="201"/>
      <c r="BI6" s="201"/>
      <c r="BJ6" s="201"/>
      <c r="BK6" s="203"/>
    </row>
    <row r="7" spans="1:63" s="164" customFormat="1" ht="15.75" customHeight="1">
      <c r="A7" s="180"/>
      <c r="B7" s="192"/>
      <c r="C7" s="250" t="s">
        <v>411</v>
      </c>
      <c r="D7" s="178" t="s">
        <v>203</v>
      </c>
      <c r="E7" s="179"/>
      <c r="F7" s="179"/>
      <c r="G7" s="179"/>
      <c r="H7" s="179"/>
      <c r="I7" s="179"/>
      <c r="J7" s="179"/>
      <c r="K7" s="179"/>
      <c r="L7" s="192"/>
      <c r="M7" s="999"/>
      <c r="N7" s="1000"/>
      <c r="O7" s="1000"/>
      <c r="P7" s="1000"/>
      <c r="Q7" s="1000"/>
      <c r="R7" s="1000"/>
      <c r="S7" s="1000"/>
      <c r="T7" s="1000"/>
      <c r="U7" s="1000"/>
      <c r="V7" s="1000"/>
      <c r="W7" s="1000"/>
      <c r="X7" s="1000"/>
      <c r="Y7" s="1000"/>
      <c r="Z7" s="1000"/>
      <c r="AA7" s="1000"/>
      <c r="AB7" s="1000"/>
      <c r="AC7" s="1000"/>
      <c r="AD7" s="1000"/>
      <c r="AE7" s="1000"/>
      <c r="AF7" s="1000"/>
      <c r="AG7" s="1000"/>
      <c r="AH7" s="1000"/>
      <c r="AI7" s="1000"/>
      <c r="AJ7" s="1000"/>
      <c r="AK7" s="1000"/>
      <c r="AL7" s="1000"/>
      <c r="AM7" s="1000"/>
      <c r="AN7" s="1000"/>
      <c r="AO7" s="1000"/>
      <c r="AP7" s="1000"/>
      <c r="AQ7" s="1000"/>
      <c r="AR7" s="1000"/>
      <c r="AS7" s="1000"/>
      <c r="AT7" s="1000"/>
      <c r="AU7" s="1000"/>
      <c r="AV7" s="1000"/>
      <c r="AW7" s="1000"/>
      <c r="AX7" s="1000"/>
      <c r="AY7" s="1000"/>
      <c r="AZ7" s="1000"/>
      <c r="BA7" s="1000"/>
      <c r="BB7" s="1000"/>
      <c r="BC7" s="1000"/>
      <c r="BD7" s="1000"/>
      <c r="BE7" s="201"/>
      <c r="BF7" s="202" t="s">
        <v>412</v>
      </c>
      <c r="BG7" s="201"/>
      <c r="BH7" s="201"/>
      <c r="BI7" s="201"/>
      <c r="BJ7" s="201"/>
      <c r="BK7" s="203"/>
    </row>
    <row r="8" spans="1:63" s="164" customFormat="1" ht="15.75" customHeight="1">
      <c r="A8" s="180"/>
      <c r="B8" s="192"/>
      <c r="C8" s="250" t="s">
        <v>411</v>
      </c>
      <c r="D8" s="178" t="s">
        <v>167</v>
      </c>
      <c r="E8" s="179"/>
      <c r="F8" s="179"/>
      <c r="G8" s="179"/>
      <c r="H8" s="179"/>
      <c r="I8" s="179"/>
      <c r="J8" s="179"/>
      <c r="K8" s="179"/>
      <c r="L8" s="192"/>
      <c r="M8" s="999"/>
      <c r="N8" s="1000"/>
      <c r="O8" s="1000"/>
      <c r="P8" s="1000"/>
      <c r="Q8" s="1000"/>
      <c r="R8" s="1000"/>
      <c r="S8" s="1000"/>
      <c r="T8" s="1000"/>
      <c r="U8" s="1000"/>
      <c r="V8" s="1000"/>
      <c r="W8" s="1000"/>
      <c r="X8" s="1000"/>
      <c r="Y8" s="1000"/>
      <c r="Z8" s="1000"/>
      <c r="AA8" s="1000"/>
      <c r="AB8" s="1000"/>
      <c r="AC8" s="1000"/>
      <c r="AD8" s="1000"/>
      <c r="AE8" s="1000"/>
      <c r="AF8" s="1000"/>
      <c r="AG8" s="1000"/>
      <c r="AH8" s="1000"/>
      <c r="AI8" s="1000"/>
      <c r="AJ8" s="1000"/>
      <c r="AK8" s="1000"/>
      <c r="AL8" s="1000"/>
      <c r="AM8" s="1000"/>
      <c r="AN8" s="1000"/>
      <c r="AO8" s="1000"/>
      <c r="AP8" s="1000"/>
      <c r="AQ8" s="1000"/>
      <c r="AR8" s="1000"/>
      <c r="AS8" s="1000"/>
      <c r="AT8" s="1000"/>
      <c r="AU8" s="1000"/>
      <c r="AV8" s="1000"/>
      <c r="AW8" s="1000"/>
      <c r="AX8" s="1000"/>
      <c r="AY8" s="1000"/>
      <c r="AZ8" s="1000"/>
      <c r="BA8" s="1000"/>
      <c r="BB8" s="1000"/>
      <c r="BC8" s="1000"/>
      <c r="BD8" s="1000"/>
      <c r="BE8" s="201"/>
      <c r="BF8" s="202" t="s">
        <v>412</v>
      </c>
      <c r="BG8" s="201"/>
      <c r="BH8" s="201"/>
      <c r="BI8" s="201"/>
      <c r="BJ8" s="201"/>
      <c r="BK8" s="203"/>
    </row>
    <row r="9" spans="1:63" s="164" customFormat="1" ht="15.75" customHeight="1">
      <c r="A9" s="180"/>
      <c r="B9" s="192"/>
      <c r="C9" s="250" t="s">
        <v>411</v>
      </c>
      <c r="D9" s="178" t="s">
        <v>175</v>
      </c>
      <c r="E9" s="179"/>
      <c r="F9" s="179"/>
      <c r="G9" s="179"/>
      <c r="H9" s="179"/>
      <c r="I9" s="179"/>
      <c r="J9" s="179"/>
      <c r="K9" s="179"/>
      <c r="L9" s="192"/>
      <c r="M9" s="999"/>
      <c r="N9" s="1000"/>
      <c r="O9" s="1000"/>
      <c r="P9" s="1000"/>
      <c r="Q9" s="1000"/>
      <c r="R9" s="1000"/>
      <c r="S9" s="1000"/>
      <c r="T9" s="1000"/>
      <c r="U9" s="1000"/>
      <c r="V9" s="1000"/>
      <c r="W9" s="1000"/>
      <c r="X9" s="1000"/>
      <c r="Y9" s="1000"/>
      <c r="Z9" s="1000"/>
      <c r="AA9" s="1000"/>
      <c r="AB9" s="1000"/>
      <c r="AC9" s="1000"/>
      <c r="AD9" s="1000"/>
      <c r="AE9" s="1000"/>
      <c r="AF9" s="1000"/>
      <c r="AG9" s="1000"/>
      <c r="AH9" s="1000"/>
      <c r="AI9" s="1000"/>
      <c r="AJ9" s="1000"/>
      <c r="AK9" s="1000"/>
      <c r="AL9" s="1000"/>
      <c r="AM9" s="1000"/>
      <c r="AN9" s="1000"/>
      <c r="AO9" s="1000"/>
      <c r="AP9" s="1000"/>
      <c r="AQ9" s="1000"/>
      <c r="AR9" s="1000"/>
      <c r="AS9" s="1000"/>
      <c r="AT9" s="1000"/>
      <c r="AU9" s="1000"/>
      <c r="AV9" s="1000"/>
      <c r="AW9" s="1000"/>
      <c r="AX9" s="1000"/>
      <c r="AY9" s="1000"/>
      <c r="AZ9" s="1000"/>
      <c r="BA9" s="1000"/>
      <c r="BB9" s="1000"/>
      <c r="BC9" s="1000"/>
      <c r="BD9" s="1000"/>
      <c r="BE9" s="201"/>
      <c r="BF9" s="202" t="s">
        <v>412</v>
      </c>
      <c r="BG9" s="201"/>
      <c r="BH9" s="201"/>
      <c r="BI9" s="201"/>
      <c r="BJ9" s="201"/>
      <c r="BK9" s="203"/>
    </row>
    <row r="10" spans="1:63" s="164" customFormat="1" ht="15.75" customHeight="1">
      <c r="A10" s="180"/>
      <c r="B10" s="192"/>
      <c r="C10" s="250" t="s">
        <v>411</v>
      </c>
      <c r="D10" s="178" t="s">
        <v>201</v>
      </c>
      <c r="E10" s="179"/>
      <c r="F10" s="179"/>
      <c r="G10" s="179"/>
      <c r="H10" s="179"/>
      <c r="I10" s="179"/>
      <c r="J10" s="179"/>
      <c r="K10" s="179"/>
      <c r="L10" s="192"/>
      <c r="M10" s="999"/>
      <c r="N10" s="1000"/>
      <c r="O10" s="1000"/>
      <c r="P10" s="1000"/>
      <c r="Q10" s="1000"/>
      <c r="R10" s="1000"/>
      <c r="S10" s="1000"/>
      <c r="T10" s="1000"/>
      <c r="U10" s="1000"/>
      <c r="V10" s="1000"/>
      <c r="W10" s="1000"/>
      <c r="X10" s="1000"/>
      <c r="Y10" s="1000"/>
      <c r="Z10" s="1000"/>
      <c r="AA10" s="1000"/>
      <c r="AB10" s="1000"/>
      <c r="AC10" s="1000"/>
      <c r="AD10" s="1000"/>
      <c r="AE10" s="1000"/>
      <c r="AF10" s="1000"/>
      <c r="AG10" s="1000"/>
      <c r="AH10" s="1000"/>
      <c r="AI10" s="1000"/>
      <c r="AJ10" s="1000"/>
      <c r="AK10" s="1000"/>
      <c r="AL10" s="1000"/>
      <c r="AM10" s="1000"/>
      <c r="AN10" s="1000"/>
      <c r="AO10" s="1000"/>
      <c r="AP10" s="1000"/>
      <c r="AQ10" s="1000"/>
      <c r="AR10" s="1000"/>
      <c r="AS10" s="1000"/>
      <c r="AT10" s="1000"/>
      <c r="AU10" s="1000"/>
      <c r="AV10" s="1000"/>
      <c r="AW10" s="1000"/>
      <c r="AX10" s="1000"/>
      <c r="AY10" s="1000"/>
      <c r="AZ10" s="1000"/>
      <c r="BA10" s="1000"/>
      <c r="BB10" s="1000"/>
      <c r="BC10" s="1000"/>
      <c r="BD10" s="1000"/>
      <c r="BE10" s="201"/>
      <c r="BF10" s="202" t="s">
        <v>412</v>
      </c>
      <c r="BG10" s="201"/>
      <c r="BH10" s="201"/>
      <c r="BI10" s="201"/>
      <c r="BJ10" s="201"/>
      <c r="BK10" s="203"/>
    </row>
    <row r="11" spans="1:63" s="164" customFormat="1" ht="15.75" customHeight="1">
      <c r="A11" s="180"/>
      <c r="B11" s="192"/>
      <c r="C11" s="179"/>
      <c r="D11" s="181"/>
      <c r="E11" s="179"/>
      <c r="F11" s="179"/>
      <c r="G11" s="179"/>
      <c r="H11" s="179"/>
      <c r="I11" s="179"/>
      <c r="J11" s="179"/>
      <c r="K11" s="179"/>
      <c r="L11" s="192"/>
      <c r="M11" s="179"/>
      <c r="N11" s="179"/>
      <c r="O11" s="179"/>
      <c r="P11" s="179"/>
      <c r="Q11" s="179"/>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79"/>
      <c r="AO11" s="179"/>
      <c r="AP11" s="179"/>
      <c r="AQ11" s="179"/>
      <c r="AR11" s="179"/>
      <c r="AS11" s="179"/>
      <c r="AT11" s="179"/>
      <c r="AU11" s="179"/>
      <c r="AV11" s="179"/>
      <c r="AW11" s="179"/>
      <c r="AX11" s="179"/>
      <c r="AY11" s="179"/>
      <c r="AZ11" s="179"/>
      <c r="BA11" s="179"/>
      <c r="BB11" s="179"/>
      <c r="BC11" s="179"/>
      <c r="BD11" s="179"/>
      <c r="BE11" s="201"/>
      <c r="BF11" s="201"/>
      <c r="BG11" s="201"/>
      <c r="BH11" s="201"/>
      <c r="BI11" s="201"/>
      <c r="BJ11" s="201"/>
      <c r="BK11" s="203"/>
    </row>
    <row r="12" spans="1:63" s="164" customFormat="1" ht="15.75" customHeight="1">
      <c r="A12" s="174"/>
      <c r="B12" s="190"/>
      <c r="C12" s="176"/>
      <c r="D12" s="175" t="s">
        <v>413</v>
      </c>
      <c r="E12" s="176"/>
      <c r="F12" s="176"/>
      <c r="G12" s="176"/>
      <c r="H12" s="176"/>
      <c r="I12" s="176"/>
      <c r="J12" s="176"/>
      <c r="K12" s="176"/>
      <c r="L12" s="190"/>
      <c r="M12" s="176"/>
      <c r="N12" s="191" t="s">
        <v>403</v>
      </c>
      <c r="O12" s="176"/>
      <c r="P12" s="176"/>
      <c r="Q12" s="176"/>
      <c r="R12" s="176"/>
      <c r="S12" s="176"/>
      <c r="T12" s="176"/>
      <c r="U12" s="176"/>
      <c r="V12" s="176"/>
      <c r="W12" s="176"/>
      <c r="X12" s="176"/>
      <c r="Y12" s="176"/>
      <c r="Z12" s="176"/>
      <c r="AA12" s="176"/>
      <c r="AB12" s="176"/>
      <c r="AC12" s="176"/>
      <c r="AD12" s="176"/>
      <c r="AE12" s="176"/>
      <c r="AF12" s="176"/>
      <c r="AG12" s="176"/>
      <c r="AH12" s="176"/>
      <c r="AI12" s="176"/>
      <c r="AJ12" s="176"/>
      <c r="AK12" s="176"/>
      <c r="AL12" s="176"/>
      <c r="AM12" s="176"/>
      <c r="AN12" s="176"/>
      <c r="AO12" s="176"/>
      <c r="AP12" s="176"/>
      <c r="AQ12" s="176"/>
      <c r="AR12" s="176"/>
      <c r="AS12" s="176"/>
      <c r="AT12" s="176"/>
      <c r="AU12" s="176"/>
      <c r="AV12" s="176"/>
      <c r="AW12" s="176"/>
      <c r="AX12" s="176"/>
      <c r="AY12" s="176"/>
      <c r="AZ12" s="176"/>
      <c r="BA12" s="176"/>
      <c r="BB12" s="176"/>
      <c r="BC12" s="176"/>
      <c r="BD12" s="176"/>
      <c r="BE12" s="199" t="s">
        <v>404</v>
      </c>
      <c r="BF12" s="199" t="s">
        <v>405</v>
      </c>
      <c r="BG12" s="199" t="s">
        <v>406</v>
      </c>
      <c r="BH12" s="199" t="s">
        <v>407</v>
      </c>
      <c r="BI12" s="199" t="s">
        <v>408</v>
      </c>
      <c r="BJ12" s="199" t="s">
        <v>409</v>
      </c>
      <c r="BK12" s="200" t="s">
        <v>410</v>
      </c>
    </row>
    <row r="13" spans="1:63" s="164" customFormat="1" ht="15.75" customHeight="1">
      <c r="A13" s="180"/>
      <c r="B13" s="192"/>
      <c r="C13" s="250" t="s">
        <v>411</v>
      </c>
      <c r="D13" s="178" t="s">
        <v>414</v>
      </c>
      <c r="E13" s="179"/>
      <c r="F13" s="179"/>
      <c r="G13" s="179"/>
      <c r="H13" s="179"/>
      <c r="I13" s="179"/>
      <c r="J13" s="179"/>
      <c r="K13" s="179"/>
      <c r="L13" s="192"/>
      <c r="M13" s="999"/>
      <c r="N13" s="1000"/>
      <c r="O13" s="1000"/>
      <c r="P13" s="1000"/>
      <c r="Q13" s="1000"/>
      <c r="R13" s="1000"/>
      <c r="S13" s="1000"/>
      <c r="T13" s="1000"/>
      <c r="U13" s="1000"/>
      <c r="V13" s="1000"/>
      <c r="W13" s="1000"/>
      <c r="X13" s="1000"/>
      <c r="Y13" s="1000"/>
      <c r="Z13" s="1000"/>
      <c r="AA13" s="1000"/>
      <c r="AB13" s="1000"/>
      <c r="AC13" s="1000"/>
      <c r="AD13" s="1000"/>
      <c r="AE13" s="1000"/>
      <c r="AF13" s="1000"/>
      <c r="AG13" s="1000"/>
      <c r="AH13" s="1000"/>
      <c r="AI13" s="1000"/>
      <c r="AJ13" s="1000"/>
      <c r="AK13" s="1000"/>
      <c r="AL13" s="1000"/>
      <c r="AM13" s="1000"/>
      <c r="AN13" s="1000"/>
      <c r="AO13" s="1000"/>
      <c r="AP13" s="1000"/>
      <c r="AQ13" s="1000"/>
      <c r="AR13" s="1000"/>
      <c r="AS13" s="1000"/>
      <c r="AT13" s="1000"/>
      <c r="AU13" s="1000"/>
      <c r="AV13" s="1000"/>
      <c r="AW13" s="1000"/>
      <c r="AX13" s="1000"/>
      <c r="AY13" s="1000"/>
      <c r="AZ13" s="1000"/>
      <c r="BA13" s="1000"/>
      <c r="BB13" s="1000"/>
      <c r="BC13" s="1000"/>
      <c r="BD13" s="1000"/>
      <c r="BE13" s="201"/>
      <c r="BF13" s="202" t="s">
        <v>412</v>
      </c>
      <c r="BG13" s="201"/>
      <c r="BH13" s="201"/>
      <c r="BI13" s="201"/>
      <c r="BJ13" s="201"/>
      <c r="BK13" s="203"/>
    </row>
    <row r="14" spans="1:63" s="164" customFormat="1" ht="15.75" customHeight="1">
      <c r="A14" s="180"/>
      <c r="B14" s="192"/>
      <c r="C14" s="250" t="s">
        <v>411</v>
      </c>
      <c r="D14" s="178" t="s">
        <v>415</v>
      </c>
      <c r="E14" s="179"/>
      <c r="F14" s="179"/>
      <c r="G14" s="179"/>
      <c r="H14" s="179"/>
      <c r="I14" s="179"/>
      <c r="J14" s="179"/>
      <c r="K14" s="179"/>
      <c r="L14" s="192"/>
      <c r="M14" s="999"/>
      <c r="N14" s="1000"/>
      <c r="O14" s="1000"/>
      <c r="P14" s="1000"/>
      <c r="Q14" s="1000"/>
      <c r="R14" s="1000"/>
      <c r="S14" s="1000"/>
      <c r="T14" s="1000"/>
      <c r="U14" s="1000"/>
      <c r="V14" s="1000"/>
      <c r="W14" s="1000"/>
      <c r="X14" s="1000"/>
      <c r="Y14" s="1000"/>
      <c r="Z14" s="1000"/>
      <c r="AA14" s="1000"/>
      <c r="AB14" s="1000"/>
      <c r="AC14" s="1000"/>
      <c r="AD14" s="1000"/>
      <c r="AE14" s="1000"/>
      <c r="AF14" s="1000"/>
      <c r="AG14" s="1000"/>
      <c r="AH14" s="1000"/>
      <c r="AI14" s="1000"/>
      <c r="AJ14" s="1000"/>
      <c r="AK14" s="1000"/>
      <c r="AL14" s="1000"/>
      <c r="AM14" s="1000"/>
      <c r="AN14" s="1000"/>
      <c r="AO14" s="1000"/>
      <c r="AP14" s="1000"/>
      <c r="AQ14" s="1000"/>
      <c r="AR14" s="1000"/>
      <c r="AS14" s="1000"/>
      <c r="AT14" s="1000"/>
      <c r="AU14" s="1000"/>
      <c r="AV14" s="1000"/>
      <c r="AW14" s="1000"/>
      <c r="AX14" s="1000"/>
      <c r="AY14" s="1000"/>
      <c r="AZ14" s="1000"/>
      <c r="BA14" s="1000"/>
      <c r="BB14" s="1000"/>
      <c r="BC14" s="1000"/>
      <c r="BD14" s="1000"/>
      <c r="BE14" s="201"/>
      <c r="BF14" s="202" t="s">
        <v>412</v>
      </c>
      <c r="BG14" s="201"/>
      <c r="BH14" s="201"/>
      <c r="BI14" s="201"/>
      <c r="BJ14" s="201"/>
      <c r="BK14" s="203"/>
    </row>
    <row r="15" spans="1:63" s="164" customFormat="1" ht="15.75" customHeight="1">
      <c r="A15" s="180"/>
      <c r="B15" s="192"/>
      <c r="C15" s="179"/>
      <c r="D15" s="181"/>
      <c r="E15" s="179"/>
      <c r="F15" s="179"/>
      <c r="G15" s="179"/>
      <c r="H15" s="179"/>
      <c r="I15" s="179"/>
      <c r="J15" s="179"/>
      <c r="K15" s="179"/>
      <c r="L15" s="192"/>
      <c r="M15" s="179"/>
      <c r="N15" s="179"/>
      <c r="O15" s="179"/>
      <c r="P15" s="179"/>
      <c r="Q15" s="179"/>
      <c r="R15" s="179"/>
      <c r="S15" s="179"/>
      <c r="T15" s="179"/>
      <c r="U15" s="179"/>
      <c r="V15" s="179"/>
      <c r="W15" s="179"/>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201"/>
      <c r="BF15" s="201"/>
      <c r="BG15" s="201"/>
      <c r="BH15" s="201"/>
      <c r="BI15" s="201"/>
      <c r="BJ15" s="201"/>
      <c r="BK15" s="203"/>
    </row>
    <row r="16" spans="1:63" s="164" customFormat="1" ht="15.75" customHeight="1">
      <c r="A16" s="174"/>
      <c r="B16" s="190"/>
      <c r="C16" s="176"/>
      <c r="D16" s="175" t="s">
        <v>134</v>
      </c>
      <c r="E16" s="176"/>
      <c r="F16" s="176"/>
      <c r="G16" s="176"/>
      <c r="H16" s="176"/>
      <c r="I16" s="176"/>
      <c r="J16" s="176"/>
      <c r="K16" s="176"/>
      <c r="L16" s="190"/>
      <c r="M16" s="176"/>
      <c r="N16" s="191" t="s">
        <v>403</v>
      </c>
      <c r="O16" s="176"/>
      <c r="P16" s="176"/>
      <c r="Q16" s="176"/>
      <c r="R16" s="176"/>
      <c r="S16" s="176"/>
      <c r="T16" s="176"/>
      <c r="U16" s="176"/>
      <c r="V16" s="176"/>
      <c r="W16" s="176"/>
      <c r="X16" s="176"/>
      <c r="Y16" s="176"/>
      <c r="Z16" s="176"/>
      <c r="AA16" s="176"/>
      <c r="AB16" s="176"/>
      <c r="AC16" s="176"/>
      <c r="AD16" s="176"/>
      <c r="AE16" s="176"/>
      <c r="AF16" s="176"/>
      <c r="AG16" s="176"/>
      <c r="AH16" s="176"/>
      <c r="AI16" s="176"/>
      <c r="AJ16" s="176"/>
      <c r="AK16" s="176"/>
      <c r="AL16" s="176"/>
      <c r="AM16" s="176"/>
      <c r="AN16" s="176"/>
      <c r="AO16" s="176"/>
      <c r="AP16" s="176"/>
      <c r="AQ16" s="176"/>
      <c r="AR16" s="176"/>
      <c r="AS16" s="176"/>
      <c r="AT16" s="176"/>
      <c r="AU16" s="176"/>
      <c r="AV16" s="176"/>
      <c r="AW16" s="176"/>
      <c r="AX16" s="176"/>
      <c r="AY16" s="176"/>
      <c r="AZ16" s="176"/>
      <c r="BA16" s="176"/>
      <c r="BB16" s="176"/>
      <c r="BC16" s="176"/>
      <c r="BD16" s="176"/>
      <c r="BE16" s="199" t="s">
        <v>404</v>
      </c>
      <c r="BF16" s="199" t="s">
        <v>405</v>
      </c>
      <c r="BG16" s="199" t="s">
        <v>406</v>
      </c>
      <c r="BH16" s="199" t="s">
        <v>407</v>
      </c>
      <c r="BI16" s="199" t="s">
        <v>408</v>
      </c>
      <c r="BJ16" s="199" t="s">
        <v>409</v>
      </c>
      <c r="BK16" s="200" t="s">
        <v>410</v>
      </c>
    </row>
    <row r="17" spans="1:63" s="164" customFormat="1" ht="15.75" customHeight="1">
      <c r="A17" s="180"/>
      <c r="B17" s="192"/>
      <c r="C17" s="250" t="s">
        <v>416</v>
      </c>
      <c r="D17" s="178" t="s">
        <v>417</v>
      </c>
      <c r="E17" s="179"/>
      <c r="F17" s="179"/>
      <c r="G17" s="179"/>
      <c r="H17" s="179"/>
      <c r="I17" s="179"/>
      <c r="J17" s="179"/>
      <c r="K17" s="179"/>
      <c r="L17" s="192"/>
      <c r="M17" s="1016" t="s">
        <v>418</v>
      </c>
      <c r="N17" s="1000"/>
      <c r="O17" s="1000"/>
      <c r="P17" s="1000"/>
      <c r="Q17" s="1000"/>
      <c r="R17" s="1000"/>
      <c r="S17" s="1000"/>
      <c r="T17" s="1000"/>
      <c r="U17" s="1000"/>
      <c r="V17" s="1000"/>
      <c r="W17" s="1000"/>
      <c r="X17" s="1000"/>
      <c r="Y17" s="1000"/>
      <c r="Z17" s="1000"/>
      <c r="AA17" s="1000"/>
      <c r="AB17" s="1000"/>
      <c r="AC17" s="1000"/>
      <c r="AD17" s="1000"/>
      <c r="AE17" s="1000"/>
      <c r="AF17" s="1000"/>
      <c r="AG17" s="1000"/>
      <c r="AH17" s="1000"/>
      <c r="AI17" s="1000"/>
      <c r="AJ17" s="1000"/>
      <c r="AK17" s="1000"/>
      <c r="AL17" s="1000"/>
      <c r="AM17" s="1000"/>
      <c r="AN17" s="1000"/>
      <c r="AO17" s="1000"/>
      <c r="AP17" s="1000"/>
      <c r="AQ17" s="1000"/>
      <c r="AR17" s="1000"/>
      <c r="AS17" s="1000"/>
      <c r="AT17" s="1000"/>
      <c r="AU17" s="1000"/>
      <c r="AV17" s="1000"/>
      <c r="AW17" s="1000"/>
      <c r="AX17" s="1000"/>
      <c r="AY17" s="1000"/>
      <c r="AZ17" s="1000"/>
      <c r="BA17" s="1000"/>
      <c r="BB17" s="1000"/>
      <c r="BC17" s="1000"/>
      <c r="BD17" s="1000"/>
      <c r="BE17" s="201"/>
      <c r="BF17" s="202" t="s">
        <v>419</v>
      </c>
      <c r="BG17" s="201"/>
      <c r="BH17" s="201"/>
      <c r="BI17" s="201"/>
      <c r="BJ17" s="201"/>
      <c r="BK17" s="203"/>
    </row>
    <row r="18" spans="1:63" s="164" customFormat="1" ht="15.75" customHeight="1">
      <c r="A18" s="180"/>
      <c r="B18" s="192"/>
      <c r="C18" s="250" t="s">
        <v>416</v>
      </c>
      <c r="D18" s="178" t="s">
        <v>420</v>
      </c>
      <c r="E18" s="179"/>
      <c r="F18" s="179"/>
      <c r="G18" s="179"/>
      <c r="H18" s="179"/>
      <c r="I18" s="179"/>
      <c r="J18" s="179"/>
      <c r="K18" s="179"/>
      <c r="L18" s="192"/>
      <c r="M18" s="1016" t="s">
        <v>421</v>
      </c>
      <c r="N18" s="1000"/>
      <c r="O18" s="1000"/>
      <c r="P18" s="1000"/>
      <c r="Q18" s="1000"/>
      <c r="R18" s="1000"/>
      <c r="S18" s="1000"/>
      <c r="T18" s="1000"/>
      <c r="U18" s="1000"/>
      <c r="V18" s="1000"/>
      <c r="W18" s="1000"/>
      <c r="X18" s="1000"/>
      <c r="Y18" s="1000"/>
      <c r="Z18" s="1000"/>
      <c r="AA18" s="1000"/>
      <c r="AB18" s="1000"/>
      <c r="AC18" s="1000"/>
      <c r="AD18" s="1000"/>
      <c r="AE18" s="1000"/>
      <c r="AF18" s="1000"/>
      <c r="AG18" s="1000"/>
      <c r="AH18" s="1000"/>
      <c r="AI18" s="1000"/>
      <c r="AJ18" s="1000"/>
      <c r="AK18" s="1000"/>
      <c r="AL18" s="1000"/>
      <c r="AM18" s="1000"/>
      <c r="AN18" s="1000"/>
      <c r="AO18" s="1000"/>
      <c r="AP18" s="1000"/>
      <c r="AQ18" s="1000"/>
      <c r="AR18" s="1000"/>
      <c r="AS18" s="1000"/>
      <c r="AT18" s="1000"/>
      <c r="AU18" s="1000"/>
      <c r="AV18" s="1000"/>
      <c r="AW18" s="1000"/>
      <c r="AX18" s="1000"/>
      <c r="AY18" s="1000"/>
      <c r="AZ18" s="1000"/>
      <c r="BA18" s="1000"/>
      <c r="BB18" s="1000"/>
      <c r="BC18" s="1000"/>
      <c r="BD18" s="1000"/>
      <c r="BE18" s="201"/>
      <c r="BF18" s="202" t="s">
        <v>419</v>
      </c>
      <c r="BG18" s="201"/>
      <c r="BH18" s="201"/>
      <c r="BI18" s="201"/>
      <c r="BJ18" s="201"/>
      <c r="BK18" s="203"/>
    </row>
    <row r="19" spans="1:63" s="164" customFormat="1" ht="15.75" customHeight="1">
      <c r="A19" s="180"/>
      <c r="B19" s="192"/>
      <c r="C19" s="179"/>
      <c r="D19" s="181"/>
      <c r="E19" s="179"/>
      <c r="F19" s="179"/>
      <c r="G19" s="179"/>
      <c r="H19" s="179"/>
      <c r="I19" s="179"/>
      <c r="J19" s="179"/>
      <c r="K19" s="179"/>
      <c r="L19" s="192"/>
      <c r="M19" s="179"/>
      <c r="N19" s="179"/>
      <c r="O19" s="179"/>
      <c r="P19" s="179"/>
      <c r="Q19" s="179"/>
      <c r="R19" s="179"/>
      <c r="S19" s="179"/>
      <c r="T19" s="179"/>
      <c r="U19" s="179"/>
      <c r="V19" s="179"/>
      <c r="W19" s="179"/>
      <c r="X19" s="179"/>
      <c r="Y19" s="179"/>
      <c r="Z19" s="179"/>
      <c r="AA19" s="179"/>
      <c r="AB19" s="179"/>
      <c r="AC19" s="179"/>
      <c r="AD19" s="179"/>
      <c r="AE19" s="179"/>
      <c r="AF19" s="179"/>
      <c r="AG19" s="179"/>
      <c r="AH19" s="179"/>
      <c r="AI19" s="179"/>
      <c r="AJ19" s="179"/>
      <c r="AK19" s="179"/>
      <c r="AL19" s="179"/>
      <c r="AM19" s="179"/>
      <c r="AN19" s="179"/>
      <c r="AO19" s="179"/>
      <c r="AP19" s="179"/>
      <c r="AQ19" s="179"/>
      <c r="AR19" s="179"/>
      <c r="AS19" s="179"/>
      <c r="AT19" s="179"/>
      <c r="AU19" s="179"/>
      <c r="AV19" s="179"/>
      <c r="AW19" s="179"/>
      <c r="AX19" s="179"/>
      <c r="AY19" s="179"/>
      <c r="AZ19" s="179"/>
      <c r="BA19" s="179"/>
      <c r="BB19" s="179"/>
      <c r="BC19" s="179"/>
      <c r="BD19" s="179"/>
      <c r="BE19" s="201"/>
      <c r="BF19" s="201"/>
      <c r="BG19" s="201"/>
      <c r="BH19" s="201"/>
      <c r="BI19" s="201"/>
      <c r="BJ19" s="201"/>
      <c r="BK19" s="203"/>
    </row>
    <row r="20" spans="1:63" s="164" customFormat="1" ht="15.75" customHeight="1">
      <c r="A20" s="174"/>
      <c r="B20" s="190"/>
      <c r="C20" s="176"/>
      <c r="D20" s="175" t="s">
        <v>422</v>
      </c>
      <c r="E20" s="176"/>
      <c r="F20" s="176"/>
      <c r="G20" s="176"/>
      <c r="H20" s="176"/>
      <c r="I20" s="176"/>
      <c r="J20" s="176"/>
      <c r="K20" s="176"/>
      <c r="L20" s="190"/>
      <c r="M20" s="176"/>
      <c r="N20" s="191" t="s">
        <v>403</v>
      </c>
      <c r="O20" s="176"/>
      <c r="P20" s="176"/>
      <c r="Q20" s="176"/>
      <c r="R20" s="176"/>
      <c r="S20" s="176"/>
      <c r="T20" s="176"/>
      <c r="U20" s="176"/>
      <c r="V20" s="176"/>
      <c r="W20" s="176"/>
      <c r="X20" s="176"/>
      <c r="Y20" s="176"/>
      <c r="Z20" s="176"/>
      <c r="AA20" s="176"/>
      <c r="AB20" s="176"/>
      <c r="AC20" s="176"/>
      <c r="AD20" s="176"/>
      <c r="AE20" s="176"/>
      <c r="AF20" s="176"/>
      <c r="AG20" s="176"/>
      <c r="AH20" s="176"/>
      <c r="AI20" s="176"/>
      <c r="AJ20" s="176"/>
      <c r="AK20" s="176"/>
      <c r="AL20" s="176"/>
      <c r="AM20" s="176"/>
      <c r="AN20" s="176"/>
      <c r="AO20" s="176"/>
      <c r="AP20" s="176"/>
      <c r="AQ20" s="176"/>
      <c r="AR20" s="176"/>
      <c r="AS20" s="176"/>
      <c r="AT20" s="176"/>
      <c r="AU20" s="176"/>
      <c r="AV20" s="176"/>
      <c r="AW20" s="176"/>
      <c r="AX20" s="176"/>
      <c r="AY20" s="176"/>
      <c r="AZ20" s="176"/>
      <c r="BA20" s="176"/>
      <c r="BB20" s="176"/>
      <c r="BC20" s="176"/>
      <c r="BD20" s="176"/>
      <c r="BE20" s="199" t="s">
        <v>404</v>
      </c>
      <c r="BF20" s="199" t="s">
        <v>405</v>
      </c>
      <c r="BG20" s="199" t="s">
        <v>406</v>
      </c>
      <c r="BH20" s="199" t="s">
        <v>407</v>
      </c>
      <c r="BI20" s="199" t="s">
        <v>408</v>
      </c>
      <c r="BJ20" s="199" t="s">
        <v>409</v>
      </c>
      <c r="BK20" s="200" t="s">
        <v>410</v>
      </c>
    </row>
    <row r="21" spans="1:63" s="164" customFormat="1" ht="15.75" customHeight="1">
      <c r="A21" s="180"/>
      <c r="B21" s="192"/>
      <c r="C21" s="250" t="s">
        <v>416</v>
      </c>
      <c r="D21" s="178" t="s">
        <v>423</v>
      </c>
      <c r="E21" s="179"/>
      <c r="F21" s="179"/>
      <c r="G21" s="179"/>
      <c r="H21" s="179"/>
      <c r="I21" s="179"/>
      <c r="J21" s="179"/>
      <c r="K21" s="179"/>
      <c r="L21" s="192"/>
      <c r="M21" s="1016" t="s">
        <v>424</v>
      </c>
      <c r="N21" s="1000"/>
      <c r="O21" s="1000"/>
      <c r="P21" s="1000"/>
      <c r="Q21" s="1000"/>
      <c r="R21" s="1000"/>
      <c r="S21" s="1000"/>
      <c r="T21" s="1000"/>
      <c r="U21" s="1000"/>
      <c r="V21" s="1000"/>
      <c r="W21" s="1000"/>
      <c r="X21" s="1000"/>
      <c r="Y21" s="1000"/>
      <c r="Z21" s="1000"/>
      <c r="AA21" s="1000"/>
      <c r="AB21" s="1000"/>
      <c r="AC21" s="1000"/>
      <c r="AD21" s="1000"/>
      <c r="AE21" s="1000"/>
      <c r="AF21" s="1000"/>
      <c r="AG21" s="1000"/>
      <c r="AH21" s="1000"/>
      <c r="AI21" s="1000"/>
      <c r="AJ21" s="1000"/>
      <c r="AK21" s="1000"/>
      <c r="AL21" s="1000"/>
      <c r="AM21" s="1000"/>
      <c r="AN21" s="1000"/>
      <c r="AO21" s="1000"/>
      <c r="AP21" s="1000"/>
      <c r="AQ21" s="1000"/>
      <c r="AR21" s="1000"/>
      <c r="AS21" s="1000"/>
      <c r="AT21" s="1000"/>
      <c r="AU21" s="1000"/>
      <c r="AV21" s="1000"/>
      <c r="AW21" s="1000"/>
      <c r="AX21" s="1000"/>
      <c r="AY21" s="1000"/>
      <c r="AZ21" s="1000"/>
      <c r="BA21" s="1000"/>
      <c r="BB21" s="1000"/>
      <c r="BC21" s="1000"/>
      <c r="BD21" s="1000"/>
      <c r="BE21" s="201"/>
      <c r="BF21" s="202" t="s">
        <v>419</v>
      </c>
      <c r="BG21" s="201"/>
      <c r="BH21" s="201"/>
      <c r="BI21" s="201"/>
      <c r="BJ21" s="201"/>
      <c r="BK21" s="203"/>
    </row>
    <row r="22" spans="1:63" s="164" customFormat="1" ht="15.75" customHeight="1">
      <c r="A22" s="180"/>
      <c r="B22" s="192"/>
      <c r="C22" s="250" t="s">
        <v>416</v>
      </c>
      <c r="D22" s="178" t="s">
        <v>425</v>
      </c>
      <c r="E22" s="179"/>
      <c r="F22" s="179"/>
      <c r="G22" s="179"/>
      <c r="H22" s="179"/>
      <c r="I22" s="179"/>
      <c r="J22" s="179"/>
      <c r="K22" s="179"/>
      <c r="L22" s="192"/>
      <c r="M22" s="1016" t="s">
        <v>426</v>
      </c>
      <c r="N22" s="1000"/>
      <c r="O22" s="1000"/>
      <c r="P22" s="1000"/>
      <c r="Q22" s="1000"/>
      <c r="R22" s="1000"/>
      <c r="S22" s="1000"/>
      <c r="T22" s="1000"/>
      <c r="U22" s="1000"/>
      <c r="V22" s="1000"/>
      <c r="W22" s="1000"/>
      <c r="X22" s="1000"/>
      <c r="Y22" s="1000"/>
      <c r="Z22" s="1000"/>
      <c r="AA22" s="1000"/>
      <c r="AB22" s="1000"/>
      <c r="AC22" s="1000"/>
      <c r="AD22" s="1000"/>
      <c r="AE22" s="1000"/>
      <c r="AF22" s="1000"/>
      <c r="AG22" s="1000"/>
      <c r="AH22" s="1000"/>
      <c r="AI22" s="1000"/>
      <c r="AJ22" s="1000"/>
      <c r="AK22" s="1000"/>
      <c r="AL22" s="1000"/>
      <c r="AM22" s="1000"/>
      <c r="AN22" s="1000"/>
      <c r="AO22" s="1000"/>
      <c r="AP22" s="1000"/>
      <c r="AQ22" s="1000"/>
      <c r="AR22" s="1000"/>
      <c r="AS22" s="1000"/>
      <c r="AT22" s="1000"/>
      <c r="AU22" s="1000"/>
      <c r="AV22" s="1000"/>
      <c r="AW22" s="1000"/>
      <c r="AX22" s="1000"/>
      <c r="AY22" s="1000"/>
      <c r="AZ22" s="1000"/>
      <c r="BA22" s="1000"/>
      <c r="BB22" s="1000"/>
      <c r="BC22" s="1000"/>
      <c r="BD22" s="1000"/>
      <c r="BE22" s="201"/>
      <c r="BF22" s="202" t="s">
        <v>419</v>
      </c>
      <c r="BG22" s="201"/>
      <c r="BH22" s="201"/>
      <c r="BI22" s="201"/>
      <c r="BJ22" s="201"/>
      <c r="BK22" s="203"/>
    </row>
    <row r="23" spans="1:63" s="164" customFormat="1" ht="15.75" customHeight="1">
      <c r="A23" s="180"/>
      <c r="B23" s="192"/>
      <c r="C23" s="250" t="s">
        <v>416</v>
      </c>
      <c r="D23" s="178" t="s">
        <v>427</v>
      </c>
      <c r="E23" s="179"/>
      <c r="F23" s="179"/>
      <c r="G23" s="179"/>
      <c r="H23" s="179"/>
      <c r="I23" s="179"/>
      <c r="J23" s="179"/>
      <c r="K23" s="179"/>
      <c r="L23" s="192"/>
      <c r="M23" s="1016" t="s">
        <v>428</v>
      </c>
      <c r="N23" s="1000"/>
      <c r="O23" s="1000"/>
      <c r="P23" s="1000"/>
      <c r="Q23" s="1000"/>
      <c r="R23" s="1000"/>
      <c r="S23" s="1000"/>
      <c r="T23" s="1000"/>
      <c r="U23" s="1000"/>
      <c r="V23" s="1000"/>
      <c r="W23" s="1000"/>
      <c r="X23" s="1000"/>
      <c r="Y23" s="1000"/>
      <c r="Z23" s="1000"/>
      <c r="AA23" s="1000"/>
      <c r="AB23" s="1000"/>
      <c r="AC23" s="1000"/>
      <c r="AD23" s="1000"/>
      <c r="AE23" s="1000"/>
      <c r="AF23" s="1000"/>
      <c r="AG23" s="1000"/>
      <c r="AH23" s="1000"/>
      <c r="AI23" s="1000"/>
      <c r="AJ23" s="1000"/>
      <c r="AK23" s="1000"/>
      <c r="AL23" s="1000"/>
      <c r="AM23" s="1000"/>
      <c r="AN23" s="1000"/>
      <c r="AO23" s="1000"/>
      <c r="AP23" s="1000"/>
      <c r="AQ23" s="1000"/>
      <c r="AR23" s="1000"/>
      <c r="AS23" s="1000"/>
      <c r="AT23" s="1000"/>
      <c r="AU23" s="1000"/>
      <c r="AV23" s="1000"/>
      <c r="AW23" s="1000"/>
      <c r="AX23" s="1000"/>
      <c r="AY23" s="1000"/>
      <c r="AZ23" s="1000"/>
      <c r="BA23" s="1000"/>
      <c r="BB23" s="1000"/>
      <c r="BC23" s="1000"/>
      <c r="BD23" s="1000"/>
      <c r="BE23" s="201"/>
      <c r="BF23" s="202" t="s">
        <v>419</v>
      </c>
      <c r="BG23" s="201"/>
      <c r="BH23" s="201"/>
      <c r="BI23" s="201"/>
      <c r="BJ23" s="201"/>
      <c r="BK23" s="203"/>
    </row>
    <row r="24" spans="1:63" s="164" customFormat="1" ht="15.75" customHeight="1">
      <c r="A24" s="180"/>
      <c r="B24" s="192"/>
      <c r="C24" s="250" t="s">
        <v>416</v>
      </c>
      <c r="D24" s="178" t="s">
        <v>429</v>
      </c>
      <c r="E24" s="179"/>
      <c r="F24" s="179"/>
      <c r="G24" s="179"/>
      <c r="H24" s="179"/>
      <c r="I24" s="179"/>
      <c r="J24" s="179"/>
      <c r="K24" s="179"/>
      <c r="L24" s="192"/>
      <c r="M24" s="1016" t="s">
        <v>430</v>
      </c>
      <c r="N24" s="1000"/>
      <c r="O24" s="1000"/>
      <c r="P24" s="1000"/>
      <c r="Q24" s="1000"/>
      <c r="R24" s="1000"/>
      <c r="S24" s="1000"/>
      <c r="T24" s="1000"/>
      <c r="U24" s="1000"/>
      <c r="V24" s="1000"/>
      <c r="W24" s="1000"/>
      <c r="X24" s="1000"/>
      <c r="Y24" s="1000"/>
      <c r="Z24" s="1000"/>
      <c r="AA24" s="1000"/>
      <c r="AB24" s="1000"/>
      <c r="AC24" s="1000"/>
      <c r="AD24" s="1000"/>
      <c r="AE24" s="1000"/>
      <c r="AF24" s="1000"/>
      <c r="AG24" s="1000"/>
      <c r="AH24" s="1000"/>
      <c r="AI24" s="1000"/>
      <c r="AJ24" s="1000"/>
      <c r="AK24" s="1000"/>
      <c r="AL24" s="1000"/>
      <c r="AM24" s="1000"/>
      <c r="AN24" s="1000"/>
      <c r="AO24" s="1000"/>
      <c r="AP24" s="1000"/>
      <c r="AQ24" s="1000"/>
      <c r="AR24" s="1000"/>
      <c r="AS24" s="1000"/>
      <c r="AT24" s="1000"/>
      <c r="AU24" s="1000"/>
      <c r="AV24" s="1000"/>
      <c r="AW24" s="1000"/>
      <c r="AX24" s="1000"/>
      <c r="AY24" s="1000"/>
      <c r="AZ24" s="1000"/>
      <c r="BA24" s="1000"/>
      <c r="BB24" s="1000"/>
      <c r="BC24" s="1000"/>
      <c r="BD24" s="1000"/>
      <c r="BE24" s="201"/>
      <c r="BF24" s="202" t="s">
        <v>419</v>
      </c>
      <c r="BG24" s="201"/>
      <c r="BH24" s="201"/>
      <c r="BI24" s="201"/>
      <c r="BJ24" s="201"/>
      <c r="BK24" s="203"/>
    </row>
    <row r="25" spans="1:63" s="164" customFormat="1" ht="15.75" customHeight="1">
      <c r="A25" s="180"/>
      <c r="B25" s="192"/>
      <c r="C25" s="250" t="s">
        <v>416</v>
      </c>
      <c r="D25" s="178" t="s">
        <v>431</v>
      </c>
      <c r="E25" s="179"/>
      <c r="F25" s="179"/>
      <c r="G25" s="179"/>
      <c r="H25" s="179"/>
      <c r="I25" s="179"/>
      <c r="J25" s="179"/>
      <c r="K25" s="179"/>
      <c r="L25" s="192"/>
      <c r="M25" s="1016" t="s">
        <v>432</v>
      </c>
      <c r="N25" s="1000"/>
      <c r="O25" s="1000"/>
      <c r="P25" s="1000"/>
      <c r="Q25" s="1000"/>
      <c r="R25" s="1000"/>
      <c r="S25" s="1000"/>
      <c r="T25" s="1000"/>
      <c r="U25" s="1000"/>
      <c r="V25" s="1000"/>
      <c r="W25" s="1000"/>
      <c r="X25" s="1000"/>
      <c r="Y25" s="1000"/>
      <c r="Z25" s="1000"/>
      <c r="AA25" s="1000"/>
      <c r="AB25" s="1000"/>
      <c r="AC25" s="1000"/>
      <c r="AD25" s="1000"/>
      <c r="AE25" s="1000"/>
      <c r="AF25" s="1000"/>
      <c r="AG25" s="1000"/>
      <c r="AH25" s="1000"/>
      <c r="AI25" s="1000"/>
      <c r="AJ25" s="1000"/>
      <c r="AK25" s="1000"/>
      <c r="AL25" s="1000"/>
      <c r="AM25" s="1000"/>
      <c r="AN25" s="1000"/>
      <c r="AO25" s="1000"/>
      <c r="AP25" s="1000"/>
      <c r="AQ25" s="1000"/>
      <c r="AR25" s="1000"/>
      <c r="AS25" s="1000"/>
      <c r="AT25" s="1000"/>
      <c r="AU25" s="1000"/>
      <c r="AV25" s="1000"/>
      <c r="AW25" s="1000"/>
      <c r="AX25" s="1000"/>
      <c r="AY25" s="1000"/>
      <c r="AZ25" s="1000"/>
      <c r="BA25" s="1000"/>
      <c r="BB25" s="1000"/>
      <c r="BC25" s="1000"/>
      <c r="BD25" s="1000"/>
      <c r="BE25" s="201"/>
      <c r="BF25" s="202" t="s">
        <v>419</v>
      </c>
      <c r="BG25" s="201"/>
      <c r="BH25" s="201"/>
      <c r="BI25" s="201"/>
      <c r="BJ25" s="201"/>
      <c r="BK25" s="203"/>
    </row>
    <row r="26" spans="1:63" s="164" customFormat="1" ht="15.75" customHeight="1">
      <c r="A26" s="180"/>
      <c r="B26" s="192"/>
      <c r="C26" s="250" t="s">
        <v>416</v>
      </c>
      <c r="D26" s="178" t="s">
        <v>433</v>
      </c>
      <c r="E26" s="179"/>
      <c r="F26" s="179"/>
      <c r="G26" s="179"/>
      <c r="H26" s="179"/>
      <c r="I26" s="179"/>
      <c r="J26" s="179"/>
      <c r="K26" s="179"/>
      <c r="L26" s="192"/>
      <c r="M26" s="1016" t="s">
        <v>434</v>
      </c>
      <c r="N26" s="1000"/>
      <c r="O26" s="1000"/>
      <c r="P26" s="1000"/>
      <c r="Q26" s="1000"/>
      <c r="R26" s="1000"/>
      <c r="S26" s="1000"/>
      <c r="T26" s="1000"/>
      <c r="U26" s="1000"/>
      <c r="V26" s="1000"/>
      <c r="W26" s="1000"/>
      <c r="X26" s="1000"/>
      <c r="Y26" s="1000"/>
      <c r="Z26" s="1000"/>
      <c r="AA26" s="1000"/>
      <c r="AB26" s="1000"/>
      <c r="AC26" s="1000"/>
      <c r="AD26" s="1000"/>
      <c r="AE26" s="1000"/>
      <c r="AF26" s="1000"/>
      <c r="AG26" s="1000"/>
      <c r="AH26" s="1000"/>
      <c r="AI26" s="1000"/>
      <c r="AJ26" s="1000"/>
      <c r="AK26" s="1000"/>
      <c r="AL26" s="1000"/>
      <c r="AM26" s="1000"/>
      <c r="AN26" s="1000"/>
      <c r="AO26" s="1000"/>
      <c r="AP26" s="1000"/>
      <c r="AQ26" s="1000"/>
      <c r="AR26" s="1000"/>
      <c r="AS26" s="1000"/>
      <c r="AT26" s="1000"/>
      <c r="AU26" s="1000"/>
      <c r="AV26" s="1000"/>
      <c r="AW26" s="1000"/>
      <c r="AX26" s="1000"/>
      <c r="AY26" s="1000"/>
      <c r="AZ26" s="1000"/>
      <c r="BA26" s="1000"/>
      <c r="BB26" s="1000"/>
      <c r="BC26" s="1000"/>
      <c r="BD26" s="1000"/>
      <c r="BE26" s="201"/>
      <c r="BF26" s="202" t="s">
        <v>419</v>
      </c>
      <c r="BG26" s="201"/>
      <c r="BH26" s="201"/>
      <c r="BI26" s="201"/>
      <c r="BJ26" s="201"/>
      <c r="BK26" s="203"/>
    </row>
    <row r="27" spans="1:63" s="164" customFormat="1" ht="15.75" customHeight="1">
      <c r="A27" s="180"/>
      <c r="B27" s="192"/>
      <c r="C27" s="179"/>
      <c r="D27" s="181"/>
      <c r="E27" s="179"/>
      <c r="F27" s="179"/>
      <c r="G27" s="179"/>
      <c r="H27" s="179"/>
      <c r="I27" s="179"/>
      <c r="J27" s="179"/>
      <c r="K27" s="179"/>
      <c r="L27" s="192"/>
      <c r="M27" s="179"/>
      <c r="N27" s="179"/>
      <c r="O27" s="179"/>
      <c r="P27" s="179"/>
      <c r="Q27" s="179"/>
      <c r="R27" s="179"/>
      <c r="S27" s="179"/>
      <c r="T27" s="179"/>
      <c r="U27" s="179"/>
      <c r="V27" s="179"/>
      <c r="W27" s="179"/>
      <c r="X27" s="179"/>
      <c r="Y27" s="179"/>
      <c r="Z27" s="179"/>
      <c r="AA27" s="179"/>
      <c r="AB27" s="179"/>
      <c r="AC27" s="179"/>
      <c r="AD27" s="179"/>
      <c r="AE27" s="179"/>
      <c r="AF27" s="179"/>
      <c r="AG27" s="179"/>
      <c r="AH27" s="179"/>
      <c r="AI27" s="179"/>
      <c r="AJ27" s="179"/>
      <c r="AK27" s="179"/>
      <c r="AL27" s="179"/>
      <c r="AM27" s="179"/>
      <c r="AN27" s="179"/>
      <c r="AO27" s="179"/>
      <c r="AP27" s="179"/>
      <c r="AQ27" s="179"/>
      <c r="AR27" s="179"/>
      <c r="AS27" s="179"/>
      <c r="AT27" s="179"/>
      <c r="AU27" s="179"/>
      <c r="AV27" s="179"/>
      <c r="AW27" s="179"/>
      <c r="AX27" s="179"/>
      <c r="AY27" s="179"/>
      <c r="AZ27" s="179"/>
      <c r="BA27" s="179"/>
      <c r="BB27" s="179"/>
      <c r="BC27" s="179"/>
      <c r="BD27" s="179"/>
      <c r="BE27" s="201"/>
      <c r="BF27" s="201"/>
      <c r="BG27" s="201"/>
      <c r="BH27" s="201"/>
      <c r="BI27" s="201"/>
      <c r="BJ27" s="201"/>
      <c r="BK27" s="203"/>
    </row>
    <row r="28" spans="1:63" s="164" customFormat="1" ht="15.75" customHeight="1">
      <c r="A28" s="174"/>
      <c r="B28" s="190"/>
      <c r="C28" s="176"/>
      <c r="D28" s="175" t="s">
        <v>435</v>
      </c>
      <c r="E28" s="176"/>
      <c r="F28" s="176"/>
      <c r="G28" s="176"/>
      <c r="H28" s="176"/>
      <c r="I28" s="176"/>
      <c r="J28" s="176"/>
      <c r="K28" s="176"/>
      <c r="L28" s="190"/>
      <c r="M28" s="176"/>
      <c r="N28" s="191" t="s">
        <v>403</v>
      </c>
      <c r="O28" s="176"/>
      <c r="P28" s="176"/>
      <c r="Q28" s="176"/>
      <c r="R28" s="176"/>
      <c r="S28" s="176"/>
      <c r="T28" s="176"/>
      <c r="U28" s="176"/>
      <c r="V28" s="176"/>
      <c r="W28" s="176"/>
      <c r="X28" s="176"/>
      <c r="Y28" s="176"/>
      <c r="Z28" s="176"/>
      <c r="AA28" s="176"/>
      <c r="AB28" s="176"/>
      <c r="AC28" s="176"/>
      <c r="AD28" s="176"/>
      <c r="AE28" s="176"/>
      <c r="AF28" s="176"/>
      <c r="AG28" s="176"/>
      <c r="AH28" s="176"/>
      <c r="AI28" s="176"/>
      <c r="AJ28" s="176"/>
      <c r="AK28" s="176"/>
      <c r="AL28" s="176"/>
      <c r="AM28" s="176"/>
      <c r="AN28" s="176"/>
      <c r="AO28" s="176"/>
      <c r="AP28" s="176"/>
      <c r="AQ28" s="176"/>
      <c r="AR28" s="176"/>
      <c r="AS28" s="176"/>
      <c r="AT28" s="176"/>
      <c r="AU28" s="176"/>
      <c r="AV28" s="176"/>
      <c r="AW28" s="176"/>
      <c r="AX28" s="176"/>
      <c r="AY28" s="176"/>
      <c r="AZ28" s="176"/>
      <c r="BA28" s="176"/>
      <c r="BB28" s="176"/>
      <c r="BC28" s="176"/>
      <c r="BD28" s="176"/>
      <c r="BE28" s="199" t="s">
        <v>404</v>
      </c>
      <c r="BF28" s="199" t="s">
        <v>405</v>
      </c>
      <c r="BG28" s="199" t="s">
        <v>406</v>
      </c>
      <c r="BH28" s="199" t="s">
        <v>407</v>
      </c>
      <c r="BI28" s="199" t="s">
        <v>408</v>
      </c>
      <c r="BJ28" s="199" t="s">
        <v>409</v>
      </c>
      <c r="BK28" s="200" t="s">
        <v>410</v>
      </c>
    </row>
    <row r="29" spans="1:63" s="164" customFormat="1" ht="15.75" customHeight="1">
      <c r="A29" s="180"/>
      <c r="B29" s="192"/>
      <c r="C29" s="250" t="s">
        <v>416</v>
      </c>
      <c r="D29" s="178" t="s">
        <v>436</v>
      </c>
      <c r="E29" s="179"/>
      <c r="F29" s="179"/>
      <c r="G29" s="179"/>
      <c r="H29" s="179"/>
      <c r="I29" s="179"/>
      <c r="J29" s="179"/>
      <c r="K29" s="179"/>
      <c r="L29" s="192"/>
      <c r="M29" s="1016" t="s">
        <v>437</v>
      </c>
      <c r="N29" s="1000"/>
      <c r="O29" s="1000"/>
      <c r="P29" s="1000"/>
      <c r="Q29" s="1000"/>
      <c r="R29" s="1000"/>
      <c r="S29" s="1000"/>
      <c r="T29" s="1000"/>
      <c r="U29" s="1000"/>
      <c r="V29" s="1000"/>
      <c r="W29" s="1000"/>
      <c r="X29" s="1000"/>
      <c r="Y29" s="1000"/>
      <c r="Z29" s="1000"/>
      <c r="AA29" s="1000"/>
      <c r="AB29" s="1000"/>
      <c r="AC29" s="1000"/>
      <c r="AD29" s="1000"/>
      <c r="AE29" s="1000"/>
      <c r="AF29" s="1000"/>
      <c r="AG29" s="1000"/>
      <c r="AH29" s="1000"/>
      <c r="AI29" s="1000"/>
      <c r="AJ29" s="1000"/>
      <c r="AK29" s="1000"/>
      <c r="AL29" s="1000"/>
      <c r="AM29" s="1000"/>
      <c r="AN29" s="1000"/>
      <c r="AO29" s="1000"/>
      <c r="AP29" s="1000"/>
      <c r="AQ29" s="1000"/>
      <c r="AR29" s="1000"/>
      <c r="AS29" s="1000"/>
      <c r="AT29" s="1000"/>
      <c r="AU29" s="1000"/>
      <c r="AV29" s="1000"/>
      <c r="AW29" s="1000"/>
      <c r="AX29" s="1000"/>
      <c r="AY29" s="1000"/>
      <c r="AZ29" s="1000"/>
      <c r="BA29" s="1000"/>
      <c r="BB29" s="1000"/>
      <c r="BC29" s="1000"/>
      <c r="BD29" s="1000"/>
      <c r="BE29" s="201"/>
      <c r="BF29" s="202" t="s">
        <v>419</v>
      </c>
      <c r="BG29" s="201"/>
      <c r="BH29" s="201"/>
      <c r="BI29" s="201"/>
      <c r="BJ29" s="201"/>
      <c r="BK29" s="203"/>
    </row>
    <row r="30" spans="1:63" s="164" customFormat="1" ht="15.75" customHeight="1">
      <c r="A30" s="180"/>
      <c r="B30" s="192"/>
      <c r="C30" s="250" t="s">
        <v>416</v>
      </c>
      <c r="D30" s="178" t="s">
        <v>438</v>
      </c>
      <c r="E30" s="179"/>
      <c r="F30" s="179"/>
      <c r="G30" s="179"/>
      <c r="H30" s="179"/>
      <c r="I30" s="179"/>
      <c r="J30" s="179"/>
      <c r="K30" s="179"/>
      <c r="L30" s="192"/>
      <c r="M30" s="1016" t="s">
        <v>439</v>
      </c>
      <c r="N30" s="1000"/>
      <c r="O30" s="1000"/>
      <c r="P30" s="1000"/>
      <c r="Q30" s="1000"/>
      <c r="R30" s="1000"/>
      <c r="S30" s="1000"/>
      <c r="T30" s="1000"/>
      <c r="U30" s="1000"/>
      <c r="V30" s="1000"/>
      <c r="W30" s="1000"/>
      <c r="X30" s="1000"/>
      <c r="Y30" s="1000"/>
      <c r="Z30" s="1000"/>
      <c r="AA30" s="1000"/>
      <c r="AB30" s="1000"/>
      <c r="AC30" s="1000"/>
      <c r="AD30" s="1000"/>
      <c r="AE30" s="1000"/>
      <c r="AF30" s="1000"/>
      <c r="AG30" s="1000"/>
      <c r="AH30" s="1000"/>
      <c r="AI30" s="1000"/>
      <c r="AJ30" s="1000"/>
      <c r="AK30" s="1000"/>
      <c r="AL30" s="1000"/>
      <c r="AM30" s="1000"/>
      <c r="AN30" s="1000"/>
      <c r="AO30" s="1000"/>
      <c r="AP30" s="1000"/>
      <c r="AQ30" s="1000"/>
      <c r="AR30" s="1000"/>
      <c r="AS30" s="1000"/>
      <c r="AT30" s="1000"/>
      <c r="AU30" s="1000"/>
      <c r="AV30" s="1000"/>
      <c r="AW30" s="1000"/>
      <c r="AX30" s="1000"/>
      <c r="AY30" s="1000"/>
      <c r="AZ30" s="1000"/>
      <c r="BA30" s="1000"/>
      <c r="BB30" s="1000"/>
      <c r="BC30" s="1000"/>
      <c r="BD30" s="1000"/>
      <c r="BE30" s="201"/>
      <c r="BF30" s="202" t="s">
        <v>419</v>
      </c>
      <c r="BG30" s="201"/>
      <c r="BH30" s="201"/>
      <c r="BI30" s="201"/>
      <c r="BJ30" s="201"/>
      <c r="BK30" s="203"/>
    </row>
    <row r="31" spans="1:63" s="164" customFormat="1" ht="15.75" customHeight="1">
      <c r="A31" s="180"/>
      <c r="B31" s="192"/>
      <c r="C31" s="179"/>
      <c r="D31" s="181"/>
      <c r="E31" s="179"/>
      <c r="F31" s="179"/>
      <c r="G31" s="179"/>
      <c r="H31" s="179"/>
      <c r="I31" s="179"/>
      <c r="J31" s="179"/>
      <c r="K31" s="179"/>
      <c r="L31" s="192"/>
      <c r="M31" s="179"/>
      <c r="N31" s="179"/>
      <c r="O31" s="179"/>
      <c r="P31" s="179"/>
      <c r="Q31" s="179"/>
      <c r="R31" s="179"/>
      <c r="S31" s="179"/>
      <c r="T31" s="179"/>
      <c r="U31" s="179"/>
      <c r="V31" s="179"/>
      <c r="W31" s="179"/>
      <c r="X31" s="179"/>
      <c r="Y31" s="179"/>
      <c r="Z31" s="179"/>
      <c r="AA31" s="179"/>
      <c r="AB31" s="179"/>
      <c r="AC31" s="179"/>
      <c r="AD31" s="179"/>
      <c r="AE31" s="179"/>
      <c r="AF31" s="179"/>
      <c r="AG31" s="179"/>
      <c r="AH31" s="179"/>
      <c r="AI31" s="179"/>
      <c r="AJ31" s="179"/>
      <c r="AK31" s="179"/>
      <c r="AL31" s="179"/>
      <c r="AM31" s="179"/>
      <c r="AN31" s="179"/>
      <c r="AO31" s="179"/>
      <c r="AP31" s="179"/>
      <c r="AQ31" s="179"/>
      <c r="AR31" s="179"/>
      <c r="AS31" s="179"/>
      <c r="AT31" s="179"/>
      <c r="AU31" s="179"/>
      <c r="AV31" s="179"/>
      <c r="AW31" s="179"/>
      <c r="AX31" s="179"/>
      <c r="AY31" s="179"/>
      <c r="AZ31" s="179"/>
      <c r="BA31" s="179"/>
      <c r="BB31" s="179"/>
      <c r="BC31" s="179"/>
      <c r="BD31" s="179"/>
      <c r="BE31" s="201"/>
      <c r="BF31" s="201"/>
      <c r="BG31" s="201"/>
      <c r="BH31" s="201"/>
      <c r="BI31" s="201"/>
      <c r="BJ31" s="201"/>
      <c r="BK31" s="203"/>
    </row>
    <row r="32" spans="1:63" s="164" customFormat="1" ht="15.75" customHeight="1">
      <c r="A32" s="174"/>
      <c r="B32" s="190"/>
      <c r="C32" s="176"/>
      <c r="D32" s="175" t="s">
        <v>440</v>
      </c>
      <c r="E32" s="176"/>
      <c r="F32" s="176"/>
      <c r="G32" s="176"/>
      <c r="H32" s="176"/>
      <c r="I32" s="176"/>
      <c r="J32" s="176"/>
      <c r="K32" s="176"/>
      <c r="L32" s="190"/>
      <c r="M32" s="176"/>
      <c r="N32" s="191" t="s">
        <v>403</v>
      </c>
      <c r="O32" s="176"/>
      <c r="P32" s="176"/>
      <c r="Q32" s="176"/>
      <c r="R32" s="176"/>
      <c r="S32" s="176"/>
      <c r="T32" s="176"/>
      <c r="U32" s="176"/>
      <c r="V32" s="176"/>
      <c r="W32" s="176"/>
      <c r="X32" s="176"/>
      <c r="Y32" s="176"/>
      <c r="Z32" s="176"/>
      <c r="AA32" s="176"/>
      <c r="AB32" s="176"/>
      <c r="AC32" s="176"/>
      <c r="AD32" s="176"/>
      <c r="AE32" s="176"/>
      <c r="AF32" s="176"/>
      <c r="AG32" s="176"/>
      <c r="AH32" s="176"/>
      <c r="AI32" s="176"/>
      <c r="AJ32" s="176"/>
      <c r="AK32" s="176"/>
      <c r="AL32" s="176"/>
      <c r="AM32" s="176"/>
      <c r="AN32" s="176"/>
      <c r="AO32" s="176"/>
      <c r="AP32" s="176"/>
      <c r="AQ32" s="176"/>
      <c r="AR32" s="176"/>
      <c r="AS32" s="176"/>
      <c r="AT32" s="176"/>
      <c r="AU32" s="176"/>
      <c r="AV32" s="176"/>
      <c r="AW32" s="176"/>
      <c r="AX32" s="176"/>
      <c r="AY32" s="176"/>
      <c r="AZ32" s="176"/>
      <c r="BA32" s="176"/>
      <c r="BB32" s="176"/>
      <c r="BC32" s="176"/>
      <c r="BD32" s="176"/>
      <c r="BE32" s="199" t="s">
        <v>404</v>
      </c>
      <c r="BF32" s="199" t="s">
        <v>405</v>
      </c>
      <c r="BG32" s="199" t="s">
        <v>406</v>
      </c>
      <c r="BH32" s="199" t="s">
        <v>407</v>
      </c>
      <c r="BI32" s="199" t="s">
        <v>408</v>
      </c>
      <c r="BJ32" s="199" t="s">
        <v>409</v>
      </c>
      <c r="BK32" s="200" t="s">
        <v>410</v>
      </c>
    </row>
    <row r="33" spans="1:63" s="164" customFormat="1" ht="15.75" customHeight="1">
      <c r="A33" s="180"/>
      <c r="B33" s="192"/>
      <c r="C33" s="250" t="s">
        <v>416</v>
      </c>
      <c r="D33" s="178" t="s">
        <v>441</v>
      </c>
      <c r="E33" s="179"/>
      <c r="F33" s="179"/>
      <c r="G33" s="179"/>
      <c r="H33" s="179"/>
      <c r="I33" s="179"/>
      <c r="J33" s="179"/>
      <c r="K33" s="179"/>
      <c r="L33" s="192"/>
      <c r="M33" s="1016" t="s">
        <v>442</v>
      </c>
      <c r="N33" s="1000"/>
      <c r="O33" s="1000"/>
      <c r="P33" s="1000"/>
      <c r="Q33" s="1000"/>
      <c r="R33" s="1000"/>
      <c r="S33" s="1000"/>
      <c r="T33" s="1000"/>
      <c r="U33" s="1000"/>
      <c r="V33" s="1000"/>
      <c r="W33" s="1000"/>
      <c r="X33" s="1000"/>
      <c r="Y33" s="1000"/>
      <c r="Z33" s="1000"/>
      <c r="AA33" s="1000"/>
      <c r="AB33" s="1000"/>
      <c r="AC33" s="1000"/>
      <c r="AD33" s="1000"/>
      <c r="AE33" s="1000"/>
      <c r="AF33" s="1000"/>
      <c r="AG33" s="1000"/>
      <c r="AH33" s="1000"/>
      <c r="AI33" s="1000"/>
      <c r="AJ33" s="1000"/>
      <c r="AK33" s="1000"/>
      <c r="AL33" s="1000"/>
      <c r="AM33" s="1000"/>
      <c r="AN33" s="1000"/>
      <c r="AO33" s="1000"/>
      <c r="AP33" s="1000"/>
      <c r="AQ33" s="1000"/>
      <c r="AR33" s="1000"/>
      <c r="AS33" s="1000"/>
      <c r="AT33" s="1000"/>
      <c r="AU33" s="1000"/>
      <c r="AV33" s="1000"/>
      <c r="AW33" s="1000"/>
      <c r="AX33" s="1000"/>
      <c r="AY33" s="1000"/>
      <c r="AZ33" s="1000"/>
      <c r="BA33" s="1000"/>
      <c r="BB33" s="1000"/>
      <c r="BC33" s="1000"/>
      <c r="BD33" s="1000"/>
      <c r="BE33" s="201"/>
      <c r="BF33" s="202" t="s">
        <v>419</v>
      </c>
      <c r="BG33" s="201"/>
      <c r="BH33" s="201"/>
      <c r="BI33" s="201"/>
      <c r="BJ33" s="201"/>
      <c r="BK33" s="203"/>
    </row>
    <row r="34" spans="1:63" s="164" customFormat="1" ht="15.75" customHeight="1">
      <c r="A34" s="185"/>
      <c r="B34" s="193"/>
      <c r="C34" s="251" t="s">
        <v>416</v>
      </c>
      <c r="D34" s="183" t="s">
        <v>433</v>
      </c>
      <c r="E34" s="184"/>
      <c r="F34" s="184"/>
      <c r="G34" s="184"/>
      <c r="H34" s="184"/>
      <c r="I34" s="184"/>
      <c r="J34" s="184"/>
      <c r="K34" s="184"/>
      <c r="L34" s="193"/>
      <c r="M34" s="1001" t="s">
        <v>443</v>
      </c>
      <c r="N34" s="1002"/>
      <c r="O34" s="1002"/>
      <c r="P34" s="1002"/>
      <c r="Q34" s="1002"/>
      <c r="R34" s="1002"/>
      <c r="S34" s="1002"/>
      <c r="T34" s="1002"/>
      <c r="U34" s="1002"/>
      <c r="V34" s="1002"/>
      <c r="W34" s="1002"/>
      <c r="X34" s="1002"/>
      <c r="Y34" s="1002"/>
      <c r="Z34" s="1002"/>
      <c r="AA34" s="1002"/>
      <c r="AB34" s="1002"/>
      <c r="AC34" s="1002"/>
      <c r="AD34" s="1002"/>
      <c r="AE34" s="1002"/>
      <c r="AF34" s="1002"/>
      <c r="AG34" s="1002"/>
      <c r="AH34" s="1002"/>
      <c r="AI34" s="1002"/>
      <c r="AJ34" s="1002"/>
      <c r="AK34" s="1002"/>
      <c r="AL34" s="1002"/>
      <c r="AM34" s="1002"/>
      <c r="AN34" s="1002"/>
      <c r="AO34" s="1002"/>
      <c r="AP34" s="1002"/>
      <c r="AQ34" s="1002"/>
      <c r="AR34" s="1002"/>
      <c r="AS34" s="1002"/>
      <c r="AT34" s="1002"/>
      <c r="AU34" s="1002"/>
      <c r="AV34" s="1002"/>
      <c r="AW34" s="1002"/>
      <c r="AX34" s="1002"/>
      <c r="AY34" s="1002"/>
      <c r="AZ34" s="1002"/>
      <c r="BA34" s="1002"/>
      <c r="BB34" s="1002"/>
      <c r="BC34" s="1002"/>
      <c r="BD34" s="1002"/>
      <c r="BE34" s="204"/>
      <c r="BF34" s="205" t="s">
        <v>419</v>
      </c>
      <c r="BG34" s="204"/>
      <c r="BH34" s="204"/>
      <c r="BI34" s="204"/>
      <c r="BJ34" s="204"/>
      <c r="BK34" s="206"/>
    </row>
    <row r="35" spans="1:63" s="164" customFormat="1" ht="15.75" customHeight="1">
      <c r="A35" s="185"/>
      <c r="B35" s="193"/>
      <c r="C35" s="184"/>
      <c r="D35" s="186"/>
      <c r="E35" s="184"/>
      <c r="F35" s="184"/>
      <c r="G35" s="184"/>
      <c r="H35" s="184"/>
      <c r="I35" s="184"/>
      <c r="J35" s="184"/>
      <c r="K35" s="184"/>
      <c r="L35" s="193"/>
      <c r="M35" s="184"/>
      <c r="N35" s="184"/>
      <c r="O35" s="184"/>
      <c r="P35" s="184"/>
      <c r="Q35" s="184"/>
      <c r="R35" s="184"/>
      <c r="S35" s="184"/>
      <c r="T35" s="184"/>
      <c r="U35" s="184"/>
      <c r="V35" s="184"/>
      <c r="W35" s="184"/>
      <c r="X35" s="184"/>
      <c r="Y35" s="184"/>
      <c r="Z35" s="184"/>
      <c r="AA35" s="184"/>
      <c r="AB35" s="184"/>
      <c r="AC35" s="184"/>
      <c r="AD35" s="184"/>
      <c r="AE35" s="184"/>
      <c r="AF35" s="184"/>
      <c r="AG35" s="184"/>
      <c r="AH35" s="184"/>
      <c r="AI35" s="184"/>
      <c r="AJ35" s="184"/>
      <c r="AK35" s="184"/>
      <c r="AL35" s="184"/>
      <c r="AM35" s="184"/>
      <c r="AN35" s="184"/>
      <c r="AO35" s="184"/>
      <c r="AP35" s="184"/>
      <c r="AQ35" s="184"/>
      <c r="AR35" s="184"/>
      <c r="AS35" s="184"/>
      <c r="AT35" s="184"/>
      <c r="AU35" s="184"/>
      <c r="AV35" s="184"/>
      <c r="AW35" s="184"/>
      <c r="AX35" s="184"/>
      <c r="AY35" s="184"/>
      <c r="AZ35" s="184"/>
      <c r="BA35" s="184"/>
      <c r="BB35" s="184"/>
      <c r="BC35" s="184"/>
      <c r="BD35" s="184"/>
      <c r="BE35" s="204"/>
      <c r="BF35" s="204"/>
      <c r="BG35" s="204"/>
      <c r="BH35" s="204"/>
      <c r="BI35" s="204"/>
      <c r="BJ35" s="204"/>
      <c r="BK35" s="206"/>
    </row>
    <row r="36" spans="1:63" s="164" customFormat="1" ht="15.75" customHeight="1">
      <c r="A36" s="174"/>
      <c r="B36" s="190"/>
      <c r="C36" s="176"/>
      <c r="D36" s="175" t="s">
        <v>444</v>
      </c>
      <c r="E36" s="176"/>
      <c r="F36" s="176"/>
      <c r="G36" s="176"/>
      <c r="H36" s="176"/>
      <c r="I36" s="176"/>
      <c r="J36" s="176"/>
      <c r="K36" s="176"/>
      <c r="L36" s="190"/>
      <c r="M36" s="176"/>
      <c r="N36" s="191" t="s">
        <v>403</v>
      </c>
      <c r="O36" s="176"/>
      <c r="P36" s="176"/>
      <c r="Q36" s="176"/>
      <c r="R36" s="176"/>
      <c r="S36" s="176"/>
      <c r="T36" s="176"/>
      <c r="U36" s="176"/>
      <c r="V36" s="176"/>
      <c r="W36" s="176"/>
      <c r="X36" s="176"/>
      <c r="Y36" s="176"/>
      <c r="Z36" s="176"/>
      <c r="AA36" s="176"/>
      <c r="AB36" s="176"/>
      <c r="AC36" s="176"/>
      <c r="AD36" s="176"/>
      <c r="AE36" s="176"/>
      <c r="AF36" s="176"/>
      <c r="AG36" s="176"/>
      <c r="AH36" s="176"/>
      <c r="AI36" s="176"/>
      <c r="AJ36" s="176"/>
      <c r="AK36" s="176"/>
      <c r="AL36" s="176"/>
      <c r="AM36" s="176"/>
      <c r="AN36" s="176"/>
      <c r="AO36" s="176"/>
      <c r="AP36" s="176"/>
      <c r="AQ36" s="176"/>
      <c r="AR36" s="176"/>
      <c r="AS36" s="176"/>
      <c r="AT36" s="176"/>
      <c r="AU36" s="176"/>
      <c r="AV36" s="176"/>
      <c r="AW36" s="176"/>
      <c r="AX36" s="176"/>
      <c r="AY36" s="176"/>
      <c r="AZ36" s="176"/>
      <c r="BA36" s="176"/>
      <c r="BB36" s="176"/>
      <c r="BC36" s="176"/>
      <c r="BD36" s="176"/>
      <c r="BE36" s="199" t="s">
        <v>404</v>
      </c>
      <c r="BF36" s="199" t="s">
        <v>405</v>
      </c>
      <c r="BG36" s="199" t="s">
        <v>406</v>
      </c>
      <c r="BH36" s="199" t="s">
        <v>407</v>
      </c>
      <c r="BI36" s="199" t="s">
        <v>408</v>
      </c>
      <c r="BJ36" s="199" t="s">
        <v>409</v>
      </c>
      <c r="BK36" s="200" t="s">
        <v>410</v>
      </c>
    </row>
    <row r="37" spans="1:63" s="164" customFormat="1" ht="66.75" customHeight="1">
      <c r="A37" s="180"/>
      <c r="B37" s="192"/>
      <c r="C37" s="250" t="s">
        <v>416</v>
      </c>
      <c r="D37" s="178" t="s">
        <v>441</v>
      </c>
      <c r="E37" s="179"/>
      <c r="F37" s="179"/>
      <c r="G37" s="179"/>
      <c r="H37" s="179"/>
      <c r="I37" s="179"/>
      <c r="J37" s="179"/>
      <c r="K37" s="179"/>
      <c r="L37" s="192"/>
      <c r="M37" s="1016" t="s">
        <v>445</v>
      </c>
      <c r="N37" s="1000"/>
      <c r="O37" s="1000"/>
      <c r="P37" s="1000"/>
      <c r="Q37" s="1000"/>
      <c r="R37" s="1000"/>
      <c r="S37" s="1000"/>
      <c r="T37" s="1000"/>
      <c r="U37" s="1000"/>
      <c r="V37" s="1000"/>
      <c r="W37" s="1000"/>
      <c r="X37" s="1000"/>
      <c r="Y37" s="1000"/>
      <c r="Z37" s="1000"/>
      <c r="AA37" s="1000"/>
      <c r="AB37" s="1000"/>
      <c r="AC37" s="1000"/>
      <c r="AD37" s="1000"/>
      <c r="AE37" s="1000"/>
      <c r="AF37" s="1000"/>
      <c r="AG37" s="1000"/>
      <c r="AH37" s="1000"/>
      <c r="AI37" s="1000"/>
      <c r="AJ37" s="1000"/>
      <c r="AK37" s="1000"/>
      <c r="AL37" s="1000"/>
      <c r="AM37" s="1000"/>
      <c r="AN37" s="1000"/>
      <c r="AO37" s="1000"/>
      <c r="AP37" s="1000"/>
      <c r="AQ37" s="1000"/>
      <c r="AR37" s="1000"/>
      <c r="AS37" s="1000"/>
      <c r="AT37" s="1000"/>
      <c r="AU37" s="1000"/>
      <c r="AV37" s="1000"/>
      <c r="AW37" s="1000"/>
      <c r="AX37" s="1000"/>
      <c r="AY37" s="1000"/>
      <c r="AZ37" s="1000"/>
      <c r="BA37" s="1000"/>
      <c r="BB37" s="1000"/>
      <c r="BC37" s="1000"/>
      <c r="BD37" s="1000"/>
      <c r="BE37" s="201"/>
      <c r="BF37" s="202" t="s">
        <v>419</v>
      </c>
      <c r="BG37" s="201"/>
      <c r="BH37" s="201"/>
      <c r="BI37" s="201"/>
      <c r="BJ37" s="201"/>
      <c r="BK37" s="203"/>
    </row>
    <row r="38" spans="1:63" s="164" customFormat="1" ht="66.75" customHeight="1">
      <c r="A38" s="185"/>
      <c r="B38" s="193"/>
      <c r="C38" s="251" t="s">
        <v>416</v>
      </c>
      <c r="D38" s="183" t="s">
        <v>433</v>
      </c>
      <c r="E38" s="184"/>
      <c r="F38" s="184"/>
      <c r="G38" s="184"/>
      <c r="H38" s="184"/>
      <c r="I38" s="184"/>
      <c r="J38" s="184"/>
      <c r="K38" s="184"/>
      <c r="L38" s="193"/>
      <c r="M38" s="1016" t="s">
        <v>446</v>
      </c>
      <c r="N38" s="1000"/>
      <c r="O38" s="1000"/>
      <c r="P38" s="1000"/>
      <c r="Q38" s="1000"/>
      <c r="R38" s="1000"/>
      <c r="S38" s="1000"/>
      <c r="T38" s="1000"/>
      <c r="U38" s="1000"/>
      <c r="V38" s="1000"/>
      <c r="W38" s="1000"/>
      <c r="X38" s="1000"/>
      <c r="Y38" s="1000"/>
      <c r="Z38" s="1000"/>
      <c r="AA38" s="1000"/>
      <c r="AB38" s="1000"/>
      <c r="AC38" s="1000"/>
      <c r="AD38" s="1000"/>
      <c r="AE38" s="1000"/>
      <c r="AF38" s="1000"/>
      <c r="AG38" s="1000"/>
      <c r="AH38" s="1000"/>
      <c r="AI38" s="1000"/>
      <c r="AJ38" s="1000"/>
      <c r="AK38" s="1000"/>
      <c r="AL38" s="1000"/>
      <c r="AM38" s="1000"/>
      <c r="AN38" s="1000"/>
      <c r="AO38" s="1000"/>
      <c r="AP38" s="1000"/>
      <c r="AQ38" s="1000"/>
      <c r="AR38" s="1000"/>
      <c r="AS38" s="1000"/>
      <c r="AT38" s="1000"/>
      <c r="AU38" s="1000"/>
      <c r="AV38" s="1000"/>
      <c r="AW38" s="1000"/>
      <c r="AX38" s="1000"/>
      <c r="AY38" s="1000"/>
      <c r="AZ38" s="1000"/>
      <c r="BA38" s="1000"/>
      <c r="BB38" s="1000"/>
      <c r="BC38" s="1000"/>
      <c r="BD38" s="1000"/>
      <c r="BE38" s="204"/>
      <c r="BF38" s="205" t="s">
        <v>419</v>
      </c>
      <c r="BG38" s="204"/>
      <c r="BH38" s="204"/>
      <c r="BI38" s="204"/>
      <c r="BJ38" s="204"/>
      <c r="BK38" s="206"/>
    </row>
    <row r="39" spans="1:63" s="164" customFormat="1" ht="15.75" customHeight="1">
      <c r="A39" s="185"/>
      <c r="B39" s="193"/>
      <c r="C39" s="184"/>
      <c r="D39" s="186"/>
      <c r="E39" s="184"/>
      <c r="F39" s="184"/>
      <c r="G39" s="184"/>
      <c r="H39" s="184"/>
      <c r="I39" s="184"/>
      <c r="J39" s="184"/>
      <c r="K39" s="184"/>
      <c r="L39" s="193"/>
      <c r="M39" s="184"/>
      <c r="N39" s="184"/>
      <c r="O39" s="184"/>
      <c r="P39" s="184"/>
      <c r="Q39" s="184"/>
      <c r="R39" s="184"/>
      <c r="S39" s="184"/>
      <c r="T39" s="184"/>
      <c r="U39" s="184"/>
      <c r="V39" s="184"/>
      <c r="W39" s="184"/>
      <c r="X39" s="184"/>
      <c r="Y39" s="184"/>
      <c r="Z39" s="184"/>
      <c r="AA39" s="184"/>
      <c r="AB39" s="184"/>
      <c r="AC39" s="184"/>
      <c r="AD39" s="184"/>
      <c r="AE39" s="184"/>
      <c r="AF39" s="184"/>
      <c r="AG39" s="184"/>
      <c r="AH39" s="184"/>
      <c r="AI39" s="184"/>
      <c r="AJ39" s="184"/>
      <c r="AK39" s="184"/>
      <c r="AL39" s="184"/>
      <c r="AM39" s="184"/>
      <c r="AN39" s="184"/>
      <c r="AO39" s="184"/>
      <c r="AP39" s="184"/>
      <c r="AQ39" s="184"/>
      <c r="AR39" s="184"/>
      <c r="AS39" s="184"/>
      <c r="AT39" s="184"/>
      <c r="AU39" s="184"/>
      <c r="AV39" s="184"/>
      <c r="AW39" s="184"/>
      <c r="AX39" s="184"/>
      <c r="AY39" s="184"/>
      <c r="AZ39" s="184"/>
      <c r="BA39" s="184"/>
      <c r="BB39" s="184"/>
      <c r="BC39" s="184"/>
      <c r="BD39" s="184"/>
      <c r="BE39" s="204"/>
      <c r="BF39" s="204"/>
      <c r="BG39" s="204"/>
      <c r="BH39" s="204"/>
      <c r="BI39" s="204"/>
      <c r="BJ39" s="204"/>
      <c r="BK39" s="206"/>
    </row>
    <row r="40" spans="1:63" s="164" customFormat="1" ht="15.75" customHeight="1">
      <c r="A40" s="187"/>
      <c r="B40" s="195"/>
      <c r="C40" s="189"/>
      <c r="D40" s="188" t="s">
        <v>447</v>
      </c>
      <c r="E40" s="189"/>
      <c r="F40" s="189"/>
      <c r="G40" s="189"/>
      <c r="H40" s="189"/>
      <c r="I40" s="189"/>
      <c r="J40" s="189"/>
      <c r="K40" s="189"/>
      <c r="L40" s="195"/>
      <c r="M40" s="189"/>
      <c r="N40" s="196" t="s">
        <v>403</v>
      </c>
      <c r="O40" s="189"/>
      <c r="P40" s="189"/>
      <c r="Q40" s="189"/>
      <c r="R40" s="189"/>
      <c r="S40" s="189"/>
      <c r="T40" s="189"/>
      <c r="U40" s="189"/>
      <c r="V40" s="189"/>
      <c r="W40" s="189"/>
      <c r="X40" s="189"/>
      <c r="Y40" s="189"/>
      <c r="Z40" s="189"/>
      <c r="AA40" s="189"/>
      <c r="AB40" s="189"/>
      <c r="AC40" s="189"/>
      <c r="AD40" s="189"/>
      <c r="AE40" s="189"/>
      <c r="AF40" s="189"/>
      <c r="AG40" s="189"/>
      <c r="AH40" s="189"/>
      <c r="AI40" s="189"/>
      <c r="AJ40" s="189"/>
      <c r="AK40" s="189"/>
      <c r="AL40" s="189"/>
      <c r="AM40" s="189"/>
      <c r="AN40" s="189"/>
      <c r="AO40" s="189"/>
      <c r="AP40" s="189"/>
      <c r="AQ40" s="189"/>
      <c r="AR40" s="189"/>
      <c r="AS40" s="189"/>
      <c r="AT40" s="189"/>
      <c r="AU40" s="189"/>
      <c r="AV40" s="189"/>
      <c r="AW40" s="189"/>
      <c r="AX40" s="189"/>
      <c r="AY40" s="189"/>
      <c r="AZ40" s="189"/>
      <c r="BA40" s="189"/>
      <c r="BB40" s="189"/>
      <c r="BC40" s="189"/>
      <c r="BD40" s="189"/>
      <c r="BE40" s="207" t="s">
        <v>404</v>
      </c>
      <c r="BF40" s="207" t="s">
        <v>405</v>
      </c>
      <c r="BG40" s="207" t="s">
        <v>406</v>
      </c>
      <c r="BH40" s="207" t="s">
        <v>407</v>
      </c>
      <c r="BI40" s="207" t="s">
        <v>408</v>
      </c>
      <c r="BJ40" s="207" t="s">
        <v>409</v>
      </c>
      <c r="BK40" s="208" t="s">
        <v>410</v>
      </c>
    </row>
    <row r="41" spans="1:63" s="164" customFormat="1" ht="31.5" customHeight="1">
      <c r="A41" s="185"/>
      <c r="B41" s="193"/>
      <c r="C41" s="251" t="s">
        <v>416</v>
      </c>
      <c r="D41" s="183" t="s">
        <v>448</v>
      </c>
      <c r="E41" s="184"/>
      <c r="F41" s="184"/>
      <c r="G41" s="184"/>
      <c r="H41" s="184"/>
      <c r="I41" s="184"/>
      <c r="J41" s="184"/>
      <c r="K41" s="184"/>
      <c r="L41" s="193"/>
      <c r="M41" s="1001" t="s">
        <v>449</v>
      </c>
      <c r="N41" s="1002"/>
      <c r="O41" s="1002"/>
      <c r="P41" s="1002"/>
      <c r="Q41" s="1002"/>
      <c r="R41" s="1002"/>
      <c r="S41" s="1002"/>
      <c r="T41" s="1002"/>
      <c r="U41" s="1002"/>
      <c r="V41" s="1002"/>
      <c r="W41" s="1002"/>
      <c r="X41" s="1002"/>
      <c r="Y41" s="1002"/>
      <c r="Z41" s="1002"/>
      <c r="AA41" s="1002"/>
      <c r="AB41" s="1002"/>
      <c r="AC41" s="1002"/>
      <c r="AD41" s="1002"/>
      <c r="AE41" s="1002"/>
      <c r="AF41" s="1002"/>
      <c r="AG41" s="1002"/>
      <c r="AH41" s="1002"/>
      <c r="AI41" s="1002"/>
      <c r="AJ41" s="1002"/>
      <c r="AK41" s="1002"/>
      <c r="AL41" s="1002"/>
      <c r="AM41" s="1002"/>
      <c r="AN41" s="1002"/>
      <c r="AO41" s="1002"/>
      <c r="AP41" s="1002"/>
      <c r="AQ41" s="1002"/>
      <c r="AR41" s="1002"/>
      <c r="AS41" s="1002"/>
      <c r="AT41" s="1002"/>
      <c r="AU41" s="1002"/>
      <c r="AV41" s="1002"/>
      <c r="AW41" s="1002"/>
      <c r="AX41" s="1002"/>
      <c r="AY41" s="1002"/>
      <c r="AZ41" s="1002"/>
      <c r="BA41" s="1002"/>
      <c r="BB41" s="1002"/>
      <c r="BC41" s="1002"/>
      <c r="BD41" s="1002"/>
      <c r="BE41" s="204"/>
      <c r="BF41" s="205" t="s">
        <v>419</v>
      </c>
      <c r="BG41" s="204"/>
      <c r="BH41" s="204"/>
      <c r="BI41" s="204"/>
      <c r="BJ41" s="204"/>
      <c r="BK41" s="206"/>
    </row>
    <row r="42" spans="1:63" s="164" customFormat="1" ht="31.5" customHeight="1">
      <c r="A42" s="185"/>
      <c r="B42" s="193"/>
      <c r="C42" s="251" t="s">
        <v>416</v>
      </c>
      <c r="D42" s="183" t="s">
        <v>450</v>
      </c>
      <c r="E42" s="184"/>
      <c r="F42" s="184"/>
      <c r="G42" s="184"/>
      <c r="H42" s="184"/>
      <c r="I42" s="184"/>
      <c r="J42" s="184"/>
      <c r="K42" s="184"/>
      <c r="L42" s="193"/>
      <c r="M42" s="1001" t="s">
        <v>451</v>
      </c>
      <c r="N42" s="1002"/>
      <c r="O42" s="1002"/>
      <c r="P42" s="1002"/>
      <c r="Q42" s="1002"/>
      <c r="R42" s="1002"/>
      <c r="S42" s="1002"/>
      <c r="T42" s="1002"/>
      <c r="U42" s="1002"/>
      <c r="V42" s="1002"/>
      <c r="W42" s="1002"/>
      <c r="X42" s="1002"/>
      <c r="Y42" s="1002"/>
      <c r="Z42" s="1002"/>
      <c r="AA42" s="1002"/>
      <c r="AB42" s="1002"/>
      <c r="AC42" s="1002"/>
      <c r="AD42" s="1002"/>
      <c r="AE42" s="1002"/>
      <c r="AF42" s="1002"/>
      <c r="AG42" s="1002"/>
      <c r="AH42" s="1002"/>
      <c r="AI42" s="1002"/>
      <c r="AJ42" s="1002"/>
      <c r="AK42" s="1002"/>
      <c r="AL42" s="1002"/>
      <c r="AM42" s="1002"/>
      <c r="AN42" s="1002"/>
      <c r="AO42" s="1002"/>
      <c r="AP42" s="1002"/>
      <c r="AQ42" s="1002"/>
      <c r="AR42" s="1002"/>
      <c r="AS42" s="1002"/>
      <c r="AT42" s="1002"/>
      <c r="AU42" s="1002"/>
      <c r="AV42" s="1002"/>
      <c r="AW42" s="1002"/>
      <c r="AX42" s="1002"/>
      <c r="AY42" s="1002"/>
      <c r="AZ42" s="1002"/>
      <c r="BA42" s="1002"/>
      <c r="BB42" s="1002"/>
      <c r="BC42" s="1002"/>
      <c r="BD42" s="1002"/>
      <c r="BE42" s="204"/>
      <c r="BF42" s="205" t="s">
        <v>419</v>
      </c>
      <c r="BG42" s="204"/>
      <c r="BH42" s="204"/>
      <c r="BI42" s="204"/>
      <c r="BJ42" s="204"/>
      <c r="BK42" s="206"/>
    </row>
    <row r="43" spans="1:63" s="164" customFormat="1" ht="31.5" customHeight="1">
      <c r="A43" s="180"/>
      <c r="B43" s="192"/>
      <c r="C43" s="250" t="s">
        <v>416</v>
      </c>
      <c r="D43" s="178" t="s">
        <v>452</v>
      </c>
      <c r="E43" s="179"/>
      <c r="F43" s="179"/>
      <c r="G43" s="179"/>
      <c r="H43" s="179"/>
      <c r="I43" s="179"/>
      <c r="J43" s="179"/>
      <c r="K43" s="179"/>
      <c r="L43" s="192"/>
      <c r="M43" s="1016" t="s">
        <v>453</v>
      </c>
      <c r="N43" s="1000"/>
      <c r="O43" s="1000"/>
      <c r="P43" s="1000"/>
      <c r="Q43" s="1000"/>
      <c r="R43" s="1000"/>
      <c r="S43" s="1000"/>
      <c r="T43" s="1000"/>
      <c r="U43" s="1000"/>
      <c r="V43" s="1000"/>
      <c r="W43" s="1000"/>
      <c r="X43" s="1000"/>
      <c r="Y43" s="1000"/>
      <c r="Z43" s="1000"/>
      <c r="AA43" s="1000"/>
      <c r="AB43" s="1000"/>
      <c r="AC43" s="1000"/>
      <c r="AD43" s="1000"/>
      <c r="AE43" s="1000"/>
      <c r="AF43" s="1000"/>
      <c r="AG43" s="1000"/>
      <c r="AH43" s="1000"/>
      <c r="AI43" s="1000"/>
      <c r="AJ43" s="1000"/>
      <c r="AK43" s="1000"/>
      <c r="AL43" s="1000"/>
      <c r="AM43" s="1000"/>
      <c r="AN43" s="1000"/>
      <c r="AO43" s="1000"/>
      <c r="AP43" s="1000"/>
      <c r="AQ43" s="1000"/>
      <c r="AR43" s="1000"/>
      <c r="AS43" s="1000"/>
      <c r="AT43" s="1000"/>
      <c r="AU43" s="1000"/>
      <c r="AV43" s="1000"/>
      <c r="AW43" s="1000"/>
      <c r="AX43" s="1000"/>
      <c r="AY43" s="1000"/>
      <c r="AZ43" s="1000"/>
      <c r="BA43" s="1000"/>
      <c r="BB43" s="1000"/>
      <c r="BC43" s="1000"/>
      <c r="BD43" s="1000"/>
      <c r="BE43" s="201"/>
      <c r="BF43" s="202" t="s">
        <v>419</v>
      </c>
      <c r="BG43" s="201"/>
      <c r="BH43" s="201"/>
      <c r="BI43" s="201"/>
      <c r="BJ43" s="201"/>
      <c r="BK43" s="203"/>
    </row>
    <row r="44" spans="1:63" s="164" customFormat="1" ht="15.75" customHeight="1">
      <c r="A44" s="180"/>
      <c r="B44" s="192"/>
      <c r="C44" s="179"/>
      <c r="D44" s="181"/>
      <c r="E44" s="179"/>
      <c r="F44" s="179"/>
      <c r="G44" s="179"/>
      <c r="H44" s="179"/>
      <c r="I44" s="179"/>
      <c r="J44" s="179"/>
      <c r="K44" s="179"/>
      <c r="L44" s="192"/>
      <c r="M44" s="179"/>
      <c r="N44" s="179"/>
      <c r="O44" s="179"/>
      <c r="P44" s="179"/>
      <c r="Q44" s="179"/>
      <c r="R44" s="179"/>
      <c r="S44" s="179"/>
      <c r="T44" s="179"/>
      <c r="U44" s="179"/>
      <c r="V44" s="179"/>
      <c r="W44" s="179"/>
      <c r="X44" s="179"/>
      <c r="Y44" s="179"/>
      <c r="Z44" s="179"/>
      <c r="AA44" s="179"/>
      <c r="AB44" s="179"/>
      <c r="AC44" s="179"/>
      <c r="AD44" s="179"/>
      <c r="AE44" s="179"/>
      <c r="AF44" s="179"/>
      <c r="AG44" s="179"/>
      <c r="AH44" s="179"/>
      <c r="AI44" s="179"/>
      <c r="AJ44" s="179"/>
      <c r="AK44" s="179"/>
      <c r="AL44" s="179"/>
      <c r="AM44" s="179"/>
      <c r="AN44" s="179"/>
      <c r="AO44" s="179"/>
      <c r="AP44" s="179"/>
      <c r="AQ44" s="179"/>
      <c r="AR44" s="179"/>
      <c r="AS44" s="179"/>
      <c r="AT44" s="179"/>
      <c r="AU44" s="179"/>
      <c r="AV44" s="179"/>
      <c r="AW44" s="179"/>
      <c r="AX44" s="179"/>
      <c r="AY44" s="179"/>
      <c r="AZ44" s="179"/>
      <c r="BA44" s="179"/>
      <c r="BB44" s="179"/>
      <c r="BC44" s="179"/>
      <c r="BD44" s="179"/>
      <c r="BE44" s="201"/>
      <c r="BF44" s="201"/>
      <c r="BG44" s="201"/>
      <c r="BH44" s="201"/>
      <c r="BI44" s="201"/>
      <c r="BJ44" s="201"/>
      <c r="BK44" s="203"/>
    </row>
    <row r="45" spans="1:63" s="164" customFormat="1" ht="15.75" customHeight="1">
      <c r="A45" s="174"/>
      <c r="B45" s="190"/>
      <c r="C45" s="176"/>
      <c r="D45" s="175" t="s">
        <v>454</v>
      </c>
      <c r="E45" s="176"/>
      <c r="F45" s="176"/>
      <c r="G45" s="176"/>
      <c r="H45" s="176"/>
      <c r="I45" s="176"/>
      <c r="J45" s="176"/>
      <c r="K45" s="176"/>
      <c r="L45" s="190"/>
      <c r="M45" s="176"/>
      <c r="N45" s="191" t="s">
        <v>403</v>
      </c>
      <c r="O45" s="176"/>
      <c r="P45" s="176"/>
      <c r="Q45" s="176"/>
      <c r="R45" s="176"/>
      <c r="S45" s="176"/>
      <c r="T45" s="176"/>
      <c r="U45" s="176"/>
      <c r="V45" s="176"/>
      <c r="W45" s="176"/>
      <c r="X45" s="176"/>
      <c r="Y45" s="176"/>
      <c r="Z45" s="176"/>
      <c r="AA45" s="176"/>
      <c r="AB45" s="176"/>
      <c r="AC45" s="176"/>
      <c r="AD45" s="176"/>
      <c r="AE45" s="176"/>
      <c r="AF45" s="176"/>
      <c r="AG45" s="176"/>
      <c r="AH45" s="176"/>
      <c r="AI45" s="176"/>
      <c r="AJ45" s="176"/>
      <c r="AK45" s="176"/>
      <c r="AL45" s="176"/>
      <c r="AM45" s="176"/>
      <c r="AN45" s="176"/>
      <c r="AO45" s="176"/>
      <c r="AP45" s="176"/>
      <c r="AQ45" s="176"/>
      <c r="AR45" s="176"/>
      <c r="AS45" s="176"/>
      <c r="AT45" s="176"/>
      <c r="AU45" s="176"/>
      <c r="AV45" s="176"/>
      <c r="AW45" s="176"/>
      <c r="AX45" s="176"/>
      <c r="AY45" s="176"/>
      <c r="AZ45" s="176"/>
      <c r="BA45" s="176"/>
      <c r="BB45" s="176"/>
      <c r="BC45" s="176"/>
      <c r="BD45" s="176"/>
      <c r="BE45" s="199" t="s">
        <v>404</v>
      </c>
      <c r="BF45" s="199" t="s">
        <v>405</v>
      </c>
      <c r="BG45" s="199" t="s">
        <v>406</v>
      </c>
      <c r="BH45" s="199" t="s">
        <v>407</v>
      </c>
      <c r="BI45" s="199" t="s">
        <v>408</v>
      </c>
      <c r="BJ45" s="199" t="s">
        <v>409</v>
      </c>
      <c r="BK45" s="200" t="s">
        <v>410</v>
      </c>
    </row>
    <row r="46" spans="1:63" s="164" customFormat="1" ht="31.5" customHeight="1">
      <c r="A46" s="180"/>
      <c r="B46" s="192"/>
      <c r="C46" s="250" t="s">
        <v>416</v>
      </c>
      <c r="D46" s="178" t="s">
        <v>455</v>
      </c>
      <c r="E46" s="179"/>
      <c r="F46" s="179"/>
      <c r="G46" s="179"/>
      <c r="H46" s="179"/>
      <c r="I46" s="179"/>
      <c r="J46" s="179"/>
      <c r="K46" s="179"/>
      <c r="L46" s="192"/>
      <c r="M46" s="1016" t="s">
        <v>456</v>
      </c>
      <c r="N46" s="1000"/>
      <c r="O46" s="1000"/>
      <c r="P46" s="1000"/>
      <c r="Q46" s="1000"/>
      <c r="R46" s="1000"/>
      <c r="S46" s="1000"/>
      <c r="T46" s="1000"/>
      <c r="U46" s="1000"/>
      <c r="V46" s="1000"/>
      <c r="W46" s="1000"/>
      <c r="X46" s="1000"/>
      <c r="Y46" s="1000"/>
      <c r="Z46" s="1000"/>
      <c r="AA46" s="1000"/>
      <c r="AB46" s="1000"/>
      <c r="AC46" s="1000"/>
      <c r="AD46" s="1000"/>
      <c r="AE46" s="1000"/>
      <c r="AF46" s="1000"/>
      <c r="AG46" s="1000"/>
      <c r="AH46" s="1000"/>
      <c r="AI46" s="1000"/>
      <c r="AJ46" s="1000"/>
      <c r="AK46" s="1000"/>
      <c r="AL46" s="1000"/>
      <c r="AM46" s="1000"/>
      <c r="AN46" s="1000"/>
      <c r="AO46" s="1000"/>
      <c r="AP46" s="1000"/>
      <c r="AQ46" s="1000"/>
      <c r="AR46" s="1000"/>
      <c r="AS46" s="1000"/>
      <c r="AT46" s="1000"/>
      <c r="AU46" s="1000"/>
      <c r="AV46" s="1000"/>
      <c r="AW46" s="1000"/>
      <c r="AX46" s="1000"/>
      <c r="AY46" s="1000"/>
      <c r="AZ46" s="1000"/>
      <c r="BA46" s="1000"/>
      <c r="BB46" s="1000"/>
      <c r="BC46" s="1000"/>
      <c r="BD46" s="1000"/>
      <c r="BE46" s="201"/>
      <c r="BF46" s="202" t="s">
        <v>419</v>
      </c>
      <c r="BG46" s="201"/>
      <c r="BH46" s="201"/>
      <c r="BI46" s="201"/>
      <c r="BJ46" s="201"/>
      <c r="BK46" s="203"/>
    </row>
    <row r="47" spans="1:63" s="164" customFormat="1" ht="31.5" customHeight="1">
      <c r="A47" s="180"/>
      <c r="B47" s="192"/>
      <c r="C47" s="250" t="s">
        <v>416</v>
      </c>
      <c r="D47" s="178" t="s">
        <v>457</v>
      </c>
      <c r="E47" s="179"/>
      <c r="F47" s="179"/>
      <c r="G47" s="179"/>
      <c r="H47" s="179"/>
      <c r="I47" s="179"/>
      <c r="J47" s="179"/>
      <c r="K47" s="179"/>
      <c r="L47" s="192"/>
      <c r="M47" s="1016" t="s">
        <v>458</v>
      </c>
      <c r="N47" s="1000"/>
      <c r="O47" s="1000"/>
      <c r="P47" s="1000"/>
      <c r="Q47" s="1000"/>
      <c r="R47" s="1000"/>
      <c r="S47" s="1000"/>
      <c r="T47" s="1000"/>
      <c r="U47" s="1000"/>
      <c r="V47" s="1000"/>
      <c r="W47" s="1000"/>
      <c r="X47" s="1000"/>
      <c r="Y47" s="1000"/>
      <c r="Z47" s="1000"/>
      <c r="AA47" s="1000"/>
      <c r="AB47" s="1000"/>
      <c r="AC47" s="1000"/>
      <c r="AD47" s="1000"/>
      <c r="AE47" s="1000"/>
      <c r="AF47" s="1000"/>
      <c r="AG47" s="1000"/>
      <c r="AH47" s="1000"/>
      <c r="AI47" s="1000"/>
      <c r="AJ47" s="1000"/>
      <c r="AK47" s="1000"/>
      <c r="AL47" s="1000"/>
      <c r="AM47" s="1000"/>
      <c r="AN47" s="1000"/>
      <c r="AO47" s="1000"/>
      <c r="AP47" s="1000"/>
      <c r="AQ47" s="1000"/>
      <c r="AR47" s="1000"/>
      <c r="AS47" s="1000"/>
      <c r="AT47" s="1000"/>
      <c r="AU47" s="1000"/>
      <c r="AV47" s="1000"/>
      <c r="AW47" s="1000"/>
      <c r="AX47" s="1000"/>
      <c r="AY47" s="1000"/>
      <c r="AZ47" s="1000"/>
      <c r="BA47" s="1000"/>
      <c r="BB47" s="1000"/>
      <c r="BC47" s="1000"/>
      <c r="BD47" s="1000"/>
      <c r="BE47" s="201"/>
      <c r="BF47" s="202" t="s">
        <v>419</v>
      </c>
      <c r="BG47" s="201"/>
      <c r="BH47" s="201"/>
      <c r="BI47" s="201"/>
      <c r="BJ47" s="201"/>
      <c r="BK47" s="203"/>
    </row>
    <row r="48" spans="1:63" s="164" customFormat="1" ht="31.5" customHeight="1">
      <c r="A48" s="180"/>
      <c r="B48" s="192"/>
      <c r="C48" s="250" t="s">
        <v>416</v>
      </c>
      <c r="D48" s="178" t="s">
        <v>459</v>
      </c>
      <c r="E48" s="179"/>
      <c r="F48" s="179"/>
      <c r="G48" s="179"/>
      <c r="H48" s="179"/>
      <c r="I48" s="179"/>
      <c r="J48" s="179"/>
      <c r="K48" s="179"/>
      <c r="L48" s="192"/>
      <c r="M48" s="1016" t="s">
        <v>460</v>
      </c>
      <c r="N48" s="1000"/>
      <c r="O48" s="1000"/>
      <c r="P48" s="1000"/>
      <c r="Q48" s="1000"/>
      <c r="R48" s="1000"/>
      <c r="S48" s="1000"/>
      <c r="T48" s="1000"/>
      <c r="U48" s="1000"/>
      <c r="V48" s="1000"/>
      <c r="W48" s="1000"/>
      <c r="X48" s="1000"/>
      <c r="Y48" s="1000"/>
      <c r="Z48" s="1000"/>
      <c r="AA48" s="1000"/>
      <c r="AB48" s="1000"/>
      <c r="AC48" s="1000"/>
      <c r="AD48" s="1000"/>
      <c r="AE48" s="1000"/>
      <c r="AF48" s="1000"/>
      <c r="AG48" s="1000"/>
      <c r="AH48" s="1000"/>
      <c r="AI48" s="1000"/>
      <c r="AJ48" s="1000"/>
      <c r="AK48" s="1000"/>
      <c r="AL48" s="1000"/>
      <c r="AM48" s="1000"/>
      <c r="AN48" s="1000"/>
      <c r="AO48" s="1000"/>
      <c r="AP48" s="1000"/>
      <c r="AQ48" s="1000"/>
      <c r="AR48" s="1000"/>
      <c r="AS48" s="1000"/>
      <c r="AT48" s="1000"/>
      <c r="AU48" s="1000"/>
      <c r="AV48" s="1000"/>
      <c r="AW48" s="1000"/>
      <c r="AX48" s="1000"/>
      <c r="AY48" s="1000"/>
      <c r="AZ48" s="1000"/>
      <c r="BA48" s="1000"/>
      <c r="BB48" s="1000"/>
      <c r="BC48" s="1000"/>
      <c r="BD48" s="1000"/>
      <c r="BE48" s="201"/>
      <c r="BF48" s="202" t="s">
        <v>419</v>
      </c>
      <c r="BG48" s="201"/>
      <c r="BH48" s="201"/>
      <c r="BI48" s="201"/>
      <c r="BJ48" s="201"/>
      <c r="BK48" s="203"/>
    </row>
    <row r="49" spans="1:63" s="164" customFormat="1" ht="15.75" customHeight="1">
      <c r="A49" s="180"/>
      <c r="B49" s="192"/>
      <c r="C49" s="179"/>
      <c r="D49" s="181"/>
      <c r="E49" s="179"/>
      <c r="F49" s="179"/>
      <c r="G49" s="179"/>
      <c r="H49" s="179"/>
      <c r="I49" s="179"/>
      <c r="J49" s="179"/>
      <c r="K49" s="179"/>
      <c r="L49" s="192"/>
      <c r="M49" s="179"/>
      <c r="N49" s="179"/>
      <c r="O49" s="179"/>
      <c r="P49" s="179"/>
      <c r="Q49" s="179"/>
      <c r="R49" s="179"/>
      <c r="S49" s="179"/>
      <c r="T49" s="179"/>
      <c r="U49" s="179"/>
      <c r="V49" s="179"/>
      <c r="W49" s="179"/>
      <c r="X49" s="179"/>
      <c r="Y49" s="179"/>
      <c r="Z49" s="179"/>
      <c r="AA49" s="179"/>
      <c r="AB49" s="179"/>
      <c r="AC49" s="179"/>
      <c r="AD49" s="179"/>
      <c r="AE49" s="179"/>
      <c r="AF49" s="179"/>
      <c r="AG49" s="179"/>
      <c r="AH49" s="179"/>
      <c r="AI49" s="179"/>
      <c r="AJ49" s="179"/>
      <c r="AK49" s="179"/>
      <c r="AL49" s="179"/>
      <c r="AM49" s="179"/>
      <c r="AN49" s="179"/>
      <c r="AO49" s="179"/>
      <c r="AP49" s="179"/>
      <c r="AQ49" s="179"/>
      <c r="AR49" s="179"/>
      <c r="AS49" s="179"/>
      <c r="AT49" s="179"/>
      <c r="AU49" s="179"/>
      <c r="AV49" s="179"/>
      <c r="AW49" s="179"/>
      <c r="AX49" s="179"/>
      <c r="AY49" s="179"/>
      <c r="AZ49" s="179"/>
      <c r="BA49" s="179"/>
      <c r="BB49" s="179"/>
      <c r="BC49" s="179"/>
      <c r="BD49" s="179"/>
      <c r="BE49" s="201"/>
      <c r="BF49" s="201"/>
      <c r="BG49" s="201"/>
      <c r="BH49" s="201"/>
      <c r="BI49" s="201"/>
      <c r="BJ49" s="201"/>
      <c r="BK49" s="203"/>
    </row>
    <row r="50" spans="1:63" s="164" customFormat="1" ht="15.75" customHeight="1">
      <c r="A50" s="174"/>
      <c r="B50" s="190"/>
      <c r="C50" s="176"/>
      <c r="D50" s="175" t="s">
        <v>221</v>
      </c>
      <c r="E50" s="176"/>
      <c r="F50" s="176"/>
      <c r="G50" s="176"/>
      <c r="H50" s="176"/>
      <c r="I50" s="176"/>
      <c r="J50" s="176"/>
      <c r="K50" s="176"/>
      <c r="L50" s="190"/>
      <c r="M50" s="176"/>
      <c r="N50" s="191" t="s">
        <v>403</v>
      </c>
      <c r="O50" s="176"/>
      <c r="P50" s="176"/>
      <c r="Q50" s="176"/>
      <c r="R50" s="176"/>
      <c r="S50" s="176"/>
      <c r="T50" s="176"/>
      <c r="U50" s="176"/>
      <c r="V50" s="176"/>
      <c r="W50" s="176"/>
      <c r="X50" s="176"/>
      <c r="Y50" s="176"/>
      <c r="Z50" s="176"/>
      <c r="AA50" s="176"/>
      <c r="AB50" s="176"/>
      <c r="AC50" s="176"/>
      <c r="AD50" s="176"/>
      <c r="AE50" s="176"/>
      <c r="AF50" s="176"/>
      <c r="AG50" s="176"/>
      <c r="AH50" s="176"/>
      <c r="AI50" s="176"/>
      <c r="AJ50" s="176"/>
      <c r="AK50" s="176"/>
      <c r="AL50" s="176"/>
      <c r="AM50" s="176"/>
      <c r="AN50" s="176"/>
      <c r="AO50" s="176"/>
      <c r="AP50" s="176"/>
      <c r="AQ50" s="176"/>
      <c r="AR50" s="176"/>
      <c r="AS50" s="176"/>
      <c r="AT50" s="176"/>
      <c r="AU50" s="176"/>
      <c r="AV50" s="176"/>
      <c r="AW50" s="176"/>
      <c r="AX50" s="176"/>
      <c r="AY50" s="176"/>
      <c r="AZ50" s="176"/>
      <c r="BA50" s="176"/>
      <c r="BB50" s="176"/>
      <c r="BC50" s="176"/>
      <c r="BD50" s="176"/>
      <c r="BE50" s="199" t="s">
        <v>404</v>
      </c>
      <c r="BF50" s="199" t="s">
        <v>405</v>
      </c>
      <c r="BG50" s="199" t="s">
        <v>406</v>
      </c>
      <c r="BH50" s="199" t="s">
        <v>407</v>
      </c>
      <c r="BI50" s="199" t="s">
        <v>408</v>
      </c>
      <c r="BJ50" s="199" t="s">
        <v>409</v>
      </c>
      <c r="BK50" s="200" t="s">
        <v>410</v>
      </c>
    </row>
    <row r="51" spans="1:63" s="164" customFormat="1" ht="15.75" customHeight="1">
      <c r="A51" s="180"/>
      <c r="B51" s="192"/>
      <c r="C51" s="250" t="s">
        <v>416</v>
      </c>
      <c r="D51" s="178" t="s">
        <v>461</v>
      </c>
      <c r="E51" s="179"/>
      <c r="F51" s="179"/>
      <c r="G51" s="179"/>
      <c r="H51" s="179"/>
      <c r="I51" s="179"/>
      <c r="J51" s="179"/>
      <c r="K51" s="179"/>
      <c r="L51" s="192"/>
      <c r="M51" s="999"/>
      <c r="N51" s="1000"/>
      <c r="O51" s="1000"/>
      <c r="P51" s="1000"/>
      <c r="Q51" s="1000"/>
      <c r="R51" s="1000"/>
      <c r="S51" s="1000"/>
      <c r="T51" s="1000"/>
      <c r="U51" s="1000"/>
      <c r="V51" s="1000"/>
      <c r="W51" s="1000"/>
      <c r="X51" s="1000"/>
      <c r="Y51" s="1000"/>
      <c r="Z51" s="1000"/>
      <c r="AA51" s="1000"/>
      <c r="AB51" s="1000"/>
      <c r="AC51" s="1000"/>
      <c r="AD51" s="1000"/>
      <c r="AE51" s="1000"/>
      <c r="AF51" s="1000"/>
      <c r="AG51" s="1000"/>
      <c r="AH51" s="1000"/>
      <c r="AI51" s="1000"/>
      <c r="AJ51" s="1000"/>
      <c r="AK51" s="1000"/>
      <c r="AL51" s="1000"/>
      <c r="AM51" s="1000"/>
      <c r="AN51" s="1000"/>
      <c r="AO51" s="1000"/>
      <c r="AP51" s="1000"/>
      <c r="AQ51" s="1000"/>
      <c r="AR51" s="1000"/>
      <c r="AS51" s="1000"/>
      <c r="AT51" s="1000"/>
      <c r="AU51" s="1000"/>
      <c r="AV51" s="1000"/>
      <c r="AW51" s="1000"/>
      <c r="AX51" s="1000"/>
      <c r="AY51" s="1000"/>
      <c r="AZ51" s="1000"/>
      <c r="BA51" s="1000"/>
      <c r="BB51" s="1000"/>
      <c r="BC51" s="1000"/>
      <c r="BD51" s="1000"/>
      <c r="BE51" s="201"/>
      <c r="BF51" s="202" t="s">
        <v>462</v>
      </c>
      <c r="BG51" s="201"/>
      <c r="BH51" s="201"/>
      <c r="BI51" s="201"/>
      <c r="BJ51" s="201"/>
      <c r="BK51" s="203"/>
    </row>
    <row r="52" spans="1:63" s="164" customFormat="1" ht="15.75" customHeight="1">
      <c r="A52" s="180"/>
      <c r="B52" s="192"/>
      <c r="C52" s="250" t="s">
        <v>416</v>
      </c>
      <c r="D52" s="178" t="s">
        <v>463</v>
      </c>
      <c r="E52" s="179"/>
      <c r="F52" s="179"/>
      <c r="G52" s="179"/>
      <c r="H52" s="179"/>
      <c r="I52" s="179"/>
      <c r="J52" s="179"/>
      <c r="K52" s="179"/>
      <c r="L52" s="192"/>
      <c r="M52" s="999"/>
      <c r="N52" s="1000"/>
      <c r="O52" s="1000"/>
      <c r="P52" s="1000"/>
      <c r="Q52" s="1000"/>
      <c r="R52" s="1000"/>
      <c r="S52" s="1000"/>
      <c r="T52" s="1000"/>
      <c r="U52" s="1000"/>
      <c r="V52" s="1000"/>
      <c r="W52" s="1000"/>
      <c r="X52" s="1000"/>
      <c r="Y52" s="1000"/>
      <c r="Z52" s="1000"/>
      <c r="AA52" s="1000"/>
      <c r="AB52" s="1000"/>
      <c r="AC52" s="1000"/>
      <c r="AD52" s="1000"/>
      <c r="AE52" s="1000"/>
      <c r="AF52" s="1000"/>
      <c r="AG52" s="1000"/>
      <c r="AH52" s="1000"/>
      <c r="AI52" s="1000"/>
      <c r="AJ52" s="1000"/>
      <c r="AK52" s="1000"/>
      <c r="AL52" s="1000"/>
      <c r="AM52" s="1000"/>
      <c r="AN52" s="1000"/>
      <c r="AO52" s="1000"/>
      <c r="AP52" s="1000"/>
      <c r="AQ52" s="1000"/>
      <c r="AR52" s="1000"/>
      <c r="AS52" s="1000"/>
      <c r="AT52" s="1000"/>
      <c r="AU52" s="1000"/>
      <c r="AV52" s="1000"/>
      <c r="AW52" s="1000"/>
      <c r="AX52" s="1000"/>
      <c r="AY52" s="1000"/>
      <c r="AZ52" s="1000"/>
      <c r="BA52" s="1000"/>
      <c r="BB52" s="1000"/>
      <c r="BC52" s="1000"/>
      <c r="BD52" s="1000"/>
      <c r="BE52" s="201"/>
      <c r="BF52" s="202" t="s">
        <v>464</v>
      </c>
      <c r="BG52" s="201"/>
      <c r="BH52" s="201"/>
      <c r="BI52" s="201"/>
      <c r="BJ52" s="201"/>
      <c r="BK52" s="203"/>
    </row>
    <row r="53" spans="1:63" s="164" customFormat="1" ht="15.75" customHeight="1">
      <c r="A53" s="180"/>
      <c r="B53" s="192"/>
      <c r="C53" s="250" t="s">
        <v>416</v>
      </c>
      <c r="D53" s="178" t="s">
        <v>465</v>
      </c>
      <c r="E53" s="179"/>
      <c r="F53" s="179"/>
      <c r="G53" s="179"/>
      <c r="H53" s="179"/>
      <c r="I53" s="179"/>
      <c r="J53" s="179"/>
      <c r="K53" s="179"/>
      <c r="L53" s="192"/>
      <c r="M53" s="999"/>
      <c r="N53" s="1000"/>
      <c r="O53" s="1000"/>
      <c r="P53" s="1000"/>
      <c r="Q53" s="1000"/>
      <c r="R53" s="1000"/>
      <c r="S53" s="1000"/>
      <c r="T53" s="1000"/>
      <c r="U53" s="1000"/>
      <c r="V53" s="1000"/>
      <c r="W53" s="1000"/>
      <c r="X53" s="1000"/>
      <c r="Y53" s="1000"/>
      <c r="Z53" s="1000"/>
      <c r="AA53" s="1000"/>
      <c r="AB53" s="1000"/>
      <c r="AC53" s="1000"/>
      <c r="AD53" s="1000"/>
      <c r="AE53" s="1000"/>
      <c r="AF53" s="1000"/>
      <c r="AG53" s="1000"/>
      <c r="AH53" s="1000"/>
      <c r="AI53" s="1000"/>
      <c r="AJ53" s="1000"/>
      <c r="AK53" s="1000"/>
      <c r="AL53" s="1000"/>
      <c r="AM53" s="1000"/>
      <c r="AN53" s="1000"/>
      <c r="AO53" s="1000"/>
      <c r="AP53" s="1000"/>
      <c r="AQ53" s="1000"/>
      <c r="AR53" s="1000"/>
      <c r="AS53" s="1000"/>
      <c r="AT53" s="1000"/>
      <c r="AU53" s="1000"/>
      <c r="AV53" s="1000"/>
      <c r="AW53" s="1000"/>
      <c r="AX53" s="1000"/>
      <c r="AY53" s="1000"/>
      <c r="AZ53" s="1000"/>
      <c r="BA53" s="1000"/>
      <c r="BB53" s="1000"/>
      <c r="BC53" s="1000"/>
      <c r="BD53" s="1000"/>
      <c r="BE53" s="201"/>
      <c r="BF53" s="202" t="s">
        <v>462</v>
      </c>
      <c r="BG53" s="201"/>
      <c r="BH53" s="201"/>
      <c r="BI53" s="201"/>
      <c r="BJ53" s="201"/>
      <c r="BK53" s="203"/>
    </row>
    <row r="54" spans="1:63" s="164" customFormat="1" ht="15.75" customHeight="1">
      <c r="A54" s="180"/>
      <c r="B54" s="192"/>
      <c r="C54" s="250" t="s">
        <v>416</v>
      </c>
      <c r="D54" s="178" t="s">
        <v>466</v>
      </c>
      <c r="E54" s="179"/>
      <c r="F54" s="179"/>
      <c r="G54" s="179"/>
      <c r="H54" s="179"/>
      <c r="I54" s="179"/>
      <c r="J54" s="179"/>
      <c r="K54" s="179"/>
      <c r="L54" s="192"/>
      <c r="M54" s="999"/>
      <c r="N54" s="1000"/>
      <c r="O54" s="1000"/>
      <c r="P54" s="1000"/>
      <c r="Q54" s="1000"/>
      <c r="R54" s="1000"/>
      <c r="S54" s="1000"/>
      <c r="T54" s="1000"/>
      <c r="U54" s="1000"/>
      <c r="V54" s="1000"/>
      <c r="W54" s="1000"/>
      <c r="X54" s="1000"/>
      <c r="Y54" s="1000"/>
      <c r="Z54" s="1000"/>
      <c r="AA54" s="1000"/>
      <c r="AB54" s="1000"/>
      <c r="AC54" s="1000"/>
      <c r="AD54" s="1000"/>
      <c r="AE54" s="1000"/>
      <c r="AF54" s="1000"/>
      <c r="AG54" s="1000"/>
      <c r="AH54" s="1000"/>
      <c r="AI54" s="1000"/>
      <c r="AJ54" s="1000"/>
      <c r="AK54" s="1000"/>
      <c r="AL54" s="1000"/>
      <c r="AM54" s="1000"/>
      <c r="AN54" s="1000"/>
      <c r="AO54" s="1000"/>
      <c r="AP54" s="1000"/>
      <c r="AQ54" s="1000"/>
      <c r="AR54" s="1000"/>
      <c r="AS54" s="1000"/>
      <c r="AT54" s="1000"/>
      <c r="AU54" s="1000"/>
      <c r="AV54" s="1000"/>
      <c r="AW54" s="1000"/>
      <c r="AX54" s="1000"/>
      <c r="AY54" s="1000"/>
      <c r="AZ54" s="1000"/>
      <c r="BA54" s="1000"/>
      <c r="BB54" s="1000"/>
      <c r="BC54" s="1000"/>
      <c r="BD54" s="1000"/>
      <c r="BE54" s="201"/>
      <c r="BF54" s="202" t="s">
        <v>464</v>
      </c>
      <c r="BG54" s="201"/>
      <c r="BH54" s="201"/>
      <c r="BI54" s="201"/>
      <c r="BJ54" s="201"/>
      <c r="BK54" s="203"/>
    </row>
    <row r="55" spans="1:63" s="164" customFormat="1" ht="15.75" customHeight="1">
      <c r="A55" s="180"/>
      <c r="B55" s="192"/>
      <c r="C55" s="250" t="s">
        <v>416</v>
      </c>
      <c r="D55" s="178" t="s">
        <v>467</v>
      </c>
      <c r="E55" s="179"/>
      <c r="F55" s="179"/>
      <c r="G55" s="179"/>
      <c r="H55" s="179"/>
      <c r="I55" s="179"/>
      <c r="J55" s="179"/>
      <c r="K55" s="179"/>
      <c r="L55" s="192"/>
      <c r="M55" s="999"/>
      <c r="N55" s="1000"/>
      <c r="O55" s="1000"/>
      <c r="P55" s="1000"/>
      <c r="Q55" s="1000"/>
      <c r="R55" s="1000"/>
      <c r="S55" s="1000"/>
      <c r="T55" s="1000"/>
      <c r="U55" s="1000"/>
      <c r="V55" s="1000"/>
      <c r="W55" s="1000"/>
      <c r="X55" s="1000"/>
      <c r="Y55" s="1000"/>
      <c r="Z55" s="1000"/>
      <c r="AA55" s="1000"/>
      <c r="AB55" s="1000"/>
      <c r="AC55" s="1000"/>
      <c r="AD55" s="1000"/>
      <c r="AE55" s="1000"/>
      <c r="AF55" s="1000"/>
      <c r="AG55" s="1000"/>
      <c r="AH55" s="1000"/>
      <c r="AI55" s="1000"/>
      <c r="AJ55" s="1000"/>
      <c r="AK55" s="1000"/>
      <c r="AL55" s="1000"/>
      <c r="AM55" s="1000"/>
      <c r="AN55" s="1000"/>
      <c r="AO55" s="1000"/>
      <c r="AP55" s="1000"/>
      <c r="AQ55" s="1000"/>
      <c r="AR55" s="1000"/>
      <c r="AS55" s="1000"/>
      <c r="AT55" s="1000"/>
      <c r="AU55" s="1000"/>
      <c r="AV55" s="1000"/>
      <c r="AW55" s="1000"/>
      <c r="AX55" s="1000"/>
      <c r="AY55" s="1000"/>
      <c r="AZ55" s="1000"/>
      <c r="BA55" s="1000"/>
      <c r="BB55" s="1000"/>
      <c r="BC55" s="1000"/>
      <c r="BD55" s="1000"/>
      <c r="BE55" s="201"/>
      <c r="BF55" s="202" t="s">
        <v>462</v>
      </c>
      <c r="BG55" s="201"/>
      <c r="BH55" s="201"/>
      <c r="BI55" s="201"/>
      <c r="BJ55" s="201"/>
      <c r="BK55" s="203"/>
    </row>
    <row r="56" spans="1:63" s="164" customFormat="1" ht="15.75" customHeight="1">
      <c r="A56" s="180"/>
      <c r="B56" s="192"/>
      <c r="C56" s="250" t="s">
        <v>416</v>
      </c>
      <c r="D56" s="178" t="s">
        <v>468</v>
      </c>
      <c r="E56" s="179"/>
      <c r="F56" s="179"/>
      <c r="G56" s="179"/>
      <c r="H56" s="179"/>
      <c r="I56" s="179"/>
      <c r="J56" s="179"/>
      <c r="K56" s="179"/>
      <c r="L56" s="192"/>
      <c r="M56" s="999"/>
      <c r="N56" s="1000"/>
      <c r="O56" s="1000"/>
      <c r="P56" s="1000"/>
      <c r="Q56" s="1000"/>
      <c r="R56" s="1000"/>
      <c r="S56" s="1000"/>
      <c r="T56" s="1000"/>
      <c r="U56" s="1000"/>
      <c r="V56" s="1000"/>
      <c r="W56" s="1000"/>
      <c r="X56" s="1000"/>
      <c r="Y56" s="1000"/>
      <c r="Z56" s="1000"/>
      <c r="AA56" s="1000"/>
      <c r="AB56" s="1000"/>
      <c r="AC56" s="1000"/>
      <c r="AD56" s="1000"/>
      <c r="AE56" s="1000"/>
      <c r="AF56" s="1000"/>
      <c r="AG56" s="1000"/>
      <c r="AH56" s="1000"/>
      <c r="AI56" s="1000"/>
      <c r="AJ56" s="1000"/>
      <c r="AK56" s="1000"/>
      <c r="AL56" s="1000"/>
      <c r="AM56" s="1000"/>
      <c r="AN56" s="1000"/>
      <c r="AO56" s="1000"/>
      <c r="AP56" s="1000"/>
      <c r="AQ56" s="1000"/>
      <c r="AR56" s="1000"/>
      <c r="AS56" s="1000"/>
      <c r="AT56" s="1000"/>
      <c r="AU56" s="1000"/>
      <c r="AV56" s="1000"/>
      <c r="AW56" s="1000"/>
      <c r="AX56" s="1000"/>
      <c r="AY56" s="1000"/>
      <c r="AZ56" s="1000"/>
      <c r="BA56" s="1000"/>
      <c r="BB56" s="1000"/>
      <c r="BC56" s="1000"/>
      <c r="BD56" s="1000"/>
      <c r="BE56" s="201"/>
      <c r="BF56" s="202" t="s">
        <v>464</v>
      </c>
      <c r="BG56" s="201"/>
      <c r="BH56" s="201"/>
      <c r="BI56" s="201"/>
      <c r="BJ56" s="201"/>
      <c r="BK56" s="203"/>
    </row>
    <row r="57" spans="1:63" s="164" customFormat="1" ht="15.75" customHeight="1">
      <c r="A57" s="180"/>
      <c r="B57" s="192"/>
      <c r="C57" s="250" t="s">
        <v>416</v>
      </c>
      <c r="D57" s="178" t="s">
        <v>469</v>
      </c>
      <c r="E57" s="179"/>
      <c r="F57" s="179"/>
      <c r="G57" s="179"/>
      <c r="H57" s="179"/>
      <c r="I57" s="179"/>
      <c r="J57" s="179"/>
      <c r="K57" s="179"/>
      <c r="L57" s="192"/>
      <c r="M57" s="999"/>
      <c r="N57" s="1000"/>
      <c r="O57" s="1000"/>
      <c r="P57" s="1000"/>
      <c r="Q57" s="1000"/>
      <c r="R57" s="1000"/>
      <c r="S57" s="1000"/>
      <c r="T57" s="1000"/>
      <c r="U57" s="1000"/>
      <c r="V57" s="1000"/>
      <c r="W57" s="1000"/>
      <c r="X57" s="1000"/>
      <c r="Y57" s="1000"/>
      <c r="Z57" s="1000"/>
      <c r="AA57" s="1000"/>
      <c r="AB57" s="1000"/>
      <c r="AC57" s="1000"/>
      <c r="AD57" s="1000"/>
      <c r="AE57" s="1000"/>
      <c r="AF57" s="1000"/>
      <c r="AG57" s="1000"/>
      <c r="AH57" s="1000"/>
      <c r="AI57" s="1000"/>
      <c r="AJ57" s="1000"/>
      <c r="AK57" s="1000"/>
      <c r="AL57" s="1000"/>
      <c r="AM57" s="1000"/>
      <c r="AN57" s="1000"/>
      <c r="AO57" s="1000"/>
      <c r="AP57" s="1000"/>
      <c r="AQ57" s="1000"/>
      <c r="AR57" s="1000"/>
      <c r="AS57" s="1000"/>
      <c r="AT57" s="1000"/>
      <c r="AU57" s="1000"/>
      <c r="AV57" s="1000"/>
      <c r="AW57" s="1000"/>
      <c r="AX57" s="1000"/>
      <c r="AY57" s="1000"/>
      <c r="AZ57" s="1000"/>
      <c r="BA57" s="1000"/>
      <c r="BB57" s="1000"/>
      <c r="BC57" s="1000"/>
      <c r="BD57" s="1000"/>
      <c r="BE57" s="201"/>
      <c r="BF57" s="202" t="s">
        <v>462</v>
      </c>
      <c r="BG57" s="201"/>
      <c r="BH57" s="201"/>
      <c r="BI57" s="201"/>
      <c r="BJ57" s="201"/>
      <c r="BK57" s="203"/>
    </row>
    <row r="58" spans="1:63" s="164" customFormat="1" ht="15.75" customHeight="1">
      <c r="A58" s="185"/>
      <c r="B58" s="193"/>
      <c r="C58" s="251" t="s">
        <v>416</v>
      </c>
      <c r="D58" s="183" t="s">
        <v>470</v>
      </c>
      <c r="E58" s="184"/>
      <c r="F58" s="184"/>
      <c r="G58" s="184"/>
      <c r="H58" s="184"/>
      <c r="I58" s="184"/>
      <c r="J58" s="184"/>
      <c r="K58" s="184"/>
      <c r="L58" s="193"/>
      <c r="M58" s="1003"/>
      <c r="N58" s="1002"/>
      <c r="O58" s="1002"/>
      <c r="P58" s="1002"/>
      <c r="Q58" s="1002"/>
      <c r="R58" s="1002"/>
      <c r="S58" s="1002"/>
      <c r="T58" s="1002"/>
      <c r="U58" s="1002"/>
      <c r="V58" s="1002"/>
      <c r="W58" s="1002"/>
      <c r="X58" s="1002"/>
      <c r="Y58" s="1002"/>
      <c r="Z58" s="1002"/>
      <c r="AA58" s="1002"/>
      <c r="AB58" s="1002"/>
      <c r="AC58" s="1002"/>
      <c r="AD58" s="1002"/>
      <c r="AE58" s="1002"/>
      <c r="AF58" s="1002"/>
      <c r="AG58" s="1002"/>
      <c r="AH58" s="1002"/>
      <c r="AI58" s="1002"/>
      <c r="AJ58" s="1002"/>
      <c r="AK58" s="1002"/>
      <c r="AL58" s="1002"/>
      <c r="AM58" s="1002"/>
      <c r="AN58" s="1002"/>
      <c r="AO58" s="1002"/>
      <c r="AP58" s="1002"/>
      <c r="AQ58" s="1002"/>
      <c r="AR58" s="1002"/>
      <c r="AS58" s="1002"/>
      <c r="AT58" s="1002"/>
      <c r="AU58" s="1002"/>
      <c r="AV58" s="1002"/>
      <c r="AW58" s="1002"/>
      <c r="AX58" s="1002"/>
      <c r="AY58" s="1002"/>
      <c r="AZ58" s="1002"/>
      <c r="BA58" s="1002"/>
      <c r="BB58" s="1002"/>
      <c r="BC58" s="1002"/>
      <c r="BD58" s="1002"/>
      <c r="BE58" s="204"/>
      <c r="BF58" s="205" t="s">
        <v>464</v>
      </c>
      <c r="BG58" s="204"/>
      <c r="BH58" s="204"/>
      <c r="BI58" s="204"/>
      <c r="BJ58" s="204"/>
      <c r="BK58" s="206"/>
    </row>
    <row r="59" spans="1:63" s="164" customFormat="1" ht="15.75" customHeight="1">
      <c r="A59" s="185"/>
      <c r="B59" s="193"/>
      <c r="C59" s="251" t="s">
        <v>416</v>
      </c>
      <c r="D59" s="183" t="s">
        <v>471</v>
      </c>
      <c r="E59" s="184"/>
      <c r="F59" s="184"/>
      <c r="G59" s="184"/>
      <c r="H59" s="184"/>
      <c r="I59" s="184"/>
      <c r="J59" s="184"/>
      <c r="K59" s="184"/>
      <c r="L59" s="193"/>
      <c r="M59" s="1003"/>
      <c r="N59" s="1002"/>
      <c r="O59" s="1002"/>
      <c r="P59" s="1002"/>
      <c r="Q59" s="1002"/>
      <c r="R59" s="1002"/>
      <c r="S59" s="1002"/>
      <c r="T59" s="1002"/>
      <c r="U59" s="1002"/>
      <c r="V59" s="1002"/>
      <c r="W59" s="1002"/>
      <c r="X59" s="1002"/>
      <c r="Y59" s="1002"/>
      <c r="Z59" s="1002"/>
      <c r="AA59" s="1002"/>
      <c r="AB59" s="1002"/>
      <c r="AC59" s="1002"/>
      <c r="AD59" s="1002"/>
      <c r="AE59" s="1002"/>
      <c r="AF59" s="1002"/>
      <c r="AG59" s="1002"/>
      <c r="AH59" s="1002"/>
      <c r="AI59" s="1002"/>
      <c r="AJ59" s="1002"/>
      <c r="AK59" s="1002"/>
      <c r="AL59" s="1002"/>
      <c r="AM59" s="1002"/>
      <c r="AN59" s="1002"/>
      <c r="AO59" s="1002"/>
      <c r="AP59" s="1002"/>
      <c r="AQ59" s="1002"/>
      <c r="AR59" s="1002"/>
      <c r="AS59" s="1002"/>
      <c r="AT59" s="1002"/>
      <c r="AU59" s="1002"/>
      <c r="AV59" s="1002"/>
      <c r="AW59" s="1002"/>
      <c r="AX59" s="1002"/>
      <c r="AY59" s="1002"/>
      <c r="AZ59" s="1002"/>
      <c r="BA59" s="1002"/>
      <c r="BB59" s="1002"/>
      <c r="BC59" s="1002"/>
      <c r="BD59" s="1002"/>
      <c r="BE59" s="204"/>
      <c r="BF59" s="205" t="s">
        <v>462</v>
      </c>
      <c r="BG59" s="204"/>
      <c r="BH59" s="204"/>
      <c r="BI59" s="204"/>
      <c r="BJ59" s="204"/>
      <c r="BK59" s="206"/>
    </row>
    <row r="60" spans="1:63" s="164" customFormat="1" ht="15.75" customHeight="1">
      <c r="A60" s="185"/>
      <c r="B60" s="193"/>
      <c r="C60" s="251" t="s">
        <v>416</v>
      </c>
      <c r="D60" s="183" t="s">
        <v>472</v>
      </c>
      <c r="E60" s="184"/>
      <c r="F60" s="184"/>
      <c r="G60" s="184"/>
      <c r="H60" s="184"/>
      <c r="I60" s="184"/>
      <c r="J60" s="184"/>
      <c r="K60" s="184"/>
      <c r="L60" s="193"/>
      <c r="M60" s="1003" t="s">
        <v>473</v>
      </c>
      <c r="N60" s="1002"/>
      <c r="O60" s="1002"/>
      <c r="P60" s="1002"/>
      <c r="Q60" s="1002"/>
      <c r="R60" s="1002"/>
      <c r="S60" s="1002"/>
      <c r="T60" s="1002"/>
      <c r="U60" s="1002"/>
      <c r="V60" s="1002"/>
      <c r="W60" s="1002"/>
      <c r="X60" s="1002"/>
      <c r="Y60" s="1002"/>
      <c r="Z60" s="1002"/>
      <c r="AA60" s="1002"/>
      <c r="AB60" s="1002"/>
      <c r="AC60" s="1002"/>
      <c r="AD60" s="1002"/>
      <c r="AE60" s="1002"/>
      <c r="AF60" s="1002"/>
      <c r="AG60" s="1002"/>
      <c r="AH60" s="1002"/>
      <c r="AI60" s="1002"/>
      <c r="AJ60" s="1002"/>
      <c r="AK60" s="1002"/>
      <c r="AL60" s="1002"/>
      <c r="AM60" s="1002"/>
      <c r="AN60" s="1002"/>
      <c r="AO60" s="1002"/>
      <c r="AP60" s="1002"/>
      <c r="AQ60" s="1002"/>
      <c r="AR60" s="1002"/>
      <c r="AS60" s="1002"/>
      <c r="AT60" s="1002"/>
      <c r="AU60" s="1002"/>
      <c r="AV60" s="1002"/>
      <c r="AW60" s="1002"/>
      <c r="AX60" s="1002"/>
      <c r="AY60" s="1002"/>
      <c r="AZ60" s="1002"/>
      <c r="BA60" s="1002"/>
      <c r="BB60" s="1002"/>
      <c r="BC60" s="1002"/>
      <c r="BD60" s="1002"/>
      <c r="BE60" s="204"/>
      <c r="BF60" s="205" t="s">
        <v>462</v>
      </c>
      <c r="BG60" s="204"/>
      <c r="BH60" s="204"/>
      <c r="BI60" s="204"/>
      <c r="BJ60" s="204"/>
      <c r="BK60" s="206"/>
    </row>
    <row r="61" spans="1:63" s="164" customFormat="1" ht="15.75" customHeight="1">
      <c r="A61" s="185"/>
      <c r="B61" s="193"/>
      <c r="C61" s="251" t="s">
        <v>416</v>
      </c>
      <c r="D61" s="183" t="s">
        <v>474</v>
      </c>
      <c r="E61" s="184"/>
      <c r="F61" s="184"/>
      <c r="G61" s="184"/>
      <c r="H61" s="184"/>
      <c r="I61" s="184"/>
      <c r="J61" s="184"/>
      <c r="K61" s="184"/>
      <c r="L61" s="193"/>
      <c r="M61" s="1003"/>
      <c r="N61" s="1002"/>
      <c r="O61" s="1002"/>
      <c r="P61" s="1002"/>
      <c r="Q61" s="1002"/>
      <c r="R61" s="1002"/>
      <c r="S61" s="1002"/>
      <c r="T61" s="1002"/>
      <c r="U61" s="1002"/>
      <c r="V61" s="1002"/>
      <c r="W61" s="1002"/>
      <c r="X61" s="1002"/>
      <c r="Y61" s="1002"/>
      <c r="Z61" s="1002"/>
      <c r="AA61" s="1002"/>
      <c r="AB61" s="1002"/>
      <c r="AC61" s="1002"/>
      <c r="AD61" s="1002"/>
      <c r="AE61" s="1002"/>
      <c r="AF61" s="1002"/>
      <c r="AG61" s="1002"/>
      <c r="AH61" s="1002"/>
      <c r="AI61" s="1002"/>
      <c r="AJ61" s="1002"/>
      <c r="AK61" s="1002"/>
      <c r="AL61" s="1002"/>
      <c r="AM61" s="1002"/>
      <c r="AN61" s="1002"/>
      <c r="AO61" s="1002"/>
      <c r="AP61" s="1002"/>
      <c r="AQ61" s="1002"/>
      <c r="AR61" s="1002"/>
      <c r="AS61" s="1002"/>
      <c r="AT61" s="1002"/>
      <c r="AU61" s="1002"/>
      <c r="AV61" s="1002"/>
      <c r="AW61" s="1002"/>
      <c r="AX61" s="1002"/>
      <c r="AY61" s="1002"/>
      <c r="AZ61" s="1002"/>
      <c r="BA61" s="1002"/>
      <c r="BB61" s="1002"/>
      <c r="BC61" s="1002"/>
      <c r="BD61" s="1002"/>
      <c r="BE61" s="204"/>
      <c r="BF61" s="205" t="s">
        <v>462</v>
      </c>
      <c r="BG61" s="204"/>
      <c r="BH61" s="204"/>
      <c r="BI61" s="204"/>
      <c r="BJ61" s="204"/>
      <c r="BK61" s="206"/>
    </row>
    <row r="62" spans="1:63" s="164" customFormat="1" ht="15.75" customHeight="1">
      <c r="A62" s="185"/>
      <c r="B62" s="193"/>
      <c r="C62" s="251" t="s">
        <v>416</v>
      </c>
      <c r="D62" s="183" t="s">
        <v>475</v>
      </c>
      <c r="E62" s="184"/>
      <c r="F62" s="184"/>
      <c r="G62" s="184"/>
      <c r="H62" s="184"/>
      <c r="I62" s="184"/>
      <c r="J62" s="184"/>
      <c r="K62" s="184"/>
      <c r="L62" s="193"/>
      <c r="M62" s="1003"/>
      <c r="N62" s="1002"/>
      <c r="O62" s="1002"/>
      <c r="P62" s="1002"/>
      <c r="Q62" s="1002"/>
      <c r="R62" s="1002"/>
      <c r="S62" s="1002"/>
      <c r="T62" s="1002"/>
      <c r="U62" s="1002"/>
      <c r="V62" s="1002"/>
      <c r="W62" s="1002"/>
      <c r="X62" s="1002"/>
      <c r="Y62" s="1002"/>
      <c r="Z62" s="1002"/>
      <c r="AA62" s="1002"/>
      <c r="AB62" s="1002"/>
      <c r="AC62" s="1002"/>
      <c r="AD62" s="1002"/>
      <c r="AE62" s="1002"/>
      <c r="AF62" s="1002"/>
      <c r="AG62" s="1002"/>
      <c r="AH62" s="1002"/>
      <c r="AI62" s="1002"/>
      <c r="AJ62" s="1002"/>
      <c r="AK62" s="1002"/>
      <c r="AL62" s="1002"/>
      <c r="AM62" s="1002"/>
      <c r="AN62" s="1002"/>
      <c r="AO62" s="1002"/>
      <c r="AP62" s="1002"/>
      <c r="AQ62" s="1002"/>
      <c r="AR62" s="1002"/>
      <c r="AS62" s="1002"/>
      <c r="AT62" s="1002"/>
      <c r="AU62" s="1002"/>
      <c r="AV62" s="1002"/>
      <c r="AW62" s="1002"/>
      <c r="AX62" s="1002"/>
      <c r="AY62" s="1002"/>
      <c r="AZ62" s="1002"/>
      <c r="BA62" s="1002"/>
      <c r="BB62" s="1002"/>
      <c r="BC62" s="1002"/>
      <c r="BD62" s="1002"/>
      <c r="BE62" s="204"/>
      <c r="BF62" s="205" t="s">
        <v>462</v>
      </c>
      <c r="BG62" s="204"/>
      <c r="BH62" s="204"/>
      <c r="BI62" s="204"/>
      <c r="BJ62" s="204"/>
      <c r="BK62" s="206"/>
    </row>
    <row r="63" spans="1:63" s="164" customFormat="1" ht="15.75" customHeight="1">
      <c r="A63" s="185"/>
      <c r="B63" s="193"/>
      <c r="C63" s="251" t="s">
        <v>416</v>
      </c>
      <c r="D63" s="183" t="s">
        <v>476</v>
      </c>
      <c r="E63" s="184"/>
      <c r="F63" s="184"/>
      <c r="G63" s="184"/>
      <c r="H63" s="184"/>
      <c r="I63" s="184"/>
      <c r="J63" s="184"/>
      <c r="K63" s="184"/>
      <c r="L63" s="193"/>
      <c r="M63" s="1001" t="s">
        <v>477</v>
      </c>
      <c r="N63" s="1002"/>
      <c r="O63" s="1002"/>
      <c r="P63" s="1002"/>
      <c r="Q63" s="1002"/>
      <c r="R63" s="1002"/>
      <c r="S63" s="1002"/>
      <c r="T63" s="1002"/>
      <c r="U63" s="1002"/>
      <c r="V63" s="1002"/>
      <c r="W63" s="1002"/>
      <c r="X63" s="1002"/>
      <c r="Y63" s="1002"/>
      <c r="Z63" s="1002"/>
      <c r="AA63" s="1002"/>
      <c r="AB63" s="1002"/>
      <c r="AC63" s="1002"/>
      <c r="AD63" s="1002"/>
      <c r="AE63" s="1002"/>
      <c r="AF63" s="1002"/>
      <c r="AG63" s="1002"/>
      <c r="AH63" s="1002"/>
      <c r="AI63" s="1002"/>
      <c r="AJ63" s="1002"/>
      <c r="AK63" s="1002"/>
      <c r="AL63" s="1002"/>
      <c r="AM63" s="1002"/>
      <c r="AN63" s="1002"/>
      <c r="AO63" s="1002"/>
      <c r="AP63" s="1002"/>
      <c r="AQ63" s="1002"/>
      <c r="AR63" s="1002"/>
      <c r="AS63" s="1002"/>
      <c r="AT63" s="1002"/>
      <c r="AU63" s="1002"/>
      <c r="AV63" s="1002"/>
      <c r="AW63" s="1002"/>
      <c r="AX63" s="1002"/>
      <c r="AY63" s="1002"/>
      <c r="AZ63" s="1002"/>
      <c r="BA63" s="1002"/>
      <c r="BB63" s="1002"/>
      <c r="BC63" s="1002"/>
      <c r="BD63" s="1002"/>
      <c r="BE63" s="204"/>
      <c r="BF63" s="205" t="s">
        <v>419</v>
      </c>
      <c r="BG63" s="204"/>
      <c r="BH63" s="204"/>
      <c r="BI63" s="204"/>
      <c r="BJ63" s="205" t="s">
        <v>409</v>
      </c>
      <c r="BK63" s="206"/>
    </row>
    <row r="64" spans="1:63" s="164" customFormat="1" ht="15.75" customHeight="1">
      <c r="A64" s="185"/>
      <c r="B64" s="193"/>
      <c r="C64" s="251" t="s">
        <v>416</v>
      </c>
      <c r="D64" s="183" t="s">
        <v>478</v>
      </c>
      <c r="E64" s="184"/>
      <c r="F64" s="184"/>
      <c r="G64" s="184"/>
      <c r="H64" s="184"/>
      <c r="I64" s="184"/>
      <c r="J64" s="184"/>
      <c r="K64" s="184"/>
      <c r="L64" s="193"/>
      <c r="M64" s="1003"/>
      <c r="N64" s="1002"/>
      <c r="O64" s="1002"/>
      <c r="P64" s="1002"/>
      <c r="Q64" s="1002"/>
      <c r="R64" s="1002"/>
      <c r="S64" s="1002"/>
      <c r="T64" s="1002"/>
      <c r="U64" s="1002"/>
      <c r="V64" s="1002"/>
      <c r="W64" s="1002"/>
      <c r="X64" s="1002"/>
      <c r="Y64" s="1002"/>
      <c r="Z64" s="1002"/>
      <c r="AA64" s="1002"/>
      <c r="AB64" s="1002"/>
      <c r="AC64" s="1002"/>
      <c r="AD64" s="1002"/>
      <c r="AE64" s="1002"/>
      <c r="AF64" s="1002"/>
      <c r="AG64" s="1002"/>
      <c r="AH64" s="1002"/>
      <c r="AI64" s="1002"/>
      <c r="AJ64" s="1002"/>
      <c r="AK64" s="1002"/>
      <c r="AL64" s="1002"/>
      <c r="AM64" s="1002"/>
      <c r="AN64" s="1002"/>
      <c r="AO64" s="1002"/>
      <c r="AP64" s="1002"/>
      <c r="AQ64" s="1002"/>
      <c r="AR64" s="1002"/>
      <c r="AS64" s="1002"/>
      <c r="AT64" s="1002"/>
      <c r="AU64" s="1002"/>
      <c r="AV64" s="1002"/>
      <c r="AW64" s="1002"/>
      <c r="AX64" s="1002"/>
      <c r="AY64" s="1002"/>
      <c r="AZ64" s="1002"/>
      <c r="BA64" s="1002"/>
      <c r="BB64" s="1002"/>
      <c r="BC64" s="1002"/>
      <c r="BD64" s="1002"/>
      <c r="BE64" s="204"/>
      <c r="BF64" s="205" t="s">
        <v>462</v>
      </c>
      <c r="BG64" s="204"/>
      <c r="BH64" s="204"/>
      <c r="BI64" s="204"/>
      <c r="BJ64" s="205" t="s">
        <v>409</v>
      </c>
      <c r="BK64" s="206"/>
    </row>
    <row r="65" spans="1:63" s="164" customFormat="1" ht="15.75" customHeight="1">
      <c r="A65" s="185"/>
      <c r="B65" s="193"/>
      <c r="C65" s="251" t="s">
        <v>416</v>
      </c>
      <c r="D65" s="183" t="s">
        <v>479</v>
      </c>
      <c r="E65" s="184"/>
      <c r="F65" s="184"/>
      <c r="G65" s="184"/>
      <c r="H65" s="184"/>
      <c r="I65" s="184"/>
      <c r="J65" s="184"/>
      <c r="K65" s="184"/>
      <c r="L65" s="193"/>
      <c r="M65" s="1003"/>
      <c r="N65" s="1002"/>
      <c r="O65" s="1002"/>
      <c r="P65" s="1002"/>
      <c r="Q65" s="1002"/>
      <c r="R65" s="1002"/>
      <c r="S65" s="1002"/>
      <c r="T65" s="1002"/>
      <c r="U65" s="1002"/>
      <c r="V65" s="1002"/>
      <c r="W65" s="1002"/>
      <c r="X65" s="1002"/>
      <c r="Y65" s="1002"/>
      <c r="Z65" s="1002"/>
      <c r="AA65" s="1002"/>
      <c r="AB65" s="1002"/>
      <c r="AC65" s="1002"/>
      <c r="AD65" s="1002"/>
      <c r="AE65" s="1002"/>
      <c r="AF65" s="1002"/>
      <c r="AG65" s="1002"/>
      <c r="AH65" s="1002"/>
      <c r="AI65" s="1002"/>
      <c r="AJ65" s="1002"/>
      <c r="AK65" s="1002"/>
      <c r="AL65" s="1002"/>
      <c r="AM65" s="1002"/>
      <c r="AN65" s="1002"/>
      <c r="AO65" s="1002"/>
      <c r="AP65" s="1002"/>
      <c r="AQ65" s="1002"/>
      <c r="AR65" s="1002"/>
      <c r="AS65" s="1002"/>
      <c r="AT65" s="1002"/>
      <c r="AU65" s="1002"/>
      <c r="AV65" s="1002"/>
      <c r="AW65" s="1002"/>
      <c r="AX65" s="1002"/>
      <c r="AY65" s="1002"/>
      <c r="AZ65" s="1002"/>
      <c r="BA65" s="1002"/>
      <c r="BB65" s="1002"/>
      <c r="BC65" s="1002"/>
      <c r="BD65" s="1002"/>
      <c r="BE65" s="204"/>
      <c r="BF65" s="205" t="s">
        <v>462</v>
      </c>
      <c r="BG65" s="204"/>
      <c r="BH65" s="204"/>
      <c r="BI65" s="204"/>
      <c r="BJ65" s="205" t="s">
        <v>409</v>
      </c>
      <c r="BK65" s="206"/>
    </row>
    <row r="66" spans="1:63" s="164" customFormat="1" ht="15.75" customHeight="1">
      <c r="A66" s="185"/>
      <c r="B66" s="193"/>
      <c r="C66" s="251" t="s">
        <v>416</v>
      </c>
      <c r="D66" s="183" t="s">
        <v>480</v>
      </c>
      <c r="E66" s="184"/>
      <c r="F66" s="184"/>
      <c r="G66" s="184"/>
      <c r="H66" s="184"/>
      <c r="I66" s="184"/>
      <c r="J66" s="184"/>
      <c r="K66" s="184"/>
      <c r="L66" s="193"/>
      <c r="M66" s="1003"/>
      <c r="N66" s="1002"/>
      <c r="O66" s="1002"/>
      <c r="P66" s="1002"/>
      <c r="Q66" s="1002"/>
      <c r="R66" s="1002"/>
      <c r="S66" s="1002"/>
      <c r="T66" s="1002"/>
      <c r="U66" s="1002"/>
      <c r="V66" s="1002"/>
      <c r="W66" s="1002"/>
      <c r="X66" s="1002"/>
      <c r="Y66" s="1002"/>
      <c r="Z66" s="1002"/>
      <c r="AA66" s="1002"/>
      <c r="AB66" s="1002"/>
      <c r="AC66" s="1002"/>
      <c r="AD66" s="1002"/>
      <c r="AE66" s="1002"/>
      <c r="AF66" s="1002"/>
      <c r="AG66" s="1002"/>
      <c r="AH66" s="1002"/>
      <c r="AI66" s="1002"/>
      <c r="AJ66" s="1002"/>
      <c r="AK66" s="1002"/>
      <c r="AL66" s="1002"/>
      <c r="AM66" s="1002"/>
      <c r="AN66" s="1002"/>
      <c r="AO66" s="1002"/>
      <c r="AP66" s="1002"/>
      <c r="AQ66" s="1002"/>
      <c r="AR66" s="1002"/>
      <c r="AS66" s="1002"/>
      <c r="AT66" s="1002"/>
      <c r="AU66" s="1002"/>
      <c r="AV66" s="1002"/>
      <c r="AW66" s="1002"/>
      <c r="AX66" s="1002"/>
      <c r="AY66" s="1002"/>
      <c r="AZ66" s="1002"/>
      <c r="BA66" s="1002"/>
      <c r="BB66" s="1002"/>
      <c r="BC66" s="1002"/>
      <c r="BD66" s="1002"/>
      <c r="BE66" s="204"/>
      <c r="BF66" s="205" t="s">
        <v>462</v>
      </c>
      <c r="BG66" s="204"/>
      <c r="BH66" s="204"/>
      <c r="BI66" s="204"/>
      <c r="BJ66" s="205" t="s">
        <v>409</v>
      </c>
      <c r="BK66" s="206"/>
    </row>
    <row r="67" spans="1:63" s="164" customFormat="1" ht="15.75" customHeight="1">
      <c r="A67" s="185"/>
      <c r="B67" s="193"/>
      <c r="C67" s="251" t="s">
        <v>416</v>
      </c>
      <c r="D67" s="183" t="s">
        <v>481</v>
      </c>
      <c r="E67" s="184"/>
      <c r="F67" s="184"/>
      <c r="G67" s="184"/>
      <c r="H67" s="184"/>
      <c r="I67" s="184"/>
      <c r="J67" s="184"/>
      <c r="K67" s="184"/>
      <c r="L67" s="193"/>
      <c r="M67" s="1003"/>
      <c r="N67" s="1002"/>
      <c r="O67" s="1002"/>
      <c r="P67" s="1002"/>
      <c r="Q67" s="1002"/>
      <c r="R67" s="1002"/>
      <c r="S67" s="1002"/>
      <c r="T67" s="1002"/>
      <c r="U67" s="1002"/>
      <c r="V67" s="1002"/>
      <c r="W67" s="1002"/>
      <c r="X67" s="1002"/>
      <c r="Y67" s="1002"/>
      <c r="Z67" s="1002"/>
      <c r="AA67" s="1002"/>
      <c r="AB67" s="1002"/>
      <c r="AC67" s="1002"/>
      <c r="AD67" s="1002"/>
      <c r="AE67" s="1002"/>
      <c r="AF67" s="1002"/>
      <c r="AG67" s="1002"/>
      <c r="AH67" s="1002"/>
      <c r="AI67" s="1002"/>
      <c r="AJ67" s="1002"/>
      <c r="AK67" s="1002"/>
      <c r="AL67" s="1002"/>
      <c r="AM67" s="1002"/>
      <c r="AN67" s="1002"/>
      <c r="AO67" s="1002"/>
      <c r="AP67" s="1002"/>
      <c r="AQ67" s="1002"/>
      <c r="AR67" s="1002"/>
      <c r="AS67" s="1002"/>
      <c r="AT67" s="1002"/>
      <c r="AU67" s="1002"/>
      <c r="AV67" s="1002"/>
      <c r="AW67" s="1002"/>
      <c r="AX67" s="1002"/>
      <c r="AY67" s="1002"/>
      <c r="AZ67" s="1002"/>
      <c r="BA67" s="1002"/>
      <c r="BB67" s="1002"/>
      <c r="BC67" s="1002"/>
      <c r="BD67" s="1002"/>
      <c r="BE67" s="204"/>
      <c r="BF67" s="205" t="s">
        <v>462</v>
      </c>
      <c r="BG67" s="204"/>
      <c r="BH67" s="204"/>
      <c r="BI67" s="204"/>
      <c r="BJ67" s="205" t="s">
        <v>409</v>
      </c>
      <c r="BK67" s="206"/>
    </row>
    <row r="68" spans="1:63" s="164" customFormat="1" ht="15.75" customHeight="1">
      <c r="A68" s="185"/>
      <c r="B68" s="193"/>
      <c r="C68" s="251" t="s">
        <v>416</v>
      </c>
      <c r="D68" s="183" t="s">
        <v>482</v>
      </c>
      <c r="E68" s="184"/>
      <c r="F68" s="184"/>
      <c r="G68" s="184"/>
      <c r="H68" s="184"/>
      <c r="I68" s="184"/>
      <c r="J68" s="184"/>
      <c r="K68" s="184"/>
      <c r="L68" s="193"/>
      <c r="M68" s="1003"/>
      <c r="N68" s="1002"/>
      <c r="O68" s="1002"/>
      <c r="P68" s="1002"/>
      <c r="Q68" s="1002"/>
      <c r="R68" s="1002"/>
      <c r="S68" s="1002"/>
      <c r="T68" s="1002"/>
      <c r="U68" s="1002"/>
      <c r="V68" s="1002"/>
      <c r="W68" s="1002"/>
      <c r="X68" s="1002"/>
      <c r="Y68" s="1002"/>
      <c r="Z68" s="1002"/>
      <c r="AA68" s="1002"/>
      <c r="AB68" s="1002"/>
      <c r="AC68" s="1002"/>
      <c r="AD68" s="1002"/>
      <c r="AE68" s="1002"/>
      <c r="AF68" s="1002"/>
      <c r="AG68" s="1002"/>
      <c r="AH68" s="1002"/>
      <c r="AI68" s="1002"/>
      <c r="AJ68" s="1002"/>
      <c r="AK68" s="1002"/>
      <c r="AL68" s="1002"/>
      <c r="AM68" s="1002"/>
      <c r="AN68" s="1002"/>
      <c r="AO68" s="1002"/>
      <c r="AP68" s="1002"/>
      <c r="AQ68" s="1002"/>
      <c r="AR68" s="1002"/>
      <c r="AS68" s="1002"/>
      <c r="AT68" s="1002"/>
      <c r="AU68" s="1002"/>
      <c r="AV68" s="1002"/>
      <c r="AW68" s="1002"/>
      <c r="AX68" s="1002"/>
      <c r="AY68" s="1002"/>
      <c r="AZ68" s="1002"/>
      <c r="BA68" s="1002"/>
      <c r="BB68" s="1002"/>
      <c r="BC68" s="1002"/>
      <c r="BD68" s="1002"/>
      <c r="BE68" s="204"/>
      <c r="BF68" s="205" t="s">
        <v>462</v>
      </c>
      <c r="BG68" s="204"/>
      <c r="BH68" s="204"/>
      <c r="BI68" s="204"/>
      <c r="BJ68" s="204"/>
      <c r="BK68" s="206"/>
    </row>
    <row r="69" spans="1:63" s="164" customFormat="1" ht="15.75" customHeight="1">
      <c r="A69" s="185"/>
      <c r="B69" s="193"/>
      <c r="C69" s="251" t="s">
        <v>416</v>
      </c>
      <c r="D69" s="183" t="s">
        <v>483</v>
      </c>
      <c r="E69" s="184"/>
      <c r="F69" s="184"/>
      <c r="G69" s="184"/>
      <c r="H69" s="184"/>
      <c r="I69" s="184"/>
      <c r="J69" s="184"/>
      <c r="K69" s="184"/>
      <c r="L69" s="193"/>
      <c r="M69" s="1003"/>
      <c r="N69" s="1002"/>
      <c r="O69" s="1002"/>
      <c r="P69" s="1002"/>
      <c r="Q69" s="1002"/>
      <c r="R69" s="1002"/>
      <c r="S69" s="1002"/>
      <c r="T69" s="1002"/>
      <c r="U69" s="1002"/>
      <c r="V69" s="1002"/>
      <c r="W69" s="1002"/>
      <c r="X69" s="1002"/>
      <c r="Y69" s="1002"/>
      <c r="Z69" s="1002"/>
      <c r="AA69" s="1002"/>
      <c r="AB69" s="1002"/>
      <c r="AC69" s="1002"/>
      <c r="AD69" s="1002"/>
      <c r="AE69" s="1002"/>
      <c r="AF69" s="1002"/>
      <c r="AG69" s="1002"/>
      <c r="AH69" s="1002"/>
      <c r="AI69" s="1002"/>
      <c r="AJ69" s="1002"/>
      <c r="AK69" s="1002"/>
      <c r="AL69" s="1002"/>
      <c r="AM69" s="1002"/>
      <c r="AN69" s="1002"/>
      <c r="AO69" s="1002"/>
      <c r="AP69" s="1002"/>
      <c r="AQ69" s="1002"/>
      <c r="AR69" s="1002"/>
      <c r="AS69" s="1002"/>
      <c r="AT69" s="1002"/>
      <c r="AU69" s="1002"/>
      <c r="AV69" s="1002"/>
      <c r="AW69" s="1002"/>
      <c r="AX69" s="1002"/>
      <c r="AY69" s="1002"/>
      <c r="AZ69" s="1002"/>
      <c r="BA69" s="1002"/>
      <c r="BB69" s="1002"/>
      <c r="BC69" s="1002"/>
      <c r="BD69" s="1002"/>
      <c r="BE69" s="204"/>
      <c r="BF69" s="205" t="s">
        <v>464</v>
      </c>
      <c r="BG69" s="204"/>
      <c r="BH69" s="204"/>
      <c r="BI69" s="204"/>
      <c r="BJ69" s="204"/>
      <c r="BK69" s="206"/>
    </row>
    <row r="70" spans="1:63" s="164" customFormat="1" ht="15.75" customHeight="1">
      <c r="A70" s="185"/>
      <c r="B70" s="193"/>
      <c r="C70" s="251" t="s">
        <v>416</v>
      </c>
      <c r="D70" s="183" t="s">
        <v>484</v>
      </c>
      <c r="E70" s="184"/>
      <c r="F70" s="184"/>
      <c r="G70" s="184"/>
      <c r="H70" s="184"/>
      <c r="I70" s="184"/>
      <c r="J70" s="184"/>
      <c r="K70" s="184"/>
      <c r="L70" s="193"/>
      <c r="M70" s="1003"/>
      <c r="N70" s="1002"/>
      <c r="O70" s="1002"/>
      <c r="P70" s="1002"/>
      <c r="Q70" s="1002"/>
      <c r="R70" s="1002"/>
      <c r="S70" s="1002"/>
      <c r="T70" s="1002"/>
      <c r="U70" s="1002"/>
      <c r="V70" s="1002"/>
      <c r="W70" s="1002"/>
      <c r="X70" s="1002"/>
      <c r="Y70" s="1002"/>
      <c r="Z70" s="1002"/>
      <c r="AA70" s="1002"/>
      <c r="AB70" s="1002"/>
      <c r="AC70" s="1002"/>
      <c r="AD70" s="1002"/>
      <c r="AE70" s="1002"/>
      <c r="AF70" s="1002"/>
      <c r="AG70" s="1002"/>
      <c r="AH70" s="1002"/>
      <c r="AI70" s="1002"/>
      <c r="AJ70" s="1002"/>
      <c r="AK70" s="1002"/>
      <c r="AL70" s="1002"/>
      <c r="AM70" s="1002"/>
      <c r="AN70" s="1002"/>
      <c r="AO70" s="1002"/>
      <c r="AP70" s="1002"/>
      <c r="AQ70" s="1002"/>
      <c r="AR70" s="1002"/>
      <c r="AS70" s="1002"/>
      <c r="AT70" s="1002"/>
      <c r="AU70" s="1002"/>
      <c r="AV70" s="1002"/>
      <c r="AW70" s="1002"/>
      <c r="AX70" s="1002"/>
      <c r="AY70" s="1002"/>
      <c r="AZ70" s="1002"/>
      <c r="BA70" s="1002"/>
      <c r="BB70" s="1002"/>
      <c r="BC70" s="1002"/>
      <c r="BD70" s="1002"/>
      <c r="BE70" s="204"/>
      <c r="BF70" s="205" t="s">
        <v>462</v>
      </c>
      <c r="BG70" s="204"/>
      <c r="BH70" s="204"/>
      <c r="BI70" s="204"/>
      <c r="BJ70" s="204"/>
      <c r="BK70" s="206"/>
    </row>
    <row r="71" spans="1:63" s="164" customFormat="1" ht="15.75" customHeight="1">
      <c r="A71" s="185"/>
      <c r="B71" s="193"/>
      <c r="C71" s="251" t="s">
        <v>416</v>
      </c>
      <c r="D71" s="183" t="s">
        <v>485</v>
      </c>
      <c r="E71" s="184"/>
      <c r="F71" s="184"/>
      <c r="G71" s="184"/>
      <c r="H71" s="184"/>
      <c r="I71" s="184"/>
      <c r="J71" s="184"/>
      <c r="K71" s="184"/>
      <c r="L71" s="193"/>
      <c r="M71" s="1003"/>
      <c r="N71" s="1002"/>
      <c r="O71" s="1002"/>
      <c r="P71" s="1002"/>
      <c r="Q71" s="1002"/>
      <c r="R71" s="1002"/>
      <c r="S71" s="1002"/>
      <c r="T71" s="1002"/>
      <c r="U71" s="1002"/>
      <c r="V71" s="1002"/>
      <c r="W71" s="1002"/>
      <c r="X71" s="1002"/>
      <c r="Y71" s="1002"/>
      <c r="Z71" s="1002"/>
      <c r="AA71" s="1002"/>
      <c r="AB71" s="1002"/>
      <c r="AC71" s="1002"/>
      <c r="AD71" s="1002"/>
      <c r="AE71" s="1002"/>
      <c r="AF71" s="1002"/>
      <c r="AG71" s="1002"/>
      <c r="AH71" s="1002"/>
      <c r="AI71" s="1002"/>
      <c r="AJ71" s="1002"/>
      <c r="AK71" s="1002"/>
      <c r="AL71" s="1002"/>
      <c r="AM71" s="1002"/>
      <c r="AN71" s="1002"/>
      <c r="AO71" s="1002"/>
      <c r="AP71" s="1002"/>
      <c r="AQ71" s="1002"/>
      <c r="AR71" s="1002"/>
      <c r="AS71" s="1002"/>
      <c r="AT71" s="1002"/>
      <c r="AU71" s="1002"/>
      <c r="AV71" s="1002"/>
      <c r="AW71" s="1002"/>
      <c r="AX71" s="1002"/>
      <c r="AY71" s="1002"/>
      <c r="AZ71" s="1002"/>
      <c r="BA71" s="1002"/>
      <c r="BB71" s="1002"/>
      <c r="BC71" s="1002"/>
      <c r="BD71" s="1002"/>
      <c r="BE71" s="204"/>
      <c r="BF71" s="205" t="s">
        <v>464</v>
      </c>
      <c r="BG71" s="204"/>
      <c r="BH71" s="204"/>
      <c r="BI71" s="204"/>
      <c r="BJ71" s="204"/>
      <c r="BK71" s="206"/>
    </row>
    <row r="72" spans="1:63" s="164" customFormat="1" ht="15.75" customHeight="1">
      <c r="A72" s="185"/>
      <c r="B72" s="193"/>
      <c r="C72" s="251" t="s">
        <v>416</v>
      </c>
      <c r="D72" s="183" t="s">
        <v>361</v>
      </c>
      <c r="E72" s="184"/>
      <c r="F72" s="184"/>
      <c r="G72" s="184"/>
      <c r="H72" s="184"/>
      <c r="I72" s="184"/>
      <c r="J72" s="184"/>
      <c r="K72" s="184"/>
      <c r="L72" s="193"/>
      <c r="M72" s="1003"/>
      <c r="N72" s="1002"/>
      <c r="O72" s="1002"/>
      <c r="P72" s="1002"/>
      <c r="Q72" s="1002"/>
      <c r="R72" s="1002"/>
      <c r="S72" s="1002"/>
      <c r="T72" s="1002"/>
      <c r="U72" s="1002"/>
      <c r="V72" s="1002"/>
      <c r="W72" s="1002"/>
      <c r="X72" s="1002"/>
      <c r="Y72" s="1002"/>
      <c r="Z72" s="1002"/>
      <c r="AA72" s="1002"/>
      <c r="AB72" s="1002"/>
      <c r="AC72" s="1002"/>
      <c r="AD72" s="1002"/>
      <c r="AE72" s="1002"/>
      <c r="AF72" s="1002"/>
      <c r="AG72" s="1002"/>
      <c r="AH72" s="1002"/>
      <c r="AI72" s="1002"/>
      <c r="AJ72" s="1002"/>
      <c r="AK72" s="1002"/>
      <c r="AL72" s="1002"/>
      <c r="AM72" s="1002"/>
      <c r="AN72" s="1002"/>
      <c r="AO72" s="1002"/>
      <c r="AP72" s="1002"/>
      <c r="AQ72" s="1002"/>
      <c r="AR72" s="1002"/>
      <c r="AS72" s="1002"/>
      <c r="AT72" s="1002"/>
      <c r="AU72" s="1002"/>
      <c r="AV72" s="1002"/>
      <c r="AW72" s="1002"/>
      <c r="AX72" s="1002"/>
      <c r="AY72" s="1002"/>
      <c r="AZ72" s="1002"/>
      <c r="BA72" s="1002"/>
      <c r="BB72" s="1002"/>
      <c r="BC72" s="1002"/>
      <c r="BD72" s="1002"/>
      <c r="BE72" s="205" t="s">
        <v>486</v>
      </c>
      <c r="BF72" s="205" t="s">
        <v>487</v>
      </c>
      <c r="BG72" s="204"/>
      <c r="BH72" s="204"/>
      <c r="BI72" s="204"/>
      <c r="BJ72" s="204"/>
      <c r="BK72" s="206"/>
    </row>
    <row r="73" spans="1:63" s="164" customFormat="1" ht="15.75" customHeight="1">
      <c r="A73" s="185"/>
      <c r="B73" s="193"/>
      <c r="C73" s="184"/>
      <c r="D73" s="183" t="s">
        <v>364</v>
      </c>
      <c r="E73" s="184"/>
      <c r="F73" s="184"/>
      <c r="G73" s="184"/>
      <c r="H73" s="184"/>
      <c r="I73" s="184"/>
      <c r="J73" s="184"/>
      <c r="K73" s="184"/>
      <c r="L73" s="193"/>
      <c r="M73" s="1003"/>
      <c r="N73" s="1002"/>
      <c r="O73" s="1002"/>
      <c r="P73" s="1002"/>
      <c r="Q73" s="1002"/>
      <c r="R73" s="1002"/>
      <c r="S73" s="1002"/>
      <c r="T73" s="1002"/>
      <c r="U73" s="1002"/>
      <c r="V73" s="1002"/>
      <c r="W73" s="1002"/>
      <c r="X73" s="1002"/>
      <c r="Y73" s="1002"/>
      <c r="Z73" s="1002"/>
      <c r="AA73" s="1002"/>
      <c r="AB73" s="1002"/>
      <c r="AC73" s="1002"/>
      <c r="AD73" s="1002"/>
      <c r="AE73" s="1002"/>
      <c r="AF73" s="1002"/>
      <c r="AG73" s="1002"/>
      <c r="AH73" s="1002"/>
      <c r="AI73" s="1002"/>
      <c r="AJ73" s="1002"/>
      <c r="AK73" s="1002"/>
      <c r="AL73" s="1002"/>
      <c r="AM73" s="1002"/>
      <c r="AN73" s="1002"/>
      <c r="AO73" s="1002"/>
      <c r="AP73" s="1002"/>
      <c r="AQ73" s="1002"/>
      <c r="AR73" s="1002"/>
      <c r="AS73" s="1002"/>
      <c r="AT73" s="1002"/>
      <c r="AU73" s="1002"/>
      <c r="AV73" s="1002"/>
      <c r="AW73" s="1002"/>
      <c r="AX73" s="1002"/>
      <c r="AY73" s="1002"/>
      <c r="AZ73" s="1002"/>
      <c r="BA73" s="1002"/>
      <c r="BB73" s="1002"/>
      <c r="BC73" s="1002"/>
      <c r="BD73" s="1002"/>
      <c r="BE73" s="204"/>
      <c r="BF73" s="205" t="s">
        <v>487</v>
      </c>
      <c r="BG73" s="204"/>
      <c r="BH73" s="204"/>
      <c r="BI73" s="204"/>
      <c r="BJ73" s="204"/>
      <c r="BK73" s="206"/>
    </row>
    <row r="74" spans="1:63" s="164" customFormat="1" ht="15.75" customHeight="1">
      <c r="A74" s="185"/>
      <c r="B74" s="193"/>
      <c r="C74" s="251" t="s">
        <v>416</v>
      </c>
      <c r="D74" s="183" t="s">
        <v>488</v>
      </c>
      <c r="E74" s="184"/>
      <c r="F74" s="184"/>
      <c r="G74" s="184"/>
      <c r="H74" s="184"/>
      <c r="I74" s="184"/>
      <c r="J74" s="184"/>
      <c r="K74" s="184"/>
      <c r="L74" s="193"/>
      <c r="M74" s="1003"/>
      <c r="N74" s="1002"/>
      <c r="O74" s="1002"/>
      <c r="P74" s="1002"/>
      <c r="Q74" s="1002"/>
      <c r="R74" s="1002"/>
      <c r="S74" s="1002"/>
      <c r="T74" s="1002"/>
      <c r="U74" s="1002"/>
      <c r="V74" s="1002"/>
      <c r="W74" s="1002"/>
      <c r="X74" s="1002"/>
      <c r="Y74" s="1002"/>
      <c r="Z74" s="1002"/>
      <c r="AA74" s="1002"/>
      <c r="AB74" s="1002"/>
      <c r="AC74" s="1002"/>
      <c r="AD74" s="1002"/>
      <c r="AE74" s="1002"/>
      <c r="AF74" s="1002"/>
      <c r="AG74" s="1002"/>
      <c r="AH74" s="1002"/>
      <c r="AI74" s="1002"/>
      <c r="AJ74" s="1002"/>
      <c r="AK74" s="1002"/>
      <c r="AL74" s="1002"/>
      <c r="AM74" s="1002"/>
      <c r="AN74" s="1002"/>
      <c r="AO74" s="1002"/>
      <c r="AP74" s="1002"/>
      <c r="AQ74" s="1002"/>
      <c r="AR74" s="1002"/>
      <c r="AS74" s="1002"/>
      <c r="AT74" s="1002"/>
      <c r="AU74" s="1002"/>
      <c r="AV74" s="1002"/>
      <c r="AW74" s="1002"/>
      <c r="AX74" s="1002"/>
      <c r="AY74" s="1002"/>
      <c r="AZ74" s="1002"/>
      <c r="BA74" s="1002"/>
      <c r="BB74" s="1002"/>
      <c r="BC74" s="1002"/>
      <c r="BD74" s="1002"/>
      <c r="BE74" s="205" t="s">
        <v>489</v>
      </c>
      <c r="BF74" s="205" t="s">
        <v>487</v>
      </c>
      <c r="BG74" s="204"/>
      <c r="BH74" s="204"/>
      <c r="BI74" s="204"/>
      <c r="BJ74" s="204"/>
      <c r="BK74" s="206"/>
    </row>
    <row r="75" spans="1:63" s="164" customFormat="1" ht="15.75" customHeight="1">
      <c r="A75" s="185"/>
      <c r="B75" s="193"/>
      <c r="C75" s="251" t="s">
        <v>416</v>
      </c>
      <c r="D75" s="183" t="s">
        <v>490</v>
      </c>
      <c r="E75" s="184"/>
      <c r="F75" s="184"/>
      <c r="G75" s="184"/>
      <c r="H75" s="184"/>
      <c r="I75" s="184"/>
      <c r="J75" s="184"/>
      <c r="K75" s="184"/>
      <c r="L75" s="193"/>
      <c r="M75" s="1003"/>
      <c r="N75" s="1002"/>
      <c r="O75" s="1002"/>
      <c r="P75" s="1002"/>
      <c r="Q75" s="1002"/>
      <c r="R75" s="1002"/>
      <c r="S75" s="1002"/>
      <c r="T75" s="1002"/>
      <c r="U75" s="1002"/>
      <c r="V75" s="1002"/>
      <c r="W75" s="1002"/>
      <c r="X75" s="1002"/>
      <c r="Y75" s="1002"/>
      <c r="Z75" s="1002"/>
      <c r="AA75" s="1002"/>
      <c r="AB75" s="1002"/>
      <c r="AC75" s="1002"/>
      <c r="AD75" s="1002"/>
      <c r="AE75" s="1002"/>
      <c r="AF75" s="1002"/>
      <c r="AG75" s="1002"/>
      <c r="AH75" s="1002"/>
      <c r="AI75" s="1002"/>
      <c r="AJ75" s="1002"/>
      <c r="AK75" s="1002"/>
      <c r="AL75" s="1002"/>
      <c r="AM75" s="1002"/>
      <c r="AN75" s="1002"/>
      <c r="AO75" s="1002"/>
      <c r="AP75" s="1002"/>
      <c r="AQ75" s="1002"/>
      <c r="AR75" s="1002"/>
      <c r="AS75" s="1002"/>
      <c r="AT75" s="1002"/>
      <c r="AU75" s="1002"/>
      <c r="AV75" s="1002"/>
      <c r="AW75" s="1002"/>
      <c r="AX75" s="1002"/>
      <c r="AY75" s="1002"/>
      <c r="AZ75" s="1002"/>
      <c r="BA75" s="1002"/>
      <c r="BB75" s="1002"/>
      <c r="BC75" s="1002"/>
      <c r="BD75" s="1002"/>
      <c r="BE75" s="204"/>
      <c r="BF75" s="205" t="s">
        <v>487</v>
      </c>
      <c r="BG75" s="204"/>
      <c r="BH75" s="204"/>
      <c r="BI75" s="204"/>
      <c r="BJ75" s="204"/>
      <c r="BK75" s="206"/>
    </row>
    <row r="76" spans="1:63" s="164" customFormat="1" ht="15.75" customHeight="1">
      <c r="A76" s="185"/>
      <c r="B76" s="193"/>
      <c r="C76" s="251" t="s">
        <v>416</v>
      </c>
      <c r="D76" s="183" t="s">
        <v>491</v>
      </c>
      <c r="E76" s="184"/>
      <c r="F76" s="184"/>
      <c r="G76" s="184"/>
      <c r="H76" s="184"/>
      <c r="I76" s="184"/>
      <c r="J76" s="184"/>
      <c r="K76" s="184"/>
      <c r="L76" s="193"/>
      <c r="M76" s="1001" t="s">
        <v>492</v>
      </c>
      <c r="N76" s="1002"/>
      <c r="O76" s="1002"/>
      <c r="P76" s="1002"/>
      <c r="Q76" s="1002"/>
      <c r="R76" s="1002"/>
      <c r="S76" s="1002"/>
      <c r="T76" s="1002"/>
      <c r="U76" s="1002"/>
      <c r="V76" s="1002"/>
      <c r="W76" s="1002"/>
      <c r="X76" s="1002"/>
      <c r="Y76" s="1002"/>
      <c r="Z76" s="1002"/>
      <c r="AA76" s="1002"/>
      <c r="AB76" s="1002"/>
      <c r="AC76" s="1002"/>
      <c r="AD76" s="1002"/>
      <c r="AE76" s="1002"/>
      <c r="AF76" s="1002"/>
      <c r="AG76" s="1002"/>
      <c r="AH76" s="1002"/>
      <c r="AI76" s="1002"/>
      <c r="AJ76" s="1002"/>
      <c r="AK76" s="1002"/>
      <c r="AL76" s="1002"/>
      <c r="AM76" s="1002"/>
      <c r="AN76" s="1002"/>
      <c r="AO76" s="1002"/>
      <c r="AP76" s="1002"/>
      <c r="AQ76" s="1002"/>
      <c r="AR76" s="1002"/>
      <c r="AS76" s="1002"/>
      <c r="AT76" s="1002"/>
      <c r="AU76" s="1002"/>
      <c r="AV76" s="1002"/>
      <c r="AW76" s="1002"/>
      <c r="AX76" s="1002"/>
      <c r="AY76" s="1002"/>
      <c r="AZ76" s="1002"/>
      <c r="BA76" s="1002"/>
      <c r="BB76" s="1002"/>
      <c r="BC76" s="1002"/>
      <c r="BD76" s="1002"/>
      <c r="BE76" s="204"/>
      <c r="BF76" s="205" t="s">
        <v>419</v>
      </c>
      <c r="BG76" s="204"/>
      <c r="BH76" s="204"/>
      <c r="BI76" s="204"/>
      <c r="BJ76" s="204"/>
      <c r="BK76" s="206"/>
    </row>
    <row r="77" spans="1:63" s="164" customFormat="1" ht="15.75" customHeight="1">
      <c r="A77" s="185"/>
      <c r="B77" s="193"/>
      <c r="C77" s="251" t="s">
        <v>416</v>
      </c>
      <c r="D77" s="183" t="s">
        <v>493</v>
      </c>
      <c r="E77" s="184"/>
      <c r="F77" s="184"/>
      <c r="G77" s="184"/>
      <c r="H77" s="184"/>
      <c r="I77" s="184"/>
      <c r="J77" s="184"/>
      <c r="K77" s="184"/>
      <c r="L77" s="193"/>
      <c r="M77" s="1003"/>
      <c r="N77" s="1002"/>
      <c r="O77" s="1002"/>
      <c r="P77" s="1002"/>
      <c r="Q77" s="1002"/>
      <c r="R77" s="1002"/>
      <c r="S77" s="1002"/>
      <c r="T77" s="1002"/>
      <c r="U77" s="1002"/>
      <c r="V77" s="1002"/>
      <c r="W77" s="1002"/>
      <c r="X77" s="1002"/>
      <c r="Y77" s="1002"/>
      <c r="Z77" s="1002"/>
      <c r="AA77" s="1002"/>
      <c r="AB77" s="1002"/>
      <c r="AC77" s="1002"/>
      <c r="AD77" s="1002"/>
      <c r="AE77" s="1002"/>
      <c r="AF77" s="1002"/>
      <c r="AG77" s="1002"/>
      <c r="AH77" s="1002"/>
      <c r="AI77" s="1002"/>
      <c r="AJ77" s="1002"/>
      <c r="AK77" s="1002"/>
      <c r="AL77" s="1002"/>
      <c r="AM77" s="1002"/>
      <c r="AN77" s="1002"/>
      <c r="AO77" s="1002"/>
      <c r="AP77" s="1002"/>
      <c r="AQ77" s="1002"/>
      <c r="AR77" s="1002"/>
      <c r="AS77" s="1002"/>
      <c r="AT77" s="1002"/>
      <c r="AU77" s="1002"/>
      <c r="AV77" s="1002"/>
      <c r="AW77" s="1002"/>
      <c r="AX77" s="1002"/>
      <c r="AY77" s="1002"/>
      <c r="AZ77" s="1002"/>
      <c r="BA77" s="1002"/>
      <c r="BB77" s="1002"/>
      <c r="BC77" s="1002"/>
      <c r="BD77" s="1002"/>
      <c r="BE77" s="204"/>
      <c r="BF77" s="205" t="s">
        <v>487</v>
      </c>
      <c r="BG77" s="204"/>
      <c r="BH77" s="204"/>
      <c r="BI77" s="204"/>
      <c r="BJ77" s="204"/>
      <c r="BK77" s="206"/>
    </row>
    <row r="78" spans="1:63" s="164" customFormat="1" ht="15.75" customHeight="1">
      <c r="A78" s="185"/>
      <c r="B78" s="193"/>
      <c r="C78" s="251" t="s">
        <v>416</v>
      </c>
      <c r="D78" s="183" t="s">
        <v>494</v>
      </c>
      <c r="E78" s="184"/>
      <c r="F78" s="184"/>
      <c r="G78" s="184"/>
      <c r="H78" s="184"/>
      <c r="I78" s="184"/>
      <c r="J78" s="184"/>
      <c r="K78" s="184"/>
      <c r="L78" s="193"/>
      <c r="M78" s="1003"/>
      <c r="N78" s="1002"/>
      <c r="O78" s="1002"/>
      <c r="P78" s="1002"/>
      <c r="Q78" s="1002"/>
      <c r="R78" s="1002"/>
      <c r="S78" s="1002"/>
      <c r="T78" s="1002"/>
      <c r="U78" s="1002"/>
      <c r="V78" s="1002"/>
      <c r="W78" s="1002"/>
      <c r="X78" s="1002"/>
      <c r="Y78" s="1002"/>
      <c r="Z78" s="1002"/>
      <c r="AA78" s="1002"/>
      <c r="AB78" s="1002"/>
      <c r="AC78" s="1002"/>
      <c r="AD78" s="1002"/>
      <c r="AE78" s="1002"/>
      <c r="AF78" s="1002"/>
      <c r="AG78" s="1002"/>
      <c r="AH78" s="1002"/>
      <c r="AI78" s="1002"/>
      <c r="AJ78" s="1002"/>
      <c r="AK78" s="1002"/>
      <c r="AL78" s="1002"/>
      <c r="AM78" s="1002"/>
      <c r="AN78" s="1002"/>
      <c r="AO78" s="1002"/>
      <c r="AP78" s="1002"/>
      <c r="AQ78" s="1002"/>
      <c r="AR78" s="1002"/>
      <c r="AS78" s="1002"/>
      <c r="AT78" s="1002"/>
      <c r="AU78" s="1002"/>
      <c r="AV78" s="1002"/>
      <c r="AW78" s="1002"/>
      <c r="AX78" s="1002"/>
      <c r="AY78" s="1002"/>
      <c r="AZ78" s="1002"/>
      <c r="BA78" s="1002"/>
      <c r="BB78" s="1002"/>
      <c r="BC78" s="1002"/>
      <c r="BD78" s="1002"/>
      <c r="BE78" s="205" t="s">
        <v>486</v>
      </c>
      <c r="BF78" s="205" t="s">
        <v>487</v>
      </c>
      <c r="BG78" s="204"/>
      <c r="BH78" s="204"/>
      <c r="BI78" s="204"/>
      <c r="BJ78" s="204"/>
      <c r="BK78" s="206"/>
    </row>
    <row r="79" spans="1:63" s="164" customFormat="1" ht="15.75" customHeight="1">
      <c r="A79" s="185"/>
      <c r="B79" s="193"/>
      <c r="C79" s="251" t="s">
        <v>416</v>
      </c>
      <c r="D79" s="183" t="s">
        <v>495</v>
      </c>
      <c r="E79" s="184"/>
      <c r="F79" s="184"/>
      <c r="G79" s="184"/>
      <c r="H79" s="184"/>
      <c r="I79" s="184"/>
      <c r="J79" s="184"/>
      <c r="K79" s="184"/>
      <c r="L79" s="193"/>
      <c r="M79" s="1003"/>
      <c r="N79" s="1002"/>
      <c r="O79" s="1002"/>
      <c r="P79" s="1002"/>
      <c r="Q79" s="1002"/>
      <c r="R79" s="1002"/>
      <c r="S79" s="1002"/>
      <c r="T79" s="1002"/>
      <c r="U79" s="1002"/>
      <c r="V79" s="1002"/>
      <c r="W79" s="1002"/>
      <c r="X79" s="1002"/>
      <c r="Y79" s="1002"/>
      <c r="Z79" s="1002"/>
      <c r="AA79" s="1002"/>
      <c r="AB79" s="1002"/>
      <c r="AC79" s="1002"/>
      <c r="AD79" s="1002"/>
      <c r="AE79" s="1002"/>
      <c r="AF79" s="1002"/>
      <c r="AG79" s="1002"/>
      <c r="AH79" s="1002"/>
      <c r="AI79" s="1002"/>
      <c r="AJ79" s="1002"/>
      <c r="AK79" s="1002"/>
      <c r="AL79" s="1002"/>
      <c r="AM79" s="1002"/>
      <c r="AN79" s="1002"/>
      <c r="AO79" s="1002"/>
      <c r="AP79" s="1002"/>
      <c r="AQ79" s="1002"/>
      <c r="AR79" s="1002"/>
      <c r="AS79" s="1002"/>
      <c r="AT79" s="1002"/>
      <c r="AU79" s="1002"/>
      <c r="AV79" s="1002"/>
      <c r="AW79" s="1002"/>
      <c r="AX79" s="1002"/>
      <c r="AY79" s="1002"/>
      <c r="AZ79" s="1002"/>
      <c r="BA79" s="1002"/>
      <c r="BB79" s="1002"/>
      <c r="BC79" s="1002"/>
      <c r="BD79" s="1002"/>
      <c r="BE79" s="204"/>
      <c r="BF79" s="205" t="s">
        <v>487</v>
      </c>
      <c r="BG79" s="204"/>
      <c r="BH79" s="204"/>
      <c r="BI79" s="204"/>
      <c r="BJ79" s="204"/>
      <c r="BK79" s="206"/>
    </row>
    <row r="80" spans="1:63" s="164" customFormat="1" ht="15.75" customHeight="1">
      <c r="A80" s="185"/>
      <c r="B80" s="193"/>
      <c r="C80" s="251" t="s">
        <v>416</v>
      </c>
      <c r="D80" s="183" t="s">
        <v>496</v>
      </c>
      <c r="E80" s="184"/>
      <c r="F80" s="184"/>
      <c r="G80" s="184"/>
      <c r="H80" s="184"/>
      <c r="I80" s="184"/>
      <c r="J80" s="184"/>
      <c r="K80" s="184"/>
      <c r="L80" s="193"/>
      <c r="M80" s="1003"/>
      <c r="N80" s="1002"/>
      <c r="O80" s="1002"/>
      <c r="P80" s="1002"/>
      <c r="Q80" s="1002"/>
      <c r="R80" s="1002"/>
      <c r="S80" s="1002"/>
      <c r="T80" s="1002"/>
      <c r="U80" s="1002"/>
      <c r="V80" s="1002"/>
      <c r="W80" s="1002"/>
      <c r="X80" s="1002"/>
      <c r="Y80" s="1002"/>
      <c r="Z80" s="1002"/>
      <c r="AA80" s="1002"/>
      <c r="AB80" s="1002"/>
      <c r="AC80" s="1002"/>
      <c r="AD80" s="1002"/>
      <c r="AE80" s="1002"/>
      <c r="AF80" s="1002"/>
      <c r="AG80" s="1002"/>
      <c r="AH80" s="1002"/>
      <c r="AI80" s="1002"/>
      <c r="AJ80" s="1002"/>
      <c r="AK80" s="1002"/>
      <c r="AL80" s="1002"/>
      <c r="AM80" s="1002"/>
      <c r="AN80" s="1002"/>
      <c r="AO80" s="1002"/>
      <c r="AP80" s="1002"/>
      <c r="AQ80" s="1002"/>
      <c r="AR80" s="1002"/>
      <c r="AS80" s="1002"/>
      <c r="AT80" s="1002"/>
      <c r="AU80" s="1002"/>
      <c r="AV80" s="1002"/>
      <c r="AW80" s="1002"/>
      <c r="AX80" s="1002"/>
      <c r="AY80" s="1002"/>
      <c r="AZ80" s="1002"/>
      <c r="BA80" s="1002"/>
      <c r="BB80" s="1002"/>
      <c r="BC80" s="1002"/>
      <c r="BD80" s="1002"/>
      <c r="BE80" s="205" t="s">
        <v>486</v>
      </c>
      <c r="BF80" s="205" t="s">
        <v>487</v>
      </c>
      <c r="BG80" s="204"/>
      <c r="BH80" s="204"/>
      <c r="BI80" s="204"/>
      <c r="BJ80" s="204"/>
      <c r="BK80" s="206"/>
    </row>
    <row r="81" spans="1:63" s="164" customFormat="1" ht="15.75" customHeight="1">
      <c r="A81" s="185"/>
      <c r="B81" s="193"/>
      <c r="C81" s="251" t="s">
        <v>416</v>
      </c>
      <c r="D81" s="183" t="s">
        <v>497</v>
      </c>
      <c r="E81" s="184"/>
      <c r="F81" s="184"/>
      <c r="G81" s="184"/>
      <c r="H81" s="184"/>
      <c r="I81" s="184"/>
      <c r="J81" s="184"/>
      <c r="K81" s="184"/>
      <c r="L81" s="193"/>
      <c r="M81" s="1003"/>
      <c r="N81" s="1002"/>
      <c r="O81" s="1002"/>
      <c r="P81" s="1002"/>
      <c r="Q81" s="1002"/>
      <c r="R81" s="1002"/>
      <c r="S81" s="1002"/>
      <c r="T81" s="1002"/>
      <c r="U81" s="1002"/>
      <c r="V81" s="1002"/>
      <c r="W81" s="1002"/>
      <c r="X81" s="1002"/>
      <c r="Y81" s="1002"/>
      <c r="Z81" s="1002"/>
      <c r="AA81" s="1002"/>
      <c r="AB81" s="1002"/>
      <c r="AC81" s="1002"/>
      <c r="AD81" s="1002"/>
      <c r="AE81" s="1002"/>
      <c r="AF81" s="1002"/>
      <c r="AG81" s="1002"/>
      <c r="AH81" s="1002"/>
      <c r="AI81" s="1002"/>
      <c r="AJ81" s="1002"/>
      <c r="AK81" s="1002"/>
      <c r="AL81" s="1002"/>
      <c r="AM81" s="1002"/>
      <c r="AN81" s="1002"/>
      <c r="AO81" s="1002"/>
      <c r="AP81" s="1002"/>
      <c r="AQ81" s="1002"/>
      <c r="AR81" s="1002"/>
      <c r="AS81" s="1002"/>
      <c r="AT81" s="1002"/>
      <c r="AU81" s="1002"/>
      <c r="AV81" s="1002"/>
      <c r="AW81" s="1002"/>
      <c r="AX81" s="1002"/>
      <c r="AY81" s="1002"/>
      <c r="AZ81" s="1002"/>
      <c r="BA81" s="1002"/>
      <c r="BB81" s="1002"/>
      <c r="BC81" s="1002"/>
      <c r="BD81" s="1002"/>
      <c r="BE81" s="204"/>
      <c r="BF81" s="205" t="s">
        <v>487</v>
      </c>
      <c r="BG81" s="204"/>
      <c r="BH81" s="204"/>
      <c r="BI81" s="204"/>
      <c r="BJ81" s="204"/>
      <c r="BK81" s="206"/>
    </row>
    <row r="82" spans="1:63" s="164" customFormat="1" ht="15.75" customHeight="1">
      <c r="A82" s="185"/>
      <c r="B82" s="193"/>
      <c r="C82" s="251" t="s">
        <v>416</v>
      </c>
      <c r="D82" s="183" t="s">
        <v>498</v>
      </c>
      <c r="E82" s="184"/>
      <c r="F82" s="184"/>
      <c r="G82" s="184"/>
      <c r="H82" s="184"/>
      <c r="I82" s="184"/>
      <c r="J82" s="184"/>
      <c r="K82" s="184"/>
      <c r="L82" s="193"/>
      <c r="M82" s="1003"/>
      <c r="N82" s="1002"/>
      <c r="O82" s="1002"/>
      <c r="P82" s="1002"/>
      <c r="Q82" s="1002"/>
      <c r="R82" s="1002"/>
      <c r="S82" s="1002"/>
      <c r="T82" s="1002"/>
      <c r="U82" s="1002"/>
      <c r="V82" s="1002"/>
      <c r="W82" s="1002"/>
      <c r="X82" s="1002"/>
      <c r="Y82" s="1002"/>
      <c r="Z82" s="1002"/>
      <c r="AA82" s="1002"/>
      <c r="AB82" s="1002"/>
      <c r="AC82" s="1002"/>
      <c r="AD82" s="1002"/>
      <c r="AE82" s="1002"/>
      <c r="AF82" s="1002"/>
      <c r="AG82" s="1002"/>
      <c r="AH82" s="1002"/>
      <c r="AI82" s="1002"/>
      <c r="AJ82" s="1002"/>
      <c r="AK82" s="1002"/>
      <c r="AL82" s="1002"/>
      <c r="AM82" s="1002"/>
      <c r="AN82" s="1002"/>
      <c r="AO82" s="1002"/>
      <c r="AP82" s="1002"/>
      <c r="AQ82" s="1002"/>
      <c r="AR82" s="1002"/>
      <c r="AS82" s="1002"/>
      <c r="AT82" s="1002"/>
      <c r="AU82" s="1002"/>
      <c r="AV82" s="1002"/>
      <c r="AW82" s="1002"/>
      <c r="AX82" s="1002"/>
      <c r="AY82" s="1002"/>
      <c r="AZ82" s="1002"/>
      <c r="BA82" s="1002"/>
      <c r="BB82" s="1002"/>
      <c r="BC82" s="1002"/>
      <c r="BD82" s="1002"/>
      <c r="BE82" s="205" t="s">
        <v>489</v>
      </c>
      <c r="BF82" s="205" t="s">
        <v>487</v>
      </c>
      <c r="BG82" s="204"/>
      <c r="BH82" s="204"/>
      <c r="BI82" s="204"/>
      <c r="BJ82" s="204"/>
      <c r="BK82" s="206"/>
    </row>
    <row r="83" spans="1:63" s="164" customFormat="1" ht="15.75" customHeight="1">
      <c r="A83" s="185"/>
      <c r="B83" s="193"/>
      <c r="C83" s="251" t="s">
        <v>416</v>
      </c>
      <c r="D83" s="183" t="s">
        <v>499</v>
      </c>
      <c r="E83" s="184"/>
      <c r="F83" s="184"/>
      <c r="G83" s="184"/>
      <c r="H83" s="184"/>
      <c r="I83" s="184"/>
      <c r="J83" s="184"/>
      <c r="K83" s="184"/>
      <c r="L83" s="193"/>
      <c r="M83" s="1003"/>
      <c r="N83" s="1002"/>
      <c r="O83" s="1002"/>
      <c r="P83" s="1002"/>
      <c r="Q83" s="1002"/>
      <c r="R83" s="1002"/>
      <c r="S83" s="1002"/>
      <c r="T83" s="1002"/>
      <c r="U83" s="1002"/>
      <c r="V83" s="1002"/>
      <c r="W83" s="1002"/>
      <c r="X83" s="1002"/>
      <c r="Y83" s="1002"/>
      <c r="Z83" s="1002"/>
      <c r="AA83" s="1002"/>
      <c r="AB83" s="1002"/>
      <c r="AC83" s="1002"/>
      <c r="AD83" s="1002"/>
      <c r="AE83" s="1002"/>
      <c r="AF83" s="1002"/>
      <c r="AG83" s="1002"/>
      <c r="AH83" s="1002"/>
      <c r="AI83" s="1002"/>
      <c r="AJ83" s="1002"/>
      <c r="AK83" s="1002"/>
      <c r="AL83" s="1002"/>
      <c r="AM83" s="1002"/>
      <c r="AN83" s="1002"/>
      <c r="AO83" s="1002"/>
      <c r="AP83" s="1002"/>
      <c r="AQ83" s="1002"/>
      <c r="AR83" s="1002"/>
      <c r="AS83" s="1002"/>
      <c r="AT83" s="1002"/>
      <c r="AU83" s="1002"/>
      <c r="AV83" s="1002"/>
      <c r="AW83" s="1002"/>
      <c r="AX83" s="1002"/>
      <c r="AY83" s="1002"/>
      <c r="AZ83" s="1002"/>
      <c r="BA83" s="1002"/>
      <c r="BB83" s="1002"/>
      <c r="BC83" s="1002"/>
      <c r="BD83" s="1002"/>
      <c r="BE83" s="204"/>
      <c r="BF83" s="205" t="s">
        <v>487</v>
      </c>
      <c r="BG83" s="204"/>
      <c r="BH83" s="204"/>
      <c r="BI83" s="204"/>
      <c r="BJ83" s="204"/>
      <c r="BK83" s="206"/>
    </row>
    <row r="84" spans="1:63" s="164" customFormat="1" ht="15.75" customHeight="1">
      <c r="A84" s="185"/>
      <c r="B84" s="193"/>
      <c r="C84" s="251" t="s">
        <v>416</v>
      </c>
      <c r="D84" s="183" t="s">
        <v>500</v>
      </c>
      <c r="E84" s="184"/>
      <c r="F84" s="184"/>
      <c r="G84" s="184"/>
      <c r="H84" s="184"/>
      <c r="I84" s="184"/>
      <c r="J84" s="184"/>
      <c r="K84" s="184"/>
      <c r="L84" s="193"/>
      <c r="M84" s="1003"/>
      <c r="N84" s="1002"/>
      <c r="O84" s="1002"/>
      <c r="P84" s="1002"/>
      <c r="Q84" s="1002"/>
      <c r="R84" s="1002"/>
      <c r="S84" s="1002"/>
      <c r="T84" s="1002"/>
      <c r="U84" s="1002"/>
      <c r="V84" s="1002"/>
      <c r="W84" s="1002"/>
      <c r="X84" s="1002"/>
      <c r="Y84" s="1002"/>
      <c r="Z84" s="1002"/>
      <c r="AA84" s="1002"/>
      <c r="AB84" s="1002"/>
      <c r="AC84" s="1002"/>
      <c r="AD84" s="1002"/>
      <c r="AE84" s="1002"/>
      <c r="AF84" s="1002"/>
      <c r="AG84" s="1002"/>
      <c r="AH84" s="1002"/>
      <c r="AI84" s="1002"/>
      <c r="AJ84" s="1002"/>
      <c r="AK84" s="1002"/>
      <c r="AL84" s="1002"/>
      <c r="AM84" s="1002"/>
      <c r="AN84" s="1002"/>
      <c r="AO84" s="1002"/>
      <c r="AP84" s="1002"/>
      <c r="AQ84" s="1002"/>
      <c r="AR84" s="1002"/>
      <c r="AS84" s="1002"/>
      <c r="AT84" s="1002"/>
      <c r="AU84" s="1002"/>
      <c r="AV84" s="1002"/>
      <c r="AW84" s="1002"/>
      <c r="AX84" s="1002"/>
      <c r="AY84" s="1002"/>
      <c r="AZ84" s="1002"/>
      <c r="BA84" s="1002"/>
      <c r="BB84" s="1002"/>
      <c r="BC84" s="1002"/>
      <c r="BD84" s="1002"/>
      <c r="BE84" s="204"/>
      <c r="BF84" s="205" t="s">
        <v>487</v>
      </c>
      <c r="BG84" s="204"/>
      <c r="BH84" s="204"/>
      <c r="BI84" s="204"/>
      <c r="BJ84" s="205" t="s">
        <v>409</v>
      </c>
      <c r="BK84" s="206"/>
    </row>
    <row r="85" spans="1:63" s="164" customFormat="1" ht="15.75" customHeight="1">
      <c r="A85" s="185"/>
      <c r="B85" s="193"/>
      <c r="C85" s="251" t="s">
        <v>416</v>
      </c>
      <c r="D85" s="183" t="s">
        <v>501</v>
      </c>
      <c r="E85" s="184"/>
      <c r="F85" s="184"/>
      <c r="G85" s="184"/>
      <c r="H85" s="184"/>
      <c r="I85" s="184"/>
      <c r="J85" s="184"/>
      <c r="K85" s="184"/>
      <c r="L85" s="193"/>
      <c r="M85" s="1003"/>
      <c r="N85" s="1002"/>
      <c r="O85" s="1002"/>
      <c r="P85" s="1002"/>
      <c r="Q85" s="1002"/>
      <c r="R85" s="1002"/>
      <c r="S85" s="1002"/>
      <c r="T85" s="1002"/>
      <c r="U85" s="1002"/>
      <c r="V85" s="1002"/>
      <c r="W85" s="1002"/>
      <c r="X85" s="1002"/>
      <c r="Y85" s="1002"/>
      <c r="Z85" s="1002"/>
      <c r="AA85" s="1002"/>
      <c r="AB85" s="1002"/>
      <c r="AC85" s="1002"/>
      <c r="AD85" s="1002"/>
      <c r="AE85" s="1002"/>
      <c r="AF85" s="1002"/>
      <c r="AG85" s="1002"/>
      <c r="AH85" s="1002"/>
      <c r="AI85" s="1002"/>
      <c r="AJ85" s="1002"/>
      <c r="AK85" s="1002"/>
      <c r="AL85" s="1002"/>
      <c r="AM85" s="1002"/>
      <c r="AN85" s="1002"/>
      <c r="AO85" s="1002"/>
      <c r="AP85" s="1002"/>
      <c r="AQ85" s="1002"/>
      <c r="AR85" s="1002"/>
      <c r="AS85" s="1002"/>
      <c r="AT85" s="1002"/>
      <c r="AU85" s="1002"/>
      <c r="AV85" s="1002"/>
      <c r="AW85" s="1002"/>
      <c r="AX85" s="1002"/>
      <c r="AY85" s="1002"/>
      <c r="AZ85" s="1002"/>
      <c r="BA85" s="1002"/>
      <c r="BB85" s="1002"/>
      <c r="BC85" s="1002"/>
      <c r="BD85" s="1002"/>
      <c r="BE85" s="204"/>
      <c r="BF85" s="205" t="s">
        <v>487</v>
      </c>
      <c r="BG85" s="204"/>
      <c r="BH85" s="204"/>
      <c r="BI85" s="204"/>
      <c r="BJ85" s="205" t="s">
        <v>409</v>
      </c>
      <c r="BK85" s="206"/>
    </row>
    <row r="86" spans="1:63" s="164" customFormat="1" ht="15.75" customHeight="1">
      <c r="A86" s="185"/>
      <c r="B86" s="193"/>
      <c r="C86" s="251" t="s">
        <v>416</v>
      </c>
      <c r="D86" s="183" t="s">
        <v>502</v>
      </c>
      <c r="E86" s="184"/>
      <c r="F86" s="184"/>
      <c r="G86" s="184"/>
      <c r="H86" s="184"/>
      <c r="I86" s="184"/>
      <c r="J86" s="184"/>
      <c r="K86" s="184"/>
      <c r="L86" s="193"/>
      <c r="M86" s="1003"/>
      <c r="N86" s="1002"/>
      <c r="O86" s="1002"/>
      <c r="P86" s="1002"/>
      <c r="Q86" s="1002"/>
      <c r="R86" s="1002"/>
      <c r="S86" s="1002"/>
      <c r="T86" s="1002"/>
      <c r="U86" s="1002"/>
      <c r="V86" s="1002"/>
      <c r="W86" s="1002"/>
      <c r="X86" s="1002"/>
      <c r="Y86" s="1002"/>
      <c r="Z86" s="1002"/>
      <c r="AA86" s="1002"/>
      <c r="AB86" s="1002"/>
      <c r="AC86" s="1002"/>
      <c r="AD86" s="1002"/>
      <c r="AE86" s="1002"/>
      <c r="AF86" s="1002"/>
      <c r="AG86" s="1002"/>
      <c r="AH86" s="1002"/>
      <c r="AI86" s="1002"/>
      <c r="AJ86" s="1002"/>
      <c r="AK86" s="1002"/>
      <c r="AL86" s="1002"/>
      <c r="AM86" s="1002"/>
      <c r="AN86" s="1002"/>
      <c r="AO86" s="1002"/>
      <c r="AP86" s="1002"/>
      <c r="AQ86" s="1002"/>
      <c r="AR86" s="1002"/>
      <c r="AS86" s="1002"/>
      <c r="AT86" s="1002"/>
      <c r="AU86" s="1002"/>
      <c r="AV86" s="1002"/>
      <c r="AW86" s="1002"/>
      <c r="AX86" s="1002"/>
      <c r="AY86" s="1002"/>
      <c r="AZ86" s="1002"/>
      <c r="BA86" s="1002"/>
      <c r="BB86" s="1002"/>
      <c r="BC86" s="1002"/>
      <c r="BD86" s="1002"/>
      <c r="BE86" s="205" t="s">
        <v>489</v>
      </c>
      <c r="BF86" s="205" t="s">
        <v>487</v>
      </c>
      <c r="BG86" s="204"/>
      <c r="BH86" s="204"/>
      <c r="BI86" s="204"/>
      <c r="BJ86" s="204"/>
      <c r="BK86" s="206"/>
    </row>
    <row r="87" spans="1:63" s="164" customFormat="1" ht="15.75" customHeight="1">
      <c r="A87" s="185"/>
      <c r="B87" s="193"/>
      <c r="C87" s="251" t="s">
        <v>416</v>
      </c>
      <c r="D87" s="183" t="s">
        <v>503</v>
      </c>
      <c r="E87" s="184"/>
      <c r="F87" s="184"/>
      <c r="G87" s="184"/>
      <c r="H87" s="184"/>
      <c r="I87" s="184"/>
      <c r="J87" s="184"/>
      <c r="K87" s="184"/>
      <c r="L87" s="193"/>
      <c r="M87" s="1003"/>
      <c r="N87" s="1002"/>
      <c r="O87" s="1002"/>
      <c r="P87" s="1002"/>
      <c r="Q87" s="1002"/>
      <c r="R87" s="1002"/>
      <c r="S87" s="1002"/>
      <c r="T87" s="1002"/>
      <c r="U87" s="1002"/>
      <c r="V87" s="1002"/>
      <c r="W87" s="1002"/>
      <c r="X87" s="1002"/>
      <c r="Y87" s="1002"/>
      <c r="Z87" s="1002"/>
      <c r="AA87" s="1002"/>
      <c r="AB87" s="1002"/>
      <c r="AC87" s="1002"/>
      <c r="AD87" s="1002"/>
      <c r="AE87" s="1002"/>
      <c r="AF87" s="1002"/>
      <c r="AG87" s="1002"/>
      <c r="AH87" s="1002"/>
      <c r="AI87" s="1002"/>
      <c r="AJ87" s="1002"/>
      <c r="AK87" s="1002"/>
      <c r="AL87" s="1002"/>
      <c r="AM87" s="1002"/>
      <c r="AN87" s="1002"/>
      <c r="AO87" s="1002"/>
      <c r="AP87" s="1002"/>
      <c r="AQ87" s="1002"/>
      <c r="AR87" s="1002"/>
      <c r="AS87" s="1002"/>
      <c r="AT87" s="1002"/>
      <c r="AU87" s="1002"/>
      <c r="AV87" s="1002"/>
      <c r="AW87" s="1002"/>
      <c r="AX87" s="1002"/>
      <c r="AY87" s="1002"/>
      <c r="AZ87" s="1002"/>
      <c r="BA87" s="1002"/>
      <c r="BB87" s="1002"/>
      <c r="BC87" s="1002"/>
      <c r="BD87" s="1002"/>
      <c r="BE87" s="204"/>
      <c r="BF87" s="205" t="s">
        <v>487</v>
      </c>
      <c r="BG87" s="204"/>
      <c r="BH87" s="204"/>
      <c r="BI87" s="204"/>
      <c r="BJ87" s="204"/>
      <c r="BK87" s="206"/>
    </row>
    <row r="88" spans="1:63" s="164" customFormat="1" ht="15.75" customHeight="1">
      <c r="A88" s="185"/>
      <c r="B88" s="193"/>
      <c r="C88" s="251" t="s">
        <v>416</v>
      </c>
      <c r="D88" s="183" t="s">
        <v>504</v>
      </c>
      <c r="E88" s="184"/>
      <c r="F88" s="184"/>
      <c r="G88" s="184"/>
      <c r="H88" s="184"/>
      <c r="I88" s="184"/>
      <c r="J88" s="184"/>
      <c r="K88" s="184"/>
      <c r="L88" s="193"/>
      <c r="M88" s="1003"/>
      <c r="N88" s="1002"/>
      <c r="O88" s="1002"/>
      <c r="P88" s="1002"/>
      <c r="Q88" s="1002"/>
      <c r="R88" s="1002"/>
      <c r="S88" s="1002"/>
      <c r="T88" s="1002"/>
      <c r="U88" s="1002"/>
      <c r="V88" s="1002"/>
      <c r="W88" s="1002"/>
      <c r="X88" s="1002"/>
      <c r="Y88" s="1002"/>
      <c r="Z88" s="1002"/>
      <c r="AA88" s="1002"/>
      <c r="AB88" s="1002"/>
      <c r="AC88" s="1002"/>
      <c r="AD88" s="1002"/>
      <c r="AE88" s="1002"/>
      <c r="AF88" s="1002"/>
      <c r="AG88" s="1002"/>
      <c r="AH88" s="1002"/>
      <c r="AI88" s="1002"/>
      <c r="AJ88" s="1002"/>
      <c r="AK88" s="1002"/>
      <c r="AL88" s="1002"/>
      <c r="AM88" s="1002"/>
      <c r="AN88" s="1002"/>
      <c r="AO88" s="1002"/>
      <c r="AP88" s="1002"/>
      <c r="AQ88" s="1002"/>
      <c r="AR88" s="1002"/>
      <c r="AS88" s="1002"/>
      <c r="AT88" s="1002"/>
      <c r="AU88" s="1002"/>
      <c r="AV88" s="1002"/>
      <c r="AW88" s="1002"/>
      <c r="AX88" s="1002"/>
      <c r="AY88" s="1002"/>
      <c r="AZ88" s="1002"/>
      <c r="BA88" s="1002"/>
      <c r="BB88" s="1002"/>
      <c r="BC88" s="1002"/>
      <c r="BD88" s="1002"/>
      <c r="BE88" s="205" t="s">
        <v>486</v>
      </c>
      <c r="BF88" s="205" t="s">
        <v>487</v>
      </c>
      <c r="BG88" s="204"/>
      <c r="BH88" s="204"/>
      <c r="BI88" s="204"/>
      <c r="BJ88" s="204"/>
      <c r="BK88" s="206"/>
    </row>
    <row r="89" spans="1:63" s="164" customFormat="1" ht="15.75" customHeight="1">
      <c r="A89" s="185"/>
      <c r="B89" s="193"/>
      <c r="C89" s="184"/>
      <c r="D89" s="183" t="s">
        <v>1392</v>
      </c>
      <c r="E89" s="184"/>
      <c r="F89" s="184"/>
      <c r="G89" s="184"/>
      <c r="H89" s="184"/>
      <c r="I89" s="184"/>
      <c r="J89" s="184"/>
      <c r="K89" s="184"/>
      <c r="L89" s="193"/>
      <c r="M89" s="1003"/>
      <c r="N89" s="1002"/>
      <c r="O89" s="1002"/>
      <c r="P89" s="1002"/>
      <c r="Q89" s="1002"/>
      <c r="R89" s="1002"/>
      <c r="S89" s="1002"/>
      <c r="T89" s="1002"/>
      <c r="U89" s="1002"/>
      <c r="V89" s="1002"/>
      <c r="W89" s="1002"/>
      <c r="X89" s="1002"/>
      <c r="Y89" s="1002"/>
      <c r="Z89" s="1002"/>
      <c r="AA89" s="1002"/>
      <c r="AB89" s="1002"/>
      <c r="AC89" s="1002"/>
      <c r="AD89" s="1002"/>
      <c r="AE89" s="1002"/>
      <c r="AF89" s="1002"/>
      <c r="AG89" s="1002"/>
      <c r="AH89" s="1002"/>
      <c r="AI89" s="1002"/>
      <c r="AJ89" s="1002"/>
      <c r="AK89" s="1002"/>
      <c r="AL89" s="1002"/>
      <c r="AM89" s="1002"/>
      <c r="AN89" s="1002"/>
      <c r="AO89" s="1002"/>
      <c r="AP89" s="1002"/>
      <c r="AQ89" s="1002"/>
      <c r="AR89" s="1002"/>
      <c r="AS89" s="1002"/>
      <c r="AT89" s="1002"/>
      <c r="AU89" s="1002"/>
      <c r="AV89" s="1002"/>
      <c r="AW89" s="1002"/>
      <c r="AX89" s="1002"/>
      <c r="AY89" s="1002"/>
      <c r="AZ89" s="1002"/>
      <c r="BA89" s="1002"/>
      <c r="BB89" s="1002"/>
      <c r="BC89" s="1002"/>
      <c r="BD89" s="1002"/>
      <c r="BE89" s="204"/>
      <c r="BF89" s="205" t="s">
        <v>487</v>
      </c>
      <c r="BG89" s="204"/>
      <c r="BH89" s="204"/>
      <c r="BI89" s="204"/>
      <c r="BJ89" s="204"/>
      <c r="BK89" s="206"/>
    </row>
    <row r="90" spans="1:63" s="164" customFormat="1" ht="15.75" customHeight="1">
      <c r="A90" s="185"/>
      <c r="B90" s="193"/>
      <c r="C90" s="251" t="s">
        <v>416</v>
      </c>
      <c r="D90" s="183" t="s">
        <v>506</v>
      </c>
      <c r="E90" s="184"/>
      <c r="F90" s="184"/>
      <c r="G90" s="184"/>
      <c r="H90" s="184"/>
      <c r="I90" s="184"/>
      <c r="J90" s="184"/>
      <c r="K90" s="184"/>
      <c r="L90" s="193"/>
      <c r="M90" s="1003"/>
      <c r="N90" s="1002"/>
      <c r="O90" s="1002"/>
      <c r="P90" s="1002"/>
      <c r="Q90" s="1002"/>
      <c r="R90" s="1002"/>
      <c r="S90" s="1002"/>
      <c r="T90" s="1002"/>
      <c r="U90" s="1002"/>
      <c r="V90" s="1002"/>
      <c r="W90" s="1002"/>
      <c r="X90" s="1002"/>
      <c r="Y90" s="1002"/>
      <c r="Z90" s="1002"/>
      <c r="AA90" s="1002"/>
      <c r="AB90" s="1002"/>
      <c r="AC90" s="1002"/>
      <c r="AD90" s="1002"/>
      <c r="AE90" s="1002"/>
      <c r="AF90" s="1002"/>
      <c r="AG90" s="1002"/>
      <c r="AH90" s="1002"/>
      <c r="AI90" s="1002"/>
      <c r="AJ90" s="1002"/>
      <c r="AK90" s="1002"/>
      <c r="AL90" s="1002"/>
      <c r="AM90" s="1002"/>
      <c r="AN90" s="1002"/>
      <c r="AO90" s="1002"/>
      <c r="AP90" s="1002"/>
      <c r="AQ90" s="1002"/>
      <c r="AR90" s="1002"/>
      <c r="AS90" s="1002"/>
      <c r="AT90" s="1002"/>
      <c r="AU90" s="1002"/>
      <c r="AV90" s="1002"/>
      <c r="AW90" s="1002"/>
      <c r="AX90" s="1002"/>
      <c r="AY90" s="1002"/>
      <c r="AZ90" s="1002"/>
      <c r="BA90" s="1002"/>
      <c r="BB90" s="1002"/>
      <c r="BC90" s="1002"/>
      <c r="BD90" s="1002"/>
      <c r="BE90" s="205" t="s">
        <v>486</v>
      </c>
      <c r="BF90" s="205" t="s">
        <v>487</v>
      </c>
      <c r="BG90" s="204"/>
      <c r="BH90" s="204"/>
      <c r="BI90" s="204"/>
      <c r="BJ90" s="204"/>
      <c r="BK90" s="206"/>
    </row>
    <row r="91" spans="1:63" s="164" customFormat="1" ht="15.75" customHeight="1">
      <c r="A91" s="185"/>
      <c r="B91" s="193"/>
      <c r="C91" s="251" t="s">
        <v>416</v>
      </c>
      <c r="D91" s="183" t="s">
        <v>507</v>
      </c>
      <c r="E91" s="184"/>
      <c r="F91" s="184"/>
      <c r="G91" s="184"/>
      <c r="H91" s="184"/>
      <c r="I91" s="184"/>
      <c r="J91" s="184"/>
      <c r="K91" s="184"/>
      <c r="L91" s="193"/>
      <c r="M91" s="1003"/>
      <c r="N91" s="1002"/>
      <c r="O91" s="1002"/>
      <c r="P91" s="1002"/>
      <c r="Q91" s="1002"/>
      <c r="R91" s="1002"/>
      <c r="S91" s="1002"/>
      <c r="T91" s="1002"/>
      <c r="U91" s="1002"/>
      <c r="V91" s="1002"/>
      <c r="W91" s="1002"/>
      <c r="X91" s="1002"/>
      <c r="Y91" s="1002"/>
      <c r="Z91" s="1002"/>
      <c r="AA91" s="1002"/>
      <c r="AB91" s="1002"/>
      <c r="AC91" s="1002"/>
      <c r="AD91" s="1002"/>
      <c r="AE91" s="1002"/>
      <c r="AF91" s="1002"/>
      <c r="AG91" s="1002"/>
      <c r="AH91" s="1002"/>
      <c r="AI91" s="1002"/>
      <c r="AJ91" s="1002"/>
      <c r="AK91" s="1002"/>
      <c r="AL91" s="1002"/>
      <c r="AM91" s="1002"/>
      <c r="AN91" s="1002"/>
      <c r="AO91" s="1002"/>
      <c r="AP91" s="1002"/>
      <c r="AQ91" s="1002"/>
      <c r="AR91" s="1002"/>
      <c r="AS91" s="1002"/>
      <c r="AT91" s="1002"/>
      <c r="AU91" s="1002"/>
      <c r="AV91" s="1002"/>
      <c r="AW91" s="1002"/>
      <c r="AX91" s="1002"/>
      <c r="AY91" s="1002"/>
      <c r="AZ91" s="1002"/>
      <c r="BA91" s="1002"/>
      <c r="BB91" s="1002"/>
      <c r="BC91" s="1002"/>
      <c r="BD91" s="1002"/>
      <c r="BE91" s="204"/>
      <c r="BF91" s="205" t="s">
        <v>487</v>
      </c>
      <c r="BG91" s="204"/>
      <c r="BH91" s="204"/>
      <c r="BI91" s="204"/>
      <c r="BJ91" s="204"/>
      <c r="BK91" s="206"/>
    </row>
    <row r="92" spans="1:63" s="164" customFormat="1" ht="15.75" customHeight="1">
      <c r="A92" s="185"/>
      <c r="B92" s="193"/>
      <c r="C92" s="251" t="s">
        <v>416</v>
      </c>
      <c r="D92" s="183" t="s">
        <v>508</v>
      </c>
      <c r="E92" s="184"/>
      <c r="F92" s="184"/>
      <c r="G92" s="184"/>
      <c r="H92" s="184"/>
      <c r="I92" s="184"/>
      <c r="J92" s="184"/>
      <c r="K92" s="184"/>
      <c r="L92" s="193"/>
      <c r="M92" s="1003"/>
      <c r="N92" s="1002"/>
      <c r="O92" s="1002"/>
      <c r="P92" s="1002"/>
      <c r="Q92" s="1002"/>
      <c r="R92" s="1002"/>
      <c r="S92" s="1002"/>
      <c r="T92" s="1002"/>
      <c r="U92" s="1002"/>
      <c r="V92" s="1002"/>
      <c r="W92" s="1002"/>
      <c r="X92" s="1002"/>
      <c r="Y92" s="1002"/>
      <c r="Z92" s="1002"/>
      <c r="AA92" s="1002"/>
      <c r="AB92" s="1002"/>
      <c r="AC92" s="1002"/>
      <c r="AD92" s="1002"/>
      <c r="AE92" s="1002"/>
      <c r="AF92" s="1002"/>
      <c r="AG92" s="1002"/>
      <c r="AH92" s="1002"/>
      <c r="AI92" s="1002"/>
      <c r="AJ92" s="1002"/>
      <c r="AK92" s="1002"/>
      <c r="AL92" s="1002"/>
      <c r="AM92" s="1002"/>
      <c r="AN92" s="1002"/>
      <c r="AO92" s="1002"/>
      <c r="AP92" s="1002"/>
      <c r="AQ92" s="1002"/>
      <c r="AR92" s="1002"/>
      <c r="AS92" s="1002"/>
      <c r="AT92" s="1002"/>
      <c r="AU92" s="1002"/>
      <c r="AV92" s="1002"/>
      <c r="AW92" s="1002"/>
      <c r="AX92" s="1002"/>
      <c r="AY92" s="1002"/>
      <c r="AZ92" s="1002"/>
      <c r="BA92" s="1002"/>
      <c r="BB92" s="1002"/>
      <c r="BC92" s="1002"/>
      <c r="BD92" s="1002"/>
      <c r="BE92" s="205" t="s">
        <v>489</v>
      </c>
      <c r="BF92" s="205" t="s">
        <v>487</v>
      </c>
      <c r="BG92" s="204"/>
      <c r="BH92" s="204"/>
      <c r="BI92" s="204"/>
      <c r="BJ92" s="204"/>
      <c r="BK92" s="206"/>
    </row>
    <row r="93" spans="1:63" s="164" customFormat="1" ht="15.75" customHeight="1">
      <c r="A93" s="185"/>
      <c r="B93" s="193"/>
      <c r="C93" s="251" t="s">
        <v>416</v>
      </c>
      <c r="D93" s="183" t="s">
        <v>509</v>
      </c>
      <c r="E93" s="184"/>
      <c r="F93" s="184"/>
      <c r="G93" s="184"/>
      <c r="H93" s="184"/>
      <c r="I93" s="184"/>
      <c r="J93" s="184"/>
      <c r="K93" s="184"/>
      <c r="L93" s="193"/>
      <c r="M93" s="1003"/>
      <c r="N93" s="1002"/>
      <c r="O93" s="1002"/>
      <c r="P93" s="1002"/>
      <c r="Q93" s="1002"/>
      <c r="R93" s="1002"/>
      <c r="S93" s="1002"/>
      <c r="T93" s="1002"/>
      <c r="U93" s="1002"/>
      <c r="V93" s="1002"/>
      <c r="W93" s="1002"/>
      <c r="X93" s="1002"/>
      <c r="Y93" s="1002"/>
      <c r="Z93" s="1002"/>
      <c r="AA93" s="1002"/>
      <c r="AB93" s="1002"/>
      <c r="AC93" s="1002"/>
      <c r="AD93" s="1002"/>
      <c r="AE93" s="1002"/>
      <c r="AF93" s="1002"/>
      <c r="AG93" s="1002"/>
      <c r="AH93" s="1002"/>
      <c r="AI93" s="1002"/>
      <c r="AJ93" s="1002"/>
      <c r="AK93" s="1002"/>
      <c r="AL93" s="1002"/>
      <c r="AM93" s="1002"/>
      <c r="AN93" s="1002"/>
      <c r="AO93" s="1002"/>
      <c r="AP93" s="1002"/>
      <c r="AQ93" s="1002"/>
      <c r="AR93" s="1002"/>
      <c r="AS93" s="1002"/>
      <c r="AT93" s="1002"/>
      <c r="AU93" s="1002"/>
      <c r="AV93" s="1002"/>
      <c r="AW93" s="1002"/>
      <c r="AX93" s="1002"/>
      <c r="AY93" s="1002"/>
      <c r="AZ93" s="1002"/>
      <c r="BA93" s="1002"/>
      <c r="BB93" s="1002"/>
      <c r="BC93" s="1002"/>
      <c r="BD93" s="1002"/>
      <c r="BE93" s="205" t="s">
        <v>486</v>
      </c>
      <c r="BF93" s="205" t="s">
        <v>487</v>
      </c>
      <c r="BG93" s="204"/>
      <c r="BH93" s="204"/>
      <c r="BI93" s="204"/>
      <c r="BJ93" s="204"/>
      <c r="BK93" s="206"/>
    </row>
    <row r="94" spans="1:63" s="164" customFormat="1" ht="15.75" customHeight="1">
      <c r="A94" s="185"/>
      <c r="B94" s="193"/>
      <c r="C94" s="251" t="s">
        <v>416</v>
      </c>
      <c r="D94" s="183" t="s">
        <v>510</v>
      </c>
      <c r="E94" s="184"/>
      <c r="F94" s="184"/>
      <c r="G94" s="184"/>
      <c r="H94" s="184"/>
      <c r="I94" s="184"/>
      <c r="J94" s="184"/>
      <c r="K94" s="184"/>
      <c r="L94" s="193"/>
      <c r="M94" s="1003"/>
      <c r="N94" s="1002"/>
      <c r="O94" s="1002"/>
      <c r="P94" s="1002"/>
      <c r="Q94" s="1002"/>
      <c r="R94" s="1002"/>
      <c r="S94" s="1002"/>
      <c r="T94" s="1002"/>
      <c r="U94" s="1002"/>
      <c r="V94" s="1002"/>
      <c r="W94" s="1002"/>
      <c r="X94" s="1002"/>
      <c r="Y94" s="1002"/>
      <c r="Z94" s="1002"/>
      <c r="AA94" s="1002"/>
      <c r="AB94" s="1002"/>
      <c r="AC94" s="1002"/>
      <c r="AD94" s="1002"/>
      <c r="AE94" s="1002"/>
      <c r="AF94" s="1002"/>
      <c r="AG94" s="1002"/>
      <c r="AH94" s="1002"/>
      <c r="AI94" s="1002"/>
      <c r="AJ94" s="1002"/>
      <c r="AK94" s="1002"/>
      <c r="AL94" s="1002"/>
      <c r="AM94" s="1002"/>
      <c r="AN94" s="1002"/>
      <c r="AO94" s="1002"/>
      <c r="AP94" s="1002"/>
      <c r="AQ94" s="1002"/>
      <c r="AR94" s="1002"/>
      <c r="AS94" s="1002"/>
      <c r="AT94" s="1002"/>
      <c r="AU94" s="1002"/>
      <c r="AV94" s="1002"/>
      <c r="AW94" s="1002"/>
      <c r="AX94" s="1002"/>
      <c r="AY94" s="1002"/>
      <c r="AZ94" s="1002"/>
      <c r="BA94" s="1002"/>
      <c r="BB94" s="1002"/>
      <c r="BC94" s="1002"/>
      <c r="BD94" s="1002"/>
      <c r="BE94" s="205" t="s">
        <v>486</v>
      </c>
      <c r="BF94" s="205" t="s">
        <v>487</v>
      </c>
      <c r="BG94" s="204"/>
      <c r="BH94" s="204"/>
      <c r="BI94" s="204"/>
      <c r="BJ94" s="205" t="s">
        <v>409</v>
      </c>
      <c r="BK94" s="206"/>
    </row>
    <row r="95" spans="1:63" s="164" customFormat="1" ht="15.75" customHeight="1">
      <c r="A95" s="185"/>
      <c r="B95" s="193"/>
      <c r="C95" s="251" t="s">
        <v>416</v>
      </c>
      <c r="D95" s="183" t="s">
        <v>511</v>
      </c>
      <c r="E95" s="184"/>
      <c r="F95" s="184"/>
      <c r="G95" s="184"/>
      <c r="H95" s="184"/>
      <c r="I95" s="184"/>
      <c r="J95" s="184"/>
      <c r="K95" s="184"/>
      <c r="L95" s="193"/>
      <c r="M95" s="1003"/>
      <c r="N95" s="1002"/>
      <c r="O95" s="1002"/>
      <c r="P95" s="1002"/>
      <c r="Q95" s="1002"/>
      <c r="R95" s="1002"/>
      <c r="S95" s="1002"/>
      <c r="T95" s="1002"/>
      <c r="U95" s="1002"/>
      <c r="V95" s="1002"/>
      <c r="W95" s="1002"/>
      <c r="X95" s="1002"/>
      <c r="Y95" s="1002"/>
      <c r="Z95" s="1002"/>
      <c r="AA95" s="1002"/>
      <c r="AB95" s="1002"/>
      <c r="AC95" s="1002"/>
      <c r="AD95" s="1002"/>
      <c r="AE95" s="1002"/>
      <c r="AF95" s="1002"/>
      <c r="AG95" s="1002"/>
      <c r="AH95" s="1002"/>
      <c r="AI95" s="1002"/>
      <c r="AJ95" s="1002"/>
      <c r="AK95" s="1002"/>
      <c r="AL95" s="1002"/>
      <c r="AM95" s="1002"/>
      <c r="AN95" s="1002"/>
      <c r="AO95" s="1002"/>
      <c r="AP95" s="1002"/>
      <c r="AQ95" s="1002"/>
      <c r="AR95" s="1002"/>
      <c r="AS95" s="1002"/>
      <c r="AT95" s="1002"/>
      <c r="AU95" s="1002"/>
      <c r="AV95" s="1002"/>
      <c r="AW95" s="1002"/>
      <c r="AX95" s="1002"/>
      <c r="AY95" s="1002"/>
      <c r="AZ95" s="1002"/>
      <c r="BA95" s="1002"/>
      <c r="BB95" s="1002"/>
      <c r="BC95" s="1002"/>
      <c r="BD95" s="1002"/>
      <c r="BE95" s="205" t="s">
        <v>486</v>
      </c>
      <c r="BF95" s="205" t="s">
        <v>487</v>
      </c>
      <c r="BG95" s="204"/>
      <c r="BH95" s="204"/>
      <c r="BI95" s="204"/>
      <c r="BJ95" s="205" t="s">
        <v>409</v>
      </c>
      <c r="BK95" s="206"/>
    </row>
    <row r="96" spans="1:63" s="164" customFormat="1" ht="15.75" customHeight="1">
      <c r="A96" s="185"/>
      <c r="B96" s="193"/>
      <c r="C96" s="251" t="s">
        <v>416</v>
      </c>
      <c r="D96" s="183" t="s">
        <v>512</v>
      </c>
      <c r="E96" s="184"/>
      <c r="F96" s="184"/>
      <c r="G96" s="184"/>
      <c r="H96" s="184"/>
      <c r="I96" s="184"/>
      <c r="J96" s="184"/>
      <c r="K96" s="184"/>
      <c r="L96" s="193"/>
      <c r="M96" s="1003"/>
      <c r="N96" s="1002"/>
      <c r="O96" s="1002"/>
      <c r="P96" s="1002"/>
      <c r="Q96" s="1002"/>
      <c r="R96" s="1002"/>
      <c r="S96" s="1002"/>
      <c r="T96" s="1002"/>
      <c r="U96" s="1002"/>
      <c r="V96" s="1002"/>
      <c r="W96" s="1002"/>
      <c r="X96" s="1002"/>
      <c r="Y96" s="1002"/>
      <c r="Z96" s="1002"/>
      <c r="AA96" s="1002"/>
      <c r="AB96" s="1002"/>
      <c r="AC96" s="1002"/>
      <c r="AD96" s="1002"/>
      <c r="AE96" s="1002"/>
      <c r="AF96" s="1002"/>
      <c r="AG96" s="1002"/>
      <c r="AH96" s="1002"/>
      <c r="AI96" s="1002"/>
      <c r="AJ96" s="1002"/>
      <c r="AK96" s="1002"/>
      <c r="AL96" s="1002"/>
      <c r="AM96" s="1002"/>
      <c r="AN96" s="1002"/>
      <c r="AO96" s="1002"/>
      <c r="AP96" s="1002"/>
      <c r="AQ96" s="1002"/>
      <c r="AR96" s="1002"/>
      <c r="AS96" s="1002"/>
      <c r="AT96" s="1002"/>
      <c r="AU96" s="1002"/>
      <c r="AV96" s="1002"/>
      <c r="AW96" s="1002"/>
      <c r="AX96" s="1002"/>
      <c r="AY96" s="1002"/>
      <c r="AZ96" s="1002"/>
      <c r="BA96" s="1002"/>
      <c r="BB96" s="1002"/>
      <c r="BC96" s="1002"/>
      <c r="BD96" s="1002"/>
      <c r="BE96" s="204"/>
      <c r="BF96" s="205" t="s">
        <v>487</v>
      </c>
      <c r="BG96" s="204"/>
      <c r="BH96" s="204"/>
      <c r="BI96" s="204"/>
      <c r="BJ96" s="204"/>
      <c r="BK96" s="206"/>
    </row>
    <row r="97" spans="1:63" s="512" customFormat="1" ht="15.75" customHeight="1">
      <c r="A97" s="515" t="s">
        <v>1393</v>
      </c>
      <c r="B97" s="516"/>
      <c r="C97" s="257" t="s">
        <v>416</v>
      </c>
      <c r="D97" s="517" t="s">
        <v>1404</v>
      </c>
      <c r="E97" s="518"/>
      <c r="F97" s="518"/>
      <c r="G97" s="518"/>
      <c r="H97" s="518"/>
      <c r="I97" s="518"/>
      <c r="J97" s="518"/>
      <c r="K97" s="518"/>
      <c r="L97" s="516"/>
      <c r="M97" s="1020" t="s">
        <v>1403</v>
      </c>
      <c r="N97" s="1021"/>
      <c r="O97" s="1021"/>
      <c r="P97" s="1021"/>
      <c r="Q97" s="1021"/>
      <c r="R97" s="1021"/>
      <c r="S97" s="1021"/>
      <c r="T97" s="1021"/>
      <c r="U97" s="1021"/>
      <c r="V97" s="1021"/>
      <c r="W97" s="1021"/>
      <c r="X97" s="1021"/>
      <c r="Y97" s="1021"/>
      <c r="Z97" s="1021"/>
      <c r="AA97" s="1021"/>
      <c r="AB97" s="1021"/>
      <c r="AC97" s="1021"/>
      <c r="AD97" s="1021"/>
      <c r="AE97" s="1021"/>
      <c r="AF97" s="1021"/>
      <c r="AG97" s="1021"/>
      <c r="AH97" s="1021"/>
      <c r="AI97" s="1021"/>
      <c r="AJ97" s="1021"/>
      <c r="AK97" s="1021"/>
      <c r="AL97" s="1021"/>
      <c r="AM97" s="1021"/>
      <c r="AN97" s="1021"/>
      <c r="AO97" s="1021"/>
      <c r="AP97" s="1021"/>
      <c r="AQ97" s="1021"/>
      <c r="AR97" s="1021"/>
      <c r="AS97" s="1021"/>
      <c r="AT97" s="1021"/>
      <c r="AU97" s="1021"/>
      <c r="AV97" s="1021"/>
      <c r="AW97" s="1021"/>
      <c r="AX97" s="1021"/>
      <c r="AY97" s="1021"/>
      <c r="AZ97" s="1021"/>
      <c r="BA97" s="1021"/>
      <c r="BB97" s="1021"/>
      <c r="BC97" s="1021"/>
      <c r="BD97" s="1022"/>
      <c r="BE97" s="519"/>
      <c r="BF97" s="520" t="s">
        <v>1394</v>
      </c>
      <c r="BG97" s="519"/>
      <c r="BH97" s="519"/>
      <c r="BI97" s="519"/>
      <c r="BJ97" s="519"/>
      <c r="BK97" s="521"/>
    </row>
    <row r="98" spans="1:63" s="164" customFormat="1" ht="15.75" customHeight="1">
      <c r="A98" s="185"/>
      <c r="B98" s="193"/>
      <c r="C98" s="251" t="s">
        <v>416</v>
      </c>
      <c r="D98" s="183" t="s">
        <v>513</v>
      </c>
      <c r="E98" s="184"/>
      <c r="F98" s="184"/>
      <c r="G98" s="184"/>
      <c r="H98" s="184"/>
      <c r="I98" s="184"/>
      <c r="J98" s="184"/>
      <c r="K98" s="184"/>
      <c r="L98" s="193"/>
      <c r="M98" s="1003"/>
      <c r="N98" s="1002"/>
      <c r="O98" s="1002"/>
      <c r="P98" s="1002"/>
      <c r="Q98" s="1002"/>
      <c r="R98" s="1002"/>
      <c r="S98" s="1002"/>
      <c r="T98" s="1002"/>
      <c r="U98" s="1002"/>
      <c r="V98" s="1002"/>
      <c r="W98" s="1002"/>
      <c r="X98" s="1002"/>
      <c r="Y98" s="1002"/>
      <c r="Z98" s="1002"/>
      <c r="AA98" s="1002"/>
      <c r="AB98" s="1002"/>
      <c r="AC98" s="1002"/>
      <c r="AD98" s="1002"/>
      <c r="AE98" s="1002"/>
      <c r="AF98" s="1002"/>
      <c r="AG98" s="1002"/>
      <c r="AH98" s="1002"/>
      <c r="AI98" s="1002"/>
      <c r="AJ98" s="1002"/>
      <c r="AK98" s="1002"/>
      <c r="AL98" s="1002"/>
      <c r="AM98" s="1002"/>
      <c r="AN98" s="1002"/>
      <c r="AO98" s="1002"/>
      <c r="AP98" s="1002"/>
      <c r="AQ98" s="1002"/>
      <c r="AR98" s="1002"/>
      <c r="AS98" s="1002"/>
      <c r="AT98" s="1002"/>
      <c r="AU98" s="1002"/>
      <c r="AV98" s="1002"/>
      <c r="AW98" s="1002"/>
      <c r="AX98" s="1002"/>
      <c r="AY98" s="1002"/>
      <c r="AZ98" s="1002"/>
      <c r="BA98" s="1002"/>
      <c r="BB98" s="1002"/>
      <c r="BC98" s="1002"/>
      <c r="BD98" s="1002"/>
      <c r="BE98" s="205" t="s">
        <v>486</v>
      </c>
      <c r="BF98" s="205" t="s">
        <v>487</v>
      </c>
      <c r="BG98" s="204"/>
      <c r="BH98" s="204"/>
      <c r="BI98" s="204"/>
      <c r="BJ98" s="204"/>
      <c r="BK98" s="209" t="s">
        <v>514</v>
      </c>
    </row>
    <row r="99" spans="1:63" s="164" customFormat="1" ht="15.75" customHeight="1">
      <c r="A99" s="185"/>
      <c r="B99" s="193"/>
      <c r="C99" s="251" t="s">
        <v>416</v>
      </c>
      <c r="D99" s="183" t="s">
        <v>515</v>
      </c>
      <c r="E99" s="184"/>
      <c r="F99" s="184"/>
      <c r="G99" s="184"/>
      <c r="H99" s="184"/>
      <c r="I99" s="184"/>
      <c r="J99" s="184"/>
      <c r="K99" s="184"/>
      <c r="L99" s="193"/>
      <c r="M99" s="1003"/>
      <c r="N99" s="1002"/>
      <c r="O99" s="1002"/>
      <c r="P99" s="1002"/>
      <c r="Q99" s="1002"/>
      <c r="R99" s="1002"/>
      <c r="S99" s="1002"/>
      <c r="T99" s="1002"/>
      <c r="U99" s="1002"/>
      <c r="V99" s="1002"/>
      <c r="W99" s="1002"/>
      <c r="X99" s="1002"/>
      <c r="Y99" s="1002"/>
      <c r="Z99" s="1002"/>
      <c r="AA99" s="1002"/>
      <c r="AB99" s="1002"/>
      <c r="AC99" s="1002"/>
      <c r="AD99" s="1002"/>
      <c r="AE99" s="1002"/>
      <c r="AF99" s="1002"/>
      <c r="AG99" s="1002"/>
      <c r="AH99" s="1002"/>
      <c r="AI99" s="1002"/>
      <c r="AJ99" s="1002"/>
      <c r="AK99" s="1002"/>
      <c r="AL99" s="1002"/>
      <c r="AM99" s="1002"/>
      <c r="AN99" s="1002"/>
      <c r="AO99" s="1002"/>
      <c r="AP99" s="1002"/>
      <c r="AQ99" s="1002"/>
      <c r="AR99" s="1002"/>
      <c r="AS99" s="1002"/>
      <c r="AT99" s="1002"/>
      <c r="AU99" s="1002"/>
      <c r="AV99" s="1002"/>
      <c r="AW99" s="1002"/>
      <c r="AX99" s="1002"/>
      <c r="AY99" s="1002"/>
      <c r="AZ99" s="1002"/>
      <c r="BA99" s="1002"/>
      <c r="BB99" s="1002"/>
      <c r="BC99" s="1002"/>
      <c r="BD99" s="1002"/>
      <c r="BE99" s="204"/>
      <c r="BF99" s="205" t="s">
        <v>487</v>
      </c>
      <c r="BG99" s="204"/>
      <c r="BH99" s="204"/>
      <c r="BI99" s="204"/>
      <c r="BJ99" s="204"/>
      <c r="BK99" s="206"/>
    </row>
    <row r="100" spans="1:63" s="164" customFormat="1" ht="15.75" customHeight="1">
      <c r="A100" s="185"/>
      <c r="B100" s="193"/>
      <c r="C100" s="251" t="s">
        <v>416</v>
      </c>
      <c r="D100" s="183" t="s">
        <v>516</v>
      </c>
      <c r="E100" s="184"/>
      <c r="F100" s="184"/>
      <c r="G100" s="184"/>
      <c r="H100" s="184"/>
      <c r="I100" s="184"/>
      <c r="J100" s="184"/>
      <c r="K100" s="184"/>
      <c r="L100" s="193"/>
      <c r="M100" s="1003"/>
      <c r="N100" s="1002"/>
      <c r="O100" s="1002"/>
      <c r="P100" s="1002"/>
      <c r="Q100" s="1002"/>
      <c r="R100" s="1002"/>
      <c r="S100" s="1002"/>
      <c r="T100" s="1002"/>
      <c r="U100" s="1002"/>
      <c r="V100" s="1002"/>
      <c r="W100" s="1002"/>
      <c r="X100" s="1002"/>
      <c r="Y100" s="1002"/>
      <c r="Z100" s="1002"/>
      <c r="AA100" s="1002"/>
      <c r="AB100" s="1002"/>
      <c r="AC100" s="1002"/>
      <c r="AD100" s="1002"/>
      <c r="AE100" s="1002"/>
      <c r="AF100" s="1002"/>
      <c r="AG100" s="1002"/>
      <c r="AH100" s="1002"/>
      <c r="AI100" s="1002"/>
      <c r="AJ100" s="1002"/>
      <c r="AK100" s="1002"/>
      <c r="AL100" s="1002"/>
      <c r="AM100" s="1002"/>
      <c r="AN100" s="1002"/>
      <c r="AO100" s="1002"/>
      <c r="AP100" s="1002"/>
      <c r="AQ100" s="1002"/>
      <c r="AR100" s="1002"/>
      <c r="AS100" s="1002"/>
      <c r="AT100" s="1002"/>
      <c r="AU100" s="1002"/>
      <c r="AV100" s="1002"/>
      <c r="AW100" s="1002"/>
      <c r="AX100" s="1002"/>
      <c r="AY100" s="1002"/>
      <c r="AZ100" s="1002"/>
      <c r="BA100" s="1002"/>
      <c r="BB100" s="1002"/>
      <c r="BC100" s="1002"/>
      <c r="BD100" s="1002"/>
      <c r="BE100" s="204"/>
      <c r="BF100" s="205" t="s">
        <v>487</v>
      </c>
      <c r="BG100" s="204"/>
      <c r="BH100" s="204"/>
      <c r="BI100" s="204"/>
      <c r="BJ100" s="204"/>
      <c r="BK100" s="206"/>
    </row>
    <row r="101" spans="1:63" s="164" customFormat="1" ht="15.75" customHeight="1">
      <c r="A101" s="185"/>
      <c r="B101" s="193"/>
      <c r="C101" s="251" t="s">
        <v>416</v>
      </c>
      <c r="D101" s="183" t="s">
        <v>517</v>
      </c>
      <c r="E101" s="184"/>
      <c r="F101" s="184"/>
      <c r="G101" s="184"/>
      <c r="H101" s="184"/>
      <c r="I101" s="184"/>
      <c r="J101" s="184"/>
      <c r="K101" s="184"/>
      <c r="L101" s="193"/>
      <c r="M101" s="1003"/>
      <c r="N101" s="1002"/>
      <c r="O101" s="1002"/>
      <c r="P101" s="1002"/>
      <c r="Q101" s="1002"/>
      <c r="R101" s="1002"/>
      <c r="S101" s="1002"/>
      <c r="T101" s="1002"/>
      <c r="U101" s="1002"/>
      <c r="V101" s="1002"/>
      <c r="W101" s="1002"/>
      <c r="X101" s="1002"/>
      <c r="Y101" s="1002"/>
      <c r="Z101" s="1002"/>
      <c r="AA101" s="1002"/>
      <c r="AB101" s="1002"/>
      <c r="AC101" s="1002"/>
      <c r="AD101" s="1002"/>
      <c r="AE101" s="1002"/>
      <c r="AF101" s="1002"/>
      <c r="AG101" s="1002"/>
      <c r="AH101" s="1002"/>
      <c r="AI101" s="1002"/>
      <c r="AJ101" s="1002"/>
      <c r="AK101" s="1002"/>
      <c r="AL101" s="1002"/>
      <c r="AM101" s="1002"/>
      <c r="AN101" s="1002"/>
      <c r="AO101" s="1002"/>
      <c r="AP101" s="1002"/>
      <c r="AQ101" s="1002"/>
      <c r="AR101" s="1002"/>
      <c r="AS101" s="1002"/>
      <c r="AT101" s="1002"/>
      <c r="AU101" s="1002"/>
      <c r="AV101" s="1002"/>
      <c r="AW101" s="1002"/>
      <c r="AX101" s="1002"/>
      <c r="AY101" s="1002"/>
      <c r="AZ101" s="1002"/>
      <c r="BA101" s="1002"/>
      <c r="BB101" s="1002"/>
      <c r="BC101" s="1002"/>
      <c r="BD101" s="1002"/>
      <c r="BE101" s="204"/>
      <c r="BF101" s="205" t="s">
        <v>487</v>
      </c>
      <c r="BG101" s="204"/>
      <c r="BH101" s="204"/>
      <c r="BI101" s="204"/>
      <c r="BJ101" s="205" t="s">
        <v>409</v>
      </c>
      <c r="BK101" s="206"/>
    </row>
    <row r="102" spans="1:63" s="164" customFormat="1" ht="15.75" customHeight="1">
      <c r="A102" s="185"/>
      <c r="B102" s="193"/>
      <c r="C102" s="251" t="s">
        <v>416</v>
      </c>
      <c r="D102" s="183" t="s">
        <v>518</v>
      </c>
      <c r="E102" s="184"/>
      <c r="F102" s="184"/>
      <c r="G102" s="184"/>
      <c r="H102" s="184"/>
      <c r="I102" s="184"/>
      <c r="J102" s="184"/>
      <c r="K102" s="184"/>
      <c r="L102" s="193"/>
      <c r="M102" s="1003"/>
      <c r="N102" s="1002"/>
      <c r="O102" s="1002"/>
      <c r="P102" s="1002"/>
      <c r="Q102" s="1002"/>
      <c r="R102" s="1002"/>
      <c r="S102" s="1002"/>
      <c r="T102" s="1002"/>
      <c r="U102" s="1002"/>
      <c r="V102" s="1002"/>
      <c r="W102" s="1002"/>
      <c r="X102" s="1002"/>
      <c r="Y102" s="1002"/>
      <c r="Z102" s="1002"/>
      <c r="AA102" s="1002"/>
      <c r="AB102" s="1002"/>
      <c r="AC102" s="1002"/>
      <c r="AD102" s="1002"/>
      <c r="AE102" s="1002"/>
      <c r="AF102" s="1002"/>
      <c r="AG102" s="1002"/>
      <c r="AH102" s="1002"/>
      <c r="AI102" s="1002"/>
      <c r="AJ102" s="1002"/>
      <c r="AK102" s="1002"/>
      <c r="AL102" s="1002"/>
      <c r="AM102" s="1002"/>
      <c r="AN102" s="1002"/>
      <c r="AO102" s="1002"/>
      <c r="AP102" s="1002"/>
      <c r="AQ102" s="1002"/>
      <c r="AR102" s="1002"/>
      <c r="AS102" s="1002"/>
      <c r="AT102" s="1002"/>
      <c r="AU102" s="1002"/>
      <c r="AV102" s="1002"/>
      <c r="AW102" s="1002"/>
      <c r="AX102" s="1002"/>
      <c r="AY102" s="1002"/>
      <c r="AZ102" s="1002"/>
      <c r="BA102" s="1002"/>
      <c r="BB102" s="1002"/>
      <c r="BC102" s="1002"/>
      <c r="BD102" s="1002"/>
      <c r="BE102" s="204"/>
      <c r="BF102" s="205" t="s">
        <v>487</v>
      </c>
      <c r="BG102" s="204"/>
      <c r="BH102" s="204"/>
      <c r="BI102" s="204"/>
      <c r="BJ102" s="205" t="s">
        <v>409</v>
      </c>
      <c r="BK102" s="206"/>
    </row>
    <row r="103" spans="1:63" s="164" customFormat="1" ht="15.75" customHeight="1">
      <c r="A103" s="185"/>
      <c r="B103" s="193"/>
      <c r="C103" s="251" t="s">
        <v>416</v>
      </c>
      <c r="D103" s="183" t="s">
        <v>519</v>
      </c>
      <c r="E103" s="184"/>
      <c r="F103" s="184"/>
      <c r="G103" s="184"/>
      <c r="H103" s="184"/>
      <c r="I103" s="184"/>
      <c r="J103" s="184"/>
      <c r="K103" s="184"/>
      <c r="L103" s="193"/>
      <c r="M103" s="1003"/>
      <c r="N103" s="1002"/>
      <c r="O103" s="1002"/>
      <c r="P103" s="1002"/>
      <c r="Q103" s="1002"/>
      <c r="R103" s="1002"/>
      <c r="S103" s="1002"/>
      <c r="T103" s="1002"/>
      <c r="U103" s="1002"/>
      <c r="V103" s="1002"/>
      <c r="W103" s="1002"/>
      <c r="X103" s="1002"/>
      <c r="Y103" s="1002"/>
      <c r="Z103" s="1002"/>
      <c r="AA103" s="1002"/>
      <c r="AB103" s="1002"/>
      <c r="AC103" s="1002"/>
      <c r="AD103" s="1002"/>
      <c r="AE103" s="1002"/>
      <c r="AF103" s="1002"/>
      <c r="AG103" s="1002"/>
      <c r="AH103" s="1002"/>
      <c r="AI103" s="1002"/>
      <c r="AJ103" s="1002"/>
      <c r="AK103" s="1002"/>
      <c r="AL103" s="1002"/>
      <c r="AM103" s="1002"/>
      <c r="AN103" s="1002"/>
      <c r="AO103" s="1002"/>
      <c r="AP103" s="1002"/>
      <c r="AQ103" s="1002"/>
      <c r="AR103" s="1002"/>
      <c r="AS103" s="1002"/>
      <c r="AT103" s="1002"/>
      <c r="AU103" s="1002"/>
      <c r="AV103" s="1002"/>
      <c r="AW103" s="1002"/>
      <c r="AX103" s="1002"/>
      <c r="AY103" s="1002"/>
      <c r="AZ103" s="1002"/>
      <c r="BA103" s="1002"/>
      <c r="BB103" s="1002"/>
      <c r="BC103" s="1002"/>
      <c r="BD103" s="1002"/>
      <c r="BE103" s="205" t="s">
        <v>489</v>
      </c>
      <c r="BF103" s="205" t="s">
        <v>487</v>
      </c>
      <c r="BG103" s="204"/>
      <c r="BH103" s="204"/>
      <c r="BI103" s="204"/>
      <c r="BJ103" s="204"/>
      <c r="BK103" s="206"/>
    </row>
    <row r="104" spans="1:63" s="164" customFormat="1" ht="15.75" customHeight="1">
      <c r="A104" s="185"/>
      <c r="B104" s="193"/>
      <c r="C104" s="251" t="s">
        <v>416</v>
      </c>
      <c r="D104" s="183" t="s">
        <v>520</v>
      </c>
      <c r="E104" s="184"/>
      <c r="F104" s="184"/>
      <c r="G104" s="184"/>
      <c r="H104" s="184"/>
      <c r="I104" s="184"/>
      <c r="J104" s="184"/>
      <c r="K104" s="184"/>
      <c r="L104" s="193"/>
      <c r="M104" s="1003"/>
      <c r="N104" s="1002"/>
      <c r="O104" s="1002"/>
      <c r="P104" s="1002"/>
      <c r="Q104" s="1002"/>
      <c r="R104" s="1002"/>
      <c r="S104" s="1002"/>
      <c r="T104" s="1002"/>
      <c r="U104" s="1002"/>
      <c r="V104" s="1002"/>
      <c r="W104" s="1002"/>
      <c r="X104" s="1002"/>
      <c r="Y104" s="1002"/>
      <c r="Z104" s="1002"/>
      <c r="AA104" s="1002"/>
      <c r="AB104" s="1002"/>
      <c r="AC104" s="1002"/>
      <c r="AD104" s="1002"/>
      <c r="AE104" s="1002"/>
      <c r="AF104" s="1002"/>
      <c r="AG104" s="1002"/>
      <c r="AH104" s="1002"/>
      <c r="AI104" s="1002"/>
      <c r="AJ104" s="1002"/>
      <c r="AK104" s="1002"/>
      <c r="AL104" s="1002"/>
      <c r="AM104" s="1002"/>
      <c r="AN104" s="1002"/>
      <c r="AO104" s="1002"/>
      <c r="AP104" s="1002"/>
      <c r="AQ104" s="1002"/>
      <c r="AR104" s="1002"/>
      <c r="AS104" s="1002"/>
      <c r="AT104" s="1002"/>
      <c r="AU104" s="1002"/>
      <c r="AV104" s="1002"/>
      <c r="AW104" s="1002"/>
      <c r="AX104" s="1002"/>
      <c r="AY104" s="1002"/>
      <c r="AZ104" s="1002"/>
      <c r="BA104" s="1002"/>
      <c r="BB104" s="1002"/>
      <c r="BC104" s="1002"/>
      <c r="BD104" s="1002"/>
      <c r="BE104" s="204"/>
      <c r="BF104" s="205" t="s">
        <v>487</v>
      </c>
      <c r="BG104" s="204"/>
      <c r="BH104" s="204"/>
      <c r="BI104" s="204"/>
      <c r="BJ104" s="204"/>
      <c r="BK104" s="206"/>
    </row>
    <row r="105" spans="1:63" s="164" customFormat="1" ht="15.75" customHeight="1">
      <c r="A105" s="185"/>
      <c r="B105" s="193"/>
      <c r="C105" s="251" t="s">
        <v>416</v>
      </c>
      <c r="D105" s="183" t="s">
        <v>521</v>
      </c>
      <c r="E105" s="184"/>
      <c r="F105" s="184"/>
      <c r="G105" s="184"/>
      <c r="H105" s="184"/>
      <c r="I105" s="184"/>
      <c r="J105" s="184"/>
      <c r="K105" s="184"/>
      <c r="L105" s="193"/>
      <c r="M105" s="1003"/>
      <c r="N105" s="1002"/>
      <c r="O105" s="1002"/>
      <c r="P105" s="1002"/>
      <c r="Q105" s="1002"/>
      <c r="R105" s="1002"/>
      <c r="S105" s="1002"/>
      <c r="T105" s="1002"/>
      <c r="U105" s="1002"/>
      <c r="V105" s="1002"/>
      <c r="W105" s="1002"/>
      <c r="X105" s="1002"/>
      <c r="Y105" s="1002"/>
      <c r="Z105" s="1002"/>
      <c r="AA105" s="1002"/>
      <c r="AB105" s="1002"/>
      <c r="AC105" s="1002"/>
      <c r="AD105" s="1002"/>
      <c r="AE105" s="1002"/>
      <c r="AF105" s="1002"/>
      <c r="AG105" s="1002"/>
      <c r="AH105" s="1002"/>
      <c r="AI105" s="1002"/>
      <c r="AJ105" s="1002"/>
      <c r="AK105" s="1002"/>
      <c r="AL105" s="1002"/>
      <c r="AM105" s="1002"/>
      <c r="AN105" s="1002"/>
      <c r="AO105" s="1002"/>
      <c r="AP105" s="1002"/>
      <c r="AQ105" s="1002"/>
      <c r="AR105" s="1002"/>
      <c r="AS105" s="1002"/>
      <c r="AT105" s="1002"/>
      <c r="AU105" s="1002"/>
      <c r="AV105" s="1002"/>
      <c r="AW105" s="1002"/>
      <c r="AX105" s="1002"/>
      <c r="AY105" s="1002"/>
      <c r="AZ105" s="1002"/>
      <c r="BA105" s="1002"/>
      <c r="BB105" s="1002"/>
      <c r="BC105" s="1002"/>
      <c r="BD105" s="1002"/>
      <c r="BE105" s="205" t="s">
        <v>486</v>
      </c>
      <c r="BF105" s="205" t="s">
        <v>487</v>
      </c>
      <c r="BG105" s="204"/>
      <c r="BH105" s="204"/>
      <c r="BI105" s="204"/>
      <c r="BJ105" s="204"/>
      <c r="BK105" s="206"/>
    </row>
    <row r="106" spans="1:63" s="164" customFormat="1" ht="15.75" customHeight="1">
      <c r="A106" s="185"/>
      <c r="B106" s="193"/>
      <c r="C106" s="184"/>
      <c r="D106" s="183" t="s">
        <v>522</v>
      </c>
      <c r="E106" s="184"/>
      <c r="F106" s="184"/>
      <c r="G106" s="184"/>
      <c r="H106" s="184"/>
      <c r="I106" s="184"/>
      <c r="J106" s="184"/>
      <c r="K106" s="184"/>
      <c r="L106" s="193"/>
      <c r="M106" s="1003"/>
      <c r="N106" s="1002"/>
      <c r="O106" s="1002"/>
      <c r="P106" s="1002"/>
      <c r="Q106" s="1002"/>
      <c r="R106" s="1002"/>
      <c r="S106" s="1002"/>
      <c r="T106" s="1002"/>
      <c r="U106" s="1002"/>
      <c r="V106" s="1002"/>
      <c r="W106" s="1002"/>
      <c r="X106" s="1002"/>
      <c r="Y106" s="1002"/>
      <c r="Z106" s="1002"/>
      <c r="AA106" s="1002"/>
      <c r="AB106" s="1002"/>
      <c r="AC106" s="1002"/>
      <c r="AD106" s="1002"/>
      <c r="AE106" s="1002"/>
      <c r="AF106" s="1002"/>
      <c r="AG106" s="1002"/>
      <c r="AH106" s="1002"/>
      <c r="AI106" s="1002"/>
      <c r="AJ106" s="1002"/>
      <c r="AK106" s="1002"/>
      <c r="AL106" s="1002"/>
      <c r="AM106" s="1002"/>
      <c r="AN106" s="1002"/>
      <c r="AO106" s="1002"/>
      <c r="AP106" s="1002"/>
      <c r="AQ106" s="1002"/>
      <c r="AR106" s="1002"/>
      <c r="AS106" s="1002"/>
      <c r="AT106" s="1002"/>
      <c r="AU106" s="1002"/>
      <c r="AV106" s="1002"/>
      <c r="AW106" s="1002"/>
      <c r="AX106" s="1002"/>
      <c r="AY106" s="1002"/>
      <c r="AZ106" s="1002"/>
      <c r="BA106" s="1002"/>
      <c r="BB106" s="1002"/>
      <c r="BC106" s="1002"/>
      <c r="BD106" s="1002"/>
      <c r="BE106" s="204"/>
      <c r="BF106" s="205" t="s">
        <v>487</v>
      </c>
      <c r="BG106" s="204"/>
      <c r="BH106" s="204"/>
      <c r="BI106" s="204"/>
      <c r="BJ106" s="204"/>
      <c r="BK106" s="206"/>
    </row>
    <row r="107" spans="1:63" s="164" customFormat="1" ht="15.75" customHeight="1">
      <c r="A107" s="185"/>
      <c r="B107" s="193"/>
      <c r="C107" s="251" t="s">
        <v>416</v>
      </c>
      <c r="D107" s="183" t="s">
        <v>523</v>
      </c>
      <c r="E107" s="184"/>
      <c r="F107" s="184"/>
      <c r="G107" s="184"/>
      <c r="H107" s="184"/>
      <c r="I107" s="184"/>
      <c r="J107" s="184"/>
      <c r="K107" s="184"/>
      <c r="L107" s="193"/>
      <c r="M107" s="1003"/>
      <c r="N107" s="1002"/>
      <c r="O107" s="1002"/>
      <c r="P107" s="1002"/>
      <c r="Q107" s="1002"/>
      <c r="R107" s="1002"/>
      <c r="S107" s="1002"/>
      <c r="T107" s="1002"/>
      <c r="U107" s="1002"/>
      <c r="V107" s="1002"/>
      <c r="W107" s="1002"/>
      <c r="X107" s="1002"/>
      <c r="Y107" s="1002"/>
      <c r="Z107" s="1002"/>
      <c r="AA107" s="1002"/>
      <c r="AB107" s="1002"/>
      <c r="AC107" s="1002"/>
      <c r="AD107" s="1002"/>
      <c r="AE107" s="1002"/>
      <c r="AF107" s="1002"/>
      <c r="AG107" s="1002"/>
      <c r="AH107" s="1002"/>
      <c r="AI107" s="1002"/>
      <c r="AJ107" s="1002"/>
      <c r="AK107" s="1002"/>
      <c r="AL107" s="1002"/>
      <c r="AM107" s="1002"/>
      <c r="AN107" s="1002"/>
      <c r="AO107" s="1002"/>
      <c r="AP107" s="1002"/>
      <c r="AQ107" s="1002"/>
      <c r="AR107" s="1002"/>
      <c r="AS107" s="1002"/>
      <c r="AT107" s="1002"/>
      <c r="AU107" s="1002"/>
      <c r="AV107" s="1002"/>
      <c r="AW107" s="1002"/>
      <c r="AX107" s="1002"/>
      <c r="AY107" s="1002"/>
      <c r="AZ107" s="1002"/>
      <c r="BA107" s="1002"/>
      <c r="BB107" s="1002"/>
      <c r="BC107" s="1002"/>
      <c r="BD107" s="1002"/>
      <c r="BE107" s="205" t="s">
        <v>489</v>
      </c>
      <c r="BF107" s="205" t="s">
        <v>487</v>
      </c>
      <c r="BG107" s="204"/>
      <c r="BH107" s="204"/>
      <c r="BI107" s="204"/>
      <c r="BJ107" s="204"/>
      <c r="BK107" s="206"/>
    </row>
    <row r="108" spans="1:63" s="164" customFormat="1" ht="15.75" customHeight="1">
      <c r="A108" s="185"/>
      <c r="B108" s="193"/>
      <c r="C108" s="251" t="s">
        <v>416</v>
      </c>
      <c r="D108" s="183" t="s">
        <v>524</v>
      </c>
      <c r="E108" s="184"/>
      <c r="F108" s="184"/>
      <c r="G108" s="184"/>
      <c r="H108" s="184"/>
      <c r="I108" s="184"/>
      <c r="J108" s="184"/>
      <c r="K108" s="184"/>
      <c r="L108" s="193"/>
      <c r="M108" s="1003"/>
      <c r="N108" s="1002"/>
      <c r="O108" s="1002"/>
      <c r="P108" s="1002"/>
      <c r="Q108" s="1002"/>
      <c r="R108" s="1002"/>
      <c r="S108" s="1002"/>
      <c r="T108" s="1002"/>
      <c r="U108" s="1002"/>
      <c r="V108" s="1002"/>
      <c r="W108" s="1002"/>
      <c r="X108" s="1002"/>
      <c r="Y108" s="1002"/>
      <c r="Z108" s="1002"/>
      <c r="AA108" s="1002"/>
      <c r="AB108" s="1002"/>
      <c r="AC108" s="1002"/>
      <c r="AD108" s="1002"/>
      <c r="AE108" s="1002"/>
      <c r="AF108" s="1002"/>
      <c r="AG108" s="1002"/>
      <c r="AH108" s="1002"/>
      <c r="AI108" s="1002"/>
      <c r="AJ108" s="1002"/>
      <c r="AK108" s="1002"/>
      <c r="AL108" s="1002"/>
      <c r="AM108" s="1002"/>
      <c r="AN108" s="1002"/>
      <c r="AO108" s="1002"/>
      <c r="AP108" s="1002"/>
      <c r="AQ108" s="1002"/>
      <c r="AR108" s="1002"/>
      <c r="AS108" s="1002"/>
      <c r="AT108" s="1002"/>
      <c r="AU108" s="1002"/>
      <c r="AV108" s="1002"/>
      <c r="AW108" s="1002"/>
      <c r="AX108" s="1002"/>
      <c r="AY108" s="1002"/>
      <c r="AZ108" s="1002"/>
      <c r="BA108" s="1002"/>
      <c r="BB108" s="1002"/>
      <c r="BC108" s="1002"/>
      <c r="BD108" s="1002"/>
      <c r="BE108" s="204"/>
      <c r="BF108" s="205" t="s">
        <v>487</v>
      </c>
      <c r="BG108" s="204"/>
      <c r="BH108" s="204"/>
      <c r="BI108" s="204"/>
      <c r="BJ108" s="204"/>
      <c r="BK108" s="206"/>
    </row>
    <row r="109" spans="1:63" s="164" customFormat="1" ht="15.75" customHeight="1">
      <c r="A109" s="185"/>
      <c r="B109" s="193"/>
      <c r="C109" s="251" t="s">
        <v>416</v>
      </c>
      <c r="D109" s="183" t="s">
        <v>525</v>
      </c>
      <c r="E109" s="184"/>
      <c r="F109" s="184"/>
      <c r="G109" s="184"/>
      <c r="H109" s="184"/>
      <c r="I109" s="184"/>
      <c r="J109" s="184"/>
      <c r="K109" s="184"/>
      <c r="L109" s="193"/>
      <c r="M109" s="1003"/>
      <c r="N109" s="1002"/>
      <c r="O109" s="1002"/>
      <c r="P109" s="1002"/>
      <c r="Q109" s="1002"/>
      <c r="R109" s="1002"/>
      <c r="S109" s="1002"/>
      <c r="T109" s="1002"/>
      <c r="U109" s="1002"/>
      <c r="V109" s="1002"/>
      <c r="W109" s="1002"/>
      <c r="X109" s="1002"/>
      <c r="Y109" s="1002"/>
      <c r="Z109" s="1002"/>
      <c r="AA109" s="1002"/>
      <c r="AB109" s="1002"/>
      <c r="AC109" s="1002"/>
      <c r="AD109" s="1002"/>
      <c r="AE109" s="1002"/>
      <c r="AF109" s="1002"/>
      <c r="AG109" s="1002"/>
      <c r="AH109" s="1002"/>
      <c r="AI109" s="1002"/>
      <c r="AJ109" s="1002"/>
      <c r="AK109" s="1002"/>
      <c r="AL109" s="1002"/>
      <c r="AM109" s="1002"/>
      <c r="AN109" s="1002"/>
      <c r="AO109" s="1002"/>
      <c r="AP109" s="1002"/>
      <c r="AQ109" s="1002"/>
      <c r="AR109" s="1002"/>
      <c r="AS109" s="1002"/>
      <c r="AT109" s="1002"/>
      <c r="AU109" s="1002"/>
      <c r="AV109" s="1002"/>
      <c r="AW109" s="1002"/>
      <c r="AX109" s="1002"/>
      <c r="AY109" s="1002"/>
      <c r="AZ109" s="1002"/>
      <c r="BA109" s="1002"/>
      <c r="BB109" s="1002"/>
      <c r="BC109" s="1002"/>
      <c r="BD109" s="1002"/>
      <c r="BE109" s="205" t="s">
        <v>489</v>
      </c>
      <c r="BF109" s="205" t="s">
        <v>487</v>
      </c>
      <c r="BG109" s="204"/>
      <c r="BH109" s="204"/>
      <c r="BI109" s="204"/>
      <c r="BJ109" s="204"/>
      <c r="BK109" s="206"/>
    </row>
    <row r="110" spans="1:63" s="164" customFormat="1" ht="15.75" customHeight="1">
      <c r="A110" s="185"/>
      <c r="B110" s="193"/>
      <c r="C110" s="251" t="s">
        <v>416</v>
      </c>
      <c r="D110" s="183" t="s">
        <v>526</v>
      </c>
      <c r="E110" s="184"/>
      <c r="F110" s="184"/>
      <c r="G110" s="184"/>
      <c r="H110" s="184"/>
      <c r="I110" s="184"/>
      <c r="J110" s="184"/>
      <c r="K110" s="184"/>
      <c r="L110" s="193"/>
      <c r="M110" s="1003"/>
      <c r="N110" s="1002"/>
      <c r="O110" s="1002"/>
      <c r="P110" s="1002"/>
      <c r="Q110" s="1002"/>
      <c r="R110" s="1002"/>
      <c r="S110" s="1002"/>
      <c r="T110" s="1002"/>
      <c r="U110" s="1002"/>
      <c r="V110" s="1002"/>
      <c r="W110" s="1002"/>
      <c r="X110" s="1002"/>
      <c r="Y110" s="1002"/>
      <c r="Z110" s="1002"/>
      <c r="AA110" s="1002"/>
      <c r="AB110" s="1002"/>
      <c r="AC110" s="1002"/>
      <c r="AD110" s="1002"/>
      <c r="AE110" s="1002"/>
      <c r="AF110" s="1002"/>
      <c r="AG110" s="1002"/>
      <c r="AH110" s="1002"/>
      <c r="AI110" s="1002"/>
      <c r="AJ110" s="1002"/>
      <c r="AK110" s="1002"/>
      <c r="AL110" s="1002"/>
      <c r="AM110" s="1002"/>
      <c r="AN110" s="1002"/>
      <c r="AO110" s="1002"/>
      <c r="AP110" s="1002"/>
      <c r="AQ110" s="1002"/>
      <c r="AR110" s="1002"/>
      <c r="AS110" s="1002"/>
      <c r="AT110" s="1002"/>
      <c r="AU110" s="1002"/>
      <c r="AV110" s="1002"/>
      <c r="AW110" s="1002"/>
      <c r="AX110" s="1002"/>
      <c r="AY110" s="1002"/>
      <c r="AZ110" s="1002"/>
      <c r="BA110" s="1002"/>
      <c r="BB110" s="1002"/>
      <c r="BC110" s="1002"/>
      <c r="BD110" s="1002"/>
      <c r="BE110" s="204"/>
      <c r="BF110" s="205" t="s">
        <v>487</v>
      </c>
      <c r="BG110" s="204"/>
      <c r="BH110" s="204"/>
      <c r="BI110" s="204"/>
      <c r="BJ110" s="204"/>
      <c r="BK110" s="206"/>
    </row>
    <row r="111" spans="1:63" s="164" customFormat="1" ht="15.75" customHeight="1">
      <c r="A111" s="185"/>
      <c r="B111" s="193"/>
      <c r="C111" s="251" t="s">
        <v>416</v>
      </c>
      <c r="D111" s="183" t="s">
        <v>527</v>
      </c>
      <c r="E111" s="184"/>
      <c r="F111" s="184"/>
      <c r="G111" s="184"/>
      <c r="H111" s="184"/>
      <c r="I111" s="184"/>
      <c r="J111" s="184"/>
      <c r="K111" s="184"/>
      <c r="L111" s="193"/>
      <c r="M111" s="1003"/>
      <c r="N111" s="1002"/>
      <c r="O111" s="1002"/>
      <c r="P111" s="1002"/>
      <c r="Q111" s="1002"/>
      <c r="R111" s="1002"/>
      <c r="S111" s="1002"/>
      <c r="T111" s="1002"/>
      <c r="U111" s="1002"/>
      <c r="V111" s="1002"/>
      <c r="W111" s="1002"/>
      <c r="X111" s="1002"/>
      <c r="Y111" s="1002"/>
      <c r="Z111" s="1002"/>
      <c r="AA111" s="1002"/>
      <c r="AB111" s="1002"/>
      <c r="AC111" s="1002"/>
      <c r="AD111" s="1002"/>
      <c r="AE111" s="1002"/>
      <c r="AF111" s="1002"/>
      <c r="AG111" s="1002"/>
      <c r="AH111" s="1002"/>
      <c r="AI111" s="1002"/>
      <c r="AJ111" s="1002"/>
      <c r="AK111" s="1002"/>
      <c r="AL111" s="1002"/>
      <c r="AM111" s="1002"/>
      <c r="AN111" s="1002"/>
      <c r="AO111" s="1002"/>
      <c r="AP111" s="1002"/>
      <c r="AQ111" s="1002"/>
      <c r="AR111" s="1002"/>
      <c r="AS111" s="1002"/>
      <c r="AT111" s="1002"/>
      <c r="AU111" s="1002"/>
      <c r="AV111" s="1002"/>
      <c r="AW111" s="1002"/>
      <c r="AX111" s="1002"/>
      <c r="AY111" s="1002"/>
      <c r="AZ111" s="1002"/>
      <c r="BA111" s="1002"/>
      <c r="BB111" s="1002"/>
      <c r="BC111" s="1002"/>
      <c r="BD111" s="1002"/>
      <c r="BE111" s="205" t="s">
        <v>486</v>
      </c>
      <c r="BF111" s="205" t="s">
        <v>487</v>
      </c>
      <c r="BG111" s="204"/>
      <c r="BH111" s="204"/>
      <c r="BI111" s="204"/>
      <c r="BJ111" s="204"/>
      <c r="BK111" s="206"/>
    </row>
    <row r="112" spans="1:63" s="164" customFormat="1" ht="15.75" customHeight="1">
      <c r="A112" s="185"/>
      <c r="B112" s="193"/>
      <c r="C112" s="251" t="s">
        <v>416</v>
      </c>
      <c r="D112" s="183" t="s">
        <v>528</v>
      </c>
      <c r="E112" s="184"/>
      <c r="F112" s="184"/>
      <c r="G112" s="184"/>
      <c r="H112" s="184"/>
      <c r="I112" s="184"/>
      <c r="J112" s="184"/>
      <c r="K112" s="184"/>
      <c r="L112" s="193"/>
      <c r="M112" s="1003"/>
      <c r="N112" s="1002"/>
      <c r="O112" s="1002"/>
      <c r="P112" s="1002"/>
      <c r="Q112" s="1002"/>
      <c r="R112" s="1002"/>
      <c r="S112" s="1002"/>
      <c r="T112" s="1002"/>
      <c r="U112" s="1002"/>
      <c r="V112" s="1002"/>
      <c r="W112" s="1002"/>
      <c r="X112" s="1002"/>
      <c r="Y112" s="1002"/>
      <c r="Z112" s="1002"/>
      <c r="AA112" s="1002"/>
      <c r="AB112" s="1002"/>
      <c r="AC112" s="1002"/>
      <c r="AD112" s="1002"/>
      <c r="AE112" s="1002"/>
      <c r="AF112" s="1002"/>
      <c r="AG112" s="1002"/>
      <c r="AH112" s="1002"/>
      <c r="AI112" s="1002"/>
      <c r="AJ112" s="1002"/>
      <c r="AK112" s="1002"/>
      <c r="AL112" s="1002"/>
      <c r="AM112" s="1002"/>
      <c r="AN112" s="1002"/>
      <c r="AO112" s="1002"/>
      <c r="AP112" s="1002"/>
      <c r="AQ112" s="1002"/>
      <c r="AR112" s="1002"/>
      <c r="AS112" s="1002"/>
      <c r="AT112" s="1002"/>
      <c r="AU112" s="1002"/>
      <c r="AV112" s="1002"/>
      <c r="AW112" s="1002"/>
      <c r="AX112" s="1002"/>
      <c r="AY112" s="1002"/>
      <c r="AZ112" s="1002"/>
      <c r="BA112" s="1002"/>
      <c r="BB112" s="1002"/>
      <c r="BC112" s="1002"/>
      <c r="BD112" s="1002"/>
      <c r="BE112" s="204"/>
      <c r="BF112" s="205" t="s">
        <v>487</v>
      </c>
      <c r="BG112" s="204"/>
      <c r="BH112" s="204"/>
      <c r="BI112" s="204"/>
      <c r="BJ112" s="204"/>
      <c r="BK112" s="206"/>
    </row>
    <row r="113" spans="1:63" s="164" customFormat="1" ht="15.75" customHeight="1">
      <c r="A113" s="185"/>
      <c r="B113" s="193"/>
      <c r="C113" s="251" t="s">
        <v>416</v>
      </c>
      <c r="D113" s="183" t="s">
        <v>529</v>
      </c>
      <c r="E113" s="184"/>
      <c r="F113" s="184"/>
      <c r="G113" s="184"/>
      <c r="H113" s="184"/>
      <c r="I113" s="184"/>
      <c r="J113" s="184"/>
      <c r="K113" s="184"/>
      <c r="L113" s="193"/>
      <c r="M113" s="1003"/>
      <c r="N113" s="1002"/>
      <c r="O113" s="1002"/>
      <c r="P113" s="1002"/>
      <c r="Q113" s="1002"/>
      <c r="R113" s="1002"/>
      <c r="S113" s="1002"/>
      <c r="T113" s="1002"/>
      <c r="U113" s="1002"/>
      <c r="V113" s="1002"/>
      <c r="W113" s="1002"/>
      <c r="X113" s="1002"/>
      <c r="Y113" s="1002"/>
      <c r="Z113" s="1002"/>
      <c r="AA113" s="1002"/>
      <c r="AB113" s="1002"/>
      <c r="AC113" s="1002"/>
      <c r="AD113" s="1002"/>
      <c r="AE113" s="1002"/>
      <c r="AF113" s="1002"/>
      <c r="AG113" s="1002"/>
      <c r="AH113" s="1002"/>
      <c r="AI113" s="1002"/>
      <c r="AJ113" s="1002"/>
      <c r="AK113" s="1002"/>
      <c r="AL113" s="1002"/>
      <c r="AM113" s="1002"/>
      <c r="AN113" s="1002"/>
      <c r="AO113" s="1002"/>
      <c r="AP113" s="1002"/>
      <c r="AQ113" s="1002"/>
      <c r="AR113" s="1002"/>
      <c r="AS113" s="1002"/>
      <c r="AT113" s="1002"/>
      <c r="AU113" s="1002"/>
      <c r="AV113" s="1002"/>
      <c r="AW113" s="1002"/>
      <c r="AX113" s="1002"/>
      <c r="AY113" s="1002"/>
      <c r="AZ113" s="1002"/>
      <c r="BA113" s="1002"/>
      <c r="BB113" s="1002"/>
      <c r="BC113" s="1002"/>
      <c r="BD113" s="1002"/>
      <c r="BE113" s="205" t="s">
        <v>489</v>
      </c>
      <c r="BF113" s="205" t="s">
        <v>487</v>
      </c>
      <c r="BG113" s="204"/>
      <c r="BH113" s="204"/>
      <c r="BI113" s="204"/>
      <c r="BJ113" s="204"/>
      <c r="BK113" s="206"/>
    </row>
    <row r="114" spans="1:63" s="164" customFormat="1" ht="15.75" customHeight="1">
      <c r="A114" s="185"/>
      <c r="B114" s="193"/>
      <c r="C114" s="251" t="s">
        <v>416</v>
      </c>
      <c r="D114" s="183" t="s">
        <v>530</v>
      </c>
      <c r="E114" s="184"/>
      <c r="F114" s="184"/>
      <c r="G114" s="184"/>
      <c r="H114" s="184"/>
      <c r="I114" s="184"/>
      <c r="J114" s="184"/>
      <c r="K114" s="184"/>
      <c r="L114" s="193"/>
      <c r="M114" s="1003"/>
      <c r="N114" s="1002"/>
      <c r="O114" s="1002"/>
      <c r="P114" s="1002"/>
      <c r="Q114" s="1002"/>
      <c r="R114" s="1002"/>
      <c r="S114" s="1002"/>
      <c r="T114" s="1002"/>
      <c r="U114" s="1002"/>
      <c r="V114" s="1002"/>
      <c r="W114" s="1002"/>
      <c r="X114" s="1002"/>
      <c r="Y114" s="1002"/>
      <c r="Z114" s="1002"/>
      <c r="AA114" s="1002"/>
      <c r="AB114" s="1002"/>
      <c r="AC114" s="1002"/>
      <c r="AD114" s="1002"/>
      <c r="AE114" s="1002"/>
      <c r="AF114" s="1002"/>
      <c r="AG114" s="1002"/>
      <c r="AH114" s="1002"/>
      <c r="AI114" s="1002"/>
      <c r="AJ114" s="1002"/>
      <c r="AK114" s="1002"/>
      <c r="AL114" s="1002"/>
      <c r="AM114" s="1002"/>
      <c r="AN114" s="1002"/>
      <c r="AO114" s="1002"/>
      <c r="AP114" s="1002"/>
      <c r="AQ114" s="1002"/>
      <c r="AR114" s="1002"/>
      <c r="AS114" s="1002"/>
      <c r="AT114" s="1002"/>
      <c r="AU114" s="1002"/>
      <c r="AV114" s="1002"/>
      <c r="AW114" s="1002"/>
      <c r="AX114" s="1002"/>
      <c r="AY114" s="1002"/>
      <c r="AZ114" s="1002"/>
      <c r="BA114" s="1002"/>
      <c r="BB114" s="1002"/>
      <c r="BC114" s="1002"/>
      <c r="BD114" s="1002"/>
      <c r="BE114" s="204"/>
      <c r="BF114" s="205" t="s">
        <v>487</v>
      </c>
      <c r="BG114" s="204"/>
      <c r="BH114" s="204"/>
      <c r="BI114" s="204"/>
      <c r="BJ114" s="204"/>
      <c r="BK114" s="206"/>
    </row>
    <row r="115" spans="1:63" s="164" customFormat="1" ht="15.75" customHeight="1">
      <c r="A115" s="185"/>
      <c r="B115" s="193"/>
      <c r="C115" s="251" t="s">
        <v>416</v>
      </c>
      <c r="D115" s="183" t="s">
        <v>531</v>
      </c>
      <c r="E115" s="184"/>
      <c r="F115" s="184"/>
      <c r="G115" s="184"/>
      <c r="H115" s="184"/>
      <c r="I115" s="184"/>
      <c r="J115" s="184"/>
      <c r="K115" s="184"/>
      <c r="L115" s="193"/>
      <c r="M115" s="197"/>
      <c r="N115" s="194"/>
      <c r="O115" s="194"/>
      <c r="P115" s="194"/>
      <c r="Q115" s="194"/>
      <c r="R115" s="194"/>
      <c r="S115" s="194"/>
      <c r="T115" s="194"/>
      <c r="U115" s="194"/>
      <c r="V115" s="194"/>
      <c r="W115" s="194"/>
      <c r="X115" s="194"/>
      <c r="Y115" s="194"/>
      <c r="Z115" s="194"/>
      <c r="AA115" s="194"/>
      <c r="AB115" s="194"/>
      <c r="AC115" s="194"/>
      <c r="AD115" s="194"/>
      <c r="AE115" s="194"/>
      <c r="AF115" s="194"/>
      <c r="AG115" s="194"/>
      <c r="AH115" s="194"/>
      <c r="AI115" s="194"/>
      <c r="AJ115" s="194"/>
      <c r="AK115" s="194"/>
      <c r="AL115" s="194"/>
      <c r="AM115" s="194"/>
      <c r="AN115" s="194"/>
      <c r="AO115" s="194"/>
      <c r="AP115" s="194"/>
      <c r="AQ115" s="194"/>
      <c r="AR115" s="194"/>
      <c r="AS115" s="194"/>
      <c r="AT115" s="194"/>
      <c r="AU115" s="194"/>
      <c r="AV115" s="194"/>
      <c r="AW115" s="194"/>
      <c r="AX115" s="194"/>
      <c r="AY115" s="194"/>
      <c r="AZ115" s="194"/>
      <c r="BA115" s="194"/>
      <c r="BB115" s="194"/>
      <c r="BC115" s="194"/>
      <c r="BD115" s="194"/>
      <c r="BE115" s="204" t="s">
        <v>486</v>
      </c>
      <c r="BF115" s="205" t="s">
        <v>487</v>
      </c>
      <c r="BG115" s="204"/>
      <c r="BH115" s="204"/>
      <c r="BI115" s="204"/>
      <c r="BJ115" s="204"/>
      <c r="BK115" s="206"/>
    </row>
    <row r="116" spans="1:63" s="164" customFormat="1" ht="15.75" customHeight="1">
      <c r="A116" s="185"/>
      <c r="B116" s="193"/>
      <c r="C116" s="251"/>
      <c r="D116" s="183" t="s">
        <v>532</v>
      </c>
      <c r="E116" s="184"/>
      <c r="F116" s="184"/>
      <c r="G116" s="184"/>
      <c r="H116" s="184"/>
      <c r="I116" s="184"/>
      <c r="J116" s="184"/>
      <c r="K116" s="184"/>
      <c r="L116" s="193"/>
      <c r="M116" s="197"/>
      <c r="N116" s="194"/>
      <c r="O116" s="194"/>
      <c r="P116" s="194"/>
      <c r="Q116" s="194"/>
      <c r="R116" s="194"/>
      <c r="S116" s="194"/>
      <c r="T116" s="194"/>
      <c r="U116" s="194"/>
      <c r="V116" s="194"/>
      <c r="W116" s="194"/>
      <c r="X116" s="194"/>
      <c r="Y116" s="194"/>
      <c r="Z116" s="194"/>
      <c r="AA116" s="194"/>
      <c r="AB116" s="194"/>
      <c r="AC116" s="194"/>
      <c r="AD116" s="194"/>
      <c r="AE116" s="194"/>
      <c r="AF116" s="194"/>
      <c r="AG116" s="194"/>
      <c r="AH116" s="194"/>
      <c r="AI116" s="194"/>
      <c r="AJ116" s="194"/>
      <c r="AK116" s="194"/>
      <c r="AL116" s="194"/>
      <c r="AM116" s="194"/>
      <c r="AN116" s="194"/>
      <c r="AO116" s="194"/>
      <c r="AP116" s="194"/>
      <c r="AQ116" s="194"/>
      <c r="AR116" s="194"/>
      <c r="AS116" s="194"/>
      <c r="AT116" s="194"/>
      <c r="AU116" s="194"/>
      <c r="AV116" s="194"/>
      <c r="AW116" s="194"/>
      <c r="AX116" s="194"/>
      <c r="AY116" s="194"/>
      <c r="AZ116" s="194"/>
      <c r="BA116" s="194"/>
      <c r="BB116" s="194"/>
      <c r="BC116" s="194"/>
      <c r="BD116" s="194"/>
      <c r="BE116" s="204"/>
      <c r="BF116" s="205" t="s">
        <v>487</v>
      </c>
      <c r="BG116" s="204"/>
      <c r="BH116" s="204"/>
      <c r="BI116" s="204"/>
      <c r="BJ116" s="204"/>
      <c r="BK116" s="206"/>
    </row>
    <row r="117" spans="1:63" s="164" customFormat="1" ht="15.75" customHeight="1">
      <c r="A117" s="185"/>
      <c r="B117" s="193"/>
      <c r="C117" s="251" t="s">
        <v>416</v>
      </c>
      <c r="D117" s="183" t="s">
        <v>533</v>
      </c>
      <c r="E117" s="184"/>
      <c r="F117" s="184"/>
      <c r="G117" s="184"/>
      <c r="H117" s="184"/>
      <c r="I117" s="184"/>
      <c r="J117" s="184"/>
      <c r="K117" s="184"/>
      <c r="L117" s="193"/>
      <c r="M117" s="1003"/>
      <c r="N117" s="1002"/>
      <c r="O117" s="1002"/>
      <c r="P117" s="1002"/>
      <c r="Q117" s="1002"/>
      <c r="R117" s="1002"/>
      <c r="S117" s="1002"/>
      <c r="T117" s="1002"/>
      <c r="U117" s="1002"/>
      <c r="V117" s="1002"/>
      <c r="W117" s="1002"/>
      <c r="X117" s="1002"/>
      <c r="Y117" s="1002"/>
      <c r="Z117" s="1002"/>
      <c r="AA117" s="1002"/>
      <c r="AB117" s="1002"/>
      <c r="AC117" s="1002"/>
      <c r="AD117" s="1002"/>
      <c r="AE117" s="1002"/>
      <c r="AF117" s="1002"/>
      <c r="AG117" s="1002"/>
      <c r="AH117" s="1002"/>
      <c r="AI117" s="1002"/>
      <c r="AJ117" s="1002"/>
      <c r="AK117" s="1002"/>
      <c r="AL117" s="1002"/>
      <c r="AM117" s="1002"/>
      <c r="AN117" s="1002"/>
      <c r="AO117" s="1002"/>
      <c r="AP117" s="1002"/>
      <c r="AQ117" s="1002"/>
      <c r="AR117" s="1002"/>
      <c r="AS117" s="1002"/>
      <c r="AT117" s="1002"/>
      <c r="AU117" s="1002"/>
      <c r="AV117" s="1002"/>
      <c r="AW117" s="1002"/>
      <c r="AX117" s="1002"/>
      <c r="AY117" s="1002"/>
      <c r="AZ117" s="1002"/>
      <c r="BA117" s="1002"/>
      <c r="BB117" s="1002"/>
      <c r="BC117" s="1002"/>
      <c r="BD117" s="1002"/>
      <c r="BE117" s="205" t="s">
        <v>486</v>
      </c>
      <c r="BF117" s="205" t="s">
        <v>487</v>
      </c>
      <c r="BG117" s="204"/>
      <c r="BH117" s="204"/>
      <c r="BI117" s="204"/>
      <c r="BJ117" s="204"/>
      <c r="BK117" s="206"/>
    </row>
    <row r="118" spans="1:63" s="164" customFormat="1" ht="15.75" customHeight="1">
      <c r="A118" s="185"/>
      <c r="B118" s="193"/>
      <c r="C118" s="184"/>
      <c r="D118" s="183" t="s">
        <v>534</v>
      </c>
      <c r="E118" s="184"/>
      <c r="F118" s="184"/>
      <c r="G118" s="184"/>
      <c r="H118" s="184"/>
      <c r="I118" s="184"/>
      <c r="J118" s="184"/>
      <c r="K118" s="184"/>
      <c r="L118" s="193"/>
      <c r="M118" s="1003"/>
      <c r="N118" s="1002"/>
      <c r="O118" s="1002"/>
      <c r="P118" s="1002"/>
      <c r="Q118" s="1002"/>
      <c r="R118" s="1002"/>
      <c r="S118" s="1002"/>
      <c r="T118" s="1002"/>
      <c r="U118" s="1002"/>
      <c r="V118" s="1002"/>
      <c r="W118" s="1002"/>
      <c r="X118" s="1002"/>
      <c r="Y118" s="1002"/>
      <c r="Z118" s="1002"/>
      <c r="AA118" s="1002"/>
      <c r="AB118" s="1002"/>
      <c r="AC118" s="1002"/>
      <c r="AD118" s="1002"/>
      <c r="AE118" s="1002"/>
      <c r="AF118" s="1002"/>
      <c r="AG118" s="1002"/>
      <c r="AH118" s="1002"/>
      <c r="AI118" s="1002"/>
      <c r="AJ118" s="1002"/>
      <c r="AK118" s="1002"/>
      <c r="AL118" s="1002"/>
      <c r="AM118" s="1002"/>
      <c r="AN118" s="1002"/>
      <c r="AO118" s="1002"/>
      <c r="AP118" s="1002"/>
      <c r="AQ118" s="1002"/>
      <c r="AR118" s="1002"/>
      <c r="AS118" s="1002"/>
      <c r="AT118" s="1002"/>
      <c r="AU118" s="1002"/>
      <c r="AV118" s="1002"/>
      <c r="AW118" s="1002"/>
      <c r="AX118" s="1002"/>
      <c r="AY118" s="1002"/>
      <c r="AZ118" s="1002"/>
      <c r="BA118" s="1002"/>
      <c r="BB118" s="1002"/>
      <c r="BC118" s="1002"/>
      <c r="BD118" s="1002"/>
      <c r="BE118" s="204"/>
      <c r="BF118" s="205" t="s">
        <v>487</v>
      </c>
      <c r="BG118" s="204"/>
      <c r="BH118" s="204"/>
      <c r="BI118" s="204"/>
      <c r="BJ118" s="204"/>
      <c r="BK118" s="206"/>
    </row>
    <row r="119" spans="1:63" s="164" customFormat="1" ht="15.75" customHeight="1">
      <c r="A119" s="185"/>
      <c r="B119" s="193"/>
      <c r="C119" s="251" t="s">
        <v>416</v>
      </c>
      <c r="D119" s="183" t="s">
        <v>535</v>
      </c>
      <c r="E119" s="184"/>
      <c r="F119" s="184"/>
      <c r="G119" s="184"/>
      <c r="H119" s="184"/>
      <c r="I119" s="184"/>
      <c r="J119" s="184"/>
      <c r="K119" s="184"/>
      <c r="L119" s="193"/>
      <c r="M119" s="1003"/>
      <c r="N119" s="1002"/>
      <c r="O119" s="1002"/>
      <c r="P119" s="1002"/>
      <c r="Q119" s="1002"/>
      <c r="R119" s="1002"/>
      <c r="S119" s="1002"/>
      <c r="T119" s="1002"/>
      <c r="U119" s="1002"/>
      <c r="V119" s="1002"/>
      <c r="W119" s="1002"/>
      <c r="X119" s="1002"/>
      <c r="Y119" s="1002"/>
      <c r="Z119" s="1002"/>
      <c r="AA119" s="1002"/>
      <c r="AB119" s="1002"/>
      <c r="AC119" s="1002"/>
      <c r="AD119" s="1002"/>
      <c r="AE119" s="1002"/>
      <c r="AF119" s="1002"/>
      <c r="AG119" s="1002"/>
      <c r="AH119" s="1002"/>
      <c r="AI119" s="1002"/>
      <c r="AJ119" s="1002"/>
      <c r="AK119" s="1002"/>
      <c r="AL119" s="1002"/>
      <c r="AM119" s="1002"/>
      <c r="AN119" s="1002"/>
      <c r="AO119" s="1002"/>
      <c r="AP119" s="1002"/>
      <c r="AQ119" s="1002"/>
      <c r="AR119" s="1002"/>
      <c r="AS119" s="1002"/>
      <c r="AT119" s="1002"/>
      <c r="AU119" s="1002"/>
      <c r="AV119" s="1002"/>
      <c r="AW119" s="1002"/>
      <c r="AX119" s="1002"/>
      <c r="AY119" s="1002"/>
      <c r="AZ119" s="1002"/>
      <c r="BA119" s="1002"/>
      <c r="BB119" s="1002"/>
      <c r="BC119" s="1002"/>
      <c r="BD119" s="1002"/>
      <c r="BE119" s="204"/>
      <c r="BF119" s="205" t="s">
        <v>487</v>
      </c>
      <c r="BG119" s="204"/>
      <c r="BH119" s="204"/>
      <c r="BI119" s="204"/>
      <c r="BJ119" s="204"/>
      <c r="BK119" s="206"/>
    </row>
    <row r="120" spans="1:63" s="164" customFormat="1" ht="15.75" customHeight="1">
      <c r="A120" s="185"/>
      <c r="B120" s="193"/>
      <c r="C120" s="251" t="s">
        <v>416</v>
      </c>
      <c r="D120" s="183" t="s">
        <v>272</v>
      </c>
      <c r="E120" s="184"/>
      <c r="F120" s="184"/>
      <c r="G120" s="184"/>
      <c r="H120" s="184"/>
      <c r="I120" s="184"/>
      <c r="J120" s="184"/>
      <c r="K120" s="184"/>
      <c r="L120" s="193"/>
      <c r="M120" s="1003"/>
      <c r="N120" s="1002"/>
      <c r="O120" s="1002"/>
      <c r="P120" s="1002"/>
      <c r="Q120" s="1002"/>
      <c r="R120" s="1002"/>
      <c r="S120" s="1002"/>
      <c r="T120" s="1002"/>
      <c r="U120" s="1002"/>
      <c r="V120" s="1002"/>
      <c r="W120" s="1002"/>
      <c r="X120" s="1002"/>
      <c r="Y120" s="1002"/>
      <c r="Z120" s="1002"/>
      <c r="AA120" s="1002"/>
      <c r="AB120" s="1002"/>
      <c r="AC120" s="1002"/>
      <c r="AD120" s="1002"/>
      <c r="AE120" s="1002"/>
      <c r="AF120" s="1002"/>
      <c r="AG120" s="1002"/>
      <c r="AH120" s="1002"/>
      <c r="AI120" s="1002"/>
      <c r="AJ120" s="1002"/>
      <c r="AK120" s="1002"/>
      <c r="AL120" s="1002"/>
      <c r="AM120" s="1002"/>
      <c r="AN120" s="1002"/>
      <c r="AO120" s="1002"/>
      <c r="AP120" s="1002"/>
      <c r="AQ120" s="1002"/>
      <c r="AR120" s="1002"/>
      <c r="AS120" s="1002"/>
      <c r="AT120" s="1002"/>
      <c r="AU120" s="1002"/>
      <c r="AV120" s="1002"/>
      <c r="AW120" s="1002"/>
      <c r="AX120" s="1002"/>
      <c r="AY120" s="1002"/>
      <c r="AZ120" s="1002"/>
      <c r="BA120" s="1002"/>
      <c r="BB120" s="1002"/>
      <c r="BC120" s="1002"/>
      <c r="BD120" s="1002"/>
      <c r="BE120" s="204"/>
      <c r="BF120" s="205" t="s">
        <v>487</v>
      </c>
      <c r="BG120" s="204"/>
      <c r="BH120" s="204"/>
      <c r="BI120" s="204"/>
      <c r="BJ120" s="204"/>
      <c r="BK120" s="206"/>
    </row>
    <row r="121" spans="1:63" s="164" customFormat="1" ht="15.75" customHeight="1">
      <c r="A121" s="185"/>
      <c r="B121" s="193"/>
      <c r="C121" s="251" t="s">
        <v>416</v>
      </c>
      <c r="D121" s="183" t="s">
        <v>268</v>
      </c>
      <c r="E121" s="184"/>
      <c r="F121" s="184"/>
      <c r="G121" s="184"/>
      <c r="H121" s="184"/>
      <c r="I121" s="184"/>
      <c r="J121" s="184"/>
      <c r="K121" s="184"/>
      <c r="L121" s="193"/>
      <c r="M121" s="1003"/>
      <c r="N121" s="1002"/>
      <c r="O121" s="1002"/>
      <c r="P121" s="1002"/>
      <c r="Q121" s="1002"/>
      <c r="R121" s="1002"/>
      <c r="S121" s="1002"/>
      <c r="T121" s="1002"/>
      <c r="U121" s="1002"/>
      <c r="V121" s="1002"/>
      <c r="W121" s="1002"/>
      <c r="X121" s="1002"/>
      <c r="Y121" s="1002"/>
      <c r="Z121" s="1002"/>
      <c r="AA121" s="1002"/>
      <c r="AB121" s="1002"/>
      <c r="AC121" s="1002"/>
      <c r="AD121" s="1002"/>
      <c r="AE121" s="1002"/>
      <c r="AF121" s="1002"/>
      <c r="AG121" s="1002"/>
      <c r="AH121" s="1002"/>
      <c r="AI121" s="1002"/>
      <c r="AJ121" s="1002"/>
      <c r="AK121" s="1002"/>
      <c r="AL121" s="1002"/>
      <c r="AM121" s="1002"/>
      <c r="AN121" s="1002"/>
      <c r="AO121" s="1002"/>
      <c r="AP121" s="1002"/>
      <c r="AQ121" s="1002"/>
      <c r="AR121" s="1002"/>
      <c r="AS121" s="1002"/>
      <c r="AT121" s="1002"/>
      <c r="AU121" s="1002"/>
      <c r="AV121" s="1002"/>
      <c r="AW121" s="1002"/>
      <c r="AX121" s="1002"/>
      <c r="AY121" s="1002"/>
      <c r="AZ121" s="1002"/>
      <c r="BA121" s="1002"/>
      <c r="BB121" s="1002"/>
      <c r="BC121" s="1002"/>
      <c r="BD121" s="1002"/>
      <c r="BE121" s="204"/>
      <c r="BF121" s="205" t="s">
        <v>487</v>
      </c>
      <c r="BG121" s="204"/>
      <c r="BH121" s="204"/>
      <c r="BI121" s="204"/>
      <c r="BJ121" s="204"/>
      <c r="BK121" s="206"/>
    </row>
    <row r="122" spans="1:63" s="164" customFormat="1" ht="15.75" customHeight="1">
      <c r="A122" s="185"/>
      <c r="B122" s="193"/>
      <c r="C122" s="251" t="s">
        <v>416</v>
      </c>
      <c r="D122" s="183" t="s">
        <v>536</v>
      </c>
      <c r="E122" s="184"/>
      <c r="F122" s="184"/>
      <c r="G122" s="184"/>
      <c r="H122" s="184"/>
      <c r="I122" s="184"/>
      <c r="J122" s="184"/>
      <c r="K122" s="184"/>
      <c r="L122" s="193"/>
      <c r="M122" s="1003"/>
      <c r="N122" s="1002"/>
      <c r="O122" s="1002"/>
      <c r="P122" s="1002"/>
      <c r="Q122" s="1002"/>
      <c r="R122" s="1002"/>
      <c r="S122" s="1002"/>
      <c r="T122" s="1002"/>
      <c r="U122" s="1002"/>
      <c r="V122" s="1002"/>
      <c r="W122" s="1002"/>
      <c r="X122" s="1002"/>
      <c r="Y122" s="1002"/>
      <c r="Z122" s="1002"/>
      <c r="AA122" s="1002"/>
      <c r="AB122" s="1002"/>
      <c r="AC122" s="1002"/>
      <c r="AD122" s="1002"/>
      <c r="AE122" s="1002"/>
      <c r="AF122" s="1002"/>
      <c r="AG122" s="1002"/>
      <c r="AH122" s="1002"/>
      <c r="AI122" s="1002"/>
      <c r="AJ122" s="1002"/>
      <c r="AK122" s="1002"/>
      <c r="AL122" s="1002"/>
      <c r="AM122" s="1002"/>
      <c r="AN122" s="1002"/>
      <c r="AO122" s="1002"/>
      <c r="AP122" s="1002"/>
      <c r="AQ122" s="1002"/>
      <c r="AR122" s="1002"/>
      <c r="AS122" s="1002"/>
      <c r="AT122" s="1002"/>
      <c r="AU122" s="1002"/>
      <c r="AV122" s="1002"/>
      <c r="AW122" s="1002"/>
      <c r="AX122" s="1002"/>
      <c r="AY122" s="1002"/>
      <c r="AZ122" s="1002"/>
      <c r="BA122" s="1002"/>
      <c r="BB122" s="1002"/>
      <c r="BC122" s="1002"/>
      <c r="BD122" s="1002"/>
      <c r="BE122" s="204"/>
      <c r="BF122" s="205" t="s">
        <v>487</v>
      </c>
      <c r="BG122" s="204"/>
      <c r="BH122" s="204"/>
      <c r="BI122" s="204"/>
      <c r="BJ122" s="204"/>
      <c r="BK122" s="206"/>
    </row>
    <row r="123" spans="1:63" s="164" customFormat="1" ht="89.25" customHeight="1">
      <c r="A123" s="185"/>
      <c r="B123" s="193"/>
      <c r="C123" s="251" t="s">
        <v>416</v>
      </c>
      <c r="D123" s="183" t="s">
        <v>537</v>
      </c>
      <c r="E123" s="184"/>
      <c r="F123" s="184"/>
      <c r="G123" s="184"/>
      <c r="H123" s="184"/>
      <c r="I123" s="184"/>
      <c r="J123" s="184"/>
      <c r="K123" s="184"/>
      <c r="L123" s="193"/>
      <c r="M123" s="1003" t="s">
        <v>538</v>
      </c>
      <c r="N123" s="1002"/>
      <c r="O123" s="1002"/>
      <c r="P123" s="1002"/>
      <c r="Q123" s="1002"/>
      <c r="R123" s="1002"/>
      <c r="S123" s="1002"/>
      <c r="T123" s="1002"/>
      <c r="U123" s="1002"/>
      <c r="V123" s="1002"/>
      <c r="W123" s="1002"/>
      <c r="X123" s="1002"/>
      <c r="Y123" s="1002"/>
      <c r="Z123" s="1002"/>
      <c r="AA123" s="1002"/>
      <c r="AB123" s="1002"/>
      <c r="AC123" s="1002"/>
      <c r="AD123" s="1002"/>
      <c r="AE123" s="1002"/>
      <c r="AF123" s="1002"/>
      <c r="AG123" s="1002"/>
      <c r="AH123" s="1002"/>
      <c r="AI123" s="1002"/>
      <c r="AJ123" s="1002"/>
      <c r="AK123" s="1002"/>
      <c r="AL123" s="1002"/>
      <c r="AM123" s="1002"/>
      <c r="AN123" s="1002"/>
      <c r="AO123" s="1002"/>
      <c r="AP123" s="1002"/>
      <c r="AQ123" s="1002"/>
      <c r="AR123" s="1002"/>
      <c r="AS123" s="1002"/>
      <c r="AT123" s="1002"/>
      <c r="AU123" s="1002"/>
      <c r="AV123" s="1002"/>
      <c r="AW123" s="1002"/>
      <c r="AX123" s="1002"/>
      <c r="AY123" s="1002"/>
      <c r="AZ123" s="1002"/>
      <c r="BA123" s="1002"/>
      <c r="BB123" s="1002"/>
      <c r="BC123" s="1002"/>
      <c r="BD123" s="1002"/>
      <c r="BE123" s="204"/>
      <c r="BF123" s="205" t="s">
        <v>487</v>
      </c>
      <c r="BG123" s="204"/>
      <c r="BH123" s="204"/>
      <c r="BI123" s="204"/>
      <c r="BJ123" s="204"/>
      <c r="BK123" s="206"/>
    </row>
    <row r="124" spans="1:63" s="164" customFormat="1" ht="93" customHeight="1">
      <c r="A124" s="185"/>
      <c r="B124" s="193"/>
      <c r="C124" s="251" t="s">
        <v>416</v>
      </c>
      <c r="D124" s="183" t="s">
        <v>539</v>
      </c>
      <c r="E124" s="184"/>
      <c r="F124" s="184"/>
      <c r="G124" s="184"/>
      <c r="H124" s="184"/>
      <c r="I124" s="184"/>
      <c r="J124" s="184"/>
      <c r="K124" s="184"/>
      <c r="L124" s="193"/>
      <c r="M124" s="1003" t="s">
        <v>540</v>
      </c>
      <c r="N124" s="1002"/>
      <c r="O124" s="1002"/>
      <c r="P124" s="1002"/>
      <c r="Q124" s="1002"/>
      <c r="R124" s="1002"/>
      <c r="S124" s="1002"/>
      <c r="T124" s="1002"/>
      <c r="U124" s="1002"/>
      <c r="V124" s="1002"/>
      <c r="W124" s="1002"/>
      <c r="X124" s="1002"/>
      <c r="Y124" s="1002"/>
      <c r="Z124" s="1002"/>
      <c r="AA124" s="1002"/>
      <c r="AB124" s="1002"/>
      <c r="AC124" s="1002"/>
      <c r="AD124" s="1002"/>
      <c r="AE124" s="1002"/>
      <c r="AF124" s="1002"/>
      <c r="AG124" s="1002"/>
      <c r="AH124" s="1002"/>
      <c r="AI124" s="1002"/>
      <c r="AJ124" s="1002"/>
      <c r="AK124" s="1002"/>
      <c r="AL124" s="1002"/>
      <c r="AM124" s="1002"/>
      <c r="AN124" s="1002"/>
      <c r="AO124" s="1002"/>
      <c r="AP124" s="1002"/>
      <c r="AQ124" s="1002"/>
      <c r="AR124" s="1002"/>
      <c r="AS124" s="1002"/>
      <c r="AT124" s="1002"/>
      <c r="AU124" s="1002"/>
      <c r="AV124" s="1002"/>
      <c r="AW124" s="1002"/>
      <c r="AX124" s="1002"/>
      <c r="AY124" s="1002"/>
      <c r="AZ124" s="1002"/>
      <c r="BA124" s="1002"/>
      <c r="BB124" s="1002"/>
      <c r="BC124" s="1002"/>
      <c r="BD124" s="1002"/>
      <c r="BE124" s="204"/>
      <c r="BF124" s="205" t="s">
        <v>487</v>
      </c>
      <c r="BG124" s="204"/>
      <c r="BH124" s="204"/>
      <c r="BI124" s="204"/>
      <c r="BJ124" s="204"/>
      <c r="BK124" s="206"/>
    </row>
    <row r="125" spans="1:63" s="164" customFormat="1" ht="15.75" customHeight="1">
      <c r="A125" s="185"/>
      <c r="B125" s="193"/>
      <c r="C125" s="251" t="s">
        <v>416</v>
      </c>
      <c r="D125" s="183" t="s">
        <v>541</v>
      </c>
      <c r="E125" s="184"/>
      <c r="F125" s="184"/>
      <c r="G125" s="184"/>
      <c r="H125" s="184"/>
      <c r="I125" s="184"/>
      <c r="J125" s="184"/>
      <c r="K125" s="184"/>
      <c r="L125" s="193"/>
      <c r="M125" s="1003"/>
      <c r="N125" s="1002"/>
      <c r="O125" s="1002"/>
      <c r="P125" s="1002"/>
      <c r="Q125" s="1002"/>
      <c r="R125" s="1002"/>
      <c r="S125" s="1002"/>
      <c r="T125" s="1002"/>
      <c r="U125" s="1002"/>
      <c r="V125" s="1002"/>
      <c r="W125" s="1002"/>
      <c r="X125" s="1002"/>
      <c r="Y125" s="1002"/>
      <c r="Z125" s="1002"/>
      <c r="AA125" s="1002"/>
      <c r="AB125" s="1002"/>
      <c r="AC125" s="1002"/>
      <c r="AD125" s="1002"/>
      <c r="AE125" s="1002"/>
      <c r="AF125" s="1002"/>
      <c r="AG125" s="1002"/>
      <c r="AH125" s="1002"/>
      <c r="AI125" s="1002"/>
      <c r="AJ125" s="1002"/>
      <c r="AK125" s="1002"/>
      <c r="AL125" s="1002"/>
      <c r="AM125" s="1002"/>
      <c r="AN125" s="1002"/>
      <c r="AO125" s="1002"/>
      <c r="AP125" s="1002"/>
      <c r="AQ125" s="1002"/>
      <c r="AR125" s="1002"/>
      <c r="AS125" s="1002"/>
      <c r="AT125" s="1002"/>
      <c r="AU125" s="1002"/>
      <c r="AV125" s="1002"/>
      <c r="AW125" s="1002"/>
      <c r="AX125" s="1002"/>
      <c r="AY125" s="1002"/>
      <c r="AZ125" s="1002"/>
      <c r="BA125" s="1002"/>
      <c r="BB125" s="1002"/>
      <c r="BC125" s="1002"/>
      <c r="BD125" s="1002"/>
      <c r="BE125" s="204"/>
      <c r="BF125" s="205" t="s">
        <v>487</v>
      </c>
      <c r="BG125" s="204"/>
      <c r="BH125" s="204"/>
      <c r="BI125" s="204"/>
      <c r="BJ125" s="204"/>
      <c r="BK125" s="206"/>
    </row>
    <row r="126" spans="1:63" s="164" customFormat="1" ht="15.75" customHeight="1">
      <c r="A126" s="185"/>
      <c r="B126" s="193"/>
      <c r="C126" s="251" t="s">
        <v>416</v>
      </c>
      <c r="D126" s="183" t="s">
        <v>542</v>
      </c>
      <c r="E126" s="184"/>
      <c r="F126" s="184"/>
      <c r="G126" s="184"/>
      <c r="H126" s="184"/>
      <c r="I126" s="184"/>
      <c r="J126" s="184"/>
      <c r="K126" s="184"/>
      <c r="L126" s="193"/>
      <c r="M126" s="1003"/>
      <c r="N126" s="1002"/>
      <c r="O126" s="1002"/>
      <c r="P126" s="1002"/>
      <c r="Q126" s="1002"/>
      <c r="R126" s="1002"/>
      <c r="S126" s="1002"/>
      <c r="T126" s="1002"/>
      <c r="U126" s="1002"/>
      <c r="V126" s="1002"/>
      <c r="W126" s="1002"/>
      <c r="X126" s="1002"/>
      <c r="Y126" s="1002"/>
      <c r="Z126" s="1002"/>
      <c r="AA126" s="1002"/>
      <c r="AB126" s="1002"/>
      <c r="AC126" s="1002"/>
      <c r="AD126" s="1002"/>
      <c r="AE126" s="1002"/>
      <c r="AF126" s="1002"/>
      <c r="AG126" s="1002"/>
      <c r="AH126" s="1002"/>
      <c r="AI126" s="1002"/>
      <c r="AJ126" s="1002"/>
      <c r="AK126" s="1002"/>
      <c r="AL126" s="1002"/>
      <c r="AM126" s="1002"/>
      <c r="AN126" s="1002"/>
      <c r="AO126" s="1002"/>
      <c r="AP126" s="1002"/>
      <c r="AQ126" s="1002"/>
      <c r="AR126" s="1002"/>
      <c r="AS126" s="1002"/>
      <c r="AT126" s="1002"/>
      <c r="AU126" s="1002"/>
      <c r="AV126" s="1002"/>
      <c r="AW126" s="1002"/>
      <c r="AX126" s="1002"/>
      <c r="AY126" s="1002"/>
      <c r="AZ126" s="1002"/>
      <c r="BA126" s="1002"/>
      <c r="BB126" s="1002"/>
      <c r="BC126" s="1002"/>
      <c r="BD126" s="1002"/>
      <c r="BE126" s="205" t="s">
        <v>489</v>
      </c>
      <c r="BF126" s="205" t="s">
        <v>487</v>
      </c>
      <c r="BG126" s="204"/>
      <c r="BH126" s="204"/>
      <c r="BI126" s="204"/>
      <c r="BJ126" s="204"/>
      <c r="BK126" s="206"/>
    </row>
    <row r="127" spans="1:63" s="164" customFormat="1" ht="15.75" customHeight="1">
      <c r="A127" s="185"/>
      <c r="B127" s="193"/>
      <c r="C127" s="251" t="s">
        <v>416</v>
      </c>
      <c r="D127" s="183" t="s">
        <v>543</v>
      </c>
      <c r="E127" s="184"/>
      <c r="F127" s="184"/>
      <c r="G127" s="184"/>
      <c r="H127" s="184"/>
      <c r="I127" s="184"/>
      <c r="J127" s="184"/>
      <c r="K127" s="184"/>
      <c r="L127" s="193"/>
      <c r="M127" s="1003"/>
      <c r="N127" s="1002"/>
      <c r="O127" s="1002"/>
      <c r="P127" s="1002"/>
      <c r="Q127" s="1002"/>
      <c r="R127" s="1002"/>
      <c r="S127" s="1002"/>
      <c r="T127" s="1002"/>
      <c r="U127" s="1002"/>
      <c r="V127" s="1002"/>
      <c r="W127" s="1002"/>
      <c r="X127" s="1002"/>
      <c r="Y127" s="1002"/>
      <c r="Z127" s="1002"/>
      <c r="AA127" s="1002"/>
      <c r="AB127" s="1002"/>
      <c r="AC127" s="1002"/>
      <c r="AD127" s="1002"/>
      <c r="AE127" s="1002"/>
      <c r="AF127" s="1002"/>
      <c r="AG127" s="1002"/>
      <c r="AH127" s="1002"/>
      <c r="AI127" s="1002"/>
      <c r="AJ127" s="1002"/>
      <c r="AK127" s="1002"/>
      <c r="AL127" s="1002"/>
      <c r="AM127" s="1002"/>
      <c r="AN127" s="1002"/>
      <c r="AO127" s="1002"/>
      <c r="AP127" s="1002"/>
      <c r="AQ127" s="1002"/>
      <c r="AR127" s="1002"/>
      <c r="AS127" s="1002"/>
      <c r="AT127" s="1002"/>
      <c r="AU127" s="1002"/>
      <c r="AV127" s="1002"/>
      <c r="AW127" s="1002"/>
      <c r="AX127" s="1002"/>
      <c r="AY127" s="1002"/>
      <c r="AZ127" s="1002"/>
      <c r="BA127" s="1002"/>
      <c r="BB127" s="1002"/>
      <c r="BC127" s="1002"/>
      <c r="BD127" s="1002"/>
      <c r="BE127" s="204"/>
      <c r="BF127" s="205" t="s">
        <v>487</v>
      </c>
      <c r="BG127" s="204"/>
      <c r="BH127" s="204"/>
      <c r="BI127" s="204"/>
      <c r="BJ127" s="204"/>
      <c r="BK127" s="206"/>
    </row>
    <row r="128" spans="1:63" s="164" customFormat="1" ht="15.75" customHeight="1">
      <c r="A128" s="185"/>
      <c r="B128" s="193"/>
      <c r="C128" s="251" t="s">
        <v>416</v>
      </c>
      <c r="D128" s="183" t="s">
        <v>544</v>
      </c>
      <c r="E128" s="184"/>
      <c r="F128" s="184"/>
      <c r="G128" s="184"/>
      <c r="H128" s="184"/>
      <c r="I128" s="184"/>
      <c r="J128" s="184"/>
      <c r="K128" s="184"/>
      <c r="L128" s="193"/>
      <c r="M128" s="1003"/>
      <c r="N128" s="1002"/>
      <c r="O128" s="1002"/>
      <c r="P128" s="1002"/>
      <c r="Q128" s="1002"/>
      <c r="R128" s="1002"/>
      <c r="S128" s="1002"/>
      <c r="T128" s="1002"/>
      <c r="U128" s="1002"/>
      <c r="V128" s="1002"/>
      <c r="W128" s="1002"/>
      <c r="X128" s="1002"/>
      <c r="Y128" s="1002"/>
      <c r="Z128" s="1002"/>
      <c r="AA128" s="1002"/>
      <c r="AB128" s="1002"/>
      <c r="AC128" s="1002"/>
      <c r="AD128" s="1002"/>
      <c r="AE128" s="1002"/>
      <c r="AF128" s="1002"/>
      <c r="AG128" s="1002"/>
      <c r="AH128" s="1002"/>
      <c r="AI128" s="1002"/>
      <c r="AJ128" s="1002"/>
      <c r="AK128" s="1002"/>
      <c r="AL128" s="1002"/>
      <c r="AM128" s="1002"/>
      <c r="AN128" s="1002"/>
      <c r="AO128" s="1002"/>
      <c r="AP128" s="1002"/>
      <c r="AQ128" s="1002"/>
      <c r="AR128" s="1002"/>
      <c r="AS128" s="1002"/>
      <c r="AT128" s="1002"/>
      <c r="AU128" s="1002"/>
      <c r="AV128" s="1002"/>
      <c r="AW128" s="1002"/>
      <c r="AX128" s="1002"/>
      <c r="AY128" s="1002"/>
      <c r="AZ128" s="1002"/>
      <c r="BA128" s="1002"/>
      <c r="BB128" s="1002"/>
      <c r="BC128" s="1002"/>
      <c r="BD128" s="1002"/>
      <c r="BE128" s="205" t="s">
        <v>486</v>
      </c>
      <c r="BF128" s="205" t="s">
        <v>487</v>
      </c>
      <c r="BG128" s="204"/>
      <c r="BH128" s="204"/>
      <c r="BI128" s="204"/>
      <c r="BJ128" s="204"/>
      <c r="BK128" s="206"/>
    </row>
    <row r="129" spans="1:63" s="164" customFormat="1" ht="15.75" customHeight="1">
      <c r="A129" s="185"/>
      <c r="B129" s="193"/>
      <c r="C129" s="251" t="s">
        <v>416</v>
      </c>
      <c r="D129" s="183" t="s">
        <v>545</v>
      </c>
      <c r="E129" s="184"/>
      <c r="F129" s="184"/>
      <c r="G129" s="184"/>
      <c r="H129" s="184"/>
      <c r="I129" s="184"/>
      <c r="J129" s="184"/>
      <c r="K129" s="184"/>
      <c r="L129" s="193"/>
      <c r="M129" s="1003"/>
      <c r="N129" s="1002"/>
      <c r="O129" s="1002"/>
      <c r="P129" s="1002"/>
      <c r="Q129" s="1002"/>
      <c r="R129" s="1002"/>
      <c r="S129" s="1002"/>
      <c r="T129" s="1002"/>
      <c r="U129" s="1002"/>
      <c r="V129" s="1002"/>
      <c r="W129" s="1002"/>
      <c r="X129" s="1002"/>
      <c r="Y129" s="1002"/>
      <c r="Z129" s="1002"/>
      <c r="AA129" s="1002"/>
      <c r="AB129" s="1002"/>
      <c r="AC129" s="1002"/>
      <c r="AD129" s="1002"/>
      <c r="AE129" s="1002"/>
      <c r="AF129" s="1002"/>
      <c r="AG129" s="1002"/>
      <c r="AH129" s="1002"/>
      <c r="AI129" s="1002"/>
      <c r="AJ129" s="1002"/>
      <c r="AK129" s="1002"/>
      <c r="AL129" s="1002"/>
      <c r="AM129" s="1002"/>
      <c r="AN129" s="1002"/>
      <c r="AO129" s="1002"/>
      <c r="AP129" s="1002"/>
      <c r="AQ129" s="1002"/>
      <c r="AR129" s="1002"/>
      <c r="AS129" s="1002"/>
      <c r="AT129" s="1002"/>
      <c r="AU129" s="1002"/>
      <c r="AV129" s="1002"/>
      <c r="AW129" s="1002"/>
      <c r="AX129" s="1002"/>
      <c r="AY129" s="1002"/>
      <c r="AZ129" s="1002"/>
      <c r="BA129" s="1002"/>
      <c r="BB129" s="1002"/>
      <c r="BC129" s="1002"/>
      <c r="BD129" s="1002"/>
      <c r="BE129" s="204"/>
      <c r="BF129" s="205" t="s">
        <v>487</v>
      </c>
      <c r="BG129" s="204"/>
      <c r="BH129" s="204"/>
      <c r="BI129" s="204"/>
      <c r="BJ129" s="204"/>
      <c r="BK129" s="206"/>
    </row>
    <row r="130" spans="1:63" s="164" customFormat="1" ht="66.75" customHeight="1">
      <c r="A130" s="185"/>
      <c r="B130" s="193"/>
      <c r="C130" s="251" t="s">
        <v>416</v>
      </c>
      <c r="D130" s="183" t="s">
        <v>546</v>
      </c>
      <c r="E130" s="184"/>
      <c r="F130" s="184"/>
      <c r="G130" s="184"/>
      <c r="H130" s="184"/>
      <c r="I130" s="184"/>
      <c r="J130" s="184"/>
      <c r="K130" s="184"/>
      <c r="L130" s="193"/>
      <c r="M130" s="1001" t="s">
        <v>547</v>
      </c>
      <c r="N130" s="1002"/>
      <c r="O130" s="1002"/>
      <c r="P130" s="1002"/>
      <c r="Q130" s="1002"/>
      <c r="R130" s="1002"/>
      <c r="S130" s="1002"/>
      <c r="T130" s="1002"/>
      <c r="U130" s="1002"/>
      <c r="V130" s="1002"/>
      <c r="W130" s="1002"/>
      <c r="X130" s="1002"/>
      <c r="Y130" s="1002"/>
      <c r="Z130" s="1002"/>
      <c r="AA130" s="1002"/>
      <c r="AB130" s="1002"/>
      <c r="AC130" s="1002"/>
      <c r="AD130" s="1002"/>
      <c r="AE130" s="1002"/>
      <c r="AF130" s="1002"/>
      <c r="AG130" s="1002"/>
      <c r="AH130" s="1002"/>
      <c r="AI130" s="1002"/>
      <c r="AJ130" s="1002"/>
      <c r="AK130" s="1002"/>
      <c r="AL130" s="1002"/>
      <c r="AM130" s="1002"/>
      <c r="AN130" s="1002"/>
      <c r="AO130" s="1002"/>
      <c r="AP130" s="1002"/>
      <c r="AQ130" s="1002"/>
      <c r="AR130" s="1002"/>
      <c r="AS130" s="1002"/>
      <c r="AT130" s="1002"/>
      <c r="AU130" s="1002"/>
      <c r="AV130" s="1002"/>
      <c r="AW130" s="1002"/>
      <c r="AX130" s="1002"/>
      <c r="AY130" s="1002"/>
      <c r="AZ130" s="1002"/>
      <c r="BA130" s="1002"/>
      <c r="BB130" s="1002"/>
      <c r="BC130" s="1002"/>
      <c r="BD130" s="1002"/>
      <c r="BE130" s="204"/>
      <c r="BF130" s="205" t="s">
        <v>548</v>
      </c>
      <c r="BG130" s="204"/>
      <c r="BH130" s="204"/>
      <c r="BI130" s="204"/>
      <c r="BJ130" s="204"/>
      <c r="BK130" s="206"/>
    </row>
    <row r="131" spans="1:63" s="164" customFormat="1" ht="15.75" customHeight="1">
      <c r="A131" s="185"/>
      <c r="B131" s="193"/>
      <c r="C131" s="251" t="s">
        <v>416</v>
      </c>
      <c r="D131" s="183" t="s">
        <v>549</v>
      </c>
      <c r="E131" s="184"/>
      <c r="F131" s="184"/>
      <c r="G131" s="184"/>
      <c r="H131" s="184"/>
      <c r="I131" s="184"/>
      <c r="J131" s="184"/>
      <c r="K131" s="184"/>
      <c r="L131" s="193"/>
      <c r="M131" s="1001" t="s">
        <v>550</v>
      </c>
      <c r="N131" s="1002"/>
      <c r="O131" s="1002"/>
      <c r="P131" s="1002"/>
      <c r="Q131" s="1002"/>
      <c r="R131" s="1002"/>
      <c r="S131" s="1002"/>
      <c r="T131" s="1002"/>
      <c r="U131" s="1002"/>
      <c r="V131" s="1002"/>
      <c r="W131" s="1002"/>
      <c r="X131" s="1002"/>
      <c r="Y131" s="1002"/>
      <c r="Z131" s="1002"/>
      <c r="AA131" s="1002"/>
      <c r="AB131" s="1002"/>
      <c r="AC131" s="1002"/>
      <c r="AD131" s="1002"/>
      <c r="AE131" s="1002"/>
      <c r="AF131" s="1002"/>
      <c r="AG131" s="1002"/>
      <c r="AH131" s="1002"/>
      <c r="AI131" s="1002"/>
      <c r="AJ131" s="1002"/>
      <c r="AK131" s="1002"/>
      <c r="AL131" s="1002"/>
      <c r="AM131" s="1002"/>
      <c r="AN131" s="1002"/>
      <c r="AO131" s="1002"/>
      <c r="AP131" s="1002"/>
      <c r="AQ131" s="1002"/>
      <c r="AR131" s="1002"/>
      <c r="AS131" s="1002"/>
      <c r="AT131" s="1002"/>
      <c r="AU131" s="1002"/>
      <c r="AV131" s="1002"/>
      <c r="AW131" s="1002"/>
      <c r="AX131" s="1002"/>
      <c r="AY131" s="1002"/>
      <c r="AZ131" s="1002"/>
      <c r="BA131" s="1002"/>
      <c r="BB131" s="1002"/>
      <c r="BC131" s="1002"/>
      <c r="BD131" s="1002"/>
      <c r="BE131" s="204"/>
      <c r="BF131" s="205" t="s">
        <v>548</v>
      </c>
      <c r="BG131" s="204"/>
      <c r="BH131" s="204"/>
      <c r="BI131" s="204"/>
      <c r="BJ131" s="204"/>
      <c r="BK131" s="206"/>
    </row>
    <row r="132" spans="1:63" s="164" customFormat="1" ht="66.75" customHeight="1">
      <c r="A132" s="185"/>
      <c r="B132" s="193"/>
      <c r="C132" s="251" t="s">
        <v>416</v>
      </c>
      <c r="D132" s="183" t="s">
        <v>551</v>
      </c>
      <c r="E132" s="184"/>
      <c r="F132" s="184"/>
      <c r="G132" s="184"/>
      <c r="H132" s="184"/>
      <c r="I132" s="184"/>
      <c r="J132" s="184"/>
      <c r="K132" s="184"/>
      <c r="L132" s="193"/>
      <c r="M132" s="1001" t="s">
        <v>552</v>
      </c>
      <c r="N132" s="1002"/>
      <c r="O132" s="1002"/>
      <c r="P132" s="1002"/>
      <c r="Q132" s="1002"/>
      <c r="R132" s="1002"/>
      <c r="S132" s="1002"/>
      <c r="T132" s="1002"/>
      <c r="U132" s="1002"/>
      <c r="V132" s="1002"/>
      <c r="W132" s="1002"/>
      <c r="X132" s="1002"/>
      <c r="Y132" s="1002"/>
      <c r="Z132" s="1002"/>
      <c r="AA132" s="1002"/>
      <c r="AB132" s="1002"/>
      <c r="AC132" s="1002"/>
      <c r="AD132" s="1002"/>
      <c r="AE132" s="1002"/>
      <c r="AF132" s="1002"/>
      <c r="AG132" s="1002"/>
      <c r="AH132" s="1002"/>
      <c r="AI132" s="1002"/>
      <c r="AJ132" s="1002"/>
      <c r="AK132" s="1002"/>
      <c r="AL132" s="1002"/>
      <c r="AM132" s="1002"/>
      <c r="AN132" s="1002"/>
      <c r="AO132" s="1002"/>
      <c r="AP132" s="1002"/>
      <c r="AQ132" s="1002"/>
      <c r="AR132" s="1002"/>
      <c r="AS132" s="1002"/>
      <c r="AT132" s="1002"/>
      <c r="AU132" s="1002"/>
      <c r="AV132" s="1002"/>
      <c r="AW132" s="1002"/>
      <c r="AX132" s="1002"/>
      <c r="AY132" s="1002"/>
      <c r="AZ132" s="1002"/>
      <c r="BA132" s="1002"/>
      <c r="BB132" s="1002"/>
      <c r="BC132" s="1002"/>
      <c r="BD132" s="1002"/>
      <c r="BE132" s="204"/>
      <c r="BF132" s="205" t="s">
        <v>548</v>
      </c>
      <c r="BG132" s="204"/>
      <c r="BH132" s="204"/>
      <c r="BI132" s="204"/>
      <c r="BJ132" s="204"/>
      <c r="BK132" s="206"/>
    </row>
    <row r="133" spans="1:63" s="164" customFormat="1" ht="15.75" customHeight="1">
      <c r="A133" s="185"/>
      <c r="B133" s="193"/>
      <c r="C133" s="251" t="s">
        <v>416</v>
      </c>
      <c r="D133" s="183" t="s">
        <v>553</v>
      </c>
      <c r="E133" s="184"/>
      <c r="F133" s="184"/>
      <c r="G133" s="184"/>
      <c r="H133" s="184"/>
      <c r="I133" s="184"/>
      <c r="J133" s="184"/>
      <c r="K133" s="184"/>
      <c r="L133" s="193"/>
      <c r="M133" s="1001" t="s">
        <v>550</v>
      </c>
      <c r="N133" s="1002"/>
      <c r="O133" s="1002"/>
      <c r="P133" s="1002"/>
      <c r="Q133" s="1002"/>
      <c r="R133" s="1002"/>
      <c r="S133" s="1002"/>
      <c r="T133" s="1002"/>
      <c r="U133" s="1002"/>
      <c r="V133" s="1002"/>
      <c r="W133" s="1002"/>
      <c r="X133" s="1002"/>
      <c r="Y133" s="1002"/>
      <c r="Z133" s="1002"/>
      <c r="AA133" s="1002"/>
      <c r="AB133" s="1002"/>
      <c r="AC133" s="1002"/>
      <c r="AD133" s="1002"/>
      <c r="AE133" s="1002"/>
      <c r="AF133" s="1002"/>
      <c r="AG133" s="1002"/>
      <c r="AH133" s="1002"/>
      <c r="AI133" s="1002"/>
      <c r="AJ133" s="1002"/>
      <c r="AK133" s="1002"/>
      <c r="AL133" s="1002"/>
      <c r="AM133" s="1002"/>
      <c r="AN133" s="1002"/>
      <c r="AO133" s="1002"/>
      <c r="AP133" s="1002"/>
      <c r="AQ133" s="1002"/>
      <c r="AR133" s="1002"/>
      <c r="AS133" s="1002"/>
      <c r="AT133" s="1002"/>
      <c r="AU133" s="1002"/>
      <c r="AV133" s="1002"/>
      <c r="AW133" s="1002"/>
      <c r="AX133" s="1002"/>
      <c r="AY133" s="1002"/>
      <c r="AZ133" s="1002"/>
      <c r="BA133" s="1002"/>
      <c r="BB133" s="1002"/>
      <c r="BC133" s="1002"/>
      <c r="BD133" s="1002"/>
      <c r="BE133" s="204"/>
      <c r="BF133" s="205" t="s">
        <v>548</v>
      </c>
      <c r="BG133" s="204"/>
      <c r="BH133" s="204"/>
      <c r="BI133" s="204"/>
      <c r="BJ133" s="204"/>
      <c r="BK133" s="206"/>
    </row>
    <row r="134" spans="1:63" s="164" customFormat="1" ht="15.75" customHeight="1">
      <c r="A134" s="185"/>
      <c r="B134" s="193"/>
      <c r="C134" s="251" t="s">
        <v>416</v>
      </c>
      <c r="D134" s="183" t="s">
        <v>306</v>
      </c>
      <c r="E134" s="184"/>
      <c r="F134" s="184"/>
      <c r="G134" s="184"/>
      <c r="H134" s="184"/>
      <c r="I134" s="184"/>
      <c r="J134" s="184"/>
      <c r="K134" s="184"/>
      <c r="L134" s="193"/>
      <c r="M134" s="1001" t="s">
        <v>554</v>
      </c>
      <c r="N134" s="1002"/>
      <c r="O134" s="1002"/>
      <c r="P134" s="1002"/>
      <c r="Q134" s="1002"/>
      <c r="R134" s="1002"/>
      <c r="S134" s="1002"/>
      <c r="T134" s="1002"/>
      <c r="U134" s="1002"/>
      <c r="V134" s="1002"/>
      <c r="W134" s="1002"/>
      <c r="X134" s="1002"/>
      <c r="Y134" s="1002"/>
      <c r="Z134" s="1002"/>
      <c r="AA134" s="1002"/>
      <c r="AB134" s="1002"/>
      <c r="AC134" s="1002"/>
      <c r="AD134" s="1002"/>
      <c r="AE134" s="1002"/>
      <c r="AF134" s="1002"/>
      <c r="AG134" s="1002"/>
      <c r="AH134" s="1002"/>
      <c r="AI134" s="1002"/>
      <c r="AJ134" s="1002"/>
      <c r="AK134" s="1002"/>
      <c r="AL134" s="1002"/>
      <c r="AM134" s="1002"/>
      <c r="AN134" s="1002"/>
      <c r="AO134" s="1002"/>
      <c r="AP134" s="1002"/>
      <c r="AQ134" s="1002"/>
      <c r="AR134" s="1002"/>
      <c r="AS134" s="1002"/>
      <c r="AT134" s="1002"/>
      <c r="AU134" s="1002"/>
      <c r="AV134" s="1002"/>
      <c r="AW134" s="1002"/>
      <c r="AX134" s="1002"/>
      <c r="AY134" s="1002"/>
      <c r="AZ134" s="1002"/>
      <c r="BA134" s="1002"/>
      <c r="BB134" s="1002"/>
      <c r="BC134" s="1002"/>
      <c r="BD134" s="1002"/>
      <c r="BE134" s="204"/>
      <c r="BF134" s="205" t="s">
        <v>419</v>
      </c>
      <c r="BG134" s="204"/>
      <c r="BH134" s="204"/>
      <c r="BI134" s="204"/>
      <c r="BJ134" s="204"/>
      <c r="BK134" s="206"/>
    </row>
    <row r="135" spans="1:63" s="164" customFormat="1" ht="15.75" customHeight="1">
      <c r="A135" s="185"/>
      <c r="B135" s="193"/>
      <c r="C135" s="251" t="s">
        <v>416</v>
      </c>
      <c r="D135" s="183" t="s">
        <v>296</v>
      </c>
      <c r="E135" s="184"/>
      <c r="F135" s="184"/>
      <c r="G135" s="184"/>
      <c r="H135" s="184"/>
      <c r="I135" s="184"/>
      <c r="J135" s="184"/>
      <c r="K135" s="184"/>
      <c r="L135" s="193"/>
      <c r="M135" s="1001" t="s">
        <v>555</v>
      </c>
      <c r="N135" s="1002"/>
      <c r="O135" s="1002"/>
      <c r="P135" s="1002"/>
      <c r="Q135" s="1002"/>
      <c r="R135" s="1002"/>
      <c r="S135" s="1002"/>
      <c r="T135" s="1002"/>
      <c r="U135" s="1002"/>
      <c r="V135" s="1002"/>
      <c r="W135" s="1002"/>
      <c r="X135" s="1002"/>
      <c r="Y135" s="1002"/>
      <c r="Z135" s="1002"/>
      <c r="AA135" s="1002"/>
      <c r="AB135" s="1002"/>
      <c r="AC135" s="1002"/>
      <c r="AD135" s="1002"/>
      <c r="AE135" s="1002"/>
      <c r="AF135" s="1002"/>
      <c r="AG135" s="1002"/>
      <c r="AH135" s="1002"/>
      <c r="AI135" s="1002"/>
      <c r="AJ135" s="1002"/>
      <c r="AK135" s="1002"/>
      <c r="AL135" s="1002"/>
      <c r="AM135" s="1002"/>
      <c r="AN135" s="1002"/>
      <c r="AO135" s="1002"/>
      <c r="AP135" s="1002"/>
      <c r="AQ135" s="1002"/>
      <c r="AR135" s="1002"/>
      <c r="AS135" s="1002"/>
      <c r="AT135" s="1002"/>
      <c r="AU135" s="1002"/>
      <c r="AV135" s="1002"/>
      <c r="AW135" s="1002"/>
      <c r="AX135" s="1002"/>
      <c r="AY135" s="1002"/>
      <c r="AZ135" s="1002"/>
      <c r="BA135" s="1002"/>
      <c r="BB135" s="1002"/>
      <c r="BC135" s="1002"/>
      <c r="BD135" s="1002"/>
      <c r="BE135" s="204"/>
      <c r="BF135" s="205" t="s">
        <v>419</v>
      </c>
      <c r="BG135" s="204"/>
      <c r="BH135" s="204"/>
      <c r="BI135" s="204"/>
      <c r="BJ135" s="204"/>
      <c r="BK135" s="206"/>
    </row>
    <row r="136" spans="1:63" s="164" customFormat="1" ht="15.75" customHeight="1">
      <c r="A136" s="185"/>
      <c r="B136" s="193"/>
      <c r="C136" s="251" t="s">
        <v>416</v>
      </c>
      <c r="D136" s="183" t="s">
        <v>556</v>
      </c>
      <c r="E136" s="184"/>
      <c r="F136" s="184"/>
      <c r="G136" s="184"/>
      <c r="H136" s="184"/>
      <c r="I136" s="184"/>
      <c r="J136" s="184"/>
      <c r="K136" s="184"/>
      <c r="L136" s="193"/>
      <c r="M136" s="1001" t="s">
        <v>557</v>
      </c>
      <c r="N136" s="1002"/>
      <c r="O136" s="1002"/>
      <c r="P136" s="1002"/>
      <c r="Q136" s="1002"/>
      <c r="R136" s="1002"/>
      <c r="S136" s="1002"/>
      <c r="T136" s="1002"/>
      <c r="U136" s="1002"/>
      <c r="V136" s="1002"/>
      <c r="W136" s="1002"/>
      <c r="X136" s="1002"/>
      <c r="Y136" s="1002"/>
      <c r="Z136" s="1002"/>
      <c r="AA136" s="1002"/>
      <c r="AB136" s="1002"/>
      <c r="AC136" s="1002"/>
      <c r="AD136" s="1002"/>
      <c r="AE136" s="1002"/>
      <c r="AF136" s="1002"/>
      <c r="AG136" s="1002"/>
      <c r="AH136" s="1002"/>
      <c r="AI136" s="1002"/>
      <c r="AJ136" s="1002"/>
      <c r="AK136" s="1002"/>
      <c r="AL136" s="1002"/>
      <c r="AM136" s="1002"/>
      <c r="AN136" s="1002"/>
      <c r="AO136" s="1002"/>
      <c r="AP136" s="1002"/>
      <c r="AQ136" s="1002"/>
      <c r="AR136" s="1002"/>
      <c r="AS136" s="1002"/>
      <c r="AT136" s="1002"/>
      <c r="AU136" s="1002"/>
      <c r="AV136" s="1002"/>
      <c r="AW136" s="1002"/>
      <c r="AX136" s="1002"/>
      <c r="AY136" s="1002"/>
      <c r="AZ136" s="1002"/>
      <c r="BA136" s="1002"/>
      <c r="BB136" s="1002"/>
      <c r="BC136" s="1002"/>
      <c r="BD136" s="1002"/>
      <c r="BE136" s="204"/>
      <c r="BF136" s="205" t="s">
        <v>419</v>
      </c>
      <c r="BG136" s="204"/>
      <c r="BH136" s="204"/>
      <c r="BI136" s="204"/>
      <c r="BJ136" s="204"/>
      <c r="BK136" s="206"/>
    </row>
    <row r="137" spans="1:63" s="164" customFormat="1" ht="15.75" customHeight="1">
      <c r="A137" s="185"/>
      <c r="B137" s="193"/>
      <c r="C137" s="251" t="s">
        <v>416</v>
      </c>
      <c r="D137" s="183" t="s">
        <v>558</v>
      </c>
      <c r="E137" s="184"/>
      <c r="F137" s="184"/>
      <c r="G137" s="184"/>
      <c r="H137" s="184"/>
      <c r="I137" s="184"/>
      <c r="J137" s="184"/>
      <c r="K137" s="184"/>
      <c r="L137" s="193"/>
      <c r="M137" s="1001" t="s">
        <v>559</v>
      </c>
      <c r="N137" s="1002"/>
      <c r="O137" s="1002"/>
      <c r="P137" s="1002"/>
      <c r="Q137" s="1002"/>
      <c r="R137" s="1002"/>
      <c r="S137" s="1002"/>
      <c r="T137" s="1002"/>
      <c r="U137" s="1002"/>
      <c r="V137" s="1002"/>
      <c r="W137" s="1002"/>
      <c r="X137" s="1002"/>
      <c r="Y137" s="1002"/>
      <c r="Z137" s="1002"/>
      <c r="AA137" s="1002"/>
      <c r="AB137" s="1002"/>
      <c r="AC137" s="1002"/>
      <c r="AD137" s="1002"/>
      <c r="AE137" s="1002"/>
      <c r="AF137" s="1002"/>
      <c r="AG137" s="1002"/>
      <c r="AH137" s="1002"/>
      <c r="AI137" s="1002"/>
      <c r="AJ137" s="1002"/>
      <c r="AK137" s="1002"/>
      <c r="AL137" s="1002"/>
      <c r="AM137" s="1002"/>
      <c r="AN137" s="1002"/>
      <c r="AO137" s="1002"/>
      <c r="AP137" s="1002"/>
      <c r="AQ137" s="1002"/>
      <c r="AR137" s="1002"/>
      <c r="AS137" s="1002"/>
      <c r="AT137" s="1002"/>
      <c r="AU137" s="1002"/>
      <c r="AV137" s="1002"/>
      <c r="AW137" s="1002"/>
      <c r="AX137" s="1002"/>
      <c r="AY137" s="1002"/>
      <c r="AZ137" s="1002"/>
      <c r="BA137" s="1002"/>
      <c r="BB137" s="1002"/>
      <c r="BC137" s="1002"/>
      <c r="BD137" s="1002"/>
      <c r="BE137" s="204"/>
      <c r="BF137" s="205" t="s">
        <v>419</v>
      </c>
      <c r="BG137" s="204"/>
      <c r="BH137" s="204"/>
      <c r="BI137" s="204"/>
      <c r="BJ137" s="204"/>
      <c r="BK137" s="206"/>
    </row>
    <row r="138" spans="1:63" s="164" customFormat="1" ht="15.75" customHeight="1">
      <c r="A138" s="185"/>
      <c r="B138" s="193"/>
      <c r="C138" s="251" t="s">
        <v>416</v>
      </c>
      <c r="D138" s="183" t="s">
        <v>560</v>
      </c>
      <c r="E138" s="184"/>
      <c r="F138" s="184"/>
      <c r="G138" s="184"/>
      <c r="H138" s="184"/>
      <c r="I138" s="184"/>
      <c r="J138" s="184"/>
      <c r="K138" s="184"/>
      <c r="L138" s="193"/>
      <c r="M138" s="1003"/>
      <c r="N138" s="1002"/>
      <c r="O138" s="1002"/>
      <c r="P138" s="1002"/>
      <c r="Q138" s="1002"/>
      <c r="R138" s="1002"/>
      <c r="S138" s="1002"/>
      <c r="T138" s="1002"/>
      <c r="U138" s="1002"/>
      <c r="V138" s="1002"/>
      <c r="W138" s="1002"/>
      <c r="X138" s="1002"/>
      <c r="Y138" s="1002"/>
      <c r="Z138" s="1002"/>
      <c r="AA138" s="1002"/>
      <c r="AB138" s="1002"/>
      <c r="AC138" s="1002"/>
      <c r="AD138" s="1002"/>
      <c r="AE138" s="1002"/>
      <c r="AF138" s="1002"/>
      <c r="AG138" s="1002"/>
      <c r="AH138" s="1002"/>
      <c r="AI138" s="1002"/>
      <c r="AJ138" s="1002"/>
      <c r="AK138" s="1002"/>
      <c r="AL138" s="1002"/>
      <c r="AM138" s="1002"/>
      <c r="AN138" s="1002"/>
      <c r="AO138" s="1002"/>
      <c r="AP138" s="1002"/>
      <c r="AQ138" s="1002"/>
      <c r="AR138" s="1002"/>
      <c r="AS138" s="1002"/>
      <c r="AT138" s="1002"/>
      <c r="AU138" s="1002"/>
      <c r="AV138" s="1002"/>
      <c r="AW138" s="1002"/>
      <c r="AX138" s="1002"/>
      <c r="AY138" s="1002"/>
      <c r="AZ138" s="1002"/>
      <c r="BA138" s="1002"/>
      <c r="BB138" s="1002"/>
      <c r="BC138" s="1002"/>
      <c r="BD138" s="1002"/>
      <c r="BE138" s="204"/>
      <c r="BF138" s="205" t="s">
        <v>487</v>
      </c>
      <c r="BG138" s="204"/>
      <c r="BH138" s="204"/>
      <c r="BI138" s="204"/>
      <c r="BJ138" s="204"/>
      <c r="BK138" s="206"/>
    </row>
    <row r="139" spans="1:63" s="164" customFormat="1" ht="15.75" customHeight="1">
      <c r="A139" s="185"/>
      <c r="B139" s="193"/>
      <c r="C139" s="251" t="s">
        <v>416</v>
      </c>
      <c r="D139" s="183" t="s">
        <v>561</v>
      </c>
      <c r="E139" s="184"/>
      <c r="F139" s="184"/>
      <c r="G139" s="184"/>
      <c r="H139" s="184"/>
      <c r="I139" s="184"/>
      <c r="J139" s="184"/>
      <c r="K139" s="184"/>
      <c r="L139" s="193"/>
      <c r="M139" s="1003"/>
      <c r="N139" s="1002"/>
      <c r="O139" s="1002"/>
      <c r="P139" s="1002"/>
      <c r="Q139" s="1002"/>
      <c r="R139" s="1002"/>
      <c r="S139" s="1002"/>
      <c r="T139" s="1002"/>
      <c r="U139" s="1002"/>
      <c r="V139" s="1002"/>
      <c r="W139" s="1002"/>
      <c r="X139" s="1002"/>
      <c r="Y139" s="1002"/>
      <c r="Z139" s="1002"/>
      <c r="AA139" s="1002"/>
      <c r="AB139" s="1002"/>
      <c r="AC139" s="1002"/>
      <c r="AD139" s="1002"/>
      <c r="AE139" s="1002"/>
      <c r="AF139" s="1002"/>
      <c r="AG139" s="1002"/>
      <c r="AH139" s="1002"/>
      <c r="AI139" s="1002"/>
      <c r="AJ139" s="1002"/>
      <c r="AK139" s="1002"/>
      <c r="AL139" s="1002"/>
      <c r="AM139" s="1002"/>
      <c r="AN139" s="1002"/>
      <c r="AO139" s="1002"/>
      <c r="AP139" s="1002"/>
      <c r="AQ139" s="1002"/>
      <c r="AR139" s="1002"/>
      <c r="AS139" s="1002"/>
      <c r="AT139" s="1002"/>
      <c r="AU139" s="1002"/>
      <c r="AV139" s="1002"/>
      <c r="AW139" s="1002"/>
      <c r="AX139" s="1002"/>
      <c r="AY139" s="1002"/>
      <c r="AZ139" s="1002"/>
      <c r="BA139" s="1002"/>
      <c r="BB139" s="1002"/>
      <c r="BC139" s="1002"/>
      <c r="BD139" s="1002"/>
      <c r="BE139" s="204"/>
      <c r="BF139" s="205" t="s">
        <v>487</v>
      </c>
      <c r="BG139" s="204"/>
      <c r="BH139" s="204"/>
      <c r="BI139" s="204"/>
      <c r="BJ139" s="204"/>
      <c r="BK139" s="206"/>
    </row>
    <row r="140" spans="1:63" s="164" customFormat="1" ht="15.75" customHeight="1">
      <c r="A140" s="185"/>
      <c r="B140" s="193"/>
      <c r="C140" s="251" t="s">
        <v>416</v>
      </c>
      <c r="D140" s="183" t="s">
        <v>562</v>
      </c>
      <c r="E140" s="184"/>
      <c r="F140" s="184"/>
      <c r="G140" s="184"/>
      <c r="H140" s="184"/>
      <c r="I140" s="184"/>
      <c r="J140" s="184"/>
      <c r="K140" s="184"/>
      <c r="L140" s="193"/>
      <c r="M140" s="1003"/>
      <c r="N140" s="1002"/>
      <c r="O140" s="1002"/>
      <c r="P140" s="1002"/>
      <c r="Q140" s="1002"/>
      <c r="R140" s="1002"/>
      <c r="S140" s="1002"/>
      <c r="T140" s="1002"/>
      <c r="U140" s="1002"/>
      <c r="V140" s="1002"/>
      <c r="W140" s="1002"/>
      <c r="X140" s="1002"/>
      <c r="Y140" s="1002"/>
      <c r="Z140" s="1002"/>
      <c r="AA140" s="1002"/>
      <c r="AB140" s="1002"/>
      <c r="AC140" s="1002"/>
      <c r="AD140" s="1002"/>
      <c r="AE140" s="1002"/>
      <c r="AF140" s="1002"/>
      <c r="AG140" s="1002"/>
      <c r="AH140" s="1002"/>
      <c r="AI140" s="1002"/>
      <c r="AJ140" s="1002"/>
      <c r="AK140" s="1002"/>
      <c r="AL140" s="1002"/>
      <c r="AM140" s="1002"/>
      <c r="AN140" s="1002"/>
      <c r="AO140" s="1002"/>
      <c r="AP140" s="1002"/>
      <c r="AQ140" s="1002"/>
      <c r="AR140" s="1002"/>
      <c r="AS140" s="1002"/>
      <c r="AT140" s="1002"/>
      <c r="AU140" s="1002"/>
      <c r="AV140" s="1002"/>
      <c r="AW140" s="1002"/>
      <c r="AX140" s="1002"/>
      <c r="AY140" s="1002"/>
      <c r="AZ140" s="1002"/>
      <c r="BA140" s="1002"/>
      <c r="BB140" s="1002"/>
      <c r="BC140" s="1002"/>
      <c r="BD140" s="1002"/>
      <c r="BE140" s="204"/>
      <c r="BF140" s="205" t="s">
        <v>487</v>
      </c>
      <c r="BG140" s="204"/>
      <c r="BH140" s="204"/>
      <c r="BI140" s="204"/>
      <c r="BJ140" s="204"/>
      <c r="BK140" s="206"/>
    </row>
    <row r="141" spans="1:63" s="164" customFormat="1" ht="15.75" customHeight="1">
      <c r="A141" s="185"/>
      <c r="B141" s="193"/>
      <c r="C141" s="251" t="s">
        <v>416</v>
      </c>
      <c r="D141" s="183" t="s">
        <v>563</v>
      </c>
      <c r="E141" s="184"/>
      <c r="F141" s="184"/>
      <c r="G141" s="184"/>
      <c r="H141" s="184"/>
      <c r="I141" s="184"/>
      <c r="J141" s="184"/>
      <c r="K141" s="184"/>
      <c r="L141" s="193"/>
      <c r="M141" s="1003"/>
      <c r="N141" s="1002"/>
      <c r="O141" s="1002"/>
      <c r="P141" s="1002"/>
      <c r="Q141" s="1002"/>
      <c r="R141" s="1002"/>
      <c r="S141" s="1002"/>
      <c r="T141" s="1002"/>
      <c r="U141" s="1002"/>
      <c r="V141" s="1002"/>
      <c r="W141" s="1002"/>
      <c r="X141" s="1002"/>
      <c r="Y141" s="1002"/>
      <c r="Z141" s="1002"/>
      <c r="AA141" s="1002"/>
      <c r="AB141" s="1002"/>
      <c r="AC141" s="1002"/>
      <c r="AD141" s="1002"/>
      <c r="AE141" s="1002"/>
      <c r="AF141" s="1002"/>
      <c r="AG141" s="1002"/>
      <c r="AH141" s="1002"/>
      <c r="AI141" s="1002"/>
      <c r="AJ141" s="1002"/>
      <c r="AK141" s="1002"/>
      <c r="AL141" s="1002"/>
      <c r="AM141" s="1002"/>
      <c r="AN141" s="1002"/>
      <c r="AO141" s="1002"/>
      <c r="AP141" s="1002"/>
      <c r="AQ141" s="1002"/>
      <c r="AR141" s="1002"/>
      <c r="AS141" s="1002"/>
      <c r="AT141" s="1002"/>
      <c r="AU141" s="1002"/>
      <c r="AV141" s="1002"/>
      <c r="AW141" s="1002"/>
      <c r="AX141" s="1002"/>
      <c r="AY141" s="1002"/>
      <c r="AZ141" s="1002"/>
      <c r="BA141" s="1002"/>
      <c r="BB141" s="1002"/>
      <c r="BC141" s="1002"/>
      <c r="BD141" s="1002"/>
      <c r="BE141" s="204"/>
      <c r="BF141" s="205" t="s">
        <v>487</v>
      </c>
      <c r="BG141" s="204"/>
      <c r="BH141" s="204"/>
      <c r="BI141" s="204"/>
      <c r="BJ141" s="204"/>
      <c r="BK141" s="206"/>
    </row>
    <row r="142" spans="1:63" s="164" customFormat="1" ht="15.75" customHeight="1">
      <c r="A142" s="185"/>
      <c r="B142" s="193"/>
      <c r="C142" s="251" t="s">
        <v>416</v>
      </c>
      <c r="D142" s="183" t="s">
        <v>564</v>
      </c>
      <c r="E142" s="184"/>
      <c r="F142" s="184"/>
      <c r="G142" s="184"/>
      <c r="H142" s="184"/>
      <c r="I142" s="184"/>
      <c r="J142" s="184"/>
      <c r="K142" s="184"/>
      <c r="L142" s="193"/>
      <c r="M142" s="1003"/>
      <c r="N142" s="1002"/>
      <c r="O142" s="1002"/>
      <c r="P142" s="1002"/>
      <c r="Q142" s="1002"/>
      <c r="R142" s="1002"/>
      <c r="S142" s="1002"/>
      <c r="T142" s="1002"/>
      <c r="U142" s="1002"/>
      <c r="V142" s="1002"/>
      <c r="W142" s="1002"/>
      <c r="X142" s="1002"/>
      <c r="Y142" s="1002"/>
      <c r="Z142" s="1002"/>
      <c r="AA142" s="1002"/>
      <c r="AB142" s="1002"/>
      <c r="AC142" s="1002"/>
      <c r="AD142" s="1002"/>
      <c r="AE142" s="1002"/>
      <c r="AF142" s="1002"/>
      <c r="AG142" s="1002"/>
      <c r="AH142" s="1002"/>
      <c r="AI142" s="1002"/>
      <c r="AJ142" s="1002"/>
      <c r="AK142" s="1002"/>
      <c r="AL142" s="1002"/>
      <c r="AM142" s="1002"/>
      <c r="AN142" s="1002"/>
      <c r="AO142" s="1002"/>
      <c r="AP142" s="1002"/>
      <c r="AQ142" s="1002"/>
      <c r="AR142" s="1002"/>
      <c r="AS142" s="1002"/>
      <c r="AT142" s="1002"/>
      <c r="AU142" s="1002"/>
      <c r="AV142" s="1002"/>
      <c r="AW142" s="1002"/>
      <c r="AX142" s="1002"/>
      <c r="AY142" s="1002"/>
      <c r="AZ142" s="1002"/>
      <c r="BA142" s="1002"/>
      <c r="BB142" s="1002"/>
      <c r="BC142" s="1002"/>
      <c r="BD142" s="1002"/>
      <c r="BE142" s="204"/>
      <c r="BF142" s="205" t="s">
        <v>487</v>
      </c>
      <c r="BG142" s="204"/>
      <c r="BH142" s="204"/>
      <c r="BI142" s="204"/>
      <c r="BJ142" s="204"/>
      <c r="BK142" s="206"/>
    </row>
    <row r="143" spans="1:63" s="164" customFormat="1" ht="15.75" customHeight="1">
      <c r="A143" s="185"/>
      <c r="B143" s="193"/>
      <c r="C143" s="251" t="s">
        <v>416</v>
      </c>
      <c r="D143" s="183" t="s">
        <v>565</v>
      </c>
      <c r="E143" s="184"/>
      <c r="F143" s="184"/>
      <c r="G143" s="184"/>
      <c r="H143" s="184"/>
      <c r="I143" s="184"/>
      <c r="J143" s="184"/>
      <c r="K143" s="184"/>
      <c r="L143" s="193"/>
      <c r="M143" s="1003"/>
      <c r="N143" s="1002"/>
      <c r="O143" s="1002"/>
      <c r="P143" s="1002"/>
      <c r="Q143" s="1002"/>
      <c r="R143" s="1002"/>
      <c r="S143" s="1002"/>
      <c r="T143" s="1002"/>
      <c r="U143" s="1002"/>
      <c r="V143" s="1002"/>
      <c r="W143" s="1002"/>
      <c r="X143" s="1002"/>
      <c r="Y143" s="1002"/>
      <c r="Z143" s="1002"/>
      <c r="AA143" s="1002"/>
      <c r="AB143" s="1002"/>
      <c r="AC143" s="1002"/>
      <c r="AD143" s="1002"/>
      <c r="AE143" s="1002"/>
      <c r="AF143" s="1002"/>
      <c r="AG143" s="1002"/>
      <c r="AH143" s="1002"/>
      <c r="AI143" s="1002"/>
      <c r="AJ143" s="1002"/>
      <c r="AK143" s="1002"/>
      <c r="AL143" s="1002"/>
      <c r="AM143" s="1002"/>
      <c r="AN143" s="1002"/>
      <c r="AO143" s="1002"/>
      <c r="AP143" s="1002"/>
      <c r="AQ143" s="1002"/>
      <c r="AR143" s="1002"/>
      <c r="AS143" s="1002"/>
      <c r="AT143" s="1002"/>
      <c r="AU143" s="1002"/>
      <c r="AV143" s="1002"/>
      <c r="AW143" s="1002"/>
      <c r="AX143" s="1002"/>
      <c r="AY143" s="1002"/>
      <c r="AZ143" s="1002"/>
      <c r="BA143" s="1002"/>
      <c r="BB143" s="1002"/>
      <c r="BC143" s="1002"/>
      <c r="BD143" s="1002"/>
      <c r="BE143" s="204"/>
      <c r="BF143" s="205" t="s">
        <v>487</v>
      </c>
      <c r="BG143" s="204"/>
      <c r="BH143" s="204"/>
      <c r="BI143" s="204"/>
      <c r="BJ143" s="204"/>
      <c r="BK143" s="206"/>
    </row>
    <row r="144" spans="1:63" s="164" customFormat="1" ht="15.75" customHeight="1">
      <c r="A144" s="185"/>
      <c r="B144" s="193"/>
      <c r="C144" s="251" t="s">
        <v>416</v>
      </c>
      <c r="D144" s="183" t="s">
        <v>566</v>
      </c>
      <c r="E144" s="184"/>
      <c r="F144" s="184"/>
      <c r="G144" s="184"/>
      <c r="H144" s="184"/>
      <c r="I144" s="184"/>
      <c r="J144" s="184"/>
      <c r="K144" s="184"/>
      <c r="L144" s="193"/>
      <c r="M144" s="1003"/>
      <c r="N144" s="1002"/>
      <c r="O144" s="1002"/>
      <c r="P144" s="1002"/>
      <c r="Q144" s="1002"/>
      <c r="R144" s="1002"/>
      <c r="S144" s="1002"/>
      <c r="T144" s="1002"/>
      <c r="U144" s="1002"/>
      <c r="V144" s="1002"/>
      <c r="W144" s="1002"/>
      <c r="X144" s="1002"/>
      <c r="Y144" s="1002"/>
      <c r="Z144" s="1002"/>
      <c r="AA144" s="1002"/>
      <c r="AB144" s="1002"/>
      <c r="AC144" s="1002"/>
      <c r="AD144" s="1002"/>
      <c r="AE144" s="1002"/>
      <c r="AF144" s="1002"/>
      <c r="AG144" s="1002"/>
      <c r="AH144" s="1002"/>
      <c r="AI144" s="1002"/>
      <c r="AJ144" s="1002"/>
      <c r="AK144" s="1002"/>
      <c r="AL144" s="1002"/>
      <c r="AM144" s="1002"/>
      <c r="AN144" s="1002"/>
      <c r="AO144" s="1002"/>
      <c r="AP144" s="1002"/>
      <c r="AQ144" s="1002"/>
      <c r="AR144" s="1002"/>
      <c r="AS144" s="1002"/>
      <c r="AT144" s="1002"/>
      <c r="AU144" s="1002"/>
      <c r="AV144" s="1002"/>
      <c r="AW144" s="1002"/>
      <c r="AX144" s="1002"/>
      <c r="AY144" s="1002"/>
      <c r="AZ144" s="1002"/>
      <c r="BA144" s="1002"/>
      <c r="BB144" s="1002"/>
      <c r="BC144" s="1002"/>
      <c r="BD144" s="1002"/>
      <c r="BE144" s="204"/>
      <c r="BF144" s="205" t="s">
        <v>487</v>
      </c>
      <c r="BG144" s="204"/>
      <c r="BH144" s="204"/>
      <c r="BI144" s="204"/>
      <c r="BJ144" s="204"/>
      <c r="BK144" s="206"/>
    </row>
    <row r="145" spans="1:63" s="164" customFormat="1" ht="15.75" customHeight="1">
      <c r="A145" s="185"/>
      <c r="B145" s="193"/>
      <c r="C145" s="251" t="s">
        <v>416</v>
      </c>
      <c r="D145" s="183" t="s">
        <v>567</v>
      </c>
      <c r="E145" s="184"/>
      <c r="F145" s="184"/>
      <c r="G145" s="184"/>
      <c r="H145" s="184"/>
      <c r="I145" s="184"/>
      <c r="J145" s="184"/>
      <c r="K145" s="184"/>
      <c r="L145" s="193"/>
      <c r="M145" s="1003"/>
      <c r="N145" s="1002"/>
      <c r="O145" s="1002"/>
      <c r="P145" s="1002"/>
      <c r="Q145" s="1002"/>
      <c r="R145" s="1002"/>
      <c r="S145" s="1002"/>
      <c r="T145" s="1002"/>
      <c r="U145" s="1002"/>
      <c r="V145" s="1002"/>
      <c r="W145" s="1002"/>
      <c r="X145" s="1002"/>
      <c r="Y145" s="1002"/>
      <c r="Z145" s="1002"/>
      <c r="AA145" s="1002"/>
      <c r="AB145" s="1002"/>
      <c r="AC145" s="1002"/>
      <c r="AD145" s="1002"/>
      <c r="AE145" s="1002"/>
      <c r="AF145" s="1002"/>
      <c r="AG145" s="1002"/>
      <c r="AH145" s="1002"/>
      <c r="AI145" s="1002"/>
      <c r="AJ145" s="1002"/>
      <c r="AK145" s="1002"/>
      <c r="AL145" s="1002"/>
      <c r="AM145" s="1002"/>
      <c r="AN145" s="1002"/>
      <c r="AO145" s="1002"/>
      <c r="AP145" s="1002"/>
      <c r="AQ145" s="1002"/>
      <c r="AR145" s="1002"/>
      <c r="AS145" s="1002"/>
      <c r="AT145" s="1002"/>
      <c r="AU145" s="1002"/>
      <c r="AV145" s="1002"/>
      <c r="AW145" s="1002"/>
      <c r="AX145" s="1002"/>
      <c r="AY145" s="1002"/>
      <c r="AZ145" s="1002"/>
      <c r="BA145" s="1002"/>
      <c r="BB145" s="1002"/>
      <c r="BC145" s="1002"/>
      <c r="BD145" s="1002"/>
      <c r="BE145" s="204"/>
      <c r="BF145" s="205" t="s">
        <v>487</v>
      </c>
      <c r="BG145" s="204"/>
      <c r="BH145" s="204"/>
      <c r="BI145" s="204"/>
      <c r="BJ145" s="204"/>
      <c r="BK145" s="206"/>
    </row>
    <row r="146" spans="1:63" s="164" customFormat="1" ht="15.75" customHeight="1">
      <c r="A146" s="185"/>
      <c r="B146" s="193"/>
      <c r="C146" s="251" t="s">
        <v>416</v>
      </c>
      <c r="D146" s="183" t="s">
        <v>568</v>
      </c>
      <c r="E146" s="184"/>
      <c r="F146" s="184"/>
      <c r="G146" s="184"/>
      <c r="H146" s="184"/>
      <c r="I146" s="184"/>
      <c r="J146" s="184"/>
      <c r="K146" s="184"/>
      <c r="L146" s="193"/>
      <c r="M146" s="1003"/>
      <c r="N146" s="1002"/>
      <c r="O146" s="1002"/>
      <c r="P146" s="1002"/>
      <c r="Q146" s="1002"/>
      <c r="R146" s="1002"/>
      <c r="S146" s="1002"/>
      <c r="T146" s="1002"/>
      <c r="U146" s="1002"/>
      <c r="V146" s="1002"/>
      <c r="W146" s="1002"/>
      <c r="X146" s="1002"/>
      <c r="Y146" s="1002"/>
      <c r="Z146" s="1002"/>
      <c r="AA146" s="1002"/>
      <c r="AB146" s="1002"/>
      <c r="AC146" s="1002"/>
      <c r="AD146" s="1002"/>
      <c r="AE146" s="1002"/>
      <c r="AF146" s="1002"/>
      <c r="AG146" s="1002"/>
      <c r="AH146" s="1002"/>
      <c r="AI146" s="1002"/>
      <c r="AJ146" s="1002"/>
      <c r="AK146" s="1002"/>
      <c r="AL146" s="1002"/>
      <c r="AM146" s="1002"/>
      <c r="AN146" s="1002"/>
      <c r="AO146" s="1002"/>
      <c r="AP146" s="1002"/>
      <c r="AQ146" s="1002"/>
      <c r="AR146" s="1002"/>
      <c r="AS146" s="1002"/>
      <c r="AT146" s="1002"/>
      <c r="AU146" s="1002"/>
      <c r="AV146" s="1002"/>
      <c r="AW146" s="1002"/>
      <c r="AX146" s="1002"/>
      <c r="AY146" s="1002"/>
      <c r="AZ146" s="1002"/>
      <c r="BA146" s="1002"/>
      <c r="BB146" s="1002"/>
      <c r="BC146" s="1002"/>
      <c r="BD146" s="1002"/>
      <c r="BE146" s="204"/>
      <c r="BF146" s="205" t="s">
        <v>487</v>
      </c>
      <c r="BG146" s="204"/>
      <c r="BH146" s="204"/>
      <c r="BI146" s="204"/>
      <c r="BJ146" s="204"/>
      <c r="BK146" s="206"/>
    </row>
    <row r="147" spans="1:63" s="164" customFormat="1" ht="15.75" customHeight="1">
      <c r="A147" s="185"/>
      <c r="B147" s="193"/>
      <c r="C147" s="251" t="s">
        <v>416</v>
      </c>
      <c r="D147" s="183" t="s">
        <v>569</v>
      </c>
      <c r="E147" s="184"/>
      <c r="F147" s="184"/>
      <c r="G147" s="184"/>
      <c r="H147" s="184"/>
      <c r="I147" s="184"/>
      <c r="J147" s="184"/>
      <c r="K147" s="184"/>
      <c r="L147" s="193"/>
      <c r="M147" s="1003"/>
      <c r="N147" s="1002"/>
      <c r="O147" s="1002"/>
      <c r="P147" s="1002"/>
      <c r="Q147" s="1002"/>
      <c r="R147" s="1002"/>
      <c r="S147" s="1002"/>
      <c r="T147" s="1002"/>
      <c r="U147" s="1002"/>
      <c r="V147" s="1002"/>
      <c r="W147" s="1002"/>
      <c r="X147" s="1002"/>
      <c r="Y147" s="1002"/>
      <c r="Z147" s="1002"/>
      <c r="AA147" s="1002"/>
      <c r="AB147" s="1002"/>
      <c r="AC147" s="1002"/>
      <c r="AD147" s="1002"/>
      <c r="AE147" s="1002"/>
      <c r="AF147" s="1002"/>
      <c r="AG147" s="1002"/>
      <c r="AH147" s="1002"/>
      <c r="AI147" s="1002"/>
      <c r="AJ147" s="1002"/>
      <c r="AK147" s="1002"/>
      <c r="AL147" s="1002"/>
      <c r="AM147" s="1002"/>
      <c r="AN147" s="1002"/>
      <c r="AO147" s="1002"/>
      <c r="AP147" s="1002"/>
      <c r="AQ147" s="1002"/>
      <c r="AR147" s="1002"/>
      <c r="AS147" s="1002"/>
      <c r="AT147" s="1002"/>
      <c r="AU147" s="1002"/>
      <c r="AV147" s="1002"/>
      <c r="AW147" s="1002"/>
      <c r="AX147" s="1002"/>
      <c r="AY147" s="1002"/>
      <c r="AZ147" s="1002"/>
      <c r="BA147" s="1002"/>
      <c r="BB147" s="1002"/>
      <c r="BC147" s="1002"/>
      <c r="BD147" s="1002"/>
      <c r="BE147" s="204"/>
      <c r="BF147" s="205" t="s">
        <v>487</v>
      </c>
      <c r="BG147" s="204"/>
      <c r="BH147" s="204"/>
      <c r="BI147" s="204"/>
      <c r="BJ147" s="205" t="s">
        <v>409</v>
      </c>
      <c r="BK147" s="206"/>
    </row>
    <row r="148" spans="1:63" s="164" customFormat="1" ht="15.75" customHeight="1">
      <c r="A148" s="185"/>
      <c r="B148" s="193"/>
      <c r="C148" s="251" t="s">
        <v>416</v>
      </c>
      <c r="D148" s="183" t="s">
        <v>570</v>
      </c>
      <c r="E148" s="184"/>
      <c r="F148" s="184"/>
      <c r="G148" s="184"/>
      <c r="H148" s="184"/>
      <c r="I148" s="184"/>
      <c r="J148" s="184"/>
      <c r="K148" s="184"/>
      <c r="L148" s="193"/>
      <c r="M148" s="1003"/>
      <c r="N148" s="1002"/>
      <c r="O148" s="1002"/>
      <c r="P148" s="1002"/>
      <c r="Q148" s="1002"/>
      <c r="R148" s="1002"/>
      <c r="S148" s="1002"/>
      <c r="T148" s="1002"/>
      <c r="U148" s="1002"/>
      <c r="V148" s="1002"/>
      <c r="W148" s="1002"/>
      <c r="X148" s="1002"/>
      <c r="Y148" s="1002"/>
      <c r="Z148" s="1002"/>
      <c r="AA148" s="1002"/>
      <c r="AB148" s="1002"/>
      <c r="AC148" s="1002"/>
      <c r="AD148" s="1002"/>
      <c r="AE148" s="1002"/>
      <c r="AF148" s="1002"/>
      <c r="AG148" s="1002"/>
      <c r="AH148" s="1002"/>
      <c r="AI148" s="1002"/>
      <c r="AJ148" s="1002"/>
      <c r="AK148" s="1002"/>
      <c r="AL148" s="1002"/>
      <c r="AM148" s="1002"/>
      <c r="AN148" s="1002"/>
      <c r="AO148" s="1002"/>
      <c r="AP148" s="1002"/>
      <c r="AQ148" s="1002"/>
      <c r="AR148" s="1002"/>
      <c r="AS148" s="1002"/>
      <c r="AT148" s="1002"/>
      <c r="AU148" s="1002"/>
      <c r="AV148" s="1002"/>
      <c r="AW148" s="1002"/>
      <c r="AX148" s="1002"/>
      <c r="AY148" s="1002"/>
      <c r="AZ148" s="1002"/>
      <c r="BA148" s="1002"/>
      <c r="BB148" s="1002"/>
      <c r="BC148" s="1002"/>
      <c r="BD148" s="1002"/>
      <c r="BE148" s="204"/>
      <c r="BF148" s="205" t="s">
        <v>487</v>
      </c>
      <c r="BG148" s="204"/>
      <c r="BH148" s="204"/>
      <c r="BI148" s="204"/>
      <c r="BJ148" s="205" t="s">
        <v>409</v>
      </c>
      <c r="BK148" s="206"/>
    </row>
    <row r="149" spans="1:63" s="164" customFormat="1" ht="15.75" customHeight="1">
      <c r="A149" s="185"/>
      <c r="B149" s="193"/>
      <c r="C149" s="251" t="s">
        <v>416</v>
      </c>
      <c r="D149" s="183" t="s">
        <v>571</v>
      </c>
      <c r="E149" s="184"/>
      <c r="F149" s="184"/>
      <c r="G149" s="184"/>
      <c r="H149" s="184"/>
      <c r="I149" s="184"/>
      <c r="J149" s="184"/>
      <c r="K149" s="184"/>
      <c r="L149" s="193"/>
      <c r="M149" s="1003"/>
      <c r="N149" s="1002"/>
      <c r="O149" s="1002"/>
      <c r="P149" s="1002"/>
      <c r="Q149" s="1002"/>
      <c r="R149" s="1002"/>
      <c r="S149" s="1002"/>
      <c r="T149" s="1002"/>
      <c r="U149" s="1002"/>
      <c r="V149" s="1002"/>
      <c r="W149" s="1002"/>
      <c r="X149" s="1002"/>
      <c r="Y149" s="1002"/>
      <c r="Z149" s="1002"/>
      <c r="AA149" s="1002"/>
      <c r="AB149" s="1002"/>
      <c r="AC149" s="1002"/>
      <c r="AD149" s="1002"/>
      <c r="AE149" s="1002"/>
      <c r="AF149" s="1002"/>
      <c r="AG149" s="1002"/>
      <c r="AH149" s="1002"/>
      <c r="AI149" s="1002"/>
      <c r="AJ149" s="1002"/>
      <c r="AK149" s="1002"/>
      <c r="AL149" s="1002"/>
      <c r="AM149" s="1002"/>
      <c r="AN149" s="1002"/>
      <c r="AO149" s="1002"/>
      <c r="AP149" s="1002"/>
      <c r="AQ149" s="1002"/>
      <c r="AR149" s="1002"/>
      <c r="AS149" s="1002"/>
      <c r="AT149" s="1002"/>
      <c r="AU149" s="1002"/>
      <c r="AV149" s="1002"/>
      <c r="AW149" s="1002"/>
      <c r="AX149" s="1002"/>
      <c r="AY149" s="1002"/>
      <c r="AZ149" s="1002"/>
      <c r="BA149" s="1002"/>
      <c r="BB149" s="1002"/>
      <c r="BC149" s="1002"/>
      <c r="BD149" s="1002"/>
      <c r="BE149" s="204"/>
      <c r="BF149" s="205" t="s">
        <v>487</v>
      </c>
      <c r="BG149" s="204"/>
      <c r="BH149" s="204"/>
      <c r="BI149" s="204"/>
      <c r="BJ149" s="205" t="s">
        <v>409</v>
      </c>
      <c r="BK149" s="206"/>
    </row>
    <row r="150" spans="1:63" s="164" customFormat="1" ht="15.75" customHeight="1">
      <c r="A150" s="185"/>
      <c r="B150" s="193"/>
      <c r="C150" s="251" t="s">
        <v>416</v>
      </c>
      <c r="D150" s="183" t="s">
        <v>572</v>
      </c>
      <c r="E150" s="184"/>
      <c r="F150" s="184"/>
      <c r="G150" s="184"/>
      <c r="H150" s="184"/>
      <c r="I150" s="184"/>
      <c r="J150" s="184"/>
      <c r="K150" s="184"/>
      <c r="L150" s="193"/>
      <c r="M150" s="1003"/>
      <c r="N150" s="1002"/>
      <c r="O150" s="1002"/>
      <c r="P150" s="1002"/>
      <c r="Q150" s="1002"/>
      <c r="R150" s="1002"/>
      <c r="S150" s="1002"/>
      <c r="T150" s="1002"/>
      <c r="U150" s="1002"/>
      <c r="V150" s="1002"/>
      <c r="W150" s="1002"/>
      <c r="X150" s="1002"/>
      <c r="Y150" s="1002"/>
      <c r="Z150" s="1002"/>
      <c r="AA150" s="1002"/>
      <c r="AB150" s="1002"/>
      <c r="AC150" s="1002"/>
      <c r="AD150" s="1002"/>
      <c r="AE150" s="1002"/>
      <c r="AF150" s="1002"/>
      <c r="AG150" s="1002"/>
      <c r="AH150" s="1002"/>
      <c r="AI150" s="1002"/>
      <c r="AJ150" s="1002"/>
      <c r="AK150" s="1002"/>
      <c r="AL150" s="1002"/>
      <c r="AM150" s="1002"/>
      <c r="AN150" s="1002"/>
      <c r="AO150" s="1002"/>
      <c r="AP150" s="1002"/>
      <c r="AQ150" s="1002"/>
      <c r="AR150" s="1002"/>
      <c r="AS150" s="1002"/>
      <c r="AT150" s="1002"/>
      <c r="AU150" s="1002"/>
      <c r="AV150" s="1002"/>
      <c r="AW150" s="1002"/>
      <c r="AX150" s="1002"/>
      <c r="AY150" s="1002"/>
      <c r="AZ150" s="1002"/>
      <c r="BA150" s="1002"/>
      <c r="BB150" s="1002"/>
      <c r="BC150" s="1002"/>
      <c r="BD150" s="1002"/>
      <c r="BE150" s="204"/>
      <c r="BF150" s="205" t="s">
        <v>487</v>
      </c>
      <c r="BG150" s="204"/>
      <c r="BH150" s="204"/>
      <c r="BI150" s="204"/>
      <c r="BJ150" s="205" t="s">
        <v>409</v>
      </c>
      <c r="BK150" s="206"/>
    </row>
    <row r="151" spans="1:63" s="164" customFormat="1" ht="15.75" customHeight="1">
      <c r="A151" s="185"/>
      <c r="B151" s="193"/>
      <c r="C151" s="251" t="s">
        <v>416</v>
      </c>
      <c r="D151" s="183" t="s">
        <v>573</v>
      </c>
      <c r="E151" s="184"/>
      <c r="F151" s="184"/>
      <c r="G151" s="184"/>
      <c r="H151" s="184"/>
      <c r="I151" s="184"/>
      <c r="J151" s="184"/>
      <c r="K151" s="184"/>
      <c r="L151" s="193"/>
      <c r="M151" s="1003"/>
      <c r="N151" s="1002"/>
      <c r="O151" s="1002"/>
      <c r="P151" s="1002"/>
      <c r="Q151" s="1002"/>
      <c r="R151" s="1002"/>
      <c r="S151" s="1002"/>
      <c r="T151" s="1002"/>
      <c r="U151" s="1002"/>
      <c r="V151" s="1002"/>
      <c r="W151" s="1002"/>
      <c r="X151" s="1002"/>
      <c r="Y151" s="1002"/>
      <c r="Z151" s="1002"/>
      <c r="AA151" s="1002"/>
      <c r="AB151" s="1002"/>
      <c r="AC151" s="1002"/>
      <c r="AD151" s="1002"/>
      <c r="AE151" s="1002"/>
      <c r="AF151" s="1002"/>
      <c r="AG151" s="1002"/>
      <c r="AH151" s="1002"/>
      <c r="AI151" s="1002"/>
      <c r="AJ151" s="1002"/>
      <c r="AK151" s="1002"/>
      <c r="AL151" s="1002"/>
      <c r="AM151" s="1002"/>
      <c r="AN151" s="1002"/>
      <c r="AO151" s="1002"/>
      <c r="AP151" s="1002"/>
      <c r="AQ151" s="1002"/>
      <c r="AR151" s="1002"/>
      <c r="AS151" s="1002"/>
      <c r="AT151" s="1002"/>
      <c r="AU151" s="1002"/>
      <c r="AV151" s="1002"/>
      <c r="AW151" s="1002"/>
      <c r="AX151" s="1002"/>
      <c r="AY151" s="1002"/>
      <c r="AZ151" s="1002"/>
      <c r="BA151" s="1002"/>
      <c r="BB151" s="1002"/>
      <c r="BC151" s="1002"/>
      <c r="BD151" s="1002"/>
      <c r="BE151" s="204"/>
      <c r="BF151" s="205" t="s">
        <v>487</v>
      </c>
      <c r="BG151" s="204"/>
      <c r="BH151" s="204"/>
      <c r="BI151" s="204"/>
      <c r="BJ151" s="205" t="s">
        <v>409</v>
      </c>
      <c r="BK151" s="206"/>
    </row>
    <row r="152" spans="1:63" s="164" customFormat="1" ht="15.75" customHeight="1">
      <c r="A152" s="185"/>
      <c r="B152" s="193"/>
      <c r="C152" s="251" t="s">
        <v>416</v>
      </c>
      <c r="D152" s="183" t="s">
        <v>574</v>
      </c>
      <c r="E152" s="184"/>
      <c r="F152" s="184"/>
      <c r="G152" s="184"/>
      <c r="H152" s="184"/>
      <c r="I152" s="184"/>
      <c r="J152" s="184"/>
      <c r="K152" s="184"/>
      <c r="L152" s="193"/>
      <c r="M152" s="1003"/>
      <c r="N152" s="1002"/>
      <c r="O152" s="1002"/>
      <c r="P152" s="1002"/>
      <c r="Q152" s="1002"/>
      <c r="R152" s="1002"/>
      <c r="S152" s="1002"/>
      <c r="T152" s="1002"/>
      <c r="U152" s="1002"/>
      <c r="V152" s="1002"/>
      <c r="W152" s="1002"/>
      <c r="X152" s="1002"/>
      <c r="Y152" s="1002"/>
      <c r="Z152" s="1002"/>
      <c r="AA152" s="1002"/>
      <c r="AB152" s="1002"/>
      <c r="AC152" s="1002"/>
      <c r="AD152" s="1002"/>
      <c r="AE152" s="1002"/>
      <c r="AF152" s="1002"/>
      <c r="AG152" s="1002"/>
      <c r="AH152" s="1002"/>
      <c r="AI152" s="1002"/>
      <c r="AJ152" s="1002"/>
      <c r="AK152" s="1002"/>
      <c r="AL152" s="1002"/>
      <c r="AM152" s="1002"/>
      <c r="AN152" s="1002"/>
      <c r="AO152" s="1002"/>
      <c r="AP152" s="1002"/>
      <c r="AQ152" s="1002"/>
      <c r="AR152" s="1002"/>
      <c r="AS152" s="1002"/>
      <c r="AT152" s="1002"/>
      <c r="AU152" s="1002"/>
      <c r="AV152" s="1002"/>
      <c r="AW152" s="1002"/>
      <c r="AX152" s="1002"/>
      <c r="AY152" s="1002"/>
      <c r="AZ152" s="1002"/>
      <c r="BA152" s="1002"/>
      <c r="BB152" s="1002"/>
      <c r="BC152" s="1002"/>
      <c r="BD152" s="1002"/>
      <c r="BE152" s="204"/>
      <c r="BF152" s="205" t="s">
        <v>487</v>
      </c>
      <c r="BG152" s="204"/>
      <c r="BH152" s="204"/>
      <c r="BI152" s="204"/>
      <c r="BJ152" s="205" t="s">
        <v>409</v>
      </c>
      <c r="BK152" s="206"/>
    </row>
    <row r="153" spans="1:63" s="164" customFormat="1" ht="15.75" customHeight="1">
      <c r="A153" s="185"/>
      <c r="B153" s="193"/>
      <c r="C153" s="251" t="s">
        <v>416</v>
      </c>
      <c r="D153" s="183" t="s">
        <v>575</v>
      </c>
      <c r="E153" s="184"/>
      <c r="F153" s="184"/>
      <c r="G153" s="184"/>
      <c r="H153" s="184"/>
      <c r="I153" s="184"/>
      <c r="J153" s="184"/>
      <c r="K153" s="184"/>
      <c r="L153" s="193"/>
      <c r="M153" s="1003"/>
      <c r="N153" s="1002"/>
      <c r="O153" s="1002"/>
      <c r="P153" s="1002"/>
      <c r="Q153" s="1002"/>
      <c r="R153" s="1002"/>
      <c r="S153" s="1002"/>
      <c r="T153" s="1002"/>
      <c r="U153" s="1002"/>
      <c r="V153" s="1002"/>
      <c r="W153" s="1002"/>
      <c r="X153" s="1002"/>
      <c r="Y153" s="1002"/>
      <c r="Z153" s="1002"/>
      <c r="AA153" s="1002"/>
      <c r="AB153" s="1002"/>
      <c r="AC153" s="1002"/>
      <c r="AD153" s="1002"/>
      <c r="AE153" s="1002"/>
      <c r="AF153" s="1002"/>
      <c r="AG153" s="1002"/>
      <c r="AH153" s="1002"/>
      <c r="AI153" s="1002"/>
      <c r="AJ153" s="1002"/>
      <c r="AK153" s="1002"/>
      <c r="AL153" s="1002"/>
      <c r="AM153" s="1002"/>
      <c r="AN153" s="1002"/>
      <c r="AO153" s="1002"/>
      <c r="AP153" s="1002"/>
      <c r="AQ153" s="1002"/>
      <c r="AR153" s="1002"/>
      <c r="AS153" s="1002"/>
      <c r="AT153" s="1002"/>
      <c r="AU153" s="1002"/>
      <c r="AV153" s="1002"/>
      <c r="AW153" s="1002"/>
      <c r="AX153" s="1002"/>
      <c r="AY153" s="1002"/>
      <c r="AZ153" s="1002"/>
      <c r="BA153" s="1002"/>
      <c r="BB153" s="1002"/>
      <c r="BC153" s="1002"/>
      <c r="BD153" s="1002"/>
      <c r="BE153" s="204"/>
      <c r="BF153" s="205" t="s">
        <v>487</v>
      </c>
      <c r="BG153" s="204"/>
      <c r="BH153" s="204"/>
      <c r="BI153" s="204"/>
      <c r="BJ153" s="205" t="s">
        <v>409</v>
      </c>
      <c r="BK153" s="206"/>
    </row>
    <row r="154" spans="1:63" s="164" customFormat="1" ht="15.75" customHeight="1">
      <c r="A154" s="185"/>
      <c r="B154" s="193"/>
      <c r="C154" s="251" t="s">
        <v>416</v>
      </c>
      <c r="D154" s="183" t="s">
        <v>576</v>
      </c>
      <c r="E154" s="184"/>
      <c r="F154" s="184"/>
      <c r="G154" s="184"/>
      <c r="H154" s="184"/>
      <c r="I154" s="184"/>
      <c r="J154" s="184"/>
      <c r="K154" s="184"/>
      <c r="L154" s="193"/>
      <c r="M154" s="1003"/>
      <c r="N154" s="1002"/>
      <c r="O154" s="1002"/>
      <c r="P154" s="1002"/>
      <c r="Q154" s="1002"/>
      <c r="R154" s="1002"/>
      <c r="S154" s="1002"/>
      <c r="T154" s="1002"/>
      <c r="U154" s="1002"/>
      <c r="V154" s="1002"/>
      <c r="W154" s="1002"/>
      <c r="X154" s="1002"/>
      <c r="Y154" s="1002"/>
      <c r="Z154" s="1002"/>
      <c r="AA154" s="1002"/>
      <c r="AB154" s="1002"/>
      <c r="AC154" s="1002"/>
      <c r="AD154" s="1002"/>
      <c r="AE154" s="1002"/>
      <c r="AF154" s="1002"/>
      <c r="AG154" s="1002"/>
      <c r="AH154" s="1002"/>
      <c r="AI154" s="1002"/>
      <c r="AJ154" s="1002"/>
      <c r="AK154" s="1002"/>
      <c r="AL154" s="1002"/>
      <c r="AM154" s="1002"/>
      <c r="AN154" s="1002"/>
      <c r="AO154" s="1002"/>
      <c r="AP154" s="1002"/>
      <c r="AQ154" s="1002"/>
      <c r="AR154" s="1002"/>
      <c r="AS154" s="1002"/>
      <c r="AT154" s="1002"/>
      <c r="AU154" s="1002"/>
      <c r="AV154" s="1002"/>
      <c r="AW154" s="1002"/>
      <c r="AX154" s="1002"/>
      <c r="AY154" s="1002"/>
      <c r="AZ154" s="1002"/>
      <c r="BA154" s="1002"/>
      <c r="BB154" s="1002"/>
      <c r="BC154" s="1002"/>
      <c r="BD154" s="1002"/>
      <c r="BE154" s="204"/>
      <c r="BF154" s="205" t="s">
        <v>487</v>
      </c>
      <c r="BG154" s="204"/>
      <c r="BH154" s="204"/>
      <c r="BI154" s="204"/>
      <c r="BJ154" s="205" t="s">
        <v>409</v>
      </c>
      <c r="BK154" s="206"/>
    </row>
    <row r="155" spans="1:63" s="164" customFormat="1" ht="15.75" customHeight="1">
      <c r="A155" s="185"/>
      <c r="B155" s="193"/>
      <c r="C155" s="251" t="s">
        <v>416</v>
      </c>
      <c r="D155" s="183" t="s">
        <v>577</v>
      </c>
      <c r="E155" s="184"/>
      <c r="F155" s="184"/>
      <c r="G155" s="184"/>
      <c r="H155" s="184"/>
      <c r="I155" s="184"/>
      <c r="J155" s="184"/>
      <c r="K155" s="184"/>
      <c r="L155" s="193"/>
      <c r="M155" s="1003"/>
      <c r="N155" s="1002"/>
      <c r="O155" s="1002"/>
      <c r="P155" s="1002"/>
      <c r="Q155" s="1002"/>
      <c r="R155" s="1002"/>
      <c r="S155" s="1002"/>
      <c r="T155" s="1002"/>
      <c r="U155" s="1002"/>
      <c r="V155" s="1002"/>
      <c r="W155" s="1002"/>
      <c r="X155" s="1002"/>
      <c r="Y155" s="1002"/>
      <c r="Z155" s="1002"/>
      <c r="AA155" s="1002"/>
      <c r="AB155" s="1002"/>
      <c r="AC155" s="1002"/>
      <c r="AD155" s="1002"/>
      <c r="AE155" s="1002"/>
      <c r="AF155" s="1002"/>
      <c r="AG155" s="1002"/>
      <c r="AH155" s="1002"/>
      <c r="AI155" s="1002"/>
      <c r="AJ155" s="1002"/>
      <c r="AK155" s="1002"/>
      <c r="AL155" s="1002"/>
      <c r="AM155" s="1002"/>
      <c r="AN155" s="1002"/>
      <c r="AO155" s="1002"/>
      <c r="AP155" s="1002"/>
      <c r="AQ155" s="1002"/>
      <c r="AR155" s="1002"/>
      <c r="AS155" s="1002"/>
      <c r="AT155" s="1002"/>
      <c r="AU155" s="1002"/>
      <c r="AV155" s="1002"/>
      <c r="AW155" s="1002"/>
      <c r="AX155" s="1002"/>
      <c r="AY155" s="1002"/>
      <c r="AZ155" s="1002"/>
      <c r="BA155" s="1002"/>
      <c r="BB155" s="1002"/>
      <c r="BC155" s="1002"/>
      <c r="BD155" s="1002"/>
      <c r="BE155" s="204"/>
      <c r="BF155" s="205" t="s">
        <v>487</v>
      </c>
      <c r="BG155" s="204"/>
      <c r="BH155" s="204"/>
      <c r="BI155" s="204"/>
      <c r="BJ155" s="205" t="s">
        <v>409</v>
      </c>
      <c r="BK155" s="206"/>
    </row>
    <row r="156" spans="1:63" s="164" customFormat="1" ht="15.75" customHeight="1">
      <c r="A156" s="180"/>
      <c r="B156" s="192"/>
      <c r="C156" s="179"/>
      <c r="D156" s="181"/>
      <c r="E156" s="179"/>
      <c r="F156" s="179"/>
      <c r="G156" s="179"/>
      <c r="H156" s="179"/>
      <c r="I156" s="179"/>
      <c r="J156" s="179"/>
      <c r="K156" s="179"/>
      <c r="L156" s="192"/>
      <c r="M156" s="179"/>
      <c r="N156" s="179"/>
      <c r="O156" s="179"/>
      <c r="P156" s="179"/>
      <c r="Q156" s="179"/>
      <c r="R156" s="179"/>
      <c r="S156" s="179"/>
      <c r="T156" s="179"/>
      <c r="U156" s="179"/>
      <c r="V156" s="179"/>
      <c r="W156" s="179"/>
      <c r="X156" s="179"/>
      <c r="Y156" s="179"/>
      <c r="Z156" s="179"/>
      <c r="AA156" s="179"/>
      <c r="AB156" s="179"/>
      <c r="AC156" s="179"/>
      <c r="AD156" s="179"/>
      <c r="AE156" s="179"/>
      <c r="AF156" s="179"/>
      <c r="AG156" s="179"/>
      <c r="AH156" s="179"/>
      <c r="AI156" s="179"/>
      <c r="AJ156" s="179"/>
      <c r="AK156" s="179"/>
      <c r="AL156" s="179"/>
      <c r="AM156" s="179"/>
      <c r="AN156" s="179"/>
      <c r="AO156" s="179"/>
      <c r="AP156" s="179"/>
      <c r="AQ156" s="179"/>
      <c r="AR156" s="179"/>
      <c r="AS156" s="179"/>
      <c r="AT156" s="179"/>
      <c r="AU156" s="179"/>
      <c r="AV156" s="179"/>
      <c r="AW156" s="179"/>
      <c r="AX156" s="179"/>
      <c r="AY156" s="179"/>
      <c r="AZ156" s="179"/>
      <c r="BA156" s="179"/>
      <c r="BB156" s="179"/>
      <c r="BC156" s="179"/>
      <c r="BD156" s="179"/>
      <c r="BE156" s="201"/>
      <c r="BF156" s="201"/>
      <c r="BG156" s="201"/>
      <c r="BH156" s="201"/>
      <c r="BI156" s="201"/>
      <c r="BJ156" s="201"/>
      <c r="BK156" s="203"/>
    </row>
    <row r="157" spans="1:63" s="164" customFormat="1" ht="15.75" customHeight="1">
      <c r="A157" s="174"/>
      <c r="B157" s="190"/>
      <c r="C157" s="176"/>
      <c r="D157" s="175" t="s">
        <v>578</v>
      </c>
      <c r="E157" s="176"/>
      <c r="F157" s="176"/>
      <c r="G157" s="176"/>
      <c r="H157" s="176"/>
      <c r="I157" s="176"/>
      <c r="J157" s="176"/>
      <c r="K157" s="176"/>
      <c r="L157" s="190"/>
      <c r="M157" s="176"/>
      <c r="N157" s="191" t="s">
        <v>403</v>
      </c>
      <c r="O157" s="176"/>
      <c r="P157" s="176"/>
      <c r="Q157" s="176"/>
      <c r="R157" s="176"/>
      <c r="S157" s="176"/>
      <c r="T157" s="176"/>
      <c r="U157" s="176"/>
      <c r="V157" s="176"/>
      <c r="W157" s="176"/>
      <c r="X157" s="176"/>
      <c r="Y157" s="176"/>
      <c r="Z157" s="176"/>
      <c r="AA157" s="176"/>
      <c r="AB157" s="176"/>
      <c r="AC157" s="176"/>
      <c r="AD157" s="176"/>
      <c r="AE157" s="176"/>
      <c r="AF157" s="176"/>
      <c r="AG157" s="176"/>
      <c r="AH157" s="176"/>
      <c r="AI157" s="176"/>
      <c r="AJ157" s="176"/>
      <c r="AK157" s="176"/>
      <c r="AL157" s="176"/>
      <c r="AM157" s="176"/>
      <c r="AN157" s="176"/>
      <c r="AO157" s="176"/>
      <c r="AP157" s="176"/>
      <c r="AQ157" s="176"/>
      <c r="AR157" s="176"/>
      <c r="AS157" s="176"/>
      <c r="AT157" s="176"/>
      <c r="AU157" s="176"/>
      <c r="AV157" s="176"/>
      <c r="AW157" s="176"/>
      <c r="AX157" s="176"/>
      <c r="AY157" s="176"/>
      <c r="AZ157" s="176"/>
      <c r="BA157" s="176"/>
      <c r="BB157" s="176"/>
      <c r="BC157" s="176"/>
      <c r="BD157" s="176"/>
      <c r="BE157" s="199" t="s">
        <v>404</v>
      </c>
      <c r="BF157" s="199" t="s">
        <v>405</v>
      </c>
      <c r="BG157" s="199" t="s">
        <v>406</v>
      </c>
      <c r="BH157" s="199" t="s">
        <v>407</v>
      </c>
      <c r="BI157" s="199" t="s">
        <v>408</v>
      </c>
      <c r="BJ157" s="199" t="s">
        <v>409</v>
      </c>
      <c r="BK157" s="200" t="s">
        <v>410</v>
      </c>
    </row>
    <row r="158" spans="1:63" s="164" customFormat="1" ht="15.75" customHeight="1">
      <c r="A158" s="180"/>
      <c r="B158" s="192"/>
      <c r="C158" s="250" t="s">
        <v>416</v>
      </c>
      <c r="D158" s="178" t="s">
        <v>579</v>
      </c>
      <c r="E158" s="179"/>
      <c r="F158" s="179"/>
      <c r="G158" s="179"/>
      <c r="H158" s="179"/>
      <c r="I158" s="179"/>
      <c r="J158" s="179"/>
      <c r="K158" s="179"/>
      <c r="L158" s="192"/>
      <c r="M158" s="999"/>
      <c r="N158" s="1000"/>
      <c r="O158" s="1000"/>
      <c r="P158" s="1000"/>
      <c r="Q158" s="1000"/>
      <c r="R158" s="1000"/>
      <c r="S158" s="1000"/>
      <c r="T158" s="1000"/>
      <c r="U158" s="1000"/>
      <c r="V158" s="1000"/>
      <c r="W158" s="1000"/>
      <c r="X158" s="1000"/>
      <c r="Y158" s="1000"/>
      <c r="Z158" s="1000"/>
      <c r="AA158" s="1000"/>
      <c r="AB158" s="1000"/>
      <c r="AC158" s="1000"/>
      <c r="AD158" s="1000"/>
      <c r="AE158" s="1000"/>
      <c r="AF158" s="1000"/>
      <c r="AG158" s="1000"/>
      <c r="AH158" s="1000"/>
      <c r="AI158" s="1000"/>
      <c r="AJ158" s="1000"/>
      <c r="AK158" s="1000"/>
      <c r="AL158" s="1000"/>
      <c r="AM158" s="1000"/>
      <c r="AN158" s="1000"/>
      <c r="AO158" s="1000"/>
      <c r="AP158" s="1000"/>
      <c r="AQ158" s="1000"/>
      <c r="AR158" s="1000"/>
      <c r="AS158" s="1000"/>
      <c r="AT158" s="1000"/>
      <c r="AU158" s="1000"/>
      <c r="AV158" s="1000"/>
      <c r="AW158" s="1000"/>
      <c r="AX158" s="1000"/>
      <c r="AY158" s="1000"/>
      <c r="AZ158" s="1000"/>
      <c r="BA158" s="1000"/>
      <c r="BB158" s="1000"/>
      <c r="BC158" s="1000"/>
      <c r="BD158" s="1000"/>
      <c r="BE158" s="201"/>
      <c r="BF158" s="202" t="s">
        <v>419</v>
      </c>
      <c r="BG158" s="201"/>
      <c r="BH158" s="201"/>
      <c r="BI158" s="201"/>
      <c r="BJ158" s="201"/>
      <c r="BK158" s="203"/>
    </row>
    <row r="159" spans="1:63" s="164" customFormat="1" ht="15.75" customHeight="1">
      <c r="A159" s="180"/>
      <c r="B159" s="192"/>
      <c r="C159" s="250" t="s">
        <v>416</v>
      </c>
      <c r="D159" s="178" t="s">
        <v>580</v>
      </c>
      <c r="E159" s="179"/>
      <c r="F159" s="179"/>
      <c r="G159" s="179"/>
      <c r="H159" s="179"/>
      <c r="I159" s="179"/>
      <c r="J159" s="179"/>
      <c r="K159" s="179"/>
      <c r="L159" s="192"/>
      <c r="M159" s="999"/>
      <c r="N159" s="1000"/>
      <c r="O159" s="1000"/>
      <c r="P159" s="1000"/>
      <c r="Q159" s="1000"/>
      <c r="R159" s="1000"/>
      <c r="S159" s="1000"/>
      <c r="T159" s="1000"/>
      <c r="U159" s="1000"/>
      <c r="V159" s="1000"/>
      <c r="W159" s="1000"/>
      <c r="X159" s="1000"/>
      <c r="Y159" s="1000"/>
      <c r="Z159" s="1000"/>
      <c r="AA159" s="1000"/>
      <c r="AB159" s="1000"/>
      <c r="AC159" s="1000"/>
      <c r="AD159" s="1000"/>
      <c r="AE159" s="1000"/>
      <c r="AF159" s="1000"/>
      <c r="AG159" s="1000"/>
      <c r="AH159" s="1000"/>
      <c r="AI159" s="1000"/>
      <c r="AJ159" s="1000"/>
      <c r="AK159" s="1000"/>
      <c r="AL159" s="1000"/>
      <c r="AM159" s="1000"/>
      <c r="AN159" s="1000"/>
      <c r="AO159" s="1000"/>
      <c r="AP159" s="1000"/>
      <c r="AQ159" s="1000"/>
      <c r="AR159" s="1000"/>
      <c r="AS159" s="1000"/>
      <c r="AT159" s="1000"/>
      <c r="AU159" s="1000"/>
      <c r="AV159" s="1000"/>
      <c r="AW159" s="1000"/>
      <c r="AX159" s="1000"/>
      <c r="AY159" s="1000"/>
      <c r="AZ159" s="1000"/>
      <c r="BA159" s="1000"/>
      <c r="BB159" s="1000"/>
      <c r="BC159" s="1000"/>
      <c r="BD159" s="1000"/>
      <c r="BE159" s="202" t="s">
        <v>486</v>
      </c>
      <c r="BF159" s="202" t="s">
        <v>487</v>
      </c>
      <c r="BG159" s="201"/>
      <c r="BH159" s="201"/>
      <c r="BI159" s="201"/>
      <c r="BJ159" s="201"/>
      <c r="BK159" s="203"/>
    </row>
    <row r="160" spans="1:63" s="164" customFormat="1" ht="15.75" customHeight="1">
      <c r="A160" s="180"/>
      <c r="B160" s="192"/>
      <c r="C160" s="250" t="s">
        <v>416</v>
      </c>
      <c r="D160" s="178" t="s">
        <v>581</v>
      </c>
      <c r="E160" s="179"/>
      <c r="F160" s="179"/>
      <c r="G160" s="179"/>
      <c r="H160" s="179"/>
      <c r="I160" s="179"/>
      <c r="J160" s="179"/>
      <c r="K160" s="179"/>
      <c r="L160" s="192"/>
      <c r="M160" s="999"/>
      <c r="N160" s="1000"/>
      <c r="O160" s="1000"/>
      <c r="P160" s="1000"/>
      <c r="Q160" s="1000"/>
      <c r="R160" s="1000"/>
      <c r="S160" s="1000"/>
      <c r="T160" s="1000"/>
      <c r="U160" s="1000"/>
      <c r="V160" s="1000"/>
      <c r="W160" s="1000"/>
      <c r="X160" s="1000"/>
      <c r="Y160" s="1000"/>
      <c r="Z160" s="1000"/>
      <c r="AA160" s="1000"/>
      <c r="AB160" s="1000"/>
      <c r="AC160" s="1000"/>
      <c r="AD160" s="1000"/>
      <c r="AE160" s="1000"/>
      <c r="AF160" s="1000"/>
      <c r="AG160" s="1000"/>
      <c r="AH160" s="1000"/>
      <c r="AI160" s="1000"/>
      <c r="AJ160" s="1000"/>
      <c r="AK160" s="1000"/>
      <c r="AL160" s="1000"/>
      <c r="AM160" s="1000"/>
      <c r="AN160" s="1000"/>
      <c r="AO160" s="1000"/>
      <c r="AP160" s="1000"/>
      <c r="AQ160" s="1000"/>
      <c r="AR160" s="1000"/>
      <c r="AS160" s="1000"/>
      <c r="AT160" s="1000"/>
      <c r="AU160" s="1000"/>
      <c r="AV160" s="1000"/>
      <c r="AW160" s="1000"/>
      <c r="AX160" s="1000"/>
      <c r="AY160" s="1000"/>
      <c r="AZ160" s="1000"/>
      <c r="BA160" s="1000"/>
      <c r="BB160" s="1000"/>
      <c r="BC160" s="1000"/>
      <c r="BD160" s="1000"/>
      <c r="BE160" s="201"/>
      <c r="BF160" s="202" t="s">
        <v>487</v>
      </c>
      <c r="BG160" s="201"/>
      <c r="BH160" s="201"/>
      <c r="BI160" s="201"/>
      <c r="BJ160" s="201"/>
      <c r="BK160" s="203"/>
    </row>
    <row r="161" spans="1:63" s="164" customFormat="1" ht="15.75" customHeight="1">
      <c r="A161" s="180"/>
      <c r="B161" s="192"/>
      <c r="C161" s="250" t="s">
        <v>416</v>
      </c>
      <c r="D161" s="178" t="s">
        <v>582</v>
      </c>
      <c r="E161" s="179"/>
      <c r="F161" s="179"/>
      <c r="G161" s="179"/>
      <c r="H161" s="179"/>
      <c r="I161" s="179"/>
      <c r="J161" s="179"/>
      <c r="K161" s="179"/>
      <c r="L161" s="192"/>
      <c r="M161" s="999"/>
      <c r="N161" s="1000"/>
      <c r="O161" s="1000"/>
      <c r="P161" s="1000"/>
      <c r="Q161" s="1000"/>
      <c r="R161" s="1000"/>
      <c r="S161" s="1000"/>
      <c r="T161" s="1000"/>
      <c r="U161" s="1000"/>
      <c r="V161" s="1000"/>
      <c r="W161" s="1000"/>
      <c r="X161" s="1000"/>
      <c r="Y161" s="1000"/>
      <c r="Z161" s="1000"/>
      <c r="AA161" s="1000"/>
      <c r="AB161" s="1000"/>
      <c r="AC161" s="1000"/>
      <c r="AD161" s="1000"/>
      <c r="AE161" s="1000"/>
      <c r="AF161" s="1000"/>
      <c r="AG161" s="1000"/>
      <c r="AH161" s="1000"/>
      <c r="AI161" s="1000"/>
      <c r="AJ161" s="1000"/>
      <c r="AK161" s="1000"/>
      <c r="AL161" s="1000"/>
      <c r="AM161" s="1000"/>
      <c r="AN161" s="1000"/>
      <c r="AO161" s="1000"/>
      <c r="AP161" s="1000"/>
      <c r="AQ161" s="1000"/>
      <c r="AR161" s="1000"/>
      <c r="AS161" s="1000"/>
      <c r="AT161" s="1000"/>
      <c r="AU161" s="1000"/>
      <c r="AV161" s="1000"/>
      <c r="AW161" s="1000"/>
      <c r="AX161" s="1000"/>
      <c r="AY161" s="1000"/>
      <c r="AZ161" s="1000"/>
      <c r="BA161" s="1000"/>
      <c r="BB161" s="1000"/>
      <c r="BC161" s="1000"/>
      <c r="BD161" s="1000"/>
      <c r="BE161" s="201"/>
      <c r="BF161" s="202" t="s">
        <v>419</v>
      </c>
      <c r="BG161" s="201"/>
      <c r="BH161" s="201"/>
      <c r="BI161" s="201"/>
      <c r="BJ161" s="201"/>
      <c r="BK161" s="203"/>
    </row>
    <row r="162" spans="1:63" s="164" customFormat="1" ht="15.75" customHeight="1">
      <c r="A162" s="180"/>
      <c r="B162" s="192"/>
      <c r="C162" s="250" t="s">
        <v>416</v>
      </c>
      <c r="D162" s="178" t="s">
        <v>583</v>
      </c>
      <c r="E162" s="179"/>
      <c r="F162" s="179"/>
      <c r="G162" s="179"/>
      <c r="H162" s="179"/>
      <c r="I162" s="179"/>
      <c r="J162" s="179"/>
      <c r="K162" s="179"/>
      <c r="L162" s="192"/>
      <c r="M162" s="999"/>
      <c r="N162" s="1000"/>
      <c r="O162" s="1000"/>
      <c r="P162" s="1000"/>
      <c r="Q162" s="1000"/>
      <c r="R162" s="1000"/>
      <c r="S162" s="1000"/>
      <c r="T162" s="1000"/>
      <c r="U162" s="1000"/>
      <c r="V162" s="1000"/>
      <c r="W162" s="1000"/>
      <c r="X162" s="1000"/>
      <c r="Y162" s="1000"/>
      <c r="Z162" s="1000"/>
      <c r="AA162" s="1000"/>
      <c r="AB162" s="1000"/>
      <c r="AC162" s="1000"/>
      <c r="AD162" s="1000"/>
      <c r="AE162" s="1000"/>
      <c r="AF162" s="1000"/>
      <c r="AG162" s="1000"/>
      <c r="AH162" s="1000"/>
      <c r="AI162" s="1000"/>
      <c r="AJ162" s="1000"/>
      <c r="AK162" s="1000"/>
      <c r="AL162" s="1000"/>
      <c r="AM162" s="1000"/>
      <c r="AN162" s="1000"/>
      <c r="AO162" s="1000"/>
      <c r="AP162" s="1000"/>
      <c r="AQ162" s="1000"/>
      <c r="AR162" s="1000"/>
      <c r="AS162" s="1000"/>
      <c r="AT162" s="1000"/>
      <c r="AU162" s="1000"/>
      <c r="AV162" s="1000"/>
      <c r="AW162" s="1000"/>
      <c r="AX162" s="1000"/>
      <c r="AY162" s="1000"/>
      <c r="AZ162" s="1000"/>
      <c r="BA162" s="1000"/>
      <c r="BB162" s="1000"/>
      <c r="BC162" s="1000"/>
      <c r="BD162" s="1000"/>
      <c r="BE162" s="202" t="s">
        <v>486</v>
      </c>
      <c r="BF162" s="202" t="s">
        <v>487</v>
      </c>
      <c r="BG162" s="201"/>
      <c r="BH162" s="201"/>
      <c r="BI162" s="201"/>
      <c r="BJ162" s="201"/>
      <c r="BK162" s="203"/>
    </row>
    <row r="163" spans="1:63" s="164" customFormat="1" ht="15.75" customHeight="1">
      <c r="A163" s="180"/>
      <c r="B163" s="192"/>
      <c r="C163" s="250" t="s">
        <v>416</v>
      </c>
      <c r="D163" s="178" t="s">
        <v>584</v>
      </c>
      <c r="E163" s="179"/>
      <c r="F163" s="179"/>
      <c r="G163" s="179"/>
      <c r="H163" s="179"/>
      <c r="I163" s="179"/>
      <c r="J163" s="179"/>
      <c r="K163" s="179"/>
      <c r="L163" s="192"/>
      <c r="M163" s="999"/>
      <c r="N163" s="1000"/>
      <c r="O163" s="1000"/>
      <c r="P163" s="1000"/>
      <c r="Q163" s="1000"/>
      <c r="R163" s="1000"/>
      <c r="S163" s="1000"/>
      <c r="T163" s="1000"/>
      <c r="U163" s="1000"/>
      <c r="V163" s="1000"/>
      <c r="W163" s="1000"/>
      <c r="X163" s="1000"/>
      <c r="Y163" s="1000"/>
      <c r="Z163" s="1000"/>
      <c r="AA163" s="1000"/>
      <c r="AB163" s="1000"/>
      <c r="AC163" s="1000"/>
      <c r="AD163" s="1000"/>
      <c r="AE163" s="1000"/>
      <c r="AF163" s="1000"/>
      <c r="AG163" s="1000"/>
      <c r="AH163" s="1000"/>
      <c r="AI163" s="1000"/>
      <c r="AJ163" s="1000"/>
      <c r="AK163" s="1000"/>
      <c r="AL163" s="1000"/>
      <c r="AM163" s="1000"/>
      <c r="AN163" s="1000"/>
      <c r="AO163" s="1000"/>
      <c r="AP163" s="1000"/>
      <c r="AQ163" s="1000"/>
      <c r="AR163" s="1000"/>
      <c r="AS163" s="1000"/>
      <c r="AT163" s="1000"/>
      <c r="AU163" s="1000"/>
      <c r="AV163" s="1000"/>
      <c r="AW163" s="1000"/>
      <c r="AX163" s="1000"/>
      <c r="AY163" s="1000"/>
      <c r="AZ163" s="1000"/>
      <c r="BA163" s="1000"/>
      <c r="BB163" s="1000"/>
      <c r="BC163" s="1000"/>
      <c r="BD163" s="1000"/>
      <c r="BE163" s="201"/>
      <c r="BF163" s="202" t="s">
        <v>487</v>
      </c>
      <c r="BG163" s="201"/>
      <c r="BH163" s="201"/>
      <c r="BI163" s="201"/>
      <c r="BJ163" s="201"/>
      <c r="BK163" s="203"/>
    </row>
    <row r="164" spans="1:63" s="164" customFormat="1" ht="15.75" customHeight="1">
      <c r="A164" s="185"/>
      <c r="B164" s="193"/>
      <c r="C164" s="251" t="s">
        <v>416</v>
      </c>
      <c r="D164" s="183" t="s">
        <v>585</v>
      </c>
      <c r="E164" s="184"/>
      <c r="F164" s="184"/>
      <c r="G164" s="184"/>
      <c r="H164" s="184"/>
      <c r="I164" s="184"/>
      <c r="J164" s="184"/>
      <c r="K164" s="184"/>
      <c r="L164" s="193"/>
      <c r="M164" s="1003"/>
      <c r="N164" s="1002"/>
      <c r="O164" s="1002"/>
      <c r="P164" s="1002"/>
      <c r="Q164" s="1002"/>
      <c r="R164" s="1002"/>
      <c r="S164" s="1002"/>
      <c r="T164" s="1002"/>
      <c r="U164" s="1002"/>
      <c r="V164" s="1002"/>
      <c r="W164" s="1002"/>
      <c r="X164" s="1002"/>
      <c r="Y164" s="1002"/>
      <c r="Z164" s="1002"/>
      <c r="AA164" s="1002"/>
      <c r="AB164" s="1002"/>
      <c r="AC164" s="1002"/>
      <c r="AD164" s="1002"/>
      <c r="AE164" s="1002"/>
      <c r="AF164" s="1002"/>
      <c r="AG164" s="1002"/>
      <c r="AH164" s="1002"/>
      <c r="AI164" s="1002"/>
      <c r="AJ164" s="1002"/>
      <c r="AK164" s="1002"/>
      <c r="AL164" s="1002"/>
      <c r="AM164" s="1002"/>
      <c r="AN164" s="1002"/>
      <c r="AO164" s="1002"/>
      <c r="AP164" s="1002"/>
      <c r="AQ164" s="1002"/>
      <c r="AR164" s="1002"/>
      <c r="AS164" s="1002"/>
      <c r="AT164" s="1002"/>
      <c r="AU164" s="1002"/>
      <c r="AV164" s="1002"/>
      <c r="AW164" s="1002"/>
      <c r="AX164" s="1002"/>
      <c r="AY164" s="1002"/>
      <c r="AZ164" s="1002"/>
      <c r="BA164" s="1002"/>
      <c r="BB164" s="1002"/>
      <c r="BC164" s="1002"/>
      <c r="BD164" s="1002"/>
      <c r="BE164" s="204"/>
      <c r="BF164" s="205" t="s">
        <v>419</v>
      </c>
      <c r="BG164" s="204"/>
      <c r="BH164" s="204"/>
      <c r="BI164" s="204"/>
      <c r="BJ164" s="204"/>
      <c r="BK164" s="206"/>
    </row>
    <row r="165" spans="1:63" s="164" customFormat="1" ht="15.75" customHeight="1">
      <c r="A165" s="185"/>
      <c r="B165" s="193"/>
      <c r="C165" s="251" t="s">
        <v>416</v>
      </c>
      <c r="D165" s="183" t="s">
        <v>586</v>
      </c>
      <c r="E165" s="184"/>
      <c r="F165" s="184"/>
      <c r="G165" s="184"/>
      <c r="H165" s="184"/>
      <c r="I165" s="184"/>
      <c r="J165" s="184"/>
      <c r="K165" s="184"/>
      <c r="L165" s="193"/>
      <c r="M165" s="1003"/>
      <c r="N165" s="1002"/>
      <c r="O165" s="1002"/>
      <c r="P165" s="1002"/>
      <c r="Q165" s="1002"/>
      <c r="R165" s="1002"/>
      <c r="S165" s="1002"/>
      <c r="T165" s="1002"/>
      <c r="U165" s="1002"/>
      <c r="V165" s="1002"/>
      <c r="W165" s="1002"/>
      <c r="X165" s="1002"/>
      <c r="Y165" s="1002"/>
      <c r="Z165" s="1002"/>
      <c r="AA165" s="1002"/>
      <c r="AB165" s="1002"/>
      <c r="AC165" s="1002"/>
      <c r="AD165" s="1002"/>
      <c r="AE165" s="1002"/>
      <c r="AF165" s="1002"/>
      <c r="AG165" s="1002"/>
      <c r="AH165" s="1002"/>
      <c r="AI165" s="1002"/>
      <c r="AJ165" s="1002"/>
      <c r="AK165" s="1002"/>
      <c r="AL165" s="1002"/>
      <c r="AM165" s="1002"/>
      <c r="AN165" s="1002"/>
      <c r="AO165" s="1002"/>
      <c r="AP165" s="1002"/>
      <c r="AQ165" s="1002"/>
      <c r="AR165" s="1002"/>
      <c r="AS165" s="1002"/>
      <c r="AT165" s="1002"/>
      <c r="AU165" s="1002"/>
      <c r="AV165" s="1002"/>
      <c r="AW165" s="1002"/>
      <c r="AX165" s="1002"/>
      <c r="AY165" s="1002"/>
      <c r="AZ165" s="1002"/>
      <c r="BA165" s="1002"/>
      <c r="BB165" s="1002"/>
      <c r="BC165" s="1002"/>
      <c r="BD165" s="1002"/>
      <c r="BE165" s="205" t="s">
        <v>486</v>
      </c>
      <c r="BF165" s="205" t="s">
        <v>487</v>
      </c>
      <c r="BG165" s="204"/>
      <c r="BH165" s="204"/>
      <c r="BI165" s="204"/>
      <c r="BJ165" s="204"/>
      <c r="BK165" s="206"/>
    </row>
    <row r="166" spans="1:63" s="164" customFormat="1" ht="15.75" customHeight="1">
      <c r="A166" s="185"/>
      <c r="B166" s="193"/>
      <c r="C166" s="251" t="s">
        <v>416</v>
      </c>
      <c r="D166" s="183" t="s">
        <v>587</v>
      </c>
      <c r="E166" s="184"/>
      <c r="F166" s="184"/>
      <c r="G166" s="184"/>
      <c r="H166" s="184"/>
      <c r="I166" s="184"/>
      <c r="J166" s="184"/>
      <c r="K166" s="184"/>
      <c r="L166" s="193"/>
      <c r="M166" s="1003"/>
      <c r="N166" s="1002"/>
      <c r="O166" s="1002"/>
      <c r="P166" s="1002"/>
      <c r="Q166" s="1002"/>
      <c r="R166" s="1002"/>
      <c r="S166" s="1002"/>
      <c r="T166" s="1002"/>
      <c r="U166" s="1002"/>
      <c r="V166" s="1002"/>
      <c r="W166" s="1002"/>
      <c r="X166" s="1002"/>
      <c r="Y166" s="1002"/>
      <c r="Z166" s="1002"/>
      <c r="AA166" s="1002"/>
      <c r="AB166" s="1002"/>
      <c r="AC166" s="1002"/>
      <c r="AD166" s="1002"/>
      <c r="AE166" s="1002"/>
      <c r="AF166" s="1002"/>
      <c r="AG166" s="1002"/>
      <c r="AH166" s="1002"/>
      <c r="AI166" s="1002"/>
      <c r="AJ166" s="1002"/>
      <c r="AK166" s="1002"/>
      <c r="AL166" s="1002"/>
      <c r="AM166" s="1002"/>
      <c r="AN166" s="1002"/>
      <c r="AO166" s="1002"/>
      <c r="AP166" s="1002"/>
      <c r="AQ166" s="1002"/>
      <c r="AR166" s="1002"/>
      <c r="AS166" s="1002"/>
      <c r="AT166" s="1002"/>
      <c r="AU166" s="1002"/>
      <c r="AV166" s="1002"/>
      <c r="AW166" s="1002"/>
      <c r="AX166" s="1002"/>
      <c r="AY166" s="1002"/>
      <c r="AZ166" s="1002"/>
      <c r="BA166" s="1002"/>
      <c r="BB166" s="1002"/>
      <c r="BC166" s="1002"/>
      <c r="BD166" s="1002"/>
      <c r="BE166" s="204"/>
      <c r="BF166" s="205" t="s">
        <v>487</v>
      </c>
      <c r="BG166" s="204"/>
      <c r="BH166" s="204"/>
      <c r="BI166" s="204"/>
      <c r="BJ166" s="204"/>
      <c r="BK166" s="206"/>
    </row>
    <row r="167" spans="1:63" s="164" customFormat="1" ht="15.75" customHeight="1">
      <c r="A167" s="185"/>
      <c r="B167" s="193"/>
      <c r="C167" s="251" t="s">
        <v>416</v>
      </c>
      <c r="D167" s="183" t="s">
        <v>588</v>
      </c>
      <c r="E167" s="184"/>
      <c r="F167" s="184"/>
      <c r="G167" s="184"/>
      <c r="H167" s="184"/>
      <c r="I167" s="184"/>
      <c r="J167" s="184"/>
      <c r="K167" s="184"/>
      <c r="L167" s="193"/>
      <c r="M167" s="1003"/>
      <c r="N167" s="1002"/>
      <c r="O167" s="1002"/>
      <c r="P167" s="1002"/>
      <c r="Q167" s="1002"/>
      <c r="R167" s="1002"/>
      <c r="S167" s="1002"/>
      <c r="T167" s="1002"/>
      <c r="U167" s="1002"/>
      <c r="V167" s="1002"/>
      <c r="W167" s="1002"/>
      <c r="X167" s="1002"/>
      <c r="Y167" s="1002"/>
      <c r="Z167" s="1002"/>
      <c r="AA167" s="1002"/>
      <c r="AB167" s="1002"/>
      <c r="AC167" s="1002"/>
      <c r="AD167" s="1002"/>
      <c r="AE167" s="1002"/>
      <c r="AF167" s="1002"/>
      <c r="AG167" s="1002"/>
      <c r="AH167" s="1002"/>
      <c r="AI167" s="1002"/>
      <c r="AJ167" s="1002"/>
      <c r="AK167" s="1002"/>
      <c r="AL167" s="1002"/>
      <c r="AM167" s="1002"/>
      <c r="AN167" s="1002"/>
      <c r="AO167" s="1002"/>
      <c r="AP167" s="1002"/>
      <c r="AQ167" s="1002"/>
      <c r="AR167" s="1002"/>
      <c r="AS167" s="1002"/>
      <c r="AT167" s="1002"/>
      <c r="AU167" s="1002"/>
      <c r="AV167" s="1002"/>
      <c r="AW167" s="1002"/>
      <c r="AX167" s="1002"/>
      <c r="AY167" s="1002"/>
      <c r="AZ167" s="1002"/>
      <c r="BA167" s="1002"/>
      <c r="BB167" s="1002"/>
      <c r="BC167" s="1002"/>
      <c r="BD167" s="1002"/>
      <c r="BE167" s="204"/>
      <c r="BF167" s="205" t="s">
        <v>419</v>
      </c>
      <c r="BG167" s="204"/>
      <c r="BH167" s="204"/>
      <c r="BI167" s="204"/>
      <c r="BJ167" s="204"/>
      <c r="BK167" s="206"/>
    </row>
    <row r="168" spans="1:63" s="164" customFormat="1" ht="15.75" customHeight="1">
      <c r="A168" s="185"/>
      <c r="B168" s="193"/>
      <c r="C168" s="251" t="s">
        <v>416</v>
      </c>
      <c r="D168" s="183" t="s">
        <v>589</v>
      </c>
      <c r="E168" s="184"/>
      <c r="F168" s="184"/>
      <c r="G168" s="184"/>
      <c r="H168" s="184"/>
      <c r="I168" s="184"/>
      <c r="J168" s="184"/>
      <c r="K168" s="184"/>
      <c r="L168" s="193"/>
      <c r="M168" s="1003"/>
      <c r="N168" s="1002"/>
      <c r="O168" s="1002"/>
      <c r="P168" s="1002"/>
      <c r="Q168" s="1002"/>
      <c r="R168" s="1002"/>
      <c r="S168" s="1002"/>
      <c r="T168" s="1002"/>
      <c r="U168" s="1002"/>
      <c r="V168" s="1002"/>
      <c r="W168" s="1002"/>
      <c r="X168" s="1002"/>
      <c r="Y168" s="1002"/>
      <c r="Z168" s="1002"/>
      <c r="AA168" s="1002"/>
      <c r="AB168" s="1002"/>
      <c r="AC168" s="1002"/>
      <c r="AD168" s="1002"/>
      <c r="AE168" s="1002"/>
      <c r="AF168" s="1002"/>
      <c r="AG168" s="1002"/>
      <c r="AH168" s="1002"/>
      <c r="AI168" s="1002"/>
      <c r="AJ168" s="1002"/>
      <c r="AK168" s="1002"/>
      <c r="AL168" s="1002"/>
      <c r="AM168" s="1002"/>
      <c r="AN168" s="1002"/>
      <c r="AO168" s="1002"/>
      <c r="AP168" s="1002"/>
      <c r="AQ168" s="1002"/>
      <c r="AR168" s="1002"/>
      <c r="AS168" s="1002"/>
      <c r="AT168" s="1002"/>
      <c r="AU168" s="1002"/>
      <c r="AV168" s="1002"/>
      <c r="AW168" s="1002"/>
      <c r="AX168" s="1002"/>
      <c r="AY168" s="1002"/>
      <c r="AZ168" s="1002"/>
      <c r="BA168" s="1002"/>
      <c r="BB168" s="1002"/>
      <c r="BC168" s="1002"/>
      <c r="BD168" s="1002"/>
      <c r="BE168" s="205" t="s">
        <v>486</v>
      </c>
      <c r="BF168" s="205" t="s">
        <v>487</v>
      </c>
      <c r="BG168" s="204"/>
      <c r="BH168" s="204"/>
      <c r="BI168" s="204"/>
      <c r="BJ168" s="204"/>
      <c r="BK168" s="206"/>
    </row>
    <row r="169" spans="1:63" s="164" customFormat="1" ht="15.75" customHeight="1">
      <c r="A169" s="185"/>
      <c r="B169" s="193"/>
      <c r="C169" s="251" t="s">
        <v>416</v>
      </c>
      <c r="D169" s="183" t="s">
        <v>590</v>
      </c>
      <c r="E169" s="184"/>
      <c r="F169" s="184"/>
      <c r="G169" s="184"/>
      <c r="H169" s="184"/>
      <c r="I169" s="184"/>
      <c r="J169" s="184"/>
      <c r="K169" s="184"/>
      <c r="L169" s="193"/>
      <c r="M169" s="1003"/>
      <c r="N169" s="1002"/>
      <c r="O169" s="1002"/>
      <c r="P169" s="1002"/>
      <c r="Q169" s="1002"/>
      <c r="R169" s="1002"/>
      <c r="S169" s="1002"/>
      <c r="T169" s="1002"/>
      <c r="U169" s="1002"/>
      <c r="V169" s="1002"/>
      <c r="W169" s="1002"/>
      <c r="X169" s="1002"/>
      <c r="Y169" s="1002"/>
      <c r="Z169" s="1002"/>
      <c r="AA169" s="1002"/>
      <c r="AB169" s="1002"/>
      <c r="AC169" s="1002"/>
      <c r="AD169" s="1002"/>
      <c r="AE169" s="1002"/>
      <c r="AF169" s="1002"/>
      <c r="AG169" s="1002"/>
      <c r="AH169" s="1002"/>
      <c r="AI169" s="1002"/>
      <c r="AJ169" s="1002"/>
      <c r="AK169" s="1002"/>
      <c r="AL169" s="1002"/>
      <c r="AM169" s="1002"/>
      <c r="AN169" s="1002"/>
      <c r="AO169" s="1002"/>
      <c r="AP169" s="1002"/>
      <c r="AQ169" s="1002"/>
      <c r="AR169" s="1002"/>
      <c r="AS169" s="1002"/>
      <c r="AT169" s="1002"/>
      <c r="AU169" s="1002"/>
      <c r="AV169" s="1002"/>
      <c r="AW169" s="1002"/>
      <c r="AX169" s="1002"/>
      <c r="AY169" s="1002"/>
      <c r="AZ169" s="1002"/>
      <c r="BA169" s="1002"/>
      <c r="BB169" s="1002"/>
      <c r="BC169" s="1002"/>
      <c r="BD169" s="1002"/>
      <c r="BE169" s="204"/>
      <c r="BF169" s="205" t="s">
        <v>487</v>
      </c>
      <c r="BG169" s="204"/>
      <c r="BH169" s="204"/>
      <c r="BI169" s="204"/>
      <c r="BJ169" s="204"/>
      <c r="BK169" s="206"/>
    </row>
    <row r="170" spans="1:63" s="164" customFormat="1" ht="15.75" customHeight="1">
      <c r="A170" s="185"/>
      <c r="B170" s="193"/>
      <c r="C170" s="251" t="s">
        <v>416</v>
      </c>
      <c r="D170" s="183" t="s">
        <v>591</v>
      </c>
      <c r="E170" s="184"/>
      <c r="F170" s="184"/>
      <c r="G170" s="184"/>
      <c r="H170" s="184"/>
      <c r="I170" s="184"/>
      <c r="J170" s="184"/>
      <c r="K170" s="184"/>
      <c r="L170" s="193"/>
      <c r="M170" s="1003"/>
      <c r="N170" s="1002"/>
      <c r="O170" s="1002"/>
      <c r="P170" s="1002"/>
      <c r="Q170" s="1002"/>
      <c r="R170" s="1002"/>
      <c r="S170" s="1002"/>
      <c r="T170" s="1002"/>
      <c r="U170" s="1002"/>
      <c r="V170" s="1002"/>
      <c r="W170" s="1002"/>
      <c r="X170" s="1002"/>
      <c r="Y170" s="1002"/>
      <c r="Z170" s="1002"/>
      <c r="AA170" s="1002"/>
      <c r="AB170" s="1002"/>
      <c r="AC170" s="1002"/>
      <c r="AD170" s="1002"/>
      <c r="AE170" s="1002"/>
      <c r="AF170" s="1002"/>
      <c r="AG170" s="1002"/>
      <c r="AH170" s="1002"/>
      <c r="AI170" s="1002"/>
      <c r="AJ170" s="1002"/>
      <c r="AK170" s="1002"/>
      <c r="AL170" s="1002"/>
      <c r="AM170" s="1002"/>
      <c r="AN170" s="1002"/>
      <c r="AO170" s="1002"/>
      <c r="AP170" s="1002"/>
      <c r="AQ170" s="1002"/>
      <c r="AR170" s="1002"/>
      <c r="AS170" s="1002"/>
      <c r="AT170" s="1002"/>
      <c r="AU170" s="1002"/>
      <c r="AV170" s="1002"/>
      <c r="AW170" s="1002"/>
      <c r="AX170" s="1002"/>
      <c r="AY170" s="1002"/>
      <c r="AZ170" s="1002"/>
      <c r="BA170" s="1002"/>
      <c r="BB170" s="1002"/>
      <c r="BC170" s="1002"/>
      <c r="BD170" s="1002"/>
      <c r="BE170" s="204"/>
      <c r="BF170" s="205" t="s">
        <v>419</v>
      </c>
      <c r="BG170" s="204"/>
      <c r="BH170" s="204"/>
      <c r="BI170" s="204"/>
      <c r="BJ170" s="204"/>
      <c r="BK170" s="206"/>
    </row>
    <row r="171" spans="1:63" s="164" customFormat="1" ht="15.75" customHeight="1">
      <c r="A171" s="185"/>
      <c r="B171" s="193"/>
      <c r="C171" s="251" t="s">
        <v>416</v>
      </c>
      <c r="D171" s="183" t="s">
        <v>592</v>
      </c>
      <c r="E171" s="184"/>
      <c r="F171" s="184"/>
      <c r="G171" s="184"/>
      <c r="H171" s="184"/>
      <c r="I171" s="184"/>
      <c r="J171" s="184"/>
      <c r="K171" s="184"/>
      <c r="L171" s="193"/>
      <c r="M171" s="1003"/>
      <c r="N171" s="1002"/>
      <c r="O171" s="1002"/>
      <c r="P171" s="1002"/>
      <c r="Q171" s="1002"/>
      <c r="R171" s="1002"/>
      <c r="S171" s="1002"/>
      <c r="T171" s="1002"/>
      <c r="U171" s="1002"/>
      <c r="V171" s="1002"/>
      <c r="W171" s="1002"/>
      <c r="X171" s="1002"/>
      <c r="Y171" s="1002"/>
      <c r="Z171" s="1002"/>
      <c r="AA171" s="1002"/>
      <c r="AB171" s="1002"/>
      <c r="AC171" s="1002"/>
      <c r="AD171" s="1002"/>
      <c r="AE171" s="1002"/>
      <c r="AF171" s="1002"/>
      <c r="AG171" s="1002"/>
      <c r="AH171" s="1002"/>
      <c r="AI171" s="1002"/>
      <c r="AJ171" s="1002"/>
      <c r="AK171" s="1002"/>
      <c r="AL171" s="1002"/>
      <c r="AM171" s="1002"/>
      <c r="AN171" s="1002"/>
      <c r="AO171" s="1002"/>
      <c r="AP171" s="1002"/>
      <c r="AQ171" s="1002"/>
      <c r="AR171" s="1002"/>
      <c r="AS171" s="1002"/>
      <c r="AT171" s="1002"/>
      <c r="AU171" s="1002"/>
      <c r="AV171" s="1002"/>
      <c r="AW171" s="1002"/>
      <c r="AX171" s="1002"/>
      <c r="AY171" s="1002"/>
      <c r="AZ171" s="1002"/>
      <c r="BA171" s="1002"/>
      <c r="BB171" s="1002"/>
      <c r="BC171" s="1002"/>
      <c r="BD171" s="1002"/>
      <c r="BE171" s="205" t="s">
        <v>486</v>
      </c>
      <c r="BF171" s="205" t="s">
        <v>487</v>
      </c>
      <c r="BG171" s="204"/>
      <c r="BH171" s="204"/>
      <c r="BI171" s="204"/>
      <c r="BJ171" s="204"/>
      <c r="BK171" s="206"/>
    </row>
    <row r="172" spans="1:63" s="164" customFormat="1" ht="15.75" customHeight="1">
      <c r="A172" s="185"/>
      <c r="B172" s="193"/>
      <c r="C172" s="251" t="s">
        <v>416</v>
      </c>
      <c r="D172" s="183" t="s">
        <v>593</v>
      </c>
      <c r="E172" s="184"/>
      <c r="F172" s="184"/>
      <c r="G172" s="184"/>
      <c r="H172" s="184"/>
      <c r="I172" s="184"/>
      <c r="J172" s="184"/>
      <c r="K172" s="184"/>
      <c r="L172" s="193"/>
      <c r="M172" s="1003"/>
      <c r="N172" s="1002"/>
      <c r="O172" s="1002"/>
      <c r="P172" s="1002"/>
      <c r="Q172" s="1002"/>
      <c r="R172" s="1002"/>
      <c r="S172" s="1002"/>
      <c r="T172" s="1002"/>
      <c r="U172" s="1002"/>
      <c r="V172" s="1002"/>
      <c r="W172" s="1002"/>
      <c r="X172" s="1002"/>
      <c r="Y172" s="1002"/>
      <c r="Z172" s="1002"/>
      <c r="AA172" s="1002"/>
      <c r="AB172" s="1002"/>
      <c r="AC172" s="1002"/>
      <c r="AD172" s="1002"/>
      <c r="AE172" s="1002"/>
      <c r="AF172" s="1002"/>
      <c r="AG172" s="1002"/>
      <c r="AH172" s="1002"/>
      <c r="AI172" s="1002"/>
      <c r="AJ172" s="1002"/>
      <c r="AK172" s="1002"/>
      <c r="AL172" s="1002"/>
      <c r="AM172" s="1002"/>
      <c r="AN172" s="1002"/>
      <c r="AO172" s="1002"/>
      <c r="AP172" s="1002"/>
      <c r="AQ172" s="1002"/>
      <c r="AR172" s="1002"/>
      <c r="AS172" s="1002"/>
      <c r="AT172" s="1002"/>
      <c r="AU172" s="1002"/>
      <c r="AV172" s="1002"/>
      <c r="AW172" s="1002"/>
      <c r="AX172" s="1002"/>
      <c r="AY172" s="1002"/>
      <c r="AZ172" s="1002"/>
      <c r="BA172" s="1002"/>
      <c r="BB172" s="1002"/>
      <c r="BC172" s="1002"/>
      <c r="BD172" s="1002"/>
      <c r="BE172" s="204"/>
      <c r="BF172" s="205" t="s">
        <v>487</v>
      </c>
      <c r="BG172" s="204"/>
      <c r="BH172" s="204"/>
      <c r="BI172" s="204"/>
      <c r="BJ172" s="204"/>
      <c r="BK172" s="206"/>
    </row>
    <row r="173" spans="1:63" s="164" customFormat="1" ht="15.75" customHeight="1">
      <c r="A173" s="185"/>
      <c r="B173" s="193"/>
      <c r="C173" s="251" t="s">
        <v>416</v>
      </c>
      <c r="D173" s="183" t="s">
        <v>594</v>
      </c>
      <c r="E173" s="184"/>
      <c r="F173" s="184"/>
      <c r="G173" s="184"/>
      <c r="H173" s="184"/>
      <c r="I173" s="184"/>
      <c r="J173" s="184"/>
      <c r="K173" s="184"/>
      <c r="L173" s="193"/>
      <c r="M173" s="1003"/>
      <c r="N173" s="1002"/>
      <c r="O173" s="1002"/>
      <c r="P173" s="1002"/>
      <c r="Q173" s="1002"/>
      <c r="R173" s="1002"/>
      <c r="S173" s="1002"/>
      <c r="T173" s="1002"/>
      <c r="U173" s="1002"/>
      <c r="V173" s="1002"/>
      <c r="W173" s="1002"/>
      <c r="X173" s="1002"/>
      <c r="Y173" s="1002"/>
      <c r="Z173" s="1002"/>
      <c r="AA173" s="1002"/>
      <c r="AB173" s="1002"/>
      <c r="AC173" s="1002"/>
      <c r="AD173" s="1002"/>
      <c r="AE173" s="1002"/>
      <c r="AF173" s="1002"/>
      <c r="AG173" s="1002"/>
      <c r="AH173" s="1002"/>
      <c r="AI173" s="1002"/>
      <c r="AJ173" s="1002"/>
      <c r="AK173" s="1002"/>
      <c r="AL173" s="1002"/>
      <c r="AM173" s="1002"/>
      <c r="AN173" s="1002"/>
      <c r="AO173" s="1002"/>
      <c r="AP173" s="1002"/>
      <c r="AQ173" s="1002"/>
      <c r="AR173" s="1002"/>
      <c r="AS173" s="1002"/>
      <c r="AT173" s="1002"/>
      <c r="AU173" s="1002"/>
      <c r="AV173" s="1002"/>
      <c r="AW173" s="1002"/>
      <c r="AX173" s="1002"/>
      <c r="AY173" s="1002"/>
      <c r="AZ173" s="1002"/>
      <c r="BA173" s="1002"/>
      <c r="BB173" s="1002"/>
      <c r="BC173" s="1002"/>
      <c r="BD173" s="1002"/>
      <c r="BE173" s="204"/>
      <c r="BF173" s="205" t="s">
        <v>419</v>
      </c>
      <c r="BG173" s="204"/>
      <c r="BH173" s="204"/>
      <c r="BI173" s="204"/>
      <c r="BJ173" s="204"/>
      <c r="BK173" s="206"/>
    </row>
    <row r="174" spans="1:63" s="164" customFormat="1" ht="15.75" customHeight="1">
      <c r="A174" s="185"/>
      <c r="B174" s="193"/>
      <c r="C174" s="251" t="s">
        <v>416</v>
      </c>
      <c r="D174" s="183" t="s">
        <v>595</v>
      </c>
      <c r="E174" s="184"/>
      <c r="F174" s="184"/>
      <c r="G174" s="184"/>
      <c r="H174" s="184"/>
      <c r="I174" s="184"/>
      <c r="J174" s="184"/>
      <c r="K174" s="184"/>
      <c r="L174" s="193"/>
      <c r="M174" s="1003"/>
      <c r="N174" s="1002"/>
      <c r="O174" s="1002"/>
      <c r="P174" s="1002"/>
      <c r="Q174" s="1002"/>
      <c r="R174" s="1002"/>
      <c r="S174" s="1002"/>
      <c r="T174" s="1002"/>
      <c r="U174" s="1002"/>
      <c r="V174" s="1002"/>
      <c r="W174" s="1002"/>
      <c r="X174" s="1002"/>
      <c r="Y174" s="1002"/>
      <c r="Z174" s="1002"/>
      <c r="AA174" s="1002"/>
      <c r="AB174" s="1002"/>
      <c r="AC174" s="1002"/>
      <c r="AD174" s="1002"/>
      <c r="AE174" s="1002"/>
      <c r="AF174" s="1002"/>
      <c r="AG174" s="1002"/>
      <c r="AH174" s="1002"/>
      <c r="AI174" s="1002"/>
      <c r="AJ174" s="1002"/>
      <c r="AK174" s="1002"/>
      <c r="AL174" s="1002"/>
      <c r="AM174" s="1002"/>
      <c r="AN174" s="1002"/>
      <c r="AO174" s="1002"/>
      <c r="AP174" s="1002"/>
      <c r="AQ174" s="1002"/>
      <c r="AR174" s="1002"/>
      <c r="AS174" s="1002"/>
      <c r="AT174" s="1002"/>
      <c r="AU174" s="1002"/>
      <c r="AV174" s="1002"/>
      <c r="AW174" s="1002"/>
      <c r="AX174" s="1002"/>
      <c r="AY174" s="1002"/>
      <c r="AZ174" s="1002"/>
      <c r="BA174" s="1002"/>
      <c r="BB174" s="1002"/>
      <c r="BC174" s="1002"/>
      <c r="BD174" s="1002"/>
      <c r="BE174" s="205" t="s">
        <v>486</v>
      </c>
      <c r="BF174" s="205" t="s">
        <v>487</v>
      </c>
      <c r="BG174" s="204"/>
      <c r="BH174" s="204"/>
      <c r="BI174" s="204"/>
      <c r="BJ174" s="204"/>
      <c r="BK174" s="206"/>
    </row>
    <row r="175" spans="1:63" s="164" customFormat="1" ht="15.75" customHeight="1">
      <c r="A175" s="185"/>
      <c r="B175" s="193"/>
      <c r="C175" s="251" t="s">
        <v>416</v>
      </c>
      <c r="D175" s="183" t="s">
        <v>596</v>
      </c>
      <c r="E175" s="184"/>
      <c r="F175" s="184"/>
      <c r="G175" s="184"/>
      <c r="H175" s="184"/>
      <c r="I175" s="184"/>
      <c r="J175" s="184"/>
      <c r="K175" s="184"/>
      <c r="L175" s="193"/>
      <c r="M175" s="1003"/>
      <c r="N175" s="1002"/>
      <c r="O175" s="1002"/>
      <c r="P175" s="1002"/>
      <c r="Q175" s="1002"/>
      <c r="R175" s="1002"/>
      <c r="S175" s="1002"/>
      <c r="T175" s="1002"/>
      <c r="U175" s="1002"/>
      <c r="V175" s="1002"/>
      <c r="W175" s="1002"/>
      <c r="X175" s="1002"/>
      <c r="Y175" s="1002"/>
      <c r="Z175" s="1002"/>
      <c r="AA175" s="1002"/>
      <c r="AB175" s="1002"/>
      <c r="AC175" s="1002"/>
      <c r="AD175" s="1002"/>
      <c r="AE175" s="1002"/>
      <c r="AF175" s="1002"/>
      <c r="AG175" s="1002"/>
      <c r="AH175" s="1002"/>
      <c r="AI175" s="1002"/>
      <c r="AJ175" s="1002"/>
      <c r="AK175" s="1002"/>
      <c r="AL175" s="1002"/>
      <c r="AM175" s="1002"/>
      <c r="AN175" s="1002"/>
      <c r="AO175" s="1002"/>
      <c r="AP175" s="1002"/>
      <c r="AQ175" s="1002"/>
      <c r="AR175" s="1002"/>
      <c r="AS175" s="1002"/>
      <c r="AT175" s="1002"/>
      <c r="AU175" s="1002"/>
      <c r="AV175" s="1002"/>
      <c r="AW175" s="1002"/>
      <c r="AX175" s="1002"/>
      <c r="AY175" s="1002"/>
      <c r="AZ175" s="1002"/>
      <c r="BA175" s="1002"/>
      <c r="BB175" s="1002"/>
      <c r="BC175" s="1002"/>
      <c r="BD175" s="1002"/>
      <c r="BE175" s="204"/>
      <c r="BF175" s="205" t="s">
        <v>487</v>
      </c>
      <c r="BG175" s="204"/>
      <c r="BH175" s="204"/>
      <c r="BI175" s="204"/>
      <c r="BJ175" s="204"/>
      <c r="BK175" s="206"/>
    </row>
    <row r="176" spans="1:63" s="164" customFormat="1" ht="15.75" customHeight="1">
      <c r="A176" s="185"/>
      <c r="B176" s="193"/>
      <c r="C176" s="251" t="s">
        <v>416</v>
      </c>
      <c r="D176" s="183" t="s">
        <v>597</v>
      </c>
      <c r="E176" s="184"/>
      <c r="F176" s="184"/>
      <c r="G176" s="184"/>
      <c r="H176" s="184"/>
      <c r="I176" s="184"/>
      <c r="J176" s="184"/>
      <c r="K176" s="184"/>
      <c r="L176" s="193"/>
      <c r="M176" s="1003"/>
      <c r="N176" s="1002"/>
      <c r="O176" s="1002"/>
      <c r="P176" s="1002"/>
      <c r="Q176" s="1002"/>
      <c r="R176" s="1002"/>
      <c r="S176" s="1002"/>
      <c r="T176" s="1002"/>
      <c r="U176" s="1002"/>
      <c r="V176" s="1002"/>
      <c r="W176" s="1002"/>
      <c r="X176" s="1002"/>
      <c r="Y176" s="1002"/>
      <c r="Z176" s="1002"/>
      <c r="AA176" s="1002"/>
      <c r="AB176" s="1002"/>
      <c r="AC176" s="1002"/>
      <c r="AD176" s="1002"/>
      <c r="AE176" s="1002"/>
      <c r="AF176" s="1002"/>
      <c r="AG176" s="1002"/>
      <c r="AH176" s="1002"/>
      <c r="AI176" s="1002"/>
      <c r="AJ176" s="1002"/>
      <c r="AK176" s="1002"/>
      <c r="AL176" s="1002"/>
      <c r="AM176" s="1002"/>
      <c r="AN176" s="1002"/>
      <c r="AO176" s="1002"/>
      <c r="AP176" s="1002"/>
      <c r="AQ176" s="1002"/>
      <c r="AR176" s="1002"/>
      <c r="AS176" s="1002"/>
      <c r="AT176" s="1002"/>
      <c r="AU176" s="1002"/>
      <c r="AV176" s="1002"/>
      <c r="AW176" s="1002"/>
      <c r="AX176" s="1002"/>
      <c r="AY176" s="1002"/>
      <c r="AZ176" s="1002"/>
      <c r="BA176" s="1002"/>
      <c r="BB176" s="1002"/>
      <c r="BC176" s="1002"/>
      <c r="BD176" s="1002"/>
      <c r="BE176" s="204"/>
      <c r="BF176" s="205" t="s">
        <v>419</v>
      </c>
      <c r="BG176" s="204"/>
      <c r="BH176" s="204"/>
      <c r="BI176" s="204"/>
      <c r="BJ176" s="204"/>
      <c r="BK176" s="206"/>
    </row>
    <row r="177" spans="1:63" s="164" customFormat="1" ht="15.75" customHeight="1">
      <c r="A177" s="185"/>
      <c r="B177" s="193"/>
      <c r="C177" s="251" t="s">
        <v>416</v>
      </c>
      <c r="D177" s="183" t="s">
        <v>598</v>
      </c>
      <c r="E177" s="184"/>
      <c r="F177" s="184"/>
      <c r="G177" s="184"/>
      <c r="H177" s="184"/>
      <c r="I177" s="184"/>
      <c r="J177" s="184"/>
      <c r="K177" s="184"/>
      <c r="L177" s="193"/>
      <c r="M177" s="1003"/>
      <c r="N177" s="1002"/>
      <c r="O177" s="1002"/>
      <c r="P177" s="1002"/>
      <c r="Q177" s="1002"/>
      <c r="R177" s="1002"/>
      <c r="S177" s="1002"/>
      <c r="T177" s="1002"/>
      <c r="U177" s="1002"/>
      <c r="V177" s="1002"/>
      <c r="W177" s="1002"/>
      <c r="X177" s="1002"/>
      <c r="Y177" s="1002"/>
      <c r="Z177" s="1002"/>
      <c r="AA177" s="1002"/>
      <c r="AB177" s="1002"/>
      <c r="AC177" s="1002"/>
      <c r="AD177" s="1002"/>
      <c r="AE177" s="1002"/>
      <c r="AF177" s="1002"/>
      <c r="AG177" s="1002"/>
      <c r="AH177" s="1002"/>
      <c r="AI177" s="1002"/>
      <c r="AJ177" s="1002"/>
      <c r="AK177" s="1002"/>
      <c r="AL177" s="1002"/>
      <c r="AM177" s="1002"/>
      <c r="AN177" s="1002"/>
      <c r="AO177" s="1002"/>
      <c r="AP177" s="1002"/>
      <c r="AQ177" s="1002"/>
      <c r="AR177" s="1002"/>
      <c r="AS177" s="1002"/>
      <c r="AT177" s="1002"/>
      <c r="AU177" s="1002"/>
      <c r="AV177" s="1002"/>
      <c r="AW177" s="1002"/>
      <c r="AX177" s="1002"/>
      <c r="AY177" s="1002"/>
      <c r="AZ177" s="1002"/>
      <c r="BA177" s="1002"/>
      <c r="BB177" s="1002"/>
      <c r="BC177" s="1002"/>
      <c r="BD177" s="1002"/>
      <c r="BE177" s="205" t="s">
        <v>486</v>
      </c>
      <c r="BF177" s="205" t="s">
        <v>487</v>
      </c>
      <c r="BG177" s="204"/>
      <c r="BH177" s="204"/>
      <c r="BI177" s="204"/>
      <c r="BJ177" s="204"/>
      <c r="BK177" s="206"/>
    </row>
    <row r="178" spans="1:63" s="164" customFormat="1" ht="15.75" customHeight="1">
      <c r="A178" s="185"/>
      <c r="B178" s="193"/>
      <c r="C178" s="251" t="s">
        <v>416</v>
      </c>
      <c r="D178" s="183" t="s">
        <v>599</v>
      </c>
      <c r="E178" s="184"/>
      <c r="F178" s="184"/>
      <c r="G178" s="184"/>
      <c r="H178" s="184"/>
      <c r="I178" s="184"/>
      <c r="J178" s="184"/>
      <c r="K178" s="184"/>
      <c r="L178" s="193"/>
      <c r="M178" s="1003"/>
      <c r="N178" s="1002"/>
      <c r="O178" s="1002"/>
      <c r="P178" s="1002"/>
      <c r="Q178" s="1002"/>
      <c r="R178" s="1002"/>
      <c r="S178" s="1002"/>
      <c r="T178" s="1002"/>
      <c r="U178" s="1002"/>
      <c r="V178" s="1002"/>
      <c r="W178" s="1002"/>
      <c r="X178" s="1002"/>
      <c r="Y178" s="1002"/>
      <c r="Z178" s="1002"/>
      <c r="AA178" s="1002"/>
      <c r="AB178" s="1002"/>
      <c r="AC178" s="1002"/>
      <c r="AD178" s="1002"/>
      <c r="AE178" s="1002"/>
      <c r="AF178" s="1002"/>
      <c r="AG178" s="1002"/>
      <c r="AH178" s="1002"/>
      <c r="AI178" s="1002"/>
      <c r="AJ178" s="1002"/>
      <c r="AK178" s="1002"/>
      <c r="AL178" s="1002"/>
      <c r="AM178" s="1002"/>
      <c r="AN178" s="1002"/>
      <c r="AO178" s="1002"/>
      <c r="AP178" s="1002"/>
      <c r="AQ178" s="1002"/>
      <c r="AR178" s="1002"/>
      <c r="AS178" s="1002"/>
      <c r="AT178" s="1002"/>
      <c r="AU178" s="1002"/>
      <c r="AV178" s="1002"/>
      <c r="AW178" s="1002"/>
      <c r="AX178" s="1002"/>
      <c r="AY178" s="1002"/>
      <c r="AZ178" s="1002"/>
      <c r="BA178" s="1002"/>
      <c r="BB178" s="1002"/>
      <c r="BC178" s="1002"/>
      <c r="BD178" s="1002"/>
      <c r="BE178" s="204"/>
      <c r="BF178" s="205" t="s">
        <v>487</v>
      </c>
      <c r="BG178" s="204"/>
      <c r="BH178" s="204"/>
      <c r="BI178" s="204"/>
      <c r="BJ178" s="204"/>
      <c r="BK178" s="206"/>
    </row>
    <row r="179" spans="1:63" s="164" customFormat="1" ht="15.75" customHeight="1">
      <c r="A179" s="185"/>
      <c r="B179" s="193"/>
      <c r="C179" s="251" t="s">
        <v>416</v>
      </c>
      <c r="D179" s="183" t="s">
        <v>600</v>
      </c>
      <c r="E179" s="184"/>
      <c r="F179" s="184"/>
      <c r="G179" s="184"/>
      <c r="H179" s="184"/>
      <c r="I179" s="184"/>
      <c r="J179" s="184"/>
      <c r="K179" s="184"/>
      <c r="L179" s="193"/>
      <c r="M179" s="1003"/>
      <c r="N179" s="1002"/>
      <c r="O179" s="1002"/>
      <c r="P179" s="1002"/>
      <c r="Q179" s="1002"/>
      <c r="R179" s="1002"/>
      <c r="S179" s="1002"/>
      <c r="T179" s="1002"/>
      <c r="U179" s="1002"/>
      <c r="V179" s="1002"/>
      <c r="W179" s="1002"/>
      <c r="X179" s="1002"/>
      <c r="Y179" s="1002"/>
      <c r="Z179" s="1002"/>
      <c r="AA179" s="1002"/>
      <c r="AB179" s="1002"/>
      <c r="AC179" s="1002"/>
      <c r="AD179" s="1002"/>
      <c r="AE179" s="1002"/>
      <c r="AF179" s="1002"/>
      <c r="AG179" s="1002"/>
      <c r="AH179" s="1002"/>
      <c r="AI179" s="1002"/>
      <c r="AJ179" s="1002"/>
      <c r="AK179" s="1002"/>
      <c r="AL179" s="1002"/>
      <c r="AM179" s="1002"/>
      <c r="AN179" s="1002"/>
      <c r="AO179" s="1002"/>
      <c r="AP179" s="1002"/>
      <c r="AQ179" s="1002"/>
      <c r="AR179" s="1002"/>
      <c r="AS179" s="1002"/>
      <c r="AT179" s="1002"/>
      <c r="AU179" s="1002"/>
      <c r="AV179" s="1002"/>
      <c r="AW179" s="1002"/>
      <c r="AX179" s="1002"/>
      <c r="AY179" s="1002"/>
      <c r="AZ179" s="1002"/>
      <c r="BA179" s="1002"/>
      <c r="BB179" s="1002"/>
      <c r="BC179" s="1002"/>
      <c r="BD179" s="1002"/>
      <c r="BE179" s="204"/>
      <c r="BF179" s="205" t="s">
        <v>419</v>
      </c>
      <c r="BG179" s="204"/>
      <c r="BH179" s="204"/>
      <c r="BI179" s="204"/>
      <c r="BJ179" s="204"/>
      <c r="BK179" s="206"/>
    </row>
    <row r="180" spans="1:63" s="164" customFormat="1" ht="15.75" customHeight="1">
      <c r="A180" s="185"/>
      <c r="B180" s="193"/>
      <c r="C180" s="251" t="s">
        <v>416</v>
      </c>
      <c r="D180" s="183" t="s">
        <v>601</v>
      </c>
      <c r="E180" s="184"/>
      <c r="F180" s="184"/>
      <c r="G180" s="184"/>
      <c r="H180" s="184"/>
      <c r="I180" s="184"/>
      <c r="J180" s="184"/>
      <c r="K180" s="184"/>
      <c r="L180" s="193"/>
      <c r="M180" s="1003"/>
      <c r="N180" s="1002"/>
      <c r="O180" s="1002"/>
      <c r="P180" s="1002"/>
      <c r="Q180" s="1002"/>
      <c r="R180" s="1002"/>
      <c r="S180" s="1002"/>
      <c r="T180" s="1002"/>
      <c r="U180" s="1002"/>
      <c r="V180" s="1002"/>
      <c r="W180" s="1002"/>
      <c r="X180" s="1002"/>
      <c r="Y180" s="1002"/>
      <c r="Z180" s="1002"/>
      <c r="AA180" s="1002"/>
      <c r="AB180" s="1002"/>
      <c r="AC180" s="1002"/>
      <c r="AD180" s="1002"/>
      <c r="AE180" s="1002"/>
      <c r="AF180" s="1002"/>
      <c r="AG180" s="1002"/>
      <c r="AH180" s="1002"/>
      <c r="AI180" s="1002"/>
      <c r="AJ180" s="1002"/>
      <c r="AK180" s="1002"/>
      <c r="AL180" s="1002"/>
      <c r="AM180" s="1002"/>
      <c r="AN180" s="1002"/>
      <c r="AO180" s="1002"/>
      <c r="AP180" s="1002"/>
      <c r="AQ180" s="1002"/>
      <c r="AR180" s="1002"/>
      <c r="AS180" s="1002"/>
      <c r="AT180" s="1002"/>
      <c r="AU180" s="1002"/>
      <c r="AV180" s="1002"/>
      <c r="AW180" s="1002"/>
      <c r="AX180" s="1002"/>
      <c r="AY180" s="1002"/>
      <c r="AZ180" s="1002"/>
      <c r="BA180" s="1002"/>
      <c r="BB180" s="1002"/>
      <c r="BC180" s="1002"/>
      <c r="BD180" s="1002"/>
      <c r="BE180" s="205" t="s">
        <v>486</v>
      </c>
      <c r="BF180" s="205" t="s">
        <v>487</v>
      </c>
      <c r="BG180" s="204"/>
      <c r="BH180" s="204"/>
      <c r="BI180" s="204"/>
      <c r="BJ180" s="204"/>
      <c r="BK180" s="206"/>
    </row>
    <row r="181" spans="1:63" s="164" customFormat="1" ht="15.75" customHeight="1">
      <c r="A181" s="185"/>
      <c r="B181" s="193"/>
      <c r="C181" s="251" t="s">
        <v>416</v>
      </c>
      <c r="D181" s="183" t="s">
        <v>602</v>
      </c>
      <c r="E181" s="184"/>
      <c r="F181" s="184"/>
      <c r="G181" s="184"/>
      <c r="H181" s="184"/>
      <c r="I181" s="184"/>
      <c r="J181" s="184"/>
      <c r="K181" s="184"/>
      <c r="L181" s="193"/>
      <c r="M181" s="1003"/>
      <c r="N181" s="1002"/>
      <c r="O181" s="1002"/>
      <c r="P181" s="1002"/>
      <c r="Q181" s="1002"/>
      <c r="R181" s="1002"/>
      <c r="S181" s="1002"/>
      <c r="T181" s="1002"/>
      <c r="U181" s="1002"/>
      <c r="V181" s="1002"/>
      <c r="W181" s="1002"/>
      <c r="X181" s="1002"/>
      <c r="Y181" s="1002"/>
      <c r="Z181" s="1002"/>
      <c r="AA181" s="1002"/>
      <c r="AB181" s="1002"/>
      <c r="AC181" s="1002"/>
      <c r="AD181" s="1002"/>
      <c r="AE181" s="1002"/>
      <c r="AF181" s="1002"/>
      <c r="AG181" s="1002"/>
      <c r="AH181" s="1002"/>
      <c r="AI181" s="1002"/>
      <c r="AJ181" s="1002"/>
      <c r="AK181" s="1002"/>
      <c r="AL181" s="1002"/>
      <c r="AM181" s="1002"/>
      <c r="AN181" s="1002"/>
      <c r="AO181" s="1002"/>
      <c r="AP181" s="1002"/>
      <c r="AQ181" s="1002"/>
      <c r="AR181" s="1002"/>
      <c r="AS181" s="1002"/>
      <c r="AT181" s="1002"/>
      <c r="AU181" s="1002"/>
      <c r="AV181" s="1002"/>
      <c r="AW181" s="1002"/>
      <c r="AX181" s="1002"/>
      <c r="AY181" s="1002"/>
      <c r="AZ181" s="1002"/>
      <c r="BA181" s="1002"/>
      <c r="BB181" s="1002"/>
      <c r="BC181" s="1002"/>
      <c r="BD181" s="1002"/>
      <c r="BE181" s="204"/>
      <c r="BF181" s="205" t="s">
        <v>487</v>
      </c>
      <c r="BG181" s="204"/>
      <c r="BH181" s="204"/>
      <c r="BI181" s="204"/>
      <c r="BJ181" s="204"/>
      <c r="BK181" s="206"/>
    </row>
    <row r="182" spans="1:63" s="164" customFormat="1" ht="15.75" customHeight="1">
      <c r="A182" s="185"/>
      <c r="B182" s="193"/>
      <c r="C182" s="251" t="s">
        <v>416</v>
      </c>
      <c r="D182" s="183" t="s">
        <v>603</v>
      </c>
      <c r="E182" s="184"/>
      <c r="F182" s="184"/>
      <c r="G182" s="184"/>
      <c r="H182" s="184"/>
      <c r="I182" s="184"/>
      <c r="J182" s="184"/>
      <c r="K182" s="184"/>
      <c r="L182" s="193"/>
      <c r="M182" s="1003"/>
      <c r="N182" s="1002"/>
      <c r="O182" s="1002"/>
      <c r="P182" s="1002"/>
      <c r="Q182" s="1002"/>
      <c r="R182" s="1002"/>
      <c r="S182" s="1002"/>
      <c r="T182" s="1002"/>
      <c r="U182" s="1002"/>
      <c r="V182" s="1002"/>
      <c r="W182" s="1002"/>
      <c r="X182" s="1002"/>
      <c r="Y182" s="1002"/>
      <c r="Z182" s="1002"/>
      <c r="AA182" s="1002"/>
      <c r="AB182" s="1002"/>
      <c r="AC182" s="1002"/>
      <c r="AD182" s="1002"/>
      <c r="AE182" s="1002"/>
      <c r="AF182" s="1002"/>
      <c r="AG182" s="1002"/>
      <c r="AH182" s="1002"/>
      <c r="AI182" s="1002"/>
      <c r="AJ182" s="1002"/>
      <c r="AK182" s="1002"/>
      <c r="AL182" s="1002"/>
      <c r="AM182" s="1002"/>
      <c r="AN182" s="1002"/>
      <c r="AO182" s="1002"/>
      <c r="AP182" s="1002"/>
      <c r="AQ182" s="1002"/>
      <c r="AR182" s="1002"/>
      <c r="AS182" s="1002"/>
      <c r="AT182" s="1002"/>
      <c r="AU182" s="1002"/>
      <c r="AV182" s="1002"/>
      <c r="AW182" s="1002"/>
      <c r="AX182" s="1002"/>
      <c r="AY182" s="1002"/>
      <c r="AZ182" s="1002"/>
      <c r="BA182" s="1002"/>
      <c r="BB182" s="1002"/>
      <c r="BC182" s="1002"/>
      <c r="BD182" s="1002"/>
      <c r="BE182" s="204"/>
      <c r="BF182" s="205" t="s">
        <v>419</v>
      </c>
      <c r="BG182" s="204"/>
      <c r="BH182" s="204"/>
      <c r="BI182" s="204"/>
      <c r="BJ182" s="204"/>
      <c r="BK182" s="206"/>
    </row>
    <row r="183" spans="1:63" s="164" customFormat="1" ht="15.75" customHeight="1">
      <c r="A183" s="185"/>
      <c r="B183" s="193"/>
      <c r="C183" s="251" t="s">
        <v>416</v>
      </c>
      <c r="D183" s="183" t="s">
        <v>604</v>
      </c>
      <c r="E183" s="184"/>
      <c r="F183" s="184"/>
      <c r="G183" s="184"/>
      <c r="H183" s="184"/>
      <c r="I183" s="184"/>
      <c r="J183" s="184"/>
      <c r="K183" s="184"/>
      <c r="L183" s="193"/>
      <c r="M183" s="1003"/>
      <c r="N183" s="1002"/>
      <c r="O183" s="1002"/>
      <c r="P183" s="1002"/>
      <c r="Q183" s="1002"/>
      <c r="R183" s="1002"/>
      <c r="S183" s="1002"/>
      <c r="T183" s="1002"/>
      <c r="U183" s="1002"/>
      <c r="V183" s="1002"/>
      <c r="W183" s="1002"/>
      <c r="X183" s="1002"/>
      <c r="Y183" s="1002"/>
      <c r="Z183" s="1002"/>
      <c r="AA183" s="1002"/>
      <c r="AB183" s="1002"/>
      <c r="AC183" s="1002"/>
      <c r="AD183" s="1002"/>
      <c r="AE183" s="1002"/>
      <c r="AF183" s="1002"/>
      <c r="AG183" s="1002"/>
      <c r="AH183" s="1002"/>
      <c r="AI183" s="1002"/>
      <c r="AJ183" s="1002"/>
      <c r="AK183" s="1002"/>
      <c r="AL183" s="1002"/>
      <c r="AM183" s="1002"/>
      <c r="AN183" s="1002"/>
      <c r="AO183" s="1002"/>
      <c r="AP183" s="1002"/>
      <c r="AQ183" s="1002"/>
      <c r="AR183" s="1002"/>
      <c r="AS183" s="1002"/>
      <c r="AT183" s="1002"/>
      <c r="AU183" s="1002"/>
      <c r="AV183" s="1002"/>
      <c r="AW183" s="1002"/>
      <c r="AX183" s="1002"/>
      <c r="AY183" s="1002"/>
      <c r="AZ183" s="1002"/>
      <c r="BA183" s="1002"/>
      <c r="BB183" s="1002"/>
      <c r="BC183" s="1002"/>
      <c r="BD183" s="1002"/>
      <c r="BE183" s="205" t="s">
        <v>486</v>
      </c>
      <c r="BF183" s="205" t="s">
        <v>487</v>
      </c>
      <c r="BG183" s="204"/>
      <c r="BH183" s="204"/>
      <c r="BI183" s="204"/>
      <c r="BJ183" s="204"/>
      <c r="BK183" s="206"/>
    </row>
    <row r="184" spans="1:63" s="164" customFormat="1" ht="15.75" customHeight="1">
      <c r="A184" s="185"/>
      <c r="B184" s="193"/>
      <c r="C184" s="251" t="s">
        <v>416</v>
      </c>
      <c r="D184" s="183" t="s">
        <v>605</v>
      </c>
      <c r="E184" s="184"/>
      <c r="F184" s="184"/>
      <c r="G184" s="184"/>
      <c r="H184" s="184"/>
      <c r="I184" s="184"/>
      <c r="J184" s="184"/>
      <c r="K184" s="184"/>
      <c r="L184" s="193"/>
      <c r="M184" s="1003"/>
      <c r="N184" s="1002"/>
      <c r="O184" s="1002"/>
      <c r="P184" s="1002"/>
      <c r="Q184" s="1002"/>
      <c r="R184" s="1002"/>
      <c r="S184" s="1002"/>
      <c r="T184" s="1002"/>
      <c r="U184" s="1002"/>
      <c r="V184" s="1002"/>
      <c r="W184" s="1002"/>
      <c r="X184" s="1002"/>
      <c r="Y184" s="1002"/>
      <c r="Z184" s="1002"/>
      <c r="AA184" s="1002"/>
      <c r="AB184" s="1002"/>
      <c r="AC184" s="1002"/>
      <c r="AD184" s="1002"/>
      <c r="AE184" s="1002"/>
      <c r="AF184" s="1002"/>
      <c r="AG184" s="1002"/>
      <c r="AH184" s="1002"/>
      <c r="AI184" s="1002"/>
      <c r="AJ184" s="1002"/>
      <c r="AK184" s="1002"/>
      <c r="AL184" s="1002"/>
      <c r="AM184" s="1002"/>
      <c r="AN184" s="1002"/>
      <c r="AO184" s="1002"/>
      <c r="AP184" s="1002"/>
      <c r="AQ184" s="1002"/>
      <c r="AR184" s="1002"/>
      <c r="AS184" s="1002"/>
      <c r="AT184" s="1002"/>
      <c r="AU184" s="1002"/>
      <c r="AV184" s="1002"/>
      <c r="AW184" s="1002"/>
      <c r="AX184" s="1002"/>
      <c r="AY184" s="1002"/>
      <c r="AZ184" s="1002"/>
      <c r="BA184" s="1002"/>
      <c r="BB184" s="1002"/>
      <c r="BC184" s="1002"/>
      <c r="BD184" s="1002"/>
      <c r="BE184" s="204"/>
      <c r="BF184" s="205" t="s">
        <v>487</v>
      </c>
      <c r="BG184" s="204"/>
      <c r="BH184" s="204"/>
      <c r="BI184" s="204"/>
      <c r="BJ184" s="204"/>
      <c r="BK184" s="206"/>
    </row>
    <row r="185" spans="1:63" s="164" customFormat="1" ht="15.75" customHeight="1">
      <c r="A185" s="185"/>
      <c r="B185" s="193"/>
      <c r="C185" s="251" t="s">
        <v>416</v>
      </c>
      <c r="D185" s="183" t="s">
        <v>606</v>
      </c>
      <c r="E185" s="184"/>
      <c r="F185" s="184"/>
      <c r="G185" s="184"/>
      <c r="H185" s="184"/>
      <c r="I185" s="184"/>
      <c r="J185" s="184"/>
      <c r="K185" s="184"/>
      <c r="L185" s="193"/>
      <c r="M185" s="1003"/>
      <c r="N185" s="1002"/>
      <c r="O185" s="1002"/>
      <c r="P185" s="1002"/>
      <c r="Q185" s="1002"/>
      <c r="R185" s="1002"/>
      <c r="S185" s="1002"/>
      <c r="T185" s="1002"/>
      <c r="U185" s="1002"/>
      <c r="V185" s="1002"/>
      <c r="W185" s="1002"/>
      <c r="X185" s="1002"/>
      <c r="Y185" s="1002"/>
      <c r="Z185" s="1002"/>
      <c r="AA185" s="1002"/>
      <c r="AB185" s="1002"/>
      <c r="AC185" s="1002"/>
      <c r="AD185" s="1002"/>
      <c r="AE185" s="1002"/>
      <c r="AF185" s="1002"/>
      <c r="AG185" s="1002"/>
      <c r="AH185" s="1002"/>
      <c r="AI185" s="1002"/>
      <c r="AJ185" s="1002"/>
      <c r="AK185" s="1002"/>
      <c r="AL185" s="1002"/>
      <c r="AM185" s="1002"/>
      <c r="AN185" s="1002"/>
      <c r="AO185" s="1002"/>
      <c r="AP185" s="1002"/>
      <c r="AQ185" s="1002"/>
      <c r="AR185" s="1002"/>
      <c r="AS185" s="1002"/>
      <c r="AT185" s="1002"/>
      <c r="AU185" s="1002"/>
      <c r="AV185" s="1002"/>
      <c r="AW185" s="1002"/>
      <c r="AX185" s="1002"/>
      <c r="AY185" s="1002"/>
      <c r="AZ185" s="1002"/>
      <c r="BA185" s="1002"/>
      <c r="BB185" s="1002"/>
      <c r="BC185" s="1002"/>
      <c r="BD185" s="1002"/>
      <c r="BE185" s="204"/>
      <c r="BF185" s="205" t="s">
        <v>419</v>
      </c>
      <c r="BG185" s="204"/>
      <c r="BH185" s="204"/>
      <c r="BI185" s="204"/>
      <c r="BJ185" s="204"/>
      <c r="BK185" s="206"/>
    </row>
    <row r="186" spans="1:63" s="164" customFormat="1" ht="15.75" customHeight="1">
      <c r="A186" s="185"/>
      <c r="B186" s="193"/>
      <c r="C186" s="251" t="s">
        <v>416</v>
      </c>
      <c r="D186" s="183" t="s">
        <v>607</v>
      </c>
      <c r="E186" s="184"/>
      <c r="F186" s="184"/>
      <c r="G186" s="184"/>
      <c r="H186" s="184"/>
      <c r="I186" s="184"/>
      <c r="J186" s="184"/>
      <c r="K186" s="184"/>
      <c r="L186" s="193"/>
      <c r="M186" s="1003"/>
      <c r="N186" s="1002"/>
      <c r="O186" s="1002"/>
      <c r="P186" s="1002"/>
      <c r="Q186" s="1002"/>
      <c r="R186" s="1002"/>
      <c r="S186" s="1002"/>
      <c r="T186" s="1002"/>
      <c r="U186" s="1002"/>
      <c r="V186" s="1002"/>
      <c r="W186" s="1002"/>
      <c r="X186" s="1002"/>
      <c r="Y186" s="1002"/>
      <c r="Z186" s="1002"/>
      <c r="AA186" s="1002"/>
      <c r="AB186" s="1002"/>
      <c r="AC186" s="1002"/>
      <c r="AD186" s="1002"/>
      <c r="AE186" s="1002"/>
      <c r="AF186" s="1002"/>
      <c r="AG186" s="1002"/>
      <c r="AH186" s="1002"/>
      <c r="AI186" s="1002"/>
      <c r="AJ186" s="1002"/>
      <c r="AK186" s="1002"/>
      <c r="AL186" s="1002"/>
      <c r="AM186" s="1002"/>
      <c r="AN186" s="1002"/>
      <c r="AO186" s="1002"/>
      <c r="AP186" s="1002"/>
      <c r="AQ186" s="1002"/>
      <c r="AR186" s="1002"/>
      <c r="AS186" s="1002"/>
      <c r="AT186" s="1002"/>
      <c r="AU186" s="1002"/>
      <c r="AV186" s="1002"/>
      <c r="AW186" s="1002"/>
      <c r="AX186" s="1002"/>
      <c r="AY186" s="1002"/>
      <c r="AZ186" s="1002"/>
      <c r="BA186" s="1002"/>
      <c r="BB186" s="1002"/>
      <c r="BC186" s="1002"/>
      <c r="BD186" s="1002"/>
      <c r="BE186" s="205" t="s">
        <v>486</v>
      </c>
      <c r="BF186" s="205" t="s">
        <v>487</v>
      </c>
      <c r="BG186" s="204"/>
      <c r="BH186" s="204"/>
      <c r="BI186" s="204"/>
      <c r="BJ186" s="204"/>
      <c r="BK186" s="206"/>
    </row>
    <row r="187" spans="1:63" s="164" customFormat="1" ht="15.75" customHeight="1">
      <c r="A187" s="185"/>
      <c r="B187" s="193"/>
      <c r="C187" s="251" t="s">
        <v>416</v>
      </c>
      <c r="D187" s="183" t="s">
        <v>608</v>
      </c>
      <c r="E187" s="184"/>
      <c r="F187" s="184"/>
      <c r="G187" s="184"/>
      <c r="H187" s="184"/>
      <c r="I187" s="184"/>
      <c r="J187" s="184"/>
      <c r="K187" s="184"/>
      <c r="L187" s="193"/>
      <c r="M187" s="1003"/>
      <c r="N187" s="1002"/>
      <c r="O187" s="1002"/>
      <c r="P187" s="1002"/>
      <c r="Q187" s="1002"/>
      <c r="R187" s="1002"/>
      <c r="S187" s="1002"/>
      <c r="T187" s="1002"/>
      <c r="U187" s="1002"/>
      <c r="V187" s="1002"/>
      <c r="W187" s="1002"/>
      <c r="X187" s="1002"/>
      <c r="Y187" s="1002"/>
      <c r="Z187" s="1002"/>
      <c r="AA187" s="1002"/>
      <c r="AB187" s="1002"/>
      <c r="AC187" s="1002"/>
      <c r="AD187" s="1002"/>
      <c r="AE187" s="1002"/>
      <c r="AF187" s="1002"/>
      <c r="AG187" s="1002"/>
      <c r="AH187" s="1002"/>
      <c r="AI187" s="1002"/>
      <c r="AJ187" s="1002"/>
      <c r="AK187" s="1002"/>
      <c r="AL187" s="1002"/>
      <c r="AM187" s="1002"/>
      <c r="AN187" s="1002"/>
      <c r="AO187" s="1002"/>
      <c r="AP187" s="1002"/>
      <c r="AQ187" s="1002"/>
      <c r="AR187" s="1002"/>
      <c r="AS187" s="1002"/>
      <c r="AT187" s="1002"/>
      <c r="AU187" s="1002"/>
      <c r="AV187" s="1002"/>
      <c r="AW187" s="1002"/>
      <c r="AX187" s="1002"/>
      <c r="AY187" s="1002"/>
      <c r="AZ187" s="1002"/>
      <c r="BA187" s="1002"/>
      <c r="BB187" s="1002"/>
      <c r="BC187" s="1002"/>
      <c r="BD187" s="1002"/>
      <c r="BE187" s="204"/>
      <c r="BF187" s="205" t="s">
        <v>487</v>
      </c>
      <c r="BG187" s="204"/>
      <c r="BH187" s="204"/>
      <c r="BI187" s="204"/>
      <c r="BJ187" s="204"/>
      <c r="BK187" s="206"/>
    </row>
    <row r="188" spans="1:63" s="164" customFormat="1" ht="15.75" customHeight="1">
      <c r="A188" s="180"/>
      <c r="B188" s="192"/>
      <c r="C188" s="179"/>
      <c r="D188" s="181"/>
      <c r="E188" s="179"/>
      <c r="F188" s="179"/>
      <c r="G188" s="179"/>
      <c r="H188" s="179"/>
      <c r="I188" s="179"/>
      <c r="J188" s="179"/>
      <c r="K188" s="179"/>
      <c r="L188" s="192"/>
      <c r="M188" s="179"/>
      <c r="N188" s="179"/>
      <c r="O188" s="179"/>
      <c r="P188" s="179"/>
      <c r="Q188" s="179"/>
      <c r="R188" s="179"/>
      <c r="S188" s="179"/>
      <c r="T188" s="179"/>
      <c r="U188" s="179"/>
      <c r="V188" s="179"/>
      <c r="W188" s="179"/>
      <c r="X188" s="179"/>
      <c r="Y188" s="179"/>
      <c r="Z188" s="179"/>
      <c r="AA188" s="179"/>
      <c r="AB188" s="179"/>
      <c r="AC188" s="179"/>
      <c r="AD188" s="179"/>
      <c r="AE188" s="179"/>
      <c r="AF188" s="179"/>
      <c r="AG188" s="179"/>
      <c r="AH188" s="179"/>
      <c r="AI188" s="179"/>
      <c r="AJ188" s="179"/>
      <c r="AK188" s="179"/>
      <c r="AL188" s="179"/>
      <c r="AM188" s="179"/>
      <c r="AN188" s="179"/>
      <c r="AO188" s="179"/>
      <c r="AP188" s="179"/>
      <c r="AQ188" s="179"/>
      <c r="AR188" s="179"/>
      <c r="AS188" s="179"/>
      <c r="AT188" s="179"/>
      <c r="AU188" s="179"/>
      <c r="AV188" s="179"/>
      <c r="AW188" s="179"/>
      <c r="AX188" s="179"/>
      <c r="AY188" s="179"/>
      <c r="AZ188" s="179"/>
      <c r="BA188" s="179"/>
      <c r="BB188" s="179"/>
      <c r="BC188" s="179"/>
      <c r="BD188" s="179"/>
      <c r="BE188" s="201"/>
      <c r="BF188" s="201"/>
      <c r="BG188" s="201"/>
      <c r="BH188" s="201"/>
      <c r="BI188" s="201"/>
      <c r="BJ188" s="201"/>
      <c r="BK188" s="203"/>
    </row>
    <row r="189" spans="1:63" s="164" customFormat="1" ht="15.75" customHeight="1">
      <c r="A189" s="174"/>
      <c r="B189" s="190"/>
      <c r="C189" s="176"/>
      <c r="D189" s="175" t="s">
        <v>609</v>
      </c>
      <c r="E189" s="176"/>
      <c r="F189" s="176"/>
      <c r="G189" s="176"/>
      <c r="H189" s="176"/>
      <c r="I189" s="176"/>
      <c r="J189" s="176"/>
      <c r="K189" s="176"/>
      <c r="L189" s="190"/>
      <c r="M189" s="176"/>
      <c r="N189" s="191" t="s">
        <v>403</v>
      </c>
      <c r="O189" s="176"/>
      <c r="P189" s="176"/>
      <c r="Q189" s="176"/>
      <c r="R189" s="176"/>
      <c r="S189" s="176"/>
      <c r="T189" s="176"/>
      <c r="U189" s="176"/>
      <c r="V189" s="176"/>
      <c r="W189" s="176"/>
      <c r="X189" s="176"/>
      <c r="Y189" s="176"/>
      <c r="Z189" s="176"/>
      <c r="AA189" s="176"/>
      <c r="AB189" s="176"/>
      <c r="AC189" s="176"/>
      <c r="AD189" s="176"/>
      <c r="AE189" s="176"/>
      <c r="AF189" s="176"/>
      <c r="AG189" s="176"/>
      <c r="AH189" s="176"/>
      <c r="AI189" s="176"/>
      <c r="AJ189" s="176"/>
      <c r="AK189" s="176"/>
      <c r="AL189" s="176"/>
      <c r="AM189" s="176"/>
      <c r="AN189" s="176"/>
      <c r="AO189" s="176"/>
      <c r="AP189" s="176"/>
      <c r="AQ189" s="176"/>
      <c r="AR189" s="176"/>
      <c r="AS189" s="176"/>
      <c r="AT189" s="176"/>
      <c r="AU189" s="176"/>
      <c r="AV189" s="176"/>
      <c r="AW189" s="176"/>
      <c r="AX189" s="176"/>
      <c r="AY189" s="176"/>
      <c r="AZ189" s="176"/>
      <c r="BA189" s="176"/>
      <c r="BB189" s="176"/>
      <c r="BC189" s="176"/>
      <c r="BD189" s="176"/>
      <c r="BE189" s="199" t="s">
        <v>404</v>
      </c>
      <c r="BF189" s="199" t="s">
        <v>405</v>
      </c>
      <c r="BG189" s="199" t="s">
        <v>406</v>
      </c>
      <c r="BH189" s="199" t="s">
        <v>407</v>
      </c>
      <c r="BI189" s="199" t="s">
        <v>408</v>
      </c>
      <c r="BJ189" s="199" t="s">
        <v>409</v>
      </c>
      <c r="BK189" s="200" t="s">
        <v>410</v>
      </c>
    </row>
    <row r="190" spans="1:63" s="164" customFormat="1" ht="15.75" customHeight="1">
      <c r="A190" s="185"/>
      <c r="B190" s="193"/>
      <c r="C190" s="251" t="s">
        <v>416</v>
      </c>
      <c r="D190" s="183" t="s">
        <v>610</v>
      </c>
      <c r="E190" s="184"/>
      <c r="F190" s="184"/>
      <c r="G190" s="184"/>
      <c r="H190" s="184"/>
      <c r="I190" s="184"/>
      <c r="J190" s="184"/>
      <c r="K190" s="184"/>
      <c r="L190" s="193"/>
      <c r="M190" s="1003"/>
      <c r="N190" s="1002"/>
      <c r="O190" s="1002"/>
      <c r="P190" s="1002"/>
      <c r="Q190" s="1002"/>
      <c r="R190" s="1002"/>
      <c r="S190" s="1002"/>
      <c r="T190" s="1002"/>
      <c r="U190" s="1002"/>
      <c r="V190" s="1002"/>
      <c r="W190" s="1002"/>
      <c r="X190" s="1002"/>
      <c r="Y190" s="1002"/>
      <c r="Z190" s="1002"/>
      <c r="AA190" s="1002"/>
      <c r="AB190" s="1002"/>
      <c r="AC190" s="1002"/>
      <c r="AD190" s="1002"/>
      <c r="AE190" s="1002"/>
      <c r="AF190" s="1002"/>
      <c r="AG190" s="1002"/>
      <c r="AH190" s="1002"/>
      <c r="AI190" s="1002"/>
      <c r="AJ190" s="1002"/>
      <c r="AK190" s="1002"/>
      <c r="AL190" s="1002"/>
      <c r="AM190" s="1002"/>
      <c r="AN190" s="1002"/>
      <c r="AO190" s="1002"/>
      <c r="AP190" s="1002"/>
      <c r="AQ190" s="1002"/>
      <c r="AR190" s="1002"/>
      <c r="AS190" s="1002"/>
      <c r="AT190" s="1002"/>
      <c r="AU190" s="1002"/>
      <c r="AV190" s="1002"/>
      <c r="AW190" s="1002"/>
      <c r="AX190" s="1002"/>
      <c r="AY190" s="1002"/>
      <c r="AZ190" s="1002"/>
      <c r="BA190" s="1002"/>
      <c r="BB190" s="1002"/>
      <c r="BC190" s="1002"/>
      <c r="BD190" s="1002"/>
      <c r="BE190" s="204"/>
      <c r="BF190" s="205" t="s">
        <v>419</v>
      </c>
      <c r="BG190" s="204"/>
      <c r="BH190" s="204"/>
      <c r="BI190" s="204"/>
      <c r="BJ190" s="204"/>
      <c r="BK190" s="206"/>
    </row>
    <row r="191" spans="1:63" s="164" customFormat="1" ht="15.75" customHeight="1">
      <c r="A191" s="185"/>
      <c r="B191" s="193"/>
      <c r="C191" s="251" t="s">
        <v>416</v>
      </c>
      <c r="D191" s="183" t="s">
        <v>611</v>
      </c>
      <c r="E191" s="184"/>
      <c r="F191" s="184"/>
      <c r="G191" s="184"/>
      <c r="H191" s="184"/>
      <c r="I191" s="184"/>
      <c r="J191" s="184"/>
      <c r="K191" s="184"/>
      <c r="L191" s="193"/>
      <c r="M191" s="1003"/>
      <c r="N191" s="1002"/>
      <c r="O191" s="1002"/>
      <c r="P191" s="1002"/>
      <c r="Q191" s="1002"/>
      <c r="R191" s="1002"/>
      <c r="S191" s="1002"/>
      <c r="T191" s="1002"/>
      <c r="U191" s="1002"/>
      <c r="V191" s="1002"/>
      <c r="W191" s="1002"/>
      <c r="X191" s="1002"/>
      <c r="Y191" s="1002"/>
      <c r="Z191" s="1002"/>
      <c r="AA191" s="1002"/>
      <c r="AB191" s="1002"/>
      <c r="AC191" s="1002"/>
      <c r="AD191" s="1002"/>
      <c r="AE191" s="1002"/>
      <c r="AF191" s="1002"/>
      <c r="AG191" s="1002"/>
      <c r="AH191" s="1002"/>
      <c r="AI191" s="1002"/>
      <c r="AJ191" s="1002"/>
      <c r="AK191" s="1002"/>
      <c r="AL191" s="1002"/>
      <c r="AM191" s="1002"/>
      <c r="AN191" s="1002"/>
      <c r="AO191" s="1002"/>
      <c r="AP191" s="1002"/>
      <c r="AQ191" s="1002"/>
      <c r="AR191" s="1002"/>
      <c r="AS191" s="1002"/>
      <c r="AT191" s="1002"/>
      <c r="AU191" s="1002"/>
      <c r="AV191" s="1002"/>
      <c r="AW191" s="1002"/>
      <c r="AX191" s="1002"/>
      <c r="AY191" s="1002"/>
      <c r="AZ191" s="1002"/>
      <c r="BA191" s="1002"/>
      <c r="BB191" s="1002"/>
      <c r="BC191" s="1002"/>
      <c r="BD191" s="1002"/>
      <c r="BE191" s="205" t="s">
        <v>486</v>
      </c>
      <c r="BF191" s="205" t="s">
        <v>487</v>
      </c>
      <c r="BG191" s="204"/>
      <c r="BH191" s="204"/>
      <c r="BI191" s="204"/>
      <c r="BJ191" s="204"/>
      <c r="BK191" s="206"/>
    </row>
    <row r="192" spans="1:63" s="164" customFormat="1" ht="15.75" customHeight="1">
      <c r="A192" s="185"/>
      <c r="B192" s="193"/>
      <c r="C192" s="251" t="s">
        <v>416</v>
      </c>
      <c r="D192" s="183" t="s">
        <v>612</v>
      </c>
      <c r="E192" s="184"/>
      <c r="F192" s="184"/>
      <c r="G192" s="184"/>
      <c r="H192" s="184"/>
      <c r="I192" s="184"/>
      <c r="J192" s="184"/>
      <c r="K192" s="184"/>
      <c r="L192" s="193"/>
      <c r="M192" s="1003"/>
      <c r="N192" s="1002"/>
      <c r="O192" s="1002"/>
      <c r="P192" s="1002"/>
      <c r="Q192" s="1002"/>
      <c r="R192" s="1002"/>
      <c r="S192" s="1002"/>
      <c r="T192" s="1002"/>
      <c r="U192" s="1002"/>
      <c r="V192" s="1002"/>
      <c r="W192" s="1002"/>
      <c r="X192" s="1002"/>
      <c r="Y192" s="1002"/>
      <c r="Z192" s="1002"/>
      <c r="AA192" s="1002"/>
      <c r="AB192" s="1002"/>
      <c r="AC192" s="1002"/>
      <c r="AD192" s="1002"/>
      <c r="AE192" s="1002"/>
      <c r="AF192" s="1002"/>
      <c r="AG192" s="1002"/>
      <c r="AH192" s="1002"/>
      <c r="AI192" s="1002"/>
      <c r="AJ192" s="1002"/>
      <c r="AK192" s="1002"/>
      <c r="AL192" s="1002"/>
      <c r="AM192" s="1002"/>
      <c r="AN192" s="1002"/>
      <c r="AO192" s="1002"/>
      <c r="AP192" s="1002"/>
      <c r="AQ192" s="1002"/>
      <c r="AR192" s="1002"/>
      <c r="AS192" s="1002"/>
      <c r="AT192" s="1002"/>
      <c r="AU192" s="1002"/>
      <c r="AV192" s="1002"/>
      <c r="AW192" s="1002"/>
      <c r="AX192" s="1002"/>
      <c r="AY192" s="1002"/>
      <c r="AZ192" s="1002"/>
      <c r="BA192" s="1002"/>
      <c r="BB192" s="1002"/>
      <c r="BC192" s="1002"/>
      <c r="BD192" s="1002"/>
      <c r="BE192" s="204"/>
      <c r="BF192" s="205" t="s">
        <v>487</v>
      </c>
      <c r="BG192" s="204"/>
      <c r="BH192" s="204"/>
      <c r="BI192" s="204"/>
      <c r="BJ192" s="204"/>
      <c r="BK192" s="206"/>
    </row>
    <row r="193" spans="1:63" s="164" customFormat="1" ht="15.75" customHeight="1">
      <c r="A193" s="185"/>
      <c r="B193" s="193"/>
      <c r="C193" s="251" t="s">
        <v>416</v>
      </c>
      <c r="D193" s="183" t="s">
        <v>613</v>
      </c>
      <c r="E193" s="184"/>
      <c r="F193" s="184"/>
      <c r="G193" s="184"/>
      <c r="H193" s="184"/>
      <c r="I193" s="184"/>
      <c r="J193" s="184"/>
      <c r="K193" s="184"/>
      <c r="L193" s="193"/>
      <c r="M193" s="1003"/>
      <c r="N193" s="1002"/>
      <c r="O193" s="1002"/>
      <c r="P193" s="1002"/>
      <c r="Q193" s="1002"/>
      <c r="R193" s="1002"/>
      <c r="S193" s="1002"/>
      <c r="T193" s="1002"/>
      <c r="U193" s="1002"/>
      <c r="V193" s="1002"/>
      <c r="W193" s="1002"/>
      <c r="X193" s="1002"/>
      <c r="Y193" s="1002"/>
      <c r="Z193" s="1002"/>
      <c r="AA193" s="1002"/>
      <c r="AB193" s="1002"/>
      <c r="AC193" s="1002"/>
      <c r="AD193" s="1002"/>
      <c r="AE193" s="1002"/>
      <c r="AF193" s="1002"/>
      <c r="AG193" s="1002"/>
      <c r="AH193" s="1002"/>
      <c r="AI193" s="1002"/>
      <c r="AJ193" s="1002"/>
      <c r="AK193" s="1002"/>
      <c r="AL193" s="1002"/>
      <c r="AM193" s="1002"/>
      <c r="AN193" s="1002"/>
      <c r="AO193" s="1002"/>
      <c r="AP193" s="1002"/>
      <c r="AQ193" s="1002"/>
      <c r="AR193" s="1002"/>
      <c r="AS193" s="1002"/>
      <c r="AT193" s="1002"/>
      <c r="AU193" s="1002"/>
      <c r="AV193" s="1002"/>
      <c r="AW193" s="1002"/>
      <c r="AX193" s="1002"/>
      <c r="AY193" s="1002"/>
      <c r="AZ193" s="1002"/>
      <c r="BA193" s="1002"/>
      <c r="BB193" s="1002"/>
      <c r="BC193" s="1002"/>
      <c r="BD193" s="1002"/>
      <c r="BE193" s="204"/>
      <c r="BF193" s="205" t="s">
        <v>419</v>
      </c>
      <c r="BG193" s="204"/>
      <c r="BH193" s="204"/>
      <c r="BI193" s="204"/>
      <c r="BJ193" s="204"/>
      <c r="BK193" s="206"/>
    </row>
    <row r="194" spans="1:63" s="164" customFormat="1" ht="15.75" customHeight="1">
      <c r="A194" s="185"/>
      <c r="B194" s="193"/>
      <c r="C194" s="251" t="s">
        <v>416</v>
      </c>
      <c r="D194" s="183" t="s">
        <v>614</v>
      </c>
      <c r="E194" s="184"/>
      <c r="F194" s="184"/>
      <c r="G194" s="184"/>
      <c r="H194" s="184"/>
      <c r="I194" s="184"/>
      <c r="J194" s="184"/>
      <c r="K194" s="184"/>
      <c r="L194" s="193"/>
      <c r="M194" s="1003"/>
      <c r="N194" s="1002"/>
      <c r="O194" s="1002"/>
      <c r="P194" s="1002"/>
      <c r="Q194" s="1002"/>
      <c r="R194" s="1002"/>
      <c r="S194" s="1002"/>
      <c r="T194" s="1002"/>
      <c r="U194" s="1002"/>
      <c r="V194" s="1002"/>
      <c r="W194" s="1002"/>
      <c r="X194" s="1002"/>
      <c r="Y194" s="1002"/>
      <c r="Z194" s="1002"/>
      <c r="AA194" s="1002"/>
      <c r="AB194" s="1002"/>
      <c r="AC194" s="1002"/>
      <c r="AD194" s="1002"/>
      <c r="AE194" s="1002"/>
      <c r="AF194" s="1002"/>
      <c r="AG194" s="1002"/>
      <c r="AH194" s="1002"/>
      <c r="AI194" s="1002"/>
      <c r="AJ194" s="1002"/>
      <c r="AK194" s="1002"/>
      <c r="AL194" s="1002"/>
      <c r="AM194" s="1002"/>
      <c r="AN194" s="1002"/>
      <c r="AO194" s="1002"/>
      <c r="AP194" s="1002"/>
      <c r="AQ194" s="1002"/>
      <c r="AR194" s="1002"/>
      <c r="AS194" s="1002"/>
      <c r="AT194" s="1002"/>
      <c r="AU194" s="1002"/>
      <c r="AV194" s="1002"/>
      <c r="AW194" s="1002"/>
      <c r="AX194" s="1002"/>
      <c r="AY194" s="1002"/>
      <c r="AZ194" s="1002"/>
      <c r="BA194" s="1002"/>
      <c r="BB194" s="1002"/>
      <c r="BC194" s="1002"/>
      <c r="BD194" s="1002"/>
      <c r="BE194" s="205" t="s">
        <v>486</v>
      </c>
      <c r="BF194" s="205" t="s">
        <v>487</v>
      </c>
      <c r="BG194" s="204"/>
      <c r="BH194" s="204"/>
      <c r="BI194" s="204"/>
      <c r="BJ194" s="204"/>
      <c r="BK194" s="206"/>
    </row>
    <row r="195" spans="1:63" s="164" customFormat="1" ht="15.75" customHeight="1">
      <c r="A195" s="185"/>
      <c r="B195" s="193"/>
      <c r="C195" s="251" t="s">
        <v>416</v>
      </c>
      <c r="D195" s="183" t="s">
        <v>615</v>
      </c>
      <c r="E195" s="184"/>
      <c r="F195" s="184"/>
      <c r="G195" s="184"/>
      <c r="H195" s="184"/>
      <c r="I195" s="184"/>
      <c r="J195" s="184"/>
      <c r="K195" s="184"/>
      <c r="L195" s="193"/>
      <c r="M195" s="1003"/>
      <c r="N195" s="1002"/>
      <c r="O195" s="1002"/>
      <c r="P195" s="1002"/>
      <c r="Q195" s="1002"/>
      <c r="R195" s="1002"/>
      <c r="S195" s="1002"/>
      <c r="T195" s="1002"/>
      <c r="U195" s="1002"/>
      <c r="V195" s="1002"/>
      <c r="W195" s="1002"/>
      <c r="X195" s="1002"/>
      <c r="Y195" s="1002"/>
      <c r="Z195" s="1002"/>
      <c r="AA195" s="1002"/>
      <c r="AB195" s="1002"/>
      <c r="AC195" s="1002"/>
      <c r="AD195" s="1002"/>
      <c r="AE195" s="1002"/>
      <c r="AF195" s="1002"/>
      <c r="AG195" s="1002"/>
      <c r="AH195" s="1002"/>
      <c r="AI195" s="1002"/>
      <c r="AJ195" s="1002"/>
      <c r="AK195" s="1002"/>
      <c r="AL195" s="1002"/>
      <c r="AM195" s="1002"/>
      <c r="AN195" s="1002"/>
      <c r="AO195" s="1002"/>
      <c r="AP195" s="1002"/>
      <c r="AQ195" s="1002"/>
      <c r="AR195" s="1002"/>
      <c r="AS195" s="1002"/>
      <c r="AT195" s="1002"/>
      <c r="AU195" s="1002"/>
      <c r="AV195" s="1002"/>
      <c r="AW195" s="1002"/>
      <c r="AX195" s="1002"/>
      <c r="AY195" s="1002"/>
      <c r="AZ195" s="1002"/>
      <c r="BA195" s="1002"/>
      <c r="BB195" s="1002"/>
      <c r="BC195" s="1002"/>
      <c r="BD195" s="1002"/>
      <c r="BE195" s="204"/>
      <c r="BF195" s="205" t="s">
        <v>487</v>
      </c>
      <c r="BG195" s="204"/>
      <c r="BH195" s="204"/>
      <c r="BI195" s="204"/>
      <c r="BJ195" s="204"/>
      <c r="BK195" s="206"/>
    </row>
    <row r="196" spans="1:63" s="164" customFormat="1" ht="15.75" customHeight="1">
      <c r="A196" s="185"/>
      <c r="B196" s="193"/>
      <c r="C196" s="251" t="s">
        <v>416</v>
      </c>
      <c r="D196" s="183" t="s">
        <v>616</v>
      </c>
      <c r="E196" s="184"/>
      <c r="F196" s="184"/>
      <c r="G196" s="184"/>
      <c r="H196" s="184"/>
      <c r="I196" s="184"/>
      <c r="J196" s="184"/>
      <c r="K196" s="184"/>
      <c r="L196" s="193"/>
      <c r="M196" s="1003"/>
      <c r="N196" s="1002"/>
      <c r="O196" s="1002"/>
      <c r="P196" s="1002"/>
      <c r="Q196" s="1002"/>
      <c r="R196" s="1002"/>
      <c r="S196" s="1002"/>
      <c r="T196" s="1002"/>
      <c r="U196" s="1002"/>
      <c r="V196" s="1002"/>
      <c r="W196" s="1002"/>
      <c r="X196" s="1002"/>
      <c r="Y196" s="1002"/>
      <c r="Z196" s="1002"/>
      <c r="AA196" s="1002"/>
      <c r="AB196" s="1002"/>
      <c r="AC196" s="1002"/>
      <c r="AD196" s="1002"/>
      <c r="AE196" s="1002"/>
      <c r="AF196" s="1002"/>
      <c r="AG196" s="1002"/>
      <c r="AH196" s="1002"/>
      <c r="AI196" s="1002"/>
      <c r="AJ196" s="1002"/>
      <c r="AK196" s="1002"/>
      <c r="AL196" s="1002"/>
      <c r="AM196" s="1002"/>
      <c r="AN196" s="1002"/>
      <c r="AO196" s="1002"/>
      <c r="AP196" s="1002"/>
      <c r="AQ196" s="1002"/>
      <c r="AR196" s="1002"/>
      <c r="AS196" s="1002"/>
      <c r="AT196" s="1002"/>
      <c r="AU196" s="1002"/>
      <c r="AV196" s="1002"/>
      <c r="AW196" s="1002"/>
      <c r="AX196" s="1002"/>
      <c r="AY196" s="1002"/>
      <c r="AZ196" s="1002"/>
      <c r="BA196" s="1002"/>
      <c r="BB196" s="1002"/>
      <c r="BC196" s="1002"/>
      <c r="BD196" s="1002"/>
      <c r="BE196" s="204"/>
      <c r="BF196" s="205" t="s">
        <v>419</v>
      </c>
      <c r="BG196" s="204"/>
      <c r="BH196" s="204"/>
      <c r="BI196" s="204"/>
      <c r="BJ196" s="204"/>
      <c r="BK196" s="206"/>
    </row>
    <row r="197" spans="1:63" s="164" customFormat="1" ht="15.75" customHeight="1">
      <c r="A197" s="185"/>
      <c r="B197" s="193"/>
      <c r="C197" s="251" t="s">
        <v>416</v>
      </c>
      <c r="D197" s="183" t="s">
        <v>617</v>
      </c>
      <c r="E197" s="184"/>
      <c r="F197" s="184"/>
      <c r="G197" s="184"/>
      <c r="H197" s="184"/>
      <c r="I197" s="184"/>
      <c r="J197" s="184"/>
      <c r="K197" s="184"/>
      <c r="L197" s="193"/>
      <c r="M197" s="1003"/>
      <c r="N197" s="1002"/>
      <c r="O197" s="1002"/>
      <c r="P197" s="1002"/>
      <c r="Q197" s="1002"/>
      <c r="R197" s="1002"/>
      <c r="S197" s="1002"/>
      <c r="T197" s="1002"/>
      <c r="U197" s="1002"/>
      <c r="V197" s="1002"/>
      <c r="W197" s="1002"/>
      <c r="X197" s="1002"/>
      <c r="Y197" s="1002"/>
      <c r="Z197" s="1002"/>
      <c r="AA197" s="1002"/>
      <c r="AB197" s="1002"/>
      <c r="AC197" s="1002"/>
      <c r="AD197" s="1002"/>
      <c r="AE197" s="1002"/>
      <c r="AF197" s="1002"/>
      <c r="AG197" s="1002"/>
      <c r="AH197" s="1002"/>
      <c r="AI197" s="1002"/>
      <c r="AJ197" s="1002"/>
      <c r="AK197" s="1002"/>
      <c r="AL197" s="1002"/>
      <c r="AM197" s="1002"/>
      <c r="AN197" s="1002"/>
      <c r="AO197" s="1002"/>
      <c r="AP197" s="1002"/>
      <c r="AQ197" s="1002"/>
      <c r="AR197" s="1002"/>
      <c r="AS197" s="1002"/>
      <c r="AT197" s="1002"/>
      <c r="AU197" s="1002"/>
      <c r="AV197" s="1002"/>
      <c r="AW197" s="1002"/>
      <c r="AX197" s="1002"/>
      <c r="AY197" s="1002"/>
      <c r="AZ197" s="1002"/>
      <c r="BA197" s="1002"/>
      <c r="BB197" s="1002"/>
      <c r="BC197" s="1002"/>
      <c r="BD197" s="1002"/>
      <c r="BE197" s="205" t="s">
        <v>486</v>
      </c>
      <c r="BF197" s="205" t="s">
        <v>487</v>
      </c>
      <c r="BG197" s="204"/>
      <c r="BH197" s="204"/>
      <c r="BI197" s="204"/>
      <c r="BJ197" s="204"/>
      <c r="BK197" s="206"/>
    </row>
    <row r="198" spans="1:63" s="164" customFormat="1" ht="15.75" customHeight="1">
      <c r="A198" s="185"/>
      <c r="B198" s="193"/>
      <c r="C198" s="251" t="s">
        <v>416</v>
      </c>
      <c r="D198" s="183" t="s">
        <v>618</v>
      </c>
      <c r="E198" s="184"/>
      <c r="F198" s="184"/>
      <c r="G198" s="184"/>
      <c r="H198" s="184"/>
      <c r="I198" s="184"/>
      <c r="J198" s="184"/>
      <c r="K198" s="184"/>
      <c r="L198" s="193"/>
      <c r="M198" s="1003"/>
      <c r="N198" s="1002"/>
      <c r="O198" s="1002"/>
      <c r="P198" s="1002"/>
      <c r="Q198" s="1002"/>
      <c r="R198" s="1002"/>
      <c r="S198" s="1002"/>
      <c r="T198" s="1002"/>
      <c r="U198" s="1002"/>
      <c r="V198" s="1002"/>
      <c r="W198" s="1002"/>
      <c r="X198" s="1002"/>
      <c r="Y198" s="1002"/>
      <c r="Z198" s="1002"/>
      <c r="AA198" s="1002"/>
      <c r="AB198" s="1002"/>
      <c r="AC198" s="1002"/>
      <c r="AD198" s="1002"/>
      <c r="AE198" s="1002"/>
      <c r="AF198" s="1002"/>
      <c r="AG198" s="1002"/>
      <c r="AH198" s="1002"/>
      <c r="AI198" s="1002"/>
      <c r="AJ198" s="1002"/>
      <c r="AK198" s="1002"/>
      <c r="AL198" s="1002"/>
      <c r="AM198" s="1002"/>
      <c r="AN198" s="1002"/>
      <c r="AO198" s="1002"/>
      <c r="AP198" s="1002"/>
      <c r="AQ198" s="1002"/>
      <c r="AR198" s="1002"/>
      <c r="AS198" s="1002"/>
      <c r="AT198" s="1002"/>
      <c r="AU198" s="1002"/>
      <c r="AV198" s="1002"/>
      <c r="AW198" s="1002"/>
      <c r="AX198" s="1002"/>
      <c r="AY198" s="1002"/>
      <c r="AZ198" s="1002"/>
      <c r="BA198" s="1002"/>
      <c r="BB198" s="1002"/>
      <c r="BC198" s="1002"/>
      <c r="BD198" s="1002"/>
      <c r="BE198" s="204"/>
      <c r="BF198" s="205" t="s">
        <v>487</v>
      </c>
      <c r="BG198" s="204"/>
      <c r="BH198" s="204"/>
      <c r="BI198" s="204"/>
      <c r="BJ198" s="204"/>
      <c r="BK198" s="206"/>
    </row>
    <row r="199" spans="1:63" s="164" customFormat="1" ht="15.75" customHeight="1">
      <c r="A199" s="185"/>
      <c r="B199" s="193"/>
      <c r="C199" s="251" t="s">
        <v>416</v>
      </c>
      <c r="D199" s="183" t="s">
        <v>619</v>
      </c>
      <c r="E199" s="184"/>
      <c r="F199" s="184"/>
      <c r="G199" s="184"/>
      <c r="H199" s="184"/>
      <c r="I199" s="184"/>
      <c r="J199" s="184"/>
      <c r="K199" s="184"/>
      <c r="L199" s="193"/>
      <c r="M199" s="1003"/>
      <c r="N199" s="1002"/>
      <c r="O199" s="1002"/>
      <c r="P199" s="1002"/>
      <c r="Q199" s="1002"/>
      <c r="R199" s="1002"/>
      <c r="S199" s="1002"/>
      <c r="T199" s="1002"/>
      <c r="U199" s="1002"/>
      <c r="V199" s="1002"/>
      <c r="W199" s="1002"/>
      <c r="X199" s="1002"/>
      <c r="Y199" s="1002"/>
      <c r="Z199" s="1002"/>
      <c r="AA199" s="1002"/>
      <c r="AB199" s="1002"/>
      <c r="AC199" s="1002"/>
      <c r="AD199" s="1002"/>
      <c r="AE199" s="1002"/>
      <c r="AF199" s="1002"/>
      <c r="AG199" s="1002"/>
      <c r="AH199" s="1002"/>
      <c r="AI199" s="1002"/>
      <c r="AJ199" s="1002"/>
      <c r="AK199" s="1002"/>
      <c r="AL199" s="1002"/>
      <c r="AM199" s="1002"/>
      <c r="AN199" s="1002"/>
      <c r="AO199" s="1002"/>
      <c r="AP199" s="1002"/>
      <c r="AQ199" s="1002"/>
      <c r="AR199" s="1002"/>
      <c r="AS199" s="1002"/>
      <c r="AT199" s="1002"/>
      <c r="AU199" s="1002"/>
      <c r="AV199" s="1002"/>
      <c r="AW199" s="1002"/>
      <c r="AX199" s="1002"/>
      <c r="AY199" s="1002"/>
      <c r="AZ199" s="1002"/>
      <c r="BA199" s="1002"/>
      <c r="BB199" s="1002"/>
      <c r="BC199" s="1002"/>
      <c r="BD199" s="1002"/>
      <c r="BE199" s="204"/>
      <c r="BF199" s="205" t="s">
        <v>419</v>
      </c>
      <c r="BG199" s="204"/>
      <c r="BH199" s="204"/>
      <c r="BI199" s="204"/>
      <c r="BJ199" s="204"/>
      <c r="BK199" s="206"/>
    </row>
    <row r="200" spans="1:63" s="164" customFormat="1" ht="15.75" customHeight="1">
      <c r="A200" s="185"/>
      <c r="B200" s="193"/>
      <c r="C200" s="251" t="s">
        <v>416</v>
      </c>
      <c r="D200" s="183" t="s">
        <v>620</v>
      </c>
      <c r="E200" s="184"/>
      <c r="F200" s="184"/>
      <c r="G200" s="184"/>
      <c r="H200" s="184"/>
      <c r="I200" s="184"/>
      <c r="J200" s="184"/>
      <c r="K200" s="184"/>
      <c r="L200" s="193"/>
      <c r="M200" s="1003"/>
      <c r="N200" s="1002"/>
      <c r="O200" s="1002"/>
      <c r="P200" s="1002"/>
      <c r="Q200" s="1002"/>
      <c r="R200" s="1002"/>
      <c r="S200" s="1002"/>
      <c r="T200" s="1002"/>
      <c r="U200" s="1002"/>
      <c r="V200" s="1002"/>
      <c r="W200" s="1002"/>
      <c r="X200" s="1002"/>
      <c r="Y200" s="1002"/>
      <c r="Z200" s="1002"/>
      <c r="AA200" s="1002"/>
      <c r="AB200" s="1002"/>
      <c r="AC200" s="1002"/>
      <c r="AD200" s="1002"/>
      <c r="AE200" s="1002"/>
      <c r="AF200" s="1002"/>
      <c r="AG200" s="1002"/>
      <c r="AH200" s="1002"/>
      <c r="AI200" s="1002"/>
      <c r="AJ200" s="1002"/>
      <c r="AK200" s="1002"/>
      <c r="AL200" s="1002"/>
      <c r="AM200" s="1002"/>
      <c r="AN200" s="1002"/>
      <c r="AO200" s="1002"/>
      <c r="AP200" s="1002"/>
      <c r="AQ200" s="1002"/>
      <c r="AR200" s="1002"/>
      <c r="AS200" s="1002"/>
      <c r="AT200" s="1002"/>
      <c r="AU200" s="1002"/>
      <c r="AV200" s="1002"/>
      <c r="AW200" s="1002"/>
      <c r="AX200" s="1002"/>
      <c r="AY200" s="1002"/>
      <c r="AZ200" s="1002"/>
      <c r="BA200" s="1002"/>
      <c r="BB200" s="1002"/>
      <c r="BC200" s="1002"/>
      <c r="BD200" s="1002"/>
      <c r="BE200" s="205" t="s">
        <v>486</v>
      </c>
      <c r="BF200" s="205" t="s">
        <v>487</v>
      </c>
      <c r="BG200" s="204"/>
      <c r="BH200" s="204"/>
      <c r="BI200" s="204"/>
      <c r="BJ200" s="204"/>
      <c r="BK200" s="206"/>
    </row>
    <row r="201" spans="1:63" s="164" customFormat="1" ht="15.75" customHeight="1">
      <c r="A201" s="185"/>
      <c r="B201" s="193"/>
      <c r="C201" s="251" t="s">
        <v>416</v>
      </c>
      <c r="D201" s="183" t="s">
        <v>621</v>
      </c>
      <c r="E201" s="184"/>
      <c r="F201" s="184"/>
      <c r="G201" s="184"/>
      <c r="H201" s="184"/>
      <c r="I201" s="184"/>
      <c r="J201" s="184"/>
      <c r="K201" s="184"/>
      <c r="L201" s="193"/>
      <c r="M201" s="1003"/>
      <c r="N201" s="1002"/>
      <c r="O201" s="1002"/>
      <c r="P201" s="1002"/>
      <c r="Q201" s="1002"/>
      <c r="R201" s="1002"/>
      <c r="S201" s="1002"/>
      <c r="T201" s="1002"/>
      <c r="U201" s="1002"/>
      <c r="V201" s="1002"/>
      <c r="W201" s="1002"/>
      <c r="X201" s="1002"/>
      <c r="Y201" s="1002"/>
      <c r="Z201" s="1002"/>
      <c r="AA201" s="1002"/>
      <c r="AB201" s="1002"/>
      <c r="AC201" s="1002"/>
      <c r="AD201" s="1002"/>
      <c r="AE201" s="1002"/>
      <c r="AF201" s="1002"/>
      <c r="AG201" s="1002"/>
      <c r="AH201" s="1002"/>
      <c r="AI201" s="1002"/>
      <c r="AJ201" s="1002"/>
      <c r="AK201" s="1002"/>
      <c r="AL201" s="1002"/>
      <c r="AM201" s="1002"/>
      <c r="AN201" s="1002"/>
      <c r="AO201" s="1002"/>
      <c r="AP201" s="1002"/>
      <c r="AQ201" s="1002"/>
      <c r="AR201" s="1002"/>
      <c r="AS201" s="1002"/>
      <c r="AT201" s="1002"/>
      <c r="AU201" s="1002"/>
      <c r="AV201" s="1002"/>
      <c r="AW201" s="1002"/>
      <c r="AX201" s="1002"/>
      <c r="AY201" s="1002"/>
      <c r="AZ201" s="1002"/>
      <c r="BA201" s="1002"/>
      <c r="BB201" s="1002"/>
      <c r="BC201" s="1002"/>
      <c r="BD201" s="1002"/>
      <c r="BE201" s="204"/>
      <c r="BF201" s="205" t="s">
        <v>487</v>
      </c>
      <c r="BG201" s="204"/>
      <c r="BH201" s="204"/>
      <c r="BI201" s="204"/>
      <c r="BJ201" s="204"/>
      <c r="BK201" s="206"/>
    </row>
    <row r="202" spans="1:63" s="164" customFormat="1" ht="15.75" customHeight="1">
      <c r="A202" s="185"/>
      <c r="B202" s="193"/>
      <c r="C202" s="251" t="s">
        <v>416</v>
      </c>
      <c r="D202" s="183" t="s">
        <v>622</v>
      </c>
      <c r="E202" s="184"/>
      <c r="F202" s="184"/>
      <c r="G202" s="184"/>
      <c r="H202" s="184"/>
      <c r="I202" s="184"/>
      <c r="J202" s="184"/>
      <c r="K202" s="184"/>
      <c r="L202" s="193"/>
      <c r="M202" s="1003"/>
      <c r="N202" s="1002"/>
      <c r="O202" s="1002"/>
      <c r="P202" s="1002"/>
      <c r="Q202" s="1002"/>
      <c r="R202" s="1002"/>
      <c r="S202" s="1002"/>
      <c r="T202" s="1002"/>
      <c r="U202" s="1002"/>
      <c r="V202" s="1002"/>
      <c r="W202" s="1002"/>
      <c r="X202" s="1002"/>
      <c r="Y202" s="1002"/>
      <c r="Z202" s="1002"/>
      <c r="AA202" s="1002"/>
      <c r="AB202" s="1002"/>
      <c r="AC202" s="1002"/>
      <c r="AD202" s="1002"/>
      <c r="AE202" s="1002"/>
      <c r="AF202" s="1002"/>
      <c r="AG202" s="1002"/>
      <c r="AH202" s="1002"/>
      <c r="AI202" s="1002"/>
      <c r="AJ202" s="1002"/>
      <c r="AK202" s="1002"/>
      <c r="AL202" s="1002"/>
      <c r="AM202" s="1002"/>
      <c r="AN202" s="1002"/>
      <c r="AO202" s="1002"/>
      <c r="AP202" s="1002"/>
      <c r="AQ202" s="1002"/>
      <c r="AR202" s="1002"/>
      <c r="AS202" s="1002"/>
      <c r="AT202" s="1002"/>
      <c r="AU202" s="1002"/>
      <c r="AV202" s="1002"/>
      <c r="AW202" s="1002"/>
      <c r="AX202" s="1002"/>
      <c r="AY202" s="1002"/>
      <c r="AZ202" s="1002"/>
      <c r="BA202" s="1002"/>
      <c r="BB202" s="1002"/>
      <c r="BC202" s="1002"/>
      <c r="BD202" s="1002"/>
      <c r="BE202" s="204"/>
      <c r="BF202" s="205" t="s">
        <v>419</v>
      </c>
      <c r="BG202" s="204"/>
      <c r="BH202" s="204"/>
      <c r="BI202" s="204"/>
      <c r="BJ202" s="204"/>
      <c r="BK202" s="206"/>
    </row>
    <row r="203" spans="1:63" s="164" customFormat="1" ht="15.75" customHeight="1">
      <c r="A203" s="185"/>
      <c r="B203" s="193"/>
      <c r="C203" s="251" t="s">
        <v>416</v>
      </c>
      <c r="D203" s="183" t="s">
        <v>623</v>
      </c>
      <c r="E203" s="184"/>
      <c r="F203" s="184"/>
      <c r="G203" s="184"/>
      <c r="H203" s="184"/>
      <c r="I203" s="184"/>
      <c r="J203" s="184"/>
      <c r="K203" s="184"/>
      <c r="L203" s="193"/>
      <c r="M203" s="1003"/>
      <c r="N203" s="1002"/>
      <c r="O203" s="1002"/>
      <c r="P203" s="1002"/>
      <c r="Q203" s="1002"/>
      <c r="R203" s="1002"/>
      <c r="S203" s="1002"/>
      <c r="T203" s="1002"/>
      <c r="U203" s="1002"/>
      <c r="V203" s="1002"/>
      <c r="W203" s="1002"/>
      <c r="X203" s="1002"/>
      <c r="Y203" s="1002"/>
      <c r="Z203" s="1002"/>
      <c r="AA203" s="1002"/>
      <c r="AB203" s="1002"/>
      <c r="AC203" s="1002"/>
      <c r="AD203" s="1002"/>
      <c r="AE203" s="1002"/>
      <c r="AF203" s="1002"/>
      <c r="AG203" s="1002"/>
      <c r="AH203" s="1002"/>
      <c r="AI203" s="1002"/>
      <c r="AJ203" s="1002"/>
      <c r="AK203" s="1002"/>
      <c r="AL203" s="1002"/>
      <c r="AM203" s="1002"/>
      <c r="AN203" s="1002"/>
      <c r="AO203" s="1002"/>
      <c r="AP203" s="1002"/>
      <c r="AQ203" s="1002"/>
      <c r="AR203" s="1002"/>
      <c r="AS203" s="1002"/>
      <c r="AT203" s="1002"/>
      <c r="AU203" s="1002"/>
      <c r="AV203" s="1002"/>
      <c r="AW203" s="1002"/>
      <c r="AX203" s="1002"/>
      <c r="AY203" s="1002"/>
      <c r="AZ203" s="1002"/>
      <c r="BA203" s="1002"/>
      <c r="BB203" s="1002"/>
      <c r="BC203" s="1002"/>
      <c r="BD203" s="1002"/>
      <c r="BE203" s="205" t="s">
        <v>486</v>
      </c>
      <c r="BF203" s="205" t="s">
        <v>487</v>
      </c>
      <c r="BG203" s="204"/>
      <c r="BH203" s="204"/>
      <c r="BI203" s="204"/>
      <c r="BJ203" s="204"/>
      <c r="BK203" s="206"/>
    </row>
    <row r="204" spans="1:63" s="164" customFormat="1" ht="15.75" customHeight="1">
      <c r="A204" s="185"/>
      <c r="B204" s="193"/>
      <c r="C204" s="251" t="s">
        <v>416</v>
      </c>
      <c r="D204" s="183" t="s">
        <v>624</v>
      </c>
      <c r="E204" s="184"/>
      <c r="F204" s="184"/>
      <c r="G204" s="184"/>
      <c r="H204" s="184"/>
      <c r="I204" s="184"/>
      <c r="J204" s="184"/>
      <c r="K204" s="184"/>
      <c r="L204" s="193"/>
      <c r="M204" s="1003"/>
      <c r="N204" s="1002"/>
      <c r="O204" s="1002"/>
      <c r="P204" s="1002"/>
      <c r="Q204" s="1002"/>
      <c r="R204" s="1002"/>
      <c r="S204" s="1002"/>
      <c r="T204" s="1002"/>
      <c r="U204" s="1002"/>
      <c r="V204" s="1002"/>
      <c r="W204" s="1002"/>
      <c r="X204" s="1002"/>
      <c r="Y204" s="1002"/>
      <c r="Z204" s="1002"/>
      <c r="AA204" s="1002"/>
      <c r="AB204" s="1002"/>
      <c r="AC204" s="1002"/>
      <c r="AD204" s="1002"/>
      <c r="AE204" s="1002"/>
      <c r="AF204" s="1002"/>
      <c r="AG204" s="1002"/>
      <c r="AH204" s="1002"/>
      <c r="AI204" s="1002"/>
      <c r="AJ204" s="1002"/>
      <c r="AK204" s="1002"/>
      <c r="AL204" s="1002"/>
      <c r="AM204" s="1002"/>
      <c r="AN204" s="1002"/>
      <c r="AO204" s="1002"/>
      <c r="AP204" s="1002"/>
      <c r="AQ204" s="1002"/>
      <c r="AR204" s="1002"/>
      <c r="AS204" s="1002"/>
      <c r="AT204" s="1002"/>
      <c r="AU204" s="1002"/>
      <c r="AV204" s="1002"/>
      <c r="AW204" s="1002"/>
      <c r="AX204" s="1002"/>
      <c r="AY204" s="1002"/>
      <c r="AZ204" s="1002"/>
      <c r="BA204" s="1002"/>
      <c r="BB204" s="1002"/>
      <c r="BC204" s="1002"/>
      <c r="BD204" s="1002"/>
      <c r="BE204" s="204"/>
      <c r="BF204" s="205" t="s">
        <v>487</v>
      </c>
      <c r="BG204" s="204"/>
      <c r="BH204" s="204"/>
      <c r="BI204" s="204"/>
      <c r="BJ204" s="204"/>
      <c r="BK204" s="206"/>
    </row>
    <row r="205" spans="1:63" s="164" customFormat="1" ht="15.75" customHeight="1">
      <c r="A205" s="185"/>
      <c r="B205" s="193"/>
      <c r="C205" s="251" t="s">
        <v>416</v>
      </c>
      <c r="D205" s="183" t="s">
        <v>625</v>
      </c>
      <c r="E205" s="184"/>
      <c r="F205" s="184"/>
      <c r="G205" s="184"/>
      <c r="H205" s="184"/>
      <c r="I205" s="184"/>
      <c r="J205" s="184"/>
      <c r="K205" s="184"/>
      <c r="L205" s="193"/>
      <c r="M205" s="1003"/>
      <c r="N205" s="1002"/>
      <c r="O205" s="1002"/>
      <c r="P205" s="1002"/>
      <c r="Q205" s="1002"/>
      <c r="R205" s="1002"/>
      <c r="S205" s="1002"/>
      <c r="T205" s="1002"/>
      <c r="U205" s="1002"/>
      <c r="V205" s="1002"/>
      <c r="W205" s="1002"/>
      <c r="X205" s="1002"/>
      <c r="Y205" s="1002"/>
      <c r="Z205" s="1002"/>
      <c r="AA205" s="1002"/>
      <c r="AB205" s="1002"/>
      <c r="AC205" s="1002"/>
      <c r="AD205" s="1002"/>
      <c r="AE205" s="1002"/>
      <c r="AF205" s="1002"/>
      <c r="AG205" s="1002"/>
      <c r="AH205" s="1002"/>
      <c r="AI205" s="1002"/>
      <c r="AJ205" s="1002"/>
      <c r="AK205" s="1002"/>
      <c r="AL205" s="1002"/>
      <c r="AM205" s="1002"/>
      <c r="AN205" s="1002"/>
      <c r="AO205" s="1002"/>
      <c r="AP205" s="1002"/>
      <c r="AQ205" s="1002"/>
      <c r="AR205" s="1002"/>
      <c r="AS205" s="1002"/>
      <c r="AT205" s="1002"/>
      <c r="AU205" s="1002"/>
      <c r="AV205" s="1002"/>
      <c r="AW205" s="1002"/>
      <c r="AX205" s="1002"/>
      <c r="AY205" s="1002"/>
      <c r="AZ205" s="1002"/>
      <c r="BA205" s="1002"/>
      <c r="BB205" s="1002"/>
      <c r="BC205" s="1002"/>
      <c r="BD205" s="1002"/>
      <c r="BE205" s="204"/>
      <c r="BF205" s="205" t="s">
        <v>419</v>
      </c>
      <c r="BG205" s="204"/>
      <c r="BH205" s="204"/>
      <c r="BI205" s="204"/>
      <c r="BJ205" s="204"/>
      <c r="BK205" s="206"/>
    </row>
    <row r="206" spans="1:63" s="164" customFormat="1" ht="15.75" customHeight="1">
      <c r="A206" s="185"/>
      <c r="B206" s="193"/>
      <c r="C206" s="251" t="s">
        <v>416</v>
      </c>
      <c r="D206" s="183" t="s">
        <v>626</v>
      </c>
      <c r="E206" s="184"/>
      <c r="F206" s="184"/>
      <c r="G206" s="184"/>
      <c r="H206" s="184"/>
      <c r="I206" s="184"/>
      <c r="J206" s="184"/>
      <c r="K206" s="184"/>
      <c r="L206" s="193"/>
      <c r="M206" s="1003"/>
      <c r="N206" s="1002"/>
      <c r="O206" s="1002"/>
      <c r="P206" s="1002"/>
      <c r="Q206" s="1002"/>
      <c r="R206" s="1002"/>
      <c r="S206" s="1002"/>
      <c r="T206" s="1002"/>
      <c r="U206" s="1002"/>
      <c r="V206" s="1002"/>
      <c r="W206" s="1002"/>
      <c r="X206" s="1002"/>
      <c r="Y206" s="1002"/>
      <c r="Z206" s="1002"/>
      <c r="AA206" s="1002"/>
      <c r="AB206" s="1002"/>
      <c r="AC206" s="1002"/>
      <c r="AD206" s="1002"/>
      <c r="AE206" s="1002"/>
      <c r="AF206" s="1002"/>
      <c r="AG206" s="1002"/>
      <c r="AH206" s="1002"/>
      <c r="AI206" s="1002"/>
      <c r="AJ206" s="1002"/>
      <c r="AK206" s="1002"/>
      <c r="AL206" s="1002"/>
      <c r="AM206" s="1002"/>
      <c r="AN206" s="1002"/>
      <c r="AO206" s="1002"/>
      <c r="AP206" s="1002"/>
      <c r="AQ206" s="1002"/>
      <c r="AR206" s="1002"/>
      <c r="AS206" s="1002"/>
      <c r="AT206" s="1002"/>
      <c r="AU206" s="1002"/>
      <c r="AV206" s="1002"/>
      <c r="AW206" s="1002"/>
      <c r="AX206" s="1002"/>
      <c r="AY206" s="1002"/>
      <c r="AZ206" s="1002"/>
      <c r="BA206" s="1002"/>
      <c r="BB206" s="1002"/>
      <c r="BC206" s="1002"/>
      <c r="BD206" s="1002"/>
      <c r="BE206" s="205" t="s">
        <v>486</v>
      </c>
      <c r="BF206" s="205" t="s">
        <v>487</v>
      </c>
      <c r="BG206" s="204"/>
      <c r="BH206" s="204"/>
      <c r="BI206" s="204"/>
      <c r="BJ206" s="204"/>
      <c r="BK206" s="206"/>
    </row>
    <row r="207" spans="1:63" s="164" customFormat="1" ht="15.75" customHeight="1">
      <c r="A207" s="185"/>
      <c r="B207" s="193"/>
      <c r="C207" s="251" t="s">
        <v>416</v>
      </c>
      <c r="D207" s="183" t="s">
        <v>627</v>
      </c>
      <c r="E207" s="184"/>
      <c r="F207" s="184"/>
      <c r="G207" s="184"/>
      <c r="H207" s="184"/>
      <c r="I207" s="184"/>
      <c r="J207" s="184"/>
      <c r="K207" s="184"/>
      <c r="L207" s="193"/>
      <c r="M207" s="1003"/>
      <c r="N207" s="1002"/>
      <c r="O207" s="1002"/>
      <c r="P207" s="1002"/>
      <c r="Q207" s="1002"/>
      <c r="R207" s="1002"/>
      <c r="S207" s="1002"/>
      <c r="T207" s="1002"/>
      <c r="U207" s="1002"/>
      <c r="V207" s="1002"/>
      <c r="W207" s="1002"/>
      <c r="X207" s="1002"/>
      <c r="Y207" s="1002"/>
      <c r="Z207" s="1002"/>
      <c r="AA207" s="1002"/>
      <c r="AB207" s="1002"/>
      <c r="AC207" s="1002"/>
      <c r="AD207" s="1002"/>
      <c r="AE207" s="1002"/>
      <c r="AF207" s="1002"/>
      <c r="AG207" s="1002"/>
      <c r="AH207" s="1002"/>
      <c r="AI207" s="1002"/>
      <c r="AJ207" s="1002"/>
      <c r="AK207" s="1002"/>
      <c r="AL207" s="1002"/>
      <c r="AM207" s="1002"/>
      <c r="AN207" s="1002"/>
      <c r="AO207" s="1002"/>
      <c r="AP207" s="1002"/>
      <c r="AQ207" s="1002"/>
      <c r="AR207" s="1002"/>
      <c r="AS207" s="1002"/>
      <c r="AT207" s="1002"/>
      <c r="AU207" s="1002"/>
      <c r="AV207" s="1002"/>
      <c r="AW207" s="1002"/>
      <c r="AX207" s="1002"/>
      <c r="AY207" s="1002"/>
      <c r="AZ207" s="1002"/>
      <c r="BA207" s="1002"/>
      <c r="BB207" s="1002"/>
      <c r="BC207" s="1002"/>
      <c r="BD207" s="1002"/>
      <c r="BE207" s="204"/>
      <c r="BF207" s="205" t="s">
        <v>487</v>
      </c>
      <c r="BG207" s="204"/>
      <c r="BH207" s="204"/>
      <c r="BI207" s="204"/>
      <c r="BJ207" s="204"/>
      <c r="BK207" s="206"/>
    </row>
    <row r="208" spans="1:63" s="164" customFormat="1" ht="15.75" customHeight="1">
      <c r="A208" s="185"/>
      <c r="B208" s="193"/>
      <c r="C208" s="251" t="s">
        <v>416</v>
      </c>
      <c r="D208" s="183" t="s">
        <v>628</v>
      </c>
      <c r="E208" s="184"/>
      <c r="F208" s="184"/>
      <c r="G208" s="184"/>
      <c r="H208" s="184"/>
      <c r="I208" s="184"/>
      <c r="J208" s="184"/>
      <c r="K208" s="184"/>
      <c r="L208" s="193"/>
      <c r="M208" s="1003"/>
      <c r="N208" s="1002"/>
      <c r="O208" s="1002"/>
      <c r="P208" s="1002"/>
      <c r="Q208" s="1002"/>
      <c r="R208" s="1002"/>
      <c r="S208" s="1002"/>
      <c r="T208" s="1002"/>
      <c r="U208" s="1002"/>
      <c r="V208" s="1002"/>
      <c r="W208" s="1002"/>
      <c r="X208" s="1002"/>
      <c r="Y208" s="1002"/>
      <c r="Z208" s="1002"/>
      <c r="AA208" s="1002"/>
      <c r="AB208" s="1002"/>
      <c r="AC208" s="1002"/>
      <c r="AD208" s="1002"/>
      <c r="AE208" s="1002"/>
      <c r="AF208" s="1002"/>
      <c r="AG208" s="1002"/>
      <c r="AH208" s="1002"/>
      <c r="AI208" s="1002"/>
      <c r="AJ208" s="1002"/>
      <c r="AK208" s="1002"/>
      <c r="AL208" s="1002"/>
      <c r="AM208" s="1002"/>
      <c r="AN208" s="1002"/>
      <c r="AO208" s="1002"/>
      <c r="AP208" s="1002"/>
      <c r="AQ208" s="1002"/>
      <c r="AR208" s="1002"/>
      <c r="AS208" s="1002"/>
      <c r="AT208" s="1002"/>
      <c r="AU208" s="1002"/>
      <c r="AV208" s="1002"/>
      <c r="AW208" s="1002"/>
      <c r="AX208" s="1002"/>
      <c r="AY208" s="1002"/>
      <c r="AZ208" s="1002"/>
      <c r="BA208" s="1002"/>
      <c r="BB208" s="1002"/>
      <c r="BC208" s="1002"/>
      <c r="BD208" s="1002"/>
      <c r="BE208" s="204"/>
      <c r="BF208" s="205" t="s">
        <v>419</v>
      </c>
      <c r="BG208" s="204"/>
      <c r="BH208" s="204"/>
      <c r="BI208" s="204"/>
      <c r="BJ208" s="204"/>
      <c r="BK208" s="206"/>
    </row>
    <row r="209" spans="1:63" s="164" customFormat="1" ht="15.75" customHeight="1">
      <c r="A209" s="185"/>
      <c r="B209" s="193"/>
      <c r="C209" s="251" t="s">
        <v>416</v>
      </c>
      <c r="D209" s="183" t="s">
        <v>629</v>
      </c>
      <c r="E209" s="184"/>
      <c r="F209" s="184"/>
      <c r="G209" s="184"/>
      <c r="H209" s="184"/>
      <c r="I209" s="184"/>
      <c r="J209" s="184"/>
      <c r="K209" s="184"/>
      <c r="L209" s="193"/>
      <c r="M209" s="1003"/>
      <c r="N209" s="1002"/>
      <c r="O209" s="1002"/>
      <c r="P209" s="1002"/>
      <c r="Q209" s="1002"/>
      <c r="R209" s="1002"/>
      <c r="S209" s="1002"/>
      <c r="T209" s="1002"/>
      <c r="U209" s="1002"/>
      <c r="V209" s="1002"/>
      <c r="W209" s="1002"/>
      <c r="X209" s="1002"/>
      <c r="Y209" s="1002"/>
      <c r="Z209" s="1002"/>
      <c r="AA209" s="1002"/>
      <c r="AB209" s="1002"/>
      <c r="AC209" s="1002"/>
      <c r="AD209" s="1002"/>
      <c r="AE209" s="1002"/>
      <c r="AF209" s="1002"/>
      <c r="AG209" s="1002"/>
      <c r="AH209" s="1002"/>
      <c r="AI209" s="1002"/>
      <c r="AJ209" s="1002"/>
      <c r="AK209" s="1002"/>
      <c r="AL209" s="1002"/>
      <c r="AM209" s="1002"/>
      <c r="AN209" s="1002"/>
      <c r="AO209" s="1002"/>
      <c r="AP209" s="1002"/>
      <c r="AQ209" s="1002"/>
      <c r="AR209" s="1002"/>
      <c r="AS209" s="1002"/>
      <c r="AT209" s="1002"/>
      <c r="AU209" s="1002"/>
      <c r="AV209" s="1002"/>
      <c r="AW209" s="1002"/>
      <c r="AX209" s="1002"/>
      <c r="AY209" s="1002"/>
      <c r="AZ209" s="1002"/>
      <c r="BA209" s="1002"/>
      <c r="BB209" s="1002"/>
      <c r="BC209" s="1002"/>
      <c r="BD209" s="1002"/>
      <c r="BE209" s="205" t="s">
        <v>486</v>
      </c>
      <c r="BF209" s="205" t="s">
        <v>487</v>
      </c>
      <c r="BG209" s="204"/>
      <c r="BH209" s="204"/>
      <c r="BI209" s="204"/>
      <c r="BJ209" s="204"/>
      <c r="BK209" s="206"/>
    </row>
    <row r="210" spans="1:63" s="164" customFormat="1" ht="15.75" customHeight="1">
      <c r="A210" s="185"/>
      <c r="B210" s="193"/>
      <c r="C210" s="251" t="s">
        <v>416</v>
      </c>
      <c r="D210" s="183" t="s">
        <v>630</v>
      </c>
      <c r="E210" s="184"/>
      <c r="F210" s="184"/>
      <c r="G210" s="184"/>
      <c r="H210" s="184"/>
      <c r="I210" s="184"/>
      <c r="J210" s="184"/>
      <c r="K210" s="184"/>
      <c r="L210" s="193"/>
      <c r="M210" s="1003"/>
      <c r="N210" s="1002"/>
      <c r="O210" s="1002"/>
      <c r="P210" s="1002"/>
      <c r="Q210" s="1002"/>
      <c r="R210" s="1002"/>
      <c r="S210" s="1002"/>
      <c r="T210" s="1002"/>
      <c r="U210" s="1002"/>
      <c r="V210" s="1002"/>
      <c r="W210" s="1002"/>
      <c r="X210" s="1002"/>
      <c r="Y210" s="1002"/>
      <c r="Z210" s="1002"/>
      <c r="AA210" s="1002"/>
      <c r="AB210" s="1002"/>
      <c r="AC210" s="1002"/>
      <c r="AD210" s="1002"/>
      <c r="AE210" s="1002"/>
      <c r="AF210" s="1002"/>
      <c r="AG210" s="1002"/>
      <c r="AH210" s="1002"/>
      <c r="AI210" s="1002"/>
      <c r="AJ210" s="1002"/>
      <c r="AK210" s="1002"/>
      <c r="AL210" s="1002"/>
      <c r="AM210" s="1002"/>
      <c r="AN210" s="1002"/>
      <c r="AO210" s="1002"/>
      <c r="AP210" s="1002"/>
      <c r="AQ210" s="1002"/>
      <c r="AR210" s="1002"/>
      <c r="AS210" s="1002"/>
      <c r="AT210" s="1002"/>
      <c r="AU210" s="1002"/>
      <c r="AV210" s="1002"/>
      <c r="AW210" s="1002"/>
      <c r="AX210" s="1002"/>
      <c r="AY210" s="1002"/>
      <c r="AZ210" s="1002"/>
      <c r="BA210" s="1002"/>
      <c r="BB210" s="1002"/>
      <c r="BC210" s="1002"/>
      <c r="BD210" s="1002"/>
      <c r="BE210" s="204"/>
      <c r="BF210" s="205" t="s">
        <v>487</v>
      </c>
      <c r="BG210" s="204"/>
      <c r="BH210" s="204"/>
      <c r="BI210" s="204"/>
      <c r="BJ210" s="204"/>
      <c r="BK210" s="206"/>
    </row>
    <row r="211" spans="1:63" s="164" customFormat="1" ht="15.75" customHeight="1">
      <c r="A211" s="185"/>
      <c r="B211" s="193"/>
      <c r="C211" s="251" t="s">
        <v>416</v>
      </c>
      <c r="D211" s="183" t="s">
        <v>631</v>
      </c>
      <c r="E211" s="184"/>
      <c r="F211" s="184"/>
      <c r="G211" s="184"/>
      <c r="H211" s="184"/>
      <c r="I211" s="184"/>
      <c r="J211" s="184"/>
      <c r="K211" s="184"/>
      <c r="L211" s="193"/>
      <c r="M211" s="1003"/>
      <c r="N211" s="1002"/>
      <c r="O211" s="1002"/>
      <c r="P211" s="1002"/>
      <c r="Q211" s="1002"/>
      <c r="R211" s="1002"/>
      <c r="S211" s="1002"/>
      <c r="T211" s="1002"/>
      <c r="U211" s="1002"/>
      <c r="V211" s="1002"/>
      <c r="W211" s="1002"/>
      <c r="X211" s="1002"/>
      <c r="Y211" s="1002"/>
      <c r="Z211" s="1002"/>
      <c r="AA211" s="1002"/>
      <c r="AB211" s="1002"/>
      <c r="AC211" s="1002"/>
      <c r="AD211" s="1002"/>
      <c r="AE211" s="1002"/>
      <c r="AF211" s="1002"/>
      <c r="AG211" s="1002"/>
      <c r="AH211" s="1002"/>
      <c r="AI211" s="1002"/>
      <c r="AJ211" s="1002"/>
      <c r="AK211" s="1002"/>
      <c r="AL211" s="1002"/>
      <c r="AM211" s="1002"/>
      <c r="AN211" s="1002"/>
      <c r="AO211" s="1002"/>
      <c r="AP211" s="1002"/>
      <c r="AQ211" s="1002"/>
      <c r="AR211" s="1002"/>
      <c r="AS211" s="1002"/>
      <c r="AT211" s="1002"/>
      <c r="AU211" s="1002"/>
      <c r="AV211" s="1002"/>
      <c r="AW211" s="1002"/>
      <c r="AX211" s="1002"/>
      <c r="AY211" s="1002"/>
      <c r="AZ211" s="1002"/>
      <c r="BA211" s="1002"/>
      <c r="BB211" s="1002"/>
      <c r="BC211" s="1002"/>
      <c r="BD211" s="1002"/>
      <c r="BE211" s="204"/>
      <c r="BF211" s="205" t="s">
        <v>419</v>
      </c>
      <c r="BG211" s="204"/>
      <c r="BH211" s="204"/>
      <c r="BI211" s="204"/>
      <c r="BJ211" s="204"/>
      <c r="BK211" s="206"/>
    </row>
    <row r="212" spans="1:63" s="164" customFormat="1" ht="15.75" customHeight="1">
      <c r="A212" s="185"/>
      <c r="B212" s="193"/>
      <c r="C212" s="251" t="s">
        <v>416</v>
      </c>
      <c r="D212" s="183" t="s">
        <v>632</v>
      </c>
      <c r="E212" s="184"/>
      <c r="F212" s="184"/>
      <c r="G212" s="184"/>
      <c r="H212" s="184"/>
      <c r="I212" s="184"/>
      <c r="J212" s="184"/>
      <c r="K212" s="184"/>
      <c r="L212" s="193"/>
      <c r="M212" s="1003"/>
      <c r="N212" s="1002"/>
      <c r="O212" s="1002"/>
      <c r="P212" s="1002"/>
      <c r="Q212" s="1002"/>
      <c r="R212" s="1002"/>
      <c r="S212" s="1002"/>
      <c r="T212" s="1002"/>
      <c r="U212" s="1002"/>
      <c r="V212" s="1002"/>
      <c r="W212" s="1002"/>
      <c r="X212" s="1002"/>
      <c r="Y212" s="1002"/>
      <c r="Z212" s="1002"/>
      <c r="AA212" s="1002"/>
      <c r="AB212" s="1002"/>
      <c r="AC212" s="1002"/>
      <c r="AD212" s="1002"/>
      <c r="AE212" s="1002"/>
      <c r="AF212" s="1002"/>
      <c r="AG212" s="1002"/>
      <c r="AH212" s="1002"/>
      <c r="AI212" s="1002"/>
      <c r="AJ212" s="1002"/>
      <c r="AK212" s="1002"/>
      <c r="AL212" s="1002"/>
      <c r="AM212" s="1002"/>
      <c r="AN212" s="1002"/>
      <c r="AO212" s="1002"/>
      <c r="AP212" s="1002"/>
      <c r="AQ212" s="1002"/>
      <c r="AR212" s="1002"/>
      <c r="AS212" s="1002"/>
      <c r="AT212" s="1002"/>
      <c r="AU212" s="1002"/>
      <c r="AV212" s="1002"/>
      <c r="AW212" s="1002"/>
      <c r="AX212" s="1002"/>
      <c r="AY212" s="1002"/>
      <c r="AZ212" s="1002"/>
      <c r="BA212" s="1002"/>
      <c r="BB212" s="1002"/>
      <c r="BC212" s="1002"/>
      <c r="BD212" s="1002"/>
      <c r="BE212" s="205" t="s">
        <v>486</v>
      </c>
      <c r="BF212" s="205" t="s">
        <v>487</v>
      </c>
      <c r="BG212" s="204"/>
      <c r="BH212" s="204"/>
      <c r="BI212" s="204"/>
      <c r="BJ212" s="204"/>
      <c r="BK212" s="206"/>
    </row>
    <row r="213" spans="1:63" s="164" customFormat="1" ht="15.75" customHeight="1">
      <c r="A213" s="185"/>
      <c r="B213" s="193"/>
      <c r="C213" s="251" t="s">
        <v>416</v>
      </c>
      <c r="D213" s="183" t="s">
        <v>633</v>
      </c>
      <c r="E213" s="184"/>
      <c r="F213" s="184"/>
      <c r="G213" s="184"/>
      <c r="H213" s="184"/>
      <c r="I213" s="184"/>
      <c r="J213" s="184"/>
      <c r="K213" s="184"/>
      <c r="L213" s="193"/>
      <c r="M213" s="1003"/>
      <c r="N213" s="1002"/>
      <c r="O213" s="1002"/>
      <c r="P213" s="1002"/>
      <c r="Q213" s="1002"/>
      <c r="R213" s="1002"/>
      <c r="S213" s="1002"/>
      <c r="T213" s="1002"/>
      <c r="U213" s="1002"/>
      <c r="V213" s="1002"/>
      <c r="W213" s="1002"/>
      <c r="X213" s="1002"/>
      <c r="Y213" s="1002"/>
      <c r="Z213" s="1002"/>
      <c r="AA213" s="1002"/>
      <c r="AB213" s="1002"/>
      <c r="AC213" s="1002"/>
      <c r="AD213" s="1002"/>
      <c r="AE213" s="1002"/>
      <c r="AF213" s="1002"/>
      <c r="AG213" s="1002"/>
      <c r="AH213" s="1002"/>
      <c r="AI213" s="1002"/>
      <c r="AJ213" s="1002"/>
      <c r="AK213" s="1002"/>
      <c r="AL213" s="1002"/>
      <c r="AM213" s="1002"/>
      <c r="AN213" s="1002"/>
      <c r="AO213" s="1002"/>
      <c r="AP213" s="1002"/>
      <c r="AQ213" s="1002"/>
      <c r="AR213" s="1002"/>
      <c r="AS213" s="1002"/>
      <c r="AT213" s="1002"/>
      <c r="AU213" s="1002"/>
      <c r="AV213" s="1002"/>
      <c r="AW213" s="1002"/>
      <c r="AX213" s="1002"/>
      <c r="AY213" s="1002"/>
      <c r="AZ213" s="1002"/>
      <c r="BA213" s="1002"/>
      <c r="BB213" s="1002"/>
      <c r="BC213" s="1002"/>
      <c r="BD213" s="1002"/>
      <c r="BE213" s="204"/>
      <c r="BF213" s="205" t="s">
        <v>487</v>
      </c>
      <c r="BG213" s="204"/>
      <c r="BH213" s="204"/>
      <c r="BI213" s="204"/>
      <c r="BJ213" s="204"/>
      <c r="BK213" s="206"/>
    </row>
    <row r="214" spans="1:63" s="164" customFormat="1" ht="15.75" customHeight="1">
      <c r="A214" s="185"/>
      <c r="B214" s="193"/>
      <c r="C214" s="251" t="s">
        <v>416</v>
      </c>
      <c r="D214" s="183" t="s">
        <v>634</v>
      </c>
      <c r="E214" s="184"/>
      <c r="F214" s="184"/>
      <c r="G214" s="184"/>
      <c r="H214" s="184"/>
      <c r="I214" s="184"/>
      <c r="J214" s="184"/>
      <c r="K214" s="184"/>
      <c r="L214" s="193"/>
      <c r="M214" s="1003"/>
      <c r="N214" s="1002"/>
      <c r="O214" s="1002"/>
      <c r="P214" s="1002"/>
      <c r="Q214" s="1002"/>
      <c r="R214" s="1002"/>
      <c r="S214" s="1002"/>
      <c r="T214" s="1002"/>
      <c r="U214" s="1002"/>
      <c r="V214" s="1002"/>
      <c r="W214" s="1002"/>
      <c r="X214" s="1002"/>
      <c r="Y214" s="1002"/>
      <c r="Z214" s="1002"/>
      <c r="AA214" s="1002"/>
      <c r="AB214" s="1002"/>
      <c r="AC214" s="1002"/>
      <c r="AD214" s="1002"/>
      <c r="AE214" s="1002"/>
      <c r="AF214" s="1002"/>
      <c r="AG214" s="1002"/>
      <c r="AH214" s="1002"/>
      <c r="AI214" s="1002"/>
      <c r="AJ214" s="1002"/>
      <c r="AK214" s="1002"/>
      <c r="AL214" s="1002"/>
      <c r="AM214" s="1002"/>
      <c r="AN214" s="1002"/>
      <c r="AO214" s="1002"/>
      <c r="AP214" s="1002"/>
      <c r="AQ214" s="1002"/>
      <c r="AR214" s="1002"/>
      <c r="AS214" s="1002"/>
      <c r="AT214" s="1002"/>
      <c r="AU214" s="1002"/>
      <c r="AV214" s="1002"/>
      <c r="AW214" s="1002"/>
      <c r="AX214" s="1002"/>
      <c r="AY214" s="1002"/>
      <c r="AZ214" s="1002"/>
      <c r="BA214" s="1002"/>
      <c r="BB214" s="1002"/>
      <c r="BC214" s="1002"/>
      <c r="BD214" s="1002"/>
      <c r="BE214" s="204"/>
      <c r="BF214" s="205" t="s">
        <v>419</v>
      </c>
      <c r="BG214" s="204"/>
      <c r="BH214" s="204"/>
      <c r="BI214" s="204"/>
      <c r="BJ214" s="204"/>
      <c r="BK214" s="206"/>
    </row>
    <row r="215" spans="1:63" s="164" customFormat="1" ht="15.75" customHeight="1">
      <c r="A215" s="185"/>
      <c r="B215" s="193"/>
      <c r="C215" s="251" t="s">
        <v>416</v>
      </c>
      <c r="D215" s="183" t="s">
        <v>635</v>
      </c>
      <c r="E215" s="184"/>
      <c r="F215" s="184"/>
      <c r="G215" s="184"/>
      <c r="H215" s="184"/>
      <c r="I215" s="184"/>
      <c r="J215" s="184"/>
      <c r="K215" s="184"/>
      <c r="L215" s="193"/>
      <c r="M215" s="1003"/>
      <c r="N215" s="1002"/>
      <c r="O215" s="1002"/>
      <c r="P215" s="1002"/>
      <c r="Q215" s="1002"/>
      <c r="R215" s="1002"/>
      <c r="S215" s="1002"/>
      <c r="T215" s="1002"/>
      <c r="U215" s="1002"/>
      <c r="V215" s="1002"/>
      <c r="W215" s="1002"/>
      <c r="X215" s="1002"/>
      <c r="Y215" s="1002"/>
      <c r="Z215" s="1002"/>
      <c r="AA215" s="1002"/>
      <c r="AB215" s="1002"/>
      <c r="AC215" s="1002"/>
      <c r="AD215" s="1002"/>
      <c r="AE215" s="1002"/>
      <c r="AF215" s="1002"/>
      <c r="AG215" s="1002"/>
      <c r="AH215" s="1002"/>
      <c r="AI215" s="1002"/>
      <c r="AJ215" s="1002"/>
      <c r="AK215" s="1002"/>
      <c r="AL215" s="1002"/>
      <c r="AM215" s="1002"/>
      <c r="AN215" s="1002"/>
      <c r="AO215" s="1002"/>
      <c r="AP215" s="1002"/>
      <c r="AQ215" s="1002"/>
      <c r="AR215" s="1002"/>
      <c r="AS215" s="1002"/>
      <c r="AT215" s="1002"/>
      <c r="AU215" s="1002"/>
      <c r="AV215" s="1002"/>
      <c r="AW215" s="1002"/>
      <c r="AX215" s="1002"/>
      <c r="AY215" s="1002"/>
      <c r="AZ215" s="1002"/>
      <c r="BA215" s="1002"/>
      <c r="BB215" s="1002"/>
      <c r="BC215" s="1002"/>
      <c r="BD215" s="1002"/>
      <c r="BE215" s="205" t="s">
        <v>486</v>
      </c>
      <c r="BF215" s="205" t="s">
        <v>487</v>
      </c>
      <c r="BG215" s="204"/>
      <c r="BH215" s="204"/>
      <c r="BI215" s="204"/>
      <c r="BJ215" s="204"/>
      <c r="BK215" s="206"/>
    </row>
    <row r="216" spans="1:63" s="164" customFormat="1" ht="15.75" customHeight="1">
      <c r="A216" s="185"/>
      <c r="B216" s="193"/>
      <c r="C216" s="251" t="s">
        <v>416</v>
      </c>
      <c r="D216" s="183" t="s">
        <v>636</v>
      </c>
      <c r="E216" s="184"/>
      <c r="F216" s="184"/>
      <c r="G216" s="184"/>
      <c r="H216" s="184"/>
      <c r="I216" s="184"/>
      <c r="J216" s="184"/>
      <c r="K216" s="184"/>
      <c r="L216" s="193"/>
      <c r="M216" s="1003"/>
      <c r="N216" s="1002"/>
      <c r="O216" s="1002"/>
      <c r="P216" s="1002"/>
      <c r="Q216" s="1002"/>
      <c r="R216" s="1002"/>
      <c r="S216" s="1002"/>
      <c r="T216" s="1002"/>
      <c r="U216" s="1002"/>
      <c r="V216" s="1002"/>
      <c r="W216" s="1002"/>
      <c r="X216" s="1002"/>
      <c r="Y216" s="1002"/>
      <c r="Z216" s="1002"/>
      <c r="AA216" s="1002"/>
      <c r="AB216" s="1002"/>
      <c r="AC216" s="1002"/>
      <c r="AD216" s="1002"/>
      <c r="AE216" s="1002"/>
      <c r="AF216" s="1002"/>
      <c r="AG216" s="1002"/>
      <c r="AH216" s="1002"/>
      <c r="AI216" s="1002"/>
      <c r="AJ216" s="1002"/>
      <c r="AK216" s="1002"/>
      <c r="AL216" s="1002"/>
      <c r="AM216" s="1002"/>
      <c r="AN216" s="1002"/>
      <c r="AO216" s="1002"/>
      <c r="AP216" s="1002"/>
      <c r="AQ216" s="1002"/>
      <c r="AR216" s="1002"/>
      <c r="AS216" s="1002"/>
      <c r="AT216" s="1002"/>
      <c r="AU216" s="1002"/>
      <c r="AV216" s="1002"/>
      <c r="AW216" s="1002"/>
      <c r="AX216" s="1002"/>
      <c r="AY216" s="1002"/>
      <c r="AZ216" s="1002"/>
      <c r="BA216" s="1002"/>
      <c r="BB216" s="1002"/>
      <c r="BC216" s="1002"/>
      <c r="BD216" s="1002"/>
      <c r="BE216" s="204"/>
      <c r="BF216" s="205" t="s">
        <v>487</v>
      </c>
      <c r="BG216" s="204"/>
      <c r="BH216" s="204"/>
      <c r="BI216" s="204"/>
      <c r="BJ216" s="204"/>
      <c r="BK216" s="206"/>
    </row>
    <row r="217" spans="1:63" s="164" customFormat="1" ht="15.75" customHeight="1">
      <c r="A217" s="185"/>
      <c r="B217" s="193"/>
      <c r="C217" s="251" t="s">
        <v>416</v>
      </c>
      <c r="D217" s="183" t="s">
        <v>637</v>
      </c>
      <c r="E217" s="184"/>
      <c r="F217" s="184"/>
      <c r="G217" s="184"/>
      <c r="H217" s="184"/>
      <c r="I217" s="184"/>
      <c r="J217" s="184"/>
      <c r="K217" s="184"/>
      <c r="L217" s="193"/>
      <c r="M217" s="1003"/>
      <c r="N217" s="1002"/>
      <c r="O217" s="1002"/>
      <c r="P217" s="1002"/>
      <c r="Q217" s="1002"/>
      <c r="R217" s="1002"/>
      <c r="S217" s="1002"/>
      <c r="T217" s="1002"/>
      <c r="U217" s="1002"/>
      <c r="V217" s="1002"/>
      <c r="W217" s="1002"/>
      <c r="X217" s="1002"/>
      <c r="Y217" s="1002"/>
      <c r="Z217" s="1002"/>
      <c r="AA217" s="1002"/>
      <c r="AB217" s="1002"/>
      <c r="AC217" s="1002"/>
      <c r="AD217" s="1002"/>
      <c r="AE217" s="1002"/>
      <c r="AF217" s="1002"/>
      <c r="AG217" s="1002"/>
      <c r="AH217" s="1002"/>
      <c r="AI217" s="1002"/>
      <c r="AJ217" s="1002"/>
      <c r="AK217" s="1002"/>
      <c r="AL217" s="1002"/>
      <c r="AM217" s="1002"/>
      <c r="AN217" s="1002"/>
      <c r="AO217" s="1002"/>
      <c r="AP217" s="1002"/>
      <c r="AQ217" s="1002"/>
      <c r="AR217" s="1002"/>
      <c r="AS217" s="1002"/>
      <c r="AT217" s="1002"/>
      <c r="AU217" s="1002"/>
      <c r="AV217" s="1002"/>
      <c r="AW217" s="1002"/>
      <c r="AX217" s="1002"/>
      <c r="AY217" s="1002"/>
      <c r="AZ217" s="1002"/>
      <c r="BA217" s="1002"/>
      <c r="BB217" s="1002"/>
      <c r="BC217" s="1002"/>
      <c r="BD217" s="1002"/>
      <c r="BE217" s="204"/>
      <c r="BF217" s="205" t="s">
        <v>419</v>
      </c>
      <c r="BG217" s="204"/>
      <c r="BH217" s="204"/>
      <c r="BI217" s="204"/>
      <c r="BJ217" s="204"/>
      <c r="BK217" s="206"/>
    </row>
    <row r="218" spans="1:63" s="164" customFormat="1" ht="15.75" customHeight="1">
      <c r="A218" s="185"/>
      <c r="B218" s="193"/>
      <c r="C218" s="251" t="s">
        <v>416</v>
      </c>
      <c r="D218" s="183" t="s">
        <v>638</v>
      </c>
      <c r="E218" s="184"/>
      <c r="F218" s="184"/>
      <c r="G218" s="184"/>
      <c r="H218" s="184"/>
      <c r="I218" s="184"/>
      <c r="J218" s="184"/>
      <c r="K218" s="184"/>
      <c r="L218" s="193"/>
      <c r="M218" s="1003"/>
      <c r="N218" s="1002"/>
      <c r="O218" s="1002"/>
      <c r="P218" s="1002"/>
      <c r="Q218" s="1002"/>
      <c r="R218" s="1002"/>
      <c r="S218" s="1002"/>
      <c r="T218" s="1002"/>
      <c r="U218" s="1002"/>
      <c r="V218" s="1002"/>
      <c r="W218" s="1002"/>
      <c r="X218" s="1002"/>
      <c r="Y218" s="1002"/>
      <c r="Z218" s="1002"/>
      <c r="AA218" s="1002"/>
      <c r="AB218" s="1002"/>
      <c r="AC218" s="1002"/>
      <c r="AD218" s="1002"/>
      <c r="AE218" s="1002"/>
      <c r="AF218" s="1002"/>
      <c r="AG218" s="1002"/>
      <c r="AH218" s="1002"/>
      <c r="AI218" s="1002"/>
      <c r="AJ218" s="1002"/>
      <c r="AK218" s="1002"/>
      <c r="AL218" s="1002"/>
      <c r="AM218" s="1002"/>
      <c r="AN218" s="1002"/>
      <c r="AO218" s="1002"/>
      <c r="AP218" s="1002"/>
      <c r="AQ218" s="1002"/>
      <c r="AR218" s="1002"/>
      <c r="AS218" s="1002"/>
      <c r="AT218" s="1002"/>
      <c r="AU218" s="1002"/>
      <c r="AV218" s="1002"/>
      <c r="AW218" s="1002"/>
      <c r="AX218" s="1002"/>
      <c r="AY218" s="1002"/>
      <c r="AZ218" s="1002"/>
      <c r="BA218" s="1002"/>
      <c r="BB218" s="1002"/>
      <c r="BC218" s="1002"/>
      <c r="BD218" s="1002"/>
      <c r="BE218" s="205" t="s">
        <v>486</v>
      </c>
      <c r="BF218" s="205" t="s">
        <v>487</v>
      </c>
      <c r="BG218" s="204"/>
      <c r="BH218" s="204"/>
      <c r="BI218" s="204"/>
      <c r="BJ218" s="204"/>
      <c r="BK218" s="206"/>
    </row>
    <row r="219" spans="1:63" s="164" customFormat="1" ht="15.75" customHeight="1">
      <c r="A219" s="185"/>
      <c r="B219" s="193"/>
      <c r="C219" s="251" t="s">
        <v>416</v>
      </c>
      <c r="D219" s="183" t="s">
        <v>639</v>
      </c>
      <c r="E219" s="184"/>
      <c r="F219" s="184"/>
      <c r="G219" s="184"/>
      <c r="H219" s="184"/>
      <c r="I219" s="184"/>
      <c r="J219" s="184"/>
      <c r="K219" s="184"/>
      <c r="L219" s="193"/>
      <c r="M219" s="1003"/>
      <c r="N219" s="1002"/>
      <c r="O219" s="1002"/>
      <c r="P219" s="1002"/>
      <c r="Q219" s="1002"/>
      <c r="R219" s="1002"/>
      <c r="S219" s="1002"/>
      <c r="T219" s="1002"/>
      <c r="U219" s="1002"/>
      <c r="V219" s="1002"/>
      <c r="W219" s="1002"/>
      <c r="X219" s="1002"/>
      <c r="Y219" s="1002"/>
      <c r="Z219" s="1002"/>
      <c r="AA219" s="1002"/>
      <c r="AB219" s="1002"/>
      <c r="AC219" s="1002"/>
      <c r="AD219" s="1002"/>
      <c r="AE219" s="1002"/>
      <c r="AF219" s="1002"/>
      <c r="AG219" s="1002"/>
      <c r="AH219" s="1002"/>
      <c r="AI219" s="1002"/>
      <c r="AJ219" s="1002"/>
      <c r="AK219" s="1002"/>
      <c r="AL219" s="1002"/>
      <c r="AM219" s="1002"/>
      <c r="AN219" s="1002"/>
      <c r="AO219" s="1002"/>
      <c r="AP219" s="1002"/>
      <c r="AQ219" s="1002"/>
      <c r="AR219" s="1002"/>
      <c r="AS219" s="1002"/>
      <c r="AT219" s="1002"/>
      <c r="AU219" s="1002"/>
      <c r="AV219" s="1002"/>
      <c r="AW219" s="1002"/>
      <c r="AX219" s="1002"/>
      <c r="AY219" s="1002"/>
      <c r="AZ219" s="1002"/>
      <c r="BA219" s="1002"/>
      <c r="BB219" s="1002"/>
      <c r="BC219" s="1002"/>
      <c r="BD219" s="1002"/>
      <c r="BE219" s="204"/>
      <c r="BF219" s="205" t="s">
        <v>487</v>
      </c>
      <c r="BG219" s="204"/>
      <c r="BH219" s="204"/>
      <c r="BI219" s="204"/>
      <c r="BJ219" s="204"/>
      <c r="BK219" s="206"/>
    </row>
    <row r="220" spans="1:63" s="164" customFormat="1" ht="15.75" customHeight="1">
      <c r="A220" s="180"/>
      <c r="B220" s="192"/>
      <c r="C220" s="179"/>
      <c r="D220" s="181"/>
      <c r="E220" s="179"/>
      <c r="F220" s="179"/>
      <c r="G220" s="179"/>
      <c r="H220" s="179"/>
      <c r="I220" s="179"/>
      <c r="J220" s="179"/>
      <c r="K220" s="179"/>
      <c r="L220" s="192"/>
      <c r="M220" s="179"/>
      <c r="N220" s="179"/>
      <c r="O220" s="179"/>
      <c r="P220" s="179"/>
      <c r="Q220" s="179"/>
      <c r="R220" s="179"/>
      <c r="S220" s="179"/>
      <c r="T220" s="179"/>
      <c r="U220" s="179"/>
      <c r="V220" s="179"/>
      <c r="W220" s="179"/>
      <c r="X220" s="179"/>
      <c r="Y220" s="179"/>
      <c r="Z220" s="179"/>
      <c r="AA220" s="179"/>
      <c r="AB220" s="179"/>
      <c r="AC220" s="179"/>
      <c r="AD220" s="179"/>
      <c r="AE220" s="179"/>
      <c r="AF220" s="179"/>
      <c r="AG220" s="179"/>
      <c r="AH220" s="179"/>
      <c r="AI220" s="179"/>
      <c r="AJ220" s="179"/>
      <c r="AK220" s="179"/>
      <c r="AL220" s="179"/>
      <c r="AM220" s="179"/>
      <c r="AN220" s="179"/>
      <c r="AO220" s="179"/>
      <c r="AP220" s="179"/>
      <c r="AQ220" s="179"/>
      <c r="AR220" s="179"/>
      <c r="AS220" s="179"/>
      <c r="AT220" s="179"/>
      <c r="AU220" s="179"/>
      <c r="AV220" s="179"/>
      <c r="AW220" s="179"/>
      <c r="AX220" s="179"/>
      <c r="AY220" s="179"/>
      <c r="AZ220" s="179"/>
      <c r="BA220" s="179"/>
      <c r="BB220" s="179"/>
      <c r="BC220" s="179"/>
      <c r="BD220" s="179"/>
      <c r="BE220" s="201"/>
      <c r="BF220" s="201"/>
      <c r="BG220" s="201"/>
      <c r="BH220" s="201"/>
      <c r="BI220" s="201"/>
      <c r="BJ220" s="201"/>
      <c r="BK220" s="203"/>
    </row>
    <row r="221" spans="1:63" s="164" customFormat="1" ht="15.75" customHeight="1">
      <c r="A221" s="174"/>
      <c r="B221" s="190"/>
      <c r="C221" s="176"/>
      <c r="D221" s="175" t="s">
        <v>640</v>
      </c>
      <c r="E221" s="176"/>
      <c r="F221" s="176"/>
      <c r="G221" s="176"/>
      <c r="H221" s="176"/>
      <c r="I221" s="176"/>
      <c r="J221" s="176"/>
      <c r="K221" s="176"/>
      <c r="L221" s="190"/>
      <c r="M221" s="176"/>
      <c r="N221" s="191" t="s">
        <v>403</v>
      </c>
      <c r="O221" s="176"/>
      <c r="P221" s="176"/>
      <c r="Q221" s="176"/>
      <c r="R221" s="176"/>
      <c r="S221" s="176"/>
      <c r="T221" s="176"/>
      <c r="U221" s="176"/>
      <c r="V221" s="176"/>
      <c r="W221" s="176"/>
      <c r="X221" s="176"/>
      <c r="Y221" s="176"/>
      <c r="Z221" s="176"/>
      <c r="AA221" s="176"/>
      <c r="AB221" s="176"/>
      <c r="AC221" s="176"/>
      <c r="AD221" s="176"/>
      <c r="AE221" s="176"/>
      <c r="AF221" s="176"/>
      <c r="AG221" s="176"/>
      <c r="AH221" s="176"/>
      <c r="AI221" s="176"/>
      <c r="AJ221" s="176"/>
      <c r="AK221" s="176"/>
      <c r="AL221" s="176"/>
      <c r="AM221" s="176"/>
      <c r="AN221" s="176"/>
      <c r="AO221" s="176"/>
      <c r="AP221" s="176"/>
      <c r="AQ221" s="176"/>
      <c r="AR221" s="176"/>
      <c r="AS221" s="176"/>
      <c r="AT221" s="176"/>
      <c r="AU221" s="176"/>
      <c r="AV221" s="176"/>
      <c r="AW221" s="176"/>
      <c r="AX221" s="176"/>
      <c r="AY221" s="176"/>
      <c r="AZ221" s="176"/>
      <c r="BA221" s="176"/>
      <c r="BB221" s="176"/>
      <c r="BC221" s="176"/>
      <c r="BD221" s="176"/>
      <c r="BE221" s="199" t="s">
        <v>404</v>
      </c>
      <c r="BF221" s="199" t="s">
        <v>405</v>
      </c>
      <c r="BG221" s="199" t="s">
        <v>406</v>
      </c>
      <c r="BH221" s="199" t="s">
        <v>407</v>
      </c>
      <c r="BI221" s="199" t="s">
        <v>408</v>
      </c>
      <c r="BJ221" s="199" t="s">
        <v>409</v>
      </c>
      <c r="BK221" s="200" t="s">
        <v>410</v>
      </c>
    </row>
    <row r="222" spans="1:63" s="164" customFormat="1" ht="15.75" customHeight="1">
      <c r="A222" s="180"/>
      <c r="B222" s="192"/>
      <c r="C222" s="179"/>
      <c r="D222" s="178" t="s">
        <v>641</v>
      </c>
      <c r="E222" s="179"/>
      <c r="F222" s="179"/>
      <c r="G222" s="179"/>
      <c r="H222" s="179"/>
      <c r="I222" s="179"/>
      <c r="J222" s="179"/>
      <c r="K222" s="179"/>
      <c r="L222" s="192"/>
      <c r="M222" s="999"/>
      <c r="N222" s="1000"/>
      <c r="O222" s="1000"/>
      <c r="P222" s="1000"/>
      <c r="Q222" s="1000"/>
      <c r="R222" s="1000"/>
      <c r="S222" s="1000"/>
      <c r="T222" s="1000"/>
      <c r="U222" s="1000"/>
      <c r="V222" s="1000"/>
      <c r="W222" s="1000"/>
      <c r="X222" s="1000"/>
      <c r="Y222" s="1000"/>
      <c r="Z222" s="1000"/>
      <c r="AA222" s="1000"/>
      <c r="AB222" s="1000"/>
      <c r="AC222" s="1000"/>
      <c r="AD222" s="1000"/>
      <c r="AE222" s="1000"/>
      <c r="AF222" s="1000"/>
      <c r="AG222" s="1000"/>
      <c r="AH222" s="1000"/>
      <c r="AI222" s="1000"/>
      <c r="AJ222" s="1000"/>
      <c r="AK222" s="1000"/>
      <c r="AL222" s="1000"/>
      <c r="AM222" s="1000"/>
      <c r="AN222" s="1000"/>
      <c r="AO222" s="1000"/>
      <c r="AP222" s="1000"/>
      <c r="AQ222" s="1000"/>
      <c r="AR222" s="1000"/>
      <c r="AS222" s="1000"/>
      <c r="AT222" s="1000"/>
      <c r="AU222" s="1000"/>
      <c r="AV222" s="1000"/>
      <c r="AW222" s="1000"/>
      <c r="AX222" s="1000"/>
      <c r="AY222" s="1000"/>
      <c r="AZ222" s="1000"/>
      <c r="BA222" s="1000"/>
      <c r="BB222" s="1000"/>
      <c r="BC222" s="1000"/>
      <c r="BD222" s="1000"/>
      <c r="BE222" s="201"/>
      <c r="BF222" s="202" t="s">
        <v>642</v>
      </c>
      <c r="BG222" s="201"/>
      <c r="BH222" s="201"/>
      <c r="BI222" s="201"/>
      <c r="BJ222" s="201"/>
      <c r="BK222" s="203"/>
    </row>
    <row r="223" spans="1:63" s="164" customFormat="1" ht="15.75" customHeight="1">
      <c r="A223" s="180"/>
      <c r="B223" s="192"/>
      <c r="C223" s="179"/>
      <c r="D223" s="178" t="s">
        <v>643</v>
      </c>
      <c r="E223" s="179"/>
      <c r="F223" s="179"/>
      <c r="G223" s="179"/>
      <c r="H223" s="179"/>
      <c r="I223" s="179"/>
      <c r="J223" s="179"/>
      <c r="K223" s="179"/>
      <c r="L223" s="192"/>
      <c r="M223" s="999"/>
      <c r="N223" s="1000"/>
      <c r="O223" s="1000"/>
      <c r="P223" s="1000"/>
      <c r="Q223" s="1000"/>
      <c r="R223" s="1000"/>
      <c r="S223" s="1000"/>
      <c r="T223" s="1000"/>
      <c r="U223" s="1000"/>
      <c r="V223" s="1000"/>
      <c r="W223" s="1000"/>
      <c r="X223" s="1000"/>
      <c r="Y223" s="1000"/>
      <c r="Z223" s="1000"/>
      <c r="AA223" s="1000"/>
      <c r="AB223" s="1000"/>
      <c r="AC223" s="1000"/>
      <c r="AD223" s="1000"/>
      <c r="AE223" s="1000"/>
      <c r="AF223" s="1000"/>
      <c r="AG223" s="1000"/>
      <c r="AH223" s="1000"/>
      <c r="AI223" s="1000"/>
      <c r="AJ223" s="1000"/>
      <c r="AK223" s="1000"/>
      <c r="AL223" s="1000"/>
      <c r="AM223" s="1000"/>
      <c r="AN223" s="1000"/>
      <c r="AO223" s="1000"/>
      <c r="AP223" s="1000"/>
      <c r="AQ223" s="1000"/>
      <c r="AR223" s="1000"/>
      <c r="AS223" s="1000"/>
      <c r="AT223" s="1000"/>
      <c r="AU223" s="1000"/>
      <c r="AV223" s="1000"/>
      <c r="AW223" s="1000"/>
      <c r="AX223" s="1000"/>
      <c r="AY223" s="1000"/>
      <c r="AZ223" s="1000"/>
      <c r="BA223" s="1000"/>
      <c r="BB223" s="1000"/>
      <c r="BC223" s="1000"/>
      <c r="BD223" s="1000"/>
      <c r="BE223" s="201"/>
      <c r="BF223" s="202" t="s">
        <v>642</v>
      </c>
      <c r="BG223" s="201"/>
      <c r="BH223" s="201"/>
      <c r="BI223" s="201"/>
      <c r="BJ223" s="201"/>
      <c r="BK223" s="203"/>
    </row>
    <row r="224" spans="1:63" s="164" customFormat="1" ht="15.75" customHeight="1">
      <c r="A224" s="180"/>
      <c r="B224" s="192"/>
      <c r="C224" s="179"/>
      <c r="D224" s="178" t="s">
        <v>276</v>
      </c>
      <c r="E224" s="179"/>
      <c r="F224" s="179"/>
      <c r="G224" s="179"/>
      <c r="H224" s="179"/>
      <c r="I224" s="179"/>
      <c r="J224" s="179"/>
      <c r="K224" s="179"/>
      <c r="L224" s="192"/>
      <c r="M224" s="999"/>
      <c r="N224" s="1000"/>
      <c r="O224" s="1000"/>
      <c r="P224" s="1000"/>
      <c r="Q224" s="1000"/>
      <c r="R224" s="1000"/>
      <c r="S224" s="1000"/>
      <c r="T224" s="1000"/>
      <c r="U224" s="1000"/>
      <c r="V224" s="1000"/>
      <c r="W224" s="1000"/>
      <c r="X224" s="1000"/>
      <c r="Y224" s="1000"/>
      <c r="Z224" s="1000"/>
      <c r="AA224" s="1000"/>
      <c r="AB224" s="1000"/>
      <c r="AC224" s="1000"/>
      <c r="AD224" s="1000"/>
      <c r="AE224" s="1000"/>
      <c r="AF224" s="1000"/>
      <c r="AG224" s="1000"/>
      <c r="AH224" s="1000"/>
      <c r="AI224" s="1000"/>
      <c r="AJ224" s="1000"/>
      <c r="AK224" s="1000"/>
      <c r="AL224" s="1000"/>
      <c r="AM224" s="1000"/>
      <c r="AN224" s="1000"/>
      <c r="AO224" s="1000"/>
      <c r="AP224" s="1000"/>
      <c r="AQ224" s="1000"/>
      <c r="AR224" s="1000"/>
      <c r="AS224" s="1000"/>
      <c r="AT224" s="1000"/>
      <c r="AU224" s="1000"/>
      <c r="AV224" s="1000"/>
      <c r="AW224" s="1000"/>
      <c r="AX224" s="1000"/>
      <c r="AY224" s="1000"/>
      <c r="AZ224" s="1000"/>
      <c r="BA224" s="1000"/>
      <c r="BB224" s="1000"/>
      <c r="BC224" s="1000"/>
      <c r="BD224" s="1000"/>
      <c r="BE224" s="201"/>
      <c r="BF224" s="202" t="s">
        <v>642</v>
      </c>
      <c r="BG224" s="201"/>
      <c r="BH224" s="201"/>
      <c r="BI224" s="201"/>
      <c r="BJ224" s="201"/>
      <c r="BK224" s="203"/>
    </row>
    <row r="225" spans="1:64" s="164" customFormat="1" ht="15.75" customHeight="1">
      <c r="A225" s="180"/>
      <c r="B225" s="192"/>
      <c r="C225" s="179"/>
      <c r="D225" s="181"/>
      <c r="E225" s="179"/>
      <c r="F225" s="179"/>
      <c r="G225" s="179"/>
      <c r="H225" s="179"/>
      <c r="I225" s="179"/>
      <c r="J225" s="179"/>
      <c r="K225" s="179"/>
      <c r="L225" s="192"/>
      <c r="M225" s="179"/>
      <c r="N225" s="179"/>
      <c r="O225" s="179"/>
      <c r="P225" s="179"/>
      <c r="Q225" s="179"/>
      <c r="R225" s="179"/>
      <c r="S225" s="179"/>
      <c r="T225" s="179"/>
      <c r="U225" s="179"/>
      <c r="V225" s="179"/>
      <c r="W225" s="179"/>
      <c r="X225" s="179"/>
      <c r="Y225" s="179"/>
      <c r="Z225" s="179"/>
      <c r="AA225" s="179"/>
      <c r="AB225" s="179"/>
      <c r="AC225" s="179"/>
      <c r="AD225" s="179"/>
      <c r="AE225" s="179"/>
      <c r="AF225" s="179"/>
      <c r="AG225" s="179"/>
      <c r="AH225" s="179"/>
      <c r="AI225" s="179"/>
      <c r="AJ225" s="179"/>
      <c r="AK225" s="179"/>
      <c r="AL225" s="179"/>
      <c r="AM225" s="179"/>
      <c r="AN225" s="179"/>
      <c r="AO225" s="179"/>
      <c r="AP225" s="179"/>
      <c r="AQ225" s="179"/>
      <c r="AR225" s="179"/>
      <c r="AS225" s="179"/>
      <c r="AT225" s="179"/>
      <c r="AU225" s="179"/>
      <c r="AV225" s="179"/>
      <c r="AW225" s="179"/>
      <c r="AX225" s="179"/>
      <c r="AY225" s="179"/>
      <c r="AZ225" s="179"/>
      <c r="BA225" s="179"/>
      <c r="BB225" s="179"/>
      <c r="BC225" s="179"/>
      <c r="BD225" s="179"/>
      <c r="BE225" s="201"/>
      <c r="BF225" s="201"/>
      <c r="BG225" s="201"/>
      <c r="BH225" s="201"/>
      <c r="BI225" s="201"/>
      <c r="BJ225" s="201"/>
      <c r="BK225" s="203"/>
    </row>
    <row r="226" spans="1:64" s="164" customFormat="1" ht="15.75" customHeight="1">
      <c r="A226" s="174"/>
      <c r="B226" s="190"/>
      <c r="C226" s="176"/>
      <c r="D226" s="175" t="s">
        <v>644</v>
      </c>
      <c r="E226" s="176"/>
      <c r="F226" s="176"/>
      <c r="G226" s="176"/>
      <c r="H226" s="176"/>
      <c r="I226" s="176"/>
      <c r="J226" s="176"/>
      <c r="K226" s="176"/>
      <c r="L226" s="190"/>
      <c r="M226" s="176"/>
      <c r="N226" s="191" t="s">
        <v>403</v>
      </c>
      <c r="O226" s="176"/>
      <c r="P226" s="176"/>
      <c r="Q226" s="176"/>
      <c r="R226" s="176"/>
      <c r="S226" s="176"/>
      <c r="T226" s="176"/>
      <c r="U226" s="176"/>
      <c r="V226" s="176"/>
      <c r="W226" s="176"/>
      <c r="X226" s="176"/>
      <c r="Y226" s="176"/>
      <c r="Z226" s="176"/>
      <c r="AA226" s="176"/>
      <c r="AB226" s="176"/>
      <c r="AC226" s="176"/>
      <c r="AD226" s="176"/>
      <c r="AE226" s="176"/>
      <c r="AF226" s="176"/>
      <c r="AG226" s="176"/>
      <c r="AH226" s="176"/>
      <c r="AI226" s="176"/>
      <c r="AJ226" s="176"/>
      <c r="AK226" s="176"/>
      <c r="AL226" s="176"/>
      <c r="AM226" s="176"/>
      <c r="AN226" s="176"/>
      <c r="AO226" s="176"/>
      <c r="AP226" s="176"/>
      <c r="AQ226" s="176"/>
      <c r="AR226" s="176"/>
      <c r="AS226" s="176"/>
      <c r="AT226" s="176"/>
      <c r="AU226" s="176"/>
      <c r="AV226" s="176"/>
      <c r="AW226" s="176"/>
      <c r="AX226" s="176"/>
      <c r="AY226" s="176"/>
      <c r="AZ226" s="176"/>
      <c r="BA226" s="176"/>
      <c r="BB226" s="176"/>
      <c r="BC226" s="176"/>
      <c r="BD226" s="176"/>
      <c r="BE226" s="199" t="s">
        <v>404</v>
      </c>
      <c r="BF226" s="199" t="s">
        <v>405</v>
      </c>
      <c r="BG226" s="199" t="s">
        <v>406</v>
      </c>
      <c r="BH226" s="199" t="s">
        <v>407</v>
      </c>
      <c r="BI226" s="199" t="s">
        <v>408</v>
      </c>
      <c r="BJ226" s="199" t="s">
        <v>409</v>
      </c>
      <c r="BK226" s="200" t="s">
        <v>410</v>
      </c>
    </row>
    <row r="227" spans="1:64" s="164" customFormat="1" ht="15.75" customHeight="1">
      <c r="A227" s="180"/>
      <c r="B227" s="192"/>
      <c r="C227" s="179"/>
      <c r="D227" s="178" t="s">
        <v>645</v>
      </c>
      <c r="E227" s="179"/>
      <c r="F227" s="179"/>
      <c r="G227" s="179"/>
      <c r="H227" s="179"/>
      <c r="I227" s="179"/>
      <c r="J227" s="179"/>
      <c r="K227" s="179"/>
      <c r="L227" s="192"/>
      <c r="M227" s="999"/>
      <c r="N227" s="1000"/>
      <c r="O227" s="1000"/>
      <c r="P227" s="1000"/>
      <c r="Q227" s="1000"/>
      <c r="R227" s="1000"/>
      <c r="S227" s="1000"/>
      <c r="T227" s="1000"/>
      <c r="U227" s="1000"/>
      <c r="V227" s="1000"/>
      <c r="W227" s="1000"/>
      <c r="X227" s="1000"/>
      <c r="Y227" s="1000"/>
      <c r="Z227" s="1000"/>
      <c r="AA227" s="1000"/>
      <c r="AB227" s="1000"/>
      <c r="AC227" s="1000"/>
      <c r="AD227" s="1000"/>
      <c r="AE227" s="1000"/>
      <c r="AF227" s="1000"/>
      <c r="AG227" s="1000"/>
      <c r="AH227" s="1000"/>
      <c r="AI227" s="1000"/>
      <c r="AJ227" s="1000"/>
      <c r="AK227" s="1000"/>
      <c r="AL227" s="1000"/>
      <c r="AM227" s="1000"/>
      <c r="AN227" s="1000"/>
      <c r="AO227" s="1000"/>
      <c r="AP227" s="1000"/>
      <c r="AQ227" s="1000"/>
      <c r="AR227" s="1000"/>
      <c r="AS227" s="1000"/>
      <c r="AT227" s="1000"/>
      <c r="AU227" s="1000"/>
      <c r="AV227" s="1000"/>
      <c r="AW227" s="1000"/>
      <c r="AX227" s="1000"/>
      <c r="AY227" s="1000"/>
      <c r="AZ227" s="1000"/>
      <c r="BA227" s="1000"/>
      <c r="BB227" s="1000"/>
      <c r="BC227" s="1000"/>
      <c r="BD227" s="1000"/>
      <c r="BE227" s="201"/>
      <c r="BF227" s="202" t="s">
        <v>642</v>
      </c>
      <c r="BG227" s="201"/>
      <c r="BH227" s="201"/>
      <c r="BI227" s="201"/>
      <c r="BJ227" s="201"/>
      <c r="BK227" s="203"/>
    </row>
    <row r="228" spans="1:64" s="164" customFormat="1" ht="15.75" customHeight="1">
      <c r="A228" s="180"/>
      <c r="B228" s="192"/>
      <c r="C228" s="179"/>
      <c r="D228" s="181"/>
      <c r="E228" s="179"/>
      <c r="F228" s="179"/>
      <c r="G228" s="179"/>
      <c r="H228" s="179"/>
      <c r="I228" s="179"/>
      <c r="J228" s="179"/>
      <c r="K228" s="179"/>
      <c r="L228" s="192"/>
      <c r="M228" s="179"/>
      <c r="N228" s="179"/>
      <c r="O228" s="179"/>
      <c r="P228" s="179"/>
      <c r="Q228" s="179"/>
      <c r="R228" s="179"/>
      <c r="S228" s="179"/>
      <c r="T228" s="179"/>
      <c r="U228" s="179"/>
      <c r="V228" s="179"/>
      <c r="W228" s="179"/>
      <c r="X228" s="179"/>
      <c r="Y228" s="179"/>
      <c r="Z228" s="179"/>
      <c r="AA228" s="179"/>
      <c r="AB228" s="179"/>
      <c r="AC228" s="179"/>
      <c r="AD228" s="179"/>
      <c r="AE228" s="179"/>
      <c r="AF228" s="179"/>
      <c r="AG228" s="179"/>
      <c r="AH228" s="179"/>
      <c r="AI228" s="179"/>
      <c r="AJ228" s="179"/>
      <c r="AK228" s="179"/>
      <c r="AL228" s="179"/>
      <c r="AM228" s="179"/>
      <c r="AN228" s="179"/>
      <c r="AO228" s="179"/>
      <c r="AP228" s="179"/>
      <c r="AQ228" s="179"/>
      <c r="AR228" s="179"/>
      <c r="AS228" s="179"/>
      <c r="AT228" s="179"/>
      <c r="AU228" s="179"/>
      <c r="AV228" s="179"/>
      <c r="AW228" s="179"/>
      <c r="AX228" s="179"/>
      <c r="AY228" s="179"/>
      <c r="AZ228" s="179"/>
      <c r="BA228" s="179"/>
      <c r="BB228" s="179"/>
      <c r="BC228" s="179"/>
      <c r="BD228" s="179"/>
      <c r="BE228" s="201"/>
      <c r="BF228" s="201"/>
      <c r="BG228" s="201"/>
      <c r="BH228" s="201"/>
      <c r="BI228" s="201"/>
      <c r="BJ228" s="201"/>
      <c r="BK228" s="203"/>
    </row>
    <row r="229" spans="1:64" s="164" customFormat="1" ht="15.75" customHeight="1">
      <c r="A229" s="174"/>
      <c r="B229" s="190"/>
      <c r="C229" s="176"/>
      <c r="D229" s="175" t="s">
        <v>646</v>
      </c>
      <c r="E229" s="176"/>
      <c r="F229" s="176"/>
      <c r="G229" s="176"/>
      <c r="H229" s="176"/>
      <c r="I229" s="176"/>
      <c r="J229" s="176"/>
      <c r="K229" s="176"/>
      <c r="L229" s="190"/>
      <c r="M229" s="176"/>
      <c r="N229" s="191" t="s">
        <v>403</v>
      </c>
      <c r="O229" s="176"/>
      <c r="P229" s="176"/>
      <c r="Q229" s="176"/>
      <c r="R229" s="176"/>
      <c r="S229" s="176"/>
      <c r="T229" s="176"/>
      <c r="U229" s="176"/>
      <c r="V229" s="176"/>
      <c r="W229" s="176"/>
      <c r="X229" s="176"/>
      <c r="Y229" s="176"/>
      <c r="Z229" s="176"/>
      <c r="AA229" s="176"/>
      <c r="AB229" s="176"/>
      <c r="AC229" s="176"/>
      <c r="AD229" s="176"/>
      <c r="AE229" s="176"/>
      <c r="AF229" s="176"/>
      <c r="AG229" s="176"/>
      <c r="AH229" s="176"/>
      <c r="AI229" s="176"/>
      <c r="AJ229" s="176"/>
      <c r="AK229" s="176"/>
      <c r="AL229" s="176"/>
      <c r="AM229" s="176"/>
      <c r="AN229" s="176"/>
      <c r="AO229" s="176"/>
      <c r="AP229" s="176"/>
      <c r="AQ229" s="176"/>
      <c r="AR229" s="176"/>
      <c r="AS229" s="176"/>
      <c r="AT229" s="176"/>
      <c r="AU229" s="176"/>
      <c r="AV229" s="176"/>
      <c r="AW229" s="176"/>
      <c r="AX229" s="176"/>
      <c r="AY229" s="176"/>
      <c r="AZ229" s="176"/>
      <c r="BA229" s="176"/>
      <c r="BB229" s="176"/>
      <c r="BC229" s="176"/>
      <c r="BD229" s="176"/>
      <c r="BE229" s="199" t="s">
        <v>404</v>
      </c>
      <c r="BF229" s="199" t="s">
        <v>405</v>
      </c>
      <c r="BG229" s="199" t="s">
        <v>406</v>
      </c>
      <c r="BH229" s="199" t="s">
        <v>407</v>
      </c>
      <c r="BI229" s="199" t="s">
        <v>408</v>
      </c>
      <c r="BJ229" s="199" t="s">
        <v>409</v>
      </c>
      <c r="BK229" s="200" t="s">
        <v>410</v>
      </c>
    </row>
    <row r="230" spans="1:64" s="164" customFormat="1" ht="15.75" customHeight="1">
      <c r="A230" s="180"/>
      <c r="B230" s="192"/>
      <c r="C230" s="250" t="s">
        <v>411</v>
      </c>
      <c r="D230" s="178" t="s">
        <v>647</v>
      </c>
      <c r="E230" s="179"/>
      <c r="F230" s="179"/>
      <c r="G230" s="179"/>
      <c r="H230" s="179"/>
      <c r="I230" s="179"/>
      <c r="J230" s="179"/>
      <c r="K230" s="179"/>
      <c r="L230" s="192"/>
      <c r="M230" s="999" t="s">
        <v>648</v>
      </c>
      <c r="N230" s="1000"/>
      <c r="O230" s="1000"/>
      <c r="P230" s="1000"/>
      <c r="Q230" s="1000"/>
      <c r="R230" s="1000"/>
      <c r="S230" s="1000"/>
      <c r="T230" s="1000"/>
      <c r="U230" s="1000"/>
      <c r="V230" s="1000"/>
      <c r="W230" s="1000"/>
      <c r="X230" s="1000"/>
      <c r="Y230" s="1000"/>
      <c r="Z230" s="1000"/>
      <c r="AA230" s="1000"/>
      <c r="AB230" s="1000"/>
      <c r="AC230" s="1000"/>
      <c r="AD230" s="1000"/>
      <c r="AE230" s="1000"/>
      <c r="AF230" s="1000"/>
      <c r="AG230" s="1000"/>
      <c r="AH230" s="1000"/>
      <c r="AI230" s="1000"/>
      <c r="AJ230" s="1000"/>
      <c r="AK230" s="1000"/>
      <c r="AL230" s="1000"/>
      <c r="AM230" s="1000"/>
      <c r="AN230" s="1000"/>
      <c r="AO230" s="1000"/>
      <c r="AP230" s="1000"/>
      <c r="AQ230" s="1000"/>
      <c r="AR230" s="1000"/>
      <c r="AS230" s="1000"/>
      <c r="AT230" s="1000"/>
      <c r="AU230" s="1000"/>
      <c r="AV230" s="1000"/>
      <c r="AW230" s="1000"/>
      <c r="AX230" s="1000"/>
      <c r="AY230" s="1000"/>
      <c r="AZ230" s="1000"/>
      <c r="BA230" s="1000"/>
      <c r="BB230" s="1000"/>
      <c r="BC230" s="1000"/>
      <c r="BD230" s="1000"/>
      <c r="BE230" s="201"/>
      <c r="BF230" s="202" t="s">
        <v>462</v>
      </c>
      <c r="BG230" s="201"/>
      <c r="BH230" s="201"/>
      <c r="BI230" s="201"/>
      <c r="BJ230" s="201"/>
      <c r="BK230" s="203"/>
    </row>
    <row r="231" spans="1:64" s="164" customFormat="1" ht="15.75" customHeight="1">
      <c r="A231" s="185"/>
      <c r="B231" s="193"/>
      <c r="C231" s="251" t="s">
        <v>411</v>
      </c>
      <c r="D231" s="183" t="s">
        <v>523</v>
      </c>
      <c r="E231" s="184"/>
      <c r="F231" s="184"/>
      <c r="G231" s="184"/>
      <c r="H231" s="184"/>
      <c r="I231" s="184"/>
      <c r="J231" s="184"/>
      <c r="K231" s="184"/>
      <c r="L231" s="193"/>
      <c r="M231" s="1003" t="s">
        <v>649</v>
      </c>
      <c r="N231" s="1002"/>
      <c r="O231" s="1002"/>
      <c r="P231" s="1002"/>
      <c r="Q231" s="1002"/>
      <c r="R231" s="1002"/>
      <c r="S231" s="1002"/>
      <c r="T231" s="1002"/>
      <c r="U231" s="1002"/>
      <c r="V231" s="1002"/>
      <c r="W231" s="1002"/>
      <c r="X231" s="1002"/>
      <c r="Y231" s="1002"/>
      <c r="Z231" s="1002"/>
      <c r="AA231" s="1002"/>
      <c r="AB231" s="1002"/>
      <c r="AC231" s="1002"/>
      <c r="AD231" s="1002"/>
      <c r="AE231" s="1002"/>
      <c r="AF231" s="1002"/>
      <c r="AG231" s="1002"/>
      <c r="AH231" s="1002"/>
      <c r="AI231" s="1002"/>
      <c r="AJ231" s="1002"/>
      <c r="AK231" s="1002"/>
      <c r="AL231" s="1002"/>
      <c r="AM231" s="1002"/>
      <c r="AN231" s="1002"/>
      <c r="AO231" s="1002"/>
      <c r="AP231" s="1002"/>
      <c r="AQ231" s="1002"/>
      <c r="AR231" s="1002"/>
      <c r="AS231" s="1002"/>
      <c r="AT231" s="1002"/>
      <c r="AU231" s="1002"/>
      <c r="AV231" s="1002"/>
      <c r="AW231" s="1002"/>
      <c r="AX231" s="1002"/>
      <c r="AY231" s="1002"/>
      <c r="AZ231" s="1002"/>
      <c r="BA231" s="1002"/>
      <c r="BB231" s="1002"/>
      <c r="BC231" s="1002"/>
      <c r="BD231" s="1002"/>
      <c r="BE231" s="205" t="s">
        <v>489</v>
      </c>
      <c r="BF231" s="205" t="s">
        <v>487</v>
      </c>
      <c r="BG231" s="204"/>
      <c r="BH231" s="204"/>
      <c r="BI231" s="204"/>
      <c r="BJ231" s="204"/>
      <c r="BK231" s="206"/>
    </row>
    <row r="232" spans="1:64" s="164" customFormat="1" ht="15.75" customHeight="1">
      <c r="A232" s="185"/>
      <c r="B232" s="193"/>
      <c r="C232" s="184"/>
      <c r="D232" s="183" t="s">
        <v>524</v>
      </c>
      <c r="E232" s="184"/>
      <c r="F232" s="184"/>
      <c r="G232" s="184"/>
      <c r="H232" s="184"/>
      <c r="I232" s="184"/>
      <c r="J232" s="184"/>
      <c r="K232" s="184"/>
      <c r="L232" s="193"/>
      <c r="M232" s="1003"/>
      <c r="N232" s="1002"/>
      <c r="O232" s="1002"/>
      <c r="P232" s="1002"/>
      <c r="Q232" s="1002"/>
      <c r="R232" s="1002"/>
      <c r="S232" s="1002"/>
      <c r="T232" s="1002"/>
      <c r="U232" s="1002"/>
      <c r="V232" s="1002"/>
      <c r="W232" s="1002"/>
      <c r="X232" s="1002"/>
      <c r="Y232" s="1002"/>
      <c r="Z232" s="1002"/>
      <c r="AA232" s="1002"/>
      <c r="AB232" s="1002"/>
      <c r="AC232" s="1002"/>
      <c r="AD232" s="1002"/>
      <c r="AE232" s="1002"/>
      <c r="AF232" s="1002"/>
      <c r="AG232" s="1002"/>
      <c r="AH232" s="1002"/>
      <c r="AI232" s="1002"/>
      <c r="AJ232" s="1002"/>
      <c r="AK232" s="1002"/>
      <c r="AL232" s="1002"/>
      <c r="AM232" s="1002"/>
      <c r="AN232" s="1002"/>
      <c r="AO232" s="1002"/>
      <c r="AP232" s="1002"/>
      <c r="AQ232" s="1002"/>
      <c r="AR232" s="1002"/>
      <c r="AS232" s="1002"/>
      <c r="AT232" s="1002"/>
      <c r="AU232" s="1002"/>
      <c r="AV232" s="1002"/>
      <c r="AW232" s="1002"/>
      <c r="AX232" s="1002"/>
      <c r="AY232" s="1002"/>
      <c r="AZ232" s="1002"/>
      <c r="BA232" s="1002"/>
      <c r="BB232" s="1002"/>
      <c r="BC232" s="1002"/>
      <c r="BD232" s="1002"/>
      <c r="BE232" s="204"/>
      <c r="BF232" s="205" t="s">
        <v>487</v>
      </c>
      <c r="BG232" s="204"/>
      <c r="BH232" s="204"/>
      <c r="BI232" s="204"/>
      <c r="BJ232" s="204"/>
      <c r="BK232" s="206"/>
    </row>
    <row r="233" spans="1:64" s="164" customFormat="1" ht="15.75" customHeight="1">
      <c r="A233" s="180"/>
      <c r="B233" s="192"/>
      <c r="C233" s="250" t="s">
        <v>411</v>
      </c>
      <c r="D233" s="178" t="s">
        <v>525</v>
      </c>
      <c r="E233" s="179"/>
      <c r="F233" s="179"/>
      <c r="G233" s="179"/>
      <c r="H233" s="179"/>
      <c r="I233" s="179"/>
      <c r="J233" s="179"/>
      <c r="K233" s="179"/>
      <c r="L233" s="192"/>
      <c r="M233" s="999" t="s">
        <v>650</v>
      </c>
      <c r="N233" s="1000"/>
      <c r="O233" s="1000"/>
      <c r="P233" s="1000"/>
      <c r="Q233" s="1000"/>
      <c r="R233" s="1000"/>
      <c r="S233" s="1000"/>
      <c r="T233" s="1000"/>
      <c r="U233" s="1000"/>
      <c r="V233" s="1000"/>
      <c r="W233" s="1000"/>
      <c r="X233" s="1000"/>
      <c r="Y233" s="1000"/>
      <c r="Z233" s="1000"/>
      <c r="AA233" s="1000"/>
      <c r="AB233" s="1000"/>
      <c r="AC233" s="1000"/>
      <c r="AD233" s="1000"/>
      <c r="AE233" s="1000"/>
      <c r="AF233" s="1000"/>
      <c r="AG233" s="1000"/>
      <c r="AH233" s="1000"/>
      <c r="AI233" s="1000"/>
      <c r="AJ233" s="1000"/>
      <c r="AK233" s="1000"/>
      <c r="AL233" s="1000"/>
      <c r="AM233" s="1000"/>
      <c r="AN233" s="1000"/>
      <c r="AO233" s="1000"/>
      <c r="AP233" s="1000"/>
      <c r="AQ233" s="1000"/>
      <c r="AR233" s="1000"/>
      <c r="AS233" s="1000"/>
      <c r="AT233" s="1000"/>
      <c r="AU233" s="1000"/>
      <c r="AV233" s="1000"/>
      <c r="AW233" s="1000"/>
      <c r="AX233" s="1000"/>
      <c r="AY233" s="1000"/>
      <c r="AZ233" s="1000"/>
      <c r="BA233" s="1000"/>
      <c r="BB233" s="1000"/>
      <c r="BC233" s="1000"/>
      <c r="BD233" s="1000"/>
      <c r="BE233" s="202" t="s">
        <v>486</v>
      </c>
      <c r="BF233" s="202" t="s">
        <v>487</v>
      </c>
      <c r="BG233" s="201"/>
      <c r="BH233" s="201"/>
      <c r="BI233" s="201"/>
      <c r="BJ233" s="201"/>
      <c r="BK233" s="203"/>
    </row>
    <row r="234" spans="1:64" s="164" customFormat="1" ht="15.75" customHeight="1">
      <c r="A234" s="180"/>
      <c r="B234" s="192"/>
      <c r="C234" s="179"/>
      <c r="D234" s="178" t="s">
        <v>526</v>
      </c>
      <c r="E234" s="179"/>
      <c r="F234" s="179"/>
      <c r="G234" s="179"/>
      <c r="H234" s="179"/>
      <c r="I234" s="179"/>
      <c r="J234" s="179"/>
      <c r="K234" s="179"/>
      <c r="L234" s="192"/>
      <c r="M234" s="999"/>
      <c r="N234" s="1000"/>
      <c r="O234" s="1000"/>
      <c r="P234" s="1000"/>
      <c r="Q234" s="1000"/>
      <c r="R234" s="1000"/>
      <c r="S234" s="1000"/>
      <c r="T234" s="1000"/>
      <c r="U234" s="1000"/>
      <c r="V234" s="1000"/>
      <c r="W234" s="1000"/>
      <c r="X234" s="1000"/>
      <c r="Y234" s="1000"/>
      <c r="Z234" s="1000"/>
      <c r="AA234" s="1000"/>
      <c r="AB234" s="1000"/>
      <c r="AC234" s="1000"/>
      <c r="AD234" s="1000"/>
      <c r="AE234" s="1000"/>
      <c r="AF234" s="1000"/>
      <c r="AG234" s="1000"/>
      <c r="AH234" s="1000"/>
      <c r="AI234" s="1000"/>
      <c r="AJ234" s="1000"/>
      <c r="AK234" s="1000"/>
      <c r="AL234" s="1000"/>
      <c r="AM234" s="1000"/>
      <c r="AN234" s="1000"/>
      <c r="AO234" s="1000"/>
      <c r="AP234" s="1000"/>
      <c r="AQ234" s="1000"/>
      <c r="AR234" s="1000"/>
      <c r="AS234" s="1000"/>
      <c r="AT234" s="1000"/>
      <c r="AU234" s="1000"/>
      <c r="AV234" s="1000"/>
      <c r="AW234" s="1000"/>
      <c r="AX234" s="1000"/>
      <c r="AY234" s="1000"/>
      <c r="AZ234" s="1000"/>
      <c r="BA234" s="1000"/>
      <c r="BB234" s="1000"/>
      <c r="BC234" s="1000"/>
      <c r="BD234" s="1000"/>
      <c r="BE234" s="201"/>
      <c r="BF234" s="202" t="s">
        <v>487</v>
      </c>
      <c r="BG234" s="201"/>
      <c r="BH234" s="201"/>
      <c r="BI234" s="201"/>
      <c r="BJ234" s="201"/>
      <c r="BK234" s="203"/>
    </row>
    <row r="235" spans="1:64" s="164" customFormat="1" ht="15.75" customHeight="1">
      <c r="A235" s="180"/>
      <c r="B235" s="192"/>
      <c r="C235" s="250" t="s">
        <v>411</v>
      </c>
      <c r="D235" s="178" t="s">
        <v>651</v>
      </c>
      <c r="E235" s="179"/>
      <c r="F235" s="179"/>
      <c r="G235" s="179"/>
      <c r="H235" s="179"/>
      <c r="I235" s="179"/>
      <c r="J235" s="179"/>
      <c r="K235" s="179"/>
      <c r="L235" s="192"/>
      <c r="M235" s="1016" t="s">
        <v>652</v>
      </c>
      <c r="N235" s="1000"/>
      <c r="O235" s="1000"/>
      <c r="P235" s="1000"/>
      <c r="Q235" s="1000"/>
      <c r="R235" s="1000"/>
      <c r="S235" s="1000"/>
      <c r="T235" s="1000"/>
      <c r="U235" s="1000"/>
      <c r="V235" s="1000"/>
      <c r="W235" s="1000"/>
      <c r="X235" s="1000"/>
      <c r="Y235" s="1000"/>
      <c r="Z235" s="1000"/>
      <c r="AA235" s="1000"/>
      <c r="AB235" s="1000"/>
      <c r="AC235" s="1000"/>
      <c r="AD235" s="1000"/>
      <c r="AE235" s="1000"/>
      <c r="AF235" s="1000"/>
      <c r="AG235" s="1000"/>
      <c r="AH235" s="1000"/>
      <c r="AI235" s="1000"/>
      <c r="AJ235" s="1000"/>
      <c r="AK235" s="1000"/>
      <c r="AL235" s="1000"/>
      <c r="AM235" s="1000"/>
      <c r="AN235" s="1000"/>
      <c r="AO235" s="1000"/>
      <c r="AP235" s="1000"/>
      <c r="AQ235" s="1000"/>
      <c r="AR235" s="1000"/>
      <c r="AS235" s="1000"/>
      <c r="AT235" s="1000"/>
      <c r="AU235" s="1000"/>
      <c r="AV235" s="1000"/>
      <c r="AW235" s="1000"/>
      <c r="AX235" s="1000"/>
      <c r="AY235" s="1000"/>
      <c r="AZ235" s="1000"/>
      <c r="BA235" s="1000"/>
      <c r="BB235" s="1000"/>
      <c r="BC235" s="1000"/>
      <c r="BD235" s="1000"/>
      <c r="BE235" s="201"/>
      <c r="BF235" s="202" t="s">
        <v>419</v>
      </c>
      <c r="BG235" s="201"/>
      <c r="BH235" s="201"/>
      <c r="BI235" s="201"/>
      <c r="BJ235" s="201"/>
      <c r="BK235" s="203"/>
    </row>
    <row r="236" spans="1:64" s="165" customFormat="1" ht="41.5" customHeight="1">
      <c r="A236" s="252"/>
      <c r="B236" s="219"/>
      <c r="C236" s="253" t="s">
        <v>411</v>
      </c>
      <c r="D236" s="211" t="s">
        <v>653</v>
      </c>
      <c r="E236" s="212"/>
      <c r="F236" s="212"/>
      <c r="G236" s="212"/>
      <c r="H236" s="212"/>
      <c r="I236" s="212"/>
      <c r="J236" s="212"/>
      <c r="K236" s="212"/>
      <c r="L236" s="219"/>
      <c r="M236" s="1017" t="s">
        <v>654</v>
      </c>
      <c r="N236" s="1018"/>
      <c r="O236" s="1018"/>
      <c r="P236" s="1018"/>
      <c r="Q236" s="1018"/>
      <c r="R236" s="1018"/>
      <c r="S236" s="1018"/>
      <c r="T236" s="1018"/>
      <c r="U236" s="1018"/>
      <c r="V236" s="1018"/>
      <c r="W236" s="1018"/>
      <c r="X236" s="1018"/>
      <c r="Y236" s="1018"/>
      <c r="Z236" s="1018"/>
      <c r="AA236" s="1018"/>
      <c r="AB236" s="1018"/>
      <c r="AC236" s="1018"/>
      <c r="AD236" s="1018"/>
      <c r="AE236" s="1018"/>
      <c r="AF236" s="1018"/>
      <c r="AG236" s="1018"/>
      <c r="AH236" s="1018"/>
      <c r="AI236" s="1018"/>
      <c r="AJ236" s="1018"/>
      <c r="AK236" s="1018"/>
      <c r="AL236" s="1018"/>
      <c r="AM236" s="1018"/>
      <c r="AN236" s="1018"/>
      <c r="AO236" s="1018"/>
      <c r="AP236" s="1018"/>
      <c r="AQ236" s="1018"/>
      <c r="AR236" s="1018"/>
      <c r="AS236" s="1018"/>
      <c r="AT236" s="1018"/>
      <c r="AU236" s="1018"/>
      <c r="AV236" s="1018"/>
      <c r="AW236" s="1018"/>
      <c r="AX236" s="1018"/>
      <c r="AY236" s="1018"/>
      <c r="AZ236" s="1018"/>
      <c r="BA236" s="1018"/>
      <c r="BB236" s="1018"/>
      <c r="BC236" s="1018"/>
      <c r="BD236" s="1019"/>
      <c r="BE236" s="223"/>
      <c r="BF236" s="224" t="s">
        <v>419</v>
      </c>
      <c r="BG236" s="223"/>
      <c r="BH236" s="223"/>
      <c r="BI236" s="223"/>
      <c r="BJ236" s="223"/>
      <c r="BK236" s="203"/>
      <c r="BL236" s="164"/>
    </row>
    <row r="237" spans="1:64" s="164" customFormat="1" ht="15.75" customHeight="1">
      <c r="A237" s="185"/>
      <c r="B237" s="193"/>
      <c r="C237" s="184"/>
      <c r="D237" s="186"/>
      <c r="E237" s="184"/>
      <c r="F237" s="184"/>
      <c r="G237" s="184"/>
      <c r="H237" s="184"/>
      <c r="I237" s="184"/>
      <c r="J237" s="184"/>
      <c r="K237" s="184"/>
      <c r="L237" s="193"/>
      <c r="M237" s="184"/>
      <c r="N237" s="184"/>
      <c r="O237" s="184"/>
      <c r="P237" s="184"/>
      <c r="Q237" s="184"/>
      <c r="R237" s="184"/>
      <c r="S237" s="184"/>
      <c r="T237" s="184"/>
      <c r="U237" s="184"/>
      <c r="V237" s="184"/>
      <c r="W237" s="184"/>
      <c r="X237" s="184"/>
      <c r="Y237" s="184"/>
      <c r="Z237" s="184"/>
      <c r="AA237" s="184"/>
      <c r="AB237" s="184"/>
      <c r="AC237" s="184"/>
      <c r="AD237" s="184"/>
      <c r="AE237" s="184"/>
      <c r="AF237" s="184"/>
      <c r="AG237" s="184"/>
      <c r="AH237" s="184"/>
      <c r="AI237" s="184"/>
      <c r="AJ237" s="184"/>
      <c r="AK237" s="184"/>
      <c r="AL237" s="184"/>
      <c r="AM237" s="184"/>
      <c r="AN237" s="184"/>
      <c r="AO237" s="184"/>
      <c r="AP237" s="184"/>
      <c r="AQ237" s="184"/>
      <c r="AR237" s="184"/>
      <c r="AS237" s="184"/>
      <c r="AT237" s="184"/>
      <c r="AU237" s="184"/>
      <c r="AV237" s="184"/>
      <c r="AW237" s="184"/>
      <c r="AX237" s="184"/>
      <c r="AY237" s="184"/>
      <c r="AZ237" s="184"/>
      <c r="BA237" s="184"/>
      <c r="BB237" s="184"/>
      <c r="BC237" s="184"/>
      <c r="BD237" s="184"/>
      <c r="BE237" s="204"/>
      <c r="BF237" s="204"/>
      <c r="BG237" s="204"/>
      <c r="BH237" s="204"/>
      <c r="BI237" s="204"/>
      <c r="BJ237" s="204"/>
      <c r="BK237" s="206"/>
    </row>
    <row r="238" spans="1:64" s="164" customFormat="1" ht="15.75" customHeight="1">
      <c r="A238" s="213"/>
      <c r="B238" s="220"/>
      <c r="C238" s="215"/>
      <c r="D238" s="214" t="s">
        <v>1244</v>
      </c>
      <c r="E238" s="215"/>
      <c r="F238" s="215"/>
      <c r="G238" s="215"/>
      <c r="H238" s="215"/>
      <c r="I238" s="215"/>
      <c r="J238" s="215"/>
      <c r="K238" s="215"/>
      <c r="L238" s="220"/>
      <c r="M238" s="215"/>
      <c r="N238" s="221" t="s">
        <v>403</v>
      </c>
      <c r="O238" s="215"/>
      <c r="P238" s="215"/>
      <c r="Q238" s="215"/>
      <c r="R238" s="215"/>
      <c r="S238" s="215"/>
      <c r="T238" s="215"/>
      <c r="U238" s="215"/>
      <c r="V238" s="215"/>
      <c r="W238" s="215"/>
      <c r="X238" s="215"/>
      <c r="Y238" s="215"/>
      <c r="Z238" s="215"/>
      <c r="AA238" s="215"/>
      <c r="AB238" s="215"/>
      <c r="AC238" s="215"/>
      <c r="AD238" s="215"/>
      <c r="AE238" s="215"/>
      <c r="AF238" s="215"/>
      <c r="AG238" s="215"/>
      <c r="AH238" s="215"/>
      <c r="AI238" s="215"/>
      <c r="AJ238" s="215"/>
      <c r="AK238" s="215"/>
      <c r="AL238" s="215"/>
      <c r="AM238" s="215"/>
      <c r="AN238" s="215"/>
      <c r="AO238" s="215"/>
      <c r="AP238" s="215"/>
      <c r="AQ238" s="215"/>
      <c r="AR238" s="215"/>
      <c r="AS238" s="215"/>
      <c r="AT238" s="215"/>
      <c r="AU238" s="215"/>
      <c r="AV238" s="215"/>
      <c r="AW238" s="215"/>
      <c r="AX238" s="215"/>
      <c r="AY238" s="215"/>
      <c r="AZ238" s="215"/>
      <c r="BA238" s="215"/>
      <c r="BB238" s="215"/>
      <c r="BC238" s="215"/>
      <c r="BD238" s="215"/>
      <c r="BE238" s="225" t="s">
        <v>404</v>
      </c>
      <c r="BF238" s="225" t="s">
        <v>405</v>
      </c>
      <c r="BG238" s="225" t="s">
        <v>406</v>
      </c>
      <c r="BH238" s="225" t="s">
        <v>407</v>
      </c>
      <c r="BI238" s="225" t="s">
        <v>408</v>
      </c>
      <c r="BJ238" s="225" t="s">
        <v>409</v>
      </c>
      <c r="BK238" s="226" t="s">
        <v>410</v>
      </c>
    </row>
    <row r="239" spans="1:64" s="164" customFormat="1" ht="15.75" customHeight="1">
      <c r="A239" s="185"/>
      <c r="B239" s="193"/>
      <c r="C239" s="251" t="s">
        <v>411</v>
      </c>
      <c r="D239" s="183" t="s">
        <v>655</v>
      </c>
      <c r="E239" s="184"/>
      <c r="F239" s="184"/>
      <c r="G239" s="184"/>
      <c r="H239" s="184"/>
      <c r="I239" s="184"/>
      <c r="J239" s="184"/>
      <c r="K239" s="184"/>
      <c r="L239" s="193"/>
      <c r="M239" s="1001" t="s">
        <v>656</v>
      </c>
      <c r="N239" s="1002"/>
      <c r="O239" s="1002"/>
      <c r="P239" s="1002"/>
      <c r="Q239" s="1002"/>
      <c r="R239" s="1002"/>
      <c r="S239" s="1002"/>
      <c r="T239" s="1002"/>
      <c r="U239" s="1002"/>
      <c r="V239" s="1002"/>
      <c r="W239" s="1002"/>
      <c r="X239" s="1002"/>
      <c r="Y239" s="1002"/>
      <c r="Z239" s="1002"/>
      <c r="AA239" s="1002"/>
      <c r="AB239" s="1002"/>
      <c r="AC239" s="1002"/>
      <c r="AD239" s="1002"/>
      <c r="AE239" s="1002"/>
      <c r="AF239" s="1002"/>
      <c r="AG239" s="1002"/>
      <c r="AH239" s="1002"/>
      <c r="AI239" s="1002"/>
      <c r="AJ239" s="1002"/>
      <c r="AK239" s="1002"/>
      <c r="AL239" s="1002"/>
      <c r="AM239" s="1002"/>
      <c r="AN239" s="1002"/>
      <c r="AO239" s="1002"/>
      <c r="AP239" s="1002"/>
      <c r="AQ239" s="1002"/>
      <c r="AR239" s="1002"/>
      <c r="AS239" s="1002"/>
      <c r="AT239" s="1002"/>
      <c r="AU239" s="1002"/>
      <c r="AV239" s="1002"/>
      <c r="AW239" s="1002"/>
      <c r="AX239" s="1002"/>
      <c r="AY239" s="1002"/>
      <c r="AZ239" s="1002"/>
      <c r="BA239" s="1002"/>
      <c r="BB239" s="1002"/>
      <c r="BC239" s="1002"/>
      <c r="BD239" s="1002"/>
      <c r="BE239" s="204"/>
      <c r="BF239" s="205" t="s">
        <v>419</v>
      </c>
      <c r="BG239" s="204"/>
      <c r="BH239" s="204" t="s">
        <v>407</v>
      </c>
      <c r="BI239" s="204"/>
      <c r="BJ239" s="204"/>
      <c r="BK239" s="206"/>
    </row>
    <row r="240" spans="1:64" s="164" customFormat="1" ht="15.75" customHeight="1">
      <c r="A240" s="185"/>
      <c r="B240" s="193"/>
      <c r="C240" s="251" t="s">
        <v>411</v>
      </c>
      <c r="D240" s="183" t="s">
        <v>657</v>
      </c>
      <c r="E240" s="184"/>
      <c r="F240" s="184"/>
      <c r="G240" s="184"/>
      <c r="H240" s="184"/>
      <c r="I240" s="184"/>
      <c r="J240" s="184"/>
      <c r="K240" s="184"/>
      <c r="L240" s="193"/>
      <c r="M240" s="1003"/>
      <c r="N240" s="1002"/>
      <c r="O240" s="1002"/>
      <c r="P240" s="1002"/>
      <c r="Q240" s="1002"/>
      <c r="R240" s="1002"/>
      <c r="S240" s="1002"/>
      <c r="T240" s="1002"/>
      <c r="U240" s="1002"/>
      <c r="V240" s="1002"/>
      <c r="W240" s="1002"/>
      <c r="X240" s="1002"/>
      <c r="Y240" s="1002"/>
      <c r="Z240" s="1002"/>
      <c r="AA240" s="1002"/>
      <c r="AB240" s="1002"/>
      <c r="AC240" s="1002"/>
      <c r="AD240" s="1002"/>
      <c r="AE240" s="1002"/>
      <c r="AF240" s="1002"/>
      <c r="AG240" s="1002"/>
      <c r="AH240" s="1002"/>
      <c r="AI240" s="1002"/>
      <c r="AJ240" s="1002"/>
      <c r="AK240" s="1002"/>
      <c r="AL240" s="1002"/>
      <c r="AM240" s="1002"/>
      <c r="AN240" s="1002"/>
      <c r="AO240" s="1002"/>
      <c r="AP240" s="1002"/>
      <c r="AQ240" s="1002"/>
      <c r="AR240" s="1002"/>
      <c r="AS240" s="1002"/>
      <c r="AT240" s="1002"/>
      <c r="AU240" s="1002"/>
      <c r="AV240" s="1002"/>
      <c r="AW240" s="1002"/>
      <c r="AX240" s="1002"/>
      <c r="AY240" s="1002"/>
      <c r="AZ240" s="1002"/>
      <c r="BA240" s="1002"/>
      <c r="BB240" s="1002"/>
      <c r="BC240" s="1002"/>
      <c r="BD240" s="1002"/>
      <c r="BE240" s="205" t="s">
        <v>486</v>
      </c>
      <c r="BF240" s="205" t="s">
        <v>487</v>
      </c>
      <c r="BG240" s="204"/>
      <c r="BH240" s="204" t="s">
        <v>407</v>
      </c>
      <c r="BI240" s="205" t="s">
        <v>408</v>
      </c>
      <c r="BJ240" s="204"/>
      <c r="BK240" s="206"/>
    </row>
    <row r="241" spans="1:63" s="164" customFormat="1" ht="15.75" customHeight="1">
      <c r="A241" s="185"/>
      <c r="B241" s="193"/>
      <c r="C241" s="184"/>
      <c r="D241" s="183" t="s">
        <v>658</v>
      </c>
      <c r="E241" s="184"/>
      <c r="F241" s="184"/>
      <c r="G241" s="184"/>
      <c r="H241" s="184"/>
      <c r="I241" s="184"/>
      <c r="J241" s="184"/>
      <c r="K241" s="184"/>
      <c r="L241" s="193"/>
      <c r="M241" s="1003"/>
      <c r="N241" s="1002"/>
      <c r="O241" s="1002"/>
      <c r="P241" s="1002"/>
      <c r="Q241" s="1002"/>
      <c r="R241" s="1002"/>
      <c r="S241" s="1002"/>
      <c r="T241" s="1002"/>
      <c r="U241" s="1002"/>
      <c r="V241" s="1002"/>
      <c r="W241" s="1002"/>
      <c r="X241" s="1002"/>
      <c r="Y241" s="1002"/>
      <c r="Z241" s="1002"/>
      <c r="AA241" s="1002"/>
      <c r="AB241" s="1002"/>
      <c r="AC241" s="1002"/>
      <c r="AD241" s="1002"/>
      <c r="AE241" s="1002"/>
      <c r="AF241" s="1002"/>
      <c r="AG241" s="1002"/>
      <c r="AH241" s="1002"/>
      <c r="AI241" s="1002"/>
      <c r="AJ241" s="1002"/>
      <c r="AK241" s="1002"/>
      <c r="AL241" s="1002"/>
      <c r="AM241" s="1002"/>
      <c r="AN241" s="1002"/>
      <c r="AO241" s="1002"/>
      <c r="AP241" s="1002"/>
      <c r="AQ241" s="1002"/>
      <c r="AR241" s="1002"/>
      <c r="AS241" s="1002"/>
      <c r="AT241" s="1002"/>
      <c r="AU241" s="1002"/>
      <c r="AV241" s="1002"/>
      <c r="AW241" s="1002"/>
      <c r="AX241" s="1002"/>
      <c r="AY241" s="1002"/>
      <c r="AZ241" s="1002"/>
      <c r="BA241" s="1002"/>
      <c r="BB241" s="1002"/>
      <c r="BC241" s="1002"/>
      <c r="BD241" s="1002"/>
      <c r="BE241" s="204"/>
      <c r="BF241" s="205" t="s">
        <v>487</v>
      </c>
      <c r="BG241" s="204"/>
      <c r="BH241" s="204" t="s">
        <v>407</v>
      </c>
      <c r="BI241" s="204"/>
      <c r="BJ241" s="204"/>
      <c r="BK241" s="206"/>
    </row>
    <row r="242" spans="1:63" s="164" customFormat="1" ht="15.75" customHeight="1">
      <c r="A242" s="185"/>
      <c r="B242" s="193"/>
      <c r="C242" s="184"/>
      <c r="D242" s="183" t="s">
        <v>659</v>
      </c>
      <c r="E242" s="184"/>
      <c r="F242" s="184"/>
      <c r="G242" s="184"/>
      <c r="H242" s="184"/>
      <c r="I242" s="184"/>
      <c r="J242" s="184"/>
      <c r="K242" s="184"/>
      <c r="L242" s="193"/>
      <c r="M242" s="1003" t="s">
        <v>660</v>
      </c>
      <c r="N242" s="1002"/>
      <c r="O242" s="1002"/>
      <c r="P242" s="1002"/>
      <c r="Q242" s="1002"/>
      <c r="R242" s="1002"/>
      <c r="S242" s="1002"/>
      <c r="T242" s="1002"/>
      <c r="U242" s="1002"/>
      <c r="V242" s="1002"/>
      <c r="W242" s="1002"/>
      <c r="X242" s="1002"/>
      <c r="Y242" s="1002"/>
      <c r="Z242" s="1002"/>
      <c r="AA242" s="1002"/>
      <c r="AB242" s="1002"/>
      <c r="AC242" s="1002"/>
      <c r="AD242" s="1002"/>
      <c r="AE242" s="1002"/>
      <c r="AF242" s="1002"/>
      <c r="AG242" s="1002"/>
      <c r="AH242" s="1002"/>
      <c r="AI242" s="1002"/>
      <c r="AJ242" s="1002"/>
      <c r="AK242" s="1002"/>
      <c r="AL242" s="1002"/>
      <c r="AM242" s="1002"/>
      <c r="AN242" s="1002"/>
      <c r="AO242" s="1002"/>
      <c r="AP242" s="1002"/>
      <c r="AQ242" s="1002"/>
      <c r="AR242" s="1002"/>
      <c r="AS242" s="1002"/>
      <c r="AT242" s="1002"/>
      <c r="AU242" s="1002"/>
      <c r="AV242" s="1002"/>
      <c r="AW242" s="1002"/>
      <c r="AX242" s="1002"/>
      <c r="AY242" s="1002"/>
      <c r="AZ242" s="1002"/>
      <c r="BA242" s="1002"/>
      <c r="BB242" s="1002"/>
      <c r="BC242" s="1002"/>
      <c r="BD242" s="1002"/>
      <c r="BE242" s="204"/>
      <c r="BF242" s="205" t="s">
        <v>462</v>
      </c>
      <c r="BG242" s="204"/>
      <c r="BH242" s="204" t="s">
        <v>407</v>
      </c>
      <c r="BI242" s="204"/>
      <c r="BJ242" s="204"/>
      <c r="BK242" s="206"/>
    </row>
    <row r="243" spans="1:63" s="164" customFormat="1" ht="15.75" customHeight="1">
      <c r="A243" s="185"/>
      <c r="B243" s="193"/>
      <c r="C243" s="251" t="s">
        <v>411</v>
      </c>
      <c r="D243" s="183" t="s">
        <v>647</v>
      </c>
      <c r="E243" s="184"/>
      <c r="F243" s="184"/>
      <c r="G243" s="184"/>
      <c r="H243" s="184"/>
      <c r="I243" s="184"/>
      <c r="J243" s="184"/>
      <c r="K243" s="184"/>
      <c r="L243" s="193"/>
      <c r="M243" s="1005" t="s">
        <v>661</v>
      </c>
      <c r="N243" s="1002"/>
      <c r="O243" s="1002"/>
      <c r="P243" s="1002"/>
      <c r="Q243" s="1002"/>
      <c r="R243" s="1002"/>
      <c r="S243" s="1002"/>
      <c r="T243" s="1002"/>
      <c r="U243" s="1002"/>
      <c r="V243" s="1002"/>
      <c r="W243" s="1002"/>
      <c r="X243" s="1002"/>
      <c r="Y243" s="1002"/>
      <c r="Z243" s="1002"/>
      <c r="AA243" s="1002"/>
      <c r="AB243" s="1002"/>
      <c r="AC243" s="1002"/>
      <c r="AD243" s="1002"/>
      <c r="AE243" s="1002"/>
      <c r="AF243" s="1002"/>
      <c r="AG243" s="1002"/>
      <c r="AH243" s="1002"/>
      <c r="AI243" s="1002"/>
      <c r="AJ243" s="1002"/>
      <c r="AK243" s="1002"/>
      <c r="AL243" s="1002"/>
      <c r="AM243" s="1002"/>
      <c r="AN243" s="1002"/>
      <c r="AO243" s="1002"/>
      <c r="AP243" s="1002"/>
      <c r="AQ243" s="1002"/>
      <c r="AR243" s="1002"/>
      <c r="AS243" s="1002"/>
      <c r="AT243" s="1002"/>
      <c r="AU243" s="1002"/>
      <c r="AV243" s="1002"/>
      <c r="AW243" s="1002"/>
      <c r="AX243" s="1002"/>
      <c r="AY243" s="1002"/>
      <c r="AZ243" s="1002"/>
      <c r="BA243" s="1002"/>
      <c r="BB243" s="1002"/>
      <c r="BC243" s="1002"/>
      <c r="BD243" s="1002"/>
      <c r="BE243" s="204"/>
      <c r="BF243" s="205" t="s">
        <v>462</v>
      </c>
      <c r="BG243" s="204"/>
      <c r="BH243" s="204" t="s">
        <v>407</v>
      </c>
      <c r="BI243" s="205" t="s">
        <v>408</v>
      </c>
      <c r="BJ243" s="204"/>
      <c r="BK243" s="206"/>
    </row>
    <row r="244" spans="1:63" s="164" customFormat="1" ht="15.75" customHeight="1">
      <c r="A244" s="185"/>
      <c r="B244" s="193"/>
      <c r="C244" s="184"/>
      <c r="D244" s="183" t="s">
        <v>662</v>
      </c>
      <c r="E244" s="184"/>
      <c r="F244" s="184"/>
      <c r="G244" s="184"/>
      <c r="H244" s="184"/>
      <c r="I244" s="184"/>
      <c r="J244" s="184"/>
      <c r="K244" s="184"/>
      <c r="L244" s="193"/>
      <c r="M244" s="1005" t="s">
        <v>663</v>
      </c>
      <c r="N244" s="1002"/>
      <c r="O244" s="1002"/>
      <c r="P244" s="1002"/>
      <c r="Q244" s="1002"/>
      <c r="R244" s="1002"/>
      <c r="S244" s="1002"/>
      <c r="T244" s="1002"/>
      <c r="U244" s="1002"/>
      <c r="V244" s="1002"/>
      <c r="W244" s="1002"/>
      <c r="X244" s="1002"/>
      <c r="Y244" s="1002"/>
      <c r="Z244" s="1002"/>
      <c r="AA244" s="1002"/>
      <c r="AB244" s="1002"/>
      <c r="AC244" s="1002"/>
      <c r="AD244" s="1002"/>
      <c r="AE244" s="1002"/>
      <c r="AF244" s="1002"/>
      <c r="AG244" s="1002"/>
      <c r="AH244" s="1002"/>
      <c r="AI244" s="1002"/>
      <c r="AJ244" s="1002"/>
      <c r="AK244" s="1002"/>
      <c r="AL244" s="1002"/>
      <c r="AM244" s="1002"/>
      <c r="AN244" s="1002"/>
      <c r="AO244" s="1002"/>
      <c r="AP244" s="1002"/>
      <c r="AQ244" s="1002"/>
      <c r="AR244" s="1002"/>
      <c r="AS244" s="1002"/>
      <c r="AT244" s="1002"/>
      <c r="AU244" s="1002"/>
      <c r="AV244" s="1002"/>
      <c r="AW244" s="1002"/>
      <c r="AX244" s="1002"/>
      <c r="AY244" s="1002"/>
      <c r="AZ244" s="1002"/>
      <c r="BA244" s="1002"/>
      <c r="BB244" s="1002"/>
      <c r="BC244" s="1002"/>
      <c r="BD244" s="1002"/>
      <c r="BE244" s="204"/>
      <c r="BF244" s="205" t="s">
        <v>462</v>
      </c>
      <c r="BG244" s="204"/>
      <c r="BH244" s="204" t="s">
        <v>407</v>
      </c>
      <c r="BI244" s="204"/>
      <c r="BJ244" s="205" t="s">
        <v>409</v>
      </c>
      <c r="BK244" s="206"/>
    </row>
    <row r="245" spans="1:63" s="164" customFormat="1" ht="15.75" customHeight="1">
      <c r="A245" s="185"/>
      <c r="B245" s="193"/>
      <c r="C245" s="184"/>
      <c r="D245" s="183" t="s">
        <v>664</v>
      </c>
      <c r="E245" s="184"/>
      <c r="F245" s="184"/>
      <c r="G245" s="184"/>
      <c r="H245" s="184"/>
      <c r="I245" s="184"/>
      <c r="J245" s="184"/>
      <c r="K245" s="184"/>
      <c r="L245" s="193"/>
      <c r="M245" s="1003"/>
      <c r="N245" s="1002"/>
      <c r="O245" s="1002"/>
      <c r="P245" s="1002"/>
      <c r="Q245" s="1002"/>
      <c r="R245" s="1002"/>
      <c r="S245" s="1002"/>
      <c r="T245" s="1002"/>
      <c r="U245" s="1002"/>
      <c r="V245" s="1002"/>
      <c r="W245" s="1002"/>
      <c r="X245" s="1002"/>
      <c r="Y245" s="1002"/>
      <c r="Z245" s="1002"/>
      <c r="AA245" s="1002"/>
      <c r="AB245" s="1002"/>
      <c r="AC245" s="1002"/>
      <c r="AD245" s="1002"/>
      <c r="AE245" s="1002"/>
      <c r="AF245" s="1002"/>
      <c r="AG245" s="1002"/>
      <c r="AH245" s="1002"/>
      <c r="AI245" s="1002"/>
      <c r="AJ245" s="1002"/>
      <c r="AK245" s="1002"/>
      <c r="AL245" s="1002"/>
      <c r="AM245" s="1002"/>
      <c r="AN245" s="1002"/>
      <c r="AO245" s="1002"/>
      <c r="AP245" s="1002"/>
      <c r="AQ245" s="1002"/>
      <c r="AR245" s="1002"/>
      <c r="AS245" s="1002"/>
      <c r="AT245" s="1002"/>
      <c r="AU245" s="1002"/>
      <c r="AV245" s="1002"/>
      <c r="AW245" s="1002"/>
      <c r="AX245" s="1002"/>
      <c r="AY245" s="1002"/>
      <c r="AZ245" s="1002"/>
      <c r="BA245" s="1002"/>
      <c r="BB245" s="1002"/>
      <c r="BC245" s="1002"/>
      <c r="BD245" s="1002"/>
      <c r="BE245" s="204"/>
      <c r="BF245" s="205" t="s">
        <v>548</v>
      </c>
      <c r="BG245" s="204"/>
      <c r="BH245" s="204"/>
      <c r="BI245" s="204"/>
      <c r="BJ245" s="204"/>
      <c r="BK245" s="206"/>
    </row>
    <row r="246" spans="1:63" s="164" customFormat="1" ht="15.75" customHeight="1">
      <c r="A246" s="185"/>
      <c r="B246" s="193"/>
      <c r="C246" s="184"/>
      <c r="D246" s="183" t="s">
        <v>665</v>
      </c>
      <c r="E246" s="184"/>
      <c r="F246" s="184"/>
      <c r="G246" s="184"/>
      <c r="H246" s="184"/>
      <c r="I246" s="184"/>
      <c r="J246" s="184"/>
      <c r="K246" s="184"/>
      <c r="L246" s="193"/>
      <c r="M246" s="1003"/>
      <c r="N246" s="1002"/>
      <c r="O246" s="1002"/>
      <c r="P246" s="1002"/>
      <c r="Q246" s="1002"/>
      <c r="R246" s="1002"/>
      <c r="S246" s="1002"/>
      <c r="T246" s="1002"/>
      <c r="U246" s="1002"/>
      <c r="V246" s="1002"/>
      <c r="W246" s="1002"/>
      <c r="X246" s="1002"/>
      <c r="Y246" s="1002"/>
      <c r="Z246" s="1002"/>
      <c r="AA246" s="1002"/>
      <c r="AB246" s="1002"/>
      <c r="AC246" s="1002"/>
      <c r="AD246" s="1002"/>
      <c r="AE246" s="1002"/>
      <c r="AF246" s="1002"/>
      <c r="AG246" s="1002"/>
      <c r="AH246" s="1002"/>
      <c r="AI246" s="1002"/>
      <c r="AJ246" s="1002"/>
      <c r="AK246" s="1002"/>
      <c r="AL246" s="1002"/>
      <c r="AM246" s="1002"/>
      <c r="AN246" s="1002"/>
      <c r="AO246" s="1002"/>
      <c r="AP246" s="1002"/>
      <c r="AQ246" s="1002"/>
      <c r="AR246" s="1002"/>
      <c r="AS246" s="1002"/>
      <c r="AT246" s="1002"/>
      <c r="AU246" s="1002"/>
      <c r="AV246" s="1002"/>
      <c r="AW246" s="1002"/>
      <c r="AX246" s="1002"/>
      <c r="AY246" s="1002"/>
      <c r="AZ246" s="1002"/>
      <c r="BA246" s="1002"/>
      <c r="BB246" s="1002"/>
      <c r="BC246" s="1002"/>
      <c r="BD246" s="1002"/>
      <c r="BE246" s="204"/>
      <c r="BF246" s="205" t="s">
        <v>419</v>
      </c>
      <c r="BG246" s="204"/>
      <c r="BH246" s="204" t="s">
        <v>407</v>
      </c>
      <c r="BI246" s="204"/>
      <c r="BJ246" s="204"/>
      <c r="BK246" s="206"/>
    </row>
    <row r="247" spans="1:63" s="164" customFormat="1" ht="15.75" customHeight="1">
      <c r="A247" s="185"/>
      <c r="B247" s="193"/>
      <c r="C247" s="251" t="s">
        <v>411</v>
      </c>
      <c r="D247" s="183" t="s">
        <v>498</v>
      </c>
      <c r="E247" s="184"/>
      <c r="F247" s="184"/>
      <c r="G247" s="184"/>
      <c r="H247" s="184"/>
      <c r="I247" s="184"/>
      <c r="J247" s="184"/>
      <c r="K247" s="184"/>
      <c r="L247" s="193"/>
      <c r="M247" s="1005" t="s">
        <v>666</v>
      </c>
      <c r="N247" s="1005"/>
      <c r="O247" s="1005"/>
      <c r="P247" s="1005"/>
      <c r="Q247" s="1005"/>
      <c r="R247" s="1005"/>
      <c r="S247" s="1005"/>
      <c r="T247" s="1005"/>
      <c r="U247" s="1005"/>
      <c r="V247" s="1005"/>
      <c r="W247" s="1005"/>
      <c r="X247" s="1005"/>
      <c r="Y247" s="1005"/>
      <c r="Z247" s="1005"/>
      <c r="AA247" s="1005"/>
      <c r="AB247" s="1005"/>
      <c r="AC247" s="1005"/>
      <c r="AD247" s="1005"/>
      <c r="AE247" s="1005"/>
      <c r="AF247" s="1005"/>
      <c r="AG247" s="1005"/>
      <c r="AH247" s="1005"/>
      <c r="AI247" s="1005"/>
      <c r="AJ247" s="1005"/>
      <c r="AK247" s="1005"/>
      <c r="AL247" s="1005"/>
      <c r="AM247" s="1005"/>
      <c r="AN247" s="1005"/>
      <c r="AO247" s="1005"/>
      <c r="AP247" s="1005"/>
      <c r="AQ247" s="1005"/>
      <c r="AR247" s="1005"/>
      <c r="AS247" s="1005"/>
      <c r="AT247" s="1005"/>
      <c r="AU247" s="1005"/>
      <c r="AV247" s="1005"/>
      <c r="AW247" s="1005"/>
      <c r="AX247" s="1005"/>
      <c r="AY247" s="1005"/>
      <c r="AZ247" s="1005"/>
      <c r="BA247" s="1005"/>
      <c r="BB247" s="1005"/>
      <c r="BC247" s="1005"/>
      <c r="BD247" s="1005"/>
      <c r="BE247" s="205" t="s">
        <v>489</v>
      </c>
      <c r="BF247" s="205" t="s">
        <v>487</v>
      </c>
      <c r="BG247" s="204"/>
      <c r="BH247" s="204" t="s">
        <v>407</v>
      </c>
      <c r="BI247" s="205" t="s">
        <v>408</v>
      </c>
      <c r="BJ247" s="204"/>
      <c r="BK247" s="206"/>
    </row>
    <row r="248" spans="1:63" s="164" customFormat="1" ht="15.75" customHeight="1">
      <c r="A248" s="185"/>
      <c r="B248" s="193"/>
      <c r="C248" s="184"/>
      <c r="D248" s="183" t="s">
        <v>499</v>
      </c>
      <c r="E248" s="184"/>
      <c r="F248" s="184"/>
      <c r="G248" s="184"/>
      <c r="H248" s="184"/>
      <c r="I248" s="184"/>
      <c r="J248" s="184"/>
      <c r="K248" s="184"/>
      <c r="L248" s="193"/>
      <c r="M248" s="1003"/>
      <c r="N248" s="1002"/>
      <c r="O248" s="1002"/>
      <c r="P248" s="1002"/>
      <c r="Q248" s="1002"/>
      <c r="R248" s="1002"/>
      <c r="S248" s="1002"/>
      <c r="T248" s="1002"/>
      <c r="U248" s="1002"/>
      <c r="V248" s="1002"/>
      <c r="W248" s="1002"/>
      <c r="X248" s="1002"/>
      <c r="Y248" s="1002"/>
      <c r="Z248" s="1002"/>
      <c r="AA248" s="1002"/>
      <c r="AB248" s="1002"/>
      <c r="AC248" s="1002"/>
      <c r="AD248" s="1002"/>
      <c r="AE248" s="1002"/>
      <c r="AF248" s="1002"/>
      <c r="AG248" s="1002"/>
      <c r="AH248" s="1002"/>
      <c r="AI248" s="1002"/>
      <c r="AJ248" s="1002"/>
      <c r="AK248" s="1002"/>
      <c r="AL248" s="1002"/>
      <c r="AM248" s="1002"/>
      <c r="AN248" s="1002"/>
      <c r="AO248" s="1002"/>
      <c r="AP248" s="1002"/>
      <c r="AQ248" s="1002"/>
      <c r="AR248" s="1002"/>
      <c r="AS248" s="1002"/>
      <c r="AT248" s="1002"/>
      <c r="AU248" s="1002"/>
      <c r="AV248" s="1002"/>
      <c r="AW248" s="1002"/>
      <c r="AX248" s="1002"/>
      <c r="AY248" s="1002"/>
      <c r="AZ248" s="1002"/>
      <c r="BA248" s="1002"/>
      <c r="BB248" s="1002"/>
      <c r="BC248" s="1002"/>
      <c r="BD248" s="1002"/>
      <c r="BE248" s="204"/>
      <c r="BF248" s="205" t="s">
        <v>487</v>
      </c>
      <c r="BG248" s="204"/>
      <c r="BH248" s="204" t="s">
        <v>407</v>
      </c>
      <c r="BI248" s="204"/>
      <c r="BJ248" s="204"/>
      <c r="BK248" s="206"/>
    </row>
    <row r="249" spans="1:63" s="164" customFormat="1" ht="15.75" customHeight="1">
      <c r="A249" s="185"/>
      <c r="B249" s="193"/>
      <c r="C249" s="184"/>
      <c r="D249" s="183" t="s">
        <v>667</v>
      </c>
      <c r="E249" s="184"/>
      <c r="F249" s="184"/>
      <c r="G249" s="184"/>
      <c r="H249" s="184"/>
      <c r="I249" s="184"/>
      <c r="J249" s="184"/>
      <c r="K249" s="184"/>
      <c r="L249" s="193"/>
      <c r="M249" s="1001" t="s">
        <v>668</v>
      </c>
      <c r="N249" s="1002"/>
      <c r="O249" s="1002"/>
      <c r="P249" s="1002"/>
      <c r="Q249" s="1002"/>
      <c r="R249" s="1002"/>
      <c r="S249" s="1002"/>
      <c r="T249" s="1002"/>
      <c r="U249" s="1002"/>
      <c r="V249" s="1002"/>
      <c r="W249" s="1002"/>
      <c r="X249" s="1002"/>
      <c r="Y249" s="1002"/>
      <c r="Z249" s="1002"/>
      <c r="AA249" s="1002"/>
      <c r="AB249" s="1002"/>
      <c r="AC249" s="1002"/>
      <c r="AD249" s="1002"/>
      <c r="AE249" s="1002"/>
      <c r="AF249" s="1002"/>
      <c r="AG249" s="1002"/>
      <c r="AH249" s="1002"/>
      <c r="AI249" s="1002"/>
      <c r="AJ249" s="1002"/>
      <c r="AK249" s="1002"/>
      <c r="AL249" s="1002"/>
      <c r="AM249" s="1002"/>
      <c r="AN249" s="1002"/>
      <c r="AO249" s="1002"/>
      <c r="AP249" s="1002"/>
      <c r="AQ249" s="1002"/>
      <c r="AR249" s="1002"/>
      <c r="AS249" s="1002"/>
      <c r="AT249" s="1002"/>
      <c r="AU249" s="1002"/>
      <c r="AV249" s="1002"/>
      <c r="AW249" s="1002"/>
      <c r="AX249" s="1002"/>
      <c r="AY249" s="1002"/>
      <c r="AZ249" s="1002"/>
      <c r="BA249" s="1002"/>
      <c r="BB249" s="1002"/>
      <c r="BC249" s="1002"/>
      <c r="BD249" s="1002"/>
      <c r="BE249" s="204"/>
      <c r="BF249" s="205" t="s">
        <v>642</v>
      </c>
      <c r="BG249" s="204"/>
      <c r="BH249" s="204"/>
      <c r="BI249" s="204"/>
      <c r="BJ249" s="204"/>
      <c r="BK249" s="206"/>
    </row>
    <row r="250" spans="1:63" s="166" customFormat="1" ht="15.75" customHeight="1">
      <c r="A250" s="216"/>
      <c r="B250" s="222"/>
      <c r="C250" s="218"/>
      <c r="D250" s="217" t="s">
        <v>669</v>
      </c>
      <c r="E250" s="218"/>
      <c r="F250" s="218"/>
      <c r="G250" s="218"/>
      <c r="H250" s="218"/>
      <c r="I250" s="218"/>
      <c r="J250" s="218"/>
      <c r="K250" s="218"/>
      <c r="L250" s="222"/>
      <c r="M250" s="1004"/>
      <c r="N250" s="1013"/>
      <c r="O250" s="1013"/>
      <c r="P250" s="1013"/>
      <c r="Q250" s="1013"/>
      <c r="R250" s="1013"/>
      <c r="S250" s="1013"/>
      <c r="T250" s="1013"/>
      <c r="U250" s="1013"/>
      <c r="V250" s="1013"/>
      <c r="W250" s="1013"/>
      <c r="X250" s="1013"/>
      <c r="Y250" s="1013"/>
      <c r="Z250" s="1013"/>
      <c r="AA250" s="1013"/>
      <c r="AB250" s="1013"/>
      <c r="AC250" s="1013"/>
      <c r="AD250" s="1013"/>
      <c r="AE250" s="1013"/>
      <c r="AF250" s="1013"/>
      <c r="AG250" s="1013"/>
      <c r="AH250" s="1013"/>
      <c r="AI250" s="1013"/>
      <c r="AJ250" s="1013"/>
      <c r="AK250" s="1013"/>
      <c r="AL250" s="1013"/>
      <c r="AM250" s="1013"/>
      <c r="AN250" s="1013"/>
      <c r="AO250" s="1013"/>
      <c r="AP250" s="1013"/>
      <c r="AQ250" s="1013"/>
      <c r="AR250" s="1013"/>
      <c r="AS250" s="1013"/>
      <c r="AT250" s="1013"/>
      <c r="AU250" s="1013"/>
      <c r="AV250" s="1013"/>
      <c r="AW250" s="1013"/>
      <c r="AX250" s="1013"/>
      <c r="AY250" s="1013"/>
      <c r="AZ250" s="1013"/>
      <c r="BA250" s="1013"/>
      <c r="BB250" s="1013"/>
      <c r="BC250" s="1013"/>
      <c r="BD250" s="1013"/>
      <c r="BE250" s="227"/>
      <c r="BF250" s="228" t="s">
        <v>487</v>
      </c>
      <c r="BG250" s="227"/>
      <c r="BH250" s="227" t="s">
        <v>407</v>
      </c>
      <c r="BI250" s="227"/>
      <c r="BJ250" s="228" t="s">
        <v>409</v>
      </c>
      <c r="BK250" s="229"/>
    </row>
    <row r="251" spans="1:63" s="166" customFormat="1" ht="15.75" customHeight="1">
      <c r="A251" s="216"/>
      <c r="B251" s="222"/>
      <c r="C251" s="218"/>
      <c r="D251" s="217" t="s">
        <v>670</v>
      </c>
      <c r="E251" s="218"/>
      <c r="F251" s="218"/>
      <c r="G251" s="218"/>
      <c r="H251" s="218"/>
      <c r="I251" s="218"/>
      <c r="J251" s="218"/>
      <c r="K251" s="218"/>
      <c r="L251" s="222"/>
      <c r="M251" s="1004"/>
      <c r="N251" s="1013"/>
      <c r="O251" s="1013"/>
      <c r="P251" s="1013"/>
      <c r="Q251" s="1013"/>
      <c r="R251" s="1013"/>
      <c r="S251" s="1013"/>
      <c r="T251" s="1013"/>
      <c r="U251" s="1013"/>
      <c r="V251" s="1013"/>
      <c r="W251" s="1013"/>
      <c r="X251" s="1013"/>
      <c r="Y251" s="1013"/>
      <c r="Z251" s="1013"/>
      <c r="AA251" s="1013"/>
      <c r="AB251" s="1013"/>
      <c r="AC251" s="1013"/>
      <c r="AD251" s="1013"/>
      <c r="AE251" s="1013"/>
      <c r="AF251" s="1013"/>
      <c r="AG251" s="1013"/>
      <c r="AH251" s="1013"/>
      <c r="AI251" s="1013"/>
      <c r="AJ251" s="1013"/>
      <c r="AK251" s="1013"/>
      <c r="AL251" s="1013"/>
      <c r="AM251" s="1013"/>
      <c r="AN251" s="1013"/>
      <c r="AO251" s="1013"/>
      <c r="AP251" s="1013"/>
      <c r="AQ251" s="1013"/>
      <c r="AR251" s="1013"/>
      <c r="AS251" s="1013"/>
      <c r="AT251" s="1013"/>
      <c r="AU251" s="1013"/>
      <c r="AV251" s="1013"/>
      <c r="AW251" s="1013"/>
      <c r="AX251" s="1013"/>
      <c r="AY251" s="1013"/>
      <c r="AZ251" s="1013"/>
      <c r="BA251" s="1013"/>
      <c r="BB251" s="1013"/>
      <c r="BC251" s="1013"/>
      <c r="BD251" s="1013"/>
      <c r="BE251" s="227"/>
      <c r="BF251" s="228" t="s">
        <v>487</v>
      </c>
      <c r="BG251" s="227"/>
      <c r="BH251" s="227" t="s">
        <v>407</v>
      </c>
      <c r="BI251" s="227"/>
      <c r="BJ251" s="228" t="s">
        <v>409</v>
      </c>
      <c r="BK251" s="229"/>
    </row>
    <row r="252" spans="1:63" s="166" customFormat="1" ht="15.75" customHeight="1">
      <c r="A252" s="216"/>
      <c r="B252" s="222"/>
      <c r="C252" s="218"/>
      <c r="D252" s="217" t="s">
        <v>671</v>
      </c>
      <c r="E252" s="218"/>
      <c r="F252" s="218"/>
      <c r="G252" s="218"/>
      <c r="H252" s="218"/>
      <c r="I252" s="218"/>
      <c r="J252" s="218"/>
      <c r="K252" s="218"/>
      <c r="L252" s="222"/>
      <c r="M252" s="1004"/>
      <c r="N252" s="1013"/>
      <c r="O252" s="1013"/>
      <c r="P252" s="1013"/>
      <c r="Q252" s="1013"/>
      <c r="R252" s="1013"/>
      <c r="S252" s="1013"/>
      <c r="T252" s="1013"/>
      <c r="U252" s="1013"/>
      <c r="V252" s="1013"/>
      <c r="W252" s="1013"/>
      <c r="X252" s="1013"/>
      <c r="Y252" s="1013"/>
      <c r="Z252" s="1013"/>
      <c r="AA252" s="1013"/>
      <c r="AB252" s="1013"/>
      <c r="AC252" s="1013"/>
      <c r="AD252" s="1013"/>
      <c r="AE252" s="1013"/>
      <c r="AF252" s="1013"/>
      <c r="AG252" s="1013"/>
      <c r="AH252" s="1013"/>
      <c r="AI252" s="1013"/>
      <c r="AJ252" s="1013"/>
      <c r="AK252" s="1013"/>
      <c r="AL252" s="1013"/>
      <c r="AM252" s="1013"/>
      <c r="AN252" s="1013"/>
      <c r="AO252" s="1013"/>
      <c r="AP252" s="1013"/>
      <c r="AQ252" s="1013"/>
      <c r="AR252" s="1013"/>
      <c r="AS252" s="1013"/>
      <c r="AT252" s="1013"/>
      <c r="AU252" s="1013"/>
      <c r="AV252" s="1013"/>
      <c r="AW252" s="1013"/>
      <c r="AX252" s="1013"/>
      <c r="AY252" s="1013"/>
      <c r="AZ252" s="1013"/>
      <c r="BA252" s="1013"/>
      <c r="BB252" s="1013"/>
      <c r="BC252" s="1013"/>
      <c r="BD252" s="1013"/>
      <c r="BE252" s="227"/>
      <c r="BF252" s="228" t="s">
        <v>487</v>
      </c>
      <c r="BG252" s="227"/>
      <c r="BH252" s="227" t="s">
        <v>407</v>
      </c>
      <c r="BI252" s="227"/>
      <c r="BJ252" s="228" t="s">
        <v>409</v>
      </c>
      <c r="BK252" s="229"/>
    </row>
    <row r="253" spans="1:63" s="166" customFormat="1" ht="15.75" customHeight="1">
      <c r="A253" s="216"/>
      <c r="B253" s="222"/>
      <c r="C253" s="218"/>
      <c r="D253" s="217" t="s">
        <v>672</v>
      </c>
      <c r="E253" s="218"/>
      <c r="F253" s="218"/>
      <c r="G253" s="218"/>
      <c r="H253" s="218"/>
      <c r="I253" s="218"/>
      <c r="J253" s="218"/>
      <c r="K253" s="218"/>
      <c r="L253" s="222"/>
      <c r="M253" s="1004"/>
      <c r="N253" s="1013"/>
      <c r="O253" s="1013"/>
      <c r="P253" s="1013"/>
      <c r="Q253" s="1013"/>
      <c r="R253" s="1013"/>
      <c r="S253" s="1013"/>
      <c r="T253" s="1013"/>
      <c r="U253" s="1013"/>
      <c r="V253" s="1013"/>
      <c r="W253" s="1013"/>
      <c r="X253" s="1013"/>
      <c r="Y253" s="1013"/>
      <c r="Z253" s="1013"/>
      <c r="AA253" s="1013"/>
      <c r="AB253" s="1013"/>
      <c r="AC253" s="1013"/>
      <c r="AD253" s="1013"/>
      <c r="AE253" s="1013"/>
      <c r="AF253" s="1013"/>
      <c r="AG253" s="1013"/>
      <c r="AH253" s="1013"/>
      <c r="AI253" s="1013"/>
      <c r="AJ253" s="1013"/>
      <c r="AK253" s="1013"/>
      <c r="AL253" s="1013"/>
      <c r="AM253" s="1013"/>
      <c r="AN253" s="1013"/>
      <c r="AO253" s="1013"/>
      <c r="AP253" s="1013"/>
      <c r="AQ253" s="1013"/>
      <c r="AR253" s="1013"/>
      <c r="AS253" s="1013"/>
      <c r="AT253" s="1013"/>
      <c r="AU253" s="1013"/>
      <c r="AV253" s="1013"/>
      <c r="AW253" s="1013"/>
      <c r="AX253" s="1013"/>
      <c r="AY253" s="1013"/>
      <c r="AZ253" s="1013"/>
      <c r="BA253" s="1013"/>
      <c r="BB253" s="1013"/>
      <c r="BC253" s="1013"/>
      <c r="BD253" s="1013"/>
      <c r="BE253" s="227"/>
      <c r="BF253" s="228" t="s">
        <v>487</v>
      </c>
      <c r="BG253" s="227"/>
      <c r="BH253" s="227" t="s">
        <v>407</v>
      </c>
      <c r="BI253" s="227"/>
      <c r="BJ253" s="228" t="s">
        <v>409</v>
      </c>
      <c r="BK253" s="229"/>
    </row>
    <row r="254" spans="1:63" s="166" customFormat="1" ht="15.75" customHeight="1">
      <c r="A254" s="216"/>
      <c r="B254" s="222"/>
      <c r="C254" s="218"/>
      <c r="D254" s="217" t="s">
        <v>673</v>
      </c>
      <c r="E254" s="218"/>
      <c r="F254" s="218"/>
      <c r="G254" s="218"/>
      <c r="H254" s="218"/>
      <c r="I254" s="218"/>
      <c r="J254" s="218"/>
      <c r="K254" s="218"/>
      <c r="L254" s="222"/>
      <c r="M254" s="1004"/>
      <c r="N254" s="1013"/>
      <c r="O254" s="1013"/>
      <c r="P254" s="1013"/>
      <c r="Q254" s="1013"/>
      <c r="R254" s="1013"/>
      <c r="S254" s="1013"/>
      <c r="T254" s="1013"/>
      <c r="U254" s="1013"/>
      <c r="V254" s="1013"/>
      <c r="W254" s="1013"/>
      <c r="X254" s="1013"/>
      <c r="Y254" s="1013"/>
      <c r="Z254" s="1013"/>
      <c r="AA254" s="1013"/>
      <c r="AB254" s="1013"/>
      <c r="AC254" s="1013"/>
      <c r="AD254" s="1013"/>
      <c r="AE254" s="1013"/>
      <c r="AF254" s="1013"/>
      <c r="AG254" s="1013"/>
      <c r="AH254" s="1013"/>
      <c r="AI254" s="1013"/>
      <c r="AJ254" s="1013"/>
      <c r="AK254" s="1013"/>
      <c r="AL254" s="1013"/>
      <c r="AM254" s="1013"/>
      <c r="AN254" s="1013"/>
      <c r="AO254" s="1013"/>
      <c r="AP254" s="1013"/>
      <c r="AQ254" s="1013"/>
      <c r="AR254" s="1013"/>
      <c r="AS254" s="1013"/>
      <c r="AT254" s="1013"/>
      <c r="AU254" s="1013"/>
      <c r="AV254" s="1013"/>
      <c r="AW254" s="1013"/>
      <c r="AX254" s="1013"/>
      <c r="AY254" s="1013"/>
      <c r="AZ254" s="1013"/>
      <c r="BA254" s="1013"/>
      <c r="BB254" s="1013"/>
      <c r="BC254" s="1013"/>
      <c r="BD254" s="1013"/>
      <c r="BE254" s="227"/>
      <c r="BF254" s="228" t="s">
        <v>487</v>
      </c>
      <c r="BG254" s="227"/>
      <c r="BH254" s="227" t="s">
        <v>407</v>
      </c>
      <c r="BI254" s="227"/>
      <c r="BJ254" s="228" t="s">
        <v>409</v>
      </c>
      <c r="BK254" s="229"/>
    </row>
    <row r="255" spans="1:63" s="166" customFormat="1" ht="15.75" customHeight="1">
      <c r="A255" s="216"/>
      <c r="B255" s="222"/>
      <c r="C255" s="218"/>
      <c r="D255" s="217" t="s">
        <v>674</v>
      </c>
      <c r="E255" s="218"/>
      <c r="F255" s="218"/>
      <c r="G255" s="218"/>
      <c r="H255" s="218"/>
      <c r="I255" s="218"/>
      <c r="J255" s="218"/>
      <c r="K255" s="218"/>
      <c r="L255" s="222"/>
      <c r="M255" s="1004"/>
      <c r="N255" s="1013"/>
      <c r="O255" s="1013"/>
      <c r="P255" s="1013"/>
      <c r="Q255" s="1013"/>
      <c r="R255" s="1013"/>
      <c r="S255" s="1013"/>
      <c r="T255" s="1013"/>
      <c r="U255" s="1013"/>
      <c r="V255" s="1013"/>
      <c r="W255" s="1013"/>
      <c r="X255" s="1013"/>
      <c r="Y255" s="1013"/>
      <c r="Z255" s="1013"/>
      <c r="AA255" s="1013"/>
      <c r="AB255" s="1013"/>
      <c r="AC255" s="1013"/>
      <c r="AD255" s="1013"/>
      <c r="AE255" s="1013"/>
      <c r="AF255" s="1013"/>
      <c r="AG255" s="1013"/>
      <c r="AH255" s="1013"/>
      <c r="AI255" s="1013"/>
      <c r="AJ255" s="1013"/>
      <c r="AK255" s="1013"/>
      <c r="AL255" s="1013"/>
      <c r="AM255" s="1013"/>
      <c r="AN255" s="1013"/>
      <c r="AO255" s="1013"/>
      <c r="AP255" s="1013"/>
      <c r="AQ255" s="1013"/>
      <c r="AR255" s="1013"/>
      <c r="AS255" s="1013"/>
      <c r="AT255" s="1013"/>
      <c r="AU255" s="1013"/>
      <c r="AV255" s="1013"/>
      <c r="AW255" s="1013"/>
      <c r="AX255" s="1013"/>
      <c r="AY255" s="1013"/>
      <c r="AZ255" s="1013"/>
      <c r="BA255" s="1013"/>
      <c r="BB255" s="1013"/>
      <c r="BC255" s="1013"/>
      <c r="BD255" s="1013"/>
      <c r="BE255" s="227"/>
      <c r="BF255" s="228" t="s">
        <v>487</v>
      </c>
      <c r="BG255" s="227"/>
      <c r="BH255" s="227" t="s">
        <v>407</v>
      </c>
      <c r="BI255" s="227"/>
      <c r="BJ255" s="228" t="s">
        <v>409</v>
      </c>
      <c r="BK255" s="229"/>
    </row>
    <row r="256" spans="1:63" s="164" customFormat="1" ht="15.75" customHeight="1">
      <c r="A256" s="185"/>
      <c r="B256" s="193"/>
      <c r="C256" s="184"/>
      <c r="D256" s="183" t="s">
        <v>494</v>
      </c>
      <c r="E256" s="184"/>
      <c r="F256" s="184"/>
      <c r="G256" s="184"/>
      <c r="H256" s="184"/>
      <c r="I256" s="184"/>
      <c r="J256" s="184"/>
      <c r="K256" s="184"/>
      <c r="L256" s="193"/>
      <c r="M256" s="1014"/>
      <c r="N256" s="1003"/>
      <c r="O256" s="1003"/>
      <c r="P256" s="1003"/>
      <c r="Q256" s="1003"/>
      <c r="R256" s="1003"/>
      <c r="S256" s="1003"/>
      <c r="T256" s="1003"/>
      <c r="U256" s="1003"/>
      <c r="V256" s="1003"/>
      <c r="W256" s="1003"/>
      <c r="X256" s="1003"/>
      <c r="Y256" s="1003"/>
      <c r="Z256" s="1003"/>
      <c r="AA256" s="1003"/>
      <c r="AB256" s="1003"/>
      <c r="AC256" s="1003"/>
      <c r="AD256" s="1003"/>
      <c r="AE256" s="1003"/>
      <c r="AF256" s="1003"/>
      <c r="AG256" s="1003"/>
      <c r="AH256" s="1003"/>
      <c r="AI256" s="1003"/>
      <c r="AJ256" s="1003"/>
      <c r="AK256" s="1003"/>
      <c r="AL256" s="1003"/>
      <c r="AM256" s="1003"/>
      <c r="AN256" s="1003"/>
      <c r="AO256" s="1003"/>
      <c r="AP256" s="1003"/>
      <c r="AQ256" s="1003"/>
      <c r="AR256" s="1003"/>
      <c r="AS256" s="1003"/>
      <c r="AT256" s="1003"/>
      <c r="AU256" s="1003"/>
      <c r="AV256" s="1003"/>
      <c r="AW256" s="1003"/>
      <c r="AX256" s="1003"/>
      <c r="AY256" s="1003"/>
      <c r="AZ256" s="1003"/>
      <c r="BA256" s="1003"/>
      <c r="BB256" s="1003"/>
      <c r="BC256" s="1003"/>
      <c r="BD256" s="1015"/>
      <c r="BE256" s="204"/>
      <c r="BF256" s="205" t="s">
        <v>487</v>
      </c>
      <c r="BG256" s="204"/>
      <c r="BH256" s="204" t="s">
        <v>407</v>
      </c>
      <c r="BI256" s="204"/>
      <c r="BJ256" s="205" t="s">
        <v>409</v>
      </c>
      <c r="BK256" s="206"/>
    </row>
    <row r="257" spans="1:63" s="164" customFormat="1" ht="15.75" customHeight="1">
      <c r="A257" s="185"/>
      <c r="B257" s="193"/>
      <c r="C257" s="184"/>
      <c r="D257" s="183" t="s">
        <v>495</v>
      </c>
      <c r="E257" s="184"/>
      <c r="F257" s="184"/>
      <c r="G257" s="184"/>
      <c r="H257" s="184"/>
      <c r="I257" s="184"/>
      <c r="J257" s="184"/>
      <c r="K257" s="184"/>
      <c r="L257" s="193"/>
      <c r="M257" s="1014"/>
      <c r="N257" s="1003"/>
      <c r="O257" s="1003"/>
      <c r="P257" s="1003"/>
      <c r="Q257" s="1003"/>
      <c r="R257" s="1003"/>
      <c r="S257" s="1003"/>
      <c r="T257" s="1003"/>
      <c r="U257" s="1003"/>
      <c r="V257" s="1003"/>
      <c r="W257" s="1003"/>
      <c r="X257" s="1003"/>
      <c r="Y257" s="1003"/>
      <c r="Z257" s="1003"/>
      <c r="AA257" s="1003"/>
      <c r="AB257" s="1003"/>
      <c r="AC257" s="1003"/>
      <c r="AD257" s="1003"/>
      <c r="AE257" s="1003"/>
      <c r="AF257" s="1003"/>
      <c r="AG257" s="1003"/>
      <c r="AH257" s="1003"/>
      <c r="AI257" s="1003"/>
      <c r="AJ257" s="1003"/>
      <c r="AK257" s="1003"/>
      <c r="AL257" s="1003"/>
      <c r="AM257" s="1003"/>
      <c r="AN257" s="1003"/>
      <c r="AO257" s="1003"/>
      <c r="AP257" s="1003"/>
      <c r="AQ257" s="1003"/>
      <c r="AR257" s="1003"/>
      <c r="AS257" s="1003"/>
      <c r="AT257" s="1003"/>
      <c r="AU257" s="1003"/>
      <c r="AV257" s="1003"/>
      <c r="AW257" s="1003"/>
      <c r="AX257" s="1003"/>
      <c r="AY257" s="1003"/>
      <c r="AZ257" s="1003"/>
      <c r="BA257" s="1003"/>
      <c r="BB257" s="1003"/>
      <c r="BC257" s="1003"/>
      <c r="BD257" s="1015"/>
      <c r="BE257" s="204"/>
      <c r="BF257" s="205" t="s">
        <v>487</v>
      </c>
      <c r="BG257" s="204"/>
      <c r="BH257" s="204" t="s">
        <v>407</v>
      </c>
      <c r="BI257" s="204"/>
      <c r="BJ257" s="205" t="s">
        <v>409</v>
      </c>
      <c r="BK257" s="206"/>
    </row>
    <row r="258" spans="1:63" s="164" customFormat="1" ht="15.75" customHeight="1">
      <c r="A258" s="185"/>
      <c r="B258" s="193"/>
      <c r="C258" s="184"/>
      <c r="D258" s="183" t="s">
        <v>496</v>
      </c>
      <c r="E258" s="184"/>
      <c r="F258" s="184"/>
      <c r="G258" s="184"/>
      <c r="H258" s="184"/>
      <c r="I258" s="184"/>
      <c r="J258" s="184"/>
      <c r="K258" s="184"/>
      <c r="L258" s="193"/>
      <c r="M258" s="1003"/>
      <c r="N258" s="1002"/>
      <c r="O258" s="1002"/>
      <c r="P258" s="1002"/>
      <c r="Q258" s="1002"/>
      <c r="R258" s="1002"/>
      <c r="S258" s="1002"/>
      <c r="T258" s="1002"/>
      <c r="U258" s="1002"/>
      <c r="V258" s="1002"/>
      <c r="W258" s="1002"/>
      <c r="X258" s="1002"/>
      <c r="Y258" s="1002"/>
      <c r="Z258" s="1002"/>
      <c r="AA258" s="1002"/>
      <c r="AB258" s="1002"/>
      <c r="AC258" s="1002"/>
      <c r="AD258" s="1002"/>
      <c r="AE258" s="1002"/>
      <c r="AF258" s="1002"/>
      <c r="AG258" s="1002"/>
      <c r="AH258" s="1002"/>
      <c r="AI258" s="1002"/>
      <c r="AJ258" s="1002"/>
      <c r="AK258" s="1002"/>
      <c r="AL258" s="1002"/>
      <c r="AM258" s="1002"/>
      <c r="AN258" s="1002"/>
      <c r="AO258" s="1002"/>
      <c r="AP258" s="1002"/>
      <c r="AQ258" s="1002"/>
      <c r="AR258" s="1002"/>
      <c r="AS258" s="1002"/>
      <c r="AT258" s="1002"/>
      <c r="AU258" s="1002"/>
      <c r="AV258" s="1002"/>
      <c r="AW258" s="1002"/>
      <c r="AX258" s="1002"/>
      <c r="AY258" s="1002"/>
      <c r="AZ258" s="1002"/>
      <c r="BA258" s="1002"/>
      <c r="BB258" s="1002"/>
      <c r="BC258" s="1002"/>
      <c r="BD258" s="1002"/>
      <c r="BE258" s="204"/>
      <c r="BF258" s="205" t="s">
        <v>487</v>
      </c>
      <c r="BG258" s="204"/>
      <c r="BH258" s="204" t="s">
        <v>407</v>
      </c>
      <c r="BI258" s="204"/>
      <c r="BJ258" s="204"/>
      <c r="BK258" s="206"/>
    </row>
    <row r="259" spans="1:63" s="164" customFormat="1" ht="15.75" customHeight="1">
      <c r="A259" s="185"/>
      <c r="B259" s="193"/>
      <c r="C259" s="184"/>
      <c r="D259" s="183" t="s">
        <v>497</v>
      </c>
      <c r="E259" s="184"/>
      <c r="F259" s="184"/>
      <c r="G259" s="184"/>
      <c r="H259" s="184"/>
      <c r="I259" s="184"/>
      <c r="J259" s="184"/>
      <c r="K259" s="184"/>
      <c r="L259" s="193"/>
      <c r="M259" s="1003"/>
      <c r="N259" s="1002"/>
      <c r="O259" s="1002"/>
      <c r="P259" s="1002"/>
      <c r="Q259" s="1002"/>
      <c r="R259" s="1002"/>
      <c r="S259" s="1002"/>
      <c r="T259" s="1002"/>
      <c r="U259" s="1002"/>
      <c r="V259" s="1002"/>
      <c r="W259" s="1002"/>
      <c r="X259" s="1002"/>
      <c r="Y259" s="1002"/>
      <c r="Z259" s="1002"/>
      <c r="AA259" s="1002"/>
      <c r="AB259" s="1002"/>
      <c r="AC259" s="1002"/>
      <c r="AD259" s="1002"/>
      <c r="AE259" s="1002"/>
      <c r="AF259" s="1002"/>
      <c r="AG259" s="1002"/>
      <c r="AH259" s="1002"/>
      <c r="AI259" s="1002"/>
      <c r="AJ259" s="1002"/>
      <c r="AK259" s="1002"/>
      <c r="AL259" s="1002"/>
      <c r="AM259" s="1002"/>
      <c r="AN259" s="1002"/>
      <c r="AO259" s="1002"/>
      <c r="AP259" s="1002"/>
      <c r="AQ259" s="1002"/>
      <c r="AR259" s="1002"/>
      <c r="AS259" s="1002"/>
      <c r="AT259" s="1002"/>
      <c r="AU259" s="1002"/>
      <c r="AV259" s="1002"/>
      <c r="AW259" s="1002"/>
      <c r="AX259" s="1002"/>
      <c r="AY259" s="1002"/>
      <c r="AZ259" s="1002"/>
      <c r="BA259" s="1002"/>
      <c r="BB259" s="1002"/>
      <c r="BC259" s="1002"/>
      <c r="BD259" s="1002"/>
      <c r="BE259" s="204"/>
      <c r="BF259" s="205" t="s">
        <v>487</v>
      </c>
      <c r="BG259" s="204"/>
      <c r="BH259" s="204" t="s">
        <v>407</v>
      </c>
      <c r="BI259" s="204"/>
      <c r="BJ259" s="204"/>
      <c r="BK259" s="206"/>
    </row>
    <row r="260" spans="1:63" s="164" customFormat="1" ht="62.25" customHeight="1">
      <c r="A260" s="185"/>
      <c r="B260" s="193"/>
      <c r="C260" s="184"/>
      <c r="D260" s="183" t="s">
        <v>531</v>
      </c>
      <c r="E260" s="184"/>
      <c r="F260" s="184"/>
      <c r="G260" s="184"/>
      <c r="H260" s="184"/>
      <c r="I260" s="184"/>
      <c r="J260" s="184"/>
      <c r="K260" s="184"/>
      <c r="L260" s="193"/>
      <c r="M260" s="1005" t="s">
        <v>675</v>
      </c>
      <c r="N260" s="1005"/>
      <c r="O260" s="1005"/>
      <c r="P260" s="1005"/>
      <c r="Q260" s="1005"/>
      <c r="R260" s="1005"/>
      <c r="S260" s="1005"/>
      <c r="T260" s="1005"/>
      <c r="U260" s="1005"/>
      <c r="V260" s="1005"/>
      <c r="W260" s="1005"/>
      <c r="X260" s="1005"/>
      <c r="Y260" s="1005"/>
      <c r="Z260" s="1005"/>
      <c r="AA260" s="1005"/>
      <c r="AB260" s="1005"/>
      <c r="AC260" s="1005"/>
      <c r="AD260" s="1005"/>
      <c r="AE260" s="1005"/>
      <c r="AF260" s="1005"/>
      <c r="AG260" s="1005"/>
      <c r="AH260" s="1005"/>
      <c r="AI260" s="1005"/>
      <c r="AJ260" s="1005"/>
      <c r="AK260" s="1005"/>
      <c r="AL260" s="1005"/>
      <c r="AM260" s="1005"/>
      <c r="AN260" s="1005"/>
      <c r="AO260" s="1005"/>
      <c r="AP260" s="1005"/>
      <c r="AQ260" s="1005"/>
      <c r="AR260" s="1005"/>
      <c r="AS260" s="1005"/>
      <c r="AT260" s="1005"/>
      <c r="AU260" s="1005"/>
      <c r="AV260" s="1005"/>
      <c r="AW260" s="1005"/>
      <c r="AX260" s="1005"/>
      <c r="AY260" s="1005"/>
      <c r="AZ260" s="1005"/>
      <c r="BA260" s="1005"/>
      <c r="BB260" s="1005"/>
      <c r="BC260" s="1005"/>
      <c r="BD260" s="1005"/>
      <c r="BE260" s="204"/>
      <c r="BF260" s="205" t="s">
        <v>487</v>
      </c>
      <c r="BG260" s="204"/>
      <c r="BH260" s="204" t="s">
        <v>407</v>
      </c>
      <c r="BI260" s="204"/>
      <c r="BJ260" s="204"/>
      <c r="BK260" s="206"/>
    </row>
    <row r="261" spans="1:63" s="164" customFormat="1" ht="15.75" customHeight="1">
      <c r="A261" s="185"/>
      <c r="B261" s="193"/>
      <c r="C261" s="184"/>
      <c r="D261" s="183" t="s">
        <v>532</v>
      </c>
      <c r="E261" s="184"/>
      <c r="F261" s="184"/>
      <c r="G261" s="184"/>
      <c r="H261" s="184"/>
      <c r="I261" s="184"/>
      <c r="J261" s="184"/>
      <c r="K261" s="184"/>
      <c r="L261" s="193"/>
      <c r="M261" s="1003"/>
      <c r="N261" s="1002"/>
      <c r="O261" s="1002"/>
      <c r="P261" s="1002"/>
      <c r="Q261" s="1002"/>
      <c r="R261" s="1002"/>
      <c r="S261" s="1002"/>
      <c r="T261" s="1002"/>
      <c r="U261" s="1002"/>
      <c r="V261" s="1002"/>
      <c r="W261" s="1002"/>
      <c r="X261" s="1002"/>
      <c r="Y261" s="1002"/>
      <c r="Z261" s="1002"/>
      <c r="AA261" s="1002"/>
      <c r="AB261" s="1002"/>
      <c r="AC261" s="1002"/>
      <c r="AD261" s="1002"/>
      <c r="AE261" s="1002"/>
      <c r="AF261" s="1002"/>
      <c r="AG261" s="1002"/>
      <c r="AH261" s="1002"/>
      <c r="AI261" s="1002"/>
      <c r="AJ261" s="1002"/>
      <c r="AK261" s="1002"/>
      <c r="AL261" s="1002"/>
      <c r="AM261" s="1002"/>
      <c r="AN261" s="1002"/>
      <c r="AO261" s="1002"/>
      <c r="AP261" s="1002"/>
      <c r="AQ261" s="1002"/>
      <c r="AR261" s="1002"/>
      <c r="AS261" s="1002"/>
      <c r="AT261" s="1002"/>
      <c r="AU261" s="1002"/>
      <c r="AV261" s="1002"/>
      <c r="AW261" s="1002"/>
      <c r="AX261" s="1002"/>
      <c r="AY261" s="1002"/>
      <c r="AZ261" s="1002"/>
      <c r="BA261" s="1002"/>
      <c r="BB261" s="1002"/>
      <c r="BC261" s="1002"/>
      <c r="BD261" s="1002"/>
      <c r="BE261" s="204"/>
      <c r="BF261" s="205" t="s">
        <v>487</v>
      </c>
      <c r="BG261" s="204"/>
      <c r="BH261" s="204" t="s">
        <v>407</v>
      </c>
      <c r="BI261" s="204"/>
      <c r="BJ261" s="204"/>
      <c r="BK261" s="206"/>
    </row>
    <row r="262" spans="1:63" s="164" customFormat="1" ht="15.75" customHeight="1">
      <c r="A262" s="185"/>
      <c r="B262" s="193"/>
      <c r="C262" s="251" t="s">
        <v>411</v>
      </c>
      <c r="D262" s="183" t="s">
        <v>500</v>
      </c>
      <c r="E262" s="184"/>
      <c r="F262" s="184"/>
      <c r="G262" s="184"/>
      <c r="H262" s="184"/>
      <c r="I262" s="184"/>
      <c r="J262" s="184"/>
      <c r="K262" s="184"/>
      <c r="L262" s="193"/>
      <c r="M262" s="1003"/>
      <c r="N262" s="1002"/>
      <c r="O262" s="1002"/>
      <c r="P262" s="1002"/>
      <c r="Q262" s="1002"/>
      <c r="R262" s="1002"/>
      <c r="S262" s="1002"/>
      <c r="T262" s="1002"/>
      <c r="U262" s="1002"/>
      <c r="V262" s="1002"/>
      <c r="W262" s="1002"/>
      <c r="X262" s="1002"/>
      <c r="Y262" s="1002"/>
      <c r="Z262" s="1002"/>
      <c r="AA262" s="1002"/>
      <c r="AB262" s="1002"/>
      <c r="AC262" s="1002"/>
      <c r="AD262" s="1002"/>
      <c r="AE262" s="1002"/>
      <c r="AF262" s="1002"/>
      <c r="AG262" s="1002"/>
      <c r="AH262" s="1002"/>
      <c r="AI262" s="1002"/>
      <c r="AJ262" s="1002"/>
      <c r="AK262" s="1002"/>
      <c r="AL262" s="1002"/>
      <c r="AM262" s="1002"/>
      <c r="AN262" s="1002"/>
      <c r="AO262" s="1002"/>
      <c r="AP262" s="1002"/>
      <c r="AQ262" s="1002"/>
      <c r="AR262" s="1002"/>
      <c r="AS262" s="1002"/>
      <c r="AT262" s="1002"/>
      <c r="AU262" s="1002"/>
      <c r="AV262" s="1002"/>
      <c r="AW262" s="1002"/>
      <c r="AX262" s="1002"/>
      <c r="AY262" s="1002"/>
      <c r="AZ262" s="1002"/>
      <c r="BA262" s="1002"/>
      <c r="BB262" s="1002"/>
      <c r="BC262" s="1002"/>
      <c r="BD262" s="1002"/>
      <c r="BE262" s="205" t="s">
        <v>486</v>
      </c>
      <c r="BF262" s="205" t="s">
        <v>487</v>
      </c>
      <c r="BG262" s="204"/>
      <c r="BH262" s="204" t="s">
        <v>407</v>
      </c>
      <c r="BI262" s="205" t="s">
        <v>408</v>
      </c>
      <c r="BJ262" s="204"/>
      <c r="BK262" s="206"/>
    </row>
    <row r="263" spans="1:63" s="164" customFormat="1" ht="15.75" customHeight="1">
      <c r="A263" s="185"/>
      <c r="B263" s="193"/>
      <c r="C263" s="184"/>
      <c r="D263" s="183" t="s">
        <v>501</v>
      </c>
      <c r="E263" s="184"/>
      <c r="F263" s="184"/>
      <c r="G263" s="184"/>
      <c r="H263" s="184"/>
      <c r="I263" s="184"/>
      <c r="J263" s="184"/>
      <c r="K263" s="184"/>
      <c r="L263" s="193"/>
      <c r="M263" s="1003"/>
      <c r="N263" s="1002"/>
      <c r="O263" s="1002"/>
      <c r="P263" s="1002"/>
      <c r="Q263" s="1002"/>
      <c r="R263" s="1002"/>
      <c r="S263" s="1002"/>
      <c r="T263" s="1002"/>
      <c r="U263" s="1002"/>
      <c r="V263" s="1002"/>
      <c r="W263" s="1002"/>
      <c r="X263" s="1002"/>
      <c r="Y263" s="1002"/>
      <c r="Z263" s="1002"/>
      <c r="AA263" s="1002"/>
      <c r="AB263" s="1002"/>
      <c r="AC263" s="1002"/>
      <c r="AD263" s="1002"/>
      <c r="AE263" s="1002"/>
      <c r="AF263" s="1002"/>
      <c r="AG263" s="1002"/>
      <c r="AH263" s="1002"/>
      <c r="AI263" s="1002"/>
      <c r="AJ263" s="1002"/>
      <c r="AK263" s="1002"/>
      <c r="AL263" s="1002"/>
      <c r="AM263" s="1002"/>
      <c r="AN263" s="1002"/>
      <c r="AO263" s="1002"/>
      <c r="AP263" s="1002"/>
      <c r="AQ263" s="1002"/>
      <c r="AR263" s="1002"/>
      <c r="AS263" s="1002"/>
      <c r="AT263" s="1002"/>
      <c r="AU263" s="1002"/>
      <c r="AV263" s="1002"/>
      <c r="AW263" s="1002"/>
      <c r="AX263" s="1002"/>
      <c r="AY263" s="1002"/>
      <c r="AZ263" s="1002"/>
      <c r="BA263" s="1002"/>
      <c r="BB263" s="1002"/>
      <c r="BC263" s="1002"/>
      <c r="BD263" s="1002"/>
      <c r="BE263" s="204"/>
      <c r="BF263" s="205" t="s">
        <v>487</v>
      </c>
      <c r="BG263" s="204"/>
      <c r="BH263" s="204" t="s">
        <v>407</v>
      </c>
      <c r="BI263" s="204"/>
      <c r="BJ263" s="204"/>
      <c r="BK263" s="206"/>
    </row>
    <row r="264" spans="1:63" s="164" customFormat="1" ht="15.75" customHeight="1">
      <c r="A264" s="185"/>
      <c r="B264" s="193"/>
      <c r="C264" s="251" t="s">
        <v>411</v>
      </c>
      <c r="D264" s="183" t="s">
        <v>676</v>
      </c>
      <c r="E264" s="184"/>
      <c r="F264" s="184"/>
      <c r="G264" s="184"/>
      <c r="H264" s="184"/>
      <c r="I264" s="184"/>
      <c r="J264" s="184"/>
      <c r="K264" s="184"/>
      <c r="L264" s="193"/>
      <c r="M264" s="1005" t="s">
        <v>677</v>
      </c>
      <c r="N264" s="1005"/>
      <c r="O264" s="1005"/>
      <c r="P264" s="1005"/>
      <c r="Q264" s="1005"/>
      <c r="R264" s="1005"/>
      <c r="S264" s="1005"/>
      <c r="T264" s="1005"/>
      <c r="U264" s="1005"/>
      <c r="V264" s="1005"/>
      <c r="W264" s="1005"/>
      <c r="X264" s="1005"/>
      <c r="Y264" s="1005"/>
      <c r="Z264" s="1005"/>
      <c r="AA264" s="1005"/>
      <c r="AB264" s="1005"/>
      <c r="AC264" s="1005"/>
      <c r="AD264" s="1005"/>
      <c r="AE264" s="1005"/>
      <c r="AF264" s="1005"/>
      <c r="AG264" s="1005"/>
      <c r="AH264" s="1005"/>
      <c r="AI264" s="1005"/>
      <c r="AJ264" s="1005"/>
      <c r="AK264" s="1005"/>
      <c r="AL264" s="1005"/>
      <c r="AM264" s="1005"/>
      <c r="AN264" s="1005"/>
      <c r="AO264" s="1005"/>
      <c r="AP264" s="1005"/>
      <c r="AQ264" s="1005"/>
      <c r="AR264" s="1005"/>
      <c r="AS264" s="1005"/>
      <c r="AT264" s="1005"/>
      <c r="AU264" s="1005"/>
      <c r="AV264" s="1005"/>
      <c r="AW264" s="1005"/>
      <c r="AX264" s="1005"/>
      <c r="AY264" s="1005"/>
      <c r="AZ264" s="1005"/>
      <c r="BA264" s="1005"/>
      <c r="BB264" s="1005"/>
      <c r="BC264" s="1005"/>
      <c r="BD264" s="1005"/>
      <c r="BE264" s="204"/>
      <c r="BF264" s="205" t="s">
        <v>419</v>
      </c>
      <c r="BG264" s="204"/>
      <c r="BH264" s="204" t="s">
        <v>407</v>
      </c>
      <c r="BI264" s="205" t="s">
        <v>408</v>
      </c>
      <c r="BJ264" s="204"/>
      <c r="BK264" s="206"/>
    </row>
    <row r="265" spans="1:63" s="164" customFormat="1" ht="15.75" customHeight="1">
      <c r="A265" s="185"/>
      <c r="B265" s="193"/>
      <c r="C265" s="251" t="s">
        <v>411</v>
      </c>
      <c r="D265" s="183" t="s">
        <v>678</v>
      </c>
      <c r="E265" s="184"/>
      <c r="F265" s="184"/>
      <c r="G265" s="184"/>
      <c r="H265" s="184"/>
      <c r="I265" s="184"/>
      <c r="J265" s="184"/>
      <c r="K265" s="184"/>
      <c r="L265" s="193"/>
      <c r="M265" s="1005" t="s">
        <v>679</v>
      </c>
      <c r="N265" s="1005"/>
      <c r="O265" s="1005"/>
      <c r="P265" s="1005"/>
      <c r="Q265" s="1005"/>
      <c r="R265" s="1005"/>
      <c r="S265" s="1005"/>
      <c r="T265" s="1005"/>
      <c r="U265" s="1005"/>
      <c r="V265" s="1005"/>
      <c r="W265" s="1005"/>
      <c r="X265" s="1005"/>
      <c r="Y265" s="1005"/>
      <c r="Z265" s="1005"/>
      <c r="AA265" s="1005"/>
      <c r="AB265" s="1005"/>
      <c r="AC265" s="1005"/>
      <c r="AD265" s="1005"/>
      <c r="AE265" s="1005"/>
      <c r="AF265" s="1005"/>
      <c r="AG265" s="1005"/>
      <c r="AH265" s="1005"/>
      <c r="AI265" s="1005"/>
      <c r="AJ265" s="1005"/>
      <c r="AK265" s="1005"/>
      <c r="AL265" s="1005"/>
      <c r="AM265" s="1005"/>
      <c r="AN265" s="1005"/>
      <c r="AO265" s="1005"/>
      <c r="AP265" s="1005"/>
      <c r="AQ265" s="1005"/>
      <c r="AR265" s="1005"/>
      <c r="AS265" s="1005"/>
      <c r="AT265" s="1005"/>
      <c r="AU265" s="1005"/>
      <c r="AV265" s="1005"/>
      <c r="AW265" s="1005"/>
      <c r="AX265" s="1005"/>
      <c r="AY265" s="1005"/>
      <c r="AZ265" s="1005"/>
      <c r="BA265" s="1005"/>
      <c r="BB265" s="1005"/>
      <c r="BC265" s="1005"/>
      <c r="BD265" s="1005"/>
      <c r="BE265" s="204"/>
      <c r="BF265" s="205" t="s">
        <v>462</v>
      </c>
      <c r="BG265" s="204"/>
      <c r="BH265" s="204" t="s">
        <v>407</v>
      </c>
      <c r="BI265" s="205" t="s">
        <v>408</v>
      </c>
      <c r="BJ265" s="204"/>
      <c r="BK265" s="206"/>
    </row>
    <row r="266" spans="1:63" s="164" customFormat="1" ht="15.75" customHeight="1">
      <c r="A266" s="185"/>
      <c r="B266" s="193"/>
      <c r="C266" s="251" t="s">
        <v>411</v>
      </c>
      <c r="D266" s="183" t="s">
        <v>508</v>
      </c>
      <c r="E266" s="184"/>
      <c r="F266" s="184"/>
      <c r="G266" s="184"/>
      <c r="H266" s="184"/>
      <c r="I266" s="184"/>
      <c r="J266" s="184"/>
      <c r="K266" s="184"/>
      <c r="L266" s="193"/>
      <c r="M266" s="1003"/>
      <c r="N266" s="1002"/>
      <c r="O266" s="1002"/>
      <c r="P266" s="1002"/>
      <c r="Q266" s="1002"/>
      <c r="R266" s="1002"/>
      <c r="S266" s="1002"/>
      <c r="T266" s="1002"/>
      <c r="U266" s="1002"/>
      <c r="V266" s="1002"/>
      <c r="W266" s="1002"/>
      <c r="X266" s="1002"/>
      <c r="Y266" s="1002"/>
      <c r="Z266" s="1002"/>
      <c r="AA266" s="1002"/>
      <c r="AB266" s="1002"/>
      <c r="AC266" s="1002"/>
      <c r="AD266" s="1002"/>
      <c r="AE266" s="1002"/>
      <c r="AF266" s="1002"/>
      <c r="AG266" s="1002"/>
      <c r="AH266" s="1002"/>
      <c r="AI266" s="1002"/>
      <c r="AJ266" s="1002"/>
      <c r="AK266" s="1002"/>
      <c r="AL266" s="1002"/>
      <c r="AM266" s="1002"/>
      <c r="AN266" s="1002"/>
      <c r="AO266" s="1002"/>
      <c r="AP266" s="1002"/>
      <c r="AQ266" s="1002"/>
      <c r="AR266" s="1002"/>
      <c r="AS266" s="1002"/>
      <c r="AT266" s="1002"/>
      <c r="AU266" s="1002"/>
      <c r="AV266" s="1002"/>
      <c r="AW266" s="1002"/>
      <c r="AX266" s="1002"/>
      <c r="AY266" s="1002"/>
      <c r="AZ266" s="1002"/>
      <c r="BA266" s="1002"/>
      <c r="BB266" s="1002"/>
      <c r="BC266" s="1002"/>
      <c r="BD266" s="1002"/>
      <c r="BE266" s="205" t="s">
        <v>489</v>
      </c>
      <c r="BF266" s="205" t="s">
        <v>487</v>
      </c>
      <c r="BG266" s="204"/>
      <c r="BH266" s="204" t="s">
        <v>407</v>
      </c>
      <c r="BI266" s="205" t="s">
        <v>408</v>
      </c>
      <c r="BJ266" s="204"/>
      <c r="BK266" s="206"/>
    </row>
    <row r="267" spans="1:63" s="164" customFormat="1" ht="15.75" customHeight="1">
      <c r="A267" s="185"/>
      <c r="B267" s="193"/>
      <c r="C267" s="251" t="s">
        <v>411</v>
      </c>
      <c r="D267" s="183" t="s">
        <v>509</v>
      </c>
      <c r="E267" s="184"/>
      <c r="F267" s="184"/>
      <c r="G267" s="184"/>
      <c r="H267" s="184"/>
      <c r="I267" s="184"/>
      <c r="J267" s="184"/>
      <c r="K267" s="184"/>
      <c r="L267" s="193"/>
      <c r="M267" s="1003"/>
      <c r="N267" s="1002"/>
      <c r="O267" s="1002"/>
      <c r="P267" s="1002"/>
      <c r="Q267" s="1002"/>
      <c r="R267" s="1002"/>
      <c r="S267" s="1002"/>
      <c r="T267" s="1002"/>
      <c r="U267" s="1002"/>
      <c r="V267" s="1002"/>
      <c r="W267" s="1002"/>
      <c r="X267" s="1002"/>
      <c r="Y267" s="1002"/>
      <c r="Z267" s="1002"/>
      <c r="AA267" s="1002"/>
      <c r="AB267" s="1002"/>
      <c r="AC267" s="1002"/>
      <c r="AD267" s="1002"/>
      <c r="AE267" s="1002"/>
      <c r="AF267" s="1002"/>
      <c r="AG267" s="1002"/>
      <c r="AH267" s="1002"/>
      <c r="AI267" s="1002"/>
      <c r="AJ267" s="1002"/>
      <c r="AK267" s="1002"/>
      <c r="AL267" s="1002"/>
      <c r="AM267" s="1002"/>
      <c r="AN267" s="1002"/>
      <c r="AO267" s="1002"/>
      <c r="AP267" s="1002"/>
      <c r="AQ267" s="1002"/>
      <c r="AR267" s="1002"/>
      <c r="AS267" s="1002"/>
      <c r="AT267" s="1002"/>
      <c r="AU267" s="1002"/>
      <c r="AV267" s="1002"/>
      <c r="AW267" s="1002"/>
      <c r="AX267" s="1002"/>
      <c r="AY267" s="1002"/>
      <c r="AZ267" s="1002"/>
      <c r="BA267" s="1002"/>
      <c r="BB267" s="1002"/>
      <c r="BC267" s="1002"/>
      <c r="BD267" s="1002"/>
      <c r="BE267" s="205" t="s">
        <v>486</v>
      </c>
      <c r="BF267" s="205" t="s">
        <v>487</v>
      </c>
      <c r="BG267" s="204"/>
      <c r="BH267" s="204" t="s">
        <v>407</v>
      </c>
      <c r="BI267" s="205" t="s">
        <v>408</v>
      </c>
      <c r="BJ267" s="204"/>
      <c r="BK267" s="206"/>
    </row>
    <row r="268" spans="1:63" s="164" customFormat="1" ht="15.75" customHeight="1">
      <c r="A268" s="185"/>
      <c r="B268" s="193"/>
      <c r="C268" s="251" t="s">
        <v>411</v>
      </c>
      <c r="D268" s="183" t="s">
        <v>510</v>
      </c>
      <c r="E268" s="184"/>
      <c r="F268" s="184"/>
      <c r="G268" s="184"/>
      <c r="H268" s="184"/>
      <c r="I268" s="184"/>
      <c r="J268" s="184"/>
      <c r="K268" s="184"/>
      <c r="L268" s="193"/>
      <c r="M268" s="1003"/>
      <c r="N268" s="1002"/>
      <c r="O268" s="1002"/>
      <c r="P268" s="1002"/>
      <c r="Q268" s="1002"/>
      <c r="R268" s="1002"/>
      <c r="S268" s="1002"/>
      <c r="T268" s="1002"/>
      <c r="U268" s="1002"/>
      <c r="V268" s="1002"/>
      <c r="W268" s="1002"/>
      <c r="X268" s="1002"/>
      <c r="Y268" s="1002"/>
      <c r="Z268" s="1002"/>
      <c r="AA268" s="1002"/>
      <c r="AB268" s="1002"/>
      <c r="AC268" s="1002"/>
      <c r="AD268" s="1002"/>
      <c r="AE268" s="1002"/>
      <c r="AF268" s="1002"/>
      <c r="AG268" s="1002"/>
      <c r="AH268" s="1002"/>
      <c r="AI268" s="1002"/>
      <c r="AJ268" s="1002"/>
      <c r="AK268" s="1002"/>
      <c r="AL268" s="1002"/>
      <c r="AM268" s="1002"/>
      <c r="AN268" s="1002"/>
      <c r="AO268" s="1002"/>
      <c r="AP268" s="1002"/>
      <c r="AQ268" s="1002"/>
      <c r="AR268" s="1002"/>
      <c r="AS268" s="1002"/>
      <c r="AT268" s="1002"/>
      <c r="AU268" s="1002"/>
      <c r="AV268" s="1002"/>
      <c r="AW268" s="1002"/>
      <c r="AX268" s="1002"/>
      <c r="AY268" s="1002"/>
      <c r="AZ268" s="1002"/>
      <c r="BA268" s="1002"/>
      <c r="BB268" s="1002"/>
      <c r="BC268" s="1002"/>
      <c r="BD268" s="1002"/>
      <c r="BE268" s="205" t="s">
        <v>486</v>
      </c>
      <c r="BF268" s="205" t="s">
        <v>487</v>
      </c>
      <c r="BG268" s="204"/>
      <c r="BH268" s="204" t="s">
        <v>407</v>
      </c>
      <c r="BI268" s="205" t="s">
        <v>408</v>
      </c>
      <c r="BJ268" s="205" t="s">
        <v>409</v>
      </c>
      <c r="BK268" s="206"/>
    </row>
    <row r="269" spans="1:63" s="164" customFormat="1" ht="15.75" customHeight="1">
      <c r="A269" s="185"/>
      <c r="B269" s="193"/>
      <c r="C269" s="251" t="s">
        <v>411</v>
      </c>
      <c r="D269" s="183" t="s">
        <v>511</v>
      </c>
      <c r="E269" s="184"/>
      <c r="F269" s="184"/>
      <c r="G269" s="184"/>
      <c r="H269" s="184"/>
      <c r="I269" s="184"/>
      <c r="J269" s="184"/>
      <c r="K269" s="184"/>
      <c r="L269" s="193"/>
      <c r="M269" s="1003"/>
      <c r="N269" s="1002"/>
      <c r="O269" s="1002"/>
      <c r="P269" s="1002"/>
      <c r="Q269" s="1002"/>
      <c r="R269" s="1002"/>
      <c r="S269" s="1002"/>
      <c r="T269" s="1002"/>
      <c r="U269" s="1002"/>
      <c r="V269" s="1002"/>
      <c r="W269" s="1002"/>
      <c r="X269" s="1002"/>
      <c r="Y269" s="1002"/>
      <c r="Z269" s="1002"/>
      <c r="AA269" s="1002"/>
      <c r="AB269" s="1002"/>
      <c r="AC269" s="1002"/>
      <c r="AD269" s="1002"/>
      <c r="AE269" s="1002"/>
      <c r="AF269" s="1002"/>
      <c r="AG269" s="1002"/>
      <c r="AH269" s="1002"/>
      <c r="AI269" s="1002"/>
      <c r="AJ269" s="1002"/>
      <c r="AK269" s="1002"/>
      <c r="AL269" s="1002"/>
      <c r="AM269" s="1002"/>
      <c r="AN269" s="1002"/>
      <c r="AO269" s="1002"/>
      <c r="AP269" s="1002"/>
      <c r="AQ269" s="1002"/>
      <c r="AR269" s="1002"/>
      <c r="AS269" s="1002"/>
      <c r="AT269" s="1002"/>
      <c r="AU269" s="1002"/>
      <c r="AV269" s="1002"/>
      <c r="AW269" s="1002"/>
      <c r="AX269" s="1002"/>
      <c r="AY269" s="1002"/>
      <c r="AZ269" s="1002"/>
      <c r="BA269" s="1002"/>
      <c r="BB269" s="1002"/>
      <c r="BC269" s="1002"/>
      <c r="BD269" s="1002"/>
      <c r="BE269" s="205" t="s">
        <v>486</v>
      </c>
      <c r="BF269" s="205" t="s">
        <v>487</v>
      </c>
      <c r="BG269" s="204"/>
      <c r="BH269" s="204" t="s">
        <v>407</v>
      </c>
      <c r="BI269" s="205" t="s">
        <v>408</v>
      </c>
      <c r="BJ269" s="205" t="s">
        <v>409</v>
      </c>
      <c r="BK269" s="206"/>
    </row>
    <row r="270" spans="1:63" s="164" customFormat="1" ht="31.5" customHeight="1">
      <c r="A270" s="185"/>
      <c r="B270" s="193"/>
      <c r="C270" s="251" t="s">
        <v>411</v>
      </c>
      <c r="D270" s="183" t="s">
        <v>512</v>
      </c>
      <c r="E270" s="184"/>
      <c r="F270" s="184"/>
      <c r="G270" s="184"/>
      <c r="H270" s="184"/>
      <c r="I270" s="184"/>
      <c r="J270" s="184"/>
      <c r="K270" s="184"/>
      <c r="L270" s="193"/>
      <c r="M270" s="1003" t="s">
        <v>680</v>
      </c>
      <c r="N270" s="1002"/>
      <c r="O270" s="1002"/>
      <c r="P270" s="1002"/>
      <c r="Q270" s="1002"/>
      <c r="R270" s="1002"/>
      <c r="S270" s="1002"/>
      <c r="T270" s="1002"/>
      <c r="U270" s="1002"/>
      <c r="V270" s="1002"/>
      <c r="W270" s="1002"/>
      <c r="X270" s="1002"/>
      <c r="Y270" s="1002"/>
      <c r="Z270" s="1002"/>
      <c r="AA270" s="1002"/>
      <c r="AB270" s="1002"/>
      <c r="AC270" s="1002"/>
      <c r="AD270" s="1002"/>
      <c r="AE270" s="1002"/>
      <c r="AF270" s="1002"/>
      <c r="AG270" s="1002"/>
      <c r="AH270" s="1002"/>
      <c r="AI270" s="1002"/>
      <c r="AJ270" s="1002"/>
      <c r="AK270" s="1002"/>
      <c r="AL270" s="1002"/>
      <c r="AM270" s="1002"/>
      <c r="AN270" s="1002"/>
      <c r="AO270" s="1002"/>
      <c r="AP270" s="1002"/>
      <c r="AQ270" s="1002"/>
      <c r="AR270" s="1002"/>
      <c r="AS270" s="1002"/>
      <c r="AT270" s="1002"/>
      <c r="AU270" s="1002"/>
      <c r="AV270" s="1002"/>
      <c r="AW270" s="1002"/>
      <c r="AX270" s="1002"/>
      <c r="AY270" s="1002"/>
      <c r="AZ270" s="1002"/>
      <c r="BA270" s="1002"/>
      <c r="BB270" s="1002"/>
      <c r="BC270" s="1002"/>
      <c r="BD270" s="1002"/>
      <c r="BE270" s="204"/>
      <c r="BF270" s="205" t="s">
        <v>487</v>
      </c>
      <c r="BG270" s="204"/>
      <c r="BH270" s="204" t="s">
        <v>407</v>
      </c>
      <c r="BI270" s="205" t="s">
        <v>408</v>
      </c>
      <c r="BJ270" s="204"/>
      <c r="BK270" s="206"/>
    </row>
    <row r="271" spans="1:63" s="164" customFormat="1" ht="15.75" customHeight="1">
      <c r="A271" s="185"/>
      <c r="B271" s="193"/>
      <c r="C271" s="184"/>
      <c r="D271" s="183" t="s">
        <v>438</v>
      </c>
      <c r="E271" s="184"/>
      <c r="F271" s="184"/>
      <c r="G271" s="184"/>
      <c r="H271" s="184"/>
      <c r="I271" s="184"/>
      <c r="J271" s="184"/>
      <c r="K271" s="184"/>
      <c r="L271" s="193"/>
      <c r="M271" s="1005" t="s">
        <v>681</v>
      </c>
      <c r="N271" s="1005"/>
      <c r="O271" s="1005"/>
      <c r="P271" s="1005"/>
      <c r="Q271" s="1005"/>
      <c r="R271" s="1005"/>
      <c r="S271" s="1005"/>
      <c r="T271" s="1005"/>
      <c r="U271" s="1005"/>
      <c r="V271" s="1005"/>
      <c r="W271" s="1005"/>
      <c r="X271" s="1005"/>
      <c r="Y271" s="1005"/>
      <c r="Z271" s="1005"/>
      <c r="AA271" s="1005"/>
      <c r="AB271" s="1005"/>
      <c r="AC271" s="1005"/>
      <c r="AD271" s="1005"/>
      <c r="AE271" s="1005"/>
      <c r="AF271" s="1005"/>
      <c r="AG271" s="1005"/>
      <c r="AH271" s="1005"/>
      <c r="AI271" s="1005"/>
      <c r="AJ271" s="1005"/>
      <c r="AK271" s="1005"/>
      <c r="AL271" s="1005"/>
      <c r="AM271" s="1005"/>
      <c r="AN271" s="1005"/>
      <c r="AO271" s="1005"/>
      <c r="AP271" s="1005"/>
      <c r="AQ271" s="1005"/>
      <c r="AR271" s="1005"/>
      <c r="AS271" s="1005"/>
      <c r="AT271" s="1005"/>
      <c r="AU271" s="1005"/>
      <c r="AV271" s="1005"/>
      <c r="AW271" s="1005"/>
      <c r="AX271" s="1005"/>
      <c r="AY271" s="1005"/>
      <c r="AZ271" s="1005"/>
      <c r="BA271" s="1005"/>
      <c r="BB271" s="1005"/>
      <c r="BC271" s="1005"/>
      <c r="BD271" s="1005"/>
      <c r="BE271" s="204"/>
      <c r="BF271" s="205" t="s">
        <v>419</v>
      </c>
      <c r="BG271" s="204"/>
      <c r="BH271" s="204" t="s">
        <v>407</v>
      </c>
      <c r="BI271" s="204"/>
      <c r="BJ271" s="204"/>
      <c r="BK271" s="206"/>
    </row>
    <row r="272" spans="1:63" s="164" customFormat="1" ht="28.5" customHeight="1">
      <c r="A272" s="185"/>
      <c r="B272" s="193"/>
      <c r="C272" s="184"/>
      <c r="D272" s="183" t="s">
        <v>504</v>
      </c>
      <c r="E272" s="184"/>
      <c r="F272" s="184"/>
      <c r="G272" s="184"/>
      <c r="H272" s="184"/>
      <c r="I272" s="184"/>
      <c r="J272" s="184"/>
      <c r="K272" s="184"/>
      <c r="L272" s="193"/>
      <c r="M272" s="1001" t="s">
        <v>682</v>
      </c>
      <c r="N272" s="1002"/>
      <c r="O272" s="1002"/>
      <c r="P272" s="1002"/>
      <c r="Q272" s="1002"/>
      <c r="R272" s="1002"/>
      <c r="S272" s="1002"/>
      <c r="T272" s="1002"/>
      <c r="U272" s="1002"/>
      <c r="V272" s="1002"/>
      <c r="W272" s="1002"/>
      <c r="X272" s="1002"/>
      <c r="Y272" s="1002"/>
      <c r="Z272" s="1002"/>
      <c r="AA272" s="1002"/>
      <c r="AB272" s="1002"/>
      <c r="AC272" s="1002"/>
      <c r="AD272" s="1002"/>
      <c r="AE272" s="1002"/>
      <c r="AF272" s="1002"/>
      <c r="AG272" s="1002"/>
      <c r="AH272" s="1002"/>
      <c r="AI272" s="1002"/>
      <c r="AJ272" s="1002"/>
      <c r="AK272" s="1002"/>
      <c r="AL272" s="1002"/>
      <c r="AM272" s="1002"/>
      <c r="AN272" s="1002"/>
      <c r="AO272" s="1002"/>
      <c r="AP272" s="1002"/>
      <c r="AQ272" s="1002"/>
      <c r="AR272" s="1002"/>
      <c r="AS272" s="1002"/>
      <c r="AT272" s="1002"/>
      <c r="AU272" s="1002"/>
      <c r="AV272" s="1002"/>
      <c r="AW272" s="1002"/>
      <c r="AX272" s="1002"/>
      <c r="AY272" s="1002"/>
      <c r="AZ272" s="1002"/>
      <c r="BA272" s="1002"/>
      <c r="BB272" s="1002"/>
      <c r="BC272" s="1002"/>
      <c r="BD272" s="1002"/>
      <c r="BE272" s="204"/>
      <c r="BF272" s="205" t="s">
        <v>487</v>
      </c>
      <c r="BG272" s="204"/>
      <c r="BH272" s="204" t="s">
        <v>407</v>
      </c>
      <c r="BI272" s="204"/>
      <c r="BJ272" s="204"/>
      <c r="BK272" s="206"/>
    </row>
    <row r="273" spans="1:63" s="164" customFormat="1" ht="15.75" customHeight="1">
      <c r="A273" s="185"/>
      <c r="B273" s="193"/>
      <c r="C273" s="184"/>
      <c r="D273" s="183" t="s">
        <v>505</v>
      </c>
      <c r="E273" s="184"/>
      <c r="F273" s="184"/>
      <c r="G273" s="184"/>
      <c r="H273" s="184"/>
      <c r="I273" s="184"/>
      <c r="J273" s="184"/>
      <c r="K273" s="184"/>
      <c r="L273" s="193"/>
      <c r="M273" s="1003"/>
      <c r="N273" s="1002"/>
      <c r="O273" s="1002"/>
      <c r="P273" s="1002"/>
      <c r="Q273" s="1002"/>
      <c r="R273" s="1002"/>
      <c r="S273" s="1002"/>
      <c r="T273" s="1002"/>
      <c r="U273" s="1002"/>
      <c r="V273" s="1002"/>
      <c r="W273" s="1002"/>
      <c r="X273" s="1002"/>
      <c r="Y273" s="1002"/>
      <c r="Z273" s="1002"/>
      <c r="AA273" s="1002"/>
      <c r="AB273" s="1002"/>
      <c r="AC273" s="1002"/>
      <c r="AD273" s="1002"/>
      <c r="AE273" s="1002"/>
      <c r="AF273" s="1002"/>
      <c r="AG273" s="1002"/>
      <c r="AH273" s="1002"/>
      <c r="AI273" s="1002"/>
      <c r="AJ273" s="1002"/>
      <c r="AK273" s="1002"/>
      <c r="AL273" s="1002"/>
      <c r="AM273" s="1002"/>
      <c r="AN273" s="1002"/>
      <c r="AO273" s="1002"/>
      <c r="AP273" s="1002"/>
      <c r="AQ273" s="1002"/>
      <c r="AR273" s="1002"/>
      <c r="AS273" s="1002"/>
      <c r="AT273" s="1002"/>
      <c r="AU273" s="1002"/>
      <c r="AV273" s="1002"/>
      <c r="AW273" s="1002"/>
      <c r="AX273" s="1002"/>
      <c r="AY273" s="1002"/>
      <c r="AZ273" s="1002"/>
      <c r="BA273" s="1002"/>
      <c r="BB273" s="1002"/>
      <c r="BC273" s="1002"/>
      <c r="BD273" s="1002"/>
      <c r="BE273" s="204"/>
      <c r="BF273" s="205" t="s">
        <v>487</v>
      </c>
      <c r="BG273" s="204"/>
      <c r="BH273" s="204" t="s">
        <v>407</v>
      </c>
      <c r="BI273" s="204"/>
      <c r="BJ273" s="204"/>
      <c r="BK273" s="206"/>
    </row>
    <row r="274" spans="1:63" s="164" customFormat="1" ht="15.75" customHeight="1">
      <c r="A274" s="185"/>
      <c r="B274" s="193"/>
      <c r="C274" s="184"/>
      <c r="D274" s="183" t="s">
        <v>506</v>
      </c>
      <c r="E274" s="184"/>
      <c r="F274" s="184"/>
      <c r="G274" s="184"/>
      <c r="H274" s="184"/>
      <c r="I274" s="184"/>
      <c r="J274" s="184"/>
      <c r="K274" s="184"/>
      <c r="L274" s="193"/>
      <c r="M274" s="1003"/>
      <c r="N274" s="1002"/>
      <c r="O274" s="1002"/>
      <c r="P274" s="1002"/>
      <c r="Q274" s="1002"/>
      <c r="R274" s="1002"/>
      <c r="S274" s="1002"/>
      <c r="T274" s="1002"/>
      <c r="U274" s="1002"/>
      <c r="V274" s="1002"/>
      <c r="W274" s="1002"/>
      <c r="X274" s="1002"/>
      <c r="Y274" s="1002"/>
      <c r="Z274" s="1002"/>
      <c r="AA274" s="1002"/>
      <c r="AB274" s="1002"/>
      <c r="AC274" s="1002"/>
      <c r="AD274" s="1002"/>
      <c r="AE274" s="1002"/>
      <c r="AF274" s="1002"/>
      <c r="AG274" s="1002"/>
      <c r="AH274" s="1002"/>
      <c r="AI274" s="1002"/>
      <c r="AJ274" s="1002"/>
      <c r="AK274" s="1002"/>
      <c r="AL274" s="1002"/>
      <c r="AM274" s="1002"/>
      <c r="AN274" s="1002"/>
      <c r="AO274" s="1002"/>
      <c r="AP274" s="1002"/>
      <c r="AQ274" s="1002"/>
      <c r="AR274" s="1002"/>
      <c r="AS274" s="1002"/>
      <c r="AT274" s="1002"/>
      <c r="AU274" s="1002"/>
      <c r="AV274" s="1002"/>
      <c r="AW274" s="1002"/>
      <c r="AX274" s="1002"/>
      <c r="AY274" s="1002"/>
      <c r="AZ274" s="1002"/>
      <c r="BA274" s="1002"/>
      <c r="BB274" s="1002"/>
      <c r="BC274" s="1002"/>
      <c r="BD274" s="1002"/>
      <c r="BE274" s="204"/>
      <c r="BF274" s="205" t="s">
        <v>487</v>
      </c>
      <c r="BG274" s="204"/>
      <c r="BH274" s="204" t="s">
        <v>407</v>
      </c>
      <c r="BI274" s="204"/>
      <c r="BJ274" s="204"/>
      <c r="BK274" s="206"/>
    </row>
    <row r="275" spans="1:63" s="164" customFormat="1" ht="15.75" customHeight="1">
      <c r="A275" s="185"/>
      <c r="B275" s="193"/>
      <c r="C275" s="184"/>
      <c r="D275" s="183" t="s">
        <v>507</v>
      </c>
      <c r="E275" s="184"/>
      <c r="F275" s="184"/>
      <c r="G275" s="184"/>
      <c r="H275" s="184"/>
      <c r="I275" s="184"/>
      <c r="J275" s="184"/>
      <c r="K275" s="184"/>
      <c r="L275" s="193"/>
      <c r="M275" s="1003"/>
      <c r="N275" s="1002"/>
      <c r="O275" s="1002"/>
      <c r="P275" s="1002"/>
      <c r="Q275" s="1002"/>
      <c r="R275" s="1002"/>
      <c r="S275" s="1002"/>
      <c r="T275" s="1002"/>
      <c r="U275" s="1002"/>
      <c r="V275" s="1002"/>
      <c r="W275" s="1002"/>
      <c r="X275" s="1002"/>
      <c r="Y275" s="1002"/>
      <c r="Z275" s="1002"/>
      <c r="AA275" s="1002"/>
      <c r="AB275" s="1002"/>
      <c r="AC275" s="1002"/>
      <c r="AD275" s="1002"/>
      <c r="AE275" s="1002"/>
      <c r="AF275" s="1002"/>
      <c r="AG275" s="1002"/>
      <c r="AH275" s="1002"/>
      <c r="AI275" s="1002"/>
      <c r="AJ275" s="1002"/>
      <c r="AK275" s="1002"/>
      <c r="AL275" s="1002"/>
      <c r="AM275" s="1002"/>
      <c r="AN275" s="1002"/>
      <c r="AO275" s="1002"/>
      <c r="AP275" s="1002"/>
      <c r="AQ275" s="1002"/>
      <c r="AR275" s="1002"/>
      <c r="AS275" s="1002"/>
      <c r="AT275" s="1002"/>
      <c r="AU275" s="1002"/>
      <c r="AV275" s="1002"/>
      <c r="AW275" s="1002"/>
      <c r="AX275" s="1002"/>
      <c r="AY275" s="1002"/>
      <c r="AZ275" s="1002"/>
      <c r="BA275" s="1002"/>
      <c r="BB275" s="1002"/>
      <c r="BC275" s="1002"/>
      <c r="BD275" s="1002"/>
      <c r="BE275" s="204"/>
      <c r="BF275" s="205" t="s">
        <v>487</v>
      </c>
      <c r="BG275" s="204"/>
      <c r="BH275" s="204" t="s">
        <v>407</v>
      </c>
      <c r="BI275" s="204"/>
      <c r="BJ275" s="204"/>
      <c r="BK275" s="206"/>
    </row>
    <row r="276" spans="1:63" s="164" customFormat="1" ht="15.75" customHeight="1">
      <c r="A276" s="185"/>
      <c r="B276" s="193"/>
      <c r="C276" s="184"/>
      <c r="D276" s="183" t="s">
        <v>610</v>
      </c>
      <c r="E276" s="184"/>
      <c r="F276" s="184"/>
      <c r="G276" s="184"/>
      <c r="H276" s="184"/>
      <c r="I276" s="184"/>
      <c r="J276" s="184"/>
      <c r="K276" s="184"/>
      <c r="L276" s="193"/>
      <c r="M276" s="1003"/>
      <c r="N276" s="1002"/>
      <c r="O276" s="1002"/>
      <c r="P276" s="1002"/>
      <c r="Q276" s="1002"/>
      <c r="R276" s="1002"/>
      <c r="S276" s="1002"/>
      <c r="T276" s="1002"/>
      <c r="U276" s="1002"/>
      <c r="V276" s="1002"/>
      <c r="W276" s="1002"/>
      <c r="X276" s="1002"/>
      <c r="Y276" s="1002"/>
      <c r="Z276" s="1002"/>
      <c r="AA276" s="1002"/>
      <c r="AB276" s="1002"/>
      <c r="AC276" s="1002"/>
      <c r="AD276" s="1002"/>
      <c r="AE276" s="1002"/>
      <c r="AF276" s="1002"/>
      <c r="AG276" s="1002"/>
      <c r="AH276" s="1002"/>
      <c r="AI276" s="1002"/>
      <c r="AJ276" s="1002"/>
      <c r="AK276" s="1002"/>
      <c r="AL276" s="1002"/>
      <c r="AM276" s="1002"/>
      <c r="AN276" s="1002"/>
      <c r="AO276" s="1002"/>
      <c r="AP276" s="1002"/>
      <c r="AQ276" s="1002"/>
      <c r="AR276" s="1002"/>
      <c r="AS276" s="1002"/>
      <c r="AT276" s="1002"/>
      <c r="AU276" s="1002"/>
      <c r="AV276" s="1002"/>
      <c r="AW276" s="1002"/>
      <c r="AX276" s="1002"/>
      <c r="AY276" s="1002"/>
      <c r="AZ276" s="1002"/>
      <c r="BA276" s="1002"/>
      <c r="BB276" s="1002"/>
      <c r="BC276" s="1002"/>
      <c r="BD276" s="1002"/>
      <c r="BE276" s="204"/>
      <c r="BF276" s="205" t="s">
        <v>487</v>
      </c>
      <c r="BG276" s="204"/>
      <c r="BH276" s="204" t="s">
        <v>407</v>
      </c>
      <c r="BI276" s="204"/>
      <c r="BJ276" s="204"/>
      <c r="BK276" s="206"/>
    </row>
    <row r="277" spans="1:63" s="164" customFormat="1" ht="15.75" customHeight="1">
      <c r="A277" s="185"/>
      <c r="B277" s="193"/>
      <c r="C277" s="184"/>
      <c r="D277" s="183" t="s">
        <v>612</v>
      </c>
      <c r="E277" s="184"/>
      <c r="F277" s="184"/>
      <c r="G277" s="184"/>
      <c r="H277" s="184"/>
      <c r="I277" s="184"/>
      <c r="J277" s="184"/>
      <c r="K277" s="184"/>
      <c r="L277" s="193"/>
      <c r="M277" s="1003"/>
      <c r="N277" s="1002"/>
      <c r="O277" s="1002"/>
      <c r="P277" s="1002"/>
      <c r="Q277" s="1002"/>
      <c r="R277" s="1002"/>
      <c r="S277" s="1002"/>
      <c r="T277" s="1002"/>
      <c r="U277" s="1002"/>
      <c r="V277" s="1002"/>
      <c r="W277" s="1002"/>
      <c r="X277" s="1002"/>
      <c r="Y277" s="1002"/>
      <c r="Z277" s="1002"/>
      <c r="AA277" s="1002"/>
      <c r="AB277" s="1002"/>
      <c r="AC277" s="1002"/>
      <c r="AD277" s="1002"/>
      <c r="AE277" s="1002"/>
      <c r="AF277" s="1002"/>
      <c r="AG277" s="1002"/>
      <c r="AH277" s="1002"/>
      <c r="AI277" s="1002"/>
      <c r="AJ277" s="1002"/>
      <c r="AK277" s="1002"/>
      <c r="AL277" s="1002"/>
      <c r="AM277" s="1002"/>
      <c r="AN277" s="1002"/>
      <c r="AO277" s="1002"/>
      <c r="AP277" s="1002"/>
      <c r="AQ277" s="1002"/>
      <c r="AR277" s="1002"/>
      <c r="AS277" s="1002"/>
      <c r="AT277" s="1002"/>
      <c r="AU277" s="1002"/>
      <c r="AV277" s="1002"/>
      <c r="AW277" s="1002"/>
      <c r="AX277" s="1002"/>
      <c r="AY277" s="1002"/>
      <c r="AZ277" s="1002"/>
      <c r="BA277" s="1002"/>
      <c r="BB277" s="1002"/>
      <c r="BC277" s="1002"/>
      <c r="BD277" s="1002"/>
      <c r="BE277" s="204"/>
      <c r="BF277" s="205" t="s">
        <v>487</v>
      </c>
      <c r="BG277" s="204"/>
      <c r="BH277" s="204" t="s">
        <v>407</v>
      </c>
      <c r="BI277" s="204"/>
      <c r="BJ277" s="204"/>
      <c r="BK277" s="206"/>
    </row>
    <row r="278" spans="1:63" s="164" customFormat="1" ht="15.75" customHeight="1">
      <c r="A278" s="185"/>
      <c r="B278" s="193"/>
      <c r="C278" s="184"/>
      <c r="D278" s="183" t="s">
        <v>613</v>
      </c>
      <c r="E278" s="184"/>
      <c r="F278" s="184"/>
      <c r="G278" s="184"/>
      <c r="H278" s="184"/>
      <c r="I278" s="184"/>
      <c r="J278" s="184"/>
      <c r="K278" s="184"/>
      <c r="L278" s="193"/>
      <c r="M278" s="1003"/>
      <c r="N278" s="1002"/>
      <c r="O278" s="1002"/>
      <c r="P278" s="1002"/>
      <c r="Q278" s="1002"/>
      <c r="R278" s="1002"/>
      <c r="S278" s="1002"/>
      <c r="T278" s="1002"/>
      <c r="U278" s="1002"/>
      <c r="V278" s="1002"/>
      <c r="W278" s="1002"/>
      <c r="X278" s="1002"/>
      <c r="Y278" s="1002"/>
      <c r="Z278" s="1002"/>
      <c r="AA278" s="1002"/>
      <c r="AB278" s="1002"/>
      <c r="AC278" s="1002"/>
      <c r="AD278" s="1002"/>
      <c r="AE278" s="1002"/>
      <c r="AF278" s="1002"/>
      <c r="AG278" s="1002"/>
      <c r="AH278" s="1002"/>
      <c r="AI278" s="1002"/>
      <c r="AJ278" s="1002"/>
      <c r="AK278" s="1002"/>
      <c r="AL278" s="1002"/>
      <c r="AM278" s="1002"/>
      <c r="AN278" s="1002"/>
      <c r="AO278" s="1002"/>
      <c r="AP278" s="1002"/>
      <c r="AQ278" s="1002"/>
      <c r="AR278" s="1002"/>
      <c r="AS278" s="1002"/>
      <c r="AT278" s="1002"/>
      <c r="AU278" s="1002"/>
      <c r="AV278" s="1002"/>
      <c r="AW278" s="1002"/>
      <c r="AX278" s="1002"/>
      <c r="AY278" s="1002"/>
      <c r="AZ278" s="1002"/>
      <c r="BA278" s="1002"/>
      <c r="BB278" s="1002"/>
      <c r="BC278" s="1002"/>
      <c r="BD278" s="1002"/>
      <c r="BE278" s="204"/>
      <c r="BF278" s="205" t="s">
        <v>487</v>
      </c>
      <c r="BG278" s="204"/>
      <c r="BH278" s="204" t="s">
        <v>407</v>
      </c>
      <c r="BI278" s="204"/>
      <c r="BJ278" s="204"/>
      <c r="BK278" s="206"/>
    </row>
    <row r="279" spans="1:63" s="164" customFormat="1" ht="15.75" customHeight="1">
      <c r="A279" s="185"/>
      <c r="B279" s="193"/>
      <c r="C279" s="184"/>
      <c r="D279" s="183" t="s">
        <v>615</v>
      </c>
      <c r="E279" s="184"/>
      <c r="F279" s="184"/>
      <c r="G279" s="184"/>
      <c r="H279" s="184"/>
      <c r="I279" s="184"/>
      <c r="J279" s="184"/>
      <c r="K279" s="184"/>
      <c r="L279" s="193"/>
      <c r="M279" s="1003"/>
      <c r="N279" s="1002"/>
      <c r="O279" s="1002"/>
      <c r="P279" s="1002"/>
      <c r="Q279" s="1002"/>
      <c r="R279" s="1002"/>
      <c r="S279" s="1002"/>
      <c r="T279" s="1002"/>
      <c r="U279" s="1002"/>
      <c r="V279" s="1002"/>
      <c r="W279" s="1002"/>
      <c r="X279" s="1002"/>
      <c r="Y279" s="1002"/>
      <c r="Z279" s="1002"/>
      <c r="AA279" s="1002"/>
      <c r="AB279" s="1002"/>
      <c r="AC279" s="1002"/>
      <c r="AD279" s="1002"/>
      <c r="AE279" s="1002"/>
      <c r="AF279" s="1002"/>
      <c r="AG279" s="1002"/>
      <c r="AH279" s="1002"/>
      <c r="AI279" s="1002"/>
      <c r="AJ279" s="1002"/>
      <c r="AK279" s="1002"/>
      <c r="AL279" s="1002"/>
      <c r="AM279" s="1002"/>
      <c r="AN279" s="1002"/>
      <c r="AO279" s="1002"/>
      <c r="AP279" s="1002"/>
      <c r="AQ279" s="1002"/>
      <c r="AR279" s="1002"/>
      <c r="AS279" s="1002"/>
      <c r="AT279" s="1002"/>
      <c r="AU279" s="1002"/>
      <c r="AV279" s="1002"/>
      <c r="AW279" s="1002"/>
      <c r="AX279" s="1002"/>
      <c r="AY279" s="1002"/>
      <c r="AZ279" s="1002"/>
      <c r="BA279" s="1002"/>
      <c r="BB279" s="1002"/>
      <c r="BC279" s="1002"/>
      <c r="BD279" s="1002"/>
      <c r="BE279" s="204"/>
      <c r="BF279" s="205" t="s">
        <v>487</v>
      </c>
      <c r="BG279" s="204"/>
      <c r="BH279" s="204" t="s">
        <v>407</v>
      </c>
      <c r="BI279" s="204"/>
      <c r="BJ279" s="204"/>
      <c r="BK279" s="206"/>
    </row>
    <row r="280" spans="1:63" s="164" customFormat="1" ht="15.75" customHeight="1">
      <c r="A280" s="185"/>
      <c r="B280" s="193"/>
      <c r="C280" s="184"/>
      <c r="D280" s="183" t="s">
        <v>616</v>
      </c>
      <c r="E280" s="184"/>
      <c r="F280" s="184"/>
      <c r="G280" s="184"/>
      <c r="H280" s="184"/>
      <c r="I280" s="184"/>
      <c r="J280" s="184"/>
      <c r="K280" s="184"/>
      <c r="L280" s="193"/>
      <c r="M280" s="1003"/>
      <c r="N280" s="1002"/>
      <c r="O280" s="1002"/>
      <c r="P280" s="1002"/>
      <c r="Q280" s="1002"/>
      <c r="R280" s="1002"/>
      <c r="S280" s="1002"/>
      <c r="T280" s="1002"/>
      <c r="U280" s="1002"/>
      <c r="V280" s="1002"/>
      <c r="W280" s="1002"/>
      <c r="X280" s="1002"/>
      <c r="Y280" s="1002"/>
      <c r="Z280" s="1002"/>
      <c r="AA280" s="1002"/>
      <c r="AB280" s="1002"/>
      <c r="AC280" s="1002"/>
      <c r="AD280" s="1002"/>
      <c r="AE280" s="1002"/>
      <c r="AF280" s="1002"/>
      <c r="AG280" s="1002"/>
      <c r="AH280" s="1002"/>
      <c r="AI280" s="1002"/>
      <c r="AJ280" s="1002"/>
      <c r="AK280" s="1002"/>
      <c r="AL280" s="1002"/>
      <c r="AM280" s="1002"/>
      <c r="AN280" s="1002"/>
      <c r="AO280" s="1002"/>
      <c r="AP280" s="1002"/>
      <c r="AQ280" s="1002"/>
      <c r="AR280" s="1002"/>
      <c r="AS280" s="1002"/>
      <c r="AT280" s="1002"/>
      <c r="AU280" s="1002"/>
      <c r="AV280" s="1002"/>
      <c r="AW280" s="1002"/>
      <c r="AX280" s="1002"/>
      <c r="AY280" s="1002"/>
      <c r="AZ280" s="1002"/>
      <c r="BA280" s="1002"/>
      <c r="BB280" s="1002"/>
      <c r="BC280" s="1002"/>
      <c r="BD280" s="1002"/>
      <c r="BE280" s="204"/>
      <c r="BF280" s="205" t="s">
        <v>487</v>
      </c>
      <c r="BG280" s="204"/>
      <c r="BH280" s="204" t="s">
        <v>407</v>
      </c>
      <c r="BI280" s="204"/>
      <c r="BJ280" s="204"/>
      <c r="BK280" s="206"/>
    </row>
    <row r="281" spans="1:63" s="164" customFormat="1" ht="15.75" customHeight="1">
      <c r="A281" s="185"/>
      <c r="B281" s="193"/>
      <c r="C281" s="184"/>
      <c r="D281" s="183" t="s">
        <v>618</v>
      </c>
      <c r="E281" s="184"/>
      <c r="F281" s="184"/>
      <c r="G281" s="184"/>
      <c r="H281" s="184"/>
      <c r="I281" s="184"/>
      <c r="J281" s="184"/>
      <c r="K281" s="184"/>
      <c r="L281" s="193"/>
      <c r="M281" s="1003"/>
      <c r="N281" s="1002"/>
      <c r="O281" s="1002"/>
      <c r="P281" s="1002"/>
      <c r="Q281" s="1002"/>
      <c r="R281" s="1002"/>
      <c r="S281" s="1002"/>
      <c r="T281" s="1002"/>
      <c r="U281" s="1002"/>
      <c r="V281" s="1002"/>
      <c r="W281" s="1002"/>
      <c r="X281" s="1002"/>
      <c r="Y281" s="1002"/>
      <c r="Z281" s="1002"/>
      <c r="AA281" s="1002"/>
      <c r="AB281" s="1002"/>
      <c r="AC281" s="1002"/>
      <c r="AD281" s="1002"/>
      <c r="AE281" s="1002"/>
      <c r="AF281" s="1002"/>
      <c r="AG281" s="1002"/>
      <c r="AH281" s="1002"/>
      <c r="AI281" s="1002"/>
      <c r="AJ281" s="1002"/>
      <c r="AK281" s="1002"/>
      <c r="AL281" s="1002"/>
      <c r="AM281" s="1002"/>
      <c r="AN281" s="1002"/>
      <c r="AO281" s="1002"/>
      <c r="AP281" s="1002"/>
      <c r="AQ281" s="1002"/>
      <c r="AR281" s="1002"/>
      <c r="AS281" s="1002"/>
      <c r="AT281" s="1002"/>
      <c r="AU281" s="1002"/>
      <c r="AV281" s="1002"/>
      <c r="AW281" s="1002"/>
      <c r="AX281" s="1002"/>
      <c r="AY281" s="1002"/>
      <c r="AZ281" s="1002"/>
      <c r="BA281" s="1002"/>
      <c r="BB281" s="1002"/>
      <c r="BC281" s="1002"/>
      <c r="BD281" s="1002"/>
      <c r="BE281" s="204"/>
      <c r="BF281" s="205" t="s">
        <v>487</v>
      </c>
      <c r="BG281" s="204"/>
      <c r="BH281" s="204" t="s">
        <v>407</v>
      </c>
      <c r="BI281" s="204"/>
      <c r="BJ281" s="204"/>
      <c r="BK281" s="206"/>
    </row>
    <row r="282" spans="1:63" s="164" customFormat="1" ht="15.75" customHeight="1">
      <c r="A282" s="185"/>
      <c r="B282" s="193"/>
      <c r="C282" s="184"/>
      <c r="D282" s="183" t="s">
        <v>619</v>
      </c>
      <c r="E282" s="184"/>
      <c r="F282" s="184"/>
      <c r="G282" s="184"/>
      <c r="H282" s="184"/>
      <c r="I282" s="184"/>
      <c r="J282" s="184"/>
      <c r="K282" s="184"/>
      <c r="L282" s="193"/>
      <c r="M282" s="1003"/>
      <c r="N282" s="1002"/>
      <c r="O282" s="1002"/>
      <c r="P282" s="1002"/>
      <c r="Q282" s="1002"/>
      <c r="R282" s="1002"/>
      <c r="S282" s="1002"/>
      <c r="T282" s="1002"/>
      <c r="U282" s="1002"/>
      <c r="V282" s="1002"/>
      <c r="W282" s="1002"/>
      <c r="X282" s="1002"/>
      <c r="Y282" s="1002"/>
      <c r="Z282" s="1002"/>
      <c r="AA282" s="1002"/>
      <c r="AB282" s="1002"/>
      <c r="AC282" s="1002"/>
      <c r="AD282" s="1002"/>
      <c r="AE282" s="1002"/>
      <c r="AF282" s="1002"/>
      <c r="AG282" s="1002"/>
      <c r="AH282" s="1002"/>
      <c r="AI282" s="1002"/>
      <c r="AJ282" s="1002"/>
      <c r="AK282" s="1002"/>
      <c r="AL282" s="1002"/>
      <c r="AM282" s="1002"/>
      <c r="AN282" s="1002"/>
      <c r="AO282" s="1002"/>
      <c r="AP282" s="1002"/>
      <c r="AQ282" s="1002"/>
      <c r="AR282" s="1002"/>
      <c r="AS282" s="1002"/>
      <c r="AT282" s="1002"/>
      <c r="AU282" s="1002"/>
      <c r="AV282" s="1002"/>
      <c r="AW282" s="1002"/>
      <c r="AX282" s="1002"/>
      <c r="AY282" s="1002"/>
      <c r="AZ282" s="1002"/>
      <c r="BA282" s="1002"/>
      <c r="BB282" s="1002"/>
      <c r="BC282" s="1002"/>
      <c r="BD282" s="1002"/>
      <c r="BE282" s="204"/>
      <c r="BF282" s="205" t="s">
        <v>487</v>
      </c>
      <c r="BG282" s="204"/>
      <c r="BH282" s="204" t="s">
        <v>407</v>
      </c>
      <c r="BI282" s="204"/>
      <c r="BJ282" s="204"/>
      <c r="BK282" s="206"/>
    </row>
    <row r="283" spans="1:63" s="164" customFormat="1" ht="15.75" customHeight="1">
      <c r="A283" s="185"/>
      <c r="B283" s="193"/>
      <c r="C283" s="184"/>
      <c r="D283" s="183" t="s">
        <v>621</v>
      </c>
      <c r="E283" s="184"/>
      <c r="F283" s="184"/>
      <c r="G283" s="184"/>
      <c r="H283" s="184"/>
      <c r="I283" s="184"/>
      <c r="J283" s="184"/>
      <c r="K283" s="184"/>
      <c r="L283" s="193"/>
      <c r="M283" s="1003"/>
      <c r="N283" s="1002"/>
      <c r="O283" s="1002"/>
      <c r="P283" s="1002"/>
      <c r="Q283" s="1002"/>
      <c r="R283" s="1002"/>
      <c r="S283" s="1002"/>
      <c r="T283" s="1002"/>
      <c r="U283" s="1002"/>
      <c r="V283" s="1002"/>
      <c r="W283" s="1002"/>
      <c r="X283" s="1002"/>
      <c r="Y283" s="1002"/>
      <c r="Z283" s="1002"/>
      <c r="AA283" s="1002"/>
      <c r="AB283" s="1002"/>
      <c r="AC283" s="1002"/>
      <c r="AD283" s="1002"/>
      <c r="AE283" s="1002"/>
      <c r="AF283" s="1002"/>
      <c r="AG283" s="1002"/>
      <c r="AH283" s="1002"/>
      <c r="AI283" s="1002"/>
      <c r="AJ283" s="1002"/>
      <c r="AK283" s="1002"/>
      <c r="AL283" s="1002"/>
      <c r="AM283" s="1002"/>
      <c r="AN283" s="1002"/>
      <c r="AO283" s="1002"/>
      <c r="AP283" s="1002"/>
      <c r="AQ283" s="1002"/>
      <c r="AR283" s="1002"/>
      <c r="AS283" s="1002"/>
      <c r="AT283" s="1002"/>
      <c r="AU283" s="1002"/>
      <c r="AV283" s="1002"/>
      <c r="AW283" s="1002"/>
      <c r="AX283" s="1002"/>
      <c r="AY283" s="1002"/>
      <c r="AZ283" s="1002"/>
      <c r="BA283" s="1002"/>
      <c r="BB283" s="1002"/>
      <c r="BC283" s="1002"/>
      <c r="BD283" s="1002"/>
      <c r="BE283" s="204"/>
      <c r="BF283" s="205" t="s">
        <v>487</v>
      </c>
      <c r="BG283" s="204"/>
      <c r="BH283" s="204" t="s">
        <v>407</v>
      </c>
      <c r="BI283" s="204"/>
      <c r="BJ283" s="204"/>
      <c r="BK283" s="206"/>
    </row>
    <row r="284" spans="1:63" s="164" customFormat="1" ht="15.75" customHeight="1">
      <c r="A284" s="185"/>
      <c r="B284" s="193"/>
      <c r="C284" s="184"/>
      <c r="D284" s="183" t="s">
        <v>622</v>
      </c>
      <c r="E284" s="184"/>
      <c r="F284" s="184"/>
      <c r="G284" s="184"/>
      <c r="H284" s="184"/>
      <c r="I284" s="184"/>
      <c r="J284" s="184"/>
      <c r="K284" s="184"/>
      <c r="L284" s="193"/>
      <c r="M284" s="1003"/>
      <c r="N284" s="1002"/>
      <c r="O284" s="1002"/>
      <c r="P284" s="1002"/>
      <c r="Q284" s="1002"/>
      <c r="R284" s="1002"/>
      <c r="S284" s="1002"/>
      <c r="T284" s="1002"/>
      <c r="U284" s="1002"/>
      <c r="V284" s="1002"/>
      <c r="W284" s="1002"/>
      <c r="X284" s="1002"/>
      <c r="Y284" s="1002"/>
      <c r="Z284" s="1002"/>
      <c r="AA284" s="1002"/>
      <c r="AB284" s="1002"/>
      <c r="AC284" s="1002"/>
      <c r="AD284" s="1002"/>
      <c r="AE284" s="1002"/>
      <c r="AF284" s="1002"/>
      <c r="AG284" s="1002"/>
      <c r="AH284" s="1002"/>
      <c r="AI284" s="1002"/>
      <c r="AJ284" s="1002"/>
      <c r="AK284" s="1002"/>
      <c r="AL284" s="1002"/>
      <c r="AM284" s="1002"/>
      <c r="AN284" s="1002"/>
      <c r="AO284" s="1002"/>
      <c r="AP284" s="1002"/>
      <c r="AQ284" s="1002"/>
      <c r="AR284" s="1002"/>
      <c r="AS284" s="1002"/>
      <c r="AT284" s="1002"/>
      <c r="AU284" s="1002"/>
      <c r="AV284" s="1002"/>
      <c r="AW284" s="1002"/>
      <c r="AX284" s="1002"/>
      <c r="AY284" s="1002"/>
      <c r="AZ284" s="1002"/>
      <c r="BA284" s="1002"/>
      <c r="BB284" s="1002"/>
      <c r="BC284" s="1002"/>
      <c r="BD284" s="1002"/>
      <c r="BE284" s="204"/>
      <c r="BF284" s="205" t="s">
        <v>487</v>
      </c>
      <c r="BG284" s="204"/>
      <c r="BH284" s="204" t="s">
        <v>407</v>
      </c>
      <c r="BI284" s="204"/>
      <c r="BJ284" s="204"/>
      <c r="BK284" s="206"/>
    </row>
    <row r="285" spans="1:63" s="164" customFormat="1" ht="15.75" customHeight="1">
      <c r="A285" s="185"/>
      <c r="B285" s="193"/>
      <c r="C285" s="184"/>
      <c r="D285" s="183" t="s">
        <v>624</v>
      </c>
      <c r="E285" s="184"/>
      <c r="F285" s="184"/>
      <c r="G285" s="184"/>
      <c r="H285" s="184"/>
      <c r="I285" s="184"/>
      <c r="J285" s="184"/>
      <c r="K285" s="184"/>
      <c r="L285" s="193"/>
      <c r="M285" s="1003"/>
      <c r="N285" s="1002"/>
      <c r="O285" s="1002"/>
      <c r="P285" s="1002"/>
      <c r="Q285" s="1002"/>
      <c r="R285" s="1002"/>
      <c r="S285" s="1002"/>
      <c r="T285" s="1002"/>
      <c r="U285" s="1002"/>
      <c r="V285" s="1002"/>
      <c r="W285" s="1002"/>
      <c r="X285" s="1002"/>
      <c r="Y285" s="1002"/>
      <c r="Z285" s="1002"/>
      <c r="AA285" s="1002"/>
      <c r="AB285" s="1002"/>
      <c r="AC285" s="1002"/>
      <c r="AD285" s="1002"/>
      <c r="AE285" s="1002"/>
      <c r="AF285" s="1002"/>
      <c r="AG285" s="1002"/>
      <c r="AH285" s="1002"/>
      <c r="AI285" s="1002"/>
      <c r="AJ285" s="1002"/>
      <c r="AK285" s="1002"/>
      <c r="AL285" s="1002"/>
      <c r="AM285" s="1002"/>
      <c r="AN285" s="1002"/>
      <c r="AO285" s="1002"/>
      <c r="AP285" s="1002"/>
      <c r="AQ285" s="1002"/>
      <c r="AR285" s="1002"/>
      <c r="AS285" s="1002"/>
      <c r="AT285" s="1002"/>
      <c r="AU285" s="1002"/>
      <c r="AV285" s="1002"/>
      <c r="AW285" s="1002"/>
      <c r="AX285" s="1002"/>
      <c r="AY285" s="1002"/>
      <c r="AZ285" s="1002"/>
      <c r="BA285" s="1002"/>
      <c r="BB285" s="1002"/>
      <c r="BC285" s="1002"/>
      <c r="BD285" s="1002"/>
      <c r="BE285" s="204"/>
      <c r="BF285" s="205" t="s">
        <v>487</v>
      </c>
      <c r="BG285" s="204"/>
      <c r="BH285" s="204" t="s">
        <v>407</v>
      </c>
      <c r="BI285" s="204"/>
      <c r="BJ285" s="204"/>
      <c r="BK285" s="206"/>
    </row>
    <row r="286" spans="1:63" s="164" customFormat="1" ht="15.75" customHeight="1">
      <c r="A286" s="185"/>
      <c r="B286" s="193"/>
      <c r="C286" s="184"/>
      <c r="D286" s="183" t="s">
        <v>625</v>
      </c>
      <c r="E286" s="184"/>
      <c r="F286" s="184"/>
      <c r="G286" s="184"/>
      <c r="H286" s="184"/>
      <c r="I286" s="184"/>
      <c r="J286" s="184"/>
      <c r="K286" s="184"/>
      <c r="L286" s="193"/>
      <c r="M286" s="1003"/>
      <c r="N286" s="1002"/>
      <c r="O286" s="1002"/>
      <c r="P286" s="1002"/>
      <c r="Q286" s="1002"/>
      <c r="R286" s="1002"/>
      <c r="S286" s="1002"/>
      <c r="T286" s="1002"/>
      <c r="U286" s="1002"/>
      <c r="V286" s="1002"/>
      <c r="W286" s="1002"/>
      <c r="X286" s="1002"/>
      <c r="Y286" s="1002"/>
      <c r="Z286" s="1002"/>
      <c r="AA286" s="1002"/>
      <c r="AB286" s="1002"/>
      <c r="AC286" s="1002"/>
      <c r="AD286" s="1002"/>
      <c r="AE286" s="1002"/>
      <c r="AF286" s="1002"/>
      <c r="AG286" s="1002"/>
      <c r="AH286" s="1002"/>
      <c r="AI286" s="1002"/>
      <c r="AJ286" s="1002"/>
      <c r="AK286" s="1002"/>
      <c r="AL286" s="1002"/>
      <c r="AM286" s="1002"/>
      <c r="AN286" s="1002"/>
      <c r="AO286" s="1002"/>
      <c r="AP286" s="1002"/>
      <c r="AQ286" s="1002"/>
      <c r="AR286" s="1002"/>
      <c r="AS286" s="1002"/>
      <c r="AT286" s="1002"/>
      <c r="AU286" s="1002"/>
      <c r="AV286" s="1002"/>
      <c r="AW286" s="1002"/>
      <c r="AX286" s="1002"/>
      <c r="AY286" s="1002"/>
      <c r="AZ286" s="1002"/>
      <c r="BA286" s="1002"/>
      <c r="BB286" s="1002"/>
      <c r="BC286" s="1002"/>
      <c r="BD286" s="1002"/>
      <c r="BE286" s="204"/>
      <c r="BF286" s="205" t="s">
        <v>487</v>
      </c>
      <c r="BG286" s="204"/>
      <c r="BH286" s="204" t="s">
        <v>407</v>
      </c>
      <c r="BI286" s="204"/>
      <c r="BJ286" s="204"/>
      <c r="BK286" s="206"/>
    </row>
    <row r="287" spans="1:63" s="164" customFormat="1" ht="15.75" customHeight="1">
      <c r="A287" s="185"/>
      <c r="B287" s="193"/>
      <c r="C287" s="184"/>
      <c r="D287" s="183" t="s">
        <v>627</v>
      </c>
      <c r="E287" s="184"/>
      <c r="F287" s="184"/>
      <c r="G287" s="184"/>
      <c r="H287" s="184"/>
      <c r="I287" s="184"/>
      <c r="J287" s="184"/>
      <c r="K287" s="184"/>
      <c r="L287" s="193"/>
      <c r="M287" s="1003"/>
      <c r="N287" s="1002"/>
      <c r="O287" s="1002"/>
      <c r="P287" s="1002"/>
      <c r="Q287" s="1002"/>
      <c r="R287" s="1002"/>
      <c r="S287" s="1002"/>
      <c r="T287" s="1002"/>
      <c r="U287" s="1002"/>
      <c r="V287" s="1002"/>
      <c r="W287" s="1002"/>
      <c r="X287" s="1002"/>
      <c r="Y287" s="1002"/>
      <c r="Z287" s="1002"/>
      <c r="AA287" s="1002"/>
      <c r="AB287" s="1002"/>
      <c r="AC287" s="1002"/>
      <c r="AD287" s="1002"/>
      <c r="AE287" s="1002"/>
      <c r="AF287" s="1002"/>
      <c r="AG287" s="1002"/>
      <c r="AH287" s="1002"/>
      <c r="AI287" s="1002"/>
      <c r="AJ287" s="1002"/>
      <c r="AK287" s="1002"/>
      <c r="AL287" s="1002"/>
      <c r="AM287" s="1002"/>
      <c r="AN287" s="1002"/>
      <c r="AO287" s="1002"/>
      <c r="AP287" s="1002"/>
      <c r="AQ287" s="1002"/>
      <c r="AR287" s="1002"/>
      <c r="AS287" s="1002"/>
      <c r="AT287" s="1002"/>
      <c r="AU287" s="1002"/>
      <c r="AV287" s="1002"/>
      <c r="AW287" s="1002"/>
      <c r="AX287" s="1002"/>
      <c r="AY287" s="1002"/>
      <c r="AZ287" s="1002"/>
      <c r="BA287" s="1002"/>
      <c r="BB287" s="1002"/>
      <c r="BC287" s="1002"/>
      <c r="BD287" s="1002"/>
      <c r="BE287" s="204"/>
      <c r="BF287" s="205" t="s">
        <v>487</v>
      </c>
      <c r="BG287" s="204"/>
      <c r="BH287" s="204" t="s">
        <v>407</v>
      </c>
      <c r="BI287" s="204"/>
      <c r="BJ287" s="204"/>
      <c r="BK287" s="206"/>
    </row>
    <row r="288" spans="1:63" s="164" customFormat="1" ht="15.75" customHeight="1">
      <c r="A288" s="185"/>
      <c r="B288" s="193"/>
      <c r="C288" s="184"/>
      <c r="D288" s="183" t="s">
        <v>628</v>
      </c>
      <c r="E288" s="184"/>
      <c r="F288" s="184"/>
      <c r="G288" s="184"/>
      <c r="H288" s="184"/>
      <c r="I288" s="184"/>
      <c r="J288" s="184"/>
      <c r="K288" s="184"/>
      <c r="L288" s="193"/>
      <c r="M288" s="1003"/>
      <c r="N288" s="1002"/>
      <c r="O288" s="1002"/>
      <c r="P288" s="1002"/>
      <c r="Q288" s="1002"/>
      <c r="R288" s="1002"/>
      <c r="S288" s="1002"/>
      <c r="T288" s="1002"/>
      <c r="U288" s="1002"/>
      <c r="V288" s="1002"/>
      <c r="W288" s="1002"/>
      <c r="X288" s="1002"/>
      <c r="Y288" s="1002"/>
      <c r="Z288" s="1002"/>
      <c r="AA288" s="1002"/>
      <c r="AB288" s="1002"/>
      <c r="AC288" s="1002"/>
      <c r="AD288" s="1002"/>
      <c r="AE288" s="1002"/>
      <c r="AF288" s="1002"/>
      <c r="AG288" s="1002"/>
      <c r="AH288" s="1002"/>
      <c r="AI288" s="1002"/>
      <c r="AJ288" s="1002"/>
      <c r="AK288" s="1002"/>
      <c r="AL288" s="1002"/>
      <c r="AM288" s="1002"/>
      <c r="AN288" s="1002"/>
      <c r="AO288" s="1002"/>
      <c r="AP288" s="1002"/>
      <c r="AQ288" s="1002"/>
      <c r="AR288" s="1002"/>
      <c r="AS288" s="1002"/>
      <c r="AT288" s="1002"/>
      <c r="AU288" s="1002"/>
      <c r="AV288" s="1002"/>
      <c r="AW288" s="1002"/>
      <c r="AX288" s="1002"/>
      <c r="AY288" s="1002"/>
      <c r="AZ288" s="1002"/>
      <c r="BA288" s="1002"/>
      <c r="BB288" s="1002"/>
      <c r="BC288" s="1002"/>
      <c r="BD288" s="1002"/>
      <c r="BE288" s="204"/>
      <c r="BF288" s="205" t="s">
        <v>487</v>
      </c>
      <c r="BG288" s="204"/>
      <c r="BH288" s="204" t="s">
        <v>407</v>
      </c>
      <c r="BI288" s="204"/>
      <c r="BJ288" s="204"/>
      <c r="BK288" s="206"/>
    </row>
    <row r="289" spans="1:63" s="164" customFormat="1" ht="15.75" customHeight="1">
      <c r="A289" s="185"/>
      <c r="B289" s="193"/>
      <c r="C289" s="184"/>
      <c r="D289" s="183" t="s">
        <v>630</v>
      </c>
      <c r="E289" s="184"/>
      <c r="F289" s="184"/>
      <c r="G289" s="184"/>
      <c r="H289" s="184"/>
      <c r="I289" s="184"/>
      <c r="J289" s="184"/>
      <c r="K289" s="184"/>
      <c r="L289" s="193"/>
      <c r="M289" s="1003"/>
      <c r="N289" s="1002"/>
      <c r="O289" s="1002"/>
      <c r="P289" s="1002"/>
      <c r="Q289" s="1002"/>
      <c r="R289" s="1002"/>
      <c r="S289" s="1002"/>
      <c r="T289" s="1002"/>
      <c r="U289" s="1002"/>
      <c r="V289" s="1002"/>
      <c r="W289" s="1002"/>
      <c r="X289" s="1002"/>
      <c r="Y289" s="1002"/>
      <c r="Z289" s="1002"/>
      <c r="AA289" s="1002"/>
      <c r="AB289" s="1002"/>
      <c r="AC289" s="1002"/>
      <c r="AD289" s="1002"/>
      <c r="AE289" s="1002"/>
      <c r="AF289" s="1002"/>
      <c r="AG289" s="1002"/>
      <c r="AH289" s="1002"/>
      <c r="AI289" s="1002"/>
      <c r="AJ289" s="1002"/>
      <c r="AK289" s="1002"/>
      <c r="AL289" s="1002"/>
      <c r="AM289" s="1002"/>
      <c r="AN289" s="1002"/>
      <c r="AO289" s="1002"/>
      <c r="AP289" s="1002"/>
      <c r="AQ289" s="1002"/>
      <c r="AR289" s="1002"/>
      <c r="AS289" s="1002"/>
      <c r="AT289" s="1002"/>
      <c r="AU289" s="1002"/>
      <c r="AV289" s="1002"/>
      <c r="AW289" s="1002"/>
      <c r="AX289" s="1002"/>
      <c r="AY289" s="1002"/>
      <c r="AZ289" s="1002"/>
      <c r="BA289" s="1002"/>
      <c r="BB289" s="1002"/>
      <c r="BC289" s="1002"/>
      <c r="BD289" s="1002"/>
      <c r="BE289" s="204"/>
      <c r="BF289" s="205" t="s">
        <v>487</v>
      </c>
      <c r="BG289" s="204"/>
      <c r="BH289" s="204" t="s">
        <v>407</v>
      </c>
      <c r="BI289" s="204"/>
      <c r="BJ289" s="204"/>
      <c r="BK289" s="206"/>
    </row>
    <row r="290" spans="1:63" s="164" customFormat="1" ht="15.75" customHeight="1">
      <c r="A290" s="185"/>
      <c r="B290" s="193"/>
      <c r="C290" s="184"/>
      <c r="D290" s="183" t="s">
        <v>631</v>
      </c>
      <c r="E290" s="184"/>
      <c r="F290" s="184"/>
      <c r="G290" s="184"/>
      <c r="H290" s="184"/>
      <c r="I290" s="184"/>
      <c r="J290" s="184"/>
      <c r="K290" s="184"/>
      <c r="L290" s="193"/>
      <c r="M290" s="1003"/>
      <c r="N290" s="1002"/>
      <c r="O290" s="1002"/>
      <c r="P290" s="1002"/>
      <c r="Q290" s="1002"/>
      <c r="R290" s="1002"/>
      <c r="S290" s="1002"/>
      <c r="T290" s="1002"/>
      <c r="U290" s="1002"/>
      <c r="V290" s="1002"/>
      <c r="W290" s="1002"/>
      <c r="X290" s="1002"/>
      <c r="Y290" s="1002"/>
      <c r="Z290" s="1002"/>
      <c r="AA290" s="1002"/>
      <c r="AB290" s="1002"/>
      <c r="AC290" s="1002"/>
      <c r="AD290" s="1002"/>
      <c r="AE290" s="1002"/>
      <c r="AF290" s="1002"/>
      <c r="AG290" s="1002"/>
      <c r="AH290" s="1002"/>
      <c r="AI290" s="1002"/>
      <c r="AJ290" s="1002"/>
      <c r="AK290" s="1002"/>
      <c r="AL290" s="1002"/>
      <c r="AM290" s="1002"/>
      <c r="AN290" s="1002"/>
      <c r="AO290" s="1002"/>
      <c r="AP290" s="1002"/>
      <c r="AQ290" s="1002"/>
      <c r="AR290" s="1002"/>
      <c r="AS290" s="1002"/>
      <c r="AT290" s="1002"/>
      <c r="AU290" s="1002"/>
      <c r="AV290" s="1002"/>
      <c r="AW290" s="1002"/>
      <c r="AX290" s="1002"/>
      <c r="AY290" s="1002"/>
      <c r="AZ290" s="1002"/>
      <c r="BA290" s="1002"/>
      <c r="BB290" s="1002"/>
      <c r="BC290" s="1002"/>
      <c r="BD290" s="1002"/>
      <c r="BE290" s="204"/>
      <c r="BF290" s="205" t="s">
        <v>487</v>
      </c>
      <c r="BG290" s="204"/>
      <c r="BH290" s="204" t="s">
        <v>407</v>
      </c>
      <c r="BI290" s="204"/>
      <c r="BJ290" s="204"/>
      <c r="BK290" s="206"/>
    </row>
    <row r="291" spans="1:63" s="164" customFormat="1" ht="15.75" customHeight="1">
      <c r="A291" s="185"/>
      <c r="B291" s="193"/>
      <c r="C291" s="184"/>
      <c r="D291" s="183" t="s">
        <v>633</v>
      </c>
      <c r="E291" s="184"/>
      <c r="F291" s="184"/>
      <c r="G291" s="184"/>
      <c r="H291" s="184"/>
      <c r="I291" s="184"/>
      <c r="J291" s="184"/>
      <c r="K291" s="184"/>
      <c r="L291" s="193"/>
      <c r="M291" s="1003"/>
      <c r="N291" s="1002"/>
      <c r="O291" s="1002"/>
      <c r="P291" s="1002"/>
      <c r="Q291" s="1002"/>
      <c r="R291" s="1002"/>
      <c r="S291" s="1002"/>
      <c r="T291" s="1002"/>
      <c r="U291" s="1002"/>
      <c r="V291" s="1002"/>
      <c r="W291" s="1002"/>
      <c r="X291" s="1002"/>
      <c r="Y291" s="1002"/>
      <c r="Z291" s="1002"/>
      <c r="AA291" s="1002"/>
      <c r="AB291" s="1002"/>
      <c r="AC291" s="1002"/>
      <c r="AD291" s="1002"/>
      <c r="AE291" s="1002"/>
      <c r="AF291" s="1002"/>
      <c r="AG291" s="1002"/>
      <c r="AH291" s="1002"/>
      <c r="AI291" s="1002"/>
      <c r="AJ291" s="1002"/>
      <c r="AK291" s="1002"/>
      <c r="AL291" s="1002"/>
      <c r="AM291" s="1002"/>
      <c r="AN291" s="1002"/>
      <c r="AO291" s="1002"/>
      <c r="AP291" s="1002"/>
      <c r="AQ291" s="1002"/>
      <c r="AR291" s="1002"/>
      <c r="AS291" s="1002"/>
      <c r="AT291" s="1002"/>
      <c r="AU291" s="1002"/>
      <c r="AV291" s="1002"/>
      <c r="AW291" s="1002"/>
      <c r="AX291" s="1002"/>
      <c r="AY291" s="1002"/>
      <c r="AZ291" s="1002"/>
      <c r="BA291" s="1002"/>
      <c r="BB291" s="1002"/>
      <c r="BC291" s="1002"/>
      <c r="BD291" s="1002"/>
      <c r="BE291" s="204"/>
      <c r="BF291" s="205" t="s">
        <v>487</v>
      </c>
      <c r="BG291" s="204"/>
      <c r="BH291" s="204" t="s">
        <v>407</v>
      </c>
      <c r="BI291" s="204"/>
      <c r="BJ291" s="204"/>
      <c r="BK291" s="206"/>
    </row>
    <row r="292" spans="1:63" s="164" customFormat="1" ht="15.75" customHeight="1">
      <c r="A292" s="185"/>
      <c r="B292" s="193"/>
      <c r="C292" s="184"/>
      <c r="D292" s="183" t="s">
        <v>634</v>
      </c>
      <c r="E292" s="184"/>
      <c r="F292" s="184"/>
      <c r="G292" s="184"/>
      <c r="H292" s="184"/>
      <c r="I292" s="184"/>
      <c r="J292" s="184"/>
      <c r="K292" s="184"/>
      <c r="L292" s="193"/>
      <c r="M292" s="1003"/>
      <c r="N292" s="1002"/>
      <c r="O292" s="1002"/>
      <c r="P292" s="1002"/>
      <c r="Q292" s="1002"/>
      <c r="R292" s="1002"/>
      <c r="S292" s="1002"/>
      <c r="T292" s="1002"/>
      <c r="U292" s="1002"/>
      <c r="V292" s="1002"/>
      <c r="W292" s="1002"/>
      <c r="X292" s="1002"/>
      <c r="Y292" s="1002"/>
      <c r="Z292" s="1002"/>
      <c r="AA292" s="1002"/>
      <c r="AB292" s="1002"/>
      <c r="AC292" s="1002"/>
      <c r="AD292" s="1002"/>
      <c r="AE292" s="1002"/>
      <c r="AF292" s="1002"/>
      <c r="AG292" s="1002"/>
      <c r="AH292" s="1002"/>
      <c r="AI292" s="1002"/>
      <c r="AJ292" s="1002"/>
      <c r="AK292" s="1002"/>
      <c r="AL292" s="1002"/>
      <c r="AM292" s="1002"/>
      <c r="AN292" s="1002"/>
      <c r="AO292" s="1002"/>
      <c r="AP292" s="1002"/>
      <c r="AQ292" s="1002"/>
      <c r="AR292" s="1002"/>
      <c r="AS292" s="1002"/>
      <c r="AT292" s="1002"/>
      <c r="AU292" s="1002"/>
      <c r="AV292" s="1002"/>
      <c r="AW292" s="1002"/>
      <c r="AX292" s="1002"/>
      <c r="AY292" s="1002"/>
      <c r="AZ292" s="1002"/>
      <c r="BA292" s="1002"/>
      <c r="BB292" s="1002"/>
      <c r="BC292" s="1002"/>
      <c r="BD292" s="1002"/>
      <c r="BE292" s="204"/>
      <c r="BF292" s="205" t="s">
        <v>487</v>
      </c>
      <c r="BG292" s="204"/>
      <c r="BH292" s="204" t="s">
        <v>407</v>
      </c>
      <c r="BI292" s="204"/>
      <c r="BJ292" s="204"/>
      <c r="BK292" s="206"/>
    </row>
    <row r="293" spans="1:63" s="164" customFormat="1" ht="15.75" customHeight="1">
      <c r="A293" s="185"/>
      <c r="B293" s="193"/>
      <c r="C293" s="184"/>
      <c r="D293" s="183" t="s">
        <v>636</v>
      </c>
      <c r="E293" s="184"/>
      <c r="F293" s="184"/>
      <c r="G293" s="184"/>
      <c r="H293" s="184"/>
      <c r="I293" s="184"/>
      <c r="J293" s="184"/>
      <c r="K293" s="184"/>
      <c r="L293" s="193"/>
      <c r="M293" s="1003"/>
      <c r="N293" s="1002"/>
      <c r="O293" s="1002"/>
      <c r="P293" s="1002"/>
      <c r="Q293" s="1002"/>
      <c r="R293" s="1002"/>
      <c r="S293" s="1002"/>
      <c r="T293" s="1002"/>
      <c r="U293" s="1002"/>
      <c r="V293" s="1002"/>
      <c r="W293" s="1002"/>
      <c r="X293" s="1002"/>
      <c r="Y293" s="1002"/>
      <c r="Z293" s="1002"/>
      <c r="AA293" s="1002"/>
      <c r="AB293" s="1002"/>
      <c r="AC293" s="1002"/>
      <c r="AD293" s="1002"/>
      <c r="AE293" s="1002"/>
      <c r="AF293" s="1002"/>
      <c r="AG293" s="1002"/>
      <c r="AH293" s="1002"/>
      <c r="AI293" s="1002"/>
      <c r="AJ293" s="1002"/>
      <c r="AK293" s="1002"/>
      <c r="AL293" s="1002"/>
      <c r="AM293" s="1002"/>
      <c r="AN293" s="1002"/>
      <c r="AO293" s="1002"/>
      <c r="AP293" s="1002"/>
      <c r="AQ293" s="1002"/>
      <c r="AR293" s="1002"/>
      <c r="AS293" s="1002"/>
      <c r="AT293" s="1002"/>
      <c r="AU293" s="1002"/>
      <c r="AV293" s="1002"/>
      <c r="AW293" s="1002"/>
      <c r="AX293" s="1002"/>
      <c r="AY293" s="1002"/>
      <c r="AZ293" s="1002"/>
      <c r="BA293" s="1002"/>
      <c r="BB293" s="1002"/>
      <c r="BC293" s="1002"/>
      <c r="BD293" s="1002"/>
      <c r="BE293" s="204"/>
      <c r="BF293" s="205" t="s">
        <v>487</v>
      </c>
      <c r="BG293" s="204"/>
      <c r="BH293" s="204" t="s">
        <v>407</v>
      </c>
      <c r="BI293" s="204"/>
      <c r="BJ293" s="204"/>
      <c r="BK293" s="206"/>
    </row>
    <row r="294" spans="1:63" s="164" customFormat="1" ht="15.75" customHeight="1">
      <c r="A294" s="185"/>
      <c r="B294" s="193"/>
      <c r="C294" s="184"/>
      <c r="D294" s="183" t="s">
        <v>637</v>
      </c>
      <c r="E294" s="184"/>
      <c r="F294" s="184"/>
      <c r="G294" s="184"/>
      <c r="H294" s="184"/>
      <c r="I294" s="184"/>
      <c r="J294" s="184"/>
      <c r="K294" s="184"/>
      <c r="L294" s="193"/>
      <c r="M294" s="1003"/>
      <c r="N294" s="1002"/>
      <c r="O294" s="1002"/>
      <c r="P294" s="1002"/>
      <c r="Q294" s="1002"/>
      <c r="R294" s="1002"/>
      <c r="S294" s="1002"/>
      <c r="T294" s="1002"/>
      <c r="U294" s="1002"/>
      <c r="V294" s="1002"/>
      <c r="W294" s="1002"/>
      <c r="X294" s="1002"/>
      <c r="Y294" s="1002"/>
      <c r="Z294" s="1002"/>
      <c r="AA294" s="1002"/>
      <c r="AB294" s="1002"/>
      <c r="AC294" s="1002"/>
      <c r="AD294" s="1002"/>
      <c r="AE294" s="1002"/>
      <c r="AF294" s="1002"/>
      <c r="AG294" s="1002"/>
      <c r="AH294" s="1002"/>
      <c r="AI294" s="1002"/>
      <c r="AJ294" s="1002"/>
      <c r="AK294" s="1002"/>
      <c r="AL294" s="1002"/>
      <c r="AM294" s="1002"/>
      <c r="AN294" s="1002"/>
      <c r="AO294" s="1002"/>
      <c r="AP294" s="1002"/>
      <c r="AQ294" s="1002"/>
      <c r="AR294" s="1002"/>
      <c r="AS294" s="1002"/>
      <c r="AT294" s="1002"/>
      <c r="AU294" s="1002"/>
      <c r="AV294" s="1002"/>
      <c r="AW294" s="1002"/>
      <c r="AX294" s="1002"/>
      <c r="AY294" s="1002"/>
      <c r="AZ294" s="1002"/>
      <c r="BA294" s="1002"/>
      <c r="BB294" s="1002"/>
      <c r="BC294" s="1002"/>
      <c r="BD294" s="1002"/>
      <c r="BE294" s="204"/>
      <c r="BF294" s="205" t="s">
        <v>487</v>
      </c>
      <c r="BG294" s="204"/>
      <c r="BH294" s="204" t="s">
        <v>407</v>
      </c>
      <c r="BI294" s="204"/>
      <c r="BJ294" s="204"/>
      <c r="BK294" s="206"/>
    </row>
    <row r="295" spans="1:63" s="164" customFormat="1" ht="15.75" customHeight="1">
      <c r="A295" s="185"/>
      <c r="B295" s="193"/>
      <c r="C295" s="184"/>
      <c r="D295" s="183" t="s">
        <v>639</v>
      </c>
      <c r="E295" s="184"/>
      <c r="F295" s="184"/>
      <c r="G295" s="184"/>
      <c r="H295" s="184"/>
      <c r="I295" s="184"/>
      <c r="J295" s="184"/>
      <c r="K295" s="184"/>
      <c r="L295" s="193"/>
      <c r="M295" s="1003"/>
      <c r="N295" s="1002"/>
      <c r="O295" s="1002"/>
      <c r="P295" s="1002"/>
      <c r="Q295" s="1002"/>
      <c r="R295" s="1002"/>
      <c r="S295" s="1002"/>
      <c r="T295" s="1002"/>
      <c r="U295" s="1002"/>
      <c r="V295" s="1002"/>
      <c r="W295" s="1002"/>
      <c r="X295" s="1002"/>
      <c r="Y295" s="1002"/>
      <c r="Z295" s="1002"/>
      <c r="AA295" s="1002"/>
      <c r="AB295" s="1002"/>
      <c r="AC295" s="1002"/>
      <c r="AD295" s="1002"/>
      <c r="AE295" s="1002"/>
      <c r="AF295" s="1002"/>
      <c r="AG295" s="1002"/>
      <c r="AH295" s="1002"/>
      <c r="AI295" s="1002"/>
      <c r="AJ295" s="1002"/>
      <c r="AK295" s="1002"/>
      <c r="AL295" s="1002"/>
      <c r="AM295" s="1002"/>
      <c r="AN295" s="1002"/>
      <c r="AO295" s="1002"/>
      <c r="AP295" s="1002"/>
      <c r="AQ295" s="1002"/>
      <c r="AR295" s="1002"/>
      <c r="AS295" s="1002"/>
      <c r="AT295" s="1002"/>
      <c r="AU295" s="1002"/>
      <c r="AV295" s="1002"/>
      <c r="AW295" s="1002"/>
      <c r="AX295" s="1002"/>
      <c r="AY295" s="1002"/>
      <c r="AZ295" s="1002"/>
      <c r="BA295" s="1002"/>
      <c r="BB295" s="1002"/>
      <c r="BC295" s="1002"/>
      <c r="BD295" s="1002"/>
      <c r="BE295" s="204"/>
      <c r="BF295" s="205" t="s">
        <v>487</v>
      </c>
      <c r="BG295" s="204"/>
      <c r="BH295" s="204" t="s">
        <v>407</v>
      </c>
      <c r="BI295" s="204"/>
      <c r="BJ295" s="204"/>
      <c r="BK295" s="206"/>
    </row>
    <row r="296" spans="1:63" s="164" customFormat="1" ht="15.75" customHeight="1">
      <c r="A296" s="185"/>
      <c r="B296" s="193"/>
      <c r="C296" s="251" t="s">
        <v>411</v>
      </c>
      <c r="D296" s="183" t="s">
        <v>513</v>
      </c>
      <c r="E296" s="184"/>
      <c r="F296" s="184"/>
      <c r="G296" s="184"/>
      <c r="H296" s="184"/>
      <c r="I296" s="184"/>
      <c r="J296" s="184"/>
      <c r="K296" s="184"/>
      <c r="L296" s="193"/>
      <c r="M296" s="1003"/>
      <c r="N296" s="1002"/>
      <c r="O296" s="1002"/>
      <c r="P296" s="1002"/>
      <c r="Q296" s="1002"/>
      <c r="R296" s="1002"/>
      <c r="S296" s="1002"/>
      <c r="T296" s="1002"/>
      <c r="U296" s="1002"/>
      <c r="V296" s="1002"/>
      <c r="W296" s="1002"/>
      <c r="X296" s="1002"/>
      <c r="Y296" s="1002"/>
      <c r="Z296" s="1002"/>
      <c r="AA296" s="1002"/>
      <c r="AB296" s="1002"/>
      <c r="AC296" s="1002"/>
      <c r="AD296" s="1002"/>
      <c r="AE296" s="1002"/>
      <c r="AF296" s="1002"/>
      <c r="AG296" s="1002"/>
      <c r="AH296" s="1002"/>
      <c r="AI296" s="1002"/>
      <c r="AJ296" s="1002"/>
      <c r="AK296" s="1002"/>
      <c r="AL296" s="1002"/>
      <c r="AM296" s="1002"/>
      <c r="AN296" s="1002"/>
      <c r="AO296" s="1002"/>
      <c r="AP296" s="1002"/>
      <c r="AQ296" s="1002"/>
      <c r="AR296" s="1002"/>
      <c r="AS296" s="1002"/>
      <c r="AT296" s="1002"/>
      <c r="AU296" s="1002"/>
      <c r="AV296" s="1002"/>
      <c r="AW296" s="1002"/>
      <c r="AX296" s="1002"/>
      <c r="AY296" s="1002"/>
      <c r="AZ296" s="1002"/>
      <c r="BA296" s="1002"/>
      <c r="BB296" s="1002"/>
      <c r="BC296" s="1002"/>
      <c r="BD296" s="1002"/>
      <c r="BE296" s="205" t="s">
        <v>486</v>
      </c>
      <c r="BF296" s="205" t="s">
        <v>487</v>
      </c>
      <c r="BG296" s="204"/>
      <c r="BH296" s="204" t="s">
        <v>407</v>
      </c>
      <c r="BI296" s="205" t="s">
        <v>408</v>
      </c>
      <c r="BJ296" s="204"/>
      <c r="BK296" s="209" t="s">
        <v>514</v>
      </c>
    </row>
    <row r="297" spans="1:63" s="164" customFormat="1" ht="15.75" customHeight="1">
      <c r="A297" s="185"/>
      <c r="B297" s="193"/>
      <c r="C297" s="251" t="s">
        <v>411</v>
      </c>
      <c r="D297" s="183" t="s">
        <v>488</v>
      </c>
      <c r="E297" s="184"/>
      <c r="F297" s="184"/>
      <c r="G297" s="184"/>
      <c r="H297" s="184"/>
      <c r="I297" s="184"/>
      <c r="J297" s="184"/>
      <c r="K297" s="184"/>
      <c r="L297" s="193"/>
      <c r="M297" s="1003" t="s">
        <v>683</v>
      </c>
      <c r="N297" s="1002"/>
      <c r="O297" s="1002"/>
      <c r="P297" s="1002"/>
      <c r="Q297" s="1002"/>
      <c r="R297" s="1002"/>
      <c r="S297" s="1002"/>
      <c r="T297" s="1002"/>
      <c r="U297" s="1002"/>
      <c r="V297" s="1002"/>
      <c r="W297" s="1002"/>
      <c r="X297" s="1002"/>
      <c r="Y297" s="1002"/>
      <c r="Z297" s="1002"/>
      <c r="AA297" s="1002"/>
      <c r="AB297" s="1002"/>
      <c r="AC297" s="1002"/>
      <c r="AD297" s="1002"/>
      <c r="AE297" s="1002"/>
      <c r="AF297" s="1002"/>
      <c r="AG297" s="1002"/>
      <c r="AH297" s="1002"/>
      <c r="AI297" s="1002"/>
      <c r="AJ297" s="1002"/>
      <c r="AK297" s="1002"/>
      <c r="AL297" s="1002"/>
      <c r="AM297" s="1002"/>
      <c r="AN297" s="1002"/>
      <c r="AO297" s="1002"/>
      <c r="AP297" s="1002"/>
      <c r="AQ297" s="1002"/>
      <c r="AR297" s="1002"/>
      <c r="AS297" s="1002"/>
      <c r="AT297" s="1002"/>
      <c r="AU297" s="1002"/>
      <c r="AV297" s="1002"/>
      <c r="AW297" s="1002"/>
      <c r="AX297" s="1002"/>
      <c r="AY297" s="1002"/>
      <c r="AZ297" s="1002"/>
      <c r="BA297" s="1002"/>
      <c r="BB297" s="1002"/>
      <c r="BC297" s="1002"/>
      <c r="BD297" s="1002"/>
      <c r="BE297" s="205" t="s">
        <v>684</v>
      </c>
      <c r="BF297" s="205" t="s">
        <v>487</v>
      </c>
      <c r="BG297" s="204"/>
      <c r="BH297" s="204" t="s">
        <v>407</v>
      </c>
      <c r="BI297" s="205" t="s">
        <v>408</v>
      </c>
      <c r="BJ297" s="204"/>
      <c r="BK297" s="206"/>
    </row>
    <row r="298" spans="1:63" s="164" customFormat="1" ht="15.75" customHeight="1">
      <c r="A298" s="185"/>
      <c r="B298" s="193"/>
      <c r="C298" s="184"/>
      <c r="D298" s="183" t="s">
        <v>490</v>
      </c>
      <c r="E298" s="184"/>
      <c r="F298" s="184"/>
      <c r="G298" s="184"/>
      <c r="H298" s="184"/>
      <c r="I298" s="184"/>
      <c r="J298" s="184"/>
      <c r="K298" s="184"/>
      <c r="L298" s="193"/>
      <c r="M298" s="1003"/>
      <c r="N298" s="1002"/>
      <c r="O298" s="1002"/>
      <c r="P298" s="1002"/>
      <c r="Q298" s="1002"/>
      <c r="R298" s="1002"/>
      <c r="S298" s="1002"/>
      <c r="T298" s="1002"/>
      <c r="U298" s="1002"/>
      <c r="V298" s="1002"/>
      <c r="W298" s="1002"/>
      <c r="X298" s="1002"/>
      <c r="Y298" s="1002"/>
      <c r="Z298" s="1002"/>
      <c r="AA298" s="1002"/>
      <c r="AB298" s="1002"/>
      <c r="AC298" s="1002"/>
      <c r="AD298" s="1002"/>
      <c r="AE298" s="1002"/>
      <c r="AF298" s="1002"/>
      <c r="AG298" s="1002"/>
      <c r="AH298" s="1002"/>
      <c r="AI298" s="1002"/>
      <c r="AJ298" s="1002"/>
      <c r="AK298" s="1002"/>
      <c r="AL298" s="1002"/>
      <c r="AM298" s="1002"/>
      <c r="AN298" s="1002"/>
      <c r="AO298" s="1002"/>
      <c r="AP298" s="1002"/>
      <c r="AQ298" s="1002"/>
      <c r="AR298" s="1002"/>
      <c r="AS298" s="1002"/>
      <c r="AT298" s="1002"/>
      <c r="AU298" s="1002"/>
      <c r="AV298" s="1002"/>
      <c r="AW298" s="1002"/>
      <c r="AX298" s="1002"/>
      <c r="AY298" s="1002"/>
      <c r="AZ298" s="1002"/>
      <c r="BA298" s="1002"/>
      <c r="BB298" s="1002"/>
      <c r="BC298" s="1002"/>
      <c r="BD298" s="1002"/>
      <c r="BE298" s="204"/>
      <c r="BF298" s="205" t="s">
        <v>487</v>
      </c>
      <c r="BG298" s="204"/>
      <c r="BH298" s="204" t="s">
        <v>407</v>
      </c>
      <c r="BI298" s="204"/>
      <c r="BJ298" s="204"/>
      <c r="BK298" s="206"/>
    </row>
    <row r="299" spans="1:63" s="164" customFormat="1" ht="15.75" customHeight="1">
      <c r="A299" s="185"/>
      <c r="B299" s="193"/>
      <c r="C299" s="184"/>
      <c r="D299" s="183" t="s">
        <v>685</v>
      </c>
      <c r="E299" s="184"/>
      <c r="F299" s="184"/>
      <c r="G299" s="184"/>
      <c r="H299" s="184"/>
      <c r="I299" s="184"/>
      <c r="J299" s="184"/>
      <c r="K299" s="184"/>
      <c r="L299" s="193"/>
      <c r="M299" s="1005"/>
      <c r="N299" s="1005"/>
      <c r="O299" s="1005"/>
      <c r="P299" s="1005"/>
      <c r="Q299" s="1005"/>
      <c r="R299" s="1005"/>
      <c r="S299" s="1005"/>
      <c r="T299" s="1005"/>
      <c r="U299" s="1005"/>
      <c r="V299" s="1005"/>
      <c r="W299" s="1005"/>
      <c r="X299" s="1005"/>
      <c r="Y299" s="1005"/>
      <c r="Z299" s="1005"/>
      <c r="AA299" s="1005"/>
      <c r="AB299" s="1005"/>
      <c r="AC299" s="1005"/>
      <c r="AD299" s="1005"/>
      <c r="AE299" s="1005"/>
      <c r="AF299" s="1005"/>
      <c r="AG299" s="1005"/>
      <c r="AH299" s="1005"/>
      <c r="AI299" s="1005"/>
      <c r="AJ299" s="1005"/>
      <c r="AK299" s="1005"/>
      <c r="AL299" s="1005"/>
      <c r="AM299" s="1005"/>
      <c r="AN299" s="1005"/>
      <c r="AO299" s="1005"/>
      <c r="AP299" s="1005"/>
      <c r="AQ299" s="1005"/>
      <c r="AR299" s="1005"/>
      <c r="AS299" s="1005"/>
      <c r="AT299" s="1005"/>
      <c r="AU299" s="1005"/>
      <c r="AV299" s="1005"/>
      <c r="AW299" s="1005"/>
      <c r="AX299" s="1005"/>
      <c r="AY299" s="1005"/>
      <c r="AZ299" s="1005"/>
      <c r="BA299" s="1005"/>
      <c r="BB299" s="1005"/>
      <c r="BC299" s="1005"/>
      <c r="BD299" s="1005"/>
      <c r="BE299" s="204"/>
      <c r="BF299" s="205" t="s">
        <v>419</v>
      </c>
      <c r="BG299" s="204"/>
      <c r="BH299" s="204" t="s">
        <v>407</v>
      </c>
      <c r="BI299" s="204"/>
      <c r="BJ299" s="204"/>
      <c r="BK299" s="206"/>
    </row>
    <row r="300" spans="1:63" s="164" customFormat="1" ht="15.75" customHeight="1">
      <c r="A300" s="185"/>
      <c r="B300" s="193"/>
      <c r="C300" s="184" t="s">
        <v>411</v>
      </c>
      <c r="D300" s="183" t="s">
        <v>686</v>
      </c>
      <c r="E300" s="184"/>
      <c r="F300" s="184"/>
      <c r="G300" s="184"/>
      <c r="H300" s="184"/>
      <c r="I300" s="184"/>
      <c r="J300" s="184"/>
      <c r="K300" s="184"/>
      <c r="L300" s="193"/>
      <c r="M300" s="1003" t="s">
        <v>687</v>
      </c>
      <c r="N300" s="1002"/>
      <c r="O300" s="1002"/>
      <c r="P300" s="1002"/>
      <c r="Q300" s="1002"/>
      <c r="R300" s="1002"/>
      <c r="S300" s="1002"/>
      <c r="T300" s="1002"/>
      <c r="U300" s="1002"/>
      <c r="V300" s="1002"/>
      <c r="W300" s="1002"/>
      <c r="X300" s="1002"/>
      <c r="Y300" s="1002"/>
      <c r="Z300" s="1002"/>
      <c r="AA300" s="1002"/>
      <c r="AB300" s="1002"/>
      <c r="AC300" s="1002"/>
      <c r="AD300" s="1002"/>
      <c r="AE300" s="1002"/>
      <c r="AF300" s="1002"/>
      <c r="AG300" s="1002"/>
      <c r="AH300" s="1002"/>
      <c r="AI300" s="1002"/>
      <c r="AJ300" s="1002"/>
      <c r="AK300" s="1002"/>
      <c r="AL300" s="1002"/>
      <c r="AM300" s="1002"/>
      <c r="AN300" s="1002"/>
      <c r="AO300" s="1002"/>
      <c r="AP300" s="1002"/>
      <c r="AQ300" s="1002"/>
      <c r="AR300" s="1002"/>
      <c r="AS300" s="1002"/>
      <c r="AT300" s="1002"/>
      <c r="AU300" s="1002"/>
      <c r="AV300" s="1002"/>
      <c r="AW300" s="1002"/>
      <c r="AX300" s="1002"/>
      <c r="AY300" s="1002"/>
      <c r="AZ300" s="1002"/>
      <c r="BA300" s="1002"/>
      <c r="BB300" s="1002"/>
      <c r="BC300" s="1002"/>
      <c r="BD300" s="1002"/>
      <c r="BE300" s="204" t="s">
        <v>486</v>
      </c>
      <c r="BF300" s="205" t="s">
        <v>487</v>
      </c>
      <c r="BG300" s="204"/>
      <c r="BH300" s="204" t="s">
        <v>407</v>
      </c>
      <c r="BI300" s="204"/>
      <c r="BJ300" s="204"/>
      <c r="BK300" s="206"/>
    </row>
    <row r="301" spans="1:63" s="164" customFormat="1" ht="15.75" customHeight="1">
      <c r="A301" s="185"/>
      <c r="B301" s="193"/>
      <c r="C301" s="184"/>
      <c r="D301" s="183" t="s">
        <v>688</v>
      </c>
      <c r="E301" s="184"/>
      <c r="F301" s="184"/>
      <c r="G301" s="184"/>
      <c r="H301" s="184"/>
      <c r="I301" s="184"/>
      <c r="J301" s="184"/>
      <c r="K301" s="184"/>
      <c r="L301" s="193"/>
      <c r="M301" s="1003"/>
      <c r="N301" s="1002"/>
      <c r="O301" s="1002"/>
      <c r="P301" s="1002"/>
      <c r="Q301" s="1002"/>
      <c r="R301" s="1002"/>
      <c r="S301" s="1002"/>
      <c r="T301" s="1002"/>
      <c r="U301" s="1002"/>
      <c r="V301" s="1002"/>
      <c r="W301" s="1002"/>
      <c r="X301" s="1002"/>
      <c r="Y301" s="1002"/>
      <c r="Z301" s="1002"/>
      <c r="AA301" s="1002"/>
      <c r="AB301" s="1002"/>
      <c r="AC301" s="1002"/>
      <c r="AD301" s="1002"/>
      <c r="AE301" s="1002"/>
      <c r="AF301" s="1002"/>
      <c r="AG301" s="1002"/>
      <c r="AH301" s="1002"/>
      <c r="AI301" s="1002"/>
      <c r="AJ301" s="1002"/>
      <c r="AK301" s="1002"/>
      <c r="AL301" s="1002"/>
      <c r="AM301" s="1002"/>
      <c r="AN301" s="1002"/>
      <c r="AO301" s="1002"/>
      <c r="AP301" s="1002"/>
      <c r="AQ301" s="1002"/>
      <c r="AR301" s="1002"/>
      <c r="AS301" s="1002"/>
      <c r="AT301" s="1002"/>
      <c r="AU301" s="1002"/>
      <c r="AV301" s="1002"/>
      <c r="AW301" s="1002"/>
      <c r="AX301" s="1002"/>
      <c r="AY301" s="1002"/>
      <c r="AZ301" s="1002"/>
      <c r="BA301" s="1002"/>
      <c r="BB301" s="1002"/>
      <c r="BC301" s="1002"/>
      <c r="BD301" s="1002"/>
      <c r="BE301" s="204"/>
      <c r="BF301" s="205" t="s">
        <v>487</v>
      </c>
      <c r="BG301" s="204"/>
      <c r="BH301" s="204" t="s">
        <v>407</v>
      </c>
      <c r="BI301" s="204"/>
      <c r="BJ301" s="204"/>
      <c r="BK301" s="206"/>
    </row>
    <row r="302" spans="1:63" s="164" customFormat="1" ht="15.75" customHeight="1">
      <c r="A302" s="185"/>
      <c r="B302" s="193"/>
      <c r="C302" s="184" t="s">
        <v>411</v>
      </c>
      <c r="D302" s="183" t="s">
        <v>689</v>
      </c>
      <c r="E302" s="184"/>
      <c r="F302" s="184"/>
      <c r="G302" s="184"/>
      <c r="H302" s="184"/>
      <c r="I302" s="184"/>
      <c r="J302" s="184"/>
      <c r="K302" s="184"/>
      <c r="L302" s="193"/>
      <c r="M302" s="1003" t="s">
        <v>690</v>
      </c>
      <c r="N302" s="1002"/>
      <c r="O302" s="1002"/>
      <c r="P302" s="1002"/>
      <c r="Q302" s="1002"/>
      <c r="R302" s="1002"/>
      <c r="S302" s="1002"/>
      <c r="T302" s="1002"/>
      <c r="U302" s="1002"/>
      <c r="V302" s="1002"/>
      <c r="W302" s="1002"/>
      <c r="X302" s="1002"/>
      <c r="Y302" s="1002"/>
      <c r="Z302" s="1002"/>
      <c r="AA302" s="1002"/>
      <c r="AB302" s="1002"/>
      <c r="AC302" s="1002"/>
      <c r="AD302" s="1002"/>
      <c r="AE302" s="1002"/>
      <c r="AF302" s="1002"/>
      <c r="AG302" s="1002"/>
      <c r="AH302" s="1002"/>
      <c r="AI302" s="1002"/>
      <c r="AJ302" s="1002"/>
      <c r="AK302" s="1002"/>
      <c r="AL302" s="1002"/>
      <c r="AM302" s="1002"/>
      <c r="AN302" s="1002"/>
      <c r="AO302" s="1002"/>
      <c r="AP302" s="1002"/>
      <c r="AQ302" s="1002"/>
      <c r="AR302" s="1002"/>
      <c r="AS302" s="1002"/>
      <c r="AT302" s="1002"/>
      <c r="AU302" s="1002"/>
      <c r="AV302" s="1002"/>
      <c r="AW302" s="1002"/>
      <c r="AX302" s="1002"/>
      <c r="AY302" s="1002"/>
      <c r="AZ302" s="1002"/>
      <c r="BA302" s="1002"/>
      <c r="BB302" s="1002"/>
      <c r="BC302" s="1002"/>
      <c r="BD302" s="1002"/>
      <c r="BE302" s="204" t="s">
        <v>486</v>
      </c>
      <c r="BF302" s="205" t="s">
        <v>487</v>
      </c>
      <c r="BG302" s="204"/>
      <c r="BH302" s="204" t="s">
        <v>407</v>
      </c>
      <c r="BI302" s="204"/>
      <c r="BJ302" s="204"/>
      <c r="BK302" s="206"/>
    </row>
    <row r="303" spans="1:63" s="164" customFormat="1" ht="15.75" customHeight="1">
      <c r="A303" s="185"/>
      <c r="B303" s="193"/>
      <c r="C303" s="184"/>
      <c r="D303" s="183" t="s">
        <v>667</v>
      </c>
      <c r="E303" s="184"/>
      <c r="F303" s="184"/>
      <c r="G303" s="184"/>
      <c r="H303" s="184"/>
      <c r="I303" s="184"/>
      <c r="J303" s="184"/>
      <c r="K303" s="184"/>
      <c r="L303" s="193"/>
      <c r="M303" s="1001" t="s">
        <v>668</v>
      </c>
      <c r="N303" s="1002"/>
      <c r="O303" s="1002"/>
      <c r="P303" s="1002"/>
      <c r="Q303" s="1002"/>
      <c r="R303" s="1002"/>
      <c r="S303" s="1002"/>
      <c r="T303" s="1002"/>
      <c r="U303" s="1002"/>
      <c r="V303" s="1002"/>
      <c r="W303" s="1002"/>
      <c r="X303" s="1002"/>
      <c r="Y303" s="1002"/>
      <c r="Z303" s="1002"/>
      <c r="AA303" s="1002"/>
      <c r="AB303" s="1002"/>
      <c r="AC303" s="1002"/>
      <c r="AD303" s="1002"/>
      <c r="AE303" s="1002"/>
      <c r="AF303" s="1002"/>
      <c r="AG303" s="1002"/>
      <c r="AH303" s="1002"/>
      <c r="AI303" s="1002"/>
      <c r="AJ303" s="1002"/>
      <c r="AK303" s="1002"/>
      <c r="AL303" s="1002"/>
      <c r="AM303" s="1002"/>
      <c r="AN303" s="1002"/>
      <c r="AO303" s="1002"/>
      <c r="AP303" s="1002"/>
      <c r="AQ303" s="1002"/>
      <c r="AR303" s="1002"/>
      <c r="AS303" s="1002"/>
      <c r="AT303" s="1002"/>
      <c r="AU303" s="1002"/>
      <c r="AV303" s="1002"/>
      <c r="AW303" s="1002"/>
      <c r="AX303" s="1002"/>
      <c r="AY303" s="1002"/>
      <c r="AZ303" s="1002"/>
      <c r="BA303" s="1002"/>
      <c r="BB303" s="1002"/>
      <c r="BC303" s="1002"/>
      <c r="BD303" s="1002"/>
      <c r="BE303" s="204"/>
      <c r="BF303" s="205" t="s">
        <v>642</v>
      </c>
      <c r="BG303" s="204"/>
      <c r="BH303" s="204"/>
      <c r="BI303" s="204"/>
      <c r="BJ303" s="204"/>
      <c r="BK303" s="206"/>
    </row>
    <row r="304" spans="1:63" s="164" customFormat="1" ht="15.75" customHeight="1">
      <c r="A304" s="185"/>
      <c r="B304" s="193"/>
      <c r="C304" s="184"/>
      <c r="D304" s="183" t="s">
        <v>691</v>
      </c>
      <c r="E304" s="184"/>
      <c r="F304" s="184"/>
      <c r="G304" s="184"/>
      <c r="H304" s="184"/>
      <c r="I304" s="184"/>
      <c r="J304" s="184"/>
      <c r="K304" s="184"/>
      <c r="L304" s="193"/>
      <c r="M304" s="1003"/>
      <c r="N304" s="1002"/>
      <c r="O304" s="1002"/>
      <c r="P304" s="1002"/>
      <c r="Q304" s="1002"/>
      <c r="R304" s="1002"/>
      <c r="S304" s="1002"/>
      <c r="T304" s="1002"/>
      <c r="U304" s="1002"/>
      <c r="V304" s="1002"/>
      <c r="W304" s="1002"/>
      <c r="X304" s="1002"/>
      <c r="Y304" s="1002"/>
      <c r="Z304" s="1002"/>
      <c r="AA304" s="1002"/>
      <c r="AB304" s="1002"/>
      <c r="AC304" s="1002"/>
      <c r="AD304" s="1002"/>
      <c r="AE304" s="1002"/>
      <c r="AF304" s="1002"/>
      <c r="AG304" s="1002"/>
      <c r="AH304" s="1002"/>
      <c r="AI304" s="1002"/>
      <c r="AJ304" s="1002"/>
      <c r="AK304" s="1002"/>
      <c r="AL304" s="1002"/>
      <c r="AM304" s="1002"/>
      <c r="AN304" s="1002"/>
      <c r="AO304" s="1002"/>
      <c r="AP304" s="1002"/>
      <c r="AQ304" s="1002"/>
      <c r="AR304" s="1002"/>
      <c r="AS304" s="1002"/>
      <c r="AT304" s="1002"/>
      <c r="AU304" s="1002"/>
      <c r="AV304" s="1002"/>
      <c r="AW304" s="1002"/>
      <c r="AX304" s="1002"/>
      <c r="AY304" s="1002"/>
      <c r="AZ304" s="1002"/>
      <c r="BA304" s="1002"/>
      <c r="BB304" s="1002"/>
      <c r="BC304" s="1002"/>
      <c r="BD304" s="1002"/>
      <c r="BE304" s="204"/>
      <c r="BF304" s="205" t="s">
        <v>487</v>
      </c>
      <c r="BG304" s="204"/>
      <c r="BH304" s="204" t="s">
        <v>407</v>
      </c>
      <c r="BI304" s="204"/>
      <c r="BJ304" s="205" t="s">
        <v>409</v>
      </c>
      <c r="BK304" s="206"/>
    </row>
    <row r="305" spans="1:63" s="164" customFormat="1" ht="15.75" customHeight="1">
      <c r="A305" s="185"/>
      <c r="B305" s="193"/>
      <c r="C305" s="184"/>
      <c r="D305" s="183" t="s">
        <v>692</v>
      </c>
      <c r="E305" s="184"/>
      <c r="F305" s="184"/>
      <c r="G305" s="184"/>
      <c r="H305" s="184"/>
      <c r="I305" s="184"/>
      <c r="J305" s="184"/>
      <c r="K305" s="184"/>
      <c r="L305" s="193"/>
      <c r="M305" s="1003"/>
      <c r="N305" s="1002"/>
      <c r="O305" s="1002"/>
      <c r="P305" s="1002"/>
      <c r="Q305" s="1002"/>
      <c r="R305" s="1002"/>
      <c r="S305" s="1002"/>
      <c r="T305" s="1002"/>
      <c r="U305" s="1002"/>
      <c r="V305" s="1002"/>
      <c r="W305" s="1002"/>
      <c r="X305" s="1002"/>
      <c r="Y305" s="1002"/>
      <c r="Z305" s="1002"/>
      <c r="AA305" s="1002"/>
      <c r="AB305" s="1002"/>
      <c r="AC305" s="1002"/>
      <c r="AD305" s="1002"/>
      <c r="AE305" s="1002"/>
      <c r="AF305" s="1002"/>
      <c r="AG305" s="1002"/>
      <c r="AH305" s="1002"/>
      <c r="AI305" s="1002"/>
      <c r="AJ305" s="1002"/>
      <c r="AK305" s="1002"/>
      <c r="AL305" s="1002"/>
      <c r="AM305" s="1002"/>
      <c r="AN305" s="1002"/>
      <c r="AO305" s="1002"/>
      <c r="AP305" s="1002"/>
      <c r="AQ305" s="1002"/>
      <c r="AR305" s="1002"/>
      <c r="AS305" s="1002"/>
      <c r="AT305" s="1002"/>
      <c r="AU305" s="1002"/>
      <c r="AV305" s="1002"/>
      <c r="AW305" s="1002"/>
      <c r="AX305" s="1002"/>
      <c r="AY305" s="1002"/>
      <c r="AZ305" s="1002"/>
      <c r="BA305" s="1002"/>
      <c r="BB305" s="1002"/>
      <c r="BC305" s="1002"/>
      <c r="BD305" s="1002"/>
      <c r="BE305" s="204"/>
      <c r="BF305" s="205" t="s">
        <v>487</v>
      </c>
      <c r="BG305" s="204"/>
      <c r="BH305" s="204" t="s">
        <v>407</v>
      </c>
      <c r="BI305" s="204"/>
      <c r="BJ305" s="205" t="s">
        <v>409</v>
      </c>
      <c r="BK305" s="206"/>
    </row>
    <row r="306" spans="1:63" s="164" customFormat="1" ht="15.75" customHeight="1">
      <c r="A306" s="185"/>
      <c r="B306" s="193"/>
      <c r="C306" s="184"/>
      <c r="D306" s="183" t="s">
        <v>693</v>
      </c>
      <c r="E306" s="184"/>
      <c r="F306" s="184"/>
      <c r="G306" s="184"/>
      <c r="H306" s="184"/>
      <c r="I306" s="184"/>
      <c r="J306" s="184"/>
      <c r="K306" s="184"/>
      <c r="L306" s="193"/>
      <c r="M306" s="1003"/>
      <c r="N306" s="1002"/>
      <c r="O306" s="1002"/>
      <c r="P306" s="1002"/>
      <c r="Q306" s="1002"/>
      <c r="R306" s="1002"/>
      <c r="S306" s="1002"/>
      <c r="T306" s="1002"/>
      <c r="U306" s="1002"/>
      <c r="V306" s="1002"/>
      <c r="W306" s="1002"/>
      <c r="X306" s="1002"/>
      <c r="Y306" s="1002"/>
      <c r="Z306" s="1002"/>
      <c r="AA306" s="1002"/>
      <c r="AB306" s="1002"/>
      <c r="AC306" s="1002"/>
      <c r="AD306" s="1002"/>
      <c r="AE306" s="1002"/>
      <c r="AF306" s="1002"/>
      <c r="AG306" s="1002"/>
      <c r="AH306" s="1002"/>
      <c r="AI306" s="1002"/>
      <c r="AJ306" s="1002"/>
      <c r="AK306" s="1002"/>
      <c r="AL306" s="1002"/>
      <c r="AM306" s="1002"/>
      <c r="AN306" s="1002"/>
      <c r="AO306" s="1002"/>
      <c r="AP306" s="1002"/>
      <c r="AQ306" s="1002"/>
      <c r="AR306" s="1002"/>
      <c r="AS306" s="1002"/>
      <c r="AT306" s="1002"/>
      <c r="AU306" s="1002"/>
      <c r="AV306" s="1002"/>
      <c r="AW306" s="1002"/>
      <c r="AX306" s="1002"/>
      <c r="AY306" s="1002"/>
      <c r="AZ306" s="1002"/>
      <c r="BA306" s="1002"/>
      <c r="BB306" s="1002"/>
      <c r="BC306" s="1002"/>
      <c r="BD306" s="1002"/>
      <c r="BE306" s="204"/>
      <c r="BF306" s="205" t="s">
        <v>487</v>
      </c>
      <c r="BG306" s="204"/>
      <c r="BH306" s="204" t="s">
        <v>407</v>
      </c>
      <c r="BI306" s="204"/>
      <c r="BJ306" s="205" t="s">
        <v>409</v>
      </c>
      <c r="BK306" s="206"/>
    </row>
    <row r="307" spans="1:63" s="164" customFormat="1" ht="15.75" customHeight="1">
      <c r="A307" s="185"/>
      <c r="B307" s="193"/>
      <c r="C307" s="184"/>
      <c r="D307" s="183" t="s">
        <v>694</v>
      </c>
      <c r="E307" s="184"/>
      <c r="F307" s="184"/>
      <c r="G307" s="184"/>
      <c r="H307" s="184"/>
      <c r="I307" s="184"/>
      <c r="J307" s="184"/>
      <c r="K307" s="184"/>
      <c r="L307" s="193"/>
      <c r="M307" s="1003"/>
      <c r="N307" s="1002"/>
      <c r="O307" s="1002"/>
      <c r="P307" s="1002"/>
      <c r="Q307" s="1002"/>
      <c r="R307" s="1002"/>
      <c r="S307" s="1002"/>
      <c r="T307" s="1002"/>
      <c r="U307" s="1002"/>
      <c r="V307" s="1002"/>
      <c r="W307" s="1002"/>
      <c r="X307" s="1002"/>
      <c r="Y307" s="1002"/>
      <c r="Z307" s="1002"/>
      <c r="AA307" s="1002"/>
      <c r="AB307" s="1002"/>
      <c r="AC307" s="1002"/>
      <c r="AD307" s="1002"/>
      <c r="AE307" s="1002"/>
      <c r="AF307" s="1002"/>
      <c r="AG307" s="1002"/>
      <c r="AH307" s="1002"/>
      <c r="AI307" s="1002"/>
      <c r="AJ307" s="1002"/>
      <c r="AK307" s="1002"/>
      <c r="AL307" s="1002"/>
      <c r="AM307" s="1002"/>
      <c r="AN307" s="1002"/>
      <c r="AO307" s="1002"/>
      <c r="AP307" s="1002"/>
      <c r="AQ307" s="1002"/>
      <c r="AR307" s="1002"/>
      <c r="AS307" s="1002"/>
      <c r="AT307" s="1002"/>
      <c r="AU307" s="1002"/>
      <c r="AV307" s="1002"/>
      <c r="AW307" s="1002"/>
      <c r="AX307" s="1002"/>
      <c r="AY307" s="1002"/>
      <c r="AZ307" s="1002"/>
      <c r="BA307" s="1002"/>
      <c r="BB307" s="1002"/>
      <c r="BC307" s="1002"/>
      <c r="BD307" s="1002"/>
      <c r="BE307" s="204"/>
      <c r="BF307" s="205" t="s">
        <v>487</v>
      </c>
      <c r="BG307" s="204"/>
      <c r="BH307" s="204" t="s">
        <v>407</v>
      </c>
      <c r="BI307" s="204"/>
      <c r="BJ307" s="205" t="s">
        <v>409</v>
      </c>
      <c r="BK307" s="206"/>
    </row>
    <row r="308" spans="1:63" s="164" customFormat="1" ht="15.75" customHeight="1">
      <c r="A308" s="185"/>
      <c r="B308" s="193"/>
      <c r="C308" s="184"/>
      <c r="D308" s="183" t="s">
        <v>695</v>
      </c>
      <c r="E308" s="184"/>
      <c r="F308" s="184"/>
      <c r="G308" s="184"/>
      <c r="H308" s="184"/>
      <c r="I308" s="184"/>
      <c r="J308" s="184"/>
      <c r="K308" s="184"/>
      <c r="L308" s="193"/>
      <c r="M308" s="1003"/>
      <c r="N308" s="1002"/>
      <c r="O308" s="1002"/>
      <c r="P308" s="1002"/>
      <c r="Q308" s="1002"/>
      <c r="R308" s="1002"/>
      <c r="S308" s="1002"/>
      <c r="T308" s="1002"/>
      <c r="U308" s="1002"/>
      <c r="V308" s="1002"/>
      <c r="W308" s="1002"/>
      <c r="X308" s="1002"/>
      <c r="Y308" s="1002"/>
      <c r="Z308" s="1002"/>
      <c r="AA308" s="1002"/>
      <c r="AB308" s="1002"/>
      <c r="AC308" s="1002"/>
      <c r="AD308" s="1002"/>
      <c r="AE308" s="1002"/>
      <c r="AF308" s="1002"/>
      <c r="AG308" s="1002"/>
      <c r="AH308" s="1002"/>
      <c r="AI308" s="1002"/>
      <c r="AJ308" s="1002"/>
      <c r="AK308" s="1002"/>
      <c r="AL308" s="1002"/>
      <c r="AM308" s="1002"/>
      <c r="AN308" s="1002"/>
      <c r="AO308" s="1002"/>
      <c r="AP308" s="1002"/>
      <c r="AQ308" s="1002"/>
      <c r="AR308" s="1002"/>
      <c r="AS308" s="1002"/>
      <c r="AT308" s="1002"/>
      <c r="AU308" s="1002"/>
      <c r="AV308" s="1002"/>
      <c r="AW308" s="1002"/>
      <c r="AX308" s="1002"/>
      <c r="AY308" s="1002"/>
      <c r="AZ308" s="1002"/>
      <c r="BA308" s="1002"/>
      <c r="BB308" s="1002"/>
      <c r="BC308" s="1002"/>
      <c r="BD308" s="1002"/>
      <c r="BE308" s="204"/>
      <c r="BF308" s="205" t="s">
        <v>487</v>
      </c>
      <c r="BG308" s="204"/>
      <c r="BH308" s="204" t="s">
        <v>407</v>
      </c>
      <c r="BI308" s="204"/>
      <c r="BJ308" s="205" t="s">
        <v>409</v>
      </c>
      <c r="BK308" s="206"/>
    </row>
    <row r="309" spans="1:63" s="164" customFormat="1" ht="15.75" customHeight="1">
      <c r="A309" s="185"/>
      <c r="B309" s="193"/>
      <c r="C309" s="184"/>
      <c r="D309" s="183" t="s">
        <v>696</v>
      </c>
      <c r="E309" s="184"/>
      <c r="F309" s="184"/>
      <c r="G309" s="184"/>
      <c r="H309" s="184"/>
      <c r="I309" s="184"/>
      <c r="J309" s="184"/>
      <c r="K309" s="184"/>
      <c r="L309" s="193"/>
      <c r="M309" s="1003"/>
      <c r="N309" s="1002"/>
      <c r="O309" s="1002"/>
      <c r="P309" s="1002"/>
      <c r="Q309" s="1002"/>
      <c r="R309" s="1002"/>
      <c r="S309" s="1002"/>
      <c r="T309" s="1002"/>
      <c r="U309" s="1002"/>
      <c r="V309" s="1002"/>
      <c r="W309" s="1002"/>
      <c r="X309" s="1002"/>
      <c r="Y309" s="1002"/>
      <c r="Z309" s="1002"/>
      <c r="AA309" s="1002"/>
      <c r="AB309" s="1002"/>
      <c r="AC309" s="1002"/>
      <c r="AD309" s="1002"/>
      <c r="AE309" s="1002"/>
      <c r="AF309" s="1002"/>
      <c r="AG309" s="1002"/>
      <c r="AH309" s="1002"/>
      <c r="AI309" s="1002"/>
      <c r="AJ309" s="1002"/>
      <c r="AK309" s="1002"/>
      <c r="AL309" s="1002"/>
      <c r="AM309" s="1002"/>
      <c r="AN309" s="1002"/>
      <c r="AO309" s="1002"/>
      <c r="AP309" s="1002"/>
      <c r="AQ309" s="1002"/>
      <c r="AR309" s="1002"/>
      <c r="AS309" s="1002"/>
      <c r="AT309" s="1002"/>
      <c r="AU309" s="1002"/>
      <c r="AV309" s="1002"/>
      <c r="AW309" s="1002"/>
      <c r="AX309" s="1002"/>
      <c r="AY309" s="1002"/>
      <c r="AZ309" s="1002"/>
      <c r="BA309" s="1002"/>
      <c r="BB309" s="1002"/>
      <c r="BC309" s="1002"/>
      <c r="BD309" s="1002"/>
      <c r="BE309" s="204"/>
      <c r="BF309" s="205" t="s">
        <v>487</v>
      </c>
      <c r="BG309" s="204"/>
      <c r="BH309" s="204" t="s">
        <v>407</v>
      </c>
      <c r="BI309" s="204"/>
      <c r="BJ309" s="205" t="s">
        <v>409</v>
      </c>
      <c r="BK309" s="206"/>
    </row>
    <row r="310" spans="1:63" s="164" customFormat="1" ht="15.75" customHeight="1">
      <c r="A310" s="185"/>
      <c r="B310" s="193"/>
      <c r="C310" s="184"/>
      <c r="D310" s="183" t="s">
        <v>697</v>
      </c>
      <c r="E310" s="184"/>
      <c r="F310" s="184"/>
      <c r="G310" s="184"/>
      <c r="H310" s="184"/>
      <c r="I310" s="184"/>
      <c r="J310" s="184"/>
      <c r="K310" s="184"/>
      <c r="L310" s="193"/>
      <c r="M310" s="1003"/>
      <c r="N310" s="1002"/>
      <c r="O310" s="1002"/>
      <c r="P310" s="1002"/>
      <c r="Q310" s="1002"/>
      <c r="R310" s="1002"/>
      <c r="S310" s="1002"/>
      <c r="T310" s="1002"/>
      <c r="U310" s="1002"/>
      <c r="V310" s="1002"/>
      <c r="W310" s="1002"/>
      <c r="X310" s="1002"/>
      <c r="Y310" s="1002"/>
      <c r="Z310" s="1002"/>
      <c r="AA310" s="1002"/>
      <c r="AB310" s="1002"/>
      <c r="AC310" s="1002"/>
      <c r="AD310" s="1002"/>
      <c r="AE310" s="1002"/>
      <c r="AF310" s="1002"/>
      <c r="AG310" s="1002"/>
      <c r="AH310" s="1002"/>
      <c r="AI310" s="1002"/>
      <c r="AJ310" s="1002"/>
      <c r="AK310" s="1002"/>
      <c r="AL310" s="1002"/>
      <c r="AM310" s="1002"/>
      <c r="AN310" s="1002"/>
      <c r="AO310" s="1002"/>
      <c r="AP310" s="1002"/>
      <c r="AQ310" s="1002"/>
      <c r="AR310" s="1002"/>
      <c r="AS310" s="1002"/>
      <c r="AT310" s="1002"/>
      <c r="AU310" s="1002"/>
      <c r="AV310" s="1002"/>
      <c r="AW310" s="1002"/>
      <c r="AX310" s="1002"/>
      <c r="AY310" s="1002"/>
      <c r="AZ310" s="1002"/>
      <c r="BA310" s="1002"/>
      <c r="BB310" s="1002"/>
      <c r="BC310" s="1002"/>
      <c r="BD310" s="1002"/>
      <c r="BE310" s="204"/>
      <c r="BF310" s="205" t="s">
        <v>487</v>
      </c>
      <c r="BG310" s="204"/>
      <c r="BH310" s="204" t="s">
        <v>407</v>
      </c>
      <c r="BI310" s="204"/>
      <c r="BJ310" s="205" t="s">
        <v>409</v>
      </c>
      <c r="BK310" s="206"/>
    </row>
    <row r="311" spans="1:63" s="164" customFormat="1" ht="15.75" customHeight="1">
      <c r="A311" s="185"/>
      <c r="B311" s="193"/>
      <c r="C311" s="184"/>
      <c r="D311" s="183" t="s">
        <v>698</v>
      </c>
      <c r="E311" s="184"/>
      <c r="F311" s="184"/>
      <c r="G311" s="184"/>
      <c r="H311" s="184"/>
      <c r="I311" s="184"/>
      <c r="J311" s="184"/>
      <c r="K311" s="184"/>
      <c r="L311" s="193"/>
      <c r="M311" s="1003"/>
      <c r="N311" s="1002"/>
      <c r="O311" s="1002"/>
      <c r="P311" s="1002"/>
      <c r="Q311" s="1002"/>
      <c r="R311" s="1002"/>
      <c r="S311" s="1002"/>
      <c r="T311" s="1002"/>
      <c r="U311" s="1002"/>
      <c r="V311" s="1002"/>
      <c r="W311" s="1002"/>
      <c r="X311" s="1002"/>
      <c r="Y311" s="1002"/>
      <c r="Z311" s="1002"/>
      <c r="AA311" s="1002"/>
      <c r="AB311" s="1002"/>
      <c r="AC311" s="1002"/>
      <c r="AD311" s="1002"/>
      <c r="AE311" s="1002"/>
      <c r="AF311" s="1002"/>
      <c r="AG311" s="1002"/>
      <c r="AH311" s="1002"/>
      <c r="AI311" s="1002"/>
      <c r="AJ311" s="1002"/>
      <c r="AK311" s="1002"/>
      <c r="AL311" s="1002"/>
      <c r="AM311" s="1002"/>
      <c r="AN311" s="1002"/>
      <c r="AO311" s="1002"/>
      <c r="AP311" s="1002"/>
      <c r="AQ311" s="1002"/>
      <c r="AR311" s="1002"/>
      <c r="AS311" s="1002"/>
      <c r="AT311" s="1002"/>
      <c r="AU311" s="1002"/>
      <c r="AV311" s="1002"/>
      <c r="AW311" s="1002"/>
      <c r="AX311" s="1002"/>
      <c r="AY311" s="1002"/>
      <c r="AZ311" s="1002"/>
      <c r="BA311" s="1002"/>
      <c r="BB311" s="1002"/>
      <c r="BC311" s="1002"/>
      <c r="BD311" s="1002"/>
      <c r="BE311" s="204"/>
      <c r="BF311" s="205" t="s">
        <v>487</v>
      </c>
      <c r="BG311" s="204"/>
      <c r="BH311" s="204" t="s">
        <v>407</v>
      </c>
      <c r="BI311" s="204"/>
      <c r="BJ311" s="205" t="s">
        <v>409</v>
      </c>
      <c r="BK311" s="206"/>
    </row>
    <row r="312" spans="1:63" s="164" customFormat="1" ht="15.75" customHeight="1">
      <c r="A312" s="185"/>
      <c r="B312" s="193"/>
      <c r="C312" s="184"/>
      <c r="D312" s="183" t="s">
        <v>699</v>
      </c>
      <c r="E312" s="184"/>
      <c r="F312" s="184"/>
      <c r="G312" s="184"/>
      <c r="H312" s="184"/>
      <c r="I312" s="184"/>
      <c r="J312" s="184"/>
      <c r="K312" s="184"/>
      <c r="L312" s="193"/>
      <c r="M312" s="1003"/>
      <c r="N312" s="1002"/>
      <c r="O312" s="1002"/>
      <c r="P312" s="1002"/>
      <c r="Q312" s="1002"/>
      <c r="R312" s="1002"/>
      <c r="S312" s="1002"/>
      <c r="T312" s="1002"/>
      <c r="U312" s="1002"/>
      <c r="V312" s="1002"/>
      <c r="W312" s="1002"/>
      <c r="X312" s="1002"/>
      <c r="Y312" s="1002"/>
      <c r="Z312" s="1002"/>
      <c r="AA312" s="1002"/>
      <c r="AB312" s="1002"/>
      <c r="AC312" s="1002"/>
      <c r="AD312" s="1002"/>
      <c r="AE312" s="1002"/>
      <c r="AF312" s="1002"/>
      <c r="AG312" s="1002"/>
      <c r="AH312" s="1002"/>
      <c r="AI312" s="1002"/>
      <c r="AJ312" s="1002"/>
      <c r="AK312" s="1002"/>
      <c r="AL312" s="1002"/>
      <c r="AM312" s="1002"/>
      <c r="AN312" s="1002"/>
      <c r="AO312" s="1002"/>
      <c r="AP312" s="1002"/>
      <c r="AQ312" s="1002"/>
      <c r="AR312" s="1002"/>
      <c r="AS312" s="1002"/>
      <c r="AT312" s="1002"/>
      <c r="AU312" s="1002"/>
      <c r="AV312" s="1002"/>
      <c r="AW312" s="1002"/>
      <c r="AX312" s="1002"/>
      <c r="AY312" s="1002"/>
      <c r="AZ312" s="1002"/>
      <c r="BA312" s="1002"/>
      <c r="BB312" s="1002"/>
      <c r="BC312" s="1002"/>
      <c r="BD312" s="1002"/>
      <c r="BE312" s="204"/>
      <c r="BF312" s="205" t="s">
        <v>487</v>
      </c>
      <c r="BG312" s="204"/>
      <c r="BH312" s="204" t="s">
        <v>407</v>
      </c>
      <c r="BI312" s="204"/>
      <c r="BJ312" s="205" t="s">
        <v>409</v>
      </c>
      <c r="BK312" s="206"/>
    </row>
    <row r="313" spans="1:63" s="164" customFormat="1" ht="15.75" customHeight="1">
      <c r="A313" s="185"/>
      <c r="B313" s="193"/>
      <c r="C313" s="184"/>
      <c r="D313" s="183" t="s">
        <v>700</v>
      </c>
      <c r="E313" s="184"/>
      <c r="F313" s="184"/>
      <c r="G313" s="184"/>
      <c r="H313" s="184"/>
      <c r="I313" s="184"/>
      <c r="J313" s="184"/>
      <c r="K313" s="184"/>
      <c r="L313" s="193"/>
      <c r="M313" s="1003"/>
      <c r="N313" s="1002"/>
      <c r="O313" s="1002"/>
      <c r="P313" s="1002"/>
      <c r="Q313" s="1002"/>
      <c r="R313" s="1002"/>
      <c r="S313" s="1002"/>
      <c r="T313" s="1002"/>
      <c r="U313" s="1002"/>
      <c r="V313" s="1002"/>
      <c r="W313" s="1002"/>
      <c r="X313" s="1002"/>
      <c r="Y313" s="1002"/>
      <c r="Z313" s="1002"/>
      <c r="AA313" s="1002"/>
      <c r="AB313" s="1002"/>
      <c r="AC313" s="1002"/>
      <c r="AD313" s="1002"/>
      <c r="AE313" s="1002"/>
      <c r="AF313" s="1002"/>
      <c r="AG313" s="1002"/>
      <c r="AH313" s="1002"/>
      <c r="AI313" s="1002"/>
      <c r="AJ313" s="1002"/>
      <c r="AK313" s="1002"/>
      <c r="AL313" s="1002"/>
      <c r="AM313" s="1002"/>
      <c r="AN313" s="1002"/>
      <c r="AO313" s="1002"/>
      <c r="AP313" s="1002"/>
      <c r="AQ313" s="1002"/>
      <c r="AR313" s="1002"/>
      <c r="AS313" s="1002"/>
      <c r="AT313" s="1002"/>
      <c r="AU313" s="1002"/>
      <c r="AV313" s="1002"/>
      <c r="AW313" s="1002"/>
      <c r="AX313" s="1002"/>
      <c r="AY313" s="1002"/>
      <c r="AZ313" s="1002"/>
      <c r="BA313" s="1002"/>
      <c r="BB313" s="1002"/>
      <c r="BC313" s="1002"/>
      <c r="BD313" s="1002"/>
      <c r="BE313" s="204"/>
      <c r="BF313" s="205" t="s">
        <v>487</v>
      </c>
      <c r="BG313" s="204"/>
      <c r="BH313" s="204" t="s">
        <v>407</v>
      </c>
      <c r="BI313" s="204"/>
      <c r="BJ313" s="205" t="s">
        <v>409</v>
      </c>
      <c r="BK313" s="206"/>
    </row>
    <row r="314" spans="1:63" s="164" customFormat="1" ht="15.75" customHeight="1">
      <c r="A314" s="185"/>
      <c r="B314" s="193"/>
      <c r="C314" s="184"/>
      <c r="D314" s="183" t="s">
        <v>701</v>
      </c>
      <c r="E314" s="184"/>
      <c r="F314" s="184"/>
      <c r="G314" s="184"/>
      <c r="H314" s="184"/>
      <c r="I314" s="184"/>
      <c r="J314" s="184"/>
      <c r="K314" s="184"/>
      <c r="L314" s="193"/>
      <c r="M314" s="1003"/>
      <c r="N314" s="1002"/>
      <c r="O314" s="1002"/>
      <c r="P314" s="1002"/>
      <c r="Q314" s="1002"/>
      <c r="R314" s="1002"/>
      <c r="S314" s="1002"/>
      <c r="T314" s="1002"/>
      <c r="U314" s="1002"/>
      <c r="V314" s="1002"/>
      <c r="W314" s="1002"/>
      <c r="X314" s="1002"/>
      <c r="Y314" s="1002"/>
      <c r="Z314" s="1002"/>
      <c r="AA314" s="1002"/>
      <c r="AB314" s="1002"/>
      <c r="AC314" s="1002"/>
      <c r="AD314" s="1002"/>
      <c r="AE314" s="1002"/>
      <c r="AF314" s="1002"/>
      <c r="AG314" s="1002"/>
      <c r="AH314" s="1002"/>
      <c r="AI314" s="1002"/>
      <c r="AJ314" s="1002"/>
      <c r="AK314" s="1002"/>
      <c r="AL314" s="1002"/>
      <c r="AM314" s="1002"/>
      <c r="AN314" s="1002"/>
      <c r="AO314" s="1002"/>
      <c r="AP314" s="1002"/>
      <c r="AQ314" s="1002"/>
      <c r="AR314" s="1002"/>
      <c r="AS314" s="1002"/>
      <c r="AT314" s="1002"/>
      <c r="AU314" s="1002"/>
      <c r="AV314" s="1002"/>
      <c r="AW314" s="1002"/>
      <c r="AX314" s="1002"/>
      <c r="AY314" s="1002"/>
      <c r="AZ314" s="1002"/>
      <c r="BA314" s="1002"/>
      <c r="BB314" s="1002"/>
      <c r="BC314" s="1002"/>
      <c r="BD314" s="1002"/>
      <c r="BE314" s="204"/>
      <c r="BF314" s="205" t="s">
        <v>487</v>
      </c>
      <c r="BG314" s="204"/>
      <c r="BH314" s="204" t="s">
        <v>407</v>
      </c>
      <c r="BI314" s="204"/>
      <c r="BJ314" s="205" t="s">
        <v>409</v>
      </c>
      <c r="BK314" s="206"/>
    </row>
    <row r="315" spans="1:63" s="164" customFormat="1" ht="15.75" customHeight="1">
      <c r="A315" s="185"/>
      <c r="B315" s="193"/>
      <c r="C315" s="251" t="s">
        <v>411</v>
      </c>
      <c r="D315" s="183" t="s">
        <v>1175</v>
      </c>
      <c r="E315" s="184"/>
      <c r="F315" s="184"/>
      <c r="G315" s="184"/>
      <c r="H315" s="184"/>
      <c r="I315" s="184"/>
      <c r="J315" s="184"/>
      <c r="K315" s="184"/>
      <c r="L315" s="193"/>
      <c r="M315" s="1005" t="s">
        <v>1174</v>
      </c>
      <c r="N315" s="1005"/>
      <c r="O315" s="1005"/>
      <c r="P315" s="1005"/>
      <c r="Q315" s="1005"/>
      <c r="R315" s="1005"/>
      <c r="S315" s="1005"/>
      <c r="T315" s="1005"/>
      <c r="U315" s="1005"/>
      <c r="V315" s="1005"/>
      <c r="W315" s="1005"/>
      <c r="X315" s="1005"/>
      <c r="Y315" s="1005"/>
      <c r="Z315" s="1005"/>
      <c r="AA315" s="1005"/>
      <c r="AB315" s="1005"/>
      <c r="AC315" s="1005"/>
      <c r="AD315" s="1005"/>
      <c r="AE315" s="1005"/>
      <c r="AF315" s="1005"/>
      <c r="AG315" s="1005"/>
      <c r="AH315" s="1005"/>
      <c r="AI315" s="1005"/>
      <c r="AJ315" s="1005"/>
      <c r="AK315" s="1005"/>
      <c r="AL315" s="1005"/>
      <c r="AM315" s="1005"/>
      <c r="AN315" s="1005"/>
      <c r="AO315" s="1005"/>
      <c r="AP315" s="1005"/>
      <c r="AQ315" s="1005"/>
      <c r="AR315" s="1005"/>
      <c r="AS315" s="1005"/>
      <c r="AT315" s="1005"/>
      <c r="AU315" s="1005"/>
      <c r="AV315" s="1005"/>
      <c r="AW315" s="1005"/>
      <c r="AX315" s="1005"/>
      <c r="AY315" s="1005"/>
      <c r="AZ315" s="1005"/>
      <c r="BA315" s="1005"/>
      <c r="BB315" s="1005"/>
      <c r="BC315" s="1005"/>
      <c r="BD315" s="1005"/>
      <c r="BE315" s="204"/>
      <c r="BF315" s="205" t="s">
        <v>419</v>
      </c>
      <c r="BG315" s="204"/>
      <c r="BH315" s="204" t="s">
        <v>407</v>
      </c>
      <c r="BI315" s="205" t="s">
        <v>408</v>
      </c>
      <c r="BJ315" s="204"/>
      <c r="BK315" s="206"/>
    </row>
    <row r="316" spans="1:63" s="164" customFormat="1" ht="31.5" customHeight="1">
      <c r="A316" s="185"/>
      <c r="B316" s="193"/>
      <c r="C316" s="184"/>
      <c r="D316" s="183" t="s">
        <v>704</v>
      </c>
      <c r="E316" s="184"/>
      <c r="F316" s="184"/>
      <c r="G316" s="184"/>
      <c r="H316" s="184"/>
      <c r="I316" s="184"/>
      <c r="J316" s="184"/>
      <c r="K316" s="184"/>
      <c r="L316" s="193"/>
      <c r="M316" s="1005" t="s">
        <v>705</v>
      </c>
      <c r="N316" s="1005"/>
      <c r="O316" s="1005"/>
      <c r="P316" s="1005"/>
      <c r="Q316" s="1005"/>
      <c r="R316" s="1005"/>
      <c r="S316" s="1005"/>
      <c r="T316" s="1005"/>
      <c r="U316" s="1005"/>
      <c r="V316" s="1005"/>
      <c r="W316" s="1005"/>
      <c r="X316" s="1005"/>
      <c r="Y316" s="1005"/>
      <c r="Z316" s="1005"/>
      <c r="AA316" s="1005"/>
      <c r="AB316" s="1005"/>
      <c r="AC316" s="1005"/>
      <c r="AD316" s="1005"/>
      <c r="AE316" s="1005"/>
      <c r="AF316" s="1005"/>
      <c r="AG316" s="1005"/>
      <c r="AH316" s="1005"/>
      <c r="AI316" s="1005"/>
      <c r="AJ316" s="1005"/>
      <c r="AK316" s="1005"/>
      <c r="AL316" s="1005"/>
      <c r="AM316" s="1005"/>
      <c r="AN316" s="1005"/>
      <c r="AO316" s="1005"/>
      <c r="AP316" s="1005"/>
      <c r="AQ316" s="1005"/>
      <c r="AR316" s="1005"/>
      <c r="AS316" s="1005"/>
      <c r="AT316" s="1005"/>
      <c r="AU316" s="1005"/>
      <c r="AV316" s="1005"/>
      <c r="AW316" s="1005"/>
      <c r="AX316" s="1005"/>
      <c r="AY316" s="1005"/>
      <c r="AZ316" s="1005"/>
      <c r="BA316" s="1005"/>
      <c r="BB316" s="1005"/>
      <c r="BC316" s="1005"/>
      <c r="BD316" s="1005"/>
      <c r="BE316" s="204"/>
      <c r="BF316" s="205" t="s">
        <v>419</v>
      </c>
      <c r="BG316" s="204"/>
      <c r="BH316" s="204" t="s">
        <v>407</v>
      </c>
      <c r="BI316" s="204"/>
      <c r="BJ316" s="204"/>
      <c r="BK316" s="206"/>
    </row>
    <row r="317" spans="1:63" s="164" customFormat="1" ht="31.5" customHeight="1">
      <c r="A317" s="185"/>
      <c r="B317" s="193"/>
      <c r="C317" s="184"/>
      <c r="D317" s="183" t="s">
        <v>491</v>
      </c>
      <c r="E317" s="184"/>
      <c r="F317" s="184"/>
      <c r="G317" s="184"/>
      <c r="H317" s="184"/>
      <c r="I317" s="184"/>
      <c r="J317" s="184"/>
      <c r="K317" s="184"/>
      <c r="L317" s="193"/>
      <c r="M317" s="1005" t="s">
        <v>706</v>
      </c>
      <c r="N317" s="1005"/>
      <c r="O317" s="1005"/>
      <c r="P317" s="1005"/>
      <c r="Q317" s="1005"/>
      <c r="R317" s="1005"/>
      <c r="S317" s="1005"/>
      <c r="T317" s="1005"/>
      <c r="U317" s="1005"/>
      <c r="V317" s="1005"/>
      <c r="W317" s="1005"/>
      <c r="X317" s="1005"/>
      <c r="Y317" s="1005"/>
      <c r="Z317" s="1005"/>
      <c r="AA317" s="1005"/>
      <c r="AB317" s="1005"/>
      <c r="AC317" s="1005"/>
      <c r="AD317" s="1005"/>
      <c r="AE317" s="1005"/>
      <c r="AF317" s="1005"/>
      <c r="AG317" s="1005"/>
      <c r="AH317" s="1005"/>
      <c r="AI317" s="1005"/>
      <c r="AJ317" s="1005"/>
      <c r="AK317" s="1005"/>
      <c r="AL317" s="1005"/>
      <c r="AM317" s="1005"/>
      <c r="AN317" s="1005"/>
      <c r="AO317" s="1005"/>
      <c r="AP317" s="1005"/>
      <c r="AQ317" s="1005"/>
      <c r="AR317" s="1005"/>
      <c r="AS317" s="1005"/>
      <c r="AT317" s="1005"/>
      <c r="AU317" s="1005"/>
      <c r="AV317" s="1005"/>
      <c r="AW317" s="1005"/>
      <c r="AX317" s="1005"/>
      <c r="AY317" s="1005"/>
      <c r="AZ317" s="1005"/>
      <c r="BA317" s="1005"/>
      <c r="BB317" s="1005"/>
      <c r="BC317" s="1005"/>
      <c r="BD317" s="1005"/>
      <c r="BE317" s="204"/>
      <c r="BF317" s="205" t="s">
        <v>419</v>
      </c>
      <c r="BG317" s="204"/>
      <c r="BH317" s="204" t="s">
        <v>407</v>
      </c>
      <c r="BI317" s="204"/>
      <c r="BJ317" s="204"/>
      <c r="BK317" s="206"/>
    </row>
    <row r="318" spans="1:63" s="164" customFormat="1" ht="31.5" customHeight="1">
      <c r="A318" s="185"/>
      <c r="B318" s="193"/>
      <c r="C318" s="251" t="s">
        <v>411</v>
      </c>
      <c r="D318" s="183" t="s">
        <v>707</v>
      </c>
      <c r="E318" s="184"/>
      <c r="F318" s="184"/>
      <c r="G318" s="184"/>
      <c r="H318" s="184"/>
      <c r="I318" s="184"/>
      <c r="J318" s="184"/>
      <c r="K318" s="184"/>
      <c r="L318" s="193"/>
      <c r="M318" s="1005" t="s">
        <v>708</v>
      </c>
      <c r="N318" s="1005"/>
      <c r="O318" s="1005"/>
      <c r="P318" s="1005"/>
      <c r="Q318" s="1005"/>
      <c r="R318" s="1005"/>
      <c r="S318" s="1005"/>
      <c r="T318" s="1005"/>
      <c r="U318" s="1005"/>
      <c r="V318" s="1005"/>
      <c r="W318" s="1005"/>
      <c r="X318" s="1005"/>
      <c r="Y318" s="1005"/>
      <c r="Z318" s="1005"/>
      <c r="AA318" s="1005"/>
      <c r="AB318" s="1005"/>
      <c r="AC318" s="1005"/>
      <c r="AD318" s="1005"/>
      <c r="AE318" s="1005"/>
      <c r="AF318" s="1005"/>
      <c r="AG318" s="1005"/>
      <c r="AH318" s="1005"/>
      <c r="AI318" s="1005"/>
      <c r="AJ318" s="1005"/>
      <c r="AK318" s="1005"/>
      <c r="AL318" s="1005"/>
      <c r="AM318" s="1005"/>
      <c r="AN318" s="1005"/>
      <c r="AO318" s="1005"/>
      <c r="AP318" s="1005"/>
      <c r="AQ318" s="1005"/>
      <c r="AR318" s="1005"/>
      <c r="AS318" s="1005"/>
      <c r="AT318" s="1005"/>
      <c r="AU318" s="1005"/>
      <c r="AV318" s="1005"/>
      <c r="AW318" s="1005"/>
      <c r="AX318" s="1005"/>
      <c r="AY318" s="1005"/>
      <c r="AZ318" s="1005"/>
      <c r="BA318" s="1005"/>
      <c r="BB318" s="1005"/>
      <c r="BC318" s="1005"/>
      <c r="BD318" s="1005"/>
      <c r="BE318" s="205" t="s">
        <v>486</v>
      </c>
      <c r="BF318" s="205" t="s">
        <v>487</v>
      </c>
      <c r="BG318" s="204"/>
      <c r="BH318" s="204" t="s">
        <v>407</v>
      </c>
      <c r="BI318" s="205" t="s">
        <v>408</v>
      </c>
      <c r="BJ318" s="204"/>
      <c r="BK318" s="206"/>
    </row>
    <row r="319" spans="1:63" s="164" customFormat="1" ht="15.75" customHeight="1">
      <c r="A319" s="185"/>
      <c r="B319" s="193"/>
      <c r="C319" s="184"/>
      <c r="D319" s="183" t="s">
        <v>709</v>
      </c>
      <c r="E319" s="184"/>
      <c r="F319" s="184"/>
      <c r="G319" s="184"/>
      <c r="H319" s="184"/>
      <c r="I319" s="184"/>
      <c r="J319" s="184"/>
      <c r="K319" s="184"/>
      <c r="L319" s="193"/>
      <c r="M319" s="1003"/>
      <c r="N319" s="1002"/>
      <c r="O319" s="1002"/>
      <c r="P319" s="1002"/>
      <c r="Q319" s="1002"/>
      <c r="R319" s="1002"/>
      <c r="S319" s="1002"/>
      <c r="T319" s="1002"/>
      <c r="U319" s="1002"/>
      <c r="V319" s="1002"/>
      <c r="W319" s="1002"/>
      <c r="X319" s="1002"/>
      <c r="Y319" s="1002"/>
      <c r="Z319" s="1002"/>
      <c r="AA319" s="1002"/>
      <c r="AB319" s="1002"/>
      <c r="AC319" s="1002"/>
      <c r="AD319" s="1002"/>
      <c r="AE319" s="1002"/>
      <c r="AF319" s="1002"/>
      <c r="AG319" s="1002"/>
      <c r="AH319" s="1002"/>
      <c r="AI319" s="1002"/>
      <c r="AJ319" s="1002"/>
      <c r="AK319" s="1002"/>
      <c r="AL319" s="1002"/>
      <c r="AM319" s="1002"/>
      <c r="AN319" s="1002"/>
      <c r="AO319" s="1002"/>
      <c r="AP319" s="1002"/>
      <c r="AQ319" s="1002"/>
      <c r="AR319" s="1002"/>
      <c r="AS319" s="1002"/>
      <c r="AT319" s="1002"/>
      <c r="AU319" s="1002"/>
      <c r="AV319" s="1002"/>
      <c r="AW319" s="1002"/>
      <c r="AX319" s="1002"/>
      <c r="AY319" s="1002"/>
      <c r="AZ319" s="1002"/>
      <c r="BA319" s="1002"/>
      <c r="BB319" s="1002"/>
      <c r="BC319" s="1002"/>
      <c r="BD319" s="1002"/>
      <c r="BE319" s="204"/>
      <c r="BF319" s="205" t="s">
        <v>487</v>
      </c>
      <c r="BG319" s="204"/>
      <c r="BH319" s="204" t="s">
        <v>407</v>
      </c>
      <c r="BI319" s="204"/>
      <c r="BJ319" s="204"/>
      <c r="BK319" s="206"/>
    </row>
    <row r="320" spans="1:63" s="164" customFormat="1" ht="15.75" customHeight="1">
      <c r="A320" s="185"/>
      <c r="B320" s="193"/>
      <c r="C320" s="251" t="s">
        <v>411</v>
      </c>
      <c r="D320" s="183" t="s">
        <v>542</v>
      </c>
      <c r="E320" s="184"/>
      <c r="F320" s="184"/>
      <c r="G320" s="184"/>
      <c r="H320" s="184"/>
      <c r="I320" s="184"/>
      <c r="J320" s="184"/>
      <c r="K320" s="184"/>
      <c r="L320" s="193"/>
      <c r="M320" s="1005" t="s">
        <v>683</v>
      </c>
      <c r="N320" s="1005"/>
      <c r="O320" s="1005"/>
      <c r="P320" s="1005"/>
      <c r="Q320" s="1005"/>
      <c r="R320" s="1005"/>
      <c r="S320" s="1005"/>
      <c r="T320" s="1005"/>
      <c r="U320" s="1005"/>
      <c r="V320" s="1005"/>
      <c r="W320" s="1005"/>
      <c r="X320" s="1005"/>
      <c r="Y320" s="1005"/>
      <c r="Z320" s="1005"/>
      <c r="AA320" s="1005"/>
      <c r="AB320" s="1005"/>
      <c r="AC320" s="1005"/>
      <c r="AD320" s="1005"/>
      <c r="AE320" s="1005"/>
      <c r="AF320" s="1005"/>
      <c r="AG320" s="1005"/>
      <c r="AH320" s="1005"/>
      <c r="AI320" s="1005"/>
      <c r="AJ320" s="1005"/>
      <c r="AK320" s="1005"/>
      <c r="AL320" s="1005"/>
      <c r="AM320" s="1005"/>
      <c r="AN320" s="1005"/>
      <c r="AO320" s="1005"/>
      <c r="AP320" s="1005"/>
      <c r="AQ320" s="1005"/>
      <c r="AR320" s="1005"/>
      <c r="AS320" s="1005"/>
      <c r="AT320" s="1005"/>
      <c r="AU320" s="1005"/>
      <c r="AV320" s="1005"/>
      <c r="AW320" s="1005"/>
      <c r="AX320" s="1005"/>
      <c r="AY320" s="1005"/>
      <c r="AZ320" s="1005"/>
      <c r="BA320" s="1005"/>
      <c r="BB320" s="1005"/>
      <c r="BC320" s="1005"/>
      <c r="BD320" s="1005"/>
      <c r="BE320" s="205" t="s">
        <v>684</v>
      </c>
      <c r="BF320" s="205" t="s">
        <v>487</v>
      </c>
      <c r="BG320" s="204"/>
      <c r="BH320" s="204" t="s">
        <v>407</v>
      </c>
      <c r="BI320" s="205" t="s">
        <v>408</v>
      </c>
      <c r="BJ320" s="204"/>
      <c r="BK320" s="206"/>
    </row>
    <row r="321" spans="1:63" s="164" customFormat="1" ht="15.75" customHeight="1">
      <c r="A321" s="185"/>
      <c r="B321" s="193"/>
      <c r="C321" s="184"/>
      <c r="D321" s="183" t="s">
        <v>543</v>
      </c>
      <c r="E321" s="184"/>
      <c r="F321" s="184"/>
      <c r="G321" s="184"/>
      <c r="H321" s="184"/>
      <c r="I321" s="184"/>
      <c r="J321" s="184"/>
      <c r="K321" s="184"/>
      <c r="L321" s="193"/>
      <c r="M321" s="1003"/>
      <c r="N321" s="1002"/>
      <c r="O321" s="1002"/>
      <c r="P321" s="1002"/>
      <c r="Q321" s="1002"/>
      <c r="R321" s="1002"/>
      <c r="S321" s="1002"/>
      <c r="T321" s="1002"/>
      <c r="U321" s="1002"/>
      <c r="V321" s="1002"/>
      <c r="W321" s="1002"/>
      <c r="X321" s="1002"/>
      <c r="Y321" s="1002"/>
      <c r="Z321" s="1002"/>
      <c r="AA321" s="1002"/>
      <c r="AB321" s="1002"/>
      <c r="AC321" s="1002"/>
      <c r="AD321" s="1002"/>
      <c r="AE321" s="1002"/>
      <c r="AF321" s="1002"/>
      <c r="AG321" s="1002"/>
      <c r="AH321" s="1002"/>
      <c r="AI321" s="1002"/>
      <c r="AJ321" s="1002"/>
      <c r="AK321" s="1002"/>
      <c r="AL321" s="1002"/>
      <c r="AM321" s="1002"/>
      <c r="AN321" s="1002"/>
      <c r="AO321" s="1002"/>
      <c r="AP321" s="1002"/>
      <c r="AQ321" s="1002"/>
      <c r="AR321" s="1002"/>
      <c r="AS321" s="1002"/>
      <c r="AT321" s="1002"/>
      <c r="AU321" s="1002"/>
      <c r="AV321" s="1002"/>
      <c r="AW321" s="1002"/>
      <c r="AX321" s="1002"/>
      <c r="AY321" s="1002"/>
      <c r="AZ321" s="1002"/>
      <c r="BA321" s="1002"/>
      <c r="BB321" s="1002"/>
      <c r="BC321" s="1002"/>
      <c r="BD321" s="1002"/>
      <c r="BE321" s="204"/>
      <c r="BF321" s="205" t="s">
        <v>487</v>
      </c>
      <c r="BG321" s="204"/>
      <c r="BH321" s="204" t="s">
        <v>407</v>
      </c>
      <c r="BI321" s="204"/>
      <c r="BJ321" s="204"/>
      <c r="BK321" s="206"/>
    </row>
    <row r="322" spans="1:63" s="164" customFormat="1" ht="15.75" customHeight="1">
      <c r="A322" s="185"/>
      <c r="B322" s="193"/>
      <c r="C322" s="251" t="s">
        <v>411</v>
      </c>
      <c r="D322" s="183" t="s">
        <v>710</v>
      </c>
      <c r="E322" s="184"/>
      <c r="F322" s="184"/>
      <c r="G322" s="184"/>
      <c r="H322" s="184"/>
      <c r="I322" s="184"/>
      <c r="J322" s="184"/>
      <c r="K322" s="184"/>
      <c r="L322" s="193"/>
      <c r="M322" s="1003"/>
      <c r="N322" s="1002"/>
      <c r="O322" s="1002"/>
      <c r="P322" s="1002"/>
      <c r="Q322" s="1002"/>
      <c r="R322" s="1002"/>
      <c r="S322" s="1002"/>
      <c r="T322" s="1002"/>
      <c r="U322" s="1002"/>
      <c r="V322" s="1002"/>
      <c r="W322" s="1002"/>
      <c r="X322" s="1002"/>
      <c r="Y322" s="1002"/>
      <c r="Z322" s="1002"/>
      <c r="AA322" s="1002"/>
      <c r="AB322" s="1002"/>
      <c r="AC322" s="1002"/>
      <c r="AD322" s="1002"/>
      <c r="AE322" s="1002"/>
      <c r="AF322" s="1002"/>
      <c r="AG322" s="1002"/>
      <c r="AH322" s="1002"/>
      <c r="AI322" s="1002"/>
      <c r="AJ322" s="1002"/>
      <c r="AK322" s="1002"/>
      <c r="AL322" s="1002"/>
      <c r="AM322" s="1002"/>
      <c r="AN322" s="1002"/>
      <c r="AO322" s="1002"/>
      <c r="AP322" s="1002"/>
      <c r="AQ322" s="1002"/>
      <c r="AR322" s="1002"/>
      <c r="AS322" s="1002"/>
      <c r="AT322" s="1002"/>
      <c r="AU322" s="1002"/>
      <c r="AV322" s="1002"/>
      <c r="AW322" s="1002"/>
      <c r="AX322" s="1002"/>
      <c r="AY322" s="1002"/>
      <c r="AZ322" s="1002"/>
      <c r="BA322" s="1002"/>
      <c r="BB322" s="1002"/>
      <c r="BC322" s="1002"/>
      <c r="BD322" s="1002"/>
      <c r="BE322" s="204"/>
      <c r="BF322" s="205" t="s">
        <v>487</v>
      </c>
      <c r="BG322" s="204"/>
      <c r="BH322" s="204" t="s">
        <v>407</v>
      </c>
      <c r="BI322" s="205" t="s">
        <v>408</v>
      </c>
      <c r="BJ322" s="204"/>
      <c r="BK322" s="206"/>
    </row>
    <row r="323" spans="1:63" s="164" customFormat="1" ht="15.75" customHeight="1">
      <c r="A323" s="185"/>
      <c r="B323" s="193"/>
      <c r="C323" s="251" t="s">
        <v>411</v>
      </c>
      <c r="D323" s="183" t="s">
        <v>711</v>
      </c>
      <c r="E323" s="184"/>
      <c r="F323" s="184"/>
      <c r="G323" s="184"/>
      <c r="H323" s="184"/>
      <c r="I323" s="184"/>
      <c r="J323" s="184"/>
      <c r="K323" s="184"/>
      <c r="L323" s="193"/>
      <c r="M323" s="1003"/>
      <c r="N323" s="1002"/>
      <c r="O323" s="1002"/>
      <c r="P323" s="1002"/>
      <c r="Q323" s="1002"/>
      <c r="R323" s="1002"/>
      <c r="S323" s="1002"/>
      <c r="T323" s="1002"/>
      <c r="U323" s="1002"/>
      <c r="V323" s="1002"/>
      <c r="W323" s="1002"/>
      <c r="X323" s="1002"/>
      <c r="Y323" s="1002"/>
      <c r="Z323" s="1002"/>
      <c r="AA323" s="1002"/>
      <c r="AB323" s="1002"/>
      <c r="AC323" s="1002"/>
      <c r="AD323" s="1002"/>
      <c r="AE323" s="1002"/>
      <c r="AF323" s="1002"/>
      <c r="AG323" s="1002"/>
      <c r="AH323" s="1002"/>
      <c r="AI323" s="1002"/>
      <c r="AJ323" s="1002"/>
      <c r="AK323" s="1002"/>
      <c r="AL323" s="1002"/>
      <c r="AM323" s="1002"/>
      <c r="AN323" s="1002"/>
      <c r="AO323" s="1002"/>
      <c r="AP323" s="1002"/>
      <c r="AQ323" s="1002"/>
      <c r="AR323" s="1002"/>
      <c r="AS323" s="1002"/>
      <c r="AT323" s="1002"/>
      <c r="AU323" s="1002"/>
      <c r="AV323" s="1002"/>
      <c r="AW323" s="1002"/>
      <c r="AX323" s="1002"/>
      <c r="AY323" s="1002"/>
      <c r="AZ323" s="1002"/>
      <c r="BA323" s="1002"/>
      <c r="BB323" s="1002"/>
      <c r="BC323" s="1002"/>
      <c r="BD323" s="1002"/>
      <c r="BE323" s="204"/>
      <c r="BF323" s="205" t="s">
        <v>487</v>
      </c>
      <c r="BG323" s="204"/>
      <c r="BH323" s="204" t="s">
        <v>407</v>
      </c>
      <c r="BI323" s="205" t="s">
        <v>408</v>
      </c>
      <c r="BJ323" s="204"/>
      <c r="BK323" s="206"/>
    </row>
    <row r="324" spans="1:63" s="164" customFormat="1" ht="15.75" customHeight="1">
      <c r="A324" s="185"/>
      <c r="B324" s="193"/>
      <c r="C324" s="251" t="s">
        <v>411</v>
      </c>
      <c r="D324" s="183" t="s">
        <v>712</v>
      </c>
      <c r="E324" s="184"/>
      <c r="F324" s="184"/>
      <c r="G324" s="184"/>
      <c r="H324" s="184"/>
      <c r="I324" s="184"/>
      <c r="J324" s="184"/>
      <c r="K324" s="184"/>
      <c r="L324" s="193"/>
      <c r="M324" s="1005" t="s">
        <v>713</v>
      </c>
      <c r="N324" s="1005"/>
      <c r="O324" s="1005"/>
      <c r="P324" s="1005"/>
      <c r="Q324" s="1005"/>
      <c r="R324" s="1005"/>
      <c r="S324" s="1005"/>
      <c r="T324" s="1005"/>
      <c r="U324" s="1005"/>
      <c r="V324" s="1005"/>
      <c r="W324" s="1005"/>
      <c r="X324" s="1005"/>
      <c r="Y324" s="1005"/>
      <c r="Z324" s="1005"/>
      <c r="AA324" s="1005"/>
      <c r="AB324" s="1005"/>
      <c r="AC324" s="1005"/>
      <c r="AD324" s="1005"/>
      <c r="AE324" s="1005"/>
      <c r="AF324" s="1005"/>
      <c r="AG324" s="1005"/>
      <c r="AH324" s="1005"/>
      <c r="AI324" s="1005"/>
      <c r="AJ324" s="1005"/>
      <c r="AK324" s="1005"/>
      <c r="AL324" s="1005"/>
      <c r="AM324" s="1005"/>
      <c r="AN324" s="1005"/>
      <c r="AO324" s="1005"/>
      <c r="AP324" s="1005"/>
      <c r="AQ324" s="1005"/>
      <c r="AR324" s="1005"/>
      <c r="AS324" s="1005"/>
      <c r="AT324" s="1005"/>
      <c r="AU324" s="1005"/>
      <c r="AV324" s="1005"/>
      <c r="AW324" s="1005"/>
      <c r="AX324" s="1005"/>
      <c r="AY324" s="1005"/>
      <c r="AZ324" s="1005"/>
      <c r="BA324" s="1005"/>
      <c r="BB324" s="1005"/>
      <c r="BC324" s="1005"/>
      <c r="BD324" s="1005"/>
      <c r="BE324" s="204"/>
      <c r="BF324" s="205" t="s">
        <v>487</v>
      </c>
      <c r="BG324" s="204"/>
      <c r="BH324" s="204" t="s">
        <v>407</v>
      </c>
      <c r="BI324" s="205" t="s">
        <v>408</v>
      </c>
      <c r="BJ324" s="204"/>
      <c r="BK324" s="206"/>
    </row>
    <row r="325" spans="1:63" s="164" customFormat="1" ht="15.75" customHeight="1">
      <c r="A325" s="185"/>
      <c r="B325" s="193"/>
      <c r="C325" s="184"/>
      <c r="D325" s="183" t="s">
        <v>714</v>
      </c>
      <c r="E325" s="184"/>
      <c r="F325" s="184"/>
      <c r="G325" s="184"/>
      <c r="H325" s="184"/>
      <c r="I325" s="184"/>
      <c r="J325" s="184"/>
      <c r="K325" s="184"/>
      <c r="L325" s="193"/>
      <c r="M325" s="1003"/>
      <c r="N325" s="1002"/>
      <c r="O325" s="1002"/>
      <c r="P325" s="1002"/>
      <c r="Q325" s="1002"/>
      <c r="R325" s="1002"/>
      <c r="S325" s="1002"/>
      <c r="T325" s="1002"/>
      <c r="U325" s="1002"/>
      <c r="V325" s="1002"/>
      <c r="W325" s="1002"/>
      <c r="X325" s="1002"/>
      <c r="Y325" s="1002"/>
      <c r="Z325" s="1002"/>
      <c r="AA325" s="1002"/>
      <c r="AB325" s="1002"/>
      <c r="AC325" s="1002"/>
      <c r="AD325" s="1002"/>
      <c r="AE325" s="1002"/>
      <c r="AF325" s="1002"/>
      <c r="AG325" s="1002"/>
      <c r="AH325" s="1002"/>
      <c r="AI325" s="1002"/>
      <c r="AJ325" s="1002"/>
      <c r="AK325" s="1002"/>
      <c r="AL325" s="1002"/>
      <c r="AM325" s="1002"/>
      <c r="AN325" s="1002"/>
      <c r="AO325" s="1002"/>
      <c r="AP325" s="1002"/>
      <c r="AQ325" s="1002"/>
      <c r="AR325" s="1002"/>
      <c r="AS325" s="1002"/>
      <c r="AT325" s="1002"/>
      <c r="AU325" s="1002"/>
      <c r="AV325" s="1002"/>
      <c r="AW325" s="1002"/>
      <c r="AX325" s="1002"/>
      <c r="AY325" s="1002"/>
      <c r="AZ325" s="1002"/>
      <c r="BA325" s="1002"/>
      <c r="BB325" s="1002"/>
      <c r="BC325" s="1002"/>
      <c r="BD325" s="1002"/>
      <c r="BE325" s="204"/>
      <c r="BF325" s="205" t="s">
        <v>487</v>
      </c>
      <c r="BG325" s="204"/>
      <c r="BH325" s="204" t="s">
        <v>407</v>
      </c>
      <c r="BI325" s="204"/>
      <c r="BJ325" s="204"/>
      <c r="BK325" s="206"/>
    </row>
    <row r="326" spans="1:63" s="164" customFormat="1" ht="15.75" customHeight="1">
      <c r="A326" s="185"/>
      <c r="B326" s="193"/>
      <c r="C326" s="184"/>
      <c r="D326" s="183" t="s">
        <v>715</v>
      </c>
      <c r="E326" s="184"/>
      <c r="F326" s="184"/>
      <c r="G326" s="184"/>
      <c r="H326" s="184"/>
      <c r="I326" s="184"/>
      <c r="J326" s="184"/>
      <c r="K326" s="184"/>
      <c r="L326" s="193"/>
      <c r="M326" s="1003"/>
      <c r="N326" s="1002"/>
      <c r="O326" s="1002"/>
      <c r="P326" s="1002"/>
      <c r="Q326" s="1002"/>
      <c r="R326" s="1002"/>
      <c r="S326" s="1002"/>
      <c r="T326" s="1002"/>
      <c r="U326" s="1002"/>
      <c r="V326" s="1002"/>
      <c r="W326" s="1002"/>
      <c r="X326" s="1002"/>
      <c r="Y326" s="1002"/>
      <c r="Z326" s="1002"/>
      <c r="AA326" s="1002"/>
      <c r="AB326" s="1002"/>
      <c r="AC326" s="1002"/>
      <c r="AD326" s="1002"/>
      <c r="AE326" s="1002"/>
      <c r="AF326" s="1002"/>
      <c r="AG326" s="1002"/>
      <c r="AH326" s="1002"/>
      <c r="AI326" s="1002"/>
      <c r="AJ326" s="1002"/>
      <c r="AK326" s="1002"/>
      <c r="AL326" s="1002"/>
      <c r="AM326" s="1002"/>
      <c r="AN326" s="1002"/>
      <c r="AO326" s="1002"/>
      <c r="AP326" s="1002"/>
      <c r="AQ326" s="1002"/>
      <c r="AR326" s="1002"/>
      <c r="AS326" s="1002"/>
      <c r="AT326" s="1002"/>
      <c r="AU326" s="1002"/>
      <c r="AV326" s="1002"/>
      <c r="AW326" s="1002"/>
      <c r="AX326" s="1002"/>
      <c r="AY326" s="1002"/>
      <c r="AZ326" s="1002"/>
      <c r="BA326" s="1002"/>
      <c r="BB326" s="1002"/>
      <c r="BC326" s="1002"/>
      <c r="BD326" s="1002"/>
      <c r="BE326" s="204"/>
      <c r="BF326" s="205" t="s">
        <v>487</v>
      </c>
      <c r="BG326" s="204"/>
      <c r="BH326" s="204" t="s">
        <v>407</v>
      </c>
      <c r="BI326" s="204"/>
      <c r="BJ326" s="204"/>
      <c r="BK326" s="206"/>
    </row>
    <row r="327" spans="1:63" s="164" customFormat="1" ht="15.75" customHeight="1">
      <c r="A327" s="185"/>
      <c r="B327" s="193"/>
      <c r="C327" s="251" t="s">
        <v>411</v>
      </c>
      <c r="D327" s="183" t="s">
        <v>493</v>
      </c>
      <c r="E327" s="184"/>
      <c r="F327" s="184"/>
      <c r="G327" s="184"/>
      <c r="H327" s="184"/>
      <c r="I327" s="184"/>
      <c r="J327" s="184"/>
      <c r="K327" s="184"/>
      <c r="L327" s="193"/>
      <c r="M327" s="1003"/>
      <c r="N327" s="1002"/>
      <c r="O327" s="1002"/>
      <c r="P327" s="1002"/>
      <c r="Q327" s="1002"/>
      <c r="R327" s="1002"/>
      <c r="S327" s="1002"/>
      <c r="T327" s="1002"/>
      <c r="U327" s="1002"/>
      <c r="V327" s="1002"/>
      <c r="W327" s="1002"/>
      <c r="X327" s="1002"/>
      <c r="Y327" s="1002"/>
      <c r="Z327" s="1002"/>
      <c r="AA327" s="1002"/>
      <c r="AB327" s="1002"/>
      <c r="AC327" s="1002"/>
      <c r="AD327" s="1002"/>
      <c r="AE327" s="1002"/>
      <c r="AF327" s="1002"/>
      <c r="AG327" s="1002"/>
      <c r="AH327" s="1002"/>
      <c r="AI327" s="1002"/>
      <c r="AJ327" s="1002"/>
      <c r="AK327" s="1002"/>
      <c r="AL327" s="1002"/>
      <c r="AM327" s="1002"/>
      <c r="AN327" s="1002"/>
      <c r="AO327" s="1002"/>
      <c r="AP327" s="1002"/>
      <c r="AQ327" s="1002"/>
      <c r="AR327" s="1002"/>
      <c r="AS327" s="1002"/>
      <c r="AT327" s="1002"/>
      <c r="AU327" s="1002"/>
      <c r="AV327" s="1002"/>
      <c r="AW327" s="1002"/>
      <c r="AX327" s="1002"/>
      <c r="AY327" s="1002"/>
      <c r="AZ327" s="1002"/>
      <c r="BA327" s="1002"/>
      <c r="BB327" s="1002"/>
      <c r="BC327" s="1002"/>
      <c r="BD327" s="1002"/>
      <c r="BE327" s="204"/>
      <c r="BF327" s="205" t="s">
        <v>487</v>
      </c>
      <c r="BG327" s="204"/>
      <c r="BH327" s="204" t="s">
        <v>407</v>
      </c>
      <c r="BI327" s="205" t="s">
        <v>408</v>
      </c>
      <c r="BJ327" s="204"/>
      <c r="BK327" s="206"/>
    </row>
    <row r="328" spans="1:63" s="164" customFormat="1" ht="31.5" customHeight="1">
      <c r="A328" s="185"/>
      <c r="B328" s="193"/>
      <c r="C328" s="251" t="s">
        <v>411</v>
      </c>
      <c r="D328" s="183" t="s">
        <v>299</v>
      </c>
      <c r="E328" s="184"/>
      <c r="F328" s="184"/>
      <c r="G328" s="184"/>
      <c r="H328" s="184"/>
      <c r="I328" s="184"/>
      <c r="J328" s="184"/>
      <c r="K328" s="184"/>
      <c r="L328" s="193"/>
      <c r="M328" s="1005" t="s">
        <v>716</v>
      </c>
      <c r="N328" s="1005"/>
      <c r="O328" s="1005"/>
      <c r="P328" s="1005"/>
      <c r="Q328" s="1005"/>
      <c r="R328" s="1005"/>
      <c r="S328" s="1005"/>
      <c r="T328" s="1005"/>
      <c r="U328" s="1005"/>
      <c r="V328" s="1005"/>
      <c r="W328" s="1005"/>
      <c r="X328" s="1005"/>
      <c r="Y328" s="1005"/>
      <c r="Z328" s="1005"/>
      <c r="AA328" s="1005"/>
      <c r="AB328" s="1005"/>
      <c r="AC328" s="1005"/>
      <c r="AD328" s="1005"/>
      <c r="AE328" s="1005"/>
      <c r="AF328" s="1005"/>
      <c r="AG328" s="1005"/>
      <c r="AH328" s="1005"/>
      <c r="AI328" s="1005"/>
      <c r="AJ328" s="1005"/>
      <c r="AK328" s="1005"/>
      <c r="AL328" s="1005"/>
      <c r="AM328" s="1005"/>
      <c r="AN328" s="1005"/>
      <c r="AO328" s="1005"/>
      <c r="AP328" s="1005"/>
      <c r="AQ328" s="1005"/>
      <c r="AR328" s="1005"/>
      <c r="AS328" s="1005"/>
      <c r="AT328" s="1005"/>
      <c r="AU328" s="1005"/>
      <c r="AV328" s="1005"/>
      <c r="AW328" s="1005"/>
      <c r="AX328" s="1005"/>
      <c r="AY328" s="1005"/>
      <c r="AZ328" s="1005"/>
      <c r="BA328" s="1005"/>
      <c r="BB328" s="1005"/>
      <c r="BC328" s="1005"/>
      <c r="BD328" s="1005"/>
      <c r="BE328" s="204"/>
      <c r="BF328" s="205" t="s">
        <v>462</v>
      </c>
      <c r="BG328" s="204"/>
      <c r="BH328" s="204" t="s">
        <v>407</v>
      </c>
      <c r="BI328" s="205" t="s">
        <v>408</v>
      </c>
      <c r="BJ328" s="204"/>
      <c r="BK328" s="206"/>
    </row>
    <row r="329" spans="1:63" s="164" customFormat="1" ht="15.75" customHeight="1">
      <c r="A329" s="185"/>
      <c r="B329" s="193"/>
      <c r="C329" s="251" t="s">
        <v>411</v>
      </c>
      <c r="D329" s="183" t="s">
        <v>717</v>
      </c>
      <c r="E329" s="184"/>
      <c r="F329" s="184"/>
      <c r="G329" s="184"/>
      <c r="H329" s="184"/>
      <c r="I329" s="184"/>
      <c r="J329" s="184"/>
      <c r="K329" s="184"/>
      <c r="L329" s="193"/>
      <c r="M329" s="1005" t="s">
        <v>718</v>
      </c>
      <c r="N329" s="1005"/>
      <c r="O329" s="1005"/>
      <c r="P329" s="1005"/>
      <c r="Q329" s="1005"/>
      <c r="R329" s="1005"/>
      <c r="S329" s="1005"/>
      <c r="T329" s="1005"/>
      <c r="U329" s="1005"/>
      <c r="V329" s="1005"/>
      <c r="W329" s="1005"/>
      <c r="X329" s="1005"/>
      <c r="Y329" s="1005"/>
      <c r="Z329" s="1005"/>
      <c r="AA329" s="1005"/>
      <c r="AB329" s="1005"/>
      <c r="AC329" s="1005"/>
      <c r="AD329" s="1005"/>
      <c r="AE329" s="1005"/>
      <c r="AF329" s="1005"/>
      <c r="AG329" s="1005"/>
      <c r="AH329" s="1005"/>
      <c r="AI329" s="1005"/>
      <c r="AJ329" s="1005"/>
      <c r="AK329" s="1005"/>
      <c r="AL329" s="1005"/>
      <c r="AM329" s="1005"/>
      <c r="AN329" s="1005"/>
      <c r="AO329" s="1005"/>
      <c r="AP329" s="1005"/>
      <c r="AQ329" s="1005"/>
      <c r="AR329" s="1005"/>
      <c r="AS329" s="1005"/>
      <c r="AT329" s="1005"/>
      <c r="AU329" s="1005"/>
      <c r="AV329" s="1005"/>
      <c r="AW329" s="1005"/>
      <c r="AX329" s="1005"/>
      <c r="AY329" s="1005"/>
      <c r="AZ329" s="1005"/>
      <c r="BA329" s="1005"/>
      <c r="BB329" s="1005"/>
      <c r="BC329" s="1005"/>
      <c r="BD329" s="1005"/>
      <c r="BE329" s="204"/>
      <c r="BF329" s="205" t="s">
        <v>464</v>
      </c>
      <c r="BG329" s="204"/>
      <c r="BH329" s="204" t="s">
        <v>407</v>
      </c>
      <c r="BI329" s="205" t="s">
        <v>408</v>
      </c>
      <c r="BJ329" s="204"/>
      <c r="BK329" s="206"/>
    </row>
    <row r="330" spans="1:63" s="164" customFormat="1" ht="15.75" customHeight="1">
      <c r="A330" s="185"/>
      <c r="B330" s="193"/>
      <c r="C330" s="184"/>
      <c r="D330" s="183" t="s">
        <v>719</v>
      </c>
      <c r="E330" s="184"/>
      <c r="F330" s="184"/>
      <c r="G330" s="184"/>
      <c r="H330" s="184"/>
      <c r="I330" s="184"/>
      <c r="J330" s="184"/>
      <c r="K330" s="184"/>
      <c r="L330" s="193"/>
      <c r="M330" s="1003"/>
      <c r="N330" s="1002"/>
      <c r="O330" s="1002"/>
      <c r="P330" s="1002"/>
      <c r="Q330" s="1002"/>
      <c r="R330" s="1002"/>
      <c r="S330" s="1002"/>
      <c r="T330" s="1002"/>
      <c r="U330" s="1002"/>
      <c r="V330" s="1002"/>
      <c r="W330" s="1002"/>
      <c r="X330" s="1002"/>
      <c r="Y330" s="1002"/>
      <c r="Z330" s="1002"/>
      <c r="AA330" s="1002"/>
      <c r="AB330" s="1002"/>
      <c r="AC330" s="1002"/>
      <c r="AD330" s="1002"/>
      <c r="AE330" s="1002"/>
      <c r="AF330" s="1002"/>
      <c r="AG330" s="1002"/>
      <c r="AH330" s="1002"/>
      <c r="AI330" s="1002"/>
      <c r="AJ330" s="1002"/>
      <c r="AK330" s="1002"/>
      <c r="AL330" s="1002"/>
      <c r="AM330" s="1002"/>
      <c r="AN330" s="1002"/>
      <c r="AO330" s="1002"/>
      <c r="AP330" s="1002"/>
      <c r="AQ330" s="1002"/>
      <c r="AR330" s="1002"/>
      <c r="AS330" s="1002"/>
      <c r="AT330" s="1002"/>
      <c r="AU330" s="1002"/>
      <c r="AV330" s="1002"/>
      <c r="AW330" s="1002"/>
      <c r="AX330" s="1002"/>
      <c r="AY330" s="1002"/>
      <c r="AZ330" s="1002"/>
      <c r="BA330" s="1002"/>
      <c r="BB330" s="1002"/>
      <c r="BC330" s="1002"/>
      <c r="BD330" s="1002"/>
      <c r="BE330" s="204"/>
      <c r="BF330" s="205" t="s">
        <v>462</v>
      </c>
      <c r="BG330" s="204"/>
      <c r="BH330" s="204" t="s">
        <v>407</v>
      </c>
      <c r="BI330" s="204"/>
      <c r="BJ330" s="204"/>
      <c r="BK330" s="206"/>
    </row>
    <row r="331" spans="1:63" s="164" customFormat="1" ht="15.75" customHeight="1">
      <c r="A331" s="185"/>
      <c r="B331" s="193"/>
      <c r="C331" s="184"/>
      <c r="D331" s="183" t="s">
        <v>720</v>
      </c>
      <c r="E331" s="184"/>
      <c r="F331" s="184"/>
      <c r="G331" s="184"/>
      <c r="H331" s="184"/>
      <c r="I331" s="184"/>
      <c r="J331" s="184"/>
      <c r="K331" s="184"/>
      <c r="L331" s="193"/>
      <c r="M331" s="1003"/>
      <c r="N331" s="1002"/>
      <c r="O331" s="1002"/>
      <c r="P331" s="1002"/>
      <c r="Q331" s="1002"/>
      <c r="R331" s="1002"/>
      <c r="S331" s="1002"/>
      <c r="T331" s="1002"/>
      <c r="U331" s="1002"/>
      <c r="V331" s="1002"/>
      <c r="W331" s="1002"/>
      <c r="X331" s="1002"/>
      <c r="Y331" s="1002"/>
      <c r="Z331" s="1002"/>
      <c r="AA331" s="1002"/>
      <c r="AB331" s="1002"/>
      <c r="AC331" s="1002"/>
      <c r="AD331" s="1002"/>
      <c r="AE331" s="1002"/>
      <c r="AF331" s="1002"/>
      <c r="AG331" s="1002"/>
      <c r="AH331" s="1002"/>
      <c r="AI331" s="1002"/>
      <c r="AJ331" s="1002"/>
      <c r="AK331" s="1002"/>
      <c r="AL331" s="1002"/>
      <c r="AM331" s="1002"/>
      <c r="AN331" s="1002"/>
      <c r="AO331" s="1002"/>
      <c r="AP331" s="1002"/>
      <c r="AQ331" s="1002"/>
      <c r="AR331" s="1002"/>
      <c r="AS331" s="1002"/>
      <c r="AT331" s="1002"/>
      <c r="AU331" s="1002"/>
      <c r="AV331" s="1002"/>
      <c r="AW331" s="1002"/>
      <c r="AX331" s="1002"/>
      <c r="AY331" s="1002"/>
      <c r="AZ331" s="1002"/>
      <c r="BA331" s="1002"/>
      <c r="BB331" s="1002"/>
      <c r="BC331" s="1002"/>
      <c r="BD331" s="1002"/>
      <c r="BE331" s="204"/>
      <c r="BF331" s="205" t="s">
        <v>464</v>
      </c>
      <c r="BG331" s="204"/>
      <c r="BH331" s="204" t="s">
        <v>407</v>
      </c>
      <c r="BI331" s="204"/>
      <c r="BJ331" s="204"/>
      <c r="BK331" s="206"/>
    </row>
    <row r="332" spans="1:63" s="164" customFormat="1" ht="46.5" customHeight="1">
      <c r="A332" s="185"/>
      <c r="B332" s="193"/>
      <c r="C332" s="251" t="s">
        <v>411</v>
      </c>
      <c r="D332" s="183" t="s">
        <v>721</v>
      </c>
      <c r="E332" s="184"/>
      <c r="F332" s="184"/>
      <c r="G332" s="184"/>
      <c r="H332" s="184"/>
      <c r="I332" s="184"/>
      <c r="J332" s="184"/>
      <c r="K332" s="184"/>
      <c r="L332" s="193"/>
      <c r="M332" s="1005" t="s">
        <v>722</v>
      </c>
      <c r="N332" s="1005"/>
      <c r="O332" s="1005"/>
      <c r="P332" s="1005"/>
      <c r="Q332" s="1005"/>
      <c r="R332" s="1005"/>
      <c r="S332" s="1005"/>
      <c r="T332" s="1005"/>
      <c r="U332" s="1005"/>
      <c r="V332" s="1005"/>
      <c r="W332" s="1005"/>
      <c r="X332" s="1005"/>
      <c r="Y332" s="1005"/>
      <c r="Z332" s="1005"/>
      <c r="AA332" s="1005"/>
      <c r="AB332" s="1005"/>
      <c r="AC332" s="1005"/>
      <c r="AD332" s="1005"/>
      <c r="AE332" s="1005"/>
      <c r="AF332" s="1005"/>
      <c r="AG332" s="1005"/>
      <c r="AH332" s="1005"/>
      <c r="AI332" s="1005"/>
      <c r="AJ332" s="1005"/>
      <c r="AK332" s="1005"/>
      <c r="AL332" s="1005"/>
      <c r="AM332" s="1005"/>
      <c r="AN332" s="1005"/>
      <c r="AO332" s="1005"/>
      <c r="AP332" s="1005"/>
      <c r="AQ332" s="1005"/>
      <c r="AR332" s="1005"/>
      <c r="AS332" s="1005"/>
      <c r="AT332" s="1005"/>
      <c r="AU332" s="1005"/>
      <c r="AV332" s="1005"/>
      <c r="AW332" s="1005"/>
      <c r="AX332" s="1005"/>
      <c r="AY332" s="1005"/>
      <c r="AZ332" s="1005"/>
      <c r="BA332" s="1005"/>
      <c r="BB332" s="1005"/>
      <c r="BC332" s="1005"/>
      <c r="BD332" s="1005"/>
      <c r="BE332" s="204"/>
      <c r="BF332" s="205" t="s">
        <v>462</v>
      </c>
      <c r="BG332" s="204"/>
      <c r="BH332" s="204" t="s">
        <v>407</v>
      </c>
      <c r="BI332" s="205" t="s">
        <v>408</v>
      </c>
      <c r="BJ332" s="204"/>
      <c r="BK332" s="206"/>
    </row>
    <row r="333" spans="1:63" s="164" customFormat="1" ht="48" customHeight="1">
      <c r="A333" s="185"/>
      <c r="B333" s="193"/>
      <c r="C333" s="251" t="s">
        <v>411</v>
      </c>
      <c r="D333" s="183" t="s">
        <v>723</v>
      </c>
      <c r="E333" s="184"/>
      <c r="F333" s="184"/>
      <c r="G333" s="184"/>
      <c r="H333" s="184"/>
      <c r="I333" s="184"/>
      <c r="J333" s="184"/>
      <c r="K333" s="184"/>
      <c r="L333" s="193"/>
      <c r="M333" s="1005" t="s">
        <v>724</v>
      </c>
      <c r="N333" s="1005"/>
      <c r="O333" s="1005"/>
      <c r="P333" s="1005"/>
      <c r="Q333" s="1005"/>
      <c r="R333" s="1005"/>
      <c r="S333" s="1005"/>
      <c r="T333" s="1005"/>
      <c r="U333" s="1005"/>
      <c r="V333" s="1005"/>
      <c r="W333" s="1005"/>
      <c r="X333" s="1005"/>
      <c r="Y333" s="1005"/>
      <c r="Z333" s="1005"/>
      <c r="AA333" s="1005"/>
      <c r="AB333" s="1005"/>
      <c r="AC333" s="1005"/>
      <c r="AD333" s="1005"/>
      <c r="AE333" s="1005"/>
      <c r="AF333" s="1005"/>
      <c r="AG333" s="1005"/>
      <c r="AH333" s="1005"/>
      <c r="AI333" s="1005"/>
      <c r="AJ333" s="1005"/>
      <c r="AK333" s="1005"/>
      <c r="AL333" s="1005"/>
      <c r="AM333" s="1005"/>
      <c r="AN333" s="1005"/>
      <c r="AO333" s="1005"/>
      <c r="AP333" s="1005"/>
      <c r="AQ333" s="1005"/>
      <c r="AR333" s="1005"/>
      <c r="AS333" s="1005"/>
      <c r="AT333" s="1005"/>
      <c r="AU333" s="1005"/>
      <c r="AV333" s="1005"/>
      <c r="AW333" s="1005"/>
      <c r="AX333" s="1005"/>
      <c r="AY333" s="1005"/>
      <c r="AZ333" s="1005"/>
      <c r="BA333" s="1005"/>
      <c r="BB333" s="1005"/>
      <c r="BC333" s="1005"/>
      <c r="BD333" s="1005"/>
      <c r="BE333" s="204"/>
      <c r="BF333" s="205" t="s">
        <v>419</v>
      </c>
      <c r="BG333" s="204"/>
      <c r="BH333" s="204" t="s">
        <v>407</v>
      </c>
      <c r="BI333" s="205" t="s">
        <v>408</v>
      </c>
      <c r="BJ333" s="204"/>
      <c r="BK333" s="206"/>
    </row>
    <row r="334" spans="1:63" s="164" customFormat="1" ht="15.75" customHeight="1">
      <c r="A334" s="185"/>
      <c r="B334" s="193"/>
      <c r="C334" s="251" t="s">
        <v>411</v>
      </c>
      <c r="D334" s="183" t="s">
        <v>523</v>
      </c>
      <c r="E334" s="184"/>
      <c r="F334" s="184"/>
      <c r="G334" s="184"/>
      <c r="H334" s="184"/>
      <c r="I334" s="184"/>
      <c r="J334" s="184"/>
      <c r="K334" s="184"/>
      <c r="L334" s="193"/>
      <c r="M334" s="1003"/>
      <c r="N334" s="1002"/>
      <c r="O334" s="1002"/>
      <c r="P334" s="1002"/>
      <c r="Q334" s="1002"/>
      <c r="R334" s="1002"/>
      <c r="S334" s="1002"/>
      <c r="T334" s="1002"/>
      <c r="U334" s="1002"/>
      <c r="V334" s="1002"/>
      <c r="W334" s="1002"/>
      <c r="X334" s="1002"/>
      <c r="Y334" s="1002"/>
      <c r="Z334" s="1002"/>
      <c r="AA334" s="1002"/>
      <c r="AB334" s="1002"/>
      <c r="AC334" s="1002"/>
      <c r="AD334" s="1002"/>
      <c r="AE334" s="1002"/>
      <c r="AF334" s="1002"/>
      <c r="AG334" s="1002"/>
      <c r="AH334" s="1002"/>
      <c r="AI334" s="1002"/>
      <c r="AJ334" s="1002"/>
      <c r="AK334" s="1002"/>
      <c r="AL334" s="1002"/>
      <c r="AM334" s="1002"/>
      <c r="AN334" s="1002"/>
      <c r="AO334" s="1002"/>
      <c r="AP334" s="1002"/>
      <c r="AQ334" s="1002"/>
      <c r="AR334" s="1002"/>
      <c r="AS334" s="1002"/>
      <c r="AT334" s="1002"/>
      <c r="AU334" s="1002"/>
      <c r="AV334" s="1002"/>
      <c r="AW334" s="1002"/>
      <c r="AX334" s="1002"/>
      <c r="AY334" s="1002"/>
      <c r="AZ334" s="1002"/>
      <c r="BA334" s="1002"/>
      <c r="BB334" s="1002"/>
      <c r="BC334" s="1002"/>
      <c r="BD334" s="1002"/>
      <c r="BE334" s="205" t="s">
        <v>489</v>
      </c>
      <c r="BF334" s="205" t="s">
        <v>487</v>
      </c>
      <c r="BG334" s="204"/>
      <c r="BH334" s="204" t="s">
        <v>407</v>
      </c>
      <c r="BI334" s="205" t="s">
        <v>408</v>
      </c>
      <c r="BJ334" s="204"/>
      <c r="BK334" s="206"/>
    </row>
    <row r="335" spans="1:63" s="164" customFormat="1" ht="15.75" customHeight="1">
      <c r="A335" s="185"/>
      <c r="B335" s="193"/>
      <c r="C335" s="184"/>
      <c r="D335" s="183" t="s">
        <v>524</v>
      </c>
      <c r="E335" s="184"/>
      <c r="F335" s="184"/>
      <c r="G335" s="184"/>
      <c r="H335" s="184"/>
      <c r="I335" s="184"/>
      <c r="J335" s="184"/>
      <c r="K335" s="184"/>
      <c r="L335" s="193"/>
      <c r="M335" s="1003"/>
      <c r="N335" s="1002"/>
      <c r="O335" s="1002"/>
      <c r="P335" s="1002"/>
      <c r="Q335" s="1002"/>
      <c r="R335" s="1002"/>
      <c r="S335" s="1002"/>
      <c r="T335" s="1002"/>
      <c r="U335" s="1002"/>
      <c r="V335" s="1002"/>
      <c r="W335" s="1002"/>
      <c r="X335" s="1002"/>
      <c r="Y335" s="1002"/>
      <c r="Z335" s="1002"/>
      <c r="AA335" s="1002"/>
      <c r="AB335" s="1002"/>
      <c r="AC335" s="1002"/>
      <c r="AD335" s="1002"/>
      <c r="AE335" s="1002"/>
      <c r="AF335" s="1002"/>
      <c r="AG335" s="1002"/>
      <c r="AH335" s="1002"/>
      <c r="AI335" s="1002"/>
      <c r="AJ335" s="1002"/>
      <c r="AK335" s="1002"/>
      <c r="AL335" s="1002"/>
      <c r="AM335" s="1002"/>
      <c r="AN335" s="1002"/>
      <c r="AO335" s="1002"/>
      <c r="AP335" s="1002"/>
      <c r="AQ335" s="1002"/>
      <c r="AR335" s="1002"/>
      <c r="AS335" s="1002"/>
      <c r="AT335" s="1002"/>
      <c r="AU335" s="1002"/>
      <c r="AV335" s="1002"/>
      <c r="AW335" s="1002"/>
      <c r="AX335" s="1002"/>
      <c r="AY335" s="1002"/>
      <c r="AZ335" s="1002"/>
      <c r="BA335" s="1002"/>
      <c r="BB335" s="1002"/>
      <c r="BC335" s="1002"/>
      <c r="BD335" s="1002"/>
      <c r="BE335" s="204"/>
      <c r="BF335" s="205" t="s">
        <v>487</v>
      </c>
      <c r="BG335" s="204"/>
      <c r="BH335" s="204" t="s">
        <v>407</v>
      </c>
      <c r="BI335" s="204"/>
      <c r="BJ335" s="204"/>
      <c r="BK335" s="206"/>
    </row>
    <row r="336" spans="1:63" s="164" customFormat="1" ht="15.75" customHeight="1">
      <c r="A336" s="185"/>
      <c r="B336" s="193"/>
      <c r="C336" s="251" t="s">
        <v>411</v>
      </c>
      <c r="D336" s="183" t="s">
        <v>525</v>
      </c>
      <c r="E336" s="184"/>
      <c r="F336" s="184"/>
      <c r="G336" s="184"/>
      <c r="H336" s="184"/>
      <c r="I336" s="184"/>
      <c r="J336" s="184"/>
      <c r="K336" s="184"/>
      <c r="L336" s="193"/>
      <c r="M336" s="1003"/>
      <c r="N336" s="1002"/>
      <c r="O336" s="1002"/>
      <c r="P336" s="1002"/>
      <c r="Q336" s="1002"/>
      <c r="R336" s="1002"/>
      <c r="S336" s="1002"/>
      <c r="T336" s="1002"/>
      <c r="U336" s="1002"/>
      <c r="V336" s="1002"/>
      <c r="W336" s="1002"/>
      <c r="X336" s="1002"/>
      <c r="Y336" s="1002"/>
      <c r="Z336" s="1002"/>
      <c r="AA336" s="1002"/>
      <c r="AB336" s="1002"/>
      <c r="AC336" s="1002"/>
      <c r="AD336" s="1002"/>
      <c r="AE336" s="1002"/>
      <c r="AF336" s="1002"/>
      <c r="AG336" s="1002"/>
      <c r="AH336" s="1002"/>
      <c r="AI336" s="1002"/>
      <c r="AJ336" s="1002"/>
      <c r="AK336" s="1002"/>
      <c r="AL336" s="1002"/>
      <c r="AM336" s="1002"/>
      <c r="AN336" s="1002"/>
      <c r="AO336" s="1002"/>
      <c r="AP336" s="1002"/>
      <c r="AQ336" s="1002"/>
      <c r="AR336" s="1002"/>
      <c r="AS336" s="1002"/>
      <c r="AT336" s="1002"/>
      <c r="AU336" s="1002"/>
      <c r="AV336" s="1002"/>
      <c r="AW336" s="1002"/>
      <c r="AX336" s="1002"/>
      <c r="AY336" s="1002"/>
      <c r="AZ336" s="1002"/>
      <c r="BA336" s="1002"/>
      <c r="BB336" s="1002"/>
      <c r="BC336" s="1002"/>
      <c r="BD336" s="1002"/>
      <c r="BE336" s="205" t="s">
        <v>486</v>
      </c>
      <c r="BF336" s="205" t="s">
        <v>487</v>
      </c>
      <c r="BG336" s="204"/>
      <c r="BH336" s="204" t="s">
        <v>407</v>
      </c>
      <c r="BI336" s="205" t="s">
        <v>408</v>
      </c>
      <c r="BJ336" s="204"/>
      <c r="BK336" s="206"/>
    </row>
    <row r="337" spans="1:63" s="164" customFormat="1" ht="15.75" customHeight="1">
      <c r="A337" s="185"/>
      <c r="B337" s="193"/>
      <c r="C337" s="184"/>
      <c r="D337" s="183" t="s">
        <v>526</v>
      </c>
      <c r="E337" s="184"/>
      <c r="F337" s="184"/>
      <c r="G337" s="184"/>
      <c r="H337" s="184"/>
      <c r="I337" s="184"/>
      <c r="J337" s="184"/>
      <c r="K337" s="184"/>
      <c r="L337" s="193"/>
      <c r="M337" s="1003"/>
      <c r="N337" s="1002"/>
      <c r="O337" s="1002"/>
      <c r="P337" s="1002"/>
      <c r="Q337" s="1002"/>
      <c r="R337" s="1002"/>
      <c r="S337" s="1002"/>
      <c r="T337" s="1002"/>
      <c r="U337" s="1002"/>
      <c r="V337" s="1002"/>
      <c r="W337" s="1002"/>
      <c r="X337" s="1002"/>
      <c r="Y337" s="1002"/>
      <c r="Z337" s="1002"/>
      <c r="AA337" s="1002"/>
      <c r="AB337" s="1002"/>
      <c r="AC337" s="1002"/>
      <c r="AD337" s="1002"/>
      <c r="AE337" s="1002"/>
      <c r="AF337" s="1002"/>
      <c r="AG337" s="1002"/>
      <c r="AH337" s="1002"/>
      <c r="AI337" s="1002"/>
      <c r="AJ337" s="1002"/>
      <c r="AK337" s="1002"/>
      <c r="AL337" s="1002"/>
      <c r="AM337" s="1002"/>
      <c r="AN337" s="1002"/>
      <c r="AO337" s="1002"/>
      <c r="AP337" s="1002"/>
      <c r="AQ337" s="1002"/>
      <c r="AR337" s="1002"/>
      <c r="AS337" s="1002"/>
      <c r="AT337" s="1002"/>
      <c r="AU337" s="1002"/>
      <c r="AV337" s="1002"/>
      <c r="AW337" s="1002"/>
      <c r="AX337" s="1002"/>
      <c r="AY337" s="1002"/>
      <c r="AZ337" s="1002"/>
      <c r="BA337" s="1002"/>
      <c r="BB337" s="1002"/>
      <c r="BC337" s="1002"/>
      <c r="BD337" s="1002"/>
      <c r="BE337" s="204"/>
      <c r="BF337" s="205" t="s">
        <v>487</v>
      </c>
      <c r="BG337" s="204"/>
      <c r="BH337" s="204" t="s">
        <v>407</v>
      </c>
      <c r="BI337" s="204"/>
      <c r="BJ337" s="204"/>
      <c r="BK337" s="206"/>
    </row>
    <row r="338" spans="1:63" s="164" customFormat="1" ht="15.75" customHeight="1">
      <c r="A338" s="185"/>
      <c r="B338" s="193"/>
      <c r="C338" s="184"/>
      <c r="D338" s="183" t="s">
        <v>527</v>
      </c>
      <c r="E338" s="184"/>
      <c r="F338" s="184"/>
      <c r="G338" s="184"/>
      <c r="H338" s="184"/>
      <c r="I338" s="184"/>
      <c r="J338" s="184"/>
      <c r="K338" s="184"/>
      <c r="L338" s="193"/>
      <c r="M338" s="1003"/>
      <c r="N338" s="1002"/>
      <c r="O338" s="1002"/>
      <c r="P338" s="1002"/>
      <c r="Q338" s="1002"/>
      <c r="R338" s="1002"/>
      <c r="S338" s="1002"/>
      <c r="T338" s="1002"/>
      <c r="U338" s="1002"/>
      <c r="V338" s="1002"/>
      <c r="W338" s="1002"/>
      <c r="X338" s="1002"/>
      <c r="Y338" s="1002"/>
      <c r="Z338" s="1002"/>
      <c r="AA338" s="1002"/>
      <c r="AB338" s="1002"/>
      <c r="AC338" s="1002"/>
      <c r="AD338" s="1002"/>
      <c r="AE338" s="1002"/>
      <c r="AF338" s="1002"/>
      <c r="AG338" s="1002"/>
      <c r="AH338" s="1002"/>
      <c r="AI338" s="1002"/>
      <c r="AJ338" s="1002"/>
      <c r="AK338" s="1002"/>
      <c r="AL338" s="1002"/>
      <c r="AM338" s="1002"/>
      <c r="AN338" s="1002"/>
      <c r="AO338" s="1002"/>
      <c r="AP338" s="1002"/>
      <c r="AQ338" s="1002"/>
      <c r="AR338" s="1002"/>
      <c r="AS338" s="1002"/>
      <c r="AT338" s="1002"/>
      <c r="AU338" s="1002"/>
      <c r="AV338" s="1002"/>
      <c r="AW338" s="1002"/>
      <c r="AX338" s="1002"/>
      <c r="AY338" s="1002"/>
      <c r="AZ338" s="1002"/>
      <c r="BA338" s="1002"/>
      <c r="BB338" s="1002"/>
      <c r="BC338" s="1002"/>
      <c r="BD338" s="1002"/>
      <c r="BE338" s="204"/>
      <c r="BF338" s="205" t="s">
        <v>487</v>
      </c>
      <c r="BG338" s="204"/>
      <c r="BH338" s="204" t="s">
        <v>407</v>
      </c>
      <c r="BI338" s="204"/>
      <c r="BJ338" s="204"/>
      <c r="BK338" s="206"/>
    </row>
    <row r="339" spans="1:63" s="164" customFormat="1" ht="15.75" customHeight="1">
      <c r="A339" s="185"/>
      <c r="B339" s="193"/>
      <c r="C339" s="184"/>
      <c r="D339" s="183" t="s">
        <v>528</v>
      </c>
      <c r="E339" s="184"/>
      <c r="F339" s="184"/>
      <c r="G339" s="184"/>
      <c r="H339" s="184"/>
      <c r="I339" s="184"/>
      <c r="J339" s="184"/>
      <c r="K339" s="184"/>
      <c r="L339" s="193"/>
      <c r="M339" s="1003"/>
      <c r="N339" s="1002"/>
      <c r="O339" s="1002"/>
      <c r="P339" s="1002"/>
      <c r="Q339" s="1002"/>
      <c r="R339" s="1002"/>
      <c r="S339" s="1002"/>
      <c r="T339" s="1002"/>
      <c r="U339" s="1002"/>
      <c r="V339" s="1002"/>
      <c r="W339" s="1002"/>
      <c r="X339" s="1002"/>
      <c r="Y339" s="1002"/>
      <c r="Z339" s="1002"/>
      <c r="AA339" s="1002"/>
      <c r="AB339" s="1002"/>
      <c r="AC339" s="1002"/>
      <c r="AD339" s="1002"/>
      <c r="AE339" s="1002"/>
      <c r="AF339" s="1002"/>
      <c r="AG339" s="1002"/>
      <c r="AH339" s="1002"/>
      <c r="AI339" s="1002"/>
      <c r="AJ339" s="1002"/>
      <c r="AK339" s="1002"/>
      <c r="AL339" s="1002"/>
      <c r="AM339" s="1002"/>
      <c r="AN339" s="1002"/>
      <c r="AO339" s="1002"/>
      <c r="AP339" s="1002"/>
      <c r="AQ339" s="1002"/>
      <c r="AR339" s="1002"/>
      <c r="AS339" s="1002"/>
      <c r="AT339" s="1002"/>
      <c r="AU339" s="1002"/>
      <c r="AV339" s="1002"/>
      <c r="AW339" s="1002"/>
      <c r="AX339" s="1002"/>
      <c r="AY339" s="1002"/>
      <c r="AZ339" s="1002"/>
      <c r="BA339" s="1002"/>
      <c r="BB339" s="1002"/>
      <c r="BC339" s="1002"/>
      <c r="BD339" s="1002"/>
      <c r="BE339" s="204"/>
      <c r="BF339" s="205" t="s">
        <v>487</v>
      </c>
      <c r="BG339" s="204"/>
      <c r="BH339" s="204" t="s">
        <v>407</v>
      </c>
      <c r="BI339" s="204"/>
      <c r="BJ339" s="204"/>
      <c r="BK339" s="206"/>
    </row>
    <row r="340" spans="1:63" s="164" customFormat="1" ht="15.75" customHeight="1">
      <c r="A340" s="185"/>
      <c r="B340" s="193"/>
      <c r="C340" s="251" t="s">
        <v>411</v>
      </c>
      <c r="D340" s="183" t="s">
        <v>529</v>
      </c>
      <c r="E340" s="184"/>
      <c r="F340" s="184"/>
      <c r="G340" s="184"/>
      <c r="H340" s="184"/>
      <c r="I340" s="184"/>
      <c r="J340" s="184"/>
      <c r="K340" s="184"/>
      <c r="L340" s="193"/>
      <c r="M340" s="1003"/>
      <c r="N340" s="1002"/>
      <c r="O340" s="1002"/>
      <c r="P340" s="1002"/>
      <c r="Q340" s="1002"/>
      <c r="R340" s="1002"/>
      <c r="S340" s="1002"/>
      <c r="T340" s="1002"/>
      <c r="U340" s="1002"/>
      <c r="V340" s="1002"/>
      <c r="W340" s="1002"/>
      <c r="X340" s="1002"/>
      <c r="Y340" s="1002"/>
      <c r="Z340" s="1002"/>
      <c r="AA340" s="1002"/>
      <c r="AB340" s="1002"/>
      <c r="AC340" s="1002"/>
      <c r="AD340" s="1002"/>
      <c r="AE340" s="1002"/>
      <c r="AF340" s="1002"/>
      <c r="AG340" s="1002"/>
      <c r="AH340" s="1002"/>
      <c r="AI340" s="1002"/>
      <c r="AJ340" s="1002"/>
      <c r="AK340" s="1002"/>
      <c r="AL340" s="1002"/>
      <c r="AM340" s="1002"/>
      <c r="AN340" s="1002"/>
      <c r="AO340" s="1002"/>
      <c r="AP340" s="1002"/>
      <c r="AQ340" s="1002"/>
      <c r="AR340" s="1002"/>
      <c r="AS340" s="1002"/>
      <c r="AT340" s="1002"/>
      <c r="AU340" s="1002"/>
      <c r="AV340" s="1002"/>
      <c r="AW340" s="1002"/>
      <c r="AX340" s="1002"/>
      <c r="AY340" s="1002"/>
      <c r="AZ340" s="1002"/>
      <c r="BA340" s="1002"/>
      <c r="BB340" s="1002"/>
      <c r="BC340" s="1002"/>
      <c r="BD340" s="1002"/>
      <c r="BE340" s="205" t="s">
        <v>489</v>
      </c>
      <c r="BF340" s="205" t="s">
        <v>487</v>
      </c>
      <c r="BG340" s="204"/>
      <c r="BH340" s="204" t="s">
        <v>407</v>
      </c>
      <c r="BI340" s="205" t="s">
        <v>408</v>
      </c>
      <c r="BJ340" s="204"/>
      <c r="BK340" s="206"/>
    </row>
    <row r="341" spans="1:63" s="164" customFormat="1" ht="15.75" customHeight="1">
      <c r="A341" s="185"/>
      <c r="B341" s="193"/>
      <c r="C341" s="184"/>
      <c r="D341" s="183" t="s">
        <v>530</v>
      </c>
      <c r="E341" s="184"/>
      <c r="F341" s="184"/>
      <c r="G341" s="184"/>
      <c r="H341" s="184"/>
      <c r="I341" s="184"/>
      <c r="J341" s="184"/>
      <c r="K341" s="184"/>
      <c r="L341" s="193"/>
      <c r="M341" s="1003"/>
      <c r="N341" s="1002"/>
      <c r="O341" s="1002"/>
      <c r="P341" s="1002"/>
      <c r="Q341" s="1002"/>
      <c r="R341" s="1002"/>
      <c r="S341" s="1002"/>
      <c r="T341" s="1002"/>
      <c r="U341" s="1002"/>
      <c r="V341" s="1002"/>
      <c r="W341" s="1002"/>
      <c r="X341" s="1002"/>
      <c r="Y341" s="1002"/>
      <c r="Z341" s="1002"/>
      <c r="AA341" s="1002"/>
      <c r="AB341" s="1002"/>
      <c r="AC341" s="1002"/>
      <c r="AD341" s="1002"/>
      <c r="AE341" s="1002"/>
      <c r="AF341" s="1002"/>
      <c r="AG341" s="1002"/>
      <c r="AH341" s="1002"/>
      <c r="AI341" s="1002"/>
      <c r="AJ341" s="1002"/>
      <c r="AK341" s="1002"/>
      <c r="AL341" s="1002"/>
      <c r="AM341" s="1002"/>
      <c r="AN341" s="1002"/>
      <c r="AO341" s="1002"/>
      <c r="AP341" s="1002"/>
      <c r="AQ341" s="1002"/>
      <c r="AR341" s="1002"/>
      <c r="AS341" s="1002"/>
      <c r="AT341" s="1002"/>
      <c r="AU341" s="1002"/>
      <c r="AV341" s="1002"/>
      <c r="AW341" s="1002"/>
      <c r="AX341" s="1002"/>
      <c r="AY341" s="1002"/>
      <c r="AZ341" s="1002"/>
      <c r="BA341" s="1002"/>
      <c r="BB341" s="1002"/>
      <c r="BC341" s="1002"/>
      <c r="BD341" s="1002"/>
      <c r="BE341" s="204"/>
      <c r="BF341" s="205" t="s">
        <v>487</v>
      </c>
      <c r="BG341" s="204"/>
      <c r="BH341" s="204" t="s">
        <v>407</v>
      </c>
      <c r="BI341" s="204"/>
      <c r="BJ341" s="204"/>
      <c r="BK341" s="206"/>
    </row>
    <row r="342" spans="1:63" s="164" customFormat="1" ht="15.75" customHeight="1">
      <c r="A342" s="185"/>
      <c r="B342" s="193"/>
      <c r="C342" s="184"/>
      <c r="D342" s="183" t="s">
        <v>502</v>
      </c>
      <c r="E342" s="184"/>
      <c r="F342" s="184"/>
      <c r="G342" s="184"/>
      <c r="H342" s="184"/>
      <c r="I342" s="184"/>
      <c r="J342" s="184"/>
      <c r="K342" s="184"/>
      <c r="L342" s="193"/>
      <c r="M342" s="1003"/>
      <c r="N342" s="1002"/>
      <c r="O342" s="1002"/>
      <c r="P342" s="1002"/>
      <c r="Q342" s="1002"/>
      <c r="R342" s="1002"/>
      <c r="S342" s="1002"/>
      <c r="T342" s="1002"/>
      <c r="U342" s="1002"/>
      <c r="V342" s="1002"/>
      <c r="W342" s="1002"/>
      <c r="X342" s="1002"/>
      <c r="Y342" s="1002"/>
      <c r="Z342" s="1002"/>
      <c r="AA342" s="1002"/>
      <c r="AB342" s="1002"/>
      <c r="AC342" s="1002"/>
      <c r="AD342" s="1002"/>
      <c r="AE342" s="1002"/>
      <c r="AF342" s="1002"/>
      <c r="AG342" s="1002"/>
      <c r="AH342" s="1002"/>
      <c r="AI342" s="1002"/>
      <c r="AJ342" s="1002"/>
      <c r="AK342" s="1002"/>
      <c r="AL342" s="1002"/>
      <c r="AM342" s="1002"/>
      <c r="AN342" s="1002"/>
      <c r="AO342" s="1002"/>
      <c r="AP342" s="1002"/>
      <c r="AQ342" s="1002"/>
      <c r="AR342" s="1002"/>
      <c r="AS342" s="1002"/>
      <c r="AT342" s="1002"/>
      <c r="AU342" s="1002"/>
      <c r="AV342" s="1002"/>
      <c r="AW342" s="1002"/>
      <c r="AX342" s="1002"/>
      <c r="AY342" s="1002"/>
      <c r="AZ342" s="1002"/>
      <c r="BA342" s="1002"/>
      <c r="BB342" s="1002"/>
      <c r="BC342" s="1002"/>
      <c r="BD342" s="1002"/>
      <c r="BE342" s="204"/>
      <c r="BF342" s="205" t="s">
        <v>487</v>
      </c>
      <c r="BG342" s="204"/>
      <c r="BH342" s="204" t="s">
        <v>407</v>
      </c>
      <c r="BI342" s="204"/>
      <c r="BJ342" s="204"/>
      <c r="BK342" s="206"/>
    </row>
    <row r="343" spans="1:63" s="164" customFormat="1" ht="15.75" customHeight="1">
      <c r="A343" s="185"/>
      <c r="B343" s="193"/>
      <c r="C343" s="184"/>
      <c r="D343" s="183" t="s">
        <v>503</v>
      </c>
      <c r="E343" s="184"/>
      <c r="F343" s="184"/>
      <c r="G343" s="184"/>
      <c r="H343" s="184"/>
      <c r="I343" s="184"/>
      <c r="J343" s="184"/>
      <c r="K343" s="184"/>
      <c r="L343" s="193"/>
      <c r="M343" s="1003"/>
      <c r="N343" s="1002"/>
      <c r="O343" s="1002"/>
      <c r="P343" s="1002"/>
      <c r="Q343" s="1002"/>
      <c r="R343" s="1002"/>
      <c r="S343" s="1002"/>
      <c r="T343" s="1002"/>
      <c r="U343" s="1002"/>
      <c r="V343" s="1002"/>
      <c r="W343" s="1002"/>
      <c r="X343" s="1002"/>
      <c r="Y343" s="1002"/>
      <c r="Z343" s="1002"/>
      <c r="AA343" s="1002"/>
      <c r="AB343" s="1002"/>
      <c r="AC343" s="1002"/>
      <c r="AD343" s="1002"/>
      <c r="AE343" s="1002"/>
      <c r="AF343" s="1002"/>
      <c r="AG343" s="1002"/>
      <c r="AH343" s="1002"/>
      <c r="AI343" s="1002"/>
      <c r="AJ343" s="1002"/>
      <c r="AK343" s="1002"/>
      <c r="AL343" s="1002"/>
      <c r="AM343" s="1002"/>
      <c r="AN343" s="1002"/>
      <c r="AO343" s="1002"/>
      <c r="AP343" s="1002"/>
      <c r="AQ343" s="1002"/>
      <c r="AR343" s="1002"/>
      <c r="AS343" s="1002"/>
      <c r="AT343" s="1002"/>
      <c r="AU343" s="1002"/>
      <c r="AV343" s="1002"/>
      <c r="AW343" s="1002"/>
      <c r="AX343" s="1002"/>
      <c r="AY343" s="1002"/>
      <c r="AZ343" s="1002"/>
      <c r="BA343" s="1002"/>
      <c r="BB343" s="1002"/>
      <c r="BC343" s="1002"/>
      <c r="BD343" s="1002"/>
      <c r="BE343" s="204"/>
      <c r="BF343" s="205" t="s">
        <v>487</v>
      </c>
      <c r="BG343" s="204"/>
      <c r="BH343" s="204" t="s">
        <v>407</v>
      </c>
      <c r="BI343" s="204"/>
      <c r="BJ343" s="204"/>
      <c r="BK343" s="206"/>
    </row>
    <row r="344" spans="1:63" s="164" customFormat="1" ht="15.75" customHeight="1">
      <c r="A344" s="185"/>
      <c r="B344" s="193"/>
      <c r="C344" s="184"/>
      <c r="D344" s="183" t="s">
        <v>725</v>
      </c>
      <c r="E344" s="184"/>
      <c r="F344" s="184"/>
      <c r="G344" s="184"/>
      <c r="H344" s="184"/>
      <c r="I344" s="184"/>
      <c r="J344" s="184"/>
      <c r="K344" s="184"/>
      <c r="L344" s="193"/>
      <c r="M344" s="1005" t="s">
        <v>726</v>
      </c>
      <c r="N344" s="1005"/>
      <c r="O344" s="1005"/>
      <c r="P344" s="1005"/>
      <c r="Q344" s="1005"/>
      <c r="R344" s="1005"/>
      <c r="S344" s="1005"/>
      <c r="T344" s="1005"/>
      <c r="U344" s="1005"/>
      <c r="V344" s="1005"/>
      <c r="W344" s="1005"/>
      <c r="X344" s="1005"/>
      <c r="Y344" s="1005"/>
      <c r="Z344" s="1005"/>
      <c r="AA344" s="1005"/>
      <c r="AB344" s="1005"/>
      <c r="AC344" s="1005"/>
      <c r="AD344" s="1005"/>
      <c r="AE344" s="1005"/>
      <c r="AF344" s="1005"/>
      <c r="AG344" s="1005"/>
      <c r="AH344" s="1005"/>
      <c r="AI344" s="1005"/>
      <c r="AJ344" s="1005"/>
      <c r="AK344" s="1005"/>
      <c r="AL344" s="1005"/>
      <c r="AM344" s="1005"/>
      <c r="AN344" s="1005"/>
      <c r="AO344" s="1005"/>
      <c r="AP344" s="1005"/>
      <c r="AQ344" s="1005"/>
      <c r="AR344" s="1005"/>
      <c r="AS344" s="1005"/>
      <c r="AT344" s="1005"/>
      <c r="AU344" s="1005"/>
      <c r="AV344" s="1005"/>
      <c r="AW344" s="1005"/>
      <c r="AX344" s="1005"/>
      <c r="AY344" s="1005"/>
      <c r="AZ344" s="1005"/>
      <c r="BA344" s="1005"/>
      <c r="BB344" s="1005"/>
      <c r="BC344" s="1005"/>
      <c r="BD344" s="1005"/>
      <c r="BE344" s="204"/>
      <c r="BF344" s="205" t="s">
        <v>419</v>
      </c>
      <c r="BG344" s="204"/>
      <c r="BH344" s="204" t="s">
        <v>407</v>
      </c>
      <c r="BI344" s="204"/>
      <c r="BJ344" s="204"/>
      <c r="BK344" s="206"/>
    </row>
    <row r="345" spans="1:63" s="164" customFormat="1" ht="15.75" customHeight="1">
      <c r="A345" s="185"/>
      <c r="B345" s="193"/>
      <c r="C345" s="184"/>
      <c r="D345" s="183" t="s">
        <v>727</v>
      </c>
      <c r="E345" s="184"/>
      <c r="F345" s="184"/>
      <c r="G345" s="184"/>
      <c r="H345" s="184"/>
      <c r="I345" s="184"/>
      <c r="J345" s="184"/>
      <c r="K345" s="184"/>
      <c r="L345" s="193"/>
      <c r="M345" s="1001" t="s">
        <v>668</v>
      </c>
      <c r="N345" s="1002"/>
      <c r="O345" s="1002"/>
      <c r="P345" s="1002"/>
      <c r="Q345" s="1002"/>
      <c r="R345" s="1002"/>
      <c r="S345" s="1002"/>
      <c r="T345" s="1002"/>
      <c r="U345" s="1002"/>
      <c r="V345" s="1002"/>
      <c r="W345" s="1002"/>
      <c r="X345" s="1002"/>
      <c r="Y345" s="1002"/>
      <c r="Z345" s="1002"/>
      <c r="AA345" s="1002"/>
      <c r="AB345" s="1002"/>
      <c r="AC345" s="1002"/>
      <c r="AD345" s="1002"/>
      <c r="AE345" s="1002"/>
      <c r="AF345" s="1002"/>
      <c r="AG345" s="1002"/>
      <c r="AH345" s="1002"/>
      <c r="AI345" s="1002"/>
      <c r="AJ345" s="1002"/>
      <c r="AK345" s="1002"/>
      <c r="AL345" s="1002"/>
      <c r="AM345" s="1002"/>
      <c r="AN345" s="1002"/>
      <c r="AO345" s="1002"/>
      <c r="AP345" s="1002"/>
      <c r="AQ345" s="1002"/>
      <c r="AR345" s="1002"/>
      <c r="AS345" s="1002"/>
      <c r="AT345" s="1002"/>
      <c r="AU345" s="1002"/>
      <c r="AV345" s="1002"/>
      <c r="AW345" s="1002"/>
      <c r="AX345" s="1002"/>
      <c r="AY345" s="1002"/>
      <c r="AZ345" s="1002"/>
      <c r="BA345" s="1002"/>
      <c r="BB345" s="1002"/>
      <c r="BC345" s="1002"/>
      <c r="BD345" s="1002"/>
      <c r="BE345" s="204"/>
      <c r="BF345" s="205" t="s">
        <v>642</v>
      </c>
      <c r="BG345" s="204"/>
      <c r="BH345" s="204"/>
      <c r="BI345" s="204"/>
      <c r="BJ345" s="204"/>
      <c r="BK345" s="206"/>
    </row>
    <row r="346" spans="1:63" s="164" customFormat="1" ht="15.75" customHeight="1">
      <c r="A346" s="185"/>
      <c r="B346" s="193"/>
      <c r="C346" s="184"/>
      <c r="D346" s="183" t="s">
        <v>728</v>
      </c>
      <c r="E346" s="184"/>
      <c r="F346" s="184"/>
      <c r="G346" s="184"/>
      <c r="H346" s="184"/>
      <c r="I346" s="184"/>
      <c r="J346" s="184"/>
      <c r="K346" s="184"/>
      <c r="L346" s="193"/>
      <c r="M346" s="1003"/>
      <c r="N346" s="1002"/>
      <c r="O346" s="1002"/>
      <c r="P346" s="1002"/>
      <c r="Q346" s="1002"/>
      <c r="R346" s="1002"/>
      <c r="S346" s="1002"/>
      <c r="T346" s="1002"/>
      <c r="U346" s="1002"/>
      <c r="V346" s="1002"/>
      <c r="W346" s="1002"/>
      <c r="X346" s="1002"/>
      <c r="Y346" s="1002"/>
      <c r="Z346" s="1002"/>
      <c r="AA346" s="1002"/>
      <c r="AB346" s="1002"/>
      <c r="AC346" s="1002"/>
      <c r="AD346" s="1002"/>
      <c r="AE346" s="1002"/>
      <c r="AF346" s="1002"/>
      <c r="AG346" s="1002"/>
      <c r="AH346" s="1002"/>
      <c r="AI346" s="1002"/>
      <c r="AJ346" s="1002"/>
      <c r="AK346" s="1002"/>
      <c r="AL346" s="1002"/>
      <c r="AM346" s="1002"/>
      <c r="AN346" s="1002"/>
      <c r="AO346" s="1002"/>
      <c r="AP346" s="1002"/>
      <c r="AQ346" s="1002"/>
      <c r="AR346" s="1002"/>
      <c r="AS346" s="1002"/>
      <c r="AT346" s="1002"/>
      <c r="AU346" s="1002"/>
      <c r="AV346" s="1002"/>
      <c r="AW346" s="1002"/>
      <c r="AX346" s="1002"/>
      <c r="AY346" s="1002"/>
      <c r="AZ346" s="1002"/>
      <c r="BA346" s="1002"/>
      <c r="BB346" s="1002"/>
      <c r="BC346" s="1002"/>
      <c r="BD346" s="1002"/>
      <c r="BE346" s="204"/>
      <c r="BF346" s="205" t="s">
        <v>487</v>
      </c>
      <c r="BG346" s="204"/>
      <c r="BH346" s="204" t="s">
        <v>407</v>
      </c>
      <c r="BI346" s="204"/>
      <c r="BJ346" s="205" t="s">
        <v>409</v>
      </c>
      <c r="BK346" s="206"/>
    </row>
    <row r="347" spans="1:63" s="164" customFormat="1" ht="15.75" customHeight="1">
      <c r="A347" s="185"/>
      <c r="B347" s="193"/>
      <c r="C347" s="184"/>
      <c r="D347" s="183" t="s">
        <v>729</v>
      </c>
      <c r="E347" s="184"/>
      <c r="F347" s="184"/>
      <c r="G347" s="184"/>
      <c r="H347" s="184"/>
      <c r="I347" s="184"/>
      <c r="J347" s="184"/>
      <c r="K347" s="184"/>
      <c r="L347" s="193"/>
      <c r="M347" s="1003"/>
      <c r="N347" s="1002"/>
      <c r="O347" s="1002"/>
      <c r="P347" s="1002"/>
      <c r="Q347" s="1002"/>
      <c r="R347" s="1002"/>
      <c r="S347" s="1002"/>
      <c r="T347" s="1002"/>
      <c r="U347" s="1002"/>
      <c r="V347" s="1002"/>
      <c r="W347" s="1002"/>
      <c r="X347" s="1002"/>
      <c r="Y347" s="1002"/>
      <c r="Z347" s="1002"/>
      <c r="AA347" s="1002"/>
      <c r="AB347" s="1002"/>
      <c r="AC347" s="1002"/>
      <c r="AD347" s="1002"/>
      <c r="AE347" s="1002"/>
      <c r="AF347" s="1002"/>
      <c r="AG347" s="1002"/>
      <c r="AH347" s="1002"/>
      <c r="AI347" s="1002"/>
      <c r="AJ347" s="1002"/>
      <c r="AK347" s="1002"/>
      <c r="AL347" s="1002"/>
      <c r="AM347" s="1002"/>
      <c r="AN347" s="1002"/>
      <c r="AO347" s="1002"/>
      <c r="AP347" s="1002"/>
      <c r="AQ347" s="1002"/>
      <c r="AR347" s="1002"/>
      <c r="AS347" s="1002"/>
      <c r="AT347" s="1002"/>
      <c r="AU347" s="1002"/>
      <c r="AV347" s="1002"/>
      <c r="AW347" s="1002"/>
      <c r="AX347" s="1002"/>
      <c r="AY347" s="1002"/>
      <c r="AZ347" s="1002"/>
      <c r="BA347" s="1002"/>
      <c r="BB347" s="1002"/>
      <c r="BC347" s="1002"/>
      <c r="BD347" s="1002"/>
      <c r="BE347" s="204"/>
      <c r="BF347" s="205" t="s">
        <v>487</v>
      </c>
      <c r="BG347" s="204"/>
      <c r="BH347" s="204" t="s">
        <v>407</v>
      </c>
      <c r="BI347" s="204"/>
      <c r="BJ347" s="205" t="s">
        <v>409</v>
      </c>
      <c r="BK347" s="206"/>
    </row>
    <row r="348" spans="1:63" s="164" customFormat="1" ht="15.75" customHeight="1">
      <c r="A348" s="185"/>
      <c r="B348" s="193"/>
      <c r="C348" s="184"/>
      <c r="D348" s="183" t="s">
        <v>730</v>
      </c>
      <c r="E348" s="184"/>
      <c r="F348" s="184"/>
      <c r="G348" s="184"/>
      <c r="H348" s="184"/>
      <c r="I348" s="184"/>
      <c r="J348" s="184"/>
      <c r="K348" s="184"/>
      <c r="L348" s="193"/>
      <c r="M348" s="1003"/>
      <c r="N348" s="1002"/>
      <c r="O348" s="1002"/>
      <c r="P348" s="1002"/>
      <c r="Q348" s="1002"/>
      <c r="R348" s="1002"/>
      <c r="S348" s="1002"/>
      <c r="T348" s="1002"/>
      <c r="U348" s="1002"/>
      <c r="V348" s="1002"/>
      <c r="W348" s="1002"/>
      <c r="X348" s="1002"/>
      <c r="Y348" s="1002"/>
      <c r="Z348" s="1002"/>
      <c r="AA348" s="1002"/>
      <c r="AB348" s="1002"/>
      <c r="AC348" s="1002"/>
      <c r="AD348" s="1002"/>
      <c r="AE348" s="1002"/>
      <c r="AF348" s="1002"/>
      <c r="AG348" s="1002"/>
      <c r="AH348" s="1002"/>
      <c r="AI348" s="1002"/>
      <c r="AJ348" s="1002"/>
      <c r="AK348" s="1002"/>
      <c r="AL348" s="1002"/>
      <c r="AM348" s="1002"/>
      <c r="AN348" s="1002"/>
      <c r="AO348" s="1002"/>
      <c r="AP348" s="1002"/>
      <c r="AQ348" s="1002"/>
      <c r="AR348" s="1002"/>
      <c r="AS348" s="1002"/>
      <c r="AT348" s="1002"/>
      <c r="AU348" s="1002"/>
      <c r="AV348" s="1002"/>
      <c r="AW348" s="1002"/>
      <c r="AX348" s="1002"/>
      <c r="AY348" s="1002"/>
      <c r="AZ348" s="1002"/>
      <c r="BA348" s="1002"/>
      <c r="BB348" s="1002"/>
      <c r="BC348" s="1002"/>
      <c r="BD348" s="1002"/>
      <c r="BE348" s="204"/>
      <c r="BF348" s="205" t="s">
        <v>487</v>
      </c>
      <c r="BG348" s="204"/>
      <c r="BH348" s="204" t="s">
        <v>407</v>
      </c>
      <c r="BI348" s="204"/>
      <c r="BJ348" s="205" t="s">
        <v>409</v>
      </c>
      <c r="BK348" s="206"/>
    </row>
    <row r="349" spans="1:63" s="164" customFormat="1" ht="15.75" customHeight="1">
      <c r="A349" s="185"/>
      <c r="B349" s="193"/>
      <c r="C349" s="184"/>
      <c r="D349" s="183" t="s">
        <v>731</v>
      </c>
      <c r="E349" s="184"/>
      <c r="F349" s="184"/>
      <c r="G349" s="184"/>
      <c r="H349" s="184"/>
      <c r="I349" s="184"/>
      <c r="J349" s="184"/>
      <c r="K349" s="184"/>
      <c r="L349" s="193"/>
      <c r="M349" s="1003"/>
      <c r="N349" s="1002"/>
      <c r="O349" s="1002"/>
      <c r="P349" s="1002"/>
      <c r="Q349" s="1002"/>
      <c r="R349" s="1002"/>
      <c r="S349" s="1002"/>
      <c r="T349" s="1002"/>
      <c r="U349" s="1002"/>
      <c r="V349" s="1002"/>
      <c r="W349" s="1002"/>
      <c r="X349" s="1002"/>
      <c r="Y349" s="1002"/>
      <c r="Z349" s="1002"/>
      <c r="AA349" s="1002"/>
      <c r="AB349" s="1002"/>
      <c r="AC349" s="1002"/>
      <c r="AD349" s="1002"/>
      <c r="AE349" s="1002"/>
      <c r="AF349" s="1002"/>
      <c r="AG349" s="1002"/>
      <c r="AH349" s="1002"/>
      <c r="AI349" s="1002"/>
      <c r="AJ349" s="1002"/>
      <c r="AK349" s="1002"/>
      <c r="AL349" s="1002"/>
      <c r="AM349" s="1002"/>
      <c r="AN349" s="1002"/>
      <c r="AO349" s="1002"/>
      <c r="AP349" s="1002"/>
      <c r="AQ349" s="1002"/>
      <c r="AR349" s="1002"/>
      <c r="AS349" s="1002"/>
      <c r="AT349" s="1002"/>
      <c r="AU349" s="1002"/>
      <c r="AV349" s="1002"/>
      <c r="AW349" s="1002"/>
      <c r="AX349" s="1002"/>
      <c r="AY349" s="1002"/>
      <c r="AZ349" s="1002"/>
      <c r="BA349" s="1002"/>
      <c r="BB349" s="1002"/>
      <c r="BC349" s="1002"/>
      <c r="BD349" s="1002"/>
      <c r="BE349" s="204"/>
      <c r="BF349" s="205" t="s">
        <v>487</v>
      </c>
      <c r="BG349" s="204"/>
      <c r="BH349" s="204" t="s">
        <v>407</v>
      </c>
      <c r="BI349" s="204"/>
      <c r="BJ349" s="204"/>
      <c r="BK349" s="206"/>
    </row>
    <row r="350" spans="1:63" s="164" customFormat="1" ht="15.75" customHeight="1">
      <c r="A350" s="185"/>
      <c r="B350" s="193"/>
      <c r="C350" s="184"/>
      <c r="D350" s="183" t="s">
        <v>732</v>
      </c>
      <c r="E350" s="184"/>
      <c r="F350" s="184"/>
      <c r="G350" s="184"/>
      <c r="H350" s="184"/>
      <c r="I350" s="184"/>
      <c r="J350" s="184"/>
      <c r="K350" s="184"/>
      <c r="L350" s="193"/>
      <c r="M350" s="1003"/>
      <c r="N350" s="1002"/>
      <c r="O350" s="1002"/>
      <c r="P350" s="1002"/>
      <c r="Q350" s="1002"/>
      <c r="R350" s="1002"/>
      <c r="S350" s="1002"/>
      <c r="T350" s="1002"/>
      <c r="U350" s="1002"/>
      <c r="V350" s="1002"/>
      <c r="W350" s="1002"/>
      <c r="X350" s="1002"/>
      <c r="Y350" s="1002"/>
      <c r="Z350" s="1002"/>
      <c r="AA350" s="1002"/>
      <c r="AB350" s="1002"/>
      <c r="AC350" s="1002"/>
      <c r="AD350" s="1002"/>
      <c r="AE350" s="1002"/>
      <c r="AF350" s="1002"/>
      <c r="AG350" s="1002"/>
      <c r="AH350" s="1002"/>
      <c r="AI350" s="1002"/>
      <c r="AJ350" s="1002"/>
      <c r="AK350" s="1002"/>
      <c r="AL350" s="1002"/>
      <c r="AM350" s="1002"/>
      <c r="AN350" s="1002"/>
      <c r="AO350" s="1002"/>
      <c r="AP350" s="1002"/>
      <c r="AQ350" s="1002"/>
      <c r="AR350" s="1002"/>
      <c r="AS350" s="1002"/>
      <c r="AT350" s="1002"/>
      <c r="AU350" s="1002"/>
      <c r="AV350" s="1002"/>
      <c r="AW350" s="1002"/>
      <c r="AX350" s="1002"/>
      <c r="AY350" s="1002"/>
      <c r="AZ350" s="1002"/>
      <c r="BA350" s="1002"/>
      <c r="BB350" s="1002"/>
      <c r="BC350" s="1002"/>
      <c r="BD350" s="1002"/>
      <c r="BE350" s="204"/>
      <c r="BF350" s="205" t="s">
        <v>487</v>
      </c>
      <c r="BG350" s="204"/>
      <c r="BH350" s="204" t="s">
        <v>407</v>
      </c>
      <c r="BI350" s="204"/>
      <c r="BJ350" s="204"/>
      <c r="BK350" s="206"/>
    </row>
    <row r="351" spans="1:63" s="164" customFormat="1" ht="15.75" customHeight="1">
      <c r="A351" s="185"/>
      <c r="B351" s="193"/>
      <c r="C351" s="184"/>
      <c r="D351" s="183" t="s">
        <v>733</v>
      </c>
      <c r="E351" s="184"/>
      <c r="F351" s="184"/>
      <c r="G351" s="184"/>
      <c r="H351" s="184"/>
      <c r="I351" s="184"/>
      <c r="J351" s="184"/>
      <c r="K351" s="184"/>
      <c r="L351" s="193"/>
      <c r="M351" s="1003"/>
      <c r="N351" s="1002"/>
      <c r="O351" s="1002"/>
      <c r="P351" s="1002"/>
      <c r="Q351" s="1002"/>
      <c r="R351" s="1002"/>
      <c r="S351" s="1002"/>
      <c r="T351" s="1002"/>
      <c r="U351" s="1002"/>
      <c r="V351" s="1002"/>
      <c r="W351" s="1002"/>
      <c r="X351" s="1002"/>
      <c r="Y351" s="1002"/>
      <c r="Z351" s="1002"/>
      <c r="AA351" s="1002"/>
      <c r="AB351" s="1002"/>
      <c r="AC351" s="1002"/>
      <c r="AD351" s="1002"/>
      <c r="AE351" s="1002"/>
      <c r="AF351" s="1002"/>
      <c r="AG351" s="1002"/>
      <c r="AH351" s="1002"/>
      <c r="AI351" s="1002"/>
      <c r="AJ351" s="1002"/>
      <c r="AK351" s="1002"/>
      <c r="AL351" s="1002"/>
      <c r="AM351" s="1002"/>
      <c r="AN351" s="1002"/>
      <c r="AO351" s="1002"/>
      <c r="AP351" s="1002"/>
      <c r="AQ351" s="1002"/>
      <c r="AR351" s="1002"/>
      <c r="AS351" s="1002"/>
      <c r="AT351" s="1002"/>
      <c r="AU351" s="1002"/>
      <c r="AV351" s="1002"/>
      <c r="AW351" s="1002"/>
      <c r="AX351" s="1002"/>
      <c r="AY351" s="1002"/>
      <c r="AZ351" s="1002"/>
      <c r="BA351" s="1002"/>
      <c r="BB351" s="1002"/>
      <c r="BC351" s="1002"/>
      <c r="BD351" s="1002"/>
      <c r="BE351" s="204"/>
      <c r="BF351" s="205" t="s">
        <v>487</v>
      </c>
      <c r="BG351" s="204"/>
      <c r="BH351" s="204" t="s">
        <v>407</v>
      </c>
      <c r="BI351" s="204"/>
      <c r="BJ351" s="205" t="s">
        <v>409</v>
      </c>
      <c r="BK351" s="206"/>
    </row>
    <row r="352" spans="1:63" s="164" customFormat="1" ht="15.75" customHeight="1">
      <c r="A352" s="185"/>
      <c r="B352" s="193"/>
      <c r="C352" s="184"/>
      <c r="D352" s="183" t="s">
        <v>734</v>
      </c>
      <c r="E352" s="184"/>
      <c r="F352" s="184"/>
      <c r="G352" s="184"/>
      <c r="H352" s="184"/>
      <c r="I352" s="184"/>
      <c r="J352" s="184"/>
      <c r="K352" s="184"/>
      <c r="L352" s="193"/>
      <c r="M352" s="1003"/>
      <c r="N352" s="1002"/>
      <c r="O352" s="1002"/>
      <c r="P352" s="1002"/>
      <c r="Q352" s="1002"/>
      <c r="R352" s="1002"/>
      <c r="S352" s="1002"/>
      <c r="T352" s="1002"/>
      <c r="U352" s="1002"/>
      <c r="V352" s="1002"/>
      <c r="W352" s="1002"/>
      <c r="X352" s="1002"/>
      <c r="Y352" s="1002"/>
      <c r="Z352" s="1002"/>
      <c r="AA352" s="1002"/>
      <c r="AB352" s="1002"/>
      <c r="AC352" s="1002"/>
      <c r="AD352" s="1002"/>
      <c r="AE352" s="1002"/>
      <c r="AF352" s="1002"/>
      <c r="AG352" s="1002"/>
      <c r="AH352" s="1002"/>
      <c r="AI352" s="1002"/>
      <c r="AJ352" s="1002"/>
      <c r="AK352" s="1002"/>
      <c r="AL352" s="1002"/>
      <c r="AM352" s="1002"/>
      <c r="AN352" s="1002"/>
      <c r="AO352" s="1002"/>
      <c r="AP352" s="1002"/>
      <c r="AQ352" s="1002"/>
      <c r="AR352" s="1002"/>
      <c r="AS352" s="1002"/>
      <c r="AT352" s="1002"/>
      <c r="AU352" s="1002"/>
      <c r="AV352" s="1002"/>
      <c r="AW352" s="1002"/>
      <c r="AX352" s="1002"/>
      <c r="AY352" s="1002"/>
      <c r="AZ352" s="1002"/>
      <c r="BA352" s="1002"/>
      <c r="BB352" s="1002"/>
      <c r="BC352" s="1002"/>
      <c r="BD352" s="1002"/>
      <c r="BE352" s="204"/>
      <c r="BF352" s="205" t="s">
        <v>487</v>
      </c>
      <c r="BG352" s="204"/>
      <c r="BH352" s="204" t="s">
        <v>407</v>
      </c>
      <c r="BI352" s="204"/>
      <c r="BJ352" s="205" t="s">
        <v>409</v>
      </c>
      <c r="BK352" s="206"/>
    </row>
    <row r="353" spans="1:63" s="164" customFormat="1" ht="15.75" customHeight="1">
      <c r="A353" s="185"/>
      <c r="B353" s="193"/>
      <c r="C353" s="184"/>
      <c r="D353" s="183" t="s">
        <v>735</v>
      </c>
      <c r="E353" s="184"/>
      <c r="F353" s="184"/>
      <c r="G353" s="184"/>
      <c r="H353" s="184"/>
      <c r="I353" s="184"/>
      <c r="J353" s="184"/>
      <c r="K353" s="184"/>
      <c r="L353" s="193"/>
      <c r="M353" s="1003"/>
      <c r="N353" s="1002"/>
      <c r="O353" s="1002"/>
      <c r="P353" s="1002"/>
      <c r="Q353" s="1002"/>
      <c r="R353" s="1002"/>
      <c r="S353" s="1002"/>
      <c r="T353" s="1002"/>
      <c r="U353" s="1002"/>
      <c r="V353" s="1002"/>
      <c r="W353" s="1002"/>
      <c r="X353" s="1002"/>
      <c r="Y353" s="1002"/>
      <c r="Z353" s="1002"/>
      <c r="AA353" s="1002"/>
      <c r="AB353" s="1002"/>
      <c r="AC353" s="1002"/>
      <c r="AD353" s="1002"/>
      <c r="AE353" s="1002"/>
      <c r="AF353" s="1002"/>
      <c r="AG353" s="1002"/>
      <c r="AH353" s="1002"/>
      <c r="AI353" s="1002"/>
      <c r="AJ353" s="1002"/>
      <c r="AK353" s="1002"/>
      <c r="AL353" s="1002"/>
      <c r="AM353" s="1002"/>
      <c r="AN353" s="1002"/>
      <c r="AO353" s="1002"/>
      <c r="AP353" s="1002"/>
      <c r="AQ353" s="1002"/>
      <c r="AR353" s="1002"/>
      <c r="AS353" s="1002"/>
      <c r="AT353" s="1002"/>
      <c r="AU353" s="1002"/>
      <c r="AV353" s="1002"/>
      <c r="AW353" s="1002"/>
      <c r="AX353" s="1002"/>
      <c r="AY353" s="1002"/>
      <c r="AZ353" s="1002"/>
      <c r="BA353" s="1002"/>
      <c r="BB353" s="1002"/>
      <c r="BC353" s="1002"/>
      <c r="BD353" s="1002"/>
      <c r="BE353" s="204"/>
      <c r="BF353" s="205" t="s">
        <v>487</v>
      </c>
      <c r="BG353" s="204"/>
      <c r="BH353" s="204" t="s">
        <v>407</v>
      </c>
      <c r="BI353" s="204"/>
      <c r="BJ353" s="204"/>
      <c r="BK353" s="206"/>
    </row>
    <row r="354" spans="1:63" s="167" customFormat="1" ht="15.75" customHeight="1">
      <c r="A354" s="230"/>
      <c r="B354" s="234"/>
      <c r="C354" s="232"/>
      <c r="D354" s="231" t="s">
        <v>736</v>
      </c>
      <c r="E354" s="232"/>
      <c r="F354" s="232"/>
      <c r="G354" s="232"/>
      <c r="H354" s="232"/>
      <c r="I354" s="232"/>
      <c r="J354" s="232"/>
      <c r="K354" s="232"/>
      <c r="L354" s="234"/>
      <c r="M354" s="1012"/>
      <c r="N354" s="1002"/>
      <c r="O354" s="1002"/>
      <c r="P354" s="1002"/>
      <c r="Q354" s="1002"/>
      <c r="R354" s="1002"/>
      <c r="S354" s="1002"/>
      <c r="T354" s="1002"/>
      <c r="U354" s="1002"/>
      <c r="V354" s="1002"/>
      <c r="W354" s="1002"/>
      <c r="X354" s="1002"/>
      <c r="Y354" s="1002"/>
      <c r="Z354" s="1002"/>
      <c r="AA354" s="1002"/>
      <c r="AB354" s="1002"/>
      <c r="AC354" s="1002"/>
      <c r="AD354" s="1002"/>
      <c r="AE354" s="1002"/>
      <c r="AF354" s="1002"/>
      <c r="AG354" s="1002"/>
      <c r="AH354" s="1002"/>
      <c r="AI354" s="1002"/>
      <c r="AJ354" s="1002"/>
      <c r="AK354" s="1002"/>
      <c r="AL354" s="1002"/>
      <c r="AM354" s="1002"/>
      <c r="AN354" s="1002"/>
      <c r="AO354" s="1002"/>
      <c r="AP354" s="1002"/>
      <c r="AQ354" s="1002"/>
      <c r="AR354" s="1002"/>
      <c r="AS354" s="1002"/>
      <c r="AT354" s="1002"/>
      <c r="AU354" s="1002"/>
      <c r="AV354" s="1002"/>
      <c r="AW354" s="1002"/>
      <c r="AX354" s="1002"/>
      <c r="AY354" s="1002"/>
      <c r="AZ354" s="1002"/>
      <c r="BA354" s="1002"/>
      <c r="BB354" s="1002"/>
      <c r="BC354" s="1002"/>
      <c r="BD354" s="1002"/>
      <c r="BE354" s="236"/>
      <c r="BF354" s="237" t="s">
        <v>487</v>
      </c>
      <c r="BG354" s="236"/>
      <c r="BH354" s="236" t="s">
        <v>407</v>
      </c>
      <c r="BI354" s="236"/>
      <c r="BJ354" s="237" t="s">
        <v>409</v>
      </c>
      <c r="BK354" s="238"/>
    </row>
    <row r="355" spans="1:63" s="167" customFormat="1" ht="15.75" customHeight="1">
      <c r="A355" s="230"/>
      <c r="B355" s="234"/>
      <c r="C355" s="232"/>
      <c r="D355" s="233" t="s">
        <v>737</v>
      </c>
      <c r="E355" s="232"/>
      <c r="F355" s="232"/>
      <c r="G355" s="232"/>
      <c r="H355" s="232"/>
      <c r="I355" s="232"/>
      <c r="J355" s="232"/>
      <c r="K355" s="232"/>
      <c r="L355" s="234"/>
      <c r="M355" s="235"/>
      <c r="N355" s="194"/>
      <c r="O355" s="194"/>
      <c r="P355" s="194"/>
      <c r="Q355" s="194"/>
      <c r="R355" s="194"/>
      <c r="S355" s="194"/>
      <c r="T355" s="194"/>
      <c r="U355" s="194"/>
      <c r="V355" s="194"/>
      <c r="W355" s="194"/>
      <c r="X355" s="194"/>
      <c r="Y355" s="194"/>
      <c r="Z355" s="194"/>
      <c r="AA355" s="194"/>
      <c r="AB355" s="194"/>
      <c r="AC355" s="194"/>
      <c r="AD355" s="194"/>
      <c r="AE355" s="194"/>
      <c r="AF355" s="194"/>
      <c r="AG355" s="194"/>
      <c r="AH355" s="194"/>
      <c r="AI355" s="194"/>
      <c r="AJ355" s="194"/>
      <c r="AK355" s="194"/>
      <c r="AL355" s="194"/>
      <c r="AM355" s="194"/>
      <c r="AN355" s="194"/>
      <c r="AO355" s="194"/>
      <c r="AP355" s="194"/>
      <c r="AQ355" s="194"/>
      <c r="AR355" s="194"/>
      <c r="AS355" s="194"/>
      <c r="AT355" s="194"/>
      <c r="AU355" s="194"/>
      <c r="AV355" s="194"/>
      <c r="AW355" s="194"/>
      <c r="AX355" s="194"/>
      <c r="AY355" s="194"/>
      <c r="AZ355" s="194"/>
      <c r="BA355" s="194"/>
      <c r="BB355" s="194"/>
      <c r="BC355" s="194"/>
      <c r="BD355" s="194"/>
      <c r="BE355" s="236"/>
      <c r="BF355" s="237" t="s">
        <v>487</v>
      </c>
      <c r="BG355" s="236"/>
      <c r="BH355" s="236" t="s">
        <v>407</v>
      </c>
      <c r="BI355" s="236"/>
      <c r="BJ355" s="237" t="s">
        <v>409</v>
      </c>
      <c r="BK355" s="238"/>
    </row>
    <row r="356" spans="1:63" s="167" customFormat="1" ht="15.75" customHeight="1">
      <c r="A356" s="230"/>
      <c r="B356" s="234"/>
      <c r="C356" s="232"/>
      <c r="D356" s="233" t="s">
        <v>738</v>
      </c>
      <c r="E356" s="232"/>
      <c r="F356" s="232"/>
      <c r="G356" s="232"/>
      <c r="H356" s="232"/>
      <c r="I356" s="232"/>
      <c r="J356" s="232"/>
      <c r="K356" s="232"/>
      <c r="L356" s="234"/>
      <c r="M356" s="235"/>
      <c r="N356" s="194"/>
      <c r="O356" s="194"/>
      <c r="P356" s="194"/>
      <c r="Q356" s="194"/>
      <c r="R356" s="194"/>
      <c r="S356" s="194"/>
      <c r="T356" s="194"/>
      <c r="U356" s="194"/>
      <c r="V356" s="194"/>
      <c r="W356" s="194"/>
      <c r="X356" s="194"/>
      <c r="Y356" s="194"/>
      <c r="Z356" s="194"/>
      <c r="AA356" s="194"/>
      <c r="AB356" s="194"/>
      <c r="AC356" s="194"/>
      <c r="AD356" s="194"/>
      <c r="AE356" s="194"/>
      <c r="AF356" s="194"/>
      <c r="AG356" s="194"/>
      <c r="AH356" s="194"/>
      <c r="AI356" s="194"/>
      <c r="AJ356" s="194"/>
      <c r="AK356" s="194"/>
      <c r="AL356" s="194"/>
      <c r="AM356" s="194"/>
      <c r="AN356" s="194"/>
      <c r="AO356" s="194"/>
      <c r="AP356" s="194"/>
      <c r="AQ356" s="194"/>
      <c r="AR356" s="194"/>
      <c r="AS356" s="194"/>
      <c r="AT356" s="194"/>
      <c r="AU356" s="194"/>
      <c r="AV356" s="194"/>
      <c r="AW356" s="194"/>
      <c r="AX356" s="194"/>
      <c r="AY356" s="194"/>
      <c r="AZ356" s="194"/>
      <c r="BA356" s="194"/>
      <c r="BB356" s="194"/>
      <c r="BC356" s="194"/>
      <c r="BD356" s="194"/>
      <c r="BE356" s="236"/>
      <c r="BF356" s="237" t="s">
        <v>487</v>
      </c>
      <c r="BG356" s="236"/>
      <c r="BH356" s="236" t="s">
        <v>407</v>
      </c>
      <c r="BI356" s="236"/>
      <c r="BJ356" s="237" t="s">
        <v>409</v>
      </c>
      <c r="BK356" s="238"/>
    </row>
    <row r="357" spans="1:63" s="164" customFormat="1" ht="15.75" customHeight="1">
      <c r="A357" s="185"/>
      <c r="B357" s="193"/>
      <c r="C357" s="184"/>
      <c r="D357" s="183" t="s">
        <v>739</v>
      </c>
      <c r="E357" s="184"/>
      <c r="F357" s="184"/>
      <c r="G357" s="184"/>
      <c r="H357" s="184"/>
      <c r="I357" s="184"/>
      <c r="J357" s="184"/>
      <c r="K357" s="184"/>
      <c r="L357" s="193"/>
      <c r="M357" s="1003"/>
      <c r="N357" s="1002"/>
      <c r="O357" s="1002"/>
      <c r="P357" s="1002"/>
      <c r="Q357" s="1002"/>
      <c r="R357" s="1002"/>
      <c r="S357" s="1002"/>
      <c r="T357" s="1002"/>
      <c r="U357" s="1002"/>
      <c r="V357" s="1002"/>
      <c r="W357" s="1002"/>
      <c r="X357" s="1002"/>
      <c r="Y357" s="1002"/>
      <c r="Z357" s="1002"/>
      <c r="AA357" s="1002"/>
      <c r="AB357" s="1002"/>
      <c r="AC357" s="1002"/>
      <c r="AD357" s="1002"/>
      <c r="AE357" s="1002"/>
      <c r="AF357" s="1002"/>
      <c r="AG357" s="1002"/>
      <c r="AH357" s="1002"/>
      <c r="AI357" s="1002"/>
      <c r="AJ357" s="1002"/>
      <c r="AK357" s="1002"/>
      <c r="AL357" s="1002"/>
      <c r="AM357" s="1002"/>
      <c r="AN357" s="1002"/>
      <c r="AO357" s="1002"/>
      <c r="AP357" s="1002"/>
      <c r="AQ357" s="1002"/>
      <c r="AR357" s="1002"/>
      <c r="AS357" s="1002"/>
      <c r="AT357" s="1002"/>
      <c r="AU357" s="1002"/>
      <c r="AV357" s="1002"/>
      <c r="AW357" s="1002"/>
      <c r="AX357" s="1002"/>
      <c r="AY357" s="1002"/>
      <c r="AZ357" s="1002"/>
      <c r="BA357" s="1002"/>
      <c r="BB357" s="1002"/>
      <c r="BC357" s="1002"/>
      <c r="BD357" s="1002"/>
      <c r="BE357" s="204"/>
      <c r="BF357" s="205" t="s">
        <v>487</v>
      </c>
      <c r="BG357" s="204"/>
      <c r="BH357" s="204" t="s">
        <v>407</v>
      </c>
      <c r="BI357" s="204"/>
      <c r="BJ357" s="204"/>
      <c r="BK357" s="206"/>
    </row>
    <row r="358" spans="1:63" s="164" customFormat="1" ht="15.75" customHeight="1">
      <c r="A358" s="185"/>
      <c r="B358" s="193"/>
      <c r="C358" s="184"/>
      <c r="D358" s="183" t="s">
        <v>740</v>
      </c>
      <c r="E358" s="184"/>
      <c r="F358" s="184"/>
      <c r="G358" s="184"/>
      <c r="H358" s="184"/>
      <c r="I358" s="184"/>
      <c r="J358" s="184"/>
      <c r="K358" s="184"/>
      <c r="L358" s="193"/>
      <c r="M358" s="1003"/>
      <c r="N358" s="1002"/>
      <c r="O358" s="1002"/>
      <c r="P358" s="1002"/>
      <c r="Q358" s="1002"/>
      <c r="R358" s="1002"/>
      <c r="S358" s="1002"/>
      <c r="T358" s="1002"/>
      <c r="U358" s="1002"/>
      <c r="V358" s="1002"/>
      <c r="W358" s="1002"/>
      <c r="X358" s="1002"/>
      <c r="Y358" s="1002"/>
      <c r="Z358" s="1002"/>
      <c r="AA358" s="1002"/>
      <c r="AB358" s="1002"/>
      <c r="AC358" s="1002"/>
      <c r="AD358" s="1002"/>
      <c r="AE358" s="1002"/>
      <c r="AF358" s="1002"/>
      <c r="AG358" s="1002"/>
      <c r="AH358" s="1002"/>
      <c r="AI358" s="1002"/>
      <c r="AJ358" s="1002"/>
      <c r="AK358" s="1002"/>
      <c r="AL358" s="1002"/>
      <c r="AM358" s="1002"/>
      <c r="AN358" s="1002"/>
      <c r="AO358" s="1002"/>
      <c r="AP358" s="1002"/>
      <c r="AQ358" s="1002"/>
      <c r="AR358" s="1002"/>
      <c r="AS358" s="1002"/>
      <c r="AT358" s="1002"/>
      <c r="AU358" s="1002"/>
      <c r="AV358" s="1002"/>
      <c r="AW358" s="1002"/>
      <c r="AX358" s="1002"/>
      <c r="AY358" s="1002"/>
      <c r="AZ358" s="1002"/>
      <c r="BA358" s="1002"/>
      <c r="BB358" s="1002"/>
      <c r="BC358" s="1002"/>
      <c r="BD358" s="1002"/>
      <c r="BE358" s="204"/>
      <c r="BF358" s="205" t="s">
        <v>487</v>
      </c>
      <c r="BG358" s="204"/>
      <c r="BH358" s="204" t="s">
        <v>407</v>
      </c>
      <c r="BI358" s="204"/>
      <c r="BJ358" s="204"/>
      <c r="BK358" s="206"/>
    </row>
    <row r="359" spans="1:63" s="164" customFormat="1" ht="15.75" customHeight="1">
      <c r="A359" s="185"/>
      <c r="B359" s="193"/>
      <c r="C359" s="184"/>
      <c r="D359" s="183" t="s">
        <v>725</v>
      </c>
      <c r="E359" s="184"/>
      <c r="F359" s="184"/>
      <c r="G359" s="184"/>
      <c r="H359" s="184"/>
      <c r="I359" s="184"/>
      <c r="J359" s="184"/>
      <c r="K359" s="184"/>
      <c r="L359" s="193"/>
      <c r="M359" s="1005" t="s">
        <v>741</v>
      </c>
      <c r="N359" s="1005"/>
      <c r="O359" s="1005"/>
      <c r="P359" s="1005"/>
      <c r="Q359" s="1005"/>
      <c r="R359" s="1005"/>
      <c r="S359" s="1005"/>
      <c r="T359" s="1005"/>
      <c r="U359" s="1005"/>
      <c r="V359" s="1005"/>
      <c r="W359" s="1005"/>
      <c r="X359" s="1005"/>
      <c r="Y359" s="1005"/>
      <c r="Z359" s="1005"/>
      <c r="AA359" s="1005"/>
      <c r="AB359" s="1005"/>
      <c r="AC359" s="1005"/>
      <c r="AD359" s="1005"/>
      <c r="AE359" s="1005"/>
      <c r="AF359" s="1005"/>
      <c r="AG359" s="1005"/>
      <c r="AH359" s="1005"/>
      <c r="AI359" s="1005"/>
      <c r="AJ359" s="1005"/>
      <c r="AK359" s="1005"/>
      <c r="AL359" s="1005"/>
      <c r="AM359" s="1005"/>
      <c r="AN359" s="1005"/>
      <c r="AO359" s="1005"/>
      <c r="AP359" s="1005"/>
      <c r="AQ359" s="1005"/>
      <c r="AR359" s="1005"/>
      <c r="AS359" s="1005"/>
      <c r="AT359" s="1005"/>
      <c r="AU359" s="1005"/>
      <c r="AV359" s="1005"/>
      <c r="AW359" s="1005"/>
      <c r="AX359" s="1005"/>
      <c r="AY359" s="1005"/>
      <c r="AZ359" s="1005"/>
      <c r="BA359" s="1005"/>
      <c r="BB359" s="1005"/>
      <c r="BC359" s="1005"/>
      <c r="BD359" s="1005"/>
      <c r="BE359" s="204"/>
      <c r="BF359" s="205" t="s">
        <v>419</v>
      </c>
      <c r="BG359" s="204"/>
      <c r="BH359" s="204" t="s">
        <v>407</v>
      </c>
      <c r="BI359" s="204"/>
      <c r="BJ359" s="205"/>
      <c r="BK359" s="206"/>
    </row>
    <row r="360" spans="1:63" s="164" customFormat="1" ht="15.75" customHeight="1">
      <c r="A360" s="185"/>
      <c r="B360" s="193"/>
      <c r="C360" s="184"/>
      <c r="D360" s="183" t="s">
        <v>742</v>
      </c>
      <c r="E360" s="184"/>
      <c r="F360" s="184"/>
      <c r="G360" s="184"/>
      <c r="H360" s="184"/>
      <c r="I360" s="184"/>
      <c r="J360" s="184"/>
      <c r="K360" s="184"/>
      <c r="L360" s="193"/>
      <c r="M360" s="1001" t="s">
        <v>668</v>
      </c>
      <c r="N360" s="1002"/>
      <c r="O360" s="1002"/>
      <c r="P360" s="1002"/>
      <c r="Q360" s="1002"/>
      <c r="R360" s="1002"/>
      <c r="S360" s="1002"/>
      <c r="T360" s="1002"/>
      <c r="U360" s="1002"/>
      <c r="V360" s="1002"/>
      <c r="W360" s="1002"/>
      <c r="X360" s="1002"/>
      <c r="Y360" s="1002"/>
      <c r="Z360" s="1002"/>
      <c r="AA360" s="1002"/>
      <c r="AB360" s="1002"/>
      <c r="AC360" s="1002"/>
      <c r="AD360" s="1002"/>
      <c r="AE360" s="1002"/>
      <c r="AF360" s="1002"/>
      <c r="AG360" s="1002"/>
      <c r="AH360" s="1002"/>
      <c r="AI360" s="1002"/>
      <c r="AJ360" s="1002"/>
      <c r="AK360" s="1002"/>
      <c r="AL360" s="1002"/>
      <c r="AM360" s="1002"/>
      <c r="AN360" s="1002"/>
      <c r="AO360" s="1002"/>
      <c r="AP360" s="1002"/>
      <c r="AQ360" s="1002"/>
      <c r="AR360" s="1002"/>
      <c r="AS360" s="1002"/>
      <c r="AT360" s="1002"/>
      <c r="AU360" s="1002"/>
      <c r="AV360" s="1002"/>
      <c r="AW360" s="1002"/>
      <c r="AX360" s="1002"/>
      <c r="AY360" s="1002"/>
      <c r="AZ360" s="1002"/>
      <c r="BA360" s="1002"/>
      <c r="BB360" s="1002"/>
      <c r="BC360" s="1002"/>
      <c r="BD360" s="1002"/>
      <c r="BE360" s="204"/>
      <c r="BF360" s="205" t="s">
        <v>642</v>
      </c>
      <c r="BG360" s="204"/>
      <c r="BH360" s="204"/>
      <c r="BI360" s="204"/>
      <c r="BJ360" s="204"/>
      <c r="BK360" s="206"/>
    </row>
    <row r="361" spans="1:63" s="164" customFormat="1" ht="15.75" customHeight="1">
      <c r="A361" s="185"/>
      <c r="B361" s="193"/>
      <c r="C361" s="184"/>
      <c r="D361" s="183" t="s">
        <v>743</v>
      </c>
      <c r="E361" s="184"/>
      <c r="F361" s="184"/>
      <c r="G361" s="184"/>
      <c r="H361" s="184"/>
      <c r="I361" s="184"/>
      <c r="J361" s="184"/>
      <c r="K361" s="184"/>
      <c r="L361" s="193"/>
      <c r="M361" s="1003"/>
      <c r="N361" s="1002"/>
      <c r="O361" s="1002"/>
      <c r="P361" s="1002"/>
      <c r="Q361" s="1002"/>
      <c r="R361" s="1002"/>
      <c r="S361" s="1002"/>
      <c r="T361" s="1002"/>
      <c r="U361" s="1002"/>
      <c r="V361" s="1002"/>
      <c r="W361" s="1002"/>
      <c r="X361" s="1002"/>
      <c r="Y361" s="1002"/>
      <c r="Z361" s="1002"/>
      <c r="AA361" s="1002"/>
      <c r="AB361" s="1002"/>
      <c r="AC361" s="1002"/>
      <c r="AD361" s="1002"/>
      <c r="AE361" s="1002"/>
      <c r="AF361" s="1002"/>
      <c r="AG361" s="1002"/>
      <c r="AH361" s="1002"/>
      <c r="AI361" s="1002"/>
      <c r="AJ361" s="1002"/>
      <c r="AK361" s="1002"/>
      <c r="AL361" s="1002"/>
      <c r="AM361" s="1002"/>
      <c r="AN361" s="1002"/>
      <c r="AO361" s="1002"/>
      <c r="AP361" s="1002"/>
      <c r="AQ361" s="1002"/>
      <c r="AR361" s="1002"/>
      <c r="AS361" s="1002"/>
      <c r="AT361" s="1002"/>
      <c r="AU361" s="1002"/>
      <c r="AV361" s="1002"/>
      <c r="AW361" s="1002"/>
      <c r="AX361" s="1002"/>
      <c r="AY361" s="1002"/>
      <c r="AZ361" s="1002"/>
      <c r="BA361" s="1002"/>
      <c r="BB361" s="1002"/>
      <c r="BC361" s="1002"/>
      <c r="BD361" s="1002"/>
      <c r="BE361" s="204"/>
      <c r="BF361" s="205" t="s">
        <v>487</v>
      </c>
      <c r="BG361" s="204"/>
      <c r="BH361" s="204" t="s">
        <v>407</v>
      </c>
      <c r="BI361" s="204"/>
      <c r="BJ361" s="205" t="s">
        <v>409</v>
      </c>
      <c r="BK361" s="206"/>
    </row>
    <row r="362" spans="1:63" s="164" customFormat="1" ht="15.75" customHeight="1">
      <c r="A362" s="185"/>
      <c r="B362" s="193"/>
      <c r="C362" s="184"/>
      <c r="D362" s="183" t="s">
        <v>744</v>
      </c>
      <c r="E362" s="184"/>
      <c r="F362" s="184"/>
      <c r="G362" s="184"/>
      <c r="H362" s="184"/>
      <c r="I362" s="184"/>
      <c r="J362" s="184"/>
      <c r="K362" s="184"/>
      <c r="L362" s="193"/>
      <c r="M362" s="1003"/>
      <c r="N362" s="1002"/>
      <c r="O362" s="1002"/>
      <c r="P362" s="1002"/>
      <c r="Q362" s="1002"/>
      <c r="R362" s="1002"/>
      <c r="S362" s="1002"/>
      <c r="T362" s="1002"/>
      <c r="U362" s="1002"/>
      <c r="V362" s="1002"/>
      <c r="W362" s="1002"/>
      <c r="X362" s="1002"/>
      <c r="Y362" s="1002"/>
      <c r="Z362" s="1002"/>
      <c r="AA362" s="1002"/>
      <c r="AB362" s="1002"/>
      <c r="AC362" s="1002"/>
      <c r="AD362" s="1002"/>
      <c r="AE362" s="1002"/>
      <c r="AF362" s="1002"/>
      <c r="AG362" s="1002"/>
      <c r="AH362" s="1002"/>
      <c r="AI362" s="1002"/>
      <c r="AJ362" s="1002"/>
      <c r="AK362" s="1002"/>
      <c r="AL362" s="1002"/>
      <c r="AM362" s="1002"/>
      <c r="AN362" s="1002"/>
      <c r="AO362" s="1002"/>
      <c r="AP362" s="1002"/>
      <c r="AQ362" s="1002"/>
      <c r="AR362" s="1002"/>
      <c r="AS362" s="1002"/>
      <c r="AT362" s="1002"/>
      <c r="AU362" s="1002"/>
      <c r="AV362" s="1002"/>
      <c r="AW362" s="1002"/>
      <c r="AX362" s="1002"/>
      <c r="AY362" s="1002"/>
      <c r="AZ362" s="1002"/>
      <c r="BA362" s="1002"/>
      <c r="BB362" s="1002"/>
      <c r="BC362" s="1002"/>
      <c r="BD362" s="1002"/>
      <c r="BE362" s="204"/>
      <c r="BF362" s="205" t="s">
        <v>487</v>
      </c>
      <c r="BG362" s="204"/>
      <c r="BH362" s="204" t="s">
        <v>407</v>
      </c>
      <c r="BI362" s="204"/>
      <c r="BJ362" s="205" t="s">
        <v>409</v>
      </c>
      <c r="BK362" s="206"/>
    </row>
    <row r="363" spans="1:63" s="164" customFormat="1" ht="15.75" customHeight="1">
      <c r="A363" s="185"/>
      <c r="B363" s="193"/>
      <c r="C363" s="184"/>
      <c r="D363" s="183" t="s">
        <v>745</v>
      </c>
      <c r="E363" s="184"/>
      <c r="F363" s="184"/>
      <c r="G363" s="184"/>
      <c r="H363" s="184"/>
      <c r="I363" s="184"/>
      <c r="J363" s="184"/>
      <c r="K363" s="184"/>
      <c r="L363" s="193"/>
      <c r="M363" s="1003"/>
      <c r="N363" s="1002"/>
      <c r="O363" s="1002"/>
      <c r="P363" s="1002"/>
      <c r="Q363" s="1002"/>
      <c r="R363" s="1002"/>
      <c r="S363" s="1002"/>
      <c r="T363" s="1002"/>
      <c r="U363" s="1002"/>
      <c r="V363" s="1002"/>
      <c r="W363" s="1002"/>
      <c r="X363" s="1002"/>
      <c r="Y363" s="1002"/>
      <c r="Z363" s="1002"/>
      <c r="AA363" s="1002"/>
      <c r="AB363" s="1002"/>
      <c r="AC363" s="1002"/>
      <c r="AD363" s="1002"/>
      <c r="AE363" s="1002"/>
      <c r="AF363" s="1002"/>
      <c r="AG363" s="1002"/>
      <c r="AH363" s="1002"/>
      <c r="AI363" s="1002"/>
      <c r="AJ363" s="1002"/>
      <c r="AK363" s="1002"/>
      <c r="AL363" s="1002"/>
      <c r="AM363" s="1002"/>
      <c r="AN363" s="1002"/>
      <c r="AO363" s="1002"/>
      <c r="AP363" s="1002"/>
      <c r="AQ363" s="1002"/>
      <c r="AR363" s="1002"/>
      <c r="AS363" s="1002"/>
      <c r="AT363" s="1002"/>
      <c r="AU363" s="1002"/>
      <c r="AV363" s="1002"/>
      <c r="AW363" s="1002"/>
      <c r="AX363" s="1002"/>
      <c r="AY363" s="1002"/>
      <c r="AZ363" s="1002"/>
      <c r="BA363" s="1002"/>
      <c r="BB363" s="1002"/>
      <c r="BC363" s="1002"/>
      <c r="BD363" s="1002"/>
      <c r="BE363" s="204"/>
      <c r="BF363" s="205" t="s">
        <v>487</v>
      </c>
      <c r="BG363" s="204"/>
      <c r="BH363" s="204" t="s">
        <v>407</v>
      </c>
      <c r="BI363" s="204"/>
      <c r="BJ363" s="205" t="s">
        <v>409</v>
      </c>
      <c r="BK363" s="206"/>
    </row>
    <row r="364" spans="1:63" s="164" customFormat="1" ht="15.75" customHeight="1">
      <c r="A364" s="185"/>
      <c r="B364" s="193"/>
      <c r="C364" s="184"/>
      <c r="D364" s="183" t="s">
        <v>746</v>
      </c>
      <c r="E364" s="184"/>
      <c r="F364" s="184"/>
      <c r="G364" s="184"/>
      <c r="H364" s="184"/>
      <c r="I364" s="184"/>
      <c r="J364" s="184"/>
      <c r="K364" s="184"/>
      <c r="L364" s="193"/>
      <c r="M364" s="1003"/>
      <c r="N364" s="1002"/>
      <c r="O364" s="1002"/>
      <c r="P364" s="1002"/>
      <c r="Q364" s="1002"/>
      <c r="R364" s="1002"/>
      <c r="S364" s="1002"/>
      <c r="T364" s="1002"/>
      <c r="U364" s="1002"/>
      <c r="V364" s="1002"/>
      <c r="W364" s="1002"/>
      <c r="X364" s="1002"/>
      <c r="Y364" s="1002"/>
      <c r="Z364" s="1002"/>
      <c r="AA364" s="1002"/>
      <c r="AB364" s="1002"/>
      <c r="AC364" s="1002"/>
      <c r="AD364" s="1002"/>
      <c r="AE364" s="1002"/>
      <c r="AF364" s="1002"/>
      <c r="AG364" s="1002"/>
      <c r="AH364" s="1002"/>
      <c r="AI364" s="1002"/>
      <c r="AJ364" s="1002"/>
      <c r="AK364" s="1002"/>
      <c r="AL364" s="1002"/>
      <c r="AM364" s="1002"/>
      <c r="AN364" s="1002"/>
      <c r="AO364" s="1002"/>
      <c r="AP364" s="1002"/>
      <c r="AQ364" s="1002"/>
      <c r="AR364" s="1002"/>
      <c r="AS364" s="1002"/>
      <c r="AT364" s="1002"/>
      <c r="AU364" s="1002"/>
      <c r="AV364" s="1002"/>
      <c r="AW364" s="1002"/>
      <c r="AX364" s="1002"/>
      <c r="AY364" s="1002"/>
      <c r="AZ364" s="1002"/>
      <c r="BA364" s="1002"/>
      <c r="BB364" s="1002"/>
      <c r="BC364" s="1002"/>
      <c r="BD364" s="1002"/>
      <c r="BE364" s="204"/>
      <c r="BF364" s="205" t="s">
        <v>487</v>
      </c>
      <c r="BG364" s="204"/>
      <c r="BH364" s="204" t="s">
        <v>407</v>
      </c>
      <c r="BI364" s="204"/>
      <c r="BJ364" s="205" t="s">
        <v>409</v>
      </c>
      <c r="BK364" s="206"/>
    </row>
    <row r="365" spans="1:63" s="164" customFormat="1" ht="15.75" customHeight="1">
      <c r="A365" s="185"/>
      <c r="B365" s="193"/>
      <c r="C365" s="184"/>
      <c r="D365" s="183" t="s">
        <v>747</v>
      </c>
      <c r="E365" s="184"/>
      <c r="F365" s="184"/>
      <c r="G365" s="184"/>
      <c r="H365" s="184"/>
      <c r="I365" s="184"/>
      <c r="J365" s="184"/>
      <c r="K365" s="184"/>
      <c r="L365" s="193"/>
      <c r="M365" s="1003"/>
      <c r="N365" s="1002"/>
      <c r="O365" s="1002"/>
      <c r="P365" s="1002"/>
      <c r="Q365" s="1002"/>
      <c r="R365" s="1002"/>
      <c r="S365" s="1002"/>
      <c r="T365" s="1002"/>
      <c r="U365" s="1002"/>
      <c r="V365" s="1002"/>
      <c r="W365" s="1002"/>
      <c r="X365" s="1002"/>
      <c r="Y365" s="1002"/>
      <c r="Z365" s="1002"/>
      <c r="AA365" s="1002"/>
      <c r="AB365" s="1002"/>
      <c r="AC365" s="1002"/>
      <c r="AD365" s="1002"/>
      <c r="AE365" s="1002"/>
      <c r="AF365" s="1002"/>
      <c r="AG365" s="1002"/>
      <c r="AH365" s="1002"/>
      <c r="AI365" s="1002"/>
      <c r="AJ365" s="1002"/>
      <c r="AK365" s="1002"/>
      <c r="AL365" s="1002"/>
      <c r="AM365" s="1002"/>
      <c r="AN365" s="1002"/>
      <c r="AO365" s="1002"/>
      <c r="AP365" s="1002"/>
      <c r="AQ365" s="1002"/>
      <c r="AR365" s="1002"/>
      <c r="AS365" s="1002"/>
      <c r="AT365" s="1002"/>
      <c r="AU365" s="1002"/>
      <c r="AV365" s="1002"/>
      <c r="AW365" s="1002"/>
      <c r="AX365" s="1002"/>
      <c r="AY365" s="1002"/>
      <c r="AZ365" s="1002"/>
      <c r="BA365" s="1002"/>
      <c r="BB365" s="1002"/>
      <c r="BC365" s="1002"/>
      <c r="BD365" s="1002"/>
      <c r="BE365" s="204"/>
      <c r="BF365" s="205" t="s">
        <v>487</v>
      </c>
      <c r="BG365" s="204"/>
      <c r="BH365" s="204" t="s">
        <v>407</v>
      </c>
      <c r="BI365" s="204"/>
      <c r="BJ365" s="205" t="s">
        <v>409</v>
      </c>
      <c r="BK365" s="206"/>
    </row>
    <row r="366" spans="1:63" s="164" customFormat="1" ht="15.75" customHeight="1">
      <c r="A366" s="185"/>
      <c r="B366" s="193"/>
      <c r="C366" s="184"/>
      <c r="D366" s="183" t="s">
        <v>748</v>
      </c>
      <c r="E366" s="184"/>
      <c r="F366" s="184"/>
      <c r="G366" s="184"/>
      <c r="H366" s="184"/>
      <c r="I366" s="184"/>
      <c r="J366" s="184"/>
      <c r="K366" s="184"/>
      <c r="L366" s="193"/>
      <c r="M366" s="1003"/>
      <c r="N366" s="1002"/>
      <c r="O366" s="1002"/>
      <c r="P366" s="1002"/>
      <c r="Q366" s="1002"/>
      <c r="R366" s="1002"/>
      <c r="S366" s="1002"/>
      <c r="T366" s="1002"/>
      <c r="U366" s="1002"/>
      <c r="V366" s="1002"/>
      <c r="W366" s="1002"/>
      <c r="X366" s="1002"/>
      <c r="Y366" s="1002"/>
      <c r="Z366" s="1002"/>
      <c r="AA366" s="1002"/>
      <c r="AB366" s="1002"/>
      <c r="AC366" s="1002"/>
      <c r="AD366" s="1002"/>
      <c r="AE366" s="1002"/>
      <c r="AF366" s="1002"/>
      <c r="AG366" s="1002"/>
      <c r="AH366" s="1002"/>
      <c r="AI366" s="1002"/>
      <c r="AJ366" s="1002"/>
      <c r="AK366" s="1002"/>
      <c r="AL366" s="1002"/>
      <c r="AM366" s="1002"/>
      <c r="AN366" s="1002"/>
      <c r="AO366" s="1002"/>
      <c r="AP366" s="1002"/>
      <c r="AQ366" s="1002"/>
      <c r="AR366" s="1002"/>
      <c r="AS366" s="1002"/>
      <c r="AT366" s="1002"/>
      <c r="AU366" s="1002"/>
      <c r="AV366" s="1002"/>
      <c r="AW366" s="1002"/>
      <c r="AX366" s="1002"/>
      <c r="AY366" s="1002"/>
      <c r="AZ366" s="1002"/>
      <c r="BA366" s="1002"/>
      <c r="BB366" s="1002"/>
      <c r="BC366" s="1002"/>
      <c r="BD366" s="1002"/>
      <c r="BE366" s="204"/>
      <c r="BF366" s="205" t="s">
        <v>487</v>
      </c>
      <c r="BG366" s="204"/>
      <c r="BH366" s="204" t="s">
        <v>407</v>
      </c>
      <c r="BI366" s="204"/>
      <c r="BJ366" s="205" t="s">
        <v>409</v>
      </c>
      <c r="BK366" s="206"/>
    </row>
    <row r="367" spans="1:63" s="164" customFormat="1" ht="15.75" customHeight="1">
      <c r="A367" s="185"/>
      <c r="B367" s="193"/>
      <c r="C367" s="184"/>
      <c r="D367" s="183" t="s">
        <v>749</v>
      </c>
      <c r="E367" s="184"/>
      <c r="F367" s="184"/>
      <c r="G367" s="184"/>
      <c r="H367" s="184"/>
      <c r="I367" s="184"/>
      <c r="J367" s="184"/>
      <c r="K367" s="184"/>
      <c r="L367" s="193"/>
      <c r="M367" s="1003"/>
      <c r="N367" s="1002"/>
      <c r="O367" s="1002"/>
      <c r="P367" s="1002"/>
      <c r="Q367" s="1002"/>
      <c r="R367" s="1002"/>
      <c r="S367" s="1002"/>
      <c r="T367" s="1002"/>
      <c r="U367" s="1002"/>
      <c r="V367" s="1002"/>
      <c r="W367" s="1002"/>
      <c r="X367" s="1002"/>
      <c r="Y367" s="1002"/>
      <c r="Z367" s="1002"/>
      <c r="AA367" s="1002"/>
      <c r="AB367" s="1002"/>
      <c r="AC367" s="1002"/>
      <c r="AD367" s="1002"/>
      <c r="AE367" s="1002"/>
      <c r="AF367" s="1002"/>
      <c r="AG367" s="1002"/>
      <c r="AH367" s="1002"/>
      <c r="AI367" s="1002"/>
      <c r="AJ367" s="1002"/>
      <c r="AK367" s="1002"/>
      <c r="AL367" s="1002"/>
      <c r="AM367" s="1002"/>
      <c r="AN367" s="1002"/>
      <c r="AO367" s="1002"/>
      <c r="AP367" s="1002"/>
      <c r="AQ367" s="1002"/>
      <c r="AR367" s="1002"/>
      <c r="AS367" s="1002"/>
      <c r="AT367" s="1002"/>
      <c r="AU367" s="1002"/>
      <c r="AV367" s="1002"/>
      <c r="AW367" s="1002"/>
      <c r="AX367" s="1002"/>
      <c r="AY367" s="1002"/>
      <c r="AZ367" s="1002"/>
      <c r="BA367" s="1002"/>
      <c r="BB367" s="1002"/>
      <c r="BC367" s="1002"/>
      <c r="BD367" s="1002"/>
      <c r="BE367" s="204"/>
      <c r="BF367" s="205" t="s">
        <v>487</v>
      </c>
      <c r="BG367" s="204"/>
      <c r="BH367" s="204" t="s">
        <v>407</v>
      </c>
      <c r="BI367" s="204"/>
      <c r="BJ367" s="205" t="s">
        <v>409</v>
      </c>
      <c r="BK367" s="206"/>
    </row>
    <row r="368" spans="1:63" s="164" customFormat="1" ht="15.75" customHeight="1">
      <c r="A368" s="185"/>
      <c r="B368" s="193"/>
      <c r="C368" s="184"/>
      <c r="D368" s="183" t="s">
        <v>750</v>
      </c>
      <c r="E368" s="184"/>
      <c r="F368" s="184"/>
      <c r="G368" s="184"/>
      <c r="H368" s="184"/>
      <c r="I368" s="184"/>
      <c r="J368" s="184"/>
      <c r="K368" s="184"/>
      <c r="L368" s="193"/>
      <c r="M368" s="1003"/>
      <c r="N368" s="1002"/>
      <c r="O368" s="1002"/>
      <c r="P368" s="1002"/>
      <c r="Q368" s="1002"/>
      <c r="R368" s="1002"/>
      <c r="S368" s="1002"/>
      <c r="T368" s="1002"/>
      <c r="U368" s="1002"/>
      <c r="V368" s="1002"/>
      <c r="W368" s="1002"/>
      <c r="X368" s="1002"/>
      <c r="Y368" s="1002"/>
      <c r="Z368" s="1002"/>
      <c r="AA368" s="1002"/>
      <c r="AB368" s="1002"/>
      <c r="AC368" s="1002"/>
      <c r="AD368" s="1002"/>
      <c r="AE368" s="1002"/>
      <c r="AF368" s="1002"/>
      <c r="AG368" s="1002"/>
      <c r="AH368" s="1002"/>
      <c r="AI368" s="1002"/>
      <c r="AJ368" s="1002"/>
      <c r="AK368" s="1002"/>
      <c r="AL368" s="1002"/>
      <c r="AM368" s="1002"/>
      <c r="AN368" s="1002"/>
      <c r="AO368" s="1002"/>
      <c r="AP368" s="1002"/>
      <c r="AQ368" s="1002"/>
      <c r="AR368" s="1002"/>
      <c r="AS368" s="1002"/>
      <c r="AT368" s="1002"/>
      <c r="AU368" s="1002"/>
      <c r="AV368" s="1002"/>
      <c r="AW368" s="1002"/>
      <c r="AX368" s="1002"/>
      <c r="AY368" s="1002"/>
      <c r="AZ368" s="1002"/>
      <c r="BA368" s="1002"/>
      <c r="BB368" s="1002"/>
      <c r="BC368" s="1002"/>
      <c r="BD368" s="1002"/>
      <c r="BE368" s="204"/>
      <c r="BF368" s="205" t="s">
        <v>487</v>
      </c>
      <c r="BG368" s="204"/>
      <c r="BH368" s="204" t="s">
        <v>407</v>
      </c>
      <c r="BI368" s="204"/>
      <c r="BJ368" s="205" t="s">
        <v>409</v>
      </c>
      <c r="BK368" s="206"/>
    </row>
    <row r="369" spans="1:63" s="164" customFormat="1" ht="15.75" customHeight="1">
      <c r="A369" s="185"/>
      <c r="B369" s="193"/>
      <c r="C369" s="184"/>
      <c r="D369" s="183" t="s">
        <v>751</v>
      </c>
      <c r="E369" s="184"/>
      <c r="F369" s="184"/>
      <c r="G369" s="184"/>
      <c r="H369" s="184"/>
      <c r="I369" s="184"/>
      <c r="J369" s="184"/>
      <c r="K369" s="184"/>
      <c r="L369" s="193"/>
      <c r="M369" s="1003"/>
      <c r="N369" s="1002"/>
      <c r="O369" s="1002"/>
      <c r="P369" s="1002"/>
      <c r="Q369" s="1002"/>
      <c r="R369" s="1002"/>
      <c r="S369" s="1002"/>
      <c r="T369" s="1002"/>
      <c r="U369" s="1002"/>
      <c r="V369" s="1002"/>
      <c r="W369" s="1002"/>
      <c r="X369" s="1002"/>
      <c r="Y369" s="1002"/>
      <c r="Z369" s="1002"/>
      <c r="AA369" s="1002"/>
      <c r="AB369" s="1002"/>
      <c r="AC369" s="1002"/>
      <c r="AD369" s="1002"/>
      <c r="AE369" s="1002"/>
      <c r="AF369" s="1002"/>
      <c r="AG369" s="1002"/>
      <c r="AH369" s="1002"/>
      <c r="AI369" s="1002"/>
      <c r="AJ369" s="1002"/>
      <c r="AK369" s="1002"/>
      <c r="AL369" s="1002"/>
      <c r="AM369" s="1002"/>
      <c r="AN369" s="1002"/>
      <c r="AO369" s="1002"/>
      <c r="AP369" s="1002"/>
      <c r="AQ369" s="1002"/>
      <c r="AR369" s="1002"/>
      <c r="AS369" s="1002"/>
      <c r="AT369" s="1002"/>
      <c r="AU369" s="1002"/>
      <c r="AV369" s="1002"/>
      <c r="AW369" s="1002"/>
      <c r="AX369" s="1002"/>
      <c r="AY369" s="1002"/>
      <c r="AZ369" s="1002"/>
      <c r="BA369" s="1002"/>
      <c r="BB369" s="1002"/>
      <c r="BC369" s="1002"/>
      <c r="BD369" s="1002"/>
      <c r="BE369" s="204"/>
      <c r="BF369" s="205" t="s">
        <v>487</v>
      </c>
      <c r="BG369" s="204"/>
      <c r="BH369" s="204" t="s">
        <v>407</v>
      </c>
      <c r="BI369" s="204"/>
      <c r="BJ369" s="205" t="s">
        <v>409</v>
      </c>
      <c r="BK369" s="206"/>
    </row>
    <row r="370" spans="1:63" s="164" customFormat="1" ht="15.75" customHeight="1">
      <c r="A370" s="185"/>
      <c r="B370" s="193"/>
      <c r="C370" s="184"/>
      <c r="D370" s="233" t="s">
        <v>752</v>
      </c>
      <c r="E370" s="184"/>
      <c r="F370" s="184"/>
      <c r="G370" s="184"/>
      <c r="H370" s="184"/>
      <c r="I370" s="184"/>
      <c r="J370" s="184"/>
      <c r="K370" s="184"/>
      <c r="L370" s="193"/>
      <c r="M370" s="197"/>
      <c r="N370" s="194"/>
      <c r="O370" s="194"/>
      <c r="P370" s="194"/>
      <c r="Q370" s="194"/>
      <c r="R370" s="194"/>
      <c r="S370" s="194"/>
      <c r="T370" s="194"/>
      <c r="U370" s="194"/>
      <c r="V370" s="194"/>
      <c r="W370" s="194"/>
      <c r="X370" s="194"/>
      <c r="Y370" s="194"/>
      <c r="Z370" s="194"/>
      <c r="AA370" s="194"/>
      <c r="AB370" s="194"/>
      <c r="AC370" s="194"/>
      <c r="AD370" s="194"/>
      <c r="AE370" s="194"/>
      <c r="AF370" s="194"/>
      <c r="AG370" s="194"/>
      <c r="AH370" s="194"/>
      <c r="AI370" s="194"/>
      <c r="AJ370" s="194"/>
      <c r="AK370" s="194"/>
      <c r="AL370" s="194"/>
      <c r="AM370" s="194"/>
      <c r="AN370" s="194"/>
      <c r="AO370" s="194"/>
      <c r="AP370" s="194"/>
      <c r="AQ370" s="194"/>
      <c r="AR370" s="194"/>
      <c r="AS370" s="194"/>
      <c r="AT370" s="194"/>
      <c r="AU370" s="194"/>
      <c r="AV370" s="194"/>
      <c r="AW370" s="194"/>
      <c r="AX370" s="194"/>
      <c r="AY370" s="194"/>
      <c r="AZ370" s="194"/>
      <c r="BA370" s="194"/>
      <c r="BB370" s="194"/>
      <c r="BC370" s="194"/>
      <c r="BD370" s="194"/>
      <c r="BE370" s="204"/>
      <c r="BF370" s="205" t="s">
        <v>487</v>
      </c>
      <c r="BG370" s="204"/>
      <c r="BH370" s="204" t="s">
        <v>407</v>
      </c>
      <c r="BI370" s="204"/>
      <c r="BJ370" s="205" t="s">
        <v>409</v>
      </c>
      <c r="BK370" s="206"/>
    </row>
    <row r="371" spans="1:63" s="164" customFormat="1" ht="15.75" customHeight="1">
      <c r="A371" s="185"/>
      <c r="B371" s="193"/>
      <c r="C371" s="184"/>
      <c r="D371" s="233" t="s">
        <v>753</v>
      </c>
      <c r="E371" s="184"/>
      <c r="F371" s="184"/>
      <c r="G371" s="184"/>
      <c r="H371" s="184"/>
      <c r="I371" s="184"/>
      <c r="J371" s="184"/>
      <c r="K371" s="184"/>
      <c r="L371" s="193"/>
      <c r="M371" s="197"/>
      <c r="N371" s="194"/>
      <c r="O371" s="194"/>
      <c r="P371" s="194"/>
      <c r="Q371" s="194"/>
      <c r="R371" s="194"/>
      <c r="S371" s="194"/>
      <c r="T371" s="194"/>
      <c r="U371" s="194"/>
      <c r="V371" s="194"/>
      <c r="W371" s="194"/>
      <c r="X371" s="194"/>
      <c r="Y371" s="194"/>
      <c r="Z371" s="194"/>
      <c r="AA371" s="194"/>
      <c r="AB371" s="194"/>
      <c r="AC371" s="194"/>
      <c r="AD371" s="194"/>
      <c r="AE371" s="194"/>
      <c r="AF371" s="194"/>
      <c r="AG371" s="194"/>
      <c r="AH371" s="194"/>
      <c r="AI371" s="194"/>
      <c r="AJ371" s="194"/>
      <c r="AK371" s="194"/>
      <c r="AL371" s="194"/>
      <c r="AM371" s="194"/>
      <c r="AN371" s="194"/>
      <c r="AO371" s="194"/>
      <c r="AP371" s="194"/>
      <c r="AQ371" s="194"/>
      <c r="AR371" s="194"/>
      <c r="AS371" s="194"/>
      <c r="AT371" s="194"/>
      <c r="AU371" s="194"/>
      <c r="AV371" s="194"/>
      <c r="AW371" s="194"/>
      <c r="AX371" s="194"/>
      <c r="AY371" s="194"/>
      <c r="AZ371" s="194"/>
      <c r="BA371" s="194"/>
      <c r="BB371" s="194"/>
      <c r="BC371" s="194"/>
      <c r="BD371" s="194"/>
      <c r="BE371" s="204"/>
      <c r="BF371" s="205" t="s">
        <v>487</v>
      </c>
      <c r="BG371" s="204"/>
      <c r="BH371" s="204" t="s">
        <v>407</v>
      </c>
      <c r="BI371" s="204"/>
      <c r="BJ371" s="205" t="s">
        <v>409</v>
      </c>
      <c r="BK371" s="206"/>
    </row>
    <row r="372" spans="1:63" s="164" customFormat="1" ht="146.25" customHeight="1">
      <c r="A372" s="185"/>
      <c r="B372" s="193"/>
      <c r="C372" s="251" t="s">
        <v>411</v>
      </c>
      <c r="D372" s="183" t="s">
        <v>754</v>
      </c>
      <c r="E372" s="184"/>
      <c r="F372" s="184"/>
      <c r="G372" s="184"/>
      <c r="H372" s="184"/>
      <c r="I372" s="184"/>
      <c r="J372" s="184"/>
      <c r="K372" s="184"/>
      <c r="L372" s="193"/>
      <c r="M372" s="1005" t="s">
        <v>755</v>
      </c>
      <c r="N372" s="1005"/>
      <c r="O372" s="1005"/>
      <c r="P372" s="1005"/>
      <c r="Q372" s="1005"/>
      <c r="R372" s="1005"/>
      <c r="S372" s="1005"/>
      <c r="T372" s="1005"/>
      <c r="U372" s="1005"/>
      <c r="V372" s="1005"/>
      <c r="W372" s="1005"/>
      <c r="X372" s="1005"/>
      <c r="Y372" s="1005"/>
      <c r="Z372" s="1005"/>
      <c r="AA372" s="1005"/>
      <c r="AB372" s="1005"/>
      <c r="AC372" s="1005"/>
      <c r="AD372" s="1005"/>
      <c r="AE372" s="1005"/>
      <c r="AF372" s="1005"/>
      <c r="AG372" s="1005"/>
      <c r="AH372" s="1005"/>
      <c r="AI372" s="1005"/>
      <c r="AJ372" s="1005"/>
      <c r="AK372" s="1005"/>
      <c r="AL372" s="1005"/>
      <c r="AM372" s="1005"/>
      <c r="AN372" s="1005"/>
      <c r="AO372" s="1005"/>
      <c r="AP372" s="1005"/>
      <c r="AQ372" s="1005"/>
      <c r="AR372" s="1005"/>
      <c r="AS372" s="1005"/>
      <c r="AT372" s="1005"/>
      <c r="AU372" s="1005"/>
      <c r="AV372" s="1005"/>
      <c r="AW372" s="1005"/>
      <c r="AX372" s="1005"/>
      <c r="AY372" s="1005"/>
      <c r="AZ372" s="1005"/>
      <c r="BA372" s="1005"/>
      <c r="BB372" s="1005"/>
      <c r="BC372" s="1005"/>
      <c r="BD372" s="1005"/>
      <c r="BE372" s="205" t="s">
        <v>486</v>
      </c>
      <c r="BF372" s="205" t="s">
        <v>487</v>
      </c>
      <c r="BG372" s="204"/>
      <c r="BH372" s="204" t="s">
        <v>407</v>
      </c>
      <c r="BI372" s="205" t="s">
        <v>408</v>
      </c>
      <c r="BJ372" s="204"/>
      <c r="BK372" s="206"/>
    </row>
    <row r="373" spans="1:63" s="164" customFormat="1" ht="15.75" customHeight="1">
      <c r="A373" s="185"/>
      <c r="B373" s="193"/>
      <c r="C373" s="184"/>
      <c r="D373" s="183" t="s">
        <v>756</v>
      </c>
      <c r="E373" s="184"/>
      <c r="F373" s="184"/>
      <c r="G373" s="184"/>
      <c r="H373" s="184"/>
      <c r="I373" s="184"/>
      <c r="J373" s="184"/>
      <c r="K373" s="184"/>
      <c r="L373" s="193"/>
      <c r="M373" s="1003"/>
      <c r="N373" s="1002"/>
      <c r="O373" s="1002"/>
      <c r="P373" s="1002"/>
      <c r="Q373" s="1002"/>
      <c r="R373" s="1002"/>
      <c r="S373" s="1002"/>
      <c r="T373" s="1002"/>
      <c r="U373" s="1002"/>
      <c r="V373" s="1002"/>
      <c r="W373" s="1002"/>
      <c r="X373" s="1002"/>
      <c r="Y373" s="1002"/>
      <c r="Z373" s="1002"/>
      <c r="AA373" s="1002"/>
      <c r="AB373" s="1002"/>
      <c r="AC373" s="1002"/>
      <c r="AD373" s="1002"/>
      <c r="AE373" s="1002"/>
      <c r="AF373" s="1002"/>
      <c r="AG373" s="1002"/>
      <c r="AH373" s="1002"/>
      <c r="AI373" s="1002"/>
      <c r="AJ373" s="1002"/>
      <c r="AK373" s="1002"/>
      <c r="AL373" s="1002"/>
      <c r="AM373" s="1002"/>
      <c r="AN373" s="1002"/>
      <c r="AO373" s="1002"/>
      <c r="AP373" s="1002"/>
      <c r="AQ373" s="1002"/>
      <c r="AR373" s="1002"/>
      <c r="AS373" s="1002"/>
      <c r="AT373" s="1002"/>
      <c r="AU373" s="1002"/>
      <c r="AV373" s="1002"/>
      <c r="AW373" s="1002"/>
      <c r="AX373" s="1002"/>
      <c r="AY373" s="1002"/>
      <c r="AZ373" s="1002"/>
      <c r="BA373" s="1002"/>
      <c r="BB373" s="1002"/>
      <c r="BC373" s="1002"/>
      <c r="BD373" s="1002"/>
      <c r="BE373" s="204"/>
      <c r="BF373" s="205" t="s">
        <v>487</v>
      </c>
      <c r="BG373" s="204"/>
      <c r="BH373" s="204" t="s">
        <v>407</v>
      </c>
      <c r="BI373" s="204"/>
      <c r="BJ373" s="204"/>
      <c r="BK373" s="206"/>
    </row>
    <row r="374" spans="1:63" s="164" customFormat="1" ht="15.75" customHeight="1">
      <c r="A374" s="185"/>
      <c r="B374" s="193"/>
      <c r="C374" s="251" t="s">
        <v>411</v>
      </c>
      <c r="D374" s="183" t="s">
        <v>476</v>
      </c>
      <c r="E374" s="184"/>
      <c r="F374" s="184"/>
      <c r="G374" s="184"/>
      <c r="H374" s="184"/>
      <c r="I374" s="184"/>
      <c r="J374" s="184"/>
      <c r="K374" s="184"/>
      <c r="L374" s="193"/>
      <c r="M374" s="1005" t="s">
        <v>757</v>
      </c>
      <c r="N374" s="1005"/>
      <c r="O374" s="1005"/>
      <c r="P374" s="1005"/>
      <c r="Q374" s="1005"/>
      <c r="R374" s="1005"/>
      <c r="S374" s="1005"/>
      <c r="T374" s="1005"/>
      <c r="U374" s="1005"/>
      <c r="V374" s="1005"/>
      <c r="W374" s="1005"/>
      <c r="X374" s="1005"/>
      <c r="Y374" s="1005"/>
      <c r="Z374" s="1005"/>
      <c r="AA374" s="1005"/>
      <c r="AB374" s="1005"/>
      <c r="AC374" s="1005"/>
      <c r="AD374" s="1005"/>
      <c r="AE374" s="1005"/>
      <c r="AF374" s="1005"/>
      <c r="AG374" s="1005"/>
      <c r="AH374" s="1005"/>
      <c r="AI374" s="1005"/>
      <c r="AJ374" s="1005"/>
      <c r="AK374" s="1005"/>
      <c r="AL374" s="1005"/>
      <c r="AM374" s="1005"/>
      <c r="AN374" s="1005"/>
      <c r="AO374" s="1005"/>
      <c r="AP374" s="1005"/>
      <c r="AQ374" s="1005"/>
      <c r="AR374" s="1005"/>
      <c r="AS374" s="1005"/>
      <c r="AT374" s="1005"/>
      <c r="AU374" s="1005"/>
      <c r="AV374" s="1005"/>
      <c r="AW374" s="1005"/>
      <c r="AX374" s="1005"/>
      <c r="AY374" s="1005"/>
      <c r="AZ374" s="1005"/>
      <c r="BA374" s="1005"/>
      <c r="BB374" s="1005"/>
      <c r="BC374" s="1005"/>
      <c r="BD374" s="1005"/>
      <c r="BE374" s="204"/>
      <c r="BF374" s="205" t="s">
        <v>419</v>
      </c>
      <c r="BG374" s="204"/>
      <c r="BH374" s="204" t="s">
        <v>407</v>
      </c>
      <c r="BI374" s="205" t="s">
        <v>408</v>
      </c>
      <c r="BJ374" s="204"/>
      <c r="BK374" s="206"/>
    </row>
    <row r="375" spans="1:63" s="164" customFormat="1" ht="15.75" customHeight="1">
      <c r="A375" s="185"/>
      <c r="B375" s="193"/>
      <c r="C375" s="251" t="s">
        <v>411</v>
      </c>
      <c r="D375" s="183" t="s">
        <v>758</v>
      </c>
      <c r="E375" s="184"/>
      <c r="F375" s="184"/>
      <c r="G375" s="184"/>
      <c r="H375" s="184"/>
      <c r="I375" s="184"/>
      <c r="J375" s="184"/>
      <c r="K375" s="184"/>
      <c r="L375" s="193"/>
      <c r="M375" s="1005" t="s">
        <v>759</v>
      </c>
      <c r="N375" s="1005"/>
      <c r="O375" s="1005"/>
      <c r="P375" s="1005"/>
      <c r="Q375" s="1005"/>
      <c r="R375" s="1005"/>
      <c r="S375" s="1005"/>
      <c r="T375" s="1005"/>
      <c r="U375" s="1005"/>
      <c r="V375" s="1005"/>
      <c r="W375" s="1005"/>
      <c r="X375" s="1005"/>
      <c r="Y375" s="1005"/>
      <c r="Z375" s="1005"/>
      <c r="AA375" s="1005"/>
      <c r="AB375" s="1005"/>
      <c r="AC375" s="1005"/>
      <c r="AD375" s="1005"/>
      <c r="AE375" s="1005"/>
      <c r="AF375" s="1005"/>
      <c r="AG375" s="1005"/>
      <c r="AH375" s="1005"/>
      <c r="AI375" s="1005"/>
      <c r="AJ375" s="1005"/>
      <c r="AK375" s="1005"/>
      <c r="AL375" s="1005"/>
      <c r="AM375" s="1005"/>
      <c r="AN375" s="1005"/>
      <c r="AO375" s="1005"/>
      <c r="AP375" s="1005"/>
      <c r="AQ375" s="1005"/>
      <c r="AR375" s="1005"/>
      <c r="AS375" s="1005"/>
      <c r="AT375" s="1005"/>
      <c r="AU375" s="1005"/>
      <c r="AV375" s="1005"/>
      <c r="AW375" s="1005"/>
      <c r="AX375" s="1005"/>
      <c r="AY375" s="1005"/>
      <c r="AZ375" s="1005"/>
      <c r="BA375" s="1005"/>
      <c r="BB375" s="1005"/>
      <c r="BC375" s="1005"/>
      <c r="BD375" s="1005"/>
      <c r="BE375" s="204"/>
      <c r="BF375" s="205" t="s">
        <v>462</v>
      </c>
      <c r="BG375" s="204"/>
      <c r="BH375" s="204" t="s">
        <v>407</v>
      </c>
      <c r="BI375" s="205" t="s">
        <v>408</v>
      </c>
      <c r="BJ375" s="204"/>
      <c r="BK375" s="206"/>
    </row>
    <row r="376" spans="1:63" s="164" customFormat="1" ht="15.75" customHeight="1">
      <c r="A376" s="185"/>
      <c r="B376" s="193"/>
      <c r="C376" s="251" t="s">
        <v>411</v>
      </c>
      <c r="D376" s="183" t="s">
        <v>760</v>
      </c>
      <c r="E376" s="184"/>
      <c r="F376" s="184"/>
      <c r="G376" s="184"/>
      <c r="H376" s="184"/>
      <c r="I376" s="184"/>
      <c r="J376" s="184"/>
      <c r="K376" s="184"/>
      <c r="L376" s="193"/>
      <c r="M376" s="1005" t="s">
        <v>761</v>
      </c>
      <c r="N376" s="1005"/>
      <c r="O376" s="1005"/>
      <c r="P376" s="1005"/>
      <c r="Q376" s="1005"/>
      <c r="R376" s="1005"/>
      <c r="S376" s="1005"/>
      <c r="T376" s="1005"/>
      <c r="U376" s="1005"/>
      <c r="V376" s="1005"/>
      <c r="W376" s="1005"/>
      <c r="X376" s="1005"/>
      <c r="Y376" s="1005"/>
      <c r="Z376" s="1005"/>
      <c r="AA376" s="1005"/>
      <c r="AB376" s="1005"/>
      <c r="AC376" s="1005"/>
      <c r="AD376" s="1005"/>
      <c r="AE376" s="1005"/>
      <c r="AF376" s="1005"/>
      <c r="AG376" s="1005"/>
      <c r="AH376" s="1005"/>
      <c r="AI376" s="1005"/>
      <c r="AJ376" s="1005"/>
      <c r="AK376" s="1005"/>
      <c r="AL376" s="1005"/>
      <c r="AM376" s="1005"/>
      <c r="AN376" s="1005"/>
      <c r="AO376" s="1005"/>
      <c r="AP376" s="1005"/>
      <c r="AQ376" s="1005"/>
      <c r="AR376" s="1005"/>
      <c r="AS376" s="1005"/>
      <c r="AT376" s="1005"/>
      <c r="AU376" s="1005"/>
      <c r="AV376" s="1005"/>
      <c r="AW376" s="1005"/>
      <c r="AX376" s="1005"/>
      <c r="AY376" s="1005"/>
      <c r="AZ376" s="1005"/>
      <c r="BA376" s="1005"/>
      <c r="BB376" s="1005"/>
      <c r="BC376" s="1005"/>
      <c r="BD376" s="1005"/>
      <c r="BE376" s="205" t="s">
        <v>486</v>
      </c>
      <c r="BF376" s="205" t="s">
        <v>487</v>
      </c>
      <c r="BG376" s="204"/>
      <c r="BH376" s="204" t="s">
        <v>407</v>
      </c>
      <c r="BI376" s="205" t="s">
        <v>408</v>
      </c>
      <c r="BJ376" s="204"/>
      <c r="BK376" s="206"/>
    </row>
    <row r="377" spans="1:63" s="164" customFormat="1" ht="15.75" customHeight="1">
      <c r="A377" s="185"/>
      <c r="B377" s="193"/>
      <c r="C377" s="184"/>
      <c r="D377" s="183" t="s">
        <v>762</v>
      </c>
      <c r="E377" s="184"/>
      <c r="F377" s="184"/>
      <c r="G377" s="184"/>
      <c r="H377" s="184"/>
      <c r="I377" s="184"/>
      <c r="J377" s="184"/>
      <c r="K377" s="184"/>
      <c r="L377" s="193"/>
      <c r="M377" s="1003"/>
      <c r="N377" s="1002"/>
      <c r="O377" s="1002"/>
      <c r="P377" s="1002"/>
      <c r="Q377" s="1002"/>
      <c r="R377" s="1002"/>
      <c r="S377" s="1002"/>
      <c r="T377" s="1002"/>
      <c r="U377" s="1002"/>
      <c r="V377" s="1002"/>
      <c r="W377" s="1002"/>
      <c r="X377" s="1002"/>
      <c r="Y377" s="1002"/>
      <c r="Z377" s="1002"/>
      <c r="AA377" s="1002"/>
      <c r="AB377" s="1002"/>
      <c r="AC377" s="1002"/>
      <c r="AD377" s="1002"/>
      <c r="AE377" s="1002"/>
      <c r="AF377" s="1002"/>
      <c r="AG377" s="1002"/>
      <c r="AH377" s="1002"/>
      <c r="AI377" s="1002"/>
      <c r="AJ377" s="1002"/>
      <c r="AK377" s="1002"/>
      <c r="AL377" s="1002"/>
      <c r="AM377" s="1002"/>
      <c r="AN377" s="1002"/>
      <c r="AO377" s="1002"/>
      <c r="AP377" s="1002"/>
      <c r="AQ377" s="1002"/>
      <c r="AR377" s="1002"/>
      <c r="AS377" s="1002"/>
      <c r="AT377" s="1002"/>
      <c r="AU377" s="1002"/>
      <c r="AV377" s="1002"/>
      <c r="AW377" s="1002"/>
      <c r="AX377" s="1002"/>
      <c r="AY377" s="1002"/>
      <c r="AZ377" s="1002"/>
      <c r="BA377" s="1002"/>
      <c r="BB377" s="1002"/>
      <c r="BC377" s="1002"/>
      <c r="BD377" s="1002"/>
      <c r="BE377" s="204"/>
      <c r="BF377" s="205" t="s">
        <v>487</v>
      </c>
      <c r="BG377" s="204"/>
      <c r="BH377" s="204" t="s">
        <v>407</v>
      </c>
      <c r="BI377" s="204"/>
      <c r="BJ377" s="204"/>
      <c r="BK377" s="206"/>
    </row>
    <row r="378" spans="1:63" s="164" customFormat="1" ht="15.75" customHeight="1">
      <c r="A378" s="185"/>
      <c r="B378" s="193"/>
      <c r="C378" s="251" t="s">
        <v>411</v>
      </c>
      <c r="D378" s="183" t="s">
        <v>300</v>
      </c>
      <c r="E378" s="184"/>
      <c r="F378" s="184"/>
      <c r="G378" s="184"/>
      <c r="H378" s="184"/>
      <c r="I378" s="184"/>
      <c r="J378" s="184"/>
      <c r="K378" s="184"/>
      <c r="L378" s="193"/>
      <c r="M378" s="1005" t="s">
        <v>763</v>
      </c>
      <c r="N378" s="1005"/>
      <c r="O378" s="1005"/>
      <c r="P378" s="1005"/>
      <c r="Q378" s="1005"/>
      <c r="R378" s="1005"/>
      <c r="S378" s="1005"/>
      <c r="T378" s="1005"/>
      <c r="U378" s="1005"/>
      <c r="V378" s="1005"/>
      <c r="W378" s="1005"/>
      <c r="X378" s="1005"/>
      <c r="Y378" s="1005"/>
      <c r="Z378" s="1005"/>
      <c r="AA378" s="1005"/>
      <c r="AB378" s="1005"/>
      <c r="AC378" s="1005"/>
      <c r="AD378" s="1005"/>
      <c r="AE378" s="1005"/>
      <c r="AF378" s="1005"/>
      <c r="AG378" s="1005"/>
      <c r="AH378" s="1005"/>
      <c r="AI378" s="1005"/>
      <c r="AJ378" s="1005"/>
      <c r="AK378" s="1005"/>
      <c r="AL378" s="1005"/>
      <c r="AM378" s="1005"/>
      <c r="AN378" s="1005"/>
      <c r="AO378" s="1005"/>
      <c r="AP378" s="1005"/>
      <c r="AQ378" s="1005"/>
      <c r="AR378" s="1005"/>
      <c r="AS378" s="1005"/>
      <c r="AT378" s="1005"/>
      <c r="AU378" s="1005"/>
      <c r="AV378" s="1005"/>
      <c r="AW378" s="1005"/>
      <c r="AX378" s="1005"/>
      <c r="AY378" s="1005"/>
      <c r="AZ378" s="1005"/>
      <c r="BA378" s="1005"/>
      <c r="BB378" s="1005"/>
      <c r="BC378" s="1005"/>
      <c r="BD378" s="1005"/>
      <c r="BE378" s="204"/>
      <c r="BF378" s="205" t="s">
        <v>548</v>
      </c>
      <c r="BG378" s="204"/>
      <c r="BH378" s="204" t="s">
        <v>407</v>
      </c>
      <c r="BI378" s="205" t="s">
        <v>408</v>
      </c>
      <c r="BJ378" s="204"/>
      <c r="BK378" s="206"/>
    </row>
    <row r="379" spans="1:63" s="164" customFormat="1" ht="15.75" customHeight="1">
      <c r="A379" s="185"/>
      <c r="B379" s="193"/>
      <c r="C379" s="184"/>
      <c r="D379" s="183" t="s">
        <v>764</v>
      </c>
      <c r="E379" s="184"/>
      <c r="F379" s="184"/>
      <c r="G379" s="184"/>
      <c r="H379" s="184"/>
      <c r="I379" s="184"/>
      <c r="J379" s="184"/>
      <c r="K379" s="184"/>
      <c r="L379" s="193"/>
      <c r="M379" s="1003"/>
      <c r="N379" s="1002"/>
      <c r="O379" s="1002"/>
      <c r="P379" s="1002"/>
      <c r="Q379" s="1002"/>
      <c r="R379" s="1002"/>
      <c r="S379" s="1002"/>
      <c r="T379" s="1002"/>
      <c r="U379" s="1002"/>
      <c r="V379" s="1002"/>
      <c r="W379" s="1002"/>
      <c r="X379" s="1002"/>
      <c r="Y379" s="1002"/>
      <c r="Z379" s="1002"/>
      <c r="AA379" s="1002"/>
      <c r="AB379" s="1002"/>
      <c r="AC379" s="1002"/>
      <c r="AD379" s="1002"/>
      <c r="AE379" s="1002"/>
      <c r="AF379" s="1002"/>
      <c r="AG379" s="1002"/>
      <c r="AH379" s="1002"/>
      <c r="AI379" s="1002"/>
      <c r="AJ379" s="1002"/>
      <c r="AK379" s="1002"/>
      <c r="AL379" s="1002"/>
      <c r="AM379" s="1002"/>
      <c r="AN379" s="1002"/>
      <c r="AO379" s="1002"/>
      <c r="AP379" s="1002"/>
      <c r="AQ379" s="1002"/>
      <c r="AR379" s="1002"/>
      <c r="AS379" s="1002"/>
      <c r="AT379" s="1002"/>
      <c r="AU379" s="1002"/>
      <c r="AV379" s="1002"/>
      <c r="AW379" s="1002"/>
      <c r="AX379" s="1002"/>
      <c r="AY379" s="1002"/>
      <c r="AZ379" s="1002"/>
      <c r="BA379" s="1002"/>
      <c r="BB379" s="1002"/>
      <c r="BC379" s="1002"/>
      <c r="BD379" s="1002"/>
      <c r="BE379" s="204"/>
      <c r="BF379" s="205" t="s">
        <v>487</v>
      </c>
      <c r="BG379" s="204"/>
      <c r="BH379" s="204" t="s">
        <v>407</v>
      </c>
      <c r="BI379" s="204"/>
      <c r="BJ379" s="204"/>
      <c r="BK379" s="206"/>
    </row>
    <row r="380" spans="1:63" s="164" customFormat="1" ht="15.75" customHeight="1">
      <c r="A380" s="185"/>
      <c r="B380" s="193"/>
      <c r="C380" s="184"/>
      <c r="D380" s="183" t="s">
        <v>765</v>
      </c>
      <c r="E380" s="184"/>
      <c r="F380" s="184"/>
      <c r="G380" s="184"/>
      <c r="H380" s="184"/>
      <c r="I380" s="184"/>
      <c r="J380" s="184"/>
      <c r="K380" s="184"/>
      <c r="L380" s="193"/>
      <c r="M380" s="1003"/>
      <c r="N380" s="1002"/>
      <c r="O380" s="1002"/>
      <c r="P380" s="1002"/>
      <c r="Q380" s="1002"/>
      <c r="R380" s="1002"/>
      <c r="S380" s="1002"/>
      <c r="T380" s="1002"/>
      <c r="U380" s="1002"/>
      <c r="V380" s="1002"/>
      <c r="W380" s="1002"/>
      <c r="X380" s="1002"/>
      <c r="Y380" s="1002"/>
      <c r="Z380" s="1002"/>
      <c r="AA380" s="1002"/>
      <c r="AB380" s="1002"/>
      <c r="AC380" s="1002"/>
      <c r="AD380" s="1002"/>
      <c r="AE380" s="1002"/>
      <c r="AF380" s="1002"/>
      <c r="AG380" s="1002"/>
      <c r="AH380" s="1002"/>
      <c r="AI380" s="1002"/>
      <c r="AJ380" s="1002"/>
      <c r="AK380" s="1002"/>
      <c r="AL380" s="1002"/>
      <c r="AM380" s="1002"/>
      <c r="AN380" s="1002"/>
      <c r="AO380" s="1002"/>
      <c r="AP380" s="1002"/>
      <c r="AQ380" s="1002"/>
      <c r="AR380" s="1002"/>
      <c r="AS380" s="1002"/>
      <c r="AT380" s="1002"/>
      <c r="AU380" s="1002"/>
      <c r="AV380" s="1002"/>
      <c r="AW380" s="1002"/>
      <c r="AX380" s="1002"/>
      <c r="AY380" s="1002"/>
      <c r="AZ380" s="1002"/>
      <c r="BA380" s="1002"/>
      <c r="BB380" s="1002"/>
      <c r="BC380" s="1002"/>
      <c r="BD380" s="1002"/>
      <c r="BE380" s="204"/>
      <c r="BF380" s="205" t="s">
        <v>487</v>
      </c>
      <c r="BG380" s="204"/>
      <c r="BH380" s="204" t="s">
        <v>407</v>
      </c>
      <c r="BI380" s="204"/>
      <c r="BJ380" s="204"/>
      <c r="BK380" s="206"/>
    </row>
    <row r="381" spans="1:63" s="164" customFormat="1" ht="15.75" customHeight="1">
      <c r="A381" s="185"/>
      <c r="B381" s="193"/>
      <c r="C381" s="184"/>
      <c r="D381" s="183" t="s">
        <v>766</v>
      </c>
      <c r="E381" s="184"/>
      <c r="F381" s="184"/>
      <c r="G381" s="184"/>
      <c r="H381" s="184"/>
      <c r="I381" s="184"/>
      <c r="J381" s="184"/>
      <c r="K381" s="184"/>
      <c r="L381" s="193"/>
      <c r="M381" s="1003"/>
      <c r="N381" s="1002"/>
      <c r="O381" s="1002"/>
      <c r="P381" s="1002"/>
      <c r="Q381" s="1002"/>
      <c r="R381" s="1002"/>
      <c r="S381" s="1002"/>
      <c r="T381" s="1002"/>
      <c r="U381" s="1002"/>
      <c r="V381" s="1002"/>
      <c r="W381" s="1002"/>
      <c r="X381" s="1002"/>
      <c r="Y381" s="1002"/>
      <c r="Z381" s="1002"/>
      <c r="AA381" s="1002"/>
      <c r="AB381" s="1002"/>
      <c r="AC381" s="1002"/>
      <c r="AD381" s="1002"/>
      <c r="AE381" s="1002"/>
      <c r="AF381" s="1002"/>
      <c r="AG381" s="1002"/>
      <c r="AH381" s="1002"/>
      <c r="AI381" s="1002"/>
      <c r="AJ381" s="1002"/>
      <c r="AK381" s="1002"/>
      <c r="AL381" s="1002"/>
      <c r="AM381" s="1002"/>
      <c r="AN381" s="1002"/>
      <c r="AO381" s="1002"/>
      <c r="AP381" s="1002"/>
      <c r="AQ381" s="1002"/>
      <c r="AR381" s="1002"/>
      <c r="AS381" s="1002"/>
      <c r="AT381" s="1002"/>
      <c r="AU381" s="1002"/>
      <c r="AV381" s="1002"/>
      <c r="AW381" s="1002"/>
      <c r="AX381" s="1002"/>
      <c r="AY381" s="1002"/>
      <c r="AZ381" s="1002"/>
      <c r="BA381" s="1002"/>
      <c r="BB381" s="1002"/>
      <c r="BC381" s="1002"/>
      <c r="BD381" s="1002"/>
      <c r="BE381" s="204"/>
      <c r="BF381" s="205" t="s">
        <v>548</v>
      </c>
      <c r="BG381" s="204"/>
      <c r="BH381" s="204" t="s">
        <v>407</v>
      </c>
      <c r="BI381" s="204"/>
      <c r="BJ381" s="204"/>
      <c r="BK381" s="206"/>
    </row>
    <row r="382" spans="1:63" s="164" customFormat="1" ht="15.75" customHeight="1">
      <c r="A382" s="185"/>
      <c r="B382" s="193"/>
      <c r="C382" s="184"/>
      <c r="D382" s="183" t="s">
        <v>767</v>
      </c>
      <c r="E382" s="184"/>
      <c r="F382" s="184"/>
      <c r="G382" s="184"/>
      <c r="H382" s="184"/>
      <c r="I382" s="184"/>
      <c r="J382" s="184"/>
      <c r="K382" s="184"/>
      <c r="L382" s="193"/>
      <c r="M382" s="1003"/>
      <c r="N382" s="1002"/>
      <c r="O382" s="1002"/>
      <c r="P382" s="1002"/>
      <c r="Q382" s="1002"/>
      <c r="R382" s="1002"/>
      <c r="S382" s="1002"/>
      <c r="T382" s="1002"/>
      <c r="U382" s="1002"/>
      <c r="V382" s="1002"/>
      <c r="W382" s="1002"/>
      <c r="X382" s="1002"/>
      <c r="Y382" s="1002"/>
      <c r="Z382" s="1002"/>
      <c r="AA382" s="1002"/>
      <c r="AB382" s="1002"/>
      <c r="AC382" s="1002"/>
      <c r="AD382" s="1002"/>
      <c r="AE382" s="1002"/>
      <c r="AF382" s="1002"/>
      <c r="AG382" s="1002"/>
      <c r="AH382" s="1002"/>
      <c r="AI382" s="1002"/>
      <c r="AJ382" s="1002"/>
      <c r="AK382" s="1002"/>
      <c r="AL382" s="1002"/>
      <c r="AM382" s="1002"/>
      <c r="AN382" s="1002"/>
      <c r="AO382" s="1002"/>
      <c r="AP382" s="1002"/>
      <c r="AQ382" s="1002"/>
      <c r="AR382" s="1002"/>
      <c r="AS382" s="1002"/>
      <c r="AT382" s="1002"/>
      <c r="AU382" s="1002"/>
      <c r="AV382" s="1002"/>
      <c r="AW382" s="1002"/>
      <c r="AX382" s="1002"/>
      <c r="AY382" s="1002"/>
      <c r="AZ382" s="1002"/>
      <c r="BA382" s="1002"/>
      <c r="BB382" s="1002"/>
      <c r="BC382" s="1002"/>
      <c r="BD382" s="1002"/>
      <c r="BE382" s="204"/>
      <c r="BF382" s="205" t="s">
        <v>548</v>
      </c>
      <c r="BG382" s="204"/>
      <c r="BH382" s="204" t="s">
        <v>407</v>
      </c>
      <c r="BI382" s="204"/>
      <c r="BJ382" s="204"/>
      <c r="BK382" s="209" t="s">
        <v>514</v>
      </c>
    </row>
    <row r="383" spans="1:63" s="164" customFormat="1" ht="15.75" customHeight="1">
      <c r="A383" s="185"/>
      <c r="B383" s="193"/>
      <c r="C383" s="184"/>
      <c r="D383" s="183" t="s">
        <v>768</v>
      </c>
      <c r="E383" s="184"/>
      <c r="F383" s="184"/>
      <c r="G383" s="184"/>
      <c r="H383" s="184"/>
      <c r="I383" s="184"/>
      <c r="J383" s="184"/>
      <c r="K383" s="184"/>
      <c r="L383" s="193"/>
      <c r="M383" s="1003"/>
      <c r="N383" s="1002"/>
      <c r="O383" s="1002"/>
      <c r="P383" s="1002"/>
      <c r="Q383" s="1002"/>
      <c r="R383" s="1002"/>
      <c r="S383" s="1002"/>
      <c r="T383" s="1002"/>
      <c r="U383" s="1002"/>
      <c r="V383" s="1002"/>
      <c r="W383" s="1002"/>
      <c r="X383" s="1002"/>
      <c r="Y383" s="1002"/>
      <c r="Z383" s="1002"/>
      <c r="AA383" s="1002"/>
      <c r="AB383" s="1002"/>
      <c r="AC383" s="1002"/>
      <c r="AD383" s="1002"/>
      <c r="AE383" s="1002"/>
      <c r="AF383" s="1002"/>
      <c r="AG383" s="1002"/>
      <c r="AH383" s="1002"/>
      <c r="AI383" s="1002"/>
      <c r="AJ383" s="1002"/>
      <c r="AK383" s="1002"/>
      <c r="AL383" s="1002"/>
      <c r="AM383" s="1002"/>
      <c r="AN383" s="1002"/>
      <c r="AO383" s="1002"/>
      <c r="AP383" s="1002"/>
      <c r="AQ383" s="1002"/>
      <c r="AR383" s="1002"/>
      <c r="AS383" s="1002"/>
      <c r="AT383" s="1002"/>
      <c r="AU383" s="1002"/>
      <c r="AV383" s="1002"/>
      <c r="AW383" s="1002"/>
      <c r="AX383" s="1002"/>
      <c r="AY383" s="1002"/>
      <c r="AZ383" s="1002"/>
      <c r="BA383" s="1002"/>
      <c r="BB383" s="1002"/>
      <c r="BC383" s="1002"/>
      <c r="BD383" s="1002"/>
      <c r="BE383" s="204"/>
      <c r="BF383" s="205" t="s">
        <v>548</v>
      </c>
      <c r="BG383" s="204"/>
      <c r="BH383" s="204" t="s">
        <v>407</v>
      </c>
      <c r="BI383" s="204"/>
      <c r="BJ383" s="204"/>
      <c r="BK383" s="209" t="s">
        <v>514</v>
      </c>
    </row>
    <row r="384" spans="1:63" s="164" customFormat="1" ht="15.75" customHeight="1">
      <c r="A384" s="185"/>
      <c r="B384" s="193"/>
      <c r="C384" s="184"/>
      <c r="D384" s="183" t="s">
        <v>769</v>
      </c>
      <c r="E384" s="184"/>
      <c r="F384" s="184"/>
      <c r="G384" s="184"/>
      <c r="H384" s="184"/>
      <c r="I384" s="184"/>
      <c r="J384" s="184"/>
      <c r="K384" s="184"/>
      <c r="L384" s="193"/>
      <c r="M384" s="1003"/>
      <c r="N384" s="1002"/>
      <c r="O384" s="1002"/>
      <c r="P384" s="1002"/>
      <c r="Q384" s="1002"/>
      <c r="R384" s="1002"/>
      <c r="S384" s="1002"/>
      <c r="T384" s="1002"/>
      <c r="U384" s="1002"/>
      <c r="V384" s="1002"/>
      <c r="W384" s="1002"/>
      <c r="X384" s="1002"/>
      <c r="Y384" s="1002"/>
      <c r="Z384" s="1002"/>
      <c r="AA384" s="1002"/>
      <c r="AB384" s="1002"/>
      <c r="AC384" s="1002"/>
      <c r="AD384" s="1002"/>
      <c r="AE384" s="1002"/>
      <c r="AF384" s="1002"/>
      <c r="AG384" s="1002"/>
      <c r="AH384" s="1002"/>
      <c r="AI384" s="1002"/>
      <c r="AJ384" s="1002"/>
      <c r="AK384" s="1002"/>
      <c r="AL384" s="1002"/>
      <c r="AM384" s="1002"/>
      <c r="AN384" s="1002"/>
      <c r="AO384" s="1002"/>
      <c r="AP384" s="1002"/>
      <c r="AQ384" s="1002"/>
      <c r="AR384" s="1002"/>
      <c r="AS384" s="1002"/>
      <c r="AT384" s="1002"/>
      <c r="AU384" s="1002"/>
      <c r="AV384" s="1002"/>
      <c r="AW384" s="1002"/>
      <c r="AX384" s="1002"/>
      <c r="AY384" s="1002"/>
      <c r="AZ384" s="1002"/>
      <c r="BA384" s="1002"/>
      <c r="BB384" s="1002"/>
      <c r="BC384" s="1002"/>
      <c r="BD384" s="1002"/>
      <c r="BE384" s="204"/>
      <c r="BF384" s="205" t="s">
        <v>487</v>
      </c>
      <c r="BG384" s="204"/>
      <c r="BH384" s="204" t="s">
        <v>407</v>
      </c>
      <c r="BI384" s="204"/>
      <c r="BJ384" s="204"/>
      <c r="BK384" s="209" t="s">
        <v>514</v>
      </c>
    </row>
    <row r="385" spans="1:63" s="164" customFormat="1" ht="15.75" customHeight="1">
      <c r="A385" s="185"/>
      <c r="B385" s="193"/>
      <c r="C385" s="184"/>
      <c r="D385" s="183" t="s">
        <v>770</v>
      </c>
      <c r="E385" s="184"/>
      <c r="F385" s="184"/>
      <c r="G385" s="184"/>
      <c r="H385" s="184"/>
      <c r="I385" s="184"/>
      <c r="J385" s="184"/>
      <c r="K385" s="184"/>
      <c r="L385" s="193"/>
      <c r="M385" s="1003"/>
      <c r="N385" s="1002"/>
      <c r="O385" s="1002"/>
      <c r="P385" s="1002"/>
      <c r="Q385" s="1002"/>
      <c r="R385" s="1002"/>
      <c r="S385" s="1002"/>
      <c r="T385" s="1002"/>
      <c r="U385" s="1002"/>
      <c r="V385" s="1002"/>
      <c r="W385" s="1002"/>
      <c r="X385" s="1002"/>
      <c r="Y385" s="1002"/>
      <c r="Z385" s="1002"/>
      <c r="AA385" s="1002"/>
      <c r="AB385" s="1002"/>
      <c r="AC385" s="1002"/>
      <c r="AD385" s="1002"/>
      <c r="AE385" s="1002"/>
      <c r="AF385" s="1002"/>
      <c r="AG385" s="1002"/>
      <c r="AH385" s="1002"/>
      <c r="AI385" s="1002"/>
      <c r="AJ385" s="1002"/>
      <c r="AK385" s="1002"/>
      <c r="AL385" s="1002"/>
      <c r="AM385" s="1002"/>
      <c r="AN385" s="1002"/>
      <c r="AO385" s="1002"/>
      <c r="AP385" s="1002"/>
      <c r="AQ385" s="1002"/>
      <c r="AR385" s="1002"/>
      <c r="AS385" s="1002"/>
      <c r="AT385" s="1002"/>
      <c r="AU385" s="1002"/>
      <c r="AV385" s="1002"/>
      <c r="AW385" s="1002"/>
      <c r="AX385" s="1002"/>
      <c r="AY385" s="1002"/>
      <c r="AZ385" s="1002"/>
      <c r="BA385" s="1002"/>
      <c r="BB385" s="1002"/>
      <c r="BC385" s="1002"/>
      <c r="BD385" s="1002"/>
      <c r="BE385" s="204"/>
      <c r="BF385" s="205" t="s">
        <v>487</v>
      </c>
      <c r="BG385" s="204"/>
      <c r="BH385" s="204" t="s">
        <v>407</v>
      </c>
      <c r="BI385" s="204"/>
      <c r="BJ385" s="204"/>
      <c r="BK385" s="209" t="s">
        <v>514</v>
      </c>
    </row>
    <row r="386" spans="1:63" s="164" customFormat="1" ht="15.75" customHeight="1">
      <c r="A386" s="185"/>
      <c r="B386" s="193"/>
      <c r="C386" s="251" t="s">
        <v>411</v>
      </c>
      <c r="D386" s="183" t="s">
        <v>544</v>
      </c>
      <c r="E386" s="184"/>
      <c r="F386" s="184"/>
      <c r="G386" s="184"/>
      <c r="H386" s="184"/>
      <c r="I386" s="184"/>
      <c r="J386" s="184"/>
      <c r="K386" s="184"/>
      <c r="L386" s="193"/>
      <c r="M386" s="1003" t="s">
        <v>771</v>
      </c>
      <c r="N386" s="1002"/>
      <c r="O386" s="1002"/>
      <c r="P386" s="1002"/>
      <c r="Q386" s="1002"/>
      <c r="R386" s="1002"/>
      <c r="S386" s="1002"/>
      <c r="T386" s="1002"/>
      <c r="U386" s="1002"/>
      <c r="V386" s="1002"/>
      <c r="W386" s="1002"/>
      <c r="X386" s="1002"/>
      <c r="Y386" s="1002"/>
      <c r="Z386" s="1002"/>
      <c r="AA386" s="1002"/>
      <c r="AB386" s="1002"/>
      <c r="AC386" s="1002"/>
      <c r="AD386" s="1002"/>
      <c r="AE386" s="1002"/>
      <c r="AF386" s="1002"/>
      <c r="AG386" s="1002"/>
      <c r="AH386" s="1002"/>
      <c r="AI386" s="1002"/>
      <c r="AJ386" s="1002"/>
      <c r="AK386" s="1002"/>
      <c r="AL386" s="1002"/>
      <c r="AM386" s="1002"/>
      <c r="AN386" s="1002"/>
      <c r="AO386" s="1002"/>
      <c r="AP386" s="1002"/>
      <c r="AQ386" s="1002"/>
      <c r="AR386" s="1002"/>
      <c r="AS386" s="1002"/>
      <c r="AT386" s="1002"/>
      <c r="AU386" s="1002"/>
      <c r="AV386" s="1002"/>
      <c r="AW386" s="1002"/>
      <c r="AX386" s="1002"/>
      <c r="AY386" s="1002"/>
      <c r="AZ386" s="1002"/>
      <c r="BA386" s="1002"/>
      <c r="BB386" s="1002"/>
      <c r="BC386" s="1002"/>
      <c r="BD386" s="1002"/>
      <c r="BE386" s="205" t="s">
        <v>486</v>
      </c>
      <c r="BF386" s="205" t="s">
        <v>487</v>
      </c>
      <c r="BG386" s="204"/>
      <c r="BH386" s="204" t="s">
        <v>407</v>
      </c>
      <c r="BI386" s="205" t="s">
        <v>408</v>
      </c>
      <c r="BJ386" s="204"/>
      <c r="BK386" s="206"/>
    </row>
    <row r="387" spans="1:63" s="164" customFormat="1" ht="15.75" customHeight="1">
      <c r="A387" s="185"/>
      <c r="B387" s="193"/>
      <c r="C387" s="184"/>
      <c r="D387" s="183" t="s">
        <v>545</v>
      </c>
      <c r="E387" s="184"/>
      <c r="F387" s="184"/>
      <c r="G387" s="184"/>
      <c r="H387" s="184"/>
      <c r="I387" s="184"/>
      <c r="J387" s="184"/>
      <c r="K387" s="184"/>
      <c r="L387" s="193"/>
      <c r="M387" s="1003"/>
      <c r="N387" s="1002"/>
      <c r="O387" s="1002"/>
      <c r="P387" s="1002"/>
      <c r="Q387" s="1002"/>
      <c r="R387" s="1002"/>
      <c r="S387" s="1002"/>
      <c r="T387" s="1002"/>
      <c r="U387" s="1002"/>
      <c r="V387" s="1002"/>
      <c r="W387" s="1002"/>
      <c r="X387" s="1002"/>
      <c r="Y387" s="1002"/>
      <c r="Z387" s="1002"/>
      <c r="AA387" s="1002"/>
      <c r="AB387" s="1002"/>
      <c r="AC387" s="1002"/>
      <c r="AD387" s="1002"/>
      <c r="AE387" s="1002"/>
      <c r="AF387" s="1002"/>
      <c r="AG387" s="1002"/>
      <c r="AH387" s="1002"/>
      <c r="AI387" s="1002"/>
      <c r="AJ387" s="1002"/>
      <c r="AK387" s="1002"/>
      <c r="AL387" s="1002"/>
      <c r="AM387" s="1002"/>
      <c r="AN387" s="1002"/>
      <c r="AO387" s="1002"/>
      <c r="AP387" s="1002"/>
      <c r="AQ387" s="1002"/>
      <c r="AR387" s="1002"/>
      <c r="AS387" s="1002"/>
      <c r="AT387" s="1002"/>
      <c r="AU387" s="1002"/>
      <c r="AV387" s="1002"/>
      <c r="AW387" s="1002"/>
      <c r="AX387" s="1002"/>
      <c r="AY387" s="1002"/>
      <c r="AZ387" s="1002"/>
      <c r="BA387" s="1002"/>
      <c r="BB387" s="1002"/>
      <c r="BC387" s="1002"/>
      <c r="BD387" s="1002"/>
      <c r="BE387" s="204"/>
      <c r="BF387" s="205" t="s">
        <v>487</v>
      </c>
      <c r="BG387" s="204"/>
      <c r="BH387" s="204" t="s">
        <v>407</v>
      </c>
      <c r="BI387" s="204"/>
      <c r="BJ387" s="204"/>
      <c r="BK387" s="206"/>
    </row>
    <row r="388" spans="1:63" s="164" customFormat="1" ht="31.5" customHeight="1">
      <c r="A388" s="185"/>
      <c r="B388" s="193"/>
      <c r="C388" s="251" t="s">
        <v>411</v>
      </c>
      <c r="D388" s="183" t="s">
        <v>772</v>
      </c>
      <c r="E388" s="184"/>
      <c r="F388" s="184"/>
      <c r="G388" s="184"/>
      <c r="H388" s="184"/>
      <c r="I388" s="184"/>
      <c r="J388" s="184"/>
      <c r="K388" s="184"/>
      <c r="L388" s="193"/>
      <c r="M388" s="1005" t="s">
        <v>773</v>
      </c>
      <c r="N388" s="1005"/>
      <c r="O388" s="1005"/>
      <c r="P388" s="1005"/>
      <c r="Q388" s="1005"/>
      <c r="R388" s="1005"/>
      <c r="S388" s="1005"/>
      <c r="T388" s="1005"/>
      <c r="U388" s="1005"/>
      <c r="V388" s="1005"/>
      <c r="W388" s="1005"/>
      <c r="X388" s="1005"/>
      <c r="Y388" s="1005"/>
      <c r="Z388" s="1005"/>
      <c r="AA388" s="1005"/>
      <c r="AB388" s="1005"/>
      <c r="AC388" s="1005"/>
      <c r="AD388" s="1005"/>
      <c r="AE388" s="1005"/>
      <c r="AF388" s="1005"/>
      <c r="AG388" s="1005"/>
      <c r="AH388" s="1005"/>
      <c r="AI388" s="1005"/>
      <c r="AJ388" s="1005"/>
      <c r="AK388" s="1005"/>
      <c r="AL388" s="1005"/>
      <c r="AM388" s="1005"/>
      <c r="AN388" s="1005"/>
      <c r="AO388" s="1005"/>
      <c r="AP388" s="1005"/>
      <c r="AQ388" s="1005"/>
      <c r="AR388" s="1005"/>
      <c r="AS388" s="1005"/>
      <c r="AT388" s="1005"/>
      <c r="AU388" s="1005"/>
      <c r="AV388" s="1005"/>
      <c r="AW388" s="1005"/>
      <c r="AX388" s="1005"/>
      <c r="AY388" s="1005"/>
      <c r="AZ388" s="1005"/>
      <c r="BA388" s="1005"/>
      <c r="BB388" s="1005"/>
      <c r="BC388" s="1005"/>
      <c r="BD388" s="1005"/>
      <c r="BE388" s="204"/>
      <c r="BF388" s="205" t="s">
        <v>548</v>
      </c>
      <c r="BG388" s="204"/>
      <c r="BH388" s="204" t="s">
        <v>407</v>
      </c>
      <c r="BI388" s="205" t="s">
        <v>408</v>
      </c>
      <c r="BJ388" s="204"/>
      <c r="BK388" s="206"/>
    </row>
    <row r="389" spans="1:63" s="164" customFormat="1" ht="73.5" customHeight="1">
      <c r="A389" s="185"/>
      <c r="B389" s="193"/>
      <c r="C389" s="251" t="s">
        <v>411</v>
      </c>
      <c r="D389" s="183" t="s">
        <v>774</v>
      </c>
      <c r="E389" s="184"/>
      <c r="F389" s="184"/>
      <c r="G389" s="184"/>
      <c r="H389" s="184"/>
      <c r="I389" s="184"/>
      <c r="J389" s="184"/>
      <c r="K389" s="184"/>
      <c r="L389" s="193"/>
      <c r="M389" s="1007" t="s">
        <v>775</v>
      </c>
      <c r="N389" s="1008"/>
      <c r="O389" s="1008"/>
      <c r="P389" s="1008"/>
      <c r="Q389" s="1008"/>
      <c r="R389" s="1008"/>
      <c r="S389" s="1008"/>
      <c r="T389" s="1008"/>
      <c r="U389" s="1008"/>
      <c r="V389" s="1008"/>
      <c r="W389" s="1008"/>
      <c r="X389" s="1008"/>
      <c r="Y389" s="1008"/>
      <c r="Z389" s="1008"/>
      <c r="AA389" s="1008"/>
      <c r="AB389" s="1008"/>
      <c r="AC389" s="1008"/>
      <c r="AD389" s="1008"/>
      <c r="AE389" s="1008"/>
      <c r="AF389" s="1008"/>
      <c r="AG389" s="1008"/>
      <c r="AH389" s="1008"/>
      <c r="AI389" s="1008"/>
      <c r="AJ389" s="1008"/>
      <c r="AK389" s="1008"/>
      <c r="AL389" s="1008"/>
      <c r="AM389" s="1008"/>
      <c r="AN389" s="1008"/>
      <c r="AO389" s="1008"/>
      <c r="AP389" s="1008"/>
      <c r="AQ389" s="1008"/>
      <c r="AR389" s="1008"/>
      <c r="AS389" s="1008"/>
      <c r="AT389" s="1008"/>
      <c r="AU389" s="1008"/>
      <c r="AV389" s="1008"/>
      <c r="AW389" s="1008"/>
      <c r="AX389" s="1008"/>
      <c r="AY389" s="1008"/>
      <c r="AZ389" s="1008"/>
      <c r="BA389" s="1008"/>
      <c r="BB389" s="1008"/>
      <c r="BC389" s="1008"/>
      <c r="BD389" s="1009"/>
      <c r="BE389" s="205" t="s">
        <v>486</v>
      </c>
      <c r="BF389" s="205" t="s">
        <v>487</v>
      </c>
      <c r="BG389" s="204"/>
      <c r="BH389" s="204" t="s">
        <v>407</v>
      </c>
      <c r="BI389" s="205" t="s">
        <v>408</v>
      </c>
      <c r="BJ389" s="204"/>
      <c r="BK389" s="206"/>
    </row>
    <row r="390" spans="1:63" s="164" customFormat="1" ht="15.75" customHeight="1">
      <c r="A390" s="185"/>
      <c r="B390" s="193"/>
      <c r="C390" s="184"/>
      <c r="D390" s="183" t="s">
        <v>776</v>
      </c>
      <c r="E390" s="184"/>
      <c r="F390" s="184"/>
      <c r="G390" s="184"/>
      <c r="H390" s="184"/>
      <c r="I390" s="184"/>
      <c r="J390" s="184"/>
      <c r="K390" s="184"/>
      <c r="L390" s="193"/>
      <c r="M390" s="1003"/>
      <c r="N390" s="1002"/>
      <c r="O390" s="1002"/>
      <c r="P390" s="1002"/>
      <c r="Q390" s="1002"/>
      <c r="R390" s="1002"/>
      <c r="S390" s="1002"/>
      <c r="T390" s="1002"/>
      <c r="U390" s="1002"/>
      <c r="V390" s="1002"/>
      <c r="W390" s="1002"/>
      <c r="X390" s="1002"/>
      <c r="Y390" s="1002"/>
      <c r="Z390" s="1002"/>
      <c r="AA390" s="1002"/>
      <c r="AB390" s="1002"/>
      <c r="AC390" s="1002"/>
      <c r="AD390" s="1002"/>
      <c r="AE390" s="1002"/>
      <c r="AF390" s="1002"/>
      <c r="AG390" s="1002"/>
      <c r="AH390" s="1002"/>
      <c r="AI390" s="1002"/>
      <c r="AJ390" s="1002"/>
      <c r="AK390" s="1002"/>
      <c r="AL390" s="1002"/>
      <c r="AM390" s="1002"/>
      <c r="AN390" s="1002"/>
      <c r="AO390" s="1002"/>
      <c r="AP390" s="1002"/>
      <c r="AQ390" s="1002"/>
      <c r="AR390" s="1002"/>
      <c r="AS390" s="1002"/>
      <c r="AT390" s="1002"/>
      <c r="AU390" s="1002"/>
      <c r="AV390" s="1002"/>
      <c r="AW390" s="1002"/>
      <c r="AX390" s="1002"/>
      <c r="AY390" s="1002"/>
      <c r="AZ390" s="1002"/>
      <c r="BA390" s="1002"/>
      <c r="BB390" s="1002"/>
      <c r="BC390" s="1002"/>
      <c r="BD390" s="1002"/>
      <c r="BE390" s="204"/>
      <c r="BF390" s="205" t="s">
        <v>487</v>
      </c>
      <c r="BG390" s="204"/>
      <c r="BH390" s="204" t="s">
        <v>407</v>
      </c>
      <c r="BI390" s="204"/>
      <c r="BJ390" s="204"/>
      <c r="BK390" s="206"/>
    </row>
    <row r="391" spans="1:63" s="164" customFormat="1" ht="66.75" customHeight="1">
      <c r="A391" s="185"/>
      <c r="B391" s="193"/>
      <c r="C391" s="251" t="s">
        <v>411</v>
      </c>
      <c r="D391" s="183" t="s">
        <v>777</v>
      </c>
      <c r="E391" s="184"/>
      <c r="F391" s="184"/>
      <c r="G391" s="184"/>
      <c r="H391" s="184"/>
      <c r="I391" s="184"/>
      <c r="J391" s="184"/>
      <c r="K391" s="184"/>
      <c r="L391" s="193"/>
      <c r="M391" s="1005" t="s">
        <v>778</v>
      </c>
      <c r="N391" s="1005"/>
      <c r="O391" s="1005"/>
      <c r="P391" s="1005"/>
      <c r="Q391" s="1005"/>
      <c r="R391" s="1005"/>
      <c r="S391" s="1005"/>
      <c r="T391" s="1005"/>
      <c r="U391" s="1005"/>
      <c r="V391" s="1005"/>
      <c r="W391" s="1005"/>
      <c r="X391" s="1005"/>
      <c r="Y391" s="1005"/>
      <c r="Z391" s="1005"/>
      <c r="AA391" s="1005"/>
      <c r="AB391" s="1005"/>
      <c r="AC391" s="1005"/>
      <c r="AD391" s="1005"/>
      <c r="AE391" s="1005"/>
      <c r="AF391" s="1005"/>
      <c r="AG391" s="1005"/>
      <c r="AH391" s="1005"/>
      <c r="AI391" s="1005"/>
      <c r="AJ391" s="1005"/>
      <c r="AK391" s="1005"/>
      <c r="AL391" s="1005"/>
      <c r="AM391" s="1005"/>
      <c r="AN391" s="1005"/>
      <c r="AO391" s="1005"/>
      <c r="AP391" s="1005"/>
      <c r="AQ391" s="1005"/>
      <c r="AR391" s="1005"/>
      <c r="AS391" s="1005"/>
      <c r="AT391" s="1005"/>
      <c r="AU391" s="1005"/>
      <c r="AV391" s="1005"/>
      <c r="AW391" s="1005"/>
      <c r="AX391" s="1005"/>
      <c r="AY391" s="1005"/>
      <c r="AZ391" s="1005"/>
      <c r="BA391" s="1005"/>
      <c r="BB391" s="1005"/>
      <c r="BC391" s="1005"/>
      <c r="BD391" s="1005"/>
      <c r="BE391" s="204"/>
      <c r="BF391" s="205" t="s">
        <v>419</v>
      </c>
      <c r="BG391" s="204"/>
      <c r="BH391" s="204" t="s">
        <v>407</v>
      </c>
      <c r="BI391" s="205" t="s">
        <v>408</v>
      </c>
      <c r="BJ391" s="204"/>
      <c r="BK391" s="206"/>
    </row>
    <row r="392" spans="1:63" s="164" customFormat="1" ht="82.5" customHeight="1">
      <c r="A392" s="185"/>
      <c r="B392" s="193"/>
      <c r="C392" s="251" t="s">
        <v>411</v>
      </c>
      <c r="D392" s="183" t="s">
        <v>779</v>
      </c>
      <c r="E392" s="184"/>
      <c r="F392" s="184"/>
      <c r="G392" s="184"/>
      <c r="H392" s="184"/>
      <c r="I392" s="184"/>
      <c r="J392" s="184"/>
      <c r="K392" s="184"/>
      <c r="L392" s="193"/>
      <c r="M392" s="1005" t="s">
        <v>780</v>
      </c>
      <c r="N392" s="1005"/>
      <c r="O392" s="1005"/>
      <c r="P392" s="1005"/>
      <c r="Q392" s="1005"/>
      <c r="R392" s="1005"/>
      <c r="S392" s="1005"/>
      <c r="T392" s="1005"/>
      <c r="U392" s="1005"/>
      <c r="V392" s="1005"/>
      <c r="W392" s="1005"/>
      <c r="X392" s="1005"/>
      <c r="Y392" s="1005"/>
      <c r="Z392" s="1005"/>
      <c r="AA392" s="1005"/>
      <c r="AB392" s="1005"/>
      <c r="AC392" s="1005"/>
      <c r="AD392" s="1005"/>
      <c r="AE392" s="1005"/>
      <c r="AF392" s="1005"/>
      <c r="AG392" s="1005"/>
      <c r="AH392" s="1005"/>
      <c r="AI392" s="1005"/>
      <c r="AJ392" s="1005"/>
      <c r="AK392" s="1005"/>
      <c r="AL392" s="1005"/>
      <c r="AM392" s="1005"/>
      <c r="AN392" s="1005"/>
      <c r="AO392" s="1005"/>
      <c r="AP392" s="1005"/>
      <c r="AQ392" s="1005"/>
      <c r="AR392" s="1005"/>
      <c r="AS392" s="1005"/>
      <c r="AT392" s="1005"/>
      <c r="AU392" s="1005"/>
      <c r="AV392" s="1005"/>
      <c r="AW392" s="1005"/>
      <c r="AX392" s="1005"/>
      <c r="AY392" s="1005"/>
      <c r="AZ392" s="1005"/>
      <c r="BA392" s="1005"/>
      <c r="BB392" s="1005"/>
      <c r="BC392" s="1005"/>
      <c r="BD392" s="1005"/>
      <c r="BE392" s="204"/>
      <c r="BF392" s="205" t="s">
        <v>548</v>
      </c>
      <c r="BG392" s="204"/>
      <c r="BH392" s="204" t="s">
        <v>407</v>
      </c>
      <c r="BI392" s="205" t="s">
        <v>408</v>
      </c>
      <c r="BJ392" s="204"/>
      <c r="BK392" s="206"/>
    </row>
    <row r="393" spans="1:63" s="164" customFormat="1" ht="45" customHeight="1">
      <c r="A393" s="185"/>
      <c r="B393" s="193"/>
      <c r="C393" s="251" t="s">
        <v>411</v>
      </c>
      <c r="D393" s="183" t="s">
        <v>781</v>
      </c>
      <c r="E393" s="184"/>
      <c r="F393" s="184"/>
      <c r="G393" s="184"/>
      <c r="H393" s="184"/>
      <c r="I393" s="184"/>
      <c r="J393" s="184"/>
      <c r="K393" s="184"/>
      <c r="L393" s="193"/>
      <c r="M393" s="1005" t="s">
        <v>782</v>
      </c>
      <c r="N393" s="1005"/>
      <c r="O393" s="1005"/>
      <c r="P393" s="1005"/>
      <c r="Q393" s="1005"/>
      <c r="R393" s="1005"/>
      <c r="S393" s="1005"/>
      <c r="T393" s="1005"/>
      <c r="U393" s="1005"/>
      <c r="V393" s="1005"/>
      <c r="W393" s="1005"/>
      <c r="X393" s="1005"/>
      <c r="Y393" s="1005"/>
      <c r="Z393" s="1005"/>
      <c r="AA393" s="1005"/>
      <c r="AB393" s="1005"/>
      <c r="AC393" s="1005"/>
      <c r="AD393" s="1005"/>
      <c r="AE393" s="1005"/>
      <c r="AF393" s="1005"/>
      <c r="AG393" s="1005"/>
      <c r="AH393" s="1005"/>
      <c r="AI393" s="1005"/>
      <c r="AJ393" s="1005"/>
      <c r="AK393" s="1005"/>
      <c r="AL393" s="1005"/>
      <c r="AM393" s="1005"/>
      <c r="AN393" s="1005"/>
      <c r="AO393" s="1005"/>
      <c r="AP393" s="1005"/>
      <c r="AQ393" s="1005"/>
      <c r="AR393" s="1005"/>
      <c r="AS393" s="1005"/>
      <c r="AT393" s="1005"/>
      <c r="AU393" s="1005"/>
      <c r="AV393" s="1005"/>
      <c r="AW393" s="1005"/>
      <c r="AX393" s="1005"/>
      <c r="AY393" s="1005"/>
      <c r="AZ393" s="1005"/>
      <c r="BA393" s="1005"/>
      <c r="BB393" s="1005"/>
      <c r="BC393" s="1005"/>
      <c r="BD393" s="1005"/>
      <c r="BE393" s="204"/>
      <c r="BF393" s="205" t="s">
        <v>419</v>
      </c>
      <c r="BG393" s="204"/>
      <c r="BH393" s="204" t="s">
        <v>407</v>
      </c>
      <c r="BI393" s="205" t="s">
        <v>408</v>
      </c>
      <c r="BJ393" s="204"/>
      <c r="BK393" s="206"/>
    </row>
    <row r="394" spans="1:63" s="164" customFormat="1" ht="31.5" customHeight="1">
      <c r="A394" s="185"/>
      <c r="B394" s="193"/>
      <c r="C394" s="251"/>
      <c r="D394" s="183" t="s">
        <v>783</v>
      </c>
      <c r="E394" s="184"/>
      <c r="F394" s="184"/>
      <c r="G394" s="184"/>
      <c r="H394" s="184"/>
      <c r="I394" s="184"/>
      <c r="J394" s="184"/>
      <c r="K394" s="184"/>
      <c r="L394" s="193"/>
      <c r="M394" s="1011" t="s">
        <v>784</v>
      </c>
      <c r="N394" s="1011"/>
      <c r="O394" s="1011"/>
      <c r="P394" s="1011"/>
      <c r="Q394" s="1011"/>
      <c r="R394" s="1011"/>
      <c r="S394" s="1011"/>
      <c r="T394" s="1011"/>
      <c r="U394" s="1011"/>
      <c r="V394" s="1011"/>
      <c r="W394" s="1011"/>
      <c r="X394" s="1011"/>
      <c r="Y394" s="1011"/>
      <c r="Z394" s="1011"/>
      <c r="AA394" s="1011"/>
      <c r="AB394" s="1011"/>
      <c r="AC394" s="1011"/>
      <c r="AD394" s="1011"/>
      <c r="AE394" s="1011"/>
      <c r="AF394" s="1011"/>
      <c r="AG394" s="1011"/>
      <c r="AH394" s="1011"/>
      <c r="AI394" s="1011"/>
      <c r="AJ394" s="1011"/>
      <c r="AK394" s="1011"/>
      <c r="AL394" s="1011"/>
      <c r="AM394" s="1011"/>
      <c r="AN394" s="1011"/>
      <c r="AO394" s="1011"/>
      <c r="AP394" s="1011"/>
      <c r="AQ394" s="1011"/>
      <c r="AR394" s="1011"/>
      <c r="AS394" s="1011"/>
      <c r="AT394" s="1011"/>
      <c r="AU394" s="1011"/>
      <c r="AV394" s="1011"/>
      <c r="AW394" s="1011"/>
      <c r="AX394" s="1011"/>
      <c r="AY394" s="1011"/>
      <c r="AZ394" s="1011"/>
      <c r="BA394" s="1011"/>
      <c r="BB394" s="1011"/>
      <c r="BC394" s="1011"/>
      <c r="BD394" s="1011"/>
      <c r="BE394" s="204"/>
      <c r="BF394" s="205" t="s">
        <v>548</v>
      </c>
      <c r="BG394" s="204"/>
      <c r="BH394" s="204" t="s">
        <v>407</v>
      </c>
      <c r="BI394" s="205"/>
      <c r="BJ394" s="204"/>
      <c r="BK394" s="206"/>
    </row>
    <row r="395" spans="1:63" s="164" customFormat="1" ht="15.75" customHeight="1">
      <c r="A395" s="185"/>
      <c r="B395" s="193"/>
      <c r="C395" s="251"/>
      <c r="D395" s="183" t="s">
        <v>785</v>
      </c>
      <c r="E395" s="184"/>
      <c r="F395" s="184"/>
      <c r="G395" s="184"/>
      <c r="H395" s="184"/>
      <c r="I395" s="184"/>
      <c r="J395" s="184"/>
      <c r="K395" s="184"/>
      <c r="L395" s="193"/>
      <c r="M395" s="1011" t="s">
        <v>786</v>
      </c>
      <c r="N395" s="1011"/>
      <c r="O395" s="1011"/>
      <c r="P395" s="1011"/>
      <c r="Q395" s="1011"/>
      <c r="R395" s="1011"/>
      <c r="S395" s="1011"/>
      <c r="T395" s="1011"/>
      <c r="U395" s="1011"/>
      <c r="V395" s="1011"/>
      <c r="W395" s="1011"/>
      <c r="X395" s="1011"/>
      <c r="Y395" s="1011"/>
      <c r="Z395" s="1011"/>
      <c r="AA395" s="1011"/>
      <c r="AB395" s="1011"/>
      <c r="AC395" s="1011"/>
      <c r="AD395" s="1011"/>
      <c r="AE395" s="1011"/>
      <c r="AF395" s="1011"/>
      <c r="AG395" s="1011"/>
      <c r="AH395" s="1011"/>
      <c r="AI395" s="1011"/>
      <c r="AJ395" s="1011"/>
      <c r="AK395" s="1011"/>
      <c r="AL395" s="1011"/>
      <c r="AM395" s="1011"/>
      <c r="AN395" s="1011"/>
      <c r="AO395" s="1011"/>
      <c r="AP395" s="1011"/>
      <c r="AQ395" s="1011"/>
      <c r="AR395" s="1011"/>
      <c r="AS395" s="1011"/>
      <c r="AT395" s="1011"/>
      <c r="AU395" s="1011"/>
      <c r="AV395" s="1011"/>
      <c r="AW395" s="1011"/>
      <c r="AX395" s="1011"/>
      <c r="AY395" s="1011"/>
      <c r="AZ395" s="1011"/>
      <c r="BA395" s="1011"/>
      <c r="BB395" s="1011"/>
      <c r="BC395" s="1011"/>
      <c r="BD395" s="1011"/>
      <c r="BE395" s="204"/>
      <c r="BF395" s="205" t="s">
        <v>548</v>
      </c>
      <c r="BG395" s="204"/>
      <c r="BH395" s="204" t="s">
        <v>407</v>
      </c>
      <c r="BI395" s="205"/>
      <c r="BJ395" s="204"/>
      <c r="BK395" s="206"/>
    </row>
    <row r="396" spans="1:63" s="164" customFormat="1" ht="64.5" customHeight="1">
      <c r="A396" s="185"/>
      <c r="B396" s="193"/>
      <c r="C396" s="251" t="s">
        <v>411</v>
      </c>
      <c r="D396" s="183" t="s">
        <v>787</v>
      </c>
      <c r="E396" s="184"/>
      <c r="F396" s="184"/>
      <c r="G396" s="184"/>
      <c r="H396" s="184"/>
      <c r="I396" s="184"/>
      <c r="J396" s="184"/>
      <c r="K396" s="184"/>
      <c r="L396" s="193"/>
      <c r="M396" s="1005" t="s">
        <v>788</v>
      </c>
      <c r="N396" s="1005"/>
      <c r="O396" s="1005"/>
      <c r="P396" s="1005"/>
      <c r="Q396" s="1005"/>
      <c r="R396" s="1005"/>
      <c r="S396" s="1005"/>
      <c r="T396" s="1005"/>
      <c r="U396" s="1005"/>
      <c r="V396" s="1005"/>
      <c r="W396" s="1005"/>
      <c r="X396" s="1005"/>
      <c r="Y396" s="1005"/>
      <c r="Z396" s="1005"/>
      <c r="AA396" s="1005"/>
      <c r="AB396" s="1005"/>
      <c r="AC396" s="1005"/>
      <c r="AD396" s="1005"/>
      <c r="AE396" s="1005"/>
      <c r="AF396" s="1005"/>
      <c r="AG396" s="1005"/>
      <c r="AH396" s="1005"/>
      <c r="AI396" s="1005"/>
      <c r="AJ396" s="1005"/>
      <c r="AK396" s="1005"/>
      <c r="AL396" s="1005"/>
      <c r="AM396" s="1005"/>
      <c r="AN396" s="1005"/>
      <c r="AO396" s="1005"/>
      <c r="AP396" s="1005"/>
      <c r="AQ396" s="1005"/>
      <c r="AR396" s="1005"/>
      <c r="AS396" s="1005"/>
      <c r="AT396" s="1005"/>
      <c r="AU396" s="1005"/>
      <c r="AV396" s="1005"/>
      <c r="AW396" s="1005"/>
      <c r="AX396" s="1005"/>
      <c r="AY396" s="1005"/>
      <c r="AZ396" s="1005"/>
      <c r="BA396" s="1005"/>
      <c r="BB396" s="1005"/>
      <c r="BC396" s="1005"/>
      <c r="BD396" s="1005"/>
      <c r="BE396" s="204"/>
      <c r="BF396" s="205" t="s">
        <v>419</v>
      </c>
      <c r="BG396" s="204"/>
      <c r="BH396" s="204" t="s">
        <v>407</v>
      </c>
      <c r="BI396" s="205" t="s">
        <v>408</v>
      </c>
      <c r="BJ396" s="204"/>
      <c r="BK396" s="206"/>
    </row>
    <row r="397" spans="1:63" s="164" customFormat="1" ht="15.75" customHeight="1">
      <c r="A397" s="185"/>
      <c r="B397" s="193"/>
      <c r="C397" s="251" t="s">
        <v>411</v>
      </c>
      <c r="D397" s="183" t="s">
        <v>789</v>
      </c>
      <c r="E397" s="184"/>
      <c r="F397" s="184"/>
      <c r="G397" s="184"/>
      <c r="H397" s="184"/>
      <c r="I397" s="184"/>
      <c r="J397" s="184"/>
      <c r="K397" s="184"/>
      <c r="L397" s="193"/>
      <c r="M397" s="1003"/>
      <c r="N397" s="1002"/>
      <c r="O397" s="1002"/>
      <c r="P397" s="1002"/>
      <c r="Q397" s="1002"/>
      <c r="R397" s="1002"/>
      <c r="S397" s="1002"/>
      <c r="T397" s="1002"/>
      <c r="U397" s="1002"/>
      <c r="V397" s="1002"/>
      <c r="W397" s="1002"/>
      <c r="X397" s="1002"/>
      <c r="Y397" s="1002"/>
      <c r="Z397" s="1002"/>
      <c r="AA397" s="1002"/>
      <c r="AB397" s="1002"/>
      <c r="AC397" s="1002"/>
      <c r="AD397" s="1002"/>
      <c r="AE397" s="1002"/>
      <c r="AF397" s="1002"/>
      <c r="AG397" s="1002"/>
      <c r="AH397" s="1002"/>
      <c r="AI397" s="1002"/>
      <c r="AJ397" s="1002"/>
      <c r="AK397" s="1002"/>
      <c r="AL397" s="1002"/>
      <c r="AM397" s="1002"/>
      <c r="AN397" s="1002"/>
      <c r="AO397" s="1002"/>
      <c r="AP397" s="1002"/>
      <c r="AQ397" s="1002"/>
      <c r="AR397" s="1002"/>
      <c r="AS397" s="1002"/>
      <c r="AT397" s="1002"/>
      <c r="AU397" s="1002"/>
      <c r="AV397" s="1002"/>
      <c r="AW397" s="1002"/>
      <c r="AX397" s="1002"/>
      <c r="AY397" s="1002"/>
      <c r="AZ397" s="1002"/>
      <c r="BA397" s="1002"/>
      <c r="BB397" s="1002"/>
      <c r="BC397" s="1002"/>
      <c r="BD397" s="1002"/>
      <c r="BE397" s="205" t="s">
        <v>486</v>
      </c>
      <c r="BF397" s="205" t="s">
        <v>487</v>
      </c>
      <c r="BG397" s="204"/>
      <c r="BH397" s="204" t="s">
        <v>407</v>
      </c>
      <c r="BI397" s="205" t="s">
        <v>408</v>
      </c>
      <c r="BJ397" s="204"/>
      <c r="BK397" s="206"/>
    </row>
    <row r="398" spans="1:63" s="164" customFormat="1" ht="15.75" customHeight="1">
      <c r="A398" s="185"/>
      <c r="B398" s="193"/>
      <c r="C398" s="184"/>
      <c r="D398" s="183" t="s">
        <v>790</v>
      </c>
      <c r="E398" s="184"/>
      <c r="F398" s="184"/>
      <c r="G398" s="184"/>
      <c r="H398" s="184"/>
      <c r="I398" s="184"/>
      <c r="J398" s="184"/>
      <c r="K398" s="184"/>
      <c r="L398" s="193"/>
      <c r="M398" s="1003"/>
      <c r="N398" s="1002"/>
      <c r="O398" s="1002"/>
      <c r="P398" s="1002"/>
      <c r="Q398" s="1002"/>
      <c r="R398" s="1002"/>
      <c r="S398" s="1002"/>
      <c r="T398" s="1002"/>
      <c r="U398" s="1002"/>
      <c r="V398" s="1002"/>
      <c r="W398" s="1002"/>
      <c r="X398" s="1002"/>
      <c r="Y398" s="1002"/>
      <c r="Z398" s="1002"/>
      <c r="AA398" s="1002"/>
      <c r="AB398" s="1002"/>
      <c r="AC398" s="1002"/>
      <c r="AD398" s="1002"/>
      <c r="AE398" s="1002"/>
      <c r="AF398" s="1002"/>
      <c r="AG398" s="1002"/>
      <c r="AH398" s="1002"/>
      <c r="AI398" s="1002"/>
      <c r="AJ398" s="1002"/>
      <c r="AK398" s="1002"/>
      <c r="AL398" s="1002"/>
      <c r="AM398" s="1002"/>
      <c r="AN398" s="1002"/>
      <c r="AO398" s="1002"/>
      <c r="AP398" s="1002"/>
      <c r="AQ398" s="1002"/>
      <c r="AR398" s="1002"/>
      <c r="AS398" s="1002"/>
      <c r="AT398" s="1002"/>
      <c r="AU398" s="1002"/>
      <c r="AV398" s="1002"/>
      <c r="AW398" s="1002"/>
      <c r="AX398" s="1002"/>
      <c r="AY398" s="1002"/>
      <c r="AZ398" s="1002"/>
      <c r="BA398" s="1002"/>
      <c r="BB398" s="1002"/>
      <c r="BC398" s="1002"/>
      <c r="BD398" s="1002"/>
      <c r="BE398" s="204"/>
      <c r="BF398" s="205" t="s">
        <v>487</v>
      </c>
      <c r="BG398" s="204"/>
      <c r="BH398" s="204" t="s">
        <v>407</v>
      </c>
      <c r="BI398" s="204"/>
      <c r="BJ398" s="204"/>
      <c r="BK398" s="206"/>
    </row>
    <row r="399" spans="1:63" s="164" customFormat="1" ht="15.75" customHeight="1">
      <c r="A399" s="185"/>
      <c r="B399" s="193"/>
      <c r="C399" s="184"/>
      <c r="D399" s="183" t="s">
        <v>791</v>
      </c>
      <c r="E399" s="184"/>
      <c r="F399" s="184"/>
      <c r="G399" s="184"/>
      <c r="H399" s="184"/>
      <c r="I399" s="184"/>
      <c r="J399" s="184"/>
      <c r="K399" s="184"/>
      <c r="L399" s="193"/>
      <c r="M399" s="1003"/>
      <c r="N399" s="1002"/>
      <c r="O399" s="1002"/>
      <c r="P399" s="1002"/>
      <c r="Q399" s="1002"/>
      <c r="R399" s="1002"/>
      <c r="S399" s="1002"/>
      <c r="T399" s="1002"/>
      <c r="U399" s="1002"/>
      <c r="V399" s="1002"/>
      <c r="W399" s="1002"/>
      <c r="X399" s="1002"/>
      <c r="Y399" s="1002"/>
      <c r="Z399" s="1002"/>
      <c r="AA399" s="1002"/>
      <c r="AB399" s="1002"/>
      <c r="AC399" s="1002"/>
      <c r="AD399" s="1002"/>
      <c r="AE399" s="1002"/>
      <c r="AF399" s="1002"/>
      <c r="AG399" s="1002"/>
      <c r="AH399" s="1002"/>
      <c r="AI399" s="1002"/>
      <c r="AJ399" s="1002"/>
      <c r="AK399" s="1002"/>
      <c r="AL399" s="1002"/>
      <c r="AM399" s="1002"/>
      <c r="AN399" s="1002"/>
      <c r="AO399" s="1002"/>
      <c r="AP399" s="1002"/>
      <c r="AQ399" s="1002"/>
      <c r="AR399" s="1002"/>
      <c r="AS399" s="1002"/>
      <c r="AT399" s="1002"/>
      <c r="AU399" s="1002"/>
      <c r="AV399" s="1002"/>
      <c r="AW399" s="1002"/>
      <c r="AX399" s="1002"/>
      <c r="AY399" s="1002"/>
      <c r="AZ399" s="1002"/>
      <c r="BA399" s="1002"/>
      <c r="BB399" s="1002"/>
      <c r="BC399" s="1002"/>
      <c r="BD399" s="1002"/>
      <c r="BE399" s="204"/>
      <c r="BF399" s="205" t="s">
        <v>548</v>
      </c>
      <c r="BG399" s="204"/>
      <c r="BH399" s="204" t="s">
        <v>407</v>
      </c>
      <c r="BI399" s="204"/>
      <c r="BJ399" s="204"/>
      <c r="BK399" s="206"/>
    </row>
    <row r="400" spans="1:63" s="164" customFormat="1" ht="15.75" customHeight="1">
      <c r="A400" s="185"/>
      <c r="B400" s="193"/>
      <c r="C400" s="184"/>
      <c r="D400" s="183" t="s">
        <v>792</v>
      </c>
      <c r="E400" s="184"/>
      <c r="F400" s="184"/>
      <c r="G400" s="184"/>
      <c r="H400" s="184"/>
      <c r="I400" s="184"/>
      <c r="J400" s="184"/>
      <c r="K400" s="184"/>
      <c r="L400" s="193"/>
      <c r="M400" s="1005" t="s">
        <v>793</v>
      </c>
      <c r="N400" s="1005"/>
      <c r="O400" s="1005"/>
      <c r="P400" s="1005"/>
      <c r="Q400" s="1005"/>
      <c r="R400" s="1005"/>
      <c r="S400" s="1005"/>
      <c r="T400" s="1005"/>
      <c r="U400" s="1005"/>
      <c r="V400" s="1005"/>
      <c r="W400" s="1005"/>
      <c r="X400" s="1005"/>
      <c r="Y400" s="1005"/>
      <c r="Z400" s="1005"/>
      <c r="AA400" s="1005"/>
      <c r="AB400" s="1005"/>
      <c r="AC400" s="1005"/>
      <c r="AD400" s="1005"/>
      <c r="AE400" s="1005"/>
      <c r="AF400" s="1005"/>
      <c r="AG400" s="1005"/>
      <c r="AH400" s="1005"/>
      <c r="AI400" s="1005"/>
      <c r="AJ400" s="1005"/>
      <c r="AK400" s="1005"/>
      <c r="AL400" s="1005"/>
      <c r="AM400" s="1005"/>
      <c r="AN400" s="1005"/>
      <c r="AO400" s="1005"/>
      <c r="AP400" s="1005"/>
      <c r="AQ400" s="1005"/>
      <c r="AR400" s="1005"/>
      <c r="AS400" s="1005"/>
      <c r="AT400" s="1005"/>
      <c r="AU400" s="1005"/>
      <c r="AV400" s="1005"/>
      <c r="AW400" s="1005"/>
      <c r="AX400" s="1005"/>
      <c r="AY400" s="1005"/>
      <c r="AZ400" s="1005"/>
      <c r="BA400" s="1005"/>
      <c r="BB400" s="1005"/>
      <c r="BC400" s="1005"/>
      <c r="BD400" s="1005"/>
      <c r="BE400" s="204"/>
      <c r="BF400" s="205" t="s">
        <v>548</v>
      </c>
      <c r="BG400" s="204"/>
      <c r="BH400" s="204" t="s">
        <v>407</v>
      </c>
      <c r="BI400" s="204"/>
      <c r="BJ400" s="204"/>
      <c r="BK400" s="206"/>
    </row>
    <row r="401" spans="1:63" s="164" customFormat="1" ht="28.5" customHeight="1">
      <c r="A401" s="185"/>
      <c r="B401" s="193"/>
      <c r="C401" s="251" t="s">
        <v>411</v>
      </c>
      <c r="D401" s="183" t="s">
        <v>794</v>
      </c>
      <c r="E401" s="184"/>
      <c r="F401" s="184"/>
      <c r="G401" s="184"/>
      <c r="H401" s="184"/>
      <c r="I401" s="184"/>
      <c r="J401" s="184"/>
      <c r="K401" s="184"/>
      <c r="L401" s="193"/>
      <c r="M401" s="1005" t="s">
        <v>795</v>
      </c>
      <c r="N401" s="1005"/>
      <c r="O401" s="1005"/>
      <c r="P401" s="1005"/>
      <c r="Q401" s="1005"/>
      <c r="R401" s="1005"/>
      <c r="S401" s="1005"/>
      <c r="T401" s="1005"/>
      <c r="U401" s="1005"/>
      <c r="V401" s="1005"/>
      <c r="W401" s="1005"/>
      <c r="X401" s="1005"/>
      <c r="Y401" s="1005"/>
      <c r="Z401" s="1005"/>
      <c r="AA401" s="1005"/>
      <c r="AB401" s="1005"/>
      <c r="AC401" s="1005"/>
      <c r="AD401" s="1005"/>
      <c r="AE401" s="1005"/>
      <c r="AF401" s="1005"/>
      <c r="AG401" s="1005"/>
      <c r="AH401" s="1005"/>
      <c r="AI401" s="1005"/>
      <c r="AJ401" s="1005"/>
      <c r="AK401" s="1005"/>
      <c r="AL401" s="1005"/>
      <c r="AM401" s="1005"/>
      <c r="AN401" s="1005"/>
      <c r="AO401" s="1005"/>
      <c r="AP401" s="1005"/>
      <c r="AQ401" s="1005"/>
      <c r="AR401" s="1005"/>
      <c r="AS401" s="1005"/>
      <c r="AT401" s="1005"/>
      <c r="AU401" s="1005"/>
      <c r="AV401" s="1005"/>
      <c r="AW401" s="1005"/>
      <c r="AX401" s="1005"/>
      <c r="AY401" s="1005"/>
      <c r="AZ401" s="1005"/>
      <c r="BA401" s="1005"/>
      <c r="BB401" s="1005"/>
      <c r="BC401" s="1005"/>
      <c r="BD401" s="1005"/>
      <c r="BE401" s="204"/>
      <c r="BF401" s="205" t="s">
        <v>548</v>
      </c>
      <c r="BG401" s="204"/>
      <c r="BH401" s="204" t="s">
        <v>407</v>
      </c>
      <c r="BI401" s="205" t="s">
        <v>408</v>
      </c>
      <c r="BJ401" s="204"/>
      <c r="BK401" s="206"/>
    </row>
    <row r="402" spans="1:63" s="164" customFormat="1" ht="15.75" customHeight="1">
      <c r="A402" s="185"/>
      <c r="B402" s="193"/>
      <c r="C402" s="251" t="s">
        <v>411</v>
      </c>
      <c r="D402" s="183" t="s">
        <v>796</v>
      </c>
      <c r="E402" s="184"/>
      <c r="F402" s="184"/>
      <c r="G402" s="184"/>
      <c r="H402" s="184"/>
      <c r="I402" s="184"/>
      <c r="J402" s="184"/>
      <c r="K402" s="184"/>
      <c r="L402" s="193"/>
      <c r="M402" s="1011" t="s">
        <v>797</v>
      </c>
      <c r="N402" s="1011"/>
      <c r="O402" s="1011"/>
      <c r="P402" s="1011"/>
      <c r="Q402" s="1011"/>
      <c r="R402" s="1011"/>
      <c r="S402" s="1011"/>
      <c r="T402" s="1011"/>
      <c r="U402" s="1011"/>
      <c r="V402" s="1011"/>
      <c r="W402" s="1011"/>
      <c r="X402" s="1011"/>
      <c r="Y402" s="1011"/>
      <c r="Z402" s="1011"/>
      <c r="AA402" s="1011"/>
      <c r="AB402" s="1011"/>
      <c r="AC402" s="1011"/>
      <c r="AD402" s="1011"/>
      <c r="AE402" s="1011"/>
      <c r="AF402" s="1011"/>
      <c r="AG402" s="1011"/>
      <c r="AH402" s="1011"/>
      <c r="AI402" s="1011"/>
      <c r="AJ402" s="1011"/>
      <c r="AK402" s="1011"/>
      <c r="AL402" s="1011"/>
      <c r="AM402" s="1011"/>
      <c r="AN402" s="1011"/>
      <c r="AO402" s="1011"/>
      <c r="AP402" s="1011"/>
      <c r="AQ402" s="1011"/>
      <c r="AR402" s="1011"/>
      <c r="AS402" s="1011"/>
      <c r="AT402" s="1011"/>
      <c r="AU402" s="1011"/>
      <c r="AV402" s="1011"/>
      <c r="AW402" s="1011"/>
      <c r="AX402" s="1011"/>
      <c r="AY402" s="1011"/>
      <c r="AZ402" s="1011"/>
      <c r="BA402" s="1011"/>
      <c r="BB402" s="1011"/>
      <c r="BC402" s="1011"/>
      <c r="BD402" s="1011"/>
      <c r="BE402" s="205" t="s">
        <v>486</v>
      </c>
      <c r="BF402" s="205" t="s">
        <v>487</v>
      </c>
      <c r="BG402" s="204"/>
      <c r="BH402" s="204" t="s">
        <v>407</v>
      </c>
      <c r="BI402" s="205" t="s">
        <v>408</v>
      </c>
      <c r="BJ402" s="204"/>
      <c r="BK402" s="206"/>
    </row>
    <row r="403" spans="1:63" s="164" customFormat="1" ht="15.75" customHeight="1">
      <c r="A403" s="185"/>
      <c r="B403" s="193"/>
      <c r="C403" s="184"/>
      <c r="D403" s="183" t="s">
        <v>798</v>
      </c>
      <c r="E403" s="184"/>
      <c r="F403" s="184"/>
      <c r="G403" s="184"/>
      <c r="H403" s="184"/>
      <c r="I403" s="184"/>
      <c r="J403" s="184"/>
      <c r="K403" s="184"/>
      <c r="L403" s="193"/>
      <c r="M403" s="1003"/>
      <c r="N403" s="1002"/>
      <c r="O403" s="1002"/>
      <c r="P403" s="1002"/>
      <c r="Q403" s="1002"/>
      <c r="R403" s="1002"/>
      <c r="S403" s="1002"/>
      <c r="T403" s="1002"/>
      <c r="U403" s="1002"/>
      <c r="V403" s="1002"/>
      <c r="W403" s="1002"/>
      <c r="X403" s="1002"/>
      <c r="Y403" s="1002"/>
      <c r="Z403" s="1002"/>
      <c r="AA403" s="1002"/>
      <c r="AB403" s="1002"/>
      <c r="AC403" s="1002"/>
      <c r="AD403" s="1002"/>
      <c r="AE403" s="1002"/>
      <c r="AF403" s="1002"/>
      <c r="AG403" s="1002"/>
      <c r="AH403" s="1002"/>
      <c r="AI403" s="1002"/>
      <c r="AJ403" s="1002"/>
      <c r="AK403" s="1002"/>
      <c r="AL403" s="1002"/>
      <c r="AM403" s="1002"/>
      <c r="AN403" s="1002"/>
      <c r="AO403" s="1002"/>
      <c r="AP403" s="1002"/>
      <c r="AQ403" s="1002"/>
      <c r="AR403" s="1002"/>
      <c r="AS403" s="1002"/>
      <c r="AT403" s="1002"/>
      <c r="AU403" s="1002"/>
      <c r="AV403" s="1002"/>
      <c r="AW403" s="1002"/>
      <c r="AX403" s="1002"/>
      <c r="AY403" s="1002"/>
      <c r="AZ403" s="1002"/>
      <c r="BA403" s="1002"/>
      <c r="BB403" s="1002"/>
      <c r="BC403" s="1002"/>
      <c r="BD403" s="1002"/>
      <c r="BE403" s="204"/>
      <c r="BF403" s="205" t="s">
        <v>487</v>
      </c>
      <c r="BG403" s="204"/>
      <c r="BH403" s="204" t="s">
        <v>407</v>
      </c>
      <c r="BI403" s="204"/>
      <c r="BJ403" s="204"/>
      <c r="BK403" s="206"/>
    </row>
    <row r="404" spans="1:63" s="164" customFormat="1" ht="50.25" customHeight="1">
      <c r="A404" s="185"/>
      <c r="B404" s="193"/>
      <c r="C404" s="251" t="s">
        <v>411</v>
      </c>
      <c r="D404" s="183" t="s">
        <v>799</v>
      </c>
      <c r="E404" s="184"/>
      <c r="F404" s="184"/>
      <c r="G404" s="184"/>
      <c r="H404" s="184"/>
      <c r="I404" s="184"/>
      <c r="J404" s="184"/>
      <c r="K404" s="184"/>
      <c r="L404" s="193"/>
      <c r="M404" s="1005" t="s">
        <v>800</v>
      </c>
      <c r="N404" s="1005"/>
      <c r="O404" s="1005"/>
      <c r="P404" s="1005"/>
      <c r="Q404" s="1005"/>
      <c r="R404" s="1005"/>
      <c r="S404" s="1005"/>
      <c r="T404" s="1005"/>
      <c r="U404" s="1005"/>
      <c r="V404" s="1005"/>
      <c r="W404" s="1005"/>
      <c r="X404" s="1005"/>
      <c r="Y404" s="1005"/>
      <c r="Z404" s="1005"/>
      <c r="AA404" s="1005"/>
      <c r="AB404" s="1005"/>
      <c r="AC404" s="1005"/>
      <c r="AD404" s="1005"/>
      <c r="AE404" s="1005"/>
      <c r="AF404" s="1005"/>
      <c r="AG404" s="1005"/>
      <c r="AH404" s="1005"/>
      <c r="AI404" s="1005"/>
      <c r="AJ404" s="1005"/>
      <c r="AK404" s="1005"/>
      <c r="AL404" s="1005"/>
      <c r="AM404" s="1005"/>
      <c r="AN404" s="1005"/>
      <c r="AO404" s="1005"/>
      <c r="AP404" s="1005"/>
      <c r="AQ404" s="1005"/>
      <c r="AR404" s="1005"/>
      <c r="AS404" s="1005"/>
      <c r="AT404" s="1005"/>
      <c r="AU404" s="1005"/>
      <c r="AV404" s="1005"/>
      <c r="AW404" s="1005"/>
      <c r="AX404" s="1005"/>
      <c r="AY404" s="1005"/>
      <c r="AZ404" s="1005"/>
      <c r="BA404" s="1005"/>
      <c r="BB404" s="1005"/>
      <c r="BC404" s="1005"/>
      <c r="BD404" s="1005"/>
      <c r="BE404" s="204"/>
      <c r="BF404" s="205" t="s">
        <v>548</v>
      </c>
      <c r="BG404" s="204"/>
      <c r="BH404" s="204" t="s">
        <v>407</v>
      </c>
      <c r="BI404" s="205" t="s">
        <v>408</v>
      </c>
      <c r="BJ404" s="204"/>
      <c r="BK404" s="206"/>
    </row>
    <row r="405" spans="1:63" s="164" customFormat="1" ht="15.75" customHeight="1">
      <c r="A405" s="185"/>
      <c r="B405" s="193"/>
      <c r="C405" s="184"/>
      <c r="D405" s="183" t="s">
        <v>801</v>
      </c>
      <c r="E405" s="184"/>
      <c r="F405" s="184"/>
      <c r="G405" s="184"/>
      <c r="H405" s="184"/>
      <c r="I405" s="184"/>
      <c r="J405" s="184"/>
      <c r="K405" s="184"/>
      <c r="L405" s="193"/>
      <c r="M405" s="1005" t="s">
        <v>802</v>
      </c>
      <c r="N405" s="1005"/>
      <c r="O405" s="1005"/>
      <c r="P405" s="1005"/>
      <c r="Q405" s="1005"/>
      <c r="R405" s="1005"/>
      <c r="S405" s="1005"/>
      <c r="T405" s="1005"/>
      <c r="U405" s="1005"/>
      <c r="V405" s="1005"/>
      <c r="W405" s="1005"/>
      <c r="X405" s="1005"/>
      <c r="Y405" s="1005"/>
      <c r="Z405" s="1005"/>
      <c r="AA405" s="1005"/>
      <c r="AB405" s="1005"/>
      <c r="AC405" s="1005"/>
      <c r="AD405" s="1005"/>
      <c r="AE405" s="1005"/>
      <c r="AF405" s="1005"/>
      <c r="AG405" s="1005"/>
      <c r="AH405" s="1005"/>
      <c r="AI405" s="1005"/>
      <c r="AJ405" s="1005"/>
      <c r="AK405" s="1005"/>
      <c r="AL405" s="1005"/>
      <c r="AM405" s="1005"/>
      <c r="AN405" s="1005"/>
      <c r="AO405" s="1005"/>
      <c r="AP405" s="1005"/>
      <c r="AQ405" s="1005"/>
      <c r="AR405" s="1005"/>
      <c r="AS405" s="1005"/>
      <c r="AT405" s="1005"/>
      <c r="AU405" s="1005"/>
      <c r="AV405" s="1005"/>
      <c r="AW405" s="1005"/>
      <c r="AX405" s="1005"/>
      <c r="AY405" s="1005"/>
      <c r="AZ405" s="1005"/>
      <c r="BA405" s="1005"/>
      <c r="BB405" s="1005"/>
      <c r="BC405" s="1005"/>
      <c r="BD405" s="1005"/>
      <c r="BE405" s="204"/>
      <c r="BF405" s="205" t="s">
        <v>548</v>
      </c>
      <c r="BG405" s="204"/>
      <c r="BH405" s="204" t="s">
        <v>407</v>
      </c>
      <c r="BI405" s="204"/>
      <c r="BJ405" s="204"/>
      <c r="BK405" s="206"/>
    </row>
    <row r="406" spans="1:63" s="164" customFormat="1" ht="45" customHeight="1">
      <c r="A406" s="185"/>
      <c r="B406" s="193"/>
      <c r="C406" s="251" t="s">
        <v>411</v>
      </c>
      <c r="D406" s="183" t="s">
        <v>803</v>
      </c>
      <c r="E406" s="184"/>
      <c r="F406" s="184"/>
      <c r="G406" s="184"/>
      <c r="H406" s="184"/>
      <c r="I406" s="184"/>
      <c r="J406" s="184"/>
      <c r="K406" s="184"/>
      <c r="L406" s="193"/>
      <c r="M406" s="1005" t="s">
        <v>804</v>
      </c>
      <c r="N406" s="1005"/>
      <c r="O406" s="1005"/>
      <c r="P406" s="1005"/>
      <c r="Q406" s="1005"/>
      <c r="R406" s="1005"/>
      <c r="S406" s="1005"/>
      <c r="T406" s="1005"/>
      <c r="U406" s="1005"/>
      <c r="V406" s="1005"/>
      <c r="W406" s="1005"/>
      <c r="X406" s="1005"/>
      <c r="Y406" s="1005"/>
      <c r="Z406" s="1005"/>
      <c r="AA406" s="1005"/>
      <c r="AB406" s="1005"/>
      <c r="AC406" s="1005"/>
      <c r="AD406" s="1005"/>
      <c r="AE406" s="1005"/>
      <c r="AF406" s="1005"/>
      <c r="AG406" s="1005"/>
      <c r="AH406" s="1005"/>
      <c r="AI406" s="1005"/>
      <c r="AJ406" s="1005"/>
      <c r="AK406" s="1005"/>
      <c r="AL406" s="1005"/>
      <c r="AM406" s="1005"/>
      <c r="AN406" s="1005"/>
      <c r="AO406" s="1005"/>
      <c r="AP406" s="1005"/>
      <c r="AQ406" s="1005"/>
      <c r="AR406" s="1005"/>
      <c r="AS406" s="1005"/>
      <c r="AT406" s="1005"/>
      <c r="AU406" s="1005"/>
      <c r="AV406" s="1005"/>
      <c r="AW406" s="1005"/>
      <c r="AX406" s="1005"/>
      <c r="AY406" s="1005"/>
      <c r="AZ406" s="1005"/>
      <c r="BA406" s="1005"/>
      <c r="BB406" s="1005"/>
      <c r="BC406" s="1005"/>
      <c r="BD406" s="1005"/>
      <c r="BE406" s="204"/>
      <c r="BF406" s="205" t="s">
        <v>548</v>
      </c>
      <c r="BG406" s="204"/>
      <c r="BH406" s="204" t="s">
        <v>407</v>
      </c>
      <c r="BI406" s="205" t="s">
        <v>408</v>
      </c>
      <c r="BJ406" s="204"/>
      <c r="BK406" s="206"/>
    </row>
    <row r="407" spans="1:63" s="164" customFormat="1" ht="15.75" customHeight="1">
      <c r="A407" s="185"/>
      <c r="B407" s="193"/>
      <c r="C407" s="184"/>
      <c r="D407" s="183" t="s">
        <v>805</v>
      </c>
      <c r="E407" s="184"/>
      <c r="F407" s="184"/>
      <c r="G407" s="184"/>
      <c r="H407" s="184"/>
      <c r="I407" s="184"/>
      <c r="J407" s="184"/>
      <c r="K407" s="184"/>
      <c r="L407" s="193"/>
      <c r="M407" s="1005" t="s">
        <v>806</v>
      </c>
      <c r="N407" s="1005"/>
      <c r="O407" s="1005"/>
      <c r="P407" s="1005"/>
      <c r="Q407" s="1005"/>
      <c r="R407" s="1005"/>
      <c r="S407" s="1005"/>
      <c r="T407" s="1005"/>
      <c r="U407" s="1005"/>
      <c r="V407" s="1005"/>
      <c r="W407" s="1005"/>
      <c r="X407" s="1005"/>
      <c r="Y407" s="1005"/>
      <c r="Z407" s="1005"/>
      <c r="AA407" s="1005"/>
      <c r="AB407" s="1005"/>
      <c r="AC407" s="1005"/>
      <c r="AD407" s="1005"/>
      <c r="AE407" s="1005"/>
      <c r="AF407" s="1005"/>
      <c r="AG407" s="1005"/>
      <c r="AH407" s="1005"/>
      <c r="AI407" s="1005"/>
      <c r="AJ407" s="1005"/>
      <c r="AK407" s="1005"/>
      <c r="AL407" s="1005"/>
      <c r="AM407" s="1005"/>
      <c r="AN407" s="1005"/>
      <c r="AO407" s="1005"/>
      <c r="AP407" s="1005"/>
      <c r="AQ407" s="1005"/>
      <c r="AR407" s="1005"/>
      <c r="AS407" s="1005"/>
      <c r="AT407" s="1005"/>
      <c r="AU407" s="1005"/>
      <c r="AV407" s="1005"/>
      <c r="AW407" s="1005"/>
      <c r="AX407" s="1005"/>
      <c r="AY407" s="1005"/>
      <c r="AZ407" s="1005"/>
      <c r="BA407" s="1005"/>
      <c r="BB407" s="1005"/>
      <c r="BC407" s="1005"/>
      <c r="BD407" s="1005"/>
      <c r="BE407" s="204"/>
      <c r="BF407" s="205" t="s">
        <v>548</v>
      </c>
      <c r="BG407" s="204"/>
      <c r="BH407" s="204" t="s">
        <v>407</v>
      </c>
      <c r="BI407" s="204"/>
      <c r="BJ407" s="204"/>
      <c r="BK407" s="206"/>
    </row>
    <row r="408" spans="1:63" s="164" customFormat="1" ht="31.5" customHeight="1">
      <c r="A408" s="185"/>
      <c r="B408" s="193"/>
      <c r="C408" s="251" t="s">
        <v>411</v>
      </c>
      <c r="D408" s="183" t="s">
        <v>807</v>
      </c>
      <c r="E408" s="184"/>
      <c r="F408" s="184"/>
      <c r="G408" s="184"/>
      <c r="H408" s="184"/>
      <c r="I408" s="184"/>
      <c r="J408" s="184"/>
      <c r="K408" s="184"/>
      <c r="L408" s="193"/>
      <c r="M408" s="1005" t="s">
        <v>808</v>
      </c>
      <c r="N408" s="1005"/>
      <c r="O408" s="1005"/>
      <c r="P408" s="1005"/>
      <c r="Q408" s="1005"/>
      <c r="R408" s="1005"/>
      <c r="S408" s="1005"/>
      <c r="T408" s="1005"/>
      <c r="U408" s="1005"/>
      <c r="V408" s="1005"/>
      <c r="W408" s="1005"/>
      <c r="X408" s="1005"/>
      <c r="Y408" s="1005"/>
      <c r="Z408" s="1005"/>
      <c r="AA408" s="1005"/>
      <c r="AB408" s="1005"/>
      <c r="AC408" s="1005"/>
      <c r="AD408" s="1005"/>
      <c r="AE408" s="1005"/>
      <c r="AF408" s="1005"/>
      <c r="AG408" s="1005"/>
      <c r="AH408" s="1005"/>
      <c r="AI408" s="1005"/>
      <c r="AJ408" s="1005"/>
      <c r="AK408" s="1005"/>
      <c r="AL408" s="1005"/>
      <c r="AM408" s="1005"/>
      <c r="AN408" s="1005"/>
      <c r="AO408" s="1005"/>
      <c r="AP408" s="1005"/>
      <c r="AQ408" s="1005"/>
      <c r="AR408" s="1005"/>
      <c r="AS408" s="1005"/>
      <c r="AT408" s="1005"/>
      <c r="AU408" s="1005"/>
      <c r="AV408" s="1005"/>
      <c r="AW408" s="1005"/>
      <c r="AX408" s="1005"/>
      <c r="AY408" s="1005"/>
      <c r="AZ408" s="1005"/>
      <c r="BA408" s="1005"/>
      <c r="BB408" s="1005"/>
      <c r="BC408" s="1005"/>
      <c r="BD408" s="1005"/>
      <c r="BE408" s="204"/>
      <c r="BF408" s="205" t="s">
        <v>419</v>
      </c>
      <c r="BG408" s="204"/>
      <c r="BH408" s="204" t="s">
        <v>407</v>
      </c>
      <c r="BI408" s="205" t="s">
        <v>408</v>
      </c>
      <c r="BJ408" s="204"/>
      <c r="BK408" s="206"/>
    </row>
    <row r="409" spans="1:63" s="164" customFormat="1" ht="126" customHeight="1">
      <c r="A409" s="185"/>
      <c r="B409" s="193"/>
      <c r="C409" s="251" t="s">
        <v>411</v>
      </c>
      <c r="D409" s="183" t="s">
        <v>809</v>
      </c>
      <c r="E409" s="184"/>
      <c r="F409" s="184"/>
      <c r="G409" s="184"/>
      <c r="H409" s="184"/>
      <c r="I409" s="184"/>
      <c r="J409" s="184"/>
      <c r="K409" s="184"/>
      <c r="L409" s="193"/>
      <c r="M409" s="1007" t="s">
        <v>810</v>
      </c>
      <c r="N409" s="1008"/>
      <c r="O409" s="1008"/>
      <c r="P409" s="1008"/>
      <c r="Q409" s="1008"/>
      <c r="R409" s="1008"/>
      <c r="S409" s="1008"/>
      <c r="T409" s="1008"/>
      <c r="U409" s="1008"/>
      <c r="V409" s="1008"/>
      <c r="W409" s="1008"/>
      <c r="X409" s="1008"/>
      <c r="Y409" s="1008"/>
      <c r="Z409" s="1008"/>
      <c r="AA409" s="1008"/>
      <c r="AB409" s="1008"/>
      <c r="AC409" s="1008"/>
      <c r="AD409" s="1008"/>
      <c r="AE409" s="1008"/>
      <c r="AF409" s="1008"/>
      <c r="AG409" s="1008"/>
      <c r="AH409" s="1008"/>
      <c r="AI409" s="1008"/>
      <c r="AJ409" s="1008"/>
      <c r="AK409" s="1008"/>
      <c r="AL409" s="1008"/>
      <c r="AM409" s="1008"/>
      <c r="AN409" s="1008"/>
      <c r="AO409" s="1008"/>
      <c r="AP409" s="1008"/>
      <c r="AQ409" s="1008"/>
      <c r="AR409" s="1008"/>
      <c r="AS409" s="1008"/>
      <c r="AT409" s="1008"/>
      <c r="AU409" s="1008"/>
      <c r="AV409" s="1008"/>
      <c r="AW409" s="1008"/>
      <c r="AX409" s="1008"/>
      <c r="AY409" s="1008"/>
      <c r="AZ409" s="1008"/>
      <c r="BA409" s="1008"/>
      <c r="BB409" s="1008"/>
      <c r="BC409" s="1008"/>
      <c r="BD409" s="1009"/>
      <c r="BE409" s="204"/>
      <c r="BF409" s="205" t="s">
        <v>548</v>
      </c>
      <c r="BG409" s="204"/>
      <c r="BH409" s="204" t="s">
        <v>407</v>
      </c>
      <c r="BI409" s="205" t="s">
        <v>408</v>
      </c>
      <c r="BJ409" s="204"/>
      <c r="BK409" s="206"/>
    </row>
    <row r="410" spans="1:63" s="164" customFormat="1" ht="15.75" customHeight="1">
      <c r="A410" s="185"/>
      <c r="B410" s="193"/>
      <c r="C410" s="251" t="s">
        <v>411</v>
      </c>
      <c r="D410" s="183" t="s">
        <v>811</v>
      </c>
      <c r="E410" s="184"/>
      <c r="F410" s="184"/>
      <c r="G410" s="184"/>
      <c r="H410" s="184"/>
      <c r="I410" s="184"/>
      <c r="J410" s="184"/>
      <c r="K410" s="184"/>
      <c r="L410" s="193"/>
      <c r="M410" s="1005" t="s">
        <v>812</v>
      </c>
      <c r="N410" s="1002"/>
      <c r="O410" s="1002"/>
      <c r="P410" s="1002"/>
      <c r="Q410" s="1002"/>
      <c r="R410" s="1002"/>
      <c r="S410" s="1002"/>
      <c r="T410" s="1002"/>
      <c r="U410" s="1002"/>
      <c r="V410" s="1002"/>
      <c r="W410" s="1002"/>
      <c r="X410" s="1002"/>
      <c r="Y410" s="1002"/>
      <c r="Z410" s="1002"/>
      <c r="AA410" s="1002"/>
      <c r="AB410" s="1002"/>
      <c r="AC410" s="1002"/>
      <c r="AD410" s="1002"/>
      <c r="AE410" s="1002"/>
      <c r="AF410" s="1002"/>
      <c r="AG410" s="1002"/>
      <c r="AH410" s="1002"/>
      <c r="AI410" s="1002"/>
      <c r="AJ410" s="1002"/>
      <c r="AK410" s="1002"/>
      <c r="AL410" s="1002"/>
      <c r="AM410" s="1002"/>
      <c r="AN410" s="1002"/>
      <c r="AO410" s="1002"/>
      <c r="AP410" s="1002"/>
      <c r="AQ410" s="1002"/>
      <c r="AR410" s="1002"/>
      <c r="AS410" s="1002"/>
      <c r="AT410" s="1002"/>
      <c r="AU410" s="1002"/>
      <c r="AV410" s="1002"/>
      <c r="AW410" s="1002"/>
      <c r="AX410" s="1002"/>
      <c r="AY410" s="1002"/>
      <c r="AZ410" s="1002"/>
      <c r="BA410" s="1002"/>
      <c r="BB410" s="1002"/>
      <c r="BC410" s="1002"/>
      <c r="BD410" s="1002"/>
      <c r="BE410" s="204"/>
      <c r="BF410" s="205" t="s">
        <v>462</v>
      </c>
      <c r="BG410" s="204"/>
      <c r="BH410" s="204" t="s">
        <v>407</v>
      </c>
      <c r="BI410" s="205" t="s">
        <v>408</v>
      </c>
      <c r="BJ410" s="204"/>
      <c r="BK410" s="206"/>
    </row>
    <row r="411" spans="1:63" s="164" customFormat="1" ht="15.75" customHeight="1">
      <c r="A411" s="185"/>
      <c r="B411" s="193"/>
      <c r="C411" s="184"/>
      <c r="D411" s="183" t="s">
        <v>813</v>
      </c>
      <c r="E411" s="184"/>
      <c r="F411" s="184"/>
      <c r="G411" s="184"/>
      <c r="H411" s="184"/>
      <c r="I411" s="184"/>
      <c r="J411" s="184"/>
      <c r="K411" s="184"/>
      <c r="L411" s="193"/>
      <c r="M411" s="1003"/>
      <c r="N411" s="1002"/>
      <c r="O411" s="1002"/>
      <c r="P411" s="1002"/>
      <c r="Q411" s="1002"/>
      <c r="R411" s="1002"/>
      <c r="S411" s="1002"/>
      <c r="T411" s="1002"/>
      <c r="U411" s="1002"/>
      <c r="V411" s="1002"/>
      <c r="W411" s="1002"/>
      <c r="X411" s="1002"/>
      <c r="Y411" s="1002"/>
      <c r="Z411" s="1002"/>
      <c r="AA411" s="1002"/>
      <c r="AB411" s="1002"/>
      <c r="AC411" s="1002"/>
      <c r="AD411" s="1002"/>
      <c r="AE411" s="1002"/>
      <c r="AF411" s="1002"/>
      <c r="AG411" s="1002"/>
      <c r="AH411" s="1002"/>
      <c r="AI411" s="1002"/>
      <c r="AJ411" s="1002"/>
      <c r="AK411" s="1002"/>
      <c r="AL411" s="1002"/>
      <c r="AM411" s="1002"/>
      <c r="AN411" s="1002"/>
      <c r="AO411" s="1002"/>
      <c r="AP411" s="1002"/>
      <c r="AQ411" s="1002"/>
      <c r="AR411" s="1002"/>
      <c r="AS411" s="1002"/>
      <c r="AT411" s="1002"/>
      <c r="AU411" s="1002"/>
      <c r="AV411" s="1002"/>
      <c r="AW411" s="1002"/>
      <c r="AX411" s="1002"/>
      <c r="AY411" s="1002"/>
      <c r="AZ411" s="1002"/>
      <c r="BA411" s="1002"/>
      <c r="BB411" s="1002"/>
      <c r="BC411" s="1002"/>
      <c r="BD411" s="1002"/>
      <c r="BE411" s="204"/>
      <c r="BF411" s="205" t="s">
        <v>487</v>
      </c>
      <c r="BG411" s="204"/>
      <c r="BH411" s="204" t="s">
        <v>407</v>
      </c>
      <c r="BI411" s="204"/>
      <c r="BJ411" s="204"/>
      <c r="BK411" s="206"/>
    </row>
    <row r="412" spans="1:63" s="164" customFormat="1" ht="15.75" customHeight="1">
      <c r="A412" s="185"/>
      <c r="B412" s="193"/>
      <c r="C412" s="184"/>
      <c r="D412" s="183" t="s">
        <v>814</v>
      </c>
      <c r="E412" s="184"/>
      <c r="F412" s="184"/>
      <c r="G412" s="184"/>
      <c r="H412" s="184"/>
      <c r="I412" s="184"/>
      <c r="J412" s="184"/>
      <c r="K412" s="184"/>
      <c r="L412" s="193"/>
      <c r="M412" s="1003"/>
      <c r="N412" s="1002"/>
      <c r="O412" s="1002"/>
      <c r="P412" s="1002"/>
      <c r="Q412" s="1002"/>
      <c r="R412" s="1002"/>
      <c r="S412" s="1002"/>
      <c r="T412" s="1002"/>
      <c r="U412" s="1002"/>
      <c r="V412" s="1002"/>
      <c r="W412" s="1002"/>
      <c r="X412" s="1002"/>
      <c r="Y412" s="1002"/>
      <c r="Z412" s="1002"/>
      <c r="AA412" s="1002"/>
      <c r="AB412" s="1002"/>
      <c r="AC412" s="1002"/>
      <c r="AD412" s="1002"/>
      <c r="AE412" s="1002"/>
      <c r="AF412" s="1002"/>
      <c r="AG412" s="1002"/>
      <c r="AH412" s="1002"/>
      <c r="AI412" s="1002"/>
      <c r="AJ412" s="1002"/>
      <c r="AK412" s="1002"/>
      <c r="AL412" s="1002"/>
      <c r="AM412" s="1002"/>
      <c r="AN412" s="1002"/>
      <c r="AO412" s="1002"/>
      <c r="AP412" s="1002"/>
      <c r="AQ412" s="1002"/>
      <c r="AR412" s="1002"/>
      <c r="AS412" s="1002"/>
      <c r="AT412" s="1002"/>
      <c r="AU412" s="1002"/>
      <c r="AV412" s="1002"/>
      <c r="AW412" s="1002"/>
      <c r="AX412" s="1002"/>
      <c r="AY412" s="1002"/>
      <c r="AZ412" s="1002"/>
      <c r="BA412" s="1002"/>
      <c r="BB412" s="1002"/>
      <c r="BC412" s="1002"/>
      <c r="BD412" s="1002"/>
      <c r="BE412" s="204"/>
      <c r="BF412" s="205" t="s">
        <v>487</v>
      </c>
      <c r="BG412" s="204"/>
      <c r="BH412" s="204" t="s">
        <v>407</v>
      </c>
      <c r="BI412" s="204"/>
      <c r="BJ412" s="204"/>
      <c r="BK412" s="206"/>
    </row>
    <row r="413" spans="1:63" s="164" customFormat="1" ht="15.75" customHeight="1">
      <c r="A413" s="185"/>
      <c r="B413" s="193"/>
      <c r="C413" s="184"/>
      <c r="D413" s="183" t="s">
        <v>815</v>
      </c>
      <c r="E413" s="184"/>
      <c r="F413" s="184"/>
      <c r="G413" s="184"/>
      <c r="H413" s="184"/>
      <c r="I413" s="184"/>
      <c r="J413" s="184"/>
      <c r="K413" s="184"/>
      <c r="L413" s="193"/>
      <c r="M413" s="1001" t="s">
        <v>816</v>
      </c>
      <c r="N413" s="1002"/>
      <c r="O413" s="1002"/>
      <c r="P413" s="1002"/>
      <c r="Q413" s="1002"/>
      <c r="R413" s="1002"/>
      <c r="S413" s="1002"/>
      <c r="T413" s="1002"/>
      <c r="U413" s="1002"/>
      <c r="V413" s="1002"/>
      <c r="W413" s="1002"/>
      <c r="X413" s="1002"/>
      <c r="Y413" s="1002"/>
      <c r="Z413" s="1002"/>
      <c r="AA413" s="1002"/>
      <c r="AB413" s="1002"/>
      <c r="AC413" s="1002"/>
      <c r="AD413" s="1002"/>
      <c r="AE413" s="1002"/>
      <c r="AF413" s="1002"/>
      <c r="AG413" s="1002"/>
      <c r="AH413" s="1002"/>
      <c r="AI413" s="1002"/>
      <c r="AJ413" s="1002"/>
      <c r="AK413" s="1002"/>
      <c r="AL413" s="1002"/>
      <c r="AM413" s="1002"/>
      <c r="AN413" s="1002"/>
      <c r="AO413" s="1002"/>
      <c r="AP413" s="1002"/>
      <c r="AQ413" s="1002"/>
      <c r="AR413" s="1002"/>
      <c r="AS413" s="1002"/>
      <c r="AT413" s="1002"/>
      <c r="AU413" s="1002"/>
      <c r="AV413" s="1002"/>
      <c r="AW413" s="1002"/>
      <c r="AX413" s="1002"/>
      <c r="AY413" s="1002"/>
      <c r="AZ413" s="1002"/>
      <c r="BA413" s="1002"/>
      <c r="BB413" s="1002"/>
      <c r="BC413" s="1002"/>
      <c r="BD413" s="1002"/>
      <c r="BE413" s="204"/>
      <c r="BF413" s="205" t="s">
        <v>548</v>
      </c>
      <c r="BG413" s="204"/>
      <c r="BH413" s="204" t="s">
        <v>407</v>
      </c>
      <c r="BI413" s="204"/>
      <c r="BJ413" s="204"/>
      <c r="BK413" s="206"/>
    </row>
    <row r="414" spans="1:63" s="164" customFormat="1" ht="15.75" customHeight="1">
      <c r="A414" s="185"/>
      <c r="B414" s="193"/>
      <c r="C414" s="184"/>
      <c r="D414" s="183" t="s">
        <v>817</v>
      </c>
      <c r="E414" s="184"/>
      <c r="F414" s="184"/>
      <c r="G414" s="184"/>
      <c r="H414" s="184"/>
      <c r="I414" s="184"/>
      <c r="J414" s="184"/>
      <c r="K414" s="184"/>
      <c r="L414" s="193"/>
      <c r="M414" s="1001" t="s">
        <v>818</v>
      </c>
      <c r="N414" s="1002"/>
      <c r="O414" s="1002"/>
      <c r="P414" s="1002"/>
      <c r="Q414" s="1002"/>
      <c r="R414" s="1002"/>
      <c r="S414" s="1002"/>
      <c r="T414" s="1002"/>
      <c r="U414" s="1002"/>
      <c r="V414" s="1002"/>
      <c r="W414" s="1002"/>
      <c r="X414" s="1002"/>
      <c r="Y414" s="1002"/>
      <c r="Z414" s="1002"/>
      <c r="AA414" s="1002"/>
      <c r="AB414" s="1002"/>
      <c r="AC414" s="1002"/>
      <c r="AD414" s="1002"/>
      <c r="AE414" s="1002"/>
      <c r="AF414" s="1002"/>
      <c r="AG414" s="1002"/>
      <c r="AH414" s="1002"/>
      <c r="AI414" s="1002"/>
      <c r="AJ414" s="1002"/>
      <c r="AK414" s="1002"/>
      <c r="AL414" s="1002"/>
      <c r="AM414" s="1002"/>
      <c r="AN414" s="1002"/>
      <c r="AO414" s="1002"/>
      <c r="AP414" s="1002"/>
      <c r="AQ414" s="1002"/>
      <c r="AR414" s="1002"/>
      <c r="AS414" s="1002"/>
      <c r="AT414" s="1002"/>
      <c r="AU414" s="1002"/>
      <c r="AV414" s="1002"/>
      <c r="AW414" s="1002"/>
      <c r="AX414" s="1002"/>
      <c r="AY414" s="1002"/>
      <c r="AZ414" s="1002"/>
      <c r="BA414" s="1002"/>
      <c r="BB414" s="1002"/>
      <c r="BC414" s="1002"/>
      <c r="BD414" s="1002"/>
      <c r="BE414" s="204"/>
      <c r="BF414" s="205" t="s">
        <v>548</v>
      </c>
      <c r="BG414" s="204"/>
      <c r="BH414" s="204" t="s">
        <v>407</v>
      </c>
      <c r="BI414" s="204"/>
      <c r="BJ414" s="204"/>
      <c r="BK414" s="206"/>
    </row>
    <row r="415" spans="1:63" s="164" customFormat="1" ht="15.75" customHeight="1">
      <c r="A415" s="185"/>
      <c r="B415" s="193"/>
      <c r="C415" s="184"/>
      <c r="D415" s="183" t="s">
        <v>819</v>
      </c>
      <c r="E415" s="184"/>
      <c r="F415" s="184"/>
      <c r="G415" s="184"/>
      <c r="H415" s="184"/>
      <c r="I415" s="184"/>
      <c r="J415" s="184"/>
      <c r="K415" s="184"/>
      <c r="L415" s="193"/>
      <c r="M415" s="1001" t="s">
        <v>820</v>
      </c>
      <c r="N415" s="1002"/>
      <c r="O415" s="1002"/>
      <c r="P415" s="1002"/>
      <c r="Q415" s="1002"/>
      <c r="R415" s="1002"/>
      <c r="S415" s="1002"/>
      <c r="T415" s="1002"/>
      <c r="U415" s="1002"/>
      <c r="V415" s="1002"/>
      <c r="W415" s="1002"/>
      <c r="X415" s="1002"/>
      <c r="Y415" s="1002"/>
      <c r="Z415" s="1002"/>
      <c r="AA415" s="1002"/>
      <c r="AB415" s="1002"/>
      <c r="AC415" s="1002"/>
      <c r="AD415" s="1002"/>
      <c r="AE415" s="1002"/>
      <c r="AF415" s="1002"/>
      <c r="AG415" s="1002"/>
      <c r="AH415" s="1002"/>
      <c r="AI415" s="1002"/>
      <c r="AJ415" s="1002"/>
      <c r="AK415" s="1002"/>
      <c r="AL415" s="1002"/>
      <c r="AM415" s="1002"/>
      <c r="AN415" s="1002"/>
      <c r="AO415" s="1002"/>
      <c r="AP415" s="1002"/>
      <c r="AQ415" s="1002"/>
      <c r="AR415" s="1002"/>
      <c r="AS415" s="1002"/>
      <c r="AT415" s="1002"/>
      <c r="AU415" s="1002"/>
      <c r="AV415" s="1002"/>
      <c r="AW415" s="1002"/>
      <c r="AX415" s="1002"/>
      <c r="AY415" s="1002"/>
      <c r="AZ415" s="1002"/>
      <c r="BA415" s="1002"/>
      <c r="BB415" s="1002"/>
      <c r="BC415" s="1002"/>
      <c r="BD415" s="1002"/>
      <c r="BE415" s="204"/>
      <c r="BF415" s="205" t="s">
        <v>548</v>
      </c>
      <c r="BG415" s="204"/>
      <c r="BH415" s="204" t="s">
        <v>407</v>
      </c>
      <c r="BI415" s="204"/>
      <c r="BJ415" s="204"/>
      <c r="BK415" s="206"/>
    </row>
    <row r="416" spans="1:63" s="164" customFormat="1" ht="15.75" customHeight="1">
      <c r="A416" s="185"/>
      <c r="B416" s="193"/>
      <c r="C416" s="184"/>
      <c r="D416" s="183" t="s">
        <v>821</v>
      </c>
      <c r="E416" s="184"/>
      <c r="F416" s="184"/>
      <c r="G416" s="184"/>
      <c r="H416" s="184"/>
      <c r="I416" s="184"/>
      <c r="J416" s="184"/>
      <c r="K416" s="184"/>
      <c r="L416" s="193"/>
      <c r="M416" s="1001" t="s">
        <v>822</v>
      </c>
      <c r="N416" s="1002"/>
      <c r="O416" s="1002"/>
      <c r="P416" s="1002"/>
      <c r="Q416" s="1002"/>
      <c r="R416" s="1002"/>
      <c r="S416" s="1002"/>
      <c r="T416" s="1002"/>
      <c r="U416" s="1002"/>
      <c r="V416" s="1002"/>
      <c r="W416" s="1002"/>
      <c r="X416" s="1002"/>
      <c r="Y416" s="1002"/>
      <c r="Z416" s="1002"/>
      <c r="AA416" s="1002"/>
      <c r="AB416" s="1002"/>
      <c r="AC416" s="1002"/>
      <c r="AD416" s="1002"/>
      <c r="AE416" s="1002"/>
      <c r="AF416" s="1002"/>
      <c r="AG416" s="1002"/>
      <c r="AH416" s="1002"/>
      <c r="AI416" s="1002"/>
      <c r="AJ416" s="1002"/>
      <c r="AK416" s="1002"/>
      <c r="AL416" s="1002"/>
      <c r="AM416" s="1002"/>
      <c r="AN416" s="1002"/>
      <c r="AO416" s="1002"/>
      <c r="AP416" s="1002"/>
      <c r="AQ416" s="1002"/>
      <c r="AR416" s="1002"/>
      <c r="AS416" s="1002"/>
      <c r="AT416" s="1002"/>
      <c r="AU416" s="1002"/>
      <c r="AV416" s="1002"/>
      <c r="AW416" s="1002"/>
      <c r="AX416" s="1002"/>
      <c r="AY416" s="1002"/>
      <c r="AZ416" s="1002"/>
      <c r="BA416" s="1002"/>
      <c r="BB416" s="1002"/>
      <c r="BC416" s="1002"/>
      <c r="BD416" s="1002"/>
      <c r="BE416" s="204"/>
      <c r="BF416" s="205" t="s">
        <v>548</v>
      </c>
      <c r="BG416" s="204"/>
      <c r="BH416" s="204" t="s">
        <v>407</v>
      </c>
      <c r="BI416" s="204"/>
      <c r="BJ416" s="204"/>
      <c r="BK416" s="206"/>
    </row>
    <row r="417" spans="1:63" s="164" customFormat="1" ht="15.75" customHeight="1">
      <c r="A417" s="185"/>
      <c r="B417" s="193"/>
      <c r="C417" s="184"/>
      <c r="D417" s="183" t="s">
        <v>823</v>
      </c>
      <c r="E417" s="184"/>
      <c r="F417" s="184"/>
      <c r="G417" s="184"/>
      <c r="H417" s="184"/>
      <c r="I417" s="184"/>
      <c r="J417" s="184"/>
      <c r="K417" s="184"/>
      <c r="L417" s="193"/>
      <c r="M417" s="1001" t="s">
        <v>824</v>
      </c>
      <c r="N417" s="1002"/>
      <c r="O417" s="1002"/>
      <c r="P417" s="1002"/>
      <c r="Q417" s="1002"/>
      <c r="R417" s="1002"/>
      <c r="S417" s="1002"/>
      <c r="T417" s="1002"/>
      <c r="U417" s="1002"/>
      <c r="V417" s="1002"/>
      <c r="W417" s="1002"/>
      <c r="X417" s="1002"/>
      <c r="Y417" s="1002"/>
      <c r="Z417" s="1002"/>
      <c r="AA417" s="1002"/>
      <c r="AB417" s="1002"/>
      <c r="AC417" s="1002"/>
      <c r="AD417" s="1002"/>
      <c r="AE417" s="1002"/>
      <c r="AF417" s="1002"/>
      <c r="AG417" s="1002"/>
      <c r="AH417" s="1002"/>
      <c r="AI417" s="1002"/>
      <c r="AJ417" s="1002"/>
      <c r="AK417" s="1002"/>
      <c r="AL417" s="1002"/>
      <c r="AM417" s="1002"/>
      <c r="AN417" s="1002"/>
      <c r="AO417" s="1002"/>
      <c r="AP417" s="1002"/>
      <c r="AQ417" s="1002"/>
      <c r="AR417" s="1002"/>
      <c r="AS417" s="1002"/>
      <c r="AT417" s="1002"/>
      <c r="AU417" s="1002"/>
      <c r="AV417" s="1002"/>
      <c r="AW417" s="1002"/>
      <c r="AX417" s="1002"/>
      <c r="AY417" s="1002"/>
      <c r="AZ417" s="1002"/>
      <c r="BA417" s="1002"/>
      <c r="BB417" s="1002"/>
      <c r="BC417" s="1002"/>
      <c r="BD417" s="1002"/>
      <c r="BE417" s="204"/>
      <c r="BF417" s="205" t="s">
        <v>548</v>
      </c>
      <c r="BG417" s="204"/>
      <c r="BH417" s="204" t="s">
        <v>407</v>
      </c>
      <c r="BI417" s="204"/>
      <c r="BJ417" s="204"/>
      <c r="BK417" s="206"/>
    </row>
    <row r="418" spans="1:63" s="164" customFormat="1" ht="15.75" customHeight="1">
      <c r="A418" s="185"/>
      <c r="B418" s="193"/>
      <c r="C418" s="184"/>
      <c r="D418" s="183" t="s">
        <v>825</v>
      </c>
      <c r="E418" s="184"/>
      <c r="F418" s="184"/>
      <c r="G418" s="184"/>
      <c r="H418" s="184"/>
      <c r="I418" s="184"/>
      <c r="J418" s="184"/>
      <c r="K418" s="184"/>
      <c r="L418" s="193"/>
      <c r="M418" s="1001" t="s">
        <v>826</v>
      </c>
      <c r="N418" s="1002"/>
      <c r="O418" s="1002"/>
      <c r="P418" s="1002"/>
      <c r="Q418" s="1002"/>
      <c r="R418" s="1002"/>
      <c r="S418" s="1002"/>
      <c r="T418" s="1002"/>
      <c r="U418" s="1002"/>
      <c r="V418" s="1002"/>
      <c r="W418" s="1002"/>
      <c r="X418" s="1002"/>
      <c r="Y418" s="1002"/>
      <c r="Z418" s="1002"/>
      <c r="AA418" s="1002"/>
      <c r="AB418" s="1002"/>
      <c r="AC418" s="1002"/>
      <c r="AD418" s="1002"/>
      <c r="AE418" s="1002"/>
      <c r="AF418" s="1002"/>
      <c r="AG418" s="1002"/>
      <c r="AH418" s="1002"/>
      <c r="AI418" s="1002"/>
      <c r="AJ418" s="1002"/>
      <c r="AK418" s="1002"/>
      <c r="AL418" s="1002"/>
      <c r="AM418" s="1002"/>
      <c r="AN418" s="1002"/>
      <c r="AO418" s="1002"/>
      <c r="AP418" s="1002"/>
      <c r="AQ418" s="1002"/>
      <c r="AR418" s="1002"/>
      <c r="AS418" s="1002"/>
      <c r="AT418" s="1002"/>
      <c r="AU418" s="1002"/>
      <c r="AV418" s="1002"/>
      <c r="AW418" s="1002"/>
      <c r="AX418" s="1002"/>
      <c r="AY418" s="1002"/>
      <c r="AZ418" s="1002"/>
      <c r="BA418" s="1002"/>
      <c r="BB418" s="1002"/>
      <c r="BC418" s="1002"/>
      <c r="BD418" s="1002"/>
      <c r="BE418" s="204"/>
      <c r="BF418" s="205" t="s">
        <v>548</v>
      </c>
      <c r="BG418" s="204"/>
      <c r="BH418" s="204" t="s">
        <v>407</v>
      </c>
      <c r="BI418" s="204"/>
      <c r="BJ418" s="204"/>
      <c r="BK418" s="206"/>
    </row>
    <row r="419" spans="1:63" s="164" customFormat="1" ht="15.75" customHeight="1">
      <c r="A419" s="185"/>
      <c r="B419" s="193"/>
      <c r="C419" s="184"/>
      <c r="D419" s="183" t="s">
        <v>827</v>
      </c>
      <c r="E419" s="184"/>
      <c r="F419" s="184"/>
      <c r="G419" s="184"/>
      <c r="H419" s="184"/>
      <c r="I419" s="184"/>
      <c r="J419" s="184"/>
      <c r="K419" s="184"/>
      <c r="L419" s="193"/>
      <c r="M419" s="1001" t="s">
        <v>828</v>
      </c>
      <c r="N419" s="1002"/>
      <c r="O419" s="1002"/>
      <c r="P419" s="1002"/>
      <c r="Q419" s="1002"/>
      <c r="R419" s="1002"/>
      <c r="S419" s="1002"/>
      <c r="T419" s="1002"/>
      <c r="U419" s="1002"/>
      <c r="V419" s="1002"/>
      <c r="W419" s="1002"/>
      <c r="X419" s="1002"/>
      <c r="Y419" s="1002"/>
      <c r="Z419" s="1002"/>
      <c r="AA419" s="1002"/>
      <c r="AB419" s="1002"/>
      <c r="AC419" s="1002"/>
      <c r="AD419" s="1002"/>
      <c r="AE419" s="1002"/>
      <c r="AF419" s="1002"/>
      <c r="AG419" s="1002"/>
      <c r="AH419" s="1002"/>
      <c r="AI419" s="1002"/>
      <c r="AJ419" s="1002"/>
      <c r="AK419" s="1002"/>
      <c r="AL419" s="1002"/>
      <c r="AM419" s="1002"/>
      <c r="AN419" s="1002"/>
      <c r="AO419" s="1002"/>
      <c r="AP419" s="1002"/>
      <c r="AQ419" s="1002"/>
      <c r="AR419" s="1002"/>
      <c r="AS419" s="1002"/>
      <c r="AT419" s="1002"/>
      <c r="AU419" s="1002"/>
      <c r="AV419" s="1002"/>
      <c r="AW419" s="1002"/>
      <c r="AX419" s="1002"/>
      <c r="AY419" s="1002"/>
      <c r="AZ419" s="1002"/>
      <c r="BA419" s="1002"/>
      <c r="BB419" s="1002"/>
      <c r="BC419" s="1002"/>
      <c r="BD419" s="1002"/>
      <c r="BE419" s="204"/>
      <c r="BF419" s="205" t="s">
        <v>548</v>
      </c>
      <c r="BG419" s="204"/>
      <c r="BH419" s="204" t="s">
        <v>407</v>
      </c>
      <c r="BI419" s="204"/>
      <c r="BJ419" s="204"/>
      <c r="BK419" s="206"/>
    </row>
    <row r="420" spans="1:63" s="164" customFormat="1" ht="15.75" customHeight="1">
      <c r="A420" s="185"/>
      <c r="B420" s="193"/>
      <c r="C420" s="184"/>
      <c r="D420" s="183" t="s">
        <v>829</v>
      </c>
      <c r="E420" s="184"/>
      <c r="F420" s="184"/>
      <c r="G420" s="184"/>
      <c r="H420" s="184"/>
      <c r="I420" s="184"/>
      <c r="J420" s="184"/>
      <c r="K420" s="184"/>
      <c r="L420" s="193"/>
      <c r="M420" s="1001" t="s">
        <v>830</v>
      </c>
      <c r="N420" s="1002"/>
      <c r="O420" s="1002"/>
      <c r="P420" s="1002"/>
      <c r="Q420" s="1002"/>
      <c r="R420" s="1002"/>
      <c r="S420" s="1002"/>
      <c r="T420" s="1002"/>
      <c r="U420" s="1002"/>
      <c r="V420" s="1002"/>
      <c r="W420" s="1002"/>
      <c r="X420" s="1002"/>
      <c r="Y420" s="1002"/>
      <c r="Z420" s="1002"/>
      <c r="AA420" s="1002"/>
      <c r="AB420" s="1002"/>
      <c r="AC420" s="1002"/>
      <c r="AD420" s="1002"/>
      <c r="AE420" s="1002"/>
      <c r="AF420" s="1002"/>
      <c r="AG420" s="1002"/>
      <c r="AH420" s="1002"/>
      <c r="AI420" s="1002"/>
      <c r="AJ420" s="1002"/>
      <c r="AK420" s="1002"/>
      <c r="AL420" s="1002"/>
      <c r="AM420" s="1002"/>
      <c r="AN420" s="1002"/>
      <c r="AO420" s="1002"/>
      <c r="AP420" s="1002"/>
      <c r="AQ420" s="1002"/>
      <c r="AR420" s="1002"/>
      <c r="AS420" s="1002"/>
      <c r="AT420" s="1002"/>
      <c r="AU420" s="1002"/>
      <c r="AV420" s="1002"/>
      <c r="AW420" s="1002"/>
      <c r="AX420" s="1002"/>
      <c r="AY420" s="1002"/>
      <c r="AZ420" s="1002"/>
      <c r="BA420" s="1002"/>
      <c r="BB420" s="1002"/>
      <c r="BC420" s="1002"/>
      <c r="BD420" s="1002"/>
      <c r="BE420" s="204"/>
      <c r="BF420" s="205" t="s">
        <v>548</v>
      </c>
      <c r="BG420" s="204"/>
      <c r="BH420" s="204" t="s">
        <v>407</v>
      </c>
      <c r="BI420" s="204"/>
      <c r="BJ420" s="204"/>
      <c r="BK420" s="206"/>
    </row>
    <row r="421" spans="1:63" s="164" customFormat="1" ht="15.75" customHeight="1">
      <c r="A421" s="185"/>
      <c r="B421" s="193"/>
      <c r="C421" s="184"/>
      <c r="D421" s="183" t="s">
        <v>831</v>
      </c>
      <c r="E421" s="184"/>
      <c r="F421" s="184"/>
      <c r="G421" s="184"/>
      <c r="H421" s="184"/>
      <c r="I421" s="184"/>
      <c r="J421" s="184"/>
      <c r="K421" s="184"/>
      <c r="L421" s="193"/>
      <c r="M421" s="1001" t="s">
        <v>832</v>
      </c>
      <c r="N421" s="1002"/>
      <c r="O421" s="1002"/>
      <c r="P421" s="1002"/>
      <c r="Q421" s="1002"/>
      <c r="R421" s="1002"/>
      <c r="S421" s="1002"/>
      <c r="T421" s="1002"/>
      <c r="U421" s="1002"/>
      <c r="V421" s="1002"/>
      <c r="W421" s="1002"/>
      <c r="X421" s="1002"/>
      <c r="Y421" s="1002"/>
      <c r="Z421" s="1002"/>
      <c r="AA421" s="1002"/>
      <c r="AB421" s="1002"/>
      <c r="AC421" s="1002"/>
      <c r="AD421" s="1002"/>
      <c r="AE421" s="1002"/>
      <c r="AF421" s="1002"/>
      <c r="AG421" s="1002"/>
      <c r="AH421" s="1002"/>
      <c r="AI421" s="1002"/>
      <c r="AJ421" s="1002"/>
      <c r="AK421" s="1002"/>
      <c r="AL421" s="1002"/>
      <c r="AM421" s="1002"/>
      <c r="AN421" s="1002"/>
      <c r="AO421" s="1002"/>
      <c r="AP421" s="1002"/>
      <c r="AQ421" s="1002"/>
      <c r="AR421" s="1002"/>
      <c r="AS421" s="1002"/>
      <c r="AT421" s="1002"/>
      <c r="AU421" s="1002"/>
      <c r="AV421" s="1002"/>
      <c r="AW421" s="1002"/>
      <c r="AX421" s="1002"/>
      <c r="AY421" s="1002"/>
      <c r="AZ421" s="1002"/>
      <c r="BA421" s="1002"/>
      <c r="BB421" s="1002"/>
      <c r="BC421" s="1002"/>
      <c r="BD421" s="1002"/>
      <c r="BE421" s="204"/>
      <c r="BF421" s="205" t="s">
        <v>548</v>
      </c>
      <c r="BG421" s="204"/>
      <c r="BH421" s="204" t="s">
        <v>407</v>
      </c>
      <c r="BI421" s="204"/>
      <c r="BJ421" s="204"/>
      <c r="BK421" s="206"/>
    </row>
    <row r="422" spans="1:63" s="164" customFormat="1" ht="31.5" customHeight="1">
      <c r="A422" s="185"/>
      <c r="B422" s="193"/>
      <c r="C422" s="251" t="s">
        <v>411</v>
      </c>
      <c r="D422" s="183" t="s">
        <v>833</v>
      </c>
      <c r="E422" s="184"/>
      <c r="F422" s="184"/>
      <c r="G422" s="184"/>
      <c r="H422" s="184"/>
      <c r="I422" s="184"/>
      <c r="J422" s="184"/>
      <c r="K422" s="184"/>
      <c r="L422" s="193"/>
      <c r="M422" s="1005" t="s">
        <v>834</v>
      </c>
      <c r="N422" s="1005"/>
      <c r="O422" s="1005"/>
      <c r="P422" s="1005"/>
      <c r="Q422" s="1005"/>
      <c r="R422" s="1005"/>
      <c r="S422" s="1005"/>
      <c r="T422" s="1005"/>
      <c r="U422" s="1005"/>
      <c r="V422" s="1005"/>
      <c r="W422" s="1005"/>
      <c r="X422" s="1005"/>
      <c r="Y422" s="1005"/>
      <c r="Z422" s="1005"/>
      <c r="AA422" s="1005"/>
      <c r="AB422" s="1005"/>
      <c r="AC422" s="1005"/>
      <c r="AD422" s="1005"/>
      <c r="AE422" s="1005"/>
      <c r="AF422" s="1005"/>
      <c r="AG422" s="1005"/>
      <c r="AH422" s="1005"/>
      <c r="AI422" s="1005"/>
      <c r="AJ422" s="1005"/>
      <c r="AK422" s="1005"/>
      <c r="AL422" s="1005"/>
      <c r="AM422" s="1005"/>
      <c r="AN422" s="1005"/>
      <c r="AO422" s="1005"/>
      <c r="AP422" s="1005"/>
      <c r="AQ422" s="1005"/>
      <c r="AR422" s="1005"/>
      <c r="AS422" s="1005"/>
      <c r="AT422" s="1005"/>
      <c r="AU422" s="1005"/>
      <c r="AV422" s="1005"/>
      <c r="AW422" s="1005"/>
      <c r="AX422" s="1005"/>
      <c r="AY422" s="1005"/>
      <c r="AZ422" s="1005"/>
      <c r="BA422" s="1005"/>
      <c r="BB422" s="1005"/>
      <c r="BC422" s="1005"/>
      <c r="BD422" s="1005"/>
      <c r="BE422" s="204"/>
      <c r="BF422" s="205" t="s">
        <v>419</v>
      </c>
      <c r="BG422" s="204"/>
      <c r="BH422" s="204" t="s">
        <v>407</v>
      </c>
      <c r="BI422" s="205" t="s">
        <v>408</v>
      </c>
      <c r="BJ422" s="204"/>
      <c r="BK422" s="206"/>
    </row>
    <row r="423" spans="1:63" s="164" customFormat="1" ht="138.75" customHeight="1">
      <c r="A423" s="185"/>
      <c r="B423" s="193"/>
      <c r="C423" s="251" t="s">
        <v>411</v>
      </c>
      <c r="D423" s="183" t="s">
        <v>835</v>
      </c>
      <c r="E423" s="184"/>
      <c r="F423" s="184"/>
      <c r="G423" s="184"/>
      <c r="H423" s="184"/>
      <c r="I423" s="184"/>
      <c r="J423" s="184"/>
      <c r="K423" s="184"/>
      <c r="L423" s="193"/>
      <c r="M423" s="1007" t="s">
        <v>836</v>
      </c>
      <c r="N423" s="1008"/>
      <c r="O423" s="1008"/>
      <c r="P423" s="1008"/>
      <c r="Q423" s="1008"/>
      <c r="R423" s="1008"/>
      <c r="S423" s="1008"/>
      <c r="T423" s="1008"/>
      <c r="U423" s="1008"/>
      <c r="V423" s="1008"/>
      <c r="W423" s="1008"/>
      <c r="X423" s="1008"/>
      <c r="Y423" s="1008"/>
      <c r="Z423" s="1008"/>
      <c r="AA423" s="1008"/>
      <c r="AB423" s="1008"/>
      <c r="AC423" s="1008"/>
      <c r="AD423" s="1008"/>
      <c r="AE423" s="1008"/>
      <c r="AF423" s="1008"/>
      <c r="AG423" s="1008"/>
      <c r="AH423" s="1008"/>
      <c r="AI423" s="1008"/>
      <c r="AJ423" s="1008"/>
      <c r="AK423" s="1008"/>
      <c r="AL423" s="1008"/>
      <c r="AM423" s="1008"/>
      <c r="AN423" s="1008"/>
      <c r="AO423" s="1008"/>
      <c r="AP423" s="1008"/>
      <c r="AQ423" s="1008"/>
      <c r="AR423" s="1008"/>
      <c r="AS423" s="1008"/>
      <c r="AT423" s="1008"/>
      <c r="AU423" s="1008"/>
      <c r="AV423" s="1008"/>
      <c r="AW423" s="1008"/>
      <c r="AX423" s="1008"/>
      <c r="AY423" s="1008"/>
      <c r="AZ423" s="1008"/>
      <c r="BA423" s="1008"/>
      <c r="BB423" s="1008"/>
      <c r="BC423" s="1008"/>
      <c r="BD423" s="1009"/>
      <c r="BE423" s="204"/>
      <c r="BF423" s="205" t="s">
        <v>548</v>
      </c>
      <c r="BG423" s="204"/>
      <c r="BH423" s="204" t="s">
        <v>407</v>
      </c>
      <c r="BI423" s="205" t="s">
        <v>408</v>
      </c>
      <c r="BJ423" s="204"/>
      <c r="BK423" s="206"/>
    </row>
    <row r="424" spans="1:63" s="164" customFormat="1" ht="15.75" customHeight="1">
      <c r="A424" s="185"/>
      <c r="B424" s="193"/>
      <c r="C424" s="184"/>
      <c r="D424" s="183" t="s">
        <v>837</v>
      </c>
      <c r="E424" s="184"/>
      <c r="F424" s="184"/>
      <c r="G424" s="184"/>
      <c r="H424" s="184"/>
      <c r="I424" s="184"/>
      <c r="J424" s="184"/>
      <c r="K424" s="184"/>
      <c r="L424" s="193"/>
      <c r="M424" s="1003"/>
      <c r="N424" s="1002"/>
      <c r="O424" s="1002"/>
      <c r="P424" s="1002"/>
      <c r="Q424" s="1002"/>
      <c r="R424" s="1002"/>
      <c r="S424" s="1002"/>
      <c r="T424" s="1002"/>
      <c r="U424" s="1002"/>
      <c r="V424" s="1002"/>
      <c r="W424" s="1002"/>
      <c r="X424" s="1002"/>
      <c r="Y424" s="1002"/>
      <c r="Z424" s="1002"/>
      <c r="AA424" s="1002"/>
      <c r="AB424" s="1002"/>
      <c r="AC424" s="1002"/>
      <c r="AD424" s="1002"/>
      <c r="AE424" s="1002"/>
      <c r="AF424" s="1002"/>
      <c r="AG424" s="1002"/>
      <c r="AH424" s="1002"/>
      <c r="AI424" s="1002"/>
      <c r="AJ424" s="1002"/>
      <c r="AK424" s="1002"/>
      <c r="AL424" s="1002"/>
      <c r="AM424" s="1002"/>
      <c r="AN424" s="1002"/>
      <c r="AO424" s="1002"/>
      <c r="AP424" s="1002"/>
      <c r="AQ424" s="1002"/>
      <c r="AR424" s="1002"/>
      <c r="AS424" s="1002"/>
      <c r="AT424" s="1002"/>
      <c r="AU424" s="1002"/>
      <c r="AV424" s="1002"/>
      <c r="AW424" s="1002"/>
      <c r="AX424" s="1002"/>
      <c r="AY424" s="1002"/>
      <c r="AZ424" s="1002"/>
      <c r="BA424" s="1002"/>
      <c r="BB424" s="1002"/>
      <c r="BC424" s="1002"/>
      <c r="BD424" s="1002"/>
      <c r="BE424" s="204"/>
      <c r="BF424" s="205" t="s">
        <v>487</v>
      </c>
      <c r="BG424" s="204"/>
      <c r="BH424" s="204" t="s">
        <v>407</v>
      </c>
      <c r="BI424" s="204"/>
      <c r="BJ424" s="204"/>
      <c r="BK424" s="206"/>
    </row>
    <row r="425" spans="1:63" s="164" customFormat="1" ht="15.75" customHeight="1">
      <c r="A425" s="185"/>
      <c r="B425" s="193"/>
      <c r="C425" s="184"/>
      <c r="D425" s="183" t="s">
        <v>838</v>
      </c>
      <c r="E425" s="184"/>
      <c r="F425" s="184"/>
      <c r="G425" s="184"/>
      <c r="H425" s="184"/>
      <c r="I425" s="184"/>
      <c r="J425" s="184"/>
      <c r="K425" s="184"/>
      <c r="L425" s="193"/>
      <c r="M425" s="1003"/>
      <c r="N425" s="1002"/>
      <c r="O425" s="1002"/>
      <c r="P425" s="1002"/>
      <c r="Q425" s="1002"/>
      <c r="R425" s="1002"/>
      <c r="S425" s="1002"/>
      <c r="T425" s="1002"/>
      <c r="U425" s="1002"/>
      <c r="V425" s="1002"/>
      <c r="W425" s="1002"/>
      <c r="X425" s="1002"/>
      <c r="Y425" s="1002"/>
      <c r="Z425" s="1002"/>
      <c r="AA425" s="1002"/>
      <c r="AB425" s="1002"/>
      <c r="AC425" s="1002"/>
      <c r="AD425" s="1002"/>
      <c r="AE425" s="1002"/>
      <c r="AF425" s="1002"/>
      <c r="AG425" s="1002"/>
      <c r="AH425" s="1002"/>
      <c r="AI425" s="1002"/>
      <c r="AJ425" s="1002"/>
      <c r="AK425" s="1002"/>
      <c r="AL425" s="1002"/>
      <c r="AM425" s="1002"/>
      <c r="AN425" s="1002"/>
      <c r="AO425" s="1002"/>
      <c r="AP425" s="1002"/>
      <c r="AQ425" s="1002"/>
      <c r="AR425" s="1002"/>
      <c r="AS425" s="1002"/>
      <c r="AT425" s="1002"/>
      <c r="AU425" s="1002"/>
      <c r="AV425" s="1002"/>
      <c r="AW425" s="1002"/>
      <c r="AX425" s="1002"/>
      <c r="AY425" s="1002"/>
      <c r="AZ425" s="1002"/>
      <c r="BA425" s="1002"/>
      <c r="BB425" s="1002"/>
      <c r="BC425" s="1002"/>
      <c r="BD425" s="1002"/>
      <c r="BE425" s="204"/>
      <c r="BF425" s="205" t="s">
        <v>487</v>
      </c>
      <c r="BG425" s="204"/>
      <c r="BH425" s="204" t="s">
        <v>407</v>
      </c>
      <c r="BI425" s="204"/>
      <c r="BJ425" s="204"/>
      <c r="BK425" s="206"/>
    </row>
    <row r="426" spans="1:63" s="164" customFormat="1" ht="15.75" customHeight="1">
      <c r="A426" s="185"/>
      <c r="B426" s="193"/>
      <c r="C426" s="184"/>
      <c r="D426" s="183" t="s">
        <v>839</v>
      </c>
      <c r="E426" s="184"/>
      <c r="F426" s="184"/>
      <c r="G426" s="184"/>
      <c r="H426" s="184"/>
      <c r="I426" s="184"/>
      <c r="J426" s="184"/>
      <c r="K426" s="184"/>
      <c r="L426" s="193"/>
      <c r="M426" s="1001" t="s">
        <v>840</v>
      </c>
      <c r="N426" s="1002"/>
      <c r="O426" s="1002"/>
      <c r="P426" s="1002"/>
      <c r="Q426" s="1002"/>
      <c r="R426" s="1002"/>
      <c r="S426" s="1002"/>
      <c r="T426" s="1002"/>
      <c r="U426" s="1002"/>
      <c r="V426" s="1002"/>
      <c r="W426" s="1002"/>
      <c r="X426" s="1002"/>
      <c r="Y426" s="1002"/>
      <c r="Z426" s="1002"/>
      <c r="AA426" s="1002"/>
      <c r="AB426" s="1002"/>
      <c r="AC426" s="1002"/>
      <c r="AD426" s="1002"/>
      <c r="AE426" s="1002"/>
      <c r="AF426" s="1002"/>
      <c r="AG426" s="1002"/>
      <c r="AH426" s="1002"/>
      <c r="AI426" s="1002"/>
      <c r="AJ426" s="1002"/>
      <c r="AK426" s="1002"/>
      <c r="AL426" s="1002"/>
      <c r="AM426" s="1002"/>
      <c r="AN426" s="1002"/>
      <c r="AO426" s="1002"/>
      <c r="AP426" s="1002"/>
      <c r="AQ426" s="1002"/>
      <c r="AR426" s="1002"/>
      <c r="AS426" s="1002"/>
      <c r="AT426" s="1002"/>
      <c r="AU426" s="1002"/>
      <c r="AV426" s="1002"/>
      <c r="AW426" s="1002"/>
      <c r="AX426" s="1002"/>
      <c r="AY426" s="1002"/>
      <c r="AZ426" s="1002"/>
      <c r="BA426" s="1002"/>
      <c r="BB426" s="1002"/>
      <c r="BC426" s="1002"/>
      <c r="BD426" s="1002"/>
      <c r="BE426" s="204"/>
      <c r="BF426" s="205" t="s">
        <v>548</v>
      </c>
      <c r="BG426" s="204"/>
      <c r="BH426" s="204" t="s">
        <v>407</v>
      </c>
      <c r="BI426" s="204"/>
      <c r="BJ426" s="204"/>
      <c r="BK426" s="206"/>
    </row>
    <row r="427" spans="1:63" s="164" customFormat="1" ht="15.75" customHeight="1">
      <c r="A427" s="185"/>
      <c r="B427" s="193"/>
      <c r="C427" s="184"/>
      <c r="D427" s="183" t="s">
        <v>841</v>
      </c>
      <c r="E427" s="184"/>
      <c r="F427" s="184"/>
      <c r="G427" s="184"/>
      <c r="H427" s="184"/>
      <c r="I427" s="184"/>
      <c r="J427" s="184"/>
      <c r="K427" s="184"/>
      <c r="L427" s="193"/>
      <c r="M427" s="1001" t="s">
        <v>842</v>
      </c>
      <c r="N427" s="1002"/>
      <c r="O427" s="1002"/>
      <c r="P427" s="1002"/>
      <c r="Q427" s="1002"/>
      <c r="R427" s="1002"/>
      <c r="S427" s="1002"/>
      <c r="T427" s="1002"/>
      <c r="U427" s="1002"/>
      <c r="V427" s="1002"/>
      <c r="W427" s="1002"/>
      <c r="X427" s="1002"/>
      <c r="Y427" s="1002"/>
      <c r="Z427" s="1002"/>
      <c r="AA427" s="1002"/>
      <c r="AB427" s="1002"/>
      <c r="AC427" s="1002"/>
      <c r="AD427" s="1002"/>
      <c r="AE427" s="1002"/>
      <c r="AF427" s="1002"/>
      <c r="AG427" s="1002"/>
      <c r="AH427" s="1002"/>
      <c r="AI427" s="1002"/>
      <c r="AJ427" s="1002"/>
      <c r="AK427" s="1002"/>
      <c r="AL427" s="1002"/>
      <c r="AM427" s="1002"/>
      <c r="AN427" s="1002"/>
      <c r="AO427" s="1002"/>
      <c r="AP427" s="1002"/>
      <c r="AQ427" s="1002"/>
      <c r="AR427" s="1002"/>
      <c r="AS427" s="1002"/>
      <c r="AT427" s="1002"/>
      <c r="AU427" s="1002"/>
      <c r="AV427" s="1002"/>
      <c r="AW427" s="1002"/>
      <c r="AX427" s="1002"/>
      <c r="AY427" s="1002"/>
      <c r="AZ427" s="1002"/>
      <c r="BA427" s="1002"/>
      <c r="BB427" s="1002"/>
      <c r="BC427" s="1002"/>
      <c r="BD427" s="1002"/>
      <c r="BE427" s="204"/>
      <c r="BF427" s="205" t="s">
        <v>548</v>
      </c>
      <c r="BG427" s="204"/>
      <c r="BH427" s="204" t="s">
        <v>407</v>
      </c>
      <c r="BI427" s="204"/>
      <c r="BJ427" s="204"/>
      <c r="BK427" s="206"/>
    </row>
    <row r="428" spans="1:63" s="164" customFormat="1" ht="15.75" customHeight="1">
      <c r="A428" s="185"/>
      <c r="B428" s="193"/>
      <c r="C428" s="184"/>
      <c r="D428" s="183" t="s">
        <v>843</v>
      </c>
      <c r="E428" s="184"/>
      <c r="F428" s="184"/>
      <c r="G428" s="184"/>
      <c r="H428" s="184"/>
      <c r="I428" s="184"/>
      <c r="J428" s="184"/>
      <c r="K428" s="184"/>
      <c r="L428" s="193"/>
      <c r="M428" s="1001" t="s">
        <v>844</v>
      </c>
      <c r="N428" s="1002"/>
      <c r="O428" s="1002"/>
      <c r="P428" s="1002"/>
      <c r="Q428" s="1002"/>
      <c r="R428" s="1002"/>
      <c r="S428" s="1002"/>
      <c r="T428" s="1002"/>
      <c r="U428" s="1002"/>
      <c r="V428" s="1002"/>
      <c r="W428" s="1002"/>
      <c r="X428" s="1002"/>
      <c r="Y428" s="1002"/>
      <c r="Z428" s="1002"/>
      <c r="AA428" s="1002"/>
      <c r="AB428" s="1002"/>
      <c r="AC428" s="1002"/>
      <c r="AD428" s="1002"/>
      <c r="AE428" s="1002"/>
      <c r="AF428" s="1002"/>
      <c r="AG428" s="1002"/>
      <c r="AH428" s="1002"/>
      <c r="AI428" s="1002"/>
      <c r="AJ428" s="1002"/>
      <c r="AK428" s="1002"/>
      <c r="AL428" s="1002"/>
      <c r="AM428" s="1002"/>
      <c r="AN428" s="1002"/>
      <c r="AO428" s="1002"/>
      <c r="AP428" s="1002"/>
      <c r="AQ428" s="1002"/>
      <c r="AR428" s="1002"/>
      <c r="AS428" s="1002"/>
      <c r="AT428" s="1002"/>
      <c r="AU428" s="1002"/>
      <c r="AV428" s="1002"/>
      <c r="AW428" s="1002"/>
      <c r="AX428" s="1002"/>
      <c r="AY428" s="1002"/>
      <c r="AZ428" s="1002"/>
      <c r="BA428" s="1002"/>
      <c r="BB428" s="1002"/>
      <c r="BC428" s="1002"/>
      <c r="BD428" s="1002"/>
      <c r="BE428" s="204"/>
      <c r="BF428" s="205" t="s">
        <v>548</v>
      </c>
      <c r="BG428" s="204"/>
      <c r="BH428" s="204" t="s">
        <v>407</v>
      </c>
      <c r="BI428" s="204"/>
      <c r="BJ428" s="204"/>
      <c r="BK428" s="206"/>
    </row>
    <row r="429" spans="1:63" s="164" customFormat="1" ht="15.75" customHeight="1">
      <c r="A429" s="185"/>
      <c r="B429" s="193"/>
      <c r="C429" s="184"/>
      <c r="D429" s="183" t="s">
        <v>845</v>
      </c>
      <c r="E429" s="184"/>
      <c r="F429" s="184"/>
      <c r="G429" s="184"/>
      <c r="H429" s="184"/>
      <c r="I429" s="184"/>
      <c r="J429" s="184"/>
      <c r="K429" s="184"/>
      <c r="L429" s="193"/>
      <c r="M429" s="1001" t="s">
        <v>846</v>
      </c>
      <c r="N429" s="1002"/>
      <c r="O429" s="1002"/>
      <c r="P429" s="1002"/>
      <c r="Q429" s="1002"/>
      <c r="R429" s="1002"/>
      <c r="S429" s="1002"/>
      <c r="T429" s="1002"/>
      <c r="U429" s="1002"/>
      <c r="V429" s="1002"/>
      <c r="W429" s="1002"/>
      <c r="X429" s="1002"/>
      <c r="Y429" s="1002"/>
      <c r="Z429" s="1002"/>
      <c r="AA429" s="1002"/>
      <c r="AB429" s="1002"/>
      <c r="AC429" s="1002"/>
      <c r="AD429" s="1002"/>
      <c r="AE429" s="1002"/>
      <c r="AF429" s="1002"/>
      <c r="AG429" s="1002"/>
      <c r="AH429" s="1002"/>
      <c r="AI429" s="1002"/>
      <c r="AJ429" s="1002"/>
      <c r="AK429" s="1002"/>
      <c r="AL429" s="1002"/>
      <c r="AM429" s="1002"/>
      <c r="AN429" s="1002"/>
      <c r="AO429" s="1002"/>
      <c r="AP429" s="1002"/>
      <c r="AQ429" s="1002"/>
      <c r="AR429" s="1002"/>
      <c r="AS429" s="1002"/>
      <c r="AT429" s="1002"/>
      <c r="AU429" s="1002"/>
      <c r="AV429" s="1002"/>
      <c r="AW429" s="1002"/>
      <c r="AX429" s="1002"/>
      <c r="AY429" s="1002"/>
      <c r="AZ429" s="1002"/>
      <c r="BA429" s="1002"/>
      <c r="BB429" s="1002"/>
      <c r="BC429" s="1002"/>
      <c r="BD429" s="1002"/>
      <c r="BE429" s="204"/>
      <c r="BF429" s="205" t="s">
        <v>548</v>
      </c>
      <c r="BG429" s="204"/>
      <c r="BH429" s="204" t="s">
        <v>407</v>
      </c>
      <c r="BI429" s="204"/>
      <c r="BJ429" s="204"/>
      <c r="BK429" s="206"/>
    </row>
    <row r="430" spans="1:63" s="164" customFormat="1" ht="15.75" customHeight="1">
      <c r="A430" s="185"/>
      <c r="B430" s="193"/>
      <c r="C430" s="184"/>
      <c r="D430" s="183" t="s">
        <v>847</v>
      </c>
      <c r="E430" s="184"/>
      <c r="F430" s="184"/>
      <c r="G430" s="184"/>
      <c r="H430" s="184"/>
      <c r="I430" s="184"/>
      <c r="J430" s="184"/>
      <c r="K430" s="184"/>
      <c r="L430" s="193"/>
      <c r="M430" s="1001" t="s">
        <v>848</v>
      </c>
      <c r="N430" s="1002"/>
      <c r="O430" s="1002"/>
      <c r="P430" s="1002"/>
      <c r="Q430" s="1002"/>
      <c r="R430" s="1002"/>
      <c r="S430" s="1002"/>
      <c r="T430" s="1002"/>
      <c r="U430" s="1002"/>
      <c r="V430" s="1002"/>
      <c r="W430" s="1002"/>
      <c r="X430" s="1002"/>
      <c r="Y430" s="1002"/>
      <c r="Z430" s="1002"/>
      <c r="AA430" s="1002"/>
      <c r="AB430" s="1002"/>
      <c r="AC430" s="1002"/>
      <c r="AD430" s="1002"/>
      <c r="AE430" s="1002"/>
      <c r="AF430" s="1002"/>
      <c r="AG430" s="1002"/>
      <c r="AH430" s="1002"/>
      <c r="AI430" s="1002"/>
      <c r="AJ430" s="1002"/>
      <c r="AK430" s="1002"/>
      <c r="AL430" s="1002"/>
      <c r="AM430" s="1002"/>
      <c r="AN430" s="1002"/>
      <c r="AO430" s="1002"/>
      <c r="AP430" s="1002"/>
      <c r="AQ430" s="1002"/>
      <c r="AR430" s="1002"/>
      <c r="AS430" s="1002"/>
      <c r="AT430" s="1002"/>
      <c r="AU430" s="1002"/>
      <c r="AV430" s="1002"/>
      <c r="AW430" s="1002"/>
      <c r="AX430" s="1002"/>
      <c r="AY430" s="1002"/>
      <c r="AZ430" s="1002"/>
      <c r="BA430" s="1002"/>
      <c r="BB430" s="1002"/>
      <c r="BC430" s="1002"/>
      <c r="BD430" s="1002"/>
      <c r="BE430" s="204"/>
      <c r="BF430" s="205" t="s">
        <v>548</v>
      </c>
      <c r="BG430" s="204"/>
      <c r="BH430" s="204" t="s">
        <v>407</v>
      </c>
      <c r="BI430" s="204"/>
      <c r="BJ430" s="204"/>
      <c r="BK430" s="206"/>
    </row>
    <row r="431" spans="1:63" s="164" customFormat="1" ht="15.75" customHeight="1">
      <c r="A431" s="185"/>
      <c r="B431" s="193"/>
      <c r="C431" s="184"/>
      <c r="D431" s="183" t="s">
        <v>849</v>
      </c>
      <c r="E431" s="184"/>
      <c r="F431" s="184"/>
      <c r="G431" s="184"/>
      <c r="H431" s="184"/>
      <c r="I431" s="184"/>
      <c r="J431" s="184"/>
      <c r="K431" s="184"/>
      <c r="L431" s="193"/>
      <c r="M431" s="1001" t="s">
        <v>850</v>
      </c>
      <c r="N431" s="1002"/>
      <c r="O431" s="1002"/>
      <c r="P431" s="1002"/>
      <c r="Q431" s="1002"/>
      <c r="R431" s="1002"/>
      <c r="S431" s="1002"/>
      <c r="T431" s="1002"/>
      <c r="U431" s="1002"/>
      <c r="V431" s="1002"/>
      <c r="W431" s="1002"/>
      <c r="X431" s="1002"/>
      <c r="Y431" s="1002"/>
      <c r="Z431" s="1002"/>
      <c r="AA431" s="1002"/>
      <c r="AB431" s="1002"/>
      <c r="AC431" s="1002"/>
      <c r="AD431" s="1002"/>
      <c r="AE431" s="1002"/>
      <c r="AF431" s="1002"/>
      <c r="AG431" s="1002"/>
      <c r="AH431" s="1002"/>
      <c r="AI431" s="1002"/>
      <c r="AJ431" s="1002"/>
      <c r="AK431" s="1002"/>
      <c r="AL431" s="1002"/>
      <c r="AM431" s="1002"/>
      <c r="AN431" s="1002"/>
      <c r="AO431" s="1002"/>
      <c r="AP431" s="1002"/>
      <c r="AQ431" s="1002"/>
      <c r="AR431" s="1002"/>
      <c r="AS431" s="1002"/>
      <c r="AT431" s="1002"/>
      <c r="AU431" s="1002"/>
      <c r="AV431" s="1002"/>
      <c r="AW431" s="1002"/>
      <c r="AX431" s="1002"/>
      <c r="AY431" s="1002"/>
      <c r="AZ431" s="1002"/>
      <c r="BA431" s="1002"/>
      <c r="BB431" s="1002"/>
      <c r="BC431" s="1002"/>
      <c r="BD431" s="1002"/>
      <c r="BE431" s="204"/>
      <c r="BF431" s="205" t="s">
        <v>548</v>
      </c>
      <c r="BG431" s="204"/>
      <c r="BH431" s="204" t="s">
        <v>407</v>
      </c>
      <c r="BI431" s="204"/>
      <c r="BJ431" s="204"/>
      <c r="BK431" s="206"/>
    </row>
    <row r="432" spans="1:63" s="164" customFormat="1" ht="15.75" customHeight="1">
      <c r="A432" s="185"/>
      <c r="B432" s="193"/>
      <c r="C432" s="184"/>
      <c r="D432" s="183" t="s">
        <v>851</v>
      </c>
      <c r="E432" s="184"/>
      <c r="F432" s="184"/>
      <c r="G432" s="184"/>
      <c r="H432" s="184"/>
      <c r="I432" s="184"/>
      <c r="J432" s="184"/>
      <c r="K432" s="184"/>
      <c r="L432" s="193"/>
      <c r="M432" s="1001" t="s">
        <v>852</v>
      </c>
      <c r="N432" s="1002"/>
      <c r="O432" s="1002"/>
      <c r="P432" s="1002"/>
      <c r="Q432" s="1002"/>
      <c r="R432" s="1002"/>
      <c r="S432" s="1002"/>
      <c r="T432" s="1002"/>
      <c r="U432" s="1002"/>
      <c r="V432" s="1002"/>
      <c r="W432" s="1002"/>
      <c r="X432" s="1002"/>
      <c r="Y432" s="1002"/>
      <c r="Z432" s="1002"/>
      <c r="AA432" s="1002"/>
      <c r="AB432" s="1002"/>
      <c r="AC432" s="1002"/>
      <c r="AD432" s="1002"/>
      <c r="AE432" s="1002"/>
      <c r="AF432" s="1002"/>
      <c r="AG432" s="1002"/>
      <c r="AH432" s="1002"/>
      <c r="AI432" s="1002"/>
      <c r="AJ432" s="1002"/>
      <c r="AK432" s="1002"/>
      <c r="AL432" s="1002"/>
      <c r="AM432" s="1002"/>
      <c r="AN432" s="1002"/>
      <c r="AO432" s="1002"/>
      <c r="AP432" s="1002"/>
      <c r="AQ432" s="1002"/>
      <c r="AR432" s="1002"/>
      <c r="AS432" s="1002"/>
      <c r="AT432" s="1002"/>
      <c r="AU432" s="1002"/>
      <c r="AV432" s="1002"/>
      <c r="AW432" s="1002"/>
      <c r="AX432" s="1002"/>
      <c r="AY432" s="1002"/>
      <c r="AZ432" s="1002"/>
      <c r="BA432" s="1002"/>
      <c r="BB432" s="1002"/>
      <c r="BC432" s="1002"/>
      <c r="BD432" s="1002"/>
      <c r="BE432" s="204"/>
      <c r="BF432" s="205" t="s">
        <v>548</v>
      </c>
      <c r="BG432" s="204"/>
      <c r="BH432" s="204" t="s">
        <v>407</v>
      </c>
      <c r="BI432" s="204"/>
      <c r="BJ432" s="204"/>
      <c r="BK432" s="206"/>
    </row>
    <row r="433" spans="1:63" s="164" customFormat="1" ht="15.75" customHeight="1">
      <c r="A433" s="185"/>
      <c r="B433" s="193"/>
      <c r="C433" s="184"/>
      <c r="D433" s="183" t="s">
        <v>853</v>
      </c>
      <c r="E433" s="184"/>
      <c r="F433" s="184"/>
      <c r="G433" s="184"/>
      <c r="H433" s="184"/>
      <c r="I433" s="184"/>
      <c r="J433" s="184"/>
      <c r="K433" s="184"/>
      <c r="L433" s="193"/>
      <c r="M433" s="1001" t="s">
        <v>854</v>
      </c>
      <c r="N433" s="1002"/>
      <c r="O433" s="1002"/>
      <c r="P433" s="1002"/>
      <c r="Q433" s="1002"/>
      <c r="R433" s="1002"/>
      <c r="S433" s="1002"/>
      <c r="T433" s="1002"/>
      <c r="U433" s="1002"/>
      <c r="V433" s="1002"/>
      <c r="W433" s="1002"/>
      <c r="X433" s="1002"/>
      <c r="Y433" s="1002"/>
      <c r="Z433" s="1002"/>
      <c r="AA433" s="1002"/>
      <c r="AB433" s="1002"/>
      <c r="AC433" s="1002"/>
      <c r="AD433" s="1002"/>
      <c r="AE433" s="1002"/>
      <c r="AF433" s="1002"/>
      <c r="AG433" s="1002"/>
      <c r="AH433" s="1002"/>
      <c r="AI433" s="1002"/>
      <c r="AJ433" s="1002"/>
      <c r="AK433" s="1002"/>
      <c r="AL433" s="1002"/>
      <c r="AM433" s="1002"/>
      <c r="AN433" s="1002"/>
      <c r="AO433" s="1002"/>
      <c r="AP433" s="1002"/>
      <c r="AQ433" s="1002"/>
      <c r="AR433" s="1002"/>
      <c r="AS433" s="1002"/>
      <c r="AT433" s="1002"/>
      <c r="AU433" s="1002"/>
      <c r="AV433" s="1002"/>
      <c r="AW433" s="1002"/>
      <c r="AX433" s="1002"/>
      <c r="AY433" s="1002"/>
      <c r="AZ433" s="1002"/>
      <c r="BA433" s="1002"/>
      <c r="BB433" s="1002"/>
      <c r="BC433" s="1002"/>
      <c r="BD433" s="1002"/>
      <c r="BE433" s="204"/>
      <c r="BF433" s="205" t="s">
        <v>548</v>
      </c>
      <c r="BG433" s="204"/>
      <c r="BH433" s="204" t="s">
        <v>407</v>
      </c>
      <c r="BI433" s="204"/>
      <c r="BJ433" s="204"/>
      <c r="BK433" s="206"/>
    </row>
    <row r="434" spans="1:63" s="164" customFormat="1" ht="15.75" customHeight="1">
      <c r="A434" s="185"/>
      <c r="B434" s="193"/>
      <c r="C434" s="184"/>
      <c r="D434" s="183" t="s">
        <v>855</v>
      </c>
      <c r="E434" s="184"/>
      <c r="F434" s="184"/>
      <c r="G434" s="184"/>
      <c r="H434" s="184"/>
      <c r="I434" s="184"/>
      <c r="J434" s="184"/>
      <c r="K434" s="184"/>
      <c r="L434" s="193"/>
      <c r="M434" s="1001" t="s">
        <v>856</v>
      </c>
      <c r="N434" s="1002"/>
      <c r="O434" s="1002"/>
      <c r="P434" s="1002"/>
      <c r="Q434" s="1002"/>
      <c r="R434" s="1002"/>
      <c r="S434" s="1002"/>
      <c r="T434" s="1002"/>
      <c r="U434" s="1002"/>
      <c r="V434" s="1002"/>
      <c r="W434" s="1002"/>
      <c r="X434" s="1002"/>
      <c r="Y434" s="1002"/>
      <c r="Z434" s="1002"/>
      <c r="AA434" s="1002"/>
      <c r="AB434" s="1002"/>
      <c r="AC434" s="1002"/>
      <c r="AD434" s="1002"/>
      <c r="AE434" s="1002"/>
      <c r="AF434" s="1002"/>
      <c r="AG434" s="1002"/>
      <c r="AH434" s="1002"/>
      <c r="AI434" s="1002"/>
      <c r="AJ434" s="1002"/>
      <c r="AK434" s="1002"/>
      <c r="AL434" s="1002"/>
      <c r="AM434" s="1002"/>
      <c r="AN434" s="1002"/>
      <c r="AO434" s="1002"/>
      <c r="AP434" s="1002"/>
      <c r="AQ434" s="1002"/>
      <c r="AR434" s="1002"/>
      <c r="AS434" s="1002"/>
      <c r="AT434" s="1002"/>
      <c r="AU434" s="1002"/>
      <c r="AV434" s="1002"/>
      <c r="AW434" s="1002"/>
      <c r="AX434" s="1002"/>
      <c r="AY434" s="1002"/>
      <c r="AZ434" s="1002"/>
      <c r="BA434" s="1002"/>
      <c r="BB434" s="1002"/>
      <c r="BC434" s="1002"/>
      <c r="BD434" s="1002"/>
      <c r="BE434" s="204"/>
      <c r="BF434" s="205" t="s">
        <v>548</v>
      </c>
      <c r="BG434" s="204"/>
      <c r="BH434" s="204" t="s">
        <v>407</v>
      </c>
      <c r="BI434" s="204"/>
      <c r="BJ434" s="204"/>
      <c r="BK434" s="206"/>
    </row>
    <row r="435" spans="1:63" s="164" customFormat="1" ht="67.5" customHeight="1">
      <c r="A435" s="185"/>
      <c r="B435" s="193"/>
      <c r="C435" s="251" t="s">
        <v>411</v>
      </c>
      <c r="D435" s="183" t="s">
        <v>857</v>
      </c>
      <c r="E435" s="184"/>
      <c r="F435" s="184"/>
      <c r="G435" s="184"/>
      <c r="H435" s="184"/>
      <c r="I435" s="184"/>
      <c r="J435" s="184"/>
      <c r="K435" s="184"/>
      <c r="L435" s="193"/>
      <c r="M435" s="1005" t="s">
        <v>858</v>
      </c>
      <c r="N435" s="1005"/>
      <c r="O435" s="1005"/>
      <c r="P435" s="1005"/>
      <c r="Q435" s="1005"/>
      <c r="R435" s="1005"/>
      <c r="S435" s="1005"/>
      <c r="T435" s="1005"/>
      <c r="U435" s="1005"/>
      <c r="V435" s="1005"/>
      <c r="W435" s="1005"/>
      <c r="X435" s="1005"/>
      <c r="Y435" s="1005"/>
      <c r="Z435" s="1005"/>
      <c r="AA435" s="1005"/>
      <c r="AB435" s="1005"/>
      <c r="AC435" s="1005"/>
      <c r="AD435" s="1005"/>
      <c r="AE435" s="1005"/>
      <c r="AF435" s="1005"/>
      <c r="AG435" s="1005"/>
      <c r="AH435" s="1005"/>
      <c r="AI435" s="1005"/>
      <c r="AJ435" s="1005"/>
      <c r="AK435" s="1005"/>
      <c r="AL435" s="1005"/>
      <c r="AM435" s="1005"/>
      <c r="AN435" s="1005"/>
      <c r="AO435" s="1005"/>
      <c r="AP435" s="1005"/>
      <c r="AQ435" s="1005"/>
      <c r="AR435" s="1005"/>
      <c r="AS435" s="1005"/>
      <c r="AT435" s="1005"/>
      <c r="AU435" s="1005"/>
      <c r="AV435" s="1005"/>
      <c r="AW435" s="1005"/>
      <c r="AX435" s="1005"/>
      <c r="AY435" s="1005"/>
      <c r="AZ435" s="1005"/>
      <c r="BA435" s="1005"/>
      <c r="BB435" s="1005"/>
      <c r="BC435" s="1005"/>
      <c r="BD435" s="1005"/>
      <c r="BE435" s="204"/>
      <c r="BF435" s="205" t="s">
        <v>548</v>
      </c>
      <c r="BG435" s="204"/>
      <c r="BH435" s="204" t="s">
        <v>407</v>
      </c>
      <c r="BI435" s="205" t="s">
        <v>408</v>
      </c>
      <c r="BJ435" s="204"/>
      <c r="BK435" s="206"/>
    </row>
    <row r="436" spans="1:63" s="164" customFormat="1" ht="15.75" customHeight="1">
      <c r="A436" s="185"/>
      <c r="B436" s="193"/>
      <c r="C436" s="184"/>
      <c r="D436" s="183" t="s">
        <v>859</v>
      </c>
      <c r="E436" s="184"/>
      <c r="F436" s="184"/>
      <c r="G436" s="184"/>
      <c r="H436" s="184"/>
      <c r="I436" s="184"/>
      <c r="J436" s="184"/>
      <c r="K436" s="184"/>
      <c r="L436" s="193"/>
      <c r="M436" s="1005" t="s">
        <v>860</v>
      </c>
      <c r="N436" s="1005"/>
      <c r="O436" s="1005"/>
      <c r="P436" s="1005"/>
      <c r="Q436" s="1005"/>
      <c r="R436" s="1005"/>
      <c r="S436" s="1005"/>
      <c r="T436" s="1005"/>
      <c r="U436" s="1005"/>
      <c r="V436" s="1005"/>
      <c r="W436" s="1005"/>
      <c r="X436" s="1005"/>
      <c r="Y436" s="1005"/>
      <c r="Z436" s="1005"/>
      <c r="AA436" s="1005"/>
      <c r="AB436" s="1005"/>
      <c r="AC436" s="1005"/>
      <c r="AD436" s="1005"/>
      <c r="AE436" s="1005"/>
      <c r="AF436" s="1005"/>
      <c r="AG436" s="1005"/>
      <c r="AH436" s="1005"/>
      <c r="AI436" s="1005"/>
      <c r="AJ436" s="1005"/>
      <c r="AK436" s="1005"/>
      <c r="AL436" s="1005"/>
      <c r="AM436" s="1005"/>
      <c r="AN436" s="1005"/>
      <c r="AO436" s="1005"/>
      <c r="AP436" s="1005"/>
      <c r="AQ436" s="1005"/>
      <c r="AR436" s="1005"/>
      <c r="AS436" s="1005"/>
      <c r="AT436" s="1005"/>
      <c r="AU436" s="1005"/>
      <c r="AV436" s="1005"/>
      <c r="AW436" s="1005"/>
      <c r="AX436" s="1005"/>
      <c r="AY436" s="1005"/>
      <c r="AZ436" s="1005"/>
      <c r="BA436" s="1005"/>
      <c r="BB436" s="1005"/>
      <c r="BC436" s="1005"/>
      <c r="BD436" s="1005"/>
      <c r="BE436" s="204"/>
      <c r="BF436" s="205" t="s">
        <v>548</v>
      </c>
      <c r="BG436" s="204"/>
      <c r="BH436" s="204" t="s">
        <v>407</v>
      </c>
      <c r="BI436" s="204"/>
      <c r="BJ436" s="204"/>
      <c r="BK436" s="206"/>
    </row>
    <row r="437" spans="1:63" s="164" customFormat="1" ht="93" customHeight="1">
      <c r="A437" s="185"/>
      <c r="B437" s="193"/>
      <c r="C437" s="251" t="s">
        <v>411</v>
      </c>
      <c r="D437" s="183" t="s">
        <v>861</v>
      </c>
      <c r="E437" s="184"/>
      <c r="F437" s="184"/>
      <c r="G437" s="184"/>
      <c r="H437" s="184"/>
      <c r="I437" s="184"/>
      <c r="J437" s="184"/>
      <c r="K437" s="184"/>
      <c r="L437" s="193"/>
      <c r="M437" s="1005" t="s">
        <v>862</v>
      </c>
      <c r="N437" s="1005"/>
      <c r="O437" s="1005"/>
      <c r="P437" s="1005"/>
      <c r="Q437" s="1005"/>
      <c r="R437" s="1005"/>
      <c r="S437" s="1005"/>
      <c r="T437" s="1005"/>
      <c r="U437" s="1005"/>
      <c r="V437" s="1005"/>
      <c r="W437" s="1005"/>
      <c r="X437" s="1005"/>
      <c r="Y437" s="1005"/>
      <c r="Z437" s="1005"/>
      <c r="AA437" s="1005"/>
      <c r="AB437" s="1005"/>
      <c r="AC437" s="1005"/>
      <c r="AD437" s="1005"/>
      <c r="AE437" s="1005"/>
      <c r="AF437" s="1005"/>
      <c r="AG437" s="1005"/>
      <c r="AH437" s="1005"/>
      <c r="AI437" s="1005"/>
      <c r="AJ437" s="1005"/>
      <c r="AK437" s="1005"/>
      <c r="AL437" s="1005"/>
      <c r="AM437" s="1005"/>
      <c r="AN437" s="1005"/>
      <c r="AO437" s="1005"/>
      <c r="AP437" s="1005"/>
      <c r="AQ437" s="1005"/>
      <c r="AR437" s="1005"/>
      <c r="AS437" s="1005"/>
      <c r="AT437" s="1005"/>
      <c r="AU437" s="1005"/>
      <c r="AV437" s="1005"/>
      <c r="AW437" s="1005"/>
      <c r="AX437" s="1005"/>
      <c r="AY437" s="1005"/>
      <c r="AZ437" s="1005"/>
      <c r="BA437" s="1005"/>
      <c r="BB437" s="1005"/>
      <c r="BC437" s="1005"/>
      <c r="BD437" s="1005"/>
      <c r="BE437" s="205" t="s">
        <v>486</v>
      </c>
      <c r="BF437" s="205" t="s">
        <v>487</v>
      </c>
      <c r="BG437" s="204"/>
      <c r="BH437" s="204" t="s">
        <v>407</v>
      </c>
      <c r="BI437" s="205" t="s">
        <v>408</v>
      </c>
      <c r="BJ437" s="204"/>
      <c r="BK437" s="206"/>
    </row>
    <row r="438" spans="1:63" s="164" customFormat="1" ht="15.75" customHeight="1">
      <c r="A438" s="185"/>
      <c r="B438" s="193"/>
      <c r="C438" s="184"/>
      <c r="D438" s="183" t="s">
        <v>863</v>
      </c>
      <c r="E438" s="184"/>
      <c r="F438" s="184"/>
      <c r="G438" s="184"/>
      <c r="H438" s="184"/>
      <c r="I438" s="184"/>
      <c r="J438" s="184"/>
      <c r="K438" s="184"/>
      <c r="L438" s="193"/>
      <c r="M438" s="1003"/>
      <c r="N438" s="1002"/>
      <c r="O438" s="1002"/>
      <c r="P438" s="1002"/>
      <c r="Q438" s="1002"/>
      <c r="R438" s="1002"/>
      <c r="S438" s="1002"/>
      <c r="T438" s="1002"/>
      <c r="U438" s="1002"/>
      <c r="V438" s="1002"/>
      <c r="W438" s="1002"/>
      <c r="X438" s="1002"/>
      <c r="Y438" s="1002"/>
      <c r="Z438" s="1002"/>
      <c r="AA438" s="1002"/>
      <c r="AB438" s="1002"/>
      <c r="AC438" s="1002"/>
      <c r="AD438" s="1002"/>
      <c r="AE438" s="1002"/>
      <c r="AF438" s="1002"/>
      <c r="AG438" s="1002"/>
      <c r="AH438" s="1002"/>
      <c r="AI438" s="1002"/>
      <c r="AJ438" s="1002"/>
      <c r="AK438" s="1002"/>
      <c r="AL438" s="1002"/>
      <c r="AM438" s="1002"/>
      <c r="AN438" s="1002"/>
      <c r="AO438" s="1002"/>
      <c r="AP438" s="1002"/>
      <c r="AQ438" s="1002"/>
      <c r="AR438" s="1002"/>
      <c r="AS438" s="1002"/>
      <c r="AT438" s="1002"/>
      <c r="AU438" s="1002"/>
      <c r="AV438" s="1002"/>
      <c r="AW438" s="1002"/>
      <c r="AX438" s="1002"/>
      <c r="AY438" s="1002"/>
      <c r="AZ438" s="1002"/>
      <c r="BA438" s="1002"/>
      <c r="BB438" s="1002"/>
      <c r="BC438" s="1002"/>
      <c r="BD438" s="1002"/>
      <c r="BE438" s="204"/>
      <c r="BF438" s="205" t="s">
        <v>487</v>
      </c>
      <c r="BG438" s="204"/>
      <c r="BH438" s="204" t="s">
        <v>407</v>
      </c>
      <c r="BI438" s="204"/>
      <c r="BJ438" s="204"/>
      <c r="BK438" s="206"/>
    </row>
    <row r="439" spans="1:63" s="164" customFormat="1" ht="15.75" customHeight="1">
      <c r="A439" s="185"/>
      <c r="B439" s="193"/>
      <c r="C439" s="251" t="s">
        <v>411</v>
      </c>
      <c r="D439" s="183" t="s">
        <v>864</v>
      </c>
      <c r="E439" s="184"/>
      <c r="F439" s="184"/>
      <c r="G439" s="184"/>
      <c r="H439" s="184"/>
      <c r="I439" s="184"/>
      <c r="J439" s="184"/>
      <c r="K439" s="184"/>
      <c r="L439" s="193"/>
      <c r="M439" s="1005" t="s">
        <v>865</v>
      </c>
      <c r="N439" s="1002"/>
      <c r="O439" s="1002"/>
      <c r="P439" s="1002"/>
      <c r="Q439" s="1002"/>
      <c r="R439" s="1002"/>
      <c r="S439" s="1002"/>
      <c r="T439" s="1002"/>
      <c r="U439" s="1002"/>
      <c r="V439" s="1002"/>
      <c r="W439" s="1002"/>
      <c r="X439" s="1002"/>
      <c r="Y439" s="1002"/>
      <c r="Z439" s="1002"/>
      <c r="AA439" s="1002"/>
      <c r="AB439" s="1002"/>
      <c r="AC439" s="1002"/>
      <c r="AD439" s="1002"/>
      <c r="AE439" s="1002"/>
      <c r="AF439" s="1002"/>
      <c r="AG439" s="1002"/>
      <c r="AH439" s="1002"/>
      <c r="AI439" s="1002"/>
      <c r="AJ439" s="1002"/>
      <c r="AK439" s="1002"/>
      <c r="AL439" s="1002"/>
      <c r="AM439" s="1002"/>
      <c r="AN439" s="1002"/>
      <c r="AO439" s="1002"/>
      <c r="AP439" s="1002"/>
      <c r="AQ439" s="1002"/>
      <c r="AR439" s="1002"/>
      <c r="AS439" s="1002"/>
      <c r="AT439" s="1002"/>
      <c r="AU439" s="1002"/>
      <c r="AV439" s="1002"/>
      <c r="AW439" s="1002"/>
      <c r="AX439" s="1002"/>
      <c r="AY439" s="1002"/>
      <c r="AZ439" s="1002"/>
      <c r="BA439" s="1002"/>
      <c r="BB439" s="1002"/>
      <c r="BC439" s="1002"/>
      <c r="BD439" s="1002"/>
      <c r="BE439" s="205" t="s">
        <v>486</v>
      </c>
      <c r="BF439" s="205" t="s">
        <v>487</v>
      </c>
      <c r="BG439" s="204"/>
      <c r="BH439" s="204" t="s">
        <v>407</v>
      </c>
      <c r="BI439" s="205" t="s">
        <v>408</v>
      </c>
      <c r="BJ439" s="204"/>
      <c r="BK439" s="206"/>
    </row>
    <row r="440" spans="1:63" s="164" customFormat="1" ht="15.75" customHeight="1">
      <c r="A440" s="185"/>
      <c r="B440" s="193"/>
      <c r="C440" s="184"/>
      <c r="D440" s="183" t="s">
        <v>866</v>
      </c>
      <c r="E440" s="184"/>
      <c r="F440" s="184"/>
      <c r="G440" s="184"/>
      <c r="H440" s="184"/>
      <c r="I440" s="184"/>
      <c r="J440" s="184"/>
      <c r="K440" s="184"/>
      <c r="L440" s="193"/>
      <c r="M440" s="1003"/>
      <c r="N440" s="1002"/>
      <c r="O440" s="1002"/>
      <c r="P440" s="1002"/>
      <c r="Q440" s="1002"/>
      <c r="R440" s="1002"/>
      <c r="S440" s="1002"/>
      <c r="T440" s="1002"/>
      <c r="U440" s="1002"/>
      <c r="V440" s="1002"/>
      <c r="W440" s="1002"/>
      <c r="X440" s="1002"/>
      <c r="Y440" s="1002"/>
      <c r="Z440" s="1002"/>
      <c r="AA440" s="1002"/>
      <c r="AB440" s="1002"/>
      <c r="AC440" s="1002"/>
      <c r="AD440" s="1002"/>
      <c r="AE440" s="1002"/>
      <c r="AF440" s="1002"/>
      <c r="AG440" s="1002"/>
      <c r="AH440" s="1002"/>
      <c r="AI440" s="1002"/>
      <c r="AJ440" s="1002"/>
      <c r="AK440" s="1002"/>
      <c r="AL440" s="1002"/>
      <c r="AM440" s="1002"/>
      <c r="AN440" s="1002"/>
      <c r="AO440" s="1002"/>
      <c r="AP440" s="1002"/>
      <c r="AQ440" s="1002"/>
      <c r="AR440" s="1002"/>
      <c r="AS440" s="1002"/>
      <c r="AT440" s="1002"/>
      <c r="AU440" s="1002"/>
      <c r="AV440" s="1002"/>
      <c r="AW440" s="1002"/>
      <c r="AX440" s="1002"/>
      <c r="AY440" s="1002"/>
      <c r="AZ440" s="1002"/>
      <c r="BA440" s="1002"/>
      <c r="BB440" s="1002"/>
      <c r="BC440" s="1002"/>
      <c r="BD440" s="1002"/>
      <c r="BE440" s="204"/>
      <c r="BF440" s="205" t="s">
        <v>487</v>
      </c>
      <c r="BG440" s="204"/>
      <c r="BH440" s="204" t="s">
        <v>407</v>
      </c>
      <c r="BI440" s="204"/>
      <c r="BJ440" s="204"/>
      <c r="BK440" s="206"/>
    </row>
    <row r="441" spans="1:63" s="164" customFormat="1" ht="15.75" customHeight="1">
      <c r="A441" s="185"/>
      <c r="B441" s="193"/>
      <c r="C441" s="184"/>
      <c r="D441" s="183" t="s">
        <v>867</v>
      </c>
      <c r="E441" s="184"/>
      <c r="F441" s="184"/>
      <c r="G441" s="184"/>
      <c r="H441" s="184"/>
      <c r="I441" s="184"/>
      <c r="J441" s="184"/>
      <c r="K441" s="184"/>
      <c r="L441" s="193"/>
      <c r="M441" s="1003"/>
      <c r="N441" s="1002"/>
      <c r="O441" s="1002"/>
      <c r="P441" s="1002"/>
      <c r="Q441" s="1002"/>
      <c r="R441" s="1002"/>
      <c r="S441" s="1002"/>
      <c r="T441" s="1002"/>
      <c r="U441" s="1002"/>
      <c r="V441" s="1002"/>
      <c r="W441" s="1002"/>
      <c r="X441" s="1002"/>
      <c r="Y441" s="1002"/>
      <c r="Z441" s="1002"/>
      <c r="AA441" s="1002"/>
      <c r="AB441" s="1002"/>
      <c r="AC441" s="1002"/>
      <c r="AD441" s="1002"/>
      <c r="AE441" s="1002"/>
      <c r="AF441" s="1002"/>
      <c r="AG441" s="1002"/>
      <c r="AH441" s="1002"/>
      <c r="AI441" s="1002"/>
      <c r="AJ441" s="1002"/>
      <c r="AK441" s="1002"/>
      <c r="AL441" s="1002"/>
      <c r="AM441" s="1002"/>
      <c r="AN441" s="1002"/>
      <c r="AO441" s="1002"/>
      <c r="AP441" s="1002"/>
      <c r="AQ441" s="1002"/>
      <c r="AR441" s="1002"/>
      <c r="AS441" s="1002"/>
      <c r="AT441" s="1002"/>
      <c r="AU441" s="1002"/>
      <c r="AV441" s="1002"/>
      <c r="AW441" s="1002"/>
      <c r="AX441" s="1002"/>
      <c r="AY441" s="1002"/>
      <c r="AZ441" s="1002"/>
      <c r="BA441" s="1002"/>
      <c r="BB441" s="1002"/>
      <c r="BC441" s="1002"/>
      <c r="BD441" s="1002"/>
      <c r="BE441" s="204"/>
      <c r="BF441" s="205" t="s">
        <v>487</v>
      </c>
      <c r="BG441" s="204"/>
      <c r="BH441" s="204" t="s">
        <v>407</v>
      </c>
      <c r="BI441" s="204"/>
      <c r="BJ441" s="204"/>
      <c r="BK441" s="206"/>
    </row>
    <row r="442" spans="1:63" s="164" customFormat="1" ht="15.75" customHeight="1">
      <c r="A442" s="185"/>
      <c r="B442" s="193"/>
      <c r="C442" s="251" t="s">
        <v>411</v>
      </c>
      <c r="D442" s="183" t="s">
        <v>515</v>
      </c>
      <c r="E442" s="184"/>
      <c r="F442" s="184"/>
      <c r="G442" s="184"/>
      <c r="H442" s="184"/>
      <c r="I442" s="184"/>
      <c r="J442" s="184"/>
      <c r="K442" s="184"/>
      <c r="L442" s="193"/>
      <c r="M442" s="1003"/>
      <c r="N442" s="1002"/>
      <c r="O442" s="1002"/>
      <c r="P442" s="1002"/>
      <c r="Q442" s="1002"/>
      <c r="R442" s="1002"/>
      <c r="S442" s="1002"/>
      <c r="T442" s="1002"/>
      <c r="U442" s="1002"/>
      <c r="V442" s="1002"/>
      <c r="W442" s="1002"/>
      <c r="X442" s="1002"/>
      <c r="Y442" s="1002"/>
      <c r="Z442" s="1002"/>
      <c r="AA442" s="1002"/>
      <c r="AB442" s="1002"/>
      <c r="AC442" s="1002"/>
      <c r="AD442" s="1002"/>
      <c r="AE442" s="1002"/>
      <c r="AF442" s="1002"/>
      <c r="AG442" s="1002"/>
      <c r="AH442" s="1002"/>
      <c r="AI442" s="1002"/>
      <c r="AJ442" s="1002"/>
      <c r="AK442" s="1002"/>
      <c r="AL442" s="1002"/>
      <c r="AM442" s="1002"/>
      <c r="AN442" s="1002"/>
      <c r="AO442" s="1002"/>
      <c r="AP442" s="1002"/>
      <c r="AQ442" s="1002"/>
      <c r="AR442" s="1002"/>
      <c r="AS442" s="1002"/>
      <c r="AT442" s="1002"/>
      <c r="AU442" s="1002"/>
      <c r="AV442" s="1002"/>
      <c r="AW442" s="1002"/>
      <c r="AX442" s="1002"/>
      <c r="AY442" s="1002"/>
      <c r="AZ442" s="1002"/>
      <c r="BA442" s="1002"/>
      <c r="BB442" s="1002"/>
      <c r="BC442" s="1002"/>
      <c r="BD442" s="1002"/>
      <c r="BE442" s="205" t="s">
        <v>489</v>
      </c>
      <c r="BF442" s="205" t="s">
        <v>487</v>
      </c>
      <c r="BG442" s="204"/>
      <c r="BH442" s="204" t="s">
        <v>407</v>
      </c>
      <c r="BI442" s="205" t="s">
        <v>408</v>
      </c>
      <c r="BJ442" s="204"/>
      <c r="BK442" s="206"/>
    </row>
    <row r="443" spans="1:63" s="164" customFormat="1" ht="15.75" customHeight="1">
      <c r="A443" s="185"/>
      <c r="B443" s="193"/>
      <c r="C443" s="251" t="s">
        <v>411</v>
      </c>
      <c r="D443" s="183" t="s">
        <v>516</v>
      </c>
      <c r="E443" s="184"/>
      <c r="F443" s="184"/>
      <c r="G443" s="184"/>
      <c r="H443" s="184"/>
      <c r="I443" s="184"/>
      <c r="J443" s="184"/>
      <c r="K443" s="184"/>
      <c r="L443" s="193"/>
      <c r="M443" s="1003"/>
      <c r="N443" s="1002"/>
      <c r="O443" s="1002"/>
      <c r="P443" s="1002"/>
      <c r="Q443" s="1002"/>
      <c r="R443" s="1002"/>
      <c r="S443" s="1002"/>
      <c r="T443" s="1002"/>
      <c r="U443" s="1002"/>
      <c r="V443" s="1002"/>
      <c r="W443" s="1002"/>
      <c r="X443" s="1002"/>
      <c r="Y443" s="1002"/>
      <c r="Z443" s="1002"/>
      <c r="AA443" s="1002"/>
      <c r="AB443" s="1002"/>
      <c r="AC443" s="1002"/>
      <c r="AD443" s="1002"/>
      <c r="AE443" s="1002"/>
      <c r="AF443" s="1002"/>
      <c r="AG443" s="1002"/>
      <c r="AH443" s="1002"/>
      <c r="AI443" s="1002"/>
      <c r="AJ443" s="1002"/>
      <c r="AK443" s="1002"/>
      <c r="AL443" s="1002"/>
      <c r="AM443" s="1002"/>
      <c r="AN443" s="1002"/>
      <c r="AO443" s="1002"/>
      <c r="AP443" s="1002"/>
      <c r="AQ443" s="1002"/>
      <c r="AR443" s="1002"/>
      <c r="AS443" s="1002"/>
      <c r="AT443" s="1002"/>
      <c r="AU443" s="1002"/>
      <c r="AV443" s="1002"/>
      <c r="AW443" s="1002"/>
      <c r="AX443" s="1002"/>
      <c r="AY443" s="1002"/>
      <c r="AZ443" s="1002"/>
      <c r="BA443" s="1002"/>
      <c r="BB443" s="1002"/>
      <c r="BC443" s="1002"/>
      <c r="BD443" s="1002"/>
      <c r="BE443" s="204"/>
      <c r="BF443" s="205" t="s">
        <v>487</v>
      </c>
      <c r="BG443" s="204"/>
      <c r="BH443" s="204" t="s">
        <v>407</v>
      </c>
      <c r="BI443" s="205" t="s">
        <v>408</v>
      </c>
      <c r="BJ443" s="204"/>
      <c r="BK443" s="206"/>
    </row>
    <row r="444" spans="1:63" s="164" customFormat="1" ht="15.75" customHeight="1">
      <c r="A444" s="185"/>
      <c r="B444" s="193"/>
      <c r="C444" s="251" t="s">
        <v>411</v>
      </c>
      <c r="D444" s="183" t="s">
        <v>517</v>
      </c>
      <c r="E444" s="184"/>
      <c r="F444" s="184"/>
      <c r="G444" s="184"/>
      <c r="H444" s="184"/>
      <c r="I444" s="184"/>
      <c r="J444" s="184"/>
      <c r="K444" s="184"/>
      <c r="L444" s="193"/>
      <c r="M444" s="1003"/>
      <c r="N444" s="1002"/>
      <c r="O444" s="1002"/>
      <c r="P444" s="1002"/>
      <c r="Q444" s="1002"/>
      <c r="R444" s="1002"/>
      <c r="S444" s="1002"/>
      <c r="T444" s="1002"/>
      <c r="U444" s="1002"/>
      <c r="V444" s="1002"/>
      <c r="W444" s="1002"/>
      <c r="X444" s="1002"/>
      <c r="Y444" s="1002"/>
      <c r="Z444" s="1002"/>
      <c r="AA444" s="1002"/>
      <c r="AB444" s="1002"/>
      <c r="AC444" s="1002"/>
      <c r="AD444" s="1002"/>
      <c r="AE444" s="1002"/>
      <c r="AF444" s="1002"/>
      <c r="AG444" s="1002"/>
      <c r="AH444" s="1002"/>
      <c r="AI444" s="1002"/>
      <c r="AJ444" s="1002"/>
      <c r="AK444" s="1002"/>
      <c r="AL444" s="1002"/>
      <c r="AM444" s="1002"/>
      <c r="AN444" s="1002"/>
      <c r="AO444" s="1002"/>
      <c r="AP444" s="1002"/>
      <c r="AQ444" s="1002"/>
      <c r="AR444" s="1002"/>
      <c r="AS444" s="1002"/>
      <c r="AT444" s="1002"/>
      <c r="AU444" s="1002"/>
      <c r="AV444" s="1002"/>
      <c r="AW444" s="1002"/>
      <c r="AX444" s="1002"/>
      <c r="AY444" s="1002"/>
      <c r="AZ444" s="1002"/>
      <c r="BA444" s="1002"/>
      <c r="BB444" s="1002"/>
      <c r="BC444" s="1002"/>
      <c r="BD444" s="1002"/>
      <c r="BE444" s="204"/>
      <c r="BF444" s="205" t="s">
        <v>487</v>
      </c>
      <c r="BG444" s="204"/>
      <c r="BH444" s="204" t="s">
        <v>407</v>
      </c>
      <c r="BI444" s="205" t="s">
        <v>408</v>
      </c>
      <c r="BJ444" s="205" t="s">
        <v>409</v>
      </c>
      <c r="BK444" s="206"/>
    </row>
    <row r="445" spans="1:63" s="164" customFormat="1" ht="15.75" customHeight="1">
      <c r="A445" s="185"/>
      <c r="B445" s="193"/>
      <c r="C445" s="251" t="s">
        <v>411</v>
      </c>
      <c r="D445" s="183" t="s">
        <v>518</v>
      </c>
      <c r="E445" s="184"/>
      <c r="F445" s="184"/>
      <c r="G445" s="184"/>
      <c r="H445" s="184"/>
      <c r="I445" s="184"/>
      <c r="J445" s="184"/>
      <c r="K445" s="184"/>
      <c r="L445" s="193"/>
      <c r="M445" s="1003"/>
      <c r="N445" s="1002"/>
      <c r="O445" s="1002"/>
      <c r="P445" s="1002"/>
      <c r="Q445" s="1002"/>
      <c r="R445" s="1002"/>
      <c r="S445" s="1002"/>
      <c r="T445" s="1002"/>
      <c r="U445" s="1002"/>
      <c r="V445" s="1002"/>
      <c r="W445" s="1002"/>
      <c r="X445" s="1002"/>
      <c r="Y445" s="1002"/>
      <c r="Z445" s="1002"/>
      <c r="AA445" s="1002"/>
      <c r="AB445" s="1002"/>
      <c r="AC445" s="1002"/>
      <c r="AD445" s="1002"/>
      <c r="AE445" s="1002"/>
      <c r="AF445" s="1002"/>
      <c r="AG445" s="1002"/>
      <c r="AH445" s="1002"/>
      <c r="AI445" s="1002"/>
      <c r="AJ445" s="1002"/>
      <c r="AK445" s="1002"/>
      <c r="AL445" s="1002"/>
      <c r="AM445" s="1002"/>
      <c r="AN445" s="1002"/>
      <c r="AO445" s="1002"/>
      <c r="AP445" s="1002"/>
      <c r="AQ445" s="1002"/>
      <c r="AR445" s="1002"/>
      <c r="AS445" s="1002"/>
      <c r="AT445" s="1002"/>
      <c r="AU445" s="1002"/>
      <c r="AV445" s="1002"/>
      <c r="AW445" s="1002"/>
      <c r="AX445" s="1002"/>
      <c r="AY445" s="1002"/>
      <c r="AZ445" s="1002"/>
      <c r="BA445" s="1002"/>
      <c r="BB445" s="1002"/>
      <c r="BC445" s="1002"/>
      <c r="BD445" s="1002"/>
      <c r="BE445" s="204"/>
      <c r="BF445" s="205" t="s">
        <v>487</v>
      </c>
      <c r="BG445" s="204"/>
      <c r="BH445" s="204" t="s">
        <v>407</v>
      </c>
      <c r="BI445" s="205" t="s">
        <v>408</v>
      </c>
      <c r="BJ445" s="205" t="s">
        <v>409</v>
      </c>
      <c r="BK445" s="206"/>
    </row>
    <row r="446" spans="1:63" s="164" customFormat="1" ht="15.75" customHeight="1">
      <c r="A446" s="185"/>
      <c r="B446" s="193"/>
      <c r="C446" s="184"/>
      <c r="D446" s="183" t="s">
        <v>519</v>
      </c>
      <c r="E446" s="184"/>
      <c r="F446" s="184"/>
      <c r="G446" s="184"/>
      <c r="H446" s="184"/>
      <c r="I446" s="184"/>
      <c r="J446" s="184"/>
      <c r="K446" s="184"/>
      <c r="L446" s="193"/>
      <c r="M446" s="1001" t="s">
        <v>868</v>
      </c>
      <c r="N446" s="1002"/>
      <c r="O446" s="1002"/>
      <c r="P446" s="1002"/>
      <c r="Q446" s="1002"/>
      <c r="R446" s="1002"/>
      <c r="S446" s="1002"/>
      <c r="T446" s="1002"/>
      <c r="U446" s="1002"/>
      <c r="V446" s="1002"/>
      <c r="W446" s="1002"/>
      <c r="X446" s="1002"/>
      <c r="Y446" s="1002"/>
      <c r="Z446" s="1002"/>
      <c r="AA446" s="1002"/>
      <c r="AB446" s="1002"/>
      <c r="AC446" s="1002"/>
      <c r="AD446" s="1002"/>
      <c r="AE446" s="1002"/>
      <c r="AF446" s="1002"/>
      <c r="AG446" s="1002"/>
      <c r="AH446" s="1002"/>
      <c r="AI446" s="1002"/>
      <c r="AJ446" s="1002"/>
      <c r="AK446" s="1002"/>
      <c r="AL446" s="1002"/>
      <c r="AM446" s="1002"/>
      <c r="AN446" s="1002"/>
      <c r="AO446" s="1002"/>
      <c r="AP446" s="1002"/>
      <c r="AQ446" s="1002"/>
      <c r="AR446" s="1002"/>
      <c r="AS446" s="1002"/>
      <c r="AT446" s="1002"/>
      <c r="AU446" s="1002"/>
      <c r="AV446" s="1002"/>
      <c r="AW446" s="1002"/>
      <c r="AX446" s="1002"/>
      <c r="AY446" s="1002"/>
      <c r="AZ446" s="1002"/>
      <c r="BA446" s="1002"/>
      <c r="BB446" s="1002"/>
      <c r="BC446" s="1002"/>
      <c r="BD446" s="1002"/>
      <c r="BE446" s="204"/>
      <c r="BF446" s="205" t="s">
        <v>487</v>
      </c>
      <c r="BG446" s="204"/>
      <c r="BH446" s="204" t="s">
        <v>407</v>
      </c>
      <c r="BI446" s="204"/>
      <c r="BJ446" s="204"/>
      <c r="BK446" s="206"/>
    </row>
    <row r="447" spans="1:63" s="164" customFormat="1" ht="15.75" customHeight="1">
      <c r="A447" s="185"/>
      <c r="B447" s="193"/>
      <c r="C447" s="184"/>
      <c r="D447" s="183" t="s">
        <v>520</v>
      </c>
      <c r="E447" s="184"/>
      <c r="F447" s="184"/>
      <c r="G447" s="184"/>
      <c r="H447" s="184"/>
      <c r="I447" s="184"/>
      <c r="J447" s="184"/>
      <c r="K447" s="184"/>
      <c r="L447" s="193"/>
      <c r="M447" s="1003"/>
      <c r="N447" s="1002"/>
      <c r="O447" s="1002"/>
      <c r="P447" s="1002"/>
      <c r="Q447" s="1002"/>
      <c r="R447" s="1002"/>
      <c r="S447" s="1002"/>
      <c r="T447" s="1002"/>
      <c r="U447" s="1002"/>
      <c r="V447" s="1002"/>
      <c r="W447" s="1002"/>
      <c r="X447" s="1002"/>
      <c r="Y447" s="1002"/>
      <c r="Z447" s="1002"/>
      <c r="AA447" s="1002"/>
      <c r="AB447" s="1002"/>
      <c r="AC447" s="1002"/>
      <c r="AD447" s="1002"/>
      <c r="AE447" s="1002"/>
      <c r="AF447" s="1002"/>
      <c r="AG447" s="1002"/>
      <c r="AH447" s="1002"/>
      <c r="AI447" s="1002"/>
      <c r="AJ447" s="1002"/>
      <c r="AK447" s="1002"/>
      <c r="AL447" s="1002"/>
      <c r="AM447" s="1002"/>
      <c r="AN447" s="1002"/>
      <c r="AO447" s="1002"/>
      <c r="AP447" s="1002"/>
      <c r="AQ447" s="1002"/>
      <c r="AR447" s="1002"/>
      <c r="AS447" s="1002"/>
      <c r="AT447" s="1002"/>
      <c r="AU447" s="1002"/>
      <c r="AV447" s="1002"/>
      <c r="AW447" s="1002"/>
      <c r="AX447" s="1002"/>
      <c r="AY447" s="1002"/>
      <c r="AZ447" s="1002"/>
      <c r="BA447" s="1002"/>
      <c r="BB447" s="1002"/>
      <c r="BC447" s="1002"/>
      <c r="BD447" s="1002"/>
      <c r="BE447" s="204"/>
      <c r="BF447" s="205" t="s">
        <v>487</v>
      </c>
      <c r="BG447" s="204"/>
      <c r="BH447" s="204" t="s">
        <v>407</v>
      </c>
      <c r="BI447" s="204"/>
      <c r="BJ447" s="204"/>
      <c r="BK447" s="206"/>
    </row>
    <row r="448" spans="1:63" s="164" customFormat="1" ht="15.75" customHeight="1">
      <c r="A448" s="185"/>
      <c r="B448" s="193"/>
      <c r="C448" s="184"/>
      <c r="D448" s="183" t="s">
        <v>579</v>
      </c>
      <c r="E448" s="184"/>
      <c r="F448" s="184"/>
      <c r="G448" s="184"/>
      <c r="H448" s="184"/>
      <c r="I448" s="184"/>
      <c r="J448" s="184"/>
      <c r="K448" s="184"/>
      <c r="L448" s="193"/>
      <c r="M448" s="1003"/>
      <c r="N448" s="1002"/>
      <c r="O448" s="1002"/>
      <c r="P448" s="1002"/>
      <c r="Q448" s="1002"/>
      <c r="R448" s="1002"/>
      <c r="S448" s="1002"/>
      <c r="T448" s="1002"/>
      <c r="U448" s="1002"/>
      <c r="V448" s="1002"/>
      <c r="W448" s="1002"/>
      <c r="X448" s="1002"/>
      <c r="Y448" s="1002"/>
      <c r="Z448" s="1002"/>
      <c r="AA448" s="1002"/>
      <c r="AB448" s="1002"/>
      <c r="AC448" s="1002"/>
      <c r="AD448" s="1002"/>
      <c r="AE448" s="1002"/>
      <c r="AF448" s="1002"/>
      <c r="AG448" s="1002"/>
      <c r="AH448" s="1002"/>
      <c r="AI448" s="1002"/>
      <c r="AJ448" s="1002"/>
      <c r="AK448" s="1002"/>
      <c r="AL448" s="1002"/>
      <c r="AM448" s="1002"/>
      <c r="AN448" s="1002"/>
      <c r="AO448" s="1002"/>
      <c r="AP448" s="1002"/>
      <c r="AQ448" s="1002"/>
      <c r="AR448" s="1002"/>
      <c r="AS448" s="1002"/>
      <c r="AT448" s="1002"/>
      <c r="AU448" s="1002"/>
      <c r="AV448" s="1002"/>
      <c r="AW448" s="1002"/>
      <c r="AX448" s="1002"/>
      <c r="AY448" s="1002"/>
      <c r="AZ448" s="1002"/>
      <c r="BA448" s="1002"/>
      <c r="BB448" s="1002"/>
      <c r="BC448" s="1002"/>
      <c r="BD448" s="1002"/>
      <c r="BE448" s="204"/>
      <c r="BF448" s="205" t="s">
        <v>487</v>
      </c>
      <c r="BG448" s="204"/>
      <c r="BH448" s="204" t="s">
        <v>407</v>
      </c>
      <c r="BI448" s="204"/>
      <c r="BJ448" s="204"/>
      <c r="BK448" s="206"/>
    </row>
    <row r="449" spans="1:63" s="164" customFormat="1" ht="15.75" customHeight="1">
      <c r="A449" s="185"/>
      <c r="B449" s="193"/>
      <c r="C449" s="184"/>
      <c r="D449" s="183" t="s">
        <v>869</v>
      </c>
      <c r="E449" s="184"/>
      <c r="F449" s="184"/>
      <c r="G449" s="184"/>
      <c r="H449" s="184"/>
      <c r="I449" s="184"/>
      <c r="J449" s="184"/>
      <c r="K449" s="184"/>
      <c r="L449" s="193"/>
      <c r="M449" s="1003"/>
      <c r="N449" s="1002"/>
      <c r="O449" s="1002"/>
      <c r="P449" s="1002"/>
      <c r="Q449" s="1002"/>
      <c r="R449" s="1002"/>
      <c r="S449" s="1002"/>
      <c r="T449" s="1002"/>
      <c r="U449" s="1002"/>
      <c r="V449" s="1002"/>
      <c r="W449" s="1002"/>
      <c r="X449" s="1002"/>
      <c r="Y449" s="1002"/>
      <c r="Z449" s="1002"/>
      <c r="AA449" s="1002"/>
      <c r="AB449" s="1002"/>
      <c r="AC449" s="1002"/>
      <c r="AD449" s="1002"/>
      <c r="AE449" s="1002"/>
      <c r="AF449" s="1002"/>
      <c r="AG449" s="1002"/>
      <c r="AH449" s="1002"/>
      <c r="AI449" s="1002"/>
      <c r="AJ449" s="1002"/>
      <c r="AK449" s="1002"/>
      <c r="AL449" s="1002"/>
      <c r="AM449" s="1002"/>
      <c r="AN449" s="1002"/>
      <c r="AO449" s="1002"/>
      <c r="AP449" s="1002"/>
      <c r="AQ449" s="1002"/>
      <c r="AR449" s="1002"/>
      <c r="AS449" s="1002"/>
      <c r="AT449" s="1002"/>
      <c r="AU449" s="1002"/>
      <c r="AV449" s="1002"/>
      <c r="AW449" s="1002"/>
      <c r="AX449" s="1002"/>
      <c r="AY449" s="1002"/>
      <c r="AZ449" s="1002"/>
      <c r="BA449" s="1002"/>
      <c r="BB449" s="1002"/>
      <c r="BC449" s="1002"/>
      <c r="BD449" s="1002"/>
      <c r="BE449" s="204"/>
      <c r="BF449" s="205" t="s">
        <v>487</v>
      </c>
      <c r="BG449" s="204"/>
      <c r="BH449" s="204" t="s">
        <v>407</v>
      </c>
      <c r="BI449" s="204"/>
      <c r="BJ449" s="204"/>
      <c r="BK449" s="206"/>
    </row>
    <row r="450" spans="1:63" s="164" customFormat="1" ht="15.75" customHeight="1">
      <c r="A450" s="185"/>
      <c r="B450" s="193"/>
      <c r="C450" s="184"/>
      <c r="D450" s="183" t="s">
        <v>582</v>
      </c>
      <c r="E450" s="184"/>
      <c r="F450" s="184"/>
      <c r="G450" s="184"/>
      <c r="H450" s="184"/>
      <c r="I450" s="184"/>
      <c r="J450" s="184"/>
      <c r="K450" s="184"/>
      <c r="L450" s="193"/>
      <c r="M450" s="1003"/>
      <c r="N450" s="1002"/>
      <c r="O450" s="1002"/>
      <c r="P450" s="1002"/>
      <c r="Q450" s="1002"/>
      <c r="R450" s="1002"/>
      <c r="S450" s="1002"/>
      <c r="T450" s="1002"/>
      <c r="U450" s="1002"/>
      <c r="V450" s="1002"/>
      <c r="W450" s="1002"/>
      <c r="X450" s="1002"/>
      <c r="Y450" s="1002"/>
      <c r="Z450" s="1002"/>
      <c r="AA450" s="1002"/>
      <c r="AB450" s="1002"/>
      <c r="AC450" s="1002"/>
      <c r="AD450" s="1002"/>
      <c r="AE450" s="1002"/>
      <c r="AF450" s="1002"/>
      <c r="AG450" s="1002"/>
      <c r="AH450" s="1002"/>
      <c r="AI450" s="1002"/>
      <c r="AJ450" s="1002"/>
      <c r="AK450" s="1002"/>
      <c r="AL450" s="1002"/>
      <c r="AM450" s="1002"/>
      <c r="AN450" s="1002"/>
      <c r="AO450" s="1002"/>
      <c r="AP450" s="1002"/>
      <c r="AQ450" s="1002"/>
      <c r="AR450" s="1002"/>
      <c r="AS450" s="1002"/>
      <c r="AT450" s="1002"/>
      <c r="AU450" s="1002"/>
      <c r="AV450" s="1002"/>
      <c r="AW450" s="1002"/>
      <c r="AX450" s="1002"/>
      <c r="AY450" s="1002"/>
      <c r="AZ450" s="1002"/>
      <c r="BA450" s="1002"/>
      <c r="BB450" s="1002"/>
      <c r="BC450" s="1002"/>
      <c r="BD450" s="1002"/>
      <c r="BE450" s="204"/>
      <c r="BF450" s="205" t="s">
        <v>487</v>
      </c>
      <c r="BG450" s="204"/>
      <c r="BH450" s="204" t="s">
        <v>407</v>
      </c>
      <c r="BI450" s="204"/>
      <c r="BJ450" s="204"/>
      <c r="BK450" s="206"/>
    </row>
    <row r="451" spans="1:63" s="164" customFormat="1" ht="15.75" customHeight="1">
      <c r="A451" s="185"/>
      <c r="B451" s="193"/>
      <c r="C451" s="184"/>
      <c r="D451" s="183" t="s">
        <v>870</v>
      </c>
      <c r="E451" s="184"/>
      <c r="F451" s="184"/>
      <c r="G451" s="184"/>
      <c r="H451" s="184"/>
      <c r="I451" s="184"/>
      <c r="J451" s="184"/>
      <c r="K451" s="184"/>
      <c r="L451" s="193"/>
      <c r="M451" s="1003"/>
      <c r="N451" s="1002"/>
      <c r="O451" s="1002"/>
      <c r="P451" s="1002"/>
      <c r="Q451" s="1002"/>
      <c r="R451" s="1002"/>
      <c r="S451" s="1002"/>
      <c r="T451" s="1002"/>
      <c r="U451" s="1002"/>
      <c r="V451" s="1002"/>
      <c r="W451" s="1002"/>
      <c r="X451" s="1002"/>
      <c r="Y451" s="1002"/>
      <c r="Z451" s="1002"/>
      <c r="AA451" s="1002"/>
      <c r="AB451" s="1002"/>
      <c r="AC451" s="1002"/>
      <c r="AD451" s="1002"/>
      <c r="AE451" s="1002"/>
      <c r="AF451" s="1002"/>
      <c r="AG451" s="1002"/>
      <c r="AH451" s="1002"/>
      <c r="AI451" s="1002"/>
      <c r="AJ451" s="1002"/>
      <c r="AK451" s="1002"/>
      <c r="AL451" s="1002"/>
      <c r="AM451" s="1002"/>
      <c r="AN451" s="1002"/>
      <c r="AO451" s="1002"/>
      <c r="AP451" s="1002"/>
      <c r="AQ451" s="1002"/>
      <c r="AR451" s="1002"/>
      <c r="AS451" s="1002"/>
      <c r="AT451" s="1002"/>
      <c r="AU451" s="1002"/>
      <c r="AV451" s="1002"/>
      <c r="AW451" s="1002"/>
      <c r="AX451" s="1002"/>
      <c r="AY451" s="1002"/>
      <c r="AZ451" s="1002"/>
      <c r="BA451" s="1002"/>
      <c r="BB451" s="1002"/>
      <c r="BC451" s="1002"/>
      <c r="BD451" s="1002"/>
      <c r="BE451" s="204"/>
      <c r="BF451" s="205" t="s">
        <v>487</v>
      </c>
      <c r="BG451" s="204"/>
      <c r="BH451" s="204" t="s">
        <v>407</v>
      </c>
      <c r="BI451" s="204"/>
      <c r="BJ451" s="204"/>
      <c r="BK451" s="206"/>
    </row>
    <row r="452" spans="1:63" s="164" customFormat="1" ht="15.75" customHeight="1">
      <c r="A452" s="185"/>
      <c r="B452" s="193"/>
      <c r="C452" s="184"/>
      <c r="D452" s="183" t="s">
        <v>585</v>
      </c>
      <c r="E452" s="184"/>
      <c r="F452" s="184"/>
      <c r="G452" s="184"/>
      <c r="H452" s="184"/>
      <c r="I452" s="184"/>
      <c r="J452" s="184"/>
      <c r="K452" s="184"/>
      <c r="L452" s="193"/>
      <c r="M452" s="1003"/>
      <c r="N452" s="1002"/>
      <c r="O452" s="1002"/>
      <c r="P452" s="1002"/>
      <c r="Q452" s="1002"/>
      <c r="R452" s="1002"/>
      <c r="S452" s="1002"/>
      <c r="T452" s="1002"/>
      <c r="U452" s="1002"/>
      <c r="V452" s="1002"/>
      <c r="W452" s="1002"/>
      <c r="X452" s="1002"/>
      <c r="Y452" s="1002"/>
      <c r="Z452" s="1002"/>
      <c r="AA452" s="1002"/>
      <c r="AB452" s="1002"/>
      <c r="AC452" s="1002"/>
      <c r="AD452" s="1002"/>
      <c r="AE452" s="1002"/>
      <c r="AF452" s="1002"/>
      <c r="AG452" s="1002"/>
      <c r="AH452" s="1002"/>
      <c r="AI452" s="1002"/>
      <c r="AJ452" s="1002"/>
      <c r="AK452" s="1002"/>
      <c r="AL452" s="1002"/>
      <c r="AM452" s="1002"/>
      <c r="AN452" s="1002"/>
      <c r="AO452" s="1002"/>
      <c r="AP452" s="1002"/>
      <c r="AQ452" s="1002"/>
      <c r="AR452" s="1002"/>
      <c r="AS452" s="1002"/>
      <c r="AT452" s="1002"/>
      <c r="AU452" s="1002"/>
      <c r="AV452" s="1002"/>
      <c r="AW452" s="1002"/>
      <c r="AX452" s="1002"/>
      <c r="AY452" s="1002"/>
      <c r="AZ452" s="1002"/>
      <c r="BA452" s="1002"/>
      <c r="BB452" s="1002"/>
      <c r="BC452" s="1002"/>
      <c r="BD452" s="1002"/>
      <c r="BE452" s="204"/>
      <c r="BF452" s="205" t="s">
        <v>487</v>
      </c>
      <c r="BG452" s="204"/>
      <c r="BH452" s="204" t="s">
        <v>407</v>
      </c>
      <c r="BI452" s="204"/>
      <c r="BJ452" s="204"/>
      <c r="BK452" s="206"/>
    </row>
    <row r="453" spans="1:63" s="164" customFormat="1" ht="15.75" customHeight="1">
      <c r="A453" s="185"/>
      <c r="B453" s="193"/>
      <c r="C453" s="184"/>
      <c r="D453" s="183" t="s">
        <v>871</v>
      </c>
      <c r="E453" s="184"/>
      <c r="F453" s="184"/>
      <c r="G453" s="184"/>
      <c r="H453" s="184"/>
      <c r="I453" s="184"/>
      <c r="J453" s="184"/>
      <c r="K453" s="184"/>
      <c r="L453" s="193"/>
      <c r="M453" s="1003"/>
      <c r="N453" s="1002"/>
      <c r="O453" s="1002"/>
      <c r="P453" s="1002"/>
      <c r="Q453" s="1002"/>
      <c r="R453" s="1002"/>
      <c r="S453" s="1002"/>
      <c r="T453" s="1002"/>
      <c r="U453" s="1002"/>
      <c r="V453" s="1002"/>
      <c r="W453" s="1002"/>
      <c r="X453" s="1002"/>
      <c r="Y453" s="1002"/>
      <c r="Z453" s="1002"/>
      <c r="AA453" s="1002"/>
      <c r="AB453" s="1002"/>
      <c r="AC453" s="1002"/>
      <c r="AD453" s="1002"/>
      <c r="AE453" s="1002"/>
      <c r="AF453" s="1002"/>
      <c r="AG453" s="1002"/>
      <c r="AH453" s="1002"/>
      <c r="AI453" s="1002"/>
      <c r="AJ453" s="1002"/>
      <c r="AK453" s="1002"/>
      <c r="AL453" s="1002"/>
      <c r="AM453" s="1002"/>
      <c r="AN453" s="1002"/>
      <c r="AO453" s="1002"/>
      <c r="AP453" s="1002"/>
      <c r="AQ453" s="1002"/>
      <c r="AR453" s="1002"/>
      <c r="AS453" s="1002"/>
      <c r="AT453" s="1002"/>
      <c r="AU453" s="1002"/>
      <c r="AV453" s="1002"/>
      <c r="AW453" s="1002"/>
      <c r="AX453" s="1002"/>
      <c r="AY453" s="1002"/>
      <c r="AZ453" s="1002"/>
      <c r="BA453" s="1002"/>
      <c r="BB453" s="1002"/>
      <c r="BC453" s="1002"/>
      <c r="BD453" s="1002"/>
      <c r="BE453" s="204"/>
      <c r="BF453" s="205" t="s">
        <v>487</v>
      </c>
      <c r="BG453" s="204"/>
      <c r="BH453" s="204" t="s">
        <v>407</v>
      </c>
      <c r="BI453" s="204"/>
      <c r="BJ453" s="204"/>
      <c r="BK453" s="206"/>
    </row>
    <row r="454" spans="1:63" s="164" customFormat="1" ht="15.75" customHeight="1">
      <c r="A454" s="185"/>
      <c r="B454" s="193"/>
      <c r="C454" s="184"/>
      <c r="D454" s="183" t="s">
        <v>588</v>
      </c>
      <c r="E454" s="184"/>
      <c r="F454" s="184"/>
      <c r="G454" s="184"/>
      <c r="H454" s="184"/>
      <c r="I454" s="184"/>
      <c r="J454" s="184"/>
      <c r="K454" s="184"/>
      <c r="L454" s="193"/>
      <c r="M454" s="1003"/>
      <c r="N454" s="1002"/>
      <c r="O454" s="1002"/>
      <c r="P454" s="1002"/>
      <c r="Q454" s="1002"/>
      <c r="R454" s="1002"/>
      <c r="S454" s="1002"/>
      <c r="T454" s="1002"/>
      <c r="U454" s="1002"/>
      <c r="V454" s="1002"/>
      <c r="W454" s="1002"/>
      <c r="X454" s="1002"/>
      <c r="Y454" s="1002"/>
      <c r="Z454" s="1002"/>
      <c r="AA454" s="1002"/>
      <c r="AB454" s="1002"/>
      <c r="AC454" s="1002"/>
      <c r="AD454" s="1002"/>
      <c r="AE454" s="1002"/>
      <c r="AF454" s="1002"/>
      <c r="AG454" s="1002"/>
      <c r="AH454" s="1002"/>
      <c r="AI454" s="1002"/>
      <c r="AJ454" s="1002"/>
      <c r="AK454" s="1002"/>
      <c r="AL454" s="1002"/>
      <c r="AM454" s="1002"/>
      <c r="AN454" s="1002"/>
      <c r="AO454" s="1002"/>
      <c r="AP454" s="1002"/>
      <c r="AQ454" s="1002"/>
      <c r="AR454" s="1002"/>
      <c r="AS454" s="1002"/>
      <c r="AT454" s="1002"/>
      <c r="AU454" s="1002"/>
      <c r="AV454" s="1002"/>
      <c r="AW454" s="1002"/>
      <c r="AX454" s="1002"/>
      <c r="AY454" s="1002"/>
      <c r="AZ454" s="1002"/>
      <c r="BA454" s="1002"/>
      <c r="BB454" s="1002"/>
      <c r="BC454" s="1002"/>
      <c r="BD454" s="1002"/>
      <c r="BE454" s="204"/>
      <c r="BF454" s="205" t="s">
        <v>487</v>
      </c>
      <c r="BG454" s="204"/>
      <c r="BH454" s="204" t="s">
        <v>407</v>
      </c>
      <c r="BI454" s="204"/>
      <c r="BJ454" s="204"/>
      <c r="BK454" s="206"/>
    </row>
    <row r="455" spans="1:63" s="164" customFormat="1" ht="15.75" customHeight="1">
      <c r="A455" s="185"/>
      <c r="B455" s="193"/>
      <c r="C455" s="184"/>
      <c r="D455" s="183" t="s">
        <v>872</v>
      </c>
      <c r="E455" s="184"/>
      <c r="F455" s="184"/>
      <c r="G455" s="184"/>
      <c r="H455" s="184"/>
      <c r="I455" s="184"/>
      <c r="J455" s="184"/>
      <c r="K455" s="184"/>
      <c r="L455" s="193"/>
      <c r="M455" s="1003"/>
      <c r="N455" s="1002"/>
      <c r="O455" s="1002"/>
      <c r="P455" s="1002"/>
      <c r="Q455" s="1002"/>
      <c r="R455" s="1002"/>
      <c r="S455" s="1002"/>
      <c r="T455" s="1002"/>
      <c r="U455" s="1002"/>
      <c r="V455" s="1002"/>
      <c r="W455" s="1002"/>
      <c r="X455" s="1002"/>
      <c r="Y455" s="1002"/>
      <c r="Z455" s="1002"/>
      <c r="AA455" s="1002"/>
      <c r="AB455" s="1002"/>
      <c r="AC455" s="1002"/>
      <c r="AD455" s="1002"/>
      <c r="AE455" s="1002"/>
      <c r="AF455" s="1002"/>
      <c r="AG455" s="1002"/>
      <c r="AH455" s="1002"/>
      <c r="AI455" s="1002"/>
      <c r="AJ455" s="1002"/>
      <c r="AK455" s="1002"/>
      <c r="AL455" s="1002"/>
      <c r="AM455" s="1002"/>
      <c r="AN455" s="1002"/>
      <c r="AO455" s="1002"/>
      <c r="AP455" s="1002"/>
      <c r="AQ455" s="1002"/>
      <c r="AR455" s="1002"/>
      <c r="AS455" s="1002"/>
      <c r="AT455" s="1002"/>
      <c r="AU455" s="1002"/>
      <c r="AV455" s="1002"/>
      <c r="AW455" s="1002"/>
      <c r="AX455" s="1002"/>
      <c r="AY455" s="1002"/>
      <c r="AZ455" s="1002"/>
      <c r="BA455" s="1002"/>
      <c r="BB455" s="1002"/>
      <c r="BC455" s="1002"/>
      <c r="BD455" s="1002"/>
      <c r="BE455" s="204"/>
      <c r="BF455" s="205" t="s">
        <v>487</v>
      </c>
      <c r="BG455" s="204"/>
      <c r="BH455" s="204" t="s">
        <v>407</v>
      </c>
      <c r="BI455" s="204"/>
      <c r="BJ455" s="204"/>
      <c r="BK455" s="206"/>
    </row>
    <row r="456" spans="1:63" s="164" customFormat="1" ht="15.75" customHeight="1">
      <c r="A456" s="185"/>
      <c r="B456" s="193"/>
      <c r="C456" s="184"/>
      <c r="D456" s="183" t="s">
        <v>591</v>
      </c>
      <c r="E456" s="184"/>
      <c r="F456" s="184"/>
      <c r="G456" s="184"/>
      <c r="H456" s="184"/>
      <c r="I456" s="184"/>
      <c r="J456" s="184"/>
      <c r="K456" s="184"/>
      <c r="L456" s="193"/>
      <c r="M456" s="1003"/>
      <c r="N456" s="1002"/>
      <c r="O456" s="1002"/>
      <c r="P456" s="1002"/>
      <c r="Q456" s="1002"/>
      <c r="R456" s="1002"/>
      <c r="S456" s="1002"/>
      <c r="T456" s="1002"/>
      <c r="U456" s="1002"/>
      <c r="V456" s="1002"/>
      <c r="W456" s="1002"/>
      <c r="X456" s="1002"/>
      <c r="Y456" s="1002"/>
      <c r="Z456" s="1002"/>
      <c r="AA456" s="1002"/>
      <c r="AB456" s="1002"/>
      <c r="AC456" s="1002"/>
      <c r="AD456" s="1002"/>
      <c r="AE456" s="1002"/>
      <c r="AF456" s="1002"/>
      <c r="AG456" s="1002"/>
      <c r="AH456" s="1002"/>
      <c r="AI456" s="1002"/>
      <c r="AJ456" s="1002"/>
      <c r="AK456" s="1002"/>
      <c r="AL456" s="1002"/>
      <c r="AM456" s="1002"/>
      <c r="AN456" s="1002"/>
      <c r="AO456" s="1002"/>
      <c r="AP456" s="1002"/>
      <c r="AQ456" s="1002"/>
      <c r="AR456" s="1002"/>
      <c r="AS456" s="1002"/>
      <c r="AT456" s="1002"/>
      <c r="AU456" s="1002"/>
      <c r="AV456" s="1002"/>
      <c r="AW456" s="1002"/>
      <c r="AX456" s="1002"/>
      <c r="AY456" s="1002"/>
      <c r="AZ456" s="1002"/>
      <c r="BA456" s="1002"/>
      <c r="BB456" s="1002"/>
      <c r="BC456" s="1002"/>
      <c r="BD456" s="1002"/>
      <c r="BE456" s="204"/>
      <c r="BF456" s="205" t="s">
        <v>487</v>
      </c>
      <c r="BG456" s="204"/>
      <c r="BH456" s="204" t="s">
        <v>407</v>
      </c>
      <c r="BI456" s="204"/>
      <c r="BJ456" s="204"/>
      <c r="BK456" s="206"/>
    </row>
    <row r="457" spans="1:63" s="164" customFormat="1" ht="15.75" customHeight="1">
      <c r="A457" s="185"/>
      <c r="B457" s="193"/>
      <c r="C457" s="184"/>
      <c r="D457" s="183" t="s">
        <v>873</v>
      </c>
      <c r="E457" s="184"/>
      <c r="F457" s="184"/>
      <c r="G457" s="184"/>
      <c r="H457" s="184"/>
      <c r="I457" s="184"/>
      <c r="J457" s="184"/>
      <c r="K457" s="184"/>
      <c r="L457" s="193"/>
      <c r="M457" s="1003"/>
      <c r="N457" s="1002"/>
      <c r="O457" s="1002"/>
      <c r="P457" s="1002"/>
      <c r="Q457" s="1002"/>
      <c r="R457" s="1002"/>
      <c r="S457" s="1002"/>
      <c r="T457" s="1002"/>
      <c r="U457" s="1002"/>
      <c r="V457" s="1002"/>
      <c r="W457" s="1002"/>
      <c r="X457" s="1002"/>
      <c r="Y457" s="1002"/>
      <c r="Z457" s="1002"/>
      <c r="AA457" s="1002"/>
      <c r="AB457" s="1002"/>
      <c r="AC457" s="1002"/>
      <c r="AD457" s="1002"/>
      <c r="AE457" s="1002"/>
      <c r="AF457" s="1002"/>
      <c r="AG457" s="1002"/>
      <c r="AH457" s="1002"/>
      <c r="AI457" s="1002"/>
      <c r="AJ457" s="1002"/>
      <c r="AK457" s="1002"/>
      <c r="AL457" s="1002"/>
      <c r="AM457" s="1002"/>
      <c r="AN457" s="1002"/>
      <c r="AO457" s="1002"/>
      <c r="AP457" s="1002"/>
      <c r="AQ457" s="1002"/>
      <c r="AR457" s="1002"/>
      <c r="AS457" s="1002"/>
      <c r="AT457" s="1002"/>
      <c r="AU457" s="1002"/>
      <c r="AV457" s="1002"/>
      <c r="AW457" s="1002"/>
      <c r="AX457" s="1002"/>
      <c r="AY457" s="1002"/>
      <c r="AZ457" s="1002"/>
      <c r="BA457" s="1002"/>
      <c r="BB457" s="1002"/>
      <c r="BC457" s="1002"/>
      <c r="BD457" s="1002"/>
      <c r="BE457" s="204"/>
      <c r="BF457" s="205" t="s">
        <v>487</v>
      </c>
      <c r="BG457" s="204"/>
      <c r="BH457" s="204" t="s">
        <v>407</v>
      </c>
      <c r="BI457" s="204"/>
      <c r="BJ457" s="204"/>
      <c r="BK457" s="206"/>
    </row>
    <row r="458" spans="1:63" s="164" customFormat="1" ht="15.75" customHeight="1">
      <c r="A458" s="185"/>
      <c r="B458" s="193"/>
      <c r="C458" s="184"/>
      <c r="D458" s="183" t="s">
        <v>594</v>
      </c>
      <c r="E458" s="184"/>
      <c r="F458" s="184"/>
      <c r="G458" s="184"/>
      <c r="H458" s="184"/>
      <c r="I458" s="184"/>
      <c r="J458" s="184"/>
      <c r="K458" s="184"/>
      <c r="L458" s="193"/>
      <c r="M458" s="1003"/>
      <c r="N458" s="1002"/>
      <c r="O458" s="1002"/>
      <c r="P458" s="1002"/>
      <c r="Q458" s="1002"/>
      <c r="R458" s="1002"/>
      <c r="S458" s="1002"/>
      <c r="T458" s="1002"/>
      <c r="U458" s="1002"/>
      <c r="V458" s="1002"/>
      <c r="W458" s="1002"/>
      <c r="X458" s="1002"/>
      <c r="Y458" s="1002"/>
      <c r="Z458" s="1002"/>
      <c r="AA458" s="1002"/>
      <c r="AB458" s="1002"/>
      <c r="AC458" s="1002"/>
      <c r="AD458" s="1002"/>
      <c r="AE458" s="1002"/>
      <c r="AF458" s="1002"/>
      <c r="AG458" s="1002"/>
      <c r="AH458" s="1002"/>
      <c r="AI458" s="1002"/>
      <c r="AJ458" s="1002"/>
      <c r="AK458" s="1002"/>
      <c r="AL458" s="1002"/>
      <c r="AM458" s="1002"/>
      <c r="AN458" s="1002"/>
      <c r="AO458" s="1002"/>
      <c r="AP458" s="1002"/>
      <c r="AQ458" s="1002"/>
      <c r="AR458" s="1002"/>
      <c r="AS458" s="1002"/>
      <c r="AT458" s="1002"/>
      <c r="AU458" s="1002"/>
      <c r="AV458" s="1002"/>
      <c r="AW458" s="1002"/>
      <c r="AX458" s="1002"/>
      <c r="AY458" s="1002"/>
      <c r="AZ458" s="1002"/>
      <c r="BA458" s="1002"/>
      <c r="BB458" s="1002"/>
      <c r="BC458" s="1002"/>
      <c r="BD458" s="1002"/>
      <c r="BE458" s="204"/>
      <c r="BF458" s="205" t="s">
        <v>487</v>
      </c>
      <c r="BG458" s="204"/>
      <c r="BH458" s="204" t="s">
        <v>407</v>
      </c>
      <c r="BI458" s="204"/>
      <c r="BJ458" s="204"/>
      <c r="BK458" s="206"/>
    </row>
    <row r="459" spans="1:63" s="164" customFormat="1" ht="15.75" customHeight="1">
      <c r="A459" s="185"/>
      <c r="B459" s="193"/>
      <c r="C459" s="184"/>
      <c r="D459" s="183" t="s">
        <v>874</v>
      </c>
      <c r="E459" s="184"/>
      <c r="F459" s="184"/>
      <c r="G459" s="184"/>
      <c r="H459" s="184"/>
      <c r="I459" s="184"/>
      <c r="J459" s="184"/>
      <c r="K459" s="184"/>
      <c r="L459" s="193"/>
      <c r="M459" s="1003"/>
      <c r="N459" s="1002"/>
      <c r="O459" s="1002"/>
      <c r="P459" s="1002"/>
      <c r="Q459" s="1002"/>
      <c r="R459" s="1002"/>
      <c r="S459" s="1002"/>
      <c r="T459" s="1002"/>
      <c r="U459" s="1002"/>
      <c r="V459" s="1002"/>
      <c r="W459" s="1002"/>
      <c r="X459" s="1002"/>
      <c r="Y459" s="1002"/>
      <c r="Z459" s="1002"/>
      <c r="AA459" s="1002"/>
      <c r="AB459" s="1002"/>
      <c r="AC459" s="1002"/>
      <c r="AD459" s="1002"/>
      <c r="AE459" s="1002"/>
      <c r="AF459" s="1002"/>
      <c r="AG459" s="1002"/>
      <c r="AH459" s="1002"/>
      <c r="AI459" s="1002"/>
      <c r="AJ459" s="1002"/>
      <c r="AK459" s="1002"/>
      <c r="AL459" s="1002"/>
      <c r="AM459" s="1002"/>
      <c r="AN459" s="1002"/>
      <c r="AO459" s="1002"/>
      <c r="AP459" s="1002"/>
      <c r="AQ459" s="1002"/>
      <c r="AR459" s="1002"/>
      <c r="AS459" s="1002"/>
      <c r="AT459" s="1002"/>
      <c r="AU459" s="1002"/>
      <c r="AV459" s="1002"/>
      <c r="AW459" s="1002"/>
      <c r="AX459" s="1002"/>
      <c r="AY459" s="1002"/>
      <c r="AZ459" s="1002"/>
      <c r="BA459" s="1002"/>
      <c r="BB459" s="1002"/>
      <c r="BC459" s="1002"/>
      <c r="BD459" s="1002"/>
      <c r="BE459" s="204"/>
      <c r="BF459" s="205" t="s">
        <v>487</v>
      </c>
      <c r="BG459" s="204"/>
      <c r="BH459" s="204" t="s">
        <v>407</v>
      </c>
      <c r="BI459" s="204"/>
      <c r="BJ459" s="204"/>
      <c r="BK459" s="206"/>
    </row>
    <row r="460" spans="1:63" s="164" customFormat="1" ht="15.75" customHeight="1">
      <c r="A460" s="185"/>
      <c r="B460" s="193"/>
      <c r="C460" s="184"/>
      <c r="D460" s="183" t="s">
        <v>597</v>
      </c>
      <c r="E460" s="184"/>
      <c r="F460" s="184"/>
      <c r="G460" s="184"/>
      <c r="H460" s="184"/>
      <c r="I460" s="184"/>
      <c r="J460" s="184"/>
      <c r="K460" s="184"/>
      <c r="L460" s="193"/>
      <c r="M460" s="1003"/>
      <c r="N460" s="1002"/>
      <c r="O460" s="1002"/>
      <c r="P460" s="1002"/>
      <c r="Q460" s="1002"/>
      <c r="R460" s="1002"/>
      <c r="S460" s="1002"/>
      <c r="T460" s="1002"/>
      <c r="U460" s="1002"/>
      <c r="V460" s="1002"/>
      <c r="W460" s="1002"/>
      <c r="X460" s="1002"/>
      <c r="Y460" s="1002"/>
      <c r="Z460" s="1002"/>
      <c r="AA460" s="1002"/>
      <c r="AB460" s="1002"/>
      <c r="AC460" s="1002"/>
      <c r="AD460" s="1002"/>
      <c r="AE460" s="1002"/>
      <c r="AF460" s="1002"/>
      <c r="AG460" s="1002"/>
      <c r="AH460" s="1002"/>
      <c r="AI460" s="1002"/>
      <c r="AJ460" s="1002"/>
      <c r="AK460" s="1002"/>
      <c r="AL460" s="1002"/>
      <c r="AM460" s="1002"/>
      <c r="AN460" s="1002"/>
      <c r="AO460" s="1002"/>
      <c r="AP460" s="1002"/>
      <c r="AQ460" s="1002"/>
      <c r="AR460" s="1002"/>
      <c r="AS460" s="1002"/>
      <c r="AT460" s="1002"/>
      <c r="AU460" s="1002"/>
      <c r="AV460" s="1002"/>
      <c r="AW460" s="1002"/>
      <c r="AX460" s="1002"/>
      <c r="AY460" s="1002"/>
      <c r="AZ460" s="1002"/>
      <c r="BA460" s="1002"/>
      <c r="BB460" s="1002"/>
      <c r="BC460" s="1002"/>
      <c r="BD460" s="1002"/>
      <c r="BE460" s="204"/>
      <c r="BF460" s="205" t="s">
        <v>487</v>
      </c>
      <c r="BG460" s="204"/>
      <c r="BH460" s="204" t="s">
        <v>407</v>
      </c>
      <c r="BI460" s="204"/>
      <c r="BJ460" s="204"/>
      <c r="BK460" s="206"/>
    </row>
    <row r="461" spans="1:63" s="164" customFormat="1" ht="15.75" customHeight="1">
      <c r="A461" s="185"/>
      <c r="B461" s="193"/>
      <c r="C461" s="184"/>
      <c r="D461" s="183" t="s">
        <v>875</v>
      </c>
      <c r="E461" s="184"/>
      <c r="F461" s="184"/>
      <c r="G461" s="184"/>
      <c r="H461" s="184"/>
      <c r="I461" s="184"/>
      <c r="J461" s="184"/>
      <c r="K461" s="184"/>
      <c r="L461" s="193"/>
      <c r="M461" s="1003"/>
      <c r="N461" s="1002"/>
      <c r="O461" s="1002"/>
      <c r="P461" s="1002"/>
      <c r="Q461" s="1002"/>
      <c r="R461" s="1002"/>
      <c r="S461" s="1002"/>
      <c r="T461" s="1002"/>
      <c r="U461" s="1002"/>
      <c r="V461" s="1002"/>
      <c r="W461" s="1002"/>
      <c r="X461" s="1002"/>
      <c r="Y461" s="1002"/>
      <c r="Z461" s="1002"/>
      <c r="AA461" s="1002"/>
      <c r="AB461" s="1002"/>
      <c r="AC461" s="1002"/>
      <c r="AD461" s="1002"/>
      <c r="AE461" s="1002"/>
      <c r="AF461" s="1002"/>
      <c r="AG461" s="1002"/>
      <c r="AH461" s="1002"/>
      <c r="AI461" s="1002"/>
      <c r="AJ461" s="1002"/>
      <c r="AK461" s="1002"/>
      <c r="AL461" s="1002"/>
      <c r="AM461" s="1002"/>
      <c r="AN461" s="1002"/>
      <c r="AO461" s="1002"/>
      <c r="AP461" s="1002"/>
      <c r="AQ461" s="1002"/>
      <c r="AR461" s="1002"/>
      <c r="AS461" s="1002"/>
      <c r="AT461" s="1002"/>
      <c r="AU461" s="1002"/>
      <c r="AV461" s="1002"/>
      <c r="AW461" s="1002"/>
      <c r="AX461" s="1002"/>
      <c r="AY461" s="1002"/>
      <c r="AZ461" s="1002"/>
      <c r="BA461" s="1002"/>
      <c r="BB461" s="1002"/>
      <c r="BC461" s="1002"/>
      <c r="BD461" s="1002"/>
      <c r="BE461" s="204"/>
      <c r="BF461" s="205" t="s">
        <v>487</v>
      </c>
      <c r="BG461" s="204"/>
      <c r="BH461" s="204" t="s">
        <v>407</v>
      </c>
      <c r="BI461" s="204"/>
      <c r="BJ461" s="204"/>
      <c r="BK461" s="206"/>
    </row>
    <row r="462" spans="1:63" s="164" customFormat="1" ht="15.75" customHeight="1">
      <c r="A462" s="185"/>
      <c r="B462" s="193"/>
      <c r="C462" s="184"/>
      <c r="D462" s="183" t="s">
        <v>600</v>
      </c>
      <c r="E462" s="184"/>
      <c r="F462" s="184"/>
      <c r="G462" s="184"/>
      <c r="H462" s="184"/>
      <c r="I462" s="184"/>
      <c r="J462" s="184"/>
      <c r="K462" s="184"/>
      <c r="L462" s="193"/>
      <c r="M462" s="1003"/>
      <c r="N462" s="1002"/>
      <c r="O462" s="1002"/>
      <c r="P462" s="1002"/>
      <c r="Q462" s="1002"/>
      <c r="R462" s="1002"/>
      <c r="S462" s="1002"/>
      <c r="T462" s="1002"/>
      <c r="U462" s="1002"/>
      <c r="V462" s="1002"/>
      <c r="W462" s="1002"/>
      <c r="X462" s="1002"/>
      <c r="Y462" s="1002"/>
      <c r="Z462" s="1002"/>
      <c r="AA462" s="1002"/>
      <c r="AB462" s="1002"/>
      <c r="AC462" s="1002"/>
      <c r="AD462" s="1002"/>
      <c r="AE462" s="1002"/>
      <c r="AF462" s="1002"/>
      <c r="AG462" s="1002"/>
      <c r="AH462" s="1002"/>
      <c r="AI462" s="1002"/>
      <c r="AJ462" s="1002"/>
      <c r="AK462" s="1002"/>
      <c r="AL462" s="1002"/>
      <c r="AM462" s="1002"/>
      <c r="AN462" s="1002"/>
      <c r="AO462" s="1002"/>
      <c r="AP462" s="1002"/>
      <c r="AQ462" s="1002"/>
      <c r="AR462" s="1002"/>
      <c r="AS462" s="1002"/>
      <c r="AT462" s="1002"/>
      <c r="AU462" s="1002"/>
      <c r="AV462" s="1002"/>
      <c r="AW462" s="1002"/>
      <c r="AX462" s="1002"/>
      <c r="AY462" s="1002"/>
      <c r="AZ462" s="1002"/>
      <c r="BA462" s="1002"/>
      <c r="BB462" s="1002"/>
      <c r="BC462" s="1002"/>
      <c r="BD462" s="1002"/>
      <c r="BE462" s="204"/>
      <c r="BF462" s="205" t="s">
        <v>487</v>
      </c>
      <c r="BG462" s="204"/>
      <c r="BH462" s="204" t="s">
        <v>407</v>
      </c>
      <c r="BI462" s="204"/>
      <c r="BJ462" s="204"/>
      <c r="BK462" s="206"/>
    </row>
    <row r="463" spans="1:63" s="164" customFormat="1" ht="15.75" customHeight="1">
      <c r="A463" s="185"/>
      <c r="B463" s="193"/>
      <c r="C463" s="184"/>
      <c r="D463" s="183" t="s">
        <v>876</v>
      </c>
      <c r="E463" s="184"/>
      <c r="F463" s="184"/>
      <c r="G463" s="184"/>
      <c r="H463" s="184"/>
      <c r="I463" s="184"/>
      <c r="J463" s="184"/>
      <c r="K463" s="184"/>
      <c r="L463" s="193"/>
      <c r="M463" s="1003"/>
      <c r="N463" s="1002"/>
      <c r="O463" s="1002"/>
      <c r="P463" s="1002"/>
      <c r="Q463" s="1002"/>
      <c r="R463" s="1002"/>
      <c r="S463" s="1002"/>
      <c r="T463" s="1002"/>
      <c r="U463" s="1002"/>
      <c r="V463" s="1002"/>
      <c r="W463" s="1002"/>
      <c r="X463" s="1002"/>
      <c r="Y463" s="1002"/>
      <c r="Z463" s="1002"/>
      <c r="AA463" s="1002"/>
      <c r="AB463" s="1002"/>
      <c r="AC463" s="1002"/>
      <c r="AD463" s="1002"/>
      <c r="AE463" s="1002"/>
      <c r="AF463" s="1002"/>
      <c r="AG463" s="1002"/>
      <c r="AH463" s="1002"/>
      <c r="AI463" s="1002"/>
      <c r="AJ463" s="1002"/>
      <c r="AK463" s="1002"/>
      <c r="AL463" s="1002"/>
      <c r="AM463" s="1002"/>
      <c r="AN463" s="1002"/>
      <c r="AO463" s="1002"/>
      <c r="AP463" s="1002"/>
      <c r="AQ463" s="1002"/>
      <c r="AR463" s="1002"/>
      <c r="AS463" s="1002"/>
      <c r="AT463" s="1002"/>
      <c r="AU463" s="1002"/>
      <c r="AV463" s="1002"/>
      <c r="AW463" s="1002"/>
      <c r="AX463" s="1002"/>
      <c r="AY463" s="1002"/>
      <c r="AZ463" s="1002"/>
      <c r="BA463" s="1002"/>
      <c r="BB463" s="1002"/>
      <c r="BC463" s="1002"/>
      <c r="BD463" s="1002"/>
      <c r="BE463" s="204"/>
      <c r="BF463" s="205" t="s">
        <v>487</v>
      </c>
      <c r="BG463" s="204"/>
      <c r="BH463" s="204" t="s">
        <v>407</v>
      </c>
      <c r="BI463" s="204"/>
      <c r="BJ463" s="204"/>
      <c r="BK463" s="206"/>
    </row>
    <row r="464" spans="1:63" s="164" customFormat="1" ht="15.75" customHeight="1">
      <c r="A464" s="185"/>
      <c r="B464" s="193"/>
      <c r="C464" s="184"/>
      <c r="D464" s="183" t="s">
        <v>603</v>
      </c>
      <c r="E464" s="184"/>
      <c r="F464" s="184"/>
      <c r="G464" s="184"/>
      <c r="H464" s="184"/>
      <c r="I464" s="184"/>
      <c r="J464" s="184"/>
      <c r="K464" s="184"/>
      <c r="L464" s="193"/>
      <c r="M464" s="1003"/>
      <c r="N464" s="1002"/>
      <c r="O464" s="1002"/>
      <c r="P464" s="1002"/>
      <c r="Q464" s="1002"/>
      <c r="R464" s="1002"/>
      <c r="S464" s="1002"/>
      <c r="T464" s="1002"/>
      <c r="U464" s="1002"/>
      <c r="V464" s="1002"/>
      <c r="W464" s="1002"/>
      <c r="X464" s="1002"/>
      <c r="Y464" s="1002"/>
      <c r="Z464" s="1002"/>
      <c r="AA464" s="1002"/>
      <c r="AB464" s="1002"/>
      <c r="AC464" s="1002"/>
      <c r="AD464" s="1002"/>
      <c r="AE464" s="1002"/>
      <c r="AF464" s="1002"/>
      <c r="AG464" s="1002"/>
      <c r="AH464" s="1002"/>
      <c r="AI464" s="1002"/>
      <c r="AJ464" s="1002"/>
      <c r="AK464" s="1002"/>
      <c r="AL464" s="1002"/>
      <c r="AM464" s="1002"/>
      <c r="AN464" s="1002"/>
      <c r="AO464" s="1002"/>
      <c r="AP464" s="1002"/>
      <c r="AQ464" s="1002"/>
      <c r="AR464" s="1002"/>
      <c r="AS464" s="1002"/>
      <c r="AT464" s="1002"/>
      <c r="AU464" s="1002"/>
      <c r="AV464" s="1002"/>
      <c r="AW464" s="1002"/>
      <c r="AX464" s="1002"/>
      <c r="AY464" s="1002"/>
      <c r="AZ464" s="1002"/>
      <c r="BA464" s="1002"/>
      <c r="BB464" s="1002"/>
      <c r="BC464" s="1002"/>
      <c r="BD464" s="1002"/>
      <c r="BE464" s="204"/>
      <c r="BF464" s="205" t="s">
        <v>487</v>
      </c>
      <c r="BG464" s="204"/>
      <c r="BH464" s="204" t="s">
        <v>407</v>
      </c>
      <c r="BI464" s="204"/>
      <c r="BJ464" s="204"/>
      <c r="BK464" s="206"/>
    </row>
    <row r="465" spans="1:63" s="164" customFormat="1" ht="15.75" customHeight="1">
      <c r="A465" s="185"/>
      <c r="B465" s="193"/>
      <c r="C465" s="184"/>
      <c r="D465" s="183" t="s">
        <v>877</v>
      </c>
      <c r="E465" s="184"/>
      <c r="F465" s="184"/>
      <c r="G465" s="184"/>
      <c r="H465" s="184"/>
      <c r="I465" s="184"/>
      <c r="J465" s="184"/>
      <c r="K465" s="184"/>
      <c r="L465" s="193"/>
      <c r="M465" s="1003"/>
      <c r="N465" s="1002"/>
      <c r="O465" s="1002"/>
      <c r="P465" s="1002"/>
      <c r="Q465" s="1002"/>
      <c r="R465" s="1002"/>
      <c r="S465" s="1002"/>
      <c r="T465" s="1002"/>
      <c r="U465" s="1002"/>
      <c r="V465" s="1002"/>
      <c r="W465" s="1002"/>
      <c r="X465" s="1002"/>
      <c r="Y465" s="1002"/>
      <c r="Z465" s="1002"/>
      <c r="AA465" s="1002"/>
      <c r="AB465" s="1002"/>
      <c r="AC465" s="1002"/>
      <c r="AD465" s="1002"/>
      <c r="AE465" s="1002"/>
      <c r="AF465" s="1002"/>
      <c r="AG465" s="1002"/>
      <c r="AH465" s="1002"/>
      <c r="AI465" s="1002"/>
      <c r="AJ465" s="1002"/>
      <c r="AK465" s="1002"/>
      <c r="AL465" s="1002"/>
      <c r="AM465" s="1002"/>
      <c r="AN465" s="1002"/>
      <c r="AO465" s="1002"/>
      <c r="AP465" s="1002"/>
      <c r="AQ465" s="1002"/>
      <c r="AR465" s="1002"/>
      <c r="AS465" s="1002"/>
      <c r="AT465" s="1002"/>
      <c r="AU465" s="1002"/>
      <c r="AV465" s="1002"/>
      <c r="AW465" s="1002"/>
      <c r="AX465" s="1002"/>
      <c r="AY465" s="1002"/>
      <c r="AZ465" s="1002"/>
      <c r="BA465" s="1002"/>
      <c r="BB465" s="1002"/>
      <c r="BC465" s="1002"/>
      <c r="BD465" s="1002"/>
      <c r="BE465" s="204"/>
      <c r="BF465" s="205" t="s">
        <v>487</v>
      </c>
      <c r="BG465" s="204"/>
      <c r="BH465" s="204" t="s">
        <v>407</v>
      </c>
      <c r="BI465" s="204"/>
      <c r="BJ465" s="204"/>
      <c r="BK465" s="206"/>
    </row>
    <row r="466" spans="1:63" s="164" customFormat="1" ht="15.75" customHeight="1">
      <c r="A466" s="185"/>
      <c r="B466" s="193"/>
      <c r="C466" s="184"/>
      <c r="D466" s="183" t="s">
        <v>606</v>
      </c>
      <c r="E466" s="184"/>
      <c r="F466" s="184"/>
      <c r="G466" s="184"/>
      <c r="H466" s="184"/>
      <c r="I466" s="184"/>
      <c r="J466" s="184"/>
      <c r="K466" s="184"/>
      <c r="L466" s="193"/>
      <c r="M466" s="1003"/>
      <c r="N466" s="1002"/>
      <c r="O466" s="1002"/>
      <c r="P466" s="1002"/>
      <c r="Q466" s="1002"/>
      <c r="R466" s="1002"/>
      <c r="S466" s="1002"/>
      <c r="T466" s="1002"/>
      <c r="U466" s="1002"/>
      <c r="V466" s="1002"/>
      <c r="W466" s="1002"/>
      <c r="X466" s="1002"/>
      <c r="Y466" s="1002"/>
      <c r="Z466" s="1002"/>
      <c r="AA466" s="1002"/>
      <c r="AB466" s="1002"/>
      <c r="AC466" s="1002"/>
      <c r="AD466" s="1002"/>
      <c r="AE466" s="1002"/>
      <c r="AF466" s="1002"/>
      <c r="AG466" s="1002"/>
      <c r="AH466" s="1002"/>
      <c r="AI466" s="1002"/>
      <c r="AJ466" s="1002"/>
      <c r="AK466" s="1002"/>
      <c r="AL466" s="1002"/>
      <c r="AM466" s="1002"/>
      <c r="AN466" s="1002"/>
      <c r="AO466" s="1002"/>
      <c r="AP466" s="1002"/>
      <c r="AQ466" s="1002"/>
      <c r="AR466" s="1002"/>
      <c r="AS466" s="1002"/>
      <c r="AT466" s="1002"/>
      <c r="AU466" s="1002"/>
      <c r="AV466" s="1002"/>
      <c r="AW466" s="1002"/>
      <c r="AX466" s="1002"/>
      <c r="AY466" s="1002"/>
      <c r="AZ466" s="1002"/>
      <c r="BA466" s="1002"/>
      <c r="BB466" s="1002"/>
      <c r="BC466" s="1002"/>
      <c r="BD466" s="1002"/>
      <c r="BE466" s="204"/>
      <c r="BF466" s="205" t="s">
        <v>487</v>
      </c>
      <c r="BG466" s="204"/>
      <c r="BH466" s="204" t="s">
        <v>407</v>
      </c>
      <c r="BI466" s="204"/>
      <c r="BJ466" s="204"/>
      <c r="BK466" s="206"/>
    </row>
    <row r="467" spans="1:63" s="164" customFormat="1" ht="15.75" customHeight="1">
      <c r="A467" s="185"/>
      <c r="B467" s="193"/>
      <c r="C467" s="184"/>
      <c r="D467" s="183" t="s">
        <v>878</v>
      </c>
      <c r="E467" s="184"/>
      <c r="F467" s="184"/>
      <c r="G467" s="184"/>
      <c r="H467" s="184"/>
      <c r="I467" s="184"/>
      <c r="J467" s="184"/>
      <c r="K467" s="184"/>
      <c r="L467" s="193"/>
      <c r="M467" s="1003"/>
      <c r="N467" s="1002"/>
      <c r="O467" s="1002"/>
      <c r="P467" s="1002"/>
      <c r="Q467" s="1002"/>
      <c r="R467" s="1002"/>
      <c r="S467" s="1002"/>
      <c r="T467" s="1002"/>
      <c r="U467" s="1002"/>
      <c r="V467" s="1002"/>
      <c r="W467" s="1002"/>
      <c r="X467" s="1002"/>
      <c r="Y467" s="1002"/>
      <c r="Z467" s="1002"/>
      <c r="AA467" s="1002"/>
      <c r="AB467" s="1002"/>
      <c r="AC467" s="1002"/>
      <c r="AD467" s="1002"/>
      <c r="AE467" s="1002"/>
      <c r="AF467" s="1002"/>
      <c r="AG467" s="1002"/>
      <c r="AH467" s="1002"/>
      <c r="AI467" s="1002"/>
      <c r="AJ467" s="1002"/>
      <c r="AK467" s="1002"/>
      <c r="AL467" s="1002"/>
      <c r="AM467" s="1002"/>
      <c r="AN467" s="1002"/>
      <c r="AO467" s="1002"/>
      <c r="AP467" s="1002"/>
      <c r="AQ467" s="1002"/>
      <c r="AR467" s="1002"/>
      <c r="AS467" s="1002"/>
      <c r="AT467" s="1002"/>
      <c r="AU467" s="1002"/>
      <c r="AV467" s="1002"/>
      <c r="AW467" s="1002"/>
      <c r="AX467" s="1002"/>
      <c r="AY467" s="1002"/>
      <c r="AZ467" s="1002"/>
      <c r="BA467" s="1002"/>
      <c r="BB467" s="1002"/>
      <c r="BC467" s="1002"/>
      <c r="BD467" s="1002"/>
      <c r="BE467" s="204"/>
      <c r="BF467" s="205" t="s">
        <v>487</v>
      </c>
      <c r="BG467" s="204"/>
      <c r="BH467" s="204" t="s">
        <v>407</v>
      </c>
      <c r="BI467" s="204"/>
      <c r="BJ467" s="204"/>
      <c r="BK467" s="206"/>
    </row>
    <row r="468" spans="1:63" s="164" customFormat="1" ht="49.5" customHeight="1">
      <c r="A468" s="185"/>
      <c r="B468" s="193"/>
      <c r="C468" s="251" t="s">
        <v>411</v>
      </c>
      <c r="D468" s="183" t="s">
        <v>879</v>
      </c>
      <c r="E468" s="184"/>
      <c r="F468" s="184"/>
      <c r="G468" s="184"/>
      <c r="H468" s="184"/>
      <c r="I468" s="184"/>
      <c r="J468" s="184"/>
      <c r="K468" s="184"/>
      <c r="L468" s="193"/>
      <c r="M468" s="1005" t="s">
        <v>880</v>
      </c>
      <c r="N468" s="1005"/>
      <c r="O468" s="1005"/>
      <c r="P468" s="1005"/>
      <c r="Q468" s="1005"/>
      <c r="R468" s="1005"/>
      <c r="S468" s="1005"/>
      <c r="T468" s="1005"/>
      <c r="U468" s="1005"/>
      <c r="V468" s="1005"/>
      <c r="W468" s="1005"/>
      <c r="X468" s="1005"/>
      <c r="Y468" s="1005"/>
      <c r="Z468" s="1005"/>
      <c r="AA468" s="1005"/>
      <c r="AB468" s="1005"/>
      <c r="AC468" s="1005"/>
      <c r="AD468" s="1005"/>
      <c r="AE468" s="1005"/>
      <c r="AF468" s="1005"/>
      <c r="AG468" s="1005"/>
      <c r="AH468" s="1005"/>
      <c r="AI468" s="1005"/>
      <c r="AJ468" s="1005"/>
      <c r="AK468" s="1005"/>
      <c r="AL468" s="1005"/>
      <c r="AM468" s="1005"/>
      <c r="AN468" s="1005"/>
      <c r="AO468" s="1005"/>
      <c r="AP468" s="1005"/>
      <c r="AQ468" s="1005"/>
      <c r="AR468" s="1005"/>
      <c r="AS468" s="1005"/>
      <c r="AT468" s="1005"/>
      <c r="AU468" s="1005"/>
      <c r="AV468" s="1005"/>
      <c r="AW468" s="1005"/>
      <c r="AX468" s="1005"/>
      <c r="AY468" s="1005"/>
      <c r="AZ468" s="1005"/>
      <c r="BA468" s="1005"/>
      <c r="BB468" s="1005"/>
      <c r="BC468" s="1005"/>
      <c r="BD468" s="1005"/>
      <c r="BE468" s="205" t="s">
        <v>489</v>
      </c>
      <c r="BF468" s="205" t="s">
        <v>487</v>
      </c>
      <c r="BG468" s="204"/>
      <c r="BH468" s="204" t="s">
        <v>407</v>
      </c>
      <c r="BI468" s="205" t="s">
        <v>408</v>
      </c>
      <c r="BJ468" s="204"/>
      <c r="BK468" s="206"/>
    </row>
    <row r="469" spans="1:63" s="164" customFormat="1" ht="15.75" customHeight="1">
      <c r="A469" s="185"/>
      <c r="B469" s="193"/>
      <c r="C469" s="184"/>
      <c r="D469" s="183" t="s">
        <v>881</v>
      </c>
      <c r="E469" s="184"/>
      <c r="F469" s="184"/>
      <c r="G469" s="184"/>
      <c r="H469" s="184"/>
      <c r="I469" s="184"/>
      <c r="J469" s="184"/>
      <c r="K469" s="184"/>
      <c r="L469" s="193"/>
      <c r="M469" s="1005"/>
      <c r="N469" s="1005"/>
      <c r="O469" s="1005"/>
      <c r="P469" s="1005"/>
      <c r="Q469" s="1005"/>
      <c r="R469" s="1005"/>
      <c r="S469" s="1005"/>
      <c r="T469" s="1005"/>
      <c r="U469" s="1005"/>
      <c r="V469" s="1005"/>
      <c r="W469" s="1005"/>
      <c r="X469" s="1005"/>
      <c r="Y469" s="1005"/>
      <c r="Z469" s="1005"/>
      <c r="AA469" s="1005"/>
      <c r="AB469" s="1005"/>
      <c r="AC469" s="1005"/>
      <c r="AD469" s="1005"/>
      <c r="AE469" s="1005"/>
      <c r="AF469" s="1005"/>
      <c r="AG469" s="1005"/>
      <c r="AH469" s="1005"/>
      <c r="AI469" s="1005"/>
      <c r="AJ469" s="1005"/>
      <c r="AK469" s="1005"/>
      <c r="AL469" s="1005"/>
      <c r="AM469" s="1005"/>
      <c r="AN469" s="1005"/>
      <c r="AO469" s="1005"/>
      <c r="AP469" s="1005"/>
      <c r="AQ469" s="1005"/>
      <c r="AR469" s="1005"/>
      <c r="AS469" s="1005"/>
      <c r="AT469" s="1005"/>
      <c r="AU469" s="1005"/>
      <c r="AV469" s="1005"/>
      <c r="AW469" s="1005"/>
      <c r="AX469" s="1005"/>
      <c r="AY469" s="1005"/>
      <c r="AZ469" s="1005"/>
      <c r="BA469" s="1005"/>
      <c r="BB469" s="1005"/>
      <c r="BC469" s="1005"/>
      <c r="BD469" s="1005"/>
      <c r="BE469" s="204"/>
      <c r="BF469" s="205" t="s">
        <v>487</v>
      </c>
      <c r="BG469" s="204"/>
      <c r="BH469" s="204" t="s">
        <v>407</v>
      </c>
      <c r="BI469" s="204"/>
      <c r="BJ469" s="204"/>
      <c r="BK469" s="206"/>
    </row>
    <row r="470" spans="1:63" s="164" customFormat="1" ht="46.5" customHeight="1">
      <c r="A470" s="185"/>
      <c r="B470" s="193"/>
      <c r="C470" s="251" t="s">
        <v>411</v>
      </c>
      <c r="D470" s="183" t="s">
        <v>882</v>
      </c>
      <c r="E470" s="184"/>
      <c r="F470" s="184"/>
      <c r="G470" s="184"/>
      <c r="H470" s="184"/>
      <c r="I470" s="184"/>
      <c r="J470" s="184"/>
      <c r="K470" s="184"/>
      <c r="L470" s="193"/>
      <c r="M470" s="1005" t="s">
        <v>883</v>
      </c>
      <c r="N470" s="1005"/>
      <c r="O470" s="1005"/>
      <c r="P470" s="1005"/>
      <c r="Q470" s="1005"/>
      <c r="R470" s="1005"/>
      <c r="S470" s="1005"/>
      <c r="T470" s="1005"/>
      <c r="U470" s="1005"/>
      <c r="V470" s="1005"/>
      <c r="W470" s="1005"/>
      <c r="X470" s="1005"/>
      <c r="Y470" s="1005"/>
      <c r="Z470" s="1005"/>
      <c r="AA470" s="1005"/>
      <c r="AB470" s="1005"/>
      <c r="AC470" s="1005"/>
      <c r="AD470" s="1005"/>
      <c r="AE470" s="1005"/>
      <c r="AF470" s="1005"/>
      <c r="AG470" s="1005"/>
      <c r="AH470" s="1005"/>
      <c r="AI470" s="1005"/>
      <c r="AJ470" s="1005"/>
      <c r="AK470" s="1005"/>
      <c r="AL470" s="1005"/>
      <c r="AM470" s="1005"/>
      <c r="AN470" s="1005"/>
      <c r="AO470" s="1005"/>
      <c r="AP470" s="1005"/>
      <c r="AQ470" s="1005"/>
      <c r="AR470" s="1005"/>
      <c r="AS470" s="1005"/>
      <c r="AT470" s="1005"/>
      <c r="AU470" s="1005"/>
      <c r="AV470" s="1005"/>
      <c r="AW470" s="1005"/>
      <c r="AX470" s="1005"/>
      <c r="AY470" s="1005"/>
      <c r="AZ470" s="1005"/>
      <c r="BA470" s="1005"/>
      <c r="BB470" s="1005"/>
      <c r="BC470" s="1005"/>
      <c r="BD470" s="1005"/>
      <c r="BE470" s="205" t="s">
        <v>489</v>
      </c>
      <c r="BF470" s="205" t="s">
        <v>487</v>
      </c>
      <c r="BG470" s="204"/>
      <c r="BH470" s="204" t="s">
        <v>407</v>
      </c>
      <c r="BI470" s="205" t="s">
        <v>408</v>
      </c>
      <c r="BJ470" s="204"/>
      <c r="BK470" s="206"/>
    </row>
    <row r="471" spans="1:63" s="164" customFormat="1" ht="15.75" customHeight="1">
      <c r="A471" s="185"/>
      <c r="B471" s="193"/>
      <c r="C471" s="251" t="s">
        <v>411</v>
      </c>
      <c r="D471" s="183" t="s">
        <v>884</v>
      </c>
      <c r="E471" s="184"/>
      <c r="F471" s="184"/>
      <c r="G471" s="184"/>
      <c r="H471" s="184"/>
      <c r="I471" s="184"/>
      <c r="J471" s="184"/>
      <c r="K471" s="184"/>
      <c r="L471" s="193"/>
      <c r="M471" s="1005" t="s">
        <v>885</v>
      </c>
      <c r="N471" s="1005"/>
      <c r="O471" s="1005"/>
      <c r="P471" s="1005"/>
      <c r="Q471" s="1005"/>
      <c r="R471" s="1005"/>
      <c r="S471" s="1005"/>
      <c r="T471" s="1005"/>
      <c r="U471" s="1005"/>
      <c r="V471" s="1005"/>
      <c r="W471" s="1005"/>
      <c r="X471" s="1005"/>
      <c r="Y471" s="1005"/>
      <c r="Z471" s="1005"/>
      <c r="AA471" s="1005"/>
      <c r="AB471" s="1005"/>
      <c r="AC471" s="1005"/>
      <c r="AD471" s="1005"/>
      <c r="AE471" s="1005"/>
      <c r="AF471" s="1005"/>
      <c r="AG471" s="1005"/>
      <c r="AH471" s="1005"/>
      <c r="AI471" s="1005"/>
      <c r="AJ471" s="1005"/>
      <c r="AK471" s="1005"/>
      <c r="AL471" s="1005"/>
      <c r="AM471" s="1005"/>
      <c r="AN471" s="1005"/>
      <c r="AO471" s="1005"/>
      <c r="AP471" s="1005"/>
      <c r="AQ471" s="1005"/>
      <c r="AR471" s="1005"/>
      <c r="AS471" s="1005"/>
      <c r="AT471" s="1005"/>
      <c r="AU471" s="1005"/>
      <c r="AV471" s="1005"/>
      <c r="AW471" s="1005"/>
      <c r="AX471" s="1005"/>
      <c r="AY471" s="1005"/>
      <c r="AZ471" s="1005"/>
      <c r="BA471" s="1005"/>
      <c r="BB471" s="1005"/>
      <c r="BC471" s="1005"/>
      <c r="BD471" s="1005"/>
      <c r="BE471" s="205" t="s">
        <v>486</v>
      </c>
      <c r="BF471" s="205" t="s">
        <v>487</v>
      </c>
      <c r="BG471" s="204"/>
      <c r="BH471" s="204" t="s">
        <v>407</v>
      </c>
      <c r="BI471" s="205" t="s">
        <v>408</v>
      </c>
      <c r="BJ471" s="204"/>
      <c r="BK471" s="206"/>
    </row>
    <row r="472" spans="1:63" s="164" customFormat="1" ht="15.75" customHeight="1">
      <c r="A472" s="185"/>
      <c r="B472" s="193"/>
      <c r="C472" s="251" t="s">
        <v>411</v>
      </c>
      <c r="D472" s="183" t="s">
        <v>886</v>
      </c>
      <c r="E472" s="184"/>
      <c r="F472" s="184"/>
      <c r="G472" s="184"/>
      <c r="H472" s="184"/>
      <c r="I472" s="184"/>
      <c r="J472" s="184"/>
      <c r="K472" s="184"/>
      <c r="L472" s="193"/>
      <c r="M472" s="1005" t="s">
        <v>885</v>
      </c>
      <c r="N472" s="1005"/>
      <c r="O472" s="1005"/>
      <c r="P472" s="1005"/>
      <c r="Q472" s="1005"/>
      <c r="R472" s="1005"/>
      <c r="S472" s="1005"/>
      <c r="T472" s="1005"/>
      <c r="U472" s="1005"/>
      <c r="V472" s="1005"/>
      <c r="W472" s="1005"/>
      <c r="X472" s="1005"/>
      <c r="Y472" s="1005"/>
      <c r="Z472" s="1005"/>
      <c r="AA472" s="1005"/>
      <c r="AB472" s="1005"/>
      <c r="AC472" s="1005"/>
      <c r="AD472" s="1005"/>
      <c r="AE472" s="1005"/>
      <c r="AF472" s="1005"/>
      <c r="AG472" s="1005"/>
      <c r="AH472" s="1005"/>
      <c r="AI472" s="1005"/>
      <c r="AJ472" s="1005"/>
      <c r="AK472" s="1005"/>
      <c r="AL472" s="1005"/>
      <c r="AM472" s="1005"/>
      <c r="AN472" s="1005"/>
      <c r="AO472" s="1005"/>
      <c r="AP472" s="1005"/>
      <c r="AQ472" s="1005"/>
      <c r="AR472" s="1005"/>
      <c r="AS472" s="1005"/>
      <c r="AT472" s="1005"/>
      <c r="AU472" s="1005"/>
      <c r="AV472" s="1005"/>
      <c r="AW472" s="1005"/>
      <c r="AX472" s="1005"/>
      <c r="AY472" s="1005"/>
      <c r="AZ472" s="1005"/>
      <c r="BA472" s="1005"/>
      <c r="BB472" s="1005"/>
      <c r="BC472" s="1005"/>
      <c r="BD472" s="1005"/>
      <c r="BE472" s="205" t="s">
        <v>486</v>
      </c>
      <c r="BF472" s="205" t="s">
        <v>487</v>
      </c>
      <c r="BG472" s="204"/>
      <c r="BH472" s="204" t="s">
        <v>407</v>
      </c>
      <c r="BI472" s="205" t="s">
        <v>408</v>
      </c>
      <c r="BJ472" s="205" t="s">
        <v>409</v>
      </c>
      <c r="BK472" s="206"/>
    </row>
    <row r="473" spans="1:63" s="164" customFormat="1" ht="15.75" customHeight="1">
      <c r="A473" s="185"/>
      <c r="B473" s="193"/>
      <c r="C473" s="251" t="s">
        <v>411</v>
      </c>
      <c r="D473" s="183" t="s">
        <v>887</v>
      </c>
      <c r="E473" s="184"/>
      <c r="F473" s="184"/>
      <c r="G473" s="184"/>
      <c r="H473" s="184"/>
      <c r="I473" s="184"/>
      <c r="J473" s="184"/>
      <c r="K473" s="184"/>
      <c r="L473" s="193"/>
      <c r="M473" s="1005" t="s">
        <v>885</v>
      </c>
      <c r="N473" s="1005"/>
      <c r="O473" s="1005"/>
      <c r="P473" s="1005"/>
      <c r="Q473" s="1005"/>
      <c r="R473" s="1005"/>
      <c r="S473" s="1005"/>
      <c r="T473" s="1005"/>
      <c r="U473" s="1005"/>
      <c r="V473" s="1005"/>
      <c r="W473" s="1005"/>
      <c r="X473" s="1005"/>
      <c r="Y473" s="1005"/>
      <c r="Z473" s="1005"/>
      <c r="AA473" s="1005"/>
      <c r="AB473" s="1005"/>
      <c r="AC473" s="1005"/>
      <c r="AD473" s="1005"/>
      <c r="AE473" s="1005"/>
      <c r="AF473" s="1005"/>
      <c r="AG473" s="1005"/>
      <c r="AH473" s="1005"/>
      <c r="AI473" s="1005"/>
      <c r="AJ473" s="1005"/>
      <c r="AK473" s="1005"/>
      <c r="AL473" s="1005"/>
      <c r="AM473" s="1005"/>
      <c r="AN473" s="1005"/>
      <c r="AO473" s="1005"/>
      <c r="AP473" s="1005"/>
      <c r="AQ473" s="1005"/>
      <c r="AR473" s="1005"/>
      <c r="AS473" s="1005"/>
      <c r="AT473" s="1005"/>
      <c r="AU473" s="1005"/>
      <c r="AV473" s="1005"/>
      <c r="AW473" s="1005"/>
      <c r="AX473" s="1005"/>
      <c r="AY473" s="1005"/>
      <c r="AZ473" s="1005"/>
      <c r="BA473" s="1005"/>
      <c r="BB473" s="1005"/>
      <c r="BC473" s="1005"/>
      <c r="BD473" s="1005"/>
      <c r="BE473" s="205" t="s">
        <v>486</v>
      </c>
      <c r="BF473" s="205" t="s">
        <v>487</v>
      </c>
      <c r="BG473" s="204"/>
      <c r="BH473" s="204" t="s">
        <v>407</v>
      </c>
      <c r="BI473" s="205" t="s">
        <v>408</v>
      </c>
      <c r="BJ473" s="205" t="s">
        <v>409</v>
      </c>
      <c r="BK473" s="206"/>
    </row>
    <row r="474" spans="1:63" s="164" customFormat="1" ht="15.75" customHeight="1">
      <c r="A474" s="185"/>
      <c r="B474" s="193"/>
      <c r="C474" s="184"/>
      <c r="D474" s="183" t="s">
        <v>888</v>
      </c>
      <c r="E474" s="184"/>
      <c r="F474" s="184"/>
      <c r="G474" s="184"/>
      <c r="H474" s="184"/>
      <c r="I474" s="184"/>
      <c r="J474" s="184"/>
      <c r="K474" s="184"/>
      <c r="L474" s="193"/>
      <c r="M474" s="1005"/>
      <c r="N474" s="1005"/>
      <c r="O474" s="1005"/>
      <c r="P474" s="1005"/>
      <c r="Q474" s="1005"/>
      <c r="R474" s="1005"/>
      <c r="S474" s="1005"/>
      <c r="T474" s="1005"/>
      <c r="U474" s="1005"/>
      <c r="V474" s="1005"/>
      <c r="W474" s="1005"/>
      <c r="X474" s="1005"/>
      <c r="Y474" s="1005"/>
      <c r="Z474" s="1005"/>
      <c r="AA474" s="1005"/>
      <c r="AB474" s="1005"/>
      <c r="AC474" s="1005"/>
      <c r="AD474" s="1005"/>
      <c r="AE474" s="1005"/>
      <c r="AF474" s="1005"/>
      <c r="AG474" s="1005"/>
      <c r="AH474" s="1005"/>
      <c r="AI474" s="1005"/>
      <c r="AJ474" s="1005"/>
      <c r="AK474" s="1005"/>
      <c r="AL474" s="1005"/>
      <c r="AM474" s="1005"/>
      <c r="AN474" s="1005"/>
      <c r="AO474" s="1005"/>
      <c r="AP474" s="1005"/>
      <c r="AQ474" s="1005"/>
      <c r="AR474" s="1005"/>
      <c r="AS474" s="1005"/>
      <c r="AT474" s="1005"/>
      <c r="AU474" s="1005"/>
      <c r="AV474" s="1005"/>
      <c r="AW474" s="1005"/>
      <c r="AX474" s="1005"/>
      <c r="AY474" s="1005"/>
      <c r="AZ474" s="1005"/>
      <c r="BA474" s="1005"/>
      <c r="BB474" s="1005"/>
      <c r="BC474" s="1005"/>
      <c r="BD474" s="1005"/>
      <c r="BE474" s="204"/>
      <c r="BF474" s="205" t="s">
        <v>487</v>
      </c>
      <c r="BG474" s="204"/>
      <c r="BH474" s="204" t="s">
        <v>407</v>
      </c>
      <c r="BI474" s="204"/>
      <c r="BJ474" s="204"/>
      <c r="BK474" s="206"/>
    </row>
    <row r="475" spans="1:63" s="164" customFormat="1" ht="15.75" customHeight="1">
      <c r="A475" s="185"/>
      <c r="B475" s="193"/>
      <c r="C475" s="251" t="s">
        <v>411</v>
      </c>
      <c r="D475" s="183" t="s">
        <v>889</v>
      </c>
      <c r="E475" s="184"/>
      <c r="F475" s="184"/>
      <c r="G475" s="184"/>
      <c r="H475" s="184"/>
      <c r="I475" s="184"/>
      <c r="J475" s="184"/>
      <c r="K475" s="184"/>
      <c r="L475" s="193"/>
      <c r="M475" s="1005" t="s">
        <v>890</v>
      </c>
      <c r="N475" s="1005"/>
      <c r="O475" s="1005"/>
      <c r="P475" s="1005"/>
      <c r="Q475" s="1005"/>
      <c r="R475" s="1005"/>
      <c r="S475" s="1005"/>
      <c r="T475" s="1005"/>
      <c r="U475" s="1005"/>
      <c r="V475" s="1005"/>
      <c r="W475" s="1005"/>
      <c r="X475" s="1005"/>
      <c r="Y475" s="1005"/>
      <c r="Z475" s="1005"/>
      <c r="AA475" s="1005"/>
      <c r="AB475" s="1005"/>
      <c r="AC475" s="1005"/>
      <c r="AD475" s="1005"/>
      <c r="AE475" s="1005"/>
      <c r="AF475" s="1005"/>
      <c r="AG475" s="1005"/>
      <c r="AH475" s="1005"/>
      <c r="AI475" s="1005"/>
      <c r="AJ475" s="1005"/>
      <c r="AK475" s="1005"/>
      <c r="AL475" s="1005"/>
      <c r="AM475" s="1005"/>
      <c r="AN475" s="1005"/>
      <c r="AO475" s="1005"/>
      <c r="AP475" s="1005"/>
      <c r="AQ475" s="1005"/>
      <c r="AR475" s="1005"/>
      <c r="AS475" s="1005"/>
      <c r="AT475" s="1005"/>
      <c r="AU475" s="1005"/>
      <c r="AV475" s="1005"/>
      <c r="AW475" s="1005"/>
      <c r="AX475" s="1005"/>
      <c r="AY475" s="1005"/>
      <c r="AZ475" s="1005"/>
      <c r="BA475" s="1005"/>
      <c r="BB475" s="1005"/>
      <c r="BC475" s="1005"/>
      <c r="BD475" s="1005"/>
      <c r="BE475" s="204"/>
      <c r="BF475" s="205" t="s">
        <v>487</v>
      </c>
      <c r="BG475" s="204"/>
      <c r="BH475" s="204" t="s">
        <v>407</v>
      </c>
      <c r="BI475" s="205" t="s">
        <v>408</v>
      </c>
      <c r="BJ475" s="204"/>
      <c r="BK475" s="206"/>
    </row>
    <row r="476" spans="1:63" s="164" customFormat="1" ht="15.75" customHeight="1">
      <c r="A476" s="185"/>
      <c r="B476" s="193"/>
      <c r="C476" s="251" t="s">
        <v>411</v>
      </c>
      <c r="D476" s="183" t="s">
        <v>891</v>
      </c>
      <c r="E476" s="184"/>
      <c r="F476" s="184"/>
      <c r="G476" s="184"/>
      <c r="H476" s="184"/>
      <c r="I476" s="184"/>
      <c r="J476" s="184"/>
      <c r="K476" s="184"/>
      <c r="L476" s="193"/>
      <c r="M476" s="1005" t="s">
        <v>892</v>
      </c>
      <c r="N476" s="1005"/>
      <c r="O476" s="1005"/>
      <c r="P476" s="1005"/>
      <c r="Q476" s="1005"/>
      <c r="R476" s="1005"/>
      <c r="S476" s="1005"/>
      <c r="T476" s="1005"/>
      <c r="U476" s="1005"/>
      <c r="V476" s="1005"/>
      <c r="W476" s="1005"/>
      <c r="X476" s="1005"/>
      <c r="Y476" s="1005"/>
      <c r="Z476" s="1005"/>
      <c r="AA476" s="1005"/>
      <c r="AB476" s="1005"/>
      <c r="AC476" s="1005"/>
      <c r="AD476" s="1005"/>
      <c r="AE476" s="1005"/>
      <c r="AF476" s="1005"/>
      <c r="AG476" s="1005"/>
      <c r="AH476" s="1005"/>
      <c r="AI476" s="1005"/>
      <c r="AJ476" s="1005"/>
      <c r="AK476" s="1005"/>
      <c r="AL476" s="1005"/>
      <c r="AM476" s="1005"/>
      <c r="AN476" s="1005"/>
      <c r="AO476" s="1005"/>
      <c r="AP476" s="1005"/>
      <c r="AQ476" s="1005"/>
      <c r="AR476" s="1005"/>
      <c r="AS476" s="1005"/>
      <c r="AT476" s="1005"/>
      <c r="AU476" s="1005"/>
      <c r="AV476" s="1005"/>
      <c r="AW476" s="1005"/>
      <c r="AX476" s="1005"/>
      <c r="AY476" s="1005"/>
      <c r="AZ476" s="1005"/>
      <c r="BA476" s="1005"/>
      <c r="BB476" s="1005"/>
      <c r="BC476" s="1005"/>
      <c r="BD476" s="1005"/>
      <c r="BE476" s="204"/>
      <c r="BF476" s="205" t="s">
        <v>487</v>
      </c>
      <c r="BG476" s="204"/>
      <c r="BH476" s="204" t="s">
        <v>407</v>
      </c>
      <c r="BI476" s="205" t="s">
        <v>408</v>
      </c>
      <c r="BJ476" s="204"/>
      <c r="BK476" s="206"/>
    </row>
    <row r="477" spans="1:63" s="164" customFormat="1" ht="15.75" customHeight="1">
      <c r="A477" s="185"/>
      <c r="B477" s="193"/>
      <c r="C477" s="251" t="s">
        <v>411</v>
      </c>
      <c r="D477" s="183" t="s">
        <v>893</v>
      </c>
      <c r="E477" s="184"/>
      <c r="F477" s="184"/>
      <c r="G477" s="184"/>
      <c r="H477" s="184"/>
      <c r="I477" s="184"/>
      <c r="J477" s="184"/>
      <c r="K477" s="184"/>
      <c r="L477" s="193"/>
      <c r="M477" s="1005" t="s">
        <v>894</v>
      </c>
      <c r="N477" s="1005"/>
      <c r="O477" s="1005"/>
      <c r="P477" s="1005"/>
      <c r="Q477" s="1005"/>
      <c r="R477" s="1005"/>
      <c r="S477" s="1005"/>
      <c r="T477" s="1005"/>
      <c r="U477" s="1005"/>
      <c r="V477" s="1005"/>
      <c r="W477" s="1005"/>
      <c r="X477" s="1005"/>
      <c r="Y477" s="1005"/>
      <c r="Z477" s="1005"/>
      <c r="AA477" s="1005"/>
      <c r="AB477" s="1005"/>
      <c r="AC477" s="1005"/>
      <c r="AD477" s="1005"/>
      <c r="AE477" s="1005"/>
      <c r="AF477" s="1005"/>
      <c r="AG477" s="1005"/>
      <c r="AH477" s="1005"/>
      <c r="AI477" s="1005"/>
      <c r="AJ477" s="1005"/>
      <c r="AK477" s="1005"/>
      <c r="AL477" s="1005"/>
      <c r="AM477" s="1005"/>
      <c r="AN477" s="1005"/>
      <c r="AO477" s="1005"/>
      <c r="AP477" s="1005"/>
      <c r="AQ477" s="1005"/>
      <c r="AR477" s="1005"/>
      <c r="AS477" s="1005"/>
      <c r="AT477" s="1005"/>
      <c r="AU477" s="1005"/>
      <c r="AV477" s="1005"/>
      <c r="AW477" s="1005"/>
      <c r="AX477" s="1005"/>
      <c r="AY477" s="1005"/>
      <c r="AZ477" s="1005"/>
      <c r="BA477" s="1005"/>
      <c r="BB477" s="1005"/>
      <c r="BC477" s="1005"/>
      <c r="BD477" s="1005"/>
      <c r="BE477" s="204"/>
      <c r="BF477" s="205" t="s">
        <v>487</v>
      </c>
      <c r="BG477" s="204"/>
      <c r="BH477" s="204" t="s">
        <v>407</v>
      </c>
      <c r="BI477" s="205" t="s">
        <v>408</v>
      </c>
      <c r="BJ477" s="204"/>
      <c r="BK477" s="206"/>
    </row>
    <row r="478" spans="1:63" s="164" customFormat="1" ht="15.75" customHeight="1">
      <c r="A478" s="185"/>
      <c r="B478" s="193"/>
      <c r="C478" s="251" t="s">
        <v>411</v>
      </c>
      <c r="D478" s="183" t="s">
        <v>895</v>
      </c>
      <c r="E478" s="184"/>
      <c r="F478" s="184"/>
      <c r="G478" s="184"/>
      <c r="H478" s="184"/>
      <c r="I478" s="184"/>
      <c r="J478" s="184"/>
      <c r="K478" s="184"/>
      <c r="L478" s="193"/>
      <c r="M478" s="1005" t="s">
        <v>896</v>
      </c>
      <c r="N478" s="1005"/>
      <c r="O478" s="1005"/>
      <c r="P478" s="1005"/>
      <c r="Q478" s="1005"/>
      <c r="R478" s="1005"/>
      <c r="S478" s="1005"/>
      <c r="T478" s="1005"/>
      <c r="U478" s="1005"/>
      <c r="V478" s="1005"/>
      <c r="W478" s="1005"/>
      <c r="X478" s="1005"/>
      <c r="Y478" s="1005"/>
      <c r="Z478" s="1005"/>
      <c r="AA478" s="1005"/>
      <c r="AB478" s="1005"/>
      <c r="AC478" s="1005"/>
      <c r="AD478" s="1005"/>
      <c r="AE478" s="1005"/>
      <c r="AF478" s="1005"/>
      <c r="AG478" s="1005"/>
      <c r="AH478" s="1005"/>
      <c r="AI478" s="1005"/>
      <c r="AJ478" s="1005"/>
      <c r="AK478" s="1005"/>
      <c r="AL478" s="1005"/>
      <c r="AM478" s="1005"/>
      <c r="AN478" s="1005"/>
      <c r="AO478" s="1005"/>
      <c r="AP478" s="1005"/>
      <c r="AQ478" s="1005"/>
      <c r="AR478" s="1005"/>
      <c r="AS478" s="1005"/>
      <c r="AT478" s="1005"/>
      <c r="AU478" s="1005"/>
      <c r="AV478" s="1005"/>
      <c r="AW478" s="1005"/>
      <c r="AX478" s="1005"/>
      <c r="AY478" s="1005"/>
      <c r="AZ478" s="1005"/>
      <c r="BA478" s="1005"/>
      <c r="BB478" s="1005"/>
      <c r="BC478" s="1005"/>
      <c r="BD478" s="1005"/>
      <c r="BE478" s="204"/>
      <c r="BF478" s="205" t="s">
        <v>487</v>
      </c>
      <c r="BG478" s="204"/>
      <c r="BH478" s="204" t="s">
        <v>407</v>
      </c>
      <c r="BI478" s="205" t="s">
        <v>408</v>
      </c>
      <c r="BJ478" s="204"/>
      <c r="BK478" s="206"/>
    </row>
    <row r="479" spans="1:63" s="164" customFormat="1" ht="15.75" customHeight="1">
      <c r="A479" s="185"/>
      <c r="B479" s="193"/>
      <c r="C479" s="251" t="s">
        <v>411</v>
      </c>
      <c r="D479" s="183" t="s">
        <v>897</v>
      </c>
      <c r="E479" s="184"/>
      <c r="F479" s="184"/>
      <c r="G479" s="184"/>
      <c r="H479" s="184"/>
      <c r="I479" s="184"/>
      <c r="J479" s="184"/>
      <c r="K479" s="184"/>
      <c r="L479" s="193"/>
      <c r="M479" s="1005" t="s">
        <v>898</v>
      </c>
      <c r="N479" s="1005"/>
      <c r="O479" s="1005"/>
      <c r="P479" s="1005"/>
      <c r="Q479" s="1005"/>
      <c r="R479" s="1005"/>
      <c r="S479" s="1005"/>
      <c r="T479" s="1005"/>
      <c r="U479" s="1005"/>
      <c r="V479" s="1005"/>
      <c r="W479" s="1005"/>
      <c r="X479" s="1005"/>
      <c r="Y479" s="1005"/>
      <c r="Z479" s="1005"/>
      <c r="AA479" s="1005"/>
      <c r="AB479" s="1005"/>
      <c r="AC479" s="1005"/>
      <c r="AD479" s="1005"/>
      <c r="AE479" s="1005"/>
      <c r="AF479" s="1005"/>
      <c r="AG479" s="1005"/>
      <c r="AH479" s="1005"/>
      <c r="AI479" s="1005"/>
      <c r="AJ479" s="1005"/>
      <c r="AK479" s="1005"/>
      <c r="AL479" s="1005"/>
      <c r="AM479" s="1005"/>
      <c r="AN479" s="1005"/>
      <c r="AO479" s="1005"/>
      <c r="AP479" s="1005"/>
      <c r="AQ479" s="1005"/>
      <c r="AR479" s="1005"/>
      <c r="AS479" s="1005"/>
      <c r="AT479" s="1005"/>
      <c r="AU479" s="1005"/>
      <c r="AV479" s="1005"/>
      <c r="AW479" s="1005"/>
      <c r="AX479" s="1005"/>
      <c r="AY479" s="1005"/>
      <c r="AZ479" s="1005"/>
      <c r="BA479" s="1005"/>
      <c r="BB479" s="1005"/>
      <c r="BC479" s="1005"/>
      <c r="BD479" s="1005"/>
      <c r="BE479" s="204"/>
      <c r="BF479" s="205" t="s">
        <v>487</v>
      </c>
      <c r="BG479" s="204"/>
      <c r="BH479" s="204" t="s">
        <v>407</v>
      </c>
      <c r="BI479" s="205" t="s">
        <v>408</v>
      </c>
      <c r="BJ479" s="205" t="s">
        <v>409</v>
      </c>
      <c r="BK479" s="206"/>
    </row>
    <row r="480" spans="1:63" s="164" customFormat="1" ht="15.75" customHeight="1">
      <c r="A480" s="185"/>
      <c r="B480" s="193"/>
      <c r="C480" s="251" t="s">
        <v>411</v>
      </c>
      <c r="D480" s="183" t="s">
        <v>899</v>
      </c>
      <c r="E480" s="184"/>
      <c r="F480" s="184"/>
      <c r="G480" s="184"/>
      <c r="H480" s="184"/>
      <c r="I480" s="184"/>
      <c r="J480" s="184"/>
      <c r="K480" s="184"/>
      <c r="L480" s="193"/>
      <c r="M480" s="1005" t="s">
        <v>900</v>
      </c>
      <c r="N480" s="1005"/>
      <c r="O480" s="1005"/>
      <c r="P480" s="1005"/>
      <c r="Q480" s="1005"/>
      <c r="R480" s="1005"/>
      <c r="S480" s="1005"/>
      <c r="T480" s="1005"/>
      <c r="U480" s="1005"/>
      <c r="V480" s="1005"/>
      <c r="W480" s="1005"/>
      <c r="X480" s="1005"/>
      <c r="Y480" s="1005"/>
      <c r="Z480" s="1005"/>
      <c r="AA480" s="1005"/>
      <c r="AB480" s="1005"/>
      <c r="AC480" s="1005"/>
      <c r="AD480" s="1005"/>
      <c r="AE480" s="1005"/>
      <c r="AF480" s="1005"/>
      <c r="AG480" s="1005"/>
      <c r="AH480" s="1005"/>
      <c r="AI480" s="1005"/>
      <c r="AJ480" s="1005"/>
      <c r="AK480" s="1005"/>
      <c r="AL480" s="1005"/>
      <c r="AM480" s="1005"/>
      <c r="AN480" s="1005"/>
      <c r="AO480" s="1005"/>
      <c r="AP480" s="1005"/>
      <c r="AQ480" s="1005"/>
      <c r="AR480" s="1005"/>
      <c r="AS480" s="1005"/>
      <c r="AT480" s="1005"/>
      <c r="AU480" s="1005"/>
      <c r="AV480" s="1005"/>
      <c r="AW480" s="1005"/>
      <c r="AX480" s="1005"/>
      <c r="AY480" s="1005"/>
      <c r="AZ480" s="1005"/>
      <c r="BA480" s="1005"/>
      <c r="BB480" s="1005"/>
      <c r="BC480" s="1005"/>
      <c r="BD480" s="1005"/>
      <c r="BE480" s="204"/>
      <c r="BF480" s="205" t="s">
        <v>487</v>
      </c>
      <c r="BG480" s="204"/>
      <c r="BH480" s="204" t="s">
        <v>407</v>
      </c>
      <c r="BI480" s="205" t="s">
        <v>408</v>
      </c>
      <c r="BJ480" s="205" t="s">
        <v>409</v>
      </c>
      <c r="BK480" s="206"/>
    </row>
    <row r="481" spans="1:63" s="164" customFormat="1" ht="44.25" customHeight="1">
      <c r="A481" s="185"/>
      <c r="B481" s="193"/>
      <c r="C481" s="251" t="s">
        <v>411</v>
      </c>
      <c r="D481" s="183" t="s">
        <v>901</v>
      </c>
      <c r="E481" s="184"/>
      <c r="F481" s="184"/>
      <c r="G481" s="184"/>
      <c r="H481" s="184"/>
      <c r="I481" s="184"/>
      <c r="J481" s="184"/>
      <c r="K481" s="184"/>
      <c r="L481" s="193"/>
      <c r="M481" s="1005" t="s">
        <v>902</v>
      </c>
      <c r="N481" s="1005"/>
      <c r="O481" s="1005"/>
      <c r="P481" s="1005"/>
      <c r="Q481" s="1005"/>
      <c r="R481" s="1005"/>
      <c r="S481" s="1005"/>
      <c r="T481" s="1005"/>
      <c r="U481" s="1005"/>
      <c r="V481" s="1005"/>
      <c r="W481" s="1005"/>
      <c r="X481" s="1005"/>
      <c r="Y481" s="1005"/>
      <c r="Z481" s="1005"/>
      <c r="AA481" s="1005"/>
      <c r="AB481" s="1005"/>
      <c r="AC481" s="1005"/>
      <c r="AD481" s="1005"/>
      <c r="AE481" s="1005"/>
      <c r="AF481" s="1005"/>
      <c r="AG481" s="1005"/>
      <c r="AH481" s="1005"/>
      <c r="AI481" s="1005"/>
      <c r="AJ481" s="1005"/>
      <c r="AK481" s="1005"/>
      <c r="AL481" s="1005"/>
      <c r="AM481" s="1005"/>
      <c r="AN481" s="1005"/>
      <c r="AO481" s="1005"/>
      <c r="AP481" s="1005"/>
      <c r="AQ481" s="1005"/>
      <c r="AR481" s="1005"/>
      <c r="AS481" s="1005"/>
      <c r="AT481" s="1005"/>
      <c r="AU481" s="1005"/>
      <c r="AV481" s="1005"/>
      <c r="AW481" s="1005"/>
      <c r="AX481" s="1005"/>
      <c r="AY481" s="1005"/>
      <c r="AZ481" s="1005"/>
      <c r="BA481" s="1005"/>
      <c r="BB481" s="1005"/>
      <c r="BC481" s="1005"/>
      <c r="BD481" s="1005"/>
      <c r="BE481" s="205" t="s">
        <v>489</v>
      </c>
      <c r="BF481" s="205" t="s">
        <v>487</v>
      </c>
      <c r="BG481" s="204"/>
      <c r="BH481" s="204" t="s">
        <v>407</v>
      </c>
      <c r="BI481" s="205" t="s">
        <v>408</v>
      </c>
      <c r="BJ481" s="204"/>
      <c r="BK481" s="206"/>
    </row>
    <row r="482" spans="1:63" s="164" customFormat="1" ht="15.75" customHeight="1">
      <c r="A482" s="185"/>
      <c r="B482" s="193"/>
      <c r="C482" s="184"/>
      <c r="D482" s="183" t="s">
        <v>903</v>
      </c>
      <c r="E482" s="184"/>
      <c r="F482" s="184"/>
      <c r="G482" s="184"/>
      <c r="H482" s="184"/>
      <c r="I482" s="184"/>
      <c r="J482" s="184"/>
      <c r="K482" s="184"/>
      <c r="L482" s="193"/>
      <c r="M482" s="1005"/>
      <c r="N482" s="1005"/>
      <c r="O482" s="1005"/>
      <c r="P482" s="1005"/>
      <c r="Q482" s="1005"/>
      <c r="R482" s="1005"/>
      <c r="S482" s="1005"/>
      <c r="T482" s="1005"/>
      <c r="U482" s="1005"/>
      <c r="V482" s="1005"/>
      <c r="W482" s="1005"/>
      <c r="X482" s="1005"/>
      <c r="Y482" s="1005"/>
      <c r="Z482" s="1005"/>
      <c r="AA482" s="1005"/>
      <c r="AB482" s="1005"/>
      <c r="AC482" s="1005"/>
      <c r="AD482" s="1005"/>
      <c r="AE482" s="1005"/>
      <c r="AF482" s="1005"/>
      <c r="AG482" s="1005"/>
      <c r="AH482" s="1005"/>
      <c r="AI482" s="1005"/>
      <c r="AJ482" s="1005"/>
      <c r="AK482" s="1005"/>
      <c r="AL482" s="1005"/>
      <c r="AM482" s="1005"/>
      <c r="AN482" s="1005"/>
      <c r="AO482" s="1005"/>
      <c r="AP482" s="1005"/>
      <c r="AQ482" s="1005"/>
      <c r="AR482" s="1005"/>
      <c r="AS482" s="1005"/>
      <c r="AT482" s="1005"/>
      <c r="AU482" s="1005"/>
      <c r="AV482" s="1005"/>
      <c r="AW482" s="1005"/>
      <c r="AX482" s="1005"/>
      <c r="AY482" s="1005"/>
      <c r="AZ482" s="1005"/>
      <c r="BA482" s="1005"/>
      <c r="BB482" s="1005"/>
      <c r="BC482" s="1005"/>
      <c r="BD482" s="1005"/>
      <c r="BE482" s="204"/>
      <c r="BF482" s="205" t="s">
        <v>487</v>
      </c>
      <c r="BG482" s="204"/>
      <c r="BH482" s="204" t="s">
        <v>407</v>
      </c>
      <c r="BI482" s="204"/>
      <c r="BJ482" s="204"/>
      <c r="BK482" s="206"/>
    </row>
    <row r="483" spans="1:63" s="164" customFormat="1" ht="44.25" customHeight="1">
      <c r="A483" s="185"/>
      <c r="B483" s="193"/>
      <c r="C483" s="251" t="s">
        <v>411</v>
      </c>
      <c r="D483" s="183" t="s">
        <v>904</v>
      </c>
      <c r="E483" s="184"/>
      <c r="F483" s="184"/>
      <c r="G483" s="184"/>
      <c r="H483" s="184"/>
      <c r="I483" s="184"/>
      <c r="J483" s="184"/>
      <c r="K483" s="184"/>
      <c r="L483" s="193"/>
      <c r="M483" s="1005" t="s">
        <v>905</v>
      </c>
      <c r="N483" s="1005"/>
      <c r="O483" s="1005"/>
      <c r="P483" s="1005"/>
      <c r="Q483" s="1005"/>
      <c r="R483" s="1005"/>
      <c r="S483" s="1005"/>
      <c r="T483" s="1005"/>
      <c r="U483" s="1005"/>
      <c r="V483" s="1005"/>
      <c r="W483" s="1005"/>
      <c r="X483" s="1005"/>
      <c r="Y483" s="1005"/>
      <c r="Z483" s="1005"/>
      <c r="AA483" s="1005"/>
      <c r="AB483" s="1005"/>
      <c r="AC483" s="1005"/>
      <c r="AD483" s="1005"/>
      <c r="AE483" s="1005"/>
      <c r="AF483" s="1005"/>
      <c r="AG483" s="1005"/>
      <c r="AH483" s="1005"/>
      <c r="AI483" s="1005"/>
      <c r="AJ483" s="1005"/>
      <c r="AK483" s="1005"/>
      <c r="AL483" s="1005"/>
      <c r="AM483" s="1005"/>
      <c r="AN483" s="1005"/>
      <c r="AO483" s="1005"/>
      <c r="AP483" s="1005"/>
      <c r="AQ483" s="1005"/>
      <c r="AR483" s="1005"/>
      <c r="AS483" s="1005"/>
      <c r="AT483" s="1005"/>
      <c r="AU483" s="1005"/>
      <c r="AV483" s="1005"/>
      <c r="AW483" s="1005"/>
      <c r="AX483" s="1005"/>
      <c r="AY483" s="1005"/>
      <c r="AZ483" s="1005"/>
      <c r="BA483" s="1005"/>
      <c r="BB483" s="1005"/>
      <c r="BC483" s="1005"/>
      <c r="BD483" s="1005"/>
      <c r="BE483" s="205" t="s">
        <v>486</v>
      </c>
      <c r="BF483" s="205" t="s">
        <v>487</v>
      </c>
      <c r="BG483" s="204"/>
      <c r="BH483" s="204" t="s">
        <v>407</v>
      </c>
      <c r="BI483" s="205" t="s">
        <v>408</v>
      </c>
      <c r="BJ483" s="204"/>
      <c r="BK483" s="206"/>
    </row>
    <row r="484" spans="1:63" s="164" customFormat="1" ht="15.75" customHeight="1">
      <c r="A484" s="185"/>
      <c r="B484" s="193"/>
      <c r="C484" s="184"/>
      <c r="D484" s="183" t="s">
        <v>906</v>
      </c>
      <c r="E484" s="184"/>
      <c r="F484" s="184"/>
      <c r="G484" s="184"/>
      <c r="H484" s="184"/>
      <c r="I484" s="184"/>
      <c r="J484" s="184"/>
      <c r="K484" s="184"/>
      <c r="L484" s="193"/>
      <c r="M484" s="1005"/>
      <c r="N484" s="1005"/>
      <c r="O484" s="1005"/>
      <c r="P484" s="1005"/>
      <c r="Q484" s="1005"/>
      <c r="R484" s="1005"/>
      <c r="S484" s="1005"/>
      <c r="T484" s="1005"/>
      <c r="U484" s="1005"/>
      <c r="V484" s="1005"/>
      <c r="W484" s="1005"/>
      <c r="X484" s="1005"/>
      <c r="Y484" s="1005"/>
      <c r="Z484" s="1005"/>
      <c r="AA484" s="1005"/>
      <c r="AB484" s="1005"/>
      <c r="AC484" s="1005"/>
      <c r="AD484" s="1005"/>
      <c r="AE484" s="1005"/>
      <c r="AF484" s="1005"/>
      <c r="AG484" s="1005"/>
      <c r="AH484" s="1005"/>
      <c r="AI484" s="1005"/>
      <c r="AJ484" s="1005"/>
      <c r="AK484" s="1005"/>
      <c r="AL484" s="1005"/>
      <c r="AM484" s="1005"/>
      <c r="AN484" s="1005"/>
      <c r="AO484" s="1005"/>
      <c r="AP484" s="1005"/>
      <c r="AQ484" s="1005"/>
      <c r="AR484" s="1005"/>
      <c r="AS484" s="1005"/>
      <c r="AT484" s="1005"/>
      <c r="AU484" s="1005"/>
      <c r="AV484" s="1005"/>
      <c r="AW484" s="1005"/>
      <c r="AX484" s="1005"/>
      <c r="AY484" s="1005"/>
      <c r="AZ484" s="1005"/>
      <c r="BA484" s="1005"/>
      <c r="BB484" s="1005"/>
      <c r="BC484" s="1005"/>
      <c r="BD484" s="1005"/>
      <c r="BE484" s="204"/>
      <c r="BF484" s="205" t="s">
        <v>487</v>
      </c>
      <c r="BG484" s="204"/>
      <c r="BH484" s="204" t="s">
        <v>407</v>
      </c>
      <c r="BI484" s="204"/>
      <c r="BJ484" s="204"/>
      <c r="BK484" s="206"/>
    </row>
    <row r="485" spans="1:63" s="164" customFormat="1" ht="44.25" customHeight="1">
      <c r="A485" s="185"/>
      <c r="B485" s="193"/>
      <c r="C485" s="251" t="s">
        <v>411</v>
      </c>
      <c r="D485" s="183" t="s">
        <v>907</v>
      </c>
      <c r="E485" s="184"/>
      <c r="F485" s="184"/>
      <c r="G485" s="184"/>
      <c r="H485" s="184"/>
      <c r="I485" s="184"/>
      <c r="J485" s="184"/>
      <c r="K485" s="184"/>
      <c r="L485" s="193"/>
      <c r="M485" s="1010" t="s">
        <v>908</v>
      </c>
      <c r="N485" s="1010"/>
      <c r="O485" s="1010"/>
      <c r="P485" s="1010"/>
      <c r="Q485" s="1010"/>
      <c r="R485" s="1010"/>
      <c r="S485" s="1010"/>
      <c r="T485" s="1010"/>
      <c r="U485" s="1010"/>
      <c r="V485" s="1010"/>
      <c r="W485" s="1010"/>
      <c r="X485" s="1010"/>
      <c r="Y485" s="1010"/>
      <c r="Z485" s="1010"/>
      <c r="AA485" s="1010"/>
      <c r="AB485" s="1010"/>
      <c r="AC485" s="1010"/>
      <c r="AD485" s="1010"/>
      <c r="AE485" s="1010"/>
      <c r="AF485" s="1010"/>
      <c r="AG485" s="1010"/>
      <c r="AH485" s="1010"/>
      <c r="AI485" s="1010"/>
      <c r="AJ485" s="1010"/>
      <c r="AK485" s="1010"/>
      <c r="AL485" s="1010"/>
      <c r="AM485" s="1010"/>
      <c r="AN485" s="1010"/>
      <c r="AO485" s="1010"/>
      <c r="AP485" s="1010"/>
      <c r="AQ485" s="1010"/>
      <c r="AR485" s="1010"/>
      <c r="AS485" s="1010"/>
      <c r="AT485" s="1010"/>
      <c r="AU485" s="1010"/>
      <c r="AV485" s="1010"/>
      <c r="AW485" s="1010"/>
      <c r="AX485" s="1010"/>
      <c r="AY485" s="1010"/>
      <c r="AZ485" s="1010"/>
      <c r="BA485" s="1010"/>
      <c r="BB485" s="1010"/>
      <c r="BC485" s="1010"/>
      <c r="BD485" s="1010"/>
      <c r="BE485" s="205" t="s">
        <v>486</v>
      </c>
      <c r="BF485" s="205" t="s">
        <v>487</v>
      </c>
      <c r="BG485" s="204"/>
      <c r="BH485" s="204" t="s">
        <v>407</v>
      </c>
      <c r="BI485" s="205" t="s">
        <v>408</v>
      </c>
      <c r="BJ485" s="204"/>
      <c r="BK485" s="206"/>
    </row>
    <row r="486" spans="1:63" s="164" customFormat="1" ht="15.75" customHeight="1">
      <c r="A486" s="185"/>
      <c r="B486" s="193"/>
      <c r="C486" s="184"/>
      <c r="D486" s="183" t="s">
        <v>909</v>
      </c>
      <c r="E486" s="184"/>
      <c r="F486" s="184"/>
      <c r="G486" s="184"/>
      <c r="H486" s="184"/>
      <c r="I486" s="184"/>
      <c r="J486" s="184"/>
      <c r="K486" s="184"/>
      <c r="L486" s="193"/>
      <c r="M486" s="1005"/>
      <c r="N486" s="1005"/>
      <c r="O486" s="1005"/>
      <c r="P486" s="1005"/>
      <c r="Q486" s="1005"/>
      <c r="R486" s="1005"/>
      <c r="S486" s="1005"/>
      <c r="T486" s="1005"/>
      <c r="U486" s="1005"/>
      <c r="V486" s="1005"/>
      <c r="W486" s="1005"/>
      <c r="X486" s="1005"/>
      <c r="Y486" s="1005"/>
      <c r="Z486" s="1005"/>
      <c r="AA486" s="1005"/>
      <c r="AB486" s="1005"/>
      <c r="AC486" s="1005"/>
      <c r="AD486" s="1005"/>
      <c r="AE486" s="1005"/>
      <c r="AF486" s="1005"/>
      <c r="AG486" s="1005"/>
      <c r="AH486" s="1005"/>
      <c r="AI486" s="1005"/>
      <c r="AJ486" s="1005"/>
      <c r="AK486" s="1005"/>
      <c r="AL486" s="1005"/>
      <c r="AM486" s="1005"/>
      <c r="AN486" s="1005"/>
      <c r="AO486" s="1005"/>
      <c r="AP486" s="1005"/>
      <c r="AQ486" s="1005"/>
      <c r="AR486" s="1005"/>
      <c r="AS486" s="1005"/>
      <c r="AT486" s="1005"/>
      <c r="AU486" s="1005"/>
      <c r="AV486" s="1005"/>
      <c r="AW486" s="1005"/>
      <c r="AX486" s="1005"/>
      <c r="AY486" s="1005"/>
      <c r="AZ486" s="1005"/>
      <c r="BA486" s="1005"/>
      <c r="BB486" s="1005"/>
      <c r="BC486" s="1005"/>
      <c r="BD486" s="1005"/>
      <c r="BE486" s="204"/>
      <c r="BF486" s="205" t="s">
        <v>487</v>
      </c>
      <c r="BG486" s="204"/>
      <c r="BH486" s="204" t="s">
        <v>407</v>
      </c>
      <c r="BI486" s="204"/>
      <c r="BJ486" s="204"/>
      <c r="BK486" s="206"/>
    </row>
    <row r="487" spans="1:63" s="164" customFormat="1" ht="44.25" customHeight="1">
      <c r="A487" s="185"/>
      <c r="B487" s="193"/>
      <c r="C487" s="251" t="s">
        <v>411</v>
      </c>
      <c r="D487" s="183" t="s">
        <v>910</v>
      </c>
      <c r="E487" s="184"/>
      <c r="F487" s="184"/>
      <c r="G487" s="184"/>
      <c r="H487" s="184"/>
      <c r="I487" s="184"/>
      <c r="J487" s="184"/>
      <c r="K487" s="184"/>
      <c r="L487" s="193"/>
      <c r="M487" s="1005" t="s">
        <v>911</v>
      </c>
      <c r="N487" s="1005"/>
      <c r="O487" s="1005"/>
      <c r="P487" s="1005"/>
      <c r="Q487" s="1005"/>
      <c r="R487" s="1005"/>
      <c r="S487" s="1005"/>
      <c r="T487" s="1005"/>
      <c r="U487" s="1005"/>
      <c r="V487" s="1005"/>
      <c r="W487" s="1005"/>
      <c r="X487" s="1005"/>
      <c r="Y487" s="1005"/>
      <c r="Z487" s="1005"/>
      <c r="AA487" s="1005"/>
      <c r="AB487" s="1005"/>
      <c r="AC487" s="1005"/>
      <c r="AD487" s="1005"/>
      <c r="AE487" s="1005"/>
      <c r="AF487" s="1005"/>
      <c r="AG487" s="1005"/>
      <c r="AH487" s="1005"/>
      <c r="AI487" s="1005"/>
      <c r="AJ487" s="1005"/>
      <c r="AK487" s="1005"/>
      <c r="AL487" s="1005"/>
      <c r="AM487" s="1005"/>
      <c r="AN487" s="1005"/>
      <c r="AO487" s="1005"/>
      <c r="AP487" s="1005"/>
      <c r="AQ487" s="1005"/>
      <c r="AR487" s="1005"/>
      <c r="AS487" s="1005"/>
      <c r="AT487" s="1005"/>
      <c r="AU487" s="1005"/>
      <c r="AV487" s="1005"/>
      <c r="AW487" s="1005"/>
      <c r="AX487" s="1005"/>
      <c r="AY487" s="1005"/>
      <c r="AZ487" s="1005"/>
      <c r="BA487" s="1005"/>
      <c r="BB487" s="1005"/>
      <c r="BC487" s="1005"/>
      <c r="BD487" s="1005"/>
      <c r="BE487" s="204"/>
      <c r="BF487" s="205" t="s">
        <v>487</v>
      </c>
      <c r="BG487" s="204"/>
      <c r="BH487" s="204" t="s">
        <v>407</v>
      </c>
      <c r="BI487" s="205" t="s">
        <v>408</v>
      </c>
      <c r="BJ487" s="204"/>
      <c r="BK487" s="206"/>
    </row>
    <row r="488" spans="1:63" s="164" customFormat="1" ht="44.25" customHeight="1">
      <c r="A488" s="185"/>
      <c r="B488" s="193"/>
      <c r="C488" s="251" t="s">
        <v>411</v>
      </c>
      <c r="D488" s="183" t="s">
        <v>912</v>
      </c>
      <c r="E488" s="184"/>
      <c r="F488" s="184"/>
      <c r="G488" s="184"/>
      <c r="H488" s="184"/>
      <c r="I488" s="184"/>
      <c r="J488" s="184"/>
      <c r="K488" s="184"/>
      <c r="L488" s="193"/>
      <c r="M488" s="1005" t="s">
        <v>913</v>
      </c>
      <c r="N488" s="1005"/>
      <c r="O488" s="1005"/>
      <c r="P488" s="1005"/>
      <c r="Q488" s="1005"/>
      <c r="R488" s="1005"/>
      <c r="S488" s="1005"/>
      <c r="T488" s="1005"/>
      <c r="U488" s="1005"/>
      <c r="V488" s="1005"/>
      <c r="W488" s="1005"/>
      <c r="X488" s="1005"/>
      <c r="Y488" s="1005"/>
      <c r="Z488" s="1005"/>
      <c r="AA488" s="1005"/>
      <c r="AB488" s="1005"/>
      <c r="AC488" s="1005"/>
      <c r="AD488" s="1005"/>
      <c r="AE488" s="1005"/>
      <c r="AF488" s="1005"/>
      <c r="AG488" s="1005"/>
      <c r="AH488" s="1005"/>
      <c r="AI488" s="1005"/>
      <c r="AJ488" s="1005"/>
      <c r="AK488" s="1005"/>
      <c r="AL488" s="1005"/>
      <c r="AM488" s="1005"/>
      <c r="AN488" s="1005"/>
      <c r="AO488" s="1005"/>
      <c r="AP488" s="1005"/>
      <c r="AQ488" s="1005"/>
      <c r="AR488" s="1005"/>
      <c r="AS488" s="1005"/>
      <c r="AT488" s="1005"/>
      <c r="AU488" s="1005"/>
      <c r="AV488" s="1005"/>
      <c r="AW488" s="1005"/>
      <c r="AX488" s="1005"/>
      <c r="AY488" s="1005"/>
      <c r="AZ488" s="1005"/>
      <c r="BA488" s="1005"/>
      <c r="BB488" s="1005"/>
      <c r="BC488" s="1005"/>
      <c r="BD488" s="1005"/>
      <c r="BE488" s="204"/>
      <c r="BF488" s="205" t="s">
        <v>487</v>
      </c>
      <c r="BG488" s="204"/>
      <c r="BH488" s="204" t="s">
        <v>407</v>
      </c>
      <c r="BI488" s="205" t="s">
        <v>408</v>
      </c>
      <c r="BJ488" s="204"/>
      <c r="BK488" s="206"/>
    </row>
    <row r="489" spans="1:63" s="164" customFormat="1" ht="44.25" customHeight="1">
      <c r="A489" s="185"/>
      <c r="B489" s="193"/>
      <c r="C489" s="251" t="s">
        <v>411</v>
      </c>
      <c r="D489" s="183" t="s">
        <v>914</v>
      </c>
      <c r="E489" s="184"/>
      <c r="F489" s="184"/>
      <c r="G489" s="184"/>
      <c r="H489" s="184"/>
      <c r="I489" s="184"/>
      <c r="J489" s="184"/>
      <c r="K489" s="184"/>
      <c r="L489" s="193"/>
      <c r="M489" s="1005" t="s">
        <v>915</v>
      </c>
      <c r="N489" s="1005"/>
      <c r="O489" s="1005"/>
      <c r="P489" s="1005"/>
      <c r="Q489" s="1005"/>
      <c r="R489" s="1005"/>
      <c r="S489" s="1005"/>
      <c r="T489" s="1005"/>
      <c r="U489" s="1005"/>
      <c r="V489" s="1005"/>
      <c r="W489" s="1005"/>
      <c r="X489" s="1005"/>
      <c r="Y489" s="1005"/>
      <c r="Z489" s="1005"/>
      <c r="AA489" s="1005"/>
      <c r="AB489" s="1005"/>
      <c r="AC489" s="1005"/>
      <c r="AD489" s="1005"/>
      <c r="AE489" s="1005"/>
      <c r="AF489" s="1005"/>
      <c r="AG489" s="1005"/>
      <c r="AH489" s="1005"/>
      <c r="AI489" s="1005"/>
      <c r="AJ489" s="1005"/>
      <c r="AK489" s="1005"/>
      <c r="AL489" s="1005"/>
      <c r="AM489" s="1005"/>
      <c r="AN489" s="1005"/>
      <c r="AO489" s="1005"/>
      <c r="AP489" s="1005"/>
      <c r="AQ489" s="1005"/>
      <c r="AR489" s="1005"/>
      <c r="AS489" s="1005"/>
      <c r="AT489" s="1005"/>
      <c r="AU489" s="1005"/>
      <c r="AV489" s="1005"/>
      <c r="AW489" s="1005"/>
      <c r="AX489" s="1005"/>
      <c r="AY489" s="1005"/>
      <c r="AZ489" s="1005"/>
      <c r="BA489" s="1005"/>
      <c r="BB489" s="1005"/>
      <c r="BC489" s="1005"/>
      <c r="BD489" s="1005"/>
      <c r="BE489" s="204"/>
      <c r="BF489" s="205" t="s">
        <v>487</v>
      </c>
      <c r="BG489" s="204"/>
      <c r="BH489" s="204" t="s">
        <v>407</v>
      </c>
      <c r="BI489" s="205" t="s">
        <v>408</v>
      </c>
      <c r="BJ489" s="204"/>
      <c r="BK489" s="206"/>
    </row>
    <row r="490" spans="1:63" s="164" customFormat="1" ht="15.75" customHeight="1">
      <c r="A490" s="185"/>
      <c r="B490" s="193"/>
      <c r="C490" s="251" t="s">
        <v>411</v>
      </c>
      <c r="D490" s="183" t="s">
        <v>916</v>
      </c>
      <c r="E490" s="184"/>
      <c r="F490" s="184"/>
      <c r="G490" s="184"/>
      <c r="H490" s="184"/>
      <c r="I490" s="184"/>
      <c r="J490" s="184"/>
      <c r="K490" s="184"/>
      <c r="L490" s="193"/>
      <c r="M490" s="1003"/>
      <c r="N490" s="1002"/>
      <c r="O490" s="1002"/>
      <c r="P490" s="1002"/>
      <c r="Q490" s="1002"/>
      <c r="R490" s="1002"/>
      <c r="S490" s="1002"/>
      <c r="T490" s="1002"/>
      <c r="U490" s="1002"/>
      <c r="V490" s="1002"/>
      <c r="W490" s="1002"/>
      <c r="X490" s="1002"/>
      <c r="Y490" s="1002"/>
      <c r="Z490" s="1002"/>
      <c r="AA490" s="1002"/>
      <c r="AB490" s="1002"/>
      <c r="AC490" s="1002"/>
      <c r="AD490" s="1002"/>
      <c r="AE490" s="1002"/>
      <c r="AF490" s="1002"/>
      <c r="AG490" s="1002"/>
      <c r="AH490" s="1002"/>
      <c r="AI490" s="1002"/>
      <c r="AJ490" s="1002"/>
      <c r="AK490" s="1002"/>
      <c r="AL490" s="1002"/>
      <c r="AM490" s="1002"/>
      <c r="AN490" s="1002"/>
      <c r="AO490" s="1002"/>
      <c r="AP490" s="1002"/>
      <c r="AQ490" s="1002"/>
      <c r="AR490" s="1002"/>
      <c r="AS490" s="1002"/>
      <c r="AT490" s="1002"/>
      <c r="AU490" s="1002"/>
      <c r="AV490" s="1002"/>
      <c r="AW490" s="1002"/>
      <c r="AX490" s="1002"/>
      <c r="AY490" s="1002"/>
      <c r="AZ490" s="1002"/>
      <c r="BA490" s="1002"/>
      <c r="BB490" s="1002"/>
      <c r="BC490" s="1002"/>
      <c r="BD490" s="1002"/>
      <c r="BE490" s="205" t="s">
        <v>486</v>
      </c>
      <c r="BF490" s="205" t="s">
        <v>487</v>
      </c>
      <c r="BG490" s="204"/>
      <c r="BH490" s="204" t="s">
        <v>407</v>
      </c>
      <c r="BI490" s="205" t="s">
        <v>408</v>
      </c>
      <c r="BJ490" s="204"/>
      <c r="BK490" s="206"/>
    </row>
    <row r="491" spans="1:63" s="164" customFormat="1" ht="15.75" customHeight="1">
      <c r="A491" s="185"/>
      <c r="B491" s="193"/>
      <c r="C491" s="184"/>
      <c r="D491" s="183" t="s">
        <v>917</v>
      </c>
      <c r="E491" s="184"/>
      <c r="F491" s="184"/>
      <c r="G491" s="184"/>
      <c r="H491" s="184"/>
      <c r="I491" s="184"/>
      <c r="J491" s="184"/>
      <c r="K491" s="184"/>
      <c r="L491" s="193"/>
      <c r="M491" s="1003"/>
      <c r="N491" s="1002"/>
      <c r="O491" s="1002"/>
      <c r="P491" s="1002"/>
      <c r="Q491" s="1002"/>
      <c r="R491" s="1002"/>
      <c r="S491" s="1002"/>
      <c r="T491" s="1002"/>
      <c r="U491" s="1002"/>
      <c r="V491" s="1002"/>
      <c r="W491" s="1002"/>
      <c r="X491" s="1002"/>
      <c r="Y491" s="1002"/>
      <c r="Z491" s="1002"/>
      <c r="AA491" s="1002"/>
      <c r="AB491" s="1002"/>
      <c r="AC491" s="1002"/>
      <c r="AD491" s="1002"/>
      <c r="AE491" s="1002"/>
      <c r="AF491" s="1002"/>
      <c r="AG491" s="1002"/>
      <c r="AH491" s="1002"/>
      <c r="AI491" s="1002"/>
      <c r="AJ491" s="1002"/>
      <c r="AK491" s="1002"/>
      <c r="AL491" s="1002"/>
      <c r="AM491" s="1002"/>
      <c r="AN491" s="1002"/>
      <c r="AO491" s="1002"/>
      <c r="AP491" s="1002"/>
      <c r="AQ491" s="1002"/>
      <c r="AR491" s="1002"/>
      <c r="AS491" s="1002"/>
      <c r="AT491" s="1002"/>
      <c r="AU491" s="1002"/>
      <c r="AV491" s="1002"/>
      <c r="AW491" s="1002"/>
      <c r="AX491" s="1002"/>
      <c r="AY491" s="1002"/>
      <c r="AZ491" s="1002"/>
      <c r="BA491" s="1002"/>
      <c r="BB491" s="1002"/>
      <c r="BC491" s="1002"/>
      <c r="BD491" s="1002"/>
      <c r="BE491" s="204"/>
      <c r="BF491" s="205" t="s">
        <v>487</v>
      </c>
      <c r="BG491" s="204"/>
      <c r="BH491" s="204" t="s">
        <v>407</v>
      </c>
      <c r="BI491" s="204"/>
      <c r="BJ491" s="204"/>
      <c r="BK491" s="206"/>
    </row>
    <row r="492" spans="1:63" s="164" customFormat="1" ht="15.75" customHeight="1">
      <c r="A492" s="185"/>
      <c r="B492" s="193"/>
      <c r="C492" s="251" t="s">
        <v>411</v>
      </c>
      <c r="D492" s="183" t="s">
        <v>918</v>
      </c>
      <c r="E492" s="184"/>
      <c r="F492" s="184"/>
      <c r="G492" s="184"/>
      <c r="H492" s="184"/>
      <c r="I492" s="184"/>
      <c r="J492" s="184"/>
      <c r="K492" s="184"/>
      <c r="L492" s="193"/>
      <c r="M492" s="1003"/>
      <c r="N492" s="1002"/>
      <c r="O492" s="1002"/>
      <c r="P492" s="1002"/>
      <c r="Q492" s="1002"/>
      <c r="R492" s="1002"/>
      <c r="S492" s="1002"/>
      <c r="T492" s="1002"/>
      <c r="U492" s="1002"/>
      <c r="V492" s="1002"/>
      <c r="W492" s="1002"/>
      <c r="X492" s="1002"/>
      <c r="Y492" s="1002"/>
      <c r="Z492" s="1002"/>
      <c r="AA492" s="1002"/>
      <c r="AB492" s="1002"/>
      <c r="AC492" s="1002"/>
      <c r="AD492" s="1002"/>
      <c r="AE492" s="1002"/>
      <c r="AF492" s="1002"/>
      <c r="AG492" s="1002"/>
      <c r="AH492" s="1002"/>
      <c r="AI492" s="1002"/>
      <c r="AJ492" s="1002"/>
      <c r="AK492" s="1002"/>
      <c r="AL492" s="1002"/>
      <c r="AM492" s="1002"/>
      <c r="AN492" s="1002"/>
      <c r="AO492" s="1002"/>
      <c r="AP492" s="1002"/>
      <c r="AQ492" s="1002"/>
      <c r="AR492" s="1002"/>
      <c r="AS492" s="1002"/>
      <c r="AT492" s="1002"/>
      <c r="AU492" s="1002"/>
      <c r="AV492" s="1002"/>
      <c r="AW492" s="1002"/>
      <c r="AX492" s="1002"/>
      <c r="AY492" s="1002"/>
      <c r="AZ492" s="1002"/>
      <c r="BA492" s="1002"/>
      <c r="BB492" s="1002"/>
      <c r="BC492" s="1002"/>
      <c r="BD492" s="1002"/>
      <c r="BE492" s="204"/>
      <c r="BF492" s="205" t="s">
        <v>487</v>
      </c>
      <c r="BG492" s="204"/>
      <c r="BH492" s="204" t="s">
        <v>407</v>
      </c>
      <c r="BI492" s="205" t="s">
        <v>408</v>
      </c>
      <c r="BJ492" s="204"/>
      <c r="BK492" s="206"/>
    </row>
    <row r="493" spans="1:63" s="164" customFormat="1" ht="15.75" customHeight="1">
      <c r="A493" s="185"/>
      <c r="B493" s="193"/>
      <c r="C493" s="251" t="s">
        <v>411</v>
      </c>
      <c r="D493" s="183" t="s">
        <v>919</v>
      </c>
      <c r="E493" s="184"/>
      <c r="F493" s="184"/>
      <c r="G493" s="184"/>
      <c r="H493" s="184"/>
      <c r="I493" s="184"/>
      <c r="J493" s="184"/>
      <c r="K493" s="184"/>
      <c r="L493" s="193"/>
      <c r="M493" s="1003"/>
      <c r="N493" s="1002"/>
      <c r="O493" s="1002"/>
      <c r="P493" s="1002"/>
      <c r="Q493" s="1002"/>
      <c r="R493" s="1002"/>
      <c r="S493" s="1002"/>
      <c r="T493" s="1002"/>
      <c r="U493" s="1002"/>
      <c r="V493" s="1002"/>
      <c r="W493" s="1002"/>
      <c r="X493" s="1002"/>
      <c r="Y493" s="1002"/>
      <c r="Z493" s="1002"/>
      <c r="AA493" s="1002"/>
      <c r="AB493" s="1002"/>
      <c r="AC493" s="1002"/>
      <c r="AD493" s="1002"/>
      <c r="AE493" s="1002"/>
      <c r="AF493" s="1002"/>
      <c r="AG493" s="1002"/>
      <c r="AH493" s="1002"/>
      <c r="AI493" s="1002"/>
      <c r="AJ493" s="1002"/>
      <c r="AK493" s="1002"/>
      <c r="AL493" s="1002"/>
      <c r="AM493" s="1002"/>
      <c r="AN493" s="1002"/>
      <c r="AO493" s="1002"/>
      <c r="AP493" s="1002"/>
      <c r="AQ493" s="1002"/>
      <c r="AR493" s="1002"/>
      <c r="AS493" s="1002"/>
      <c r="AT493" s="1002"/>
      <c r="AU493" s="1002"/>
      <c r="AV493" s="1002"/>
      <c r="AW493" s="1002"/>
      <c r="AX493" s="1002"/>
      <c r="AY493" s="1002"/>
      <c r="AZ493" s="1002"/>
      <c r="BA493" s="1002"/>
      <c r="BB493" s="1002"/>
      <c r="BC493" s="1002"/>
      <c r="BD493" s="1002"/>
      <c r="BE493" s="205" t="s">
        <v>486</v>
      </c>
      <c r="BF493" s="205" t="s">
        <v>487</v>
      </c>
      <c r="BG493" s="204"/>
      <c r="BH493" s="204" t="s">
        <v>407</v>
      </c>
      <c r="BI493" s="205" t="s">
        <v>408</v>
      </c>
      <c r="BJ493" s="204"/>
      <c r="BK493" s="206"/>
    </row>
    <row r="494" spans="1:63" s="164" customFormat="1" ht="15.75" customHeight="1">
      <c r="A494" s="185"/>
      <c r="B494" s="193"/>
      <c r="C494" s="184"/>
      <c r="D494" s="183" t="s">
        <v>920</v>
      </c>
      <c r="E494" s="184"/>
      <c r="F494" s="184"/>
      <c r="G494" s="184"/>
      <c r="H494" s="184"/>
      <c r="I494" s="184"/>
      <c r="J494" s="184"/>
      <c r="K494" s="184"/>
      <c r="L494" s="193"/>
      <c r="M494" s="1003"/>
      <c r="N494" s="1002"/>
      <c r="O494" s="1002"/>
      <c r="P494" s="1002"/>
      <c r="Q494" s="1002"/>
      <c r="R494" s="1002"/>
      <c r="S494" s="1002"/>
      <c r="T494" s="1002"/>
      <c r="U494" s="1002"/>
      <c r="V494" s="1002"/>
      <c r="W494" s="1002"/>
      <c r="X494" s="1002"/>
      <c r="Y494" s="1002"/>
      <c r="Z494" s="1002"/>
      <c r="AA494" s="1002"/>
      <c r="AB494" s="1002"/>
      <c r="AC494" s="1002"/>
      <c r="AD494" s="1002"/>
      <c r="AE494" s="1002"/>
      <c r="AF494" s="1002"/>
      <c r="AG494" s="1002"/>
      <c r="AH494" s="1002"/>
      <c r="AI494" s="1002"/>
      <c r="AJ494" s="1002"/>
      <c r="AK494" s="1002"/>
      <c r="AL494" s="1002"/>
      <c r="AM494" s="1002"/>
      <c r="AN494" s="1002"/>
      <c r="AO494" s="1002"/>
      <c r="AP494" s="1002"/>
      <c r="AQ494" s="1002"/>
      <c r="AR494" s="1002"/>
      <c r="AS494" s="1002"/>
      <c r="AT494" s="1002"/>
      <c r="AU494" s="1002"/>
      <c r="AV494" s="1002"/>
      <c r="AW494" s="1002"/>
      <c r="AX494" s="1002"/>
      <c r="AY494" s="1002"/>
      <c r="AZ494" s="1002"/>
      <c r="BA494" s="1002"/>
      <c r="BB494" s="1002"/>
      <c r="BC494" s="1002"/>
      <c r="BD494" s="1002"/>
      <c r="BE494" s="204"/>
      <c r="BF494" s="205" t="s">
        <v>487</v>
      </c>
      <c r="BG494" s="204"/>
      <c r="BH494" s="204" t="s">
        <v>407</v>
      </c>
      <c r="BI494" s="204"/>
      <c r="BJ494" s="204"/>
      <c r="BK494" s="206"/>
    </row>
    <row r="495" spans="1:63" s="164" customFormat="1" ht="15.75" customHeight="1">
      <c r="A495" s="185"/>
      <c r="B495" s="193"/>
      <c r="C495" s="251" t="s">
        <v>411</v>
      </c>
      <c r="D495" s="183" t="s">
        <v>921</v>
      </c>
      <c r="E495" s="184"/>
      <c r="F495" s="184"/>
      <c r="G495" s="184"/>
      <c r="H495" s="184"/>
      <c r="I495" s="184"/>
      <c r="J495" s="184"/>
      <c r="K495" s="184"/>
      <c r="L495" s="193"/>
      <c r="M495" s="1003"/>
      <c r="N495" s="1002"/>
      <c r="O495" s="1002"/>
      <c r="P495" s="1002"/>
      <c r="Q495" s="1002"/>
      <c r="R495" s="1002"/>
      <c r="S495" s="1002"/>
      <c r="T495" s="1002"/>
      <c r="U495" s="1002"/>
      <c r="V495" s="1002"/>
      <c r="W495" s="1002"/>
      <c r="X495" s="1002"/>
      <c r="Y495" s="1002"/>
      <c r="Z495" s="1002"/>
      <c r="AA495" s="1002"/>
      <c r="AB495" s="1002"/>
      <c r="AC495" s="1002"/>
      <c r="AD495" s="1002"/>
      <c r="AE495" s="1002"/>
      <c r="AF495" s="1002"/>
      <c r="AG495" s="1002"/>
      <c r="AH495" s="1002"/>
      <c r="AI495" s="1002"/>
      <c r="AJ495" s="1002"/>
      <c r="AK495" s="1002"/>
      <c r="AL495" s="1002"/>
      <c r="AM495" s="1002"/>
      <c r="AN495" s="1002"/>
      <c r="AO495" s="1002"/>
      <c r="AP495" s="1002"/>
      <c r="AQ495" s="1002"/>
      <c r="AR495" s="1002"/>
      <c r="AS495" s="1002"/>
      <c r="AT495" s="1002"/>
      <c r="AU495" s="1002"/>
      <c r="AV495" s="1002"/>
      <c r="AW495" s="1002"/>
      <c r="AX495" s="1002"/>
      <c r="AY495" s="1002"/>
      <c r="AZ495" s="1002"/>
      <c r="BA495" s="1002"/>
      <c r="BB495" s="1002"/>
      <c r="BC495" s="1002"/>
      <c r="BD495" s="1002"/>
      <c r="BE495" s="204"/>
      <c r="BF495" s="205" t="s">
        <v>487</v>
      </c>
      <c r="BG495" s="204"/>
      <c r="BH495" s="204" t="s">
        <v>407</v>
      </c>
      <c r="BI495" s="205" t="s">
        <v>408</v>
      </c>
      <c r="BJ495" s="204"/>
      <c r="BK495" s="206"/>
    </row>
    <row r="496" spans="1:63" s="164" customFormat="1" ht="15.75" customHeight="1">
      <c r="A496" s="185"/>
      <c r="B496" s="193"/>
      <c r="C496" s="251" t="s">
        <v>411</v>
      </c>
      <c r="D496" s="183" t="s">
        <v>922</v>
      </c>
      <c r="E496" s="184"/>
      <c r="F496" s="184"/>
      <c r="G496" s="184"/>
      <c r="H496" s="184"/>
      <c r="I496" s="184"/>
      <c r="J496" s="184"/>
      <c r="K496" s="184"/>
      <c r="L496" s="193"/>
      <c r="M496" s="1003"/>
      <c r="N496" s="1002"/>
      <c r="O496" s="1002"/>
      <c r="P496" s="1002"/>
      <c r="Q496" s="1002"/>
      <c r="R496" s="1002"/>
      <c r="S496" s="1002"/>
      <c r="T496" s="1002"/>
      <c r="U496" s="1002"/>
      <c r="V496" s="1002"/>
      <c r="W496" s="1002"/>
      <c r="X496" s="1002"/>
      <c r="Y496" s="1002"/>
      <c r="Z496" s="1002"/>
      <c r="AA496" s="1002"/>
      <c r="AB496" s="1002"/>
      <c r="AC496" s="1002"/>
      <c r="AD496" s="1002"/>
      <c r="AE496" s="1002"/>
      <c r="AF496" s="1002"/>
      <c r="AG496" s="1002"/>
      <c r="AH496" s="1002"/>
      <c r="AI496" s="1002"/>
      <c r="AJ496" s="1002"/>
      <c r="AK496" s="1002"/>
      <c r="AL496" s="1002"/>
      <c r="AM496" s="1002"/>
      <c r="AN496" s="1002"/>
      <c r="AO496" s="1002"/>
      <c r="AP496" s="1002"/>
      <c r="AQ496" s="1002"/>
      <c r="AR496" s="1002"/>
      <c r="AS496" s="1002"/>
      <c r="AT496" s="1002"/>
      <c r="AU496" s="1002"/>
      <c r="AV496" s="1002"/>
      <c r="AW496" s="1002"/>
      <c r="AX496" s="1002"/>
      <c r="AY496" s="1002"/>
      <c r="AZ496" s="1002"/>
      <c r="BA496" s="1002"/>
      <c r="BB496" s="1002"/>
      <c r="BC496" s="1002"/>
      <c r="BD496" s="1002"/>
      <c r="BE496" s="205" t="s">
        <v>486</v>
      </c>
      <c r="BF496" s="205" t="s">
        <v>487</v>
      </c>
      <c r="BG496" s="204"/>
      <c r="BH496" s="204" t="s">
        <v>407</v>
      </c>
      <c r="BI496" s="205" t="s">
        <v>408</v>
      </c>
      <c r="BJ496" s="204"/>
      <c r="BK496" s="206"/>
    </row>
    <row r="497" spans="1:63" s="164" customFormat="1" ht="15.75" customHeight="1">
      <c r="A497" s="185"/>
      <c r="B497" s="193"/>
      <c r="C497" s="184"/>
      <c r="D497" s="183" t="s">
        <v>923</v>
      </c>
      <c r="E497" s="184"/>
      <c r="F497" s="184"/>
      <c r="G497" s="184"/>
      <c r="H497" s="184"/>
      <c r="I497" s="184"/>
      <c r="J497" s="184"/>
      <c r="K497" s="184"/>
      <c r="L497" s="193"/>
      <c r="M497" s="1003"/>
      <c r="N497" s="1002"/>
      <c r="O497" s="1002"/>
      <c r="P497" s="1002"/>
      <c r="Q497" s="1002"/>
      <c r="R497" s="1002"/>
      <c r="S497" s="1002"/>
      <c r="T497" s="1002"/>
      <c r="U497" s="1002"/>
      <c r="V497" s="1002"/>
      <c r="W497" s="1002"/>
      <c r="X497" s="1002"/>
      <c r="Y497" s="1002"/>
      <c r="Z497" s="1002"/>
      <c r="AA497" s="1002"/>
      <c r="AB497" s="1002"/>
      <c r="AC497" s="1002"/>
      <c r="AD497" s="1002"/>
      <c r="AE497" s="1002"/>
      <c r="AF497" s="1002"/>
      <c r="AG497" s="1002"/>
      <c r="AH497" s="1002"/>
      <c r="AI497" s="1002"/>
      <c r="AJ497" s="1002"/>
      <c r="AK497" s="1002"/>
      <c r="AL497" s="1002"/>
      <c r="AM497" s="1002"/>
      <c r="AN497" s="1002"/>
      <c r="AO497" s="1002"/>
      <c r="AP497" s="1002"/>
      <c r="AQ497" s="1002"/>
      <c r="AR497" s="1002"/>
      <c r="AS497" s="1002"/>
      <c r="AT497" s="1002"/>
      <c r="AU497" s="1002"/>
      <c r="AV497" s="1002"/>
      <c r="AW497" s="1002"/>
      <c r="AX497" s="1002"/>
      <c r="AY497" s="1002"/>
      <c r="AZ497" s="1002"/>
      <c r="BA497" s="1002"/>
      <c r="BB497" s="1002"/>
      <c r="BC497" s="1002"/>
      <c r="BD497" s="1002"/>
      <c r="BE497" s="204"/>
      <c r="BF497" s="205" t="s">
        <v>487</v>
      </c>
      <c r="BG497" s="204"/>
      <c r="BH497" s="204" t="s">
        <v>407</v>
      </c>
      <c r="BI497" s="204"/>
      <c r="BJ497" s="204"/>
      <c r="BK497" s="206"/>
    </row>
    <row r="498" spans="1:63" s="164" customFormat="1" ht="15.75" customHeight="1">
      <c r="A498" s="185"/>
      <c r="B498" s="193"/>
      <c r="C498" s="251" t="s">
        <v>411</v>
      </c>
      <c r="D498" s="183" t="s">
        <v>924</v>
      </c>
      <c r="E498" s="184"/>
      <c r="F498" s="184"/>
      <c r="G498" s="184"/>
      <c r="H498" s="184"/>
      <c r="I498" s="184"/>
      <c r="J498" s="184"/>
      <c r="K498" s="184"/>
      <c r="L498" s="193"/>
      <c r="M498" s="1003"/>
      <c r="N498" s="1002"/>
      <c r="O498" s="1002"/>
      <c r="P498" s="1002"/>
      <c r="Q498" s="1002"/>
      <c r="R498" s="1002"/>
      <c r="S498" s="1002"/>
      <c r="T498" s="1002"/>
      <c r="U498" s="1002"/>
      <c r="V498" s="1002"/>
      <c r="W498" s="1002"/>
      <c r="X498" s="1002"/>
      <c r="Y498" s="1002"/>
      <c r="Z498" s="1002"/>
      <c r="AA498" s="1002"/>
      <c r="AB498" s="1002"/>
      <c r="AC498" s="1002"/>
      <c r="AD498" s="1002"/>
      <c r="AE498" s="1002"/>
      <c r="AF498" s="1002"/>
      <c r="AG498" s="1002"/>
      <c r="AH498" s="1002"/>
      <c r="AI498" s="1002"/>
      <c r="AJ498" s="1002"/>
      <c r="AK498" s="1002"/>
      <c r="AL498" s="1002"/>
      <c r="AM498" s="1002"/>
      <c r="AN498" s="1002"/>
      <c r="AO498" s="1002"/>
      <c r="AP498" s="1002"/>
      <c r="AQ498" s="1002"/>
      <c r="AR498" s="1002"/>
      <c r="AS498" s="1002"/>
      <c r="AT498" s="1002"/>
      <c r="AU498" s="1002"/>
      <c r="AV498" s="1002"/>
      <c r="AW498" s="1002"/>
      <c r="AX498" s="1002"/>
      <c r="AY498" s="1002"/>
      <c r="AZ498" s="1002"/>
      <c r="BA498" s="1002"/>
      <c r="BB498" s="1002"/>
      <c r="BC498" s="1002"/>
      <c r="BD498" s="1002"/>
      <c r="BE498" s="204"/>
      <c r="BF498" s="205" t="s">
        <v>487</v>
      </c>
      <c r="BG498" s="204"/>
      <c r="BH498" s="204" t="s">
        <v>407</v>
      </c>
      <c r="BI498" s="205" t="s">
        <v>408</v>
      </c>
      <c r="BJ498" s="204"/>
      <c r="BK498" s="206"/>
    </row>
    <row r="499" spans="1:63" s="164" customFormat="1" ht="15.75" customHeight="1">
      <c r="A499" s="185"/>
      <c r="B499" s="193"/>
      <c r="C499" s="184"/>
      <c r="D499" s="183" t="s">
        <v>541</v>
      </c>
      <c r="E499" s="184"/>
      <c r="F499" s="184"/>
      <c r="G499" s="184"/>
      <c r="H499" s="184"/>
      <c r="I499" s="184"/>
      <c r="J499" s="184"/>
      <c r="K499" s="184"/>
      <c r="L499" s="193"/>
      <c r="M499" s="1005" t="s">
        <v>925</v>
      </c>
      <c r="N499" s="1002"/>
      <c r="O499" s="1002"/>
      <c r="P499" s="1002"/>
      <c r="Q499" s="1002"/>
      <c r="R499" s="1002"/>
      <c r="S499" s="1002"/>
      <c r="T499" s="1002"/>
      <c r="U499" s="1002"/>
      <c r="V499" s="1002"/>
      <c r="W499" s="1002"/>
      <c r="X499" s="1002"/>
      <c r="Y499" s="1002"/>
      <c r="Z499" s="1002"/>
      <c r="AA499" s="1002"/>
      <c r="AB499" s="1002"/>
      <c r="AC499" s="1002"/>
      <c r="AD499" s="1002"/>
      <c r="AE499" s="1002"/>
      <c r="AF499" s="1002"/>
      <c r="AG499" s="1002"/>
      <c r="AH499" s="1002"/>
      <c r="AI499" s="1002"/>
      <c r="AJ499" s="1002"/>
      <c r="AK499" s="1002"/>
      <c r="AL499" s="1002"/>
      <c r="AM499" s="1002"/>
      <c r="AN499" s="1002"/>
      <c r="AO499" s="1002"/>
      <c r="AP499" s="1002"/>
      <c r="AQ499" s="1002"/>
      <c r="AR499" s="1002"/>
      <c r="AS499" s="1002"/>
      <c r="AT499" s="1002"/>
      <c r="AU499" s="1002"/>
      <c r="AV499" s="1002"/>
      <c r="AW499" s="1002"/>
      <c r="AX499" s="1002"/>
      <c r="AY499" s="1002"/>
      <c r="AZ499" s="1002"/>
      <c r="BA499" s="1002"/>
      <c r="BB499" s="1002"/>
      <c r="BC499" s="1002"/>
      <c r="BD499" s="1002"/>
      <c r="BE499" s="204"/>
      <c r="BF499" s="205" t="s">
        <v>487</v>
      </c>
      <c r="BG499" s="204"/>
      <c r="BH499" s="204" t="s">
        <v>407</v>
      </c>
      <c r="BI499" s="204"/>
      <c r="BJ499" s="204"/>
      <c r="BK499" s="206"/>
    </row>
    <row r="500" spans="1:63" s="164" customFormat="1" ht="15.75" customHeight="1">
      <c r="A500" s="185"/>
      <c r="B500" s="193"/>
      <c r="C500" s="184"/>
      <c r="D500" s="183" t="s">
        <v>926</v>
      </c>
      <c r="E500" s="184"/>
      <c r="F500" s="184"/>
      <c r="G500" s="184"/>
      <c r="H500" s="184"/>
      <c r="I500" s="184"/>
      <c r="J500" s="184"/>
      <c r="K500" s="184"/>
      <c r="L500" s="193"/>
      <c r="M500" s="1001" t="s">
        <v>927</v>
      </c>
      <c r="N500" s="1002"/>
      <c r="O500" s="1002"/>
      <c r="P500" s="1002"/>
      <c r="Q500" s="1002"/>
      <c r="R500" s="1002"/>
      <c r="S500" s="1002"/>
      <c r="T500" s="1002"/>
      <c r="U500" s="1002"/>
      <c r="V500" s="1002"/>
      <c r="W500" s="1002"/>
      <c r="X500" s="1002"/>
      <c r="Y500" s="1002"/>
      <c r="Z500" s="1002"/>
      <c r="AA500" s="1002"/>
      <c r="AB500" s="1002"/>
      <c r="AC500" s="1002"/>
      <c r="AD500" s="1002"/>
      <c r="AE500" s="1002"/>
      <c r="AF500" s="1002"/>
      <c r="AG500" s="1002"/>
      <c r="AH500" s="1002"/>
      <c r="AI500" s="1002"/>
      <c r="AJ500" s="1002"/>
      <c r="AK500" s="1002"/>
      <c r="AL500" s="1002"/>
      <c r="AM500" s="1002"/>
      <c r="AN500" s="1002"/>
      <c r="AO500" s="1002"/>
      <c r="AP500" s="1002"/>
      <c r="AQ500" s="1002"/>
      <c r="AR500" s="1002"/>
      <c r="AS500" s="1002"/>
      <c r="AT500" s="1002"/>
      <c r="AU500" s="1002"/>
      <c r="AV500" s="1002"/>
      <c r="AW500" s="1002"/>
      <c r="AX500" s="1002"/>
      <c r="AY500" s="1002"/>
      <c r="AZ500" s="1002"/>
      <c r="BA500" s="1002"/>
      <c r="BB500" s="1002"/>
      <c r="BC500" s="1002"/>
      <c r="BD500" s="1002"/>
      <c r="BE500" s="204"/>
      <c r="BF500" s="205" t="s">
        <v>487</v>
      </c>
      <c r="BG500" s="204"/>
      <c r="BH500" s="204" t="s">
        <v>407</v>
      </c>
      <c r="BI500" s="204"/>
      <c r="BJ500" s="204"/>
      <c r="BK500" s="206"/>
    </row>
    <row r="501" spans="1:63" s="164" customFormat="1" ht="15.75" customHeight="1">
      <c r="A501" s="185"/>
      <c r="B501" s="193"/>
      <c r="C501" s="184"/>
      <c r="D501" s="183" t="s">
        <v>928</v>
      </c>
      <c r="E501" s="184"/>
      <c r="F501" s="184"/>
      <c r="G501" s="184"/>
      <c r="H501" s="184"/>
      <c r="I501" s="184"/>
      <c r="J501" s="184"/>
      <c r="K501" s="184"/>
      <c r="L501" s="193"/>
      <c r="M501" s="1003"/>
      <c r="N501" s="1002"/>
      <c r="O501" s="1002"/>
      <c r="P501" s="1002"/>
      <c r="Q501" s="1002"/>
      <c r="R501" s="1002"/>
      <c r="S501" s="1002"/>
      <c r="T501" s="1002"/>
      <c r="U501" s="1002"/>
      <c r="V501" s="1002"/>
      <c r="W501" s="1002"/>
      <c r="X501" s="1002"/>
      <c r="Y501" s="1002"/>
      <c r="Z501" s="1002"/>
      <c r="AA501" s="1002"/>
      <c r="AB501" s="1002"/>
      <c r="AC501" s="1002"/>
      <c r="AD501" s="1002"/>
      <c r="AE501" s="1002"/>
      <c r="AF501" s="1002"/>
      <c r="AG501" s="1002"/>
      <c r="AH501" s="1002"/>
      <c r="AI501" s="1002"/>
      <c r="AJ501" s="1002"/>
      <c r="AK501" s="1002"/>
      <c r="AL501" s="1002"/>
      <c r="AM501" s="1002"/>
      <c r="AN501" s="1002"/>
      <c r="AO501" s="1002"/>
      <c r="AP501" s="1002"/>
      <c r="AQ501" s="1002"/>
      <c r="AR501" s="1002"/>
      <c r="AS501" s="1002"/>
      <c r="AT501" s="1002"/>
      <c r="AU501" s="1002"/>
      <c r="AV501" s="1002"/>
      <c r="AW501" s="1002"/>
      <c r="AX501" s="1002"/>
      <c r="AY501" s="1002"/>
      <c r="AZ501" s="1002"/>
      <c r="BA501" s="1002"/>
      <c r="BB501" s="1002"/>
      <c r="BC501" s="1002"/>
      <c r="BD501" s="1002"/>
      <c r="BE501" s="204"/>
      <c r="BF501" s="205" t="s">
        <v>487</v>
      </c>
      <c r="BG501" s="204"/>
      <c r="BH501" s="204" t="s">
        <v>407</v>
      </c>
      <c r="BI501" s="204"/>
      <c r="BJ501" s="204"/>
      <c r="BK501" s="206"/>
    </row>
    <row r="502" spans="1:63" s="164" customFormat="1" ht="48" customHeight="1">
      <c r="A502" s="185"/>
      <c r="B502" s="193"/>
      <c r="C502" s="251" t="s">
        <v>411</v>
      </c>
      <c r="D502" s="183" t="s">
        <v>929</v>
      </c>
      <c r="E502" s="184"/>
      <c r="F502" s="184"/>
      <c r="G502" s="184"/>
      <c r="H502" s="184"/>
      <c r="I502" s="184"/>
      <c r="J502" s="184"/>
      <c r="K502" s="184"/>
      <c r="L502" s="193"/>
      <c r="M502" s="1005" t="s">
        <v>930</v>
      </c>
      <c r="N502" s="1005"/>
      <c r="O502" s="1005"/>
      <c r="P502" s="1005"/>
      <c r="Q502" s="1005"/>
      <c r="R502" s="1005"/>
      <c r="S502" s="1005"/>
      <c r="T502" s="1005"/>
      <c r="U502" s="1005"/>
      <c r="V502" s="1005"/>
      <c r="W502" s="1005"/>
      <c r="X502" s="1005"/>
      <c r="Y502" s="1005"/>
      <c r="Z502" s="1005"/>
      <c r="AA502" s="1005"/>
      <c r="AB502" s="1005"/>
      <c r="AC502" s="1005"/>
      <c r="AD502" s="1005"/>
      <c r="AE502" s="1005"/>
      <c r="AF502" s="1005"/>
      <c r="AG502" s="1005"/>
      <c r="AH502" s="1005"/>
      <c r="AI502" s="1005"/>
      <c r="AJ502" s="1005"/>
      <c r="AK502" s="1005"/>
      <c r="AL502" s="1005"/>
      <c r="AM502" s="1005"/>
      <c r="AN502" s="1005"/>
      <c r="AO502" s="1005"/>
      <c r="AP502" s="1005"/>
      <c r="AQ502" s="1005"/>
      <c r="AR502" s="1005"/>
      <c r="AS502" s="1005"/>
      <c r="AT502" s="1005"/>
      <c r="AU502" s="1005"/>
      <c r="AV502" s="1005"/>
      <c r="AW502" s="1005"/>
      <c r="AX502" s="1005"/>
      <c r="AY502" s="1005"/>
      <c r="AZ502" s="1005"/>
      <c r="BA502" s="1005"/>
      <c r="BB502" s="1005"/>
      <c r="BC502" s="1005"/>
      <c r="BD502" s="1005"/>
      <c r="BE502" s="204"/>
      <c r="BF502" s="205" t="s">
        <v>419</v>
      </c>
      <c r="BG502" s="204"/>
      <c r="BH502" s="204" t="s">
        <v>407</v>
      </c>
      <c r="BI502" s="205" t="s">
        <v>408</v>
      </c>
      <c r="BJ502" s="204"/>
      <c r="BK502" s="206"/>
    </row>
    <row r="503" spans="1:63" s="164" customFormat="1" ht="15.75" customHeight="1">
      <c r="A503" s="185"/>
      <c r="B503" s="193"/>
      <c r="C503" s="184"/>
      <c r="D503" s="183" t="s">
        <v>931</v>
      </c>
      <c r="E503" s="184"/>
      <c r="F503" s="184"/>
      <c r="G503" s="184"/>
      <c r="H503" s="184"/>
      <c r="I503" s="184"/>
      <c r="J503" s="184"/>
      <c r="K503" s="184"/>
      <c r="L503" s="193"/>
      <c r="M503" s="1005" t="s">
        <v>932</v>
      </c>
      <c r="N503" s="1002"/>
      <c r="O503" s="1002"/>
      <c r="P503" s="1002"/>
      <c r="Q503" s="1002"/>
      <c r="R503" s="1002"/>
      <c r="S503" s="1002"/>
      <c r="T503" s="1002"/>
      <c r="U503" s="1002"/>
      <c r="V503" s="1002"/>
      <c r="W503" s="1002"/>
      <c r="X503" s="1002"/>
      <c r="Y503" s="1002"/>
      <c r="Z503" s="1002"/>
      <c r="AA503" s="1002"/>
      <c r="AB503" s="1002"/>
      <c r="AC503" s="1002"/>
      <c r="AD503" s="1002"/>
      <c r="AE503" s="1002"/>
      <c r="AF503" s="1002"/>
      <c r="AG503" s="1002"/>
      <c r="AH503" s="1002"/>
      <c r="AI503" s="1002"/>
      <c r="AJ503" s="1002"/>
      <c r="AK503" s="1002"/>
      <c r="AL503" s="1002"/>
      <c r="AM503" s="1002"/>
      <c r="AN503" s="1002"/>
      <c r="AO503" s="1002"/>
      <c r="AP503" s="1002"/>
      <c r="AQ503" s="1002"/>
      <c r="AR503" s="1002"/>
      <c r="AS503" s="1002"/>
      <c r="AT503" s="1002"/>
      <c r="AU503" s="1002"/>
      <c r="AV503" s="1002"/>
      <c r="AW503" s="1002"/>
      <c r="AX503" s="1002"/>
      <c r="AY503" s="1002"/>
      <c r="AZ503" s="1002"/>
      <c r="BA503" s="1002"/>
      <c r="BB503" s="1002"/>
      <c r="BC503" s="1002"/>
      <c r="BD503" s="1002"/>
      <c r="BE503" s="204"/>
      <c r="BF503" s="205" t="s">
        <v>419</v>
      </c>
      <c r="BG503" s="204"/>
      <c r="BH503" s="204" t="s">
        <v>407</v>
      </c>
      <c r="BI503" s="204"/>
      <c r="BJ503" s="204"/>
      <c r="BK503" s="206"/>
    </row>
    <row r="504" spans="1:63" s="164" customFormat="1" ht="15.75" customHeight="1">
      <c r="A504" s="185"/>
      <c r="B504" s="193"/>
      <c r="C504" s="184"/>
      <c r="D504" s="183" t="s">
        <v>933</v>
      </c>
      <c r="E504" s="184"/>
      <c r="F504" s="184"/>
      <c r="G504" s="184"/>
      <c r="H504" s="184"/>
      <c r="I504" s="184"/>
      <c r="J504" s="184"/>
      <c r="K504" s="184"/>
      <c r="L504" s="193"/>
      <c r="M504" s="1005" t="s">
        <v>934</v>
      </c>
      <c r="N504" s="1002"/>
      <c r="O504" s="1002"/>
      <c r="P504" s="1002"/>
      <c r="Q504" s="1002"/>
      <c r="R504" s="1002"/>
      <c r="S504" s="1002"/>
      <c r="T504" s="1002"/>
      <c r="U504" s="1002"/>
      <c r="V504" s="1002"/>
      <c r="W504" s="1002"/>
      <c r="X504" s="1002"/>
      <c r="Y504" s="1002"/>
      <c r="Z504" s="1002"/>
      <c r="AA504" s="1002"/>
      <c r="AB504" s="1002"/>
      <c r="AC504" s="1002"/>
      <c r="AD504" s="1002"/>
      <c r="AE504" s="1002"/>
      <c r="AF504" s="1002"/>
      <c r="AG504" s="1002"/>
      <c r="AH504" s="1002"/>
      <c r="AI504" s="1002"/>
      <c r="AJ504" s="1002"/>
      <c r="AK504" s="1002"/>
      <c r="AL504" s="1002"/>
      <c r="AM504" s="1002"/>
      <c r="AN504" s="1002"/>
      <c r="AO504" s="1002"/>
      <c r="AP504" s="1002"/>
      <c r="AQ504" s="1002"/>
      <c r="AR504" s="1002"/>
      <c r="AS504" s="1002"/>
      <c r="AT504" s="1002"/>
      <c r="AU504" s="1002"/>
      <c r="AV504" s="1002"/>
      <c r="AW504" s="1002"/>
      <c r="AX504" s="1002"/>
      <c r="AY504" s="1002"/>
      <c r="AZ504" s="1002"/>
      <c r="BA504" s="1002"/>
      <c r="BB504" s="1002"/>
      <c r="BC504" s="1002"/>
      <c r="BD504" s="1002"/>
      <c r="BE504" s="204"/>
      <c r="BF504" s="205" t="s">
        <v>419</v>
      </c>
      <c r="BG504" s="204"/>
      <c r="BH504" s="204" t="s">
        <v>407</v>
      </c>
      <c r="BI504" s="204"/>
      <c r="BJ504" s="204"/>
      <c r="BK504" s="206"/>
    </row>
    <row r="505" spans="1:63" s="164" customFormat="1" ht="15.75" customHeight="1">
      <c r="A505" s="185"/>
      <c r="B505" s="193"/>
      <c r="C505" s="184"/>
      <c r="D505" s="183" t="s">
        <v>935</v>
      </c>
      <c r="E505" s="184"/>
      <c r="F505" s="184"/>
      <c r="G505" s="184"/>
      <c r="H505" s="184"/>
      <c r="I505" s="184"/>
      <c r="J505" s="184"/>
      <c r="K505" s="184"/>
      <c r="L505" s="193"/>
      <c r="M505" s="1005" t="s">
        <v>936</v>
      </c>
      <c r="N505" s="1002"/>
      <c r="O505" s="1002"/>
      <c r="P505" s="1002"/>
      <c r="Q505" s="1002"/>
      <c r="R505" s="1002"/>
      <c r="S505" s="1002"/>
      <c r="T505" s="1002"/>
      <c r="U505" s="1002"/>
      <c r="V505" s="1002"/>
      <c r="W505" s="1002"/>
      <c r="X505" s="1002"/>
      <c r="Y505" s="1002"/>
      <c r="Z505" s="1002"/>
      <c r="AA505" s="1002"/>
      <c r="AB505" s="1002"/>
      <c r="AC505" s="1002"/>
      <c r="AD505" s="1002"/>
      <c r="AE505" s="1002"/>
      <c r="AF505" s="1002"/>
      <c r="AG505" s="1002"/>
      <c r="AH505" s="1002"/>
      <c r="AI505" s="1002"/>
      <c r="AJ505" s="1002"/>
      <c r="AK505" s="1002"/>
      <c r="AL505" s="1002"/>
      <c r="AM505" s="1002"/>
      <c r="AN505" s="1002"/>
      <c r="AO505" s="1002"/>
      <c r="AP505" s="1002"/>
      <c r="AQ505" s="1002"/>
      <c r="AR505" s="1002"/>
      <c r="AS505" s="1002"/>
      <c r="AT505" s="1002"/>
      <c r="AU505" s="1002"/>
      <c r="AV505" s="1002"/>
      <c r="AW505" s="1002"/>
      <c r="AX505" s="1002"/>
      <c r="AY505" s="1002"/>
      <c r="AZ505" s="1002"/>
      <c r="BA505" s="1002"/>
      <c r="BB505" s="1002"/>
      <c r="BC505" s="1002"/>
      <c r="BD505" s="1002"/>
      <c r="BE505" s="204"/>
      <c r="BF505" s="205" t="s">
        <v>419</v>
      </c>
      <c r="BG505" s="204"/>
      <c r="BH505" s="204" t="s">
        <v>407</v>
      </c>
      <c r="BI505" s="204"/>
      <c r="BJ505" s="204"/>
      <c r="BK505" s="206"/>
    </row>
    <row r="506" spans="1:63" s="164" customFormat="1" ht="31.5" customHeight="1">
      <c r="A506" s="185"/>
      <c r="B506" s="193"/>
      <c r="C506" s="184"/>
      <c r="D506" s="183" t="s">
        <v>937</v>
      </c>
      <c r="E506" s="184"/>
      <c r="F506" s="184"/>
      <c r="G506" s="184"/>
      <c r="H506" s="184"/>
      <c r="I506" s="184"/>
      <c r="J506" s="184"/>
      <c r="K506" s="184"/>
      <c r="L506" s="193"/>
      <c r="M506" s="1005" t="s">
        <v>938</v>
      </c>
      <c r="N506" s="1005"/>
      <c r="O506" s="1005"/>
      <c r="P506" s="1005"/>
      <c r="Q506" s="1005"/>
      <c r="R506" s="1005"/>
      <c r="S506" s="1005"/>
      <c r="T506" s="1005"/>
      <c r="U506" s="1005"/>
      <c r="V506" s="1005"/>
      <c r="W506" s="1005"/>
      <c r="X506" s="1005"/>
      <c r="Y506" s="1005"/>
      <c r="Z506" s="1005"/>
      <c r="AA506" s="1005"/>
      <c r="AB506" s="1005"/>
      <c r="AC506" s="1005"/>
      <c r="AD506" s="1005"/>
      <c r="AE506" s="1005"/>
      <c r="AF506" s="1005"/>
      <c r="AG506" s="1005"/>
      <c r="AH506" s="1005"/>
      <c r="AI506" s="1005"/>
      <c r="AJ506" s="1005"/>
      <c r="AK506" s="1005"/>
      <c r="AL506" s="1005"/>
      <c r="AM506" s="1005"/>
      <c r="AN506" s="1005"/>
      <c r="AO506" s="1005"/>
      <c r="AP506" s="1005"/>
      <c r="AQ506" s="1005"/>
      <c r="AR506" s="1005"/>
      <c r="AS506" s="1005"/>
      <c r="AT506" s="1005"/>
      <c r="AU506" s="1005"/>
      <c r="AV506" s="1005"/>
      <c r="AW506" s="1005"/>
      <c r="AX506" s="1005"/>
      <c r="AY506" s="1005"/>
      <c r="AZ506" s="1005"/>
      <c r="BA506" s="1005"/>
      <c r="BB506" s="1005"/>
      <c r="BC506" s="1005"/>
      <c r="BD506" s="1005"/>
      <c r="BE506" s="204"/>
      <c r="BF506" s="205" t="s">
        <v>419</v>
      </c>
      <c r="BG506" s="204"/>
      <c r="BH506" s="204" t="s">
        <v>407</v>
      </c>
      <c r="BI506" s="204"/>
      <c r="BJ506" s="204"/>
      <c r="BK506" s="206"/>
    </row>
    <row r="507" spans="1:63" s="164" customFormat="1" ht="31.5" customHeight="1">
      <c r="A507" s="185"/>
      <c r="B507" s="193"/>
      <c r="C507" s="184"/>
      <c r="D507" s="183" t="s">
        <v>939</v>
      </c>
      <c r="E507" s="184"/>
      <c r="F507" s="184"/>
      <c r="G507" s="184"/>
      <c r="H507" s="184"/>
      <c r="I507" s="184"/>
      <c r="J507" s="184"/>
      <c r="K507" s="184"/>
      <c r="L507" s="193"/>
      <c r="M507" s="1005" t="s">
        <v>940</v>
      </c>
      <c r="N507" s="1005"/>
      <c r="O507" s="1005"/>
      <c r="P507" s="1005"/>
      <c r="Q507" s="1005"/>
      <c r="R507" s="1005"/>
      <c r="S507" s="1005"/>
      <c r="T507" s="1005"/>
      <c r="U507" s="1005"/>
      <c r="V507" s="1005"/>
      <c r="W507" s="1005"/>
      <c r="X507" s="1005"/>
      <c r="Y507" s="1005"/>
      <c r="Z507" s="1005"/>
      <c r="AA507" s="1005"/>
      <c r="AB507" s="1005"/>
      <c r="AC507" s="1005"/>
      <c r="AD507" s="1005"/>
      <c r="AE507" s="1005"/>
      <c r="AF507" s="1005"/>
      <c r="AG507" s="1005"/>
      <c r="AH507" s="1005"/>
      <c r="AI507" s="1005"/>
      <c r="AJ507" s="1005"/>
      <c r="AK507" s="1005"/>
      <c r="AL507" s="1005"/>
      <c r="AM507" s="1005"/>
      <c r="AN507" s="1005"/>
      <c r="AO507" s="1005"/>
      <c r="AP507" s="1005"/>
      <c r="AQ507" s="1005"/>
      <c r="AR507" s="1005"/>
      <c r="AS507" s="1005"/>
      <c r="AT507" s="1005"/>
      <c r="AU507" s="1005"/>
      <c r="AV507" s="1005"/>
      <c r="AW507" s="1005"/>
      <c r="AX507" s="1005"/>
      <c r="AY507" s="1005"/>
      <c r="AZ507" s="1005"/>
      <c r="BA507" s="1005"/>
      <c r="BB507" s="1005"/>
      <c r="BC507" s="1005"/>
      <c r="BD507" s="1005"/>
      <c r="BE507" s="204"/>
      <c r="BF507" s="205" t="s">
        <v>419</v>
      </c>
      <c r="BG507" s="204"/>
      <c r="BH507" s="204" t="s">
        <v>407</v>
      </c>
      <c r="BI507" s="204"/>
      <c r="BJ507" s="204"/>
      <c r="BK507" s="206"/>
    </row>
    <row r="508" spans="1:63" s="164" customFormat="1" ht="166.5" customHeight="1">
      <c r="A508" s="185"/>
      <c r="B508" s="193"/>
      <c r="C508" s="184"/>
      <c r="D508" s="183" t="s">
        <v>941</v>
      </c>
      <c r="E508" s="184"/>
      <c r="F508" s="184"/>
      <c r="G508" s="184"/>
      <c r="H508" s="184"/>
      <c r="I508" s="184"/>
      <c r="J508" s="184"/>
      <c r="K508" s="184"/>
      <c r="L508" s="193"/>
      <c r="M508" s="1010" t="s">
        <v>942</v>
      </c>
      <c r="N508" s="1010"/>
      <c r="O508" s="1010"/>
      <c r="P508" s="1010"/>
      <c r="Q508" s="1010"/>
      <c r="R508" s="1010"/>
      <c r="S508" s="1010"/>
      <c r="T508" s="1010"/>
      <c r="U508" s="1010"/>
      <c r="V508" s="1010"/>
      <c r="W508" s="1010"/>
      <c r="X508" s="1010"/>
      <c r="Y508" s="1010"/>
      <c r="Z508" s="1010"/>
      <c r="AA508" s="1010"/>
      <c r="AB508" s="1010"/>
      <c r="AC508" s="1010"/>
      <c r="AD508" s="1010"/>
      <c r="AE508" s="1010"/>
      <c r="AF508" s="1010"/>
      <c r="AG508" s="1010"/>
      <c r="AH508" s="1010"/>
      <c r="AI508" s="1010"/>
      <c r="AJ508" s="1010"/>
      <c r="AK508" s="1010"/>
      <c r="AL508" s="1010"/>
      <c r="AM508" s="1010"/>
      <c r="AN508" s="1010"/>
      <c r="AO508" s="1010"/>
      <c r="AP508" s="1010"/>
      <c r="AQ508" s="1010"/>
      <c r="AR508" s="1010"/>
      <c r="AS508" s="1010"/>
      <c r="AT508" s="1010"/>
      <c r="AU508" s="1010"/>
      <c r="AV508" s="1010"/>
      <c r="AW508" s="1010"/>
      <c r="AX508" s="1010"/>
      <c r="AY508" s="1010"/>
      <c r="AZ508" s="1010"/>
      <c r="BA508" s="1010"/>
      <c r="BB508" s="1010"/>
      <c r="BC508" s="1010"/>
      <c r="BD508" s="1010"/>
      <c r="BE508" s="204"/>
      <c r="BF508" s="205" t="s">
        <v>419</v>
      </c>
      <c r="BG508" s="204"/>
      <c r="BH508" s="204"/>
      <c r="BI508" s="204"/>
      <c r="BJ508" s="204"/>
      <c r="BK508" s="206"/>
    </row>
    <row r="509" spans="1:63" s="164" customFormat="1" ht="38.25" customHeight="1">
      <c r="A509" s="254"/>
      <c r="B509" s="255"/>
      <c r="C509" s="256" t="s">
        <v>411</v>
      </c>
      <c r="D509" s="233" t="s">
        <v>943</v>
      </c>
      <c r="E509" s="240"/>
      <c r="F509" s="241"/>
      <c r="G509" s="241"/>
      <c r="H509" s="241"/>
      <c r="I509" s="241"/>
      <c r="J509" s="241"/>
      <c r="K509" s="241"/>
      <c r="L509" s="241"/>
      <c r="M509" s="1007" t="s">
        <v>944</v>
      </c>
      <c r="N509" s="1008"/>
      <c r="O509" s="1008"/>
      <c r="P509" s="1008"/>
      <c r="Q509" s="1008"/>
      <c r="R509" s="1008"/>
      <c r="S509" s="1008"/>
      <c r="T509" s="1008"/>
      <c r="U509" s="1008"/>
      <c r="V509" s="1008"/>
      <c r="W509" s="1008"/>
      <c r="X509" s="1008"/>
      <c r="Y509" s="1008"/>
      <c r="Z509" s="1008"/>
      <c r="AA509" s="1008"/>
      <c r="AB509" s="1008"/>
      <c r="AC509" s="1008"/>
      <c r="AD509" s="1008"/>
      <c r="AE509" s="1008"/>
      <c r="AF509" s="1008"/>
      <c r="AG509" s="1008"/>
      <c r="AH509" s="1008"/>
      <c r="AI509" s="1008"/>
      <c r="AJ509" s="1008"/>
      <c r="AK509" s="1008"/>
      <c r="AL509" s="1008"/>
      <c r="AM509" s="1008"/>
      <c r="AN509" s="1008"/>
      <c r="AO509" s="1008"/>
      <c r="AP509" s="1008"/>
      <c r="AQ509" s="1008"/>
      <c r="AR509" s="1008"/>
      <c r="AS509" s="1008"/>
      <c r="AT509" s="1008"/>
      <c r="AU509" s="1008"/>
      <c r="AV509" s="1008"/>
      <c r="AW509" s="1008"/>
      <c r="AX509" s="1008"/>
      <c r="AY509" s="1008"/>
      <c r="AZ509" s="1008"/>
      <c r="BA509" s="1008"/>
      <c r="BB509" s="1008"/>
      <c r="BC509" s="1008"/>
      <c r="BD509" s="1009"/>
      <c r="BE509" s="242"/>
      <c r="BF509" s="241" t="s">
        <v>419</v>
      </c>
      <c r="BG509" s="204"/>
      <c r="BH509" s="204" t="s">
        <v>407</v>
      </c>
      <c r="BI509" s="204"/>
      <c r="BJ509" s="204"/>
      <c r="BK509" s="206"/>
    </row>
    <row r="510" spans="1:63" s="164" customFormat="1" ht="33.75" customHeight="1">
      <c r="A510" s="254"/>
      <c r="B510" s="255"/>
      <c r="C510" s="256"/>
      <c r="D510" s="233" t="s">
        <v>945</v>
      </c>
      <c r="E510" s="240"/>
      <c r="F510" s="241"/>
      <c r="G510" s="241"/>
      <c r="H510" s="241"/>
      <c r="I510" s="241"/>
      <c r="J510" s="241"/>
      <c r="K510" s="241"/>
      <c r="L510" s="241"/>
      <c r="M510" s="1007" t="s">
        <v>946</v>
      </c>
      <c r="N510" s="1008"/>
      <c r="O510" s="1008"/>
      <c r="P510" s="1008"/>
      <c r="Q510" s="1008"/>
      <c r="R510" s="1008"/>
      <c r="S510" s="1008"/>
      <c r="T510" s="1008"/>
      <c r="U510" s="1008"/>
      <c r="V510" s="1008"/>
      <c r="W510" s="1008"/>
      <c r="X510" s="1008"/>
      <c r="Y510" s="1008"/>
      <c r="Z510" s="1008"/>
      <c r="AA510" s="1008"/>
      <c r="AB510" s="1008"/>
      <c r="AC510" s="1008"/>
      <c r="AD510" s="1008"/>
      <c r="AE510" s="1008"/>
      <c r="AF510" s="1008"/>
      <c r="AG510" s="1008"/>
      <c r="AH510" s="1008"/>
      <c r="AI510" s="1008"/>
      <c r="AJ510" s="1008"/>
      <c r="AK510" s="1008"/>
      <c r="AL510" s="1008"/>
      <c r="AM510" s="1008"/>
      <c r="AN510" s="1008"/>
      <c r="AO510" s="1008"/>
      <c r="AP510" s="1008"/>
      <c r="AQ510" s="1008"/>
      <c r="AR510" s="1008"/>
      <c r="AS510" s="1008"/>
      <c r="AT510" s="1008"/>
      <c r="AU510" s="1008"/>
      <c r="AV510" s="1008"/>
      <c r="AW510" s="1008"/>
      <c r="AX510" s="1008"/>
      <c r="AY510" s="1008"/>
      <c r="AZ510" s="1008"/>
      <c r="BA510" s="1008"/>
      <c r="BB510" s="1008"/>
      <c r="BC510" s="1008"/>
      <c r="BD510" s="1009"/>
      <c r="BE510" s="242"/>
      <c r="BF510" s="241" t="s">
        <v>419</v>
      </c>
      <c r="BG510" s="204"/>
      <c r="BH510" s="204"/>
      <c r="BI510" s="204"/>
      <c r="BJ510" s="204"/>
      <c r="BK510" s="206"/>
    </row>
    <row r="511" spans="1:63" s="164" customFormat="1" ht="15.75" customHeight="1">
      <c r="A511" s="185"/>
      <c r="B511" s="193"/>
      <c r="C511" s="184"/>
      <c r="D511" s="183" t="s">
        <v>239</v>
      </c>
      <c r="E511" s="184"/>
      <c r="F511" s="184"/>
      <c r="G511" s="184"/>
      <c r="H511" s="184"/>
      <c r="I511" s="184"/>
      <c r="J511" s="184"/>
      <c r="K511" s="184"/>
      <c r="L511" s="193"/>
      <c r="M511" s="1003" t="s">
        <v>947</v>
      </c>
      <c r="N511" s="1002"/>
      <c r="O511" s="1002"/>
      <c r="P511" s="1002"/>
      <c r="Q511" s="1002"/>
      <c r="R511" s="1002"/>
      <c r="S511" s="1002"/>
      <c r="T511" s="1002"/>
      <c r="U511" s="1002"/>
      <c r="V511" s="1002"/>
      <c r="W511" s="1002"/>
      <c r="X511" s="1002"/>
      <c r="Y511" s="1002"/>
      <c r="Z511" s="1002"/>
      <c r="AA511" s="1002"/>
      <c r="AB511" s="1002"/>
      <c r="AC511" s="1002"/>
      <c r="AD511" s="1002"/>
      <c r="AE511" s="1002"/>
      <c r="AF511" s="1002"/>
      <c r="AG511" s="1002"/>
      <c r="AH511" s="1002"/>
      <c r="AI511" s="1002"/>
      <c r="AJ511" s="1002"/>
      <c r="AK511" s="1002"/>
      <c r="AL511" s="1002"/>
      <c r="AM511" s="1002"/>
      <c r="AN511" s="1002"/>
      <c r="AO511" s="1002"/>
      <c r="AP511" s="1002"/>
      <c r="AQ511" s="1002"/>
      <c r="AR511" s="1002"/>
      <c r="AS511" s="1002"/>
      <c r="AT511" s="1002"/>
      <c r="AU511" s="1002"/>
      <c r="AV511" s="1002"/>
      <c r="AW511" s="1002"/>
      <c r="AX511" s="1002"/>
      <c r="AY511" s="1002"/>
      <c r="AZ511" s="1002"/>
      <c r="BA511" s="1002"/>
      <c r="BB511" s="1002"/>
      <c r="BC511" s="1002"/>
      <c r="BD511" s="1002"/>
      <c r="BE511" s="204"/>
      <c r="BF511" s="205" t="s">
        <v>419</v>
      </c>
      <c r="BG511" s="204"/>
      <c r="BH511" s="204" t="s">
        <v>407</v>
      </c>
      <c r="BI511" s="204"/>
      <c r="BJ511" s="204"/>
      <c r="BK511" s="206"/>
    </row>
    <row r="512" spans="1:63" s="164" customFormat="1" ht="15.75" customHeight="1">
      <c r="A512" s="185"/>
      <c r="B512" s="193"/>
      <c r="C512" s="251" t="s">
        <v>411</v>
      </c>
      <c r="D512" s="183" t="s">
        <v>561</v>
      </c>
      <c r="E512" s="184"/>
      <c r="F512" s="184"/>
      <c r="G512" s="184"/>
      <c r="H512" s="184"/>
      <c r="I512" s="184"/>
      <c r="J512" s="184"/>
      <c r="K512" s="184"/>
      <c r="L512" s="193"/>
      <c r="M512" s="1003"/>
      <c r="N512" s="1002"/>
      <c r="O512" s="1002"/>
      <c r="P512" s="1002"/>
      <c r="Q512" s="1002"/>
      <c r="R512" s="1002"/>
      <c r="S512" s="1002"/>
      <c r="T512" s="1002"/>
      <c r="U512" s="1002"/>
      <c r="V512" s="1002"/>
      <c r="W512" s="1002"/>
      <c r="X512" s="1002"/>
      <c r="Y512" s="1002"/>
      <c r="Z512" s="1002"/>
      <c r="AA512" s="1002"/>
      <c r="AB512" s="1002"/>
      <c r="AC512" s="1002"/>
      <c r="AD512" s="1002"/>
      <c r="AE512" s="1002"/>
      <c r="AF512" s="1002"/>
      <c r="AG512" s="1002"/>
      <c r="AH512" s="1002"/>
      <c r="AI512" s="1002"/>
      <c r="AJ512" s="1002"/>
      <c r="AK512" s="1002"/>
      <c r="AL512" s="1002"/>
      <c r="AM512" s="1002"/>
      <c r="AN512" s="1002"/>
      <c r="AO512" s="1002"/>
      <c r="AP512" s="1002"/>
      <c r="AQ512" s="1002"/>
      <c r="AR512" s="1002"/>
      <c r="AS512" s="1002"/>
      <c r="AT512" s="1002"/>
      <c r="AU512" s="1002"/>
      <c r="AV512" s="1002"/>
      <c r="AW512" s="1002"/>
      <c r="AX512" s="1002"/>
      <c r="AY512" s="1002"/>
      <c r="AZ512" s="1002"/>
      <c r="BA512" s="1002"/>
      <c r="BB512" s="1002"/>
      <c r="BC512" s="1002"/>
      <c r="BD512" s="1002"/>
      <c r="BE512" s="204"/>
      <c r="BF512" s="205" t="s">
        <v>487</v>
      </c>
      <c r="BG512" s="204"/>
      <c r="BH512" s="204" t="s">
        <v>407</v>
      </c>
      <c r="BI512" s="205" t="s">
        <v>408</v>
      </c>
      <c r="BJ512" s="204"/>
      <c r="BK512" s="206"/>
    </row>
    <row r="513" spans="1:63" s="164" customFormat="1" ht="15.75" customHeight="1">
      <c r="A513" s="185"/>
      <c r="B513" s="193"/>
      <c r="C513" s="251" t="s">
        <v>411</v>
      </c>
      <c r="D513" s="183" t="s">
        <v>562</v>
      </c>
      <c r="E513" s="184"/>
      <c r="F513" s="184"/>
      <c r="G513" s="184"/>
      <c r="H513" s="184"/>
      <c r="I513" s="184"/>
      <c r="J513" s="184"/>
      <c r="K513" s="184"/>
      <c r="L513" s="193"/>
      <c r="M513" s="1003"/>
      <c r="N513" s="1002"/>
      <c r="O513" s="1002"/>
      <c r="P513" s="1002"/>
      <c r="Q513" s="1002"/>
      <c r="R513" s="1002"/>
      <c r="S513" s="1002"/>
      <c r="T513" s="1002"/>
      <c r="U513" s="1002"/>
      <c r="V513" s="1002"/>
      <c r="W513" s="1002"/>
      <c r="X513" s="1002"/>
      <c r="Y513" s="1002"/>
      <c r="Z513" s="1002"/>
      <c r="AA513" s="1002"/>
      <c r="AB513" s="1002"/>
      <c r="AC513" s="1002"/>
      <c r="AD513" s="1002"/>
      <c r="AE513" s="1002"/>
      <c r="AF513" s="1002"/>
      <c r="AG513" s="1002"/>
      <c r="AH513" s="1002"/>
      <c r="AI513" s="1002"/>
      <c r="AJ513" s="1002"/>
      <c r="AK513" s="1002"/>
      <c r="AL513" s="1002"/>
      <c r="AM513" s="1002"/>
      <c r="AN513" s="1002"/>
      <c r="AO513" s="1002"/>
      <c r="AP513" s="1002"/>
      <c r="AQ513" s="1002"/>
      <c r="AR513" s="1002"/>
      <c r="AS513" s="1002"/>
      <c r="AT513" s="1002"/>
      <c r="AU513" s="1002"/>
      <c r="AV513" s="1002"/>
      <c r="AW513" s="1002"/>
      <c r="AX513" s="1002"/>
      <c r="AY513" s="1002"/>
      <c r="AZ513" s="1002"/>
      <c r="BA513" s="1002"/>
      <c r="BB513" s="1002"/>
      <c r="BC513" s="1002"/>
      <c r="BD513" s="1002"/>
      <c r="BE513" s="204"/>
      <c r="BF513" s="205" t="s">
        <v>487</v>
      </c>
      <c r="BG513" s="204"/>
      <c r="BH513" s="204" t="s">
        <v>407</v>
      </c>
      <c r="BI513" s="205" t="s">
        <v>408</v>
      </c>
      <c r="BJ513" s="204"/>
      <c r="BK513" s="206"/>
    </row>
    <row r="514" spans="1:63" s="164" customFormat="1" ht="15.75" customHeight="1">
      <c r="A514" s="185"/>
      <c r="B514" s="193"/>
      <c r="C514" s="251" t="s">
        <v>411</v>
      </c>
      <c r="D514" s="183" t="s">
        <v>563</v>
      </c>
      <c r="E514" s="184"/>
      <c r="F514" s="184"/>
      <c r="G514" s="184"/>
      <c r="H514" s="184"/>
      <c r="I514" s="184"/>
      <c r="J514" s="184"/>
      <c r="K514" s="184"/>
      <c r="L514" s="193"/>
      <c r="M514" s="1005" t="s">
        <v>948</v>
      </c>
      <c r="N514" s="1005"/>
      <c r="O514" s="1005"/>
      <c r="P514" s="1005"/>
      <c r="Q514" s="1005"/>
      <c r="R514" s="1005"/>
      <c r="S514" s="1005"/>
      <c r="T514" s="1005"/>
      <c r="U514" s="1005"/>
      <c r="V514" s="1005"/>
      <c r="W514" s="1005"/>
      <c r="X514" s="1005"/>
      <c r="Y514" s="1005"/>
      <c r="Z514" s="1005"/>
      <c r="AA514" s="1005"/>
      <c r="AB514" s="1005"/>
      <c r="AC514" s="1005"/>
      <c r="AD514" s="1005"/>
      <c r="AE514" s="1005"/>
      <c r="AF514" s="1005"/>
      <c r="AG514" s="1005"/>
      <c r="AH514" s="1005"/>
      <c r="AI514" s="1005"/>
      <c r="AJ514" s="1005"/>
      <c r="AK514" s="1005"/>
      <c r="AL514" s="1005"/>
      <c r="AM514" s="1005"/>
      <c r="AN514" s="1005"/>
      <c r="AO514" s="1005"/>
      <c r="AP514" s="1005"/>
      <c r="AQ514" s="1005"/>
      <c r="AR514" s="1005"/>
      <c r="AS514" s="1005"/>
      <c r="AT514" s="1005"/>
      <c r="AU514" s="1005"/>
      <c r="AV514" s="1005"/>
      <c r="AW514" s="1005"/>
      <c r="AX514" s="1005"/>
      <c r="AY514" s="1005"/>
      <c r="AZ514" s="1005"/>
      <c r="BA514" s="1005"/>
      <c r="BB514" s="1005"/>
      <c r="BC514" s="1005"/>
      <c r="BD514" s="1005"/>
      <c r="BE514" s="204"/>
      <c r="BF514" s="205" t="s">
        <v>487</v>
      </c>
      <c r="BG514" s="204"/>
      <c r="BH514" s="204" t="s">
        <v>407</v>
      </c>
      <c r="BI514" s="205" t="s">
        <v>408</v>
      </c>
      <c r="BJ514" s="204"/>
      <c r="BK514" s="206"/>
    </row>
    <row r="515" spans="1:63" s="164" customFormat="1" ht="15.75" customHeight="1">
      <c r="A515" s="185"/>
      <c r="B515" s="193"/>
      <c r="C515" s="251" t="s">
        <v>411</v>
      </c>
      <c r="D515" s="183" t="s">
        <v>564</v>
      </c>
      <c r="E515" s="184"/>
      <c r="F515" s="184"/>
      <c r="G515" s="184"/>
      <c r="H515" s="184"/>
      <c r="I515" s="184"/>
      <c r="J515" s="184"/>
      <c r="K515" s="184"/>
      <c r="L515" s="193"/>
      <c r="M515" s="1005" t="s">
        <v>949</v>
      </c>
      <c r="N515" s="1005"/>
      <c r="O515" s="1005"/>
      <c r="P515" s="1005"/>
      <c r="Q515" s="1005"/>
      <c r="R515" s="1005"/>
      <c r="S515" s="1005"/>
      <c r="T515" s="1005"/>
      <c r="U515" s="1005"/>
      <c r="V515" s="1005"/>
      <c r="W515" s="1005"/>
      <c r="X515" s="1005"/>
      <c r="Y515" s="1005"/>
      <c r="Z515" s="1005"/>
      <c r="AA515" s="1005"/>
      <c r="AB515" s="1005"/>
      <c r="AC515" s="1005"/>
      <c r="AD515" s="1005"/>
      <c r="AE515" s="1005"/>
      <c r="AF515" s="1005"/>
      <c r="AG515" s="1005"/>
      <c r="AH515" s="1005"/>
      <c r="AI515" s="1005"/>
      <c r="AJ515" s="1005"/>
      <c r="AK515" s="1005"/>
      <c r="AL515" s="1005"/>
      <c r="AM515" s="1005"/>
      <c r="AN515" s="1005"/>
      <c r="AO515" s="1005"/>
      <c r="AP515" s="1005"/>
      <c r="AQ515" s="1005"/>
      <c r="AR515" s="1005"/>
      <c r="AS515" s="1005"/>
      <c r="AT515" s="1005"/>
      <c r="AU515" s="1005"/>
      <c r="AV515" s="1005"/>
      <c r="AW515" s="1005"/>
      <c r="AX515" s="1005"/>
      <c r="AY515" s="1005"/>
      <c r="AZ515" s="1005"/>
      <c r="BA515" s="1005"/>
      <c r="BB515" s="1005"/>
      <c r="BC515" s="1005"/>
      <c r="BD515" s="1005"/>
      <c r="BE515" s="204"/>
      <c r="BF515" s="205" t="s">
        <v>487</v>
      </c>
      <c r="BG515" s="204"/>
      <c r="BH515" s="204" t="s">
        <v>407</v>
      </c>
      <c r="BI515" s="205" t="s">
        <v>408</v>
      </c>
      <c r="BJ515" s="204"/>
      <c r="BK515" s="206"/>
    </row>
    <row r="516" spans="1:63" s="164" customFormat="1" ht="15.75" customHeight="1">
      <c r="A516" s="185"/>
      <c r="B516" s="193"/>
      <c r="C516" s="184"/>
      <c r="D516" s="183" t="s">
        <v>560</v>
      </c>
      <c r="E516" s="184"/>
      <c r="F516" s="184"/>
      <c r="G516" s="184"/>
      <c r="H516" s="184"/>
      <c r="I516" s="184"/>
      <c r="J516" s="184"/>
      <c r="K516" s="184"/>
      <c r="L516" s="193"/>
      <c r="M516" s="1005" t="s">
        <v>950</v>
      </c>
      <c r="N516" s="1005"/>
      <c r="O516" s="1005"/>
      <c r="P516" s="1005"/>
      <c r="Q516" s="1005"/>
      <c r="R516" s="1005"/>
      <c r="S516" s="1005"/>
      <c r="T516" s="1005"/>
      <c r="U516" s="1005"/>
      <c r="V516" s="1005"/>
      <c r="W516" s="1005"/>
      <c r="X516" s="1005"/>
      <c r="Y516" s="1005"/>
      <c r="Z516" s="1005"/>
      <c r="AA516" s="1005"/>
      <c r="AB516" s="1005"/>
      <c r="AC516" s="1005"/>
      <c r="AD516" s="1005"/>
      <c r="AE516" s="1005"/>
      <c r="AF516" s="1005"/>
      <c r="AG516" s="1005"/>
      <c r="AH516" s="1005"/>
      <c r="AI516" s="1005"/>
      <c r="AJ516" s="1005"/>
      <c r="AK516" s="1005"/>
      <c r="AL516" s="1005"/>
      <c r="AM516" s="1005"/>
      <c r="AN516" s="1005"/>
      <c r="AO516" s="1005"/>
      <c r="AP516" s="1005"/>
      <c r="AQ516" s="1005"/>
      <c r="AR516" s="1005"/>
      <c r="AS516" s="1005"/>
      <c r="AT516" s="1005"/>
      <c r="AU516" s="1005"/>
      <c r="AV516" s="1005"/>
      <c r="AW516" s="1005"/>
      <c r="AX516" s="1005"/>
      <c r="AY516" s="1005"/>
      <c r="AZ516" s="1005"/>
      <c r="BA516" s="1005"/>
      <c r="BB516" s="1005"/>
      <c r="BC516" s="1005"/>
      <c r="BD516" s="1005"/>
      <c r="BE516" s="204"/>
      <c r="BF516" s="205" t="s">
        <v>487</v>
      </c>
      <c r="BG516" s="204"/>
      <c r="BH516" s="204" t="s">
        <v>407</v>
      </c>
      <c r="BI516" s="204"/>
      <c r="BJ516" s="204"/>
      <c r="BK516" s="206"/>
    </row>
    <row r="517" spans="1:63" s="164" customFormat="1" ht="15.75" customHeight="1">
      <c r="A517" s="185"/>
      <c r="B517" s="193"/>
      <c r="C517" s="251" t="s">
        <v>411</v>
      </c>
      <c r="D517" s="183" t="s">
        <v>951</v>
      </c>
      <c r="E517" s="184"/>
      <c r="F517" s="184"/>
      <c r="G517" s="184"/>
      <c r="H517" s="184"/>
      <c r="I517" s="184"/>
      <c r="J517" s="184"/>
      <c r="K517" s="184"/>
      <c r="L517" s="193"/>
      <c r="M517" s="1005" t="s">
        <v>952</v>
      </c>
      <c r="N517" s="1005"/>
      <c r="O517" s="1005"/>
      <c r="P517" s="1005"/>
      <c r="Q517" s="1005"/>
      <c r="R517" s="1005"/>
      <c r="S517" s="1005"/>
      <c r="T517" s="1005"/>
      <c r="U517" s="1005"/>
      <c r="V517" s="1005"/>
      <c r="W517" s="1005"/>
      <c r="X517" s="1005"/>
      <c r="Y517" s="1005"/>
      <c r="Z517" s="1005"/>
      <c r="AA517" s="1005"/>
      <c r="AB517" s="1005"/>
      <c r="AC517" s="1005"/>
      <c r="AD517" s="1005"/>
      <c r="AE517" s="1005"/>
      <c r="AF517" s="1005"/>
      <c r="AG517" s="1005"/>
      <c r="AH517" s="1005"/>
      <c r="AI517" s="1005"/>
      <c r="AJ517" s="1005"/>
      <c r="AK517" s="1005"/>
      <c r="AL517" s="1005"/>
      <c r="AM517" s="1005"/>
      <c r="AN517" s="1005"/>
      <c r="AO517" s="1005"/>
      <c r="AP517" s="1005"/>
      <c r="AQ517" s="1005"/>
      <c r="AR517" s="1005"/>
      <c r="AS517" s="1005"/>
      <c r="AT517" s="1005"/>
      <c r="AU517" s="1005"/>
      <c r="AV517" s="1005"/>
      <c r="AW517" s="1005"/>
      <c r="AX517" s="1005"/>
      <c r="AY517" s="1005"/>
      <c r="AZ517" s="1005"/>
      <c r="BA517" s="1005"/>
      <c r="BB517" s="1005"/>
      <c r="BC517" s="1005"/>
      <c r="BD517" s="1005"/>
      <c r="BE517" s="204"/>
      <c r="BF517" s="205" t="s">
        <v>487</v>
      </c>
      <c r="BG517" s="204"/>
      <c r="BH517" s="204" t="s">
        <v>407</v>
      </c>
      <c r="BI517" s="205" t="s">
        <v>408</v>
      </c>
      <c r="BJ517" s="204"/>
      <c r="BK517" s="206"/>
    </row>
    <row r="518" spans="1:63" s="164" customFormat="1" ht="15.75" customHeight="1">
      <c r="A518" s="185"/>
      <c r="B518" s="193"/>
      <c r="C518" s="251" t="s">
        <v>411</v>
      </c>
      <c r="D518" s="183" t="s">
        <v>566</v>
      </c>
      <c r="E518" s="184"/>
      <c r="F518" s="184"/>
      <c r="G518" s="184"/>
      <c r="H518" s="184"/>
      <c r="I518" s="184"/>
      <c r="J518" s="184"/>
      <c r="K518" s="184"/>
      <c r="L518" s="193"/>
      <c r="M518" s="1005" t="s">
        <v>953</v>
      </c>
      <c r="N518" s="1005"/>
      <c r="O518" s="1005"/>
      <c r="P518" s="1005"/>
      <c r="Q518" s="1005"/>
      <c r="R518" s="1005"/>
      <c r="S518" s="1005"/>
      <c r="T518" s="1005"/>
      <c r="U518" s="1005"/>
      <c r="V518" s="1005"/>
      <c r="W518" s="1005"/>
      <c r="X518" s="1005"/>
      <c r="Y518" s="1005"/>
      <c r="Z518" s="1005"/>
      <c r="AA518" s="1005"/>
      <c r="AB518" s="1005"/>
      <c r="AC518" s="1005"/>
      <c r="AD518" s="1005"/>
      <c r="AE518" s="1005"/>
      <c r="AF518" s="1005"/>
      <c r="AG518" s="1005"/>
      <c r="AH518" s="1005"/>
      <c r="AI518" s="1005"/>
      <c r="AJ518" s="1005"/>
      <c r="AK518" s="1005"/>
      <c r="AL518" s="1005"/>
      <c r="AM518" s="1005"/>
      <c r="AN518" s="1005"/>
      <c r="AO518" s="1005"/>
      <c r="AP518" s="1005"/>
      <c r="AQ518" s="1005"/>
      <c r="AR518" s="1005"/>
      <c r="AS518" s="1005"/>
      <c r="AT518" s="1005"/>
      <c r="AU518" s="1005"/>
      <c r="AV518" s="1005"/>
      <c r="AW518" s="1005"/>
      <c r="AX518" s="1005"/>
      <c r="AY518" s="1005"/>
      <c r="AZ518" s="1005"/>
      <c r="BA518" s="1005"/>
      <c r="BB518" s="1005"/>
      <c r="BC518" s="1005"/>
      <c r="BD518" s="1005"/>
      <c r="BE518" s="204"/>
      <c r="BF518" s="205" t="s">
        <v>487</v>
      </c>
      <c r="BG518" s="204"/>
      <c r="BH518" s="204" t="s">
        <v>407</v>
      </c>
      <c r="BI518" s="205" t="s">
        <v>408</v>
      </c>
      <c r="BJ518" s="204"/>
      <c r="BK518" s="206"/>
    </row>
    <row r="519" spans="1:63" s="164" customFormat="1" ht="15.75" customHeight="1">
      <c r="A519" s="185"/>
      <c r="B519" s="193"/>
      <c r="C519" s="251" t="s">
        <v>411</v>
      </c>
      <c r="D519" s="183" t="s">
        <v>565</v>
      </c>
      <c r="E519" s="184"/>
      <c r="F519" s="184"/>
      <c r="G519" s="184"/>
      <c r="H519" s="184"/>
      <c r="I519" s="184"/>
      <c r="J519" s="184"/>
      <c r="K519" s="184"/>
      <c r="L519" s="193"/>
      <c r="M519" s="1003"/>
      <c r="N519" s="1002"/>
      <c r="O519" s="1002"/>
      <c r="P519" s="1002"/>
      <c r="Q519" s="1002"/>
      <c r="R519" s="1002"/>
      <c r="S519" s="1002"/>
      <c r="T519" s="1002"/>
      <c r="U519" s="1002"/>
      <c r="V519" s="1002"/>
      <c r="W519" s="1002"/>
      <c r="X519" s="1002"/>
      <c r="Y519" s="1002"/>
      <c r="Z519" s="1002"/>
      <c r="AA519" s="1002"/>
      <c r="AB519" s="1002"/>
      <c r="AC519" s="1002"/>
      <c r="AD519" s="1002"/>
      <c r="AE519" s="1002"/>
      <c r="AF519" s="1002"/>
      <c r="AG519" s="1002"/>
      <c r="AH519" s="1002"/>
      <c r="AI519" s="1002"/>
      <c r="AJ519" s="1002"/>
      <c r="AK519" s="1002"/>
      <c r="AL519" s="1002"/>
      <c r="AM519" s="1002"/>
      <c r="AN519" s="1002"/>
      <c r="AO519" s="1002"/>
      <c r="AP519" s="1002"/>
      <c r="AQ519" s="1002"/>
      <c r="AR519" s="1002"/>
      <c r="AS519" s="1002"/>
      <c r="AT519" s="1002"/>
      <c r="AU519" s="1002"/>
      <c r="AV519" s="1002"/>
      <c r="AW519" s="1002"/>
      <c r="AX519" s="1002"/>
      <c r="AY519" s="1002"/>
      <c r="AZ519" s="1002"/>
      <c r="BA519" s="1002"/>
      <c r="BB519" s="1002"/>
      <c r="BC519" s="1002"/>
      <c r="BD519" s="1002"/>
      <c r="BE519" s="204"/>
      <c r="BF519" s="205" t="s">
        <v>487</v>
      </c>
      <c r="BG519" s="204"/>
      <c r="BH519" s="204" t="s">
        <v>407</v>
      </c>
      <c r="BI519" s="205" t="s">
        <v>408</v>
      </c>
      <c r="BJ519" s="204"/>
      <c r="BK519" s="206"/>
    </row>
    <row r="520" spans="1:63" s="164" customFormat="1" ht="15.75" customHeight="1">
      <c r="A520" s="185"/>
      <c r="B520" s="193"/>
      <c r="C520" s="251" t="s">
        <v>411</v>
      </c>
      <c r="D520" s="183" t="s">
        <v>567</v>
      </c>
      <c r="E520" s="184"/>
      <c r="F520" s="184"/>
      <c r="G520" s="184"/>
      <c r="H520" s="184"/>
      <c r="I520" s="184"/>
      <c r="J520" s="184"/>
      <c r="K520" s="184"/>
      <c r="L520" s="193"/>
      <c r="M520" s="1005" t="s">
        <v>948</v>
      </c>
      <c r="N520" s="1005"/>
      <c r="O520" s="1005"/>
      <c r="P520" s="1005"/>
      <c r="Q520" s="1005"/>
      <c r="R520" s="1005"/>
      <c r="S520" s="1005"/>
      <c r="T520" s="1005"/>
      <c r="U520" s="1005"/>
      <c r="V520" s="1005"/>
      <c r="W520" s="1005"/>
      <c r="X520" s="1005"/>
      <c r="Y520" s="1005"/>
      <c r="Z520" s="1005"/>
      <c r="AA520" s="1005"/>
      <c r="AB520" s="1005"/>
      <c r="AC520" s="1005"/>
      <c r="AD520" s="1005"/>
      <c r="AE520" s="1005"/>
      <c r="AF520" s="1005"/>
      <c r="AG520" s="1005"/>
      <c r="AH520" s="1005"/>
      <c r="AI520" s="1005"/>
      <c r="AJ520" s="1005"/>
      <c r="AK520" s="1005"/>
      <c r="AL520" s="1005"/>
      <c r="AM520" s="1005"/>
      <c r="AN520" s="1005"/>
      <c r="AO520" s="1005"/>
      <c r="AP520" s="1005"/>
      <c r="AQ520" s="1005"/>
      <c r="AR520" s="1005"/>
      <c r="AS520" s="1005"/>
      <c r="AT520" s="1005"/>
      <c r="AU520" s="1005"/>
      <c r="AV520" s="1005"/>
      <c r="AW520" s="1005"/>
      <c r="AX520" s="1005"/>
      <c r="AY520" s="1005"/>
      <c r="AZ520" s="1005"/>
      <c r="BA520" s="1005"/>
      <c r="BB520" s="1005"/>
      <c r="BC520" s="1005"/>
      <c r="BD520" s="1005"/>
      <c r="BE520" s="204"/>
      <c r="BF520" s="205" t="s">
        <v>487</v>
      </c>
      <c r="BG520" s="204"/>
      <c r="BH520" s="204" t="s">
        <v>407</v>
      </c>
      <c r="BI520" s="205" t="s">
        <v>408</v>
      </c>
      <c r="BJ520" s="204"/>
      <c r="BK520" s="206"/>
    </row>
    <row r="521" spans="1:63" s="164" customFormat="1" ht="15.75" customHeight="1">
      <c r="A521" s="185"/>
      <c r="B521" s="193"/>
      <c r="C521" s="251" t="s">
        <v>411</v>
      </c>
      <c r="D521" s="183" t="s">
        <v>568</v>
      </c>
      <c r="E521" s="184"/>
      <c r="F521" s="184"/>
      <c r="G521" s="184"/>
      <c r="H521" s="184"/>
      <c r="I521" s="184"/>
      <c r="J521" s="184"/>
      <c r="K521" s="184"/>
      <c r="L521" s="193"/>
      <c r="M521" s="1005" t="s">
        <v>949</v>
      </c>
      <c r="N521" s="1005"/>
      <c r="O521" s="1005"/>
      <c r="P521" s="1005"/>
      <c r="Q521" s="1005"/>
      <c r="R521" s="1005"/>
      <c r="S521" s="1005"/>
      <c r="T521" s="1005"/>
      <c r="U521" s="1005"/>
      <c r="V521" s="1005"/>
      <c r="W521" s="1005"/>
      <c r="X521" s="1005"/>
      <c r="Y521" s="1005"/>
      <c r="Z521" s="1005"/>
      <c r="AA521" s="1005"/>
      <c r="AB521" s="1005"/>
      <c r="AC521" s="1005"/>
      <c r="AD521" s="1005"/>
      <c r="AE521" s="1005"/>
      <c r="AF521" s="1005"/>
      <c r="AG521" s="1005"/>
      <c r="AH521" s="1005"/>
      <c r="AI521" s="1005"/>
      <c r="AJ521" s="1005"/>
      <c r="AK521" s="1005"/>
      <c r="AL521" s="1005"/>
      <c r="AM521" s="1005"/>
      <c r="AN521" s="1005"/>
      <c r="AO521" s="1005"/>
      <c r="AP521" s="1005"/>
      <c r="AQ521" s="1005"/>
      <c r="AR521" s="1005"/>
      <c r="AS521" s="1005"/>
      <c r="AT521" s="1005"/>
      <c r="AU521" s="1005"/>
      <c r="AV521" s="1005"/>
      <c r="AW521" s="1005"/>
      <c r="AX521" s="1005"/>
      <c r="AY521" s="1005"/>
      <c r="AZ521" s="1005"/>
      <c r="BA521" s="1005"/>
      <c r="BB521" s="1005"/>
      <c r="BC521" s="1005"/>
      <c r="BD521" s="1005"/>
      <c r="BE521" s="204"/>
      <c r="BF521" s="205" t="s">
        <v>487</v>
      </c>
      <c r="BG521" s="204"/>
      <c r="BH521" s="204" t="s">
        <v>407</v>
      </c>
      <c r="BI521" s="205" t="s">
        <v>408</v>
      </c>
      <c r="BJ521" s="204"/>
      <c r="BK521" s="206"/>
    </row>
    <row r="522" spans="1:63" s="164" customFormat="1" ht="15.75" customHeight="1">
      <c r="A522" s="185"/>
      <c r="B522" s="193"/>
      <c r="C522" s="251" t="s">
        <v>411</v>
      </c>
      <c r="D522" s="183" t="s">
        <v>572</v>
      </c>
      <c r="E522" s="184"/>
      <c r="F522" s="184"/>
      <c r="G522" s="184"/>
      <c r="H522" s="184"/>
      <c r="I522" s="184"/>
      <c r="J522" s="184"/>
      <c r="K522" s="184"/>
      <c r="L522" s="193"/>
      <c r="M522" s="1003"/>
      <c r="N522" s="1002"/>
      <c r="O522" s="1002"/>
      <c r="P522" s="1002"/>
      <c r="Q522" s="1002"/>
      <c r="R522" s="1002"/>
      <c r="S522" s="1002"/>
      <c r="T522" s="1002"/>
      <c r="U522" s="1002"/>
      <c r="V522" s="1002"/>
      <c r="W522" s="1002"/>
      <c r="X522" s="1002"/>
      <c r="Y522" s="1002"/>
      <c r="Z522" s="1002"/>
      <c r="AA522" s="1002"/>
      <c r="AB522" s="1002"/>
      <c r="AC522" s="1002"/>
      <c r="AD522" s="1002"/>
      <c r="AE522" s="1002"/>
      <c r="AF522" s="1002"/>
      <c r="AG522" s="1002"/>
      <c r="AH522" s="1002"/>
      <c r="AI522" s="1002"/>
      <c r="AJ522" s="1002"/>
      <c r="AK522" s="1002"/>
      <c r="AL522" s="1002"/>
      <c r="AM522" s="1002"/>
      <c r="AN522" s="1002"/>
      <c r="AO522" s="1002"/>
      <c r="AP522" s="1002"/>
      <c r="AQ522" s="1002"/>
      <c r="AR522" s="1002"/>
      <c r="AS522" s="1002"/>
      <c r="AT522" s="1002"/>
      <c r="AU522" s="1002"/>
      <c r="AV522" s="1002"/>
      <c r="AW522" s="1002"/>
      <c r="AX522" s="1002"/>
      <c r="AY522" s="1002"/>
      <c r="AZ522" s="1002"/>
      <c r="BA522" s="1002"/>
      <c r="BB522" s="1002"/>
      <c r="BC522" s="1002"/>
      <c r="BD522" s="1002"/>
      <c r="BE522" s="204"/>
      <c r="BF522" s="205" t="s">
        <v>487</v>
      </c>
      <c r="BG522" s="204"/>
      <c r="BH522" s="204" t="s">
        <v>407</v>
      </c>
      <c r="BI522" s="205" t="s">
        <v>408</v>
      </c>
      <c r="BJ522" s="205" t="s">
        <v>409</v>
      </c>
      <c r="BK522" s="206"/>
    </row>
    <row r="523" spans="1:63" s="164" customFormat="1" ht="15.75" customHeight="1">
      <c r="A523" s="185"/>
      <c r="B523" s="193"/>
      <c r="C523" s="251" t="s">
        <v>411</v>
      </c>
      <c r="D523" s="183" t="s">
        <v>573</v>
      </c>
      <c r="E523" s="184"/>
      <c r="F523" s="184"/>
      <c r="G523" s="184"/>
      <c r="H523" s="184"/>
      <c r="I523" s="184"/>
      <c r="J523" s="184"/>
      <c r="K523" s="184"/>
      <c r="L523" s="193"/>
      <c r="M523" s="1003"/>
      <c r="N523" s="1002"/>
      <c r="O523" s="1002"/>
      <c r="P523" s="1002"/>
      <c r="Q523" s="1002"/>
      <c r="R523" s="1002"/>
      <c r="S523" s="1002"/>
      <c r="T523" s="1002"/>
      <c r="U523" s="1002"/>
      <c r="V523" s="1002"/>
      <c r="W523" s="1002"/>
      <c r="X523" s="1002"/>
      <c r="Y523" s="1002"/>
      <c r="Z523" s="1002"/>
      <c r="AA523" s="1002"/>
      <c r="AB523" s="1002"/>
      <c r="AC523" s="1002"/>
      <c r="AD523" s="1002"/>
      <c r="AE523" s="1002"/>
      <c r="AF523" s="1002"/>
      <c r="AG523" s="1002"/>
      <c r="AH523" s="1002"/>
      <c r="AI523" s="1002"/>
      <c r="AJ523" s="1002"/>
      <c r="AK523" s="1002"/>
      <c r="AL523" s="1002"/>
      <c r="AM523" s="1002"/>
      <c r="AN523" s="1002"/>
      <c r="AO523" s="1002"/>
      <c r="AP523" s="1002"/>
      <c r="AQ523" s="1002"/>
      <c r="AR523" s="1002"/>
      <c r="AS523" s="1002"/>
      <c r="AT523" s="1002"/>
      <c r="AU523" s="1002"/>
      <c r="AV523" s="1002"/>
      <c r="AW523" s="1002"/>
      <c r="AX523" s="1002"/>
      <c r="AY523" s="1002"/>
      <c r="AZ523" s="1002"/>
      <c r="BA523" s="1002"/>
      <c r="BB523" s="1002"/>
      <c r="BC523" s="1002"/>
      <c r="BD523" s="1002"/>
      <c r="BE523" s="204"/>
      <c r="BF523" s="205" t="s">
        <v>487</v>
      </c>
      <c r="BG523" s="204"/>
      <c r="BH523" s="204" t="s">
        <v>407</v>
      </c>
      <c r="BI523" s="205" t="s">
        <v>408</v>
      </c>
      <c r="BJ523" s="205" t="s">
        <v>409</v>
      </c>
      <c r="BK523" s="206"/>
    </row>
    <row r="524" spans="1:63" s="164" customFormat="1" ht="15.75" customHeight="1">
      <c r="A524" s="185"/>
      <c r="B524" s="193"/>
      <c r="C524" s="251" t="s">
        <v>411</v>
      </c>
      <c r="D524" s="183" t="s">
        <v>574</v>
      </c>
      <c r="E524" s="184"/>
      <c r="F524" s="184"/>
      <c r="G524" s="184"/>
      <c r="H524" s="184"/>
      <c r="I524" s="184"/>
      <c r="J524" s="184"/>
      <c r="K524" s="184"/>
      <c r="L524" s="193"/>
      <c r="M524" s="1003"/>
      <c r="N524" s="1002"/>
      <c r="O524" s="1002"/>
      <c r="P524" s="1002"/>
      <c r="Q524" s="1002"/>
      <c r="R524" s="1002"/>
      <c r="S524" s="1002"/>
      <c r="T524" s="1002"/>
      <c r="U524" s="1002"/>
      <c r="V524" s="1002"/>
      <c r="W524" s="1002"/>
      <c r="X524" s="1002"/>
      <c r="Y524" s="1002"/>
      <c r="Z524" s="1002"/>
      <c r="AA524" s="1002"/>
      <c r="AB524" s="1002"/>
      <c r="AC524" s="1002"/>
      <c r="AD524" s="1002"/>
      <c r="AE524" s="1002"/>
      <c r="AF524" s="1002"/>
      <c r="AG524" s="1002"/>
      <c r="AH524" s="1002"/>
      <c r="AI524" s="1002"/>
      <c r="AJ524" s="1002"/>
      <c r="AK524" s="1002"/>
      <c r="AL524" s="1002"/>
      <c r="AM524" s="1002"/>
      <c r="AN524" s="1002"/>
      <c r="AO524" s="1002"/>
      <c r="AP524" s="1002"/>
      <c r="AQ524" s="1002"/>
      <c r="AR524" s="1002"/>
      <c r="AS524" s="1002"/>
      <c r="AT524" s="1002"/>
      <c r="AU524" s="1002"/>
      <c r="AV524" s="1002"/>
      <c r="AW524" s="1002"/>
      <c r="AX524" s="1002"/>
      <c r="AY524" s="1002"/>
      <c r="AZ524" s="1002"/>
      <c r="BA524" s="1002"/>
      <c r="BB524" s="1002"/>
      <c r="BC524" s="1002"/>
      <c r="BD524" s="1002"/>
      <c r="BE524" s="204"/>
      <c r="BF524" s="205" t="s">
        <v>487</v>
      </c>
      <c r="BG524" s="204"/>
      <c r="BH524" s="204" t="s">
        <v>407</v>
      </c>
      <c r="BI524" s="205" t="s">
        <v>408</v>
      </c>
      <c r="BJ524" s="205" t="s">
        <v>409</v>
      </c>
      <c r="BK524" s="206"/>
    </row>
    <row r="525" spans="1:63" s="164" customFormat="1" ht="33" customHeight="1">
      <c r="A525" s="254"/>
      <c r="B525" s="255"/>
      <c r="C525" s="256" t="s">
        <v>411</v>
      </c>
      <c r="D525" s="233" t="s">
        <v>954</v>
      </c>
      <c r="E525" s="240"/>
      <c r="F525" s="241"/>
      <c r="G525" s="241"/>
      <c r="H525" s="241"/>
      <c r="I525" s="241"/>
      <c r="J525" s="241"/>
      <c r="K525" s="241"/>
      <c r="L525" s="241"/>
      <c r="M525" s="1007" t="s">
        <v>955</v>
      </c>
      <c r="N525" s="1008"/>
      <c r="O525" s="1008"/>
      <c r="P525" s="1008"/>
      <c r="Q525" s="1008"/>
      <c r="R525" s="1008"/>
      <c r="S525" s="1008"/>
      <c r="T525" s="1008"/>
      <c r="U525" s="1008"/>
      <c r="V525" s="1008"/>
      <c r="W525" s="1008"/>
      <c r="X525" s="1008"/>
      <c r="Y525" s="1008"/>
      <c r="Z525" s="1008"/>
      <c r="AA525" s="1008"/>
      <c r="AB525" s="1008"/>
      <c r="AC525" s="1008"/>
      <c r="AD525" s="1008"/>
      <c r="AE525" s="1008"/>
      <c r="AF525" s="1008"/>
      <c r="AG525" s="1008"/>
      <c r="AH525" s="1008"/>
      <c r="AI525" s="1008"/>
      <c r="AJ525" s="1008"/>
      <c r="AK525" s="1008"/>
      <c r="AL525" s="1008"/>
      <c r="AM525" s="1008"/>
      <c r="AN525" s="1008"/>
      <c r="AO525" s="1008"/>
      <c r="AP525" s="1008"/>
      <c r="AQ525" s="1008"/>
      <c r="AR525" s="1008"/>
      <c r="AS525" s="1008"/>
      <c r="AT525" s="1008"/>
      <c r="AU525" s="1008"/>
      <c r="AV525" s="1008"/>
      <c r="AW525" s="1008"/>
      <c r="AX525" s="1008"/>
      <c r="AY525" s="1008"/>
      <c r="AZ525" s="1008"/>
      <c r="BA525" s="1008"/>
      <c r="BB525" s="1008"/>
      <c r="BC525" s="1008"/>
      <c r="BD525" s="1009"/>
      <c r="BE525" s="242"/>
      <c r="BF525" s="241" t="s">
        <v>487</v>
      </c>
      <c r="BG525" s="204"/>
      <c r="BH525" s="204" t="s">
        <v>407</v>
      </c>
      <c r="BI525" s="205" t="s">
        <v>408</v>
      </c>
      <c r="BJ525" s="205" t="s">
        <v>409</v>
      </c>
      <c r="BK525" s="206"/>
    </row>
    <row r="526" spans="1:63" s="164" customFormat="1" ht="33" customHeight="1">
      <c r="A526" s="254"/>
      <c r="B526" s="255"/>
      <c r="C526" s="256" t="s">
        <v>411</v>
      </c>
      <c r="D526" s="233" t="s">
        <v>956</v>
      </c>
      <c r="E526" s="240"/>
      <c r="F526" s="241"/>
      <c r="G526" s="241"/>
      <c r="H526" s="241"/>
      <c r="I526" s="241"/>
      <c r="J526" s="241"/>
      <c r="K526" s="241"/>
      <c r="L526" s="241"/>
      <c r="M526" s="1007" t="s">
        <v>955</v>
      </c>
      <c r="N526" s="1008"/>
      <c r="O526" s="1008"/>
      <c r="P526" s="1008"/>
      <c r="Q526" s="1008"/>
      <c r="R526" s="1008"/>
      <c r="S526" s="1008"/>
      <c r="T526" s="1008"/>
      <c r="U526" s="1008"/>
      <c r="V526" s="1008"/>
      <c r="W526" s="1008"/>
      <c r="X526" s="1008"/>
      <c r="Y526" s="1008"/>
      <c r="Z526" s="1008"/>
      <c r="AA526" s="1008"/>
      <c r="AB526" s="1008"/>
      <c r="AC526" s="1008"/>
      <c r="AD526" s="1008"/>
      <c r="AE526" s="1008"/>
      <c r="AF526" s="1008"/>
      <c r="AG526" s="1008"/>
      <c r="AH526" s="1008"/>
      <c r="AI526" s="1008"/>
      <c r="AJ526" s="1008"/>
      <c r="AK526" s="1008"/>
      <c r="AL526" s="1008"/>
      <c r="AM526" s="1008"/>
      <c r="AN526" s="1008"/>
      <c r="AO526" s="1008"/>
      <c r="AP526" s="1008"/>
      <c r="AQ526" s="1008"/>
      <c r="AR526" s="1008"/>
      <c r="AS526" s="1008"/>
      <c r="AT526" s="1008"/>
      <c r="AU526" s="1008"/>
      <c r="AV526" s="1008"/>
      <c r="AW526" s="1008"/>
      <c r="AX526" s="1008"/>
      <c r="AY526" s="1008"/>
      <c r="AZ526" s="1008"/>
      <c r="BA526" s="1008"/>
      <c r="BB526" s="1008"/>
      <c r="BC526" s="1008"/>
      <c r="BD526" s="1009"/>
      <c r="BE526" s="242"/>
      <c r="BF526" s="241" t="s">
        <v>487</v>
      </c>
      <c r="BG526" s="204"/>
      <c r="BH526" s="204" t="s">
        <v>407</v>
      </c>
      <c r="BI526" s="205" t="s">
        <v>408</v>
      </c>
      <c r="BJ526" s="205" t="s">
        <v>409</v>
      </c>
      <c r="BK526" s="206"/>
    </row>
    <row r="527" spans="1:63" s="164" customFormat="1" ht="33" customHeight="1">
      <c r="A527" s="254"/>
      <c r="B527" s="255"/>
      <c r="C527" s="256" t="s">
        <v>411</v>
      </c>
      <c r="D527" s="233" t="s">
        <v>957</v>
      </c>
      <c r="E527" s="240"/>
      <c r="F527" s="241"/>
      <c r="G527" s="241"/>
      <c r="H527" s="241"/>
      <c r="I527" s="241"/>
      <c r="J527" s="241"/>
      <c r="K527" s="241"/>
      <c r="L527" s="241"/>
      <c r="M527" s="1007" t="s">
        <v>955</v>
      </c>
      <c r="N527" s="1008"/>
      <c r="O527" s="1008"/>
      <c r="P527" s="1008"/>
      <c r="Q527" s="1008"/>
      <c r="R527" s="1008"/>
      <c r="S527" s="1008"/>
      <c r="T527" s="1008"/>
      <c r="U527" s="1008"/>
      <c r="V527" s="1008"/>
      <c r="W527" s="1008"/>
      <c r="X527" s="1008"/>
      <c r="Y527" s="1008"/>
      <c r="Z527" s="1008"/>
      <c r="AA527" s="1008"/>
      <c r="AB527" s="1008"/>
      <c r="AC527" s="1008"/>
      <c r="AD527" s="1008"/>
      <c r="AE527" s="1008"/>
      <c r="AF527" s="1008"/>
      <c r="AG527" s="1008"/>
      <c r="AH527" s="1008"/>
      <c r="AI527" s="1008"/>
      <c r="AJ527" s="1008"/>
      <c r="AK527" s="1008"/>
      <c r="AL527" s="1008"/>
      <c r="AM527" s="1008"/>
      <c r="AN527" s="1008"/>
      <c r="AO527" s="1008"/>
      <c r="AP527" s="1008"/>
      <c r="AQ527" s="1008"/>
      <c r="AR527" s="1008"/>
      <c r="AS527" s="1008"/>
      <c r="AT527" s="1008"/>
      <c r="AU527" s="1008"/>
      <c r="AV527" s="1008"/>
      <c r="AW527" s="1008"/>
      <c r="AX527" s="1008"/>
      <c r="AY527" s="1008"/>
      <c r="AZ527" s="1008"/>
      <c r="BA527" s="1008"/>
      <c r="BB527" s="1008"/>
      <c r="BC527" s="1008"/>
      <c r="BD527" s="1009"/>
      <c r="BE527" s="242"/>
      <c r="BF527" s="241" t="s">
        <v>487</v>
      </c>
      <c r="BG527" s="204"/>
      <c r="BH527" s="204" t="s">
        <v>407</v>
      </c>
      <c r="BI527" s="205" t="s">
        <v>408</v>
      </c>
      <c r="BJ527" s="205" t="s">
        <v>409</v>
      </c>
      <c r="BK527" s="206"/>
    </row>
    <row r="528" spans="1:63" s="164" customFormat="1" ht="33" customHeight="1">
      <c r="A528" s="254"/>
      <c r="B528" s="255"/>
      <c r="C528" s="256" t="s">
        <v>411</v>
      </c>
      <c r="D528" s="233" t="s">
        <v>958</v>
      </c>
      <c r="E528" s="240"/>
      <c r="F528" s="241"/>
      <c r="G528" s="241"/>
      <c r="H528" s="241"/>
      <c r="I528" s="241"/>
      <c r="J528" s="241"/>
      <c r="K528" s="241"/>
      <c r="L528" s="241"/>
      <c r="M528" s="1007" t="s">
        <v>955</v>
      </c>
      <c r="N528" s="1008"/>
      <c r="O528" s="1008"/>
      <c r="P528" s="1008"/>
      <c r="Q528" s="1008"/>
      <c r="R528" s="1008"/>
      <c r="S528" s="1008"/>
      <c r="T528" s="1008"/>
      <c r="U528" s="1008"/>
      <c r="V528" s="1008"/>
      <c r="W528" s="1008"/>
      <c r="X528" s="1008"/>
      <c r="Y528" s="1008"/>
      <c r="Z528" s="1008"/>
      <c r="AA528" s="1008"/>
      <c r="AB528" s="1008"/>
      <c r="AC528" s="1008"/>
      <c r="AD528" s="1008"/>
      <c r="AE528" s="1008"/>
      <c r="AF528" s="1008"/>
      <c r="AG528" s="1008"/>
      <c r="AH528" s="1008"/>
      <c r="AI528" s="1008"/>
      <c r="AJ528" s="1008"/>
      <c r="AK528" s="1008"/>
      <c r="AL528" s="1008"/>
      <c r="AM528" s="1008"/>
      <c r="AN528" s="1008"/>
      <c r="AO528" s="1008"/>
      <c r="AP528" s="1008"/>
      <c r="AQ528" s="1008"/>
      <c r="AR528" s="1008"/>
      <c r="AS528" s="1008"/>
      <c r="AT528" s="1008"/>
      <c r="AU528" s="1008"/>
      <c r="AV528" s="1008"/>
      <c r="AW528" s="1008"/>
      <c r="AX528" s="1008"/>
      <c r="AY528" s="1008"/>
      <c r="AZ528" s="1008"/>
      <c r="BA528" s="1008"/>
      <c r="BB528" s="1008"/>
      <c r="BC528" s="1008"/>
      <c r="BD528" s="1009"/>
      <c r="BE528" s="242"/>
      <c r="BF528" s="241" t="s">
        <v>487</v>
      </c>
      <c r="BG528" s="204"/>
      <c r="BH528" s="204" t="s">
        <v>407</v>
      </c>
      <c r="BI528" s="205" t="s">
        <v>408</v>
      </c>
      <c r="BJ528" s="205" t="s">
        <v>409</v>
      </c>
      <c r="BK528" s="206"/>
    </row>
    <row r="529" spans="1:63" s="164" customFormat="1" ht="33" customHeight="1">
      <c r="A529" s="254"/>
      <c r="B529" s="255"/>
      <c r="C529" s="256" t="s">
        <v>411</v>
      </c>
      <c r="D529" s="233" t="s">
        <v>959</v>
      </c>
      <c r="E529" s="240"/>
      <c r="F529" s="241"/>
      <c r="G529" s="241"/>
      <c r="H529" s="241"/>
      <c r="I529" s="241"/>
      <c r="J529" s="241"/>
      <c r="K529" s="241"/>
      <c r="L529" s="241"/>
      <c r="M529" s="1007" t="s">
        <v>955</v>
      </c>
      <c r="N529" s="1008"/>
      <c r="O529" s="1008"/>
      <c r="P529" s="1008"/>
      <c r="Q529" s="1008"/>
      <c r="R529" s="1008"/>
      <c r="S529" s="1008"/>
      <c r="T529" s="1008"/>
      <c r="U529" s="1008"/>
      <c r="V529" s="1008"/>
      <c r="W529" s="1008"/>
      <c r="X529" s="1008"/>
      <c r="Y529" s="1008"/>
      <c r="Z529" s="1008"/>
      <c r="AA529" s="1008"/>
      <c r="AB529" s="1008"/>
      <c r="AC529" s="1008"/>
      <c r="AD529" s="1008"/>
      <c r="AE529" s="1008"/>
      <c r="AF529" s="1008"/>
      <c r="AG529" s="1008"/>
      <c r="AH529" s="1008"/>
      <c r="AI529" s="1008"/>
      <c r="AJ529" s="1008"/>
      <c r="AK529" s="1008"/>
      <c r="AL529" s="1008"/>
      <c r="AM529" s="1008"/>
      <c r="AN529" s="1008"/>
      <c r="AO529" s="1008"/>
      <c r="AP529" s="1008"/>
      <c r="AQ529" s="1008"/>
      <c r="AR529" s="1008"/>
      <c r="AS529" s="1008"/>
      <c r="AT529" s="1008"/>
      <c r="AU529" s="1008"/>
      <c r="AV529" s="1008"/>
      <c r="AW529" s="1008"/>
      <c r="AX529" s="1008"/>
      <c r="AY529" s="1008"/>
      <c r="AZ529" s="1008"/>
      <c r="BA529" s="1008"/>
      <c r="BB529" s="1008"/>
      <c r="BC529" s="1008"/>
      <c r="BD529" s="1009"/>
      <c r="BE529" s="242"/>
      <c r="BF529" s="241" t="s">
        <v>487</v>
      </c>
      <c r="BG529" s="204"/>
      <c r="BH529" s="204" t="s">
        <v>407</v>
      </c>
      <c r="BI529" s="205" t="s">
        <v>408</v>
      </c>
      <c r="BJ529" s="205" t="s">
        <v>409</v>
      </c>
      <c r="BK529" s="206"/>
    </row>
    <row r="530" spans="1:63" s="164" customFormat="1" ht="33" customHeight="1">
      <c r="A530" s="254"/>
      <c r="B530" s="255"/>
      <c r="C530" s="256" t="s">
        <v>411</v>
      </c>
      <c r="D530" s="233" t="s">
        <v>960</v>
      </c>
      <c r="E530" s="240"/>
      <c r="F530" s="241"/>
      <c r="G530" s="241"/>
      <c r="H530" s="241"/>
      <c r="I530" s="241"/>
      <c r="J530" s="241"/>
      <c r="K530" s="241"/>
      <c r="L530" s="241"/>
      <c r="M530" s="1007" t="s">
        <v>955</v>
      </c>
      <c r="N530" s="1008"/>
      <c r="O530" s="1008"/>
      <c r="P530" s="1008"/>
      <c r="Q530" s="1008"/>
      <c r="R530" s="1008"/>
      <c r="S530" s="1008"/>
      <c r="T530" s="1008"/>
      <c r="U530" s="1008"/>
      <c r="V530" s="1008"/>
      <c r="W530" s="1008"/>
      <c r="X530" s="1008"/>
      <c r="Y530" s="1008"/>
      <c r="Z530" s="1008"/>
      <c r="AA530" s="1008"/>
      <c r="AB530" s="1008"/>
      <c r="AC530" s="1008"/>
      <c r="AD530" s="1008"/>
      <c r="AE530" s="1008"/>
      <c r="AF530" s="1008"/>
      <c r="AG530" s="1008"/>
      <c r="AH530" s="1008"/>
      <c r="AI530" s="1008"/>
      <c r="AJ530" s="1008"/>
      <c r="AK530" s="1008"/>
      <c r="AL530" s="1008"/>
      <c r="AM530" s="1008"/>
      <c r="AN530" s="1008"/>
      <c r="AO530" s="1008"/>
      <c r="AP530" s="1008"/>
      <c r="AQ530" s="1008"/>
      <c r="AR530" s="1008"/>
      <c r="AS530" s="1008"/>
      <c r="AT530" s="1008"/>
      <c r="AU530" s="1008"/>
      <c r="AV530" s="1008"/>
      <c r="AW530" s="1008"/>
      <c r="AX530" s="1008"/>
      <c r="AY530" s="1008"/>
      <c r="AZ530" s="1008"/>
      <c r="BA530" s="1008"/>
      <c r="BB530" s="1008"/>
      <c r="BC530" s="1008"/>
      <c r="BD530" s="1009"/>
      <c r="BE530" s="242"/>
      <c r="BF530" s="241" t="s">
        <v>548</v>
      </c>
      <c r="BG530" s="204"/>
      <c r="BH530" s="204" t="s">
        <v>407</v>
      </c>
      <c r="BI530" s="205" t="s">
        <v>408</v>
      </c>
      <c r="BJ530" s="205" t="s">
        <v>409</v>
      </c>
      <c r="BK530" s="206"/>
    </row>
    <row r="531" spans="1:63" s="164" customFormat="1" ht="33" customHeight="1">
      <c r="A531" s="254"/>
      <c r="B531" s="255"/>
      <c r="C531" s="256" t="s">
        <v>411</v>
      </c>
      <c r="D531" s="233" t="s">
        <v>961</v>
      </c>
      <c r="E531" s="240"/>
      <c r="F531" s="241"/>
      <c r="G531" s="241"/>
      <c r="H531" s="241"/>
      <c r="I531" s="241"/>
      <c r="J531" s="241"/>
      <c r="K531" s="241"/>
      <c r="L531" s="241"/>
      <c r="M531" s="1007" t="s">
        <v>955</v>
      </c>
      <c r="N531" s="1008"/>
      <c r="O531" s="1008"/>
      <c r="P531" s="1008"/>
      <c r="Q531" s="1008"/>
      <c r="R531" s="1008"/>
      <c r="S531" s="1008"/>
      <c r="T531" s="1008"/>
      <c r="U531" s="1008"/>
      <c r="V531" s="1008"/>
      <c r="W531" s="1008"/>
      <c r="X531" s="1008"/>
      <c r="Y531" s="1008"/>
      <c r="Z531" s="1008"/>
      <c r="AA531" s="1008"/>
      <c r="AB531" s="1008"/>
      <c r="AC531" s="1008"/>
      <c r="AD531" s="1008"/>
      <c r="AE531" s="1008"/>
      <c r="AF531" s="1008"/>
      <c r="AG531" s="1008"/>
      <c r="AH531" s="1008"/>
      <c r="AI531" s="1008"/>
      <c r="AJ531" s="1008"/>
      <c r="AK531" s="1008"/>
      <c r="AL531" s="1008"/>
      <c r="AM531" s="1008"/>
      <c r="AN531" s="1008"/>
      <c r="AO531" s="1008"/>
      <c r="AP531" s="1008"/>
      <c r="AQ531" s="1008"/>
      <c r="AR531" s="1008"/>
      <c r="AS531" s="1008"/>
      <c r="AT531" s="1008"/>
      <c r="AU531" s="1008"/>
      <c r="AV531" s="1008"/>
      <c r="AW531" s="1008"/>
      <c r="AX531" s="1008"/>
      <c r="AY531" s="1008"/>
      <c r="AZ531" s="1008"/>
      <c r="BA531" s="1008"/>
      <c r="BB531" s="1008"/>
      <c r="BC531" s="1008"/>
      <c r="BD531" s="1009"/>
      <c r="BE531" s="242"/>
      <c r="BF531" s="241" t="s">
        <v>462</v>
      </c>
      <c r="BG531" s="204"/>
      <c r="BH531" s="204" t="s">
        <v>407</v>
      </c>
      <c r="BI531" s="205" t="s">
        <v>408</v>
      </c>
      <c r="BJ531" s="205" t="s">
        <v>409</v>
      </c>
      <c r="BK531" s="206"/>
    </row>
    <row r="532" spans="1:63" s="164" customFormat="1" ht="15.75" customHeight="1">
      <c r="A532" s="185"/>
      <c r="B532" s="193"/>
      <c r="C532" s="251" t="s">
        <v>411</v>
      </c>
      <c r="D532" s="183" t="s">
        <v>575</v>
      </c>
      <c r="E532" s="184"/>
      <c r="F532" s="184"/>
      <c r="G532" s="184"/>
      <c r="H532" s="184"/>
      <c r="I532" s="184"/>
      <c r="J532" s="184"/>
      <c r="K532" s="184"/>
      <c r="L532" s="193"/>
      <c r="M532" s="1003"/>
      <c r="N532" s="1002"/>
      <c r="O532" s="1002"/>
      <c r="P532" s="1002"/>
      <c r="Q532" s="1002"/>
      <c r="R532" s="1002"/>
      <c r="S532" s="1002"/>
      <c r="T532" s="1002"/>
      <c r="U532" s="1002"/>
      <c r="V532" s="1002"/>
      <c r="W532" s="1002"/>
      <c r="X532" s="1002"/>
      <c r="Y532" s="1002"/>
      <c r="Z532" s="1002"/>
      <c r="AA532" s="1002"/>
      <c r="AB532" s="1002"/>
      <c r="AC532" s="1002"/>
      <c r="AD532" s="1002"/>
      <c r="AE532" s="1002"/>
      <c r="AF532" s="1002"/>
      <c r="AG532" s="1002"/>
      <c r="AH532" s="1002"/>
      <c r="AI532" s="1002"/>
      <c r="AJ532" s="1002"/>
      <c r="AK532" s="1002"/>
      <c r="AL532" s="1002"/>
      <c r="AM532" s="1002"/>
      <c r="AN532" s="1002"/>
      <c r="AO532" s="1002"/>
      <c r="AP532" s="1002"/>
      <c r="AQ532" s="1002"/>
      <c r="AR532" s="1002"/>
      <c r="AS532" s="1002"/>
      <c r="AT532" s="1002"/>
      <c r="AU532" s="1002"/>
      <c r="AV532" s="1002"/>
      <c r="AW532" s="1002"/>
      <c r="AX532" s="1002"/>
      <c r="AY532" s="1002"/>
      <c r="AZ532" s="1002"/>
      <c r="BA532" s="1002"/>
      <c r="BB532" s="1002"/>
      <c r="BC532" s="1002"/>
      <c r="BD532" s="1002"/>
      <c r="BE532" s="204"/>
      <c r="BF532" s="205" t="s">
        <v>487</v>
      </c>
      <c r="BG532" s="204"/>
      <c r="BH532" s="204" t="s">
        <v>407</v>
      </c>
      <c r="BI532" s="205" t="s">
        <v>408</v>
      </c>
      <c r="BJ532" s="205" t="s">
        <v>409</v>
      </c>
      <c r="BK532" s="206"/>
    </row>
    <row r="533" spans="1:63" s="164" customFormat="1" ht="15.75" customHeight="1">
      <c r="A533" s="185"/>
      <c r="B533" s="193"/>
      <c r="C533" s="251" t="s">
        <v>411</v>
      </c>
      <c r="D533" s="183" t="s">
        <v>576</v>
      </c>
      <c r="E533" s="184"/>
      <c r="F533" s="184"/>
      <c r="G533" s="184"/>
      <c r="H533" s="184"/>
      <c r="I533" s="184"/>
      <c r="J533" s="184"/>
      <c r="K533" s="184"/>
      <c r="L533" s="193"/>
      <c r="M533" s="1003"/>
      <c r="N533" s="1002"/>
      <c r="O533" s="1002"/>
      <c r="P533" s="1002"/>
      <c r="Q533" s="1002"/>
      <c r="R533" s="1002"/>
      <c r="S533" s="1002"/>
      <c r="T533" s="1002"/>
      <c r="U533" s="1002"/>
      <c r="V533" s="1002"/>
      <c r="W533" s="1002"/>
      <c r="X533" s="1002"/>
      <c r="Y533" s="1002"/>
      <c r="Z533" s="1002"/>
      <c r="AA533" s="1002"/>
      <c r="AB533" s="1002"/>
      <c r="AC533" s="1002"/>
      <c r="AD533" s="1002"/>
      <c r="AE533" s="1002"/>
      <c r="AF533" s="1002"/>
      <c r="AG533" s="1002"/>
      <c r="AH533" s="1002"/>
      <c r="AI533" s="1002"/>
      <c r="AJ533" s="1002"/>
      <c r="AK533" s="1002"/>
      <c r="AL533" s="1002"/>
      <c r="AM533" s="1002"/>
      <c r="AN533" s="1002"/>
      <c r="AO533" s="1002"/>
      <c r="AP533" s="1002"/>
      <c r="AQ533" s="1002"/>
      <c r="AR533" s="1002"/>
      <c r="AS533" s="1002"/>
      <c r="AT533" s="1002"/>
      <c r="AU533" s="1002"/>
      <c r="AV533" s="1002"/>
      <c r="AW533" s="1002"/>
      <c r="AX533" s="1002"/>
      <c r="AY533" s="1002"/>
      <c r="AZ533" s="1002"/>
      <c r="BA533" s="1002"/>
      <c r="BB533" s="1002"/>
      <c r="BC533" s="1002"/>
      <c r="BD533" s="1002"/>
      <c r="BE533" s="204"/>
      <c r="BF533" s="205" t="s">
        <v>487</v>
      </c>
      <c r="BG533" s="204"/>
      <c r="BH533" s="204" t="s">
        <v>407</v>
      </c>
      <c r="BI533" s="205" t="s">
        <v>408</v>
      </c>
      <c r="BJ533" s="205" t="s">
        <v>409</v>
      </c>
      <c r="BK533" s="206"/>
    </row>
    <row r="534" spans="1:63" s="164" customFormat="1" ht="15.75" customHeight="1">
      <c r="A534" s="185"/>
      <c r="B534" s="193"/>
      <c r="C534" s="251" t="s">
        <v>411</v>
      </c>
      <c r="D534" s="183" t="s">
        <v>577</v>
      </c>
      <c r="E534" s="184"/>
      <c r="F534" s="184"/>
      <c r="G534" s="184"/>
      <c r="H534" s="184"/>
      <c r="I534" s="184"/>
      <c r="J534" s="184"/>
      <c r="K534" s="184"/>
      <c r="L534" s="193"/>
      <c r="M534" s="1003"/>
      <c r="N534" s="1002"/>
      <c r="O534" s="1002"/>
      <c r="P534" s="1002"/>
      <c r="Q534" s="1002"/>
      <c r="R534" s="1002"/>
      <c r="S534" s="1002"/>
      <c r="T534" s="1002"/>
      <c r="U534" s="1002"/>
      <c r="V534" s="1002"/>
      <c r="W534" s="1002"/>
      <c r="X534" s="1002"/>
      <c r="Y534" s="1002"/>
      <c r="Z534" s="1002"/>
      <c r="AA534" s="1002"/>
      <c r="AB534" s="1002"/>
      <c r="AC534" s="1002"/>
      <c r="AD534" s="1002"/>
      <c r="AE534" s="1002"/>
      <c r="AF534" s="1002"/>
      <c r="AG534" s="1002"/>
      <c r="AH534" s="1002"/>
      <c r="AI534" s="1002"/>
      <c r="AJ534" s="1002"/>
      <c r="AK534" s="1002"/>
      <c r="AL534" s="1002"/>
      <c r="AM534" s="1002"/>
      <c r="AN534" s="1002"/>
      <c r="AO534" s="1002"/>
      <c r="AP534" s="1002"/>
      <c r="AQ534" s="1002"/>
      <c r="AR534" s="1002"/>
      <c r="AS534" s="1002"/>
      <c r="AT534" s="1002"/>
      <c r="AU534" s="1002"/>
      <c r="AV534" s="1002"/>
      <c r="AW534" s="1002"/>
      <c r="AX534" s="1002"/>
      <c r="AY534" s="1002"/>
      <c r="AZ534" s="1002"/>
      <c r="BA534" s="1002"/>
      <c r="BB534" s="1002"/>
      <c r="BC534" s="1002"/>
      <c r="BD534" s="1002"/>
      <c r="BE534" s="204"/>
      <c r="BF534" s="205" t="s">
        <v>487</v>
      </c>
      <c r="BG534" s="204"/>
      <c r="BH534" s="204" t="s">
        <v>407</v>
      </c>
      <c r="BI534" s="205" t="s">
        <v>408</v>
      </c>
      <c r="BJ534" s="205" t="s">
        <v>409</v>
      </c>
      <c r="BK534" s="206"/>
    </row>
    <row r="535" spans="1:63" s="164" customFormat="1" ht="34.5" customHeight="1">
      <c r="A535" s="254"/>
      <c r="B535" s="255"/>
      <c r="C535" s="256" t="s">
        <v>411</v>
      </c>
      <c r="D535" s="233" t="s">
        <v>962</v>
      </c>
      <c r="E535" s="240"/>
      <c r="F535" s="241"/>
      <c r="G535" s="241"/>
      <c r="H535" s="241"/>
      <c r="I535" s="241"/>
      <c r="J535" s="241"/>
      <c r="K535" s="241"/>
      <c r="L535" s="241"/>
      <c r="M535" s="1007" t="s">
        <v>955</v>
      </c>
      <c r="N535" s="1008"/>
      <c r="O535" s="1008"/>
      <c r="P535" s="1008"/>
      <c r="Q535" s="1008"/>
      <c r="R535" s="1008"/>
      <c r="S535" s="1008"/>
      <c r="T535" s="1008"/>
      <c r="U535" s="1008"/>
      <c r="V535" s="1008"/>
      <c r="W535" s="1008"/>
      <c r="X535" s="1008"/>
      <c r="Y535" s="1008"/>
      <c r="Z535" s="1008"/>
      <c r="AA535" s="1008"/>
      <c r="AB535" s="1008"/>
      <c r="AC535" s="1008"/>
      <c r="AD535" s="1008"/>
      <c r="AE535" s="1008"/>
      <c r="AF535" s="1008"/>
      <c r="AG535" s="1008"/>
      <c r="AH535" s="1008"/>
      <c r="AI535" s="1008"/>
      <c r="AJ535" s="1008"/>
      <c r="AK535" s="1008"/>
      <c r="AL535" s="1008"/>
      <c r="AM535" s="1008"/>
      <c r="AN535" s="1008"/>
      <c r="AO535" s="1008"/>
      <c r="AP535" s="1008"/>
      <c r="AQ535" s="1008"/>
      <c r="AR535" s="1008"/>
      <c r="AS535" s="1008"/>
      <c r="AT535" s="1008"/>
      <c r="AU535" s="1008"/>
      <c r="AV535" s="1008"/>
      <c r="AW535" s="1008"/>
      <c r="AX535" s="1008"/>
      <c r="AY535" s="1008"/>
      <c r="AZ535" s="1008"/>
      <c r="BA535" s="1008"/>
      <c r="BB535" s="1008"/>
      <c r="BC535" s="1008"/>
      <c r="BD535" s="1009"/>
      <c r="BE535" s="242"/>
      <c r="BF535" s="241" t="s">
        <v>487</v>
      </c>
      <c r="BG535" s="242" t="s">
        <v>406</v>
      </c>
      <c r="BH535" s="204" t="s">
        <v>407</v>
      </c>
      <c r="BI535" s="205" t="s">
        <v>408</v>
      </c>
      <c r="BJ535" s="205" t="s">
        <v>409</v>
      </c>
      <c r="BK535" s="206"/>
    </row>
    <row r="536" spans="1:63" s="164" customFormat="1" ht="34.5" customHeight="1">
      <c r="A536" s="254"/>
      <c r="B536" s="255"/>
      <c r="C536" s="256" t="s">
        <v>411</v>
      </c>
      <c r="D536" s="233" t="s">
        <v>963</v>
      </c>
      <c r="E536" s="240"/>
      <c r="F536" s="241"/>
      <c r="G536" s="241"/>
      <c r="H536" s="241"/>
      <c r="I536" s="241"/>
      <c r="J536" s="241"/>
      <c r="K536" s="241"/>
      <c r="L536" s="241"/>
      <c r="M536" s="1007" t="s">
        <v>955</v>
      </c>
      <c r="N536" s="1008"/>
      <c r="O536" s="1008"/>
      <c r="P536" s="1008"/>
      <c r="Q536" s="1008"/>
      <c r="R536" s="1008"/>
      <c r="S536" s="1008"/>
      <c r="T536" s="1008"/>
      <c r="U536" s="1008"/>
      <c r="V536" s="1008"/>
      <c r="W536" s="1008"/>
      <c r="X536" s="1008"/>
      <c r="Y536" s="1008"/>
      <c r="Z536" s="1008"/>
      <c r="AA536" s="1008"/>
      <c r="AB536" s="1008"/>
      <c r="AC536" s="1008"/>
      <c r="AD536" s="1008"/>
      <c r="AE536" s="1008"/>
      <c r="AF536" s="1008"/>
      <c r="AG536" s="1008"/>
      <c r="AH536" s="1008"/>
      <c r="AI536" s="1008"/>
      <c r="AJ536" s="1008"/>
      <c r="AK536" s="1008"/>
      <c r="AL536" s="1008"/>
      <c r="AM536" s="1008"/>
      <c r="AN536" s="1008"/>
      <c r="AO536" s="1008"/>
      <c r="AP536" s="1008"/>
      <c r="AQ536" s="1008"/>
      <c r="AR536" s="1008"/>
      <c r="AS536" s="1008"/>
      <c r="AT536" s="1008"/>
      <c r="AU536" s="1008"/>
      <c r="AV536" s="1008"/>
      <c r="AW536" s="1008"/>
      <c r="AX536" s="1008"/>
      <c r="AY536" s="1008"/>
      <c r="AZ536" s="1008"/>
      <c r="BA536" s="1008"/>
      <c r="BB536" s="1008"/>
      <c r="BC536" s="1008"/>
      <c r="BD536" s="1009"/>
      <c r="BE536" s="242"/>
      <c r="BF536" s="241" t="s">
        <v>487</v>
      </c>
      <c r="BG536" s="242" t="s">
        <v>406</v>
      </c>
      <c r="BH536" s="204" t="s">
        <v>407</v>
      </c>
      <c r="BI536" s="205" t="s">
        <v>408</v>
      </c>
      <c r="BJ536" s="205" t="s">
        <v>409</v>
      </c>
      <c r="BK536" s="206"/>
    </row>
    <row r="537" spans="1:63" s="164" customFormat="1" ht="34.5" customHeight="1">
      <c r="A537" s="254"/>
      <c r="B537" s="255"/>
      <c r="C537" s="256" t="s">
        <v>411</v>
      </c>
      <c r="D537" s="233" t="s">
        <v>964</v>
      </c>
      <c r="E537" s="240"/>
      <c r="F537" s="241"/>
      <c r="G537" s="241"/>
      <c r="H537" s="241"/>
      <c r="I537" s="241"/>
      <c r="J537" s="241"/>
      <c r="K537" s="241"/>
      <c r="L537" s="241"/>
      <c r="M537" s="1007" t="s">
        <v>955</v>
      </c>
      <c r="N537" s="1008"/>
      <c r="O537" s="1008"/>
      <c r="P537" s="1008"/>
      <c r="Q537" s="1008"/>
      <c r="R537" s="1008"/>
      <c r="S537" s="1008"/>
      <c r="T537" s="1008"/>
      <c r="U537" s="1008"/>
      <c r="V537" s="1008"/>
      <c r="W537" s="1008"/>
      <c r="X537" s="1008"/>
      <c r="Y537" s="1008"/>
      <c r="Z537" s="1008"/>
      <c r="AA537" s="1008"/>
      <c r="AB537" s="1008"/>
      <c r="AC537" s="1008"/>
      <c r="AD537" s="1008"/>
      <c r="AE537" s="1008"/>
      <c r="AF537" s="1008"/>
      <c r="AG537" s="1008"/>
      <c r="AH537" s="1008"/>
      <c r="AI537" s="1008"/>
      <c r="AJ537" s="1008"/>
      <c r="AK537" s="1008"/>
      <c r="AL537" s="1008"/>
      <c r="AM537" s="1008"/>
      <c r="AN537" s="1008"/>
      <c r="AO537" s="1008"/>
      <c r="AP537" s="1008"/>
      <c r="AQ537" s="1008"/>
      <c r="AR537" s="1008"/>
      <c r="AS537" s="1008"/>
      <c r="AT537" s="1008"/>
      <c r="AU537" s="1008"/>
      <c r="AV537" s="1008"/>
      <c r="AW537" s="1008"/>
      <c r="AX537" s="1008"/>
      <c r="AY537" s="1008"/>
      <c r="AZ537" s="1008"/>
      <c r="BA537" s="1008"/>
      <c r="BB537" s="1008"/>
      <c r="BC537" s="1008"/>
      <c r="BD537" s="1009"/>
      <c r="BE537" s="242"/>
      <c r="BF537" s="241" t="s">
        <v>487</v>
      </c>
      <c r="BG537" s="242" t="s">
        <v>406</v>
      </c>
      <c r="BH537" s="204" t="s">
        <v>407</v>
      </c>
      <c r="BI537" s="205" t="s">
        <v>408</v>
      </c>
      <c r="BJ537" s="205" t="s">
        <v>409</v>
      </c>
      <c r="BK537" s="206"/>
    </row>
    <row r="538" spans="1:63" s="164" customFormat="1" ht="34.5" customHeight="1">
      <c r="A538" s="254"/>
      <c r="B538" s="255"/>
      <c r="C538" s="256" t="s">
        <v>411</v>
      </c>
      <c r="D538" s="233" t="s">
        <v>965</v>
      </c>
      <c r="E538" s="240"/>
      <c r="F538" s="241"/>
      <c r="G538" s="241"/>
      <c r="H538" s="241"/>
      <c r="I538" s="241"/>
      <c r="J538" s="241"/>
      <c r="K538" s="241"/>
      <c r="L538" s="241"/>
      <c r="M538" s="1007" t="s">
        <v>955</v>
      </c>
      <c r="N538" s="1008"/>
      <c r="O538" s="1008"/>
      <c r="P538" s="1008"/>
      <c r="Q538" s="1008"/>
      <c r="R538" s="1008"/>
      <c r="S538" s="1008"/>
      <c r="T538" s="1008"/>
      <c r="U538" s="1008"/>
      <c r="V538" s="1008"/>
      <c r="W538" s="1008"/>
      <c r="X538" s="1008"/>
      <c r="Y538" s="1008"/>
      <c r="Z538" s="1008"/>
      <c r="AA538" s="1008"/>
      <c r="AB538" s="1008"/>
      <c r="AC538" s="1008"/>
      <c r="AD538" s="1008"/>
      <c r="AE538" s="1008"/>
      <c r="AF538" s="1008"/>
      <c r="AG538" s="1008"/>
      <c r="AH538" s="1008"/>
      <c r="AI538" s="1008"/>
      <c r="AJ538" s="1008"/>
      <c r="AK538" s="1008"/>
      <c r="AL538" s="1008"/>
      <c r="AM538" s="1008"/>
      <c r="AN538" s="1008"/>
      <c r="AO538" s="1008"/>
      <c r="AP538" s="1008"/>
      <c r="AQ538" s="1008"/>
      <c r="AR538" s="1008"/>
      <c r="AS538" s="1008"/>
      <c r="AT538" s="1008"/>
      <c r="AU538" s="1008"/>
      <c r="AV538" s="1008"/>
      <c r="AW538" s="1008"/>
      <c r="AX538" s="1008"/>
      <c r="AY538" s="1008"/>
      <c r="AZ538" s="1008"/>
      <c r="BA538" s="1008"/>
      <c r="BB538" s="1008"/>
      <c r="BC538" s="1008"/>
      <c r="BD538" s="1009"/>
      <c r="BE538" s="242"/>
      <c r="BF538" s="241" t="s">
        <v>487</v>
      </c>
      <c r="BG538" s="242" t="s">
        <v>406</v>
      </c>
      <c r="BH538" s="204" t="s">
        <v>407</v>
      </c>
      <c r="BI538" s="205" t="s">
        <v>408</v>
      </c>
      <c r="BJ538" s="205" t="s">
        <v>409</v>
      </c>
      <c r="BK538" s="206"/>
    </row>
    <row r="539" spans="1:63" s="164" customFormat="1" ht="34.5" customHeight="1">
      <c r="A539" s="254"/>
      <c r="B539" s="255"/>
      <c r="C539" s="256" t="s">
        <v>411</v>
      </c>
      <c r="D539" s="233" t="s">
        <v>966</v>
      </c>
      <c r="E539" s="240"/>
      <c r="F539" s="241"/>
      <c r="G539" s="241"/>
      <c r="H539" s="241"/>
      <c r="I539" s="241"/>
      <c r="J539" s="241"/>
      <c r="K539" s="241"/>
      <c r="L539" s="241"/>
      <c r="M539" s="1007" t="s">
        <v>955</v>
      </c>
      <c r="N539" s="1008"/>
      <c r="O539" s="1008"/>
      <c r="P539" s="1008"/>
      <c r="Q539" s="1008"/>
      <c r="R539" s="1008"/>
      <c r="S539" s="1008"/>
      <c r="T539" s="1008"/>
      <c r="U539" s="1008"/>
      <c r="V539" s="1008"/>
      <c r="W539" s="1008"/>
      <c r="X539" s="1008"/>
      <c r="Y539" s="1008"/>
      <c r="Z539" s="1008"/>
      <c r="AA539" s="1008"/>
      <c r="AB539" s="1008"/>
      <c r="AC539" s="1008"/>
      <c r="AD539" s="1008"/>
      <c r="AE539" s="1008"/>
      <c r="AF539" s="1008"/>
      <c r="AG539" s="1008"/>
      <c r="AH539" s="1008"/>
      <c r="AI539" s="1008"/>
      <c r="AJ539" s="1008"/>
      <c r="AK539" s="1008"/>
      <c r="AL539" s="1008"/>
      <c r="AM539" s="1008"/>
      <c r="AN539" s="1008"/>
      <c r="AO539" s="1008"/>
      <c r="AP539" s="1008"/>
      <c r="AQ539" s="1008"/>
      <c r="AR539" s="1008"/>
      <c r="AS539" s="1008"/>
      <c r="AT539" s="1008"/>
      <c r="AU539" s="1008"/>
      <c r="AV539" s="1008"/>
      <c r="AW539" s="1008"/>
      <c r="AX539" s="1008"/>
      <c r="AY539" s="1008"/>
      <c r="AZ539" s="1008"/>
      <c r="BA539" s="1008"/>
      <c r="BB539" s="1008"/>
      <c r="BC539" s="1008"/>
      <c r="BD539" s="1009"/>
      <c r="BE539" s="242"/>
      <c r="BF539" s="241" t="s">
        <v>487</v>
      </c>
      <c r="BG539" s="242" t="s">
        <v>406</v>
      </c>
      <c r="BH539" s="204" t="s">
        <v>407</v>
      </c>
      <c r="BI539" s="205" t="s">
        <v>408</v>
      </c>
      <c r="BJ539" s="205" t="s">
        <v>409</v>
      </c>
      <c r="BK539" s="206"/>
    </row>
    <row r="540" spans="1:63" s="164" customFormat="1" ht="34.5" customHeight="1">
      <c r="A540" s="254"/>
      <c r="B540" s="255"/>
      <c r="C540" s="256" t="s">
        <v>411</v>
      </c>
      <c r="D540" s="233" t="s">
        <v>967</v>
      </c>
      <c r="E540" s="240"/>
      <c r="F540" s="241"/>
      <c r="G540" s="241"/>
      <c r="H540" s="241"/>
      <c r="I540" s="241"/>
      <c r="J540" s="241"/>
      <c r="K540" s="241"/>
      <c r="L540" s="241"/>
      <c r="M540" s="1007" t="s">
        <v>955</v>
      </c>
      <c r="N540" s="1008"/>
      <c r="O540" s="1008"/>
      <c r="P540" s="1008"/>
      <c r="Q540" s="1008"/>
      <c r="R540" s="1008"/>
      <c r="S540" s="1008"/>
      <c r="T540" s="1008"/>
      <c r="U540" s="1008"/>
      <c r="V540" s="1008"/>
      <c r="W540" s="1008"/>
      <c r="X540" s="1008"/>
      <c r="Y540" s="1008"/>
      <c r="Z540" s="1008"/>
      <c r="AA540" s="1008"/>
      <c r="AB540" s="1008"/>
      <c r="AC540" s="1008"/>
      <c r="AD540" s="1008"/>
      <c r="AE540" s="1008"/>
      <c r="AF540" s="1008"/>
      <c r="AG540" s="1008"/>
      <c r="AH540" s="1008"/>
      <c r="AI540" s="1008"/>
      <c r="AJ540" s="1008"/>
      <c r="AK540" s="1008"/>
      <c r="AL540" s="1008"/>
      <c r="AM540" s="1008"/>
      <c r="AN540" s="1008"/>
      <c r="AO540" s="1008"/>
      <c r="AP540" s="1008"/>
      <c r="AQ540" s="1008"/>
      <c r="AR540" s="1008"/>
      <c r="AS540" s="1008"/>
      <c r="AT540" s="1008"/>
      <c r="AU540" s="1008"/>
      <c r="AV540" s="1008"/>
      <c r="AW540" s="1008"/>
      <c r="AX540" s="1008"/>
      <c r="AY540" s="1008"/>
      <c r="AZ540" s="1008"/>
      <c r="BA540" s="1008"/>
      <c r="BB540" s="1008"/>
      <c r="BC540" s="1008"/>
      <c r="BD540" s="1009"/>
      <c r="BE540" s="242"/>
      <c r="BF540" s="241" t="s">
        <v>548</v>
      </c>
      <c r="BG540" s="242" t="s">
        <v>406</v>
      </c>
      <c r="BH540" s="204" t="s">
        <v>407</v>
      </c>
      <c r="BI540" s="205" t="s">
        <v>408</v>
      </c>
      <c r="BJ540" s="205" t="s">
        <v>409</v>
      </c>
      <c r="BK540" s="206"/>
    </row>
    <row r="541" spans="1:63" s="164" customFormat="1" ht="34.5" customHeight="1">
      <c r="A541" s="254"/>
      <c r="B541" s="255"/>
      <c r="C541" s="256" t="s">
        <v>411</v>
      </c>
      <c r="D541" s="233" t="s">
        <v>968</v>
      </c>
      <c r="E541" s="240"/>
      <c r="F541" s="241"/>
      <c r="G541" s="241"/>
      <c r="H541" s="241"/>
      <c r="I541" s="241"/>
      <c r="J541" s="241"/>
      <c r="K541" s="241"/>
      <c r="L541" s="241"/>
      <c r="M541" s="1007" t="s">
        <v>955</v>
      </c>
      <c r="N541" s="1008"/>
      <c r="O541" s="1008"/>
      <c r="P541" s="1008"/>
      <c r="Q541" s="1008"/>
      <c r="R541" s="1008"/>
      <c r="S541" s="1008"/>
      <c r="T541" s="1008"/>
      <c r="U541" s="1008"/>
      <c r="V541" s="1008"/>
      <c r="W541" s="1008"/>
      <c r="X541" s="1008"/>
      <c r="Y541" s="1008"/>
      <c r="Z541" s="1008"/>
      <c r="AA541" s="1008"/>
      <c r="AB541" s="1008"/>
      <c r="AC541" s="1008"/>
      <c r="AD541" s="1008"/>
      <c r="AE541" s="1008"/>
      <c r="AF541" s="1008"/>
      <c r="AG541" s="1008"/>
      <c r="AH541" s="1008"/>
      <c r="AI541" s="1008"/>
      <c r="AJ541" s="1008"/>
      <c r="AK541" s="1008"/>
      <c r="AL541" s="1008"/>
      <c r="AM541" s="1008"/>
      <c r="AN541" s="1008"/>
      <c r="AO541" s="1008"/>
      <c r="AP541" s="1008"/>
      <c r="AQ541" s="1008"/>
      <c r="AR541" s="1008"/>
      <c r="AS541" s="1008"/>
      <c r="AT541" s="1008"/>
      <c r="AU541" s="1008"/>
      <c r="AV541" s="1008"/>
      <c r="AW541" s="1008"/>
      <c r="AX541" s="1008"/>
      <c r="AY541" s="1008"/>
      <c r="AZ541" s="1008"/>
      <c r="BA541" s="1008"/>
      <c r="BB541" s="1008"/>
      <c r="BC541" s="1008"/>
      <c r="BD541" s="1009"/>
      <c r="BE541" s="242"/>
      <c r="BF541" s="241" t="s">
        <v>462</v>
      </c>
      <c r="BG541" s="242" t="s">
        <v>406</v>
      </c>
      <c r="BH541" s="204" t="s">
        <v>407</v>
      </c>
      <c r="BI541" s="205" t="s">
        <v>408</v>
      </c>
      <c r="BJ541" s="205" t="s">
        <v>409</v>
      </c>
      <c r="BK541" s="206"/>
    </row>
    <row r="542" spans="1:63" s="164" customFormat="1" ht="15.75" customHeight="1">
      <c r="A542" s="185"/>
      <c r="B542" s="193"/>
      <c r="C542" s="184"/>
      <c r="D542" s="183" t="s">
        <v>569</v>
      </c>
      <c r="E542" s="184"/>
      <c r="F542" s="184"/>
      <c r="G542" s="184"/>
      <c r="H542" s="184"/>
      <c r="I542" s="184"/>
      <c r="J542" s="184"/>
      <c r="K542" s="184"/>
      <c r="L542" s="193"/>
      <c r="M542" s="1003"/>
      <c r="N542" s="1002"/>
      <c r="O542" s="1002"/>
      <c r="P542" s="1002"/>
      <c r="Q542" s="1002"/>
      <c r="R542" s="1002"/>
      <c r="S542" s="1002"/>
      <c r="T542" s="1002"/>
      <c r="U542" s="1002"/>
      <c r="V542" s="1002"/>
      <c r="W542" s="1002"/>
      <c r="X542" s="1002"/>
      <c r="Y542" s="1002"/>
      <c r="Z542" s="1002"/>
      <c r="AA542" s="1002"/>
      <c r="AB542" s="1002"/>
      <c r="AC542" s="1002"/>
      <c r="AD542" s="1002"/>
      <c r="AE542" s="1002"/>
      <c r="AF542" s="1002"/>
      <c r="AG542" s="1002"/>
      <c r="AH542" s="1002"/>
      <c r="AI542" s="1002"/>
      <c r="AJ542" s="1002"/>
      <c r="AK542" s="1002"/>
      <c r="AL542" s="1002"/>
      <c r="AM542" s="1002"/>
      <c r="AN542" s="1002"/>
      <c r="AO542" s="1002"/>
      <c r="AP542" s="1002"/>
      <c r="AQ542" s="1002"/>
      <c r="AR542" s="1002"/>
      <c r="AS542" s="1002"/>
      <c r="AT542" s="1002"/>
      <c r="AU542" s="1002"/>
      <c r="AV542" s="1002"/>
      <c r="AW542" s="1002"/>
      <c r="AX542" s="1002"/>
      <c r="AY542" s="1002"/>
      <c r="AZ542" s="1002"/>
      <c r="BA542" s="1002"/>
      <c r="BB542" s="1002"/>
      <c r="BC542" s="1002"/>
      <c r="BD542" s="1002"/>
      <c r="BE542" s="204"/>
      <c r="BF542" s="205" t="s">
        <v>487</v>
      </c>
      <c r="BG542" s="204"/>
      <c r="BH542" s="204" t="s">
        <v>407</v>
      </c>
      <c r="BI542" s="204"/>
      <c r="BJ542" s="205" t="s">
        <v>409</v>
      </c>
      <c r="BK542" s="206"/>
    </row>
    <row r="543" spans="1:63" s="164" customFormat="1" ht="15.75" customHeight="1">
      <c r="A543" s="185"/>
      <c r="B543" s="193"/>
      <c r="C543" s="184"/>
      <c r="D543" s="183" t="s">
        <v>570</v>
      </c>
      <c r="E543" s="184"/>
      <c r="F543" s="184"/>
      <c r="G543" s="184"/>
      <c r="H543" s="184"/>
      <c r="I543" s="184"/>
      <c r="J543" s="184"/>
      <c r="K543" s="184"/>
      <c r="L543" s="193"/>
      <c r="M543" s="1003"/>
      <c r="N543" s="1002"/>
      <c r="O543" s="1002"/>
      <c r="P543" s="1002"/>
      <c r="Q543" s="1002"/>
      <c r="R543" s="1002"/>
      <c r="S543" s="1002"/>
      <c r="T543" s="1002"/>
      <c r="U543" s="1002"/>
      <c r="V543" s="1002"/>
      <c r="W543" s="1002"/>
      <c r="X543" s="1002"/>
      <c r="Y543" s="1002"/>
      <c r="Z543" s="1002"/>
      <c r="AA543" s="1002"/>
      <c r="AB543" s="1002"/>
      <c r="AC543" s="1002"/>
      <c r="AD543" s="1002"/>
      <c r="AE543" s="1002"/>
      <c r="AF543" s="1002"/>
      <c r="AG543" s="1002"/>
      <c r="AH543" s="1002"/>
      <c r="AI543" s="1002"/>
      <c r="AJ543" s="1002"/>
      <c r="AK543" s="1002"/>
      <c r="AL543" s="1002"/>
      <c r="AM543" s="1002"/>
      <c r="AN543" s="1002"/>
      <c r="AO543" s="1002"/>
      <c r="AP543" s="1002"/>
      <c r="AQ543" s="1002"/>
      <c r="AR543" s="1002"/>
      <c r="AS543" s="1002"/>
      <c r="AT543" s="1002"/>
      <c r="AU543" s="1002"/>
      <c r="AV543" s="1002"/>
      <c r="AW543" s="1002"/>
      <c r="AX543" s="1002"/>
      <c r="AY543" s="1002"/>
      <c r="AZ543" s="1002"/>
      <c r="BA543" s="1002"/>
      <c r="BB543" s="1002"/>
      <c r="BC543" s="1002"/>
      <c r="BD543" s="1002"/>
      <c r="BE543" s="204"/>
      <c r="BF543" s="205" t="s">
        <v>487</v>
      </c>
      <c r="BG543" s="204"/>
      <c r="BH543" s="204" t="s">
        <v>407</v>
      </c>
      <c r="BI543" s="204"/>
      <c r="BJ543" s="205" t="s">
        <v>409</v>
      </c>
      <c r="BK543" s="206"/>
    </row>
    <row r="544" spans="1:63" s="164" customFormat="1" ht="15.75" customHeight="1">
      <c r="A544" s="185"/>
      <c r="B544" s="193"/>
      <c r="C544" s="184"/>
      <c r="D544" s="183" t="s">
        <v>571</v>
      </c>
      <c r="E544" s="184"/>
      <c r="F544" s="184"/>
      <c r="G544" s="184"/>
      <c r="H544" s="184"/>
      <c r="I544" s="184"/>
      <c r="J544" s="184"/>
      <c r="K544" s="184"/>
      <c r="L544" s="193"/>
      <c r="M544" s="1003"/>
      <c r="N544" s="1002"/>
      <c r="O544" s="1002"/>
      <c r="P544" s="1002"/>
      <c r="Q544" s="1002"/>
      <c r="R544" s="1002"/>
      <c r="S544" s="1002"/>
      <c r="T544" s="1002"/>
      <c r="U544" s="1002"/>
      <c r="V544" s="1002"/>
      <c r="W544" s="1002"/>
      <c r="X544" s="1002"/>
      <c r="Y544" s="1002"/>
      <c r="Z544" s="1002"/>
      <c r="AA544" s="1002"/>
      <c r="AB544" s="1002"/>
      <c r="AC544" s="1002"/>
      <c r="AD544" s="1002"/>
      <c r="AE544" s="1002"/>
      <c r="AF544" s="1002"/>
      <c r="AG544" s="1002"/>
      <c r="AH544" s="1002"/>
      <c r="AI544" s="1002"/>
      <c r="AJ544" s="1002"/>
      <c r="AK544" s="1002"/>
      <c r="AL544" s="1002"/>
      <c r="AM544" s="1002"/>
      <c r="AN544" s="1002"/>
      <c r="AO544" s="1002"/>
      <c r="AP544" s="1002"/>
      <c r="AQ544" s="1002"/>
      <c r="AR544" s="1002"/>
      <c r="AS544" s="1002"/>
      <c r="AT544" s="1002"/>
      <c r="AU544" s="1002"/>
      <c r="AV544" s="1002"/>
      <c r="AW544" s="1002"/>
      <c r="AX544" s="1002"/>
      <c r="AY544" s="1002"/>
      <c r="AZ544" s="1002"/>
      <c r="BA544" s="1002"/>
      <c r="BB544" s="1002"/>
      <c r="BC544" s="1002"/>
      <c r="BD544" s="1002"/>
      <c r="BE544" s="204"/>
      <c r="BF544" s="205" t="s">
        <v>487</v>
      </c>
      <c r="BG544" s="204"/>
      <c r="BH544" s="204" t="s">
        <v>407</v>
      </c>
      <c r="BI544" s="204"/>
      <c r="BJ544" s="205" t="s">
        <v>409</v>
      </c>
      <c r="BK544" s="206"/>
    </row>
    <row r="545" spans="1:63" s="164" customFormat="1" ht="45.75" customHeight="1">
      <c r="A545" s="185"/>
      <c r="B545" s="193"/>
      <c r="C545" s="184"/>
      <c r="D545" s="183" t="s">
        <v>537</v>
      </c>
      <c r="E545" s="184"/>
      <c r="F545" s="184"/>
      <c r="G545" s="184"/>
      <c r="H545" s="184"/>
      <c r="I545" s="184"/>
      <c r="J545" s="184"/>
      <c r="K545" s="184"/>
      <c r="L545" s="193"/>
      <c r="M545" s="1005" t="s">
        <v>969</v>
      </c>
      <c r="N545" s="1005"/>
      <c r="O545" s="1005"/>
      <c r="P545" s="1005"/>
      <c r="Q545" s="1005"/>
      <c r="R545" s="1005"/>
      <c r="S545" s="1005"/>
      <c r="T545" s="1005"/>
      <c r="U545" s="1005"/>
      <c r="V545" s="1005"/>
      <c r="W545" s="1005"/>
      <c r="X545" s="1005"/>
      <c r="Y545" s="1005"/>
      <c r="Z545" s="1005"/>
      <c r="AA545" s="1005"/>
      <c r="AB545" s="1005"/>
      <c r="AC545" s="1005"/>
      <c r="AD545" s="1005"/>
      <c r="AE545" s="1005"/>
      <c r="AF545" s="1005"/>
      <c r="AG545" s="1005"/>
      <c r="AH545" s="1005"/>
      <c r="AI545" s="1005"/>
      <c r="AJ545" s="1005"/>
      <c r="AK545" s="1005"/>
      <c r="AL545" s="1005"/>
      <c r="AM545" s="1005"/>
      <c r="AN545" s="1005"/>
      <c r="AO545" s="1005"/>
      <c r="AP545" s="1005"/>
      <c r="AQ545" s="1005"/>
      <c r="AR545" s="1005"/>
      <c r="AS545" s="1005"/>
      <c r="AT545" s="1005"/>
      <c r="AU545" s="1005"/>
      <c r="AV545" s="1005"/>
      <c r="AW545" s="1005"/>
      <c r="AX545" s="1005"/>
      <c r="AY545" s="1005"/>
      <c r="AZ545" s="1005"/>
      <c r="BA545" s="1005"/>
      <c r="BB545" s="1005"/>
      <c r="BC545" s="1005"/>
      <c r="BD545" s="1005"/>
      <c r="BE545" s="204"/>
      <c r="BF545" s="205" t="s">
        <v>487</v>
      </c>
      <c r="BG545" s="204"/>
      <c r="BH545" s="204"/>
      <c r="BI545" s="204"/>
      <c r="BJ545" s="204"/>
      <c r="BK545" s="206"/>
    </row>
    <row r="546" spans="1:63" s="164" customFormat="1" ht="45.75" customHeight="1">
      <c r="A546" s="185"/>
      <c r="B546" s="193"/>
      <c r="C546" s="184"/>
      <c r="D546" s="183" t="s">
        <v>539</v>
      </c>
      <c r="E546" s="184"/>
      <c r="F546" s="184"/>
      <c r="G546" s="184"/>
      <c r="H546" s="184"/>
      <c r="I546" s="184"/>
      <c r="J546" s="184"/>
      <c r="K546" s="184"/>
      <c r="L546" s="193"/>
      <c r="M546" s="1005" t="s">
        <v>970</v>
      </c>
      <c r="N546" s="1005"/>
      <c r="O546" s="1005"/>
      <c r="P546" s="1005"/>
      <c r="Q546" s="1005"/>
      <c r="R546" s="1005"/>
      <c r="S546" s="1005"/>
      <c r="T546" s="1005"/>
      <c r="U546" s="1005"/>
      <c r="V546" s="1005"/>
      <c r="W546" s="1005"/>
      <c r="X546" s="1005"/>
      <c r="Y546" s="1005"/>
      <c r="Z546" s="1005"/>
      <c r="AA546" s="1005"/>
      <c r="AB546" s="1005"/>
      <c r="AC546" s="1005"/>
      <c r="AD546" s="1005"/>
      <c r="AE546" s="1005"/>
      <c r="AF546" s="1005"/>
      <c r="AG546" s="1005"/>
      <c r="AH546" s="1005"/>
      <c r="AI546" s="1005"/>
      <c r="AJ546" s="1005"/>
      <c r="AK546" s="1005"/>
      <c r="AL546" s="1005"/>
      <c r="AM546" s="1005"/>
      <c r="AN546" s="1005"/>
      <c r="AO546" s="1005"/>
      <c r="AP546" s="1005"/>
      <c r="AQ546" s="1005"/>
      <c r="AR546" s="1005"/>
      <c r="AS546" s="1005"/>
      <c r="AT546" s="1005"/>
      <c r="AU546" s="1005"/>
      <c r="AV546" s="1005"/>
      <c r="AW546" s="1005"/>
      <c r="AX546" s="1005"/>
      <c r="AY546" s="1005"/>
      <c r="AZ546" s="1005"/>
      <c r="BA546" s="1005"/>
      <c r="BB546" s="1005"/>
      <c r="BC546" s="1005"/>
      <c r="BD546" s="1005"/>
      <c r="BE546" s="204"/>
      <c r="BF546" s="205" t="s">
        <v>487</v>
      </c>
      <c r="BG546" s="204"/>
      <c r="BH546" s="204"/>
      <c r="BI546" s="204"/>
      <c r="BJ546" s="204"/>
      <c r="BK546" s="206"/>
    </row>
    <row r="547" spans="1:63" s="164" customFormat="1" ht="31.5" customHeight="1">
      <c r="A547" s="185"/>
      <c r="B547" s="193"/>
      <c r="C547" s="184"/>
      <c r="D547" s="183" t="s">
        <v>533</v>
      </c>
      <c r="E547" s="184"/>
      <c r="F547" s="184"/>
      <c r="G547" s="184"/>
      <c r="H547" s="184"/>
      <c r="I547" s="184"/>
      <c r="J547" s="184"/>
      <c r="K547" s="184"/>
      <c r="L547" s="193"/>
      <c r="M547" s="1005" t="s">
        <v>971</v>
      </c>
      <c r="N547" s="1005"/>
      <c r="O547" s="1005"/>
      <c r="P547" s="1005"/>
      <c r="Q547" s="1005"/>
      <c r="R547" s="1005"/>
      <c r="S547" s="1005"/>
      <c r="T547" s="1005"/>
      <c r="U547" s="1005"/>
      <c r="V547" s="1005"/>
      <c r="W547" s="1005"/>
      <c r="X547" s="1005"/>
      <c r="Y547" s="1005"/>
      <c r="Z547" s="1005"/>
      <c r="AA547" s="1005"/>
      <c r="AB547" s="1005"/>
      <c r="AC547" s="1005"/>
      <c r="AD547" s="1005"/>
      <c r="AE547" s="1005"/>
      <c r="AF547" s="1005"/>
      <c r="AG547" s="1005"/>
      <c r="AH547" s="1005"/>
      <c r="AI547" s="1005"/>
      <c r="AJ547" s="1005"/>
      <c r="AK547" s="1005"/>
      <c r="AL547" s="1005"/>
      <c r="AM547" s="1005"/>
      <c r="AN547" s="1005"/>
      <c r="AO547" s="1005"/>
      <c r="AP547" s="1005"/>
      <c r="AQ547" s="1005"/>
      <c r="AR547" s="1005"/>
      <c r="AS547" s="1005"/>
      <c r="AT547" s="1005"/>
      <c r="AU547" s="1005"/>
      <c r="AV547" s="1005"/>
      <c r="AW547" s="1005"/>
      <c r="AX547" s="1005"/>
      <c r="AY547" s="1005"/>
      <c r="AZ547" s="1005"/>
      <c r="BA547" s="1005"/>
      <c r="BB547" s="1005"/>
      <c r="BC547" s="1005"/>
      <c r="BD547" s="1005"/>
      <c r="BE547" s="204"/>
      <c r="BF547" s="205" t="s">
        <v>487</v>
      </c>
      <c r="BG547" s="204"/>
      <c r="BH547" s="204"/>
      <c r="BI547" s="204"/>
      <c r="BJ547" s="204"/>
      <c r="BK547" s="206"/>
    </row>
    <row r="548" spans="1:63" s="164" customFormat="1" ht="15.75" customHeight="1">
      <c r="A548" s="185"/>
      <c r="B548" s="193"/>
      <c r="C548" s="184"/>
      <c r="D548" s="183" t="s">
        <v>534</v>
      </c>
      <c r="E548" s="184"/>
      <c r="F548" s="184"/>
      <c r="G548" s="184"/>
      <c r="H548" s="184"/>
      <c r="I548" s="184"/>
      <c r="J548" s="184"/>
      <c r="K548" s="184"/>
      <c r="L548" s="193"/>
      <c r="M548" s="1003"/>
      <c r="N548" s="1002"/>
      <c r="O548" s="1002"/>
      <c r="P548" s="1002"/>
      <c r="Q548" s="1002"/>
      <c r="R548" s="1002"/>
      <c r="S548" s="1002"/>
      <c r="T548" s="1002"/>
      <c r="U548" s="1002"/>
      <c r="V548" s="1002"/>
      <c r="W548" s="1002"/>
      <c r="X548" s="1002"/>
      <c r="Y548" s="1002"/>
      <c r="Z548" s="1002"/>
      <c r="AA548" s="1002"/>
      <c r="AB548" s="1002"/>
      <c r="AC548" s="1002"/>
      <c r="AD548" s="1002"/>
      <c r="AE548" s="1002"/>
      <c r="AF548" s="1002"/>
      <c r="AG548" s="1002"/>
      <c r="AH548" s="1002"/>
      <c r="AI548" s="1002"/>
      <c r="AJ548" s="1002"/>
      <c r="AK548" s="1002"/>
      <c r="AL548" s="1002"/>
      <c r="AM548" s="1002"/>
      <c r="AN548" s="1002"/>
      <c r="AO548" s="1002"/>
      <c r="AP548" s="1002"/>
      <c r="AQ548" s="1002"/>
      <c r="AR548" s="1002"/>
      <c r="AS548" s="1002"/>
      <c r="AT548" s="1002"/>
      <c r="AU548" s="1002"/>
      <c r="AV548" s="1002"/>
      <c r="AW548" s="1002"/>
      <c r="AX548" s="1002"/>
      <c r="AY548" s="1002"/>
      <c r="AZ548" s="1002"/>
      <c r="BA548" s="1002"/>
      <c r="BB548" s="1002"/>
      <c r="BC548" s="1002"/>
      <c r="BD548" s="1002"/>
      <c r="BE548" s="204"/>
      <c r="BF548" s="205" t="s">
        <v>487</v>
      </c>
      <c r="BG548" s="204"/>
      <c r="BH548" s="204"/>
      <c r="BI548" s="204"/>
      <c r="BJ548" s="204"/>
      <c r="BK548" s="206"/>
    </row>
    <row r="549" spans="1:63" s="164" customFormat="1" ht="31.5" customHeight="1">
      <c r="A549" s="185"/>
      <c r="B549" s="193"/>
      <c r="C549" s="184"/>
      <c r="D549" s="183" t="s">
        <v>535</v>
      </c>
      <c r="E549" s="184"/>
      <c r="F549" s="184"/>
      <c r="G549" s="184"/>
      <c r="H549" s="184"/>
      <c r="I549" s="184"/>
      <c r="J549" s="184"/>
      <c r="K549" s="184"/>
      <c r="L549" s="193"/>
      <c r="M549" s="1005" t="s">
        <v>972</v>
      </c>
      <c r="N549" s="1005"/>
      <c r="O549" s="1005"/>
      <c r="P549" s="1005"/>
      <c r="Q549" s="1005"/>
      <c r="R549" s="1005"/>
      <c r="S549" s="1005"/>
      <c r="T549" s="1005"/>
      <c r="U549" s="1005"/>
      <c r="V549" s="1005"/>
      <c r="W549" s="1005"/>
      <c r="X549" s="1005"/>
      <c r="Y549" s="1005"/>
      <c r="Z549" s="1005"/>
      <c r="AA549" s="1005"/>
      <c r="AB549" s="1005"/>
      <c r="AC549" s="1005"/>
      <c r="AD549" s="1005"/>
      <c r="AE549" s="1005"/>
      <c r="AF549" s="1005"/>
      <c r="AG549" s="1005"/>
      <c r="AH549" s="1005"/>
      <c r="AI549" s="1005"/>
      <c r="AJ549" s="1005"/>
      <c r="AK549" s="1005"/>
      <c r="AL549" s="1005"/>
      <c r="AM549" s="1005"/>
      <c r="AN549" s="1005"/>
      <c r="AO549" s="1005"/>
      <c r="AP549" s="1005"/>
      <c r="AQ549" s="1005"/>
      <c r="AR549" s="1005"/>
      <c r="AS549" s="1005"/>
      <c r="AT549" s="1005"/>
      <c r="AU549" s="1005"/>
      <c r="AV549" s="1005"/>
      <c r="AW549" s="1005"/>
      <c r="AX549" s="1005"/>
      <c r="AY549" s="1005"/>
      <c r="AZ549" s="1005"/>
      <c r="BA549" s="1005"/>
      <c r="BB549" s="1005"/>
      <c r="BC549" s="1005"/>
      <c r="BD549" s="1005"/>
      <c r="BE549" s="204"/>
      <c r="BF549" s="205" t="s">
        <v>487</v>
      </c>
      <c r="BG549" s="204"/>
      <c r="BH549" s="204"/>
      <c r="BI549" s="204"/>
      <c r="BJ549" s="204"/>
      <c r="BK549" s="206"/>
    </row>
    <row r="550" spans="1:63" s="164" customFormat="1" ht="15.75" customHeight="1">
      <c r="A550" s="185"/>
      <c r="B550" s="193"/>
      <c r="C550" s="184"/>
      <c r="D550" s="183" t="s">
        <v>272</v>
      </c>
      <c r="E550" s="184"/>
      <c r="F550" s="184"/>
      <c r="G550" s="184"/>
      <c r="H550" s="184"/>
      <c r="I550" s="184"/>
      <c r="J550" s="184"/>
      <c r="K550" s="184"/>
      <c r="L550" s="193"/>
      <c r="M550" s="1005" t="s">
        <v>973</v>
      </c>
      <c r="N550" s="1005"/>
      <c r="O550" s="1005"/>
      <c r="P550" s="1005"/>
      <c r="Q550" s="1005"/>
      <c r="R550" s="1005"/>
      <c r="S550" s="1005"/>
      <c r="T550" s="1005"/>
      <c r="U550" s="1005"/>
      <c r="V550" s="1005"/>
      <c r="W550" s="1005"/>
      <c r="X550" s="1005"/>
      <c r="Y550" s="1005"/>
      <c r="Z550" s="1005"/>
      <c r="AA550" s="1005"/>
      <c r="AB550" s="1005"/>
      <c r="AC550" s="1005"/>
      <c r="AD550" s="1005"/>
      <c r="AE550" s="1005"/>
      <c r="AF550" s="1005"/>
      <c r="AG550" s="1005"/>
      <c r="AH550" s="1005"/>
      <c r="AI550" s="1005"/>
      <c r="AJ550" s="1005"/>
      <c r="AK550" s="1005"/>
      <c r="AL550" s="1005"/>
      <c r="AM550" s="1005"/>
      <c r="AN550" s="1005"/>
      <c r="AO550" s="1005"/>
      <c r="AP550" s="1005"/>
      <c r="AQ550" s="1005"/>
      <c r="AR550" s="1005"/>
      <c r="AS550" s="1005"/>
      <c r="AT550" s="1005"/>
      <c r="AU550" s="1005"/>
      <c r="AV550" s="1005"/>
      <c r="AW550" s="1005"/>
      <c r="AX550" s="1005"/>
      <c r="AY550" s="1005"/>
      <c r="AZ550" s="1005"/>
      <c r="BA550" s="1005"/>
      <c r="BB550" s="1005"/>
      <c r="BC550" s="1005"/>
      <c r="BD550" s="1005"/>
      <c r="BE550" s="204"/>
      <c r="BF550" s="205" t="s">
        <v>487</v>
      </c>
      <c r="BG550" s="204"/>
      <c r="BH550" s="204"/>
      <c r="BI550" s="204"/>
      <c r="BJ550" s="204"/>
      <c r="BK550" s="206"/>
    </row>
    <row r="551" spans="1:63" s="164" customFormat="1" ht="15.75" customHeight="1">
      <c r="A551" s="185"/>
      <c r="B551" s="193"/>
      <c r="C551" s="184"/>
      <c r="D551" s="183" t="s">
        <v>268</v>
      </c>
      <c r="E551" s="184"/>
      <c r="F551" s="184"/>
      <c r="G551" s="184"/>
      <c r="H551" s="184"/>
      <c r="I551" s="184"/>
      <c r="J551" s="184"/>
      <c r="K551" s="184"/>
      <c r="L551" s="193"/>
      <c r="M551" s="1005" t="s">
        <v>974</v>
      </c>
      <c r="N551" s="1005"/>
      <c r="O551" s="1005"/>
      <c r="P551" s="1005"/>
      <c r="Q551" s="1005"/>
      <c r="R551" s="1005"/>
      <c r="S551" s="1005"/>
      <c r="T551" s="1005"/>
      <c r="U551" s="1005"/>
      <c r="V551" s="1005"/>
      <c r="W551" s="1005"/>
      <c r="X551" s="1005"/>
      <c r="Y551" s="1005"/>
      <c r="Z551" s="1005"/>
      <c r="AA551" s="1005"/>
      <c r="AB551" s="1005"/>
      <c r="AC551" s="1005"/>
      <c r="AD551" s="1005"/>
      <c r="AE551" s="1005"/>
      <c r="AF551" s="1005"/>
      <c r="AG551" s="1005"/>
      <c r="AH551" s="1005"/>
      <c r="AI551" s="1005"/>
      <c r="AJ551" s="1005"/>
      <c r="AK551" s="1005"/>
      <c r="AL551" s="1005"/>
      <c r="AM551" s="1005"/>
      <c r="AN551" s="1005"/>
      <c r="AO551" s="1005"/>
      <c r="AP551" s="1005"/>
      <c r="AQ551" s="1005"/>
      <c r="AR551" s="1005"/>
      <c r="AS551" s="1005"/>
      <c r="AT551" s="1005"/>
      <c r="AU551" s="1005"/>
      <c r="AV551" s="1005"/>
      <c r="AW551" s="1005"/>
      <c r="AX551" s="1005"/>
      <c r="AY551" s="1005"/>
      <c r="AZ551" s="1005"/>
      <c r="BA551" s="1005"/>
      <c r="BB551" s="1005"/>
      <c r="BC551" s="1005"/>
      <c r="BD551" s="1005"/>
      <c r="BE551" s="204"/>
      <c r="BF551" s="205" t="s">
        <v>487</v>
      </c>
      <c r="BG551" s="204"/>
      <c r="BH551" s="204"/>
      <c r="BI551" s="204"/>
      <c r="BJ551" s="204"/>
      <c r="BK551" s="206"/>
    </row>
    <row r="552" spans="1:63" s="164" customFormat="1" ht="15.75" customHeight="1">
      <c r="A552" s="185"/>
      <c r="B552" s="193"/>
      <c r="C552" s="184"/>
      <c r="D552" s="183" t="s">
        <v>975</v>
      </c>
      <c r="E552" s="184"/>
      <c r="F552" s="184"/>
      <c r="G552" s="184"/>
      <c r="H552" s="184"/>
      <c r="I552" s="184"/>
      <c r="J552" s="184"/>
      <c r="K552" s="184"/>
      <c r="L552" s="193"/>
      <c r="M552" s="1003" t="s">
        <v>976</v>
      </c>
      <c r="N552" s="1002"/>
      <c r="O552" s="1002"/>
      <c r="P552" s="1002"/>
      <c r="Q552" s="1002"/>
      <c r="R552" s="1002"/>
      <c r="S552" s="1002"/>
      <c r="T552" s="1002"/>
      <c r="U552" s="1002"/>
      <c r="V552" s="1002"/>
      <c r="W552" s="1002"/>
      <c r="X552" s="1002"/>
      <c r="Y552" s="1002"/>
      <c r="Z552" s="1002"/>
      <c r="AA552" s="1002"/>
      <c r="AB552" s="1002"/>
      <c r="AC552" s="1002"/>
      <c r="AD552" s="1002"/>
      <c r="AE552" s="1002"/>
      <c r="AF552" s="1002"/>
      <c r="AG552" s="1002"/>
      <c r="AH552" s="1002"/>
      <c r="AI552" s="1002"/>
      <c r="AJ552" s="1002"/>
      <c r="AK552" s="1002"/>
      <c r="AL552" s="1002"/>
      <c r="AM552" s="1002"/>
      <c r="AN552" s="1002"/>
      <c r="AO552" s="1002"/>
      <c r="AP552" s="1002"/>
      <c r="AQ552" s="1002"/>
      <c r="AR552" s="1002"/>
      <c r="AS552" s="1002"/>
      <c r="AT552" s="1002"/>
      <c r="AU552" s="1002"/>
      <c r="AV552" s="1002"/>
      <c r="AW552" s="1002"/>
      <c r="AX552" s="1002"/>
      <c r="AY552" s="1002"/>
      <c r="AZ552" s="1002"/>
      <c r="BA552" s="1002"/>
      <c r="BB552" s="1002"/>
      <c r="BC552" s="1002"/>
      <c r="BD552" s="1002"/>
      <c r="BE552" s="204"/>
      <c r="BF552" s="205" t="s">
        <v>548</v>
      </c>
      <c r="BG552" s="204"/>
      <c r="BH552" s="204"/>
      <c r="BI552" s="204"/>
      <c r="BJ552" s="204"/>
      <c r="BK552" s="206"/>
    </row>
    <row r="553" spans="1:63" s="164" customFormat="1" ht="15.75" customHeight="1">
      <c r="A553" s="185"/>
      <c r="B553" s="193"/>
      <c r="C553" s="184"/>
      <c r="D553" s="183" t="s">
        <v>536</v>
      </c>
      <c r="E553" s="184"/>
      <c r="F553" s="184"/>
      <c r="G553" s="184"/>
      <c r="H553" s="184"/>
      <c r="I553" s="184"/>
      <c r="J553" s="184"/>
      <c r="K553" s="184"/>
      <c r="L553" s="193"/>
      <c r="M553" s="1005" t="s">
        <v>977</v>
      </c>
      <c r="N553" s="1005"/>
      <c r="O553" s="1005"/>
      <c r="P553" s="1005"/>
      <c r="Q553" s="1005"/>
      <c r="R553" s="1005"/>
      <c r="S553" s="1005"/>
      <c r="T553" s="1005"/>
      <c r="U553" s="1005"/>
      <c r="V553" s="1005"/>
      <c r="W553" s="1005"/>
      <c r="X553" s="1005"/>
      <c r="Y553" s="1005"/>
      <c r="Z553" s="1005"/>
      <c r="AA553" s="1005"/>
      <c r="AB553" s="1005"/>
      <c r="AC553" s="1005"/>
      <c r="AD553" s="1005"/>
      <c r="AE553" s="1005"/>
      <c r="AF553" s="1005"/>
      <c r="AG553" s="1005"/>
      <c r="AH553" s="1005"/>
      <c r="AI553" s="1005"/>
      <c r="AJ553" s="1005"/>
      <c r="AK553" s="1005"/>
      <c r="AL553" s="1005"/>
      <c r="AM553" s="1005"/>
      <c r="AN553" s="1005"/>
      <c r="AO553" s="1005"/>
      <c r="AP553" s="1005"/>
      <c r="AQ553" s="1005"/>
      <c r="AR553" s="1005"/>
      <c r="AS553" s="1005"/>
      <c r="AT553" s="1005"/>
      <c r="AU553" s="1005"/>
      <c r="AV553" s="1005"/>
      <c r="AW553" s="1005"/>
      <c r="AX553" s="1005"/>
      <c r="AY553" s="1005"/>
      <c r="AZ553" s="1005"/>
      <c r="BA553" s="1005"/>
      <c r="BB553" s="1005"/>
      <c r="BC553" s="1005"/>
      <c r="BD553" s="1005"/>
      <c r="BE553" s="204"/>
      <c r="BF553" s="205" t="s">
        <v>487</v>
      </c>
      <c r="BG553" s="204"/>
      <c r="BH553" s="204"/>
      <c r="BI553" s="204"/>
      <c r="BJ553" s="204"/>
      <c r="BK553" s="206"/>
    </row>
    <row r="554" spans="1:63" s="164" customFormat="1" ht="31.5" customHeight="1">
      <c r="A554" s="185"/>
      <c r="B554" s="193"/>
      <c r="C554" s="184"/>
      <c r="D554" s="183" t="s">
        <v>306</v>
      </c>
      <c r="E554" s="184"/>
      <c r="F554" s="184"/>
      <c r="G554" s="184"/>
      <c r="H554" s="184"/>
      <c r="I554" s="184"/>
      <c r="J554" s="184"/>
      <c r="K554" s="184"/>
      <c r="L554" s="193"/>
      <c r="M554" s="1001" t="s">
        <v>978</v>
      </c>
      <c r="N554" s="1002"/>
      <c r="O554" s="1002"/>
      <c r="P554" s="1002"/>
      <c r="Q554" s="1002"/>
      <c r="R554" s="1002"/>
      <c r="S554" s="1002"/>
      <c r="T554" s="1002"/>
      <c r="U554" s="1002"/>
      <c r="V554" s="1002"/>
      <c r="W554" s="1002"/>
      <c r="X554" s="1002"/>
      <c r="Y554" s="1002"/>
      <c r="Z554" s="1002"/>
      <c r="AA554" s="1002"/>
      <c r="AB554" s="1002"/>
      <c r="AC554" s="1002"/>
      <c r="AD554" s="1002"/>
      <c r="AE554" s="1002"/>
      <c r="AF554" s="1002"/>
      <c r="AG554" s="1002"/>
      <c r="AH554" s="1002"/>
      <c r="AI554" s="1002"/>
      <c r="AJ554" s="1002"/>
      <c r="AK554" s="1002"/>
      <c r="AL554" s="1002"/>
      <c r="AM554" s="1002"/>
      <c r="AN554" s="1002"/>
      <c r="AO554" s="1002"/>
      <c r="AP554" s="1002"/>
      <c r="AQ554" s="1002"/>
      <c r="AR554" s="1002"/>
      <c r="AS554" s="1002"/>
      <c r="AT554" s="1002"/>
      <c r="AU554" s="1002"/>
      <c r="AV554" s="1002"/>
      <c r="AW554" s="1002"/>
      <c r="AX554" s="1002"/>
      <c r="AY554" s="1002"/>
      <c r="AZ554" s="1002"/>
      <c r="BA554" s="1002"/>
      <c r="BB554" s="1002"/>
      <c r="BC554" s="1002"/>
      <c r="BD554" s="1002"/>
      <c r="BE554" s="204"/>
      <c r="BF554" s="205" t="s">
        <v>419</v>
      </c>
      <c r="BG554" s="204"/>
      <c r="BH554" s="204" t="s">
        <v>407</v>
      </c>
      <c r="BI554" s="204"/>
      <c r="BJ554" s="204"/>
      <c r="BK554" s="206"/>
    </row>
    <row r="555" spans="1:63" s="164" customFormat="1" ht="31.5" customHeight="1">
      <c r="A555" s="185"/>
      <c r="B555" s="193"/>
      <c r="C555" s="184"/>
      <c r="D555" s="183" t="s">
        <v>296</v>
      </c>
      <c r="E555" s="184"/>
      <c r="F555" s="184"/>
      <c r="G555" s="184"/>
      <c r="H555" s="184"/>
      <c r="I555" s="184"/>
      <c r="J555" s="184"/>
      <c r="K555" s="184"/>
      <c r="L555" s="193"/>
      <c r="M555" s="1001" t="s">
        <v>979</v>
      </c>
      <c r="N555" s="1002"/>
      <c r="O555" s="1002"/>
      <c r="P555" s="1002"/>
      <c r="Q555" s="1002"/>
      <c r="R555" s="1002"/>
      <c r="S555" s="1002"/>
      <c r="T555" s="1002"/>
      <c r="U555" s="1002"/>
      <c r="V555" s="1002"/>
      <c r="W555" s="1002"/>
      <c r="X555" s="1002"/>
      <c r="Y555" s="1002"/>
      <c r="Z555" s="1002"/>
      <c r="AA555" s="1002"/>
      <c r="AB555" s="1002"/>
      <c r="AC555" s="1002"/>
      <c r="AD555" s="1002"/>
      <c r="AE555" s="1002"/>
      <c r="AF555" s="1002"/>
      <c r="AG555" s="1002"/>
      <c r="AH555" s="1002"/>
      <c r="AI555" s="1002"/>
      <c r="AJ555" s="1002"/>
      <c r="AK555" s="1002"/>
      <c r="AL555" s="1002"/>
      <c r="AM555" s="1002"/>
      <c r="AN555" s="1002"/>
      <c r="AO555" s="1002"/>
      <c r="AP555" s="1002"/>
      <c r="AQ555" s="1002"/>
      <c r="AR555" s="1002"/>
      <c r="AS555" s="1002"/>
      <c r="AT555" s="1002"/>
      <c r="AU555" s="1002"/>
      <c r="AV555" s="1002"/>
      <c r="AW555" s="1002"/>
      <c r="AX555" s="1002"/>
      <c r="AY555" s="1002"/>
      <c r="AZ555" s="1002"/>
      <c r="BA555" s="1002"/>
      <c r="BB555" s="1002"/>
      <c r="BC555" s="1002"/>
      <c r="BD555" s="1002"/>
      <c r="BE555" s="204"/>
      <c r="BF555" s="205" t="s">
        <v>419</v>
      </c>
      <c r="BG555" s="204"/>
      <c r="BH555" s="204" t="s">
        <v>407</v>
      </c>
      <c r="BI555" s="204"/>
      <c r="BJ555" s="204"/>
      <c r="BK555" s="206"/>
    </row>
    <row r="556" spans="1:63" s="164" customFormat="1" ht="15.75" customHeight="1">
      <c r="A556" s="185"/>
      <c r="B556" s="193"/>
      <c r="C556" s="184"/>
      <c r="D556" s="183" t="s">
        <v>345</v>
      </c>
      <c r="E556" s="184"/>
      <c r="F556" s="184"/>
      <c r="G556" s="184"/>
      <c r="H556" s="184"/>
      <c r="I556" s="184"/>
      <c r="J556" s="184"/>
      <c r="K556" s="184"/>
      <c r="L556" s="193"/>
      <c r="M556" s="1003" t="s">
        <v>181</v>
      </c>
      <c r="N556" s="1002"/>
      <c r="O556" s="1002"/>
      <c r="P556" s="1002"/>
      <c r="Q556" s="1002"/>
      <c r="R556" s="1002"/>
      <c r="S556" s="1002"/>
      <c r="T556" s="1002"/>
      <c r="U556" s="1002"/>
      <c r="V556" s="1002"/>
      <c r="W556" s="1002"/>
      <c r="X556" s="1002"/>
      <c r="Y556" s="1002"/>
      <c r="Z556" s="1002"/>
      <c r="AA556" s="1002"/>
      <c r="AB556" s="1002"/>
      <c r="AC556" s="1002"/>
      <c r="AD556" s="1002"/>
      <c r="AE556" s="1002"/>
      <c r="AF556" s="1002"/>
      <c r="AG556" s="1002"/>
      <c r="AH556" s="1002"/>
      <c r="AI556" s="1002"/>
      <c r="AJ556" s="1002"/>
      <c r="AK556" s="1002"/>
      <c r="AL556" s="1002"/>
      <c r="AM556" s="1002"/>
      <c r="AN556" s="1002"/>
      <c r="AO556" s="1002"/>
      <c r="AP556" s="1002"/>
      <c r="AQ556" s="1002"/>
      <c r="AR556" s="1002"/>
      <c r="AS556" s="1002"/>
      <c r="AT556" s="1002"/>
      <c r="AU556" s="1002"/>
      <c r="AV556" s="1002"/>
      <c r="AW556" s="1002"/>
      <c r="AX556" s="1002"/>
      <c r="AY556" s="1002"/>
      <c r="AZ556" s="1002"/>
      <c r="BA556" s="1002"/>
      <c r="BB556" s="1002"/>
      <c r="BC556" s="1002"/>
      <c r="BD556" s="1002"/>
      <c r="BE556" s="204"/>
      <c r="BF556" s="205" t="s">
        <v>548</v>
      </c>
      <c r="BG556" s="204"/>
      <c r="BH556" s="204" t="s">
        <v>407</v>
      </c>
      <c r="BI556" s="204"/>
      <c r="BJ556" s="204"/>
      <c r="BK556" s="206"/>
    </row>
    <row r="557" spans="1:63" s="164" customFormat="1" ht="46.5" customHeight="1">
      <c r="A557" s="185"/>
      <c r="B557" s="193"/>
      <c r="C557" s="184"/>
      <c r="D557" s="183" t="s">
        <v>361</v>
      </c>
      <c r="E557" s="184"/>
      <c r="F557" s="184"/>
      <c r="G557" s="184"/>
      <c r="H557" s="184"/>
      <c r="I557" s="184"/>
      <c r="J557" s="184"/>
      <c r="K557" s="184"/>
      <c r="L557" s="193"/>
      <c r="M557" s="1005" t="s">
        <v>980</v>
      </c>
      <c r="N557" s="1005"/>
      <c r="O557" s="1005"/>
      <c r="P557" s="1005"/>
      <c r="Q557" s="1005"/>
      <c r="R557" s="1005"/>
      <c r="S557" s="1005"/>
      <c r="T557" s="1005"/>
      <c r="U557" s="1005"/>
      <c r="V557" s="1005"/>
      <c r="W557" s="1005"/>
      <c r="X557" s="1005"/>
      <c r="Y557" s="1005"/>
      <c r="Z557" s="1005"/>
      <c r="AA557" s="1005"/>
      <c r="AB557" s="1005"/>
      <c r="AC557" s="1005"/>
      <c r="AD557" s="1005"/>
      <c r="AE557" s="1005"/>
      <c r="AF557" s="1005"/>
      <c r="AG557" s="1005"/>
      <c r="AH557" s="1005"/>
      <c r="AI557" s="1005"/>
      <c r="AJ557" s="1005"/>
      <c r="AK557" s="1005"/>
      <c r="AL557" s="1005"/>
      <c r="AM557" s="1005"/>
      <c r="AN557" s="1005"/>
      <c r="AO557" s="1005"/>
      <c r="AP557" s="1005"/>
      <c r="AQ557" s="1005"/>
      <c r="AR557" s="1005"/>
      <c r="AS557" s="1005"/>
      <c r="AT557" s="1005"/>
      <c r="AU557" s="1005"/>
      <c r="AV557" s="1005"/>
      <c r="AW557" s="1005"/>
      <c r="AX557" s="1005"/>
      <c r="AY557" s="1005"/>
      <c r="AZ557" s="1005"/>
      <c r="BA557" s="1005"/>
      <c r="BB557" s="1005"/>
      <c r="BC557" s="1005"/>
      <c r="BD557" s="1005"/>
      <c r="BE557" s="204"/>
      <c r="BF557" s="205" t="s">
        <v>487</v>
      </c>
      <c r="BG557" s="204"/>
      <c r="BH557" s="204" t="s">
        <v>407</v>
      </c>
      <c r="BI557" s="204"/>
      <c r="BJ557" s="204"/>
      <c r="BK557" s="206"/>
    </row>
    <row r="558" spans="1:63" s="164" customFormat="1" ht="31.5" customHeight="1">
      <c r="A558" s="185"/>
      <c r="B558" s="193"/>
      <c r="C558" s="184"/>
      <c r="D558" s="183" t="s">
        <v>364</v>
      </c>
      <c r="E558" s="184"/>
      <c r="F558" s="184"/>
      <c r="G558" s="184"/>
      <c r="H558" s="184"/>
      <c r="I558" s="184"/>
      <c r="J558" s="184"/>
      <c r="K558" s="184"/>
      <c r="L558" s="193"/>
      <c r="M558" s="1001" t="s">
        <v>981</v>
      </c>
      <c r="N558" s="1002"/>
      <c r="O558" s="1002"/>
      <c r="P558" s="1002"/>
      <c r="Q558" s="1002"/>
      <c r="R558" s="1002"/>
      <c r="S558" s="1002"/>
      <c r="T558" s="1002"/>
      <c r="U558" s="1002"/>
      <c r="V558" s="1002"/>
      <c r="W558" s="1002"/>
      <c r="X558" s="1002"/>
      <c r="Y558" s="1002"/>
      <c r="Z558" s="1002"/>
      <c r="AA558" s="1002"/>
      <c r="AB558" s="1002"/>
      <c r="AC558" s="1002"/>
      <c r="AD558" s="1002"/>
      <c r="AE558" s="1002"/>
      <c r="AF558" s="1002"/>
      <c r="AG558" s="1002"/>
      <c r="AH558" s="1002"/>
      <c r="AI558" s="1002"/>
      <c r="AJ558" s="1002"/>
      <c r="AK558" s="1002"/>
      <c r="AL558" s="1002"/>
      <c r="AM558" s="1002"/>
      <c r="AN558" s="1002"/>
      <c r="AO558" s="1002"/>
      <c r="AP558" s="1002"/>
      <c r="AQ558" s="1002"/>
      <c r="AR558" s="1002"/>
      <c r="AS558" s="1002"/>
      <c r="AT558" s="1002"/>
      <c r="AU558" s="1002"/>
      <c r="AV558" s="1002"/>
      <c r="AW558" s="1002"/>
      <c r="AX558" s="1002"/>
      <c r="AY558" s="1002"/>
      <c r="AZ558" s="1002"/>
      <c r="BA558" s="1002"/>
      <c r="BB558" s="1002"/>
      <c r="BC558" s="1002"/>
      <c r="BD558" s="1002"/>
      <c r="BE558" s="204"/>
      <c r="BF558" s="205" t="s">
        <v>487</v>
      </c>
      <c r="BG558" s="204"/>
      <c r="BH558" s="204" t="s">
        <v>407</v>
      </c>
      <c r="BI558" s="204"/>
      <c r="BJ558" s="204"/>
      <c r="BK558" s="206"/>
    </row>
    <row r="559" spans="1:63" s="166" customFormat="1" ht="47.25" customHeight="1">
      <c r="A559" s="216"/>
      <c r="B559" s="222"/>
      <c r="C559" s="218"/>
      <c r="D559" s="217" t="s">
        <v>301</v>
      </c>
      <c r="E559" s="218"/>
      <c r="F559" s="218"/>
      <c r="G559" s="218"/>
      <c r="H559" s="218"/>
      <c r="I559" s="218"/>
      <c r="J559" s="218"/>
      <c r="K559" s="218"/>
      <c r="L559" s="222"/>
      <c r="M559" s="1004" t="s">
        <v>982</v>
      </c>
      <c r="N559" s="1002"/>
      <c r="O559" s="1002"/>
      <c r="P559" s="1002"/>
      <c r="Q559" s="1002"/>
      <c r="R559" s="1002"/>
      <c r="S559" s="1002"/>
      <c r="T559" s="1002"/>
      <c r="U559" s="1002"/>
      <c r="V559" s="1002"/>
      <c r="W559" s="1002"/>
      <c r="X559" s="1002"/>
      <c r="Y559" s="1002"/>
      <c r="Z559" s="1002"/>
      <c r="AA559" s="1002"/>
      <c r="AB559" s="1002"/>
      <c r="AC559" s="1002"/>
      <c r="AD559" s="1002"/>
      <c r="AE559" s="1002"/>
      <c r="AF559" s="1002"/>
      <c r="AG559" s="1002"/>
      <c r="AH559" s="1002"/>
      <c r="AI559" s="1002"/>
      <c r="AJ559" s="1002"/>
      <c r="AK559" s="1002"/>
      <c r="AL559" s="1002"/>
      <c r="AM559" s="1002"/>
      <c r="AN559" s="1002"/>
      <c r="AO559" s="1002"/>
      <c r="AP559" s="1002"/>
      <c r="AQ559" s="1002"/>
      <c r="AR559" s="1002"/>
      <c r="AS559" s="1002"/>
      <c r="AT559" s="1002"/>
      <c r="AU559" s="1002"/>
      <c r="AV559" s="1002"/>
      <c r="AW559" s="1002"/>
      <c r="AX559" s="1002"/>
      <c r="AY559" s="1002"/>
      <c r="AZ559" s="1002"/>
      <c r="BA559" s="1002"/>
      <c r="BB559" s="1002"/>
      <c r="BC559" s="1002"/>
      <c r="BD559" s="1002"/>
      <c r="BE559" s="227"/>
      <c r="BF559" s="228" t="s">
        <v>462</v>
      </c>
      <c r="BG559" s="227"/>
      <c r="BH559" s="227" t="s">
        <v>407</v>
      </c>
      <c r="BI559" s="227"/>
      <c r="BJ559" s="227"/>
      <c r="BK559" s="229"/>
    </row>
    <row r="560" spans="1:63" s="164" customFormat="1" ht="15.75" customHeight="1">
      <c r="A560" s="185"/>
      <c r="B560" s="193"/>
      <c r="C560" s="184"/>
      <c r="D560" s="183" t="s">
        <v>983</v>
      </c>
      <c r="E560" s="184"/>
      <c r="F560" s="184"/>
      <c r="G560" s="184"/>
      <c r="H560" s="184"/>
      <c r="I560" s="184"/>
      <c r="J560" s="184"/>
      <c r="K560" s="184"/>
      <c r="L560" s="193"/>
      <c r="M560" s="1003" t="s">
        <v>984</v>
      </c>
      <c r="N560" s="1002"/>
      <c r="O560" s="1002"/>
      <c r="P560" s="1002"/>
      <c r="Q560" s="1002"/>
      <c r="R560" s="1002"/>
      <c r="S560" s="1002"/>
      <c r="T560" s="1002"/>
      <c r="U560" s="1002"/>
      <c r="V560" s="1002"/>
      <c r="W560" s="1002"/>
      <c r="X560" s="1002"/>
      <c r="Y560" s="1002"/>
      <c r="Z560" s="1002"/>
      <c r="AA560" s="1002"/>
      <c r="AB560" s="1002"/>
      <c r="AC560" s="1002"/>
      <c r="AD560" s="1002"/>
      <c r="AE560" s="1002"/>
      <c r="AF560" s="1002"/>
      <c r="AG560" s="1002"/>
      <c r="AH560" s="1002"/>
      <c r="AI560" s="1002"/>
      <c r="AJ560" s="1002"/>
      <c r="AK560" s="1002"/>
      <c r="AL560" s="1002"/>
      <c r="AM560" s="1002"/>
      <c r="AN560" s="1002"/>
      <c r="AO560" s="1002"/>
      <c r="AP560" s="1002"/>
      <c r="AQ560" s="1002"/>
      <c r="AR560" s="1002"/>
      <c r="AS560" s="1002"/>
      <c r="AT560" s="1002"/>
      <c r="AU560" s="1002"/>
      <c r="AV560" s="1002"/>
      <c r="AW560" s="1002"/>
      <c r="AX560" s="1002"/>
      <c r="AY560" s="1002"/>
      <c r="AZ560" s="1002"/>
      <c r="BA560" s="1002"/>
      <c r="BB560" s="1002"/>
      <c r="BC560" s="1002"/>
      <c r="BD560" s="1002"/>
      <c r="BE560" s="204"/>
      <c r="BF560" s="205" t="s">
        <v>464</v>
      </c>
      <c r="BG560" s="204"/>
      <c r="BH560" s="204" t="s">
        <v>407</v>
      </c>
      <c r="BI560" s="204"/>
      <c r="BJ560" s="204"/>
      <c r="BK560" s="206"/>
    </row>
    <row r="561" spans="1:63" s="164" customFormat="1" ht="31.5" customHeight="1">
      <c r="A561" s="185"/>
      <c r="B561" s="193"/>
      <c r="C561" s="184"/>
      <c r="D561" s="183" t="s">
        <v>985</v>
      </c>
      <c r="E561" s="184"/>
      <c r="F561" s="184"/>
      <c r="G561" s="184"/>
      <c r="H561" s="184"/>
      <c r="I561" s="184"/>
      <c r="J561" s="184"/>
      <c r="K561" s="184"/>
      <c r="L561" s="193"/>
      <c r="M561" s="1004" t="s">
        <v>986</v>
      </c>
      <c r="N561" s="1002"/>
      <c r="O561" s="1002"/>
      <c r="P561" s="1002"/>
      <c r="Q561" s="1002"/>
      <c r="R561" s="1002"/>
      <c r="S561" s="1002"/>
      <c r="T561" s="1002"/>
      <c r="U561" s="1002"/>
      <c r="V561" s="1002"/>
      <c r="W561" s="1002"/>
      <c r="X561" s="1002"/>
      <c r="Y561" s="1002"/>
      <c r="Z561" s="1002"/>
      <c r="AA561" s="1002"/>
      <c r="AB561" s="1002"/>
      <c r="AC561" s="1002"/>
      <c r="AD561" s="1002"/>
      <c r="AE561" s="1002"/>
      <c r="AF561" s="1002"/>
      <c r="AG561" s="1002"/>
      <c r="AH561" s="1002"/>
      <c r="AI561" s="1002"/>
      <c r="AJ561" s="1002"/>
      <c r="AK561" s="1002"/>
      <c r="AL561" s="1002"/>
      <c r="AM561" s="1002"/>
      <c r="AN561" s="1002"/>
      <c r="AO561" s="1002"/>
      <c r="AP561" s="1002"/>
      <c r="AQ561" s="1002"/>
      <c r="AR561" s="1002"/>
      <c r="AS561" s="1002"/>
      <c r="AT561" s="1002"/>
      <c r="AU561" s="1002"/>
      <c r="AV561" s="1002"/>
      <c r="AW561" s="1002"/>
      <c r="AX561" s="1002"/>
      <c r="AY561" s="1002"/>
      <c r="AZ561" s="1002"/>
      <c r="BA561" s="1002"/>
      <c r="BB561" s="1002"/>
      <c r="BC561" s="1002"/>
      <c r="BD561" s="1002"/>
      <c r="BE561" s="204"/>
      <c r="BF561" s="205" t="s">
        <v>462</v>
      </c>
      <c r="BG561" s="204"/>
      <c r="BH561" s="204" t="s">
        <v>407</v>
      </c>
      <c r="BI561" s="204"/>
      <c r="BJ561" s="204"/>
      <c r="BK561" s="206"/>
    </row>
    <row r="562" spans="1:63" s="164" customFormat="1" ht="31.5" customHeight="1">
      <c r="A562" s="185"/>
      <c r="B562" s="193"/>
      <c r="C562" s="184"/>
      <c r="D562" s="183" t="s">
        <v>987</v>
      </c>
      <c r="E562" s="184"/>
      <c r="F562" s="184"/>
      <c r="G562" s="184"/>
      <c r="H562" s="184"/>
      <c r="I562" s="184"/>
      <c r="J562" s="184"/>
      <c r="K562" s="184"/>
      <c r="L562" s="193"/>
      <c r="M562" s="1003" t="s">
        <v>988</v>
      </c>
      <c r="N562" s="1002"/>
      <c r="O562" s="1002"/>
      <c r="P562" s="1002"/>
      <c r="Q562" s="1002"/>
      <c r="R562" s="1002"/>
      <c r="S562" s="1002"/>
      <c r="T562" s="1002"/>
      <c r="U562" s="1002"/>
      <c r="V562" s="1002"/>
      <c r="W562" s="1002"/>
      <c r="X562" s="1002"/>
      <c r="Y562" s="1002"/>
      <c r="Z562" s="1002"/>
      <c r="AA562" s="1002"/>
      <c r="AB562" s="1002"/>
      <c r="AC562" s="1002"/>
      <c r="AD562" s="1002"/>
      <c r="AE562" s="1002"/>
      <c r="AF562" s="1002"/>
      <c r="AG562" s="1002"/>
      <c r="AH562" s="1002"/>
      <c r="AI562" s="1002"/>
      <c r="AJ562" s="1002"/>
      <c r="AK562" s="1002"/>
      <c r="AL562" s="1002"/>
      <c r="AM562" s="1002"/>
      <c r="AN562" s="1002"/>
      <c r="AO562" s="1002"/>
      <c r="AP562" s="1002"/>
      <c r="AQ562" s="1002"/>
      <c r="AR562" s="1002"/>
      <c r="AS562" s="1002"/>
      <c r="AT562" s="1002"/>
      <c r="AU562" s="1002"/>
      <c r="AV562" s="1002"/>
      <c r="AW562" s="1002"/>
      <c r="AX562" s="1002"/>
      <c r="AY562" s="1002"/>
      <c r="AZ562" s="1002"/>
      <c r="BA562" s="1002"/>
      <c r="BB562" s="1002"/>
      <c r="BC562" s="1002"/>
      <c r="BD562" s="1002"/>
      <c r="BE562" s="204"/>
      <c r="BF562" s="205" t="s">
        <v>462</v>
      </c>
      <c r="BG562" s="204"/>
      <c r="BH562" s="204" t="s">
        <v>407</v>
      </c>
      <c r="BI562" s="204"/>
      <c r="BJ562" s="204"/>
      <c r="BK562" s="206"/>
    </row>
    <row r="563" spans="1:63" s="164" customFormat="1" ht="15.75" customHeight="1">
      <c r="A563" s="185"/>
      <c r="B563" s="193"/>
      <c r="C563" s="184"/>
      <c r="D563" s="183" t="s">
        <v>989</v>
      </c>
      <c r="E563" s="184"/>
      <c r="F563" s="184"/>
      <c r="G563" s="184"/>
      <c r="H563" s="184"/>
      <c r="I563" s="184"/>
      <c r="J563" s="184"/>
      <c r="K563" s="184"/>
      <c r="L563" s="193"/>
      <c r="M563" s="1003" t="s">
        <v>990</v>
      </c>
      <c r="N563" s="1002"/>
      <c r="O563" s="1002"/>
      <c r="P563" s="1002"/>
      <c r="Q563" s="1002"/>
      <c r="R563" s="1002"/>
      <c r="S563" s="1002"/>
      <c r="T563" s="1002"/>
      <c r="U563" s="1002"/>
      <c r="V563" s="1002"/>
      <c r="W563" s="1002"/>
      <c r="X563" s="1002"/>
      <c r="Y563" s="1002"/>
      <c r="Z563" s="1002"/>
      <c r="AA563" s="1002"/>
      <c r="AB563" s="1002"/>
      <c r="AC563" s="1002"/>
      <c r="AD563" s="1002"/>
      <c r="AE563" s="1002"/>
      <c r="AF563" s="1002"/>
      <c r="AG563" s="1002"/>
      <c r="AH563" s="1002"/>
      <c r="AI563" s="1002"/>
      <c r="AJ563" s="1002"/>
      <c r="AK563" s="1002"/>
      <c r="AL563" s="1002"/>
      <c r="AM563" s="1002"/>
      <c r="AN563" s="1002"/>
      <c r="AO563" s="1002"/>
      <c r="AP563" s="1002"/>
      <c r="AQ563" s="1002"/>
      <c r="AR563" s="1002"/>
      <c r="AS563" s="1002"/>
      <c r="AT563" s="1002"/>
      <c r="AU563" s="1002"/>
      <c r="AV563" s="1002"/>
      <c r="AW563" s="1002"/>
      <c r="AX563" s="1002"/>
      <c r="AY563" s="1002"/>
      <c r="AZ563" s="1002"/>
      <c r="BA563" s="1002"/>
      <c r="BB563" s="1002"/>
      <c r="BC563" s="1002"/>
      <c r="BD563" s="1002"/>
      <c r="BE563" s="204"/>
      <c r="BF563" s="205" t="s">
        <v>464</v>
      </c>
      <c r="BG563" s="204"/>
      <c r="BH563" s="204" t="s">
        <v>407</v>
      </c>
      <c r="BI563" s="204"/>
      <c r="BJ563" s="204"/>
      <c r="BK563" s="206"/>
    </row>
    <row r="564" spans="1:63" s="164" customFormat="1" ht="15.75" customHeight="1">
      <c r="A564" s="185"/>
      <c r="B564" s="193"/>
      <c r="C564" s="184"/>
      <c r="D564" s="183" t="s">
        <v>991</v>
      </c>
      <c r="E564" s="184"/>
      <c r="F564" s="184"/>
      <c r="G564" s="184"/>
      <c r="H564" s="184"/>
      <c r="I564" s="184"/>
      <c r="J564" s="184"/>
      <c r="K564" s="184"/>
      <c r="L564" s="193"/>
      <c r="M564" s="1005" t="s">
        <v>992</v>
      </c>
      <c r="N564" s="1005"/>
      <c r="O564" s="1005"/>
      <c r="P564" s="1005"/>
      <c r="Q564" s="1005"/>
      <c r="R564" s="1005"/>
      <c r="S564" s="1005"/>
      <c r="T564" s="1005"/>
      <c r="U564" s="1005"/>
      <c r="V564" s="1005"/>
      <c r="W564" s="1005"/>
      <c r="X564" s="1005"/>
      <c r="Y564" s="1005"/>
      <c r="Z564" s="1005"/>
      <c r="AA564" s="1005"/>
      <c r="AB564" s="1005"/>
      <c r="AC564" s="1005"/>
      <c r="AD564" s="1005"/>
      <c r="AE564" s="1005"/>
      <c r="AF564" s="1005"/>
      <c r="AG564" s="1005"/>
      <c r="AH564" s="1005"/>
      <c r="AI564" s="1005"/>
      <c r="AJ564" s="1005"/>
      <c r="AK564" s="1005"/>
      <c r="AL564" s="1005"/>
      <c r="AM564" s="1005"/>
      <c r="AN564" s="1005"/>
      <c r="AO564" s="1005"/>
      <c r="AP564" s="1005"/>
      <c r="AQ564" s="1005"/>
      <c r="AR564" s="1005"/>
      <c r="AS564" s="1005"/>
      <c r="AT564" s="1005"/>
      <c r="AU564" s="1005"/>
      <c r="AV564" s="1005"/>
      <c r="AW564" s="1005"/>
      <c r="AX564" s="1005"/>
      <c r="AY564" s="1005"/>
      <c r="AZ564" s="1005"/>
      <c r="BA564" s="1005"/>
      <c r="BB564" s="1005"/>
      <c r="BC564" s="1005"/>
      <c r="BD564" s="1005"/>
      <c r="BE564" s="204"/>
      <c r="BF564" s="205" t="s">
        <v>419</v>
      </c>
      <c r="BG564" s="204"/>
      <c r="BH564" s="204" t="s">
        <v>407</v>
      </c>
      <c r="BI564" s="204"/>
      <c r="BJ564" s="204"/>
      <c r="BK564" s="206"/>
    </row>
    <row r="565" spans="1:63" s="164" customFormat="1" ht="15.75" customHeight="1">
      <c r="A565" s="185"/>
      <c r="B565" s="193"/>
      <c r="C565" s="184"/>
      <c r="D565" s="183" t="s">
        <v>452</v>
      </c>
      <c r="E565" s="184"/>
      <c r="F565" s="184"/>
      <c r="G565" s="184"/>
      <c r="H565" s="184"/>
      <c r="I565" s="184"/>
      <c r="J565" s="184"/>
      <c r="K565" s="184"/>
      <c r="L565" s="193"/>
      <c r="M565" s="1005" t="s">
        <v>993</v>
      </c>
      <c r="N565" s="1006"/>
      <c r="O565" s="1006"/>
      <c r="P565" s="1006"/>
      <c r="Q565" s="1006"/>
      <c r="R565" s="1006"/>
      <c r="S565" s="1006"/>
      <c r="T565" s="1006"/>
      <c r="U565" s="1006"/>
      <c r="V565" s="1006"/>
      <c r="W565" s="1006"/>
      <c r="X565" s="1006"/>
      <c r="Y565" s="1006"/>
      <c r="Z565" s="1006"/>
      <c r="AA565" s="1006"/>
      <c r="AB565" s="1006"/>
      <c r="AC565" s="1006"/>
      <c r="AD565" s="1006"/>
      <c r="AE565" s="1006"/>
      <c r="AF565" s="1006"/>
      <c r="AG565" s="1006"/>
      <c r="AH565" s="1006"/>
      <c r="AI565" s="1006"/>
      <c r="AJ565" s="1006"/>
      <c r="AK565" s="1006"/>
      <c r="AL565" s="1006"/>
      <c r="AM565" s="1006"/>
      <c r="AN565" s="1006"/>
      <c r="AO565" s="1006"/>
      <c r="AP565" s="1006"/>
      <c r="AQ565" s="1006"/>
      <c r="AR565" s="1006"/>
      <c r="AS565" s="1006"/>
      <c r="AT565" s="1006"/>
      <c r="AU565" s="1006"/>
      <c r="AV565" s="1006"/>
      <c r="AW565" s="1006"/>
      <c r="AX565" s="1006"/>
      <c r="AY565" s="1006"/>
      <c r="AZ565" s="1006"/>
      <c r="BA565" s="1006"/>
      <c r="BB565" s="1006"/>
      <c r="BC565" s="1006"/>
      <c r="BD565" s="1006"/>
      <c r="BE565" s="204"/>
      <c r="BF565" s="205"/>
      <c r="BG565" s="204"/>
      <c r="BH565" s="204"/>
      <c r="BI565" s="204"/>
      <c r="BJ565" s="204"/>
      <c r="BK565" s="206"/>
    </row>
    <row r="566" spans="1:63" s="164" customFormat="1" ht="15.75" customHeight="1">
      <c r="A566" s="185"/>
      <c r="B566" s="193"/>
      <c r="C566" s="184"/>
      <c r="D566" s="183" t="s">
        <v>459</v>
      </c>
      <c r="E566" s="184"/>
      <c r="F566" s="184"/>
      <c r="G566" s="184"/>
      <c r="H566" s="184"/>
      <c r="I566" s="184"/>
      <c r="J566" s="184"/>
      <c r="K566" s="184"/>
      <c r="L566" s="193"/>
      <c r="M566" s="1005" t="s">
        <v>994</v>
      </c>
      <c r="N566" s="1006"/>
      <c r="O566" s="1006"/>
      <c r="P566" s="1006"/>
      <c r="Q566" s="1006"/>
      <c r="R566" s="1006"/>
      <c r="S566" s="1006"/>
      <c r="T566" s="1006"/>
      <c r="U566" s="1006"/>
      <c r="V566" s="1006"/>
      <c r="W566" s="1006"/>
      <c r="X566" s="1006"/>
      <c r="Y566" s="1006"/>
      <c r="Z566" s="1006"/>
      <c r="AA566" s="1006"/>
      <c r="AB566" s="1006"/>
      <c r="AC566" s="1006"/>
      <c r="AD566" s="1006"/>
      <c r="AE566" s="1006"/>
      <c r="AF566" s="1006"/>
      <c r="AG566" s="1006"/>
      <c r="AH566" s="1006"/>
      <c r="AI566" s="1006"/>
      <c r="AJ566" s="1006"/>
      <c r="AK566" s="1006"/>
      <c r="AL566" s="1006"/>
      <c r="AM566" s="1006"/>
      <c r="AN566" s="1006"/>
      <c r="AO566" s="1006"/>
      <c r="AP566" s="1006"/>
      <c r="AQ566" s="1006"/>
      <c r="AR566" s="1006"/>
      <c r="AS566" s="1006"/>
      <c r="AT566" s="1006"/>
      <c r="AU566" s="1006"/>
      <c r="AV566" s="1006"/>
      <c r="AW566" s="1006"/>
      <c r="AX566" s="1006"/>
      <c r="AY566" s="1006"/>
      <c r="AZ566" s="1006"/>
      <c r="BA566" s="1006"/>
      <c r="BB566" s="1006"/>
      <c r="BC566" s="1006"/>
      <c r="BD566" s="1006"/>
      <c r="BE566" s="204"/>
      <c r="BF566" s="205"/>
      <c r="BG566" s="204"/>
      <c r="BH566" s="204"/>
      <c r="BI566" s="204"/>
      <c r="BJ566" s="204"/>
      <c r="BK566" s="206"/>
    </row>
    <row r="567" spans="1:63" s="164" customFormat="1" ht="47.25" customHeight="1">
      <c r="A567" s="185"/>
      <c r="B567" s="193"/>
      <c r="C567" s="184"/>
      <c r="D567" s="183" t="s">
        <v>995</v>
      </c>
      <c r="E567" s="184"/>
      <c r="F567" s="184"/>
      <c r="G567" s="184"/>
      <c r="H567" s="184"/>
      <c r="I567" s="184"/>
      <c r="J567" s="184"/>
      <c r="K567" s="184"/>
      <c r="L567" s="193"/>
      <c r="M567" s="1003" t="s">
        <v>996</v>
      </c>
      <c r="N567" s="1002"/>
      <c r="O567" s="1002"/>
      <c r="P567" s="1002"/>
      <c r="Q567" s="1002"/>
      <c r="R567" s="1002"/>
      <c r="S567" s="1002"/>
      <c r="T567" s="1002"/>
      <c r="U567" s="1002"/>
      <c r="V567" s="1002"/>
      <c r="W567" s="1002"/>
      <c r="X567" s="1002"/>
      <c r="Y567" s="1002"/>
      <c r="Z567" s="1002"/>
      <c r="AA567" s="1002"/>
      <c r="AB567" s="1002"/>
      <c r="AC567" s="1002"/>
      <c r="AD567" s="1002"/>
      <c r="AE567" s="1002"/>
      <c r="AF567" s="1002"/>
      <c r="AG567" s="1002"/>
      <c r="AH567" s="1002"/>
      <c r="AI567" s="1002"/>
      <c r="AJ567" s="1002"/>
      <c r="AK567" s="1002"/>
      <c r="AL567" s="1002"/>
      <c r="AM567" s="1002"/>
      <c r="AN567" s="1002"/>
      <c r="AO567" s="1002"/>
      <c r="AP567" s="1002"/>
      <c r="AQ567" s="1002"/>
      <c r="AR567" s="1002"/>
      <c r="AS567" s="1002"/>
      <c r="AT567" s="1002"/>
      <c r="AU567" s="1002"/>
      <c r="AV567" s="1002"/>
      <c r="AW567" s="1002"/>
      <c r="AX567" s="1002"/>
      <c r="AY567" s="1002"/>
      <c r="AZ567" s="1002"/>
      <c r="BA567" s="1002"/>
      <c r="BB567" s="1002"/>
      <c r="BC567" s="1002"/>
      <c r="BD567" s="1002"/>
      <c r="BE567" s="204"/>
      <c r="BF567" s="205" t="s">
        <v>548</v>
      </c>
      <c r="BG567" s="204"/>
      <c r="BH567" s="204" t="s">
        <v>407</v>
      </c>
      <c r="BI567" s="204"/>
      <c r="BJ567" s="204"/>
      <c r="BK567" s="206"/>
    </row>
    <row r="568" spans="1:63" s="164" customFormat="1" ht="54.75" customHeight="1">
      <c r="A568" s="185"/>
      <c r="B568" s="193"/>
      <c r="C568" s="184"/>
      <c r="D568" s="183" t="s">
        <v>997</v>
      </c>
      <c r="E568" s="184"/>
      <c r="F568" s="184"/>
      <c r="G568" s="184"/>
      <c r="H568" s="184"/>
      <c r="I568" s="184"/>
      <c r="J568" s="184"/>
      <c r="K568" s="184"/>
      <c r="L568" s="193"/>
      <c r="M568" s="1003" t="s">
        <v>998</v>
      </c>
      <c r="N568" s="1002"/>
      <c r="O568" s="1002"/>
      <c r="P568" s="1002"/>
      <c r="Q568" s="1002"/>
      <c r="R568" s="1002"/>
      <c r="S568" s="1002"/>
      <c r="T568" s="1002"/>
      <c r="U568" s="1002"/>
      <c r="V568" s="1002"/>
      <c r="W568" s="1002"/>
      <c r="X568" s="1002"/>
      <c r="Y568" s="1002"/>
      <c r="Z568" s="1002"/>
      <c r="AA568" s="1002"/>
      <c r="AB568" s="1002"/>
      <c r="AC568" s="1002"/>
      <c r="AD568" s="1002"/>
      <c r="AE568" s="1002"/>
      <c r="AF568" s="1002"/>
      <c r="AG568" s="1002"/>
      <c r="AH568" s="1002"/>
      <c r="AI568" s="1002"/>
      <c r="AJ568" s="1002"/>
      <c r="AK568" s="1002"/>
      <c r="AL568" s="1002"/>
      <c r="AM568" s="1002"/>
      <c r="AN568" s="1002"/>
      <c r="AO568" s="1002"/>
      <c r="AP568" s="1002"/>
      <c r="AQ568" s="1002"/>
      <c r="AR568" s="1002"/>
      <c r="AS568" s="1002"/>
      <c r="AT568" s="1002"/>
      <c r="AU568" s="1002"/>
      <c r="AV568" s="1002"/>
      <c r="AW568" s="1002"/>
      <c r="AX568" s="1002"/>
      <c r="AY568" s="1002"/>
      <c r="AZ568" s="1002"/>
      <c r="BA568" s="1002"/>
      <c r="BB568" s="1002"/>
      <c r="BC568" s="1002"/>
      <c r="BD568" s="1002"/>
      <c r="BE568" s="204"/>
      <c r="BF568" s="205" t="s">
        <v>548</v>
      </c>
      <c r="BG568" s="204"/>
      <c r="BH568" s="204" t="s">
        <v>407</v>
      </c>
      <c r="BI568" s="204"/>
      <c r="BJ568" s="204"/>
      <c r="BK568" s="206"/>
    </row>
    <row r="569" spans="1:63" s="164" customFormat="1" ht="15.75" customHeight="1">
      <c r="A569" s="185"/>
      <c r="B569" s="193"/>
      <c r="C569" s="184"/>
      <c r="D569" s="183" t="s">
        <v>999</v>
      </c>
      <c r="E569" s="184"/>
      <c r="F569" s="184"/>
      <c r="G569" s="184"/>
      <c r="H569" s="184"/>
      <c r="I569" s="184"/>
      <c r="J569" s="184"/>
      <c r="K569" s="184"/>
      <c r="L569" s="193"/>
      <c r="M569" s="1003" t="s">
        <v>1000</v>
      </c>
      <c r="N569" s="1002"/>
      <c r="O569" s="1002"/>
      <c r="P569" s="1002"/>
      <c r="Q569" s="1002"/>
      <c r="R569" s="1002"/>
      <c r="S569" s="1002"/>
      <c r="T569" s="1002"/>
      <c r="U569" s="1002"/>
      <c r="V569" s="1002"/>
      <c r="W569" s="1002"/>
      <c r="X569" s="1002"/>
      <c r="Y569" s="1002"/>
      <c r="Z569" s="1002"/>
      <c r="AA569" s="1002"/>
      <c r="AB569" s="1002"/>
      <c r="AC569" s="1002"/>
      <c r="AD569" s="1002"/>
      <c r="AE569" s="1002"/>
      <c r="AF569" s="1002"/>
      <c r="AG569" s="1002"/>
      <c r="AH569" s="1002"/>
      <c r="AI569" s="1002"/>
      <c r="AJ569" s="1002"/>
      <c r="AK569" s="1002"/>
      <c r="AL569" s="1002"/>
      <c r="AM569" s="1002"/>
      <c r="AN569" s="1002"/>
      <c r="AO569" s="1002"/>
      <c r="AP569" s="1002"/>
      <c r="AQ569" s="1002"/>
      <c r="AR569" s="1002"/>
      <c r="AS569" s="1002"/>
      <c r="AT569" s="1002"/>
      <c r="AU569" s="1002"/>
      <c r="AV569" s="1002"/>
      <c r="AW569" s="1002"/>
      <c r="AX569" s="1002"/>
      <c r="AY569" s="1002"/>
      <c r="AZ569" s="1002"/>
      <c r="BA569" s="1002"/>
      <c r="BB569" s="1002"/>
      <c r="BC569" s="1002"/>
      <c r="BD569" s="1002"/>
      <c r="BE569" s="204"/>
      <c r="BF569" s="205" t="s">
        <v>462</v>
      </c>
      <c r="BG569" s="204"/>
      <c r="BH569" s="204" t="s">
        <v>407</v>
      </c>
      <c r="BI569" s="204"/>
      <c r="BJ569" s="204"/>
      <c r="BK569" s="206"/>
    </row>
    <row r="570" spans="1:63" s="164" customFormat="1" ht="15.75" customHeight="1">
      <c r="A570" s="185"/>
      <c r="B570" s="193"/>
      <c r="C570" s="184"/>
      <c r="D570" s="183" t="s">
        <v>1001</v>
      </c>
      <c r="E570" s="184"/>
      <c r="F570" s="184"/>
      <c r="G570" s="184"/>
      <c r="H570" s="184"/>
      <c r="I570" s="184"/>
      <c r="J570" s="184"/>
      <c r="K570" s="184"/>
      <c r="L570" s="193"/>
      <c r="M570" s="1005" t="s">
        <v>1002</v>
      </c>
      <c r="N570" s="1005"/>
      <c r="O570" s="1005"/>
      <c r="P570" s="1005"/>
      <c r="Q570" s="1005"/>
      <c r="R570" s="1005"/>
      <c r="S570" s="1005"/>
      <c r="T570" s="1005"/>
      <c r="U570" s="1005"/>
      <c r="V570" s="1005"/>
      <c r="W570" s="1005"/>
      <c r="X570" s="1005"/>
      <c r="Y570" s="1005"/>
      <c r="Z570" s="1005"/>
      <c r="AA570" s="1005"/>
      <c r="AB570" s="1005"/>
      <c r="AC570" s="1005"/>
      <c r="AD570" s="1005"/>
      <c r="AE570" s="1005"/>
      <c r="AF570" s="1005"/>
      <c r="AG570" s="1005"/>
      <c r="AH570" s="1005"/>
      <c r="AI570" s="1005"/>
      <c r="AJ570" s="1005"/>
      <c r="AK570" s="1005"/>
      <c r="AL570" s="1005"/>
      <c r="AM570" s="1005"/>
      <c r="AN570" s="1005"/>
      <c r="AO570" s="1005"/>
      <c r="AP570" s="1005"/>
      <c r="AQ570" s="1005"/>
      <c r="AR570" s="1005"/>
      <c r="AS570" s="1005"/>
      <c r="AT570" s="1005"/>
      <c r="AU570" s="1005"/>
      <c r="AV570" s="1005"/>
      <c r="AW570" s="1005"/>
      <c r="AX570" s="1005"/>
      <c r="AY570" s="1005"/>
      <c r="AZ570" s="1005"/>
      <c r="BA570" s="1005"/>
      <c r="BB570" s="1005"/>
      <c r="BC570" s="1005"/>
      <c r="BD570" s="1005"/>
      <c r="BE570" s="204"/>
      <c r="BF570" s="205" t="s">
        <v>548</v>
      </c>
      <c r="BG570" s="204"/>
      <c r="BH570" s="204" t="s">
        <v>407</v>
      </c>
      <c r="BI570" s="204"/>
      <c r="BJ570" s="204"/>
      <c r="BK570" s="206"/>
    </row>
    <row r="571" spans="1:63" s="164" customFormat="1" ht="13">
      <c r="A571" s="185"/>
      <c r="B571" s="193"/>
      <c r="C571" s="184"/>
      <c r="D571" s="183" t="s">
        <v>1003</v>
      </c>
      <c r="E571" s="184"/>
      <c r="F571" s="184"/>
      <c r="G571" s="184"/>
      <c r="H571" s="184"/>
      <c r="I571" s="184"/>
      <c r="J571" s="184"/>
      <c r="K571" s="184"/>
      <c r="L571" s="193"/>
      <c r="M571" s="1005" t="s">
        <v>1004</v>
      </c>
      <c r="N571" s="1005"/>
      <c r="O571" s="1005"/>
      <c r="P571" s="1005"/>
      <c r="Q571" s="1005"/>
      <c r="R571" s="1005"/>
      <c r="S571" s="1005"/>
      <c r="T571" s="1005"/>
      <c r="U571" s="1005"/>
      <c r="V571" s="1005"/>
      <c r="W571" s="1005"/>
      <c r="X571" s="1005"/>
      <c r="Y571" s="1005"/>
      <c r="Z571" s="1005"/>
      <c r="AA571" s="1005"/>
      <c r="AB571" s="1005"/>
      <c r="AC571" s="1005"/>
      <c r="AD571" s="1005"/>
      <c r="AE571" s="1005"/>
      <c r="AF571" s="1005"/>
      <c r="AG571" s="1005"/>
      <c r="AH571" s="1005"/>
      <c r="AI571" s="1005"/>
      <c r="AJ571" s="1005"/>
      <c r="AK571" s="1005"/>
      <c r="AL571" s="1005"/>
      <c r="AM571" s="1005"/>
      <c r="AN571" s="1005"/>
      <c r="AO571" s="1005"/>
      <c r="AP571" s="1005"/>
      <c r="AQ571" s="1005"/>
      <c r="AR571" s="1005"/>
      <c r="AS571" s="1005"/>
      <c r="AT571" s="1005"/>
      <c r="AU571" s="1005"/>
      <c r="AV571" s="1005"/>
      <c r="AW571" s="1005"/>
      <c r="AX571" s="1005"/>
      <c r="AY571" s="1005"/>
      <c r="AZ571" s="1005"/>
      <c r="BA571" s="1005"/>
      <c r="BB571" s="1005"/>
      <c r="BC571" s="1005"/>
      <c r="BD571" s="1005"/>
      <c r="BE571" s="204"/>
      <c r="BF571" s="205" t="s">
        <v>462</v>
      </c>
      <c r="BG571" s="204"/>
      <c r="BH571" s="204" t="s">
        <v>407</v>
      </c>
      <c r="BI571" s="204"/>
      <c r="BJ571" s="204"/>
      <c r="BK571" s="206"/>
    </row>
    <row r="572" spans="1:63" s="164" customFormat="1" ht="15.75" customHeight="1">
      <c r="A572" s="185"/>
      <c r="B572" s="193"/>
      <c r="C572" s="184"/>
      <c r="D572" s="183" t="s">
        <v>1005</v>
      </c>
      <c r="E572" s="184"/>
      <c r="F572" s="184"/>
      <c r="G572" s="184"/>
      <c r="H572" s="184"/>
      <c r="I572" s="184"/>
      <c r="J572" s="184"/>
      <c r="K572" s="184"/>
      <c r="L572" s="193"/>
      <c r="M572" s="1003" t="s">
        <v>1006</v>
      </c>
      <c r="N572" s="1002"/>
      <c r="O572" s="1002"/>
      <c r="P572" s="1002"/>
      <c r="Q572" s="1002"/>
      <c r="R572" s="1002"/>
      <c r="S572" s="1002"/>
      <c r="T572" s="1002"/>
      <c r="U572" s="1002"/>
      <c r="V572" s="1002"/>
      <c r="W572" s="1002"/>
      <c r="X572" s="1002"/>
      <c r="Y572" s="1002"/>
      <c r="Z572" s="1002"/>
      <c r="AA572" s="1002"/>
      <c r="AB572" s="1002"/>
      <c r="AC572" s="1002"/>
      <c r="AD572" s="1002"/>
      <c r="AE572" s="1002"/>
      <c r="AF572" s="1002"/>
      <c r="AG572" s="1002"/>
      <c r="AH572" s="1002"/>
      <c r="AI572" s="1002"/>
      <c r="AJ572" s="1002"/>
      <c r="AK572" s="1002"/>
      <c r="AL572" s="1002"/>
      <c r="AM572" s="1002"/>
      <c r="AN572" s="1002"/>
      <c r="AO572" s="1002"/>
      <c r="AP572" s="1002"/>
      <c r="AQ572" s="1002"/>
      <c r="AR572" s="1002"/>
      <c r="AS572" s="1002"/>
      <c r="AT572" s="1002"/>
      <c r="AU572" s="1002"/>
      <c r="AV572" s="1002"/>
      <c r="AW572" s="1002"/>
      <c r="AX572" s="1002"/>
      <c r="AY572" s="1002"/>
      <c r="AZ572" s="1002"/>
      <c r="BA572" s="1002"/>
      <c r="BB572" s="1002"/>
      <c r="BC572" s="1002"/>
      <c r="BD572" s="1002"/>
      <c r="BE572" s="204"/>
      <c r="BF572" s="205" t="s">
        <v>462</v>
      </c>
      <c r="BG572" s="204"/>
      <c r="BH572" s="204" t="s">
        <v>407</v>
      </c>
      <c r="BI572" s="204"/>
      <c r="BJ572" s="204"/>
      <c r="BK572" s="206"/>
    </row>
    <row r="573" spans="1:63" s="164" customFormat="1" ht="13">
      <c r="A573" s="185"/>
      <c r="B573" s="193"/>
      <c r="C573" s="184"/>
      <c r="D573" s="183" t="s">
        <v>1007</v>
      </c>
      <c r="E573" s="184"/>
      <c r="F573" s="184"/>
      <c r="G573" s="184"/>
      <c r="H573" s="184"/>
      <c r="I573" s="184"/>
      <c r="J573" s="184"/>
      <c r="K573" s="184"/>
      <c r="L573" s="193"/>
      <c r="M573" s="1005" t="s">
        <v>1008</v>
      </c>
      <c r="N573" s="1005"/>
      <c r="O573" s="1005"/>
      <c r="P573" s="1005"/>
      <c r="Q573" s="1005"/>
      <c r="R573" s="1005"/>
      <c r="S573" s="1005"/>
      <c r="T573" s="1005"/>
      <c r="U573" s="1005"/>
      <c r="V573" s="1005"/>
      <c r="W573" s="1005"/>
      <c r="X573" s="1005"/>
      <c r="Y573" s="1005"/>
      <c r="Z573" s="1005"/>
      <c r="AA573" s="1005"/>
      <c r="AB573" s="1005"/>
      <c r="AC573" s="1005"/>
      <c r="AD573" s="1005"/>
      <c r="AE573" s="1005"/>
      <c r="AF573" s="1005"/>
      <c r="AG573" s="1005"/>
      <c r="AH573" s="1005"/>
      <c r="AI573" s="1005"/>
      <c r="AJ573" s="1005"/>
      <c r="AK573" s="1005"/>
      <c r="AL573" s="1005"/>
      <c r="AM573" s="1005"/>
      <c r="AN573" s="1005"/>
      <c r="AO573" s="1005"/>
      <c r="AP573" s="1005"/>
      <c r="AQ573" s="1005"/>
      <c r="AR573" s="1005"/>
      <c r="AS573" s="1005"/>
      <c r="AT573" s="1005"/>
      <c r="AU573" s="1005"/>
      <c r="AV573" s="1005"/>
      <c r="AW573" s="1005"/>
      <c r="AX573" s="1005"/>
      <c r="AY573" s="1005"/>
      <c r="AZ573" s="1005"/>
      <c r="BA573" s="1005"/>
      <c r="BB573" s="1005"/>
      <c r="BC573" s="1005"/>
      <c r="BD573" s="1005"/>
      <c r="BE573" s="204"/>
      <c r="BF573" s="205" t="s">
        <v>462</v>
      </c>
      <c r="BG573" s="204"/>
      <c r="BH573" s="204" t="s">
        <v>407</v>
      </c>
      <c r="BI573" s="204"/>
      <c r="BJ573" s="204"/>
      <c r="BK573" s="206"/>
    </row>
    <row r="574" spans="1:63" s="164" customFormat="1" ht="15.75" customHeight="1">
      <c r="A574" s="185"/>
      <c r="B574" s="193"/>
      <c r="C574" s="184"/>
      <c r="D574" s="183" t="s">
        <v>1009</v>
      </c>
      <c r="E574" s="184"/>
      <c r="F574" s="184"/>
      <c r="G574" s="184"/>
      <c r="H574" s="184"/>
      <c r="I574" s="184"/>
      <c r="J574" s="184"/>
      <c r="K574" s="184"/>
      <c r="L574" s="193"/>
      <c r="M574" s="1003" t="s">
        <v>1010</v>
      </c>
      <c r="N574" s="1002"/>
      <c r="O574" s="1002"/>
      <c r="P574" s="1002"/>
      <c r="Q574" s="1002"/>
      <c r="R574" s="1002"/>
      <c r="S574" s="1002"/>
      <c r="T574" s="1002"/>
      <c r="U574" s="1002"/>
      <c r="V574" s="1002"/>
      <c r="W574" s="1002"/>
      <c r="X574" s="1002"/>
      <c r="Y574" s="1002"/>
      <c r="Z574" s="1002"/>
      <c r="AA574" s="1002"/>
      <c r="AB574" s="1002"/>
      <c r="AC574" s="1002"/>
      <c r="AD574" s="1002"/>
      <c r="AE574" s="1002"/>
      <c r="AF574" s="1002"/>
      <c r="AG574" s="1002"/>
      <c r="AH574" s="1002"/>
      <c r="AI574" s="1002"/>
      <c r="AJ574" s="1002"/>
      <c r="AK574" s="1002"/>
      <c r="AL574" s="1002"/>
      <c r="AM574" s="1002"/>
      <c r="AN574" s="1002"/>
      <c r="AO574" s="1002"/>
      <c r="AP574" s="1002"/>
      <c r="AQ574" s="1002"/>
      <c r="AR574" s="1002"/>
      <c r="AS574" s="1002"/>
      <c r="AT574" s="1002"/>
      <c r="AU574" s="1002"/>
      <c r="AV574" s="1002"/>
      <c r="AW574" s="1002"/>
      <c r="AX574" s="1002"/>
      <c r="AY574" s="1002"/>
      <c r="AZ574" s="1002"/>
      <c r="BA574" s="1002"/>
      <c r="BB574" s="1002"/>
      <c r="BC574" s="1002"/>
      <c r="BD574" s="1002"/>
      <c r="BE574" s="204"/>
      <c r="BF574" s="205" t="s">
        <v>462</v>
      </c>
      <c r="BG574" s="204"/>
      <c r="BH574" s="204" t="s">
        <v>407</v>
      </c>
      <c r="BI574" s="204"/>
      <c r="BJ574" s="204"/>
      <c r="BK574" s="206"/>
    </row>
    <row r="575" spans="1:63" s="164" customFormat="1" ht="15.75" customHeight="1">
      <c r="A575" s="185"/>
      <c r="B575" s="193"/>
      <c r="C575" s="184"/>
      <c r="D575" s="183" t="s">
        <v>309</v>
      </c>
      <c r="E575" s="184"/>
      <c r="F575" s="184"/>
      <c r="G575" s="184"/>
      <c r="H575" s="184"/>
      <c r="I575" s="184"/>
      <c r="J575" s="184"/>
      <c r="K575" s="184"/>
      <c r="L575" s="193"/>
      <c r="M575" s="1003" t="s">
        <v>1011</v>
      </c>
      <c r="N575" s="1002"/>
      <c r="O575" s="1002"/>
      <c r="P575" s="1002"/>
      <c r="Q575" s="1002"/>
      <c r="R575" s="1002"/>
      <c r="S575" s="1002"/>
      <c r="T575" s="1002"/>
      <c r="U575" s="1002"/>
      <c r="V575" s="1002"/>
      <c r="W575" s="1002"/>
      <c r="X575" s="1002"/>
      <c r="Y575" s="1002"/>
      <c r="Z575" s="1002"/>
      <c r="AA575" s="1002"/>
      <c r="AB575" s="1002"/>
      <c r="AC575" s="1002"/>
      <c r="AD575" s="1002"/>
      <c r="AE575" s="1002"/>
      <c r="AF575" s="1002"/>
      <c r="AG575" s="1002"/>
      <c r="AH575" s="1002"/>
      <c r="AI575" s="1002"/>
      <c r="AJ575" s="1002"/>
      <c r="AK575" s="1002"/>
      <c r="AL575" s="1002"/>
      <c r="AM575" s="1002"/>
      <c r="AN575" s="1002"/>
      <c r="AO575" s="1002"/>
      <c r="AP575" s="1002"/>
      <c r="AQ575" s="1002"/>
      <c r="AR575" s="1002"/>
      <c r="AS575" s="1002"/>
      <c r="AT575" s="1002"/>
      <c r="AU575" s="1002"/>
      <c r="AV575" s="1002"/>
      <c r="AW575" s="1002"/>
      <c r="AX575" s="1002"/>
      <c r="AY575" s="1002"/>
      <c r="AZ575" s="1002"/>
      <c r="BA575" s="1002"/>
      <c r="BB575" s="1002"/>
      <c r="BC575" s="1002"/>
      <c r="BD575" s="1002"/>
      <c r="BE575" s="204"/>
      <c r="BF575" s="205" t="s">
        <v>462</v>
      </c>
      <c r="BG575" s="204"/>
      <c r="BH575" s="204" t="s">
        <v>407</v>
      </c>
      <c r="BI575" s="204"/>
      <c r="BJ575" s="204"/>
      <c r="BK575" s="206"/>
    </row>
    <row r="576" spans="1:63" s="164" customFormat="1" ht="31.5" customHeight="1">
      <c r="A576" s="185"/>
      <c r="B576" s="193"/>
      <c r="C576" s="184"/>
      <c r="D576" s="183" t="s">
        <v>1012</v>
      </c>
      <c r="E576" s="184"/>
      <c r="F576" s="184"/>
      <c r="G576" s="184"/>
      <c r="H576" s="184"/>
      <c r="I576" s="184"/>
      <c r="J576" s="184"/>
      <c r="K576" s="184"/>
      <c r="L576" s="193"/>
      <c r="M576" s="1005" t="s">
        <v>1013</v>
      </c>
      <c r="N576" s="1005"/>
      <c r="O576" s="1005"/>
      <c r="P576" s="1005"/>
      <c r="Q576" s="1005"/>
      <c r="R576" s="1005"/>
      <c r="S576" s="1005"/>
      <c r="T576" s="1005"/>
      <c r="U576" s="1005"/>
      <c r="V576" s="1005"/>
      <c r="W576" s="1005"/>
      <c r="X576" s="1005"/>
      <c r="Y576" s="1005"/>
      <c r="Z576" s="1005"/>
      <c r="AA576" s="1005"/>
      <c r="AB576" s="1005"/>
      <c r="AC576" s="1005"/>
      <c r="AD576" s="1005"/>
      <c r="AE576" s="1005"/>
      <c r="AF576" s="1005"/>
      <c r="AG576" s="1005"/>
      <c r="AH576" s="1005"/>
      <c r="AI576" s="1005"/>
      <c r="AJ576" s="1005"/>
      <c r="AK576" s="1005"/>
      <c r="AL576" s="1005"/>
      <c r="AM576" s="1005"/>
      <c r="AN576" s="1005"/>
      <c r="AO576" s="1005"/>
      <c r="AP576" s="1005"/>
      <c r="AQ576" s="1005"/>
      <c r="AR576" s="1005"/>
      <c r="AS576" s="1005"/>
      <c r="AT576" s="1005"/>
      <c r="AU576" s="1005"/>
      <c r="AV576" s="1005"/>
      <c r="AW576" s="1005"/>
      <c r="AX576" s="1005"/>
      <c r="AY576" s="1005"/>
      <c r="AZ576" s="1005"/>
      <c r="BA576" s="1005"/>
      <c r="BB576" s="1005"/>
      <c r="BC576" s="1005"/>
      <c r="BD576" s="1005"/>
      <c r="BE576" s="204"/>
      <c r="BF576" s="205" t="s">
        <v>548</v>
      </c>
      <c r="BG576" s="204"/>
      <c r="BH576" s="204" t="s">
        <v>407</v>
      </c>
      <c r="BI576" s="204"/>
      <c r="BJ576" s="204"/>
      <c r="BK576" s="206"/>
    </row>
    <row r="577" spans="1:63" s="164" customFormat="1" ht="15.75" customHeight="1">
      <c r="A577" s="185"/>
      <c r="B577" s="193"/>
      <c r="C577" s="184"/>
      <c r="D577" s="183" t="s">
        <v>1014</v>
      </c>
      <c r="E577" s="184"/>
      <c r="F577" s="184"/>
      <c r="G577" s="184"/>
      <c r="H577" s="184"/>
      <c r="I577" s="184"/>
      <c r="J577" s="184"/>
      <c r="K577" s="184"/>
      <c r="L577" s="193"/>
      <c r="M577" s="1003" t="s">
        <v>1015</v>
      </c>
      <c r="N577" s="1002"/>
      <c r="O577" s="1002"/>
      <c r="P577" s="1002"/>
      <c r="Q577" s="1002"/>
      <c r="R577" s="1002"/>
      <c r="S577" s="1002"/>
      <c r="T577" s="1002"/>
      <c r="U577" s="1002"/>
      <c r="V577" s="1002"/>
      <c r="W577" s="1002"/>
      <c r="X577" s="1002"/>
      <c r="Y577" s="1002"/>
      <c r="Z577" s="1002"/>
      <c r="AA577" s="1002"/>
      <c r="AB577" s="1002"/>
      <c r="AC577" s="1002"/>
      <c r="AD577" s="1002"/>
      <c r="AE577" s="1002"/>
      <c r="AF577" s="1002"/>
      <c r="AG577" s="1002"/>
      <c r="AH577" s="1002"/>
      <c r="AI577" s="1002"/>
      <c r="AJ577" s="1002"/>
      <c r="AK577" s="1002"/>
      <c r="AL577" s="1002"/>
      <c r="AM577" s="1002"/>
      <c r="AN577" s="1002"/>
      <c r="AO577" s="1002"/>
      <c r="AP577" s="1002"/>
      <c r="AQ577" s="1002"/>
      <c r="AR577" s="1002"/>
      <c r="AS577" s="1002"/>
      <c r="AT577" s="1002"/>
      <c r="AU577" s="1002"/>
      <c r="AV577" s="1002"/>
      <c r="AW577" s="1002"/>
      <c r="AX577" s="1002"/>
      <c r="AY577" s="1002"/>
      <c r="AZ577" s="1002"/>
      <c r="BA577" s="1002"/>
      <c r="BB577" s="1002"/>
      <c r="BC577" s="1002"/>
      <c r="BD577" s="1002"/>
      <c r="BE577" s="204"/>
      <c r="BF577" s="205" t="s">
        <v>548</v>
      </c>
      <c r="BG577" s="204"/>
      <c r="BH577" s="204" t="s">
        <v>407</v>
      </c>
      <c r="BI577" s="204"/>
      <c r="BJ577" s="204"/>
      <c r="BK577" s="206"/>
    </row>
    <row r="578" spans="1:63" s="164" customFormat="1" ht="31.5" customHeight="1">
      <c r="A578" s="185"/>
      <c r="B578" s="193"/>
      <c r="C578" s="184"/>
      <c r="D578" s="183" t="s">
        <v>1016</v>
      </c>
      <c r="E578" s="184"/>
      <c r="F578" s="184"/>
      <c r="G578" s="184"/>
      <c r="H578" s="184"/>
      <c r="I578" s="184"/>
      <c r="J578" s="184"/>
      <c r="K578" s="184"/>
      <c r="L578" s="193"/>
      <c r="M578" s="1005" t="s">
        <v>1017</v>
      </c>
      <c r="N578" s="1005"/>
      <c r="O578" s="1005"/>
      <c r="P578" s="1005"/>
      <c r="Q578" s="1005"/>
      <c r="R578" s="1005"/>
      <c r="S578" s="1005"/>
      <c r="T578" s="1005"/>
      <c r="U578" s="1005"/>
      <c r="V578" s="1005"/>
      <c r="W578" s="1005"/>
      <c r="X578" s="1005"/>
      <c r="Y578" s="1005"/>
      <c r="Z578" s="1005"/>
      <c r="AA578" s="1005"/>
      <c r="AB578" s="1005"/>
      <c r="AC578" s="1005"/>
      <c r="AD578" s="1005"/>
      <c r="AE578" s="1005"/>
      <c r="AF578" s="1005"/>
      <c r="AG578" s="1005"/>
      <c r="AH578" s="1005"/>
      <c r="AI578" s="1005"/>
      <c r="AJ578" s="1005"/>
      <c r="AK578" s="1005"/>
      <c r="AL578" s="1005"/>
      <c r="AM578" s="1005"/>
      <c r="AN578" s="1005"/>
      <c r="AO578" s="1005"/>
      <c r="AP578" s="1005"/>
      <c r="AQ578" s="1005"/>
      <c r="AR578" s="1005"/>
      <c r="AS578" s="1005"/>
      <c r="AT578" s="1005"/>
      <c r="AU578" s="1005"/>
      <c r="AV578" s="1005"/>
      <c r="AW578" s="1005"/>
      <c r="AX578" s="1005"/>
      <c r="AY578" s="1005"/>
      <c r="AZ578" s="1005"/>
      <c r="BA578" s="1005"/>
      <c r="BB578" s="1005"/>
      <c r="BC578" s="1005"/>
      <c r="BD578" s="1005"/>
      <c r="BE578" s="204"/>
      <c r="BF578" s="205" t="s">
        <v>548</v>
      </c>
      <c r="BG578" s="204"/>
      <c r="BH578" s="204" t="s">
        <v>407</v>
      </c>
      <c r="BI578" s="204"/>
      <c r="BJ578" s="204"/>
      <c r="BK578" s="206"/>
    </row>
    <row r="579" spans="1:63" s="164" customFormat="1" ht="15.75" customHeight="1">
      <c r="A579" s="185"/>
      <c r="B579" s="193"/>
      <c r="C579" s="184"/>
      <c r="D579" s="183" t="s">
        <v>1018</v>
      </c>
      <c r="E579" s="184"/>
      <c r="F579" s="184"/>
      <c r="G579" s="184"/>
      <c r="H579" s="184"/>
      <c r="I579" s="184"/>
      <c r="J579" s="184"/>
      <c r="K579" s="184"/>
      <c r="L579" s="193"/>
      <c r="M579" s="1003" t="s">
        <v>1019</v>
      </c>
      <c r="N579" s="1002"/>
      <c r="O579" s="1002"/>
      <c r="P579" s="1002"/>
      <c r="Q579" s="1002"/>
      <c r="R579" s="1002"/>
      <c r="S579" s="1002"/>
      <c r="T579" s="1002"/>
      <c r="U579" s="1002"/>
      <c r="V579" s="1002"/>
      <c r="W579" s="1002"/>
      <c r="X579" s="1002"/>
      <c r="Y579" s="1002"/>
      <c r="Z579" s="1002"/>
      <c r="AA579" s="1002"/>
      <c r="AB579" s="1002"/>
      <c r="AC579" s="1002"/>
      <c r="AD579" s="1002"/>
      <c r="AE579" s="1002"/>
      <c r="AF579" s="1002"/>
      <c r="AG579" s="1002"/>
      <c r="AH579" s="1002"/>
      <c r="AI579" s="1002"/>
      <c r="AJ579" s="1002"/>
      <c r="AK579" s="1002"/>
      <c r="AL579" s="1002"/>
      <c r="AM579" s="1002"/>
      <c r="AN579" s="1002"/>
      <c r="AO579" s="1002"/>
      <c r="AP579" s="1002"/>
      <c r="AQ579" s="1002"/>
      <c r="AR579" s="1002"/>
      <c r="AS579" s="1002"/>
      <c r="AT579" s="1002"/>
      <c r="AU579" s="1002"/>
      <c r="AV579" s="1002"/>
      <c r="AW579" s="1002"/>
      <c r="AX579" s="1002"/>
      <c r="AY579" s="1002"/>
      <c r="AZ579" s="1002"/>
      <c r="BA579" s="1002"/>
      <c r="BB579" s="1002"/>
      <c r="BC579" s="1002"/>
      <c r="BD579" s="1002"/>
      <c r="BE579" s="204"/>
      <c r="BF579" s="205" t="s">
        <v>548</v>
      </c>
      <c r="BG579" s="204"/>
      <c r="BH579" s="204" t="s">
        <v>407</v>
      </c>
      <c r="BI579" s="204"/>
      <c r="BJ579" s="204"/>
      <c r="BK579" s="206"/>
    </row>
    <row r="580" spans="1:63" s="164" customFormat="1" ht="15.75" customHeight="1">
      <c r="A580" s="185"/>
      <c r="B580" s="193"/>
      <c r="C580" s="184"/>
      <c r="D580" s="183" t="s">
        <v>1020</v>
      </c>
      <c r="E580" s="184"/>
      <c r="F580" s="184"/>
      <c r="G580" s="184"/>
      <c r="H580" s="184"/>
      <c r="I580" s="184"/>
      <c r="J580" s="184"/>
      <c r="K580" s="184"/>
      <c r="L580" s="193"/>
      <c r="M580" s="1003" t="s">
        <v>1021</v>
      </c>
      <c r="N580" s="1002"/>
      <c r="O580" s="1002"/>
      <c r="P580" s="1002"/>
      <c r="Q580" s="1002"/>
      <c r="R580" s="1002"/>
      <c r="S580" s="1002"/>
      <c r="T580" s="1002"/>
      <c r="U580" s="1002"/>
      <c r="V580" s="1002"/>
      <c r="W580" s="1002"/>
      <c r="X580" s="1002"/>
      <c r="Y580" s="1002"/>
      <c r="Z580" s="1002"/>
      <c r="AA580" s="1002"/>
      <c r="AB580" s="1002"/>
      <c r="AC580" s="1002"/>
      <c r="AD580" s="1002"/>
      <c r="AE580" s="1002"/>
      <c r="AF580" s="1002"/>
      <c r="AG580" s="1002"/>
      <c r="AH580" s="1002"/>
      <c r="AI580" s="1002"/>
      <c r="AJ580" s="1002"/>
      <c r="AK580" s="1002"/>
      <c r="AL580" s="1002"/>
      <c r="AM580" s="1002"/>
      <c r="AN580" s="1002"/>
      <c r="AO580" s="1002"/>
      <c r="AP580" s="1002"/>
      <c r="AQ580" s="1002"/>
      <c r="AR580" s="1002"/>
      <c r="AS580" s="1002"/>
      <c r="AT580" s="1002"/>
      <c r="AU580" s="1002"/>
      <c r="AV580" s="1002"/>
      <c r="AW580" s="1002"/>
      <c r="AX580" s="1002"/>
      <c r="AY580" s="1002"/>
      <c r="AZ580" s="1002"/>
      <c r="BA580" s="1002"/>
      <c r="BB580" s="1002"/>
      <c r="BC580" s="1002"/>
      <c r="BD580" s="1002"/>
      <c r="BE580" s="204"/>
      <c r="BF580" s="205" t="s">
        <v>548</v>
      </c>
      <c r="BG580" s="204"/>
      <c r="BH580" s="204" t="s">
        <v>407</v>
      </c>
      <c r="BI580" s="204"/>
      <c r="BJ580" s="204"/>
      <c r="BK580" s="206"/>
    </row>
    <row r="581" spans="1:63" s="164" customFormat="1" ht="15.75" customHeight="1">
      <c r="A581" s="185"/>
      <c r="B581" s="193"/>
      <c r="C581" s="184"/>
      <c r="D581" s="183" t="s">
        <v>1022</v>
      </c>
      <c r="E581" s="184"/>
      <c r="F581" s="184"/>
      <c r="G581" s="184"/>
      <c r="H581" s="184"/>
      <c r="I581" s="184"/>
      <c r="J581" s="184"/>
      <c r="K581" s="184"/>
      <c r="L581" s="193"/>
      <c r="M581" s="1003" t="s">
        <v>1023</v>
      </c>
      <c r="N581" s="1002"/>
      <c r="O581" s="1002"/>
      <c r="P581" s="1002"/>
      <c r="Q581" s="1002"/>
      <c r="R581" s="1002"/>
      <c r="S581" s="1002"/>
      <c r="T581" s="1002"/>
      <c r="U581" s="1002"/>
      <c r="V581" s="1002"/>
      <c r="W581" s="1002"/>
      <c r="X581" s="1002"/>
      <c r="Y581" s="1002"/>
      <c r="Z581" s="1002"/>
      <c r="AA581" s="1002"/>
      <c r="AB581" s="1002"/>
      <c r="AC581" s="1002"/>
      <c r="AD581" s="1002"/>
      <c r="AE581" s="1002"/>
      <c r="AF581" s="1002"/>
      <c r="AG581" s="1002"/>
      <c r="AH581" s="1002"/>
      <c r="AI581" s="1002"/>
      <c r="AJ581" s="1002"/>
      <c r="AK581" s="1002"/>
      <c r="AL581" s="1002"/>
      <c r="AM581" s="1002"/>
      <c r="AN581" s="1002"/>
      <c r="AO581" s="1002"/>
      <c r="AP581" s="1002"/>
      <c r="AQ581" s="1002"/>
      <c r="AR581" s="1002"/>
      <c r="AS581" s="1002"/>
      <c r="AT581" s="1002"/>
      <c r="AU581" s="1002"/>
      <c r="AV581" s="1002"/>
      <c r="AW581" s="1002"/>
      <c r="AX581" s="1002"/>
      <c r="AY581" s="1002"/>
      <c r="AZ581" s="1002"/>
      <c r="BA581" s="1002"/>
      <c r="BB581" s="1002"/>
      <c r="BC581" s="1002"/>
      <c r="BD581" s="1002"/>
      <c r="BE581" s="204"/>
      <c r="BF581" s="205" t="s">
        <v>548</v>
      </c>
      <c r="BG581" s="204"/>
      <c r="BH581" s="204" t="s">
        <v>407</v>
      </c>
      <c r="BI581" s="204"/>
      <c r="BJ581" s="204"/>
      <c r="BK581" s="206"/>
    </row>
    <row r="582" spans="1:63" s="164" customFormat="1" ht="15.75" customHeight="1">
      <c r="A582" s="185"/>
      <c r="B582" s="193"/>
      <c r="C582" s="184"/>
      <c r="D582" s="183" t="s">
        <v>1024</v>
      </c>
      <c r="E582" s="184"/>
      <c r="F582" s="184"/>
      <c r="G582" s="184"/>
      <c r="H582" s="184"/>
      <c r="I582" s="184"/>
      <c r="J582" s="184"/>
      <c r="K582" s="184"/>
      <c r="L582" s="193"/>
      <c r="M582" s="1003" t="s">
        <v>1025</v>
      </c>
      <c r="N582" s="1002"/>
      <c r="O582" s="1002"/>
      <c r="P582" s="1002"/>
      <c r="Q582" s="1002"/>
      <c r="R582" s="1002"/>
      <c r="S582" s="1002"/>
      <c r="T582" s="1002"/>
      <c r="U582" s="1002"/>
      <c r="V582" s="1002"/>
      <c r="W582" s="1002"/>
      <c r="X582" s="1002"/>
      <c r="Y582" s="1002"/>
      <c r="Z582" s="1002"/>
      <c r="AA582" s="1002"/>
      <c r="AB582" s="1002"/>
      <c r="AC582" s="1002"/>
      <c r="AD582" s="1002"/>
      <c r="AE582" s="1002"/>
      <c r="AF582" s="1002"/>
      <c r="AG582" s="1002"/>
      <c r="AH582" s="1002"/>
      <c r="AI582" s="1002"/>
      <c r="AJ582" s="1002"/>
      <c r="AK582" s="1002"/>
      <c r="AL582" s="1002"/>
      <c r="AM582" s="1002"/>
      <c r="AN582" s="1002"/>
      <c r="AO582" s="1002"/>
      <c r="AP582" s="1002"/>
      <c r="AQ582" s="1002"/>
      <c r="AR582" s="1002"/>
      <c r="AS582" s="1002"/>
      <c r="AT582" s="1002"/>
      <c r="AU582" s="1002"/>
      <c r="AV582" s="1002"/>
      <c r="AW582" s="1002"/>
      <c r="AX582" s="1002"/>
      <c r="AY582" s="1002"/>
      <c r="AZ582" s="1002"/>
      <c r="BA582" s="1002"/>
      <c r="BB582" s="1002"/>
      <c r="BC582" s="1002"/>
      <c r="BD582" s="1002"/>
      <c r="BE582" s="204"/>
      <c r="BF582" s="205" t="s">
        <v>548</v>
      </c>
      <c r="BG582" s="204"/>
      <c r="BH582" s="204" t="s">
        <v>407</v>
      </c>
      <c r="BI582" s="204"/>
      <c r="BJ582" s="204"/>
      <c r="BK582" s="206"/>
    </row>
    <row r="583" spans="1:63" s="164" customFormat="1" ht="15.75" customHeight="1">
      <c r="A583" s="185"/>
      <c r="B583" s="193"/>
      <c r="C583" s="184"/>
      <c r="D583" s="183" t="s">
        <v>1026</v>
      </c>
      <c r="E583" s="184"/>
      <c r="F583" s="184"/>
      <c r="G583" s="184"/>
      <c r="H583" s="184"/>
      <c r="I583" s="184"/>
      <c r="J583" s="184"/>
      <c r="K583" s="184"/>
      <c r="L583" s="193"/>
      <c r="M583" s="1003" t="s">
        <v>1027</v>
      </c>
      <c r="N583" s="1002"/>
      <c r="O583" s="1002"/>
      <c r="P583" s="1002"/>
      <c r="Q583" s="1002"/>
      <c r="R583" s="1002"/>
      <c r="S583" s="1002"/>
      <c r="T583" s="1002"/>
      <c r="U583" s="1002"/>
      <c r="V583" s="1002"/>
      <c r="W583" s="1002"/>
      <c r="X583" s="1002"/>
      <c r="Y583" s="1002"/>
      <c r="Z583" s="1002"/>
      <c r="AA583" s="1002"/>
      <c r="AB583" s="1002"/>
      <c r="AC583" s="1002"/>
      <c r="AD583" s="1002"/>
      <c r="AE583" s="1002"/>
      <c r="AF583" s="1002"/>
      <c r="AG583" s="1002"/>
      <c r="AH583" s="1002"/>
      <c r="AI583" s="1002"/>
      <c r="AJ583" s="1002"/>
      <c r="AK583" s="1002"/>
      <c r="AL583" s="1002"/>
      <c r="AM583" s="1002"/>
      <c r="AN583" s="1002"/>
      <c r="AO583" s="1002"/>
      <c r="AP583" s="1002"/>
      <c r="AQ583" s="1002"/>
      <c r="AR583" s="1002"/>
      <c r="AS583" s="1002"/>
      <c r="AT583" s="1002"/>
      <c r="AU583" s="1002"/>
      <c r="AV583" s="1002"/>
      <c r="AW583" s="1002"/>
      <c r="AX583" s="1002"/>
      <c r="AY583" s="1002"/>
      <c r="AZ583" s="1002"/>
      <c r="BA583" s="1002"/>
      <c r="BB583" s="1002"/>
      <c r="BC583" s="1002"/>
      <c r="BD583" s="1002"/>
      <c r="BE583" s="204"/>
      <c r="BF583" s="205" t="s">
        <v>548</v>
      </c>
      <c r="BG583" s="204"/>
      <c r="BH583" s="204" t="s">
        <v>407</v>
      </c>
      <c r="BI583" s="204"/>
      <c r="BJ583" s="204"/>
      <c r="BK583" s="206"/>
    </row>
    <row r="584" spans="1:63" s="164" customFormat="1" ht="15.75" customHeight="1">
      <c r="A584" s="185"/>
      <c r="B584" s="193"/>
      <c r="C584" s="184"/>
      <c r="D584" s="183" t="s">
        <v>1028</v>
      </c>
      <c r="E584" s="184"/>
      <c r="F584" s="184"/>
      <c r="G584" s="184"/>
      <c r="H584" s="184"/>
      <c r="I584" s="184"/>
      <c r="J584" s="184"/>
      <c r="K584" s="184"/>
      <c r="L584" s="193"/>
      <c r="M584" s="1003" t="s">
        <v>181</v>
      </c>
      <c r="N584" s="1002"/>
      <c r="O584" s="1002"/>
      <c r="P584" s="1002"/>
      <c r="Q584" s="1002"/>
      <c r="R584" s="1002"/>
      <c r="S584" s="1002"/>
      <c r="T584" s="1002"/>
      <c r="U584" s="1002"/>
      <c r="V584" s="1002"/>
      <c r="W584" s="1002"/>
      <c r="X584" s="1002"/>
      <c r="Y584" s="1002"/>
      <c r="Z584" s="1002"/>
      <c r="AA584" s="1002"/>
      <c r="AB584" s="1002"/>
      <c r="AC584" s="1002"/>
      <c r="AD584" s="1002"/>
      <c r="AE584" s="1002"/>
      <c r="AF584" s="1002"/>
      <c r="AG584" s="1002"/>
      <c r="AH584" s="1002"/>
      <c r="AI584" s="1002"/>
      <c r="AJ584" s="1002"/>
      <c r="AK584" s="1002"/>
      <c r="AL584" s="1002"/>
      <c r="AM584" s="1002"/>
      <c r="AN584" s="1002"/>
      <c r="AO584" s="1002"/>
      <c r="AP584" s="1002"/>
      <c r="AQ584" s="1002"/>
      <c r="AR584" s="1002"/>
      <c r="AS584" s="1002"/>
      <c r="AT584" s="1002"/>
      <c r="AU584" s="1002"/>
      <c r="AV584" s="1002"/>
      <c r="AW584" s="1002"/>
      <c r="AX584" s="1002"/>
      <c r="AY584" s="1002"/>
      <c r="AZ584" s="1002"/>
      <c r="BA584" s="1002"/>
      <c r="BB584" s="1002"/>
      <c r="BC584" s="1002"/>
      <c r="BD584" s="1002"/>
      <c r="BE584" s="204"/>
      <c r="BF584" s="205" t="s">
        <v>548</v>
      </c>
      <c r="BG584" s="204"/>
      <c r="BH584" s="204" t="s">
        <v>407</v>
      </c>
      <c r="BI584" s="204"/>
      <c r="BJ584" s="204"/>
      <c r="BK584" s="206"/>
    </row>
    <row r="585" spans="1:63" s="164" customFormat="1" ht="15.75" customHeight="1">
      <c r="A585" s="185"/>
      <c r="B585" s="193"/>
      <c r="C585" s="184"/>
      <c r="D585" s="183" t="s">
        <v>1029</v>
      </c>
      <c r="E585" s="184"/>
      <c r="F585" s="184"/>
      <c r="G585" s="184"/>
      <c r="H585" s="184"/>
      <c r="I585" s="184"/>
      <c r="J585" s="184"/>
      <c r="K585" s="184"/>
      <c r="L585" s="193"/>
      <c r="M585" s="1003" t="s">
        <v>181</v>
      </c>
      <c r="N585" s="1002"/>
      <c r="O585" s="1002"/>
      <c r="P585" s="1002"/>
      <c r="Q585" s="1002"/>
      <c r="R585" s="1002"/>
      <c r="S585" s="1002"/>
      <c r="T585" s="1002"/>
      <c r="U585" s="1002"/>
      <c r="V585" s="1002"/>
      <c r="W585" s="1002"/>
      <c r="X585" s="1002"/>
      <c r="Y585" s="1002"/>
      <c r="Z585" s="1002"/>
      <c r="AA585" s="1002"/>
      <c r="AB585" s="1002"/>
      <c r="AC585" s="1002"/>
      <c r="AD585" s="1002"/>
      <c r="AE585" s="1002"/>
      <c r="AF585" s="1002"/>
      <c r="AG585" s="1002"/>
      <c r="AH585" s="1002"/>
      <c r="AI585" s="1002"/>
      <c r="AJ585" s="1002"/>
      <c r="AK585" s="1002"/>
      <c r="AL585" s="1002"/>
      <c r="AM585" s="1002"/>
      <c r="AN585" s="1002"/>
      <c r="AO585" s="1002"/>
      <c r="AP585" s="1002"/>
      <c r="AQ585" s="1002"/>
      <c r="AR585" s="1002"/>
      <c r="AS585" s="1002"/>
      <c r="AT585" s="1002"/>
      <c r="AU585" s="1002"/>
      <c r="AV585" s="1002"/>
      <c r="AW585" s="1002"/>
      <c r="AX585" s="1002"/>
      <c r="AY585" s="1002"/>
      <c r="AZ585" s="1002"/>
      <c r="BA585" s="1002"/>
      <c r="BB585" s="1002"/>
      <c r="BC585" s="1002"/>
      <c r="BD585" s="1002"/>
      <c r="BE585" s="204"/>
      <c r="BF585" s="205" t="s">
        <v>548</v>
      </c>
      <c r="BG585" s="204"/>
      <c r="BH585" s="204" t="s">
        <v>407</v>
      </c>
      <c r="BI585" s="204"/>
      <c r="BJ585" s="204"/>
      <c r="BK585" s="206"/>
    </row>
    <row r="586" spans="1:63" s="164" customFormat="1" ht="15.75" customHeight="1">
      <c r="A586" s="185"/>
      <c r="B586" s="193"/>
      <c r="C586" s="184"/>
      <c r="D586" s="183" t="s">
        <v>1030</v>
      </c>
      <c r="E586" s="184"/>
      <c r="F586" s="184"/>
      <c r="G586" s="184"/>
      <c r="H586" s="184"/>
      <c r="I586" s="184"/>
      <c r="J586" s="184"/>
      <c r="K586" s="184"/>
      <c r="L586" s="193"/>
      <c r="M586" s="1005" t="s">
        <v>1031</v>
      </c>
      <c r="N586" s="1005"/>
      <c r="O586" s="1005"/>
      <c r="P586" s="1005"/>
      <c r="Q586" s="1005"/>
      <c r="R586" s="1005"/>
      <c r="S586" s="1005"/>
      <c r="T586" s="1005"/>
      <c r="U586" s="1005"/>
      <c r="V586" s="1005"/>
      <c r="W586" s="1005"/>
      <c r="X586" s="1005"/>
      <c r="Y586" s="1005"/>
      <c r="Z586" s="1005"/>
      <c r="AA586" s="1005"/>
      <c r="AB586" s="1005"/>
      <c r="AC586" s="1005"/>
      <c r="AD586" s="1005"/>
      <c r="AE586" s="1005"/>
      <c r="AF586" s="1005"/>
      <c r="AG586" s="1005"/>
      <c r="AH586" s="1005"/>
      <c r="AI586" s="1005"/>
      <c r="AJ586" s="1005"/>
      <c r="AK586" s="1005"/>
      <c r="AL586" s="1005"/>
      <c r="AM586" s="1005"/>
      <c r="AN586" s="1005"/>
      <c r="AO586" s="1005"/>
      <c r="AP586" s="1005"/>
      <c r="AQ586" s="1005"/>
      <c r="AR586" s="1005"/>
      <c r="AS586" s="1005"/>
      <c r="AT586" s="1005"/>
      <c r="AU586" s="1005"/>
      <c r="AV586" s="1005"/>
      <c r="AW586" s="1005"/>
      <c r="AX586" s="1005"/>
      <c r="AY586" s="1005"/>
      <c r="AZ586" s="1005"/>
      <c r="BA586" s="1005"/>
      <c r="BB586" s="1005"/>
      <c r="BC586" s="1005"/>
      <c r="BD586" s="1005"/>
      <c r="BE586" s="204"/>
      <c r="BF586" s="205" t="s">
        <v>548</v>
      </c>
      <c r="BG586" s="204"/>
      <c r="BH586" s="204" t="s">
        <v>407</v>
      </c>
      <c r="BI586" s="204"/>
      <c r="BJ586" s="204"/>
      <c r="BK586" s="206"/>
    </row>
    <row r="587" spans="1:63" s="164" customFormat="1" ht="15.75" customHeight="1">
      <c r="A587" s="185"/>
      <c r="B587" s="193"/>
      <c r="C587" s="184"/>
      <c r="D587" s="183" t="s">
        <v>1032</v>
      </c>
      <c r="E587" s="184"/>
      <c r="F587" s="184"/>
      <c r="G587" s="184"/>
      <c r="H587" s="184"/>
      <c r="I587" s="184"/>
      <c r="J587" s="184"/>
      <c r="K587" s="184"/>
      <c r="L587" s="193"/>
      <c r="M587" s="1003" t="s">
        <v>1033</v>
      </c>
      <c r="N587" s="1002"/>
      <c r="O587" s="1002"/>
      <c r="P587" s="1002"/>
      <c r="Q587" s="1002"/>
      <c r="R587" s="1002"/>
      <c r="S587" s="1002"/>
      <c r="T587" s="1002"/>
      <c r="U587" s="1002"/>
      <c r="V587" s="1002"/>
      <c r="W587" s="1002"/>
      <c r="X587" s="1002"/>
      <c r="Y587" s="1002"/>
      <c r="Z587" s="1002"/>
      <c r="AA587" s="1002"/>
      <c r="AB587" s="1002"/>
      <c r="AC587" s="1002"/>
      <c r="AD587" s="1002"/>
      <c r="AE587" s="1002"/>
      <c r="AF587" s="1002"/>
      <c r="AG587" s="1002"/>
      <c r="AH587" s="1002"/>
      <c r="AI587" s="1002"/>
      <c r="AJ587" s="1002"/>
      <c r="AK587" s="1002"/>
      <c r="AL587" s="1002"/>
      <c r="AM587" s="1002"/>
      <c r="AN587" s="1002"/>
      <c r="AO587" s="1002"/>
      <c r="AP587" s="1002"/>
      <c r="AQ587" s="1002"/>
      <c r="AR587" s="1002"/>
      <c r="AS587" s="1002"/>
      <c r="AT587" s="1002"/>
      <c r="AU587" s="1002"/>
      <c r="AV587" s="1002"/>
      <c r="AW587" s="1002"/>
      <c r="AX587" s="1002"/>
      <c r="AY587" s="1002"/>
      <c r="AZ587" s="1002"/>
      <c r="BA587" s="1002"/>
      <c r="BB587" s="1002"/>
      <c r="BC587" s="1002"/>
      <c r="BD587" s="1002"/>
      <c r="BE587" s="204"/>
      <c r="BF587" s="205" t="s">
        <v>548</v>
      </c>
      <c r="BG587" s="204"/>
      <c r="BH587" s="204" t="s">
        <v>407</v>
      </c>
      <c r="BI587" s="204"/>
      <c r="BJ587" s="204"/>
      <c r="BK587" s="206"/>
    </row>
    <row r="588" spans="1:63" s="164" customFormat="1" ht="15.75" customHeight="1">
      <c r="A588" s="185"/>
      <c r="B588" s="193"/>
      <c r="C588" s="184"/>
      <c r="D588" s="183" t="s">
        <v>1034</v>
      </c>
      <c r="E588" s="184"/>
      <c r="F588" s="184"/>
      <c r="G588" s="184"/>
      <c r="H588" s="184"/>
      <c r="I588" s="184"/>
      <c r="J588" s="184"/>
      <c r="K588" s="184"/>
      <c r="L588" s="193"/>
      <c r="M588" s="1003" t="s">
        <v>1035</v>
      </c>
      <c r="N588" s="1002"/>
      <c r="O588" s="1002"/>
      <c r="P588" s="1002"/>
      <c r="Q588" s="1002"/>
      <c r="R588" s="1002"/>
      <c r="S588" s="1002"/>
      <c r="T588" s="1002"/>
      <c r="U588" s="1002"/>
      <c r="V588" s="1002"/>
      <c r="W588" s="1002"/>
      <c r="X588" s="1002"/>
      <c r="Y588" s="1002"/>
      <c r="Z588" s="1002"/>
      <c r="AA588" s="1002"/>
      <c r="AB588" s="1002"/>
      <c r="AC588" s="1002"/>
      <c r="AD588" s="1002"/>
      <c r="AE588" s="1002"/>
      <c r="AF588" s="1002"/>
      <c r="AG588" s="1002"/>
      <c r="AH588" s="1002"/>
      <c r="AI588" s="1002"/>
      <c r="AJ588" s="1002"/>
      <c r="AK588" s="1002"/>
      <c r="AL588" s="1002"/>
      <c r="AM588" s="1002"/>
      <c r="AN588" s="1002"/>
      <c r="AO588" s="1002"/>
      <c r="AP588" s="1002"/>
      <c r="AQ588" s="1002"/>
      <c r="AR588" s="1002"/>
      <c r="AS588" s="1002"/>
      <c r="AT588" s="1002"/>
      <c r="AU588" s="1002"/>
      <c r="AV588" s="1002"/>
      <c r="AW588" s="1002"/>
      <c r="AX588" s="1002"/>
      <c r="AY588" s="1002"/>
      <c r="AZ588" s="1002"/>
      <c r="BA588" s="1002"/>
      <c r="BB588" s="1002"/>
      <c r="BC588" s="1002"/>
      <c r="BD588" s="1002"/>
      <c r="BE588" s="204"/>
      <c r="BF588" s="205" t="s">
        <v>462</v>
      </c>
      <c r="BG588" s="204"/>
      <c r="BH588" s="204" t="s">
        <v>407</v>
      </c>
      <c r="BI588" s="204"/>
      <c r="BJ588" s="204"/>
      <c r="BK588" s="206"/>
    </row>
    <row r="589" spans="1:63" s="164" customFormat="1" ht="15.75" customHeight="1">
      <c r="A589" s="185"/>
      <c r="B589" s="193"/>
      <c r="C589" s="184"/>
      <c r="D589" s="183" t="s">
        <v>1036</v>
      </c>
      <c r="E589" s="184"/>
      <c r="F589" s="184"/>
      <c r="G589" s="184"/>
      <c r="H589" s="184"/>
      <c r="I589" s="184"/>
      <c r="J589" s="184"/>
      <c r="K589" s="184"/>
      <c r="L589" s="193"/>
      <c r="M589" s="1003" t="s">
        <v>1037</v>
      </c>
      <c r="N589" s="1002"/>
      <c r="O589" s="1002"/>
      <c r="P589" s="1002"/>
      <c r="Q589" s="1002"/>
      <c r="R589" s="1002"/>
      <c r="S589" s="1002"/>
      <c r="T589" s="1002"/>
      <c r="U589" s="1002"/>
      <c r="V589" s="1002"/>
      <c r="W589" s="1002"/>
      <c r="X589" s="1002"/>
      <c r="Y589" s="1002"/>
      <c r="Z589" s="1002"/>
      <c r="AA589" s="1002"/>
      <c r="AB589" s="1002"/>
      <c r="AC589" s="1002"/>
      <c r="AD589" s="1002"/>
      <c r="AE589" s="1002"/>
      <c r="AF589" s="1002"/>
      <c r="AG589" s="1002"/>
      <c r="AH589" s="1002"/>
      <c r="AI589" s="1002"/>
      <c r="AJ589" s="1002"/>
      <c r="AK589" s="1002"/>
      <c r="AL589" s="1002"/>
      <c r="AM589" s="1002"/>
      <c r="AN589" s="1002"/>
      <c r="AO589" s="1002"/>
      <c r="AP589" s="1002"/>
      <c r="AQ589" s="1002"/>
      <c r="AR589" s="1002"/>
      <c r="AS589" s="1002"/>
      <c r="AT589" s="1002"/>
      <c r="AU589" s="1002"/>
      <c r="AV589" s="1002"/>
      <c r="AW589" s="1002"/>
      <c r="AX589" s="1002"/>
      <c r="AY589" s="1002"/>
      <c r="AZ589" s="1002"/>
      <c r="BA589" s="1002"/>
      <c r="BB589" s="1002"/>
      <c r="BC589" s="1002"/>
      <c r="BD589" s="1002"/>
      <c r="BE589" s="204"/>
      <c r="BF589" s="205" t="s">
        <v>462</v>
      </c>
      <c r="BG589" s="204"/>
      <c r="BH589" s="204" t="s">
        <v>407</v>
      </c>
      <c r="BI589" s="204"/>
      <c r="BJ589" s="204"/>
      <c r="BK589" s="206"/>
    </row>
    <row r="590" spans="1:63" s="164" customFormat="1" ht="105" customHeight="1">
      <c r="A590" s="185"/>
      <c r="B590" s="193"/>
      <c r="C590" s="184"/>
      <c r="D590" s="183" t="s">
        <v>1038</v>
      </c>
      <c r="E590" s="184"/>
      <c r="F590" s="184"/>
      <c r="G590" s="184"/>
      <c r="H590" s="184"/>
      <c r="I590" s="184"/>
      <c r="J590" s="184"/>
      <c r="K590" s="184"/>
      <c r="L590" s="193"/>
      <c r="M590" s="1001" t="s">
        <v>1039</v>
      </c>
      <c r="N590" s="1002"/>
      <c r="O590" s="1002"/>
      <c r="P590" s="1002"/>
      <c r="Q590" s="1002"/>
      <c r="R590" s="1002"/>
      <c r="S590" s="1002"/>
      <c r="T590" s="1002"/>
      <c r="U590" s="1002"/>
      <c r="V590" s="1002"/>
      <c r="W590" s="1002"/>
      <c r="X590" s="1002"/>
      <c r="Y590" s="1002"/>
      <c r="Z590" s="1002"/>
      <c r="AA590" s="1002"/>
      <c r="AB590" s="1002"/>
      <c r="AC590" s="1002"/>
      <c r="AD590" s="1002"/>
      <c r="AE590" s="1002"/>
      <c r="AF590" s="1002"/>
      <c r="AG590" s="1002"/>
      <c r="AH590" s="1002"/>
      <c r="AI590" s="1002"/>
      <c r="AJ590" s="1002"/>
      <c r="AK590" s="1002"/>
      <c r="AL590" s="1002"/>
      <c r="AM590" s="1002"/>
      <c r="AN590" s="1002"/>
      <c r="AO590" s="1002"/>
      <c r="AP590" s="1002"/>
      <c r="AQ590" s="1002"/>
      <c r="AR590" s="1002"/>
      <c r="AS590" s="1002"/>
      <c r="AT590" s="1002"/>
      <c r="AU590" s="1002"/>
      <c r="AV590" s="1002"/>
      <c r="AW590" s="1002"/>
      <c r="AX590" s="1002"/>
      <c r="AY590" s="1002"/>
      <c r="AZ590" s="1002"/>
      <c r="BA590" s="1002"/>
      <c r="BB590" s="1002"/>
      <c r="BC590" s="1002"/>
      <c r="BD590" s="1002"/>
      <c r="BE590" s="204"/>
      <c r="BF590" s="205" t="s">
        <v>419</v>
      </c>
      <c r="BG590" s="204"/>
      <c r="BH590" s="204" t="s">
        <v>407</v>
      </c>
      <c r="BI590" s="204"/>
      <c r="BJ590" s="204"/>
      <c r="BK590" s="206"/>
    </row>
    <row r="591" spans="1:63" s="164" customFormat="1" ht="79.5" customHeight="1">
      <c r="A591" s="185"/>
      <c r="B591" s="193"/>
      <c r="C591" s="184"/>
      <c r="D591" s="183" t="s">
        <v>1040</v>
      </c>
      <c r="E591" s="184"/>
      <c r="F591" s="184"/>
      <c r="G591" s="184"/>
      <c r="H591" s="184"/>
      <c r="I591" s="184"/>
      <c r="J591" s="184"/>
      <c r="K591" s="184"/>
      <c r="L591" s="193"/>
      <c r="M591" s="1001" t="s">
        <v>1041</v>
      </c>
      <c r="N591" s="1002"/>
      <c r="O591" s="1002"/>
      <c r="P591" s="1002"/>
      <c r="Q591" s="1002"/>
      <c r="R591" s="1002"/>
      <c r="S591" s="1002"/>
      <c r="T591" s="1002"/>
      <c r="U591" s="1002"/>
      <c r="V591" s="1002"/>
      <c r="W591" s="1002"/>
      <c r="X591" s="1002"/>
      <c r="Y591" s="1002"/>
      <c r="Z591" s="1002"/>
      <c r="AA591" s="1002"/>
      <c r="AB591" s="1002"/>
      <c r="AC591" s="1002"/>
      <c r="AD591" s="1002"/>
      <c r="AE591" s="1002"/>
      <c r="AF591" s="1002"/>
      <c r="AG591" s="1002"/>
      <c r="AH591" s="1002"/>
      <c r="AI591" s="1002"/>
      <c r="AJ591" s="1002"/>
      <c r="AK591" s="1002"/>
      <c r="AL591" s="1002"/>
      <c r="AM591" s="1002"/>
      <c r="AN591" s="1002"/>
      <c r="AO591" s="1002"/>
      <c r="AP591" s="1002"/>
      <c r="AQ591" s="1002"/>
      <c r="AR591" s="1002"/>
      <c r="AS591" s="1002"/>
      <c r="AT591" s="1002"/>
      <c r="AU591" s="1002"/>
      <c r="AV591" s="1002"/>
      <c r="AW591" s="1002"/>
      <c r="AX591" s="1002"/>
      <c r="AY591" s="1002"/>
      <c r="AZ591" s="1002"/>
      <c r="BA591" s="1002"/>
      <c r="BB591" s="1002"/>
      <c r="BC591" s="1002"/>
      <c r="BD591" s="1002"/>
      <c r="BE591" s="204"/>
      <c r="BF591" s="205" t="s">
        <v>419</v>
      </c>
      <c r="BG591" s="204"/>
      <c r="BH591" s="204" t="s">
        <v>407</v>
      </c>
      <c r="BI591" s="204"/>
      <c r="BJ591" s="204"/>
      <c r="BK591" s="206"/>
    </row>
    <row r="592" spans="1:63" s="164" customFormat="1" ht="15.75" customHeight="1">
      <c r="A592" s="216"/>
      <c r="B592" s="222"/>
      <c r="C592" s="218"/>
      <c r="D592" s="217" t="s">
        <v>1042</v>
      </c>
      <c r="E592" s="218"/>
      <c r="F592" s="218"/>
      <c r="G592" s="218"/>
      <c r="H592" s="218"/>
      <c r="I592" s="218"/>
      <c r="J592" s="218"/>
      <c r="K592" s="218"/>
      <c r="L592" s="222"/>
      <c r="M592" s="1003"/>
      <c r="N592" s="1002"/>
      <c r="O592" s="1002"/>
      <c r="P592" s="1002"/>
      <c r="Q592" s="1002"/>
      <c r="R592" s="1002"/>
      <c r="S592" s="1002"/>
      <c r="T592" s="1002"/>
      <c r="U592" s="1002"/>
      <c r="V592" s="1002"/>
      <c r="W592" s="1002"/>
      <c r="X592" s="1002"/>
      <c r="Y592" s="1002"/>
      <c r="Z592" s="1002"/>
      <c r="AA592" s="1002"/>
      <c r="AB592" s="1002"/>
      <c r="AC592" s="1002"/>
      <c r="AD592" s="1002"/>
      <c r="AE592" s="1002"/>
      <c r="AF592" s="1002"/>
      <c r="AG592" s="1002"/>
      <c r="AH592" s="1002"/>
      <c r="AI592" s="1002"/>
      <c r="AJ592" s="1002"/>
      <c r="AK592" s="1002"/>
      <c r="AL592" s="1002"/>
      <c r="AM592" s="1002"/>
      <c r="AN592" s="1002"/>
      <c r="AO592" s="1002"/>
      <c r="AP592" s="1002"/>
      <c r="AQ592" s="1002"/>
      <c r="AR592" s="1002"/>
      <c r="AS592" s="1002"/>
      <c r="AT592" s="1002"/>
      <c r="AU592" s="1002"/>
      <c r="AV592" s="1002"/>
      <c r="AW592" s="1002"/>
      <c r="AX592" s="1002"/>
      <c r="AY592" s="1002"/>
      <c r="AZ592" s="1002"/>
      <c r="BA592" s="1002"/>
      <c r="BB592" s="1002"/>
      <c r="BC592" s="1002"/>
      <c r="BD592" s="1002"/>
      <c r="BE592" s="204"/>
      <c r="BF592" s="205" t="s">
        <v>487</v>
      </c>
      <c r="BG592" s="204"/>
      <c r="BH592" s="204"/>
      <c r="BI592" s="204"/>
      <c r="BJ592" s="204"/>
      <c r="BK592" s="206"/>
    </row>
    <row r="593" spans="1:63" s="164" customFormat="1" ht="15.75" customHeight="1">
      <c r="A593" s="216"/>
      <c r="B593" s="222"/>
      <c r="C593" s="218"/>
      <c r="D593" s="217" t="s">
        <v>1043</v>
      </c>
      <c r="E593" s="218"/>
      <c r="F593" s="218"/>
      <c r="G593" s="218"/>
      <c r="H593" s="218"/>
      <c r="I593" s="218"/>
      <c r="J593" s="218"/>
      <c r="K593" s="218"/>
      <c r="L593" s="222"/>
      <c r="M593" s="1003"/>
      <c r="N593" s="1002"/>
      <c r="O593" s="1002"/>
      <c r="P593" s="1002"/>
      <c r="Q593" s="1002"/>
      <c r="R593" s="1002"/>
      <c r="S593" s="1002"/>
      <c r="T593" s="1002"/>
      <c r="U593" s="1002"/>
      <c r="V593" s="1002"/>
      <c r="W593" s="1002"/>
      <c r="X593" s="1002"/>
      <c r="Y593" s="1002"/>
      <c r="Z593" s="1002"/>
      <c r="AA593" s="1002"/>
      <c r="AB593" s="1002"/>
      <c r="AC593" s="1002"/>
      <c r="AD593" s="1002"/>
      <c r="AE593" s="1002"/>
      <c r="AF593" s="1002"/>
      <c r="AG593" s="1002"/>
      <c r="AH593" s="1002"/>
      <c r="AI593" s="1002"/>
      <c r="AJ593" s="1002"/>
      <c r="AK593" s="1002"/>
      <c r="AL593" s="1002"/>
      <c r="AM593" s="1002"/>
      <c r="AN593" s="1002"/>
      <c r="AO593" s="1002"/>
      <c r="AP593" s="1002"/>
      <c r="AQ593" s="1002"/>
      <c r="AR593" s="1002"/>
      <c r="AS593" s="1002"/>
      <c r="AT593" s="1002"/>
      <c r="AU593" s="1002"/>
      <c r="AV593" s="1002"/>
      <c r="AW593" s="1002"/>
      <c r="AX593" s="1002"/>
      <c r="AY593" s="1002"/>
      <c r="AZ593" s="1002"/>
      <c r="BA593" s="1002"/>
      <c r="BB593" s="1002"/>
      <c r="BC593" s="1002"/>
      <c r="BD593" s="1002"/>
      <c r="BE593" s="204"/>
      <c r="BF593" s="205" t="s">
        <v>487</v>
      </c>
      <c r="BG593" s="204"/>
      <c r="BH593" s="204"/>
      <c r="BI593" s="204"/>
      <c r="BJ593" s="204"/>
      <c r="BK593" s="206"/>
    </row>
    <row r="594" spans="1:63" s="164" customFormat="1" ht="15.75" customHeight="1">
      <c r="A594" s="216"/>
      <c r="B594" s="222"/>
      <c r="C594" s="218"/>
      <c r="D594" s="217" t="s">
        <v>1044</v>
      </c>
      <c r="E594" s="218"/>
      <c r="F594" s="218"/>
      <c r="G594" s="218"/>
      <c r="H594" s="218"/>
      <c r="I594" s="218"/>
      <c r="J594" s="218"/>
      <c r="K594" s="218"/>
      <c r="L594" s="222"/>
      <c r="M594" s="1003"/>
      <c r="N594" s="1002"/>
      <c r="O594" s="1002"/>
      <c r="P594" s="1002"/>
      <c r="Q594" s="1002"/>
      <c r="R594" s="1002"/>
      <c r="S594" s="1002"/>
      <c r="T594" s="1002"/>
      <c r="U594" s="1002"/>
      <c r="V594" s="1002"/>
      <c r="W594" s="1002"/>
      <c r="X594" s="1002"/>
      <c r="Y594" s="1002"/>
      <c r="Z594" s="1002"/>
      <c r="AA594" s="1002"/>
      <c r="AB594" s="1002"/>
      <c r="AC594" s="1002"/>
      <c r="AD594" s="1002"/>
      <c r="AE594" s="1002"/>
      <c r="AF594" s="1002"/>
      <c r="AG594" s="1002"/>
      <c r="AH594" s="1002"/>
      <c r="AI594" s="1002"/>
      <c r="AJ594" s="1002"/>
      <c r="AK594" s="1002"/>
      <c r="AL594" s="1002"/>
      <c r="AM594" s="1002"/>
      <c r="AN594" s="1002"/>
      <c r="AO594" s="1002"/>
      <c r="AP594" s="1002"/>
      <c r="AQ594" s="1002"/>
      <c r="AR594" s="1002"/>
      <c r="AS594" s="1002"/>
      <c r="AT594" s="1002"/>
      <c r="AU594" s="1002"/>
      <c r="AV594" s="1002"/>
      <c r="AW594" s="1002"/>
      <c r="AX594" s="1002"/>
      <c r="AY594" s="1002"/>
      <c r="AZ594" s="1002"/>
      <c r="BA594" s="1002"/>
      <c r="BB594" s="1002"/>
      <c r="BC594" s="1002"/>
      <c r="BD594" s="1002"/>
      <c r="BE594" s="204"/>
      <c r="BF594" s="205" t="s">
        <v>487</v>
      </c>
      <c r="BG594" s="204"/>
      <c r="BH594" s="204"/>
      <c r="BI594" s="204"/>
      <c r="BJ594" s="204"/>
      <c r="BK594" s="206"/>
    </row>
    <row r="595" spans="1:63" s="164" customFormat="1" ht="15.75" customHeight="1">
      <c r="A595" s="216"/>
      <c r="B595" s="222"/>
      <c r="C595" s="218"/>
      <c r="D595" s="217" t="s">
        <v>1045</v>
      </c>
      <c r="E595" s="218"/>
      <c r="F595" s="218"/>
      <c r="G595" s="218"/>
      <c r="H595" s="218"/>
      <c r="I595" s="218"/>
      <c r="J595" s="218"/>
      <c r="K595" s="218"/>
      <c r="L595" s="222"/>
      <c r="M595" s="1003"/>
      <c r="N595" s="1002"/>
      <c r="O595" s="1002"/>
      <c r="P595" s="1002"/>
      <c r="Q595" s="1002"/>
      <c r="R595" s="1002"/>
      <c r="S595" s="1002"/>
      <c r="T595" s="1002"/>
      <c r="U595" s="1002"/>
      <c r="V595" s="1002"/>
      <c r="W595" s="1002"/>
      <c r="X595" s="1002"/>
      <c r="Y595" s="1002"/>
      <c r="Z595" s="1002"/>
      <c r="AA595" s="1002"/>
      <c r="AB595" s="1002"/>
      <c r="AC595" s="1002"/>
      <c r="AD595" s="1002"/>
      <c r="AE595" s="1002"/>
      <c r="AF595" s="1002"/>
      <c r="AG595" s="1002"/>
      <c r="AH595" s="1002"/>
      <c r="AI595" s="1002"/>
      <c r="AJ595" s="1002"/>
      <c r="AK595" s="1002"/>
      <c r="AL595" s="1002"/>
      <c r="AM595" s="1002"/>
      <c r="AN595" s="1002"/>
      <c r="AO595" s="1002"/>
      <c r="AP595" s="1002"/>
      <c r="AQ595" s="1002"/>
      <c r="AR595" s="1002"/>
      <c r="AS595" s="1002"/>
      <c r="AT595" s="1002"/>
      <c r="AU595" s="1002"/>
      <c r="AV595" s="1002"/>
      <c r="AW595" s="1002"/>
      <c r="AX595" s="1002"/>
      <c r="AY595" s="1002"/>
      <c r="AZ595" s="1002"/>
      <c r="BA595" s="1002"/>
      <c r="BB595" s="1002"/>
      <c r="BC595" s="1002"/>
      <c r="BD595" s="1002"/>
      <c r="BE595" s="204"/>
      <c r="BF595" s="205" t="s">
        <v>487</v>
      </c>
      <c r="BG595" s="204"/>
      <c r="BH595" s="204"/>
      <c r="BI595" s="204"/>
      <c r="BJ595" s="204"/>
      <c r="BK595" s="206"/>
    </row>
    <row r="596" spans="1:63" s="164" customFormat="1" ht="15.75" customHeight="1">
      <c r="A596" s="216"/>
      <c r="B596" s="222"/>
      <c r="C596" s="218"/>
      <c r="D596" s="217" t="s">
        <v>1046</v>
      </c>
      <c r="E596" s="218"/>
      <c r="F596" s="218"/>
      <c r="G596" s="218"/>
      <c r="H596" s="218"/>
      <c r="I596" s="218"/>
      <c r="J596" s="218"/>
      <c r="K596" s="218"/>
      <c r="L596" s="222"/>
      <c r="M596" s="1003"/>
      <c r="N596" s="1002"/>
      <c r="O596" s="1002"/>
      <c r="P596" s="1002"/>
      <c r="Q596" s="1002"/>
      <c r="R596" s="1002"/>
      <c r="S596" s="1002"/>
      <c r="T596" s="1002"/>
      <c r="U596" s="1002"/>
      <c r="V596" s="1002"/>
      <c r="W596" s="1002"/>
      <c r="X596" s="1002"/>
      <c r="Y596" s="1002"/>
      <c r="Z596" s="1002"/>
      <c r="AA596" s="1002"/>
      <c r="AB596" s="1002"/>
      <c r="AC596" s="1002"/>
      <c r="AD596" s="1002"/>
      <c r="AE596" s="1002"/>
      <c r="AF596" s="1002"/>
      <c r="AG596" s="1002"/>
      <c r="AH596" s="1002"/>
      <c r="AI596" s="1002"/>
      <c r="AJ596" s="1002"/>
      <c r="AK596" s="1002"/>
      <c r="AL596" s="1002"/>
      <c r="AM596" s="1002"/>
      <c r="AN596" s="1002"/>
      <c r="AO596" s="1002"/>
      <c r="AP596" s="1002"/>
      <c r="AQ596" s="1002"/>
      <c r="AR596" s="1002"/>
      <c r="AS596" s="1002"/>
      <c r="AT596" s="1002"/>
      <c r="AU596" s="1002"/>
      <c r="AV596" s="1002"/>
      <c r="AW596" s="1002"/>
      <c r="AX596" s="1002"/>
      <c r="AY596" s="1002"/>
      <c r="AZ596" s="1002"/>
      <c r="BA596" s="1002"/>
      <c r="BB596" s="1002"/>
      <c r="BC596" s="1002"/>
      <c r="BD596" s="1002"/>
      <c r="BE596" s="204"/>
      <c r="BF596" s="205" t="s">
        <v>1047</v>
      </c>
      <c r="BG596" s="204"/>
      <c r="BH596" s="204"/>
      <c r="BI596" s="204"/>
      <c r="BJ596" s="204"/>
      <c r="BK596" s="206"/>
    </row>
    <row r="597" spans="1:63" s="164" customFormat="1" ht="15.75" customHeight="1">
      <c r="A597" s="216"/>
      <c r="B597" s="222"/>
      <c r="C597" s="218"/>
      <c r="D597" s="217" t="s">
        <v>1048</v>
      </c>
      <c r="E597" s="218"/>
      <c r="F597" s="218"/>
      <c r="G597" s="218"/>
      <c r="H597" s="218"/>
      <c r="I597" s="218"/>
      <c r="J597" s="218"/>
      <c r="K597" s="218"/>
      <c r="L597" s="222"/>
      <c r="M597" s="1003"/>
      <c r="N597" s="1002"/>
      <c r="O597" s="1002"/>
      <c r="P597" s="1002"/>
      <c r="Q597" s="1002"/>
      <c r="R597" s="1002"/>
      <c r="S597" s="1002"/>
      <c r="T597" s="1002"/>
      <c r="U597" s="1002"/>
      <c r="V597" s="1002"/>
      <c r="W597" s="1002"/>
      <c r="X597" s="1002"/>
      <c r="Y597" s="1002"/>
      <c r="Z597" s="1002"/>
      <c r="AA597" s="1002"/>
      <c r="AB597" s="1002"/>
      <c r="AC597" s="1002"/>
      <c r="AD597" s="1002"/>
      <c r="AE597" s="1002"/>
      <c r="AF597" s="1002"/>
      <c r="AG597" s="1002"/>
      <c r="AH597" s="1002"/>
      <c r="AI597" s="1002"/>
      <c r="AJ597" s="1002"/>
      <c r="AK597" s="1002"/>
      <c r="AL597" s="1002"/>
      <c r="AM597" s="1002"/>
      <c r="AN597" s="1002"/>
      <c r="AO597" s="1002"/>
      <c r="AP597" s="1002"/>
      <c r="AQ597" s="1002"/>
      <c r="AR597" s="1002"/>
      <c r="AS597" s="1002"/>
      <c r="AT597" s="1002"/>
      <c r="AU597" s="1002"/>
      <c r="AV597" s="1002"/>
      <c r="AW597" s="1002"/>
      <c r="AX597" s="1002"/>
      <c r="AY597" s="1002"/>
      <c r="AZ597" s="1002"/>
      <c r="BA597" s="1002"/>
      <c r="BB597" s="1002"/>
      <c r="BC597" s="1002"/>
      <c r="BD597" s="1002"/>
      <c r="BE597" s="204"/>
      <c r="BF597" s="205" t="s">
        <v>487</v>
      </c>
      <c r="BG597" s="204"/>
      <c r="BH597" s="204"/>
      <c r="BI597" s="204"/>
      <c r="BJ597" s="204"/>
      <c r="BK597" s="206"/>
    </row>
    <row r="598" spans="1:63" s="164" customFormat="1" ht="15.75" customHeight="1">
      <c r="A598" s="216"/>
      <c r="B598" s="222"/>
      <c r="C598" s="218"/>
      <c r="D598" s="217" t="s">
        <v>1049</v>
      </c>
      <c r="E598" s="218"/>
      <c r="F598" s="218"/>
      <c r="G598" s="218"/>
      <c r="H598" s="218"/>
      <c r="I598" s="218"/>
      <c r="J598" s="218"/>
      <c r="K598" s="218"/>
      <c r="L598" s="222"/>
      <c r="M598" s="1003"/>
      <c r="N598" s="1002"/>
      <c r="O598" s="1002"/>
      <c r="P598" s="1002"/>
      <c r="Q598" s="1002"/>
      <c r="R598" s="1002"/>
      <c r="S598" s="1002"/>
      <c r="T598" s="1002"/>
      <c r="U598" s="1002"/>
      <c r="V598" s="1002"/>
      <c r="W598" s="1002"/>
      <c r="X598" s="1002"/>
      <c r="Y598" s="1002"/>
      <c r="Z598" s="1002"/>
      <c r="AA598" s="1002"/>
      <c r="AB598" s="1002"/>
      <c r="AC598" s="1002"/>
      <c r="AD598" s="1002"/>
      <c r="AE598" s="1002"/>
      <c r="AF598" s="1002"/>
      <c r="AG598" s="1002"/>
      <c r="AH598" s="1002"/>
      <c r="AI598" s="1002"/>
      <c r="AJ598" s="1002"/>
      <c r="AK598" s="1002"/>
      <c r="AL598" s="1002"/>
      <c r="AM598" s="1002"/>
      <c r="AN598" s="1002"/>
      <c r="AO598" s="1002"/>
      <c r="AP598" s="1002"/>
      <c r="AQ598" s="1002"/>
      <c r="AR598" s="1002"/>
      <c r="AS598" s="1002"/>
      <c r="AT598" s="1002"/>
      <c r="AU598" s="1002"/>
      <c r="AV598" s="1002"/>
      <c r="AW598" s="1002"/>
      <c r="AX598" s="1002"/>
      <c r="AY598" s="1002"/>
      <c r="AZ598" s="1002"/>
      <c r="BA598" s="1002"/>
      <c r="BB598" s="1002"/>
      <c r="BC598" s="1002"/>
      <c r="BD598" s="1002"/>
      <c r="BE598" s="204"/>
      <c r="BF598" s="205" t="s">
        <v>487</v>
      </c>
      <c r="BG598" s="204"/>
      <c r="BH598" s="204"/>
      <c r="BI598" s="204"/>
      <c r="BJ598" s="204"/>
      <c r="BK598" s="206"/>
    </row>
    <row r="599" spans="1:63" s="164" customFormat="1" ht="15.75" customHeight="1">
      <c r="A599" s="216"/>
      <c r="B599" s="222"/>
      <c r="C599" s="218"/>
      <c r="D599" s="217" t="s">
        <v>1050</v>
      </c>
      <c r="E599" s="218"/>
      <c r="F599" s="218"/>
      <c r="G599" s="218"/>
      <c r="H599" s="218"/>
      <c r="I599" s="218"/>
      <c r="J599" s="218"/>
      <c r="K599" s="218"/>
      <c r="L599" s="222"/>
      <c r="M599" s="1003"/>
      <c r="N599" s="1002"/>
      <c r="O599" s="1002"/>
      <c r="P599" s="1002"/>
      <c r="Q599" s="1002"/>
      <c r="R599" s="1002"/>
      <c r="S599" s="1002"/>
      <c r="T599" s="1002"/>
      <c r="U599" s="1002"/>
      <c r="V599" s="1002"/>
      <c r="W599" s="1002"/>
      <c r="X599" s="1002"/>
      <c r="Y599" s="1002"/>
      <c r="Z599" s="1002"/>
      <c r="AA599" s="1002"/>
      <c r="AB599" s="1002"/>
      <c r="AC599" s="1002"/>
      <c r="AD599" s="1002"/>
      <c r="AE599" s="1002"/>
      <c r="AF599" s="1002"/>
      <c r="AG599" s="1002"/>
      <c r="AH599" s="1002"/>
      <c r="AI599" s="1002"/>
      <c r="AJ599" s="1002"/>
      <c r="AK599" s="1002"/>
      <c r="AL599" s="1002"/>
      <c r="AM599" s="1002"/>
      <c r="AN599" s="1002"/>
      <c r="AO599" s="1002"/>
      <c r="AP599" s="1002"/>
      <c r="AQ599" s="1002"/>
      <c r="AR599" s="1002"/>
      <c r="AS599" s="1002"/>
      <c r="AT599" s="1002"/>
      <c r="AU599" s="1002"/>
      <c r="AV599" s="1002"/>
      <c r="AW599" s="1002"/>
      <c r="AX599" s="1002"/>
      <c r="AY599" s="1002"/>
      <c r="AZ599" s="1002"/>
      <c r="BA599" s="1002"/>
      <c r="BB599" s="1002"/>
      <c r="BC599" s="1002"/>
      <c r="BD599" s="1002"/>
      <c r="BE599" s="204"/>
      <c r="BF599" s="205" t="s">
        <v>487</v>
      </c>
      <c r="BG599" s="204"/>
      <c r="BH599" s="204"/>
      <c r="BI599" s="204"/>
      <c r="BJ599" s="204"/>
      <c r="BK599" s="206"/>
    </row>
    <row r="600" spans="1:63" s="164" customFormat="1" ht="15.75" customHeight="1">
      <c r="A600" s="216"/>
      <c r="B600" s="222"/>
      <c r="C600" s="218"/>
      <c r="D600" s="217" t="s">
        <v>1051</v>
      </c>
      <c r="E600" s="218"/>
      <c r="F600" s="218"/>
      <c r="G600" s="218"/>
      <c r="H600" s="218"/>
      <c r="I600" s="218"/>
      <c r="J600" s="218"/>
      <c r="K600" s="218"/>
      <c r="L600" s="222"/>
      <c r="M600" s="1003"/>
      <c r="N600" s="1002"/>
      <c r="O600" s="1002"/>
      <c r="P600" s="1002"/>
      <c r="Q600" s="1002"/>
      <c r="R600" s="1002"/>
      <c r="S600" s="1002"/>
      <c r="T600" s="1002"/>
      <c r="U600" s="1002"/>
      <c r="V600" s="1002"/>
      <c r="W600" s="1002"/>
      <c r="X600" s="1002"/>
      <c r="Y600" s="1002"/>
      <c r="Z600" s="1002"/>
      <c r="AA600" s="1002"/>
      <c r="AB600" s="1002"/>
      <c r="AC600" s="1002"/>
      <c r="AD600" s="1002"/>
      <c r="AE600" s="1002"/>
      <c r="AF600" s="1002"/>
      <c r="AG600" s="1002"/>
      <c r="AH600" s="1002"/>
      <c r="AI600" s="1002"/>
      <c r="AJ600" s="1002"/>
      <c r="AK600" s="1002"/>
      <c r="AL600" s="1002"/>
      <c r="AM600" s="1002"/>
      <c r="AN600" s="1002"/>
      <c r="AO600" s="1002"/>
      <c r="AP600" s="1002"/>
      <c r="AQ600" s="1002"/>
      <c r="AR600" s="1002"/>
      <c r="AS600" s="1002"/>
      <c r="AT600" s="1002"/>
      <c r="AU600" s="1002"/>
      <c r="AV600" s="1002"/>
      <c r="AW600" s="1002"/>
      <c r="AX600" s="1002"/>
      <c r="AY600" s="1002"/>
      <c r="AZ600" s="1002"/>
      <c r="BA600" s="1002"/>
      <c r="BB600" s="1002"/>
      <c r="BC600" s="1002"/>
      <c r="BD600" s="1002"/>
      <c r="BE600" s="204"/>
      <c r="BF600" s="205" t="s">
        <v>487</v>
      </c>
      <c r="BG600" s="204"/>
      <c r="BH600" s="204"/>
      <c r="BI600" s="204"/>
      <c r="BJ600" s="204"/>
      <c r="BK600" s="206"/>
    </row>
    <row r="601" spans="1:63" s="164" customFormat="1" ht="15.75" customHeight="1">
      <c r="A601" s="216"/>
      <c r="B601" s="222"/>
      <c r="C601" s="218"/>
      <c r="D601" s="217" t="s">
        <v>1052</v>
      </c>
      <c r="E601" s="218"/>
      <c r="F601" s="218"/>
      <c r="G601" s="218"/>
      <c r="H601" s="218"/>
      <c r="I601" s="218"/>
      <c r="J601" s="218"/>
      <c r="K601" s="218"/>
      <c r="L601" s="222"/>
      <c r="M601" s="1003"/>
      <c r="N601" s="1002"/>
      <c r="O601" s="1002"/>
      <c r="P601" s="1002"/>
      <c r="Q601" s="1002"/>
      <c r="R601" s="1002"/>
      <c r="S601" s="1002"/>
      <c r="T601" s="1002"/>
      <c r="U601" s="1002"/>
      <c r="V601" s="1002"/>
      <c r="W601" s="1002"/>
      <c r="X601" s="1002"/>
      <c r="Y601" s="1002"/>
      <c r="Z601" s="1002"/>
      <c r="AA601" s="1002"/>
      <c r="AB601" s="1002"/>
      <c r="AC601" s="1002"/>
      <c r="AD601" s="1002"/>
      <c r="AE601" s="1002"/>
      <c r="AF601" s="1002"/>
      <c r="AG601" s="1002"/>
      <c r="AH601" s="1002"/>
      <c r="AI601" s="1002"/>
      <c r="AJ601" s="1002"/>
      <c r="AK601" s="1002"/>
      <c r="AL601" s="1002"/>
      <c r="AM601" s="1002"/>
      <c r="AN601" s="1002"/>
      <c r="AO601" s="1002"/>
      <c r="AP601" s="1002"/>
      <c r="AQ601" s="1002"/>
      <c r="AR601" s="1002"/>
      <c r="AS601" s="1002"/>
      <c r="AT601" s="1002"/>
      <c r="AU601" s="1002"/>
      <c r="AV601" s="1002"/>
      <c r="AW601" s="1002"/>
      <c r="AX601" s="1002"/>
      <c r="AY601" s="1002"/>
      <c r="AZ601" s="1002"/>
      <c r="BA601" s="1002"/>
      <c r="BB601" s="1002"/>
      <c r="BC601" s="1002"/>
      <c r="BD601" s="1002"/>
      <c r="BE601" s="204"/>
      <c r="BF601" s="205" t="s">
        <v>1047</v>
      </c>
      <c r="BG601" s="204"/>
      <c r="BH601" s="204"/>
      <c r="BI601" s="204"/>
      <c r="BJ601" s="204"/>
      <c r="BK601" s="206"/>
    </row>
    <row r="602" spans="1:63" s="164" customFormat="1" ht="15.75" customHeight="1">
      <c r="A602" s="216"/>
      <c r="B602" s="222"/>
      <c r="C602" s="218"/>
      <c r="D602" s="217" t="s">
        <v>1053</v>
      </c>
      <c r="E602" s="218"/>
      <c r="F602" s="218"/>
      <c r="G602" s="218"/>
      <c r="H602" s="218"/>
      <c r="I602" s="218"/>
      <c r="J602" s="218"/>
      <c r="K602" s="218"/>
      <c r="L602" s="222"/>
      <c r="M602" s="1003"/>
      <c r="N602" s="1002"/>
      <c r="O602" s="1002"/>
      <c r="P602" s="1002"/>
      <c r="Q602" s="1002"/>
      <c r="R602" s="1002"/>
      <c r="S602" s="1002"/>
      <c r="T602" s="1002"/>
      <c r="U602" s="1002"/>
      <c r="V602" s="1002"/>
      <c r="W602" s="1002"/>
      <c r="X602" s="1002"/>
      <c r="Y602" s="1002"/>
      <c r="Z602" s="1002"/>
      <c r="AA602" s="1002"/>
      <c r="AB602" s="1002"/>
      <c r="AC602" s="1002"/>
      <c r="AD602" s="1002"/>
      <c r="AE602" s="1002"/>
      <c r="AF602" s="1002"/>
      <c r="AG602" s="1002"/>
      <c r="AH602" s="1002"/>
      <c r="AI602" s="1002"/>
      <c r="AJ602" s="1002"/>
      <c r="AK602" s="1002"/>
      <c r="AL602" s="1002"/>
      <c r="AM602" s="1002"/>
      <c r="AN602" s="1002"/>
      <c r="AO602" s="1002"/>
      <c r="AP602" s="1002"/>
      <c r="AQ602" s="1002"/>
      <c r="AR602" s="1002"/>
      <c r="AS602" s="1002"/>
      <c r="AT602" s="1002"/>
      <c r="AU602" s="1002"/>
      <c r="AV602" s="1002"/>
      <c r="AW602" s="1002"/>
      <c r="AX602" s="1002"/>
      <c r="AY602" s="1002"/>
      <c r="AZ602" s="1002"/>
      <c r="BA602" s="1002"/>
      <c r="BB602" s="1002"/>
      <c r="BC602" s="1002"/>
      <c r="BD602" s="1002"/>
      <c r="BE602" s="204"/>
      <c r="BF602" s="205" t="s">
        <v>487</v>
      </c>
      <c r="BG602" s="204"/>
      <c r="BH602" s="204"/>
      <c r="BI602" s="204"/>
      <c r="BJ602" s="204"/>
      <c r="BK602" s="206"/>
    </row>
    <row r="603" spans="1:63" s="164" customFormat="1" ht="15.75" customHeight="1">
      <c r="A603" s="185"/>
      <c r="B603" s="193"/>
      <c r="C603" s="184"/>
      <c r="D603" s="183" t="s">
        <v>1054</v>
      </c>
      <c r="E603" s="184"/>
      <c r="F603" s="184"/>
      <c r="G603" s="184"/>
      <c r="H603" s="184"/>
      <c r="I603" s="184"/>
      <c r="J603" s="184"/>
      <c r="K603" s="184"/>
      <c r="L603" s="193"/>
      <c r="M603" s="1001" t="s">
        <v>1055</v>
      </c>
      <c r="N603" s="1002"/>
      <c r="O603" s="1002"/>
      <c r="P603" s="1002"/>
      <c r="Q603" s="1002"/>
      <c r="R603" s="1002"/>
      <c r="S603" s="1002"/>
      <c r="T603" s="1002"/>
      <c r="U603" s="1002"/>
      <c r="V603" s="1002"/>
      <c r="W603" s="1002"/>
      <c r="X603" s="1002"/>
      <c r="Y603" s="1002"/>
      <c r="Z603" s="1002"/>
      <c r="AA603" s="1002"/>
      <c r="AB603" s="1002"/>
      <c r="AC603" s="1002"/>
      <c r="AD603" s="1002"/>
      <c r="AE603" s="1002"/>
      <c r="AF603" s="1002"/>
      <c r="AG603" s="1002"/>
      <c r="AH603" s="1002"/>
      <c r="AI603" s="1002"/>
      <c r="AJ603" s="1002"/>
      <c r="AK603" s="1002"/>
      <c r="AL603" s="1002"/>
      <c r="AM603" s="1002"/>
      <c r="AN603" s="1002"/>
      <c r="AO603" s="1002"/>
      <c r="AP603" s="1002"/>
      <c r="AQ603" s="1002"/>
      <c r="AR603" s="1002"/>
      <c r="AS603" s="1002"/>
      <c r="AT603" s="1002"/>
      <c r="AU603" s="1002"/>
      <c r="AV603" s="1002"/>
      <c r="AW603" s="1002"/>
      <c r="AX603" s="1002"/>
      <c r="AY603" s="1002"/>
      <c r="AZ603" s="1002"/>
      <c r="BA603" s="1002"/>
      <c r="BB603" s="1002"/>
      <c r="BC603" s="1002"/>
      <c r="BD603" s="1002"/>
      <c r="BE603" s="204"/>
      <c r="BF603" s="205" t="s">
        <v>487</v>
      </c>
      <c r="BG603" s="204"/>
      <c r="BH603" s="204"/>
      <c r="BI603" s="204"/>
      <c r="BJ603" s="204"/>
      <c r="BK603" s="206"/>
    </row>
    <row r="604" spans="1:63" s="164" customFormat="1" ht="15.75" customHeight="1">
      <c r="A604" s="185"/>
      <c r="B604" s="193"/>
      <c r="C604" s="184"/>
      <c r="D604" s="183" t="s">
        <v>1056</v>
      </c>
      <c r="E604" s="184"/>
      <c r="F604" s="184"/>
      <c r="G604" s="184"/>
      <c r="H604" s="184"/>
      <c r="I604" s="184"/>
      <c r="J604" s="184"/>
      <c r="K604" s="184"/>
      <c r="L604" s="193"/>
      <c r="M604" s="1001" t="s">
        <v>1057</v>
      </c>
      <c r="N604" s="1002"/>
      <c r="O604" s="1002"/>
      <c r="P604" s="1002"/>
      <c r="Q604" s="1002"/>
      <c r="R604" s="1002"/>
      <c r="S604" s="1002"/>
      <c r="T604" s="1002"/>
      <c r="U604" s="1002"/>
      <c r="V604" s="1002"/>
      <c r="W604" s="1002"/>
      <c r="X604" s="1002"/>
      <c r="Y604" s="1002"/>
      <c r="Z604" s="1002"/>
      <c r="AA604" s="1002"/>
      <c r="AB604" s="1002"/>
      <c r="AC604" s="1002"/>
      <c r="AD604" s="1002"/>
      <c r="AE604" s="1002"/>
      <c r="AF604" s="1002"/>
      <c r="AG604" s="1002"/>
      <c r="AH604" s="1002"/>
      <c r="AI604" s="1002"/>
      <c r="AJ604" s="1002"/>
      <c r="AK604" s="1002"/>
      <c r="AL604" s="1002"/>
      <c r="AM604" s="1002"/>
      <c r="AN604" s="1002"/>
      <c r="AO604" s="1002"/>
      <c r="AP604" s="1002"/>
      <c r="AQ604" s="1002"/>
      <c r="AR604" s="1002"/>
      <c r="AS604" s="1002"/>
      <c r="AT604" s="1002"/>
      <c r="AU604" s="1002"/>
      <c r="AV604" s="1002"/>
      <c r="AW604" s="1002"/>
      <c r="AX604" s="1002"/>
      <c r="AY604" s="1002"/>
      <c r="AZ604" s="1002"/>
      <c r="BA604" s="1002"/>
      <c r="BB604" s="1002"/>
      <c r="BC604" s="1002"/>
      <c r="BD604" s="1002"/>
      <c r="BE604" s="204"/>
      <c r="BF604" s="205" t="s">
        <v>487</v>
      </c>
      <c r="BG604" s="204"/>
      <c r="BH604" s="204"/>
      <c r="BI604" s="204"/>
      <c r="BJ604" s="204"/>
      <c r="BK604" s="206"/>
    </row>
    <row r="605" spans="1:63" s="512" customFormat="1" ht="15.75" customHeight="1">
      <c r="A605" s="515" t="s">
        <v>1393</v>
      </c>
      <c r="B605" s="516"/>
      <c r="C605" s="257" t="s">
        <v>416</v>
      </c>
      <c r="D605" s="517" t="s">
        <v>1404</v>
      </c>
      <c r="E605" s="518"/>
      <c r="F605" s="518"/>
      <c r="G605" s="518"/>
      <c r="H605" s="518"/>
      <c r="I605" s="518"/>
      <c r="J605" s="518"/>
      <c r="K605" s="518"/>
      <c r="L605" s="516"/>
      <c r="M605" s="997" t="s">
        <v>1405</v>
      </c>
      <c r="N605" s="998"/>
      <c r="O605" s="998"/>
      <c r="P605" s="998"/>
      <c r="Q605" s="998"/>
      <c r="R605" s="998"/>
      <c r="S605" s="998"/>
      <c r="T605" s="998"/>
      <c r="U605" s="998"/>
      <c r="V605" s="998"/>
      <c r="W605" s="998"/>
      <c r="X605" s="998"/>
      <c r="Y605" s="998"/>
      <c r="Z605" s="998"/>
      <c r="AA605" s="998"/>
      <c r="AB605" s="998"/>
      <c r="AC605" s="998"/>
      <c r="AD605" s="998"/>
      <c r="AE605" s="998"/>
      <c r="AF605" s="998"/>
      <c r="AG605" s="998"/>
      <c r="AH605" s="998"/>
      <c r="AI605" s="998"/>
      <c r="AJ605" s="998"/>
      <c r="AK605" s="998"/>
      <c r="AL605" s="998"/>
      <c r="AM605" s="998"/>
      <c r="AN605" s="998"/>
      <c r="AO605" s="998"/>
      <c r="AP605" s="998"/>
      <c r="AQ605" s="998"/>
      <c r="AR605" s="998"/>
      <c r="AS605" s="998"/>
      <c r="AT605" s="998"/>
      <c r="AU605" s="998"/>
      <c r="AV605" s="998"/>
      <c r="AW605" s="998"/>
      <c r="AX605" s="998"/>
      <c r="AY605" s="998"/>
      <c r="AZ605" s="998"/>
      <c r="BA605" s="998"/>
      <c r="BB605" s="998"/>
      <c r="BC605" s="998"/>
      <c r="BD605" s="998"/>
      <c r="BE605" s="519"/>
      <c r="BF605" s="520" t="s">
        <v>1394</v>
      </c>
      <c r="BG605" s="519"/>
      <c r="BH605" s="519"/>
      <c r="BI605" s="519"/>
      <c r="BJ605" s="519"/>
      <c r="BK605" s="521"/>
    </row>
    <row r="606" spans="1:63" s="164" customFormat="1" ht="15.75" customHeight="1">
      <c r="A606" s="185"/>
      <c r="B606" s="193"/>
      <c r="C606" s="184"/>
      <c r="D606" s="186"/>
      <c r="E606" s="184"/>
      <c r="F606" s="184"/>
      <c r="G606" s="184"/>
      <c r="H606" s="184"/>
      <c r="I606" s="184"/>
      <c r="J606" s="184"/>
      <c r="K606" s="184"/>
      <c r="L606" s="193"/>
      <c r="M606" s="184"/>
      <c r="N606" s="184"/>
      <c r="O606" s="184"/>
      <c r="P606" s="184"/>
      <c r="Q606" s="184"/>
      <c r="R606" s="184"/>
      <c r="S606" s="184"/>
      <c r="T606" s="184"/>
      <c r="U606" s="184"/>
      <c r="V606" s="184"/>
      <c r="W606" s="184"/>
      <c r="X606" s="184"/>
      <c r="Y606" s="184"/>
      <c r="Z606" s="184"/>
      <c r="AA606" s="184"/>
      <c r="AB606" s="184"/>
      <c r="AC606" s="184"/>
      <c r="AD606" s="184"/>
      <c r="AE606" s="184"/>
      <c r="AF606" s="184"/>
      <c r="AG606" s="184"/>
      <c r="AH606" s="184"/>
      <c r="AI606" s="184"/>
      <c r="AJ606" s="184"/>
      <c r="AK606" s="184"/>
      <c r="AL606" s="184"/>
      <c r="AM606" s="184"/>
      <c r="AN606" s="184"/>
      <c r="AO606" s="184"/>
      <c r="AP606" s="184"/>
      <c r="AQ606" s="184"/>
      <c r="AR606" s="184"/>
      <c r="AS606" s="184"/>
      <c r="AT606" s="184"/>
      <c r="AU606" s="184"/>
      <c r="AV606" s="184"/>
      <c r="AW606" s="184"/>
      <c r="AX606" s="184"/>
      <c r="AY606" s="184"/>
      <c r="AZ606" s="184"/>
      <c r="BA606" s="184"/>
      <c r="BB606" s="184"/>
      <c r="BC606" s="184"/>
      <c r="BD606" s="184"/>
      <c r="BE606" s="204"/>
      <c r="BF606" s="204"/>
      <c r="BG606" s="204"/>
      <c r="BH606" s="204"/>
      <c r="BI606" s="204"/>
      <c r="BJ606" s="204"/>
      <c r="BK606" s="206"/>
    </row>
    <row r="607" spans="1:63" s="164" customFormat="1" ht="15.75" customHeight="1">
      <c r="A607" s="187"/>
      <c r="B607" s="195"/>
      <c r="C607" s="189"/>
      <c r="D607" s="188" t="s">
        <v>1058</v>
      </c>
      <c r="E607" s="189"/>
      <c r="F607" s="189"/>
      <c r="G607" s="189"/>
      <c r="H607" s="189"/>
      <c r="I607" s="189"/>
      <c r="J607" s="189"/>
      <c r="K607" s="189"/>
      <c r="L607" s="195"/>
      <c r="M607" s="189"/>
      <c r="N607" s="196" t="s">
        <v>403</v>
      </c>
      <c r="O607" s="189"/>
      <c r="P607" s="189"/>
      <c r="Q607" s="189"/>
      <c r="R607" s="189"/>
      <c r="S607" s="189"/>
      <c r="T607" s="189"/>
      <c r="U607" s="189"/>
      <c r="V607" s="189"/>
      <c r="W607" s="189"/>
      <c r="X607" s="189"/>
      <c r="Y607" s="189"/>
      <c r="Z607" s="189"/>
      <c r="AA607" s="189"/>
      <c r="AB607" s="189"/>
      <c r="AC607" s="189"/>
      <c r="AD607" s="189"/>
      <c r="AE607" s="189"/>
      <c r="AF607" s="189"/>
      <c r="AG607" s="189"/>
      <c r="AH607" s="189"/>
      <c r="AI607" s="189"/>
      <c r="AJ607" s="189"/>
      <c r="AK607" s="189"/>
      <c r="AL607" s="189"/>
      <c r="AM607" s="189"/>
      <c r="AN607" s="189"/>
      <c r="AO607" s="189"/>
      <c r="AP607" s="189"/>
      <c r="AQ607" s="189"/>
      <c r="AR607" s="189"/>
      <c r="AS607" s="189"/>
      <c r="AT607" s="189"/>
      <c r="AU607" s="189"/>
      <c r="AV607" s="189"/>
      <c r="AW607" s="189"/>
      <c r="AX607" s="189"/>
      <c r="AY607" s="189"/>
      <c r="AZ607" s="189"/>
      <c r="BA607" s="189"/>
      <c r="BB607" s="189"/>
      <c r="BC607" s="189"/>
      <c r="BD607" s="189"/>
      <c r="BE607" s="207" t="s">
        <v>404</v>
      </c>
      <c r="BF607" s="207" t="s">
        <v>405</v>
      </c>
      <c r="BG607" s="207" t="s">
        <v>406</v>
      </c>
      <c r="BH607" s="207" t="s">
        <v>407</v>
      </c>
      <c r="BI607" s="207" t="s">
        <v>408</v>
      </c>
      <c r="BJ607" s="207" t="s">
        <v>409</v>
      </c>
      <c r="BK607" s="208" t="s">
        <v>410</v>
      </c>
    </row>
    <row r="608" spans="1:63" s="164" customFormat="1" ht="15.75" customHeight="1">
      <c r="A608" s="185"/>
      <c r="B608" s="193"/>
      <c r="C608" s="184"/>
      <c r="D608" s="183" t="s">
        <v>1059</v>
      </c>
      <c r="E608" s="184"/>
      <c r="F608" s="184"/>
      <c r="G608" s="184"/>
      <c r="H608" s="184"/>
      <c r="I608" s="184"/>
      <c r="J608" s="184"/>
      <c r="K608" s="184"/>
      <c r="L608" s="193"/>
      <c r="M608" s="1001" t="s">
        <v>1060</v>
      </c>
      <c r="N608" s="1002"/>
      <c r="O608" s="1002"/>
      <c r="P608" s="1002"/>
      <c r="Q608" s="1002"/>
      <c r="R608" s="1002"/>
      <c r="S608" s="1002"/>
      <c r="T608" s="1002"/>
      <c r="U608" s="1002"/>
      <c r="V608" s="1002"/>
      <c r="W608" s="1002"/>
      <c r="X608" s="1002"/>
      <c r="Y608" s="1002"/>
      <c r="Z608" s="1002"/>
      <c r="AA608" s="1002"/>
      <c r="AB608" s="1002"/>
      <c r="AC608" s="1002"/>
      <c r="AD608" s="1002"/>
      <c r="AE608" s="1002"/>
      <c r="AF608" s="1002"/>
      <c r="AG608" s="1002"/>
      <c r="AH608" s="1002"/>
      <c r="AI608" s="1002"/>
      <c r="AJ608" s="1002"/>
      <c r="AK608" s="1002"/>
      <c r="AL608" s="1002"/>
      <c r="AM608" s="1002"/>
      <c r="AN608" s="1002"/>
      <c r="AO608" s="1002"/>
      <c r="AP608" s="1002"/>
      <c r="AQ608" s="1002"/>
      <c r="AR608" s="1002"/>
      <c r="AS608" s="1002"/>
      <c r="AT608" s="1002"/>
      <c r="AU608" s="1002"/>
      <c r="AV608" s="1002"/>
      <c r="AW608" s="1002"/>
      <c r="AX608" s="1002"/>
      <c r="AY608" s="1002"/>
      <c r="AZ608" s="1002"/>
      <c r="BA608" s="1002"/>
      <c r="BB608" s="1002"/>
      <c r="BC608" s="1002"/>
      <c r="BD608" s="1002"/>
      <c r="BE608" s="204"/>
      <c r="BF608" s="205" t="s">
        <v>642</v>
      </c>
      <c r="BG608" s="204"/>
      <c r="BH608" s="204"/>
      <c r="BI608" s="204"/>
      <c r="BJ608" s="204"/>
      <c r="BK608" s="206"/>
    </row>
    <row r="609" spans="1:63" s="164" customFormat="1" ht="15.75" customHeight="1">
      <c r="A609" s="185"/>
      <c r="B609" s="193"/>
      <c r="C609" s="184"/>
      <c r="D609" s="183" t="s">
        <v>1061</v>
      </c>
      <c r="E609" s="184"/>
      <c r="F609" s="184"/>
      <c r="G609" s="184"/>
      <c r="H609" s="184"/>
      <c r="I609" s="184"/>
      <c r="J609" s="184"/>
      <c r="K609" s="184"/>
      <c r="L609" s="193"/>
      <c r="M609" s="1001" t="s">
        <v>1062</v>
      </c>
      <c r="N609" s="1002"/>
      <c r="O609" s="1002"/>
      <c r="P609" s="1002"/>
      <c r="Q609" s="1002"/>
      <c r="R609" s="1002"/>
      <c r="S609" s="1002"/>
      <c r="T609" s="1002"/>
      <c r="U609" s="1002"/>
      <c r="V609" s="1002"/>
      <c r="W609" s="1002"/>
      <c r="X609" s="1002"/>
      <c r="Y609" s="1002"/>
      <c r="Z609" s="1002"/>
      <c r="AA609" s="1002"/>
      <c r="AB609" s="1002"/>
      <c r="AC609" s="1002"/>
      <c r="AD609" s="1002"/>
      <c r="AE609" s="1002"/>
      <c r="AF609" s="1002"/>
      <c r="AG609" s="1002"/>
      <c r="AH609" s="1002"/>
      <c r="AI609" s="1002"/>
      <c r="AJ609" s="1002"/>
      <c r="AK609" s="1002"/>
      <c r="AL609" s="1002"/>
      <c r="AM609" s="1002"/>
      <c r="AN609" s="1002"/>
      <c r="AO609" s="1002"/>
      <c r="AP609" s="1002"/>
      <c r="AQ609" s="1002"/>
      <c r="AR609" s="1002"/>
      <c r="AS609" s="1002"/>
      <c r="AT609" s="1002"/>
      <c r="AU609" s="1002"/>
      <c r="AV609" s="1002"/>
      <c r="AW609" s="1002"/>
      <c r="AX609" s="1002"/>
      <c r="AY609" s="1002"/>
      <c r="AZ609" s="1002"/>
      <c r="BA609" s="1002"/>
      <c r="BB609" s="1002"/>
      <c r="BC609" s="1002"/>
      <c r="BD609" s="1002"/>
      <c r="BE609" s="204"/>
      <c r="BF609" s="205" t="s">
        <v>642</v>
      </c>
      <c r="BG609" s="204"/>
      <c r="BH609" s="204"/>
      <c r="BI609" s="204"/>
      <c r="BJ609" s="204"/>
      <c r="BK609" s="206"/>
    </row>
    <row r="610" spans="1:63" s="164" customFormat="1" ht="15.75" customHeight="1">
      <c r="A610" s="185"/>
      <c r="B610" s="193"/>
      <c r="C610" s="184"/>
      <c r="D610" s="183" t="s">
        <v>1063</v>
      </c>
      <c r="E610" s="184"/>
      <c r="F610" s="184"/>
      <c r="G610" s="184"/>
      <c r="H610" s="184"/>
      <c r="I610" s="184"/>
      <c r="J610" s="184"/>
      <c r="K610" s="184"/>
      <c r="L610" s="193"/>
      <c r="M610" s="1001" t="s">
        <v>1064</v>
      </c>
      <c r="N610" s="1002"/>
      <c r="O610" s="1002"/>
      <c r="P610" s="1002"/>
      <c r="Q610" s="1002"/>
      <c r="R610" s="1002"/>
      <c r="S610" s="1002"/>
      <c r="T610" s="1002"/>
      <c r="U610" s="1002"/>
      <c r="V610" s="1002"/>
      <c r="W610" s="1002"/>
      <c r="X610" s="1002"/>
      <c r="Y610" s="1002"/>
      <c r="Z610" s="1002"/>
      <c r="AA610" s="1002"/>
      <c r="AB610" s="1002"/>
      <c r="AC610" s="1002"/>
      <c r="AD610" s="1002"/>
      <c r="AE610" s="1002"/>
      <c r="AF610" s="1002"/>
      <c r="AG610" s="1002"/>
      <c r="AH610" s="1002"/>
      <c r="AI610" s="1002"/>
      <c r="AJ610" s="1002"/>
      <c r="AK610" s="1002"/>
      <c r="AL610" s="1002"/>
      <c r="AM610" s="1002"/>
      <c r="AN610" s="1002"/>
      <c r="AO610" s="1002"/>
      <c r="AP610" s="1002"/>
      <c r="AQ610" s="1002"/>
      <c r="AR610" s="1002"/>
      <c r="AS610" s="1002"/>
      <c r="AT610" s="1002"/>
      <c r="AU610" s="1002"/>
      <c r="AV610" s="1002"/>
      <c r="AW610" s="1002"/>
      <c r="AX610" s="1002"/>
      <c r="AY610" s="1002"/>
      <c r="AZ610" s="1002"/>
      <c r="BA610" s="1002"/>
      <c r="BB610" s="1002"/>
      <c r="BC610" s="1002"/>
      <c r="BD610" s="1002"/>
      <c r="BE610" s="204"/>
      <c r="BF610" s="205" t="s">
        <v>642</v>
      </c>
      <c r="BG610" s="204"/>
      <c r="BH610" s="204"/>
      <c r="BI610" s="204"/>
      <c r="BJ610" s="204"/>
      <c r="BK610" s="206"/>
    </row>
    <row r="611" spans="1:63" s="164" customFormat="1" ht="15.75" customHeight="1">
      <c r="A611" s="185"/>
      <c r="B611" s="193"/>
      <c r="C611" s="184"/>
      <c r="D611" s="183" t="s">
        <v>1065</v>
      </c>
      <c r="E611" s="184"/>
      <c r="F611" s="184"/>
      <c r="G611" s="184"/>
      <c r="H611" s="184"/>
      <c r="I611" s="184"/>
      <c r="J611" s="184"/>
      <c r="K611" s="184"/>
      <c r="L611" s="193"/>
      <c r="M611" s="1001" t="s">
        <v>1066</v>
      </c>
      <c r="N611" s="1002"/>
      <c r="O611" s="1002"/>
      <c r="P611" s="1002"/>
      <c r="Q611" s="1002"/>
      <c r="R611" s="1002"/>
      <c r="S611" s="1002"/>
      <c r="T611" s="1002"/>
      <c r="U611" s="1002"/>
      <c r="V611" s="1002"/>
      <c r="W611" s="1002"/>
      <c r="X611" s="1002"/>
      <c r="Y611" s="1002"/>
      <c r="Z611" s="1002"/>
      <c r="AA611" s="1002"/>
      <c r="AB611" s="1002"/>
      <c r="AC611" s="1002"/>
      <c r="AD611" s="1002"/>
      <c r="AE611" s="1002"/>
      <c r="AF611" s="1002"/>
      <c r="AG611" s="1002"/>
      <c r="AH611" s="1002"/>
      <c r="AI611" s="1002"/>
      <c r="AJ611" s="1002"/>
      <c r="AK611" s="1002"/>
      <c r="AL611" s="1002"/>
      <c r="AM611" s="1002"/>
      <c r="AN611" s="1002"/>
      <c r="AO611" s="1002"/>
      <c r="AP611" s="1002"/>
      <c r="AQ611" s="1002"/>
      <c r="AR611" s="1002"/>
      <c r="AS611" s="1002"/>
      <c r="AT611" s="1002"/>
      <c r="AU611" s="1002"/>
      <c r="AV611" s="1002"/>
      <c r="AW611" s="1002"/>
      <c r="AX611" s="1002"/>
      <c r="AY611" s="1002"/>
      <c r="AZ611" s="1002"/>
      <c r="BA611" s="1002"/>
      <c r="BB611" s="1002"/>
      <c r="BC611" s="1002"/>
      <c r="BD611" s="1002"/>
      <c r="BE611" s="204"/>
      <c r="BF611" s="205" t="s">
        <v>642</v>
      </c>
      <c r="BG611" s="204"/>
      <c r="BH611" s="204"/>
      <c r="BI611" s="204"/>
      <c r="BJ611" s="204"/>
      <c r="BK611" s="206"/>
    </row>
    <row r="612" spans="1:63" s="164" customFormat="1" ht="17.25" customHeight="1">
      <c r="A612" s="185"/>
      <c r="B612" s="193"/>
      <c r="C612" s="184"/>
      <c r="D612" s="183" t="s">
        <v>226</v>
      </c>
      <c r="E612" s="184"/>
      <c r="F612" s="184"/>
      <c r="G612" s="184"/>
      <c r="H612" s="184"/>
      <c r="I612" s="184"/>
      <c r="J612" s="184"/>
      <c r="K612" s="184"/>
      <c r="L612" s="193"/>
      <c r="M612" s="1004" t="s">
        <v>1067</v>
      </c>
      <c r="N612" s="1002"/>
      <c r="O612" s="1002"/>
      <c r="P612" s="1002"/>
      <c r="Q612" s="1002"/>
      <c r="R612" s="1002"/>
      <c r="S612" s="1002"/>
      <c r="T612" s="1002"/>
      <c r="U612" s="1002"/>
      <c r="V612" s="1002"/>
      <c r="W612" s="1002"/>
      <c r="X612" s="1002"/>
      <c r="Y612" s="1002"/>
      <c r="Z612" s="1002"/>
      <c r="AA612" s="1002"/>
      <c r="AB612" s="1002"/>
      <c r="AC612" s="1002"/>
      <c r="AD612" s="1002"/>
      <c r="AE612" s="1002"/>
      <c r="AF612" s="1002"/>
      <c r="AG612" s="1002"/>
      <c r="AH612" s="1002"/>
      <c r="AI612" s="1002"/>
      <c r="AJ612" s="1002"/>
      <c r="AK612" s="1002"/>
      <c r="AL612" s="1002"/>
      <c r="AM612" s="1002"/>
      <c r="AN612" s="1002"/>
      <c r="AO612" s="1002"/>
      <c r="AP612" s="1002"/>
      <c r="AQ612" s="1002"/>
      <c r="AR612" s="1002"/>
      <c r="AS612" s="1002"/>
      <c r="AT612" s="1002"/>
      <c r="AU612" s="1002"/>
      <c r="AV612" s="1002"/>
      <c r="AW612" s="1002"/>
      <c r="AX612" s="1002"/>
      <c r="AY612" s="1002"/>
      <c r="AZ612" s="1002"/>
      <c r="BA612" s="1002"/>
      <c r="BB612" s="1002"/>
      <c r="BC612" s="1002"/>
      <c r="BD612" s="1002"/>
      <c r="BE612" s="204"/>
      <c r="BF612" s="205" t="s">
        <v>642</v>
      </c>
      <c r="BG612" s="204"/>
      <c r="BH612" s="204"/>
      <c r="BI612" s="204"/>
      <c r="BJ612" s="204"/>
      <c r="BK612" s="206"/>
    </row>
    <row r="613" spans="1:63" s="164" customFormat="1" ht="15.75" customHeight="1">
      <c r="A613" s="185"/>
      <c r="B613" s="193"/>
      <c r="C613" s="184"/>
      <c r="D613" s="183" t="s">
        <v>229</v>
      </c>
      <c r="E613" s="184"/>
      <c r="F613" s="184"/>
      <c r="G613" s="184"/>
      <c r="H613" s="184"/>
      <c r="I613" s="184"/>
      <c r="J613" s="184"/>
      <c r="K613" s="184"/>
      <c r="L613" s="193"/>
      <c r="M613" s="1001" t="s">
        <v>1068</v>
      </c>
      <c r="N613" s="1002"/>
      <c r="O613" s="1002"/>
      <c r="P613" s="1002"/>
      <c r="Q613" s="1002"/>
      <c r="R613" s="1002"/>
      <c r="S613" s="1002"/>
      <c r="T613" s="1002"/>
      <c r="U613" s="1002"/>
      <c r="V613" s="1002"/>
      <c r="W613" s="1002"/>
      <c r="X613" s="1002"/>
      <c r="Y613" s="1002"/>
      <c r="Z613" s="1002"/>
      <c r="AA613" s="1002"/>
      <c r="AB613" s="1002"/>
      <c r="AC613" s="1002"/>
      <c r="AD613" s="1002"/>
      <c r="AE613" s="1002"/>
      <c r="AF613" s="1002"/>
      <c r="AG613" s="1002"/>
      <c r="AH613" s="1002"/>
      <c r="AI613" s="1002"/>
      <c r="AJ613" s="1002"/>
      <c r="AK613" s="1002"/>
      <c r="AL613" s="1002"/>
      <c r="AM613" s="1002"/>
      <c r="AN613" s="1002"/>
      <c r="AO613" s="1002"/>
      <c r="AP613" s="1002"/>
      <c r="AQ613" s="1002"/>
      <c r="AR613" s="1002"/>
      <c r="AS613" s="1002"/>
      <c r="AT613" s="1002"/>
      <c r="AU613" s="1002"/>
      <c r="AV613" s="1002"/>
      <c r="AW613" s="1002"/>
      <c r="AX613" s="1002"/>
      <c r="AY613" s="1002"/>
      <c r="AZ613" s="1002"/>
      <c r="BA613" s="1002"/>
      <c r="BB613" s="1002"/>
      <c r="BC613" s="1002"/>
      <c r="BD613" s="1002"/>
      <c r="BE613" s="204"/>
      <c r="BF613" s="205" t="s">
        <v>642</v>
      </c>
      <c r="BG613" s="204"/>
      <c r="BH613" s="204"/>
      <c r="BI613" s="204"/>
      <c r="BJ613" s="204"/>
      <c r="BK613" s="206"/>
    </row>
    <row r="614" spans="1:63" s="164" customFormat="1" ht="15.75" customHeight="1">
      <c r="A614" s="185"/>
      <c r="B614" s="193"/>
      <c r="C614" s="184"/>
      <c r="D614" s="183" t="s">
        <v>232</v>
      </c>
      <c r="E614" s="184"/>
      <c r="F614" s="184"/>
      <c r="G614" s="184"/>
      <c r="H614" s="184"/>
      <c r="I614" s="184"/>
      <c r="J614" s="184"/>
      <c r="K614" s="184"/>
      <c r="L614" s="193"/>
      <c r="M614" s="1001" t="s">
        <v>1069</v>
      </c>
      <c r="N614" s="1002"/>
      <c r="O614" s="1002"/>
      <c r="P614" s="1002"/>
      <c r="Q614" s="1002"/>
      <c r="R614" s="1002"/>
      <c r="S614" s="1002"/>
      <c r="T614" s="1002"/>
      <c r="U614" s="1002"/>
      <c r="V614" s="1002"/>
      <c r="W614" s="1002"/>
      <c r="X614" s="1002"/>
      <c r="Y614" s="1002"/>
      <c r="Z614" s="1002"/>
      <c r="AA614" s="1002"/>
      <c r="AB614" s="1002"/>
      <c r="AC614" s="1002"/>
      <c r="AD614" s="1002"/>
      <c r="AE614" s="1002"/>
      <c r="AF614" s="1002"/>
      <c r="AG614" s="1002"/>
      <c r="AH614" s="1002"/>
      <c r="AI614" s="1002"/>
      <c r="AJ614" s="1002"/>
      <c r="AK614" s="1002"/>
      <c r="AL614" s="1002"/>
      <c r="AM614" s="1002"/>
      <c r="AN614" s="1002"/>
      <c r="AO614" s="1002"/>
      <c r="AP614" s="1002"/>
      <c r="AQ614" s="1002"/>
      <c r="AR614" s="1002"/>
      <c r="AS614" s="1002"/>
      <c r="AT614" s="1002"/>
      <c r="AU614" s="1002"/>
      <c r="AV614" s="1002"/>
      <c r="AW614" s="1002"/>
      <c r="AX614" s="1002"/>
      <c r="AY614" s="1002"/>
      <c r="AZ614" s="1002"/>
      <c r="BA614" s="1002"/>
      <c r="BB614" s="1002"/>
      <c r="BC614" s="1002"/>
      <c r="BD614" s="1002"/>
      <c r="BE614" s="204"/>
      <c r="BF614" s="205" t="s">
        <v>642</v>
      </c>
      <c r="BG614" s="204"/>
      <c r="BH614" s="204"/>
      <c r="BI614" s="204"/>
      <c r="BJ614" s="204"/>
      <c r="BK614" s="206"/>
    </row>
    <row r="615" spans="1:63" s="164" customFormat="1" ht="15.75" customHeight="1">
      <c r="A615" s="185"/>
      <c r="B615" s="193"/>
      <c r="C615" s="184"/>
      <c r="D615" s="183" t="s">
        <v>1070</v>
      </c>
      <c r="E615" s="184"/>
      <c r="F615" s="184"/>
      <c r="G615" s="184"/>
      <c r="H615" s="184"/>
      <c r="I615" s="184"/>
      <c r="J615" s="184"/>
      <c r="K615" s="184"/>
      <c r="L615" s="193"/>
      <c r="M615" s="1003"/>
      <c r="N615" s="1002"/>
      <c r="O615" s="1002"/>
      <c r="P615" s="1002"/>
      <c r="Q615" s="1002"/>
      <c r="R615" s="1002"/>
      <c r="S615" s="1002"/>
      <c r="T615" s="1002"/>
      <c r="U615" s="1002"/>
      <c r="V615" s="1002"/>
      <c r="W615" s="1002"/>
      <c r="X615" s="1002"/>
      <c r="Y615" s="1002"/>
      <c r="Z615" s="1002"/>
      <c r="AA615" s="1002"/>
      <c r="AB615" s="1002"/>
      <c r="AC615" s="1002"/>
      <c r="AD615" s="1002"/>
      <c r="AE615" s="1002"/>
      <c r="AF615" s="1002"/>
      <c r="AG615" s="1002"/>
      <c r="AH615" s="1002"/>
      <c r="AI615" s="1002"/>
      <c r="AJ615" s="1002"/>
      <c r="AK615" s="1002"/>
      <c r="AL615" s="1002"/>
      <c r="AM615" s="1002"/>
      <c r="AN615" s="1002"/>
      <c r="AO615" s="1002"/>
      <c r="AP615" s="1002"/>
      <c r="AQ615" s="1002"/>
      <c r="AR615" s="1002"/>
      <c r="AS615" s="1002"/>
      <c r="AT615" s="1002"/>
      <c r="AU615" s="1002"/>
      <c r="AV615" s="1002"/>
      <c r="AW615" s="1002"/>
      <c r="AX615" s="1002"/>
      <c r="AY615" s="1002"/>
      <c r="AZ615" s="1002"/>
      <c r="BA615" s="1002"/>
      <c r="BB615" s="1002"/>
      <c r="BC615" s="1002"/>
      <c r="BD615" s="1002"/>
      <c r="BE615" s="204"/>
      <c r="BF615" s="205" t="s">
        <v>642</v>
      </c>
      <c r="BG615" s="204"/>
      <c r="BH615" s="204"/>
      <c r="BI615" s="204"/>
      <c r="BJ615" s="204"/>
      <c r="BK615" s="206"/>
    </row>
    <row r="616" spans="1:63" s="164" customFormat="1" ht="15.75" customHeight="1">
      <c r="A616" s="185"/>
      <c r="B616" s="193"/>
      <c r="C616" s="184"/>
      <c r="D616" s="183" t="s">
        <v>1071</v>
      </c>
      <c r="E616" s="184"/>
      <c r="F616" s="184"/>
      <c r="G616" s="184"/>
      <c r="H616" s="184"/>
      <c r="I616" s="184"/>
      <c r="J616" s="184"/>
      <c r="K616" s="184"/>
      <c r="L616" s="193"/>
      <c r="M616" s="1003"/>
      <c r="N616" s="1002"/>
      <c r="O616" s="1002"/>
      <c r="P616" s="1002"/>
      <c r="Q616" s="1002"/>
      <c r="R616" s="1002"/>
      <c r="S616" s="1002"/>
      <c r="T616" s="1002"/>
      <c r="U616" s="1002"/>
      <c r="V616" s="1002"/>
      <c r="W616" s="1002"/>
      <c r="X616" s="1002"/>
      <c r="Y616" s="1002"/>
      <c r="Z616" s="1002"/>
      <c r="AA616" s="1002"/>
      <c r="AB616" s="1002"/>
      <c r="AC616" s="1002"/>
      <c r="AD616" s="1002"/>
      <c r="AE616" s="1002"/>
      <c r="AF616" s="1002"/>
      <c r="AG616" s="1002"/>
      <c r="AH616" s="1002"/>
      <c r="AI616" s="1002"/>
      <c r="AJ616" s="1002"/>
      <c r="AK616" s="1002"/>
      <c r="AL616" s="1002"/>
      <c r="AM616" s="1002"/>
      <c r="AN616" s="1002"/>
      <c r="AO616" s="1002"/>
      <c r="AP616" s="1002"/>
      <c r="AQ616" s="1002"/>
      <c r="AR616" s="1002"/>
      <c r="AS616" s="1002"/>
      <c r="AT616" s="1002"/>
      <c r="AU616" s="1002"/>
      <c r="AV616" s="1002"/>
      <c r="AW616" s="1002"/>
      <c r="AX616" s="1002"/>
      <c r="AY616" s="1002"/>
      <c r="AZ616" s="1002"/>
      <c r="BA616" s="1002"/>
      <c r="BB616" s="1002"/>
      <c r="BC616" s="1002"/>
      <c r="BD616" s="1002"/>
      <c r="BE616" s="204"/>
      <c r="BF616" s="205" t="s">
        <v>642</v>
      </c>
      <c r="BG616" s="204"/>
      <c r="BH616" s="204"/>
      <c r="BI616" s="204"/>
      <c r="BJ616" s="204"/>
      <c r="BK616" s="206"/>
    </row>
    <row r="617" spans="1:63" s="164" customFormat="1" ht="15.75" customHeight="1">
      <c r="A617" s="185"/>
      <c r="B617" s="193"/>
      <c r="C617" s="184"/>
      <c r="D617" s="183" t="s">
        <v>1072</v>
      </c>
      <c r="E617" s="184"/>
      <c r="F617" s="184"/>
      <c r="G617" s="184"/>
      <c r="H617" s="184"/>
      <c r="I617" s="184"/>
      <c r="J617" s="184"/>
      <c r="K617" s="184"/>
      <c r="L617" s="193"/>
      <c r="M617" s="1003"/>
      <c r="N617" s="1002"/>
      <c r="O617" s="1002"/>
      <c r="P617" s="1002"/>
      <c r="Q617" s="1002"/>
      <c r="R617" s="1002"/>
      <c r="S617" s="1002"/>
      <c r="T617" s="1002"/>
      <c r="U617" s="1002"/>
      <c r="V617" s="1002"/>
      <c r="W617" s="1002"/>
      <c r="X617" s="1002"/>
      <c r="Y617" s="1002"/>
      <c r="Z617" s="1002"/>
      <c r="AA617" s="1002"/>
      <c r="AB617" s="1002"/>
      <c r="AC617" s="1002"/>
      <c r="AD617" s="1002"/>
      <c r="AE617" s="1002"/>
      <c r="AF617" s="1002"/>
      <c r="AG617" s="1002"/>
      <c r="AH617" s="1002"/>
      <c r="AI617" s="1002"/>
      <c r="AJ617" s="1002"/>
      <c r="AK617" s="1002"/>
      <c r="AL617" s="1002"/>
      <c r="AM617" s="1002"/>
      <c r="AN617" s="1002"/>
      <c r="AO617" s="1002"/>
      <c r="AP617" s="1002"/>
      <c r="AQ617" s="1002"/>
      <c r="AR617" s="1002"/>
      <c r="AS617" s="1002"/>
      <c r="AT617" s="1002"/>
      <c r="AU617" s="1002"/>
      <c r="AV617" s="1002"/>
      <c r="AW617" s="1002"/>
      <c r="AX617" s="1002"/>
      <c r="AY617" s="1002"/>
      <c r="AZ617" s="1002"/>
      <c r="BA617" s="1002"/>
      <c r="BB617" s="1002"/>
      <c r="BC617" s="1002"/>
      <c r="BD617" s="1002"/>
      <c r="BE617" s="204"/>
      <c r="BF617" s="205" t="s">
        <v>642</v>
      </c>
      <c r="BG617" s="204"/>
      <c r="BH617" s="204"/>
      <c r="BI617" s="204"/>
      <c r="BJ617" s="204"/>
      <c r="BK617" s="206"/>
    </row>
    <row r="618" spans="1:63" s="164" customFormat="1" ht="15.75" customHeight="1">
      <c r="A618" s="185"/>
      <c r="B618" s="193"/>
      <c r="C618" s="184"/>
      <c r="D618" s="183" t="s">
        <v>1073</v>
      </c>
      <c r="E618" s="184"/>
      <c r="F618" s="184"/>
      <c r="G618" s="184"/>
      <c r="H618" s="184"/>
      <c r="I618" s="184"/>
      <c r="J618" s="184"/>
      <c r="K618" s="184"/>
      <c r="L618" s="193"/>
      <c r="M618" s="1003" t="s">
        <v>1074</v>
      </c>
      <c r="N618" s="1002"/>
      <c r="O618" s="1002"/>
      <c r="P618" s="1002"/>
      <c r="Q618" s="1002"/>
      <c r="R618" s="1002"/>
      <c r="S618" s="1002"/>
      <c r="T618" s="1002"/>
      <c r="U618" s="1002"/>
      <c r="V618" s="1002"/>
      <c r="W618" s="1002"/>
      <c r="X618" s="1002"/>
      <c r="Y618" s="1002"/>
      <c r="Z618" s="1002"/>
      <c r="AA618" s="1002"/>
      <c r="AB618" s="1002"/>
      <c r="AC618" s="1002"/>
      <c r="AD618" s="1002"/>
      <c r="AE618" s="1002"/>
      <c r="AF618" s="1002"/>
      <c r="AG618" s="1002"/>
      <c r="AH618" s="1002"/>
      <c r="AI618" s="1002"/>
      <c r="AJ618" s="1002"/>
      <c r="AK618" s="1002"/>
      <c r="AL618" s="1002"/>
      <c r="AM618" s="1002"/>
      <c r="AN618" s="1002"/>
      <c r="AO618" s="1002"/>
      <c r="AP618" s="1002"/>
      <c r="AQ618" s="1002"/>
      <c r="AR618" s="1002"/>
      <c r="AS618" s="1002"/>
      <c r="AT618" s="1002"/>
      <c r="AU618" s="1002"/>
      <c r="AV618" s="1002"/>
      <c r="AW618" s="1002"/>
      <c r="AX618" s="1002"/>
      <c r="AY618" s="1002"/>
      <c r="AZ618" s="1002"/>
      <c r="BA618" s="1002"/>
      <c r="BB618" s="1002"/>
      <c r="BC618" s="1002"/>
      <c r="BD618" s="1002"/>
      <c r="BE618" s="204"/>
      <c r="BF618" s="205" t="s">
        <v>642</v>
      </c>
      <c r="BG618" s="204"/>
      <c r="BH618" s="204"/>
      <c r="BI618" s="204"/>
      <c r="BJ618" s="204"/>
      <c r="BK618" s="206"/>
    </row>
    <row r="619" spans="1:63" s="164" customFormat="1" ht="15.75" customHeight="1">
      <c r="A619" s="185"/>
      <c r="B619" s="193"/>
      <c r="C619" s="184"/>
      <c r="D619" s="183" t="s">
        <v>1075</v>
      </c>
      <c r="E619" s="184"/>
      <c r="F619" s="184"/>
      <c r="G619" s="184"/>
      <c r="H619" s="184"/>
      <c r="I619" s="184"/>
      <c r="J619" s="184"/>
      <c r="K619" s="184"/>
      <c r="L619" s="193"/>
      <c r="M619" s="1003" t="s">
        <v>1076</v>
      </c>
      <c r="N619" s="1002"/>
      <c r="O619" s="1002"/>
      <c r="P619" s="1002"/>
      <c r="Q619" s="1002"/>
      <c r="R619" s="1002"/>
      <c r="S619" s="1002"/>
      <c r="T619" s="1002"/>
      <c r="U619" s="1002"/>
      <c r="V619" s="1002"/>
      <c r="W619" s="1002"/>
      <c r="X619" s="1002"/>
      <c r="Y619" s="1002"/>
      <c r="Z619" s="1002"/>
      <c r="AA619" s="1002"/>
      <c r="AB619" s="1002"/>
      <c r="AC619" s="1002"/>
      <c r="AD619" s="1002"/>
      <c r="AE619" s="1002"/>
      <c r="AF619" s="1002"/>
      <c r="AG619" s="1002"/>
      <c r="AH619" s="1002"/>
      <c r="AI619" s="1002"/>
      <c r="AJ619" s="1002"/>
      <c r="AK619" s="1002"/>
      <c r="AL619" s="1002"/>
      <c r="AM619" s="1002"/>
      <c r="AN619" s="1002"/>
      <c r="AO619" s="1002"/>
      <c r="AP619" s="1002"/>
      <c r="AQ619" s="1002"/>
      <c r="AR619" s="1002"/>
      <c r="AS619" s="1002"/>
      <c r="AT619" s="1002"/>
      <c r="AU619" s="1002"/>
      <c r="AV619" s="1002"/>
      <c r="AW619" s="1002"/>
      <c r="AX619" s="1002"/>
      <c r="AY619" s="1002"/>
      <c r="AZ619" s="1002"/>
      <c r="BA619" s="1002"/>
      <c r="BB619" s="1002"/>
      <c r="BC619" s="1002"/>
      <c r="BD619" s="1002"/>
      <c r="BE619" s="204"/>
      <c r="BF619" s="205" t="s">
        <v>642</v>
      </c>
      <c r="BG619" s="204"/>
      <c r="BH619" s="204"/>
      <c r="BI619" s="204"/>
      <c r="BJ619" s="204"/>
      <c r="BK619" s="206"/>
    </row>
    <row r="620" spans="1:63" s="164" customFormat="1" ht="15.75" customHeight="1">
      <c r="A620" s="185"/>
      <c r="B620" s="193"/>
      <c r="C620" s="184"/>
      <c r="D620" s="183" t="s">
        <v>281</v>
      </c>
      <c r="E620" s="184"/>
      <c r="F620" s="184"/>
      <c r="G620" s="184"/>
      <c r="H620" s="184"/>
      <c r="I620" s="184"/>
      <c r="J620" s="184"/>
      <c r="K620" s="184"/>
      <c r="L620" s="193"/>
      <c r="M620" s="1003"/>
      <c r="N620" s="1002"/>
      <c r="O620" s="1002"/>
      <c r="P620" s="1002"/>
      <c r="Q620" s="1002"/>
      <c r="R620" s="1002"/>
      <c r="S620" s="1002"/>
      <c r="T620" s="1002"/>
      <c r="U620" s="1002"/>
      <c r="V620" s="1002"/>
      <c r="W620" s="1002"/>
      <c r="X620" s="1002"/>
      <c r="Y620" s="1002"/>
      <c r="Z620" s="1002"/>
      <c r="AA620" s="1002"/>
      <c r="AB620" s="1002"/>
      <c r="AC620" s="1002"/>
      <c r="AD620" s="1002"/>
      <c r="AE620" s="1002"/>
      <c r="AF620" s="1002"/>
      <c r="AG620" s="1002"/>
      <c r="AH620" s="1002"/>
      <c r="AI620" s="1002"/>
      <c r="AJ620" s="1002"/>
      <c r="AK620" s="1002"/>
      <c r="AL620" s="1002"/>
      <c r="AM620" s="1002"/>
      <c r="AN620" s="1002"/>
      <c r="AO620" s="1002"/>
      <c r="AP620" s="1002"/>
      <c r="AQ620" s="1002"/>
      <c r="AR620" s="1002"/>
      <c r="AS620" s="1002"/>
      <c r="AT620" s="1002"/>
      <c r="AU620" s="1002"/>
      <c r="AV620" s="1002"/>
      <c r="AW620" s="1002"/>
      <c r="AX620" s="1002"/>
      <c r="AY620" s="1002"/>
      <c r="AZ620" s="1002"/>
      <c r="BA620" s="1002"/>
      <c r="BB620" s="1002"/>
      <c r="BC620" s="1002"/>
      <c r="BD620" s="1002"/>
      <c r="BE620" s="204"/>
      <c r="BF620" s="205" t="s">
        <v>642</v>
      </c>
      <c r="BG620" s="204"/>
      <c r="BH620" s="204"/>
      <c r="BI620" s="204"/>
      <c r="BJ620" s="204"/>
      <c r="BK620" s="206"/>
    </row>
    <row r="621" spans="1:63" s="164" customFormat="1" ht="30.65" customHeight="1">
      <c r="A621" s="995" t="s">
        <v>1077</v>
      </c>
      <c r="B621" s="996"/>
      <c r="C621" s="257"/>
      <c r="D621" s="258" t="s">
        <v>1237</v>
      </c>
      <c r="E621" s="259"/>
      <c r="F621" s="259"/>
      <c r="G621" s="259"/>
      <c r="H621" s="259"/>
      <c r="I621" s="259"/>
      <c r="J621" s="259"/>
      <c r="K621" s="259"/>
      <c r="L621" s="260"/>
      <c r="M621" s="997" t="s">
        <v>1079</v>
      </c>
      <c r="N621" s="998"/>
      <c r="O621" s="998"/>
      <c r="P621" s="998"/>
      <c r="Q621" s="998"/>
      <c r="R621" s="998"/>
      <c r="S621" s="998"/>
      <c r="T621" s="998"/>
      <c r="U621" s="998"/>
      <c r="V621" s="998"/>
      <c r="W621" s="998"/>
      <c r="X621" s="998"/>
      <c r="Y621" s="998"/>
      <c r="Z621" s="998"/>
      <c r="AA621" s="998"/>
      <c r="AB621" s="998"/>
      <c r="AC621" s="998"/>
      <c r="AD621" s="998"/>
      <c r="AE621" s="998"/>
      <c r="AF621" s="998"/>
      <c r="AG621" s="998"/>
      <c r="AH621" s="998"/>
      <c r="AI621" s="998"/>
      <c r="AJ621" s="998"/>
      <c r="AK621" s="998"/>
      <c r="AL621" s="998"/>
      <c r="AM621" s="998"/>
      <c r="AN621" s="998"/>
      <c r="AO621" s="998"/>
      <c r="AP621" s="998"/>
      <c r="AQ621" s="998"/>
      <c r="AR621" s="998"/>
      <c r="AS621" s="998"/>
      <c r="AT621" s="998"/>
      <c r="AU621" s="998"/>
      <c r="AV621" s="998"/>
      <c r="AW621" s="998"/>
      <c r="AX621" s="998"/>
      <c r="AY621" s="998"/>
      <c r="AZ621" s="998"/>
      <c r="BA621" s="998"/>
      <c r="BB621" s="998"/>
      <c r="BC621" s="998"/>
      <c r="BD621" s="998"/>
      <c r="BE621" s="261"/>
      <c r="BF621" s="262" t="s">
        <v>642</v>
      </c>
      <c r="BG621" s="261"/>
      <c r="BH621" s="261"/>
      <c r="BI621" s="261"/>
      <c r="BJ621" s="261"/>
      <c r="BK621" s="263"/>
    </row>
    <row r="622" spans="1:63" s="164" customFormat="1" ht="15.75" customHeight="1">
      <c r="A622" s="995" t="s">
        <v>1077</v>
      </c>
      <c r="B622" s="996"/>
      <c r="C622" s="257"/>
      <c r="D622" s="258" t="s">
        <v>1267</v>
      </c>
      <c r="E622" s="259"/>
      <c r="F622" s="259"/>
      <c r="G622" s="259"/>
      <c r="H622" s="259"/>
      <c r="I622" s="259"/>
      <c r="J622" s="259"/>
      <c r="K622" s="259"/>
      <c r="L622" s="260"/>
      <c r="M622" s="997" t="s">
        <v>1080</v>
      </c>
      <c r="N622" s="998"/>
      <c r="O622" s="998"/>
      <c r="P622" s="998"/>
      <c r="Q622" s="998"/>
      <c r="R622" s="998"/>
      <c r="S622" s="998"/>
      <c r="T622" s="998"/>
      <c r="U622" s="998"/>
      <c r="V622" s="998"/>
      <c r="W622" s="998"/>
      <c r="X622" s="998"/>
      <c r="Y622" s="998"/>
      <c r="Z622" s="998"/>
      <c r="AA622" s="998"/>
      <c r="AB622" s="998"/>
      <c r="AC622" s="998"/>
      <c r="AD622" s="998"/>
      <c r="AE622" s="998"/>
      <c r="AF622" s="998"/>
      <c r="AG622" s="998"/>
      <c r="AH622" s="998"/>
      <c r="AI622" s="998"/>
      <c r="AJ622" s="998"/>
      <c r="AK622" s="998"/>
      <c r="AL622" s="998"/>
      <c r="AM622" s="998"/>
      <c r="AN622" s="998"/>
      <c r="AO622" s="998"/>
      <c r="AP622" s="998"/>
      <c r="AQ622" s="998"/>
      <c r="AR622" s="998"/>
      <c r="AS622" s="998"/>
      <c r="AT622" s="998"/>
      <c r="AU622" s="998"/>
      <c r="AV622" s="998"/>
      <c r="AW622" s="998"/>
      <c r="AX622" s="998"/>
      <c r="AY622" s="998"/>
      <c r="AZ622" s="998"/>
      <c r="BA622" s="998"/>
      <c r="BB622" s="998"/>
      <c r="BC622" s="998"/>
      <c r="BD622" s="998"/>
      <c r="BE622" s="261"/>
      <c r="BF622" s="262" t="s">
        <v>642</v>
      </c>
      <c r="BG622" s="261"/>
      <c r="BH622" s="261"/>
      <c r="BI622" s="261"/>
      <c r="BJ622" s="261"/>
      <c r="BK622" s="263"/>
    </row>
    <row r="623" spans="1:63" s="164" customFormat="1" ht="15.75" customHeight="1">
      <c r="A623" s="995" t="s">
        <v>1077</v>
      </c>
      <c r="B623" s="996"/>
      <c r="C623" s="257"/>
      <c r="D623" s="258" t="s">
        <v>1081</v>
      </c>
      <c r="E623" s="259"/>
      <c r="F623" s="259"/>
      <c r="G623" s="259"/>
      <c r="H623" s="259"/>
      <c r="I623" s="259"/>
      <c r="J623" s="259"/>
      <c r="K623" s="259"/>
      <c r="L623" s="260"/>
      <c r="M623" s="997" t="s">
        <v>1082</v>
      </c>
      <c r="N623" s="998"/>
      <c r="O623" s="998"/>
      <c r="P623" s="998"/>
      <c r="Q623" s="998"/>
      <c r="R623" s="998"/>
      <c r="S623" s="998"/>
      <c r="T623" s="998"/>
      <c r="U623" s="998"/>
      <c r="V623" s="998"/>
      <c r="W623" s="998"/>
      <c r="X623" s="998"/>
      <c r="Y623" s="998"/>
      <c r="Z623" s="998"/>
      <c r="AA623" s="998"/>
      <c r="AB623" s="998"/>
      <c r="AC623" s="998"/>
      <c r="AD623" s="998"/>
      <c r="AE623" s="998"/>
      <c r="AF623" s="998"/>
      <c r="AG623" s="998"/>
      <c r="AH623" s="998"/>
      <c r="AI623" s="998"/>
      <c r="AJ623" s="998"/>
      <c r="AK623" s="998"/>
      <c r="AL623" s="998"/>
      <c r="AM623" s="998"/>
      <c r="AN623" s="998"/>
      <c r="AO623" s="998"/>
      <c r="AP623" s="998"/>
      <c r="AQ623" s="998"/>
      <c r="AR623" s="998"/>
      <c r="AS623" s="998"/>
      <c r="AT623" s="998"/>
      <c r="AU623" s="998"/>
      <c r="AV623" s="998"/>
      <c r="AW623" s="998"/>
      <c r="AX623" s="998"/>
      <c r="AY623" s="998"/>
      <c r="AZ623" s="998"/>
      <c r="BA623" s="998"/>
      <c r="BB623" s="998"/>
      <c r="BC623" s="998"/>
      <c r="BD623" s="998"/>
      <c r="BE623" s="261"/>
      <c r="BF623" s="262" t="s">
        <v>642</v>
      </c>
      <c r="BG623" s="261"/>
      <c r="BH623" s="261"/>
      <c r="BI623" s="261"/>
      <c r="BJ623" s="261"/>
      <c r="BK623" s="263"/>
    </row>
    <row r="624" spans="1:63" s="164" customFormat="1" ht="15.75" customHeight="1">
      <c r="A624" s="995" t="s">
        <v>1393</v>
      </c>
      <c r="B624" s="996"/>
      <c r="C624" s="257"/>
      <c r="D624" s="258" t="s">
        <v>1395</v>
      </c>
      <c r="E624" s="259"/>
      <c r="F624" s="259"/>
      <c r="G624" s="259"/>
      <c r="H624" s="259"/>
      <c r="I624" s="259"/>
      <c r="J624" s="259"/>
      <c r="K624" s="259"/>
      <c r="L624" s="260"/>
      <c r="M624" s="997" t="s">
        <v>1396</v>
      </c>
      <c r="N624" s="998"/>
      <c r="O624" s="998"/>
      <c r="P624" s="998"/>
      <c r="Q624" s="998"/>
      <c r="R624" s="998"/>
      <c r="S624" s="998"/>
      <c r="T624" s="998"/>
      <c r="U624" s="998"/>
      <c r="V624" s="998"/>
      <c r="W624" s="998"/>
      <c r="X624" s="998"/>
      <c r="Y624" s="998"/>
      <c r="Z624" s="998"/>
      <c r="AA624" s="998"/>
      <c r="AB624" s="998"/>
      <c r="AC624" s="998"/>
      <c r="AD624" s="998"/>
      <c r="AE624" s="998"/>
      <c r="AF624" s="998"/>
      <c r="AG624" s="998"/>
      <c r="AH624" s="998"/>
      <c r="AI624" s="998"/>
      <c r="AJ624" s="998"/>
      <c r="AK624" s="998"/>
      <c r="AL624" s="998"/>
      <c r="AM624" s="998"/>
      <c r="AN624" s="998"/>
      <c r="AO624" s="998"/>
      <c r="AP624" s="998"/>
      <c r="AQ624" s="998"/>
      <c r="AR624" s="998"/>
      <c r="AS624" s="998"/>
      <c r="AT624" s="998"/>
      <c r="AU624" s="998"/>
      <c r="AV624" s="998"/>
      <c r="AW624" s="998"/>
      <c r="AX624" s="998"/>
      <c r="AY624" s="998"/>
      <c r="AZ624" s="998"/>
      <c r="BA624" s="998"/>
      <c r="BB624" s="998"/>
      <c r="BC624" s="998"/>
      <c r="BD624" s="998"/>
      <c r="BE624" s="261"/>
      <c r="BF624" s="262" t="s">
        <v>642</v>
      </c>
      <c r="BG624" s="261"/>
      <c r="BH624" s="261"/>
      <c r="BI624" s="261"/>
      <c r="BJ624" s="261"/>
      <c r="BK624" s="263"/>
    </row>
    <row r="625" spans="1:63" s="164" customFormat="1" ht="15.75" customHeight="1">
      <c r="A625" s="995" t="s">
        <v>1393</v>
      </c>
      <c r="B625" s="996"/>
      <c r="C625" s="257" t="s">
        <v>411</v>
      </c>
      <c r="D625" s="258" t="s">
        <v>131</v>
      </c>
      <c r="E625" s="259"/>
      <c r="F625" s="259"/>
      <c r="G625" s="259"/>
      <c r="H625" s="259"/>
      <c r="I625" s="259"/>
      <c r="J625" s="259"/>
      <c r="K625" s="259"/>
      <c r="L625" s="260"/>
      <c r="M625" s="997" t="s">
        <v>1084</v>
      </c>
      <c r="N625" s="998"/>
      <c r="O625" s="998"/>
      <c r="P625" s="998"/>
      <c r="Q625" s="998"/>
      <c r="R625" s="998"/>
      <c r="S625" s="998"/>
      <c r="T625" s="998"/>
      <c r="U625" s="998"/>
      <c r="V625" s="998"/>
      <c r="W625" s="998"/>
      <c r="X625" s="998"/>
      <c r="Y625" s="998"/>
      <c r="Z625" s="998"/>
      <c r="AA625" s="998"/>
      <c r="AB625" s="998"/>
      <c r="AC625" s="998"/>
      <c r="AD625" s="998"/>
      <c r="AE625" s="998"/>
      <c r="AF625" s="998"/>
      <c r="AG625" s="998"/>
      <c r="AH625" s="998"/>
      <c r="AI625" s="998"/>
      <c r="AJ625" s="998"/>
      <c r="AK625" s="998"/>
      <c r="AL625" s="998"/>
      <c r="AM625" s="998"/>
      <c r="AN625" s="998"/>
      <c r="AO625" s="998"/>
      <c r="AP625" s="998"/>
      <c r="AQ625" s="998"/>
      <c r="AR625" s="998"/>
      <c r="AS625" s="998"/>
      <c r="AT625" s="998"/>
      <c r="AU625" s="998"/>
      <c r="AV625" s="998"/>
      <c r="AW625" s="998"/>
      <c r="AX625" s="998"/>
      <c r="AY625" s="998"/>
      <c r="AZ625" s="998"/>
      <c r="BA625" s="998"/>
      <c r="BB625" s="998"/>
      <c r="BC625" s="998"/>
      <c r="BD625" s="998"/>
      <c r="BE625" s="261"/>
      <c r="BF625" s="262" t="s">
        <v>419</v>
      </c>
      <c r="BG625" s="261"/>
      <c r="BH625" s="261"/>
      <c r="BI625" s="261"/>
      <c r="BJ625" s="261"/>
      <c r="BK625" s="263"/>
    </row>
    <row r="626" spans="1:63" s="164" customFormat="1" ht="15.75" customHeight="1">
      <c r="A626" s="995" t="s">
        <v>1083</v>
      </c>
      <c r="B626" s="996"/>
      <c r="C626" s="257" t="s">
        <v>411</v>
      </c>
      <c r="D626" s="258" t="s">
        <v>129</v>
      </c>
      <c r="E626" s="259"/>
      <c r="F626" s="259"/>
      <c r="G626" s="259"/>
      <c r="H626" s="259"/>
      <c r="I626" s="259"/>
      <c r="J626" s="259"/>
      <c r="K626" s="259"/>
      <c r="L626" s="260"/>
      <c r="M626" s="997" t="s">
        <v>1085</v>
      </c>
      <c r="N626" s="998"/>
      <c r="O626" s="998"/>
      <c r="P626" s="998"/>
      <c r="Q626" s="998"/>
      <c r="R626" s="998"/>
      <c r="S626" s="998"/>
      <c r="T626" s="998"/>
      <c r="U626" s="998"/>
      <c r="V626" s="998"/>
      <c r="W626" s="998"/>
      <c r="X626" s="998"/>
      <c r="Y626" s="998"/>
      <c r="Z626" s="998"/>
      <c r="AA626" s="998"/>
      <c r="AB626" s="998"/>
      <c r="AC626" s="998"/>
      <c r="AD626" s="998"/>
      <c r="AE626" s="998"/>
      <c r="AF626" s="998"/>
      <c r="AG626" s="998"/>
      <c r="AH626" s="998"/>
      <c r="AI626" s="998"/>
      <c r="AJ626" s="998"/>
      <c r="AK626" s="998"/>
      <c r="AL626" s="998"/>
      <c r="AM626" s="998"/>
      <c r="AN626" s="998"/>
      <c r="AO626" s="998"/>
      <c r="AP626" s="998"/>
      <c r="AQ626" s="998"/>
      <c r="AR626" s="998"/>
      <c r="AS626" s="998"/>
      <c r="AT626" s="998"/>
      <c r="AU626" s="998"/>
      <c r="AV626" s="998"/>
      <c r="AW626" s="998"/>
      <c r="AX626" s="998"/>
      <c r="AY626" s="998"/>
      <c r="AZ626" s="998"/>
      <c r="BA626" s="998"/>
      <c r="BB626" s="998"/>
      <c r="BC626" s="998"/>
      <c r="BD626" s="998"/>
      <c r="BE626" s="261"/>
      <c r="BF626" s="262" t="s">
        <v>419</v>
      </c>
      <c r="BG626" s="261"/>
      <c r="BH626" s="261"/>
      <c r="BI626" s="261"/>
      <c r="BJ626" s="261"/>
      <c r="BK626" s="263"/>
    </row>
    <row r="627" spans="1:63" s="164" customFormat="1" ht="15.75" customHeight="1">
      <c r="A627" s="185"/>
      <c r="B627" s="193"/>
      <c r="C627" s="251" t="s">
        <v>411</v>
      </c>
      <c r="D627" s="183" t="s">
        <v>134</v>
      </c>
      <c r="E627" s="184"/>
      <c r="F627" s="184"/>
      <c r="G627" s="184"/>
      <c r="H627" s="184"/>
      <c r="I627" s="184"/>
      <c r="J627" s="184"/>
      <c r="K627" s="184"/>
      <c r="L627" s="193"/>
      <c r="M627" s="1001" t="s">
        <v>1086</v>
      </c>
      <c r="N627" s="1002"/>
      <c r="O627" s="1002"/>
      <c r="P627" s="1002"/>
      <c r="Q627" s="1002"/>
      <c r="R627" s="1002"/>
      <c r="S627" s="1002"/>
      <c r="T627" s="1002"/>
      <c r="U627" s="1002"/>
      <c r="V627" s="1002"/>
      <c r="W627" s="1002"/>
      <c r="X627" s="1002"/>
      <c r="Y627" s="1002"/>
      <c r="Z627" s="1002"/>
      <c r="AA627" s="1002"/>
      <c r="AB627" s="1002"/>
      <c r="AC627" s="1002"/>
      <c r="AD627" s="1002"/>
      <c r="AE627" s="1002"/>
      <c r="AF627" s="1002"/>
      <c r="AG627" s="1002"/>
      <c r="AH627" s="1002"/>
      <c r="AI627" s="1002"/>
      <c r="AJ627" s="1002"/>
      <c r="AK627" s="1002"/>
      <c r="AL627" s="1002"/>
      <c r="AM627" s="1002"/>
      <c r="AN627" s="1002"/>
      <c r="AO627" s="1002"/>
      <c r="AP627" s="1002"/>
      <c r="AQ627" s="1002"/>
      <c r="AR627" s="1002"/>
      <c r="AS627" s="1002"/>
      <c r="AT627" s="1002"/>
      <c r="AU627" s="1002"/>
      <c r="AV627" s="1002"/>
      <c r="AW627" s="1002"/>
      <c r="AX627" s="1002"/>
      <c r="AY627" s="1002"/>
      <c r="AZ627" s="1002"/>
      <c r="BA627" s="1002"/>
      <c r="BB627" s="1002"/>
      <c r="BC627" s="1002"/>
      <c r="BD627" s="1002"/>
      <c r="BE627" s="204"/>
      <c r="BF627" s="205" t="s">
        <v>419</v>
      </c>
      <c r="BG627" s="204"/>
      <c r="BH627" s="204"/>
      <c r="BI627" s="204"/>
      <c r="BJ627" s="204"/>
      <c r="BK627" s="206"/>
    </row>
    <row r="628" spans="1:63" s="164" customFormat="1" ht="15.75" customHeight="1">
      <c r="A628" s="185"/>
      <c r="B628" s="193"/>
      <c r="C628" s="251" t="s">
        <v>411</v>
      </c>
      <c r="D628" s="183" t="s">
        <v>132</v>
      </c>
      <c r="E628" s="184"/>
      <c r="F628" s="184"/>
      <c r="G628" s="184"/>
      <c r="H628" s="184"/>
      <c r="I628" s="184"/>
      <c r="J628" s="184"/>
      <c r="K628" s="184"/>
      <c r="L628" s="193"/>
      <c r="M628" s="1001" t="s">
        <v>1087</v>
      </c>
      <c r="N628" s="1002"/>
      <c r="O628" s="1002"/>
      <c r="P628" s="1002"/>
      <c r="Q628" s="1002"/>
      <c r="R628" s="1002"/>
      <c r="S628" s="1002"/>
      <c r="T628" s="1002"/>
      <c r="U628" s="1002"/>
      <c r="V628" s="1002"/>
      <c r="W628" s="1002"/>
      <c r="X628" s="1002"/>
      <c r="Y628" s="1002"/>
      <c r="Z628" s="1002"/>
      <c r="AA628" s="1002"/>
      <c r="AB628" s="1002"/>
      <c r="AC628" s="1002"/>
      <c r="AD628" s="1002"/>
      <c r="AE628" s="1002"/>
      <c r="AF628" s="1002"/>
      <c r="AG628" s="1002"/>
      <c r="AH628" s="1002"/>
      <c r="AI628" s="1002"/>
      <c r="AJ628" s="1002"/>
      <c r="AK628" s="1002"/>
      <c r="AL628" s="1002"/>
      <c r="AM628" s="1002"/>
      <c r="AN628" s="1002"/>
      <c r="AO628" s="1002"/>
      <c r="AP628" s="1002"/>
      <c r="AQ628" s="1002"/>
      <c r="AR628" s="1002"/>
      <c r="AS628" s="1002"/>
      <c r="AT628" s="1002"/>
      <c r="AU628" s="1002"/>
      <c r="AV628" s="1002"/>
      <c r="AW628" s="1002"/>
      <c r="AX628" s="1002"/>
      <c r="AY628" s="1002"/>
      <c r="AZ628" s="1002"/>
      <c r="BA628" s="1002"/>
      <c r="BB628" s="1002"/>
      <c r="BC628" s="1002"/>
      <c r="BD628" s="1002"/>
      <c r="BE628" s="204"/>
      <c r="BF628" s="205" t="s">
        <v>419</v>
      </c>
      <c r="BG628" s="204"/>
      <c r="BH628" s="204"/>
      <c r="BI628" s="204"/>
      <c r="BJ628" s="204"/>
      <c r="BK628" s="206"/>
    </row>
    <row r="629" spans="1:63" s="164" customFormat="1" ht="15.75" customHeight="1">
      <c r="A629" s="995" t="s">
        <v>1083</v>
      </c>
      <c r="B629" s="996"/>
      <c r="C629" s="257" t="s">
        <v>411</v>
      </c>
      <c r="D629" s="258" t="s">
        <v>133</v>
      </c>
      <c r="E629" s="259"/>
      <c r="F629" s="259"/>
      <c r="G629" s="259"/>
      <c r="H629" s="259"/>
      <c r="I629" s="259"/>
      <c r="J629" s="259"/>
      <c r="K629" s="259"/>
      <c r="L629" s="260"/>
      <c r="M629" s="997" t="s">
        <v>1088</v>
      </c>
      <c r="N629" s="998"/>
      <c r="O629" s="998"/>
      <c r="P629" s="998"/>
      <c r="Q629" s="998"/>
      <c r="R629" s="998"/>
      <c r="S629" s="998"/>
      <c r="T629" s="998"/>
      <c r="U629" s="998"/>
      <c r="V629" s="998"/>
      <c r="W629" s="998"/>
      <c r="X629" s="998"/>
      <c r="Y629" s="998"/>
      <c r="Z629" s="998"/>
      <c r="AA629" s="998"/>
      <c r="AB629" s="998"/>
      <c r="AC629" s="998"/>
      <c r="AD629" s="998"/>
      <c r="AE629" s="998"/>
      <c r="AF629" s="998"/>
      <c r="AG629" s="998"/>
      <c r="AH629" s="998"/>
      <c r="AI629" s="998"/>
      <c r="AJ629" s="998"/>
      <c r="AK629" s="998"/>
      <c r="AL629" s="998"/>
      <c r="AM629" s="998"/>
      <c r="AN629" s="998"/>
      <c r="AO629" s="998"/>
      <c r="AP629" s="998"/>
      <c r="AQ629" s="998"/>
      <c r="AR629" s="998"/>
      <c r="AS629" s="998"/>
      <c r="AT629" s="998"/>
      <c r="AU629" s="998"/>
      <c r="AV629" s="998"/>
      <c r="AW629" s="998"/>
      <c r="AX629" s="998"/>
      <c r="AY629" s="998"/>
      <c r="AZ629" s="998"/>
      <c r="BA629" s="998"/>
      <c r="BB629" s="998"/>
      <c r="BC629" s="998"/>
      <c r="BD629" s="998"/>
      <c r="BE629" s="261"/>
      <c r="BF629" s="262" t="s">
        <v>419</v>
      </c>
      <c r="BG629" s="261"/>
      <c r="BH629" s="261"/>
      <c r="BI629" s="261"/>
      <c r="BJ629" s="261"/>
      <c r="BK629" s="263"/>
    </row>
    <row r="630" spans="1:63" s="164" customFormat="1" ht="31" customHeight="1">
      <c r="A630" s="995" t="s">
        <v>1083</v>
      </c>
      <c r="B630" s="996"/>
      <c r="C630" s="257" t="s">
        <v>411</v>
      </c>
      <c r="D630" s="258" t="s">
        <v>130</v>
      </c>
      <c r="E630" s="259"/>
      <c r="F630" s="259"/>
      <c r="G630" s="259"/>
      <c r="H630" s="259"/>
      <c r="I630" s="259"/>
      <c r="J630" s="259"/>
      <c r="K630" s="259"/>
      <c r="L630" s="260"/>
      <c r="M630" s="997" t="s">
        <v>1401</v>
      </c>
      <c r="N630" s="998"/>
      <c r="O630" s="998"/>
      <c r="P630" s="998"/>
      <c r="Q630" s="998"/>
      <c r="R630" s="998"/>
      <c r="S630" s="998"/>
      <c r="T630" s="998"/>
      <c r="U630" s="998"/>
      <c r="V630" s="998"/>
      <c r="W630" s="998"/>
      <c r="X630" s="998"/>
      <c r="Y630" s="998"/>
      <c r="Z630" s="998"/>
      <c r="AA630" s="998"/>
      <c r="AB630" s="998"/>
      <c r="AC630" s="998"/>
      <c r="AD630" s="998"/>
      <c r="AE630" s="998"/>
      <c r="AF630" s="998"/>
      <c r="AG630" s="998"/>
      <c r="AH630" s="998"/>
      <c r="AI630" s="998"/>
      <c r="AJ630" s="998"/>
      <c r="AK630" s="998"/>
      <c r="AL630" s="998"/>
      <c r="AM630" s="998"/>
      <c r="AN630" s="998"/>
      <c r="AO630" s="998"/>
      <c r="AP630" s="998"/>
      <c r="AQ630" s="998"/>
      <c r="AR630" s="998"/>
      <c r="AS630" s="998"/>
      <c r="AT630" s="998"/>
      <c r="AU630" s="998"/>
      <c r="AV630" s="998"/>
      <c r="AW630" s="998"/>
      <c r="AX630" s="998"/>
      <c r="AY630" s="998"/>
      <c r="AZ630" s="998"/>
      <c r="BA630" s="998"/>
      <c r="BB630" s="998"/>
      <c r="BC630" s="998"/>
      <c r="BD630" s="998"/>
      <c r="BE630" s="261"/>
      <c r="BF630" s="262" t="s">
        <v>419</v>
      </c>
      <c r="BG630" s="261"/>
      <c r="BH630" s="261"/>
      <c r="BI630" s="261"/>
      <c r="BJ630" s="261"/>
      <c r="BK630" s="263"/>
    </row>
    <row r="631" spans="1:63" s="164" customFormat="1" ht="15.75" customHeight="1">
      <c r="A631" s="243"/>
      <c r="B631" s="246"/>
      <c r="C631" s="245"/>
      <c r="D631" s="244"/>
      <c r="E631" s="245"/>
      <c r="F631" s="245"/>
      <c r="G631" s="245"/>
      <c r="H631" s="245"/>
      <c r="I631" s="245"/>
      <c r="J631" s="245"/>
      <c r="K631" s="245"/>
      <c r="L631" s="246"/>
      <c r="M631" s="245"/>
      <c r="N631" s="245"/>
      <c r="O631" s="245"/>
      <c r="P631" s="245"/>
      <c r="Q631" s="245"/>
      <c r="R631" s="245"/>
      <c r="S631" s="245"/>
      <c r="T631" s="245"/>
      <c r="U631" s="245"/>
      <c r="V631" s="245"/>
      <c r="W631" s="245"/>
      <c r="X631" s="245"/>
      <c r="Y631" s="245"/>
      <c r="Z631" s="245"/>
      <c r="AA631" s="245"/>
      <c r="AB631" s="245"/>
      <c r="AC631" s="245"/>
      <c r="AD631" s="245"/>
      <c r="AE631" s="245"/>
      <c r="AF631" s="245"/>
      <c r="AG631" s="245"/>
      <c r="AH631" s="245"/>
      <c r="AI631" s="245"/>
      <c r="AJ631" s="245"/>
      <c r="AK631" s="245"/>
      <c r="AL631" s="245"/>
      <c r="AM631" s="245"/>
      <c r="AN631" s="245"/>
      <c r="AO631" s="245"/>
      <c r="AP631" s="245"/>
      <c r="AQ631" s="245"/>
      <c r="AR631" s="245"/>
      <c r="AS631" s="245"/>
      <c r="AT631" s="245"/>
      <c r="AU631" s="245"/>
      <c r="AV631" s="245"/>
      <c r="AW631" s="245"/>
      <c r="AX631" s="245"/>
      <c r="AY631" s="245"/>
      <c r="AZ631" s="245"/>
      <c r="BA631" s="245"/>
      <c r="BB631" s="245"/>
      <c r="BC631" s="245"/>
      <c r="BD631" s="245"/>
      <c r="BE631" s="248"/>
      <c r="BF631" s="248"/>
      <c r="BG631" s="248"/>
      <c r="BH631" s="248"/>
      <c r="BI631" s="248"/>
      <c r="BJ631" s="248"/>
      <c r="BK631" s="249"/>
    </row>
    <row r="632" spans="1:63" s="164" customFormat="1" ht="15.75" customHeight="1">
      <c r="A632" s="213"/>
      <c r="B632" s="220"/>
      <c r="C632" s="215"/>
      <c r="D632" s="214" t="s">
        <v>1089</v>
      </c>
      <c r="E632" s="215"/>
      <c r="F632" s="215"/>
      <c r="G632" s="215"/>
      <c r="H632" s="215"/>
      <c r="I632" s="215"/>
      <c r="J632" s="215"/>
      <c r="K632" s="215"/>
      <c r="L632" s="220"/>
      <c r="M632" s="215"/>
      <c r="N632" s="221" t="s">
        <v>403</v>
      </c>
      <c r="O632" s="215"/>
      <c r="P632" s="215"/>
      <c r="Q632" s="215"/>
      <c r="R632" s="215"/>
      <c r="S632" s="215"/>
      <c r="T632" s="215"/>
      <c r="U632" s="215"/>
      <c r="V632" s="215"/>
      <c r="W632" s="215"/>
      <c r="X632" s="215"/>
      <c r="Y632" s="215"/>
      <c r="Z632" s="215"/>
      <c r="AA632" s="215"/>
      <c r="AB632" s="215"/>
      <c r="AC632" s="215"/>
      <c r="AD632" s="215"/>
      <c r="AE632" s="215"/>
      <c r="AF632" s="215"/>
      <c r="AG632" s="215"/>
      <c r="AH632" s="215"/>
      <c r="AI632" s="215"/>
      <c r="AJ632" s="215"/>
      <c r="AK632" s="215"/>
      <c r="AL632" s="215"/>
      <c r="AM632" s="215"/>
      <c r="AN632" s="215"/>
      <c r="AO632" s="215"/>
      <c r="AP632" s="215"/>
      <c r="AQ632" s="215"/>
      <c r="AR632" s="215"/>
      <c r="AS632" s="215"/>
      <c r="AT632" s="215"/>
      <c r="AU632" s="215"/>
      <c r="AV632" s="215"/>
      <c r="AW632" s="215"/>
      <c r="AX632" s="215"/>
      <c r="AY632" s="215"/>
      <c r="AZ632" s="215"/>
      <c r="BA632" s="215"/>
      <c r="BB632" s="215"/>
      <c r="BC632" s="215"/>
      <c r="BD632" s="215"/>
      <c r="BE632" s="225" t="s">
        <v>404</v>
      </c>
      <c r="BF632" s="225" t="s">
        <v>405</v>
      </c>
      <c r="BG632" s="225" t="s">
        <v>406</v>
      </c>
      <c r="BH632" s="225" t="s">
        <v>407</v>
      </c>
      <c r="BI632" s="225" t="s">
        <v>408</v>
      </c>
      <c r="BJ632" s="225" t="s">
        <v>409</v>
      </c>
      <c r="BK632" s="226" t="s">
        <v>410</v>
      </c>
    </row>
    <row r="633" spans="1:63" s="164" customFormat="1" ht="15.75" customHeight="1">
      <c r="A633" s="180"/>
      <c r="B633" s="192"/>
      <c r="C633" s="179"/>
      <c r="D633" s="178" t="s">
        <v>167</v>
      </c>
      <c r="E633" s="179"/>
      <c r="F633" s="179"/>
      <c r="G633" s="179"/>
      <c r="H633" s="179"/>
      <c r="I633" s="179"/>
      <c r="J633" s="179"/>
      <c r="K633" s="179"/>
      <c r="L633" s="192"/>
      <c r="M633" s="999"/>
      <c r="N633" s="1000"/>
      <c r="O633" s="1000"/>
      <c r="P633" s="1000"/>
      <c r="Q633" s="1000"/>
      <c r="R633" s="1000"/>
      <c r="S633" s="1000"/>
      <c r="T633" s="1000"/>
      <c r="U633" s="1000"/>
      <c r="V633" s="1000"/>
      <c r="W633" s="1000"/>
      <c r="X633" s="1000"/>
      <c r="Y633" s="1000"/>
      <c r="Z633" s="1000"/>
      <c r="AA633" s="1000"/>
      <c r="AB633" s="1000"/>
      <c r="AC633" s="1000"/>
      <c r="AD633" s="1000"/>
      <c r="AE633" s="1000"/>
      <c r="AF633" s="1000"/>
      <c r="AG633" s="1000"/>
      <c r="AH633" s="1000"/>
      <c r="AI633" s="1000"/>
      <c r="AJ633" s="1000"/>
      <c r="AK633" s="1000"/>
      <c r="AL633" s="1000"/>
      <c r="AM633" s="1000"/>
      <c r="AN633" s="1000"/>
      <c r="AO633" s="1000"/>
      <c r="AP633" s="1000"/>
      <c r="AQ633" s="1000"/>
      <c r="AR633" s="1000"/>
      <c r="AS633" s="1000"/>
      <c r="AT633" s="1000"/>
      <c r="AU633" s="1000"/>
      <c r="AV633" s="1000"/>
      <c r="AW633" s="1000"/>
      <c r="AX633" s="1000"/>
      <c r="AY633" s="1000"/>
      <c r="AZ633" s="1000"/>
      <c r="BA633" s="1000"/>
      <c r="BB633" s="1000"/>
      <c r="BC633" s="1000"/>
      <c r="BD633" s="1000"/>
      <c r="BE633" s="201"/>
      <c r="BF633" s="202" t="s">
        <v>642</v>
      </c>
      <c r="BG633" s="201"/>
      <c r="BH633" s="201"/>
      <c r="BI633" s="201"/>
      <c r="BJ633" s="201"/>
      <c r="BK633" s="203"/>
    </row>
    <row r="634" spans="1:63" s="164" customFormat="1" ht="15.75" customHeight="1">
      <c r="A634" s="243"/>
      <c r="B634" s="246"/>
      <c r="C634" s="245"/>
      <c r="D634" s="244"/>
      <c r="E634" s="245"/>
      <c r="F634" s="245"/>
      <c r="G634" s="245"/>
      <c r="H634" s="245"/>
      <c r="I634" s="245"/>
      <c r="J634" s="245"/>
      <c r="K634" s="245"/>
      <c r="L634" s="246"/>
      <c r="M634" s="247"/>
      <c r="N634" s="245"/>
      <c r="O634" s="245"/>
      <c r="P634" s="245"/>
      <c r="Q634" s="245"/>
      <c r="R634" s="245"/>
      <c r="S634" s="245"/>
      <c r="T634" s="245"/>
      <c r="U634" s="245"/>
      <c r="V634" s="245"/>
      <c r="W634" s="245"/>
      <c r="X634" s="245"/>
      <c r="Y634" s="245"/>
      <c r="Z634" s="245"/>
      <c r="AA634" s="245"/>
      <c r="AB634" s="245"/>
      <c r="AC634" s="245"/>
      <c r="AD634" s="245"/>
      <c r="AE634" s="245"/>
      <c r="AF634" s="245"/>
      <c r="AG634" s="245"/>
      <c r="AH634" s="245"/>
      <c r="AI634" s="245"/>
      <c r="AJ634" s="245"/>
      <c r="AK634" s="245"/>
      <c r="AL634" s="245"/>
      <c r="AM634" s="245"/>
      <c r="AN634" s="245"/>
      <c r="AO634" s="245"/>
      <c r="AP634" s="245"/>
      <c r="AQ634" s="245"/>
      <c r="AR634" s="245"/>
      <c r="AS634" s="245"/>
      <c r="AT634" s="245"/>
      <c r="AU634" s="245"/>
      <c r="AV634" s="245"/>
      <c r="AW634" s="245"/>
      <c r="AX634" s="245"/>
      <c r="AY634" s="245"/>
      <c r="AZ634" s="245"/>
      <c r="BA634" s="245"/>
      <c r="BB634" s="245"/>
      <c r="BC634" s="245"/>
      <c r="BD634" s="245"/>
      <c r="BE634" s="248"/>
      <c r="BF634" s="248"/>
      <c r="BG634" s="248"/>
      <c r="BH634" s="248"/>
      <c r="BI634" s="248"/>
      <c r="BJ634" s="248"/>
      <c r="BK634" s="249"/>
    </row>
  </sheetData>
  <mergeCells count="617">
    <mergeCell ref="K1:T1"/>
    <mergeCell ref="U1:Y1"/>
    <mergeCell ref="Z1:AD1"/>
    <mergeCell ref="AE1:AI1"/>
    <mergeCell ref="AJ1:AR1"/>
    <mergeCell ref="AS1:AY1"/>
    <mergeCell ref="AZ1:BE1"/>
    <mergeCell ref="BF1:BK1"/>
    <mergeCell ref="K2:T2"/>
    <mergeCell ref="U2:Y2"/>
    <mergeCell ref="Z2:AD2"/>
    <mergeCell ref="AE2:AI2"/>
    <mergeCell ref="AJ2:AR2"/>
    <mergeCell ref="K3:T3"/>
    <mergeCell ref="U3:Y3"/>
    <mergeCell ref="Z3:AD3"/>
    <mergeCell ref="AE3:AR3"/>
    <mergeCell ref="M6:BD6"/>
    <mergeCell ref="M7:BD7"/>
    <mergeCell ref="M8:BD8"/>
    <mergeCell ref="M9:BD9"/>
    <mergeCell ref="M10:BD10"/>
    <mergeCell ref="M13:BD13"/>
    <mergeCell ref="M14:BD14"/>
    <mergeCell ref="M17:BD17"/>
    <mergeCell ref="M18:BD18"/>
    <mergeCell ref="M21:BD21"/>
    <mergeCell ref="M22:BD22"/>
    <mergeCell ref="M23:BD23"/>
    <mergeCell ref="M24:BD24"/>
    <mergeCell ref="M25:BD25"/>
    <mergeCell ref="M26:BD26"/>
    <mergeCell ref="M29:BD29"/>
    <mergeCell ref="M30:BD30"/>
    <mergeCell ref="M33:BD33"/>
    <mergeCell ref="M34:BD34"/>
    <mergeCell ref="M37:BD37"/>
    <mergeCell ref="M38:BD38"/>
    <mergeCell ref="M41:BD41"/>
    <mergeCell ref="M42:BD42"/>
    <mergeCell ref="M43:BD43"/>
    <mergeCell ref="M46:BD46"/>
    <mergeCell ref="M47:BD47"/>
    <mergeCell ref="M48:BD48"/>
    <mergeCell ref="M51:BD51"/>
    <mergeCell ref="M52:BD52"/>
    <mergeCell ref="M53:BD53"/>
    <mergeCell ref="M54:BD54"/>
    <mergeCell ref="M55:BD55"/>
    <mergeCell ref="M56:BD56"/>
    <mergeCell ref="M57:BD57"/>
    <mergeCell ref="M58:BD58"/>
    <mergeCell ref="M59:BD59"/>
    <mergeCell ref="M60:BD60"/>
    <mergeCell ref="M61:BD61"/>
    <mergeCell ref="M62:BD62"/>
    <mergeCell ref="M63:BD63"/>
    <mergeCell ref="M64:BD64"/>
    <mergeCell ref="M65:BD65"/>
    <mergeCell ref="M66:BD66"/>
    <mergeCell ref="M67:BD67"/>
    <mergeCell ref="M68:BD68"/>
    <mergeCell ref="M69:BD69"/>
    <mergeCell ref="M70:BD70"/>
    <mergeCell ref="M71:BD71"/>
    <mergeCell ref="M72:BD72"/>
    <mergeCell ref="M73:BD73"/>
    <mergeCell ref="M74:BD74"/>
    <mergeCell ref="M75:BD75"/>
    <mergeCell ref="M76:BD76"/>
    <mergeCell ref="M77:BD77"/>
    <mergeCell ref="M78:BD78"/>
    <mergeCell ref="M79:BD79"/>
    <mergeCell ref="M80:BD80"/>
    <mergeCell ref="M81:BD81"/>
    <mergeCell ref="M82:BD82"/>
    <mergeCell ref="M83:BD83"/>
    <mergeCell ref="M84:BD84"/>
    <mergeCell ref="M85:BD85"/>
    <mergeCell ref="M86:BD86"/>
    <mergeCell ref="M87:BD87"/>
    <mergeCell ref="M88:BD88"/>
    <mergeCell ref="M89:BD89"/>
    <mergeCell ref="M90:BD90"/>
    <mergeCell ref="M91:BD91"/>
    <mergeCell ref="M92:BD92"/>
    <mergeCell ref="M93:BD93"/>
    <mergeCell ref="M94:BD94"/>
    <mergeCell ref="M95:BD95"/>
    <mergeCell ref="M96:BD96"/>
    <mergeCell ref="M98:BD98"/>
    <mergeCell ref="M99:BD99"/>
    <mergeCell ref="M100:BD100"/>
    <mergeCell ref="M101:BD101"/>
    <mergeCell ref="M97:BD97"/>
    <mergeCell ref="M102:BD102"/>
    <mergeCell ref="M103:BD103"/>
    <mergeCell ref="M104:BD104"/>
    <mergeCell ref="M105:BD105"/>
    <mergeCell ref="M106:BD106"/>
    <mergeCell ref="M107:BD107"/>
    <mergeCell ref="M108:BD108"/>
    <mergeCell ref="M109:BD109"/>
    <mergeCell ref="M110:BD110"/>
    <mergeCell ref="M111:BD111"/>
    <mergeCell ref="M112:BD112"/>
    <mergeCell ref="M113:BD113"/>
    <mergeCell ref="M114:BD114"/>
    <mergeCell ref="M117:BD117"/>
    <mergeCell ref="M118:BD118"/>
    <mergeCell ref="M119:BD119"/>
    <mergeCell ref="M120:BD120"/>
    <mergeCell ref="M121:BD121"/>
    <mergeCell ref="M122:BD122"/>
    <mergeCell ref="M123:BD123"/>
    <mergeCell ref="M124:BD124"/>
    <mergeCell ref="M125:BD125"/>
    <mergeCell ref="M126:BD126"/>
    <mergeCell ref="M127:BD127"/>
    <mergeCell ref="M128:BD128"/>
    <mergeCell ref="M129:BD129"/>
    <mergeCell ref="M130:BD130"/>
    <mergeCell ref="M131:BD131"/>
    <mergeCell ref="M132:BD132"/>
    <mergeCell ref="M133:BD133"/>
    <mergeCell ref="M134:BD134"/>
    <mergeCell ref="M135:BD135"/>
    <mergeCell ref="M136:BD136"/>
    <mergeCell ref="M137:BD137"/>
    <mergeCell ref="M138:BD138"/>
    <mergeCell ref="M139:BD139"/>
    <mergeCell ref="M140:BD140"/>
    <mergeCell ref="M141:BD141"/>
    <mergeCell ref="M142:BD142"/>
    <mergeCell ref="M143:BD143"/>
    <mergeCell ref="M144:BD144"/>
    <mergeCell ref="M145:BD145"/>
    <mergeCell ref="M146:BD146"/>
    <mergeCell ref="M147:BD147"/>
    <mergeCell ref="M148:BD148"/>
    <mergeCell ref="M149:BD149"/>
    <mergeCell ref="M150:BD150"/>
    <mergeCell ref="M151:BD151"/>
    <mergeCell ref="M152:BD152"/>
    <mergeCell ref="M153:BD153"/>
    <mergeCell ref="M154:BD154"/>
    <mergeCell ref="M155:BD155"/>
    <mergeCell ref="M158:BD158"/>
    <mergeCell ref="M159:BD159"/>
    <mergeCell ref="M160:BD160"/>
    <mergeCell ref="M161:BD161"/>
    <mergeCell ref="M162:BD162"/>
    <mergeCell ref="M163:BD163"/>
    <mergeCell ref="M164:BD164"/>
    <mergeCell ref="M165:BD165"/>
    <mergeCell ref="M166:BD166"/>
    <mergeCell ref="M167:BD167"/>
    <mergeCell ref="M168:BD168"/>
    <mergeCell ref="M169:BD169"/>
    <mergeCell ref="M170:BD170"/>
    <mergeCell ref="M171:BD171"/>
    <mergeCell ref="M172:BD172"/>
    <mergeCell ref="M173:BD173"/>
    <mergeCell ref="M174:BD174"/>
    <mergeCell ref="M175:BD175"/>
    <mergeCell ref="M176:BD176"/>
    <mergeCell ref="M177:BD177"/>
    <mergeCell ref="M178:BD178"/>
    <mergeCell ref="M179:BD179"/>
    <mergeCell ref="M180:BD180"/>
    <mergeCell ref="M181:BD181"/>
    <mergeCell ref="M182:BD182"/>
    <mergeCell ref="M183:BD183"/>
    <mergeCell ref="M184:BD184"/>
    <mergeCell ref="M185:BD185"/>
    <mergeCell ref="M186:BD186"/>
    <mergeCell ref="M187:BD187"/>
    <mergeCell ref="M190:BD190"/>
    <mergeCell ref="M191:BD191"/>
    <mergeCell ref="M192:BD192"/>
    <mergeCell ref="M193:BD193"/>
    <mergeCell ref="M194:BD194"/>
    <mergeCell ref="M195:BD195"/>
    <mergeCell ref="M196:BD196"/>
    <mergeCell ref="M197:BD197"/>
    <mergeCell ref="M198:BD198"/>
    <mergeCell ref="M199:BD199"/>
    <mergeCell ref="M200:BD200"/>
    <mergeCell ref="M201:BD201"/>
    <mergeCell ref="M202:BD202"/>
    <mergeCell ref="M203:BD203"/>
    <mergeCell ref="M204:BD204"/>
    <mergeCell ref="M205:BD205"/>
    <mergeCell ref="M206:BD206"/>
    <mergeCell ref="M207:BD207"/>
    <mergeCell ref="M208:BD208"/>
    <mergeCell ref="M209:BD209"/>
    <mergeCell ref="M210:BD210"/>
    <mergeCell ref="M211:BD211"/>
    <mergeCell ref="M212:BD212"/>
    <mergeCell ref="M213:BD213"/>
    <mergeCell ref="M214:BD214"/>
    <mergeCell ref="M215:BD215"/>
    <mergeCell ref="M216:BD216"/>
    <mergeCell ref="M217:BD217"/>
    <mergeCell ref="M218:BD218"/>
    <mergeCell ref="M219:BD219"/>
    <mergeCell ref="M222:BD222"/>
    <mergeCell ref="M223:BD223"/>
    <mergeCell ref="M224:BD224"/>
    <mergeCell ref="M227:BD227"/>
    <mergeCell ref="M230:BD230"/>
    <mergeCell ref="M231:BD231"/>
    <mergeCell ref="M232:BD232"/>
    <mergeCell ref="M233:BD233"/>
    <mergeCell ref="M234:BD234"/>
    <mergeCell ref="M235:BD235"/>
    <mergeCell ref="M236:BD236"/>
    <mergeCell ref="M239:BD239"/>
    <mergeCell ref="M240:BD240"/>
    <mergeCell ref="M241:BD241"/>
    <mergeCell ref="M242:BD242"/>
    <mergeCell ref="M243:BD243"/>
    <mergeCell ref="M244:BD244"/>
    <mergeCell ref="M245:BD245"/>
    <mergeCell ref="M246:BD246"/>
    <mergeCell ref="M247:BD247"/>
    <mergeCell ref="M248:BD248"/>
    <mergeCell ref="M249:BD249"/>
    <mergeCell ref="M250:BD250"/>
    <mergeCell ref="M251:BD251"/>
    <mergeCell ref="M252:BD252"/>
    <mergeCell ref="M253:BD253"/>
    <mergeCell ref="M254:BD254"/>
    <mergeCell ref="M255:BD255"/>
    <mergeCell ref="M256:BD256"/>
    <mergeCell ref="M257:BD257"/>
    <mergeCell ref="M258:BD258"/>
    <mergeCell ref="M259:BD259"/>
    <mergeCell ref="M260:BD260"/>
    <mergeCell ref="M261:BD261"/>
    <mergeCell ref="M262:BD262"/>
    <mergeCell ref="M263:BD263"/>
    <mergeCell ref="M264:BD264"/>
    <mergeCell ref="M265:BD265"/>
    <mergeCell ref="M266:BD266"/>
    <mergeCell ref="M267:BD267"/>
    <mergeCell ref="M268:BD268"/>
    <mergeCell ref="M269:BD269"/>
    <mergeCell ref="M270:BD270"/>
    <mergeCell ref="M271:BD271"/>
    <mergeCell ref="M272:BD272"/>
    <mergeCell ref="M273:BD273"/>
    <mergeCell ref="M274:BD274"/>
    <mergeCell ref="M275:BD275"/>
    <mergeCell ref="M276:BD276"/>
    <mergeCell ref="M277:BD277"/>
    <mergeCell ref="M278:BD278"/>
    <mergeCell ref="M279:BD279"/>
    <mergeCell ref="M280:BD280"/>
    <mergeCell ref="M281:BD281"/>
    <mergeCell ref="M282:BD282"/>
    <mergeCell ref="M283:BD283"/>
    <mergeCell ref="M284:BD284"/>
    <mergeCell ref="M285:BD285"/>
    <mergeCell ref="M286:BD286"/>
    <mergeCell ref="M287:BD287"/>
    <mergeCell ref="M288:BD288"/>
    <mergeCell ref="M289:BD289"/>
    <mergeCell ref="M290:BD290"/>
    <mergeCell ref="M291:BD291"/>
    <mergeCell ref="M292:BD292"/>
    <mergeCell ref="M293:BD293"/>
    <mergeCell ref="M294:BD294"/>
    <mergeCell ref="M295:BD295"/>
    <mergeCell ref="M296:BD296"/>
    <mergeCell ref="M297:BD297"/>
    <mergeCell ref="M298:BD298"/>
    <mergeCell ref="M299:BD299"/>
    <mergeCell ref="M300:BD300"/>
    <mergeCell ref="M301:BD301"/>
    <mergeCell ref="M302:BD302"/>
    <mergeCell ref="M303:BD303"/>
    <mergeCell ref="M304:BD304"/>
    <mergeCell ref="M305:BD305"/>
    <mergeCell ref="M306:BD306"/>
    <mergeCell ref="M307:BD307"/>
    <mergeCell ref="M308:BD308"/>
    <mergeCell ref="M309:BD309"/>
    <mergeCell ref="M310:BD310"/>
    <mergeCell ref="M311:BD311"/>
    <mergeCell ref="M312:BD312"/>
    <mergeCell ref="M313:BD313"/>
    <mergeCell ref="M314:BD314"/>
    <mergeCell ref="M315:BD315"/>
    <mergeCell ref="M316:BD316"/>
    <mergeCell ref="M317:BD317"/>
    <mergeCell ref="M318:BD318"/>
    <mergeCell ref="M319:BD319"/>
    <mergeCell ref="M320:BD320"/>
    <mergeCell ref="M321:BD321"/>
    <mergeCell ref="M322:BD322"/>
    <mergeCell ref="M323:BD323"/>
    <mergeCell ref="M324:BD324"/>
    <mergeCell ref="M325:BD325"/>
    <mergeCell ref="M326:BD326"/>
    <mergeCell ref="M327:BD327"/>
    <mergeCell ref="M328:BD328"/>
    <mergeCell ref="M329:BD329"/>
    <mergeCell ref="M330:BD330"/>
    <mergeCell ref="M331:BD331"/>
    <mergeCell ref="M332:BD332"/>
    <mergeCell ref="M333:BD333"/>
    <mergeCell ref="M334:BD334"/>
    <mergeCell ref="M335:BD335"/>
    <mergeCell ref="M336:BD336"/>
    <mergeCell ref="M337:BD337"/>
    <mergeCell ref="M338:BD338"/>
    <mergeCell ref="M339:BD339"/>
    <mergeCell ref="M340:BD340"/>
    <mergeCell ref="M341:BD341"/>
    <mergeCell ref="M342:BD342"/>
    <mergeCell ref="M343:BD343"/>
    <mergeCell ref="M344:BD344"/>
    <mergeCell ref="M345:BD345"/>
    <mergeCell ref="M346:BD346"/>
    <mergeCell ref="M347:BD347"/>
    <mergeCell ref="M348:BD348"/>
    <mergeCell ref="M349:BD349"/>
    <mergeCell ref="M350:BD350"/>
    <mergeCell ref="M351:BD351"/>
    <mergeCell ref="M352:BD352"/>
    <mergeCell ref="M353:BD353"/>
    <mergeCell ref="M354:BD354"/>
    <mergeCell ref="M357:BD357"/>
    <mergeCell ref="M358:BD358"/>
    <mergeCell ref="M359:BD359"/>
    <mergeCell ref="M360:BD360"/>
    <mergeCell ref="M361:BD361"/>
    <mergeCell ref="M362:BD362"/>
    <mergeCell ref="M363:BD363"/>
    <mergeCell ref="M364:BD364"/>
    <mergeCell ref="M365:BD365"/>
    <mergeCell ref="M366:BD366"/>
    <mergeCell ref="M367:BD367"/>
    <mergeCell ref="M368:BD368"/>
    <mergeCell ref="M369:BD369"/>
    <mergeCell ref="M372:BD372"/>
    <mergeCell ref="M373:BD373"/>
    <mergeCell ref="M374:BD374"/>
    <mergeCell ref="M375:BD375"/>
    <mergeCell ref="M376:BD376"/>
    <mergeCell ref="M377:BD377"/>
    <mergeCell ref="M378:BD378"/>
    <mergeCell ref="M379:BD379"/>
    <mergeCell ref="M380:BD380"/>
    <mergeCell ref="M381:BD381"/>
    <mergeCell ref="M382:BD382"/>
    <mergeCell ref="M383:BD383"/>
    <mergeCell ref="M384:BD384"/>
    <mergeCell ref="M385:BD385"/>
    <mergeCell ref="M386:BD386"/>
    <mergeCell ref="M387:BD387"/>
    <mergeCell ref="M388:BD388"/>
    <mergeCell ref="M389:BD389"/>
    <mergeCell ref="M390:BD390"/>
    <mergeCell ref="M391:BD391"/>
    <mergeCell ref="M392:BD392"/>
    <mergeCell ref="M393:BD393"/>
    <mergeCell ref="M394:BD394"/>
    <mergeCell ref="M395:BD395"/>
    <mergeCell ref="M396:BD396"/>
    <mergeCell ref="M397:BD397"/>
    <mergeCell ref="M398:BD398"/>
    <mergeCell ref="M399:BD399"/>
    <mergeCell ref="M400:BD400"/>
    <mergeCell ref="M401:BD401"/>
    <mergeCell ref="M402:BD402"/>
    <mergeCell ref="M403:BD403"/>
    <mergeCell ref="M404:BD404"/>
    <mergeCell ref="M405:BD405"/>
    <mergeCell ref="M406:BD406"/>
    <mergeCell ref="M407:BD407"/>
    <mergeCell ref="M408:BD408"/>
    <mergeCell ref="M409:BD409"/>
    <mergeCell ref="M410:BD410"/>
    <mergeCell ref="M411:BD411"/>
    <mergeCell ref="M412:BD412"/>
    <mergeCell ref="M413:BD413"/>
    <mergeCell ref="M414:BD414"/>
    <mergeCell ref="M415:BD415"/>
    <mergeCell ref="M416:BD416"/>
    <mergeCell ref="M417:BD417"/>
    <mergeCell ref="M418:BD418"/>
    <mergeCell ref="M419:BD419"/>
    <mergeCell ref="M420:BD420"/>
    <mergeCell ref="M421:BD421"/>
    <mergeCell ref="M422:BD422"/>
    <mergeCell ref="M423:BD423"/>
    <mergeCell ref="M424:BD424"/>
    <mergeCell ref="M425:BD425"/>
    <mergeCell ref="M426:BD426"/>
    <mergeCell ref="M427:BD427"/>
    <mergeCell ref="M428:BD428"/>
    <mergeCell ref="M429:BD429"/>
    <mergeCell ref="M430:BD430"/>
    <mergeCell ref="M431:BD431"/>
    <mergeCell ref="M432:BD432"/>
    <mergeCell ref="M433:BD433"/>
    <mergeCell ref="M434:BD434"/>
    <mergeCell ref="M435:BD435"/>
    <mergeCell ref="M436:BD436"/>
    <mergeCell ref="M437:BD437"/>
    <mergeCell ref="M438:BD438"/>
    <mergeCell ref="M439:BD439"/>
    <mergeCell ref="M440:BD440"/>
    <mergeCell ref="M441:BD441"/>
    <mergeCell ref="M442:BD442"/>
    <mergeCell ref="M443:BD443"/>
    <mergeCell ref="M444:BD444"/>
    <mergeCell ref="M445:BD445"/>
    <mergeCell ref="M446:BD446"/>
    <mergeCell ref="M447:BD447"/>
    <mergeCell ref="M448:BD448"/>
    <mergeCell ref="M449:BD449"/>
    <mergeCell ref="M450:BD450"/>
    <mergeCell ref="M451:BD451"/>
    <mergeCell ref="M452:BD452"/>
    <mergeCell ref="M453:BD453"/>
    <mergeCell ref="M454:BD454"/>
    <mergeCell ref="M455:BD455"/>
    <mergeCell ref="M456:BD456"/>
    <mergeCell ref="M457:BD457"/>
    <mergeCell ref="M458:BD458"/>
    <mergeCell ref="M459:BD459"/>
    <mergeCell ref="M460:BD460"/>
    <mergeCell ref="M461:BD461"/>
    <mergeCell ref="M462:BD462"/>
    <mergeCell ref="M463:BD463"/>
    <mergeCell ref="M464:BD464"/>
    <mergeCell ref="M465:BD465"/>
    <mergeCell ref="M466:BD466"/>
    <mergeCell ref="M467:BD467"/>
    <mergeCell ref="M468:BD468"/>
    <mergeCell ref="M469:BD469"/>
    <mergeCell ref="M470:BD470"/>
    <mergeCell ref="M471:BD471"/>
    <mergeCell ref="M472:BD472"/>
    <mergeCell ref="M473:BD473"/>
    <mergeCell ref="M474:BD474"/>
    <mergeCell ref="M475:BD475"/>
    <mergeCell ref="M476:BD476"/>
    <mergeCell ref="M477:BD477"/>
    <mergeCell ref="M478:BD478"/>
    <mergeCell ref="M479:BD479"/>
    <mergeCell ref="M480:BD480"/>
    <mergeCell ref="M481:BD481"/>
    <mergeCell ref="M482:BD482"/>
    <mergeCell ref="M483:BD483"/>
    <mergeCell ref="M484:BD484"/>
    <mergeCell ref="M485:BD485"/>
    <mergeCell ref="M486:BD486"/>
    <mergeCell ref="M487:BD487"/>
    <mergeCell ref="M488:BD488"/>
    <mergeCell ref="M489:BD489"/>
    <mergeCell ref="M490:BD490"/>
    <mergeCell ref="M491:BD491"/>
    <mergeCell ref="M492:BD492"/>
    <mergeCell ref="M493:BD493"/>
    <mergeCell ref="M494:BD494"/>
    <mergeCell ref="M495:BD495"/>
    <mergeCell ref="M496:BD496"/>
    <mergeCell ref="M497:BD497"/>
    <mergeCell ref="M498:BD498"/>
    <mergeCell ref="M499:BD499"/>
    <mergeCell ref="M500:BD500"/>
    <mergeCell ref="M501:BD501"/>
    <mergeCell ref="M502:BD502"/>
    <mergeCell ref="M503:BD503"/>
    <mergeCell ref="M504:BD504"/>
    <mergeCell ref="M505:BD505"/>
    <mergeCell ref="M506:BD506"/>
    <mergeCell ref="M507:BD507"/>
    <mergeCell ref="M508:BD508"/>
    <mergeCell ref="M509:BD509"/>
    <mergeCell ref="M510:BD510"/>
    <mergeCell ref="M511:BD511"/>
    <mergeCell ref="M512:BD512"/>
    <mergeCell ref="M513:BD513"/>
    <mergeCell ref="M514:BD514"/>
    <mergeCell ref="M515:BD515"/>
    <mergeCell ref="M516:BD516"/>
    <mergeCell ref="M517:BD517"/>
    <mergeCell ref="M518:BD518"/>
    <mergeCell ref="M519:BD519"/>
    <mergeCell ref="M520:BD520"/>
    <mergeCell ref="M521:BD521"/>
    <mergeCell ref="M522:BD522"/>
    <mergeCell ref="M523:BD523"/>
    <mergeCell ref="M524:BD524"/>
    <mergeCell ref="M525:BD525"/>
    <mergeCell ref="M526:BD526"/>
    <mergeCell ref="M527:BD527"/>
    <mergeCell ref="M528:BD528"/>
    <mergeCell ref="M529:BD529"/>
    <mergeCell ref="M530:BD530"/>
    <mergeCell ref="M531:BD531"/>
    <mergeCell ref="M532:BD532"/>
    <mergeCell ref="M533:BD533"/>
    <mergeCell ref="M534:BD534"/>
    <mergeCell ref="M535:BD535"/>
    <mergeCell ref="M536:BD536"/>
    <mergeCell ref="M537:BD537"/>
    <mergeCell ref="M538:BD538"/>
    <mergeCell ref="M539:BD539"/>
    <mergeCell ref="M540:BD540"/>
    <mergeCell ref="M541:BD541"/>
    <mergeCell ref="M542:BD542"/>
    <mergeCell ref="M543:BD543"/>
    <mergeCell ref="M544:BD544"/>
    <mergeCell ref="M545:BD545"/>
    <mergeCell ref="M546:BD546"/>
    <mergeCell ref="M547:BD547"/>
    <mergeCell ref="M548:BD548"/>
    <mergeCell ref="M549:BD549"/>
    <mergeCell ref="M550:BD550"/>
    <mergeCell ref="M551:BD551"/>
    <mergeCell ref="M552:BD552"/>
    <mergeCell ref="M553:BD553"/>
    <mergeCell ref="M554:BD554"/>
    <mergeCell ref="M555:BD555"/>
    <mergeCell ref="M556:BD556"/>
    <mergeCell ref="M557:BD557"/>
    <mergeCell ref="M558:BD558"/>
    <mergeCell ref="M559:BD559"/>
    <mergeCell ref="M560:BD560"/>
    <mergeCell ref="M561:BD561"/>
    <mergeCell ref="M562:BD562"/>
    <mergeCell ref="M563:BD563"/>
    <mergeCell ref="M564:BD564"/>
    <mergeCell ref="M565:BD565"/>
    <mergeCell ref="M566:BD566"/>
    <mergeCell ref="M567:BD567"/>
    <mergeCell ref="M568:BD568"/>
    <mergeCell ref="M569:BD569"/>
    <mergeCell ref="M570:BD570"/>
    <mergeCell ref="M571:BD571"/>
    <mergeCell ref="M572:BD572"/>
    <mergeCell ref="M573:BD573"/>
    <mergeCell ref="M574:BD574"/>
    <mergeCell ref="M575:BD575"/>
    <mergeCell ref="M576:BD576"/>
    <mergeCell ref="M577:BD577"/>
    <mergeCell ref="M578:BD578"/>
    <mergeCell ref="M579:BD579"/>
    <mergeCell ref="M580:BD580"/>
    <mergeCell ref="M581:BD581"/>
    <mergeCell ref="M582:BD582"/>
    <mergeCell ref="M583:BD583"/>
    <mergeCell ref="M584:BD584"/>
    <mergeCell ref="M585:BD585"/>
    <mergeCell ref="M586:BD586"/>
    <mergeCell ref="M587:BD587"/>
    <mergeCell ref="M588:BD588"/>
    <mergeCell ref="M589:BD589"/>
    <mergeCell ref="M590:BD590"/>
    <mergeCell ref="M591:BD591"/>
    <mergeCell ref="M592:BD592"/>
    <mergeCell ref="M593:BD593"/>
    <mergeCell ref="M594:BD594"/>
    <mergeCell ref="M595:BD595"/>
    <mergeCell ref="M596:BD596"/>
    <mergeCell ref="M597:BD597"/>
    <mergeCell ref="M598:BD598"/>
    <mergeCell ref="M599:BD599"/>
    <mergeCell ref="M600:BD600"/>
    <mergeCell ref="M601:BD601"/>
    <mergeCell ref="M602:BD602"/>
    <mergeCell ref="M603:BD603"/>
    <mergeCell ref="M604:BD604"/>
    <mergeCell ref="M608:BD608"/>
    <mergeCell ref="M605:BD605"/>
    <mergeCell ref="A623:B623"/>
    <mergeCell ref="M623:BD623"/>
    <mergeCell ref="M609:BD609"/>
    <mergeCell ref="M610:BD610"/>
    <mergeCell ref="M611:BD611"/>
    <mergeCell ref="M612:BD612"/>
    <mergeCell ref="M613:BD613"/>
    <mergeCell ref="M614:BD614"/>
    <mergeCell ref="M615:BD615"/>
    <mergeCell ref="M616:BD616"/>
    <mergeCell ref="M617:BD617"/>
    <mergeCell ref="A624:B624"/>
    <mergeCell ref="M624:BD624"/>
    <mergeCell ref="M633:BD633"/>
    <mergeCell ref="AS2:AY3"/>
    <mergeCell ref="AZ2:BE3"/>
    <mergeCell ref="BF2:BK3"/>
    <mergeCell ref="A1:J3"/>
    <mergeCell ref="A625:B625"/>
    <mergeCell ref="M625:BD625"/>
    <mergeCell ref="A626:B626"/>
    <mergeCell ref="M626:BD626"/>
    <mergeCell ref="M627:BD627"/>
    <mergeCell ref="M628:BD628"/>
    <mergeCell ref="A629:B629"/>
    <mergeCell ref="M629:BD629"/>
    <mergeCell ref="A630:B630"/>
    <mergeCell ref="M630:BD630"/>
    <mergeCell ref="M618:BD618"/>
    <mergeCell ref="M619:BD619"/>
    <mergeCell ref="M620:BD620"/>
    <mergeCell ref="A621:B621"/>
    <mergeCell ref="M621:BD621"/>
    <mergeCell ref="A622:B622"/>
    <mergeCell ref="M622:BD622"/>
  </mergeCells>
  <phoneticPr fontId="65"/>
  <pageMargins left="0.511811023622047" right="0.74803149606299202" top="0.70866141732283505" bottom="0.43307086614173201" header="0.511811023622047" footer="0.196850393700787"/>
  <pageSetup paperSize="9" fitToHeight="0" orientation="landscape" r:id="rId1"/>
  <headerFooter alignWithMargins="0">
    <oddFooter>&amp;L&amp;"Meiryo UI"&amp;10MSBDP0090&amp;C&amp;"Meiryo UI,標準"&amp;10&amp;P&amp;R&amp;"Meiryo UI,標準"&amp;10(C)Toyo Business Engineering Corp.[Confidential]</oddFooter>
  </headerFooter>
  <rowBreaks count="4" manualBreakCount="4">
    <brk id="35" max="16383" man="1"/>
    <brk id="39" max="64" man="1"/>
    <brk id="237" max="16383" man="1"/>
    <brk id="631"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L625"/>
  <sheetViews>
    <sheetView showGridLines="0" showZeros="0" view="pageBreakPreview" zoomScaleNormal="85" zoomScaleSheetLayoutView="100" workbookViewId="0">
      <pane ySplit="4" topLeftCell="A435" activePane="bottomLeft" state="frozenSplit"/>
      <selection pane="bottomLeft" activeCell="E21" sqref="E21"/>
    </sheetView>
  </sheetViews>
  <sheetFormatPr defaultColWidth="2.08984375" defaultRowHeight="15.75" customHeight="1"/>
  <cols>
    <col min="1" max="2" width="2.08984375" style="168" customWidth="1"/>
    <col min="3" max="3" width="2.36328125" style="169" customWidth="1"/>
    <col min="4" max="4" width="2.08984375" style="169" customWidth="1"/>
    <col min="5" max="5" width="3" style="169" customWidth="1"/>
    <col min="6" max="9" width="2.08984375" style="168" customWidth="1"/>
    <col min="10" max="10" width="2.08984375" style="169" customWidth="1"/>
    <col min="11" max="16" width="2.08984375" style="168" customWidth="1"/>
    <col min="17" max="17" width="2.08984375" style="170" customWidth="1"/>
    <col min="18" max="62" width="2.08984375" style="168" customWidth="1"/>
    <col min="63" max="63" width="2.26953125" style="168" customWidth="1"/>
    <col min="64" max="16384" width="2.08984375" style="168"/>
  </cols>
  <sheetData>
    <row r="1" spans="1:63" s="163" customFormat="1" ht="15.75" customHeight="1">
      <c r="A1" s="961" t="str">
        <f ca="1">INDIRECT("表紙!$A$39")</f>
        <v>mcframe 7</v>
      </c>
      <c r="B1" s="962"/>
      <c r="C1" s="962"/>
      <c r="D1" s="962"/>
      <c r="E1" s="962"/>
      <c r="F1" s="962"/>
      <c r="G1" s="962"/>
      <c r="H1" s="962"/>
      <c r="I1" s="962"/>
      <c r="J1" s="963"/>
      <c r="K1" s="986" t="s">
        <v>45</v>
      </c>
      <c r="L1" s="987"/>
      <c r="M1" s="987"/>
      <c r="N1" s="987"/>
      <c r="O1" s="987"/>
      <c r="P1" s="987"/>
      <c r="Q1" s="987"/>
      <c r="R1" s="987"/>
      <c r="S1" s="987"/>
      <c r="T1" s="988"/>
      <c r="U1" s="1031" t="s">
        <v>46</v>
      </c>
      <c r="V1" s="1032"/>
      <c r="W1" s="1032"/>
      <c r="X1" s="1032"/>
      <c r="Y1" s="1033"/>
      <c r="Z1" s="1034" t="str">
        <f ca="1">INDIRECT("表紙!$Z$39")</f>
        <v>MS</v>
      </c>
      <c r="AA1" s="987"/>
      <c r="AB1" s="987"/>
      <c r="AC1" s="987"/>
      <c r="AD1" s="988"/>
      <c r="AE1" s="986" t="s">
        <v>48</v>
      </c>
      <c r="AF1" s="987"/>
      <c r="AG1" s="987"/>
      <c r="AH1" s="987"/>
      <c r="AI1" s="988"/>
      <c r="AJ1" s="1035" t="str">
        <f ca="1">INDIRECT("表紙!$AJ$39")</f>
        <v>SCM</v>
      </c>
      <c r="AK1" s="1032"/>
      <c r="AL1" s="1032"/>
      <c r="AM1" s="1032"/>
      <c r="AN1" s="1032"/>
      <c r="AO1" s="1032"/>
      <c r="AP1" s="1032"/>
      <c r="AQ1" s="1032"/>
      <c r="AR1" s="1033"/>
      <c r="AS1" s="1036" t="s">
        <v>5</v>
      </c>
      <c r="AT1" s="1036"/>
      <c r="AU1" s="1036"/>
      <c r="AV1" s="1036"/>
      <c r="AW1" s="1036"/>
      <c r="AX1" s="1036"/>
      <c r="AY1" s="1036"/>
      <c r="AZ1" s="971" t="s">
        <v>37</v>
      </c>
      <c r="BA1" s="972"/>
      <c r="BB1" s="972"/>
      <c r="BC1" s="972"/>
      <c r="BD1" s="972"/>
      <c r="BE1" s="973"/>
      <c r="BF1" s="971" t="s">
        <v>50</v>
      </c>
      <c r="BG1" s="972"/>
      <c r="BH1" s="972"/>
      <c r="BI1" s="972"/>
      <c r="BJ1" s="972"/>
      <c r="BK1" s="974"/>
    </row>
    <row r="2" spans="1:63" s="163" customFormat="1" ht="15.75" customHeight="1">
      <c r="A2" s="964"/>
      <c r="B2" s="965"/>
      <c r="C2" s="965"/>
      <c r="D2" s="965"/>
      <c r="E2" s="965"/>
      <c r="F2" s="965"/>
      <c r="G2" s="965"/>
      <c r="H2" s="965"/>
      <c r="I2" s="965"/>
      <c r="J2" s="966"/>
      <c r="K2" s="975" t="s">
        <v>42</v>
      </c>
      <c r="L2" s="950"/>
      <c r="M2" s="950"/>
      <c r="N2" s="950"/>
      <c r="O2" s="950"/>
      <c r="P2" s="950"/>
      <c r="Q2" s="950"/>
      <c r="R2" s="950"/>
      <c r="S2" s="950"/>
      <c r="T2" s="951"/>
      <c r="U2" s="1037" t="s">
        <v>51</v>
      </c>
      <c r="V2" s="1038"/>
      <c r="W2" s="1038"/>
      <c r="X2" s="1038"/>
      <c r="Y2" s="1039"/>
      <c r="Z2" s="1040" t="str">
        <f ca="1">INDIRECT("表紙!$Z$40")</f>
        <v>MSBD</v>
      </c>
      <c r="AA2" s="1041"/>
      <c r="AB2" s="1041"/>
      <c r="AC2" s="1041"/>
      <c r="AD2" s="1042"/>
      <c r="AE2" s="1043" t="s">
        <v>53</v>
      </c>
      <c r="AF2" s="1041"/>
      <c r="AG2" s="1041"/>
      <c r="AH2" s="1041"/>
      <c r="AI2" s="1042"/>
      <c r="AJ2" s="1044" t="str">
        <f ca="1">INDIRECT("表紙!$AJ$40")</f>
        <v>購買管理</v>
      </c>
      <c r="AK2" s="1045"/>
      <c r="AL2" s="1045"/>
      <c r="AM2" s="1045"/>
      <c r="AN2" s="1045"/>
      <c r="AO2" s="1045"/>
      <c r="AP2" s="1045"/>
      <c r="AQ2" s="1045"/>
      <c r="AR2" s="1046"/>
      <c r="AS2" s="947" t="str">
        <f>文書番号</f>
        <v>M7-US-1104</v>
      </c>
      <c r="AT2" s="947"/>
      <c r="AU2" s="947"/>
      <c r="AV2" s="947"/>
      <c r="AW2" s="947"/>
      <c r="AX2" s="947"/>
      <c r="AY2" s="947"/>
      <c r="AZ2" s="949" t="str">
        <f>Version</f>
        <v>7.0.1</v>
      </c>
      <c r="BA2" s="950"/>
      <c r="BB2" s="950"/>
      <c r="BC2" s="950"/>
      <c r="BD2" s="950"/>
      <c r="BE2" s="951"/>
      <c r="BF2" s="1047" t="str">
        <f>Revision</f>
        <v>r02.05</v>
      </c>
      <c r="BG2" s="950"/>
      <c r="BH2" s="950"/>
      <c r="BI2" s="950"/>
      <c r="BJ2" s="950"/>
      <c r="BK2" s="1048"/>
    </row>
    <row r="3" spans="1:63" s="163" customFormat="1" ht="15.75" customHeight="1">
      <c r="A3" s="967"/>
      <c r="B3" s="968"/>
      <c r="C3" s="968"/>
      <c r="D3" s="968"/>
      <c r="E3" s="968"/>
      <c r="F3" s="968"/>
      <c r="G3" s="968"/>
      <c r="H3" s="968"/>
      <c r="I3" s="968"/>
      <c r="J3" s="969"/>
      <c r="K3" s="933" t="str">
        <f ca="1">RIGHT(CELL("filename",$A$1),LEN(CELL("filename",$A$1))-FIND("]",CELL("filename",$A$1)))</f>
        <v>項目説明</v>
      </c>
      <c r="L3" s="934"/>
      <c r="M3" s="934"/>
      <c r="N3" s="934"/>
      <c r="O3" s="934"/>
      <c r="P3" s="934"/>
      <c r="Q3" s="934"/>
      <c r="R3" s="934"/>
      <c r="S3" s="934"/>
      <c r="T3" s="935"/>
      <c r="U3" s="1023" t="s">
        <v>56</v>
      </c>
      <c r="V3" s="1024"/>
      <c r="W3" s="1024"/>
      <c r="X3" s="1024"/>
      <c r="Y3" s="1025"/>
      <c r="Z3" s="1026" t="str">
        <f ca="1">INDIRECT("表紙!$Z$41")</f>
        <v>MSBDP0090</v>
      </c>
      <c r="AA3" s="1027"/>
      <c r="AB3" s="1027"/>
      <c r="AC3" s="1027"/>
      <c r="AD3" s="1027"/>
      <c r="AE3" s="1028" t="str">
        <f ca="1">INDIRECT("表紙!$AE$41")</f>
        <v>発注一覧登録</v>
      </c>
      <c r="AF3" s="1029"/>
      <c r="AG3" s="1029"/>
      <c r="AH3" s="1029"/>
      <c r="AI3" s="1029"/>
      <c r="AJ3" s="1029"/>
      <c r="AK3" s="1029"/>
      <c r="AL3" s="1029"/>
      <c r="AM3" s="1029"/>
      <c r="AN3" s="1029"/>
      <c r="AO3" s="1029"/>
      <c r="AP3" s="1029"/>
      <c r="AQ3" s="1029"/>
      <c r="AR3" s="1030"/>
      <c r="AS3" s="948"/>
      <c r="AT3" s="948"/>
      <c r="AU3" s="948"/>
      <c r="AV3" s="948"/>
      <c r="AW3" s="948"/>
      <c r="AX3" s="948"/>
      <c r="AY3" s="948"/>
      <c r="AZ3" s="952"/>
      <c r="BA3" s="953"/>
      <c r="BB3" s="953"/>
      <c r="BC3" s="953"/>
      <c r="BD3" s="953"/>
      <c r="BE3" s="954"/>
      <c r="BF3" s="952"/>
      <c r="BG3" s="953"/>
      <c r="BH3" s="953"/>
      <c r="BI3" s="953"/>
      <c r="BJ3" s="953"/>
      <c r="BK3" s="1049"/>
    </row>
    <row r="4" spans="1:63" s="163" customFormat="1" ht="6.75" customHeight="1">
      <c r="B4" s="171"/>
      <c r="C4" s="172"/>
      <c r="D4" s="172"/>
      <c r="E4" s="172"/>
      <c r="F4" s="173"/>
      <c r="G4" s="173"/>
      <c r="H4" s="173"/>
      <c r="I4" s="173"/>
      <c r="J4" s="172"/>
      <c r="K4" s="173"/>
      <c r="L4" s="173"/>
      <c r="M4" s="173"/>
      <c r="N4" s="173"/>
      <c r="O4" s="173"/>
      <c r="P4" s="173"/>
      <c r="Q4" s="198"/>
      <c r="R4" s="173"/>
      <c r="S4" s="173"/>
      <c r="T4" s="173"/>
      <c r="U4" s="173"/>
      <c r="V4" s="173"/>
      <c r="W4" s="173"/>
      <c r="X4" s="173"/>
      <c r="Y4" s="173"/>
      <c r="Z4" s="173"/>
      <c r="AA4" s="173"/>
      <c r="AB4" s="173"/>
      <c r="AC4" s="173"/>
      <c r="AD4" s="173"/>
      <c r="AE4" s="173"/>
      <c r="AF4" s="173"/>
      <c r="AG4" s="173"/>
      <c r="AH4" s="173"/>
      <c r="AI4" s="173"/>
      <c r="AJ4" s="173"/>
      <c r="AK4" s="173"/>
      <c r="AL4" s="173"/>
      <c r="AM4" s="173"/>
      <c r="AN4" s="173"/>
      <c r="AO4" s="173"/>
      <c r="AP4" s="173"/>
      <c r="AQ4" s="173"/>
      <c r="AR4" s="173"/>
      <c r="AS4" s="173"/>
      <c r="AT4" s="173"/>
      <c r="AU4" s="173"/>
      <c r="AV4" s="173"/>
      <c r="AW4" s="173"/>
      <c r="AX4" s="173"/>
      <c r="AY4" s="173"/>
      <c r="AZ4" s="173"/>
      <c r="BA4" s="173"/>
      <c r="BB4" s="173"/>
      <c r="BC4" s="173"/>
      <c r="BD4" s="173"/>
    </row>
    <row r="5" spans="1:63" s="164" customFormat="1" ht="15.75" customHeight="1">
      <c r="A5" s="174"/>
      <c r="B5" s="175" t="s">
        <v>402</v>
      </c>
      <c r="C5" s="176"/>
      <c r="D5" s="176"/>
      <c r="E5" s="176"/>
      <c r="F5" s="176"/>
      <c r="G5" s="176"/>
      <c r="H5" s="176"/>
      <c r="I5" s="176"/>
      <c r="J5" s="176"/>
      <c r="K5" s="176"/>
      <c r="L5" s="190"/>
      <c r="M5" s="176"/>
      <c r="N5" s="191" t="s">
        <v>403</v>
      </c>
      <c r="O5" s="176"/>
      <c r="P5" s="176"/>
      <c r="Q5" s="176"/>
      <c r="R5" s="176"/>
      <c r="S5" s="176"/>
      <c r="T5" s="176"/>
      <c r="U5" s="176"/>
      <c r="V5" s="176"/>
      <c r="W5" s="176"/>
      <c r="X5" s="176"/>
      <c r="Y5" s="176"/>
      <c r="Z5" s="176"/>
      <c r="AA5" s="176"/>
      <c r="AB5" s="176"/>
      <c r="AC5" s="176"/>
      <c r="AD5" s="176"/>
      <c r="AE5" s="176"/>
      <c r="AF5" s="176"/>
      <c r="AG5" s="176"/>
      <c r="AH5" s="176"/>
      <c r="AI5" s="176"/>
      <c r="AJ5" s="176"/>
      <c r="AK5" s="176"/>
      <c r="AL5" s="176"/>
      <c r="AM5" s="176"/>
      <c r="AN5" s="176"/>
      <c r="AO5" s="176"/>
      <c r="AP5" s="176"/>
      <c r="AQ5" s="176"/>
      <c r="AR5" s="176"/>
      <c r="AS5" s="176"/>
      <c r="AT5" s="176"/>
      <c r="AU5" s="176"/>
      <c r="AV5" s="176"/>
      <c r="AW5" s="176"/>
      <c r="AX5" s="176"/>
      <c r="AY5" s="176"/>
      <c r="AZ5" s="176"/>
      <c r="BA5" s="176"/>
      <c r="BB5" s="176"/>
      <c r="BC5" s="176"/>
      <c r="BD5" s="176"/>
      <c r="BE5" s="199" t="s">
        <v>404</v>
      </c>
      <c r="BF5" s="199" t="s">
        <v>405</v>
      </c>
      <c r="BG5" s="199" t="s">
        <v>406</v>
      </c>
      <c r="BH5" s="199" t="s">
        <v>407</v>
      </c>
      <c r="BI5" s="199" t="s">
        <v>408</v>
      </c>
      <c r="BJ5" s="199" t="s">
        <v>409</v>
      </c>
      <c r="BK5" s="200" t="s">
        <v>410</v>
      </c>
    </row>
    <row r="6" spans="1:63" s="164" customFormat="1" ht="15.75" customHeight="1">
      <c r="A6" s="177" t="s">
        <v>411</v>
      </c>
      <c r="B6" s="178" t="s">
        <v>159</v>
      </c>
      <c r="C6" s="179"/>
      <c r="D6" s="179"/>
      <c r="E6" s="179"/>
      <c r="F6" s="179"/>
      <c r="G6" s="179"/>
      <c r="H6" s="179"/>
      <c r="I6" s="179"/>
      <c r="J6" s="179"/>
      <c r="K6" s="179"/>
      <c r="L6" s="192"/>
      <c r="M6" s="999"/>
      <c r="N6" s="1000"/>
      <c r="O6" s="1000"/>
      <c r="P6" s="1000"/>
      <c r="Q6" s="1000"/>
      <c r="R6" s="1000"/>
      <c r="S6" s="1000"/>
      <c r="T6" s="1000"/>
      <c r="U6" s="1000"/>
      <c r="V6" s="1000"/>
      <c r="W6" s="1000"/>
      <c r="X6" s="1000"/>
      <c r="Y6" s="1000"/>
      <c r="Z6" s="1000"/>
      <c r="AA6" s="1000"/>
      <c r="AB6" s="1000"/>
      <c r="AC6" s="1000"/>
      <c r="AD6" s="1000"/>
      <c r="AE6" s="1000"/>
      <c r="AF6" s="1000"/>
      <c r="AG6" s="1000"/>
      <c r="AH6" s="1000"/>
      <c r="AI6" s="1000"/>
      <c r="AJ6" s="1000"/>
      <c r="AK6" s="1000"/>
      <c r="AL6" s="1000"/>
      <c r="AM6" s="1000"/>
      <c r="AN6" s="1000"/>
      <c r="AO6" s="1000"/>
      <c r="AP6" s="1000"/>
      <c r="AQ6" s="1000"/>
      <c r="AR6" s="1000"/>
      <c r="AS6" s="1000"/>
      <c r="AT6" s="1000"/>
      <c r="AU6" s="1000"/>
      <c r="AV6" s="1000"/>
      <c r="AW6" s="1000"/>
      <c r="AX6" s="1000"/>
      <c r="AY6" s="1000"/>
      <c r="AZ6" s="1000"/>
      <c r="BA6" s="1000"/>
      <c r="BB6" s="1000"/>
      <c r="BC6" s="1000"/>
      <c r="BD6" s="1000"/>
      <c r="BE6" s="201"/>
      <c r="BF6" s="202" t="s">
        <v>412</v>
      </c>
      <c r="BG6" s="201"/>
      <c r="BH6" s="201"/>
      <c r="BI6" s="201"/>
      <c r="BJ6" s="201"/>
      <c r="BK6" s="203"/>
    </row>
    <row r="7" spans="1:63" s="164" customFormat="1" ht="15.75" customHeight="1">
      <c r="A7" s="177" t="s">
        <v>411</v>
      </c>
      <c r="B7" s="178" t="s">
        <v>203</v>
      </c>
      <c r="C7" s="179"/>
      <c r="D7" s="179"/>
      <c r="E7" s="179"/>
      <c r="F7" s="179"/>
      <c r="G7" s="179"/>
      <c r="H7" s="179"/>
      <c r="I7" s="179"/>
      <c r="J7" s="179"/>
      <c r="K7" s="179"/>
      <c r="L7" s="192"/>
      <c r="M7" s="999"/>
      <c r="N7" s="1000"/>
      <c r="O7" s="1000"/>
      <c r="P7" s="1000"/>
      <c r="Q7" s="1000"/>
      <c r="R7" s="1000"/>
      <c r="S7" s="1000"/>
      <c r="T7" s="1000"/>
      <c r="U7" s="1000"/>
      <c r="V7" s="1000"/>
      <c r="W7" s="1000"/>
      <c r="X7" s="1000"/>
      <c r="Y7" s="1000"/>
      <c r="Z7" s="1000"/>
      <c r="AA7" s="1000"/>
      <c r="AB7" s="1000"/>
      <c r="AC7" s="1000"/>
      <c r="AD7" s="1000"/>
      <c r="AE7" s="1000"/>
      <c r="AF7" s="1000"/>
      <c r="AG7" s="1000"/>
      <c r="AH7" s="1000"/>
      <c r="AI7" s="1000"/>
      <c r="AJ7" s="1000"/>
      <c r="AK7" s="1000"/>
      <c r="AL7" s="1000"/>
      <c r="AM7" s="1000"/>
      <c r="AN7" s="1000"/>
      <c r="AO7" s="1000"/>
      <c r="AP7" s="1000"/>
      <c r="AQ7" s="1000"/>
      <c r="AR7" s="1000"/>
      <c r="AS7" s="1000"/>
      <c r="AT7" s="1000"/>
      <c r="AU7" s="1000"/>
      <c r="AV7" s="1000"/>
      <c r="AW7" s="1000"/>
      <c r="AX7" s="1000"/>
      <c r="AY7" s="1000"/>
      <c r="AZ7" s="1000"/>
      <c r="BA7" s="1000"/>
      <c r="BB7" s="1000"/>
      <c r="BC7" s="1000"/>
      <c r="BD7" s="1000"/>
      <c r="BE7" s="201"/>
      <c r="BF7" s="202" t="s">
        <v>412</v>
      </c>
      <c r="BG7" s="201"/>
      <c r="BH7" s="201"/>
      <c r="BI7" s="201"/>
      <c r="BJ7" s="201"/>
      <c r="BK7" s="203"/>
    </row>
    <row r="8" spans="1:63" s="164" customFormat="1" ht="15.75" customHeight="1">
      <c r="A8" s="177" t="s">
        <v>411</v>
      </c>
      <c r="B8" s="178" t="s">
        <v>167</v>
      </c>
      <c r="C8" s="179"/>
      <c r="D8" s="179"/>
      <c r="E8" s="179"/>
      <c r="F8" s="179"/>
      <c r="G8" s="179"/>
      <c r="H8" s="179"/>
      <c r="I8" s="179"/>
      <c r="J8" s="179"/>
      <c r="K8" s="179"/>
      <c r="L8" s="192"/>
      <c r="M8" s="999"/>
      <c r="N8" s="1000"/>
      <c r="O8" s="1000"/>
      <c r="P8" s="1000"/>
      <c r="Q8" s="1000"/>
      <c r="R8" s="1000"/>
      <c r="S8" s="1000"/>
      <c r="T8" s="1000"/>
      <c r="U8" s="1000"/>
      <c r="V8" s="1000"/>
      <c r="W8" s="1000"/>
      <c r="X8" s="1000"/>
      <c r="Y8" s="1000"/>
      <c r="Z8" s="1000"/>
      <c r="AA8" s="1000"/>
      <c r="AB8" s="1000"/>
      <c r="AC8" s="1000"/>
      <c r="AD8" s="1000"/>
      <c r="AE8" s="1000"/>
      <c r="AF8" s="1000"/>
      <c r="AG8" s="1000"/>
      <c r="AH8" s="1000"/>
      <c r="AI8" s="1000"/>
      <c r="AJ8" s="1000"/>
      <c r="AK8" s="1000"/>
      <c r="AL8" s="1000"/>
      <c r="AM8" s="1000"/>
      <c r="AN8" s="1000"/>
      <c r="AO8" s="1000"/>
      <c r="AP8" s="1000"/>
      <c r="AQ8" s="1000"/>
      <c r="AR8" s="1000"/>
      <c r="AS8" s="1000"/>
      <c r="AT8" s="1000"/>
      <c r="AU8" s="1000"/>
      <c r="AV8" s="1000"/>
      <c r="AW8" s="1000"/>
      <c r="AX8" s="1000"/>
      <c r="AY8" s="1000"/>
      <c r="AZ8" s="1000"/>
      <c r="BA8" s="1000"/>
      <c r="BB8" s="1000"/>
      <c r="BC8" s="1000"/>
      <c r="BD8" s="1000"/>
      <c r="BE8" s="201"/>
      <c r="BF8" s="202" t="s">
        <v>412</v>
      </c>
      <c r="BG8" s="201"/>
      <c r="BH8" s="201"/>
      <c r="BI8" s="201"/>
      <c r="BJ8" s="201"/>
      <c r="BK8" s="203"/>
    </row>
    <row r="9" spans="1:63" s="164" customFormat="1" ht="15.75" customHeight="1">
      <c r="A9" s="177" t="s">
        <v>411</v>
      </c>
      <c r="B9" s="178" t="s">
        <v>175</v>
      </c>
      <c r="C9" s="179"/>
      <c r="D9" s="179"/>
      <c r="E9" s="179"/>
      <c r="F9" s="179"/>
      <c r="G9" s="179"/>
      <c r="H9" s="179"/>
      <c r="I9" s="179"/>
      <c r="J9" s="179"/>
      <c r="K9" s="179"/>
      <c r="L9" s="192"/>
      <c r="M9" s="999"/>
      <c r="N9" s="1000"/>
      <c r="O9" s="1000"/>
      <c r="P9" s="1000"/>
      <c r="Q9" s="1000"/>
      <c r="R9" s="1000"/>
      <c r="S9" s="1000"/>
      <c r="T9" s="1000"/>
      <c r="U9" s="1000"/>
      <c r="V9" s="1000"/>
      <c r="W9" s="1000"/>
      <c r="X9" s="1000"/>
      <c r="Y9" s="1000"/>
      <c r="Z9" s="1000"/>
      <c r="AA9" s="1000"/>
      <c r="AB9" s="1000"/>
      <c r="AC9" s="1000"/>
      <c r="AD9" s="1000"/>
      <c r="AE9" s="1000"/>
      <c r="AF9" s="1000"/>
      <c r="AG9" s="1000"/>
      <c r="AH9" s="1000"/>
      <c r="AI9" s="1000"/>
      <c r="AJ9" s="1000"/>
      <c r="AK9" s="1000"/>
      <c r="AL9" s="1000"/>
      <c r="AM9" s="1000"/>
      <c r="AN9" s="1000"/>
      <c r="AO9" s="1000"/>
      <c r="AP9" s="1000"/>
      <c r="AQ9" s="1000"/>
      <c r="AR9" s="1000"/>
      <c r="AS9" s="1000"/>
      <c r="AT9" s="1000"/>
      <c r="AU9" s="1000"/>
      <c r="AV9" s="1000"/>
      <c r="AW9" s="1000"/>
      <c r="AX9" s="1000"/>
      <c r="AY9" s="1000"/>
      <c r="AZ9" s="1000"/>
      <c r="BA9" s="1000"/>
      <c r="BB9" s="1000"/>
      <c r="BC9" s="1000"/>
      <c r="BD9" s="1000"/>
      <c r="BE9" s="201"/>
      <c r="BF9" s="202" t="s">
        <v>412</v>
      </c>
      <c r="BG9" s="201"/>
      <c r="BH9" s="201"/>
      <c r="BI9" s="201"/>
      <c r="BJ9" s="201"/>
      <c r="BK9" s="203"/>
    </row>
    <row r="10" spans="1:63" s="164" customFormat="1" ht="15.75" customHeight="1">
      <c r="A10" s="177" t="s">
        <v>411</v>
      </c>
      <c r="B10" s="178" t="s">
        <v>201</v>
      </c>
      <c r="C10" s="179"/>
      <c r="D10" s="179"/>
      <c r="E10" s="179"/>
      <c r="F10" s="179"/>
      <c r="G10" s="179"/>
      <c r="H10" s="179"/>
      <c r="I10" s="179"/>
      <c r="J10" s="179"/>
      <c r="K10" s="179"/>
      <c r="L10" s="192"/>
      <c r="M10" s="999"/>
      <c r="N10" s="1000"/>
      <c r="O10" s="1000"/>
      <c r="P10" s="1000"/>
      <c r="Q10" s="1000"/>
      <c r="R10" s="1000"/>
      <c r="S10" s="1000"/>
      <c r="T10" s="1000"/>
      <c r="U10" s="1000"/>
      <c r="V10" s="1000"/>
      <c r="W10" s="1000"/>
      <c r="X10" s="1000"/>
      <c r="Y10" s="1000"/>
      <c r="Z10" s="1000"/>
      <c r="AA10" s="1000"/>
      <c r="AB10" s="1000"/>
      <c r="AC10" s="1000"/>
      <c r="AD10" s="1000"/>
      <c r="AE10" s="1000"/>
      <c r="AF10" s="1000"/>
      <c r="AG10" s="1000"/>
      <c r="AH10" s="1000"/>
      <c r="AI10" s="1000"/>
      <c r="AJ10" s="1000"/>
      <c r="AK10" s="1000"/>
      <c r="AL10" s="1000"/>
      <c r="AM10" s="1000"/>
      <c r="AN10" s="1000"/>
      <c r="AO10" s="1000"/>
      <c r="AP10" s="1000"/>
      <c r="AQ10" s="1000"/>
      <c r="AR10" s="1000"/>
      <c r="AS10" s="1000"/>
      <c r="AT10" s="1000"/>
      <c r="AU10" s="1000"/>
      <c r="AV10" s="1000"/>
      <c r="AW10" s="1000"/>
      <c r="AX10" s="1000"/>
      <c r="AY10" s="1000"/>
      <c r="AZ10" s="1000"/>
      <c r="BA10" s="1000"/>
      <c r="BB10" s="1000"/>
      <c r="BC10" s="1000"/>
      <c r="BD10" s="1000"/>
      <c r="BE10" s="201"/>
      <c r="BF10" s="202" t="s">
        <v>412</v>
      </c>
      <c r="BG10" s="201"/>
      <c r="BH10" s="201"/>
      <c r="BI10" s="201"/>
      <c r="BJ10" s="201"/>
      <c r="BK10" s="203"/>
    </row>
    <row r="11" spans="1:63" s="164" customFormat="1" ht="15.75" customHeight="1">
      <c r="A11" s="180"/>
      <c r="B11" s="181"/>
      <c r="C11" s="179"/>
      <c r="D11" s="179"/>
      <c r="E11" s="179"/>
      <c r="F11" s="179"/>
      <c r="G11" s="179"/>
      <c r="H11" s="179"/>
      <c r="I11" s="179"/>
      <c r="J11" s="179"/>
      <c r="K11" s="179"/>
      <c r="L11" s="192"/>
      <c r="M11" s="179"/>
      <c r="N11" s="179"/>
      <c r="O11" s="179"/>
      <c r="P11" s="179"/>
      <c r="Q11" s="179"/>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79"/>
      <c r="AO11" s="179"/>
      <c r="AP11" s="179"/>
      <c r="AQ11" s="179"/>
      <c r="AR11" s="179"/>
      <c r="AS11" s="179"/>
      <c r="AT11" s="179"/>
      <c r="AU11" s="179"/>
      <c r="AV11" s="179"/>
      <c r="AW11" s="179"/>
      <c r="AX11" s="179"/>
      <c r="AY11" s="179"/>
      <c r="AZ11" s="179"/>
      <c r="BA11" s="179"/>
      <c r="BB11" s="179"/>
      <c r="BC11" s="179"/>
      <c r="BD11" s="179"/>
      <c r="BE11" s="201"/>
      <c r="BF11" s="201"/>
      <c r="BG11" s="201"/>
      <c r="BH11" s="201"/>
      <c r="BI11" s="201"/>
      <c r="BJ11" s="201"/>
      <c r="BK11" s="203"/>
    </row>
    <row r="12" spans="1:63" s="164" customFormat="1" ht="15.75" customHeight="1">
      <c r="A12" s="174"/>
      <c r="B12" s="175" t="s">
        <v>413</v>
      </c>
      <c r="C12" s="176"/>
      <c r="D12" s="176"/>
      <c r="E12" s="176"/>
      <c r="F12" s="176"/>
      <c r="G12" s="176"/>
      <c r="H12" s="176"/>
      <c r="I12" s="176"/>
      <c r="J12" s="176"/>
      <c r="K12" s="176"/>
      <c r="L12" s="190"/>
      <c r="M12" s="176"/>
      <c r="N12" s="191" t="s">
        <v>403</v>
      </c>
      <c r="O12" s="176"/>
      <c r="P12" s="176"/>
      <c r="Q12" s="176"/>
      <c r="R12" s="176"/>
      <c r="S12" s="176"/>
      <c r="T12" s="176"/>
      <c r="U12" s="176"/>
      <c r="V12" s="176"/>
      <c r="W12" s="176"/>
      <c r="X12" s="176"/>
      <c r="Y12" s="176"/>
      <c r="Z12" s="176"/>
      <c r="AA12" s="176"/>
      <c r="AB12" s="176"/>
      <c r="AC12" s="176"/>
      <c r="AD12" s="176"/>
      <c r="AE12" s="176"/>
      <c r="AF12" s="176"/>
      <c r="AG12" s="176"/>
      <c r="AH12" s="176"/>
      <c r="AI12" s="176"/>
      <c r="AJ12" s="176"/>
      <c r="AK12" s="176"/>
      <c r="AL12" s="176"/>
      <c r="AM12" s="176"/>
      <c r="AN12" s="176"/>
      <c r="AO12" s="176"/>
      <c r="AP12" s="176"/>
      <c r="AQ12" s="176"/>
      <c r="AR12" s="176"/>
      <c r="AS12" s="176"/>
      <c r="AT12" s="176"/>
      <c r="AU12" s="176"/>
      <c r="AV12" s="176"/>
      <c r="AW12" s="176"/>
      <c r="AX12" s="176"/>
      <c r="AY12" s="176"/>
      <c r="AZ12" s="176"/>
      <c r="BA12" s="176"/>
      <c r="BB12" s="176"/>
      <c r="BC12" s="176"/>
      <c r="BD12" s="176"/>
      <c r="BE12" s="199" t="s">
        <v>404</v>
      </c>
      <c r="BF12" s="199" t="s">
        <v>405</v>
      </c>
      <c r="BG12" s="199" t="s">
        <v>406</v>
      </c>
      <c r="BH12" s="199" t="s">
        <v>407</v>
      </c>
      <c r="BI12" s="199" t="s">
        <v>408</v>
      </c>
      <c r="BJ12" s="199" t="s">
        <v>409</v>
      </c>
      <c r="BK12" s="200" t="s">
        <v>410</v>
      </c>
    </row>
    <row r="13" spans="1:63" s="164" customFormat="1" ht="15.75" customHeight="1">
      <c r="A13" s="177" t="s">
        <v>411</v>
      </c>
      <c r="B13" s="178" t="s">
        <v>414</v>
      </c>
      <c r="C13" s="179"/>
      <c r="D13" s="179"/>
      <c r="E13" s="179"/>
      <c r="F13" s="179"/>
      <c r="G13" s="179"/>
      <c r="H13" s="179"/>
      <c r="I13" s="179"/>
      <c r="J13" s="179"/>
      <c r="K13" s="179"/>
      <c r="L13" s="192"/>
      <c r="M13" s="999"/>
      <c r="N13" s="1000"/>
      <c r="O13" s="1000"/>
      <c r="P13" s="1000"/>
      <c r="Q13" s="1000"/>
      <c r="R13" s="1000"/>
      <c r="S13" s="1000"/>
      <c r="T13" s="1000"/>
      <c r="U13" s="1000"/>
      <c r="V13" s="1000"/>
      <c r="W13" s="1000"/>
      <c r="X13" s="1000"/>
      <c r="Y13" s="1000"/>
      <c r="Z13" s="1000"/>
      <c r="AA13" s="1000"/>
      <c r="AB13" s="1000"/>
      <c r="AC13" s="1000"/>
      <c r="AD13" s="1000"/>
      <c r="AE13" s="1000"/>
      <c r="AF13" s="1000"/>
      <c r="AG13" s="1000"/>
      <c r="AH13" s="1000"/>
      <c r="AI13" s="1000"/>
      <c r="AJ13" s="1000"/>
      <c r="AK13" s="1000"/>
      <c r="AL13" s="1000"/>
      <c r="AM13" s="1000"/>
      <c r="AN13" s="1000"/>
      <c r="AO13" s="1000"/>
      <c r="AP13" s="1000"/>
      <c r="AQ13" s="1000"/>
      <c r="AR13" s="1000"/>
      <c r="AS13" s="1000"/>
      <c r="AT13" s="1000"/>
      <c r="AU13" s="1000"/>
      <c r="AV13" s="1000"/>
      <c r="AW13" s="1000"/>
      <c r="AX13" s="1000"/>
      <c r="AY13" s="1000"/>
      <c r="AZ13" s="1000"/>
      <c r="BA13" s="1000"/>
      <c r="BB13" s="1000"/>
      <c r="BC13" s="1000"/>
      <c r="BD13" s="1000"/>
      <c r="BE13" s="201"/>
      <c r="BF13" s="202" t="s">
        <v>412</v>
      </c>
      <c r="BG13" s="201"/>
      <c r="BH13" s="201"/>
      <c r="BI13" s="201"/>
      <c r="BJ13" s="201"/>
      <c r="BK13" s="203"/>
    </row>
    <row r="14" spans="1:63" s="164" customFormat="1" ht="15.75" customHeight="1">
      <c r="A14" s="177" t="s">
        <v>411</v>
      </c>
      <c r="B14" s="178" t="s">
        <v>415</v>
      </c>
      <c r="C14" s="179"/>
      <c r="D14" s="179"/>
      <c r="E14" s="179"/>
      <c r="F14" s="179"/>
      <c r="G14" s="179"/>
      <c r="H14" s="179"/>
      <c r="I14" s="179"/>
      <c r="J14" s="179"/>
      <c r="K14" s="179"/>
      <c r="L14" s="192"/>
      <c r="M14" s="999"/>
      <c r="N14" s="1000"/>
      <c r="O14" s="1000"/>
      <c r="P14" s="1000"/>
      <c r="Q14" s="1000"/>
      <c r="R14" s="1000"/>
      <c r="S14" s="1000"/>
      <c r="T14" s="1000"/>
      <c r="U14" s="1000"/>
      <c r="V14" s="1000"/>
      <c r="W14" s="1000"/>
      <c r="X14" s="1000"/>
      <c r="Y14" s="1000"/>
      <c r="Z14" s="1000"/>
      <c r="AA14" s="1000"/>
      <c r="AB14" s="1000"/>
      <c r="AC14" s="1000"/>
      <c r="AD14" s="1000"/>
      <c r="AE14" s="1000"/>
      <c r="AF14" s="1000"/>
      <c r="AG14" s="1000"/>
      <c r="AH14" s="1000"/>
      <c r="AI14" s="1000"/>
      <c r="AJ14" s="1000"/>
      <c r="AK14" s="1000"/>
      <c r="AL14" s="1000"/>
      <c r="AM14" s="1000"/>
      <c r="AN14" s="1000"/>
      <c r="AO14" s="1000"/>
      <c r="AP14" s="1000"/>
      <c r="AQ14" s="1000"/>
      <c r="AR14" s="1000"/>
      <c r="AS14" s="1000"/>
      <c r="AT14" s="1000"/>
      <c r="AU14" s="1000"/>
      <c r="AV14" s="1000"/>
      <c r="AW14" s="1000"/>
      <c r="AX14" s="1000"/>
      <c r="AY14" s="1000"/>
      <c r="AZ14" s="1000"/>
      <c r="BA14" s="1000"/>
      <c r="BB14" s="1000"/>
      <c r="BC14" s="1000"/>
      <c r="BD14" s="1000"/>
      <c r="BE14" s="201"/>
      <c r="BF14" s="202" t="s">
        <v>412</v>
      </c>
      <c r="BG14" s="201"/>
      <c r="BH14" s="201"/>
      <c r="BI14" s="201"/>
      <c r="BJ14" s="201"/>
      <c r="BK14" s="203"/>
    </row>
    <row r="15" spans="1:63" s="164" customFormat="1" ht="15.75" customHeight="1">
      <c r="A15" s="180"/>
      <c r="B15" s="181"/>
      <c r="C15" s="179"/>
      <c r="D15" s="179"/>
      <c r="E15" s="179"/>
      <c r="F15" s="179"/>
      <c r="G15" s="179"/>
      <c r="H15" s="179"/>
      <c r="I15" s="179"/>
      <c r="J15" s="179"/>
      <c r="K15" s="179"/>
      <c r="L15" s="192"/>
      <c r="M15" s="179"/>
      <c r="N15" s="179"/>
      <c r="O15" s="179"/>
      <c r="P15" s="179"/>
      <c r="Q15" s="179"/>
      <c r="R15" s="179"/>
      <c r="S15" s="179"/>
      <c r="T15" s="179"/>
      <c r="U15" s="179"/>
      <c r="V15" s="179"/>
      <c r="W15" s="179"/>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201"/>
      <c r="BF15" s="201"/>
      <c r="BG15" s="201"/>
      <c r="BH15" s="201"/>
      <c r="BI15" s="201"/>
      <c r="BJ15" s="201"/>
      <c r="BK15" s="203"/>
    </row>
    <row r="16" spans="1:63" s="164" customFormat="1" ht="15.75" customHeight="1">
      <c r="A16" s="174"/>
      <c r="B16" s="175" t="s">
        <v>134</v>
      </c>
      <c r="C16" s="176"/>
      <c r="D16" s="176"/>
      <c r="E16" s="176"/>
      <c r="F16" s="176"/>
      <c r="G16" s="176"/>
      <c r="H16" s="176"/>
      <c r="I16" s="176"/>
      <c r="J16" s="176"/>
      <c r="K16" s="176"/>
      <c r="L16" s="190"/>
      <c r="M16" s="176"/>
      <c r="N16" s="191" t="s">
        <v>403</v>
      </c>
      <c r="O16" s="176"/>
      <c r="P16" s="176"/>
      <c r="Q16" s="176"/>
      <c r="R16" s="176"/>
      <c r="S16" s="176"/>
      <c r="T16" s="176"/>
      <c r="U16" s="176"/>
      <c r="V16" s="176"/>
      <c r="W16" s="176"/>
      <c r="X16" s="176"/>
      <c r="Y16" s="176"/>
      <c r="Z16" s="176"/>
      <c r="AA16" s="176"/>
      <c r="AB16" s="176"/>
      <c r="AC16" s="176"/>
      <c r="AD16" s="176"/>
      <c r="AE16" s="176"/>
      <c r="AF16" s="176"/>
      <c r="AG16" s="176"/>
      <c r="AH16" s="176"/>
      <c r="AI16" s="176"/>
      <c r="AJ16" s="176"/>
      <c r="AK16" s="176"/>
      <c r="AL16" s="176"/>
      <c r="AM16" s="176"/>
      <c r="AN16" s="176"/>
      <c r="AO16" s="176"/>
      <c r="AP16" s="176"/>
      <c r="AQ16" s="176"/>
      <c r="AR16" s="176"/>
      <c r="AS16" s="176"/>
      <c r="AT16" s="176"/>
      <c r="AU16" s="176"/>
      <c r="AV16" s="176"/>
      <c r="AW16" s="176"/>
      <c r="AX16" s="176"/>
      <c r="AY16" s="176"/>
      <c r="AZ16" s="176"/>
      <c r="BA16" s="176"/>
      <c r="BB16" s="176"/>
      <c r="BC16" s="176"/>
      <c r="BD16" s="176"/>
      <c r="BE16" s="199" t="s">
        <v>404</v>
      </c>
      <c r="BF16" s="199" t="s">
        <v>405</v>
      </c>
      <c r="BG16" s="199" t="s">
        <v>406</v>
      </c>
      <c r="BH16" s="199" t="s">
        <v>407</v>
      </c>
      <c r="BI16" s="199" t="s">
        <v>408</v>
      </c>
      <c r="BJ16" s="199" t="s">
        <v>409</v>
      </c>
      <c r="BK16" s="200" t="s">
        <v>410</v>
      </c>
    </row>
    <row r="17" spans="1:63" s="164" customFormat="1" ht="15.75" customHeight="1">
      <c r="A17" s="177" t="s">
        <v>416</v>
      </c>
      <c r="B17" s="178" t="s">
        <v>417</v>
      </c>
      <c r="C17" s="179"/>
      <c r="D17" s="179"/>
      <c r="E17" s="179"/>
      <c r="F17" s="179"/>
      <c r="G17" s="179"/>
      <c r="H17" s="179"/>
      <c r="I17" s="179"/>
      <c r="J17" s="179"/>
      <c r="K17" s="179"/>
      <c r="L17" s="192"/>
      <c r="M17" s="1016" t="s">
        <v>418</v>
      </c>
      <c r="N17" s="1000"/>
      <c r="O17" s="1000"/>
      <c r="P17" s="1000"/>
      <c r="Q17" s="1000"/>
      <c r="R17" s="1000"/>
      <c r="S17" s="1000"/>
      <c r="T17" s="1000"/>
      <c r="U17" s="1000"/>
      <c r="V17" s="1000"/>
      <c r="W17" s="1000"/>
      <c r="X17" s="1000"/>
      <c r="Y17" s="1000"/>
      <c r="Z17" s="1000"/>
      <c r="AA17" s="1000"/>
      <c r="AB17" s="1000"/>
      <c r="AC17" s="1000"/>
      <c r="AD17" s="1000"/>
      <c r="AE17" s="1000"/>
      <c r="AF17" s="1000"/>
      <c r="AG17" s="1000"/>
      <c r="AH17" s="1000"/>
      <c r="AI17" s="1000"/>
      <c r="AJ17" s="1000"/>
      <c r="AK17" s="1000"/>
      <c r="AL17" s="1000"/>
      <c r="AM17" s="1000"/>
      <c r="AN17" s="1000"/>
      <c r="AO17" s="1000"/>
      <c r="AP17" s="1000"/>
      <c r="AQ17" s="1000"/>
      <c r="AR17" s="1000"/>
      <c r="AS17" s="1000"/>
      <c r="AT17" s="1000"/>
      <c r="AU17" s="1000"/>
      <c r="AV17" s="1000"/>
      <c r="AW17" s="1000"/>
      <c r="AX17" s="1000"/>
      <c r="AY17" s="1000"/>
      <c r="AZ17" s="1000"/>
      <c r="BA17" s="1000"/>
      <c r="BB17" s="1000"/>
      <c r="BC17" s="1000"/>
      <c r="BD17" s="1000"/>
      <c r="BE17" s="201"/>
      <c r="BF17" s="202" t="s">
        <v>419</v>
      </c>
      <c r="BG17" s="201"/>
      <c r="BH17" s="201"/>
      <c r="BI17" s="201"/>
      <c r="BJ17" s="201"/>
      <c r="BK17" s="203"/>
    </row>
    <row r="18" spans="1:63" s="164" customFormat="1" ht="15.75" customHeight="1">
      <c r="A18" s="177" t="s">
        <v>416</v>
      </c>
      <c r="B18" s="178" t="s">
        <v>420</v>
      </c>
      <c r="C18" s="179"/>
      <c r="D18" s="179"/>
      <c r="E18" s="179"/>
      <c r="F18" s="179"/>
      <c r="G18" s="179"/>
      <c r="H18" s="179"/>
      <c r="I18" s="179"/>
      <c r="J18" s="179"/>
      <c r="K18" s="179"/>
      <c r="L18" s="192"/>
      <c r="M18" s="1016" t="s">
        <v>421</v>
      </c>
      <c r="N18" s="1000"/>
      <c r="O18" s="1000"/>
      <c r="P18" s="1000"/>
      <c r="Q18" s="1000"/>
      <c r="R18" s="1000"/>
      <c r="S18" s="1000"/>
      <c r="T18" s="1000"/>
      <c r="U18" s="1000"/>
      <c r="V18" s="1000"/>
      <c r="W18" s="1000"/>
      <c r="X18" s="1000"/>
      <c r="Y18" s="1000"/>
      <c r="Z18" s="1000"/>
      <c r="AA18" s="1000"/>
      <c r="AB18" s="1000"/>
      <c r="AC18" s="1000"/>
      <c r="AD18" s="1000"/>
      <c r="AE18" s="1000"/>
      <c r="AF18" s="1000"/>
      <c r="AG18" s="1000"/>
      <c r="AH18" s="1000"/>
      <c r="AI18" s="1000"/>
      <c r="AJ18" s="1000"/>
      <c r="AK18" s="1000"/>
      <c r="AL18" s="1000"/>
      <c r="AM18" s="1000"/>
      <c r="AN18" s="1000"/>
      <c r="AO18" s="1000"/>
      <c r="AP18" s="1000"/>
      <c r="AQ18" s="1000"/>
      <c r="AR18" s="1000"/>
      <c r="AS18" s="1000"/>
      <c r="AT18" s="1000"/>
      <c r="AU18" s="1000"/>
      <c r="AV18" s="1000"/>
      <c r="AW18" s="1000"/>
      <c r="AX18" s="1000"/>
      <c r="AY18" s="1000"/>
      <c r="AZ18" s="1000"/>
      <c r="BA18" s="1000"/>
      <c r="BB18" s="1000"/>
      <c r="BC18" s="1000"/>
      <c r="BD18" s="1000"/>
      <c r="BE18" s="201"/>
      <c r="BF18" s="202" t="s">
        <v>419</v>
      </c>
      <c r="BG18" s="201"/>
      <c r="BH18" s="201"/>
      <c r="BI18" s="201"/>
      <c r="BJ18" s="201"/>
      <c r="BK18" s="203"/>
    </row>
    <row r="19" spans="1:63" s="164" customFormat="1" ht="15.75" customHeight="1">
      <c r="A19" s="180"/>
      <c r="B19" s="181"/>
      <c r="C19" s="179"/>
      <c r="D19" s="179"/>
      <c r="E19" s="179"/>
      <c r="F19" s="179"/>
      <c r="G19" s="179"/>
      <c r="H19" s="179"/>
      <c r="I19" s="179"/>
      <c r="J19" s="179"/>
      <c r="K19" s="179"/>
      <c r="L19" s="192"/>
      <c r="M19" s="179"/>
      <c r="N19" s="179"/>
      <c r="O19" s="179"/>
      <c r="P19" s="179"/>
      <c r="Q19" s="179"/>
      <c r="R19" s="179"/>
      <c r="S19" s="179"/>
      <c r="T19" s="179"/>
      <c r="U19" s="179"/>
      <c r="V19" s="179"/>
      <c r="W19" s="179"/>
      <c r="X19" s="179"/>
      <c r="Y19" s="179"/>
      <c r="Z19" s="179"/>
      <c r="AA19" s="179"/>
      <c r="AB19" s="179"/>
      <c r="AC19" s="179"/>
      <c r="AD19" s="179"/>
      <c r="AE19" s="179"/>
      <c r="AF19" s="179"/>
      <c r="AG19" s="179"/>
      <c r="AH19" s="179"/>
      <c r="AI19" s="179"/>
      <c r="AJ19" s="179"/>
      <c r="AK19" s="179"/>
      <c r="AL19" s="179"/>
      <c r="AM19" s="179"/>
      <c r="AN19" s="179"/>
      <c r="AO19" s="179"/>
      <c r="AP19" s="179"/>
      <c r="AQ19" s="179"/>
      <c r="AR19" s="179"/>
      <c r="AS19" s="179"/>
      <c r="AT19" s="179"/>
      <c r="AU19" s="179"/>
      <c r="AV19" s="179"/>
      <c r="AW19" s="179"/>
      <c r="AX19" s="179"/>
      <c r="AY19" s="179"/>
      <c r="AZ19" s="179"/>
      <c r="BA19" s="179"/>
      <c r="BB19" s="179"/>
      <c r="BC19" s="179"/>
      <c r="BD19" s="179"/>
      <c r="BE19" s="201"/>
      <c r="BF19" s="201"/>
      <c r="BG19" s="201"/>
      <c r="BH19" s="201"/>
      <c r="BI19" s="201"/>
      <c r="BJ19" s="201"/>
      <c r="BK19" s="203"/>
    </row>
    <row r="20" spans="1:63" s="164" customFormat="1" ht="15.75" customHeight="1">
      <c r="A20" s="174"/>
      <c r="B20" s="175" t="s">
        <v>422</v>
      </c>
      <c r="C20" s="176"/>
      <c r="D20" s="176"/>
      <c r="E20" s="176"/>
      <c r="F20" s="176"/>
      <c r="G20" s="176"/>
      <c r="H20" s="176"/>
      <c r="I20" s="176"/>
      <c r="J20" s="176"/>
      <c r="K20" s="176"/>
      <c r="L20" s="190"/>
      <c r="M20" s="176"/>
      <c r="N20" s="191" t="s">
        <v>403</v>
      </c>
      <c r="O20" s="176"/>
      <c r="P20" s="176"/>
      <c r="Q20" s="176"/>
      <c r="R20" s="176"/>
      <c r="S20" s="176"/>
      <c r="T20" s="176"/>
      <c r="U20" s="176"/>
      <c r="V20" s="176"/>
      <c r="W20" s="176"/>
      <c r="X20" s="176"/>
      <c r="Y20" s="176"/>
      <c r="Z20" s="176"/>
      <c r="AA20" s="176"/>
      <c r="AB20" s="176"/>
      <c r="AC20" s="176"/>
      <c r="AD20" s="176"/>
      <c r="AE20" s="176"/>
      <c r="AF20" s="176"/>
      <c r="AG20" s="176"/>
      <c r="AH20" s="176"/>
      <c r="AI20" s="176"/>
      <c r="AJ20" s="176"/>
      <c r="AK20" s="176"/>
      <c r="AL20" s="176"/>
      <c r="AM20" s="176"/>
      <c r="AN20" s="176"/>
      <c r="AO20" s="176"/>
      <c r="AP20" s="176"/>
      <c r="AQ20" s="176"/>
      <c r="AR20" s="176"/>
      <c r="AS20" s="176"/>
      <c r="AT20" s="176"/>
      <c r="AU20" s="176"/>
      <c r="AV20" s="176"/>
      <c r="AW20" s="176"/>
      <c r="AX20" s="176"/>
      <c r="AY20" s="176"/>
      <c r="AZ20" s="176"/>
      <c r="BA20" s="176"/>
      <c r="BB20" s="176"/>
      <c r="BC20" s="176"/>
      <c r="BD20" s="176"/>
      <c r="BE20" s="199" t="s">
        <v>404</v>
      </c>
      <c r="BF20" s="199" t="s">
        <v>405</v>
      </c>
      <c r="BG20" s="199" t="s">
        <v>406</v>
      </c>
      <c r="BH20" s="199" t="s">
        <v>407</v>
      </c>
      <c r="BI20" s="199" t="s">
        <v>408</v>
      </c>
      <c r="BJ20" s="199" t="s">
        <v>409</v>
      </c>
      <c r="BK20" s="200" t="s">
        <v>410</v>
      </c>
    </row>
    <row r="21" spans="1:63" s="164" customFormat="1" ht="15.75" customHeight="1">
      <c r="A21" s="177" t="s">
        <v>416</v>
      </c>
      <c r="B21" s="178" t="s">
        <v>423</v>
      </c>
      <c r="C21" s="179"/>
      <c r="D21" s="179"/>
      <c r="E21" s="179"/>
      <c r="F21" s="179"/>
      <c r="G21" s="179"/>
      <c r="H21" s="179"/>
      <c r="I21" s="179"/>
      <c r="J21" s="179"/>
      <c r="K21" s="179"/>
      <c r="L21" s="192"/>
      <c r="M21" s="1016" t="s">
        <v>424</v>
      </c>
      <c r="N21" s="1000"/>
      <c r="O21" s="1000"/>
      <c r="P21" s="1000"/>
      <c r="Q21" s="1000"/>
      <c r="R21" s="1000"/>
      <c r="S21" s="1000"/>
      <c r="T21" s="1000"/>
      <c r="U21" s="1000"/>
      <c r="V21" s="1000"/>
      <c r="W21" s="1000"/>
      <c r="X21" s="1000"/>
      <c r="Y21" s="1000"/>
      <c r="Z21" s="1000"/>
      <c r="AA21" s="1000"/>
      <c r="AB21" s="1000"/>
      <c r="AC21" s="1000"/>
      <c r="AD21" s="1000"/>
      <c r="AE21" s="1000"/>
      <c r="AF21" s="1000"/>
      <c r="AG21" s="1000"/>
      <c r="AH21" s="1000"/>
      <c r="AI21" s="1000"/>
      <c r="AJ21" s="1000"/>
      <c r="AK21" s="1000"/>
      <c r="AL21" s="1000"/>
      <c r="AM21" s="1000"/>
      <c r="AN21" s="1000"/>
      <c r="AO21" s="1000"/>
      <c r="AP21" s="1000"/>
      <c r="AQ21" s="1000"/>
      <c r="AR21" s="1000"/>
      <c r="AS21" s="1000"/>
      <c r="AT21" s="1000"/>
      <c r="AU21" s="1000"/>
      <c r="AV21" s="1000"/>
      <c r="AW21" s="1000"/>
      <c r="AX21" s="1000"/>
      <c r="AY21" s="1000"/>
      <c r="AZ21" s="1000"/>
      <c r="BA21" s="1000"/>
      <c r="BB21" s="1000"/>
      <c r="BC21" s="1000"/>
      <c r="BD21" s="1000"/>
      <c r="BE21" s="201"/>
      <c r="BF21" s="202" t="s">
        <v>419</v>
      </c>
      <c r="BG21" s="201"/>
      <c r="BH21" s="201"/>
      <c r="BI21" s="201"/>
      <c r="BJ21" s="201"/>
      <c r="BK21" s="203"/>
    </row>
    <row r="22" spans="1:63" s="164" customFormat="1" ht="15.75" customHeight="1">
      <c r="A22" s="177" t="s">
        <v>416</v>
      </c>
      <c r="B22" s="178" t="s">
        <v>425</v>
      </c>
      <c r="C22" s="179"/>
      <c r="D22" s="179"/>
      <c r="E22" s="179"/>
      <c r="F22" s="179"/>
      <c r="G22" s="179"/>
      <c r="H22" s="179"/>
      <c r="I22" s="179"/>
      <c r="J22" s="179"/>
      <c r="K22" s="179"/>
      <c r="L22" s="192"/>
      <c r="M22" s="1016" t="s">
        <v>426</v>
      </c>
      <c r="N22" s="1000"/>
      <c r="O22" s="1000"/>
      <c r="P22" s="1000"/>
      <c r="Q22" s="1000"/>
      <c r="R22" s="1000"/>
      <c r="S22" s="1000"/>
      <c r="T22" s="1000"/>
      <c r="U22" s="1000"/>
      <c r="V22" s="1000"/>
      <c r="W22" s="1000"/>
      <c r="X22" s="1000"/>
      <c r="Y22" s="1000"/>
      <c r="Z22" s="1000"/>
      <c r="AA22" s="1000"/>
      <c r="AB22" s="1000"/>
      <c r="AC22" s="1000"/>
      <c r="AD22" s="1000"/>
      <c r="AE22" s="1000"/>
      <c r="AF22" s="1000"/>
      <c r="AG22" s="1000"/>
      <c r="AH22" s="1000"/>
      <c r="AI22" s="1000"/>
      <c r="AJ22" s="1000"/>
      <c r="AK22" s="1000"/>
      <c r="AL22" s="1000"/>
      <c r="AM22" s="1000"/>
      <c r="AN22" s="1000"/>
      <c r="AO22" s="1000"/>
      <c r="AP22" s="1000"/>
      <c r="AQ22" s="1000"/>
      <c r="AR22" s="1000"/>
      <c r="AS22" s="1000"/>
      <c r="AT22" s="1000"/>
      <c r="AU22" s="1000"/>
      <c r="AV22" s="1000"/>
      <c r="AW22" s="1000"/>
      <c r="AX22" s="1000"/>
      <c r="AY22" s="1000"/>
      <c r="AZ22" s="1000"/>
      <c r="BA22" s="1000"/>
      <c r="BB22" s="1000"/>
      <c r="BC22" s="1000"/>
      <c r="BD22" s="1000"/>
      <c r="BE22" s="201"/>
      <c r="BF22" s="202" t="s">
        <v>419</v>
      </c>
      <c r="BG22" s="201"/>
      <c r="BH22" s="201"/>
      <c r="BI22" s="201"/>
      <c r="BJ22" s="201"/>
      <c r="BK22" s="203"/>
    </row>
    <row r="23" spans="1:63" s="164" customFormat="1" ht="15.75" customHeight="1">
      <c r="A23" s="177" t="s">
        <v>416</v>
      </c>
      <c r="B23" s="178" t="s">
        <v>427</v>
      </c>
      <c r="C23" s="179"/>
      <c r="D23" s="179"/>
      <c r="E23" s="179"/>
      <c r="F23" s="179"/>
      <c r="G23" s="179"/>
      <c r="H23" s="179"/>
      <c r="I23" s="179"/>
      <c r="J23" s="179"/>
      <c r="K23" s="179"/>
      <c r="L23" s="192"/>
      <c r="M23" s="1016" t="s">
        <v>428</v>
      </c>
      <c r="N23" s="1000"/>
      <c r="O23" s="1000"/>
      <c r="P23" s="1000"/>
      <c r="Q23" s="1000"/>
      <c r="R23" s="1000"/>
      <c r="S23" s="1000"/>
      <c r="T23" s="1000"/>
      <c r="U23" s="1000"/>
      <c r="V23" s="1000"/>
      <c r="W23" s="1000"/>
      <c r="X23" s="1000"/>
      <c r="Y23" s="1000"/>
      <c r="Z23" s="1000"/>
      <c r="AA23" s="1000"/>
      <c r="AB23" s="1000"/>
      <c r="AC23" s="1000"/>
      <c r="AD23" s="1000"/>
      <c r="AE23" s="1000"/>
      <c r="AF23" s="1000"/>
      <c r="AG23" s="1000"/>
      <c r="AH23" s="1000"/>
      <c r="AI23" s="1000"/>
      <c r="AJ23" s="1000"/>
      <c r="AK23" s="1000"/>
      <c r="AL23" s="1000"/>
      <c r="AM23" s="1000"/>
      <c r="AN23" s="1000"/>
      <c r="AO23" s="1000"/>
      <c r="AP23" s="1000"/>
      <c r="AQ23" s="1000"/>
      <c r="AR23" s="1000"/>
      <c r="AS23" s="1000"/>
      <c r="AT23" s="1000"/>
      <c r="AU23" s="1000"/>
      <c r="AV23" s="1000"/>
      <c r="AW23" s="1000"/>
      <c r="AX23" s="1000"/>
      <c r="AY23" s="1000"/>
      <c r="AZ23" s="1000"/>
      <c r="BA23" s="1000"/>
      <c r="BB23" s="1000"/>
      <c r="BC23" s="1000"/>
      <c r="BD23" s="1000"/>
      <c r="BE23" s="201"/>
      <c r="BF23" s="202" t="s">
        <v>419</v>
      </c>
      <c r="BG23" s="201"/>
      <c r="BH23" s="201"/>
      <c r="BI23" s="201"/>
      <c r="BJ23" s="201"/>
      <c r="BK23" s="203"/>
    </row>
    <row r="24" spans="1:63" s="164" customFormat="1" ht="15.75" customHeight="1">
      <c r="A24" s="177" t="s">
        <v>416</v>
      </c>
      <c r="B24" s="178" t="s">
        <v>429</v>
      </c>
      <c r="C24" s="179"/>
      <c r="D24" s="179"/>
      <c r="E24" s="179"/>
      <c r="F24" s="179"/>
      <c r="G24" s="179"/>
      <c r="H24" s="179"/>
      <c r="I24" s="179"/>
      <c r="J24" s="179"/>
      <c r="K24" s="179"/>
      <c r="L24" s="192"/>
      <c r="M24" s="1016" t="s">
        <v>430</v>
      </c>
      <c r="N24" s="1000"/>
      <c r="O24" s="1000"/>
      <c r="P24" s="1000"/>
      <c r="Q24" s="1000"/>
      <c r="R24" s="1000"/>
      <c r="S24" s="1000"/>
      <c r="T24" s="1000"/>
      <c r="U24" s="1000"/>
      <c r="V24" s="1000"/>
      <c r="W24" s="1000"/>
      <c r="X24" s="1000"/>
      <c r="Y24" s="1000"/>
      <c r="Z24" s="1000"/>
      <c r="AA24" s="1000"/>
      <c r="AB24" s="1000"/>
      <c r="AC24" s="1000"/>
      <c r="AD24" s="1000"/>
      <c r="AE24" s="1000"/>
      <c r="AF24" s="1000"/>
      <c r="AG24" s="1000"/>
      <c r="AH24" s="1000"/>
      <c r="AI24" s="1000"/>
      <c r="AJ24" s="1000"/>
      <c r="AK24" s="1000"/>
      <c r="AL24" s="1000"/>
      <c r="AM24" s="1000"/>
      <c r="AN24" s="1000"/>
      <c r="AO24" s="1000"/>
      <c r="AP24" s="1000"/>
      <c r="AQ24" s="1000"/>
      <c r="AR24" s="1000"/>
      <c r="AS24" s="1000"/>
      <c r="AT24" s="1000"/>
      <c r="AU24" s="1000"/>
      <c r="AV24" s="1000"/>
      <c r="AW24" s="1000"/>
      <c r="AX24" s="1000"/>
      <c r="AY24" s="1000"/>
      <c r="AZ24" s="1000"/>
      <c r="BA24" s="1000"/>
      <c r="BB24" s="1000"/>
      <c r="BC24" s="1000"/>
      <c r="BD24" s="1000"/>
      <c r="BE24" s="201"/>
      <c r="BF24" s="202" t="s">
        <v>419</v>
      </c>
      <c r="BG24" s="201"/>
      <c r="BH24" s="201"/>
      <c r="BI24" s="201"/>
      <c r="BJ24" s="201"/>
      <c r="BK24" s="203"/>
    </row>
    <row r="25" spans="1:63" s="164" customFormat="1" ht="15.75" customHeight="1">
      <c r="A25" s="177" t="s">
        <v>416</v>
      </c>
      <c r="B25" s="178" t="s">
        <v>431</v>
      </c>
      <c r="C25" s="179"/>
      <c r="D25" s="179"/>
      <c r="E25" s="179"/>
      <c r="F25" s="179"/>
      <c r="G25" s="179"/>
      <c r="H25" s="179"/>
      <c r="I25" s="179"/>
      <c r="J25" s="179"/>
      <c r="K25" s="179"/>
      <c r="L25" s="192"/>
      <c r="M25" s="1016" t="s">
        <v>432</v>
      </c>
      <c r="N25" s="1000"/>
      <c r="O25" s="1000"/>
      <c r="P25" s="1000"/>
      <c r="Q25" s="1000"/>
      <c r="R25" s="1000"/>
      <c r="S25" s="1000"/>
      <c r="T25" s="1000"/>
      <c r="U25" s="1000"/>
      <c r="V25" s="1000"/>
      <c r="W25" s="1000"/>
      <c r="X25" s="1000"/>
      <c r="Y25" s="1000"/>
      <c r="Z25" s="1000"/>
      <c r="AA25" s="1000"/>
      <c r="AB25" s="1000"/>
      <c r="AC25" s="1000"/>
      <c r="AD25" s="1000"/>
      <c r="AE25" s="1000"/>
      <c r="AF25" s="1000"/>
      <c r="AG25" s="1000"/>
      <c r="AH25" s="1000"/>
      <c r="AI25" s="1000"/>
      <c r="AJ25" s="1000"/>
      <c r="AK25" s="1000"/>
      <c r="AL25" s="1000"/>
      <c r="AM25" s="1000"/>
      <c r="AN25" s="1000"/>
      <c r="AO25" s="1000"/>
      <c r="AP25" s="1000"/>
      <c r="AQ25" s="1000"/>
      <c r="AR25" s="1000"/>
      <c r="AS25" s="1000"/>
      <c r="AT25" s="1000"/>
      <c r="AU25" s="1000"/>
      <c r="AV25" s="1000"/>
      <c r="AW25" s="1000"/>
      <c r="AX25" s="1000"/>
      <c r="AY25" s="1000"/>
      <c r="AZ25" s="1000"/>
      <c r="BA25" s="1000"/>
      <c r="BB25" s="1000"/>
      <c r="BC25" s="1000"/>
      <c r="BD25" s="1000"/>
      <c r="BE25" s="201"/>
      <c r="BF25" s="202" t="s">
        <v>419</v>
      </c>
      <c r="BG25" s="201"/>
      <c r="BH25" s="201"/>
      <c r="BI25" s="201"/>
      <c r="BJ25" s="201"/>
      <c r="BK25" s="203"/>
    </row>
    <row r="26" spans="1:63" s="164" customFormat="1" ht="15.75" customHeight="1">
      <c r="A26" s="177" t="s">
        <v>416</v>
      </c>
      <c r="B26" s="178" t="s">
        <v>433</v>
      </c>
      <c r="C26" s="179"/>
      <c r="D26" s="179"/>
      <c r="E26" s="179"/>
      <c r="F26" s="179"/>
      <c r="G26" s="179"/>
      <c r="H26" s="179"/>
      <c r="I26" s="179"/>
      <c r="J26" s="179"/>
      <c r="K26" s="179"/>
      <c r="L26" s="192"/>
      <c r="M26" s="1016" t="s">
        <v>434</v>
      </c>
      <c r="N26" s="1000"/>
      <c r="O26" s="1000"/>
      <c r="P26" s="1000"/>
      <c r="Q26" s="1000"/>
      <c r="R26" s="1000"/>
      <c r="S26" s="1000"/>
      <c r="T26" s="1000"/>
      <c r="U26" s="1000"/>
      <c r="V26" s="1000"/>
      <c r="W26" s="1000"/>
      <c r="X26" s="1000"/>
      <c r="Y26" s="1000"/>
      <c r="Z26" s="1000"/>
      <c r="AA26" s="1000"/>
      <c r="AB26" s="1000"/>
      <c r="AC26" s="1000"/>
      <c r="AD26" s="1000"/>
      <c r="AE26" s="1000"/>
      <c r="AF26" s="1000"/>
      <c r="AG26" s="1000"/>
      <c r="AH26" s="1000"/>
      <c r="AI26" s="1000"/>
      <c r="AJ26" s="1000"/>
      <c r="AK26" s="1000"/>
      <c r="AL26" s="1000"/>
      <c r="AM26" s="1000"/>
      <c r="AN26" s="1000"/>
      <c r="AO26" s="1000"/>
      <c r="AP26" s="1000"/>
      <c r="AQ26" s="1000"/>
      <c r="AR26" s="1000"/>
      <c r="AS26" s="1000"/>
      <c r="AT26" s="1000"/>
      <c r="AU26" s="1000"/>
      <c r="AV26" s="1000"/>
      <c r="AW26" s="1000"/>
      <c r="AX26" s="1000"/>
      <c r="AY26" s="1000"/>
      <c r="AZ26" s="1000"/>
      <c r="BA26" s="1000"/>
      <c r="BB26" s="1000"/>
      <c r="BC26" s="1000"/>
      <c r="BD26" s="1000"/>
      <c r="BE26" s="201"/>
      <c r="BF26" s="202" t="s">
        <v>419</v>
      </c>
      <c r="BG26" s="201"/>
      <c r="BH26" s="201"/>
      <c r="BI26" s="201"/>
      <c r="BJ26" s="201"/>
      <c r="BK26" s="203"/>
    </row>
    <row r="27" spans="1:63" s="164" customFormat="1" ht="15.75" customHeight="1">
      <c r="A27" s="180"/>
      <c r="B27" s="181"/>
      <c r="C27" s="179"/>
      <c r="D27" s="179"/>
      <c r="E27" s="179"/>
      <c r="F27" s="179"/>
      <c r="G27" s="179"/>
      <c r="H27" s="179"/>
      <c r="I27" s="179"/>
      <c r="J27" s="179"/>
      <c r="K27" s="179"/>
      <c r="L27" s="192"/>
      <c r="M27" s="179"/>
      <c r="N27" s="179"/>
      <c r="O27" s="179"/>
      <c r="P27" s="179"/>
      <c r="Q27" s="179"/>
      <c r="R27" s="179"/>
      <c r="S27" s="179"/>
      <c r="T27" s="179"/>
      <c r="U27" s="179"/>
      <c r="V27" s="179"/>
      <c r="W27" s="179"/>
      <c r="X27" s="179"/>
      <c r="Y27" s="179"/>
      <c r="Z27" s="179"/>
      <c r="AA27" s="179"/>
      <c r="AB27" s="179"/>
      <c r="AC27" s="179"/>
      <c r="AD27" s="179"/>
      <c r="AE27" s="179"/>
      <c r="AF27" s="179"/>
      <c r="AG27" s="179"/>
      <c r="AH27" s="179"/>
      <c r="AI27" s="179"/>
      <c r="AJ27" s="179"/>
      <c r="AK27" s="179"/>
      <c r="AL27" s="179"/>
      <c r="AM27" s="179"/>
      <c r="AN27" s="179"/>
      <c r="AO27" s="179"/>
      <c r="AP27" s="179"/>
      <c r="AQ27" s="179"/>
      <c r="AR27" s="179"/>
      <c r="AS27" s="179"/>
      <c r="AT27" s="179"/>
      <c r="AU27" s="179"/>
      <c r="AV27" s="179"/>
      <c r="AW27" s="179"/>
      <c r="AX27" s="179"/>
      <c r="AY27" s="179"/>
      <c r="AZ27" s="179"/>
      <c r="BA27" s="179"/>
      <c r="BB27" s="179"/>
      <c r="BC27" s="179"/>
      <c r="BD27" s="179"/>
      <c r="BE27" s="201"/>
      <c r="BF27" s="201"/>
      <c r="BG27" s="201"/>
      <c r="BH27" s="201"/>
      <c r="BI27" s="201"/>
      <c r="BJ27" s="201"/>
      <c r="BK27" s="203"/>
    </row>
    <row r="28" spans="1:63" s="164" customFormat="1" ht="15.75" customHeight="1">
      <c r="A28" s="174"/>
      <c r="B28" s="175" t="s">
        <v>435</v>
      </c>
      <c r="C28" s="176"/>
      <c r="D28" s="176"/>
      <c r="E28" s="176"/>
      <c r="F28" s="176"/>
      <c r="G28" s="176"/>
      <c r="H28" s="176"/>
      <c r="I28" s="176"/>
      <c r="J28" s="176"/>
      <c r="K28" s="176"/>
      <c r="L28" s="190"/>
      <c r="M28" s="176"/>
      <c r="N28" s="191" t="s">
        <v>403</v>
      </c>
      <c r="O28" s="176"/>
      <c r="P28" s="176"/>
      <c r="Q28" s="176"/>
      <c r="R28" s="176"/>
      <c r="S28" s="176"/>
      <c r="T28" s="176"/>
      <c r="U28" s="176"/>
      <c r="V28" s="176"/>
      <c r="W28" s="176"/>
      <c r="X28" s="176"/>
      <c r="Y28" s="176"/>
      <c r="Z28" s="176"/>
      <c r="AA28" s="176"/>
      <c r="AB28" s="176"/>
      <c r="AC28" s="176"/>
      <c r="AD28" s="176"/>
      <c r="AE28" s="176"/>
      <c r="AF28" s="176"/>
      <c r="AG28" s="176"/>
      <c r="AH28" s="176"/>
      <c r="AI28" s="176"/>
      <c r="AJ28" s="176"/>
      <c r="AK28" s="176"/>
      <c r="AL28" s="176"/>
      <c r="AM28" s="176"/>
      <c r="AN28" s="176"/>
      <c r="AO28" s="176"/>
      <c r="AP28" s="176"/>
      <c r="AQ28" s="176"/>
      <c r="AR28" s="176"/>
      <c r="AS28" s="176"/>
      <c r="AT28" s="176"/>
      <c r="AU28" s="176"/>
      <c r="AV28" s="176"/>
      <c r="AW28" s="176"/>
      <c r="AX28" s="176"/>
      <c r="AY28" s="176"/>
      <c r="AZ28" s="176"/>
      <c r="BA28" s="176"/>
      <c r="BB28" s="176"/>
      <c r="BC28" s="176"/>
      <c r="BD28" s="176"/>
      <c r="BE28" s="199" t="s">
        <v>404</v>
      </c>
      <c r="BF28" s="199" t="s">
        <v>405</v>
      </c>
      <c r="BG28" s="199" t="s">
        <v>406</v>
      </c>
      <c r="BH28" s="199" t="s">
        <v>407</v>
      </c>
      <c r="BI28" s="199" t="s">
        <v>408</v>
      </c>
      <c r="BJ28" s="199" t="s">
        <v>409</v>
      </c>
      <c r="BK28" s="200" t="s">
        <v>410</v>
      </c>
    </row>
    <row r="29" spans="1:63" s="164" customFormat="1" ht="15.75" customHeight="1">
      <c r="A29" s="177" t="s">
        <v>416</v>
      </c>
      <c r="B29" s="178" t="s">
        <v>436</v>
      </c>
      <c r="C29" s="179"/>
      <c r="D29" s="179"/>
      <c r="E29" s="179"/>
      <c r="F29" s="179"/>
      <c r="G29" s="179"/>
      <c r="H29" s="179"/>
      <c r="I29" s="179"/>
      <c r="J29" s="179"/>
      <c r="K29" s="179"/>
      <c r="L29" s="192"/>
      <c r="M29" s="1016" t="s">
        <v>437</v>
      </c>
      <c r="N29" s="1000"/>
      <c r="O29" s="1000"/>
      <c r="P29" s="1000"/>
      <c r="Q29" s="1000"/>
      <c r="R29" s="1000"/>
      <c r="S29" s="1000"/>
      <c r="T29" s="1000"/>
      <c r="U29" s="1000"/>
      <c r="V29" s="1000"/>
      <c r="W29" s="1000"/>
      <c r="X29" s="1000"/>
      <c r="Y29" s="1000"/>
      <c r="Z29" s="1000"/>
      <c r="AA29" s="1000"/>
      <c r="AB29" s="1000"/>
      <c r="AC29" s="1000"/>
      <c r="AD29" s="1000"/>
      <c r="AE29" s="1000"/>
      <c r="AF29" s="1000"/>
      <c r="AG29" s="1000"/>
      <c r="AH29" s="1000"/>
      <c r="AI29" s="1000"/>
      <c r="AJ29" s="1000"/>
      <c r="AK29" s="1000"/>
      <c r="AL29" s="1000"/>
      <c r="AM29" s="1000"/>
      <c r="AN29" s="1000"/>
      <c r="AO29" s="1000"/>
      <c r="AP29" s="1000"/>
      <c r="AQ29" s="1000"/>
      <c r="AR29" s="1000"/>
      <c r="AS29" s="1000"/>
      <c r="AT29" s="1000"/>
      <c r="AU29" s="1000"/>
      <c r="AV29" s="1000"/>
      <c r="AW29" s="1000"/>
      <c r="AX29" s="1000"/>
      <c r="AY29" s="1000"/>
      <c r="AZ29" s="1000"/>
      <c r="BA29" s="1000"/>
      <c r="BB29" s="1000"/>
      <c r="BC29" s="1000"/>
      <c r="BD29" s="1000"/>
      <c r="BE29" s="201"/>
      <c r="BF29" s="202" t="s">
        <v>419</v>
      </c>
      <c r="BG29" s="201"/>
      <c r="BH29" s="201"/>
      <c r="BI29" s="201"/>
      <c r="BJ29" s="201"/>
      <c r="BK29" s="203"/>
    </row>
    <row r="30" spans="1:63" s="164" customFormat="1" ht="15.75" customHeight="1">
      <c r="A30" s="177" t="s">
        <v>416</v>
      </c>
      <c r="B30" s="178" t="s">
        <v>438</v>
      </c>
      <c r="C30" s="179"/>
      <c r="D30" s="179"/>
      <c r="E30" s="179"/>
      <c r="F30" s="179"/>
      <c r="G30" s="179"/>
      <c r="H30" s="179"/>
      <c r="I30" s="179"/>
      <c r="J30" s="179"/>
      <c r="K30" s="179"/>
      <c r="L30" s="192"/>
      <c r="M30" s="1016" t="s">
        <v>439</v>
      </c>
      <c r="N30" s="1000"/>
      <c r="O30" s="1000"/>
      <c r="P30" s="1000"/>
      <c r="Q30" s="1000"/>
      <c r="R30" s="1000"/>
      <c r="S30" s="1000"/>
      <c r="T30" s="1000"/>
      <c r="U30" s="1000"/>
      <c r="V30" s="1000"/>
      <c r="W30" s="1000"/>
      <c r="X30" s="1000"/>
      <c r="Y30" s="1000"/>
      <c r="Z30" s="1000"/>
      <c r="AA30" s="1000"/>
      <c r="AB30" s="1000"/>
      <c r="AC30" s="1000"/>
      <c r="AD30" s="1000"/>
      <c r="AE30" s="1000"/>
      <c r="AF30" s="1000"/>
      <c r="AG30" s="1000"/>
      <c r="AH30" s="1000"/>
      <c r="AI30" s="1000"/>
      <c r="AJ30" s="1000"/>
      <c r="AK30" s="1000"/>
      <c r="AL30" s="1000"/>
      <c r="AM30" s="1000"/>
      <c r="AN30" s="1000"/>
      <c r="AO30" s="1000"/>
      <c r="AP30" s="1000"/>
      <c r="AQ30" s="1000"/>
      <c r="AR30" s="1000"/>
      <c r="AS30" s="1000"/>
      <c r="AT30" s="1000"/>
      <c r="AU30" s="1000"/>
      <c r="AV30" s="1000"/>
      <c r="AW30" s="1000"/>
      <c r="AX30" s="1000"/>
      <c r="AY30" s="1000"/>
      <c r="AZ30" s="1000"/>
      <c r="BA30" s="1000"/>
      <c r="BB30" s="1000"/>
      <c r="BC30" s="1000"/>
      <c r="BD30" s="1000"/>
      <c r="BE30" s="201"/>
      <c r="BF30" s="202" t="s">
        <v>419</v>
      </c>
      <c r="BG30" s="201"/>
      <c r="BH30" s="201"/>
      <c r="BI30" s="201"/>
      <c r="BJ30" s="201"/>
      <c r="BK30" s="203"/>
    </row>
    <row r="31" spans="1:63" s="164" customFormat="1" ht="15.75" customHeight="1">
      <c r="A31" s="180"/>
      <c r="B31" s="181"/>
      <c r="C31" s="179"/>
      <c r="D31" s="179"/>
      <c r="E31" s="179"/>
      <c r="F31" s="179"/>
      <c r="G31" s="179"/>
      <c r="H31" s="179"/>
      <c r="I31" s="179"/>
      <c r="J31" s="179"/>
      <c r="K31" s="179"/>
      <c r="L31" s="192"/>
      <c r="M31" s="179"/>
      <c r="N31" s="179"/>
      <c r="O31" s="179"/>
      <c r="P31" s="179"/>
      <c r="Q31" s="179"/>
      <c r="R31" s="179"/>
      <c r="S31" s="179"/>
      <c r="T31" s="179"/>
      <c r="U31" s="179"/>
      <c r="V31" s="179"/>
      <c r="W31" s="179"/>
      <c r="X31" s="179"/>
      <c r="Y31" s="179"/>
      <c r="Z31" s="179"/>
      <c r="AA31" s="179"/>
      <c r="AB31" s="179"/>
      <c r="AC31" s="179"/>
      <c r="AD31" s="179"/>
      <c r="AE31" s="179"/>
      <c r="AF31" s="179"/>
      <c r="AG31" s="179"/>
      <c r="AH31" s="179"/>
      <c r="AI31" s="179"/>
      <c r="AJ31" s="179"/>
      <c r="AK31" s="179"/>
      <c r="AL31" s="179"/>
      <c r="AM31" s="179"/>
      <c r="AN31" s="179"/>
      <c r="AO31" s="179"/>
      <c r="AP31" s="179"/>
      <c r="AQ31" s="179"/>
      <c r="AR31" s="179"/>
      <c r="AS31" s="179"/>
      <c r="AT31" s="179"/>
      <c r="AU31" s="179"/>
      <c r="AV31" s="179"/>
      <c r="AW31" s="179"/>
      <c r="AX31" s="179"/>
      <c r="AY31" s="179"/>
      <c r="AZ31" s="179"/>
      <c r="BA31" s="179"/>
      <c r="BB31" s="179"/>
      <c r="BC31" s="179"/>
      <c r="BD31" s="179"/>
      <c r="BE31" s="201"/>
      <c r="BF31" s="201"/>
      <c r="BG31" s="201"/>
      <c r="BH31" s="201"/>
      <c r="BI31" s="201"/>
      <c r="BJ31" s="201"/>
      <c r="BK31" s="203"/>
    </row>
    <row r="32" spans="1:63" s="164" customFormat="1" ht="15.75" customHeight="1">
      <c r="A32" s="174"/>
      <c r="B32" s="175" t="s">
        <v>440</v>
      </c>
      <c r="C32" s="176"/>
      <c r="D32" s="176"/>
      <c r="E32" s="176"/>
      <c r="F32" s="176"/>
      <c r="G32" s="176"/>
      <c r="H32" s="176"/>
      <c r="I32" s="176"/>
      <c r="J32" s="176"/>
      <c r="K32" s="176"/>
      <c r="L32" s="190"/>
      <c r="M32" s="176"/>
      <c r="N32" s="191" t="s">
        <v>403</v>
      </c>
      <c r="O32" s="176"/>
      <c r="P32" s="176"/>
      <c r="Q32" s="176"/>
      <c r="R32" s="176"/>
      <c r="S32" s="176"/>
      <c r="T32" s="176"/>
      <c r="U32" s="176"/>
      <c r="V32" s="176"/>
      <c r="W32" s="176"/>
      <c r="X32" s="176"/>
      <c r="Y32" s="176"/>
      <c r="Z32" s="176"/>
      <c r="AA32" s="176"/>
      <c r="AB32" s="176"/>
      <c r="AC32" s="176"/>
      <c r="AD32" s="176"/>
      <c r="AE32" s="176"/>
      <c r="AF32" s="176"/>
      <c r="AG32" s="176"/>
      <c r="AH32" s="176"/>
      <c r="AI32" s="176"/>
      <c r="AJ32" s="176"/>
      <c r="AK32" s="176"/>
      <c r="AL32" s="176"/>
      <c r="AM32" s="176"/>
      <c r="AN32" s="176"/>
      <c r="AO32" s="176"/>
      <c r="AP32" s="176"/>
      <c r="AQ32" s="176"/>
      <c r="AR32" s="176"/>
      <c r="AS32" s="176"/>
      <c r="AT32" s="176"/>
      <c r="AU32" s="176"/>
      <c r="AV32" s="176"/>
      <c r="AW32" s="176"/>
      <c r="AX32" s="176"/>
      <c r="AY32" s="176"/>
      <c r="AZ32" s="176"/>
      <c r="BA32" s="176"/>
      <c r="BB32" s="176"/>
      <c r="BC32" s="176"/>
      <c r="BD32" s="176"/>
      <c r="BE32" s="199" t="s">
        <v>404</v>
      </c>
      <c r="BF32" s="199" t="s">
        <v>405</v>
      </c>
      <c r="BG32" s="199" t="s">
        <v>406</v>
      </c>
      <c r="BH32" s="199" t="s">
        <v>407</v>
      </c>
      <c r="BI32" s="199" t="s">
        <v>408</v>
      </c>
      <c r="BJ32" s="199" t="s">
        <v>409</v>
      </c>
      <c r="BK32" s="200" t="s">
        <v>410</v>
      </c>
    </row>
    <row r="33" spans="1:63" s="164" customFormat="1" ht="15.75" customHeight="1">
      <c r="A33" s="177" t="s">
        <v>416</v>
      </c>
      <c r="B33" s="178" t="s">
        <v>441</v>
      </c>
      <c r="C33" s="179"/>
      <c r="D33" s="179"/>
      <c r="E33" s="179"/>
      <c r="F33" s="179"/>
      <c r="G33" s="179"/>
      <c r="H33" s="179"/>
      <c r="I33" s="179"/>
      <c r="J33" s="179"/>
      <c r="K33" s="179"/>
      <c r="L33" s="192"/>
      <c r="M33" s="1016" t="s">
        <v>442</v>
      </c>
      <c r="N33" s="1000"/>
      <c r="O33" s="1000"/>
      <c r="P33" s="1000"/>
      <c r="Q33" s="1000"/>
      <c r="R33" s="1000"/>
      <c r="S33" s="1000"/>
      <c r="T33" s="1000"/>
      <c r="U33" s="1000"/>
      <c r="V33" s="1000"/>
      <c r="W33" s="1000"/>
      <c r="X33" s="1000"/>
      <c r="Y33" s="1000"/>
      <c r="Z33" s="1000"/>
      <c r="AA33" s="1000"/>
      <c r="AB33" s="1000"/>
      <c r="AC33" s="1000"/>
      <c r="AD33" s="1000"/>
      <c r="AE33" s="1000"/>
      <c r="AF33" s="1000"/>
      <c r="AG33" s="1000"/>
      <c r="AH33" s="1000"/>
      <c r="AI33" s="1000"/>
      <c r="AJ33" s="1000"/>
      <c r="AK33" s="1000"/>
      <c r="AL33" s="1000"/>
      <c r="AM33" s="1000"/>
      <c r="AN33" s="1000"/>
      <c r="AO33" s="1000"/>
      <c r="AP33" s="1000"/>
      <c r="AQ33" s="1000"/>
      <c r="AR33" s="1000"/>
      <c r="AS33" s="1000"/>
      <c r="AT33" s="1000"/>
      <c r="AU33" s="1000"/>
      <c r="AV33" s="1000"/>
      <c r="AW33" s="1000"/>
      <c r="AX33" s="1000"/>
      <c r="AY33" s="1000"/>
      <c r="AZ33" s="1000"/>
      <c r="BA33" s="1000"/>
      <c r="BB33" s="1000"/>
      <c r="BC33" s="1000"/>
      <c r="BD33" s="1000"/>
      <c r="BE33" s="201"/>
      <c r="BF33" s="202" t="s">
        <v>419</v>
      </c>
      <c r="BG33" s="201"/>
      <c r="BH33" s="201"/>
      <c r="BI33" s="201"/>
      <c r="BJ33" s="201"/>
      <c r="BK33" s="203"/>
    </row>
    <row r="34" spans="1:63" s="164" customFormat="1" ht="15.75" customHeight="1">
      <c r="A34" s="182" t="s">
        <v>416</v>
      </c>
      <c r="B34" s="183" t="s">
        <v>433</v>
      </c>
      <c r="C34" s="184"/>
      <c r="D34" s="184"/>
      <c r="E34" s="184"/>
      <c r="F34" s="184"/>
      <c r="G34" s="184"/>
      <c r="H34" s="184"/>
      <c r="I34" s="184"/>
      <c r="J34" s="184"/>
      <c r="K34" s="184"/>
      <c r="L34" s="193"/>
      <c r="M34" s="1001" t="s">
        <v>443</v>
      </c>
      <c r="N34" s="1002"/>
      <c r="O34" s="1002"/>
      <c r="P34" s="1002"/>
      <c r="Q34" s="1002"/>
      <c r="R34" s="1002"/>
      <c r="S34" s="1002"/>
      <c r="T34" s="1002"/>
      <c r="U34" s="1002"/>
      <c r="V34" s="1002"/>
      <c r="W34" s="1002"/>
      <c r="X34" s="1002"/>
      <c r="Y34" s="1002"/>
      <c r="Z34" s="1002"/>
      <c r="AA34" s="1002"/>
      <c r="AB34" s="1002"/>
      <c r="AC34" s="1002"/>
      <c r="AD34" s="1002"/>
      <c r="AE34" s="1002"/>
      <c r="AF34" s="1002"/>
      <c r="AG34" s="1002"/>
      <c r="AH34" s="1002"/>
      <c r="AI34" s="1002"/>
      <c r="AJ34" s="1002"/>
      <c r="AK34" s="1002"/>
      <c r="AL34" s="1002"/>
      <c r="AM34" s="1002"/>
      <c r="AN34" s="1002"/>
      <c r="AO34" s="1002"/>
      <c r="AP34" s="1002"/>
      <c r="AQ34" s="1002"/>
      <c r="AR34" s="1002"/>
      <c r="AS34" s="1002"/>
      <c r="AT34" s="1002"/>
      <c r="AU34" s="1002"/>
      <c r="AV34" s="1002"/>
      <c r="AW34" s="1002"/>
      <c r="AX34" s="1002"/>
      <c r="AY34" s="1002"/>
      <c r="AZ34" s="1002"/>
      <c r="BA34" s="1002"/>
      <c r="BB34" s="1002"/>
      <c r="BC34" s="1002"/>
      <c r="BD34" s="1002"/>
      <c r="BE34" s="204"/>
      <c r="BF34" s="205" t="s">
        <v>419</v>
      </c>
      <c r="BG34" s="204"/>
      <c r="BH34" s="204"/>
      <c r="BI34" s="204"/>
      <c r="BJ34" s="204"/>
      <c r="BK34" s="206"/>
    </row>
    <row r="35" spans="1:63" s="164" customFormat="1" ht="15.75" customHeight="1">
      <c r="A35" s="185"/>
      <c r="B35" s="186"/>
      <c r="C35" s="184"/>
      <c r="D35" s="184"/>
      <c r="E35" s="184"/>
      <c r="F35" s="184"/>
      <c r="G35" s="184"/>
      <c r="H35" s="184"/>
      <c r="I35" s="184"/>
      <c r="J35" s="184"/>
      <c r="K35" s="184"/>
      <c r="L35" s="193"/>
      <c r="M35" s="184"/>
      <c r="N35" s="184"/>
      <c r="O35" s="184"/>
      <c r="P35" s="184"/>
      <c r="Q35" s="184"/>
      <c r="R35" s="184"/>
      <c r="S35" s="184"/>
      <c r="T35" s="184"/>
      <c r="U35" s="184"/>
      <c r="V35" s="184"/>
      <c r="W35" s="184"/>
      <c r="X35" s="184"/>
      <c r="Y35" s="184"/>
      <c r="Z35" s="184"/>
      <c r="AA35" s="184"/>
      <c r="AB35" s="184"/>
      <c r="AC35" s="184"/>
      <c r="AD35" s="184"/>
      <c r="AE35" s="184"/>
      <c r="AF35" s="184"/>
      <c r="AG35" s="184"/>
      <c r="AH35" s="184"/>
      <c r="AI35" s="184"/>
      <c r="AJ35" s="184"/>
      <c r="AK35" s="184"/>
      <c r="AL35" s="184"/>
      <c r="AM35" s="184"/>
      <c r="AN35" s="184"/>
      <c r="AO35" s="184"/>
      <c r="AP35" s="184"/>
      <c r="AQ35" s="184"/>
      <c r="AR35" s="184"/>
      <c r="AS35" s="184"/>
      <c r="AT35" s="184"/>
      <c r="AU35" s="184"/>
      <c r="AV35" s="184"/>
      <c r="AW35" s="184"/>
      <c r="AX35" s="184"/>
      <c r="AY35" s="184"/>
      <c r="AZ35" s="184"/>
      <c r="BA35" s="184"/>
      <c r="BB35" s="184"/>
      <c r="BC35" s="184"/>
      <c r="BD35" s="184"/>
      <c r="BE35" s="204"/>
      <c r="BF35" s="204"/>
      <c r="BG35" s="204"/>
      <c r="BH35" s="204"/>
      <c r="BI35" s="204"/>
      <c r="BJ35" s="204"/>
      <c r="BK35" s="206"/>
    </row>
    <row r="36" spans="1:63" s="164" customFormat="1" ht="15.75" customHeight="1">
      <c r="A36" s="174"/>
      <c r="B36" s="175" t="s">
        <v>444</v>
      </c>
      <c r="C36" s="176"/>
      <c r="D36" s="176"/>
      <c r="E36" s="176"/>
      <c r="F36" s="176"/>
      <c r="G36" s="176"/>
      <c r="H36" s="176"/>
      <c r="I36" s="176"/>
      <c r="J36" s="176"/>
      <c r="K36" s="176"/>
      <c r="L36" s="190"/>
      <c r="M36" s="176"/>
      <c r="N36" s="191" t="s">
        <v>403</v>
      </c>
      <c r="O36" s="176"/>
      <c r="P36" s="176"/>
      <c r="Q36" s="176"/>
      <c r="R36" s="176"/>
      <c r="S36" s="176"/>
      <c r="T36" s="176"/>
      <c r="U36" s="176"/>
      <c r="V36" s="176"/>
      <c r="W36" s="176"/>
      <c r="X36" s="176"/>
      <c r="Y36" s="176"/>
      <c r="Z36" s="176"/>
      <c r="AA36" s="176"/>
      <c r="AB36" s="176"/>
      <c r="AC36" s="176"/>
      <c r="AD36" s="176"/>
      <c r="AE36" s="176"/>
      <c r="AF36" s="176"/>
      <c r="AG36" s="176"/>
      <c r="AH36" s="176"/>
      <c r="AI36" s="176"/>
      <c r="AJ36" s="176"/>
      <c r="AK36" s="176"/>
      <c r="AL36" s="176"/>
      <c r="AM36" s="176"/>
      <c r="AN36" s="176"/>
      <c r="AO36" s="176"/>
      <c r="AP36" s="176"/>
      <c r="AQ36" s="176"/>
      <c r="AR36" s="176"/>
      <c r="AS36" s="176"/>
      <c r="AT36" s="176"/>
      <c r="AU36" s="176"/>
      <c r="AV36" s="176"/>
      <c r="AW36" s="176"/>
      <c r="AX36" s="176"/>
      <c r="AY36" s="176"/>
      <c r="AZ36" s="176"/>
      <c r="BA36" s="176"/>
      <c r="BB36" s="176"/>
      <c r="BC36" s="176"/>
      <c r="BD36" s="176"/>
      <c r="BE36" s="199" t="s">
        <v>404</v>
      </c>
      <c r="BF36" s="199" t="s">
        <v>405</v>
      </c>
      <c r="BG36" s="199" t="s">
        <v>406</v>
      </c>
      <c r="BH36" s="199" t="s">
        <v>407</v>
      </c>
      <c r="BI36" s="199" t="s">
        <v>408</v>
      </c>
      <c r="BJ36" s="199" t="s">
        <v>409</v>
      </c>
      <c r="BK36" s="200" t="s">
        <v>410</v>
      </c>
    </row>
    <row r="37" spans="1:63" s="164" customFormat="1" ht="66.75" customHeight="1">
      <c r="A37" s="177" t="s">
        <v>416</v>
      </c>
      <c r="B37" s="178" t="s">
        <v>441</v>
      </c>
      <c r="C37" s="179"/>
      <c r="D37" s="179"/>
      <c r="E37" s="179"/>
      <c r="F37" s="179"/>
      <c r="G37" s="179"/>
      <c r="H37" s="179"/>
      <c r="I37" s="179"/>
      <c r="J37" s="179"/>
      <c r="K37" s="179"/>
      <c r="L37" s="192"/>
      <c r="M37" s="1016" t="s">
        <v>445</v>
      </c>
      <c r="N37" s="1000"/>
      <c r="O37" s="1000"/>
      <c r="P37" s="1000"/>
      <c r="Q37" s="1000"/>
      <c r="R37" s="1000"/>
      <c r="S37" s="1000"/>
      <c r="T37" s="1000"/>
      <c r="U37" s="1000"/>
      <c r="V37" s="1000"/>
      <c r="W37" s="1000"/>
      <c r="X37" s="1000"/>
      <c r="Y37" s="1000"/>
      <c r="Z37" s="1000"/>
      <c r="AA37" s="1000"/>
      <c r="AB37" s="1000"/>
      <c r="AC37" s="1000"/>
      <c r="AD37" s="1000"/>
      <c r="AE37" s="1000"/>
      <c r="AF37" s="1000"/>
      <c r="AG37" s="1000"/>
      <c r="AH37" s="1000"/>
      <c r="AI37" s="1000"/>
      <c r="AJ37" s="1000"/>
      <c r="AK37" s="1000"/>
      <c r="AL37" s="1000"/>
      <c r="AM37" s="1000"/>
      <c r="AN37" s="1000"/>
      <c r="AO37" s="1000"/>
      <c r="AP37" s="1000"/>
      <c r="AQ37" s="1000"/>
      <c r="AR37" s="1000"/>
      <c r="AS37" s="1000"/>
      <c r="AT37" s="1000"/>
      <c r="AU37" s="1000"/>
      <c r="AV37" s="1000"/>
      <c r="AW37" s="1000"/>
      <c r="AX37" s="1000"/>
      <c r="AY37" s="1000"/>
      <c r="AZ37" s="1000"/>
      <c r="BA37" s="1000"/>
      <c r="BB37" s="1000"/>
      <c r="BC37" s="1000"/>
      <c r="BD37" s="1000"/>
      <c r="BE37" s="201"/>
      <c r="BF37" s="202" t="s">
        <v>419</v>
      </c>
      <c r="BG37" s="201"/>
      <c r="BH37" s="201"/>
      <c r="BI37" s="201"/>
      <c r="BJ37" s="201"/>
      <c r="BK37" s="203"/>
    </row>
    <row r="38" spans="1:63" s="164" customFormat="1" ht="66.75" customHeight="1">
      <c r="A38" s="182" t="s">
        <v>416</v>
      </c>
      <c r="B38" s="183" t="s">
        <v>433</v>
      </c>
      <c r="C38" s="184"/>
      <c r="D38" s="184"/>
      <c r="E38" s="184"/>
      <c r="F38" s="184"/>
      <c r="G38" s="184"/>
      <c r="H38" s="184"/>
      <c r="I38" s="184"/>
      <c r="J38" s="184"/>
      <c r="K38" s="184"/>
      <c r="L38" s="193"/>
      <c r="M38" s="1016" t="s">
        <v>446</v>
      </c>
      <c r="N38" s="1000"/>
      <c r="O38" s="1000"/>
      <c r="P38" s="1000"/>
      <c r="Q38" s="1000"/>
      <c r="R38" s="1000"/>
      <c r="S38" s="1000"/>
      <c r="T38" s="1000"/>
      <c r="U38" s="1000"/>
      <c r="V38" s="1000"/>
      <c r="W38" s="1000"/>
      <c r="X38" s="1000"/>
      <c r="Y38" s="1000"/>
      <c r="Z38" s="1000"/>
      <c r="AA38" s="1000"/>
      <c r="AB38" s="1000"/>
      <c r="AC38" s="1000"/>
      <c r="AD38" s="1000"/>
      <c r="AE38" s="1000"/>
      <c r="AF38" s="1000"/>
      <c r="AG38" s="1000"/>
      <c r="AH38" s="1000"/>
      <c r="AI38" s="1000"/>
      <c r="AJ38" s="1000"/>
      <c r="AK38" s="1000"/>
      <c r="AL38" s="1000"/>
      <c r="AM38" s="1000"/>
      <c r="AN38" s="1000"/>
      <c r="AO38" s="1000"/>
      <c r="AP38" s="1000"/>
      <c r="AQ38" s="1000"/>
      <c r="AR38" s="1000"/>
      <c r="AS38" s="1000"/>
      <c r="AT38" s="1000"/>
      <c r="AU38" s="1000"/>
      <c r="AV38" s="1000"/>
      <c r="AW38" s="1000"/>
      <c r="AX38" s="1000"/>
      <c r="AY38" s="1000"/>
      <c r="AZ38" s="1000"/>
      <c r="BA38" s="1000"/>
      <c r="BB38" s="1000"/>
      <c r="BC38" s="1000"/>
      <c r="BD38" s="1000"/>
      <c r="BE38" s="204"/>
      <c r="BF38" s="205" t="s">
        <v>419</v>
      </c>
      <c r="BG38" s="204"/>
      <c r="BH38" s="204"/>
      <c r="BI38" s="204"/>
      <c r="BJ38" s="204"/>
      <c r="BK38" s="206"/>
    </row>
    <row r="39" spans="1:63" s="164" customFormat="1" ht="15.75" customHeight="1">
      <c r="A39" s="185"/>
      <c r="B39" s="186"/>
      <c r="C39" s="184"/>
      <c r="D39" s="184"/>
      <c r="E39" s="184"/>
      <c r="F39" s="184"/>
      <c r="G39" s="184"/>
      <c r="H39" s="184"/>
      <c r="I39" s="184"/>
      <c r="J39" s="184"/>
      <c r="K39" s="184"/>
      <c r="L39" s="193"/>
      <c r="M39" s="184"/>
      <c r="N39" s="184"/>
      <c r="O39" s="184"/>
      <c r="P39" s="184"/>
      <c r="Q39" s="184"/>
      <c r="R39" s="184"/>
      <c r="S39" s="184"/>
      <c r="T39" s="184"/>
      <c r="U39" s="184"/>
      <c r="V39" s="184"/>
      <c r="W39" s="184"/>
      <c r="X39" s="184"/>
      <c r="Y39" s="184"/>
      <c r="Z39" s="184"/>
      <c r="AA39" s="184"/>
      <c r="AB39" s="184"/>
      <c r="AC39" s="184"/>
      <c r="AD39" s="184"/>
      <c r="AE39" s="184"/>
      <c r="AF39" s="184"/>
      <c r="AG39" s="184"/>
      <c r="AH39" s="184"/>
      <c r="AI39" s="184"/>
      <c r="AJ39" s="184"/>
      <c r="AK39" s="184"/>
      <c r="AL39" s="184"/>
      <c r="AM39" s="184"/>
      <c r="AN39" s="184"/>
      <c r="AO39" s="184"/>
      <c r="AP39" s="184"/>
      <c r="AQ39" s="184"/>
      <c r="AR39" s="184"/>
      <c r="AS39" s="184"/>
      <c r="AT39" s="184"/>
      <c r="AU39" s="184"/>
      <c r="AV39" s="184"/>
      <c r="AW39" s="184"/>
      <c r="AX39" s="184"/>
      <c r="AY39" s="184"/>
      <c r="AZ39" s="184"/>
      <c r="BA39" s="184"/>
      <c r="BB39" s="184"/>
      <c r="BC39" s="184"/>
      <c r="BD39" s="184"/>
      <c r="BE39" s="204"/>
      <c r="BF39" s="204"/>
      <c r="BG39" s="204"/>
      <c r="BH39" s="204"/>
      <c r="BI39" s="204"/>
      <c r="BJ39" s="204"/>
      <c r="BK39" s="206"/>
    </row>
    <row r="40" spans="1:63" s="164" customFormat="1" ht="15.75" customHeight="1">
      <c r="A40" s="187"/>
      <c r="B40" s="188" t="s">
        <v>447</v>
      </c>
      <c r="C40" s="189"/>
      <c r="D40" s="189"/>
      <c r="E40" s="189"/>
      <c r="F40" s="189"/>
      <c r="G40" s="189"/>
      <c r="H40" s="189"/>
      <c r="I40" s="189"/>
      <c r="J40" s="189"/>
      <c r="K40" s="189"/>
      <c r="L40" s="195"/>
      <c r="M40" s="189"/>
      <c r="N40" s="196" t="s">
        <v>403</v>
      </c>
      <c r="O40" s="189"/>
      <c r="P40" s="189"/>
      <c r="Q40" s="189"/>
      <c r="R40" s="189"/>
      <c r="S40" s="189"/>
      <c r="T40" s="189"/>
      <c r="U40" s="189"/>
      <c r="V40" s="189"/>
      <c r="W40" s="189"/>
      <c r="X40" s="189"/>
      <c r="Y40" s="189"/>
      <c r="Z40" s="189"/>
      <c r="AA40" s="189"/>
      <c r="AB40" s="189"/>
      <c r="AC40" s="189"/>
      <c r="AD40" s="189"/>
      <c r="AE40" s="189"/>
      <c r="AF40" s="189"/>
      <c r="AG40" s="189"/>
      <c r="AH40" s="189"/>
      <c r="AI40" s="189"/>
      <c r="AJ40" s="189"/>
      <c r="AK40" s="189"/>
      <c r="AL40" s="189"/>
      <c r="AM40" s="189"/>
      <c r="AN40" s="189"/>
      <c r="AO40" s="189"/>
      <c r="AP40" s="189"/>
      <c r="AQ40" s="189"/>
      <c r="AR40" s="189"/>
      <c r="AS40" s="189"/>
      <c r="AT40" s="189"/>
      <c r="AU40" s="189"/>
      <c r="AV40" s="189"/>
      <c r="AW40" s="189"/>
      <c r="AX40" s="189"/>
      <c r="AY40" s="189"/>
      <c r="AZ40" s="189"/>
      <c r="BA40" s="189"/>
      <c r="BB40" s="189"/>
      <c r="BC40" s="189"/>
      <c r="BD40" s="189"/>
      <c r="BE40" s="207" t="s">
        <v>404</v>
      </c>
      <c r="BF40" s="207" t="s">
        <v>405</v>
      </c>
      <c r="BG40" s="207" t="s">
        <v>406</v>
      </c>
      <c r="BH40" s="207" t="s">
        <v>407</v>
      </c>
      <c r="BI40" s="207" t="s">
        <v>408</v>
      </c>
      <c r="BJ40" s="207" t="s">
        <v>409</v>
      </c>
      <c r="BK40" s="208" t="s">
        <v>410</v>
      </c>
    </row>
    <row r="41" spans="1:63" s="164" customFormat="1" ht="31.5" customHeight="1">
      <c r="A41" s="182" t="s">
        <v>416</v>
      </c>
      <c r="B41" s="183" t="s">
        <v>448</v>
      </c>
      <c r="C41" s="184"/>
      <c r="D41" s="184"/>
      <c r="E41" s="184"/>
      <c r="F41" s="184"/>
      <c r="G41" s="184"/>
      <c r="H41" s="184"/>
      <c r="I41" s="184"/>
      <c r="J41" s="184"/>
      <c r="K41" s="184"/>
      <c r="L41" s="193"/>
      <c r="M41" s="1001" t="s">
        <v>449</v>
      </c>
      <c r="N41" s="1002"/>
      <c r="O41" s="1002"/>
      <c r="P41" s="1002"/>
      <c r="Q41" s="1002"/>
      <c r="R41" s="1002"/>
      <c r="S41" s="1002"/>
      <c r="T41" s="1002"/>
      <c r="U41" s="1002"/>
      <c r="V41" s="1002"/>
      <c r="W41" s="1002"/>
      <c r="X41" s="1002"/>
      <c r="Y41" s="1002"/>
      <c r="Z41" s="1002"/>
      <c r="AA41" s="1002"/>
      <c r="AB41" s="1002"/>
      <c r="AC41" s="1002"/>
      <c r="AD41" s="1002"/>
      <c r="AE41" s="1002"/>
      <c r="AF41" s="1002"/>
      <c r="AG41" s="1002"/>
      <c r="AH41" s="1002"/>
      <c r="AI41" s="1002"/>
      <c r="AJ41" s="1002"/>
      <c r="AK41" s="1002"/>
      <c r="AL41" s="1002"/>
      <c r="AM41" s="1002"/>
      <c r="AN41" s="1002"/>
      <c r="AO41" s="1002"/>
      <c r="AP41" s="1002"/>
      <c r="AQ41" s="1002"/>
      <c r="AR41" s="1002"/>
      <c r="AS41" s="1002"/>
      <c r="AT41" s="1002"/>
      <c r="AU41" s="1002"/>
      <c r="AV41" s="1002"/>
      <c r="AW41" s="1002"/>
      <c r="AX41" s="1002"/>
      <c r="AY41" s="1002"/>
      <c r="AZ41" s="1002"/>
      <c r="BA41" s="1002"/>
      <c r="BB41" s="1002"/>
      <c r="BC41" s="1002"/>
      <c r="BD41" s="1002"/>
      <c r="BE41" s="204"/>
      <c r="BF41" s="205" t="s">
        <v>419</v>
      </c>
      <c r="BG41" s="204"/>
      <c r="BH41" s="204"/>
      <c r="BI41" s="204"/>
      <c r="BJ41" s="204"/>
      <c r="BK41" s="206"/>
    </row>
    <row r="42" spans="1:63" s="164" customFormat="1" ht="31.5" customHeight="1">
      <c r="A42" s="182" t="s">
        <v>416</v>
      </c>
      <c r="B42" s="183" t="s">
        <v>450</v>
      </c>
      <c r="C42" s="184"/>
      <c r="D42" s="184"/>
      <c r="E42" s="184"/>
      <c r="F42" s="184"/>
      <c r="G42" s="184"/>
      <c r="H42" s="184"/>
      <c r="I42" s="184"/>
      <c r="J42" s="184"/>
      <c r="K42" s="184"/>
      <c r="L42" s="193"/>
      <c r="M42" s="1001" t="s">
        <v>451</v>
      </c>
      <c r="N42" s="1002"/>
      <c r="O42" s="1002"/>
      <c r="P42" s="1002"/>
      <c r="Q42" s="1002"/>
      <c r="R42" s="1002"/>
      <c r="S42" s="1002"/>
      <c r="T42" s="1002"/>
      <c r="U42" s="1002"/>
      <c r="V42" s="1002"/>
      <c r="W42" s="1002"/>
      <c r="X42" s="1002"/>
      <c r="Y42" s="1002"/>
      <c r="Z42" s="1002"/>
      <c r="AA42" s="1002"/>
      <c r="AB42" s="1002"/>
      <c r="AC42" s="1002"/>
      <c r="AD42" s="1002"/>
      <c r="AE42" s="1002"/>
      <c r="AF42" s="1002"/>
      <c r="AG42" s="1002"/>
      <c r="AH42" s="1002"/>
      <c r="AI42" s="1002"/>
      <c r="AJ42" s="1002"/>
      <c r="AK42" s="1002"/>
      <c r="AL42" s="1002"/>
      <c r="AM42" s="1002"/>
      <c r="AN42" s="1002"/>
      <c r="AO42" s="1002"/>
      <c r="AP42" s="1002"/>
      <c r="AQ42" s="1002"/>
      <c r="AR42" s="1002"/>
      <c r="AS42" s="1002"/>
      <c r="AT42" s="1002"/>
      <c r="AU42" s="1002"/>
      <c r="AV42" s="1002"/>
      <c r="AW42" s="1002"/>
      <c r="AX42" s="1002"/>
      <c r="AY42" s="1002"/>
      <c r="AZ42" s="1002"/>
      <c r="BA42" s="1002"/>
      <c r="BB42" s="1002"/>
      <c r="BC42" s="1002"/>
      <c r="BD42" s="1002"/>
      <c r="BE42" s="204"/>
      <c r="BF42" s="205" t="s">
        <v>419</v>
      </c>
      <c r="BG42" s="204"/>
      <c r="BH42" s="204"/>
      <c r="BI42" s="204"/>
      <c r="BJ42" s="204"/>
      <c r="BK42" s="206"/>
    </row>
    <row r="43" spans="1:63" s="164" customFormat="1" ht="31.5" customHeight="1">
      <c r="A43" s="177" t="s">
        <v>416</v>
      </c>
      <c r="B43" s="178" t="s">
        <v>452</v>
      </c>
      <c r="C43" s="179"/>
      <c r="D43" s="179"/>
      <c r="E43" s="179"/>
      <c r="F43" s="179"/>
      <c r="G43" s="179"/>
      <c r="H43" s="179"/>
      <c r="I43" s="179"/>
      <c r="J43" s="179"/>
      <c r="K43" s="179"/>
      <c r="L43" s="192"/>
      <c r="M43" s="1016" t="s">
        <v>453</v>
      </c>
      <c r="N43" s="1000"/>
      <c r="O43" s="1000"/>
      <c r="P43" s="1000"/>
      <c r="Q43" s="1000"/>
      <c r="R43" s="1000"/>
      <c r="S43" s="1000"/>
      <c r="T43" s="1000"/>
      <c r="U43" s="1000"/>
      <c r="V43" s="1000"/>
      <c r="W43" s="1000"/>
      <c r="X43" s="1000"/>
      <c r="Y43" s="1000"/>
      <c r="Z43" s="1000"/>
      <c r="AA43" s="1000"/>
      <c r="AB43" s="1000"/>
      <c r="AC43" s="1000"/>
      <c r="AD43" s="1000"/>
      <c r="AE43" s="1000"/>
      <c r="AF43" s="1000"/>
      <c r="AG43" s="1000"/>
      <c r="AH43" s="1000"/>
      <c r="AI43" s="1000"/>
      <c r="AJ43" s="1000"/>
      <c r="AK43" s="1000"/>
      <c r="AL43" s="1000"/>
      <c r="AM43" s="1000"/>
      <c r="AN43" s="1000"/>
      <c r="AO43" s="1000"/>
      <c r="AP43" s="1000"/>
      <c r="AQ43" s="1000"/>
      <c r="AR43" s="1000"/>
      <c r="AS43" s="1000"/>
      <c r="AT43" s="1000"/>
      <c r="AU43" s="1000"/>
      <c r="AV43" s="1000"/>
      <c r="AW43" s="1000"/>
      <c r="AX43" s="1000"/>
      <c r="AY43" s="1000"/>
      <c r="AZ43" s="1000"/>
      <c r="BA43" s="1000"/>
      <c r="BB43" s="1000"/>
      <c r="BC43" s="1000"/>
      <c r="BD43" s="1000"/>
      <c r="BE43" s="201"/>
      <c r="BF43" s="202" t="s">
        <v>419</v>
      </c>
      <c r="BG43" s="201"/>
      <c r="BH43" s="201"/>
      <c r="BI43" s="201"/>
      <c r="BJ43" s="201"/>
      <c r="BK43" s="203"/>
    </row>
    <row r="44" spans="1:63" s="164" customFormat="1" ht="15.75" customHeight="1">
      <c r="A44" s="180"/>
      <c r="B44" s="181"/>
      <c r="C44" s="179"/>
      <c r="D44" s="179"/>
      <c r="E44" s="179"/>
      <c r="F44" s="179"/>
      <c r="G44" s="179"/>
      <c r="H44" s="179"/>
      <c r="I44" s="179"/>
      <c r="J44" s="179"/>
      <c r="K44" s="179"/>
      <c r="L44" s="192"/>
      <c r="M44" s="179"/>
      <c r="N44" s="179"/>
      <c r="O44" s="179"/>
      <c r="P44" s="179"/>
      <c r="Q44" s="179"/>
      <c r="R44" s="179"/>
      <c r="S44" s="179"/>
      <c r="T44" s="179"/>
      <c r="U44" s="179"/>
      <c r="V44" s="179"/>
      <c r="W44" s="179"/>
      <c r="X44" s="179"/>
      <c r="Y44" s="179"/>
      <c r="Z44" s="179"/>
      <c r="AA44" s="179"/>
      <c r="AB44" s="179"/>
      <c r="AC44" s="179"/>
      <c r="AD44" s="179"/>
      <c r="AE44" s="179"/>
      <c r="AF44" s="179"/>
      <c r="AG44" s="179"/>
      <c r="AH44" s="179"/>
      <c r="AI44" s="179"/>
      <c r="AJ44" s="179"/>
      <c r="AK44" s="179"/>
      <c r="AL44" s="179"/>
      <c r="AM44" s="179"/>
      <c r="AN44" s="179"/>
      <c r="AO44" s="179"/>
      <c r="AP44" s="179"/>
      <c r="AQ44" s="179"/>
      <c r="AR44" s="179"/>
      <c r="AS44" s="179"/>
      <c r="AT44" s="179"/>
      <c r="AU44" s="179"/>
      <c r="AV44" s="179"/>
      <c r="AW44" s="179"/>
      <c r="AX44" s="179"/>
      <c r="AY44" s="179"/>
      <c r="AZ44" s="179"/>
      <c r="BA44" s="179"/>
      <c r="BB44" s="179"/>
      <c r="BC44" s="179"/>
      <c r="BD44" s="179"/>
      <c r="BE44" s="201"/>
      <c r="BF44" s="201"/>
      <c r="BG44" s="201"/>
      <c r="BH44" s="201"/>
      <c r="BI44" s="201"/>
      <c r="BJ44" s="201"/>
      <c r="BK44" s="203"/>
    </row>
    <row r="45" spans="1:63" s="164" customFormat="1" ht="15.75" customHeight="1">
      <c r="A45" s="174"/>
      <c r="B45" s="175" t="s">
        <v>454</v>
      </c>
      <c r="C45" s="176"/>
      <c r="D45" s="176"/>
      <c r="E45" s="176"/>
      <c r="F45" s="176"/>
      <c r="G45" s="176"/>
      <c r="H45" s="176"/>
      <c r="I45" s="176"/>
      <c r="J45" s="176"/>
      <c r="K45" s="176"/>
      <c r="L45" s="190"/>
      <c r="M45" s="176"/>
      <c r="N45" s="191" t="s">
        <v>403</v>
      </c>
      <c r="O45" s="176"/>
      <c r="P45" s="176"/>
      <c r="Q45" s="176"/>
      <c r="R45" s="176"/>
      <c r="S45" s="176"/>
      <c r="T45" s="176"/>
      <c r="U45" s="176"/>
      <c r="V45" s="176"/>
      <c r="W45" s="176"/>
      <c r="X45" s="176"/>
      <c r="Y45" s="176"/>
      <c r="Z45" s="176"/>
      <c r="AA45" s="176"/>
      <c r="AB45" s="176"/>
      <c r="AC45" s="176"/>
      <c r="AD45" s="176"/>
      <c r="AE45" s="176"/>
      <c r="AF45" s="176"/>
      <c r="AG45" s="176"/>
      <c r="AH45" s="176"/>
      <c r="AI45" s="176"/>
      <c r="AJ45" s="176"/>
      <c r="AK45" s="176"/>
      <c r="AL45" s="176"/>
      <c r="AM45" s="176"/>
      <c r="AN45" s="176"/>
      <c r="AO45" s="176"/>
      <c r="AP45" s="176"/>
      <c r="AQ45" s="176"/>
      <c r="AR45" s="176"/>
      <c r="AS45" s="176"/>
      <c r="AT45" s="176"/>
      <c r="AU45" s="176"/>
      <c r="AV45" s="176"/>
      <c r="AW45" s="176"/>
      <c r="AX45" s="176"/>
      <c r="AY45" s="176"/>
      <c r="AZ45" s="176"/>
      <c r="BA45" s="176"/>
      <c r="BB45" s="176"/>
      <c r="BC45" s="176"/>
      <c r="BD45" s="176"/>
      <c r="BE45" s="199" t="s">
        <v>404</v>
      </c>
      <c r="BF45" s="199" t="s">
        <v>405</v>
      </c>
      <c r="BG45" s="199" t="s">
        <v>406</v>
      </c>
      <c r="BH45" s="199" t="s">
        <v>407</v>
      </c>
      <c r="BI45" s="199" t="s">
        <v>408</v>
      </c>
      <c r="BJ45" s="199" t="s">
        <v>409</v>
      </c>
      <c r="BK45" s="200" t="s">
        <v>410</v>
      </c>
    </row>
    <row r="46" spans="1:63" s="164" customFormat="1" ht="31.5" customHeight="1">
      <c r="A46" s="177" t="s">
        <v>416</v>
      </c>
      <c r="B46" s="178" t="s">
        <v>455</v>
      </c>
      <c r="C46" s="179"/>
      <c r="D46" s="179"/>
      <c r="E46" s="179"/>
      <c r="F46" s="179"/>
      <c r="G46" s="179"/>
      <c r="H46" s="179"/>
      <c r="I46" s="179"/>
      <c r="J46" s="179"/>
      <c r="K46" s="179"/>
      <c r="L46" s="192"/>
      <c r="M46" s="1016" t="s">
        <v>456</v>
      </c>
      <c r="N46" s="1000"/>
      <c r="O46" s="1000"/>
      <c r="P46" s="1000"/>
      <c r="Q46" s="1000"/>
      <c r="R46" s="1000"/>
      <c r="S46" s="1000"/>
      <c r="T46" s="1000"/>
      <c r="U46" s="1000"/>
      <c r="V46" s="1000"/>
      <c r="W46" s="1000"/>
      <c r="X46" s="1000"/>
      <c r="Y46" s="1000"/>
      <c r="Z46" s="1000"/>
      <c r="AA46" s="1000"/>
      <c r="AB46" s="1000"/>
      <c r="AC46" s="1000"/>
      <c r="AD46" s="1000"/>
      <c r="AE46" s="1000"/>
      <c r="AF46" s="1000"/>
      <c r="AG46" s="1000"/>
      <c r="AH46" s="1000"/>
      <c r="AI46" s="1000"/>
      <c r="AJ46" s="1000"/>
      <c r="AK46" s="1000"/>
      <c r="AL46" s="1000"/>
      <c r="AM46" s="1000"/>
      <c r="AN46" s="1000"/>
      <c r="AO46" s="1000"/>
      <c r="AP46" s="1000"/>
      <c r="AQ46" s="1000"/>
      <c r="AR46" s="1000"/>
      <c r="AS46" s="1000"/>
      <c r="AT46" s="1000"/>
      <c r="AU46" s="1000"/>
      <c r="AV46" s="1000"/>
      <c r="AW46" s="1000"/>
      <c r="AX46" s="1000"/>
      <c r="AY46" s="1000"/>
      <c r="AZ46" s="1000"/>
      <c r="BA46" s="1000"/>
      <c r="BB46" s="1000"/>
      <c r="BC46" s="1000"/>
      <c r="BD46" s="1000"/>
      <c r="BE46" s="201"/>
      <c r="BF46" s="202" t="s">
        <v>419</v>
      </c>
      <c r="BG46" s="201"/>
      <c r="BH46" s="201"/>
      <c r="BI46" s="201"/>
      <c r="BJ46" s="201"/>
      <c r="BK46" s="203"/>
    </row>
    <row r="47" spans="1:63" s="164" customFormat="1" ht="31.5" customHeight="1">
      <c r="A47" s="177" t="s">
        <v>416</v>
      </c>
      <c r="B47" s="178" t="s">
        <v>457</v>
      </c>
      <c r="C47" s="179"/>
      <c r="D47" s="179"/>
      <c r="E47" s="179"/>
      <c r="F47" s="179"/>
      <c r="G47" s="179"/>
      <c r="H47" s="179"/>
      <c r="I47" s="179"/>
      <c r="J47" s="179"/>
      <c r="K47" s="179"/>
      <c r="L47" s="192"/>
      <c r="M47" s="1016" t="s">
        <v>458</v>
      </c>
      <c r="N47" s="1000"/>
      <c r="O47" s="1000"/>
      <c r="P47" s="1000"/>
      <c r="Q47" s="1000"/>
      <c r="R47" s="1000"/>
      <c r="S47" s="1000"/>
      <c r="T47" s="1000"/>
      <c r="U47" s="1000"/>
      <c r="V47" s="1000"/>
      <c r="W47" s="1000"/>
      <c r="X47" s="1000"/>
      <c r="Y47" s="1000"/>
      <c r="Z47" s="1000"/>
      <c r="AA47" s="1000"/>
      <c r="AB47" s="1000"/>
      <c r="AC47" s="1000"/>
      <c r="AD47" s="1000"/>
      <c r="AE47" s="1000"/>
      <c r="AF47" s="1000"/>
      <c r="AG47" s="1000"/>
      <c r="AH47" s="1000"/>
      <c r="AI47" s="1000"/>
      <c r="AJ47" s="1000"/>
      <c r="AK47" s="1000"/>
      <c r="AL47" s="1000"/>
      <c r="AM47" s="1000"/>
      <c r="AN47" s="1000"/>
      <c r="AO47" s="1000"/>
      <c r="AP47" s="1000"/>
      <c r="AQ47" s="1000"/>
      <c r="AR47" s="1000"/>
      <c r="AS47" s="1000"/>
      <c r="AT47" s="1000"/>
      <c r="AU47" s="1000"/>
      <c r="AV47" s="1000"/>
      <c r="AW47" s="1000"/>
      <c r="AX47" s="1000"/>
      <c r="AY47" s="1000"/>
      <c r="AZ47" s="1000"/>
      <c r="BA47" s="1000"/>
      <c r="BB47" s="1000"/>
      <c r="BC47" s="1000"/>
      <c r="BD47" s="1000"/>
      <c r="BE47" s="201"/>
      <c r="BF47" s="202" t="s">
        <v>419</v>
      </c>
      <c r="BG47" s="201"/>
      <c r="BH47" s="201"/>
      <c r="BI47" s="201"/>
      <c r="BJ47" s="201"/>
      <c r="BK47" s="203"/>
    </row>
    <row r="48" spans="1:63" s="164" customFormat="1" ht="31.5" customHeight="1">
      <c r="A48" s="177" t="s">
        <v>416</v>
      </c>
      <c r="B48" s="178" t="s">
        <v>459</v>
      </c>
      <c r="C48" s="179"/>
      <c r="D48" s="179"/>
      <c r="E48" s="179"/>
      <c r="F48" s="179"/>
      <c r="G48" s="179"/>
      <c r="H48" s="179"/>
      <c r="I48" s="179"/>
      <c r="J48" s="179"/>
      <c r="K48" s="179"/>
      <c r="L48" s="192"/>
      <c r="M48" s="1016" t="s">
        <v>460</v>
      </c>
      <c r="N48" s="1000"/>
      <c r="O48" s="1000"/>
      <c r="P48" s="1000"/>
      <c r="Q48" s="1000"/>
      <c r="R48" s="1000"/>
      <c r="S48" s="1000"/>
      <c r="T48" s="1000"/>
      <c r="U48" s="1000"/>
      <c r="V48" s="1000"/>
      <c r="W48" s="1000"/>
      <c r="X48" s="1000"/>
      <c r="Y48" s="1000"/>
      <c r="Z48" s="1000"/>
      <c r="AA48" s="1000"/>
      <c r="AB48" s="1000"/>
      <c r="AC48" s="1000"/>
      <c r="AD48" s="1000"/>
      <c r="AE48" s="1000"/>
      <c r="AF48" s="1000"/>
      <c r="AG48" s="1000"/>
      <c r="AH48" s="1000"/>
      <c r="AI48" s="1000"/>
      <c r="AJ48" s="1000"/>
      <c r="AK48" s="1000"/>
      <c r="AL48" s="1000"/>
      <c r="AM48" s="1000"/>
      <c r="AN48" s="1000"/>
      <c r="AO48" s="1000"/>
      <c r="AP48" s="1000"/>
      <c r="AQ48" s="1000"/>
      <c r="AR48" s="1000"/>
      <c r="AS48" s="1000"/>
      <c r="AT48" s="1000"/>
      <c r="AU48" s="1000"/>
      <c r="AV48" s="1000"/>
      <c r="AW48" s="1000"/>
      <c r="AX48" s="1000"/>
      <c r="AY48" s="1000"/>
      <c r="AZ48" s="1000"/>
      <c r="BA48" s="1000"/>
      <c r="BB48" s="1000"/>
      <c r="BC48" s="1000"/>
      <c r="BD48" s="1000"/>
      <c r="BE48" s="201"/>
      <c r="BF48" s="202" t="s">
        <v>419</v>
      </c>
      <c r="BG48" s="201"/>
      <c r="BH48" s="201"/>
      <c r="BI48" s="201"/>
      <c r="BJ48" s="201"/>
      <c r="BK48" s="203"/>
    </row>
    <row r="49" spans="1:63" s="164" customFormat="1" ht="15.75" customHeight="1">
      <c r="A49" s="180"/>
      <c r="B49" s="181"/>
      <c r="C49" s="179"/>
      <c r="D49" s="179"/>
      <c r="E49" s="179"/>
      <c r="F49" s="179"/>
      <c r="G49" s="179"/>
      <c r="H49" s="179"/>
      <c r="I49" s="179"/>
      <c r="J49" s="179"/>
      <c r="K49" s="179"/>
      <c r="L49" s="192"/>
      <c r="M49" s="179"/>
      <c r="N49" s="179"/>
      <c r="O49" s="179"/>
      <c r="P49" s="179"/>
      <c r="Q49" s="179"/>
      <c r="R49" s="179"/>
      <c r="S49" s="179"/>
      <c r="T49" s="179"/>
      <c r="U49" s="179"/>
      <c r="V49" s="179"/>
      <c r="W49" s="179"/>
      <c r="X49" s="179"/>
      <c r="Y49" s="179"/>
      <c r="Z49" s="179"/>
      <c r="AA49" s="179"/>
      <c r="AB49" s="179"/>
      <c r="AC49" s="179"/>
      <c r="AD49" s="179"/>
      <c r="AE49" s="179"/>
      <c r="AF49" s="179"/>
      <c r="AG49" s="179"/>
      <c r="AH49" s="179"/>
      <c r="AI49" s="179"/>
      <c r="AJ49" s="179"/>
      <c r="AK49" s="179"/>
      <c r="AL49" s="179"/>
      <c r="AM49" s="179"/>
      <c r="AN49" s="179"/>
      <c r="AO49" s="179"/>
      <c r="AP49" s="179"/>
      <c r="AQ49" s="179"/>
      <c r="AR49" s="179"/>
      <c r="AS49" s="179"/>
      <c r="AT49" s="179"/>
      <c r="AU49" s="179"/>
      <c r="AV49" s="179"/>
      <c r="AW49" s="179"/>
      <c r="AX49" s="179"/>
      <c r="AY49" s="179"/>
      <c r="AZ49" s="179"/>
      <c r="BA49" s="179"/>
      <c r="BB49" s="179"/>
      <c r="BC49" s="179"/>
      <c r="BD49" s="179"/>
      <c r="BE49" s="201"/>
      <c r="BF49" s="201"/>
      <c r="BG49" s="201"/>
      <c r="BH49" s="201"/>
      <c r="BI49" s="201"/>
      <c r="BJ49" s="201"/>
      <c r="BK49" s="203"/>
    </row>
    <row r="50" spans="1:63" s="164" customFormat="1" ht="15.75" customHeight="1">
      <c r="A50" s="174"/>
      <c r="B50" s="175" t="s">
        <v>221</v>
      </c>
      <c r="C50" s="176"/>
      <c r="D50" s="176"/>
      <c r="E50" s="176"/>
      <c r="F50" s="176"/>
      <c r="G50" s="176"/>
      <c r="H50" s="176"/>
      <c r="I50" s="176"/>
      <c r="J50" s="176"/>
      <c r="K50" s="176"/>
      <c r="L50" s="190"/>
      <c r="M50" s="176"/>
      <c r="N50" s="191" t="s">
        <v>403</v>
      </c>
      <c r="O50" s="176"/>
      <c r="P50" s="176"/>
      <c r="Q50" s="176"/>
      <c r="R50" s="176"/>
      <c r="S50" s="176"/>
      <c r="T50" s="176"/>
      <c r="U50" s="176"/>
      <c r="V50" s="176"/>
      <c r="W50" s="176"/>
      <c r="X50" s="176"/>
      <c r="Y50" s="176"/>
      <c r="Z50" s="176"/>
      <c r="AA50" s="176"/>
      <c r="AB50" s="176"/>
      <c r="AC50" s="176"/>
      <c r="AD50" s="176"/>
      <c r="AE50" s="176"/>
      <c r="AF50" s="176"/>
      <c r="AG50" s="176"/>
      <c r="AH50" s="176"/>
      <c r="AI50" s="176"/>
      <c r="AJ50" s="176"/>
      <c r="AK50" s="176"/>
      <c r="AL50" s="176"/>
      <c r="AM50" s="176"/>
      <c r="AN50" s="176"/>
      <c r="AO50" s="176"/>
      <c r="AP50" s="176"/>
      <c r="AQ50" s="176"/>
      <c r="AR50" s="176"/>
      <c r="AS50" s="176"/>
      <c r="AT50" s="176"/>
      <c r="AU50" s="176"/>
      <c r="AV50" s="176"/>
      <c r="AW50" s="176"/>
      <c r="AX50" s="176"/>
      <c r="AY50" s="176"/>
      <c r="AZ50" s="176"/>
      <c r="BA50" s="176"/>
      <c r="BB50" s="176"/>
      <c r="BC50" s="176"/>
      <c r="BD50" s="176"/>
      <c r="BE50" s="199" t="s">
        <v>404</v>
      </c>
      <c r="BF50" s="199" t="s">
        <v>405</v>
      </c>
      <c r="BG50" s="199" t="s">
        <v>406</v>
      </c>
      <c r="BH50" s="199" t="s">
        <v>407</v>
      </c>
      <c r="BI50" s="199" t="s">
        <v>408</v>
      </c>
      <c r="BJ50" s="199" t="s">
        <v>409</v>
      </c>
      <c r="BK50" s="200" t="s">
        <v>410</v>
      </c>
    </row>
    <row r="51" spans="1:63" s="164" customFormat="1" ht="15.75" customHeight="1">
      <c r="A51" s="177" t="s">
        <v>416</v>
      </c>
      <c r="B51" s="178" t="s">
        <v>461</v>
      </c>
      <c r="C51" s="179"/>
      <c r="D51" s="179"/>
      <c r="E51" s="179"/>
      <c r="F51" s="179"/>
      <c r="G51" s="179"/>
      <c r="H51" s="179"/>
      <c r="I51" s="179"/>
      <c r="J51" s="179"/>
      <c r="K51" s="179"/>
      <c r="L51" s="192"/>
      <c r="M51" s="999"/>
      <c r="N51" s="1000"/>
      <c r="O51" s="1000"/>
      <c r="P51" s="1000"/>
      <c r="Q51" s="1000"/>
      <c r="R51" s="1000"/>
      <c r="S51" s="1000"/>
      <c r="T51" s="1000"/>
      <c r="U51" s="1000"/>
      <c r="V51" s="1000"/>
      <c r="W51" s="1000"/>
      <c r="X51" s="1000"/>
      <c r="Y51" s="1000"/>
      <c r="Z51" s="1000"/>
      <c r="AA51" s="1000"/>
      <c r="AB51" s="1000"/>
      <c r="AC51" s="1000"/>
      <c r="AD51" s="1000"/>
      <c r="AE51" s="1000"/>
      <c r="AF51" s="1000"/>
      <c r="AG51" s="1000"/>
      <c r="AH51" s="1000"/>
      <c r="AI51" s="1000"/>
      <c r="AJ51" s="1000"/>
      <c r="AK51" s="1000"/>
      <c r="AL51" s="1000"/>
      <c r="AM51" s="1000"/>
      <c r="AN51" s="1000"/>
      <c r="AO51" s="1000"/>
      <c r="AP51" s="1000"/>
      <c r="AQ51" s="1000"/>
      <c r="AR51" s="1000"/>
      <c r="AS51" s="1000"/>
      <c r="AT51" s="1000"/>
      <c r="AU51" s="1000"/>
      <c r="AV51" s="1000"/>
      <c r="AW51" s="1000"/>
      <c r="AX51" s="1000"/>
      <c r="AY51" s="1000"/>
      <c r="AZ51" s="1000"/>
      <c r="BA51" s="1000"/>
      <c r="BB51" s="1000"/>
      <c r="BC51" s="1000"/>
      <c r="BD51" s="1000"/>
      <c r="BE51" s="201"/>
      <c r="BF51" s="202" t="s">
        <v>462</v>
      </c>
      <c r="BG51" s="201"/>
      <c r="BH51" s="201"/>
      <c r="BI51" s="201"/>
      <c r="BJ51" s="201"/>
      <c r="BK51" s="203"/>
    </row>
    <row r="52" spans="1:63" s="164" customFormat="1" ht="15.75" customHeight="1">
      <c r="A52" s="177" t="s">
        <v>416</v>
      </c>
      <c r="B52" s="178" t="s">
        <v>463</v>
      </c>
      <c r="C52" s="179"/>
      <c r="D52" s="179"/>
      <c r="E52" s="179"/>
      <c r="F52" s="179"/>
      <c r="G52" s="179"/>
      <c r="H52" s="179"/>
      <c r="I52" s="179"/>
      <c r="J52" s="179"/>
      <c r="K52" s="179"/>
      <c r="L52" s="192"/>
      <c r="M52" s="999"/>
      <c r="N52" s="1000"/>
      <c r="O52" s="1000"/>
      <c r="P52" s="1000"/>
      <c r="Q52" s="1000"/>
      <c r="R52" s="1000"/>
      <c r="S52" s="1000"/>
      <c r="T52" s="1000"/>
      <c r="U52" s="1000"/>
      <c r="V52" s="1000"/>
      <c r="W52" s="1000"/>
      <c r="X52" s="1000"/>
      <c r="Y52" s="1000"/>
      <c r="Z52" s="1000"/>
      <c r="AA52" s="1000"/>
      <c r="AB52" s="1000"/>
      <c r="AC52" s="1000"/>
      <c r="AD52" s="1000"/>
      <c r="AE52" s="1000"/>
      <c r="AF52" s="1000"/>
      <c r="AG52" s="1000"/>
      <c r="AH52" s="1000"/>
      <c r="AI52" s="1000"/>
      <c r="AJ52" s="1000"/>
      <c r="AK52" s="1000"/>
      <c r="AL52" s="1000"/>
      <c r="AM52" s="1000"/>
      <c r="AN52" s="1000"/>
      <c r="AO52" s="1000"/>
      <c r="AP52" s="1000"/>
      <c r="AQ52" s="1000"/>
      <c r="AR52" s="1000"/>
      <c r="AS52" s="1000"/>
      <c r="AT52" s="1000"/>
      <c r="AU52" s="1000"/>
      <c r="AV52" s="1000"/>
      <c r="AW52" s="1000"/>
      <c r="AX52" s="1000"/>
      <c r="AY52" s="1000"/>
      <c r="AZ52" s="1000"/>
      <c r="BA52" s="1000"/>
      <c r="BB52" s="1000"/>
      <c r="BC52" s="1000"/>
      <c r="BD52" s="1000"/>
      <c r="BE52" s="201"/>
      <c r="BF52" s="202" t="s">
        <v>464</v>
      </c>
      <c r="BG52" s="201"/>
      <c r="BH52" s="201"/>
      <c r="BI52" s="201"/>
      <c r="BJ52" s="201"/>
      <c r="BK52" s="203"/>
    </row>
    <row r="53" spans="1:63" s="164" customFormat="1" ht="15.75" customHeight="1">
      <c r="A53" s="177" t="s">
        <v>416</v>
      </c>
      <c r="B53" s="178" t="s">
        <v>465</v>
      </c>
      <c r="C53" s="179"/>
      <c r="D53" s="179"/>
      <c r="E53" s="179"/>
      <c r="F53" s="179"/>
      <c r="G53" s="179"/>
      <c r="H53" s="179"/>
      <c r="I53" s="179"/>
      <c r="J53" s="179"/>
      <c r="K53" s="179"/>
      <c r="L53" s="192"/>
      <c r="M53" s="999"/>
      <c r="N53" s="1000"/>
      <c r="O53" s="1000"/>
      <c r="P53" s="1000"/>
      <c r="Q53" s="1000"/>
      <c r="R53" s="1000"/>
      <c r="S53" s="1000"/>
      <c r="T53" s="1000"/>
      <c r="U53" s="1000"/>
      <c r="V53" s="1000"/>
      <c r="W53" s="1000"/>
      <c r="X53" s="1000"/>
      <c r="Y53" s="1000"/>
      <c r="Z53" s="1000"/>
      <c r="AA53" s="1000"/>
      <c r="AB53" s="1000"/>
      <c r="AC53" s="1000"/>
      <c r="AD53" s="1000"/>
      <c r="AE53" s="1000"/>
      <c r="AF53" s="1000"/>
      <c r="AG53" s="1000"/>
      <c r="AH53" s="1000"/>
      <c r="AI53" s="1000"/>
      <c r="AJ53" s="1000"/>
      <c r="AK53" s="1000"/>
      <c r="AL53" s="1000"/>
      <c r="AM53" s="1000"/>
      <c r="AN53" s="1000"/>
      <c r="AO53" s="1000"/>
      <c r="AP53" s="1000"/>
      <c r="AQ53" s="1000"/>
      <c r="AR53" s="1000"/>
      <c r="AS53" s="1000"/>
      <c r="AT53" s="1000"/>
      <c r="AU53" s="1000"/>
      <c r="AV53" s="1000"/>
      <c r="AW53" s="1000"/>
      <c r="AX53" s="1000"/>
      <c r="AY53" s="1000"/>
      <c r="AZ53" s="1000"/>
      <c r="BA53" s="1000"/>
      <c r="BB53" s="1000"/>
      <c r="BC53" s="1000"/>
      <c r="BD53" s="1000"/>
      <c r="BE53" s="201"/>
      <c r="BF53" s="202" t="s">
        <v>462</v>
      </c>
      <c r="BG53" s="201"/>
      <c r="BH53" s="201"/>
      <c r="BI53" s="201"/>
      <c r="BJ53" s="201"/>
      <c r="BK53" s="203"/>
    </row>
    <row r="54" spans="1:63" s="164" customFormat="1" ht="15.75" customHeight="1">
      <c r="A54" s="177" t="s">
        <v>416</v>
      </c>
      <c r="B54" s="178" t="s">
        <v>466</v>
      </c>
      <c r="C54" s="179"/>
      <c r="D54" s="179"/>
      <c r="E54" s="179"/>
      <c r="F54" s="179"/>
      <c r="G54" s="179"/>
      <c r="H54" s="179"/>
      <c r="I54" s="179"/>
      <c r="J54" s="179"/>
      <c r="K54" s="179"/>
      <c r="L54" s="192"/>
      <c r="M54" s="999"/>
      <c r="N54" s="1000"/>
      <c r="O54" s="1000"/>
      <c r="P54" s="1000"/>
      <c r="Q54" s="1000"/>
      <c r="R54" s="1000"/>
      <c r="S54" s="1000"/>
      <c r="T54" s="1000"/>
      <c r="U54" s="1000"/>
      <c r="V54" s="1000"/>
      <c r="W54" s="1000"/>
      <c r="X54" s="1000"/>
      <c r="Y54" s="1000"/>
      <c r="Z54" s="1000"/>
      <c r="AA54" s="1000"/>
      <c r="AB54" s="1000"/>
      <c r="AC54" s="1000"/>
      <c r="AD54" s="1000"/>
      <c r="AE54" s="1000"/>
      <c r="AF54" s="1000"/>
      <c r="AG54" s="1000"/>
      <c r="AH54" s="1000"/>
      <c r="AI54" s="1000"/>
      <c r="AJ54" s="1000"/>
      <c r="AK54" s="1000"/>
      <c r="AL54" s="1000"/>
      <c r="AM54" s="1000"/>
      <c r="AN54" s="1000"/>
      <c r="AO54" s="1000"/>
      <c r="AP54" s="1000"/>
      <c r="AQ54" s="1000"/>
      <c r="AR54" s="1000"/>
      <c r="AS54" s="1000"/>
      <c r="AT54" s="1000"/>
      <c r="AU54" s="1000"/>
      <c r="AV54" s="1000"/>
      <c r="AW54" s="1000"/>
      <c r="AX54" s="1000"/>
      <c r="AY54" s="1000"/>
      <c r="AZ54" s="1000"/>
      <c r="BA54" s="1000"/>
      <c r="BB54" s="1000"/>
      <c r="BC54" s="1000"/>
      <c r="BD54" s="1000"/>
      <c r="BE54" s="201"/>
      <c r="BF54" s="202" t="s">
        <v>464</v>
      </c>
      <c r="BG54" s="201"/>
      <c r="BH54" s="201"/>
      <c r="BI54" s="201"/>
      <c r="BJ54" s="201"/>
      <c r="BK54" s="203"/>
    </row>
    <row r="55" spans="1:63" s="164" customFormat="1" ht="15.75" customHeight="1">
      <c r="A55" s="177" t="s">
        <v>416</v>
      </c>
      <c r="B55" s="178" t="s">
        <v>467</v>
      </c>
      <c r="C55" s="179"/>
      <c r="D55" s="179"/>
      <c r="E55" s="179"/>
      <c r="F55" s="179"/>
      <c r="G55" s="179"/>
      <c r="H55" s="179"/>
      <c r="I55" s="179"/>
      <c r="J55" s="179"/>
      <c r="K55" s="179"/>
      <c r="L55" s="192"/>
      <c r="M55" s="999"/>
      <c r="N55" s="1000"/>
      <c r="O55" s="1000"/>
      <c r="P55" s="1000"/>
      <c r="Q55" s="1000"/>
      <c r="R55" s="1000"/>
      <c r="S55" s="1000"/>
      <c r="T55" s="1000"/>
      <c r="U55" s="1000"/>
      <c r="V55" s="1000"/>
      <c r="W55" s="1000"/>
      <c r="X55" s="1000"/>
      <c r="Y55" s="1000"/>
      <c r="Z55" s="1000"/>
      <c r="AA55" s="1000"/>
      <c r="AB55" s="1000"/>
      <c r="AC55" s="1000"/>
      <c r="AD55" s="1000"/>
      <c r="AE55" s="1000"/>
      <c r="AF55" s="1000"/>
      <c r="AG55" s="1000"/>
      <c r="AH55" s="1000"/>
      <c r="AI55" s="1000"/>
      <c r="AJ55" s="1000"/>
      <c r="AK55" s="1000"/>
      <c r="AL55" s="1000"/>
      <c r="AM55" s="1000"/>
      <c r="AN55" s="1000"/>
      <c r="AO55" s="1000"/>
      <c r="AP55" s="1000"/>
      <c r="AQ55" s="1000"/>
      <c r="AR55" s="1000"/>
      <c r="AS55" s="1000"/>
      <c r="AT55" s="1000"/>
      <c r="AU55" s="1000"/>
      <c r="AV55" s="1000"/>
      <c r="AW55" s="1000"/>
      <c r="AX55" s="1000"/>
      <c r="AY55" s="1000"/>
      <c r="AZ55" s="1000"/>
      <c r="BA55" s="1000"/>
      <c r="BB55" s="1000"/>
      <c r="BC55" s="1000"/>
      <c r="BD55" s="1000"/>
      <c r="BE55" s="201"/>
      <c r="BF55" s="202" t="s">
        <v>462</v>
      </c>
      <c r="BG55" s="201"/>
      <c r="BH55" s="201"/>
      <c r="BI55" s="201"/>
      <c r="BJ55" s="201"/>
      <c r="BK55" s="203"/>
    </row>
    <row r="56" spans="1:63" s="164" customFormat="1" ht="15.75" customHeight="1">
      <c r="A56" s="177" t="s">
        <v>416</v>
      </c>
      <c r="B56" s="178" t="s">
        <v>468</v>
      </c>
      <c r="C56" s="179"/>
      <c r="D56" s="179"/>
      <c r="E56" s="179"/>
      <c r="F56" s="179"/>
      <c r="G56" s="179"/>
      <c r="H56" s="179"/>
      <c r="I56" s="179"/>
      <c r="J56" s="179"/>
      <c r="K56" s="179"/>
      <c r="L56" s="192"/>
      <c r="M56" s="999"/>
      <c r="N56" s="1000"/>
      <c r="O56" s="1000"/>
      <c r="P56" s="1000"/>
      <c r="Q56" s="1000"/>
      <c r="R56" s="1000"/>
      <c r="S56" s="1000"/>
      <c r="T56" s="1000"/>
      <c r="U56" s="1000"/>
      <c r="V56" s="1000"/>
      <c r="W56" s="1000"/>
      <c r="X56" s="1000"/>
      <c r="Y56" s="1000"/>
      <c r="Z56" s="1000"/>
      <c r="AA56" s="1000"/>
      <c r="AB56" s="1000"/>
      <c r="AC56" s="1000"/>
      <c r="AD56" s="1000"/>
      <c r="AE56" s="1000"/>
      <c r="AF56" s="1000"/>
      <c r="AG56" s="1000"/>
      <c r="AH56" s="1000"/>
      <c r="AI56" s="1000"/>
      <c r="AJ56" s="1000"/>
      <c r="AK56" s="1000"/>
      <c r="AL56" s="1000"/>
      <c r="AM56" s="1000"/>
      <c r="AN56" s="1000"/>
      <c r="AO56" s="1000"/>
      <c r="AP56" s="1000"/>
      <c r="AQ56" s="1000"/>
      <c r="AR56" s="1000"/>
      <c r="AS56" s="1000"/>
      <c r="AT56" s="1000"/>
      <c r="AU56" s="1000"/>
      <c r="AV56" s="1000"/>
      <c r="AW56" s="1000"/>
      <c r="AX56" s="1000"/>
      <c r="AY56" s="1000"/>
      <c r="AZ56" s="1000"/>
      <c r="BA56" s="1000"/>
      <c r="BB56" s="1000"/>
      <c r="BC56" s="1000"/>
      <c r="BD56" s="1000"/>
      <c r="BE56" s="201"/>
      <c r="BF56" s="202" t="s">
        <v>464</v>
      </c>
      <c r="BG56" s="201"/>
      <c r="BH56" s="201"/>
      <c r="BI56" s="201"/>
      <c r="BJ56" s="201"/>
      <c r="BK56" s="203"/>
    </row>
    <row r="57" spans="1:63" s="164" customFormat="1" ht="15.75" customHeight="1">
      <c r="A57" s="177" t="s">
        <v>416</v>
      </c>
      <c r="B57" s="178" t="s">
        <v>469</v>
      </c>
      <c r="C57" s="179"/>
      <c r="D57" s="179"/>
      <c r="E57" s="179"/>
      <c r="F57" s="179"/>
      <c r="G57" s="179"/>
      <c r="H57" s="179"/>
      <c r="I57" s="179"/>
      <c r="J57" s="179"/>
      <c r="K57" s="179"/>
      <c r="L57" s="192"/>
      <c r="M57" s="999"/>
      <c r="N57" s="1000"/>
      <c r="O57" s="1000"/>
      <c r="P57" s="1000"/>
      <c r="Q57" s="1000"/>
      <c r="R57" s="1000"/>
      <c r="S57" s="1000"/>
      <c r="T57" s="1000"/>
      <c r="U57" s="1000"/>
      <c r="V57" s="1000"/>
      <c r="W57" s="1000"/>
      <c r="X57" s="1000"/>
      <c r="Y57" s="1000"/>
      <c r="Z57" s="1000"/>
      <c r="AA57" s="1000"/>
      <c r="AB57" s="1000"/>
      <c r="AC57" s="1000"/>
      <c r="AD57" s="1000"/>
      <c r="AE57" s="1000"/>
      <c r="AF57" s="1000"/>
      <c r="AG57" s="1000"/>
      <c r="AH57" s="1000"/>
      <c r="AI57" s="1000"/>
      <c r="AJ57" s="1000"/>
      <c r="AK57" s="1000"/>
      <c r="AL57" s="1000"/>
      <c r="AM57" s="1000"/>
      <c r="AN57" s="1000"/>
      <c r="AO57" s="1000"/>
      <c r="AP57" s="1000"/>
      <c r="AQ57" s="1000"/>
      <c r="AR57" s="1000"/>
      <c r="AS57" s="1000"/>
      <c r="AT57" s="1000"/>
      <c r="AU57" s="1000"/>
      <c r="AV57" s="1000"/>
      <c r="AW57" s="1000"/>
      <c r="AX57" s="1000"/>
      <c r="AY57" s="1000"/>
      <c r="AZ57" s="1000"/>
      <c r="BA57" s="1000"/>
      <c r="BB57" s="1000"/>
      <c r="BC57" s="1000"/>
      <c r="BD57" s="1000"/>
      <c r="BE57" s="201"/>
      <c r="BF57" s="202" t="s">
        <v>462</v>
      </c>
      <c r="BG57" s="201"/>
      <c r="BH57" s="201"/>
      <c r="BI57" s="201"/>
      <c r="BJ57" s="201"/>
      <c r="BK57" s="203"/>
    </row>
    <row r="58" spans="1:63" s="164" customFormat="1" ht="15.75" customHeight="1">
      <c r="A58" s="182" t="s">
        <v>416</v>
      </c>
      <c r="B58" s="183" t="s">
        <v>470</v>
      </c>
      <c r="C58" s="184"/>
      <c r="D58" s="184"/>
      <c r="E58" s="184"/>
      <c r="F58" s="184"/>
      <c r="G58" s="184"/>
      <c r="H58" s="184"/>
      <c r="I58" s="184"/>
      <c r="J58" s="184"/>
      <c r="K58" s="184"/>
      <c r="L58" s="193"/>
      <c r="M58" s="1003"/>
      <c r="N58" s="1002"/>
      <c r="O58" s="1002"/>
      <c r="P58" s="1002"/>
      <c r="Q58" s="1002"/>
      <c r="R58" s="1002"/>
      <c r="S58" s="1002"/>
      <c r="T58" s="1002"/>
      <c r="U58" s="1002"/>
      <c r="V58" s="1002"/>
      <c r="W58" s="1002"/>
      <c r="X58" s="1002"/>
      <c r="Y58" s="1002"/>
      <c r="Z58" s="1002"/>
      <c r="AA58" s="1002"/>
      <c r="AB58" s="1002"/>
      <c r="AC58" s="1002"/>
      <c r="AD58" s="1002"/>
      <c r="AE58" s="1002"/>
      <c r="AF58" s="1002"/>
      <c r="AG58" s="1002"/>
      <c r="AH58" s="1002"/>
      <c r="AI58" s="1002"/>
      <c r="AJ58" s="1002"/>
      <c r="AK58" s="1002"/>
      <c r="AL58" s="1002"/>
      <c r="AM58" s="1002"/>
      <c r="AN58" s="1002"/>
      <c r="AO58" s="1002"/>
      <c r="AP58" s="1002"/>
      <c r="AQ58" s="1002"/>
      <c r="AR58" s="1002"/>
      <c r="AS58" s="1002"/>
      <c r="AT58" s="1002"/>
      <c r="AU58" s="1002"/>
      <c r="AV58" s="1002"/>
      <c r="AW58" s="1002"/>
      <c r="AX58" s="1002"/>
      <c r="AY58" s="1002"/>
      <c r="AZ58" s="1002"/>
      <c r="BA58" s="1002"/>
      <c r="BB58" s="1002"/>
      <c r="BC58" s="1002"/>
      <c r="BD58" s="1002"/>
      <c r="BE58" s="204"/>
      <c r="BF58" s="205" t="s">
        <v>464</v>
      </c>
      <c r="BG58" s="204"/>
      <c r="BH58" s="204"/>
      <c r="BI58" s="204"/>
      <c r="BJ58" s="204"/>
      <c r="BK58" s="206"/>
    </row>
    <row r="59" spans="1:63" s="164" customFormat="1" ht="15.75" customHeight="1">
      <c r="A59" s="182" t="s">
        <v>416</v>
      </c>
      <c r="B59" s="183" t="s">
        <v>471</v>
      </c>
      <c r="C59" s="184"/>
      <c r="D59" s="184"/>
      <c r="E59" s="184"/>
      <c r="F59" s="184"/>
      <c r="G59" s="184"/>
      <c r="H59" s="184"/>
      <c r="I59" s="184"/>
      <c r="J59" s="184"/>
      <c r="K59" s="184"/>
      <c r="L59" s="193"/>
      <c r="M59" s="1003"/>
      <c r="N59" s="1002"/>
      <c r="O59" s="1002"/>
      <c r="P59" s="1002"/>
      <c r="Q59" s="1002"/>
      <c r="R59" s="1002"/>
      <c r="S59" s="1002"/>
      <c r="T59" s="1002"/>
      <c r="U59" s="1002"/>
      <c r="V59" s="1002"/>
      <c r="W59" s="1002"/>
      <c r="X59" s="1002"/>
      <c r="Y59" s="1002"/>
      <c r="Z59" s="1002"/>
      <c r="AA59" s="1002"/>
      <c r="AB59" s="1002"/>
      <c r="AC59" s="1002"/>
      <c r="AD59" s="1002"/>
      <c r="AE59" s="1002"/>
      <c r="AF59" s="1002"/>
      <c r="AG59" s="1002"/>
      <c r="AH59" s="1002"/>
      <c r="AI59" s="1002"/>
      <c r="AJ59" s="1002"/>
      <c r="AK59" s="1002"/>
      <c r="AL59" s="1002"/>
      <c r="AM59" s="1002"/>
      <c r="AN59" s="1002"/>
      <c r="AO59" s="1002"/>
      <c r="AP59" s="1002"/>
      <c r="AQ59" s="1002"/>
      <c r="AR59" s="1002"/>
      <c r="AS59" s="1002"/>
      <c r="AT59" s="1002"/>
      <c r="AU59" s="1002"/>
      <c r="AV59" s="1002"/>
      <c r="AW59" s="1002"/>
      <c r="AX59" s="1002"/>
      <c r="AY59" s="1002"/>
      <c r="AZ59" s="1002"/>
      <c r="BA59" s="1002"/>
      <c r="BB59" s="1002"/>
      <c r="BC59" s="1002"/>
      <c r="BD59" s="1002"/>
      <c r="BE59" s="204"/>
      <c r="BF59" s="205" t="s">
        <v>462</v>
      </c>
      <c r="BG59" s="204"/>
      <c r="BH59" s="204"/>
      <c r="BI59" s="204"/>
      <c r="BJ59" s="204"/>
      <c r="BK59" s="206"/>
    </row>
    <row r="60" spans="1:63" s="164" customFormat="1" ht="15.75" customHeight="1">
      <c r="A60" s="182" t="s">
        <v>416</v>
      </c>
      <c r="B60" s="183" t="s">
        <v>472</v>
      </c>
      <c r="C60" s="184"/>
      <c r="D60" s="184"/>
      <c r="E60" s="184"/>
      <c r="F60" s="184"/>
      <c r="G60" s="184"/>
      <c r="H60" s="184"/>
      <c r="I60" s="184"/>
      <c r="J60" s="184"/>
      <c r="K60" s="184"/>
      <c r="L60" s="193"/>
      <c r="M60" s="1003" t="s">
        <v>473</v>
      </c>
      <c r="N60" s="1002"/>
      <c r="O60" s="1002"/>
      <c r="P60" s="1002"/>
      <c r="Q60" s="1002"/>
      <c r="R60" s="1002"/>
      <c r="S60" s="1002"/>
      <c r="T60" s="1002"/>
      <c r="U60" s="1002"/>
      <c r="V60" s="1002"/>
      <c r="W60" s="1002"/>
      <c r="X60" s="1002"/>
      <c r="Y60" s="1002"/>
      <c r="Z60" s="1002"/>
      <c r="AA60" s="1002"/>
      <c r="AB60" s="1002"/>
      <c r="AC60" s="1002"/>
      <c r="AD60" s="1002"/>
      <c r="AE60" s="1002"/>
      <c r="AF60" s="1002"/>
      <c r="AG60" s="1002"/>
      <c r="AH60" s="1002"/>
      <c r="AI60" s="1002"/>
      <c r="AJ60" s="1002"/>
      <c r="AK60" s="1002"/>
      <c r="AL60" s="1002"/>
      <c r="AM60" s="1002"/>
      <c r="AN60" s="1002"/>
      <c r="AO60" s="1002"/>
      <c r="AP60" s="1002"/>
      <c r="AQ60" s="1002"/>
      <c r="AR60" s="1002"/>
      <c r="AS60" s="1002"/>
      <c r="AT60" s="1002"/>
      <c r="AU60" s="1002"/>
      <c r="AV60" s="1002"/>
      <c r="AW60" s="1002"/>
      <c r="AX60" s="1002"/>
      <c r="AY60" s="1002"/>
      <c r="AZ60" s="1002"/>
      <c r="BA60" s="1002"/>
      <c r="BB60" s="1002"/>
      <c r="BC60" s="1002"/>
      <c r="BD60" s="1002"/>
      <c r="BE60" s="204"/>
      <c r="BF60" s="205" t="s">
        <v>462</v>
      </c>
      <c r="BG60" s="204"/>
      <c r="BH60" s="204"/>
      <c r="BI60" s="204"/>
      <c r="BJ60" s="204"/>
      <c r="BK60" s="206"/>
    </row>
    <row r="61" spans="1:63" s="164" customFormat="1" ht="15.75" customHeight="1">
      <c r="A61" s="182" t="s">
        <v>416</v>
      </c>
      <c r="B61" s="183" t="s">
        <v>474</v>
      </c>
      <c r="C61" s="184"/>
      <c r="D61" s="184"/>
      <c r="E61" s="184"/>
      <c r="F61" s="184"/>
      <c r="G61" s="184"/>
      <c r="H61" s="184"/>
      <c r="I61" s="184"/>
      <c r="J61" s="184"/>
      <c r="K61" s="184"/>
      <c r="L61" s="193"/>
      <c r="M61" s="1003"/>
      <c r="N61" s="1002"/>
      <c r="O61" s="1002"/>
      <c r="P61" s="1002"/>
      <c r="Q61" s="1002"/>
      <c r="R61" s="1002"/>
      <c r="S61" s="1002"/>
      <c r="T61" s="1002"/>
      <c r="U61" s="1002"/>
      <c r="V61" s="1002"/>
      <c r="W61" s="1002"/>
      <c r="X61" s="1002"/>
      <c r="Y61" s="1002"/>
      <c r="Z61" s="1002"/>
      <c r="AA61" s="1002"/>
      <c r="AB61" s="1002"/>
      <c r="AC61" s="1002"/>
      <c r="AD61" s="1002"/>
      <c r="AE61" s="1002"/>
      <c r="AF61" s="1002"/>
      <c r="AG61" s="1002"/>
      <c r="AH61" s="1002"/>
      <c r="AI61" s="1002"/>
      <c r="AJ61" s="1002"/>
      <c r="AK61" s="1002"/>
      <c r="AL61" s="1002"/>
      <c r="AM61" s="1002"/>
      <c r="AN61" s="1002"/>
      <c r="AO61" s="1002"/>
      <c r="AP61" s="1002"/>
      <c r="AQ61" s="1002"/>
      <c r="AR61" s="1002"/>
      <c r="AS61" s="1002"/>
      <c r="AT61" s="1002"/>
      <c r="AU61" s="1002"/>
      <c r="AV61" s="1002"/>
      <c r="AW61" s="1002"/>
      <c r="AX61" s="1002"/>
      <c r="AY61" s="1002"/>
      <c r="AZ61" s="1002"/>
      <c r="BA61" s="1002"/>
      <c r="BB61" s="1002"/>
      <c r="BC61" s="1002"/>
      <c r="BD61" s="1002"/>
      <c r="BE61" s="204"/>
      <c r="BF61" s="205" t="s">
        <v>462</v>
      </c>
      <c r="BG61" s="204"/>
      <c r="BH61" s="204"/>
      <c r="BI61" s="204"/>
      <c r="BJ61" s="204"/>
      <c r="BK61" s="206"/>
    </row>
    <row r="62" spans="1:63" s="164" customFormat="1" ht="15.75" customHeight="1">
      <c r="A62" s="182" t="s">
        <v>416</v>
      </c>
      <c r="B62" s="183" t="s">
        <v>475</v>
      </c>
      <c r="C62" s="184"/>
      <c r="D62" s="184"/>
      <c r="E62" s="184"/>
      <c r="F62" s="184"/>
      <c r="G62" s="184"/>
      <c r="H62" s="184"/>
      <c r="I62" s="184"/>
      <c r="J62" s="184"/>
      <c r="K62" s="184"/>
      <c r="L62" s="193"/>
      <c r="M62" s="1003"/>
      <c r="N62" s="1002"/>
      <c r="O62" s="1002"/>
      <c r="P62" s="1002"/>
      <c r="Q62" s="1002"/>
      <c r="R62" s="1002"/>
      <c r="S62" s="1002"/>
      <c r="T62" s="1002"/>
      <c r="U62" s="1002"/>
      <c r="V62" s="1002"/>
      <c r="W62" s="1002"/>
      <c r="X62" s="1002"/>
      <c r="Y62" s="1002"/>
      <c r="Z62" s="1002"/>
      <c r="AA62" s="1002"/>
      <c r="AB62" s="1002"/>
      <c r="AC62" s="1002"/>
      <c r="AD62" s="1002"/>
      <c r="AE62" s="1002"/>
      <c r="AF62" s="1002"/>
      <c r="AG62" s="1002"/>
      <c r="AH62" s="1002"/>
      <c r="AI62" s="1002"/>
      <c r="AJ62" s="1002"/>
      <c r="AK62" s="1002"/>
      <c r="AL62" s="1002"/>
      <c r="AM62" s="1002"/>
      <c r="AN62" s="1002"/>
      <c r="AO62" s="1002"/>
      <c r="AP62" s="1002"/>
      <c r="AQ62" s="1002"/>
      <c r="AR62" s="1002"/>
      <c r="AS62" s="1002"/>
      <c r="AT62" s="1002"/>
      <c r="AU62" s="1002"/>
      <c r="AV62" s="1002"/>
      <c r="AW62" s="1002"/>
      <c r="AX62" s="1002"/>
      <c r="AY62" s="1002"/>
      <c r="AZ62" s="1002"/>
      <c r="BA62" s="1002"/>
      <c r="BB62" s="1002"/>
      <c r="BC62" s="1002"/>
      <c r="BD62" s="1002"/>
      <c r="BE62" s="204"/>
      <c r="BF62" s="205" t="s">
        <v>462</v>
      </c>
      <c r="BG62" s="204"/>
      <c r="BH62" s="204"/>
      <c r="BI62" s="204"/>
      <c r="BJ62" s="204"/>
      <c r="BK62" s="206"/>
    </row>
    <row r="63" spans="1:63" s="164" customFormat="1" ht="15.75" customHeight="1">
      <c r="A63" s="182" t="s">
        <v>416</v>
      </c>
      <c r="B63" s="183" t="s">
        <v>476</v>
      </c>
      <c r="C63" s="184"/>
      <c r="D63" s="184"/>
      <c r="E63" s="184"/>
      <c r="F63" s="184"/>
      <c r="G63" s="184"/>
      <c r="H63" s="184"/>
      <c r="I63" s="184"/>
      <c r="J63" s="184"/>
      <c r="K63" s="184"/>
      <c r="L63" s="193"/>
      <c r="M63" s="1001" t="s">
        <v>477</v>
      </c>
      <c r="N63" s="1002"/>
      <c r="O63" s="1002"/>
      <c r="P63" s="1002"/>
      <c r="Q63" s="1002"/>
      <c r="R63" s="1002"/>
      <c r="S63" s="1002"/>
      <c r="T63" s="1002"/>
      <c r="U63" s="1002"/>
      <c r="V63" s="1002"/>
      <c r="W63" s="1002"/>
      <c r="X63" s="1002"/>
      <c r="Y63" s="1002"/>
      <c r="Z63" s="1002"/>
      <c r="AA63" s="1002"/>
      <c r="AB63" s="1002"/>
      <c r="AC63" s="1002"/>
      <c r="AD63" s="1002"/>
      <c r="AE63" s="1002"/>
      <c r="AF63" s="1002"/>
      <c r="AG63" s="1002"/>
      <c r="AH63" s="1002"/>
      <c r="AI63" s="1002"/>
      <c r="AJ63" s="1002"/>
      <c r="AK63" s="1002"/>
      <c r="AL63" s="1002"/>
      <c r="AM63" s="1002"/>
      <c r="AN63" s="1002"/>
      <c r="AO63" s="1002"/>
      <c r="AP63" s="1002"/>
      <c r="AQ63" s="1002"/>
      <c r="AR63" s="1002"/>
      <c r="AS63" s="1002"/>
      <c r="AT63" s="1002"/>
      <c r="AU63" s="1002"/>
      <c r="AV63" s="1002"/>
      <c r="AW63" s="1002"/>
      <c r="AX63" s="1002"/>
      <c r="AY63" s="1002"/>
      <c r="AZ63" s="1002"/>
      <c r="BA63" s="1002"/>
      <c r="BB63" s="1002"/>
      <c r="BC63" s="1002"/>
      <c r="BD63" s="1002"/>
      <c r="BE63" s="204"/>
      <c r="BF63" s="205" t="s">
        <v>419</v>
      </c>
      <c r="BG63" s="204"/>
      <c r="BH63" s="204"/>
      <c r="BI63" s="204"/>
      <c r="BJ63" s="205" t="s">
        <v>409</v>
      </c>
      <c r="BK63" s="206"/>
    </row>
    <row r="64" spans="1:63" s="164" customFormat="1" ht="15.75" customHeight="1">
      <c r="A64" s="182" t="s">
        <v>416</v>
      </c>
      <c r="B64" s="183" t="s">
        <v>478</v>
      </c>
      <c r="C64" s="184"/>
      <c r="D64" s="184"/>
      <c r="E64" s="184"/>
      <c r="F64" s="184"/>
      <c r="G64" s="184"/>
      <c r="H64" s="184"/>
      <c r="I64" s="184"/>
      <c r="J64" s="184"/>
      <c r="K64" s="184"/>
      <c r="L64" s="193"/>
      <c r="M64" s="1003"/>
      <c r="N64" s="1002"/>
      <c r="O64" s="1002"/>
      <c r="P64" s="1002"/>
      <c r="Q64" s="1002"/>
      <c r="R64" s="1002"/>
      <c r="S64" s="1002"/>
      <c r="T64" s="1002"/>
      <c r="U64" s="1002"/>
      <c r="V64" s="1002"/>
      <c r="W64" s="1002"/>
      <c r="X64" s="1002"/>
      <c r="Y64" s="1002"/>
      <c r="Z64" s="1002"/>
      <c r="AA64" s="1002"/>
      <c r="AB64" s="1002"/>
      <c r="AC64" s="1002"/>
      <c r="AD64" s="1002"/>
      <c r="AE64" s="1002"/>
      <c r="AF64" s="1002"/>
      <c r="AG64" s="1002"/>
      <c r="AH64" s="1002"/>
      <c r="AI64" s="1002"/>
      <c r="AJ64" s="1002"/>
      <c r="AK64" s="1002"/>
      <c r="AL64" s="1002"/>
      <c r="AM64" s="1002"/>
      <c r="AN64" s="1002"/>
      <c r="AO64" s="1002"/>
      <c r="AP64" s="1002"/>
      <c r="AQ64" s="1002"/>
      <c r="AR64" s="1002"/>
      <c r="AS64" s="1002"/>
      <c r="AT64" s="1002"/>
      <c r="AU64" s="1002"/>
      <c r="AV64" s="1002"/>
      <c r="AW64" s="1002"/>
      <c r="AX64" s="1002"/>
      <c r="AY64" s="1002"/>
      <c r="AZ64" s="1002"/>
      <c r="BA64" s="1002"/>
      <c r="BB64" s="1002"/>
      <c r="BC64" s="1002"/>
      <c r="BD64" s="1002"/>
      <c r="BE64" s="204"/>
      <c r="BF64" s="205" t="s">
        <v>462</v>
      </c>
      <c r="BG64" s="204"/>
      <c r="BH64" s="204"/>
      <c r="BI64" s="204"/>
      <c r="BJ64" s="205" t="s">
        <v>409</v>
      </c>
      <c r="BK64" s="206"/>
    </row>
    <row r="65" spans="1:63" s="164" customFormat="1" ht="15.75" customHeight="1">
      <c r="A65" s="182" t="s">
        <v>416</v>
      </c>
      <c r="B65" s="183" t="s">
        <v>479</v>
      </c>
      <c r="C65" s="184"/>
      <c r="D65" s="184"/>
      <c r="E65" s="184"/>
      <c r="F65" s="184"/>
      <c r="G65" s="184"/>
      <c r="H65" s="184"/>
      <c r="I65" s="184"/>
      <c r="J65" s="184"/>
      <c r="K65" s="184"/>
      <c r="L65" s="193"/>
      <c r="M65" s="1003"/>
      <c r="N65" s="1002"/>
      <c r="O65" s="1002"/>
      <c r="P65" s="1002"/>
      <c r="Q65" s="1002"/>
      <c r="R65" s="1002"/>
      <c r="S65" s="1002"/>
      <c r="T65" s="1002"/>
      <c r="U65" s="1002"/>
      <c r="V65" s="1002"/>
      <c r="W65" s="1002"/>
      <c r="X65" s="1002"/>
      <c r="Y65" s="1002"/>
      <c r="Z65" s="1002"/>
      <c r="AA65" s="1002"/>
      <c r="AB65" s="1002"/>
      <c r="AC65" s="1002"/>
      <c r="AD65" s="1002"/>
      <c r="AE65" s="1002"/>
      <c r="AF65" s="1002"/>
      <c r="AG65" s="1002"/>
      <c r="AH65" s="1002"/>
      <c r="AI65" s="1002"/>
      <c r="AJ65" s="1002"/>
      <c r="AK65" s="1002"/>
      <c r="AL65" s="1002"/>
      <c r="AM65" s="1002"/>
      <c r="AN65" s="1002"/>
      <c r="AO65" s="1002"/>
      <c r="AP65" s="1002"/>
      <c r="AQ65" s="1002"/>
      <c r="AR65" s="1002"/>
      <c r="AS65" s="1002"/>
      <c r="AT65" s="1002"/>
      <c r="AU65" s="1002"/>
      <c r="AV65" s="1002"/>
      <c r="AW65" s="1002"/>
      <c r="AX65" s="1002"/>
      <c r="AY65" s="1002"/>
      <c r="AZ65" s="1002"/>
      <c r="BA65" s="1002"/>
      <c r="BB65" s="1002"/>
      <c r="BC65" s="1002"/>
      <c r="BD65" s="1002"/>
      <c r="BE65" s="204"/>
      <c r="BF65" s="205" t="s">
        <v>462</v>
      </c>
      <c r="BG65" s="204"/>
      <c r="BH65" s="204"/>
      <c r="BI65" s="204"/>
      <c r="BJ65" s="205" t="s">
        <v>409</v>
      </c>
      <c r="BK65" s="206"/>
    </row>
    <row r="66" spans="1:63" s="164" customFormat="1" ht="15.75" customHeight="1">
      <c r="A66" s="182" t="s">
        <v>416</v>
      </c>
      <c r="B66" s="183" t="s">
        <v>480</v>
      </c>
      <c r="C66" s="184"/>
      <c r="D66" s="184"/>
      <c r="E66" s="184"/>
      <c r="F66" s="184"/>
      <c r="G66" s="184"/>
      <c r="H66" s="184"/>
      <c r="I66" s="184"/>
      <c r="J66" s="184"/>
      <c r="K66" s="184"/>
      <c r="L66" s="193"/>
      <c r="M66" s="1003"/>
      <c r="N66" s="1002"/>
      <c r="O66" s="1002"/>
      <c r="P66" s="1002"/>
      <c r="Q66" s="1002"/>
      <c r="R66" s="1002"/>
      <c r="S66" s="1002"/>
      <c r="T66" s="1002"/>
      <c r="U66" s="1002"/>
      <c r="V66" s="1002"/>
      <c r="W66" s="1002"/>
      <c r="X66" s="1002"/>
      <c r="Y66" s="1002"/>
      <c r="Z66" s="1002"/>
      <c r="AA66" s="1002"/>
      <c r="AB66" s="1002"/>
      <c r="AC66" s="1002"/>
      <c r="AD66" s="1002"/>
      <c r="AE66" s="1002"/>
      <c r="AF66" s="1002"/>
      <c r="AG66" s="1002"/>
      <c r="AH66" s="1002"/>
      <c r="AI66" s="1002"/>
      <c r="AJ66" s="1002"/>
      <c r="AK66" s="1002"/>
      <c r="AL66" s="1002"/>
      <c r="AM66" s="1002"/>
      <c r="AN66" s="1002"/>
      <c r="AO66" s="1002"/>
      <c r="AP66" s="1002"/>
      <c r="AQ66" s="1002"/>
      <c r="AR66" s="1002"/>
      <c r="AS66" s="1002"/>
      <c r="AT66" s="1002"/>
      <c r="AU66" s="1002"/>
      <c r="AV66" s="1002"/>
      <c r="AW66" s="1002"/>
      <c r="AX66" s="1002"/>
      <c r="AY66" s="1002"/>
      <c r="AZ66" s="1002"/>
      <c r="BA66" s="1002"/>
      <c r="BB66" s="1002"/>
      <c r="BC66" s="1002"/>
      <c r="BD66" s="1002"/>
      <c r="BE66" s="204"/>
      <c r="BF66" s="205" t="s">
        <v>462</v>
      </c>
      <c r="BG66" s="204"/>
      <c r="BH66" s="204"/>
      <c r="BI66" s="204"/>
      <c r="BJ66" s="205" t="s">
        <v>409</v>
      </c>
      <c r="BK66" s="206"/>
    </row>
    <row r="67" spans="1:63" s="164" customFormat="1" ht="15.75" customHeight="1">
      <c r="A67" s="182" t="s">
        <v>416</v>
      </c>
      <c r="B67" s="183" t="s">
        <v>481</v>
      </c>
      <c r="C67" s="184"/>
      <c r="D67" s="184"/>
      <c r="E67" s="184"/>
      <c r="F67" s="184"/>
      <c r="G67" s="184"/>
      <c r="H67" s="184"/>
      <c r="I67" s="184"/>
      <c r="J67" s="184"/>
      <c r="K67" s="184"/>
      <c r="L67" s="193"/>
      <c r="M67" s="1003"/>
      <c r="N67" s="1002"/>
      <c r="O67" s="1002"/>
      <c r="P67" s="1002"/>
      <c r="Q67" s="1002"/>
      <c r="R67" s="1002"/>
      <c r="S67" s="1002"/>
      <c r="T67" s="1002"/>
      <c r="U67" s="1002"/>
      <c r="V67" s="1002"/>
      <c r="W67" s="1002"/>
      <c r="X67" s="1002"/>
      <c r="Y67" s="1002"/>
      <c r="Z67" s="1002"/>
      <c r="AA67" s="1002"/>
      <c r="AB67" s="1002"/>
      <c r="AC67" s="1002"/>
      <c r="AD67" s="1002"/>
      <c r="AE67" s="1002"/>
      <c r="AF67" s="1002"/>
      <c r="AG67" s="1002"/>
      <c r="AH67" s="1002"/>
      <c r="AI67" s="1002"/>
      <c r="AJ67" s="1002"/>
      <c r="AK67" s="1002"/>
      <c r="AL67" s="1002"/>
      <c r="AM67" s="1002"/>
      <c r="AN67" s="1002"/>
      <c r="AO67" s="1002"/>
      <c r="AP67" s="1002"/>
      <c r="AQ67" s="1002"/>
      <c r="AR67" s="1002"/>
      <c r="AS67" s="1002"/>
      <c r="AT67" s="1002"/>
      <c r="AU67" s="1002"/>
      <c r="AV67" s="1002"/>
      <c r="AW67" s="1002"/>
      <c r="AX67" s="1002"/>
      <c r="AY67" s="1002"/>
      <c r="AZ67" s="1002"/>
      <c r="BA67" s="1002"/>
      <c r="BB67" s="1002"/>
      <c r="BC67" s="1002"/>
      <c r="BD67" s="1002"/>
      <c r="BE67" s="204"/>
      <c r="BF67" s="205" t="s">
        <v>462</v>
      </c>
      <c r="BG67" s="204"/>
      <c r="BH67" s="204"/>
      <c r="BI67" s="204"/>
      <c r="BJ67" s="205" t="s">
        <v>409</v>
      </c>
      <c r="BK67" s="206"/>
    </row>
    <row r="68" spans="1:63" s="164" customFormat="1" ht="15.75" customHeight="1">
      <c r="A68" s="182" t="s">
        <v>416</v>
      </c>
      <c r="B68" s="183" t="s">
        <v>482</v>
      </c>
      <c r="C68" s="184"/>
      <c r="D68" s="184"/>
      <c r="E68" s="184"/>
      <c r="F68" s="184"/>
      <c r="G68" s="184"/>
      <c r="H68" s="184"/>
      <c r="I68" s="184"/>
      <c r="J68" s="184"/>
      <c r="K68" s="184"/>
      <c r="L68" s="193"/>
      <c r="M68" s="1003"/>
      <c r="N68" s="1002"/>
      <c r="O68" s="1002"/>
      <c r="P68" s="1002"/>
      <c r="Q68" s="1002"/>
      <c r="R68" s="1002"/>
      <c r="S68" s="1002"/>
      <c r="T68" s="1002"/>
      <c r="U68" s="1002"/>
      <c r="V68" s="1002"/>
      <c r="W68" s="1002"/>
      <c r="X68" s="1002"/>
      <c r="Y68" s="1002"/>
      <c r="Z68" s="1002"/>
      <c r="AA68" s="1002"/>
      <c r="AB68" s="1002"/>
      <c r="AC68" s="1002"/>
      <c r="AD68" s="1002"/>
      <c r="AE68" s="1002"/>
      <c r="AF68" s="1002"/>
      <c r="AG68" s="1002"/>
      <c r="AH68" s="1002"/>
      <c r="AI68" s="1002"/>
      <c r="AJ68" s="1002"/>
      <c r="AK68" s="1002"/>
      <c r="AL68" s="1002"/>
      <c r="AM68" s="1002"/>
      <c r="AN68" s="1002"/>
      <c r="AO68" s="1002"/>
      <c r="AP68" s="1002"/>
      <c r="AQ68" s="1002"/>
      <c r="AR68" s="1002"/>
      <c r="AS68" s="1002"/>
      <c r="AT68" s="1002"/>
      <c r="AU68" s="1002"/>
      <c r="AV68" s="1002"/>
      <c r="AW68" s="1002"/>
      <c r="AX68" s="1002"/>
      <c r="AY68" s="1002"/>
      <c r="AZ68" s="1002"/>
      <c r="BA68" s="1002"/>
      <c r="BB68" s="1002"/>
      <c r="BC68" s="1002"/>
      <c r="BD68" s="1002"/>
      <c r="BE68" s="204"/>
      <c r="BF68" s="205" t="s">
        <v>462</v>
      </c>
      <c r="BG68" s="204"/>
      <c r="BH68" s="204"/>
      <c r="BI68" s="204"/>
      <c r="BJ68" s="204"/>
      <c r="BK68" s="206"/>
    </row>
    <row r="69" spans="1:63" s="164" customFormat="1" ht="15.75" customHeight="1">
      <c r="A69" s="182" t="s">
        <v>416</v>
      </c>
      <c r="B69" s="183" t="s">
        <v>483</v>
      </c>
      <c r="C69" s="184"/>
      <c r="D69" s="184"/>
      <c r="E69" s="184"/>
      <c r="F69" s="184"/>
      <c r="G69" s="184"/>
      <c r="H69" s="184"/>
      <c r="I69" s="184"/>
      <c r="J69" s="184"/>
      <c r="K69" s="184"/>
      <c r="L69" s="193"/>
      <c r="M69" s="1003"/>
      <c r="N69" s="1002"/>
      <c r="O69" s="1002"/>
      <c r="P69" s="1002"/>
      <c r="Q69" s="1002"/>
      <c r="R69" s="1002"/>
      <c r="S69" s="1002"/>
      <c r="T69" s="1002"/>
      <c r="U69" s="1002"/>
      <c r="V69" s="1002"/>
      <c r="W69" s="1002"/>
      <c r="X69" s="1002"/>
      <c r="Y69" s="1002"/>
      <c r="Z69" s="1002"/>
      <c r="AA69" s="1002"/>
      <c r="AB69" s="1002"/>
      <c r="AC69" s="1002"/>
      <c r="AD69" s="1002"/>
      <c r="AE69" s="1002"/>
      <c r="AF69" s="1002"/>
      <c r="AG69" s="1002"/>
      <c r="AH69" s="1002"/>
      <c r="AI69" s="1002"/>
      <c r="AJ69" s="1002"/>
      <c r="AK69" s="1002"/>
      <c r="AL69" s="1002"/>
      <c r="AM69" s="1002"/>
      <c r="AN69" s="1002"/>
      <c r="AO69" s="1002"/>
      <c r="AP69" s="1002"/>
      <c r="AQ69" s="1002"/>
      <c r="AR69" s="1002"/>
      <c r="AS69" s="1002"/>
      <c r="AT69" s="1002"/>
      <c r="AU69" s="1002"/>
      <c r="AV69" s="1002"/>
      <c r="AW69" s="1002"/>
      <c r="AX69" s="1002"/>
      <c r="AY69" s="1002"/>
      <c r="AZ69" s="1002"/>
      <c r="BA69" s="1002"/>
      <c r="BB69" s="1002"/>
      <c r="BC69" s="1002"/>
      <c r="BD69" s="1002"/>
      <c r="BE69" s="204"/>
      <c r="BF69" s="205" t="s">
        <v>464</v>
      </c>
      <c r="BG69" s="204"/>
      <c r="BH69" s="204"/>
      <c r="BI69" s="204"/>
      <c r="BJ69" s="204"/>
      <c r="BK69" s="206"/>
    </row>
    <row r="70" spans="1:63" s="164" customFormat="1" ht="15.75" customHeight="1">
      <c r="A70" s="182" t="s">
        <v>416</v>
      </c>
      <c r="B70" s="183" t="s">
        <v>484</v>
      </c>
      <c r="C70" s="184"/>
      <c r="D70" s="184"/>
      <c r="E70" s="184"/>
      <c r="F70" s="184"/>
      <c r="G70" s="184"/>
      <c r="H70" s="184"/>
      <c r="I70" s="184"/>
      <c r="J70" s="184"/>
      <c r="K70" s="184"/>
      <c r="L70" s="193"/>
      <c r="M70" s="1003"/>
      <c r="N70" s="1002"/>
      <c r="O70" s="1002"/>
      <c r="P70" s="1002"/>
      <c r="Q70" s="1002"/>
      <c r="R70" s="1002"/>
      <c r="S70" s="1002"/>
      <c r="T70" s="1002"/>
      <c r="U70" s="1002"/>
      <c r="V70" s="1002"/>
      <c r="W70" s="1002"/>
      <c r="X70" s="1002"/>
      <c r="Y70" s="1002"/>
      <c r="Z70" s="1002"/>
      <c r="AA70" s="1002"/>
      <c r="AB70" s="1002"/>
      <c r="AC70" s="1002"/>
      <c r="AD70" s="1002"/>
      <c r="AE70" s="1002"/>
      <c r="AF70" s="1002"/>
      <c r="AG70" s="1002"/>
      <c r="AH70" s="1002"/>
      <c r="AI70" s="1002"/>
      <c r="AJ70" s="1002"/>
      <c r="AK70" s="1002"/>
      <c r="AL70" s="1002"/>
      <c r="AM70" s="1002"/>
      <c r="AN70" s="1002"/>
      <c r="AO70" s="1002"/>
      <c r="AP70" s="1002"/>
      <c r="AQ70" s="1002"/>
      <c r="AR70" s="1002"/>
      <c r="AS70" s="1002"/>
      <c r="AT70" s="1002"/>
      <c r="AU70" s="1002"/>
      <c r="AV70" s="1002"/>
      <c r="AW70" s="1002"/>
      <c r="AX70" s="1002"/>
      <c r="AY70" s="1002"/>
      <c r="AZ70" s="1002"/>
      <c r="BA70" s="1002"/>
      <c r="BB70" s="1002"/>
      <c r="BC70" s="1002"/>
      <c r="BD70" s="1002"/>
      <c r="BE70" s="204"/>
      <c r="BF70" s="205" t="s">
        <v>462</v>
      </c>
      <c r="BG70" s="204"/>
      <c r="BH70" s="204"/>
      <c r="BI70" s="204"/>
      <c r="BJ70" s="204"/>
      <c r="BK70" s="206"/>
    </row>
    <row r="71" spans="1:63" s="164" customFormat="1" ht="15.75" customHeight="1">
      <c r="A71" s="182" t="s">
        <v>416</v>
      </c>
      <c r="B71" s="183" t="s">
        <v>485</v>
      </c>
      <c r="C71" s="184"/>
      <c r="D71" s="184"/>
      <c r="E71" s="184"/>
      <c r="F71" s="184"/>
      <c r="G71" s="184"/>
      <c r="H71" s="184"/>
      <c r="I71" s="184"/>
      <c r="J71" s="184"/>
      <c r="K71" s="184"/>
      <c r="L71" s="193"/>
      <c r="M71" s="1003"/>
      <c r="N71" s="1002"/>
      <c r="O71" s="1002"/>
      <c r="P71" s="1002"/>
      <c r="Q71" s="1002"/>
      <c r="R71" s="1002"/>
      <c r="S71" s="1002"/>
      <c r="T71" s="1002"/>
      <c r="U71" s="1002"/>
      <c r="V71" s="1002"/>
      <c r="W71" s="1002"/>
      <c r="X71" s="1002"/>
      <c r="Y71" s="1002"/>
      <c r="Z71" s="1002"/>
      <c r="AA71" s="1002"/>
      <c r="AB71" s="1002"/>
      <c r="AC71" s="1002"/>
      <c r="AD71" s="1002"/>
      <c r="AE71" s="1002"/>
      <c r="AF71" s="1002"/>
      <c r="AG71" s="1002"/>
      <c r="AH71" s="1002"/>
      <c r="AI71" s="1002"/>
      <c r="AJ71" s="1002"/>
      <c r="AK71" s="1002"/>
      <c r="AL71" s="1002"/>
      <c r="AM71" s="1002"/>
      <c r="AN71" s="1002"/>
      <c r="AO71" s="1002"/>
      <c r="AP71" s="1002"/>
      <c r="AQ71" s="1002"/>
      <c r="AR71" s="1002"/>
      <c r="AS71" s="1002"/>
      <c r="AT71" s="1002"/>
      <c r="AU71" s="1002"/>
      <c r="AV71" s="1002"/>
      <c r="AW71" s="1002"/>
      <c r="AX71" s="1002"/>
      <c r="AY71" s="1002"/>
      <c r="AZ71" s="1002"/>
      <c r="BA71" s="1002"/>
      <c r="BB71" s="1002"/>
      <c r="BC71" s="1002"/>
      <c r="BD71" s="1002"/>
      <c r="BE71" s="204"/>
      <c r="BF71" s="205" t="s">
        <v>464</v>
      </c>
      <c r="BG71" s="204"/>
      <c r="BH71" s="204"/>
      <c r="BI71" s="204"/>
      <c r="BJ71" s="204"/>
      <c r="BK71" s="206"/>
    </row>
    <row r="72" spans="1:63" s="164" customFormat="1" ht="15.75" customHeight="1">
      <c r="A72" s="182" t="s">
        <v>416</v>
      </c>
      <c r="B72" s="183" t="s">
        <v>361</v>
      </c>
      <c r="C72" s="184"/>
      <c r="D72" s="184"/>
      <c r="E72" s="184"/>
      <c r="F72" s="184"/>
      <c r="G72" s="184"/>
      <c r="H72" s="184"/>
      <c r="I72" s="184"/>
      <c r="J72" s="184"/>
      <c r="K72" s="184"/>
      <c r="L72" s="193"/>
      <c r="M72" s="1003"/>
      <c r="N72" s="1002"/>
      <c r="O72" s="1002"/>
      <c r="P72" s="1002"/>
      <c r="Q72" s="1002"/>
      <c r="R72" s="1002"/>
      <c r="S72" s="1002"/>
      <c r="T72" s="1002"/>
      <c r="U72" s="1002"/>
      <c r="V72" s="1002"/>
      <c r="W72" s="1002"/>
      <c r="X72" s="1002"/>
      <c r="Y72" s="1002"/>
      <c r="Z72" s="1002"/>
      <c r="AA72" s="1002"/>
      <c r="AB72" s="1002"/>
      <c r="AC72" s="1002"/>
      <c r="AD72" s="1002"/>
      <c r="AE72" s="1002"/>
      <c r="AF72" s="1002"/>
      <c r="AG72" s="1002"/>
      <c r="AH72" s="1002"/>
      <c r="AI72" s="1002"/>
      <c r="AJ72" s="1002"/>
      <c r="AK72" s="1002"/>
      <c r="AL72" s="1002"/>
      <c r="AM72" s="1002"/>
      <c r="AN72" s="1002"/>
      <c r="AO72" s="1002"/>
      <c r="AP72" s="1002"/>
      <c r="AQ72" s="1002"/>
      <c r="AR72" s="1002"/>
      <c r="AS72" s="1002"/>
      <c r="AT72" s="1002"/>
      <c r="AU72" s="1002"/>
      <c r="AV72" s="1002"/>
      <c r="AW72" s="1002"/>
      <c r="AX72" s="1002"/>
      <c r="AY72" s="1002"/>
      <c r="AZ72" s="1002"/>
      <c r="BA72" s="1002"/>
      <c r="BB72" s="1002"/>
      <c r="BC72" s="1002"/>
      <c r="BD72" s="1002"/>
      <c r="BE72" s="205" t="s">
        <v>486</v>
      </c>
      <c r="BF72" s="205" t="s">
        <v>487</v>
      </c>
      <c r="BG72" s="204"/>
      <c r="BH72" s="204"/>
      <c r="BI72" s="204"/>
      <c r="BJ72" s="204"/>
      <c r="BK72" s="206"/>
    </row>
    <row r="73" spans="1:63" s="164" customFormat="1" ht="15.75" customHeight="1">
      <c r="A73" s="185"/>
      <c r="B73" s="183" t="s">
        <v>364</v>
      </c>
      <c r="C73" s="184"/>
      <c r="D73" s="184"/>
      <c r="E73" s="184"/>
      <c r="F73" s="184"/>
      <c r="G73" s="184"/>
      <c r="H73" s="184"/>
      <c r="I73" s="184"/>
      <c r="J73" s="184"/>
      <c r="K73" s="184"/>
      <c r="L73" s="193"/>
      <c r="M73" s="1003"/>
      <c r="N73" s="1002"/>
      <c r="O73" s="1002"/>
      <c r="P73" s="1002"/>
      <c r="Q73" s="1002"/>
      <c r="R73" s="1002"/>
      <c r="S73" s="1002"/>
      <c r="T73" s="1002"/>
      <c r="U73" s="1002"/>
      <c r="V73" s="1002"/>
      <c r="W73" s="1002"/>
      <c r="X73" s="1002"/>
      <c r="Y73" s="1002"/>
      <c r="Z73" s="1002"/>
      <c r="AA73" s="1002"/>
      <c r="AB73" s="1002"/>
      <c r="AC73" s="1002"/>
      <c r="AD73" s="1002"/>
      <c r="AE73" s="1002"/>
      <c r="AF73" s="1002"/>
      <c r="AG73" s="1002"/>
      <c r="AH73" s="1002"/>
      <c r="AI73" s="1002"/>
      <c r="AJ73" s="1002"/>
      <c r="AK73" s="1002"/>
      <c r="AL73" s="1002"/>
      <c r="AM73" s="1002"/>
      <c r="AN73" s="1002"/>
      <c r="AO73" s="1002"/>
      <c r="AP73" s="1002"/>
      <c r="AQ73" s="1002"/>
      <c r="AR73" s="1002"/>
      <c r="AS73" s="1002"/>
      <c r="AT73" s="1002"/>
      <c r="AU73" s="1002"/>
      <c r="AV73" s="1002"/>
      <c r="AW73" s="1002"/>
      <c r="AX73" s="1002"/>
      <c r="AY73" s="1002"/>
      <c r="AZ73" s="1002"/>
      <c r="BA73" s="1002"/>
      <c r="BB73" s="1002"/>
      <c r="BC73" s="1002"/>
      <c r="BD73" s="1002"/>
      <c r="BE73" s="204"/>
      <c r="BF73" s="205" t="s">
        <v>487</v>
      </c>
      <c r="BG73" s="204"/>
      <c r="BH73" s="204"/>
      <c r="BI73" s="204"/>
      <c r="BJ73" s="204"/>
      <c r="BK73" s="206"/>
    </row>
    <row r="74" spans="1:63" s="164" customFormat="1" ht="15.75" customHeight="1">
      <c r="A74" s="182" t="s">
        <v>416</v>
      </c>
      <c r="B74" s="183" t="s">
        <v>488</v>
      </c>
      <c r="C74" s="184"/>
      <c r="D74" s="184"/>
      <c r="E74" s="184"/>
      <c r="F74" s="184"/>
      <c r="G74" s="184"/>
      <c r="H74" s="184"/>
      <c r="I74" s="184"/>
      <c r="J74" s="184"/>
      <c r="K74" s="184"/>
      <c r="L74" s="193"/>
      <c r="M74" s="1003"/>
      <c r="N74" s="1002"/>
      <c r="O74" s="1002"/>
      <c r="P74" s="1002"/>
      <c r="Q74" s="1002"/>
      <c r="R74" s="1002"/>
      <c r="S74" s="1002"/>
      <c r="T74" s="1002"/>
      <c r="U74" s="1002"/>
      <c r="V74" s="1002"/>
      <c r="W74" s="1002"/>
      <c r="X74" s="1002"/>
      <c r="Y74" s="1002"/>
      <c r="Z74" s="1002"/>
      <c r="AA74" s="1002"/>
      <c r="AB74" s="1002"/>
      <c r="AC74" s="1002"/>
      <c r="AD74" s="1002"/>
      <c r="AE74" s="1002"/>
      <c r="AF74" s="1002"/>
      <c r="AG74" s="1002"/>
      <c r="AH74" s="1002"/>
      <c r="AI74" s="1002"/>
      <c r="AJ74" s="1002"/>
      <c r="AK74" s="1002"/>
      <c r="AL74" s="1002"/>
      <c r="AM74" s="1002"/>
      <c r="AN74" s="1002"/>
      <c r="AO74" s="1002"/>
      <c r="AP74" s="1002"/>
      <c r="AQ74" s="1002"/>
      <c r="AR74" s="1002"/>
      <c r="AS74" s="1002"/>
      <c r="AT74" s="1002"/>
      <c r="AU74" s="1002"/>
      <c r="AV74" s="1002"/>
      <c r="AW74" s="1002"/>
      <c r="AX74" s="1002"/>
      <c r="AY74" s="1002"/>
      <c r="AZ74" s="1002"/>
      <c r="BA74" s="1002"/>
      <c r="BB74" s="1002"/>
      <c r="BC74" s="1002"/>
      <c r="BD74" s="1002"/>
      <c r="BE74" s="205" t="s">
        <v>489</v>
      </c>
      <c r="BF74" s="205" t="s">
        <v>487</v>
      </c>
      <c r="BG74" s="204"/>
      <c r="BH74" s="204"/>
      <c r="BI74" s="204"/>
      <c r="BJ74" s="204"/>
      <c r="BK74" s="206"/>
    </row>
    <row r="75" spans="1:63" s="164" customFormat="1" ht="15.75" customHeight="1">
      <c r="A75" s="182" t="s">
        <v>416</v>
      </c>
      <c r="B75" s="183" t="s">
        <v>490</v>
      </c>
      <c r="C75" s="184"/>
      <c r="D75" s="184"/>
      <c r="E75" s="184"/>
      <c r="F75" s="184"/>
      <c r="G75" s="184"/>
      <c r="H75" s="184"/>
      <c r="I75" s="184"/>
      <c r="J75" s="184"/>
      <c r="K75" s="184"/>
      <c r="L75" s="193"/>
      <c r="M75" s="1003"/>
      <c r="N75" s="1002"/>
      <c r="O75" s="1002"/>
      <c r="P75" s="1002"/>
      <c r="Q75" s="1002"/>
      <c r="R75" s="1002"/>
      <c r="S75" s="1002"/>
      <c r="T75" s="1002"/>
      <c r="U75" s="1002"/>
      <c r="V75" s="1002"/>
      <c r="W75" s="1002"/>
      <c r="X75" s="1002"/>
      <c r="Y75" s="1002"/>
      <c r="Z75" s="1002"/>
      <c r="AA75" s="1002"/>
      <c r="AB75" s="1002"/>
      <c r="AC75" s="1002"/>
      <c r="AD75" s="1002"/>
      <c r="AE75" s="1002"/>
      <c r="AF75" s="1002"/>
      <c r="AG75" s="1002"/>
      <c r="AH75" s="1002"/>
      <c r="AI75" s="1002"/>
      <c r="AJ75" s="1002"/>
      <c r="AK75" s="1002"/>
      <c r="AL75" s="1002"/>
      <c r="AM75" s="1002"/>
      <c r="AN75" s="1002"/>
      <c r="AO75" s="1002"/>
      <c r="AP75" s="1002"/>
      <c r="AQ75" s="1002"/>
      <c r="AR75" s="1002"/>
      <c r="AS75" s="1002"/>
      <c r="AT75" s="1002"/>
      <c r="AU75" s="1002"/>
      <c r="AV75" s="1002"/>
      <c r="AW75" s="1002"/>
      <c r="AX75" s="1002"/>
      <c r="AY75" s="1002"/>
      <c r="AZ75" s="1002"/>
      <c r="BA75" s="1002"/>
      <c r="BB75" s="1002"/>
      <c r="BC75" s="1002"/>
      <c r="BD75" s="1002"/>
      <c r="BE75" s="204"/>
      <c r="BF75" s="205" t="s">
        <v>487</v>
      </c>
      <c r="BG75" s="204"/>
      <c r="BH75" s="204"/>
      <c r="BI75" s="204"/>
      <c r="BJ75" s="204"/>
      <c r="BK75" s="206"/>
    </row>
    <row r="76" spans="1:63" s="164" customFormat="1" ht="15.75" customHeight="1">
      <c r="A76" s="182" t="s">
        <v>416</v>
      </c>
      <c r="B76" s="183" t="s">
        <v>491</v>
      </c>
      <c r="C76" s="184"/>
      <c r="D76" s="184"/>
      <c r="E76" s="184"/>
      <c r="F76" s="184"/>
      <c r="G76" s="184"/>
      <c r="H76" s="184"/>
      <c r="I76" s="184"/>
      <c r="J76" s="184"/>
      <c r="K76" s="184"/>
      <c r="L76" s="193"/>
      <c r="M76" s="1001" t="s">
        <v>492</v>
      </c>
      <c r="N76" s="1002"/>
      <c r="O76" s="1002"/>
      <c r="P76" s="1002"/>
      <c r="Q76" s="1002"/>
      <c r="R76" s="1002"/>
      <c r="S76" s="1002"/>
      <c r="T76" s="1002"/>
      <c r="U76" s="1002"/>
      <c r="V76" s="1002"/>
      <c r="W76" s="1002"/>
      <c r="X76" s="1002"/>
      <c r="Y76" s="1002"/>
      <c r="Z76" s="1002"/>
      <c r="AA76" s="1002"/>
      <c r="AB76" s="1002"/>
      <c r="AC76" s="1002"/>
      <c r="AD76" s="1002"/>
      <c r="AE76" s="1002"/>
      <c r="AF76" s="1002"/>
      <c r="AG76" s="1002"/>
      <c r="AH76" s="1002"/>
      <c r="AI76" s="1002"/>
      <c r="AJ76" s="1002"/>
      <c r="AK76" s="1002"/>
      <c r="AL76" s="1002"/>
      <c r="AM76" s="1002"/>
      <c r="AN76" s="1002"/>
      <c r="AO76" s="1002"/>
      <c r="AP76" s="1002"/>
      <c r="AQ76" s="1002"/>
      <c r="AR76" s="1002"/>
      <c r="AS76" s="1002"/>
      <c r="AT76" s="1002"/>
      <c r="AU76" s="1002"/>
      <c r="AV76" s="1002"/>
      <c r="AW76" s="1002"/>
      <c r="AX76" s="1002"/>
      <c r="AY76" s="1002"/>
      <c r="AZ76" s="1002"/>
      <c r="BA76" s="1002"/>
      <c r="BB76" s="1002"/>
      <c r="BC76" s="1002"/>
      <c r="BD76" s="1002"/>
      <c r="BE76" s="204"/>
      <c r="BF76" s="205" t="s">
        <v>419</v>
      </c>
      <c r="BG76" s="204"/>
      <c r="BH76" s="204"/>
      <c r="BI76" s="204"/>
      <c r="BJ76" s="204"/>
      <c r="BK76" s="206"/>
    </row>
    <row r="77" spans="1:63" s="164" customFormat="1" ht="15.75" customHeight="1">
      <c r="A77" s="182" t="s">
        <v>416</v>
      </c>
      <c r="B77" s="183" t="s">
        <v>493</v>
      </c>
      <c r="C77" s="184"/>
      <c r="D77" s="184"/>
      <c r="E77" s="184"/>
      <c r="F77" s="184"/>
      <c r="G77" s="184"/>
      <c r="H77" s="184"/>
      <c r="I77" s="184"/>
      <c r="J77" s="184"/>
      <c r="K77" s="184"/>
      <c r="L77" s="193"/>
      <c r="M77" s="1003"/>
      <c r="N77" s="1002"/>
      <c r="O77" s="1002"/>
      <c r="P77" s="1002"/>
      <c r="Q77" s="1002"/>
      <c r="R77" s="1002"/>
      <c r="S77" s="1002"/>
      <c r="T77" s="1002"/>
      <c r="U77" s="1002"/>
      <c r="V77" s="1002"/>
      <c r="W77" s="1002"/>
      <c r="X77" s="1002"/>
      <c r="Y77" s="1002"/>
      <c r="Z77" s="1002"/>
      <c r="AA77" s="1002"/>
      <c r="AB77" s="1002"/>
      <c r="AC77" s="1002"/>
      <c r="AD77" s="1002"/>
      <c r="AE77" s="1002"/>
      <c r="AF77" s="1002"/>
      <c r="AG77" s="1002"/>
      <c r="AH77" s="1002"/>
      <c r="AI77" s="1002"/>
      <c r="AJ77" s="1002"/>
      <c r="AK77" s="1002"/>
      <c r="AL77" s="1002"/>
      <c r="AM77" s="1002"/>
      <c r="AN77" s="1002"/>
      <c r="AO77" s="1002"/>
      <c r="AP77" s="1002"/>
      <c r="AQ77" s="1002"/>
      <c r="AR77" s="1002"/>
      <c r="AS77" s="1002"/>
      <c r="AT77" s="1002"/>
      <c r="AU77" s="1002"/>
      <c r="AV77" s="1002"/>
      <c r="AW77" s="1002"/>
      <c r="AX77" s="1002"/>
      <c r="AY77" s="1002"/>
      <c r="AZ77" s="1002"/>
      <c r="BA77" s="1002"/>
      <c r="BB77" s="1002"/>
      <c r="BC77" s="1002"/>
      <c r="BD77" s="1002"/>
      <c r="BE77" s="204"/>
      <c r="BF77" s="205" t="s">
        <v>487</v>
      </c>
      <c r="BG77" s="204"/>
      <c r="BH77" s="204"/>
      <c r="BI77" s="204"/>
      <c r="BJ77" s="204"/>
      <c r="BK77" s="206"/>
    </row>
    <row r="78" spans="1:63" s="164" customFormat="1" ht="15.75" customHeight="1">
      <c r="A78" s="182" t="s">
        <v>416</v>
      </c>
      <c r="B78" s="183" t="s">
        <v>494</v>
      </c>
      <c r="C78" s="184"/>
      <c r="D78" s="184"/>
      <c r="E78" s="184"/>
      <c r="F78" s="184"/>
      <c r="G78" s="184"/>
      <c r="H78" s="184"/>
      <c r="I78" s="184"/>
      <c r="J78" s="184"/>
      <c r="K78" s="184"/>
      <c r="L78" s="193"/>
      <c r="M78" s="1003"/>
      <c r="N78" s="1002"/>
      <c r="O78" s="1002"/>
      <c r="P78" s="1002"/>
      <c r="Q78" s="1002"/>
      <c r="R78" s="1002"/>
      <c r="S78" s="1002"/>
      <c r="T78" s="1002"/>
      <c r="U78" s="1002"/>
      <c r="V78" s="1002"/>
      <c r="W78" s="1002"/>
      <c r="X78" s="1002"/>
      <c r="Y78" s="1002"/>
      <c r="Z78" s="1002"/>
      <c r="AA78" s="1002"/>
      <c r="AB78" s="1002"/>
      <c r="AC78" s="1002"/>
      <c r="AD78" s="1002"/>
      <c r="AE78" s="1002"/>
      <c r="AF78" s="1002"/>
      <c r="AG78" s="1002"/>
      <c r="AH78" s="1002"/>
      <c r="AI78" s="1002"/>
      <c r="AJ78" s="1002"/>
      <c r="AK78" s="1002"/>
      <c r="AL78" s="1002"/>
      <c r="AM78" s="1002"/>
      <c r="AN78" s="1002"/>
      <c r="AO78" s="1002"/>
      <c r="AP78" s="1002"/>
      <c r="AQ78" s="1002"/>
      <c r="AR78" s="1002"/>
      <c r="AS78" s="1002"/>
      <c r="AT78" s="1002"/>
      <c r="AU78" s="1002"/>
      <c r="AV78" s="1002"/>
      <c r="AW78" s="1002"/>
      <c r="AX78" s="1002"/>
      <c r="AY78" s="1002"/>
      <c r="AZ78" s="1002"/>
      <c r="BA78" s="1002"/>
      <c r="BB78" s="1002"/>
      <c r="BC78" s="1002"/>
      <c r="BD78" s="1002"/>
      <c r="BE78" s="205" t="s">
        <v>486</v>
      </c>
      <c r="BF78" s="205" t="s">
        <v>487</v>
      </c>
      <c r="BG78" s="204"/>
      <c r="BH78" s="204"/>
      <c r="BI78" s="204"/>
      <c r="BJ78" s="204"/>
      <c r="BK78" s="206"/>
    </row>
    <row r="79" spans="1:63" s="164" customFormat="1" ht="15.75" customHeight="1">
      <c r="A79" s="182" t="s">
        <v>416</v>
      </c>
      <c r="B79" s="183" t="s">
        <v>495</v>
      </c>
      <c r="C79" s="184"/>
      <c r="D79" s="184"/>
      <c r="E79" s="184"/>
      <c r="F79" s="184"/>
      <c r="G79" s="184"/>
      <c r="H79" s="184"/>
      <c r="I79" s="184"/>
      <c r="J79" s="184"/>
      <c r="K79" s="184"/>
      <c r="L79" s="193"/>
      <c r="M79" s="1003"/>
      <c r="N79" s="1002"/>
      <c r="O79" s="1002"/>
      <c r="P79" s="1002"/>
      <c r="Q79" s="1002"/>
      <c r="R79" s="1002"/>
      <c r="S79" s="1002"/>
      <c r="T79" s="1002"/>
      <c r="U79" s="1002"/>
      <c r="V79" s="1002"/>
      <c r="W79" s="1002"/>
      <c r="X79" s="1002"/>
      <c r="Y79" s="1002"/>
      <c r="Z79" s="1002"/>
      <c r="AA79" s="1002"/>
      <c r="AB79" s="1002"/>
      <c r="AC79" s="1002"/>
      <c r="AD79" s="1002"/>
      <c r="AE79" s="1002"/>
      <c r="AF79" s="1002"/>
      <c r="AG79" s="1002"/>
      <c r="AH79" s="1002"/>
      <c r="AI79" s="1002"/>
      <c r="AJ79" s="1002"/>
      <c r="AK79" s="1002"/>
      <c r="AL79" s="1002"/>
      <c r="AM79" s="1002"/>
      <c r="AN79" s="1002"/>
      <c r="AO79" s="1002"/>
      <c r="AP79" s="1002"/>
      <c r="AQ79" s="1002"/>
      <c r="AR79" s="1002"/>
      <c r="AS79" s="1002"/>
      <c r="AT79" s="1002"/>
      <c r="AU79" s="1002"/>
      <c r="AV79" s="1002"/>
      <c r="AW79" s="1002"/>
      <c r="AX79" s="1002"/>
      <c r="AY79" s="1002"/>
      <c r="AZ79" s="1002"/>
      <c r="BA79" s="1002"/>
      <c r="BB79" s="1002"/>
      <c r="BC79" s="1002"/>
      <c r="BD79" s="1002"/>
      <c r="BE79" s="204"/>
      <c r="BF79" s="205" t="s">
        <v>487</v>
      </c>
      <c r="BG79" s="204"/>
      <c r="BH79" s="204"/>
      <c r="BI79" s="204"/>
      <c r="BJ79" s="204"/>
      <c r="BK79" s="206"/>
    </row>
    <row r="80" spans="1:63" s="164" customFormat="1" ht="15.75" customHeight="1">
      <c r="A80" s="182" t="s">
        <v>416</v>
      </c>
      <c r="B80" s="183" t="s">
        <v>496</v>
      </c>
      <c r="C80" s="184"/>
      <c r="D80" s="184"/>
      <c r="E80" s="184"/>
      <c r="F80" s="184"/>
      <c r="G80" s="184"/>
      <c r="H80" s="184"/>
      <c r="I80" s="184"/>
      <c r="J80" s="184"/>
      <c r="K80" s="184"/>
      <c r="L80" s="193"/>
      <c r="M80" s="1003"/>
      <c r="N80" s="1002"/>
      <c r="O80" s="1002"/>
      <c r="P80" s="1002"/>
      <c r="Q80" s="1002"/>
      <c r="R80" s="1002"/>
      <c r="S80" s="1002"/>
      <c r="T80" s="1002"/>
      <c r="U80" s="1002"/>
      <c r="V80" s="1002"/>
      <c r="W80" s="1002"/>
      <c r="X80" s="1002"/>
      <c r="Y80" s="1002"/>
      <c r="Z80" s="1002"/>
      <c r="AA80" s="1002"/>
      <c r="AB80" s="1002"/>
      <c r="AC80" s="1002"/>
      <c r="AD80" s="1002"/>
      <c r="AE80" s="1002"/>
      <c r="AF80" s="1002"/>
      <c r="AG80" s="1002"/>
      <c r="AH80" s="1002"/>
      <c r="AI80" s="1002"/>
      <c r="AJ80" s="1002"/>
      <c r="AK80" s="1002"/>
      <c r="AL80" s="1002"/>
      <c r="AM80" s="1002"/>
      <c r="AN80" s="1002"/>
      <c r="AO80" s="1002"/>
      <c r="AP80" s="1002"/>
      <c r="AQ80" s="1002"/>
      <c r="AR80" s="1002"/>
      <c r="AS80" s="1002"/>
      <c r="AT80" s="1002"/>
      <c r="AU80" s="1002"/>
      <c r="AV80" s="1002"/>
      <c r="AW80" s="1002"/>
      <c r="AX80" s="1002"/>
      <c r="AY80" s="1002"/>
      <c r="AZ80" s="1002"/>
      <c r="BA80" s="1002"/>
      <c r="BB80" s="1002"/>
      <c r="BC80" s="1002"/>
      <c r="BD80" s="1002"/>
      <c r="BE80" s="205" t="s">
        <v>486</v>
      </c>
      <c r="BF80" s="205" t="s">
        <v>487</v>
      </c>
      <c r="BG80" s="204"/>
      <c r="BH80" s="204"/>
      <c r="BI80" s="204"/>
      <c r="BJ80" s="204"/>
      <c r="BK80" s="206"/>
    </row>
    <row r="81" spans="1:63" s="164" customFormat="1" ht="15.75" customHeight="1">
      <c r="A81" s="182" t="s">
        <v>416</v>
      </c>
      <c r="B81" s="183" t="s">
        <v>497</v>
      </c>
      <c r="C81" s="184"/>
      <c r="D81" s="184"/>
      <c r="E81" s="184"/>
      <c r="F81" s="184"/>
      <c r="G81" s="184"/>
      <c r="H81" s="184"/>
      <c r="I81" s="184"/>
      <c r="J81" s="184"/>
      <c r="K81" s="184"/>
      <c r="L81" s="193"/>
      <c r="M81" s="1003"/>
      <c r="N81" s="1002"/>
      <c r="O81" s="1002"/>
      <c r="P81" s="1002"/>
      <c r="Q81" s="1002"/>
      <c r="R81" s="1002"/>
      <c r="S81" s="1002"/>
      <c r="T81" s="1002"/>
      <c r="U81" s="1002"/>
      <c r="V81" s="1002"/>
      <c r="W81" s="1002"/>
      <c r="X81" s="1002"/>
      <c r="Y81" s="1002"/>
      <c r="Z81" s="1002"/>
      <c r="AA81" s="1002"/>
      <c r="AB81" s="1002"/>
      <c r="AC81" s="1002"/>
      <c r="AD81" s="1002"/>
      <c r="AE81" s="1002"/>
      <c r="AF81" s="1002"/>
      <c r="AG81" s="1002"/>
      <c r="AH81" s="1002"/>
      <c r="AI81" s="1002"/>
      <c r="AJ81" s="1002"/>
      <c r="AK81" s="1002"/>
      <c r="AL81" s="1002"/>
      <c r="AM81" s="1002"/>
      <c r="AN81" s="1002"/>
      <c r="AO81" s="1002"/>
      <c r="AP81" s="1002"/>
      <c r="AQ81" s="1002"/>
      <c r="AR81" s="1002"/>
      <c r="AS81" s="1002"/>
      <c r="AT81" s="1002"/>
      <c r="AU81" s="1002"/>
      <c r="AV81" s="1002"/>
      <c r="AW81" s="1002"/>
      <c r="AX81" s="1002"/>
      <c r="AY81" s="1002"/>
      <c r="AZ81" s="1002"/>
      <c r="BA81" s="1002"/>
      <c r="BB81" s="1002"/>
      <c r="BC81" s="1002"/>
      <c r="BD81" s="1002"/>
      <c r="BE81" s="204"/>
      <c r="BF81" s="205" t="s">
        <v>487</v>
      </c>
      <c r="BG81" s="204"/>
      <c r="BH81" s="204"/>
      <c r="BI81" s="204"/>
      <c r="BJ81" s="204"/>
      <c r="BK81" s="206"/>
    </row>
    <row r="82" spans="1:63" s="164" customFormat="1" ht="15.75" customHeight="1">
      <c r="A82" s="182" t="s">
        <v>416</v>
      </c>
      <c r="B82" s="183" t="s">
        <v>498</v>
      </c>
      <c r="C82" s="184"/>
      <c r="D82" s="184"/>
      <c r="E82" s="184"/>
      <c r="F82" s="184"/>
      <c r="G82" s="184"/>
      <c r="H82" s="184"/>
      <c r="I82" s="184"/>
      <c r="J82" s="184"/>
      <c r="K82" s="184"/>
      <c r="L82" s="193"/>
      <c r="M82" s="1003"/>
      <c r="N82" s="1002"/>
      <c r="O82" s="1002"/>
      <c r="P82" s="1002"/>
      <c r="Q82" s="1002"/>
      <c r="R82" s="1002"/>
      <c r="S82" s="1002"/>
      <c r="T82" s="1002"/>
      <c r="U82" s="1002"/>
      <c r="V82" s="1002"/>
      <c r="W82" s="1002"/>
      <c r="X82" s="1002"/>
      <c r="Y82" s="1002"/>
      <c r="Z82" s="1002"/>
      <c r="AA82" s="1002"/>
      <c r="AB82" s="1002"/>
      <c r="AC82" s="1002"/>
      <c r="AD82" s="1002"/>
      <c r="AE82" s="1002"/>
      <c r="AF82" s="1002"/>
      <c r="AG82" s="1002"/>
      <c r="AH82" s="1002"/>
      <c r="AI82" s="1002"/>
      <c r="AJ82" s="1002"/>
      <c r="AK82" s="1002"/>
      <c r="AL82" s="1002"/>
      <c r="AM82" s="1002"/>
      <c r="AN82" s="1002"/>
      <c r="AO82" s="1002"/>
      <c r="AP82" s="1002"/>
      <c r="AQ82" s="1002"/>
      <c r="AR82" s="1002"/>
      <c r="AS82" s="1002"/>
      <c r="AT82" s="1002"/>
      <c r="AU82" s="1002"/>
      <c r="AV82" s="1002"/>
      <c r="AW82" s="1002"/>
      <c r="AX82" s="1002"/>
      <c r="AY82" s="1002"/>
      <c r="AZ82" s="1002"/>
      <c r="BA82" s="1002"/>
      <c r="BB82" s="1002"/>
      <c r="BC82" s="1002"/>
      <c r="BD82" s="1002"/>
      <c r="BE82" s="205" t="s">
        <v>489</v>
      </c>
      <c r="BF82" s="205" t="s">
        <v>487</v>
      </c>
      <c r="BG82" s="204"/>
      <c r="BH82" s="204"/>
      <c r="BI82" s="204"/>
      <c r="BJ82" s="204"/>
      <c r="BK82" s="206"/>
    </row>
    <row r="83" spans="1:63" s="164" customFormat="1" ht="15.75" customHeight="1">
      <c r="A83" s="182" t="s">
        <v>416</v>
      </c>
      <c r="B83" s="183" t="s">
        <v>499</v>
      </c>
      <c r="C83" s="184"/>
      <c r="D83" s="184"/>
      <c r="E83" s="184"/>
      <c r="F83" s="184"/>
      <c r="G83" s="184"/>
      <c r="H83" s="184"/>
      <c r="I83" s="184"/>
      <c r="J83" s="184"/>
      <c r="K83" s="184"/>
      <c r="L83" s="193"/>
      <c r="M83" s="1003"/>
      <c r="N83" s="1002"/>
      <c r="O83" s="1002"/>
      <c r="P83" s="1002"/>
      <c r="Q83" s="1002"/>
      <c r="R83" s="1002"/>
      <c r="S83" s="1002"/>
      <c r="T83" s="1002"/>
      <c r="U83" s="1002"/>
      <c r="V83" s="1002"/>
      <c r="W83" s="1002"/>
      <c r="X83" s="1002"/>
      <c r="Y83" s="1002"/>
      <c r="Z83" s="1002"/>
      <c r="AA83" s="1002"/>
      <c r="AB83" s="1002"/>
      <c r="AC83" s="1002"/>
      <c r="AD83" s="1002"/>
      <c r="AE83" s="1002"/>
      <c r="AF83" s="1002"/>
      <c r="AG83" s="1002"/>
      <c r="AH83" s="1002"/>
      <c r="AI83" s="1002"/>
      <c r="AJ83" s="1002"/>
      <c r="AK83" s="1002"/>
      <c r="AL83" s="1002"/>
      <c r="AM83" s="1002"/>
      <c r="AN83" s="1002"/>
      <c r="AO83" s="1002"/>
      <c r="AP83" s="1002"/>
      <c r="AQ83" s="1002"/>
      <c r="AR83" s="1002"/>
      <c r="AS83" s="1002"/>
      <c r="AT83" s="1002"/>
      <c r="AU83" s="1002"/>
      <c r="AV83" s="1002"/>
      <c r="AW83" s="1002"/>
      <c r="AX83" s="1002"/>
      <c r="AY83" s="1002"/>
      <c r="AZ83" s="1002"/>
      <c r="BA83" s="1002"/>
      <c r="BB83" s="1002"/>
      <c r="BC83" s="1002"/>
      <c r="BD83" s="1002"/>
      <c r="BE83" s="204"/>
      <c r="BF83" s="205" t="s">
        <v>487</v>
      </c>
      <c r="BG83" s="204"/>
      <c r="BH83" s="204"/>
      <c r="BI83" s="204"/>
      <c r="BJ83" s="204"/>
      <c r="BK83" s="206"/>
    </row>
    <row r="84" spans="1:63" s="164" customFormat="1" ht="15.75" customHeight="1">
      <c r="A84" s="182" t="s">
        <v>416</v>
      </c>
      <c r="B84" s="183" t="s">
        <v>500</v>
      </c>
      <c r="C84" s="184"/>
      <c r="D84" s="184"/>
      <c r="E84" s="184"/>
      <c r="F84" s="184"/>
      <c r="G84" s="184"/>
      <c r="H84" s="184"/>
      <c r="I84" s="184"/>
      <c r="J84" s="184"/>
      <c r="K84" s="184"/>
      <c r="L84" s="193"/>
      <c r="M84" s="1003"/>
      <c r="N84" s="1002"/>
      <c r="O84" s="1002"/>
      <c r="P84" s="1002"/>
      <c r="Q84" s="1002"/>
      <c r="R84" s="1002"/>
      <c r="S84" s="1002"/>
      <c r="T84" s="1002"/>
      <c r="U84" s="1002"/>
      <c r="V84" s="1002"/>
      <c r="W84" s="1002"/>
      <c r="X84" s="1002"/>
      <c r="Y84" s="1002"/>
      <c r="Z84" s="1002"/>
      <c r="AA84" s="1002"/>
      <c r="AB84" s="1002"/>
      <c r="AC84" s="1002"/>
      <c r="AD84" s="1002"/>
      <c r="AE84" s="1002"/>
      <c r="AF84" s="1002"/>
      <c r="AG84" s="1002"/>
      <c r="AH84" s="1002"/>
      <c r="AI84" s="1002"/>
      <c r="AJ84" s="1002"/>
      <c r="AK84" s="1002"/>
      <c r="AL84" s="1002"/>
      <c r="AM84" s="1002"/>
      <c r="AN84" s="1002"/>
      <c r="AO84" s="1002"/>
      <c r="AP84" s="1002"/>
      <c r="AQ84" s="1002"/>
      <c r="AR84" s="1002"/>
      <c r="AS84" s="1002"/>
      <c r="AT84" s="1002"/>
      <c r="AU84" s="1002"/>
      <c r="AV84" s="1002"/>
      <c r="AW84" s="1002"/>
      <c r="AX84" s="1002"/>
      <c r="AY84" s="1002"/>
      <c r="AZ84" s="1002"/>
      <c r="BA84" s="1002"/>
      <c r="BB84" s="1002"/>
      <c r="BC84" s="1002"/>
      <c r="BD84" s="1002"/>
      <c r="BE84" s="204"/>
      <c r="BF84" s="205" t="s">
        <v>487</v>
      </c>
      <c r="BG84" s="204"/>
      <c r="BH84" s="204"/>
      <c r="BI84" s="204"/>
      <c r="BJ84" s="205" t="s">
        <v>409</v>
      </c>
      <c r="BK84" s="206"/>
    </row>
    <row r="85" spans="1:63" s="164" customFormat="1" ht="15.75" customHeight="1">
      <c r="A85" s="182" t="s">
        <v>416</v>
      </c>
      <c r="B85" s="183" t="s">
        <v>501</v>
      </c>
      <c r="C85" s="184"/>
      <c r="D85" s="184"/>
      <c r="E85" s="184"/>
      <c r="F85" s="184"/>
      <c r="G85" s="184"/>
      <c r="H85" s="184"/>
      <c r="I85" s="184"/>
      <c r="J85" s="184"/>
      <c r="K85" s="184"/>
      <c r="L85" s="193"/>
      <c r="M85" s="1003"/>
      <c r="N85" s="1002"/>
      <c r="O85" s="1002"/>
      <c r="P85" s="1002"/>
      <c r="Q85" s="1002"/>
      <c r="R85" s="1002"/>
      <c r="S85" s="1002"/>
      <c r="T85" s="1002"/>
      <c r="U85" s="1002"/>
      <c r="V85" s="1002"/>
      <c r="W85" s="1002"/>
      <c r="X85" s="1002"/>
      <c r="Y85" s="1002"/>
      <c r="Z85" s="1002"/>
      <c r="AA85" s="1002"/>
      <c r="AB85" s="1002"/>
      <c r="AC85" s="1002"/>
      <c r="AD85" s="1002"/>
      <c r="AE85" s="1002"/>
      <c r="AF85" s="1002"/>
      <c r="AG85" s="1002"/>
      <c r="AH85" s="1002"/>
      <c r="AI85" s="1002"/>
      <c r="AJ85" s="1002"/>
      <c r="AK85" s="1002"/>
      <c r="AL85" s="1002"/>
      <c r="AM85" s="1002"/>
      <c r="AN85" s="1002"/>
      <c r="AO85" s="1002"/>
      <c r="AP85" s="1002"/>
      <c r="AQ85" s="1002"/>
      <c r="AR85" s="1002"/>
      <c r="AS85" s="1002"/>
      <c r="AT85" s="1002"/>
      <c r="AU85" s="1002"/>
      <c r="AV85" s="1002"/>
      <c r="AW85" s="1002"/>
      <c r="AX85" s="1002"/>
      <c r="AY85" s="1002"/>
      <c r="AZ85" s="1002"/>
      <c r="BA85" s="1002"/>
      <c r="BB85" s="1002"/>
      <c r="BC85" s="1002"/>
      <c r="BD85" s="1002"/>
      <c r="BE85" s="204"/>
      <c r="BF85" s="205" t="s">
        <v>487</v>
      </c>
      <c r="BG85" s="204"/>
      <c r="BH85" s="204"/>
      <c r="BI85" s="204"/>
      <c r="BJ85" s="205" t="s">
        <v>409</v>
      </c>
      <c r="BK85" s="206"/>
    </row>
    <row r="86" spans="1:63" s="164" customFormat="1" ht="15.75" customHeight="1">
      <c r="A86" s="182" t="s">
        <v>416</v>
      </c>
      <c r="B86" s="183" t="s">
        <v>502</v>
      </c>
      <c r="C86" s="184"/>
      <c r="D86" s="184"/>
      <c r="E86" s="184"/>
      <c r="F86" s="184"/>
      <c r="G86" s="184"/>
      <c r="H86" s="184"/>
      <c r="I86" s="184"/>
      <c r="J86" s="184"/>
      <c r="K86" s="184"/>
      <c r="L86" s="193"/>
      <c r="M86" s="1003"/>
      <c r="N86" s="1002"/>
      <c r="O86" s="1002"/>
      <c r="P86" s="1002"/>
      <c r="Q86" s="1002"/>
      <c r="R86" s="1002"/>
      <c r="S86" s="1002"/>
      <c r="T86" s="1002"/>
      <c r="U86" s="1002"/>
      <c r="V86" s="1002"/>
      <c r="W86" s="1002"/>
      <c r="X86" s="1002"/>
      <c r="Y86" s="1002"/>
      <c r="Z86" s="1002"/>
      <c r="AA86" s="1002"/>
      <c r="AB86" s="1002"/>
      <c r="AC86" s="1002"/>
      <c r="AD86" s="1002"/>
      <c r="AE86" s="1002"/>
      <c r="AF86" s="1002"/>
      <c r="AG86" s="1002"/>
      <c r="AH86" s="1002"/>
      <c r="AI86" s="1002"/>
      <c r="AJ86" s="1002"/>
      <c r="AK86" s="1002"/>
      <c r="AL86" s="1002"/>
      <c r="AM86" s="1002"/>
      <c r="AN86" s="1002"/>
      <c r="AO86" s="1002"/>
      <c r="AP86" s="1002"/>
      <c r="AQ86" s="1002"/>
      <c r="AR86" s="1002"/>
      <c r="AS86" s="1002"/>
      <c r="AT86" s="1002"/>
      <c r="AU86" s="1002"/>
      <c r="AV86" s="1002"/>
      <c r="AW86" s="1002"/>
      <c r="AX86" s="1002"/>
      <c r="AY86" s="1002"/>
      <c r="AZ86" s="1002"/>
      <c r="BA86" s="1002"/>
      <c r="BB86" s="1002"/>
      <c r="BC86" s="1002"/>
      <c r="BD86" s="1002"/>
      <c r="BE86" s="205" t="s">
        <v>489</v>
      </c>
      <c r="BF86" s="205" t="s">
        <v>487</v>
      </c>
      <c r="BG86" s="204"/>
      <c r="BH86" s="204"/>
      <c r="BI86" s="204"/>
      <c r="BJ86" s="204"/>
      <c r="BK86" s="206"/>
    </row>
    <row r="87" spans="1:63" s="164" customFormat="1" ht="15.75" customHeight="1">
      <c r="A87" s="182" t="s">
        <v>416</v>
      </c>
      <c r="B87" s="183" t="s">
        <v>503</v>
      </c>
      <c r="C87" s="184"/>
      <c r="D87" s="184"/>
      <c r="E87" s="184"/>
      <c r="F87" s="184"/>
      <c r="G87" s="184"/>
      <c r="H87" s="184"/>
      <c r="I87" s="184"/>
      <c r="J87" s="184"/>
      <c r="K87" s="184"/>
      <c r="L87" s="193"/>
      <c r="M87" s="1003"/>
      <c r="N87" s="1002"/>
      <c r="O87" s="1002"/>
      <c r="P87" s="1002"/>
      <c r="Q87" s="1002"/>
      <c r="R87" s="1002"/>
      <c r="S87" s="1002"/>
      <c r="T87" s="1002"/>
      <c r="U87" s="1002"/>
      <c r="V87" s="1002"/>
      <c r="W87" s="1002"/>
      <c r="X87" s="1002"/>
      <c r="Y87" s="1002"/>
      <c r="Z87" s="1002"/>
      <c r="AA87" s="1002"/>
      <c r="AB87" s="1002"/>
      <c r="AC87" s="1002"/>
      <c r="AD87" s="1002"/>
      <c r="AE87" s="1002"/>
      <c r="AF87" s="1002"/>
      <c r="AG87" s="1002"/>
      <c r="AH87" s="1002"/>
      <c r="AI87" s="1002"/>
      <c r="AJ87" s="1002"/>
      <c r="AK87" s="1002"/>
      <c r="AL87" s="1002"/>
      <c r="AM87" s="1002"/>
      <c r="AN87" s="1002"/>
      <c r="AO87" s="1002"/>
      <c r="AP87" s="1002"/>
      <c r="AQ87" s="1002"/>
      <c r="AR87" s="1002"/>
      <c r="AS87" s="1002"/>
      <c r="AT87" s="1002"/>
      <c r="AU87" s="1002"/>
      <c r="AV87" s="1002"/>
      <c r="AW87" s="1002"/>
      <c r="AX87" s="1002"/>
      <c r="AY87" s="1002"/>
      <c r="AZ87" s="1002"/>
      <c r="BA87" s="1002"/>
      <c r="BB87" s="1002"/>
      <c r="BC87" s="1002"/>
      <c r="BD87" s="1002"/>
      <c r="BE87" s="204"/>
      <c r="BF87" s="205" t="s">
        <v>487</v>
      </c>
      <c r="BG87" s="204"/>
      <c r="BH87" s="204"/>
      <c r="BI87" s="204"/>
      <c r="BJ87" s="204"/>
      <c r="BK87" s="206"/>
    </row>
    <row r="88" spans="1:63" s="164" customFormat="1" ht="15.75" customHeight="1">
      <c r="A88" s="182" t="s">
        <v>416</v>
      </c>
      <c r="B88" s="183" t="s">
        <v>504</v>
      </c>
      <c r="C88" s="184"/>
      <c r="D88" s="184"/>
      <c r="E88" s="184"/>
      <c r="F88" s="184"/>
      <c r="G88" s="184"/>
      <c r="H88" s="184"/>
      <c r="I88" s="184"/>
      <c r="J88" s="184"/>
      <c r="K88" s="184"/>
      <c r="L88" s="193"/>
      <c r="M88" s="1003"/>
      <c r="N88" s="1002"/>
      <c r="O88" s="1002"/>
      <c r="P88" s="1002"/>
      <c r="Q88" s="1002"/>
      <c r="R88" s="1002"/>
      <c r="S88" s="1002"/>
      <c r="T88" s="1002"/>
      <c r="U88" s="1002"/>
      <c r="V88" s="1002"/>
      <c r="W88" s="1002"/>
      <c r="X88" s="1002"/>
      <c r="Y88" s="1002"/>
      <c r="Z88" s="1002"/>
      <c r="AA88" s="1002"/>
      <c r="AB88" s="1002"/>
      <c r="AC88" s="1002"/>
      <c r="AD88" s="1002"/>
      <c r="AE88" s="1002"/>
      <c r="AF88" s="1002"/>
      <c r="AG88" s="1002"/>
      <c r="AH88" s="1002"/>
      <c r="AI88" s="1002"/>
      <c r="AJ88" s="1002"/>
      <c r="AK88" s="1002"/>
      <c r="AL88" s="1002"/>
      <c r="AM88" s="1002"/>
      <c r="AN88" s="1002"/>
      <c r="AO88" s="1002"/>
      <c r="AP88" s="1002"/>
      <c r="AQ88" s="1002"/>
      <c r="AR88" s="1002"/>
      <c r="AS88" s="1002"/>
      <c r="AT88" s="1002"/>
      <c r="AU88" s="1002"/>
      <c r="AV88" s="1002"/>
      <c r="AW88" s="1002"/>
      <c r="AX88" s="1002"/>
      <c r="AY88" s="1002"/>
      <c r="AZ88" s="1002"/>
      <c r="BA88" s="1002"/>
      <c r="BB88" s="1002"/>
      <c r="BC88" s="1002"/>
      <c r="BD88" s="1002"/>
      <c r="BE88" s="205" t="s">
        <v>486</v>
      </c>
      <c r="BF88" s="205" t="s">
        <v>487</v>
      </c>
      <c r="BG88" s="204"/>
      <c r="BH88" s="204"/>
      <c r="BI88" s="204"/>
      <c r="BJ88" s="204"/>
      <c r="BK88" s="206"/>
    </row>
    <row r="89" spans="1:63" s="164" customFormat="1" ht="15.75" customHeight="1">
      <c r="A89" s="185"/>
      <c r="B89" s="183" t="s">
        <v>505</v>
      </c>
      <c r="C89" s="184"/>
      <c r="D89" s="184"/>
      <c r="E89" s="184"/>
      <c r="F89" s="184"/>
      <c r="G89" s="184"/>
      <c r="H89" s="184"/>
      <c r="I89" s="184"/>
      <c r="J89" s="184"/>
      <c r="K89" s="184"/>
      <c r="L89" s="193"/>
      <c r="M89" s="1003"/>
      <c r="N89" s="1002"/>
      <c r="O89" s="1002"/>
      <c r="P89" s="1002"/>
      <c r="Q89" s="1002"/>
      <c r="R89" s="1002"/>
      <c r="S89" s="1002"/>
      <c r="T89" s="1002"/>
      <c r="U89" s="1002"/>
      <c r="V89" s="1002"/>
      <c r="W89" s="1002"/>
      <c r="X89" s="1002"/>
      <c r="Y89" s="1002"/>
      <c r="Z89" s="1002"/>
      <c r="AA89" s="1002"/>
      <c r="AB89" s="1002"/>
      <c r="AC89" s="1002"/>
      <c r="AD89" s="1002"/>
      <c r="AE89" s="1002"/>
      <c r="AF89" s="1002"/>
      <c r="AG89" s="1002"/>
      <c r="AH89" s="1002"/>
      <c r="AI89" s="1002"/>
      <c r="AJ89" s="1002"/>
      <c r="AK89" s="1002"/>
      <c r="AL89" s="1002"/>
      <c r="AM89" s="1002"/>
      <c r="AN89" s="1002"/>
      <c r="AO89" s="1002"/>
      <c r="AP89" s="1002"/>
      <c r="AQ89" s="1002"/>
      <c r="AR89" s="1002"/>
      <c r="AS89" s="1002"/>
      <c r="AT89" s="1002"/>
      <c r="AU89" s="1002"/>
      <c r="AV89" s="1002"/>
      <c r="AW89" s="1002"/>
      <c r="AX89" s="1002"/>
      <c r="AY89" s="1002"/>
      <c r="AZ89" s="1002"/>
      <c r="BA89" s="1002"/>
      <c r="BB89" s="1002"/>
      <c r="BC89" s="1002"/>
      <c r="BD89" s="1002"/>
      <c r="BE89" s="204"/>
      <c r="BF89" s="205" t="s">
        <v>487</v>
      </c>
      <c r="BG89" s="204"/>
      <c r="BH89" s="204"/>
      <c r="BI89" s="204"/>
      <c r="BJ89" s="204"/>
      <c r="BK89" s="206"/>
    </row>
    <row r="90" spans="1:63" s="164" customFormat="1" ht="15.75" customHeight="1">
      <c r="A90" s="182" t="s">
        <v>416</v>
      </c>
      <c r="B90" s="183" t="s">
        <v>506</v>
      </c>
      <c r="C90" s="184"/>
      <c r="D90" s="184"/>
      <c r="E90" s="184"/>
      <c r="F90" s="184"/>
      <c r="G90" s="184"/>
      <c r="H90" s="184"/>
      <c r="I90" s="184"/>
      <c r="J90" s="184"/>
      <c r="K90" s="184"/>
      <c r="L90" s="193"/>
      <c r="M90" s="1003"/>
      <c r="N90" s="1002"/>
      <c r="O90" s="1002"/>
      <c r="P90" s="1002"/>
      <c r="Q90" s="1002"/>
      <c r="R90" s="1002"/>
      <c r="S90" s="1002"/>
      <c r="T90" s="1002"/>
      <c r="U90" s="1002"/>
      <c r="V90" s="1002"/>
      <c r="W90" s="1002"/>
      <c r="X90" s="1002"/>
      <c r="Y90" s="1002"/>
      <c r="Z90" s="1002"/>
      <c r="AA90" s="1002"/>
      <c r="AB90" s="1002"/>
      <c r="AC90" s="1002"/>
      <c r="AD90" s="1002"/>
      <c r="AE90" s="1002"/>
      <c r="AF90" s="1002"/>
      <c r="AG90" s="1002"/>
      <c r="AH90" s="1002"/>
      <c r="AI90" s="1002"/>
      <c r="AJ90" s="1002"/>
      <c r="AK90" s="1002"/>
      <c r="AL90" s="1002"/>
      <c r="AM90" s="1002"/>
      <c r="AN90" s="1002"/>
      <c r="AO90" s="1002"/>
      <c r="AP90" s="1002"/>
      <c r="AQ90" s="1002"/>
      <c r="AR90" s="1002"/>
      <c r="AS90" s="1002"/>
      <c r="AT90" s="1002"/>
      <c r="AU90" s="1002"/>
      <c r="AV90" s="1002"/>
      <c r="AW90" s="1002"/>
      <c r="AX90" s="1002"/>
      <c r="AY90" s="1002"/>
      <c r="AZ90" s="1002"/>
      <c r="BA90" s="1002"/>
      <c r="BB90" s="1002"/>
      <c r="BC90" s="1002"/>
      <c r="BD90" s="1002"/>
      <c r="BE90" s="205" t="s">
        <v>486</v>
      </c>
      <c r="BF90" s="205" t="s">
        <v>487</v>
      </c>
      <c r="BG90" s="204"/>
      <c r="BH90" s="204"/>
      <c r="BI90" s="204"/>
      <c r="BJ90" s="204"/>
      <c r="BK90" s="206"/>
    </row>
    <row r="91" spans="1:63" s="164" customFormat="1" ht="15.75" customHeight="1">
      <c r="A91" s="182" t="s">
        <v>416</v>
      </c>
      <c r="B91" s="183" t="s">
        <v>507</v>
      </c>
      <c r="C91" s="184"/>
      <c r="D91" s="184"/>
      <c r="E91" s="184"/>
      <c r="F91" s="184"/>
      <c r="G91" s="184"/>
      <c r="H91" s="184"/>
      <c r="I91" s="184"/>
      <c r="J91" s="184"/>
      <c r="K91" s="184"/>
      <c r="L91" s="193"/>
      <c r="M91" s="1003"/>
      <c r="N91" s="1002"/>
      <c r="O91" s="1002"/>
      <c r="P91" s="1002"/>
      <c r="Q91" s="1002"/>
      <c r="R91" s="1002"/>
      <c r="S91" s="1002"/>
      <c r="T91" s="1002"/>
      <c r="U91" s="1002"/>
      <c r="V91" s="1002"/>
      <c r="W91" s="1002"/>
      <c r="X91" s="1002"/>
      <c r="Y91" s="1002"/>
      <c r="Z91" s="1002"/>
      <c r="AA91" s="1002"/>
      <c r="AB91" s="1002"/>
      <c r="AC91" s="1002"/>
      <c r="AD91" s="1002"/>
      <c r="AE91" s="1002"/>
      <c r="AF91" s="1002"/>
      <c r="AG91" s="1002"/>
      <c r="AH91" s="1002"/>
      <c r="AI91" s="1002"/>
      <c r="AJ91" s="1002"/>
      <c r="AK91" s="1002"/>
      <c r="AL91" s="1002"/>
      <c r="AM91" s="1002"/>
      <c r="AN91" s="1002"/>
      <c r="AO91" s="1002"/>
      <c r="AP91" s="1002"/>
      <c r="AQ91" s="1002"/>
      <c r="AR91" s="1002"/>
      <c r="AS91" s="1002"/>
      <c r="AT91" s="1002"/>
      <c r="AU91" s="1002"/>
      <c r="AV91" s="1002"/>
      <c r="AW91" s="1002"/>
      <c r="AX91" s="1002"/>
      <c r="AY91" s="1002"/>
      <c r="AZ91" s="1002"/>
      <c r="BA91" s="1002"/>
      <c r="BB91" s="1002"/>
      <c r="BC91" s="1002"/>
      <c r="BD91" s="1002"/>
      <c r="BE91" s="204"/>
      <c r="BF91" s="205" t="s">
        <v>487</v>
      </c>
      <c r="BG91" s="204"/>
      <c r="BH91" s="204"/>
      <c r="BI91" s="204"/>
      <c r="BJ91" s="204"/>
      <c r="BK91" s="206"/>
    </row>
    <row r="92" spans="1:63" s="164" customFormat="1" ht="15.75" customHeight="1">
      <c r="A92" s="182" t="s">
        <v>416</v>
      </c>
      <c r="B92" s="183" t="s">
        <v>508</v>
      </c>
      <c r="C92" s="184"/>
      <c r="D92" s="184"/>
      <c r="E92" s="184"/>
      <c r="F92" s="184"/>
      <c r="G92" s="184"/>
      <c r="H92" s="184"/>
      <c r="I92" s="184"/>
      <c r="J92" s="184"/>
      <c r="K92" s="184"/>
      <c r="L92" s="193"/>
      <c r="M92" s="1003"/>
      <c r="N92" s="1002"/>
      <c r="O92" s="1002"/>
      <c r="P92" s="1002"/>
      <c r="Q92" s="1002"/>
      <c r="R92" s="1002"/>
      <c r="S92" s="1002"/>
      <c r="T92" s="1002"/>
      <c r="U92" s="1002"/>
      <c r="V92" s="1002"/>
      <c r="W92" s="1002"/>
      <c r="X92" s="1002"/>
      <c r="Y92" s="1002"/>
      <c r="Z92" s="1002"/>
      <c r="AA92" s="1002"/>
      <c r="AB92" s="1002"/>
      <c r="AC92" s="1002"/>
      <c r="AD92" s="1002"/>
      <c r="AE92" s="1002"/>
      <c r="AF92" s="1002"/>
      <c r="AG92" s="1002"/>
      <c r="AH92" s="1002"/>
      <c r="AI92" s="1002"/>
      <c r="AJ92" s="1002"/>
      <c r="AK92" s="1002"/>
      <c r="AL92" s="1002"/>
      <c r="AM92" s="1002"/>
      <c r="AN92" s="1002"/>
      <c r="AO92" s="1002"/>
      <c r="AP92" s="1002"/>
      <c r="AQ92" s="1002"/>
      <c r="AR92" s="1002"/>
      <c r="AS92" s="1002"/>
      <c r="AT92" s="1002"/>
      <c r="AU92" s="1002"/>
      <c r="AV92" s="1002"/>
      <c r="AW92" s="1002"/>
      <c r="AX92" s="1002"/>
      <c r="AY92" s="1002"/>
      <c r="AZ92" s="1002"/>
      <c r="BA92" s="1002"/>
      <c r="BB92" s="1002"/>
      <c r="BC92" s="1002"/>
      <c r="BD92" s="1002"/>
      <c r="BE92" s="205" t="s">
        <v>489</v>
      </c>
      <c r="BF92" s="205" t="s">
        <v>487</v>
      </c>
      <c r="BG92" s="204"/>
      <c r="BH92" s="204"/>
      <c r="BI92" s="204"/>
      <c r="BJ92" s="204"/>
      <c r="BK92" s="206"/>
    </row>
    <row r="93" spans="1:63" s="164" customFormat="1" ht="15.75" customHeight="1">
      <c r="A93" s="182" t="s">
        <v>416</v>
      </c>
      <c r="B93" s="183" t="s">
        <v>509</v>
      </c>
      <c r="C93" s="184"/>
      <c r="D93" s="184"/>
      <c r="E93" s="184"/>
      <c r="F93" s="184"/>
      <c r="G93" s="184"/>
      <c r="H93" s="184"/>
      <c r="I93" s="184"/>
      <c r="J93" s="184"/>
      <c r="K93" s="184"/>
      <c r="L93" s="193"/>
      <c r="M93" s="1003"/>
      <c r="N93" s="1002"/>
      <c r="O93" s="1002"/>
      <c r="P93" s="1002"/>
      <c r="Q93" s="1002"/>
      <c r="R93" s="1002"/>
      <c r="S93" s="1002"/>
      <c r="T93" s="1002"/>
      <c r="U93" s="1002"/>
      <c r="V93" s="1002"/>
      <c r="W93" s="1002"/>
      <c r="X93" s="1002"/>
      <c r="Y93" s="1002"/>
      <c r="Z93" s="1002"/>
      <c r="AA93" s="1002"/>
      <c r="AB93" s="1002"/>
      <c r="AC93" s="1002"/>
      <c r="AD93" s="1002"/>
      <c r="AE93" s="1002"/>
      <c r="AF93" s="1002"/>
      <c r="AG93" s="1002"/>
      <c r="AH93" s="1002"/>
      <c r="AI93" s="1002"/>
      <c r="AJ93" s="1002"/>
      <c r="AK93" s="1002"/>
      <c r="AL93" s="1002"/>
      <c r="AM93" s="1002"/>
      <c r="AN93" s="1002"/>
      <c r="AO93" s="1002"/>
      <c r="AP93" s="1002"/>
      <c r="AQ93" s="1002"/>
      <c r="AR93" s="1002"/>
      <c r="AS93" s="1002"/>
      <c r="AT93" s="1002"/>
      <c r="AU93" s="1002"/>
      <c r="AV93" s="1002"/>
      <c r="AW93" s="1002"/>
      <c r="AX93" s="1002"/>
      <c r="AY93" s="1002"/>
      <c r="AZ93" s="1002"/>
      <c r="BA93" s="1002"/>
      <c r="BB93" s="1002"/>
      <c r="BC93" s="1002"/>
      <c r="BD93" s="1002"/>
      <c r="BE93" s="205" t="s">
        <v>486</v>
      </c>
      <c r="BF93" s="205" t="s">
        <v>487</v>
      </c>
      <c r="BG93" s="204"/>
      <c r="BH93" s="204"/>
      <c r="BI93" s="204"/>
      <c r="BJ93" s="204"/>
      <c r="BK93" s="206"/>
    </row>
    <row r="94" spans="1:63" s="164" customFormat="1" ht="15.75" customHeight="1">
      <c r="A94" s="182" t="s">
        <v>416</v>
      </c>
      <c r="B94" s="183" t="s">
        <v>510</v>
      </c>
      <c r="C94" s="184"/>
      <c r="D94" s="184"/>
      <c r="E94" s="184"/>
      <c r="F94" s="184"/>
      <c r="G94" s="184"/>
      <c r="H94" s="184"/>
      <c r="I94" s="184"/>
      <c r="J94" s="184"/>
      <c r="K94" s="184"/>
      <c r="L94" s="193"/>
      <c r="M94" s="1003"/>
      <c r="N94" s="1002"/>
      <c r="O94" s="1002"/>
      <c r="P94" s="1002"/>
      <c r="Q94" s="1002"/>
      <c r="R94" s="1002"/>
      <c r="S94" s="1002"/>
      <c r="T94" s="1002"/>
      <c r="U94" s="1002"/>
      <c r="V94" s="1002"/>
      <c r="W94" s="1002"/>
      <c r="X94" s="1002"/>
      <c r="Y94" s="1002"/>
      <c r="Z94" s="1002"/>
      <c r="AA94" s="1002"/>
      <c r="AB94" s="1002"/>
      <c r="AC94" s="1002"/>
      <c r="AD94" s="1002"/>
      <c r="AE94" s="1002"/>
      <c r="AF94" s="1002"/>
      <c r="AG94" s="1002"/>
      <c r="AH94" s="1002"/>
      <c r="AI94" s="1002"/>
      <c r="AJ94" s="1002"/>
      <c r="AK94" s="1002"/>
      <c r="AL94" s="1002"/>
      <c r="AM94" s="1002"/>
      <c r="AN94" s="1002"/>
      <c r="AO94" s="1002"/>
      <c r="AP94" s="1002"/>
      <c r="AQ94" s="1002"/>
      <c r="AR94" s="1002"/>
      <c r="AS94" s="1002"/>
      <c r="AT94" s="1002"/>
      <c r="AU94" s="1002"/>
      <c r="AV94" s="1002"/>
      <c r="AW94" s="1002"/>
      <c r="AX94" s="1002"/>
      <c r="AY94" s="1002"/>
      <c r="AZ94" s="1002"/>
      <c r="BA94" s="1002"/>
      <c r="BB94" s="1002"/>
      <c r="BC94" s="1002"/>
      <c r="BD94" s="1002"/>
      <c r="BE94" s="205" t="s">
        <v>486</v>
      </c>
      <c r="BF94" s="205" t="s">
        <v>487</v>
      </c>
      <c r="BG94" s="204"/>
      <c r="BH94" s="204"/>
      <c r="BI94" s="204"/>
      <c r="BJ94" s="205" t="s">
        <v>409</v>
      </c>
      <c r="BK94" s="206"/>
    </row>
    <row r="95" spans="1:63" s="164" customFormat="1" ht="15.75" customHeight="1">
      <c r="A95" s="182" t="s">
        <v>416</v>
      </c>
      <c r="B95" s="183" t="s">
        <v>511</v>
      </c>
      <c r="C95" s="184"/>
      <c r="D95" s="184"/>
      <c r="E95" s="184"/>
      <c r="F95" s="184"/>
      <c r="G95" s="184"/>
      <c r="H95" s="184"/>
      <c r="I95" s="184"/>
      <c r="J95" s="184"/>
      <c r="K95" s="184"/>
      <c r="L95" s="193"/>
      <c r="M95" s="1003"/>
      <c r="N95" s="1002"/>
      <c r="O95" s="1002"/>
      <c r="P95" s="1002"/>
      <c r="Q95" s="1002"/>
      <c r="R95" s="1002"/>
      <c r="S95" s="1002"/>
      <c r="T95" s="1002"/>
      <c r="U95" s="1002"/>
      <c r="V95" s="1002"/>
      <c r="W95" s="1002"/>
      <c r="X95" s="1002"/>
      <c r="Y95" s="1002"/>
      <c r="Z95" s="1002"/>
      <c r="AA95" s="1002"/>
      <c r="AB95" s="1002"/>
      <c r="AC95" s="1002"/>
      <c r="AD95" s="1002"/>
      <c r="AE95" s="1002"/>
      <c r="AF95" s="1002"/>
      <c r="AG95" s="1002"/>
      <c r="AH95" s="1002"/>
      <c r="AI95" s="1002"/>
      <c r="AJ95" s="1002"/>
      <c r="AK95" s="1002"/>
      <c r="AL95" s="1002"/>
      <c r="AM95" s="1002"/>
      <c r="AN95" s="1002"/>
      <c r="AO95" s="1002"/>
      <c r="AP95" s="1002"/>
      <c r="AQ95" s="1002"/>
      <c r="AR95" s="1002"/>
      <c r="AS95" s="1002"/>
      <c r="AT95" s="1002"/>
      <c r="AU95" s="1002"/>
      <c r="AV95" s="1002"/>
      <c r="AW95" s="1002"/>
      <c r="AX95" s="1002"/>
      <c r="AY95" s="1002"/>
      <c r="AZ95" s="1002"/>
      <c r="BA95" s="1002"/>
      <c r="BB95" s="1002"/>
      <c r="BC95" s="1002"/>
      <c r="BD95" s="1002"/>
      <c r="BE95" s="205" t="s">
        <v>486</v>
      </c>
      <c r="BF95" s="205" t="s">
        <v>487</v>
      </c>
      <c r="BG95" s="204"/>
      <c r="BH95" s="204"/>
      <c r="BI95" s="204"/>
      <c r="BJ95" s="205" t="s">
        <v>409</v>
      </c>
      <c r="BK95" s="206"/>
    </row>
    <row r="96" spans="1:63" s="164" customFormat="1" ht="15.75" customHeight="1">
      <c r="A96" s="182" t="s">
        <v>416</v>
      </c>
      <c r="B96" s="183" t="s">
        <v>512</v>
      </c>
      <c r="C96" s="184"/>
      <c r="D96" s="184"/>
      <c r="E96" s="184"/>
      <c r="F96" s="184"/>
      <c r="G96" s="184"/>
      <c r="H96" s="184"/>
      <c r="I96" s="184"/>
      <c r="J96" s="184"/>
      <c r="K96" s="184"/>
      <c r="L96" s="193"/>
      <c r="M96" s="1003"/>
      <c r="N96" s="1002"/>
      <c r="O96" s="1002"/>
      <c r="P96" s="1002"/>
      <c r="Q96" s="1002"/>
      <c r="R96" s="1002"/>
      <c r="S96" s="1002"/>
      <c r="T96" s="1002"/>
      <c r="U96" s="1002"/>
      <c r="V96" s="1002"/>
      <c r="W96" s="1002"/>
      <c r="X96" s="1002"/>
      <c r="Y96" s="1002"/>
      <c r="Z96" s="1002"/>
      <c r="AA96" s="1002"/>
      <c r="AB96" s="1002"/>
      <c r="AC96" s="1002"/>
      <c r="AD96" s="1002"/>
      <c r="AE96" s="1002"/>
      <c r="AF96" s="1002"/>
      <c r="AG96" s="1002"/>
      <c r="AH96" s="1002"/>
      <c r="AI96" s="1002"/>
      <c r="AJ96" s="1002"/>
      <c r="AK96" s="1002"/>
      <c r="AL96" s="1002"/>
      <c r="AM96" s="1002"/>
      <c r="AN96" s="1002"/>
      <c r="AO96" s="1002"/>
      <c r="AP96" s="1002"/>
      <c r="AQ96" s="1002"/>
      <c r="AR96" s="1002"/>
      <c r="AS96" s="1002"/>
      <c r="AT96" s="1002"/>
      <c r="AU96" s="1002"/>
      <c r="AV96" s="1002"/>
      <c r="AW96" s="1002"/>
      <c r="AX96" s="1002"/>
      <c r="AY96" s="1002"/>
      <c r="AZ96" s="1002"/>
      <c r="BA96" s="1002"/>
      <c r="BB96" s="1002"/>
      <c r="BC96" s="1002"/>
      <c r="BD96" s="1002"/>
      <c r="BE96" s="204"/>
      <c r="BF96" s="205" t="s">
        <v>487</v>
      </c>
      <c r="BG96" s="204"/>
      <c r="BH96" s="204"/>
      <c r="BI96" s="204"/>
      <c r="BJ96" s="204"/>
      <c r="BK96" s="206"/>
    </row>
    <row r="97" spans="1:63" s="164" customFormat="1" ht="15.75" customHeight="1">
      <c r="A97" s="182" t="s">
        <v>416</v>
      </c>
      <c r="B97" s="183" t="s">
        <v>513</v>
      </c>
      <c r="C97" s="184"/>
      <c r="D97" s="184"/>
      <c r="E97" s="184"/>
      <c r="F97" s="184"/>
      <c r="G97" s="184"/>
      <c r="H97" s="184"/>
      <c r="I97" s="184"/>
      <c r="J97" s="184"/>
      <c r="K97" s="184"/>
      <c r="L97" s="193"/>
      <c r="M97" s="1003"/>
      <c r="N97" s="1002"/>
      <c r="O97" s="1002"/>
      <c r="P97" s="1002"/>
      <c r="Q97" s="1002"/>
      <c r="R97" s="1002"/>
      <c r="S97" s="1002"/>
      <c r="T97" s="1002"/>
      <c r="U97" s="1002"/>
      <c r="V97" s="1002"/>
      <c r="W97" s="1002"/>
      <c r="X97" s="1002"/>
      <c r="Y97" s="1002"/>
      <c r="Z97" s="1002"/>
      <c r="AA97" s="1002"/>
      <c r="AB97" s="1002"/>
      <c r="AC97" s="1002"/>
      <c r="AD97" s="1002"/>
      <c r="AE97" s="1002"/>
      <c r="AF97" s="1002"/>
      <c r="AG97" s="1002"/>
      <c r="AH97" s="1002"/>
      <c r="AI97" s="1002"/>
      <c r="AJ97" s="1002"/>
      <c r="AK97" s="1002"/>
      <c r="AL97" s="1002"/>
      <c r="AM97" s="1002"/>
      <c r="AN97" s="1002"/>
      <c r="AO97" s="1002"/>
      <c r="AP97" s="1002"/>
      <c r="AQ97" s="1002"/>
      <c r="AR97" s="1002"/>
      <c r="AS97" s="1002"/>
      <c r="AT97" s="1002"/>
      <c r="AU97" s="1002"/>
      <c r="AV97" s="1002"/>
      <c r="AW97" s="1002"/>
      <c r="AX97" s="1002"/>
      <c r="AY97" s="1002"/>
      <c r="AZ97" s="1002"/>
      <c r="BA97" s="1002"/>
      <c r="BB97" s="1002"/>
      <c r="BC97" s="1002"/>
      <c r="BD97" s="1002"/>
      <c r="BE97" s="205" t="s">
        <v>486</v>
      </c>
      <c r="BF97" s="205" t="s">
        <v>487</v>
      </c>
      <c r="BG97" s="204"/>
      <c r="BH97" s="204"/>
      <c r="BI97" s="204"/>
      <c r="BJ97" s="204"/>
      <c r="BK97" s="209" t="s">
        <v>514</v>
      </c>
    </row>
    <row r="98" spans="1:63" s="164" customFormat="1" ht="15.75" customHeight="1">
      <c r="A98" s="182" t="s">
        <v>416</v>
      </c>
      <c r="B98" s="183" t="s">
        <v>515</v>
      </c>
      <c r="C98" s="184"/>
      <c r="D98" s="184"/>
      <c r="E98" s="184"/>
      <c r="F98" s="184"/>
      <c r="G98" s="184"/>
      <c r="H98" s="184"/>
      <c r="I98" s="184"/>
      <c r="J98" s="184"/>
      <c r="K98" s="184"/>
      <c r="L98" s="193"/>
      <c r="M98" s="1003"/>
      <c r="N98" s="1002"/>
      <c r="O98" s="1002"/>
      <c r="P98" s="1002"/>
      <c r="Q98" s="1002"/>
      <c r="R98" s="1002"/>
      <c r="S98" s="1002"/>
      <c r="T98" s="1002"/>
      <c r="U98" s="1002"/>
      <c r="V98" s="1002"/>
      <c r="W98" s="1002"/>
      <c r="X98" s="1002"/>
      <c r="Y98" s="1002"/>
      <c r="Z98" s="1002"/>
      <c r="AA98" s="1002"/>
      <c r="AB98" s="1002"/>
      <c r="AC98" s="1002"/>
      <c r="AD98" s="1002"/>
      <c r="AE98" s="1002"/>
      <c r="AF98" s="1002"/>
      <c r="AG98" s="1002"/>
      <c r="AH98" s="1002"/>
      <c r="AI98" s="1002"/>
      <c r="AJ98" s="1002"/>
      <c r="AK98" s="1002"/>
      <c r="AL98" s="1002"/>
      <c r="AM98" s="1002"/>
      <c r="AN98" s="1002"/>
      <c r="AO98" s="1002"/>
      <c r="AP98" s="1002"/>
      <c r="AQ98" s="1002"/>
      <c r="AR98" s="1002"/>
      <c r="AS98" s="1002"/>
      <c r="AT98" s="1002"/>
      <c r="AU98" s="1002"/>
      <c r="AV98" s="1002"/>
      <c r="AW98" s="1002"/>
      <c r="AX98" s="1002"/>
      <c r="AY98" s="1002"/>
      <c r="AZ98" s="1002"/>
      <c r="BA98" s="1002"/>
      <c r="BB98" s="1002"/>
      <c r="BC98" s="1002"/>
      <c r="BD98" s="1002"/>
      <c r="BE98" s="204"/>
      <c r="BF98" s="205" t="s">
        <v>487</v>
      </c>
      <c r="BG98" s="204"/>
      <c r="BH98" s="204"/>
      <c r="BI98" s="204"/>
      <c r="BJ98" s="204"/>
      <c r="BK98" s="206"/>
    </row>
    <row r="99" spans="1:63" s="164" customFormat="1" ht="15.75" customHeight="1">
      <c r="A99" s="182" t="s">
        <v>416</v>
      </c>
      <c r="B99" s="183" t="s">
        <v>516</v>
      </c>
      <c r="C99" s="184"/>
      <c r="D99" s="184"/>
      <c r="E99" s="184"/>
      <c r="F99" s="184"/>
      <c r="G99" s="184"/>
      <c r="H99" s="184"/>
      <c r="I99" s="184"/>
      <c r="J99" s="184"/>
      <c r="K99" s="184"/>
      <c r="L99" s="193"/>
      <c r="M99" s="1003"/>
      <c r="N99" s="1002"/>
      <c r="O99" s="1002"/>
      <c r="P99" s="1002"/>
      <c r="Q99" s="1002"/>
      <c r="R99" s="1002"/>
      <c r="S99" s="1002"/>
      <c r="T99" s="1002"/>
      <c r="U99" s="1002"/>
      <c r="V99" s="1002"/>
      <c r="W99" s="1002"/>
      <c r="X99" s="1002"/>
      <c r="Y99" s="1002"/>
      <c r="Z99" s="1002"/>
      <c r="AA99" s="1002"/>
      <c r="AB99" s="1002"/>
      <c r="AC99" s="1002"/>
      <c r="AD99" s="1002"/>
      <c r="AE99" s="1002"/>
      <c r="AF99" s="1002"/>
      <c r="AG99" s="1002"/>
      <c r="AH99" s="1002"/>
      <c r="AI99" s="1002"/>
      <c r="AJ99" s="1002"/>
      <c r="AK99" s="1002"/>
      <c r="AL99" s="1002"/>
      <c r="AM99" s="1002"/>
      <c r="AN99" s="1002"/>
      <c r="AO99" s="1002"/>
      <c r="AP99" s="1002"/>
      <c r="AQ99" s="1002"/>
      <c r="AR99" s="1002"/>
      <c r="AS99" s="1002"/>
      <c r="AT99" s="1002"/>
      <c r="AU99" s="1002"/>
      <c r="AV99" s="1002"/>
      <c r="AW99" s="1002"/>
      <c r="AX99" s="1002"/>
      <c r="AY99" s="1002"/>
      <c r="AZ99" s="1002"/>
      <c r="BA99" s="1002"/>
      <c r="BB99" s="1002"/>
      <c r="BC99" s="1002"/>
      <c r="BD99" s="1002"/>
      <c r="BE99" s="204"/>
      <c r="BF99" s="205" t="s">
        <v>487</v>
      </c>
      <c r="BG99" s="204"/>
      <c r="BH99" s="204"/>
      <c r="BI99" s="204"/>
      <c r="BJ99" s="204"/>
      <c r="BK99" s="206"/>
    </row>
    <row r="100" spans="1:63" s="164" customFormat="1" ht="15.75" customHeight="1">
      <c r="A100" s="182" t="s">
        <v>416</v>
      </c>
      <c r="B100" s="183" t="s">
        <v>517</v>
      </c>
      <c r="C100" s="184"/>
      <c r="D100" s="184"/>
      <c r="E100" s="184"/>
      <c r="F100" s="184"/>
      <c r="G100" s="184"/>
      <c r="H100" s="184"/>
      <c r="I100" s="184"/>
      <c r="J100" s="184"/>
      <c r="K100" s="184"/>
      <c r="L100" s="193"/>
      <c r="M100" s="1003"/>
      <c r="N100" s="1002"/>
      <c r="O100" s="1002"/>
      <c r="P100" s="1002"/>
      <c r="Q100" s="1002"/>
      <c r="R100" s="1002"/>
      <c r="S100" s="1002"/>
      <c r="T100" s="1002"/>
      <c r="U100" s="1002"/>
      <c r="V100" s="1002"/>
      <c r="W100" s="1002"/>
      <c r="X100" s="1002"/>
      <c r="Y100" s="1002"/>
      <c r="Z100" s="1002"/>
      <c r="AA100" s="1002"/>
      <c r="AB100" s="1002"/>
      <c r="AC100" s="1002"/>
      <c r="AD100" s="1002"/>
      <c r="AE100" s="1002"/>
      <c r="AF100" s="1002"/>
      <c r="AG100" s="1002"/>
      <c r="AH100" s="1002"/>
      <c r="AI100" s="1002"/>
      <c r="AJ100" s="1002"/>
      <c r="AK100" s="1002"/>
      <c r="AL100" s="1002"/>
      <c r="AM100" s="1002"/>
      <c r="AN100" s="1002"/>
      <c r="AO100" s="1002"/>
      <c r="AP100" s="1002"/>
      <c r="AQ100" s="1002"/>
      <c r="AR100" s="1002"/>
      <c r="AS100" s="1002"/>
      <c r="AT100" s="1002"/>
      <c r="AU100" s="1002"/>
      <c r="AV100" s="1002"/>
      <c r="AW100" s="1002"/>
      <c r="AX100" s="1002"/>
      <c r="AY100" s="1002"/>
      <c r="AZ100" s="1002"/>
      <c r="BA100" s="1002"/>
      <c r="BB100" s="1002"/>
      <c r="BC100" s="1002"/>
      <c r="BD100" s="1002"/>
      <c r="BE100" s="204"/>
      <c r="BF100" s="205" t="s">
        <v>487</v>
      </c>
      <c r="BG100" s="204"/>
      <c r="BH100" s="204"/>
      <c r="BI100" s="204"/>
      <c r="BJ100" s="205" t="s">
        <v>409</v>
      </c>
      <c r="BK100" s="206"/>
    </row>
    <row r="101" spans="1:63" s="164" customFormat="1" ht="15.75" customHeight="1">
      <c r="A101" s="182" t="s">
        <v>416</v>
      </c>
      <c r="B101" s="183" t="s">
        <v>518</v>
      </c>
      <c r="C101" s="184"/>
      <c r="D101" s="184"/>
      <c r="E101" s="184"/>
      <c r="F101" s="184"/>
      <c r="G101" s="184"/>
      <c r="H101" s="184"/>
      <c r="I101" s="184"/>
      <c r="J101" s="184"/>
      <c r="K101" s="184"/>
      <c r="L101" s="193"/>
      <c r="M101" s="1003"/>
      <c r="N101" s="1002"/>
      <c r="O101" s="1002"/>
      <c r="P101" s="1002"/>
      <c r="Q101" s="1002"/>
      <c r="R101" s="1002"/>
      <c r="S101" s="1002"/>
      <c r="T101" s="1002"/>
      <c r="U101" s="1002"/>
      <c r="V101" s="1002"/>
      <c r="W101" s="1002"/>
      <c r="X101" s="1002"/>
      <c r="Y101" s="1002"/>
      <c r="Z101" s="1002"/>
      <c r="AA101" s="1002"/>
      <c r="AB101" s="1002"/>
      <c r="AC101" s="1002"/>
      <c r="AD101" s="1002"/>
      <c r="AE101" s="1002"/>
      <c r="AF101" s="1002"/>
      <c r="AG101" s="1002"/>
      <c r="AH101" s="1002"/>
      <c r="AI101" s="1002"/>
      <c r="AJ101" s="1002"/>
      <c r="AK101" s="1002"/>
      <c r="AL101" s="1002"/>
      <c r="AM101" s="1002"/>
      <c r="AN101" s="1002"/>
      <c r="AO101" s="1002"/>
      <c r="AP101" s="1002"/>
      <c r="AQ101" s="1002"/>
      <c r="AR101" s="1002"/>
      <c r="AS101" s="1002"/>
      <c r="AT101" s="1002"/>
      <c r="AU101" s="1002"/>
      <c r="AV101" s="1002"/>
      <c r="AW101" s="1002"/>
      <c r="AX101" s="1002"/>
      <c r="AY101" s="1002"/>
      <c r="AZ101" s="1002"/>
      <c r="BA101" s="1002"/>
      <c r="BB101" s="1002"/>
      <c r="BC101" s="1002"/>
      <c r="BD101" s="1002"/>
      <c r="BE101" s="204"/>
      <c r="BF101" s="205" t="s">
        <v>487</v>
      </c>
      <c r="BG101" s="204"/>
      <c r="BH101" s="204"/>
      <c r="BI101" s="204"/>
      <c r="BJ101" s="205" t="s">
        <v>409</v>
      </c>
      <c r="BK101" s="206"/>
    </row>
    <row r="102" spans="1:63" s="164" customFormat="1" ht="15.75" customHeight="1">
      <c r="A102" s="182" t="s">
        <v>416</v>
      </c>
      <c r="B102" s="183" t="s">
        <v>519</v>
      </c>
      <c r="C102" s="184"/>
      <c r="D102" s="184"/>
      <c r="E102" s="184"/>
      <c r="F102" s="184"/>
      <c r="G102" s="184"/>
      <c r="H102" s="184"/>
      <c r="I102" s="184"/>
      <c r="J102" s="184"/>
      <c r="K102" s="184"/>
      <c r="L102" s="193"/>
      <c r="M102" s="1003"/>
      <c r="N102" s="1002"/>
      <c r="O102" s="1002"/>
      <c r="P102" s="1002"/>
      <c r="Q102" s="1002"/>
      <c r="R102" s="1002"/>
      <c r="S102" s="1002"/>
      <c r="T102" s="1002"/>
      <c r="U102" s="1002"/>
      <c r="V102" s="1002"/>
      <c r="W102" s="1002"/>
      <c r="X102" s="1002"/>
      <c r="Y102" s="1002"/>
      <c r="Z102" s="1002"/>
      <c r="AA102" s="1002"/>
      <c r="AB102" s="1002"/>
      <c r="AC102" s="1002"/>
      <c r="AD102" s="1002"/>
      <c r="AE102" s="1002"/>
      <c r="AF102" s="1002"/>
      <c r="AG102" s="1002"/>
      <c r="AH102" s="1002"/>
      <c r="AI102" s="1002"/>
      <c r="AJ102" s="1002"/>
      <c r="AK102" s="1002"/>
      <c r="AL102" s="1002"/>
      <c r="AM102" s="1002"/>
      <c r="AN102" s="1002"/>
      <c r="AO102" s="1002"/>
      <c r="AP102" s="1002"/>
      <c r="AQ102" s="1002"/>
      <c r="AR102" s="1002"/>
      <c r="AS102" s="1002"/>
      <c r="AT102" s="1002"/>
      <c r="AU102" s="1002"/>
      <c r="AV102" s="1002"/>
      <c r="AW102" s="1002"/>
      <c r="AX102" s="1002"/>
      <c r="AY102" s="1002"/>
      <c r="AZ102" s="1002"/>
      <c r="BA102" s="1002"/>
      <c r="BB102" s="1002"/>
      <c r="BC102" s="1002"/>
      <c r="BD102" s="1002"/>
      <c r="BE102" s="205" t="s">
        <v>489</v>
      </c>
      <c r="BF102" s="205" t="s">
        <v>487</v>
      </c>
      <c r="BG102" s="204"/>
      <c r="BH102" s="204"/>
      <c r="BI102" s="204"/>
      <c r="BJ102" s="204"/>
      <c r="BK102" s="206"/>
    </row>
    <row r="103" spans="1:63" s="164" customFormat="1" ht="15.75" customHeight="1">
      <c r="A103" s="182" t="s">
        <v>416</v>
      </c>
      <c r="B103" s="183" t="s">
        <v>520</v>
      </c>
      <c r="C103" s="184"/>
      <c r="D103" s="184"/>
      <c r="E103" s="184"/>
      <c r="F103" s="184"/>
      <c r="G103" s="184"/>
      <c r="H103" s="184"/>
      <c r="I103" s="184"/>
      <c r="J103" s="184"/>
      <c r="K103" s="184"/>
      <c r="L103" s="193"/>
      <c r="M103" s="1003"/>
      <c r="N103" s="1002"/>
      <c r="O103" s="1002"/>
      <c r="P103" s="1002"/>
      <c r="Q103" s="1002"/>
      <c r="R103" s="1002"/>
      <c r="S103" s="1002"/>
      <c r="T103" s="1002"/>
      <c r="U103" s="1002"/>
      <c r="V103" s="1002"/>
      <c r="W103" s="1002"/>
      <c r="X103" s="1002"/>
      <c r="Y103" s="1002"/>
      <c r="Z103" s="1002"/>
      <c r="AA103" s="1002"/>
      <c r="AB103" s="1002"/>
      <c r="AC103" s="1002"/>
      <c r="AD103" s="1002"/>
      <c r="AE103" s="1002"/>
      <c r="AF103" s="1002"/>
      <c r="AG103" s="1002"/>
      <c r="AH103" s="1002"/>
      <c r="AI103" s="1002"/>
      <c r="AJ103" s="1002"/>
      <c r="AK103" s="1002"/>
      <c r="AL103" s="1002"/>
      <c r="AM103" s="1002"/>
      <c r="AN103" s="1002"/>
      <c r="AO103" s="1002"/>
      <c r="AP103" s="1002"/>
      <c r="AQ103" s="1002"/>
      <c r="AR103" s="1002"/>
      <c r="AS103" s="1002"/>
      <c r="AT103" s="1002"/>
      <c r="AU103" s="1002"/>
      <c r="AV103" s="1002"/>
      <c r="AW103" s="1002"/>
      <c r="AX103" s="1002"/>
      <c r="AY103" s="1002"/>
      <c r="AZ103" s="1002"/>
      <c r="BA103" s="1002"/>
      <c r="BB103" s="1002"/>
      <c r="BC103" s="1002"/>
      <c r="BD103" s="1002"/>
      <c r="BE103" s="204"/>
      <c r="BF103" s="205" t="s">
        <v>487</v>
      </c>
      <c r="BG103" s="204"/>
      <c r="BH103" s="204"/>
      <c r="BI103" s="204"/>
      <c r="BJ103" s="204"/>
      <c r="BK103" s="206"/>
    </row>
    <row r="104" spans="1:63" s="164" customFormat="1" ht="15.75" customHeight="1">
      <c r="A104" s="182" t="s">
        <v>416</v>
      </c>
      <c r="B104" s="183" t="s">
        <v>521</v>
      </c>
      <c r="C104" s="184"/>
      <c r="D104" s="184"/>
      <c r="E104" s="184"/>
      <c r="F104" s="184"/>
      <c r="G104" s="184"/>
      <c r="H104" s="184"/>
      <c r="I104" s="184"/>
      <c r="J104" s="184"/>
      <c r="K104" s="184"/>
      <c r="L104" s="193"/>
      <c r="M104" s="1003"/>
      <c r="N104" s="1002"/>
      <c r="O104" s="1002"/>
      <c r="P104" s="1002"/>
      <c r="Q104" s="1002"/>
      <c r="R104" s="1002"/>
      <c r="S104" s="1002"/>
      <c r="T104" s="1002"/>
      <c r="U104" s="1002"/>
      <c r="V104" s="1002"/>
      <c r="W104" s="1002"/>
      <c r="X104" s="1002"/>
      <c r="Y104" s="1002"/>
      <c r="Z104" s="1002"/>
      <c r="AA104" s="1002"/>
      <c r="AB104" s="1002"/>
      <c r="AC104" s="1002"/>
      <c r="AD104" s="1002"/>
      <c r="AE104" s="1002"/>
      <c r="AF104" s="1002"/>
      <c r="AG104" s="1002"/>
      <c r="AH104" s="1002"/>
      <c r="AI104" s="1002"/>
      <c r="AJ104" s="1002"/>
      <c r="AK104" s="1002"/>
      <c r="AL104" s="1002"/>
      <c r="AM104" s="1002"/>
      <c r="AN104" s="1002"/>
      <c r="AO104" s="1002"/>
      <c r="AP104" s="1002"/>
      <c r="AQ104" s="1002"/>
      <c r="AR104" s="1002"/>
      <c r="AS104" s="1002"/>
      <c r="AT104" s="1002"/>
      <c r="AU104" s="1002"/>
      <c r="AV104" s="1002"/>
      <c r="AW104" s="1002"/>
      <c r="AX104" s="1002"/>
      <c r="AY104" s="1002"/>
      <c r="AZ104" s="1002"/>
      <c r="BA104" s="1002"/>
      <c r="BB104" s="1002"/>
      <c r="BC104" s="1002"/>
      <c r="BD104" s="1002"/>
      <c r="BE104" s="205" t="s">
        <v>486</v>
      </c>
      <c r="BF104" s="205" t="s">
        <v>487</v>
      </c>
      <c r="BG104" s="204"/>
      <c r="BH104" s="204"/>
      <c r="BI104" s="204"/>
      <c r="BJ104" s="204"/>
      <c r="BK104" s="206"/>
    </row>
    <row r="105" spans="1:63" s="164" customFormat="1" ht="15.75" customHeight="1">
      <c r="A105" s="185"/>
      <c r="B105" s="183" t="s">
        <v>522</v>
      </c>
      <c r="C105" s="184"/>
      <c r="D105" s="184"/>
      <c r="E105" s="184"/>
      <c r="F105" s="184"/>
      <c r="G105" s="184"/>
      <c r="H105" s="184"/>
      <c r="I105" s="184"/>
      <c r="J105" s="184"/>
      <c r="K105" s="184"/>
      <c r="L105" s="193"/>
      <c r="M105" s="1003"/>
      <c r="N105" s="1002"/>
      <c r="O105" s="1002"/>
      <c r="P105" s="1002"/>
      <c r="Q105" s="1002"/>
      <c r="R105" s="1002"/>
      <c r="S105" s="1002"/>
      <c r="T105" s="1002"/>
      <c r="U105" s="1002"/>
      <c r="V105" s="1002"/>
      <c r="W105" s="1002"/>
      <c r="X105" s="1002"/>
      <c r="Y105" s="1002"/>
      <c r="Z105" s="1002"/>
      <c r="AA105" s="1002"/>
      <c r="AB105" s="1002"/>
      <c r="AC105" s="1002"/>
      <c r="AD105" s="1002"/>
      <c r="AE105" s="1002"/>
      <c r="AF105" s="1002"/>
      <c r="AG105" s="1002"/>
      <c r="AH105" s="1002"/>
      <c r="AI105" s="1002"/>
      <c r="AJ105" s="1002"/>
      <c r="AK105" s="1002"/>
      <c r="AL105" s="1002"/>
      <c r="AM105" s="1002"/>
      <c r="AN105" s="1002"/>
      <c r="AO105" s="1002"/>
      <c r="AP105" s="1002"/>
      <c r="AQ105" s="1002"/>
      <c r="AR105" s="1002"/>
      <c r="AS105" s="1002"/>
      <c r="AT105" s="1002"/>
      <c r="AU105" s="1002"/>
      <c r="AV105" s="1002"/>
      <c r="AW105" s="1002"/>
      <c r="AX105" s="1002"/>
      <c r="AY105" s="1002"/>
      <c r="AZ105" s="1002"/>
      <c r="BA105" s="1002"/>
      <c r="BB105" s="1002"/>
      <c r="BC105" s="1002"/>
      <c r="BD105" s="1002"/>
      <c r="BE105" s="204"/>
      <c r="BF105" s="205" t="s">
        <v>487</v>
      </c>
      <c r="BG105" s="204"/>
      <c r="BH105" s="204"/>
      <c r="BI105" s="204"/>
      <c r="BJ105" s="204"/>
      <c r="BK105" s="206"/>
    </row>
    <row r="106" spans="1:63" s="164" customFormat="1" ht="15.75" customHeight="1">
      <c r="A106" s="182" t="s">
        <v>416</v>
      </c>
      <c r="B106" s="183" t="s">
        <v>523</v>
      </c>
      <c r="C106" s="184"/>
      <c r="D106" s="184"/>
      <c r="E106" s="184"/>
      <c r="F106" s="184"/>
      <c r="G106" s="184"/>
      <c r="H106" s="184"/>
      <c r="I106" s="184"/>
      <c r="J106" s="184"/>
      <c r="K106" s="184"/>
      <c r="L106" s="193"/>
      <c r="M106" s="1003"/>
      <c r="N106" s="1002"/>
      <c r="O106" s="1002"/>
      <c r="P106" s="1002"/>
      <c r="Q106" s="1002"/>
      <c r="R106" s="1002"/>
      <c r="S106" s="1002"/>
      <c r="T106" s="1002"/>
      <c r="U106" s="1002"/>
      <c r="V106" s="1002"/>
      <c r="W106" s="1002"/>
      <c r="X106" s="1002"/>
      <c r="Y106" s="1002"/>
      <c r="Z106" s="1002"/>
      <c r="AA106" s="1002"/>
      <c r="AB106" s="1002"/>
      <c r="AC106" s="1002"/>
      <c r="AD106" s="1002"/>
      <c r="AE106" s="1002"/>
      <c r="AF106" s="1002"/>
      <c r="AG106" s="1002"/>
      <c r="AH106" s="1002"/>
      <c r="AI106" s="1002"/>
      <c r="AJ106" s="1002"/>
      <c r="AK106" s="1002"/>
      <c r="AL106" s="1002"/>
      <c r="AM106" s="1002"/>
      <c r="AN106" s="1002"/>
      <c r="AO106" s="1002"/>
      <c r="AP106" s="1002"/>
      <c r="AQ106" s="1002"/>
      <c r="AR106" s="1002"/>
      <c r="AS106" s="1002"/>
      <c r="AT106" s="1002"/>
      <c r="AU106" s="1002"/>
      <c r="AV106" s="1002"/>
      <c r="AW106" s="1002"/>
      <c r="AX106" s="1002"/>
      <c r="AY106" s="1002"/>
      <c r="AZ106" s="1002"/>
      <c r="BA106" s="1002"/>
      <c r="BB106" s="1002"/>
      <c r="BC106" s="1002"/>
      <c r="BD106" s="1002"/>
      <c r="BE106" s="205" t="s">
        <v>489</v>
      </c>
      <c r="BF106" s="205" t="s">
        <v>487</v>
      </c>
      <c r="BG106" s="204"/>
      <c r="BH106" s="204"/>
      <c r="BI106" s="204"/>
      <c r="BJ106" s="204"/>
      <c r="BK106" s="206"/>
    </row>
    <row r="107" spans="1:63" s="164" customFormat="1" ht="15.75" customHeight="1">
      <c r="A107" s="182" t="s">
        <v>416</v>
      </c>
      <c r="B107" s="183" t="s">
        <v>524</v>
      </c>
      <c r="C107" s="184"/>
      <c r="D107" s="184"/>
      <c r="E107" s="184"/>
      <c r="F107" s="184"/>
      <c r="G107" s="184"/>
      <c r="H107" s="184"/>
      <c r="I107" s="184"/>
      <c r="J107" s="184"/>
      <c r="K107" s="184"/>
      <c r="L107" s="193"/>
      <c r="M107" s="1003"/>
      <c r="N107" s="1002"/>
      <c r="O107" s="1002"/>
      <c r="P107" s="1002"/>
      <c r="Q107" s="1002"/>
      <c r="R107" s="1002"/>
      <c r="S107" s="1002"/>
      <c r="T107" s="1002"/>
      <c r="U107" s="1002"/>
      <c r="V107" s="1002"/>
      <c r="W107" s="1002"/>
      <c r="X107" s="1002"/>
      <c r="Y107" s="1002"/>
      <c r="Z107" s="1002"/>
      <c r="AA107" s="1002"/>
      <c r="AB107" s="1002"/>
      <c r="AC107" s="1002"/>
      <c r="AD107" s="1002"/>
      <c r="AE107" s="1002"/>
      <c r="AF107" s="1002"/>
      <c r="AG107" s="1002"/>
      <c r="AH107" s="1002"/>
      <c r="AI107" s="1002"/>
      <c r="AJ107" s="1002"/>
      <c r="AK107" s="1002"/>
      <c r="AL107" s="1002"/>
      <c r="AM107" s="1002"/>
      <c r="AN107" s="1002"/>
      <c r="AO107" s="1002"/>
      <c r="AP107" s="1002"/>
      <c r="AQ107" s="1002"/>
      <c r="AR107" s="1002"/>
      <c r="AS107" s="1002"/>
      <c r="AT107" s="1002"/>
      <c r="AU107" s="1002"/>
      <c r="AV107" s="1002"/>
      <c r="AW107" s="1002"/>
      <c r="AX107" s="1002"/>
      <c r="AY107" s="1002"/>
      <c r="AZ107" s="1002"/>
      <c r="BA107" s="1002"/>
      <c r="BB107" s="1002"/>
      <c r="BC107" s="1002"/>
      <c r="BD107" s="1002"/>
      <c r="BE107" s="204"/>
      <c r="BF107" s="205" t="s">
        <v>487</v>
      </c>
      <c r="BG107" s="204"/>
      <c r="BH107" s="204"/>
      <c r="BI107" s="204"/>
      <c r="BJ107" s="204"/>
      <c r="BK107" s="206"/>
    </row>
    <row r="108" spans="1:63" s="164" customFormat="1" ht="15.75" customHeight="1">
      <c r="A108" s="182" t="s">
        <v>416</v>
      </c>
      <c r="B108" s="183" t="s">
        <v>525</v>
      </c>
      <c r="C108" s="184"/>
      <c r="D108" s="184"/>
      <c r="E108" s="184"/>
      <c r="F108" s="184"/>
      <c r="G108" s="184"/>
      <c r="H108" s="184"/>
      <c r="I108" s="184"/>
      <c r="J108" s="184"/>
      <c r="K108" s="184"/>
      <c r="L108" s="193"/>
      <c r="M108" s="1003"/>
      <c r="N108" s="1002"/>
      <c r="O108" s="1002"/>
      <c r="P108" s="1002"/>
      <c r="Q108" s="1002"/>
      <c r="R108" s="1002"/>
      <c r="S108" s="1002"/>
      <c r="T108" s="1002"/>
      <c r="U108" s="1002"/>
      <c r="V108" s="1002"/>
      <c r="W108" s="1002"/>
      <c r="X108" s="1002"/>
      <c r="Y108" s="1002"/>
      <c r="Z108" s="1002"/>
      <c r="AA108" s="1002"/>
      <c r="AB108" s="1002"/>
      <c r="AC108" s="1002"/>
      <c r="AD108" s="1002"/>
      <c r="AE108" s="1002"/>
      <c r="AF108" s="1002"/>
      <c r="AG108" s="1002"/>
      <c r="AH108" s="1002"/>
      <c r="AI108" s="1002"/>
      <c r="AJ108" s="1002"/>
      <c r="AK108" s="1002"/>
      <c r="AL108" s="1002"/>
      <c r="AM108" s="1002"/>
      <c r="AN108" s="1002"/>
      <c r="AO108" s="1002"/>
      <c r="AP108" s="1002"/>
      <c r="AQ108" s="1002"/>
      <c r="AR108" s="1002"/>
      <c r="AS108" s="1002"/>
      <c r="AT108" s="1002"/>
      <c r="AU108" s="1002"/>
      <c r="AV108" s="1002"/>
      <c r="AW108" s="1002"/>
      <c r="AX108" s="1002"/>
      <c r="AY108" s="1002"/>
      <c r="AZ108" s="1002"/>
      <c r="BA108" s="1002"/>
      <c r="BB108" s="1002"/>
      <c r="BC108" s="1002"/>
      <c r="BD108" s="1002"/>
      <c r="BE108" s="205" t="s">
        <v>489</v>
      </c>
      <c r="BF108" s="205" t="s">
        <v>487</v>
      </c>
      <c r="BG108" s="204"/>
      <c r="BH108" s="204"/>
      <c r="BI108" s="204"/>
      <c r="BJ108" s="204"/>
      <c r="BK108" s="206"/>
    </row>
    <row r="109" spans="1:63" s="164" customFormat="1" ht="15.75" customHeight="1">
      <c r="A109" s="182" t="s">
        <v>416</v>
      </c>
      <c r="B109" s="183" t="s">
        <v>526</v>
      </c>
      <c r="C109" s="184"/>
      <c r="D109" s="184"/>
      <c r="E109" s="184"/>
      <c r="F109" s="184"/>
      <c r="G109" s="184"/>
      <c r="H109" s="184"/>
      <c r="I109" s="184"/>
      <c r="J109" s="184"/>
      <c r="K109" s="184"/>
      <c r="L109" s="193"/>
      <c r="M109" s="1003"/>
      <c r="N109" s="1002"/>
      <c r="O109" s="1002"/>
      <c r="P109" s="1002"/>
      <c r="Q109" s="1002"/>
      <c r="R109" s="1002"/>
      <c r="S109" s="1002"/>
      <c r="T109" s="1002"/>
      <c r="U109" s="1002"/>
      <c r="V109" s="1002"/>
      <c r="W109" s="1002"/>
      <c r="X109" s="1002"/>
      <c r="Y109" s="1002"/>
      <c r="Z109" s="1002"/>
      <c r="AA109" s="1002"/>
      <c r="AB109" s="1002"/>
      <c r="AC109" s="1002"/>
      <c r="AD109" s="1002"/>
      <c r="AE109" s="1002"/>
      <c r="AF109" s="1002"/>
      <c r="AG109" s="1002"/>
      <c r="AH109" s="1002"/>
      <c r="AI109" s="1002"/>
      <c r="AJ109" s="1002"/>
      <c r="AK109" s="1002"/>
      <c r="AL109" s="1002"/>
      <c r="AM109" s="1002"/>
      <c r="AN109" s="1002"/>
      <c r="AO109" s="1002"/>
      <c r="AP109" s="1002"/>
      <c r="AQ109" s="1002"/>
      <c r="AR109" s="1002"/>
      <c r="AS109" s="1002"/>
      <c r="AT109" s="1002"/>
      <c r="AU109" s="1002"/>
      <c r="AV109" s="1002"/>
      <c r="AW109" s="1002"/>
      <c r="AX109" s="1002"/>
      <c r="AY109" s="1002"/>
      <c r="AZ109" s="1002"/>
      <c r="BA109" s="1002"/>
      <c r="BB109" s="1002"/>
      <c r="BC109" s="1002"/>
      <c r="BD109" s="1002"/>
      <c r="BE109" s="204"/>
      <c r="BF109" s="205" t="s">
        <v>487</v>
      </c>
      <c r="BG109" s="204"/>
      <c r="BH109" s="204"/>
      <c r="BI109" s="204"/>
      <c r="BJ109" s="204"/>
      <c r="BK109" s="206"/>
    </row>
    <row r="110" spans="1:63" s="164" customFormat="1" ht="15.75" customHeight="1">
      <c r="A110" s="182" t="s">
        <v>416</v>
      </c>
      <c r="B110" s="183" t="s">
        <v>527</v>
      </c>
      <c r="C110" s="184"/>
      <c r="D110" s="184"/>
      <c r="E110" s="184"/>
      <c r="F110" s="184"/>
      <c r="G110" s="184"/>
      <c r="H110" s="184"/>
      <c r="I110" s="184"/>
      <c r="J110" s="184"/>
      <c r="K110" s="184"/>
      <c r="L110" s="193"/>
      <c r="M110" s="1003"/>
      <c r="N110" s="1002"/>
      <c r="O110" s="1002"/>
      <c r="P110" s="1002"/>
      <c r="Q110" s="1002"/>
      <c r="R110" s="1002"/>
      <c r="S110" s="1002"/>
      <c r="T110" s="1002"/>
      <c r="U110" s="1002"/>
      <c r="V110" s="1002"/>
      <c r="W110" s="1002"/>
      <c r="X110" s="1002"/>
      <c r="Y110" s="1002"/>
      <c r="Z110" s="1002"/>
      <c r="AA110" s="1002"/>
      <c r="AB110" s="1002"/>
      <c r="AC110" s="1002"/>
      <c r="AD110" s="1002"/>
      <c r="AE110" s="1002"/>
      <c r="AF110" s="1002"/>
      <c r="AG110" s="1002"/>
      <c r="AH110" s="1002"/>
      <c r="AI110" s="1002"/>
      <c r="AJ110" s="1002"/>
      <c r="AK110" s="1002"/>
      <c r="AL110" s="1002"/>
      <c r="AM110" s="1002"/>
      <c r="AN110" s="1002"/>
      <c r="AO110" s="1002"/>
      <c r="AP110" s="1002"/>
      <c r="AQ110" s="1002"/>
      <c r="AR110" s="1002"/>
      <c r="AS110" s="1002"/>
      <c r="AT110" s="1002"/>
      <c r="AU110" s="1002"/>
      <c r="AV110" s="1002"/>
      <c r="AW110" s="1002"/>
      <c r="AX110" s="1002"/>
      <c r="AY110" s="1002"/>
      <c r="AZ110" s="1002"/>
      <c r="BA110" s="1002"/>
      <c r="BB110" s="1002"/>
      <c r="BC110" s="1002"/>
      <c r="BD110" s="1002"/>
      <c r="BE110" s="205" t="s">
        <v>486</v>
      </c>
      <c r="BF110" s="205" t="s">
        <v>487</v>
      </c>
      <c r="BG110" s="204"/>
      <c r="BH110" s="204"/>
      <c r="BI110" s="204"/>
      <c r="BJ110" s="204"/>
      <c r="BK110" s="206"/>
    </row>
    <row r="111" spans="1:63" s="164" customFormat="1" ht="15.75" customHeight="1">
      <c r="A111" s="182" t="s">
        <v>416</v>
      </c>
      <c r="B111" s="183" t="s">
        <v>528</v>
      </c>
      <c r="C111" s="184"/>
      <c r="D111" s="184"/>
      <c r="E111" s="184"/>
      <c r="F111" s="184"/>
      <c r="G111" s="184"/>
      <c r="H111" s="184"/>
      <c r="I111" s="184"/>
      <c r="J111" s="184"/>
      <c r="K111" s="184"/>
      <c r="L111" s="193"/>
      <c r="M111" s="1003"/>
      <c r="N111" s="1002"/>
      <c r="O111" s="1002"/>
      <c r="P111" s="1002"/>
      <c r="Q111" s="1002"/>
      <c r="R111" s="1002"/>
      <c r="S111" s="1002"/>
      <c r="T111" s="1002"/>
      <c r="U111" s="1002"/>
      <c r="V111" s="1002"/>
      <c r="W111" s="1002"/>
      <c r="X111" s="1002"/>
      <c r="Y111" s="1002"/>
      <c r="Z111" s="1002"/>
      <c r="AA111" s="1002"/>
      <c r="AB111" s="1002"/>
      <c r="AC111" s="1002"/>
      <c r="AD111" s="1002"/>
      <c r="AE111" s="1002"/>
      <c r="AF111" s="1002"/>
      <c r="AG111" s="1002"/>
      <c r="AH111" s="1002"/>
      <c r="AI111" s="1002"/>
      <c r="AJ111" s="1002"/>
      <c r="AK111" s="1002"/>
      <c r="AL111" s="1002"/>
      <c r="AM111" s="1002"/>
      <c r="AN111" s="1002"/>
      <c r="AO111" s="1002"/>
      <c r="AP111" s="1002"/>
      <c r="AQ111" s="1002"/>
      <c r="AR111" s="1002"/>
      <c r="AS111" s="1002"/>
      <c r="AT111" s="1002"/>
      <c r="AU111" s="1002"/>
      <c r="AV111" s="1002"/>
      <c r="AW111" s="1002"/>
      <c r="AX111" s="1002"/>
      <c r="AY111" s="1002"/>
      <c r="AZ111" s="1002"/>
      <c r="BA111" s="1002"/>
      <c r="BB111" s="1002"/>
      <c r="BC111" s="1002"/>
      <c r="BD111" s="1002"/>
      <c r="BE111" s="204"/>
      <c r="BF111" s="205" t="s">
        <v>487</v>
      </c>
      <c r="BG111" s="204"/>
      <c r="BH111" s="204"/>
      <c r="BI111" s="204"/>
      <c r="BJ111" s="204"/>
      <c r="BK111" s="206"/>
    </row>
    <row r="112" spans="1:63" s="164" customFormat="1" ht="15.75" customHeight="1">
      <c r="A112" s="182" t="s">
        <v>416</v>
      </c>
      <c r="B112" s="183" t="s">
        <v>529</v>
      </c>
      <c r="C112" s="184"/>
      <c r="D112" s="184"/>
      <c r="E112" s="184"/>
      <c r="F112" s="184"/>
      <c r="G112" s="184"/>
      <c r="H112" s="184"/>
      <c r="I112" s="184"/>
      <c r="J112" s="184"/>
      <c r="K112" s="184"/>
      <c r="L112" s="193"/>
      <c r="M112" s="1003"/>
      <c r="N112" s="1002"/>
      <c r="O112" s="1002"/>
      <c r="P112" s="1002"/>
      <c r="Q112" s="1002"/>
      <c r="R112" s="1002"/>
      <c r="S112" s="1002"/>
      <c r="T112" s="1002"/>
      <c r="U112" s="1002"/>
      <c r="V112" s="1002"/>
      <c r="W112" s="1002"/>
      <c r="X112" s="1002"/>
      <c r="Y112" s="1002"/>
      <c r="Z112" s="1002"/>
      <c r="AA112" s="1002"/>
      <c r="AB112" s="1002"/>
      <c r="AC112" s="1002"/>
      <c r="AD112" s="1002"/>
      <c r="AE112" s="1002"/>
      <c r="AF112" s="1002"/>
      <c r="AG112" s="1002"/>
      <c r="AH112" s="1002"/>
      <c r="AI112" s="1002"/>
      <c r="AJ112" s="1002"/>
      <c r="AK112" s="1002"/>
      <c r="AL112" s="1002"/>
      <c r="AM112" s="1002"/>
      <c r="AN112" s="1002"/>
      <c r="AO112" s="1002"/>
      <c r="AP112" s="1002"/>
      <c r="AQ112" s="1002"/>
      <c r="AR112" s="1002"/>
      <c r="AS112" s="1002"/>
      <c r="AT112" s="1002"/>
      <c r="AU112" s="1002"/>
      <c r="AV112" s="1002"/>
      <c r="AW112" s="1002"/>
      <c r="AX112" s="1002"/>
      <c r="AY112" s="1002"/>
      <c r="AZ112" s="1002"/>
      <c r="BA112" s="1002"/>
      <c r="BB112" s="1002"/>
      <c r="BC112" s="1002"/>
      <c r="BD112" s="1002"/>
      <c r="BE112" s="205" t="s">
        <v>489</v>
      </c>
      <c r="BF112" s="205" t="s">
        <v>487</v>
      </c>
      <c r="BG112" s="204"/>
      <c r="BH112" s="204"/>
      <c r="BI112" s="204"/>
      <c r="BJ112" s="204"/>
      <c r="BK112" s="206"/>
    </row>
    <row r="113" spans="1:63" s="164" customFormat="1" ht="15.75" customHeight="1">
      <c r="A113" s="182" t="s">
        <v>416</v>
      </c>
      <c r="B113" s="183" t="s">
        <v>530</v>
      </c>
      <c r="C113" s="184"/>
      <c r="D113" s="184"/>
      <c r="E113" s="184"/>
      <c r="F113" s="184"/>
      <c r="G113" s="184"/>
      <c r="H113" s="184"/>
      <c r="I113" s="184"/>
      <c r="J113" s="184"/>
      <c r="K113" s="184"/>
      <c r="L113" s="193"/>
      <c r="M113" s="1003"/>
      <c r="N113" s="1002"/>
      <c r="O113" s="1002"/>
      <c r="P113" s="1002"/>
      <c r="Q113" s="1002"/>
      <c r="R113" s="1002"/>
      <c r="S113" s="1002"/>
      <c r="T113" s="1002"/>
      <c r="U113" s="1002"/>
      <c r="V113" s="1002"/>
      <c r="W113" s="1002"/>
      <c r="X113" s="1002"/>
      <c r="Y113" s="1002"/>
      <c r="Z113" s="1002"/>
      <c r="AA113" s="1002"/>
      <c r="AB113" s="1002"/>
      <c r="AC113" s="1002"/>
      <c r="AD113" s="1002"/>
      <c r="AE113" s="1002"/>
      <c r="AF113" s="1002"/>
      <c r="AG113" s="1002"/>
      <c r="AH113" s="1002"/>
      <c r="AI113" s="1002"/>
      <c r="AJ113" s="1002"/>
      <c r="AK113" s="1002"/>
      <c r="AL113" s="1002"/>
      <c r="AM113" s="1002"/>
      <c r="AN113" s="1002"/>
      <c r="AO113" s="1002"/>
      <c r="AP113" s="1002"/>
      <c r="AQ113" s="1002"/>
      <c r="AR113" s="1002"/>
      <c r="AS113" s="1002"/>
      <c r="AT113" s="1002"/>
      <c r="AU113" s="1002"/>
      <c r="AV113" s="1002"/>
      <c r="AW113" s="1002"/>
      <c r="AX113" s="1002"/>
      <c r="AY113" s="1002"/>
      <c r="AZ113" s="1002"/>
      <c r="BA113" s="1002"/>
      <c r="BB113" s="1002"/>
      <c r="BC113" s="1002"/>
      <c r="BD113" s="1002"/>
      <c r="BE113" s="204"/>
      <c r="BF113" s="205" t="s">
        <v>487</v>
      </c>
      <c r="BG113" s="204"/>
      <c r="BH113" s="204"/>
      <c r="BI113" s="204"/>
      <c r="BJ113" s="204"/>
      <c r="BK113" s="206"/>
    </row>
    <row r="114" spans="1:63" s="164" customFormat="1" ht="15.75" customHeight="1">
      <c r="A114" s="182" t="s">
        <v>416</v>
      </c>
      <c r="B114" s="183" t="s">
        <v>531</v>
      </c>
      <c r="C114" s="184"/>
      <c r="D114" s="184"/>
      <c r="E114" s="184"/>
      <c r="F114" s="184"/>
      <c r="G114" s="184"/>
      <c r="H114" s="184"/>
      <c r="I114" s="184"/>
      <c r="J114" s="184"/>
      <c r="K114" s="184"/>
      <c r="L114" s="193"/>
      <c r="M114" s="197"/>
      <c r="N114" s="194"/>
      <c r="O114" s="194"/>
      <c r="P114" s="194"/>
      <c r="Q114" s="194"/>
      <c r="R114" s="194"/>
      <c r="S114" s="194"/>
      <c r="T114" s="194"/>
      <c r="U114" s="194"/>
      <c r="V114" s="194"/>
      <c r="W114" s="194"/>
      <c r="X114" s="194"/>
      <c r="Y114" s="194"/>
      <c r="Z114" s="194"/>
      <c r="AA114" s="194"/>
      <c r="AB114" s="194"/>
      <c r="AC114" s="194"/>
      <c r="AD114" s="194"/>
      <c r="AE114" s="194"/>
      <c r="AF114" s="194"/>
      <c r="AG114" s="194"/>
      <c r="AH114" s="194"/>
      <c r="AI114" s="194"/>
      <c r="AJ114" s="194"/>
      <c r="AK114" s="194"/>
      <c r="AL114" s="194"/>
      <c r="AM114" s="194"/>
      <c r="AN114" s="194"/>
      <c r="AO114" s="194"/>
      <c r="AP114" s="194"/>
      <c r="AQ114" s="194"/>
      <c r="AR114" s="194"/>
      <c r="AS114" s="194"/>
      <c r="AT114" s="194"/>
      <c r="AU114" s="194"/>
      <c r="AV114" s="194"/>
      <c r="AW114" s="194"/>
      <c r="AX114" s="194"/>
      <c r="AY114" s="194"/>
      <c r="AZ114" s="194"/>
      <c r="BA114" s="194"/>
      <c r="BB114" s="194"/>
      <c r="BC114" s="194"/>
      <c r="BD114" s="194"/>
      <c r="BE114" s="204" t="s">
        <v>486</v>
      </c>
      <c r="BF114" s="205" t="s">
        <v>487</v>
      </c>
      <c r="BG114" s="204"/>
      <c r="BH114" s="204"/>
      <c r="BI114" s="204"/>
      <c r="BJ114" s="204"/>
      <c r="BK114" s="206"/>
    </row>
    <row r="115" spans="1:63" s="164" customFormat="1" ht="15.75" customHeight="1">
      <c r="A115" s="182"/>
      <c r="B115" s="183" t="s">
        <v>532</v>
      </c>
      <c r="C115" s="184"/>
      <c r="D115" s="184"/>
      <c r="E115" s="184"/>
      <c r="F115" s="184"/>
      <c r="G115" s="184"/>
      <c r="H115" s="184"/>
      <c r="I115" s="184"/>
      <c r="J115" s="184"/>
      <c r="K115" s="184"/>
      <c r="L115" s="193"/>
      <c r="M115" s="197"/>
      <c r="N115" s="194"/>
      <c r="O115" s="194"/>
      <c r="P115" s="194"/>
      <c r="Q115" s="194"/>
      <c r="R115" s="194"/>
      <c r="S115" s="194"/>
      <c r="T115" s="194"/>
      <c r="U115" s="194"/>
      <c r="V115" s="194"/>
      <c r="W115" s="194"/>
      <c r="X115" s="194"/>
      <c r="Y115" s="194"/>
      <c r="Z115" s="194"/>
      <c r="AA115" s="194"/>
      <c r="AB115" s="194"/>
      <c r="AC115" s="194"/>
      <c r="AD115" s="194"/>
      <c r="AE115" s="194"/>
      <c r="AF115" s="194"/>
      <c r="AG115" s="194"/>
      <c r="AH115" s="194"/>
      <c r="AI115" s="194"/>
      <c r="AJ115" s="194"/>
      <c r="AK115" s="194"/>
      <c r="AL115" s="194"/>
      <c r="AM115" s="194"/>
      <c r="AN115" s="194"/>
      <c r="AO115" s="194"/>
      <c r="AP115" s="194"/>
      <c r="AQ115" s="194"/>
      <c r="AR115" s="194"/>
      <c r="AS115" s="194"/>
      <c r="AT115" s="194"/>
      <c r="AU115" s="194"/>
      <c r="AV115" s="194"/>
      <c r="AW115" s="194"/>
      <c r="AX115" s="194"/>
      <c r="AY115" s="194"/>
      <c r="AZ115" s="194"/>
      <c r="BA115" s="194"/>
      <c r="BB115" s="194"/>
      <c r="BC115" s="194"/>
      <c r="BD115" s="194"/>
      <c r="BE115" s="204"/>
      <c r="BF115" s="205" t="s">
        <v>487</v>
      </c>
      <c r="BG115" s="204"/>
      <c r="BH115" s="204"/>
      <c r="BI115" s="204"/>
      <c r="BJ115" s="204"/>
      <c r="BK115" s="206"/>
    </row>
    <row r="116" spans="1:63" s="164" customFormat="1" ht="15.75" customHeight="1">
      <c r="A116" s="182" t="s">
        <v>416</v>
      </c>
      <c r="B116" s="183" t="s">
        <v>533</v>
      </c>
      <c r="C116" s="184"/>
      <c r="D116" s="184"/>
      <c r="E116" s="184"/>
      <c r="F116" s="184"/>
      <c r="G116" s="184"/>
      <c r="H116" s="184"/>
      <c r="I116" s="184"/>
      <c r="J116" s="184"/>
      <c r="K116" s="184"/>
      <c r="L116" s="193"/>
      <c r="M116" s="1003"/>
      <c r="N116" s="1002"/>
      <c r="O116" s="1002"/>
      <c r="P116" s="1002"/>
      <c r="Q116" s="1002"/>
      <c r="R116" s="1002"/>
      <c r="S116" s="1002"/>
      <c r="T116" s="1002"/>
      <c r="U116" s="1002"/>
      <c r="V116" s="1002"/>
      <c r="W116" s="1002"/>
      <c r="X116" s="1002"/>
      <c r="Y116" s="1002"/>
      <c r="Z116" s="1002"/>
      <c r="AA116" s="1002"/>
      <c r="AB116" s="1002"/>
      <c r="AC116" s="1002"/>
      <c r="AD116" s="1002"/>
      <c r="AE116" s="1002"/>
      <c r="AF116" s="1002"/>
      <c r="AG116" s="1002"/>
      <c r="AH116" s="1002"/>
      <c r="AI116" s="1002"/>
      <c r="AJ116" s="1002"/>
      <c r="AK116" s="1002"/>
      <c r="AL116" s="1002"/>
      <c r="AM116" s="1002"/>
      <c r="AN116" s="1002"/>
      <c r="AO116" s="1002"/>
      <c r="AP116" s="1002"/>
      <c r="AQ116" s="1002"/>
      <c r="AR116" s="1002"/>
      <c r="AS116" s="1002"/>
      <c r="AT116" s="1002"/>
      <c r="AU116" s="1002"/>
      <c r="AV116" s="1002"/>
      <c r="AW116" s="1002"/>
      <c r="AX116" s="1002"/>
      <c r="AY116" s="1002"/>
      <c r="AZ116" s="1002"/>
      <c r="BA116" s="1002"/>
      <c r="BB116" s="1002"/>
      <c r="BC116" s="1002"/>
      <c r="BD116" s="1002"/>
      <c r="BE116" s="205" t="s">
        <v>486</v>
      </c>
      <c r="BF116" s="205" t="s">
        <v>487</v>
      </c>
      <c r="BG116" s="204"/>
      <c r="BH116" s="204"/>
      <c r="BI116" s="204"/>
      <c r="BJ116" s="204"/>
      <c r="BK116" s="206"/>
    </row>
    <row r="117" spans="1:63" s="164" customFormat="1" ht="15.75" customHeight="1">
      <c r="A117" s="185"/>
      <c r="B117" s="183" t="s">
        <v>534</v>
      </c>
      <c r="C117" s="184"/>
      <c r="D117" s="184"/>
      <c r="E117" s="184"/>
      <c r="F117" s="184"/>
      <c r="G117" s="184"/>
      <c r="H117" s="184"/>
      <c r="I117" s="184"/>
      <c r="J117" s="184"/>
      <c r="K117" s="184"/>
      <c r="L117" s="193"/>
      <c r="M117" s="1003"/>
      <c r="N117" s="1002"/>
      <c r="O117" s="1002"/>
      <c r="P117" s="1002"/>
      <c r="Q117" s="1002"/>
      <c r="R117" s="1002"/>
      <c r="S117" s="1002"/>
      <c r="T117" s="1002"/>
      <c r="U117" s="1002"/>
      <c r="V117" s="1002"/>
      <c r="W117" s="1002"/>
      <c r="X117" s="1002"/>
      <c r="Y117" s="1002"/>
      <c r="Z117" s="1002"/>
      <c r="AA117" s="1002"/>
      <c r="AB117" s="1002"/>
      <c r="AC117" s="1002"/>
      <c r="AD117" s="1002"/>
      <c r="AE117" s="1002"/>
      <c r="AF117" s="1002"/>
      <c r="AG117" s="1002"/>
      <c r="AH117" s="1002"/>
      <c r="AI117" s="1002"/>
      <c r="AJ117" s="1002"/>
      <c r="AK117" s="1002"/>
      <c r="AL117" s="1002"/>
      <c r="AM117" s="1002"/>
      <c r="AN117" s="1002"/>
      <c r="AO117" s="1002"/>
      <c r="AP117" s="1002"/>
      <c r="AQ117" s="1002"/>
      <c r="AR117" s="1002"/>
      <c r="AS117" s="1002"/>
      <c r="AT117" s="1002"/>
      <c r="AU117" s="1002"/>
      <c r="AV117" s="1002"/>
      <c r="AW117" s="1002"/>
      <c r="AX117" s="1002"/>
      <c r="AY117" s="1002"/>
      <c r="AZ117" s="1002"/>
      <c r="BA117" s="1002"/>
      <c r="BB117" s="1002"/>
      <c r="BC117" s="1002"/>
      <c r="BD117" s="1002"/>
      <c r="BE117" s="204"/>
      <c r="BF117" s="205" t="s">
        <v>487</v>
      </c>
      <c r="BG117" s="204"/>
      <c r="BH117" s="204"/>
      <c r="BI117" s="204"/>
      <c r="BJ117" s="204"/>
      <c r="BK117" s="206"/>
    </row>
    <row r="118" spans="1:63" s="164" customFormat="1" ht="15.75" customHeight="1">
      <c r="A118" s="182" t="s">
        <v>416</v>
      </c>
      <c r="B118" s="183" t="s">
        <v>535</v>
      </c>
      <c r="C118" s="184"/>
      <c r="D118" s="184"/>
      <c r="E118" s="184"/>
      <c r="F118" s="184"/>
      <c r="G118" s="184"/>
      <c r="H118" s="184"/>
      <c r="I118" s="184"/>
      <c r="J118" s="184"/>
      <c r="K118" s="184"/>
      <c r="L118" s="193"/>
      <c r="M118" s="1003"/>
      <c r="N118" s="1002"/>
      <c r="O118" s="1002"/>
      <c r="P118" s="1002"/>
      <c r="Q118" s="1002"/>
      <c r="R118" s="1002"/>
      <c r="S118" s="1002"/>
      <c r="T118" s="1002"/>
      <c r="U118" s="1002"/>
      <c r="V118" s="1002"/>
      <c r="W118" s="1002"/>
      <c r="X118" s="1002"/>
      <c r="Y118" s="1002"/>
      <c r="Z118" s="1002"/>
      <c r="AA118" s="1002"/>
      <c r="AB118" s="1002"/>
      <c r="AC118" s="1002"/>
      <c r="AD118" s="1002"/>
      <c r="AE118" s="1002"/>
      <c r="AF118" s="1002"/>
      <c r="AG118" s="1002"/>
      <c r="AH118" s="1002"/>
      <c r="AI118" s="1002"/>
      <c r="AJ118" s="1002"/>
      <c r="AK118" s="1002"/>
      <c r="AL118" s="1002"/>
      <c r="AM118" s="1002"/>
      <c r="AN118" s="1002"/>
      <c r="AO118" s="1002"/>
      <c r="AP118" s="1002"/>
      <c r="AQ118" s="1002"/>
      <c r="AR118" s="1002"/>
      <c r="AS118" s="1002"/>
      <c r="AT118" s="1002"/>
      <c r="AU118" s="1002"/>
      <c r="AV118" s="1002"/>
      <c r="AW118" s="1002"/>
      <c r="AX118" s="1002"/>
      <c r="AY118" s="1002"/>
      <c r="AZ118" s="1002"/>
      <c r="BA118" s="1002"/>
      <c r="BB118" s="1002"/>
      <c r="BC118" s="1002"/>
      <c r="BD118" s="1002"/>
      <c r="BE118" s="204"/>
      <c r="BF118" s="205" t="s">
        <v>487</v>
      </c>
      <c r="BG118" s="204"/>
      <c r="BH118" s="204"/>
      <c r="BI118" s="204"/>
      <c r="BJ118" s="204"/>
      <c r="BK118" s="206"/>
    </row>
    <row r="119" spans="1:63" s="164" customFormat="1" ht="15.75" customHeight="1">
      <c r="A119" s="182" t="s">
        <v>416</v>
      </c>
      <c r="B119" s="183" t="s">
        <v>272</v>
      </c>
      <c r="C119" s="184"/>
      <c r="D119" s="184"/>
      <c r="E119" s="184"/>
      <c r="F119" s="184"/>
      <c r="G119" s="184"/>
      <c r="H119" s="184"/>
      <c r="I119" s="184"/>
      <c r="J119" s="184"/>
      <c r="K119" s="184"/>
      <c r="L119" s="193"/>
      <c r="M119" s="1003"/>
      <c r="N119" s="1002"/>
      <c r="O119" s="1002"/>
      <c r="P119" s="1002"/>
      <c r="Q119" s="1002"/>
      <c r="R119" s="1002"/>
      <c r="S119" s="1002"/>
      <c r="T119" s="1002"/>
      <c r="U119" s="1002"/>
      <c r="V119" s="1002"/>
      <c r="W119" s="1002"/>
      <c r="X119" s="1002"/>
      <c r="Y119" s="1002"/>
      <c r="Z119" s="1002"/>
      <c r="AA119" s="1002"/>
      <c r="AB119" s="1002"/>
      <c r="AC119" s="1002"/>
      <c r="AD119" s="1002"/>
      <c r="AE119" s="1002"/>
      <c r="AF119" s="1002"/>
      <c r="AG119" s="1002"/>
      <c r="AH119" s="1002"/>
      <c r="AI119" s="1002"/>
      <c r="AJ119" s="1002"/>
      <c r="AK119" s="1002"/>
      <c r="AL119" s="1002"/>
      <c r="AM119" s="1002"/>
      <c r="AN119" s="1002"/>
      <c r="AO119" s="1002"/>
      <c r="AP119" s="1002"/>
      <c r="AQ119" s="1002"/>
      <c r="AR119" s="1002"/>
      <c r="AS119" s="1002"/>
      <c r="AT119" s="1002"/>
      <c r="AU119" s="1002"/>
      <c r="AV119" s="1002"/>
      <c r="AW119" s="1002"/>
      <c r="AX119" s="1002"/>
      <c r="AY119" s="1002"/>
      <c r="AZ119" s="1002"/>
      <c r="BA119" s="1002"/>
      <c r="BB119" s="1002"/>
      <c r="BC119" s="1002"/>
      <c r="BD119" s="1002"/>
      <c r="BE119" s="204"/>
      <c r="BF119" s="205" t="s">
        <v>487</v>
      </c>
      <c r="BG119" s="204"/>
      <c r="BH119" s="204"/>
      <c r="BI119" s="204"/>
      <c r="BJ119" s="204"/>
      <c r="BK119" s="206"/>
    </row>
    <row r="120" spans="1:63" s="164" customFormat="1" ht="15.75" customHeight="1">
      <c r="A120" s="182" t="s">
        <v>416</v>
      </c>
      <c r="B120" s="183" t="s">
        <v>268</v>
      </c>
      <c r="C120" s="184"/>
      <c r="D120" s="184"/>
      <c r="E120" s="184"/>
      <c r="F120" s="184"/>
      <c r="G120" s="184"/>
      <c r="H120" s="184"/>
      <c r="I120" s="184"/>
      <c r="J120" s="184"/>
      <c r="K120" s="184"/>
      <c r="L120" s="193"/>
      <c r="M120" s="1003"/>
      <c r="N120" s="1002"/>
      <c r="O120" s="1002"/>
      <c r="P120" s="1002"/>
      <c r="Q120" s="1002"/>
      <c r="R120" s="1002"/>
      <c r="S120" s="1002"/>
      <c r="T120" s="1002"/>
      <c r="U120" s="1002"/>
      <c r="V120" s="1002"/>
      <c r="W120" s="1002"/>
      <c r="X120" s="1002"/>
      <c r="Y120" s="1002"/>
      <c r="Z120" s="1002"/>
      <c r="AA120" s="1002"/>
      <c r="AB120" s="1002"/>
      <c r="AC120" s="1002"/>
      <c r="AD120" s="1002"/>
      <c r="AE120" s="1002"/>
      <c r="AF120" s="1002"/>
      <c r="AG120" s="1002"/>
      <c r="AH120" s="1002"/>
      <c r="AI120" s="1002"/>
      <c r="AJ120" s="1002"/>
      <c r="AK120" s="1002"/>
      <c r="AL120" s="1002"/>
      <c r="AM120" s="1002"/>
      <c r="AN120" s="1002"/>
      <c r="AO120" s="1002"/>
      <c r="AP120" s="1002"/>
      <c r="AQ120" s="1002"/>
      <c r="AR120" s="1002"/>
      <c r="AS120" s="1002"/>
      <c r="AT120" s="1002"/>
      <c r="AU120" s="1002"/>
      <c r="AV120" s="1002"/>
      <c r="AW120" s="1002"/>
      <c r="AX120" s="1002"/>
      <c r="AY120" s="1002"/>
      <c r="AZ120" s="1002"/>
      <c r="BA120" s="1002"/>
      <c r="BB120" s="1002"/>
      <c r="BC120" s="1002"/>
      <c r="BD120" s="1002"/>
      <c r="BE120" s="204"/>
      <c r="BF120" s="205" t="s">
        <v>487</v>
      </c>
      <c r="BG120" s="204"/>
      <c r="BH120" s="204"/>
      <c r="BI120" s="204"/>
      <c r="BJ120" s="204"/>
      <c r="BK120" s="206"/>
    </row>
    <row r="121" spans="1:63" s="164" customFormat="1" ht="15.75" customHeight="1">
      <c r="A121" s="182" t="s">
        <v>416</v>
      </c>
      <c r="B121" s="183" t="s">
        <v>536</v>
      </c>
      <c r="C121" s="184"/>
      <c r="D121" s="184"/>
      <c r="E121" s="184"/>
      <c r="F121" s="184"/>
      <c r="G121" s="184"/>
      <c r="H121" s="184"/>
      <c r="I121" s="184"/>
      <c r="J121" s="184"/>
      <c r="K121" s="184"/>
      <c r="L121" s="193"/>
      <c r="M121" s="1003"/>
      <c r="N121" s="1002"/>
      <c r="O121" s="1002"/>
      <c r="P121" s="1002"/>
      <c r="Q121" s="1002"/>
      <c r="R121" s="1002"/>
      <c r="S121" s="1002"/>
      <c r="T121" s="1002"/>
      <c r="U121" s="1002"/>
      <c r="V121" s="1002"/>
      <c r="W121" s="1002"/>
      <c r="X121" s="1002"/>
      <c r="Y121" s="1002"/>
      <c r="Z121" s="1002"/>
      <c r="AA121" s="1002"/>
      <c r="AB121" s="1002"/>
      <c r="AC121" s="1002"/>
      <c r="AD121" s="1002"/>
      <c r="AE121" s="1002"/>
      <c r="AF121" s="1002"/>
      <c r="AG121" s="1002"/>
      <c r="AH121" s="1002"/>
      <c r="AI121" s="1002"/>
      <c r="AJ121" s="1002"/>
      <c r="AK121" s="1002"/>
      <c r="AL121" s="1002"/>
      <c r="AM121" s="1002"/>
      <c r="AN121" s="1002"/>
      <c r="AO121" s="1002"/>
      <c r="AP121" s="1002"/>
      <c r="AQ121" s="1002"/>
      <c r="AR121" s="1002"/>
      <c r="AS121" s="1002"/>
      <c r="AT121" s="1002"/>
      <c r="AU121" s="1002"/>
      <c r="AV121" s="1002"/>
      <c r="AW121" s="1002"/>
      <c r="AX121" s="1002"/>
      <c r="AY121" s="1002"/>
      <c r="AZ121" s="1002"/>
      <c r="BA121" s="1002"/>
      <c r="BB121" s="1002"/>
      <c r="BC121" s="1002"/>
      <c r="BD121" s="1002"/>
      <c r="BE121" s="204"/>
      <c r="BF121" s="205" t="s">
        <v>487</v>
      </c>
      <c r="BG121" s="204"/>
      <c r="BH121" s="204"/>
      <c r="BI121" s="204"/>
      <c r="BJ121" s="204"/>
      <c r="BK121" s="206"/>
    </row>
    <row r="122" spans="1:63" s="164" customFormat="1" ht="89.25" customHeight="1">
      <c r="A122" s="182" t="s">
        <v>416</v>
      </c>
      <c r="B122" s="183" t="s">
        <v>537</v>
      </c>
      <c r="C122" s="184"/>
      <c r="D122" s="184"/>
      <c r="E122" s="184"/>
      <c r="F122" s="184"/>
      <c r="G122" s="184"/>
      <c r="H122" s="184"/>
      <c r="I122" s="184"/>
      <c r="J122" s="184"/>
      <c r="K122" s="184"/>
      <c r="L122" s="193"/>
      <c r="M122" s="1003" t="s">
        <v>538</v>
      </c>
      <c r="N122" s="1002"/>
      <c r="O122" s="1002"/>
      <c r="P122" s="1002"/>
      <c r="Q122" s="1002"/>
      <c r="R122" s="1002"/>
      <c r="S122" s="1002"/>
      <c r="T122" s="1002"/>
      <c r="U122" s="1002"/>
      <c r="V122" s="1002"/>
      <c r="W122" s="1002"/>
      <c r="X122" s="1002"/>
      <c r="Y122" s="1002"/>
      <c r="Z122" s="1002"/>
      <c r="AA122" s="1002"/>
      <c r="AB122" s="1002"/>
      <c r="AC122" s="1002"/>
      <c r="AD122" s="1002"/>
      <c r="AE122" s="1002"/>
      <c r="AF122" s="1002"/>
      <c r="AG122" s="1002"/>
      <c r="AH122" s="1002"/>
      <c r="AI122" s="1002"/>
      <c r="AJ122" s="1002"/>
      <c r="AK122" s="1002"/>
      <c r="AL122" s="1002"/>
      <c r="AM122" s="1002"/>
      <c r="AN122" s="1002"/>
      <c r="AO122" s="1002"/>
      <c r="AP122" s="1002"/>
      <c r="AQ122" s="1002"/>
      <c r="AR122" s="1002"/>
      <c r="AS122" s="1002"/>
      <c r="AT122" s="1002"/>
      <c r="AU122" s="1002"/>
      <c r="AV122" s="1002"/>
      <c r="AW122" s="1002"/>
      <c r="AX122" s="1002"/>
      <c r="AY122" s="1002"/>
      <c r="AZ122" s="1002"/>
      <c r="BA122" s="1002"/>
      <c r="BB122" s="1002"/>
      <c r="BC122" s="1002"/>
      <c r="BD122" s="1002"/>
      <c r="BE122" s="204"/>
      <c r="BF122" s="205" t="s">
        <v>487</v>
      </c>
      <c r="BG122" s="204"/>
      <c r="BH122" s="204"/>
      <c r="BI122" s="204"/>
      <c r="BJ122" s="204"/>
      <c r="BK122" s="206"/>
    </row>
    <row r="123" spans="1:63" s="164" customFormat="1" ht="93" customHeight="1">
      <c r="A123" s="182" t="s">
        <v>416</v>
      </c>
      <c r="B123" s="183" t="s">
        <v>539</v>
      </c>
      <c r="C123" s="184"/>
      <c r="D123" s="184"/>
      <c r="E123" s="184"/>
      <c r="F123" s="184"/>
      <c r="G123" s="184"/>
      <c r="H123" s="184"/>
      <c r="I123" s="184"/>
      <c r="J123" s="184"/>
      <c r="K123" s="184"/>
      <c r="L123" s="193"/>
      <c r="M123" s="1003" t="s">
        <v>540</v>
      </c>
      <c r="N123" s="1002"/>
      <c r="O123" s="1002"/>
      <c r="P123" s="1002"/>
      <c r="Q123" s="1002"/>
      <c r="R123" s="1002"/>
      <c r="S123" s="1002"/>
      <c r="T123" s="1002"/>
      <c r="U123" s="1002"/>
      <c r="V123" s="1002"/>
      <c r="W123" s="1002"/>
      <c r="X123" s="1002"/>
      <c r="Y123" s="1002"/>
      <c r="Z123" s="1002"/>
      <c r="AA123" s="1002"/>
      <c r="AB123" s="1002"/>
      <c r="AC123" s="1002"/>
      <c r="AD123" s="1002"/>
      <c r="AE123" s="1002"/>
      <c r="AF123" s="1002"/>
      <c r="AG123" s="1002"/>
      <c r="AH123" s="1002"/>
      <c r="AI123" s="1002"/>
      <c r="AJ123" s="1002"/>
      <c r="AK123" s="1002"/>
      <c r="AL123" s="1002"/>
      <c r="AM123" s="1002"/>
      <c r="AN123" s="1002"/>
      <c r="AO123" s="1002"/>
      <c r="AP123" s="1002"/>
      <c r="AQ123" s="1002"/>
      <c r="AR123" s="1002"/>
      <c r="AS123" s="1002"/>
      <c r="AT123" s="1002"/>
      <c r="AU123" s="1002"/>
      <c r="AV123" s="1002"/>
      <c r="AW123" s="1002"/>
      <c r="AX123" s="1002"/>
      <c r="AY123" s="1002"/>
      <c r="AZ123" s="1002"/>
      <c r="BA123" s="1002"/>
      <c r="BB123" s="1002"/>
      <c r="BC123" s="1002"/>
      <c r="BD123" s="1002"/>
      <c r="BE123" s="204"/>
      <c r="BF123" s="205" t="s">
        <v>487</v>
      </c>
      <c r="BG123" s="204"/>
      <c r="BH123" s="204"/>
      <c r="BI123" s="204"/>
      <c r="BJ123" s="204"/>
      <c r="BK123" s="206"/>
    </row>
    <row r="124" spans="1:63" s="164" customFormat="1" ht="15.75" customHeight="1">
      <c r="A124" s="182" t="s">
        <v>416</v>
      </c>
      <c r="B124" s="183" t="s">
        <v>541</v>
      </c>
      <c r="C124" s="184"/>
      <c r="D124" s="184"/>
      <c r="E124" s="184"/>
      <c r="F124" s="184"/>
      <c r="G124" s="184"/>
      <c r="H124" s="184"/>
      <c r="I124" s="184"/>
      <c r="J124" s="184"/>
      <c r="K124" s="184"/>
      <c r="L124" s="193"/>
      <c r="M124" s="1003"/>
      <c r="N124" s="1002"/>
      <c r="O124" s="1002"/>
      <c r="P124" s="1002"/>
      <c r="Q124" s="1002"/>
      <c r="R124" s="1002"/>
      <c r="S124" s="1002"/>
      <c r="T124" s="1002"/>
      <c r="U124" s="1002"/>
      <c r="V124" s="1002"/>
      <c r="W124" s="1002"/>
      <c r="X124" s="1002"/>
      <c r="Y124" s="1002"/>
      <c r="Z124" s="1002"/>
      <c r="AA124" s="1002"/>
      <c r="AB124" s="1002"/>
      <c r="AC124" s="1002"/>
      <c r="AD124" s="1002"/>
      <c r="AE124" s="1002"/>
      <c r="AF124" s="1002"/>
      <c r="AG124" s="1002"/>
      <c r="AH124" s="1002"/>
      <c r="AI124" s="1002"/>
      <c r="AJ124" s="1002"/>
      <c r="AK124" s="1002"/>
      <c r="AL124" s="1002"/>
      <c r="AM124" s="1002"/>
      <c r="AN124" s="1002"/>
      <c r="AO124" s="1002"/>
      <c r="AP124" s="1002"/>
      <c r="AQ124" s="1002"/>
      <c r="AR124" s="1002"/>
      <c r="AS124" s="1002"/>
      <c r="AT124" s="1002"/>
      <c r="AU124" s="1002"/>
      <c r="AV124" s="1002"/>
      <c r="AW124" s="1002"/>
      <c r="AX124" s="1002"/>
      <c r="AY124" s="1002"/>
      <c r="AZ124" s="1002"/>
      <c r="BA124" s="1002"/>
      <c r="BB124" s="1002"/>
      <c r="BC124" s="1002"/>
      <c r="BD124" s="1002"/>
      <c r="BE124" s="204"/>
      <c r="BF124" s="205" t="s">
        <v>487</v>
      </c>
      <c r="BG124" s="204"/>
      <c r="BH124" s="204"/>
      <c r="BI124" s="204"/>
      <c r="BJ124" s="204"/>
      <c r="BK124" s="206"/>
    </row>
    <row r="125" spans="1:63" s="164" customFormat="1" ht="15.75" customHeight="1">
      <c r="A125" s="182" t="s">
        <v>416</v>
      </c>
      <c r="B125" s="183" t="s">
        <v>542</v>
      </c>
      <c r="C125" s="184"/>
      <c r="D125" s="184"/>
      <c r="E125" s="184"/>
      <c r="F125" s="184"/>
      <c r="G125" s="184"/>
      <c r="H125" s="184"/>
      <c r="I125" s="184"/>
      <c r="J125" s="184"/>
      <c r="K125" s="184"/>
      <c r="L125" s="193"/>
      <c r="M125" s="1003"/>
      <c r="N125" s="1002"/>
      <c r="O125" s="1002"/>
      <c r="P125" s="1002"/>
      <c r="Q125" s="1002"/>
      <c r="R125" s="1002"/>
      <c r="S125" s="1002"/>
      <c r="T125" s="1002"/>
      <c r="U125" s="1002"/>
      <c r="V125" s="1002"/>
      <c r="W125" s="1002"/>
      <c r="X125" s="1002"/>
      <c r="Y125" s="1002"/>
      <c r="Z125" s="1002"/>
      <c r="AA125" s="1002"/>
      <c r="AB125" s="1002"/>
      <c r="AC125" s="1002"/>
      <c r="AD125" s="1002"/>
      <c r="AE125" s="1002"/>
      <c r="AF125" s="1002"/>
      <c r="AG125" s="1002"/>
      <c r="AH125" s="1002"/>
      <c r="AI125" s="1002"/>
      <c r="AJ125" s="1002"/>
      <c r="AK125" s="1002"/>
      <c r="AL125" s="1002"/>
      <c r="AM125" s="1002"/>
      <c r="AN125" s="1002"/>
      <c r="AO125" s="1002"/>
      <c r="AP125" s="1002"/>
      <c r="AQ125" s="1002"/>
      <c r="AR125" s="1002"/>
      <c r="AS125" s="1002"/>
      <c r="AT125" s="1002"/>
      <c r="AU125" s="1002"/>
      <c r="AV125" s="1002"/>
      <c r="AW125" s="1002"/>
      <c r="AX125" s="1002"/>
      <c r="AY125" s="1002"/>
      <c r="AZ125" s="1002"/>
      <c r="BA125" s="1002"/>
      <c r="BB125" s="1002"/>
      <c r="BC125" s="1002"/>
      <c r="BD125" s="1002"/>
      <c r="BE125" s="205" t="s">
        <v>489</v>
      </c>
      <c r="BF125" s="205" t="s">
        <v>487</v>
      </c>
      <c r="BG125" s="204"/>
      <c r="BH125" s="204"/>
      <c r="BI125" s="204"/>
      <c r="BJ125" s="204"/>
      <c r="BK125" s="206"/>
    </row>
    <row r="126" spans="1:63" s="164" customFormat="1" ht="15.75" customHeight="1">
      <c r="A126" s="182" t="s">
        <v>416</v>
      </c>
      <c r="B126" s="183" t="s">
        <v>543</v>
      </c>
      <c r="C126" s="184"/>
      <c r="D126" s="184"/>
      <c r="E126" s="184"/>
      <c r="F126" s="184"/>
      <c r="G126" s="184"/>
      <c r="H126" s="184"/>
      <c r="I126" s="184"/>
      <c r="J126" s="184"/>
      <c r="K126" s="184"/>
      <c r="L126" s="193"/>
      <c r="M126" s="1003"/>
      <c r="N126" s="1002"/>
      <c r="O126" s="1002"/>
      <c r="P126" s="1002"/>
      <c r="Q126" s="1002"/>
      <c r="R126" s="1002"/>
      <c r="S126" s="1002"/>
      <c r="T126" s="1002"/>
      <c r="U126" s="1002"/>
      <c r="V126" s="1002"/>
      <c r="W126" s="1002"/>
      <c r="X126" s="1002"/>
      <c r="Y126" s="1002"/>
      <c r="Z126" s="1002"/>
      <c r="AA126" s="1002"/>
      <c r="AB126" s="1002"/>
      <c r="AC126" s="1002"/>
      <c r="AD126" s="1002"/>
      <c r="AE126" s="1002"/>
      <c r="AF126" s="1002"/>
      <c r="AG126" s="1002"/>
      <c r="AH126" s="1002"/>
      <c r="AI126" s="1002"/>
      <c r="AJ126" s="1002"/>
      <c r="AK126" s="1002"/>
      <c r="AL126" s="1002"/>
      <c r="AM126" s="1002"/>
      <c r="AN126" s="1002"/>
      <c r="AO126" s="1002"/>
      <c r="AP126" s="1002"/>
      <c r="AQ126" s="1002"/>
      <c r="AR126" s="1002"/>
      <c r="AS126" s="1002"/>
      <c r="AT126" s="1002"/>
      <c r="AU126" s="1002"/>
      <c r="AV126" s="1002"/>
      <c r="AW126" s="1002"/>
      <c r="AX126" s="1002"/>
      <c r="AY126" s="1002"/>
      <c r="AZ126" s="1002"/>
      <c r="BA126" s="1002"/>
      <c r="BB126" s="1002"/>
      <c r="BC126" s="1002"/>
      <c r="BD126" s="1002"/>
      <c r="BE126" s="204"/>
      <c r="BF126" s="205" t="s">
        <v>487</v>
      </c>
      <c r="BG126" s="204"/>
      <c r="BH126" s="204"/>
      <c r="BI126" s="204"/>
      <c r="BJ126" s="204"/>
      <c r="BK126" s="206"/>
    </row>
    <row r="127" spans="1:63" s="164" customFormat="1" ht="15.75" customHeight="1">
      <c r="A127" s="182" t="s">
        <v>416</v>
      </c>
      <c r="B127" s="183" t="s">
        <v>544</v>
      </c>
      <c r="C127" s="184"/>
      <c r="D127" s="184"/>
      <c r="E127" s="184"/>
      <c r="F127" s="184"/>
      <c r="G127" s="184"/>
      <c r="H127" s="184"/>
      <c r="I127" s="184"/>
      <c r="J127" s="184"/>
      <c r="K127" s="184"/>
      <c r="L127" s="193"/>
      <c r="M127" s="1003"/>
      <c r="N127" s="1002"/>
      <c r="O127" s="1002"/>
      <c r="P127" s="1002"/>
      <c r="Q127" s="1002"/>
      <c r="R127" s="1002"/>
      <c r="S127" s="1002"/>
      <c r="T127" s="1002"/>
      <c r="U127" s="1002"/>
      <c r="V127" s="1002"/>
      <c r="W127" s="1002"/>
      <c r="X127" s="1002"/>
      <c r="Y127" s="1002"/>
      <c r="Z127" s="1002"/>
      <c r="AA127" s="1002"/>
      <c r="AB127" s="1002"/>
      <c r="AC127" s="1002"/>
      <c r="AD127" s="1002"/>
      <c r="AE127" s="1002"/>
      <c r="AF127" s="1002"/>
      <c r="AG127" s="1002"/>
      <c r="AH127" s="1002"/>
      <c r="AI127" s="1002"/>
      <c r="AJ127" s="1002"/>
      <c r="AK127" s="1002"/>
      <c r="AL127" s="1002"/>
      <c r="AM127" s="1002"/>
      <c r="AN127" s="1002"/>
      <c r="AO127" s="1002"/>
      <c r="AP127" s="1002"/>
      <c r="AQ127" s="1002"/>
      <c r="AR127" s="1002"/>
      <c r="AS127" s="1002"/>
      <c r="AT127" s="1002"/>
      <c r="AU127" s="1002"/>
      <c r="AV127" s="1002"/>
      <c r="AW127" s="1002"/>
      <c r="AX127" s="1002"/>
      <c r="AY127" s="1002"/>
      <c r="AZ127" s="1002"/>
      <c r="BA127" s="1002"/>
      <c r="BB127" s="1002"/>
      <c r="BC127" s="1002"/>
      <c r="BD127" s="1002"/>
      <c r="BE127" s="205" t="s">
        <v>486</v>
      </c>
      <c r="BF127" s="205" t="s">
        <v>487</v>
      </c>
      <c r="BG127" s="204"/>
      <c r="BH127" s="204"/>
      <c r="BI127" s="204"/>
      <c r="BJ127" s="204"/>
      <c r="BK127" s="206"/>
    </row>
    <row r="128" spans="1:63" s="164" customFormat="1" ht="15.75" customHeight="1">
      <c r="A128" s="182" t="s">
        <v>416</v>
      </c>
      <c r="B128" s="183" t="s">
        <v>545</v>
      </c>
      <c r="C128" s="184"/>
      <c r="D128" s="184"/>
      <c r="E128" s="184"/>
      <c r="F128" s="184"/>
      <c r="G128" s="184"/>
      <c r="H128" s="184"/>
      <c r="I128" s="184"/>
      <c r="J128" s="184"/>
      <c r="K128" s="184"/>
      <c r="L128" s="193"/>
      <c r="M128" s="1003"/>
      <c r="N128" s="1002"/>
      <c r="O128" s="1002"/>
      <c r="P128" s="1002"/>
      <c r="Q128" s="1002"/>
      <c r="R128" s="1002"/>
      <c r="S128" s="1002"/>
      <c r="T128" s="1002"/>
      <c r="U128" s="1002"/>
      <c r="V128" s="1002"/>
      <c r="W128" s="1002"/>
      <c r="X128" s="1002"/>
      <c r="Y128" s="1002"/>
      <c r="Z128" s="1002"/>
      <c r="AA128" s="1002"/>
      <c r="AB128" s="1002"/>
      <c r="AC128" s="1002"/>
      <c r="AD128" s="1002"/>
      <c r="AE128" s="1002"/>
      <c r="AF128" s="1002"/>
      <c r="AG128" s="1002"/>
      <c r="AH128" s="1002"/>
      <c r="AI128" s="1002"/>
      <c r="AJ128" s="1002"/>
      <c r="AK128" s="1002"/>
      <c r="AL128" s="1002"/>
      <c r="AM128" s="1002"/>
      <c r="AN128" s="1002"/>
      <c r="AO128" s="1002"/>
      <c r="AP128" s="1002"/>
      <c r="AQ128" s="1002"/>
      <c r="AR128" s="1002"/>
      <c r="AS128" s="1002"/>
      <c r="AT128" s="1002"/>
      <c r="AU128" s="1002"/>
      <c r="AV128" s="1002"/>
      <c r="AW128" s="1002"/>
      <c r="AX128" s="1002"/>
      <c r="AY128" s="1002"/>
      <c r="AZ128" s="1002"/>
      <c r="BA128" s="1002"/>
      <c r="BB128" s="1002"/>
      <c r="BC128" s="1002"/>
      <c r="BD128" s="1002"/>
      <c r="BE128" s="204"/>
      <c r="BF128" s="205" t="s">
        <v>487</v>
      </c>
      <c r="BG128" s="204"/>
      <c r="BH128" s="204"/>
      <c r="BI128" s="204"/>
      <c r="BJ128" s="204"/>
      <c r="BK128" s="206"/>
    </row>
    <row r="129" spans="1:63" s="164" customFormat="1" ht="66.75" customHeight="1">
      <c r="A129" s="182" t="s">
        <v>416</v>
      </c>
      <c r="B129" s="183" t="s">
        <v>546</v>
      </c>
      <c r="C129" s="184"/>
      <c r="D129" s="184"/>
      <c r="E129" s="184"/>
      <c r="F129" s="184"/>
      <c r="G129" s="184"/>
      <c r="H129" s="184"/>
      <c r="I129" s="184"/>
      <c r="J129" s="184"/>
      <c r="K129" s="184"/>
      <c r="L129" s="193"/>
      <c r="M129" s="1001" t="s">
        <v>547</v>
      </c>
      <c r="N129" s="1002"/>
      <c r="O129" s="1002"/>
      <c r="P129" s="1002"/>
      <c r="Q129" s="1002"/>
      <c r="R129" s="1002"/>
      <c r="S129" s="1002"/>
      <c r="T129" s="1002"/>
      <c r="U129" s="1002"/>
      <c r="V129" s="1002"/>
      <c r="W129" s="1002"/>
      <c r="X129" s="1002"/>
      <c r="Y129" s="1002"/>
      <c r="Z129" s="1002"/>
      <c r="AA129" s="1002"/>
      <c r="AB129" s="1002"/>
      <c r="AC129" s="1002"/>
      <c r="AD129" s="1002"/>
      <c r="AE129" s="1002"/>
      <c r="AF129" s="1002"/>
      <c r="AG129" s="1002"/>
      <c r="AH129" s="1002"/>
      <c r="AI129" s="1002"/>
      <c r="AJ129" s="1002"/>
      <c r="AK129" s="1002"/>
      <c r="AL129" s="1002"/>
      <c r="AM129" s="1002"/>
      <c r="AN129" s="1002"/>
      <c r="AO129" s="1002"/>
      <c r="AP129" s="1002"/>
      <c r="AQ129" s="1002"/>
      <c r="AR129" s="1002"/>
      <c r="AS129" s="1002"/>
      <c r="AT129" s="1002"/>
      <c r="AU129" s="1002"/>
      <c r="AV129" s="1002"/>
      <c r="AW129" s="1002"/>
      <c r="AX129" s="1002"/>
      <c r="AY129" s="1002"/>
      <c r="AZ129" s="1002"/>
      <c r="BA129" s="1002"/>
      <c r="BB129" s="1002"/>
      <c r="BC129" s="1002"/>
      <c r="BD129" s="1002"/>
      <c r="BE129" s="204"/>
      <c r="BF129" s="205" t="s">
        <v>548</v>
      </c>
      <c r="BG129" s="204"/>
      <c r="BH129" s="204"/>
      <c r="BI129" s="204"/>
      <c r="BJ129" s="204"/>
      <c r="BK129" s="206"/>
    </row>
    <row r="130" spans="1:63" s="164" customFormat="1" ht="15.75" customHeight="1">
      <c r="A130" s="182" t="s">
        <v>416</v>
      </c>
      <c r="B130" s="183" t="s">
        <v>549</v>
      </c>
      <c r="C130" s="184"/>
      <c r="D130" s="184"/>
      <c r="E130" s="184"/>
      <c r="F130" s="184"/>
      <c r="G130" s="184"/>
      <c r="H130" s="184"/>
      <c r="I130" s="184"/>
      <c r="J130" s="184"/>
      <c r="K130" s="184"/>
      <c r="L130" s="193"/>
      <c r="M130" s="1001" t="s">
        <v>550</v>
      </c>
      <c r="N130" s="1002"/>
      <c r="O130" s="1002"/>
      <c r="P130" s="1002"/>
      <c r="Q130" s="1002"/>
      <c r="R130" s="1002"/>
      <c r="S130" s="1002"/>
      <c r="T130" s="1002"/>
      <c r="U130" s="1002"/>
      <c r="V130" s="1002"/>
      <c r="W130" s="1002"/>
      <c r="X130" s="1002"/>
      <c r="Y130" s="1002"/>
      <c r="Z130" s="1002"/>
      <c r="AA130" s="1002"/>
      <c r="AB130" s="1002"/>
      <c r="AC130" s="1002"/>
      <c r="AD130" s="1002"/>
      <c r="AE130" s="1002"/>
      <c r="AF130" s="1002"/>
      <c r="AG130" s="1002"/>
      <c r="AH130" s="1002"/>
      <c r="AI130" s="1002"/>
      <c r="AJ130" s="1002"/>
      <c r="AK130" s="1002"/>
      <c r="AL130" s="1002"/>
      <c r="AM130" s="1002"/>
      <c r="AN130" s="1002"/>
      <c r="AO130" s="1002"/>
      <c r="AP130" s="1002"/>
      <c r="AQ130" s="1002"/>
      <c r="AR130" s="1002"/>
      <c r="AS130" s="1002"/>
      <c r="AT130" s="1002"/>
      <c r="AU130" s="1002"/>
      <c r="AV130" s="1002"/>
      <c r="AW130" s="1002"/>
      <c r="AX130" s="1002"/>
      <c r="AY130" s="1002"/>
      <c r="AZ130" s="1002"/>
      <c r="BA130" s="1002"/>
      <c r="BB130" s="1002"/>
      <c r="BC130" s="1002"/>
      <c r="BD130" s="1002"/>
      <c r="BE130" s="204"/>
      <c r="BF130" s="205" t="s">
        <v>548</v>
      </c>
      <c r="BG130" s="204"/>
      <c r="BH130" s="204"/>
      <c r="BI130" s="204"/>
      <c r="BJ130" s="204"/>
      <c r="BK130" s="206"/>
    </row>
    <row r="131" spans="1:63" s="164" customFormat="1" ht="66.75" customHeight="1">
      <c r="A131" s="182" t="s">
        <v>416</v>
      </c>
      <c r="B131" s="183" t="s">
        <v>551</v>
      </c>
      <c r="C131" s="184"/>
      <c r="D131" s="184"/>
      <c r="E131" s="184"/>
      <c r="F131" s="184"/>
      <c r="G131" s="184"/>
      <c r="H131" s="184"/>
      <c r="I131" s="184"/>
      <c r="J131" s="184"/>
      <c r="K131" s="184"/>
      <c r="L131" s="193"/>
      <c r="M131" s="1001" t="s">
        <v>552</v>
      </c>
      <c r="N131" s="1002"/>
      <c r="O131" s="1002"/>
      <c r="P131" s="1002"/>
      <c r="Q131" s="1002"/>
      <c r="R131" s="1002"/>
      <c r="S131" s="1002"/>
      <c r="T131" s="1002"/>
      <c r="U131" s="1002"/>
      <c r="V131" s="1002"/>
      <c r="W131" s="1002"/>
      <c r="X131" s="1002"/>
      <c r="Y131" s="1002"/>
      <c r="Z131" s="1002"/>
      <c r="AA131" s="1002"/>
      <c r="AB131" s="1002"/>
      <c r="AC131" s="1002"/>
      <c r="AD131" s="1002"/>
      <c r="AE131" s="1002"/>
      <c r="AF131" s="1002"/>
      <c r="AG131" s="1002"/>
      <c r="AH131" s="1002"/>
      <c r="AI131" s="1002"/>
      <c r="AJ131" s="1002"/>
      <c r="AK131" s="1002"/>
      <c r="AL131" s="1002"/>
      <c r="AM131" s="1002"/>
      <c r="AN131" s="1002"/>
      <c r="AO131" s="1002"/>
      <c r="AP131" s="1002"/>
      <c r="AQ131" s="1002"/>
      <c r="AR131" s="1002"/>
      <c r="AS131" s="1002"/>
      <c r="AT131" s="1002"/>
      <c r="AU131" s="1002"/>
      <c r="AV131" s="1002"/>
      <c r="AW131" s="1002"/>
      <c r="AX131" s="1002"/>
      <c r="AY131" s="1002"/>
      <c r="AZ131" s="1002"/>
      <c r="BA131" s="1002"/>
      <c r="BB131" s="1002"/>
      <c r="BC131" s="1002"/>
      <c r="BD131" s="1002"/>
      <c r="BE131" s="204"/>
      <c r="BF131" s="205" t="s">
        <v>548</v>
      </c>
      <c r="BG131" s="204"/>
      <c r="BH131" s="204"/>
      <c r="BI131" s="204"/>
      <c r="BJ131" s="204"/>
      <c r="BK131" s="206"/>
    </row>
    <row r="132" spans="1:63" s="164" customFormat="1" ht="15.75" customHeight="1">
      <c r="A132" s="182" t="s">
        <v>416</v>
      </c>
      <c r="B132" s="183" t="s">
        <v>553</v>
      </c>
      <c r="C132" s="184"/>
      <c r="D132" s="184"/>
      <c r="E132" s="184"/>
      <c r="F132" s="184"/>
      <c r="G132" s="184"/>
      <c r="H132" s="184"/>
      <c r="I132" s="184"/>
      <c r="J132" s="184"/>
      <c r="K132" s="184"/>
      <c r="L132" s="193"/>
      <c r="M132" s="1001" t="s">
        <v>550</v>
      </c>
      <c r="N132" s="1002"/>
      <c r="O132" s="1002"/>
      <c r="P132" s="1002"/>
      <c r="Q132" s="1002"/>
      <c r="R132" s="1002"/>
      <c r="S132" s="1002"/>
      <c r="T132" s="1002"/>
      <c r="U132" s="1002"/>
      <c r="V132" s="1002"/>
      <c r="W132" s="1002"/>
      <c r="X132" s="1002"/>
      <c r="Y132" s="1002"/>
      <c r="Z132" s="1002"/>
      <c r="AA132" s="1002"/>
      <c r="AB132" s="1002"/>
      <c r="AC132" s="1002"/>
      <c r="AD132" s="1002"/>
      <c r="AE132" s="1002"/>
      <c r="AF132" s="1002"/>
      <c r="AG132" s="1002"/>
      <c r="AH132" s="1002"/>
      <c r="AI132" s="1002"/>
      <c r="AJ132" s="1002"/>
      <c r="AK132" s="1002"/>
      <c r="AL132" s="1002"/>
      <c r="AM132" s="1002"/>
      <c r="AN132" s="1002"/>
      <c r="AO132" s="1002"/>
      <c r="AP132" s="1002"/>
      <c r="AQ132" s="1002"/>
      <c r="AR132" s="1002"/>
      <c r="AS132" s="1002"/>
      <c r="AT132" s="1002"/>
      <c r="AU132" s="1002"/>
      <c r="AV132" s="1002"/>
      <c r="AW132" s="1002"/>
      <c r="AX132" s="1002"/>
      <c r="AY132" s="1002"/>
      <c r="AZ132" s="1002"/>
      <c r="BA132" s="1002"/>
      <c r="BB132" s="1002"/>
      <c r="BC132" s="1002"/>
      <c r="BD132" s="1002"/>
      <c r="BE132" s="204"/>
      <c r="BF132" s="205" t="s">
        <v>548</v>
      </c>
      <c r="BG132" s="204"/>
      <c r="BH132" s="204"/>
      <c r="BI132" s="204"/>
      <c r="BJ132" s="204"/>
      <c r="BK132" s="206"/>
    </row>
    <row r="133" spans="1:63" s="164" customFormat="1" ht="15.75" customHeight="1">
      <c r="A133" s="182" t="s">
        <v>416</v>
      </c>
      <c r="B133" s="183" t="s">
        <v>306</v>
      </c>
      <c r="C133" s="184"/>
      <c r="D133" s="184"/>
      <c r="E133" s="184"/>
      <c r="F133" s="184"/>
      <c r="G133" s="184"/>
      <c r="H133" s="184"/>
      <c r="I133" s="184"/>
      <c r="J133" s="184"/>
      <c r="K133" s="184"/>
      <c r="L133" s="193"/>
      <c r="M133" s="1001" t="s">
        <v>554</v>
      </c>
      <c r="N133" s="1002"/>
      <c r="O133" s="1002"/>
      <c r="P133" s="1002"/>
      <c r="Q133" s="1002"/>
      <c r="R133" s="1002"/>
      <c r="S133" s="1002"/>
      <c r="T133" s="1002"/>
      <c r="U133" s="1002"/>
      <c r="V133" s="1002"/>
      <c r="W133" s="1002"/>
      <c r="X133" s="1002"/>
      <c r="Y133" s="1002"/>
      <c r="Z133" s="1002"/>
      <c r="AA133" s="1002"/>
      <c r="AB133" s="1002"/>
      <c r="AC133" s="1002"/>
      <c r="AD133" s="1002"/>
      <c r="AE133" s="1002"/>
      <c r="AF133" s="1002"/>
      <c r="AG133" s="1002"/>
      <c r="AH133" s="1002"/>
      <c r="AI133" s="1002"/>
      <c r="AJ133" s="1002"/>
      <c r="AK133" s="1002"/>
      <c r="AL133" s="1002"/>
      <c r="AM133" s="1002"/>
      <c r="AN133" s="1002"/>
      <c r="AO133" s="1002"/>
      <c r="AP133" s="1002"/>
      <c r="AQ133" s="1002"/>
      <c r="AR133" s="1002"/>
      <c r="AS133" s="1002"/>
      <c r="AT133" s="1002"/>
      <c r="AU133" s="1002"/>
      <c r="AV133" s="1002"/>
      <c r="AW133" s="1002"/>
      <c r="AX133" s="1002"/>
      <c r="AY133" s="1002"/>
      <c r="AZ133" s="1002"/>
      <c r="BA133" s="1002"/>
      <c r="BB133" s="1002"/>
      <c r="BC133" s="1002"/>
      <c r="BD133" s="1002"/>
      <c r="BE133" s="204"/>
      <c r="BF133" s="205" t="s">
        <v>419</v>
      </c>
      <c r="BG133" s="204"/>
      <c r="BH133" s="204"/>
      <c r="BI133" s="204"/>
      <c r="BJ133" s="204"/>
      <c r="BK133" s="206"/>
    </row>
    <row r="134" spans="1:63" s="164" customFormat="1" ht="15.75" customHeight="1">
      <c r="A134" s="182" t="s">
        <v>416</v>
      </c>
      <c r="B134" s="183" t="s">
        <v>296</v>
      </c>
      <c r="C134" s="184"/>
      <c r="D134" s="184"/>
      <c r="E134" s="184"/>
      <c r="F134" s="184"/>
      <c r="G134" s="184"/>
      <c r="H134" s="184"/>
      <c r="I134" s="184"/>
      <c r="J134" s="184"/>
      <c r="K134" s="184"/>
      <c r="L134" s="193"/>
      <c r="M134" s="1001" t="s">
        <v>555</v>
      </c>
      <c r="N134" s="1002"/>
      <c r="O134" s="1002"/>
      <c r="P134" s="1002"/>
      <c r="Q134" s="1002"/>
      <c r="R134" s="1002"/>
      <c r="S134" s="1002"/>
      <c r="T134" s="1002"/>
      <c r="U134" s="1002"/>
      <c r="V134" s="1002"/>
      <c r="W134" s="1002"/>
      <c r="X134" s="1002"/>
      <c r="Y134" s="1002"/>
      <c r="Z134" s="1002"/>
      <c r="AA134" s="1002"/>
      <c r="AB134" s="1002"/>
      <c r="AC134" s="1002"/>
      <c r="AD134" s="1002"/>
      <c r="AE134" s="1002"/>
      <c r="AF134" s="1002"/>
      <c r="AG134" s="1002"/>
      <c r="AH134" s="1002"/>
      <c r="AI134" s="1002"/>
      <c r="AJ134" s="1002"/>
      <c r="AK134" s="1002"/>
      <c r="AL134" s="1002"/>
      <c r="AM134" s="1002"/>
      <c r="AN134" s="1002"/>
      <c r="AO134" s="1002"/>
      <c r="AP134" s="1002"/>
      <c r="AQ134" s="1002"/>
      <c r="AR134" s="1002"/>
      <c r="AS134" s="1002"/>
      <c r="AT134" s="1002"/>
      <c r="AU134" s="1002"/>
      <c r="AV134" s="1002"/>
      <c r="AW134" s="1002"/>
      <c r="AX134" s="1002"/>
      <c r="AY134" s="1002"/>
      <c r="AZ134" s="1002"/>
      <c r="BA134" s="1002"/>
      <c r="BB134" s="1002"/>
      <c r="BC134" s="1002"/>
      <c r="BD134" s="1002"/>
      <c r="BE134" s="204"/>
      <c r="BF134" s="205" t="s">
        <v>419</v>
      </c>
      <c r="BG134" s="204"/>
      <c r="BH134" s="204"/>
      <c r="BI134" s="204"/>
      <c r="BJ134" s="204"/>
      <c r="BK134" s="206"/>
    </row>
    <row r="135" spans="1:63" s="164" customFormat="1" ht="15.75" customHeight="1">
      <c r="A135" s="182" t="s">
        <v>416</v>
      </c>
      <c r="B135" s="183" t="s">
        <v>556</v>
      </c>
      <c r="C135" s="184"/>
      <c r="D135" s="184"/>
      <c r="E135" s="184"/>
      <c r="F135" s="184"/>
      <c r="G135" s="184"/>
      <c r="H135" s="184"/>
      <c r="I135" s="184"/>
      <c r="J135" s="184"/>
      <c r="K135" s="184"/>
      <c r="L135" s="193"/>
      <c r="M135" s="1001" t="s">
        <v>557</v>
      </c>
      <c r="N135" s="1002"/>
      <c r="O135" s="1002"/>
      <c r="P135" s="1002"/>
      <c r="Q135" s="1002"/>
      <c r="R135" s="1002"/>
      <c r="S135" s="1002"/>
      <c r="T135" s="1002"/>
      <c r="U135" s="1002"/>
      <c r="V135" s="1002"/>
      <c r="W135" s="1002"/>
      <c r="X135" s="1002"/>
      <c r="Y135" s="1002"/>
      <c r="Z135" s="1002"/>
      <c r="AA135" s="1002"/>
      <c r="AB135" s="1002"/>
      <c r="AC135" s="1002"/>
      <c r="AD135" s="1002"/>
      <c r="AE135" s="1002"/>
      <c r="AF135" s="1002"/>
      <c r="AG135" s="1002"/>
      <c r="AH135" s="1002"/>
      <c r="AI135" s="1002"/>
      <c r="AJ135" s="1002"/>
      <c r="AK135" s="1002"/>
      <c r="AL135" s="1002"/>
      <c r="AM135" s="1002"/>
      <c r="AN135" s="1002"/>
      <c r="AO135" s="1002"/>
      <c r="AP135" s="1002"/>
      <c r="AQ135" s="1002"/>
      <c r="AR135" s="1002"/>
      <c r="AS135" s="1002"/>
      <c r="AT135" s="1002"/>
      <c r="AU135" s="1002"/>
      <c r="AV135" s="1002"/>
      <c r="AW135" s="1002"/>
      <c r="AX135" s="1002"/>
      <c r="AY135" s="1002"/>
      <c r="AZ135" s="1002"/>
      <c r="BA135" s="1002"/>
      <c r="BB135" s="1002"/>
      <c r="BC135" s="1002"/>
      <c r="BD135" s="1002"/>
      <c r="BE135" s="204"/>
      <c r="BF135" s="205" t="s">
        <v>419</v>
      </c>
      <c r="BG135" s="204"/>
      <c r="BH135" s="204"/>
      <c r="BI135" s="204"/>
      <c r="BJ135" s="204"/>
      <c r="BK135" s="206"/>
    </row>
    <row r="136" spans="1:63" s="164" customFormat="1" ht="15.75" customHeight="1">
      <c r="A136" s="182" t="s">
        <v>416</v>
      </c>
      <c r="B136" s="183" t="s">
        <v>558</v>
      </c>
      <c r="C136" s="184"/>
      <c r="D136" s="184"/>
      <c r="E136" s="184"/>
      <c r="F136" s="184"/>
      <c r="G136" s="184"/>
      <c r="H136" s="184"/>
      <c r="I136" s="184"/>
      <c r="J136" s="184"/>
      <c r="K136" s="184"/>
      <c r="L136" s="193"/>
      <c r="M136" s="1001" t="s">
        <v>559</v>
      </c>
      <c r="N136" s="1002"/>
      <c r="O136" s="1002"/>
      <c r="P136" s="1002"/>
      <c r="Q136" s="1002"/>
      <c r="R136" s="1002"/>
      <c r="S136" s="1002"/>
      <c r="T136" s="1002"/>
      <c r="U136" s="1002"/>
      <c r="V136" s="1002"/>
      <c r="W136" s="1002"/>
      <c r="X136" s="1002"/>
      <c r="Y136" s="1002"/>
      <c r="Z136" s="1002"/>
      <c r="AA136" s="1002"/>
      <c r="AB136" s="1002"/>
      <c r="AC136" s="1002"/>
      <c r="AD136" s="1002"/>
      <c r="AE136" s="1002"/>
      <c r="AF136" s="1002"/>
      <c r="AG136" s="1002"/>
      <c r="AH136" s="1002"/>
      <c r="AI136" s="1002"/>
      <c r="AJ136" s="1002"/>
      <c r="AK136" s="1002"/>
      <c r="AL136" s="1002"/>
      <c r="AM136" s="1002"/>
      <c r="AN136" s="1002"/>
      <c r="AO136" s="1002"/>
      <c r="AP136" s="1002"/>
      <c r="AQ136" s="1002"/>
      <c r="AR136" s="1002"/>
      <c r="AS136" s="1002"/>
      <c r="AT136" s="1002"/>
      <c r="AU136" s="1002"/>
      <c r="AV136" s="1002"/>
      <c r="AW136" s="1002"/>
      <c r="AX136" s="1002"/>
      <c r="AY136" s="1002"/>
      <c r="AZ136" s="1002"/>
      <c r="BA136" s="1002"/>
      <c r="BB136" s="1002"/>
      <c r="BC136" s="1002"/>
      <c r="BD136" s="1002"/>
      <c r="BE136" s="204"/>
      <c r="BF136" s="205" t="s">
        <v>419</v>
      </c>
      <c r="BG136" s="204"/>
      <c r="BH136" s="204"/>
      <c r="BI136" s="204"/>
      <c r="BJ136" s="204"/>
      <c r="BK136" s="206"/>
    </row>
    <row r="137" spans="1:63" s="164" customFormat="1" ht="15.75" customHeight="1">
      <c r="A137" s="182" t="s">
        <v>416</v>
      </c>
      <c r="B137" s="183" t="s">
        <v>560</v>
      </c>
      <c r="C137" s="184"/>
      <c r="D137" s="184"/>
      <c r="E137" s="184"/>
      <c r="F137" s="184"/>
      <c r="G137" s="184"/>
      <c r="H137" s="184"/>
      <c r="I137" s="184"/>
      <c r="J137" s="184"/>
      <c r="K137" s="184"/>
      <c r="L137" s="193"/>
      <c r="M137" s="1003"/>
      <c r="N137" s="1002"/>
      <c r="O137" s="1002"/>
      <c r="P137" s="1002"/>
      <c r="Q137" s="1002"/>
      <c r="R137" s="1002"/>
      <c r="S137" s="1002"/>
      <c r="T137" s="1002"/>
      <c r="U137" s="1002"/>
      <c r="V137" s="1002"/>
      <c r="W137" s="1002"/>
      <c r="X137" s="1002"/>
      <c r="Y137" s="1002"/>
      <c r="Z137" s="1002"/>
      <c r="AA137" s="1002"/>
      <c r="AB137" s="1002"/>
      <c r="AC137" s="1002"/>
      <c r="AD137" s="1002"/>
      <c r="AE137" s="1002"/>
      <c r="AF137" s="1002"/>
      <c r="AG137" s="1002"/>
      <c r="AH137" s="1002"/>
      <c r="AI137" s="1002"/>
      <c r="AJ137" s="1002"/>
      <c r="AK137" s="1002"/>
      <c r="AL137" s="1002"/>
      <c r="AM137" s="1002"/>
      <c r="AN137" s="1002"/>
      <c r="AO137" s="1002"/>
      <c r="AP137" s="1002"/>
      <c r="AQ137" s="1002"/>
      <c r="AR137" s="1002"/>
      <c r="AS137" s="1002"/>
      <c r="AT137" s="1002"/>
      <c r="AU137" s="1002"/>
      <c r="AV137" s="1002"/>
      <c r="AW137" s="1002"/>
      <c r="AX137" s="1002"/>
      <c r="AY137" s="1002"/>
      <c r="AZ137" s="1002"/>
      <c r="BA137" s="1002"/>
      <c r="BB137" s="1002"/>
      <c r="BC137" s="1002"/>
      <c r="BD137" s="1002"/>
      <c r="BE137" s="204"/>
      <c r="BF137" s="205" t="s">
        <v>487</v>
      </c>
      <c r="BG137" s="204"/>
      <c r="BH137" s="204"/>
      <c r="BI137" s="204"/>
      <c r="BJ137" s="204"/>
      <c r="BK137" s="206"/>
    </row>
    <row r="138" spans="1:63" s="164" customFormat="1" ht="15.75" customHeight="1">
      <c r="A138" s="182" t="s">
        <v>416</v>
      </c>
      <c r="B138" s="183" t="s">
        <v>561</v>
      </c>
      <c r="C138" s="184"/>
      <c r="D138" s="184"/>
      <c r="E138" s="184"/>
      <c r="F138" s="184"/>
      <c r="G138" s="184"/>
      <c r="H138" s="184"/>
      <c r="I138" s="184"/>
      <c r="J138" s="184"/>
      <c r="K138" s="184"/>
      <c r="L138" s="193"/>
      <c r="M138" s="1003"/>
      <c r="N138" s="1002"/>
      <c r="O138" s="1002"/>
      <c r="P138" s="1002"/>
      <c r="Q138" s="1002"/>
      <c r="R138" s="1002"/>
      <c r="S138" s="1002"/>
      <c r="T138" s="1002"/>
      <c r="U138" s="1002"/>
      <c r="V138" s="1002"/>
      <c r="W138" s="1002"/>
      <c r="X138" s="1002"/>
      <c r="Y138" s="1002"/>
      <c r="Z138" s="1002"/>
      <c r="AA138" s="1002"/>
      <c r="AB138" s="1002"/>
      <c r="AC138" s="1002"/>
      <c r="AD138" s="1002"/>
      <c r="AE138" s="1002"/>
      <c r="AF138" s="1002"/>
      <c r="AG138" s="1002"/>
      <c r="AH138" s="1002"/>
      <c r="AI138" s="1002"/>
      <c r="AJ138" s="1002"/>
      <c r="AK138" s="1002"/>
      <c r="AL138" s="1002"/>
      <c r="AM138" s="1002"/>
      <c r="AN138" s="1002"/>
      <c r="AO138" s="1002"/>
      <c r="AP138" s="1002"/>
      <c r="AQ138" s="1002"/>
      <c r="AR138" s="1002"/>
      <c r="AS138" s="1002"/>
      <c r="AT138" s="1002"/>
      <c r="AU138" s="1002"/>
      <c r="AV138" s="1002"/>
      <c r="AW138" s="1002"/>
      <c r="AX138" s="1002"/>
      <c r="AY138" s="1002"/>
      <c r="AZ138" s="1002"/>
      <c r="BA138" s="1002"/>
      <c r="BB138" s="1002"/>
      <c r="BC138" s="1002"/>
      <c r="BD138" s="1002"/>
      <c r="BE138" s="204"/>
      <c r="BF138" s="205" t="s">
        <v>487</v>
      </c>
      <c r="BG138" s="204"/>
      <c r="BH138" s="204"/>
      <c r="BI138" s="204"/>
      <c r="BJ138" s="204"/>
      <c r="BK138" s="206"/>
    </row>
    <row r="139" spans="1:63" s="164" customFormat="1" ht="15.75" customHeight="1">
      <c r="A139" s="182" t="s">
        <v>416</v>
      </c>
      <c r="B139" s="183" t="s">
        <v>562</v>
      </c>
      <c r="C139" s="184"/>
      <c r="D139" s="184"/>
      <c r="E139" s="184"/>
      <c r="F139" s="184"/>
      <c r="G139" s="184"/>
      <c r="H139" s="184"/>
      <c r="I139" s="184"/>
      <c r="J139" s="184"/>
      <c r="K139" s="184"/>
      <c r="L139" s="193"/>
      <c r="M139" s="1003"/>
      <c r="N139" s="1002"/>
      <c r="O139" s="1002"/>
      <c r="P139" s="1002"/>
      <c r="Q139" s="1002"/>
      <c r="R139" s="1002"/>
      <c r="S139" s="1002"/>
      <c r="T139" s="1002"/>
      <c r="U139" s="1002"/>
      <c r="V139" s="1002"/>
      <c r="W139" s="1002"/>
      <c r="X139" s="1002"/>
      <c r="Y139" s="1002"/>
      <c r="Z139" s="1002"/>
      <c r="AA139" s="1002"/>
      <c r="AB139" s="1002"/>
      <c r="AC139" s="1002"/>
      <c r="AD139" s="1002"/>
      <c r="AE139" s="1002"/>
      <c r="AF139" s="1002"/>
      <c r="AG139" s="1002"/>
      <c r="AH139" s="1002"/>
      <c r="AI139" s="1002"/>
      <c r="AJ139" s="1002"/>
      <c r="AK139" s="1002"/>
      <c r="AL139" s="1002"/>
      <c r="AM139" s="1002"/>
      <c r="AN139" s="1002"/>
      <c r="AO139" s="1002"/>
      <c r="AP139" s="1002"/>
      <c r="AQ139" s="1002"/>
      <c r="AR139" s="1002"/>
      <c r="AS139" s="1002"/>
      <c r="AT139" s="1002"/>
      <c r="AU139" s="1002"/>
      <c r="AV139" s="1002"/>
      <c r="AW139" s="1002"/>
      <c r="AX139" s="1002"/>
      <c r="AY139" s="1002"/>
      <c r="AZ139" s="1002"/>
      <c r="BA139" s="1002"/>
      <c r="BB139" s="1002"/>
      <c r="BC139" s="1002"/>
      <c r="BD139" s="1002"/>
      <c r="BE139" s="204"/>
      <c r="BF139" s="205" t="s">
        <v>487</v>
      </c>
      <c r="BG139" s="204"/>
      <c r="BH139" s="204"/>
      <c r="BI139" s="204"/>
      <c r="BJ139" s="204"/>
      <c r="BK139" s="206"/>
    </row>
    <row r="140" spans="1:63" s="164" customFormat="1" ht="15.75" customHeight="1">
      <c r="A140" s="182" t="s">
        <v>416</v>
      </c>
      <c r="B140" s="183" t="s">
        <v>563</v>
      </c>
      <c r="C140" s="184"/>
      <c r="D140" s="184"/>
      <c r="E140" s="184"/>
      <c r="F140" s="184"/>
      <c r="G140" s="184"/>
      <c r="H140" s="184"/>
      <c r="I140" s="184"/>
      <c r="J140" s="184"/>
      <c r="K140" s="184"/>
      <c r="L140" s="193"/>
      <c r="M140" s="1003"/>
      <c r="N140" s="1002"/>
      <c r="O140" s="1002"/>
      <c r="P140" s="1002"/>
      <c r="Q140" s="1002"/>
      <c r="R140" s="1002"/>
      <c r="S140" s="1002"/>
      <c r="T140" s="1002"/>
      <c r="U140" s="1002"/>
      <c r="V140" s="1002"/>
      <c r="W140" s="1002"/>
      <c r="X140" s="1002"/>
      <c r="Y140" s="1002"/>
      <c r="Z140" s="1002"/>
      <c r="AA140" s="1002"/>
      <c r="AB140" s="1002"/>
      <c r="AC140" s="1002"/>
      <c r="AD140" s="1002"/>
      <c r="AE140" s="1002"/>
      <c r="AF140" s="1002"/>
      <c r="AG140" s="1002"/>
      <c r="AH140" s="1002"/>
      <c r="AI140" s="1002"/>
      <c r="AJ140" s="1002"/>
      <c r="AK140" s="1002"/>
      <c r="AL140" s="1002"/>
      <c r="AM140" s="1002"/>
      <c r="AN140" s="1002"/>
      <c r="AO140" s="1002"/>
      <c r="AP140" s="1002"/>
      <c r="AQ140" s="1002"/>
      <c r="AR140" s="1002"/>
      <c r="AS140" s="1002"/>
      <c r="AT140" s="1002"/>
      <c r="AU140" s="1002"/>
      <c r="AV140" s="1002"/>
      <c r="AW140" s="1002"/>
      <c r="AX140" s="1002"/>
      <c r="AY140" s="1002"/>
      <c r="AZ140" s="1002"/>
      <c r="BA140" s="1002"/>
      <c r="BB140" s="1002"/>
      <c r="BC140" s="1002"/>
      <c r="BD140" s="1002"/>
      <c r="BE140" s="204"/>
      <c r="BF140" s="205" t="s">
        <v>487</v>
      </c>
      <c r="BG140" s="204"/>
      <c r="BH140" s="204"/>
      <c r="BI140" s="204"/>
      <c r="BJ140" s="204"/>
      <c r="BK140" s="206"/>
    </row>
    <row r="141" spans="1:63" s="164" customFormat="1" ht="15.75" customHeight="1">
      <c r="A141" s="182" t="s">
        <v>416</v>
      </c>
      <c r="B141" s="183" t="s">
        <v>564</v>
      </c>
      <c r="C141" s="184"/>
      <c r="D141" s="184"/>
      <c r="E141" s="184"/>
      <c r="F141" s="184"/>
      <c r="G141" s="184"/>
      <c r="H141" s="184"/>
      <c r="I141" s="184"/>
      <c r="J141" s="184"/>
      <c r="K141" s="184"/>
      <c r="L141" s="193"/>
      <c r="M141" s="1003"/>
      <c r="N141" s="1002"/>
      <c r="O141" s="1002"/>
      <c r="P141" s="1002"/>
      <c r="Q141" s="1002"/>
      <c r="R141" s="1002"/>
      <c r="S141" s="1002"/>
      <c r="T141" s="1002"/>
      <c r="U141" s="1002"/>
      <c r="V141" s="1002"/>
      <c r="W141" s="1002"/>
      <c r="X141" s="1002"/>
      <c r="Y141" s="1002"/>
      <c r="Z141" s="1002"/>
      <c r="AA141" s="1002"/>
      <c r="AB141" s="1002"/>
      <c r="AC141" s="1002"/>
      <c r="AD141" s="1002"/>
      <c r="AE141" s="1002"/>
      <c r="AF141" s="1002"/>
      <c r="AG141" s="1002"/>
      <c r="AH141" s="1002"/>
      <c r="AI141" s="1002"/>
      <c r="AJ141" s="1002"/>
      <c r="AK141" s="1002"/>
      <c r="AL141" s="1002"/>
      <c r="AM141" s="1002"/>
      <c r="AN141" s="1002"/>
      <c r="AO141" s="1002"/>
      <c r="AP141" s="1002"/>
      <c r="AQ141" s="1002"/>
      <c r="AR141" s="1002"/>
      <c r="AS141" s="1002"/>
      <c r="AT141" s="1002"/>
      <c r="AU141" s="1002"/>
      <c r="AV141" s="1002"/>
      <c r="AW141" s="1002"/>
      <c r="AX141" s="1002"/>
      <c r="AY141" s="1002"/>
      <c r="AZ141" s="1002"/>
      <c r="BA141" s="1002"/>
      <c r="BB141" s="1002"/>
      <c r="BC141" s="1002"/>
      <c r="BD141" s="1002"/>
      <c r="BE141" s="204"/>
      <c r="BF141" s="205" t="s">
        <v>487</v>
      </c>
      <c r="BG141" s="204"/>
      <c r="BH141" s="204"/>
      <c r="BI141" s="204"/>
      <c r="BJ141" s="204"/>
      <c r="BK141" s="206"/>
    </row>
    <row r="142" spans="1:63" s="164" customFormat="1" ht="15.75" customHeight="1">
      <c r="A142" s="182" t="s">
        <v>416</v>
      </c>
      <c r="B142" s="183" t="s">
        <v>565</v>
      </c>
      <c r="C142" s="184"/>
      <c r="D142" s="184"/>
      <c r="E142" s="184"/>
      <c r="F142" s="184"/>
      <c r="G142" s="184"/>
      <c r="H142" s="184"/>
      <c r="I142" s="184"/>
      <c r="J142" s="184"/>
      <c r="K142" s="184"/>
      <c r="L142" s="193"/>
      <c r="M142" s="1003"/>
      <c r="N142" s="1002"/>
      <c r="O142" s="1002"/>
      <c r="P142" s="1002"/>
      <c r="Q142" s="1002"/>
      <c r="R142" s="1002"/>
      <c r="S142" s="1002"/>
      <c r="T142" s="1002"/>
      <c r="U142" s="1002"/>
      <c r="V142" s="1002"/>
      <c r="W142" s="1002"/>
      <c r="X142" s="1002"/>
      <c r="Y142" s="1002"/>
      <c r="Z142" s="1002"/>
      <c r="AA142" s="1002"/>
      <c r="AB142" s="1002"/>
      <c r="AC142" s="1002"/>
      <c r="AD142" s="1002"/>
      <c r="AE142" s="1002"/>
      <c r="AF142" s="1002"/>
      <c r="AG142" s="1002"/>
      <c r="AH142" s="1002"/>
      <c r="AI142" s="1002"/>
      <c r="AJ142" s="1002"/>
      <c r="AK142" s="1002"/>
      <c r="AL142" s="1002"/>
      <c r="AM142" s="1002"/>
      <c r="AN142" s="1002"/>
      <c r="AO142" s="1002"/>
      <c r="AP142" s="1002"/>
      <c r="AQ142" s="1002"/>
      <c r="AR142" s="1002"/>
      <c r="AS142" s="1002"/>
      <c r="AT142" s="1002"/>
      <c r="AU142" s="1002"/>
      <c r="AV142" s="1002"/>
      <c r="AW142" s="1002"/>
      <c r="AX142" s="1002"/>
      <c r="AY142" s="1002"/>
      <c r="AZ142" s="1002"/>
      <c r="BA142" s="1002"/>
      <c r="BB142" s="1002"/>
      <c r="BC142" s="1002"/>
      <c r="BD142" s="1002"/>
      <c r="BE142" s="204"/>
      <c r="BF142" s="205" t="s">
        <v>487</v>
      </c>
      <c r="BG142" s="204"/>
      <c r="BH142" s="204"/>
      <c r="BI142" s="204"/>
      <c r="BJ142" s="204"/>
      <c r="BK142" s="206"/>
    </row>
    <row r="143" spans="1:63" s="164" customFormat="1" ht="15.75" customHeight="1">
      <c r="A143" s="182" t="s">
        <v>416</v>
      </c>
      <c r="B143" s="183" t="s">
        <v>566</v>
      </c>
      <c r="C143" s="184"/>
      <c r="D143" s="184"/>
      <c r="E143" s="184"/>
      <c r="F143" s="184"/>
      <c r="G143" s="184"/>
      <c r="H143" s="184"/>
      <c r="I143" s="184"/>
      <c r="J143" s="184"/>
      <c r="K143" s="184"/>
      <c r="L143" s="193"/>
      <c r="M143" s="1003"/>
      <c r="N143" s="1002"/>
      <c r="O143" s="1002"/>
      <c r="P143" s="1002"/>
      <c r="Q143" s="1002"/>
      <c r="R143" s="1002"/>
      <c r="S143" s="1002"/>
      <c r="T143" s="1002"/>
      <c r="U143" s="1002"/>
      <c r="V143" s="1002"/>
      <c r="W143" s="1002"/>
      <c r="X143" s="1002"/>
      <c r="Y143" s="1002"/>
      <c r="Z143" s="1002"/>
      <c r="AA143" s="1002"/>
      <c r="AB143" s="1002"/>
      <c r="AC143" s="1002"/>
      <c r="AD143" s="1002"/>
      <c r="AE143" s="1002"/>
      <c r="AF143" s="1002"/>
      <c r="AG143" s="1002"/>
      <c r="AH143" s="1002"/>
      <c r="AI143" s="1002"/>
      <c r="AJ143" s="1002"/>
      <c r="AK143" s="1002"/>
      <c r="AL143" s="1002"/>
      <c r="AM143" s="1002"/>
      <c r="AN143" s="1002"/>
      <c r="AO143" s="1002"/>
      <c r="AP143" s="1002"/>
      <c r="AQ143" s="1002"/>
      <c r="AR143" s="1002"/>
      <c r="AS143" s="1002"/>
      <c r="AT143" s="1002"/>
      <c r="AU143" s="1002"/>
      <c r="AV143" s="1002"/>
      <c r="AW143" s="1002"/>
      <c r="AX143" s="1002"/>
      <c r="AY143" s="1002"/>
      <c r="AZ143" s="1002"/>
      <c r="BA143" s="1002"/>
      <c r="BB143" s="1002"/>
      <c r="BC143" s="1002"/>
      <c r="BD143" s="1002"/>
      <c r="BE143" s="204"/>
      <c r="BF143" s="205" t="s">
        <v>487</v>
      </c>
      <c r="BG143" s="204"/>
      <c r="BH143" s="204"/>
      <c r="BI143" s="204"/>
      <c r="BJ143" s="204"/>
      <c r="BK143" s="206"/>
    </row>
    <row r="144" spans="1:63" s="164" customFormat="1" ht="15.75" customHeight="1">
      <c r="A144" s="182" t="s">
        <v>416</v>
      </c>
      <c r="B144" s="183" t="s">
        <v>567</v>
      </c>
      <c r="C144" s="184"/>
      <c r="D144" s="184"/>
      <c r="E144" s="184"/>
      <c r="F144" s="184"/>
      <c r="G144" s="184"/>
      <c r="H144" s="184"/>
      <c r="I144" s="184"/>
      <c r="J144" s="184"/>
      <c r="K144" s="184"/>
      <c r="L144" s="193"/>
      <c r="M144" s="1003"/>
      <c r="N144" s="1002"/>
      <c r="O144" s="1002"/>
      <c r="P144" s="1002"/>
      <c r="Q144" s="1002"/>
      <c r="R144" s="1002"/>
      <c r="S144" s="1002"/>
      <c r="T144" s="1002"/>
      <c r="U144" s="1002"/>
      <c r="V144" s="1002"/>
      <c r="W144" s="1002"/>
      <c r="X144" s="1002"/>
      <c r="Y144" s="1002"/>
      <c r="Z144" s="1002"/>
      <c r="AA144" s="1002"/>
      <c r="AB144" s="1002"/>
      <c r="AC144" s="1002"/>
      <c r="AD144" s="1002"/>
      <c r="AE144" s="1002"/>
      <c r="AF144" s="1002"/>
      <c r="AG144" s="1002"/>
      <c r="AH144" s="1002"/>
      <c r="AI144" s="1002"/>
      <c r="AJ144" s="1002"/>
      <c r="AK144" s="1002"/>
      <c r="AL144" s="1002"/>
      <c r="AM144" s="1002"/>
      <c r="AN144" s="1002"/>
      <c r="AO144" s="1002"/>
      <c r="AP144" s="1002"/>
      <c r="AQ144" s="1002"/>
      <c r="AR144" s="1002"/>
      <c r="AS144" s="1002"/>
      <c r="AT144" s="1002"/>
      <c r="AU144" s="1002"/>
      <c r="AV144" s="1002"/>
      <c r="AW144" s="1002"/>
      <c r="AX144" s="1002"/>
      <c r="AY144" s="1002"/>
      <c r="AZ144" s="1002"/>
      <c r="BA144" s="1002"/>
      <c r="BB144" s="1002"/>
      <c r="BC144" s="1002"/>
      <c r="BD144" s="1002"/>
      <c r="BE144" s="204"/>
      <c r="BF144" s="205" t="s">
        <v>487</v>
      </c>
      <c r="BG144" s="204"/>
      <c r="BH144" s="204"/>
      <c r="BI144" s="204"/>
      <c r="BJ144" s="204"/>
      <c r="BK144" s="206"/>
    </row>
    <row r="145" spans="1:63" s="164" customFormat="1" ht="15.75" customHeight="1">
      <c r="A145" s="182" t="s">
        <v>416</v>
      </c>
      <c r="B145" s="183" t="s">
        <v>568</v>
      </c>
      <c r="C145" s="184"/>
      <c r="D145" s="184"/>
      <c r="E145" s="184"/>
      <c r="F145" s="184"/>
      <c r="G145" s="184"/>
      <c r="H145" s="184"/>
      <c r="I145" s="184"/>
      <c r="J145" s="184"/>
      <c r="K145" s="184"/>
      <c r="L145" s="193"/>
      <c r="M145" s="1003"/>
      <c r="N145" s="1002"/>
      <c r="O145" s="1002"/>
      <c r="P145" s="1002"/>
      <c r="Q145" s="1002"/>
      <c r="R145" s="1002"/>
      <c r="S145" s="1002"/>
      <c r="T145" s="1002"/>
      <c r="U145" s="1002"/>
      <c r="V145" s="1002"/>
      <c r="W145" s="1002"/>
      <c r="X145" s="1002"/>
      <c r="Y145" s="1002"/>
      <c r="Z145" s="1002"/>
      <c r="AA145" s="1002"/>
      <c r="AB145" s="1002"/>
      <c r="AC145" s="1002"/>
      <c r="AD145" s="1002"/>
      <c r="AE145" s="1002"/>
      <c r="AF145" s="1002"/>
      <c r="AG145" s="1002"/>
      <c r="AH145" s="1002"/>
      <c r="AI145" s="1002"/>
      <c r="AJ145" s="1002"/>
      <c r="AK145" s="1002"/>
      <c r="AL145" s="1002"/>
      <c r="AM145" s="1002"/>
      <c r="AN145" s="1002"/>
      <c r="AO145" s="1002"/>
      <c r="AP145" s="1002"/>
      <c r="AQ145" s="1002"/>
      <c r="AR145" s="1002"/>
      <c r="AS145" s="1002"/>
      <c r="AT145" s="1002"/>
      <c r="AU145" s="1002"/>
      <c r="AV145" s="1002"/>
      <c r="AW145" s="1002"/>
      <c r="AX145" s="1002"/>
      <c r="AY145" s="1002"/>
      <c r="AZ145" s="1002"/>
      <c r="BA145" s="1002"/>
      <c r="BB145" s="1002"/>
      <c r="BC145" s="1002"/>
      <c r="BD145" s="1002"/>
      <c r="BE145" s="204"/>
      <c r="BF145" s="205" t="s">
        <v>487</v>
      </c>
      <c r="BG145" s="204"/>
      <c r="BH145" s="204"/>
      <c r="BI145" s="204"/>
      <c r="BJ145" s="204"/>
      <c r="BK145" s="206"/>
    </row>
    <row r="146" spans="1:63" s="164" customFormat="1" ht="15.75" customHeight="1">
      <c r="A146" s="182" t="s">
        <v>416</v>
      </c>
      <c r="B146" s="183" t="s">
        <v>569</v>
      </c>
      <c r="C146" s="184"/>
      <c r="D146" s="184"/>
      <c r="E146" s="184"/>
      <c r="F146" s="184"/>
      <c r="G146" s="184"/>
      <c r="H146" s="184"/>
      <c r="I146" s="184"/>
      <c r="J146" s="184"/>
      <c r="K146" s="184"/>
      <c r="L146" s="193"/>
      <c r="M146" s="1003"/>
      <c r="N146" s="1002"/>
      <c r="O146" s="1002"/>
      <c r="P146" s="1002"/>
      <c r="Q146" s="1002"/>
      <c r="R146" s="1002"/>
      <c r="S146" s="1002"/>
      <c r="T146" s="1002"/>
      <c r="U146" s="1002"/>
      <c r="V146" s="1002"/>
      <c r="W146" s="1002"/>
      <c r="X146" s="1002"/>
      <c r="Y146" s="1002"/>
      <c r="Z146" s="1002"/>
      <c r="AA146" s="1002"/>
      <c r="AB146" s="1002"/>
      <c r="AC146" s="1002"/>
      <c r="AD146" s="1002"/>
      <c r="AE146" s="1002"/>
      <c r="AF146" s="1002"/>
      <c r="AG146" s="1002"/>
      <c r="AH146" s="1002"/>
      <c r="AI146" s="1002"/>
      <c r="AJ146" s="1002"/>
      <c r="AK146" s="1002"/>
      <c r="AL146" s="1002"/>
      <c r="AM146" s="1002"/>
      <c r="AN146" s="1002"/>
      <c r="AO146" s="1002"/>
      <c r="AP146" s="1002"/>
      <c r="AQ146" s="1002"/>
      <c r="AR146" s="1002"/>
      <c r="AS146" s="1002"/>
      <c r="AT146" s="1002"/>
      <c r="AU146" s="1002"/>
      <c r="AV146" s="1002"/>
      <c r="AW146" s="1002"/>
      <c r="AX146" s="1002"/>
      <c r="AY146" s="1002"/>
      <c r="AZ146" s="1002"/>
      <c r="BA146" s="1002"/>
      <c r="BB146" s="1002"/>
      <c r="BC146" s="1002"/>
      <c r="BD146" s="1002"/>
      <c r="BE146" s="204"/>
      <c r="BF146" s="205" t="s">
        <v>487</v>
      </c>
      <c r="BG146" s="204"/>
      <c r="BH146" s="204"/>
      <c r="BI146" s="204"/>
      <c r="BJ146" s="205" t="s">
        <v>409</v>
      </c>
      <c r="BK146" s="206"/>
    </row>
    <row r="147" spans="1:63" s="164" customFormat="1" ht="15.75" customHeight="1">
      <c r="A147" s="182" t="s">
        <v>416</v>
      </c>
      <c r="B147" s="183" t="s">
        <v>570</v>
      </c>
      <c r="C147" s="184"/>
      <c r="D147" s="184"/>
      <c r="E147" s="184"/>
      <c r="F147" s="184"/>
      <c r="G147" s="184"/>
      <c r="H147" s="184"/>
      <c r="I147" s="184"/>
      <c r="J147" s="184"/>
      <c r="K147" s="184"/>
      <c r="L147" s="193"/>
      <c r="M147" s="1003"/>
      <c r="N147" s="1002"/>
      <c r="O147" s="1002"/>
      <c r="P147" s="1002"/>
      <c r="Q147" s="1002"/>
      <c r="R147" s="1002"/>
      <c r="S147" s="1002"/>
      <c r="T147" s="1002"/>
      <c r="U147" s="1002"/>
      <c r="V147" s="1002"/>
      <c r="W147" s="1002"/>
      <c r="X147" s="1002"/>
      <c r="Y147" s="1002"/>
      <c r="Z147" s="1002"/>
      <c r="AA147" s="1002"/>
      <c r="AB147" s="1002"/>
      <c r="AC147" s="1002"/>
      <c r="AD147" s="1002"/>
      <c r="AE147" s="1002"/>
      <c r="AF147" s="1002"/>
      <c r="AG147" s="1002"/>
      <c r="AH147" s="1002"/>
      <c r="AI147" s="1002"/>
      <c r="AJ147" s="1002"/>
      <c r="AK147" s="1002"/>
      <c r="AL147" s="1002"/>
      <c r="AM147" s="1002"/>
      <c r="AN147" s="1002"/>
      <c r="AO147" s="1002"/>
      <c r="AP147" s="1002"/>
      <c r="AQ147" s="1002"/>
      <c r="AR147" s="1002"/>
      <c r="AS147" s="1002"/>
      <c r="AT147" s="1002"/>
      <c r="AU147" s="1002"/>
      <c r="AV147" s="1002"/>
      <c r="AW147" s="1002"/>
      <c r="AX147" s="1002"/>
      <c r="AY147" s="1002"/>
      <c r="AZ147" s="1002"/>
      <c r="BA147" s="1002"/>
      <c r="BB147" s="1002"/>
      <c r="BC147" s="1002"/>
      <c r="BD147" s="1002"/>
      <c r="BE147" s="204"/>
      <c r="BF147" s="205" t="s">
        <v>487</v>
      </c>
      <c r="BG147" s="204"/>
      <c r="BH147" s="204"/>
      <c r="BI147" s="204"/>
      <c r="BJ147" s="205" t="s">
        <v>409</v>
      </c>
      <c r="BK147" s="206"/>
    </row>
    <row r="148" spans="1:63" s="164" customFormat="1" ht="15.75" customHeight="1">
      <c r="A148" s="182" t="s">
        <v>416</v>
      </c>
      <c r="B148" s="183" t="s">
        <v>571</v>
      </c>
      <c r="C148" s="184"/>
      <c r="D148" s="184"/>
      <c r="E148" s="184"/>
      <c r="F148" s="184"/>
      <c r="G148" s="184"/>
      <c r="H148" s="184"/>
      <c r="I148" s="184"/>
      <c r="J148" s="184"/>
      <c r="K148" s="184"/>
      <c r="L148" s="193"/>
      <c r="M148" s="1003"/>
      <c r="N148" s="1002"/>
      <c r="O148" s="1002"/>
      <c r="P148" s="1002"/>
      <c r="Q148" s="1002"/>
      <c r="R148" s="1002"/>
      <c r="S148" s="1002"/>
      <c r="T148" s="1002"/>
      <c r="U148" s="1002"/>
      <c r="V148" s="1002"/>
      <c r="W148" s="1002"/>
      <c r="X148" s="1002"/>
      <c r="Y148" s="1002"/>
      <c r="Z148" s="1002"/>
      <c r="AA148" s="1002"/>
      <c r="AB148" s="1002"/>
      <c r="AC148" s="1002"/>
      <c r="AD148" s="1002"/>
      <c r="AE148" s="1002"/>
      <c r="AF148" s="1002"/>
      <c r="AG148" s="1002"/>
      <c r="AH148" s="1002"/>
      <c r="AI148" s="1002"/>
      <c r="AJ148" s="1002"/>
      <c r="AK148" s="1002"/>
      <c r="AL148" s="1002"/>
      <c r="AM148" s="1002"/>
      <c r="AN148" s="1002"/>
      <c r="AO148" s="1002"/>
      <c r="AP148" s="1002"/>
      <c r="AQ148" s="1002"/>
      <c r="AR148" s="1002"/>
      <c r="AS148" s="1002"/>
      <c r="AT148" s="1002"/>
      <c r="AU148" s="1002"/>
      <c r="AV148" s="1002"/>
      <c r="AW148" s="1002"/>
      <c r="AX148" s="1002"/>
      <c r="AY148" s="1002"/>
      <c r="AZ148" s="1002"/>
      <c r="BA148" s="1002"/>
      <c r="BB148" s="1002"/>
      <c r="BC148" s="1002"/>
      <c r="BD148" s="1002"/>
      <c r="BE148" s="204"/>
      <c r="BF148" s="205" t="s">
        <v>487</v>
      </c>
      <c r="BG148" s="204"/>
      <c r="BH148" s="204"/>
      <c r="BI148" s="204"/>
      <c r="BJ148" s="205" t="s">
        <v>409</v>
      </c>
      <c r="BK148" s="206"/>
    </row>
    <row r="149" spans="1:63" s="164" customFormat="1" ht="15.75" customHeight="1">
      <c r="A149" s="182" t="s">
        <v>416</v>
      </c>
      <c r="B149" s="183" t="s">
        <v>572</v>
      </c>
      <c r="C149" s="184"/>
      <c r="D149" s="184"/>
      <c r="E149" s="184"/>
      <c r="F149" s="184"/>
      <c r="G149" s="184"/>
      <c r="H149" s="184"/>
      <c r="I149" s="184"/>
      <c r="J149" s="184"/>
      <c r="K149" s="184"/>
      <c r="L149" s="193"/>
      <c r="M149" s="1003"/>
      <c r="N149" s="1002"/>
      <c r="O149" s="1002"/>
      <c r="P149" s="1002"/>
      <c r="Q149" s="1002"/>
      <c r="R149" s="1002"/>
      <c r="S149" s="1002"/>
      <c r="T149" s="1002"/>
      <c r="U149" s="1002"/>
      <c r="V149" s="1002"/>
      <c r="W149" s="1002"/>
      <c r="X149" s="1002"/>
      <c r="Y149" s="1002"/>
      <c r="Z149" s="1002"/>
      <c r="AA149" s="1002"/>
      <c r="AB149" s="1002"/>
      <c r="AC149" s="1002"/>
      <c r="AD149" s="1002"/>
      <c r="AE149" s="1002"/>
      <c r="AF149" s="1002"/>
      <c r="AG149" s="1002"/>
      <c r="AH149" s="1002"/>
      <c r="AI149" s="1002"/>
      <c r="AJ149" s="1002"/>
      <c r="AK149" s="1002"/>
      <c r="AL149" s="1002"/>
      <c r="AM149" s="1002"/>
      <c r="AN149" s="1002"/>
      <c r="AO149" s="1002"/>
      <c r="AP149" s="1002"/>
      <c r="AQ149" s="1002"/>
      <c r="AR149" s="1002"/>
      <c r="AS149" s="1002"/>
      <c r="AT149" s="1002"/>
      <c r="AU149" s="1002"/>
      <c r="AV149" s="1002"/>
      <c r="AW149" s="1002"/>
      <c r="AX149" s="1002"/>
      <c r="AY149" s="1002"/>
      <c r="AZ149" s="1002"/>
      <c r="BA149" s="1002"/>
      <c r="BB149" s="1002"/>
      <c r="BC149" s="1002"/>
      <c r="BD149" s="1002"/>
      <c r="BE149" s="204"/>
      <c r="BF149" s="205" t="s">
        <v>487</v>
      </c>
      <c r="BG149" s="204"/>
      <c r="BH149" s="204"/>
      <c r="BI149" s="204"/>
      <c r="BJ149" s="205" t="s">
        <v>409</v>
      </c>
      <c r="BK149" s="206"/>
    </row>
    <row r="150" spans="1:63" s="164" customFormat="1" ht="15.75" customHeight="1">
      <c r="A150" s="182" t="s">
        <v>416</v>
      </c>
      <c r="B150" s="183" t="s">
        <v>573</v>
      </c>
      <c r="C150" s="184"/>
      <c r="D150" s="184"/>
      <c r="E150" s="184"/>
      <c r="F150" s="184"/>
      <c r="G150" s="184"/>
      <c r="H150" s="184"/>
      <c r="I150" s="184"/>
      <c r="J150" s="184"/>
      <c r="K150" s="184"/>
      <c r="L150" s="193"/>
      <c r="M150" s="1003"/>
      <c r="N150" s="1002"/>
      <c r="O150" s="1002"/>
      <c r="P150" s="1002"/>
      <c r="Q150" s="1002"/>
      <c r="R150" s="1002"/>
      <c r="S150" s="1002"/>
      <c r="T150" s="1002"/>
      <c r="U150" s="1002"/>
      <c r="V150" s="1002"/>
      <c r="W150" s="1002"/>
      <c r="X150" s="1002"/>
      <c r="Y150" s="1002"/>
      <c r="Z150" s="1002"/>
      <c r="AA150" s="1002"/>
      <c r="AB150" s="1002"/>
      <c r="AC150" s="1002"/>
      <c r="AD150" s="1002"/>
      <c r="AE150" s="1002"/>
      <c r="AF150" s="1002"/>
      <c r="AG150" s="1002"/>
      <c r="AH150" s="1002"/>
      <c r="AI150" s="1002"/>
      <c r="AJ150" s="1002"/>
      <c r="AK150" s="1002"/>
      <c r="AL150" s="1002"/>
      <c r="AM150" s="1002"/>
      <c r="AN150" s="1002"/>
      <c r="AO150" s="1002"/>
      <c r="AP150" s="1002"/>
      <c r="AQ150" s="1002"/>
      <c r="AR150" s="1002"/>
      <c r="AS150" s="1002"/>
      <c r="AT150" s="1002"/>
      <c r="AU150" s="1002"/>
      <c r="AV150" s="1002"/>
      <c r="AW150" s="1002"/>
      <c r="AX150" s="1002"/>
      <c r="AY150" s="1002"/>
      <c r="AZ150" s="1002"/>
      <c r="BA150" s="1002"/>
      <c r="BB150" s="1002"/>
      <c r="BC150" s="1002"/>
      <c r="BD150" s="1002"/>
      <c r="BE150" s="204"/>
      <c r="BF150" s="205" t="s">
        <v>487</v>
      </c>
      <c r="BG150" s="204"/>
      <c r="BH150" s="204"/>
      <c r="BI150" s="204"/>
      <c r="BJ150" s="205" t="s">
        <v>409</v>
      </c>
      <c r="BK150" s="206"/>
    </row>
    <row r="151" spans="1:63" s="164" customFormat="1" ht="15.75" customHeight="1">
      <c r="A151" s="182" t="s">
        <v>416</v>
      </c>
      <c r="B151" s="183" t="s">
        <v>574</v>
      </c>
      <c r="C151" s="184"/>
      <c r="D151" s="184"/>
      <c r="E151" s="184"/>
      <c r="F151" s="184"/>
      <c r="G151" s="184"/>
      <c r="H151" s="184"/>
      <c r="I151" s="184"/>
      <c r="J151" s="184"/>
      <c r="K151" s="184"/>
      <c r="L151" s="193"/>
      <c r="M151" s="1003"/>
      <c r="N151" s="1002"/>
      <c r="O151" s="1002"/>
      <c r="P151" s="1002"/>
      <c r="Q151" s="1002"/>
      <c r="R151" s="1002"/>
      <c r="S151" s="1002"/>
      <c r="T151" s="1002"/>
      <c r="U151" s="1002"/>
      <c r="V151" s="1002"/>
      <c r="W151" s="1002"/>
      <c r="X151" s="1002"/>
      <c r="Y151" s="1002"/>
      <c r="Z151" s="1002"/>
      <c r="AA151" s="1002"/>
      <c r="AB151" s="1002"/>
      <c r="AC151" s="1002"/>
      <c r="AD151" s="1002"/>
      <c r="AE151" s="1002"/>
      <c r="AF151" s="1002"/>
      <c r="AG151" s="1002"/>
      <c r="AH151" s="1002"/>
      <c r="AI151" s="1002"/>
      <c r="AJ151" s="1002"/>
      <c r="AK151" s="1002"/>
      <c r="AL151" s="1002"/>
      <c r="AM151" s="1002"/>
      <c r="AN151" s="1002"/>
      <c r="AO151" s="1002"/>
      <c r="AP151" s="1002"/>
      <c r="AQ151" s="1002"/>
      <c r="AR151" s="1002"/>
      <c r="AS151" s="1002"/>
      <c r="AT151" s="1002"/>
      <c r="AU151" s="1002"/>
      <c r="AV151" s="1002"/>
      <c r="AW151" s="1002"/>
      <c r="AX151" s="1002"/>
      <c r="AY151" s="1002"/>
      <c r="AZ151" s="1002"/>
      <c r="BA151" s="1002"/>
      <c r="BB151" s="1002"/>
      <c r="BC151" s="1002"/>
      <c r="BD151" s="1002"/>
      <c r="BE151" s="204"/>
      <c r="BF151" s="205" t="s">
        <v>487</v>
      </c>
      <c r="BG151" s="204"/>
      <c r="BH151" s="204"/>
      <c r="BI151" s="204"/>
      <c r="BJ151" s="205" t="s">
        <v>409</v>
      </c>
      <c r="BK151" s="206"/>
    </row>
    <row r="152" spans="1:63" s="164" customFormat="1" ht="15.75" customHeight="1">
      <c r="A152" s="182" t="s">
        <v>416</v>
      </c>
      <c r="B152" s="183" t="s">
        <v>575</v>
      </c>
      <c r="C152" s="184"/>
      <c r="D152" s="184"/>
      <c r="E152" s="184"/>
      <c r="F152" s="184"/>
      <c r="G152" s="184"/>
      <c r="H152" s="184"/>
      <c r="I152" s="184"/>
      <c r="J152" s="184"/>
      <c r="K152" s="184"/>
      <c r="L152" s="193"/>
      <c r="M152" s="1003"/>
      <c r="N152" s="1002"/>
      <c r="O152" s="1002"/>
      <c r="P152" s="1002"/>
      <c r="Q152" s="1002"/>
      <c r="R152" s="1002"/>
      <c r="S152" s="1002"/>
      <c r="T152" s="1002"/>
      <c r="U152" s="1002"/>
      <c r="V152" s="1002"/>
      <c r="W152" s="1002"/>
      <c r="X152" s="1002"/>
      <c r="Y152" s="1002"/>
      <c r="Z152" s="1002"/>
      <c r="AA152" s="1002"/>
      <c r="AB152" s="1002"/>
      <c r="AC152" s="1002"/>
      <c r="AD152" s="1002"/>
      <c r="AE152" s="1002"/>
      <c r="AF152" s="1002"/>
      <c r="AG152" s="1002"/>
      <c r="AH152" s="1002"/>
      <c r="AI152" s="1002"/>
      <c r="AJ152" s="1002"/>
      <c r="AK152" s="1002"/>
      <c r="AL152" s="1002"/>
      <c r="AM152" s="1002"/>
      <c r="AN152" s="1002"/>
      <c r="AO152" s="1002"/>
      <c r="AP152" s="1002"/>
      <c r="AQ152" s="1002"/>
      <c r="AR152" s="1002"/>
      <c r="AS152" s="1002"/>
      <c r="AT152" s="1002"/>
      <c r="AU152" s="1002"/>
      <c r="AV152" s="1002"/>
      <c r="AW152" s="1002"/>
      <c r="AX152" s="1002"/>
      <c r="AY152" s="1002"/>
      <c r="AZ152" s="1002"/>
      <c r="BA152" s="1002"/>
      <c r="BB152" s="1002"/>
      <c r="BC152" s="1002"/>
      <c r="BD152" s="1002"/>
      <c r="BE152" s="204"/>
      <c r="BF152" s="205" t="s">
        <v>487</v>
      </c>
      <c r="BG152" s="204"/>
      <c r="BH152" s="204"/>
      <c r="BI152" s="204"/>
      <c r="BJ152" s="205" t="s">
        <v>409</v>
      </c>
      <c r="BK152" s="206"/>
    </row>
    <row r="153" spans="1:63" s="164" customFormat="1" ht="15.75" customHeight="1">
      <c r="A153" s="182" t="s">
        <v>416</v>
      </c>
      <c r="B153" s="183" t="s">
        <v>576</v>
      </c>
      <c r="C153" s="184"/>
      <c r="D153" s="184"/>
      <c r="E153" s="184"/>
      <c r="F153" s="184"/>
      <c r="G153" s="184"/>
      <c r="H153" s="184"/>
      <c r="I153" s="184"/>
      <c r="J153" s="184"/>
      <c r="K153" s="184"/>
      <c r="L153" s="193"/>
      <c r="M153" s="1003"/>
      <c r="N153" s="1002"/>
      <c r="O153" s="1002"/>
      <c r="P153" s="1002"/>
      <c r="Q153" s="1002"/>
      <c r="R153" s="1002"/>
      <c r="S153" s="1002"/>
      <c r="T153" s="1002"/>
      <c r="U153" s="1002"/>
      <c r="V153" s="1002"/>
      <c r="W153" s="1002"/>
      <c r="X153" s="1002"/>
      <c r="Y153" s="1002"/>
      <c r="Z153" s="1002"/>
      <c r="AA153" s="1002"/>
      <c r="AB153" s="1002"/>
      <c r="AC153" s="1002"/>
      <c r="AD153" s="1002"/>
      <c r="AE153" s="1002"/>
      <c r="AF153" s="1002"/>
      <c r="AG153" s="1002"/>
      <c r="AH153" s="1002"/>
      <c r="AI153" s="1002"/>
      <c r="AJ153" s="1002"/>
      <c r="AK153" s="1002"/>
      <c r="AL153" s="1002"/>
      <c r="AM153" s="1002"/>
      <c r="AN153" s="1002"/>
      <c r="AO153" s="1002"/>
      <c r="AP153" s="1002"/>
      <c r="AQ153" s="1002"/>
      <c r="AR153" s="1002"/>
      <c r="AS153" s="1002"/>
      <c r="AT153" s="1002"/>
      <c r="AU153" s="1002"/>
      <c r="AV153" s="1002"/>
      <c r="AW153" s="1002"/>
      <c r="AX153" s="1002"/>
      <c r="AY153" s="1002"/>
      <c r="AZ153" s="1002"/>
      <c r="BA153" s="1002"/>
      <c r="BB153" s="1002"/>
      <c r="BC153" s="1002"/>
      <c r="BD153" s="1002"/>
      <c r="BE153" s="204"/>
      <c r="BF153" s="205" t="s">
        <v>487</v>
      </c>
      <c r="BG153" s="204"/>
      <c r="BH153" s="204"/>
      <c r="BI153" s="204"/>
      <c r="BJ153" s="205" t="s">
        <v>409</v>
      </c>
      <c r="BK153" s="206"/>
    </row>
    <row r="154" spans="1:63" s="164" customFormat="1" ht="15.75" customHeight="1">
      <c r="A154" s="182" t="s">
        <v>416</v>
      </c>
      <c r="B154" s="183" t="s">
        <v>577</v>
      </c>
      <c r="C154" s="184"/>
      <c r="D154" s="184"/>
      <c r="E154" s="184"/>
      <c r="F154" s="184"/>
      <c r="G154" s="184"/>
      <c r="H154" s="184"/>
      <c r="I154" s="184"/>
      <c r="J154" s="184"/>
      <c r="K154" s="184"/>
      <c r="L154" s="193"/>
      <c r="M154" s="1003"/>
      <c r="N154" s="1002"/>
      <c r="O154" s="1002"/>
      <c r="P154" s="1002"/>
      <c r="Q154" s="1002"/>
      <c r="R154" s="1002"/>
      <c r="S154" s="1002"/>
      <c r="T154" s="1002"/>
      <c r="U154" s="1002"/>
      <c r="V154" s="1002"/>
      <c r="W154" s="1002"/>
      <c r="X154" s="1002"/>
      <c r="Y154" s="1002"/>
      <c r="Z154" s="1002"/>
      <c r="AA154" s="1002"/>
      <c r="AB154" s="1002"/>
      <c r="AC154" s="1002"/>
      <c r="AD154" s="1002"/>
      <c r="AE154" s="1002"/>
      <c r="AF154" s="1002"/>
      <c r="AG154" s="1002"/>
      <c r="AH154" s="1002"/>
      <c r="AI154" s="1002"/>
      <c r="AJ154" s="1002"/>
      <c r="AK154" s="1002"/>
      <c r="AL154" s="1002"/>
      <c r="AM154" s="1002"/>
      <c r="AN154" s="1002"/>
      <c r="AO154" s="1002"/>
      <c r="AP154" s="1002"/>
      <c r="AQ154" s="1002"/>
      <c r="AR154" s="1002"/>
      <c r="AS154" s="1002"/>
      <c r="AT154" s="1002"/>
      <c r="AU154" s="1002"/>
      <c r="AV154" s="1002"/>
      <c r="AW154" s="1002"/>
      <c r="AX154" s="1002"/>
      <c r="AY154" s="1002"/>
      <c r="AZ154" s="1002"/>
      <c r="BA154" s="1002"/>
      <c r="BB154" s="1002"/>
      <c r="BC154" s="1002"/>
      <c r="BD154" s="1002"/>
      <c r="BE154" s="204"/>
      <c r="BF154" s="205" t="s">
        <v>487</v>
      </c>
      <c r="BG154" s="204"/>
      <c r="BH154" s="204"/>
      <c r="BI154" s="204"/>
      <c r="BJ154" s="205" t="s">
        <v>409</v>
      </c>
      <c r="BK154" s="206"/>
    </row>
    <row r="155" spans="1:63" s="164" customFormat="1" ht="15.75" customHeight="1">
      <c r="A155" s="180"/>
      <c r="B155" s="181"/>
      <c r="C155" s="179"/>
      <c r="D155" s="179"/>
      <c r="E155" s="179"/>
      <c r="F155" s="179"/>
      <c r="G155" s="179"/>
      <c r="H155" s="179"/>
      <c r="I155" s="179"/>
      <c r="J155" s="179"/>
      <c r="K155" s="179"/>
      <c r="L155" s="192"/>
      <c r="M155" s="179"/>
      <c r="N155" s="179"/>
      <c r="O155" s="179"/>
      <c r="P155" s="179"/>
      <c r="Q155" s="179"/>
      <c r="R155" s="179"/>
      <c r="S155" s="179"/>
      <c r="T155" s="179"/>
      <c r="U155" s="179"/>
      <c r="V155" s="179"/>
      <c r="W155" s="179"/>
      <c r="X155" s="179"/>
      <c r="Y155" s="179"/>
      <c r="Z155" s="179"/>
      <c r="AA155" s="179"/>
      <c r="AB155" s="179"/>
      <c r="AC155" s="179"/>
      <c r="AD155" s="179"/>
      <c r="AE155" s="179"/>
      <c r="AF155" s="179"/>
      <c r="AG155" s="179"/>
      <c r="AH155" s="179"/>
      <c r="AI155" s="179"/>
      <c r="AJ155" s="179"/>
      <c r="AK155" s="179"/>
      <c r="AL155" s="179"/>
      <c r="AM155" s="179"/>
      <c r="AN155" s="179"/>
      <c r="AO155" s="179"/>
      <c r="AP155" s="179"/>
      <c r="AQ155" s="179"/>
      <c r="AR155" s="179"/>
      <c r="AS155" s="179"/>
      <c r="AT155" s="179"/>
      <c r="AU155" s="179"/>
      <c r="AV155" s="179"/>
      <c r="AW155" s="179"/>
      <c r="AX155" s="179"/>
      <c r="AY155" s="179"/>
      <c r="AZ155" s="179"/>
      <c r="BA155" s="179"/>
      <c r="BB155" s="179"/>
      <c r="BC155" s="179"/>
      <c r="BD155" s="179"/>
      <c r="BE155" s="201"/>
      <c r="BF155" s="201"/>
      <c r="BG155" s="201"/>
      <c r="BH155" s="201"/>
      <c r="BI155" s="201"/>
      <c r="BJ155" s="201"/>
      <c r="BK155" s="203"/>
    </row>
    <row r="156" spans="1:63" s="164" customFormat="1" ht="15.75" customHeight="1">
      <c r="A156" s="174"/>
      <c r="B156" s="175" t="s">
        <v>578</v>
      </c>
      <c r="C156" s="176"/>
      <c r="D156" s="176"/>
      <c r="E156" s="176"/>
      <c r="F156" s="176"/>
      <c r="G156" s="176"/>
      <c r="H156" s="176"/>
      <c r="I156" s="176"/>
      <c r="J156" s="176"/>
      <c r="K156" s="176"/>
      <c r="L156" s="190"/>
      <c r="M156" s="176"/>
      <c r="N156" s="191" t="s">
        <v>403</v>
      </c>
      <c r="O156" s="176"/>
      <c r="P156" s="176"/>
      <c r="Q156" s="176"/>
      <c r="R156" s="176"/>
      <c r="S156" s="176"/>
      <c r="T156" s="176"/>
      <c r="U156" s="176"/>
      <c r="V156" s="176"/>
      <c r="W156" s="176"/>
      <c r="X156" s="176"/>
      <c r="Y156" s="176"/>
      <c r="Z156" s="176"/>
      <c r="AA156" s="176"/>
      <c r="AB156" s="176"/>
      <c r="AC156" s="176"/>
      <c r="AD156" s="176"/>
      <c r="AE156" s="176"/>
      <c r="AF156" s="176"/>
      <c r="AG156" s="176"/>
      <c r="AH156" s="176"/>
      <c r="AI156" s="176"/>
      <c r="AJ156" s="176"/>
      <c r="AK156" s="176"/>
      <c r="AL156" s="176"/>
      <c r="AM156" s="176"/>
      <c r="AN156" s="176"/>
      <c r="AO156" s="176"/>
      <c r="AP156" s="176"/>
      <c r="AQ156" s="176"/>
      <c r="AR156" s="176"/>
      <c r="AS156" s="176"/>
      <c r="AT156" s="176"/>
      <c r="AU156" s="176"/>
      <c r="AV156" s="176"/>
      <c r="AW156" s="176"/>
      <c r="AX156" s="176"/>
      <c r="AY156" s="176"/>
      <c r="AZ156" s="176"/>
      <c r="BA156" s="176"/>
      <c r="BB156" s="176"/>
      <c r="BC156" s="176"/>
      <c r="BD156" s="176"/>
      <c r="BE156" s="199" t="s">
        <v>404</v>
      </c>
      <c r="BF156" s="199" t="s">
        <v>405</v>
      </c>
      <c r="BG156" s="199" t="s">
        <v>406</v>
      </c>
      <c r="BH156" s="199" t="s">
        <v>407</v>
      </c>
      <c r="BI156" s="199" t="s">
        <v>408</v>
      </c>
      <c r="BJ156" s="199" t="s">
        <v>409</v>
      </c>
      <c r="BK156" s="200" t="s">
        <v>410</v>
      </c>
    </row>
    <row r="157" spans="1:63" s="164" customFormat="1" ht="15.75" customHeight="1">
      <c r="A157" s="177" t="s">
        <v>416</v>
      </c>
      <c r="B157" s="178" t="s">
        <v>579</v>
      </c>
      <c r="C157" s="179"/>
      <c r="D157" s="179"/>
      <c r="E157" s="179"/>
      <c r="F157" s="179"/>
      <c r="G157" s="179"/>
      <c r="H157" s="179"/>
      <c r="I157" s="179"/>
      <c r="J157" s="179"/>
      <c r="K157" s="179"/>
      <c r="L157" s="192"/>
      <c r="M157" s="999"/>
      <c r="N157" s="1000"/>
      <c r="O157" s="1000"/>
      <c r="P157" s="1000"/>
      <c r="Q157" s="1000"/>
      <c r="R157" s="1000"/>
      <c r="S157" s="1000"/>
      <c r="T157" s="1000"/>
      <c r="U157" s="1000"/>
      <c r="V157" s="1000"/>
      <c r="W157" s="1000"/>
      <c r="X157" s="1000"/>
      <c r="Y157" s="1000"/>
      <c r="Z157" s="1000"/>
      <c r="AA157" s="1000"/>
      <c r="AB157" s="1000"/>
      <c r="AC157" s="1000"/>
      <c r="AD157" s="1000"/>
      <c r="AE157" s="1000"/>
      <c r="AF157" s="1000"/>
      <c r="AG157" s="1000"/>
      <c r="AH157" s="1000"/>
      <c r="AI157" s="1000"/>
      <c r="AJ157" s="1000"/>
      <c r="AK157" s="1000"/>
      <c r="AL157" s="1000"/>
      <c r="AM157" s="1000"/>
      <c r="AN157" s="1000"/>
      <c r="AO157" s="1000"/>
      <c r="AP157" s="1000"/>
      <c r="AQ157" s="1000"/>
      <c r="AR157" s="1000"/>
      <c r="AS157" s="1000"/>
      <c r="AT157" s="1000"/>
      <c r="AU157" s="1000"/>
      <c r="AV157" s="1000"/>
      <c r="AW157" s="1000"/>
      <c r="AX157" s="1000"/>
      <c r="AY157" s="1000"/>
      <c r="AZ157" s="1000"/>
      <c r="BA157" s="1000"/>
      <c r="BB157" s="1000"/>
      <c r="BC157" s="1000"/>
      <c r="BD157" s="1000"/>
      <c r="BE157" s="201"/>
      <c r="BF157" s="202" t="s">
        <v>419</v>
      </c>
      <c r="BG157" s="201"/>
      <c r="BH157" s="201"/>
      <c r="BI157" s="201"/>
      <c r="BJ157" s="201"/>
      <c r="BK157" s="203"/>
    </row>
    <row r="158" spans="1:63" s="164" customFormat="1" ht="15.75" customHeight="1">
      <c r="A158" s="177" t="s">
        <v>416</v>
      </c>
      <c r="B158" s="178" t="s">
        <v>580</v>
      </c>
      <c r="C158" s="179"/>
      <c r="D158" s="179"/>
      <c r="E158" s="179"/>
      <c r="F158" s="179"/>
      <c r="G158" s="179"/>
      <c r="H158" s="179"/>
      <c r="I158" s="179"/>
      <c r="J158" s="179"/>
      <c r="K158" s="179"/>
      <c r="L158" s="192"/>
      <c r="M158" s="999"/>
      <c r="N158" s="1000"/>
      <c r="O158" s="1000"/>
      <c r="P158" s="1000"/>
      <c r="Q158" s="1000"/>
      <c r="R158" s="1000"/>
      <c r="S158" s="1000"/>
      <c r="T158" s="1000"/>
      <c r="U158" s="1000"/>
      <c r="V158" s="1000"/>
      <c r="W158" s="1000"/>
      <c r="X158" s="1000"/>
      <c r="Y158" s="1000"/>
      <c r="Z158" s="1000"/>
      <c r="AA158" s="1000"/>
      <c r="AB158" s="1000"/>
      <c r="AC158" s="1000"/>
      <c r="AD158" s="1000"/>
      <c r="AE158" s="1000"/>
      <c r="AF158" s="1000"/>
      <c r="AG158" s="1000"/>
      <c r="AH158" s="1000"/>
      <c r="AI158" s="1000"/>
      <c r="AJ158" s="1000"/>
      <c r="AK158" s="1000"/>
      <c r="AL158" s="1000"/>
      <c r="AM158" s="1000"/>
      <c r="AN158" s="1000"/>
      <c r="AO158" s="1000"/>
      <c r="AP158" s="1000"/>
      <c r="AQ158" s="1000"/>
      <c r="AR158" s="1000"/>
      <c r="AS158" s="1000"/>
      <c r="AT158" s="1000"/>
      <c r="AU158" s="1000"/>
      <c r="AV158" s="1000"/>
      <c r="AW158" s="1000"/>
      <c r="AX158" s="1000"/>
      <c r="AY158" s="1000"/>
      <c r="AZ158" s="1000"/>
      <c r="BA158" s="1000"/>
      <c r="BB158" s="1000"/>
      <c r="BC158" s="1000"/>
      <c r="BD158" s="1000"/>
      <c r="BE158" s="202" t="s">
        <v>486</v>
      </c>
      <c r="BF158" s="202" t="s">
        <v>487</v>
      </c>
      <c r="BG158" s="201"/>
      <c r="BH158" s="201"/>
      <c r="BI158" s="201"/>
      <c r="BJ158" s="201"/>
      <c r="BK158" s="203"/>
    </row>
    <row r="159" spans="1:63" s="164" customFormat="1" ht="15.75" customHeight="1">
      <c r="A159" s="177" t="s">
        <v>416</v>
      </c>
      <c r="B159" s="178" t="s">
        <v>581</v>
      </c>
      <c r="C159" s="179"/>
      <c r="D159" s="179"/>
      <c r="E159" s="179"/>
      <c r="F159" s="179"/>
      <c r="G159" s="179"/>
      <c r="H159" s="179"/>
      <c r="I159" s="179"/>
      <c r="J159" s="179"/>
      <c r="K159" s="179"/>
      <c r="L159" s="192"/>
      <c r="M159" s="999"/>
      <c r="N159" s="1000"/>
      <c r="O159" s="1000"/>
      <c r="P159" s="1000"/>
      <c r="Q159" s="1000"/>
      <c r="R159" s="1000"/>
      <c r="S159" s="1000"/>
      <c r="T159" s="1000"/>
      <c r="U159" s="1000"/>
      <c r="V159" s="1000"/>
      <c r="W159" s="1000"/>
      <c r="X159" s="1000"/>
      <c r="Y159" s="1000"/>
      <c r="Z159" s="1000"/>
      <c r="AA159" s="1000"/>
      <c r="AB159" s="1000"/>
      <c r="AC159" s="1000"/>
      <c r="AD159" s="1000"/>
      <c r="AE159" s="1000"/>
      <c r="AF159" s="1000"/>
      <c r="AG159" s="1000"/>
      <c r="AH159" s="1000"/>
      <c r="AI159" s="1000"/>
      <c r="AJ159" s="1000"/>
      <c r="AK159" s="1000"/>
      <c r="AL159" s="1000"/>
      <c r="AM159" s="1000"/>
      <c r="AN159" s="1000"/>
      <c r="AO159" s="1000"/>
      <c r="AP159" s="1000"/>
      <c r="AQ159" s="1000"/>
      <c r="AR159" s="1000"/>
      <c r="AS159" s="1000"/>
      <c r="AT159" s="1000"/>
      <c r="AU159" s="1000"/>
      <c r="AV159" s="1000"/>
      <c r="AW159" s="1000"/>
      <c r="AX159" s="1000"/>
      <c r="AY159" s="1000"/>
      <c r="AZ159" s="1000"/>
      <c r="BA159" s="1000"/>
      <c r="BB159" s="1000"/>
      <c r="BC159" s="1000"/>
      <c r="BD159" s="1000"/>
      <c r="BE159" s="201"/>
      <c r="BF159" s="202" t="s">
        <v>487</v>
      </c>
      <c r="BG159" s="201"/>
      <c r="BH159" s="201"/>
      <c r="BI159" s="201"/>
      <c r="BJ159" s="201"/>
      <c r="BK159" s="203"/>
    </row>
    <row r="160" spans="1:63" s="164" customFormat="1" ht="15.75" customHeight="1">
      <c r="A160" s="177" t="s">
        <v>416</v>
      </c>
      <c r="B160" s="178" t="s">
        <v>582</v>
      </c>
      <c r="C160" s="179"/>
      <c r="D160" s="179"/>
      <c r="E160" s="179"/>
      <c r="F160" s="179"/>
      <c r="G160" s="179"/>
      <c r="H160" s="179"/>
      <c r="I160" s="179"/>
      <c r="J160" s="179"/>
      <c r="K160" s="179"/>
      <c r="L160" s="192"/>
      <c r="M160" s="999"/>
      <c r="N160" s="1000"/>
      <c r="O160" s="1000"/>
      <c r="P160" s="1000"/>
      <c r="Q160" s="1000"/>
      <c r="R160" s="1000"/>
      <c r="S160" s="1000"/>
      <c r="T160" s="1000"/>
      <c r="U160" s="1000"/>
      <c r="V160" s="1000"/>
      <c r="W160" s="1000"/>
      <c r="X160" s="1000"/>
      <c r="Y160" s="1000"/>
      <c r="Z160" s="1000"/>
      <c r="AA160" s="1000"/>
      <c r="AB160" s="1000"/>
      <c r="AC160" s="1000"/>
      <c r="AD160" s="1000"/>
      <c r="AE160" s="1000"/>
      <c r="AF160" s="1000"/>
      <c r="AG160" s="1000"/>
      <c r="AH160" s="1000"/>
      <c r="AI160" s="1000"/>
      <c r="AJ160" s="1000"/>
      <c r="AK160" s="1000"/>
      <c r="AL160" s="1000"/>
      <c r="AM160" s="1000"/>
      <c r="AN160" s="1000"/>
      <c r="AO160" s="1000"/>
      <c r="AP160" s="1000"/>
      <c r="AQ160" s="1000"/>
      <c r="AR160" s="1000"/>
      <c r="AS160" s="1000"/>
      <c r="AT160" s="1000"/>
      <c r="AU160" s="1000"/>
      <c r="AV160" s="1000"/>
      <c r="AW160" s="1000"/>
      <c r="AX160" s="1000"/>
      <c r="AY160" s="1000"/>
      <c r="AZ160" s="1000"/>
      <c r="BA160" s="1000"/>
      <c r="BB160" s="1000"/>
      <c r="BC160" s="1000"/>
      <c r="BD160" s="1000"/>
      <c r="BE160" s="201"/>
      <c r="BF160" s="202" t="s">
        <v>419</v>
      </c>
      <c r="BG160" s="201"/>
      <c r="BH160" s="201"/>
      <c r="BI160" s="201"/>
      <c r="BJ160" s="201"/>
      <c r="BK160" s="203"/>
    </row>
    <row r="161" spans="1:63" s="164" customFormat="1" ht="15.75" customHeight="1">
      <c r="A161" s="177" t="s">
        <v>416</v>
      </c>
      <c r="B161" s="178" t="s">
        <v>583</v>
      </c>
      <c r="C161" s="179"/>
      <c r="D161" s="179"/>
      <c r="E161" s="179"/>
      <c r="F161" s="179"/>
      <c r="G161" s="179"/>
      <c r="H161" s="179"/>
      <c r="I161" s="179"/>
      <c r="J161" s="179"/>
      <c r="K161" s="179"/>
      <c r="L161" s="192"/>
      <c r="M161" s="999"/>
      <c r="N161" s="1000"/>
      <c r="O161" s="1000"/>
      <c r="P161" s="1000"/>
      <c r="Q161" s="1000"/>
      <c r="R161" s="1000"/>
      <c r="S161" s="1000"/>
      <c r="T161" s="1000"/>
      <c r="U161" s="1000"/>
      <c r="V161" s="1000"/>
      <c r="W161" s="1000"/>
      <c r="X161" s="1000"/>
      <c r="Y161" s="1000"/>
      <c r="Z161" s="1000"/>
      <c r="AA161" s="1000"/>
      <c r="AB161" s="1000"/>
      <c r="AC161" s="1000"/>
      <c r="AD161" s="1000"/>
      <c r="AE161" s="1000"/>
      <c r="AF161" s="1000"/>
      <c r="AG161" s="1000"/>
      <c r="AH161" s="1000"/>
      <c r="AI161" s="1000"/>
      <c r="AJ161" s="1000"/>
      <c r="AK161" s="1000"/>
      <c r="AL161" s="1000"/>
      <c r="AM161" s="1000"/>
      <c r="AN161" s="1000"/>
      <c r="AO161" s="1000"/>
      <c r="AP161" s="1000"/>
      <c r="AQ161" s="1000"/>
      <c r="AR161" s="1000"/>
      <c r="AS161" s="1000"/>
      <c r="AT161" s="1000"/>
      <c r="AU161" s="1000"/>
      <c r="AV161" s="1000"/>
      <c r="AW161" s="1000"/>
      <c r="AX161" s="1000"/>
      <c r="AY161" s="1000"/>
      <c r="AZ161" s="1000"/>
      <c r="BA161" s="1000"/>
      <c r="BB161" s="1000"/>
      <c r="BC161" s="1000"/>
      <c r="BD161" s="1000"/>
      <c r="BE161" s="202" t="s">
        <v>486</v>
      </c>
      <c r="BF161" s="202" t="s">
        <v>487</v>
      </c>
      <c r="BG161" s="201"/>
      <c r="BH161" s="201"/>
      <c r="BI161" s="201"/>
      <c r="BJ161" s="201"/>
      <c r="BK161" s="203"/>
    </row>
    <row r="162" spans="1:63" s="164" customFormat="1" ht="15.75" customHeight="1">
      <c r="A162" s="177" t="s">
        <v>416</v>
      </c>
      <c r="B162" s="178" t="s">
        <v>584</v>
      </c>
      <c r="C162" s="179"/>
      <c r="D162" s="179"/>
      <c r="E162" s="179"/>
      <c r="F162" s="179"/>
      <c r="G162" s="179"/>
      <c r="H162" s="179"/>
      <c r="I162" s="179"/>
      <c r="J162" s="179"/>
      <c r="K162" s="179"/>
      <c r="L162" s="192"/>
      <c r="M162" s="999"/>
      <c r="N162" s="1000"/>
      <c r="O162" s="1000"/>
      <c r="P162" s="1000"/>
      <c r="Q162" s="1000"/>
      <c r="R162" s="1000"/>
      <c r="S162" s="1000"/>
      <c r="T162" s="1000"/>
      <c r="U162" s="1000"/>
      <c r="V162" s="1000"/>
      <c r="W162" s="1000"/>
      <c r="X162" s="1000"/>
      <c r="Y162" s="1000"/>
      <c r="Z162" s="1000"/>
      <c r="AA162" s="1000"/>
      <c r="AB162" s="1000"/>
      <c r="AC162" s="1000"/>
      <c r="AD162" s="1000"/>
      <c r="AE162" s="1000"/>
      <c r="AF162" s="1000"/>
      <c r="AG162" s="1000"/>
      <c r="AH162" s="1000"/>
      <c r="AI162" s="1000"/>
      <c r="AJ162" s="1000"/>
      <c r="AK162" s="1000"/>
      <c r="AL162" s="1000"/>
      <c r="AM162" s="1000"/>
      <c r="AN162" s="1000"/>
      <c r="AO162" s="1000"/>
      <c r="AP162" s="1000"/>
      <c r="AQ162" s="1000"/>
      <c r="AR162" s="1000"/>
      <c r="AS162" s="1000"/>
      <c r="AT162" s="1000"/>
      <c r="AU162" s="1000"/>
      <c r="AV162" s="1000"/>
      <c r="AW162" s="1000"/>
      <c r="AX162" s="1000"/>
      <c r="AY162" s="1000"/>
      <c r="AZ162" s="1000"/>
      <c r="BA162" s="1000"/>
      <c r="BB162" s="1000"/>
      <c r="BC162" s="1000"/>
      <c r="BD162" s="1000"/>
      <c r="BE162" s="201"/>
      <c r="BF162" s="202" t="s">
        <v>487</v>
      </c>
      <c r="BG162" s="201"/>
      <c r="BH162" s="201"/>
      <c r="BI162" s="201"/>
      <c r="BJ162" s="201"/>
      <c r="BK162" s="203"/>
    </row>
    <row r="163" spans="1:63" s="164" customFormat="1" ht="15.75" customHeight="1">
      <c r="A163" s="182" t="s">
        <v>416</v>
      </c>
      <c r="B163" s="183" t="s">
        <v>585</v>
      </c>
      <c r="C163" s="184"/>
      <c r="D163" s="184"/>
      <c r="E163" s="184"/>
      <c r="F163" s="184"/>
      <c r="G163" s="184"/>
      <c r="H163" s="184"/>
      <c r="I163" s="184"/>
      <c r="J163" s="184"/>
      <c r="K163" s="184"/>
      <c r="L163" s="193"/>
      <c r="M163" s="1003"/>
      <c r="N163" s="1002"/>
      <c r="O163" s="1002"/>
      <c r="P163" s="1002"/>
      <c r="Q163" s="1002"/>
      <c r="R163" s="1002"/>
      <c r="S163" s="1002"/>
      <c r="T163" s="1002"/>
      <c r="U163" s="1002"/>
      <c r="V163" s="1002"/>
      <c r="W163" s="1002"/>
      <c r="X163" s="1002"/>
      <c r="Y163" s="1002"/>
      <c r="Z163" s="1002"/>
      <c r="AA163" s="1002"/>
      <c r="AB163" s="1002"/>
      <c r="AC163" s="1002"/>
      <c r="AD163" s="1002"/>
      <c r="AE163" s="1002"/>
      <c r="AF163" s="1002"/>
      <c r="AG163" s="1002"/>
      <c r="AH163" s="1002"/>
      <c r="AI163" s="1002"/>
      <c r="AJ163" s="1002"/>
      <c r="AK163" s="1002"/>
      <c r="AL163" s="1002"/>
      <c r="AM163" s="1002"/>
      <c r="AN163" s="1002"/>
      <c r="AO163" s="1002"/>
      <c r="AP163" s="1002"/>
      <c r="AQ163" s="1002"/>
      <c r="AR163" s="1002"/>
      <c r="AS163" s="1002"/>
      <c r="AT163" s="1002"/>
      <c r="AU163" s="1002"/>
      <c r="AV163" s="1002"/>
      <c r="AW163" s="1002"/>
      <c r="AX163" s="1002"/>
      <c r="AY163" s="1002"/>
      <c r="AZ163" s="1002"/>
      <c r="BA163" s="1002"/>
      <c r="BB163" s="1002"/>
      <c r="BC163" s="1002"/>
      <c r="BD163" s="1002"/>
      <c r="BE163" s="204"/>
      <c r="BF163" s="205" t="s">
        <v>419</v>
      </c>
      <c r="BG163" s="204"/>
      <c r="BH163" s="204"/>
      <c r="BI163" s="204"/>
      <c r="BJ163" s="204"/>
      <c r="BK163" s="206"/>
    </row>
    <row r="164" spans="1:63" s="164" customFormat="1" ht="15.75" customHeight="1">
      <c r="A164" s="182" t="s">
        <v>416</v>
      </c>
      <c r="B164" s="183" t="s">
        <v>586</v>
      </c>
      <c r="C164" s="184"/>
      <c r="D164" s="184"/>
      <c r="E164" s="184"/>
      <c r="F164" s="184"/>
      <c r="G164" s="184"/>
      <c r="H164" s="184"/>
      <c r="I164" s="184"/>
      <c r="J164" s="184"/>
      <c r="K164" s="184"/>
      <c r="L164" s="193"/>
      <c r="M164" s="1003"/>
      <c r="N164" s="1002"/>
      <c r="O164" s="1002"/>
      <c r="P164" s="1002"/>
      <c r="Q164" s="1002"/>
      <c r="R164" s="1002"/>
      <c r="S164" s="1002"/>
      <c r="T164" s="1002"/>
      <c r="U164" s="1002"/>
      <c r="V164" s="1002"/>
      <c r="W164" s="1002"/>
      <c r="X164" s="1002"/>
      <c r="Y164" s="1002"/>
      <c r="Z164" s="1002"/>
      <c r="AA164" s="1002"/>
      <c r="AB164" s="1002"/>
      <c r="AC164" s="1002"/>
      <c r="AD164" s="1002"/>
      <c r="AE164" s="1002"/>
      <c r="AF164" s="1002"/>
      <c r="AG164" s="1002"/>
      <c r="AH164" s="1002"/>
      <c r="AI164" s="1002"/>
      <c r="AJ164" s="1002"/>
      <c r="AK164" s="1002"/>
      <c r="AL164" s="1002"/>
      <c r="AM164" s="1002"/>
      <c r="AN164" s="1002"/>
      <c r="AO164" s="1002"/>
      <c r="AP164" s="1002"/>
      <c r="AQ164" s="1002"/>
      <c r="AR164" s="1002"/>
      <c r="AS164" s="1002"/>
      <c r="AT164" s="1002"/>
      <c r="AU164" s="1002"/>
      <c r="AV164" s="1002"/>
      <c r="AW164" s="1002"/>
      <c r="AX164" s="1002"/>
      <c r="AY164" s="1002"/>
      <c r="AZ164" s="1002"/>
      <c r="BA164" s="1002"/>
      <c r="BB164" s="1002"/>
      <c r="BC164" s="1002"/>
      <c r="BD164" s="1002"/>
      <c r="BE164" s="205" t="s">
        <v>486</v>
      </c>
      <c r="BF164" s="205" t="s">
        <v>487</v>
      </c>
      <c r="BG164" s="204"/>
      <c r="BH164" s="204"/>
      <c r="BI164" s="204"/>
      <c r="BJ164" s="204"/>
      <c r="BK164" s="206"/>
    </row>
    <row r="165" spans="1:63" s="164" customFormat="1" ht="15.75" customHeight="1">
      <c r="A165" s="182" t="s">
        <v>416</v>
      </c>
      <c r="B165" s="183" t="s">
        <v>587</v>
      </c>
      <c r="C165" s="184"/>
      <c r="D165" s="184"/>
      <c r="E165" s="184"/>
      <c r="F165" s="184"/>
      <c r="G165" s="184"/>
      <c r="H165" s="184"/>
      <c r="I165" s="184"/>
      <c r="J165" s="184"/>
      <c r="K165" s="184"/>
      <c r="L165" s="193"/>
      <c r="M165" s="1003"/>
      <c r="N165" s="1002"/>
      <c r="O165" s="1002"/>
      <c r="P165" s="1002"/>
      <c r="Q165" s="1002"/>
      <c r="R165" s="1002"/>
      <c r="S165" s="1002"/>
      <c r="T165" s="1002"/>
      <c r="U165" s="1002"/>
      <c r="V165" s="1002"/>
      <c r="W165" s="1002"/>
      <c r="X165" s="1002"/>
      <c r="Y165" s="1002"/>
      <c r="Z165" s="1002"/>
      <c r="AA165" s="1002"/>
      <c r="AB165" s="1002"/>
      <c r="AC165" s="1002"/>
      <c r="AD165" s="1002"/>
      <c r="AE165" s="1002"/>
      <c r="AF165" s="1002"/>
      <c r="AG165" s="1002"/>
      <c r="AH165" s="1002"/>
      <c r="AI165" s="1002"/>
      <c r="AJ165" s="1002"/>
      <c r="AK165" s="1002"/>
      <c r="AL165" s="1002"/>
      <c r="AM165" s="1002"/>
      <c r="AN165" s="1002"/>
      <c r="AO165" s="1002"/>
      <c r="AP165" s="1002"/>
      <c r="AQ165" s="1002"/>
      <c r="AR165" s="1002"/>
      <c r="AS165" s="1002"/>
      <c r="AT165" s="1002"/>
      <c r="AU165" s="1002"/>
      <c r="AV165" s="1002"/>
      <c r="AW165" s="1002"/>
      <c r="AX165" s="1002"/>
      <c r="AY165" s="1002"/>
      <c r="AZ165" s="1002"/>
      <c r="BA165" s="1002"/>
      <c r="BB165" s="1002"/>
      <c r="BC165" s="1002"/>
      <c r="BD165" s="1002"/>
      <c r="BE165" s="204"/>
      <c r="BF165" s="205" t="s">
        <v>487</v>
      </c>
      <c r="BG165" s="204"/>
      <c r="BH165" s="204"/>
      <c r="BI165" s="204"/>
      <c r="BJ165" s="204"/>
      <c r="BK165" s="206"/>
    </row>
    <row r="166" spans="1:63" s="164" customFormat="1" ht="15.75" customHeight="1">
      <c r="A166" s="182" t="s">
        <v>416</v>
      </c>
      <c r="B166" s="183" t="s">
        <v>588</v>
      </c>
      <c r="C166" s="184"/>
      <c r="D166" s="184"/>
      <c r="E166" s="184"/>
      <c r="F166" s="184"/>
      <c r="G166" s="184"/>
      <c r="H166" s="184"/>
      <c r="I166" s="184"/>
      <c r="J166" s="184"/>
      <c r="K166" s="184"/>
      <c r="L166" s="193"/>
      <c r="M166" s="1003"/>
      <c r="N166" s="1002"/>
      <c r="O166" s="1002"/>
      <c r="P166" s="1002"/>
      <c r="Q166" s="1002"/>
      <c r="R166" s="1002"/>
      <c r="S166" s="1002"/>
      <c r="T166" s="1002"/>
      <c r="U166" s="1002"/>
      <c r="V166" s="1002"/>
      <c r="W166" s="1002"/>
      <c r="X166" s="1002"/>
      <c r="Y166" s="1002"/>
      <c r="Z166" s="1002"/>
      <c r="AA166" s="1002"/>
      <c r="AB166" s="1002"/>
      <c r="AC166" s="1002"/>
      <c r="AD166" s="1002"/>
      <c r="AE166" s="1002"/>
      <c r="AF166" s="1002"/>
      <c r="AG166" s="1002"/>
      <c r="AH166" s="1002"/>
      <c r="AI166" s="1002"/>
      <c r="AJ166" s="1002"/>
      <c r="AK166" s="1002"/>
      <c r="AL166" s="1002"/>
      <c r="AM166" s="1002"/>
      <c r="AN166" s="1002"/>
      <c r="AO166" s="1002"/>
      <c r="AP166" s="1002"/>
      <c r="AQ166" s="1002"/>
      <c r="AR166" s="1002"/>
      <c r="AS166" s="1002"/>
      <c r="AT166" s="1002"/>
      <c r="AU166" s="1002"/>
      <c r="AV166" s="1002"/>
      <c r="AW166" s="1002"/>
      <c r="AX166" s="1002"/>
      <c r="AY166" s="1002"/>
      <c r="AZ166" s="1002"/>
      <c r="BA166" s="1002"/>
      <c r="BB166" s="1002"/>
      <c r="BC166" s="1002"/>
      <c r="BD166" s="1002"/>
      <c r="BE166" s="204"/>
      <c r="BF166" s="205" t="s">
        <v>419</v>
      </c>
      <c r="BG166" s="204"/>
      <c r="BH166" s="204"/>
      <c r="BI166" s="204"/>
      <c r="BJ166" s="204"/>
      <c r="BK166" s="206"/>
    </row>
    <row r="167" spans="1:63" s="164" customFormat="1" ht="15.75" customHeight="1">
      <c r="A167" s="182" t="s">
        <v>416</v>
      </c>
      <c r="B167" s="183" t="s">
        <v>589</v>
      </c>
      <c r="C167" s="184"/>
      <c r="D167" s="184"/>
      <c r="E167" s="184"/>
      <c r="F167" s="184"/>
      <c r="G167" s="184"/>
      <c r="H167" s="184"/>
      <c r="I167" s="184"/>
      <c r="J167" s="184"/>
      <c r="K167" s="184"/>
      <c r="L167" s="193"/>
      <c r="M167" s="1003"/>
      <c r="N167" s="1002"/>
      <c r="O167" s="1002"/>
      <c r="P167" s="1002"/>
      <c r="Q167" s="1002"/>
      <c r="R167" s="1002"/>
      <c r="S167" s="1002"/>
      <c r="T167" s="1002"/>
      <c r="U167" s="1002"/>
      <c r="V167" s="1002"/>
      <c r="W167" s="1002"/>
      <c r="X167" s="1002"/>
      <c r="Y167" s="1002"/>
      <c r="Z167" s="1002"/>
      <c r="AA167" s="1002"/>
      <c r="AB167" s="1002"/>
      <c r="AC167" s="1002"/>
      <c r="AD167" s="1002"/>
      <c r="AE167" s="1002"/>
      <c r="AF167" s="1002"/>
      <c r="AG167" s="1002"/>
      <c r="AH167" s="1002"/>
      <c r="AI167" s="1002"/>
      <c r="AJ167" s="1002"/>
      <c r="AK167" s="1002"/>
      <c r="AL167" s="1002"/>
      <c r="AM167" s="1002"/>
      <c r="AN167" s="1002"/>
      <c r="AO167" s="1002"/>
      <c r="AP167" s="1002"/>
      <c r="AQ167" s="1002"/>
      <c r="AR167" s="1002"/>
      <c r="AS167" s="1002"/>
      <c r="AT167" s="1002"/>
      <c r="AU167" s="1002"/>
      <c r="AV167" s="1002"/>
      <c r="AW167" s="1002"/>
      <c r="AX167" s="1002"/>
      <c r="AY167" s="1002"/>
      <c r="AZ167" s="1002"/>
      <c r="BA167" s="1002"/>
      <c r="BB167" s="1002"/>
      <c r="BC167" s="1002"/>
      <c r="BD167" s="1002"/>
      <c r="BE167" s="205" t="s">
        <v>486</v>
      </c>
      <c r="BF167" s="205" t="s">
        <v>487</v>
      </c>
      <c r="BG167" s="204"/>
      <c r="BH167" s="204"/>
      <c r="BI167" s="204"/>
      <c r="BJ167" s="204"/>
      <c r="BK167" s="206"/>
    </row>
    <row r="168" spans="1:63" s="164" customFormat="1" ht="15.75" customHeight="1">
      <c r="A168" s="182" t="s">
        <v>416</v>
      </c>
      <c r="B168" s="183" t="s">
        <v>590</v>
      </c>
      <c r="C168" s="184"/>
      <c r="D168" s="184"/>
      <c r="E168" s="184"/>
      <c r="F168" s="184"/>
      <c r="G168" s="184"/>
      <c r="H168" s="184"/>
      <c r="I168" s="184"/>
      <c r="J168" s="184"/>
      <c r="K168" s="184"/>
      <c r="L168" s="193"/>
      <c r="M168" s="1003"/>
      <c r="N168" s="1002"/>
      <c r="O168" s="1002"/>
      <c r="P168" s="1002"/>
      <c r="Q168" s="1002"/>
      <c r="R168" s="1002"/>
      <c r="S168" s="1002"/>
      <c r="T168" s="1002"/>
      <c r="U168" s="1002"/>
      <c r="V168" s="1002"/>
      <c r="W168" s="1002"/>
      <c r="X168" s="1002"/>
      <c r="Y168" s="1002"/>
      <c r="Z168" s="1002"/>
      <c r="AA168" s="1002"/>
      <c r="AB168" s="1002"/>
      <c r="AC168" s="1002"/>
      <c r="AD168" s="1002"/>
      <c r="AE168" s="1002"/>
      <c r="AF168" s="1002"/>
      <c r="AG168" s="1002"/>
      <c r="AH168" s="1002"/>
      <c r="AI168" s="1002"/>
      <c r="AJ168" s="1002"/>
      <c r="AK168" s="1002"/>
      <c r="AL168" s="1002"/>
      <c r="AM168" s="1002"/>
      <c r="AN168" s="1002"/>
      <c r="AO168" s="1002"/>
      <c r="AP168" s="1002"/>
      <c r="AQ168" s="1002"/>
      <c r="AR168" s="1002"/>
      <c r="AS168" s="1002"/>
      <c r="AT168" s="1002"/>
      <c r="AU168" s="1002"/>
      <c r="AV168" s="1002"/>
      <c r="AW168" s="1002"/>
      <c r="AX168" s="1002"/>
      <c r="AY168" s="1002"/>
      <c r="AZ168" s="1002"/>
      <c r="BA168" s="1002"/>
      <c r="BB168" s="1002"/>
      <c r="BC168" s="1002"/>
      <c r="BD168" s="1002"/>
      <c r="BE168" s="204"/>
      <c r="BF168" s="205" t="s">
        <v>487</v>
      </c>
      <c r="BG168" s="204"/>
      <c r="BH168" s="204"/>
      <c r="BI168" s="204"/>
      <c r="BJ168" s="204"/>
      <c r="BK168" s="206"/>
    </row>
    <row r="169" spans="1:63" s="164" customFormat="1" ht="15.75" customHeight="1">
      <c r="A169" s="182" t="s">
        <v>416</v>
      </c>
      <c r="B169" s="183" t="s">
        <v>591</v>
      </c>
      <c r="C169" s="184"/>
      <c r="D169" s="184"/>
      <c r="E169" s="184"/>
      <c r="F169" s="184"/>
      <c r="G169" s="184"/>
      <c r="H169" s="184"/>
      <c r="I169" s="184"/>
      <c r="J169" s="184"/>
      <c r="K169" s="184"/>
      <c r="L169" s="193"/>
      <c r="M169" s="1003"/>
      <c r="N169" s="1002"/>
      <c r="O169" s="1002"/>
      <c r="P169" s="1002"/>
      <c r="Q169" s="1002"/>
      <c r="R169" s="1002"/>
      <c r="S169" s="1002"/>
      <c r="T169" s="1002"/>
      <c r="U169" s="1002"/>
      <c r="V169" s="1002"/>
      <c r="W169" s="1002"/>
      <c r="X169" s="1002"/>
      <c r="Y169" s="1002"/>
      <c r="Z169" s="1002"/>
      <c r="AA169" s="1002"/>
      <c r="AB169" s="1002"/>
      <c r="AC169" s="1002"/>
      <c r="AD169" s="1002"/>
      <c r="AE169" s="1002"/>
      <c r="AF169" s="1002"/>
      <c r="AG169" s="1002"/>
      <c r="AH169" s="1002"/>
      <c r="AI169" s="1002"/>
      <c r="AJ169" s="1002"/>
      <c r="AK169" s="1002"/>
      <c r="AL169" s="1002"/>
      <c r="AM169" s="1002"/>
      <c r="AN169" s="1002"/>
      <c r="AO169" s="1002"/>
      <c r="AP169" s="1002"/>
      <c r="AQ169" s="1002"/>
      <c r="AR169" s="1002"/>
      <c r="AS169" s="1002"/>
      <c r="AT169" s="1002"/>
      <c r="AU169" s="1002"/>
      <c r="AV169" s="1002"/>
      <c r="AW169" s="1002"/>
      <c r="AX169" s="1002"/>
      <c r="AY169" s="1002"/>
      <c r="AZ169" s="1002"/>
      <c r="BA169" s="1002"/>
      <c r="BB169" s="1002"/>
      <c r="BC169" s="1002"/>
      <c r="BD169" s="1002"/>
      <c r="BE169" s="204"/>
      <c r="BF169" s="205" t="s">
        <v>419</v>
      </c>
      <c r="BG169" s="204"/>
      <c r="BH169" s="204"/>
      <c r="BI169" s="204"/>
      <c r="BJ169" s="204"/>
      <c r="BK169" s="206"/>
    </row>
    <row r="170" spans="1:63" s="164" customFormat="1" ht="15.75" customHeight="1">
      <c r="A170" s="182" t="s">
        <v>416</v>
      </c>
      <c r="B170" s="183" t="s">
        <v>592</v>
      </c>
      <c r="C170" s="184"/>
      <c r="D170" s="184"/>
      <c r="E170" s="184"/>
      <c r="F170" s="184"/>
      <c r="G170" s="184"/>
      <c r="H170" s="184"/>
      <c r="I170" s="184"/>
      <c r="J170" s="184"/>
      <c r="K170" s="184"/>
      <c r="L170" s="193"/>
      <c r="M170" s="1003"/>
      <c r="N170" s="1002"/>
      <c r="O170" s="1002"/>
      <c r="P170" s="1002"/>
      <c r="Q170" s="1002"/>
      <c r="R170" s="1002"/>
      <c r="S170" s="1002"/>
      <c r="T170" s="1002"/>
      <c r="U170" s="1002"/>
      <c r="V170" s="1002"/>
      <c r="W170" s="1002"/>
      <c r="X170" s="1002"/>
      <c r="Y170" s="1002"/>
      <c r="Z170" s="1002"/>
      <c r="AA170" s="1002"/>
      <c r="AB170" s="1002"/>
      <c r="AC170" s="1002"/>
      <c r="AD170" s="1002"/>
      <c r="AE170" s="1002"/>
      <c r="AF170" s="1002"/>
      <c r="AG170" s="1002"/>
      <c r="AH170" s="1002"/>
      <c r="AI170" s="1002"/>
      <c r="AJ170" s="1002"/>
      <c r="AK170" s="1002"/>
      <c r="AL170" s="1002"/>
      <c r="AM170" s="1002"/>
      <c r="AN170" s="1002"/>
      <c r="AO170" s="1002"/>
      <c r="AP170" s="1002"/>
      <c r="AQ170" s="1002"/>
      <c r="AR170" s="1002"/>
      <c r="AS170" s="1002"/>
      <c r="AT170" s="1002"/>
      <c r="AU170" s="1002"/>
      <c r="AV170" s="1002"/>
      <c r="AW170" s="1002"/>
      <c r="AX170" s="1002"/>
      <c r="AY170" s="1002"/>
      <c r="AZ170" s="1002"/>
      <c r="BA170" s="1002"/>
      <c r="BB170" s="1002"/>
      <c r="BC170" s="1002"/>
      <c r="BD170" s="1002"/>
      <c r="BE170" s="205" t="s">
        <v>486</v>
      </c>
      <c r="BF170" s="205" t="s">
        <v>487</v>
      </c>
      <c r="BG170" s="204"/>
      <c r="BH170" s="204"/>
      <c r="BI170" s="204"/>
      <c r="BJ170" s="204"/>
      <c r="BK170" s="206"/>
    </row>
    <row r="171" spans="1:63" s="164" customFormat="1" ht="15.75" customHeight="1">
      <c r="A171" s="182" t="s">
        <v>416</v>
      </c>
      <c r="B171" s="183" t="s">
        <v>593</v>
      </c>
      <c r="C171" s="184"/>
      <c r="D171" s="184"/>
      <c r="E171" s="184"/>
      <c r="F171" s="184"/>
      <c r="G171" s="184"/>
      <c r="H171" s="184"/>
      <c r="I171" s="184"/>
      <c r="J171" s="184"/>
      <c r="K171" s="184"/>
      <c r="L171" s="193"/>
      <c r="M171" s="1003"/>
      <c r="N171" s="1002"/>
      <c r="O171" s="1002"/>
      <c r="P171" s="1002"/>
      <c r="Q171" s="1002"/>
      <c r="R171" s="1002"/>
      <c r="S171" s="1002"/>
      <c r="T171" s="1002"/>
      <c r="U171" s="1002"/>
      <c r="V171" s="1002"/>
      <c r="W171" s="1002"/>
      <c r="X171" s="1002"/>
      <c r="Y171" s="1002"/>
      <c r="Z171" s="1002"/>
      <c r="AA171" s="1002"/>
      <c r="AB171" s="1002"/>
      <c r="AC171" s="1002"/>
      <c r="AD171" s="1002"/>
      <c r="AE171" s="1002"/>
      <c r="AF171" s="1002"/>
      <c r="AG171" s="1002"/>
      <c r="AH171" s="1002"/>
      <c r="AI171" s="1002"/>
      <c r="AJ171" s="1002"/>
      <c r="AK171" s="1002"/>
      <c r="AL171" s="1002"/>
      <c r="AM171" s="1002"/>
      <c r="AN171" s="1002"/>
      <c r="AO171" s="1002"/>
      <c r="AP171" s="1002"/>
      <c r="AQ171" s="1002"/>
      <c r="AR171" s="1002"/>
      <c r="AS171" s="1002"/>
      <c r="AT171" s="1002"/>
      <c r="AU171" s="1002"/>
      <c r="AV171" s="1002"/>
      <c r="AW171" s="1002"/>
      <c r="AX171" s="1002"/>
      <c r="AY171" s="1002"/>
      <c r="AZ171" s="1002"/>
      <c r="BA171" s="1002"/>
      <c r="BB171" s="1002"/>
      <c r="BC171" s="1002"/>
      <c r="BD171" s="1002"/>
      <c r="BE171" s="204"/>
      <c r="BF171" s="205" t="s">
        <v>487</v>
      </c>
      <c r="BG171" s="204"/>
      <c r="BH171" s="204"/>
      <c r="BI171" s="204"/>
      <c r="BJ171" s="204"/>
      <c r="BK171" s="206"/>
    </row>
    <row r="172" spans="1:63" s="164" customFormat="1" ht="15.75" customHeight="1">
      <c r="A172" s="182" t="s">
        <v>416</v>
      </c>
      <c r="B172" s="183" t="s">
        <v>594</v>
      </c>
      <c r="C172" s="184"/>
      <c r="D172" s="184"/>
      <c r="E172" s="184"/>
      <c r="F172" s="184"/>
      <c r="G172" s="184"/>
      <c r="H172" s="184"/>
      <c r="I172" s="184"/>
      <c r="J172" s="184"/>
      <c r="K172" s="184"/>
      <c r="L172" s="193"/>
      <c r="M172" s="1003"/>
      <c r="N172" s="1002"/>
      <c r="O172" s="1002"/>
      <c r="P172" s="1002"/>
      <c r="Q172" s="1002"/>
      <c r="R172" s="1002"/>
      <c r="S172" s="1002"/>
      <c r="T172" s="1002"/>
      <c r="U172" s="1002"/>
      <c r="V172" s="1002"/>
      <c r="W172" s="1002"/>
      <c r="X172" s="1002"/>
      <c r="Y172" s="1002"/>
      <c r="Z172" s="1002"/>
      <c r="AA172" s="1002"/>
      <c r="AB172" s="1002"/>
      <c r="AC172" s="1002"/>
      <c r="AD172" s="1002"/>
      <c r="AE172" s="1002"/>
      <c r="AF172" s="1002"/>
      <c r="AG172" s="1002"/>
      <c r="AH172" s="1002"/>
      <c r="AI172" s="1002"/>
      <c r="AJ172" s="1002"/>
      <c r="AK172" s="1002"/>
      <c r="AL172" s="1002"/>
      <c r="AM172" s="1002"/>
      <c r="AN172" s="1002"/>
      <c r="AO172" s="1002"/>
      <c r="AP172" s="1002"/>
      <c r="AQ172" s="1002"/>
      <c r="AR172" s="1002"/>
      <c r="AS172" s="1002"/>
      <c r="AT172" s="1002"/>
      <c r="AU172" s="1002"/>
      <c r="AV172" s="1002"/>
      <c r="AW172" s="1002"/>
      <c r="AX172" s="1002"/>
      <c r="AY172" s="1002"/>
      <c r="AZ172" s="1002"/>
      <c r="BA172" s="1002"/>
      <c r="BB172" s="1002"/>
      <c r="BC172" s="1002"/>
      <c r="BD172" s="1002"/>
      <c r="BE172" s="204"/>
      <c r="BF172" s="205" t="s">
        <v>419</v>
      </c>
      <c r="BG172" s="204"/>
      <c r="BH172" s="204"/>
      <c r="BI172" s="204"/>
      <c r="BJ172" s="204"/>
      <c r="BK172" s="206"/>
    </row>
    <row r="173" spans="1:63" s="164" customFormat="1" ht="15.75" customHeight="1">
      <c r="A173" s="182" t="s">
        <v>416</v>
      </c>
      <c r="B173" s="183" t="s">
        <v>595</v>
      </c>
      <c r="C173" s="184"/>
      <c r="D173" s="184"/>
      <c r="E173" s="184"/>
      <c r="F173" s="184"/>
      <c r="G173" s="184"/>
      <c r="H173" s="184"/>
      <c r="I173" s="184"/>
      <c r="J173" s="184"/>
      <c r="K173" s="184"/>
      <c r="L173" s="193"/>
      <c r="M173" s="1003"/>
      <c r="N173" s="1002"/>
      <c r="O173" s="1002"/>
      <c r="P173" s="1002"/>
      <c r="Q173" s="1002"/>
      <c r="R173" s="1002"/>
      <c r="S173" s="1002"/>
      <c r="T173" s="1002"/>
      <c r="U173" s="1002"/>
      <c r="V173" s="1002"/>
      <c r="W173" s="1002"/>
      <c r="X173" s="1002"/>
      <c r="Y173" s="1002"/>
      <c r="Z173" s="1002"/>
      <c r="AA173" s="1002"/>
      <c r="AB173" s="1002"/>
      <c r="AC173" s="1002"/>
      <c r="AD173" s="1002"/>
      <c r="AE173" s="1002"/>
      <c r="AF173" s="1002"/>
      <c r="AG173" s="1002"/>
      <c r="AH173" s="1002"/>
      <c r="AI173" s="1002"/>
      <c r="AJ173" s="1002"/>
      <c r="AK173" s="1002"/>
      <c r="AL173" s="1002"/>
      <c r="AM173" s="1002"/>
      <c r="AN173" s="1002"/>
      <c r="AO173" s="1002"/>
      <c r="AP173" s="1002"/>
      <c r="AQ173" s="1002"/>
      <c r="AR173" s="1002"/>
      <c r="AS173" s="1002"/>
      <c r="AT173" s="1002"/>
      <c r="AU173" s="1002"/>
      <c r="AV173" s="1002"/>
      <c r="AW173" s="1002"/>
      <c r="AX173" s="1002"/>
      <c r="AY173" s="1002"/>
      <c r="AZ173" s="1002"/>
      <c r="BA173" s="1002"/>
      <c r="BB173" s="1002"/>
      <c r="BC173" s="1002"/>
      <c r="BD173" s="1002"/>
      <c r="BE173" s="205" t="s">
        <v>486</v>
      </c>
      <c r="BF173" s="205" t="s">
        <v>487</v>
      </c>
      <c r="BG173" s="204"/>
      <c r="BH173" s="204"/>
      <c r="BI173" s="204"/>
      <c r="BJ173" s="204"/>
      <c r="BK173" s="206"/>
    </row>
    <row r="174" spans="1:63" s="164" customFormat="1" ht="15.75" customHeight="1">
      <c r="A174" s="182" t="s">
        <v>416</v>
      </c>
      <c r="B174" s="183" t="s">
        <v>596</v>
      </c>
      <c r="C174" s="184"/>
      <c r="D174" s="184"/>
      <c r="E174" s="184"/>
      <c r="F174" s="184"/>
      <c r="G174" s="184"/>
      <c r="H174" s="184"/>
      <c r="I174" s="184"/>
      <c r="J174" s="184"/>
      <c r="K174" s="184"/>
      <c r="L174" s="193"/>
      <c r="M174" s="1003"/>
      <c r="N174" s="1002"/>
      <c r="O174" s="1002"/>
      <c r="P174" s="1002"/>
      <c r="Q174" s="1002"/>
      <c r="R174" s="1002"/>
      <c r="S174" s="1002"/>
      <c r="T174" s="1002"/>
      <c r="U174" s="1002"/>
      <c r="V174" s="1002"/>
      <c r="W174" s="1002"/>
      <c r="X174" s="1002"/>
      <c r="Y174" s="1002"/>
      <c r="Z174" s="1002"/>
      <c r="AA174" s="1002"/>
      <c r="AB174" s="1002"/>
      <c r="AC174" s="1002"/>
      <c r="AD174" s="1002"/>
      <c r="AE174" s="1002"/>
      <c r="AF174" s="1002"/>
      <c r="AG174" s="1002"/>
      <c r="AH174" s="1002"/>
      <c r="AI174" s="1002"/>
      <c r="AJ174" s="1002"/>
      <c r="AK174" s="1002"/>
      <c r="AL174" s="1002"/>
      <c r="AM174" s="1002"/>
      <c r="AN174" s="1002"/>
      <c r="AO174" s="1002"/>
      <c r="AP174" s="1002"/>
      <c r="AQ174" s="1002"/>
      <c r="AR174" s="1002"/>
      <c r="AS174" s="1002"/>
      <c r="AT174" s="1002"/>
      <c r="AU174" s="1002"/>
      <c r="AV174" s="1002"/>
      <c r="AW174" s="1002"/>
      <c r="AX174" s="1002"/>
      <c r="AY174" s="1002"/>
      <c r="AZ174" s="1002"/>
      <c r="BA174" s="1002"/>
      <c r="BB174" s="1002"/>
      <c r="BC174" s="1002"/>
      <c r="BD174" s="1002"/>
      <c r="BE174" s="204"/>
      <c r="BF174" s="205" t="s">
        <v>487</v>
      </c>
      <c r="BG174" s="204"/>
      <c r="BH174" s="204"/>
      <c r="BI174" s="204"/>
      <c r="BJ174" s="204"/>
      <c r="BK174" s="206"/>
    </row>
    <row r="175" spans="1:63" s="164" customFormat="1" ht="15.75" customHeight="1">
      <c r="A175" s="182" t="s">
        <v>416</v>
      </c>
      <c r="B175" s="183" t="s">
        <v>597</v>
      </c>
      <c r="C175" s="184"/>
      <c r="D175" s="184"/>
      <c r="E175" s="184"/>
      <c r="F175" s="184"/>
      <c r="G175" s="184"/>
      <c r="H175" s="184"/>
      <c r="I175" s="184"/>
      <c r="J175" s="184"/>
      <c r="K175" s="184"/>
      <c r="L175" s="193"/>
      <c r="M175" s="1003"/>
      <c r="N175" s="1002"/>
      <c r="O175" s="1002"/>
      <c r="P175" s="1002"/>
      <c r="Q175" s="1002"/>
      <c r="R175" s="1002"/>
      <c r="S175" s="1002"/>
      <c r="T175" s="1002"/>
      <c r="U175" s="1002"/>
      <c r="V175" s="1002"/>
      <c r="W175" s="1002"/>
      <c r="X175" s="1002"/>
      <c r="Y175" s="1002"/>
      <c r="Z175" s="1002"/>
      <c r="AA175" s="1002"/>
      <c r="AB175" s="1002"/>
      <c r="AC175" s="1002"/>
      <c r="AD175" s="1002"/>
      <c r="AE175" s="1002"/>
      <c r="AF175" s="1002"/>
      <c r="AG175" s="1002"/>
      <c r="AH175" s="1002"/>
      <c r="AI175" s="1002"/>
      <c r="AJ175" s="1002"/>
      <c r="AK175" s="1002"/>
      <c r="AL175" s="1002"/>
      <c r="AM175" s="1002"/>
      <c r="AN175" s="1002"/>
      <c r="AO175" s="1002"/>
      <c r="AP175" s="1002"/>
      <c r="AQ175" s="1002"/>
      <c r="AR175" s="1002"/>
      <c r="AS175" s="1002"/>
      <c r="AT175" s="1002"/>
      <c r="AU175" s="1002"/>
      <c r="AV175" s="1002"/>
      <c r="AW175" s="1002"/>
      <c r="AX175" s="1002"/>
      <c r="AY175" s="1002"/>
      <c r="AZ175" s="1002"/>
      <c r="BA175" s="1002"/>
      <c r="BB175" s="1002"/>
      <c r="BC175" s="1002"/>
      <c r="BD175" s="1002"/>
      <c r="BE175" s="204"/>
      <c r="BF175" s="205" t="s">
        <v>419</v>
      </c>
      <c r="BG175" s="204"/>
      <c r="BH175" s="204"/>
      <c r="BI175" s="204"/>
      <c r="BJ175" s="204"/>
      <c r="BK175" s="206"/>
    </row>
    <row r="176" spans="1:63" s="164" customFormat="1" ht="15.75" customHeight="1">
      <c r="A176" s="182" t="s">
        <v>416</v>
      </c>
      <c r="B176" s="183" t="s">
        <v>598</v>
      </c>
      <c r="C176" s="184"/>
      <c r="D176" s="184"/>
      <c r="E176" s="184"/>
      <c r="F176" s="184"/>
      <c r="G176" s="184"/>
      <c r="H176" s="184"/>
      <c r="I176" s="184"/>
      <c r="J176" s="184"/>
      <c r="K176" s="184"/>
      <c r="L176" s="193"/>
      <c r="M176" s="1003"/>
      <c r="N176" s="1002"/>
      <c r="O176" s="1002"/>
      <c r="P176" s="1002"/>
      <c r="Q176" s="1002"/>
      <c r="R176" s="1002"/>
      <c r="S176" s="1002"/>
      <c r="T176" s="1002"/>
      <c r="U176" s="1002"/>
      <c r="V176" s="1002"/>
      <c r="W176" s="1002"/>
      <c r="X176" s="1002"/>
      <c r="Y176" s="1002"/>
      <c r="Z176" s="1002"/>
      <c r="AA176" s="1002"/>
      <c r="AB176" s="1002"/>
      <c r="AC176" s="1002"/>
      <c r="AD176" s="1002"/>
      <c r="AE176" s="1002"/>
      <c r="AF176" s="1002"/>
      <c r="AG176" s="1002"/>
      <c r="AH176" s="1002"/>
      <c r="AI176" s="1002"/>
      <c r="AJ176" s="1002"/>
      <c r="AK176" s="1002"/>
      <c r="AL176" s="1002"/>
      <c r="AM176" s="1002"/>
      <c r="AN176" s="1002"/>
      <c r="AO176" s="1002"/>
      <c r="AP176" s="1002"/>
      <c r="AQ176" s="1002"/>
      <c r="AR176" s="1002"/>
      <c r="AS176" s="1002"/>
      <c r="AT176" s="1002"/>
      <c r="AU176" s="1002"/>
      <c r="AV176" s="1002"/>
      <c r="AW176" s="1002"/>
      <c r="AX176" s="1002"/>
      <c r="AY176" s="1002"/>
      <c r="AZ176" s="1002"/>
      <c r="BA176" s="1002"/>
      <c r="BB176" s="1002"/>
      <c r="BC176" s="1002"/>
      <c r="BD176" s="1002"/>
      <c r="BE176" s="205" t="s">
        <v>486</v>
      </c>
      <c r="BF176" s="205" t="s">
        <v>487</v>
      </c>
      <c r="BG176" s="204"/>
      <c r="BH176" s="204"/>
      <c r="BI176" s="204"/>
      <c r="BJ176" s="204"/>
      <c r="BK176" s="206"/>
    </row>
    <row r="177" spans="1:63" s="164" customFormat="1" ht="15.75" customHeight="1">
      <c r="A177" s="182" t="s">
        <v>416</v>
      </c>
      <c r="B177" s="183" t="s">
        <v>599</v>
      </c>
      <c r="C177" s="184"/>
      <c r="D177" s="184"/>
      <c r="E177" s="184"/>
      <c r="F177" s="184"/>
      <c r="G177" s="184"/>
      <c r="H177" s="184"/>
      <c r="I177" s="184"/>
      <c r="J177" s="184"/>
      <c r="K177" s="184"/>
      <c r="L177" s="193"/>
      <c r="M177" s="1003"/>
      <c r="N177" s="1002"/>
      <c r="O177" s="1002"/>
      <c r="P177" s="1002"/>
      <c r="Q177" s="1002"/>
      <c r="R177" s="1002"/>
      <c r="S177" s="1002"/>
      <c r="T177" s="1002"/>
      <c r="U177" s="1002"/>
      <c r="V177" s="1002"/>
      <c r="W177" s="1002"/>
      <c r="X177" s="1002"/>
      <c r="Y177" s="1002"/>
      <c r="Z177" s="1002"/>
      <c r="AA177" s="1002"/>
      <c r="AB177" s="1002"/>
      <c r="AC177" s="1002"/>
      <c r="AD177" s="1002"/>
      <c r="AE177" s="1002"/>
      <c r="AF177" s="1002"/>
      <c r="AG177" s="1002"/>
      <c r="AH177" s="1002"/>
      <c r="AI177" s="1002"/>
      <c r="AJ177" s="1002"/>
      <c r="AK177" s="1002"/>
      <c r="AL177" s="1002"/>
      <c r="AM177" s="1002"/>
      <c r="AN177" s="1002"/>
      <c r="AO177" s="1002"/>
      <c r="AP177" s="1002"/>
      <c r="AQ177" s="1002"/>
      <c r="AR177" s="1002"/>
      <c r="AS177" s="1002"/>
      <c r="AT177" s="1002"/>
      <c r="AU177" s="1002"/>
      <c r="AV177" s="1002"/>
      <c r="AW177" s="1002"/>
      <c r="AX177" s="1002"/>
      <c r="AY177" s="1002"/>
      <c r="AZ177" s="1002"/>
      <c r="BA177" s="1002"/>
      <c r="BB177" s="1002"/>
      <c r="BC177" s="1002"/>
      <c r="BD177" s="1002"/>
      <c r="BE177" s="204"/>
      <c r="BF177" s="205" t="s">
        <v>487</v>
      </c>
      <c r="BG177" s="204"/>
      <c r="BH177" s="204"/>
      <c r="BI177" s="204"/>
      <c r="BJ177" s="204"/>
      <c r="BK177" s="206"/>
    </row>
    <row r="178" spans="1:63" s="164" customFormat="1" ht="15.75" customHeight="1">
      <c r="A178" s="182" t="s">
        <v>416</v>
      </c>
      <c r="B178" s="183" t="s">
        <v>600</v>
      </c>
      <c r="C178" s="184"/>
      <c r="D178" s="184"/>
      <c r="E178" s="184"/>
      <c r="F178" s="184"/>
      <c r="G178" s="184"/>
      <c r="H178" s="184"/>
      <c r="I178" s="184"/>
      <c r="J178" s="184"/>
      <c r="K178" s="184"/>
      <c r="L178" s="193"/>
      <c r="M178" s="1003"/>
      <c r="N178" s="1002"/>
      <c r="O178" s="1002"/>
      <c r="P178" s="1002"/>
      <c r="Q178" s="1002"/>
      <c r="R178" s="1002"/>
      <c r="S178" s="1002"/>
      <c r="T178" s="1002"/>
      <c r="U178" s="1002"/>
      <c r="V178" s="1002"/>
      <c r="W178" s="1002"/>
      <c r="X178" s="1002"/>
      <c r="Y178" s="1002"/>
      <c r="Z178" s="1002"/>
      <c r="AA178" s="1002"/>
      <c r="AB178" s="1002"/>
      <c r="AC178" s="1002"/>
      <c r="AD178" s="1002"/>
      <c r="AE178" s="1002"/>
      <c r="AF178" s="1002"/>
      <c r="AG178" s="1002"/>
      <c r="AH178" s="1002"/>
      <c r="AI178" s="1002"/>
      <c r="AJ178" s="1002"/>
      <c r="AK178" s="1002"/>
      <c r="AL178" s="1002"/>
      <c r="AM178" s="1002"/>
      <c r="AN178" s="1002"/>
      <c r="AO178" s="1002"/>
      <c r="AP178" s="1002"/>
      <c r="AQ178" s="1002"/>
      <c r="AR178" s="1002"/>
      <c r="AS178" s="1002"/>
      <c r="AT178" s="1002"/>
      <c r="AU178" s="1002"/>
      <c r="AV178" s="1002"/>
      <c r="AW178" s="1002"/>
      <c r="AX178" s="1002"/>
      <c r="AY178" s="1002"/>
      <c r="AZ178" s="1002"/>
      <c r="BA178" s="1002"/>
      <c r="BB178" s="1002"/>
      <c r="BC178" s="1002"/>
      <c r="BD178" s="1002"/>
      <c r="BE178" s="204"/>
      <c r="BF178" s="205" t="s">
        <v>419</v>
      </c>
      <c r="BG178" s="204"/>
      <c r="BH178" s="204"/>
      <c r="BI178" s="204"/>
      <c r="BJ178" s="204"/>
      <c r="BK178" s="206"/>
    </row>
    <row r="179" spans="1:63" s="164" customFormat="1" ht="15.75" customHeight="1">
      <c r="A179" s="182" t="s">
        <v>416</v>
      </c>
      <c r="B179" s="183" t="s">
        <v>601</v>
      </c>
      <c r="C179" s="184"/>
      <c r="D179" s="184"/>
      <c r="E179" s="184"/>
      <c r="F179" s="184"/>
      <c r="G179" s="184"/>
      <c r="H179" s="184"/>
      <c r="I179" s="184"/>
      <c r="J179" s="184"/>
      <c r="K179" s="184"/>
      <c r="L179" s="193"/>
      <c r="M179" s="1003"/>
      <c r="N179" s="1002"/>
      <c r="O179" s="1002"/>
      <c r="P179" s="1002"/>
      <c r="Q179" s="1002"/>
      <c r="R179" s="1002"/>
      <c r="S179" s="1002"/>
      <c r="T179" s="1002"/>
      <c r="U179" s="1002"/>
      <c r="V179" s="1002"/>
      <c r="W179" s="1002"/>
      <c r="X179" s="1002"/>
      <c r="Y179" s="1002"/>
      <c r="Z179" s="1002"/>
      <c r="AA179" s="1002"/>
      <c r="AB179" s="1002"/>
      <c r="AC179" s="1002"/>
      <c r="AD179" s="1002"/>
      <c r="AE179" s="1002"/>
      <c r="AF179" s="1002"/>
      <c r="AG179" s="1002"/>
      <c r="AH179" s="1002"/>
      <c r="AI179" s="1002"/>
      <c r="AJ179" s="1002"/>
      <c r="AK179" s="1002"/>
      <c r="AL179" s="1002"/>
      <c r="AM179" s="1002"/>
      <c r="AN179" s="1002"/>
      <c r="AO179" s="1002"/>
      <c r="AP179" s="1002"/>
      <c r="AQ179" s="1002"/>
      <c r="AR179" s="1002"/>
      <c r="AS179" s="1002"/>
      <c r="AT179" s="1002"/>
      <c r="AU179" s="1002"/>
      <c r="AV179" s="1002"/>
      <c r="AW179" s="1002"/>
      <c r="AX179" s="1002"/>
      <c r="AY179" s="1002"/>
      <c r="AZ179" s="1002"/>
      <c r="BA179" s="1002"/>
      <c r="BB179" s="1002"/>
      <c r="BC179" s="1002"/>
      <c r="BD179" s="1002"/>
      <c r="BE179" s="205" t="s">
        <v>486</v>
      </c>
      <c r="BF179" s="205" t="s">
        <v>487</v>
      </c>
      <c r="BG179" s="204"/>
      <c r="BH179" s="204"/>
      <c r="BI179" s="204"/>
      <c r="BJ179" s="204"/>
      <c r="BK179" s="206"/>
    </row>
    <row r="180" spans="1:63" s="164" customFormat="1" ht="15.75" customHeight="1">
      <c r="A180" s="182" t="s">
        <v>416</v>
      </c>
      <c r="B180" s="183" t="s">
        <v>602</v>
      </c>
      <c r="C180" s="184"/>
      <c r="D180" s="184"/>
      <c r="E180" s="184"/>
      <c r="F180" s="184"/>
      <c r="G180" s="184"/>
      <c r="H180" s="184"/>
      <c r="I180" s="184"/>
      <c r="J180" s="184"/>
      <c r="K180" s="184"/>
      <c r="L180" s="193"/>
      <c r="M180" s="1003"/>
      <c r="N180" s="1002"/>
      <c r="O180" s="1002"/>
      <c r="P180" s="1002"/>
      <c r="Q180" s="1002"/>
      <c r="R180" s="1002"/>
      <c r="S180" s="1002"/>
      <c r="T180" s="1002"/>
      <c r="U180" s="1002"/>
      <c r="V180" s="1002"/>
      <c r="W180" s="1002"/>
      <c r="X180" s="1002"/>
      <c r="Y180" s="1002"/>
      <c r="Z180" s="1002"/>
      <c r="AA180" s="1002"/>
      <c r="AB180" s="1002"/>
      <c r="AC180" s="1002"/>
      <c r="AD180" s="1002"/>
      <c r="AE180" s="1002"/>
      <c r="AF180" s="1002"/>
      <c r="AG180" s="1002"/>
      <c r="AH180" s="1002"/>
      <c r="AI180" s="1002"/>
      <c r="AJ180" s="1002"/>
      <c r="AK180" s="1002"/>
      <c r="AL180" s="1002"/>
      <c r="AM180" s="1002"/>
      <c r="AN180" s="1002"/>
      <c r="AO180" s="1002"/>
      <c r="AP180" s="1002"/>
      <c r="AQ180" s="1002"/>
      <c r="AR180" s="1002"/>
      <c r="AS180" s="1002"/>
      <c r="AT180" s="1002"/>
      <c r="AU180" s="1002"/>
      <c r="AV180" s="1002"/>
      <c r="AW180" s="1002"/>
      <c r="AX180" s="1002"/>
      <c r="AY180" s="1002"/>
      <c r="AZ180" s="1002"/>
      <c r="BA180" s="1002"/>
      <c r="BB180" s="1002"/>
      <c r="BC180" s="1002"/>
      <c r="BD180" s="1002"/>
      <c r="BE180" s="204"/>
      <c r="BF180" s="205" t="s">
        <v>487</v>
      </c>
      <c r="BG180" s="204"/>
      <c r="BH180" s="204"/>
      <c r="BI180" s="204"/>
      <c r="BJ180" s="204"/>
      <c r="BK180" s="206"/>
    </row>
    <row r="181" spans="1:63" s="164" customFormat="1" ht="15.75" customHeight="1">
      <c r="A181" s="182" t="s">
        <v>416</v>
      </c>
      <c r="B181" s="183" t="s">
        <v>603</v>
      </c>
      <c r="C181" s="184"/>
      <c r="D181" s="184"/>
      <c r="E181" s="184"/>
      <c r="F181" s="184"/>
      <c r="G181" s="184"/>
      <c r="H181" s="184"/>
      <c r="I181" s="184"/>
      <c r="J181" s="184"/>
      <c r="K181" s="184"/>
      <c r="L181" s="193"/>
      <c r="M181" s="1003"/>
      <c r="N181" s="1002"/>
      <c r="O181" s="1002"/>
      <c r="P181" s="1002"/>
      <c r="Q181" s="1002"/>
      <c r="R181" s="1002"/>
      <c r="S181" s="1002"/>
      <c r="T181" s="1002"/>
      <c r="U181" s="1002"/>
      <c r="V181" s="1002"/>
      <c r="W181" s="1002"/>
      <c r="X181" s="1002"/>
      <c r="Y181" s="1002"/>
      <c r="Z181" s="1002"/>
      <c r="AA181" s="1002"/>
      <c r="AB181" s="1002"/>
      <c r="AC181" s="1002"/>
      <c r="AD181" s="1002"/>
      <c r="AE181" s="1002"/>
      <c r="AF181" s="1002"/>
      <c r="AG181" s="1002"/>
      <c r="AH181" s="1002"/>
      <c r="AI181" s="1002"/>
      <c r="AJ181" s="1002"/>
      <c r="AK181" s="1002"/>
      <c r="AL181" s="1002"/>
      <c r="AM181" s="1002"/>
      <c r="AN181" s="1002"/>
      <c r="AO181" s="1002"/>
      <c r="AP181" s="1002"/>
      <c r="AQ181" s="1002"/>
      <c r="AR181" s="1002"/>
      <c r="AS181" s="1002"/>
      <c r="AT181" s="1002"/>
      <c r="AU181" s="1002"/>
      <c r="AV181" s="1002"/>
      <c r="AW181" s="1002"/>
      <c r="AX181" s="1002"/>
      <c r="AY181" s="1002"/>
      <c r="AZ181" s="1002"/>
      <c r="BA181" s="1002"/>
      <c r="BB181" s="1002"/>
      <c r="BC181" s="1002"/>
      <c r="BD181" s="1002"/>
      <c r="BE181" s="204"/>
      <c r="BF181" s="205" t="s">
        <v>419</v>
      </c>
      <c r="BG181" s="204"/>
      <c r="BH181" s="204"/>
      <c r="BI181" s="204"/>
      <c r="BJ181" s="204"/>
      <c r="BK181" s="206"/>
    </row>
    <row r="182" spans="1:63" s="164" customFormat="1" ht="15.75" customHeight="1">
      <c r="A182" s="182" t="s">
        <v>416</v>
      </c>
      <c r="B182" s="183" t="s">
        <v>604</v>
      </c>
      <c r="C182" s="184"/>
      <c r="D182" s="184"/>
      <c r="E182" s="184"/>
      <c r="F182" s="184"/>
      <c r="G182" s="184"/>
      <c r="H182" s="184"/>
      <c r="I182" s="184"/>
      <c r="J182" s="184"/>
      <c r="K182" s="184"/>
      <c r="L182" s="193"/>
      <c r="M182" s="1003"/>
      <c r="N182" s="1002"/>
      <c r="O182" s="1002"/>
      <c r="P182" s="1002"/>
      <c r="Q182" s="1002"/>
      <c r="R182" s="1002"/>
      <c r="S182" s="1002"/>
      <c r="T182" s="1002"/>
      <c r="U182" s="1002"/>
      <c r="V182" s="1002"/>
      <c r="W182" s="1002"/>
      <c r="X182" s="1002"/>
      <c r="Y182" s="1002"/>
      <c r="Z182" s="1002"/>
      <c r="AA182" s="1002"/>
      <c r="AB182" s="1002"/>
      <c r="AC182" s="1002"/>
      <c r="AD182" s="1002"/>
      <c r="AE182" s="1002"/>
      <c r="AF182" s="1002"/>
      <c r="AG182" s="1002"/>
      <c r="AH182" s="1002"/>
      <c r="AI182" s="1002"/>
      <c r="AJ182" s="1002"/>
      <c r="AK182" s="1002"/>
      <c r="AL182" s="1002"/>
      <c r="AM182" s="1002"/>
      <c r="AN182" s="1002"/>
      <c r="AO182" s="1002"/>
      <c r="AP182" s="1002"/>
      <c r="AQ182" s="1002"/>
      <c r="AR182" s="1002"/>
      <c r="AS182" s="1002"/>
      <c r="AT182" s="1002"/>
      <c r="AU182" s="1002"/>
      <c r="AV182" s="1002"/>
      <c r="AW182" s="1002"/>
      <c r="AX182" s="1002"/>
      <c r="AY182" s="1002"/>
      <c r="AZ182" s="1002"/>
      <c r="BA182" s="1002"/>
      <c r="BB182" s="1002"/>
      <c r="BC182" s="1002"/>
      <c r="BD182" s="1002"/>
      <c r="BE182" s="205" t="s">
        <v>486</v>
      </c>
      <c r="BF182" s="205" t="s">
        <v>487</v>
      </c>
      <c r="BG182" s="204"/>
      <c r="BH182" s="204"/>
      <c r="BI182" s="204"/>
      <c r="BJ182" s="204"/>
      <c r="BK182" s="206"/>
    </row>
    <row r="183" spans="1:63" s="164" customFormat="1" ht="15.75" customHeight="1">
      <c r="A183" s="182" t="s">
        <v>416</v>
      </c>
      <c r="B183" s="183" t="s">
        <v>605</v>
      </c>
      <c r="C183" s="184"/>
      <c r="D183" s="184"/>
      <c r="E183" s="184"/>
      <c r="F183" s="184"/>
      <c r="G183" s="184"/>
      <c r="H183" s="184"/>
      <c r="I183" s="184"/>
      <c r="J183" s="184"/>
      <c r="K183" s="184"/>
      <c r="L183" s="193"/>
      <c r="M183" s="1003"/>
      <c r="N183" s="1002"/>
      <c r="O183" s="1002"/>
      <c r="P183" s="1002"/>
      <c r="Q183" s="1002"/>
      <c r="R183" s="1002"/>
      <c r="S183" s="1002"/>
      <c r="T183" s="1002"/>
      <c r="U183" s="1002"/>
      <c r="V183" s="1002"/>
      <c r="W183" s="1002"/>
      <c r="X183" s="1002"/>
      <c r="Y183" s="1002"/>
      <c r="Z183" s="1002"/>
      <c r="AA183" s="1002"/>
      <c r="AB183" s="1002"/>
      <c r="AC183" s="1002"/>
      <c r="AD183" s="1002"/>
      <c r="AE183" s="1002"/>
      <c r="AF183" s="1002"/>
      <c r="AG183" s="1002"/>
      <c r="AH183" s="1002"/>
      <c r="AI183" s="1002"/>
      <c r="AJ183" s="1002"/>
      <c r="AK183" s="1002"/>
      <c r="AL183" s="1002"/>
      <c r="AM183" s="1002"/>
      <c r="AN183" s="1002"/>
      <c r="AO183" s="1002"/>
      <c r="AP183" s="1002"/>
      <c r="AQ183" s="1002"/>
      <c r="AR183" s="1002"/>
      <c r="AS183" s="1002"/>
      <c r="AT183" s="1002"/>
      <c r="AU183" s="1002"/>
      <c r="AV183" s="1002"/>
      <c r="AW183" s="1002"/>
      <c r="AX183" s="1002"/>
      <c r="AY183" s="1002"/>
      <c r="AZ183" s="1002"/>
      <c r="BA183" s="1002"/>
      <c r="BB183" s="1002"/>
      <c r="BC183" s="1002"/>
      <c r="BD183" s="1002"/>
      <c r="BE183" s="204"/>
      <c r="BF183" s="205" t="s">
        <v>487</v>
      </c>
      <c r="BG183" s="204"/>
      <c r="BH183" s="204"/>
      <c r="BI183" s="204"/>
      <c r="BJ183" s="204"/>
      <c r="BK183" s="206"/>
    </row>
    <row r="184" spans="1:63" s="164" customFormat="1" ht="15.75" customHeight="1">
      <c r="A184" s="182" t="s">
        <v>416</v>
      </c>
      <c r="B184" s="183" t="s">
        <v>606</v>
      </c>
      <c r="C184" s="184"/>
      <c r="D184" s="184"/>
      <c r="E184" s="184"/>
      <c r="F184" s="184"/>
      <c r="G184" s="184"/>
      <c r="H184" s="184"/>
      <c r="I184" s="184"/>
      <c r="J184" s="184"/>
      <c r="K184" s="184"/>
      <c r="L184" s="193"/>
      <c r="M184" s="1003"/>
      <c r="N184" s="1002"/>
      <c r="O184" s="1002"/>
      <c r="P184" s="1002"/>
      <c r="Q184" s="1002"/>
      <c r="R184" s="1002"/>
      <c r="S184" s="1002"/>
      <c r="T184" s="1002"/>
      <c r="U184" s="1002"/>
      <c r="V184" s="1002"/>
      <c r="W184" s="1002"/>
      <c r="X184" s="1002"/>
      <c r="Y184" s="1002"/>
      <c r="Z184" s="1002"/>
      <c r="AA184" s="1002"/>
      <c r="AB184" s="1002"/>
      <c r="AC184" s="1002"/>
      <c r="AD184" s="1002"/>
      <c r="AE184" s="1002"/>
      <c r="AF184" s="1002"/>
      <c r="AG184" s="1002"/>
      <c r="AH184" s="1002"/>
      <c r="AI184" s="1002"/>
      <c r="AJ184" s="1002"/>
      <c r="AK184" s="1002"/>
      <c r="AL184" s="1002"/>
      <c r="AM184" s="1002"/>
      <c r="AN184" s="1002"/>
      <c r="AO184" s="1002"/>
      <c r="AP184" s="1002"/>
      <c r="AQ184" s="1002"/>
      <c r="AR184" s="1002"/>
      <c r="AS184" s="1002"/>
      <c r="AT184" s="1002"/>
      <c r="AU184" s="1002"/>
      <c r="AV184" s="1002"/>
      <c r="AW184" s="1002"/>
      <c r="AX184" s="1002"/>
      <c r="AY184" s="1002"/>
      <c r="AZ184" s="1002"/>
      <c r="BA184" s="1002"/>
      <c r="BB184" s="1002"/>
      <c r="BC184" s="1002"/>
      <c r="BD184" s="1002"/>
      <c r="BE184" s="204"/>
      <c r="BF184" s="205" t="s">
        <v>419</v>
      </c>
      <c r="BG184" s="204"/>
      <c r="BH184" s="204"/>
      <c r="BI184" s="204"/>
      <c r="BJ184" s="204"/>
      <c r="BK184" s="206"/>
    </row>
    <row r="185" spans="1:63" s="164" customFormat="1" ht="15.75" customHeight="1">
      <c r="A185" s="182" t="s">
        <v>416</v>
      </c>
      <c r="B185" s="183" t="s">
        <v>607</v>
      </c>
      <c r="C185" s="184"/>
      <c r="D185" s="184"/>
      <c r="E185" s="184"/>
      <c r="F185" s="184"/>
      <c r="G185" s="184"/>
      <c r="H185" s="184"/>
      <c r="I185" s="184"/>
      <c r="J185" s="184"/>
      <c r="K185" s="184"/>
      <c r="L185" s="193"/>
      <c r="M185" s="1003"/>
      <c r="N185" s="1002"/>
      <c r="O185" s="1002"/>
      <c r="P185" s="1002"/>
      <c r="Q185" s="1002"/>
      <c r="R185" s="1002"/>
      <c r="S185" s="1002"/>
      <c r="T185" s="1002"/>
      <c r="U185" s="1002"/>
      <c r="V185" s="1002"/>
      <c r="W185" s="1002"/>
      <c r="X185" s="1002"/>
      <c r="Y185" s="1002"/>
      <c r="Z185" s="1002"/>
      <c r="AA185" s="1002"/>
      <c r="AB185" s="1002"/>
      <c r="AC185" s="1002"/>
      <c r="AD185" s="1002"/>
      <c r="AE185" s="1002"/>
      <c r="AF185" s="1002"/>
      <c r="AG185" s="1002"/>
      <c r="AH185" s="1002"/>
      <c r="AI185" s="1002"/>
      <c r="AJ185" s="1002"/>
      <c r="AK185" s="1002"/>
      <c r="AL185" s="1002"/>
      <c r="AM185" s="1002"/>
      <c r="AN185" s="1002"/>
      <c r="AO185" s="1002"/>
      <c r="AP185" s="1002"/>
      <c r="AQ185" s="1002"/>
      <c r="AR185" s="1002"/>
      <c r="AS185" s="1002"/>
      <c r="AT185" s="1002"/>
      <c r="AU185" s="1002"/>
      <c r="AV185" s="1002"/>
      <c r="AW185" s="1002"/>
      <c r="AX185" s="1002"/>
      <c r="AY185" s="1002"/>
      <c r="AZ185" s="1002"/>
      <c r="BA185" s="1002"/>
      <c r="BB185" s="1002"/>
      <c r="BC185" s="1002"/>
      <c r="BD185" s="1002"/>
      <c r="BE185" s="205" t="s">
        <v>486</v>
      </c>
      <c r="BF185" s="205" t="s">
        <v>487</v>
      </c>
      <c r="BG185" s="204"/>
      <c r="BH185" s="204"/>
      <c r="BI185" s="204"/>
      <c r="BJ185" s="204"/>
      <c r="BK185" s="206"/>
    </row>
    <row r="186" spans="1:63" s="164" customFormat="1" ht="15.75" customHeight="1">
      <c r="A186" s="182" t="s">
        <v>416</v>
      </c>
      <c r="B186" s="183" t="s">
        <v>608</v>
      </c>
      <c r="C186" s="184"/>
      <c r="D186" s="184"/>
      <c r="E186" s="184"/>
      <c r="F186" s="184"/>
      <c r="G186" s="184"/>
      <c r="H186" s="184"/>
      <c r="I186" s="184"/>
      <c r="J186" s="184"/>
      <c r="K186" s="184"/>
      <c r="L186" s="193"/>
      <c r="M186" s="1003"/>
      <c r="N186" s="1002"/>
      <c r="O186" s="1002"/>
      <c r="P186" s="1002"/>
      <c r="Q186" s="1002"/>
      <c r="R186" s="1002"/>
      <c r="S186" s="1002"/>
      <c r="T186" s="1002"/>
      <c r="U186" s="1002"/>
      <c r="V186" s="1002"/>
      <c r="W186" s="1002"/>
      <c r="X186" s="1002"/>
      <c r="Y186" s="1002"/>
      <c r="Z186" s="1002"/>
      <c r="AA186" s="1002"/>
      <c r="AB186" s="1002"/>
      <c r="AC186" s="1002"/>
      <c r="AD186" s="1002"/>
      <c r="AE186" s="1002"/>
      <c r="AF186" s="1002"/>
      <c r="AG186" s="1002"/>
      <c r="AH186" s="1002"/>
      <c r="AI186" s="1002"/>
      <c r="AJ186" s="1002"/>
      <c r="AK186" s="1002"/>
      <c r="AL186" s="1002"/>
      <c r="AM186" s="1002"/>
      <c r="AN186" s="1002"/>
      <c r="AO186" s="1002"/>
      <c r="AP186" s="1002"/>
      <c r="AQ186" s="1002"/>
      <c r="AR186" s="1002"/>
      <c r="AS186" s="1002"/>
      <c r="AT186" s="1002"/>
      <c r="AU186" s="1002"/>
      <c r="AV186" s="1002"/>
      <c r="AW186" s="1002"/>
      <c r="AX186" s="1002"/>
      <c r="AY186" s="1002"/>
      <c r="AZ186" s="1002"/>
      <c r="BA186" s="1002"/>
      <c r="BB186" s="1002"/>
      <c r="BC186" s="1002"/>
      <c r="BD186" s="1002"/>
      <c r="BE186" s="204"/>
      <c r="BF186" s="205" t="s">
        <v>487</v>
      </c>
      <c r="BG186" s="204"/>
      <c r="BH186" s="204"/>
      <c r="BI186" s="204"/>
      <c r="BJ186" s="204"/>
      <c r="BK186" s="206"/>
    </row>
    <row r="187" spans="1:63" s="164" customFormat="1" ht="15.75" customHeight="1">
      <c r="A187" s="180"/>
      <c r="B187" s="181"/>
      <c r="C187" s="179"/>
      <c r="D187" s="179"/>
      <c r="E187" s="179"/>
      <c r="F187" s="179"/>
      <c r="G187" s="179"/>
      <c r="H187" s="179"/>
      <c r="I187" s="179"/>
      <c r="J187" s="179"/>
      <c r="K187" s="179"/>
      <c r="L187" s="192"/>
      <c r="M187" s="179"/>
      <c r="N187" s="179"/>
      <c r="O187" s="179"/>
      <c r="P187" s="179"/>
      <c r="Q187" s="179"/>
      <c r="R187" s="179"/>
      <c r="S187" s="179"/>
      <c r="T187" s="179"/>
      <c r="U187" s="179"/>
      <c r="V187" s="179"/>
      <c r="W187" s="179"/>
      <c r="X187" s="179"/>
      <c r="Y187" s="179"/>
      <c r="Z187" s="179"/>
      <c r="AA187" s="179"/>
      <c r="AB187" s="179"/>
      <c r="AC187" s="179"/>
      <c r="AD187" s="179"/>
      <c r="AE187" s="179"/>
      <c r="AF187" s="179"/>
      <c r="AG187" s="179"/>
      <c r="AH187" s="179"/>
      <c r="AI187" s="179"/>
      <c r="AJ187" s="179"/>
      <c r="AK187" s="179"/>
      <c r="AL187" s="179"/>
      <c r="AM187" s="179"/>
      <c r="AN187" s="179"/>
      <c r="AO187" s="179"/>
      <c r="AP187" s="179"/>
      <c r="AQ187" s="179"/>
      <c r="AR187" s="179"/>
      <c r="AS187" s="179"/>
      <c r="AT187" s="179"/>
      <c r="AU187" s="179"/>
      <c r="AV187" s="179"/>
      <c r="AW187" s="179"/>
      <c r="AX187" s="179"/>
      <c r="AY187" s="179"/>
      <c r="AZ187" s="179"/>
      <c r="BA187" s="179"/>
      <c r="BB187" s="179"/>
      <c r="BC187" s="179"/>
      <c r="BD187" s="179"/>
      <c r="BE187" s="201"/>
      <c r="BF187" s="201"/>
      <c r="BG187" s="201"/>
      <c r="BH187" s="201"/>
      <c r="BI187" s="201"/>
      <c r="BJ187" s="201"/>
      <c r="BK187" s="203"/>
    </row>
    <row r="188" spans="1:63" s="164" customFormat="1" ht="15.75" customHeight="1">
      <c r="A188" s="174"/>
      <c r="B188" s="175" t="s">
        <v>609</v>
      </c>
      <c r="C188" s="176"/>
      <c r="D188" s="176"/>
      <c r="E188" s="176"/>
      <c r="F188" s="176"/>
      <c r="G188" s="176"/>
      <c r="H188" s="176"/>
      <c r="I188" s="176"/>
      <c r="J188" s="176"/>
      <c r="K188" s="176"/>
      <c r="L188" s="190"/>
      <c r="M188" s="176"/>
      <c r="N188" s="191" t="s">
        <v>403</v>
      </c>
      <c r="O188" s="176"/>
      <c r="P188" s="176"/>
      <c r="Q188" s="176"/>
      <c r="R188" s="176"/>
      <c r="S188" s="176"/>
      <c r="T188" s="176"/>
      <c r="U188" s="176"/>
      <c r="V188" s="176"/>
      <c r="W188" s="176"/>
      <c r="X188" s="176"/>
      <c r="Y188" s="176"/>
      <c r="Z188" s="176"/>
      <c r="AA188" s="176"/>
      <c r="AB188" s="176"/>
      <c r="AC188" s="176"/>
      <c r="AD188" s="176"/>
      <c r="AE188" s="176"/>
      <c r="AF188" s="176"/>
      <c r="AG188" s="176"/>
      <c r="AH188" s="176"/>
      <c r="AI188" s="176"/>
      <c r="AJ188" s="176"/>
      <c r="AK188" s="176"/>
      <c r="AL188" s="176"/>
      <c r="AM188" s="176"/>
      <c r="AN188" s="176"/>
      <c r="AO188" s="176"/>
      <c r="AP188" s="176"/>
      <c r="AQ188" s="176"/>
      <c r="AR188" s="176"/>
      <c r="AS188" s="176"/>
      <c r="AT188" s="176"/>
      <c r="AU188" s="176"/>
      <c r="AV188" s="176"/>
      <c r="AW188" s="176"/>
      <c r="AX188" s="176"/>
      <c r="AY188" s="176"/>
      <c r="AZ188" s="176"/>
      <c r="BA188" s="176"/>
      <c r="BB188" s="176"/>
      <c r="BC188" s="176"/>
      <c r="BD188" s="176"/>
      <c r="BE188" s="199" t="s">
        <v>404</v>
      </c>
      <c r="BF188" s="199" t="s">
        <v>405</v>
      </c>
      <c r="BG188" s="199" t="s">
        <v>406</v>
      </c>
      <c r="BH188" s="199" t="s">
        <v>407</v>
      </c>
      <c r="BI188" s="199" t="s">
        <v>408</v>
      </c>
      <c r="BJ188" s="199" t="s">
        <v>409</v>
      </c>
      <c r="BK188" s="200" t="s">
        <v>410</v>
      </c>
    </row>
    <row r="189" spans="1:63" s="164" customFormat="1" ht="15.75" customHeight="1">
      <c r="A189" s="182" t="s">
        <v>416</v>
      </c>
      <c r="B189" s="183" t="s">
        <v>610</v>
      </c>
      <c r="C189" s="184"/>
      <c r="D189" s="184"/>
      <c r="E189" s="184"/>
      <c r="F189" s="184"/>
      <c r="G189" s="184"/>
      <c r="H189" s="184"/>
      <c r="I189" s="184"/>
      <c r="J189" s="184"/>
      <c r="K189" s="184"/>
      <c r="L189" s="193"/>
      <c r="M189" s="1003"/>
      <c r="N189" s="1002"/>
      <c r="O189" s="1002"/>
      <c r="P189" s="1002"/>
      <c r="Q189" s="1002"/>
      <c r="R189" s="1002"/>
      <c r="S189" s="1002"/>
      <c r="T189" s="1002"/>
      <c r="U189" s="1002"/>
      <c r="V189" s="1002"/>
      <c r="W189" s="1002"/>
      <c r="X189" s="1002"/>
      <c r="Y189" s="1002"/>
      <c r="Z189" s="1002"/>
      <c r="AA189" s="1002"/>
      <c r="AB189" s="1002"/>
      <c r="AC189" s="1002"/>
      <c r="AD189" s="1002"/>
      <c r="AE189" s="1002"/>
      <c r="AF189" s="1002"/>
      <c r="AG189" s="1002"/>
      <c r="AH189" s="1002"/>
      <c r="AI189" s="1002"/>
      <c r="AJ189" s="1002"/>
      <c r="AK189" s="1002"/>
      <c r="AL189" s="1002"/>
      <c r="AM189" s="1002"/>
      <c r="AN189" s="1002"/>
      <c r="AO189" s="1002"/>
      <c r="AP189" s="1002"/>
      <c r="AQ189" s="1002"/>
      <c r="AR189" s="1002"/>
      <c r="AS189" s="1002"/>
      <c r="AT189" s="1002"/>
      <c r="AU189" s="1002"/>
      <c r="AV189" s="1002"/>
      <c r="AW189" s="1002"/>
      <c r="AX189" s="1002"/>
      <c r="AY189" s="1002"/>
      <c r="AZ189" s="1002"/>
      <c r="BA189" s="1002"/>
      <c r="BB189" s="1002"/>
      <c r="BC189" s="1002"/>
      <c r="BD189" s="1002"/>
      <c r="BE189" s="204"/>
      <c r="BF189" s="205" t="s">
        <v>419</v>
      </c>
      <c r="BG189" s="204"/>
      <c r="BH189" s="204"/>
      <c r="BI189" s="204"/>
      <c r="BJ189" s="204"/>
      <c r="BK189" s="206"/>
    </row>
    <row r="190" spans="1:63" s="164" customFormat="1" ht="15.75" customHeight="1">
      <c r="A190" s="182" t="s">
        <v>416</v>
      </c>
      <c r="B190" s="183" t="s">
        <v>611</v>
      </c>
      <c r="C190" s="184"/>
      <c r="D190" s="184"/>
      <c r="E190" s="184"/>
      <c r="F190" s="184"/>
      <c r="G190" s="184"/>
      <c r="H190" s="184"/>
      <c r="I190" s="184"/>
      <c r="J190" s="184"/>
      <c r="K190" s="184"/>
      <c r="L190" s="193"/>
      <c r="M190" s="1003"/>
      <c r="N190" s="1002"/>
      <c r="O190" s="1002"/>
      <c r="P190" s="1002"/>
      <c r="Q190" s="1002"/>
      <c r="R190" s="1002"/>
      <c r="S190" s="1002"/>
      <c r="T190" s="1002"/>
      <c r="U190" s="1002"/>
      <c r="V190" s="1002"/>
      <c r="W190" s="1002"/>
      <c r="X190" s="1002"/>
      <c r="Y190" s="1002"/>
      <c r="Z190" s="1002"/>
      <c r="AA190" s="1002"/>
      <c r="AB190" s="1002"/>
      <c r="AC190" s="1002"/>
      <c r="AD190" s="1002"/>
      <c r="AE190" s="1002"/>
      <c r="AF190" s="1002"/>
      <c r="AG190" s="1002"/>
      <c r="AH190" s="1002"/>
      <c r="AI190" s="1002"/>
      <c r="AJ190" s="1002"/>
      <c r="AK190" s="1002"/>
      <c r="AL190" s="1002"/>
      <c r="AM190" s="1002"/>
      <c r="AN190" s="1002"/>
      <c r="AO190" s="1002"/>
      <c r="AP190" s="1002"/>
      <c r="AQ190" s="1002"/>
      <c r="AR190" s="1002"/>
      <c r="AS190" s="1002"/>
      <c r="AT190" s="1002"/>
      <c r="AU190" s="1002"/>
      <c r="AV190" s="1002"/>
      <c r="AW190" s="1002"/>
      <c r="AX190" s="1002"/>
      <c r="AY190" s="1002"/>
      <c r="AZ190" s="1002"/>
      <c r="BA190" s="1002"/>
      <c r="BB190" s="1002"/>
      <c r="BC190" s="1002"/>
      <c r="BD190" s="1002"/>
      <c r="BE190" s="205" t="s">
        <v>486</v>
      </c>
      <c r="BF190" s="205" t="s">
        <v>487</v>
      </c>
      <c r="BG190" s="204"/>
      <c r="BH190" s="204"/>
      <c r="BI190" s="204"/>
      <c r="BJ190" s="204"/>
      <c r="BK190" s="206"/>
    </row>
    <row r="191" spans="1:63" s="164" customFormat="1" ht="15.75" customHeight="1">
      <c r="A191" s="182" t="s">
        <v>416</v>
      </c>
      <c r="B191" s="183" t="s">
        <v>612</v>
      </c>
      <c r="C191" s="184"/>
      <c r="D191" s="184"/>
      <c r="E191" s="184"/>
      <c r="F191" s="184"/>
      <c r="G191" s="184"/>
      <c r="H191" s="184"/>
      <c r="I191" s="184"/>
      <c r="J191" s="184"/>
      <c r="K191" s="184"/>
      <c r="L191" s="193"/>
      <c r="M191" s="1003"/>
      <c r="N191" s="1002"/>
      <c r="O191" s="1002"/>
      <c r="P191" s="1002"/>
      <c r="Q191" s="1002"/>
      <c r="R191" s="1002"/>
      <c r="S191" s="1002"/>
      <c r="T191" s="1002"/>
      <c r="U191" s="1002"/>
      <c r="V191" s="1002"/>
      <c r="W191" s="1002"/>
      <c r="X191" s="1002"/>
      <c r="Y191" s="1002"/>
      <c r="Z191" s="1002"/>
      <c r="AA191" s="1002"/>
      <c r="AB191" s="1002"/>
      <c r="AC191" s="1002"/>
      <c r="AD191" s="1002"/>
      <c r="AE191" s="1002"/>
      <c r="AF191" s="1002"/>
      <c r="AG191" s="1002"/>
      <c r="AH191" s="1002"/>
      <c r="AI191" s="1002"/>
      <c r="AJ191" s="1002"/>
      <c r="AK191" s="1002"/>
      <c r="AL191" s="1002"/>
      <c r="AM191" s="1002"/>
      <c r="AN191" s="1002"/>
      <c r="AO191" s="1002"/>
      <c r="AP191" s="1002"/>
      <c r="AQ191" s="1002"/>
      <c r="AR191" s="1002"/>
      <c r="AS191" s="1002"/>
      <c r="AT191" s="1002"/>
      <c r="AU191" s="1002"/>
      <c r="AV191" s="1002"/>
      <c r="AW191" s="1002"/>
      <c r="AX191" s="1002"/>
      <c r="AY191" s="1002"/>
      <c r="AZ191" s="1002"/>
      <c r="BA191" s="1002"/>
      <c r="BB191" s="1002"/>
      <c r="BC191" s="1002"/>
      <c r="BD191" s="1002"/>
      <c r="BE191" s="204"/>
      <c r="BF191" s="205" t="s">
        <v>487</v>
      </c>
      <c r="BG191" s="204"/>
      <c r="BH191" s="204"/>
      <c r="BI191" s="204"/>
      <c r="BJ191" s="204"/>
      <c r="BK191" s="206"/>
    </row>
    <row r="192" spans="1:63" s="164" customFormat="1" ht="15.75" customHeight="1">
      <c r="A192" s="182" t="s">
        <v>416</v>
      </c>
      <c r="B192" s="183" t="s">
        <v>613</v>
      </c>
      <c r="C192" s="184"/>
      <c r="D192" s="184"/>
      <c r="E192" s="184"/>
      <c r="F192" s="184"/>
      <c r="G192" s="184"/>
      <c r="H192" s="184"/>
      <c r="I192" s="184"/>
      <c r="J192" s="184"/>
      <c r="K192" s="184"/>
      <c r="L192" s="193"/>
      <c r="M192" s="1003"/>
      <c r="N192" s="1002"/>
      <c r="O192" s="1002"/>
      <c r="P192" s="1002"/>
      <c r="Q192" s="1002"/>
      <c r="R192" s="1002"/>
      <c r="S192" s="1002"/>
      <c r="T192" s="1002"/>
      <c r="U192" s="1002"/>
      <c r="V192" s="1002"/>
      <c r="W192" s="1002"/>
      <c r="X192" s="1002"/>
      <c r="Y192" s="1002"/>
      <c r="Z192" s="1002"/>
      <c r="AA192" s="1002"/>
      <c r="AB192" s="1002"/>
      <c r="AC192" s="1002"/>
      <c r="AD192" s="1002"/>
      <c r="AE192" s="1002"/>
      <c r="AF192" s="1002"/>
      <c r="AG192" s="1002"/>
      <c r="AH192" s="1002"/>
      <c r="AI192" s="1002"/>
      <c r="AJ192" s="1002"/>
      <c r="AK192" s="1002"/>
      <c r="AL192" s="1002"/>
      <c r="AM192" s="1002"/>
      <c r="AN192" s="1002"/>
      <c r="AO192" s="1002"/>
      <c r="AP192" s="1002"/>
      <c r="AQ192" s="1002"/>
      <c r="AR192" s="1002"/>
      <c r="AS192" s="1002"/>
      <c r="AT192" s="1002"/>
      <c r="AU192" s="1002"/>
      <c r="AV192" s="1002"/>
      <c r="AW192" s="1002"/>
      <c r="AX192" s="1002"/>
      <c r="AY192" s="1002"/>
      <c r="AZ192" s="1002"/>
      <c r="BA192" s="1002"/>
      <c r="BB192" s="1002"/>
      <c r="BC192" s="1002"/>
      <c r="BD192" s="1002"/>
      <c r="BE192" s="204"/>
      <c r="BF192" s="205" t="s">
        <v>419</v>
      </c>
      <c r="BG192" s="204"/>
      <c r="BH192" s="204"/>
      <c r="BI192" s="204"/>
      <c r="BJ192" s="204"/>
      <c r="BK192" s="206"/>
    </row>
    <row r="193" spans="1:63" s="164" customFormat="1" ht="15.75" customHeight="1">
      <c r="A193" s="182" t="s">
        <v>416</v>
      </c>
      <c r="B193" s="183" t="s">
        <v>614</v>
      </c>
      <c r="C193" s="184"/>
      <c r="D193" s="184"/>
      <c r="E193" s="184"/>
      <c r="F193" s="184"/>
      <c r="G193" s="184"/>
      <c r="H193" s="184"/>
      <c r="I193" s="184"/>
      <c r="J193" s="184"/>
      <c r="K193" s="184"/>
      <c r="L193" s="193"/>
      <c r="M193" s="1003"/>
      <c r="N193" s="1002"/>
      <c r="O193" s="1002"/>
      <c r="P193" s="1002"/>
      <c r="Q193" s="1002"/>
      <c r="R193" s="1002"/>
      <c r="S193" s="1002"/>
      <c r="T193" s="1002"/>
      <c r="U193" s="1002"/>
      <c r="V193" s="1002"/>
      <c r="W193" s="1002"/>
      <c r="X193" s="1002"/>
      <c r="Y193" s="1002"/>
      <c r="Z193" s="1002"/>
      <c r="AA193" s="1002"/>
      <c r="AB193" s="1002"/>
      <c r="AC193" s="1002"/>
      <c r="AD193" s="1002"/>
      <c r="AE193" s="1002"/>
      <c r="AF193" s="1002"/>
      <c r="AG193" s="1002"/>
      <c r="AH193" s="1002"/>
      <c r="AI193" s="1002"/>
      <c r="AJ193" s="1002"/>
      <c r="AK193" s="1002"/>
      <c r="AL193" s="1002"/>
      <c r="AM193" s="1002"/>
      <c r="AN193" s="1002"/>
      <c r="AO193" s="1002"/>
      <c r="AP193" s="1002"/>
      <c r="AQ193" s="1002"/>
      <c r="AR193" s="1002"/>
      <c r="AS193" s="1002"/>
      <c r="AT193" s="1002"/>
      <c r="AU193" s="1002"/>
      <c r="AV193" s="1002"/>
      <c r="AW193" s="1002"/>
      <c r="AX193" s="1002"/>
      <c r="AY193" s="1002"/>
      <c r="AZ193" s="1002"/>
      <c r="BA193" s="1002"/>
      <c r="BB193" s="1002"/>
      <c r="BC193" s="1002"/>
      <c r="BD193" s="1002"/>
      <c r="BE193" s="205" t="s">
        <v>486</v>
      </c>
      <c r="BF193" s="205" t="s">
        <v>487</v>
      </c>
      <c r="BG193" s="204"/>
      <c r="BH193" s="204"/>
      <c r="BI193" s="204"/>
      <c r="BJ193" s="204"/>
      <c r="BK193" s="206"/>
    </row>
    <row r="194" spans="1:63" s="164" customFormat="1" ht="15.75" customHeight="1">
      <c r="A194" s="182" t="s">
        <v>416</v>
      </c>
      <c r="B194" s="183" t="s">
        <v>615</v>
      </c>
      <c r="C194" s="184"/>
      <c r="D194" s="184"/>
      <c r="E194" s="184"/>
      <c r="F194" s="184"/>
      <c r="G194" s="184"/>
      <c r="H194" s="184"/>
      <c r="I194" s="184"/>
      <c r="J194" s="184"/>
      <c r="K194" s="184"/>
      <c r="L194" s="193"/>
      <c r="M194" s="1003"/>
      <c r="N194" s="1002"/>
      <c r="O194" s="1002"/>
      <c r="P194" s="1002"/>
      <c r="Q194" s="1002"/>
      <c r="R194" s="1002"/>
      <c r="S194" s="1002"/>
      <c r="T194" s="1002"/>
      <c r="U194" s="1002"/>
      <c r="V194" s="1002"/>
      <c r="W194" s="1002"/>
      <c r="X194" s="1002"/>
      <c r="Y194" s="1002"/>
      <c r="Z194" s="1002"/>
      <c r="AA194" s="1002"/>
      <c r="AB194" s="1002"/>
      <c r="AC194" s="1002"/>
      <c r="AD194" s="1002"/>
      <c r="AE194" s="1002"/>
      <c r="AF194" s="1002"/>
      <c r="AG194" s="1002"/>
      <c r="AH194" s="1002"/>
      <c r="AI194" s="1002"/>
      <c r="AJ194" s="1002"/>
      <c r="AK194" s="1002"/>
      <c r="AL194" s="1002"/>
      <c r="AM194" s="1002"/>
      <c r="AN194" s="1002"/>
      <c r="AO194" s="1002"/>
      <c r="AP194" s="1002"/>
      <c r="AQ194" s="1002"/>
      <c r="AR194" s="1002"/>
      <c r="AS194" s="1002"/>
      <c r="AT194" s="1002"/>
      <c r="AU194" s="1002"/>
      <c r="AV194" s="1002"/>
      <c r="AW194" s="1002"/>
      <c r="AX194" s="1002"/>
      <c r="AY194" s="1002"/>
      <c r="AZ194" s="1002"/>
      <c r="BA194" s="1002"/>
      <c r="BB194" s="1002"/>
      <c r="BC194" s="1002"/>
      <c r="BD194" s="1002"/>
      <c r="BE194" s="204"/>
      <c r="BF194" s="205" t="s">
        <v>487</v>
      </c>
      <c r="BG194" s="204"/>
      <c r="BH194" s="204"/>
      <c r="BI194" s="204"/>
      <c r="BJ194" s="204"/>
      <c r="BK194" s="206"/>
    </row>
    <row r="195" spans="1:63" s="164" customFormat="1" ht="15.75" customHeight="1">
      <c r="A195" s="182" t="s">
        <v>416</v>
      </c>
      <c r="B195" s="183" t="s">
        <v>616</v>
      </c>
      <c r="C195" s="184"/>
      <c r="D195" s="184"/>
      <c r="E195" s="184"/>
      <c r="F195" s="184"/>
      <c r="G195" s="184"/>
      <c r="H195" s="184"/>
      <c r="I195" s="184"/>
      <c r="J195" s="184"/>
      <c r="K195" s="184"/>
      <c r="L195" s="193"/>
      <c r="M195" s="1003"/>
      <c r="N195" s="1002"/>
      <c r="O195" s="1002"/>
      <c r="P195" s="1002"/>
      <c r="Q195" s="1002"/>
      <c r="R195" s="1002"/>
      <c r="S195" s="1002"/>
      <c r="T195" s="1002"/>
      <c r="U195" s="1002"/>
      <c r="V195" s="1002"/>
      <c r="W195" s="1002"/>
      <c r="X195" s="1002"/>
      <c r="Y195" s="1002"/>
      <c r="Z195" s="1002"/>
      <c r="AA195" s="1002"/>
      <c r="AB195" s="1002"/>
      <c r="AC195" s="1002"/>
      <c r="AD195" s="1002"/>
      <c r="AE195" s="1002"/>
      <c r="AF195" s="1002"/>
      <c r="AG195" s="1002"/>
      <c r="AH195" s="1002"/>
      <c r="AI195" s="1002"/>
      <c r="AJ195" s="1002"/>
      <c r="AK195" s="1002"/>
      <c r="AL195" s="1002"/>
      <c r="AM195" s="1002"/>
      <c r="AN195" s="1002"/>
      <c r="AO195" s="1002"/>
      <c r="AP195" s="1002"/>
      <c r="AQ195" s="1002"/>
      <c r="AR195" s="1002"/>
      <c r="AS195" s="1002"/>
      <c r="AT195" s="1002"/>
      <c r="AU195" s="1002"/>
      <c r="AV195" s="1002"/>
      <c r="AW195" s="1002"/>
      <c r="AX195" s="1002"/>
      <c r="AY195" s="1002"/>
      <c r="AZ195" s="1002"/>
      <c r="BA195" s="1002"/>
      <c r="BB195" s="1002"/>
      <c r="BC195" s="1002"/>
      <c r="BD195" s="1002"/>
      <c r="BE195" s="204"/>
      <c r="BF195" s="205" t="s">
        <v>419</v>
      </c>
      <c r="BG195" s="204"/>
      <c r="BH195" s="204"/>
      <c r="BI195" s="204"/>
      <c r="BJ195" s="204"/>
      <c r="BK195" s="206"/>
    </row>
    <row r="196" spans="1:63" s="164" customFormat="1" ht="15.75" customHeight="1">
      <c r="A196" s="182" t="s">
        <v>416</v>
      </c>
      <c r="B196" s="183" t="s">
        <v>617</v>
      </c>
      <c r="C196" s="184"/>
      <c r="D196" s="184"/>
      <c r="E196" s="184"/>
      <c r="F196" s="184"/>
      <c r="G196" s="184"/>
      <c r="H196" s="184"/>
      <c r="I196" s="184"/>
      <c r="J196" s="184"/>
      <c r="K196" s="184"/>
      <c r="L196" s="193"/>
      <c r="M196" s="1003"/>
      <c r="N196" s="1002"/>
      <c r="O196" s="1002"/>
      <c r="P196" s="1002"/>
      <c r="Q196" s="1002"/>
      <c r="R196" s="1002"/>
      <c r="S196" s="1002"/>
      <c r="T196" s="1002"/>
      <c r="U196" s="1002"/>
      <c r="V196" s="1002"/>
      <c r="W196" s="1002"/>
      <c r="X196" s="1002"/>
      <c r="Y196" s="1002"/>
      <c r="Z196" s="1002"/>
      <c r="AA196" s="1002"/>
      <c r="AB196" s="1002"/>
      <c r="AC196" s="1002"/>
      <c r="AD196" s="1002"/>
      <c r="AE196" s="1002"/>
      <c r="AF196" s="1002"/>
      <c r="AG196" s="1002"/>
      <c r="AH196" s="1002"/>
      <c r="AI196" s="1002"/>
      <c r="AJ196" s="1002"/>
      <c r="AK196" s="1002"/>
      <c r="AL196" s="1002"/>
      <c r="AM196" s="1002"/>
      <c r="AN196" s="1002"/>
      <c r="AO196" s="1002"/>
      <c r="AP196" s="1002"/>
      <c r="AQ196" s="1002"/>
      <c r="AR196" s="1002"/>
      <c r="AS196" s="1002"/>
      <c r="AT196" s="1002"/>
      <c r="AU196" s="1002"/>
      <c r="AV196" s="1002"/>
      <c r="AW196" s="1002"/>
      <c r="AX196" s="1002"/>
      <c r="AY196" s="1002"/>
      <c r="AZ196" s="1002"/>
      <c r="BA196" s="1002"/>
      <c r="BB196" s="1002"/>
      <c r="BC196" s="1002"/>
      <c r="BD196" s="1002"/>
      <c r="BE196" s="205" t="s">
        <v>486</v>
      </c>
      <c r="BF196" s="205" t="s">
        <v>487</v>
      </c>
      <c r="BG196" s="204"/>
      <c r="BH196" s="204"/>
      <c r="BI196" s="204"/>
      <c r="BJ196" s="204"/>
      <c r="BK196" s="206"/>
    </row>
    <row r="197" spans="1:63" s="164" customFormat="1" ht="15.75" customHeight="1">
      <c r="A197" s="182" t="s">
        <v>416</v>
      </c>
      <c r="B197" s="183" t="s">
        <v>618</v>
      </c>
      <c r="C197" s="184"/>
      <c r="D197" s="184"/>
      <c r="E197" s="184"/>
      <c r="F197" s="184"/>
      <c r="G197" s="184"/>
      <c r="H197" s="184"/>
      <c r="I197" s="184"/>
      <c r="J197" s="184"/>
      <c r="K197" s="184"/>
      <c r="L197" s="193"/>
      <c r="M197" s="1003"/>
      <c r="N197" s="1002"/>
      <c r="O197" s="1002"/>
      <c r="P197" s="1002"/>
      <c r="Q197" s="1002"/>
      <c r="R197" s="1002"/>
      <c r="S197" s="1002"/>
      <c r="T197" s="1002"/>
      <c r="U197" s="1002"/>
      <c r="V197" s="1002"/>
      <c r="W197" s="1002"/>
      <c r="X197" s="1002"/>
      <c r="Y197" s="1002"/>
      <c r="Z197" s="1002"/>
      <c r="AA197" s="1002"/>
      <c r="AB197" s="1002"/>
      <c r="AC197" s="1002"/>
      <c r="AD197" s="1002"/>
      <c r="AE197" s="1002"/>
      <c r="AF197" s="1002"/>
      <c r="AG197" s="1002"/>
      <c r="AH197" s="1002"/>
      <c r="AI197" s="1002"/>
      <c r="AJ197" s="1002"/>
      <c r="AK197" s="1002"/>
      <c r="AL197" s="1002"/>
      <c r="AM197" s="1002"/>
      <c r="AN197" s="1002"/>
      <c r="AO197" s="1002"/>
      <c r="AP197" s="1002"/>
      <c r="AQ197" s="1002"/>
      <c r="AR197" s="1002"/>
      <c r="AS197" s="1002"/>
      <c r="AT197" s="1002"/>
      <c r="AU197" s="1002"/>
      <c r="AV197" s="1002"/>
      <c r="AW197" s="1002"/>
      <c r="AX197" s="1002"/>
      <c r="AY197" s="1002"/>
      <c r="AZ197" s="1002"/>
      <c r="BA197" s="1002"/>
      <c r="BB197" s="1002"/>
      <c r="BC197" s="1002"/>
      <c r="BD197" s="1002"/>
      <c r="BE197" s="204"/>
      <c r="BF197" s="205" t="s">
        <v>487</v>
      </c>
      <c r="BG197" s="204"/>
      <c r="BH197" s="204"/>
      <c r="BI197" s="204"/>
      <c r="BJ197" s="204"/>
      <c r="BK197" s="206"/>
    </row>
    <row r="198" spans="1:63" s="164" customFormat="1" ht="15.75" customHeight="1">
      <c r="A198" s="182" t="s">
        <v>416</v>
      </c>
      <c r="B198" s="183" t="s">
        <v>619</v>
      </c>
      <c r="C198" s="184"/>
      <c r="D198" s="184"/>
      <c r="E198" s="184"/>
      <c r="F198" s="184"/>
      <c r="G198" s="184"/>
      <c r="H198" s="184"/>
      <c r="I198" s="184"/>
      <c r="J198" s="184"/>
      <c r="K198" s="184"/>
      <c r="L198" s="193"/>
      <c r="M198" s="1003"/>
      <c r="N198" s="1002"/>
      <c r="O198" s="1002"/>
      <c r="P198" s="1002"/>
      <c r="Q198" s="1002"/>
      <c r="R198" s="1002"/>
      <c r="S198" s="1002"/>
      <c r="T198" s="1002"/>
      <c r="U198" s="1002"/>
      <c r="V198" s="1002"/>
      <c r="W198" s="1002"/>
      <c r="X198" s="1002"/>
      <c r="Y198" s="1002"/>
      <c r="Z198" s="1002"/>
      <c r="AA198" s="1002"/>
      <c r="AB198" s="1002"/>
      <c r="AC198" s="1002"/>
      <c r="AD198" s="1002"/>
      <c r="AE198" s="1002"/>
      <c r="AF198" s="1002"/>
      <c r="AG198" s="1002"/>
      <c r="AH198" s="1002"/>
      <c r="AI198" s="1002"/>
      <c r="AJ198" s="1002"/>
      <c r="AK198" s="1002"/>
      <c r="AL198" s="1002"/>
      <c r="AM198" s="1002"/>
      <c r="AN198" s="1002"/>
      <c r="AO198" s="1002"/>
      <c r="AP198" s="1002"/>
      <c r="AQ198" s="1002"/>
      <c r="AR198" s="1002"/>
      <c r="AS198" s="1002"/>
      <c r="AT198" s="1002"/>
      <c r="AU198" s="1002"/>
      <c r="AV198" s="1002"/>
      <c r="AW198" s="1002"/>
      <c r="AX198" s="1002"/>
      <c r="AY198" s="1002"/>
      <c r="AZ198" s="1002"/>
      <c r="BA198" s="1002"/>
      <c r="BB198" s="1002"/>
      <c r="BC198" s="1002"/>
      <c r="BD198" s="1002"/>
      <c r="BE198" s="204"/>
      <c r="BF198" s="205" t="s">
        <v>419</v>
      </c>
      <c r="BG198" s="204"/>
      <c r="BH198" s="204"/>
      <c r="BI198" s="204"/>
      <c r="BJ198" s="204"/>
      <c r="BK198" s="206"/>
    </row>
    <row r="199" spans="1:63" s="164" customFormat="1" ht="15.75" customHeight="1">
      <c r="A199" s="182" t="s">
        <v>416</v>
      </c>
      <c r="B199" s="183" t="s">
        <v>620</v>
      </c>
      <c r="C199" s="184"/>
      <c r="D199" s="184"/>
      <c r="E199" s="184"/>
      <c r="F199" s="184"/>
      <c r="G199" s="184"/>
      <c r="H199" s="184"/>
      <c r="I199" s="184"/>
      <c r="J199" s="184"/>
      <c r="K199" s="184"/>
      <c r="L199" s="193"/>
      <c r="M199" s="1003"/>
      <c r="N199" s="1002"/>
      <c r="O199" s="1002"/>
      <c r="P199" s="1002"/>
      <c r="Q199" s="1002"/>
      <c r="R199" s="1002"/>
      <c r="S199" s="1002"/>
      <c r="T199" s="1002"/>
      <c r="U199" s="1002"/>
      <c r="V199" s="1002"/>
      <c r="W199" s="1002"/>
      <c r="X199" s="1002"/>
      <c r="Y199" s="1002"/>
      <c r="Z199" s="1002"/>
      <c r="AA199" s="1002"/>
      <c r="AB199" s="1002"/>
      <c r="AC199" s="1002"/>
      <c r="AD199" s="1002"/>
      <c r="AE199" s="1002"/>
      <c r="AF199" s="1002"/>
      <c r="AG199" s="1002"/>
      <c r="AH199" s="1002"/>
      <c r="AI199" s="1002"/>
      <c r="AJ199" s="1002"/>
      <c r="AK199" s="1002"/>
      <c r="AL199" s="1002"/>
      <c r="AM199" s="1002"/>
      <c r="AN199" s="1002"/>
      <c r="AO199" s="1002"/>
      <c r="AP199" s="1002"/>
      <c r="AQ199" s="1002"/>
      <c r="AR199" s="1002"/>
      <c r="AS199" s="1002"/>
      <c r="AT199" s="1002"/>
      <c r="AU199" s="1002"/>
      <c r="AV199" s="1002"/>
      <c r="AW199" s="1002"/>
      <c r="AX199" s="1002"/>
      <c r="AY199" s="1002"/>
      <c r="AZ199" s="1002"/>
      <c r="BA199" s="1002"/>
      <c r="BB199" s="1002"/>
      <c r="BC199" s="1002"/>
      <c r="BD199" s="1002"/>
      <c r="BE199" s="205" t="s">
        <v>486</v>
      </c>
      <c r="BF199" s="205" t="s">
        <v>487</v>
      </c>
      <c r="BG199" s="204"/>
      <c r="BH199" s="204"/>
      <c r="BI199" s="204"/>
      <c r="BJ199" s="204"/>
      <c r="BK199" s="206"/>
    </row>
    <row r="200" spans="1:63" s="164" customFormat="1" ht="15.75" customHeight="1">
      <c r="A200" s="182" t="s">
        <v>416</v>
      </c>
      <c r="B200" s="183" t="s">
        <v>621</v>
      </c>
      <c r="C200" s="184"/>
      <c r="D200" s="184"/>
      <c r="E200" s="184"/>
      <c r="F200" s="184"/>
      <c r="G200" s="184"/>
      <c r="H200" s="184"/>
      <c r="I200" s="184"/>
      <c r="J200" s="184"/>
      <c r="K200" s="184"/>
      <c r="L200" s="193"/>
      <c r="M200" s="1003"/>
      <c r="N200" s="1002"/>
      <c r="O200" s="1002"/>
      <c r="P200" s="1002"/>
      <c r="Q200" s="1002"/>
      <c r="R200" s="1002"/>
      <c r="S200" s="1002"/>
      <c r="T200" s="1002"/>
      <c r="U200" s="1002"/>
      <c r="V200" s="1002"/>
      <c r="W200" s="1002"/>
      <c r="X200" s="1002"/>
      <c r="Y200" s="1002"/>
      <c r="Z200" s="1002"/>
      <c r="AA200" s="1002"/>
      <c r="AB200" s="1002"/>
      <c r="AC200" s="1002"/>
      <c r="AD200" s="1002"/>
      <c r="AE200" s="1002"/>
      <c r="AF200" s="1002"/>
      <c r="AG200" s="1002"/>
      <c r="AH200" s="1002"/>
      <c r="AI200" s="1002"/>
      <c r="AJ200" s="1002"/>
      <c r="AK200" s="1002"/>
      <c r="AL200" s="1002"/>
      <c r="AM200" s="1002"/>
      <c r="AN200" s="1002"/>
      <c r="AO200" s="1002"/>
      <c r="AP200" s="1002"/>
      <c r="AQ200" s="1002"/>
      <c r="AR200" s="1002"/>
      <c r="AS200" s="1002"/>
      <c r="AT200" s="1002"/>
      <c r="AU200" s="1002"/>
      <c r="AV200" s="1002"/>
      <c r="AW200" s="1002"/>
      <c r="AX200" s="1002"/>
      <c r="AY200" s="1002"/>
      <c r="AZ200" s="1002"/>
      <c r="BA200" s="1002"/>
      <c r="BB200" s="1002"/>
      <c r="BC200" s="1002"/>
      <c r="BD200" s="1002"/>
      <c r="BE200" s="204"/>
      <c r="BF200" s="205" t="s">
        <v>487</v>
      </c>
      <c r="BG200" s="204"/>
      <c r="BH200" s="204"/>
      <c r="BI200" s="204"/>
      <c r="BJ200" s="204"/>
      <c r="BK200" s="206"/>
    </row>
    <row r="201" spans="1:63" s="164" customFormat="1" ht="15.75" customHeight="1">
      <c r="A201" s="182" t="s">
        <v>416</v>
      </c>
      <c r="B201" s="183" t="s">
        <v>622</v>
      </c>
      <c r="C201" s="184"/>
      <c r="D201" s="184"/>
      <c r="E201" s="184"/>
      <c r="F201" s="184"/>
      <c r="G201" s="184"/>
      <c r="H201" s="184"/>
      <c r="I201" s="184"/>
      <c r="J201" s="184"/>
      <c r="K201" s="184"/>
      <c r="L201" s="193"/>
      <c r="M201" s="1003"/>
      <c r="N201" s="1002"/>
      <c r="O201" s="1002"/>
      <c r="P201" s="1002"/>
      <c r="Q201" s="1002"/>
      <c r="R201" s="1002"/>
      <c r="S201" s="1002"/>
      <c r="T201" s="1002"/>
      <c r="U201" s="1002"/>
      <c r="V201" s="1002"/>
      <c r="W201" s="1002"/>
      <c r="X201" s="1002"/>
      <c r="Y201" s="1002"/>
      <c r="Z201" s="1002"/>
      <c r="AA201" s="1002"/>
      <c r="AB201" s="1002"/>
      <c r="AC201" s="1002"/>
      <c r="AD201" s="1002"/>
      <c r="AE201" s="1002"/>
      <c r="AF201" s="1002"/>
      <c r="AG201" s="1002"/>
      <c r="AH201" s="1002"/>
      <c r="AI201" s="1002"/>
      <c r="AJ201" s="1002"/>
      <c r="AK201" s="1002"/>
      <c r="AL201" s="1002"/>
      <c r="AM201" s="1002"/>
      <c r="AN201" s="1002"/>
      <c r="AO201" s="1002"/>
      <c r="AP201" s="1002"/>
      <c r="AQ201" s="1002"/>
      <c r="AR201" s="1002"/>
      <c r="AS201" s="1002"/>
      <c r="AT201" s="1002"/>
      <c r="AU201" s="1002"/>
      <c r="AV201" s="1002"/>
      <c r="AW201" s="1002"/>
      <c r="AX201" s="1002"/>
      <c r="AY201" s="1002"/>
      <c r="AZ201" s="1002"/>
      <c r="BA201" s="1002"/>
      <c r="BB201" s="1002"/>
      <c r="BC201" s="1002"/>
      <c r="BD201" s="1002"/>
      <c r="BE201" s="204"/>
      <c r="BF201" s="205" t="s">
        <v>419</v>
      </c>
      <c r="BG201" s="204"/>
      <c r="BH201" s="204"/>
      <c r="BI201" s="204"/>
      <c r="BJ201" s="204"/>
      <c r="BK201" s="206"/>
    </row>
    <row r="202" spans="1:63" s="164" customFormat="1" ht="15.75" customHeight="1">
      <c r="A202" s="182" t="s">
        <v>416</v>
      </c>
      <c r="B202" s="183" t="s">
        <v>623</v>
      </c>
      <c r="C202" s="184"/>
      <c r="D202" s="184"/>
      <c r="E202" s="184"/>
      <c r="F202" s="184"/>
      <c r="G202" s="184"/>
      <c r="H202" s="184"/>
      <c r="I202" s="184"/>
      <c r="J202" s="184"/>
      <c r="K202" s="184"/>
      <c r="L202" s="193"/>
      <c r="M202" s="1003"/>
      <c r="N202" s="1002"/>
      <c r="O202" s="1002"/>
      <c r="P202" s="1002"/>
      <c r="Q202" s="1002"/>
      <c r="R202" s="1002"/>
      <c r="S202" s="1002"/>
      <c r="T202" s="1002"/>
      <c r="U202" s="1002"/>
      <c r="V202" s="1002"/>
      <c r="W202" s="1002"/>
      <c r="X202" s="1002"/>
      <c r="Y202" s="1002"/>
      <c r="Z202" s="1002"/>
      <c r="AA202" s="1002"/>
      <c r="AB202" s="1002"/>
      <c r="AC202" s="1002"/>
      <c r="AD202" s="1002"/>
      <c r="AE202" s="1002"/>
      <c r="AF202" s="1002"/>
      <c r="AG202" s="1002"/>
      <c r="AH202" s="1002"/>
      <c r="AI202" s="1002"/>
      <c r="AJ202" s="1002"/>
      <c r="AK202" s="1002"/>
      <c r="AL202" s="1002"/>
      <c r="AM202" s="1002"/>
      <c r="AN202" s="1002"/>
      <c r="AO202" s="1002"/>
      <c r="AP202" s="1002"/>
      <c r="AQ202" s="1002"/>
      <c r="AR202" s="1002"/>
      <c r="AS202" s="1002"/>
      <c r="AT202" s="1002"/>
      <c r="AU202" s="1002"/>
      <c r="AV202" s="1002"/>
      <c r="AW202" s="1002"/>
      <c r="AX202" s="1002"/>
      <c r="AY202" s="1002"/>
      <c r="AZ202" s="1002"/>
      <c r="BA202" s="1002"/>
      <c r="BB202" s="1002"/>
      <c r="BC202" s="1002"/>
      <c r="BD202" s="1002"/>
      <c r="BE202" s="205" t="s">
        <v>486</v>
      </c>
      <c r="BF202" s="205" t="s">
        <v>487</v>
      </c>
      <c r="BG202" s="204"/>
      <c r="BH202" s="204"/>
      <c r="BI202" s="204"/>
      <c r="BJ202" s="204"/>
      <c r="BK202" s="206"/>
    </row>
    <row r="203" spans="1:63" s="164" customFormat="1" ht="15.75" customHeight="1">
      <c r="A203" s="182" t="s">
        <v>416</v>
      </c>
      <c r="B203" s="183" t="s">
        <v>624</v>
      </c>
      <c r="C203" s="184"/>
      <c r="D203" s="184"/>
      <c r="E203" s="184"/>
      <c r="F203" s="184"/>
      <c r="G203" s="184"/>
      <c r="H203" s="184"/>
      <c r="I203" s="184"/>
      <c r="J203" s="184"/>
      <c r="K203" s="184"/>
      <c r="L203" s="193"/>
      <c r="M203" s="1003"/>
      <c r="N203" s="1002"/>
      <c r="O203" s="1002"/>
      <c r="P203" s="1002"/>
      <c r="Q203" s="1002"/>
      <c r="R203" s="1002"/>
      <c r="S203" s="1002"/>
      <c r="T203" s="1002"/>
      <c r="U203" s="1002"/>
      <c r="V203" s="1002"/>
      <c r="W203" s="1002"/>
      <c r="X203" s="1002"/>
      <c r="Y203" s="1002"/>
      <c r="Z203" s="1002"/>
      <c r="AA203" s="1002"/>
      <c r="AB203" s="1002"/>
      <c r="AC203" s="1002"/>
      <c r="AD203" s="1002"/>
      <c r="AE203" s="1002"/>
      <c r="AF203" s="1002"/>
      <c r="AG203" s="1002"/>
      <c r="AH203" s="1002"/>
      <c r="AI203" s="1002"/>
      <c r="AJ203" s="1002"/>
      <c r="AK203" s="1002"/>
      <c r="AL203" s="1002"/>
      <c r="AM203" s="1002"/>
      <c r="AN203" s="1002"/>
      <c r="AO203" s="1002"/>
      <c r="AP203" s="1002"/>
      <c r="AQ203" s="1002"/>
      <c r="AR203" s="1002"/>
      <c r="AS203" s="1002"/>
      <c r="AT203" s="1002"/>
      <c r="AU203" s="1002"/>
      <c r="AV203" s="1002"/>
      <c r="AW203" s="1002"/>
      <c r="AX203" s="1002"/>
      <c r="AY203" s="1002"/>
      <c r="AZ203" s="1002"/>
      <c r="BA203" s="1002"/>
      <c r="BB203" s="1002"/>
      <c r="BC203" s="1002"/>
      <c r="BD203" s="1002"/>
      <c r="BE203" s="204"/>
      <c r="BF203" s="205" t="s">
        <v>487</v>
      </c>
      <c r="BG203" s="204"/>
      <c r="BH203" s="204"/>
      <c r="BI203" s="204"/>
      <c r="BJ203" s="204"/>
      <c r="BK203" s="206"/>
    </row>
    <row r="204" spans="1:63" s="164" customFormat="1" ht="15.75" customHeight="1">
      <c r="A204" s="182" t="s">
        <v>416</v>
      </c>
      <c r="B204" s="183" t="s">
        <v>625</v>
      </c>
      <c r="C204" s="184"/>
      <c r="D204" s="184"/>
      <c r="E204" s="184"/>
      <c r="F204" s="184"/>
      <c r="G204" s="184"/>
      <c r="H204" s="184"/>
      <c r="I204" s="184"/>
      <c r="J204" s="184"/>
      <c r="K204" s="184"/>
      <c r="L204" s="193"/>
      <c r="M204" s="1003"/>
      <c r="N204" s="1002"/>
      <c r="O204" s="1002"/>
      <c r="P204" s="1002"/>
      <c r="Q204" s="1002"/>
      <c r="R204" s="1002"/>
      <c r="S204" s="1002"/>
      <c r="T204" s="1002"/>
      <c r="U204" s="1002"/>
      <c r="V204" s="1002"/>
      <c r="W204" s="1002"/>
      <c r="X204" s="1002"/>
      <c r="Y204" s="1002"/>
      <c r="Z204" s="1002"/>
      <c r="AA204" s="1002"/>
      <c r="AB204" s="1002"/>
      <c r="AC204" s="1002"/>
      <c r="AD204" s="1002"/>
      <c r="AE204" s="1002"/>
      <c r="AF204" s="1002"/>
      <c r="AG204" s="1002"/>
      <c r="AH204" s="1002"/>
      <c r="AI204" s="1002"/>
      <c r="AJ204" s="1002"/>
      <c r="AK204" s="1002"/>
      <c r="AL204" s="1002"/>
      <c r="AM204" s="1002"/>
      <c r="AN204" s="1002"/>
      <c r="AO204" s="1002"/>
      <c r="AP204" s="1002"/>
      <c r="AQ204" s="1002"/>
      <c r="AR204" s="1002"/>
      <c r="AS204" s="1002"/>
      <c r="AT204" s="1002"/>
      <c r="AU204" s="1002"/>
      <c r="AV204" s="1002"/>
      <c r="AW204" s="1002"/>
      <c r="AX204" s="1002"/>
      <c r="AY204" s="1002"/>
      <c r="AZ204" s="1002"/>
      <c r="BA204" s="1002"/>
      <c r="BB204" s="1002"/>
      <c r="BC204" s="1002"/>
      <c r="BD204" s="1002"/>
      <c r="BE204" s="204"/>
      <c r="BF204" s="205" t="s">
        <v>419</v>
      </c>
      <c r="BG204" s="204"/>
      <c r="BH204" s="204"/>
      <c r="BI204" s="204"/>
      <c r="BJ204" s="204"/>
      <c r="BK204" s="206"/>
    </row>
    <row r="205" spans="1:63" s="164" customFormat="1" ht="15.75" customHeight="1">
      <c r="A205" s="182" t="s">
        <v>416</v>
      </c>
      <c r="B205" s="183" t="s">
        <v>626</v>
      </c>
      <c r="C205" s="184"/>
      <c r="D205" s="184"/>
      <c r="E205" s="184"/>
      <c r="F205" s="184"/>
      <c r="G205" s="184"/>
      <c r="H205" s="184"/>
      <c r="I205" s="184"/>
      <c r="J205" s="184"/>
      <c r="K205" s="184"/>
      <c r="L205" s="193"/>
      <c r="M205" s="1003"/>
      <c r="N205" s="1002"/>
      <c r="O205" s="1002"/>
      <c r="P205" s="1002"/>
      <c r="Q205" s="1002"/>
      <c r="R205" s="1002"/>
      <c r="S205" s="1002"/>
      <c r="T205" s="1002"/>
      <c r="U205" s="1002"/>
      <c r="V205" s="1002"/>
      <c r="W205" s="1002"/>
      <c r="X205" s="1002"/>
      <c r="Y205" s="1002"/>
      <c r="Z205" s="1002"/>
      <c r="AA205" s="1002"/>
      <c r="AB205" s="1002"/>
      <c r="AC205" s="1002"/>
      <c r="AD205" s="1002"/>
      <c r="AE205" s="1002"/>
      <c r="AF205" s="1002"/>
      <c r="AG205" s="1002"/>
      <c r="AH205" s="1002"/>
      <c r="AI205" s="1002"/>
      <c r="AJ205" s="1002"/>
      <c r="AK205" s="1002"/>
      <c r="AL205" s="1002"/>
      <c r="AM205" s="1002"/>
      <c r="AN205" s="1002"/>
      <c r="AO205" s="1002"/>
      <c r="AP205" s="1002"/>
      <c r="AQ205" s="1002"/>
      <c r="AR205" s="1002"/>
      <c r="AS205" s="1002"/>
      <c r="AT205" s="1002"/>
      <c r="AU205" s="1002"/>
      <c r="AV205" s="1002"/>
      <c r="AW205" s="1002"/>
      <c r="AX205" s="1002"/>
      <c r="AY205" s="1002"/>
      <c r="AZ205" s="1002"/>
      <c r="BA205" s="1002"/>
      <c r="BB205" s="1002"/>
      <c r="BC205" s="1002"/>
      <c r="BD205" s="1002"/>
      <c r="BE205" s="205" t="s">
        <v>486</v>
      </c>
      <c r="BF205" s="205" t="s">
        <v>487</v>
      </c>
      <c r="BG205" s="204"/>
      <c r="BH205" s="204"/>
      <c r="BI205" s="204"/>
      <c r="BJ205" s="204"/>
      <c r="BK205" s="206"/>
    </row>
    <row r="206" spans="1:63" s="164" customFormat="1" ht="15.75" customHeight="1">
      <c r="A206" s="182" t="s">
        <v>416</v>
      </c>
      <c r="B206" s="183" t="s">
        <v>627</v>
      </c>
      <c r="C206" s="184"/>
      <c r="D206" s="184"/>
      <c r="E206" s="184"/>
      <c r="F206" s="184"/>
      <c r="G206" s="184"/>
      <c r="H206" s="184"/>
      <c r="I206" s="184"/>
      <c r="J206" s="184"/>
      <c r="K206" s="184"/>
      <c r="L206" s="193"/>
      <c r="M206" s="1003"/>
      <c r="N206" s="1002"/>
      <c r="O206" s="1002"/>
      <c r="P206" s="1002"/>
      <c r="Q206" s="1002"/>
      <c r="R206" s="1002"/>
      <c r="S206" s="1002"/>
      <c r="T206" s="1002"/>
      <c r="U206" s="1002"/>
      <c r="V206" s="1002"/>
      <c r="W206" s="1002"/>
      <c r="X206" s="1002"/>
      <c r="Y206" s="1002"/>
      <c r="Z206" s="1002"/>
      <c r="AA206" s="1002"/>
      <c r="AB206" s="1002"/>
      <c r="AC206" s="1002"/>
      <c r="AD206" s="1002"/>
      <c r="AE206" s="1002"/>
      <c r="AF206" s="1002"/>
      <c r="AG206" s="1002"/>
      <c r="AH206" s="1002"/>
      <c r="AI206" s="1002"/>
      <c r="AJ206" s="1002"/>
      <c r="AK206" s="1002"/>
      <c r="AL206" s="1002"/>
      <c r="AM206" s="1002"/>
      <c r="AN206" s="1002"/>
      <c r="AO206" s="1002"/>
      <c r="AP206" s="1002"/>
      <c r="AQ206" s="1002"/>
      <c r="AR206" s="1002"/>
      <c r="AS206" s="1002"/>
      <c r="AT206" s="1002"/>
      <c r="AU206" s="1002"/>
      <c r="AV206" s="1002"/>
      <c r="AW206" s="1002"/>
      <c r="AX206" s="1002"/>
      <c r="AY206" s="1002"/>
      <c r="AZ206" s="1002"/>
      <c r="BA206" s="1002"/>
      <c r="BB206" s="1002"/>
      <c r="BC206" s="1002"/>
      <c r="BD206" s="1002"/>
      <c r="BE206" s="204"/>
      <c r="BF206" s="205" t="s">
        <v>487</v>
      </c>
      <c r="BG206" s="204"/>
      <c r="BH206" s="204"/>
      <c r="BI206" s="204"/>
      <c r="BJ206" s="204"/>
      <c r="BK206" s="206"/>
    </row>
    <row r="207" spans="1:63" s="164" customFormat="1" ht="15.75" customHeight="1">
      <c r="A207" s="182" t="s">
        <v>416</v>
      </c>
      <c r="B207" s="183" t="s">
        <v>628</v>
      </c>
      <c r="C207" s="184"/>
      <c r="D207" s="184"/>
      <c r="E207" s="184"/>
      <c r="F207" s="184"/>
      <c r="G207" s="184"/>
      <c r="H207" s="184"/>
      <c r="I207" s="184"/>
      <c r="J207" s="184"/>
      <c r="K207" s="184"/>
      <c r="L207" s="193"/>
      <c r="M207" s="1003"/>
      <c r="N207" s="1002"/>
      <c r="O207" s="1002"/>
      <c r="P207" s="1002"/>
      <c r="Q207" s="1002"/>
      <c r="R207" s="1002"/>
      <c r="S207" s="1002"/>
      <c r="T207" s="1002"/>
      <c r="U207" s="1002"/>
      <c r="V207" s="1002"/>
      <c r="W207" s="1002"/>
      <c r="X207" s="1002"/>
      <c r="Y207" s="1002"/>
      <c r="Z207" s="1002"/>
      <c r="AA207" s="1002"/>
      <c r="AB207" s="1002"/>
      <c r="AC207" s="1002"/>
      <c r="AD207" s="1002"/>
      <c r="AE207" s="1002"/>
      <c r="AF207" s="1002"/>
      <c r="AG207" s="1002"/>
      <c r="AH207" s="1002"/>
      <c r="AI207" s="1002"/>
      <c r="AJ207" s="1002"/>
      <c r="AK207" s="1002"/>
      <c r="AL207" s="1002"/>
      <c r="AM207" s="1002"/>
      <c r="AN207" s="1002"/>
      <c r="AO207" s="1002"/>
      <c r="AP207" s="1002"/>
      <c r="AQ207" s="1002"/>
      <c r="AR207" s="1002"/>
      <c r="AS207" s="1002"/>
      <c r="AT207" s="1002"/>
      <c r="AU207" s="1002"/>
      <c r="AV207" s="1002"/>
      <c r="AW207" s="1002"/>
      <c r="AX207" s="1002"/>
      <c r="AY207" s="1002"/>
      <c r="AZ207" s="1002"/>
      <c r="BA207" s="1002"/>
      <c r="BB207" s="1002"/>
      <c r="BC207" s="1002"/>
      <c r="BD207" s="1002"/>
      <c r="BE207" s="204"/>
      <c r="BF207" s="205" t="s">
        <v>419</v>
      </c>
      <c r="BG207" s="204"/>
      <c r="BH207" s="204"/>
      <c r="BI207" s="204"/>
      <c r="BJ207" s="204"/>
      <c r="BK207" s="206"/>
    </row>
    <row r="208" spans="1:63" s="164" customFormat="1" ht="15.75" customHeight="1">
      <c r="A208" s="182" t="s">
        <v>416</v>
      </c>
      <c r="B208" s="183" t="s">
        <v>629</v>
      </c>
      <c r="C208" s="184"/>
      <c r="D208" s="184"/>
      <c r="E208" s="184"/>
      <c r="F208" s="184"/>
      <c r="G208" s="184"/>
      <c r="H208" s="184"/>
      <c r="I208" s="184"/>
      <c r="J208" s="184"/>
      <c r="K208" s="184"/>
      <c r="L208" s="193"/>
      <c r="M208" s="1003"/>
      <c r="N208" s="1002"/>
      <c r="O208" s="1002"/>
      <c r="P208" s="1002"/>
      <c r="Q208" s="1002"/>
      <c r="R208" s="1002"/>
      <c r="S208" s="1002"/>
      <c r="T208" s="1002"/>
      <c r="U208" s="1002"/>
      <c r="V208" s="1002"/>
      <c r="W208" s="1002"/>
      <c r="X208" s="1002"/>
      <c r="Y208" s="1002"/>
      <c r="Z208" s="1002"/>
      <c r="AA208" s="1002"/>
      <c r="AB208" s="1002"/>
      <c r="AC208" s="1002"/>
      <c r="AD208" s="1002"/>
      <c r="AE208" s="1002"/>
      <c r="AF208" s="1002"/>
      <c r="AG208" s="1002"/>
      <c r="AH208" s="1002"/>
      <c r="AI208" s="1002"/>
      <c r="AJ208" s="1002"/>
      <c r="AK208" s="1002"/>
      <c r="AL208" s="1002"/>
      <c r="AM208" s="1002"/>
      <c r="AN208" s="1002"/>
      <c r="AO208" s="1002"/>
      <c r="AP208" s="1002"/>
      <c r="AQ208" s="1002"/>
      <c r="AR208" s="1002"/>
      <c r="AS208" s="1002"/>
      <c r="AT208" s="1002"/>
      <c r="AU208" s="1002"/>
      <c r="AV208" s="1002"/>
      <c r="AW208" s="1002"/>
      <c r="AX208" s="1002"/>
      <c r="AY208" s="1002"/>
      <c r="AZ208" s="1002"/>
      <c r="BA208" s="1002"/>
      <c r="BB208" s="1002"/>
      <c r="BC208" s="1002"/>
      <c r="BD208" s="1002"/>
      <c r="BE208" s="205" t="s">
        <v>486</v>
      </c>
      <c r="BF208" s="205" t="s">
        <v>487</v>
      </c>
      <c r="BG208" s="204"/>
      <c r="BH208" s="204"/>
      <c r="BI208" s="204"/>
      <c r="BJ208" s="204"/>
      <c r="BK208" s="206"/>
    </row>
    <row r="209" spans="1:63" s="164" customFormat="1" ht="15.75" customHeight="1">
      <c r="A209" s="182" t="s">
        <v>416</v>
      </c>
      <c r="B209" s="183" t="s">
        <v>630</v>
      </c>
      <c r="C209" s="184"/>
      <c r="D209" s="184"/>
      <c r="E209" s="184"/>
      <c r="F209" s="184"/>
      <c r="G209" s="184"/>
      <c r="H209" s="184"/>
      <c r="I209" s="184"/>
      <c r="J209" s="184"/>
      <c r="K209" s="184"/>
      <c r="L209" s="193"/>
      <c r="M209" s="1003"/>
      <c r="N209" s="1002"/>
      <c r="O209" s="1002"/>
      <c r="P209" s="1002"/>
      <c r="Q209" s="1002"/>
      <c r="R209" s="1002"/>
      <c r="S209" s="1002"/>
      <c r="T209" s="1002"/>
      <c r="U209" s="1002"/>
      <c r="V209" s="1002"/>
      <c r="W209" s="1002"/>
      <c r="X209" s="1002"/>
      <c r="Y209" s="1002"/>
      <c r="Z209" s="1002"/>
      <c r="AA209" s="1002"/>
      <c r="AB209" s="1002"/>
      <c r="AC209" s="1002"/>
      <c r="AD209" s="1002"/>
      <c r="AE209" s="1002"/>
      <c r="AF209" s="1002"/>
      <c r="AG209" s="1002"/>
      <c r="AH209" s="1002"/>
      <c r="AI209" s="1002"/>
      <c r="AJ209" s="1002"/>
      <c r="AK209" s="1002"/>
      <c r="AL209" s="1002"/>
      <c r="AM209" s="1002"/>
      <c r="AN209" s="1002"/>
      <c r="AO209" s="1002"/>
      <c r="AP209" s="1002"/>
      <c r="AQ209" s="1002"/>
      <c r="AR209" s="1002"/>
      <c r="AS209" s="1002"/>
      <c r="AT209" s="1002"/>
      <c r="AU209" s="1002"/>
      <c r="AV209" s="1002"/>
      <c r="AW209" s="1002"/>
      <c r="AX209" s="1002"/>
      <c r="AY209" s="1002"/>
      <c r="AZ209" s="1002"/>
      <c r="BA209" s="1002"/>
      <c r="BB209" s="1002"/>
      <c r="BC209" s="1002"/>
      <c r="BD209" s="1002"/>
      <c r="BE209" s="204"/>
      <c r="BF209" s="205" t="s">
        <v>487</v>
      </c>
      <c r="BG209" s="204"/>
      <c r="BH209" s="204"/>
      <c r="BI209" s="204"/>
      <c r="BJ209" s="204"/>
      <c r="BK209" s="206"/>
    </row>
    <row r="210" spans="1:63" s="164" customFormat="1" ht="15.75" customHeight="1">
      <c r="A210" s="182" t="s">
        <v>416</v>
      </c>
      <c r="B210" s="183" t="s">
        <v>631</v>
      </c>
      <c r="C210" s="184"/>
      <c r="D210" s="184"/>
      <c r="E210" s="184"/>
      <c r="F210" s="184"/>
      <c r="G210" s="184"/>
      <c r="H210" s="184"/>
      <c r="I210" s="184"/>
      <c r="J210" s="184"/>
      <c r="K210" s="184"/>
      <c r="L210" s="193"/>
      <c r="M210" s="1003"/>
      <c r="N210" s="1002"/>
      <c r="O210" s="1002"/>
      <c r="P210" s="1002"/>
      <c r="Q210" s="1002"/>
      <c r="R210" s="1002"/>
      <c r="S210" s="1002"/>
      <c r="T210" s="1002"/>
      <c r="U210" s="1002"/>
      <c r="V210" s="1002"/>
      <c r="W210" s="1002"/>
      <c r="X210" s="1002"/>
      <c r="Y210" s="1002"/>
      <c r="Z210" s="1002"/>
      <c r="AA210" s="1002"/>
      <c r="AB210" s="1002"/>
      <c r="AC210" s="1002"/>
      <c r="AD210" s="1002"/>
      <c r="AE210" s="1002"/>
      <c r="AF210" s="1002"/>
      <c r="AG210" s="1002"/>
      <c r="AH210" s="1002"/>
      <c r="AI210" s="1002"/>
      <c r="AJ210" s="1002"/>
      <c r="AK210" s="1002"/>
      <c r="AL210" s="1002"/>
      <c r="AM210" s="1002"/>
      <c r="AN210" s="1002"/>
      <c r="AO210" s="1002"/>
      <c r="AP210" s="1002"/>
      <c r="AQ210" s="1002"/>
      <c r="AR210" s="1002"/>
      <c r="AS210" s="1002"/>
      <c r="AT210" s="1002"/>
      <c r="AU210" s="1002"/>
      <c r="AV210" s="1002"/>
      <c r="AW210" s="1002"/>
      <c r="AX210" s="1002"/>
      <c r="AY210" s="1002"/>
      <c r="AZ210" s="1002"/>
      <c r="BA210" s="1002"/>
      <c r="BB210" s="1002"/>
      <c r="BC210" s="1002"/>
      <c r="BD210" s="1002"/>
      <c r="BE210" s="204"/>
      <c r="BF210" s="205" t="s">
        <v>419</v>
      </c>
      <c r="BG210" s="204"/>
      <c r="BH210" s="204"/>
      <c r="BI210" s="204"/>
      <c r="BJ210" s="204"/>
      <c r="BK210" s="206"/>
    </row>
    <row r="211" spans="1:63" s="164" customFormat="1" ht="15.75" customHeight="1">
      <c r="A211" s="182" t="s">
        <v>416</v>
      </c>
      <c r="B211" s="183" t="s">
        <v>632</v>
      </c>
      <c r="C211" s="184"/>
      <c r="D211" s="184"/>
      <c r="E211" s="184"/>
      <c r="F211" s="184"/>
      <c r="G211" s="184"/>
      <c r="H211" s="184"/>
      <c r="I211" s="184"/>
      <c r="J211" s="184"/>
      <c r="K211" s="184"/>
      <c r="L211" s="193"/>
      <c r="M211" s="1003"/>
      <c r="N211" s="1002"/>
      <c r="O211" s="1002"/>
      <c r="P211" s="1002"/>
      <c r="Q211" s="1002"/>
      <c r="R211" s="1002"/>
      <c r="S211" s="1002"/>
      <c r="T211" s="1002"/>
      <c r="U211" s="1002"/>
      <c r="V211" s="1002"/>
      <c r="W211" s="1002"/>
      <c r="X211" s="1002"/>
      <c r="Y211" s="1002"/>
      <c r="Z211" s="1002"/>
      <c r="AA211" s="1002"/>
      <c r="AB211" s="1002"/>
      <c r="AC211" s="1002"/>
      <c r="AD211" s="1002"/>
      <c r="AE211" s="1002"/>
      <c r="AF211" s="1002"/>
      <c r="AG211" s="1002"/>
      <c r="AH211" s="1002"/>
      <c r="AI211" s="1002"/>
      <c r="AJ211" s="1002"/>
      <c r="AK211" s="1002"/>
      <c r="AL211" s="1002"/>
      <c r="AM211" s="1002"/>
      <c r="AN211" s="1002"/>
      <c r="AO211" s="1002"/>
      <c r="AP211" s="1002"/>
      <c r="AQ211" s="1002"/>
      <c r="AR211" s="1002"/>
      <c r="AS211" s="1002"/>
      <c r="AT211" s="1002"/>
      <c r="AU211" s="1002"/>
      <c r="AV211" s="1002"/>
      <c r="AW211" s="1002"/>
      <c r="AX211" s="1002"/>
      <c r="AY211" s="1002"/>
      <c r="AZ211" s="1002"/>
      <c r="BA211" s="1002"/>
      <c r="BB211" s="1002"/>
      <c r="BC211" s="1002"/>
      <c r="BD211" s="1002"/>
      <c r="BE211" s="205" t="s">
        <v>486</v>
      </c>
      <c r="BF211" s="205" t="s">
        <v>487</v>
      </c>
      <c r="BG211" s="204"/>
      <c r="BH211" s="204"/>
      <c r="BI211" s="204"/>
      <c r="BJ211" s="204"/>
      <c r="BK211" s="206"/>
    </row>
    <row r="212" spans="1:63" s="164" customFormat="1" ht="15.75" customHeight="1">
      <c r="A212" s="182" t="s">
        <v>416</v>
      </c>
      <c r="B212" s="183" t="s">
        <v>633</v>
      </c>
      <c r="C212" s="184"/>
      <c r="D212" s="184"/>
      <c r="E212" s="184"/>
      <c r="F212" s="184"/>
      <c r="G212" s="184"/>
      <c r="H212" s="184"/>
      <c r="I212" s="184"/>
      <c r="J212" s="184"/>
      <c r="K212" s="184"/>
      <c r="L212" s="193"/>
      <c r="M212" s="1003"/>
      <c r="N212" s="1002"/>
      <c r="O212" s="1002"/>
      <c r="P212" s="1002"/>
      <c r="Q212" s="1002"/>
      <c r="R212" s="1002"/>
      <c r="S212" s="1002"/>
      <c r="T212" s="1002"/>
      <c r="U212" s="1002"/>
      <c r="V212" s="1002"/>
      <c r="W212" s="1002"/>
      <c r="X212" s="1002"/>
      <c r="Y212" s="1002"/>
      <c r="Z212" s="1002"/>
      <c r="AA212" s="1002"/>
      <c r="AB212" s="1002"/>
      <c r="AC212" s="1002"/>
      <c r="AD212" s="1002"/>
      <c r="AE212" s="1002"/>
      <c r="AF212" s="1002"/>
      <c r="AG212" s="1002"/>
      <c r="AH212" s="1002"/>
      <c r="AI212" s="1002"/>
      <c r="AJ212" s="1002"/>
      <c r="AK212" s="1002"/>
      <c r="AL212" s="1002"/>
      <c r="AM212" s="1002"/>
      <c r="AN212" s="1002"/>
      <c r="AO212" s="1002"/>
      <c r="AP212" s="1002"/>
      <c r="AQ212" s="1002"/>
      <c r="AR212" s="1002"/>
      <c r="AS212" s="1002"/>
      <c r="AT212" s="1002"/>
      <c r="AU212" s="1002"/>
      <c r="AV212" s="1002"/>
      <c r="AW212" s="1002"/>
      <c r="AX212" s="1002"/>
      <c r="AY212" s="1002"/>
      <c r="AZ212" s="1002"/>
      <c r="BA212" s="1002"/>
      <c r="BB212" s="1002"/>
      <c r="BC212" s="1002"/>
      <c r="BD212" s="1002"/>
      <c r="BE212" s="204"/>
      <c r="BF212" s="205" t="s">
        <v>487</v>
      </c>
      <c r="BG212" s="204"/>
      <c r="BH212" s="204"/>
      <c r="BI212" s="204"/>
      <c r="BJ212" s="204"/>
      <c r="BK212" s="206"/>
    </row>
    <row r="213" spans="1:63" s="164" customFormat="1" ht="15.75" customHeight="1">
      <c r="A213" s="182" t="s">
        <v>416</v>
      </c>
      <c r="B213" s="183" t="s">
        <v>634</v>
      </c>
      <c r="C213" s="184"/>
      <c r="D213" s="184"/>
      <c r="E213" s="184"/>
      <c r="F213" s="184"/>
      <c r="G213" s="184"/>
      <c r="H213" s="184"/>
      <c r="I213" s="184"/>
      <c r="J213" s="184"/>
      <c r="K213" s="184"/>
      <c r="L213" s="193"/>
      <c r="M213" s="1003"/>
      <c r="N213" s="1002"/>
      <c r="O213" s="1002"/>
      <c r="P213" s="1002"/>
      <c r="Q213" s="1002"/>
      <c r="R213" s="1002"/>
      <c r="S213" s="1002"/>
      <c r="T213" s="1002"/>
      <c r="U213" s="1002"/>
      <c r="V213" s="1002"/>
      <c r="W213" s="1002"/>
      <c r="X213" s="1002"/>
      <c r="Y213" s="1002"/>
      <c r="Z213" s="1002"/>
      <c r="AA213" s="1002"/>
      <c r="AB213" s="1002"/>
      <c r="AC213" s="1002"/>
      <c r="AD213" s="1002"/>
      <c r="AE213" s="1002"/>
      <c r="AF213" s="1002"/>
      <c r="AG213" s="1002"/>
      <c r="AH213" s="1002"/>
      <c r="AI213" s="1002"/>
      <c r="AJ213" s="1002"/>
      <c r="AK213" s="1002"/>
      <c r="AL213" s="1002"/>
      <c r="AM213" s="1002"/>
      <c r="AN213" s="1002"/>
      <c r="AO213" s="1002"/>
      <c r="AP213" s="1002"/>
      <c r="AQ213" s="1002"/>
      <c r="AR213" s="1002"/>
      <c r="AS213" s="1002"/>
      <c r="AT213" s="1002"/>
      <c r="AU213" s="1002"/>
      <c r="AV213" s="1002"/>
      <c r="AW213" s="1002"/>
      <c r="AX213" s="1002"/>
      <c r="AY213" s="1002"/>
      <c r="AZ213" s="1002"/>
      <c r="BA213" s="1002"/>
      <c r="BB213" s="1002"/>
      <c r="BC213" s="1002"/>
      <c r="BD213" s="1002"/>
      <c r="BE213" s="204"/>
      <c r="BF213" s="205" t="s">
        <v>419</v>
      </c>
      <c r="BG213" s="204"/>
      <c r="BH213" s="204"/>
      <c r="BI213" s="204"/>
      <c r="BJ213" s="204"/>
      <c r="BK213" s="206"/>
    </row>
    <row r="214" spans="1:63" s="164" customFormat="1" ht="15.75" customHeight="1">
      <c r="A214" s="182" t="s">
        <v>416</v>
      </c>
      <c r="B214" s="183" t="s">
        <v>635</v>
      </c>
      <c r="C214" s="184"/>
      <c r="D214" s="184"/>
      <c r="E214" s="184"/>
      <c r="F214" s="184"/>
      <c r="G214" s="184"/>
      <c r="H214" s="184"/>
      <c r="I214" s="184"/>
      <c r="J214" s="184"/>
      <c r="K214" s="184"/>
      <c r="L214" s="193"/>
      <c r="M214" s="1003"/>
      <c r="N214" s="1002"/>
      <c r="O214" s="1002"/>
      <c r="P214" s="1002"/>
      <c r="Q214" s="1002"/>
      <c r="R214" s="1002"/>
      <c r="S214" s="1002"/>
      <c r="T214" s="1002"/>
      <c r="U214" s="1002"/>
      <c r="V214" s="1002"/>
      <c r="W214" s="1002"/>
      <c r="X214" s="1002"/>
      <c r="Y214" s="1002"/>
      <c r="Z214" s="1002"/>
      <c r="AA214" s="1002"/>
      <c r="AB214" s="1002"/>
      <c r="AC214" s="1002"/>
      <c r="AD214" s="1002"/>
      <c r="AE214" s="1002"/>
      <c r="AF214" s="1002"/>
      <c r="AG214" s="1002"/>
      <c r="AH214" s="1002"/>
      <c r="AI214" s="1002"/>
      <c r="AJ214" s="1002"/>
      <c r="AK214" s="1002"/>
      <c r="AL214" s="1002"/>
      <c r="AM214" s="1002"/>
      <c r="AN214" s="1002"/>
      <c r="AO214" s="1002"/>
      <c r="AP214" s="1002"/>
      <c r="AQ214" s="1002"/>
      <c r="AR214" s="1002"/>
      <c r="AS214" s="1002"/>
      <c r="AT214" s="1002"/>
      <c r="AU214" s="1002"/>
      <c r="AV214" s="1002"/>
      <c r="AW214" s="1002"/>
      <c r="AX214" s="1002"/>
      <c r="AY214" s="1002"/>
      <c r="AZ214" s="1002"/>
      <c r="BA214" s="1002"/>
      <c r="BB214" s="1002"/>
      <c r="BC214" s="1002"/>
      <c r="BD214" s="1002"/>
      <c r="BE214" s="205" t="s">
        <v>486</v>
      </c>
      <c r="BF214" s="205" t="s">
        <v>487</v>
      </c>
      <c r="BG214" s="204"/>
      <c r="BH214" s="204"/>
      <c r="BI214" s="204"/>
      <c r="BJ214" s="204"/>
      <c r="BK214" s="206"/>
    </row>
    <row r="215" spans="1:63" s="164" customFormat="1" ht="15.75" customHeight="1">
      <c r="A215" s="182" t="s">
        <v>416</v>
      </c>
      <c r="B215" s="183" t="s">
        <v>636</v>
      </c>
      <c r="C215" s="184"/>
      <c r="D215" s="184"/>
      <c r="E215" s="184"/>
      <c r="F215" s="184"/>
      <c r="G215" s="184"/>
      <c r="H215" s="184"/>
      <c r="I215" s="184"/>
      <c r="J215" s="184"/>
      <c r="K215" s="184"/>
      <c r="L215" s="193"/>
      <c r="M215" s="1003"/>
      <c r="N215" s="1002"/>
      <c r="O215" s="1002"/>
      <c r="P215" s="1002"/>
      <c r="Q215" s="1002"/>
      <c r="R215" s="1002"/>
      <c r="S215" s="1002"/>
      <c r="T215" s="1002"/>
      <c r="U215" s="1002"/>
      <c r="V215" s="1002"/>
      <c r="W215" s="1002"/>
      <c r="X215" s="1002"/>
      <c r="Y215" s="1002"/>
      <c r="Z215" s="1002"/>
      <c r="AA215" s="1002"/>
      <c r="AB215" s="1002"/>
      <c r="AC215" s="1002"/>
      <c r="AD215" s="1002"/>
      <c r="AE215" s="1002"/>
      <c r="AF215" s="1002"/>
      <c r="AG215" s="1002"/>
      <c r="AH215" s="1002"/>
      <c r="AI215" s="1002"/>
      <c r="AJ215" s="1002"/>
      <c r="AK215" s="1002"/>
      <c r="AL215" s="1002"/>
      <c r="AM215" s="1002"/>
      <c r="AN215" s="1002"/>
      <c r="AO215" s="1002"/>
      <c r="AP215" s="1002"/>
      <c r="AQ215" s="1002"/>
      <c r="AR215" s="1002"/>
      <c r="AS215" s="1002"/>
      <c r="AT215" s="1002"/>
      <c r="AU215" s="1002"/>
      <c r="AV215" s="1002"/>
      <c r="AW215" s="1002"/>
      <c r="AX215" s="1002"/>
      <c r="AY215" s="1002"/>
      <c r="AZ215" s="1002"/>
      <c r="BA215" s="1002"/>
      <c r="BB215" s="1002"/>
      <c r="BC215" s="1002"/>
      <c r="BD215" s="1002"/>
      <c r="BE215" s="204"/>
      <c r="BF215" s="205" t="s">
        <v>487</v>
      </c>
      <c r="BG215" s="204"/>
      <c r="BH215" s="204"/>
      <c r="BI215" s="204"/>
      <c r="BJ215" s="204"/>
      <c r="BK215" s="206"/>
    </row>
    <row r="216" spans="1:63" s="164" customFormat="1" ht="15.75" customHeight="1">
      <c r="A216" s="182" t="s">
        <v>416</v>
      </c>
      <c r="B216" s="183" t="s">
        <v>637</v>
      </c>
      <c r="C216" s="184"/>
      <c r="D216" s="184"/>
      <c r="E216" s="184"/>
      <c r="F216" s="184"/>
      <c r="G216" s="184"/>
      <c r="H216" s="184"/>
      <c r="I216" s="184"/>
      <c r="J216" s="184"/>
      <c r="K216" s="184"/>
      <c r="L216" s="193"/>
      <c r="M216" s="1003"/>
      <c r="N216" s="1002"/>
      <c r="O216" s="1002"/>
      <c r="P216" s="1002"/>
      <c r="Q216" s="1002"/>
      <c r="R216" s="1002"/>
      <c r="S216" s="1002"/>
      <c r="T216" s="1002"/>
      <c r="U216" s="1002"/>
      <c r="V216" s="1002"/>
      <c r="W216" s="1002"/>
      <c r="X216" s="1002"/>
      <c r="Y216" s="1002"/>
      <c r="Z216" s="1002"/>
      <c r="AA216" s="1002"/>
      <c r="AB216" s="1002"/>
      <c r="AC216" s="1002"/>
      <c r="AD216" s="1002"/>
      <c r="AE216" s="1002"/>
      <c r="AF216" s="1002"/>
      <c r="AG216" s="1002"/>
      <c r="AH216" s="1002"/>
      <c r="AI216" s="1002"/>
      <c r="AJ216" s="1002"/>
      <c r="AK216" s="1002"/>
      <c r="AL216" s="1002"/>
      <c r="AM216" s="1002"/>
      <c r="AN216" s="1002"/>
      <c r="AO216" s="1002"/>
      <c r="AP216" s="1002"/>
      <c r="AQ216" s="1002"/>
      <c r="AR216" s="1002"/>
      <c r="AS216" s="1002"/>
      <c r="AT216" s="1002"/>
      <c r="AU216" s="1002"/>
      <c r="AV216" s="1002"/>
      <c r="AW216" s="1002"/>
      <c r="AX216" s="1002"/>
      <c r="AY216" s="1002"/>
      <c r="AZ216" s="1002"/>
      <c r="BA216" s="1002"/>
      <c r="BB216" s="1002"/>
      <c r="BC216" s="1002"/>
      <c r="BD216" s="1002"/>
      <c r="BE216" s="204"/>
      <c r="BF216" s="205" t="s">
        <v>419</v>
      </c>
      <c r="BG216" s="204"/>
      <c r="BH216" s="204"/>
      <c r="BI216" s="204"/>
      <c r="BJ216" s="204"/>
      <c r="BK216" s="206"/>
    </row>
    <row r="217" spans="1:63" s="164" customFormat="1" ht="15.75" customHeight="1">
      <c r="A217" s="182" t="s">
        <v>416</v>
      </c>
      <c r="B217" s="183" t="s">
        <v>638</v>
      </c>
      <c r="C217" s="184"/>
      <c r="D217" s="184"/>
      <c r="E217" s="184"/>
      <c r="F217" s="184"/>
      <c r="G217" s="184"/>
      <c r="H217" s="184"/>
      <c r="I217" s="184"/>
      <c r="J217" s="184"/>
      <c r="K217" s="184"/>
      <c r="L217" s="193"/>
      <c r="M217" s="1003"/>
      <c r="N217" s="1002"/>
      <c r="O217" s="1002"/>
      <c r="P217" s="1002"/>
      <c r="Q217" s="1002"/>
      <c r="R217" s="1002"/>
      <c r="S217" s="1002"/>
      <c r="T217" s="1002"/>
      <c r="U217" s="1002"/>
      <c r="V217" s="1002"/>
      <c r="W217" s="1002"/>
      <c r="X217" s="1002"/>
      <c r="Y217" s="1002"/>
      <c r="Z217" s="1002"/>
      <c r="AA217" s="1002"/>
      <c r="AB217" s="1002"/>
      <c r="AC217" s="1002"/>
      <c r="AD217" s="1002"/>
      <c r="AE217" s="1002"/>
      <c r="AF217" s="1002"/>
      <c r="AG217" s="1002"/>
      <c r="AH217" s="1002"/>
      <c r="AI217" s="1002"/>
      <c r="AJ217" s="1002"/>
      <c r="AK217" s="1002"/>
      <c r="AL217" s="1002"/>
      <c r="AM217" s="1002"/>
      <c r="AN217" s="1002"/>
      <c r="AO217" s="1002"/>
      <c r="AP217" s="1002"/>
      <c r="AQ217" s="1002"/>
      <c r="AR217" s="1002"/>
      <c r="AS217" s="1002"/>
      <c r="AT217" s="1002"/>
      <c r="AU217" s="1002"/>
      <c r="AV217" s="1002"/>
      <c r="AW217" s="1002"/>
      <c r="AX217" s="1002"/>
      <c r="AY217" s="1002"/>
      <c r="AZ217" s="1002"/>
      <c r="BA217" s="1002"/>
      <c r="BB217" s="1002"/>
      <c r="BC217" s="1002"/>
      <c r="BD217" s="1002"/>
      <c r="BE217" s="205" t="s">
        <v>486</v>
      </c>
      <c r="BF217" s="205" t="s">
        <v>487</v>
      </c>
      <c r="BG217" s="204"/>
      <c r="BH217" s="204"/>
      <c r="BI217" s="204"/>
      <c r="BJ217" s="204"/>
      <c r="BK217" s="206"/>
    </row>
    <row r="218" spans="1:63" s="164" customFormat="1" ht="15.75" customHeight="1">
      <c r="A218" s="182" t="s">
        <v>416</v>
      </c>
      <c r="B218" s="183" t="s">
        <v>639</v>
      </c>
      <c r="C218" s="184"/>
      <c r="D218" s="184"/>
      <c r="E218" s="184"/>
      <c r="F218" s="184"/>
      <c r="G218" s="184"/>
      <c r="H218" s="184"/>
      <c r="I218" s="184"/>
      <c r="J218" s="184"/>
      <c r="K218" s="184"/>
      <c r="L218" s="193"/>
      <c r="M218" s="1003"/>
      <c r="N218" s="1002"/>
      <c r="O218" s="1002"/>
      <c r="P218" s="1002"/>
      <c r="Q218" s="1002"/>
      <c r="R218" s="1002"/>
      <c r="S218" s="1002"/>
      <c r="T218" s="1002"/>
      <c r="U218" s="1002"/>
      <c r="V218" s="1002"/>
      <c r="W218" s="1002"/>
      <c r="X218" s="1002"/>
      <c r="Y218" s="1002"/>
      <c r="Z218" s="1002"/>
      <c r="AA218" s="1002"/>
      <c r="AB218" s="1002"/>
      <c r="AC218" s="1002"/>
      <c r="AD218" s="1002"/>
      <c r="AE218" s="1002"/>
      <c r="AF218" s="1002"/>
      <c r="AG218" s="1002"/>
      <c r="AH218" s="1002"/>
      <c r="AI218" s="1002"/>
      <c r="AJ218" s="1002"/>
      <c r="AK218" s="1002"/>
      <c r="AL218" s="1002"/>
      <c r="AM218" s="1002"/>
      <c r="AN218" s="1002"/>
      <c r="AO218" s="1002"/>
      <c r="AP218" s="1002"/>
      <c r="AQ218" s="1002"/>
      <c r="AR218" s="1002"/>
      <c r="AS218" s="1002"/>
      <c r="AT218" s="1002"/>
      <c r="AU218" s="1002"/>
      <c r="AV218" s="1002"/>
      <c r="AW218" s="1002"/>
      <c r="AX218" s="1002"/>
      <c r="AY218" s="1002"/>
      <c r="AZ218" s="1002"/>
      <c r="BA218" s="1002"/>
      <c r="BB218" s="1002"/>
      <c r="BC218" s="1002"/>
      <c r="BD218" s="1002"/>
      <c r="BE218" s="204"/>
      <c r="BF218" s="205" t="s">
        <v>487</v>
      </c>
      <c r="BG218" s="204"/>
      <c r="BH218" s="204"/>
      <c r="BI218" s="204"/>
      <c r="BJ218" s="204"/>
      <c r="BK218" s="206"/>
    </row>
    <row r="219" spans="1:63" s="164" customFormat="1" ht="15.75" customHeight="1">
      <c r="A219" s="180"/>
      <c r="B219" s="181"/>
      <c r="C219" s="179"/>
      <c r="D219" s="179"/>
      <c r="E219" s="179"/>
      <c r="F219" s="179"/>
      <c r="G219" s="179"/>
      <c r="H219" s="179"/>
      <c r="I219" s="179"/>
      <c r="J219" s="179"/>
      <c r="K219" s="179"/>
      <c r="L219" s="192"/>
      <c r="M219" s="179"/>
      <c r="N219" s="179"/>
      <c r="O219" s="179"/>
      <c r="P219" s="179"/>
      <c r="Q219" s="179"/>
      <c r="R219" s="179"/>
      <c r="S219" s="179"/>
      <c r="T219" s="179"/>
      <c r="U219" s="179"/>
      <c r="V219" s="179"/>
      <c r="W219" s="179"/>
      <c r="X219" s="179"/>
      <c r="Y219" s="179"/>
      <c r="Z219" s="179"/>
      <c r="AA219" s="179"/>
      <c r="AB219" s="179"/>
      <c r="AC219" s="179"/>
      <c r="AD219" s="179"/>
      <c r="AE219" s="179"/>
      <c r="AF219" s="179"/>
      <c r="AG219" s="179"/>
      <c r="AH219" s="179"/>
      <c r="AI219" s="179"/>
      <c r="AJ219" s="179"/>
      <c r="AK219" s="179"/>
      <c r="AL219" s="179"/>
      <c r="AM219" s="179"/>
      <c r="AN219" s="179"/>
      <c r="AO219" s="179"/>
      <c r="AP219" s="179"/>
      <c r="AQ219" s="179"/>
      <c r="AR219" s="179"/>
      <c r="AS219" s="179"/>
      <c r="AT219" s="179"/>
      <c r="AU219" s="179"/>
      <c r="AV219" s="179"/>
      <c r="AW219" s="179"/>
      <c r="AX219" s="179"/>
      <c r="AY219" s="179"/>
      <c r="AZ219" s="179"/>
      <c r="BA219" s="179"/>
      <c r="BB219" s="179"/>
      <c r="BC219" s="179"/>
      <c r="BD219" s="179"/>
      <c r="BE219" s="201"/>
      <c r="BF219" s="201"/>
      <c r="BG219" s="201"/>
      <c r="BH219" s="201"/>
      <c r="BI219" s="201"/>
      <c r="BJ219" s="201"/>
      <c r="BK219" s="203"/>
    </row>
    <row r="220" spans="1:63" s="164" customFormat="1" ht="15.75" customHeight="1">
      <c r="A220" s="174"/>
      <c r="B220" s="175" t="s">
        <v>640</v>
      </c>
      <c r="C220" s="176"/>
      <c r="D220" s="176"/>
      <c r="E220" s="176"/>
      <c r="F220" s="176"/>
      <c r="G220" s="176"/>
      <c r="H220" s="176"/>
      <c r="I220" s="176"/>
      <c r="J220" s="176"/>
      <c r="K220" s="176"/>
      <c r="L220" s="190"/>
      <c r="M220" s="176"/>
      <c r="N220" s="191" t="s">
        <v>403</v>
      </c>
      <c r="O220" s="176"/>
      <c r="P220" s="176"/>
      <c r="Q220" s="176"/>
      <c r="R220" s="176"/>
      <c r="S220" s="176"/>
      <c r="T220" s="176"/>
      <c r="U220" s="176"/>
      <c r="V220" s="176"/>
      <c r="W220" s="176"/>
      <c r="X220" s="176"/>
      <c r="Y220" s="176"/>
      <c r="Z220" s="176"/>
      <c r="AA220" s="176"/>
      <c r="AB220" s="176"/>
      <c r="AC220" s="176"/>
      <c r="AD220" s="176"/>
      <c r="AE220" s="176"/>
      <c r="AF220" s="176"/>
      <c r="AG220" s="176"/>
      <c r="AH220" s="176"/>
      <c r="AI220" s="176"/>
      <c r="AJ220" s="176"/>
      <c r="AK220" s="176"/>
      <c r="AL220" s="176"/>
      <c r="AM220" s="176"/>
      <c r="AN220" s="176"/>
      <c r="AO220" s="176"/>
      <c r="AP220" s="176"/>
      <c r="AQ220" s="176"/>
      <c r="AR220" s="176"/>
      <c r="AS220" s="176"/>
      <c r="AT220" s="176"/>
      <c r="AU220" s="176"/>
      <c r="AV220" s="176"/>
      <c r="AW220" s="176"/>
      <c r="AX220" s="176"/>
      <c r="AY220" s="176"/>
      <c r="AZ220" s="176"/>
      <c r="BA220" s="176"/>
      <c r="BB220" s="176"/>
      <c r="BC220" s="176"/>
      <c r="BD220" s="176"/>
      <c r="BE220" s="199" t="s">
        <v>404</v>
      </c>
      <c r="BF220" s="199" t="s">
        <v>405</v>
      </c>
      <c r="BG220" s="199" t="s">
        <v>406</v>
      </c>
      <c r="BH220" s="199" t="s">
        <v>407</v>
      </c>
      <c r="BI220" s="199" t="s">
        <v>408</v>
      </c>
      <c r="BJ220" s="199" t="s">
        <v>409</v>
      </c>
      <c r="BK220" s="200" t="s">
        <v>410</v>
      </c>
    </row>
    <row r="221" spans="1:63" s="164" customFormat="1" ht="15.75" customHeight="1">
      <c r="A221" s="180"/>
      <c r="B221" s="178" t="s">
        <v>641</v>
      </c>
      <c r="C221" s="179"/>
      <c r="D221" s="179"/>
      <c r="E221" s="179"/>
      <c r="F221" s="179"/>
      <c r="G221" s="179"/>
      <c r="H221" s="179"/>
      <c r="I221" s="179"/>
      <c r="J221" s="179"/>
      <c r="K221" s="179"/>
      <c r="L221" s="192"/>
      <c r="M221" s="999"/>
      <c r="N221" s="1000"/>
      <c r="O221" s="1000"/>
      <c r="P221" s="1000"/>
      <c r="Q221" s="1000"/>
      <c r="R221" s="1000"/>
      <c r="S221" s="1000"/>
      <c r="T221" s="1000"/>
      <c r="U221" s="1000"/>
      <c r="V221" s="1000"/>
      <c r="W221" s="1000"/>
      <c r="X221" s="1000"/>
      <c r="Y221" s="1000"/>
      <c r="Z221" s="1000"/>
      <c r="AA221" s="1000"/>
      <c r="AB221" s="1000"/>
      <c r="AC221" s="1000"/>
      <c r="AD221" s="1000"/>
      <c r="AE221" s="1000"/>
      <c r="AF221" s="1000"/>
      <c r="AG221" s="1000"/>
      <c r="AH221" s="1000"/>
      <c r="AI221" s="1000"/>
      <c r="AJ221" s="1000"/>
      <c r="AK221" s="1000"/>
      <c r="AL221" s="1000"/>
      <c r="AM221" s="1000"/>
      <c r="AN221" s="1000"/>
      <c r="AO221" s="1000"/>
      <c r="AP221" s="1000"/>
      <c r="AQ221" s="1000"/>
      <c r="AR221" s="1000"/>
      <c r="AS221" s="1000"/>
      <c r="AT221" s="1000"/>
      <c r="AU221" s="1000"/>
      <c r="AV221" s="1000"/>
      <c r="AW221" s="1000"/>
      <c r="AX221" s="1000"/>
      <c r="AY221" s="1000"/>
      <c r="AZ221" s="1000"/>
      <c r="BA221" s="1000"/>
      <c r="BB221" s="1000"/>
      <c r="BC221" s="1000"/>
      <c r="BD221" s="1000"/>
      <c r="BE221" s="201"/>
      <c r="BF221" s="202" t="s">
        <v>642</v>
      </c>
      <c r="BG221" s="201"/>
      <c r="BH221" s="201"/>
      <c r="BI221" s="201"/>
      <c r="BJ221" s="201"/>
      <c r="BK221" s="203"/>
    </row>
    <row r="222" spans="1:63" s="164" customFormat="1" ht="15.75" customHeight="1">
      <c r="A222" s="180"/>
      <c r="B222" s="178" t="s">
        <v>643</v>
      </c>
      <c r="C222" s="179"/>
      <c r="D222" s="179"/>
      <c r="E222" s="179"/>
      <c r="F222" s="179"/>
      <c r="G222" s="179"/>
      <c r="H222" s="179"/>
      <c r="I222" s="179"/>
      <c r="J222" s="179"/>
      <c r="K222" s="179"/>
      <c r="L222" s="192"/>
      <c r="M222" s="999"/>
      <c r="N222" s="1000"/>
      <c r="O222" s="1000"/>
      <c r="P222" s="1000"/>
      <c r="Q222" s="1000"/>
      <c r="R222" s="1000"/>
      <c r="S222" s="1000"/>
      <c r="T222" s="1000"/>
      <c r="U222" s="1000"/>
      <c r="V222" s="1000"/>
      <c r="W222" s="1000"/>
      <c r="X222" s="1000"/>
      <c r="Y222" s="1000"/>
      <c r="Z222" s="1000"/>
      <c r="AA222" s="1000"/>
      <c r="AB222" s="1000"/>
      <c r="AC222" s="1000"/>
      <c r="AD222" s="1000"/>
      <c r="AE222" s="1000"/>
      <c r="AF222" s="1000"/>
      <c r="AG222" s="1000"/>
      <c r="AH222" s="1000"/>
      <c r="AI222" s="1000"/>
      <c r="AJ222" s="1000"/>
      <c r="AK222" s="1000"/>
      <c r="AL222" s="1000"/>
      <c r="AM222" s="1000"/>
      <c r="AN222" s="1000"/>
      <c r="AO222" s="1000"/>
      <c r="AP222" s="1000"/>
      <c r="AQ222" s="1000"/>
      <c r="AR222" s="1000"/>
      <c r="AS222" s="1000"/>
      <c r="AT222" s="1000"/>
      <c r="AU222" s="1000"/>
      <c r="AV222" s="1000"/>
      <c r="AW222" s="1000"/>
      <c r="AX222" s="1000"/>
      <c r="AY222" s="1000"/>
      <c r="AZ222" s="1000"/>
      <c r="BA222" s="1000"/>
      <c r="BB222" s="1000"/>
      <c r="BC222" s="1000"/>
      <c r="BD222" s="1000"/>
      <c r="BE222" s="201"/>
      <c r="BF222" s="202" t="s">
        <v>642</v>
      </c>
      <c r="BG222" s="201"/>
      <c r="BH222" s="201"/>
      <c r="BI222" s="201"/>
      <c r="BJ222" s="201"/>
      <c r="BK222" s="203"/>
    </row>
    <row r="223" spans="1:63" s="164" customFormat="1" ht="15.75" customHeight="1">
      <c r="A223" s="180"/>
      <c r="B223" s="178" t="s">
        <v>276</v>
      </c>
      <c r="C223" s="179"/>
      <c r="D223" s="179"/>
      <c r="E223" s="179"/>
      <c r="F223" s="179"/>
      <c r="G223" s="179"/>
      <c r="H223" s="179"/>
      <c r="I223" s="179"/>
      <c r="J223" s="179"/>
      <c r="K223" s="179"/>
      <c r="L223" s="192"/>
      <c r="M223" s="999"/>
      <c r="N223" s="1000"/>
      <c r="O223" s="1000"/>
      <c r="P223" s="1000"/>
      <c r="Q223" s="1000"/>
      <c r="R223" s="1000"/>
      <c r="S223" s="1000"/>
      <c r="T223" s="1000"/>
      <c r="U223" s="1000"/>
      <c r="V223" s="1000"/>
      <c r="W223" s="1000"/>
      <c r="X223" s="1000"/>
      <c r="Y223" s="1000"/>
      <c r="Z223" s="1000"/>
      <c r="AA223" s="1000"/>
      <c r="AB223" s="1000"/>
      <c r="AC223" s="1000"/>
      <c r="AD223" s="1000"/>
      <c r="AE223" s="1000"/>
      <c r="AF223" s="1000"/>
      <c r="AG223" s="1000"/>
      <c r="AH223" s="1000"/>
      <c r="AI223" s="1000"/>
      <c r="AJ223" s="1000"/>
      <c r="AK223" s="1000"/>
      <c r="AL223" s="1000"/>
      <c r="AM223" s="1000"/>
      <c r="AN223" s="1000"/>
      <c r="AO223" s="1000"/>
      <c r="AP223" s="1000"/>
      <c r="AQ223" s="1000"/>
      <c r="AR223" s="1000"/>
      <c r="AS223" s="1000"/>
      <c r="AT223" s="1000"/>
      <c r="AU223" s="1000"/>
      <c r="AV223" s="1000"/>
      <c r="AW223" s="1000"/>
      <c r="AX223" s="1000"/>
      <c r="AY223" s="1000"/>
      <c r="AZ223" s="1000"/>
      <c r="BA223" s="1000"/>
      <c r="BB223" s="1000"/>
      <c r="BC223" s="1000"/>
      <c r="BD223" s="1000"/>
      <c r="BE223" s="201"/>
      <c r="BF223" s="202" t="s">
        <v>642</v>
      </c>
      <c r="BG223" s="201"/>
      <c r="BH223" s="201"/>
      <c r="BI223" s="201"/>
      <c r="BJ223" s="201"/>
      <c r="BK223" s="203"/>
    </row>
    <row r="224" spans="1:63" s="164" customFormat="1" ht="15.75" customHeight="1">
      <c r="A224" s="180"/>
      <c r="B224" s="181"/>
      <c r="C224" s="179"/>
      <c r="D224" s="179"/>
      <c r="E224" s="179"/>
      <c r="F224" s="179"/>
      <c r="G224" s="179"/>
      <c r="H224" s="179"/>
      <c r="I224" s="179"/>
      <c r="J224" s="179"/>
      <c r="K224" s="179"/>
      <c r="L224" s="192"/>
      <c r="M224" s="179"/>
      <c r="N224" s="179"/>
      <c r="O224" s="179"/>
      <c r="P224" s="179"/>
      <c r="Q224" s="179"/>
      <c r="R224" s="179"/>
      <c r="S224" s="179"/>
      <c r="T224" s="179"/>
      <c r="U224" s="179"/>
      <c r="V224" s="179"/>
      <c r="W224" s="179"/>
      <c r="X224" s="179"/>
      <c r="Y224" s="179"/>
      <c r="Z224" s="179"/>
      <c r="AA224" s="179"/>
      <c r="AB224" s="179"/>
      <c r="AC224" s="179"/>
      <c r="AD224" s="179"/>
      <c r="AE224" s="179"/>
      <c r="AF224" s="179"/>
      <c r="AG224" s="179"/>
      <c r="AH224" s="179"/>
      <c r="AI224" s="179"/>
      <c r="AJ224" s="179"/>
      <c r="AK224" s="179"/>
      <c r="AL224" s="179"/>
      <c r="AM224" s="179"/>
      <c r="AN224" s="179"/>
      <c r="AO224" s="179"/>
      <c r="AP224" s="179"/>
      <c r="AQ224" s="179"/>
      <c r="AR224" s="179"/>
      <c r="AS224" s="179"/>
      <c r="AT224" s="179"/>
      <c r="AU224" s="179"/>
      <c r="AV224" s="179"/>
      <c r="AW224" s="179"/>
      <c r="AX224" s="179"/>
      <c r="AY224" s="179"/>
      <c r="AZ224" s="179"/>
      <c r="BA224" s="179"/>
      <c r="BB224" s="179"/>
      <c r="BC224" s="179"/>
      <c r="BD224" s="179"/>
      <c r="BE224" s="201"/>
      <c r="BF224" s="201"/>
      <c r="BG224" s="201"/>
      <c r="BH224" s="201"/>
      <c r="BI224" s="201"/>
      <c r="BJ224" s="201"/>
      <c r="BK224" s="203"/>
    </row>
    <row r="225" spans="1:64" s="164" customFormat="1" ht="15.75" customHeight="1">
      <c r="A225" s="174"/>
      <c r="B225" s="175" t="s">
        <v>644</v>
      </c>
      <c r="C225" s="176"/>
      <c r="D225" s="176"/>
      <c r="E225" s="176"/>
      <c r="F225" s="176"/>
      <c r="G225" s="176"/>
      <c r="H225" s="176"/>
      <c r="I225" s="176"/>
      <c r="J225" s="176"/>
      <c r="K225" s="176"/>
      <c r="L225" s="190"/>
      <c r="M225" s="176"/>
      <c r="N225" s="191" t="s">
        <v>403</v>
      </c>
      <c r="O225" s="176"/>
      <c r="P225" s="176"/>
      <c r="Q225" s="176"/>
      <c r="R225" s="176"/>
      <c r="S225" s="176"/>
      <c r="T225" s="176"/>
      <c r="U225" s="176"/>
      <c r="V225" s="176"/>
      <c r="W225" s="176"/>
      <c r="X225" s="176"/>
      <c r="Y225" s="176"/>
      <c r="Z225" s="176"/>
      <c r="AA225" s="176"/>
      <c r="AB225" s="176"/>
      <c r="AC225" s="176"/>
      <c r="AD225" s="176"/>
      <c r="AE225" s="176"/>
      <c r="AF225" s="176"/>
      <c r="AG225" s="176"/>
      <c r="AH225" s="176"/>
      <c r="AI225" s="176"/>
      <c r="AJ225" s="176"/>
      <c r="AK225" s="176"/>
      <c r="AL225" s="176"/>
      <c r="AM225" s="176"/>
      <c r="AN225" s="176"/>
      <c r="AO225" s="176"/>
      <c r="AP225" s="176"/>
      <c r="AQ225" s="176"/>
      <c r="AR225" s="176"/>
      <c r="AS225" s="176"/>
      <c r="AT225" s="176"/>
      <c r="AU225" s="176"/>
      <c r="AV225" s="176"/>
      <c r="AW225" s="176"/>
      <c r="AX225" s="176"/>
      <c r="AY225" s="176"/>
      <c r="AZ225" s="176"/>
      <c r="BA225" s="176"/>
      <c r="BB225" s="176"/>
      <c r="BC225" s="176"/>
      <c r="BD225" s="176"/>
      <c r="BE225" s="199" t="s">
        <v>404</v>
      </c>
      <c r="BF225" s="199" t="s">
        <v>405</v>
      </c>
      <c r="BG225" s="199" t="s">
        <v>406</v>
      </c>
      <c r="BH225" s="199" t="s">
        <v>407</v>
      </c>
      <c r="BI225" s="199" t="s">
        <v>408</v>
      </c>
      <c r="BJ225" s="199" t="s">
        <v>409</v>
      </c>
      <c r="BK225" s="200" t="s">
        <v>410</v>
      </c>
    </row>
    <row r="226" spans="1:64" s="164" customFormat="1" ht="15.75" customHeight="1">
      <c r="A226" s="180"/>
      <c r="B226" s="178" t="s">
        <v>645</v>
      </c>
      <c r="C226" s="179"/>
      <c r="D226" s="179"/>
      <c r="E226" s="179"/>
      <c r="F226" s="179"/>
      <c r="G226" s="179"/>
      <c r="H226" s="179"/>
      <c r="I226" s="179"/>
      <c r="J226" s="179"/>
      <c r="K226" s="179"/>
      <c r="L226" s="192"/>
      <c r="M226" s="999"/>
      <c r="N226" s="1000"/>
      <c r="O226" s="1000"/>
      <c r="P226" s="1000"/>
      <c r="Q226" s="1000"/>
      <c r="R226" s="1000"/>
      <c r="S226" s="1000"/>
      <c r="T226" s="1000"/>
      <c r="U226" s="1000"/>
      <c r="V226" s="1000"/>
      <c r="W226" s="1000"/>
      <c r="X226" s="1000"/>
      <c r="Y226" s="1000"/>
      <c r="Z226" s="1000"/>
      <c r="AA226" s="1000"/>
      <c r="AB226" s="1000"/>
      <c r="AC226" s="1000"/>
      <c r="AD226" s="1000"/>
      <c r="AE226" s="1000"/>
      <c r="AF226" s="1000"/>
      <c r="AG226" s="1000"/>
      <c r="AH226" s="1000"/>
      <c r="AI226" s="1000"/>
      <c r="AJ226" s="1000"/>
      <c r="AK226" s="1000"/>
      <c r="AL226" s="1000"/>
      <c r="AM226" s="1000"/>
      <c r="AN226" s="1000"/>
      <c r="AO226" s="1000"/>
      <c r="AP226" s="1000"/>
      <c r="AQ226" s="1000"/>
      <c r="AR226" s="1000"/>
      <c r="AS226" s="1000"/>
      <c r="AT226" s="1000"/>
      <c r="AU226" s="1000"/>
      <c r="AV226" s="1000"/>
      <c r="AW226" s="1000"/>
      <c r="AX226" s="1000"/>
      <c r="AY226" s="1000"/>
      <c r="AZ226" s="1000"/>
      <c r="BA226" s="1000"/>
      <c r="BB226" s="1000"/>
      <c r="BC226" s="1000"/>
      <c r="BD226" s="1000"/>
      <c r="BE226" s="201"/>
      <c r="BF226" s="202" t="s">
        <v>642</v>
      </c>
      <c r="BG226" s="201"/>
      <c r="BH226" s="201"/>
      <c r="BI226" s="201"/>
      <c r="BJ226" s="201"/>
      <c r="BK226" s="203"/>
    </row>
    <row r="227" spans="1:64" s="164" customFormat="1" ht="15.75" customHeight="1">
      <c r="A227" s="180"/>
      <c r="B227" s="181"/>
      <c r="C227" s="179"/>
      <c r="D227" s="179"/>
      <c r="E227" s="179"/>
      <c r="F227" s="179"/>
      <c r="G227" s="179"/>
      <c r="H227" s="179"/>
      <c r="I227" s="179"/>
      <c r="J227" s="179"/>
      <c r="K227" s="179"/>
      <c r="L227" s="192"/>
      <c r="M227" s="179"/>
      <c r="N227" s="179"/>
      <c r="O227" s="179"/>
      <c r="P227" s="179"/>
      <c r="Q227" s="179"/>
      <c r="R227" s="179"/>
      <c r="S227" s="179"/>
      <c r="T227" s="179"/>
      <c r="U227" s="179"/>
      <c r="V227" s="179"/>
      <c r="W227" s="179"/>
      <c r="X227" s="179"/>
      <c r="Y227" s="179"/>
      <c r="Z227" s="179"/>
      <c r="AA227" s="179"/>
      <c r="AB227" s="179"/>
      <c r="AC227" s="179"/>
      <c r="AD227" s="179"/>
      <c r="AE227" s="179"/>
      <c r="AF227" s="179"/>
      <c r="AG227" s="179"/>
      <c r="AH227" s="179"/>
      <c r="AI227" s="179"/>
      <c r="AJ227" s="179"/>
      <c r="AK227" s="179"/>
      <c r="AL227" s="179"/>
      <c r="AM227" s="179"/>
      <c r="AN227" s="179"/>
      <c r="AO227" s="179"/>
      <c r="AP227" s="179"/>
      <c r="AQ227" s="179"/>
      <c r="AR227" s="179"/>
      <c r="AS227" s="179"/>
      <c r="AT227" s="179"/>
      <c r="AU227" s="179"/>
      <c r="AV227" s="179"/>
      <c r="AW227" s="179"/>
      <c r="AX227" s="179"/>
      <c r="AY227" s="179"/>
      <c r="AZ227" s="179"/>
      <c r="BA227" s="179"/>
      <c r="BB227" s="179"/>
      <c r="BC227" s="179"/>
      <c r="BD227" s="179"/>
      <c r="BE227" s="201"/>
      <c r="BF227" s="201"/>
      <c r="BG227" s="201"/>
      <c r="BH227" s="201"/>
      <c r="BI227" s="201"/>
      <c r="BJ227" s="201"/>
      <c r="BK227" s="203"/>
    </row>
    <row r="228" spans="1:64" s="164" customFormat="1" ht="15.75" customHeight="1">
      <c r="A228" s="174"/>
      <c r="B228" s="175" t="s">
        <v>646</v>
      </c>
      <c r="C228" s="176"/>
      <c r="D228" s="176"/>
      <c r="E228" s="176"/>
      <c r="F228" s="176"/>
      <c r="G228" s="176"/>
      <c r="H228" s="176"/>
      <c r="I228" s="176"/>
      <c r="J228" s="176"/>
      <c r="K228" s="176"/>
      <c r="L228" s="190"/>
      <c r="M228" s="176"/>
      <c r="N228" s="191" t="s">
        <v>403</v>
      </c>
      <c r="O228" s="176"/>
      <c r="P228" s="176"/>
      <c r="Q228" s="176"/>
      <c r="R228" s="176"/>
      <c r="S228" s="176"/>
      <c r="T228" s="176"/>
      <c r="U228" s="176"/>
      <c r="V228" s="176"/>
      <c r="W228" s="176"/>
      <c r="X228" s="176"/>
      <c r="Y228" s="176"/>
      <c r="Z228" s="176"/>
      <c r="AA228" s="176"/>
      <c r="AB228" s="176"/>
      <c r="AC228" s="176"/>
      <c r="AD228" s="176"/>
      <c r="AE228" s="176"/>
      <c r="AF228" s="176"/>
      <c r="AG228" s="176"/>
      <c r="AH228" s="176"/>
      <c r="AI228" s="176"/>
      <c r="AJ228" s="176"/>
      <c r="AK228" s="176"/>
      <c r="AL228" s="176"/>
      <c r="AM228" s="176"/>
      <c r="AN228" s="176"/>
      <c r="AO228" s="176"/>
      <c r="AP228" s="176"/>
      <c r="AQ228" s="176"/>
      <c r="AR228" s="176"/>
      <c r="AS228" s="176"/>
      <c r="AT228" s="176"/>
      <c r="AU228" s="176"/>
      <c r="AV228" s="176"/>
      <c r="AW228" s="176"/>
      <c r="AX228" s="176"/>
      <c r="AY228" s="176"/>
      <c r="AZ228" s="176"/>
      <c r="BA228" s="176"/>
      <c r="BB228" s="176"/>
      <c r="BC228" s="176"/>
      <c r="BD228" s="176"/>
      <c r="BE228" s="199" t="s">
        <v>404</v>
      </c>
      <c r="BF228" s="199" t="s">
        <v>405</v>
      </c>
      <c r="BG228" s="199" t="s">
        <v>406</v>
      </c>
      <c r="BH228" s="199" t="s">
        <v>407</v>
      </c>
      <c r="BI228" s="199" t="s">
        <v>408</v>
      </c>
      <c r="BJ228" s="199" t="s">
        <v>409</v>
      </c>
      <c r="BK228" s="200" t="s">
        <v>410</v>
      </c>
    </row>
    <row r="229" spans="1:64" s="164" customFormat="1" ht="15.75" customHeight="1">
      <c r="A229" s="177" t="s">
        <v>411</v>
      </c>
      <c r="B229" s="178" t="s">
        <v>647</v>
      </c>
      <c r="C229" s="179"/>
      <c r="D229" s="179"/>
      <c r="E229" s="179"/>
      <c r="F229" s="179"/>
      <c r="G229" s="179"/>
      <c r="H229" s="179"/>
      <c r="I229" s="179"/>
      <c r="J229" s="179"/>
      <c r="K229" s="179"/>
      <c r="L229" s="192"/>
      <c r="M229" s="999" t="s">
        <v>648</v>
      </c>
      <c r="N229" s="1000"/>
      <c r="O229" s="1000"/>
      <c r="P229" s="1000"/>
      <c r="Q229" s="1000"/>
      <c r="R229" s="1000"/>
      <c r="S229" s="1000"/>
      <c r="T229" s="1000"/>
      <c r="U229" s="1000"/>
      <c r="V229" s="1000"/>
      <c r="W229" s="1000"/>
      <c r="X229" s="1000"/>
      <c r="Y229" s="1000"/>
      <c r="Z229" s="1000"/>
      <c r="AA229" s="1000"/>
      <c r="AB229" s="1000"/>
      <c r="AC229" s="1000"/>
      <c r="AD229" s="1000"/>
      <c r="AE229" s="1000"/>
      <c r="AF229" s="1000"/>
      <c r="AG229" s="1000"/>
      <c r="AH229" s="1000"/>
      <c r="AI229" s="1000"/>
      <c r="AJ229" s="1000"/>
      <c r="AK229" s="1000"/>
      <c r="AL229" s="1000"/>
      <c r="AM229" s="1000"/>
      <c r="AN229" s="1000"/>
      <c r="AO229" s="1000"/>
      <c r="AP229" s="1000"/>
      <c r="AQ229" s="1000"/>
      <c r="AR229" s="1000"/>
      <c r="AS229" s="1000"/>
      <c r="AT229" s="1000"/>
      <c r="AU229" s="1000"/>
      <c r="AV229" s="1000"/>
      <c r="AW229" s="1000"/>
      <c r="AX229" s="1000"/>
      <c r="AY229" s="1000"/>
      <c r="AZ229" s="1000"/>
      <c r="BA229" s="1000"/>
      <c r="BB229" s="1000"/>
      <c r="BC229" s="1000"/>
      <c r="BD229" s="1000"/>
      <c r="BE229" s="201"/>
      <c r="BF229" s="202" t="s">
        <v>462</v>
      </c>
      <c r="BG229" s="201"/>
      <c r="BH229" s="201"/>
      <c r="BI229" s="201"/>
      <c r="BJ229" s="201"/>
      <c r="BK229" s="203"/>
    </row>
    <row r="230" spans="1:64" s="164" customFormat="1" ht="15.75" customHeight="1">
      <c r="A230" s="182" t="s">
        <v>411</v>
      </c>
      <c r="B230" s="183" t="s">
        <v>523</v>
      </c>
      <c r="C230" s="184"/>
      <c r="D230" s="184"/>
      <c r="E230" s="184"/>
      <c r="F230" s="184"/>
      <c r="G230" s="184"/>
      <c r="H230" s="184"/>
      <c r="I230" s="184"/>
      <c r="J230" s="184"/>
      <c r="K230" s="184"/>
      <c r="L230" s="193"/>
      <c r="M230" s="1003" t="s">
        <v>649</v>
      </c>
      <c r="N230" s="1002"/>
      <c r="O230" s="1002"/>
      <c r="P230" s="1002"/>
      <c r="Q230" s="1002"/>
      <c r="R230" s="1002"/>
      <c r="S230" s="1002"/>
      <c r="T230" s="1002"/>
      <c r="U230" s="1002"/>
      <c r="V230" s="1002"/>
      <c r="W230" s="1002"/>
      <c r="X230" s="1002"/>
      <c r="Y230" s="1002"/>
      <c r="Z230" s="1002"/>
      <c r="AA230" s="1002"/>
      <c r="AB230" s="1002"/>
      <c r="AC230" s="1002"/>
      <c r="AD230" s="1002"/>
      <c r="AE230" s="1002"/>
      <c r="AF230" s="1002"/>
      <c r="AG230" s="1002"/>
      <c r="AH230" s="1002"/>
      <c r="AI230" s="1002"/>
      <c r="AJ230" s="1002"/>
      <c r="AK230" s="1002"/>
      <c r="AL230" s="1002"/>
      <c r="AM230" s="1002"/>
      <c r="AN230" s="1002"/>
      <c r="AO230" s="1002"/>
      <c r="AP230" s="1002"/>
      <c r="AQ230" s="1002"/>
      <c r="AR230" s="1002"/>
      <c r="AS230" s="1002"/>
      <c r="AT230" s="1002"/>
      <c r="AU230" s="1002"/>
      <c r="AV230" s="1002"/>
      <c r="AW230" s="1002"/>
      <c r="AX230" s="1002"/>
      <c r="AY230" s="1002"/>
      <c r="AZ230" s="1002"/>
      <c r="BA230" s="1002"/>
      <c r="BB230" s="1002"/>
      <c r="BC230" s="1002"/>
      <c r="BD230" s="1002"/>
      <c r="BE230" s="205" t="s">
        <v>489</v>
      </c>
      <c r="BF230" s="205" t="s">
        <v>487</v>
      </c>
      <c r="BG230" s="204"/>
      <c r="BH230" s="204"/>
      <c r="BI230" s="204"/>
      <c r="BJ230" s="204"/>
      <c r="BK230" s="206"/>
    </row>
    <row r="231" spans="1:64" s="164" customFormat="1" ht="15.75" customHeight="1">
      <c r="A231" s="185"/>
      <c r="B231" s="183" t="s">
        <v>524</v>
      </c>
      <c r="C231" s="184"/>
      <c r="D231" s="184"/>
      <c r="E231" s="184"/>
      <c r="F231" s="184"/>
      <c r="G231" s="184"/>
      <c r="H231" s="184"/>
      <c r="I231" s="184"/>
      <c r="J231" s="184"/>
      <c r="K231" s="184"/>
      <c r="L231" s="193"/>
      <c r="M231" s="1003"/>
      <c r="N231" s="1002"/>
      <c r="O231" s="1002"/>
      <c r="P231" s="1002"/>
      <c r="Q231" s="1002"/>
      <c r="R231" s="1002"/>
      <c r="S231" s="1002"/>
      <c r="T231" s="1002"/>
      <c r="U231" s="1002"/>
      <c r="V231" s="1002"/>
      <c r="W231" s="1002"/>
      <c r="X231" s="1002"/>
      <c r="Y231" s="1002"/>
      <c r="Z231" s="1002"/>
      <c r="AA231" s="1002"/>
      <c r="AB231" s="1002"/>
      <c r="AC231" s="1002"/>
      <c r="AD231" s="1002"/>
      <c r="AE231" s="1002"/>
      <c r="AF231" s="1002"/>
      <c r="AG231" s="1002"/>
      <c r="AH231" s="1002"/>
      <c r="AI231" s="1002"/>
      <c r="AJ231" s="1002"/>
      <c r="AK231" s="1002"/>
      <c r="AL231" s="1002"/>
      <c r="AM231" s="1002"/>
      <c r="AN231" s="1002"/>
      <c r="AO231" s="1002"/>
      <c r="AP231" s="1002"/>
      <c r="AQ231" s="1002"/>
      <c r="AR231" s="1002"/>
      <c r="AS231" s="1002"/>
      <c r="AT231" s="1002"/>
      <c r="AU231" s="1002"/>
      <c r="AV231" s="1002"/>
      <c r="AW231" s="1002"/>
      <c r="AX231" s="1002"/>
      <c r="AY231" s="1002"/>
      <c r="AZ231" s="1002"/>
      <c r="BA231" s="1002"/>
      <c r="BB231" s="1002"/>
      <c r="BC231" s="1002"/>
      <c r="BD231" s="1002"/>
      <c r="BE231" s="204"/>
      <c r="BF231" s="205" t="s">
        <v>487</v>
      </c>
      <c r="BG231" s="204"/>
      <c r="BH231" s="204"/>
      <c r="BI231" s="204"/>
      <c r="BJ231" s="204"/>
      <c r="BK231" s="206"/>
    </row>
    <row r="232" spans="1:64" s="164" customFormat="1" ht="15.75" customHeight="1">
      <c r="A232" s="177" t="s">
        <v>411</v>
      </c>
      <c r="B232" s="178" t="s">
        <v>525</v>
      </c>
      <c r="C232" s="179"/>
      <c r="D232" s="179"/>
      <c r="E232" s="179"/>
      <c r="F232" s="179"/>
      <c r="G232" s="179"/>
      <c r="H232" s="179"/>
      <c r="I232" s="179"/>
      <c r="J232" s="179"/>
      <c r="K232" s="179"/>
      <c r="L232" s="192"/>
      <c r="M232" s="999" t="s">
        <v>650</v>
      </c>
      <c r="N232" s="1000"/>
      <c r="O232" s="1000"/>
      <c r="P232" s="1000"/>
      <c r="Q232" s="1000"/>
      <c r="R232" s="1000"/>
      <c r="S232" s="1000"/>
      <c r="T232" s="1000"/>
      <c r="U232" s="1000"/>
      <c r="V232" s="1000"/>
      <c r="W232" s="1000"/>
      <c r="X232" s="1000"/>
      <c r="Y232" s="1000"/>
      <c r="Z232" s="1000"/>
      <c r="AA232" s="1000"/>
      <c r="AB232" s="1000"/>
      <c r="AC232" s="1000"/>
      <c r="AD232" s="1000"/>
      <c r="AE232" s="1000"/>
      <c r="AF232" s="1000"/>
      <c r="AG232" s="1000"/>
      <c r="AH232" s="1000"/>
      <c r="AI232" s="1000"/>
      <c r="AJ232" s="1000"/>
      <c r="AK232" s="1000"/>
      <c r="AL232" s="1000"/>
      <c r="AM232" s="1000"/>
      <c r="AN232" s="1000"/>
      <c r="AO232" s="1000"/>
      <c r="AP232" s="1000"/>
      <c r="AQ232" s="1000"/>
      <c r="AR232" s="1000"/>
      <c r="AS232" s="1000"/>
      <c r="AT232" s="1000"/>
      <c r="AU232" s="1000"/>
      <c r="AV232" s="1000"/>
      <c r="AW232" s="1000"/>
      <c r="AX232" s="1000"/>
      <c r="AY232" s="1000"/>
      <c r="AZ232" s="1000"/>
      <c r="BA232" s="1000"/>
      <c r="BB232" s="1000"/>
      <c r="BC232" s="1000"/>
      <c r="BD232" s="1000"/>
      <c r="BE232" s="202" t="s">
        <v>486</v>
      </c>
      <c r="BF232" s="202" t="s">
        <v>487</v>
      </c>
      <c r="BG232" s="201"/>
      <c r="BH232" s="201"/>
      <c r="BI232" s="201"/>
      <c r="BJ232" s="201"/>
      <c r="BK232" s="203"/>
    </row>
    <row r="233" spans="1:64" s="164" customFormat="1" ht="15.75" customHeight="1">
      <c r="A233" s="180"/>
      <c r="B233" s="178" t="s">
        <v>526</v>
      </c>
      <c r="C233" s="179"/>
      <c r="D233" s="179"/>
      <c r="E233" s="179"/>
      <c r="F233" s="179"/>
      <c r="G233" s="179"/>
      <c r="H233" s="179"/>
      <c r="I233" s="179"/>
      <c r="J233" s="179"/>
      <c r="K233" s="179"/>
      <c r="L233" s="192"/>
      <c r="M233" s="999"/>
      <c r="N233" s="1000"/>
      <c r="O233" s="1000"/>
      <c r="P233" s="1000"/>
      <c r="Q233" s="1000"/>
      <c r="R233" s="1000"/>
      <c r="S233" s="1000"/>
      <c r="T233" s="1000"/>
      <c r="U233" s="1000"/>
      <c r="V233" s="1000"/>
      <c r="W233" s="1000"/>
      <c r="X233" s="1000"/>
      <c r="Y233" s="1000"/>
      <c r="Z233" s="1000"/>
      <c r="AA233" s="1000"/>
      <c r="AB233" s="1000"/>
      <c r="AC233" s="1000"/>
      <c r="AD233" s="1000"/>
      <c r="AE233" s="1000"/>
      <c r="AF233" s="1000"/>
      <c r="AG233" s="1000"/>
      <c r="AH233" s="1000"/>
      <c r="AI233" s="1000"/>
      <c r="AJ233" s="1000"/>
      <c r="AK233" s="1000"/>
      <c r="AL233" s="1000"/>
      <c r="AM233" s="1000"/>
      <c r="AN233" s="1000"/>
      <c r="AO233" s="1000"/>
      <c r="AP233" s="1000"/>
      <c r="AQ233" s="1000"/>
      <c r="AR233" s="1000"/>
      <c r="AS233" s="1000"/>
      <c r="AT233" s="1000"/>
      <c r="AU233" s="1000"/>
      <c r="AV233" s="1000"/>
      <c r="AW233" s="1000"/>
      <c r="AX233" s="1000"/>
      <c r="AY233" s="1000"/>
      <c r="AZ233" s="1000"/>
      <c r="BA233" s="1000"/>
      <c r="BB233" s="1000"/>
      <c r="BC233" s="1000"/>
      <c r="BD233" s="1000"/>
      <c r="BE233" s="201"/>
      <c r="BF233" s="202" t="s">
        <v>487</v>
      </c>
      <c r="BG233" s="201"/>
      <c r="BH233" s="201"/>
      <c r="BI233" s="201"/>
      <c r="BJ233" s="201"/>
      <c r="BK233" s="203"/>
    </row>
    <row r="234" spans="1:64" s="164" customFormat="1" ht="15.75" customHeight="1">
      <c r="A234" s="177" t="s">
        <v>411</v>
      </c>
      <c r="B234" s="178" t="s">
        <v>651</v>
      </c>
      <c r="C234" s="179"/>
      <c r="D234" s="179"/>
      <c r="E234" s="179"/>
      <c r="F234" s="179"/>
      <c r="G234" s="179"/>
      <c r="H234" s="179"/>
      <c r="I234" s="179"/>
      <c r="J234" s="179"/>
      <c r="K234" s="179"/>
      <c r="L234" s="192"/>
      <c r="M234" s="1016" t="s">
        <v>652</v>
      </c>
      <c r="N234" s="1000"/>
      <c r="O234" s="1000"/>
      <c r="P234" s="1000"/>
      <c r="Q234" s="1000"/>
      <c r="R234" s="1000"/>
      <c r="S234" s="1000"/>
      <c r="T234" s="1000"/>
      <c r="U234" s="1000"/>
      <c r="V234" s="1000"/>
      <c r="W234" s="1000"/>
      <c r="X234" s="1000"/>
      <c r="Y234" s="1000"/>
      <c r="Z234" s="1000"/>
      <c r="AA234" s="1000"/>
      <c r="AB234" s="1000"/>
      <c r="AC234" s="1000"/>
      <c r="AD234" s="1000"/>
      <c r="AE234" s="1000"/>
      <c r="AF234" s="1000"/>
      <c r="AG234" s="1000"/>
      <c r="AH234" s="1000"/>
      <c r="AI234" s="1000"/>
      <c r="AJ234" s="1000"/>
      <c r="AK234" s="1000"/>
      <c r="AL234" s="1000"/>
      <c r="AM234" s="1000"/>
      <c r="AN234" s="1000"/>
      <c r="AO234" s="1000"/>
      <c r="AP234" s="1000"/>
      <c r="AQ234" s="1000"/>
      <c r="AR234" s="1000"/>
      <c r="AS234" s="1000"/>
      <c r="AT234" s="1000"/>
      <c r="AU234" s="1000"/>
      <c r="AV234" s="1000"/>
      <c r="AW234" s="1000"/>
      <c r="AX234" s="1000"/>
      <c r="AY234" s="1000"/>
      <c r="AZ234" s="1000"/>
      <c r="BA234" s="1000"/>
      <c r="BB234" s="1000"/>
      <c r="BC234" s="1000"/>
      <c r="BD234" s="1000"/>
      <c r="BE234" s="201"/>
      <c r="BF234" s="202" t="s">
        <v>419</v>
      </c>
      <c r="BG234" s="201"/>
      <c r="BH234" s="201"/>
      <c r="BI234" s="201"/>
      <c r="BJ234" s="201"/>
      <c r="BK234" s="203"/>
    </row>
    <row r="235" spans="1:64" s="165" customFormat="1" ht="41.5" customHeight="1">
      <c r="A235" s="210" t="s">
        <v>411</v>
      </c>
      <c r="B235" s="211" t="s">
        <v>653</v>
      </c>
      <c r="C235" s="212"/>
      <c r="D235" s="212"/>
      <c r="E235" s="212"/>
      <c r="F235" s="212"/>
      <c r="G235" s="212"/>
      <c r="H235" s="212"/>
      <c r="I235" s="212"/>
      <c r="J235" s="212"/>
      <c r="K235" s="212"/>
      <c r="L235" s="219"/>
      <c r="M235" s="1017" t="s">
        <v>654</v>
      </c>
      <c r="N235" s="1018"/>
      <c r="O235" s="1018"/>
      <c r="P235" s="1018"/>
      <c r="Q235" s="1018"/>
      <c r="R235" s="1018"/>
      <c r="S235" s="1018"/>
      <c r="T235" s="1018"/>
      <c r="U235" s="1018"/>
      <c r="V235" s="1018"/>
      <c r="W235" s="1018"/>
      <c r="X235" s="1018"/>
      <c r="Y235" s="1018"/>
      <c r="Z235" s="1018"/>
      <c r="AA235" s="1018"/>
      <c r="AB235" s="1018"/>
      <c r="AC235" s="1018"/>
      <c r="AD235" s="1018"/>
      <c r="AE235" s="1018"/>
      <c r="AF235" s="1018"/>
      <c r="AG235" s="1018"/>
      <c r="AH235" s="1018"/>
      <c r="AI235" s="1018"/>
      <c r="AJ235" s="1018"/>
      <c r="AK235" s="1018"/>
      <c r="AL235" s="1018"/>
      <c r="AM235" s="1018"/>
      <c r="AN235" s="1018"/>
      <c r="AO235" s="1018"/>
      <c r="AP235" s="1018"/>
      <c r="AQ235" s="1018"/>
      <c r="AR235" s="1018"/>
      <c r="AS235" s="1018"/>
      <c r="AT235" s="1018"/>
      <c r="AU235" s="1018"/>
      <c r="AV235" s="1018"/>
      <c r="AW235" s="1018"/>
      <c r="AX235" s="1018"/>
      <c r="AY235" s="1018"/>
      <c r="AZ235" s="1018"/>
      <c r="BA235" s="1018"/>
      <c r="BB235" s="1018"/>
      <c r="BC235" s="1018"/>
      <c r="BD235" s="1019"/>
      <c r="BE235" s="223"/>
      <c r="BF235" s="224" t="s">
        <v>419</v>
      </c>
      <c r="BG235" s="223"/>
      <c r="BH235" s="223"/>
      <c r="BI235" s="223"/>
      <c r="BJ235" s="223"/>
      <c r="BK235" s="203"/>
      <c r="BL235" s="164"/>
    </row>
    <row r="236" spans="1:64" s="164" customFormat="1" ht="15.75" customHeight="1">
      <c r="A236" s="185"/>
      <c r="B236" s="186"/>
      <c r="C236" s="184"/>
      <c r="D236" s="184"/>
      <c r="E236" s="184"/>
      <c r="F236" s="184"/>
      <c r="G236" s="184"/>
      <c r="H236" s="184"/>
      <c r="I236" s="184"/>
      <c r="J236" s="184"/>
      <c r="K236" s="184"/>
      <c r="L236" s="193"/>
      <c r="M236" s="184"/>
      <c r="N236" s="184"/>
      <c r="O236" s="184"/>
      <c r="P236" s="184"/>
      <c r="Q236" s="184"/>
      <c r="R236" s="184"/>
      <c r="S236" s="184"/>
      <c r="T236" s="184"/>
      <c r="U236" s="184"/>
      <c r="V236" s="184"/>
      <c r="W236" s="184"/>
      <c r="X236" s="184"/>
      <c r="Y236" s="184"/>
      <c r="Z236" s="184"/>
      <c r="AA236" s="184"/>
      <c r="AB236" s="184"/>
      <c r="AC236" s="184"/>
      <c r="AD236" s="184"/>
      <c r="AE236" s="184"/>
      <c r="AF236" s="184"/>
      <c r="AG236" s="184"/>
      <c r="AH236" s="184"/>
      <c r="AI236" s="184"/>
      <c r="AJ236" s="184"/>
      <c r="AK236" s="184"/>
      <c r="AL236" s="184"/>
      <c r="AM236" s="184"/>
      <c r="AN236" s="184"/>
      <c r="AO236" s="184"/>
      <c r="AP236" s="184"/>
      <c r="AQ236" s="184"/>
      <c r="AR236" s="184"/>
      <c r="AS236" s="184"/>
      <c r="AT236" s="184"/>
      <c r="AU236" s="184"/>
      <c r="AV236" s="184"/>
      <c r="AW236" s="184"/>
      <c r="AX236" s="184"/>
      <c r="AY236" s="184"/>
      <c r="AZ236" s="184"/>
      <c r="BA236" s="184"/>
      <c r="BB236" s="184"/>
      <c r="BC236" s="184"/>
      <c r="BD236" s="184"/>
      <c r="BE236" s="204"/>
      <c r="BF236" s="204"/>
      <c r="BG236" s="204"/>
      <c r="BH236" s="204"/>
      <c r="BI236" s="204"/>
      <c r="BJ236" s="204"/>
      <c r="BK236" s="206"/>
    </row>
    <row r="237" spans="1:64" s="164" customFormat="1" ht="15.75" customHeight="1">
      <c r="A237" s="213"/>
      <c r="B237" s="214" t="s">
        <v>267</v>
      </c>
      <c r="C237" s="215"/>
      <c r="D237" s="215"/>
      <c r="E237" s="215"/>
      <c r="F237" s="215"/>
      <c r="G237" s="215"/>
      <c r="H237" s="215"/>
      <c r="I237" s="215"/>
      <c r="J237" s="215"/>
      <c r="K237" s="215"/>
      <c r="L237" s="220"/>
      <c r="M237" s="215"/>
      <c r="N237" s="221" t="s">
        <v>403</v>
      </c>
      <c r="O237" s="215"/>
      <c r="P237" s="215"/>
      <c r="Q237" s="215"/>
      <c r="R237" s="215"/>
      <c r="S237" s="215"/>
      <c r="T237" s="215"/>
      <c r="U237" s="215"/>
      <c r="V237" s="215"/>
      <c r="W237" s="215"/>
      <c r="X237" s="215"/>
      <c r="Y237" s="215"/>
      <c r="Z237" s="215"/>
      <c r="AA237" s="215"/>
      <c r="AB237" s="215"/>
      <c r="AC237" s="215"/>
      <c r="AD237" s="215"/>
      <c r="AE237" s="215"/>
      <c r="AF237" s="215"/>
      <c r="AG237" s="215"/>
      <c r="AH237" s="215"/>
      <c r="AI237" s="215"/>
      <c r="AJ237" s="215"/>
      <c r="AK237" s="215"/>
      <c r="AL237" s="215"/>
      <c r="AM237" s="215"/>
      <c r="AN237" s="215"/>
      <c r="AO237" s="215"/>
      <c r="AP237" s="215"/>
      <c r="AQ237" s="215"/>
      <c r="AR237" s="215"/>
      <c r="AS237" s="215"/>
      <c r="AT237" s="215"/>
      <c r="AU237" s="215"/>
      <c r="AV237" s="215"/>
      <c r="AW237" s="215"/>
      <c r="AX237" s="215"/>
      <c r="AY237" s="215"/>
      <c r="AZ237" s="215"/>
      <c r="BA237" s="215"/>
      <c r="BB237" s="215"/>
      <c r="BC237" s="215"/>
      <c r="BD237" s="215"/>
      <c r="BE237" s="225" t="s">
        <v>404</v>
      </c>
      <c r="BF237" s="225" t="s">
        <v>405</v>
      </c>
      <c r="BG237" s="225" t="s">
        <v>406</v>
      </c>
      <c r="BH237" s="225" t="s">
        <v>407</v>
      </c>
      <c r="BI237" s="225" t="s">
        <v>408</v>
      </c>
      <c r="BJ237" s="225" t="s">
        <v>409</v>
      </c>
      <c r="BK237" s="226" t="s">
        <v>410</v>
      </c>
    </row>
    <row r="238" spans="1:64" s="164" customFormat="1" ht="15.75" customHeight="1">
      <c r="A238" s="182" t="s">
        <v>411</v>
      </c>
      <c r="B238" s="183" t="s">
        <v>655</v>
      </c>
      <c r="C238" s="184"/>
      <c r="D238" s="184"/>
      <c r="E238" s="184"/>
      <c r="F238" s="184"/>
      <c r="G238" s="184"/>
      <c r="H238" s="184"/>
      <c r="I238" s="184"/>
      <c r="J238" s="184"/>
      <c r="K238" s="184"/>
      <c r="L238" s="193"/>
      <c r="M238" s="1001" t="s">
        <v>656</v>
      </c>
      <c r="N238" s="1002"/>
      <c r="O238" s="1002"/>
      <c r="P238" s="1002"/>
      <c r="Q238" s="1002"/>
      <c r="R238" s="1002"/>
      <c r="S238" s="1002"/>
      <c r="T238" s="1002"/>
      <c r="U238" s="1002"/>
      <c r="V238" s="1002"/>
      <c r="W238" s="1002"/>
      <c r="X238" s="1002"/>
      <c r="Y238" s="1002"/>
      <c r="Z238" s="1002"/>
      <c r="AA238" s="1002"/>
      <c r="AB238" s="1002"/>
      <c r="AC238" s="1002"/>
      <c r="AD238" s="1002"/>
      <c r="AE238" s="1002"/>
      <c r="AF238" s="1002"/>
      <c r="AG238" s="1002"/>
      <c r="AH238" s="1002"/>
      <c r="AI238" s="1002"/>
      <c r="AJ238" s="1002"/>
      <c r="AK238" s="1002"/>
      <c r="AL238" s="1002"/>
      <c r="AM238" s="1002"/>
      <c r="AN238" s="1002"/>
      <c r="AO238" s="1002"/>
      <c r="AP238" s="1002"/>
      <c r="AQ238" s="1002"/>
      <c r="AR238" s="1002"/>
      <c r="AS238" s="1002"/>
      <c r="AT238" s="1002"/>
      <c r="AU238" s="1002"/>
      <c r="AV238" s="1002"/>
      <c r="AW238" s="1002"/>
      <c r="AX238" s="1002"/>
      <c r="AY238" s="1002"/>
      <c r="AZ238" s="1002"/>
      <c r="BA238" s="1002"/>
      <c r="BB238" s="1002"/>
      <c r="BC238" s="1002"/>
      <c r="BD238" s="1002"/>
      <c r="BE238" s="204"/>
      <c r="BF238" s="205" t="s">
        <v>419</v>
      </c>
      <c r="BG238" s="204"/>
      <c r="BH238" s="204" t="s">
        <v>407</v>
      </c>
      <c r="BI238" s="204"/>
      <c r="BJ238" s="204"/>
      <c r="BK238" s="206"/>
    </row>
    <row r="239" spans="1:64" s="164" customFormat="1" ht="15.75" customHeight="1">
      <c r="A239" s="182" t="s">
        <v>411</v>
      </c>
      <c r="B239" s="183" t="s">
        <v>657</v>
      </c>
      <c r="C239" s="184"/>
      <c r="D239" s="184"/>
      <c r="E239" s="184"/>
      <c r="F239" s="184"/>
      <c r="G239" s="184"/>
      <c r="H239" s="184"/>
      <c r="I239" s="184"/>
      <c r="J239" s="184"/>
      <c r="K239" s="184"/>
      <c r="L239" s="193"/>
      <c r="M239" s="1003"/>
      <c r="N239" s="1002"/>
      <c r="O239" s="1002"/>
      <c r="P239" s="1002"/>
      <c r="Q239" s="1002"/>
      <c r="R239" s="1002"/>
      <c r="S239" s="1002"/>
      <c r="T239" s="1002"/>
      <c r="U239" s="1002"/>
      <c r="V239" s="1002"/>
      <c r="W239" s="1002"/>
      <c r="X239" s="1002"/>
      <c r="Y239" s="1002"/>
      <c r="Z239" s="1002"/>
      <c r="AA239" s="1002"/>
      <c r="AB239" s="1002"/>
      <c r="AC239" s="1002"/>
      <c r="AD239" s="1002"/>
      <c r="AE239" s="1002"/>
      <c r="AF239" s="1002"/>
      <c r="AG239" s="1002"/>
      <c r="AH239" s="1002"/>
      <c r="AI239" s="1002"/>
      <c r="AJ239" s="1002"/>
      <c r="AK239" s="1002"/>
      <c r="AL239" s="1002"/>
      <c r="AM239" s="1002"/>
      <c r="AN239" s="1002"/>
      <c r="AO239" s="1002"/>
      <c r="AP239" s="1002"/>
      <c r="AQ239" s="1002"/>
      <c r="AR239" s="1002"/>
      <c r="AS239" s="1002"/>
      <c r="AT239" s="1002"/>
      <c r="AU239" s="1002"/>
      <c r="AV239" s="1002"/>
      <c r="AW239" s="1002"/>
      <c r="AX239" s="1002"/>
      <c r="AY239" s="1002"/>
      <c r="AZ239" s="1002"/>
      <c r="BA239" s="1002"/>
      <c r="BB239" s="1002"/>
      <c r="BC239" s="1002"/>
      <c r="BD239" s="1002"/>
      <c r="BE239" s="205" t="s">
        <v>486</v>
      </c>
      <c r="BF239" s="205" t="s">
        <v>487</v>
      </c>
      <c r="BG239" s="204"/>
      <c r="BH239" s="204" t="s">
        <v>407</v>
      </c>
      <c r="BI239" s="205" t="s">
        <v>408</v>
      </c>
      <c r="BJ239" s="204"/>
      <c r="BK239" s="206"/>
    </row>
    <row r="240" spans="1:64" s="164" customFormat="1" ht="15.75" customHeight="1">
      <c r="A240" s="185"/>
      <c r="B240" s="183" t="s">
        <v>658</v>
      </c>
      <c r="C240" s="184"/>
      <c r="D240" s="184"/>
      <c r="E240" s="184"/>
      <c r="F240" s="184"/>
      <c r="G240" s="184"/>
      <c r="H240" s="184"/>
      <c r="I240" s="184"/>
      <c r="J240" s="184"/>
      <c r="K240" s="184"/>
      <c r="L240" s="193"/>
      <c r="M240" s="1003"/>
      <c r="N240" s="1002"/>
      <c r="O240" s="1002"/>
      <c r="P240" s="1002"/>
      <c r="Q240" s="1002"/>
      <c r="R240" s="1002"/>
      <c r="S240" s="1002"/>
      <c r="T240" s="1002"/>
      <c r="U240" s="1002"/>
      <c r="V240" s="1002"/>
      <c r="W240" s="1002"/>
      <c r="X240" s="1002"/>
      <c r="Y240" s="1002"/>
      <c r="Z240" s="1002"/>
      <c r="AA240" s="1002"/>
      <c r="AB240" s="1002"/>
      <c r="AC240" s="1002"/>
      <c r="AD240" s="1002"/>
      <c r="AE240" s="1002"/>
      <c r="AF240" s="1002"/>
      <c r="AG240" s="1002"/>
      <c r="AH240" s="1002"/>
      <c r="AI240" s="1002"/>
      <c r="AJ240" s="1002"/>
      <c r="AK240" s="1002"/>
      <c r="AL240" s="1002"/>
      <c r="AM240" s="1002"/>
      <c r="AN240" s="1002"/>
      <c r="AO240" s="1002"/>
      <c r="AP240" s="1002"/>
      <c r="AQ240" s="1002"/>
      <c r="AR240" s="1002"/>
      <c r="AS240" s="1002"/>
      <c r="AT240" s="1002"/>
      <c r="AU240" s="1002"/>
      <c r="AV240" s="1002"/>
      <c r="AW240" s="1002"/>
      <c r="AX240" s="1002"/>
      <c r="AY240" s="1002"/>
      <c r="AZ240" s="1002"/>
      <c r="BA240" s="1002"/>
      <c r="BB240" s="1002"/>
      <c r="BC240" s="1002"/>
      <c r="BD240" s="1002"/>
      <c r="BE240" s="204"/>
      <c r="BF240" s="205" t="s">
        <v>487</v>
      </c>
      <c r="BG240" s="204"/>
      <c r="BH240" s="204" t="s">
        <v>407</v>
      </c>
      <c r="BI240" s="204"/>
      <c r="BJ240" s="204"/>
      <c r="BK240" s="206"/>
    </row>
    <row r="241" spans="1:63" s="164" customFormat="1" ht="15.75" customHeight="1">
      <c r="A241" s="185"/>
      <c r="B241" s="183" t="s">
        <v>659</v>
      </c>
      <c r="C241" s="184"/>
      <c r="D241" s="184"/>
      <c r="E241" s="184"/>
      <c r="F241" s="184"/>
      <c r="G241" s="184"/>
      <c r="H241" s="184"/>
      <c r="I241" s="184"/>
      <c r="J241" s="184"/>
      <c r="K241" s="184"/>
      <c r="L241" s="193"/>
      <c r="M241" s="1003" t="s">
        <v>660</v>
      </c>
      <c r="N241" s="1002"/>
      <c r="O241" s="1002"/>
      <c r="P241" s="1002"/>
      <c r="Q241" s="1002"/>
      <c r="R241" s="1002"/>
      <c r="S241" s="1002"/>
      <c r="T241" s="1002"/>
      <c r="U241" s="1002"/>
      <c r="V241" s="1002"/>
      <c r="W241" s="1002"/>
      <c r="X241" s="1002"/>
      <c r="Y241" s="1002"/>
      <c r="Z241" s="1002"/>
      <c r="AA241" s="1002"/>
      <c r="AB241" s="1002"/>
      <c r="AC241" s="1002"/>
      <c r="AD241" s="1002"/>
      <c r="AE241" s="1002"/>
      <c r="AF241" s="1002"/>
      <c r="AG241" s="1002"/>
      <c r="AH241" s="1002"/>
      <c r="AI241" s="1002"/>
      <c r="AJ241" s="1002"/>
      <c r="AK241" s="1002"/>
      <c r="AL241" s="1002"/>
      <c r="AM241" s="1002"/>
      <c r="AN241" s="1002"/>
      <c r="AO241" s="1002"/>
      <c r="AP241" s="1002"/>
      <c r="AQ241" s="1002"/>
      <c r="AR241" s="1002"/>
      <c r="AS241" s="1002"/>
      <c r="AT241" s="1002"/>
      <c r="AU241" s="1002"/>
      <c r="AV241" s="1002"/>
      <c r="AW241" s="1002"/>
      <c r="AX241" s="1002"/>
      <c r="AY241" s="1002"/>
      <c r="AZ241" s="1002"/>
      <c r="BA241" s="1002"/>
      <c r="BB241" s="1002"/>
      <c r="BC241" s="1002"/>
      <c r="BD241" s="1002"/>
      <c r="BE241" s="204"/>
      <c r="BF241" s="205" t="s">
        <v>462</v>
      </c>
      <c r="BG241" s="204"/>
      <c r="BH241" s="204" t="s">
        <v>407</v>
      </c>
      <c r="BI241" s="204"/>
      <c r="BJ241" s="204"/>
      <c r="BK241" s="206"/>
    </row>
    <row r="242" spans="1:63" s="164" customFormat="1" ht="15.75" customHeight="1">
      <c r="A242" s="182" t="s">
        <v>411</v>
      </c>
      <c r="B242" s="183" t="s">
        <v>647</v>
      </c>
      <c r="C242" s="184"/>
      <c r="D242" s="184"/>
      <c r="E242" s="184"/>
      <c r="F242" s="184"/>
      <c r="G242" s="184"/>
      <c r="H242" s="184"/>
      <c r="I242" s="184"/>
      <c r="J242" s="184"/>
      <c r="K242" s="184"/>
      <c r="L242" s="193"/>
      <c r="M242" s="1005" t="s">
        <v>661</v>
      </c>
      <c r="N242" s="1002"/>
      <c r="O242" s="1002"/>
      <c r="P242" s="1002"/>
      <c r="Q242" s="1002"/>
      <c r="R242" s="1002"/>
      <c r="S242" s="1002"/>
      <c r="T242" s="1002"/>
      <c r="U242" s="1002"/>
      <c r="V242" s="1002"/>
      <c r="W242" s="1002"/>
      <c r="X242" s="1002"/>
      <c r="Y242" s="1002"/>
      <c r="Z242" s="1002"/>
      <c r="AA242" s="1002"/>
      <c r="AB242" s="1002"/>
      <c r="AC242" s="1002"/>
      <c r="AD242" s="1002"/>
      <c r="AE242" s="1002"/>
      <c r="AF242" s="1002"/>
      <c r="AG242" s="1002"/>
      <c r="AH242" s="1002"/>
      <c r="AI242" s="1002"/>
      <c r="AJ242" s="1002"/>
      <c r="AK242" s="1002"/>
      <c r="AL242" s="1002"/>
      <c r="AM242" s="1002"/>
      <c r="AN242" s="1002"/>
      <c r="AO242" s="1002"/>
      <c r="AP242" s="1002"/>
      <c r="AQ242" s="1002"/>
      <c r="AR242" s="1002"/>
      <c r="AS242" s="1002"/>
      <c r="AT242" s="1002"/>
      <c r="AU242" s="1002"/>
      <c r="AV242" s="1002"/>
      <c r="AW242" s="1002"/>
      <c r="AX242" s="1002"/>
      <c r="AY242" s="1002"/>
      <c r="AZ242" s="1002"/>
      <c r="BA242" s="1002"/>
      <c r="BB242" s="1002"/>
      <c r="BC242" s="1002"/>
      <c r="BD242" s="1002"/>
      <c r="BE242" s="204"/>
      <c r="BF242" s="205" t="s">
        <v>462</v>
      </c>
      <c r="BG242" s="204"/>
      <c r="BH242" s="204" t="s">
        <v>407</v>
      </c>
      <c r="BI242" s="205" t="s">
        <v>408</v>
      </c>
      <c r="BJ242" s="204"/>
      <c r="BK242" s="206"/>
    </row>
    <row r="243" spans="1:63" s="164" customFormat="1" ht="15.75" customHeight="1">
      <c r="A243" s="185"/>
      <c r="B243" s="183" t="s">
        <v>662</v>
      </c>
      <c r="C243" s="184"/>
      <c r="D243" s="184"/>
      <c r="E243" s="184"/>
      <c r="F243" s="184"/>
      <c r="G243" s="184"/>
      <c r="H243" s="184"/>
      <c r="I243" s="184"/>
      <c r="J243" s="184"/>
      <c r="K243" s="184"/>
      <c r="L243" s="193"/>
      <c r="M243" s="1005" t="s">
        <v>663</v>
      </c>
      <c r="N243" s="1002"/>
      <c r="O243" s="1002"/>
      <c r="P243" s="1002"/>
      <c r="Q243" s="1002"/>
      <c r="R243" s="1002"/>
      <c r="S243" s="1002"/>
      <c r="T243" s="1002"/>
      <c r="U243" s="1002"/>
      <c r="V243" s="1002"/>
      <c r="W243" s="1002"/>
      <c r="X243" s="1002"/>
      <c r="Y243" s="1002"/>
      <c r="Z243" s="1002"/>
      <c r="AA243" s="1002"/>
      <c r="AB243" s="1002"/>
      <c r="AC243" s="1002"/>
      <c r="AD243" s="1002"/>
      <c r="AE243" s="1002"/>
      <c r="AF243" s="1002"/>
      <c r="AG243" s="1002"/>
      <c r="AH243" s="1002"/>
      <c r="AI243" s="1002"/>
      <c r="AJ243" s="1002"/>
      <c r="AK243" s="1002"/>
      <c r="AL243" s="1002"/>
      <c r="AM243" s="1002"/>
      <c r="AN243" s="1002"/>
      <c r="AO243" s="1002"/>
      <c r="AP243" s="1002"/>
      <c r="AQ243" s="1002"/>
      <c r="AR243" s="1002"/>
      <c r="AS243" s="1002"/>
      <c r="AT243" s="1002"/>
      <c r="AU243" s="1002"/>
      <c r="AV243" s="1002"/>
      <c r="AW243" s="1002"/>
      <c r="AX243" s="1002"/>
      <c r="AY243" s="1002"/>
      <c r="AZ243" s="1002"/>
      <c r="BA243" s="1002"/>
      <c r="BB243" s="1002"/>
      <c r="BC243" s="1002"/>
      <c r="BD243" s="1002"/>
      <c r="BE243" s="204"/>
      <c r="BF243" s="205" t="s">
        <v>462</v>
      </c>
      <c r="BG243" s="204"/>
      <c r="BH243" s="204" t="s">
        <v>407</v>
      </c>
      <c r="BI243" s="204"/>
      <c r="BJ243" s="205" t="s">
        <v>409</v>
      </c>
      <c r="BK243" s="206"/>
    </row>
    <row r="244" spans="1:63" s="164" customFormat="1" ht="15.75" customHeight="1">
      <c r="A244" s="185"/>
      <c r="B244" s="183" t="s">
        <v>664</v>
      </c>
      <c r="C244" s="184"/>
      <c r="D244" s="184"/>
      <c r="E244" s="184"/>
      <c r="F244" s="184"/>
      <c r="G244" s="184"/>
      <c r="H244" s="184"/>
      <c r="I244" s="184"/>
      <c r="J244" s="184"/>
      <c r="K244" s="184"/>
      <c r="L244" s="193"/>
      <c r="M244" s="1003"/>
      <c r="N244" s="1002"/>
      <c r="O244" s="1002"/>
      <c r="P244" s="1002"/>
      <c r="Q244" s="1002"/>
      <c r="R244" s="1002"/>
      <c r="S244" s="1002"/>
      <c r="T244" s="1002"/>
      <c r="U244" s="1002"/>
      <c r="V244" s="1002"/>
      <c r="W244" s="1002"/>
      <c r="X244" s="1002"/>
      <c r="Y244" s="1002"/>
      <c r="Z244" s="1002"/>
      <c r="AA244" s="1002"/>
      <c r="AB244" s="1002"/>
      <c r="AC244" s="1002"/>
      <c r="AD244" s="1002"/>
      <c r="AE244" s="1002"/>
      <c r="AF244" s="1002"/>
      <c r="AG244" s="1002"/>
      <c r="AH244" s="1002"/>
      <c r="AI244" s="1002"/>
      <c r="AJ244" s="1002"/>
      <c r="AK244" s="1002"/>
      <c r="AL244" s="1002"/>
      <c r="AM244" s="1002"/>
      <c r="AN244" s="1002"/>
      <c r="AO244" s="1002"/>
      <c r="AP244" s="1002"/>
      <c r="AQ244" s="1002"/>
      <c r="AR244" s="1002"/>
      <c r="AS244" s="1002"/>
      <c r="AT244" s="1002"/>
      <c r="AU244" s="1002"/>
      <c r="AV244" s="1002"/>
      <c r="AW244" s="1002"/>
      <c r="AX244" s="1002"/>
      <c r="AY244" s="1002"/>
      <c r="AZ244" s="1002"/>
      <c r="BA244" s="1002"/>
      <c r="BB244" s="1002"/>
      <c r="BC244" s="1002"/>
      <c r="BD244" s="1002"/>
      <c r="BE244" s="204"/>
      <c r="BF244" s="205" t="s">
        <v>548</v>
      </c>
      <c r="BG244" s="204"/>
      <c r="BH244" s="204"/>
      <c r="BI244" s="204"/>
      <c r="BJ244" s="204"/>
      <c r="BK244" s="206"/>
    </row>
    <row r="245" spans="1:63" s="164" customFormat="1" ht="15.75" customHeight="1">
      <c r="A245" s="185"/>
      <c r="B245" s="183" t="s">
        <v>665</v>
      </c>
      <c r="C245" s="184"/>
      <c r="D245" s="184"/>
      <c r="E245" s="184"/>
      <c r="F245" s="184"/>
      <c r="G245" s="184"/>
      <c r="H245" s="184"/>
      <c r="I245" s="184"/>
      <c r="J245" s="184"/>
      <c r="K245" s="184"/>
      <c r="L245" s="193"/>
      <c r="M245" s="1003"/>
      <c r="N245" s="1002"/>
      <c r="O245" s="1002"/>
      <c r="P245" s="1002"/>
      <c r="Q245" s="1002"/>
      <c r="R245" s="1002"/>
      <c r="S245" s="1002"/>
      <c r="T245" s="1002"/>
      <c r="U245" s="1002"/>
      <c r="V245" s="1002"/>
      <c r="W245" s="1002"/>
      <c r="X245" s="1002"/>
      <c r="Y245" s="1002"/>
      <c r="Z245" s="1002"/>
      <c r="AA245" s="1002"/>
      <c r="AB245" s="1002"/>
      <c r="AC245" s="1002"/>
      <c r="AD245" s="1002"/>
      <c r="AE245" s="1002"/>
      <c r="AF245" s="1002"/>
      <c r="AG245" s="1002"/>
      <c r="AH245" s="1002"/>
      <c r="AI245" s="1002"/>
      <c r="AJ245" s="1002"/>
      <c r="AK245" s="1002"/>
      <c r="AL245" s="1002"/>
      <c r="AM245" s="1002"/>
      <c r="AN245" s="1002"/>
      <c r="AO245" s="1002"/>
      <c r="AP245" s="1002"/>
      <c r="AQ245" s="1002"/>
      <c r="AR245" s="1002"/>
      <c r="AS245" s="1002"/>
      <c r="AT245" s="1002"/>
      <c r="AU245" s="1002"/>
      <c r="AV245" s="1002"/>
      <c r="AW245" s="1002"/>
      <c r="AX245" s="1002"/>
      <c r="AY245" s="1002"/>
      <c r="AZ245" s="1002"/>
      <c r="BA245" s="1002"/>
      <c r="BB245" s="1002"/>
      <c r="BC245" s="1002"/>
      <c r="BD245" s="1002"/>
      <c r="BE245" s="204"/>
      <c r="BF245" s="205" t="s">
        <v>419</v>
      </c>
      <c r="BG245" s="204"/>
      <c r="BH245" s="204" t="s">
        <v>407</v>
      </c>
      <c r="BI245" s="204"/>
      <c r="BJ245" s="204"/>
      <c r="BK245" s="206"/>
    </row>
    <row r="246" spans="1:63" s="164" customFormat="1" ht="15.75" customHeight="1">
      <c r="A246" s="182" t="s">
        <v>411</v>
      </c>
      <c r="B246" s="183" t="s">
        <v>498</v>
      </c>
      <c r="C246" s="184"/>
      <c r="D246" s="184"/>
      <c r="E246" s="184"/>
      <c r="F246" s="184"/>
      <c r="G246" s="184"/>
      <c r="H246" s="184"/>
      <c r="I246" s="184"/>
      <c r="J246" s="184"/>
      <c r="K246" s="184"/>
      <c r="L246" s="193"/>
      <c r="M246" s="1005" t="s">
        <v>666</v>
      </c>
      <c r="N246" s="1005"/>
      <c r="O246" s="1005"/>
      <c r="P246" s="1005"/>
      <c r="Q246" s="1005"/>
      <c r="R246" s="1005"/>
      <c r="S246" s="1005"/>
      <c r="T246" s="1005"/>
      <c r="U246" s="1005"/>
      <c r="V246" s="1005"/>
      <c r="W246" s="1005"/>
      <c r="X246" s="1005"/>
      <c r="Y246" s="1005"/>
      <c r="Z246" s="1005"/>
      <c r="AA246" s="1005"/>
      <c r="AB246" s="1005"/>
      <c r="AC246" s="1005"/>
      <c r="AD246" s="1005"/>
      <c r="AE246" s="1005"/>
      <c r="AF246" s="1005"/>
      <c r="AG246" s="1005"/>
      <c r="AH246" s="1005"/>
      <c r="AI246" s="1005"/>
      <c r="AJ246" s="1005"/>
      <c r="AK246" s="1005"/>
      <c r="AL246" s="1005"/>
      <c r="AM246" s="1005"/>
      <c r="AN246" s="1005"/>
      <c r="AO246" s="1005"/>
      <c r="AP246" s="1005"/>
      <c r="AQ246" s="1005"/>
      <c r="AR246" s="1005"/>
      <c r="AS246" s="1005"/>
      <c r="AT246" s="1005"/>
      <c r="AU246" s="1005"/>
      <c r="AV246" s="1005"/>
      <c r="AW246" s="1005"/>
      <c r="AX246" s="1005"/>
      <c r="AY246" s="1005"/>
      <c r="AZ246" s="1005"/>
      <c r="BA246" s="1005"/>
      <c r="BB246" s="1005"/>
      <c r="BC246" s="1005"/>
      <c r="BD246" s="1005"/>
      <c r="BE246" s="205" t="s">
        <v>489</v>
      </c>
      <c r="BF246" s="205" t="s">
        <v>487</v>
      </c>
      <c r="BG246" s="204"/>
      <c r="BH246" s="204" t="s">
        <v>407</v>
      </c>
      <c r="BI246" s="205" t="s">
        <v>408</v>
      </c>
      <c r="BJ246" s="204"/>
      <c r="BK246" s="206"/>
    </row>
    <row r="247" spans="1:63" s="164" customFormat="1" ht="15.75" customHeight="1">
      <c r="A247" s="185"/>
      <c r="B247" s="183" t="s">
        <v>499</v>
      </c>
      <c r="C247" s="184"/>
      <c r="D247" s="184"/>
      <c r="E247" s="184"/>
      <c r="F247" s="184"/>
      <c r="G247" s="184"/>
      <c r="H247" s="184"/>
      <c r="I247" s="184"/>
      <c r="J247" s="184"/>
      <c r="K247" s="184"/>
      <c r="L247" s="193"/>
      <c r="M247" s="1003"/>
      <c r="N247" s="1002"/>
      <c r="O247" s="1002"/>
      <c r="P247" s="1002"/>
      <c r="Q247" s="1002"/>
      <c r="R247" s="1002"/>
      <c r="S247" s="1002"/>
      <c r="T247" s="1002"/>
      <c r="U247" s="1002"/>
      <c r="V247" s="1002"/>
      <c r="W247" s="1002"/>
      <c r="X247" s="1002"/>
      <c r="Y247" s="1002"/>
      <c r="Z247" s="1002"/>
      <c r="AA247" s="1002"/>
      <c r="AB247" s="1002"/>
      <c r="AC247" s="1002"/>
      <c r="AD247" s="1002"/>
      <c r="AE247" s="1002"/>
      <c r="AF247" s="1002"/>
      <c r="AG247" s="1002"/>
      <c r="AH247" s="1002"/>
      <c r="AI247" s="1002"/>
      <c r="AJ247" s="1002"/>
      <c r="AK247" s="1002"/>
      <c r="AL247" s="1002"/>
      <c r="AM247" s="1002"/>
      <c r="AN247" s="1002"/>
      <c r="AO247" s="1002"/>
      <c r="AP247" s="1002"/>
      <c r="AQ247" s="1002"/>
      <c r="AR247" s="1002"/>
      <c r="AS247" s="1002"/>
      <c r="AT247" s="1002"/>
      <c r="AU247" s="1002"/>
      <c r="AV247" s="1002"/>
      <c r="AW247" s="1002"/>
      <c r="AX247" s="1002"/>
      <c r="AY247" s="1002"/>
      <c r="AZ247" s="1002"/>
      <c r="BA247" s="1002"/>
      <c r="BB247" s="1002"/>
      <c r="BC247" s="1002"/>
      <c r="BD247" s="1002"/>
      <c r="BE247" s="204"/>
      <c r="BF247" s="205" t="s">
        <v>487</v>
      </c>
      <c r="BG247" s="204"/>
      <c r="BH247" s="204" t="s">
        <v>407</v>
      </c>
      <c r="BI247" s="204"/>
      <c r="BJ247" s="204"/>
      <c r="BK247" s="206"/>
    </row>
    <row r="248" spans="1:63" s="164" customFormat="1" ht="15.75" customHeight="1">
      <c r="A248" s="185"/>
      <c r="B248" s="183" t="s">
        <v>667</v>
      </c>
      <c r="C248" s="184"/>
      <c r="D248" s="184"/>
      <c r="E248" s="184"/>
      <c r="F248" s="184"/>
      <c r="G248" s="184"/>
      <c r="H248" s="184"/>
      <c r="I248" s="184"/>
      <c r="J248" s="184"/>
      <c r="K248" s="184"/>
      <c r="L248" s="193"/>
      <c r="M248" s="1001" t="s">
        <v>668</v>
      </c>
      <c r="N248" s="1002"/>
      <c r="O248" s="1002"/>
      <c r="P248" s="1002"/>
      <c r="Q248" s="1002"/>
      <c r="R248" s="1002"/>
      <c r="S248" s="1002"/>
      <c r="T248" s="1002"/>
      <c r="U248" s="1002"/>
      <c r="V248" s="1002"/>
      <c r="W248" s="1002"/>
      <c r="X248" s="1002"/>
      <c r="Y248" s="1002"/>
      <c r="Z248" s="1002"/>
      <c r="AA248" s="1002"/>
      <c r="AB248" s="1002"/>
      <c r="AC248" s="1002"/>
      <c r="AD248" s="1002"/>
      <c r="AE248" s="1002"/>
      <c r="AF248" s="1002"/>
      <c r="AG248" s="1002"/>
      <c r="AH248" s="1002"/>
      <c r="AI248" s="1002"/>
      <c r="AJ248" s="1002"/>
      <c r="AK248" s="1002"/>
      <c r="AL248" s="1002"/>
      <c r="AM248" s="1002"/>
      <c r="AN248" s="1002"/>
      <c r="AO248" s="1002"/>
      <c r="AP248" s="1002"/>
      <c r="AQ248" s="1002"/>
      <c r="AR248" s="1002"/>
      <c r="AS248" s="1002"/>
      <c r="AT248" s="1002"/>
      <c r="AU248" s="1002"/>
      <c r="AV248" s="1002"/>
      <c r="AW248" s="1002"/>
      <c r="AX248" s="1002"/>
      <c r="AY248" s="1002"/>
      <c r="AZ248" s="1002"/>
      <c r="BA248" s="1002"/>
      <c r="BB248" s="1002"/>
      <c r="BC248" s="1002"/>
      <c r="BD248" s="1002"/>
      <c r="BE248" s="204"/>
      <c r="BF248" s="205" t="s">
        <v>642</v>
      </c>
      <c r="BG248" s="204"/>
      <c r="BH248" s="204"/>
      <c r="BI248" s="204"/>
      <c r="BJ248" s="204"/>
      <c r="BK248" s="206"/>
    </row>
    <row r="249" spans="1:63" s="166" customFormat="1" ht="15.75" customHeight="1">
      <c r="A249" s="216"/>
      <c r="B249" s="217" t="s">
        <v>669</v>
      </c>
      <c r="C249" s="218"/>
      <c r="D249" s="218"/>
      <c r="E249" s="218"/>
      <c r="F249" s="218"/>
      <c r="G249" s="218"/>
      <c r="H249" s="218"/>
      <c r="I249" s="218"/>
      <c r="J249" s="218"/>
      <c r="K249" s="218"/>
      <c r="L249" s="222"/>
      <c r="M249" s="1004"/>
      <c r="N249" s="1013"/>
      <c r="O249" s="1013"/>
      <c r="P249" s="1013"/>
      <c r="Q249" s="1013"/>
      <c r="R249" s="1013"/>
      <c r="S249" s="1013"/>
      <c r="T249" s="1013"/>
      <c r="U249" s="1013"/>
      <c r="V249" s="1013"/>
      <c r="W249" s="1013"/>
      <c r="X249" s="1013"/>
      <c r="Y249" s="1013"/>
      <c r="Z249" s="1013"/>
      <c r="AA249" s="1013"/>
      <c r="AB249" s="1013"/>
      <c r="AC249" s="1013"/>
      <c r="AD249" s="1013"/>
      <c r="AE249" s="1013"/>
      <c r="AF249" s="1013"/>
      <c r="AG249" s="1013"/>
      <c r="AH249" s="1013"/>
      <c r="AI249" s="1013"/>
      <c r="AJ249" s="1013"/>
      <c r="AK249" s="1013"/>
      <c r="AL249" s="1013"/>
      <c r="AM249" s="1013"/>
      <c r="AN249" s="1013"/>
      <c r="AO249" s="1013"/>
      <c r="AP249" s="1013"/>
      <c r="AQ249" s="1013"/>
      <c r="AR249" s="1013"/>
      <c r="AS249" s="1013"/>
      <c r="AT249" s="1013"/>
      <c r="AU249" s="1013"/>
      <c r="AV249" s="1013"/>
      <c r="AW249" s="1013"/>
      <c r="AX249" s="1013"/>
      <c r="AY249" s="1013"/>
      <c r="AZ249" s="1013"/>
      <c r="BA249" s="1013"/>
      <c r="BB249" s="1013"/>
      <c r="BC249" s="1013"/>
      <c r="BD249" s="1013"/>
      <c r="BE249" s="227"/>
      <c r="BF249" s="228" t="s">
        <v>487</v>
      </c>
      <c r="BG249" s="227"/>
      <c r="BH249" s="227" t="s">
        <v>407</v>
      </c>
      <c r="BI249" s="227"/>
      <c r="BJ249" s="228" t="s">
        <v>409</v>
      </c>
      <c r="BK249" s="229"/>
    </row>
    <row r="250" spans="1:63" s="166" customFormat="1" ht="15.75" customHeight="1">
      <c r="A250" s="216"/>
      <c r="B250" s="217" t="s">
        <v>670</v>
      </c>
      <c r="C250" s="218"/>
      <c r="D250" s="218"/>
      <c r="E250" s="218"/>
      <c r="F250" s="218"/>
      <c r="G250" s="218"/>
      <c r="H250" s="218"/>
      <c r="I250" s="218"/>
      <c r="J250" s="218"/>
      <c r="K250" s="218"/>
      <c r="L250" s="222"/>
      <c r="M250" s="1004"/>
      <c r="N250" s="1013"/>
      <c r="O250" s="1013"/>
      <c r="P250" s="1013"/>
      <c r="Q250" s="1013"/>
      <c r="R250" s="1013"/>
      <c r="S250" s="1013"/>
      <c r="T250" s="1013"/>
      <c r="U250" s="1013"/>
      <c r="V250" s="1013"/>
      <c r="W250" s="1013"/>
      <c r="X250" s="1013"/>
      <c r="Y250" s="1013"/>
      <c r="Z250" s="1013"/>
      <c r="AA250" s="1013"/>
      <c r="AB250" s="1013"/>
      <c r="AC250" s="1013"/>
      <c r="AD250" s="1013"/>
      <c r="AE250" s="1013"/>
      <c r="AF250" s="1013"/>
      <c r="AG250" s="1013"/>
      <c r="AH250" s="1013"/>
      <c r="AI250" s="1013"/>
      <c r="AJ250" s="1013"/>
      <c r="AK250" s="1013"/>
      <c r="AL250" s="1013"/>
      <c r="AM250" s="1013"/>
      <c r="AN250" s="1013"/>
      <c r="AO250" s="1013"/>
      <c r="AP250" s="1013"/>
      <c r="AQ250" s="1013"/>
      <c r="AR250" s="1013"/>
      <c r="AS250" s="1013"/>
      <c r="AT250" s="1013"/>
      <c r="AU250" s="1013"/>
      <c r="AV250" s="1013"/>
      <c r="AW250" s="1013"/>
      <c r="AX250" s="1013"/>
      <c r="AY250" s="1013"/>
      <c r="AZ250" s="1013"/>
      <c r="BA250" s="1013"/>
      <c r="BB250" s="1013"/>
      <c r="BC250" s="1013"/>
      <c r="BD250" s="1013"/>
      <c r="BE250" s="227"/>
      <c r="BF250" s="228" t="s">
        <v>487</v>
      </c>
      <c r="BG250" s="227"/>
      <c r="BH250" s="227" t="s">
        <v>407</v>
      </c>
      <c r="BI250" s="227"/>
      <c r="BJ250" s="228" t="s">
        <v>409</v>
      </c>
      <c r="BK250" s="229"/>
    </row>
    <row r="251" spans="1:63" s="166" customFormat="1" ht="15.75" customHeight="1">
      <c r="A251" s="216"/>
      <c r="B251" s="217" t="s">
        <v>671</v>
      </c>
      <c r="C251" s="218"/>
      <c r="D251" s="218"/>
      <c r="E251" s="218"/>
      <c r="F251" s="218"/>
      <c r="G251" s="218"/>
      <c r="H251" s="218"/>
      <c r="I251" s="218"/>
      <c r="J251" s="218"/>
      <c r="K251" s="218"/>
      <c r="L251" s="222"/>
      <c r="M251" s="1004"/>
      <c r="N251" s="1013"/>
      <c r="O251" s="1013"/>
      <c r="P251" s="1013"/>
      <c r="Q251" s="1013"/>
      <c r="R251" s="1013"/>
      <c r="S251" s="1013"/>
      <c r="T251" s="1013"/>
      <c r="U251" s="1013"/>
      <c r="V251" s="1013"/>
      <c r="W251" s="1013"/>
      <c r="X251" s="1013"/>
      <c r="Y251" s="1013"/>
      <c r="Z251" s="1013"/>
      <c r="AA251" s="1013"/>
      <c r="AB251" s="1013"/>
      <c r="AC251" s="1013"/>
      <c r="AD251" s="1013"/>
      <c r="AE251" s="1013"/>
      <c r="AF251" s="1013"/>
      <c r="AG251" s="1013"/>
      <c r="AH251" s="1013"/>
      <c r="AI251" s="1013"/>
      <c r="AJ251" s="1013"/>
      <c r="AK251" s="1013"/>
      <c r="AL251" s="1013"/>
      <c r="AM251" s="1013"/>
      <c r="AN251" s="1013"/>
      <c r="AO251" s="1013"/>
      <c r="AP251" s="1013"/>
      <c r="AQ251" s="1013"/>
      <c r="AR251" s="1013"/>
      <c r="AS251" s="1013"/>
      <c r="AT251" s="1013"/>
      <c r="AU251" s="1013"/>
      <c r="AV251" s="1013"/>
      <c r="AW251" s="1013"/>
      <c r="AX251" s="1013"/>
      <c r="AY251" s="1013"/>
      <c r="AZ251" s="1013"/>
      <c r="BA251" s="1013"/>
      <c r="BB251" s="1013"/>
      <c r="BC251" s="1013"/>
      <c r="BD251" s="1013"/>
      <c r="BE251" s="227"/>
      <c r="BF251" s="228" t="s">
        <v>487</v>
      </c>
      <c r="BG251" s="227"/>
      <c r="BH251" s="227" t="s">
        <v>407</v>
      </c>
      <c r="BI251" s="227"/>
      <c r="BJ251" s="228" t="s">
        <v>409</v>
      </c>
      <c r="BK251" s="229"/>
    </row>
    <row r="252" spans="1:63" s="166" customFormat="1" ht="15.75" customHeight="1">
      <c r="A252" s="216"/>
      <c r="B252" s="217" t="s">
        <v>672</v>
      </c>
      <c r="C252" s="218"/>
      <c r="D252" s="218"/>
      <c r="E252" s="218"/>
      <c r="F252" s="218"/>
      <c r="G252" s="218"/>
      <c r="H252" s="218"/>
      <c r="I252" s="218"/>
      <c r="J252" s="218"/>
      <c r="K252" s="218"/>
      <c r="L252" s="222"/>
      <c r="M252" s="1004"/>
      <c r="N252" s="1013"/>
      <c r="O252" s="1013"/>
      <c r="P252" s="1013"/>
      <c r="Q252" s="1013"/>
      <c r="R252" s="1013"/>
      <c r="S252" s="1013"/>
      <c r="T252" s="1013"/>
      <c r="U252" s="1013"/>
      <c r="V252" s="1013"/>
      <c r="W252" s="1013"/>
      <c r="X252" s="1013"/>
      <c r="Y252" s="1013"/>
      <c r="Z252" s="1013"/>
      <c r="AA252" s="1013"/>
      <c r="AB252" s="1013"/>
      <c r="AC252" s="1013"/>
      <c r="AD252" s="1013"/>
      <c r="AE252" s="1013"/>
      <c r="AF252" s="1013"/>
      <c r="AG252" s="1013"/>
      <c r="AH252" s="1013"/>
      <c r="AI252" s="1013"/>
      <c r="AJ252" s="1013"/>
      <c r="AK252" s="1013"/>
      <c r="AL252" s="1013"/>
      <c r="AM252" s="1013"/>
      <c r="AN252" s="1013"/>
      <c r="AO252" s="1013"/>
      <c r="AP252" s="1013"/>
      <c r="AQ252" s="1013"/>
      <c r="AR252" s="1013"/>
      <c r="AS252" s="1013"/>
      <c r="AT252" s="1013"/>
      <c r="AU252" s="1013"/>
      <c r="AV252" s="1013"/>
      <c r="AW252" s="1013"/>
      <c r="AX252" s="1013"/>
      <c r="AY252" s="1013"/>
      <c r="AZ252" s="1013"/>
      <c r="BA252" s="1013"/>
      <c r="BB252" s="1013"/>
      <c r="BC252" s="1013"/>
      <c r="BD252" s="1013"/>
      <c r="BE252" s="227"/>
      <c r="BF252" s="228" t="s">
        <v>487</v>
      </c>
      <c r="BG252" s="227"/>
      <c r="BH252" s="227" t="s">
        <v>407</v>
      </c>
      <c r="BI252" s="227"/>
      <c r="BJ252" s="228" t="s">
        <v>409</v>
      </c>
      <c r="BK252" s="229"/>
    </row>
    <row r="253" spans="1:63" s="166" customFormat="1" ht="15.75" customHeight="1">
      <c r="A253" s="216"/>
      <c r="B253" s="217" t="s">
        <v>673</v>
      </c>
      <c r="C253" s="218"/>
      <c r="D253" s="218"/>
      <c r="E253" s="218"/>
      <c r="F253" s="218"/>
      <c r="G253" s="218"/>
      <c r="H253" s="218"/>
      <c r="I253" s="218"/>
      <c r="J253" s="218"/>
      <c r="K253" s="218"/>
      <c r="L253" s="222"/>
      <c r="M253" s="1004"/>
      <c r="N253" s="1013"/>
      <c r="O253" s="1013"/>
      <c r="P253" s="1013"/>
      <c r="Q253" s="1013"/>
      <c r="R253" s="1013"/>
      <c r="S253" s="1013"/>
      <c r="T253" s="1013"/>
      <c r="U253" s="1013"/>
      <c r="V253" s="1013"/>
      <c r="W253" s="1013"/>
      <c r="X253" s="1013"/>
      <c r="Y253" s="1013"/>
      <c r="Z253" s="1013"/>
      <c r="AA253" s="1013"/>
      <c r="AB253" s="1013"/>
      <c r="AC253" s="1013"/>
      <c r="AD253" s="1013"/>
      <c r="AE253" s="1013"/>
      <c r="AF253" s="1013"/>
      <c r="AG253" s="1013"/>
      <c r="AH253" s="1013"/>
      <c r="AI253" s="1013"/>
      <c r="AJ253" s="1013"/>
      <c r="AK253" s="1013"/>
      <c r="AL253" s="1013"/>
      <c r="AM253" s="1013"/>
      <c r="AN253" s="1013"/>
      <c r="AO253" s="1013"/>
      <c r="AP253" s="1013"/>
      <c r="AQ253" s="1013"/>
      <c r="AR253" s="1013"/>
      <c r="AS253" s="1013"/>
      <c r="AT253" s="1013"/>
      <c r="AU253" s="1013"/>
      <c r="AV253" s="1013"/>
      <c r="AW253" s="1013"/>
      <c r="AX253" s="1013"/>
      <c r="AY253" s="1013"/>
      <c r="AZ253" s="1013"/>
      <c r="BA253" s="1013"/>
      <c r="BB253" s="1013"/>
      <c r="BC253" s="1013"/>
      <c r="BD253" s="1013"/>
      <c r="BE253" s="227"/>
      <c r="BF253" s="228" t="s">
        <v>487</v>
      </c>
      <c r="BG253" s="227"/>
      <c r="BH253" s="227" t="s">
        <v>407</v>
      </c>
      <c r="BI253" s="227"/>
      <c r="BJ253" s="228" t="s">
        <v>409</v>
      </c>
      <c r="BK253" s="229"/>
    </row>
    <row r="254" spans="1:63" s="166" customFormat="1" ht="15.75" customHeight="1">
      <c r="A254" s="216"/>
      <c r="B254" s="217" t="s">
        <v>674</v>
      </c>
      <c r="C254" s="218"/>
      <c r="D254" s="218"/>
      <c r="E254" s="218"/>
      <c r="F254" s="218"/>
      <c r="G254" s="218"/>
      <c r="H254" s="218"/>
      <c r="I254" s="218"/>
      <c r="J254" s="218"/>
      <c r="K254" s="218"/>
      <c r="L254" s="222"/>
      <c r="M254" s="1004"/>
      <c r="N254" s="1013"/>
      <c r="O254" s="1013"/>
      <c r="P254" s="1013"/>
      <c r="Q254" s="1013"/>
      <c r="R254" s="1013"/>
      <c r="S254" s="1013"/>
      <c r="T254" s="1013"/>
      <c r="U254" s="1013"/>
      <c r="V254" s="1013"/>
      <c r="W254" s="1013"/>
      <c r="X254" s="1013"/>
      <c r="Y254" s="1013"/>
      <c r="Z254" s="1013"/>
      <c r="AA254" s="1013"/>
      <c r="AB254" s="1013"/>
      <c r="AC254" s="1013"/>
      <c r="AD254" s="1013"/>
      <c r="AE254" s="1013"/>
      <c r="AF254" s="1013"/>
      <c r="AG254" s="1013"/>
      <c r="AH254" s="1013"/>
      <c r="AI254" s="1013"/>
      <c r="AJ254" s="1013"/>
      <c r="AK254" s="1013"/>
      <c r="AL254" s="1013"/>
      <c r="AM254" s="1013"/>
      <c r="AN254" s="1013"/>
      <c r="AO254" s="1013"/>
      <c r="AP254" s="1013"/>
      <c r="AQ254" s="1013"/>
      <c r="AR254" s="1013"/>
      <c r="AS254" s="1013"/>
      <c r="AT254" s="1013"/>
      <c r="AU254" s="1013"/>
      <c r="AV254" s="1013"/>
      <c r="AW254" s="1013"/>
      <c r="AX254" s="1013"/>
      <c r="AY254" s="1013"/>
      <c r="AZ254" s="1013"/>
      <c r="BA254" s="1013"/>
      <c r="BB254" s="1013"/>
      <c r="BC254" s="1013"/>
      <c r="BD254" s="1013"/>
      <c r="BE254" s="227"/>
      <c r="BF254" s="228" t="s">
        <v>487</v>
      </c>
      <c r="BG254" s="227"/>
      <c r="BH254" s="227" t="s">
        <v>407</v>
      </c>
      <c r="BI254" s="227"/>
      <c r="BJ254" s="228" t="s">
        <v>409</v>
      </c>
      <c r="BK254" s="229"/>
    </row>
    <row r="255" spans="1:63" s="164" customFormat="1" ht="15.75" customHeight="1">
      <c r="A255" s="185"/>
      <c r="B255" s="183" t="s">
        <v>494</v>
      </c>
      <c r="C255" s="184"/>
      <c r="D255" s="184"/>
      <c r="E255" s="184"/>
      <c r="F255" s="184"/>
      <c r="G255" s="184"/>
      <c r="H255" s="184"/>
      <c r="I255" s="184"/>
      <c r="J255" s="184"/>
      <c r="K255" s="184"/>
      <c r="L255" s="193"/>
      <c r="M255" s="1014"/>
      <c r="N255" s="1003"/>
      <c r="O255" s="1003"/>
      <c r="P255" s="1003"/>
      <c r="Q255" s="1003"/>
      <c r="R255" s="1003"/>
      <c r="S255" s="1003"/>
      <c r="T255" s="1003"/>
      <c r="U255" s="1003"/>
      <c r="V255" s="1003"/>
      <c r="W255" s="1003"/>
      <c r="X255" s="1003"/>
      <c r="Y255" s="1003"/>
      <c r="Z255" s="1003"/>
      <c r="AA255" s="1003"/>
      <c r="AB255" s="1003"/>
      <c r="AC255" s="1003"/>
      <c r="AD255" s="1003"/>
      <c r="AE255" s="1003"/>
      <c r="AF255" s="1003"/>
      <c r="AG255" s="1003"/>
      <c r="AH255" s="1003"/>
      <c r="AI255" s="1003"/>
      <c r="AJ255" s="1003"/>
      <c r="AK255" s="1003"/>
      <c r="AL255" s="1003"/>
      <c r="AM255" s="1003"/>
      <c r="AN255" s="1003"/>
      <c r="AO255" s="1003"/>
      <c r="AP255" s="1003"/>
      <c r="AQ255" s="1003"/>
      <c r="AR255" s="1003"/>
      <c r="AS255" s="1003"/>
      <c r="AT255" s="1003"/>
      <c r="AU255" s="1003"/>
      <c r="AV255" s="1003"/>
      <c r="AW255" s="1003"/>
      <c r="AX255" s="1003"/>
      <c r="AY255" s="1003"/>
      <c r="AZ255" s="1003"/>
      <c r="BA255" s="1003"/>
      <c r="BB255" s="1003"/>
      <c r="BC255" s="1003"/>
      <c r="BD255" s="1015"/>
      <c r="BE255" s="204"/>
      <c r="BF255" s="205" t="s">
        <v>487</v>
      </c>
      <c r="BG255" s="204"/>
      <c r="BH255" s="204" t="s">
        <v>407</v>
      </c>
      <c r="BI255" s="204"/>
      <c r="BJ255" s="205" t="s">
        <v>409</v>
      </c>
      <c r="BK255" s="206"/>
    </row>
    <row r="256" spans="1:63" s="164" customFormat="1" ht="15.75" customHeight="1">
      <c r="A256" s="185"/>
      <c r="B256" s="183" t="s">
        <v>495</v>
      </c>
      <c r="C256" s="184"/>
      <c r="D256" s="184"/>
      <c r="E256" s="184"/>
      <c r="F256" s="184"/>
      <c r="G256" s="184"/>
      <c r="H256" s="184"/>
      <c r="I256" s="184"/>
      <c r="J256" s="184"/>
      <c r="K256" s="184"/>
      <c r="L256" s="193"/>
      <c r="M256" s="1014"/>
      <c r="N256" s="1003"/>
      <c r="O256" s="1003"/>
      <c r="P256" s="1003"/>
      <c r="Q256" s="1003"/>
      <c r="R256" s="1003"/>
      <c r="S256" s="1003"/>
      <c r="T256" s="1003"/>
      <c r="U256" s="1003"/>
      <c r="V256" s="1003"/>
      <c r="W256" s="1003"/>
      <c r="X256" s="1003"/>
      <c r="Y256" s="1003"/>
      <c r="Z256" s="1003"/>
      <c r="AA256" s="1003"/>
      <c r="AB256" s="1003"/>
      <c r="AC256" s="1003"/>
      <c r="AD256" s="1003"/>
      <c r="AE256" s="1003"/>
      <c r="AF256" s="1003"/>
      <c r="AG256" s="1003"/>
      <c r="AH256" s="1003"/>
      <c r="AI256" s="1003"/>
      <c r="AJ256" s="1003"/>
      <c r="AK256" s="1003"/>
      <c r="AL256" s="1003"/>
      <c r="AM256" s="1003"/>
      <c r="AN256" s="1003"/>
      <c r="AO256" s="1003"/>
      <c r="AP256" s="1003"/>
      <c r="AQ256" s="1003"/>
      <c r="AR256" s="1003"/>
      <c r="AS256" s="1003"/>
      <c r="AT256" s="1003"/>
      <c r="AU256" s="1003"/>
      <c r="AV256" s="1003"/>
      <c r="AW256" s="1003"/>
      <c r="AX256" s="1003"/>
      <c r="AY256" s="1003"/>
      <c r="AZ256" s="1003"/>
      <c r="BA256" s="1003"/>
      <c r="BB256" s="1003"/>
      <c r="BC256" s="1003"/>
      <c r="BD256" s="1015"/>
      <c r="BE256" s="204"/>
      <c r="BF256" s="205" t="s">
        <v>487</v>
      </c>
      <c r="BG256" s="204"/>
      <c r="BH256" s="204" t="s">
        <v>407</v>
      </c>
      <c r="BI256" s="204"/>
      <c r="BJ256" s="205" t="s">
        <v>409</v>
      </c>
      <c r="BK256" s="206"/>
    </row>
    <row r="257" spans="1:63" s="164" customFormat="1" ht="15.75" customHeight="1">
      <c r="A257" s="185"/>
      <c r="B257" s="183" t="s">
        <v>496</v>
      </c>
      <c r="C257" s="184"/>
      <c r="D257" s="184"/>
      <c r="E257" s="184"/>
      <c r="F257" s="184"/>
      <c r="G257" s="184"/>
      <c r="H257" s="184"/>
      <c r="I257" s="184"/>
      <c r="J257" s="184"/>
      <c r="K257" s="184"/>
      <c r="L257" s="193"/>
      <c r="M257" s="1003"/>
      <c r="N257" s="1002"/>
      <c r="O257" s="1002"/>
      <c r="P257" s="1002"/>
      <c r="Q257" s="1002"/>
      <c r="R257" s="1002"/>
      <c r="S257" s="1002"/>
      <c r="T257" s="1002"/>
      <c r="U257" s="1002"/>
      <c r="V257" s="1002"/>
      <c r="W257" s="1002"/>
      <c r="X257" s="1002"/>
      <c r="Y257" s="1002"/>
      <c r="Z257" s="1002"/>
      <c r="AA257" s="1002"/>
      <c r="AB257" s="1002"/>
      <c r="AC257" s="1002"/>
      <c r="AD257" s="1002"/>
      <c r="AE257" s="1002"/>
      <c r="AF257" s="1002"/>
      <c r="AG257" s="1002"/>
      <c r="AH257" s="1002"/>
      <c r="AI257" s="1002"/>
      <c r="AJ257" s="1002"/>
      <c r="AK257" s="1002"/>
      <c r="AL257" s="1002"/>
      <c r="AM257" s="1002"/>
      <c r="AN257" s="1002"/>
      <c r="AO257" s="1002"/>
      <c r="AP257" s="1002"/>
      <c r="AQ257" s="1002"/>
      <c r="AR257" s="1002"/>
      <c r="AS257" s="1002"/>
      <c r="AT257" s="1002"/>
      <c r="AU257" s="1002"/>
      <c r="AV257" s="1002"/>
      <c r="AW257" s="1002"/>
      <c r="AX257" s="1002"/>
      <c r="AY257" s="1002"/>
      <c r="AZ257" s="1002"/>
      <c r="BA257" s="1002"/>
      <c r="BB257" s="1002"/>
      <c r="BC257" s="1002"/>
      <c r="BD257" s="1002"/>
      <c r="BE257" s="204"/>
      <c r="BF257" s="205" t="s">
        <v>487</v>
      </c>
      <c r="BG257" s="204"/>
      <c r="BH257" s="204" t="s">
        <v>407</v>
      </c>
      <c r="BI257" s="204"/>
      <c r="BJ257" s="204"/>
      <c r="BK257" s="206"/>
    </row>
    <row r="258" spans="1:63" s="164" customFormat="1" ht="15.75" customHeight="1">
      <c r="A258" s="185"/>
      <c r="B258" s="183" t="s">
        <v>497</v>
      </c>
      <c r="C258" s="184"/>
      <c r="D258" s="184"/>
      <c r="E258" s="184"/>
      <c r="F258" s="184"/>
      <c r="G258" s="184"/>
      <c r="H258" s="184"/>
      <c r="I258" s="184"/>
      <c r="J258" s="184"/>
      <c r="K258" s="184"/>
      <c r="L258" s="193"/>
      <c r="M258" s="1003"/>
      <c r="N258" s="1002"/>
      <c r="O258" s="1002"/>
      <c r="P258" s="1002"/>
      <c r="Q258" s="1002"/>
      <c r="R258" s="1002"/>
      <c r="S258" s="1002"/>
      <c r="T258" s="1002"/>
      <c r="U258" s="1002"/>
      <c r="V258" s="1002"/>
      <c r="W258" s="1002"/>
      <c r="X258" s="1002"/>
      <c r="Y258" s="1002"/>
      <c r="Z258" s="1002"/>
      <c r="AA258" s="1002"/>
      <c r="AB258" s="1002"/>
      <c r="AC258" s="1002"/>
      <c r="AD258" s="1002"/>
      <c r="AE258" s="1002"/>
      <c r="AF258" s="1002"/>
      <c r="AG258" s="1002"/>
      <c r="AH258" s="1002"/>
      <c r="AI258" s="1002"/>
      <c r="AJ258" s="1002"/>
      <c r="AK258" s="1002"/>
      <c r="AL258" s="1002"/>
      <c r="AM258" s="1002"/>
      <c r="AN258" s="1002"/>
      <c r="AO258" s="1002"/>
      <c r="AP258" s="1002"/>
      <c r="AQ258" s="1002"/>
      <c r="AR258" s="1002"/>
      <c r="AS258" s="1002"/>
      <c r="AT258" s="1002"/>
      <c r="AU258" s="1002"/>
      <c r="AV258" s="1002"/>
      <c r="AW258" s="1002"/>
      <c r="AX258" s="1002"/>
      <c r="AY258" s="1002"/>
      <c r="AZ258" s="1002"/>
      <c r="BA258" s="1002"/>
      <c r="BB258" s="1002"/>
      <c r="BC258" s="1002"/>
      <c r="BD258" s="1002"/>
      <c r="BE258" s="204"/>
      <c r="BF258" s="205" t="s">
        <v>487</v>
      </c>
      <c r="BG258" s="204"/>
      <c r="BH258" s="204" t="s">
        <v>407</v>
      </c>
      <c r="BI258" s="204"/>
      <c r="BJ258" s="204"/>
      <c r="BK258" s="206"/>
    </row>
    <row r="259" spans="1:63" s="164" customFormat="1" ht="62.25" customHeight="1">
      <c r="A259" s="185"/>
      <c r="B259" s="183" t="s">
        <v>531</v>
      </c>
      <c r="C259" s="184"/>
      <c r="D259" s="184"/>
      <c r="E259" s="184"/>
      <c r="F259" s="184"/>
      <c r="G259" s="184"/>
      <c r="H259" s="184"/>
      <c r="I259" s="184"/>
      <c r="J259" s="184"/>
      <c r="K259" s="184"/>
      <c r="L259" s="193"/>
      <c r="M259" s="1005" t="s">
        <v>675</v>
      </c>
      <c r="N259" s="1005"/>
      <c r="O259" s="1005"/>
      <c r="P259" s="1005"/>
      <c r="Q259" s="1005"/>
      <c r="R259" s="1005"/>
      <c r="S259" s="1005"/>
      <c r="T259" s="1005"/>
      <c r="U259" s="1005"/>
      <c r="V259" s="1005"/>
      <c r="W259" s="1005"/>
      <c r="X259" s="1005"/>
      <c r="Y259" s="1005"/>
      <c r="Z259" s="1005"/>
      <c r="AA259" s="1005"/>
      <c r="AB259" s="1005"/>
      <c r="AC259" s="1005"/>
      <c r="AD259" s="1005"/>
      <c r="AE259" s="1005"/>
      <c r="AF259" s="1005"/>
      <c r="AG259" s="1005"/>
      <c r="AH259" s="1005"/>
      <c r="AI259" s="1005"/>
      <c r="AJ259" s="1005"/>
      <c r="AK259" s="1005"/>
      <c r="AL259" s="1005"/>
      <c r="AM259" s="1005"/>
      <c r="AN259" s="1005"/>
      <c r="AO259" s="1005"/>
      <c r="AP259" s="1005"/>
      <c r="AQ259" s="1005"/>
      <c r="AR259" s="1005"/>
      <c r="AS259" s="1005"/>
      <c r="AT259" s="1005"/>
      <c r="AU259" s="1005"/>
      <c r="AV259" s="1005"/>
      <c r="AW259" s="1005"/>
      <c r="AX259" s="1005"/>
      <c r="AY259" s="1005"/>
      <c r="AZ259" s="1005"/>
      <c r="BA259" s="1005"/>
      <c r="BB259" s="1005"/>
      <c r="BC259" s="1005"/>
      <c r="BD259" s="1005"/>
      <c r="BE259" s="204"/>
      <c r="BF259" s="205" t="s">
        <v>487</v>
      </c>
      <c r="BG259" s="204"/>
      <c r="BH259" s="204" t="s">
        <v>407</v>
      </c>
      <c r="BI259" s="204"/>
      <c r="BJ259" s="204"/>
      <c r="BK259" s="206"/>
    </row>
    <row r="260" spans="1:63" s="164" customFormat="1" ht="15.75" customHeight="1">
      <c r="A260" s="185"/>
      <c r="B260" s="183" t="s">
        <v>532</v>
      </c>
      <c r="C260" s="184"/>
      <c r="D260" s="184"/>
      <c r="E260" s="184"/>
      <c r="F260" s="184"/>
      <c r="G260" s="184"/>
      <c r="H260" s="184"/>
      <c r="I260" s="184"/>
      <c r="J260" s="184"/>
      <c r="K260" s="184"/>
      <c r="L260" s="193"/>
      <c r="M260" s="1003"/>
      <c r="N260" s="1002"/>
      <c r="O260" s="1002"/>
      <c r="P260" s="1002"/>
      <c r="Q260" s="1002"/>
      <c r="R260" s="1002"/>
      <c r="S260" s="1002"/>
      <c r="T260" s="1002"/>
      <c r="U260" s="1002"/>
      <c r="V260" s="1002"/>
      <c r="W260" s="1002"/>
      <c r="X260" s="1002"/>
      <c r="Y260" s="1002"/>
      <c r="Z260" s="1002"/>
      <c r="AA260" s="1002"/>
      <c r="AB260" s="1002"/>
      <c r="AC260" s="1002"/>
      <c r="AD260" s="1002"/>
      <c r="AE260" s="1002"/>
      <c r="AF260" s="1002"/>
      <c r="AG260" s="1002"/>
      <c r="AH260" s="1002"/>
      <c r="AI260" s="1002"/>
      <c r="AJ260" s="1002"/>
      <c r="AK260" s="1002"/>
      <c r="AL260" s="1002"/>
      <c r="AM260" s="1002"/>
      <c r="AN260" s="1002"/>
      <c r="AO260" s="1002"/>
      <c r="AP260" s="1002"/>
      <c r="AQ260" s="1002"/>
      <c r="AR260" s="1002"/>
      <c r="AS260" s="1002"/>
      <c r="AT260" s="1002"/>
      <c r="AU260" s="1002"/>
      <c r="AV260" s="1002"/>
      <c r="AW260" s="1002"/>
      <c r="AX260" s="1002"/>
      <c r="AY260" s="1002"/>
      <c r="AZ260" s="1002"/>
      <c r="BA260" s="1002"/>
      <c r="BB260" s="1002"/>
      <c r="BC260" s="1002"/>
      <c r="BD260" s="1002"/>
      <c r="BE260" s="204"/>
      <c r="BF260" s="205" t="s">
        <v>487</v>
      </c>
      <c r="BG260" s="204"/>
      <c r="BH260" s="204" t="s">
        <v>407</v>
      </c>
      <c r="BI260" s="204"/>
      <c r="BJ260" s="204"/>
      <c r="BK260" s="206"/>
    </row>
    <row r="261" spans="1:63" s="164" customFormat="1" ht="15.75" customHeight="1">
      <c r="A261" s="182" t="s">
        <v>411</v>
      </c>
      <c r="B261" s="183" t="s">
        <v>500</v>
      </c>
      <c r="C261" s="184"/>
      <c r="D261" s="184"/>
      <c r="E261" s="184"/>
      <c r="F261" s="184"/>
      <c r="G261" s="184"/>
      <c r="H261" s="184"/>
      <c r="I261" s="184"/>
      <c r="J261" s="184"/>
      <c r="K261" s="184"/>
      <c r="L261" s="193"/>
      <c r="M261" s="1003"/>
      <c r="N261" s="1002"/>
      <c r="O261" s="1002"/>
      <c r="P261" s="1002"/>
      <c r="Q261" s="1002"/>
      <c r="R261" s="1002"/>
      <c r="S261" s="1002"/>
      <c r="T261" s="1002"/>
      <c r="U261" s="1002"/>
      <c r="V261" s="1002"/>
      <c r="W261" s="1002"/>
      <c r="X261" s="1002"/>
      <c r="Y261" s="1002"/>
      <c r="Z261" s="1002"/>
      <c r="AA261" s="1002"/>
      <c r="AB261" s="1002"/>
      <c r="AC261" s="1002"/>
      <c r="AD261" s="1002"/>
      <c r="AE261" s="1002"/>
      <c r="AF261" s="1002"/>
      <c r="AG261" s="1002"/>
      <c r="AH261" s="1002"/>
      <c r="AI261" s="1002"/>
      <c r="AJ261" s="1002"/>
      <c r="AK261" s="1002"/>
      <c r="AL261" s="1002"/>
      <c r="AM261" s="1002"/>
      <c r="AN261" s="1002"/>
      <c r="AO261" s="1002"/>
      <c r="AP261" s="1002"/>
      <c r="AQ261" s="1002"/>
      <c r="AR261" s="1002"/>
      <c r="AS261" s="1002"/>
      <c r="AT261" s="1002"/>
      <c r="AU261" s="1002"/>
      <c r="AV261" s="1002"/>
      <c r="AW261" s="1002"/>
      <c r="AX261" s="1002"/>
      <c r="AY261" s="1002"/>
      <c r="AZ261" s="1002"/>
      <c r="BA261" s="1002"/>
      <c r="BB261" s="1002"/>
      <c r="BC261" s="1002"/>
      <c r="BD261" s="1002"/>
      <c r="BE261" s="205" t="s">
        <v>486</v>
      </c>
      <c r="BF261" s="205" t="s">
        <v>487</v>
      </c>
      <c r="BG261" s="204"/>
      <c r="BH261" s="204" t="s">
        <v>407</v>
      </c>
      <c r="BI261" s="205" t="s">
        <v>408</v>
      </c>
      <c r="BJ261" s="204"/>
      <c r="BK261" s="206"/>
    </row>
    <row r="262" spans="1:63" s="164" customFormat="1" ht="15.75" customHeight="1">
      <c r="A262" s="185"/>
      <c r="B262" s="183" t="s">
        <v>501</v>
      </c>
      <c r="C262" s="184"/>
      <c r="D262" s="184"/>
      <c r="E262" s="184"/>
      <c r="F262" s="184"/>
      <c r="G262" s="184"/>
      <c r="H262" s="184"/>
      <c r="I262" s="184"/>
      <c r="J262" s="184"/>
      <c r="K262" s="184"/>
      <c r="L262" s="193"/>
      <c r="M262" s="1003"/>
      <c r="N262" s="1002"/>
      <c r="O262" s="1002"/>
      <c r="P262" s="1002"/>
      <c r="Q262" s="1002"/>
      <c r="R262" s="1002"/>
      <c r="S262" s="1002"/>
      <c r="T262" s="1002"/>
      <c r="U262" s="1002"/>
      <c r="V262" s="1002"/>
      <c r="W262" s="1002"/>
      <c r="X262" s="1002"/>
      <c r="Y262" s="1002"/>
      <c r="Z262" s="1002"/>
      <c r="AA262" s="1002"/>
      <c r="AB262" s="1002"/>
      <c r="AC262" s="1002"/>
      <c r="AD262" s="1002"/>
      <c r="AE262" s="1002"/>
      <c r="AF262" s="1002"/>
      <c r="AG262" s="1002"/>
      <c r="AH262" s="1002"/>
      <c r="AI262" s="1002"/>
      <c r="AJ262" s="1002"/>
      <c r="AK262" s="1002"/>
      <c r="AL262" s="1002"/>
      <c r="AM262" s="1002"/>
      <c r="AN262" s="1002"/>
      <c r="AO262" s="1002"/>
      <c r="AP262" s="1002"/>
      <c r="AQ262" s="1002"/>
      <c r="AR262" s="1002"/>
      <c r="AS262" s="1002"/>
      <c r="AT262" s="1002"/>
      <c r="AU262" s="1002"/>
      <c r="AV262" s="1002"/>
      <c r="AW262" s="1002"/>
      <c r="AX262" s="1002"/>
      <c r="AY262" s="1002"/>
      <c r="AZ262" s="1002"/>
      <c r="BA262" s="1002"/>
      <c r="BB262" s="1002"/>
      <c r="BC262" s="1002"/>
      <c r="BD262" s="1002"/>
      <c r="BE262" s="204"/>
      <c r="BF262" s="205" t="s">
        <v>487</v>
      </c>
      <c r="BG262" s="204"/>
      <c r="BH262" s="204" t="s">
        <v>407</v>
      </c>
      <c r="BI262" s="204"/>
      <c r="BJ262" s="204"/>
      <c r="BK262" s="206"/>
    </row>
    <row r="263" spans="1:63" s="164" customFormat="1" ht="15.75" customHeight="1">
      <c r="A263" s="182" t="s">
        <v>411</v>
      </c>
      <c r="B263" s="183" t="s">
        <v>676</v>
      </c>
      <c r="C263" s="184"/>
      <c r="D263" s="184"/>
      <c r="E263" s="184"/>
      <c r="F263" s="184"/>
      <c r="G263" s="184"/>
      <c r="H263" s="184"/>
      <c r="I263" s="184"/>
      <c r="J263" s="184"/>
      <c r="K263" s="184"/>
      <c r="L263" s="193"/>
      <c r="M263" s="1005" t="s">
        <v>677</v>
      </c>
      <c r="N263" s="1005"/>
      <c r="O263" s="1005"/>
      <c r="P263" s="1005"/>
      <c r="Q263" s="1005"/>
      <c r="R263" s="1005"/>
      <c r="S263" s="1005"/>
      <c r="T263" s="1005"/>
      <c r="U263" s="1005"/>
      <c r="V263" s="1005"/>
      <c r="W263" s="1005"/>
      <c r="X263" s="1005"/>
      <c r="Y263" s="1005"/>
      <c r="Z263" s="1005"/>
      <c r="AA263" s="1005"/>
      <c r="AB263" s="1005"/>
      <c r="AC263" s="1005"/>
      <c r="AD263" s="1005"/>
      <c r="AE263" s="1005"/>
      <c r="AF263" s="1005"/>
      <c r="AG263" s="1005"/>
      <c r="AH263" s="1005"/>
      <c r="AI263" s="1005"/>
      <c r="AJ263" s="1005"/>
      <c r="AK263" s="1005"/>
      <c r="AL263" s="1005"/>
      <c r="AM263" s="1005"/>
      <c r="AN263" s="1005"/>
      <c r="AO263" s="1005"/>
      <c r="AP263" s="1005"/>
      <c r="AQ263" s="1005"/>
      <c r="AR263" s="1005"/>
      <c r="AS263" s="1005"/>
      <c r="AT263" s="1005"/>
      <c r="AU263" s="1005"/>
      <c r="AV263" s="1005"/>
      <c r="AW263" s="1005"/>
      <c r="AX263" s="1005"/>
      <c r="AY263" s="1005"/>
      <c r="AZ263" s="1005"/>
      <c r="BA263" s="1005"/>
      <c r="BB263" s="1005"/>
      <c r="BC263" s="1005"/>
      <c r="BD263" s="1005"/>
      <c r="BE263" s="204"/>
      <c r="BF263" s="205" t="s">
        <v>419</v>
      </c>
      <c r="BG263" s="204"/>
      <c r="BH263" s="204" t="s">
        <v>407</v>
      </c>
      <c r="BI263" s="205" t="s">
        <v>408</v>
      </c>
      <c r="BJ263" s="204"/>
      <c r="BK263" s="206"/>
    </row>
    <row r="264" spans="1:63" s="164" customFormat="1" ht="15.75" customHeight="1">
      <c r="A264" s="182" t="s">
        <v>411</v>
      </c>
      <c r="B264" s="183" t="s">
        <v>678</v>
      </c>
      <c r="C264" s="184"/>
      <c r="D264" s="184"/>
      <c r="E264" s="184"/>
      <c r="F264" s="184"/>
      <c r="G264" s="184"/>
      <c r="H264" s="184"/>
      <c r="I264" s="184"/>
      <c r="J264" s="184"/>
      <c r="K264" s="184"/>
      <c r="L264" s="193"/>
      <c r="M264" s="1005" t="s">
        <v>679</v>
      </c>
      <c r="N264" s="1005"/>
      <c r="O264" s="1005"/>
      <c r="P264" s="1005"/>
      <c r="Q264" s="1005"/>
      <c r="R264" s="1005"/>
      <c r="S264" s="1005"/>
      <c r="T264" s="1005"/>
      <c r="U264" s="1005"/>
      <c r="V264" s="1005"/>
      <c r="W264" s="1005"/>
      <c r="X264" s="1005"/>
      <c r="Y264" s="1005"/>
      <c r="Z264" s="1005"/>
      <c r="AA264" s="1005"/>
      <c r="AB264" s="1005"/>
      <c r="AC264" s="1005"/>
      <c r="AD264" s="1005"/>
      <c r="AE264" s="1005"/>
      <c r="AF264" s="1005"/>
      <c r="AG264" s="1005"/>
      <c r="AH264" s="1005"/>
      <c r="AI264" s="1005"/>
      <c r="AJ264" s="1005"/>
      <c r="AK264" s="1005"/>
      <c r="AL264" s="1005"/>
      <c r="AM264" s="1005"/>
      <c r="AN264" s="1005"/>
      <c r="AO264" s="1005"/>
      <c r="AP264" s="1005"/>
      <c r="AQ264" s="1005"/>
      <c r="AR264" s="1005"/>
      <c r="AS264" s="1005"/>
      <c r="AT264" s="1005"/>
      <c r="AU264" s="1005"/>
      <c r="AV264" s="1005"/>
      <c r="AW264" s="1005"/>
      <c r="AX264" s="1005"/>
      <c r="AY264" s="1005"/>
      <c r="AZ264" s="1005"/>
      <c r="BA264" s="1005"/>
      <c r="BB264" s="1005"/>
      <c r="BC264" s="1005"/>
      <c r="BD264" s="1005"/>
      <c r="BE264" s="204"/>
      <c r="BF264" s="205" t="s">
        <v>462</v>
      </c>
      <c r="BG264" s="204"/>
      <c r="BH264" s="204" t="s">
        <v>407</v>
      </c>
      <c r="BI264" s="205" t="s">
        <v>408</v>
      </c>
      <c r="BJ264" s="204"/>
      <c r="BK264" s="206"/>
    </row>
    <row r="265" spans="1:63" s="164" customFormat="1" ht="15.75" customHeight="1">
      <c r="A265" s="182" t="s">
        <v>411</v>
      </c>
      <c r="B265" s="183" t="s">
        <v>508</v>
      </c>
      <c r="C265" s="184"/>
      <c r="D265" s="184"/>
      <c r="E265" s="184"/>
      <c r="F265" s="184"/>
      <c r="G265" s="184"/>
      <c r="H265" s="184"/>
      <c r="I265" s="184"/>
      <c r="J265" s="184"/>
      <c r="K265" s="184"/>
      <c r="L265" s="193"/>
      <c r="M265" s="1003"/>
      <c r="N265" s="1002"/>
      <c r="O265" s="1002"/>
      <c r="P265" s="1002"/>
      <c r="Q265" s="1002"/>
      <c r="R265" s="1002"/>
      <c r="S265" s="1002"/>
      <c r="T265" s="1002"/>
      <c r="U265" s="1002"/>
      <c r="V265" s="1002"/>
      <c r="W265" s="1002"/>
      <c r="X265" s="1002"/>
      <c r="Y265" s="1002"/>
      <c r="Z265" s="1002"/>
      <c r="AA265" s="1002"/>
      <c r="AB265" s="1002"/>
      <c r="AC265" s="1002"/>
      <c r="AD265" s="1002"/>
      <c r="AE265" s="1002"/>
      <c r="AF265" s="1002"/>
      <c r="AG265" s="1002"/>
      <c r="AH265" s="1002"/>
      <c r="AI265" s="1002"/>
      <c r="AJ265" s="1002"/>
      <c r="AK265" s="1002"/>
      <c r="AL265" s="1002"/>
      <c r="AM265" s="1002"/>
      <c r="AN265" s="1002"/>
      <c r="AO265" s="1002"/>
      <c r="AP265" s="1002"/>
      <c r="AQ265" s="1002"/>
      <c r="AR265" s="1002"/>
      <c r="AS265" s="1002"/>
      <c r="AT265" s="1002"/>
      <c r="AU265" s="1002"/>
      <c r="AV265" s="1002"/>
      <c r="AW265" s="1002"/>
      <c r="AX265" s="1002"/>
      <c r="AY265" s="1002"/>
      <c r="AZ265" s="1002"/>
      <c r="BA265" s="1002"/>
      <c r="BB265" s="1002"/>
      <c r="BC265" s="1002"/>
      <c r="BD265" s="1002"/>
      <c r="BE265" s="205" t="s">
        <v>489</v>
      </c>
      <c r="BF265" s="205" t="s">
        <v>487</v>
      </c>
      <c r="BG265" s="204"/>
      <c r="BH265" s="204" t="s">
        <v>407</v>
      </c>
      <c r="BI265" s="205" t="s">
        <v>408</v>
      </c>
      <c r="BJ265" s="204"/>
      <c r="BK265" s="206"/>
    </row>
    <row r="266" spans="1:63" s="164" customFormat="1" ht="15.75" customHeight="1">
      <c r="A266" s="182" t="s">
        <v>411</v>
      </c>
      <c r="B266" s="183" t="s">
        <v>509</v>
      </c>
      <c r="C266" s="184"/>
      <c r="D266" s="184"/>
      <c r="E266" s="184"/>
      <c r="F266" s="184"/>
      <c r="G266" s="184"/>
      <c r="H266" s="184"/>
      <c r="I266" s="184"/>
      <c r="J266" s="184"/>
      <c r="K266" s="184"/>
      <c r="L266" s="193"/>
      <c r="M266" s="1003"/>
      <c r="N266" s="1002"/>
      <c r="O266" s="1002"/>
      <c r="P266" s="1002"/>
      <c r="Q266" s="1002"/>
      <c r="R266" s="1002"/>
      <c r="S266" s="1002"/>
      <c r="T266" s="1002"/>
      <c r="U266" s="1002"/>
      <c r="V266" s="1002"/>
      <c r="W266" s="1002"/>
      <c r="X266" s="1002"/>
      <c r="Y266" s="1002"/>
      <c r="Z266" s="1002"/>
      <c r="AA266" s="1002"/>
      <c r="AB266" s="1002"/>
      <c r="AC266" s="1002"/>
      <c r="AD266" s="1002"/>
      <c r="AE266" s="1002"/>
      <c r="AF266" s="1002"/>
      <c r="AG266" s="1002"/>
      <c r="AH266" s="1002"/>
      <c r="AI266" s="1002"/>
      <c r="AJ266" s="1002"/>
      <c r="AK266" s="1002"/>
      <c r="AL266" s="1002"/>
      <c r="AM266" s="1002"/>
      <c r="AN266" s="1002"/>
      <c r="AO266" s="1002"/>
      <c r="AP266" s="1002"/>
      <c r="AQ266" s="1002"/>
      <c r="AR266" s="1002"/>
      <c r="AS266" s="1002"/>
      <c r="AT266" s="1002"/>
      <c r="AU266" s="1002"/>
      <c r="AV266" s="1002"/>
      <c r="AW266" s="1002"/>
      <c r="AX266" s="1002"/>
      <c r="AY266" s="1002"/>
      <c r="AZ266" s="1002"/>
      <c r="BA266" s="1002"/>
      <c r="BB266" s="1002"/>
      <c r="BC266" s="1002"/>
      <c r="BD266" s="1002"/>
      <c r="BE266" s="205" t="s">
        <v>486</v>
      </c>
      <c r="BF266" s="205" t="s">
        <v>487</v>
      </c>
      <c r="BG266" s="204"/>
      <c r="BH266" s="204" t="s">
        <v>407</v>
      </c>
      <c r="BI266" s="205" t="s">
        <v>408</v>
      </c>
      <c r="BJ266" s="204"/>
      <c r="BK266" s="206"/>
    </row>
    <row r="267" spans="1:63" s="164" customFormat="1" ht="15.75" customHeight="1">
      <c r="A267" s="182" t="s">
        <v>411</v>
      </c>
      <c r="B267" s="183" t="s">
        <v>510</v>
      </c>
      <c r="C267" s="184"/>
      <c r="D267" s="184"/>
      <c r="E267" s="184"/>
      <c r="F267" s="184"/>
      <c r="G267" s="184"/>
      <c r="H267" s="184"/>
      <c r="I267" s="184"/>
      <c r="J267" s="184"/>
      <c r="K267" s="184"/>
      <c r="L267" s="193"/>
      <c r="M267" s="1003"/>
      <c r="N267" s="1002"/>
      <c r="O267" s="1002"/>
      <c r="P267" s="1002"/>
      <c r="Q267" s="1002"/>
      <c r="R267" s="1002"/>
      <c r="S267" s="1002"/>
      <c r="T267" s="1002"/>
      <c r="U267" s="1002"/>
      <c r="V267" s="1002"/>
      <c r="W267" s="1002"/>
      <c r="X267" s="1002"/>
      <c r="Y267" s="1002"/>
      <c r="Z267" s="1002"/>
      <c r="AA267" s="1002"/>
      <c r="AB267" s="1002"/>
      <c r="AC267" s="1002"/>
      <c r="AD267" s="1002"/>
      <c r="AE267" s="1002"/>
      <c r="AF267" s="1002"/>
      <c r="AG267" s="1002"/>
      <c r="AH267" s="1002"/>
      <c r="AI267" s="1002"/>
      <c r="AJ267" s="1002"/>
      <c r="AK267" s="1002"/>
      <c r="AL267" s="1002"/>
      <c r="AM267" s="1002"/>
      <c r="AN267" s="1002"/>
      <c r="AO267" s="1002"/>
      <c r="AP267" s="1002"/>
      <c r="AQ267" s="1002"/>
      <c r="AR267" s="1002"/>
      <c r="AS267" s="1002"/>
      <c r="AT267" s="1002"/>
      <c r="AU267" s="1002"/>
      <c r="AV267" s="1002"/>
      <c r="AW267" s="1002"/>
      <c r="AX267" s="1002"/>
      <c r="AY267" s="1002"/>
      <c r="AZ267" s="1002"/>
      <c r="BA267" s="1002"/>
      <c r="BB267" s="1002"/>
      <c r="BC267" s="1002"/>
      <c r="BD267" s="1002"/>
      <c r="BE267" s="205" t="s">
        <v>486</v>
      </c>
      <c r="BF267" s="205" t="s">
        <v>487</v>
      </c>
      <c r="BG267" s="204"/>
      <c r="BH267" s="204" t="s">
        <v>407</v>
      </c>
      <c r="BI267" s="205" t="s">
        <v>408</v>
      </c>
      <c r="BJ267" s="205" t="s">
        <v>409</v>
      </c>
      <c r="BK267" s="206"/>
    </row>
    <row r="268" spans="1:63" s="164" customFormat="1" ht="15.75" customHeight="1">
      <c r="A268" s="182" t="s">
        <v>411</v>
      </c>
      <c r="B268" s="183" t="s">
        <v>511</v>
      </c>
      <c r="C268" s="184"/>
      <c r="D268" s="184"/>
      <c r="E268" s="184"/>
      <c r="F268" s="184"/>
      <c r="G268" s="184"/>
      <c r="H268" s="184"/>
      <c r="I268" s="184"/>
      <c r="J268" s="184"/>
      <c r="K268" s="184"/>
      <c r="L268" s="193"/>
      <c r="M268" s="1003"/>
      <c r="N268" s="1002"/>
      <c r="O268" s="1002"/>
      <c r="P268" s="1002"/>
      <c r="Q268" s="1002"/>
      <c r="R268" s="1002"/>
      <c r="S268" s="1002"/>
      <c r="T268" s="1002"/>
      <c r="U268" s="1002"/>
      <c r="V268" s="1002"/>
      <c r="W268" s="1002"/>
      <c r="X268" s="1002"/>
      <c r="Y268" s="1002"/>
      <c r="Z268" s="1002"/>
      <c r="AA268" s="1002"/>
      <c r="AB268" s="1002"/>
      <c r="AC268" s="1002"/>
      <c r="AD268" s="1002"/>
      <c r="AE268" s="1002"/>
      <c r="AF268" s="1002"/>
      <c r="AG268" s="1002"/>
      <c r="AH268" s="1002"/>
      <c r="AI268" s="1002"/>
      <c r="AJ268" s="1002"/>
      <c r="AK268" s="1002"/>
      <c r="AL268" s="1002"/>
      <c r="AM268" s="1002"/>
      <c r="AN268" s="1002"/>
      <c r="AO268" s="1002"/>
      <c r="AP268" s="1002"/>
      <c r="AQ268" s="1002"/>
      <c r="AR268" s="1002"/>
      <c r="AS268" s="1002"/>
      <c r="AT268" s="1002"/>
      <c r="AU268" s="1002"/>
      <c r="AV268" s="1002"/>
      <c r="AW268" s="1002"/>
      <c r="AX268" s="1002"/>
      <c r="AY268" s="1002"/>
      <c r="AZ268" s="1002"/>
      <c r="BA268" s="1002"/>
      <c r="BB268" s="1002"/>
      <c r="BC268" s="1002"/>
      <c r="BD268" s="1002"/>
      <c r="BE268" s="205" t="s">
        <v>486</v>
      </c>
      <c r="BF268" s="205" t="s">
        <v>487</v>
      </c>
      <c r="BG268" s="204"/>
      <c r="BH268" s="204" t="s">
        <v>407</v>
      </c>
      <c r="BI268" s="205" t="s">
        <v>408</v>
      </c>
      <c r="BJ268" s="205" t="s">
        <v>409</v>
      </c>
      <c r="BK268" s="206"/>
    </row>
    <row r="269" spans="1:63" s="164" customFormat="1" ht="31.5" customHeight="1">
      <c r="A269" s="182" t="s">
        <v>411</v>
      </c>
      <c r="B269" s="183" t="s">
        <v>512</v>
      </c>
      <c r="C269" s="184"/>
      <c r="D269" s="184"/>
      <c r="E269" s="184"/>
      <c r="F269" s="184"/>
      <c r="G269" s="184"/>
      <c r="H269" s="184"/>
      <c r="I269" s="184"/>
      <c r="J269" s="184"/>
      <c r="K269" s="184"/>
      <c r="L269" s="193"/>
      <c r="M269" s="1003" t="s">
        <v>680</v>
      </c>
      <c r="N269" s="1002"/>
      <c r="O269" s="1002"/>
      <c r="P269" s="1002"/>
      <c r="Q269" s="1002"/>
      <c r="R269" s="1002"/>
      <c r="S269" s="1002"/>
      <c r="T269" s="1002"/>
      <c r="U269" s="1002"/>
      <c r="V269" s="1002"/>
      <c r="W269" s="1002"/>
      <c r="X269" s="1002"/>
      <c r="Y269" s="1002"/>
      <c r="Z269" s="1002"/>
      <c r="AA269" s="1002"/>
      <c r="AB269" s="1002"/>
      <c r="AC269" s="1002"/>
      <c r="AD269" s="1002"/>
      <c r="AE269" s="1002"/>
      <c r="AF269" s="1002"/>
      <c r="AG269" s="1002"/>
      <c r="AH269" s="1002"/>
      <c r="AI269" s="1002"/>
      <c r="AJ269" s="1002"/>
      <c r="AK269" s="1002"/>
      <c r="AL269" s="1002"/>
      <c r="AM269" s="1002"/>
      <c r="AN269" s="1002"/>
      <c r="AO269" s="1002"/>
      <c r="AP269" s="1002"/>
      <c r="AQ269" s="1002"/>
      <c r="AR269" s="1002"/>
      <c r="AS269" s="1002"/>
      <c r="AT269" s="1002"/>
      <c r="AU269" s="1002"/>
      <c r="AV269" s="1002"/>
      <c r="AW269" s="1002"/>
      <c r="AX269" s="1002"/>
      <c r="AY269" s="1002"/>
      <c r="AZ269" s="1002"/>
      <c r="BA269" s="1002"/>
      <c r="BB269" s="1002"/>
      <c r="BC269" s="1002"/>
      <c r="BD269" s="1002"/>
      <c r="BE269" s="204"/>
      <c r="BF269" s="205" t="s">
        <v>487</v>
      </c>
      <c r="BG269" s="204"/>
      <c r="BH269" s="204" t="s">
        <v>407</v>
      </c>
      <c r="BI269" s="205" t="s">
        <v>408</v>
      </c>
      <c r="BJ269" s="204"/>
      <c r="BK269" s="206"/>
    </row>
    <row r="270" spans="1:63" s="164" customFormat="1" ht="15.75" customHeight="1">
      <c r="A270" s="185"/>
      <c r="B270" s="183" t="s">
        <v>438</v>
      </c>
      <c r="C270" s="184"/>
      <c r="D270" s="184"/>
      <c r="E270" s="184"/>
      <c r="F270" s="184"/>
      <c r="G270" s="184"/>
      <c r="H270" s="184"/>
      <c r="I270" s="184"/>
      <c r="J270" s="184"/>
      <c r="K270" s="184"/>
      <c r="L270" s="193"/>
      <c r="M270" s="1005" t="s">
        <v>681</v>
      </c>
      <c r="N270" s="1005"/>
      <c r="O270" s="1005"/>
      <c r="P270" s="1005"/>
      <c r="Q270" s="1005"/>
      <c r="R270" s="1005"/>
      <c r="S270" s="1005"/>
      <c r="T270" s="1005"/>
      <c r="U270" s="1005"/>
      <c r="V270" s="1005"/>
      <c r="W270" s="1005"/>
      <c r="X270" s="1005"/>
      <c r="Y270" s="1005"/>
      <c r="Z270" s="1005"/>
      <c r="AA270" s="1005"/>
      <c r="AB270" s="1005"/>
      <c r="AC270" s="1005"/>
      <c r="AD270" s="1005"/>
      <c r="AE270" s="1005"/>
      <c r="AF270" s="1005"/>
      <c r="AG270" s="1005"/>
      <c r="AH270" s="1005"/>
      <c r="AI270" s="1005"/>
      <c r="AJ270" s="1005"/>
      <c r="AK270" s="1005"/>
      <c r="AL270" s="1005"/>
      <c r="AM270" s="1005"/>
      <c r="AN270" s="1005"/>
      <c r="AO270" s="1005"/>
      <c r="AP270" s="1005"/>
      <c r="AQ270" s="1005"/>
      <c r="AR270" s="1005"/>
      <c r="AS270" s="1005"/>
      <c r="AT270" s="1005"/>
      <c r="AU270" s="1005"/>
      <c r="AV270" s="1005"/>
      <c r="AW270" s="1005"/>
      <c r="AX270" s="1005"/>
      <c r="AY270" s="1005"/>
      <c r="AZ270" s="1005"/>
      <c r="BA270" s="1005"/>
      <c r="BB270" s="1005"/>
      <c r="BC270" s="1005"/>
      <c r="BD270" s="1005"/>
      <c r="BE270" s="204"/>
      <c r="BF270" s="205" t="s">
        <v>419</v>
      </c>
      <c r="BG270" s="204"/>
      <c r="BH270" s="204" t="s">
        <v>407</v>
      </c>
      <c r="BI270" s="204"/>
      <c r="BJ270" s="204"/>
      <c r="BK270" s="206"/>
    </row>
    <row r="271" spans="1:63" s="164" customFormat="1" ht="28.5" customHeight="1">
      <c r="A271" s="185"/>
      <c r="B271" s="183" t="s">
        <v>504</v>
      </c>
      <c r="C271" s="184"/>
      <c r="D271" s="184"/>
      <c r="E271" s="184"/>
      <c r="F271" s="184"/>
      <c r="G271" s="184"/>
      <c r="H271" s="184"/>
      <c r="I271" s="184"/>
      <c r="J271" s="184"/>
      <c r="K271" s="184"/>
      <c r="L271" s="193"/>
      <c r="M271" s="1001" t="s">
        <v>682</v>
      </c>
      <c r="N271" s="1002"/>
      <c r="O271" s="1002"/>
      <c r="P271" s="1002"/>
      <c r="Q271" s="1002"/>
      <c r="R271" s="1002"/>
      <c r="S271" s="1002"/>
      <c r="T271" s="1002"/>
      <c r="U271" s="1002"/>
      <c r="V271" s="1002"/>
      <c r="W271" s="1002"/>
      <c r="X271" s="1002"/>
      <c r="Y271" s="1002"/>
      <c r="Z271" s="1002"/>
      <c r="AA271" s="1002"/>
      <c r="AB271" s="1002"/>
      <c r="AC271" s="1002"/>
      <c r="AD271" s="1002"/>
      <c r="AE271" s="1002"/>
      <c r="AF271" s="1002"/>
      <c r="AG271" s="1002"/>
      <c r="AH271" s="1002"/>
      <c r="AI271" s="1002"/>
      <c r="AJ271" s="1002"/>
      <c r="AK271" s="1002"/>
      <c r="AL271" s="1002"/>
      <c r="AM271" s="1002"/>
      <c r="AN271" s="1002"/>
      <c r="AO271" s="1002"/>
      <c r="AP271" s="1002"/>
      <c r="AQ271" s="1002"/>
      <c r="AR271" s="1002"/>
      <c r="AS271" s="1002"/>
      <c r="AT271" s="1002"/>
      <c r="AU271" s="1002"/>
      <c r="AV271" s="1002"/>
      <c r="AW271" s="1002"/>
      <c r="AX271" s="1002"/>
      <c r="AY271" s="1002"/>
      <c r="AZ271" s="1002"/>
      <c r="BA271" s="1002"/>
      <c r="BB271" s="1002"/>
      <c r="BC271" s="1002"/>
      <c r="BD271" s="1002"/>
      <c r="BE271" s="204"/>
      <c r="BF271" s="205" t="s">
        <v>487</v>
      </c>
      <c r="BG271" s="204"/>
      <c r="BH271" s="204" t="s">
        <v>407</v>
      </c>
      <c r="BI271" s="204"/>
      <c r="BJ271" s="204"/>
      <c r="BK271" s="206"/>
    </row>
    <row r="272" spans="1:63" s="164" customFormat="1" ht="15.75" customHeight="1">
      <c r="A272" s="185"/>
      <c r="B272" s="183" t="s">
        <v>505</v>
      </c>
      <c r="C272" s="184"/>
      <c r="D272" s="184"/>
      <c r="E272" s="184"/>
      <c r="F272" s="184"/>
      <c r="G272" s="184"/>
      <c r="H272" s="184"/>
      <c r="I272" s="184"/>
      <c r="J272" s="184"/>
      <c r="K272" s="184"/>
      <c r="L272" s="193"/>
      <c r="M272" s="1003"/>
      <c r="N272" s="1002"/>
      <c r="O272" s="1002"/>
      <c r="P272" s="1002"/>
      <c r="Q272" s="1002"/>
      <c r="R272" s="1002"/>
      <c r="S272" s="1002"/>
      <c r="T272" s="1002"/>
      <c r="U272" s="1002"/>
      <c r="V272" s="1002"/>
      <c r="W272" s="1002"/>
      <c r="X272" s="1002"/>
      <c r="Y272" s="1002"/>
      <c r="Z272" s="1002"/>
      <c r="AA272" s="1002"/>
      <c r="AB272" s="1002"/>
      <c r="AC272" s="1002"/>
      <c r="AD272" s="1002"/>
      <c r="AE272" s="1002"/>
      <c r="AF272" s="1002"/>
      <c r="AG272" s="1002"/>
      <c r="AH272" s="1002"/>
      <c r="AI272" s="1002"/>
      <c r="AJ272" s="1002"/>
      <c r="AK272" s="1002"/>
      <c r="AL272" s="1002"/>
      <c r="AM272" s="1002"/>
      <c r="AN272" s="1002"/>
      <c r="AO272" s="1002"/>
      <c r="AP272" s="1002"/>
      <c r="AQ272" s="1002"/>
      <c r="AR272" s="1002"/>
      <c r="AS272" s="1002"/>
      <c r="AT272" s="1002"/>
      <c r="AU272" s="1002"/>
      <c r="AV272" s="1002"/>
      <c r="AW272" s="1002"/>
      <c r="AX272" s="1002"/>
      <c r="AY272" s="1002"/>
      <c r="AZ272" s="1002"/>
      <c r="BA272" s="1002"/>
      <c r="BB272" s="1002"/>
      <c r="BC272" s="1002"/>
      <c r="BD272" s="1002"/>
      <c r="BE272" s="204"/>
      <c r="BF272" s="205" t="s">
        <v>487</v>
      </c>
      <c r="BG272" s="204"/>
      <c r="BH272" s="204" t="s">
        <v>407</v>
      </c>
      <c r="BI272" s="204"/>
      <c r="BJ272" s="204"/>
      <c r="BK272" s="206"/>
    </row>
    <row r="273" spans="1:63" s="164" customFormat="1" ht="15.75" customHeight="1">
      <c r="A273" s="185"/>
      <c r="B273" s="183" t="s">
        <v>506</v>
      </c>
      <c r="C273" s="184"/>
      <c r="D273" s="184"/>
      <c r="E273" s="184"/>
      <c r="F273" s="184"/>
      <c r="G273" s="184"/>
      <c r="H273" s="184"/>
      <c r="I273" s="184"/>
      <c r="J273" s="184"/>
      <c r="K273" s="184"/>
      <c r="L273" s="193"/>
      <c r="M273" s="1003"/>
      <c r="N273" s="1002"/>
      <c r="O273" s="1002"/>
      <c r="P273" s="1002"/>
      <c r="Q273" s="1002"/>
      <c r="R273" s="1002"/>
      <c r="S273" s="1002"/>
      <c r="T273" s="1002"/>
      <c r="U273" s="1002"/>
      <c r="V273" s="1002"/>
      <c r="W273" s="1002"/>
      <c r="X273" s="1002"/>
      <c r="Y273" s="1002"/>
      <c r="Z273" s="1002"/>
      <c r="AA273" s="1002"/>
      <c r="AB273" s="1002"/>
      <c r="AC273" s="1002"/>
      <c r="AD273" s="1002"/>
      <c r="AE273" s="1002"/>
      <c r="AF273" s="1002"/>
      <c r="AG273" s="1002"/>
      <c r="AH273" s="1002"/>
      <c r="AI273" s="1002"/>
      <c r="AJ273" s="1002"/>
      <c r="AK273" s="1002"/>
      <c r="AL273" s="1002"/>
      <c r="AM273" s="1002"/>
      <c r="AN273" s="1002"/>
      <c r="AO273" s="1002"/>
      <c r="AP273" s="1002"/>
      <c r="AQ273" s="1002"/>
      <c r="AR273" s="1002"/>
      <c r="AS273" s="1002"/>
      <c r="AT273" s="1002"/>
      <c r="AU273" s="1002"/>
      <c r="AV273" s="1002"/>
      <c r="AW273" s="1002"/>
      <c r="AX273" s="1002"/>
      <c r="AY273" s="1002"/>
      <c r="AZ273" s="1002"/>
      <c r="BA273" s="1002"/>
      <c r="BB273" s="1002"/>
      <c r="BC273" s="1002"/>
      <c r="BD273" s="1002"/>
      <c r="BE273" s="204"/>
      <c r="BF273" s="205" t="s">
        <v>487</v>
      </c>
      <c r="BG273" s="204"/>
      <c r="BH273" s="204" t="s">
        <v>407</v>
      </c>
      <c r="BI273" s="204"/>
      <c r="BJ273" s="204"/>
      <c r="BK273" s="206"/>
    </row>
    <row r="274" spans="1:63" s="164" customFormat="1" ht="15.75" customHeight="1">
      <c r="A274" s="185"/>
      <c r="B274" s="183" t="s">
        <v>507</v>
      </c>
      <c r="C274" s="184"/>
      <c r="D274" s="184"/>
      <c r="E274" s="184"/>
      <c r="F274" s="184"/>
      <c r="G274" s="184"/>
      <c r="H274" s="184"/>
      <c r="I274" s="184"/>
      <c r="J274" s="184"/>
      <c r="K274" s="184"/>
      <c r="L274" s="193"/>
      <c r="M274" s="1003"/>
      <c r="N274" s="1002"/>
      <c r="O274" s="1002"/>
      <c r="P274" s="1002"/>
      <c r="Q274" s="1002"/>
      <c r="R274" s="1002"/>
      <c r="S274" s="1002"/>
      <c r="T274" s="1002"/>
      <c r="U274" s="1002"/>
      <c r="V274" s="1002"/>
      <c r="W274" s="1002"/>
      <c r="X274" s="1002"/>
      <c r="Y274" s="1002"/>
      <c r="Z274" s="1002"/>
      <c r="AA274" s="1002"/>
      <c r="AB274" s="1002"/>
      <c r="AC274" s="1002"/>
      <c r="AD274" s="1002"/>
      <c r="AE274" s="1002"/>
      <c r="AF274" s="1002"/>
      <c r="AG274" s="1002"/>
      <c r="AH274" s="1002"/>
      <c r="AI274" s="1002"/>
      <c r="AJ274" s="1002"/>
      <c r="AK274" s="1002"/>
      <c r="AL274" s="1002"/>
      <c r="AM274" s="1002"/>
      <c r="AN274" s="1002"/>
      <c r="AO274" s="1002"/>
      <c r="AP274" s="1002"/>
      <c r="AQ274" s="1002"/>
      <c r="AR274" s="1002"/>
      <c r="AS274" s="1002"/>
      <c r="AT274" s="1002"/>
      <c r="AU274" s="1002"/>
      <c r="AV274" s="1002"/>
      <c r="AW274" s="1002"/>
      <c r="AX274" s="1002"/>
      <c r="AY274" s="1002"/>
      <c r="AZ274" s="1002"/>
      <c r="BA274" s="1002"/>
      <c r="BB274" s="1002"/>
      <c r="BC274" s="1002"/>
      <c r="BD274" s="1002"/>
      <c r="BE274" s="204"/>
      <c r="BF274" s="205" t="s">
        <v>487</v>
      </c>
      <c r="BG274" s="204"/>
      <c r="BH274" s="204" t="s">
        <v>407</v>
      </c>
      <c r="BI274" s="204"/>
      <c r="BJ274" s="204"/>
      <c r="BK274" s="206"/>
    </row>
    <row r="275" spans="1:63" s="164" customFormat="1" ht="15.75" customHeight="1">
      <c r="A275" s="185"/>
      <c r="B275" s="183" t="s">
        <v>610</v>
      </c>
      <c r="C275" s="184"/>
      <c r="D275" s="184"/>
      <c r="E275" s="184"/>
      <c r="F275" s="184"/>
      <c r="G275" s="184"/>
      <c r="H275" s="184"/>
      <c r="I275" s="184"/>
      <c r="J275" s="184"/>
      <c r="K275" s="184"/>
      <c r="L275" s="193"/>
      <c r="M275" s="1003"/>
      <c r="N275" s="1002"/>
      <c r="O275" s="1002"/>
      <c r="P275" s="1002"/>
      <c r="Q275" s="1002"/>
      <c r="R275" s="1002"/>
      <c r="S275" s="1002"/>
      <c r="T275" s="1002"/>
      <c r="U275" s="1002"/>
      <c r="V275" s="1002"/>
      <c r="W275" s="1002"/>
      <c r="X275" s="1002"/>
      <c r="Y275" s="1002"/>
      <c r="Z275" s="1002"/>
      <c r="AA275" s="1002"/>
      <c r="AB275" s="1002"/>
      <c r="AC275" s="1002"/>
      <c r="AD275" s="1002"/>
      <c r="AE275" s="1002"/>
      <c r="AF275" s="1002"/>
      <c r="AG275" s="1002"/>
      <c r="AH275" s="1002"/>
      <c r="AI275" s="1002"/>
      <c r="AJ275" s="1002"/>
      <c r="AK275" s="1002"/>
      <c r="AL275" s="1002"/>
      <c r="AM275" s="1002"/>
      <c r="AN275" s="1002"/>
      <c r="AO275" s="1002"/>
      <c r="AP275" s="1002"/>
      <c r="AQ275" s="1002"/>
      <c r="AR275" s="1002"/>
      <c r="AS275" s="1002"/>
      <c r="AT275" s="1002"/>
      <c r="AU275" s="1002"/>
      <c r="AV275" s="1002"/>
      <c r="AW275" s="1002"/>
      <c r="AX275" s="1002"/>
      <c r="AY275" s="1002"/>
      <c r="AZ275" s="1002"/>
      <c r="BA275" s="1002"/>
      <c r="BB275" s="1002"/>
      <c r="BC275" s="1002"/>
      <c r="BD275" s="1002"/>
      <c r="BE275" s="204"/>
      <c r="BF275" s="205" t="s">
        <v>487</v>
      </c>
      <c r="BG275" s="204"/>
      <c r="BH275" s="204" t="s">
        <v>407</v>
      </c>
      <c r="BI275" s="204"/>
      <c r="BJ275" s="204"/>
      <c r="BK275" s="206"/>
    </row>
    <row r="276" spans="1:63" s="164" customFormat="1" ht="15.75" customHeight="1">
      <c r="A276" s="185"/>
      <c r="B276" s="183" t="s">
        <v>612</v>
      </c>
      <c r="C276" s="184"/>
      <c r="D276" s="184"/>
      <c r="E276" s="184"/>
      <c r="F276" s="184"/>
      <c r="G276" s="184"/>
      <c r="H276" s="184"/>
      <c r="I276" s="184"/>
      <c r="J276" s="184"/>
      <c r="K276" s="184"/>
      <c r="L276" s="193"/>
      <c r="M276" s="1003"/>
      <c r="N276" s="1002"/>
      <c r="O276" s="1002"/>
      <c r="P276" s="1002"/>
      <c r="Q276" s="1002"/>
      <c r="R276" s="1002"/>
      <c r="S276" s="1002"/>
      <c r="T276" s="1002"/>
      <c r="U276" s="1002"/>
      <c r="V276" s="1002"/>
      <c r="W276" s="1002"/>
      <c r="X276" s="1002"/>
      <c r="Y276" s="1002"/>
      <c r="Z276" s="1002"/>
      <c r="AA276" s="1002"/>
      <c r="AB276" s="1002"/>
      <c r="AC276" s="1002"/>
      <c r="AD276" s="1002"/>
      <c r="AE276" s="1002"/>
      <c r="AF276" s="1002"/>
      <c r="AG276" s="1002"/>
      <c r="AH276" s="1002"/>
      <c r="AI276" s="1002"/>
      <c r="AJ276" s="1002"/>
      <c r="AK276" s="1002"/>
      <c r="AL276" s="1002"/>
      <c r="AM276" s="1002"/>
      <c r="AN276" s="1002"/>
      <c r="AO276" s="1002"/>
      <c r="AP276" s="1002"/>
      <c r="AQ276" s="1002"/>
      <c r="AR276" s="1002"/>
      <c r="AS276" s="1002"/>
      <c r="AT276" s="1002"/>
      <c r="AU276" s="1002"/>
      <c r="AV276" s="1002"/>
      <c r="AW276" s="1002"/>
      <c r="AX276" s="1002"/>
      <c r="AY276" s="1002"/>
      <c r="AZ276" s="1002"/>
      <c r="BA276" s="1002"/>
      <c r="BB276" s="1002"/>
      <c r="BC276" s="1002"/>
      <c r="BD276" s="1002"/>
      <c r="BE276" s="204"/>
      <c r="BF276" s="205" t="s">
        <v>487</v>
      </c>
      <c r="BG276" s="204"/>
      <c r="BH276" s="204" t="s">
        <v>407</v>
      </c>
      <c r="BI276" s="204"/>
      <c r="BJ276" s="204"/>
      <c r="BK276" s="206"/>
    </row>
    <row r="277" spans="1:63" s="164" customFormat="1" ht="15.75" customHeight="1">
      <c r="A277" s="185"/>
      <c r="B277" s="183" t="s">
        <v>613</v>
      </c>
      <c r="C277" s="184"/>
      <c r="D277" s="184"/>
      <c r="E277" s="184"/>
      <c r="F277" s="184"/>
      <c r="G277" s="184"/>
      <c r="H277" s="184"/>
      <c r="I277" s="184"/>
      <c r="J277" s="184"/>
      <c r="K277" s="184"/>
      <c r="L277" s="193"/>
      <c r="M277" s="1003"/>
      <c r="N277" s="1002"/>
      <c r="O277" s="1002"/>
      <c r="P277" s="1002"/>
      <c r="Q277" s="1002"/>
      <c r="R277" s="1002"/>
      <c r="S277" s="1002"/>
      <c r="T277" s="1002"/>
      <c r="U277" s="1002"/>
      <c r="V277" s="1002"/>
      <c r="W277" s="1002"/>
      <c r="X277" s="1002"/>
      <c r="Y277" s="1002"/>
      <c r="Z277" s="1002"/>
      <c r="AA277" s="1002"/>
      <c r="AB277" s="1002"/>
      <c r="AC277" s="1002"/>
      <c r="AD277" s="1002"/>
      <c r="AE277" s="1002"/>
      <c r="AF277" s="1002"/>
      <c r="AG277" s="1002"/>
      <c r="AH277" s="1002"/>
      <c r="AI277" s="1002"/>
      <c r="AJ277" s="1002"/>
      <c r="AK277" s="1002"/>
      <c r="AL277" s="1002"/>
      <c r="AM277" s="1002"/>
      <c r="AN277" s="1002"/>
      <c r="AO277" s="1002"/>
      <c r="AP277" s="1002"/>
      <c r="AQ277" s="1002"/>
      <c r="AR277" s="1002"/>
      <c r="AS277" s="1002"/>
      <c r="AT277" s="1002"/>
      <c r="AU277" s="1002"/>
      <c r="AV277" s="1002"/>
      <c r="AW277" s="1002"/>
      <c r="AX277" s="1002"/>
      <c r="AY277" s="1002"/>
      <c r="AZ277" s="1002"/>
      <c r="BA277" s="1002"/>
      <c r="BB277" s="1002"/>
      <c r="BC277" s="1002"/>
      <c r="BD277" s="1002"/>
      <c r="BE277" s="204"/>
      <c r="BF277" s="205" t="s">
        <v>487</v>
      </c>
      <c r="BG277" s="204"/>
      <c r="BH277" s="204" t="s">
        <v>407</v>
      </c>
      <c r="BI277" s="204"/>
      <c r="BJ277" s="204"/>
      <c r="BK277" s="206"/>
    </row>
    <row r="278" spans="1:63" s="164" customFormat="1" ht="15.75" customHeight="1">
      <c r="A278" s="185"/>
      <c r="B278" s="183" t="s">
        <v>615</v>
      </c>
      <c r="C278" s="184"/>
      <c r="D278" s="184"/>
      <c r="E278" s="184"/>
      <c r="F278" s="184"/>
      <c r="G278" s="184"/>
      <c r="H278" s="184"/>
      <c r="I278" s="184"/>
      <c r="J278" s="184"/>
      <c r="K278" s="184"/>
      <c r="L278" s="193"/>
      <c r="M278" s="1003"/>
      <c r="N278" s="1002"/>
      <c r="O278" s="1002"/>
      <c r="P278" s="1002"/>
      <c r="Q278" s="1002"/>
      <c r="R278" s="1002"/>
      <c r="S278" s="1002"/>
      <c r="T278" s="1002"/>
      <c r="U278" s="1002"/>
      <c r="V278" s="1002"/>
      <c r="W278" s="1002"/>
      <c r="X278" s="1002"/>
      <c r="Y278" s="1002"/>
      <c r="Z278" s="1002"/>
      <c r="AA278" s="1002"/>
      <c r="AB278" s="1002"/>
      <c r="AC278" s="1002"/>
      <c r="AD278" s="1002"/>
      <c r="AE278" s="1002"/>
      <c r="AF278" s="1002"/>
      <c r="AG278" s="1002"/>
      <c r="AH278" s="1002"/>
      <c r="AI278" s="1002"/>
      <c r="AJ278" s="1002"/>
      <c r="AK278" s="1002"/>
      <c r="AL278" s="1002"/>
      <c r="AM278" s="1002"/>
      <c r="AN278" s="1002"/>
      <c r="AO278" s="1002"/>
      <c r="AP278" s="1002"/>
      <c r="AQ278" s="1002"/>
      <c r="AR278" s="1002"/>
      <c r="AS278" s="1002"/>
      <c r="AT278" s="1002"/>
      <c r="AU278" s="1002"/>
      <c r="AV278" s="1002"/>
      <c r="AW278" s="1002"/>
      <c r="AX278" s="1002"/>
      <c r="AY278" s="1002"/>
      <c r="AZ278" s="1002"/>
      <c r="BA278" s="1002"/>
      <c r="BB278" s="1002"/>
      <c r="BC278" s="1002"/>
      <c r="BD278" s="1002"/>
      <c r="BE278" s="204"/>
      <c r="BF278" s="205" t="s">
        <v>487</v>
      </c>
      <c r="BG278" s="204"/>
      <c r="BH278" s="204" t="s">
        <v>407</v>
      </c>
      <c r="BI278" s="204"/>
      <c r="BJ278" s="204"/>
      <c r="BK278" s="206"/>
    </row>
    <row r="279" spans="1:63" s="164" customFormat="1" ht="15.75" customHeight="1">
      <c r="A279" s="185"/>
      <c r="B279" s="183" t="s">
        <v>616</v>
      </c>
      <c r="C279" s="184"/>
      <c r="D279" s="184"/>
      <c r="E279" s="184"/>
      <c r="F279" s="184"/>
      <c r="G279" s="184"/>
      <c r="H279" s="184"/>
      <c r="I279" s="184"/>
      <c r="J279" s="184"/>
      <c r="K279" s="184"/>
      <c r="L279" s="193"/>
      <c r="M279" s="1003"/>
      <c r="N279" s="1002"/>
      <c r="O279" s="1002"/>
      <c r="P279" s="1002"/>
      <c r="Q279" s="1002"/>
      <c r="R279" s="1002"/>
      <c r="S279" s="1002"/>
      <c r="T279" s="1002"/>
      <c r="U279" s="1002"/>
      <c r="V279" s="1002"/>
      <c r="W279" s="1002"/>
      <c r="X279" s="1002"/>
      <c r="Y279" s="1002"/>
      <c r="Z279" s="1002"/>
      <c r="AA279" s="1002"/>
      <c r="AB279" s="1002"/>
      <c r="AC279" s="1002"/>
      <c r="AD279" s="1002"/>
      <c r="AE279" s="1002"/>
      <c r="AF279" s="1002"/>
      <c r="AG279" s="1002"/>
      <c r="AH279" s="1002"/>
      <c r="AI279" s="1002"/>
      <c r="AJ279" s="1002"/>
      <c r="AK279" s="1002"/>
      <c r="AL279" s="1002"/>
      <c r="AM279" s="1002"/>
      <c r="AN279" s="1002"/>
      <c r="AO279" s="1002"/>
      <c r="AP279" s="1002"/>
      <c r="AQ279" s="1002"/>
      <c r="AR279" s="1002"/>
      <c r="AS279" s="1002"/>
      <c r="AT279" s="1002"/>
      <c r="AU279" s="1002"/>
      <c r="AV279" s="1002"/>
      <c r="AW279" s="1002"/>
      <c r="AX279" s="1002"/>
      <c r="AY279" s="1002"/>
      <c r="AZ279" s="1002"/>
      <c r="BA279" s="1002"/>
      <c r="BB279" s="1002"/>
      <c r="BC279" s="1002"/>
      <c r="BD279" s="1002"/>
      <c r="BE279" s="204"/>
      <c r="BF279" s="205" t="s">
        <v>487</v>
      </c>
      <c r="BG279" s="204"/>
      <c r="BH279" s="204" t="s">
        <v>407</v>
      </c>
      <c r="BI279" s="204"/>
      <c r="BJ279" s="204"/>
      <c r="BK279" s="206"/>
    </row>
    <row r="280" spans="1:63" s="164" customFormat="1" ht="15.75" customHeight="1">
      <c r="A280" s="185"/>
      <c r="B280" s="183" t="s">
        <v>618</v>
      </c>
      <c r="C280" s="184"/>
      <c r="D280" s="184"/>
      <c r="E280" s="184"/>
      <c r="F280" s="184"/>
      <c r="G280" s="184"/>
      <c r="H280" s="184"/>
      <c r="I280" s="184"/>
      <c r="J280" s="184"/>
      <c r="K280" s="184"/>
      <c r="L280" s="193"/>
      <c r="M280" s="1003"/>
      <c r="N280" s="1002"/>
      <c r="O280" s="1002"/>
      <c r="P280" s="1002"/>
      <c r="Q280" s="1002"/>
      <c r="R280" s="1002"/>
      <c r="S280" s="1002"/>
      <c r="T280" s="1002"/>
      <c r="U280" s="1002"/>
      <c r="V280" s="1002"/>
      <c r="W280" s="1002"/>
      <c r="X280" s="1002"/>
      <c r="Y280" s="1002"/>
      <c r="Z280" s="1002"/>
      <c r="AA280" s="1002"/>
      <c r="AB280" s="1002"/>
      <c r="AC280" s="1002"/>
      <c r="AD280" s="1002"/>
      <c r="AE280" s="1002"/>
      <c r="AF280" s="1002"/>
      <c r="AG280" s="1002"/>
      <c r="AH280" s="1002"/>
      <c r="AI280" s="1002"/>
      <c r="AJ280" s="1002"/>
      <c r="AK280" s="1002"/>
      <c r="AL280" s="1002"/>
      <c r="AM280" s="1002"/>
      <c r="AN280" s="1002"/>
      <c r="AO280" s="1002"/>
      <c r="AP280" s="1002"/>
      <c r="AQ280" s="1002"/>
      <c r="AR280" s="1002"/>
      <c r="AS280" s="1002"/>
      <c r="AT280" s="1002"/>
      <c r="AU280" s="1002"/>
      <c r="AV280" s="1002"/>
      <c r="AW280" s="1002"/>
      <c r="AX280" s="1002"/>
      <c r="AY280" s="1002"/>
      <c r="AZ280" s="1002"/>
      <c r="BA280" s="1002"/>
      <c r="BB280" s="1002"/>
      <c r="BC280" s="1002"/>
      <c r="BD280" s="1002"/>
      <c r="BE280" s="204"/>
      <c r="BF280" s="205" t="s">
        <v>487</v>
      </c>
      <c r="BG280" s="204"/>
      <c r="BH280" s="204" t="s">
        <v>407</v>
      </c>
      <c r="BI280" s="204"/>
      <c r="BJ280" s="204"/>
      <c r="BK280" s="206"/>
    </row>
    <row r="281" spans="1:63" s="164" customFormat="1" ht="15.75" customHeight="1">
      <c r="A281" s="185"/>
      <c r="B281" s="183" t="s">
        <v>619</v>
      </c>
      <c r="C281" s="184"/>
      <c r="D281" s="184"/>
      <c r="E281" s="184"/>
      <c r="F281" s="184"/>
      <c r="G281" s="184"/>
      <c r="H281" s="184"/>
      <c r="I281" s="184"/>
      <c r="J281" s="184"/>
      <c r="K281" s="184"/>
      <c r="L281" s="193"/>
      <c r="M281" s="1003"/>
      <c r="N281" s="1002"/>
      <c r="O281" s="1002"/>
      <c r="P281" s="1002"/>
      <c r="Q281" s="1002"/>
      <c r="R281" s="1002"/>
      <c r="S281" s="1002"/>
      <c r="T281" s="1002"/>
      <c r="U281" s="1002"/>
      <c r="V281" s="1002"/>
      <c r="W281" s="1002"/>
      <c r="X281" s="1002"/>
      <c r="Y281" s="1002"/>
      <c r="Z281" s="1002"/>
      <c r="AA281" s="1002"/>
      <c r="AB281" s="1002"/>
      <c r="AC281" s="1002"/>
      <c r="AD281" s="1002"/>
      <c r="AE281" s="1002"/>
      <c r="AF281" s="1002"/>
      <c r="AG281" s="1002"/>
      <c r="AH281" s="1002"/>
      <c r="AI281" s="1002"/>
      <c r="AJ281" s="1002"/>
      <c r="AK281" s="1002"/>
      <c r="AL281" s="1002"/>
      <c r="AM281" s="1002"/>
      <c r="AN281" s="1002"/>
      <c r="AO281" s="1002"/>
      <c r="AP281" s="1002"/>
      <c r="AQ281" s="1002"/>
      <c r="AR281" s="1002"/>
      <c r="AS281" s="1002"/>
      <c r="AT281" s="1002"/>
      <c r="AU281" s="1002"/>
      <c r="AV281" s="1002"/>
      <c r="AW281" s="1002"/>
      <c r="AX281" s="1002"/>
      <c r="AY281" s="1002"/>
      <c r="AZ281" s="1002"/>
      <c r="BA281" s="1002"/>
      <c r="BB281" s="1002"/>
      <c r="BC281" s="1002"/>
      <c r="BD281" s="1002"/>
      <c r="BE281" s="204"/>
      <c r="BF281" s="205" t="s">
        <v>487</v>
      </c>
      <c r="BG281" s="204"/>
      <c r="BH281" s="204" t="s">
        <v>407</v>
      </c>
      <c r="BI281" s="204"/>
      <c r="BJ281" s="204"/>
      <c r="BK281" s="206"/>
    </row>
    <row r="282" spans="1:63" s="164" customFormat="1" ht="15.75" customHeight="1">
      <c r="A282" s="185"/>
      <c r="B282" s="183" t="s">
        <v>621</v>
      </c>
      <c r="C282" s="184"/>
      <c r="D282" s="184"/>
      <c r="E282" s="184"/>
      <c r="F282" s="184"/>
      <c r="G282" s="184"/>
      <c r="H282" s="184"/>
      <c r="I282" s="184"/>
      <c r="J282" s="184"/>
      <c r="K282" s="184"/>
      <c r="L282" s="193"/>
      <c r="M282" s="1003"/>
      <c r="N282" s="1002"/>
      <c r="O282" s="1002"/>
      <c r="P282" s="1002"/>
      <c r="Q282" s="1002"/>
      <c r="R282" s="1002"/>
      <c r="S282" s="1002"/>
      <c r="T282" s="1002"/>
      <c r="U282" s="1002"/>
      <c r="V282" s="1002"/>
      <c r="W282" s="1002"/>
      <c r="X282" s="1002"/>
      <c r="Y282" s="1002"/>
      <c r="Z282" s="1002"/>
      <c r="AA282" s="1002"/>
      <c r="AB282" s="1002"/>
      <c r="AC282" s="1002"/>
      <c r="AD282" s="1002"/>
      <c r="AE282" s="1002"/>
      <c r="AF282" s="1002"/>
      <c r="AG282" s="1002"/>
      <c r="AH282" s="1002"/>
      <c r="AI282" s="1002"/>
      <c r="AJ282" s="1002"/>
      <c r="AK282" s="1002"/>
      <c r="AL282" s="1002"/>
      <c r="AM282" s="1002"/>
      <c r="AN282" s="1002"/>
      <c r="AO282" s="1002"/>
      <c r="AP282" s="1002"/>
      <c r="AQ282" s="1002"/>
      <c r="AR282" s="1002"/>
      <c r="AS282" s="1002"/>
      <c r="AT282" s="1002"/>
      <c r="AU282" s="1002"/>
      <c r="AV282" s="1002"/>
      <c r="AW282" s="1002"/>
      <c r="AX282" s="1002"/>
      <c r="AY282" s="1002"/>
      <c r="AZ282" s="1002"/>
      <c r="BA282" s="1002"/>
      <c r="BB282" s="1002"/>
      <c r="BC282" s="1002"/>
      <c r="BD282" s="1002"/>
      <c r="BE282" s="204"/>
      <c r="BF282" s="205" t="s">
        <v>487</v>
      </c>
      <c r="BG282" s="204"/>
      <c r="BH282" s="204" t="s">
        <v>407</v>
      </c>
      <c r="BI282" s="204"/>
      <c r="BJ282" s="204"/>
      <c r="BK282" s="206"/>
    </row>
    <row r="283" spans="1:63" s="164" customFormat="1" ht="15.75" customHeight="1">
      <c r="A283" s="185"/>
      <c r="B283" s="183" t="s">
        <v>622</v>
      </c>
      <c r="C283" s="184"/>
      <c r="D283" s="184"/>
      <c r="E283" s="184"/>
      <c r="F283" s="184"/>
      <c r="G283" s="184"/>
      <c r="H283" s="184"/>
      <c r="I283" s="184"/>
      <c r="J283" s="184"/>
      <c r="K283" s="184"/>
      <c r="L283" s="193"/>
      <c r="M283" s="1003"/>
      <c r="N283" s="1002"/>
      <c r="O283" s="1002"/>
      <c r="P283" s="1002"/>
      <c r="Q283" s="1002"/>
      <c r="R283" s="1002"/>
      <c r="S283" s="1002"/>
      <c r="T283" s="1002"/>
      <c r="U283" s="1002"/>
      <c r="V283" s="1002"/>
      <c r="W283" s="1002"/>
      <c r="X283" s="1002"/>
      <c r="Y283" s="1002"/>
      <c r="Z283" s="1002"/>
      <c r="AA283" s="1002"/>
      <c r="AB283" s="1002"/>
      <c r="AC283" s="1002"/>
      <c r="AD283" s="1002"/>
      <c r="AE283" s="1002"/>
      <c r="AF283" s="1002"/>
      <c r="AG283" s="1002"/>
      <c r="AH283" s="1002"/>
      <c r="AI283" s="1002"/>
      <c r="AJ283" s="1002"/>
      <c r="AK283" s="1002"/>
      <c r="AL283" s="1002"/>
      <c r="AM283" s="1002"/>
      <c r="AN283" s="1002"/>
      <c r="AO283" s="1002"/>
      <c r="AP283" s="1002"/>
      <c r="AQ283" s="1002"/>
      <c r="AR283" s="1002"/>
      <c r="AS283" s="1002"/>
      <c r="AT283" s="1002"/>
      <c r="AU283" s="1002"/>
      <c r="AV283" s="1002"/>
      <c r="AW283" s="1002"/>
      <c r="AX283" s="1002"/>
      <c r="AY283" s="1002"/>
      <c r="AZ283" s="1002"/>
      <c r="BA283" s="1002"/>
      <c r="BB283" s="1002"/>
      <c r="BC283" s="1002"/>
      <c r="BD283" s="1002"/>
      <c r="BE283" s="204"/>
      <c r="BF283" s="205" t="s">
        <v>487</v>
      </c>
      <c r="BG283" s="204"/>
      <c r="BH283" s="204" t="s">
        <v>407</v>
      </c>
      <c r="BI283" s="204"/>
      <c r="BJ283" s="204"/>
      <c r="BK283" s="206"/>
    </row>
    <row r="284" spans="1:63" s="164" customFormat="1" ht="15.75" customHeight="1">
      <c r="A284" s="185"/>
      <c r="B284" s="183" t="s">
        <v>624</v>
      </c>
      <c r="C284" s="184"/>
      <c r="D284" s="184"/>
      <c r="E284" s="184"/>
      <c r="F284" s="184"/>
      <c r="G284" s="184"/>
      <c r="H284" s="184"/>
      <c r="I284" s="184"/>
      <c r="J284" s="184"/>
      <c r="K284" s="184"/>
      <c r="L284" s="193"/>
      <c r="M284" s="1003"/>
      <c r="N284" s="1002"/>
      <c r="O284" s="1002"/>
      <c r="P284" s="1002"/>
      <c r="Q284" s="1002"/>
      <c r="R284" s="1002"/>
      <c r="S284" s="1002"/>
      <c r="T284" s="1002"/>
      <c r="U284" s="1002"/>
      <c r="V284" s="1002"/>
      <c r="W284" s="1002"/>
      <c r="X284" s="1002"/>
      <c r="Y284" s="1002"/>
      <c r="Z284" s="1002"/>
      <c r="AA284" s="1002"/>
      <c r="AB284" s="1002"/>
      <c r="AC284" s="1002"/>
      <c r="AD284" s="1002"/>
      <c r="AE284" s="1002"/>
      <c r="AF284" s="1002"/>
      <c r="AG284" s="1002"/>
      <c r="AH284" s="1002"/>
      <c r="AI284" s="1002"/>
      <c r="AJ284" s="1002"/>
      <c r="AK284" s="1002"/>
      <c r="AL284" s="1002"/>
      <c r="AM284" s="1002"/>
      <c r="AN284" s="1002"/>
      <c r="AO284" s="1002"/>
      <c r="AP284" s="1002"/>
      <c r="AQ284" s="1002"/>
      <c r="AR284" s="1002"/>
      <c r="AS284" s="1002"/>
      <c r="AT284" s="1002"/>
      <c r="AU284" s="1002"/>
      <c r="AV284" s="1002"/>
      <c r="AW284" s="1002"/>
      <c r="AX284" s="1002"/>
      <c r="AY284" s="1002"/>
      <c r="AZ284" s="1002"/>
      <c r="BA284" s="1002"/>
      <c r="BB284" s="1002"/>
      <c r="BC284" s="1002"/>
      <c r="BD284" s="1002"/>
      <c r="BE284" s="204"/>
      <c r="BF284" s="205" t="s">
        <v>487</v>
      </c>
      <c r="BG284" s="204"/>
      <c r="BH284" s="204" t="s">
        <v>407</v>
      </c>
      <c r="BI284" s="204"/>
      <c r="BJ284" s="204"/>
      <c r="BK284" s="206"/>
    </row>
    <row r="285" spans="1:63" s="164" customFormat="1" ht="15.75" customHeight="1">
      <c r="A285" s="185"/>
      <c r="B285" s="183" t="s">
        <v>625</v>
      </c>
      <c r="C285" s="184"/>
      <c r="D285" s="184"/>
      <c r="E285" s="184"/>
      <c r="F285" s="184"/>
      <c r="G285" s="184"/>
      <c r="H285" s="184"/>
      <c r="I285" s="184"/>
      <c r="J285" s="184"/>
      <c r="K285" s="184"/>
      <c r="L285" s="193"/>
      <c r="M285" s="1003"/>
      <c r="N285" s="1002"/>
      <c r="O285" s="1002"/>
      <c r="P285" s="1002"/>
      <c r="Q285" s="1002"/>
      <c r="R285" s="1002"/>
      <c r="S285" s="1002"/>
      <c r="T285" s="1002"/>
      <c r="U285" s="1002"/>
      <c r="V285" s="1002"/>
      <c r="W285" s="1002"/>
      <c r="X285" s="1002"/>
      <c r="Y285" s="1002"/>
      <c r="Z285" s="1002"/>
      <c r="AA285" s="1002"/>
      <c r="AB285" s="1002"/>
      <c r="AC285" s="1002"/>
      <c r="AD285" s="1002"/>
      <c r="AE285" s="1002"/>
      <c r="AF285" s="1002"/>
      <c r="AG285" s="1002"/>
      <c r="AH285" s="1002"/>
      <c r="AI285" s="1002"/>
      <c r="AJ285" s="1002"/>
      <c r="AK285" s="1002"/>
      <c r="AL285" s="1002"/>
      <c r="AM285" s="1002"/>
      <c r="AN285" s="1002"/>
      <c r="AO285" s="1002"/>
      <c r="AP285" s="1002"/>
      <c r="AQ285" s="1002"/>
      <c r="AR285" s="1002"/>
      <c r="AS285" s="1002"/>
      <c r="AT285" s="1002"/>
      <c r="AU285" s="1002"/>
      <c r="AV285" s="1002"/>
      <c r="AW285" s="1002"/>
      <c r="AX285" s="1002"/>
      <c r="AY285" s="1002"/>
      <c r="AZ285" s="1002"/>
      <c r="BA285" s="1002"/>
      <c r="BB285" s="1002"/>
      <c r="BC285" s="1002"/>
      <c r="BD285" s="1002"/>
      <c r="BE285" s="204"/>
      <c r="BF285" s="205" t="s">
        <v>487</v>
      </c>
      <c r="BG285" s="204"/>
      <c r="BH285" s="204" t="s">
        <v>407</v>
      </c>
      <c r="BI285" s="204"/>
      <c r="BJ285" s="204"/>
      <c r="BK285" s="206"/>
    </row>
    <row r="286" spans="1:63" s="164" customFormat="1" ht="15.75" customHeight="1">
      <c r="A286" s="185"/>
      <c r="B286" s="183" t="s">
        <v>627</v>
      </c>
      <c r="C286" s="184"/>
      <c r="D286" s="184"/>
      <c r="E286" s="184"/>
      <c r="F286" s="184"/>
      <c r="G286" s="184"/>
      <c r="H286" s="184"/>
      <c r="I286" s="184"/>
      <c r="J286" s="184"/>
      <c r="K286" s="184"/>
      <c r="L286" s="193"/>
      <c r="M286" s="1003"/>
      <c r="N286" s="1002"/>
      <c r="O286" s="1002"/>
      <c r="P286" s="1002"/>
      <c r="Q286" s="1002"/>
      <c r="R286" s="1002"/>
      <c r="S286" s="1002"/>
      <c r="T286" s="1002"/>
      <c r="U286" s="1002"/>
      <c r="V286" s="1002"/>
      <c r="W286" s="1002"/>
      <c r="X286" s="1002"/>
      <c r="Y286" s="1002"/>
      <c r="Z286" s="1002"/>
      <c r="AA286" s="1002"/>
      <c r="AB286" s="1002"/>
      <c r="AC286" s="1002"/>
      <c r="AD286" s="1002"/>
      <c r="AE286" s="1002"/>
      <c r="AF286" s="1002"/>
      <c r="AG286" s="1002"/>
      <c r="AH286" s="1002"/>
      <c r="AI286" s="1002"/>
      <c r="AJ286" s="1002"/>
      <c r="AK286" s="1002"/>
      <c r="AL286" s="1002"/>
      <c r="AM286" s="1002"/>
      <c r="AN286" s="1002"/>
      <c r="AO286" s="1002"/>
      <c r="AP286" s="1002"/>
      <c r="AQ286" s="1002"/>
      <c r="AR286" s="1002"/>
      <c r="AS286" s="1002"/>
      <c r="AT286" s="1002"/>
      <c r="AU286" s="1002"/>
      <c r="AV286" s="1002"/>
      <c r="AW286" s="1002"/>
      <c r="AX286" s="1002"/>
      <c r="AY286" s="1002"/>
      <c r="AZ286" s="1002"/>
      <c r="BA286" s="1002"/>
      <c r="BB286" s="1002"/>
      <c r="BC286" s="1002"/>
      <c r="BD286" s="1002"/>
      <c r="BE286" s="204"/>
      <c r="BF286" s="205" t="s">
        <v>487</v>
      </c>
      <c r="BG286" s="204"/>
      <c r="BH286" s="204" t="s">
        <v>407</v>
      </c>
      <c r="BI286" s="204"/>
      <c r="BJ286" s="204"/>
      <c r="BK286" s="206"/>
    </row>
    <row r="287" spans="1:63" s="164" customFormat="1" ht="15.75" customHeight="1">
      <c r="A287" s="185"/>
      <c r="B287" s="183" t="s">
        <v>628</v>
      </c>
      <c r="C287" s="184"/>
      <c r="D287" s="184"/>
      <c r="E287" s="184"/>
      <c r="F287" s="184"/>
      <c r="G287" s="184"/>
      <c r="H287" s="184"/>
      <c r="I287" s="184"/>
      <c r="J287" s="184"/>
      <c r="K287" s="184"/>
      <c r="L287" s="193"/>
      <c r="M287" s="1003"/>
      <c r="N287" s="1002"/>
      <c r="O287" s="1002"/>
      <c r="P287" s="1002"/>
      <c r="Q287" s="1002"/>
      <c r="R287" s="1002"/>
      <c r="S287" s="1002"/>
      <c r="T287" s="1002"/>
      <c r="U287" s="1002"/>
      <c r="V287" s="1002"/>
      <c r="W287" s="1002"/>
      <c r="X287" s="1002"/>
      <c r="Y287" s="1002"/>
      <c r="Z287" s="1002"/>
      <c r="AA287" s="1002"/>
      <c r="AB287" s="1002"/>
      <c r="AC287" s="1002"/>
      <c r="AD287" s="1002"/>
      <c r="AE287" s="1002"/>
      <c r="AF287" s="1002"/>
      <c r="AG287" s="1002"/>
      <c r="AH287" s="1002"/>
      <c r="AI287" s="1002"/>
      <c r="AJ287" s="1002"/>
      <c r="AK287" s="1002"/>
      <c r="AL287" s="1002"/>
      <c r="AM287" s="1002"/>
      <c r="AN287" s="1002"/>
      <c r="AO287" s="1002"/>
      <c r="AP287" s="1002"/>
      <c r="AQ287" s="1002"/>
      <c r="AR287" s="1002"/>
      <c r="AS287" s="1002"/>
      <c r="AT287" s="1002"/>
      <c r="AU287" s="1002"/>
      <c r="AV287" s="1002"/>
      <c r="AW287" s="1002"/>
      <c r="AX287" s="1002"/>
      <c r="AY287" s="1002"/>
      <c r="AZ287" s="1002"/>
      <c r="BA287" s="1002"/>
      <c r="BB287" s="1002"/>
      <c r="BC287" s="1002"/>
      <c r="BD287" s="1002"/>
      <c r="BE287" s="204"/>
      <c r="BF287" s="205" t="s">
        <v>487</v>
      </c>
      <c r="BG287" s="204"/>
      <c r="BH287" s="204" t="s">
        <v>407</v>
      </c>
      <c r="BI287" s="204"/>
      <c r="BJ287" s="204"/>
      <c r="BK287" s="206"/>
    </row>
    <row r="288" spans="1:63" s="164" customFormat="1" ht="15.75" customHeight="1">
      <c r="A288" s="185"/>
      <c r="B288" s="183" t="s">
        <v>630</v>
      </c>
      <c r="C288" s="184"/>
      <c r="D288" s="184"/>
      <c r="E288" s="184"/>
      <c r="F288" s="184"/>
      <c r="G288" s="184"/>
      <c r="H288" s="184"/>
      <c r="I288" s="184"/>
      <c r="J288" s="184"/>
      <c r="K288" s="184"/>
      <c r="L288" s="193"/>
      <c r="M288" s="1003"/>
      <c r="N288" s="1002"/>
      <c r="O288" s="1002"/>
      <c r="P288" s="1002"/>
      <c r="Q288" s="1002"/>
      <c r="R288" s="1002"/>
      <c r="S288" s="1002"/>
      <c r="T288" s="1002"/>
      <c r="U288" s="1002"/>
      <c r="V288" s="1002"/>
      <c r="W288" s="1002"/>
      <c r="X288" s="1002"/>
      <c r="Y288" s="1002"/>
      <c r="Z288" s="1002"/>
      <c r="AA288" s="1002"/>
      <c r="AB288" s="1002"/>
      <c r="AC288" s="1002"/>
      <c r="AD288" s="1002"/>
      <c r="AE288" s="1002"/>
      <c r="AF288" s="1002"/>
      <c r="AG288" s="1002"/>
      <c r="AH288" s="1002"/>
      <c r="AI288" s="1002"/>
      <c r="AJ288" s="1002"/>
      <c r="AK288" s="1002"/>
      <c r="AL288" s="1002"/>
      <c r="AM288" s="1002"/>
      <c r="AN288" s="1002"/>
      <c r="AO288" s="1002"/>
      <c r="AP288" s="1002"/>
      <c r="AQ288" s="1002"/>
      <c r="AR288" s="1002"/>
      <c r="AS288" s="1002"/>
      <c r="AT288" s="1002"/>
      <c r="AU288" s="1002"/>
      <c r="AV288" s="1002"/>
      <c r="AW288" s="1002"/>
      <c r="AX288" s="1002"/>
      <c r="AY288" s="1002"/>
      <c r="AZ288" s="1002"/>
      <c r="BA288" s="1002"/>
      <c r="BB288" s="1002"/>
      <c r="BC288" s="1002"/>
      <c r="BD288" s="1002"/>
      <c r="BE288" s="204"/>
      <c r="BF288" s="205" t="s">
        <v>487</v>
      </c>
      <c r="BG288" s="204"/>
      <c r="BH288" s="204" t="s">
        <v>407</v>
      </c>
      <c r="BI288" s="204"/>
      <c r="BJ288" s="204"/>
      <c r="BK288" s="206"/>
    </row>
    <row r="289" spans="1:63" s="164" customFormat="1" ht="15.75" customHeight="1">
      <c r="A289" s="185"/>
      <c r="B289" s="183" t="s">
        <v>631</v>
      </c>
      <c r="C289" s="184"/>
      <c r="D289" s="184"/>
      <c r="E289" s="184"/>
      <c r="F289" s="184"/>
      <c r="G289" s="184"/>
      <c r="H289" s="184"/>
      <c r="I289" s="184"/>
      <c r="J289" s="184"/>
      <c r="K289" s="184"/>
      <c r="L289" s="193"/>
      <c r="M289" s="1003"/>
      <c r="N289" s="1002"/>
      <c r="O289" s="1002"/>
      <c r="P289" s="1002"/>
      <c r="Q289" s="1002"/>
      <c r="R289" s="1002"/>
      <c r="S289" s="1002"/>
      <c r="T289" s="1002"/>
      <c r="U289" s="1002"/>
      <c r="V289" s="1002"/>
      <c r="W289" s="1002"/>
      <c r="X289" s="1002"/>
      <c r="Y289" s="1002"/>
      <c r="Z289" s="1002"/>
      <c r="AA289" s="1002"/>
      <c r="AB289" s="1002"/>
      <c r="AC289" s="1002"/>
      <c r="AD289" s="1002"/>
      <c r="AE289" s="1002"/>
      <c r="AF289" s="1002"/>
      <c r="AG289" s="1002"/>
      <c r="AH289" s="1002"/>
      <c r="AI289" s="1002"/>
      <c r="AJ289" s="1002"/>
      <c r="AK289" s="1002"/>
      <c r="AL289" s="1002"/>
      <c r="AM289" s="1002"/>
      <c r="AN289" s="1002"/>
      <c r="AO289" s="1002"/>
      <c r="AP289" s="1002"/>
      <c r="AQ289" s="1002"/>
      <c r="AR289" s="1002"/>
      <c r="AS289" s="1002"/>
      <c r="AT289" s="1002"/>
      <c r="AU289" s="1002"/>
      <c r="AV289" s="1002"/>
      <c r="AW289" s="1002"/>
      <c r="AX289" s="1002"/>
      <c r="AY289" s="1002"/>
      <c r="AZ289" s="1002"/>
      <c r="BA289" s="1002"/>
      <c r="BB289" s="1002"/>
      <c r="BC289" s="1002"/>
      <c r="BD289" s="1002"/>
      <c r="BE289" s="204"/>
      <c r="BF289" s="205" t="s">
        <v>487</v>
      </c>
      <c r="BG289" s="204"/>
      <c r="BH289" s="204" t="s">
        <v>407</v>
      </c>
      <c r="BI289" s="204"/>
      <c r="BJ289" s="204"/>
      <c r="BK289" s="206"/>
    </row>
    <row r="290" spans="1:63" s="164" customFormat="1" ht="15.75" customHeight="1">
      <c r="A290" s="185"/>
      <c r="B290" s="183" t="s">
        <v>633</v>
      </c>
      <c r="C290" s="184"/>
      <c r="D290" s="184"/>
      <c r="E290" s="184"/>
      <c r="F290" s="184"/>
      <c r="G290" s="184"/>
      <c r="H290" s="184"/>
      <c r="I290" s="184"/>
      <c r="J290" s="184"/>
      <c r="K290" s="184"/>
      <c r="L290" s="193"/>
      <c r="M290" s="1003"/>
      <c r="N290" s="1002"/>
      <c r="O290" s="1002"/>
      <c r="P290" s="1002"/>
      <c r="Q290" s="1002"/>
      <c r="R290" s="1002"/>
      <c r="S290" s="1002"/>
      <c r="T290" s="1002"/>
      <c r="U290" s="1002"/>
      <c r="V290" s="1002"/>
      <c r="W290" s="1002"/>
      <c r="X290" s="1002"/>
      <c r="Y290" s="1002"/>
      <c r="Z290" s="1002"/>
      <c r="AA290" s="1002"/>
      <c r="AB290" s="1002"/>
      <c r="AC290" s="1002"/>
      <c r="AD290" s="1002"/>
      <c r="AE290" s="1002"/>
      <c r="AF290" s="1002"/>
      <c r="AG290" s="1002"/>
      <c r="AH290" s="1002"/>
      <c r="AI290" s="1002"/>
      <c r="AJ290" s="1002"/>
      <c r="AK290" s="1002"/>
      <c r="AL290" s="1002"/>
      <c r="AM290" s="1002"/>
      <c r="AN290" s="1002"/>
      <c r="AO290" s="1002"/>
      <c r="AP290" s="1002"/>
      <c r="AQ290" s="1002"/>
      <c r="AR290" s="1002"/>
      <c r="AS290" s="1002"/>
      <c r="AT290" s="1002"/>
      <c r="AU290" s="1002"/>
      <c r="AV290" s="1002"/>
      <c r="AW290" s="1002"/>
      <c r="AX290" s="1002"/>
      <c r="AY290" s="1002"/>
      <c r="AZ290" s="1002"/>
      <c r="BA290" s="1002"/>
      <c r="BB290" s="1002"/>
      <c r="BC290" s="1002"/>
      <c r="BD290" s="1002"/>
      <c r="BE290" s="204"/>
      <c r="BF290" s="205" t="s">
        <v>487</v>
      </c>
      <c r="BG290" s="204"/>
      <c r="BH290" s="204" t="s">
        <v>407</v>
      </c>
      <c r="BI290" s="204"/>
      <c r="BJ290" s="204"/>
      <c r="BK290" s="206"/>
    </row>
    <row r="291" spans="1:63" s="164" customFormat="1" ht="15.75" customHeight="1">
      <c r="A291" s="185"/>
      <c r="B291" s="183" t="s">
        <v>634</v>
      </c>
      <c r="C291" s="184"/>
      <c r="D291" s="184"/>
      <c r="E291" s="184"/>
      <c r="F291" s="184"/>
      <c r="G291" s="184"/>
      <c r="H291" s="184"/>
      <c r="I291" s="184"/>
      <c r="J291" s="184"/>
      <c r="K291" s="184"/>
      <c r="L291" s="193"/>
      <c r="M291" s="1003"/>
      <c r="N291" s="1002"/>
      <c r="O291" s="1002"/>
      <c r="P291" s="1002"/>
      <c r="Q291" s="1002"/>
      <c r="R291" s="1002"/>
      <c r="S291" s="1002"/>
      <c r="T291" s="1002"/>
      <c r="U291" s="1002"/>
      <c r="V291" s="1002"/>
      <c r="W291" s="1002"/>
      <c r="X291" s="1002"/>
      <c r="Y291" s="1002"/>
      <c r="Z291" s="1002"/>
      <c r="AA291" s="1002"/>
      <c r="AB291" s="1002"/>
      <c r="AC291" s="1002"/>
      <c r="AD291" s="1002"/>
      <c r="AE291" s="1002"/>
      <c r="AF291" s="1002"/>
      <c r="AG291" s="1002"/>
      <c r="AH291" s="1002"/>
      <c r="AI291" s="1002"/>
      <c r="AJ291" s="1002"/>
      <c r="AK291" s="1002"/>
      <c r="AL291" s="1002"/>
      <c r="AM291" s="1002"/>
      <c r="AN291" s="1002"/>
      <c r="AO291" s="1002"/>
      <c r="AP291" s="1002"/>
      <c r="AQ291" s="1002"/>
      <c r="AR291" s="1002"/>
      <c r="AS291" s="1002"/>
      <c r="AT291" s="1002"/>
      <c r="AU291" s="1002"/>
      <c r="AV291" s="1002"/>
      <c r="AW291" s="1002"/>
      <c r="AX291" s="1002"/>
      <c r="AY291" s="1002"/>
      <c r="AZ291" s="1002"/>
      <c r="BA291" s="1002"/>
      <c r="BB291" s="1002"/>
      <c r="BC291" s="1002"/>
      <c r="BD291" s="1002"/>
      <c r="BE291" s="204"/>
      <c r="BF291" s="205" t="s">
        <v>487</v>
      </c>
      <c r="BG291" s="204"/>
      <c r="BH291" s="204" t="s">
        <v>407</v>
      </c>
      <c r="BI291" s="204"/>
      <c r="BJ291" s="204"/>
      <c r="BK291" s="206"/>
    </row>
    <row r="292" spans="1:63" s="164" customFormat="1" ht="15.75" customHeight="1">
      <c r="A292" s="185"/>
      <c r="B292" s="183" t="s">
        <v>636</v>
      </c>
      <c r="C292" s="184"/>
      <c r="D292" s="184"/>
      <c r="E292" s="184"/>
      <c r="F292" s="184"/>
      <c r="G292" s="184"/>
      <c r="H292" s="184"/>
      <c r="I292" s="184"/>
      <c r="J292" s="184"/>
      <c r="K292" s="184"/>
      <c r="L292" s="193"/>
      <c r="M292" s="1003"/>
      <c r="N292" s="1002"/>
      <c r="O292" s="1002"/>
      <c r="P292" s="1002"/>
      <c r="Q292" s="1002"/>
      <c r="R292" s="1002"/>
      <c r="S292" s="1002"/>
      <c r="T292" s="1002"/>
      <c r="U292" s="1002"/>
      <c r="V292" s="1002"/>
      <c r="W292" s="1002"/>
      <c r="X292" s="1002"/>
      <c r="Y292" s="1002"/>
      <c r="Z292" s="1002"/>
      <c r="AA292" s="1002"/>
      <c r="AB292" s="1002"/>
      <c r="AC292" s="1002"/>
      <c r="AD292" s="1002"/>
      <c r="AE292" s="1002"/>
      <c r="AF292" s="1002"/>
      <c r="AG292" s="1002"/>
      <c r="AH292" s="1002"/>
      <c r="AI292" s="1002"/>
      <c r="AJ292" s="1002"/>
      <c r="AK292" s="1002"/>
      <c r="AL292" s="1002"/>
      <c r="AM292" s="1002"/>
      <c r="AN292" s="1002"/>
      <c r="AO292" s="1002"/>
      <c r="AP292" s="1002"/>
      <c r="AQ292" s="1002"/>
      <c r="AR292" s="1002"/>
      <c r="AS292" s="1002"/>
      <c r="AT292" s="1002"/>
      <c r="AU292" s="1002"/>
      <c r="AV292" s="1002"/>
      <c r="AW292" s="1002"/>
      <c r="AX292" s="1002"/>
      <c r="AY292" s="1002"/>
      <c r="AZ292" s="1002"/>
      <c r="BA292" s="1002"/>
      <c r="BB292" s="1002"/>
      <c r="BC292" s="1002"/>
      <c r="BD292" s="1002"/>
      <c r="BE292" s="204"/>
      <c r="BF292" s="205" t="s">
        <v>487</v>
      </c>
      <c r="BG292" s="204"/>
      <c r="BH292" s="204" t="s">
        <v>407</v>
      </c>
      <c r="BI292" s="204"/>
      <c r="BJ292" s="204"/>
      <c r="BK292" s="206"/>
    </row>
    <row r="293" spans="1:63" s="164" customFormat="1" ht="15.75" customHeight="1">
      <c r="A293" s="185"/>
      <c r="B293" s="183" t="s">
        <v>637</v>
      </c>
      <c r="C293" s="184"/>
      <c r="D293" s="184"/>
      <c r="E293" s="184"/>
      <c r="F293" s="184"/>
      <c r="G293" s="184"/>
      <c r="H293" s="184"/>
      <c r="I293" s="184"/>
      <c r="J293" s="184"/>
      <c r="K293" s="184"/>
      <c r="L293" s="193"/>
      <c r="M293" s="1003"/>
      <c r="N293" s="1002"/>
      <c r="O293" s="1002"/>
      <c r="P293" s="1002"/>
      <c r="Q293" s="1002"/>
      <c r="R293" s="1002"/>
      <c r="S293" s="1002"/>
      <c r="T293" s="1002"/>
      <c r="U293" s="1002"/>
      <c r="V293" s="1002"/>
      <c r="W293" s="1002"/>
      <c r="X293" s="1002"/>
      <c r="Y293" s="1002"/>
      <c r="Z293" s="1002"/>
      <c r="AA293" s="1002"/>
      <c r="AB293" s="1002"/>
      <c r="AC293" s="1002"/>
      <c r="AD293" s="1002"/>
      <c r="AE293" s="1002"/>
      <c r="AF293" s="1002"/>
      <c r="AG293" s="1002"/>
      <c r="AH293" s="1002"/>
      <c r="AI293" s="1002"/>
      <c r="AJ293" s="1002"/>
      <c r="AK293" s="1002"/>
      <c r="AL293" s="1002"/>
      <c r="AM293" s="1002"/>
      <c r="AN293" s="1002"/>
      <c r="AO293" s="1002"/>
      <c r="AP293" s="1002"/>
      <c r="AQ293" s="1002"/>
      <c r="AR293" s="1002"/>
      <c r="AS293" s="1002"/>
      <c r="AT293" s="1002"/>
      <c r="AU293" s="1002"/>
      <c r="AV293" s="1002"/>
      <c r="AW293" s="1002"/>
      <c r="AX293" s="1002"/>
      <c r="AY293" s="1002"/>
      <c r="AZ293" s="1002"/>
      <c r="BA293" s="1002"/>
      <c r="BB293" s="1002"/>
      <c r="BC293" s="1002"/>
      <c r="BD293" s="1002"/>
      <c r="BE293" s="204"/>
      <c r="BF293" s="205" t="s">
        <v>487</v>
      </c>
      <c r="BG293" s="204"/>
      <c r="BH293" s="204" t="s">
        <v>407</v>
      </c>
      <c r="BI293" s="204"/>
      <c r="BJ293" s="204"/>
      <c r="BK293" s="206"/>
    </row>
    <row r="294" spans="1:63" s="164" customFormat="1" ht="15.75" customHeight="1">
      <c r="A294" s="185"/>
      <c r="B294" s="183" t="s">
        <v>639</v>
      </c>
      <c r="C294" s="184"/>
      <c r="D294" s="184"/>
      <c r="E294" s="184"/>
      <c r="F294" s="184"/>
      <c r="G294" s="184"/>
      <c r="H294" s="184"/>
      <c r="I294" s="184"/>
      <c r="J294" s="184"/>
      <c r="K294" s="184"/>
      <c r="L294" s="193"/>
      <c r="M294" s="1003"/>
      <c r="N294" s="1002"/>
      <c r="O294" s="1002"/>
      <c r="P294" s="1002"/>
      <c r="Q294" s="1002"/>
      <c r="R294" s="1002"/>
      <c r="S294" s="1002"/>
      <c r="T294" s="1002"/>
      <c r="U294" s="1002"/>
      <c r="V294" s="1002"/>
      <c r="W294" s="1002"/>
      <c r="X294" s="1002"/>
      <c r="Y294" s="1002"/>
      <c r="Z294" s="1002"/>
      <c r="AA294" s="1002"/>
      <c r="AB294" s="1002"/>
      <c r="AC294" s="1002"/>
      <c r="AD294" s="1002"/>
      <c r="AE294" s="1002"/>
      <c r="AF294" s="1002"/>
      <c r="AG294" s="1002"/>
      <c r="AH294" s="1002"/>
      <c r="AI294" s="1002"/>
      <c r="AJ294" s="1002"/>
      <c r="AK294" s="1002"/>
      <c r="AL294" s="1002"/>
      <c r="AM294" s="1002"/>
      <c r="AN294" s="1002"/>
      <c r="AO294" s="1002"/>
      <c r="AP294" s="1002"/>
      <c r="AQ294" s="1002"/>
      <c r="AR294" s="1002"/>
      <c r="AS294" s="1002"/>
      <c r="AT294" s="1002"/>
      <c r="AU294" s="1002"/>
      <c r="AV294" s="1002"/>
      <c r="AW294" s="1002"/>
      <c r="AX294" s="1002"/>
      <c r="AY294" s="1002"/>
      <c r="AZ294" s="1002"/>
      <c r="BA294" s="1002"/>
      <c r="BB294" s="1002"/>
      <c r="BC294" s="1002"/>
      <c r="BD294" s="1002"/>
      <c r="BE294" s="204"/>
      <c r="BF294" s="205" t="s">
        <v>487</v>
      </c>
      <c r="BG294" s="204"/>
      <c r="BH294" s="204" t="s">
        <v>407</v>
      </c>
      <c r="BI294" s="204"/>
      <c r="BJ294" s="204"/>
      <c r="BK294" s="206"/>
    </row>
    <row r="295" spans="1:63" s="164" customFormat="1" ht="15.75" customHeight="1">
      <c r="A295" s="182" t="s">
        <v>411</v>
      </c>
      <c r="B295" s="183" t="s">
        <v>513</v>
      </c>
      <c r="C295" s="184"/>
      <c r="D295" s="184"/>
      <c r="E295" s="184"/>
      <c r="F295" s="184"/>
      <c r="G295" s="184"/>
      <c r="H295" s="184"/>
      <c r="I295" s="184"/>
      <c r="J295" s="184"/>
      <c r="K295" s="184"/>
      <c r="L295" s="193"/>
      <c r="M295" s="1003"/>
      <c r="N295" s="1002"/>
      <c r="O295" s="1002"/>
      <c r="P295" s="1002"/>
      <c r="Q295" s="1002"/>
      <c r="R295" s="1002"/>
      <c r="S295" s="1002"/>
      <c r="T295" s="1002"/>
      <c r="U295" s="1002"/>
      <c r="V295" s="1002"/>
      <c r="W295" s="1002"/>
      <c r="X295" s="1002"/>
      <c r="Y295" s="1002"/>
      <c r="Z295" s="1002"/>
      <c r="AA295" s="1002"/>
      <c r="AB295" s="1002"/>
      <c r="AC295" s="1002"/>
      <c r="AD295" s="1002"/>
      <c r="AE295" s="1002"/>
      <c r="AF295" s="1002"/>
      <c r="AG295" s="1002"/>
      <c r="AH295" s="1002"/>
      <c r="AI295" s="1002"/>
      <c r="AJ295" s="1002"/>
      <c r="AK295" s="1002"/>
      <c r="AL295" s="1002"/>
      <c r="AM295" s="1002"/>
      <c r="AN295" s="1002"/>
      <c r="AO295" s="1002"/>
      <c r="AP295" s="1002"/>
      <c r="AQ295" s="1002"/>
      <c r="AR295" s="1002"/>
      <c r="AS295" s="1002"/>
      <c r="AT295" s="1002"/>
      <c r="AU295" s="1002"/>
      <c r="AV295" s="1002"/>
      <c r="AW295" s="1002"/>
      <c r="AX295" s="1002"/>
      <c r="AY295" s="1002"/>
      <c r="AZ295" s="1002"/>
      <c r="BA295" s="1002"/>
      <c r="BB295" s="1002"/>
      <c r="BC295" s="1002"/>
      <c r="BD295" s="1002"/>
      <c r="BE295" s="205" t="s">
        <v>486</v>
      </c>
      <c r="BF295" s="205" t="s">
        <v>487</v>
      </c>
      <c r="BG295" s="204"/>
      <c r="BH295" s="204" t="s">
        <v>407</v>
      </c>
      <c r="BI295" s="205" t="s">
        <v>408</v>
      </c>
      <c r="BJ295" s="204"/>
      <c r="BK295" s="209" t="s">
        <v>514</v>
      </c>
    </row>
    <row r="296" spans="1:63" s="164" customFormat="1" ht="15.75" customHeight="1">
      <c r="A296" s="182" t="s">
        <v>411</v>
      </c>
      <c r="B296" s="183" t="s">
        <v>488</v>
      </c>
      <c r="C296" s="184"/>
      <c r="D296" s="184"/>
      <c r="E296" s="184"/>
      <c r="F296" s="184"/>
      <c r="G296" s="184"/>
      <c r="H296" s="184"/>
      <c r="I296" s="184"/>
      <c r="J296" s="184"/>
      <c r="K296" s="184"/>
      <c r="L296" s="193"/>
      <c r="M296" s="1003" t="s">
        <v>683</v>
      </c>
      <c r="N296" s="1002"/>
      <c r="O296" s="1002"/>
      <c r="P296" s="1002"/>
      <c r="Q296" s="1002"/>
      <c r="R296" s="1002"/>
      <c r="S296" s="1002"/>
      <c r="T296" s="1002"/>
      <c r="U296" s="1002"/>
      <c r="V296" s="1002"/>
      <c r="W296" s="1002"/>
      <c r="X296" s="1002"/>
      <c r="Y296" s="1002"/>
      <c r="Z296" s="1002"/>
      <c r="AA296" s="1002"/>
      <c r="AB296" s="1002"/>
      <c r="AC296" s="1002"/>
      <c r="AD296" s="1002"/>
      <c r="AE296" s="1002"/>
      <c r="AF296" s="1002"/>
      <c r="AG296" s="1002"/>
      <c r="AH296" s="1002"/>
      <c r="AI296" s="1002"/>
      <c r="AJ296" s="1002"/>
      <c r="AK296" s="1002"/>
      <c r="AL296" s="1002"/>
      <c r="AM296" s="1002"/>
      <c r="AN296" s="1002"/>
      <c r="AO296" s="1002"/>
      <c r="AP296" s="1002"/>
      <c r="AQ296" s="1002"/>
      <c r="AR296" s="1002"/>
      <c r="AS296" s="1002"/>
      <c r="AT296" s="1002"/>
      <c r="AU296" s="1002"/>
      <c r="AV296" s="1002"/>
      <c r="AW296" s="1002"/>
      <c r="AX296" s="1002"/>
      <c r="AY296" s="1002"/>
      <c r="AZ296" s="1002"/>
      <c r="BA296" s="1002"/>
      <c r="BB296" s="1002"/>
      <c r="BC296" s="1002"/>
      <c r="BD296" s="1002"/>
      <c r="BE296" s="205" t="s">
        <v>684</v>
      </c>
      <c r="BF296" s="205" t="s">
        <v>487</v>
      </c>
      <c r="BG296" s="204"/>
      <c r="BH296" s="204" t="s">
        <v>407</v>
      </c>
      <c r="BI296" s="205" t="s">
        <v>408</v>
      </c>
      <c r="BJ296" s="204"/>
      <c r="BK296" s="206"/>
    </row>
    <row r="297" spans="1:63" s="164" customFormat="1" ht="15.75" customHeight="1">
      <c r="A297" s="185"/>
      <c r="B297" s="183" t="s">
        <v>490</v>
      </c>
      <c r="C297" s="184"/>
      <c r="D297" s="184"/>
      <c r="E297" s="184"/>
      <c r="F297" s="184"/>
      <c r="G297" s="184"/>
      <c r="H297" s="184"/>
      <c r="I297" s="184"/>
      <c r="J297" s="184"/>
      <c r="K297" s="184"/>
      <c r="L297" s="193"/>
      <c r="M297" s="1003"/>
      <c r="N297" s="1002"/>
      <c r="O297" s="1002"/>
      <c r="P297" s="1002"/>
      <c r="Q297" s="1002"/>
      <c r="R297" s="1002"/>
      <c r="S297" s="1002"/>
      <c r="T297" s="1002"/>
      <c r="U297" s="1002"/>
      <c r="V297" s="1002"/>
      <c r="W297" s="1002"/>
      <c r="X297" s="1002"/>
      <c r="Y297" s="1002"/>
      <c r="Z297" s="1002"/>
      <c r="AA297" s="1002"/>
      <c r="AB297" s="1002"/>
      <c r="AC297" s="1002"/>
      <c r="AD297" s="1002"/>
      <c r="AE297" s="1002"/>
      <c r="AF297" s="1002"/>
      <c r="AG297" s="1002"/>
      <c r="AH297" s="1002"/>
      <c r="AI297" s="1002"/>
      <c r="AJ297" s="1002"/>
      <c r="AK297" s="1002"/>
      <c r="AL297" s="1002"/>
      <c r="AM297" s="1002"/>
      <c r="AN297" s="1002"/>
      <c r="AO297" s="1002"/>
      <c r="AP297" s="1002"/>
      <c r="AQ297" s="1002"/>
      <c r="AR297" s="1002"/>
      <c r="AS297" s="1002"/>
      <c r="AT297" s="1002"/>
      <c r="AU297" s="1002"/>
      <c r="AV297" s="1002"/>
      <c r="AW297" s="1002"/>
      <c r="AX297" s="1002"/>
      <c r="AY297" s="1002"/>
      <c r="AZ297" s="1002"/>
      <c r="BA297" s="1002"/>
      <c r="BB297" s="1002"/>
      <c r="BC297" s="1002"/>
      <c r="BD297" s="1002"/>
      <c r="BE297" s="204"/>
      <c r="BF297" s="205" t="s">
        <v>487</v>
      </c>
      <c r="BG297" s="204"/>
      <c r="BH297" s="204" t="s">
        <v>407</v>
      </c>
      <c r="BI297" s="204"/>
      <c r="BJ297" s="204"/>
      <c r="BK297" s="206"/>
    </row>
    <row r="298" spans="1:63" s="164" customFormat="1" ht="15.75" customHeight="1">
      <c r="A298" s="185"/>
      <c r="B298" s="183" t="s">
        <v>685</v>
      </c>
      <c r="C298" s="184"/>
      <c r="D298" s="184"/>
      <c r="E298" s="184"/>
      <c r="F298" s="184"/>
      <c r="G298" s="184"/>
      <c r="H298" s="184"/>
      <c r="I298" s="184"/>
      <c r="J298" s="184"/>
      <c r="K298" s="184"/>
      <c r="L298" s="193"/>
      <c r="M298" s="1005"/>
      <c r="N298" s="1005"/>
      <c r="O298" s="1005"/>
      <c r="P298" s="1005"/>
      <c r="Q298" s="1005"/>
      <c r="R298" s="1005"/>
      <c r="S298" s="1005"/>
      <c r="T298" s="1005"/>
      <c r="U298" s="1005"/>
      <c r="V298" s="1005"/>
      <c r="W298" s="1005"/>
      <c r="X298" s="1005"/>
      <c r="Y298" s="1005"/>
      <c r="Z298" s="1005"/>
      <c r="AA298" s="1005"/>
      <c r="AB298" s="1005"/>
      <c r="AC298" s="1005"/>
      <c r="AD298" s="1005"/>
      <c r="AE298" s="1005"/>
      <c r="AF298" s="1005"/>
      <c r="AG298" s="1005"/>
      <c r="AH298" s="1005"/>
      <c r="AI298" s="1005"/>
      <c r="AJ298" s="1005"/>
      <c r="AK298" s="1005"/>
      <c r="AL298" s="1005"/>
      <c r="AM298" s="1005"/>
      <c r="AN298" s="1005"/>
      <c r="AO298" s="1005"/>
      <c r="AP298" s="1005"/>
      <c r="AQ298" s="1005"/>
      <c r="AR298" s="1005"/>
      <c r="AS298" s="1005"/>
      <c r="AT298" s="1005"/>
      <c r="AU298" s="1005"/>
      <c r="AV298" s="1005"/>
      <c r="AW298" s="1005"/>
      <c r="AX298" s="1005"/>
      <c r="AY298" s="1005"/>
      <c r="AZ298" s="1005"/>
      <c r="BA298" s="1005"/>
      <c r="BB298" s="1005"/>
      <c r="BC298" s="1005"/>
      <c r="BD298" s="1005"/>
      <c r="BE298" s="204"/>
      <c r="BF298" s="205" t="s">
        <v>419</v>
      </c>
      <c r="BG298" s="204"/>
      <c r="BH298" s="204" t="s">
        <v>407</v>
      </c>
      <c r="BI298" s="204"/>
      <c r="BJ298" s="204"/>
      <c r="BK298" s="206"/>
    </row>
    <row r="299" spans="1:63" s="164" customFormat="1" ht="15.75" customHeight="1">
      <c r="A299" s="185" t="s">
        <v>411</v>
      </c>
      <c r="B299" s="183" t="s">
        <v>686</v>
      </c>
      <c r="C299" s="184"/>
      <c r="D299" s="184"/>
      <c r="E299" s="184"/>
      <c r="F299" s="184"/>
      <c r="G299" s="184"/>
      <c r="H299" s="184"/>
      <c r="I299" s="184"/>
      <c r="J299" s="184"/>
      <c r="K299" s="184"/>
      <c r="L299" s="193"/>
      <c r="M299" s="1003" t="s">
        <v>687</v>
      </c>
      <c r="N299" s="1002"/>
      <c r="O299" s="1002"/>
      <c r="P299" s="1002"/>
      <c r="Q299" s="1002"/>
      <c r="R299" s="1002"/>
      <c r="S299" s="1002"/>
      <c r="T299" s="1002"/>
      <c r="U299" s="1002"/>
      <c r="V299" s="1002"/>
      <c r="W299" s="1002"/>
      <c r="X299" s="1002"/>
      <c r="Y299" s="1002"/>
      <c r="Z299" s="1002"/>
      <c r="AA299" s="1002"/>
      <c r="AB299" s="1002"/>
      <c r="AC299" s="1002"/>
      <c r="AD299" s="1002"/>
      <c r="AE299" s="1002"/>
      <c r="AF299" s="1002"/>
      <c r="AG299" s="1002"/>
      <c r="AH299" s="1002"/>
      <c r="AI299" s="1002"/>
      <c r="AJ299" s="1002"/>
      <c r="AK299" s="1002"/>
      <c r="AL299" s="1002"/>
      <c r="AM299" s="1002"/>
      <c r="AN299" s="1002"/>
      <c r="AO299" s="1002"/>
      <c r="AP299" s="1002"/>
      <c r="AQ299" s="1002"/>
      <c r="AR299" s="1002"/>
      <c r="AS299" s="1002"/>
      <c r="AT299" s="1002"/>
      <c r="AU299" s="1002"/>
      <c r="AV299" s="1002"/>
      <c r="AW299" s="1002"/>
      <c r="AX299" s="1002"/>
      <c r="AY299" s="1002"/>
      <c r="AZ299" s="1002"/>
      <c r="BA299" s="1002"/>
      <c r="BB299" s="1002"/>
      <c r="BC299" s="1002"/>
      <c r="BD299" s="1002"/>
      <c r="BE299" s="204" t="s">
        <v>486</v>
      </c>
      <c r="BF299" s="205" t="s">
        <v>487</v>
      </c>
      <c r="BG299" s="204"/>
      <c r="BH299" s="204" t="s">
        <v>407</v>
      </c>
      <c r="BI299" s="204"/>
      <c r="BJ299" s="204"/>
      <c r="BK299" s="206"/>
    </row>
    <row r="300" spans="1:63" s="164" customFormat="1" ht="15.75" customHeight="1">
      <c r="A300" s="185"/>
      <c r="B300" s="183" t="s">
        <v>688</v>
      </c>
      <c r="C300" s="184"/>
      <c r="D300" s="184"/>
      <c r="E300" s="184"/>
      <c r="F300" s="184"/>
      <c r="G300" s="184"/>
      <c r="H300" s="184"/>
      <c r="I300" s="184"/>
      <c r="J300" s="184"/>
      <c r="K300" s="184"/>
      <c r="L300" s="193"/>
      <c r="M300" s="1003"/>
      <c r="N300" s="1002"/>
      <c r="O300" s="1002"/>
      <c r="P300" s="1002"/>
      <c r="Q300" s="1002"/>
      <c r="R300" s="1002"/>
      <c r="S300" s="1002"/>
      <c r="T300" s="1002"/>
      <c r="U300" s="1002"/>
      <c r="V300" s="1002"/>
      <c r="W300" s="1002"/>
      <c r="X300" s="1002"/>
      <c r="Y300" s="1002"/>
      <c r="Z300" s="1002"/>
      <c r="AA300" s="1002"/>
      <c r="AB300" s="1002"/>
      <c r="AC300" s="1002"/>
      <c r="AD300" s="1002"/>
      <c r="AE300" s="1002"/>
      <c r="AF300" s="1002"/>
      <c r="AG300" s="1002"/>
      <c r="AH300" s="1002"/>
      <c r="AI300" s="1002"/>
      <c r="AJ300" s="1002"/>
      <c r="AK300" s="1002"/>
      <c r="AL300" s="1002"/>
      <c r="AM300" s="1002"/>
      <c r="AN300" s="1002"/>
      <c r="AO300" s="1002"/>
      <c r="AP300" s="1002"/>
      <c r="AQ300" s="1002"/>
      <c r="AR300" s="1002"/>
      <c r="AS300" s="1002"/>
      <c r="AT300" s="1002"/>
      <c r="AU300" s="1002"/>
      <c r="AV300" s="1002"/>
      <c r="AW300" s="1002"/>
      <c r="AX300" s="1002"/>
      <c r="AY300" s="1002"/>
      <c r="AZ300" s="1002"/>
      <c r="BA300" s="1002"/>
      <c r="BB300" s="1002"/>
      <c r="BC300" s="1002"/>
      <c r="BD300" s="1002"/>
      <c r="BE300" s="204"/>
      <c r="BF300" s="205" t="s">
        <v>487</v>
      </c>
      <c r="BG300" s="204"/>
      <c r="BH300" s="204" t="s">
        <v>407</v>
      </c>
      <c r="BI300" s="204"/>
      <c r="BJ300" s="204"/>
      <c r="BK300" s="206"/>
    </row>
    <row r="301" spans="1:63" s="164" customFormat="1" ht="15.75" customHeight="1">
      <c r="A301" s="185" t="s">
        <v>411</v>
      </c>
      <c r="B301" s="183" t="s">
        <v>689</v>
      </c>
      <c r="C301" s="184"/>
      <c r="D301" s="184"/>
      <c r="E301" s="184"/>
      <c r="F301" s="184"/>
      <c r="G301" s="184"/>
      <c r="H301" s="184"/>
      <c r="I301" s="184"/>
      <c r="J301" s="184"/>
      <c r="K301" s="184"/>
      <c r="L301" s="193"/>
      <c r="M301" s="1003" t="s">
        <v>690</v>
      </c>
      <c r="N301" s="1002"/>
      <c r="O301" s="1002"/>
      <c r="P301" s="1002"/>
      <c r="Q301" s="1002"/>
      <c r="R301" s="1002"/>
      <c r="S301" s="1002"/>
      <c r="T301" s="1002"/>
      <c r="U301" s="1002"/>
      <c r="V301" s="1002"/>
      <c r="W301" s="1002"/>
      <c r="X301" s="1002"/>
      <c r="Y301" s="1002"/>
      <c r="Z301" s="1002"/>
      <c r="AA301" s="1002"/>
      <c r="AB301" s="1002"/>
      <c r="AC301" s="1002"/>
      <c r="AD301" s="1002"/>
      <c r="AE301" s="1002"/>
      <c r="AF301" s="1002"/>
      <c r="AG301" s="1002"/>
      <c r="AH301" s="1002"/>
      <c r="AI301" s="1002"/>
      <c r="AJ301" s="1002"/>
      <c r="AK301" s="1002"/>
      <c r="AL301" s="1002"/>
      <c r="AM301" s="1002"/>
      <c r="AN301" s="1002"/>
      <c r="AO301" s="1002"/>
      <c r="AP301" s="1002"/>
      <c r="AQ301" s="1002"/>
      <c r="AR301" s="1002"/>
      <c r="AS301" s="1002"/>
      <c r="AT301" s="1002"/>
      <c r="AU301" s="1002"/>
      <c r="AV301" s="1002"/>
      <c r="AW301" s="1002"/>
      <c r="AX301" s="1002"/>
      <c r="AY301" s="1002"/>
      <c r="AZ301" s="1002"/>
      <c r="BA301" s="1002"/>
      <c r="BB301" s="1002"/>
      <c r="BC301" s="1002"/>
      <c r="BD301" s="1002"/>
      <c r="BE301" s="204" t="s">
        <v>486</v>
      </c>
      <c r="BF301" s="205" t="s">
        <v>487</v>
      </c>
      <c r="BG301" s="204"/>
      <c r="BH301" s="204" t="s">
        <v>407</v>
      </c>
      <c r="BI301" s="204"/>
      <c r="BJ301" s="204"/>
      <c r="BK301" s="206"/>
    </row>
    <row r="302" spans="1:63" s="164" customFormat="1" ht="15.75" customHeight="1">
      <c r="A302" s="185"/>
      <c r="B302" s="183" t="s">
        <v>667</v>
      </c>
      <c r="C302" s="184"/>
      <c r="D302" s="184"/>
      <c r="E302" s="184"/>
      <c r="F302" s="184"/>
      <c r="G302" s="184"/>
      <c r="H302" s="184"/>
      <c r="I302" s="184"/>
      <c r="J302" s="184"/>
      <c r="K302" s="184"/>
      <c r="L302" s="193"/>
      <c r="M302" s="1001" t="s">
        <v>668</v>
      </c>
      <c r="N302" s="1002"/>
      <c r="O302" s="1002"/>
      <c r="P302" s="1002"/>
      <c r="Q302" s="1002"/>
      <c r="R302" s="1002"/>
      <c r="S302" s="1002"/>
      <c r="T302" s="1002"/>
      <c r="U302" s="1002"/>
      <c r="V302" s="1002"/>
      <c r="W302" s="1002"/>
      <c r="X302" s="1002"/>
      <c r="Y302" s="1002"/>
      <c r="Z302" s="1002"/>
      <c r="AA302" s="1002"/>
      <c r="AB302" s="1002"/>
      <c r="AC302" s="1002"/>
      <c r="AD302" s="1002"/>
      <c r="AE302" s="1002"/>
      <c r="AF302" s="1002"/>
      <c r="AG302" s="1002"/>
      <c r="AH302" s="1002"/>
      <c r="AI302" s="1002"/>
      <c r="AJ302" s="1002"/>
      <c r="AK302" s="1002"/>
      <c r="AL302" s="1002"/>
      <c r="AM302" s="1002"/>
      <c r="AN302" s="1002"/>
      <c r="AO302" s="1002"/>
      <c r="AP302" s="1002"/>
      <c r="AQ302" s="1002"/>
      <c r="AR302" s="1002"/>
      <c r="AS302" s="1002"/>
      <c r="AT302" s="1002"/>
      <c r="AU302" s="1002"/>
      <c r="AV302" s="1002"/>
      <c r="AW302" s="1002"/>
      <c r="AX302" s="1002"/>
      <c r="AY302" s="1002"/>
      <c r="AZ302" s="1002"/>
      <c r="BA302" s="1002"/>
      <c r="BB302" s="1002"/>
      <c r="BC302" s="1002"/>
      <c r="BD302" s="1002"/>
      <c r="BE302" s="204"/>
      <c r="BF302" s="205" t="s">
        <v>642</v>
      </c>
      <c r="BG302" s="204"/>
      <c r="BH302" s="204"/>
      <c r="BI302" s="204"/>
      <c r="BJ302" s="204"/>
      <c r="BK302" s="206"/>
    </row>
    <row r="303" spans="1:63" s="164" customFormat="1" ht="15.75" customHeight="1">
      <c r="A303" s="185"/>
      <c r="B303" s="183" t="s">
        <v>691</v>
      </c>
      <c r="C303" s="184"/>
      <c r="D303" s="184"/>
      <c r="E303" s="184"/>
      <c r="F303" s="184"/>
      <c r="G303" s="184"/>
      <c r="H303" s="184"/>
      <c r="I303" s="184"/>
      <c r="J303" s="184"/>
      <c r="K303" s="184"/>
      <c r="L303" s="193"/>
      <c r="M303" s="1003"/>
      <c r="N303" s="1002"/>
      <c r="O303" s="1002"/>
      <c r="P303" s="1002"/>
      <c r="Q303" s="1002"/>
      <c r="R303" s="1002"/>
      <c r="S303" s="1002"/>
      <c r="T303" s="1002"/>
      <c r="U303" s="1002"/>
      <c r="V303" s="1002"/>
      <c r="W303" s="1002"/>
      <c r="X303" s="1002"/>
      <c r="Y303" s="1002"/>
      <c r="Z303" s="1002"/>
      <c r="AA303" s="1002"/>
      <c r="AB303" s="1002"/>
      <c r="AC303" s="1002"/>
      <c r="AD303" s="1002"/>
      <c r="AE303" s="1002"/>
      <c r="AF303" s="1002"/>
      <c r="AG303" s="1002"/>
      <c r="AH303" s="1002"/>
      <c r="AI303" s="1002"/>
      <c r="AJ303" s="1002"/>
      <c r="AK303" s="1002"/>
      <c r="AL303" s="1002"/>
      <c r="AM303" s="1002"/>
      <c r="AN303" s="1002"/>
      <c r="AO303" s="1002"/>
      <c r="AP303" s="1002"/>
      <c r="AQ303" s="1002"/>
      <c r="AR303" s="1002"/>
      <c r="AS303" s="1002"/>
      <c r="AT303" s="1002"/>
      <c r="AU303" s="1002"/>
      <c r="AV303" s="1002"/>
      <c r="AW303" s="1002"/>
      <c r="AX303" s="1002"/>
      <c r="AY303" s="1002"/>
      <c r="AZ303" s="1002"/>
      <c r="BA303" s="1002"/>
      <c r="BB303" s="1002"/>
      <c r="BC303" s="1002"/>
      <c r="BD303" s="1002"/>
      <c r="BE303" s="204"/>
      <c r="BF303" s="205" t="s">
        <v>487</v>
      </c>
      <c r="BG303" s="204"/>
      <c r="BH303" s="204" t="s">
        <v>407</v>
      </c>
      <c r="BI303" s="204"/>
      <c r="BJ303" s="205" t="s">
        <v>409</v>
      </c>
      <c r="BK303" s="206"/>
    </row>
    <row r="304" spans="1:63" s="164" customFormat="1" ht="15.75" customHeight="1">
      <c r="A304" s="185"/>
      <c r="B304" s="183" t="s">
        <v>692</v>
      </c>
      <c r="C304" s="184"/>
      <c r="D304" s="184"/>
      <c r="E304" s="184"/>
      <c r="F304" s="184"/>
      <c r="G304" s="184"/>
      <c r="H304" s="184"/>
      <c r="I304" s="184"/>
      <c r="J304" s="184"/>
      <c r="K304" s="184"/>
      <c r="L304" s="193"/>
      <c r="M304" s="1003"/>
      <c r="N304" s="1002"/>
      <c r="O304" s="1002"/>
      <c r="P304" s="1002"/>
      <c r="Q304" s="1002"/>
      <c r="R304" s="1002"/>
      <c r="S304" s="1002"/>
      <c r="T304" s="1002"/>
      <c r="U304" s="1002"/>
      <c r="V304" s="1002"/>
      <c r="W304" s="1002"/>
      <c r="X304" s="1002"/>
      <c r="Y304" s="1002"/>
      <c r="Z304" s="1002"/>
      <c r="AA304" s="1002"/>
      <c r="AB304" s="1002"/>
      <c r="AC304" s="1002"/>
      <c r="AD304" s="1002"/>
      <c r="AE304" s="1002"/>
      <c r="AF304" s="1002"/>
      <c r="AG304" s="1002"/>
      <c r="AH304" s="1002"/>
      <c r="AI304" s="1002"/>
      <c r="AJ304" s="1002"/>
      <c r="AK304" s="1002"/>
      <c r="AL304" s="1002"/>
      <c r="AM304" s="1002"/>
      <c r="AN304" s="1002"/>
      <c r="AO304" s="1002"/>
      <c r="AP304" s="1002"/>
      <c r="AQ304" s="1002"/>
      <c r="AR304" s="1002"/>
      <c r="AS304" s="1002"/>
      <c r="AT304" s="1002"/>
      <c r="AU304" s="1002"/>
      <c r="AV304" s="1002"/>
      <c r="AW304" s="1002"/>
      <c r="AX304" s="1002"/>
      <c r="AY304" s="1002"/>
      <c r="AZ304" s="1002"/>
      <c r="BA304" s="1002"/>
      <c r="BB304" s="1002"/>
      <c r="BC304" s="1002"/>
      <c r="BD304" s="1002"/>
      <c r="BE304" s="204"/>
      <c r="BF304" s="205" t="s">
        <v>487</v>
      </c>
      <c r="BG304" s="204"/>
      <c r="BH304" s="204" t="s">
        <v>407</v>
      </c>
      <c r="BI304" s="204"/>
      <c r="BJ304" s="205" t="s">
        <v>409</v>
      </c>
      <c r="BK304" s="206"/>
    </row>
    <row r="305" spans="1:63" s="164" customFormat="1" ht="15.75" customHeight="1">
      <c r="A305" s="185"/>
      <c r="B305" s="183" t="s">
        <v>693</v>
      </c>
      <c r="C305" s="184"/>
      <c r="D305" s="184"/>
      <c r="E305" s="184"/>
      <c r="F305" s="184"/>
      <c r="G305" s="184"/>
      <c r="H305" s="184"/>
      <c r="I305" s="184"/>
      <c r="J305" s="184"/>
      <c r="K305" s="184"/>
      <c r="L305" s="193"/>
      <c r="M305" s="1003"/>
      <c r="N305" s="1002"/>
      <c r="O305" s="1002"/>
      <c r="P305" s="1002"/>
      <c r="Q305" s="1002"/>
      <c r="R305" s="1002"/>
      <c r="S305" s="1002"/>
      <c r="T305" s="1002"/>
      <c r="U305" s="1002"/>
      <c r="V305" s="1002"/>
      <c r="W305" s="1002"/>
      <c r="X305" s="1002"/>
      <c r="Y305" s="1002"/>
      <c r="Z305" s="1002"/>
      <c r="AA305" s="1002"/>
      <c r="AB305" s="1002"/>
      <c r="AC305" s="1002"/>
      <c r="AD305" s="1002"/>
      <c r="AE305" s="1002"/>
      <c r="AF305" s="1002"/>
      <c r="AG305" s="1002"/>
      <c r="AH305" s="1002"/>
      <c r="AI305" s="1002"/>
      <c r="AJ305" s="1002"/>
      <c r="AK305" s="1002"/>
      <c r="AL305" s="1002"/>
      <c r="AM305" s="1002"/>
      <c r="AN305" s="1002"/>
      <c r="AO305" s="1002"/>
      <c r="AP305" s="1002"/>
      <c r="AQ305" s="1002"/>
      <c r="AR305" s="1002"/>
      <c r="AS305" s="1002"/>
      <c r="AT305" s="1002"/>
      <c r="AU305" s="1002"/>
      <c r="AV305" s="1002"/>
      <c r="AW305" s="1002"/>
      <c r="AX305" s="1002"/>
      <c r="AY305" s="1002"/>
      <c r="AZ305" s="1002"/>
      <c r="BA305" s="1002"/>
      <c r="BB305" s="1002"/>
      <c r="BC305" s="1002"/>
      <c r="BD305" s="1002"/>
      <c r="BE305" s="204"/>
      <c r="BF305" s="205" t="s">
        <v>487</v>
      </c>
      <c r="BG305" s="204"/>
      <c r="BH305" s="204" t="s">
        <v>407</v>
      </c>
      <c r="BI305" s="204"/>
      <c r="BJ305" s="205" t="s">
        <v>409</v>
      </c>
      <c r="BK305" s="206"/>
    </row>
    <row r="306" spans="1:63" s="164" customFormat="1" ht="15.75" customHeight="1">
      <c r="A306" s="185"/>
      <c r="B306" s="183" t="s">
        <v>694</v>
      </c>
      <c r="C306" s="184"/>
      <c r="D306" s="184"/>
      <c r="E306" s="184"/>
      <c r="F306" s="184"/>
      <c r="G306" s="184"/>
      <c r="H306" s="184"/>
      <c r="I306" s="184"/>
      <c r="J306" s="184"/>
      <c r="K306" s="184"/>
      <c r="L306" s="193"/>
      <c r="M306" s="1003"/>
      <c r="N306" s="1002"/>
      <c r="O306" s="1002"/>
      <c r="P306" s="1002"/>
      <c r="Q306" s="1002"/>
      <c r="R306" s="1002"/>
      <c r="S306" s="1002"/>
      <c r="T306" s="1002"/>
      <c r="U306" s="1002"/>
      <c r="V306" s="1002"/>
      <c r="W306" s="1002"/>
      <c r="X306" s="1002"/>
      <c r="Y306" s="1002"/>
      <c r="Z306" s="1002"/>
      <c r="AA306" s="1002"/>
      <c r="AB306" s="1002"/>
      <c r="AC306" s="1002"/>
      <c r="AD306" s="1002"/>
      <c r="AE306" s="1002"/>
      <c r="AF306" s="1002"/>
      <c r="AG306" s="1002"/>
      <c r="AH306" s="1002"/>
      <c r="AI306" s="1002"/>
      <c r="AJ306" s="1002"/>
      <c r="AK306" s="1002"/>
      <c r="AL306" s="1002"/>
      <c r="AM306" s="1002"/>
      <c r="AN306" s="1002"/>
      <c r="AO306" s="1002"/>
      <c r="AP306" s="1002"/>
      <c r="AQ306" s="1002"/>
      <c r="AR306" s="1002"/>
      <c r="AS306" s="1002"/>
      <c r="AT306" s="1002"/>
      <c r="AU306" s="1002"/>
      <c r="AV306" s="1002"/>
      <c r="AW306" s="1002"/>
      <c r="AX306" s="1002"/>
      <c r="AY306" s="1002"/>
      <c r="AZ306" s="1002"/>
      <c r="BA306" s="1002"/>
      <c r="BB306" s="1002"/>
      <c r="BC306" s="1002"/>
      <c r="BD306" s="1002"/>
      <c r="BE306" s="204"/>
      <c r="BF306" s="205" t="s">
        <v>487</v>
      </c>
      <c r="BG306" s="204"/>
      <c r="BH306" s="204" t="s">
        <v>407</v>
      </c>
      <c r="BI306" s="204"/>
      <c r="BJ306" s="205" t="s">
        <v>409</v>
      </c>
      <c r="BK306" s="206"/>
    </row>
    <row r="307" spans="1:63" s="164" customFormat="1" ht="15.75" customHeight="1">
      <c r="A307" s="185"/>
      <c r="B307" s="183" t="s">
        <v>695</v>
      </c>
      <c r="C307" s="184"/>
      <c r="D307" s="184"/>
      <c r="E307" s="184"/>
      <c r="F307" s="184"/>
      <c r="G307" s="184"/>
      <c r="H307" s="184"/>
      <c r="I307" s="184"/>
      <c r="J307" s="184"/>
      <c r="K307" s="184"/>
      <c r="L307" s="193"/>
      <c r="M307" s="1003"/>
      <c r="N307" s="1002"/>
      <c r="O307" s="1002"/>
      <c r="P307" s="1002"/>
      <c r="Q307" s="1002"/>
      <c r="R307" s="1002"/>
      <c r="S307" s="1002"/>
      <c r="T307" s="1002"/>
      <c r="U307" s="1002"/>
      <c r="V307" s="1002"/>
      <c r="W307" s="1002"/>
      <c r="X307" s="1002"/>
      <c r="Y307" s="1002"/>
      <c r="Z307" s="1002"/>
      <c r="AA307" s="1002"/>
      <c r="AB307" s="1002"/>
      <c r="AC307" s="1002"/>
      <c r="AD307" s="1002"/>
      <c r="AE307" s="1002"/>
      <c r="AF307" s="1002"/>
      <c r="AG307" s="1002"/>
      <c r="AH307" s="1002"/>
      <c r="AI307" s="1002"/>
      <c r="AJ307" s="1002"/>
      <c r="AK307" s="1002"/>
      <c r="AL307" s="1002"/>
      <c r="AM307" s="1002"/>
      <c r="AN307" s="1002"/>
      <c r="AO307" s="1002"/>
      <c r="AP307" s="1002"/>
      <c r="AQ307" s="1002"/>
      <c r="AR307" s="1002"/>
      <c r="AS307" s="1002"/>
      <c r="AT307" s="1002"/>
      <c r="AU307" s="1002"/>
      <c r="AV307" s="1002"/>
      <c r="AW307" s="1002"/>
      <c r="AX307" s="1002"/>
      <c r="AY307" s="1002"/>
      <c r="AZ307" s="1002"/>
      <c r="BA307" s="1002"/>
      <c r="BB307" s="1002"/>
      <c r="BC307" s="1002"/>
      <c r="BD307" s="1002"/>
      <c r="BE307" s="204"/>
      <c r="BF307" s="205" t="s">
        <v>487</v>
      </c>
      <c r="BG307" s="204"/>
      <c r="BH307" s="204" t="s">
        <v>407</v>
      </c>
      <c r="BI307" s="204"/>
      <c r="BJ307" s="205" t="s">
        <v>409</v>
      </c>
      <c r="BK307" s="206"/>
    </row>
    <row r="308" spans="1:63" s="164" customFormat="1" ht="15.75" customHeight="1">
      <c r="A308" s="185"/>
      <c r="B308" s="183" t="s">
        <v>696</v>
      </c>
      <c r="C308" s="184"/>
      <c r="D308" s="184"/>
      <c r="E308" s="184"/>
      <c r="F308" s="184"/>
      <c r="G308" s="184"/>
      <c r="H308" s="184"/>
      <c r="I308" s="184"/>
      <c r="J308" s="184"/>
      <c r="K308" s="184"/>
      <c r="L308" s="193"/>
      <c r="M308" s="1003"/>
      <c r="N308" s="1002"/>
      <c r="O308" s="1002"/>
      <c r="P308" s="1002"/>
      <c r="Q308" s="1002"/>
      <c r="R308" s="1002"/>
      <c r="S308" s="1002"/>
      <c r="T308" s="1002"/>
      <c r="U308" s="1002"/>
      <c r="V308" s="1002"/>
      <c r="W308" s="1002"/>
      <c r="X308" s="1002"/>
      <c r="Y308" s="1002"/>
      <c r="Z308" s="1002"/>
      <c r="AA308" s="1002"/>
      <c r="AB308" s="1002"/>
      <c r="AC308" s="1002"/>
      <c r="AD308" s="1002"/>
      <c r="AE308" s="1002"/>
      <c r="AF308" s="1002"/>
      <c r="AG308" s="1002"/>
      <c r="AH308" s="1002"/>
      <c r="AI308" s="1002"/>
      <c r="AJ308" s="1002"/>
      <c r="AK308" s="1002"/>
      <c r="AL308" s="1002"/>
      <c r="AM308" s="1002"/>
      <c r="AN308" s="1002"/>
      <c r="AO308" s="1002"/>
      <c r="AP308" s="1002"/>
      <c r="AQ308" s="1002"/>
      <c r="AR308" s="1002"/>
      <c r="AS308" s="1002"/>
      <c r="AT308" s="1002"/>
      <c r="AU308" s="1002"/>
      <c r="AV308" s="1002"/>
      <c r="AW308" s="1002"/>
      <c r="AX308" s="1002"/>
      <c r="AY308" s="1002"/>
      <c r="AZ308" s="1002"/>
      <c r="BA308" s="1002"/>
      <c r="BB308" s="1002"/>
      <c r="BC308" s="1002"/>
      <c r="BD308" s="1002"/>
      <c r="BE308" s="204"/>
      <c r="BF308" s="205" t="s">
        <v>487</v>
      </c>
      <c r="BG308" s="204"/>
      <c r="BH308" s="204" t="s">
        <v>407</v>
      </c>
      <c r="BI308" s="204"/>
      <c r="BJ308" s="205" t="s">
        <v>409</v>
      </c>
      <c r="BK308" s="206"/>
    </row>
    <row r="309" spans="1:63" s="164" customFormat="1" ht="15.75" customHeight="1">
      <c r="A309" s="185"/>
      <c r="B309" s="183" t="s">
        <v>697</v>
      </c>
      <c r="C309" s="184"/>
      <c r="D309" s="184"/>
      <c r="E309" s="184"/>
      <c r="F309" s="184"/>
      <c r="G309" s="184"/>
      <c r="H309" s="184"/>
      <c r="I309" s="184"/>
      <c r="J309" s="184"/>
      <c r="K309" s="184"/>
      <c r="L309" s="193"/>
      <c r="M309" s="1003"/>
      <c r="N309" s="1002"/>
      <c r="O309" s="1002"/>
      <c r="P309" s="1002"/>
      <c r="Q309" s="1002"/>
      <c r="R309" s="1002"/>
      <c r="S309" s="1002"/>
      <c r="T309" s="1002"/>
      <c r="U309" s="1002"/>
      <c r="V309" s="1002"/>
      <c r="W309" s="1002"/>
      <c r="X309" s="1002"/>
      <c r="Y309" s="1002"/>
      <c r="Z309" s="1002"/>
      <c r="AA309" s="1002"/>
      <c r="AB309" s="1002"/>
      <c r="AC309" s="1002"/>
      <c r="AD309" s="1002"/>
      <c r="AE309" s="1002"/>
      <c r="AF309" s="1002"/>
      <c r="AG309" s="1002"/>
      <c r="AH309" s="1002"/>
      <c r="AI309" s="1002"/>
      <c r="AJ309" s="1002"/>
      <c r="AK309" s="1002"/>
      <c r="AL309" s="1002"/>
      <c r="AM309" s="1002"/>
      <c r="AN309" s="1002"/>
      <c r="AO309" s="1002"/>
      <c r="AP309" s="1002"/>
      <c r="AQ309" s="1002"/>
      <c r="AR309" s="1002"/>
      <c r="AS309" s="1002"/>
      <c r="AT309" s="1002"/>
      <c r="AU309" s="1002"/>
      <c r="AV309" s="1002"/>
      <c r="AW309" s="1002"/>
      <c r="AX309" s="1002"/>
      <c r="AY309" s="1002"/>
      <c r="AZ309" s="1002"/>
      <c r="BA309" s="1002"/>
      <c r="BB309" s="1002"/>
      <c r="BC309" s="1002"/>
      <c r="BD309" s="1002"/>
      <c r="BE309" s="204"/>
      <c r="BF309" s="205" t="s">
        <v>487</v>
      </c>
      <c r="BG309" s="204"/>
      <c r="BH309" s="204" t="s">
        <v>407</v>
      </c>
      <c r="BI309" s="204"/>
      <c r="BJ309" s="205" t="s">
        <v>409</v>
      </c>
      <c r="BK309" s="206"/>
    </row>
    <row r="310" spans="1:63" s="164" customFormat="1" ht="15.75" customHeight="1">
      <c r="A310" s="185"/>
      <c r="B310" s="183" t="s">
        <v>698</v>
      </c>
      <c r="C310" s="184"/>
      <c r="D310" s="184"/>
      <c r="E310" s="184"/>
      <c r="F310" s="184"/>
      <c r="G310" s="184"/>
      <c r="H310" s="184"/>
      <c r="I310" s="184"/>
      <c r="J310" s="184"/>
      <c r="K310" s="184"/>
      <c r="L310" s="193"/>
      <c r="M310" s="1003"/>
      <c r="N310" s="1002"/>
      <c r="O310" s="1002"/>
      <c r="P310" s="1002"/>
      <c r="Q310" s="1002"/>
      <c r="R310" s="1002"/>
      <c r="S310" s="1002"/>
      <c r="T310" s="1002"/>
      <c r="U310" s="1002"/>
      <c r="V310" s="1002"/>
      <c r="W310" s="1002"/>
      <c r="X310" s="1002"/>
      <c r="Y310" s="1002"/>
      <c r="Z310" s="1002"/>
      <c r="AA310" s="1002"/>
      <c r="AB310" s="1002"/>
      <c r="AC310" s="1002"/>
      <c r="AD310" s="1002"/>
      <c r="AE310" s="1002"/>
      <c r="AF310" s="1002"/>
      <c r="AG310" s="1002"/>
      <c r="AH310" s="1002"/>
      <c r="AI310" s="1002"/>
      <c r="AJ310" s="1002"/>
      <c r="AK310" s="1002"/>
      <c r="AL310" s="1002"/>
      <c r="AM310" s="1002"/>
      <c r="AN310" s="1002"/>
      <c r="AO310" s="1002"/>
      <c r="AP310" s="1002"/>
      <c r="AQ310" s="1002"/>
      <c r="AR310" s="1002"/>
      <c r="AS310" s="1002"/>
      <c r="AT310" s="1002"/>
      <c r="AU310" s="1002"/>
      <c r="AV310" s="1002"/>
      <c r="AW310" s="1002"/>
      <c r="AX310" s="1002"/>
      <c r="AY310" s="1002"/>
      <c r="AZ310" s="1002"/>
      <c r="BA310" s="1002"/>
      <c r="BB310" s="1002"/>
      <c r="BC310" s="1002"/>
      <c r="BD310" s="1002"/>
      <c r="BE310" s="204"/>
      <c r="BF310" s="205" t="s">
        <v>487</v>
      </c>
      <c r="BG310" s="204"/>
      <c r="BH310" s="204" t="s">
        <v>407</v>
      </c>
      <c r="BI310" s="204"/>
      <c r="BJ310" s="205" t="s">
        <v>409</v>
      </c>
      <c r="BK310" s="206"/>
    </row>
    <row r="311" spans="1:63" s="164" customFormat="1" ht="15.75" customHeight="1">
      <c r="A311" s="185"/>
      <c r="B311" s="183" t="s">
        <v>699</v>
      </c>
      <c r="C311" s="184"/>
      <c r="D311" s="184"/>
      <c r="E311" s="184"/>
      <c r="F311" s="184"/>
      <c r="G311" s="184"/>
      <c r="H311" s="184"/>
      <c r="I311" s="184"/>
      <c r="J311" s="184"/>
      <c r="K311" s="184"/>
      <c r="L311" s="193"/>
      <c r="M311" s="1003"/>
      <c r="N311" s="1002"/>
      <c r="O311" s="1002"/>
      <c r="P311" s="1002"/>
      <c r="Q311" s="1002"/>
      <c r="R311" s="1002"/>
      <c r="S311" s="1002"/>
      <c r="T311" s="1002"/>
      <c r="U311" s="1002"/>
      <c r="V311" s="1002"/>
      <c r="W311" s="1002"/>
      <c r="X311" s="1002"/>
      <c r="Y311" s="1002"/>
      <c r="Z311" s="1002"/>
      <c r="AA311" s="1002"/>
      <c r="AB311" s="1002"/>
      <c r="AC311" s="1002"/>
      <c r="AD311" s="1002"/>
      <c r="AE311" s="1002"/>
      <c r="AF311" s="1002"/>
      <c r="AG311" s="1002"/>
      <c r="AH311" s="1002"/>
      <c r="AI311" s="1002"/>
      <c r="AJ311" s="1002"/>
      <c r="AK311" s="1002"/>
      <c r="AL311" s="1002"/>
      <c r="AM311" s="1002"/>
      <c r="AN311" s="1002"/>
      <c r="AO311" s="1002"/>
      <c r="AP311" s="1002"/>
      <c r="AQ311" s="1002"/>
      <c r="AR311" s="1002"/>
      <c r="AS311" s="1002"/>
      <c r="AT311" s="1002"/>
      <c r="AU311" s="1002"/>
      <c r="AV311" s="1002"/>
      <c r="AW311" s="1002"/>
      <c r="AX311" s="1002"/>
      <c r="AY311" s="1002"/>
      <c r="AZ311" s="1002"/>
      <c r="BA311" s="1002"/>
      <c r="BB311" s="1002"/>
      <c r="BC311" s="1002"/>
      <c r="BD311" s="1002"/>
      <c r="BE311" s="204"/>
      <c r="BF311" s="205" t="s">
        <v>487</v>
      </c>
      <c r="BG311" s="204"/>
      <c r="BH311" s="204" t="s">
        <v>407</v>
      </c>
      <c r="BI311" s="204"/>
      <c r="BJ311" s="205" t="s">
        <v>409</v>
      </c>
      <c r="BK311" s="206"/>
    </row>
    <row r="312" spans="1:63" s="164" customFormat="1" ht="15.75" customHeight="1">
      <c r="A312" s="185"/>
      <c r="B312" s="183" t="s">
        <v>700</v>
      </c>
      <c r="C312" s="184"/>
      <c r="D312" s="184"/>
      <c r="E312" s="184"/>
      <c r="F312" s="184"/>
      <c r="G312" s="184"/>
      <c r="H312" s="184"/>
      <c r="I312" s="184"/>
      <c r="J312" s="184"/>
      <c r="K312" s="184"/>
      <c r="L312" s="193"/>
      <c r="M312" s="1003"/>
      <c r="N312" s="1002"/>
      <c r="O312" s="1002"/>
      <c r="P312" s="1002"/>
      <c r="Q312" s="1002"/>
      <c r="R312" s="1002"/>
      <c r="S312" s="1002"/>
      <c r="T312" s="1002"/>
      <c r="U312" s="1002"/>
      <c r="V312" s="1002"/>
      <c r="W312" s="1002"/>
      <c r="X312" s="1002"/>
      <c r="Y312" s="1002"/>
      <c r="Z312" s="1002"/>
      <c r="AA312" s="1002"/>
      <c r="AB312" s="1002"/>
      <c r="AC312" s="1002"/>
      <c r="AD312" s="1002"/>
      <c r="AE312" s="1002"/>
      <c r="AF312" s="1002"/>
      <c r="AG312" s="1002"/>
      <c r="AH312" s="1002"/>
      <c r="AI312" s="1002"/>
      <c r="AJ312" s="1002"/>
      <c r="AK312" s="1002"/>
      <c r="AL312" s="1002"/>
      <c r="AM312" s="1002"/>
      <c r="AN312" s="1002"/>
      <c r="AO312" s="1002"/>
      <c r="AP312" s="1002"/>
      <c r="AQ312" s="1002"/>
      <c r="AR312" s="1002"/>
      <c r="AS312" s="1002"/>
      <c r="AT312" s="1002"/>
      <c r="AU312" s="1002"/>
      <c r="AV312" s="1002"/>
      <c r="AW312" s="1002"/>
      <c r="AX312" s="1002"/>
      <c r="AY312" s="1002"/>
      <c r="AZ312" s="1002"/>
      <c r="BA312" s="1002"/>
      <c r="BB312" s="1002"/>
      <c r="BC312" s="1002"/>
      <c r="BD312" s="1002"/>
      <c r="BE312" s="204"/>
      <c r="BF312" s="205" t="s">
        <v>487</v>
      </c>
      <c r="BG312" s="204"/>
      <c r="BH312" s="204" t="s">
        <v>407</v>
      </c>
      <c r="BI312" s="204"/>
      <c r="BJ312" s="205" t="s">
        <v>409</v>
      </c>
      <c r="BK312" s="206"/>
    </row>
    <row r="313" spans="1:63" s="164" customFormat="1" ht="15.75" customHeight="1">
      <c r="A313" s="185"/>
      <c r="B313" s="183" t="s">
        <v>701</v>
      </c>
      <c r="C313" s="184"/>
      <c r="D313" s="184"/>
      <c r="E313" s="184"/>
      <c r="F313" s="184"/>
      <c r="G313" s="184"/>
      <c r="H313" s="184"/>
      <c r="I313" s="184"/>
      <c r="J313" s="184"/>
      <c r="K313" s="184"/>
      <c r="L313" s="193"/>
      <c r="M313" s="1003"/>
      <c r="N313" s="1002"/>
      <c r="O313" s="1002"/>
      <c r="P313" s="1002"/>
      <c r="Q313" s="1002"/>
      <c r="R313" s="1002"/>
      <c r="S313" s="1002"/>
      <c r="T313" s="1002"/>
      <c r="U313" s="1002"/>
      <c r="V313" s="1002"/>
      <c r="W313" s="1002"/>
      <c r="X313" s="1002"/>
      <c r="Y313" s="1002"/>
      <c r="Z313" s="1002"/>
      <c r="AA313" s="1002"/>
      <c r="AB313" s="1002"/>
      <c r="AC313" s="1002"/>
      <c r="AD313" s="1002"/>
      <c r="AE313" s="1002"/>
      <c r="AF313" s="1002"/>
      <c r="AG313" s="1002"/>
      <c r="AH313" s="1002"/>
      <c r="AI313" s="1002"/>
      <c r="AJ313" s="1002"/>
      <c r="AK313" s="1002"/>
      <c r="AL313" s="1002"/>
      <c r="AM313" s="1002"/>
      <c r="AN313" s="1002"/>
      <c r="AO313" s="1002"/>
      <c r="AP313" s="1002"/>
      <c r="AQ313" s="1002"/>
      <c r="AR313" s="1002"/>
      <c r="AS313" s="1002"/>
      <c r="AT313" s="1002"/>
      <c r="AU313" s="1002"/>
      <c r="AV313" s="1002"/>
      <c r="AW313" s="1002"/>
      <c r="AX313" s="1002"/>
      <c r="AY313" s="1002"/>
      <c r="AZ313" s="1002"/>
      <c r="BA313" s="1002"/>
      <c r="BB313" s="1002"/>
      <c r="BC313" s="1002"/>
      <c r="BD313" s="1002"/>
      <c r="BE313" s="204"/>
      <c r="BF313" s="205" t="s">
        <v>487</v>
      </c>
      <c r="BG313" s="204"/>
      <c r="BH313" s="204" t="s">
        <v>407</v>
      </c>
      <c r="BI313" s="204"/>
      <c r="BJ313" s="205" t="s">
        <v>409</v>
      </c>
      <c r="BK313" s="206"/>
    </row>
    <row r="314" spans="1:63" s="164" customFormat="1" ht="15.75" customHeight="1">
      <c r="A314" s="182" t="s">
        <v>411</v>
      </c>
      <c r="B314" s="183" t="s">
        <v>702</v>
      </c>
      <c r="C314" s="184"/>
      <c r="D314" s="184"/>
      <c r="E314" s="184"/>
      <c r="F314" s="184"/>
      <c r="G314" s="184"/>
      <c r="H314" s="184"/>
      <c r="I314" s="184"/>
      <c r="J314" s="184"/>
      <c r="K314" s="184"/>
      <c r="L314" s="193"/>
      <c r="M314" s="1005" t="s">
        <v>703</v>
      </c>
      <c r="N314" s="1005"/>
      <c r="O314" s="1005"/>
      <c r="P314" s="1005"/>
      <c r="Q314" s="1005"/>
      <c r="R314" s="1005"/>
      <c r="S314" s="1005"/>
      <c r="T314" s="1005"/>
      <c r="U314" s="1005"/>
      <c r="V314" s="1005"/>
      <c r="W314" s="1005"/>
      <c r="X314" s="1005"/>
      <c r="Y314" s="1005"/>
      <c r="Z314" s="1005"/>
      <c r="AA314" s="1005"/>
      <c r="AB314" s="1005"/>
      <c r="AC314" s="1005"/>
      <c r="AD314" s="1005"/>
      <c r="AE314" s="1005"/>
      <c r="AF314" s="1005"/>
      <c r="AG314" s="1005"/>
      <c r="AH314" s="1005"/>
      <c r="AI314" s="1005"/>
      <c r="AJ314" s="1005"/>
      <c r="AK314" s="1005"/>
      <c r="AL314" s="1005"/>
      <c r="AM314" s="1005"/>
      <c r="AN314" s="1005"/>
      <c r="AO314" s="1005"/>
      <c r="AP314" s="1005"/>
      <c r="AQ314" s="1005"/>
      <c r="AR314" s="1005"/>
      <c r="AS314" s="1005"/>
      <c r="AT314" s="1005"/>
      <c r="AU314" s="1005"/>
      <c r="AV314" s="1005"/>
      <c r="AW314" s="1005"/>
      <c r="AX314" s="1005"/>
      <c r="AY314" s="1005"/>
      <c r="AZ314" s="1005"/>
      <c r="BA314" s="1005"/>
      <c r="BB314" s="1005"/>
      <c r="BC314" s="1005"/>
      <c r="BD314" s="1005"/>
      <c r="BE314" s="204"/>
      <c r="BF314" s="205" t="s">
        <v>419</v>
      </c>
      <c r="BG314" s="204"/>
      <c r="BH314" s="204" t="s">
        <v>407</v>
      </c>
      <c r="BI314" s="205" t="s">
        <v>408</v>
      </c>
      <c r="BJ314" s="204"/>
      <c r="BK314" s="206"/>
    </row>
    <row r="315" spans="1:63" s="164" customFormat="1" ht="31.5" customHeight="1">
      <c r="A315" s="185"/>
      <c r="B315" s="183" t="s">
        <v>704</v>
      </c>
      <c r="C315" s="184"/>
      <c r="D315" s="184"/>
      <c r="E315" s="184"/>
      <c r="F315" s="184"/>
      <c r="G315" s="184"/>
      <c r="H315" s="184"/>
      <c r="I315" s="184"/>
      <c r="J315" s="184"/>
      <c r="K315" s="184"/>
      <c r="L315" s="193"/>
      <c r="M315" s="1005" t="s">
        <v>705</v>
      </c>
      <c r="N315" s="1005"/>
      <c r="O315" s="1005"/>
      <c r="P315" s="1005"/>
      <c r="Q315" s="1005"/>
      <c r="R315" s="1005"/>
      <c r="S315" s="1005"/>
      <c r="T315" s="1005"/>
      <c r="U315" s="1005"/>
      <c r="V315" s="1005"/>
      <c r="W315" s="1005"/>
      <c r="X315" s="1005"/>
      <c r="Y315" s="1005"/>
      <c r="Z315" s="1005"/>
      <c r="AA315" s="1005"/>
      <c r="AB315" s="1005"/>
      <c r="AC315" s="1005"/>
      <c r="AD315" s="1005"/>
      <c r="AE315" s="1005"/>
      <c r="AF315" s="1005"/>
      <c r="AG315" s="1005"/>
      <c r="AH315" s="1005"/>
      <c r="AI315" s="1005"/>
      <c r="AJ315" s="1005"/>
      <c r="AK315" s="1005"/>
      <c r="AL315" s="1005"/>
      <c r="AM315" s="1005"/>
      <c r="AN315" s="1005"/>
      <c r="AO315" s="1005"/>
      <c r="AP315" s="1005"/>
      <c r="AQ315" s="1005"/>
      <c r="AR315" s="1005"/>
      <c r="AS315" s="1005"/>
      <c r="AT315" s="1005"/>
      <c r="AU315" s="1005"/>
      <c r="AV315" s="1005"/>
      <c r="AW315" s="1005"/>
      <c r="AX315" s="1005"/>
      <c r="AY315" s="1005"/>
      <c r="AZ315" s="1005"/>
      <c r="BA315" s="1005"/>
      <c r="BB315" s="1005"/>
      <c r="BC315" s="1005"/>
      <c r="BD315" s="1005"/>
      <c r="BE315" s="204"/>
      <c r="BF315" s="205" t="s">
        <v>419</v>
      </c>
      <c r="BG315" s="204"/>
      <c r="BH315" s="204" t="s">
        <v>407</v>
      </c>
      <c r="BI315" s="204"/>
      <c r="BJ315" s="204"/>
      <c r="BK315" s="206"/>
    </row>
    <row r="316" spans="1:63" s="164" customFormat="1" ht="31.5" customHeight="1">
      <c r="A316" s="185"/>
      <c r="B316" s="183" t="s">
        <v>491</v>
      </c>
      <c r="C316" s="184"/>
      <c r="D316" s="184"/>
      <c r="E316" s="184"/>
      <c r="F316" s="184"/>
      <c r="G316" s="184"/>
      <c r="H316" s="184"/>
      <c r="I316" s="184"/>
      <c r="J316" s="184"/>
      <c r="K316" s="184"/>
      <c r="L316" s="193"/>
      <c r="M316" s="1005" t="s">
        <v>706</v>
      </c>
      <c r="N316" s="1005"/>
      <c r="O316" s="1005"/>
      <c r="P316" s="1005"/>
      <c r="Q316" s="1005"/>
      <c r="R316" s="1005"/>
      <c r="S316" s="1005"/>
      <c r="T316" s="1005"/>
      <c r="U316" s="1005"/>
      <c r="V316" s="1005"/>
      <c r="W316" s="1005"/>
      <c r="X316" s="1005"/>
      <c r="Y316" s="1005"/>
      <c r="Z316" s="1005"/>
      <c r="AA316" s="1005"/>
      <c r="AB316" s="1005"/>
      <c r="AC316" s="1005"/>
      <c r="AD316" s="1005"/>
      <c r="AE316" s="1005"/>
      <c r="AF316" s="1005"/>
      <c r="AG316" s="1005"/>
      <c r="AH316" s="1005"/>
      <c r="AI316" s="1005"/>
      <c r="AJ316" s="1005"/>
      <c r="AK316" s="1005"/>
      <c r="AL316" s="1005"/>
      <c r="AM316" s="1005"/>
      <c r="AN316" s="1005"/>
      <c r="AO316" s="1005"/>
      <c r="AP316" s="1005"/>
      <c r="AQ316" s="1005"/>
      <c r="AR316" s="1005"/>
      <c r="AS316" s="1005"/>
      <c r="AT316" s="1005"/>
      <c r="AU316" s="1005"/>
      <c r="AV316" s="1005"/>
      <c r="AW316" s="1005"/>
      <c r="AX316" s="1005"/>
      <c r="AY316" s="1005"/>
      <c r="AZ316" s="1005"/>
      <c r="BA316" s="1005"/>
      <c r="BB316" s="1005"/>
      <c r="BC316" s="1005"/>
      <c r="BD316" s="1005"/>
      <c r="BE316" s="204"/>
      <c r="BF316" s="205" t="s">
        <v>419</v>
      </c>
      <c r="BG316" s="204"/>
      <c r="BH316" s="204" t="s">
        <v>407</v>
      </c>
      <c r="BI316" s="204"/>
      <c r="BJ316" s="204"/>
      <c r="BK316" s="206"/>
    </row>
    <row r="317" spans="1:63" s="164" customFormat="1" ht="31.5" customHeight="1">
      <c r="A317" s="182" t="s">
        <v>411</v>
      </c>
      <c r="B317" s="183" t="s">
        <v>707</v>
      </c>
      <c r="C317" s="184"/>
      <c r="D317" s="184"/>
      <c r="E317" s="184"/>
      <c r="F317" s="184"/>
      <c r="G317" s="184"/>
      <c r="H317" s="184"/>
      <c r="I317" s="184"/>
      <c r="J317" s="184"/>
      <c r="K317" s="184"/>
      <c r="L317" s="193"/>
      <c r="M317" s="1005" t="s">
        <v>708</v>
      </c>
      <c r="N317" s="1005"/>
      <c r="O317" s="1005"/>
      <c r="P317" s="1005"/>
      <c r="Q317" s="1005"/>
      <c r="R317" s="1005"/>
      <c r="S317" s="1005"/>
      <c r="T317" s="1005"/>
      <c r="U317" s="1005"/>
      <c r="V317" s="1005"/>
      <c r="W317" s="1005"/>
      <c r="X317" s="1005"/>
      <c r="Y317" s="1005"/>
      <c r="Z317" s="1005"/>
      <c r="AA317" s="1005"/>
      <c r="AB317" s="1005"/>
      <c r="AC317" s="1005"/>
      <c r="AD317" s="1005"/>
      <c r="AE317" s="1005"/>
      <c r="AF317" s="1005"/>
      <c r="AG317" s="1005"/>
      <c r="AH317" s="1005"/>
      <c r="AI317" s="1005"/>
      <c r="AJ317" s="1005"/>
      <c r="AK317" s="1005"/>
      <c r="AL317" s="1005"/>
      <c r="AM317" s="1005"/>
      <c r="AN317" s="1005"/>
      <c r="AO317" s="1005"/>
      <c r="AP317" s="1005"/>
      <c r="AQ317" s="1005"/>
      <c r="AR317" s="1005"/>
      <c r="AS317" s="1005"/>
      <c r="AT317" s="1005"/>
      <c r="AU317" s="1005"/>
      <c r="AV317" s="1005"/>
      <c r="AW317" s="1005"/>
      <c r="AX317" s="1005"/>
      <c r="AY317" s="1005"/>
      <c r="AZ317" s="1005"/>
      <c r="BA317" s="1005"/>
      <c r="BB317" s="1005"/>
      <c r="BC317" s="1005"/>
      <c r="BD317" s="1005"/>
      <c r="BE317" s="205" t="s">
        <v>486</v>
      </c>
      <c r="BF317" s="205" t="s">
        <v>487</v>
      </c>
      <c r="BG317" s="204"/>
      <c r="BH317" s="204" t="s">
        <v>407</v>
      </c>
      <c r="BI317" s="205" t="s">
        <v>408</v>
      </c>
      <c r="BJ317" s="204"/>
      <c r="BK317" s="206"/>
    </row>
    <row r="318" spans="1:63" s="164" customFormat="1" ht="15.75" customHeight="1">
      <c r="A318" s="185"/>
      <c r="B318" s="183" t="s">
        <v>709</v>
      </c>
      <c r="C318" s="184"/>
      <c r="D318" s="184"/>
      <c r="E318" s="184"/>
      <c r="F318" s="184"/>
      <c r="G318" s="184"/>
      <c r="H318" s="184"/>
      <c r="I318" s="184"/>
      <c r="J318" s="184"/>
      <c r="K318" s="184"/>
      <c r="L318" s="193"/>
      <c r="M318" s="1003"/>
      <c r="N318" s="1002"/>
      <c r="O318" s="1002"/>
      <c r="P318" s="1002"/>
      <c r="Q318" s="1002"/>
      <c r="R318" s="1002"/>
      <c r="S318" s="1002"/>
      <c r="T318" s="1002"/>
      <c r="U318" s="1002"/>
      <c r="V318" s="1002"/>
      <c r="W318" s="1002"/>
      <c r="X318" s="1002"/>
      <c r="Y318" s="1002"/>
      <c r="Z318" s="1002"/>
      <c r="AA318" s="1002"/>
      <c r="AB318" s="1002"/>
      <c r="AC318" s="1002"/>
      <c r="AD318" s="1002"/>
      <c r="AE318" s="1002"/>
      <c r="AF318" s="1002"/>
      <c r="AG318" s="1002"/>
      <c r="AH318" s="1002"/>
      <c r="AI318" s="1002"/>
      <c r="AJ318" s="1002"/>
      <c r="AK318" s="1002"/>
      <c r="AL318" s="1002"/>
      <c r="AM318" s="1002"/>
      <c r="AN318" s="1002"/>
      <c r="AO318" s="1002"/>
      <c r="AP318" s="1002"/>
      <c r="AQ318" s="1002"/>
      <c r="AR318" s="1002"/>
      <c r="AS318" s="1002"/>
      <c r="AT318" s="1002"/>
      <c r="AU318" s="1002"/>
      <c r="AV318" s="1002"/>
      <c r="AW318" s="1002"/>
      <c r="AX318" s="1002"/>
      <c r="AY318" s="1002"/>
      <c r="AZ318" s="1002"/>
      <c r="BA318" s="1002"/>
      <c r="BB318" s="1002"/>
      <c r="BC318" s="1002"/>
      <c r="BD318" s="1002"/>
      <c r="BE318" s="204"/>
      <c r="BF318" s="205" t="s">
        <v>487</v>
      </c>
      <c r="BG318" s="204"/>
      <c r="BH318" s="204" t="s">
        <v>407</v>
      </c>
      <c r="BI318" s="204"/>
      <c r="BJ318" s="204"/>
      <c r="BK318" s="206"/>
    </row>
    <row r="319" spans="1:63" s="164" customFormat="1" ht="15.75" customHeight="1">
      <c r="A319" s="182" t="s">
        <v>411</v>
      </c>
      <c r="B319" s="183" t="s">
        <v>542</v>
      </c>
      <c r="C319" s="184"/>
      <c r="D319" s="184"/>
      <c r="E319" s="184"/>
      <c r="F319" s="184"/>
      <c r="G319" s="184"/>
      <c r="H319" s="184"/>
      <c r="I319" s="184"/>
      <c r="J319" s="184"/>
      <c r="K319" s="184"/>
      <c r="L319" s="193"/>
      <c r="M319" s="1005" t="s">
        <v>683</v>
      </c>
      <c r="N319" s="1005"/>
      <c r="O319" s="1005"/>
      <c r="P319" s="1005"/>
      <c r="Q319" s="1005"/>
      <c r="R319" s="1005"/>
      <c r="S319" s="1005"/>
      <c r="T319" s="1005"/>
      <c r="U319" s="1005"/>
      <c r="V319" s="1005"/>
      <c r="W319" s="1005"/>
      <c r="X319" s="1005"/>
      <c r="Y319" s="1005"/>
      <c r="Z319" s="1005"/>
      <c r="AA319" s="1005"/>
      <c r="AB319" s="1005"/>
      <c r="AC319" s="1005"/>
      <c r="AD319" s="1005"/>
      <c r="AE319" s="1005"/>
      <c r="AF319" s="1005"/>
      <c r="AG319" s="1005"/>
      <c r="AH319" s="1005"/>
      <c r="AI319" s="1005"/>
      <c r="AJ319" s="1005"/>
      <c r="AK319" s="1005"/>
      <c r="AL319" s="1005"/>
      <c r="AM319" s="1005"/>
      <c r="AN319" s="1005"/>
      <c r="AO319" s="1005"/>
      <c r="AP319" s="1005"/>
      <c r="AQ319" s="1005"/>
      <c r="AR319" s="1005"/>
      <c r="AS319" s="1005"/>
      <c r="AT319" s="1005"/>
      <c r="AU319" s="1005"/>
      <c r="AV319" s="1005"/>
      <c r="AW319" s="1005"/>
      <c r="AX319" s="1005"/>
      <c r="AY319" s="1005"/>
      <c r="AZ319" s="1005"/>
      <c r="BA319" s="1005"/>
      <c r="BB319" s="1005"/>
      <c r="BC319" s="1005"/>
      <c r="BD319" s="1005"/>
      <c r="BE319" s="205" t="s">
        <v>684</v>
      </c>
      <c r="BF319" s="205" t="s">
        <v>487</v>
      </c>
      <c r="BG319" s="204"/>
      <c r="BH319" s="204" t="s">
        <v>407</v>
      </c>
      <c r="BI319" s="205" t="s">
        <v>408</v>
      </c>
      <c r="BJ319" s="204"/>
      <c r="BK319" s="206"/>
    </row>
    <row r="320" spans="1:63" s="164" customFormat="1" ht="15.75" customHeight="1">
      <c r="A320" s="185"/>
      <c r="B320" s="183" t="s">
        <v>543</v>
      </c>
      <c r="C320" s="184"/>
      <c r="D320" s="184"/>
      <c r="E320" s="184"/>
      <c r="F320" s="184"/>
      <c r="G320" s="184"/>
      <c r="H320" s="184"/>
      <c r="I320" s="184"/>
      <c r="J320" s="184"/>
      <c r="K320" s="184"/>
      <c r="L320" s="193"/>
      <c r="M320" s="1003"/>
      <c r="N320" s="1002"/>
      <c r="O320" s="1002"/>
      <c r="P320" s="1002"/>
      <c r="Q320" s="1002"/>
      <c r="R320" s="1002"/>
      <c r="S320" s="1002"/>
      <c r="T320" s="1002"/>
      <c r="U320" s="1002"/>
      <c r="V320" s="1002"/>
      <c r="W320" s="1002"/>
      <c r="X320" s="1002"/>
      <c r="Y320" s="1002"/>
      <c r="Z320" s="1002"/>
      <c r="AA320" s="1002"/>
      <c r="AB320" s="1002"/>
      <c r="AC320" s="1002"/>
      <c r="AD320" s="1002"/>
      <c r="AE320" s="1002"/>
      <c r="AF320" s="1002"/>
      <c r="AG320" s="1002"/>
      <c r="AH320" s="1002"/>
      <c r="AI320" s="1002"/>
      <c r="AJ320" s="1002"/>
      <c r="AK320" s="1002"/>
      <c r="AL320" s="1002"/>
      <c r="AM320" s="1002"/>
      <c r="AN320" s="1002"/>
      <c r="AO320" s="1002"/>
      <c r="AP320" s="1002"/>
      <c r="AQ320" s="1002"/>
      <c r="AR320" s="1002"/>
      <c r="AS320" s="1002"/>
      <c r="AT320" s="1002"/>
      <c r="AU320" s="1002"/>
      <c r="AV320" s="1002"/>
      <c r="AW320" s="1002"/>
      <c r="AX320" s="1002"/>
      <c r="AY320" s="1002"/>
      <c r="AZ320" s="1002"/>
      <c r="BA320" s="1002"/>
      <c r="BB320" s="1002"/>
      <c r="BC320" s="1002"/>
      <c r="BD320" s="1002"/>
      <c r="BE320" s="204"/>
      <c r="BF320" s="205" t="s">
        <v>487</v>
      </c>
      <c r="BG320" s="204"/>
      <c r="BH320" s="204" t="s">
        <v>407</v>
      </c>
      <c r="BI320" s="204"/>
      <c r="BJ320" s="204"/>
      <c r="BK320" s="206"/>
    </row>
    <row r="321" spans="1:63" s="164" customFormat="1" ht="15.75" customHeight="1">
      <c r="A321" s="182" t="s">
        <v>411</v>
      </c>
      <c r="B321" s="183" t="s">
        <v>710</v>
      </c>
      <c r="C321" s="184"/>
      <c r="D321" s="184"/>
      <c r="E321" s="184"/>
      <c r="F321" s="184"/>
      <c r="G321" s="184"/>
      <c r="H321" s="184"/>
      <c r="I321" s="184"/>
      <c r="J321" s="184"/>
      <c r="K321" s="184"/>
      <c r="L321" s="193"/>
      <c r="M321" s="1003"/>
      <c r="N321" s="1002"/>
      <c r="O321" s="1002"/>
      <c r="P321" s="1002"/>
      <c r="Q321" s="1002"/>
      <c r="R321" s="1002"/>
      <c r="S321" s="1002"/>
      <c r="T321" s="1002"/>
      <c r="U321" s="1002"/>
      <c r="V321" s="1002"/>
      <c r="W321" s="1002"/>
      <c r="X321" s="1002"/>
      <c r="Y321" s="1002"/>
      <c r="Z321" s="1002"/>
      <c r="AA321" s="1002"/>
      <c r="AB321" s="1002"/>
      <c r="AC321" s="1002"/>
      <c r="AD321" s="1002"/>
      <c r="AE321" s="1002"/>
      <c r="AF321" s="1002"/>
      <c r="AG321" s="1002"/>
      <c r="AH321" s="1002"/>
      <c r="AI321" s="1002"/>
      <c r="AJ321" s="1002"/>
      <c r="AK321" s="1002"/>
      <c r="AL321" s="1002"/>
      <c r="AM321" s="1002"/>
      <c r="AN321" s="1002"/>
      <c r="AO321" s="1002"/>
      <c r="AP321" s="1002"/>
      <c r="AQ321" s="1002"/>
      <c r="AR321" s="1002"/>
      <c r="AS321" s="1002"/>
      <c r="AT321" s="1002"/>
      <c r="AU321" s="1002"/>
      <c r="AV321" s="1002"/>
      <c r="AW321" s="1002"/>
      <c r="AX321" s="1002"/>
      <c r="AY321" s="1002"/>
      <c r="AZ321" s="1002"/>
      <c r="BA321" s="1002"/>
      <c r="BB321" s="1002"/>
      <c r="BC321" s="1002"/>
      <c r="BD321" s="1002"/>
      <c r="BE321" s="204"/>
      <c r="BF321" s="205" t="s">
        <v>487</v>
      </c>
      <c r="BG321" s="204"/>
      <c r="BH321" s="204" t="s">
        <v>407</v>
      </c>
      <c r="BI321" s="205" t="s">
        <v>408</v>
      </c>
      <c r="BJ321" s="204"/>
      <c r="BK321" s="206"/>
    </row>
    <row r="322" spans="1:63" s="164" customFormat="1" ht="15.75" customHeight="1">
      <c r="A322" s="182" t="s">
        <v>411</v>
      </c>
      <c r="B322" s="183" t="s">
        <v>711</v>
      </c>
      <c r="C322" s="184"/>
      <c r="D322" s="184"/>
      <c r="E322" s="184"/>
      <c r="F322" s="184"/>
      <c r="G322" s="184"/>
      <c r="H322" s="184"/>
      <c r="I322" s="184"/>
      <c r="J322" s="184"/>
      <c r="K322" s="184"/>
      <c r="L322" s="193"/>
      <c r="M322" s="1003"/>
      <c r="N322" s="1002"/>
      <c r="O322" s="1002"/>
      <c r="P322" s="1002"/>
      <c r="Q322" s="1002"/>
      <c r="R322" s="1002"/>
      <c r="S322" s="1002"/>
      <c r="T322" s="1002"/>
      <c r="U322" s="1002"/>
      <c r="V322" s="1002"/>
      <c r="W322" s="1002"/>
      <c r="X322" s="1002"/>
      <c r="Y322" s="1002"/>
      <c r="Z322" s="1002"/>
      <c r="AA322" s="1002"/>
      <c r="AB322" s="1002"/>
      <c r="AC322" s="1002"/>
      <c r="AD322" s="1002"/>
      <c r="AE322" s="1002"/>
      <c r="AF322" s="1002"/>
      <c r="AG322" s="1002"/>
      <c r="AH322" s="1002"/>
      <c r="AI322" s="1002"/>
      <c r="AJ322" s="1002"/>
      <c r="AK322" s="1002"/>
      <c r="AL322" s="1002"/>
      <c r="AM322" s="1002"/>
      <c r="AN322" s="1002"/>
      <c r="AO322" s="1002"/>
      <c r="AP322" s="1002"/>
      <c r="AQ322" s="1002"/>
      <c r="AR322" s="1002"/>
      <c r="AS322" s="1002"/>
      <c r="AT322" s="1002"/>
      <c r="AU322" s="1002"/>
      <c r="AV322" s="1002"/>
      <c r="AW322" s="1002"/>
      <c r="AX322" s="1002"/>
      <c r="AY322" s="1002"/>
      <c r="AZ322" s="1002"/>
      <c r="BA322" s="1002"/>
      <c r="BB322" s="1002"/>
      <c r="BC322" s="1002"/>
      <c r="BD322" s="1002"/>
      <c r="BE322" s="204"/>
      <c r="BF322" s="205" t="s">
        <v>487</v>
      </c>
      <c r="BG322" s="204"/>
      <c r="BH322" s="204" t="s">
        <v>407</v>
      </c>
      <c r="BI322" s="205" t="s">
        <v>408</v>
      </c>
      <c r="BJ322" s="204"/>
      <c r="BK322" s="206"/>
    </row>
    <row r="323" spans="1:63" s="164" customFormat="1" ht="15.75" customHeight="1">
      <c r="A323" s="182" t="s">
        <v>411</v>
      </c>
      <c r="B323" s="183" t="s">
        <v>712</v>
      </c>
      <c r="C323" s="184"/>
      <c r="D323" s="184"/>
      <c r="E323" s="184"/>
      <c r="F323" s="184"/>
      <c r="G323" s="184"/>
      <c r="H323" s="184"/>
      <c r="I323" s="184"/>
      <c r="J323" s="184"/>
      <c r="K323" s="184"/>
      <c r="L323" s="193"/>
      <c r="M323" s="1005" t="s">
        <v>713</v>
      </c>
      <c r="N323" s="1005"/>
      <c r="O323" s="1005"/>
      <c r="P323" s="1005"/>
      <c r="Q323" s="1005"/>
      <c r="R323" s="1005"/>
      <c r="S323" s="1005"/>
      <c r="T323" s="1005"/>
      <c r="U323" s="1005"/>
      <c r="V323" s="1005"/>
      <c r="W323" s="1005"/>
      <c r="X323" s="1005"/>
      <c r="Y323" s="1005"/>
      <c r="Z323" s="1005"/>
      <c r="AA323" s="1005"/>
      <c r="AB323" s="1005"/>
      <c r="AC323" s="1005"/>
      <c r="AD323" s="1005"/>
      <c r="AE323" s="1005"/>
      <c r="AF323" s="1005"/>
      <c r="AG323" s="1005"/>
      <c r="AH323" s="1005"/>
      <c r="AI323" s="1005"/>
      <c r="AJ323" s="1005"/>
      <c r="AK323" s="1005"/>
      <c r="AL323" s="1005"/>
      <c r="AM323" s="1005"/>
      <c r="AN323" s="1005"/>
      <c r="AO323" s="1005"/>
      <c r="AP323" s="1005"/>
      <c r="AQ323" s="1005"/>
      <c r="AR323" s="1005"/>
      <c r="AS323" s="1005"/>
      <c r="AT323" s="1005"/>
      <c r="AU323" s="1005"/>
      <c r="AV323" s="1005"/>
      <c r="AW323" s="1005"/>
      <c r="AX323" s="1005"/>
      <c r="AY323" s="1005"/>
      <c r="AZ323" s="1005"/>
      <c r="BA323" s="1005"/>
      <c r="BB323" s="1005"/>
      <c r="BC323" s="1005"/>
      <c r="BD323" s="1005"/>
      <c r="BE323" s="204"/>
      <c r="BF323" s="205" t="s">
        <v>487</v>
      </c>
      <c r="BG323" s="204"/>
      <c r="BH323" s="204" t="s">
        <v>407</v>
      </c>
      <c r="BI323" s="205" t="s">
        <v>408</v>
      </c>
      <c r="BJ323" s="204"/>
      <c r="BK323" s="206"/>
    </row>
    <row r="324" spans="1:63" s="164" customFormat="1" ht="15.75" customHeight="1">
      <c r="A324" s="185"/>
      <c r="B324" s="183" t="s">
        <v>714</v>
      </c>
      <c r="C324" s="184"/>
      <c r="D324" s="184"/>
      <c r="E324" s="184"/>
      <c r="F324" s="184"/>
      <c r="G324" s="184"/>
      <c r="H324" s="184"/>
      <c r="I324" s="184"/>
      <c r="J324" s="184"/>
      <c r="K324" s="184"/>
      <c r="L324" s="193"/>
      <c r="M324" s="1003"/>
      <c r="N324" s="1002"/>
      <c r="O324" s="1002"/>
      <c r="P324" s="1002"/>
      <c r="Q324" s="1002"/>
      <c r="R324" s="1002"/>
      <c r="S324" s="1002"/>
      <c r="T324" s="1002"/>
      <c r="U324" s="1002"/>
      <c r="V324" s="1002"/>
      <c r="W324" s="1002"/>
      <c r="X324" s="1002"/>
      <c r="Y324" s="1002"/>
      <c r="Z324" s="1002"/>
      <c r="AA324" s="1002"/>
      <c r="AB324" s="1002"/>
      <c r="AC324" s="1002"/>
      <c r="AD324" s="1002"/>
      <c r="AE324" s="1002"/>
      <c r="AF324" s="1002"/>
      <c r="AG324" s="1002"/>
      <c r="AH324" s="1002"/>
      <c r="AI324" s="1002"/>
      <c r="AJ324" s="1002"/>
      <c r="AK324" s="1002"/>
      <c r="AL324" s="1002"/>
      <c r="AM324" s="1002"/>
      <c r="AN324" s="1002"/>
      <c r="AO324" s="1002"/>
      <c r="AP324" s="1002"/>
      <c r="AQ324" s="1002"/>
      <c r="AR324" s="1002"/>
      <c r="AS324" s="1002"/>
      <c r="AT324" s="1002"/>
      <c r="AU324" s="1002"/>
      <c r="AV324" s="1002"/>
      <c r="AW324" s="1002"/>
      <c r="AX324" s="1002"/>
      <c r="AY324" s="1002"/>
      <c r="AZ324" s="1002"/>
      <c r="BA324" s="1002"/>
      <c r="BB324" s="1002"/>
      <c r="BC324" s="1002"/>
      <c r="BD324" s="1002"/>
      <c r="BE324" s="204"/>
      <c r="BF324" s="205" t="s">
        <v>487</v>
      </c>
      <c r="BG324" s="204"/>
      <c r="BH324" s="204" t="s">
        <v>407</v>
      </c>
      <c r="BI324" s="204"/>
      <c r="BJ324" s="204"/>
      <c r="BK324" s="206"/>
    </row>
    <row r="325" spans="1:63" s="164" customFormat="1" ht="15.75" customHeight="1">
      <c r="A325" s="185"/>
      <c r="B325" s="183" t="s">
        <v>715</v>
      </c>
      <c r="C325" s="184"/>
      <c r="D325" s="184"/>
      <c r="E325" s="184"/>
      <c r="F325" s="184"/>
      <c r="G325" s="184"/>
      <c r="H325" s="184"/>
      <c r="I325" s="184"/>
      <c r="J325" s="184"/>
      <c r="K325" s="184"/>
      <c r="L325" s="193"/>
      <c r="M325" s="1003"/>
      <c r="N325" s="1002"/>
      <c r="O325" s="1002"/>
      <c r="P325" s="1002"/>
      <c r="Q325" s="1002"/>
      <c r="R325" s="1002"/>
      <c r="S325" s="1002"/>
      <c r="T325" s="1002"/>
      <c r="U325" s="1002"/>
      <c r="V325" s="1002"/>
      <c r="W325" s="1002"/>
      <c r="X325" s="1002"/>
      <c r="Y325" s="1002"/>
      <c r="Z325" s="1002"/>
      <c r="AA325" s="1002"/>
      <c r="AB325" s="1002"/>
      <c r="AC325" s="1002"/>
      <c r="AD325" s="1002"/>
      <c r="AE325" s="1002"/>
      <c r="AF325" s="1002"/>
      <c r="AG325" s="1002"/>
      <c r="AH325" s="1002"/>
      <c r="AI325" s="1002"/>
      <c r="AJ325" s="1002"/>
      <c r="AK325" s="1002"/>
      <c r="AL325" s="1002"/>
      <c r="AM325" s="1002"/>
      <c r="AN325" s="1002"/>
      <c r="AO325" s="1002"/>
      <c r="AP325" s="1002"/>
      <c r="AQ325" s="1002"/>
      <c r="AR325" s="1002"/>
      <c r="AS325" s="1002"/>
      <c r="AT325" s="1002"/>
      <c r="AU325" s="1002"/>
      <c r="AV325" s="1002"/>
      <c r="AW325" s="1002"/>
      <c r="AX325" s="1002"/>
      <c r="AY325" s="1002"/>
      <c r="AZ325" s="1002"/>
      <c r="BA325" s="1002"/>
      <c r="BB325" s="1002"/>
      <c r="BC325" s="1002"/>
      <c r="BD325" s="1002"/>
      <c r="BE325" s="204"/>
      <c r="BF325" s="205" t="s">
        <v>487</v>
      </c>
      <c r="BG325" s="204"/>
      <c r="BH325" s="204" t="s">
        <v>407</v>
      </c>
      <c r="BI325" s="204"/>
      <c r="BJ325" s="204"/>
      <c r="BK325" s="206"/>
    </row>
    <row r="326" spans="1:63" s="164" customFormat="1" ht="15.75" customHeight="1">
      <c r="A326" s="182" t="s">
        <v>411</v>
      </c>
      <c r="B326" s="183" t="s">
        <v>493</v>
      </c>
      <c r="C326" s="184"/>
      <c r="D326" s="184"/>
      <c r="E326" s="184"/>
      <c r="F326" s="184"/>
      <c r="G326" s="184"/>
      <c r="H326" s="184"/>
      <c r="I326" s="184"/>
      <c r="J326" s="184"/>
      <c r="K326" s="184"/>
      <c r="L326" s="193"/>
      <c r="M326" s="1003"/>
      <c r="N326" s="1002"/>
      <c r="O326" s="1002"/>
      <c r="P326" s="1002"/>
      <c r="Q326" s="1002"/>
      <c r="R326" s="1002"/>
      <c r="S326" s="1002"/>
      <c r="T326" s="1002"/>
      <c r="U326" s="1002"/>
      <c r="V326" s="1002"/>
      <c r="W326" s="1002"/>
      <c r="X326" s="1002"/>
      <c r="Y326" s="1002"/>
      <c r="Z326" s="1002"/>
      <c r="AA326" s="1002"/>
      <c r="AB326" s="1002"/>
      <c r="AC326" s="1002"/>
      <c r="AD326" s="1002"/>
      <c r="AE326" s="1002"/>
      <c r="AF326" s="1002"/>
      <c r="AG326" s="1002"/>
      <c r="AH326" s="1002"/>
      <c r="AI326" s="1002"/>
      <c r="AJ326" s="1002"/>
      <c r="AK326" s="1002"/>
      <c r="AL326" s="1002"/>
      <c r="AM326" s="1002"/>
      <c r="AN326" s="1002"/>
      <c r="AO326" s="1002"/>
      <c r="AP326" s="1002"/>
      <c r="AQ326" s="1002"/>
      <c r="AR326" s="1002"/>
      <c r="AS326" s="1002"/>
      <c r="AT326" s="1002"/>
      <c r="AU326" s="1002"/>
      <c r="AV326" s="1002"/>
      <c r="AW326" s="1002"/>
      <c r="AX326" s="1002"/>
      <c r="AY326" s="1002"/>
      <c r="AZ326" s="1002"/>
      <c r="BA326" s="1002"/>
      <c r="BB326" s="1002"/>
      <c r="BC326" s="1002"/>
      <c r="BD326" s="1002"/>
      <c r="BE326" s="204"/>
      <c r="BF326" s="205" t="s">
        <v>487</v>
      </c>
      <c r="BG326" s="204"/>
      <c r="BH326" s="204" t="s">
        <v>407</v>
      </c>
      <c r="BI326" s="205" t="s">
        <v>408</v>
      </c>
      <c r="BJ326" s="204"/>
      <c r="BK326" s="206"/>
    </row>
    <row r="327" spans="1:63" s="164" customFormat="1" ht="31.5" customHeight="1">
      <c r="A327" s="182" t="s">
        <v>411</v>
      </c>
      <c r="B327" s="183" t="s">
        <v>299</v>
      </c>
      <c r="C327" s="184"/>
      <c r="D327" s="184"/>
      <c r="E327" s="184"/>
      <c r="F327" s="184"/>
      <c r="G327" s="184"/>
      <c r="H327" s="184"/>
      <c r="I327" s="184"/>
      <c r="J327" s="184"/>
      <c r="K327" s="184"/>
      <c r="L327" s="193"/>
      <c r="M327" s="1005" t="s">
        <v>716</v>
      </c>
      <c r="N327" s="1005"/>
      <c r="O327" s="1005"/>
      <c r="P327" s="1005"/>
      <c r="Q327" s="1005"/>
      <c r="R327" s="1005"/>
      <c r="S327" s="1005"/>
      <c r="T327" s="1005"/>
      <c r="U327" s="1005"/>
      <c r="V327" s="1005"/>
      <c r="W327" s="1005"/>
      <c r="X327" s="1005"/>
      <c r="Y327" s="1005"/>
      <c r="Z327" s="1005"/>
      <c r="AA327" s="1005"/>
      <c r="AB327" s="1005"/>
      <c r="AC327" s="1005"/>
      <c r="AD327" s="1005"/>
      <c r="AE327" s="1005"/>
      <c r="AF327" s="1005"/>
      <c r="AG327" s="1005"/>
      <c r="AH327" s="1005"/>
      <c r="AI327" s="1005"/>
      <c r="AJ327" s="1005"/>
      <c r="AK327" s="1005"/>
      <c r="AL327" s="1005"/>
      <c r="AM327" s="1005"/>
      <c r="AN327" s="1005"/>
      <c r="AO327" s="1005"/>
      <c r="AP327" s="1005"/>
      <c r="AQ327" s="1005"/>
      <c r="AR327" s="1005"/>
      <c r="AS327" s="1005"/>
      <c r="AT327" s="1005"/>
      <c r="AU327" s="1005"/>
      <c r="AV327" s="1005"/>
      <c r="AW327" s="1005"/>
      <c r="AX327" s="1005"/>
      <c r="AY327" s="1005"/>
      <c r="AZ327" s="1005"/>
      <c r="BA327" s="1005"/>
      <c r="BB327" s="1005"/>
      <c r="BC327" s="1005"/>
      <c r="BD327" s="1005"/>
      <c r="BE327" s="204"/>
      <c r="BF327" s="205" t="s">
        <v>462</v>
      </c>
      <c r="BG327" s="204"/>
      <c r="BH327" s="204" t="s">
        <v>407</v>
      </c>
      <c r="BI327" s="205" t="s">
        <v>408</v>
      </c>
      <c r="BJ327" s="204"/>
      <c r="BK327" s="206"/>
    </row>
    <row r="328" spans="1:63" s="164" customFormat="1" ht="15.75" customHeight="1">
      <c r="A328" s="182" t="s">
        <v>411</v>
      </c>
      <c r="B328" s="183" t="s">
        <v>717</v>
      </c>
      <c r="C328" s="184"/>
      <c r="D328" s="184"/>
      <c r="E328" s="184"/>
      <c r="F328" s="184"/>
      <c r="G328" s="184"/>
      <c r="H328" s="184"/>
      <c r="I328" s="184"/>
      <c r="J328" s="184"/>
      <c r="K328" s="184"/>
      <c r="L328" s="193"/>
      <c r="M328" s="1005" t="s">
        <v>718</v>
      </c>
      <c r="N328" s="1005"/>
      <c r="O328" s="1005"/>
      <c r="P328" s="1005"/>
      <c r="Q328" s="1005"/>
      <c r="R328" s="1005"/>
      <c r="S328" s="1005"/>
      <c r="T328" s="1005"/>
      <c r="U328" s="1005"/>
      <c r="V328" s="1005"/>
      <c r="W328" s="1005"/>
      <c r="X328" s="1005"/>
      <c r="Y328" s="1005"/>
      <c r="Z328" s="1005"/>
      <c r="AA328" s="1005"/>
      <c r="AB328" s="1005"/>
      <c r="AC328" s="1005"/>
      <c r="AD328" s="1005"/>
      <c r="AE328" s="1005"/>
      <c r="AF328" s="1005"/>
      <c r="AG328" s="1005"/>
      <c r="AH328" s="1005"/>
      <c r="AI328" s="1005"/>
      <c r="AJ328" s="1005"/>
      <c r="AK328" s="1005"/>
      <c r="AL328" s="1005"/>
      <c r="AM328" s="1005"/>
      <c r="AN328" s="1005"/>
      <c r="AO328" s="1005"/>
      <c r="AP328" s="1005"/>
      <c r="AQ328" s="1005"/>
      <c r="AR328" s="1005"/>
      <c r="AS328" s="1005"/>
      <c r="AT328" s="1005"/>
      <c r="AU328" s="1005"/>
      <c r="AV328" s="1005"/>
      <c r="AW328" s="1005"/>
      <c r="AX328" s="1005"/>
      <c r="AY328" s="1005"/>
      <c r="AZ328" s="1005"/>
      <c r="BA328" s="1005"/>
      <c r="BB328" s="1005"/>
      <c r="BC328" s="1005"/>
      <c r="BD328" s="1005"/>
      <c r="BE328" s="204"/>
      <c r="BF328" s="205" t="s">
        <v>464</v>
      </c>
      <c r="BG328" s="204"/>
      <c r="BH328" s="204" t="s">
        <v>407</v>
      </c>
      <c r="BI328" s="205" t="s">
        <v>408</v>
      </c>
      <c r="BJ328" s="204"/>
      <c r="BK328" s="206"/>
    </row>
    <row r="329" spans="1:63" s="164" customFormat="1" ht="15.75" customHeight="1">
      <c r="A329" s="185"/>
      <c r="B329" s="183" t="s">
        <v>719</v>
      </c>
      <c r="C329" s="184"/>
      <c r="D329" s="184"/>
      <c r="E329" s="184"/>
      <c r="F329" s="184"/>
      <c r="G329" s="184"/>
      <c r="H329" s="184"/>
      <c r="I329" s="184"/>
      <c r="J329" s="184"/>
      <c r="K329" s="184"/>
      <c r="L329" s="193"/>
      <c r="M329" s="1003"/>
      <c r="N329" s="1002"/>
      <c r="O329" s="1002"/>
      <c r="P329" s="1002"/>
      <c r="Q329" s="1002"/>
      <c r="R329" s="1002"/>
      <c r="S329" s="1002"/>
      <c r="T329" s="1002"/>
      <c r="U329" s="1002"/>
      <c r="V329" s="1002"/>
      <c r="W329" s="1002"/>
      <c r="X329" s="1002"/>
      <c r="Y329" s="1002"/>
      <c r="Z329" s="1002"/>
      <c r="AA329" s="1002"/>
      <c r="AB329" s="1002"/>
      <c r="AC329" s="1002"/>
      <c r="AD329" s="1002"/>
      <c r="AE329" s="1002"/>
      <c r="AF329" s="1002"/>
      <c r="AG329" s="1002"/>
      <c r="AH329" s="1002"/>
      <c r="AI329" s="1002"/>
      <c r="AJ329" s="1002"/>
      <c r="AK329" s="1002"/>
      <c r="AL329" s="1002"/>
      <c r="AM329" s="1002"/>
      <c r="AN329" s="1002"/>
      <c r="AO329" s="1002"/>
      <c r="AP329" s="1002"/>
      <c r="AQ329" s="1002"/>
      <c r="AR329" s="1002"/>
      <c r="AS329" s="1002"/>
      <c r="AT329" s="1002"/>
      <c r="AU329" s="1002"/>
      <c r="AV329" s="1002"/>
      <c r="AW329" s="1002"/>
      <c r="AX329" s="1002"/>
      <c r="AY329" s="1002"/>
      <c r="AZ329" s="1002"/>
      <c r="BA329" s="1002"/>
      <c r="BB329" s="1002"/>
      <c r="BC329" s="1002"/>
      <c r="BD329" s="1002"/>
      <c r="BE329" s="204"/>
      <c r="BF329" s="205" t="s">
        <v>462</v>
      </c>
      <c r="BG329" s="204"/>
      <c r="BH329" s="204" t="s">
        <v>407</v>
      </c>
      <c r="BI329" s="204"/>
      <c r="BJ329" s="204"/>
      <c r="BK329" s="206"/>
    </row>
    <row r="330" spans="1:63" s="164" customFormat="1" ht="15.75" customHeight="1">
      <c r="A330" s="185"/>
      <c r="B330" s="183" t="s">
        <v>720</v>
      </c>
      <c r="C330" s="184"/>
      <c r="D330" s="184"/>
      <c r="E330" s="184"/>
      <c r="F330" s="184"/>
      <c r="G330" s="184"/>
      <c r="H330" s="184"/>
      <c r="I330" s="184"/>
      <c r="J330" s="184"/>
      <c r="K330" s="184"/>
      <c r="L330" s="193"/>
      <c r="M330" s="1003"/>
      <c r="N330" s="1002"/>
      <c r="O330" s="1002"/>
      <c r="P330" s="1002"/>
      <c r="Q330" s="1002"/>
      <c r="R330" s="1002"/>
      <c r="S330" s="1002"/>
      <c r="T330" s="1002"/>
      <c r="U330" s="1002"/>
      <c r="V330" s="1002"/>
      <c r="W330" s="1002"/>
      <c r="X330" s="1002"/>
      <c r="Y330" s="1002"/>
      <c r="Z330" s="1002"/>
      <c r="AA330" s="1002"/>
      <c r="AB330" s="1002"/>
      <c r="AC330" s="1002"/>
      <c r="AD330" s="1002"/>
      <c r="AE330" s="1002"/>
      <c r="AF330" s="1002"/>
      <c r="AG330" s="1002"/>
      <c r="AH330" s="1002"/>
      <c r="AI330" s="1002"/>
      <c r="AJ330" s="1002"/>
      <c r="AK330" s="1002"/>
      <c r="AL330" s="1002"/>
      <c r="AM330" s="1002"/>
      <c r="AN330" s="1002"/>
      <c r="AO330" s="1002"/>
      <c r="AP330" s="1002"/>
      <c r="AQ330" s="1002"/>
      <c r="AR330" s="1002"/>
      <c r="AS330" s="1002"/>
      <c r="AT330" s="1002"/>
      <c r="AU330" s="1002"/>
      <c r="AV330" s="1002"/>
      <c r="AW330" s="1002"/>
      <c r="AX330" s="1002"/>
      <c r="AY330" s="1002"/>
      <c r="AZ330" s="1002"/>
      <c r="BA330" s="1002"/>
      <c r="BB330" s="1002"/>
      <c r="BC330" s="1002"/>
      <c r="BD330" s="1002"/>
      <c r="BE330" s="204"/>
      <c r="BF330" s="205" t="s">
        <v>464</v>
      </c>
      <c r="BG330" s="204"/>
      <c r="BH330" s="204" t="s">
        <v>407</v>
      </c>
      <c r="BI330" s="204"/>
      <c r="BJ330" s="204"/>
      <c r="BK330" s="206"/>
    </row>
    <row r="331" spans="1:63" s="164" customFormat="1" ht="46.5" customHeight="1">
      <c r="A331" s="182" t="s">
        <v>411</v>
      </c>
      <c r="B331" s="183" t="s">
        <v>721</v>
      </c>
      <c r="C331" s="184"/>
      <c r="D331" s="184"/>
      <c r="E331" s="184"/>
      <c r="F331" s="184"/>
      <c r="G331" s="184"/>
      <c r="H331" s="184"/>
      <c r="I331" s="184"/>
      <c r="J331" s="184"/>
      <c r="K331" s="184"/>
      <c r="L331" s="193"/>
      <c r="M331" s="1005" t="s">
        <v>722</v>
      </c>
      <c r="N331" s="1005"/>
      <c r="O331" s="1005"/>
      <c r="P331" s="1005"/>
      <c r="Q331" s="1005"/>
      <c r="R331" s="1005"/>
      <c r="S331" s="1005"/>
      <c r="T331" s="1005"/>
      <c r="U331" s="1005"/>
      <c r="V331" s="1005"/>
      <c r="W331" s="1005"/>
      <c r="X331" s="1005"/>
      <c r="Y331" s="1005"/>
      <c r="Z331" s="1005"/>
      <c r="AA331" s="1005"/>
      <c r="AB331" s="1005"/>
      <c r="AC331" s="1005"/>
      <c r="AD331" s="1005"/>
      <c r="AE331" s="1005"/>
      <c r="AF331" s="1005"/>
      <c r="AG331" s="1005"/>
      <c r="AH331" s="1005"/>
      <c r="AI331" s="1005"/>
      <c r="AJ331" s="1005"/>
      <c r="AK331" s="1005"/>
      <c r="AL331" s="1005"/>
      <c r="AM331" s="1005"/>
      <c r="AN331" s="1005"/>
      <c r="AO331" s="1005"/>
      <c r="AP331" s="1005"/>
      <c r="AQ331" s="1005"/>
      <c r="AR331" s="1005"/>
      <c r="AS331" s="1005"/>
      <c r="AT331" s="1005"/>
      <c r="AU331" s="1005"/>
      <c r="AV331" s="1005"/>
      <c r="AW331" s="1005"/>
      <c r="AX331" s="1005"/>
      <c r="AY331" s="1005"/>
      <c r="AZ331" s="1005"/>
      <c r="BA331" s="1005"/>
      <c r="BB331" s="1005"/>
      <c r="BC331" s="1005"/>
      <c r="BD331" s="1005"/>
      <c r="BE331" s="204"/>
      <c r="BF331" s="205" t="s">
        <v>462</v>
      </c>
      <c r="BG331" s="204"/>
      <c r="BH331" s="204" t="s">
        <v>407</v>
      </c>
      <c r="BI331" s="205" t="s">
        <v>408</v>
      </c>
      <c r="BJ331" s="204"/>
      <c r="BK331" s="206"/>
    </row>
    <row r="332" spans="1:63" s="164" customFormat="1" ht="48" customHeight="1">
      <c r="A332" s="182" t="s">
        <v>411</v>
      </c>
      <c r="B332" s="183" t="s">
        <v>723</v>
      </c>
      <c r="C332" s="184"/>
      <c r="D332" s="184"/>
      <c r="E332" s="184"/>
      <c r="F332" s="184"/>
      <c r="G332" s="184"/>
      <c r="H332" s="184"/>
      <c r="I332" s="184"/>
      <c r="J332" s="184"/>
      <c r="K332" s="184"/>
      <c r="L332" s="193"/>
      <c r="M332" s="1005" t="s">
        <v>724</v>
      </c>
      <c r="N332" s="1005"/>
      <c r="O332" s="1005"/>
      <c r="P332" s="1005"/>
      <c r="Q332" s="1005"/>
      <c r="R332" s="1005"/>
      <c r="S332" s="1005"/>
      <c r="T332" s="1005"/>
      <c r="U332" s="1005"/>
      <c r="V332" s="1005"/>
      <c r="W332" s="1005"/>
      <c r="X332" s="1005"/>
      <c r="Y332" s="1005"/>
      <c r="Z332" s="1005"/>
      <c r="AA332" s="1005"/>
      <c r="AB332" s="1005"/>
      <c r="AC332" s="1005"/>
      <c r="AD332" s="1005"/>
      <c r="AE332" s="1005"/>
      <c r="AF332" s="1005"/>
      <c r="AG332" s="1005"/>
      <c r="AH332" s="1005"/>
      <c r="AI332" s="1005"/>
      <c r="AJ332" s="1005"/>
      <c r="AK332" s="1005"/>
      <c r="AL332" s="1005"/>
      <c r="AM332" s="1005"/>
      <c r="AN332" s="1005"/>
      <c r="AO332" s="1005"/>
      <c r="AP332" s="1005"/>
      <c r="AQ332" s="1005"/>
      <c r="AR332" s="1005"/>
      <c r="AS332" s="1005"/>
      <c r="AT332" s="1005"/>
      <c r="AU332" s="1005"/>
      <c r="AV332" s="1005"/>
      <c r="AW332" s="1005"/>
      <c r="AX332" s="1005"/>
      <c r="AY332" s="1005"/>
      <c r="AZ332" s="1005"/>
      <c r="BA332" s="1005"/>
      <c r="BB332" s="1005"/>
      <c r="BC332" s="1005"/>
      <c r="BD332" s="1005"/>
      <c r="BE332" s="204"/>
      <c r="BF332" s="205" t="s">
        <v>419</v>
      </c>
      <c r="BG332" s="204"/>
      <c r="BH332" s="204" t="s">
        <v>407</v>
      </c>
      <c r="BI332" s="205" t="s">
        <v>408</v>
      </c>
      <c r="BJ332" s="204"/>
      <c r="BK332" s="206"/>
    </row>
    <row r="333" spans="1:63" s="164" customFormat="1" ht="15.75" customHeight="1">
      <c r="A333" s="182" t="s">
        <v>411</v>
      </c>
      <c r="B333" s="183" t="s">
        <v>523</v>
      </c>
      <c r="C333" s="184"/>
      <c r="D333" s="184"/>
      <c r="E333" s="184"/>
      <c r="F333" s="184"/>
      <c r="G333" s="184"/>
      <c r="H333" s="184"/>
      <c r="I333" s="184"/>
      <c r="J333" s="184"/>
      <c r="K333" s="184"/>
      <c r="L333" s="193"/>
      <c r="M333" s="1003"/>
      <c r="N333" s="1002"/>
      <c r="O333" s="1002"/>
      <c r="P333" s="1002"/>
      <c r="Q333" s="1002"/>
      <c r="R333" s="1002"/>
      <c r="S333" s="1002"/>
      <c r="T333" s="1002"/>
      <c r="U333" s="1002"/>
      <c r="V333" s="1002"/>
      <c r="W333" s="1002"/>
      <c r="X333" s="1002"/>
      <c r="Y333" s="1002"/>
      <c r="Z333" s="1002"/>
      <c r="AA333" s="1002"/>
      <c r="AB333" s="1002"/>
      <c r="AC333" s="1002"/>
      <c r="AD333" s="1002"/>
      <c r="AE333" s="1002"/>
      <c r="AF333" s="1002"/>
      <c r="AG333" s="1002"/>
      <c r="AH333" s="1002"/>
      <c r="AI333" s="1002"/>
      <c r="AJ333" s="1002"/>
      <c r="AK333" s="1002"/>
      <c r="AL333" s="1002"/>
      <c r="AM333" s="1002"/>
      <c r="AN333" s="1002"/>
      <c r="AO333" s="1002"/>
      <c r="AP333" s="1002"/>
      <c r="AQ333" s="1002"/>
      <c r="AR333" s="1002"/>
      <c r="AS333" s="1002"/>
      <c r="AT333" s="1002"/>
      <c r="AU333" s="1002"/>
      <c r="AV333" s="1002"/>
      <c r="AW333" s="1002"/>
      <c r="AX333" s="1002"/>
      <c r="AY333" s="1002"/>
      <c r="AZ333" s="1002"/>
      <c r="BA333" s="1002"/>
      <c r="BB333" s="1002"/>
      <c r="BC333" s="1002"/>
      <c r="BD333" s="1002"/>
      <c r="BE333" s="205" t="s">
        <v>489</v>
      </c>
      <c r="BF333" s="205" t="s">
        <v>487</v>
      </c>
      <c r="BG333" s="204"/>
      <c r="BH333" s="204" t="s">
        <v>407</v>
      </c>
      <c r="BI333" s="205" t="s">
        <v>408</v>
      </c>
      <c r="BJ333" s="204"/>
      <c r="BK333" s="206"/>
    </row>
    <row r="334" spans="1:63" s="164" customFormat="1" ht="15.75" customHeight="1">
      <c r="A334" s="185"/>
      <c r="B334" s="183" t="s">
        <v>524</v>
      </c>
      <c r="C334" s="184"/>
      <c r="D334" s="184"/>
      <c r="E334" s="184"/>
      <c r="F334" s="184"/>
      <c r="G334" s="184"/>
      <c r="H334" s="184"/>
      <c r="I334" s="184"/>
      <c r="J334" s="184"/>
      <c r="K334" s="184"/>
      <c r="L334" s="193"/>
      <c r="M334" s="1003"/>
      <c r="N334" s="1002"/>
      <c r="O334" s="1002"/>
      <c r="P334" s="1002"/>
      <c r="Q334" s="1002"/>
      <c r="R334" s="1002"/>
      <c r="S334" s="1002"/>
      <c r="T334" s="1002"/>
      <c r="U334" s="1002"/>
      <c r="V334" s="1002"/>
      <c r="W334" s="1002"/>
      <c r="X334" s="1002"/>
      <c r="Y334" s="1002"/>
      <c r="Z334" s="1002"/>
      <c r="AA334" s="1002"/>
      <c r="AB334" s="1002"/>
      <c r="AC334" s="1002"/>
      <c r="AD334" s="1002"/>
      <c r="AE334" s="1002"/>
      <c r="AF334" s="1002"/>
      <c r="AG334" s="1002"/>
      <c r="AH334" s="1002"/>
      <c r="AI334" s="1002"/>
      <c r="AJ334" s="1002"/>
      <c r="AK334" s="1002"/>
      <c r="AL334" s="1002"/>
      <c r="AM334" s="1002"/>
      <c r="AN334" s="1002"/>
      <c r="AO334" s="1002"/>
      <c r="AP334" s="1002"/>
      <c r="AQ334" s="1002"/>
      <c r="AR334" s="1002"/>
      <c r="AS334" s="1002"/>
      <c r="AT334" s="1002"/>
      <c r="AU334" s="1002"/>
      <c r="AV334" s="1002"/>
      <c r="AW334" s="1002"/>
      <c r="AX334" s="1002"/>
      <c r="AY334" s="1002"/>
      <c r="AZ334" s="1002"/>
      <c r="BA334" s="1002"/>
      <c r="BB334" s="1002"/>
      <c r="BC334" s="1002"/>
      <c r="BD334" s="1002"/>
      <c r="BE334" s="204"/>
      <c r="BF334" s="205" t="s">
        <v>487</v>
      </c>
      <c r="BG334" s="204"/>
      <c r="BH334" s="204" t="s">
        <v>407</v>
      </c>
      <c r="BI334" s="204"/>
      <c r="BJ334" s="204"/>
      <c r="BK334" s="206"/>
    </row>
    <row r="335" spans="1:63" s="164" customFormat="1" ht="15.75" customHeight="1">
      <c r="A335" s="182" t="s">
        <v>411</v>
      </c>
      <c r="B335" s="183" t="s">
        <v>525</v>
      </c>
      <c r="C335" s="184"/>
      <c r="D335" s="184"/>
      <c r="E335" s="184"/>
      <c r="F335" s="184"/>
      <c r="G335" s="184"/>
      <c r="H335" s="184"/>
      <c r="I335" s="184"/>
      <c r="J335" s="184"/>
      <c r="K335" s="184"/>
      <c r="L335" s="193"/>
      <c r="M335" s="1003"/>
      <c r="N335" s="1002"/>
      <c r="O335" s="1002"/>
      <c r="P335" s="1002"/>
      <c r="Q335" s="1002"/>
      <c r="R335" s="1002"/>
      <c r="S335" s="1002"/>
      <c r="T335" s="1002"/>
      <c r="U335" s="1002"/>
      <c r="V335" s="1002"/>
      <c r="W335" s="1002"/>
      <c r="X335" s="1002"/>
      <c r="Y335" s="1002"/>
      <c r="Z335" s="1002"/>
      <c r="AA335" s="1002"/>
      <c r="AB335" s="1002"/>
      <c r="AC335" s="1002"/>
      <c r="AD335" s="1002"/>
      <c r="AE335" s="1002"/>
      <c r="AF335" s="1002"/>
      <c r="AG335" s="1002"/>
      <c r="AH335" s="1002"/>
      <c r="AI335" s="1002"/>
      <c r="AJ335" s="1002"/>
      <c r="AK335" s="1002"/>
      <c r="AL335" s="1002"/>
      <c r="AM335" s="1002"/>
      <c r="AN335" s="1002"/>
      <c r="AO335" s="1002"/>
      <c r="AP335" s="1002"/>
      <c r="AQ335" s="1002"/>
      <c r="AR335" s="1002"/>
      <c r="AS335" s="1002"/>
      <c r="AT335" s="1002"/>
      <c r="AU335" s="1002"/>
      <c r="AV335" s="1002"/>
      <c r="AW335" s="1002"/>
      <c r="AX335" s="1002"/>
      <c r="AY335" s="1002"/>
      <c r="AZ335" s="1002"/>
      <c r="BA335" s="1002"/>
      <c r="BB335" s="1002"/>
      <c r="BC335" s="1002"/>
      <c r="BD335" s="1002"/>
      <c r="BE335" s="205" t="s">
        <v>486</v>
      </c>
      <c r="BF335" s="205" t="s">
        <v>487</v>
      </c>
      <c r="BG335" s="204"/>
      <c r="BH335" s="204" t="s">
        <v>407</v>
      </c>
      <c r="BI335" s="205" t="s">
        <v>408</v>
      </c>
      <c r="BJ335" s="204"/>
      <c r="BK335" s="206"/>
    </row>
    <row r="336" spans="1:63" s="164" customFormat="1" ht="15.75" customHeight="1">
      <c r="A336" s="185"/>
      <c r="B336" s="183" t="s">
        <v>526</v>
      </c>
      <c r="C336" s="184"/>
      <c r="D336" s="184"/>
      <c r="E336" s="184"/>
      <c r="F336" s="184"/>
      <c r="G336" s="184"/>
      <c r="H336" s="184"/>
      <c r="I336" s="184"/>
      <c r="J336" s="184"/>
      <c r="K336" s="184"/>
      <c r="L336" s="193"/>
      <c r="M336" s="1003"/>
      <c r="N336" s="1002"/>
      <c r="O336" s="1002"/>
      <c r="P336" s="1002"/>
      <c r="Q336" s="1002"/>
      <c r="R336" s="1002"/>
      <c r="S336" s="1002"/>
      <c r="T336" s="1002"/>
      <c r="U336" s="1002"/>
      <c r="V336" s="1002"/>
      <c r="W336" s="1002"/>
      <c r="X336" s="1002"/>
      <c r="Y336" s="1002"/>
      <c r="Z336" s="1002"/>
      <c r="AA336" s="1002"/>
      <c r="AB336" s="1002"/>
      <c r="AC336" s="1002"/>
      <c r="AD336" s="1002"/>
      <c r="AE336" s="1002"/>
      <c r="AF336" s="1002"/>
      <c r="AG336" s="1002"/>
      <c r="AH336" s="1002"/>
      <c r="AI336" s="1002"/>
      <c r="AJ336" s="1002"/>
      <c r="AK336" s="1002"/>
      <c r="AL336" s="1002"/>
      <c r="AM336" s="1002"/>
      <c r="AN336" s="1002"/>
      <c r="AO336" s="1002"/>
      <c r="AP336" s="1002"/>
      <c r="AQ336" s="1002"/>
      <c r="AR336" s="1002"/>
      <c r="AS336" s="1002"/>
      <c r="AT336" s="1002"/>
      <c r="AU336" s="1002"/>
      <c r="AV336" s="1002"/>
      <c r="AW336" s="1002"/>
      <c r="AX336" s="1002"/>
      <c r="AY336" s="1002"/>
      <c r="AZ336" s="1002"/>
      <c r="BA336" s="1002"/>
      <c r="BB336" s="1002"/>
      <c r="BC336" s="1002"/>
      <c r="BD336" s="1002"/>
      <c r="BE336" s="204"/>
      <c r="BF336" s="205" t="s">
        <v>487</v>
      </c>
      <c r="BG336" s="204"/>
      <c r="BH336" s="204" t="s">
        <v>407</v>
      </c>
      <c r="BI336" s="204"/>
      <c r="BJ336" s="204"/>
      <c r="BK336" s="206"/>
    </row>
    <row r="337" spans="1:63" s="164" customFormat="1" ht="15.75" customHeight="1">
      <c r="A337" s="185"/>
      <c r="B337" s="183" t="s">
        <v>527</v>
      </c>
      <c r="C337" s="184"/>
      <c r="D337" s="184"/>
      <c r="E337" s="184"/>
      <c r="F337" s="184"/>
      <c r="G337" s="184"/>
      <c r="H337" s="184"/>
      <c r="I337" s="184"/>
      <c r="J337" s="184"/>
      <c r="K337" s="184"/>
      <c r="L337" s="193"/>
      <c r="M337" s="1003"/>
      <c r="N337" s="1002"/>
      <c r="O337" s="1002"/>
      <c r="P337" s="1002"/>
      <c r="Q337" s="1002"/>
      <c r="R337" s="1002"/>
      <c r="S337" s="1002"/>
      <c r="T337" s="1002"/>
      <c r="U337" s="1002"/>
      <c r="V337" s="1002"/>
      <c r="W337" s="1002"/>
      <c r="X337" s="1002"/>
      <c r="Y337" s="1002"/>
      <c r="Z337" s="1002"/>
      <c r="AA337" s="1002"/>
      <c r="AB337" s="1002"/>
      <c r="AC337" s="1002"/>
      <c r="AD337" s="1002"/>
      <c r="AE337" s="1002"/>
      <c r="AF337" s="1002"/>
      <c r="AG337" s="1002"/>
      <c r="AH337" s="1002"/>
      <c r="AI337" s="1002"/>
      <c r="AJ337" s="1002"/>
      <c r="AK337" s="1002"/>
      <c r="AL337" s="1002"/>
      <c r="AM337" s="1002"/>
      <c r="AN337" s="1002"/>
      <c r="AO337" s="1002"/>
      <c r="AP337" s="1002"/>
      <c r="AQ337" s="1002"/>
      <c r="AR337" s="1002"/>
      <c r="AS337" s="1002"/>
      <c r="AT337" s="1002"/>
      <c r="AU337" s="1002"/>
      <c r="AV337" s="1002"/>
      <c r="AW337" s="1002"/>
      <c r="AX337" s="1002"/>
      <c r="AY337" s="1002"/>
      <c r="AZ337" s="1002"/>
      <c r="BA337" s="1002"/>
      <c r="BB337" s="1002"/>
      <c r="BC337" s="1002"/>
      <c r="BD337" s="1002"/>
      <c r="BE337" s="204"/>
      <c r="BF337" s="205" t="s">
        <v>487</v>
      </c>
      <c r="BG337" s="204"/>
      <c r="BH337" s="204" t="s">
        <v>407</v>
      </c>
      <c r="BI337" s="204"/>
      <c r="BJ337" s="204"/>
      <c r="BK337" s="206"/>
    </row>
    <row r="338" spans="1:63" s="164" customFormat="1" ht="15.75" customHeight="1">
      <c r="A338" s="185"/>
      <c r="B338" s="183" t="s">
        <v>528</v>
      </c>
      <c r="C338" s="184"/>
      <c r="D338" s="184"/>
      <c r="E338" s="184"/>
      <c r="F338" s="184"/>
      <c r="G338" s="184"/>
      <c r="H338" s="184"/>
      <c r="I338" s="184"/>
      <c r="J338" s="184"/>
      <c r="K338" s="184"/>
      <c r="L338" s="193"/>
      <c r="M338" s="1003"/>
      <c r="N338" s="1002"/>
      <c r="O338" s="1002"/>
      <c r="P338" s="1002"/>
      <c r="Q338" s="1002"/>
      <c r="R338" s="1002"/>
      <c r="S338" s="1002"/>
      <c r="T338" s="1002"/>
      <c r="U338" s="1002"/>
      <c r="V338" s="1002"/>
      <c r="W338" s="1002"/>
      <c r="X338" s="1002"/>
      <c r="Y338" s="1002"/>
      <c r="Z338" s="1002"/>
      <c r="AA338" s="1002"/>
      <c r="AB338" s="1002"/>
      <c r="AC338" s="1002"/>
      <c r="AD338" s="1002"/>
      <c r="AE338" s="1002"/>
      <c r="AF338" s="1002"/>
      <c r="AG338" s="1002"/>
      <c r="AH338" s="1002"/>
      <c r="AI338" s="1002"/>
      <c r="AJ338" s="1002"/>
      <c r="AK338" s="1002"/>
      <c r="AL338" s="1002"/>
      <c r="AM338" s="1002"/>
      <c r="AN338" s="1002"/>
      <c r="AO338" s="1002"/>
      <c r="AP338" s="1002"/>
      <c r="AQ338" s="1002"/>
      <c r="AR338" s="1002"/>
      <c r="AS338" s="1002"/>
      <c r="AT338" s="1002"/>
      <c r="AU338" s="1002"/>
      <c r="AV338" s="1002"/>
      <c r="AW338" s="1002"/>
      <c r="AX338" s="1002"/>
      <c r="AY338" s="1002"/>
      <c r="AZ338" s="1002"/>
      <c r="BA338" s="1002"/>
      <c r="BB338" s="1002"/>
      <c r="BC338" s="1002"/>
      <c r="BD338" s="1002"/>
      <c r="BE338" s="204"/>
      <c r="BF338" s="205" t="s">
        <v>487</v>
      </c>
      <c r="BG338" s="204"/>
      <c r="BH338" s="204" t="s">
        <v>407</v>
      </c>
      <c r="BI338" s="204"/>
      <c r="BJ338" s="204"/>
      <c r="BK338" s="206"/>
    </row>
    <row r="339" spans="1:63" s="164" customFormat="1" ht="15.75" customHeight="1">
      <c r="A339" s="182" t="s">
        <v>411</v>
      </c>
      <c r="B339" s="183" t="s">
        <v>529</v>
      </c>
      <c r="C339" s="184"/>
      <c r="D339" s="184"/>
      <c r="E339" s="184"/>
      <c r="F339" s="184"/>
      <c r="G339" s="184"/>
      <c r="H339" s="184"/>
      <c r="I339" s="184"/>
      <c r="J339" s="184"/>
      <c r="K339" s="184"/>
      <c r="L339" s="193"/>
      <c r="M339" s="1003"/>
      <c r="N339" s="1002"/>
      <c r="O339" s="1002"/>
      <c r="P339" s="1002"/>
      <c r="Q339" s="1002"/>
      <c r="R339" s="1002"/>
      <c r="S339" s="1002"/>
      <c r="T339" s="1002"/>
      <c r="U339" s="1002"/>
      <c r="V339" s="1002"/>
      <c r="W339" s="1002"/>
      <c r="X339" s="1002"/>
      <c r="Y339" s="1002"/>
      <c r="Z339" s="1002"/>
      <c r="AA339" s="1002"/>
      <c r="AB339" s="1002"/>
      <c r="AC339" s="1002"/>
      <c r="AD339" s="1002"/>
      <c r="AE339" s="1002"/>
      <c r="AF339" s="1002"/>
      <c r="AG339" s="1002"/>
      <c r="AH339" s="1002"/>
      <c r="AI339" s="1002"/>
      <c r="AJ339" s="1002"/>
      <c r="AK339" s="1002"/>
      <c r="AL339" s="1002"/>
      <c r="AM339" s="1002"/>
      <c r="AN339" s="1002"/>
      <c r="AO339" s="1002"/>
      <c r="AP339" s="1002"/>
      <c r="AQ339" s="1002"/>
      <c r="AR339" s="1002"/>
      <c r="AS339" s="1002"/>
      <c r="AT339" s="1002"/>
      <c r="AU339" s="1002"/>
      <c r="AV339" s="1002"/>
      <c r="AW339" s="1002"/>
      <c r="AX339" s="1002"/>
      <c r="AY339" s="1002"/>
      <c r="AZ339" s="1002"/>
      <c r="BA339" s="1002"/>
      <c r="BB339" s="1002"/>
      <c r="BC339" s="1002"/>
      <c r="BD339" s="1002"/>
      <c r="BE339" s="205" t="s">
        <v>489</v>
      </c>
      <c r="BF339" s="205" t="s">
        <v>487</v>
      </c>
      <c r="BG339" s="204"/>
      <c r="BH339" s="204" t="s">
        <v>407</v>
      </c>
      <c r="BI339" s="205" t="s">
        <v>408</v>
      </c>
      <c r="BJ339" s="204"/>
      <c r="BK339" s="206"/>
    </row>
    <row r="340" spans="1:63" s="164" customFormat="1" ht="15.75" customHeight="1">
      <c r="A340" s="185"/>
      <c r="B340" s="183" t="s">
        <v>530</v>
      </c>
      <c r="C340" s="184"/>
      <c r="D340" s="184"/>
      <c r="E340" s="184"/>
      <c r="F340" s="184"/>
      <c r="G340" s="184"/>
      <c r="H340" s="184"/>
      <c r="I340" s="184"/>
      <c r="J340" s="184"/>
      <c r="K340" s="184"/>
      <c r="L340" s="193"/>
      <c r="M340" s="1003"/>
      <c r="N340" s="1002"/>
      <c r="O340" s="1002"/>
      <c r="P340" s="1002"/>
      <c r="Q340" s="1002"/>
      <c r="R340" s="1002"/>
      <c r="S340" s="1002"/>
      <c r="T340" s="1002"/>
      <c r="U340" s="1002"/>
      <c r="V340" s="1002"/>
      <c r="W340" s="1002"/>
      <c r="X340" s="1002"/>
      <c r="Y340" s="1002"/>
      <c r="Z340" s="1002"/>
      <c r="AA340" s="1002"/>
      <c r="AB340" s="1002"/>
      <c r="AC340" s="1002"/>
      <c r="AD340" s="1002"/>
      <c r="AE340" s="1002"/>
      <c r="AF340" s="1002"/>
      <c r="AG340" s="1002"/>
      <c r="AH340" s="1002"/>
      <c r="AI340" s="1002"/>
      <c r="AJ340" s="1002"/>
      <c r="AK340" s="1002"/>
      <c r="AL340" s="1002"/>
      <c r="AM340" s="1002"/>
      <c r="AN340" s="1002"/>
      <c r="AO340" s="1002"/>
      <c r="AP340" s="1002"/>
      <c r="AQ340" s="1002"/>
      <c r="AR340" s="1002"/>
      <c r="AS340" s="1002"/>
      <c r="AT340" s="1002"/>
      <c r="AU340" s="1002"/>
      <c r="AV340" s="1002"/>
      <c r="AW340" s="1002"/>
      <c r="AX340" s="1002"/>
      <c r="AY340" s="1002"/>
      <c r="AZ340" s="1002"/>
      <c r="BA340" s="1002"/>
      <c r="BB340" s="1002"/>
      <c r="BC340" s="1002"/>
      <c r="BD340" s="1002"/>
      <c r="BE340" s="204"/>
      <c r="BF340" s="205" t="s">
        <v>487</v>
      </c>
      <c r="BG340" s="204"/>
      <c r="BH340" s="204" t="s">
        <v>407</v>
      </c>
      <c r="BI340" s="204"/>
      <c r="BJ340" s="204"/>
      <c r="BK340" s="206"/>
    </row>
    <row r="341" spans="1:63" s="164" customFormat="1" ht="15.75" customHeight="1">
      <c r="A341" s="185"/>
      <c r="B341" s="183" t="s">
        <v>502</v>
      </c>
      <c r="C341" s="184"/>
      <c r="D341" s="184"/>
      <c r="E341" s="184"/>
      <c r="F341" s="184"/>
      <c r="G341" s="184"/>
      <c r="H341" s="184"/>
      <c r="I341" s="184"/>
      <c r="J341" s="184"/>
      <c r="K341" s="184"/>
      <c r="L341" s="193"/>
      <c r="M341" s="1003"/>
      <c r="N341" s="1002"/>
      <c r="O341" s="1002"/>
      <c r="P341" s="1002"/>
      <c r="Q341" s="1002"/>
      <c r="R341" s="1002"/>
      <c r="S341" s="1002"/>
      <c r="T341" s="1002"/>
      <c r="U341" s="1002"/>
      <c r="V341" s="1002"/>
      <c r="W341" s="1002"/>
      <c r="X341" s="1002"/>
      <c r="Y341" s="1002"/>
      <c r="Z341" s="1002"/>
      <c r="AA341" s="1002"/>
      <c r="AB341" s="1002"/>
      <c r="AC341" s="1002"/>
      <c r="AD341" s="1002"/>
      <c r="AE341" s="1002"/>
      <c r="AF341" s="1002"/>
      <c r="AG341" s="1002"/>
      <c r="AH341" s="1002"/>
      <c r="AI341" s="1002"/>
      <c r="AJ341" s="1002"/>
      <c r="AK341" s="1002"/>
      <c r="AL341" s="1002"/>
      <c r="AM341" s="1002"/>
      <c r="AN341" s="1002"/>
      <c r="AO341" s="1002"/>
      <c r="AP341" s="1002"/>
      <c r="AQ341" s="1002"/>
      <c r="AR341" s="1002"/>
      <c r="AS341" s="1002"/>
      <c r="AT341" s="1002"/>
      <c r="AU341" s="1002"/>
      <c r="AV341" s="1002"/>
      <c r="AW341" s="1002"/>
      <c r="AX341" s="1002"/>
      <c r="AY341" s="1002"/>
      <c r="AZ341" s="1002"/>
      <c r="BA341" s="1002"/>
      <c r="BB341" s="1002"/>
      <c r="BC341" s="1002"/>
      <c r="BD341" s="1002"/>
      <c r="BE341" s="204"/>
      <c r="BF341" s="205" t="s">
        <v>487</v>
      </c>
      <c r="BG341" s="204"/>
      <c r="BH341" s="204" t="s">
        <v>407</v>
      </c>
      <c r="BI341" s="204"/>
      <c r="BJ341" s="204"/>
      <c r="BK341" s="206"/>
    </row>
    <row r="342" spans="1:63" s="164" customFormat="1" ht="15.75" customHeight="1">
      <c r="A342" s="185"/>
      <c r="B342" s="183" t="s">
        <v>503</v>
      </c>
      <c r="C342" s="184"/>
      <c r="D342" s="184"/>
      <c r="E342" s="184"/>
      <c r="F342" s="184"/>
      <c r="G342" s="184"/>
      <c r="H342" s="184"/>
      <c r="I342" s="184"/>
      <c r="J342" s="184"/>
      <c r="K342" s="184"/>
      <c r="L342" s="193"/>
      <c r="M342" s="1003"/>
      <c r="N342" s="1002"/>
      <c r="O342" s="1002"/>
      <c r="P342" s="1002"/>
      <c r="Q342" s="1002"/>
      <c r="R342" s="1002"/>
      <c r="S342" s="1002"/>
      <c r="T342" s="1002"/>
      <c r="U342" s="1002"/>
      <c r="V342" s="1002"/>
      <c r="W342" s="1002"/>
      <c r="X342" s="1002"/>
      <c r="Y342" s="1002"/>
      <c r="Z342" s="1002"/>
      <c r="AA342" s="1002"/>
      <c r="AB342" s="1002"/>
      <c r="AC342" s="1002"/>
      <c r="AD342" s="1002"/>
      <c r="AE342" s="1002"/>
      <c r="AF342" s="1002"/>
      <c r="AG342" s="1002"/>
      <c r="AH342" s="1002"/>
      <c r="AI342" s="1002"/>
      <c r="AJ342" s="1002"/>
      <c r="AK342" s="1002"/>
      <c r="AL342" s="1002"/>
      <c r="AM342" s="1002"/>
      <c r="AN342" s="1002"/>
      <c r="AO342" s="1002"/>
      <c r="AP342" s="1002"/>
      <c r="AQ342" s="1002"/>
      <c r="AR342" s="1002"/>
      <c r="AS342" s="1002"/>
      <c r="AT342" s="1002"/>
      <c r="AU342" s="1002"/>
      <c r="AV342" s="1002"/>
      <c r="AW342" s="1002"/>
      <c r="AX342" s="1002"/>
      <c r="AY342" s="1002"/>
      <c r="AZ342" s="1002"/>
      <c r="BA342" s="1002"/>
      <c r="BB342" s="1002"/>
      <c r="BC342" s="1002"/>
      <c r="BD342" s="1002"/>
      <c r="BE342" s="204"/>
      <c r="BF342" s="205" t="s">
        <v>487</v>
      </c>
      <c r="BG342" s="204"/>
      <c r="BH342" s="204" t="s">
        <v>407</v>
      </c>
      <c r="BI342" s="204"/>
      <c r="BJ342" s="204"/>
      <c r="BK342" s="206"/>
    </row>
    <row r="343" spans="1:63" s="164" customFormat="1" ht="15.75" customHeight="1">
      <c r="A343" s="185"/>
      <c r="B343" s="183" t="s">
        <v>725</v>
      </c>
      <c r="C343" s="184"/>
      <c r="D343" s="184"/>
      <c r="E343" s="184"/>
      <c r="F343" s="184"/>
      <c r="G343" s="184"/>
      <c r="H343" s="184"/>
      <c r="I343" s="184"/>
      <c r="J343" s="184"/>
      <c r="K343" s="184"/>
      <c r="L343" s="193"/>
      <c r="M343" s="1005" t="s">
        <v>726</v>
      </c>
      <c r="N343" s="1005"/>
      <c r="O343" s="1005"/>
      <c r="P343" s="1005"/>
      <c r="Q343" s="1005"/>
      <c r="R343" s="1005"/>
      <c r="S343" s="1005"/>
      <c r="T343" s="1005"/>
      <c r="U343" s="1005"/>
      <c r="V343" s="1005"/>
      <c r="W343" s="1005"/>
      <c r="X343" s="1005"/>
      <c r="Y343" s="1005"/>
      <c r="Z343" s="1005"/>
      <c r="AA343" s="1005"/>
      <c r="AB343" s="1005"/>
      <c r="AC343" s="1005"/>
      <c r="AD343" s="1005"/>
      <c r="AE343" s="1005"/>
      <c r="AF343" s="1005"/>
      <c r="AG343" s="1005"/>
      <c r="AH343" s="1005"/>
      <c r="AI343" s="1005"/>
      <c r="AJ343" s="1005"/>
      <c r="AK343" s="1005"/>
      <c r="AL343" s="1005"/>
      <c r="AM343" s="1005"/>
      <c r="AN343" s="1005"/>
      <c r="AO343" s="1005"/>
      <c r="AP343" s="1005"/>
      <c r="AQ343" s="1005"/>
      <c r="AR343" s="1005"/>
      <c r="AS343" s="1005"/>
      <c r="AT343" s="1005"/>
      <c r="AU343" s="1005"/>
      <c r="AV343" s="1005"/>
      <c r="AW343" s="1005"/>
      <c r="AX343" s="1005"/>
      <c r="AY343" s="1005"/>
      <c r="AZ343" s="1005"/>
      <c r="BA343" s="1005"/>
      <c r="BB343" s="1005"/>
      <c r="BC343" s="1005"/>
      <c r="BD343" s="1005"/>
      <c r="BE343" s="204"/>
      <c r="BF343" s="205" t="s">
        <v>419</v>
      </c>
      <c r="BG343" s="204"/>
      <c r="BH343" s="204" t="s">
        <v>407</v>
      </c>
      <c r="BI343" s="204"/>
      <c r="BJ343" s="204"/>
      <c r="BK343" s="206"/>
    </row>
    <row r="344" spans="1:63" s="164" customFormat="1" ht="15.75" customHeight="1">
      <c r="A344" s="185"/>
      <c r="B344" s="183" t="s">
        <v>727</v>
      </c>
      <c r="C344" s="184"/>
      <c r="D344" s="184"/>
      <c r="E344" s="184"/>
      <c r="F344" s="184"/>
      <c r="G344" s="184"/>
      <c r="H344" s="184"/>
      <c r="I344" s="184"/>
      <c r="J344" s="184"/>
      <c r="K344" s="184"/>
      <c r="L344" s="193"/>
      <c r="M344" s="1001" t="s">
        <v>668</v>
      </c>
      <c r="N344" s="1002"/>
      <c r="O344" s="1002"/>
      <c r="P344" s="1002"/>
      <c r="Q344" s="1002"/>
      <c r="R344" s="1002"/>
      <c r="S344" s="1002"/>
      <c r="T344" s="1002"/>
      <c r="U344" s="1002"/>
      <c r="V344" s="1002"/>
      <c r="W344" s="1002"/>
      <c r="X344" s="1002"/>
      <c r="Y344" s="1002"/>
      <c r="Z344" s="1002"/>
      <c r="AA344" s="1002"/>
      <c r="AB344" s="1002"/>
      <c r="AC344" s="1002"/>
      <c r="AD344" s="1002"/>
      <c r="AE344" s="1002"/>
      <c r="AF344" s="1002"/>
      <c r="AG344" s="1002"/>
      <c r="AH344" s="1002"/>
      <c r="AI344" s="1002"/>
      <c r="AJ344" s="1002"/>
      <c r="AK344" s="1002"/>
      <c r="AL344" s="1002"/>
      <c r="AM344" s="1002"/>
      <c r="AN344" s="1002"/>
      <c r="AO344" s="1002"/>
      <c r="AP344" s="1002"/>
      <c r="AQ344" s="1002"/>
      <c r="AR344" s="1002"/>
      <c r="AS344" s="1002"/>
      <c r="AT344" s="1002"/>
      <c r="AU344" s="1002"/>
      <c r="AV344" s="1002"/>
      <c r="AW344" s="1002"/>
      <c r="AX344" s="1002"/>
      <c r="AY344" s="1002"/>
      <c r="AZ344" s="1002"/>
      <c r="BA344" s="1002"/>
      <c r="BB344" s="1002"/>
      <c r="BC344" s="1002"/>
      <c r="BD344" s="1002"/>
      <c r="BE344" s="204"/>
      <c r="BF344" s="205" t="s">
        <v>642</v>
      </c>
      <c r="BG344" s="204"/>
      <c r="BH344" s="204"/>
      <c r="BI344" s="204"/>
      <c r="BJ344" s="204"/>
      <c r="BK344" s="206"/>
    </row>
    <row r="345" spans="1:63" s="164" customFormat="1" ht="15.75" customHeight="1">
      <c r="A345" s="185"/>
      <c r="B345" s="183" t="s">
        <v>728</v>
      </c>
      <c r="C345" s="184"/>
      <c r="D345" s="184"/>
      <c r="E345" s="184"/>
      <c r="F345" s="184"/>
      <c r="G345" s="184"/>
      <c r="H345" s="184"/>
      <c r="I345" s="184"/>
      <c r="J345" s="184"/>
      <c r="K345" s="184"/>
      <c r="L345" s="193"/>
      <c r="M345" s="1003"/>
      <c r="N345" s="1002"/>
      <c r="O345" s="1002"/>
      <c r="P345" s="1002"/>
      <c r="Q345" s="1002"/>
      <c r="R345" s="1002"/>
      <c r="S345" s="1002"/>
      <c r="T345" s="1002"/>
      <c r="U345" s="1002"/>
      <c r="V345" s="1002"/>
      <c r="W345" s="1002"/>
      <c r="X345" s="1002"/>
      <c r="Y345" s="1002"/>
      <c r="Z345" s="1002"/>
      <c r="AA345" s="1002"/>
      <c r="AB345" s="1002"/>
      <c r="AC345" s="1002"/>
      <c r="AD345" s="1002"/>
      <c r="AE345" s="1002"/>
      <c r="AF345" s="1002"/>
      <c r="AG345" s="1002"/>
      <c r="AH345" s="1002"/>
      <c r="AI345" s="1002"/>
      <c r="AJ345" s="1002"/>
      <c r="AK345" s="1002"/>
      <c r="AL345" s="1002"/>
      <c r="AM345" s="1002"/>
      <c r="AN345" s="1002"/>
      <c r="AO345" s="1002"/>
      <c r="AP345" s="1002"/>
      <c r="AQ345" s="1002"/>
      <c r="AR345" s="1002"/>
      <c r="AS345" s="1002"/>
      <c r="AT345" s="1002"/>
      <c r="AU345" s="1002"/>
      <c r="AV345" s="1002"/>
      <c r="AW345" s="1002"/>
      <c r="AX345" s="1002"/>
      <c r="AY345" s="1002"/>
      <c r="AZ345" s="1002"/>
      <c r="BA345" s="1002"/>
      <c r="BB345" s="1002"/>
      <c r="BC345" s="1002"/>
      <c r="BD345" s="1002"/>
      <c r="BE345" s="204"/>
      <c r="BF345" s="205" t="s">
        <v>487</v>
      </c>
      <c r="BG345" s="204"/>
      <c r="BH345" s="204" t="s">
        <v>407</v>
      </c>
      <c r="BI345" s="204"/>
      <c r="BJ345" s="205" t="s">
        <v>409</v>
      </c>
      <c r="BK345" s="206"/>
    </row>
    <row r="346" spans="1:63" s="164" customFormat="1" ht="15.75" customHeight="1">
      <c r="A346" s="185"/>
      <c r="B346" s="183" t="s">
        <v>729</v>
      </c>
      <c r="C346" s="184"/>
      <c r="D346" s="184"/>
      <c r="E346" s="184"/>
      <c r="F346" s="184"/>
      <c r="G346" s="184"/>
      <c r="H346" s="184"/>
      <c r="I346" s="184"/>
      <c r="J346" s="184"/>
      <c r="K346" s="184"/>
      <c r="L346" s="193"/>
      <c r="M346" s="1003"/>
      <c r="N346" s="1002"/>
      <c r="O346" s="1002"/>
      <c r="P346" s="1002"/>
      <c r="Q346" s="1002"/>
      <c r="R346" s="1002"/>
      <c r="S346" s="1002"/>
      <c r="T346" s="1002"/>
      <c r="U346" s="1002"/>
      <c r="V346" s="1002"/>
      <c r="W346" s="1002"/>
      <c r="X346" s="1002"/>
      <c r="Y346" s="1002"/>
      <c r="Z346" s="1002"/>
      <c r="AA346" s="1002"/>
      <c r="AB346" s="1002"/>
      <c r="AC346" s="1002"/>
      <c r="AD346" s="1002"/>
      <c r="AE346" s="1002"/>
      <c r="AF346" s="1002"/>
      <c r="AG346" s="1002"/>
      <c r="AH346" s="1002"/>
      <c r="AI346" s="1002"/>
      <c r="AJ346" s="1002"/>
      <c r="AK346" s="1002"/>
      <c r="AL346" s="1002"/>
      <c r="AM346" s="1002"/>
      <c r="AN346" s="1002"/>
      <c r="AO346" s="1002"/>
      <c r="AP346" s="1002"/>
      <c r="AQ346" s="1002"/>
      <c r="AR346" s="1002"/>
      <c r="AS346" s="1002"/>
      <c r="AT346" s="1002"/>
      <c r="AU346" s="1002"/>
      <c r="AV346" s="1002"/>
      <c r="AW346" s="1002"/>
      <c r="AX346" s="1002"/>
      <c r="AY346" s="1002"/>
      <c r="AZ346" s="1002"/>
      <c r="BA346" s="1002"/>
      <c r="BB346" s="1002"/>
      <c r="BC346" s="1002"/>
      <c r="BD346" s="1002"/>
      <c r="BE346" s="204"/>
      <c r="BF346" s="205" t="s">
        <v>487</v>
      </c>
      <c r="BG346" s="204"/>
      <c r="BH346" s="204" t="s">
        <v>407</v>
      </c>
      <c r="BI346" s="204"/>
      <c r="BJ346" s="205" t="s">
        <v>409</v>
      </c>
      <c r="BK346" s="206"/>
    </row>
    <row r="347" spans="1:63" s="164" customFormat="1" ht="15.75" customHeight="1">
      <c r="A347" s="185"/>
      <c r="B347" s="183" t="s">
        <v>730</v>
      </c>
      <c r="C347" s="184"/>
      <c r="D347" s="184"/>
      <c r="E347" s="184"/>
      <c r="F347" s="184"/>
      <c r="G347" s="184"/>
      <c r="H347" s="184"/>
      <c r="I347" s="184"/>
      <c r="J347" s="184"/>
      <c r="K347" s="184"/>
      <c r="L347" s="193"/>
      <c r="M347" s="1003"/>
      <c r="N347" s="1002"/>
      <c r="O347" s="1002"/>
      <c r="P347" s="1002"/>
      <c r="Q347" s="1002"/>
      <c r="R347" s="1002"/>
      <c r="S347" s="1002"/>
      <c r="T347" s="1002"/>
      <c r="U347" s="1002"/>
      <c r="V347" s="1002"/>
      <c r="W347" s="1002"/>
      <c r="X347" s="1002"/>
      <c r="Y347" s="1002"/>
      <c r="Z347" s="1002"/>
      <c r="AA347" s="1002"/>
      <c r="AB347" s="1002"/>
      <c r="AC347" s="1002"/>
      <c r="AD347" s="1002"/>
      <c r="AE347" s="1002"/>
      <c r="AF347" s="1002"/>
      <c r="AG347" s="1002"/>
      <c r="AH347" s="1002"/>
      <c r="AI347" s="1002"/>
      <c r="AJ347" s="1002"/>
      <c r="AK347" s="1002"/>
      <c r="AL347" s="1002"/>
      <c r="AM347" s="1002"/>
      <c r="AN347" s="1002"/>
      <c r="AO347" s="1002"/>
      <c r="AP347" s="1002"/>
      <c r="AQ347" s="1002"/>
      <c r="AR347" s="1002"/>
      <c r="AS347" s="1002"/>
      <c r="AT347" s="1002"/>
      <c r="AU347" s="1002"/>
      <c r="AV347" s="1002"/>
      <c r="AW347" s="1002"/>
      <c r="AX347" s="1002"/>
      <c r="AY347" s="1002"/>
      <c r="AZ347" s="1002"/>
      <c r="BA347" s="1002"/>
      <c r="BB347" s="1002"/>
      <c r="BC347" s="1002"/>
      <c r="BD347" s="1002"/>
      <c r="BE347" s="204"/>
      <c r="BF347" s="205" t="s">
        <v>487</v>
      </c>
      <c r="BG347" s="204"/>
      <c r="BH347" s="204" t="s">
        <v>407</v>
      </c>
      <c r="BI347" s="204"/>
      <c r="BJ347" s="205" t="s">
        <v>409</v>
      </c>
      <c r="BK347" s="206"/>
    </row>
    <row r="348" spans="1:63" s="164" customFormat="1" ht="15.75" customHeight="1">
      <c r="A348" s="185"/>
      <c r="B348" s="183" t="s">
        <v>731</v>
      </c>
      <c r="C348" s="184"/>
      <c r="D348" s="184"/>
      <c r="E348" s="184"/>
      <c r="F348" s="184"/>
      <c r="G348" s="184"/>
      <c r="H348" s="184"/>
      <c r="I348" s="184"/>
      <c r="J348" s="184"/>
      <c r="K348" s="184"/>
      <c r="L348" s="193"/>
      <c r="M348" s="1003"/>
      <c r="N348" s="1002"/>
      <c r="O348" s="1002"/>
      <c r="P348" s="1002"/>
      <c r="Q348" s="1002"/>
      <c r="R348" s="1002"/>
      <c r="S348" s="1002"/>
      <c r="T348" s="1002"/>
      <c r="U348" s="1002"/>
      <c r="V348" s="1002"/>
      <c r="W348" s="1002"/>
      <c r="X348" s="1002"/>
      <c r="Y348" s="1002"/>
      <c r="Z348" s="1002"/>
      <c r="AA348" s="1002"/>
      <c r="AB348" s="1002"/>
      <c r="AC348" s="1002"/>
      <c r="AD348" s="1002"/>
      <c r="AE348" s="1002"/>
      <c r="AF348" s="1002"/>
      <c r="AG348" s="1002"/>
      <c r="AH348" s="1002"/>
      <c r="AI348" s="1002"/>
      <c r="AJ348" s="1002"/>
      <c r="AK348" s="1002"/>
      <c r="AL348" s="1002"/>
      <c r="AM348" s="1002"/>
      <c r="AN348" s="1002"/>
      <c r="AO348" s="1002"/>
      <c r="AP348" s="1002"/>
      <c r="AQ348" s="1002"/>
      <c r="AR348" s="1002"/>
      <c r="AS348" s="1002"/>
      <c r="AT348" s="1002"/>
      <c r="AU348" s="1002"/>
      <c r="AV348" s="1002"/>
      <c r="AW348" s="1002"/>
      <c r="AX348" s="1002"/>
      <c r="AY348" s="1002"/>
      <c r="AZ348" s="1002"/>
      <c r="BA348" s="1002"/>
      <c r="BB348" s="1002"/>
      <c r="BC348" s="1002"/>
      <c r="BD348" s="1002"/>
      <c r="BE348" s="204"/>
      <c r="BF348" s="205" t="s">
        <v>487</v>
      </c>
      <c r="BG348" s="204"/>
      <c r="BH348" s="204" t="s">
        <v>407</v>
      </c>
      <c r="BI348" s="204"/>
      <c r="BJ348" s="204"/>
      <c r="BK348" s="206"/>
    </row>
    <row r="349" spans="1:63" s="164" customFormat="1" ht="15.75" customHeight="1">
      <c r="A349" s="185"/>
      <c r="B349" s="183" t="s">
        <v>732</v>
      </c>
      <c r="C349" s="184"/>
      <c r="D349" s="184"/>
      <c r="E349" s="184"/>
      <c r="F349" s="184"/>
      <c r="G349" s="184"/>
      <c r="H349" s="184"/>
      <c r="I349" s="184"/>
      <c r="J349" s="184"/>
      <c r="K349" s="184"/>
      <c r="L349" s="193"/>
      <c r="M349" s="1003"/>
      <c r="N349" s="1002"/>
      <c r="O349" s="1002"/>
      <c r="P349" s="1002"/>
      <c r="Q349" s="1002"/>
      <c r="R349" s="1002"/>
      <c r="S349" s="1002"/>
      <c r="T349" s="1002"/>
      <c r="U349" s="1002"/>
      <c r="V349" s="1002"/>
      <c r="W349" s="1002"/>
      <c r="X349" s="1002"/>
      <c r="Y349" s="1002"/>
      <c r="Z349" s="1002"/>
      <c r="AA349" s="1002"/>
      <c r="AB349" s="1002"/>
      <c r="AC349" s="1002"/>
      <c r="AD349" s="1002"/>
      <c r="AE349" s="1002"/>
      <c r="AF349" s="1002"/>
      <c r="AG349" s="1002"/>
      <c r="AH349" s="1002"/>
      <c r="AI349" s="1002"/>
      <c r="AJ349" s="1002"/>
      <c r="AK349" s="1002"/>
      <c r="AL349" s="1002"/>
      <c r="AM349" s="1002"/>
      <c r="AN349" s="1002"/>
      <c r="AO349" s="1002"/>
      <c r="AP349" s="1002"/>
      <c r="AQ349" s="1002"/>
      <c r="AR349" s="1002"/>
      <c r="AS349" s="1002"/>
      <c r="AT349" s="1002"/>
      <c r="AU349" s="1002"/>
      <c r="AV349" s="1002"/>
      <c r="AW349" s="1002"/>
      <c r="AX349" s="1002"/>
      <c r="AY349" s="1002"/>
      <c r="AZ349" s="1002"/>
      <c r="BA349" s="1002"/>
      <c r="BB349" s="1002"/>
      <c r="BC349" s="1002"/>
      <c r="BD349" s="1002"/>
      <c r="BE349" s="204"/>
      <c r="BF349" s="205" t="s">
        <v>487</v>
      </c>
      <c r="BG349" s="204"/>
      <c r="BH349" s="204" t="s">
        <v>407</v>
      </c>
      <c r="BI349" s="204"/>
      <c r="BJ349" s="204"/>
      <c r="BK349" s="206"/>
    </row>
    <row r="350" spans="1:63" s="164" customFormat="1" ht="15.75" customHeight="1">
      <c r="A350" s="185"/>
      <c r="B350" s="183" t="s">
        <v>733</v>
      </c>
      <c r="C350" s="184"/>
      <c r="D350" s="184"/>
      <c r="E350" s="184"/>
      <c r="F350" s="184"/>
      <c r="G350" s="184"/>
      <c r="H350" s="184"/>
      <c r="I350" s="184"/>
      <c r="J350" s="184"/>
      <c r="K350" s="184"/>
      <c r="L350" s="193"/>
      <c r="M350" s="1003"/>
      <c r="N350" s="1002"/>
      <c r="O350" s="1002"/>
      <c r="P350" s="1002"/>
      <c r="Q350" s="1002"/>
      <c r="R350" s="1002"/>
      <c r="S350" s="1002"/>
      <c r="T350" s="1002"/>
      <c r="U350" s="1002"/>
      <c r="V350" s="1002"/>
      <c r="W350" s="1002"/>
      <c r="X350" s="1002"/>
      <c r="Y350" s="1002"/>
      <c r="Z350" s="1002"/>
      <c r="AA350" s="1002"/>
      <c r="AB350" s="1002"/>
      <c r="AC350" s="1002"/>
      <c r="AD350" s="1002"/>
      <c r="AE350" s="1002"/>
      <c r="AF350" s="1002"/>
      <c r="AG350" s="1002"/>
      <c r="AH350" s="1002"/>
      <c r="AI350" s="1002"/>
      <c r="AJ350" s="1002"/>
      <c r="AK350" s="1002"/>
      <c r="AL350" s="1002"/>
      <c r="AM350" s="1002"/>
      <c r="AN350" s="1002"/>
      <c r="AO350" s="1002"/>
      <c r="AP350" s="1002"/>
      <c r="AQ350" s="1002"/>
      <c r="AR350" s="1002"/>
      <c r="AS350" s="1002"/>
      <c r="AT350" s="1002"/>
      <c r="AU350" s="1002"/>
      <c r="AV350" s="1002"/>
      <c r="AW350" s="1002"/>
      <c r="AX350" s="1002"/>
      <c r="AY350" s="1002"/>
      <c r="AZ350" s="1002"/>
      <c r="BA350" s="1002"/>
      <c r="BB350" s="1002"/>
      <c r="BC350" s="1002"/>
      <c r="BD350" s="1002"/>
      <c r="BE350" s="204"/>
      <c r="BF350" s="205" t="s">
        <v>487</v>
      </c>
      <c r="BG350" s="204"/>
      <c r="BH350" s="204" t="s">
        <v>407</v>
      </c>
      <c r="BI350" s="204"/>
      <c r="BJ350" s="205" t="s">
        <v>409</v>
      </c>
      <c r="BK350" s="206"/>
    </row>
    <row r="351" spans="1:63" s="164" customFormat="1" ht="15.75" customHeight="1">
      <c r="A351" s="185"/>
      <c r="B351" s="183" t="s">
        <v>734</v>
      </c>
      <c r="C351" s="184"/>
      <c r="D351" s="184"/>
      <c r="E351" s="184"/>
      <c r="F351" s="184"/>
      <c r="G351" s="184"/>
      <c r="H351" s="184"/>
      <c r="I351" s="184"/>
      <c r="J351" s="184"/>
      <c r="K351" s="184"/>
      <c r="L351" s="193"/>
      <c r="M351" s="1003"/>
      <c r="N351" s="1002"/>
      <c r="O351" s="1002"/>
      <c r="P351" s="1002"/>
      <c r="Q351" s="1002"/>
      <c r="R351" s="1002"/>
      <c r="S351" s="1002"/>
      <c r="T351" s="1002"/>
      <c r="U351" s="1002"/>
      <c r="V351" s="1002"/>
      <c r="W351" s="1002"/>
      <c r="X351" s="1002"/>
      <c r="Y351" s="1002"/>
      <c r="Z351" s="1002"/>
      <c r="AA351" s="1002"/>
      <c r="AB351" s="1002"/>
      <c r="AC351" s="1002"/>
      <c r="AD351" s="1002"/>
      <c r="AE351" s="1002"/>
      <c r="AF351" s="1002"/>
      <c r="AG351" s="1002"/>
      <c r="AH351" s="1002"/>
      <c r="AI351" s="1002"/>
      <c r="AJ351" s="1002"/>
      <c r="AK351" s="1002"/>
      <c r="AL351" s="1002"/>
      <c r="AM351" s="1002"/>
      <c r="AN351" s="1002"/>
      <c r="AO351" s="1002"/>
      <c r="AP351" s="1002"/>
      <c r="AQ351" s="1002"/>
      <c r="AR351" s="1002"/>
      <c r="AS351" s="1002"/>
      <c r="AT351" s="1002"/>
      <c r="AU351" s="1002"/>
      <c r="AV351" s="1002"/>
      <c r="AW351" s="1002"/>
      <c r="AX351" s="1002"/>
      <c r="AY351" s="1002"/>
      <c r="AZ351" s="1002"/>
      <c r="BA351" s="1002"/>
      <c r="BB351" s="1002"/>
      <c r="BC351" s="1002"/>
      <c r="BD351" s="1002"/>
      <c r="BE351" s="204"/>
      <c r="BF351" s="205" t="s">
        <v>487</v>
      </c>
      <c r="BG351" s="204"/>
      <c r="BH351" s="204" t="s">
        <v>407</v>
      </c>
      <c r="BI351" s="204"/>
      <c r="BJ351" s="205" t="s">
        <v>409</v>
      </c>
      <c r="BK351" s="206"/>
    </row>
    <row r="352" spans="1:63" s="164" customFormat="1" ht="15.75" customHeight="1">
      <c r="A352" s="185"/>
      <c r="B352" s="183" t="s">
        <v>735</v>
      </c>
      <c r="C352" s="184"/>
      <c r="D352" s="184"/>
      <c r="E352" s="184"/>
      <c r="F352" s="184"/>
      <c r="G352" s="184"/>
      <c r="H352" s="184"/>
      <c r="I352" s="184"/>
      <c r="J352" s="184"/>
      <c r="K352" s="184"/>
      <c r="L352" s="193"/>
      <c r="M352" s="1003"/>
      <c r="N352" s="1002"/>
      <c r="O352" s="1002"/>
      <c r="P352" s="1002"/>
      <c r="Q352" s="1002"/>
      <c r="R352" s="1002"/>
      <c r="S352" s="1002"/>
      <c r="T352" s="1002"/>
      <c r="U352" s="1002"/>
      <c r="V352" s="1002"/>
      <c r="W352" s="1002"/>
      <c r="X352" s="1002"/>
      <c r="Y352" s="1002"/>
      <c r="Z352" s="1002"/>
      <c r="AA352" s="1002"/>
      <c r="AB352" s="1002"/>
      <c r="AC352" s="1002"/>
      <c r="AD352" s="1002"/>
      <c r="AE352" s="1002"/>
      <c r="AF352" s="1002"/>
      <c r="AG352" s="1002"/>
      <c r="AH352" s="1002"/>
      <c r="AI352" s="1002"/>
      <c r="AJ352" s="1002"/>
      <c r="AK352" s="1002"/>
      <c r="AL352" s="1002"/>
      <c r="AM352" s="1002"/>
      <c r="AN352" s="1002"/>
      <c r="AO352" s="1002"/>
      <c r="AP352" s="1002"/>
      <c r="AQ352" s="1002"/>
      <c r="AR352" s="1002"/>
      <c r="AS352" s="1002"/>
      <c r="AT352" s="1002"/>
      <c r="AU352" s="1002"/>
      <c r="AV352" s="1002"/>
      <c r="AW352" s="1002"/>
      <c r="AX352" s="1002"/>
      <c r="AY352" s="1002"/>
      <c r="AZ352" s="1002"/>
      <c r="BA352" s="1002"/>
      <c r="BB352" s="1002"/>
      <c r="BC352" s="1002"/>
      <c r="BD352" s="1002"/>
      <c r="BE352" s="204"/>
      <c r="BF352" s="205" t="s">
        <v>487</v>
      </c>
      <c r="BG352" s="204"/>
      <c r="BH352" s="204" t="s">
        <v>407</v>
      </c>
      <c r="BI352" s="204"/>
      <c r="BJ352" s="204"/>
      <c r="BK352" s="206"/>
    </row>
    <row r="353" spans="1:63" s="167" customFormat="1" ht="15.75" customHeight="1">
      <c r="A353" s="230"/>
      <c r="B353" s="231" t="s">
        <v>736</v>
      </c>
      <c r="C353" s="232"/>
      <c r="D353" s="232"/>
      <c r="E353" s="232"/>
      <c r="F353" s="232"/>
      <c r="G353" s="232"/>
      <c r="H353" s="232"/>
      <c r="I353" s="232"/>
      <c r="J353" s="232"/>
      <c r="K353" s="232"/>
      <c r="L353" s="234"/>
      <c r="M353" s="1012"/>
      <c r="N353" s="1002"/>
      <c r="O353" s="1002"/>
      <c r="P353" s="1002"/>
      <c r="Q353" s="1002"/>
      <c r="R353" s="1002"/>
      <c r="S353" s="1002"/>
      <c r="T353" s="1002"/>
      <c r="U353" s="1002"/>
      <c r="V353" s="1002"/>
      <c r="W353" s="1002"/>
      <c r="X353" s="1002"/>
      <c r="Y353" s="1002"/>
      <c r="Z353" s="1002"/>
      <c r="AA353" s="1002"/>
      <c r="AB353" s="1002"/>
      <c r="AC353" s="1002"/>
      <c r="AD353" s="1002"/>
      <c r="AE353" s="1002"/>
      <c r="AF353" s="1002"/>
      <c r="AG353" s="1002"/>
      <c r="AH353" s="1002"/>
      <c r="AI353" s="1002"/>
      <c r="AJ353" s="1002"/>
      <c r="AK353" s="1002"/>
      <c r="AL353" s="1002"/>
      <c r="AM353" s="1002"/>
      <c r="AN353" s="1002"/>
      <c r="AO353" s="1002"/>
      <c r="AP353" s="1002"/>
      <c r="AQ353" s="1002"/>
      <c r="AR353" s="1002"/>
      <c r="AS353" s="1002"/>
      <c r="AT353" s="1002"/>
      <c r="AU353" s="1002"/>
      <c r="AV353" s="1002"/>
      <c r="AW353" s="1002"/>
      <c r="AX353" s="1002"/>
      <c r="AY353" s="1002"/>
      <c r="AZ353" s="1002"/>
      <c r="BA353" s="1002"/>
      <c r="BB353" s="1002"/>
      <c r="BC353" s="1002"/>
      <c r="BD353" s="1002"/>
      <c r="BE353" s="236"/>
      <c r="BF353" s="237" t="s">
        <v>487</v>
      </c>
      <c r="BG353" s="236"/>
      <c r="BH353" s="236" t="s">
        <v>407</v>
      </c>
      <c r="BI353" s="236"/>
      <c r="BJ353" s="237" t="s">
        <v>409</v>
      </c>
      <c r="BK353" s="238"/>
    </row>
    <row r="354" spans="1:63" s="167" customFormat="1" ht="15.75" customHeight="1">
      <c r="A354" s="230"/>
      <c r="B354" s="233" t="s">
        <v>737</v>
      </c>
      <c r="C354" s="232"/>
      <c r="D354" s="232"/>
      <c r="E354" s="232"/>
      <c r="F354" s="232"/>
      <c r="G354" s="232"/>
      <c r="H354" s="232"/>
      <c r="I354" s="232"/>
      <c r="J354" s="232"/>
      <c r="K354" s="232"/>
      <c r="L354" s="234"/>
      <c r="M354" s="235"/>
      <c r="N354" s="194"/>
      <c r="O354" s="194"/>
      <c r="P354" s="194"/>
      <c r="Q354" s="194"/>
      <c r="R354" s="194"/>
      <c r="S354" s="194"/>
      <c r="T354" s="194"/>
      <c r="U354" s="194"/>
      <c r="V354" s="194"/>
      <c r="W354" s="194"/>
      <c r="X354" s="194"/>
      <c r="Y354" s="194"/>
      <c r="Z354" s="194"/>
      <c r="AA354" s="194"/>
      <c r="AB354" s="194"/>
      <c r="AC354" s="194"/>
      <c r="AD354" s="194"/>
      <c r="AE354" s="194"/>
      <c r="AF354" s="194"/>
      <c r="AG354" s="194"/>
      <c r="AH354" s="194"/>
      <c r="AI354" s="194"/>
      <c r="AJ354" s="194"/>
      <c r="AK354" s="194"/>
      <c r="AL354" s="194"/>
      <c r="AM354" s="194"/>
      <c r="AN354" s="194"/>
      <c r="AO354" s="194"/>
      <c r="AP354" s="194"/>
      <c r="AQ354" s="194"/>
      <c r="AR354" s="194"/>
      <c r="AS354" s="194"/>
      <c r="AT354" s="194"/>
      <c r="AU354" s="194"/>
      <c r="AV354" s="194"/>
      <c r="AW354" s="194"/>
      <c r="AX354" s="194"/>
      <c r="AY354" s="194"/>
      <c r="AZ354" s="194"/>
      <c r="BA354" s="194"/>
      <c r="BB354" s="194"/>
      <c r="BC354" s="194"/>
      <c r="BD354" s="194"/>
      <c r="BE354" s="236"/>
      <c r="BF354" s="237" t="s">
        <v>487</v>
      </c>
      <c r="BG354" s="236"/>
      <c r="BH354" s="236" t="s">
        <v>407</v>
      </c>
      <c r="BI354" s="236"/>
      <c r="BJ354" s="237" t="s">
        <v>409</v>
      </c>
      <c r="BK354" s="238"/>
    </row>
    <row r="355" spans="1:63" s="167" customFormat="1" ht="15.75" customHeight="1">
      <c r="A355" s="230"/>
      <c r="B355" s="233" t="s">
        <v>738</v>
      </c>
      <c r="C355" s="232"/>
      <c r="D355" s="232"/>
      <c r="E355" s="232"/>
      <c r="F355" s="232"/>
      <c r="G355" s="232"/>
      <c r="H355" s="232"/>
      <c r="I355" s="232"/>
      <c r="J355" s="232"/>
      <c r="K355" s="232"/>
      <c r="L355" s="234"/>
      <c r="M355" s="235"/>
      <c r="N355" s="194"/>
      <c r="O355" s="194"/>
      <c r="P355" s="194"/>
      <c r="Q355" s="194"/>
      <c r="R355" s="194"/>
      <c r="S355" s="194"/>
      <c r="T355" s="194"/>
      <c r="U355" s="194"/>
      <c r="V355" s="194"/>
      <c r="W355" s="194"/>
      <c r="X355" s="194"/>
      <c r="Y355" s="194"/>
      <c r="Z355" s="194"/>
      <c r="AA355" s="194"/>
      <c r="AB355" s="194"/>
      <c r="AC355" s="194"/>
      <c r="AD355" s="194"/>
      <c r="AE355" s="194"/>
      <c r="AF355" s="194"/>
      <c r="AG355" s="194"/>
      <c r="AH355" s="194"/>
      <c r="AI355" s="194"/>
      <c r="AJ355" s="194"/>
      <c r="AK355" s="194"/>
      <c r="AL355" s="194"/>
      <c r="AM355" s="194"/>
      <c r="AN355" s="194"/>
      <c r="AO355" s="194"/>
      <c r="AP355" s="194"/>
      <c r="AQ355" s="194"/>
      <c r="AR355" s="194"/>
      <c r="AS355" s="194"/>
      <c r="AT355" s="194"/>
      <c r="AU355" s="194"/>
      <c r="AV355" s="194"/>
      <c r="AW355" s="194"/>
      <c r="AX355" s="194"/>
      <c r="AY355" s="194"/>
      <c r="AZ355" s="194"/>
      <c r="BA355" s="194"/>
      <c r="BB355" s="194"/>
      <c r="BC355" s="194"/>
      <c r="BD355" s="194"/>
      <c r="BE355" s="236"/>
      <c r="BF355" s="237" t="s">
        <v>487</v>
      </c>
      <c r="BG355" s="236"/>
      <c r="BH355" s="236" t="s">
        <v>407</v>
      </c>
      <c r="BI355" s="236"/>
      <c r="BJ355" s="237" t="s">
        <v>409</v>
      </c>
      <c r="BK355" s="238"/>
    </row>
    <row r="356" spans="1:63" s="164" customFormat="1" ht="15.75" customHeight="1">
      <c r="A356" s="185"/>
      <c r="B356" s="183" t="s">
        <v>739</v>
      </c>
      <c r="C356" s="184"/>
      <c r="D356" s="184"/>
      <c r="E356" s="184"/>
      <c r="F356" s="184"/>
      <c r="G356" s="184"/>
      <c r="H356" s="184"/>
      <c r="I356" s="184"/>
      <c r="J356" s="184"/>
      <c r="K356" s="184"/>
      <c r="L356" s="193"/>
      <c r="M356" s="1003"/>
      <c r="N356" s="1002"/>
      <c r="O356" s="1002"/>
      <c r="P356" s="1002"/>
      <c r="Q356" s="1002"/>
      <c r="R356" s="1002"/>
      <c r="S356" s="1002"/>
      <c r="T356" s="1002"/>
      <c r="U356" s="1002"/>
      <c r="V356" s="1002"/>
      <c r="W356" s="1002"/>
      <c r="X356" s="1002"/>
      <c r="Y356" s="1002"/>
      <c r="Z356" s="1002"/>
      <c r="AA356" s="1002"/>
      <c r="AB356" s="1002"/>
      <c r="AC356" s="1002"/>
      <c r="AD356" s="1002"/>
      <c r="AE356" s="1002"/>
      <c r="AF356" s="1002"/>
      <c r="AG356" s="1002"/>
      <c r="AH356" s="1002"/>
      <c r="AI356" s="1002"/>
      <c r="AJ356" s="1002"/>
      <c r="AK356" s="1002"/>
      <c r="AL356" s="1002"/>
      <c r="AM356" s="1002"/>
      <c r="AN356" s="1002"/>
      <c r="AO356" s="1002"/>
      <c r="AP356" s="1002"/>
      <c r="AQ356" s="1002"/>
      <c r="AR356" s="1002"/>
      <c r="AS356" s="1002"/>
      <c r="AT356" s="1002"/>
      <c r="AU356" s="1002"/>
      <c r="AV356" s="1002"/>
      <c r="AW356" s="1002"/>
      <c r="AX356" s="1002"/>
      <c r="AY356" s="1002"/>
      <c r="AZ356" s="1002"/>
      <c r="BA356" s="1002"/>
      <c r="BB356" s="1002"/>
      <c r="BC356" s="1002"/>
      <c r="BD356" s="1002"/>
      <c r="BE356" s="204"/>
      <c r="BF356" s="205" t="s">
        <v>487</v>
      </c>
      <c r="BG356" s="204"/>
      <c r="BH356" s="204" t="s">
        <v>407</v>
      </c>
      <c r="BI356" s="204"/>
      <c r="BJ356" s="204"/>
      <c r="BK356" s="206"/>
    </row>
    <row r="357" spans="1:63" s="164" customFormat="1" ht="15.75" customHeight="1">
      <c r="A357" s="185"/>
      <c r="B357" s="183" t="s">
        <v>740</v>
      </c>
      <c r="C357" s="184"/>
      <c r="D357" s="184"/>
      <c r="E357" s="184"/>
      <c r="F357" s="184"/>
      <c r="G357" s="184"/>
      <c r="H357" s="184"/>
      <c r="I357" s="184"/>
      <c r="J357" s="184"/>
      <c r="K357" s="184"/>
      <c r="L357" s="193"/>
      <c r="M357" s="1003"/>
      <c r="N357" s="1002"/>
      <c r="O357" s="1002"/>
      <c r="P357" s="1002"/>
      <c r="Q357" s="1002"/>
      <c r="R357" s="1002"/>
      <c r="S357" s="1002"/>
      <c r="T357" s="1002"/>
      <c r="U357" s="1002"/>
      <c r="V357" s="1002"/>
      <c r="W357" s="1002"/>
      <c r="X357" s="1002"/>
      <c r="Y357" s="1002"/>
      <c r="Z357" s="1002"/>
      <c r="AA357" s="1002"/>
      <c r="AB357" s="1002"/>
      <c r="AC357" s="1002"/>
      <c r="AD357" s="1002"/>
      <c r="AE357" s="1002"/>
      <c r="AF357" s="1002"/>
      <c r="AG357" s="1002"/>
      <c r="AH357" s="1002"/>
      <c r="AI357" s="1002"/>
      <c r="AJ357" s="1002"/>
      <c r="AK357" s="1002"/>
      <c r="AL357" s="1002"/>
      <c r="AM357" s="1002"/>
      <c r="AN357" s="1002"/>
      <c r="AO357" s="1002"/>
      <c r="AP357" s="1002"/>
      <c r="AQ357" s="1002"/>
      <c r="AR357" s="1002"/>
      <c r="AS357" s="1002"/>
      <c r="AT357" s="1002"/>
      <c r="AU357" s="1002"/>
      <c r="AV357" s="1002"/>
      <c r="AW357" s="1002"/>
      <c r="AX357" s="1002"/>
      <c r="AY357" s="1002"/>
      <c r="AZ357" s="1002"/>
      <c r="BA357" s="1002"/>
      <c r="BB357" s="1002"/>
      <c r="BC357" s="1002"/>
      <c r="BD357" s="1002"/>
      <c r="BE357" s="204"/>
      <c r="BF357" s="205" t="s">
        <v>487</v>
      </c>
      <c r="BG357" s="204"/>
      <c r="BH357" s="204" t="s">
        <v>407</v>
      </c>
      <c r="BI357" s="204"/>
      <c r="BJ357" s="204"/>
      <c r="BK357" s="206"/>
    </row>
    <row r="358" spans="1:63" s="164" customFormat="1" ht="15.75" customHeight="1">
      <c r="A358" s="185"/>
      <c r="B358" s="183" t="s">
        <v>725</v>
      </c>
      <c r="C358" s="184"/>
      <c r="D358" s="184"/>
      <c r="E358" s="184"/>
      <c r="F358" s="184"/>
      <c r="G358" s="184"/>
      <c r="H358" s="184"/>
      <c r="I358" s="184"/>
      <c r="J358" s="184"/>
      <c r="K358" s="184"/>
      <c r="L358" s="193"/>
      <c r="M358" s="1005" t="s">
        <v>741</v>
      </c>
      <c r="N358" s="1005"/>
      <c r="O358" s="1005"/>
      <c r="P358" s="1005"/>
      <c r="Q358" s="1005"/>
      <c r="R358" s="1005"/>
      <c r="S358" s="1005"/>
      <c r="T358" s="1005"/>
      <c r="U358" s="1005"/>
      <c r="V358" s="1005"/>
      <c r="W358" s="1005"/>
      <c r="X358" s="1005"/>
      <c r="Y358" s="1005"/>
      <c r="Z358" s="1005"/>
      <c r="AA358" s="1005"/>
      <c r="AB358" s="1005"/>
      <c r="AC358" s="1005"/>
      <c r="AD358" s="1005"/>
      <c r="AE358" s="1005"/>
      <c r="AF358" s="1005"/>
      <c r="AG358" s="1005"/>
      <c r="AH358" s="1005"/>
      <c r="AI358" s="1005"/>
      <c r="AJ358" s="1005"/>
      <c r="AK358" s="1005"/>
      <c r="AL358" s="1005"/>
      <c r="AM358" s="1005"/>
      <c r="AN358" s="1005"/>
      <c r="AO358" s="1005"/>
      <c r="AP358" s="1005"/>
      <c r="AQ358" s="1005"/>
      <c r="AR358" s="1005"/>
      <c r="AS358" s="1005"/>
      <c r="AT358" s="1005"/>
      <c r="AU358" s="1005"/>
      <c r="AV358" s="1005"/>
      <c r="AW358" s="1005"/>
      <c r="AX358" s="1005"/>
      <c r="AY358" s="1005"/>
      <c r="AZ358" s="1005"/>
      <c r="BA358" s="1005"/>
      <c r="BB358" s="1005"/>
      <c r="BC358" s="1005"/>
      <c r="BD358" s="1005"/>
      <c r="BE358" s="204"/>
      <c r="BF358" s="205" t="s">
        <v>419</v>
      </c>
      <c r="BG358" s="204"/>
      <c r="BH358" s="204" t="s">
        <v>407</v>
      </c>
      <c r="BI358" s="204"/>
      <c r="BJ358" s="205"/>
      <c r="BK358" s="206"/>
    </row>
    <row r="359" spans="1:63" s="164" customFormat="1" ht="15.75" customHeight="1">
      <c r="A359" s="185"/>
      <c r="B359" s="183" t="s">
        <v>742</v>
      </c>
      <c r="C359" s="184"/>
      <c r="D359" s="184"/>
      <c r="E359" s="184"/>
      <c r="F359" s="184"/>
      <c r="G359" s="184"/>
      <c r="H359" s="184"/>
      <c r="I359" s="184"/>
      <c r="J359" s="184"/>
      <c r="K359" s="184"/>
      <c r="L359" s="193"/>
      <c r="M359" s="1001" t="s">
        <v>668</v>
      </c>
      <c r="N359" s="1002"/>
      <c r="O359" s="1002"/>
      <c r="P359" s="1002"/>
      <c r="Q359" s="1002"/>
      <c r="R359" s="1002"/>
      <c r="S359" s="1002"/>
      <c r="T359" s="1002"/>
      <c r="U359" s="1002"/>
      <c r="V359" s="1002"/>
      <c r="W359" s="1002"/>
      <c r="X359" s="1002"/>
      <c r="Y359" s="1002"/>
      <c r="Z359" s="1002"/>
      <c r="AA359" s="1002"/>
      <c r="AB359" s="1002"/>
      <c r="AC359" s="1002"/>
      <c r="AD359" s="1002"/>
      <c r="AE359" s="1002"/>
      <c r="AF359" s="1002"/>
      <c r="AG359" s="1002"/>
      <c r="AH359" s="1002"/>
      <c r="AI359" s="1002"/>
      <c r="AJ359" s="1002"/>
      <c r="AK359" s="1002"/>
      <c r="AL359" s="1002"/>
      <c r="AM359" s="1002"/>
      <c r="AN359" s="1002"/>
      <c r="AO359" s="1002"/>
      <c r="AP359" s="1002"/>
      <c r="AQ359" s="1002"/>
      <c r="AR359" s="1002"/>
      <c r="AS359" s="1002"/>
      <c r="AT359" s="1002"/>
      <c r="AU359" s="1002"/>
      <c r="AV359" s="1002"/>
      <c r="AW359" s="1002"/>
      <c r="AX359" s="1002"/>
      <c r="AY359" s="1002"/>
      <c r="AZ359" s="1002"/>
      <c r="BA359" s="1002"/>
      <c r="BB359" s="1002"/>
      <c r="BC359" s="1002"/>
      <c r="BD359" s="1002"/>
      <c r="BE359" s="204"/>
      <c r="BF359" s="205" t="s">
        <v>642</v>
      </c>
      <c r="BG359" s="204"/>
      <c r="BH359" s="204"/>
      <c r="BI359" s="204"/>
      <c r="BJ359" s="204"/>
      <c r="BK359" s="206"/>
    </row>
    <row r="360" spans="1:63" s="164" customFormat="1" ht="15.75" customHeight="1">
      <c r="A360" s="185"/>
      <c r="B360" s="183" t="s">
        <v>743</v>
      </c>
      <c r="C360" s="184"/>
      <c r="D360" s="184"/>
      <c r="E360" s="184"/>
      <c r="F360" s="184"/>
      <c r="G360" s="184"/>
      <c r="H360" s="184"/>
      <c r="I360" s="184"/>
      <c r="J360" s="184"/>
      <c r="K360" s="184"/>
      <c r="L360" s="193"/>
      <c r="M360" s="1003"/>
      <c r="N360" s="1002"/>
      <c r="O360" s="1002"/>
      <c r="P360" s="1002"/>
      <c r="Q360" s="1002"/>
      <c r="R360" s="1002"/>
      <c r="S360" s="1002"/>
      <c r="T360" s="1002"/>
      <c r="U360" s="1002"/>
      <c r="V360" s="1002"/>
      <c r="W360" s="1002"/>
      <c r="X360" s="1002"/>
      <c r="Y360" s="1002"/>
      <c r="Z360" s="1002"/>
      <c r="AA360" s="1002"/>
      <c r="AB360" s="1002"/>
      <c r="AC360" s="1002"/>
      <c r="AD360" s="1002"/>
      <c r="AE360" s="1002"/>
      <c r="AF360" s="1002"/>
      <c r="AG360" s="1002"/>
      <c r="AH360" s="1002"/>
      <c r="AI360" s="1002"/>
      <c r="AJ360" s="1002"/>
      <c r="AK360" s="1002"/>
      <c r="AL360" s="1002"/>
      <c r="AM360" s="1002"/>
      <c r="AN360" s="1002"/>
      <c r="AO360" s="1002"/>
      <c r="AP360" s="1002"/>
      <c r="AQ360" s="1002"/>
      <c r="AR360" s="1002"/>
      <c r="AS360" s="1002"/>
      <c r="AT360" s="1002"/>
      <c r="AU360" s="1002"/>
      <c r="AV360" s="1002"/>
      <c r="AW360" s="1002"/>
      <c r="AX360" s="1002"/>
      <c r="AY360" s="1002"/>
      <c r="AZ360" s="1002"/>
      <c r="BA360" s="1002"/>
      <c r="BB360" s="1002"/>
      <c r="BC360" s="1002"/>
      <c r="BD360" s="1002"/>
      <c r="BE360" s="204"/>
      <c r="BF360" s="205" t="s">
        <v>487</v>
      </c>
      <c r="BG360" s="204"/>
      <c r="BH360" s="204" t="s">
        <v>407</v>
      </c>
      <c r="BI360" s="204"/>
      <c r="BJ360" s="205" t="s">
        <v>409</v>
      </c>
      <c r="BK360" s="206"/>
    </row>
    <row r="361" spans="1:63" s="164" customFormat="1" ht="15.75" customHeight="1">
      <c r="A361" s="185"/>
      <c r="B361" s="183" t="s">
        <v>744</v>
      </c>
      <c r="C361" s="184"/>
      <c r="D361" s="184"/>
      <c r="E361" s="184"/>
      <c r="F361" s="184"/>
      <c r="G361" s="184"/>
      <c r="H361" s="184"/>
      <c r="I361" s="184"/>
      <c r="J361" s="184"/>
      <c r="K361" s="184"/>
      <c r="L361" s="193"/>
      <c r="M361" s="1003"/>
      <c r="N361" s="1002"/>
      <c r="O361" s="1002"/>
      <c r="P361" s="1002"/>
      <c r="Q361" s="1002"/>
      <c r="R361" s="1002"/>
      <c r="S361" s="1002"/>
      <c r="T361" s="1002"/>
      <c r="U361" s="1002"/>
      <c r="V361" s="1002"/>
      <c r="W361" s="1002"/>
      <c r="X361" s="1002"/>
      <c r="Y361" s="1002"/>
      <c r="Z361" s="1002"/>
      <c r="AA361" s="1002"/>
      <c r="AB361" s="1002"/>
      <c r="AC361" s="1002"/>
      <c r="AD361" s="1002"/>
      <c r="AE361" s="1002"/>
      <c r="AF361" s="1002"/>
      <c r="AG361" s="1002"/>
      <c r="AH361" s="1002"/>
      <c r="AI361" s="1002"/>
      <c r="AJ361" s="1002"/>
      <c r="AK361" s="1002"/>
      <c r="AL361" s="1002"/>
      <c r="AM361" s="1002"/>
      <c r="AN361" s="1002"/>
      <c r="AO361" s="1002"/>
      <c r="AP361" s="1002"/>
      <c r="AQ361" s="1002"/>
      <c r="AR361" s="1002"/>
      <c r="AS361" s="1002"/>
      <c r="AT361" s="1002"/>
      <c r="AU361" s="1002"/>
      <c r="AV361" s="1002"/>
      <c r="AW361" s="1002"/>
      <c r="AX361" s="1002"/>
      <c r="AY361" s="1002"/>
      <c r="AZ361" s="1002"/>
      <c r="BA361" s="1002"/>
      <c r="BB361" s="1002"/>
      <c r="BC361" s="1002"/>
      <c r="BD361" s="1002"/>
      <c r="BE361" s="204"/>
      <c r="BF361" s="205" t="s">
        <v>487</v>
      </c>
      <c r="BG361" s="204"/>
      <c r="BH361" s="204" t="s">
        <v>407</v>
      </c>
      <c r="BI361" s="204"/>
      <c r="BJ361" s="205" t="s">
        <v>409</v>
      </c>
      <c r="BK361" s="206"/>
    </row>
    <row r="362" spans="1:63" s="164" customFormat="1" ht="15.75" customHeight="1">
      <c r="A362" s="185"/>
      <c r="B362" s="183" t="s">
        <v>745</v>
      </c>
      <c r="C362" s="184"/>
      <c r="D362" s="184"/>
      <c r="E362" s="184"/>
      <c r="F362" s="184"/>
      <c r="G362" s="184"/>
      <c r="H362" s="184"/>
      <c r="I362" s="184"/>
      <c r="J362" s="184"/>
      <c r="K362" s="184"/>
      <c r="L362" s="193"/>
      <c r="M362" s="1003"/>
      <c r="N362" s="1002"/>
      <c r="O362" s="1002"/>
      <c r="P362" s="1002"/>
      <c r="Q362" s="1002"/>
      <c r="R362" s="1002"/>
      <c r="S362" s="1002"/>
      <c r="T362" s="1002"/>
      <c r="U362" s="1002"/>
      <c r="V362" s="1002"/>
      <c r="W362" s="1002"/>
      <c r="X362" s="1002"/>
      <c r="Y362" s="1002"/>
      <c r="Z362" s="1002"/>
      <c r="AA362" s="1002"/>
      <c r="AB362" s="1002"/>
      <c r="AC362" s="1002"/>
      <c r="AD362" s="1002"/>
      <c r="AE362" s="1002"/>
      <c r="AF362" s="1002"/>
      <c r="AG362" s="1002"/>
      <c r="AH362" s="1002"/>
      <c r="AI362" s="1002"/>
      <c r="AJ362" s="1002"/>
      <c r="AK362" s="1002"/>
      <c r="AL362" s="1002"/>
      <c r="AM362" s="1002"/>
      <c r="AN362" s="1002"/>
      <c r="AO362" s="1002"/>
      <c r="AP362" s="1002"/>
      <c r="AQ362" s="1002"/>
      <c r="AR362" s="1002"/>
      <c r="AS362" s="1002"/>
      <c r="AT362" s="1002"/>
      <c r="AU362" s="1002"/>
      <c r="AV362" s="1002"/>
      <c r="AW362" s="1002"/>
      <c r="AX362" s="1002"/>
      <c r="AY362" s="1002"/>
      <c r="AZ362" s="1002"/>
      <c r="BA362" s="1002"/>
      <c r="BB362" s="1002"/>
      <c r="BC362" s="1002"/>
      <c r="BD362" s="1002"/>
      <c r="BE362" s="204"/>
      <c r="BF362" s="205" t="s">
        <v>487</v>
      </c>
      <c r="BG362" s="204"/>
      <c r="BH362" s="204" t="s">
        <v>407</v>
      </c>
      <c r="BI362" s="204"/>
      <c r="BJ362" s="205" t="s">
        <v>409</v>
      </c>
      <c r="BK362" s="206"/>
    </row>
    <row r="363" spans="1:63" s="164" customFormat="1" ht="15.75" customHeight="1">
      <c r="A363" s="185"/>
      <c r="B363" s="183" t="s">
        <v>746</v>
      </c>
      <c r="C363" s="184"/>
      <c r="D363" s="184"/>
      <c r="E363" s="184"/>
      <c r="F363" s="184"/>
      <c r="G363" s="184"/>
      <c r="H363" s="184"/>
      <c r="I363" s="184"/>
      <c r="J363" s="184"/>
      <c r="K363" s="184"/>
      <c r="L363" s="193"/>
      <c r="M363" s="1003"/>
      <c r="N363" s="1002"/>
      <c r="O363" s="1002"/>
      <c r="P363" s="1002"/>
      <c r="Q363" s="1002"/>
      <c r="R363" s="1002"/>
      <c r="S363" s="1002"/>
      <c r="T363" s="1002"/>
      <c r="U363" s="1002"/>
      <c r="V363" s="1002"/>
      <c r="W363" s="1002"/>
      <c r="X363" s="1002"/>
      <c r="Y363" s="1002"/>
      <c r="Z363" s="1002"/>
      <c r="AA363" s="1002"/>
      <c r="AB363" s="1002"/>
      <c r="AC363" s="1002"/>
      <c r="AD363" s="1002"/>
      <c r="AE363" s="1002"/>
      <c r="AF363" s="1002"/>
      <c r="AG363" s="1002"/>
      <c r="AH363" s="1002"/>
      <c r="AI363" s="1002"/>
      <c r="AJ363" s="1002"/>
      <c r="AK363" s="1002"/>
      <c r="AL363" s="1002"/>
      <c r="AM363" s="1002"/>
      <c r="AN363" s="1002"/>
      <c r="AO363" s="1002"/>
      <c r="AP363" s="1002"/>
      <c r="AQ363" s="1002"/>
      <c r="AR363" s="1002"/>
      <c r="AS363" s="1002"/>
      <c r="AT363" s="1002"/>
      <c r="AU363" s="1002"/>
      <c r="AV363" s="1002"/>
      <c r="AW363" s="1002"/>
      <c r="AX363" s="1002"/>
      <c r="AY363" s="1002"/>
      <c r="AZ363" s="1002"/>
      <c r="BA363" s="1002"/>
      <c r="BB363" s="1002"/>
      <c r="BC363" s="1002"/>
      <c r="BD363" s="1002"/>
      <c r="BE363" s="204"/>
      <c r="BF363" s="205" t="s">
        <v>487</v>
      </c>
      <c r="BG363" s="204"/>
      <c r="BH363" s="204" t="s">
        <v>407</v>
      </c>
      <c r="BI363" s="204"/>
      <c r="BJ363" s="205" t="s">
        <v>409</v>
      </c>
      <c r="BK363" s="206"/>
    </row>
    <row r="364" spans="1:63" s="164" customFormat="1" ht="15.75" customHeight="1">
      <c r="A364" s="185"/>
      <c r="B364" s="183" t="s">
        <v>747</v>
      </c>
      <c r="C364" s="184"/>
      <c r="D364" s="184"/>
      <c r="E364" s="184"/>
      <c r="F364" s="184"/>
      <c r="G364" s="184"/>
      <c r="H364" s="184"/>
      <c r="I364" s="184"/>
      <c r="J364" s="184"/>
      <c r="K364" s="184"/>
      <c r="L364" s="193"/>
      <c r="M364" s="1003"/>
      <c r="N364" s="1002"/>
      <c r="O364" s="1002"/>
      <c r="P364" s="1002"/>
      <c r="Q364" s="1002"/>
      <c r="R364" s="1002"/>
      <c r="S364" s="1002"/>
      <c r="T364" s="1002"/>
      <c r="U364" s="1002"/>
      <c r="V364" s="1002"/>
      <c r="W364" s="1002"/>
      <c r="X364" s="1002"/>
      <c r="Y364" s="1002"/>
      <c r="Z364" s="1002"/>
      <c r="AA364" s="1002"/>
      <c r="AB364" s="1002"/>
      <c r="AC364" s="1002"/>
      <c r="AD364" s="1002"/>
      <c r="AE364" s="1002"/>
      <c r="AF364" s="1002"/>
      <c r="AG364" s="1002"/>
      <c r="AH364" s="1002"/>
      <c r="AI364" s="1002"/>
      <c r="AJ364" s="1002"/>
      <c r="AK364" s="1002"/>
      <c r="AL364" s="1002"/>
      <c r="AM364" s="1002"/>
      <c r="AN364" s="1002"/>
      <c r="AO364" s="1002"/>
      <c r="AP364" s="1002"/>
      <c r="AQ364" s="1002"/>
      <c r="AR364" s="1002"/>
      <c r="AS364" s="1002"/>
      <c r="AT364" s="1002"/>
      <c r="AU364" s="1002"/>
      <c r="AV364" s="1002"/>
      <c r="AW364" s="1002"/>
      <c r="AX364" s="1002"/>
      <c r="AY364" s="1002"/>
      <c r="AZ364" s="1002"/>
      <c r="BA364" s="1002"/>
      <c r="BB364" s="1002"/>
      <c r="BC364" s="1002"/>
      <c r="BD364" s="1002"/>
      <c r="BE364" s="204"/>
      <c r="BF364" s="205" t="s">
        <v>487</v>
      </c>
      <c r="BG364" s="204"/>
      <c r="BH364" s="204" t="s">
        <v>407</v>
      </c>
      <c r="BI364" s="204"/>
      <c r="BJ364" s="205" t="s">
        <v>409</v>
      </c>
      <c r="BK364" s="206"/>
    </row>
    <row r="365" spans="1:63" s="164" customFormat="1" ht="15.75" customHeight="1">
      <c r="A365" s="185"/>
      <c r="B365" s="183" t="s">
        <v>748</v>
      </c>
      <c r="C365" s="184"/>
      <c r="D365" s="184"/>
      <c r="E365" s="184"/>
      <c r="F365" s="184"/>
      <c r="G365" s="184"/>
      <c r="H365" s="184"/>
      <c r="I365" s="184"/>
      <c r="J365" s="184"/>
      <c r="K365" s="184"/>
      <c r="L365" s="193"/>
      <c r="M365" s="1003"/>
      <c r="N365" s="1002"/>
      <c r="O365" s="1002"/>
      <c r="P365" s="1002"/>
      <c r="Q365" s="1002"/>
      <c r="R365" s="1002"/>
      <c r="S365" s="1002"/>
      <c r="T365" s="1002"/>
      <c r="U365" s="1002"/>
      <c r="V365" s="1002"/>
      <c r="W365" s="1002"/>
      <c r="X365" s="1002"/>
      <c r="Y365" s="1002"/>
      <c r="Z365" s="1002"/>
      <c r="AA365" s="1002"/>
      <c r="AB365" s="1002"/>
      <c r="AC365" s="1002"/>
      <c r="AD365" s="1002"/>
      <c r="AE365" s="1002"/>
      <c r="AF365" s="1002"/>
      <c r="AG365" s="1002"/>
      <c r="AH365" s="1002"/>
      <c r="AI365" s="1002"/>
      <c r="AJ365" s="1002"/>
      <c r="AK365" s="1002"/>
      <c r="AL365" s="1002"/>
      <c r="AM365" s="1002"/>
      <c r="AN365" s="1002"/>
      <c r="AO365" s="1002"/>
      <c r="AP365" s="1002"/>
      <c r="AQ365" s="1002"/>
      <c r="AR365" s="1002"/>
      <c r="AS365" s="1002"/>
      <c r="AT365" s="1002"/>
      <c r="AU365" s="1002"/>
      <c r="AV365" s="1002"/>
      <c r="AW365" s="1002"/>
      <c r="AX365" s="1002"/>
      <c r="AY365" s="1002"/>
      <c r="AZ365" s="1002"/>
      <c r="BA365" s="1002"/>
      <c r="BB365" s="1002"/>
      <c r="BC365" s="1002"/>
      <c r="BD365" s="1002"/>
      <c r="BE365" s="204"/>
      <c r="BF365" s="205" t="s">
        <v>487</v>
      </c>
      <c r="BG365" s="204"/>
      <c r="BH365" s="204" t="s">
        <v>407</v>
      </c>
      <c r="BI365" s="204"/>
      <c r="BJ365" s="205" t="s">
        <v>409</v>
      </c>
      <c r="BK365" s="206"/>
    </row>
    <row r="366" spans="1:63" s="164" customFormat="1" ht="15.75" customHeight="1">
      <c r="A366" s="185"/>
      <c r="B366" s="183" t="s">
        <v>749</v>
      </c>
      <c r="C366" s="184"/>
      <c r="D366" s="184"/>
      <c r="E366" s="184"/>
      <c r="F366" s="184"/>
      <c r="G366" s="184"/>
      <c r="H366" s="184"/>
      <c r="I366" s="184"/>
      <c r="J366" s="184"/>
      <c r="K366" s="184"/>
      <c r="L366" s="193"/>
      <c r="M366" s="1003"/>
      <c r="N366" s="1002"/>
      <c r="O366" s="1002"/>
      <c r="P366" s="1002"/>
      <c r="Q366" s="1002"/>
      <c r="R366" s="1002"/>
      <c r="S366" s="1002"/>
      <c r="T366" s="1002"/>
      <c r="U366" s="1002"/>
      <c r="V366" s="1002"/>
      <c r="W366" s="1002"/>
      <c r="X366" s="1002"/>
      <c r="Y366" s="1002"/>
      <c r="Z366" s="1002"/>
      <c r="AA366" s="1002"/>
      <c r="AB366" s="1002"/>
      <c r="AC366" s="1002"/>
      <c r="AD366" s="1002"/>
      <c r="AE366" s="1002"/>
      <c r="AF366" s="1002"/>
      <c r="AG366" s="1002"/>
      <c r="AH366" s="1002"/>
      <c r="AI366" s="1002"/>
      <c r="AJ366" s="1002"/>
      <c r="AK366" s="1002"/>
      <c r="AL366" s="1002"/>
      <c r="AM366" s="1002"/>
      <c r="AN366" s="1002"/>
      <c r="AO366" s="1002"/>
      <c r="AP366" s="1002"/>
      <c r="AQ366" s="1002"/>
      <c r="AR366" s="1002"/>
      <c r="AS366" s="1002"/>
      <c r="AT366" s="1002"/>
      <c r="AU366" s="1002"/>
      <c r="AV366" s="1002"/>
      <c r="AW366" s="1002"/>
      <c r="AX366" s="1002"/>
      <c r="AY366" s="1002"/>
      <c r="AZ366" s="1002"/>
      <c r="BA366" s="1002"/>
      <c r="BB366" s="1002"/>
      <c r="BC366" s="1002"/>
      <c r="BD366" s="1002"/>
      <c r="BE366" s="204"/>
      <c r="BF366" s="205" t="s">
        <v>487</v>
      </c>
      <c r="BG366" s="204"/>
      <c r="BH366" s="204" t="s">
        <v>407</v>
      </c>
      <c r="BI366" s="204"/>
      <c r="BJ366" s="205" t="s">
        <v>409</v>
      </c>
      <c r="BK366" s="206"/>
    </row>
    <row r="367" spans="1:63" s="164" customFormat="1" ht="15.75" customHeight="1">
      <c r="A367" s="185"/>
      <c r="B367" s="183" t="s">
        <v>750</v>
      </c>
      <c r="C367" s="184"/>
      <c r="D367" s="184"/>
      <c r="E367" s="184"/>
      <c r="F367" s="184"/>
      <c r="G367" s="184"/>
      <c r="H367" s="184"/>
      <c r="I367" s="184"/>
      <c r="J367" s="184"/>
      <c r="K367" s="184"/>
      <c r="L367" s="193"/>
      <c r="M367" s="1003"/>
      <c r="N367" s="1002"/>
      <c r="O367" s="1002"/>
      <c r="P367" s="1002"/>
      <c r="Q367" s="1002"/>
      <c r="R367" s="1002"/>
      <c r="S367" s="1002"/>
      <c r="T367" s="1002"/>
      <c r="U367" s="1002"/>
      <c r="V367" s="1002"/>
      <c r="W367" s="1002"/>
      <c r="X367" s="1002"/>
      <c r="Y367" s="1002"/>
      <c r="Z367" s="1002"/>
      <c r="AA367" s="1002"/>
      <c r="AB367" s="1002"/>
      <c r="AC367" s="1002"/>
      <c r="AD367" s="1002"/>
      <c r="AE367" s="1002"/>
      <c r="AF367" s="1002"/>
      <c r="AG367" s="1002"/>
      <c r="AH367" s="1002"/>
      <c r="AI367" s="1002"/>
      <c r="AJ367" s="1002"/>
      <c r="AK367" s="1002"/>
      <c r="AL367" s="1002"/>
      <c r="AM367" s="1002"/>
      <c r="AN367" s="1002"/>
      <c r="AO367" s="1002"/>
      <c r="AP367" s="1002"/>
      <c r="AQ367" s="1002"/>
      <c r="AR367" s="1002"/>
      <c r="AS367" s="1002"/>
      <c r="AT367" s="1002"/>
      <c r="AU367" s="1002"/>
      <c r="AV367" s="1002"/>
      <c r="AW367" s="1002"/>
      <c r="AX367" s="1002"/>
      <c r="AY367" s="1002"/>
      <c r="AZ367" s="1002"/>
      <c r="BA367" s="1002"/>
      <c r="BB367" s="1002"/>
      <c r="BC367" s="1002"/>
      <c r="BD367" s="1002"/>
      <c r="BE367" s="204"/>
      <c r="BF367" s="205" t="s">
        <v>487</v>
      </c>
      <c r="BG367" s="204"/>
      <c r="BH367" s="204" t="s">
        <v>407</v>
      </c>
      <c r="BI367" s="204"/>
      <c r="BJ367" s="205" t="s">
        <v>409</v>
      </c>
      <c r="BK367" s="206"/>
    </row>
    <row r="368" spans="1:63" s="164" customFormat="1" ht="15.75" customHeight="1">
      <c r="A368" s="185"/>
      <c r="B368" s="183" t="s">
        <v>751</v>
      </c>
      <c r="C368" s="184"/>
      <c r="D368" s="184"/>
      <c r="E368" s="184"/>
      <c r="F368" s="184"/>
      <c r="G368" s="184"/>
      <c r="H368" s="184"/>
      <c r="I368" s="184"/>
      <c r="J368" s="184"/>
      <c r="K368" s="184"/>
      <c r="L368" s="193"/>
      <c r="M368" s="1003"/>
      <c r="N368" s="1002"/>
      <c r="O368" s="1002"/>
      <c r="P368" s="1002"/>
      <c r="Q368" s="1002"/>
      <c r="R368" s="1002"/>
      <c r="S368" s="1002"/>
      <c r="T368" s="1002"/>
      <c r="U368" s="1002"/>
      <c r="V368" s="1002"/>
      <c r="W368" s="1002"/>
      <c r="X368" s="1002"/>
      <c r="Y368" s="1002"/>
      <c r="Z368" s="1002"/>
      <c r="AA368" s="1002"/>
      <c r="AB368" s="1002"/>
      <c r="AC368" s="1002"/>
      <c r="AD368" s="1002"/>
      <c r="AE368" s="1002"/>
      <c r="AF368" s="1002"/>
      <c r="AG368" s="1002"/>
      <c r="AH368" s="1002"/>
      <c r="AI368" s="1002"/>
      <c r="AJ368" s="1002"/>
      <c r="AK368" s="1002"/>
      <c r="AL368" s="1002"/>
      <c r="AM368" s="1002"/>
      <c r="AN368" s="1002"/>
      <c r="AO368" s="1002"/>
      <c r="AP368" s="1002"/>
      <c r="AQ368" s="1002"/>
      <c r="AR368" s="1002"/>
      <c r="AS368" s="1002"/>
      <c r="AT368" s="1002"/>
      <c r="AU368" s="1002"/>
      <c r="AV368" s="1002"/>
      <c r="AW368" s="1002"/>
      <c r="AX368" s="1002"/>
      <c r="AY368" s="1002"/>
      <c r="AZ368" s="1002"/>
      <c r="BA368" s="1002"/>
      <c r="BB368" s="1002"/>
      <c r="BC368" s="1002"/>
      <c r="BD368" s="1002"/>
      <c r="BE368" s="204"/>
      <c r="BF368" s="205" t="s">
        <v>487</v>
      </c>
      <c r="BG368" s="204"/>
      <c r="BH368" s="204" t="s">
        <v>407</v>
      </c>
      <c r="BI368" s="204"/>
      <c r="BJ368" s="205" t="s">
        <v>409</v>
      </c>
      <c r="BK368" s="206"/>
    </row>
    <row r="369" spans="1:63" s="164" customFormat="1" ht="15.75" customHeight="1">
      <c r="A369" s="185"/>
      <c r="B369" s="233" t="s">
        <v>752</v>
      </c>
      <c r="C369" s="184"/>
      <c r="D369" s="184"/>
      <c r="E369" s="184"/>
      <c r="F369" s="184"/>
      <c r="G369" s="184"/>
      <c r="H369" s="184"/>
      <c r="I369" s="184"/>
      <c r="J369" s="184"/>
      <c r="K369" s="184"/>
      <c r="L369" s="193"/>
      <c r="M369" s="197"/>
      <c r="N369" s="194"/>
      <c r="O369" s="194"/>
      <c r="P369" s="194"/>
      <c r="Q369" s="194"/>
      <c r="R369" s="194"/>
      <c r="S369" s="194"/>
      <c r="T369" s="194"/>
      <c r="U369" s="194"/>
      <c r="V369" s="194"/>
      <c r="W369" s="194"/>
      <c r="X369" s="194"/>
      <c r="Y369" s="194"/>
      <c r="Z369" s="194"/>
      <c r="AA369" s="194"/>
      <c r="AB369" s="194"/>
      <c r="AC369" s="194"/>
      <c r="AD369" s="194"/>
      <c r="AE369" s="194"/>
      <c r="AF369" s="194"/>
      <c r="AG369" s="194"/>
      <c r="AH369" s="194"/>
      <c r="AI369" s="194"/>
      <c r="AJ369" s="194"/>
      <c r="AK369" s="194"/>
      <c r="AL369" s="194"/>
      <c r="AM369" s="194"/>
      <c r="AN369" s="194"/>
      <c r="AO369" s="194"/>
      <c r="AP369" s="194"/>
      <c r="AQ369" s="194"/>
      <c r="AR369" s="194"/>
      <c r="AS369" s="194"/>
      <c r="AT369" s="194"/>
      <c r="AU369" s="194"/>
      <c r="AV369" s="194"/>
      <c r="AW369" s="194"/>
      <c r="AX369" s="194"/>
      <c r="AY369" s="194"/>
      <c r="AZ369" s="194"/>
      <c r="BA369" s="194"/>
      <c r="BB369" s="194"/>
      <c r="BC369" s="194"/>
      <c r="BD369" s="194"/>
      <c r="BE369" s="204"/>
      <c r="BF369" s="205" t="s">
        <v>487</v>
      </c>
      <c r="BG369" s="204"/>
      <c r="BH369" s="204" t="s">
        <v>407</v>
      </c>
      <c r="BI369" s="204"/>
      <c r="BJ369" s="205" t="s">
        <v>409</v>
      </c>
      <c r="BK369" s="206"/>
    </row>
    <row r="370" spans="1:63" s="164" customFormat="1" ht="15.75" customHeight="1">
      <c r="A370" s="185"/>
      <c r="B370" s="233" t="s">
        <v>753</v>
      </c>
      <c r="C370" s="184"/>
      <c r="D370" s="184"/>
      <c r="E370" s="184"/>
      <c r="F370" s="184"/>
      <c r="G370" s="184"/>
      <c r="H370" s="184"/>
      <c r="I370" s="184"/>
      <c r="J370" s="184"/>
      <c r="K370" s="184"/>
      <c r="L370" s="193"/>
      <c r="M370" s="197"/>
      <c r="N370" s="194"/>
      <c r="O370" s="194"/>
      <c r="P370" s="194"/>
      <c r="Q370" s="194"/>
      <c r="R370" s="194"/>
      <c r="S370" s="194"/>
      <c r="T370" s="194"/>
      <c r="U370" s="194"/>
      <c r="V370" s="194"/>
      <c r="W370" s="194"/>
      <c r="X370" s="194"/>
      <c r="Y370" s="194"/>
      <c r="Z370" s="194"/>
      <c r="AA370" s="194"/>
      <c r="AB370" s="194"/>
      <c r="AC370" s="194"/>
      <c r="AD370" s="194"/>
      <c r="AE370" s="194"/>
      <c r="AF370" s="194"/>
      <c r="AG370" s="194"/>
      <c r="AH370" s="194"/>
      <c r="AI370" s="194"/>
      <c r="AJ370" s="194"/>
      <c r="AK370" s="194"/>
      <c r="AL370" s="194"/>
      <c r="AM370" s="194"/>
      <c r="AN370" s="194"/>
      <c r="AO370" s="194"/>
      <c r="AP370" s="194"/>
      <c r="AQ370" s="194"/>
      <c r="AR370" s="194"/>
      <c r="AS370" s="194"/>
      <c r="AT370" s="194"/>
      <c r="AU370" s="194"/>
      <c r="AV370" s="194"/>
      <c r="AW370" s="194"/>
      <c r="AX370" s="194"/>
      <c r="AY370" s="194"/>
      <c r="AZ370" s="194"/>
      <c r="BA370" s="194"/>
      <c r="BB370" s="194"/>
      <c r="BC370" s="194"/>
      <c r="BD370" s="194"/>
      <c r="BE370" s="204"/>
      <c r="BF370" s="205" t="s">
        <v>487</v>
      </c>
      <c r="BG370" s="204"/>
      <c r="BH370" s="204" t="s">
        <v>407</v>
      </c>
      <c r="BI370" s="204"/>
      <c r="BJ370" s="205" t="s">
        <v>409</v>
      </c>
      <c r="BK370" s="206"/>
    </row>
    <row r="371" spans="1:63" s="164" customFormat="1" ht="146.25" customHeight="1">
      <c r="A371" s="182" t="s">
        <v>411</v>
      </c>
      <c r="B371" s="183" t="s">
        <v>754</v>
      </c>
      <c r="C371" s="184"/>
      <c r="D371" s="184"/>
      <c r="E371" s="184"/>
      <c r="F371" s="184"/>
      <c r="G371" s="184"/>
      <c r="H371" s="184"/>
      <c r="I371" s="184"/>
      <c r="J371" s="184"/>
      <c r="K371" s="184"/>
      <c r="L371" s="193"/>
      <c r="M371" s="1005" t="s">
        <v>755</v>
      </c>
      <c r="N371" s="1005"/>
      <c r="O371" s="1005"/>
      <c r="P371" s="1005"/>
      <c r="Q371" s="1005"/>
      <c r="R371" s="1005"/>
      <c r="S371" s="1005"/>
      <c r="T371" s="1005"/>
      <c r="U371" s="1005"/>
      <c r="V371" s="1005"/>
      <c r="W371" s="1005"/>
      <c r="X371" s="1005"/>
      <c r="Y371" s="1005"/>
      <c r="Z371" s="1005"/>
      <c r="AA371" s="1005"/>
      <c r="AB371" s="1005"/>
      <c r="AC371" s="1005"/>
      <c r="AD371" s="1005"/>
      <c r="AE371" s="1005"/>
      <c r="AF371" s="1005"/>
      <c r="AG371" s="1005"/>
      <c r="AH371" s="1005"/>
      <c r="AI371" s="1005"/>
      <c r="AJ371" s="1005"/>
      <c r="AK371" s="1005"/>
      <c r="AL371" s="1005"/>
      <c r="AM371" s="1005"/>
      <c r="AN371" s="1005"/>
      <c r="AO371" s="1005"/>
      <c r="AP371" s="1005"/>
      <c r="AQ371" s="1005"/>
      <c r="AR371" s="1005"/>
      <c r="AS371" s="1005"/>
      <c r="AT371" s="1005"/>
      <c r="AU371" s="1005"/>
      <c r="AV371" s="1005"/>
      <c r="AW371" s="1005"/>
      <c r="AX371" s="1005"/>
      <c r="AY371" s="1005"/>
      <c r="AZ371" s="1005"/>
      <c r="BA371" s="1005"/>
      <c r="BB371" s="1005"/>
      <c r="BC371" s="1005"/>
      <c r="BD371" s="1005"/>
      <c r="BE371" s="205" t="s">
        <v>486</v>
      </c>
      <c r="BF371" s="205" t="s">
        <v>487</v>
      </c>
      <c r="BG371" s="204"/>
      <c r="BH371" s="204" t="s">
        <v>407</v>
      </c>
      <c r="BI371" s="205" t="s">
        <v>408</v>
      </c>
      <c r="BJ371" s="204"/>
      <c r="BK371" s="206"/>
    </row>
    <row r="372" spans="1:63" s="164" customFormat="1" ht="15.75" customHeight="1">
      <c r="A372" s="185"/>
      <c r="B372" s="183" t="s">
        <v>756</v>
      </c>
      <c r="C372" s="184"/>
      <c r="D372" s="184"/>
      <c r="E372" s="184"/>
      <c r="F372" s="184"/>
      <c r="G372" s="184"/>
      <c r="H372" s="184"/>
      <c r="I372" s="184"/>
      <c r="J372" s="184"/>
      <c r="K372" s="184"/>
      <c r="L372" s="193"/>
      <c r="M372" s="1003"/>
      <c r="N372" s="1002"/>
      <c r="O372" s="1002"/>
      <c r="P372" s="1002"/>
      <c r="Q372" s="1002"/>
      <c r="R372" s="1002"/>
      <c r="S372" s="1002"/>
      <c r="T372" s="1002"/>
      <c r="U372" s="1002"/>
      <c r="V372" s="1002"/>
      <c r="W372" s="1002"/>
      <c r="X372" s="1002"/>
      <c r="Y372" s="1002"/>
      <c r="Z372" s="1002"/>
      <c r="AA372" s="1002"/>
      <c r="AB372" s="1002"/>
      <c r="AC372" s="1002"/>
      <c r="AD372" s="1002"/>
      <c r="AE372" s="1002"/>
      <c r="AF372" s="1002"/>
      <c r="AG372" s="1002"/>
      <c r="AH372" s="1002"/>
      <c r="AI372" s="1002"/>
      <c r="AJ372" s="1002"/>
      <c r="AK372" s="1002"/>
      <c r="AL372" s="1002"/>
      <c r="AM372" s="1002"/>
      <c r="AN372" s="1002"/>
      <c r="AO372" s="1002"/>
      <c r="AP372" s="1002"/>
      <c r="AQ372" s="1002"/>
      <c r="AR372" s="1002"/>
      <c r="AS372" s="1002"/>
      <c r="AT372" s="1002"/>
      <c r="AU372" s="1002"/>
      <c r="AV372" s="1002"/>
      <c r="AW372" s="1002"/>
      <c r="AX372" s="1002"/>
      <c r="AY372" s="1002"/>
      <c r="AZ372" s="1002"/>
      <c r="BA372" s="1002"/>
      <c r="BB372" s="1002"/>
      <c r="BC372" s="1002"/>
      <c r="BD372" s="1002"/>
      <c r="BE372" s="204"/>
      <c r="BF372" s="205" t="s">
        <v>487</v>
      </c>
      <c r="BG372" s="204"/>
      <c r="BH372" s="204" t="s">
        <v>407</v>
      </c>
      <c r="BI372" s="204"/>
      <c r="BJ372" s="204"/>
      <c r="BK372" s="206"/>
    </row>
    <row r="373" spans="1:63" s="164" customFormat="1" ht="15.75" customHeight="1">
      <c r="A373" s="182" t="s">
        <v>411</v>
      </c>
      <c r="B373" s="183" t="s">
        <v>476</v>
      </c>
      <c r="C373" s="184"/>
      <c r="D373" s="184"/>
      <c r="E373" s="184"/>
      <c r="F373" s="184"/>
      <c r="G373" s="184"/>
      <c r="H373" s="184"/>
      <c r="I373" s="184"/>
      <c r="J373" s="184"/>
      <c r="K373" s="184"/>
      <c r="L373" s="193"/>
      <c r="M373" s="1005" t="s">
        <v>757</v>
      </c>
      <c r="N373" s="1005"/>
      <c r="O373" s="1005"/>
      <c r="P373" s="1005"/>
      <c r="Q373" s="1005"/>
      <c r="R373" s="1005"/>
      <c r="S373" s="1005"/>
      <c r="T373" s="1005"/>
      <c r="U373" s="1005"/>
      <c r="V373" s="1005"/>
      <c r="W373" s="1005"/>
      <c r="X373" s="1005"/>
      <c r="Y373" s="1005"/>
      <c r="Z373" s="1005"/>
      <c r="AA373" s="1005"/>
      <c r="AB373" s="1005"/>
      <c r="AC373" s="1005"/>
      <c r="AD373" s="1005"/>
      <c r="AE373" s="1005"/>
      <c r="AF373" s="1005"/>
      <c r="AG373" s="1005"/>
      <c r="AH373" s="1005"/>
      <c r="AI373" s="1005"/>
      <c r="AJ373" s="1005"/>
      <c r="AK373" s="1005"/>
      <c r="AL373" s="1005"/>
      <c r="AM373" s="1005"/>
      <c r="AN373" s="1005"/>
      <c r="AO373" s="1005"/>
      <c r="AP373" s="1005"/>
      <c r="AQ373" s="1005"/>
      <c r="AR373" s="1005"/>
      <c r="AS373" s="1005"/>
      <c r="AT373" s="1005"/>
      <c r="AU373" s="1005"/>
      <c r="AV373" s="1005"/>
      <c r="AW373" s="1005"/>
      <c r="AX373" s="1005"/>
      <c r="AY373" s="1005"/>
      <c r="AZ373" s="1005"/>
      <c r="BA373" s="1005"/>
      <c r="BB373" s="1005"/>
      <c r="BC373" s="1005"/>
      <c r="BD373" s="1005"/>
      <c r="BE373" s="204"/>
      <c r="BF373" s="205" t="s">
        <v>419</v>
      </c>
      <c r="BG373" s="204"/>
      <c r="BH373" s="204" t="s">
        <v>407</v>
      </c>
      <c r="BI373" s="205" t="s">
        <v>408</v>
      </c>
      <c r="BJ373" s="204"/>
      <c r="BK373" s="206"/>
    </row>
    <row r="374" spans="1:63" s="164" customFormat="1" ht="15.75" customHeight="1">
      <c r="A374" s="182" t="s">
        <v>411</v>
      </c>
      <c r="B374" s="183" t="s">
        <v>758</v>
      </c>
      <c r="C374" s="184"/>
      <c r="D374" s="184"/>
      <c r="E374" s="184"/>
      <c r="F374" s="184"/>
      <c r="G374" s="184"/>
      <c r="H374" s="184"/>
      <c r="I374" s="184"/>
      <c r="J374" s="184"/>
      <c r="K374" s="184"/>
      <c r="L374" s="193"/>
      <c r="M374" s="1005" t="s">
        <v>759</v>
      </c>
      <c r="N374" s="1005"/>
      <c r="O374" s="1005"/>
      <c r="P374" s="1005"/>
      <c r="Q374" s="1005"/>
      <c r="R374" s="1005"/>
      <c r="S374" s="1005"/>
      <c r="T374" s="1005"/>
      <c r="U374" s="1005"/>
      <c r="V374" s="1005"/>
      <c r="W374" s="1005"/>
      <c r="X374" s="1005"/>
      <c r="Y374" s="1005"/>
      <c r="Z374" s="1005"/>
      <c r="AA374" s="1005"/>
      <c r="AB374" s="1005"/>
      <c r="AC374" s="1005"/>
      <c r="AD374" s="1005"/>
      <c r="AE374" s="1005"/>
      <c r="AF374" s="1005"/>
      <c r="AG374" s="1005"/>
      <c r="AH374" s="1005"/>
      <c r="AI374" s="1005"/>
      <c r="AJ374" s="1005"/>
      <c r="AK374" s="1005"/>
      <c r="AL374" s="1005"/>
      <c r="AM374" s="1005"/>
      <c r="AN374" s="1005"/>
      <c r="AO374" s="1005"/>
      <c r="AP374" s="1005"/>
      <c r="AQ374" s="1005"/>
      <c r="AR374" s="1005"/>
      <c r="AS374" s="1005"/>
      <c r="AT374" s="1005"/>
      <c r="AU374" s="1005"/>
      <c r="AV374" s="1005"/>
      <c r="AW374" s="1005"/>
      <c r="AX374" s="1005"/>
      <c r="AY374" s="1005"/>
      <c r="AZ374" s="1005"/>
      <c r="BA374" s="1005"/>
      <c r="BB374" s="1005"/>
      <c r="BC374" s="1005"/>
      <c r="BD374" s="1005"/>
      <c r="BE374" s="204"/>
      <c r="BF374" s="205" t="s">
        <v>462</v>
      </c>
      <c r="BG374" s="204"/>
      <c r="BH374" s="204" t="s">
        <v>407</v>
      </c>
      <c r="BI374" s="205" t="s">
        <v>408</v>
      </c>
      <c r="BJ374" s="204"/>
      <c r="BK374" s="206"/>
    </row>
    <row r="375" spans="1:63" s="164" customFormat="1" ht="15.75" customHeight="1">
      <c r="A375" s="182" t="s">
        <v>411</v>
      </c>
      <c r="B375" s="183" t="s">
        <v>760</v>
      </c>
      <c r="C375" s="184"/>
      <c r="D375" s="184"/>
      <c r="E375" s="184"/>
      <c r="F375" s="184"/>
      <c r="G375" s="184"/>
      <c r="H375" s="184"/>
      <c r="I375" s="184"/>
      <c r="J375" s="184"/>
      <c r="K375" s="184"/>
      <c r="L375" s="193"/>
      <c r="M375" s="1005" t="s">
        <v>761</v>
      </c>
      <c r="N375" s="1005"/>
      <c r="O375" s="1005"/>
      <c r="P375" s="1005"/>
      <c r="Q375" s="1005"/>
      <c r="R375" s="1005"/>
      <c r="S375" s="1005"/>
      <c r="T375" s="1005"/>
      <c r="U375" s="1005"/>
      <c r="V375" s="1005"/>
      <c r="W375" s="1005"/>
      <c r="X375" s="1005"/>
      <c r="Y375" s="1005"/>
      <c r="Z375" s="1005"/>
      <c r="AA375" s="1005"/>
      <c r="AB375" s="1005"/>
      <c r="AC375" s="1005"/>
      <c r="AD375" s="1005"/>
      <c r="AE375" s="1005"/>
      <c r="AF375" s="1005"/>
      <c r="AG375" s="1005"/>
      <c r="AH375" s="1005"/>
      <c r="AI375" s="1005"/>
      <c r="AJ375" s="1005"/>
      <c r="AK375" s="1005"/>
      <c r="AL375" s="1005"/>
      <c r="AM375" s="1005"/>
      <c r="AN375" s="1005"/>
      <c r="AO375" s="1005"/>
      <c r="AP375" s="1005"/>
      <c r="AQ375" s="1005"/>
      <c r="AR375" s="1005"/>
      <c r="AS375" s="1005"/>
      <c r="AT375" s="1005"/>
      <c r="AU375" s="1005"/>
      <c r="AV375" s="1005"/>
      <c r="AW375" s="1005"/>
      <c r="AX375" s="1005"/>
      <c r="AY375" s="1005"/>
      <c r="AZ375" s="1005"/>
      <c r="BA375" s="1005"/>
      <c r="BB375" s="1005"/>
      <c r="BC375" s="1005"/>
      <c r="BD375" s="1005"/>
      <c r="BE375" s="205" t="s">
        <v>486</v>
      </c>
      <c r="BF375" s="205" t="s">
        <v>487</v>
      </c>
      <c r="BG375" s="204"/>
      <c r="BH375" s="204" t="s">
        <v>407</v>
      </c>
      <c r="BI375" s="205" t="s">
        <v>408</v>
      </c>
      <c r="BJ375" s="204"/>
      <c r="BK375" s="206"/>
    </row>
    <row r="376" spans="1:63" s="164" customFormat="1" ht="15.75" customHeight="1">
      <c r="A376" s="185"/>
      <c r="B376" s="183" t="s">
        <v>762</v>
      </c>
      <c r="C376" s="184"/>
      <c r="D376" s="184"/>
      <c r="E376" s="184"/>
      <c r="F376" s="184"/>
      <c r="G376" s="184"/>
      <c r="H376" s="184"/>
      <c r="I376" s="184"/>
      <c r="J376" s="184"/>
      <c r="K376" s="184"/>
      <c r="L376" s="193"/>
      <c r="M376" s="1003"/>
      <c r="N376" s="1002"/>
      <c r="O376" s="1002"/>
      <c r="P376" s="1002"/>
      <c r="Q376" s="1002"/>
      <c r="R376" s="1002"/>
      <c r="S376" s="1002"/>
      <c r="T376" s="1002"/>
      <c r="U376" s="1002"/>
      <c r="V376" s="1002"/>
      <c r="W376" s="1002"/>
      <c r="X376" s="1002"/>
      <c r="Y376" s="1002"/>
      <c r="Z376" s="1002"/>
      <c r="AA376" s="1002"/>
      <c r="AB376" s="1002"/>
      <c r="AC376" s="1002"/>
      <c r="AD376" s="1002"/>
      <c r="AE376" s="1002"/>
      <c r="AF376" s="1002"/>
      <c r="AG376" s="1002"/>
      <c r="AH376" s="1002"/>
      <c r="AI376" s="1002"/>
      <c r="AJ376" s="1002"/>
      <c r="AK376" s="1002"/>
      <c r="AL376" s="1002"/>
      <c r="AM376" s="1002"/>
      <c r="AN376" s="1002"/>
      <c r="AO376" s="1002"/>
      <c r="AP376" s="1002"/>
      <c r="AQ376" s="1002"/>
      <c r="AR376" s="1002"/>
      <c r="AS376" s="1002"/>
      <c r="AT376" s="1002"/>
      <c r="AU376" s="1002"/>
      <c r="AV376" s="1002"/>
      <c r="AW376" s="1002"/>
      <c r="AX376" s="1002"/>
      <c r="AY376" s="1002"/>
      <c r="AZ376" s="1002"/>
      <c r="BA376" s="1002"/>
      <c r="BB376" s="1002"/>
      <c r="BC376" s="1002"/>
      <c r="BD376" s="1002"/>
      <c r="BE376" s="204"/>
      <c r="BF376" s="205" t="s">
        <v>487</v>
      </c>
      <c r="BG376" s="204"/>
      <c r="BH376" s="204" t="s">
        <v>407</v>
      </c>
      <c r="BI376" s="204"/>
      <c r="BJ376" s="204"/>
      <c r="BK376" s="206"/>
    </row>
    <row r="377" spans="1:63" s="164" customFormat="1" ht="15.75" customHeight="1">
      <c r="A377" s="182" t="s">
        <v>411</v>
      </c>
      <c r="B377" s="183" t="s">
        <v>300</v>
      </c>
      <c r="C377" s="184"/>
      <c r="D377" s="184"/>
      <c r="E377" s="184"/>
      <c r="F377" s="184"/>
      <c r="G377" s="184"/>
      <c r="H377" s="184"/>
      <c r="I377" s="184"/>
      <c r="J377" s="184"/>
      <c r="K377" s="184"/>
      <c r="L377" s="193"/>
      <c r="M377" s="1005" t="s">
        <v>763</v>
      </c>
      <c r="N377" s="1005"/>
      <c r="O377" s="1005"/>
      <c r="P377" s="1005"/>
      <c r="Q377" s="1005"/>
      <c r="R377" s="1005"/>
      <c r="S377" s="1005"/>
      <c r="T377" s="1005"/>
      <c r="U377" s="1005"/>
      <c r="V377" s="1005"/>
      <c r="W377" s="1005"/>
      <c r="X377" s="1005"/>
      <c r="Y377" s="1005"/>
      <c r="Z377" s="1005"/>
      <c r="AA377" s="1005"/>
      <c r="AB377" s="1005"/>
      <c r="AC377" s="1005"/>
      <c r="AD377" s="1005"/>
      <c r="AE377" s="1005"/>
      <c r="AF377" s="1005"/>
      <c r="AG377" s="1005"/>
      <c r="AH377" s="1005"/>
      <c r="AI377" s="1005"/>
      <c r="AJ377" s="1005"/>
      <c r="AK377" s="1005"/>
      <c r="AL377" s="1005"/>
      <c r="AM377" s="1005"/>
      <c r="AN377" s="1005"/>
      <c r="AO377" s="1005"/>
      <c r="AP377" s="1005"/>
      <c r="AQ377" s="1005"/>
      <c r="AR377" s="1005"/>
      <c r="AS377" s="1005"/>
      <c r="AT377" s="1005"/>
      <c r="AU377" s="1005"/>
      <c r="AV377" s="1005"/>
      <c r="AW377" s="1005"/>
      <c r="AX377" s="1005"/>
      <c r="AY377" s="1005"/>
      <c r="AZ377" s="1005"/>
      <c r="BA377" s="1005"/>
      <c r="BB377" s="1005"/>
      <c r="BC377" s="1005"/>
      <c r="BD377" s="1005"/>
      <c r="BE377" s="204"/>
      <c r="BF377" s="205" t="s">
        <v>548</v>
      </c>
      <c r="BG377" s="204"/>
      <c r="BH377" s="204" t="s">
        <v>407</v>
      </c>
      <c r="BI377" s="205" t="s">
        <v>408</v>
      </c>
      <c r="BJ377" s="204"/>
      <c r="BK377" s="206"/>
    </row>
    <row r="378" spans="1:63" s="164" customFormat="1" ht="15.75" customHeight="1">
      <c r="A378" s="185"/>
      <c r="B378" s="183" t="s">
        <v>764</v>
      </c>
      <c r="C378" s="184"/>
      <c r="D378" s="184"/>
      <c r="E378" s="184"/>
      <c r="F378" s="184"/>
      <c r="G378" s="184"/>
      <c r="H378" s="184"/>
      <c r="I378" s="184"/>
      <c r="J378" s="184"/>
      <c r="K378" s="184"/>
      <c r="L378" s="193"/>
      <c r="M378" s="1003"/>
      <c r="N378" s="1002"/>
      <c r="O378" s="1002"/>
      <c r="P378" s="1002"/>
      <c r="Q378" s="1002"/>
      <c r="R378" s="1002"/>
      <c r="S378" s="1002"/>
      <c r="T378" s="1002"/>
      <c r="U378" s="1002"/>
      <c r="V378" s="1002"/>
      <c r="W378" s="1002"/>
      <c r="X378" s="1002"/>
      <c r="Y378" s="1002"/>
      <c r="Z378" s="1002"/>
      <c r="AA378" s="1002"/>
      <c r="AB378" s="1002"/>
      <c r="AC378" s="1002"/>
      <c r="AD378" s="1002"/>
      <c r="AE378" s="1002"/>
      <c r="AF378" s="1002"/>
      <c r="AG378" s="1002"/>
      <c r="AH378" s="1002"/>
      <c r="AI378" s="1002"/>
      <c r="AJ378" s="1002"/>
      <c r="AK378" s="1002"/>
      <c r="AL378" s="1002"/>
      <c r="AM378" s="1002"/>
      <c r="AN378" s="1002"/>
      <c r="AO378" s="1002"/>
      <c r="AP378" s="1002"/>
      <c r="AQ378" s="1002"/>
      <c r="AR378" s="1002"/>
      <c r="AS378" s="1002"/>
      <c r="AT378" s="1002"/>
      <c r="AU378" s="1002"/>
      <c r="AV378" s="1002"/>
      <c r="AW378" s="1002"/>
      <c r="AX378" s="1002"/>
      <c r="AY378" s="1002"/>
      <c r="AZ378" s="1002"/>
      <c r="BA378" s="1002"/>
      <c r="BB378" s="1002"/>
      <c r="BC378" s="1002"/>
      <c r="BD378" s="1002"/>
      <c r="BE378" s="204"/>
      <c r="BF378" s="205" t="s">
        <v>487</v>
      </c>
      <c r="BG378" s="204"/>
      <c r="BH378" s="204" t="s">
        <v>407</v>
      </c>
      <c r="BI378" s="204"/>
      <c r="BJ378" s="204"/>
      <c r="BK378" s="206"/>
    </row>
    <row r="379" spans="1:63" s="164" customFormat="1" ht="15.75" customHeight="1">
      <c r="A379" s="185"/>
      <c r="B379" s="183" t="s">
        <v>765</v>
      </c>
      <c r="C379" s="184"/>
      <c r="D379" s="184"/>
      <c r="E379" s="184"/>
      <c r="F379" s="184"/>
      <c r="G379" s="184"/>
      <c r="H379" s="184"/>
      <c r="I379" s="184"/>
      <c r="J379" s="184"/>
      <c r="K379" s="184"/>
      <c r="L379" s="193"/>
      <c r="M379" s="1003"/>
      <c r="N379" s="1002"/>
      <c r="O379" s="1002"/>
      <c r="P379" s="1002"/>
      <c r="Q379" s="1002"/>
      <c r="R379" s="1002"/>
      <c r="S379" s="1002"/>
      <c r="T379" s="1002"/>
      <c r="U379" s="1002"/>
      <c r="V379" s="1002"/>
      <c r="W379" s="1002"/>
      <c r="X379" s="1002"/>
      <c r="Y379" s="1002"/>
      <c r="Z379" s="1002"/>
      <c r="AA379" s="1002"/>
      <c r="AB379" s="1002"/>
      <c r="AC379" s="1002"/>
      <c r="AD379" s="1002"/>
      <c r="AE379" s="1002"/>
      <c r="AF379" s="1002"/>
      <c r="AG379" s="1002"/>
      <c r="AH379" s="1002"/>
      <c r="AI379" s="1002"/>
      <c r="AJ379" s="1002"/>
      <c r="AK379" s="1002"/>
      <c r="AL379" s="1002"/>
      <c r="AM379" s="1002"/>
      <c r="AN379" s="1002"/>
      <c r="AO379" s="1002"/>
      <c r="AP379" s="1002"/>
      <c r="AQ379" s="1002"/>
      <c r="AR379" s="1002"/>
      <c r="AS379" s="1002"/>
      <c r="AT379" s="1002"/>
      <c r="AU379" s="1002"/>
      <c r="AV379" s="1002"/>
      <c r="AW379" s="1002"/>
      <c r="AX379" s="1002"/>
      <c r="AY379" s="1002"/>
      <c r="AZ379" s="1002"/>
      <c r="BA379" s="1002"/>
      <c r="BB379" s="1002"/>
      <c r="BC379" s="1002"/>
      <c r="BD379" s="1002"/>
      <c r="BE379" s="204"/>
      <c r="BF379" s="205" t="s">
        <v>487</v>
      </c>
      <c r="BG379" s="204"/>
      <c r="BH379" s="204" t="s">
        <v>407</v>
      </c>
      <c r="BI379" s="204"/>
      <c r="BJ379" s="204"/>
      <c r="BK379" s="206"/>
    </row>
    <row r="380" spans="1:63" s="164" customFormat="1" ht="15.75" customHeight="1">
      <c r="A380" s="185"/>
      <c r="B380" s="183" t="s">
        <v>766</v>
      </c>
      <c r="C380" s="184"/>
      <c r="D380" s="184"/>
      <c r="E380" s="184"/>
      <c r="F380" s="184"/>
      <c r="G380" s="184"/>
      <c r="H380" s="184"/>
      <c r="I380" s="184"/>
      <c r="J380" s="184"/>
      <c r="K380" s="184"/>
      <c r="L380" s="193"/>
      <c r="M380" s="1003"/>
      <c r="N380" s="1002"/>
      <c r="O380" s="1002"/>
      <c r="P380" s="1002"/>
      <c r="Q380" s="1002"/>
      <c r="R380" s="1002"/>
      <c r="S380" s="1002"/>
      <c r="T380" s="1002"/>
      <c r="U380" s="1002"/>
      <c r="V380" s="1002"/>
      <c r="W380" s="1002"/>
      <c r="X380" s="1002"/>
      <c r="Y380" s="1002"/>
      <c r="Z380" s="1002"/>
      <c r="AA380" s="1002"/>
      <c r="AB380" s="1002"/>
      <c r="AC380" s="1002"/>
      <c r="AD380" s="1002"/>
      <c r="AE380" s="1002"/>
      <c r="AF380" s="1002"/>
      <c r="AG380" s="1002"/>
      <c r="AH380" s="1002"/>
      <c r="AI380" s="1002"/>
      <c r="AJ380" s="1002"/>
      <c r="AK380" s="1002"/>
      <c r="AL380" s="1002"/>
      <c r="AM380" s="1002"/>
      <c r="AN380" s="1002"/>
      <c r="AO380" s="1002"/>
      <c r="AP380" s="1002"/>
      <c r="AQ380" s="1002"/>
      <c r="AR380" s="1002"/>
      <c r="AS380" s="1002"/>
      <c r="AT380" s="1002"/>
      <c r="AU380" s="1002"/>
      <c r="AV380" s="1002"/>
      <c r="AW380" s="1002"/>
      <c r="AX380" s="1002"/>
      <c r="AY380" s="1002"/>
      <c r="AZ380" s="1002"/>
      <c r="BA380" s="1002"/>
      <c r="BB380" s="1002"/>
      <c r="BC380" s="1002"/>
      <c r="BD380" s="1002"/>
      <c r="BE380" s="204"/>
      <c r="BF380" s="205" t="s">
        <v>548</v>
      </c>
      <c r="BG380" s="204"/>
      <c r="BH380" s="204" t="s">
        <v>407</v>
      </c>
      <c r="BI380" s="204"/>
      <c r="BJ380" s="204"/>
      <c r="BK380" s="206"/>
    </row>
    <row r="381" spans="1:63" s="164" customFormat="1" ht="15.75" customHeight="1">
      <c r="A381" s="185"/>
      <c r="B381" s="183" t="s">
        <v>767</v>
      </c>
      <c r="C381" s="184"/>
      <c r="D381" s="184"/>
      <c r="E381" s="184"/>
      <c r="F381" s="184"/>
      <c r="G381" s="184"/>
      <c r="H381" s="184"/>
      <c r="I381" s="184"/>
      <c r="J381" s="184"/>
      <c r="K381" s="184"/>
      <c r="L381" s="193"/>
      <c r="M381" s="1003"/>
      <c r="N381" s="1002"/>
      <c r="O381" s="1002"/>
      <c r="P381" s="1002"/>
      <c r="Q381" s="1002"/>
      <c r="R381" s="1002"/>
      <c r="S381" s="1002"/>
      <c r="T381" s="1002"/>
      <c r="U381" s="1002"/>
      <c r="V381" s="1002"/>
      <c r="W381" s="1002"/>
      <c r="X381" s="1002"/>
      <c r="Y381" s="1002"/>
      <c r="Z381" s="1002"/>
      <c r="AA381" s="1002"/>
      <c r="AB381" s="1002"/>
      <c r="AC381" s="1002"/>
      <c r="AD381" s="1002"/>
      <c r="AE381" s="1002"/>
      <c r="AF381" s="1002"/>
      <c r="AG381" s="1002"/>
      <c r="AH381" s="1002"/>
      <c r="AI381" s="1002"/>
      <c r="AJ381" s="1002"/>
      <c r="AK381" s="1002"/>
      <c r="AL381" s="1002"/>
      <c r="AM381" s="1002"/>
      <c r="AN381" s="1002"/>
      <c r="AO381" s="1002"/>
      <c r="AP381" s="1002"/>
      <c r="AQ381" s="1002"/>
      <c r="AR381" s="1002"/>
      <c r="AS381" s="1002"/>
      <c r="AT381" s="1002"/>
      <c r="AU381" s="1002"/>
      <c r="AV381" s="1002"/>
      <c r="AW381" s="1002"/>
      <c r="AX381" s="1002"/>
      <c r="AY381" s="1002"/>
      <c r="AZ381" s="1002"/>
      <c r="BA381" s="1002"/>
      <c r="BB381" s="1002"/>
      <c r="BC381" s="1002"/>
      <c r="BD381" s="1002"/>
      <c r="BE381" s="204"/>
      <c r="BF381" s="205" t="s">
        <v>548</v>
      </c>
      <c r="BG381" s="204"/>
      <c r="BH381" s="204" t="s">
        <v>407</v>
      </c>
      <c r="BI381" s="204"/>
      <c r="BJ381" s="204"/>
      <c r="BK381" s="209" t="s">
        <v>514</v>
      </c>
    </row>
    <row r="382" spans="1:63" s="164" customFormat="1" ht="15.75" customHeight="1">
      <c r="A382" s="185"/>
      <c r="B382" s="183" t="s">
        <v>768</v>
      </c>
      <c r="C382" s="184"/>
      <c r="D382" s="184"/>
      <c r="E382" s="184"/>
      <c r="F382" s="184"/>
      <c r="G382" s="184"/>
      <c r="H382" s="184"/>
      <c r="I382" s="184"/>
      <c r="J382" s="184"/>
      <c r="K382" s="184"/>
      <c r="L382" s="193"/>
      <c r="M382" s="1003"/>
      <c r="N382" s="1002"/>
      <c r="O382" s="1002"/>
      <c r="P382" s="1002"/>
      <c r="Q382" s="1002"/>
      <c r="R382" s="1002"/>
      <c r="S382" s="1002"/>
      <c r="T382" s="1002"/>
      <c r="U382" s="1002"/>
      <c r="V382" s="1002"/>
      <c r="W382" s="1002"/>
      <c r="X382" s="1002"/>
      <c r="Y382" s="1002"/>
      <c r="Z382" s="1002"/>
      <c r="AA382" s="1002"/>
      <c r="AB382" s="1002"/>
      <c r="AC382" s="1002"/>
      <c r="AD382" s="1002"/>
      <c r="AE382" s="1002"/>
      <c r="AF382" s="1002"/>
      <c r="AG382" s="1002"/>
      <c r="AH382" s="1002"/>
      <c r="AI382" s="1002"/>
      <c r="AJ382" s="1002"/>
      <c r="AK382" s="1002"/>
      <c r="AL382" s="1002"/>
      <c r="AM382" s="1002"/>
      <c r="AN382" s="1002"/>
      <c r="AO382" s="1002"/>
      <c r="AP382" s="1002"/>
      <c r="AQ382" s="1002"/>
      <c r="AR382" s="1002"/>
      <c r="AS382" s="1002"/>
      <c r="AT382" s="1002"/>
      <c r="AU382" s="1002"/>
      <c r="AV382" s="1002"/>
      <c r="AW382" s="1002"/>
      <c r="AX382" s="1002"/>
      <c r="AY382" s="1002"/>
      <c r="AZ382" s="1002"/>
      <c r="BA382" s="1002"/>
      <c r="BB382" s="1002"/>
      <c r="BC382" s="1002"/>
      <c r="BD382" s="1002"/>
      <c r="BE382" s="204"/>
      <c r="BF382" s="205" t="s">
        <v>548</v>
      </c>
      <c r="BG382" s="204"/>
      <c r="BH382" s="204" t="s">
        <v>407</v>
      </c>
      <c r="BI382" s="204"/>
      <c r="BJ382" s="204"/>
      <c r="BK382" s="209" t="s">
        <v>514</v>
      </c>
    </row>
    <row r="383" spans="1:63" s="164" customFormat="1" ht="15.75" customHeight="1">
      <c r="A383" s="185"/>
      <c r="B383" s="183" t="s">
        <v>769</v>
      </c>
      <c r="C383" s="184"/>
      <c r="D383" s="184"/>
      <c r="E383" s="184"/>
      <c r="F383" s="184"/>
      <c r="G383" s="184"/>
      <c r="H383" s="184"/>
      <c r="I383" s="184"/>
      <c r="J383" s="184"/>
      <c r="K383" s="184"/>
      <c r="L383" s="193"/>
      <c r="M383" s="1003"/>
      <c r="N383" s="1002"/>
      <c r="O383" s="1002"/>
      <c r="P383" s="1002"/>
      <c r="Q383" s="1002"/>
      <c r="R383" s="1002"/>
      <c r="S383" s="1002"/>
      <c r="T383" s="1002"/>
      <c r="U383" s="1002"/>
      <c r="V383" s="1002"/>
      <c r="W383" s="1002"/>
      <c r="X383" s="1002"/>
      <c r="Y383" s="1002"/>
      <c r="Z383" s="1002"/>
      <c r="AA383" s="1002"/>
      <c r="AB383" s="1002"/>
      <c r="AC383" s="1002"/>
      <c r="AD383" s="1002"/>
      <c r="AE383" s="1002"/>
      <c r="AF383" s="1002"/>
      <c r="AG383" s="1002"/>
      <c r="AH383" s="1002"/>
      <c r="AI383" s="1002"/>
      <c r="AJ383" s="1002"/>
      <c r="AK383" s="1002"/>
      <c r="AL383" s="1002"/>
      <c r="AM383" s="1002"/>
      <c r="AN383" s="1002"/>
      <c r="AO383" s="1002"/>
      <c r="AP383" s="1002"/>
      <c r="AQ383" s="1002"/>
      <c r="AR383" s="1002"/>
      <c r="AS383" s="1002"/>
      <c r="AT383" s="1002"/>
      <c r="AU383" s="1002"/>
      <c r="AV383" s="1002"/>
      <c r="AW383" s="1002"/>
      <c r="AX383" s="1002"/>
      <c r="AY383" s="1002"/>
      <c r="AZ383" s="1002"/>
      <c r="BA383" s="1002"/>
      <c r="BB383" s="1002"/>
      <c r="BC383" s="1002"/>
      <c r="BD383" s="1002"/>
      <c r="BE383" s="204"/>
      <c r="BF383" s="205" t="s">
        <v>487</v>
      </c>
      <c r="BG383" s="204"/>
      <c r="BH383" s="204" t="s">
        <v>407</v>
      </c>
      <c r="BI383" s="204"/>
      <c r="BJ383" s="204"/>
      <c r="BK383" s="209" t="s">
        <v>514</v>
      </c>
    </row>
    <row r="384" spans="1:63" s="164" customFormat="1" ht="15.75" customHeight="1">
      <c r="A384" s="185"/>
      <c r="B384" s="183" t="s">
        <v>770</v>
      </c>
      <c r="C384" s="184"/>
      <c r="D384" s="184"/>
      <c r="E384" s="184"/>
      <c r="F384" s="184"/>
      <c r="G384" s="184"/>
      <c r="H384" s="184"/>
      <c r="I384" s="184"/>
      <c r="J384" s="184"/>
      <c r="K384" s="184"/>
      <c r="L384" s="193"/>
      <c r="M384" s="1003"/>
      <c r="N384" s="1002"/>
      <c r="O384" s="1002"/>
      <c r="P384" s="1002"/>
      <c r="Q384" s="1002"/>
      <c r="R384" s="1002"/>
      <c r="S384" s="1002"/>
      <c r="T384" s="1002"/>
      <c r="U384" s="1002"/>
      <c r="V384" s="1002"/>
      <c r="W384" s="1002"/>
      <c r="X384" s="1002"/>
      <c r="Y384" s="1002"/>
      <c r="Z384" s="1002"/>
      <c r="AA384" s="1002"/>
      <c r="AB384" s="1002"/>
      <c r="AC384" s="1002"/>
      <c r="AD384" s="1002"/>
      <c r="AE384" s="1002"/>
      <c r="AF384" s="1002"/>
      <c r="AG384" s="1002"/>
      <c r="AH384" s="1002"/>
      <c r="AI384" s="1002"/>
      <c r="AJ384" s="1002"/>
      <c r="AK384" s="1002"/>
      <c r="AL384" s="1002"/>
      <c r="AM384" s="1002"/>
      <c r="AN384" s="1002"/>
      <c r="AO384" s="1002"/>
      <c r="AP384" s="1002"/>
      <c r="AQ384" s="1002"/>
      <c r="AR384" s="1002"/>
      <c r="AS384" s="1002"/>
      <c r="AT384" s="1002"/>
      <c r="AU384" s="1002"/>
      <c r="AV384" s="1002"/>
      <c r="AW384" s="1002"/>
      <c r="AX384" s="1002"/>
      <c r="AY384" s="1002"/>
      <c r="AZ384" s="1002"/>
      <c r="BA384" s="1002"/>
      <c r="BB384" s="1002"/>
      <c r="BC384" s="1002"/>
      <c r="BD384" s="1002"/>
      <c r="BE384" s="204"/>
      <c r="BF384" s="205" t="s">
        <v>487</v>
      </c>
      <c r="BG384" s="204"/>
      <c r="BH384" s="204" t="s">
        <v>407</v>
      </c>
      <c r="BI384" s="204"/>
      <c r="BJ384" s="204"/>
      <c r="BK384" s="209" t="s">
        <v>514</v>
      </c>
    </row>
    <row r="385" spans="1:63" s="164" customFormat="1" ht="15.75" customHeight="1">
      <c r="A385" s="182" t="s">
        <v>411</v>
      </c>
      <c r="B385" s="183" t="s">
        <v>544</v>
      </c>
      <c r="C385" s="184"/>
      <c r="D385" s="184"/>
      <c r="E385" s="184"/>
      <c r="F385" s="184"/>
      <c r="G385" s="184"/>
      <c r="H385" s="184"/>
      <c r="I385" s="184"/>
      <c r="J385" s="184"/>
      <c r="K385" s="184"/>
      <c r="L385" s="193"/>
      <c r="M385" s="1003" t="s">
        <v>771</v>
      </c>
      <c r="N385" s="1002"/>
      <c r="O385" s="1002"/>
      <c r="P385" s="1002"/>
      <c r="Q385" s="1002"/>
      <c r="R385" s="1002"/>
      <c r="S385" s="1002"/>
      <c r="T385" s="1002"/>
      <c r="U385" s="1002"/>
      <c r="V385" s="1002"/>
      <c r="W385" s="1002"/>
      <c r="X385" s="1002"/>
      <c r="Y385" s="1002"/>
      <c r="Z385" s="1002"/>
      <c r="AA385" s="1002"/>
      <c r="AB385" s="1002"/>
      <c r="AC385" s="1002"/>
      <c r="AD385" s="1002"/>
      <c r="AE385" s="1002"/>
      <c r="AF385" s="1002"/>
      <c r="AG385" s="1002"/>
      <c r="AH385" s="1002"/>
      <c r="AI385" s="1002"/>
      <c r="AJ385" s="1002"/>
      <c r="AK385" s="1002"/>
      <c r="AL385" s="1002"/>
      <c r="AM385" s="1002"/>
      <c r="AN385" s="1002"/>
      <c r="AO385" s="1002"/>
      <c r="AP385" s="1002"/>
      <c r="AQ385" s="1002"/>
      <c r="AR385" s="1002"/>
      <c r="AS385" s="1002"/>
      <c r="AT385" s="1002"/>
      <c r="AU385" s="1002"/>
      <c r="AV385" s="1002"/>
      <c r="AW385" s="1002"/>
      <c r="AX385" s="1002"/>
      <c r="AY385" s="1002"/>
      <c r="AZ385" s="1002"/>
      <c r="BA385" s="1002"/>
      <c r="BB385" s="1002"/>
      <c r="BC385" s="1002"/>
      <c r="BD385" s="1002"/>
      <c r="BE385" s="205" t="s">
        <v>486</v>
      </c>
      <c r="BF385" s="205" t="s">
        <v>487</v>
      </c>
      <c r="BG385" s="204"/>
      <c r="BH385" s="204" t="s">
        <v>407</v>
      </c>
      <c r="BI385" s="205" t="s">
        <v>408</v>
      </c>
      <c r="BJ385" s="204"/>
      <c r="BK385" s="206"/>
    </row>
    <row r="386" spans="1:63" s="164" customFormat="1" ht="15.75" customHeight="1">
      <c r="A386" s="185"/>
      <c r="B386" s="183" t="s">
        <v>545</v>
      </c>
      <c r="C386" s="184"/>
      <c r="D386" s="184"/>
      <c r="E386" s="184"/>
      <c r="F386" s="184"/>
      <c r="G386" s="184"/>
      <c r="H386" s="184"/>
      <c r="I386" s="184"/>
      <c r="J386" s="184"/>
      <c r="K386" s="184"/>
      <c r="L386" s="193"/>
      <c r="M386" s="1003"/>
      <c r="N386" s="1002"/>
      <c r="O386" s="1002"/>
      <c r="P386" s="1002"/>
      <c r="Q386" s="1002"/>
      <c r="R386" s="1002"/>
      <c r="S386" s="1002"/>
      <c r="T386" s="1002"/>
      <c r="U386" s="1002"/>
      <c r="V386" s="1002"/>
      <c r="W386" s="1002"/>
      <c r="X386" s="1002"/>
      <c r="Y386" s="1002"/>
      <c r="Z386" s="1002"/>
      <c r="AA386" s="1002"/>
      <c r="AB386" s="1002"/>
      <c r="AC386" s="1002"/>
      <c r="AD386" s="1002"/>
      <c r="AE386" s="1002"/>
      <c r="AF386" s="1002"/>
      <c r="AG386" s="1002"/>
      <c r="AH386" s="1002"/>
      <c r="AI386" s="1002"/>
      <c r="AJ386" s="1002"/>
      <c r="AK386" s="1002"/>
      <c r="AL386" s="1002"/>
      <c r="AM386" s="1002"/>
      <c r="AN386" s="1002"/>
      <c r="AO386" s="1002"/>
      <c r="AP386" s="1002"/>
      <c r="AQ386" s="1002"/>
      <c r="AR386" s="1002"/>
      <c r="AS386" s="1002"/>
      <c r="AT386" s="1002"/>
      <c r="AU386" s="1002"/>
      <c r="AV386" s="1002"/>
      <c r="AW386" s="1002"/>
      <c r="AX386" s="1002"/>
      <c r="AY386" s="1002"/>
      <c r="AZ386" s="1002"/>
      <c r="BA386" s="1002"/>
      <c r="BB386" s="1002"/>
      <c r="BC386" s="1002"/>
      <c r="BD386" s="1002"/>
      <c r="BE386" s="204"/>
      <c r="BF386" s="205" t="s">
        <v>487</v>
      </c>
      <c r="BG386" s="204"/>
      <c r="BH386" s="204" t="s">
        <v>407</v>
      </c>
      <c r="BI386" s="204"/>
      <c r="BJ386" s="204"/>
      <c r="BK386" s="206"/>
    </row>
    <row r="387" spans="1:63" s="164" customFormat="1" ht="31.5" customHeight="1">
      <c r="A387" s="182" t="s">
        <v>411</v>
      </c>
      <c r="B387" s="183" t="s">
        <v>772</v>
      </c>
      <c r="C387" s="184"/>
      <c r="D387" s="184"/>
      <c r="E387" s="184"/>
      <c r="F387" s="184"/>
      <c r="G387" s="184"/>
      <c r="H387" s="184"/>
      <c r="I387" s="184"/>
      <c r="J387" s="184"/>
      <c r="K387" s="184"/>
      <c r="L387" s="193"/>
      <c r="M387" s="1005" t="s">
        <v>773</v>
      </c>
      <c r="N387" s="1005"/>
      <c r="O387" s="1005"/>
      <c r="P387" s="1005"/>
      <c r="Q387" s="1005"/>
      <c r="R387" s="1005"/>
      <c r="S387" s="1005"/>
      <c r="T387" s="1005"/>
      <c r="U387" s="1005"/>
      <c r="V387" s="1005"/>
      <c r="W387" s="1005"/>
      <c r="X387" s="1005"/>
      <c r="Y387" s="1005"/>
      <c r="Z387" s="1005"/>
      <c r="AA387" s="1005"/>
      <c r="AB387" s="1005"/>
      <c r="AC387" s="1005"/>
      <c r="AD387" s="1005"/>
      <c r="AE387" s="1005"/>
      <c r="AF387" s="1005"/>
      <c r="AG387" s="1005"/>
      <c r="AH387" s="1005"/>
      <c r="AI387" s="1005"/>
      <c r="AJ387" s="1005"/>
      <c r="AK387" s="1005"/>
      <c r="AL387" s="1005"/>
      <c r="AM387" s="1005"/>
      <c r="AN387" s="1005"/>
      <c r="AO387" s="1005"/>
      <c r="AP387" s="1005"/>
      <c r="AQ387" s="1005"/>
      <c r="AR387" s="1005"/>
      <c r="AS387" s="1005"/>
      <c r="AT387" s="1005"/>
      <c r="AU387" s="1005"/>
      <c r="AV387" s="1005"/>
      <c r="AW387" s="1005"/>
      <c r="AX387" s="1005"/>
      <c r="AY387" s="1005"/>
      <c r="AZ387" s="1005"/>
      <c r="BA387" s="1005"/>
      <c r="BB387" s="1005"/>
      <c r="BC387" s="1005"/>
      <c r="BD387" s="1005"/>
      <c r="BE387" s="204"/>
      <c r="BF387" s="205" t="s">
        <v>548</v>
      </c>
      <c r="BG387" s="204"/>
      <c r="BH387" s="204" t="s">
        <v>407</v>
      </c>
      <c r="BI387" s="205" t="s">
        <v>408</v>
      </c>
      <c r="BJ387" s="204"/>
      <c r="BK387" s="206"/>
    </row>
    <row r="388" spans="1:63" s="164" customFormat="1" ht="73.5" customHeight="1">
      <c r="A388" s="182" t="s">
        <v>411</v>
      </c>
      <c r="B388" s="183" t="s">
        <v>774</v>
      </c>
      <c r="C388" s="184"/>
      <c r="D388" s="184"/>
      <c r="E388" s="184"/>
      <c r="F388" s="184"/>
      <c r="G388" s="184"/>
      <c r="H388" s="184"/>
      <c r="I388" s="184"/>
      <c r="J388" s="184"/>
      <c r="K388" s="184"/>
      <c r="L388" s="193"/>
      <c r="M388" s="1007" t="s">
        <v>775</v>
      </c>
      <c r="N388" s="1008"/>
      <c r="O388" s="1008"/>
      <c r="P388" s="1008"/>
      <c r="Q388" s="1008"/>
      <c r="R388" s="1008"/>
      <c r="S388" s="1008"/>
      <c r="T388" s="1008"/>
      <c r="U388" s="1008"/>
      <c r="V388" s="1008"/>
      <c r="W388" s="1008"/>
      <c r="X388" s="1008"/>
      <c r="Y388" s="1008"/>
      <c r="Z388" s="1008"/>
      <c r="AA388" s="1008"/>
      <c r="AB388" s="1008"/>
      <c r="AC388" s="1008"/>
      <c r="AD388" s="1008"/>
      <c r="AE388" s="1008"/>
      <c r="AF388" s="1008"/>
      <c r="AG388" s="1008"/>
      <c r="AH388" s="1008"/>
      <c r="AI388" s="1008"/>
      <c r="AJ388" s="1008"/>
      <c r="AK388" s="1008"/>
      <c r="AL388" s="1008"/>
      <c r="AM388" s="1008"/>
      <c r="AN388" s="1008"/>
      <c r="AO388" s="1008"/>
      <c r="AP388" s="1008"/>
      <c r="AQ388" s="1008"/>
      <c r="AR388" s="1008"/>
      <c r="AS388" s="1008"/>
      <c r="AT388" s="1008"/>
      <c r="AU388" s="1008"/>
      <c r="AV388" s="1008"/>
      <c r="AW388" s="1008"/>
      <c r="AX388" s="1008"/>
      <c r="AY388" s="1008"/>
      <c r="AZ388" s="1008"/>
      <c r="BA388" s="1008"/>
      <c r="BB388" s="1008"/>
      <c r="BC388" s="1008"/>
      <c r="BD388" s="1009"/>
      <c r="BE388" s="205" t="s">
        <v>486</v>
      </c>
      <c r="BF388" s="205" t="s">
        <v>487</v>
      </c>
      <c r="BG388" s="204"/>
      <c r="BH388" s="204" t="s">
        <v>407</v>
      </c>
      <c r="BI388" s="205" t="s">
        <v>408</v>
      </c>
      <c r="BJ388" s="204"/>
      <c r="BK388" s="206"/>
    </row>
    <row r="389" spans="1:63" s="164" customFormat="1" ht="15.75" customHeight="1">
      <c r="A389" s="185"/>
      <c r="B389" s="183" t="s">
        <v>776</v>
      </c>
      <c r="C389" s="184"/>
      <c r="D389" s="184"/>
      <c r="E389" s="184"/>
      <c r="F389" s="184"/>
      <c r="G389" s="184"/>
      <c r="H389" s="184"/>
      <c r="I389" s="184"/>
      <c r="J389" s="184"/>
      <c r="K389" s="184"/>
      <c r="L389" s="193"/>
      <c r="M389" s="1003"/>
      <c r="N389" s="1002"/>
      <c r="O389" s="1002"/>
      <c r="P389" s="1002"/>
      <c r="Q389" s="1002"/>
      <c r="R389" s="1002"/>
      <c r="S389" s="1002"/>
      <c r="T389" s="1002"/>
      <c r="U389" s="1002"/>
      <c r="V389" s="1002"/>
      <c r="W389" s="1002"/>
      <c r="X389" s="1002"/>
      <c r="Y389" s="1002"/>
      <c r="Z389" s="1002"/>
      <c r="AA389" s="1002"/>
      <c r="AB389" s="1002"/>
      <c r="AC389" s="1002"/>
      <c r="AD389" s="1002"/>
      <c r="AE389" s="1002"/>
      <c r="AF389" s="1002"/>
      <c r="AG389" s="1002"/>
      <c r="AH389" s="1002"/>
      <c r="AI389" s="1002"/>
      <c r="AJ389" s="1002"/>
      <c r="AK389" s="1002"/>
      <c r="AL389" s="1002"/>
      <c r="AM389" s="1002"/>
      <c r="AN389" s="1002"/>
      <c r="AO389" s="1002"/>
      <c r="AP389" s="1002"/>
      <c r="AQ389" s="1002"/>
      <c r="AR389" s="1002"/>
      <c r="AS389" s="1002"/>
      <c r="AT389" s="1002"/>
      <c r="AU389" s="1002"/>
      <c r="AV389" s="1002"/>
      <c r="AW389" s="1002"/>
      <c r="AX389" s="1002"/>
      <c r="AY389" s="1002"/>
      <c r="AZ389" s="1002"/>
      <c r="BA389" s="1002"/>
      <c r="BB389" s="1002"/>
      <c r="BC389" s="1002"/>
      <c r="BD389" s="1002"/>
      <c r="BE389" s="204"/>
      <c r="BF389" s="205" t="s">
        <v>487</v>
      </c>
      <c r="BG389" s="204"/>
      <c r="BH389" s="204" t="s">
        <v>407</v>
      </c>
      <c r="BI389" s="204"/>
      <c r="BJ389" s="204"/>
      <c r="BK389" s="206"/>
    </row>
    <row r="390" spans="1:63" s="164" customFormat="1" ht="66.75" customHeight="1">
      <c r="A390" s="182" t="s">
        <v>411</v>
      </c>
      <c r="B390" s="183" t="s">
        <v>777</v>
      </c>
      <c r="C390" s="184"/>
      <c r="D390" s="184"/>
      <c r="E390" s="184"/>
      <c r="F390" s="184"/>
      <c r="G390" s="184"/>
      <c r="H390" s="184"/>
      <c r="I390" s="184"/>
      <c r="J390" s="184"/>
      <c r="K390" s="184"/>
      <c r="L390" s="193"/>
      <c r="M390" s="1005" t="s">
        <v>778</v>
      </c>
      <c r="N390" s="1005"/>
      <c r="O390" s="1005"/>
      <c r="P390" s="1005"/>
      <c r="Q390" s="1005"/>
      <c r="R390" s="1005"/>
      <c r="S390" s="1005"/>
      <c r="T390" s="1005"/>
      <c r="U390" s="1005"/>
      <c r="V390" s="1005"/>
      <c r="W390" s="1005"/>
      <c r="X390" s="1005"/>
      <c r="Y390" s="1005"/>
      <c r="Z390" s="1005"/>
      <c r="AA390" s="1005"/>
      <c r="AB390" s="1005"/>
      <c r="AC390" s="1005"/>
      <c r="AD390" s="1005"/>
      <c r="AE390" s="1005"/>
      <c r="AF390" s="1005"/>
      <c r="AG390" s="1005"/>
      <c r="AH390" s="1005"/>
      <c r="AI390" s="1005"/>
      <c r="AJ390" s="1005"/>
      <c r="AK390" s="1005"/>
      <c r="AL390" s="1005"/>
      <c r="AM390" s="1005"/>
      <c r="AN390" s="1005"/>
      <c r="AO390" s="1005"/>
      <c r="AP390" s="1005"/>
      <c r="AQ390" s="1005"/>
      <c r="AR390" s="1005"/>
      <c r="AS390" s="1005"/>
      <c r="AT390" s="1005"/>
      <c r="AU390" s="1005"/>
      <c r="AV390" s="1005"/>
      <c r="AW390" s="1005"/>
      <c r="AX390" s="1005"/>
      <c r="AY390" s="1005"/>
      <c r="AZ390" s="1005"/>
      <c r="BA390" s="1005"/>
      <c r="BB390" s="1005"/>
      <c r="BC390" s="1005"/>
      <c r="BD390" s="1005"/>
      <c r="BE390" s="204"/>
      <c r="BF390" s="205" t="s">
        <v>419</v>
      </c>
      <c r="BG390" s="204"/>
      <c r="BH390" s="204" t="s">
        <v>407</v>
      </c>
      <c r="BI390" s="205" t="s">
        <v>408</v>
      </c>
      <c r="BJ390" s="204"/>
      <c r="BK390" s="206"/>
    </row>
    <row r="391" spans="1:63" s="164" customFormat="1" ht="82.5" customHeight="1">
      <c r="A391" s="182" t="s">
        <v>411</v>
      </c>
      <c r="B391" s="183" t="s">
        <v>779</v>
      </c>
      <c r="C391" s="184"/>
      <c r="D391" s="184"/>
      <c r="E391" s="184"/>
      <c r="F391" s="184"/>
      <c r="G391" s="184"/>
      <c r="H391" s="184"/>
      <c r="I391" s="184"/>
      <c r="J391" s="184"/>
      <c r="K391" s="184"/>
      <c r="L391" s="193"/>
      <c r="M391" s="1005" t="s">
        <v>780</v>
      </c>
      <c r="N391" s="1005"/>
      <c r="O391" s="1005"/>
      <c r="P391" s="1005"/>
      <c r="Q391" s="1005"/>
      <c r="R391" s="1005"/>
      <c r="S391" s="1005"/>
      <c r="T391" s="1005"/>
      <c r="U391" s="1005"/>
      <c r="V391" s="1005"/>
      <c r="W391" s="1005"/>
      <c r="X391" s="1005"/>
      <c r="Y391" s="1005"/>
      <c r="Z391" s="1005"/>
      <c r="AA391" s="1005"/>
      <c r="AB391" s="1005"/>
      <c r="AC391" s="1005"/>
      <c r="AD391" s="1005"/>
      <c r="AE391" s="1005"/>
      <c r="AF391" s="1005"/>
      <c r="AG391" s="1005"/>
      <c r="AH391" s="1005"/>
      <c r="AI391" s="1005"/>
      <c r="AJ391" s="1005"/>
      <c r="AK391" s="1005"/>
      <c r="AL391" s="1005"/>
      <c r="AM391" s="1005"/>
      <c r="AN391" s="1005"/>
      <c r="AO391" s="1005"/>
      <c r="AP391" s="1005"/>
      <c r="AQ391" s="1005"/>
      <c r="AR391" s="1005"/>
      <c r="AS391" s="1005"/>
      <c r="AT391" s="1005"/>
      <c r="AU391" s="1005"/>
      <c r="AV391" s="1005"/>
      <c r="AW391" s="1005"/>
      <c r="AX391" s="1005"/>
      <c r="AY391" s="1005"/>
      <c r="AZ391" s="1005"/>
      <c r="BA391" s="1005"/>
      <c r="BB391" s="1005"/>
      <c r="BC391" s="1005"/>
      <c r="BD391" s="1005"/>
      <c r="BE391" s="204"/>
      <c r="BF391" s="205" t="s">
        <v>548</v>
      </c>
      <c r="BG391" s="204"/>
      <c r="BH391" s="204" t="s">
        <v>407</v>
      </c>
      <c r="BI391" s="205" t="s">
        <v>408</v>
      </c>
      <c r="BJ391" s="204"/>
      <c r="BK391" s="206"/>
    </row>
    <row r="392" spans="1:63" s="164" customFormat="1" ht="45" customHeight="1">
      <c r="A392" s="182" t="s">
        <v>411</v>
      </c>
      <c r="B392" s="183" t="s">
        <v>781</v>
      </c>
      <c r="C392" s="184"/>
      <c r="D392" s="184"/>
      <c r="E392" s="184"/>
      <c r="F392" s="184"/>
      <c r="G392" s="184"/>
      <c r="H392" s="184"/>
      <c r="I392" s="184"/>
      <c r="J392" s="184"/>
      <c r="K392" s="184"/>
      <c r="L392" s="193"/>
      <c r="M392" s="1005" t="s">
        <v>782</v>
      </c>
      <c r="N392" s="1005"/>
      <c r="O392" s="1005"/>
      <c r="P392" s="1005"/>
      <c r="Q392" s="1005"/>
      <c r="R392" s="1005"/>
      <c r="S392" s="1005"/>
      <c r="T392" s="1005"/>
      <c r="U392" s="1005"/>
      <c r="V392" s="1005"/>
      <c r="W392" s="1005"/>
      <c r="X392" s="1005"/>
      <c r="Y392" s="1005"/>
      <c r="Z392" s="1005"/>
      <c r="AA392" s="1005"/>
      <c r="AB392" s="1005"/>
      <c r="AC392" s="1005"/>
      <c r="AD392" s="1005"/>
      <c r="AE392" s="1005"/>
      <c r="AF392" s="1005"/>
      <c r="AG392" s="1005"/>
      <c r="AH392" s="1005"/>
      <c r="AI392" s="1005"/>
      <c r="AJ392" s="1005"/>
      <c r="AK392" s="1005"/>
      <c r="AL392" s="1005"/>
      <c r="AM392" s="1005"/>
      <c r="AN392" s="1005"/>
      <c r="AO392" s="1005"/>
      <c r="AP392" s="1005"/>
      <c r="AQ392" s="1005"/>
      <c r="AR392" s="1005"/>
      <c r="AS392" s="1005"/>
      <c r="AT392" s="1005"/>
      <c r="AU392" s="1005"/>
      <c r="AV392" s="1005"/>
      <c r="AW392" s="1005"/>
      <c r="AX392" s="1005"/>
      <c r="AY392" s="1005"/>
      <c r="AZ392" s="1005"/>
      <c r="BA392" s="1005"/>
      <c r="BB392" s="1005"/>
      <c r="BC392" s="1005"/>
      <c r="BD392" s="1005"/>
      <c r="BE392" s="204"/>
      <c r="BF392" s="205" t="s">
        <v>419</v>
      </c>
      <c r="BG392" s="204"/>
      <c r="BH392" s="204" t="s">
        <v>407</v>
      </c>
      <c r="BI392" s="205" t="s">
        <v>408</v>
      </c>
      <c r="BJ392" s="204"/>
      <c r="BK392" s="206"/>
    </row>
    <row r="393" spans="1:63" s="164" customFormat="1" ht="31.5" customHeight="1">
      <c r="A393" s="182"/>
      <c r="B393" s="183" t="s">
        <v>783</v>
      </c>
      <c r="C393" s="184"/>
      <c r="D393" s="184"/>
      <c r="E393" s="184"/>
      <c r="F393" s="184"/>
      <c r="G393" s="184"/>
      <c r="H393" s="184"/>
      <c r="I393" s="184"/>
      <c r="J393" s="184"/>
      <c r="K393" s="184"/>
      <c r="L393" s="193"/>
      <c r="M393" s="1011" t="s">
        <v>784</v>
      </c>
      <c r="N393" s="1011"/>
      <c r="O393" s="1011"/>
      <c r="P393" s="1011"/>
      <c r="Q393" s="1011"/>
      <c r="R393" s="1011"/>
      <c r="S393" s="1011"/>
      <c r="T393" s="1011"/>
      <c r="U393" s="1011"/>
      <c r="V393" s="1011"/>
      <c r="W393" s="1011"/>
      <c r="X393" s="1011"/>
      <c r="Y393" s="1011"/>
      <c r="Z393" s="1011"/>
      <c r="AA393" s="1011"/>
      <c r="AB393" s="1011"/>
      <c r="AC393" s="1011"/>
      <c r="AD393" s="1011"/>
      <c r="AE393" s="1011"/>
      <c r="AF393" s="1011"/>
      <c r="AG393" s="1011"/>
      <c r="AH393" s="1011"/>
      <c r="AI393" s="1011"/>
      <c r="AJ393" s="1011"/>
      <c r="AK393" s="1011"/>
      <c r="AL393" s="1011"/>
      <c r="AM393" s="1011"/>
      <c r="AN393" s="1011"/>
      <c r="AO393" s="1011"/>
      <c r="AP393" s="1011"/>
      <c r="AQ393" s="1011"/>
      <c r="AR393" s="1011"/>
      <c r="AS393" s="1011"/>
      <c r="AT393" s="1011"/>
      <c r="AU393" s="1011"/>
      <c r="AV393" s="1011"/>
      <c r="AW393" s="1011"/>
      <c r="AX393" s="1011"/>
      <c r="AY393" s="1011"/>
      <c r="AZ393" s="1011"/>
      <c r="BA393" s="1011"/>
      <c r="BB393" s="1011"/>
      <c r="BC393" s="1011"/>
      <c r="BD393" s="1011"/>
      <c r="BE393" s="204"/>
      <c r="BF393" s="205" t="s">
        <v>548</v>
      </c>
      <c r="BG393" s="204"/>
      <c r="BH393" s="204" t="s">
        <v>407</v>
      </c>
      <c r="BI393" s="205"/>
      <c r="BJ393" s="204"/>
      <c r="BK393" s="206"/>
    </row>
    <row r="394" spans="1:63" s="164" customFormat="1" ht="15.75" customHeight="1">
      <c r="A394" s="182"/>
      <c r="B394" s="183" t="s">
        <v>785</v>
      </c>
      <c r="C394" s="184"/>
      <c r="D394" s="184"/>
      <c r="E394" s="184"/>
      <c r="F394" s="184"/>
      <c r="G394" s="184"/>
      <c r="H394" s="184"/>
      <c r="I394" s="184"/>
      <c r="J394" s="184"/>
      <c r="K394" s="184"/>
      <c r="L394" s="193"/>
      <c r="M394" s="1011" t="s">
        <v>786</v>
      </c>
      <c r="N394" s="1011"/>
      <c r="O394" s="1011"/>
      <c r="P394" s="1011"/>
      <c r="Q394" s="1011"/>
      <c r="R394" s="1011"/>
      <c r="S394" s="1011"/>
      <c r="T394" s="1011"/>
      <c r="U394" s="1011"/>
      <c r="V394" s="1011"/>
      <c r="W394" s="1011"/>
      <c r="X394" s="1011"/>
      <c r="Y394" s="1011"/>
      <c r="Z394" s="1011"/>
      <c r="AA394" s="1011"/>
      <c r="AB394" s="1011"/>
      <c r="AC394" s="1011"/>
      <c r="AD394" s="1011"/>
      <c r="AE394" s="1011"/>
      <c r="AF394" s="1011"/>
      <c r="AG394" s="1011"/>
      <c r="AH394" s="1011"/>
      <c r="AI394" s="1011"/>
      <c r="AJ394" s="1011"/>
      <c r="AK394" s="1011"/>
      <c r="AL394" s="1011"/>
      <c r="AM394" s="1011"/>
      <c r="AN394" s="1011"/>
      <c r="AO394" s="1011"/>
      <c r="AP394" s="1011"/>
      <c r="AQ394" s="1011"/>
      <c r="AR394" s="1011"/>
      <c r="AS394" s="1011"/>
      <c r="AT394" s="1011"/>
      <c r="AU394" s="1011"/>
      <c r="AV394" s="1011"/>
      <c r="AW394" s="1011"/>
      <c r="AX394" s="1011"/>
      <c r="AY394" s="1011"/>
      <c r="AZ394" s="1011"/>
      <c r="BA394" s="1011"/>
      <c r="BB394" s="1011"/>
      <c r="BC394" s="1011"/>
      <c r="BD394" s="1011"/>
      <c r="BE394" s="204"/>
      <c r="BF394" s="205" t="s">
        <v>548</v>
      </c>
      <c r="BG394" s="204"/>
      <c r="BH394" s="204" t="s">
        <v>407</v>
      </c>
      <c r="BI394" s="205"/>
      <c r="BJ394" s="204"/>
      <c r="BK394" s="206"/>
    </row>
    <row r="395" spans="1:63" s="164" customFormat="1" ht="64.5" customHeight="1">
      <c r="A395" s="182" t="s">
        <v>411</v>
      </c>
      <c r="B395" s="183" t="s">
        <v>787</v>
      </c>
      <c r="C395" s="184"/>
      <c r="D395" s="184"/>
      <c r="E395" s="184"/>
      <c r="F395" s="184"/>
      <c r="G395" s="184"/>
      <c r="H395" s="184"/>
      <c r="I395" s="184"/>
      <c r="J395" s="184"/>
      <c r="K395" s="184"/>
      <c r="L395" s="193"/>
      <c r="M395" s="1005" t="s">
        <v>788</v>
      </c>
      <c r="N395" s="1005"/>
      <c r="O395" s="1005"/>
      <c r="P395" s="1005"/>
      <c r="Q395" s="1005"/>
      <c r="R395" s="1005"/>
      <c r="S395" s="1005"/>
      <c r="T395" s="1005"/>
      <c r="U395" s="1005"/>
      <c r="V395" s="1005"/>
      <c r="W395" s="1005"/>
      <c r="X395" s="1005"/>
      <c r="Y395" s="1005"/>
      <c r="Z395" s="1005"/>
      <c r="AA395" s="1005"/>
      <c r="AB395" s="1005"/>
      <c r="AC395" s="1005"/>
      <c r="AD395" s="1005"/>
      <c r="AE395" s="1005"/>
      <c r="AF395" s="1005"/>
      <c r="AG395" s="1005"/>
      <c r="AH395" s="1005"/>
      <c r="AI395" s="1005"/>
      <c r="AJ395" s="1005"/>
      <c r="AK395" s="1005"/>
      <c r="AL395" s="1005"/>
      <c r="AM395" s="1005"/>
      <c r="AN395" s="1005"/>
      <c r="AO395" s="1005"/>
      <c r="AP395" s="1005"/>
      <c r="AQ395" s="1005"/>
      <c r="AR395" s="1005"/>
      <c r="AS395" s="1005"/>
      <c r="AT395" s="1005"/>
      <c r="AU395" s="1005"/>
      <c r="AV395" s="1005"/>
      <c r="AW395" s="1005"/>
      <c r="AX395" s="1005"/>
      <c r="AY395" s="1005"/>
      <c r="AZ395" s="1005"/>
      <c r="BA395" s="1005"/>
      <c r="BB395" s="1005"/>
      <c r="BC395" s="1005"/>
      <c r="BD395" s="1005"/>
      <c r="BE395" s="204"/>
      <c r="BF395" s="205" t="s">
        <v>419</v>
      </c>
      <c r="BG395" s="204"/>
      <c r="BH395" s="204" t="s">
        <v>407</v>
      </c>
      <c r="BI395" s="205" t="s">
        <v>408</v>
      </c>
      <c r="BJ395" s="204"/>
      <c r="BK395" s="206"/>
    </row>
    <row r="396" spans="1:63" s="164" customFormat="1" ht="15.75" customHeight="1">
      <c r="A396" s="182" t="s">
        <v>411</v>
      </c>
      <c r="B396" s="183" t="s">
        <v>789</v>
      </c>
      <c r="C396" s="184"/>
      <c r="D396" s="184"/>
      <c r="E396" s="184"/>
      <c r="F396" s="184"/>
      <c r="G396" s="184"/>
      <c r="H396" s="184"/>
      <c r="I396" s="184"/>
      <c r="J396" s="184"/>
      <c r="K396" s="184"/>
      <c r="L396" s="193"/>
      <c r="M396" s="1003"/>
      <c r="N396" s="1002"/>
      <c r="O396" s="1002"/>
      <c r="P396" s="1002"/>
      <c r="Q396" s="1002"/>
      <c r="R396" s="1002"/>
      <c r="S396" s="1002"/>
      <c r="T396" s="1002"/>
      <c r="U396" s="1002"/>
      <c r="V396" s="1002"/>
      <c r="W396" s="1002"/>
      <c r="X396" s="1002"/>
      <c r="Y396" s="1002"/>
      <c r="Z396" s="1002"/>
      <c r="AA396" s="1002"/>
      <c r="AB396" s="1002"/>
      <c r="AC396" s="1002"/>
      <c r="AD396" s="1002"/>
      <c r="AE396" s="1002"/>
      <c r="AF396" s="1002"/>
      <c r="AG396" s="1002"/>
      <c r="AH396" s="1002"/>
      <c r="AI396" s="1002"/>
      <c r="AJ396" s="1002"/>
      <c r="AK396" s="1002"/>
      <c r="AL396" s="1002"/>
      <c r="AM396" s="1002"/>
      <c r="AN396" s="1002"/>
      <c r="AO396" s="1002"/>
      <c r="AP396" s="1002"/>
      <c r="AQ396" s="1002"/>
      <c r="AR396" s="1002"/>
      <c r="AS396" s="1002"/>
      <c r="AT396" s="1002"/>
      <c r="AU396" s="1002"/>
      <c r="AV396" s="1002"/>
      <c r="AW396" s="1002"/>
      <c r="AX396" s="1002"/>
      <c r="AY396" s="1002"/>
      <c r="AZ396" s="1002"/>
      <c r="BA396" s="1002"/>
      <c r="BB396" s="1002"/>
      <c r="BC396" s="1002"/>
      <c r="BD396" s="1002"/>
      <c r="BE396" s="205" t="s">
        <v>486</v>
      </c>
      <c r="BF396" s="205" t="s">
        <v>487</v>
      </c>
      <c r="BG396" s="204"/>
      <c r="BH396" s="204" t="s">
        <v>407</v>
      </c>
      <c r="BI396" s="205" t="s">
        <v>408</v>
      </c>
      <c r="BJ396" s="204"/>
      <c r="BK396" s="206"/>
    </row>
    <row r="397" spans="1:63" s="164" customFormat="1" ht="15.75" customHeight="1">
      <c r="A397" s="185"/>
      <c r="B397" s="183" t="s">
        <v>790</v>
      </c>
      <c r="C397" s="184"/>
      <c r="D397" s="184"/>
      <c r="E397" s="184"/>
      <c r="F397" s="184"/>
      <c r="G397" s="184"/>
      <c r="H397" s="184"/>
      <c r="I397" s="184"/>
      <c r="J397" s="184"/>
      <c r="K397" s="184"/>
      <c r="L397" s="193"/>
      <c r="M397" s="1003"/>
      <c r="N397" s="1002"/>
      <c r="O397" s="1002"/>
      <c r="P397" s="1002"/>
      <c r="Q397" s="1002"/>
      <c r="R397" s="1002"/>
      <c r="S397" s="1002"/>
      <c r="T397" s="1002"/>
      <c r="U397" s="1002"/>
      <c r="V397" s="1002"/>
      <c r="W397" s="1002"/>
      <c r="X397" s="1002"/>
      <c r="Y397" s="1002"/>
      <c r="Z397" s="1002"/>
      <c r="AA397" s="1002"/>
      <c r="AB397" s="1002"/>
      <c r="AC397" s="1002"/>
      <c r="AD397" s="1002"/>
      <c r="AE397" s="1002"/>
      <c r="AF397" s="1002"/>
      <c r="AG397" s="1002"/>
      <c r="AH397" s="1002"/>
      <c r="AI397" s="1002"/>
      <c r="AJ397" s="1002"/>
      <c r="AK397" s="1002"/>
      <c r="AL397" s="1002"/>
      <c r="AM397" s="1002"/>
      <c r="AN397" s="1002"/>
      <c r="AO397" s="1002"/>
      <c r="AP397" s="1002"/>
      <c r="AQ397" s="1002"/>
      <c r="AR397" s="1002"/>
      <c r="AS397" s="1002"/>
      <c r="AT397" s="1002"/>
      <c r="AU397" s="1002"/>
      <c r="AV397" s="1002"/>
      <c r="AW397" s="1002"/>
      <c r="AX397" s="1002"/>
      <c r="AY397" s="1002"/>
      <c r="AZ397" s="1002"/>
      <c r="BA397" s="1002"/>
      <c r="BB397" s="1002"/>
      <c r="BC397" s="1002"/>
      <c r="BD397" s="1002"/>
      <c r="BE397" s="204"/>
      <c r="BF397" s="205" t="s">
        <v>487</v>
      </c>
      <c r="BG397" s="204"/>
      <c r="BH397" s="204" t="s">
        <v>407</v>
      </c>
      <c r="BI397" s="204"/>
      <c r="BJ397" s="204"/>
      <c r="BK397" s="206"/>
    </row>
    <row r="398" spans="1:63" s="164" customFormat="1" ht="15.75" customHeight="1">
      <c r="A398" s="185"/>
      <c r="B398" s="183" t="s">
        <v>791</v>
      </c>
      <c r="C398" s="184"/>
      <c r="D398" s="184"/>
      <c r="E398" s="184"/>
      <c r="F398" s="184"/>
      <c r="G398" s="184"/>
      <c r="H398" s="184"/>
      <c r="I398" s="184"/>
      <c r="J398" s="184"/>
      <c r="K398" s="184"/>
      <c r="L398" s="193"/>
      <c r="M398" s="1003"/>
      <c r="N398" s="1002"/>
      <c r="O398" s="1002"/>
      <c r="P398" s="1002"/>
      <c r="Q398" s="1002"/>
      <c r="R398" s="1002"/>
      <c r="S398" s="1002"/>
      <c r="T398" s="1002"/>
      <c r="U398" s="1002"/>
      <c r="V398" s="1002"/>
      <c r="W398" s="1002"/>
      <c r="X398" s="1002"/>
      <c r="Y398" s="1002"/>
      <c r="Z398" s="1002"/>
      <c r="AA398" s="1002"/>
      <c r="AB398" s="1002"/>
      <c r="AC398" s="1002"/>
      <c r="AD398" s="1002"/>
      <c r="AE398" s="1002"/>
      <c r="AF398" s="1002"/>
      <c r="AG398" s="1002"/>
      <c r="AH398" s="1002"/>
      <c r="AI398" s="1002"/>
      <c r="AJ398" s="1002"/>
      <c r="AK398" s="1002"/>
      <c r="AL398" s="1002"/>
      <c r="AM398" s="1002"/>
      <c r="AN398" s="1002"/>
      <c r="AO398" s="1002"/>
      <c r="AP398" s="1002"/>
      <c r="AQ398" s="1002"/>
      <c r="AR398" s="1002"/>
      <c r="AS398" s="1002"/>
      <c r="AT398" s="1002"/>
      <c r="AU398" s="1002"/>
      <c r="AV398" s="1002"/>
      <c r="AW398" s="1002"/>
      <c r="AX398" s="1002"/>
      <c r="AY398" s="1002"/>
      <c r="AZ398" s="1002"/>
      <c r="BA398" s="1002"/>
      <c r="BB398" s="1002"/>
      <c r="BC398" s="1002"/>
      <c r="BD398" s="1002"/>
      <c r="BE398" s="204"/>
      <c r="BF398" s="205" t="s">
        <v>548</v>
      </c>
      <c r="BG398" s="204"/>
      <c r="BH398" s="204" t="s">
        <v>407</v>
      </c>
      <c r="BI398" s="204"/>
      <c r="BJ398" s="204"/>
      <c r="BK398" s="206"/>
    </row>
    <row r="399" spans="1:63" s="164" customFormat="1" ht="15.75" customHeight="1">
      <c r="A399" s="185"/>
      <c r="B399" s="183" t="s">
        <v>792</v>
      </c>
      <c r="C399" s="184"/>
      <c r="D399" s="184"/>
      <c r="E399" s="184"/>
      <c r="F399" s="184"/>
      <c r="G399" s="184"/>
      <c r="H399" s="184"/>
      <c r="I399" s="184"/>
      <c r="J399" s="184"/>
      <c r="K399" s="184"/>
      <c r="L399" s="193"/>
      <c r="M399" s="1005" t="s">
        <v>793</v>
      </c>
      <c r="N399" s="1005"/>
      <c r="O399" s="1005"/>
      <c r="P399" s="1005"/>
      <c r="Q399" s="1005"/>
      <c r="R399" s="1005"/>
      <c r="S399" s="1005"/>
      <c r="T399" s="1005"/>
      <c r="U399" s="1005"/>
      <c r="V399" s="1005"/>
      <c r="W399" s="1005"/>
      <c r="X399" s="1005"/>
      <c r="Y399" s="1005"/>
      <c r="Z399" s="1005"/>
      <c r="AA399" s="1005"/>
      <c r="AB399" s="1005"/>
      <c r="AC399" s="1005"/>
      <c r="AD399" s="1005"/>
      <c r="AE399" s="1005"/>
      <c r="AF399" s="1005"/>
      <c r="AG399" s="1005"/>
      <c r="AH399" s="1005"/>
      <c r="AI399" s="1005"/>
      <c r="AJ399" s="1005"/>
      <c r="AK399" s="1005"/>
      <c r="AL399" s="1005"/>
      <c r="AM399" s="1005"/>
      <c r="AN399" s="1005"/>
      <c r="AO399" s="1005"/>
      <c r="AP399" s="1005"/>
      <c r="AQ399" s="1005"/>
      <c r="AR399" s="1005"/>
      <c r="AS399" s="1005"/>
      <c r="AT399" s="1005"/>
      <c r="AU399" s="1005"/>
      <c r="AV399" s="1005"/>
      <c r="AW399" s="1005"/>
      <c r="AX399" s="1005"/>
      <c r="AY399" s="1005"/>
      <c r="AZ399" s="1005"/>
      <c r="BA399" s="1005"/>
      <c r="BB399" s="1005"/>
      <c r="BC399" s="1005"/>
      <c r="BD399" s="1005"/>
      <c r="BE399" s="204"/>
      <c r="BF399" s="205" t="s">
        <v>548</v>
      </c>
      <c r="BG399" s="204"/>
      <c r="BH399" s="204" t="s">
        <v>407</v>
      </c>
      <c r="BI399" s="204"/>
      <c r="BJ399" s="204"/>
      <c r="BK399" s="206"/>
    </row>
    <row r="400" spans="1:63" s="164" customFormat="1" ht="28.5" customHeight="1">
      <c r="A400" s="182" t="s">
        <v>411</v>
      </c>
      <c r="B400" s="183" t="s">
        <v>794</v>
      </c>
      <c r="C400" s="184"/>
      <c r="D400" s="184"/>
      <c r="E400" s="184"/>
      <c r="F400" s="184"/>
      <c r="G400" s="184"/>
      <c r="H400" s="184"/>
      <c r="I400" s="184"/>
      <c r="J400" s="184"/>
      <c r="K400" s="184"/>
      <c r="L400" s="193"/>
      <c r="M400" s="1005" t="s">
        <v>795</v>
      </c>
      <c r="N400" s="1005"/>
      <c r="O400" s="1005"/>
      <c r="P400" s="1005"/>
      <c r="Q400" s="1005"/>
      <c r="R400" s="1005"/>
      <c r="S400" s="1005"/>
      <c r="T400" s="1005"/>
      <c r="U400" s="1005"/>
      <c r="V400" s="1005"/>
      <c r="W400" s="1005"/>
      <c r="X400" s="1005"/>
      <c r="Y400" s="1005"/>
      <c r="Z400" s="1005"/>
      <c r="AA400" s="1005"/>
      <c r="AB400" s="1005"/>
      <c r="AC400" s="1005"/>
      <c r="AD400" s="1005"/>
      <c r="AE400" s="1005"/>
      <c r="AF400" s="1005"/>
      <c r="AG400" s="1005"/>
      <c r="AH400" s="1005"/>
      <c r="AI400" s="1005"/>
      <c r="AJ400" s="1005"/>
      <c r="AK400" s="1005"/>
      <c r="AL400" s="1005"/>
      <c r="AM400" s="1005"/>
      <c r="AN400" s="1005"/>
      <c r="AO400" s="1005"/>
      <c r="AP400" s="1005"/>
      <c r="AQ400" s="1005"/>
      <c r="AR400" s="1005"/>
      <c r="AS400" s="1005"/>
      <c r="AT400" s="1005"/>
      <c r="AU400" s="1005"/>
      <c r="AV400" s="1005"/>
      <c r="AW400" s="1005"/>
      <c r="AX400" s="1005"/>
      <c r="AY400" s="1005"/>
      <c r="AZ400" s="1005"/>
      <c r="BA400" s="1005"/>
      <c r="BB400" s="1005"/>
      <c r="BC400" s="1005"/>
      <c r="BD400" s="1005"/>
      <c r="BE400" s="204"/>
      <c r="BF400" s="205" t="s">
        <v>548</v>
      </c>
      <c r="BG400" s="204"/>
      <c r="BH400" s="204" t="s">
        <v>407</v>
      </c>
      <c r="BI400" s="205" t="s">
        <v>408</v>
      </c>
      <c r="BJ400" s="204"/>
      <c r="BK400" s="206"/>
    </row>
    <row r="401" spans="1:63" s="164" customFormat="1" ht="15.75" customHeight="1">
      <c r="A401" s="182" t="s">
        <v>411</v>
      </c>
      <c r="B401" s="183" t="s">
        <v>796</v>
      </c>
      <c r="C401" s="184"/>
      <c r="D401" s="184"/>
      <c r="E401" s="184"/>
      <c r="F401" s="184"/>
      <c r="G401" s="184"/>
      <c r="H401" s="184"/>
      <c r="I401" s="184"/>
      <c r="J401" s="184"/>
      <c r="K401" s="184"/>
      <c r="L401" s="193"/>
      <c r="M401" s="1011" t="s">
        <v>797</v>
      </c>
      <c r="N401" s="1011"/>
      <c r="O401" s="1011"/>
      <c r="P401" s="1011"/>
      <c r="Q401" s="1011"/>
      <c r="R401" s="1011"/>
      <c r="S401" s="1011"/>
      <c r="T401" s="1011"/>
      <c r="U401" s="1011"/>
      <c r="V401" s="1011"/>
      <c r="W401" s="1011"/>
      <c r="X401" s="1011"/>
      <c r="Y401" s="1011"/>
      <c r="Z401" s="1011"/>
      <c r="AA401" s="1011"/>
      <c r="AB401" s="1011"/>
      <c r="AC401" s="1011"/>
      <c r="AD401" s="1011"/>
      <c r="AE401" s="1011"/>
      <c r="AF401" s="1011"/>
      <c r="AG401" s="1011"/>
      <c r="AH401" s="1011"/>
      <c r="AI401" s="1011"/>
      <c r="AJ401" s="1011"/>
      <c r="AK401" s="1011"/>
      <c r="AL401" s="1011"/>
      <c r="AM401" s="1011"/>
      <c r="AN401" s="1011"/>
      <c r="AO401" s="1011"/>
      <c r="AP401" s="1011"/>
      <c r="AQ401" s="1011"/>
      <c r="AR401" s="1011"/>
      <c r="AS401" s="1011"/>
      <c r="AT401" s="1011"/>
      <c r="AU401" s="1011"/>
      <c r="AV401" s="1011"/>
      <c r="AW401" s="1011"/>
      <c r="AX401" s="1011"/>
      <c r="AY401" s="1011"/>
      <c r="AZ401" s="1011"/>
      <c r="BA401" s="1011"/>
      <c r="BB401" s="1011"/>
      <c r="BC401" s="1011"/>
      <c r="BD401" s="1011"/>
      <c r="BE401" s="205" t="s">
        <v>486</v>
      </c>
      <c r="BF401" s="205" t="s">
        <v>487</v>
      </c>
      <c r="BG401" s="204"/>
      <c r="BH401" s="204" t="s">
        <v>407</v>
      </c>
      <c r="BI401" s="205" t="s">
        <v>408</v>
      </c>
      <c r="BJ401" s="204"/>
      <c r="BK401" s="206"/>
    </row>
    <row r="402" spans="1:63" s="164" customFormat="1" ht="15.75" customHeight="1">
      <c r="A402" s="185"/>
      <c r="B402" s="183" t="s">
        <v>798</v>
      </c>
      <c r="C402" s="184"/>
      <c r="D402" s="184"/>
      <c r="E402" s="184"/>
      <c r="F402" s="184"/>
      <c r="G402" s="184"/>
      <c r="H402" s="184"/>
      <c r="I402" s="184"/>
      <c r="J402" s="184"/>
      <c r="K402" s="184"/>
      <c r="L402" s="193"/>
      <c r="M402" s="1003"/>
      <c r="N402" s="1002"/>
      <c r="O402" s="1002"/>
      <c r="P402" s="1002"/>
      <c r="Q402" s="1002"/>
      <c r="R402" s="1002"/>
      <c r="S402" s="1002"/>
      <c r="T402" s="1002"/>
      <c r="U402" s="1002"/>
      <c r="V402" s="1002"/>
      <c r="W402" s="1002"/>
      <c r="X402" s="1002"/>
      <c r="Y402" s="1002"/>
      <c r="Z402" s="1002"/>
      <c r="AA402" s="1002"/>
      <c r="AB402" s="1002"/>
      <c r="AC402" s="1002"/>
      <c r="AD402" s="1002"/>
      <c r="AE402" s="1002"/>
      <c r="AF402" s="1002"/>
      <c r="AG402" s="1002"/>
      <c r="AH402" s="1002"/>
      <c r="AI402" s="1002"/>
      <c r="AJ402" s="1002"/>
      <c r="AK402" s="1002"/>
      <c r="AL402" s="1002"/>
      <c r="AM402" s="1002"/>
      <c r="AN402" s="1002"/>
      <c r="AO402" s="1002"/>
      <c r="AP402" s="1002"/>
      <c r="AQ402" s="1002"/>
      <c r="AR402" s="1002"/>
      <c r="AS402" s="1002"/>
      <c r="AT402" s="1002"/>
      <c r="AU402" s="1002"/>
      <c r="AV402" s="1002"/>
      <c r="AW402" s="1002"/>
      <c r="AX402" s="1002"/>
      <c r="AY402" s="1002"/>
      <c r="AZ402" s="1002"/>
      <c r="BA402" s="1002"/>
      <c r="BB402" s="1002"/>
      <c r="BC402" s="1002"/>
      <c r="BD402" s="1002"/>
      <c r="BE402" s="204"/>
      <c r="BF402" s="205" t="s">
        <v>487</v>
      </c>
      <c r="BG402" s="204"/>
      <c r="BH402" s="204" t="s">
        <v>407</v>
      </c>
      <c r="BI402" s="204"/>
      <c r="BJ402" s="204"/>
      <c r="BK402" s="206"/>
    </row>
    <row r="403" spans="1:63" s="164" customFormat="1" ht="50.25" customHeight="1">
      <c r="A403" s="182" t="s">
        <v>411</v>
      </c>
      <c r="B403" s="183" t="s">
        <v>799</v>
      </c>
      <c r="C403" s="184"/>
      <c r="D403" s="184"/>
      <c r="E403" s="184"/>
      <c r="F403" s="184"/>
      <c r="G403" s="184"/>
      <c r="H403" s="184"/>
      <c r="I403" s="184"/>
      <c r="J403" s="184"/>
      <c r="K403" s="184"/>
      <c r="L403" s="193"/>
      <c r="M403" s="1005" t="s">
        <v>800</v>
      </c>
      <c r="N403" s="1005"/>
      <c r="O403" s="1005"/>
      <c r="P403" s="1005"/>
      <c r="Q403" s="1005"/>
      <c r="R403" s="1005"/>
      <c r="S403" s="1005"/>
      <c r="T403" s="1005"/>
      <c r="U403" s="1005"/>
      <c r="V403" s="1005"/>
      <c r="W403" s="1005"/>
      <c r="X403" s="1005"/>
      <c r="Y403" s="1005"/>
      <c r="Z403" s="1005"/>
      <c r="AA403" s="1005"/>
      <c r="AB403" s="1005"/>
      <c r="AC403" s="1005"/>
      <c r="AD403" s="1005"/>
      <c r="AE403" s="1005"/>
      <c r="AF403" s="1005"/>
      <c r="AG403" s="1005"/>
      <c r="AH403" s="1005"/>
      <c r="AI403" s="1005"/>
      <c r="AJ403" s="1005"/>
      <c r="AK403" s="1005"/>
      <c r="AL403" s="1005"/>
      <c r="AM403" s="1005"/>
      <c r="AN403" s="1005"/>
      <c r="AO403" s="1005"/>
      <c r="AP403" s="1005"/>
      <c r="AQ403" s="1005"/>
      <c r="AR403" s="1005"/>
      <c r="AS403" s="1005"/>
      <c r="AT403" s="1005"/>
      <c r="AU403" s="1005"/>
      <c r="AV403" s="1005"/>
      <c r="AW403" s="1005"/>
      <c r="AX403" s="1005"/>
      <c r="AY403" s="1005"/>
      <c r="AZ403" s="1005"/>
      <c r="BA403" s="1005"/>
      <c r="BB403" s="1005"/>
      <c r="BC403" s="1005"/>
      <c r="BD403" s="1005"/>
      <c r="BE403" s="204"/>
      <c r="BF403" s="205" t="s">
        <v>548</v>
      </c>
      <c r="BG403" s="204"/>
      <c r="BH403" s="204" t="s">
        <v>407</v>
      </c>
      <c r="BI403" s="205" t="s">
        <v>408</v>
      </c>
      <c r="BJ403" s="204"/>
      <c r="BK403" s="206"/>
    </row>
    <row r="404" spans="1:63" s="164" customFormat="1" ht="15.75" customHeight="1">
      <c r="A404" s="185"/>
      <c r="B404" s="183" t="s">
        <v>801</v>
      </c>
      <c r="C404" s="184"/>
      <c r="D404" s="184"/>
      <c r="E404" s="184"/>
      <c r="F404" s="184"/>
      <c r="G404" s="184"/>
      <c r="H404" s="184"/>
      <c r="I404" s="184"/>
      <c r="J404" s="184"/>
      <c r="K404" s="184"/>
      <c r="L404" s="193"/>
      <c r="M404" s="1005" t="s">
        <v>802</v>
      </c>
      <c r="N404" s="1005"/>
      <c r="O404" s="1005"/>
      <c r="P404" s="1005"/>
      <c r="Q404" s="1005"/>
      <c r="R404" s="1005"/>
      <c r="S404" s="1005"/>
      <c r="T404" s="1005"/>
      <c r="U404" s="1005"/>
      <c r="V404" s="1005"/>
      <c r="W404" s="1005"/>
      <c r="X404" s="1005"/>
      <c r="Y404" s="1005"/>
      <c r="Z404" s="1005"/>
      <c r="AA404" s="1005"/>
      <c r="AB404" s="1005"/>
      <c r="AC404" s="1005"/>
      <c r="AD404" s="1005"/>
      <c r="AE404" s="1005"/>
      <c r="AF404" s="1005"/>
      <c r="AG404" s="1005"/>
      <c r="AH404" s="1005"/>
      <c r="AI404" s="1005"/>
      <c r="AJ404" s="1005"/>
      <c r="AK404" s="1005"/>
      <c r="AL404" s="1005"/>
      <c r="AM404" s="1005"/>
      <c r="AN404" s="1005"/>
      <c r="AO404" s="1005"/>
      <c r="AP404" s="1005"/>
      <c r="AQ404" s="1005"/>
      <c r="AR404" s="1005"/>
      <c r="AS404" s="1005"/>
      <c r="AT404" s="1005"/>
      <c r="AU404" s="1005"/>
      <c r="AV404" s="1005"/>
      <c r="AW404" s="1005"/>
      <c r="AX404" s="1005"/>
      <c r="AY404" s="1005"/>
      <c r="AZ404" s="1005"/>
      <c r="BA404" s="1005"/>
      <c r="BB404" s="1005"/>
      <c r="BC404" s="1005"/>
      <c r="BD404" s="1005"/>
      <c r="BE404" s="204"/>
      <c r="BF404" s="205" t="s">
        <v>548</v>
      </c>
      <c r="BG404" s="204"/>
      <c r="BH404" s="204" t="s">
        <v>407</v>
      </c>
      <c r="BI404" s="204"/>
      <c r="BJ404" s="204"/>
      <c r="BK404" s="206"/>
    </row>
    <row r="405" spans="1:63" s="164" customFormat="1" ht="45" customHeight="1">
      <c r="A405" s="182" t="s">
        <v>411</v>
      </c>
      <c r="B405" s="183" t="s">
        <v>803</v>
      </c>
      <c r="C405" s="184"/>
      <c r="D405" s="184"/>
      <c r="E405" s="184"/>
      <c r="F405" s="184"/>
      <c r="G405" s="184"/>
      <c r="H405" s="184"/>
      <c r="I405" s="184"/>
      <c r="J405" s="184"/>
      <c r="K405" s="184"/>
      <c r="L405" s="193"/>
      <c r="M405" s="1005" t="s">
        <v>804</v>
      </c>
      <c r="N405" s="1005"/>
      <c r="O405" s="1005"/>
      <c r="P405" s="1005"/>
      <c r="Q405" s="1005"/>
      <c r="R405" s="1005"/>
      <c r="S405" s="1005"/>
      <c r="T405" s="1005"/>
      <c r="U405" s="1005"/>
      <c r="V405" s="1005"/>
      <c r="W405" s="1005"/>
      <c r="X405" s="1005"/>
      <c r="Y405" s="1005"/>
      <c r="Z405" s="1005"/>
      <c r="AA405" s="1005"/>
      <c r="AB405" s="1005"/>
      <c r="AC405" s="1005"/>
      <c r="AD405" s="1005"/>
      <c r="AE405" s="1005"/>
      <c r="AF405" s="1005"/>
      <c r="AG405" s="1005"/>
      <c r="AH405" s="1005"/>
      <c r="AI405" s="1005"/>
      <c r="AJ405" s="1005"/>
      <c r="AK405" s="1005"/>
      <c r="AL405" s="1005"/>
      <c r="AM405" s="1005"/>
      <c r="AN405" s="1005"/>
      <c r="AO405" s="1005"/>
      <c r="AP405" s="1005"/>
      <c r="AQ405" s="1005"/>
      <c r="AR405" s="1005"/>
      <c r="AS405" s="1005"/>
      <c r="AT405" s="1005"/>
      <c r="AU405" s="1005"/>
      <c r="AV405" s="1005"/>
      <c r="AW405" s="1005"/>
      <c r="AX405" s="1005"/>
      <c r="AY405" s="1005"/>
      <c r="AZ405" s="1005"/>
      <c r="BA405" s="1005"/>
      <c r="BB405" s="1005"/>
      <c r="BC405" s="1005"/>
      <c r="BD405" s="1005"/>
      <c r="BE405" s="204"/>
      <c r="BF405" s="205" t="s">
        <v>548</v>
      </c>
      <c r="BG405" s="204"/>
      <c r="BH405" s="204" t="s">
        <v>407</v>
      </c>
      <c r="BI405" s="205" t="s">
        <v>408</v>
      </c>
      <c r="BJ405" s="204"/>
      <c r="BK405" s="206"/>
    </row>
    <row r="406" spans="1:63" s="164" customFormat="1" ht="15.75" customHeight="1">
      <c r="A406" s="185"/>
      <c r="B406" s="183" t="s">
        <v>805</v>
      </c>
      <c r="C406" s="184"/>
      <c r="D406" s="184"/>
      <c r="E406" s="184"/>
      <c r="F406" s="184"/>
      <c r="G406" s="184"/>
      <c r="H406" s="184"/>
      <c r="I406" s="184"/>
      <c r="J406" s="184"/>
      <c r="K406" s="184"/>
      <c r="L406" s="193"/>
      <c r="M406" s="1005" t="s">
        <v>806</v>
      </c>
      <c r="N406" s="1005"/>
      <c r="O406" s="1005"/>
      <c r="P406" s="1005"/>
      <c r="Q406" s="1005"/>
      <c r="R406" s="1005"/>
      <c r="S406" s="1005"/>
      <c r="T406" s="1005"/>
      <c r="U406" s="1005"/>
      <c r="V406" s="1005"/>
      <c r="W406" s="1005"/>
      <c r="X406" s="1005"/>
      <c r="Y406" s="1005"/>
      <c r="Z406" s="1005"/>
      <c r="AA406" s="1005"/>
      <c r="AB406" s="1005"/>
      <c r="AC406" s="1005"/>
      <c r="AD406" s="1005"/>
      <c r="AE406" s="1005"/>
      <c r="AF406" s="1005"/>
      <c r="AG406" s="1005"/>
      <c r="AH406" s="1005"/>
      <c r="AI406" s="1005"/>
      <c r="AJ406" s="1005"/>
      <c r="AK406" s="1005"/>
      <c r="AL406" s="1005"/>
      <c r="AM406" s="1005"/>
      <c r="AN406" s="1005"/>
      <c r="AO406" s="1005"/>
      <c r="AP406" s="1005"/>
      <c r="AQ406" s="1005"/>
      <c r="AR406" s="1005"/>
      <c r="AS406" s="1005"/>
      <c r="AT406" s="1005"/>
      <c r="AU406" s="1005"/>
      <c r="AV406" s="1005"/>
      <c r="AW406" s="1005"/>
      <c r="AX406" s="1005"/>
      <c r="AY406" s="1005"/>
      <c r="AZ406" s="1005"/>
      <c r="BA406" s="1005"/>
      <c r="BB406" s="1005"/>
      <c r="BC406" s="1005"/>
      <c r="BD406" s="1005"/>
      <c r="BE406" s="204"/>
      <c r="BF406" s="205" t="s">
        <v>548</v>
      </c>
      <c r="BG406" s="204"/>
      <c r="BH406" s="204" t="s">
        <v>407</v>
      </c>
      <c r="BI406" s="204"/>
      <c r="BJ406" s="204"/>
      <c r="BK406" s="206"/>
    </row>
    <row r="407" spans="1:63" s="164" customFormat="1" ht="31.5" customHeight="1">
      <c r="A407" s="182" t="s">
        <v>411</v>
      </c>
      <c r="B407" s="183" t="s">
        <v>807</v>
      </c>
      <c r="C407" s="184"/>
      <c r="D407" s="184"/>
      <c r="E407" s="184"/>
      <c r="F407" s="184"/>
      <c r="G407" s="184"/>
      <c r="H407" s="184"/>
      <c r="I407" s="184"/>
      <c r="J407" s="184"/>
      <c r="K407" s="184"/>
      <c r="L407" s="193"/>
      <c r="M407" s="1005" t="s">
        <v>808</v>
      </c>
      <c r="N407" s="1005"/>
      <c r="O407" s="1005"/>
      <c r="P407" s="1005"/>
      <c r="Q407" s="1005"/>
      <c r="R407" s="1005"/>
      <c r="S407" s="1005"/>
      <c r="T407" s="1005"/>
      <c r="U407" s="1005"/>
      <c r="V407" s="1005"/>
      <c r="W407" s="1005"/>
      <c r="X407" s="1005"/>
      <c r="Y407" s="1005"/>
      <c r="Z407" s="1005"/>
      <c r="AA407" s="1005"/>
      <c r="AB407" s="1005"/>
      <c r="AC407" s="1005"/>
      <c r="AD407" s="1005"/>
      <c r="AE407" s="1005"/>
      <c r="AF407" s="1005"/>
      <c r="AG407" s="1005"/>
      <c r="AH407" s="1005"/>
      <c r="AI407" s="1005"/>
      <c r="AJ407" s="1005"/>
      <c r="AK407" s="1005"/>
      <c r="AL407" s="1005"/>
      <c r="AM407" s="1005"/>
      <c r="AN407" s="1005"/>
      <c r="AO407" s="1005"/>
      <c r="AP407" s="1005"/>
      <c r="AQ407" s="1005"/>
      <c r="AR407" s="1005"/>
      <c r="AS407" s="1005"/>
      <c r="AT407" s="1005"/>
      <c r="AU407" s="1005"/>
      <c r="AV407" s="1005"/>
      <c r="AW407" s="1005"/>
      <c r="AX407" s="1005"/>
      <c r="AY407" s="1005"/>
      <c r="AZ407" s="1005"/>
      <c r="BA407" s="1005"/>
      <c r="BB407" s="1005"/>
      <c r="BC407" s="1005"/>
      <c r="BD407" s="1005"/>
      <c r="BE407" s="204"/>
      <c r="BF407" s="205" t="s">
        <v>419</v>
      </c>
      <c r="BG407" s="204"/>
      <c r="BH407" s="204" t="s">
        <v>407</v>
      </c>
      <c r="BI407" s="205" t="s">
        <v>408</v>
      </c>
      <c r="BJ407" s="204"/>
      <c r="BK407" s="206"/>
    </row>
    <row r="408" spans="1:63" s="164" customFormat="1" ht="126" customHeight="1">
      <c r="A408" s="182" t="s">
        <v>411</v>
      </c>
      <c r="B408" s="183" t="s">
        <v>809</v>
      </c>
      <c r="C408" s="184"/>
      <c r="D408" s="184"/>
      <c r="E408" s="184"/>
      <c r="F408" s="184"/>
      <c r="G408" s="184"/>
      <c r="H408" s="184"/>
      <c r="I408" s="184"/>
      <c r="J408" s="184"/>
      <c r="K408" s="184"/>
      <c r="L408" s="193"/>
      <c r="M408" s="1007" t="s">
        <v>810</v>
      </c>
      <c r="N408" s="1008"/>
      <c r="O408" s="1008"/>
      <c r="P408" s="1008"/>
      <c r="Q408" s="1008"/>
      <c r="R408" s="1008"/>
      <c r="S408" s="1008"/>
      <c r="T408" s="1008"/>
      <c r="U408" s="1008"/>
      <c r="V408" s="1008"/>
      <c r="W408" s="1008"/>
      <c r="X408" s="1008"/>
      <c r="Y408" s="1008"/>
      <c r="Z408" s="1008"/>
      <c r="AA408" s="1008"/>
      <c r="AB408" s="1008"/>
      <c r="AC408" s="1008"/>
      <c r="AD408" s="1008"/>
      <c r="AE408" s="1008"/>
      <c r="AF408" s="1008"/>
      <c r="AG408" s="1008"/>
      <c r="AH408" s="1008"/>
      <c r="AI408" s="1008"/>
      <c r="AJ408" s="1008"/>
      <c r="AK408" s="1008"/>
      <c r="AL408" s="1008"/>
      <c r="AM408" s="1008"/>
      <c r="AN408" s="1008"/>
      <c r="AO408" s="1008"/>
      <c r="AP408" s="1008"/>
      <c r="AQ408" s="1008"/>
      <c r="AR408" s="1008"/>
      <c r="AS408" s="1008"/>
      <c r="AT408" s="1008"/>
      <c r="AU408" s="1008"/>
      <c r="AV408" s="1008"/>
      <c r="AW408" s="1008"/>
      <c r="AX408" s="1008"/>
      <c r="AY408" s="1008"/>
      <c r="AZ408" s="1008"/>
      <c r="BA408" s="1008"/>
      <c r="BB408" s="1008"/>
      <c r="BC408" s="1008"/>
      <c r="BD408" s="1009"/>
      <c r="BE408" s="204"/>
      <c r="BF408" s="205" t="s">
        <v>548</v>
      </c>
      <c r="BG408" s="204"/>
      <c r="BH408" s="204" t="s">
        <v>407</v>
      </c>
      <c r="BI408" s="205" t="s">
        <v>408</v>
      </c>
      <c r="BJ408" s="204"/>
      <c r="BK408" s="206"/>
    </row>
    <row r="409" spans="1:63" s="164" customFormat="1" ht="15.75" customHeight="1">
      <c r="A409" s="182" t="s">
        <v>411</v>
      </c>
      <c r="B409" s="183" t="s">
        <v>811</v>
      </c>
      <c r="C409" s="184"/>
      <c r="D409" s="184"/>
      <c r="E409" s="184"/>
      <c r="F409" s="184"/>
      <c r="G409" s="184"/>
      <c r="H409" s="184"/>
      <c r="I409" s="184"/>
      <c r="J409" s="184"/>
      <c r="K409" s="184"/>
      <c r="L409" s="193"/>
      <c r="M409" s="1005" t="s">
        <v>812</v>
      </c>
      <c r="N409" s="1002"/>
      <c r="O409" s="1002"/>
      <c r="P409" s="1002"/>
      <c r="Q409" s="1002"/>
      <c r="R409" s="1002"/>
      <c r="S409" s="1002"/>
      <c r="T409" s="1002"/>
      <c r="U409" s="1002"/>
      <c r="V409" s="1002"/>
      <c r="W409" s="1002"/>
      <c r="X409" s="1002"/>
      <c r="Y409" s="1002"/>
      <c r="Z409" s="1002"/>
      <c r="AA409" s="1002"/>
      <c r="AB409" s="1002"/>
      <c r="AC409" s="1002"/>
      <c r="AD409" s="1002"/>
      <c r="AE409" s="1002"/>
      <c r="AF409" s="1002"/>
      <c r="AG409" s="1002"/>
      <c r="AH409" s="1002"/>
      <c r="AI409" s="1002"/>
      <c r="AJ409" s="1002"/>
      <c r="AK409" s="1002"/>
      <c r="AL409" s="1002"/>
      <c r="AM409" s="1002"/>
      <c r="AN409" s="1002"/>
      <c r="AO409" s="1002"/>
      <c r="AP409" s="1002"/>
      <c r="AQ409" s="1002"/>
      <c r="AR409" s="1002"/>
      <c r="AS409" s="1002"/>
      <c r="AT409" s="1002"/>
      <c r="AU409" s="1002"/>
      <c r="AV409" s="1002"/>
      <c r="AW409" s="1002"/>
      <c r="AX409" s="1002"/>
      <c r="AY409" s="1002"/>
      <c r="AZ409" s="1002"/>
      <c r="BA409" s="1002"/>
      <c r="BB409" s="1002"/>
      <c r="BC409" s="1002"/>
      <c r="BD409" s="1002"/>
      <c r="BE409" s="204"/>
      <c r="BF409" s="205" t="s">
        <v>462</v>
      </c>
      <c r="BG409" s="204"/>
      <c r="BH409" s="204" t="s">
        <v>407</v>
      </c>
      <c r="BI409" s="205" t="s">
        <v>408</v>
      </c>
      <c r="BJ409" s="204"/>
      <c r="BK409" s="206"/>
    </row>
    <row r="410" spans="1:63" s="164" customFormat="1" ht="15.75" customHeight="1">
      <c r="A410" s="185"/>
      <c r="B410" s="183" t="s">
        <v>813</v>
      </c>
      <c r="C410" s="184"/>
      <c r="D410" s="184"/>
      <c r="E410" s="184"/>
      <c r="F410" s="184"/>
      <c r="G410" s="184"/>
      <c r="H410" s="184"/>
      <c r="I410" s="184"/>
      <c r="J410" s="184"/>
      <c r="K410" s="184"/>
      <c r="L410" s="193"/>
      <c r="M410" s="1003"/>
      <c r="N410" s="1002"/>
      <c r="O410" s="1002"/>
      <c r="P410" s="1002"/>
      <c r="Q410" s="1002"/>
      <c r="R410" s="1002"/>
      <c r="S410" s="1002"/>
      <c r="T410" s="1002"/>
      <c r="U410" s="1002"/>
      <c r="V410" s="1002"/>
      <c r="W410" s="1002"/>
      <c r="X410" s="1002"/>
      <c r="Y410" s="1002"/>
      <c r="Z410" s="1002"/>
      <c r="AA410" s="1002"/>
      <c r="AB410" s="1002"/>
      <c r="AC410" s="1002"/>
      <c r="AD410" s="1002"/>
      <c r="AE410" s="1002"/>
      <c r="AF410" s="1002"/>
      <c r="AG410" s="1002"/>
      <c r="AH410" s="1002"/>
      <c r="AI410" s="1002"/>
      <c r="AJ410" s="1002"/>
      <c r="AK410" s="1002"/>
      <c r="AL410" s="1002"/>
      <c r="AM410" s="1002"/>
      <c r="AN410" s="1002"/>
      <c r="AO410" s="1002"/>
      <c r="AP410" s="1002"/>
      <c r="AQ410" s="1002"/>
      <c r="AR410" s="1002"/>
      <c r="AS410" s="1002"/>
      <c r="AT410" s="1002"/>
      <c r="AU410" s="1002"/>
      <c r="AV410" s="1002"/>
      <c r="AW410" s="1002"/>
      <c r="AX410" s="1002"/>
      <c r="AY410" s="1002"/>
      <c r="AZ410" s="1002"/>
      <c r="BA410" s="1002"/>
      <c r="BB410" s="1002"/>
      <c r="BC410" s="1002"/>
      <c r="BD410" s="1002"/>
      <c r="BE410" s="204"/>
      <c r="BF410" s="205" t="s">
        <v>487</v>
      </c>
      <c r="BG410" s="204"/>
      <c r="BH410" s="204" t="s">
        <v>407</v>
      </c>
      <c r="BI410" s="204"/>
      <c r="BJ410" s="204"/>
      <c r="BK410" s="206"/>
    </row>
    <row r="411" spans="1:63" s="164" customFormat="1" ht="15.75" customHeight="1">
      <c r="A411" s="185"/>
      <c r="B411" s="183" t="s">
        <v>814</v>
      </c>
      <c r="C411" s="184"/>
      <c r="D411" s="184"/>
      <c r="E411" s="184"/>
      <c r="F411" s="184"/>
      <c r="G411" s="184"/>
      <c r="H411" s="184"/>
      <c r="I411" s="184"/>
      <c r="J411" s="184"/>
      <c r="K411" s="184"/>
      <c r="L411" s="193"/>
      <c r="M411" s="1003"/>
      <c r="N411" s="1002"/>
      <c r="O411" s="1002"/>
      <c r="P411" s="1002"/>
      <c r="Q411" s="1002"/>
      <c r="R411" s="1002"/>
      <c r="S411" s="1002"/>
      <c r="T411" s="1002"/>
      <c r="U411" s="1002"/>
      <c r="V411" s="1002"/>
      <c r="W411" s="1002"/>
      <c r="X411" s="1002"/>
      <c r="Y411" s="1002"/>
      <c r="Z411" s="1002"/>
      <c r="AA411" s="1002"/>
      <c r="AB411" s="1002"/>
      <c r="AC411" s="1002"/>
      <c r="AD411" s="1002"/>
      <c r="AE411" s="1002"/>
      <c r="AF411" s="1002"/>
      <c r="AG411" s="1002"/>
      <c r="AH411" s="1002"/>
      <c r="AI411" s="1002"/>
      <c r="AJ411" s="1002"/>
      <c r="AK411" s="1002"/>
      <c r="AL411" s="1002"/>
      <c r="AM411" s="1002"/>
      <c r="AN411" s="1002"/>
      <c r="AO411" s="1002"/>
      <c r="AP411" s="1002"/>
      <c r="AQ411" s="1002"/>
      <c r="AR411" s="1002"/>
      <c r="AS411" s="1002"/>
      <c r="AT411" s="1002"/>
      <c r="AU411" s="1002"/>
      <c r="AV411" s="1002"/>
      <c r="AW411" s="1002"/>
      <c r="AX411" s="1002"/>
      <c r="AY411" s="1002"/>
      <c r="AZ411" s="1002"/>
      <c r="BA411" s="1002"/>
      <c r="BB411" s="1002"/>
      <c r="BC411" s="1002"/>
      <c r="BD411" s="1002"/>
      <c r="BE411" s="204"/>
      <c r="BF411" s="205" t="s">
        <v>487</v>
      </c>
      <c r="BG411" s="204"/>
      <c r="BH411" s="204" t="s">
        <v>407</v>
      </c>
      <c r="BI411" s="204"/>
      <c r="BJ411" s="204"/>
      <c r="BK411" s="206"/>
    </row>
    <row r="412" spans="1:63" s="164" customFormat="1" ht="15.75" customHeight="1">
      <c r="A412" s="185"/>
      <c r="B412" s="183" t="s">
        <v>815</v>
      </c>
      <c r="C412" s="184"/>
      <c r="D412" s="184"/>
      <c r="E412" s="184"/>
      <c r="F412" s="184"/>
      <c r="G412" s="184"/>
      <c r="H412" s="184"/>
      <c r="I412" s="184"/>
      <c r="J412" s="184"/>
      <c r="K412" s="184"/>
      <c r="L412" s="193"/>
      <c r="M412" s="1001" t="s">
        <v>816</v>
      </c>
      <c r="N412" s="1002"/>
      <c r="O412" s="1002"/>
      <c r="P412" s="1002"/>
      <c r="Q412" s="1002"/>
      <c r="R412" s="1002"/>
      <c r="S412" s="1002"/>
      <c r="T412" s="1002"/>
      <c r="U412" s="1002"/>
      <c r="V412" s="1002"/>
      <c r="W412" s="1002"/>
      <c r="X412" s="1002"/>
      <c r="Y412" s="1002"/>
      <c r="Z412" s="1002"/>
      <c r="AA412" s="1002"/>
      <c r="AB412" s="1002"/>
      <c r="AC412" s="1002"/>
      <c r="AD412" s="1002"/>
      <c r="AE412" s="1002"/>
      <c r="AF412" s="1002"/>
      <c r="AG412" s="1002"/>
      <c r="AH412" s="1002"/>
      <c r="AI412" s="1002"/>
      <c r="AJ412" s="1002"/>
      <c r="AK412" s="1002"/>
      <c r="AL412" s="1002"/>
      <c r="AM412" s="1002"/>
      <c r="AN412" s="1002"/>
      <c r="AO412" s="1002"/>
      <c r="AP412" s="1002"/>
      <c r="AQ412" s="1002"/>
      <c r="AR412" s="1002"/>
      <c r="AS412" s="1002"/>
      <c r="AT412" s="1002"/>
      <c r="AU412" s="1002"/>
      <c r="AV412" s="1002"/>
      <c r="AW412" s="1002"/>
      <c r="AX412" s="1002"/>
      <c r="AY412" s="1002"/>
      <c r="AZ412" s="1002"/>
      <c r="BA412" s="1002"/>
      <c r="BB412" s="1002"/>
      <c r="BC412" s="1002"/>
      <c r="BD412" s="1002"/>
      <c r="BE412" s="204"/>
      <c r="BF412" s="205" t="s">
        <v>548</v>
      </c>
      <c r="BG412" s="204"/>
      <c r="BH412" s="204" t="s">
        <v>407</v>
      </c>
      <c r="BI412" s="204"/>
      <c r="BJ412" s="204"/>
      <c r="BK412" s="206"/>
    </row>
    <row r="413" spans="1:63" s="164" customFormat="1" ht="15.75" customHeight="1">
      <c r="A413" s="185"/>
      <c r="B413" s="183" t="s">
        <v>817</v>
      </c>
      <c r="C413" s="184"/>
      <c r="D413" s="184"/>
      <c r="E413" s="184"/>
      <c r="F413" s="184"/>
      <c r="G413" s="184"/>
      <c r="H413" s="184"/>
      <c r="I413" s="184"/>
      <c r="J413" s="184"/>
      <c r="K413" s="184"/>
      <c r="L413" s="193"/>
      <c r="M413" s="1001" t="s">
        <v>818</v>
      </c>
      <c r="N413" s="1002"/>
      <c r="O413" s="1002"/>
      <c r="P413" s="1002"/>
      <c r="Q413" s="1002"/>
      <c r="R413" s="1002"/>
      <c r="S413" s="1002"/>
      <c r="T413" s="1002"/>
      <c r="U413" s="1002"/>
      <c r="V413" s="1002"/>
      <c r="W413" s="1002"/>
      <c r="X413" s="1002"/>
      <c r="Y413" s="1002"/>
      <c r="Z413" s="1002"/>
      <c r="AA413" s="1002"/>
      <c r="AB413" s="1002"/>
      <c r="AC413" s="1002"/>
      <c r="AD413" s="1002"/>
      <c r="AE413" s="1002"/>
      <c r="AF413" s="1002"/>
      <c r="AG413" s="1002"/>
      <c r="AH413" s="1002"/>
      <c r="AI413" s="1002"/>
      <c r="AJ413" s="1002"/>
      <c r="AK413" s="1002"/>
      <c r="AL413" s="1002"/>
      <c r="AM413" s="1002"/>
      <c r="AN413" s="1002"/>
      <c r="AO413" s="1002"/>
      <c r="AP413" s="1002"/>
      <c r="AQ413" s="1002"/>
      <c r="AR413" s="1002"/>
      <c r="AS413" s="1002"/>
      <c r="AT413" s="1002"/>
      <c r="AU413" s="1002"/>
      <c r="AV413" s="1002"/>
      <c r="AW413" s="1002"/>
      <c r="AX413" s="1002"/>
      <c r="AY413" s="1002"/>
      <c r="AZ413" s="1002"/>
      <c r="BA413" s="1002"/>
      <c r="BB413" s="1002"/>
      <c r="BC413" s="1002"/>
      <c r="BD413" s="1002"/>
      <c r="BE413" s="204"/>
      <c r="BF413" s="205" t="s">
        <v>548</v>
      </c>
      <c r="BG413" s="204"/>
      <c r="BH413" s="204" t="s">
        <v>407</v>
      </c>
      <c r="BI413" s="204"/>
      <c r="BJ413" s="204"/>
      <c r="BK413" s="206"/>
    </row>
    <row r="414" spans="1:63" s="164" customFormat="1" ht="15.75" customHeight="1">
      <c r="A414" s="185"/>
      <c r="B414" s="183" t="s">
        <v>819</v>
      </c>
      <c r="C414" s="184"/>
      <c r="D414" s="184"/>
      <c r="E414" s="184"/>
      <c r="F414" s="184"/>
      <c r="G414" s="184"/>
      <c r="H414" s="184"/>
      <c r="I414" s="184"/>
      <c r="J414" s="184"/>
      <c r="K414" s="184"/>
      <c r="L414" s="193"/>
      <c r="M414" s="1001" t="s">
        <v>820</v>
      </c>
      <c r="N414" s="1002"/>
      <c r="O414" s="1002"/>
      <c r="P414" s="1002"/>
      <c r="Q414" s="1002"/>
      <c r="R414" s="1002"/>
      <c r="S414" s="1002"/>
      <c r="T414" s="1002"/>
      <c r="U414" s="1002"/>
      <c r="V414" s="1002"/>
      <c r="W414" s="1002"/>
      <c r="X414" s="1002"/>
      <c r="Y414" s="1002"/>
      <c r="Z414" s="1002"/>
      <c r="AA414" s="1002"/>
      <c r="AB414" s="1002"/>
      <c r="AC414" s="1002"/>
      <c r="AD414" s="1002"/>
      <c r="AE414" s="1002"/>
      <c r="AF414" s="1002"/>
      <c r="AG414" s="1002"/>
      <c r="AH414" s="1002"/>
      <c r="AI414" s="1002"/>
      <c r="AJ414" s="1002"/>
      <c r="AK414" s="1002"/>
      <c r="AL414" s="1002"/>
      <c r="AM414" s="1002"/>
      <c r="AN414" s="1002"/>
      <c r="AO414" s="1002"/>
      <c r="AP414" s="1002"/>
      <c r="AQ414" s="1002"/>
      <c r="AR414" s="1002"/>
      <c r="AS414" s="1002"/>
      <c r="AT414" s="1002"/>
      <c r="AU414" s="1002"/>
      <c r="AV414" s="1002"/>
      <c r="AW414" s="1002"/>
      <c r="AX414" s="1002"/>
      <c r="AY414" s="1002"/>
      <c r="AZ414" s="1002"/>
      <c r="BA414" s="1002"/>
      <c r="BB414" s="1002"/>
      <c r="BC414" s="1002"/>
      <c r="BD414" s="1002"/>
      <c r="BE414" s="204"/>
      <c r="BF414" s="205" t="s">
        <v>548</v>
      </c>
      <c r="BG414" s="204"/>
      <c r="BH414" s="204" t="s">
        <v>407</v>
      </c>
      <c r="BI414" s="204"/>
      <c r="BJ414" s="204"/>
      <c r="BK414" s="206"/>
    </row>
    <row r="415" spans="1:63" s="164" customFormat="1" ht="15.75" customHeight="1">
      <c r="A415" s="185"/>
      <c r="B415" s="183" t="s">
        <v>821</v>
      </c>
      <c r="C415" s="184"/>
      <c r="D415" s="184"/>
      <c r="E415" s="184"/>
      <c r="F415" s="184"/>
      <c r="G415" s="184"/>
      <c r="H415" s="184"/>
      <c r="I415" s="184"/>
      <c r="J415" s="184"/>
      <c r="K415" s="184"/>
      <c r="L415" s="193"/>
      <c r="M415" s="1001" t="s">
        <v>822</v>
      </c>
      <c r="N415" s="1002"/>
      <c r="O415" s="1002"/>
      <c r="P415" s="1002"/>
      <c r="Q415" s="1002"/>
      <c r="R415" s="1002"/>
      <c r="S415" s="1002"/>
      <c r="T415" s="1002"/>
      <c r="U415" s="1002"/>
      <c r="V415" s="1002"/>
      <c r="W415" s="1002"/>
      <c r="X415" s="1002"/>
      <c r="Y415" s="1002"/>
      <c r="Z415" s="1002"/>
      <c r="AA415" s="1002"/>
      <c r="AB415" s="1002"/>
      <c r="AC415" s="1002"/>
      <c r="AD415" s="1002"/>
      <c r="AE415" s="1002"/>
      <c r="AF415" s="1002"/>
      <c r="AG415" s="1002"/>
      <c r="AH415" s="1002"/>
      <c r="AI415" s="1002"/>
      <c r="AJ415" s="1002"/>
      <c r="AK415" s="1002"/>
      <c r="AL415" s="1002"/>
      <c r="AM415" s="1002"/>
      <c r="AN415" s="1002"/>
      <c r="AO415" s="1002"/>
      <c r="AP415" s="1002"/>
      <c r="AQ415" s="1002"/>
      <c r="AR415" s="1002"/>
      <c r="AS415" s="1002"/>
      <c r="AT415" s="1002"/>
      <c r="AU415" s="1002"/>
      <c r="AV415" s="1002"/>
      <c r="AW415" s="1002"/>
      <c r="AX415" s="1002"/>
      <c r="AY415" s="1002"/>
      <c r="AZ415" s="1002"/>
      <c r="BA415" s="1002"/>
      <c r="BB415" s="1002"/>
      <c r="BC415" s="1002"/>
      <c r="BD415" s="1002"/>
      <c r="BE415" s="204"/>
      <c r="BF415" s="205" t="s">
        <v>548</v>
      </c>
      <c r="BG415" s="204"/>
      <c r="BH415" s="204" t="s">
        <v>407</v>
      </c>
      <c r="BI415" s="204"/>
      <c r="BJ415" s="204"/>
      <c r="BK415" s="206"/>
    </row>
    <row r="416" spans="1:63" s="164" customFormat="1" ht="15.75" customHeight="1">
      <c r="A416" s="185"/>
      <c r="B416" s="183" t="s">
        <v>823</v>
      </c>
      <c r="C416" s="184"/>
      <c r="D416" s="184"/>
      <c r="E416" s="184"/>
      <c r="F416" s="184"/>
      <c r="G416" s="184"/>
      <c r="H416" s="184"/>
      <c r="I416" s="184"/>
      <c r="J416" s="184"/>
      <c r="K416" s="184"/>
      <c r="L416" s="193"/>
      <c r="M416" s="1001" t="s">
        <v>824</v>
      </c>
      <c r="N416" s="1002"/>
      <c r="O416" s="1002"/>
      <c r="P416" s="1002"/>
      <c r="Q416" s="1002"/>
      <c r="R416" s="1002"/>
      <c r="S416" s="1002"/>
      <c r="T416" s="1002"/>
      <c r="U416" s="1002"/>
      <c r="V416" s="1002"/>
      <c r="W416" s="1002"/>
      <c r="X416" s="1002"/>
      <c r="Y416" s="1002"/>
      <c r="Z416" s="1002"/>
      <c r="AA416" s="1002"/>
      <c r="AB416" s="1002"/>
      <c r="AC416" s="1002"/>
      <c r="AD416" s="1002"/>
      <c r="AE416" s="1002"/>
      <c r="AF416" s="1002"/>
      <c r="AG416" s="1002"/>
      <c r="AH416" s="1002"/>
      <c r="AI416" s="1002"/>
      <c r="AJ416" s="1002"/>
      <c r="AK416" s="1002"/>
      <c r="AL416" s="1002"/>
      <c r="AM416" s="1002"/>
      <c r="AN416" s="1002"/>
      <c r="AO416" s="1002"/>
      <c r="AP416" s="1002"/>
      <c r="AQ416" s="1002"/>
      <c r="AR416" s="1002"/>
      <c r="AS416" s="1002"/>
      <c r="AT416" s="1002"/>
      <c r="AU416" s="1002"/>
      <c r="AV416" s="1002"/>
      <c r="AW416" s="1002"/>
      <c r="AX416" s="1002"/>
      <c r="AY416" s="1002"/>
      <c r="AZ416" s="1002"/>
      <c r="BA416" s="1002"/>
      <c r="BB416" s="1002"/>
      <c r="BC416" s="1002"/>
      <c r="BD416" s="1002"/>
      <c r="BE416" s="204"/>
      <c r="BF416" s="205" t="s">
        <v>548</v>
      </c>
      <c r="BG416" s="204"/>
      <c r="BH416" s="204" t="s">
        <v>407</v>
      </c>
      <c r="BI416" s="204"/>
      <c r="BJ416" s="204"/>
      <c r="BK416" s="206"/>
    </row>
    <row r="417" spans="1:63" s="164" customFormat="1" ht="15.75" customHeight="1">
      <c r="A417" s="185"/>
      <c r="B417" s="183" t="s">
        <v>825</v>
      </c>
      <c r="C417" s="184"/>
      <c r="D417" s="184"/>
      <c r="E417" s="184"/>
      <c r="F417" s="184"/>
      <c r="G417" s="184"/>
      <c r="H417" s="184"/>
      <c r="I417" s="184"/>
      <c r="J417" s="184"/>
      <c r="K417" s="184"/>
      <c r="L417" s="193"/>
      <c r="M417" s="1001" t="s">
        <v>826</v>
      </c>
      <c r="N417" s="1002"/>
      <c r="O417" s="1002"/>
      <c r="P417" s="1002"/>
      <c r="Q417" s="1002"/>
      <c r="R417" s="1002"/>
      <c r="S417" s="1002"/>
      <c r="T417" s="1002"/>
      <c r="U417" s="1002"/>
      <c r="V417" s="1002"/>
      <c r="W417" s="1002"/>
      <c r="X417" s="1002"/>
      <c r="Y417" s="1002"/>
      <c r="Z417" s="1002"/>
      <c r="AA417" s="1002"/>
      <c r="AB417" s="1002"/>
      <c r="AC417" s="1002"/>
      <c r="AD417" s="1002"/>
      <c r="AE417" s="1002"/>
      <c r="AF417" s="1002"/>
      <c r="AG417" s="1002"/>
      <c r="AH417" s="1002"/>
      <c r="AI417" s="1002"/>
      <c r="AJ417" s="1002"/>
      <c r="AK417" s="1002"/>
      <c r="AL417" s="1002"/>
      <c r="AM417" s="1002"/>
      <c r="AN417" s="1002"/>
      <c r="AO417" s="1002"/>
      <c r="AP417" s="1002"/>
      <c r="AQ417" s="1002"/>
      <c r="AR417" s="1002"/>
      <c r="AS417" s="1002"/>
      <c r="AT417" s="1002"/>
      <c r="AU417" s="1002"/>
      <c r="AV417" s="1002"/>
      <c r="AW417" s="1002"/>
      <c r="AX417" s="1002"/>
      <c r="AY417" s="1002"/>
      <c r="AZ417" s="1002"/>
      <c r="BA417" s="1002"/>
      <c r="BB417" s="1002"/>
      <c r="BC417" s="1002"/>
      <c r="BD417" s="1002"/>
      <c r="BE417" s="204"/>
      <c r="BF417" s="205" t="s">
        <v>548</v>
      </c>
      <c r="BG417" s="204"/>
      <c r="BH417" s="204" t="s">
        <v>407</v>
      </c>
      <c r="BI417" s="204"/>
      <c r="BJ417" s="204"/>
      <c r="BK417" s="206"/>
    </row>
    <row r="418" spans="1:63" s="164" customFormat="1" ht="15.75" customHeight="1">
      <c r="A418" s="185"/>
      <c r="B418" s="183" t="s">
        <v>827</v>
      </c>
      <c r="C418" s="184"/>
      <c r="D418" s="184"/>
      <c r="E418" s="184"/>
      <c r="F418" s="184"/>
      <c r="G418" s="184"/>
      <c r="H418" s="184"/>
      <c r="I418" s="184"/>
      <c r="J418" s="184"/>
      <c r="K418" s="184"/>
      <c r="L418" s="193"/>
      <c r="M418" s="1001" t="s">
        <v>828</v>
      </c>
      <c r="N418" s="1002"/>
      <c r="O418" s="1002"/>
      <c r="P418" s="1002"/>
      <c r="Q418" s="1002"/>
      <c r="R418" s="1002"/>
      <c r="S418" s="1002"/>
      <c r="T418" s="1002"/>
      <c r="U418" s="1002"/>
      <c r="V418" s="1002"/>
      <c r="W418" s="1002"/>
      <c r="X418" s="1002"/>
      <c r="Y418" s="1002"/>
      <c r="Z418" s="1002"/>
      <c r="AA418" s="1002"/>
      <c r="AB418" s="1002"/>
      <c r="AC418" s="1002"/>
      <c r="AD418" s="1002"/>
      <c r="AE418" s="1002"/>
      <c r="AF418" s="1002"/>
      <c r="AG418" s="1002"/>
      <c r="AH418" s="1002"/>
      <c r="AI418" s="1002"/>
      <c r="AJ418" s="1002"/>
      <c r="AK418" s="1002"/>
      <c r="AL418" s="1002"/>
      <c r="AM418" s="1002"/>
      <c r="AN418" s="1002"/>
      <c r="AO418" s="1002"/>
      <c r="AP418" s="1002"/>
      <c r="AQ418" s="1002"/>
      <c r="AR418" s="1002"/>
      <c r="AS418" s="1002"/>
      <c r="AT418" s="1002"/>
      <c r="AU418" s="1002"/>
      <c r="AV418" s="1002"/>
      <c r="AW418" s="1002"/>
      <c r="AX418" s="1002"/>
      <c r="AY418" s="1002"/>
      <c r="AZ418" s="1002"/>
      <c r="BA418" s="1002"/>
      <c r="BB418" s="1002"/>
      <c r="BC418" s="1002"/>
      <c r="BD418" s="1002"/>
      <c r="BE418" s="204"/>
      <c r="BF418" s="205" t="s">
        <v>548</v>
      </c>
      <c r="BG418" s="204"/>
      <c r="BH418" s="204" t="s">
        <v>407</v>
      </c>
      <c r="BI418" s="204"/>
      <c r="BJ418" s="204"/>
      <c r="BK418" s="206"/>
    </row>
    <row r="419" spans="1:63" s="164" customFormat="1" ht="15.75" customHeight="1">
      <c r="A419" s="185"/>
      <c r="B419" s="183" t="s">
        <v>829</v>
      </c>
      <c r="C419" s="184"/>
      <c r="D419" s="184"/>
      <c r="E419" s="184"/>
      <c r="F419" s="184"/>
      <c r="G419" s="184"/>
      <c r="H419" s="184"/>
      <c r="I419" s="184"/>
      <c r="J419" s="184"/>
      <c r="K419" s="184"/>
      <c r="L419" s="193"/>
      <c r="M419" s="1001" t="s">
        <v>830</v>
      </c>
      <c r="N419" s="1002"/>
      <c r="O419" s="1002"/>
      <c r="P419" s="1002"/>
      <c r="Q419" s="1002"/>
      <c r="R419" s="1002"/>
      <c r="S419" s="1002"/>
      <c r="T419" s="1002"/>
      <c r="U419" s="1002"/>
      <c r="V419" s="1002"/>
      <c r="W419" s="1002"/>
      <c r="X419" s="1002"/>
      <c r="Y419" s="1002"/>
      <c r="Z419" s="1002"/>
      <c r="AA419" s="1002"/>
      <c r="AB419" s="1002"/>
      <c r="AC419" s="1002"/>
      <c r="AD419" s="1002"/>
      <c r="AE419" s="1002"/>
      <c r="AF419" s="1002"/>
      <c r="AG419" s="1002"/>
      <c r="AH419" s="1002"/>
      <c r="AI419" s="1002"/>
      <c r="AJ419" s="1002"/>
      <c r="AK419" s="1002"/>
      <c r="AL419" s="1002"/>
      <c r="AM419" s="1002"/>
      <c r="AN419" s="1002"/>
      <c r="AO419" s="1002"/>
      <c r="AP419" s="1002"/>
      <c r="AQ419" s="1002"/>
      <c r="AR419" s="1002"/>
      <c r="AS419" s="1002"/>
      <c r="AT419" s="1002"/>
      <c r="AU419" s="1002"/>
      <c r="AV419" s="1002"/>
      <c r="AW419" s="1002"/>
      <c r="AX419" s="1002"/>
      <c r="AY419" s="1002"/>
      <c r="AZ419" s="1002"/>
      <c r="BA419" s="1002"/>
      <c r="BB419" s="1002"/>
      <c r="BC419" s="1002"/>
      <c r="BD419" s="1002"/>
      <c r="BE419" s="204"/>
      <c r="BF419" s="205" t="s">
        <v>548</v>
      </c>
      <c r="BG419" s="204"/>
      <c r="BH419" s="204" t="s">
        <v>407</v>
      </c>
      <c r="BI419" s="204"/>
      <c r="BJ419" s="204"/>
      <c r="BK419" s="206"/>
    </row>
    <row r="420" spans="1:63" s="164" customFormat="1" ht="15.75" customHeight="1">
      <c r="A420" s="185"/>
      <c r="B420" s="183" t="s">
        <v>831</v>
      </c>
      <c r="C420" s="184"/>
      <c r="D420" s="184"/>
      <c r="E420" s="184"/>
      <c r="F420" s="184"/>
      <c r="G420" s="184"/>
      <c r="H420" s="184"/>
      <c r="I420" s="184"/>
      <c r="J420" s="184"/>
      <c r="K420" s="184"/>
      <c r="L420" s="193"/>
      <c r="M420" s="1001" t="s">
        <v>832</v>
      </c>
      <c r="N420" s="1002"/>
      <c r="O420" s="1002"/>
      <c r="P420" s="1002"/>
      <c r="Q420" s="1002"/>
      <c r="R420" s="1002"/>
      <c r="S420" s="1002"/>
      <c r="T420" s="1002"/>
      <c r="U420" s="1002"/>
      <c r="V420" s="1002"/>
      <c r="W420" s="1002"/>
      <c r="X420" s="1002"/>
      <c r="Y420" s="1002"/>
      <c r="Z420" s="1002"/>
      <c r="AA420" s="1002"/>
      <c r="AB420" s="1002"/>
      <c r="AC420" s="1002"/>
      <c r="AD420" s="1002"/>
      <c r="AE420" s="1002"/>
      <c r="AF420" s="1002"/>
      <c r="AG420" s="1002"/>
      <c r="AH420" s="1002"/>
      <c r="AI420" s="1002"/>
      <c r="AJ420" s="1002"/>
      <c r="AK420" s="1002"/>
      <c r="AL420" s="1002"/>
      <c r="AM420" s="1002"/>
      <c r="AN420" s="1002"/>
      <c r="AO420" s="1002"/>
      <c r="AP420" s="1002"/>
      <c r="AQ420" s="1002"/>
      <c r="AR420" s="1002"/>
      <c r="AS420" s="1002"/>
      <c r="AT420" s="1002"/>
      <c r="AU420" s="1002"/>
      <c r="AV420" s="1002"/>
      <c r="AW420" s="1002"/>
      <c r="AX420" s="1002"/>
      <c r="AY420" s="1002"/>
      <c r="AZ420" s="1002"/>
      <c r="BA420" s="1002"/>
      <c r="BB420" s="1002"/>
      <c r="BC420" s="1002"/>
      <c r="BD420" s="1002"/>
      <c r="BE420" s="204"/>
      <c r="BF420" s="205" t="s">
        <v>548</v>
      </c>
      <c r="BG420" s="204"/>
      <c r="BH420" s="204" t="s">
        <v>407</v>
      </c>
      <c r="BI420" s="204"/>
      <c r="BJ420" s="204"/>
      <c r="BK420" s="206"/>
    </row>
    <row r="421" spans="1:63" s="164" customFormat="1" ht="31.5" customHeight="1">
      <c r="A421" s="182" t="s">
        <v>411</v>
      </c>
      <c r="B421" s="183" t="s">
        <v>833</v>
      </c>
      <c r="C421" s="184"/>
      <c r="D421" s="184"/>
      <c r="E421" s="184"/>
      <c r="F421" s="184"/>
      <c r="G421" s="184"/>
      <c r="H421" s="184"/>
      <c r="I421" s="184"/>
      <c r="J421" s="184"/>
      <c r="K421" s="184"/>
      <c r="L421" s="193"/>
      <c r="M421" s="1005" t="s">
        <v>834</v>
      </c>
      <c r="N421" s="1005"/>
      <c r="O421" s="1005"/>
      <c r="P421" s="1005"/>
      <c r="Q421" s="1005"/>
      <c r="R421" s="1005"/>
      <c r="S421" s="1005"/>
      <c r="T421" s="1005"/>
      <c r="U421" s="1005"/>
      <c r="V421" s="1005"/>
      <c r="W421" s="1005"/>
      <c r="X421" s="1005"/>
      <c r="Y421" s="1005"/>
      <c r="Z421" s="1005"/>
      <c r="AA421" s="1005"/>
      <c r="AB421" s="1005"/>
      <c r="AC421" s="1005"/>
      <c r="AD421" s="1005"/>
      <c r="AE421" s="1005"/>
      <c r="AF421" s="1005"/>
      <c r="AG421" s="1005"/>
      <c r="AH421" s="1005"/>
      <c r="AI421" s="1005"/>
      <c r="AJ421" s="1005"/>
      <c r="AK421" s="1005"/>
      <c r="AL421" s="1005"/>
      <c r="AM421" s="1005"/>
      <c r="AN421" s="1005"/>
      <c r="AO421" s="1005"/>
      <c r="AP421" s="1005"/>
      <c r="AQ421" s="1005"/>
      <c r="AR421" s="1005"/>
      <c r="AS421" s="1005"/>
      <c r="AT421" s="1005"/>
      <c r="AU421" s="1005"/>
      <c r="AV421" s="1005"/>
      <c r="AW421" s="1005"/>
      <c r="AX421" s="1005"/>
      <c r="AY421" s="1005"/>
      <c r="AZ421" s="1005"/>
      <c r="BA421" s="1005"/>
      <c r="BB421" s="1005"/>
      <c r="BC421" s="1005"/>
      <c r="BD421" s="1005"/>
      <c r="BE421" s="204"/>
      <c r="BF421" s="205" t="s">
        <v>419</v>
      </c>
      <c r="BG421" s="204"/>
      <c r="BH421" s="204" t="s">
        <v>407</v>
      </c>
      <c r="BI421" s="205" t="s">
        <v>408</v>
      </c>
      <c r="BJ421" s="204"/>
      <c r="BK421" s="206"/>
    </row>
    <row r="422" spans="1:63" s="164" customFormat="1" ht="138.75" customHeight="1">
      <c r="A422" s="182" t="s">
        <v>411</v>
      </c>
      <c r="B422" s="183" t="s">
        <v>835</v>
      </c>
      <c r="C422" s="184"/>
      <c r="D422" s="184"/>
      <c r="E422" s="184"/>
      <c r="F422" s="184"/>
      <c r="G422" s="184"/>
      <c r="H422" s="184"/>
      <c r="I422" s="184"/>
      <c r="J422" s="184"/>
      <c r="K422" s="184"/>
      <c r="L422" s="193"/>
      <c r="M422" s="1007" t="s">
        <v>836</v>
      </c>
      <c r="N422" s="1008"/>
      <c r="O422" s="1008"/>
      <c r="P422" s="1008"/>
      <c r="Q422" s="1008"/>
      <c r="R422" s="1008"/>
      <c r="S422" s="1008"/>
      <c r="T422" s="1008"/>
      <c r="U422" s="1008"/>
      <c r="V422" s="1008"/>
      <c r="W422" s="1008"/>
      <c r="X422" s="1008"/>
      <c r="Y422" s="1008"/>
      <c r="Z422" s="1008"/>
      <c r="AA422" s="1008"/>
      <c r="AB422" s="1008"/>
      <c r="AC422" s="1008"/>
      <c r="AD422" s="1008"/>
      <c r="AE422" s="1008"/>
      <c r="AF422" s="1008"/>
      <c r="AG422" s="1008"/>
      <c r="AH422" s="1008"/>
      <c r="AI422" s="1008"/>
      <c r="AJ422" s="1008"/>
      <c r="AK422" s="1008"/>
      <c r="AL422" s="1008"/>
      <c r="AM422" s="1008"/>
      <c r="AN422" s="1008"/>
      <c r="AO422" s="1008"/>
      <c r="AP422" s="1008"/>
      <c r="AQ422" s="1008"/>
      <c r="AR422" s="1008"/>
      <c r="AS422" s="1008"/>
      <c r="AT422" s="1008"/>
      <c r="AU422" s="1008"/>
      <c r="AV422" s="1008"/>
      <c r="AW422" s="1008"/>
      <c r="AX422" s="1008"/>
      <c r="AY422" s="1008"/>
      <c r="AZ422" s="1008"/>
      <c r="BA422" s="1008"/>
      <c r="BB422" s="1008"/>
      <c r="BC422" s="1008"/>
      <c r="BD422" s="1009"/>
      <c r="BE422" s="204"/>
      <c r="BF422" s="205" t="s">
        <v>548</v>
      </c>
      <c r="BG422" s="204"/>
      <c r="BH422" s="204" t="s">
        <v>407</v>
      </c>
      <c r="BI422" s="205" t="s">
        <v>408</v>
      </c>
      <c r="BJ422" s="204"/>
      <c r="BK422" s="206"/>
    </row>
    <row r="423" spans="1:63" s="164" customFormat="1" ht="15.75" customHeight="1">
      <c r="A423" s="185"/>
      <c r="B423" s="183" t="s">
        <v>837</v>
      </c>
      <c r="C423" s="184"/>
      <c r="D423" s="184"/>
      <c r="E423" s="184"/>
      <c r="F423" s="184"/>
      <c r="G423" s="184"/>
      <c r="H423" s="184"/>
      <c r="I423" s="184"/>
      <c r="J423" s="184"/>
      <c r="K423" s="184"/>
      <c r="L423" s="193"/>
      <c r="M423" s="1003"/>
      <c r="N423" s="1002"/>
      <c r="O423" s="1002"/>
      <c r="P423" s="1002"/>
      <c r="Q423" s="1002"/>
      <c r="R423" s="1002"/>
      <c r="S423" s="1002"/>
      <c r="T423" s="1002"/>
      <c r="U423" s="1002"/>
      <c r="V423" s="1002"/>
      <c r="W423" s="1002"/>
      <c r="X423" s="1002"/>
      <c r="Y423" s="1002"/>
      <c r="Z423" s="1002"/>
      <c r="AA423" s="1002"/>
      <c r="AB423" s="1002"/>
      <c r="AC423" s="1002"/>
      <c r="AD423" s="1002"/>
      <c r="AE423" s="1002"/>
      <c r="AF423" s="1002"/>
      <c r="AG423" s="1002"/>
      <c r="AH423" s="1002"/>
      <c r="AI423" s="1002"/>
      <c r="AJ423" s="1002"/>
      <c r="AK423" s="1002"/>
      <c r="AL423" s="1002"/>
      <c r="AM423" s="1002"/>
      <c r="AN423" s="1002"/>
      <c r="AO423" s="1002"/>
      <c r="AP423" s="1002"/>
      <c r="AQ423" s="1002"/>
      <c r="AR423" s="1002"/>
      <c r="AS423" s="1002"/>
      <c r="AT423" s="1002"/>
      <c r="AU423" s="1002"/>
      <c r="AV423" s="1002"/>
      <c r="AW423" s="1002"/>
      <c r="AX423" s="1002"/>
      <c r="AY423" s="1002"/>
      <c r="AZ423" s="1002"/>
      <c r="BA423" s="1002"/>
      <c r="BB423" s="1002"/>
      <c r="BC423" s="1002"/>
      <c r="BD423" s="1002"/>
      <c r="BE423" s="204"/>
      <c r="BF423" s="205" t="s">
        <v>487</v>
      </c>
      <c r="BG423" s="204"/>
      <c r="BH423" s="204" t="s">
        <v>407</v>
      </c>
      <c r="BI423" s="204"/>
      <c r="BJ423" s="204"/>
      <c r="BK423" s="206"/>
    </row>
    <row r="424" spans="1:63" s="164" customFormat="1" ht="15.75" customHeight="1">
      <c r="A424" s="185"/>
      <c r="B424" s="183" t="s">
        <v>838</v>
      </c>
      <c r="C424" s="184"/>
      <c r="D424" s="184"/>
      <c r="E424" s="184"/>
      <c r="F424" s="184"/>
      <c r="G424" s="184"/>
      <c r="H424" s="184"/>
      <c r="I424" s="184"/>
      <c r="J424" s="184"/>
      <c r="K424" s="184"/>
      <c r="L424" s="193"/>
      <c r="M424" s="1003"/>
      <c r="N424" s="1002"/>
      <c r="O424" s="1002"/>
      <c r="P424" s="1002"/>
      <c r="Q424" s="1002"/>
      <c r="R424" s="1002"/>
      <c r="S424" s="1002"/>
      <c r="T424" s="1002"/>
      <c r="U424" s="1002"/>
      <c r="V424" s="1002"/>
      <c r="W424" s="1002"/>
      <c r="X424" s="1002"/>
      <c r="Y424" s="1002"/>
      <c r="Z424" s="1002"/>
      <c r="AA424" s="1002"/>
      <c r="AB424" s="1002"/>
      <c r="AC424" s="1002"/>
      <c r="AD424" s="1002"/>
      <c r="AE424" s="1002"/>
      <c r="AF424" s="1002"/>
      <c r="AG424" s="1002"/>
      <c r="AH424" s="1002"/>
      <c r="AI424" s="1002"/>
      <c r="AJ424" s="1002"/>
      <c r="AK424" s="1002"/>
      <c r="AL424" s="1002"/>
      <c r="AM424" s="1002"/>
      <c r="AN424" s="1002"/>
      <c r="AO424" s="1002"/>
      <c r="AP424" s="1002"/>
      <c r="AQ424" s="1002"/>
      <c r="AR424" s="1002"/>
      <c r="AS424" s="1002"/>
      <c r="AT424" s="1002"/>
      <c r="AU424" s="1002"/>
      <c r="AV424" s="1002"/>
      <c r="AW424" s="1002"/>
      <c r="AX424" s="1002"/>
      <c r="AY424" s="1002"/>
      <c r="AZ424" s="1002"/>
      <c r="BA424" s="1002"/>
      <c r="BB424" s="1002"/>
      <c r="BC424" s="1002"/>
      <c r="BD424" s="1002"/>
      <c r="BE424" s="204"/>
      <c r="BF424" s="205" t="s">
        <v>487</v>
      </c>
      <c r="BG424" s="204"/>
      <c r="BH424" s="204" t="s">
        <v>407</v>
      </c>
      <c r="BI424" s="204"/>
      <c r="BJ424" s="204"/>
      <c r="BK424" s="206"/>
    </row>
    <row r="425" spans="1:63" s="164" customFormat="1" ht="15.75" customHeight="1">
      <c r="A425" s="185"/>
      <c r="B425" s="183" t="s">
        <v>839</v>
      </c>
      <c r="C425" s="184"/>
      <c r="D425" s="184"/>
      <c r="E425" s="184"/>
      <c r="F425" s="184"/>
      <c r="G425" s="184"/>
      <c r="H425" s="184"/>
      <c r="I425" s="184"/>
      <c r="J425" s="184"/>
      <c r="K425" s="184"/>
      <c r="L425" s="193"/>
      <c r="M425" s="1001" t="s">
        <v>840</v>
      </c>
      <c r="N425" s="1002"/>
      <c r="O425" s="1002"/>
      <c r="P425" s="1002"/>
      <c r="Q425" s="1002"/>
      <c r="R425" s="1002"/>
      <c r="S425" s="1002"/>
      <c r="T425" s="1002"/>
      <c r="U425" s="1002"/>
      <c r="V425" s="1002"/>
      <c r="W425" s="1002"/>
      <c r="X425" s="1002"/>
      <c r="Y425" s="1002"/>
      <c r="Z425" s="1002"/>
      <c r="AA425" s="1002"/>
      <c r="AB425" s="1002"/>
      <c r="AC425" s="1002"/>
      <c r="AD425" s="1002"/>
      <c r="AE425" s="1002"/>
      <c r="AF425" s="1002"/>
      <c r="AG425" s="1002"/>
      <c r="AH425" s="1002"/>
      <c r="AI425" s="1002"/>
      <c r="AJ425" s="1002"/>
      <c r="AK425" s="1002"/>
      <c r="AL425" s="1002"/>
      <c r="AM425" s="1002"/>
      <c r="AN425" s="1002"/>
      <c r="AO425" s="1002"/>
      <c r="AP425" s="1002"/>
      <c r="AQ425" s="1002"/>
      <c r="AR425" s="1002"/>
      <c r="AS425" s="1002"/>
      <c r="AT425" s="1002"/>
      <c r="AU425" s="1002"/>
      <c r="AV425" s="1002"/>
      <c r="AW425" s="1002"/>
      <c r="AX425" s="1002"/>
      <c r="AY425" s="1002"/>
      <c r="AZ425" s="1002"/>
      <c r="BA425" s="1002"/>
      <c r="BB425" s="1002"/>
      <c r="BC425" s="1002"/>
      <c r="BD425" s="1002"/>
      <c r="BE425" s="204"/>
      <c r="BF425" s="205" t="s">
        <v>548</v>
      </c>
      <c r="BG425" s="204"/>
      <c r="BH425" s="204" t="s">
        <v>407</v>
      </c>
      <c r="BI425" s="204"/>
      <c r="BJ425" s="204"/>
      <c r="BK425" s="206"/>
    </row>
    <row r="426" spans="1:63" s="164" customFormat="1" ht="15.75" customHeight="1">
      <c r="A426" s="185"/>
      <c r="B426" s="183" t="s">
        <v>841</v>
      </c>
      <c r="C426" s="184"/>
      <c r="D426" s="184"/>
      <c r="E426" s="184"/>
      <c r="F426" s="184"/>
      <c r="G426" s="184"/>
      <c r="H426" s="184"/>
      <c r="I426" s="184"/>
      <c r="J426" s="184"/>
      <c r="K426" s="184"/>
      <c r="L426" s="193"/>
      <c r="M426" s="1001" t="s">
        <v>842</v>
      </c>
      <c r="N426" s="1002"/>
      <c r="O426" s="1002"/>
      <c r="P426" s="1002"/>
      <c r="Q426" s="1002"/>
      <c r="R426" s="1002"/>
      <c r="S426" s="1002"/>
      <c r="T426" s="1002"/>
      <c r="U426" s="1002"/>
      <c r="V426" s="1002"/>
      <c r="W426" s="1002"/>
      <c r="X426" s="1002"/>
      <c r="Y426" s="1002"/>
      <c r="Z426" s="1002"/>
      <c r="AA426" s="1002"/>
      <c r="AB426" s="1002"/>
      <c r="AC426" s="1002"/>
      <c r="AD426" s="1002"/>
      <c r="AE426" s="1002"/>
      <c r="AF426" s="1002"/>
      <c r="AG426" s="1002"/>
      <c r="AH426" s="1002"/>
      <c r="AI426" s="1002"/>
      <c r="AJ426" s="1002"/>
      <c r="AK426" s="1002"/>
      <c r="AL426" s="1002"/>
      <c r="AM426" s="1002"/>
      <c r="AN426" s="1002"/>
      <c r="AO426" s="1002"/>
      <c r="AP426" s="1002"/>
      <c r="AQ426" s="1002"/>
      <c r="AR426" s="1002"/>
      <c r="AS426" s="1002"/>
      <c r="AT426" s="1002"/>
      <c r="AU426" s="1002"/>
      <c r="AV426" s="1002"/>
      <c r="AW426" s="1002"/>
      <c r="AX426" s="1002"/>
      <c r="AY426" s="1002"/>
      <c r="AZ426" s="1002"/>
      <c r="BA426" s="1002"/>
      <c r="BB426" s="1002"/>
      <c r="BC426" s="1002"/>
      <c r="BD426" s="1002"/>
      <c r="BE426" s="204"/>
      <c r="BF426" s="205" t="s">
        <v>548</v>
      </c>
      <c r="BG426" s="204"/>
      <c r="BH426" s="204" t="s">
        <v>407</v>
      </c>
      <c r="BI426" s="204"/>
      <c r="BJ426" s="204"/>
      <c r="BK426" s="206"/>
    </row>
    <row r="427" spans="1:63" s="164" customFormat="1" ht="15.75" customHeight="1">
      <c r="A427" s="185"/>
      <c r="B427" s="183" t="s">
        <v>843</v>
      </c>
      <c r="C427" s="184"/>
      <c r="D427" s="184"/>
      <c r="E427" s="184"/>
      <c r="F427" s="184"/>
      <c r="G427" s="184"/>
      <c r="H427" s="184"/>
      <c r="I427" s="184"/>
      <c r="J427" s="184"/>
      <c r="K427" s="184"/>
      <c r="L427" s="193"/>
      <c r="M427" s="1001" t="s">
        <v>844</v>
      </c>
      <c r="N427" s="1002"/>
      <c r="O427" s="1002"/>
      <c r="P427" s="1002"/>
      <c r="Q427" s="1002"/>
      <c r="R427" s="1002"/>
      <c r="S427" s="1002"/>
      <c r="T427" s="1002"/>
      <c r="U427" s="1002"/>
      <c r="V427" s="1002"/>
      <c r="W427" s="1002"/>
      <c r="X427" s="1002"/>
      <c r="Y427" s="1002"/>
      <c r="Z427" s="1002"/>
      <c r="AA427" s="1002"/>
      <c r="AB427" s="1002"/>
      <c r="AC427" s="1002"/>
      <c r="AD427" s="1002"/>
      <c r="AE427" s="1002"/>
      <c r="AF427" s="1002"/>
      <c r="AG427" s="1002"/>
      <c r="AH427" s="1002"/>
      <c r="AI427" s="1002"/>
      <c r="AJ427" s="1002"/>
      <c r="AK427" s="1002"/>
      <c r="AL427" s="1002"/>
      <c r="AM427" s="1002"/>
      <c r="AN427" s="1002"/>
      <c r="AO427" s="1002"/>
      <c r="AP427" s="1002"/>
      <c r="AQ427" s="1002"/>
      <c r="AR427" s="1002"/>
      <c r="AS427" s="1002"/>
      <c r="AT427" s="1002"/>
      <c r="AU427" s="1002"/>
      <c r="AV427" s="1002"/>
      <c r="AW427" s="1002"/>
      <c r="AX427" s="1002"/>
      <c r="AY427" s="1002"/>
      <c r="AZ427" s="1002"/>
      <c r="BA427" s="1002"/>
      <c r="BB427" s="1002"/>
      <c r="BC427" s="1002"/>
      <c r="BD427" s="1002"/>
      <c r="BE427" s="204"/>
      <c r="BF427" s="205" t="s">
        <v>548</v>
      </c>
      <c r="BG427" s="204"/>
      <c r="BH427" s="204" t="s">
        <v>407</v>
      </c>
      <c r="BI427" s="204"/>
      <c r="BJ427" s="204"/>
      <c r="BK427" s="206"/>
    </row>
    <row r="428" spans="1:63" s="164" customFormat="1" ht="15.75" customHeight="1">
      <c r="A428" s="185"/>
      <c r="B428" s="183" t="s">
        <v>845</v>
      </c>
      <c r="C428" s="184"/>
      <c r="D428" s="184"/>
      <c r="E428" s="184"/>
      <c r="F428" s="184"/>
      <c r="G428" s="184"/>
      <c r="H428" s="184"/>
      <c r="I428" s="184"/>
      <c r="J428" s="184"/>
      <c r="K428" s="184"/>
      <c r="L428" s="193"/>
      <c r="M428" s="1001" t="s">
        <v>846</v>
      </c>
      <c r="N428" s="1002"/>
      <c r="O428" s="1002"/>
      <c r="P428" s="1002"/>
      <c r="Q428" s="1002"/>
      <c r="R428" s="1002"/>
      <c r="S428" s="1002"/>
      <c r="T428" s="1002"/>
      <c r="U428" s="1002"/>
      <c r="V428" s="1002"/>
      <c r="W428" s="1002"/>
      <c r="X428" s="1002"/>
      <c r="Y428" s="1002"/>
      <c r="Z428" s="1002"/>
      <c r="AA428" s="1002"/>
      <c r="AB428" s="1002"/>
      <c r="AC428" s="1002"/>
      <c r="AD428" s="1002"/>
      <c r="AE428" s="1002"/>
      <c r="AF428" s="1002"/>
      <c r="AG428" s="1002"/>
      <c r="AH428" s="1002"/>
      <c r="AI428" s="1002"/>
      <c r="AJ428" s="1002"/>
      <c r="AK428" s="1002"/>
      <c r="AL428" s="1002"/>
      <c r="AM428" s="1002"/>
      <c r="AN428" s="1002"/>
      <c r="AO428" s="1002"/>
      <c r="AP428" s="1002"/>
      <c r="AQ428" s="1002"/>
      <c r="AR428" s="1002"/>
      <c r="AS428" s="1002"/>
      <c r="AT428" s="1002"/>
      <c r="AU428" s="1002"/>
      <c r="AV428" s="1002"/>
      <c r="AW428" s="1002"/>
      <c r="AX428" s="1002"/>
      <c r="AY428" s="1002"/>
      <c r="AZ428" s="1002"/>
      <c r="BA428" s="1002"/>
      <c r="BB428" s="1002"/>
      <c r="BC428" s="1002"/>
      <c r="BD428" s="1002"/>
      <c r="BE428" s="204"/>
      <c r="BF428" s="205" t="s">
        <v>548</v>
      </c>
      <c r="BG428" s="204"/>
      <c r="BH428" s="204" t="s">
        <v>407</v>
      </c>
      <c r="BI428" s="204"/>
      <c r="BJ428" s="204"/>
      <c r="BK428" s="206"/>
    </row>
    <row r="429" spans="1:63" s="164" customFormat="1" ht="15.75" customHeight="1">
      <c r="A429" s="185"/>
      <c r="B429" s="183" t="s">
        <v>847</v>
      </c>
      <c r="C429" s="184"/>
      <c r="D429" s="184"/>
      <c r="E429" s="184"/>
      <c r="F429" s="184"/>
      <c r="G429" s="184"/>
      <c r="H429" s="184"/>
      <c r="I429" s="184"/>
      <c r="J429" s="184"/>
      <c r="K429" s="184"/>
      <c r="L429" s="193"/>
      <c r="M429" s="1001" t="s">
        <v>848</v>
      </c>
      <c r="N429" s="1002"/>
      <c r="O429" s="1002"/>
      <c r="P429" s="1002"/>
      <c r="Q429" s="1002"/>
      <c r="R429" s="1002"/>
      <c r="S429" s="1002"/>
      <c r="T429" s="1002"/>
      <c r="U429" s="1002"/>
      <c r="V429" s="1002"/>
      <c r="W429" s="1002"/>
      <c r="X429" s="1002"/>
      <c r="Y429" s="1002"/>
      <c r="Z429" s="1002"/>
      <c r="AA429" s="1002"/>
      <c r="AB429" s="1002"/>
      <c r="AC429" s="1002"/>
      <c r="AD429" s="1002"/>
      <c r="AE429" s="1002"/>
      <c r="AF429" s="1002"/>
      <c r="AG429" s="1002"/>
      <c r="AH429" s="1002"/>
      <c r="AI429" s="1002"/>
      <c r="AJ429" s="1002"/>
      <c r="AK429" s="1002"/>
      <c r="AL429" s="1002"/>
      <c r="AM429" s="1002"/>
      <c r="AN429" s="1002"/>
      <c r="AO429" s="1002"/>
      <c r="AP429" s="1002"/>
      <c r="AQ429" s="1002"/>
      <c r="AR429" s="1002"/>
      <c r="AS429" s="1002"/>
      <c r="AT429" s="1002"/>
      <c r="AU429" s="1002"/>
      <c r="AV429" s="1002"/>
      <c r="AW429" s="1002"/>
      <c r="AX429" s="1002"/>
      <c r="AY429" s="1002"/>
      <c r="AZ429" s="1002"/>
      <c r="BA429" s="1002"/>
      <c r="BB429" s="1002"/>
      <c r="BC429" s="1002"/>
      <c r="BD429" s="1002"/>
      <c r="BE429" s="204"/>
      <c r="BF429" s="205" t="s">
        <v>548</v>
      </c>
      <c r="BG429" s="204"/>
      <c r="BH429" s="204" t="s">
        <v>407</v>
      </c>
      <c r="BI429" s="204"/>
      <c r="BJ429" s="204"/>
      <c r="BK429" s="206"/>
    </row>
    <row r="430" spans="1:63" s="164" customFormat="1" ht="15.75" customHeight="1">
      <c r="A430" s="185"/>
      <c r="B430" s="183" t="s">
        <v>849</v>
      </c>
      <c r="C430" s="184"/>
      <c r="D430" s="184"/>
      <c r="E430" s="184"/>
      <c r="F430" s="184"/>
      <c r="G430" s="184"/>
      <c r="H430" s="184"/>
      <c r="I430" s="184"/>
      <c r="J430" s="184"/>
      <c r="K430" s="184"/>
      <c r="L430" s="193"/>
      <c r="M430" s="1001" t="s">
        <v>850</v>
      </c>
      <c r="N430" s="1002"/>
      <c r="O430" s="1002"/>
      <c r="P430" s="1002"/>
      <c r="Q430" s="1002"/>
      <c r="R430" s="1002"/>
      <c r="S430" s="1002"/>
      <c r="T430" s="1002"/>
      <c r="U430" s="1002"/>
      <c r="V430" s="1002"/>
      <c r="W430" s="1002"/>
      <c r="X430" s="1002"/>
      <c r="Y430" s="1002"/>
      <c r="Z430" s="1002"/>
      <c r="AA430" s="1002"/>
      <c r="AB430" s="1002"/>
      <c r="AC430" s="1002"/>
      <c r="AD430" s="1002"/>
      <c r="AE430" s="1002"/>
      <c r="AF430" s="1002"/>
      <c r="AG430" s="1002"/>
      <c r="AH430" s="1002"/>
      <c r="AI430" s="1002"/>
      <c r="AJ430" s="1002"/>
      <c r="AK430" s="1002"/>
      <c r="AL430" s="1002"/>
      <c r="AM430" s="1002"/>
      <c r="AN430" s="1002"/>
      <c r="AO430" s="1002"/>
      <c r="AP430" s="1002"/>
      <c r="AQ430" s="1002"/>
      <c r="AR430" s="1002"/>
      <c r="AS430" s="1002"/>
      <c r="AT430" s="1002"/>
      <c r="AU430" s="1002"/>
      <c r="AV430" s="1002"/>
      <c r="AW430" s="1002"/>
      <c r="AX430" s="1002"/>
      <c r="AY430" s="1002"/>
      <c r="AZ430" s="1002"/>
      <c r="BA430" s="1002"/>
      <c r="BB430" s="1002"/>
      <c r="BC430" s="1002"/>
      <c r="BD430" s="1002"/>
      <c r="BE430" s="204"/>
      <c r="BF430" s="205" t="s">
        <v>548</v>
      </c>
      <c r="BG430" s="204"/>
      <c r="BH430" s="204" t="s">
        <v>407</v>
      </c>
      <c r="BI430" s="204"/>
      <c r="BJ430" s="204"/>
      <c r="BK430" s="206"/>
    </row>
    <row r="431" spans="1:63" s="164" customFormat="1" ht="15.75" customHeight="1">
      <c r="A431" s="185"/>
      <c r="B431" s="183" t="s">
        <v>851</v>
      </c>
      <c r="C431" s="184"/>
      <c r="D431" s="184"/>
      <c r="E431" s="184"/>
      <c r="F431" s="184"/>
      <c r="G431" s="184"/>
      <c r="H431" s="184"/>
      <c r="I431" s="184"/>
      <c r="J431" s="184"/>
      <c r="K431" s="184"/>
      <c r="L431" s="193"/>
      <c r="M431" s="1001" t="s">
        <v>852</v>
      </c>
      <c r="N431" s="1002"/>
      <c r="O431" s="1002"/>
      <c r="P431" s="1002"/>
      <c r="Q431" s="1002"/>
      <c r="R431" s="1002"/>
      <c r="S431" s="1002"/>
      <c r="T431" s="1002"/>
      <c r="U431" s="1002"/>
      <c r="V431" s="1002"/>
      <c r="W431" s="1002"/>
      <c r="X431" s="1002"/>
      <c r="Y431" s="1002"/>
      <c r="Z431" s="1002"/>
      <c r="AA431" s="1002"/>
      <c r="AB431" s="1002"/>
      <c r="AC431" s="1002"/>
      <c r="AD431" s="1002"/>
      <c r="AE431" s="1002"/>
      <c r="AF431" s="1002"/>
      <c r="AG431" s="1002"/>
      <c r="AH431" s="1002"/>
      <c r="AI431" s="1002"/>
      <c r="AJ431" s="1002"/>
      <c r="AK431" s="1002"/>
      <c r="AL431" s="1002"/>
      <c r="AM431" s="1002"/>
      <c r="AN431" s="1002"/>
      <c r="AO431" s="1002"/>
      <c r="AP431" s="1002"/>
      <c r="AQ431" s="1002"/>
      <c r="AR431" s="1002"/>
      <c r="AS431" s="1002"/>
      <c r="AT431" s="1002"/>
      <c r="AU431" s="1002"/>
      <c r="AV431" s="1002"/>
      <c r="AW431" s="1002"/>
      <c r="AX431" s="1002"/>
      <c r="AY431" s="1002"/>
      <c r="AZ431" s="1002"/>
      <c r="BA431" s="1002"/>
      <c r="BB431" s="1002"/>
      <c r="BC431" s="1002"/>
      <c r="BD431" s="1002"/>
      <c r="BE431" s="204"/>
      <c r="BF431" s="205" t="s">
        <v>548</v>
      </c>
      <c r="BG431" s="204"/>
      <c r="BH431" s="204" t="s">
        <v>407</v>
      </c>
      <c r="BI431" s="204"/>
      <c r="BJ431" s="204"/>
      <c r="BK431" s="206"/>
    </row>
    <row r="432" spans="1:63" s="164" customFormat="1" ht="15.75" customHeight="1">
      <c r="A432" s="185"/>
      <c r="B432" s="183" t="s">
        <v>853</v>
      </c>
      <c r="C432" s="184"/>
      <c r="D432" s="184"/>
      <c r="E432" s="184"/>
      <c r="F432" s="184"/>
      <c r="G432" s="184"/>
      <c r="H432" s="184"/>
      <c r="I432" s="184"/>
      <c r="J432" s="184"/>
      <c r="K432" s="184"/>
      <c r="L432" s="193"/>
      <c r="M432" s="1001" t="s">
        <v>854</v>
      </c>
      <c r="N432" s="1002"/>
      <c r="O432" s="1002"/>
      <c r="P432" s="1002"/>
      <c r="Q432" s="1002"/>
      <c r="R432" s="1002"/>
      <c r="S432" s="1002"/>
      <c r="T432" s="1002"/>
      <c r="U432" s="1002"/>
      <c r="V432" s="1002"/>
      <c r="W432" s="1002"/>
      <c r="X432" s="1002"/>
      <c r="Y432" s="1002"/>
      <c r="Z432" s="1002"/>
      <c r="AA432" s="1002"/>
      <c r="AB432" s="1002"/>
      <c r="AC432" s="1002"/>
      <c r="AD432" s="1002"/>
      <c r="AE432" s="1002"/>
      <c r="AF432" s="1002"/>
      <c r="AG432" s="1002"/>
      <c r="AH432" s="1002"/>
      <c r="AI432" s="1002"/>
      <c r="AJ432" s="1002"/>
      <c r="AK432" s="1002"/>
      <c r="AL432" s="1002"/>
      <c r="AM432" s="1002"/>
      <c r="AN432" s="1002"/>
      <c r="AO432" s="1002"/>
      <c r="AP432" s="1002"/>
      <c r="AQ432" s="1002"/>
      <c r="AR432" s="1002"/>
      <c r="AS432" s="1002"/>
      <c r="AT432" s="1002"/>
      <c r="AU432" s="1002"/>
      <c r="AV432" s="1002"/>
      <c r="AW432" s="1002"/>
      <c r="AX432" s="1002"/>
      <c r="AY432" s="1002"/>
      <c r="AZ432" s="1002"/>
      <c r="BA432" s="1002"/>
      <c r="BB432" s="1002"/>
      <c r="BC432" s="1002"/>
      <c r="BD432" s="1002"/>
      <c r="BE432" s="204"/>
      <c r="BF432" s="205" t="s">
        <v>548</v>
      </c>
      <c r="BG432" s="204"/>
      <c r="BH432" s="204" t="s">
        <v>407</v>
      </c>
      <c r="BI432" s="204"/>
      <c r="BJ432" s="204"/>
      <c r="BK432" s="206"/>
    </row>
    <row r="433" spans="1:63" s="164" customFormat="1" ht="15.75" customHeight="1">
      <c r="A433" s="185"/>
      <c r="B433" s="183" t="s">
        <v>855</v>
      </c>
      <c r="C433" s="184"/>
      <c r="D433" s="184"/>
      <c r="E433" s="184"/>
      <c r="F433" s="184"/>
      <c r="G433" s="184"/>
      <c r="H433" s="184"/>
      <c r="I433" s="184"/>
      <c r="J433" s="184"/>
      <c r="K433" s="184"/>
      <c r="L433" s="193"/>
      <c r="M433" s="1001" t="s">
        <v>856</v>
      </c>
      <c r="N433" s="1002"/>
      <c r="O433" s="1002"/>
      <c r="P433" s="1002"/>
      <c r="Q433" s="1002"/>
      <c r="R433" s="1002"/>
      <c r="S433" s="1002"/>
      <c r="T433" s="1002"/>
      <c r="U433" s="1002"/>
      <c r="V433" s="1002"/>
      <c r="W433" s="1002"/>
      <c r="X433" s="1002"/>
      <c r="Y433" s="1002"/>
      <c r="Z433" s="1002"/>
      <c r="AA433" s="1002"/>
      <c r="AB433" s="1002"/>
      <c r="AC433" s="1002"/>
      <c r="AD433" s="1002"/>
      <c r="AE433" s="1002"/>
      <c r="AF433" s="1002"/>
      <c r="AG433" s="1002"/>
      <c r="AH433" s="1002"/>
      <c r="AI433" s="1002"/>
      <c r="AJ433" s="1002"/>
      <c r="AK433" s="1002"/>
      <c r="AL433" s="1002"/>
      <c r="AM433" s="1002"/>
      <c r="AN433" s="1002"/>
      <c r="AO433" s="1002"/>
      <c r="AP433" s="1002"/>
      <c r="AQ433" s="1002"/>
      <c r="AR433" s="1002"/>
      <c r="AS433" s="1002"/>
      <c r="AT433" s="1002"/>
      <c r="AU433" s="1002"/>
      <c r="AV433" s="1002"/>
      <c r="AW433" s="1002"/>
      <c r="AX433" s="1002"/>
      <c r="AY433" s="1002"/>
      <c r="AZ433" s="1002"/>
      <c r="BA433" s="1002"/>
      <c r="BB433" s="1002"/>
      <c r="BC433" s="1002"/>
      <c r="BD433" s="1002"/>
      <c r="BE433" s="204"/>
      <c r="BF433" s="205" t="s">
        <v>548</v>
      </c>
      <c r="BG433" s="204"/>
      <c r="BH433" s="204" t="s">
        <v>407</v>
      </c>
      <c r="BI433" s="204"/>
      <c r="BJ433" s="204"/>
      <c r="BK433" s="206"/>
    </row>
    <row r="434" spans="1:63" s="164" customFormat="1" ht="67.5" customHeight="1">
      <c r="A434" s="182" t="s">
        <v>411</v>
      </c>
      <c r="B434" s="183" t="s">
        <v>857</v>
      </c>
      <c r="C434" s="184"/>
      <c r="D434" s="184"/>
      <c r="E434" s="184"/>
      <c r="F434" s="184"/>
      <c r="G434" s="184"/>
      <c r="H434" s="184"/>
      <c r="I434" s="184"/>
      <c r="J434" s="184"/>
      <c r="K434" s="184"/>
      <c r="L434" s="193"/>
      <c r="M434" s="1005" t="s">
        <v>858</v>
      </c>
      <c r="N434" s="1005"/>
      <c r="O434" s="1005"/>
      <c r="P434" s="1005"/>
      <c r="Q434" s="1005"/>
      <c r="R434" s="1005"/>
      <c r="S434" s="1005"/>
      <c r="T434" s="1005"/>
      <c r="U434" s="1005"/>
      <c r="V434" s="1005"/>
      <c r="W434" s="1005"/>
      <c r="X434" s="1005"/>
      <c r="Y434" s="1005"/>
      <c r="Z434" s="1005"/>
      <c r="AA434" s="1005"/>
      <c r="AB434" s="1005"/>
      <c r="AC434" s="1005"/>
      <c r="AD434" s="1005"/>
      <c r="AE434" s="1005"/>
      <c r="AF434" s="1005"/>
      <c r="AG434" s="1005"/>
      <c r="AH434" s="1005"/>
      <c r="AI434" s="1005"/>
      <c r="AJ434" s="1005"/>
      <c r="AK434" s="1005"/>
      <c r="AL434" s="1005"/>
      <c r="AM434" s="1005"/>
      <c r="AN434" s="1005"/>
      <c r="AO434" s="1005"/>
      <c r="AP434" s="1005"/>
      <c r="AQ434" s="1005"/>
      <c r="AR434" s="1005"/>
      <c r="AS434" s="1005"/>
      <c r="AT434" s="1005"/>
      <c r="AU434" s="1005"/>
      <c r="AV434" s="1005"/>
      <c r="AW434" s="1005"/>
      <c r="AX434" s="1005"/>
      <c r="AY434" s="1005"/>
      <c r="AZ434" s="1005"/>
      <c r="BA434" s="1005"/>
      <c r="BB434" s="1005"/>
      <c r="BC434" s="1005"/>
      <c r="BD434" s="1005"/>
      <c r="BE434" s="204"/>
      <c r="BF434" s="205" t="s">
        <v>548</v>
      </c>
      <c r="BG434" s="204"/>
      <c r="BH434" s="204" t="s">
        <v>407</v>
      </c>
      <c r="BI434" s="205" t="s">
        <v>408</v>
      </c>
      <c r="BJ434" s="204"/>
      <c r="BK434" s="206"/>
    </row>
    <row r="435" spans="1:63" s="164" customFormat="1" ht="15.75" customHeight="1">
      <c r="A435" s="185"/>
      <c r="B435" s="183" t="s">
        <v>859</v>
      </c>
      <c r="C435" s="184"/>
      <c r="D435" s="184"/>
      <c r="E435" s="184"/>
      <c r="F435" s="184"/>
      <c r="G435" s="184"/>
      <c r="H435" s="184"/>
      <c r="I435" s="184"/>
      <c r="J435" s="184"/>
      <c r="K435" s="184"/>
      <c r="L435" s="193"/>
      <c r="M435" s="1005" t="s">
        <v>860</v>
      </c>
      <c r="N435" s="1005"/>
      <c r="O435" s="1005"/>
      <c r="P435" s="1005"/>
      <c r="Q435" s="1005"/>
      <c r="R435" s="1005"/>
      <c r="S435" s="1005"/>
      <c r="T435" s="1005"/>
      <c r="U435" s="1005"/>
      <c r="V435" s="1005"/>
      <c r="W435" s="1005"/>
      <c r="X435" s="1005"/>
      <c r="Y435" s="1005"/>
      <c r="Z435" s="1005"/>
      <c r="AA435" s="1005"/>
      <c r="AB435" s="1005"/>
      <c r="AC435" s="1005"/>
      <c r="AD435" s="1005"/>
      <c r="AE435" s="1005"/>
      <c r="AF435" s="1005"/>
      <c r="AG435" s="1005"/>
      <c r="AH435" s="1005"/>
      <c r="AI435" s="1005"/>
      <c r="AJ435" s="1005"/>
      <c r="AK435" s="1005"/>
      <c r="AL435" s="1005"/>
      <c r="AM435" s="1005"/>
      <c r="AN435" s="1005"/>
      <c r="AO435" s="1005"/>
      <c r="AP435" s="1005"/>
      <c r="AQ435" s="1005"/>
      <c r="AR435" s="1005"/>
      <c r="AS435" s="1005"/>
      <c r="AT435" s="1005"/>
      <c r="AU435" s="1005"/>
      <c r="AV435" s="1005"/>
      <c r="AW435" s="1005"/>
      <c r="AX435" s="1005"/>
      <c r="AY435" s="1005"/>
      <c r="AZ435" s="1005"/>
      <c r="BA435" s="1005"/>
      <c r="BB435" s="1005"/>
      <c r="BC435" s="1005"/>
      <c r="BD435" s="1005"/>
      <c r="BE435" s="204"/>
      <c r="BF435" s="205" t="s">
        <v>548</v>
      </c>
      <c r="BG435" s="204"/>
      <c r="BH435" s="204" t="s">
        <v>407</v>
      </c>
      <c r="BI435" s="204"/>
      <c r="BJ435" s="204"/>
      <c r="BK435" s="206"/>
    </row>
    <row r="436" spans="1:63" s="164" customFormat="1" ht="93" customHeight="1">
      <c r="A436" s="182" t="s">
        <v>411</v>
      </c>
      <c r="B436" s="183" t="s">
        <v>861</v>
      </c>
      <c r="C436" s="184"/>
      <c r="D436" s="184"/>
      <c r="E436" s="184"/>
      <c r="F436" s="184"/>
      <c r="G436" s="184"/>
      <c r="H436" s="184"/>
      <c r="I436" s="184"/>
      <c r="J436" s="184"/>
      <c r="K436" s="184"/>
      <c r="L436" s="193"/>
      <c r="M436" s="1005" t="s">
        <v>862</v>
      </c>
      <c r="N436" s="1005"/>
      <c r="O436" s="1005"/>
      <c r="P436" s="1005"/>
      <c r="Q436" s="1005"/>
      <c r="R436" s="1005"/>
      <c r="S436" s="1005"/>
      <c r="T436" s="1005"/>
      <c r="U436" s="1005"/>
      <c r="V436" s="1005"/>
      <c r="W436" s="1005"/>
      <c r="X436" s="1005"/>
      <c r="Y436" s="1005"/>
      <c r="Z436" s="1005"/>
      <c r="AA436" s="1005"/>
      <c r="AB436" s="1005"/>
      <c r="AC436" s="1005"/>
      <c r="AD436" s="1005"/>
      <c r="AE436" s="1005"/>
      <c r="AF436" s="1005"/>
      <c r="AG436" s="1005"/>
      <c r="AH436" s="1005"/>
      <c r="AI436" s="1005"/>
      <c r="AJ436" s="1005"/>
      <c r="AK436" s="1005"/>
      <c r="AL436" s="1005"/>
      <c r="AM436" s="1005"/>
      <c r="AN436" s="1005"/>
      <c r="AO436" s="1005"/>
      <c r="AP436" s="1005"/>
      <c r="AQ436" s="1005"/>
      <c r="AR436" s="1005"/>
      <c r="AS436" s="1005"/>
      <c r="AT436" s="1005"/>
      <c r="AU436" s="1005"/>
      <c r="AV436" s="1005"/>
      <c r="AW436" s="1005"/>
      <c r="AX436" s="1005"/>
      <c r="AY436" s="1005"/>
      <c r="AZ436" s="1005"/>
      <c r="BA436" s="1005"/>
      <c r="BB436" s="1005"/>
      <c r="BC436" s="1005"/>
      <c r="BD436" s="1005"/>
      <c r="BE436" s="205" t="s">
        <v>486</v>
      </c>
      <c r="BF436" s="205" t="s">
        <v>487</v>
      </c>
      <c r="BG436" s="204"/>
      <c r="BH436" s="204" t="s">
        <v>407</v>
      </c>
      <c r="BI436" s="205" t="s">
        <v>408</v>
      </c>
      <c r="BJ436" s="204"/>
      <c r="BK436" s="206"/>
    </row>
    <row r="437" spans="1:63" s="164" customFormat="1" ht="15.75" customHeight="1">
      <c r="A437" s="185"/>
      <c r="B437" s="183" t="s">
        <v>863</v>
      </c>
      <c r="C437" s="184"/>
      <c r="D437" s="184"/>
      <c r="E437" s="184"/>
      <c r="F437" s="184"/>
      <c r="G437" s="184"/>
      <c r="H437" s="184"/>
      <c r="I437" s="184"/>
      <c r="J437" s="184"/>
      <c r="K437" s="184"/>
      <c r="L437" s="193"/>
      <c r="M437" s="1003"/>
      <c r="N437" s="1002"/>
      <c r="O437" s="1002"/>
      <c r="P437" s="1002"/>
      <c r="Q437" s="1002"/>
      <c r="R437" s="1002"/>
      <c r="S437" s="1002"/>
      <c r="T437" s="1002"/>
      <c r="U437" s="1002"/>
      <c r="V437" s="1002"/>
      <c r="W437" s="1002"/>
      <c r="X437" s="1002"/>
      <c r="Y437" s="1002"/>
      <c r="Z437" s="1002"/>
      <c r="AA437" s="1002"/>
      <c r="AB437" s="1002"/>
      <c r="AC437" s="1002"/>
      <c r="AD437" s="1002"/>
      <c r="AE437" s="1002"/>
      <c r="AF437" s="1002"/>
      <c r="AG437" s="1002"/>
      <c r="AH437" s="1002"/>
      <c r="AI437" s="1002"/>
      <c r="AJ437" s="1002"/>
      <c r="AK437" s="1002"/>
      <c r="AL437" s="1002"/>
      <c r="AM437" s="1002"/>
      <c r="AN437" s="1002"/>
      <c r="AO437" s="1002"/>
      <c r="AP437" s="1002"/>
      <c r="AQ437" s="1002"/>
      <c r="AR437" s="1002"/>
      <c r="AS437" s="1002"/>
      <c r="AT437" s="1002"/>
      <c r="AU437" s="1002"/>
      <c r="AV437" s="1002"/>
      <c r="AW437" s="1002"/>
      <c r="AX437" s="1002"/>
      <c r="AY437" s="1002"/>
      <c r="AZ437" s="1002"/>
      <c r="BA437" s="1002"/>
      <c r="BB437" s="1002"/>
      <c r="BC437" s="1002"/>
      <c r="BD437" s="1002"/>
      <c r="BE437" s="204"/>
      <c r="BF437" s="205" t="s">
        <v>487</v>
      </c>
      <c r="BG437" s="204"/>
      <c r="BH437" s="204" t="s">
        <v>407</v>
      </c>
      <c r="BI437" s="204"/>
      <c r="BJ437" s="204"/>
      <c r="BK437" s="206"/>
    </row>
    <row r="438" spans="1:63" s="164" customFormat="1" ht="15.75" customHeight="1">
      <c r="A438" s="182" t="s">
        <v>411</v>
      </c>
      <c r="B438" s="183" t="s">
        <v>864</v>
      </c>
      <c r="C438" s="184"/>
      <c r="D438" s="184"/>
      <c r="E438" s="184"/>
      <c r="F438" s="184"/>
      <c r="G438" s="184"/>
      <c r="H438" s="184"/>
      <c r="I438" s="184"/>
      <c r="J438" s="184"/>
      <c r="K438" s="184"/>
      <c r="L438" s="193"/>
      <c r="M438" s="1005" t="s">
        <v>865</v>
      </c>
      <c r="N438" s="1002"/>
      <c r="O438" s="1002"/>
      <c r="P438" s="1002"/>
      <c r="Q438" s="1002"/>
      <c r="R438" s="1002"/>
      <c r="S438" s="1002"/>
      <c r="T438" s="1002"/>
      <c r="U438" s="1002"/>
      <c r="V438" s="1002"/>
      <c r="W438" s="1002"/>
      <c r="X438" s="1002"/>
      <c r="Y438" s="1002"/>
      <c r="Z438" s="1002"/>
      <c r="AA438" s="1002"/>
      <c r="AB438" s="1002"/>
      <c r="AC438" s="1002"/>
      <c r="AD438" s="1002"/>
      <c r="AE438" s="1002"/>
      <c r="AF438" s="1002"/>
      <c r="AG438" s="1002"/>
      <c r="AH438" s="1002"/>
      <c r="AI438" s="1002"/>
      <c r="AJ438" s="1002"/>
      <c r="AK438" s="1002"/>
      <c r="AL438" s="1002"/>
      <c r="AM438" s="1002"/>
      <c r="AN438" s="1002"/>
      <c r="AO438" s="1002"/>
      <c r="AP438" s="1002"/>
      <c r="AQ438" s="1002"/>
      <c r="AR438" s="1002"/>
      <c r="AS438" s="1002"/>
      <c r="AT438" s="1002"/>
      <c r="AU438" s="1002"/>
      <c r="AV438" s="1002"/>
      <c r="AW438" s="1002"/>
      <c r="AX438" s="1002"/>
      <c r="AY438" s="1002"/>
      <c r="AZ438" s="1002"/>
      <c r="BA438" s="1002"/>
      <c r="BB438" s="1002"/>
      <c r="BC438" s="1002"/>
      <c r="BD438" s="1002"/>
      <c r="BE438" s="205" t="s">
        <v>486</v>
      </c>
      <c r="BF438" s="205" t="s">
        <v>487</v>
      </c>
      <c r="BG438" s="204"/>
      <c r="BH438" s="204" t="s">
        <v>407</v>
      </c>
      <c r="BI438" s="205" t="s">
        <v>408</v>
      </c>
      <c r="BJ438" s="204"/>
      <c r="BK438" s="206"/>
    </row>
    <row r="439" spans="1:63" s="164" customFormat="1" ht="15.75" customHeight="1">
      <c r="A439" s="185"/>
      <c r="B439" s="183" t="s">
        <v>866</v>
      </c>
      <c r="C439" s="184"/>
      <c r="D439" s="184"/>
      <c r="E439" s="184"/>
      <c r="F439" s="184"/>
      <c r="G439" s="184"/>
      <c r="H439" s="184"/>
      <c r="I439" s="184"/>
      <c r="J439" s="184"/>
      <c r="K439" s="184"/>
      <c r="L439" s="193"/>
      <c r="M439" s="1003"/>
      <c r="N439" s="1002"/>
      <c r="O439" s="1002"/>
      <c r="P439" s="1002"/>
      <c r="Q439" s="1002"/>
      <c r="R439" s="1002"/>
      <c r="S439" s="1002"/>
      <c r="T439" s="1002"/>
      <c r="U439" s="1002"/>
      <c r="V439" s="1002"/>
      <c r="W439" s="1002"/>
      <c r="X439" s="1002"/>
      <c r="Y439" s="1002"/>
      <c r="Z439" s="1002"/>
      <c r="AA439" s="1002"/>
      <c r="AB439" s="1002"/>
      <c r="AC439" s="1002"/>
      <c r="AD439" s="1002"/>
      <c r="AE439" s="1002"/>
      <c r="AF439" s="1002"/>
      <c r="AG439" s="1002"/>
      <c r="AH439" s="1002"/>
      <c r="AI439" s="1002"/>
      <c r="AJ439" s="1002"/>
      <c r="AK439" s="1002"/>
      <c r="AL439" s="1002"/>
      <c r="AM439" s="1002"/>
      <c r="AN439" s="1002"/>
      <c r="AO439" s="1002"/>
      <c r="AP439" s="1002"/>
      <c r="AQ439" s="1002"/>
      <c r="AR439" s="1002"/>
      <c r="AS439" s="1002"/>
      <c r="AT439" s="1002"/>
      <c r="AU439" s="1002"/>
      <c r="AV439" s="1002"/>
      <c r="AW439" s="1002"/>
      <c r="AX439" s="1002"/>
      <c r="AY439" s="1002"/>
      <c r="AZ439" s="1002"/>
      <c r="BA439" s="1002"/>
      <c r="BB439" s="1002"/>
      <c r="BC439" s="1002"/>
      <c r="BD439" s="1002"/>
      <c r="BE439" s="204"/>
      <c r="BF439" s="205" t="s">
        <v>487</v>
      </c>
      <c r="BG439" s="204"/>
      <c r="BH439" s="204" t="s">
        <v>407</v>
      </c>
      <c r="BI439" s="204"/>
      <c r="BJ439" s="204"/>
      <c r="BK439" s="206"/>
    </row>
    <row r="440" spans="1:63" s="164" customFormat="1" ht="15.75" customHeight="1">
      <c r="A440" s="185"/>
      <c r="B440" s="183" t="s">
        <v>867</v>
      </c>
      <c r="C440" s="184"/>
      <c r="D440" s="184"/>
      <c r="E440" s="184"/>
      <c r="F440" s="184"/>
      <c r="G440" s="184"/>
      <c r="H440" s="184"/>
      <c r="I440" s="184"/>
      <c r="J440" s="184"/>
      <c r="K440" s="184"/>
      <c r="L440" s="193"/>
      <c r="M440" s="1003"/>
      <c r="N440" s="1002"/>
      <c r="O440" s="1002"/>
      <c r="P440" s="1002"/>
      <c r="Q440" s="1002"/>
      <c r="R440" s="1002"/>
      <c r="S440" s="1002"/>
      <c r="T440" s="1002"/>
      <c r="U440" s="1002"/>
      <c r="V440" s="1002"/>
      <c r="W440" s="1002"/>
      <c r="X440" s="1002"/>
      <c r="Y440" s="1002"/>
      <c r="Z440" s="1002"/>
      <c r="AA440" s="1002"/>
      <c r="AB440" s="1002"/>
      <c r="AC440" s="1002"/>
      <c r="AD440" s="1002"/>
      <c r="AE440" s="1002"/>
      <c r="AF440" s="1002"/>
      <c r="AG440" s="1002"/>
      <c r="AH440" s="1002"/>
      <c r="AI440" s="1002"/>
      <c r="AJ440" s="1002"/>
      <c r="AK440" s="1002"/>
      <c r="AL440" s="1002"/>
      <c r="AM440" s="1002"/>
      <c r="AN440" s="1002"/>
      <c r="AO440" s="1002"/>
      <c r="AP440" s="1002"/>
      <c r="AQ440" s="1002"/>
      <c r="AR440" s="1002"/>
      <c r="AS440" s="1002"/>
      <c r="AT440" s="1002"/>
      <c r="AU440" s="1002"/>
      <c r="AV440" s="1002"/>
      <c r="AW440" s="1002"/>
      <c r="AX440" s="1002"/>
      <c r="AY440" s="1002"/>
      <c r="AZ440" s="1002"/>
      <c r="BA440" s="1002"/>
      <c r="BB440" s="1002"/>
      <c r="BC440" s="1002"/>
      <c r="BD440" s="1002"/>
      <c r="BE440" s="204"/>
      <c r="BF440" s="205" t="s">
        <v>487</v>
      </c>
      <c r="BG440" s="204"/>
      <c r="BH440" s="204" t="s">
        <v>407</v>
      </c>
      <c r="BI440" s="204"/>
      <c r="BJ440" s="204"/>
      <c r="BK440" s="206"/>
    </row>
    <row r="441" spans="1:63" s="164" customFormat="1" ht="15.75" customHeight="1">
      <c r="A441" s="182" t="s">
        <v>411</v>
      </c>
      <c r="B441" s="183" t="s">
        <v>515</v>
      </c>
      <c r="C441" s="184"/>
      <c r="D441" s="184"/>
      <c r="E441" s="184"/>
      <c r="F441" s="184"/>
      <c r="G441" s="184"/>
      <c r="H441" s="184"/>
      <c r="I441" s="184"/>
      <c r="J441" s="184"/>
      <c r="K441" s="184"/>
      <c r="L441" s="193"/>
      <c r="M441" s="1003"/>
      <c r="N441" s="1002"/>
      <c r="O441" s="1002"/>
      <c r="P441" s="1002"/>
      <c r="Q441" s="1002"/>
      <c r="R441" s="1002"/>
      <c r="S441" s="1002"/>
      <c r="T441" s="1002"/>
      <c r="U441" s="1002"/>
      <c r="V441" s="1002"/>
      <c r="W441" s="1002"/>
      <c r="X441" s="1002"/>
      <c r="Y441" s="1002"/>
      <c r="Z441" s="1002"/>
      <c r="AA441" s="1002"/>
      <c r="AB441" s="1002"/>
      <c r="AC441" s="1002"/>
      <c r="AD441" s="1002"/>
      <c r="AE441" s="1002"/>
      <c r="AF441" s="1002"/>
      <c r="AG441" s="1002"/>
      <c r="AH441" s="1002"/>
      <c r="AI441" s="1002"/>
      <c r="AJ441" s="1002"/>
      <c r="AK441" s="1002"/>
      <c r="AL441" s="1002"/>
      <c r="AM441" s="1002"/>
      <c r="AN441" s="1002"/>
      <c r="AO441" s="1002"/>
      <c r="AP441" s="1002"/>
      <c r="AQ441" s="1002"/>
      <c r="AR441" s="1002"/>
      <c r="AS441" s="1002"/>
      <c r="AT441" s="1002"/>
      <c r="AU441" s="1002"/>
      <c r="AV441" s="1002"/>
      <c r="AW441" s="1002"/>
      <c r="AX441" s="1002"/>
      <c r="AY441" s="1002"/>
      <c r="AZ441" s="1002"/>
      <c r="BA441" s="1002"/>
      <c r="BB441" s="1002"/>
      <c r="BC441" s="1002"/>
      <c r="BD441" s="1002"/>
      <c r="BE441" s="205" t="s">
        <v>489</v>
      </c>
      <c r="BF441" s="205" t="s">
        <v>487</v>
      </c>
      <c r="BG441" s="204"/>
      <c r="BH441" s="204" t="s">
        <v>407</v>
      </c>
      <c r="BI441" s="205" t="s">
        <v>408</v>
      </c>
      <c r="BJ441" s="204"/>
      <c r="BK441" s="206"/>
    </row>
    <row r="442" spans="1:63" s="164" customFormat="1" ht="15.75" customHeight="1">
      <c r="A442" s="182" t="s">
        <v>411</v>
      </c>
      <c r="B442" s="183" t="s">
        <v>516</v>
      </c>
      <c r="C442" s="184"/>
      <c r="D442" s="184"/>
      <c r="E442" s="184"/>
      <c r="F442" s="184"/>
      <c r="G442" s="184"/>
      <c r="H442" s="184"/>
      <c r="I442" s="184"/>
      <c r="J442" s="184"/>
      <c r="K442" s="184"/>
      <c r="L442" s="193"/>
      <c r="M442" s="1003"/>
      <c r="N442" s="1002"/>
      <c r="O442" s="1002"/>
      <c r="P442" s="1002"/>
      <c r="Q442" s="1002"/>
      <c r="R442" s="1002"/>
      <c r="S442" s="1002"/>
      <c r="T442" s="1002"/>
      <c r="U442" s="1002"/>
      <c r="V442" s="1002"/>
      <c r="W442" s="1002"/>
      <c r="X442" s="1002"/>
      <c r="Y442" s="1002"/>
      <c r="Z442" s="1002"/>
      <c r="AA442" s="1002"/>
      <c r="AB442" s="1002"/>
      <c r="AC442" s="1002"/>
      <c r="AD442" s="1002"/>
      <c r="AE442" s="1002"/>
      <c r="AF442" s="1002"/>
      <c r="AG442" s="1002"/>
      <c r="AH442" s="1002"/>
      <c r="AI442" s="1002"/>
      <c r="AJ442" s="1002"/>
      <c r="AK442" s="1002"/>
      <c r="AL442" s="1002"/>
      <c r="AM442" s="1002"/>
      <c r="AN442" s="1002"/>
      <c r="AO442" s="1002"/>
      <c r="AP442" s="1002"/>
      <c r="AQ442" s="1002"/>
      <c r="AR442" s="1002"/>
      <c r="AS442" s="1002"/>
      <c r="AT442" s="1002"/>
      <c r="AU442" s="1002"/>
      <c r="AV442" s="1002"/>
      <c r="AW442" s="1002"/>
      <c r="AX442" s="1002"/>
      <c r="AY442" s="1002"/>
      <c r="AZ442" s="1002"/>
      <c r="BA442" s="1002"/>
      <c r="BB442" s="1002"/>
      <c r="BC442" s="1002"/>
      <c r="BD442" s="1002"/>
      <c r="BE442" s="204"/>
      <c r="BF442" s="205" t="s">
        <v>487</v>
      </c>
      <c r="BG442" s="204"/>
      <c r="BH442" s="204" t="s">
        <v>407</v>
      </c>
      <c r="BI442" s="205" t="s">
        <v>408</v>
      </c>
      <c r="BJ442" s="204"/>
      <c r="BK442" s="206"/>
    </row>
    <row r="443" spans="1:63" s="164" customFormat="1" ht="15.75" customHeight="1">
      <c r="A443" s="182" t="s">
        <v>411</v>
      </c>
      <c r="B443" s="183" t="s">
        <v>517</v>
      </c>
      <c r="C443" s="184"/>
      <c r="D443" s="184"/>
      <c r="E443" s="184"/>
      <c r="F443" s="184"/>
      <c r="G443" s="184"/>
      <c r="H443" s="184"/>
      <c r="I443" s="184"/>
      <c r="J443" s="184"/>
      <c r="K443" s="184"/>
      <c r="L443" s="193"/>
      <c r="M443" s="1003"/>
      <c r="N443" s="1002"/>
      <c r="O443" s="1002"/>
      <c r="P443" s="1002"/>
      <c r="Q443" s="1002"/>
      <c r="R443" s="1002"/>
      <c r="S443" s="1002"/>
      <c r="T443" s="1002"/>
      <c r="U443" s="1002"/>
      <c r="V443" s="1002"/>
      <c r="W443" s="1002"/>
      <c r="X443" s="1002"/>
      <c r="Y443" s="1002"/>
      <c r="Z443" s="1002"/>
      <c r="AA443" s="1002"/>
      <c r="AB443" s="1002"/>
      <c r="AC443" s="1002"/>
      <c r="AD443" s="1002"/>
      <c r="AE443" s="1002"/>
      <c r="AF443" s="1002"/>
      <c r="AG443" s="1002"/>
      <c r="AH443" s="1002"/>
      <c r="AI443" s="1002"/>
      <c r="AJ443" s="1002"/>
      <c r="AK443" s="1002"/>
      <c r="AL443" s="1002"/>
      <c r="AM443" s="1002"/>
      <c r="AN443" s="1002"/>
      <c r="AO443" s="1002"/>
      <c r="AP443" s="1002"/>
      <c r="AQ443" s="1002"/>
      <c r="AR443" s="1002"/>
      <c r="AS443" s="1002"/>
      <c r="AT443" s="1002"/>
      <c r="AU443" s="1002"/>
      <c r="AV443" s="1002"/>
      <c r="AW443" s="1002"/>
      <c r="AX443" s="1002"/>
      <c r="AY443" s="1002"/>
      <c r="AZ443" s="1002"/>
      <c r="BA443" s="1002"/>
      <c r="BB443" s="1002"/>
      <c r="BC443" s="1002"/>
      <c r="BD443" s="1002"/>
      <c r="BE443" s="204"/>
      <c r="BF443" s="205" t="s">
        <v>487</v>
      </c>
      <c r="BG443" s="204"/>
      <c r="BH443" s="204" t="s">
        <v>407</v>
      </c>
      <c r="BI443" s="205" t="s">
        <v>408</v>
      </c>
      <c r="BJ443" s="205" t="s">
        <v>409</v>
      </c>
      <c r="BK443" s="206"/>
    </row>
    <row r="444" spans="1:63" s="164" customFormat="1" ht="15.75" customHeight="1">
      <c r="A444" s="182" t="s">
        <v>411</v>
      </c>
      <c r="B444" s="183" t="s">
        <v>518</v>
      </c>
      <c r="C444" s="184"/>
      <c r="D444" s="184"/>
      <c r="E444" s="184"/>
      <c r="F444" s="184"/>
      <c r="G444" s="184"/>
      <c r="H444" s="184"/>
      <c r="I444" s="184"/>
      <c r="J444" s="184"/>
      <c r="K444" s="184"/>
      <c r="L444" s="193"/>
      <c r="M444" s="1003"/>
      <c r="N444" s="1002"/>
      <c r="O444" s="1002"/>
      <c r="P444" s="1002"/>
      <c r="Q444" s="1002"/>
      <c r="R444" s="1002"/>
      <c r="S444" s="1002"/>
      <c r="T444" s="1002"/>
      <c r="U444" s="1002"/>
      <c r="V444" s="1002"/>
      <c r="W444" s="1002"/>
      <c r="X444" s="1002"/>
      <c r="Y444" s="1002"/>
      <c r="Z444" s="1002"/>
      <c r="AA444" s="1002"/>
      <c r="AB444" s="1002"/>
      <c r="AC444" s="1002"/>
      <c r="AD444" s="1002"/>
      <c r="AE444" s="1002"/>
      <c r="AF444" s="1002"/>
      <c r="AG444" s="1002"/>
      <c r="AH444" s="1002"/>
      <c r="AI444" s="1002"/>
      <c r="AJ444" s="1002"/>
      <c r="AK444" s="1002"/>
      <c r="AL444" s="1002"/>
      <c r="AM444" s="1002"/>
      <c r="AN444" s="1002"/>
      <c r="AO444" s="1002"/>
      <c r="AP444" s="1002"/>
      <c r="AQ444" s="1002"/>
      <c r="AR444" s="1002"/>
      <c r="AS444" s="1002"/>
      <c r="AT444" s="1002"/>
      <c r="AU444" s="1002"/>
      <c r="AV444" s="1002"/>
      <c r="AW444" s="1002"/>
      <c r="AX444" s="1002"/>
      <c r="AY444" s="1002"/>
      <c r="AZ444" s="1002"/>
      <c r="BA444" s="1002"/>
      <c r="BB444" s="1002"/>
      <c r="BC444" s="1002"/>
      <c r="BD444" s="1002"/>
      <c r="BE444" s="204"/>
      <c r="BF444" s="205" t="s">
        <v>487</v>
      </c>
      <c r="BG444" s="204"/>
      <c r="BH444" s="204" t="s">
        <v>407</v>
      </c>
      <c r="BI444" s="205" t="s">
        <v>408</v>
      </c>
      <c r="BJ444" s="205" t="s">
        <v>409</v>
      </c>
      <c r="BK444" s="206"/>
    </row>
    <row r="445" spans="1:63" s="164" customFormat="1" ht="15.75" customHeight="1">
      <c r="A445" s="185"/>
      <c r="B445" s="183" t="s">
        <v>519</v>
      </c>
      <c r="C445" s="184"/>
      <c r="D445" s="184"/>
      <c r="E445" s="184"/>
      <c r="F445" s="184"/>
      <c r="G445" s="184"/>
      <c r="H445" s="184"/>
      <c r="I445" s="184"/>
      <c r="J445" s="184"/>
      <c r="K445" s="184"/>
      <c r="L445" s="193"/>
      <c r="M445" s="1001" t="s">
        <v>868</v>
      </c>
      <c r="N445" s="1002"/>
      <c r="O445" s="1002"/>
      <c r="P445" s="1002"/>
      <c r="Q445" s="1002"/>
      <c r="R445" s="1002"/>
      <c r="S445" s="1002"/>
      <c r="T445" s="1002"/>
      <c r="U445" s="1002"/>
      <c r="V445" s="1002"/>
      <c r="W445" s="1002"/>
      <c r="X445" s="1002"/>
      <c r="Y445" s="1002"/>
      <c r="Z445" s="1002"/>
      <c r="AA445" s="1002"/>
      <c r="AB445" s="1002"/>
      <c r="AC445" s="1002"/>
      <c r="AD445" s="1002"/>
      <c r="AE445" s="1002"/>
      <c r="AF445" s="1002"/>
      <c r="AG445" s="1002"/>
      <c r="AH445" s="1002"/>
      <c r="AI445" s="1002"/>
      <c r="AJ445" s="1002"/>
      <c r="AK445" s="1002"/>
      <c r="AL445" s="1002"/>
      <c r="AM445" s="1002"/>
      <c r="AN445" s="1002"/>
      <c r="AO445" s="1002"/>
      <c r="AP445" s="1002"/>
      <c r="AQ445" s="1002"/>
      <c r="AR445" s="1002"/>
      <c r="AS445" s="1002"/>
      <c r="AT445" s="1002"/>
      <c r="AU445" s="1002"/>
      <c r="AV445" s="1002"/>
      <c r="AW445" s="1002"/>
      <c r="AX445" s="1002"/>
      <c r="AY445" s="1002"/>
      <c r="AZ445" s="1002"/>
      <c r="BA445" s="1002"/>
      <c r="BB445" s="1002"/>
      <c r="BC445" s="1002"/>
      <c r="BD445" s="1002"/>
      <c r="BE445" s="204"/>
      <c r="BF445" s="205" t="s">
        <v>487</v>
      </c>
      <c r="BG445" s="204"/>
      <c r="BH445" s="204" t="s">
        <v>407</v>
      </c>
      <c r="BI445" s="204"/>
      <c r="BJ445" s="204"/>
      <c r="BK445" s="206"/>
    </row>
    <row r="446" spans="1:63" s="164" customFormat="1" ht="15.75" customHeight="1">
      <c r="A446" s="185"/>
      <c r="B446" s="183" t="s">
        <v>520</v>
      </c>
      <c r="C446" s="184"/>
      <c r="D446" s="184"/>
      <c r="E446" s="184"/>
      <c r="F446" s="184"/>
      <c r="G446" s="184"/>
      <c r="H446" s="184"/>
      <c r="I446" s="184"/>
      <c r="J446" s="184"/>
      <c r="K446" s="184"/>
      <c r="L446" s="193"/>
      <c r="M446" s="1003"/>
      <c r="N446" s="1002"/>
      <c r="O446" s="1002"/>
      <c r="P446" s="1002"/>
      <c r="Q446" s="1002"/>
      <c r="R446" s="1002"/>
      <c r="S446" s="1002"/>
      <c r="T446" s="1002"/>
      <c r="U446" s="1002"/>
      <c r="V446" s="1002"/>
      <c r="W446" s="1002"/>
      <c r="X446" s="1002"/>
      <c r="Y446" s="1002"/>
      <c r="Z446" s="1002"/>
      <c r="AA446" s="1002"/>
      <c r="AB446" s="1002"/>
      <c r="AC446" s="1002"/>
      <c r="AD446" s="1002"/>
      <c r="AE446" s="1002"/>
      <c r="AF446" s="1002"/>
      <c r="AG446" s="1002"/>
      <c r="AH446" s="1002"/>
      <c r="AI446" s="1002"/>
      <c r="AJ446" s="1002"/>
      <c r="AK446" s="1002"/>
      <c r="AL446" s="1002"/>
      <c r="AM446" s="1002"/>
      <c r="AN446" s="1002"/>
      <c r="AO446" s="1002"/>
      <c r="AP446" s="1002"/>
      <c r="AQ446" s="1002"/>
      <c r="AR446" s="1002"/>
      <c r="AS446" s="1002"/>
      <c r="AT446" s="1002"/>
      <c r="AU446" s="1002"/>
      <c r="AV446" s="1002"/>
      <c r="AW446" s="1002"/>
      <c r="AX446" s="1002"/>
      <c r="AY446" s="1002"/>
      <c r="AZ446" s="1002"/>
      <c r="BA446" s="1002"/>
      <c r="BB446" s="1002"/>
      <c r="BC446" s="1002"/>
      <c r="BD446" s="1002"/>
      <c r="BE446" s="204"/>
      <c r="BF446" s="205" t="s">
        <v>487</v>
      </c>
      <c r="BG446" s="204"/>
      <c r="BH446" s="204" t="s">
        <v>407</v>
      </c>
      <c r="BI446" s="204"/>
      <c r="BJ446" s="204"/>
      <c r="BK446" s="206"/>
    </row>
    <row r="447" spans="1:63" s="164" customFormat="1" ht="15.75" customHeight="1">
      <c r="A447" s="185"/>
      <c r="B447" s="183" t="s">
        <v>579</v>
      </c>
      <c r="C447" s="184"/>
      <c r="D447" s="184"/>
      <c r="E447" s="184"/>
      <c r="F447" s="184"/>
      <c r="G447" s="184"/>
      <c r="H447" s="184"/>
      <c r="I447" s="184"/>
      <c r="J447" s="184"/>
      <c r="K447" s="184"/>
      <c r="L447" s="193"/>
      <c r="M447" s="1003"/>
      <c r="N447" s="1002"/>
      <c r="O447" s="1002"/>
      <c r="P447" s="1002"/>
      <c r="Q447" s="1002"/>
      <c r="R447" s="1002"/>
      <c r="S447" s="1002"/>
      <c r="T447" s="1002"/>
      <c r="U447" s="1002"/>
      <c r="V447" s="1002"/>
      <c r="W447" s="1002"/>
      <c r="X447" s="1002"/>
      <c r="Y447" s="1002"/>
      <c r="Z447" s="1002"/>
      <c r="AA447" s="1002"/>
      <c r="AB447" s="1002"/>
      <c r="AC447" s="1002"/>
      <c r="AD447" s="1002"/>
      <c r="AE447" s="1002"/>
      <c r="AF447" s="1002"/>
      <c r="AG447" s="1002"/>
      <c r="AH447" s="1002"/>
      <c r="AI447" s="1002"/>
      <c r="AJ447" s="1002"/>
      <c r="AK447" s="1002"/>
      <c r="AL447" s="1002"/>
      <c r="AM447" s="1002"/>
      <c r="AN447" s="1002"/>
      <c r="AO447" s="1002"/>
      <c r="AP447" s="1002"/>
      <c r="AQ447" s="1002"/>
      <c r="AR447" s="1002"/>
      <c r="AS447" s="1002"/>
      <c r="AT447" s="1002"/>
      <c r="AU447" s="1002"/>
      <c r="AV447" s="1002"/>
      <c r="AW447" s="1002"/>
      <c r="AX447" s="1002"/>
      <c r="AY447" s="1002"/>
      <c r="AZ447" s="1002"/>
      <c r="BA447" s="1002"/>
      <c r="BB447" s="1002"/>
      <c r="BC447" s="1002"/>
      <c r="BD447" s="1002"/>
      <c r="BE447" s="204"/>
      <c r="BF447" s="205" t="s">
        <v>487</v>
      </c>
      <c r="BG447" s="204"/>
      <c r="BH447" s="204" t="s">
        <v>407</v>
      </c>
      <c r="BI447" s="204"/>
      <c r="BJ447" s="204"/>
      <c r="BK447" s="206"/>
    </row>
    <row r="448" spans="1:63" s="164" customFormat="1" ht="15.75" customHeight="1">
      <c r="A448" s="185"/>
      <c r="B448" s="183" t="s">
        <v>869</v>
      </c>
      <c r="C448" s="184"/>
      <c r="D448" s="184"/>
      <c r="E448" s="184"/>
      <c r="F448" s="184"/>
      <c r="G448" s="184"/>
      <c r="H448" s="184"/>
      <c r="I448" s="184"/>
      <c r="J448" s="184"/>
      <c r="K448" s="184"/>
      <c r="L448" s="193"/>
      <c r="M448" s="1003"/>
      <c r="N448" s="1002"/>
      <c r="O448" s="1002"/>
      <c r="P448" s="1002"/>
      <c r="Q448" s="1002"/>
      <c r="R448" s="1002"/>
      <c r="S448" s="1002"/>
      <c r="T448" s="1002"/>
      <c r="U448" s="1002"/>
      <c r="V448" s="1002"/>
      <c r="W448" s="1002"/>
      <c r="X448" s="1002"/>
      <c r="Y448" s="1002"/>
      <c r="Z448" s="1002"/>
      <c r="AA448" s="1002"/>
      <c r="AB448" s="1002"/>
      <c r="AC448" s="1002"/>
      <c r="AD448" s="1002"/>
      <c r="AE448" s="1002"/>
      <c r="AF448" s="1002"/>
      <c r="AG448" s="1002"/>
      <c r="AH448" s="1002"/>
      <c r="AI448" s="1002"/>
      <c r="AJ448" s="1002"/>
      <c r="AK448" s="1002"/>
      <c r="AL448" s="1002"/>
      <c r="AM448" s="1002"/>
      <c r="AN448" s="1002"/>
      <c r="AO448" s="1002"/>
      <c r="AP448" s="1002"/>
      <c r="AQ448" s="1002"/>
      <c r="AR448" s="1002"/>
      <c r="AS448" s="1002"/>
      <c r="AT448" s="1002"/>
      <c r="AU448" s="1002"/>
      <c r="AV448" s="1002"/>
      <c r="AW448" s="1002"/>
      <c r="AX448" s="1002"/>
      <c r="AY448" s="1002"/>
      <c r="AZ448" s="1002"/>
      <c r="BA448" s="1002"/>
      <c r="BB448" s="1002"/>
      <c r="BC448" s="1002"/>
      <c r="BD448" s="1002"/>
      <c r="BE448" s="204"/>
      <c r="BF448" s="205" t="s">
        <v>487</v>
      </c>
      <c r="BG448" s="204"/>
      <c r="BH448" s="204" t="s">
        <v>407</v>
      </c>
      <c r="BI448" s="204"/>
      <c r="BJ448" s="204"/>
      <c r="BK448" s="206"/>
    </row>
    <row r="449" spans="1:63" s="164" customFormat="1" ht="15.75" customHeight="1">
      <c r="A449" s="185"/>
      <c r="B449" s="183" t="s">
        <v>582</v>
      </c>
      <c r="C449" s="184"/>
      <c r="D449" s="184"/>
      <c r="E449" s="184"/>
      <c r="F449" s="184"/>
      <c r="G449" s="184"/>
      <c r="H449" s="184"/>
      <c r="I449" s="184"/>
      <c r="J449" s="184"/>
      <c r="K449" s="184"/>
      <c r="L449" s="193"/>
      <c r="M449" s="1003"/>
      <c r="N449" s="1002"/>
      <c r="O449" s="1002"/>
      <c r="P449" s="1002"/>
      <c r="Q449" s="1002"/>
      <c r="R449" s="1002"/>
      <c r="S449" s="1002"/>
      <c r="T449" s="1002"/>
      <c r="U449" s="1002"/>
      <c r="V449" s="1002"/>
      <c r="W449" s="1002"/>
      <c r="X449" s="1002"/>
      <c r="Y449" s="1002"/>
      <c r="Z449" s="1002"/>
      <c r="AA449" s="1002"/>
      <c r="AB449" s="1002"/>
      <c r="AC449" s="1002"/>
      <c r="AD449" s="1002"/>
      <c r="AE449" s="1002"/>
      <c r="AF449" s="1002"/>
      <c r="AG449" s="1002"/>
      <c r="AH449" s="1002"/>
      <c r="AI449" s="1002"/>
      <c r="AJ449" s="1002"/>
      <c r="AK449" s="1002"/>
      <c r="AL449" s="1002"/>
      <c r="AM449" s="1002"/>
      <c r="AN449" s="1002"/>
      <c r="AO449" s="1002"/>
      <c r="AP449" s="1002"/>
      <c r="AQ449" s="1002"/>
      <c r="AR449" s="1002"/>
      <c r="AS449" s="1002"/>
      <c r="AT449" s="1002"/>
      <c r="AU449" s="1002"/>
      <c r="AV449" s="1002"/>
      <c r="AW449" s="1002"/>
      <c r="AX449" s="1002"/>
      <c r="AY449" s="1002"/>
      <c r="AZ449" s="1002"/>
      <c r="BA449" s="1002"/>
      <c r="BB449" s="1002"/>
      <c r="BC449" s="1002"/>
      <c r="BD449" s="1002"/>
      <c r="BE449" s="204"/>
      <c r="BF449" s="205" t="s">
        <v>487</v>
      </c>
      <c r="BG449" s="204"/>
      <c r="BH449" s="204" t="s">
        <v>407</v>
      </c>
      <c r="BI449" s="204"/>
      <c r="BJ449" s="204"/>
      <c r="BK449" s="206"/>
    </row>
    <row r="450" spans="1:63" s="164" customFormat="1" ht="15.75" customHeight="1">
      <c r="A450" s="185"/>
      <c r="B450" s="183" t="s">
        <v>870</v>
      </c>
      <c r="C450" s="184"/>
      <c r="D450" s="184"/>
      <c r="E450" s="184"/>
      <c r="F450" s="184"/>
      <c r="G450" s="184"/>
      <c r="H450" s="184"/>
      <c r="I450" s="184"/>
      <c r="J450" s="184"/>
      <c r="K450" s="184"/>
      <c r="L450" s="193"/>
      <c r="M450" s="1003"/>
      <c r="N450" s="1002"/>
      <c r="O450" s="1002"/>
      <c r="P450" s="1002"/>
      <c r="Q450" s="1002"/>
      <c r="R450" s="1002"/>
      <c r="S450" s="1002"/>
      <c r="T450" s="1002"/>
      <c r="U450" s="1002"/>
      <c r="V450" s="1002"/>
      <c r="W450" s="1002"/>
      <c r="X450" s="1002"/>
      <c r="Y450" s="1002"/>
      <c r="Z450" s="1002"/>
      <c r="AA450" s="1002"/>
      <c r="AB450" s="1002"/>
      <c r="AC450" s="1002"/>
      <c r="AD450" s="1002"/>
      <c r="AE450" s="1002"/>
      <c r="AF450" s="1002"/>
      <c r="AG450" s="1002"/>
      <c r="AH450" s="1002"/>
      <c r="AI450" s="1002"/>
      <c r="AJ450" s="1002"/>
      <c r="AK450" s="1002"/>
      <c r="AL450" s="1002"/>
      <c r="AM450" s="1002"/>
      <c r="AN450" s="1002"/>
      <c r="AO450" s="1002"/>
      <c r="AP450" s="1002"/>
      <c r="AQ450" s="1002"/>
      <c r="AR450" s="1002"/>
      <c r="AS450" s="1002"/>
      <c r="AT450" s="1002"/>
      <c r="AU450" s="1002"/>
      <c r="AV450" s="1002"/>
      <c r="AW450" s="1002"/>
      <c r="AX450" s="1002"/>
      <c r="AY450" s="1002"/>
      <c r="AZ450" s="1002"/>
      <c r="BA450" s="1002"/>
      <c r="BB450" s="1002"/>
      <c r="BC450" s="1002"/>
      <c r="BD450" s="1002"/>
      <c r="BE450" s="204"/>
      <c r="BF450" s="205" t="s">
        <v>487</v>
      </c>
      <c r="BG450" s="204"/>
      <c r="BH450" s="204" t="s">
        <v>407</v>
      </c>
      <c r="BI450" s="204"/>
      <c r="BJ450" s="204"/>
      <c r="BK450" s="206"/>
    </row>
    <row r="451" spans="1:63" s="164" customFormat="1" ht="15.75" customHeight="1">
      <c r="A451" s="185"/>
      <c r="B451" s="183" t="s">
        <v>585</v>
      </c>
      <c r="C451" s="184"/>
      <c r="D451" s="184"/>
      <c r="E451" s="184"/>
      <c r="F451" s="184"/>
      <c r="G451" s="184"/>
      <c r="H451" s="184"/>
      <c r="I451" s="184"/>
      <c r="J451" s="184"/>
      <c r="K451" s="184"/>
      <c r="L451" s="193"/>
      <c r="M451" s="1003"/>
      <c r="N451" s="1002"/>
      <c r="O451" s="1002"/>
      <c r="P451" s="1002"/>
      <c r="Q451" s="1002"/>
      <c r="R451" s="1002"/>
      <c r="S451" s="1002"/>
      <c r="T451" s="1002"/>
      <c r="U451" s="1002"/>
      <c r="V451" s="1002"/>
      <c r="W451" s="1002"/>
      <c r="X451" s="1002"/>
      <c r="Y451" s="1002"/>
      <c r="Z451" s="1002"/>
      <c r="AA451" s="1002"/>
      <c r="AB451" s="1002"/>
      <c r="AC451" s="1002"/>
      <c r="AD451" s="1002"/>
      <c r="AE451" s="1002"/>
      <c r="AF451" s="1002"/>
      <c r="AG451" s="1002"/>
      <c r="AH451" s="1002"/>
      <c r="AI451" s="1002"/>
      <c r="AJ451" s="1002"/>
      <c r="AK451" s="1002"/>
      <c r="AL451" s="1002"/>
      <c r="AM451" s="1002"/>
      <c r="AN451" s="1002"/>
      <c r="AO451" s="1002"/>
      <c r="AP451" s="1002"/>
      <c r="AQ451" s="1002"/>
      <c r="AR451" s="1002"/>
      <c r="AS451" s="1002"/>
      <c r="AT451" s="1002"/>
      <c r="AU451" s="1002"/>
      <c r="AV451" s="1002"/>
      <c r="AW451" s="1002"/>
      <c r="AX451" s="1002"/>
      <c r="AY451" s="1002"/>
      <c r="AZ451" s="1002"/>
      <c r="BA451" s="1002"/>
      <c r="BB451" s="1002"/>
      <c r="BC451" s="1002"/>
      <c r="BD451" s="1002"/>
      <c r="BE451" s="204"/>
      <c r="BF451" s="205" t="s">
        <v>487</v>
      </c>
      <c r="BG451" s="204"/>
      <c r="BH451" s="204" t="s">
        <v>407</v>
      </c>
      <c r="BI451" s="204"/>
      <c r="BJ451" s="204"/>
      <c r="BK451" s="206"/>
    </row>
    <row r="452" spans="1:63" s="164" customFormat="1" ht="15.75" customHeight="1">
      <c r="A452" s="185"/>
      <c r="B452" s="183" t="s">
        <v>871</v>
      </c>
      <c r="C452" s="184"/>
      <c r="D452" s="184"/>
      <c r="E452" s="184"/>
      <c r="F452" s="184"/>
      <c r="G452" s="184"/>
      <c r="H452" s="184"/>
      <c r="I452" s="184"/>
      <c r="J452" s="184"/>
      <c r="K452" s="184"/>
      <c r="L452" s="193"/>
      <c r="M452" s="1003"/>
      <c r="N452" s="1002"/>
      <c r="O452" s="1002"/>
      <c r="P452" s="1002"/>
      <c r="Q452" s="1002"/>
      <c r="R452" s="1002"/>
      <c r="S452" s="1002"/>
      <c r="T452" s="1002"/>
      <c r="U452" s="1002"/>
      <c r="V452" s="1002"/>
      <c r="W452" s="1002"/>
      <c r="X452" s="1002"/>
      <c r="Y452" s="1002"/>
      <c r="Z452" s="1002"/>
      <c r="AA452" s="1002"/>
      <c r="AB452" s="1002"/>
      <c r="AC452" s="1002"/>
      <c r="AD452" s="1002"/>
      <c r="AE452" s="1002"/>
      <c r="AF452" s="1002"/>
      <c r="AG452" s="1002"/>
      <c r="AH452" s="1002"/>
      <c r="AI452" s="1002"/>
      <c r="AJ452" s="1002"/>
      <c r="AK452" s="1002"/>
      <c r="AL452" s="1002"/>
      <c r="AM452" s="1002"/>
      <c r="AN452" s="1002"/>
      <c r="AO452" s="1002"/>
      <c r="AP452" s="1002"/>
      <c r="AQ452" s="1002"/>
      <c r="AR452" s="1002"/>
      <c r="AS452" s="1002"/>
      <c r="AT452" s="1002"/>
      <c r="AU452" s="1002"/>
      <c r="AV452" s="1002"/>
      <c r="AW452" s="1002"/>
      <c r="AX452" s="1002"/>
      <c r="AY452" s="1002"/>
      <c r="AZ452" s="1002"/>
      <c r="BA452" s="1002"/>
      <c r="BB452" s="1002"/>
      <c r="BC452" s="1002"/>
      <c r="BD452" s="1002"/>
      <c r="BE452" s="204"/>
      <c r="BF452" s="205" t="s">
        <v>487</v>
      </c>
      <c r="BG452" s="204"/>
      <c r="BH452" s="204" t="s">
        <v>407</v>
      </c>
      <c r="BI452" s="204"/>
      <c r="BJ452" s="204"/>
      <c r="BK452" s="206"/>
    </row>
    <row r="453" spans="1:63" s="164" customFormat="1" ht="15.75" customHeight="1">
      <c r="A453" s="185"/>
      <c r="B453" s="183" t="s">
        <v>588</v>
      </c>
      <c r="C453" s="184"/>
      <c r="D453" s="184"/>
      <c r="E453" s="184"/>
      <c r="F453" s="184"/>
      <c r="G453" s="184"/>
      <c r="H453" s="184"/>
      <c r="I453" s="184"/>
      <c r="J453" s="184"/>
      <c r="K453" s="184"/>
      <c r="L453" s="193"/>
      <c r="M453" s="1003"/>
      <c r="N453" s="1002"/>
      <c r="O453" s="1002"/>
      <c r="P453" s="1002"/>
      <c r="Q453" s="1002"/>
      <c r="R453" s="1002"/>
      <c r="S453" s="1002"/>
      <c r="T453" s="1002"/>
      <c r="U453" s="1002"/>
      <c r="V453" s="1002"/>
      <c r="W453" s="1002"/>
      <c r="X453" s="1002"/>
      <c r="Y453" s="1002"/>
      <c r="Z453" s="1002"/>
      <c r="AA453" s="1002"/>
      <c r="AB453" s="1002"/>
      <c r="AC453" s="1002"/>
      <c r="AD453" s="1002"/>
      <c r="AE453" s="1002"/>
      <c r="AF453" s="1002"/>
      <c r="AG453" s="1002"/>
      <c r="AH453" s="1002"/>
      <c r="AI453" s="1002"/>
      <c r="AJ453" s="1002"/>
      <c r="AK453" s="1002"/>
      <c r="AL453" s="1002"/>
      <c r="AM453" s="1002"/>
      <c r="AN453" s="1002"/>
      <c r="AO453" s="1002"/>
      <c r="AP453" s="1002"/>
      <c r="AQ453" s="1002"/>
      <c r="AR453" s="1002"/>
      <c r="AS453" s="1002"/>
      <c r="AT453" s="1002"/>
      <c r="AU453" s="1002"/>
      <c r="AV453" s="1002"/>
      <c r="AW453" s="1002"/>
      <c r="AX453" s="1002"/>
      <c r="AY453" s="1002"/>
      <c r="AZ453" s="1002"/>
      <c r="BA453" s="1002"/>
      <c r="BB453" s="1002"/>
      <c r="BC453" s="1002"/>
      <c r="BD453" s="1002"/>
      <c r="BE453" s="204"/>
      <c r="BF453" s="205" t="s">
        <v>487</v>
      </c>
      <c r="BG453" s="204"/>
      <c r="BH453" s="204" t="s">
        <v>407</v>
      </c>
      <c r="BI453" s="204"/>
      <c r="BJ453" s="204"/>
      <c r="BK453" s="206"/>
    </row>
    <row r="454" spans="1:63" s="164" customFormat="1" ht="15.75" customHeight="1">
      <c r="A454" s="185"/>
      <c r="B454" s="183" t="s">
        <v>872</v>
      </c>
      <c r="C454" s="184"/>
      <c r="D454" s="184"/>
      <c r="E454" s="184"/>
      <c r="F454" s="184"/>
      <c r="G454" s="184"/>
      <c r="H454" s="184"/>
      <c r="I454" s="184"/>
      <c r="J454" s="184"/>
      <c r="K454" s="184"/>
      <c r="L454" s="193"/>
      <c r="M454" s="1003"/>
      <c r="N454" s="1002"/>
      <c r="O454" s="1002"/>
      <c r="P454" s="1002"/>
      <c r="Q454" s="1002"/>
      <c r="R454" s="1002"/>
      <c r="S454" s="1002"/>
      <c r="T454" s="1002"/>
      <c r="U454" s="1002"/>
      <c r="V454" s="1002"/>
      <c r="W454" s="1002"/>
      <c r="X454" s="1002"/>
      <c r="Y454" s="1002"/>
      <c r="Z454" s="1002"/>
      <c r="AA454" s="1002"/>
      <c r="AB454" s="1002"/>
      <c r="AC454" s="1002"/>
      <c r="AD454" s="1002"/>
      <c r="AE454" s="1002"/>
      <c r="AF454" s="1002"/>
      <c r="AG454" s="1002"/>
      <c r="AH454" s="1002"/>
      <c r="AI454" s="1002"/>
      <c r="AJ454" s="1002"/>
      <c r="AK454" s="1002"/>
      <c r="AL454" s="1002"/>
      <c r="AM454" s="1002"/>
      <c r="AN454" s="1002"/>
      <c r="AO454" s="1002"/>
      <c r="AP454" s="1002"/>
      <c r="AQ454" s="1002"/>
      <c r="AR454" s="1002"/>
      <c r="AS454" s="1002"/>
      <c r="AT454" s="1002"/>
      <c r="AU454" s="1002"/>
      <c r="AV454" s="1002"/>
      <c r="AW454" s="1002"/>
      <c r="AX454" s="1002"/>
      <c r="AY454" s="1002"/>
      <c r="AZ454" s="1002"/>
      <c r="BA454" s="1002"/>
      <c r="BB454" s="1002"/>
      <c r="BC454" s="1002"/>
      <c r="BD454" s="1002"/>
      <c r="BE454" s="204"/>
      <c r="BF454" s="205" t="s">
        <v>487</v>
      </c>
      <c r="BG454" s="204"/>
      <c r="BH454" s="204" t="s">
        <v>407</v>
      </c>
      <c r="BI454" s="204"/>
      <c r="BJ454" s="204"/>
      <c r="BK454" s="206"/>
    </row>
    <row r="455" spans="1:63" s="164" customFormat="1" ht="15.75" customHeight="1">
      <c r="A455" s="185"/>
      <c r="B455" s="183" t="s">
        <v>591</v>
      </c>
      <c r="C455" s="184"/>
      <c r="D455" s="184"/>
      <c r="E455" s="184"/>
      <c r="F455" s="184"/>
      <c r="G455" s="184"/>
      <c r="H455" s="184"/>
      <c r="I455" s="184"/>
      <c r="J455" s="184"/>
      <c r="K455" s="184"/>
      <c r="L455" s="193"/>
      <c r="M455" s="1003"/>
      <c r="N455" s="1002"/>
      <c r="O455" s="1002"/>
      <c r="P455" s="1002"/>
      <c r="Q455" s="1002"/>
      <c r="R455" s="1002"/>
      <c r="S455" s="1002"/>
      <c r="T455" s="1002"/>
      <c r="U455" s="1002"/>
      <c r="V455" s="1002"/>
      <c r="W455" s="1002"/>
      <c r="X455" s="1002"/>
      <c r="Y455" s="1002"/>
      <c r="Z455" s="1002"/>
      <c r="AA455" s="1002"/>
      <c r="AB455" s="1002"/>
      <c r="AC455" s="1002"/>
      <c r="AD455" s="1002"/>
      <c r="AE455" s="1002"/>
      <c r="AF455" s="1002"/>
      <c r="AG455" s="1002"/>
      <c r="AH455" s="1002"/>
      <c r="AI455" s="1002"/>
      <c r="AJ455" s="1002"/>
      <c r="AK455" s="1002"/>
      <c r="AL455" s="1002"/>
      <c r="AM455" s="1002"/>
      <c r="AN455" s="1002"/>
      <c r="AO455" s="1002"/>
      <c r="AP455" s="1002"/>
      <c r="AQ455" s="1002"/>
      <c r="AR455" s="1002"/>
      <c r="AS455" s="1002"/>
      <c r="AT455" s="1002"/>
      <c r="AU455" s="1002"/>
      <c r="AV455" s="1002"/>
      <c r="AW455" s="1002"/>
      <c r="AX455" s="1002"/>
      <c r="AY455" s="1002"/>
      <c r="AZ455" s="1002"/>
      <c r="BA455" s="1002"/>
      <c r="BB455" s="1002"/>
      <c r="BC455" s="1002"/>
      <c r="BD455" s="1002"/>
      <c r="BE455" s="204"/>
      <c r="BF455" s="205" t="s">
        <v>487</v>
      </c>
      <c r="BG455" s="204"/>
      <c r="BH455" s="204" t="s">
        <v>407</v>
      </c>
      <c r="BI455" s="204"/>
      <c r="BJ455" s="204"/>
      <c r="BK455" s="206"/>
    </row>
    <row r="456" spans="1:63" s="164" customFormat="1" ht="15.75" customHeight="1">
      <c r="A456" s="185"/>
      <c r="B456" s="183" t="s">
        <v>873</v>
      </c>
      <c r="C456" s="184"/>
      <c r="D456" s="184"/>
      <c r="E456" s="184"/>
      <c r="F456" s="184"/>
      <c r="G456" s="184"/>
      <c r="H456" s="184"/>
      <c r="I456" s="184"/>
      <c r="J456" s="184"/>
      <c r="K456" s="184"/>
      <c r="L456" s="193"/>
      <c r="M456" s="1003"/>
      <c r="N456" s="1002"/>
      <c r="O456" s="1002"/>
      <c r="P456" s="1002"/>
      <c r="Q456" s="1002"/>
      <c r="R456" s="1002"/>
      <c r="S456" s="1002"/>
      <c r="T456" s="1002"/>
      <c r="U456" s="1002"/>
      <c r="V456" s="1002"/>
      <c r="W456" s="1002"/>
      <c r="X456" s="1002"/>
      <c r="Y456" s="1002"/>
      <c r="Z456" s="1002"/>
      <c r="AA456" s="1002"/>
      <c r="AB456" s="1002"/>
      <c r="AC456" s="1002"/>
      <c r="AD456" s="1002"/>
      <c r="AE456" s="1002"/>
      <c r="AF456" s="1002"/>
      <c r="AG456" s="1002"/>
      <c r="AH456" s="1002"/>
      <c r="AI456" s="1002"/>
      <c r="AJ456" s="1002"/>
      <c r="AK456" s="1002"/>
      <c r="AL456" s="1002"/>
      <c r="AM456" s="1002"/>
      <c r="AN456" s="1002"/>
      <c r="AO456" s="1002"/>
      <c r="AP456" s="1002"/>
      <c r="AQ456" s="1002"/>
      <c r="AR456" s="1002"/>
      <c r="AS456" s="1002"/>
      <c r="AT456" s="1002"/>
      <c r="AU456" s="1002"/>
      <c r="AV456" s="1002"/>
      <c r="AW456" s="1002"/>
      <c r="AX456" s="1002"/>
      <c r="AY456" s="1002"/>
      <c r="AZ456" s="1002"/>
      <c r="BA456" s="1002"/>
      <c r="BB456" s="1002"/>
      <c r="BC456" s="1002"/>
      <c r="BD456" s="1002"/>
      <c r="BE456" s="204"/>
      <c r="BF456" s="205" t="s">
        <v>487</v>
      </c>
      <c r="BG456" s="204"/>
      <c r="BH456" s="204" t="s">
        <v>407</v>
      </c>
      <c r="BI456" s="204"/>
      <c r="BJ456" s="204"/>
      <c r="BK456" s="206"/>
    </row>
    <row r="457" spans="1:63" s="164" customFormat="1" ht="15.75" customHeight="1">
      <c r="A457" s="185"/>
      <c r="B457" s="183" t="s">
        <v>594</v>
      </c>
      <c r="C457" s="184"/>
      <c r="D457" s="184"/>
      <c r="E457" s="184"/>
      <c r="F457" s="184"/>
      <c r="G457" s="184"/>
      <c r="H457" s="184"/>
      <c r="I457" s="184"/>
      <c r="J457" s="184"/>
      <c r="K457" s="184"/>
      <c r="L457" s="193"/>
      <c r="M457" s="1003"/>
      <c r="N457" s="1002"/>
      <c r="O457" s="1002"/>
      <c r="P457" s="1002"/>
      <c r="Q457" s="1002"/>
      <c r="R457" s="1002"/>
      <c r="S457" s="1002"/>
      <c r="T457" s="1002"/>
      <c r="U457" s="1002"/>
      <c r="V457" s="1002"/>
      <c r="W457" s="1002"/>
      <c r="X457" s="1002"/>
      <c r="Y457" s="1002"/>
      <c r="Z457" s="1002"/>
      <c r="AA457" s="1002"/>
      <c r="AB457" s="1002"/>
      <c r="AC457" s="1002"/>
      <c r="AD457" s="1002"/>
      <c r="AE457" s="1002"/>
      <c r="AF457" s="1002"/>
      <c r="AG457" s="1002"/>
      <c r="AH457" s="1002"/>
      <c r="AI457" s="1002"/>
      <c r="AJ457" s="1002"/>
      <c r="AK457" s="1002"/>
      <c r="AL457" s="1002"/>
      <c r="AM457" s="1002"/>
      <c r="AN457" s="1002"/>
      <c r="AO457" s="1002"/>
      <c r="AP457" s="1002"/>
      <c r="AQ457" s="1002"/>
      <c r="AR457" s="1002"/>
      <c r="AS457" s="1002"/>
      <c r="AT457" s="1002"/>
      <c r="AU457" s="1002"/>
      <c r="AV457" s="1002"/>
      <c r="AW457" s="1002"/>
      <c r="AX457" s="1002"/>
      <c r="AY457" s="1002"/>
      <c r="AZ457" s="1002"/>
      <c r="BA457" s="1002"/>
      <c r="BB457" s="1002"/>
      <c r="BC457" s="1002"/>
      <c r="BD457" s="1002"/>
      <c r="BE457" s="204"/>
      <c r="BF457" s="205" t="s">
        <v>487</v>
      </c>
      <c r="BG457" s="204"/>
      <c r="BH457" s="204" t="s">
        <v>407</v>
      </c>
      <c r="BI457" s="204"/>
      <c r="BJ457" s="204"/>
      <c r="BK457" s="206"/>
    </row>
    <row r="458" spans="1:63" s="164" customFormat="1" ht="15.75" customHeight="1">
      <c r="A458" s="185"/>
      <c r="B458" s="183" t="s">
        <v>874</v>
      </c>
      <c r="C458" s="184"/>
      <c r="D458" s="184"/>
      <c r="E458" s="184"/>
      <c r="F458" s="184"/>
      <c r="G458" s="184"/>
      <c r="H458" s="184"/>
      <c r="I458" s="184"/>
      <c r="J458" s="184"/>
      <c r="K458" s="184"/>
      <c r="L458" s="193"/>
      <c r="M458" s="1003"/>
      <c r="N458" s="1002"/>
      <c r="O458" s="1002"/>
      <c r="P458" s="1002"/>
      <c r="Q458" s="1002"/>
      <c r="R458" s="1002"/>
      <c r="S458" s="1002"/>
      <c r="T458" s="1002"/>
      <c r="U458" s="1002"/>
      <c r="V458" s="1002"/>
      <c r="W458" s="1002"/>
      <c r="X458" s="1002"/>
      <c r="Y458" s="1002"/>
      <c r="Z458" s="1002"/>
      <c r="AA458" s="1002"/>
      <c r="AB458" s="1002"/>
      <c r="AC458" s="1002"/>
      <c r="AD458" s="1002"/>
      <c r="AE458" s="1002"/>
      <c r="AF458" s="1002"/>
      <c r="AG458" s="1002"/>
      <c r="AH458" s="1002"/>
      <c r="AI458" s="1002"/>
      <c r="AJ458" s="1002"/>
      <c r="AK458" s="1002"/>
      <c r="AL458" s="1002"/>
      <c r="AM458" s="1002"/>
      <c r="AN458" s="1002"/>
      <c r="AO458" s="1002"/>
      <c r="AP458" s="1002"/>
      <c r="AQ458" s="1002"/>
      <c r="AR458" s="1002"/>
      <c r="AS458" s="1002"/>
      <c r="AT458" s="1002"/>
      <c r="AU458" s="1002"/>
      <c r="AV458" s="1002"/>
      <c r="AW458" s="1002"/>
      <c r="AX458" s="1002"/>
      <c r="AY458" s="1002"/>
      <c r="AZ458" s="1002"/>
      <c r="BA458" s="1002"/>
      <c r="BB458" s="1002"/>
      <c r="BC458" s="1002"/>
      <c r="BD458" s="1002"/>
      <c r="BE458" s="204"/>
      <c r="BF458" s="205" t="s">
        <v>487</v>
      </c>
      <c r="BG458" s="204"/>
      <c r="BH458" s="204" t="s">
        <v>407</v>
      </c>
      <c r="BI458" s="204"/>
      <c r="BJ458" s="204"/>
      <c r="BK458" s="206"/>
    </row>
    <row r="459" spans="1:63" s="164" customFormat="1" ht="15.75" customHeight="1">
      <c r="A459" s="185"/>
      <c r="B459" s="183" t="s">
        <v>597</v>
      </c>
      <c r="C459" s="184"/>
      <c r="D459" s="184"/>
      <c r="E459" s="184"/>
      <c r="F459" s="184"/>
      <c r="G459" s="184"/>
      <c r="H459" s="184"/>
      <c r="I459" s="184"/>
      <c r="J459" s="184"/>
      <c r="K459" s="184"/>
      <c r="L459" s="193"/>
      <c r="M459" s="1003"/>
      <c r="N459" s="1002"/>
      <c r="O459" s="1002"/>
      <c r="P459" s="1002"/>
      <c r="Q459" s="1002"/>
      <c r="R459" s="1002"/>
      <c r="S459" s="1002"/>
      <c r="T459" s="1002"/>
      <c r="U459" s="1002"/>
      <c r="V459" s="1002"/>
      <c r="W459" s="1002"/>
      <c r="X459" s="1002"/>
      <c r="Y459" s="1002"/>
      <c r="Z459" s="1002"/>
      <c r="AA459" s="1002"/>
      <c r="AB459" s="1002"/>
      <c r="AC459" s="1002"/>
      <c r="AD459" s="1002"/>
      <c r="AE459" s="1002"/>
      <c r="AF459" s="1002"/>
      <c r="AG459" s="1002"/>
      <c r="AH459" s="1002"/>
      <c r="AI459" s="1002"/>
      <c r="AJ459" s="1002"/>
      <c r="AK459" s="1002"/>
      <c r="AL459" s="1002"/>
      <c r="AM459" s="1002"/>
      <c r="AN459" s="1002"/>
      <c r="AO459" s="1002"/>
      <c r="AP459" s="1002"/>
      <c r="AQ459" s="1002"/>
      <c r="AR459" s="1002"/>
      <c r="AS459" s="1002"/>
      <c r="AT459" s="1002"/>
      <c r="AU459" s="1002"/>
      <c r="AV459" s="1002"/>
      <c r="AW459" s="1002"/>
      <c r="AX459" s="1002"/>
      <c r="AY459" s="1002"/>
      <c r="AZ459" s="1002"/>
      <c r="BA459" s="1002"/>
      <c r="BB459" s="1002"/>
      <c r="BC459" s="1002"/>
      <c r="BD459" s="1002"/>
      <c r="BE459" s="204"/>
      <c r="BF459" s="205" t="s">
        <v>487</v>
      </c>
      <c r="BG459" s="204"/>
      <c r="BH459" s="204" t="s">
        <v>407</v>
      </c>
      <c r="BI459" s="204"/>
      <c r="BJ459" s="204"/>
      <c r="BK459" s="206"/>
    </row>
    <row r="460" spans="1:63" s="164" customFormat="1" ht="15.75" customHeight="1">
      <c r="A460" s="185"/>
      <c r="B460" s="183" t="s">
        <v>875</v>
      </c>
      <c r="C460" s="184"/>
      <c r="D460" s="184"/>
      <c r="E460" s="184"/>
      <c r="F460" s="184"/>
      <c r="G460" s="184"/>
      <c r="H460" s="184"/>
      <c r="I460" s="184"/>
      <c r="J460" s="184"/>
      <c r="K460" s="184"/>
      <c r="L460" s="193"/>
      <c r="M460" s="1003"/>
      <c r="N460" s="1002"/>
      <c r="O460" s="1002"/>
      <c r="P460" s="1002"/>
      <c r="Q460" s="1002"/>
      <c r="R460" s="1002"/>
      <c r="S460" s="1002"/>
      <c r="T460" s="1002"/>
      <c r="U460" s="1002"/>
      <c r="V460" s="1002"/>
      <c r="W460" s="1002"/>
      <c r="X460" s="1002"/>
      <c r="Y460" s="1002"/>
      <c r="Z460" s="1002"/>
      <c r="AA460" s="1002"/>
      <c r="AB460" s="1002"/>
      <c r="AC460" s="1002"/>
      <c r="AD460" s="1002"/>
      <c r="AE460" s="1002"/>
      <c r="AF460" s="1002"/>
      <c r="AG460" s="1002"/>
      <c r="AH460" s="1002"/>
      <c r="AI460" s="1002"/>
      <c r="AJ460" s="1002"/>
      <c r="AK460" s="1002"/>
      <c r="AL460" s="1002"/>
      <c r="AM460" s="1002"/>
      <c r="AN460" s="1002"/>
      <c r="AO460" s="1002"/>
      <c r="AP460" s="1002"/>
      <c r="AQ460" s="1002"/>
      <c r="AR460" s="1002"/>
      <c r="AS460" s="1002"/>
      <c r="AT460" s="1002"/>
      <c r="AU460" s="1002"/>
      <c r="AV460" s="1002"/>
      <c r="AW460" s="1002"/>
      <c r="AX460" s="1002"/>
      <c r="AY460" s="1002"/>
      <c r="AZ460" s="1002"/>
      <c r="BA460" s="1002"/>
      <c r="BB460" s="1002"/>
      <c r="BC460" s="1002"/>
      <c r="BD460" s="1002"/>
      <c r="BE460" s="204"/>
      <c r="BF460" s="205" t="s">
        <v>487</v>
      </c>
      <c r="BG460" s="204"/>
      <c r="BH460" s="204" t="s">
        <v>407</v>
      </c>
      <c r="BI460" s="204"/>
      <c r="BJ460" s="204"/>
      <c r="BK460" s="206"/>
    </row>
    <row r="461" spans="1:63" s="164" customFormat="1" ht="15.75" customHeight="1">
      <c r="A461" s="185"/>
      <c r="B461" s="183" t="s">
        <v>600</v>
      </c>
      <c r="C461" s="184"/>
      <c r="D461" s="184"/>
      <c r="E461" s="184"/>
      <c r="F461" s="184"/>
      <c r="G461" s="184"/>
      <c r="H461" s="184"/>
      <c r="I461" s="184"/>
      <c r="J461" s="184"/>
      <c r="K461" s="184"/>
      <c r="L461" s="193"/>
      <c r="M461" s="1003"/>
      <c r="N461" s="1002"/>
      <c r="O461" s="1002"/>
      <c r="P461" s="1002"/>
      <c r="Q461" s="1002"/>
      <c r="R461" s="1002"/>
      <c r="S461" s="1002"/>
      <c r="T461" s="1002"/>
      <c r="U461" s="1002"/>
      <c r="V461" s="1002"/>
      <c r="W461" s="1002"/>
      <c r="X461" s="1002"/>
      <c r="Y461" s="1002"/>
      <c r="Z461" s="1002"/>
      <c r="AA461" s="1002"/>
      <c r="AB461" s="1002"/>
      <c r="AC461" s="1002"/>
      <c r="AD461" s="1002"/>
      <c r="AE461" s="1002"/>
      <c r="AF461" s="1002"/>
      <c r="AG461" s="1002"/>
      <c r="AH461" s="1002"/>
      <c r="AI461" s="1002"/>
      <c r="AJ461" s="1002"/>
      <c r="AK461" s="1002"/>
      <c r="AL461" s="1002"/>
      <c r="AM461" s="1002"/>
      <c r="AN461" s="1002"/>
      <c r="AO461" s="1002"/>
      <c r="AP461" s="1002"/>
      <c r="AQ461" s="1002"/>
      <c r="AR461" s="1002"/>
      <c r="AS461" s="1002"/>
      <c r="AT461" s="1002"/>
      <c r="AU461" s="1002"/>
      <c r="AV461" s="1002"/>
      <c r="AW461" s="1002"/>
      <c r="AX461" s="1002"/>
      <c r="AY461" s="1002"/>
      <c r="AZ461" s="1002"/>
      <c r="BA461" s="1002"/>
      <c r="BB461" s="1002"/>
      <c r="BC461" s="1002"/>
      <c r="BD461" s="1002"/>
      <c r="BE461" s="204"/>
      <c r="BF461" s="205" t="s">
        <v>487</v>
      </c>
      <c r="BG461" s="204"/>
      <c r="BH461" s="204" t="s">
        <v>407</v>
      </c>
      <c r="BI461" s="204"/>
      <c r="BJ461" s="204"/>
      <c r="BK461" s="206"/>
    </row>
    <row r="462" spans="1:63" s="164" customFormat="1" ht="15.75" customHeight="1">
      <c r="A462" s="185"/>
      <c r="B462" s="183" t="s">
        <v>876</v>
      </c>
      <c r="C462" s="184"/>
      <c r="D462" s="184"/>
      <c r="E462" s="184"/>
      <c r="F462" s="184"/>
      <c r="G462" s="184"/>
      <c r="H462" s="184"/>
      <c r="I462" s="184"/>
      <c r="J462" s="184"/>
      <c r="K462" s="184"/>
      <c r="L462" s="193"/>
      <c r="M462" s="1003"/>
      <c r="N462" s="1002"/>
      <c r="O462" s="1002"/>
      <c r="P462" s="1002"/>
      <c r="Q462" s="1002"/>
      <c r="R462" s="1002"/>
      <c r="S462" s="1002"/>
      <c r="T462" s="1002"/>
      <c r="U462" s="1002"/>
      <c r="V462" s="1002"/>
      <c r="W462" s="1002"/>
      <c r="X462" s="1002"/>
      <c r="Y462" s="1002"/>
      <c r="Z462" s="1002"/>
      <c r="AA462" s="1002"/>
      <c r="AB462" s="1002"/>
      <c r="AC462" s="1002"/>
      <c r="AD462" s="1002"/>
      <c r="AE462" s="1002"/>
      <c r="AF462" s="1002"/>
      <c r="AG462" s="1002"/>
      <c r="AH462" s="1002"/>
      <c r="AI462" s="1002"/>
      <c r="AJ462" s="1002"/>
      <c r="AK462" s="1002"/>
      <c r="AL462" s="1002"/>
      <c r="AM462" s="1002"/>
      <c r="AN462" s="1002"/>
      <c r="AO462" s="1002"/>
      <c r="AP462" s="1002"/>
      <c r="AQ462" s="1002"/>
      <c r="AR462" s="1002"/>
      <c r="AS462" s="1002"/>
      <c r="AT462" s="1002"/>
      <c r="AU462" s="1002"/>
      <c r="AV462" s="1002"/>
      <c r="AW462" s="1002"/>
      <c r="AX462" s="1002"/>
      <c r="AY462" s="1002"/>
      <c r="AZ462" s="1002"/>
      <c r="BA462" s="1002"/>
      <c r="BB462" s="1002"/>
      <c r="BC462" s="1002"/>
      <c r="BD462" s="1002"/>
      <c r="BE462" s="204"/>
      <c r="BF462" s="205" t="s">
        <v>487</v>
      </c>
      <c r="BG462" s="204"/>
      <c r="BH462" s="204" t="s">
        <v>407</v>
      </c>
      <c r="BI462" s="204"/>
      <c r="BJ462" s="204"/>
      <c r="BK462" s="206"/>
    </row>
    <row r="463" spans="1:63" s="164" customFormat="1" ht="15.75" customHeight="1">
      <c r="A463" s="185"/>
      <c r="B463" s="183" t="s">
        <v>603</v>
      </c>
      <c r="C463" s="184"/>
      <c r="D463" s="184"/>
      <c r="E463" s="184"/>
      <c r="F463" s="184"/>
      <c r="G463" s="184"/>
      <c r="H463" s="184"/>
      <c r="I463" s="184"/>
      <c r="J463" s="184"/>
      <c r="K463" s="184"/>
      <c r="L463" s="193"/>
      <c r="M463" s="1003"/>
      <c r="N463" s="1002"/>
      <c r="O463" s="1002"/>
      <c r="P463" s="1002"/>
      <c r="Q463" s="1002"/>
      <c r="R463" s="1002"/>
      <c r="S463" s="1002"/>
      <c r="T463" s="1002"/>
      <c r="U463" s="1002"/>
      <c r="V463" s="1002"/>
      <c r="W463" s="1002"/>
      <c r="X463" s="1002"/>
      <c r="Y463" s="1002"/>
      <c r="Z463" s="1002"/>
      <c r="AA463" s="1002"/>
      <c r="AB463" s="1002"/>
      <c r="AC463" s="1002"/>
      <c r="AD463" s="1002"/>
      <c r="AE463" s="1002"/>
      <c r="AF463" s="1002"/>
      <c r="AG463" s="1002"/>
      <c r="AH463" s="1002"/>
      <c r="AI463" s="1002"/>
      <c r="AJ463" s="1002"/>
      <c r="AK463" s="1002"/>
      <c r="AL463" s="1002"/>
      <c r="AM463" s="1002"/>
      <c r="AN463" s="1002"/>
      <c r="AO463" s="1002"/>
      <c r="AP463" s="1002"/>
      <c r="AQ463" s="1002"/>
      <c r="AR463" s="1002"/>
      <c r="AS463" s="1002"/>
      <c r="AT463" s="1002"/>
      <c r="AU463" s="1002"/>
      <c r="AV463" s="1002"/>
      <c r="AW463" s="1002"/>
      <c r="AX463" s="1002"/>
      <c r="AY463" s="1002"/>
      <c r="AZ463" s="1002"/>
      <c r="BA463" s="1002"/>
      <c r="BB463" s="1002"/>
      <c r="BC463" s="1002"/>
      <c r="BD463" s="1002"/>
      <c r="BE463" s="204"/>
      <c r="BF463" s="205" t="s">
        <v>487</v>
      </c>
      <c r="BG463" s="204"/>
      <c r="BH463" s="204" t="s">
        <v>407</v>
      </c>
      <c r="BI463" s="204"/>
      <c r="BJ463" s="204"/>
      <c r="BK463" s="206"/>
    </row>
    <row r="464" spans="1:63" s="164" customFormat="1" ht="15.75" customHeight="1">
      <c r="A464" s="185"/>
      <c r="B464" s="183" t="s">
        <v>877</v>
      </c>
      <c r="C464" s="184"/>
      <c r="D464" s="184"/>
      <c r="E464" s="184"/>
      <c r="F464" s="184"/>
      <c r="G464" s="184"/>
      <c r="H464" s="184"/>
      <c r="I464" s="184"/>
      <c r="J464" s="184"/>
      <c r="K464" s="184"/>
      <c r="L464" s="193"/>
      <c r="M464" s="1003"/>
      <c r="N464" s="1002"/>
      <c r="O464" s="1002"/>
      <c r="P464" s="1002"/>
      <c r="Q464" s="1002"/>
      <c r="R464" s="1002"/>
      <c r="S464" s="1002"/>
      <c r="T464" s="1002"/>
      <c r="U464" s="1002"/>
      <c r="V464" s="1002"/>
      <c r="W464" s="1002"/>
      <c r="X464" s="1002"/>
      <c r="Y464" s="1002"/>
      <c r="Z464" s="1002"/>
      <c r="AA464" s="1002"/>
      <c r="AB464" s="1002"/>
      <c r="AC464" s="1002"/>
      <c r="AD464" s="1002"/>
      <c r="AE464" s="1002"/>
      <c r="AF464" s="1002"/>
      <c r="AG464" s="1002"/>
      <c r="AH464" s="1002"/>
      <c r="AI464" s="1002"/>
      <c r="AJ464" s="1002"/>
      <c r="AK464" s="1002"/>
      <c r="AL464" s="1002"/>
      <c r="AM464" s="1002"/>
      <c r="AN464" s="1002"/>
      <c r="AO464" s="1002"/>
      <c r="AP464" s="1002"/>
      <c r="AQ464" s="1002"/>
      <c r="AR464" s="1002"/>
      <c r="AS464" s="1002"/>
      <c r="AT464" s="1002"/>
      <c r="AU464" s="1002"/>
      <c r="AV464" s="1002"/>
      <c r="AW464" s="1002"/>
      <c r="AX464" s="1002"/>
      <c r="AY464" s="1002"/>
      <c r="AZ464" s="1002"/>
      <c r="BA464" s="1002"/>
      <c r="BB464" s="1002"/>
      <c r="BC464" s="1002"/>
      <c r="BD464" s="1002"/>
      <c r="BE464" s="204"/>
      <c r="BF464" s="205" t="s">
        <v>487</v>
      </c>
      <c r="BG464" s="204"/>
      <c r="BH464" s="204" t="s">
        <v>407</v>
      </c>
      <c r="BI464" s="204"/>
      <c r="BJ464" s="204"/>
      <c r="BK464" s="206"/>
    </row>
    <row r="465" spans="1:63" s="164" customFormat="1" ht="15.75" customHeight="1">
      <c r="A465" s="185"/>
      <c r="B465" s="183" t="s">
        <v>606</v>
      </c>
      <c r="C465" s="184"/>
      <c r="D465" s="184"/>
      <c r="E465" s="184"/>
      <c r="F465" s="184"/>
      <c r="G465" s="184"/>
      <c r="H465" s="184"/>
      <c r="I465" s="184"/>
      <c r="J465" s="184"/>
      <c r="K465" s="184"/>
      <c r="L465" s="193"/>
      <c r="M465" s="1003"/>
      <c r="N465" s="1002"/>
      <c r="O465" s="1002"/>
      <c r="P465" s="1002"/>
      <c r="Q465" s="1002"/>
      <c r="R465" s="1002"/>
      <c r="S465" s="1002"/>
      <c r="T465" s="1002"/>
      <c r="U465" s="1002"/>
      <c r="V465" s="1002"/>
      <c r="W465" s="1002"/>
      <c r="X465" s="1002"/>
      <c r="Y465" s="1002"/>
      <c r="Z465" s="1002"/>
      <c r="AA465" s="1002"/>
      <c r="AB465" s="1002"/>
      <c r="AC465" s="1002"/>
      <c r="AD465" s="1002"/>
      <c r="AE465" s="1002"/>
      <c r="AF465" s="1002"/>
      <c r="AG465" s="1002"/>
      <c r="AH465" s="1002"/>
      <c r="AI465" s="1002"/>
      <c r="AJ465" s="1002"/>
      <c r="AK465" s="1002"/>
      <c r="AL465" s="1002"/>
      <c r="AM465" s="1002"/>
      <c r="AN465" s="1002"/>
      <c r="AO465" s="1002"/>
      <c r="AP465" s="1002"/>
      <c r="AQ465" s="1002"/>
      <c r="AR465" s="1002"/>
      <c r="AS465" s="1002"/>
      <c r="AT465" s="1002"/>
      <c r="AU465" s="1002"/>
      <c r="AV465" s="1002"/>
      <c r="AW465" s="1002"/>
      <c r="AX465" s="1002"/>
      <c r="AY465" s="1002"/>
      <c r="AZ465" s="1002"/>
      <c r="BA465" s="1002"/>
      <c r="BB465" s="1002"/>
      <c r="BC465" s="1002"/>
      <c r="BD465" s="1002"/>
      <c r="BE465" s="204"/>
      <c r="BF465" s="205" t="s">
        <v>487</v>
      </c>
      <c r="BG465" s="204"/>
      <c r="BH465" s="204" t="s">
        <v>407</v>
      </c>
      <c r="BI465" s="204"/>
      <c r="BJ465" s="204"/>
      <c r="BK465" s="206"/>
    </row>
    <row r="466" spans="1:63" s="164" customFormat="1" ht="15.75" customHeight="1">
      <c r="A466" s="185"/>
      <c r="B466" s="183" t="s">
        <v>878</v>
      </c>
      <c r="C466" s="184"/>
      <c r="D466" s="184"/>
      <c r="E466" s="184"/>
      <c r="F466" s="184"/>
      <c r="G466" s="184"/>
      <c r="H466" s="184"/>
      <c r="I466" s="184"/>
      <c r="J466" s="184"/>
      <c r="K466" s="184"/>
      <c r="L466" s="193"/>
      <c r="M466" s="1003"/>
      <c r="N466" s="1002"/>
      <c r="O466" s="1002"/>
      <c r="P466" s="1002"/>
      <c r="Q466" s="1002"/>
      <c r="R466" s="1002"/>
      <c r="S466" s="1002"/>
      <c r="T466" s="1002"/>
      <c r="U466" s="1002"/>
      <c r="V466" s="1002"/>
      <c r="W466" s="1002"/>
      <c r="X466" s="1002"/>
      <c r="Y466" s="1002"/>
      <c r="Z466" s="1002"/>
      <c r="AA466" s="1002"/>
      <c r="AB466" s="1002"/>
      <c r="AC466" s="1002"/>
      <c r="AD466" s="1002"/>
      <c r="AE466" s="1002"/>
      <c r="AF466" s="1002"/>
      <c r="AG466" s="1002"/>
      <c r="AH466" s="1002"/>
      <c r="AI466" s="1002"/>
      <c r="AJ466" s="1002"/>
      <c r="AK466" s="1002"/>
      <c r="AL466" s="1002"/>
      <c r="AM466" s="1002"/>
      <c r="AN466" s="1002"/>
      <c r="AO466" s="1002"/>
      <c r="AP466" s="1002"/>
      <c r="AQ466" s="1002"/>
      <c r="AR466" s="1002"/>
      <c r="AS466" s="1002"/>
      <c r="AT466" s="1002"/>
      <c r="AU466" s="1002"/>
      <c r="AV466" s="1002"/>
      <c r="AW466" s="1002"/>
      <c r="AX466" s="1002"/>
      <c r="AY466" s="1002"/>
      <c r="AZ466" s="1002"/>
      <c r="BA466" s="1002"/>
      <c r="BB466" s="1002"/>
      <c r="BC466" s="1002"/>
      <c r="BD466" s="1002"/>
      <c r="BE466" s="204"/>
      <c r="BF466" s="205" t="s">
        <v>487</v>
      </c>
      <c r="BG466" s="204"/>
      <c r="BH466" s="204" t="s">
        <v>407</v>
      </c>
      <c r="BI466" s="204"/>
      <c r="BJ466" s="204"/>
      <c r="BK466" s="206"/>
    </row>
    <row r="467" spans="1:63" s="164" customFormat="1" ht="49.5" customHeight="1">
      <c r="A467" s="182" t="s">
        <v>411</v>
      </c>
      <c r="B467" s="183" t="s">
        <v>879</v>
      </c>
      <c r="C467" s="184"/>
      <c r="D467" s="184"/>
      <c r="E467" s="184"/>
      <c r="F467" s="184"/>
      <c r="G467" s="184"/>
      <c r="H467" s="184"/>
      <c r="I467" s="184"/>
      <c r="J467" s="184"/>
      <c r="K467" s="184"/>
      <c r="L467" s="193"/>
      <c r="M467" s="1005" t="s">
        <v>880</v>
      </c>
      <c r="N467" s="1005"/>
      <c r="O467" s="1005"/>
      <c r="P467" s="1005"/>
      <c r="Q467" s="1005"/>
      <c r="R467" s="1005"/>
      <c r="S467" s="1005"/>
      <c r="T467" s="1005"/>
      <c r="U467" s="1005"/>
      <c r="V467" s="1005"/>
      <c r="W467" s="1005"/>
      <c r="X467" s="1005"/>
      <c r="Y467" s="1005"/>
      <c r="Z467" s="1005"/>
      <c r="AA467" s="1005"/>
      <c r="AB467" s="1005"/>
      <c r="AC467" s="1005"/>
      <c r="AD467" s="1005"/>
      <c r="AE467" s="1005"/>
      <c r="AF467" s="1005"/>
      <c r="AG467" s="1005"/>
      <c r="AH467" s="1005"/>
      <c r="AI467" s="1005"/>
      <c r="AJ467" s="1005"/>
      <c r="AK467" s="1005"/>
      <c r="AL467" s="1005"/>
      <c r="AM467" s="1005"/>
      <c r="AN467" s="1005"/>
      <c r="AO467" s="1005"/>
      <c r="AP467" s="1005"/>
      <c r="AQ467" s="1005"/>
      <c r="AR467" s="1005"/>
      <c r="AS467" s="1005"/>
      <c r="AT467" s="1005"/>
      <c r="AU467" s="1005"/>
      <c r="AV467" s="1005"/>
      <c r="AW467" s="1005"/>
      <c r="AX467" s="1005"/>
      <c r="AY467" s="1005"/>
      <c r="AZ467" s="1005"/>
      <c r="BA467" s="1005"/>
      <c r="BB467" s="1005"/>
      <c r="BC467" s="1005"/>
      <c r="BD467" s="1005"/>
      <c r="BE467" s="205" t="s">
        <v>489</v>
      </c>
      <c r="BF467" s="205" t="s">
        <v>487</v>
      </c>
      <c r="BG467" s="204"/>
      <c r="BH467" s="204" t="s">
        <v>407</v>
      </c>
      <c r="BI467" s="205" t="s">
        <v>408</v>
      </c>
      <c r="BJ467" s="204"/>
      <c r="BK467" s="206"/>
    </row>
    <row r="468" spans="1:63" s="164" customFormat="1" ht="15.75" customHeight="1">
      <c r="A468" s="185"/>
      <c r="B468" s="183" t="s">
        <v>881</v>
      </c>
      <c r="C468" s="184"/>
      <c r="D468" s="184"/>
      <c r="E468" s="184"/>
      <c r="F468" s="184"/>
      <c r="G468" s="184"/>
      <c r="H468" s="184"/>
      <c r="I468" s="184"/>
      <c r="J468" s="184"/>
      <c r="K468" s="184"/>
      <c r="L468" s="193"/>
      <c r="M468" s="1005"/>
      <c r="N468" s="1005"/>
      <c r="O468" s="1005"/>
      <c r="P468" s="1005"/>
      <c r="Q468" s="1005"/>
      <c r="R468" s="1005"/>
      <c r="S468" s="1005"/>
      <c r="T468" s="1005"/>
      <c r="U468" s="1005"/>
      <c r="V468" s="1005"/>
      <c r="W468" s="1005"/>
      <c r="X468" s="1005"/>
      <c r="Y468" s="1005"/>
      <c r="Z468" s="1005"/>
      <c r="AA468" s="1005"/>
      <c r="AB468" s="1005"/>
      <c r="AC468" s="1005"/>
      <c r="AD468" s="1005"/>
      <c r="AE468" s="1005"/>
      <c r="AF468" s="1005"/>
      <c r="AG468" s="1005"/>
      <c r="AH468" s="1005"/>
      <c r="AI468" s="1005"/>
      <c r="AJ468" s="1005"/>
      <c r="AK468" s="1005"/>
      <c r="AL468" s="1005"/>
      <c r="AM468" s="1005"/>
      <c r="AN468" s="1005"/>
      <c r="AO468" s="1005"/>
      <c r="AP468" s="1005"/>
      <c r="AQ468" s="1005"/>
      <c r="AR468" s="1005"/>
      <c r="AS468" s="1005"/>
      <c r="AT468" s="1005"/>
      <c r="AU468" s="1005"/>
      <c r="AV468" s="1005"/>
      <c r="AW468" s="1005"/>
      <c r="AX468" s="1005"/>
      <c r="AY468" s="1005"/>
      <c r="AZ468" s="1005"/>
      <c r="BA468" s="1005"/>
      <c r="BB468" s="1005"/>
      <c r="BC468" s="1005"/>
      <c r="BD468" s="1005"/>
      <c r="BE468" s="204"/>
      <c r="BF468" s="205" t="s">
        <v>487</v>
      </c>
      <c r="BG468" s="204"/>
      <c r="BH468" s="204" t="s">
        <v>407</v>
      </c>
      <c r="BI468" s="204"/>
      <c r="BJ468" s="204"/>
      <c r="BK468" s="206"/>
    </row>
    <row r="469" spans="1:63" s="164" customFormat="1" ht="46.5" customHeight="1">
      <c r="A469" s="182" t="s">
        <v>411</v>
      </c>
      <c r="B469" s="183" t="s">
        <v>882</v>
      </c>
      <c r="C469" s="184"/>
      <c r="D469" s="184"/>
      <c r="E469" s="184"/>
      <c r="F469" s="184"/>
      <c r="G469" s="184"/>
      <c r="H469" s="184"/>
      <c r="I469" s="184"/>
      <c r="J469" s="184"/>
      <c r="K469" s="184"/>
      <c r="L469" s="193"/>
      <c r="M469" s="1005" t="s">
        <v>883</v>
      </c>
      <c r="N469" s="1005"/>
      <c r="O469" s="1005"/>
      <c r="P469" s="1005"/>
      <c r="Q469" s="1005"/>
      <c r="R469" s="1005"/>
      <c r="S469" s="1005"/>
      <c r="T469" s="1005"/>
      <c r="U469" s="1005"/>
      <c r="V469" s="1005"/>
      <c r="W469" s="1005"/>
      <c r="X469" s="1005"/>
      <c r="Y469" s="1005"/>
      <c r="Z469" s="1005"/>
      <c r="AA469" s="1005"/>
      <c r="AB469" s="1005"/>
      <c r="AC469" s="1005"/>
      <c r="AD469" s="1005"/>
      <c r="AE469" s="1005"/>
      <c r="AF469" s="1005"/>
      <c r="AG469" s="1005"/>
      <c r="AH469" s="1005"/>
      <c r="AI469" s="1005"/>
      <c r="AJ469" s="1005"/>
      <c r="AK469" s="1005"/>
      <c r="AL469" s="1005"/>
      <c r="AM469" s="1005"/>
      <c r="AN469" s="1005"/>
      <c r="AO469" s="1005"/>
      <c r="AP469" s="1005"/>
      <c r="AQ469" s="1005"/>
      <c r="AR469" s="1005"/>
      <c r="AS469" s="1005"/>
      <c r="AT469" s="1005"/>
      <c r="AU469" s="1005"/>
      <c r="AV469" s="1005"/>
      <c r="AW469" s="1005"/>
      <c r="AX469" s="1005"/>
      <c r="AY469" s="1005"/>
      <c r="AZ469" s="1005"/>
      <c r="BA469" s="1005"/>
      <c r="BB469" s="1005"/>
      <c r="BC469" s="1005"/>
      <c r="BD469" s="1005"/>
      <c r="BE469" s="205" t="s">
        <v>489</v>
      </c>
      <c r="BF469" s="205" t="s">
        <v>487</v>
      </c>
      <c r="BG469" s="204"/>
      <c r="BH469" s="204" t="s">
        <v>407</v>
      </c>
      <c r="BI469" s="205" t="s">
        <v>408</v>
      </c>
      <c r="BJ469" s="204"/>
      <c r="BK469" s="206"/>
    </row>
    <row r="470" spans="1:63" s="164" customFormat="1" ht="15.75" customHeight="1">
      <c r="A470" s="182" t="s">
        <v>411</v>
      </c>
      <c r="B470" s="183" t="s">
        <v>884</v>
      </c>
      <c r="C470" s="184"/>
      <c r="D470" s="184"/>
      <c r="E470" s="184"/>
      <c r="F470" s="184"/>
      <c r="G470" s="184"/>
      <c r="H470" s="184"/>
      <c r="I470" s="184"/>
      <c r="J470" s="184"/>
      <c r="K470" s="184"/>
      <c r="L470" s="193"/>
      <c r="M470" s="1005" t="s">
        <v>885</v>
      </c>
      <c r="N470" s="1005"/>
      <c r="O470" s="1005"/>
      <c r="P470" s="1005"/>
      <c r="Q470" s="1005"/>
      <c r="R470" s="1005"/>
      <c r="S470" s="1005"/>
      <c r="T470" s="1005"/>
      <c r="U470" s="1005"/>
      <c r="V470" s="1005"/>
      <c r="W470" s="1005"/>
      <c r="X470" s="1005"/>
      <c r="Y470" s="1005"/>
      <c r="Z470" s="1005"/>
      <c r="AA470" s="1005"/>
      <c r="AB470" s="1005"/>
      <c r="AC470" s="1005"/>
      <c r="AD470" s="1005"/>
      <c r="AE470" s="1005"/>
      <c r="AF470" s="1005"/>
      <c r="AG470" s="1005"/>
      <c r="AH470" s="1005"/>
      <c r="AI470" s="1005"/>
      <c r="AJ470" s="1005"/>
      <c r="AK470" s="1005"/>
      <c r="AL470" s="1005"/>
      <c r="AM470" s="1005"/>
      <c r="AN470" s="1005"/>
      <c r="AO470" s="1005"/>
      <c r="AP470" s="1005"/>
      <c r="AQ470" s="1005"/>
      <c r="AR470" s="1005"/>
      <c r="AS470" s="1005"/>
      <c r="AT470" s="1005"/>
      <c r="AU470" s="1005"/>
      <c r="AV470" s="1005"/>
      <c r="AW470" s="1005"/>
      <c r="AX470" s="1005"/>
      <c r="AY470" s="1005"/>
      <c r="AZ470" s="1005"/>
      <c r="BA470" s="1005"/>
      <c r="BB470" s="1005"/>
      <c r="BC470" s="1005"/>
      <c r="BD470" s="1005"/>
      <c r="BE470" s="205" t="s">
        <v>486</v>
      </c>
      <c r="BF470" s="205" t="s">
        <v>487</v>
      </c>
      <c r="BG470" s="204"/>
      <c r="BH470" s="204" t="s">
        <v>407</v>
      </c>
      <c r="BI470" s="205" t="s">
        <v>408</v>
      </c>
      <c r="BJ470" s="204"/>
      <c r="BK470" s="206"/>
    </row>
    <row r="471" spans="1:63" s="164" customFormat="1" ht="15.75" customHeight="1">
      <c r="A471" s="182" t="s">
        <v>411</v>
      </c>
      <c r="B471" s="183" t="s">
        <v>886</v>
      </c>
      <c r="C471" s="184"/>
      <c r="D471" s="184"/>
      <c r="E471" s="184"/>
      <c r="F471" s="184"/>
      <c r="G471" s="184"/>
      <c r="H471" s="184"/>
      <c r="I471" s="184"/>
      <c r="J471" s="184"/>
      <c r="K471" s="184"/>
      <c r="L471" s="193"/>
      <c r="M471" s="1005" t="s">
        <v>885</v>
      </c>
      <c r="N471" s="1005"/>
      <c r="O471" s="1005"/>
      <c r="P471" s="1005"/>
      <c r="Q471" s="1005"/>
      <c r="R471" s="1005"/>
      <c r="S471" s="1005"/>
      <c r="T471" s="1005"/>
      <c r="U471" s="1005"/>
      <c r="V471" s="1005"/>
      <c r="W471" s="1005"/>
      <c r="X471" s="1005"/>
      <c r="Y471" s="1005"/>
      <c r="Z471" s="1005"/>
      <c r="AA471" s="1005"/>
      <c r="AB471" s="1005"/>
      <c r="AC471" s="1005"/>
      <c r="AD471" s="1005"/>
      <c r="AE471" s="1005"/>
      <c r="AF471" s="1005"/>
      <c r="AG471" s="1005"/>
      <c r="AH471" s="1005"/>
      <c r="AI471" s="1005"/>
      <c r="AJ471" s="1005"/>
      <c r="AK471" s="1005"/>
      <c r="AL471" s="1005"/>
      <c r="AM471" s="1005"/>
      <c r="AN471" s="1005"/>
      <c r="AO471" s="1005"/>
      <c r="AP471" s="1005"/>
      <c r="AQ471" s="1005"/>
      <c r="AR471" s="1005"/>
      <c r="AS471" s="1005"/>
      <c r="AT471" s="1005"/>
      <c r="AU471" s="1005"/>
      <c r="AV471" s="1005"/>
      <c r="AW471" s="1005"/>
      <c r="AX471" s="1005"/>
      <c r="AY471" s="1005"/>
      <c r="AZ471" s="1005"/>
      <c r="BA471" s="1005"/>
      <c r="BB471" s="1005"/>
      <c r="BC471" s="1005"/>
      <c r="BD471" s="1005"/>
      <c r="BE471" s="205" t="s">
        <v>486</v>
      </c>
      <c r="BF471" s="205" t="s">
        <v>487</v>
      </c>
      <c r="BG471" s="204"/>
      <c r="BH471" s="204" t="s">
        <v>407</v>
      </c>
      <c r="BI471" s="205" t="s">
        <v>408</v>
      </c>
      <c r="BJ471" s="205" t="s">
        <v>409</v>
      </c>
      <c r="BK471" s="206"/>
    </row>
    <row r="472" spans="1:63" s="164" customFormat="1" ht="15.75" customHeight="1">
      <c r="A472" s="182" t="s">
        <v>411</v>
      </c>
      <c r="B472" s="183" t="s">
        <v>887</v>
      </c>
      <c r="C472" s="184"/>
      <c r="D472" s="184"/>
      <c r="E472" s="184"/>
      <c r="F472" s="184"/>
      <c r="G472" s="184"/>
      <c r="H472" s="184"/>
      <c r="I472" s="184"/>
      <c r="J472" s="184"/>
      <c r="K472" s="184"/>
      <c r="L472" s="193"/>
      <c r="M472" s="1005" t="s">
        <v>885</v>
      </c>
      <c r="N472" s="1005"/>
      <c r="O472" s="1005"/>
      <c r="P472" s="1005"/>
      <c r="Q472" s="1005"/>
      <c r="R472" s="1005"/>
      <c r="S472" s="1005"/>
      <c r="T472" s="1005"/>
      <c r="U472" s="1005"/>
      <c r="V472" s="1005"/>
      <c r="W472" s="1005"/>
      <c r="X472" s="1005"/>
      <c r="Y472" s="1005"/>
      <c r="Z472" s="1005"/>
      <c r="AA472" s="1005"/>
      <c r="AB472" s="1005"/>
      <c r="AC472" s="1005"/>
      <c r="AD472" s="1005"/>
      <c r="AE472" s="1005"/>
      <c r="AF472" s="1005"/>
      <c r="AG472" s="1005"/>
      <c r="AH472" s="1005"/>
      <c r="AI472" s="1005"/>
      <c r="AJ472" s="1005"/>
      <c r="AK472" s="1005"/>
      <c r="AL472" s="1005"/>
      <c r="AM472" s="1005"/>
      <c r="AN472" s="1005"/>
      <c r="AO472" s="1005"/>
      <c r="AP472" s="1005"/>
      <c r="AQ472" s="1005"/>
      <c r="AR472" s="1005"/>
      <c r="AS472" s="1005"/>
      <c r="AT472" s="1005"/>
      <c r="AU472" s="1005"/>
      <c r="AV472" s="1005"/>
      <c r="AW472" s="1005"/>
      <c r="AX472" s="1005"/>
      <c r="AY472" s="1005"/>
      <c r="AZ472" s="1005"/>
      <c r="BA472" s="1005"/>
      <c r="BB472" s="1005"/>
      <c r="BC472" s="1005"/>
      <c r="BD472" s="1005"/>
      <c r="BE472" s="205" t="s">
        <v>486</v>
      </c>
      <c r="BF472" s="205" t="s">
        <v>487</v>
      </c>
      <c r="BG472" s="204"/>
      <c r="BH472" s="204" t="s">
        <v>407</v>
      </c>
      <c r="BI472" s="205" t="s">
        <v>408</v>
      </c>
      <c r="BJ472" s="205" t="s">
        <v>409</v>
      </c>
      <c r="BK472" s="206"/>
    </row>
    <row r="473" spans="1:63" s="164" customFormat="1" ht="15.75" customHeight="1">
      <c r="A473" s="185"/>
      <c r="B473" s="183" t="s">
        <v>888</v>
      </c>
      <c r="C473" s="184"/>
      <c r="D473" s="184"/>
      <c r="E473" s="184"/>
      <c r="F473" s="184"/>
      <c r="G473" s="184"/>
      <c r="H473" s="184"/>
      <c r="I473" s="184"/>
      <c r="J473" s="184"/>
      <c r="K473" s="184"/>
      <c r="L473" s="193"/>
      <c r="M473" s="1005"/>
      <c r="N473" s="1005"/>
      <c r="O473" s="1005"/>
      <c r="P473" s="1005"/>
      <c r="Q473" s="1005"/>
      <c r="R473" s="1005"/>
      <c r="S473" s="1005"/>
      <c r="T473" s="1005"/>
      <c r="U473" s="1005"/>
      <c r="V473" s="1005"/>
      <c r="W473" s="1005"/>
      <c r="X473" s="1005"/>
      <c r="Y473" s="1005"/>
      <c r="Z473" s="1005"/>
      <c r="AA473" s="1005"/>
      <c r="AB473" s="1005"/>
      <c r="AC473" s="1005"/>
      <c r="AD473" s="1005"/>
      <c r="AE473" s="1005"/>
      <c r="AF473" s="1005"/>
      <c r="AG473" s="1005"/>
      <c r="AH473" s="1005"/>
      <c r="AI473" s="1005"/>
      <c r="AJ473" s="1005"/>
      <c r="AK473" s="1005"/>
      <c r="AL473" s="1005"/>
      <c r="AM473" s="1005"/>
      <c r="AN473" s="1005"/>
      <c r="AO473" s="1005"/>
      <c r="AP473" s="1005"/>
      <c r="AQ473" s="1005"/>
      <c r="AR473" s="1005"/>
      <c r="AS473" s="1005"/>
      <c r="AT473" s="1005"/>
      <c r="AU473" s="1005"/>
      <c r="AV473" s="1005"/>
      <c r="AW473" s="1005"/>
      <c r="AX473" s="1005"/>
      <c r="AY473" s="1005"/>
      <c r="AZ473" s="1005"/>
      <c r="BA473" s="1005"/>
      <c r="BB473" s="1005"/>
      <c r="BC473" s="1005"/>
      <c r="BD473" s="1005"/>
      <c r="BE473" s="204"/>
      <c r="BF473" s="205" t="s">
        <v>487</v>
      </c>
      <c r="BG473" s="204"/>
      <c r="BH473" s="204" t="s">
        <v>407</v>
      </c>
      <c r="BI473" s="204"/>
      <c r="BJ473" s="204"/>
      <c r="BK473" s="206"/>
    </row>
    <row r="474" spans="1:63" s="164" customFormat="1" ht="15.75" customHeight="1">
      <c r="A474" s="182" t="s">
        <v>411</v>
      </c>
      <c r="B474" s="183" t="s">
        <v>889</v>
      </c>
      <c r="C474" s="184"/>
      <c r="D474" s="184"/>
      <c r="E474" s="184"/>
      <c r="F474" s="184"/>
      <c r="G474" s="184"/>
      <c r="H474" s="184"/>
      <c r="I474" s="184"/>
      <c r="J474" s="184"/>
      <c r="K474" s="184"/>
      <c r="L474" s="193"/>
      <c r="M474" s="1005" t="s">
        <v>890</v>
      </c>
      <c r="N474" s="1005"/>
      <c r="O474" s="1005"/>
      <c r="P474" s="1005"/>
      <c r="Q474" s="1005"/>
      <c r="R474" s="1005"/>
      <c r="S474" s="1005"/>
      <c r="T474" s="1005"/>
      <c r="U474" s="1005"/>
      <c r="V474" s="1005"/>
      <c r="W474" s="1005"/>
      <c r="X474" s="1005"/>
      <c r="Y474" s="1005"/>
      <c r="Z474" s="1005"/>
      <c r="AA474" s="1005"/>
      <c r="AB474" s="1005"/>
      <c r="AC474" s="1005"/>
      <c r="AD474" s="1005"/>
      <c r="AE474" s="1005"/>
      <c r="AF474" s="1005"/>
      <c r="AG474" s="1005"/>
      <c r="AH474" s="1005"/>
      <c r="AI474" s="1005"/>
      <c r="AJ474" s="1005"/>
      <c r="AK474" s="1005"/>
      <c r="AL474" s="1005"/>
      <c r="AM474" s="1005"/>
      <c r="AN474" s="1005"/>
      <c r="AO474" s="1005"/>
      <c r="AP474" s="1005"/>
      <c r="AQ474" s="1005"/>
      <c r="AR474" s="1005"/>
      <c r="AS474" s="1005"/>
      <c r="AT474" s="1005"/>
      <c r="AU474" s="1005"/>
      <c r="AV474" s="1005"/>
      <c r="AW474" s="1005"/>
      <c r="AX474" s="1005"/>
      <c r="AY474" s="1005"/>
      <c r="AZ474" s="1005"/>
      <c r="BA474" s="1005"/>
      <c r="BB474" s="1005"/>
      <c r="BC474" s="1005"/>
      <c r="BD474" s="1005"/>
      <c r="BE474" s="204"/>
      <c r="BF474" s="205" t="s">
        <v>487</v>
      </c>
      <c r="BG474" s="204"/>
      <c r="BH474" s="204" t="s">
        <v>407</v>
      </c>
      <c r="BI474" s="205" t="s">
        <v>408</v>
      </c>
      <c r="BJ474" s="204"/>
      <c r="BK474" s="206"/>
    </row>
    <row r="475" spans="1:63" s="164" customFormat="1" ht="15.75" customHeight="1">
      <c r="A475" s="182" t="s">
        <v>411</v>
      </c>
      <c r="B475" s="183" t="s">
        <v>891</v>
      </c>
      <c r="C475" s="184"/>
      <c r="D475" s="184"/>
      <c r="E475" s="184"/>
      <c r="F475" s="184"/>
      <c r="G475" s="184"/>
      <c r="H475" s="184"/>
      <c r="I475" s="184"/>
      <c r="J475" s="184"/>
      <c r="K475" s="184"/>
      <c r="L475" s="193"/>
      <c r="M475" s="1005" t="s">
        <v>892</v>
      </c>
      <c r="N475" s="1005"/>
      <c r="O475" s="1005"/>
      <c r="P475" s="1005"/>
      <c r="Q475" s="1005"/>
      <c r="R475" s="1005"/>
      <c r="S475" s="1005"/>
      <c r="T475" s="1005"/>
      <c r="U475" s="1005"/>
      <c r="V475" s="1005"/>
      <c r="W475" s="1005"/>
      <c r="X475" s="1005"/>
      <c r="Y475" s="1005"/>
      <c r="Z475" s="1005"/>
      <c r="AA475" s="1005"/>
      <c r="AB475" s="1005"/>
      <c r="AC475" s="1005"/>
      <c r="AD475" s="1005"/>
      <c r="AE475" s="1005"/>
      <c r="AF475" s="1005"/>
      <c r="AG475" s="1005"/>
      <c r="AH475" s="1005"/>
      <c r="AI475" s="1005"/>
      <c r="AJ475" s="1005"/>
      <c r="AK475" s="1005"/>
      <c r="AL475" s="1005"/>
      <c r="AM475" s="1005"/>
      <c r="AN475" s="1005"/>
      <c r="AO475" s="1005"/>
      <c r="AP475" s="1005"/>
      <c r="AQ475" s="1005"/>
      <c r="AR475" s="1005"/>
      <c r="AS475" s="1005"/>
      <c r="AT475" s="1005"/>
      <c r="AU475" s="1005"/>
      <c r="AV475" s="1005"/>
      <c r="AW475" s="1005"/>
      <c r="AX475" s="1005"/>
      <c r="AY475" s="1005"/>
      <c r="AZ475" s="1005"/>
      <c r="BA475" s="1005"/>
      <c r="BB475" s="1005"/>
      <c r="BC475" s="1005"/>
      <c r="BD475" s="1005"/>
      <c r="BE475" s="204"/>
      <c r="BF475" s="205" t="s">
        <v>487</v>
      </c>
      <c r="BG475" s="204"/>
      <c r="BH475" s="204" t="s">
        <v>407</v>
      </c>
      <c r="BI475" s="205" t="s">
        <v>408</v>
      </c>
      <c r="BJ475" s="204"/>
      <c r="BK475" s="206"/>
    </row>
    <row r="476" spans="1:63" s="164" customFormat="1" ht="15.75" customHeight="1">
      <c r="A476" s="182" t="s">
        <v>411</v>
      </c>
      <c r="B476" s="183" t="s">
        <v>893</v>
      </c>
      <c r="C476" s="184"/>
      <c r="D476" s="184"/>
      <c r="E476" s="184"/>
      <c r="F476" s="184"/>
      <c r="G476" s="184"/>
      <c r="H476" s="184"/>
      <c r="I476" s="184"/>
      <c r="J476" s="184"/>
      <c r="K476" s="184"/>
      <c r="L476" s="193"/>
      <c r="M476" s="1005" t="s">
        <v>894</v>
      </c>
      <c r="N476" s="1005"/>
      <c r="O476" s="1005"/>
      <c r="P476" s="1005"/>
      <c r="Q476" s="1005"/>
      <c r="R476" s="1005"/>
      <c r="S476" s="1005"/>
      <c r="T476" s="1005"/>
      <c r="U476" s="1005"/>
      <c r="V476" s="1005"/>
      <c r="W476" s="1005"/>
      <c r="X476" s="1005"/>
      <c r="Y476" s="1005"/>
      <c r="Z476" s="1005"/>
      <c r="AA476" s="1005"/>
      <c r="AB476" s="1005"/>
      <c r="AC476" s="1005"/>
      <c r="AD476" s="1005"/>
      <c r="AE476" s="1005"/>
      <c r="AF476" s="1005"/>
      <c r="AG476" s="1005"/>
      <c r="AH476" s="1005"/>
      <c r="AI476" s="1005"/>
      <c r="AJ476" s="1005"/>
      <c r="AK476" s="1005"/>
      <c r="AL476" s="1005"/>
      <c r="AM476" s="1005"/>
      <c r="AN476" s="1005"/>
      <c r="AO476" s="1005"/>
      <c r="AP476" s="1005"/>
      <c r="AQ476" s="1005"/>
      <c r="AR476" s="1005"/>
      <c r="AS476" s="1005"/>
      <c r="AT476" s="1005"/>
      <c r="AU476" s="1005"/>
      <c r="AV476" s="1005"/>
      <c r="AW476" s="1005"/>
      <c r="AX476" s="1005"/>
      <c r="AY476" s="1005"/>
      <c r="AZ476" s="1005"/>
      <c r="BA476" s="1005"/>
      <c r="BB476" s="1005"/>
      <c r="BC476" s="1005"/>
      <c r="BD476" s="1005"/>
      <c r="BE476" s="204"/>
      <c r="BF476" s="205" t="s">
        <v>487</v>
      </c>
      <c r="BG476" s="204"/>
      <c r="BH476" s="204" t="s">
        <v>407</v>
      </c>
      <c r="BI476" s="205" t="s">
        <v>408</v>
      </c>
      <c r="BJ476" s="204"/>
      <c r="BK476" s="206"/>
    </row>
    <row r="477" spans="1:63" s="164" customFormat="1" ht="15.75" customHeight="1">
      <c r="A477" s="182" t="s">
        <v>411</v>
      </c>
      <c r="B477" s="183" t="s">
        <v>895</v>
      </c>
      <c r="C477" s="184"/>
      <c r="D477" s="184"/>
      <c r="E477" s="184"/>
      <c r="F477" s="184"/>
      <c r="G477" s="184"/>
      <c r="H477" s="184"/>
      <c r="I477" s="184"/>
      <c r="J477" s="184"/>
      <c r="K477" s="184"/>
      <c r="L477" s="193"/>
      <c r="M477" s="1005" t="s">
        <v>896</v>
      </c>
      <c r="N477" s="1005"/>
      <c r="O477" s="1005"/>
      <c r="P477" s="1005"/>
      <c r="Q477" s="1005"/>
      <c r="R477" s="1005"/>
      <c r="S477" s="1005"/>
      <c r="T477" s="1005"/>
      <c r="U477" s="1005"/>
      <c r="V477" s="1005"/>
      <c r="W477" s="1005"/>
      <c r="X477" s="1005"/>
      <c r="Y477" s="1005"/>
      <c r="Z477" s="1005"/>
      <c r="AA477" s="1005"/>
      <c r="AB477" s="1005"/>
      <c r="AC477" s="1005"/>
      <c r="AD477" s="1005"/>
      <c r="AE477" s="1005"/>
      <c r="AF477" s="1005"/>
      <c r="AG477" s="1005"/>
      <c r="AH477" s="1005"/>
      <c r="AI477" s="1005"/>
      <c r="AJ477" s="1005"/>
      <c r="AK477" s="1005"/>
      <c r="AL477" s="1005"/>
      <c r="AM477" s="1005"/>
      <c r="AN477" s="1005"/>
      <c r="AO477" s="1005"/>
      <c r="AP477" s="1005"/>
      <c r="AQ477" s="1005"/>
      <c r="AR477" s="1005"/>
      <c r="AS477" s="1005"/>
      <c r="AT477" s="1005"/>
      <c r="AU477" s="1005"/>
      <c r="AV477" s="1005"/>
      <c r="AW477" s="1005"/>
      <c r="AX477" s="1005"/>
      <c r="AY477" s="1005"/>
      <c r="AZ477" s="1005"/>
      <c r="BA477" s="1005"/>
      <c r="BB477" s="1005"/>
      <c r="BC477" s="1005"/>
      <c r="BD477" s="1005"/>
      <c r="BE477" s="204"/>
      <c r="BF477" s="205" t="s">
        <v>487</v>
      </c>
      <c r="BG477" s="204"/>
      <c r="BH477" s="204" t="s">
        <v>407</v>
      </c>
      <c r="BI477" s="205" t="s">
        <v>408</v>
      </c>
      <c r="BJ477" s="204"/>
      <c r="BK477" s="206"/>
    </row>
    <row r="478" spans="1:63" s="164" customFormat="1" ht="15.75" customHeight="1">
      <c r="A478" s="182" t="s">
        <v>411</v>
      </c>
      <c r="B478" s="183" t="s">
        <v>897</v>
      </c>
      <c r="C478" s="184"/>
      <c r="D478" s="184"/>
      <c r="E478" s="184"/>
      <c r="F478" s="184"/>
      <c r="G478" s="184"/>
      <c r="H478" s="184"/>
      <c r="I478" s="184"/>
      <c r="J478" s="184"/>
      <c r="K478" s="184"/>
      <c r="L478" s="193"/>
      <c r="M478" s="1005" t="s">
        <v>898</v>
      </c>
      <c r="N478" s="1005"/>
      <c r="O478" s="1005"/>
      <c r="P478" s="1005"/>
      <c r="Q478" s="1005"/>
      <c r="R478" s="1005"/>
      <c r="S478" s="1005"/>
      <c r="T478" s="1005"/>
      <c r="U478" s="1005"/>
      <c r="V478" s="1005"/>
      <c r="W478" s="1005"/>
      <c r="X478" s="1005"/>
      <c r="Y478" s="1005"/>
      <c r="Z478" s="1005"/>
      <c r="AA478" s="1005"/>
      <c r="AB478" s="1005"/>
      <c r="AC478" s="1005"/>
      <c r="AD478" s="1005"/>
      <c r="AE478" s="1005"/>
      <c r="AF478" s="1005"/>
      <c r="AG478" s="1005"/>
      <c r="AH478" s="1005"/>
      <c r="AI478" s="1005"/>
      <c r="AJ478" s="1005"/>
      <c r="AK478" s="1005"/>
      <c r="AL478" s="1005"/>
      <c r="AM478" s="1005"/>
      <c r="AN478" s="1005"/>
      <c r="AO478" s="1005"/>
      <c r="AP478" s="1005"/>
      <c r="AQ478" s="1005"/>
      <c r="AR478" s="1005"/>
      <c r="AS478" s="1005"/>
      <c r="AT478" s="1005"/>
      <c r="AU478" s="1005"/>
      <c r="AV478" s="1005"/>
      <c r="AW478" s="1005"/>
      <c r="AX478" s="1005"/>
      <c r="AY478" s="1005"/>
      <c r="AZ478" s="1005"/>
      <c r="BA478" s="1005"/>
      <c r="BB478" s="1005"/>
      <c r="BC478" s="1005"/>
      <c r="BD478" s="1005"/>
      <c r="BE478" s="204"/>
      <c r="BF478" s="205" t="s">
        <v>487</v>
      </c>
      <c r="BG478" s="204"/>
      <c r="BH478" s="204" t="s">
        <v>407</v>
      </c>
      <c r="BI478" s="205" t="s">
        <v>408</v>
      </c>
      <c r="BJ478" s="205" t="s">
        <v>409</v>
      </c>
      <c r="BK478" s="206"/>
    </row>
    <row r="479" spans="1:63" s="164" customFormat="1" ht="15.75" customHeight="1">
      <c r="A479" s="182" t="s">
        <v>411</v>
      </c>
      <c r="B479" s="183" t="s">
        <v>899</v>
      </c>
      <c r="C479" s="184"/>
      <c r="D479" s="184"/>
      <c r="E479" s="184"/>
      <c r="F479" s="184"/>
      <c r="G479" s="184"/>
      <c r="H479" s="184"/>
      <c r="I479" s="184"/>
      <c r="J479" s="184"/>
      <c r="K479" s="184"/>
      <c r="L479" s="193"/>
      <c r="M479" s="1005" t="s">
        <v>900</v>
      </c>
      <c r="N479" s="1005"/>
      <c r="O479" s="1005"/>
      <c r="P479" s="1005"/>
      <c r="Q479" s="1005"/>
      <c r="R479" s="1005"/>
      <c r="S479" s="1005"/>
      <c r="T479" s="1005"/>
      <c r="U479" s="1005"/>
      <c r="V479" s="1005"/>
      <c r="W479" s="1005"/>
      <c r="X479" s="1005"/>
      <c r="Y479" s="1005"/>
      <c r="Z479" s="1005"/>
      <c r="AA479" s="1005"/>
      <c r="AB479" s="1005"/>
      <c r="AC479" s="1005"/>
      <c r="AD479" s="1005"/>
      <c r="AE479" s="1005"/>
      <c r="AF479" s="1005"/>
      <c r="AG479" s="1005"/>
      <c r="AH479" s="1005"/>
      <c r="AI479" s="1005"/>
      <c r="AJ479" s="1005"/>
      <c r="AK479" s="1005"/>
      <c r="AL479" s="1005"/>
      <c r="AM479" s="1005"/>
      <c r="AN479" s="1005"/>
      <c r="AO479" s="1005"/>
      <c r="AP479" s="1005"/>
      <c r="AQ479" s="1005"/>
      <c r="AR479" s="1005"/>
      <c r="AS479" s="1005"/>
      <c r="AT479" s="1005"/>
      <c r="AU479" s="1005"/>
      <c r="AV479" s="1005"/>
      <c r="AW479" s="1005"/>
      <c r="AX479" s="1005"/>
      <c r="AY479" s="1005"/>
      <c r="AZ479" s="1005"/>
      <c r="BA479" s="1005"/>
      <c r="BB479" s="1005"/>
      <c r="BC479" s="1005"/>
      <c r="BD479" s="1005"/>
      <c r="BE479" s="204"/>
      <c r="BF479" s="205" t="s">
        <v>487</v>
      </c>
      <c r="BG479" s="204"/>
      <c r="BH479" s="204" t="s">
        <v>407</v>
      </c>
      <c r="BI479" s="205" t="s">
        <v>408</v>
      </c>
      <c r="BJ479" s="205" t="s">
        <v>409</v>
      </c>
      <c r="BK479" s="206"/>
    </row>
    <row r="480" spans="1:63" s="164" customFormat="1" ht="44.25" customHeight="1">
      <c r="A480" s="182" t="s">
        <v>411</v>
      </c>
      <c r="B480" s="183" t="s">
        <v>901</v>
      </c>
      <c r="C480" s="184"/>
      <c r="D480" s="184"/>
      <c r="E480" s="184"/>
      <c r="F480" s="184"/>
      <c r="G480" s="184"/>
      <c r="H480" s="184"/>
      <c r="I480" s="184"/>
      <c r="J480" s="184"/>
      <c r="K480" s="184"/>
      <c r="L480" s="193"/>
      <c r="M480" s="1005" t="s">
        <v>902</v>
      </c>
      <c r="N480" s="1005"/>
      <c r="O480" s="1005"/>
      <c r="P480" s="1005"/>
      <c r="Q480" s="1005"/>
      <c r="R480" s="1005"/>
      <c r="S480" s="1005"/>
      <c r="T480" s="1005"/>
      <c r="U480" s="1005"/>
      <c r="V480" s="1005"/>
      <c r="W480" s="1005"/>
      <c r="X480" s="1005"/>
      <c r="Y480" s="1005"/>
      <c r="Z480" s="1005"/>
      <c r="AA480" s="1005"/>
      <c r="AB480" s="1005"/>
      <c r="AC480" s="1005"/>
      <c r="AD480" s="1005"/>
      <c r="AE480" s="1005"/>
      <c r="AF480" s="1005"/>
      <c r="AG480" s="1005"/>
      <c r="AH480" s="1005"/>
      <c r="AI480" s="1005"/>
      <c r="AJ480" s="1005"/>
      <c r="AK480" s="1005"/>
      <c r="AL480" s="1005"/>
      <c r="AM480" s="1005"/>
      <c r="AN480" s="1005"/>
      <c r="AO480" s="1005"/>
      <c r="AP480" s="1005"/>
      <c r="AQ480" s="1005"/>
      <c r="AR480" s="1005"/>
      <c r="AS480" s="1005"/>
      <c r="AT480" s="1005"/>
      <c r="AU480" s="1005"/>
      <c r="AV480" s="1005"/>
      <c r="AW480" s="1005"/>
      <c r="AX480" s="1005"/>
      <c r="AY480" s="1005"/>
      <c r="AZ480" s="1005"/>
      <c r="BA480" s="1005"/>
      <c r="BB480" s="1005"/>
      <c r="BC480" s="1005"/>
      <c r="BD480" s="1005"/>
      <c r="BE480" s="205" t="s">
        <v>489</v>
      </c>
      <c r="BF480" s="205" t="s">
        <v>487</v>
      </c>
      <c r="BG480" s="204"/>
      <c r="BH480" s="204" t="s">
        <v>407</v>
      </c>
      <c r="BI480" s="205" t="s">
        <v>408</v>
      </c>
      <c r="BJ480" s="204"/>
      <c r="BK480" s="206"/>
    </row>
    <row r="481" spans="1:63" s="164" customFormat="1" ht="15.75" customHeight="1">
      <c r="A481" s="185"/>
      <c r="B481" s="183" t="s">
        <v>903</v>
      </c>
      <c r="C481" s="184"/>
      <c r="D481" s="184"/>
      <c r="E481" s="184"/>
      <c r="F481" s="184"/>
      <c r="G481" s="184"/>
      <c r="H481" s="184"/>
      <c r="I481" s="184"/>
      <c r="J481" s="184"/>
      <c r="K481" s="184"/>
      <c r="L481" s="193"/>
      <c r="M481" s="1005"/>
      <c r="N481" s="1005"/>
      <c r="O481" s="1005"/>
      <c r="P481" s="1005"/>
      <c r="Q481" s="1005"/>
      <c r="R481" s="1005"/>
      <c r="S481" s="1005"/>
      <c r="T481" s="1005"/>
      <c r="U481" s="1005"/>
      <c r="V481" s="1005"/>
      <c r="W481" s="1005"/>
      <c r="X481" s="1005"/>
      <c r="Y481" s="1005"/>
      <c r="Z481" s="1005"/>
      <c r="AA481" s="1005"/>
      <c r="AB481" s="1005"/>
      <c r="AC481" s="1005"/>
      <c r="AD481" s="1005"/>
      <c r="AE481" s="1005"/>
      <c r="AF481" s="1005"/>
      <c r="AG481" s="1005"/>
      <c r="AH481" s="1005"/>
      <c r="AI481" s="1005"/>
      <c r="AJ481" s="1005"/>
      <c r="AK481" s="1005"/>
      <c r="AL481" s="1005"/>
      <c r="AM481" s="1005"/>
      <c r="AN481" s="1005"/>
      <c r="AO481" s="1005"/>
      <c r="AP481" s="1005"/>
      <c r="AQ481" s="1005"/>
      <c r="AR481" s="1005"/>
      <c r="AS481" s="1005"/>
      <c r="AT481" s="1005"/>
      <c r="AU481" s="1005"/>
      <c r="AV481" s="1005"/>
      <c r="AW481" s="1005"/>
      <c r="AX481" s="1005"/>
      <c r="AY481" s="1005"/>
      <c r="AZ481" s="1005"/>
      <c r="BA481" s="1005"/>
      <c r="BB481" s="1005"/>
      <c r="BC481" s="1005"/>
      <c r="BD481" s="1005"/>
      <c r="BE481" s="204"/>
      <c r="BF481" s="205" t="s">
        <v>487</v>
      </c>
      <c r="BG481" s="204"/>
      <c r="BH481" s="204" t="s">
        <v>407</v>
      </c>
      <c r="BI481" s="204"/>
      <c r="BJ481" s="204"/>
      <c r="BK481" s="206"/>
    </row>
    <row r="482" spans="1:63" s="164" customFormat="1" ht="44.25" customHeight="1">
      <c r="A482" s="182" t="s">
        <v>411</v>
      </c>
      <c r="B482" s="183" t="s">
        <v>904</v>
      </c>
      <c r="C482" s="184"/>
      <c r="D482" s="184"/>
      <c r="E482" s="184"/>
      <c r="F482" s="184"/>
      <c r="G482" s="184"/>
      <c r="H482" s="184"/>
      <c r="I482" s="184"/>
      <c r="J482" s="184"/>
      <c r="K482" s="184"/>
      <c r="L482" s="193"/>
      <c r="M482" s="1005" t="s">
        <v>905</v>
      </c>
      <c r="N482" s="1005"/>
      <c r="O482" s="1005"/>
      <c r="P482" s="1005"/>
      <c r="Q482" s="1005"/>
      <c r="R482" s="1005"/>
      <c r="S482" s="1005"/>
      <c r="T482" s="1005"/>
      <c r="U482" s="1005"/>
      <c r="V482" s="1005"/>
      <c r="W482" s="1005"/>
      <c r="X482" s="1005"/>
      <c r="Y482" s="1005"/>
      <c r="Z482" s="1005"/>
      <c r="AA482" s="1005"/>
      <c r="AB482" s="1005"/>
      <c r="AC482" s="1005"/>
      <c r="AD482" s="1005"/>
      <c r="AE482" s="1005"/>
      <c r="AF482" s="1005"/>
      <c r="AG482" s="1005"/>
      <c r="AH482" s="1005"/>
      <c r="AI482" s="1005"/>
      <c r="AJ482" s="1005"/>
      <c r="AK482" s="1005"/>
      <c r="AL482" s="1005"/>
      <c r="AM482" s="1005"/>
      <c r="AN482" s="1005"/>
      <c r="AO482" s="1005"/>
      <c r="AP482" s="1005"/>
      <c r="AQ482" s="1005"/>
      <c r="AR482" s="1005"/>
      <c r="AS482" s="1005"/>
      <c r="AT482" s="1005"/>
      <c r="AU482" s="1005"/>
      <c r="AV482" s="1005"/>
      <c r="AW482" s="1005"/>
      <c r="AX482" s="1005"/>
      <c r="AY482" s="1005"/>
      <c r="AZ482" s="1005"/>
      <c r="BA482" s="1005"/>
      <c r="BB482" s="1005"/>
      <c r="BC482" s="1005"/>
      <c r="BD482" s="1005"/>
      <c r="BE482" s="205" t="s">
        <v>486</v>
      </c>
      <c r="BF482" s="205" t="s">
        <v>487</v>
      </c>
      <c r="BG482" s="204"/>
      <c r="BH482" s="204" t="s">
        <v>407</v>
      </c>
      <c r="BI482" s="205" t="s">
        <v>408</v>
      </c>
      <c r="BJ482" s="204"/>
      <c r="BK482" s="206"/>
    </row>
    <row r="483" spans="1:63" s="164" customFormat="1" ht="15.75" customHeight="1">
      <c r="A483" s="185"/>
      <c r="B483" s="183" t="s">
        <v>906</v>
      </c>
      <c r="C483" s="184"/>
      <c r="D483" s="184"/>
      <c r="E483" s="184"/>
      <c r="F483" s="184"/>
      <c r="G483" s="184"/>
      <c r="H483" s="184"/>
      <c r="I483" s="184"/>
      <c r="J483" s="184"/>
      <c r="K483" s="184"/>
      <c r="L483" s="193"/>
      <c r="M483" s="1005"/>
      <c r="N483" s="1005"/>
      <c r="O483" s="1005"/>
      <c r="P483" s="1005"/>
      <c r="Q483" s="1005"/>
      <c r="R483" s="1005"/>
      <c r="S483" s="1005"/>
      <c r="T483" s="1005"/>
      <c r="U483" s="1005"/>
      <c r="V483" s="1005"/>
      <c r="W483" s="1005"/>
      <c r="X483" s="1005"/>
      <c r="Y483" s="1005"/>
      <c r="Z483" s="1005"/>
      <c r="AA483" s="1005"/>
      <c r="AB483" s="1005"/>
      <c r="AC483" s="1005"/>
      <c r="AD483" s="1005"/>
      <c r="AE483" s="1005"/>
      <c r="AF483" s="1005"/>
      <c r="AG483" s="1005"/>
      <c r="AH483" s="1005"/>
      <c r="AI483" s="1005"/>
      <c r="AJ483" s="1005"/>
      <c r="AK483" s="1005"/>
      <c r="AL483" s="1005"/>
      <c r="AM483" s="1005"/>
      <c r="AN483" s="1005"/>
      <c r="AO483" s="1005"/>
      <c r="AP483" s="1005"/>
      <c r="AQ483" s="1005"/>
      <c r="AR483" s="1005"/>
      <c r="AS483" s="1005"/>
      <c r="AT483" s="1005"/>
      <c r="AU483" s="1005"/>
      <c r="AV483" s="1005"/>
      <c r="AW483" s="1005"/>
      <c r="AX483" s="1005"/>
      <c r="AY483" s="1005"/>
      <c r="AZ483" s="1005"/>
      <c r="BA483" s="1005"/>
      <c r="BB483" s="1005"/>
      <c r="BC483" s="1005"/>
      <c r="BD483" s="1005"/>
      <c r="BE483" s="204"/>
      <c r="BF483" s="205" t="s">
        <v>487</v>
      </c>
      <c r="BG483" s="204"/>
      <c r="BH483" s="204" t="s">
        <v>407</v>
      </c>
      <c r="BI483" s="204"/>
      <c r="BJ483" s="204"/>
      <c r="BK483" s="206"/>
    </row>
    <row r="484" spans="1:63" s="164" customFormat="1" ht="44.25" customHeight="1">
      <c r="A484" s="182" t="s">
        <v>411</v>
      </c>
      <c r="B484" s="183" t="s">
        <v>907</v>
      </c>
      <c r="C484" s="184"/>
      <c r="D484" s="184"/>
      <c r="E484" s="184"/>
      <c r="F484" s="184"/>
      <c r="G484" s="184"/>
      <c r="H484" s="184"/>
      <c r="I484" s="184"/>
      <c r="J484" s="184"/>
      <c r="K484" s="184"/>
      <c r="L484" s="193"/>
      <c r="M484" s="1010" t="s">
        <v>908</v>
      </c>
      <c r="N484" s="1010"/>
      <c r="O484" s="1010"/>
      <c r="P484" s="1010"/>
      <c r="Q484" s="1010"/>
      <c r="R484" s="1010"/>
      <c r="S484" s="1010"/>
      <c r="T484" s="1010"/>
      <c r="U484" s="1010"/>
      <c r="V484" s="1010"/>
      <c r="W484" s="1010"/>
      <c r="X484" s="1010"/>
      <c r="Y484" s="1010"/>
      <c r="Z484" s="1010"/>
      <c r="AA484" s="1010"/>
      <c r="AB484" s="1010"/>
      <c r="AC484" s="1010"/>
      <c r="AD484" s="1010"/>
      <c r="AE484" s="1010"/>
      <c r="AF484" s="1010"/>
      <c r="AG484" s="1010"/>
      <c r="AH484" s="1010"/>
      <c r="AI484" s="1010"/>
      <c r="AJ484" s="1010"/>
      <c r="AK484" s="1010"/>
      <c r="AL484" s="1010"/>
      <c r="AM484" s="1010"/>
      <c r="AN484" s="1010"/>
      <c r="AO484" s="1010"/>
      <c r="AP484" s="1010"/>
      <c r="AQ484" s="1010"/>
      <c r="AR484" s="1010"/>
      <c r="AS484" s="1010"/>
      <c r="AT484" s="1010"/>
      <c r="AU484" s="1010"/>
      <c r="AV484" s="1010"/>
      <c r="AW484" s="1010"/>
      <c r="AX484" s="1010"/>
      <c r="AY484" s="1010"/>
      <c r="AZ484" s="1010"/>
      <c r="BA484" s="1010"/>
      <c r="BB484" s="1010"/>
      <c r="BC484" s="1010"/>
      <c r="BD484" s="1010"/>
      <c r="BE484" s="205" t="s">
        <v>486</v>
      </c>
      <c r="BF484" s="205" t="s">
        <v>487</v>
      </c>
      <c r="BG484" s="204"/>
      <c r="BH484" s="204" t="s">
        <v>407</v>
      </c>
      <c r="BI484" s="205" t="s">
        <v>408</v>
      </c>
      <c r="BJ484" s="204"/>
      <c r="BK484" s="206"/>
    </row>
    <row r="485" spans="1:63" s="164" customFormat="1" ht="15.75" customHeight="1">
      <c r="A485" s="185"/>
      <c r="B485" s="183" t="s">
        <v>909</v>
      </c>
      <c r="C485" s="184"/>
      <c r="D485" s="184"/>
      <c r="E485" s="184"/>
      <c r="F485" s="184"/>
      <c r="G485" s="184"/>
      <c r="H485" s="184"/>
      <c r="I485" s="184"/>
      <c r="J485" s="184"/>
      <c r="K485" s="184"/>
      <c r="L485" s="193"/>
      <c r="M485" s="1005"/>
      <c r="N485" s="1005"/>
      <c r="O485" s="1005"/>
      <c r="P485" s="1005"/>
      <c r="Q485" s="1005"/>
      <c r="R485" s="1005"/>
      <c r="S485" s="1005"/>
      <c r="T485" s="1005"/>
      <c r="U485" s="1005"/>
      <c r="V485" s="1005"/>
      <c r="W485" s="1005"/>
      <c r="X485" s="1005"/>
      <c r="Y485" s="1005"/>
      <c r="Z485" s="1005"/>
      <c r="AA485" s="1005"/>
      <c r="AB485" s="1005"/>
      <c r="AC485" s="1005"/>
      <c r="AD485" s="1005"/>
      <c r="AE485" s="1005"/>
      <c r="AF485" s="1005"/>
      <c r="AG485" s="1005"/>
      <c r="AH485" s="1005"/>
      <c r="AI485" s="1005"/>
      <c r="AJ485" s="1005"/>
      <c r="AK485" s="1005"/>
      <c r="AL485" s="1005"/>
      <c r="AM485" s="1005"/>
      <c r="AN485" s="1005"/>
      <c r="AO485" s="1005"/>
      <c r="AP485" s="1005"/>
      <c r="AQ485" s="1005"/>
      <c r="AR485" s="1005"/>
      <c r="AS485" s="1005"/>
      <c r="AT485" s="1005"/>
      <c r="AU485" s="1005"/>
      <c r="AV485" s="1005"/>
      <c r="AW485" s="1005"/>
      <c r="AX485" s="1005"/>
      <c r="AY485" s="1005"/>
      <c r="AZ485" s="1005"/>
      <c r="BA485" s="1005"/>
      <c r="BB485" s="1005"/>
      <c r="BC485" s="1005"/>
      <c r="BD485" s="1005"/>
      <c r="BE485" s="204"/>
      <c r="BF485" s="205" t="s">
        <v>487</v>
      </c>
      <c r="BG485" s="204"/>
      <c r="BH485" s="204" t="s">
        <v>407</v>
      </c>
      <c r="BI485" s="204"/>
      <c r="BJ485" s="204"/>
      <c r="BK485" s="206"/>
    </row>
    <row r="486" spans="1:63" s="164" customFormat="1" ht="44.25" customHeight="1">
      <c r="A486" s="182" t="s">
        <v>411</v>
      </c>
      <c r="B486" s="183" t="s">
        <v>910</v>
      </c>
      <c r="C486" s="184"/>
      <c r="D486" s="184"/>
      <c r="E486" s="184"/>
      <c r="F486" s="184"/>
      <c r="G486" s="184"/>
      <c r="H486" s="184"/>
      <c r="I486" s="184"/>
      <c r="J486" s="184"/>
      <c r="K486" s="184"/>
      <c r="L486" s="193"/>
      <c r="M486" s="1005" t="s">
        <v>911</v>
      </c>
      <c r="N486" s="1005"/>
      <c r="O486" s="1005"/>
      <c r="P486" s="1005"/>
      <c r="Q486" s="1005"/>
      <c r="R486" s="1005"/>
      <c r="S486" s="1005"/>
      <c r="T486" s="1005"/>
      <c r="U486" s="1005"/>
      <c r="V486" s="1005"/>
      <c r="W486" s="1005"/>
      <c r="X486" s="1005"/>
      <c r="Y486" s="1005"/>
      <c r="Z486" s="1005"/>
      <c r="AA486" s="1005"/>
      <c r="AB486" s="1005"/>
      <c r="AC486" s="1005"/>
      <c r="AD486" s="1005"/>
      <c r="AE486" s="1005"/>
      <c r="AF486" s="1005"/>
      <c r="AG486" s="1005"/>
      <c r="AH486" s="1005"/>
      <c r="AI486" s="1005"/>
      <c r="AJ486" s="1005"/>
      <c r="AK486" s="1005"/>
      <c r="AL486" s="1005"/>
      <c r="AM486" s="1005"/>
      <c r="AN486" s="1005"/>
      <c r="AO486" s="1005"/>
      <c r="AP486" s="1005"/>
      <c r="AQ486" s="1005"/>
      <c r="AR486" s="1005"/>
      <c r="AS486" s="1005"/>
      <c r="AT486" s="1005"/>
      <c r="AU486" s="1005"/>
      <c r="AV486" s="1005"/>
      <c r="AW486" s="1005"/>
      <c r="AX486" s="1005"/>
      <c r="AY486" s="1005"/>
      <c r="AZ486" s="1005"/>
      <c r="BA486" s="1005"/>
      <c r="BB486" s="1005"/>
      <c r="BC486" s="1005"/>
      <c r="BD486" s="1005"/>
      <c r="BE486" s="204"/>
      <c r="BF486" s="205" t="s">
        <v>487</v>
      </c>
      <c r="BG486" s="204"/>
      <c r="BH486" s="204" t="s">
        <v>407</v>
      </c>
      <c r="BI486" s="205" t="s">
        <v>408</v>
      </c>
      <c r="BJ486" s="204"/>
      <c r="BK486" s="206"/>
    </row>
    <row r="487" spans="1:63" s="164" customFormat="1" ht="44.25" customHeight="1">
      <c r="A487" s="182" t="s">
        <v>411</v>
      </c>
      <c r="B487" s="183" t="s">
        <v>912</v>
      </c>
      <c r="C487" s="184"/>
      <c r="D487" s="184"/>
      <c r="E487" s="184"/>
      <c r="F487" s="184"/>
      <c r="G487" s="184"/>
      <c r="H487" s="184"/>
      <c r="I487" s="184"/>
      <c r="J487" s="184"/>
      <c r="K487" s="184"/>
      <c r="L487" s="193"/>
      <c r="M487" s="1005" t="s">
        <v>913</v>
      </c>
      <c r="N487" s="1005"/>
      <c r="O487" s="1005"/>
      <c r="P487" s="1005"/>
      <c r="Q487" s="1005"/>
      <c r="R487" s="1005"/>
      <c r="S487" s="1005"/>
      <c r="T487" s="1005"/>
      <c r="U487" s="1005"/>
      <c r="V487" s="1005"/>
      <c r="W487" s="1005"/>
      <c r="X487" s="1005"/>
      <c r="Y487" s="1005"/>
      <c r="Z487" s="1005"/>
      <c r="AA487" s="1005"/>
      <c r="AB487" s="1005"/>
      <c r="AC487" s="1005"/>
      <c r="AD487" s="1005"/>
      <c r="AE487" s="1005"/>
      <c r="AF487" s="1005"/>
      <c r="AG487" s="1005"/>
      <c r="AH487" s="1005"/>
      <c r="AI487" s="1005"/>
      <c r="AJ487" s="1005"/>
      <c r="AK487" s="1005"/>
      <c r="AL487" s="1005"/>
      <c r="AM487" s="1005"/>
      <c r="AN487" s="1005"/>
      <c r="AO487" s="1005"/>
      <c r="AP487" s="1005"/>
      <c r="AQ487" s="1005"/>
      <c r="AR487" s="1005"/>
      <c r="AS487" s="1005"/>
      <c r="AT487" s="1005"/>
      <c r="AU487" s="1005"/>
      <c r="AV487" s="1005"/>
      <c r="AW487" s="1005"/>
      <c r="AX487" s="1005"/>
      <c r="AY487" s="1005"/>
      <c r="AZ487" s="1005"/>
      <c r="BA487" s="1005"/>
      <c r="BB487" s="1005"/>
      <c r="BC487" s="1005"/>
      <c r="BD487" s="1005"/>
      <c r="BE487" s="204"/>
      <c r="BF487" s="205" t="s">
        <v>487</v>
      </c>
      <c r="BG487" s="204"/>
      <c r="BH487" s="204" t="s">
        <v>407</v>
      </c>
      <c r="BI487" s="205" t="s">
        <v>408</v>
      </c>
      <c r="BJ487" s="204"/>
      <c r="BK487" s="206"/>
    </row>
    <row r="488" spans="1:63" s="164" customFormat="1" ht="44.25" customHeight="1">
      <c r="A488" s="182" t="s">
        <v>411</v>
      </c>
      <c r="B488" s="183" t="s">
        <v>914</v>
      </c>
      <c r="C488" s="184"/>
      <c r="D488" s="184"/>
      <c r="E488" s="184"/>
      <c r="F488" s="184"/>
      <c r="G488" s="184"/>
      <c r="H488" s="184"/>
      <c r="I488" s="184"/>
      <c r="J488" s="184"/>
      <c r="K488" s="184"/>
      <c r="L488" s="193"/>
      <c r="M488" s="1005" t="s">
        <v>915</v>
      </c>
      <c r="N488" s="1005"/>
      <c r="O488" s="1005"/>
      <c r="P488" s="1005"/>
      <c r="Q488" s="1005"/>
      <c r="R488" s="1005"/>
      <c r="S488" s="1005"/>
      <c r="T488" s="1005"/>
      <c r="U488" s="1005"/>
      <c r="V488" s="1005"/>
      <c r="W488" s="1005"/>
      <c r="X488" s="1005"/>
      <c r="Y488" s="1005"/>
      <c r="Z488" s="1005"/>
      <c r="AA488" s="1005"/>
      <c r="AB488" s="1005"/>
      <c r="AC488" s="1005"/>
      <c r="AD488" s="1005"/>
      <c r="AE488" s="1005"/>
      <c r="AF488" s="1005"/>
      <c r="AG488" s="1005"/>
      <c r="AH488" s="1005"/>
      <c r="AI488" s="1005"/>
      <c r="AJ488" s="1005"/>
      <c r="AK488" s="1005"/>
      <c r="AL488" s="1005"/>
      <c r="AM488" s="1005"/>
      <c r="AN488" s="1005"/>
      <c r="AO488" s="1005"/>
      <c r="AP488" s="1005"/>
      <c r="AQ488" s="1005"/>
      <c r="AR488" s="1005"/>
      <c r="AS488" s="1005"/>
      <c r="AT488" s="1005"/>
      <c r="AU488" s="1005"/>
      <c r="AV488" s="1005"/>
      <c r="AW488" s="1005"/>
      <c r="AX488" s="1005"/>
      <c r="AY488" s="1005"/>
      <c r="AZ488" s="1005"/>
      <c r="BA488" s="1005"/>
      <c r="BB488" s="1005"/>
      <c r="BC488" s="1005"/>
      <c r="BD488" s="1005"/>
      <c r="BE488" s="204"/>
      <c r="BF488" s="205" t="s">
        <v>487</v>
      </c>
      <c r="BG488" s="204"/>
      <c r="BH488" s="204" t="s">
        <v>407</v>
      </c>
      <c r="BI488" s="205" t="s">
        <v>408</v>
      </c>
      <c r="BJ488" s="204"/>
      <c r="BK488" s="206"/>
    </row>
    <row r="489" spans="1:63" s="164" customFormat="1" ht="15.75" customHeight="1">
      <c r="A489" s="182" t="s">
        <v>411</v>
      </c>
      <c r="B489" s="183" t="s">
        <v>916</v>
      </c>
      <c r="C489" s="184"/>
      <c r="D489" s="184"/>
      <c r="E489" s="184"/>
      <c r="F489" s="184"/>
      <c r="G489" s="184"/>
      <c r="H489" s="184"/>
      <c r="I489" s="184"/>
      <c r="J489" s="184"/>
      <c r="K489" s="184"/>
      <c r="L489" s="193"/>
      <c r="M489" s="1003"/>
      <c r="N489" s="1002"/>
      <c r="O489" s="1002"/>
      <c r="P489" s="1002"/>
      <c r="Q489" s="1002"/>
      <c r="R489" s="1002"/>
      <c r="S489" s="1002"/>
      <c r="T489" s="1002"/>
      <c r="U489" s="1002"/>
      <c r="V489" s="1002"/>
      <c r="W489" s="1002"/>
      <c r="X489" s="1002"/>
      <c r="Y489" s="1002"/>
      <c r="Z489" s="1002"/>
      <c r="AA489" s="1002"/>
      <c r="AB489" s="1002"/>
      <c r="AC489" s="1002"/>
      <c r="AD489" s="1002"/>
      <c r="AE489" s="1002"/>
      <c r="AF489" s="1002"/>
      <c r="AG489" s="1002"/>
      <c r="AH489" s="1002"/>
      <c r="AI489" s="1002"/>
      <c r="AJ489" s="1002"/>
      <c r="AK489" s="1002"/>
      <c r="AL489" s="1002"/>
      <c r="AM489" s="1002"/>
      <c r="AN489" s="1002"/>
      <c r="AO489" s="1002"/>
      <c r="AP489" s="1002"/>
      <c r="AQ489" s="1002"/>
      <c r="AR489" s="1002"/>
      <c r="AS489" s="1002"/>
      <c r="AT489" s="1002"/>
      <c r="AU489" s="1002"/>
      <c r="AV489" s="1002"/>
      <c r="AW489" s="1002"/>
      <c r="AX489" s="1002"/>
      <c r="AY489" s="1002"/>
      <c r="AZ489" s="1002"/>
      <c r="BA489" s="1002"/>
      <c r="BB489" s="1002"/>
      <c r="BC489" s="1002"/>
      <c r="BD489" s="1002"/>
      <c r="BE489" s="205" t="s">
        <v>486</v>
      </c>
      <c r="BF489" s="205" t="s">
        <v>487</v>
      </c>
      <c r="BG489" s="204"/>
      <c r="BH489" s="204" t="s">
        <v>407</v>
      </c>
      <c r="BI489" s="205" t="s">
        <v>408</v>
      </c>
      <c r="BJ489" s="204"/>
      <c r="BK489" s="206"/>
    </row>
    <row r="490" spans="1:63" s="164" customFormat="1" ht="15.75" customHeight="1">
      <c r="A490" s="185"/>
      <c r="B490" s="183" t="s">
        <v>917</v>
      </c>
      <c r="C490" s="184"/>
      <c r="D490" s="184"/>
      <c r="E490" s="184"/>
      <c r="F490" s="184"/>
      <c r="G490" s="184"/>
      <c r="H490" s="184"/>
      <c r="I490" s="184"/>
      <c r="J490" s="184"/>
      <c r="K490" s="184"/>
      <c r="L490" s="193"/>
      <c r="M490" s="1003"/>
      <c r="N490" s="1002"/>
      <c r="O490" s="1002"/>
      <c r="P490" s="1002"/>
      <c r="Q490" s="1002"/>
      <c r="R490" s="1002"/>
      <c r="S490" s="1002"/>
      <c r="T490" s="1002"/>
      <c r="U490" s="1002"/>
      <c r="V490" s="1002"/>
      <c r="W490" s="1002"/>
      <c r="X490" s="1002"/>
      <c r="Y490" s="1002"/>
      <c r="Z490" s="1002"/>
      <c r="AA490" s="1002"/>
      <c r="AB490" s="1002"/>
      <c r="AC490" s="1002"/>
      <c r="AD490" s="1002"/>
      <c r="AE490" s="1002"/>
      <c r="AF490" s="1002"/>
      <c r="AG490" s="1002"/>
      <c r="AH490" s="1002"/>
      <c r="AI490" s="1002"/>
      <c r="AJ490" s="1002"/>
      <c r="AK490" s="1002"/>
      <c r="AL490" s="1002"/>
      <c r="AM490" s="1002"/>
      <c r="AN490" s="1002"/>
      <c r="AO490" s="1002"/>
      <c r="AP490" s="1002"/>
      <c r="AQ490" s="1002"/>
      <c r="AR490" s="1002"/>
      <c r="AS490" s="1002"/>
      <c r="AT490" s="1002"/>
      <c r="AU490" s="1002"/>
      <c r="AV490" s="1002"/>
      <c r="AW490" s="1002"/>
      <c r="AX490" s="1002"/>
      <c r="AY490" s="1002"/>
      <c r="AZ490" s="1002"/>
      <c r="BA490" s="1002"/>
      <c r="BB490" s="1002"/>
      <c r="BC490" s="1002"/>
      <c r="BD490" s="1002"/>
      <c r="BE490" s="204"/>
      <c r="BF490" s="205" t="s">
        <v>487</v>
      </c>
      <c r="BG490" s="204"/>
      <c r="BH490" s="204" t="s">
        <v>407</v>
      </c>
      <c r="BI490" s="204"/>
      <c r="BJ490" s="204"/>
      <c r="BK490" s="206"/>
    </row>
    <row r="491" spans="1:63" s="164" customFormat="1" ht="15.75" customHeight="1">
      <c r="A491" s="182" t="s">
        <v>411</v>
      </c>
      <c r="B491" s="183" t="s">
        <v>918</v>
      </c>
      <c r="C491" s="184"/>
      <c r="D491" s="184"/>
      <c r="E491" s="184"/>
      <c r="F491" s="184"/>
      <c r="G491" s="184"/>
      <c r="H491" s="184"/>
      <c r="I491" s="184"/>
      <c r="J491" s="184"/>
      <c r="K491" s="184"/>
      <c r="L491" s="193"/>
      <c r="M491" s="1003"/>
      <c r="N491" s="1002"/>
      <c r="O491" s="1002"/>
      <c r="P491" s="1002"/>
      <c r="Q491" s="1002"/>
      <c r="R491" s="1002"/>
      <c r="S491" s="1002"/>
      <c r="T491" s="1002"/>
      <c r="U491" s="1002"/>
      <c r="V491" s="1002"/>
      <c r="W491" s="1002"/>
      <c r="X491" s="1002"/>
      <c r="Y491" s="1002"/>
      <c r="Z491" s="1002"/>
      <c r="AA491" s="1002"/>
      <c r="AB491" s="1002"/>
      <c r="AC491" s="1002"/>
      <c r="AD491" s="1002"/>
      <c r="AE491" s="1002"/>
      <c r="AF491" s="1002"/>
      <c r="AG491" s="1002"/>
      <c r="AH491" s="1002"/>
      <c r="AI491" s="1002"/>
      <c r="AJ491" s="1002"/>
      <c r="AK491" s="1002"/>
      <c r="AL491" s="1002"/>
      <c r="AM491" s="1002"/>
      <c r="AN491" s="1002"/>
      <c r="AO491" s="1002"/>
      <c r="AP491" s="1002"/>
      <c r="AQ491" s="1002"/>
      <c r="AR491" s="1002"/>
      <c r="AS491" s="1002"/>
      <c r="AT491" s="1002"/>
      <c r="AU491" s="1002"/>
      <c r="AV491" s="1002"/>
      <c r="AW491" s="1002"/>
      <c r="AX491" s="1002"/>
      <c r="AY491" s="1002"/>
      <c r="AZ491" s="1002"/>
      <c r="BA491" s="1002"/>
      <c r="BB491" s="1002"/>
      <c r="BC491" s="1002"/>
      <c r="BD491" s="1002"/>
      <c r="BE491" s="204"/>
      <c r="BF491" s="205" t="s">
        <v>487</v>
      </c>
      <c r="BG491" s="204"/>
      <c r="BH491" s="204" t="s">
        <v>407</v>
      </c>
      <c r="BI491" s="205" t="s">
        <v>408</v>
      </c>
      <c r="BJ491" s="204"/>
      <c r="BK491" s="206"/>
    </row>
    <row r="492" spans="1:63" s="164" customFormat="1" ht="15.75" customHeight="1">
      <c r="A492" s="182" t="s">
        <v>411</v>
      </c>
      <c r="B492" s="183" t="s">
        <v>919</v>
      </c>
      <c r="C492" s="184"/>
      <c r="D492" s="184"/>
      <c r="E492" s="184"/>
      <c r="F492" s="184"/>
      <c r="G492" s="184"/>
      <c r="H492" s="184"/>
      <c r="I492" s="184"/>
      <c r="J492" s="184"/>
      <c r="K492" s="184"/>
      <c r="L492" s="193"/>
      <c r="M492" s="1003"/>
      <c r="N492" s="1002"/>
      <c r="O492" s="1002"/>
      <c r="P492" s="1002"/>
      <c r="Q492" s="1002"/>
      <c r="R492" s="1002"/>
      <c r="S492" s="1002"/>
      <c r="T492" s="1002"/>
      <c r="U492" s="1002"/>
      <c r="V492" s="1002"/>
      <c r="W492" s="1002"/>
      <c r="X492" s="1002"/>
      <c r="Y492" s="1002"/>
      <c r="Z492" s="1002"/>
      <c r="AA492" s="1002"/>
      <c r="AB492" s="1002"/>
      <c r="AC492" s="1002"/>
      <c r="AD492" s="1002"/>
      <c r="AE492" s="1002"/>
      <c r="AF492" s="1002"/>
      <c r="AG492" s="1002"/>
      <c r="AH492" s="1002"/>
      <c r="AI492" s="1002"/>
      <c r="AJ492" s="1002"/>
      <c r="AK492" s="1002"/>
      <c r="AL492" s="1002"/>
      <c r="AM492" s="1002"/>
      <c r="AN492" s="1002"/>
      <c r="AO492" s="1002"/>
      <c r="AP492" s="1002"/>
      <c r="AQ492" s="1002"/>
      <c r="AR492" s="1002"/>
      <c r="AS492" s="1002"/>
      <c r="AT492" s="1002"/>
      <c r="AU492" s="1002"/>
      <c r="AV492" s="1002"/>
      <c r="AW492" s="1002"/>
      <c r="AX492" s="1002"/>
      <c r="AY492" s="1002"/>
      <c r="AZ492" s="1002"/>
      <c r="BA492" s="1002"/>
      <c r="BB492" s="1002"/>
      <c r="BC492" s="1002"/>
      <c r="BD492" s="1002"/>
      <c r="BE492" s="205" t="s">
        <v>486</v>
      </c>
      <c r="BF492" s="205" t="s">
        <v>487</v>
      </c>
      <c r="BG492" s="204"/>
      <c r="BH492" s="204" t="s">
        <v>407</v>
      </c>
      <c r="BI492" s="205" t="s">
        <v>408</v>
      </c>
      <c r="BJ492" s="204"/>
      <c r="BK492" s="206"/>
    </row>
    <row r="493" spans="1:63" s="164" customFormat="1" ht="15.75" customHeight="1">
      <c r="A493" s="185"/>
      <c r="B493" s="183" t="s">
        <v>920</v>
      </c>
      <c r="C493" s="184"/>
      <c r="D493" s="184"/>
      <c r="E493" s="184"/>
      <c r="F493" s="184"/>
      <c r="G493" s="184"/>
      <c r="H493" s="184"/>
      <c r="I493" s="184"/>
      <c r="J493" s="184"/>
      <c r="K493" s="184"/>
      <c r="L493" s="193"/>
      <c r="M493" s="1003"/>
      <c r="N493" s="1002"/>
      <c r="O493" s="1002"/>
      <c r="P493" s="1002"/>
      <c r="Q493" s="1002"/>
      <c r="R493" s="1002"/>
      <c r="S493" s="1002"/>
      <c r="T493" s="1002"/>
      <c r="U493" s="1002"/>
      <c r="V493" s="1002"/>
      <c r="W493" s="1002"/>
      <c r="X493" s="1002"/>
      <c r="Y493" s="1002"/>
      <c r="Z493" s="1002"/>
      <c r="AA493" s="1002"/>
      <c r="AB493" s="1002"/>
      <c r="AC493" s="1002"/>
      <c r="AD493" s="1002"/>
      <c r="AE493" s="1002"/>
      <c r="AF493" s="1002"/>
      <c r="AG493" s="1002"/>
      <c r="AH493" s="1002"/>
      <c r="AI493" s="1002"/>
      <c r="AJ493" s="1002"/>
      <c r="AK493" s="1002"/>
      <c r="AL493" s="1002"/>
      <c r="AM493" s="1002"/>
      <c r="AN493" s="1002"/>
      <c r="AO493" s="1002"/>
      <c r="AP493" s="1002"/>
      <c r="AQ493" s="1002"/>
      <c r="AR493" s="1002"/>
      <c r="AS493" s="1002"/>
      <c r="AT493" s="1002"/>
      <c r="AU493" s="1002"/>
      <c r="AV493" s="1002"/>
      <c r="AW493" s="1002"/>
      <c r="AX493" s="1002"/>
      <c r="AY493" s="1002"/>
      <c r="AZ493" s="1002"/>
      <c r="BA493" s="1002"/>
      <c r="BB493" s="1002"/>
      <c r="BC493" s="1002"/>
      <c r="BD493" s="1002"/>
      <c r="BE493" s="204"/>
      <c r="BF493" s="205" t="s">
        <v>487</v>
      </c>
      <c r="BG493" s="204"/>
      <c r="BH493" s="204" t="s">
        <v>407</v>
      </c>
      <c r="BI493" s="204"/>
      <c r="BJ493" s="204"/>
      <c r="BK493" s="206"/>
    </row>
    <row r="494" spans="1:63" s="164" customFormat="1" ht="15.75" customHeight="1">
      <c r="A494" s="182" t="s">
        <v>411</v>
      </c>
      <c r="B494" s="183" t="s">
        <v>921</v>
      </c>
      <c r="C494" s="184"/>
      <c r="D494" s="184"/>
      <c r="E494" s="184"/>
      <c r="F494" s="184"/>
      <c r="G494" s="184"/>
      <c r="H494" s="184"/>
      <c r="I494" s="184"/>
      <c r="J494" s="184"/>
      <c r="K494" s="184"/>
      <c r="L494" s="193"/>
      <c r="M494" s="1003"/>
      <c r="N494" s="1002"/>
      <c r="O494" s="1002"/>
      <c r="P494" s="1002"/>
      <c r="Q494" s="1002"/>
      <c r="R494" s="1002"/>
      <c r="S494" s="1002"/>
      <c r="T494" s="1002"/>
      <c r="U494" s="1002"/>
      <c r="V494" s="1002"/>
      <c r="W494" s="1002"/>
      <c r="X494" s="1002"/>
      <c r="Y494" s="1002"/>
      <c r="Z494" s="1002"/>
      <c r="AA494" s="1002"/>
      <c r="AB494" s="1002"/>
      <c r="AC494" s="1002"/>
      <c r="AD494" s="1002"/>
      <c r="AE494" s="1002"/>
      <c r="AF494" s="1002"/>
      <c r="AG494" s="1002"/>
      <c r="AH494" s="1002"/>
      <c r="AI494" s="1002"/>
      <c r="AJ494" s="1002"/>
      <c r="AK494" s="1002"/>
      <c r="AL494" s="1002"/>
      <c r="AM494" s="1002"/>
      <c r="AN494" s="1002"/>
      <c r="AO494" s="1002"/>
      <c r="AP494" s="1002"/>
      <c r="AQ494" s="1002"/>
      <c r="AR494" s="1002"/>
      <c r="AS494" s="1002"/>
      <c r="AT494" s="1002"/>
      <c r="AU494" s="1002"/>
      <c r="AV494" s="1002"/>
      <c r="AW494" s="1002"/>
      <c r="AX494" s="1002"/>
      <c r="AY494" s="1002"/>
      <c r="AZ494" s="1002"/>
      <c r="BA494" s="1002"/>
      <c r="BB494" s="1002"/>
      <c r="BC494" s="1002"/>
      <c r="BD494" s="1002"/>
      <c r="BE494" s="204"/>
      <c r="BF494" s="205" t="s">
        <v>487</v>
      </c>
      <c r="BG494" s="204"/>
      <c r="BH494" s="204" t="s">
        <v>407</v>
      </c>
      <c r="BI494" s="205" t="s">
        <v>408</v>
      </c>
      <c r="BJ494" s="204"/>
      <c r="BK494" s="206"/>
    </row>
    <row r="495" spans="1:63" s="164" customFormat="1" ht="15.75" customHeight="1">
      <c r="A495" s="182" t="s">
        <v>411</v>
      </c>
      <c r="B495" s="183" t="s">
        <v>922</v>
      </c>
      <c r="C495" s="184"/>
      <c r="D495" s="184"/>
      <c r="E495" s="184"/>
      <c r="F495" s="184"/>
      <c r="G495" s="184"/>
      <c r="H495" s="184"/>
      <c r="I495" s="184"/>
      <c r="J495" s="184"/>
      <c r="K495" s="184"/>
      <c r="L495" s="193"/>
      <c r="M495" s="1003"/>
      <c r="N495" s="1002"/>
      <c r="O495" s="1002"/>
      <c r="P495" s="1002"/>
      <c r="Q495" s="1002"/>
      <c r="R495" s="1002"/>
      <c r="S495" s="1002"/>
      <c r="T495" s="1002"/>
      <c r="U495" s="1002"/>
      <c r="V495" s="1002"/>
      <c r="W495" s="1002"/>
      <c r="X495" s="1002"/>
      <c r="Y495" s="1002"/>
      <c r="Z495" s="1002"/>
      <c r="AA495" s="1002"/>
      <c r="AB495" s="1002"/>
      <c r="AC495" s="1002"/>
      <c r="AD495" s="1002"/>
      <c r="AE495" s="1002"/>
      <c r="AF495" s="1002"/>
      <c r="AG495" s="1002"/>
      <c r="AH495" s="1002"/>
      <c r="AI495" s="1002"/>
      <c r="AJ495" s="1002"/>
      <c r="AK495" s="1002"/>
      <c r="AL495" s="1002"/>
      <c r="AM495" s="1002"/>
      <c r="AN495" s="1002"/>
      <c r="AO495" s="1002"/>
      <c r="AP495" s="1002"/>
      <c r="AQ495" s="1002"/>
      <c r="AR495" s="1002"/>
      <c r="AS495" s="1002"/>
      <c r="AT495" s="1002"/>
      <c r="AU495" s="1002"/>
      <c r="AV495" s="1002"/>
      <c r="AW495" s="1002"/>
      <c r="AX495" s="1002"/>
      <c r="AY495" s="1002"/>
      <c r="AZ495" s="1002"/>
      <c r="BA495" s="1002"/>
      <c r="BB495" s="1002"/>
      <c r="BC495" s="1002"/>
      <c r="BD495" s="1002"/>
      <c r="BE495" s="205" t="s">
        <v>486</v>
      </c>
      <c r="BF495" s="205" t="s">
        <v>487</v>
      </c>
      <c r="BG495" s="204"/>
      <c r="BH495" s="204" t="s">
        <v>407</v>
      </c>
      <c r="BI495" s="205" t="s">
        <v>408</v>
      </c>
      <c r="BJ495" s="204"/>
      <c r="BK495" s="206"/>
    </row>
    <row r="496" spans="1:63" s="164" customFormat="1" ht="15.75" customHeight="1">
      <c r="A496" s="185"/>
      <c r="B496" s="183" t="s">
        <v>923</v>
      </c>
      <c r="C496" s="184"/>
      <c r="D496" s="184"/>
      <c r="E496" s="184"/>
      <c r="F496" s="184"/>
      <c r="G496" s="184"/>
      <c r="H496" s="184"/>
      <c r="I496" s="184"/>
      <c r="J496" s="184"/>
      <c r="K496" s="184"/>
      <c r="L496" s="193"/>
      <c r="M496" s="1003"/>
      <c r="N496" s="1002"/>
      <c r="O496" s="1002"/>
      <c r="P496" s="1002"/>
      <c r="Q496" s="1002"/>
      <c r="R496" s="1002"/>
      <c r="S496" s="1002"/>
      <c r="T496" s="1002"/>
      <c r="U496" s="1002"/>
      <c r="V496" s="1002"/>
      <c r="W496" s="1002"/>
      <c r="X496" s="1002"/>
      <c r="Y496" s="1002"/>
      <c r="Z496" s="1002"/>
      <c r="AA496" s="1002"/>
      <c r="AB496" s="1002"/>
      <c r="AC496" s="1002"/>
      <c r="AD496" s="1002"/>
      <c r="AE496" s="1002"/>
      <c r="AF496" s="1002"/>
      <c r="AG496" s="1002"/>
      <c r="AH496" s="1002"/>
      <c r="AI496" s="1002"/>
      <c r="AJ496" s="1002"/>
      <c r="AK496" s="1002"/>
      <c r="AL496" s="1002"/>
      <c r="AM496" s="1002"/>
      <c r="AN496" s="1002"/>
      <c r="AO496" s="1002"/>
      <c r="AP496" s="1002"/>
      <c r="AQ496" s="1002"/>
      <c r="AR496" s="1002"/>
      <c r="AS496" s="1002"/>
      <c r="AT496" s="1002"/>
      <c r="AU496" s="1002"/>
      <c r="AV496" s="1002"/>
      <c r="AW496" s="1002"/>
      <c r="AX496" s="1002"/>
      <c r="AY496" s="1002"/>
      <c r="AZ496" s="1002"/>
      <c r="BA496" s="1002"/>
      <c r="BB496" s="1002"/>
      <c r="BC496" s="1002"/>
      <c r="BD496" s="1002"/>
      <c r="BE496" s="204"/>
      <c r="BF496" s="205" t="s">
        <v>487</v>
      </c>
      <c r="BG496" s="204"/>
      <c r="BH496" s="204" t="s">
        <v>407</v>
      </c>
      <c r="BI496" s="204"/>
      <c r="BJ496" s="204"/>
      <c r="BK496" s="206"/>
    </row>
    <row r="497" spans="1:63" s="164" customFormat="1" ht="15.75" customHeight="1">
      <c r="A497" s="182" t="s">
        <v>411</v>
      </c>
      <c r="B497" s="183" t="s">
        <v>924</v>
      </c>
      <c r="C497" s="184"/>
      <c r="D497" s="184"/>
      <c r="E497" s="184"/>
      <c r="F497" s="184"/>
      <c r="G497" s="184"/>
      <c r="H497" s="184"/>
      <c r="I497" s="184"/>
      <c r="J497" s="184"/>
      <c r="K497" s="184"/>
      <c r="L497" s="193"/>
      <c r="M497" s="1003"/>
      <c r="N497" s="1002"/>
      <c r="O497" s="1002"/>
      <c r="P497" s="1002"/>
      <c r="Q497" s="1002"/>
      <c r="R497" s="1002"/>
      <c r="S497" s="1002"/>
      <c r="T497" s="1002"/>
      <c r="U497" s="1002"/>
      <c r="V497" s="1002"/>
      <c r="W497" s="1002"/>
      <c r="X497" s="1002"/>
      <c r="Y497" s="1002"/>
      <c r="Z497" s="1002"/>
      <c r="AA497" s="1002"/>
      <c r="AB497" s="1002"/>
      <c r="AC497" s="1002"/>
      <c r="AD497" s="1002"/>
      <c r="AE497" s="1002"/>
      <c r="AF497" s="1002"/>
      <c r="AG497" s="1002"/>
      <c r="AH497" s="1002"/>
      <c r="AI497" s="1002"/>
      <c r="AJ497" s="1002"/>
      <c r="AK497" s="1002"/>
      <c r="AL497" s="1002"/>
      <c r="AM497" s="1002"/>
      <c r="AN497" s="1002"/>
      <c r="AO497" s="1002"/>
      <c r="AP497" s="1002"/>
      <c r="AQ497" s="1002"/>
      <c r="AR497" s="1002"/>
      <c r="AS497" s="1002"/>
      <c r="AT497" s="1002"/>
      <c r="AU497" s="1002"/>
      <c r="AV497" s="1002"/>
      <c r="AW497" s="1002"/>
      <c r="AX497" s="1002"/>
      <c r="AY497" s="1002"/>
      <c r="AZ497" s="1002"/>
      <c r="BA497" s="1002"/>
      <c r="BB497" s="1002"/>
      <c r="BC497" s="1002"/>
      <c r="BD497" s="1002"/>
      <c r="BE497" s="204"/>
      <c r="BF497" s="205" t="s">
        <v>487</v>
      </c>
      <c r="BG497" s="204"/>
      <c r="BH497" s="204" t="s">
        <v>407</v>
      </c>
      <c r="BI497" s="205" t="s">
        <v>408</v>
      </c>
      <c r="BJ497" s="204"/>
      <c r="BK497" s="206"/>
    </row>
    <row r="498" spans="1:63" s="164" customFormat="1" ht="15.75" customHeight="1">
      <c r="A498" s="185"/>
      <c r="B498" s="183" t="s">
        <v>541</v>
      </c>
      <c r="C498" s="184"/>
      <c r="D498" s="184"/>
      <c r="E498" s="184"/>
      <c r="F498" s="184"/>
      <c r="G498" s="184"/>
      <c r="H498" s="184"/>
      <c r="I498" s="184"/>
      <c r="J498" s="184"/>
      <c r="K498" s="184"/>
      <c r="L498" s="193"/>
      <c r="M498" s="1005" t="s">
        <v>925</v>
      </c>
      <c r="N498" s="1002"/>
      <c r="O498" s="1002"/>
      <c r="P498" s="1002"/>
      <c r="Q498" s="1002"/>
      <c r="R498" s="1002"/>
      <c r="S498" s="1002"/>
      <c r="T498" s="1002"/>
      <c r="U498" s="1002"/>
      <c r="V498" s="1002"/>
      <c r="W498" s="1002"/>
      <c r="X498" s="1002"/>
      <c r="Y498" s="1002"/>
      <c r="Z498" s="1002"/>
      <c r="AA498" s="1002"/>
      <c r="AB498" s="1002"/>
      <c r="AC498" s="1002"/>
      <c r="AD498" s="1002"/>
      <c r="AE498" s="1002"/>
      <c r="AF498" s="1002"/>
      <c r="AG498" s="1002"/>
      <c r="AH498" s="1002"/>
      <c r="AI498" s="1002"/>
      <c r="AJ498" s="1002"/>
      <c r="AK498" s="1002"/>
      <c r="AL498" s="1002"/>
      <c r="AM498" s="1002"/>
      <c r="AN498" s="1002"/>
      <c r="AO498" s="1002"/>
      <c r="AP498" s="1002"/>
      <c r="AQ498" s="1002"/>
      <c r="AR498" s="1002"/>
      <c r="AS498" s="1002"/>
      <c r="AT498" s="1002"/>
      <c r="AU498" s="1002"/>
      <c r="AV498" s="1002"/>
      <c r="AW498" s="1002"/>
      <c r="AX498" s="1002"/>
      <c r="AY498" s="1002"/>
      <c r="AZ498" s="1002"/>
      <c r="BA498" s="1002"/>
      <c r="BB498" s="1002"/>
      <c r="BC498" s="1002"/>
      <c r="BD498" s="1002"/>
      <c r="BE498" s="204"/>
      <c r="BF498" s="205" t="s">
        <v>487</v>
      </c>
      <c r="BG498" s="204"/>
      <c r="BH498" s="204" t="s">
        <v>407</v>
      </c>
      <c r="BI498" s="204"/>
      <c r="BJ498" s="204"/>
      <c r="BK498" s="206"/>
    </row>
    <row r="499" spans="1:63" s="164" customFormat="1" ht="15.75" customHeight="1">
      <c r="A499" s="185"/>
      <c r="B499" s="183" t="s">
        <v>926</v>
      </c>
      <c r="C499" s="184"/>
      <c r="D499" s="184"/>
      <c r="E499" s="184"/>
      <c r="F499" s="184"/>
      <c r="G499" s="184"/>
      <c r="H499" s="184"/>
      <c r="I499" s="184"/>
      <c r="J499" s="184"/>
      <c r="K499" s="184"/>
      <c r="L499" s="193"/>
      <c r="M499" s="1001" t="s">
        <v>927</v>
      </c>
      <c r="N499" s="1002"/>
      <c r="O499" s="1002"/>
      <c r="P499" s="1002"/>
      <c r="Q499" s="1002"/>
      <c r="R499" s="1002"/>
      <c r="S499" s="1002"/>
      <c r="T499" s="1002"/>
      <c r="U499" s="1002"/>
      <c r="V499" s="1002"/>
      <c r="W499" s="1002"/>
      <c r="X499" s="1002"/>
      <c r="Y499" s="1002"/>
      <c r="Z499" s="1002"/>
      <c r="AA499" s="1002"/>
      <c r="AB499" s="1002"/>
      <c r="AC499" s="1002"/>
      <c r="AD499" s="1002"/>
      <c r="AE499" s="1002"/>
      <c r="AF499" s="1002"/>
      <c r="AG499" s="1002"/>
      <c r="AH499" s="1002"/>
      <c r="AI499" s="1002"/>
      <c r="AJ499" s="1002"/>
      <c r="AK499" s="1002"/>
      <c r="AL499" s="1002"/>
      <c r="AM499" s="1002"/>
      <c r="AN499" s="1002"/>
      <c r="AO499" s="1002"/>
      <c r="AP499" s="1002"/>
      <c r="AQ499" s="1002"/>
      <c r="AR499" s="1002"/>
      <c r="AS499" s="1002"/>
      <c r="AT499" s="1002"/>
      <c r="AU499" s="1002"/>
      <c r="AV499" s="1002"/>
      <c r="AW499" s="1002"/>
      <c r="AX499" s="1002"/>
      <c r="AY499" s="1002"/>
      <c r="AZ499" s="1002"/>
      <c r="BA499" s="1002"/>
      <c r="BB499" s="1002"/>
      <c r="BC499" s="1002"/>
      <c r="BD499" s="1002"/>
      <c r="BE499" s="204"/>
      <c r="BF499" s="205" t="s">
        <v>487</v>
      </c>
      <c r="BG499" s="204"/>
      <c r="BH499" s="204" t="s">
        <v>407</v>
      </c>
      <c r="BI499" s="204"/>
      <c r="BJ499" s="204"/>
      <c r="BK499" s="206"/>
    </row>
    <row r="500" spans="1:63" s="164" customFormat="1" ht="15.75" customHeight="1">
      <c r="A500" s="185"/>
      <c r="B500" s="183" t="s">
        <v>928</v>
      </c>
      <c r="C500" s="184"/>
      <c r="D500" s="184"/>
      <c r="E500" s="184"/>
      <c r="F500" s="184"/>
      <c r="G500" s="184"/>
      <c r="H500" s="184"/>
      <c r="I500" s="184"/>
      <c r="J500" s="184"/>
      <c r="K500" s="184"/>
      <c r="L500" s="193"/>
      <c r="M500" s="1003"/>
      <c r="N500" s="1002"/>
      <c r="O500" s="1002"/>
      <c r="P500" s="1002"/>
      <c r="Q500" s="1002"/>
      <c r="R500" s="1002"/>
      <c r="S500" s="1002"/>
      <c r="T500" s="1002"/>
      <c r="U500" s="1002"/>
      <c r="V500" s="1002"/>
      <c r="W500" s="1002"/>
      <c r="X500" s="1002"/>
      <c r="Y500" s="1002"/>
      <c r="Z500" s="1002"/>
      <c r="AA500" s="1002"/>
      <c r="AB500" s="1002"/>
      <c r="AC500" s="1002"/>
      <c r="AD500" s="1002"/>
      <c r="AE500" s="1002"/>
      <c r="AF500" s="1002"/>
      <c r="AG500" s="1002"/>
      <c r="AH500" s="1002"/>
      <c r="AI500" s="1002"/>
      <c r="AJ500" s="1002"/>
      <c r="AK500" s="1002"/>
      <c r="AL500" s="1002"/>
      <c r="AM500" s="1002"/>
      <c r="AN500" s="1002"/>
      <c r="AO500" s="1002"/>
      <c r="AP500" s="1002"/>
      <c r="AQ500" s="1002"/>
      <c r="AR500" s="1002"/>
      <c r="AS500" s="1002"/>
      <c r="AT500" s="1002"/>
      <c r="AU500" s="1002"/>
      <c r="AV500" s="1002"/>
      <c r="AW500" s="1002"/>
      <c r="AX500" s="1002"/>
      <c r="AY500" s="1002"/>
      <c r="AZ500" s="1002"/>
      <c r="BA500" s="1002"/>
      <c r="BB500" s="1002"/>
      <c r="BC500" s="1002"/>
      <c r="BD500" s="1002"/>
      <c r="BE500" s="204"/>
      <c r="BF500" s="205" t="s">
        <v>487</v>
      </c>
      <c r="BG500" s="204"/>
      <c r="BH500" s="204" t="s">
        <v>407</v>
      </c>
      <c r="BI500" s="204"/>
      <c r="BJ500" s="204"/>
      <c r="BK500" s="206"/>
    </row>
    <row r="501" spans="1:63" s="164" customFormat="1" ht="48" customHeight="1">
      <c r="A501" s="182" t="s">
        <v>411</v>
      </c>
      <c r="B501" s="183" t="s">
        <v>929</v>
      </c>
      <c r="C501" s="184"/>
      <c r="D501" s="184"/>
      <c r="E501" s="184"/>
      <c r="F501" s="184"/>
      <c r="G501" s="184"/>
      <c r="H501" s="184"/>
      <c r="I501" s="184"/>
      <c r="J501" s="184"/>
      <c r="K501" s="184"/>
      <c r="L501" s="193"/>
      <c r="M501" s="1005" t="s">
        <v>930</v>
      </c>
      <c r="N501" s="1005"/>
      <c r="O501" s="1005"/>
      <c r="P501" s="1005"/>
      <c r="Q501" s="1005"/>
      <c r="R501" s="1005"/>
      <c r="S501" s="1005"/>
      <c r="T501" s="1005"/>
      <c r="U501" s="1005"/>
      <c r="V501" s="1005"/>
      <c r="W501" s="1005"/>
      <c r="X501" s="1005"/>
      <c r="Y501" s="1005"/>
      <c r="Z501" s="1005"/>
      <c r="AA501" s="1005"/>
      <c r="AB501" s="1005"/>
      <c r="AC501" s="1005"/>
      <c r="AD501" s="1005"/>
      <c r="AE501" s="1005"/>
      <c r="AF501" s="1005"/>
      <c r="AG501" s="1005"/>
      <c r="AH501" s="1005"/>
      <c r="AI501" s="1005"/>
      <c r="AJ501" s="1005"/>
      <c r="AK501" s="1005"/>
      <c r="AL501" s="1005"/>
      <c r="AM501" s="1005"/>
      <c r="AN501" s="1005"/>
      <c r="AO501" s="1005"/>
      <c r="AP501" s="1005"/>
      <c r="AQ501" s="1005"/>
      <c r="AR501" s="1005"/>
      <c r="AS501" s="1005"/>
      <c r="AT501" s="1005"/>
      <c r="AU501" s="1005"/>
      <c r="AV501" s="1005"/>
      <c r="AW501" s="1005"/>
      <c r="AX501" s="1005"/>
      <c r="AY501" s="1005"/>
      <c r="AZ501" s="1005"/>
      <c r="BA501" s="1005"/>
      <c r="BB501" s="1005"/>
      <c r="BC501" s="1005"/>
      <c r="BD501" s="1005"/>
      <c r="BE501" s="204"/>
      <c r="BF501" s="205" t="s">
        <v>419</v>
      </c>
      <c r="BG501" s="204"/>
      <c r="BH501" s="204" t="s">
        <v>407</v>
      </c>
      <c r="BI501" s="205" t="s">
        <v>408</v>
      </c>
      <c r="BJ501" s="204"/>
      <c r="BK501" s="206"/>
    </row>
    <row r="502" spans="1:63" s="164" customFormat="1" ht="15.75" customHeight="1">
      <c r="A502" s="185"/>
      <c r="B502" s="183" t="s">
        <v>931</v>
      </c>
      <c r="C502" s="184"/>
      <c r="D502" s="184"/>
      <c r="E502" s="184"/>
      <c r="F502" s="184"/>
      <c r="G502" s="184"/>
      <c r="H502" s="184"/>
      <c r="I502" s="184"/>
      <c r="J502" s="184"/>
      <c r="K502" s="184"/>
      <c r="L502" s="193"/>
      <c r="M502" s="1005" t="s">
        <v>932</v>
      </c>
      <c r="N502" s="1002"/>
      <c r="O502" s="1002"/>
      <c r="P502" s="1002"/>
      <c r="Q502" s="1002"/>
      <c r="R502" s="1002"/>
      <c r="S502" s="1002"/>
      <c r="T502" s="1002"/>
      <c r="U502" s="1002"/>
      <c r="V502" s="1002"/>
      <c r="W502" s="1002"/>
      <c r="X502" s="1002"/>
      <c r="Y502" s="1002"/>
      <c r="Z502" s="1002"/>
      <c r="AA502" s="1002"/>
      <c r="AB502" s="1002"/>
      <c r="AC502" s="1002"/>
      <c r="AD502" s="1002"/>
      <c r="AE502" s="1002"/>
      <c r="AF502" s="1002"/>
      <c r="AG502" s="1002"/>
      <c r="AH502" s="1002"/>
      <c r="AI502" s="1002"/>
      <c r="AJ502" s="1002"/>
      <c r="AK502" s="1002"/>
      <c r="AL502" s="1002"/>
      <c r="AM502" s="1002"/>
      <c r="AN502" s="1002"/>
      <c r="AO502" s="1002"/>
      <c r="AP502" s="1002"/>
      <c r="AQ502" s="1002"/>
      <c r="AR502" s="1002"/>
      <c r="AS502" s="1002"/>
      <c r="AT502" s="1002"/>
      <c r="AU502" s="1002"/>
      <c r="AV502" s="1002"/>
      <c r="AW502" s="1002"/>
      <c r="AX502" s="1002"/>
      <c r="AY502" s="1002"/>
      <c r="AZ502" s="1002"/>
      <c r="BA502" s="1002"/>
      <c r="BB502" s="1002"/>
      <c r="BC502" s="1002"/>
      <c r="BD502" s="1002"/>
      <c r="BE502" s="204"/>
      <c r="BF502" s="205" t="s">
        <v>419</v>
      </c>
      <c r="BG502" s="204"/>
      <c r="BH502" s="204" t="s">
        <v>407</v>
      </c>
      <c r="BI502" s="204"/>
      <c r="BJ502" s="204"/>
      <c r="BK502" s="206"/>
    </row>
    <row r="503" spans="1:63" s="164" customFormat="1" ht="15.75" customHeight="1">
      <c r="A503" s="185"/>
      <c r="B503" s="183" t="s">
        <v>933</v>
      </c>
      <c r="C503" s="184"/>
      <c r="D503" s="184"/>
      <c r="E503" s="184"/>
      <c r="F503" s="184"/>
      <c r="G503" s="184"/>
      <c r="H503" s="184"/>
      <c r="I503" s="184"/>
      <c r="J503" s="184"/>
      <c r="K503" s="184"/>
      <c r="L503" s="193"/>
      <c r="M503" s="1005" t="s">
        <v>934</v>
      </c>
      <c r="N503" s="1002"/>
      <c r="O503" s="1002"/>
      <c r="P503" s="1002"/>
      <c r="Q503" s="1002"/>
      <c r="R503" s="1002"/>
      <c r="S503" s="1002"/>
      <c r="T503" s="1002"/>
      <c r="U503" s="1002"/>
      <c r="V503" s="1002"/>
      <c r="W503" s="1002"/>
      <c r="X503" s="1002"/>
      <c r="Y503" s="1002"/>
      <c r="Z503" s="1002"/>
      <c r="AA503" s="1002"/>
      <c r="AB503" s="1002"/>
      <c r="AC503" s="1002"/>
      <c r="AD503" s="1002"/>
      <c r="AE503" s="1002"/>
      <c r="AF503" s="1002"/>
      <c r="AG503" s="1002"/>
      <c r="AH503" s="1002"/>
      <c r="AI503" s="1002"/>
      <c r="AJ503" s="1002"/>
      <c r="AK503" s="1002"/>
      <c r="AL503" s="1002"/>
      <c r="AM503" s="1002"/>
      <c r="AN503" s="1002"/>
      <c r="AO503" s="1002"/>
      <c r="AP503" s="1002"/>
      <c r="AQ503" s="1002"/>
      <c r="AR503" s="1002"/>
      <c r="AS503" s="1002"/>
      <c r="AT503" s="1002"/>
      <c r="AU503" s="1002"/>
      <c r="AV503" s="1002"/>
      <c r="AW503" s="1002"/>
      <c r="AX503" s="1002"/>
      <c r="AY503" s="1002"/>
      <c r="AZ503" s="1002"/>
      <c r="BA503" s="1002"/>
      <c r="BB503" s="1002"/>
      <c r="BC503" s="1002"/>
      <c r="BD503" s="1002"/>
      <c r="BE503" s="204"/>
      <c r="BF503" s="205" t="s">
        <v>419</v>
      </c>
      <c r="BG503" s="204"/>
      <c r="BH503" s="204" t="s">
        <v>407</v>
      </c>
      <c r="BI503" s="204"/>
      <c r="BJ503" s="204"/>
      <c r="BK503" s="206"/>
    </row>
    <row r="504" spans="1:63" s="164" customFormat="1" ht="15.75" customHeight="1">
      <c r="A504" s="185"/>
      <c r="B504" s="183" t="s">
        <v>935</v>
      </c>
      <c r="C504" s="184"/>
      <c r="D504" s="184"/>
      <c r="E504" s="184"/>
      <c r="F504" s="184"/>
      <c r="G504" s="184"/>
      <c r="H504" s="184"/>
      <c r="I504" s="184"/>
      <c r="J504" s="184"/>
      <c r="K504" s="184"/>
      <c r="L504" s="193"/>
      <c r="M504" s="1005" t="s">
        <v>936</v>
      </c>
      <c r="N504" s="1002"/>
      <c r="O504" s="1002"/>
      <c r="P504" s="1002"/>
      <c r="Q504" s="1002"/>
      <c r="R504" s="1002"/>
      <c r="S504" s="1002"/>
      <c r="T504" s="1002"/>
      <c r="U504" s="1002"/>
      <c r="V504" s="1002"/>
      <c r="W504" s="1002"/>
      <c r="X504" s="1002"/>
      <c r="Y504" s="1002"/>
      <c r="Z504" s="1002"/>
      <c r="AA504" s="1002"/>
      <c r="AB504" s="1002"/>
      <c r="AC504" s="1002"/>
      <c r="AD504" s="1002"/>
      <c r="AE504" s="1002"/>
      <c r="AF504" s="1002"/>
      <c r="AG504" s="1002"/>
      <c r="AH504" s="1002"/>
      <c r="AI504" s="1002"/>
      <c r="AJ504" s="1002"/>
      <c r="AK504" s="1002"/>
      <c r="AL504" s="1002"/>
      <c r="AM504" s="1002"/>
      <c r="AN504" s="1002"/>
      <c r="AO504" s="1002"/>
      <c r="AP504" s="1002"/>
      <c r="AQ504" s="1002"/>
      <c r="AR504" s="1002"/>
      <c r="AS504" s="1002"/>
      <c r="AT504" s="1002"/>
      <c r="AU504" s="1002"/>
      <c r="AV504" s="1002"/>
      <c r="AW504" s="1002"/>
      <c r="AX504" s="1002"/>
      <c r="AY504" s="1002"/>
      <c r="AZ504" s="1002"/>
      <c r="BA504" s="1002"/>
      <c r="BB504" s="1002"/>
      <c r="BC504" s="1002"/>
      <c r="BD504" s="1002"/>
      <c r="BE504" s="204"/>
      <c r="BF504" s="205" t="s">
        <v>419</v>
      </c>
      <c r="BG504" s="204"/>
      <c r="BH504" s="204" t="s">
        <v>407</v>
      </c>
      <c r="BI504" s="204"/>
      <c r="BJ504" s="204"/>
      <c r="BK504" s="206"/>
    </row>
    <row r="505" spans="1:63" s="164" customFormat="1" ht="31.5" customHeight="1">
      <c r="A505" s="185"/>
      <c r="B505" s="183" t="s">
        <v>937</v>
      </c>
      <c r="C505" s="184"/>
      <c r="D505" s="184"/>
      <c r="E505" s="184"/>
      <c r="F505" s="184"/>
      <c r="G505" s="184"/>
      <c r="H505" s="184"/>
      <c r="I505" s="184"/>
      <c r="J505" s="184"/>
      <c r="K505" s="184"/>
      <c r="L505" s="193"/>
      <c r="M505" s="1005" t="s">
        <v>938</v>
      </c>
      <c r="N505" s="1005"/>
      <c r="O505" s="1005"/>
      <c r="P505" s="1005"/>
      <c r="Q505" s="1005"/>
      <c r="R505" s="1005"/>
      <c r="S505" s="1005"/>
      <c r="T505" s="1005"/>
      <c r="U505" s="1005"/>
      <c r="V505" s="1005"/>
      <c r="W505" s="1005"/>
      <c r="X505" s="1005"/>
      <c r="Y505" s="1005"/>
      <c r="Z505" s="1005"/>
      <c r="AA505" s="1005"/>
      <c r="AB505" s="1005"/>
      <c r="AC505" s="1005"/>
      <c r="AD505" s="1005"/>
      <c r="AE505" s="1005"/>
      <c r="AF505" s="1005"/>
      <c r="AG505" s="1005"/>
      <c r="AH505" s="1005"/>
      <c r="AI505" s="1005"/>
      <c r="AJ505" s="1005"/>
      <c r="AK505" s="1005"/>
      <c r="AL505" s="1005"/>
      <c r="AM505" s="1005"/>
      <c r="AN505" s="1005"/>
      <c r="AO505" s="1005"/>
      <c r="AP505" s="1005"/>
      <c r="AQ505" s="1005"/>
      <c r="AR505" s="1005"/>
      <c r="AS505" s="1005"/>
      <c r="AT505" s="1005"/>
      <c r="AU505" s="1005"/>
      <c r="AV505" s="1005"/>
      <c r="AW505" s="1005"/>
      <c r="AX505" s="1005"/>
      <c r="AY505" s="1005"/>
      <c r="AZ505" s="1005"/>
      <c r="BA505" s="1005"/>
      <c r="BB505" s="1005"/>
      <c r="BC505" s="1005"/>
      <c r="BD505" s="1005"/>
      <c r="BE505" s="204"/>
      <c r="BF505" s="205" t="s">
        <v>419</v>
      </c>
      <c r="BG505" s="204"/>
      <c r="BH505" s="204" t="s">
        <v>407</v>
      </c>
      <c r="BI505" s="204"/>
      <c r="BJ505" s="204"/>
      <c r="BK505" s="206"/>
    </row>
    <row r="506" spans="1:63" s="164" customFormat="1" ht="31.5" customHeight="1">
      <c r="A506" s="185"/>
      <c r="B506" s="183" t="s">
        <v>939</v>
      </c>
      <c r="C506" s="184"/>
      <c r="D506" s="184"/>
      <c r="E506" s="184"/>
      <c r="F506" s="184"/>
      <c r="G506" s="184"/>
      <c r="H506" s="184"/>
      <c r="I506" s="184"/>
      <c r="J506" s="184"/>
      <c r="K506" s="184"/>
      <c r="L506" s="193"/>
      <c r="M506" s="1005" t="s">
        <v>940</v>
      </c>
      <c r="N506" s="1005"/>
      <c r="O506" s="1005"/>
      <c r="P506" s="1005"/>
      <c r="Q506" s="1005"/>
      <c r="R506" s="1005"/>
      <c r="S506" s="1005"/>
      <c r="T506" s="1005"/>
      <c r="U506" s="1005"/>
      <c r="V506" s="1005"/>
      <c r="W506" s="1005"/>
      <c r="X506" s="1005"/>
      <c r="Y506" s="1005"/>
      <c r="Z506" s="1005"/>
      <c r="AA506" s="1005"/>
      <c r="AB506" s="1005"/>
      <c r="AC506" s="1005"/>
      <c r="AD506" s="1005"/>
      <c r="AE506" s="1005"/>
      <c r="AF506" s="1005"/>
      <c r="AG506" s="1005"/>
      <c r="AH506" s="1005"/>
      <c r="AI506" s="1005"/>
      <c r="AJ506" s="1005"/>
      <c r="AK506" s="1005"/>
      <c r="AL506" s="1005"/>
      <c r="AM506" s="1005"/>
      <c r="AN506" s="1005"/>
      <c r="AO506" s="1005"/>
      <c r="AP506" s="1005"/>
      <c r="AQ506" s="1005"/>
      <c r="AR506" s="1005"/>
      <c r="AS506" s="1005"/>
      <c r="AT506" s="1005"/>
      <c r="AU506" s="1005"/>
      <c r="AV506" s="1005"/>
      <c r="AW506" s="1005"/>
      <c r="AX506" s="1005"/>
      <c r="AY506" s="1005"/>
      <c r="AZ506" s="1005"/>
      <c r="BA506" s="1005"/>
      <c r="BB506" s="1005"/>
      <c r="BC506" s="1005"/>
      <c r="BD506" s="1005"/>
      <c r="BE506" s="204"/>
      <c r="BF506" s="205" t="s">
        <v>419</v>
      </c>
      <c r="BG506" s="204"/>
      <c r="BH506" s="204" t="s">
        <v>407</v>
      </c>
      <c r="BI506" s="204"/>
      <c r="BJ506" s="204"/>
      <c r="BK506" s="206"/>
    </row>
    <row r="507" spans="1:63" s="164" customFormat="1" ht="166.5" customHeight="1">
      <c r="A507" s="185"/>
      <c r="B507" s="183" t="s">
        <v>941</v>
      </c>
      <c r="C507" s="184"/>
      <c r="D507" s="184"/>
      <c r="E507" s="184"/>
      <c r="F507" s="184"/>
      <c r="G507" s="184"/>
      <c r="H507" s="184"/>
      <c r="I507" s="184"/>
      <c r="J507" s="184"/>
      <c r="K507" s="184"/>
      <c r="L507" s="193"/>
      <c r="M507" s="1010" t="s">
        <v>942</v>
      </c>
      <c r="N507" s="1010"/>
      <c r="O507" s="1010"/>
      <c r="P507" s="1010"/>
      <c r="Q507" s="1010"/>
      <c r="R507" s="1010"/>
      <c r="S507" s="1010"/>
      <c r="T507" s="1010"/>
      <c r="U507" s="1010"/>
      <c r="V507" s="1010"/>
      <c r="W507" s="1010"/>
      <c r="X507" s="1010"/>
      <c r="Y507" s="1010"/>
      <c r="Z507" s="1010"/>
      <c r="AA507" s="1010"/>
      <c r="AB507" s="1010"/>
      <c r="AC507" s="1010"/>
      <c r="AD507" s="1010"/>
      <c r="AE507" s="1010"/>
      <c r="AF507" s="1010"/>
      <c r="AG507" s="1010"/>
      <c r="AH507" s="1010"/>
      <c r="AI507" s="1010"/>
      <c r="AJ507" s="1010"/>
      <c r="AK507" s="1010"/>
      <c r="AL507" s="1010"/>
      <c r="AM507" s="1010"/>
      <c r="AN507" s="1010"/>
      <c r="AO507" s="1010"/>
      <c r="AP507" s="1010"/>
      <c r="AQ507" s="1010"/>
      <c r="AR507" s="1010"/>
      <c r="AS507" s="1010"/>
      <c r="AT507" s="1010"/>
      <c r="AU507" s="1010"/>
      <c r="AV507" s="1010"/>
      <c r="AW507" s="1010"/>
      <c r="AX507" s="1010"/>
      <c r="AY507" s="1010"/>
      <c r="AZ507" s="1010"/>
      <c r="BA507" s="1010"/>
      <c r="BB507" s="1010"/>
      <c r="BC507" s="1010"/>
      <c r="BD507" s="1010"/>
      <c r="BE507" s="204"/>
      <c r="BF507" s="205" t="s">
        <v>419</v>
      </c>
      <c r="BG507" s="204"/>
      <c r="BH507" s="204"/>
      <c r="BI507" s="204"/>
      <c r="BJ507" s="204"/>
      <c r="BK507" s="206"/>
    </row>
    <row r="508" spans="1:63" s="164" customFormat="1" ht="38.25" customHeight="1">
      <c r="A508" s="239" t="s">
        <v>411</v>
      </c>
      <c r="B508" s="233" t="s">
        <v>943</v>
      </c>
      <c r="C508" s="240"/>
      <c r="D508" s="241"/>
      <c r="E508" s="241"/>
      <c r="F508" s="241"/>
      <c r="G508" s="241"/>
      <c r="H508" s="241"/>
      <c r="I508" s="241"/>
      <c r="J508" s="241"/>
      <c r="K508" s="241"/>
      <c r="L508" s="241"/>
      <c r="M508" s="1007" t="s">
        <v>944</v>
      </c>
      <c r="N508" s="1008"/>
      <c r="O508" s="1008"/>
      <c r="P508" s="1008"/>
      <c r="Q508" s="1008"/>
      <c r="R508" s="1008"/>
      <c r="S508" s="1008"/>
      <c r="T508" s="1008"/>
      <c r="U508" s="1008"/>
      <c r="V508" s="1008"/>
      <c r="W508" s="1008"/>
      <c r="X508" s="1008"/>
      <c r="Y508" s="1008"/>
      <c r="Z508" s="1008"/>
      <c r="AA508" s="1008"/>
      <c r="AB508" s="1008"/>
      <c r="AC508" s="1008"/>
      <c r="AD508" s="1008"/>
      <c r="AE508" s="1008"/>
      <c r="AF508" s="1008"/>
      <c r="AG508" s="1008"/>
      <c r="AH508" s="1008"/>
      <c r="AI508" s="1008"/>
      <c r="AJ508" s="1008"/>
      <c r="AK508" s="1008"/>
      <c r="AL508" s="1008"/>
      <c r="AM508" s="1008"/>
      <c r="AN508" s="1008"/>
      <c r="AO508" s="1008"/>
      <c r="AP508" s="1008"/>
      <c r="AQ508" s="1008"/>
      <c r="AR508" s="1008"/>
      <c r="AS508" s="1008"/>
      <c r="AT508" s="1008"/>
      <c r="AU508" s="1008"/>
      <c r="AV508" s="1008"/>
      <c r="AW508" s="1008"/>
      <c r="AX508" s="1008"/>
      <c r="AY508" s="1008"/>
      <c r="AZ508" s="1008"/>
      <c r="BA508" s="1008"/>
      <c r="BB508" s="1008"/>
      <c r="BC508" s="1008"/>
      <c r="BD508" s="1009"/>
      <c r="BE508" s="242"/>
      <c r="BF508" s="241" t="s">
        <v>419</v>
      </c>
      <c r="BG508" s="204"/>
      <c r="BH508" s="204" t="s">
        <v>407</v>
      </c>
      <c r="BI508" s="204"/>
      <c r="BJ508" s="204"/>
      <c r="BK508" s="206"/>
    </row>
    <row r="509" spans="1:63" s="164" customFormat="1" ht="33.75" customHeight="1">
      <c r="A509" s="239"/>
      <c r="B509" s="233" t="s">
        <v>945</v>
      </c>
      <c r="C509" s="240"/>
      <c r="D509" s="241"/>
      <c r="E509" s="241"/>
      <c r="F509" s="241"/>
      <c r="G509" s="241"/>
      <c r="H509" s="241"/>
      <c r="I509" s="241"/>
      <c r="J509" s="241"/>
      <c r="K509" s="241"/>
      <c r="L509" s="241"/>
      <c r="M509" s="1007" t="s">
        <v>946</v>
      </c>
      <c r="N509" s="1008"/>
      <c r="O509" s="1008"/>
      <c r="P509" s="1008"/>
      <c r="Q509" s="1008"/>
      <c r="R509" s="1008"/>
      <c r="S509" s="1008"/>
      <c r="T509" s="1008"/>
      <c r="U509" s="1008"/>
      <c r="V509" s="1008"/>
      <c r="W509" s="1008"/>
      <c r="X509" s="1008"/>
      <c r="Y509" s="1008"/>
      <c r="Z509" s="1008"/>
      <c r="AA509" s="1008"/>
      <c r="AB509" s="1008"/>
      <c r="AC509" s="1008"/>
      <c r="AD509" s="1008"/>
      <c r="AE509" s="1008"/>
      <c r="AF509" s="1008"/>
      <c r="AG509" s="1008"/>
      <c r="AH509" s="1008"/>
      <c r="AI509" s="1008"/>
      <c r="AJ509" s="1008"/>
      <c r="AK509" s="1008"/>
      <c r="AL509" s="1008"/>
      <c r="AM509" s="1008"/>
      <c r="AN509" s="1008"/>
      <c r="AO509" s="1008"/>
      <c r="AP509" s="1008"/>
      <c r="AQ509" s="1008"/>
      <c r="AR509" s="1008"/>
      <c r="AS509" s="1008"/>
      <c r="AT509" s="1008"/>
      <c r="AU509" s="1008"/>
      <c r="AV509" s="1008"/>
      <c r="AW509" s="1008"/>
      <c r="AX509" s="1008"/>
      <c r="AY509" s="1008"/>
      <c r="AZ509" s="1008"/>
      <c r="BA509" s="1008"/>
      <c r="BB509" s="1008"/>
      <c r="BC509" s="1008"/>
      <c r="BD509" s="1009"/>
      <c r="BE509" s="242"/>
      <c r="BF509" s="241" t="s">
        <v>419</v>
      </c>
      <c r="BG509" s="204"/>
      <c r="BH509" s="204"/>
      <c r="BI509" s="204"/>
      <c r="BJ509" s="204"/>
      <c r="BK509" s="206"/>
    </row>
    <row r="510" spans="1:63" s="164" customFormat="1" ht="15.75" customHeight="1">
      <c r="A510" s="185"/>
      <c r="B510" s="183" t="s">
        <v>239</v>
      </c>
      <c r="C510" s="184"/>
      <c r="D510" s="184"/>
      <c r="E510" s="184"/>
      <c r="F510" s="184"/>
      <c r="G510" s="184"/>
      <c r="H510" s="184"/>
      <c r="I510" s="184"/>
      <c r="J510" s="184"/>
      <c r="K510" s="184"/>
      <c r="L510" s="193"/>
      <c r="M510" s="1003" t="s">
        <v>947</v>
      </c>
      <c r="N510" s="1002"/>
      <c r="O510" s="1002"/>
      <c r="P510" s="1002"/>
      <c r="Q510" s="1002"/>
      <c r="R510" s="1002"/>
      <c r="S510" s="1002"/>
      <c r="T510" s="1002"/>
      <c r="U510" s="1002"/>
      <c r="V510" s="1002"/>
      <c r="W510" s="1002"/>
      <c r="X510" s="1002"/>
      <c r="Y510" s="1002"/>
      <c r="Z510" s="1002"/>
      <c r="AA510" s="1002"/>
      <c r="AB510" s="1002"/>
      <c r="AC510" s="1002"/>
      <c r="AD510" s="1002"/>
      <c r="AE510" s="1002"/>
      <c r="AF510" s="1002"/>
      <c r="AG510" s="1002"/>
      <c r="AH510" s="1002"/>
      <c r="AI510" s="1002"/>
      <c r="AJ510" s="1002"/>
      <c r="AK510" s="1002"/>
      <c r="AL510" s="1002"/>
      <c r="AM510" s="1002"/>
      <c r="AN510" s="1002"/>
      <c r="AO510" s="1002"/>
      <c r="AP510" s="1002"/>
      <c r="AQ510" s="1002"/>
      <c r="AR510" s="1002"/>
      <c r="AS510" s="1002"/>
      <c r="AT510" s="1002"/>
      <c r="AU510" s="1002"/>
      <c r="AV510" s="1002"/>
      <c r="AW510" s="1002"/>
      <c r="AX510" s="1002"/>
      <c r="AY510" s="1002"/>
      <c r="AZ510" s="1002"/>
      <c r="BA510" s="1002"/>
      <c r="BB510" s="1002"/>
      <c r="BC510" s="1002"/>
      <c r="BD510" s="1002"/>
      <c r="BE510" s="204"/>
      <c r="BF510" s="205" t="s">
        <v>419</v>
      </c>
      <c r="BG510" s="204"/>
      <c r="BH510" s="204" t="s">
        <v>407</v>
      </c>
      <c r="BI510" s="204"/>
      <c r="BJ510" s="204"/>
      <c r="BK510" s="206"/>
    </row>
    <row r="511" spans="1:63" s="164" customFormat="1" ht="15.75" customHeight="1">
      <c r="A511" s="182" t="s">
        <v>411</v>
      </c>
      <c r="B511" s="183" t="s">
        <v>561</v>
      </c>
      <c r="C511" s="184"/>
      <c r="D511" s="184"/>
      <c r="E511" s="184"/>
      <c r="F511" s="184"/>
      <c r="G511" s="184"/>
      <c r="H511" s="184"/>
      <c r="I511" s="184"/>
      <c r="J511" s="184"/>
      <c r="K511" s="184"/>
      <c r="L511" s="193"/>
      <c r="M511" s="1003"/>
      <c r="N511" s="1002"/>
      <c r="O511" s="1002"/>
      <c r="P511" s="1002"/>
      <c r="Q511" s="1002"/>
      <c r="R511" s="1002"/>
      <c r="S511" s="1002"/>
      <c r="T511" s="1002"/>
      <c r="U511" s="1002"/>
      <c r="V511" s="1002"/>
      <c r="W511" s="1002"/>
      <c r="X511" s="1002"/>
      <c r="Y511" s="1002"/>
      <c r="Z511" s="1002"/>
      <c r="AA511" s="1002"/>
      <c r="AB511" s="1002"/>
      <c r="AC511" s="1002"/>
      <c r="AD511" s="1002"/>
      <c r="AE511" s="1002"/>
      <c r="AF511" s="1002"/>
      <c r="AG511" s="1002"/>
      <c r="AH511" s="1002"/>
      <c r="AI511" s="1002"/>
      <c r="AJ511" s="1002"/>
      <c r="AK511" s="1002"/>
      <c r="AL511" s="1002"/>
      <c r="AM511" s="1002"/>
      <c r="AN511" s="1002"/>
      <c r="AO511" s="1002"/>
      <c r="AP511" s="1002"/>
      <c r="AQ511" s="1002"/>
      <c r="AR511" s="1002"/>
      <c r="AS511" s="1002"/>
      <c r="AT511" s="1002"/>
      <c r="AU511" s="1002"/>
      <c r="AV511" s="1002"/>
      <c r="AW511" s="1002"/>
      <c r="AX511" s="1002"/>
      <c r="AY511" s="1002"/>
      <c r="AZ511" s="1002"/>
      <c r="BA511" s="1002"/>
      <c r="BB511" s="1002"/>
      <c r="BC511" s="1002"/>
      <c r="BD511" s="1002"/>
      <c r="BE511" s="204"/>
      <c r="BF511" s="205" t="s">
        <v>487</v>
      </c>
      <c r="BG511" s="204"/>
      <c r="BH511" s="204" t="s">
        <v>407</v>
      </c>
      <c r="BI511" s="205" t="s">
        <v>408</v>
      </c>
      <c r="BJ511" s="204"/>
      <c r="BK511" s="206"/>
    </row>
    <row r="512" spans="1:63" s="164" customFormat="1" ht="15.75" customHeight="1">
      <c r="A512" s="182" t="s">
        <v>411</v>
      </c>
      <c r="B512" s="183" t="s">
        <v>562</v>
      </c>
      <c r="C512" s="184"/>
      <c r="D512" s="184"/>
      <c r="E512" s="184"/>
      <c r="F512" s="184"/>
      <c r="G512" s="184"/>
      <c r="H512" s="184"/>
      <c r="I512" s="184"/>
      <c r="J512" s="184"/>
      <c r="K512" s="184"/>
      <c r="L512" s="193"/>
      <c r="M512" s="1003"/>
      <c r="N512" s="1002"/>
      <c r="O512" s="1002"/>
      <c r="P512" s="1002"/>
      <c r="Q512" s="1002"/>
      <c r="R512" s="1002"/>
      <c r="S512" s="1002"/>
      <c r="T512" s="1002"/>
      <c r="U512" s="1002"/>
      <c r="V512" s="1002"/>
      <c r="W512" s="1002"/>
      <c r="X512" s="1002"/>
      <c r="Y512" s="1002"/>
      <c r="Z512" s="1002"/>
      <c r="AA512" s="1002"/>
      <c r="AB512" s="1002"/>
      <c r="AC512" s="1002"/>
      <c r="AD512" s="1002"/>
      <c r="AE512" s="1002"/>
      <c r="AF512" s="1002"/>
      <c r="AG512" s="1002"/>
      <c r="AH512" s="1002"/>
      <c r="AI512" s="1002"/>
      <c r="AJ512" s="1002"/>
      <c r="AK512" s="1002"/>
      <c r="AL512" s="1002"/>
      <c r="AM512" s="1002"/>
      <c r="AN512" s="1002"/>
      <c r="AO512" s="1002"/>
      <c r="AP512" s="1002"/>
      <c r="AQ512" s="1002"/>
      <c r="AR512" s="1002"/>
      <c r="AS512" s="1002"/>
      <c r="AT512" s="1002"/>
      <c r="AU512" s="1002"/>
      <c r="AV512" s="1002"/>
      <c r="AW512" s="1002"/>
      <c r="AX512" s="1002"/>
      <c r="AY512" s="1002"/>
      <c r="AZ512" s="1002"/>
      <c r="BA512" s="1002"/>
      <c r="BB512" s="1002"/>
      <c r="BC512" s="1002"/>
      <c r="BD512" s="1002"/>
      <c r="BE512" s="204"/>
      <c r="BF512" s="205" t="s">
        <v>487</v>
      </c>
      <c r="BG512" s="204"/>
      <c r="BH512" s="204" t="s">
        <v>407</v>
      </c>
      <c r="BI512" s="205" t="s">
        <v>408</v>
      </c>
      <c r="BJ512" s="204"/>
      <c r="BK512" s="206"/>
    </row>
    <row r="513" spans="1:63" s="164" customFormat="1" ht="15.75" customHeight="1">
      <c r="A513" s="182" t="s">
        <v>411</v>
      </c>
      <c r="B513" s="183" t="s">
        <v>563</v>
      </c>
      <c r="C513" s="184"/>
      <c r="D513" s="184"/>
      <c r="E513" s="184"/>
      <c r="F513" s="184"/>
      <c r="G513" s="184"/>
      <c r="H513" s="184"/>
      <c r="I513" s="184"/>
      <c r="J513" s="184"/>
      <c r="K513" s="184"/>
      <c r="L513" s="193"/>
      <c r="M513" s="1005" t="s">
        <v>948</v>
      </c>
      <c r="N513" s="1005"/>
      <c r="O513" s="1005"/>
      <c r="P513" s="1005"/>
      <c r="Q513" s="1005"/>
      <c r="R513" s="1005"/>
      <c r="S513" s="1005"/>
      <c r="T513" s="1005"/>
      <c r="U513" s="1005"/>
      <c r="V513" s="1005"/>
      <c r="W513" s="1005"/>
      <c r="X513" s="1005"/>
      <c r="Y513" s="1005"/>
      <c r="Z513" s="1005"/>
      <c r="AA513" s="1005"/>
      <c r="AB513" s="1005"/>
      <c r="AC513" s="1005"/>
      <c r="AD513" s="1005"/>
      <c r="AE513" s="1005"/>
      <c r="AF513" s="1005"/>
      <c r="AG513" s="1005"/>
      <c r="AH513" s="1005"/>
      <c r="AI513" s="1005"/>
      <c r="AJ513" s="1005"/>
      <c r="AK513" s="1005"/>
      <c r="AL513" s="1005"/>
      <c r="AM513" s="1005"/>
      <c r="AN513" s="1005"/>
      <c r="AO513" s="1005"/>
      <c r="AP513" s="1005"/>
      <c r="AQ513" s="1005"/>
      <c r="AR513" s="1005"/>
      <c r="AS513" s="1005"/>
      <c r="AT513" s="1005"/>
      <c r="AU513" s="1005"/>
      <c r="AV513" s="1005"/>
      <c r="AW513" s="1005"/>
      <c r="AX513" s="1005"/>
      <c r="AY513" s="1005"/>
      <c r="AZ513" s="1005"/>
      <c r="BA513" s="1005"/>
      <c r="BB513" s="1005"/>
      <c r="BC513" s="1005"/>
      <c r="BD513" s="1005"/>
      <c r="BE513" s="204"/>
      <c r="BF513" s="205" t="s">
        <v>487</v>
      </c>
      <c r="BG513" s="204"/>
      <c r="BH513" s="204" t="s">
        <v>407</v>
      </c>
      <c r="BI513" s="205" t="s">
        <v>408</v>
      </c>
      <c r="BJ513" s="204"/>
      <c r="BK513" s="206"/>
    </row>
    <row r="514" spans="1:63" s="164" customFormat="1" ht="15.75" customHeight="1">
      <c r="A514" s="182" t="s">
        <v>411</v>
      </c>
      <c r="B514" s="183" t="s">
        <v>564</v>
      </c>
      <c r="C514" s="184"/>
      <c r="D514" s="184"/>
      <c r="E514" s="184"/>
      <c r="F514" s="184"/>
      <c r="G514" s="184"/>
      <c r="H514" s="184"/>
      <c r="I514" s="184"/>
      <c r="J514" s="184"/>
      <c r="K514" s="184"/>
      <c r="L514" s="193"/>
      <c r="M514" s="1005" t="s">
        <v>949</v>
      </c>
      <c r="N514" s="1005"/>
      <c r="O514" s="1005"/>
      <c r="P514" s="1005"/>
      <c r="Q514" s="1005"/>
      <c r="R514" s="1005"/>
      <c r="S514" s="1005"/>
      <c r="T514" s="1005"/>
      <c r="U514" s="1005"/>
      <c r="V514" s="1005"/>
      <c r="W514" s="1005"/>
      <c r="X514" s="1005"/>
      <c r="Y514" s="1005"/>
      <c r="Z514" s="1005"/>
      <c r="AA514" s="1005"/>
      <c r="AB514" s="1005"/>
      <c r="AC514" s="1005"/>
      <c r="AD514" s="1005"/>
      <c r="AE514" s="1005"/>
      <c r="AF514" s="1005"/>
      <c r="AG514" s="1005"/>
      <c r="AH514" s="1005"/>
      <c r="AI514" s="1005"/>
      <c r="AJ514" s="1005"/>
      <c r="AK514" s="1005"/>
      <c r="AL514" s="1005"/>
      <c r="AM514" s="1005"/>
      <c r="AN514" s="1005"/>
      <c r="AO514" s="1005"/>
      <c r="AP514" s="1005"/>
      <c r="AQ514" s="1005"/>
      <c r="AR514" s="1005"/>
      <c r="AS514" s="1005"/>
      <c r="AT514" s="1005"/>
      <c r="AU514" s="1005"/>
      <c r="AV514" s="1005"/>
      <c r="AW514" s="1005"/>
      <c r="AX514" s="1005"/>
      <c r="AY514" s="1005"/>
      <c r="AZ514" s="1005"/>
      <c r="BA514" s="1005"/>
      <c r="BB514" s="1005"/>
      <c r="BC514" s="1005"/>
      <c r="BD514" s="1005"/>
      <c r="BE514" s="204"/>
      <c r="BF514" s="205" t="s">
        <v>487</v>
      </c>
      <c r="BG514" s="204"/>
      <c r="BH514" s="204" t="s">
        <v>407</v>
      </c>
      <c r="BI514" s="205" t="s">
        <v>408</v>
      </c>
      <c r="BJ514" s="204"/>
      <c r="BK514" s="206"/>
    </row>
    <row r="515" spans="1:63" s="164" customFormat="1" ht="15.75" customHeight="1">
      <c r="A515" s="185"/>
      <c r="B515" s="183" t="s">
        <v>560</v>
      </c>
      <c r="C515" s="184"/>
      <c r="D515" s="184"/>
      <c r="E515" s="184"/>
      <c r="F515" s="184"/>
      <c r="G515" s="184"/>
      <c r="H515" s="184"/>
      <c r="I515" s="184"/>
      <c r="J515" s="184"/>
      <c r="K515" s="184"/>
      <c r="L515" s="193"/>
      <c r="M515" s="1005" t="s">
        <v>950</v>
      </c>
      <c r="N515" s="1005"/>
      <c r="O515" s="1005"/>
      <c r="P515" s="1005"/>
      <c r="Q515" s="1005"/>
      <c r="R515" s="1005"/>
      <c r="S515" s="1005"/>
      <c r="T515" s="1005"/>
      <c r="U515" s="1005"/>
      <c r="V515" s="1005"/>
      <c r="W515" s="1005"/>
      <c r="X515" s="1005"/>
      <c r="Y515" s="1005"/>
      <c r="Z515" s="1005"/>
      <c r="AA515" s="1005"/>
      <c r="AB515" s="1005"/>
      <c r="AC515" s="1005"/>
      <c r="AD515" s="1005"/>
      <c r="AE515" s="1005"/>
      <c r="AF515" s="1005"/>
      <c r="AG515" s="1005"/>
      <c r="AH515" s="1005"/>
      <c r="AI515" s="1005"/>
      <c r="AJ515" s="1005"/>
      <c r="AK515" s="1005"/>
      <c r="AL515" s="1005"/>
      <c r="AM515" s="1005"/>
      <c r="AN515" s="1005"/>
      <c r="AO515" s="1005"/>
      <c r="AP515" s="1005"/>
      <c r="AQ515" s="1005"/>
      <c r="AR515" s="1005"/>
      <c r="AS515" s="1005"/>
      <c r="AT515" s="1005"/>
      <c r="AU515" s="1005"/>
      <c r="AV515" s="1005"/>
      <c r="AW515" s="1005"/>
      <c r="AX515" s="1005"/>
      <c r="AY515" s="1005"/>
      <c r="AZ515" s="1005"/>
      <c r="BA515" s="1005"/>
      <c r="BB515" s="1005"/>
      <c r="BC515" s="1005"/>
      <c r="BD515" s="1005"/>
      <c r="BE515" s="204"/>
      <c r="BF515" s="205" t="s">
        <v>487</v>
      </c>
      <c r="BG515" s="204"/>
      <c r="BH515" s="204" t="s">
        <v>407</v>
      </c>
      <c r="BI515" s="204"/>
      <c r="BJ515" s="204"/>
      <c r="BK515" s="206"/>
    </row>
    <row r="516" spans="1:63" s="164" customFormat="1" ht="15.75" customHeight="1">
      <c r="A516" s="182" t="s">
        <v>411</v>
      </c>
      <c r="B516" s="183" t="s">
        <v>951</v>
      </c>
      <c r="C516" s="184"/>
      <c r="D516" s="184"/>
      <c r="E516" s="184"/>
      <c r="F516" s="184"/>
      <c r="G516" s="184"/>
      <c r="H516" s="184"/>
      <c r="I516" s="184"/>
      <c r="J516" s="184"/>
      <c r="K516" s="184"/>
      <c r="L516" s="193"/>
      <c r="M516" s="1005" t="s">
        <v>952</v>
      </c>
      <c r="N516" s="1005"/>
      <c r="O516" s="1005"/>
      <c r="P516" s="1005"/>
      <c r="Q516" s="1005"/>
      <c r="R516" s="1005"/>
      <c r="S516" s="1005"/>
      <c r="T516" s="1005"/>
      <c r="U516" s="1005"/>
      <c r="V516" s="1005"/>
      <c r="W516" s="1005"/>
      <c r="X516" s="1005"/>
      <c r="Y516" s="1005"/>
      <c r="Z516" s="1005"/>
      <c r="AA516" s="1005"/>
      <c r="AB516" s="1005"/>
      <c r="AC516" s="1005"/>
      <c r="AD516" s="1005"/>
      <c r="AE516" s="1005"/>
      <c r="AF516" s="1005"/>
      <c r="AG516" s="1005"/>
      <c r="AH516" s="1005"/>
      <c r="AI516" s="1005"/>
      <c r="AJ516" s="1005"/>
      <c r="AK516" s="1005"/>
      <c r="AL516" s="1005"/>
      <c r="AM516" s="1005"/>
      <c r="AN516" s="1005"/>
      <c r="AO516" s="1005"/>
      <c r="AP516" s="1005"/>
      <c r="AQ516" s="1005"/>
      <c r="AR516" s="1005"/>
      <c r="AS516" s="1005"/>
      <c r="AT516" s="1005"/>
      <c r="AU516" s="1005"/>
      <c r="AV516" s="1005"/>
      <c r="AW516" s="1005"/>
      <c r="AX516" s="1005"/>
      <c r="AY516" s="1005"/>
      <c r="AZ516" s="1005"/>
      <c r="BA516" s="1005"/>
      <c r="BB516" s="1005"/>
      <c r="BC516" s="1005"/>
      <c r="BD516" s="1005"/>
      <c r="BE516" s="204"/>
      <c r="BF516" s="205" t="s">
        <v>487</v>
      </c>
      <c r="BG516" s="204"/>
      <c r="BH516" s="204" t="s">
        <v>407</v>
      </c>
      <c r="BI516" s="205" t="s">
        <v>408</v>
      </c>
      <c r="BJ516" s="204"/>
      <c r="BK516" s="206"/>
    </row>
    <row r="517" spans="1:63" s="164" customFormat="1" ht="15.75" customHeight="1">
      <c r="A517" s="182" t="s">
        <v>411</v>
      </c>
      <c r="B517" s="183" t="s">
        <v>566</v>
      </c>
      <c r="C517" s="184"/>
      <c r="D517" s="184"/>
      <c r="E517" s="184"/>
      <c r="F517" s="184"/>
      <c r="G517" s="184"/>
      <c r="H517" s="184"/>
      <c r="I517" s="184"/>
      <c r="J517" s="184"/>
      <c r="K517" s="184"/>
      <c r="L517" s="193"/>
      <c r="M517" s="1005" t="s">
        <v>953</v>
      </c>
      <c r="N517" s="1005"/>
      <c r="O517" s="1005"/>
      <c r="P517" s="1005"/>
      <c r="Q517" s="1005"/>
      <c r="R517" s="1005"/>
      <c r="S517" s="1005"/>
      <c r="T517" s="1005"/>
      <c r="U517" s="1005"/>
      <c r="V517" s="1005"/>
      <c r="W517" s="1005"/>
      <c r="X517" s="1005"/>
      <c r="Y517" s="1005"/>
      <c r="Z517" s="1005"/>
      <c r="AA517" s="1005"/>
      <c r="AB517" s="1005"/>
      <c r="AC517" s="1005"/>
      <c r="AD517" s="1005"/>
      <c r="AE517" s="1005"/>
      <c r="AF517" s="1005"/>
      <c r="AG517" s="1005"/>
      <c r="AH517" s="1005"/>
      <c r="AI517" s="1005"/>
      <c r="AJ517" s="1005"/>
      <c r="AK517" s="1005"/>
      <c r="AL517" s="1005"/>
      <c r="AM517" s="1005"/>
      <c r="AN517" s="1005"/>
      <c r="AO517" s="1005"/>
      <c r="AP517" s="1005"/>
      <c r="AQ517" s="1005"/>
      <c r="AR517" s="1005"/>
      <c r="AS517" s="1005"/>
      <c r="AT517" s="1005"/>
      <c r="AU517" s="1005"/>
      <c r="AV517" s="1005"/>
      <c r="AW517" s="1005"/>
      <c r="AX517" s="1005"/>
      <c r="AY517" s="1005"/>
      <c r="AZ517" s="1005"/>
      <c r="BA517" s="1005"/>
      <c r="BB517" s="1005"/>
      <c r="BC517" s="1005"/>
      <c r="BD517" s="1005"/>
      <c r="BE517" s="204"/>
      <c r="BF517" s="205" t="s">
        <v>487</v>
      </c>
      <c r="BG517" s="204"/>
      <c r="BH517" s="204" t="s">
        <v>407</v>
      </c>
      <c r="BI517" s="205" t="s">
        <v>408</v>
      </c>
      <c r="BJ517" s="204"/>
      <c r="BK517" s="206"/>
    </row>
    <row r="518" spans="1:63" s="164" customFormat="1" ht="15.75" customHeight="1">
      <c r="A518" s="182" t="s">
        <v>411</v>
      </c>
      <c r="B518" s="183" t="s">
        <v>565</v>
      </c>
      <c r="C518" s="184"/>
      <c r="D518" s="184"/>
      <c r="E518" s="184"/>
      <c r="F518" s="184"/>
      <c r="G518" s="184"/>
      <c r="H518" s="184"/>
      <c r="I518" s="184"/>
      <c r="J518" s="184"/>
      <c r="K518" s="184"/>
      <c r="L518" s="193"/>
      <c r="M518" s="1003"/>
      <c r="N518" s="1002"/>
      <c r="O518" s="1002"/>
      <c r="P518" s="1002"/>
      <c r="Q518" s="1002"/>
      <c r="R518" s="1002"/>
      <c r="S518" s="1002"/>
      <c r="T518" s="1002"/>
      <c r="U518" s="1002"/>
      <c r="V518" s="1002"/>
      <c r="W518" s="1002"/>
      <c r="X518" s="1002"/>
      <c r="Y518" s="1002"/>
      <c r="Z518" s="1002"/>
      <c r="AA518" s="1002"/>
      <c r="AB518" s="1002"/>
      <c r="AC518" s="1002"/>
      <c r="AD518" s="1002"/>
      <c r="AE518" s="1002"/>
      <c r="AF518" s="1002"/>
      <c r="AG518" s="1002"/>
      <c r="AH518" s="1002"/>
      <c r="AI518" s="1002"/>
      <c r="AJ518" s="1002"/>
      <c r="AK518" s="1002"/>
      <c r="AL518" s="1002"/>
      <c r="AM518" s="1002"/>
      <c r="AN518" s="1002"/>
      <c r="AO518" s="1002"/>
      <c r="AP518" s="1002"/>
      <c r="AQ518" s="1002"/>
      <c r="AR518" s="1002"/>
      <c r="AS518" s="1002"/>
      <c r="AT518" s="1002"/>
      <c r="AU518" s="1002"/>
      <c r="AV518" s="1002"/>
      <c r="AW518" s="1002"/>
      <c r="AX518" s="1002"/>
      <c r="AY518" s="1002"/>
      <c r="AZ518" s="1002"/>
      <c r="BA518" s="1002"/>
      <c r="BB518" s="1002"/>
      <c r="BC518" s="1002"/>
      <c r="BD518" s="1002"/>
      <c r="BE518" s="204"/>
      <c r="BF518" s="205" t="s">
        <v>487</v>
      </c>
      <c r="BG518" s="204"/>
      <c r="BH518" s="204" t="s">
        <v>407</v>
      </c>
      <c r="BI518" s="205" t="s">
        <v>408</v>
      </c>
      <c r="BJ518" s="204"/>
      <c r="BK518" s="206"/>
    </row>
    <row r="519" spans="1:63" s="164" customFormat="1" ht="15.75" customHeight="1">
      <c r="A519" s="182" t="s">
        <v>411</v>
      </c>
      <c r="B519" s="183" t="s">
        <v>567</v>
      </c>
      <c r="C519" s="184"/>
      <c r="D519" s="184"/>
      <c r="E519" s="184"/>
      <c r="F519" s="184"/>
      <c r="G519" s="184"/>
      <c r="H519" s="184"/>
      <c r="I519" s="184"/>
      <c r="J519" s="184"/>
      <c r="K519" s="184"/>
      <c r="L519" s="193"/>
      <c r="M519" s="1005" t="s">
        <v>948</v>
      </c>
      <c r="N519" s="1005"/>
      <c r="O519" s="1005"/>
      <c r="P519" s="1005"/>
      <c r="Q519" s="1005"/>
      <c r="R519" s="1005"/>
      <c r="S519" s="1005"/>
      <c r="T519" s="1005"/>
      <c r="U519" s="1005"/>
      <c r="V519" s="1005"/>
      <c r="W519" s="1005"/>
      <c r="X519" s="1005"/>
      <c r="Y519" s="1005"/>
      <c r="Z519" s="1005"/>
      <c r="AA519" s="1005"/>
      <c r="AB519" s="1005"/>
      <c r="AC519" s="1005"/>
      <c r="AD519" s="1005"/>
      <c r="AE519" s="1005"/>
      <c r="AF519" s="1005"/>
      <c r="AG519" s="1005"/>
      <c r="AH519" s="1005"/>
      <c r="AI519" s="1005"/>
      <c r="AJ519" s="1005"/>
      <c r="AK519" s="1005"/>
      <c r="AL519" s="1005"/>
      <c r="AM519" s="1005"/>
      <c r="AN519" s="1005"/>
      <c r="AO519" s="1005"/>
      <c r="AP519" s="1005"/>
      <c r="AQ519" s="1005"/>
      <c r="AR519" s="1005"/>
      <c r="AS519" s="1005"/>
      <c r="AT519" s="1005"/>
      <c r="AU519" s="1005"/>
      <c r="AV519" s="1005"/>
      <c r="AW519" s="1005"/>
      <c r="AX519" s="1005"/>
      <c r="AY519" s="1005"/>
      <c r="AZ519" s="1005"/>
      <c r="BA519" s="1005"/>
      <c r="BB519" s="1005"/>
      <c r="BC519" s="1005"/>
      <c r="BD519" s="1005"/>
      <c r="BE519" s="204"/>
      <c r="BF519" s="205" t="s">
        <v>487</v>
      </c>
      <c r="BG519" s="204"/>
      <c r="BH519" s="204" t="s">
        <v>407</v>
      </c>
      <c r="BI519" s="205" t="s">
        <v>408</v>
      </c>
      <c r="BJ519" s="204"/>
      <c r="BK519" s="206"/>
    </row>
    <row r="520" spans="1:63" s="164" customFormat="1" ht="15.75" customHeight="1">
      <c r="A520" s="182" t="s">
        <v>411</v>
      </c>
      <c r="B520" s="183" t="s">
        <v>568</v>
      </c>
      <c r="C520" s="184"/>
      <c r="D520" s="184"/>
      <c r="E520" s="184"/>
      <c r="F520" s="184"/>
      <c r="G520" s="184"/>
      <c r="H520" s="184"/>
      <c r="I520" s="184"/>
      <c r="J520" s="184"/>
      <c r="K520" s="184"/>
      <c r="L520" s="193"/>
      <c r="M520" s="1005" t="s">
        <v>949</v>
      </c>
      <c r="N520" s="1005"/>
      <c r="O520" s="1005"/>
      <c r="P520" s="1005"/>
      <c r="Q520" s="1005"/>
      <c r="R520" s="1005"/>
      <c r="S520" s="1005"/>
      <c r="T520" s="1005"/>
      <c r="U520" s="1005"/>
      <c r="V520" s="1005"/>
      <c r="W520" s="1005"/>
      <c r="X520" s="1005"/>
      <c r="Y520" s="1005"/>
      <c r="Z520" s="1005"/>
      <c r="AA520" s="1005"/>
      <c r="AB520" s="1005"/>
      <c r="AC520" s="1005"/>
      <c r="AD520" s="1005"/>
      <c r="AE520" s="1005"/>
      <c r="AF520" s="1005"/>
      <c r="AG520" s="1005"/>
      <c r="AH520" s="1005"/>
      <c r="AI520" s="1005"/>
      <c r="AJ520" s="1005"/>
      <c r="AK520" s="1005"/>
      <c r="AL520" s="1005"/>
      <c r="AM520" s="1005"/>
      <c r="AN520" s="1005"/>
      <c r="AO520" s="1005"/>
      <c r="AP520" s="1005"/>
      <c r="AQ520" s="1005"/>
      <c r="AR520" s="1005"/>
      <c r="AS520" s="1005"/>
      <c r="AT520" s="1005"/>
      <c r="AU520" s="1005"/>
      <c r="AV520" s="1005"/>
      <c r="AW520" s="1005"/>
      <c r="AX520" s="1005"/>
      <c r="AY520" s="1005"/>
      <c r="AZ520" s="1005"/>
      <c r="BA520" s="1005"/>
      <c r="BB520" s="1005"/>
      <c r="BC520" s="1005"/>
      <c r="BD520" s="1005"/>
      <c r="BE520" s="204"/>
      <c r="BF520" s="205" t="s">
        <v>487</v>
      </c>
      <c r="BG520" s="204"/>
      <c r="BH520" s="204" t="s">
        <v>407</v>
      </c>
      <c r="BI520" s="205" t="s">
        <v>408</v>
      </c>
      <c r="BJ520" s="204"/>
      <c r="BK520" s="206"/>
    </row>
    <row r="521" spans="1:63" s="164" customFormat="1" ht="15.75" customHeight="1">
      <c r="A521" s="182" t="s">
        <v>411</v>
      </c>
      <c r="B521" s="183" t="s">
        <v>572</v>
      </c>
      <c r="C521" s="184"/>
      <c r="D521" s="184"/>
      <c r="E521" s="184"/>
      <c r="F521" s="184"/>
      <c r="G521" s="184"/>
      <c r="H521" s="184"/>
      <c r="I521" s="184"/>
      <c r="J521" s="184"/>
      <c r="K521" s="184"/>
      <c r="L521" s="193"/>
      <c r="M521" s="1003"/>
      <c r="N521" s="1002"/>
      <c r="O521" s="1002"/>
      <c r="P521" s="1002"/>
      <c r="Q521" s="1002"/>
      <c r="R521" s="1002"/>
      <c r="S521" s="1002"/>
      <c r="T521" s="1002"/>
      <c r="U521" s="1002"/>
      <c r="V521" s="1002"/>
      <c r="W521" s="1002"/>
      <c r="X521" s="1002"/>
      <c r="Y521" s="1002"/>
      <c r="Z521" s="1002"/>
      <c r="AA521" s="1002"/>
      <c r="AB521" s="1002"/>
      <c r="AC521" s="1002"/>
      <c r="AD521" s="1002"/>
      <c r="AE521" s="1002"/>
      <c r="AF521" s="1002"/>
      <c r="AG521" s="1002"/>
      <c r="AH521" s="1002"/>
      <c r="AI521" s="1002"/>
      <c r="AJ521" s="1002"/>
      <c r="AK521" s="1002"/>
      <c r="AL521" s="1002"/>
      <c r="AM521" s="1002"/>
      <c r="AN521" s="1002"/>
      <c r="AO521" s="1002"/>
      <c r="AP521" s="1002"/>
      <c r="AQ521" s="1002"/>
      <c r="AR521" s="1002"/>
      <c r="AS521" s="1002"/>
      <c r="AT521" s="1002"/>
      <c r="AU521" s="1002"/>
      <c r="AV521" s="1002"/>
      <c r="AW521" s="1002"/>
      <c r="AX521" s="1002"/>
      <c r="AY521" s="1002"/>
      <c r="AZ521" s="1002"/>
      <c r="BA521" s="1002"/>
      <c r="BB521" s="1002"/>
      <c r="BC521" s="1002"/>
      <c r="BD521" s="1002"/>
      <c r="BE521" s="204"/>
      <c r="BF521" s="205" t="s">
        <v>487</v>
      </c>
      <c r="BG521" s="204"/>
      <c r="BH521" s="204" t="s">
        <v>407</v>
      </c>
      <c r="BI521" s="205" t="s">
        <v>408</v>
      </c>
      <c r="BJ521" s="205" t="s">
        <v>409</v>
      </c>
      <c r="BK521" s="206"/>
    </row>
    <row r="522" spans="1:63" s="164" customFormat="1" ht="15.75" customHeight="1">
      <c r="A522" s="182" t="s">
        <v>411</v>
      </c>
      <c r="B522" s="183" t="s">
        <v>573</v>
      </c>
      <c r="C522" s="184"/>
      <c r="D522" s="184"/>
      <c r="E522" s="184"/>
      <c r="F522" s="184"/>
      <c r="G522" s="184"/>
      <c r="H522" s="184"/>
      <c r="I522" s="184"/>
      <c r="J522" s="184"/>
      <c r="K522" s="184"/>
      <c r="L522" s="193"/>
      <c r="M522" s="1003"/>
      <c r="N522" s="1002"/>
      <c r="O522" s="1002"/>
      <c r="P522" s="1002"/>
      <c r="Q522" s="1002"/>
      <c r="R522" s="1002"/>
      <c r="S522" s="1002"/>
      <c r="T522" s="1002"/>
      <c r="U522" s="1002"/>
      <c r="V522" s="1002"/>
      <c r="W522" s="1002"/>
      <c r="X522" s="1002"/>
      <c r="Y522" s="1002"/>
      <c r="Z522" s="1002"/>
      <c r="AA522" s="1002"/>
      <c r="AB522" s="1002"/>
      <c r="AC522" s="1002"/>
      <c r="AD522" s="1002"/>
      <c r="AE522" s="1002"/>
      <c r="AF522" s="1002"/>
      <c r="AG522" s="1002"/>
      <c r="AH522" s="1002"/>
      <c r="AI522" s="1002"/>
      <c r="AJ522" s="1002"/>
      <c r="AK522" s="1002"/>
      <c r="AL522" s="1002"/>
      <c r="AM522" s="1002"/>
      <c r="AN522" s="1002"/>
      <c r="AO522" s="1002"/>
      <c r="AP522" s="1002"/>
      <c r="AQ522" s="1002"/>
      <c r="AR522" s="1002"/>
      <c r="AS522" s="1002"/>
      <c r="AT522" s="1002"/>
      <c r="AU522" s="1002"/>
      <c r="AV522" s="1002"/>
      <c r="AW522" s="1002"/>
      <c r="AX522" s="1002"/>
      <c r="AY522" s="1002"/>
      <c r="AZ522" s="1002"/>
      <c r="BA522" s="1002"/>
      <c r="BB522" s="1002"/>
      <c r="BC522" s="1002"/>
      <c r="BD522" s="1002"/>
      <c r="BE522" s="204"/>
      <c r="BF522" s="205" t="s">
        <v>487</v>
      </c>
      <c r="BG522" s="204"/>
      <c r="BH522" s="204" t="s">
        <v>407</v>
      </c>
      <c r="BI522" s="205" t="s">
        <v>408</v>
      </c>
      <c r="BJ522" s="205" t="s">
        <v>409</v>
      </c>
      <c r="BK522" s="206"/>
    </row>
    <row r="523" spans="1:63" s="164" customFormat="1" ht="15.75" customHeight="1">
      <c r="A523" s="182" t="s">
        <v>411</v>
      </c>
      <c r="B523" s="183" t="s">
        <v>574</v>
      </c>
      <c r="C523" s="184"/>
      <c r="D523" s="184"/>
      <c r="E523" s="184"/>
      <c r="F523" s="184"/>
      <c r="G523" s="184"/>
      <c r="H523" s="184"/>
      <c r="I523" s="184"/>
      <c r="J523" s="184"/>
      <c r="K523" s="184"/>
      <c r="L523" s="193"/>
      <c r="M523" s="1003"/>
      <c r="N523" s="1002"/>
      <c r="O523" s="1002"/>
      <c r="P523" s="1002"/>
      <c r="Q523" s="1002"/>
      <c r="R523" s="1002"/>
      <c r="S523" s="1002"/>
      <c r="T523" s="1002"/>
      <c r="U523" s="1002"/>
      <c r="V523" s="1002"/>
      <c r="W523" s="1002"/>
      <c r="X523" s="1002"/>
      <c r="Y523" s="1002"/>
      <c r="Z523" s="1002"/>
      <c r="AA523" s="1002"/>
      <c r="AB523" s="1002"/>
      <c r="AC523" s="1002"/>
      <c r="AD523" s="1002"/>
      <c r="AE523" s="1002"/>
      <c r="AF523" s="1002"/>
      <c r="AG523" s="1002"/>
      <c r="AH523" s="1002"/>
      <c r="AI523" s="1002"/>
      <c r="AJ523" s="1002"/>
      <c r="AK523" s="1002"/>
      <c r="AL523" s="1002"/>
      <c r="AM523" s="1002"/>
      <c r="AN523" s="1002"/>
      <c r="AO523" s="1002"/>
      <c r="AP523" s="1002"/>
      <c r="AQ523" s="1002"/>
      <c r="AR523" s="1002"/>
      <c r="AS523" s="1002"/>
      <c r="AT523" s="1002"/>
      <c r="AU523" s="1002"/>
      <c r="AV523" s="1002"/>
      <c r="AW523" s="1002"/>
      <c r="AX523" s="1002"/>
      <c r="AY523" s="1002"/>
      <c r="AZ523" s="1002"/>
      <c r="BA523" s="1002"/>
      <c r="BB523" s="1002"/>
      <c r="BC523" s="1002"/>
      <c r="BD523" s="1002"/>
      <c r="BE523" s="204"/>
      <c r="BF523" s="205" t="s">
        <v>487</v>
      </c>
      <c r="BG523" s="204"/>
      <c r="BH523" s="204" t="s">
        <v>407</v>
      </c>
      <c r="BI523" s="205" t="s">
        <v>408</v>
      </c>
      <c r="BJ523" s="205" t="s">
        <v>409</v>
      </c>
      <c r="BK523" s="206"/>
    </row>
    <row r="524" spans="1:63" s="164" customFormat="1" ht="33" customHeight="1">
      <c r="A524" s="239" t="s">
        <v>411</v>
      </c>
      <c r="B524" s="233" t="s">
        <v>954</v>
      </c>
      <c r="C524" s="240"/>
      <c r="D524" s="241"/>
      <c r="E524" s="241"/>
      <c r="F524" s="241"/>
      <c r="G524" s="241"/>
      <c r="H524" s="241"/>
      <c r="I524" s="241"/>
      <c r="J524" s="241"/>
      <c r="K524" s="241"/>
      <c r="L524" s="241"/>
      <c r="M524" s="1007" t="s">
        <v>955</v>
      </c>
      <c r="N524" s="1008"/>
      <c r="O524" s="1008"/>
      <c r="P524" s="1008"/>
      <c r="Q524" s="1008"/>
      <c r="R524" s="1008"/>
      <c r="S524" s="1008"/>
      <c r="T524" s="1008"/>
      <c r="U524" s="1008"/>
      <c r="V524" s="1008"/>
      <c r="W524" s="1008"/>
      <c r="X524" s="1008"/>
      <c r="Y524" s="1008"/>
      <c r="Z524" s="1008"/>
      <c r="AA524" s="1008"/>
      <c r="AB524" s="1008"/>
      <c r="AC524" s="1008"/>
      <c r="AD524" s="1008"/>
      <c r="AE524" s="1008"/>
      <c r="AF524" s="1008"/>
      <c r="AG524" s="1008"/>
      <c r="AH524" s="1008"/>
      <c r="AI524" s="1008"/>
      <c r="AJ524" s="1008"/>
      <c r="AK524" s="1008"/>
      <c r="AL524" s="1008"/>
      <c r="AM524" s="1008"/>
      <c r="AN524" s="1008"/>
      <c r="AO524" s="1008"/>
      <c r="AP524" s="1008"/>
      <c r="AQ524" s="1008"/>
      <c r="AR524" s="1008"/>
      <c r="AS524" s="1008"/>
      <c r="AT524" s="1008"/>
      <c r="AU524" s="1008"/>
      <c r="AV524" s="1008"/>
      <c r="AW524" s="1008"/>
      <c r="AX524" s="1008"/>
      <c r="AY524" s="1008"/>
      <c r="AZ524" s="1008"/>
      <c r="BA524" s="1008"/>
      <c r="BB524" s="1008"/>
      <c r="BC524" s="1008"/>
      <c r="BD524" s="1009"/>
      <c r="BE524" s="242"/>
      <c r="BF524" s="241" t="s">
        <v>487</v>
      </c>
      <c r="BG524" s="204"/>
      <c r="BH524" s="204" t="s">
        <v>407</v>
      </c>
      <c r="BI524" s="205" t="s">
        <v>408</v>
      </c>
      <c r="BJ524" s="205" t="s">
        <v>409</v>
      </c>
      <c r="BK524" s="206"/>
    </row>
    <row r="525" spans="1:63" s="164" customFormat="1" ht="33" customHeight="1">
      <c r="A525" s="239" t="s">
        <v>411</v>
      </c>
      <c r="B525" s="233" t="s">
        <v>956</v>
      </c>
      <c r="C525" s="240"/>
      <c r="D525" s="241"/>
      <c r="E525" s="241"/>
      <c r="F525" s="241"/>
      <c r="G525" s="241"/>
      <c r="H525" s="241"/>
      <c r="I525" s="241"/>
      <c r="J525" s="241"/>
      <c r="K525" s="241"/>
      <c r="L525" s="241"/>
      <c r="M525" s="1007" t="s">
        <v>955</v>
      </c>
      <c r="N525" s="1008"/>
      <c r="O525" s="1008"/>
      <c r="P525" s="1008"/>
      <c r="Q525" s="1008"/>
      <c r="R525" s="1008"/>
      <c r="S525" s="1008"/>
      <c r="T525" s="1008"/>
      <c r="U525" s="1008"/>
      <c r="V525" s="1008"/>
      <c r="W525" s="1008"/>
      <c r="X525" s="1008"/>
      <c r="Y525" s="1008"/>
      <c r="Z525" s="1008"/>
      <c r="AA525" s="1008"/>
      <c r="AB525" s="1008"/>
      <c r="AC525" s="1008"/>
      <c r="AD525" s="1008"/>
      <c r="AE525" s="1008"/>
      <c r="AF525" s="1008"/>
      <c r="AG525" s="1008"/>
      <c r="AH525" s="1008"/>
      <c r="AI525" s="1008"/>
      <c r="AJ525" s="1008"/>
      <c r="AK525" s="1008"/>
      <c r="AL525" s="1008"/>
      <c r="AM525" s="1008"/>
      <c r="AN525" s="1008"/>
      <c r="AO525" s="1008"/>
      <c r="AP525" s="1008"/>
      <c r="AQ525" s="1008"/>
      <c r="AR525" s="1008"/>
      <c r="AS525" s="1008"/>
      <c r="AT525" s="1008"/>
      <c r="AU525" s="1008"/>
      <c r="AV525" s="1008"/>
      <c r="AW525" s="1008"/>
      <c r="AX525" s="1008"/>
      <c r="AY525" s="1008"/>
      <c r="AZ525" s="1008"/>
      <c r="BA525" s="1008"/>
      <c r="BB525" s="1008"/>
      <c r="BC525" s="1008"/>
      <c r="BD525" s="1009"/>
      <c r="BE525" s="242"/>
      <c r="BF525" s="241" t="s">
        <v>487</v>
      </c>
      <c r="BG525" s="204"/>
      <c r="BH525" s="204" t="s">
        <v>407</v>
      </c>
      <c r="BI525" s="205" t="s">
        <v>408</v>
      </c>
      <c r="BJ525" s="205" t="s">
        <v>409</v>
      </c>
      <c r="BK525" s="206"/>
    </row>
    <row r="526" spans="1:63" s="164" customFormat="1" ht="33" customHeight="1">
      <c r="A526" s="239" t="s">
        <v>411</v>
      </c>
      <c r="B526" s="233" t="s">
        <v>957</v>
      </c>
      <c r="C526" s="240"/>
      <c r="D526" s="241"/>
      <c r="E526" s="241"/>
      <c r="F526" s="241"/>
      <c r="G526" s="241"/>
      <c r="H526" s="241"/>
      <c r="I526" s="241"/>
      <c r="J526" s="241"/>
      <c r="K526" s="241"/>
      <c r="L526" s="241"/>
      <c r="M526" s="1007" t="s">
        <v>955</v>
      </c>
      <c r="N526" s="1008"/>
      <c r="O526" s="1008"/>
      <c r="P526" s="1008"/>
      <c r="Q526" s="1008"/>
      <c r="R526" s="1008"/>
      <c r="S526" s="1008"/>
      <c r="T526" s="1008"/>
      <c r="U526" s="1008"/>
      <c r="V526" s="1008"/>
      <c r="W526" s="1008"/>
      <c r="X526" s="1008"/>
      <c r="Y526" s="1008"/>
      <c r="Z526" s="1008"/>
      <c r="AA526" s="1008"/>
      <c r="AB526" s="1008"/>
      <c r="AC526" s="1008"/>
      <c r="AD526" s="1008"/>
      <c r="AE526" s="1008"/>
      <c r="AF526" s="1008"/>
      <c r="AG526" s="1008"/>
      <c r="AH526" s="1008"/>
      <c r="AI526" s="1008"/>
      <c r="AJ526" s="1008"/>
      <c r="AK526" s="1008"/>
      <c r="AL526" s="1008"/>
      <c r="AM526" s="1008"/>
      <c r="AN526" s="1008"/>
      <c r="AO526" s="1008"/>
      <c r="AP526" s="1008"/>
      <c r="AQ526" s="1008"/>
      <c r="AR526" s="1008"/>
      <c r="AS526" s="1008"/>
      <c r="AT526" s="1008"/>
      <c r="AU526" s="1008"/>
      <c r="AV526" s="1008"/>
      <c r="AW526" s="1008"/>
      <c r="AX526" s="1008"/>
      <c r="AY526" s="1008"/>
      <c r="AZ526" s="1008"/>
      <c r="BA526" s="1008"/>
      <c r="BB526" s="1008"/>
      <c r="BC526" s="1008"/>
      <c r="BD526" s="1009"/>
      <c r="BE526" s="242"/>
      <c r="BF526" s="241" t="s">
        <v>487</v>
      </c>
      <c r="BG526" s="204"/>
      <c r="BH526" s="204" t="s">
        <v>407</v>
      </c>
      <c r="BI526" s="205" t="s">
        <v>408</v>
      </c>
      <c r="BJ526" s="205" t="s">
        <v>409</v>
      </c>
      <c r="BK526" s="206"/>
    </row>
    <row r="527" spans="1:63" s="164" customFormat="1" ht="33" customHeight="1">
      <c r="A527" s="239" t="s">
        <v>411</v>
      </c>
      <c r="B527" s="233" t="s">
        <v>958</v>
      </c>
      <c r="C527" s="240"/>
      <c r="D527" s="241"/>
      <c r="E527" s="241"/>
      <c r="F527" s="241"/>
      <c r="G527" s="241"/>
      <c r="H527" s="241"/>
      <c r="I527" s="241"/>
      <c r="J527" s="241"/>
      <c r="K527" s="241"/>
      <c r="L527" s="241"/>
      <c r="M527" s="1007" t="s">
        <v>955</v>
      </c>
      <c r="N527" s="1008"/>
      <c r="O527" s="1008"/>
      <c r="P527" s="1008"/>
      <c r="Q527" s="1008"/>
      <c r="R527" s="1008"/>
      <c r="S527" s="1008"/>
      <c r="T527" s="1008"/>
      <c r="U527" s="1008"/>
      <c r="V527" s="1008"/>
      <c r="W527" s="1008"/>
      <c r="X527" s="1008"/>
      <c r="Y527" s="1008"/>
      <c r="Z527" s="1008"/>
      <c r="AA527" s="1008"/>
      <c r="AB527" s="1008"/>
      <c r="AC527" s="1008"/>
      <c r="AD527" s="1008"/>
      <c r="AE527" s="1008"/>
      <c r="AF527" s="1008"/>
      <c r="AG527" s="1008"/>
      <c r="AH527" s="1008"/>
      <c r="AI527" s="1008"/>
      <c r="AJ527" s="1008"/>
      <c r="AK527" s="1008"/>
      <c r="AL527" s="1008"/>
      <c r="AM527" s="1008"/>
      <c r="AN527" s="1008"/>
      <c r="AO527" s="1008"/>
      <c r="AP527" s="1008"/>
      <c r="AQ527" s="1008"/>
      <c r="AR527" s="1008"/>
      <c r="AS527" s="1008"/>
      <c r="AT527" s="1008"/>
      <c r="AU527" s="1008"/>
      <c r="AV527" s="1008"/>
      <c r="AW527" s="1008"/>
      <c r="AX527" s="1008"/>
      <c r="AY527" s="1008"/>
      <c r="AZ527" s="1008"/>
      <c r="BA527" s="1008"/>
      <c r="BB527" s="1008"/>
      <c r="BC527" s="1008"/>
      <c r="BD527" s="1009"/>
      <c r="BE527" s="242"/>
      <c r="BF527" s="241" t="s">
        <v>487</v>
      </c>
      <c r="BG527" s="204"/>
      <c r="BH527" s="204" t="s">
        <v>407</v>
      </c>
      <c r="BI527" s="205" t="s">
        <v>408</v>
      </c>
      <c r="BJ527" s="205" t="s">
        <v>409</v>
      </c>
      <c r="BK527" s="206"/>
    </row>
    <row r="528" spans="1:63" s="164" customFormat="1" ht="33" customHeight="1">
      <c r="A528" s="239" t="s">
        <v>411</v>
      </c>
      <c r="B528" s="233" t="s">
        <v>959</v>
      </c>
      <c r="C528" s="240"/>
      <c r="D528" s="241"/>
      <c r="E528" s="241"/>
      <c r="F528" s="241"/>
      <c r="G528" s="241"/>
      <c r="H528" s="241"/>
      <c r="I528" s="241"/>
      <c r="J528" s="241"/>
      <c r="K528" s="241"/>
      <c r="L528" s="241"/>
      <c r="M528" s="1007" t="s">
        <v>955</v>
      </c>
      <c r="N528" s="1008"/>
      <c r="O528" s="1008"/>
      <c r="P528" s="1008"/>
      <c r="Q528" s="1008"/>
      <c r="R528" s="1008"/>
      <c r="S528" s="1008"/>
      <c r="T528" s="1008"/>
      <c r="U528" s="1008"/>
      <c r="V528" s="1008"/>
      <c r="W528" s="1008"/>
      <c r="X528" s="1008"/>
      <c r="Y528" s="1008"/>
      <c r="Z528" s="1008"/>
      <c r="AA528" s="1008"/>
      <c r="AB528" s="1008"/>
      <c r="AC528" s="1008"/>
      <c r="AD528" s="1008"/>
      <c r="AE528" s="1008"/>
      <c r="AF528" s="1008"/>
      <c r="AG528" s="1008"/>
      <c r="AH528" s="1008"/>
      <c r="AI528" s="1008"/>
      <c r="AJ528" s="1008"/>
      <c r="AK528" s="1008"/>
      <c r="AL528" s="1008"/>
      <c r="AM528" s="1008"/>
      <c r="AN528" s="1008"/>
      <c r="AO528" s="1008"/>
      <c r="AP528" s="1008"/>
      <c r="AQ528" s="1008"/>
      <c r="AR528" s="1008"/>
      <c r="AS528" s="1008"/>
      <c r="AT528" s="1008"/>
      <c r="AU528" s="1008"/>
      <c r="AV528" s="1008"/>
      <c r="AW528" s="1008"/>
      <c r="AX528" s="1008"/>
      <c r="AY528" s="1008"/>
      <c r="AZ528" s="1008"/>
      <c r="BA528" s="1008"/>
      <c r="BB528" s="1008"/>
      <c r="BC528" s="1008"/>
      <c r="BD528" s="1009"/>
      <c r="BE528" s="242"/>
      <c r="BF528" s="241" t="s">
        <v>487</v>
      </c>
      <c r="BG528" s="204"/>
      <c r="BH528" s="204" t="s">
        <v>407</v>
      </c>
      <c r="BI528" s="205" t="s">
        <v>408</v>
      </c>
      <c r="BJ528" s="205" t="s">
        <v>409</v>
      </c>
      <c r="BK528" s="206"/>
    </row>
    <row r="529" spans="1:63" s="164" customFormat="1" ht="33" customHeight="1">
      <c r="A529" s="239" t="s">
        <v>411</v>
      </c>
      <c r="B529" s="233" t="s">
        <v>960</v>
      </c>
      <c r="C529" s="240"/>
      <c r="D529" s="241"/>
      <c r="E529" s="241"/>
      <c r="F529" s="241"/>
      <c r="G529" s="241"/>
      <c r="H529" s="241"/>
      <c r="I529" s="241"/>
      <c r="J529" s="241"/>
      <c r="K529" s="241"/>
      <c r="L529" s="241"/>
      <c r="M529" s="1007" t="s">
        <v>955</v>
      </c>
      <c r="N529" s="1008"/>
      <c r="O529" s="1008"/>
      <c r="P529" s="1008"/>
      <c r="Q529" s="1008"/>
      <c r="R529" s="1008"/>
      <c r="S529" s="1008"/>
      <c r="T529" s="1008"/>
      <c r="U529" s="1008"/>
      <c r="V529" s="1008"/>
      <c r="W529" s="1008"/>
      <c r="X529" s="1008"/>
      <c r="Y529" s="1008"/>
      <c r="Z529" s="1008"/>
      <c r="AA529" s="1008"/>
      <c r="AB529" s="1008"/>
      <c r="AC529" s="1008"/>
      <c r="AD529" s="1008"/>
      <c r="AE529" s="1008"/>
      <c r="AF529" s="1008"/>
      <c r="AG529" s="1008"/>
      <c r="AH529" s="1008"/>
      <c r="AI529" s="1008"/>
      <c r="AJ529" s="1008"/>
      <c r="AK529" s="1008"/>
      <c r="AL529" s="1008"/>
      <c r="AM529" s="1008"/>
      <c r="AN529" s="1008"/>
      <c r="AO529" s="1008"/>
      <c r="AP529" s="1008"/>
      <c r="AQ529" s="1008"/>
      <c r="AR529" s="1008"/>
      <c r="AS529" s="1008"/>
      <c r="AT529" s="1008"/>
      <c r="AU529" s="1008"/>
      <c r="AV529" s="1008"/>
      <c r="AW529" s="1008"/>
      <c r="AX529" s="1008"/>
      <c r="AY529" s="1008"/>
      <c r="AZ529" s="1008"/>
      <c r="BA529" s="1008"/>
      <c r="BB529" s="1008"/>
      <c r="BC529" s="1008"/>
      <c r="BD529" s="1009"/>
      <c r="BE529" s="242"/>
      <c r="BF529" s="241" t="s">
        <v>548</v>
      </c>
      <c r="BG529" s="204"/>
      <c r="BH529" s="204" t="s">
        <v>407</v>
      </c>
      <c r="BI529" s="205" t="s">
        <v>408</v>
      </c>
      <c r="BJ529" s="205" t="s">
        <v>409</v>
      </c>
      <c r="BK529" s="206"/>
    </row>
    <row r="530" spans="1:63" s="164" customFormat="1" ht="33" customHeight="1">
      <c r="A530" s="239" t="s">
        <v>411</v>
      </c>
      <c r="B530" s="233" t="s">
        <v>961</v>
      </c>
      <c r="C530" s="240"/>
      <c r="D530" s="241"/>
      <c r="E530" s="241"/>
      <c r="F530" s="241"/>
      <c r="G530" s="241"/>
      <c r="H530" s="241"/>
      <c r="I530" s="241"/>
      <c r="J530" s="241"/>
      <c r="K530" s="241"/>
      <c r="L530" s="241"/>
      <c r="M530" s="1007" t="s">
        <v>955</v>
      </c>
      <c r="N530" s="1008"/>
      <c r="O530" s="1008"/>
      <c r="P530" s="1008"/>
      <c r="Q530" s="1008"/>
      <c r="R530" s="1008"/>
      <c r="S530" s="1008"/>
      <c r="T530" s="1008"/>
      <c r="U530" s="1008"/>
      <c r="V530" s="1008"/>
      <c r="W530" s="1008"/>
      <c r="X530" s="1008"/>
      <c r="Y530" s="1008"/>
      <c r="Z530" s="1008"/>
      <c r="AA530" s="1008"/>
      <c r="AB530" s="1008"/>
      <c r="AC530" s="1008"/>
      <c r="AD530" s="1008"/>
      <c r="AE530" s="1008"/>
      <c r="AF530" s="1008"/>
      <c r="AG530" s="1008"/>
      <c r="AH530" s="1008"/>
      <c r="AI530" s="1008"/>
      <c r="AJ530" s="1008"/>
      <c r="AK530" s="1008"/>
      <c r="AL530" s="1008"/>
      <c r="AM530" s="1008"/>
      <c r="AN530" s="1008"/>
      <c r="AO530" s="1008"/>
      <c r="AP530" s="1008"/>
      <c r="AQ530" s="1008"/>
      <c r="AR530" s="1008"/>
      <c r="AS530" s="1008"/>
      <c r="AT530" s="1008"/>
      <c r="AU530" s="1008"/>
      <c r="AV530" s="1008"/>
      <c r="AW530" s="1008"/>
      <c r="AX530" s="1008"/>
      <c r="AY530" s="1008"/>
      <c r="AZ530" s="1008"/>
      <c r="BA530" s="1008"/>
      <c r="BB530" s="1008"/>
      <c r="BC530" s="1008"/>
      <c r="BD530" s="1009"/>
      <c r="BE530" s="242"/>
      <c r="BF530" s="241" t="s">
        <v>462</v>
      </c>
      <c r="BG530" s="204"/>
      <c r="BH530" s="204" t="s">
        <v>407</v>
      </c>
      <c r="BI530" s="205" t="s">
        <v>408</v>
      </c>
      <c r="BJ530" s="205" t="s">
        <v>409</v>
      </c>
      <c r="BK530" s="206"/>
    </row>
    <row r="531" spans="1:63" s="164" customFormat="1" ht="15.75" customHeight="1">
      <c r="A531" s="182" t="s">
        <v>411</v>
      </c>
      <c r="B531" s="183" t="s">
        <v>575</v>
      </c>
      <c r="C531" s="184"/>
      <c r="D531" s="184"/>
      <c r="E531" s="184"/>
      <c r="F531" s="184"/>
      <c r="G531" s="184"/>
      <c r="H531" s="184"/>
      <c r="I531" s="184"/>
      <c r="J531" s="184"/>
      <c r="K531" s="184"/>
      <c r="L531" s="193"/>
      <c r="M531" s="1003"/>
      <c r="N531" s="1002"/>
      <c r="O531" s="1002"/>
      <c r="P531" s="1002"/>
      <c r="Q531" s="1002"/>
      <c r="R531" s="1002"/>
      <c r="S531" s="1002"/>
      <c r="T531" s="1002"/>
      <c r="U531" s="1002"/>
      <c r="V531" s="1002"/>
      <c r="W531" s="1002"/>
      <c r="X531" s="1002"/>
      <c r="Y531" s="1002"/>
      <c r="Z531" s="1002"/>
      <c r="AA531" s="1002"/>
      <c r="AB531" s="1002"/>
      <c r="AC531" s="1002"/>
      <c r="AD531" s="1002"/>
      <c r="AE531" s="1002"/>
      <c r="AF531" s="1002"/>
      <c r="AG531" s="1002"/>
      <c r="AH531" s="1002"/>
      <c r="AI531" s="1002"/>
      <c r="AJ531" s="1002"/>
      <c r="AK531" s="1002"/>
      <c r="AL531" s="1002"/>
      <c r="AM531" s="1002"/>
      <c r="AN531" s="1002"/>
      <c r="AO531" s="1002"/>
      <c r="AP531" s="1002"/>
      <c r="AQ531" s="1002"/>
      <c r="AR531" s="1002"/>
      <c r="AS531" s="1002"/>
      <c r="AT531" s="1002"/>
      <c r="AU531" s="1002"/>
      <c r="AV531" s="1002"/>
      <c r="AW531" s="1002"/>
      <c r="AX531" s="1002"/>
      <c r="AY531" s="1002"/>
      <c r="AZ531" s="1002"/>
      <c r="BA531" s="1002"/>
      <c r="BB531" s="1002"/>
      <c r="BC531" s="1002"/>
      <c r="BD531" s="1002"/>
      <c r="BE531" s="204"/>
      <c r="BF531" s="205" t="s">
        <v>487</v>
      </c>
      <c r="BG531" s="204"/>
      <c r="BH531" s="204" t="s">
        <v>407</v>
      </c>
      <c r="BI531" s="205" t="s">
        <v>408</v>
      </c>
      <c r="BJ531" s="205" t="s">
        <v>409</v>
      </c>
      <c r="BK531" s="206"/>
    </row>
    <row r="532" spans="1:63" s="164" customFormat="1" ht="15.75" customHeight="1">
      <c r="A532" s="182" t="s">
        <v>411</v>
      </c>
      <c r="B532" s="183" t="s">
        <v>576</v>
      </c>
      <c r="C532" s="184"/>
      <c r="D532" s="184"/>
      <c r="E532" s="184"/>
      <c r="F532" s="184"/>
      <c r="G532" s="184"/>
      <c r="H532" s="184"/>
      <c r="I532" s="184"/>
      <c r="J532" s="184"/>
      <c r="K532" s="184"/>
      <c r="L532" s="193"/>
      <c r="M532" s="1003"/>
      <c r="N532" s="1002"/>
      <c r="O532" s="1002"/>
      <c r="P532" s="1002"/>
      <c r="Q532" s="1002"/>
      <c r="R532" s="1002"/>
      <c r="S532" s="1002"/>
      <c r="T532" s="1002"/>
      <c r="U532" s="1002"/>
      <c r="V532" s="1002"/>
      <c r="W532" s="1002"/>
      <c r="X532" s="1002"/>
      <c r="Y532" s="1002"/>
      <c r="Z532" s="1002"/>
      <c r="AA532" s="1002"/>
      <c r="AB532" s="1002"/>
      <c r="AC532" s="1002"/>
      <c r="AD532" s="1002"/>
      <c r="AE532" s="1002"/>
      <c r="AF532" s="1002"/>
      <c r="AG532" s="1002"/>
      <c r="AH532" s="1002"/>
      <c r="AI532" s="1002"/>
      <c r="AJ532" s="1002"/>
      <c r="AK532" s="1002"/>
      <c r="AL532" s="1002"/>
      <c r="AM532" s="1002"/>
      <c r="AN532" s="1002"/>
      <c r="AO532" s="1002"/>
      <c r="AP532" s="1002"/>
      <c r="AQ532" s="1002"/>
      <c r="AR532" s="1002"/>
      <c r="AS532" s="1002"/>
      <c r="AT532" s="1002"/>
      <c r="AU532" s="1002"/>
      <c r="AV532" s="1002"/>
      <c r="AW532" s="1002"/>
      <c r="AX532" s="1002"/>
      <c r="AY532" s="1002"/>
      <c r="AZ532" s="1002"/>
      <c r="BA532" s="1002"/>
      <c r="BB532" s="1002"/>
      <c r="BC532" s="1002"/>
      <c r="BD532" s="1002"/>
      <c r="BE532" s="204"/>
      <c r="BF532" s="205" t="s">
        <v>487</v>
      </c>
      <c r="BG532" s="204"/>
      <c r="BH532" s="204" t="s">
        <v>407</v>
      </c>
      <c r="BI532" s="205" t="s">
        <v>408</v>
      </c>
      <c r="BJ532" s="205" t="s">
        <v>409</v>
      </c>
      <c r="BK532" s="206"/>
    </row>
    <row r="533" spans="1:63" s="164" customFormat="1" ht="15.75" customHeight="1">
      <c r="A533" s="182" t="s">
        <v>411</v>
      </c>
      <c r="B533" s="183" t="s">
        <v>577</v>
      </c>
      <c r="C533" s="184"/>
      <c r="D533" s="184"/>
      <c r="E533" s="184"/>
      <c r="F533" s="184"/>
      <c r="G533" s="184"/>
      <c r="H533" s="184"/>
      <c r="I533" s="184"/>
      <c r="J533" s="184"/>
      <c r="K533" s="184"/>
      <c r="L533" s="193"/>
      <c r="M533" s="1003"/>
      <c r="N533" s="1002"/>
      <c r="O533" s="1002"/>
      <c r="P533" s="1002"/>
      <c r="Q533" s="1002"/>
      <c r="R533" s="1002"/>
      <c r="S533" s="1002"/>
      <c r="T533" s="1002"/>
      <c r="U533" s="1002"/>
      <c r="V533" s="1002"/>
      <c r="W533" s="1002"/>
      <c r="X533" s="1002"/>
      <c r="Y533" s="1002"/>
      <c r="Z533" s="1002"/>
      <c r="AA533" s="1002"/>
      <c r="AB533" s="1002"/>
      <c r="AC533" s="1002"/>
      <c r="AD533" s="1002"/>
      <c r="AE533" s="1002"/>
      <c r="AF533" s="1002"/>
      <c r="AG533" s="1002"/>
      <c r="AH533" s="1002"/>
      <c r="AI533" s="1002"/>
      <c r="AJ533" s="1002"/>
      <c r="AK533" s="1002"/>
      <c r="AL533" s="1002"/>
      <c r="AM533" s="1002"/>
      <c r="AN533" s="1002"/>
      <c r="AO533" s="1002"/>
      <c r="AP533" s="1002"/>
      <c r="AQ533" s="1002"/>
      <c r="AR533" s="1002"/>
      <c r="AS533" s="1002"/>
      <c r="AT533" s="1002"/>
      <c r="AU533" s="1002"/>
      <c r="AV533" s="1002"/>
      <c r="AW533" s="1002"/>
      <c r="AX533" s="1002"/>
      <c r="AY533" s="1002"/>
      <c r="AZ533" s="1002"/>
      <c r="BA533" s="1002"/>
      <c r="BB533" s="1002"/>
      <c r="BC533" s="1002"/>
      <c r="BD533" s="1002"/>
      <c r="BE533" s="204"/>
      <c r="BF533" s="205" t="s">
        <v>487</v>
      </c>
      <c r="BG533" s="204"/>
      <c r="BH533" s="204" t="s">
        <v>407</v>
      </c>
      <c r="BI533" s="205" t="s">
        <v>408</v>
      </c>
      <c r="BJ533" s="205" t="s">
        <v>409</v>
      </c>
      <c r="BK533" s="206"/>
    </row>
    <row r="534" spans="1:63" s="164" customFormat="1" ht="34.5" customHeight="1">
      <c r="A534" s="239" t="s">
        <v>411</v>
      </c>
      <c r="B534" s="233" t="s">
        <v>962</v>
      </c>
      <c r="C534" s="240"/>
      <c r="D534" s="241"/>
      <c r="E534" s="241"/>
      <c r="F534" s="241"/>
      <c r="G534" s="241"/>
      <c r="H534" s="241"/>
      <c r="I534" s="241"/>
      <c r="J534" s="241"/>
      <c r="K534" s="241"/>
      <c r="L534" s="241"/>
      <c r="M534" s="1007" t="s">
        <v>955</v>
      </c>
      <c r="N534" s="1008"/>
      <c r="O534" s="1008"/>
      <c r="P534" s="1008"/>
      <c r="Q534" s="1008"/>
      <c r="R534" s="1008"/>
      <c r="S534" s="1008"/>
      <c r="T534" s="1008"/>
      <c r="U534" s="1008"/>
      <c r="V534" s="1008"/>
      <c r="W534" s="1008"/>
      <c r="X534" s="1008"/>
      <c r="Y534" s="1008"/>
      <c r="Z534" s="1008"/>
      <c r="AA534" s="1008"/>
      <c r="AB534" s="1008"/>
      <c r="AC534" s="1008"/>
      <c r="AD534" s="1008"/>
      <c r="AE534" s="1008"/>
      <c r="AF534" s="1008"/>
      <c r="AG534" s="1008"/>
      <c r="AH534" s="1008"/>
      <c r="AI534" s="1008"/>
      <c r="AJ534" s="1008"/>
      <c r="AK534" s="1008"/>
      <c r="AL534" s="1008"/>
      <c r="AM534" s="1008"/>
      <c r="AN534" s="1008"/>
      <c r="AO534" s="1008"/>
      <c r="AP534" s="1008"/>
      <c r="AQ534" s="1008"/>
      <c r="AR534" s="1008"/>
      <c r="AS534" s="1008"/>
      <c r="AT534" s="1008"/>
      <c r="AU534" s="1008"/>
      <c r="AV534" s="1008"/>
      <c r="AW534" s="1008"/>
      <c r="AX534" s="1008"/>
      <c r="AY534" s="1008"/>
      <c r="AZ534" s="1008"/>
      <c r="BA534" s="1008"/>
      <c r="BB534" s="1008"/>
      <c r="BC534" s="1008"/>
      <c r="BD534" s="1009"/>
      <c r="BE534" s="242"/>
      <c r="BF534" s="241" t="s">
        <v>487</v>
      </c>
      <c r="BG534" s="242" t="s">
        <v>406</v>
      </c>
      <c r="BH534" s="204" t="s">
        <v>407</v>
      </c>
      <c r="BI534" s="205" t="s">
        <v>408</v>
      </c>
      <c r="BJ534" s="205" t="s">
        <v>409</v>
      </c>
      <c r="BK534" s="206"/>
    </row>
    <row r="535" spans="1:63" s="164" customFormat="1" ht="34.5" customHeight="1">
      <c r="A535" s="239" t="s">
        <v>411</v>
      </c>
      <c r="B535" s="233" t="s">
        <v>963</v>
      </c>
      <c r="C535" s="240"/>
      <c r="D535" s="241"/>
      <c r="E535" s="241"/>
      <c r="F535" s="241"/>
      <c r="G535" s="241"/>
      <c r="H535" s="241"/>
      <c r="I535" s="241"/>
      <c r="J535" s="241"/>
      <c r="K535" s="241"/>
      <c r="L535" s="241"/>
      <c r="M535" s="1007" t="s">
        <v>955</v>
      </c>
      <c r="N535" s="1008"/>
      <c r="O535" s="1008"/>
      <c r="P535" s="1008"/>
      <c r="Q535" s="1008"/>
      <c r="R535" s="1008"/>
      <c r="S535" s="1008"/>
      <c r="T535" s="1008"/>
      <c r="U535" s="1008"/>
      <c r="V535" s="1008"/>
      <c r="W535" s="1008"/>
      <c r="X535" s="1008"/>
      <c r="Y535" s="1008"/>
      <c r="Z535" s="1008"/>
      <c r="AA535" s="1008"/>
      <c r="AB535" s="1008"/>
      <c r="AC535" s="1008"/>
      <c r="AD535" s="1008"/>
      <c r="AE535" s="1008"/>
      <c r="AF535" s="1008"/>
      <c r="AG535" s="1008"/>
      <c r="AH535" s="1008"/>
      <c r="AI535" s="1008"/>
      <c r="AJ535" s="1008"/>
      <c r="AK535" s="1008"/>
      <c r="AL535" s="1008"/>
      <c r="AM535" s="1008"/>
      <c r="AN535" s="1008"/>
      <c r="AO535" s="1008"/>
      <c r="AP535" s="1008"/>
      <c r="AQ535" s="1008"/>
      <c r="AR535" s="1008"/>
      <c r="AS535" s="1008"/>
      <c r="AT535" s="1008"/>
      <c r="AU535" s="1008"/>
      <c r="AV535" s="1008"/>
      <c r="AW535" s="1008"/>
      <c r="AX535" s="1008"/>
      <c r="AY535" s="1008"/>
      <c r="AZ535" s="1008"/>
      <c r="BA535" s="1008"/>
      <c r="BB535" s="1008"/>
      <c r="BC535" s="1008"/>
      <c r="BD535" s="1009"/>
      <c r="BE535" s="242"/>
      <c r="BF535" s="241" t="s">
        <v>487</v>
      </c>
      <c r="BG535" s="242" t="s">
        <v>406</v>
      </c>
      <c r="BH535" s="204" t="s">
        <v>407</v>
      </c>
      <c r="BI535" s="205" t="s">
        <v>408</v>
      </c>
      <c r="BJ535" s="205" t="s">
        <v>409</v>
      </c>
      <c r="BK535" s="206"/>
    </row>
    <row r="536" spans="1:63" s="164" customFormat="1" ht="34.5" customHeight="1">
      <c r="A536" s="239" t="s">
        <v>411</v>
      </c>
      <c r="B536" s="233" t="s">
        <v>964</v>
      </c>
      <c r="C536" s="240"/>
      <c r="D536" s="241"/>
      <c r="E536" s="241"/>
      <c r="F536" s="241"/>
      <c r="G536" s="241"/>
      <c r="H536" s="241"/>
      <c r="I536" s="241"/>
      <c r="J536" s="241"/>
      <c r="K536" s="241"/>
      <c r="L536" s="241"/>
      <c r="M536" s="1007" t="s">
        <v>955</v>
      </c>
      <c r="N536" s="1008"/>
      <c r="O536" s="1008"/>
      <c r="P536" s="1008"/>
      <c r="Q536" s="1008"/>
      <c r="R536" s="1008"/>
      <c r="S536" s="1008"/>
      <c r="T536" s="1008"/>
      <c r="U536" s="1008"/>
      <c r="V536" s="1008"/>
      <c r="W536" s="1008"/>
      <c r="X536" s="1008"/>
      <c r="Y536" s="1008"/>
      <c r="Z536" s="1008"/>
      <c r="AA536" s="1008"/>
      <c r="AB536" s="1008"/>
      <c r="AC536" s="1008"/>
      <c r="AD536" s="1008"/>
      <c r="AE536" s="1008"/>
      <c r="AF536" s="1008"/>
      <c r="AG536" s="1008"/>
      <c r="AH536" s="1008"/>
      <c r="AI536" s="1008"/>
      <c r="AJ536" s="1008"/>
      <c r="AK536" s="1008"/>
      <c r="AL536" s="1008"/>
      <c r="AM536" s="1008"/>
      <c r="AN536" s="1008"/>
      <c r="AO536" s="1008"/>
      <c r="AP536" s="1008"/>
      <c r="AQ536" s="1008"/>
      <c r="AR536" s="1008"/>
      <c r="AS536" s="1008"/>
      <c r="AT536" s="1008"/>
      <c r="AU536" s="1008"/>
      <c r="AV536" s="1008"/>
      <c r="AW536" s="1008"/>
      <c r="AX536" s="1008"/>
      <c r="AY536" s="1008"/>
      <c r="AZ536" s="1008"/>
      <c r="BA536" s="1008"/>
      <c r="BB536" s="1008"/>
      <c r="BC536" s="1008"/>
      <c r="BD536" s="1009"/>
      <c r="BE536" s="242"/>
      <c r="BF536" s="241" t="s">
        <v>487</v>
      </c>
      <c r="BG536" s="242" t="s">
        <v>406</v>
      </c>
      <c r="BH536" s="204" t="s">
        <v>407</v>
      </c>
      <c r="BI536" s="205" t="s">
        <v>408</v>
      </c>
      <c r="BJ536" s="205" t="s">
        <v>409</v>
      </c>
      <c r="BK536" s="206"/>
    </row>
    <row r="537" spans="1:63" s="164" customFormat="1" ht="34.5" customHeight="1">
      <c r="A537" s="239" t="s">
        <v>411</v>
      </c>
      <c r="B537" s="233" t="s">
        <v>965</v>
      </c>
      <c r="C537" s="240"/>
      <c r="D537" s="241"/>
      <c r="E537" s="241"/>
      <c r="F537" s="241"/>
      <c r="G537" s="241"/>
      <c r="H537" s="241"/>
      <c r="I537" s="241"/>
      <c r="J537" s="241"/>
      <c r="K537" s="241"/>
      <c r="L537" s="241"/>
      <c r="M537" s="1007" t="s">
        <v>955</v>
      </c>
      <c r="N537" s="1008"/>
      <c r="O537" s="1008"/>
      <c r="P537" s="1008"/>
      <c r="Q537" s="1008"/>
      <c r="R537" s="1008"/>
      <c r="S537" s="1008"/>
      <c r="T537" s="1008"/>
      <c r="U537" s="1008"/>
      <c r="V537" s="1008"/>
      <c r="W537" s="1008"/>
      <c r="X537" s="1008"/>
      <c r="Y537" s="1008"/>
      <c r="Z537" s="1008"/>
      <c r="AA537" s="1008"/>
      <c r="AB537" s="1008"/>
      <c r="AC537" s="1008"/>
      <c r="AD537" s="1008"/>
      <c r="AE537" s="1008"/>
      <c r="AF537" s="1008"/>
      <c r="AG537" s="1008"/>
      <c r="AH537" s="1008"/>
      <c r="AI537" s="1008"/>
      <c r="AJ537" s="1008"/>
      <c r="AK537" s="1008"/>
      <c r="AL537" s="1008"/>
      <c r="AM537" s="1008"/>
      <c r="AN537" s="1008"/>
      <c r="AO537" s="1008"/>
      <c r="AP537" s="1008"/>
      <c r="AQ537" s="1008"/>
      <c r="AR537" s="1008"/>
      <c r="AS537" s="1008"/>
      <c r="AT537" s="1008"/>
      <c r="AU537" s="1008"/>
      <c r="AV537" s="1008"/>
      <c r="AW537" s="1008"/>
      <c r="AX537" s="1008"/>
      <c r="AY537" s="1008"/>
      <c r="AZ537" s="1008"/>
      <c r="BA537" s="1008"/>
      <c r="BB537" s="1008"/>
      <c r="BC537" s="1008"/>
      <c r="BD537" s="1009"/>
      <c r="BE537" s="242"/>
      <c r="BF537" s="241" t="s">
        <v>487</v>
      </c>
      <c r="BG537" s="242" t="s">
        <v>406</v>
      </c>
      <c r="BH537" s="204" t="s">
        <v>407</v>
      </c>
      <c r="BI537" s="205" t="s">
        <v>408</v>
      </c>
      <c r="BJ537" s="205" t="s">
        <v>409</v>
      </c>
      <c r="BK537" s="206"/>
    </row>
    <row r="538" spans="1:63" s="164" customFormat="1" ht="34.5" customHeight="1">
      <c r="A538" s="239" t="s">
        <v>411</v>
      </c>
      <c r="B538" s="233" t="s">
        <v>966</v>
      </c>
      <c r="C538" s="240"/>
      <c r="D538" s="241"/>
      <c r="E538" s="241"/>
      <c r="F538" s="241"/>
      <c r="G538" s="241"/>
      <c r="H538" s="241"/>
      <c r="I538" s="241"/>
      <c r="J538" s="241"/>
      <c r="K538" s="241"/>
      <c r="L538" s="241"/>
      <c r="M538" s="1007" t="s">
        <v>955</v>
      </c>
      <c r="N538" s="1008"/>
      <c r="O538" s="1008"/>
      <c r="P538" s="1008"/>
      <c r="Q538" s="1008"/>
      <c r="R538" s="1008"/>
      <c r="S538" s="1008"/>
      <c r="T538" s="1008"/>
      <c r="U538" s="1008"/>
      <c r="V538" s="1008"/>
      <c r="W538" s="1008"/>
      <c r="X538" s="1008"/>
      <c r="Y538" s="1008"/>
      <c r="Z538" s="1008"/>
      <c r="AA538" s="1008"/>
      <c r="AB538" s="1008"/>
      <c r="AC538" s="1008"/>
      <c r="AD538" s="1008"/>
      <c r="AE538" s="1008"/>
      <c r="AF538" s="1008"/>
      <c r="AG538" s="1008"/>
      <c r="AH538" s="1008"/>
      <c r="AI538" s="1008"/>
      <c r="AJ538" s="1008"/>
      <c r="AK538" s="1008"/>
      <c r="AL538" s="1008"/>
      <c r="AM538" s="1008"/>
      <c r="AN538" s="1008"/>
      <c r="AO538" s="1008"/>
      <c r="AP538" s="1008"/>
      <c r="AQ538" s="1008"/>
      <c r="AR538" s="1008"/>
      <c r="AS538" s="1008"/>
      <c r="AT538" s="1008"/>
      <c r="AU538" s="1008"/>
      <c r="AV538" s="1008"/>
      <c r="AW538" s="1008"/>
      <c r="AX538" s="1008"/>
      <c r="AY538" s="1008"/>
      <c r="AZ538" s="1008"/>
      <c r="BA538" s="1008"/>
      <c r="BB538" s="1008"/>
      <c r="BC538" s="1008"/>
      <c r="BD538" s="1009"/>
      <c r="BE538" s="242"/>
      <c r="BF538" s="241" t="s">
        <v>487</v>
      </c>
      <c r="BG538" s="242" t="s">
        <v>406</v>
      </c>
      <c r="BH538" s="204" t="s">
        <v>407</v>
      </c>
      <c r="BI538" s="205" t="s">
        <v>408</v>
      </c>
      <c r="BJ538" s="205" t="s">
        <v>409</v>
      </c>
      <c r="BK538" s="206"/>
    </row>
    <row r="539" spans="1:63" s="164" customFormat="1" ht="34.5" customHeight="1">
      <c r="A539" s="239" t="s">
        <v>411</v>
      </c>
      <c r="B539" s="233" t="s">
        <v>967</v>
      </c>
      <c r="C539" s="240"/>
      <c r="D539" s="241"/>
      <c r="E539" s="241"/>
      <c r="F539" s="241"/>
      <c r="G539" s="241"/>
      <c r="H539" s="241"/>
      <c r="I539" s="241"/>
      <c r="J539" s="241"/>
      <c r="K539" s="241"/>
      <c r="L539" s="241"/>
      <c r="M539" s="1007" t="s">
        <v>955</v>
      </c>
      <c r="N539" s="1008"/>
      <c r="O539" s="1008"/>
      <c r="P539" s="1008"/>
      <c r="Q539" s="1008"/>
      <c r="R539" s="1008"/>
      <c r="S539" s="1008"/>
      <c r="T539" s="1008"/>
      <c r="U539" s="1008"/>
      <c r="V539" s="1008"/>
      <c r="W539" s="1008"/>
      <c r="X539" s="1008"/>
      <c r="Y539" s="1008"/>
      <c r="Z539" s="1008"/>
      <c r="AA539" s="1008"/>
      <c r="AB539" s="1008"/>
      <c r="AC539" s="1008"/>
      <c r="AD539" s="1008"/>
      <c r="AE539" s="1008"/>
      <c r="AF539" s="1008"/>
      <c r="AG539" s="1008"/>
      <c r="AH539" s="1008"/>
      <c r="AI539" s="1008"/>
      <c r="AJ539" s="1008"/>
      <c r="AK539" s="1008"/>
      <c r="AL539" s="1008"/>
      <c r="AM539" s="1008"/>
      <c r="AN539" s="1008"/>
      <c r="AO539" s="1008"/>
      <c r="AP539" s="1008"/>
      <c r="AQ539" s="1008"/>
      <c r="AR539" s="1008"/>
      <c r="AS539" s="1008"/>
      <c r="AT539" s="1008"/>
      <c r="AU539" s="1008"/>
      <c r="AV539" s="1008"/>
      <c r="AW539" s="1008"/>
      <c r="AX539" s="1008"/>
      <c r="AY539" s="1008"/>
      <c r="AZ539" s="1008"/>
      <c r="BA539" s="1008"/>
      <c r="BB539" s="1008"/>
      <c r="BC539" s="1008"/>
      <c r="BD539" s="1009"/>
      <c r="BE539" s="242"/>
      <c r="BF539" s="241" t="s">
        <v>548</v>
      </c>
      <c r="BG539" s="242" t="s">
        <v>406</v>
      </c>
      <c r="BH539" s="204" t="s">
        <v>407</v>
      </c>
      <c r="BI539" s="205" t="s">
        <v>408</v>
      </c>
      <c r="BJ539" s="205" t="s">
        <v>409</v>
      </c>
      <c r="BK539" s="206"/>
    </row>
    <row r="540" spans="1:63" s="164" customFormat="1" ht="34.5" customHeight="1">
      <c r="A540" s="239" t="s">
        <v>411</v>
      </c>
      <c r="B540" s="233" t="s">
        <v>968</v>
      </c>
      <c r="C540" s="240"/>
      <c r="D540" s="241"/>
      <c r="E540" s="241"/>
      <c r="F540" s="241"/>
      <c r="G540" s="241"/>
      <c r="H540" s="241"/>
      <c r="I540" s="241"/>
      <c r="J540" s="241"/>
      <c r="K540" s="241"/>
      <c r="L540" s="241"/>
      <c r="M540" s="1007" t="s">
        <v>955</v>
      </c>
      <c r="N540" s="1008"/>
      <c r="O540" s="1008"/>
      <c r="P540" s="1008"/>
      <c r="Q540" s="1008"/>
      <c r="R540" s="1008"/>
      <c r="S540" s="1008"/>
      <c r="T540" s="1008"/>
      <c r="U540" s="1008"/>
      <c r="V540" s="1008"/>
      <c r="W540" s="1008"/>
      <c r="X540" s="1008"/>
      <c r="Y540" s="1008"/>
      <c r="Z540" s="1008"/>
      <c r="AA540" s="1008"/>
      <c r="AB540" s="1008"/>
      <c r="AC540" s="1008"/>
      <c r="AD540" s="1008"/>
      <c r="AE540" s="1008"/>
      <c r="AF540" s="1008"/>
      <c r="AG540" s="1008"/>
      <c r="AH540" s="1008"/>
      <c r="AI540" s="1008"/>
      <c r="AJ540" s="1008"/>
      <c r="AK540" s="1008"/>
      <c r="AL540" s="1008"/>
      <c r="AM540" s="1008"/>
      <c r="AN540" s="1008"/>
      <c r="AO540" s="1008"/>
      <c r="AP540" s="1008"/>
      <c r="AQ540" s="1008"/>
      <c r="AR540" s="1008"/>
      <c r="AS540" s="1008"/>
      <c r="AT540" s="1008"/>
      <c r="AU540" s="1008"/>
      <c r="AV540" s="1008"/>
      <c r="AW540" s="1008"/>
      <c r="AX540" s="1008"/>
      <c r="AY540" s="1008"/>
      <c r="AZ540" s="1008"/>
      <c r="BA540" s="1008"/>
      <c r="BB540" s="1008"/>
      <c r="BC540" s="1008"/>
      <c r="BD540" s="1009"/>
      <c r="BE540" s="242"/>
      <c r="BF540" s="241" t="s">
        <v>462</v>
      </c>
      <c r="BG540" s="242" t="s">
        <v>406</v>
      </c>
      <c r="BH540" s="204" t="s">
        <v>407</v>
      </c>
      <c r="BI540" s="205" t="s">
        <v>408</v>
      </c>
      <c r="BJ540" s="205" t="s">
        <v>409</v>
      </c>
      <c r="BK540" s="206"/>
    </row>
    <row r="541" spans="1:63" s="164" customFormat="1" ht="15.75" customHeight="1">
      <c r="A541" s="185"/>
      <c r="B541" s="183" t="s">
        <v>569</v>
      </c>
      <c r="C541" s="184"/>
      <c r="D541" s="184"/>
      <c r="E541" s="184"/>
      <c r="F541" s="184"/>
      <c r="G541" s="184"/>
      <c r="H541" s="184"/>
      <c r="I541" s="184"/>
      <c r="J541" s="184"/>
      <c r="K541" s="184"/>
      <c r="L541" s="193"/>
      <c r="M541" s="1003"/>
      <c r="N541" s="1002"/>
      <c r="O541" s="1002"/>
      <c r="P541" s="1002"/>
      <c r="Q541" s="1002"/>
      <c r="R541" s="1002"/>
      <c r="S541" s="1002"/>
      <c r="T541" s="1002"/>
      <c r="U541" s="1002"/>
      <c r="V541" s="1002"/>
      <c r="W541" s="1002"/>
      <c r="X541" s="1002"/>
      <c r="Y541" s="1002"/>
      <c r="Z541" s="1002"/>
      <c r="AA541" s="1002"/>
      <c r="AB541" s="1002"/>
      <c r="AC541" s="1002"/>
      <c r="AD541" s="1002"/>
      <c r="AE541" s="1002"/>
      <c r="AF541" s="1002"/>
      <c r="AG541" s="1002"/>
      <c r="AH541" s="1002"/>
      <c r="AI541" s="1002"/>
      <c r="AJ541" s="1002"/>
      <c r="AK541" s="1002"/>
      <c r="AL541" s="1002"/>
      <c r="AM541" s="1002"/>
      <c r="AN541" s="1002"/>
      <c r="AO541" s="1002"/>
      <c r="AP541" s="1002"/>
      <c r="AQ541" s="1002"/>
      <c r="AR541" s="1002"/>
      <c r="AS541" s="1002"/>
      <c r="AT541" s="1002"/>
      <c r="AU541" s="1002"/>
      <c r="AV541" s="1002"/>
      <c r="AW541" s="1002"/>
      <c r="AX541" s="1002"/>
      <c r="AY541" s="1002"/>
      <c r="AZ541" s="1002"/>
      <c r="BA541" s="1002"/>
      <c r="BB541" s="1002"/>
      <c r="BC541" s="1002"/>
      <c r="BD541" s="1002"/>
      <c r="BE541" s="204"/>
      <c r="BF541" s="205" t="s">
        <v>487</v>
      </c>
      <c r="BG541" s="204"/>
      <c r="BH541" s="204" t="s">
        <v>407</v>
      </c>
      <c r="BI541" s="204"/>
      <c r="BJ541" s="205" t="s">
        <v>409</v>
      </c>
      <c r="BK541" s="206"/>
    </row>
    <row r="542" spans="1:63" s="164" customFormat="1" ht="15.75" customHeight="1">
      <c r="A542" s="185"/>
      <c r="B542" s="183" t="s">
        <v>570</v>
      </c>
      <c r="C542" s="184"/>
      <c r="D542" s="184"/>
      <c r="E542" s="184"/>
      <c r="F542" s="184"/>
      <c r="G542" s="184"/>
      <c r="H542" s="184"/>
      <c r="I542" s="184"/>
      <c r="J542" s="184"/>
      <c r="K542" s="184"/>
      <c r="L542" s="193"/>
      <c r="M542" s="1003"/>
      <c r="N542" s="1002"/>
      <c r="O542" s="1002"/>
      <c r="P542" s="1002"/>
      <c r="Q542" s="1002"/>
      <c r="R542" s="1002"/>
      <c r="S542" s="1002"/>
      <c r="T542" s="1002"/>
      <c r="U542" s="1002"/>
      <c r="V542" s="1002"/>
      <c r="W542" s="1002"/>
      <c r="X542" s="1002"/>
      <c r="Y542" s="1002"/>
      <c r="Z542" s="1002"/>
      <c r="AA542" s="1002"/>
      <c r="AB542" s="1002"/>
      <c r="AC542" s="1002"/>
      <c r="AD542" s="1002"/>
      <c r="AE542" s="1002"/>
      <c r="AF542" s="1002"/>
      <c r="AG542" s="1002"/>
      <c r="AH542" s="1002"/>
      <c r="AI542" s="1002"/>
      <c r="AJ542" s="1002"/>
      <c r="AK542" s="1002"/>
      <c r="AL542" s="1002"/>
      <c r="AM542" s="1002"/>
      <c r="AN542" s="1002"/>
      <c r="AO542" s="1002"/>
      <c r="AP542" s="1002"/>
      <c r="AQ542" s="1002"/>
      <c r="AR542" s="1002"/>
      <c r="AS542" s="1002"/>
      <c r="AT542" s="1002"/>
      <c r="AU542" s="1002"/>
      <c r="AV542" s="1002"/>
      <c r="AW542" s="1002"/>
      <c r="AX542" s="1002"/>
      <c r="AY542" s="1002"/>
      <c r="AZ542" s="1002"/>
      <c r="BA542" s="1002"/>
      <c r="BB542" s="1002"/>
      <c r="BC542" s="1002"/>
      <c r="BD542" s="1002"/>
      <c r="BE542" s="204"/>
      <c r="BF542" s="205" t="s">
        <v>487</v>
      </c>
      <c r="BG542" s="204"/>
      <c r="BH542" s="204" t="s">
        <v>407</v>
      </c>
      <c r="BI542" s="204"/>
      <c r="BJ542" s="205" t="s">
        <v>409</v>
      </c>
      <c r="BK542" s="206"/>
    </row>
    <row r="543" spans="1:63" s="164" customFormat="1" ht="15.75" customHeight="1">
      <c r="A543" s="185"/>
      <c r="B543" s="183" t="s">
        <v>571</v>
      </c>
      <c r="C543" s="184"/>
      <c r="D543" s="184"/>
      <c r="E543" s="184"/>
      <c r="F543" s="184"/>
      <c r="G543" s="184"/>
      <c r="H543" s="184"/>
      <c r="I543" s="184"/>
      <c r="J543" s="184"/>
      <c r="K543" s="184"/>
      <c r="L543" s="193"/>
      <c r="M543" s="1003"/>
      <c r="N543" s="1002"/>
      <c r="O543" s="1002"/>
      <c r="P543" s="1002"/>
      <c r="Q543" s="1002"/>
      <c r="R543" s="1002"/>
      <c r="S543" s="1002"/>
      <c r="T543" s="1002"/>
      <c r="U543" s="1002"/>
      <c r="V543" s="1002"/>
      <c r="W543" s="1002"/>
      <c r="X543" s="1002"/>
      <c r="Y543" s="1002"/>
      <c r="Z543" s="1002"/>
      <c r="AA543" s="1002"/>
      <c r="AB543" s="1002"/>
      <c r="AC543" s="1002"/>
      <c r="AD543" s="1002"/>
      <c r="AE543" s="1002"/>
      <c r="AF543" s="1002"/>
      <c r="AG543" s="1002"/>
      <c r="AH543" s="1002"/>
      <c r="AI543" s="1002"/>
      <c r="AJ543" s="1002"/>
      <c r="AK543" s="1002"/>
      <c r="AL543" s="1002"/>
      <c r="AM543" s="1002"/>
      <c r="AN543" s="1002"/>
      <c r="AO543" s="1002"/>
      <c r="AP543" s="1002"/>
      <c r="AQ543" s="1002"/>
      <c r="AR543" s="1002"/>
      <c r="AS543" s="1002"/>
      <c r="AT543" s="1002"/>
      <c r="AU543" s="1002"/>
      <c r="AV543" s="1002"/>
      <c r="AW543" s="1002"/>
      <c r="AX543" s="1002"/>
      <c r="AY543" s="1002"/>
      <c r="AZ543" s="1002"/>
      <c r="BA543" s="1002"/>
      <c r="BB543" s="1002"/>
      <c r="BC543" s="1002"/>
      <c r="BD543" s="1002"/>
      <c r="BE543" s="204"/>
      <c r="BF543" s="205" t="s">
        <v>487</v>
      </c>
      <c r="BG543" s="204"/>
      <c r="BH543" s="204" t="s">
        <v>407</v>
      </c>
      <c r="BI543" s="204"/>
      <c r="BJ543" s="205" t="s">
        <v>409</v>
      </c>
      <c r="BK543" s="206"/>
    </row>
    <row r="544" spans="1:63" s="164" customFormat="1" ht="45.75" customHeight="1">
      <c r="A544" s="185"/>
      <c r="B544" s="183" t="s">
        <v>537</v>
      </c>
      <c r="C544" s="184"/>
      <c r="D544" s="184"/>
      <c r="E544" s="184"/>
      <c r="F544" s="184"/>
      <c r="G544" s="184"/>
      <c r="H544" s="184"/>
      <c r="I544" s="184"/>
      <c r="J544" s="184"/>
      <c r="K544" s="184"/>
      <c r="L544" s="193"/>
      <c r="M544" s="1005" t="s">
        <v>969</v>
      </c>
      <c r="N544" s="1005"/>
      <c r="O544" s="1005"/>
      <c r="P544" s="1005"/>
      <c r="Q544" s="1005"/>
      <c r="R544" s="1005"/>
      <c r="S544" s="1005"/>
      <c r="T544" s="1005"/>
      <c r="U544" s="1005"/>
      <c r="V544" s="1005"/>
      <c r="W544" s="1005"/>
      <c r="X544" s="1005"/>
      <c r="Y544" s="1005"/>
      <c r="Z544" s="1005"/>
      <c r="AA544" s="1005"/>
      <c r="AB544" s="1005"/>
      <c r="AC544" s="1005"/>
      <c r="AD544" s="1005"/>
      <c r="AE544" s="1005"/>
      <c r="AF544" s="1005"/>
      <c r="AG544" s="1005"/>
      <c r="AH544" s="1005"/>
      <c r="AI544" s="1005"/>
      <c r="AJ544" s="1005"/>
      <c r="AK544" s="1005"/>
      <c r="AL544" s="1005"/>
      <c r="AM544" s="1005"/>
      <c r="AN544" s="1005"/>
      <c r="AO544" s="1005"/>
      <c r="AP544" s="1005"/>
      <c r="AQ544" s="1005"/>
      <c r="AR544" s="1005"/>
      <c r="AS544" s="1005"/>
      <c r="AT544" s="1005"/>
      <c r="AU544" s="1005"/>
      <c r="AV544" s="1005"/>
      <c r="AW544" s="1005"/>
      <c r="AX544" s="1005"/>
      <c r="AY544" s="1005"/>
      <c r="AZ544" s="1005"/>
      <c r="BA544" s="1005"/>
      <c r="BB544" s="1005"/>
      <c r="BC544" s="1005"/>
      <c r="BD544" s="1005"/>
      <c r="BE544" s="204"/>
      <c r="BF544" s="205" t="s">
        <v>487</v>
      </c>
      <c r="BG544" s="204"/>
      <c r="BH544" s="204"/>
      <c r="BI544" s="204"/>
      <c r="BJ544" s="204"/>
      <c r="BK544" s="206"/>
    </row>
    <row r="545" spans="1:63" s="164" customFormat="1" ht="45.75" customHeight="1">
      <c r="A545" s="185"/>
      <c r="B545" s="183" t="s">
        <v>539</v>
      </c>
      <c r="C545" s="184"/>
      <c r="D545" s="184"/>
      <c r="E545" s="184"/>
      <c r="F545" s="184"/>
      <c r="G545" s="184"/>
      <c r="H545" s="184"/>
      <c r="I545" s="184"/>
      <c r="J545" s="184"/>
      <c r="K545" s="184"/>
      <c r="L545" s="193"/>
      <c r="M545" s="1005" t="s">
        <v>970</v>
      </c>
      <c r="N545" s="1005"/>
      <c r="O545" s="1005"/>
      <c r="P545" s="1005"/>
      <c r="Q545" s="1005"/>
      <c r="R545" s="1005"/>
      <c r="S545" s="1005"/>
      <c r="T545" s="1005"/>
      <c r="U545" s="1005"/>
      <c r="V545" s="1005"/>
      <c r="W545" s="1005"/>
      <c r="X545" s="1005"/>
      <c r="Y545" s="1005"/>
      <c r="Z545" s="1005"/>
      <c r="AA545" s="1005"/>
      <c r="AB545" s="1005"/>
      <c r="AC545" s="1005"/>
      <c r="AD545" s="1005"/>
      <c r="AE545" s="1005"/>
      <c r="AF545" s="1005"/>
      <c r="AG545" s="1005"/>
      <c r="AH545" s="1005"/>
      <c r="AI545" s="1005"/>
      <c r="AJ545" s="1005"/>
      <c r="AK545" s="1005"/>
      <c r="AL545" s="1005"/>
      <c r="AM545" s="1005"/>
      <c r="AN545" s="1005"/>
      <c r="AO545" s="1005"/>
      <c r="AP545" s="1005"/>
      <c r="AQ545" s="1005"/>
      <c r="AR545" s="1005"/>
      <c r="AS545" s="1005"/>
      <c r="AT545" s="1005"/>
      <c r="AU545" s="1005"/>
      <c r="AV545" s="1005"/>
      <c r="AW545" s="1005"/>
      <c r="AX545" s="1005"/>
      <c r="AY545" s="1005"/>
      <c r="AZ545" s="1005"/>
      <c r="BA545" s="1005"/>
      <c r="BB545" s="1005"/>
      <c r="BC545" s="1005"/>
      <c r="BD545" s="1005"/>
      <c r="BE545" s="204"/>
      <c r="BF545" s="205" t="s">
        <v>487</v>
      </c>
      <c r="BG545" s="204"/>
      <c r="BH545" s="204"/>
      <c r="BI545" s="204"/>
      <c r="BJ545" s="204"/>
      <c r="BK545" s="206"/>
    </row>
    <row r="546" spans="1:63" s="164" customFormat="1" ht="31.5" customHeight="1">
      <c r="A546" s="185"/>
      <c r="B546" s="183" t="s">
        <v>533</v>
      </c>
      <c r="C546" s="184"/>
      <c r="D546" s="184"/>
      <c r="E546" s="184"/>
      <c r="F546" s="184"/>
      <c r="G546" s="184"/>
      <c r="H546" s="184"/>
      <c r="I546" s="184"/>
      <c r="J546" s="184"/>
      <c r="K546" s="184"/>
      <c r="L546" s="193"/>
      <c r="M546" s="1005" t="s">
        <v>971</v>
      </c>
      <c r="N546" s="1005"/>
      <c r="O546" s="1005"/>
      <c r="P546" s="1005"/>
      <c r="Q546" s="1005"/>
      <c r="R546" s="1005"/>
      <c r="S546" s="1005"/>
      <c r="T546" s="1005"/>
      <c r="U546" s="1005"/>
      <c r="V546" s="1005"/>
      <c r="W546" s="1005"/>
      <c r="X546" s="1005"/>
      <c r="Y546" s="1005"/>
      <c r="Z546" s="1005"/>
      <c r="AA546" s="1005"/>
      <c r="AB546" s="1005"/>
      <c r="AC546" s="1005"/>
      <c r="AD546" s="1005"/>
      <c r="AE546" s="1005"/>
      <c r="AF546" s="1005"/>
      <c r="AG546" s="1005"/>
      <c r="AH546" s="1005"/>
      <c r="AI546" s="1005"/>
      <c r="AJ546" s="1005"/>
      <c r="AK546" s="1005"/>
      <c r="AL546" s="1005"/>
      <c r="AM546" s="1005"/>
      <c r="AN546" s="1005"/>
      <c r="AO546" s="1005"/>
      <c r="AP546" s="1005"/>
      <c r="AQ546" s="1005"/>
      <c r="AR546" s="1005"/>
      <c r="AS546" s="1005"/>
      <c r="AT546" s="1005"/>
      <c r="AU546" s="1005"/>
      <c r="AV546" s="1005"/>
      <c r="AW546" s="1005"/>
      <c r="AX546" s="1005"/>
      <c r="AY546" s="1005"/>
      <c r="AZ546" s="1005"/>
      <c r="BA546" s="1005"/>
      <c r="BB546" s="1005"/>
      <c r="BC546" s="1005"/>
      <c r="BD546" s="1005"/>
      <c r="BE546" s="204"/>
      <c r="BF546" s="205" t="s">
        <v>487</v>
      </c>
      <c r="BG546" s="204"/>
      <c r="BH546" s="204"/>
      <c r="BI546" s="204"/>
      <c r="BJ546" s="204"/>
      <c r="BK546" s="206"/>
    </row>
    <row r="547" spans="1:63" s="164" customFormat="1" ht="15.75" customHeight="1">
      <c r="A547" s="185"/>
      <c r="B547" s="183" t="s">
        <v>534</v>
      </c>
      <c r="C547" s="184"/>
      <c r="D547" s="184"/>
      <c r="E547" s="184"/>
      <c r="F547" s="184"/>
      <c r="G547" s="184"/>
      <c r="H547" s="184"/>
      <c r="I547" s="184"/>
      <c r="J547" s="184"/>
      <c r="K547" s="184"/>
      <c r="L547" s="193"/>
      <c r="M547" s="1003"/>
      <c r="N547" s="1002"/>
      <c r="O547" s="1002"/>
      <c r="P547" s="1002"/>
      <c r="Q547" s="1002"/>
      <c r="R547" s="1002"/>
      <c r="S547" s="1002"/>
      <c r="T547" s="1002"/>
      <c r="U547" s="1002"/>
      <c r="V547" s="1002"/>
      <c r="W547" s="1002"/>
      <c r="X547" s="1002"/>
      <c r="Y547" s="1002"/>
      <c r="Z547" s="1002"/>
      <c r="AA547" s="1002"/>
      <c r="AB547" s="1002"/>
      <c r="AC547" s="1002"/>
      <c r="AD547" s="1002"/>
      <c r="AE547" s="1002"/>
      <c r="AF547" s="1002"/>
      <c r="AG547" s="1002"/>
      <c r="AH547" s="1002"/>
      <c r="AI547" s="1002"/>
      <c r="AJ547" s="1002"/>
      <c r="AK547" s="1002"/>
      <c r="AL547" s="1002"/>
      <c r="AM547" s="1002"/>
      <c r="AN547" s="1002"/>
      <c r="AO547" s="1002"/>
      <c r="AP547" s="1002"/>
      <c r="AQ547" s="1002"/>
      <c r="AR547" s="1002"/>
      <c r="AS547" s="1002"/>
      <c r="AT547" s="1002"/>
      <c r="AU547" s="1002"/>
      <c r="AV547" s="1002"/>
      <c r="AW547" s="1002"/>
      <c r="AX547" s="1002"/>
      <c r="AY547" s="1002"/>
      <c r="AZ547" s="1002"/>
      <c r="BA547" s="1002"/>
      <c r="BB547" s="1002"/>
      <c r="BC547" s="1002"/>
      <c r="BD547" s="1002"/>
      <c r="BE547" s="204"/>
      <c r="BF547" s="205" t="s">
        <v>487</v>
      </c>
      <c r="BG547" s="204"/>
      <c r="BH547" s="204"/>
      <c r="BI547" s="204"/>
      <c r="BJ547" s="204"/>
      <c r="BK547" s="206"/>
    </row>
    <row r="548" spans="1:63" s="164" customFormat="1" ht="31.5" customHeight="1">
      <c r="A548" s="185"/>
      <c r="B548" s="183" t="s">
        <v>535</v>
      </c>
      <c r="C548" s="184"/>
      <c r="D548" s="184"/>
      <c r="E548" s="184"/>
      <c r="F548" s="184"/>
      <c r="G548" s="184"/>
      <c r="H548" s="184"/>
      <c r="I548" s="184"/>
      <c r="J548" s="184"/>
      <c r="K548" s="184"/>
      <c r="L548" s="193"/>
      <c r="M548" s="1005" t="s">
        <v>972</v>
      </c>
      <c r="N548" s="1005"/>
      <c r="O548" s="1005"/>
      <c r="P548" s="1005"/>
      <c r="Q548" s="1005"/>
      <c r="R548" s="1005"/>
      <c r="S548" s="1005"/>
      <c r="T548" s="1005"/>
      <c r="U548" s="1005"/>
      <c r="V548" s="1005"/>
      <c r="W548" s="1005"/>
      <c r="X548" s="1005"/>
      <c r="Y548" s="1005"/>
      <c r="Z548" s="1005"/>
      <c r="AA548" s="1005"/>
      <c r="AB548" s="1005"/>
      <c r="AC548" s="1005"/>
      <c r="AD548" s="1005"/>
      <c r="AE548" s="1005"/>
      <c r="AF548" s="1005"/>
      <c r="AG548" s="1005"/>
      <c r="AH548" s="1005"/>
      <c r="AI548" s="1005"/>
      <c r="AJ548" s="1005"/>
      <c r="AK548" s="1005"/>
      <c r="AL548" s="1005"/>
      <c r="AM548" s="1005"/>
      <c r="AN548" s="1005"/>
      <c r="AO548" s="1005"/>
      <c r="AP548" s="1005"/>
      <c r="AQ548" s="1005"/>
      <c r="AR548" s="1005"/>
      <c r="AS548" s="1005"/>
      <c r="AT548" s="1005"/>
      <c r="AU548" s="1005"/>
      <c r="AV548" s="1005"/>
      <c r="AW548" s="1005"/>
      <c r="AX548" s="1005"/>
      <c r="AY548" s="1005"/>
      <c r="AZ548" s="1005"/>
      <c r="BA548" s="1005"/>
      <c r="BB548" s="1005"/>
      <c r="BC548" s="1005"/>
      <c r="BD548" s="1005"/>
      <c r="BE548" s="204"/>
      <c r="BF548" s="205" t="s">
        <v>487</v>
      </c>
      <c r="BG548" s="204"/>
      <c r="BH548" s="204"/>
      <c r="BI548" s="204"/>
      <c r="BJ548" s="204"/>
      <c r="BK548" s="206"/>
    </row>
    <row r="549" spans="1:63" s="164" customFormat="1" ht="15.75" customHeight="1">
      <c r="A549" s="185"/>
      <c r="B549" s="183" t="s">
        <v>272</v>
      </c>
      <c r="C549" s="184"/>
      <c r="D549" s="184"/>
      <c r="E549" s="184"/>
      <c r="F549" s="184"/>
      <c r="G549" s="184"/>
      <c r="H549" s="184"/>
      <c r="I549" s="184"/>
      <c r="J549" s="184"/>
      <c r="K549" s="184"/>
      <c r="L549" s="193"/>
      <c r="M549" s="1005" t="s">
        <v>973</v>
      </c>
      <c r="N549" s="1005"/>
      <c r="O549" s="1005"/>
      <c r="P549" s="1005"/>
      <c r="Q549" s="1005"/>
      <c r="R549" s="1005"/>
      <c r="S549" s="1005"/>
      <c r="T549" s="1005"/>
      <c r="U549" s="1005"/>
      <c r="V549" s="1005"/>
      <c r="W549" s="1005"/>
      <c r="X549" s="1005"/>
      <c r="Y549" s="1005"/>
      <c r="Z549" s="1005"/>
      <c r="AA549" s="1005"/>
      <c r="AB549" s="1005"/>
      <c r="AC549" s="1005"/>
      <c r="AD549" s="1005"/>
      <c r="AE549" s="1005"/>
      <c r="AF549" s="1005"/>
      <c r="AG549" s="1005"/>
      <c r="AH549" s="1005"/>
      <c r="AI549" s="1005"/>
      <c r="AJ549" s="1005"/>
      <c r="AK549" s="1005"/>
      <c r="AL549" s="1005"/>
      <c r="AM549" s="1005"/>
      <c r="AN549" s="1005"/>
      <c r="AO549" s="1005"/>
      <c r="AP549" s="1005"/>
      <c r="AQ549" s="1005"/>
      <c r="AR549" s="1005"/>
      <c r="AS549" s="1005"/>
      <c r="AT549" s="1005"/>
      <c r="AU549" s="1005"/>
      <c r="AV549" s="1005"/>
      <c r="AW549" s="1005"/>
      <c r="AX549" s="1005"/>
      <c r="AY549" s="1005"/>
      <c r="AZ549" s="1005"/>
      <c r="BA549" s="1005"/>
      <c r="BB549" s="1005"/>
      <c r="BC549" s="1005"/>
      <c r="BD549" s="1005"/>
      <c r="BE549" s="204"/>
      <c r="BF549" s="205" t="s">
        <v>487</v>
      </c>
      <c r="BG549" s="204"/>
      <c r="BH549" s="204"/>
      <c r="BI549" s="204"/>
      <c r="BJ549" s="204"/>
      <c r="BK549" s="206"/>
    </row>
    <row r="550" spans="1:63" s="164" customFormat="1" ht="15.75" customHeight="1">
      <c r="A550" s="185"/>
      <c r="B550" s="183" t="s">
        <v>268</v>
      </c>
      <c r="C550" s="184"/>
      <c r="D550" s="184"/>
      <c r="E550" s="184"/>
      <c r="F550" s="184"/>
      <c r="G550" s="184"/>
      <c r="H550" s="184"/>
      <c r="I550" s="184"/>
      <c r="J550" s="184"/>
      <c r="K550" s="184"/>
      <c r="L550" s="193"/>
      <c r="M550" s="1005" t="s">
        <v>974</v>
      </c>
      <c r="N550" s="1005"/>
      <c r="O550" s="1005"/>
      <c r="P550" s="1005"/>
      <c r="Q550" s="1005"/>
      <c r="R550" s="1005"/>
      <c r="S550" s="1005"/>
      <c r="T550" s="1005"/>
      <c r="U550" s="1005"/>
      <c r="V550" s="1005"/>
      <c r="W550" s="1005"/>
      <c r="X550" s="1005"/>
      <c r="Y550" s="1005"/>
      <c r="Z550" s="1005"/>
      <c r="AA550" s="1005"/>
      <c r="AB550" s="1005"/>
      <c r="AC550" s="1005"/>
      <c r="AD550" s="1005"/>
      <c r="AE550" s="1005"/>
      <c r="AF550" s="1005"/>
      <c r="AG550" s="1005"/>
      <c r="AH550" s="1005"/>
      <c r="AI550" s="1005"/>
      <c r="AJ550" s="1005"/>
      <c r="AK550" s="1005"/>
      <c r="AL550" s="1005"/>
      <c r="AM550" s="1005"/>
      <c r="AN550" s="1005"/>
      <c r="AO550" s="1005"/>
      <c r="AP550" s="1005"/>
      <c r="AQ550" s="1005"/>
      <c r="AR550" s="1005"/>
      <c r="AS550" s="1005"/>
      <c r="AT550" s="1005"/>
      <c r="AU550" s="1005"/>
      <c r="AV550" s="1005"/>
      <c r="AW550" s="1005"/>
      <c r="AX550" s="1005"/>
      <c r="AY550" s="1005"/>
      <c r="AZ550" s="1005"/>
      <c r="BA550" s="1005"/>
      <c r="BB550" s="1005"/>
      <c r="BC550" s="1005"/>
      <c r="BD550" s="1005"/>
      <c r="BE550" s="204"/>
      <c r="BF550" s="205" t="s">
        <v>487</v>
      </c>
      <c r="BG550" s="204"/>
      <c r="BH550" s="204"/>
      <c r="BI550" s="204"/>
      <c r="BJ550" s="204"/>
      <c r="BK550" s="206"/>
    </row>
    <row r="551" spans="1:63" s="164" customFormat="1" ht="15.75" customHeight="1">
      <c r="A551" s="185"/>
      <c r="B551" s="183" t="s">
        <v>975</v>
      </c>
      <c r="C551" s="184"/>
      <c r="D551" s="184"/>
      <c r="E551" s="184"/>
      <c r="F551" s="184"/>
      <c r="G551" s="184"/>
      <c r="H551" s="184"/>
      <c r="I551" s="184"/>
      <c r="J551" s="184"/>
      <c r="K551" s="184"/>
      <c r="L551" s="193"/>
      <c r="M551" s="1003" t="s">
        <v>976</v>
      </c>
      <c r="N551" s="1002"/>
      <c r="O551" s="1002"/>
      <c r="P551" s="1002"/>
      <c r="Q551" s="1002"/>
      <c r="R551" s="1002"/>
      <c r="S551" s="1002"/>
      <c r="T551" s="1002"/>
      <c r="U551" s="1002"/>
      <c r="V551" s="1002"/>
      <c r="W551" s="1002"/>
      <c r="X551" s="1002"/>
      <c r="Y551" s="1002"/>
      <c r="Z551" s="1002"/>
      <c r="AA551" s="1002"/>
      <c r="AB551" s="1002"/>
      <c r="AC551" s="1002"/>
      <c r="AD551" s="1002"/>
      <c r="AE551" s="1002"/>
      <c r="AF551" s="1002"/>
      <c r="AG551" s="1002"/>
      <c r="AH551" s="1002"/>
      <c r="AI551" s="1002"/>
      <c r="AJ551" s="1002"/>
      <c r="AK551" s="1002"/>
      <c r="AL551" s="1002"/>
      <c r="AM551" s="1002"/>
      <c r="AN551" s="1002"/>
      <c r="AO551" s="1002"/>
      <c r="AP551" s="1002"/>
      <c r="AQ551" s="1002"/>
      <c r="AR551" s="1002"/>
      <c r="AS551" s="1002"/>
      <c r="AT551" s="1002"/>
      <c r="AU551" s="1002"/>
      <c r="AV551" s="1002"/>
      <c r="AW551" s="1002"/>
      <c r="AX551" s="1002"/>
      <c r="AY551" s="1002"/>
      <c r="AZ551" s="1002"/>
      <c r="BA551" s="1002"/>
      <c r="BB551" s="1002"/>
      <c r="BC551" s="1002"/>
      <c r="BD551" s="1002"/>
      <c r="BE551" s="204"/>
      <c r="BF551" s="205" t="s">
        <v>548</v>
      </c>
      <c r="BG551" s="204"/>
      <c r="BH551" s="204"/>
      <c r="BI551" s="204"/>
      <c r="BJ551" s="204"/>
      <c r="BK551" s="206"/>
    </row>
    <row r="552" spans="1:63" s="164" customFormat="1" ht="15.75" customHeight="1">
      <c r="A552" s="185"/>
      <c r="B552" s="183" t="s">
        <v>536</v>
      </c>
      <c r="C552" s="184"/>
      <c r="D552" s="184"/>
      <c r="E552" s="184"/>
      <c r="F552" s="184"/>
      <c r="G552" s="184"/>
      <c r="H552" s="184"/>
      <c r="I552" s="184"/>
      <c r="J552" s="184"/>
      <c r="K552" s="184"/>
      <c r="L552" s="193"/>
      <c r="M552" s="1005" t="s">
        <v>977</v>
      </c>
      <c r="N552" s="1005"/>
      <c r="O552" s="1005"/>
      <c r="P552" s="1005"/>
      <c r="Q552" s="1005"/>
      <c r="R552" s="1005"/>
      <c r="S552" s="1005"/>
      <c r="T552" s="1005"/>
      <c r="U552" s="1005"/>
      <c r="V552" s="1005"/>
      <c r="W552" s="1005"/>
      <c r="X552" s="1005"/>
      <c r="Y552" s="1005"/>
      <c r="Z552" s="1005"/>
      <c r="AA552" s="1005"/>
      <c r="AB552" s="1005"/>
      <c r="AC552" s="1005"/>
      <c r="AD552" s="1005"/>
      <c r="AE552" s="1005"/>
      <c r="AF552" s="1005"/>
      <c r="AG552" s="1005"/>
      <c r="AH552" s="1005"/>
      <c r="AI552" s="1005"/>
      <c r="AJ552" s="1005"/>
      <c r="AK552" s="1005"/>
      <c r="AL552" s="1005"/>
      <c r="AM552" s="1005"/>
      <c r="AN552" s="1005"/>
      <c r="AO552" s="1005"/>
      <c r="AP552" s="1005"/>
      <c r="AQ552" s="1005"/>
      <c r="AR552" s="1005"/>
      <c r="AS552" s="1005"/>
      <c r="AT552" s="1005"/>
      <c r="AU552" s="1005"/>
      <c r="AV552" s="1005"/>
      <c r="AW552" s="1005"/>
      <c r="AX552" s="1005"/>
      <c r="AY552" s="1005"/>
      <c r="AZ552" s="1005"/>
      <c r="BA552" s="1005"/>
      <c r="BB552" s="1005"/>
      <c r="BC552" s="1005"/>
      <c r="BD552" s="1005"/>
      <c r="BE552" s="204"/>
      <c r="BF552" s="205" t="s">
        <v>487</v>
      </c>
      <c r="BG552" s="204"/>
      <c r="BH552" s="204"/>
      <c r="BI552" s="204"/>
      <c r="BJ552" s="204"/>
      <c r="BK552" s="206"/>
    </row>
    <row r="553" spans="1:63" s="164" customFormat="1" ht="31.5" customHeight="1">
      <c r="A553" s="185"/>
      <c r="B553" s="183" t="s">
        <v>306</v>
      </c>
      <c r="C553" s="184"/>
      <c r="D553" s="184"/>
      <c r="E553" s="184"/>
      <c r="F553" s="184"/>
      <c r="G553" s="184"/>
      <c r="H553" s="184"/>
      <c r="I553" s="184"/>
      <c r="J553" s="184"/>
      <c r="K553" s="184"/>
      <c r="L553" s="193"/>
      <c r="M553" s="1001" t="s">
        <v>978</v>
      </c>
      <c r="N553" s="1002"/>
      <c r="O553" s="1002"/>
      <c r="P553" s="1002"/>
      <c r="Q553" s="1002"/>
      <c r="R553" s="1002"/>
      <c r="S553" s="1002"/>
      <c r="T553" s="1002"/>
      <c r="U553" s="1002"/>
      <c r="V553" s="1002"/>
      <c r="W553" s="1002"/>
      <c r="X553" s="1002"/>
      <c r="Y553" s="1002"/>
      <c r="Z553" s="1002"/>
      <c r="AA553" s="1002"/>
      <c r="AB553" s="1002"/>
      <c r="AC553" s="1002"/>
      <c r="AD553" s="1002"/>
      <c r="AE553" s="1002"/>
      <c r="AF553" s="1002"/>
      <c r="AG553" s="1002"/>
      <c r="AH553" s="1002"/>
      <c r="AI553" s="1002"/>
      <c r="AJ553" s="1002"/>
      <c r="AK553" s="1002"/>
      <c r="AL553" s="1002"/>
      <c r="AM553" s="1002"/>
      <c r="AN553" s="1002"/>
      <c r="AO553" s="1002"/>
      <c r="AP553" s="1002"/>
      <c r="AQ553" s="1002"/>
      <c r="AR553" s="1002"/>
      <c r="AS553" s="1002"/>
      <c r="AT553" s="1002"/>
      <c r="AU553" s="1002"/>
      <c r="AV553" s="1002"/>
      <c r="AW553" s="1002"/>
      <c r="AX553" s="1002"/>
      <c r="AY553" s="1002"/>
      <c r="AZ553" s="1002"/>
      <c r="BA553" s="1002"/>
      <c r="BB553" s="1002"/>
      <c r="BC553" s="1002"/>
      <c r="BD553" s="1002"/>
      <c r="BE553" s="204"/>
      <c r="BF553" s="205" t="s">
        <v>419</v>
      </c>
      <c r="BG553" s="204"/>
      <c r="BH553" s="204" t="s">
        <v>407</v>
      </c>
      <c r="BI553" s="204"/>
      <c r="BJ553" s="204"/>
      <c r="BK553" s="206"/>
    </row>
    <row r="554" spans="1:63" s="164" customFormat="1" ht="31.5" customHeight="1">
      <c r="A554" s="185"/>
      <c r="B554" s="183" t="s">
        <v>296</v>
      </c>
      <c r="C554" s="184"/>
      <c r="D554" s="184"/>
      <c r="E554" s="184"/>
      <c r="F554" s="184"/>
      <c r="G554" s="184"/>
      <c r="H554" s="184"/>
      <c r="I554" s="184"/>
      <c r="J554" s="184"/>
      <c r="K554" s="184"/>
      <c r="L554" s="193"/>
      <c r="M554" s="1001" t="s">
        <v>979</v>
      </c>
      <c r="N554" s="1002"/>
      <c r="O554" s="1002"/>
      <c r="P554" s="1002"/>
      <c r="Q554" s="1002"/>
      <c r="R554" s="1002"/>
      <c r="S554" s="1002"/>
      <c r="T554" s="1002"/>
      <c r="U554" s="1002"/>
      <c r="V554" s="1002"/>
      <c r="W554" s="1002"/>
      <c r="X554" s="1002"/>
      <c r="Y554" s="1002"/>
      <c r="Z554" s="1002"/>
      <c r="AA554" s="1002"/>
      <c r="AB554" s="1002"/>
      <c r="AC554" s="1002"/>
      <c r="AD554" s="1002"/>
      <c r="AE554" s="1002"/>
      <c r="AF554" s="1002"/>
      <c r="AG554" s="1002"/>
      <c r="AH554" s="1002"/>
      <c r="AI554" s="1002"/>
      <c r="AJ554" s="1002"/>
      <c r="AK554" s="1002"/>
      <c r="AL554" s="1002"/>
      <c r="AM554" s="1002"/>
      <c r="AN554" s="1002"/>
      <c r="AO554" s="1002"/>
      <c r="AP554" s="1002"/>
      <c r="AQ554" s="1002"/>
      <c r="AR554" s="1002"/>
      <c r="AS554" s="1002"/>
      <c r="AT554" s="1002"/>
      <c r="AU554" s="1002"/>
      <c r="AV554" s="1002"/>
      <c r="AW554" s="1002"/>
      <c r="AX554" s="1002"/>
      <c r="AY554" s="1002"/>
      <c r="AZ554" s="1002"/>
      <c r="BA554" s="1002"/>
      <c r="BB554" s="1002"/>
      <c r="BC554" s="1002"/>
      <c r="BD554" s="1002"/>
      <c r="BE554" s="204"/>
      <c r="BF554" s="205" t="s">
        <v>419</v>
      </c>
      <c r="BG554" s="204"/>
      <c r="BH554" s="204" t="s">
        <v>407</v>
      </c>
      <c r="BI554" s="204"/>
      <c r="BJ554" s="204"/>
      <c r="BK554" s="206"/>
    </row>
    <row r="555" spans="1:63" s="164" customFormat="1" ht="15.75" customHeight="1">
      <c r="A555" s="185"/>
      <c r="B555" s="183" t="s">
        <v>345</v>
      </c>
      <c r="C555" s="184"/>
      <c r="D555" s="184"/>
      <c r="E555" s="184"/>
      <c r="F555" s="184"/>
      <c r="G555" s="184"/>
      <c r="H555" s="184"/>
      <c r="I555" s="184"/>
      <c r="J555" s="184"/>
      <c r="K555" s="184"/>
      <c r="L555" s="193"/>
      <c r="M555" s="1003" t="s">
        <v>181</v>
      </c>
      <c r="N555" s="1002"/>
      <c r="O555" s="1002"/>
      <c r="P555" s="1002"/>
      <c r="Q555" s="1002"/>
      <c r="R555" s="1002"/>
      <c r="S555" s="1002"/>
      <c r="T555" s="1002"/>
      <c r="U555" s="1002"/>
      <c r="V555" s="1002"/>
      <c r="W555" s="1002"/>
      <c r="X555" s="1002"/>
      <c r="Y555" s="1002"/>
      <c r="Z555" s="1002"/>
      <c r="AA555" s="1002"/>
      <c r="AB555" s="1002"/>
      <c r="AC555" s="1002"/>
      <c r="AD555" s="1002"/>
      <c r="AE555" s="1002"/>
      <c r="AF555" s="1002"/>
      <c r="AG555" s="1002"/>
      <c r="AH555" s="1002"/>
      <c r="AI555" s="1002"/>
      <c r="AJ555" s="1002"/>
      <c r="AK555" s="1002"/>
      <c r="AL555" s="1002"/>
      <c r="AM555" s="1002"/>
      <c r="AN555" s="1002"/>
      <c r="AO555" s="1002"/>
      <c r="AP555" s="1002"/>
      <c r="AQ555" s="1002"/>
      <c r="AR555" s="1002"/>
      <c r="AS555" s="1002"/>
      <c r="AT555" s="1002"/>
      <c r="AU555" s="1002"/>
      <c r="AV555" s="1002"/>
      <c r="AW555" s="1002"/>
      <c r="AX555" s="1002"/>
      <c r="AY555" s="1002"/>
      <c r="AZ555" s="1002"/>
      <c r="BA555" s="1002"/>
      <c r="BB555" s="1002"/>
      <c r="BC555" s="1002"/>
      <c r="BD555" s="1002"/>
      <c r="BE555" s="204"/>
      <c r="BF555" s="205" t="s">
        <v>548</v>
      </c>
      <c r="BG555" s="204"/>
      <c r="BH555" s="204" t="s">
        <v>407</v>
      </c>
      <c r="BI555" s="204"/>
      <c r="BJ555" s="204"/>
      <c r="BK555" s="206"/>
    </row>
    <row r="556" spans="1:63" s="164" customFormat="1" ht="46.5" customHeight="1">
      <c r="A556" s="185"/>
      <c r="B556" s="183" t="s">
        <v>361</v>
      </c>
      <c r="C556" s="184"/>
      <c r="D556" s="184"/>
      <c r="E556" s="184"/>
      <c r="F556" s="184"/>
      <c r="G556" s="184"/>
      <c r="H556" s="184"/>
      <c r="I556" s="184"/>
      <c r="J556" s="184"/>
      <c r="K556" s="184"/>
      <c r="L556" s="193"/>
      <c r="M556" s="1005" t="s">
        <v>980</v>
      </c>
      <c r="N556" s="1005"/>
      <c r="O556" s="1005"/>
      <c r="P556" s="1005"/>
      <c r="Q556" s="1005"/>
      <c r="R556" s="1005"/>
      <c r="S556" s="1005"/>
      <c r="T556" s="1005"/>
      <c r="U556" s="1005"/>
      <c r="V556" s="1005"/>
      <c r="W556" s="1005"/>
      <c r="X556" s="1005"/>
      <c r="Y556" s="1005"/>
      <c r="Z556" s="1005"/>
      <c r="AA556" s="1005"/>
      <c r="AB556" s="1005"/>
      <c r="AC556" s="1005"/>
      <c r="AD556" s="1005"/>
      <c r="AE556" s="1005"/>
      <c r="AF556" s="1005"/>
      <c r="AG556" s="1005"/>
      <c r="AH556" s="1005"/>
      <c r="AI556" s="1005"/>
      <c r="AJ556" s="1005"/>
      <c r="AK556" s="1005"/>
      <c r="AL556" s="1005"/>
      <c r="AM556" s="1005"/>
      <c r="AN556" s="1005"/>
      <c r="AO556" s="1005"/>
      <c r="AP556" s="1005"/>
      <c r="AQ556" s="1005"/>
      <c r="AR556" s="1005"/>
      <c r="AS556" s="1005"/>
      <c r="AT556" s="1005"/>
      <c r="AU556" s="1005"/>
      <c r="AV556" s="1005"/>
      <c r="AW556" s="1005"/>
      <c r="AX556" s="1005"/>
      <c r="AY556" s="1005"/>
      <c r="AZ556" s="1005"/>
      <c r="BA556" s="1005"/>
      <c r="BB556" s="1005"/>
      <c r="BC556" s="1005"/>
      <c r="BD556" s="1005"/>
      <c r="BE556" s="204"/>
      <c r="BF556" s="205" t="s">
        <v>487</v>
      </c>
      <c r="BG556" s="204"/>
      <c r="BH556" s="204" t="s">
        <v>407</v>
      </c>
      <c r="BI556" s="204"/>
      <c r="BJ556" s="204"/>
      <c r="BK556" s="206"/>
    </row>
    <row r="557" spans="1:63" s="164" customFormat="1" ht="31.5" customHeight="1">
      <c r="A557" s="185"/>
      <c r="B557" s="183" t="s">
        <v>364</v>
      </c>
      <c r="C557" s="184"/>
      <c r="D557" s="184"/>
      <c r="E557" s="184"/>
      <c r="F557" s="184"/>
      <c r="G557" s="184"/>
      <c r="H557" s="184"/>
      <c r="I557" s="184"/>
      <c r="J557" s="184"/>
      <c r="K557" s="184"/>
      <c r="L557" s="193"/>
      <c r="M557" s="1001" t="s">
        <v>981</v>
      </c>
      <c r="N557" s="1002"/>
      <c r="O557" s="1002"/>
      <c r="P557" s="1002"/>
      <c r="Q557" s="1002"/>
      <c r="R557" s="1002"/>
      <c r="S557" s="1002"/>
      <c r="T557" s="1002"/>
      <c r="U557" s="1002"/>
      <c r="V557" s="1002"/>
      <c r="W557" s="1002"/>
      <c r="X557" s="1002"/>
      <c r="Y557" s="1002"/>
      <c r="Z557" s="1002"/>
      <c r="AA557" s="1002"/>
      <c r="AB557" s="1002"/>
      <c r="AC557" s="1002"/>
      <c r="AD557" s="1002"/>
      <c r="AE557" s="1002"/>
      <c r="AF557" s="1002"/>
      <c r="AG557" s="1002"/>
      <c r="AH557" s="1002"/>
      <c r="AI557" s="1002"/>
      <c r="AJ557" s="1002"/>
      <c r="AK557" s="1002"/>
      <c r="AL557" s="1002"/>
      <c r="AM557" s="1002"/>
      <c r="AN557" s="1002"/>
      <c r="AO557" s="1002"/>
      <c r="AP557" s="1002"/>
      <c r="AQ557" s="1002"/>
      <c r="AR557" s="1002"/>
      <c r="AS557" s="1002"/>
      <c r="AT557" s="1002"/>
      <c r="AU557" s="1002"/>
      <c r="AV557" s="1002"/>
      <c r="AW557" s="1002"/>
      <c r="AX557" s="1002"/>
      <c r="AY557" s="1002"/>
      <c r="AZ557" s="1002"/>
      <c r="BA557" s="1002"/>
      <c r="BB557" s="1002"/>
      <c r="BC557" s="1002"/>
      <c r="BD557" s="1002"/>
      <c r="BE557" s="204"/>
      <c r="BF557" s="205" t="s">
        <v>487</v>
      </c>
      <c r="BG557" s="204"/>
      <c r="BH557" s="204" t="s">
        <v>407</v>
      </c>
      <c r="BI557" s="204"/>
      <c r="BJ557" s="204"/>
      <c r="BK557" s="206"/>
    </row>
    <row r="558" spans="1:63" s="166" customFormat="1" ht="47.25" customHeight="1">
      <c r="A558" s="216"/>
      <c r="B558" s="217" t="s">
        <v>301</v>
      </c>
      <c r="C558" s="218"/>
      <c r="D558" s="218"/>
      <c r="E558" s="218"/>
      <c r="F558" s="218"/>
      <c r="G558" s="218"/>
      <c r="H558" s="218"/>
      <c r="I558" s="218"/>
      <c r="J558" s="218"/>
      <c r="K558" s="218"/>
      <c r="L558" s="222"/>
      <c r="M558" s="1004" t="s">
        <v>982</v>
      </c>
      <c r="N558" s="1002"/>
      <c r="O558" s="1002"/>
      <c r="P558" s="1002"/>
      <c r="Q558" s="1002"/>
      <c r="R558" s="1002"/>
      <c r="S558" s="1002"/>
      <c r="T558" s="1002"/>
      <c r="U558" s="1002"/>
      <c r="V558" s="1002"/>
      <c r="W558" s="1002"/>
      <c r="X558" s="1002"/>
      <c r="Y558" s="1002"/>
      <c r="Z558" s="1002"/>
      <c r="AA558" s="1002"/>
      <c r="AB558" s="1002"/>
      <c r="AC558" s="1002"/>
      <c r="AD558" s="1002"/>
      <c r="AE558" s="1002"/>
      <c r="AF558" s="1002"/>
      <c r="AG558" s="1002"/>
      <c r="AH558" s="1002"/>
      <c r="AI558" s="1002"/>
      <c r="AJ558" s="1002"/>
      <c r="AK558" s="1002"/>
      <c r="AL558" s="1002"/>
      <c r="AM558" s="1002"/>
      <c r="AN558" s="1002"/>
      <c r="AO558" s="1002"/>
      <c r="AP558" s="1002"/>
      <c r="AQ558" s="1002"/>
      <c r="AR558" s="1002"/>
      <c r="AS558" s="1002"/>
      <c r="AT558" s="1002"/>
      <c r="AU558" s="1002"/>
      <c r="AV558" s="1002"/>
      <c r="AW558" s="1002"/>
      <c r="AX558" s="1002"/>
      <c r="AY558" s="1002"/>
      <c r="AZ558" s="1002"/>
      <c r="BA558" s="1002"/>
      <c r="BB558" s="1002"/>
      <c r="BC558" s="1002"/>
      <c r="BD558" s="1002"/>
      <c r="BE558" s="227"/>
      <c r="BF558" s="228" t="s">
        <v>462</v>
      </c>
      <c r="BG558" s="227"/>
      <c r="BH558" s="227" t="s">
        <v>407</v>
      </c>
      <c r="BI558" s="227"/>
      <c r="BJ558" s="227"/>
      <c r="BK558" s="229"/>
    </row>
    <row r="559" spans="1:63" s="164" customFormat="1" ht="15.75" customHeight="1">
      <c r="A559" s="185"/>
      <c r="B559" s="183" t="s">
        <v>983</v>
      </c>
      <c r="C559" s="184"/>
      <c r="D559" s="184"/>
      <c r="E559" s="184"/>
      <c r="F559" s="184"/>
      <c r="G559" s="184"/>
      <c r="H559" s="184"/>
      <c r="I559" s="184"/>
      <c r="J559" s="184"/>
      <c r="K559" s="184"/>
      <c r="L559" s="193"/>
      <c r="M559" s="1003" t="s">
        <v>984</v>
      </c>
      <c r="N559" s="1002"/>
      <c r="O559" s="1002"/>
      <c r="P559" s="1002"/>
      <c r="Q559" s="1002"/>
      <c r="R559" s="1002"/>
      <c r="S559" s="1002"/>
      <c r="T559" s="1002"/>
      <c r="U559" s="1002"/>
      <c r="V559" s="1002"/>
      <c r="W559" s="1002"/>
      <c r="X559" s="1002"/>
      <c r="Y559" s="1002"/>
      <c r="Z559" s="1002"/>
      <c r="AA559" s="1002"/>
      <c r="AB559" s="1002"/>
      <c r="AC559" s="1002"/>
      <c r="AD559" s="1002"/>
      <c r="AE559" s="1002"/>
      <c r="AF559" s="1002"/>
      <c r="AG559" s="1002"/>
      <c r="AH559" s="1002"/>
      <c r="AI559" s="1002"/>
      <c r="AJ559" s="1002"/>
      <c r="AK559" s="1002"/>
      <c r="AL559" s="1002"/>
      <c r="AM559" s="1002"/>
      <c r="AN559" s="1002"/>
      <c r="AO559" s="1002"/>
      <c r="AP559" s="1002"/>
      <c r="AQ559" s="1002"/>
      <c r="AR559" s="1002"/>
      <c r="AS559" s="1002"/>
      <c r="AT559" s="1002"/>
      <c r="AU559" s="1002"/>
      <c r="AV559" s="1002"/>
      <c r="AW559" s="1002"/>
      <c r="AX559" s="1002"/>
      <c r="AY559" s="1002"/>
      <c r="AZ559" s="1002"/>
      <c r="BA559" s="1002"/>
      <c r="BB559" s="1002"/>
      <c r="BC559" s="1002"/>
      <c r="BD559" s="1002"/>
      <c r="BE559" s="204"/>
      <c r="BF559" s="205" t="s">
        <v>464</v>
      </c>
      <c r="BG559" s="204"/>
      <c r="BH559" s="204" t="s">
        <v>407</v>
      </c>
      <c r="BI559" s="204"/>
      <c r="BJ559" s="204"/>
      <c r="BK559" s="206"/>
    </row>
    <row r="560" spans="1:63" s="164" customFormat="1" ht="31.5" customHeight="1">
      <c r="A560" s="185"/>
      <c r="B560" s="183" t="s">
        <v>985</v>
      </c>
      <c r="C560" s="184"/>
      <c r="D560" s="184"/>
      <c r="E560" s="184"/>
      <c r="F560" s="184"/>
      <c r="G560" s="184"/>
      <c r="H560" s="184"/>
      <c r="I560" s="184"/>
      <c r="J560" s="184"/>
      <c r="K560" s="184"/>
      <c r="L560" s="193"/>
      <c r="M560" s="1004" t="s">
        <v>986</v>
      </c>
      <c r="N560" s="1002"/>
      <c r="O560" s="1002"/>
      <c r="P560" s="1002"/>
      <c r="Q560" s="1002"/>
      <c r="R560" s="1002"/>
      <c r="S560" s="1002"/>
      <c r="T560" s="1002"/>
      <c r="U560" s="1002"/>
      <c r="V560" s="1002"/>
      <c r="W560" s="1002"/>
      <c r="X560" s="1002"/>
      <c r="Y560" s="1002"/>
      <c r="Z560" s="1002"/>
      <c r="AA560" s="1002"/>
      <c r="AB560" s="1002"/>
      <c r="AC560" s="1002"/>
      <c r="AD560" s="1002"/>
      <c r="AE560" s="1002"/>
      <c r="AF560" s="1002"/>
      <c r="AG560" s="1002"/>
      <c r="AH560" s="1002"/>
      <c r="AI560" s="1002"/>
      <c r="AJ560" s="1002"/>
      <c r="AK560" s="1002"/>
      <c r="AL560" s="1002"/>
      <c r="AM560" s="1002"/>
      <c r="AN560" s="1002"/>
      <c r="AO560" s="1002"/>
      <c r="AP560" s="1002"/>
      <c r="AQ560" s="1002"/>
      <c r="AR560" s="1002"/>
      <c r="AS560" s="1002"/>
      <c r="AT560" s="1002"/>
      <c r="AU560" s="1002"/>
      <c r="AV560" s="1002"/>
      <c r="AW560" s="1002"/>
      <c r="AX560" s="1002"/>
      <c r="AY560" s="1002"/>
      <c r="AZ560" s="1002"/>
      <c r="BA560" s="1002"/>
      <c r="BB560" s="1002"/>
      <c r="BC560" s="1002"/>
      <c r="BD560" s="1002"/>
      <c r="BE560" s="204"/>
      <c r="BF560" s="205" t="s">
        <v>462</v>
      </c>
      <c r="BG560" s="204"/>
      <c r="BH560" s="204" t="s">
        <v>407</v>
      </c>
      <c r="BI560" s="204"/>
      <c r="BJ560" s="204"/>
      <c r="BK560" s="206"/>
    </row>
    <row r="561" spans="1:63" s="164" customFormat="1" ht="31.5" customHeight="1">
      <c r="A561" s="185"/>
      <c r="B561" s="183" t="s">
        <v>987</v>
      </c>
      <c r="C561" s="184"/>
      <c r="D561" s="184"/>
      <c r="E561" s="184"/>
      <c r="F561" s="184"/>
      <c r="G561" s="184"/>
      <c r="H561" s="184"/>
      <c r="I561" s="184"/>
      <c r="J561" s="184"/>
      <c r="K561" s="184"/>
      <c r="L561" s="193"/>
      <c r="M561" s="1003" t="s">
        <v>988</v>
      </c>
      <c r="N561" s="1002"/>
      <c r="O561" s="1002"/>
      <c r="P561" s="1002"/>
      <c r="Q561" s="1002"/>
      <c r="R561" s="1002"/>
      <c r="S561" s="1002"/>
      <c r="T561" s="1002"/>
      <c r="U561" s="1002"/>
      <c r="V561" s="1002"/>
      <c r="W561" s="1002"/>
      <c r="X561" s="1002"/>
      <c r="Y561" s="1002"/>
      <c r="Z561" s="1002"/>
      <c r="AA561" s="1002"/>
      <c r="AB561" s="1002"/>
      <c r="AC561" s="1002"/>
      <c r="AD561" s="1002"/>
      <c r="AE561" s="1002"/>
      <c r="AF561" s="1002"/>
      <c r="AG561" s="1002"/>
      <c r="AH561" s="1002"/>
      <c r="AI561" s="1002"/>
      <c r="AJ561" s="1002"/>
      <c r="AK561" s="1002"/>
      <c r="AL561" s="1002"/>
      <c r="AM561" s="1002"/>
      <c r="AN561" s="1002"/>
      <c r="AO561" s="1002"/>
      <c r="AP561" s="1002"/>
      <c r="AQ561" s="1002"/>
      <c r="AR561" s="1002"/>
      <c r="AS561" s="1002"/>
      <c r="AT561" s="1002"/>
      <c r="AU561" s="1002"/>
      <c r="AV561" s="1002"/>
      <c r="AW561" s="1002"/>
      <c r="AX561" s="1002"/>
      <c r="AY561" s="1002"/>
      <c r="AZ561" s="1002"/>
      <c r="BA561" s="1002"/>
      <c r="BB561" s="1002"/>
      <c r="BC561" s="1002"/>
      <c r="BD561" s="1002"/>
      <c r="BE561" s="204"/>
      <c r="BF561" s="205" t="s">
        <v>462</v>
      </c>
      <c r="BG561" s="204"/>
      <c r="BH561" s="204" t="s">
        <v>407</v>
      </c>
      <c r="BI561" s="204"/>
      <c r="BJ561" s="204"/>
      <c r="BK561" s="206"/>
    </row>
    <row r="562" spans="1:63" s="164" customFormat="1" ht="15.75" customHeight="1">
      <c r="A562" s="185"/>
      <c r="B562" s="183" t="s">
        <v>989</v>
      </c>
      <c r="C562" s="184"/>
      <c r="D562" s="184"/>
      <c r="E562" s="184"/>
      <c r="F562" s="184"/>
      <c r="G562" s="184"/>
      <c r="H562" s="184"/>
      <c r="I562" s="184"/>
      <c r="J562" s="184"/>
      <c r="K562" s="184"/>
      <c r="L562" s="193"/>
      <c r="M562" s="1003" t="s">
        <v>990</v>
      </c>
      <c r="N562" s="1002"/>
      <c r="O562" s="1002"/>
      <c r="P562" s="1002"/>
      <c r="Q562" s="1002"/>
      <c r="R562" s="1002"/>
      <c r="S562" s="1002"/>
      <c r="T562" s="1002"/>
      <c r="U562" s="1002"/>
      <c r="V562" s="1002"/>
      <c r="W562" s="1002"/>
      <c r="X562" s="1002"/>
      <c r="Y562" s="1002"/>
      <c r="Z562" s="1002"/>
      <c r="AA562" s="1002"/>
      <c r="AB562" s="1002"/>
      <c r="AC562" s="1002"/>
      <c r="AD562" s="1002"/>
      <c r="AE562" s="1002"/>
      <c r="AF562" s="1002"/>
      <c r="AG562" s="1002"/>
      <c r="AH562" s="1002"/>
      <c r="AI562" s="1002"/>
      <c r="AJ562" s="1002"/>
      <c r="AK562" s="1002"/>
      <c r="AL562" s="1002"/>
      <c r="AM562" s="1002"/>
      <c r="AN562" s="1002"/>
      <c r="AO562" s="1002"/>
      <c r="AP562" s="1002"/>
      <c r="AQ562" s="1002"/>
      <c r="AR562" s="1002"/>
      <c r="AS562" s="1002"/>
      <c r="AT562" s="1002"/>
      <c r="AU562" s="1002"/>
      <c r="AV562" s="1002"/>
      <c r="AW562" s="1002"/>
      <c r="AX562" s="1002"/>
      <c r="AY562" s="1002"/>
      <c r="AZ562" s="1002"/>
      <c r="BA562" s="1002"/>
      <c r="BB562" s="1002"/>
      <c r="BC562" s="1002"/>
      <c r="BD562" s="1002"/>
      <c r="BE562" s="204"/>
      <c r="BF562" s="205" t="s">
        <v>464</v>
      </c>
      <c r="BG562" s="204"/>
      <c r="BH562" s="204" t="s">
        <v>407</v>
      </c>
      <c r="BI562" s="204"/>
      <c r="BJ562" s="204"/>
      <c r="BK562" s="206"/>
    </row>
    <row r="563" spans="1:63" s="164" customFormat="1" ht="15.75" customHeight="1">
      <c r="A563" s="185"/>
      <c r="B563" s="183" t="s">
        <v>991</v>
      </c>
      <c r="C563" s="184"/>
      <c r="D563" s="184"/>
      <c r="E563" s="184"/>
      <c r="F563" s="184"/>
      <c r="G563" s="184"/>
      <c r="H563" s="184"/>
      <c r="I563" s="184"/>
      <c r="J563" s="184"/>
      <c r="K563" s="184"/>
      <c r="L563" s="193"/>
      <c r="M563" s="1005" t="s">
        <v>992</v>
      </c>
      <c r="N563" s="1005"/>
      <c r="O563" s="1005"/>
      <c r="P563" s="1005"/>
      <c r="Q563" s="1005"/>
      <c r="R563" s="1005"/>
      <c r="S563" s="1005"/>
      <c r="T563" s="1005"/>
      <c r="U563" s="1005"/>
      <c r="V563" s="1005"/>
      <c r="W563" s="1005"/>
      <c r="X563" s="1005"/>
      <c r="Y563" s="1005"/>
      <c r="Z563" s="1005"/>
      <c r="AA563" s="1005"/>
      <c r="AB563" s="1005"/>
      <c r="AC563" s="1005"/>
      <c r="AD563" s="1005"/>
      <c r="AE563" s="1005"/>
      <c r="AF563" s="1005"/>
      <c r="AG563" s="1005"/>
      <c r="AH563" s="1005"/>
      <c r="AI563" s="1005"/>
      <c r="AJ563" s="1005"/>
      <c r="AK563" s="1005"/>
      <c r="AL563" s="1005"/>
      <c r="AM563" s="1005"/>
      <c r="AN563" s="1005"/>
      <c r="AO563" s="1005"/>
      <c r="AP563" s="1005"/>
      <c r="AQ563" s="1005"/>
      <c r="AR563" s="1005"/>
      <c r="AS563" s="1005"/>
      <c r="AT563" s="1005"/>
      <c r="AU563" s="1005"/>
      <c r="AV563" s="1005"/>
      <c r="AW563" s="1005"/>
      <c r="AX563" s="1005"/>
      <c r="AY563" s="1005"/>
      <c r="AZ563" s="1005"/>
      <c r="BA563" s="1005"/>
      <c r="BB563" s="1005"/>
      <c r="BC563" s="1005"/>
      <c r="BD563" s="1005"/>
      <c r="BE563" s="204"/>
      <c r="BF563" s="205" t="s">
        <v>419</v>
      </c>
      <c r="BG563" s="204"/>
      <c r="BH563" s="204" t="s">
        <v>407</v>
      </c>
      <c r="BI563" s="204"/>
      <c r="BJ563" s="204"/>
      <c r="BK563" s="206"/>
    </row>
    <row r="564" spans="1:63" s="164" customFormat="1" ht="15.75" customHeight="1">
      <c r="A564" s="185"/>
      <c r="B564" s="183" t="s">
        <v>452</v>
      </c>
      <c r="C564" s="184"/>
      <c r="D564" s="184"/>
      <c r="E564" s="184"/>
      <c r="F564" s="184"/>
      <c r="G564" s="184"/>
      <c r="H564" s="184"/>
      <c r="I564" s="184"/>
      <c r="J564" s="184"/>
      <c r="K564" s="184"/>
      <c r="L564" s="193"/>
      <c r="M564" s="1005" t="s">
        <v>993</v>
      </c>
      <c r="N564" s="1006"/>
      <c r="O564" s="1006"/>
      <c r="P564" s="1006"/>
      <c r="Q564" s="1006"/>
      <c r="R564" s="1006"/>
      <c r="S564" s="1006"/>
      <c r="T564" s="1006"/>
      <c r="U564" s="1006"/>
      <c r="V564" s="1006"/>
      <c r="W564" s="1006"/>
      <c r="X564" s="1006"/>
      <c r="Y564" s="1006"/>
      <c r="Z564" s="1006"/>
      <c r="AA564" s="1006"/>
      <c r="AB564" s="1006"/>
      <c r="AC564" s="1006"/>
      <c r="AD564" s="1006"/>
      <c r="AE564" s="1006"/>
      <c r="AF564" s="1006"/>
      <c r="AG564" s="1006"/>
      <c r="AH564" s="1006"/>
      <c r="AI564" s="1006"/>
      <c r="AJ564" s="1006"/>
      <c r="AK564" s="1006"/>
      <c r="AL564" s="1006"/>
      <c r="AM564" s="1006"/>
      <c r="AN564" s="1006"/>
      <c r="AO564" s="1006"/>
      <c r="AP564" s="1006"/>
      <c r="AQ564" s="1006"/>
      <c r="AR564" s="1006"/>
      <c r="AS564" s="1006"/>
      <c r="AT564" s="1006"/>
      <c r="AU564" s="1006"/>
      <c r="AV564" s="1006"/>
      <c r="AW564" s="1006"/>
      <c r="AX564" s="1006"/>
      <c r="AY564" s="1006"/>
      <c r="AZ564" s="1006"/>
      <c r="BA564" s="1006"/>
      <c r="BB564" s="1006"/>
      <c r="BC564" s="1006"/>
      <c r="BD564" s="1006"/>
      <c r="BE564" s="204"/>
      <c r="BF564" s="205"/>
      <c r="BG564" s="204"/>
      <c r="BH564" s="204"/>
      <c r="BI564" s="204"/>
      <c r="BJ564" s="204"/>
      <c r="BK564" s="206"/>
    </row>
    <row r="565" spans="1:63" s="164" customFormat="1" ht="15.75" customHeight="1">
      <c r="A565" s="185"/>
      <c r="B565" s="183" t="s">
        <v>459</v>
      </c>
      <c r="C565" s="184"/>
      <c r="D565" s="184"/>
      <c r="E565" s="184"/>
      <c r="F565" s="184"/>
      <c r="G565" s="184"/>
      <c r="H565" s="184"/>
      <c r="I565" s="184"/>
      <c r="J565" s="184"/>
      <c r="K565" s="184"/>
      <c r="L565" s="193"/>
      <c r="M565" s="1005" t="s">
        <v>994</v>
      </c>
      <c r="N565" s="1006"/>
      <c r="O565" s="1006"/>
      <c r="P565" s="1006"/>
      <c r="Q565" s="1006"/>
      <c r="R565" s="1006"/>
      <c r="S565" s="1006"/>
      <c r="T565" s="1006"/>
      <c r="U565" s="1006"/>
      <c r="V565" s="1006"/>
      <c r="W565" s="1006"/>
      <c r="X565" s="1006"/>
      <c r="Y565" s="1006"/>
      <c r="Z565" s="1006"/>
      <c r="AA565" s="1006"/>
      <c r="AB565" s="1006"/>
      <c r="AC565" s="1006"/>
      <c r="AD565" s="1006"/>
      <c r="AE565" s="1006"/>
      <c r="AF565" s="1006"/>
      <c r="AG565" s="1006"/>
      <c r="AH565" s="1006"/>
      <c r="AI565" s="1006"/>
      <c r="AJ565" s="1006"/>
      <c r="AK565" s="1006"/>
      <c r="AL565" s="1006"/>
      <c r="AM565" s="1006"/>
      <c r="AN565" s="1006"/>
      <c r="AO565" s="1006"/>
      <c r="AP565" s="1006"/>
      <c r="AQ565" s="1006"/>
      <c r="AR565" s="1006"/>
      <c r="AS565" s="1006"/>
      <c r="AT565" s="1006"/>
      <c r="AU565" s="1006"/>
      <c r="AV565" s="1006"/>
      <c r="AW565" s="1006"/>
      <c r="AX565" s="1006"/>
      <c r="AY565" s="1006"/>
      <c r="AZ565" s="1006"/>
      <c r="BA565" s="1006"/>
      <c r="BB565" s="1006"/>
      <c r="BC565" s="1006"/>
      <c r="BD565" s="1006"/>
      <c r="BE565" s="204"/>
      <c r="BF565" s="205"/>
      <c r="BG565" s="204"/>
      <c r="BH565" s="204"/>
      <c r="BI565" s="204"/>
      <c r="BJ565" s="204"/>
      <c r="BK565" s="206"/>
    </row>
    <row r="566" spans="1:63" s="164" customFormat="1" ht="47.25" customHeight="1">
      <c r="A566" s="185"/>
      <c r="B566" s="183" t="s">
        <v>995</v>
      </c>
      <c r="C566" s="184"/>
      <c r="D566" s="184"/>
      <c r="E566" s="184"/>
      <c r="F566" s="184"/>
      <c r="G566" s="184"/>
      <c r="H566" s="184"/>
      <c r="I566" s="184"/>
      <c r="J566" s="184"/>
      <c r="K566" s="184"/>
      <c r="L566" s="193"/>
      <c r="M566" s="1003" t="s">
        <v>996</v>
      </c>
      <c r="N566" s="1002"/>
      <c r="O566" s="1002"/>
      <c r="P566" s="1002"/>
      <c r="Q566" s="1002"/>
      <c r="R566" s="1002"/>
      <c r="S566" s="1002"/>
      <c r="T566" s="1002"/>
      <c r="U566" s="1002"/>
      <c r="V566" s="1002"/>
      <c r="W566" s="1002"/>
      <c r="X566" s="1002"/>
      <c r="Y566" s="1002"/>
      <c r="Z566" s="1002"/>
      <c r="AA566" s="1002"/>
      <c r="AB566" s="1002"/>
      <c r="AC566" s="1002"/>
      <c r="AD566" s="1002"/>
      <c r="AE566" s="1002"/>
      <c r="AF566" s="1002"/>
      <c r="AG566" s="1002"/>
      <c r="AH566" s="1002"/>
      <c r="AI566" s="1002"/>
      <c r="AJ566" s="1002"/>
      <c r="AK566" s="1002"/>
      <c r="AL566" s="1002"/>
      <c r="AM566" s="1002"/>
      <c r="AN566" s="1002"/>
      <c r="AO566" s="1002"/>
      <c r="AP566" s="1002"/>
      <c r="AQ566" s="1002"/>
      <c r="AR566" s="1002"/>
      <c r="AS566" s="1002"/>
      <c r="AT566" s="1002"/>
      <c r="AU566" s="1002"/>
      <c r="AV566" s="1002"/>
      <c r="AW566" s="1002"/>
      <c r="AX566" s="1002"/>
      <c r="AY566" s="1002"/>
      <c r="AZ566" s="1002"/>
      <c r="BA566" s="1002"/>
      <c r="BB566" s="1002"/>
      <c r="BC566" s="1002"/>
      <c r="BD566" s="1002"/>
      <c r="BE566" s="204"/>
      <c r="BF566" s="205" t="s">
        <v>548</v>
      </c>
      <c r="BG566" s="204"/>
      <c r="BH566" s="204" t="s">
        <v>407</v>
      </c>
      <c r="BI566" s="204"/>
      <c r="BJ566" s="204"/>
      <c r="BK566" s="206"/>
    </row>
    <row r="567" spans="1:63" s="164" customFormat="1" ht="54.75" customHeight="1">
      <c r="A567" s="185"/>
      <c r="B567" s="183" t="s">
        <v>997</v>
      </c>
      <c r="C567" s="184"/>
      <c r="D567" s="184"/>
      <c r="E567" s="184"/>
      <c r="F567" s="184"/>
      <c r="G567" s="184"/>
      <c r="H567" s="184"/>
      <c r="I567" s="184"/>
      <c r="J567" s="184"/>
      <c r="K567" s="184"/>
      <c r="L567" s="193"/>
      <c r="M567" s="1003" t="s">
        <v>998</v>
      </c>
      <c r="N567" s="1002"/>
      <c r="O567" s="1002"/>
      <c r="P567" s="1002"/>
      <c r="Q567" s="1002"/>
      <c r="R567" s="1002"/>
      <c r="S567" s="1002"/>
      <c r="T567" s="1002"/>
      <c r="U567" s="1002"/>
      <c r="V567" s="1002"/>
      <c r="W567" s="1002"/>
      <c r="X567" s="1002"/>
      <c r="Y567" s="1002"/>
      <c r="Z567" s="1002"/>
      <c r="AA567" s="1002"/>
      <c r="AB567" s="1002"/>
      <c r="AC567" s="1002"/>
      <c r="AD567" s="1002"/>
      <c r="AE567" s="1002"/>
      <c r="AF567" s="1002"/>
      <c r="AG567" s="1002"/>
      <c r="AH567" s="1002"/>
      <c r="AI567" s="1002"/>
      <c r="AJ567" s="1002"/>
      <c r="AK567" s="1002"/>
      <c r="AL567" s="1002"/>
      <c r="AM567" s="1002"/>
      <c r="AN567" s="1002"/>
      <c r="AO567" s="1002"/>
      <c r="AP567" s="1002"/>
      <c r="AQ567" s="1002"/>
      <c r="AR567" s="1002"/>
      <c r="AS567" s="1002"/>
      <c r="AT567" s="1002"/>
      <c r="AU567" s="1002"/>
      <c r="AV567" s="1002"/>
      <c r="AW567" s="1002"/>
      <c r="AX567" s="1002"/>
      <c r="AY567" s="1002"/>
      <c r="AZ567" s="1002"/>
      <c r="BA567" s="1002"/>
      <c r="BB567" s="1002"/>
      <c r="BC567" s="1002"/>
      <c r="BD567" s="1002"/>
      <c r="BE567" s="204"/>
      <c r="BF567" s="205" t="s">
        <v>548</v>
      </c>
      <c r="BG567" s="204"/>
      <c r="BH567" s="204" t="s">
        <v>407</v>
      </c>
      <c r="BI567" s="204"/>
      <c r="BJ567" s="204"/>
      <c r="BK567" s="206"/>
    </row>
    <row r="568" spans="1:63" s="164" customFormat="1" ht="15.75" customHeight="1">
      <c r="A568" s="185"/>
      <c r="B568" s="183" t="s">
        <v>999</v>
      </c>
      <c r="C568" s="184"/>
      <c r="D568" s="184"/>
      <c r="E568" s="184"/>
      <c r="F568" s="184"/>
      <c r="G568" s="184"/>
      <c r="H568" s="184"/>
      <c r="I568" s="184"/>
      <c r="J568" s="184"/>
      <c r="K568" s="184"/>
      <c r="L568" s="193"/>
      <c r="M568" s="1003" t="s">
        <v>1000</v>
      </c>
      <c r="N568" s="1002"/>
      <c r="O568" s="1002"/>
      <c r="P568" s="1002"/>
      <c r="Q568" s="1002"/>
      <c r="R568" s="1002"/>
      <c r="S568" s="1002"/>
      <c r="T568" s="1002"/>
      <c r="U568" s="1002"/>
      <c r="V568" s="1002"/>
      <c r="W568" s="1002"/>
      <c r="X568" s="1002"/>
      <c r="Y568" s="1002"/>
      <c r="Z568" s="1002"/>
      <c r="AA568" s="1002"/>
      <c r="AB568" s="1002"/>
      <c r="AC568" s="1002"/>
      <c r="AD568" s="1002"/>
      <c r="AE568" s="1002"/>
      <c r="AF568" s="1002"/>
      <c r="AG568" s="1002"/>
      <c r="AH568" s="1002"/>
      <c r="AI568" s="1002"/>
      <c r="AJ568" s="1002"/>
      <c r="AK568" s="1002"/>
      <c r="AL568" s="1002"/>
      <c r="AM568" s="1002"/>
      <c r="AN568" s="1002"/>
      <c r="AO568" s="1002"/>
      <c r="AP568" s="1002"/>
      <c r="AQ568" s="1002"/>
      <c r="AR568" s="1002"/>
      <c r="AS568" s="1002"/>
      <c r="AT568" s="1002"/>
      <c r="AU568" s="1002"/>
      <c r="AV568" s="1002"/>
      <c r="AW568" s="1002"/>
      <c r="AX568" s="1002"/>
      <c r="AY568" s="1002"/>
      <c r="AZ568" s="1002"/>
      <c r="BA568" s="1002"/>
      <c r="BB568" s="1002"/>
      <c r="BC568" s="1002"/>
      <c r="BD568" s="1002"/>
      <c r="BE568" s="204"/>
      <c r="BF568" s="205" t="s">
        <v>462</v>
      </c>
      <c r="BG568" s="204"/>
      <c r="BH568" s="204" t="s">
        <v>407</v>
      </c>
      <c r="BI568" s="204"/>
      <c r="BJ568" s="204"/>
      <c r="BK568" s="206"/>
    </row>
    <row r="569" spans="1:63" s="164" customFormat="1" ht="15.75" customHeight="1">
      <c r="A569" s="185"/>
      <c r="B569" s="183" t="s">
        <v>1001</v>
      </c>
      <c r="C569" s="184"/>
      <c r="D569" s="184"/>
      <c r="E569" s="184"/>
      <c r="F569" s="184"/>
      <c r="G569" s="184"/>
      <c r="H569" s="184"/>
      <c r="I569" s="184"/>
      <c r="J569" s="184"/>
      <c r="K569" s="184"/>
      <c r="L569" s="193"/>
      <c r="M569" s="1005" t="s">
        <v>1002</v>
      </c>
      <c r="N569" s="1005"/>
      <c r="O569" s="1005"/>
      <c r="P569" s="1005"/>
      <c r="Q569" s="1005"/>
      <c r="R569" s="1005"/>
      <c r="S569" s="1005"/>
      <c r="T569" s="1005"/>
      <c r="U569" s="1005"/>
      <c r="V569" s="1005"/>
      <c r="W569" s="1005"/>
      <c r="X569" s="1005"/>
      <c r="Y569" s="1005"/>
      <c r="Z569" s="1005"/>
      <c r="AA569" s="1005"/>
      <c r="AB569" s="1005"/>
      <c r="AC569" s="1005"/>
      <c r="AD569" s="1005"/>
      <c r="AE569" s="1005"/>
      <c r="AF569" s="1005"/>
      <c r="AG569" s="1005"/>
      <c r="AH569" s="1005"/>
      <c r="AI569" s="1005"/>
      <c r="AJ569" s="1005"/>
      <c r="AK569" s="1005"/>
      <c r="AL569" s="1005"/>
      <c r="AM569" s="1005"/>
      <c r="AN569" s="1005"/>
      <c r="AO569" s="1005"/>
      <c r="AP569" s="1005"/>
      <c r="AQ569" s="1005"/>
      <c r="AR569" s="1005"/>
      <c r="AS569" s="1005"/>
      <c r="AT569" s="1005"/>
      <c r="AU569" s="1005"/>
      <c r="AV569" s="1005"/>
      <c r="AW569" s="1005"/>
      <c r="AX569" s="1005"/>
      <c r="AY569" s="1005"/>
      <c r="AZ569" s="1005"/>
      <c r="BA569" s="1005"/>
      <c r="BB569" s="1005"/>
      <c r="BC569" s="1005"/>
      <c r="BD569" s="1005"/>
      <c r="BE569" s="204"/>
      <c r="BF569" s="205" t="s">
        <v>548</v>
      </c>
      <c r="BG569" s="204"/>
      <c r="BH569" s="204" t="s">
        <v>407</v>
      </c>
      <c r="BI569" s="204"/>
      <c r="BJ569" s="204"/>
      <c r="BK569" s="206"/>
    </row>
    <row r="570" spans="1:63" s="164" customFormat="1" ht="13">
      <c r="A570" s="185"/>
      <c r="B570" s="183" t="s">
        <v>1003</v>
      </c>
      <c r="C570" s="184"/>
      <c r="D570" s="184"/>
      <c r="E570" s="184"/>
      <c r="F570" s="184"/>
      <c r="G570" s="184"/>
      <c r="H570" s="184"/>
      <c r="I570" s="184"/>
      <c r="J570" s="184"/>
      <c r="K570" s="184"/>
      <c r="L570" s="193"/>
      <c r="M570" s="1005" t="s">
        <v>1004</v>
      </c>
      <c r="N570" s="1005"/>
      <c r="O570" s="1005"/>
      <c r="P570" s="1005"/>
      <c r="Q570" s="1005"/>
      <c r="R570" s="1005"/>
      <c r="S570" s="1005"/>
      <c r="T570" s="1005"/>
      <c r="U570" s="1005"/>
      <c r="V570" s="1005"/>
      <c r="W570" s="1005"/>
      <c r="X570" s="1005"/>
      <c r="Y570" s="1005"/>
      <c r="Z570" s="1005"/>
      <c r="AA570" s="1005"/>
      <c r="AB570" s="1005"/>
      <c r="AC570" s="1005"/>
      <c r="AD570" s="1005"/>
      <c r="AE570" s="1005"/>
      <c r="AF570" s="1005"/>
      <c r="AG570" s="1005"/>
      <c r="AH570" s="1005"/>
      <c r="AI570" s="1005"/>
      <c r="AJ570" s="1005"/>
      <c r="AK570" s="1005"/>
      <c r="AL570" s="1005"/>
      <c r="AM570" s="1005"/>
      <c r="AN570" s="1005"/>
      <c r="AO570" s="1005"/>
      <c r="AP570" s="1005"/>
      <c r="AQ570" s="1005"/>
      <c r="AR570" s="1005"/>
      <c r="AS570" s="1005"/>
      <c r="AT570" s="1005"/>
      <c r="AU570" s="1005"/>
      <c r="AV570" s="1005"/>
      <c r="AW570" s="1005"/>
      <c r="AX570" s="1005"/>
      <c r="AY570" s="1005"/>
      <c r="AZ570" s="1005"/>
      <c r="BA570" s="1005"/>
      <c r="BB570" s="1005"/>
      <c r="BC570" s="1005"/>
      <c r="BD570" s="1005"/>
      <c r="BE570" s="204"/>
      <c r="BF570" s="205" t="s">
        <v>462</v>
      </c>
      <c r="BG570" s="204"/>
      <c r="BH570" s="204" t="s">
        <v>407</v>
      </c>
      <c r="BI570" s="204"/>
      <c r="BJ570" s="204"/>
      <c r="BK570" s="206"/>
    </row>
    <row r="571" spans="1:63" s="164" customFormat="1" ht="15.75" customHeight="1">
      <c r="A571" s="185"/>
      <c r="B571" s="183" t="s">
        <v>1005</v>
      </c>
      <c r="C571" s="184"/>
      <c r="D571" s="184"/>
      <c r="E571" s="184"/>
      <c r="F571" s="184"/>
      <c r="G571" s="184"/>
      <c r="H571" s="184"/>
      <c r="I571" s="184"/>
      <c r="J571" s="184"/>
      <c r="K571" s="184"/>
      <c r="L571" s="193"/>
      <c r="M571" s="1003" t="s">
        <v>1006</v>
      </c>
      <c r="N571" s="1002"/>
      <c r="O571" s="1002"/>
      <c r="P571" s="1002"/>
      <c r="Q571" s="1002"/>
      <c r="R571" s="1002"/>
      <c r="S571" s="1002"/>
      <c r="T571" s="1002"/>
      <c r="U571" s="1002"/>
      <c r="V571" s="1002"/>
      <c r="W571" s="1002"/>
      <c r="X571" s="1002"/>
      <c r="Y571" s="1002"/>
      <c r="Z571" s="1002"/>
      <c r="AA571" s="1002"/>
      <c r="AB571" s="1002"/>
      <c r="AC571" s="1002"/>
      <c r="AD571" s="1002"/>
      <c r="AE571" s="1002"/>
      <c r="AF571" s="1002"/>
      <c r="AG571" s="1002"/>
      <c r="AH571" s="1002"/>
      <c r="AI571" s="1002"/>
      <c r="AJ571" s="1002"/>
      <c r="AK571" s="1002"/>
      <c r="AL571" s="1002"/>
      <c r="AM571" s="1002"/>
      <c r="AN571" s="1002"/>
      <c r="AO571" s="1002"/>
      <c r="AP571" s="1002"/>
      <c r="AQ571" s="1002"/>
      <c r="AR571" s="1002"/>
      <c r="AS571" s="1002"/>
      <c r="AT571" s="1002"/>
      <c r="AU571" s="1002"/>
      <c r="AV571" s="1002"/>
      <c r="AW571" s="1002"/>
      <c r="AX571" s="1002"/>
      <c r="AY571" s="1002"/>
      <c r="AZ571" s="1002"/>
      <c r="BA571" s="1002"/>
      <c r="BB571" s="1002"/>
      <c r="BC571" s="1002"/>
      <c r="BD571" s="1002"/>
      <c r="BE571" s="204"/>
      <c r="BF571" s="205" t="s">
        <v>462</v>
      </c>
      <c r="BG571" s="204"/>
      <c r="BH571" s="204" t="s">
        <v>407</v>
      </c>
      <c r="BI571" s="204"/>
      <c r="BJ571" s="204"/>
      <c r="BK571" s="206"/>
    </row>
    <row r="572" spans="1:63" s="164" customFormat="1" ht="13">
      <c r="A572" s="185"/>
      <c r="B572" s="183" t="s">
        <v>1007</v>
      </c>
      <c r="C572" s="184"/>
      <c r="D572" s="184"/>
      <c r="E572" s="184"/>
      <c r="F572" s="184"/>
      <c r="G572" s="184"/>
      <c r="H572" s="184"/>
      <c r="I572" s="184"/>
      <c r="J572" s="184"/>
      <c r="K572" s="184"/>
      <c r="L572" s="193"/>
      <c r="M572" s="1005" t="s">
        <v>1008</v>
      </c>
      <c r="N572" s="1005"/>
      <c r="O572" s="1005"/>
      <c r="P572" s="1005"/>
      <c r="Q572" s="1005"/>
      <c r="R572" s="1005"/>
      <c r="S572" s="1005"/>
      <c r="T572" s="1005"/>
      <c r="U572" s="1005"/>
      <c r="V572" s="1005"/>
      <c r="W572" s="1005"/>
      <c r="X572" s="1005"/>
      <c r="Y572" s="1005"/>
      <c r="Z572" s="1005"/>
      <c r="AA572" s="1005"/>
      <c r="AB572" s="1005"/>
      <c r="AC572" s="1005"/>
      <c r="AD572" s="1005"/>
      <c r="AE572" s="1005"/>
      <c r="AF572" s="1005"/>
      <c r="AG572" s="1005"/>
      <c r="AH572" s="1005"/>
      <c r="AI572" s="1005"/>
      <c r="AJ572" s="1005"/>
      <c r="AK572" s="1005"/>
      <c r="AL572" s="1005"/>
      <c r="AM572" s="1005"/>
      <c r="AN572" s="1005"/>
      <c r="AO572" s="1005"/>
      <c r="AP572" s="1005"/>
      <c r="AQ572" s="1005"/>
      <c r="AR572" s="1005"/>
      <c r="AS572" s="1005"/>
      <c r="AT572" s="1005"/>
      <c r="AU572" s="1005"/>
      <c r="AV572" s="1005"/>
      <c r="AW572" s="1005"/>
      <c r="AX572" s="1005"/>
      <c r="AY572" s="1005"/>
      <c r="AZ572" s="1005"/>
      <c r="BA572" s="1005"/>
      <c r="BB572" s="1005"/>
      <c r="BC572" s="1005"/>
      <c r="BD572" s="1005"/>
      <c r="BE572" s="204"/>
      <c r="BF572" s="205" t="s">
        <v>462</v>
      </c>
      <c r="BG572" s="204"/>
      <c r="BH572" s="204" t="s">
        <v>407</v>
      </c>
      <c r="BI572" s="204"/>
      <c r="BJ572" s="204"/>
      <c r="BK572" s="206"/>
    </row>
    <row r="573" spans="1:63" s="164" customFormat="1" ht="15.75" customHeight="1">
      <c r="A573" s="185"/>
      <c r="B573" s="183" t="s">
        <v>1009</v>
      </c>
      <c r="C573" s="184"/>
      <c r="D573" s="184"/>
      <c r="E573" s="184"/>
      <c r="F573" s="184"/>
      <c r="G573" s="184"/>
      <c r="H573" s="184"/>
      <c r="I573" s="184"/>
      <c r="J573" s="184"/>
      <c r="K573" s="184"/>
      <c r="L573" s="193"/>
      <c r="M573" s="1003" t="s">
        <v>1010</v>
      </c>
      <c r="N573" s="1002"/>
      <c r="O573" s="1002"/>
      <c r="P573" s="1002"/>
      <c r="Q573" s="1002"/>
      <c r="R573" s="1002"/>
      <c r="S573" s="1002"/>
      <c r="T573" s="1002"/>
      <c r="U573" s="1002"/>
      <c r="V573" s="1002"/>
      <c r="W573" s="1002"/>
      <c r="X573" s="1002"/>
      <c r="Y573" s="1002"/>
      <c r="Z573" s="1002"/>
      <c r="AA573" s="1002"/>
      <c r="AB573" s="1002"/>
      <c r="AC573" s="1002"/>
      <c r="AD573" s="1002"/>
      <c r="AE573" s="1002"/>
      <c r="AF573" s="1002"/>
      <c r="AG573" s="1002"/>
      <c r="AH573" s="1002"/>
      <c r="AI573" s="1002"/>
      <c r="AJ573" s="1002"/>
      <c r="AK573" s="1002"/>
      <c r="AL573" s="1002"/>
      <c r="AM573" s="1002"/>
      <c r="AN573" s="1002"/>
      <c r="AO573" s="1002"/>
      <c r="AP573" s="1002"/>
      <c r="AQ573" s="1002"/>
      <c r="AR573" s="1002"/>
      <c r="AS573" s="1002"/>
      <c r="AT573" s="1002"/>
      <c r="AU573" s="1002"/>
      <c r="AV573" s="1002"/>
      <c r="AW573" s="1002"/>
      <c r="AX573" s="1002"/>
      <c r="AY573" s="1002"/>
      <c r="AZ573" s="1002"/>
      <c r="BA573" s="1002"/>
      <c r="BB573" s="1002"/>
      <c r="BC573" s="1002"/>
      <c r="BD573" s="1002"/>
      <c r="BE573" s="204"/>
      <c r="BF573" s="205" t="s">
        <v>462</v>
      </c>
      <c r="BG573" s="204"/>
      <c r="BH573" s="204" t="s">
        <v>407</v>
      </c>
      <c r="BI573" s="204"/>
      <c r="BJ573" s="204"/>
      <c r="BK573" s="206"/>
    </row>
    <row r="574" spans="1:63" s="164" customFormat="1" ht="15.75" customHeight="1">
      <c r="A574" s="185"/>
      <c r="B574" s="183" t="s">
        <v>309</v>
      </c>
      <c r="C574" s="184"/>
      <c r="D574" s="184"/>
      <c r="E574" s="184"/>
      <c r="F574" s="184"/>
      <c r="G574" s="184"/>
      <c r="H574" s="184"/>
      <c r="I574" s="184"/>
      <c r="J574" s="184"/>
      <c r="K574" s="184"/>
      <c r="L574" s="193"/>
      <c r="M574" s="1003" t="s">
        <v>1011</v>
      </c>
      <c r="N574" s="1002"/>
      <c r="O574" s="1002"/>
      <c r="P574" s="1002"/>
      <c r="Q574" s="1002"/>
      <c r="R574" s="1002"/>
      <c r="S574" s="1002"/>
      <c r="T574" s="1002"/>
      <c r="U574" s="1002"/>
      <c r="V574" s="1002"/>
      <c r="W574" s="1002"/>
      <c r="X574" s="1002"/>
      <c r="Y574" s="1002"/>
      <c r="Z574" s="1002"/>
      <c r="AA574" s="1002"/>
      <c r="AB574" s="1002"/>
      <c r="AC574" s="1002"/>
      <c r="AD574" s="1002"/>
      <c r="AE574" s="1002"/>
      <c r="AF574" s="1002"/>
      <c r="AG574" s="1002"/>
      <c r="AH574" s="1002"/>
      <c r="AI574" s="1002"/>
      <c r="AJ574" s="1002"/>
      <c r="AK574" s="1002"/>
      <c r="AL574" s="1002"/>
      <c r="AM574" s="1002"/>
      <c r="AN574" s="1002"/>
      <c r="AO574" s="1002"/>
      <c r="AP574" s="1002"/>
      <c r="AQ574" s="1002"/>
      <c r="AR574" s="1002"/>
      <c r="AS574" s="1002"/>
      <c r="AT574" s="1002"/>
      <c r="AU574" s="1002"/>
      <c r="AV574" s="1002"/>
      <c r="AW574" s="1002"/>
      <c r="AX574" s="1002"/>
      <c r="AY574" s="1002"/>
      <c r="AZ574" s="1002"/>
      <c r="BA574" s="1002"/>
      <c r="BB574" s="1002"/>
      <c r="BC574" s="1002"/>
      <c r="BD574" s="1002"/>
      <c r="BE574" s="204"/>
      <c r="BF574" s="205" t="s">
        <v>462</v>
      </c>
      <c r="BG574" s="204"/>
      <c r="BH574" s="204" t="s">
        <v>407</v>
      </c>
      <c r="BI574" s="204"/>
      <c r="BJ574" s="204"/>
      <c r="BK574" s="206"/>
    </row>
    <row r="575" spans="1:63" s="164" customFormat="1" ht="31.5" customHeight="1">
      <c r="A575" s="185"/>
      <c r="B575" s="183" t="s">
        <v>1012</v>
      </c>
      <c r="C575" s="184"/>
      <c r="D575" s="184"/>
      <c r="E575" s="184"/>
      <c r="F575" s="184"/>
      <c r="G575" s="184"/>
      <c r="H575" s="184"/>
      <c r="I575" s="184"/>
      <c r="J575" s="184"/>
      <c r="K575" s="184"/>
      <c r="L575" s="193"/>
      <c r="M575" s="1005" t="s">
        <v>1013</v>
      </c>
      <c r="N575" s="1005"/>
      <c r="O575" s="1005"/>
      <c r="P575" s="1005"/>
      <c r="Q575" s="1005"/>
      <c r="R575" s="1005"/>
      <c r="S575" s="1005"/>
      <c r="T575" s="1005"/>
      <c r="U575" s="1005"/>
      <c r="V575" s="1005"/>
      <c r="W575" s="1005"/>
      <c r="X575" s="1005"/>
      <c r="Y575" s="1005"/>
      <c r="Z575" s="1005"/>
      <c r="AA575" s="1005"/>
      <c r="AB575" s="1005"/>
      <c r="AC575" s="1005"/>
      <c r="AD575" s="1005"/>
      <c r="AE575" s="1005"/>
      <c r="AF575" s="1005"/>
      <c r="AG575" s="1005"/>
      <c r="AH575" s="1005"/>
      <c r="AI575" s="1005"/>
      <c r="AJ575" s="1005"/>
      <c r="AK575" s="1005"/>
      <c r="AL575" s="1005"/>
      <c r="AM575" s="1005"/>
      <c r="AN575" s="1005"/>
      <c r="AO575" s="1005"/>
      <c r="AP575" s="1005"/>
      <c r="AQ575" s="1005"/>
      <c r="AR575" s="1005"/>
      <c r="AS575" s="1005"/>
      <c r="AT575" s="1005"/>
      <c r="AU575" s="1005"/>
      <c r="AV575" s="1005"/>
      <c r="AW575" s="1005"/>
      <c r="AX575" s="1005"/>
      <c r="AY575" s="1005"/>
      <c r="AZ575" s="1005"/>
      <c r="BA575" s="1005"/>
      <c r="BB575" s="1005"/>
      <c r="BC575" s="1005"/>
      <c r="BD575" s="1005"/>
      <c r="BE575" s="204"/>
      <c r="BF575" s="205" t="s">
        <v>548</v>
      </c>
      <c r="BG575" s="204"/>
      <c r="BH575" s="204" t="s">
        <v>407</v>
      </c>
      <c r="BI575" s="204"/>
      <c r="BJ575" s="204"/>
      <c r="BK575" s="206"/>
    </row>
    <row r="576" spans="1:63" s="164" customFormat="1" ht="15.75" customHeight="1">
      <c r="A576" s="185"/>
      <c r="B576" s="183" t="s">
        <v>1014</v>
      </c>
      <c r="C576" s="184"/>
      <c r="D576" s="184"/>
      <c r="E576" s="184"/>
      <c r="F576" s="184"/>
      <c r="G576" s="184"/>
      <c r="H576" s="184"/>
      <c r="I576" s="184"/>
      <c r="J576" s="184"/>
      <c r="K576" s="184"/>
      <c r="L576" s="193"/>
      <c r="M576" s="1003" t="s">
        <v>1015</v>
      </c>
      <c r="N576" s="1002"/>
      <c r="O576" s="1002"/>
      <c r="P576" s="1002"/>
      <c r="Q576" s="1002"/>
      <c r="R576" s="1002"/>
      <c r="S576" s="1002"/>
      <c r="T576" s="1002"/>
      <c r="U576" s="1002"/>
      <c r="V576" s="1002"/>
      <c r="W576" s="1002"/>
      <c r="X576" s="1002"/>
      <c r="Y576" s="1002"/>
      <c r="Z576" s="1002"/>
      <c r="AA576" s="1002"/>
      <c r="AB576" s="1002"/>
      <c r="AC576" s="1002"/>
      <c r="AD576" s="1002"/>
      <c r="AE576" s="1002"/>
      <c r="AF576" s="1002"/>
      <c r="AG576" s="1002"/>
      <c r="AH576" s="1002"/>
      <c r="AI576" s="1002"/>
      <c r="AJ576" s="1002"/>
      <c r="AK576" s="1002"/>
      <c r="AL576" s="1002"/>
      <c r="AM576" s="1002"/>
      <c r="AN576" s="1002"/>
      <c r="AO576" s="1002"/>
      <c r="AP576" s="1002"/>
      <c r="AQ576" s="1002"/>
      <c r="AR576" s="1002"/>
      <c r="AS576" s="1002"/>
      <c r="AT576" s="1002"/>
      <c r="AU576" s="1002"/>
      <c r="AV576" s="1002"/>
      <c r="AW576" s="1002"/>
      <c r="AX576" s="1002"/>
      <c r="AY576" s="1002"/>
      <c r="AZ576" s="1002"/>
      <c r="BA576" s="1002"/>
      <c r="BB576" s="1002"/>
      <c r="BC576" s="1002"/>
      <c r="BD576" s="1002"/>
      <c r="BE576" s="204"/>
      <c r="BF576" s="205" t="s">
        <v>548</v>
      </c>
      <c r="BG576" s="204"/>
      <c r="BH576" s="204" t="s">
        <v>407</v>
      </c>
      <c r="BI576" s="204"/>
      <c r="BJ576" s="204"/>
      <c r="BK576" s="206"/>
    </row>
    <row r="577" spans="1:63" s="164" customFormat="1" ht="31.5" customHeight="1">
      <c r="A577" s="185"/>
      <c r="B577" s="183" t="s">
        <v>1016</v>
      </c>
      <c r="C577" s="184"/>
      <c r="D577" s="184"/>
      <c r="E577" s="184"/>
      <c r="F577" s="184"/>
      <c r="G577" s="184"/>
      <c r="H577" s="184"/>
      <c r="I577" s="184"/>
      <c r="J577" s="184"/>
      <c r="K577" s="184"/>
      <c r="L577" s="193"/>
      <c r="M577" s="1005" t="s">
        <v>1017</v>
      </c>
      <c r="N577" s="1005"/>
      <c r="O577" s="1005"/>
      <c r="P577" s="1005"/>
      <c r="Q577" s="1005"/>
      <c r="R577" s="1005"/>
      <c r="S577" s="1005"/>
      <c r="T577" s="1005"/>
      <c r="U577" s="1005"/>
      <c r="V577" s="1005"/>
      <c r="W577" s="1005"/>
      <c r="X577" s="1005"/>
      <c r="Y577" s="1005"/>
      <c r="Z577" s="1005"/>
      <c r="AA577" s="1005"/>
      <c r="AB577" s="1005"/>
      <c r="AC577" s="1005"/>
      <c r="AD577" s="1005"/>
      <c r="AE577" s="1005"/>
      <c r="AF577" s="1005"/>
      <c r="AG577" s="1005"/>
      <c r="AH577" s="1005"/>
      <c r="AI577" s="1005"/>
      <c r="AJ577" s="1005"/>
      <c r="AK577" s="1005"/>
      <c r="AL577" s="1005"/>
      <c r="AM577" s="1005"/>
      <c r="AN577" s="1005"/>
      <c r="AO577" s="1005"/>
      <c r="AP577" s="1005"/>
      <c r="AQ577" s="1005"/>
      <c r="AR577" s="1005"/>
      <c r="AS577" s="1005"/>
      <c r="AT577" s="1005"/>
      <c r="AU577" s="1005"/>
      <c r="AV577" s="1005"/>
      <c r="AW577" s="1005"/>
      <c r="AX577" s="1005"/>
      <c r="AY577" s="1005"/>
      <c r="AZ577" s="1005"/>
      <c r="BA577" s="1005"/>
      <c r="BB577" s="1005"/>
      <c r="BC577" s="1005"/>
      <c r="BD577" s="1005"/>
      <c r="BE577" s="204"/>
      <c r="BF577" s="205" t="s">
        <v>548</v>
      </c>
      <c r="BG577" s="204"/>
      <c r="BH577" s="204" t="s">
        <v>407</v>
      </c>
      <c r="BI577" s="204"/>
      <c r="BJ577" s="204"/>
      <c r="BK577" s="206"/>
    </row>
    <row r="578" spans="1:63" s="164" customFormat="1" ht="15.75" customHeight="1">
      <c r="A578" s="185"/>
      <c r="B578" s="183" t="s">
        <v>1018</v>
      </c>
      <c r="C578" s="184"/>
      <c r="D578" s="184"/>
      <c r="E578" s="184"/>
      <c r="F578" s="184"/>
      <c r="G578" s="184"/>
      <c r="H578" s="184"/>
      <c r="I578" s="184"/>
      <c r="J578" s="184"/>
      <c r="K578" s="184"/>
      <c r="L578" s="193"/>
      <c r="M578" s="1003" t="s">
        <v>1019</v>
      </c>
      <c r="N578" s="1002"/>
      <c r="O578" s="1002"/>
      <c r="P578" s="1002"/>
      <c r="Q578" s="1002"/>
      <c r="R578" s="1002"/>
      <c r="S578" s="1002"/>
      <c r="T578" s="1002"/>
      <c r="U578" s="1002"/>
      <c r="V578" s="1002"/>
      <c r="W578" s="1002"/>
      <c r="X578" s="1002"/>
      <c r="Y578" s="1002"/>
      <c r="Z578" s="1002"/>
      <c r="AA578" s="1002"/>
      <c r="AB578" s="1002"/>
      <c r="AC578" s="1002"/>
      <c r="AD578" s="1002"/>
      <c r="AE578" s="1002"/>
      <c r="AF578" s="1002"/>
      <c r="AG578" s="1002"/>
      <c r="AH578" s="1002"/>
      <c r="AI578" s="1002"/>
      <c r="AJ578" s="1002"/>
      <c r="AK578" s="1002"/>
      <c r="AL578" s="1002"/>
      <c r="AM578" s="1002"/>
      <c r="AN578" s="1002"/>
      <c r="AO578" s="1002"/>
      <c r="AP578" s="1002"/>
      <c r="AQ578" s="1002"/>
      <c r="AR578" s="1002"/>
      <c r="AS578" s="1002"/>
      <c r="AT578" s="1002"/>
      <c r="AU578" s="1002"/>
      <c r="AV578" s="1002"/>
      <c r="AW578" s="1002"/>
      <c r="AX578" s="1002"/>
      <c r="AY578" s="1002"/>
      <c r="AZ578" s="1002"/>
      <c r="BA578" s="1002"/>
      <c r="BB578" s="1002"/>
      <c r="BC578" s="1002"/>
      <c r="BD578" s="1002"/>
      <c r="BE578" s="204"/>
      <c r="BF578" s="205" t="s">
        <v>548</v>
      </c>
      <c r="BG578" s="204"/>
      <c r="BH578" s="204" t="s">
        <v>407</v>
      </c>
      <c r="BI578" s="204"/>
      <c r="BJ578" s="204"/>
      <c r="BK578" s="206"/>
    </row>
    <row r="579" spans="1:63" s="164" customFormat="1" ht="15.75" customHeight="1">
      <c r="A579" s="185"/>
      <c r="B579" s="183" t="s">
        <v>1020</v>
      </c>
      <c r="C579" s="184"/>
      <c r="D579" s="184"/>
      <c r="E579" s="184"/>
      <c r="F579" s="184"/>
      <c r="G579" s="184"/>
      <c r="H579" s="184"/>
      <c r="I579" s="184"/>
      <c r="J579" s="184"/>
      <c r="K579" s="184"/>
      <c r="L579" s="193"/>
      <c r="M579" s="1003" t="s">
        <v>1021</v>
      </c>
      <c r="N579" s="1002"/>
      <c r="O579" s="1002"/>
      <c r="P579" s="1002"/>
      <c r="Q579" s="1002"/>
      <c r="R579" s="1002"/>
      <c r="S579" s="1002"/>
      <c r="T579" s="1002"/>
      <c r="U579" s="1002"/>
      <c r="V579" s="1002"/>
      <c r="W579" s="1002"/>
      <c r="X579" s="1002"/>
      <c r="Y579" s="1002"/>
      <c r="Z579" s="1002"/>
      <c r="AA579" s="1002"/>
      <c r="AB579" s="1002"/>
      <c r="AC579" s="1002"/>
      <c r="AD579" s="1002"/>
      <c r="AE579" s="1002"/>
      <c r="AF579" s="1002"/>
      <c r="AG579" s="1002"/>
      <c r="AH579" s="1002"/>
      <c r="AI579" s="1002"/>
      <c r="AJ579" s="1002"/>
      <c r="AK579" s="1002"/>
      <c r="AL579" s="1002"/>
      <c r="AM579" s="1002"/>
      <c r="AN579" s="1002"/>
      <c r="AO579" s="1002"/>
      <c r="AP579" s="1002"/>
      <c r="AQ579" s="1002"/>
      <c r="AR579" s="1002"/>
      <c r="AS579" s="1002"/>
      <c r="AT579" s="1002"/>
      <c r="AU579" s="1002"/>
      <c r="AV579" s="1002"/>
      <c r="AW579" s="1002"/>
      <c r="AX579" s="1002"/>
      <c r="AY579" s="1002"/>
      <c r="AZ579" s="1002"/>
      <c r="BA579" s="1002"/>
      <c r="BB579" s="1002"/>
      <c r="BC579" s="1002"/>
      <c r="BD579" s="1002"/>
      <c r="BE579" s="204"/>
      <c r="BF579" s="205" t="s">
        <v>548</v>
      </c>
      <c r="BG579" s="204"/>
      <c r="BH579" s="204" t="s">
        <v>407</v>
      </c>
      <c r="BI579" s="204"/>
      <c r="BJ579" s="204"/>
      <c r="BK579" s="206"/>
    </row>
    <row r="580" spans="1:63" s="164" customFormat="1" ht="15.75" customHeight="1">
      <c r="A580" s="185"/>
      <c r="B580" s="183" t="s">
        <v>1022</v>
      </c>
      <c r="C580" s="184"/>
      <c r="D580" s="184"/>
      <c r="E580" s="184"/>
      <c r="F580" s="184"/>
      <c r="G580" s="184"/>
      <c r="H580" s="184"/>
      <c r="I580" s="184"/>
      <c r="J580" s="184"/>
      <c r="K580" s="184"/>
      <c r="L580" s="193"/>
      <c r="M580" s="1003" t="s">
        <v>1023</v>
      </c>
      <c r="N580" s="1002"/>
      <c r="O580" s="1002"/>
      <c r="P580" s="1002"/>
      <c r="Q580" s="1002"/>
      <c r="R580" s="1002"/>
      <c r="S580" s="1002"/>
      <c r="T580" s="1002"/>
      <c r="U580" s="1002"/>
      <c r="V580" s="1002"/>
      <c r="W580" s="1002"/>
      <c r="X580" s="1002"/>
      <c r="Y580" s="1002"/>
      <c r="Z580" s="1002"/>
      <c r="AA580" s="1002"/>
      <c r="AB580" s="1002"/>
      <c r="AC580" s="1002"/>
      <c r="AD580" s="1002"/>
      <c r="AE580" s="1002"/>
      <c r="AF580" s="1002"/>
      <c r="AG580" s="1002"/>
      <c r="AH580" s="1002"/>
      <c r="AI580" s="1002"/>
      <c r="AJ580" s="1002"/>
      <c r="AK580" s="1002"/>
      <c r="AL580" s="1002"/>
      <c r="AM580" s="1002"/>
      <c r="AN580" s="1002"/>
      <c r="AO580" s="1002"/>
      <c r="AP580" s="1002"/>
      <c r="AQ580" s="1002"/>
      <c r="AR580" s="1002"/>
      <c r="AS580" s="1002"/>
      <c r="AT580" s="1002"/>
      <c r="AU580" s="1002"/>
      <c r="AV580" s="1002"/>
      <c r="AW580" s="1002"/>
      <c r="AX580" s="1002"/>
      <c r="AY580" s="1002"/>
      <c r="AZ580" s="1002"/>
      <c r="BA580" s="1002"/>
      <c r="BB580" s="1002"/>
      <c r="BC580" s="1002"/>
      <c r="BD580" s="1002"/>
      <c r="BE580" s="204"/>
      <c r="BF580" s="205" t="s">
        <v>548</v>
      </c>
      <c r="BG580" s="204"/>
      <c r="BH580" s="204" t="s">
        <v>407</v>
      </c>
      <c r="BI580" s="204"/>
      <c r="BJ580" s="204"/>
      <c r="BK580" s="206"/>
    </row>
    <row r="581" spans="1:63" s="164" customFormat="1" ht="15.75" customHeight="1">
      <c r="A581" s="185"/>
      <c r="B581" s="183" t="s">
        <v>1024</v>
      </c>
      <c r="C581" s="184"/>
      <c r="D581" s="184"/>
      <c r="E581" s="184"/>
      <c r="F581" s="184"/>
      <c r="G581" s="184"/>
      <c r="H581" s="184"/>
      <c r="I581" s="184"/>
      <c r="J581" s="184"/>
      <c r="K581" s="184"/>
      <c r="L581" s="193"/>
      <c r="M581" s="1003" t="s">
        <v>1025</v>
      </c>
      <c r="N581" s="1002"/>
      <c r="O581" s="1002"/>
      <c r="P581" s="1002"/>
      <c r="Q581" s="1002"/>
      <c r="R581" s="1002"/>
      <c r="S581" s="1002"/>
      <c r="T581" s="1002"/>
      <c r="U581" s="1002"/>
      <c r="V581" s="1002"/>
      <c r="W581" s="1002"/>
      <c r="X581" s="1002"/>
      <c r="Y581" s="1002"/>
      <c r="Z581" s="1002"/>
      <c r="AA581" s="1002"/>
      <c r="AB581" s="1002"/>
      <c r="AC581" s="1002"/>
      <c r="AD581" s="1002"/>
      <c r="AE581" s="1002"/>
      <c r="AF581" s="1002"/>
      <c r="AG581" s="1002"/>
      <c r="AH581" s="1002"/>
      <c r="AI581" s="1002"/>
      <c r="AJ581" s="1002"/>
      <c r="AK581" s="1002"/>
      <c r="AL581" s="1002"/>
      <c r="AM581" s="1002"/>
      <c r="AN581" s="1002"/>
      <c r="AO581" s="1002"/>
      <c r="AP581" s="1002"/>
      <c r="AQ581" s="1002"/>
      <c r="AR581" s="1002"/>
      <c r="AS581" s="1002"/>
      <c r="AT581" s="1002"/>
      <c r="AU581" s="1002"/>
      <c r="AV581" s="1002"/>
      <c r="AW581" s="1002"/>
      <c r="AX581" s="1002"/>
      <c r="AY581" s="1002"/>
      <c r="AZ581" s="1002"/>
      <c r="BA581" s="1002"/>
      <c r="BB581" s="1002"/>
      <c r="BC581" s="1002"/>
      <c r="BD581" s="1002"/>
      <c r="BE581" s="204"/>
      <c r="BF581" s="205" t="s">
        <v>548</v>
      </c>
      <c r="BG581" s="204"/>
      <c r="BH581" s="204" t="s">
        <v>407</v>
      </c>
      <c r="BI581" s="204"/>
      <c r="BJ581" s="204"/>
      <c r="BK581" s="206"/>
    </row>
    <row r="582" spans="1:63" s="164" customFormat="1" ht="15.75" customHeight="1">
      <c r="A582" s="185"/>
      <c r="B582" s="183" t="s">
        <v>1026</v>
      </c>
      <c r="C582" s="184"/>
      <c r="D582" s="184"/>
      <c r="E582" s="184"/>
      <c r="F582" s="184"/>
      <c r="G582" s="184"/>
      <c r="H582" s="184"/>
      <c r="I582" s="184"/>
      <c r="J582" s="184"/>
      <c r="K582" s="184"/>
      <c r="L582" s="193"/>
      <c r="M582" s="1003" t="s">
        <v>1027</v>
      </c>
      <c r="N582" s="1002"/>
      <c r="O582" s="1002"/>
      <c r="P582" s="1002"/>
      <c r="Q582" s="1002"/>
      <c r="R582" s="1002"/>
      <c r="S582" s="1002"/>
      <c r="T582" s="1002"/>
      <c r="U582" s="1002"/>
      <c r="V582" s="1002"/>
      <c r="W582" s="1002"/>
      <c r="X582" s="1002"/>
      <c r="Y582" s="1002"/>
      <c r="Z582" s="1002"/>
      <c r="AA582" s="1002"/>
      <c r="AB582" s="1002"/>
      <c r="AC582" s="1002"/>
      <c r="AD582" s="1002"/>
      <c r="AE582" s="1002"/>
      <c r="AF582" s="1002"/>
      <c r="AG582" s="1002"/>
      <c r="AH582" s="1002"/>
      <c r="AI582" s="1002"/>
      <c r="AJ582" s="1002"/>
      <c r="AK582" s="1002"/>
      <c r="AL582" s="1002"/>
      <c r="AM582" s="1002"/>
      <c r="AN582" s="1002"/>
      <c r="AO582" s="1002"/>
      <c r="AP582" s="1002"/>
      <c r="AQ582" s="1002"/>
      <c r="AR582" s="1002"/>
      <c r="AS582" s="1002"/>
      <c r="AT582" s="1002"/>
      <c r="AU582" s="1002"/>
      <c r="AV582" s="1002"/>
      <c r="AW582" s="1002"/>
      <c r="AX582" s="1002"/>
      <c r="AY582" s="1002"/>
      <c r="AZ582" s="1002"/>
      <c r="BA582" s="1002"/>
      <c r="BB582" s="1002"/>
      <c r="BC582" s="1002"/>
      <c r="BD582" s="1002"/>
      <c r="BE582" s="204"/>
      <c r="BF582" s="205" t="s">
        <v>548</v>
      </c>
      <c r="BG582" s="204"/>
      <c r="BH582" s="204" t="s">
        <v>407</v>
      </c>
      <c r="BI582" s="204"/>
      <c r="BJ582" s="204"/>
      <c r="BK582" s="206"/>
    </row>
    <row r="583" spans="1:63" s="164" customFormat="1" ht="15.75" customHeight="1">
      <c r="A583" s="185"/>
      <c r="B583" s="183" t="s">
        <v>1028</v>
      </c>
      <c r="C583" s="184"/>
      <c r="D583" s="184"/>
      <c r="E583" s="184"/>
      <c r="F583" s="184"/>
      <c r="G583" s="184"/>
      <c r="H583" s="184"/>
      <c r="I583" s="184"/>
      <c r="J583" s="184"/>
      <c r="K583" s="184"/>
      <c r="L583" s="193"/>
      <c r="M583" s="1003" t="s">
        <v>181</v>
      </c>
      <c r="N583" s="1002"/>
      <c r="O583" s="1002"/>
      <c r="P583" s="1002"/>
      <c r="Q583" s="1002"/>
      <c r="R583" s="1002"/>
      <c r="S583" s="1002"/>
      <c r="T583" s="1002"/>
      <c r="U583" s="1002"/>
      <c r="V583" s="1002"/>
      <c r="W583" s="1002"/>
      <c r="X583" s="1002"/>
      <c r="Y583" s="1002"/>
      <c r="Z583" s="1002"/>
      <c r="AA583" s="1002"/>
      <c r="AB583" s="1002"/>
      <c r="AC583" s="1002"/>
      <c r="AD583" s="1002"/>
      <c r="AE583" s="1002"/>
      <c r="AF583" s="1002"/>
      <c r="AG583" s="1002"/>
      <c r="AH583" s="1002"/>
      <c r="AI583" s="1002"/>
      <c r="AJ583" s="1002"/>
      <c r="AK583" s="1002"/>
      <c r="AL583" s="1002"/>
      <c r="AM583" s="1002"/>
      <c r="AN583" s="1002"/>
      <c r="AO583" s="1002"/>
      <c r="AP583" s="1002"/>
      <c r="AQ583" s="1002"/>
      <c r="AR583" s="1002"/>
      <c r="AS583" s="1002"/>
      <c r="AT583" s="1002"/>
      <c r="AU583" s="1002"/>
      <c r="AV583" s="1002"/>
      <c r="AW583" s="1002"/>
      <c r="AX583" s="1002"/>
      <c r="AY583" s="1002"/>
      <c r="AZ583" s="1002"/>
      <c r="BA583" s="1002"/>
      <c r="BB583" s="1002"/>
      <c r="BC583" s="1002"/>
      <c r="BD583" s="1002"/>
      <c r="BE583" s="204"/>
      <c r="BF583" s="205" t="s">
        <v>548</v>
      </c>
      <c r="BG583" s="204"/>
      <c r="BH583" s="204" t="s">
        <v>407</v>
      </c>
      <c r="BI583" s="204"/>
      <c r="BJ583" s="204"/>
      <c r="BK583" s="206"/>
    </row>
    <row r="584" spans="1:63" s="164" customFormat="1" ht="15.75" customHeight="1">
      <c r="A584" s="185"/>
      <c r="B584" s="183" t="s">
        <v>1029</v>
      </c>
      <c r="C584" s="184"/>
      <c r="D584" s="184"/>
      <c r="E584" s="184"/>
      <c r="F584" s="184"/>
      <c r="G584" s="184"/>
      <c r="H584" s="184"/>
      <c r="I584" s="184"/>
      <c r="J584" s="184"/>
      <c r="K584" s="184"/>
      <c r="L584" s="193"/>
      <c r="M584" s="1003" t="s">
        <v>181</v>
      </c>
      <c r="N584" s="1002"/>
      <c r="O584" s="1002"/>
      <c r="P584" s="1002"/>
      <c r="Q584" s="1002"/>
      <c r="R584" s="1002"/>
      <c r="S584" s="1002"/>
      <c r="T584" s="1002"/>
      <c r="U584" s="1002"/>
      <c r="V584" s="1002"/>
      <c r="W584" s="1002"/>
      <c r="X584" s="1002"/>
      <c r="Y584" s="1002"/>
      <c r="Z584" s="1002"/>
      <c r="AA584" s="1002"/>
      <c r="AB584" s="1002"/>
      <c r="AC584" s="1002"/>
      <c r="AD584" s="1002"/>
      <c r="AE584" s="1002"/>
      <c r="AF584" s="1002"/>
      <c r="AG584" s="1002"/>
      <c r="AH584" s="1002"/>
      <c r="AI584" s="1002"/>
      <c r="AJ584" s="1002"/>
      <c r="AK584" s="1002"/>
      <c r="AL584" s="1002"/>
      <c r="AM584" s="1002"/>
      <c r="AN584" s="1002"/>
      <c r="AO584" s="1002"/>
      <c r="AP584" s="1002"/>
      <c r="AQ584" s="1002"/>
      <c r="AR584" s="1002"/>
      <c r="AS584" s="1002"/>
      <c r="AT584" s="1002"/>
      <c r="AU584" s="1002"/>
      <c r="AV584" s="1002"/>
      <c r="AW584" s="1002"/>
      <c r="AX584" s="1002"/>
      <c r="AY584" s="1002"/>
      <c r="AZ584" s="1002"/>
      <c r="BA584" s="1002"/>
      <c r="BB584" s="1002"/>
      <c r="BC584" s="1002"/>
      <c r="BD584" s="1002"/>
      <c r="BE584" s="204"/>
      <c r="BF584" s="205" t="s">
        <v>548</v>
      </c>
      <c r="BG584" s="204"/>
      <c r="BH584" s="204" t="s">
        <v>407</v>
      </c>
      <c r="BI584" s="204"/>
      <c r="BJ584" s="204"/>
      <c r="BK584" s="206"/>
    </row>
    <row r="585" spans="1:63" s="164" customFormat="1" ht="15.75" customHeight="1">
      <c r="A585" s="185"/>
      <c r="B585" s="183" t="s">
        <v>1030</v>
      </c>
      <c r="C585" s="184"/>
      <c r="D585" s="184"/>
      <c r="E585" s="184"/>
      <c r="F585" s="184"/>
      <c r="G585" s="184"/>
      <c r="H585" s="184"/>
      <c r="I585" s="184"/>
      <c r="J585" s="184"/>
      <c r="K585" s="184"/>
      <c r="L585" s="193"/>
      <c r="M585" s="1005" t="s">
        <v>1031</v>
      </c>
      <c r="N585" s="1005"/>
      <c r="O585" s="1005"/>
      <c r="P585" s="1005"/>
      <c r="Q585" s="1005"/>
      <c r="R585" s="1005"/>
      <c r="S585" s="1005"/>
      <c r="T585" s="1005"/>
      <c r="U585" s="1005"/>
      <c r="V585" s="1005"/>
      <c r="W585" s="1005"/>
      <c r="X585" s="1005"/>
      <c r="Y585" s="1005"/>
      <c r="Z585" s="1005"/>
      <c r="AA585" s="1005"/>
      <c r="AB585" s="1005"/>
      <c r="AC585" s="1005"/>
      <c r="AD585" s="1005"/>
      <c r="AE585" s="1005"/>
      <c r="AF585" s="1005"/>
      <c r="AG585" s="1005"/>
      <c r="AH585" s="1005"/>
      <c r="AI585" s="1005"/>
      <c r="AJ585" s="1005"/>
      <c r="AK585" s="1005"/>
      <c r="AL585" s="1005"/>
      <c r="AM585" s="1005"/>
      <c r="AN585" s="1005"/>
      <c r="AO585" s="1005"/>
      <c r="AP585" s="1005"/>
      <c r="AQ585" s="1005"/>
      <c r="AR585" s="1005"/>
      <c r="AS585" s="1005"/>
      <c r="AT585" s="1005"/>
      <c r="AU585" s="1005"/>
      <c r="AV585" s="1005"/>
      <c r="AW585" s="1005"/>
      <c r="AX585" s="1005"/>
      <c r="AY585" s="1005"/>
      <c r="AZ585" s="1005"/>
      <c r="BA585" s="1005"/>
      <c r="BB585" s="1005"/>
      <c r="BC585" s="1005"/>
      <c r="BD585" s="1005"/>
      <c r="BE585" s="204"/>
      <c r="BF585" s="205" t="s">
        <v>548</v>
      </c>
      <c r="BG585" s="204"/>
      <c r="BH585" s="204" t="s">
        <v>407</v>
      </c>
      <c r="BI585" s="204"/>
      <c r="BJ585" s="204"/>
      <c r="BK585" s="206"/>
    </row>
    <row r="586" spans="1:63" s="164" customFormat="1" ht="15.75" customHeight="1">
      <c r="A586" s="185"/>
      <c r="B586" s="183" t="s">
        <v>1032</v>
      </c>
      <c r="C586" s="184"/>
      <c r="D586" s="184"/>
      <c r="E586" s="184"/>
      <c r="F586" s="184"/>
      <c r="G586" s="184"/>
      <c r="H586" s="184"/>
      <c r="I586" s="184"/>
      <c r="J586" s="184"/>
      <c r="K586" s="184"/>
      <c r="L586" s="193"/>
      <c r="M586" s="1003" t="s">
        <v>1033</v>
      </c>
      <c r="N586" s="1002"/>
      <c r="O586" s="1002"/>
      <c r="P586" s="1002"/>
      <c r="Q586" s="1002"/>
      <c r="R586" s="1002"/>
      <c r="S586" s="1002"/>
      <c r="T586" s="1002"/>
      <c r="U586" s="1002"/>
      <c r="V586" s="1002"/>
      <c r="W586" s="1002"/>
      <c r="X586" s="1002"/>
      <c r="Y586" s="1002"/>
      <c r="Z586" s="1002"/>
      <c r="AA586" s="1002"/>
      <c r="AB586" s="1002"/>
      <c r="AC586" s="1002"/>
      <c r="AD586" s="1002"/>
      <c r="AE586" s="1002"/>
      <c r="AF586" s="1002"/>
      <c r="AG586" s="1002"/>
      <c r="AH586" s="1002"/>
      <c r="AI586" s="1002"/>
      <c r="AJ586" s="1002"/>
      <c r="AK586" s="1002"/>
      <c r="AL586" s="1002"/>
      <c r="AM586" s="1002"/>
      <c r="AN586" s="1002"/>
      <c r="AO586" s="1002"/>
      <c r="AP586" s="1002"/>
      <c r="AQ586" s="1002"/>
      <c r="AR586" s="1002"/>
      <c r="AS586" s="1002"/>
      <c r="AT586" s="1002"/>
      <c r="AU586" s="1002"/>
      <c r="AV586" s="1002"/>
      <c r="AW586" s="1002"/>
      <c r="AX586" s="1002"/>
      <c r="AY586" s="1002"/>
      <c r="AZ586" s="1002"/>
      <c r="BA586" s="1002"/>
      <c r="BB586" s="1002"/>
      <c r="BC586" s="1002"/>
      <c r="BD586" s="1002"/>
      <c r="BE586" s="204"/>
      <c r="BF586" s="205" t="s">
        <v>548</v>
      </c>
      <c r="BG586" s="204"/>
      <c r="BH586" s="204" t="s">
        <v>407</v>
      </c>
      <c r="BI586" s="204"/>
      <c r="BJ586" s="204"/>
      <c r="BK586" s="206"/>
    </row>
    <row r="587" spans="1:63" s="164" customFormat="1" ht="15.75" customHeight="1">
      <c r="A587" s="185"/>
      <c r="B587" s="183" t="s">
        <v>1034</v>
      </c>
      <c r="C587" s="184"/>
      <c r="D587" s="184"/>
      <c r="E587" s="184"/>
      <c r="F587" s="184"/>
      <c r="G587" s="184"/>
      <c r="H587" s="184"/>
      <c r="I587" s="184"/>
      <c r="J587" s="184"/>
      <c r="K587" s="184"/>
      <c r="L587" s="193"/>
      <c r="M587" s="1003" t="s">
        <v>1035</v>
      </c>
      <c r="N587" s="1002"/>
      <c r="O587" s="1002"/>
      <c r="P587" s="1002"/>
      <c r="Q587" s="1002"/>
      <c r="R587" s="1002"/>
      <c r="S587" s="1002"/>
      <c r="T587" s="1002"/>
      <c r="U587" s="1002"/>
      <c r="V587" s="1002"/>
      <c r="W587" s="1002"/>
      <c r="X587" s="1002"/>
      <c r="Y587" s="1002"/>
      <c r="Z587" s="1002"/>
      <c r="AA587" s="1002"/>
      <c r="AB587" s="1002"/>
      <c r="AC587" s="1002"/>
      <c r="AD587" s="1002"/>
      <c r="AE587" s="1002"/>
      <c r="AF587" s="1002"/>
      <c r="AG587" s="1002"/>
      <c r="AH587" s="1002"/>
      <c r="AI587" s="1002"/>
      <c r="AJ587" s="1002"/>
      <c r="AK587" s="1002"/>
      <c r="AL587" s="1002"/>
      <c r="AM587" s="1002"/>
      <c r="AN587" s="1002"/>
      <c r="AO587" s="1002"/>
      <c r="AP587" s="1002"/>
      <c r="AQ587" s="1002"/>
      <c r="AR587" s="1002"/>
      <c r="AS587" s="1002"/>
      <c r="AT587" s="1002"/>
      <c r="AU587" s="1002"/>
      <c r="AV587" s="1002"/>
      <c r="AW587" s="1002"/>
      <c r="AX587" s="1002"/>
      <c r="AY587" s="1002"/>
      <c r="AZ587" s="1002"/>
      <c r="BA587" s="1002"/>
      <c r="BB587" s="1002"/>
      <c r="BC587" s="1002"/>
      <c r="BD587" s="1002"/>
      <c r="BE587" s="204"/>
      <c r="BF587" s="205" t="s">
        <v>462</v>
      </c>
      <c r="BG587" s="204"/>
      <c r="BH587" s="204" t="s">
        <v>407</v>
      </c>
      <c r="BI587" s="204"/>
      <c r="BJ587" s="204"/>
      <c r="BK587" s="206"/>
    </row>
    <row r="588" spans="1:63" s="164" customFormat="1" ht="15.75" customHeight="1">
      <c r="A588" s="185"/>
      <c r="B588" s="183" t="s">
        <v>1036</v>
      </c>
      <c r="C588" s="184"/>
      <c r="D588" s="184"/>
      <c r="E588" s="184"/>
      <c r="F588" s="184"/>
      <c r="G588" s="184"/>
      <c r="H588" s="184"/>
      <c r="I588" s="184"/>
      <c r="J588" s="184"/>
      <c r="K588" s="184"/>
      <c r="L588" s="193"/>
      <c r="M588" s="1003" t="s">
        <v>1037</v>
      </c>
      <c r="N588" s="1002"/>
      <c r="O588" s="1002"/>
      <c r="P588" s="1002"/>
      <c r="Q588" s="1002"/>
      <c r="R588" s="1002"/>
      <c r="S588" s="1002"/>
      <c r="T588" s="1002"/>
      <c r="U588" s="1002"/>
      <c r="V588" s="1002"/>
      <c r="W588" s="1002"/>
      <c r="X588" s="1002"/>
      <c r="Y588" s="1002"/>
      <c r="Z588" s="1002"/>
      <c r="AA588" s="1002"/>
      <c r="AB588" s="1002"/>
      <c r="AC588" s="1002"/>
      <c r="AD588" s="1002"/>
      <c r="AE588" s="1002"/>
      <c r="AF588" s="1002"/>
      <c r="AG588" s="1002"/>
      <c r="AH588" s="1002"/>
      <c r="AI588" s="1002"/>
      <c r="AJ588" s="1002"/>
      <c r="AK588" s="1002"/>
      <c r="AL588" s="1002"/>
      <c r="AM588" s="1002"/>
      <c r="AN588" s="1002"/>
      <c r="AO588" s="1002"/>
      <c r="AP588" s="1002"/>
      <c r="AQ588" s="1002"/>
      <c r="AR588" s="1002"/>
      <c r="AS588" s="1002"/>
      <c r="AT588" s="1002"/>
      <c r="AU588" s="1002"/>
      <c r="AV588" s="1002"/>
      <c r="AW588" s="1002"/>
      <c r="AX588" s="1002"/>
      <c r="AY588" s="1002"/>
      <c r="AZ588" s="1002"/>
      <c r="BA588" s="1002"/>
      <c r="BB588" s="1002"/>
      <c r="BC588" s="1002"/>
      <c r="BD588" s="1002"/>
      <c r="BE588" s="204"/>
      <c r="BF588" s="205" t="s">
        <v>462</v>
      </c>
      <c r="BG588" s="204"/>
      <c r="BH588" s="204" t="s">
        <v>407</v>
      </c>
      <c r="BI588" s="204"/>
      <c r="BJ588" s="204"/>
      <c r="BK588" s="206"/>
    </row>
    <row r="589" spans="1:63" s="164" customFormat="1" ht="105" customHeight="1">
      <c r="A589" s="185"/>
      <c r="B589" s="183" t="s">
        <v>1038</v>
      </c>
      <c r="C589" s="184"/>
      <c r="D589" s="184"/>
      <c r="E589" s="184"/>
      <c r="F589" s="184"/>
      <c r="G589" s="184"/>
      <c r="H589" s="184"/>
      <c r="I589" s="184"/>
      <c r="J589" s="184"/>
      <c r="K589" s="184"/>
      <c r="L589" s="193"/>
      <c r="M589" s="1001" t="s">
        <v>1039</v>
      </c>
      <c r="N589" s="1002"/>
      <c r="O589" s="1002"/>
      <c r="P589" s="1002"/>
      <c r="Q589" s="1002"/>
      <c r="R589" s="1002"/>
      <c r="S589" s="1002"/>
      <c r="T589" s="1002"/>
      <c r="U589" s="1002"/>
      <c r="V589" s="1002"/>
      <c r="W589" s="1002"/>
      <c r="X589" s="1002"/>
      <c r="Y589" s="1002"/>
      <c r="Z589" s="1002"/>
      <c r="AA589" s="1002"/>
      <c r="AB589" s="1002"/>
      <c r="AC589" s="1002"/>
      <c r="AD589" s="1002"/>
      <c r="AE589" s="1002"/>
      <c r="AF589" s="1002"/>
      <c r="AG589" s="1002"/>
      <c r="AH589" s="1002"/>
      <c r="AI589" s="1002"/>
      <c r="AJ589" s="1002"/>
      <c r="AK589" s="1002"/>
      <c r="AL589" s="1002"/>
      <c r="AM589" s="1002"/>
      <c r="AN589" s="1002"/>
      <c r="AO589" s="1002"/>
      <c r="AP589" s="1002"/>
      <c r="AQ589" s="1002"/>
      <c r="AR589" s="1002"/>
      <c r="AS589" s="1002"/>
      <c r="AT589" s="1002"/>
      <c r="AU589" s="1002"/>
      <c r="AV589" s="1002"/>
      <c r="AW589" s="1002"/>
      <c r="AX589" s="1002"/>
      <c r="AY589" s="1002"/>
      <c r="AZ589" s="1002"/>
      <c r="BA589" s="1002"/>
      <c r="BB589" s="1002"/>
      <c r="BC589" s="1002"/>
      <c r="BD589" s="1002"/>
      <c r="BE589" s="204"/>
      <c r="BF589" s="205" t="s">
        <v>419</v>
      </c>
      <c r="BG589" s="204"/>
      <c r="BH589" s="204" t="s">
        <v>407</v>
      </c>
      <c r="BI589" s="204"/>
      <c r="BJ589" s="204"/>
      <c r="BK589" s="206"/>
    </row>
    <row r="590" spans="1:63" s="164" customFormat="1" ht="79.5" customHeight="1">
      <c r="A590" s="185"/>
      <c r="B590" s="183" t="s">
        <v>1040</v>
      </c>
      <c r="C590" s="184"/>
      <c r="D590" s="184"/>
      <c r="E590" s="184"/>
      <c r="F590" s="184"/>
      <c r="G590" s="184"/>
      <c r="H590" s="184"/>
      <c r="I590" s="184"/>
      <c r="J590" s="184"/>
      <c r="K590" s="184"/>
      <c r="L590" s="193"/>
      <c r="M590" s="1001" t="s">
        <v>1041</v>
      </c>
      <c r="N590" s="1002"/>
      <c r="O590" s="1002"/>
      <c r="P590" s="1002"/>
      <c r="Q590" s="1002"/>
      <c r="R590" s="1002"/>
      <c r="S590" s="1002"/>
      <c r="T590" s="1002"/>
      <c r="U590" s="1002"/>
      <c r="V590" s="1002"/>
      <c r="W590" s="1002"/>
      <c r="X590" s="1002"/>
      <c r="Y590" s="1002"/>
      <c r="Z590" s="1002"/>
      <c r="AA590" s="1002"/>
      <c r="AB590" s="1002"/>
      <c r="AC590" s="1002"/>
      <c r="AD590" s="1002"/>
      <c r="AE590" s="1002"/>
      <c r="AF590" s="1002"/>
      <c r="AG590" s="1002"/>
      <c r="AH590" s="1002"/>
      <c r="AI590" s="1002"/>
      <c r="AJ590" s="1002"/>
      <c r="AK590" s="1002"/>
      <c r="AL590" s="1002"/>
      <c r="AM590" s="1002"/>
      <c r="AN590" s="1002"/>
      <c r="AO590" s="1002"/>
      <c r="AP590" s="1002"/>
      <c r="AQ590" s="1002"/>
      <c r="AR590" s="1002"/>
      <c r="AS590" s="1002"/>
      <c r="AT590" s="1002"/>
      <c r="AU590" s="1002"/>
      <c r="AV590" s="1002"/>
      <c r="AW590" s="1002"/>
      <c r="AX590" s="1002"/>
      <c r="AY590" s="1002"/>
      <c r="AZ590" s="1002"/>
      <c r="BA590" s="1002"/>
      <c r="BB590" s="1002"/>
      <c r="BC590" s="1002"/>
      <c r="BD590" s="1002"/>
      <c r="BE590" s="204"/>
      <c r="BF590" s="205" t="s">
        <v>419</v>
      </c>
      <c r="BG590" s="204"/>
      <c r="BH590" s="204" t="s">
        <v>407</v>
      </c>
      <c r="BI590" s="204"/>
      <c r="BJ590" s="204"/>
      <c r="BK590" s="206"/>
    </row>
    <row r="591" spans="1:63" s="164" customFormat="1" ht="15.75" customHeight="1">
      <c r="A591" s="216"/>
      <c r="B591" s="217" t="s">
        <v>1042</v>
      </c>
      <c r="C591" s="218"/>
      <c r="D591" s="218"/>
      <c r="E591" s="218"/>
      <c r="F591" s="218"/>
      <c r="G591" s="218"/>
      <c r="H591" s="218"/>
      <c r="I591" s="218"/>
      <c r="J591" s="218"/>
      <c r="K591" s="218"/>
      <c r="L591" s="222"/>
      <c r="M591" s="1003"/>
      <c r="N591" s="1002"/>
      <c r="O591" s="1002"/>
      <c r="P591" s="1002"/>
      <c r="Q591" s="1002"/>
      <c r="R591" s="1002"/>
      <c r="S591" s="1002"/>
      <c r="T591" s="1002"/>
      <c r="U591" s="1002"/>
      <c r="V591" s="1002"/>
      <c r="W591" s="1002"/>
      <c r="X591" s="1002"/>
      <c r="Y591" s="1002"/>
      <c r="Z591" s="1002"/>
      <c r="AA591" s="1002"/>
      <c r="AB591" s="1002"/>
      <c r="AC591" s="1002"/>
      <c r="AD591" s="1002"/>
      <c r="AE591" s="1002"/>
      <c r="AF591" s="1002"/>
      <c r="AG591" s="1002"/>
      <c r="AH591" s="1002"/>
      <c r="AI591" s="1002"/>
      <c r="AJ591" s="1002"/>
      <c r="AK591" s="1002"/>
      <c r="AL591" s="1002"/>
      <c r="AM591" s="1002"/>
      <c r="AN591" s="1002"/>
      <c r="AO591" s="1002"/>
      <c r="AP591" s="1002"/>
      <c r="AQ591" s="1002"/>
      <c r="AR591" s="1002"/>
      <c r="AS591" s="1002"/>
      <c r="AT591" s="1002"/>
      <c r="AU591" s="1002"/>
      <c r="AV591" s="1002"/>
      <c r="AW591" s="1002"/>
      <c r="AX591" s="1002"/>
      <c r="AY591" s="1002"/>
      <c r="AZ591" s="1002"/>
      <c r="BA591" s="1002"/>
      <c r="BB591" s="1002"/>
      <c r="BC591" s="1002"/>
      <c r="BD591" s="1002"/>
      <c r="BE591" s="204"/>
      <c r="BF591" s="205" t="s">
        <v>487</v>
      </c>
      <c r="BG591" s="204"/>
      <c r="BH591" s="204"/>
      <c r="BI591" s="204"/>
      <c r="BJ591" s="204"/>
      <c r="BK591" s="206"/>
    </row>
    <row r="592" spans="1:63" s="164" customFormat="1" ht="15.75" customHeight="1">
      <c r="A592" s="216"/>
      <c r="B592" s="217" t="s">
        <v>1043</v>
      </c>
      <c r="C592" s="218"/>
      <c r="D592" s="218"/>
      <c r="E592" s="218"/>
      <c r="F592" s="218"/>
      <c r="G592" s="218"/>
      <c r="H592" s="218"/>
      <c r="I592" s="218"/>
      <c r="J592" s="218"/>
      <c r="K592" s="218"/>
      <c r="L592" s="222"/>
      <c r="M592" s="1003"/>
      <c r="N592" s="1002"/>
      <c r="O592" s="1002"/>
      <c r="P592" s="1002"/>
      <c r="Q592" s="1002"/>
      <c r="R592" s="1002"/>
      <c r="S592" s="1002"/>
      <c r="T592" s="1002"/>
      <c r="U592" s="1002"/>
      <c r="V592" s="1002"/>
      <c r="W592" s="1002"/>
      <c r="X592" s="1002"/>
      <c r="Y592" s="1002"/>
      <c r="Z592" s="1002"/>
      <c r="AA592" s="1002"/>
      <c r="AB592" s="1002"/>
      <c r="AC592" s="1002"/>
      <c r="AD592" s="1002"/>
      <c r="AE592" s="1002"/>
      <c r="AF592" s="1002"/>
      <c r="AG592" s="1002"/>
      <c r="AH592" s="1002"/>
      <c r="AI592" s="1002"/>
      <c r="AJ592" s="1002"/>
      <c r="AK592" s="1002"/>
      <c r="AL592" s="1002"/>
      <c r="AM592" s="1002"/>
      <c r="AN592" s="1002"/>
      <c r="AO592" s="1002"/>
      <c r="AP592" s="1002"/>
      <c r="AQ592" s="1002"/>
      <c r="AR592" s="1002"/>
      <c r="AS592" s="1002"/>
      <c r="AT592" s="1002"/>
      <c r="AU592" s="1002"/>
      <c r="AV592" s="1002"/>
      <c r="AW592" s="1002"/>
      <c r="AX592" s="1002"/>
      <c r="AY592" s="1002"/>
      <c r="AZ592" s="1002"/>
      <c r="BA592" s="1002"/>
      <c r="BB592" s="1002"/>
      <c r="BC592" s="1002"/>
      <c r="BD592" s="1002"/>
      <c r="BE592" s="204"/>
      <c r="BF592" s="205" t="s">
        <v>487</v>
      </c>
      <c r="BG592" s="204"/>
      <c r="BH592" s="204"/>
      <c r="BI592" s="204"/>
      <c r="BJ592" s="204"/>
      <c r="BK592" s="206"/>
    </row>
    <row r="593" spans="1:63" s="164" customFormat="1" ht="15.75" customHeight="1">
      <c r="A593" s="216"/>
      <c r="B593" s="217" t="s">
        <v>1044</v>
      </c>
      <c r="C593" s="218"/>
      <c r="D593" s="218"/>
      <c r="E593" s="218"/>
      <c r="F593" s="218"/>
      <c r="G593" s="218"/>
      <c r="H593" s="218"/>
      <c r="I593" s="218"/>
      <c r="J593" s="218"/>
      <c r="K593" s="218"/>
      <c r="L593" s="222"/>
      <c r="M593" s="1003"/>
      <c r="N593" s="1002"/>
      <c r="O593" s="1002"/>
      <c r="P593" s="1002"/>
      <c r="Q593" s="1002"/>
      <c r="R593" s="1002"/>
      <c r="S593" s="1002"/>
      <c r="T593" s="1002"/>
      <c r="U593" s="1002"/>
      <c r="V593" s="1002"/>
      <c r="W593" s="1002"/>
      <c r="X593" s="1002"/>
      <c r="Y593" s="1002"/>
      <c r="Z593" s="1002"/>
      <c r="AA593" s="1002"/>
      <c r="AB593" s="1002"/>
      <c r="AC593" s="1002"/>
      <c r="AD593" s="1002"/>
      <c r="AE593" s="1002"/>
      <c r="AF593" s="1002"/>
      <c r="AG593" s="1002"/>
      <c r="AH593" s="1002"/>
      <c r="AI593" s="1002"/>
      <c r="AJ593" s="1002"/>
      <c r="AK593" s="1002"/>
      <c r="AL593" s="1002"/>
      <c r="AM593" s="1002"/>
      <c r="AN593" s="1002"/>
      <c r="AO593" s="1002"/>
      <c r="AP593" s="1002"/>
      <c r="AQ593" s="1002"/>
      <c r="AR593" s="1002"/>
      <c r="AS593" s="1002"/>
      <c r="AT593" s="1002"/>
      <c r="AU593" s="1002"/>
      <c r="AV593" s="1002"/>
      <c r="AW593" s="1002"/>
      <c r="AX593" s="1002"/>
      <c r="AY593" s="1002"/>
      <c r="AZ593" s="1002"/>
      <c r="BA593" s="1002"/>
      <c r="BB593" s="1002"/>
      <c r="BC593" s="1002"/>
      <c r="BD593" s="1002"/>
      <c r="BE593" s="204"/>
      <c r="BF593" s="205" t="s">
        <v>487</v>
      </c>
      <c r="BG593" s="204"/>
      <c r="BH593" s="204"/>
      <c r="BI593" s="204"/>
      <c r="BJ593" s="204"/>
      <c r="BK593" s="206"/>
    </row>
    <row r="594" spans="1:63" s="164" customFormat="1" ht="15.75" customHeight="1">
      <c r="A594" s="216"/>
      <c r="B594" s="217" t="s">
        <v>1045</v>
      </c>
      <c r="C594" s="218"/>
      <c r="D594" s="218"/>
      <c r="E594" s="218"/>
      <c r="F594" s="218"/>
      <c r="G594" s="218"/>
      <c r="H594" s="218"/>
      <c r="I594" s="218"/>
      <c r="J594" s="218"/>
      <c r="K594" s="218"/>
      <c r="L594" s="222"/>
      <c r="M594" s="1003"/>
      <c r="N594" s="1002"/>
      <c r="O594" s="1002"/>
      <c r="P594" s="1002"/>
      <c r="Q594" s="1002"/>
      <c r="R594" s="1002"/>
      <c r="S594" s="1002"/>
      <c r="T594" s="1002"/>
      <c r="U594" s="1002"/>
      <c r="V594" s="1002"/>
      <c r="W594" s="1002"/>
      <c r="X594" s="1002"/>
      <c r="Y594" s="1002"/>
      <c r="Z594" s="1002"/>
      <c r="AA594" s="1002"/>
      <c r="AB594" s="1002"/>
      <c r="AC594" s="1002"/>
      <c r="AD594" s="1002"/>
      <c r="AE594" s="1002"/>
      <c r="AF594" s="1002"/>
      <c r="AG594" s="1002"/>
      <c r="AH594" s="1002"/>
      <c r="AI594" s="1002"/>
      <c r="AJ594" s="1002"/>
      <c r="AK594" s="1002"/>
      <c r="AL594" s="1002"/>
      <c r="AM594" s="1002"/>
      <c r="AN594" s="1002"/>
      <c r="AO594" s="1002"/>
      <c r="AP594" s="1002"/>
      <c r="AQ594" s="1002"/>
      <c r="AR594" s="1002"/>
      <c r="AS594" s="1002"/>
      <c r="AT594" s="1002"/>
      <c r="AU594" s="1002"/>
      <c r="AV594" s="1002"/>
      <c r="AW594" s="1002"/>
      <c r="AX594" s="1002"/>
      <c r="AY594" s="1002"/>
      <c r="AZ594" s="1002"/>
      <c r="BA594" s="1002"/>
      <c r="BB594" s="1002"/>
      <c r="BC594" s="1002"/>
      <c r="BD594" s="1002"/>
      <c r="BE594" s="204"/>
      <c r="BF594" s="205" t="s">
        <v>487</v>
      </c>
      <c r="BG594" s="204"/>
      <c r="BH594" s="204"/>
      <c r="BI594" s="204"/>
      <c r="BJ594" s="204"/>
      <c r="BK594" s="206"/>
    </row>
    <row r="595" spans="1:63" s="164" customFormat="1" ht="15.75" customHeight="1">
      <c r="A595" s="216"/>
      <c r="B595" s="217" t="s">
        <v>1046</v>
      </c>
      <c r="C595" s="218"/>
      <c r="D595" s="218"/>
      <c r="E595" s="218"/>
      <c r="F595" s="218"/>
      <c r="G595" s="218"/>
      <c r="H595" s="218"/>
      <c r="I595" s="218"/>
      <c r="J595" s="218"/>
      <c r="K595" s="218"/>
      <c r="L595" s="222"/>
      <c r="M595" s="1003"/>
      <c r="N595" s="1002"/>
      <c r="O595" s="1002"/>
      <c r="P595" s="1002"/>
      <c r="Q595" s="1002"/>
      <c r="R595" s="1002"/>
      <c r="S595" s="1002"/>
      <c r="T595" s="1002"/>
      <c r="U595" s="1002"/>
      <c r="V595" s="1002"/>
      <c r="W595" s="1002"/>
      <c r="X595" s="1002"/>
      <c r="Y595" s="1002"/>
      <c r="Z595" s="1002"/>
      <c r="AA595" s="1002"/>
      <c r="AB595" s="1002"/>
      <c r="AC595" s="1002"/>
      <c r="AD595" s="1002"/>
      <c r="AE595" s="1002"/>
      <c r="AF595" s="1002"/>
      <c r="AG595" s="1002"/>
      <c r="AH595" s="1002"/>
      <c r="AI595" s="1002"/>
      <c r="AJ595" s="1002"/>
      <c r="AK595" s="1002"/>
      <c r="AL595" s="1002"/>
      <c r="AM595" s="1002"/>
      <c r="AN595" s="1002"/>
      <c r="AO595" s="1002"/>
      <c r="AP595" s="1002"/>
      <c r="AQ595" s="1002"/>
      <c r="AR595" s="1002"/>
      <c r="AS595" s="1002"/>
      <c r="AT595" s="1002"/>
      <c r="AU595" s="1002"/>
      <c r="AV595" s="1002"/>
      <c r="AW595" s="1002"/>
      <c r="AX595" s="1002"/>
      <c r="AY595" s="1002"/>
      <c r="AZ595" s="1002"/>
      <c r="BA595" s="1002"/>
      <c r="BB595" s="1002"/>
      <c r="BC595" s="1002"/>
      <c r="BD595" s="1002"/>
      <c r="BE595" s="204"/>
      <c r="BF595" s="205" t="s">
        <v>1047</v>
      </c>
      <c r="BG595" s="204"/>
      <c r="BH595" s="204"/>
      <c r="BI595" s="204"/>
      <c r="BJ595" s="204"/>
      <c r="BK595" s="206"/>
    </row>
    <row r="596" spans="1:63" s="164" customFormat="1" ht="15.75" customHeight="1">
      <c r="A596" s="216"/>
      <c r="B596" s="217" t="s">
        <v>1048</v>
      </c>
      <c r="C596" s="218"/>
      <c r="D596" s="218"/>
      <c r="E596" s="218"/>
      <c r="F596" s="218"/>
      <c r="G596" s="218"/>
      <c r="H596" s="218"/>
      <c r="I596" s="218"/>
      <c r="J596" s="218"/>
      <c r="K596" s="218"/>
      <c r="L596" s="222"/>
      <c r="M596" s="1003"/>
      <c r="N596" s="1002"/>
      <c r="O596" s="1002"/>
      <c r="P596" s="1002"/>
      <c r="Q596" s="1002"/>
      <c r="R596" s="1002"/>
      <c r="S596" s="1002"/>
      <c r="T596" s="1002"/>
      <c r="U596" s="1002"/>
      <c r="V596" s="1002"/>
      <c r="W596" s="1002"/>
      <c r="X596" s="1002"/>
      <c r="Y596" s="1002"/>
      <c r="Z596" s="1002"/>
      <c r="AA596" s="1002"/>
      <c r="AB596" s="1002"/>
      <c r="AC596" s="1002"/>
      <c r="AD596" s="1002"/>
      <c r="AE596" s="1002"/>
      <c r="AF596" s="1002"/>
      <c r="AG596" s="1002"/>
      <c r="AH596" s="1002"/>
      <c r="AI596" s="1002"/>
      <c r="AJ596" s="1002"/>
      <c r="AK596" s="1002"/>
      <c r="AL596" s="1002"/>
      <c r="AM596" s="1002"/>
      <c r="AN596" s="1002"/>
      <c r="AO596" s="1002"/>
      <c r="AP596" s="1002"/>
      <c r="AQ596" s="1002"/>
      <c r="AR596" s="1002"/>
      <c r="AS596" s="1002"/>
      <c r="AT596" s="1002"/>
      <c r="AU596" s="1002"/>
      <c r="AV596" s="1002"/>
      <c r="AW596" s="1002"/>
      <c r="AX596" s="1002"/>
      <c r="AY596" s="1002"/>
      <c r="AZ596" s="1002"/>
      <c r="BA596" s="1002"/>
      <c r="BB596" s="1002"/>
      <c r="BC596" s="1002"/>
      <c r="BD596" s="1002"/>
      <c r="BE596" s="204"/>
      <c r="BF596" s="205" t="s">
        <v>487</v>
      </c>
      <c r="BG596" s="204"/>
      <c r="BH596" s="204"/>
      <c r="BI596" s="204"/>
      <c r="BJ596" s="204"/>
      <c r="BK596" s="206"/>
    </row>
    <row r="597" spans="1:63" s="164" customFormat="1" ht="15.75" customHeight="1">
      <c r="A597" s="216"/>
      <c r="B597" s="217" t="s">
        <v>1049</v>
      </c>
      <c r="C597" s="218"/>
      <c r="D597" s="218"/>
      <c r="E597" s="218"/>
      <c r="F597" s="218"/>
      <c r="G597" s="218"/>
      <c r="H597" s="218"/>
      <c r="I597" s="218"/>
      <c r="J597" s="218"/>
      <c r="K597" s="218"/>
      <c r="L597" s="222"/>
      <c r="M597" s="1003"/>
      <c r="N597" s="1002"/>
      <c r="O597" s="1002"/>
      <c r="P597" s="1002"/>
      <c r="Q597" s="1002"/>
      <c r="R597" s="1002"/>
      <c r="S597" s="1002"/>
      <c r="T597" s="1002"/>
      <c r="U597" s="1002"/>
      <c r="V597" s="1002"/>
      <c r="W597" s="1002"/>
      <c r="X597" s="1002"/>
      <c r="Y597" s="1002"/>
      <c r="Z597" s="1002"/>
      <c r="AA597" s="1002"/>
      <c r="AB597" s="1002"/>
      <c r="AC597" s="1002"/>
      <c r="AD597" s="1002"/>
      <c r="AE597" s="1002"/>
      <c r="AF597" s="1002"/>
      <c r="AG597" s="1002"/>
      <c r="AH597" s="1002"/>
      <c r="AI597" s="1002"/>
      <c r="AJ597" s="1002"/>
      <c r="AK597" s="1002"/>
      <c r="AL597" s="1002"/>
      <c r="AM597" s="1002"/>
      <c r="AN597" s="1002"/>
      <c r="AO597" s="1002"/>
      <c r="AP597" s="1002"/>
      <c r="AQ597" s="1002"/>
      <c r="AR597" s="1002"/>
      <c r="AS597" s="1002"/>
      <c r="AT597" s="1002"/>
      <c r="AU597" s="1002"/>
      <c r="AV597" s="1002"/>
      <c r="AW597" s="1002"/>
      <c r="AX597" s="1002"/>
      <c r="AY597" s="1002"/>
      <c r="AZ597" s="1002"/>
      <c r="BA597" s="1002"/>
      <c r="BB597" s="1002"/>
      <c r="BC597" s="1002"/>
      <c r="BD597" s="1002"/>
      <c r="BE597" s="204"/>
      <c r="BF597" s="205" t="s">
        <v>487</v>
      </c>
      <c r="BG597" s="204"/>
      <c r="BH597" s="204"/>
      <c r="BI597" s="204"/>
      <c r="BJ597" s="204"/>
      <c r="BK597" s="206"/>
    </row>
    <row r="598" spans="1:63" s="164" customFormat="1" ht="15.75" customHeight="1">
      <c r="A598" s="216"/>
      <c r="B598" s="217" t="s">
        <v>1050</v>
      </c>
      <c r="C598" s="218"/>
      <c r="D598" s="218"/>
      <c r="E598" s="218"/>
      <c r="F598" s="218"/>
      <c r="G598" s="218"/>
      <c r="H598" s="218"/>
      <c r="I598" s="218"/>
      <c r="J598" s="218"/>
      <c r="K598" s="218"/>
      <c r="L598" s="222"/>
      <c r="M598" s="1003"/>
      <c r="N598" s="1002"/>
      <c r="O598" s="1002"/>
      <c r="P598" s="1002"/>
      <c r="Q598" s="1002"/>
      <c r="R598" s="1002"/>
      <c r="S598" s="1002"/>
      <c r="T598" s="1002"/>
      <c r="U598" s="1002"/>
      <c r="V598" s="1002"/>
      <c r="W598" s="1002"/>
      <c r="X598" s="1002"/>
      <c r="Y598" s="1002"/>
      <c r="Z598" s="1002"/>
      <c r="AA598" s="1002"/>
      <c r="AB598" s="1002"/>
      <c r="AC598" s="1002"/>
      <c r="AD598" s="1002"/>
      <c r="AE598" s="1002"/>
      <c r="AF598" s="1002"/>
      <c r="AG598" s="1002"/>
      <c r="AH598" s="1002"/>
      <c r="AI598" s="1002"/>
      <c r="AJ598" s="1002"/>
      <c r="AK598" s="1002"/>
      <c r="AL598" s="1002"/>
      <c r="AM598" s="1002"/>
      <c r="AN598" s="1002"/>
      <c r="AO598" s="1002"/>
      <c r="AP598" s="1002"/>
      <c r="AQ598" s="1002"/>
      <c r="AR598" s="1002"/>
      <c r="AS598" s="1002"/>
      <c r="AT598" s="1002"/>
      <c r="AU598" s="1002"/>
      <c r="AV598" s="1002"/>
      <c r="AW598" s="1002"/>
      <c r="AX598" s="1002"/>
      <c r="AY598" s="1002"/>
      <c r="AZ598" s="1002"/>
      <c r="BA598" s="1002"/>
      <c r="BB598" s="1002"/>
      <c r="BC598" s="1002"/>
      <c r="BD598" s="1002"/>
      <c r="BE598" s="204"/>
      <c r="BF598" s="205" t="s">
        <v>487</v>
      </c>
      <c r="BG598" s="204"/>
      <c r="BH598" s="204"/>
      <c r="BI598" s="204"/>
      <c r="BJ598" s="204"/>
      <c r="BK598" s="206"/>
    </row>
    <row r="599" spans="1:63" s="164" customFormat="1" ht="15.75" customHeight="1">
      <c r="A599" s="216"/>
      <c r="B599" s="217" t="s">
        <v>1051</v>
      </c>
      <c r="C599" s="218"/>
      <c r="D599" s="218"/>
      <c r="E599" s="218"/>
      <c r="F599" s="218"/>
      <c r="G599" s="218"/>
      <c r="H599" s="218"/>
      <c r="I599" s="218"/>
      <c r="J599" s="218"/>
      <c r="K599" s="218"/>
      <c r="L599" s="222"/>
      <c r="M599" s="1003"/>
      <c r="N599" s="1002"/>
      <c r="O599" s="1002"/>
      <c r="P599" s="1002"/>
      <c r="Q599" s="1002"/>
      <c r="R599" s="1002"/>
      <c r="S599" s="1002"/>
      <c r="T599" s="1002"/>
      <c r="U599" s="1002"/>
      <c r="V599" s="1002"/>
      <c r="W599" s="1002"/>
      <c r="X599" s="1002"/>
      <c r="Y599" s="1002"/>
      <c r="Z599" s="1002"/>
      <c r="AA599" s="1002"/>
      <c r="AB599" s="1002"/>
      <c r="AC599" s="1002"/>
      <c r="AD599" s="1002"/>
      <c r="AE599" s="1002"/>
      <c r="AF599" s="1002"/>
      <c r="AG599" s="1002"/>
      <c r="AH599" s="1002"/>
      <c r="AI599" s="1002"/>
      <c r="AJ599" s="1002"/>
      <c r="AK599" s="1002"/>
      <c r="AL599" s="1002"/>
      <c r="AM599" s="1002"/>
      <c r="AN599" s="1002"/>
      <c r="AO599" s="1002"/>
      <c r="AP599" s="1002"/>
      <c r="AQ599" s="1002"/>
      <c r="AR599" s="1002"/>
      <c r="AS599" s="1002"/>
      <c r="AT599" s="1002"/>
      <c r="AU599" s="1002"/>
      <c r="AV599" s="1002"/>
      <c r="AW599" s="1002"/>
      <c r="AX599" s="1002"/>
      <c r="AY599" s="1002"/>
      <c r="AZ599" s="1002"/>
      <c r="BA599" s="1002"/>
      <c r="BB599" s="1002"/>
      <c r="BC599" s="1002"/>
      <c r="BD599" s="1002"/>
      <c r="BE599" s="204"/>
      <c r="BF599" s="205" t="s">
        <v>487</v>
      </c>
      <c r="BG599" s="204"/>
      <c r="BH599" s="204"/>
      <c r="BI599" s="204"/>
      <c r="BJ599" s="204"/>
      <c r="BK599" s="206"/>
    </row>
    <row r="600" spans="1:63" s="164" customFormat="1" ht="15.75" customHeight="1">
      <c r="A600" s="216"/>
      <c r="B600" s="217" t="s">
        <v>1052</v>
      </c>
      <c r="C600" s="218"/>
      <c r="D600" s="218"/>
      <c r="E600" s="218"/>
      <c r="F600" s="218"/>
      <c r="G600" s="218"/>
      <c r="H600" s="218"/>
      <c r="I600" s="218"/>
      <c r="J600" s="218"/>
      <c r="K600" s="218"/>
      <c r="L600" s="222"/>
      <c r="M600" s="1003"/>
      <c r="N600" s="1002"/>
      <c r="O600" s="1002"/>
      <c r="P600" s="1002"/>
      <c r="Q600" s="1002"/>
      <c r="R600" s="1002"/>
      <c r="S600" s="1002"/>
      <c r="T600" s="1002"/>
      <c r="U600" s="1002"/>
      <c r="V600" s="1002"/>
      <c r="W600" s="1002"/>
      <c r="X600" s="1002"/>
      <c r="Y600" s="1002"/>
      <c r="Z600" s="1002"/>
      <c r="AA600" s="1002"/>
      <c r="AB600" s="1002"/>
      <c r="AC600" s="1002"/>
      <c r="AD600" s="1002"/>
      <c r="AE600" s="1002"/>
      <c r="AF600" s="1002"/>
      <c r="AG600" s="1002"/>
      <c r="AH600" s="1002"/>
      <c r="AI600" s="1002"/>
      <c r="AJ600" s="1002"/>
      <c r="AK600" s="1002"/>
      <c r="AL600" s="1002"/>
      <c r="AM600" s="1002"/>
      <c r="AN600" s="1002"/>
      <c r="AO600" s="1002"/>
      <c r="AP600" s="1002"/>
      <c r="AQ600" s="1002"/>
      <c r="AR600" s="1002"/>
      <c r="AS600" s="1002"/>
      <c r="AT600" s="1002"/>
      <c r="AU600" s="1002"/>
      <c r="AV600" s="1002"/>
      <c r="AW600" s="1002"/>
      <c r="AX600" s="1002"/>
      <c r="AY600" s="1002"/>
      <c r="AZ600" s="1002"/>
      <c r="BA600" s="1002"/>
      <c r="BB600" s="1002"/>
      <c r="BC600" s="1002"/>
      <c r="BD600" s="1002"/>
      <c r="BE600" s="204"/>
      <c r="BF600" s="205" t="s">
        <v>1047</v>
      </c>
      <c r="BG600" s="204"/>
      <c r="BH600" s="204"/>
      <c r="BI600" s="204"/>
      <c r="BJ600" s="204"/>
      <c r="BK600" s="206"/>
    </row>
    <row r="601" spans="1:63" s="164" customFormat="1" ht="15.75" customHeight="1">
      <c r="A601" s="216"/>
      <c r="B601" s="217" t="s">
        <v>1053</v>
      </c>
      <c r="C601" s="218"/>
      <c r="D601" s="218"/>
      <c r="E601" s="218"/>
      <c r="F601" s="218"/>
      <c r="G601" s="218"/>
      <c r="H601" s="218"/>
      <c r="I601" s="218"/>
      <c r="J601" s="218"/>
      <c r="K601" s="218"/>
      <c r="L601" s="222"/>
      <c r="M601" s="1003"/>
      <c r="N601" s="1002"/>
      <c r="O601" s="1002"/>
      <c r="P601" s="1002"/>
      <c r="Q601" s="1002"/>
      <c r="R601" s="1002"/>
      <c r="S601" s="1002"/>
      <c r="T601" s="1002"/>
      <c r="U601" s="1002"/>
      <c r="V601" s="1002"/>
      <c r="W601" s="1002"/>
      <c r="X601" s="1002"/>
      <c r="Y601" s="1002"/>
      <c r="Z601" s="1002"/>
      <c r="AA601" s="1002"/>
      <c r="AB601" s="1002"/>
      <c r="AC601" s="1002"/>
      <c r="AD601" s="1002"/>
      <c r="AE601" s="1002"/>
      <c r="AF601" s="1002"/>
      <c r="AG601" s="1002"/>
      <c r="AH601" s="1002"/>
      <c r="AI601" s="1002"/>
      <c r="AJ601" s="1002"/>
      <c r="AK601" s="1002"/>
      <c r="AL601" s="1002"/>
      <c r="AM601" s="1002"/>
      <c r="AN601" s="1002"/>
      <c r="AO601" s="1002"/>
      <c r="AP601" s="1002"/>
      <c r="AQ601" s="1002"/>
      <c r="AR601" s="1002"/>
      <c r="AS601" s="1002"/>
      <c r="AT601" s="1002"/>
      <c r="AU601" s="1002"/>
      <c r="AV601" s="1002"/>
      <c r="AW601" s="1002"/>
      <c r="AX601" s="1002"/>
      <c r="AY601" s="1002"/>
      <c r="AZ601" s="1002"/>
      <c r="BA601" s="1002"/>
      <c r="BB601" s="1002"/>
      <c r="BC601" s="1002"/>
      <c r="BD601" s="1002"/>
      <c r="BE601" s="204"/>
      <c r="BF601" s="205" t="s">
        <v>487</v>
      </c>
      <c r="BG601" s="204"/>
      <c r="BH601" s="204"/>
      <c r="BI601" s="204"/>
      <c r="BJ601" s="204"/>
      <c r="BK601" s="206"/>
    </row>
    <row r="602" spans="1:63" s="164" customFormat="1" ht="15.75" customHeight="1">
      <c r="A602" s="185"/>
      <c r="B602" s="183" t="s">
        <v>1054</v>
      </c>
      <c r="C602" s="184"/>
      <c r="D602" s="184"/>
      <c r="E602" s="184"/>
      <c r="F602" s="184"/>
      <c r="G602" s="184"/>
      <c r="H602" s="184"/>
      <c r="I602" s="184"/>
      <c r="J602" s="184"/>
      <c r="K602" s="184"/>
      <c r="L602" s="193"/>
      <c r="M602" s="1001" t="s">
        <v>1055</v>
      </c>
      <c r="N602" s="1002"/>
      <c r="O602" s="1002"/>
      <c r="P602" s="1002"/>
      <c r="Q602" s="1002"/>
      <c r="R602" s="1002"/>
      <c r="S602" s="1002"/>
      <c r="T602" s="1002"/>
      <c r="U602" s="1002"/>
      <c r="V602" s="1002"/>
      <c r="W602" s="1002"/>
      <c r="X602" s="1002"/>
      <c r="Y602" s="1002"/>
      <c r="Z602" s="1002"/>
      <c r="AA602" s="1002"/>
      <c r="AB602" s="1002"/>
      <c r="AC602" s="1002"/>
      <c r="AD602" s="1002"/>
      <c r="AE602" s="1002"/>
      <c r="AF602" s="1002"/>
      <c r="AG602" s="1002"/>
      <c r="AH602" s="1002"/>
      <c r="AI602" s="1002"/>
      <c r="AJ602" s="1002"/>
      <c r="AK602" s="1002"/>
      <c r="AL602" s="1002"/>
      <c r="AM602" s="1002"/>
      <c r="AN602" s="1002"/>
      <c r="AO602" s="1002"/>
      <c r="AP602" s="1002"/>
      <c r="AQ602" s="1002"/>
      <c r="AR602" s="1002"/>
      <c r="AS602" s="1002"/>
      <c r="AT602" s="1002"/>
      <c r="AU602" s="1002"/>
      <c r="AV602" s="1002"/>
      <c r="AW602" s="1002"/>
      <c r="AX602" s="1002"/>
      <c r="AY602" s="1002"/>
      <c r="AZ602" s="1002"/>
      <c r="BA602" s="1002"/>
      <c r="BB602" s="1002"/>
      <c r="BC602" s="1002"/>
      <c r="BD602" s="1002"/>
      <c r="BE602" s="204"/>
      <c r="BF602" s="205" t="s">
        <v>487</v>
      </c>
      <c r="BG602" s="204"/>
      <c r="BH602" s="204"/>
      <c r="BI602" s="204"/>
      <c r="BJ602" s="204"/>
      <c r="BK602" s="206"/>
    </row>
    <row r="603" spans="1:63" s="164" customFormat="1" ht="15.75" customHeight="1">
      <c r="A603" s="185"/>
      <c r="B603" s="183" t="s">
        <v>1056</v>
      </c>
      <c r="C603" s="184"/>
      <c r="D603" s="184"/>
      <c r="E603" s="184"/>
      <c r="F603" s="184"/>
      <c r="G603" s="184"/>
      <c r="H603" s="184"/>
      <c r="I603" s="184"/>
      <c r="J603" s="184"/>
      <c r="K603" s="184"/>
      <c r="L603" s="193"/>
      <c r="M603" s="1001" t="s">
        <v>1057</v>
      </c>
      <c r="N603" s="1002"/>
      <c r="O603" s="1002"/>
      <c r="P603" s="1002"/>
      <c r="Q603" s="1002"/>
      <c r="R603" s="1002"/>
      <c r="S603" s="1002"/>
      <c r="T603" s="1002"/>
      <c r="U603" s="1002"/>
      <c r="V603" s="1002"/>
      <c r="W603" s="1002"/>
      <c r="X603" s="1002"/>
      <c r="Y603" s="1002"/>
      <c r="Z603" s="1002"/>
      <c r="AA603" s="1002"/>
      <c r="AB603" s="1002"/>
      <c r="AC603" s="1002"/>
      <c r="AD603" s="1002"/>
      <c r="AE603" s="1002"/>
      <c r="AF603" s="1002"/>
      <c r="AG603" s="1002"/>
      <c r="AH603" s="1002"/>
      <c r="AI603" s="1002"/>
      <c r="AJ603" s="1002"/>
      <c r="AK603" s="1002"/>
      <c r="AL603" s="1002"/>
      <c r="AM603" s="1002"/>
      <c r="AN603" s="1002"/>
      <c r="AO603" s="1002"/>
      <c r="AP603" s="1002"/>
      <c r="AQ603" s="1002"/>
      <c r="AR603" s="1002"/>
      <c r="AS603" s="1002"/>
      <c r="AT603" s="1002"/>
      <c r="AU603" s="1002"/>
      <c r="AV603" s="1002"/>
      <c r="AW603" s="1002"/>
      <c r="AX603" s="1002"/>
      <c r="AY603" s="1002"/>
      <c r="AZ603" s="1002"/>
      <c r="BA603" s="1002"/>
      <c r="BB603" s="1002"/>
      <c r="BC603" s="1002"/>
      <c r="BD603" s="1002"/>
      <c r="BE603" s="204"/>
      <c r="BF603" s="205" t="s">
        <v>487</v>
      </c>
      <c r="BG603" s="204"/>
      <c r="BH603" s="204"/>
      <c r="BI603" s="204"/>
      <c r="BJ603" s="204"/>
      <c r="BK603" s="206"/>
    </row>
    <row r="604" spans="1:63" s="164" customFormat="1" ht="15.75" customHeight="1">
      <c r="A604" s="185"/>
      <c r="B604" s="186"/>
      <c r="C604" s="184"/>
      <c r="D604" s="184"/>
      <c r="E604" s="184"/>
      <c r="F604" s="184"/>
      <c r="G604" s="184"/>
      <c r="H604" s="184"/>
      <c r="I604" s="184"/>
      <c r="J604" s="184"/>
      <c r="K604" s="184"/>
      <c r="L604" s="193"/>
      <c r="M604" s="184"/>
      <c r="N604" s="184"/>
      <c r="O604" s="184"/>
      <c r="P604" s="184"/>
      <c r="Q604" s="184"/>
      <c r="R604" s="184"/>
      <c r="S604" s="184"/>
      <c r="T604" s="184"/>
      <c r="U604" s="184"/>
      <c r="V604" s="184"/>
      <c r="W604" s="184"/>
      <c r="X604" s="184"/>
      <c r="Y604" s="184"/>
      <c r="Z604" s="184"/>
      <c r="AA604" s="184"/>
      <c r="AB604" s="184"/>
      <c r="AC604" s="184"/>
      <c r="AD604" s="184"/>
      <c r="AE604" s="184"/>
      <c r="AF604" s="184"/>
      <c r="AG604" s="184"/>
      <c r="AH604" s="184"/>
      <c r="AI604" s="184"/>
      <c r="AJ604" s="184"/>
      <c r="AK604" s="184"/>
      <c r="AL604" s="184"/>
      <c r="AM604" s="184"/>
      <c r="AN604" s="184"/>
      <c r="AO604" s="184"/>
      <c r="AP604" s="184"/>
      <c r="AQ604" s="184"/>
      <c r="AR604" s="184"/>
      <c r="AS604" s="184"/>
      <c r="AT604" s="184"/>
      <c r="AU604" s="184"/>
      <c r="AV604" s="184"/>
      <c r="AW604" s="184"/>
      <c r="AX604" s="184"/>
      <c r="AY604" s="184"/>
      <c r="AZ604" s="184"/>
      <c r="BA604" s="184"/>
      <c r="BB604" s="184"/>
      <c r="BC604" s="184"/>
      <c r="BD604" s="184"/>
      <c r="BE604" s="204"/>
      <c r="BF604" s="204"/>
      <c r="BG604" s="204"/>
      <c r="BH604" s="204"/>
      <c r="BI604" s="204"/>
      <c r="BJ604" s="204"/>
      <c r="BK604" s="206"/>
    </row>
    <row r="605" spans="1:63" s="164" customFormat="1" ht="15.75" customHeight="1">
      <c r="A605" s="187"/>
      <c r="B605" s="188" t="s">
        <v>1058</v>
      </c>
      <c r="C605" s="189"/>
      <c r="D605" s="189"/>
      <c r="E605" s="189"/>
      <c r="F605" s="189"/>
      <c r="G605" s="189"/>
      <c r="H605" s="189"/>
      <c r="I605" s="189"/>
      <c r="J605" s="189"/>
      <c r="K605" s="189"/>
      <c r="L605" s="195"/>
      <c r="M605" s="189"/>
      <c r="N605" s="196" t="s">
        <v>403</v>
      </c>
      <c r="O605" s="189"/>
      <c r="P605" s="189"/>
      <c r="Q605" s="189"/>
      <c r="R605" s="189"/>
      <c r="S605" s="189"/>
      <c r="T605" s="189"/>
      <c r="U605" s="189"/>
      <c r="V605" s="189"/>
      <c r="W605" s="189"/>
      <c r="X605" s="189"/>
      <c r="Y605" s="189"/>
      <c r="Z605" s="189"/>
      <c r="AA605" s="189"/>
      <c r="AB605" s="189"/>
      <c r="AC605" s="189"/>
      <c r="AD605" s="189"/>
      <c r="AE605" s="189"/>
      <c r="AF605" s="189"/>
      <c r="AG605" s="189"/>
      <c r="AH605" s="189"/>
      <c r="AI605" s="189"/>
      <c r="AJ605" s="189"/>
      <c r="AK605" s="189"/>
      <c r="AL605" s="189"/>
      <c r="AM605" s="189"/>
      <c r="AN605" s="189"/>
      <c r="AO605" s="189"/>
      <c r="AP605" s="189"/>
      <c r="AQ605" s="189"/>
      <c r="AR605" s="189"/>
      <c r="AS605" s="189"/>
      <c r="AT605" s="189"/>
      <c r="AU605" s="189"/>
      <c r="AV605" s="189"/>
      <c r="AW605" s="189"/>
      <c r="AX605" s="189"/>
      <c r="AY605" s="189"/>
      <c r="AZ605" s="189"/>
      <c r="BA605" s="189"/>
      <c r="BB605" s="189"/>
      <c r="BC605" s="189"/>
      <c r="BD605" s="189"/>
      <c r="BE605" s="207" t="s">
        <v>404</v>
      </c>
      <c r="BF605" s="207" t="s">
        <v>405</v>
      </c>
      <c r="BG605" s="207" t="s">
        <v>406</v>
      </c>
      <c r="BH605" s="207" t="s">
        <v>407</v>
      </c>
      <c r="BI605" s="207" t="s">
        <v>408</v>
      </c>
      <c r="BJ605" s="207" t="s">
        <v>409</v>
      </c>
      <c r="BK605" s="208" t="s">
        <v>410</v>
      </c>
    </row>
    <row r="606" spans="1:63" s="164" customFormat="1" ht="15.75" customHeight="1">
      <c r="A606" s="185"/>
      <c r="B606" s="183" t="s">
        <v>1059</v>
      </c>
      <c r="C606" s="184"/>
      <c r="D606" s="184"/>
      <c r="E606" s="184"/>
      <c r="F606" s="184"/>
      <c r="G606" s="184"/>
      <c r="H606" s="184"/>
      <c r="I606" s="184"/>
      <c r="J606" s="184"/>
      <c r="K606" s="184"/>
      <c r="L606" s="193"/>
      <c r="M606" s="1001" t="s">
        <v>1060</v>
      </c>
      <c r="N606" s="1002"/>
      <c r="O606" s="1002"/>
      <c r="P606" s="1002"/>
      <c r="Q606" s="1002"/>
      <c r="R606" s="1002"/>
      <c r="S606" s="1002"/>
      <c r="T606" s="1002"/>
      <c r="U606" s="1002"/>
      <c r="V606" s="1002"/>
      <c r="W606" s="1002"/>
      <c r="X606" s="1002"/>
      <c r="Y606" s="1002"/>
      <c r="Z606" s="1002"/>
      <c r="AA606" s="1002"/>
      <c r="AB606" s="1002"/>
      <c r="AC606" s="1002"/>
      <c r="AD606" s="1002"/>
      <c r="AE606" s="1002"/>
      <c r="AF606" s="1002"/>
      <c r="AG606" s="1002"/>
      <c r="AH606" s="1002"/>
      <c r="AI606" s="1002"/>
      <c r="AJ606" s="1002"/>
      <c r="AK606" s="1002"/>
      <c r="AL606" s="1002"/>
      <c r="AM606" s="1002"/>
      <c r="AN606" s="1002"/>
      <c r="AO606" s="1002"/>
      <c r="AP606" s="1002"/>
      <c r="AQ606" s="1002"/>
      <c r="AR606" s="1002"/>
      <c r="AS606" s="1002"/>
      <c r="AT606" s="1002"/>
      <c r="AU606" s="1002"/>
      <c r="AV606" s="1002"/>
      <c r="AW606" s="1002"/>
      <c r="AX606" s="1002"/>
      <c r="AY606" s="1002"/>
      <c r="AZ606" s="1002"/>
      <c r="BA606" s="1002"/>
      <c r="BB606" s="1002"/>
      <c r="BC606" s="1002"/>
      <c r="BD606" s="1002"/>
      <c r="BE606" s="204"/>
      <c r="BF606" s="205" t="s">
        <v>642</v>
      </c>
      <c r="BG606" s="204"/>
      <c r="BH606" s="204"/>
      <c r="BI606" s="204"/>
      <c r="BJ606" s="204"/>
      <c r="BK606" s="206"/>
    </row>
    <row r="607" spans="1:63" s="164" customFormat="1" ht="15.75" customHeight="1">
      <c r="A607" s="185"/>
      <c r="B607" s="183" t="s">
        <v>1061</v>
      </c>
      <c r="C607" s="184"/>
      <c r="D607" s="184"/>
      <c r="E607" s="184"/>
      <c r="F607" s="184"/>
      <c r="G607" s="184"/>
      <c r="H607" s="184"/>
      <c r="I607" s="184"/>
      <c r="J607" s="184"/>
      <c r="K607" s="184"/>
      <c r="L607" s="193"/>
      <c r="M607" s="1001" t="s">
        <v>1062</v>
      </c>
      <c r="N607" s="1002"/>
      <c r="O607" s="1002"/>
      <c r="P607" s="1002"/>
      <c r="Q607" s="1002"/>
      <c r="R607" s="1002"/>
      <c r="S607" s="1002"/>
      <c r="T607" s="1002"/>
      <c r="U607" s="1002"/>
      <c r="V607" s="1002"/>
      <c r="W607" s="1002"/>
      <c r="X607" s="1002"/>
      <c r="Y607" s="1002"/>
      <c r="Z607" s="1002"/>
      <c r="AA607" s="1002"/>
      <c r="AB607" s="1002"/>
      <c r="AC607" s="1002"/>
      <c r="AD607" s="1002"/>
      <c r="AE607" s="1002"/>
      <c r="AF607" s="1002"/>
      <c r="AG607" s="1002"/>
      <c r="AH607" s="1002"/>
      <c r="AI607" s="1002"/>
      <c r="AJ607" s="1002"/>
      <c r="AK607" s="1002"/>
      <c r="AL607" s="1002"/>
      <c r="AM607" s="1002"/>
      <c r="AN607" s="1002"/>
      <c r="AO607" s="1002"/>
      <c r="AP607" s="1002"/>
      <c r="AQ607" s="1002"/>
      <c r="AR607" s="1002"/>
      <c r="AS607" s="1002"/>
      <c r="AT607" s="1002"/>
      <c r="AU607" s="1002"/>
      <c r="AV607" s="1002"/>
      <c r="AW607" s="1002"/>
      <c r="AX607" s="1002"/>
      <c r="AY607" s="1002"/>
      <c r="AZ607" s="1002"/>
      <c r="BA607" s="1002"/>
      <c r="BB607" s="1002"/>
      <c r="BC607" s="1002"/>
      <c r="BD607" s="1002"/>
      <c r="BE607" s="204"/>
      <c r="BF607" s="205" t="s">
        <v>642</v>
      </c>
      <c r="BG607" s="204"/>
      <c r="BH607" s="204"/>
      <c r="BI607" s="204"/>
      <c r="BJ607" s="204"/>
      <c r="BK607" s="206"/>
    </row>
    <row r="608" spans="1:63" s="164" customFormat="1" ht="15.75" customHeight="1">
      <c r="A608" s="185"/>
      <c r="B608" s="183" t="s">
        <v>1063</v>
      </c>
      <c r="C608" s="184"/>
      <c r="D608" s="184"/>
      <c r="E608" s="184"/>
      <c r="F608" s="184"/>
      <c r="G608" s="184"/>
      <c r="H608" s="184"/>
      <c r="I608" s="184"/>
      <c r="J608" s="184"/>
      <c r="K608" s="184"/>
      <c r="L608" s="193"/>
      <c r="M608" s="1001" t="s">
        <v>1064</v>
      </c>
      <c r="N608" s="1002"/>
      <c r="O608" s="1002"/>
      <c r="P608" s="1002"/>
      <c r="Q608" s="1002"/>
      <c r="R608" s="1002"/>
      <c r="S608" s="1002"/>
      <c r="T608" s="1002"/>
      <c r="U608" s="1002"/>
      <c r="V608" s="1002"/>
      <c r="W608" s="1002"/>
      <c r="X608" s="1002"/>
      <c r="Y608" s="1002"/>
      <c r="Z608" s="1002"/>
      <c r="AA608" s="1002"/>
      <c r="AB608" s="1002"/>
      <c r="AC608" s="1002"/>
      <c r="AD608" s="1002"/>
      <c r="AE608" s="1002"/>
      <c r="AF608" s="1002"/>
      <c r="AG608" s="1002"/>
      <c r="AH608" s="1002"/>
      <c r="AI608" s="1002"/>
      <c r="AJ608" s="1002"/>
      <c r="AK608" s="1002"/>
      <c r="AL608" s="1002"/>
      <c r="AM608" s="1002"/>
      <c r="AN608" s="1002"/>
      <c r="AO608" s="1002"/>
      <c r="AP608" s="1002"/>
      <c r="AQ608" s="1002"/>
      <c r="AR608" s="1002"/>
      <c r="AS608" s="1002"/>
      <c r="AT608" s="1002"/>
      <c r="AU608" s="1002"/>
      <c r="AV608" s="1002"/>
      <c r="AW608" s="1002"/>
      <c r="AX608" s="1002"/>
      <c r="AY608" s="1002"/>
      <c r="AZ608" s="1002"/>
      <c r="BA608" s="1002"/>
      <c r="BB608" s="1002"/>
      <c r="BC608" s="1002"/>
      <c r="BD608" s="1002"/>
      <c r="BE608" s="204"/>
      <c r="BF608" s="205" t="s">
        <v>642</v>
      </c>
      <c r="BG608" s="204"/>
      <c r="BH608" s="204"/>
      <c r="BI608" s="204"/>
      <c r="BJ608" s="204"/>
      <c r="BK608" s="206"/>
    </row>
    <row r="609" spans="1:63" s="164" customFormat="1" ht="15.75" customHeight="1">
      <c r="A609" s="185"/>
      <c r="B609" s="183" t="s">
        <v>1065</v>
      </c>
      <c r="C609" s="184"/>
      <c r="D609" s="184"/>
      <c r="E609" s="184"/>
      <c r="F609" s="184"/>
      <c r="G609" s="184"/>
      <c r="H609" s="184"/>
      <c r="I609" s="184"/>
      <c r="J609" s="184"/>
      <c r="K609" s="184"/>
      <c r="L609" s="193"/>
      <c r="M609" s="1001" t="s">
        <v>1066</v>
      </c>
      <c r="N609" s="1002"/>
      <c r="O609" s="1002"/>
      <c r="P609" s="1002"/>
      <c r="Q609" s="1002"/>
      <c r="R609" s="1002"/>
      <c r="S609" s="1002"/>
      <c r="T609" s="1002"/>
      <c r="U609" s="1002"/>
      <c r="V609" s="1002"/>
      <c r="W609" s="1002"/>
      <c r="X609" s="1002"/>
      <c r="Y609" s="1002"/>
      <c r="Z609" s="1002"/>
      <c r="AA609" s="1002"/>
      <c r="AB609" s="1002"/>
      <c r="AC609" s="1002"/>
      <c r="AD609" s="1002"/>
      <c r="AE609" s="1002"/>
      <c r="AF609" s="1002"/>
      <c r="AG609" s="1002"/>
      <c r="AH609" s="1002"/>
      <c r="AI609" s="1002"/>
      <c r="AJ609" s="1002"/>
      <c r="AK609" s="1002"/>
      <c r="AL609" s="1002"/>
      <c r="AM609" s="1002"/>
      <c r="AN609" s="1002"/>
      <c r="AO609" s="1002"/>
      <c r="AP609" s="1002"/>
      <c r="AQ609" s="1002"/>
      <c r="AR609" s="1002"/>
      <c r="AS609" s="1002"/>
      <c r="AT609" s="1002"/>
      <c r="AU609" s="1002"/>
      <c r="AV609" s="1002"/>
      <c r="AW609" s="1002"/>
      <c r="AX609" s="1002"/>
      <c r="AY609" s="1002"/>
      <c r="AZ609" s="1002"/>
      <c r="BA609" s="1002"/>
      <c r="BB609" s="1002"/>
      <c r="BC609" s="1002"/>
      <c r="BD609" s="1002"/>
      <c r="BE609" s="204"/>
      <c r="BF609" s="205" t="s">
        <v>642</v>
      </c>
      <c r="BG609" s="204"/>
      <c r="BH609" s="204"/>
      <c r="BI609" s="204"/>
      <c r="BJ609" s="204"/>
      <c r="BK609" s="206"/>
    </row>
    <row r="610" spans="1:63" s="164" customFormat="1" ht="17.25" customHeight="1">
      <c r="A610" s="185"/>
      <c r="B610" s="183" t="s">
        <v>226</v>
      </c>
      <c r="C610" s="184"/>
      <c r="D610" s="184"/>
      <c r="E610" s="184"/>
      <c r="F610" s="184"/>
      <c r="G610" s="184"/>
      <c r="H610" s="184"/>
      <c r="I610" s="184"/>
      <c r="J610" s="184"/>
      <c r="K610" s="184"/>
      <c r="L610" s="193"/>
      <c r="M610" s="1004" t="s">
        <v>1067</v>
      </c>
      <c r="N610" s="1002"/>
      <c r="O610" s="1002"/>
      <c r="P610" s="1002"/>
      <c r="Q610" s="1002"/>
      <c r="R610" s="1002"/>
      <c r="S610" s="1002"/>
      <c r="T610" s="1002"/>
      <c r="U610" s="1002"/>
      <c r="V610" s="1002"/>
      <c r="W610" s="1002"/>
      <c r="X610" s="1002"/>
      <c r="Y610" s="1002"/>
      <c r="Z610" s="1002"/>
      <c r="AA610" s="1002"/>
      <c r="AB610" s="1002"/>
      <c r="AC610" s="1002"/>
      <c r="AD610" s="1002"/>
      <c r="AE610" s="1002"/>
      <c r="AF610" s="1002"/>
      <c r="AG610" s="1002"/>
      <c r="AH610" s="1002"/>
      <c r="AI610" s="1002"/>
      <c r="AJ610" s="1002"/>
      <c r="AK610" s="1002"/>
      <c r="AL610" s="1002"/>
      <c r="AM610" s="1002"/>
      <c r="AN610" s="1002"/>
      <c r="AO610" s="1002"/>
      <c r="AP610" s="1002"/>
      <c r="AQ610" s="1002"/>
      <c r="AR610" s="1002"/>
      <c r="AS610" s="1002"/>
      <c r="AT610" s="1002"/>
      <c r="AU610" s="1002"/>
      <c r="AV610" s="1002"/>
      <c r="AW610" s="1002"/>
      <c r="AX610" s="1002"/>
      <c r="AY610" s="1002"/>
      <c r="AZ610" s="1002"/>
      <c r="BA610" s="1002"/>
      <c r="BB610" s="1002"/>
      <c r="BC610" s="1002"/>
      <c r="BD610" s="1002"/>
      <c r="BE610" s="204"/>
      <c r="BF610" s="205" t="s">
        <v>642</v>
      </c>
      <c r="BG610" s="204"/>
      <c r="BH610" s="204"/>
      <c r="BI610" s="204"/>
      <c r="BJ610" s="204"/>
      <c r="BK610" s="206"/>
    </row>
    <row r="611" spans="1:63" s="164" customFormat="1" ht="15.75" customHeight="1">
      <c r="A611" s="185"/>
      <c r="B611" s="183" t="s">
        <v>229</v>
      </c>
      <c r="C611" s="184"/>
      <c r="D611" s="184"/>
      <c r="E611" s="184"/>
      <c r="F611" s="184"/>
      <c r="G611" s="184"/>
      <c r="H611" s="184"/>
      <c r="I611" s="184"/>
      <c r="J611" s="184"/>
      <c r="K611" s="184"/>
      <c r="L611" s="193"/>
      <c r="M611" s="1001" t="s">
        <v>1068</v>
      </c>
      <c r="N611" s="1002"/>
      <c r="O611" s="1002"/>
      <c r="P611" s="1002"/>
      <c r="Q611" s="1002"/>
      <c r="R611" s="1002"/>
      <c r="S611" s="1002"/>
      <c r="T611" s="1002"/>
      <c r="U611" s="1002"/>
      <c r="V611" s="1002"/>
      <c r="W611" s="1002"/>
      <c r="X611" s="1002"/>
      <c r="Y611" s="1002"/>
      <c r="Z611" s="1002"/>
      <c r="AA611" s="1002"/>
      <c r="AB611" s="1002"/>
      <c r="AC611" s="1002"/>
      <c r="AD611" s="1002"/>
      <c r="AE611" s="1002"/>
      <c r="AF611" s="1002"/>
      <c r="AG611" s="1002"/>
      <c r="AH611" s="1002"/>
      <c r="AI611" s="1002"/>
      <c r="AJ611" s="1002"/>
      <c r="AK611" s="1002"/>
      <c r="AL611" s="1002"/>
      <c r="AM611" s="1002"/>
      <c r="AN611" s="1002"/>
      <c r="AO611" s="1002"/>
      <c r="AP611" s="1002"/>
      <c r="AQ611" s="1002"/>
      <c r="AR611" s="1002"/>
      <c r="AS611" s="1002"/>
      <c r="AT611" s="1002"/>
      <c r="AU611" s="1002"/>
      <c r="AV611" s="1002"/>
      <c r="AW611" s="1002"/>
      <c r="AX611" s="1002"/>
      <c r="AY611" s="1002"/>
      <c r="AZ611" s="1002"/>
      <c r="BA611" s="1002"/>
      <c r="BB611" s="1002"/>
      <c r="BC611" s="1002"/>
      <c r="BD611" s="1002"/>
      <c r="BE611" s="204"/>
      <c r="BF611" s="205" t="s">
        <v>642</v>
      </c>
      <c r="BG611" s="204"/>
      <c r="BH611" s="204"/>
      <c r="BI611" s="204"/>
      <c r="BJ611" s="204"/>
      <c r="BK611" s="206"/>
    </row>
    <row r="612" spans="1:63" s="164" customFormat="1" ht="15.75" customHeight="1">
      <c r="A612" s="185"/>
      <c r="B612" s="183" t="s">
        <v>232</v>
      </c>
      <c r="C612" s="184"/>
      <c r="D612" s="184"/>
      <c r="E612" s="184"/>
      <c r="F612" s="184"/>
      <c r="G612" s="184"/>
      <c r="H612" s="184"/>
      <c r="I612" s="184"/>
      <c r="J612" s="184"/>
      <c r="K612" s="184"/>
      <c r="L612" s="193"/>
      <c r="M612" s="1001" t="s">
        <v>1069</v>
      </c>
      <c r="N612" s="1002"/>
      <c r="O612" s="1002"/>
      <c r="P612" s="1002"/>
      <c r="Q612" s="1002"/>
      <c r="R612" s="1002"/>
      <c r="S612" s="1002"/>
      <c r="T612" s="1002"/>
      <c r="U612" s="1002"/>
      <c r="V612" s="1002"/>
      <c r="W612" s="1002"/>
      <c r="X612" s="1002"/>
      <c r="Y612" s="1002"/>
      <c r="Z612" s="1002"/>
      <c r="AA612" s="1002"/>
      <c r="AB612" s="1002"/>
      <c r="AC612" s="1002"/>
      <c r="AD612" s="1002"/>
      <c r="AE612" s="1002"/>
      <c r="AF612" s="1002"/>
      <c r="AG612" s="1002"/>
      <c r="AH612" s="1002"/>
      <c r="AI612" s="1002"/>
      <c r="AJ612" s="1002"/>
      <c r="AK612" s="1002"/>
      <c r="AL612" s="1002"/>
      <c r="AM612" s="1002"/>
      <c r="AN612" s="1002"/>
      <c r="AO612" s="1002"/>
      <c r="AP612" s="1002"/>
      <c r="AQ612" s="1002"/>
      <c r="AR612" s="1002"/>
      <c r="AS612" s="1002"/>
      <c r="AT612" s="1002"/>
      <c r="AU612" s="1002"/>
      <c r="AV612" s="1002"/>
      <c r="AW612" s="1002"/>
      <c r="AX612" s="1002"/>
      <c r="AY612" s="1002"/>
      <c r="AZ612" s="1002"/>
      <c r="BA612" s="1002"/>
      <c r="BB612" s="1002"/>
      <c r="BC612" s="1002"/>
      <c r="BD612" s="1002"/>
      <c r="BE612" s="204"/>
      <c r="BF612" s="205" t="s">
        <v>642</v>
      </c>
      <c r="BG612" s="204"/>
      <c r="BH612" s="204"/>
      <c r="BI612" s="204"/>
      <c r="BJ612" s="204"/>
      <c r="BK612" s="206"/>
    </row>
    <row r="613" spans="1:63" s="164" customFormat="1" ht="15.75" customHeight="1">
      <c r="A613" s="185"/>
      <c r="B613" s="183" t="s">
        <v>1070</v>
      </c>
      <c r="C613" s="184"/>
      <c r="D613" s="184"/>
      <c r="E613" s="184"/>
      <c r="F613" s="184"/>
      <c r="G613" s="184"/>
      <c r="H613" s="184"/>
      <c r="I613" s="184"/>
      <c r="J613" s="184"/>
      <c r="K613" s="184"/>
      <c r="L613" s="193"/>
      <c r="M613" s="1003"/>
      <c r="N613" s="1002"/>
      <c r="O613" s="1002"/>
      <c r="P613" s="1002"/>
      <c r="Q613" s="1002"/>
      <c r="R613" s="1002"/>
      <c r="S613" s="1002"/>
      <c r="T613" s="1002"/>
      <c r="U613" s="1002"/>
      <c r="V613" s="1002"/>
      <c r="W613" s="1002"/>
      <c r="X613" s="1002"/>
      <c r="Y613" s="1002"/>
      <c r="Z613" s="1002"/>
      <c r="AA613" s="1002"/>
      <c r="AB613" s="1002"/>
      <c r="AC613" s="1002"/>
      <c r="AD613" s="1002"/>
      <c r="AE613" s="1002"/>
      <c r="AF613" s="1002"/>
      <c r="AG613" s="1002"/>
      <c r="AH613" s="1002"/>
      <c r="AI613" s="1002"/>
      <c r="AJ613" s="1002"/>
      <c r="AK613" s="1002"/>
      <c r="AL613" s="1002"/>
      <c r="AM613" s="1002"/>
      <c r="AN613" s="1002"/>
      <c r="AO613" s="1002"/>
      <c r="AP613" s="1002"/>
      <c r="AQ613" s="1002"/>
      <c r="AR613" s="1002"/>
      <c r="AS613" s="1002"/>
      <c r="AT613" s="1002"/>
      <c r="AU613" s="1002"/>
      <c r="AV613" s="1002"/>
      <c r="AW613" s="1002"/>
      <c r="AX613" s="1002"/>
      <c r="AY613" s="1002"/>
      <c r="AZ613" s="1002"/>
      <c r="BA613" s="1002"/>
      <c r="BB613" s="1002"/>
      <c r="BC613" s="1002"/>
      <c r="BD613" s="1002"/>
      <c r="BE613" s="204"/>
      <c r="BF613" s="205" t="s">
        <v>642</v>
      </c>
      <c r="BG613" s="204"/>
      <c r="BH613" s="204"/>
      <c r="BI613" s="204"/>
      <c r="BJ613" s="204"/>
      <c r="BK613" s="206"/>
    </row>
    <row r="614" spans="1:63" s="164" customFormat="1" ht="15.75" customHeight="1">
      <c r="A614" s="185"/>
      <c r="B614" s="183" t="s">
        <v>1071</v>
      </c>
      <c r="C614" s="184"/>
      <c r="D614" s="184"/>
      <c r="E614" s="184"/>
      <c r="F614" s="184"/>
      <c r="G614" s="184"/>
      <c r="H614" s="184"/>
      <c r="I614" s="184"/>
      <c r="J614" s="184"/>
      <c r="K614" s="184"/>
      <c r="L614" s="193"/>
      <c r="M614" s="1003"/>
      <c r="N614" s="1002"/>
      <c r="O614" s="1002"/>
      <c r="P614" s="1002"/>
      <c r="Q614" s="1002"/>
      <c r="R614" s="1002"/>
      <c r="S614" s="1002"/>
      <c r="T614" s="1002"/>
      <c r="U614" s="1002"/>
      <c r="V614" s="1002"/>
      <c r="W614" s="1002"/>
      <c r="X614" s="1002"/>
      <c r="Y614" s="1002"/>
      <c r="Z614" s="1002"/>
      <c r="AA614" s="1002"/>
      <c r="AB614" s="1002"/>
      <c r="AC614" s="1002"/>
      <c r="AD614" s="1002"/>
      <c r="AE614" s="1002"/>
      <c r="AF614" s="1002"/>
      <c r="AG614" s="1002"/>
      <c r="AH614" s="1002"/>
      <c r="AI614" s="1002"/>
      <c r="AJ614" s="1002"/>
      <c r="AK614" s="1002"/>
      <c r="AL614" s="1002"/>
      <c r="AM614" s="1002"/>
      <c r="AN614" s="1002"/>
      <c r="AO614" s="1002"/>
      <c r="AP614" s="1002"/>
      <c r="AQ614" s="1002"/>
      <c r="AR614" s="1002"/>
      <c r="AS614" s="1002"/>
      <c r="AT614" s="1002"/>
      <c r="AU614" s="1002"/>
      <c r="AV614" s="1002"/>
      <c r="AW614" s="1002"/>
      <c r="AX614" s="1002"/>
      <c r="AY614" s="1002"/>
      <c r="AZ614" s="1002"/>
      <c r="BA614" s="1002"/>
      <c r="BB614" s="1002"/>
      <c r="BC614" s="1002"/>
      <c r="BD614" s="1002"/>
      <c r="BE614" s="204"/>
      <c r="BF614" s="205" t="s">
        <v>642</v>
      </c>
      <c r="BG614" s="204"/>
      <c r="BH614" s="204"/>
      <c r="BI614" s="204"/>
      <c r="BJ614" s="204"/>
      <c r="BK614" s="206"/>
    </row>
    <row r="615" spans="1:63" s="164" customFormat="1" ht="15.75" customHeight="1">
      <c r="A615" s="185"/>
      <c r="B615" s="183" t="s">
        <v>1072</v>
      </c>
      <c r="C615" s="184"/>
      <c r="D615" s="184"/>
      <c r="E615" s="184"/>
      <c r="F615" s="184"/>
      <c r="G615" s="184"/>
      <c r="H615" s="184"/>
      <c r="I615" s="184"/>
      <c r="J615" s="184"/>
      <c r="K615" s="184"/>
      <c r="L615" s="193"/>
      <c r="M615" s="1003"/>
      <c r="N615" s="1002"/>
      <c r="O615" s="1002"/>
      <c r="P615" s="1002"/>
      <c r="Q615" s="1002"/>
      <c r="R615" s="1002"/>
      <c r="S615" s="1002"/>
      <c r="T615" s="1002"/>
      <c r="U615" s="1002"/>
      <c r="V615" s="1002"/>
      <c r="W615" s="1002"/>
      <c r="X615" s="1002"/>
      <c r="Y615" s="1002"/>
      <c r="Z615" s="1002"/>
      <c r="AA615" s="1002"/>
      <c r="AB615" s="1002"/>
      <c r="AC615" s="1002"/>
      <c r="AD615" s="1002"/>
      <c r="AE615" s="1002"/>
      <c r="AF615" s="1002"/>
      <c r="AG615" s="1002"/>
      <c r="AH615" s="1002"/>
      <c r="AI615" s="1002"/>
      <c r="AJ615" s="1002"/>
      <c r="AK615" s="1002"/>
      <c r="AL615" s="1002"/>
      <c r="AM615" s="1002"/>
      <c r="AN615" s="1002"/>
      <c r="AO615" s="1002"/>
      <c r="AP615" s="1002"/>
      <c r="AQ615" s="1002"/>
      <c r="AR615" s="1002"/>
      <c r="AS615" s="1002"/>
      <c r="AT615" s="1002"/>
      <c r="AU615" s="1002"/>
      <c r="AV615" s="1002"/>
      <c r="AW615" s="1002"/>
      <c r="AX615" s="1002"/>
      <c r="AY615" s="1002"/>
      <c r="AZ615" s="1002"/>
      <c r="BA615" s="1002"/>
      <c r="BB615" s="1002"/>
      <c r="BC615" s="1002"/>
      <c r="BD615" s="1002"/>
      <c r="BE615" s="204"/>
      <c r="BF615" s="205" t="s">
        <v>642</v>
      </c>
      <c r="BG615" s="204"/>
      <c r="BH615" s="204"/>
      <c r="BI615" s="204"/>
      <c r="BJ615" s="204"/>
      <c r="BK615" s="206"/>
    </row>
    <row r="616" spans="1:63" s="164" customFormat="1" ht="15.75" customHeight="1">
      <c r="A616" s="185"/>
      <c r="B616" s="183" t="s">
        <v>1073</v>
      </c>
      <c r="C616" s="184"/>
      <c r="D616" s="184"/>
      <c r="E616" s="184"/>
      <c r="F616" s="184"/>
      <c r="G616" s="184"/>
      <c r="H616" s="184"/>
      <c r="I616" s="184"/>
      <c r="J616" s="184"/>
      <c r="K616" s="184"/>
      <c r="L616" s="193"/>
      <c r="M616" s="1003" t="s">
        <v>1074</v>
      </c>
      <c r="N616" s="1002"/>
      <c r="O616" s="1002"/>
      <c r="P616" s="1002"/>
      <c r="Q616" s="1002"/>
      <c r="R616" s="1002"/>
      <c r="S616" s="1002"/>
      <c r="T616" s="1002"/>
      <c r="U616" s="1002"/>
      <c r="V616" s="1002"/>
      <c r="W616" s="1002"/>
      <c r="X616" s="1002"/>
      <c r="Y616" s="1002"/>
      <c r="Z616" s="1002"/>
      <c r="AA616" s="1002"/>
      <c r="AB616" s="1002"/>
      <c r="AC616" s="1002"/>
      <c r="AD616" s="1002"/>
      <c r="AE616" s="1002"/>
      <c r="AF616" s="1002"/>
      <c r="AG616" s="1002"/>
      <c r="AH616" s="1002"/>
      <c r="AI616" s="1002"/>
      <c r="AJ616" s="1002"/>
      <c r="AK616" s="1002"/>
      <c r="AL616" s="1002"/>
      <c r="AM616" s="1002"/>
      <c r="AN616" s="1002"/>
      <c r="AO616" s="1002"/>
      <c r="AP616" s="1002"/>
      <c r="AQ616" s="1002"/>
      <c r="AR616" s="1002"/>
      <c r="AS616" s="1002"/>
      <c r="AT616" s="1002"/>
      <c r="AU616" s="1002"/>
      <c r="AV616" s="1002"/>
      <c r="AW616" s="1002"/>
      <c r="AX616" s="1002"/>
      <c r="AY616" s="1002"/>
      <c r="AZ616" s="1002"/>
      <c r="BA616" s="1002"/>
      <c r="BB616" s="1002"/>
      <c r="BC616" s="1002"/>
      <c r="BD616" s="1002"/>
      <c r="BE616" s="204"/>
      <c r="BF616" s="205" t="s">
        <v>642</v>
      </c>
      <c r="BG616" s="204"/>
      <c r="BH616" s="204"/>
      <c r="BI616" s="204"/>
      <c r="BJ616" s="204"/>
      <c r="BK616" s="206"/>
    </row>
    <row r="617" spans="1:63" s="164" customFormat="1" ht="15.75" customHeight="1">
      <c r="A617" s="185"/>
      <c r="B617" s="183" t="s">
        <v>1075</v>
      </c>
      <c r="C617" s="184"/>
      <c r="D617" s="184"/>
      <c r="E617" s="184"/>
      <c r="F617" s="184"/>
      <c r="G617" s="184"/>
      <c r="H617" s="184"/>
      <c r="I617" s="184"/>
      <c r="J617" s="184"/>
      <c r="K617" s="184"/>
      <c r="L617" s="193"/>
      <c r="M617" s="1003" t="s">
        <v>1076</v>
      </c>
      <c r="N617" s="1002"/>
      <c r="O617" s="1002"/>
      <c r="P617" s="1002"/>
      <c r="Q617" s="1002"/>
      <c r="R617" s="1002"/>
      <c r="S617" s="1002"/>
      <c r="T617" s="1002"/>
      <c r="U617" s="1002"/>
      <c r="V617" s="1002"/>
      <c r="W617" s="1002"/>
      <c r="X617" s="1002"/>
      <c r="Y617" s="1002"/>
      <c r="Z617" s="1002"/>
      <c r="AA617" s="1002"/>
      <c r="AB617" s="1002"/>
      <c r="AC617" s="1002"/>
      <c r="AD617" s="1002"/>
      <c r="AE617" s="1002"/>
      <c r="AF617" s="1002"/>
      <c r="AG617" s="1002"/>
      <c r="AH617" s="1002"/>
      <c r="AI617" s="1002"/>
      <c r="AJ617" s="1002"/>
      <c r="AK617" s="1002"/>
      <c r="AL617" s="1002"/>
      <c r="AM617" s="1002"/>
      <c r="AN617" s="1002"/>
      <c r="AO617" s="1002"/>
      <c r="AP617" s="1002"/>
      <c r="AQ617" s="1002"/>
      <c r="AR617" s="1002"/>
      <c r="AS617" s="1002"/>
      <c r="AT617" s="1002"/>
      <c r="AU617" s="1002"/>
      <c r="AV617" s="1002"/>
      <c r="AW617" s="1002"/>
      <c r="AX617" s="1002"/>
      <c r="AY617" s="1002"/>
      <c r="AZ617" s="1002"/>
      <c r="BA617" s="1002"/>
      <c r="BB617" s="1002"/>
      <c r="BC617" s="1002"/>
      <c r="BD617" s="1002"/>
      <c r="BE617" s="204"/>
      <c r="BF617" s="205" t="s">
        <v>642</v>
      </c>
      <c r="BG617" s="204"/>
      <c r="BH617" s="204"/>
      <c r="BI617" s="204"/>
      <c r="BJ617" s="204"/>
      <c r="BK617" s="206"/>
    </row>
    <row r="618" spans="1:63" s="164" customFormat="1" ht="15.75" customHeight="1">
      <c r="A618" s="185"/>
      <c r="B618" s="183" t="s">
        <v>25</v>
      </c>
      <c r="C618" s="184"/>
      <c r="D618" s="184"/>
      <c r="E618" s="184"/>
      <c r="F618" s="184"/>
      <c r="G618" s="184"/>
      <c r="H618" s="184"/>
      <c r="I618" s="184"/>
      <c r="J618" s="184"/>
      <c r="K618" s="184"/>
      <c r="L618" s="193"/>
      <c r="M618" s="1001" t="s">
        <v>1090</v>
      </c>
      <c r="N618" s="1002"/>
      <c r="O618" s="1002"/>
      <c r="P618" s="1002"/>
      <c r="Q618" s="1002"/>
      <c r="R618" s="1002"/>
      <c r="S618" s="1002"/>
      <c r="T618" s="1002"/>
      <c r="U618" s="1002"/>
      <c r="V618" s="1002"/>
      <c r="W618" s="1002"/>
      <c r="X618" s="1002"/>
      <c r="Y618" s="1002"/>
      <c r="Z618" s="1002"/>
      <c r="AA618" s="1002"/>
      <c r="AB618" s="1002"/>
      <c r="AC618" s="1002"/>
      <c r="AD618" s="1002"/>
      <c r="AE618" s="1002"/>
      <c r="AF618" s="1002"/>
      <c r="AG618" s="1002"/>
      <c r="AH618" s="1002"/>
      <c r="AI618" s="1002"/>
      <c r="AJ618" s="1002"/>
      <c r="AK618" s="1002"/>
      <c r="AL618" s="1002"/>
      <c r="AM618" s="1002"/>
      <c r="AN618" s="1002"/>
      <c r="AO618" s="1002"/>
      <c r="AP618" s="1002"/>
      <c r="AQ618" s="1002"/>
      <c r="AR618" s="1002"/>
      <c r="AS618" s="1002"/>
      <c r="AT618" s="1002"/>
      <c r="AU618" s="1002"/>
      <c r="AV618" s="1002"/>
      <c r="AW618" s="1002"/>
      <c r="AX618" s="1002"/>
      <c r="AY618" s="1002"/>
      <c r="AZ618" s="1002"/>
      <c r="BA618" s="1002"/>
      <c r="BB618" s="1002"/>
      <c r="BC618" s="1002"/>
      <c r="BD618" s="1002"/>
      <c r="BE618" s="204"/>
      <c r="BF618" s="205" t="s">
        <v>642</v>
      </c>
      <c r="BG618" s="204"/>
      <c r="BH618" s="204"/>
      <c r="BI618" s="204"/>
      <c r="BJ618" s="204"/>
      <c r="BK618" s="206"/>
    </row>
    <row r="619" spans="1:63" s="164" customFormat="1" ht="15.75" customHeight="1">
      <c r="A619" s="185"/>
      <c r="B619" s="183" t="s">
        <v>281</v>
      </c>
      <c r="C619" s="184"/>
      <c r="D619" s="184"/>
      <c r="E619" s="184"/>
      <c r="F619" s="184"/>
      <c r="G619" s="184"/>
      <c r="H619" s="184"/>
      <c r="I619" s="184"/>
      <c r="J619" s="184"/>
      <c r="K619" s="184"/>
      <c r="L619" s="193"/>
      <c r="M619" s="1003"/>
      <c r="N619" s="1002"/>
      <c r="O619" s="1002"/>
      <c r="P619" s="1002"/>
      <c r="Q619" s="1002"/>
      <c r="R619" s="1002"/>
      <c r="S619" s="1002"/>
      <c r="T619" s="1002"/>
      <c r="U619" s="1002"/>
      <c r="V619" s="1002"/>
      <c r="W619" s="1002"/>
      <c r="X619" s="1002"/>
      <c r="Y619" s="1002"/>
      <c r="Z619" s="1002"/>
      <c r="AA619" s="1002"/>
      <c r="AB619" s="1002"/>
      <c r="AC619" s="1002"/>
      <c r="AD619" s="1002"/>
      <c r="AE619" s="1002"/>
      <c r="AF619" s="1002"/>
      <c r="AG619" s="1002"/>
      <c r="AH619" s="1002"/>
      <c r="AI619" s="1002"/>
      <c r="AJ619" s="1002"/>
      <c r="AK619" s="1002"/>
      <c r="AL619" s="1002"/>
      <c r="AM619" s="1002"/>
      <c r="AN619" s="1002"/>
      <c r="AO619" s="1002"/>
      <c r="AP619" s="1002"/>
      <c r="AQ619" s="1002"/>
      <c r="AR619" s="1002"/>
      <c r="AS619" s="1002"/>
      <c r="AT619" s="1002"/>
      <c r="AU619" s="1002"/>
      <c r="AV619" s="1002"/>
      <c r="AW619" s="1002"/>
      <c r="AX619" s="1002"/>
      <c r="AY619" s="1002"/>
      <c r="AZ619" s="1002"/>
      <c r="BA619" s="1002"/>
      <c r="BB619" s="1002"/>
      <c r="BC619" s="1002"/>
      <c r="BD619" s="1002"/>
      <c r="BE619" s="204"/>
      <c r="BF619" s="205" t="s">
        <v>642</v>
      </c>
      <c r="BG619" s="204"/>
      <c r="BH619" s="204"/>
      <c r="BI619" s="204"/>
      <c r="BJ619" s="204"/>
      <c r="BK619" s="206"/>
    </row>
    <row r="620" spans="1:63" s="164" customFormat="1" ht="15.75" customHeight="1">
      <c r="A620" s="182" t="s">
        <v>411</v>
      </c>
      <c r="B620" s="183" t="s">
        <v>134</v>
      </c>
      <c r="C620" s="184"/>
      <c r="D620" s="184"/>
      <c r="E620" s="184"/>
      <c r="F620" s="184"/>
      <c r="G620" s="184"/>
      <c r="H620" s="184"/>
      <c r="I620" s="184"/>
      <c r="J620" s="184"/>
      <c r="K620" s="184"/>
      <c r="L620" s="193"/>
      <c r="M620" s="1001" t="s">
        <v>1086</v>
      </c>
      <c r="N620" s="1002"/>
      <c r="O620" s="1002"/>
      <c r="P620" s="1002"/>
      <c r="Q620" s="1002"/>
      <c r="R620" s="1002"/>
      <c r="S620" s="1002"/>
      <c r="T620" s="1002"/>
      <c r="U620" s="1002"/>
      <c r="V620" s="1002"/>
      <c r="W620" s="1002"/>
      <c r="X620" s="1002"/>
      <c r="Y620" s="1002"/>
      <c r="Z620" s="1002"/>
      <c r="AA620" s="1002"/>
      <c r="AB620" s="1002"/>
      <c r="AC620" s="1002"/>
      <c r="AD620" s="1002"/>
      <c r="AE620" s="1002"/>
      <c r="AF620" s="1002"/>
      <c r="AG620" s="1002"/>
      <c r="AH620" s="1002"/>
      <c r="AI620" s="1002"/>
      <c r="AJ620" s="1002"/>
      <c r="AK620" s="1002"/>
      <c r="AL620" s="1002"/>
      <c r="AM620" s="1002"/>
      <c r="AN620" s="1002"/>
      <c r="AO620" s="1002"/>
      <c r="AP620" s="1002"/>
      <c r="AQ620" s="1002"/>
      <c r="AR620" s="1002"/>
      <c r="AS620" s="1002"/>
      <c r="AT620" s="1002"/>
      <c r="AU620" s="1002"/>
      <c r="AV620" s="1002"/>
      <c r="AW620" s="1002"/>
      <c r="AX620" s="1002"/>
      <c r="AY620" s="1002"/>
      <c r="AZ620" s="1002"/>
      <c r="BA620" s="1002"/>
      <c r="BB620" s="1002"/>
      <c r="BC620" s="1002"/>
      <c r="BD620" s="1002"/>
      <c r="BE620" s="204"/>
      <c r="BF620" s="205" t="s">
        <v>419</v>
      </c>
      <c r="BG620" s="204"/>
      <c r="BH620" s="204"/>
      <c r="BI620" s="204"/>
      <c r="BJ620" s="204"/>
      <c r="BK620" s="206"/>
    </row>
    <row r="621" spans="1:63" s="164" customFormat="1" ht="15.75" customHeight="1">
      <c r="A621" s="182" t="s">
        <v>411</v>
      </c>
      <c r="B621" s="183" t="s">
        <v>132</v>
      </c>
      <c r="C621" s="184"/>
      <c r="D621" s="184"/>
      <c r="E621" s="184"/>
      <c r="F621" s="184"/>
      <c r="G621" s="184"/>
      <c r="H621" s="184"/>
      <c r="I621" s="184"/>
      <c r="J621" s="184"/>
      <c r="K621" s="184"/>
      <c r="L621" s="193"/>
      <c r="M621" s="1001" t="s">
        <v>1087</v>
      </c>
      <c r="N621" s="1002"/>
      <c r="O621" s="1002"/>
      <c r="P621" s="1002"/>
      <c r="Q621" s="1002"/>
      <c r="R621" s="1002"/>
      <c r="S621" s="1002"/>
      <c r="T621" s="1002"/>
      <c r="U621" s="1002"/>
      <c r="V621" s="1002"/>
      <c r="W621" s="1002"/>
      <c r="X621" s="1002"/>
      <c r="Y621" s="1002"/>
      <c r="Z621" s="1002"/>
      <c r="AA621" s="1002"/>
      <c r="AB621" s="1002"/>
      <c r="AC621" s="1002"/>
      <c r="AD621" s="1002"/>
      <c r="AE621" s="1002"/>
      <c r="AF621" s="1002"/>
      <c r="AG621" s="1002"/>
      <c r="AH621" s="1002"/>
      <c r="AI621" s="1002"/>
      <c r="AJ621" s="1002"/>
      <c r="AK621" s="1002"/>
      <c r="AL621" s="1002"/>
      <c r="AM621" s="1002"/>
      <c r="AN621" s="1002"/>
      <c r="AO621" s="1002"/>
      <c r="AP621" s="1002"/>
      <c r="AQ621" s="1002"/>
      <c r="AR621" s="1002"/>
      <c r="AS621" s="1002"/>
      <c r="AT621" s="1002"/>
      <c r="AU621" s="1002"/>
      <c r="AV621" s="1002"/>
      <c r="AW621" s="1002"/>
      <c r="AX621" s="1002"/>
      <c r="AY621" s="1002"/>
      <c r="AZ621" s="1002"/>
      <c r="BA621" s="1002"/>
      <c r="BB621" s="1002"/>
      <c r="BC621" s="1002"/>
      <c r="BD621" s="1002"/>
      <c r="BE621" s="204"/>
      <c r="BF621" s="205" t="s">
        <v>419</v>
      </c>
      <c r="BG621" s="204"/>
      <c r="BH621" s="204"/>
      <c r="BI621" s="204"/>
      <c r="BJ621" s="204"/>
      <c r="BK621" s="206"/>
    </row>
    <row r="622" spans="1:63" s="164" customFormat="1" ht="15.75" customHeight="1">
      <c r="A622" s="243"/>
      <c r="B622" s="244"/>
      <c r="C622" s="245"/>
      <c r="D622" s="245"/>
      <c r="E622" s="245"/>
      <c r="F622" s="245"/>
      <c r="G622" s="245"/>
      <c r="H622" s="245"/>
      <c r="I622" s="245"/>
      <c r="J622" s="245"/>
      <c r="K622" s="245"/>
      <c r="L622" s="246"/>
      <c r="M622" s="245"/>
      <c r="N622" s="245"/>
      <c r="O622" s="245"/>
      <c r="P622" s="245"/>
      <c r="Q622" s="245"/>
      <c r="R622" s="245"/>
      <c r="S622" s="245"/>
      <c r="T622" s="245"/>
      <c r="U622" s="245"/>
      <c r="V622" s="245"/>
      <c r="W622" s="245"/>
      <c r="X622" s="245"/>
      <c r="Y622" s="245"/>
      <c r="Z622" s="245"/>
      <c r="AA622" s="245"/>
      <c r="AB622" s="245"/>
      <c r="AC622" s="245"/>
      <c r="AD622" s="245"/>
      <c r="AE622" s="245"/>
      <c r="AF622" s="245"/>
      <c r="AG622" s="245"/>
      <c r="AH622" s="245"/>
      <c r="AI622" s="245"/>
      <c r="AJ622" s="245"/>
      <c r="AK622" s="245"/>
      <c r="AL622" s="245"/>
      <c r="AM622" s="245"/>
      <c r="AN622" s="245"/>
      <c r="AO622" s="245"/>
      <c r="AP622" s="245"/>
      <c r="AQ622" s="245"/>
      <c r="AR622" s="245"/>
      <c r="AS622" s="245"/>
      <c r="AT622" s="245"/>
      <c r="AU622" s="245"/>
      <c r="AV622" s="245"/>
      <c r="AW622" s="245"/>
      <c r="AX622" s="245"/>
      <c r="AY622" s="245"/>
      <c r="AZ622" s="245"/>
      <c r="BA622" s="245"/>
      <c r="BB622" s="245"/>
      <c r="BC622" s="245"/>
      <c r="BD622" s="245"/>
      <c r="BE622" s="248"/>
      <c r="BF622" s="248"/>
      <c r="BG622" s="248"/>
      <c r="BH622" s="248"/>
      <c r="BI622" s="248"/>
      <c r="BJ622" s="248"/>
      <c r="BK622" s="249"/>
    </row>
    <row r="623" spans="1:63" s="164" customFormat="1" ht="15.75" customHeight="1">
      <c r="A623" s="213"/>
      <c r="B623" s="214" t="s">
        <v>1089</v>
      </c>
      <c r="C623" s="215"/>
      <c r="D623" s="215"/>
      <c r="E623" s="215"/>
      <c r="F623" s="215"/>
      <c r="G623" s="215"/>
      <c r="H623" s="215"/>
      <c r="I623" s="215"/>
      <c r="J623" s="215"/>
      <c r="K623" s="215"/>
      <c r="L623" s="220"/>
      <c r="M623" s="215"/>
      <c r="N623" s="221" t="s">
        <v>403</v>
      </c>
      <c r="O623" s="215"/>
      <c r="P623" s="215"/>
      <c r="Q623" s="215"/>
      <c r="R623" s="215"/>
      <c r="S623" s="215"/>
      <c r="T623" s="215"/>
      <c r="U623" s="215"/>
      <c r="V623" s="215"/>
      <c r="W623" s="215"/>
      <c r="X623" s="215"/>
      <c r="Y623" s="215"/>
      <c r="Z623" s="215"/>
      <c r="AA623" s="215"/>
      <c r="AB623" s="215"/>
      <c r="AC623" s="215"/>
      <c r="AD623" s="215"/>
      <c r="AE623" s="215"/>
      <c r="AF623" s="215"/>
      <c r="AG623" s="215"/>
      <c r="AH623" s="215"/>
      <c r="AI623" s="215"/>
      <c r="AJ623" s="215"/>
      <c r="AK623" s="215"/>
      <c r="AL623" s="215"/>
      <c r="AM623" s="215"/>
      <c r="AN623" s="215"/>
      <c r="AO623" s="215"/>
      <c r="AP623" s="215"/>
      <c r="AQ623" s="215"/>
      <c r="AR623" s="215"/>
      <c r="AS623" s="215"/>
      <c r="AT623" s="215"/>
      <c r="AU623" s="215"/>
      <c r="AV623" s="215"/>
      <c r="AW623" s="215"/>
      <c r="AX623" s="215"/>
      <c r="AY623" s="215"/>
      <c r="AZ623" s="215"/>
      <c r="BA623" s="215"/>
      <c r="BB623" s="215"/>
      <c r="BC623" s="215"/>
      <c r="BD623" s="215"/>
      <c r="BE623" s="225" t="s">
        <v>404</v>
      </c>
      <c r="BF623" s="225" t="s">
        <v>405</v>
      </c>
      <c r="BG623" s="225" t="s">
        <v>406</v>
      </c>
      <c r="BH623" s="225" t="s">
        <v>407</v>
      </c>
      <c r="BI623" s="225" t="s">
        <v>408</v>
      </c>
      <c r="BJ623" s="225" t="s">
        <v>409</v>
      </c>
      <c r="BK623" s="226" t="s">
        <v>410</v>
      </c>
    </row>
    <row r="624" spans="1:63" s="164" customFormat="1" ht="15.75" customHeight="1">
      <c r="A624" s="180"/>
      <c r="B624" s="178" t="s">
        <v>167</v>
      </c>
      <c r="C624" s="179"/>
      <c r="D624" s="179"/>
      <c r="E624" s="179"/>
      <c r="F624" s="179"/>
      <c r="G624" s="179"/>
      <c r="H624" s="179"/>
      <c r="I624" s="179"/>
      <c r="J624" s="179"/>
      <c r="K624" s="179"/>
      <c r="L624" s="192"/>
      <c r="M624" s="999"/>
      <c r="N624" s="1000"/>
      <c r="O624" s="1000"/>
      <c r="P624" s="1000"/>
      <c r="Q624" s="1000"/>
      <c r="R624" s="1000"/>
      <c r="S624" s="1000"/>
      <c r="T624" s="1000"/>
      <c r="U624" s="1000"/>
      <c r="V624" s="1000"/>
      <c r="W624" s="1000"/>
      <c r="X624" s="1000"/>
      <c r="Y624" s="1000"/>
      <c r="Z624" s="1000"/>
      <c r="AA624" s="1000"/>
      <c r="AB624" s="1000"/>
      <c r="AC624" s="1000"/>
      <c r="AD624" s="1000"/>
      <c r="AE624" s="1000"/>
      <c r="AF624" s="1000"/>
      <c r="AG624" s="1000"/>
      <c r="AH624" s="1000"/>
      <c r="AI624" s="1000"/>
      <c r="AJ624" s="1000"/>
      <c r="AK624" s="1000"/>
      <c r="AL624" s="1000"/>
      <c r="AM624" s="1000"/>
      <c r="AN624" s="1000"/>
      <c r="AO624" s="1000"/>
      <c r="AP624" s="1000"/>
      <c r="AQ624" s="1000"/>
      <c r="AR624" s="1000"/>
      <c r="AS624" s="1000"/>
      <c r="AT624" s="1000"/>
      <c r="AU624" s="1000"/>
      <c r="AV624" s="1000"/>
      <c r="AW624" s="1000"/>
      <c r="AX624" s="1000"/>
      <c r="AY624" s="1000"/>
      <c r="AZ624" s="1000"/>
      <c r="BA624" s="1000"/>
      <c r="BB624" s="1000"/>
      <c r="BC624" s="1000"/>
      <c r="BD624" s="1000"/>
      <c r="BE624" s="201"/>
      <c r="BF624" s="202" t="s">
        <v>642</v>
      </c>
      <c r="BG624" s="201"/>
      <c r="BH624" s="201"/>
      <c r="BI624" s="201"/>
      <c r="BJ624" s="201"/>
      <c r="BK624" s="203"/>
    </row>
    <row r="625" spans="1:63" s="164" customFormat="1" ht="15.75" customHeight="1">
      <c r="A625" s="243"/>
      <c r="B625" s="244"/>
      <c r="C625" s="245"/>
      <c r="D625" s="245"/>
      <c r="E625" s="245"/>
      <c r="F625" s="245"/>
      <c r="G625" s="245"/>
      <c r="H625" s="245"/>
      <c r="I625" s="245"/>
      <c r="J625" s="245"/>
      <c r="K625" s="245"/>
      <c r="L625" s="246"/>
      <c r="M625" s="247"/>
      <c r="N625" s="245"/>
      <c r="O625" s="245"/>
      <c r="P625" s="245"/>
      <c r="Q625" s="245"/>
      <c r="R625" s="245"/>
      <c r="S625" s="245"/>
      <c r="T625" s="245"/>
      <c r="U625" s="245"/>
      <c r="V625" s="245"/>
      <c r="W625" s="245"/>
      <c r="X625" s="245"/>
      <c r="Y625" s="245"/>
      <c r="Z625" s="245"/>
      <c r="AA625" s="245"/>
      <c r="AB625" s="245"/>
      <c r="AC625" s="245"/>
      <c r="AD625" s="245"/>
      <c r="AE625" s="245"/>
      <c r="AF625" s="245"/>
      <c r="AG625" s="245"/>
      <c r="AH625" s="245"/>
      <c r="AI625" s="245"/>
      <c r="AJ625" s="245"/>
      <c r="AK625" s="245"/>
      <c r="AL625" s="245"/>
      <c r="AM625" s="245"/>
      <c r="AN625" s="245"/>
      <c r="AO625" s="245"/>
      <c r="AP625" s="245"/>
      <c r="AQ625" s="245"/>
      <c r="AR625" s="245"/>
      <c r="AS625" s="245"/>
      <c r="AT625" s="245"/>
      <c r="AU625" s="245"/>
      <c r="AV625" s="245"/>
      <c r="AW625" s="245"/>
      <c r="AX625" s="245"/>
      <c r="AY625" s="245"/>
      <c r="AZ625" s="245"/>
      <c r="BA625" s="245"/>
      <c r="BB625" s="245"/>
      <c r="BC625" s="245"/>
      <c r="BD625" s="245"/>
      <c r="BE625" s="248"/>
      <c r="BF625" s="248"/>
      <c r="BG625" s="248"/>
      <c r="BH625" s="248"/>
      <c r="BI625" s="248"/>
      <c r="BJ625" s="248"/>
      <c r="BK625" s="249"/>
    </row>
  </sheetData>
  <mergeCells count="600">
    <mergeCell ref="K1:T1"/>
    <mergeCell ref="U1:Y1"/>
    <mergeCell ref="Z1:AD1"/>
    <mergeCell ref="AE1:AI1"/>
    <mergeCell ref="AJ1:AR1"/>
    <mergeCell ref="AS1:AY1"/>
    <mergeCell ref="AZ1:BE1"/>
    <mergeCell ref="BF1:BK1"/>
    <mergeCell ref="K2:T2"/>
    <mergeCell ref="U2:Y2"/>
    <mergeCell ref="Z2:AD2"/>
    <mergeCell ref="AE2:AI2"/>
    <mergeCell ref="AJ2:AR2"/>
    <mergeCell ref="BF2:BK3"/>
    <mergeCell ref="K3:T3"/>
    <mergeCell ref="U3:Y3"/>
    <mergeCell ref="Z3:AD3"/>
    <mergeCell ref="AE3:AR3"/>
    <mergeCell ref="M6:BD6"/>
    <mergeCell ref="M7:BD7"/>
    <mergeCell ref="M8:BD8"/>
    <mergeCell ref="M9:BD9"/>
    <mergeCell ref="M10:BD10"/>
    <mergeCell ref="M13:BD13"/>
    <mergeCell ref="M14:BD14"/>
    <mergeCell ref="M17:BD17"/>
    <mergeCell ref="M18:BD18"/>
    <mergeCell ref="M21:BD21"/>
    <mergeCell ref="M22:BD22"/>
    <mergeCell ref="M23:BD23"/>
    <mergeCell ref="M24:BD24"/>
    <mergeCell ref="M25:BD25"/>
    <mergeCell ref="M26:BD26"/>
    <mergeCell ref="M29:BD29"/>
    <mergeCell ref="M30:BD30"/>
    <mergeCell ref="M33:BD33"/>
    <mergeCell ref="M34:BD34"/>
    <mergeCell ref="M37:BD37"/>
    <mergeCell ref="M38:BD38"/>
    <mergeCell ref="M41:BD41"/>
    <mergeCell ref="M42:BD42"/>
    <mergeCell ref="M43:BD43"/>
    <mergeCell ref="M46:BD46"/>
    <mergeCell ref="M47:BD47"/>
    <mergeCell ref="M48:BD48"/>
    <mergeCell ref="M51:BD51"/>
    <mergeCell ref="M52:BD52"/>
    <mergeCell ref="M53:BD53"/>
    <mergeCell ref="M54:BD54"/>
    <mergeCell ref="M55:BD55"/>
    <mergeCell ref="M56:BD56"/>
    <mergeCell ref="M57:BD57"/>
    <mergeCell ref="M58:BD58"/>
    <mergeCell ref="M59:BD59"/>
    <mergeCell ref="M60:BD60"/>
    <mergeCell ref="M61:BD61"/>
    <mergeCell ref="M62:BD62"/>
    <mergeCell ref="M63:BD63"/>
    <mergeCell ref="M64:BD64"/>
    <mergeCell ref="M65:BD65"/>
    <mergeCell ref="M66:BD66"/>
    <mergeCell ref="M67:BD67"/>
    <mergeCell ref="M68:BD68"/>
    <mergeCell ref="M69:BD69"/>
    <mergeCell ref="M70:BD70"/>
    <mergeCell ref="M71:BD71"/>
    <mergeCell ref="M72:BD72"/>
    <mergeCell ref="M73:BD73"/>
    <mergeCell ref="M74:BD74"/>
    <mergeCell ref="M75:BD75"/>
    <mergeCell ref="M76:BD76"/>
    <mergeCell ref="M77:BD77"/>
    <mergeCell ref="M78:BD78"/>
    <mergeCell ref="M79:BD79"/>
    <mergeCell ref="M80:BD80"/>
    <mergeCell ref="M81:BD81"/>
    <mergeCell ref="M82:BD82"/>
    <mergeCell ref="M83:BD83"/>
    <mergeCell ref="M84:BD84"/>
    <mergeCell ref="M85:BD85"/>
    <mergeCell ref="M86:BD86"/>
    <mergeCell ref="M87:BD87"/>
    <mergeCell ref="M88:BD88"/>
    <mergeCell ref="M89:BD89"/>
    <mergeCell ref="M90:BD90"/>
    <mergeCell ref="M91:BD91"/>
    <mergeCell ref="M92:BD92"/>
    <mergeCell ref="M93:BD93"/>
    <mergeCell ref="M94:BD94"/>
    <mergeCell ref="M95:BD95"/>
    <mergeCell ref="M96:BD96"/>
    <mergeCell ref="M97:BD97"/>
    <mergeCell ref="M98:BD98"/>
    <mergeCell ref="M99:BD99"/>
    <mergeCell ref="M100:BD100"/>
    <mergeCell ref="M101:BD101"/>
    <mergeCell ref="M102:BD102"/>
    <mergeCell ref="M103:BD103"/>
    <mergeCell ref="M104:BD104"/>
    <mergeCell ref="M105:BD105"/>
    <mergeCell ref="M106:BD106"/>
    <mergeCell ref="M107:BD107"/>
    <mergeCell ref="M108:BD108"/>
    <mergeCell ref="M109:BD109"/>
    <mergeCell ref="M110:BD110"/>
    <mergeCell ref="M111:BD111"/>
    <mergeCell ref="M112:BD112"/>
    <mergeCell ref="M113:BD113"/>
    <mergeCell ref="M116:BD116"/>
    <mergeCell ref="M117:BD117"/>
    <mergeCell ref="M118:BD118"/>
    <mergeCell ref="M119:BD119"/>
    <mergeCell ref="M120:BD120"/>
    <mergeCell ref="M121:BD121"/>
    <mergeCell ref="M122:BD122"/>
    <mergeCell ref="M123:BD123"/>
    <mergeCell ref="M124:BD124"/>
    <mergeCell ref="M125:BD125"/>
    <mergeCell ref="M126:BD126"/>
    <mergeCell ref="M127:BD127"/>
    <mergeCell ref="M128:BD128"/>
    <mergeCell ref="M129:BD129"/>
    <mergeCell ref="M130:BD130"/>
    <mergeCell ref="M131:BD131"/>
    <mergeCell ref="M132:BD132"/>
    <mergeCell ref="M133:BD133"/>
    <mergeCell ref="M134:BD134"/>
    <mergeCell ref="M135:BD135"/>
    <mergeCell ref="M136:BD136"/>
    <mergeCell ref="M137:BD137"/>
    <mergeCell ref="M138:BD138"/>
    <mergeCell ref="M139:BD139"/>
    <mergeCell ref="M140:BD140"/>
    <mergeCell ref="M141:BD141"/>
    <mergeCell ref="M142:BD142"/>
    <mergeCell ref="M143:BD143"/>
    <mergeCell ref="M144:BD144"/>
    <mergeCell ref="M145:BD145"/>
    <mergeCell ref="M146:BD146"/>
    <mergeCell ref="M147:BD147"/>
    <mergeCell ref="M148:BD148"/>
    <mergeCell ref="M149:BD149"/>
    <mergeCell ref="M150:BD150"/>
    <mergeCell ref="M151:BD151"/>
    <mergeCell ref="M152:BD152"/>
    <mergeCell ref="M153:BD153"/>
    <mergeCell ref="M154:BD154"/>
    <mergeCell ref="M157:BD157"/>
    <mergeCell ref="M158:BD158"/>
    <mergeCell ref="M159:BD159"/>
    <mergeCell ref="M160:BD160"/>
    <mergeCell ref="M161:BD161"/>
    <mergeCell ref="M162:BD162"/>
    <mergeCell ref="M163:BD163"/>
    <mergeCell ref="M164:BD164"/>
    <mergeCell ref="M165:BD165"/>
    <mergeCell ref="M166:BD166"/>
    <mergeCell ref="M167:BD167"/>
    <mergeCell ref="M168:BD168"/>
    <mergeCell ref="M169:BD169"/>
    <mergeCell ref="M170:BD170"/>
    <mergeCell ref="M171:BD171"/>
    <mergeCell ref="M172:BD172"/>
    <mergeCell ref="M173:BD173"/>
    <mergeCell ref="M174:BD174"/>
    <mergeCell ref="M175:BD175"/>
    <mergeCell ref="M176:BD176"/>
    <mergeCell ref="M177:BD177"/>
    <mergeCell ref="M178:BD178"/>
    <mergeCell ref="M179:BD179"/>
    <mergeCell ref="M180:BD180"/>
    <mergeCell ref="M181:BD181"/>
    <mergeCell ref="M182:BD182"/>
    <mergeCell ref="M183:BD183"/>
    <mergeCell ref="M184:BD184"/>
    <mergeCell ref="M185:BD185"/>
    <mergeCell ref="M186:BD186"/>
    <mergeCell ref="M189:BD189"/>
    <mergeCell ref="M190:BD190"/>
    <mergeCell ref="M191:BD191"/>
    <mergeCell ref="M192:BD192"/>
    <mergeCell ref="M193:BD193"/>
    <mergeCell ref="M194:BD194"/>
    <mergeCell ref="M195:BD195"/>
    <mergeCell ref="M196:BD196"/>
    <mergeCell ref="M197:BD197"/>
    <mergeCell ref="M198:BD198"/>
    <mergeCell ref="M199:BD199"/>
    <mergeCell ref="M200:BD200"/>
    <mergeCell ref="M201:BD201"/>
    <mergeCell ref="M202:BD202"/>
    <mergeCell ref="M203:BD203"/>
    <mergeCell ref="M204:BD204"/>
    <mergeCell ref="M205:BD205"/>
    <mergeCell ref="M206:BD206"/>
    <mergeCell ref="M207:BD207"/>
    <mergeCell ref="M208:BD208"/>
    <mergeCell ref="M209:BD209"/>
    <mergeCell ref="M210:BD210"/>
    <mergeCell ref="M211:BD211"/>
    <mergeCell ref="M212:BD212"/>
    <mergeCell ref="M213:BD213"/>
    <mergeCell ref="M214:BD214"/>
    <mergeCell ref="M215:BD215"/>
    <mergeCell ref="M216:BD216"/>
    <mergeCell ref="M217:BD217"/>
    <mergeCell ref="M218:BD218"/>
    <mergeCell ref="M221:BD221"/>
    <mergeCell ref="M222:BD222"/>
    <mergeCell ref="M223:BD223"/>
    <mergeCell ref="M226:BD226"/>
    <mergeCell ref="M229:BD229"/>
    <mergeCell ref="M230:BD230"/>
    <mergeCell ref="M231:BD231"/>
    <mergeCell ref="M232:BD232"/>
    <mergeCell ref="M233:BD233"/>
    <mergeCell ref="M234:BD234"/>
    <mergeCell ref="M235:BD235"/>
    <mergeCell ref="M238:BD238"/>
    <mergeCell ref="M239:BD239"/>
    <mergeCell ref="M240:BD240"/>
    <mergeCell ref="M241:BD241"/>
    <mergeCell ref="M242:BD242"/>
    <mergeCell ref="M243:BD243"/>
    <mergeCell ref="M244:BD244"/>
    <mergeCell ref="M245:BD245"/>
    <mergeCell ref="M246:BD246"/>
    <mergeCell ref="M247:BD247"/>
    <mergeCell ref="M248:BD248"/>
    <mergeCell ref="M249:BD249"/>
    <mergeCell ref="M250:BD250"/>
    <mergeCell ref="M251:BD251"/>
    <mergeCell ref="M252:BD252"/>
    <mergeCell ref="M253:BD253"/>
    <mergeCell ref="M254:BD254"/>
    <mergeCell ref="M255:BD255"/>
    <mergeCell ref="M256:BD256"/>
    <mergeCell ref="M257:BD257"/>
    <mergeCell ref="M258:BD258"/>
    <mergeCell ref="M259:BD259"/>
    <mergeCell ref="M260:BD260"/>
    <mergeCell ref="M261:BD261"/>
    <mergeCell ref="M262:BD262"/>
    <mergeCell ref="M263:BD263"/>
    <mergeCell ref="M264:BD264"/>
    <mergeCell ref="M265:BD265"/>
    <mergeCell ref="M266:BD266"/>
    <mergeCell ref="M267:BD267"/>
    <mergeCell ref="M268:BD268"/>
    <mergeCell ref="M269:BD269"/>
    <mergeCell ref="M270:BD270"/>
    <mergeCell ref="M271:BD271"/>
    <mergeCell ref="M272:BD272"/>
    <mergeCell ref="M273:BD273"/>
    <mergeCell ref="M274:BD274"/>
    <mergeCell ref="M275:BD275"/>
    <mergeCell ref="M276:BD276"/>
    <mergeCell ref="M277:BD277"/>
    <mergeCell ref="M278:BD278"/>
    <mergeCell ref="M279:BD279"/>
    <mergeCell ref="M280:BD280"/>
    <mergeCell ref="M281:BD281"/>
    <mergeCell ref="M282:BD282"/>
    <mergeCell ref="M283:BD283"/>
    <mergeCell ref="M284:BD284"/>
    <mergeCell ref="M285:BD285"/>
    <mergeCell ref="M286:BD286"/>
    <mergeCell ref="M287:BD287"/>
    <mergeCell ref="M288:BD288"/>
    <mergeCell ref="M289:BD289"/>
    <mergeCell ref="M290:BD290"/>
    <mergeCell ref="M291:BD291"/>
    <mergeCell ref="M292:BD292"/>
    <mergeCell ref="M293:BD293"/>
    <mergeCell ref="M294:BD294"/>
    <mergeCell ref="M295:BD295"/>
    <mergeCell ref="M296:BD296"/>
    <mergeCell ref="M297:BD297"/>
    <mergeCell ref="M298:BD298"/>
    <mergeCell ref="M299:BD299"/>
    <mergeCell ref="M300:BD300"/>
    <mergeCell ref="M301:BD301"/>
    <mergeCell ref="M302:BD302"/>
    <mergeCell ref="M303:BD303"/>
    <mergeCell ref="M304:BD304"/>
    <mergeCell ref="M305:BD305"/>
    <mergeCell ref="M306:BD306"/>
    <mergeCell ref="M307:BD307"/>
    <mergeCell ref="M308:BD308"/>
    <mergeCell ref="M309:BD309"/>
    <mergeCell ref="M310:BD310"/>
    <mergeCell ref="M311:BD311"/>
    <mergeCell ref="M312:BD312"/>
    <mergeCell ref="M313:BD313"/>
    <mergeCell ref="M314:BD314"/>
    <mergeCell ref="M315:BD315"/>
    <mergeCell ref="M316:BD316"/>
    <mergeCell ref="M317:BD317"/>
    <mergeCell ref="M318:BD318"/>
    <mergeCell ref="M319:BD319"/>
    <mergeCell ref="M320:BD320"/>
    <mergeCell ref="M321:BD321"/>
    <mergeCell ref="M322:BD322"/>
    <mergeCell ref="M323:BD323"/>
    <mergeCell ref="M324:BD324"/>
    <mergeCell ref="M325:BD325"/>
    <mergeCell ref="M326:BD326"/>
    <mergeCell ref="M327:BD327"/>
    <mergeCell ref="M328:BD328"/>
    <mergeCell ref="M329:BD329"/>
    <mergeCell ref="M330:BD330"/>
    <mergeCell ref="M331:BD331"/>
    <mergeCell ref="M332:BD332"/>
    <mergeCell ref="M333:BD333"/>
    <mergeCell ref="M334:BD334"/>
    <mergeCell ref="M335:BD335"/>
    <mergeCell ref="M336:BD336"/>
    <mergeCell ref="M337:BD337"/>
    <mergeCell ref="M338:BD338"/>
    <mergeCell ref="M339:BD339"/>
    <mergeCell ref="M340:BD340"/>
    <mergeCell ref="M341:BD341"/>
    <mergeCell ref="M342:BD342"/>
    <mergeCell ref="M343:BD343"/>
    <mergeCell ref="M344:BD344"/>
    <mergeCell ref="M345:BD345"/>
    <mergeCell ref="M346:BD346"/>
    <mergeCell ref="M347:BD347"/>
    <mergeCell ref="M348:BD348"/>
    <mergeCell ref="M349:BD349"/>
    <mergeCell ref="M350:BD350"/>
    <mergeCell ref="M351:BD351"/>
    <mergeCell ref="M352:BD352"/>
    <mergeCell ref="M353:BD353"/>
    <mergeCell ref="M356:BD356"/>
    <mergeCell ref="M357:BD357"/>
    <mergeCell ref="M358:BD358"/>
    <mergeCell ref="M359:BD359"/>
    <mergeCell ref="M360:BD360"/>
    <mergeCell ref="M361:BD361"/>
    <mergeCell ref="M362:BD362"/>
    <mergeCell ref="M363:BD363"/>
    <mergeCell ref="M364:BD364"/>
    <mergeCell ref="M365:BD365"/>
    <mergeCell ref="M366:BD366"/>
    <mergeCell ref="M367:BD367"/>
    <mergeCell ref="M368:BD368"/>
    <mergeCell ref="M371:BD371"/>
    <mergeCell ref="M372:BD372"/>
    <mergeCell ref="M373:BD373"/>
    <mergeCell ref="M374:BD374"/>
    <mergeCell ref="M375:BD375"/>
    <mergeCell ref="M376:BD376"/>
    <mergeCell ref="M377:BD377"/>
    <mergeCell ref="M378:BD378"/>
    <mergeCell ref="M379:BD379"/>
    <mergeCell ref="M380:BD380"/>
    <mergeCell ref="M381:BD381"/>
    <mergeCell ref="M382:BD382"/>
    <mergeCell ref="M383:BD383"/>
    <mergeCell ref="M384:BD384"/>
    <mergeCell ref="M385:BD385"/>
    <mergeCell ref="M386:BD386"/>
    <mergeCell ref="M387:BD387"/>
    <mergeCell ref="M388:BD388"/>
    <mergeCell ref="M389:BD389"/>
    <mergeCell ref="M390:BD390"/>
    <mergeCell ref="M391:BD391"/>
    <mergeCell ref="M392:BD392"/>
    <mergeCell ref="M393:BD393"/>
    <mergeCell ref="M394:BD394"/>
    <mergeCell ref="M395:BD395"/>
    <mergeCell ref="M396:BD396"/>
    <mergeCell ref="M397:BD397"/>
    <mergeCell ref="M398:BD398"/>
    <mergeCell ref="M399:BD399"/>
    <mergeCell ref="M400:BD400"/>
    <mergeCell ref="M401:BD401"/>
    <mergeCell ref="M402:BD402"/>
    <mergeCell ref="M403:BD403"/>
    <mergeCell ref="M404:BD404"/>
    <mergeCell ref="M405:BD405"/>
    <mergeCell ref="M406:BD406"/>
    <mergeCell ref="M407:BD407"/>
    <mergeCell ref="M408:BD408"/>
    <mergeCell ref="M409:BD409"/>
    <mergeCell ref="M410:BD410"/>
    <mergeCell ref="M411:BD411"/>
    <mergeCell ref="M412:BD412"/>
    <mergeCell ref="M413:BD413"/>
    <mergeCell ref="M414:BD414"/>
    <mergeCell ref="M415:BD415"/>
    <mergeCell ref="M416:BD416"/>
    <mergeCell ref="M417:BD417"/>
    <mergeCell ref="M418:BD418"/>
    <mergeCell ref="M419:BD419"/>
    <mergeCell ref="M420:BD420"/>
    <mergeCell ref="M421:BD421"/>
    <mergeCell ref="M422:BD422"/>
    <mergeCell ref="M423:BD423"/>
    <mergeCell ref="M424:BD424"/>
    <mergeCell ref="M425:BD425"/>
    <mergeCell ref="M426:BD426"/>
    <mergeCell ref="M427:BD427"/>
    <mergeCell ref="M428:BD428"/>
    <mergeCell ref="M429:BD429"/>
    <mergeCell ref="M430:BD430"/>
    <mergeCell ref="M431:BD431"/>
    <mergeCell ref="M432:BD432"/>
    <mergeCell ref="M433:BD433"/>
    <mergeCell ref="M434:BD434"/>
    <mergeCell ref="M435:BD435"/>
    <mergeCell ref="M436:BD436"/>
    <mergeCell ref="M437:BD437"/>
    <mergeCell ref="M438:BD438"/>
    <mergeCell ref="M439:BD439"/>
    <mergeCell ref="M440:BD440"/>
    <mergeCell ref="M441:BD441"/>
    <mergeCell ref="M442:BD442"/>
    <mergeCell ref="M443:BD443"/>
    <mergeCell ref="M444:BD444"/>
    <mergeCell ref="M445:BD445"/>
    <mergeCell ref="M446:BD446"/>
    <mergeCell ref="M447:BD447"/>
    <mergeCell ref="M448:BD448"/>
    <mergeCell ref="M449:BD449"/>
    <mergeCell ref="M450:BD450"/>
    <mergeCell ref="M451:BD451"/>
    <mergeCell ref="M452:BD452"/>
    <mergeCell ref="M453:BD453"/>
    <mergeCell ref="M454:BD454"/>
    <mergeCell ref="M455:BD455"/>
    <mergeCell ref="M456:BD456"/>
    <mergeCell ref="M457:BD457"/>
    <mergeCell ref="M458:BD458"/>
    <mergeCell ref="M459:BD459"/>
    <mergeCell ref="M460:BD460"/>
    <mergeCell ref="M461:BD461"/>
    <mergeCell ref="M462:BD462"/>
    <mergeCell ref="M463:BD463"/>
    <mergeCell ref="M464:BD464"/>
    <mergeCell ref="M465:BD465"/>
    <mergeCell ref="M466:BD466"/>
    <mergeCell ref="M467:BD467"/>
    <mergeCell ref="M468:BD468"/>
    <mergeCell ref="M469:BD469"/>
    <mergeCell ref="M470:BD470"/>
    <mergeCell ref="M471:BD471"/>
    <mergeCell ref="M472:BD472"/>
    <mergeCell ref="M473:BD473"/>
    <mergeCell ref="M474:BD474"/>
    <mergeCell ref="M475:BD475"/>
    <mergeCell ref="M476:BD476"/>
    <mergeCell ref="M477:BD477"/>
    <mergeCell ref="M478:BD478"/>
    <mergeCell ref="M479:BD479"/>
    <mergeCell ref="M480:BD480"/>
    <mergeCell ref="M481:BD481"/>
    <mergeCell ref="M482:BD482"/>
    <mergeCell ref="M483:BD483"/>
    <mergeCell ref="M484:BD484"/>
    <mergeCell ref="M485:BD485"/>
    <mergeCell ref="M486:BD486"/>
    <mergeCell ref="M487:BD487"/>
    <mergeCell ref="M488:BD488"/>
    <mergeCell ref="M489:BD489"/>
    <mergeCell ref="M490:BD490"/>
    <mergeCell ref="M491:BD491"/>
    <mergeCell ref="M492:BD492"/>
    <mergeCell ref="M493:BD493"/>
    <mergeCell ref="M494:BD494"/>
    <mergeCell ref="M495:BD495"/>
    <mergeCell ref="M496:BD496"/>
    <mergeCell ref="M497:BD497"/>
    <mergeCell ref="M498:BD498"/>
    <mergeCell ref="M499:BD499"/>
    <mergeCell ref="M500:BD500"/>
    <mergeCell ref="M501:BD501"/>
    <mergeCell ref="M502:BD502"/>
    <mergeCell ref="M503:BD503"/>
    <mergeCell ref="M504:BD504"/>
    <mergeCell ref="M505:BD505"/>
    <mergeCell ref="M506:BD506"/>
    <mergeCell ref="M507:BD507"/>
    <mergeCell ref="M508:BD508"/>
    <mergeCell ref="M509:BD509"/>
    <mergeCell ref="M510:BD510"/>
    <mergeCell ref="M511:BD511"/>
    <mergeCell ref="M512:BD512"/>
    <mergeCell ref="M513:BD513"/>
    <mergeCell ref="M514:BD514"/>
    <mergeCell ref="M515:BD515"/>
    <mergeCell ref="M516:BD516"/>
    <mergeCell ref="M517:BD517"/>
    <mergeCell ref="M518:BD518"/>
    <mergeCell ref="M519:BD519"/>
    <mergeCell ref="M520:BD520"/>
    <mergeCell ref="M521:BD521"/>
    <mergeCell ref="M522:BD522"/>
    <mergeCell ref="M523:BD523"/>
    <mergeCell ref="M524:BD524"/>
    <mergeCell ref="M525:BD525"/>
    <mergeCell ref="M526:BD526"/>
    <mergeCell ref="M527:BD527"/>
    <mergeCell ref="M528:BD528"/>
    <mergeCell ref="M529:BD529"/>
    <mergeCell ref="M530:BD530"/>
    <mergeCell ref="M531:BD531"/>
    <mergeCell ref="M532:BD532"/>
    <mergeCell ref="M533:BD533"/>
    <mergeCell ref="M534:BD534"/>
    <mergeCell ref="M535:BD535"/>
    <mergeCell ref="M536:BD536"/>
    <mergeCell ref="M537:BD537"/>
    <mergeCell ref="M538:BD538"/>
    <mergeCell ref="M539:BD539"/>
    <mergeCell ref="M540:BD540"/>
    <mergeCell ref="M541:BD541"/>
    <mergeCell ref="M542:BD542"/>
    <mergeCell ref="M543:BD543"/>
    <mergeCell ref="M544:BD544"/>
    <mergeCell ref="M545:BD545"/>
    <mergeCell ref="M546:BD546"/>
    <mergeCell ref="M547:BD547"/>
    <mergeCell ref="M548:BD548"/>
    <mergeCell ref="M549:BD549"/>
    <mergeCell ref="M550:BD550"/>
    <mergeCell ref="M551:BD551"/>
    <mergeCell ref="M552:BD552"/>
    <mergeCell ref="M553:BD553"/>
    <mergeCell ref="M554:BD554"/>
    <mergeCell ref="M555:BD555"/>
    <mergeCell ref="M556:BD556"/>
    <mergeCell ref="M557:BD557"/>
    <mergeCell ref="M558:BD558"/>
    <mergeCell ref="M559:BD559"/>
    <mergeCell ref="M560:BD560"/>
    <mergeCell ref="M561:BD561"/>
    <mergeCell ref="M562:BD562"/>
    <mergeCell ref="M563:BD563"/>
    <mergeCell ref="M564:BD564"/>
    <mergeCell ref="M565:BD565"/>
    <mergeCell ref="M566:BD566"/>
    <mergeCell ref="M567:BD567"/>
    <mergeCell ref="M568:BD568"/>
    <mergeCell ref="M569:BD569"/>
    <mergeCell ref="M570:BD570"/>
    <mergeCell ref="M571:BD571"/>
    <mergeCell ref="M572:BD572"/>
    <mergeCell ref="M573:BD573"/>
    <mergeCell ref="M574:BD574"/>
    <mergeCell ref="M575:BD575"/>
    <mergeCell ref="M576:BD576"/>
    <mergeCell ref="M577:BD577"/>
    <mergeCell ref="M578:BD578"/>
    <mergeCell ref="M579:BD579"/>
    <mergeCell ref="M580:BD580"/>
    <mergeCell ref="M581:BD581"/>
    <mergeCell ref="M582:BD582"/>
    <mergeCell ref="M583:BD583"/>
    <mergeCell ref="M584:BD584"/>
    <mergeCell ref="M585:BD585"/>
    <mergeCell ref="M586:BD586"/>
    <mergeCell ref="M601:BD601"/>
    <mergeCell ref="M602:BD602"/>
    <mergeCell ref="M603:BD603"/>
    <mergeCell ref="M606:BD606"/>
    <mergeCell ref="M587:BD587"/>
    <mergeCell ref="M588:BD588"/>
    <mergeCell ref="M589:BD589"/>
    <mergeCell ref="M590:BD590"/>
    <mergeCell ref="M591:BD591"/>
    <mergeCell ref="M592:BD592"/>
    <mergeCell ref="M593:BD593"/>
    <mergeCell ref="M594:BD594"/>
    <mergeCell ref="M595:BD595"/>
    <mergeCell ref="A1:J3"/>
    <mergeCell ref="M616:BD616"/>
    <mergeCell ref="M617:BD617"/>
    <mergeCell ref="M618:BD618"/>
    <mergeCell ref="M619:BD619"/>
    <mergeCell ref="M620:BD620"/>
    <mergeCell ref="M621:BD621"/>
    <mergeCell ref="M624:BD624"/>
    <mergeCell ref="AS2:AY3"/>
    <mergeCell ref="AZ2:BE3"/>
    <mergeCell ref="M607:BD607"/>
    <mergeCell ref="M608:BD608"/>
    <mergeCell ref="M609:BD609"/>
    <mergeCell ref="M610:BD610"/>
    <mergeCell ref="M611:BD611"/>
    <mergeCell ref="M612:BD612"/>
    <mergeCell ref="M613:BD613"/>
    <mergeCell ref="M614:BD614"/>
    <mergeCell ref="M615:BD615"/>
    <mergeCell ref="M596:BD596"/>
    <mergeCell ref="M597:BD597"/>
    <mergeCell ref="M598:BD598"/>
    <mergeCell ref="M599:BD599"/>
    <mergeCell ref="M600:BD600"/>
  </mergeCells>
  <phoneticPr fontId="65"/>
  <pageMargins left="0.511811023622047" right="0.74803149606299202" top="0.70866141732283505" bottom="0.43307086614173201" header="0.511811023622047" footer="0.196850393700787"/>
  <pageSetup paperSize="9" fitToHeight="0" orientation="landscape" r:id="rId1"/>
  <headerFooter alignWithMargins="0">
    <oddFooter>&amp;L&amp;"Meiryo UI"&amp;10MSBDP0090&amp;C&amp;"Meiryo UI,標準"&amp;10&amp;P&amp;R&amp;"Meiryo UI,標準"&amp;10(C)Toyo Business Engineering Corp.[Confidential]</oddFooter>
  </headerFooter>
  <rowBreaks count="4" manualBreakCount="4">
    <brk id="35" max="16383" man="1"/>
    <brk id="39" max="62" man="1"/>
    <brk id="236" max="16383" man="1"/>
    <brk id="622"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K60"/>
  <sheetViews>
    <sheetView showGridLines="0" showZeros="0" view="pageBreakPreview" zoomScaleNormal="100" zoomScaleSheetLayoutView="100" workbookViewId="0">
      <pane ySplit="4" topLeftCell="A11" activePane="bottomLeft" state="frozen"/>
      <selection pane="bottomLeft" sqref="A1:J3"/>
    </sheetView>
  </sheetViews>
  <sheetFormatPr defaultColWidth="9" defaultRowHeight="15.75" customHeight="1"/>
  <cols>
    <col min="1" max="2" width="2.08984375" style="2" customWidth="1"/>
    <col min="3" max="3" width="2.36328125" style="93" customWidth="1"/>
    <col min="4" max="4" width="2.08984375" style="93" customWidth="1"/>
    <col min="5" max="5" width="3" style="93" customWidth="1"/>
    <col min="6" max="9" width="2.08984375" style="2" customWidth="1"/>
    <col min="10" max="10" width="2.08984375" style="93" customWidth="1"/>
    <col min="11" max="16" width="2.08984375" style="2" customWidth="1"/>
    <col min="17" max="17" width="2.08984375" style="94" customWidth="1"/>
    <col min="18" max="62" width="2.08984375" style="2" customWidth="1"/>
    <col min="63" max="63" width="2.26953125" style="2" customWidth="1"/>
    <col min="64" max="16384" width="9" style="2"/>
  </cols>
  <sheetData>
    <row r="1" spans="1:63" s="54" customFormat="1" ht="15.75" customHeight="1">
      <c r="A1" s="663" t="str">
        <f>表紙!$A$39</f>
        <v>mcframe 7</v>
      </c>
      <c r="B1" s="664"/>
      <c r="C1" s="664"/>
      <c r="D1" s="664"/>
      <c r="E1" s="664"/>
      <c r="F1" s="664"/>
      <c r="G1" s="664"/>
      <c r="H1" s="664"/>
      <c r="I1" s="664"/>
      <c r="J1" s="665"/>
      <c r="K1" s="771" t="s">
        <v>45</v>
      </c>
      <c r="L1" s="772"/>
      <c r="M1" s="772"/>
      <c r="N1" s="772"/>
      <c r="O1" s="772"/>
      <c r="P1" s="772"/>
      <c r="Q1" s="772"/>
      <c r="R1" s="772"/>
      <c r="S1" s="772"/>
      <c r="T1" s="780"/>
      <c r="U1" s="781" t="s">
        <v>46</v>
      </c>
      <c r="V1" s="782"/>
      <c r="W1" s="782"/>
      <c r="X1" s="782"/>
      <c r="Y1" s="783"/>
      <c r="Z1" s="693" t="str">
        <f>表紙!$Z$39</f>
        <v>MS</v>
      </c>
      <c r="AA1" s="694"/>
      <c r="AB1" s="694"/>
      <c r="AC1" s="694"/>
      <c r="AD1" s="695"/>
      <c r="AE1" s="773" t="s">
        <v>48</v>
      </c>
      <c r="AF1" s="694"/>
      <c r="AG1" s="694"/>
      <c r="AH1" s="694"/>
      <c r="AI1" s="695"/>
      <c r="AJ1" s="784" t="str">
        <f>表紙!$AJ$39</f>
        <v>SCM</v>
      </c>
      <c r="AK1" s="782"/>
      <c r="AL1" s="782"/>
      <c r="AM1" s="782"/>
      <c r="AN1" s="782"/>
      <c r="AO1" s="782"/>
      <c r="AP1" s="782"/>
      <c r="AQ1" s="782"/>
      <c r="AR1" s="783"/>
      <c r="AS1" s="704" t="s">
        <v>5</v>
      </c>
      <c r="AT1" s="704"/>
      <c r="AU1" s="704"/>
      <c r="AV1" s="704"/>
      <c r="AW1" s="704"/>
      <c r="AX1" s="704"/>
      <c r="AY1" s="704"/>
      <c r="AZ1" s="705" t="s">
        <v>37</v>
      </c>
      <c r="BA1" s="694"/>
      <c r="BB1" s="694"/>
      <c r="BC1" s="694"/>
      <c r="BD1" s="694"/>
      <c r="BE1" s="695"/>
      <c r="BF1" s="705" t="s">
        <v>50</v>
      </c>
      <c r="BG1" s="694"/>
      <c r="BH1" s="694"/>
      <c r="BI1" s="694"/>
      <c r="BJ1" s="694"/>
      <c r="BK1" s="774"/>
    </row>
    <row r="2" spans="1:63" s="54" customFormat="1" ht="15.75" customHeight="1">
      <c r="A2" s="666"/>
      <c r="B2" s="667"/>
      <c r="C2" s="667"/>
      <c r="D2" s="667"/>
      <c r="E2" s="667"/>
      <c r="F2" s="667"/>
      <c r="G2" s="667"/>
      <c r="H2" s="667"/>
      <c r="I2" s="667"/>
      <c r="J2" s="668"/>
      <c r="K2" s="757" t="str">
        <f>文書名</f>
        <v>画面説明書</v>
      </c>
      <c r="L2" s="675"/>
      <c r="M2" s="675"/>
      <c r="N2" s="675"/>
      <c r="O2" s="675"/>
      <c r="P2" s="675"/>
      <c r="Q2" s="675"/>
      <c r="R2" s="675"/>
      <c r="S2" s="675"/>
      <c r="T2" s="676"/>
      <c r="U2" s="775" t="s">
        <v>51</v>
      </c>
      <c r="V2" s="776"/>
      <c r="W2" s="776"/>
      <c r="X2" s="776"/>
      <c r="Y2" s="777"/>
      <c r="Z2" s="761" t="str">
        <f>表紙!$Z$40</f>
        <v>MSBD</v>
      </c>
      <c r="AA2" s="759"/>
      <c r="AB2" s="759"/>
      <c r="AC2" s="759"/>
      <c r="AD2" s="760"/>
      <c r="AE2" s="758" t="s">
        <v>53</v>
      </c>
      <c r="AF2" s="759"/>
      <c r="AG2" s="759"/>
      <c r="AH2" s="759"/>
      <c r="AI2" s="760"/>
      <c r="AJ2" s="764" t="str">
        <f>表紙!$AJ$40</f>
        <v>購買管理</v>
      </c>
      <c r="AK2" s="778"/>
      <c r="AL2" s="778"/>
      <c r="AM2" s="778"/>
      <c r="AN2" s="778"/>
      <c r="AO2" s="778"/>
      <c r="AP2" s="778"/>
      <c r="AQ2" s="778"/>
      <c r="AR2" s="779"/>
      <c r="AS2" s="672" t="str">
        <f>文書番号</f>
        <v>M7-US-1104</v>
      </c>
      <c r="AT2" s="672"/>
      <c r="AU2" s="672"/>
      <c r="AV2" s="672"/>
      <c r="AW2" s="672"/>
      <c r="AX2" s="672"/>
      <c r="AY2" s="672"/>
      <c r="AZ2" s="674" t="str">
        <f>Version</f>
        <v>7.0.1</v>
      </c>
      <c r="BA2" s="675"/>
      <c r="BB2" s="675"/>
      <c r="BC2" s="675"/>
      <c r="BD2" s="675"/>
      <c r="BE2" s="676"/>
      <c r="BF2" s="680" t="str">
        <f>Revision</f>
        <v>r02.05</v>
      </c>
      <c r="BG2" s="675"/>
      <c r="BH2" s="675"/>
      <c r="BI2" s="675"/>
      <c r="BJ2" s="675"/>
      <c r="BK2" s="681"/>
    </row>
    <row r="3" spans="1:63" s="54" customFormat="1" ht="15.75" customHeight="1">
      <c r="A3" s="669"/>
      <c r="B3" s="670"/>
      <c r="C3" s="670"/>
      <c r="D3" s="670"/>
      <c r="E3" s="670"/>
      <c r="F3" s="670"/>
      <c r="G3" s="670"/>
      <c r="H3" s="670"/>
      <c r="I3" s="670"/>
      <c r="J3" s="671"/>
      <c r="K3" s="683" t="str">
        <f ca="1">RIGHT(CELL("filename",$A$1),LEN(CELL("filename",$A$1))-FIND("]",CELL("filename",$A$1)))</f>
        <v>画面遷移</v>
      </c>
      <c r="L3" s="684"/>
      <c r="M3" s="684"/>
      <c r="N3" s="684"/>
      <c r="O3" s="684"/>
      <c r="P3" s="684"/>
      <c r="Q3" s="684"/>
      <c r="R3" s="684"/>
      <c r="S3" s="684"/>
      <c r="T3" s="696"/>
      <c r="U3" s="697" t="s">
        <v>56</v>
      </c>
      <c r="V3" s="698"/>
      <c r="W3" s="698"/>
      <c r="X3" s="698"/>
      <c r="Y3" s="699"/>
      <c r="Z3" s="700" t="str">
        <f>表紙!$Z$41</f>
        <v>MSBDP0090</v>
      </c>
      <c r="AA3" s="686"/>
      <c r="AB3" s="686"/>
      <c r="AC3" s="686"/>
      <c r="AD3" s="686"/>
      <c r="AE3" s="701" t="str">
        <f>表紙!$AE$41</f>
        <v>発注一覧登録</v>
      </c>
      <c r="AF3" s="702"/>
      <c r="AG3" s="702"/>
      <c r="AH3" s="702"/>
      <c r="AI3" s="702"/>
      <c r="AJ3" s="702"/>
      <c r="AK3" s="702"/>
      <c r="AL3" s="702"/>
      <c r="AM3" s="702"/>
      <c r="AN3" s="702"/>
      <c r="AO3" s="702"/>
      <c r="AP3" s="702"/>
      <c r="AQ3" s="702"/>
      <c r="AR3" s="703"/>
      <c r="AS3" s="673"/>
      <c r="AT3" s="673"/>
      <c r="AU3" s="673"/>
      <c r="AV3" s="673"/>
      <c r="AW3" s="673"/>
      <c r="AX3" s="673"/>
      <c r="AY3" s="673"/>
      <c r="AZ3" s="677"/>
      <c r="BA3" s="678"/>
      <c r="BB3" s="678"/>
      <c r="BC3" s="678"/>
      <c r="BD3" s="678"/>
      <c r="BE3" s="679"/>
      <c r="BF3" s="677"/>
      <c r="BG3" s="678"/>
      <c r="BH3" s="678"/>
      <c r="BI3" s="678"/>
      <c r="BJ3" s="678"/>
      <c r="BK3" s="682"/>
    </row>
    <row r="4" spans="1:63" s="54" customFormat="1" ht="6.75" customHeight="1">
      <c r="B4" s="56"/>
      <c r="C4" s="57"/>
      <c r="D4" s="57"/>
      <c r="E4" s="57"/>
      <c r="F4" s="58"/>
      <c r="G4" s="58"/>
      <c r="H4" s="58"/>
      <c r="I4" s="58"/>
      <c r="J4" s="57"/>
      <c r="K4" s="58"/>
      <c r="L4" s="58"/>
      <c r="M4" s="58"/>
      <c r="N4" s="58"/>
      <c r="O4" s="58"/>
      <c r="P4" s="58"/>
      <c r="Q4" s="75"/>
    </row>
    <row r="5" spans="1:63" s="89" customFormat="1" ht="15">
      <c r="A5" s="95" t="s">
        <v>211</v>
      </c>
      <c r="B5" s="96"/>
      <c r="C5" s="96"/>
      <c r="D5" s="97" t="s">
        <v>212</v>
      </c>
      <c r="E5" s="96"/>
      <c r="F5" s="96"/>
      <c r="G5" s="96"/>
      <c r="H5" s="96"/>
      <c r="I5" s="96"/>
      <c r="J5" s="96"/>
      <c r="K5" s="96"/>
      <c r="L5" s="96"/>
      <c r="M5" s="96"/>
      <c r="N5" s="96"/>
      <c r="O5" s="96"/>
      <c r="P5" s="96"/>
      <c r="Q5" s="96"/>
      <c r="R5" s="96"/>
      <c r="S5" s="96"/>
      <c r="T5" s="96"/>
      <c r="U5" s="96"/>
      <c r="V5" s="96"/>
      <c r="W5" s="96"/>
      <c r="X5" s="96"/>
      <c r="Y5" s="141" t="s">
        <v>1091</v>
      </c>
      <c r="Z5" s="140"/>
      <c r="AA5" s="140"/>
      <c r="AB5" s="140"/>
      <c r="AC5" s="140"/>
      <c r="AD5" s="140"/>
      <c r="AE5" s="140"/>
      <c r="AF5" s="140"/>
      <c r="AG5" s="153"/>
      <c r="AH5" s="140" t="s">
        <v>1092</v>
      </c>
      <c r="AI5" s="96"/>
      <c r="AJ5" s="96"/>
      <c r="AK5" s="96"/>
      <c r="AL5" s="96"/>
      <c r="AM5" s="96"/>
      <c r="AN5" s="96"/>
      <c r="AO5" s="96"/>
      <c r="AP5" s="96"/>
      <c r="AQ5" s="96"/>
      <c r="AR5" s="96"/>
      <c r="AS5" s="96"/>
      <c r="AT5" s="96"/>
      <c r="AU5" s="96"/>
      <c r="AV5" s="96"/>
      <c r="AW5" s="96"/>
      <c r="AX5" s="96"/>
      <c r="AY5" s="96"/>
      <c r="AZ5" s="96"/>
      <c r="BA5" s="96"/>
      <c r="BB5" s="96"/>
      <c r="BC5" s="96"/>
      <c r="BD5" s="96"/>
      <c r="BE5" s="96"/>
      <c r="BF5" s="96"/>
      <c r="BG5" s="96"/>
      <c r="BH5" s="96"/>
      <c r="BI5" s="96"/>
      <c r="BJ5" s="96"/>
      <c r="BK5" s="155"/>
    </row>
    <row r="6" spans="1:63" s="90" customFormat="1" ht="15.75" customHeight="1">
      <c r="A6" s="98" t="s">
        <v>1093</v>
      </c>
      <c r="B6" s="99"/>
      <c r="C6" s="100"/>
      <c r="D6" s="101" t="s">
        <v>1061</v>
      </c>
      <c r="E6" s="99"/>
      <c r="F6" s="99"/>
      <c r="G6" s="99"/>
      <c r="H6" s="99"/>
      <c r="I6" s="99"/>
      <c r="J6" s="144"/>
      <c r="K6" s="99"/>
      <c r="L6" s="99"/>
      <c r="M6" s="99"/>
      <c r="N6" s="99"/>
      <c r="O6" s="99"/>
      <c r="P6" s="99"/>
      <c r="Q6" s="146"/>
      <c r="R6" s="99"/>
      <c r="S6" s="99"/>
      <c r="T6" s="99"/>
      <c r="U6" s="99"/>
      <c r="V6" s="99"/>
      <c r="W6" s="99"/>
      <c r="X6" s="99"/>
      <c r="Y6" s="12"/>
      <c r="Z6" s="13"/>
      <c r="AA6" s="13"/>
      <c r="AB6" s="13"/>
      <c r="AC6" s="13"/>
      <c r="AD6" s="13"/>
      <c r="AE6" s="13"/>
      <c r="AF6" s="13"/>
      <c r="AG6" s="14"/>
      <c r="AH6" s="13"/>
      <c r="AI6" s="99"/>
      <c r="AJ6" s="99"/>
      <c r="AK6" s="99"/>
      <c r="AL6" s="99"/>
      <c r="AM6" s="99"/>
      <c r="AN6" s="99"/>
      <c r="AO6" s="99"/>
      <c r="AP6" s="99"/>
      <c r="AQ6" s="99"/>
      <c r="AR6" s="99"/>
      <c r="AS6" s="99"/>
      <c r="AT6" s="99"/>
      <c r="AU6" s="99"/>
      <c r="AV6" s="99"/>
      <c r="AW6" s="99"/>
      <c r="AX6" s="99"/>
      <c r="AY6" s="99"/>
      <c r="AZ6" s="99"/>
      <c r="BA6" s="99"/>
      <c r="BB6" s="99"/>
      <c r="BC6" s="99"/>
      <c r="BD6" s="99"/>
      <c r="BE6" s="99"/>
      <c r="BF6" s="99"/>
      <c r="BG6" s="99"/>
      <c r="BH6" s="99"/>
      <c r="BI6" s="99"/>
      <c r="BJ6" s="99"/>
      <c r="BK6" s="156"/>
    </row>
    <row r="7" spans="1:63" s="91" customFormat="1" ht="15.75" customHeight="1">
      <c r="A7" s="102"/>
      <c r="B7" s="103"/>
      <c r="C7" s="103"/>
      <c r="D7" s="103"/>
      <c r="E7" s="103"/>
      <c r="F7" s="103"/>
      <c r="G7" s="104"/>
      <c r="H7" s="103"/>
      <c r="I7" s="103"/>
      <c r="J7" s="103"/>
      <c r="K7" s="103"/>
      <c r="L7" s="103"/>
      <c r="M7" s="103"/>
      <c r="N7" s="103"/>
      <c r="O7" s="103"/>
      <c r="P7" s="103"/>
      <c r="Q7" s="147"/>
      <c r="R7" s="103"/>
      <c r="S7" s="103"/>
      <c r="T7" s="103"/>
      <c r="U7" s="103"/>
      <c r="V7" s="103"/>
      <c r="W7" s="103"/>
      <c r="X7" s="103"/>
      <c r="Y7" s="103"/>
      <c r="Z7" s="103"/>
      <c r="AA7" s="103"/>
      <c r="AB7" s="103"/>
      <c r="AC7" s="103"/>
      <c r="AD7" s="103"/>
      <c r="AE7" s="103"/>
      <c r="AF7" s="103"/>
      <c r="AG7" s="103"/>
      <c r="AH7" s="103"/>
      <c r="AI7" s="103"/>
      <c r="AJ7" s="103"/>
      <c r="AK7" s="103"/>
      <c r="AL7" s="103"/>
      <c r="AM7" s="103"/>
      <c r="AN7" s="103"/>
      <c r="AO7" s="103"/>
      <c r="AP7" s="103"/>
      <c r="AQ7" s="103"/>
      <c r="AR7" s="103"/>
      <c r="AS7" s="103"/>
      <c r="AT7" s="103"/>
      <c r="AU7" s="103"/>
      <c r="AV7" s="103"/>
      <c r="AW7" s="103"/>
      <c r="AX7" s="103"/>
      <c r="AY7" s="103"/>
      <c r="AZ7" s="103"/>
      <c r="BA7" s="103"/>
      <c r="BB7" s="103"/>
      <c r="BC7" s="103"/>
      <c r="BD7" s="103"/>
      <c r="BE7" s="103"/>
      <c r="BF7" s="103"/>
      <c r="BG7" s="103"/>
      <c r="BH7" s="103"/>
      <c r="BI7" s="103"/>
      <c r="BJ7" s="103"/>
      <c r="BK7" s="157"/>
    </row>
    <row r="8" spans="1:63" s="91" customFormat="1" ht="15.75" customHeight="1">
      <c r="A8" s="105"/>
      <c r="B8" s="106" t="s">
        <v>1094</v>
      </c>
      <c r="G8" s="107"/>
      <c r="Q8" s="148"/>
      <c r="BK8" s="158"/>
    </row>
    <row r="9" spans="1:63" s="91" customFormat="1" ht="15.75" customHeight="1">
      <c r="A9" s="105"/>
      <c r="B9" s="108" t="s">
        <v>1095</v>
      </c>
      <c r="C9" s="109"/>
      <c r="D9" s="109"/>
      <c r="E9" s="109"/>
      <c r="F9" s="109"/>
      <c r="G9" s="110"/>
      <c r="H9" s="111"/>
      <c r="I9" s="101" t="s">
        <v>1096</v>
      </c>
      <c r="J9" s="99"/>
      <c r="K9" s="99"/>
      <c r="L9" s="99"/>
      <c r="M9" s="99"/>
      <c r="N9" s="99"/>
      <c r="O9" s="99"/>
      <c r="P9" s="99"/>
      <c r="Q9" s="146"/>
      <c r="R9" s="99"/>
      <c r="S9" s="99"/>
      <c r="T9" s="99"/>
      <c r="U9" s="99"/>
      <c r="V9" s="99"/>
      <c r="W9" s="99"/>
      <c r="X9" s="99"/>
      <c r="Y9" s="99"/>
      <c r="Z9" s="99"/>
      <c r="AA9" s="99"/>
      <c r="AB9" s="99"/>
      <c r="AC9" s="99"/>
      <c r="AD9" s="99"/>
      <c r="AE9" s="99"/>
      <c r="AF9" s="99"/>
      <c r="AG9" s="99"/>
      <c r="AH9" s="99"/>
      <c r="AI9" s="99"/>
      <c r="AJ9" s="99"/>
      <c r="AK9" s="99"/>
      <c r="AL9" s="99"/>
      <c r="AM9" s="99"/>
      <c r="AN9" s="99"/>
      <c r="AO9" s="99"/>
      <c r="AP9" s="99"/>
      <c r="AQ9" s="99"/>
      <c r="AR9" s="99"/>
      <c r="AS9" s="99"/>
      <c r="AT9" s="99"/>
      <c r="AU9" s="99"/>
      <c r="AV9" s="99"/>
      <c r="AW9" s="99"/>
      <c r="AX9" s="99"/>
      <c r="AY9" s="99"/>
      <c r="AZ9" s="99"/>
      <c r="BA9" s="99"/>
      <c r="BB9" s="99"/>
      <c r="BC9" s="99"/>
      <c r="BD9" s="99"/>
      <c r="BE9" s="99"/>
      <c r="BF9" s="99"/>
      <c r="BG9" s="99"/>
      <c r="BH9" s="99"/>
      <c r="BI9" s="99"/>
      <c r="BJ9" s="154"/>
      <c r="BK9" s="158"/>
    </row>
    <row r="10" spans="1:63" s="91" customFormat="1" ht="15.75" customHeight="1">
      <c r="A10" s="105"/>
      <c r="B10" s="108" t="s">
        <v>1097</v>
      </c>
      <c r="C10" s="109"/>
      <c r="D10" s="109"/>
      <c r="E10" s="109"/>
      <c r="F10" s="109"/>
      <c r="G10" s="112"/>
      <c r="H10" s="111"/>
      <c r="I10" s="101" t="s">
        <v>1098</v>
      </c>
      <c r="J10" s="99"/>
      <c r="K10" s="99"/>
      <c r="L10" s="99"/>
      <c r="M10" s="99"/>
      <c r="N10" s="99"/>
      <c r="O10" s="99"/>
      <c r="P10" s="99"/>
      <c r="Q10" s="146"/>
      <c r="R10" s="99"/>
      <c r="S10" s="99"/>
      <c r="T10" s="99"/>
      <c r="U10" s="99"/>
      <c r="V10" s="99"/>
      <c r="W10" s="99"/>
      <c r="X10" s="99"/>
      <c r="Y10" s="99"/>
      <c r="Z10" s="99"/>
      <c r="AA10" s="99"/>
      <c r="AB10" s="99"/>
      <c r="AC10" s="99"/>
      <c r="AD10" s="99"/>
      <c r="AE10" s="99"/>
      <c r="AF10" s="99"/>
      <c r="AG10" s="99"/>
      <c r="AH10" s="99"/>
      <c r="AI10" s="99"/>
      <c r="AJ10" s="99"/>
      <c r="AK10" s="99"/>
      <c r="AL10" s="99"/>
      <c r="AM10" s="99"/>
      <c r="AN10" s="99"/>
      <c r="AO10" s="99"/>
      <c r="AP10" s="99"/>
      <c r="AQ10" s="99"/>
      <c r="AR10" s="99"/>
      <c r="AS10" s="99"/>
      <c r="AT10" s="99"/>
      <c r="AU10" s="99"/>
      <c r="AV10" s="99"/>
      <c r="AW10" s="99"/>
      <c r="AX10" s="99"/>
      <c r="AY10" s="99"/>
      <c r="AZ10" s="99"/>
      <c r="BA10" s="99"/>
      <c r="BB10" s="99"/>
      <c r="BC10" s="99"/>
      <c r="BD10" s="99"/>
      <c r="BE10" s="99"/>
      <c r="BF10" s="99"/>
      <c r="BG10" s="99"/>
      <c r="BH10" s="99"/>
      <c r="BI10" s="99"/>
      <c r="BJ10" s="154"/>
      <c r="BK10" s="158"/>
    </row>
    <row r="11" spans="1:63" s="91" customFormat="1" ht="15.75" customHeight="1">
      <c r="A11" s="105"/>
      <c r="B11" s="108" t="s">
        <v>1099</v>
      </c>
      <c r="C11" s="109"/>
      <c r="D11" s="109"/>
      <c r="E11" s="109"/>
      <c r="F11" s="109"/>
      <c r="G11" s="110"/>
      <c r="H11" s="111"/>
      <c r="I11" s="101" t="s">
        <v>1100</v>
      </c>
      <c r="J11" s="99"/>
      <c r="K11" s="99"/>
      <c r="L11" s="99"/>
      <c r="M11" s="99"/>
      <c r="N11" s="99"/>
      <c r="O11" s="99"/>
      <c r="P11" s="99"/>
      <c r="Q11" s="146"/>
      <c r="R11" s="99"/>
      <c r="S11" s="99"/>
      <c r="T11" s="99"/>
      <c r="U11" s="99"/>
      <c r="V11" s="99"/>
      <c r="W11" s="99"/>
      <c r="X11" s="99"/>
      <c r="Y11" s="99"/>
      <c r="Z11" s="99"/>
      <c r="AA11" s="99"/>
      <c r="AB11" s="99"/>
      <c r="AC11" s="99"/>
      <c r="AD11" s="99"/>
      <c r="AE11" s="99"/>
      <c r="AF11" s="99"/>
      <c r="AG11" s="99"/>
      <c r="AH11" s="99"/>
      <c r="AI11" s="99"/>
      <c r="AJ11" s="99"/>
      <c r="AK11" s="99"/>
      <c r="AL11" s="99"/>
      <c r="AM11" s="99"/>
      <c r="AN11" s="99"/>
      <c r="AO11" s="99"/>
      <c r="AP11" s="99"/>
      <c r="AQ11" s="99"/>
      <c r="AR11" s="99"/>
      <c r="AS11" s="99"/>
      <c r="AT11" s="99"/>
      <c r="AU11" s="99"/>
      <c r="AV11" s="99"/>
      <c r="AW11" s="99"/>
      <c r="AX11" s="99"/>
      <c r="AY11" s="99"/>
      <c r="AZ11" s="99"/>
      <c r="BA11" s="99"/>
      <c r="BB11" s="99"/>
      <c r="BC11" s="99"/>
      <c r="BD11" s="99"/>
      <c r="BE11" s="99"/>
      <c r="BF11" s="99"/>
      <c r="BG11" s="99"/>
      <c r="BH11" s="99"/>
      <c r="BI11" s="99"/>
      <c r="BJ11" s="154"/>
      <c r="BK11" s="158"/>
    </row>
    <row r="12" spans="1:63" s="91" customFormat="1" ht="15.75" customHeight="1">
      <c r="A12" s="105"/>
      <c r="B12" s="113" t="s">
        <v>1101</v>
      </c>
      <c r="C12" s="114"/>
      <c r="D12" s="114"/>
      <c r="E12" s="114"/>
      <c r="F12" s="114"/>
      <c r="G12" s="115"/>
      <c r="H12" s="116"/>
      <c r="I12" s="108" t="s">
        <v>1102</v>
      </c>
      <c r="J12" s="109"/>
      <c r="K12" s="109"/>
      <c r="L12" s="109"/>
      <c r="M12" s="109"/>
      <c r="N12" s="109"/>
      <c r="O12" s="109"/>
      <c r="P12" s="109"/>
      <c r="Q12" s="149"/>
      <c r="R12" s="109"/>
      <c r="S12" s="109"/>
      <c r="T12" s="109"/>
      <c r="U12" s="109"/>
      <c r="V12" s="109"/>
      <c r="W12" s="109"/>
      <c r="X12" s="109"/>
      <c r="Y12" s="109"/>
      <c r="Z12" s="109"/>
      <c r="AA12" s="109"/>
      <c r="AB12" s="109"/>
      <c r="AC12" s="109"/>
      <c r="AD12" s="109"/>
      <c r="AE12" s="109"/>
      <c r="AF12" s="109"/>
      <c r="AG12" s="109"/>
      <c r="AH12" s="109"/>
      <c r="AI12" s="111"/>
      <c r="AJ12" s="108" t="s">
        <v>1103</v>
      </c>
      <c r="AK12" s="109"/>
      <c r="AL12" s="109"/>
      <c r="AM12" s="109"/>
      <c r="AN12" s="109"/>
      <c r="AO12" s="109"/>
      <c r="AP12" s="109"/>
      <c r="AQ12" s="109"/>
      <c r="AR12" s="109"/>
      <c r="AS12" s="109"/>
      <c r="AT12" s="109"/>
      <c r="AU12" s="109"/>
      <c r="AV12" s="109"/>
      <c r="AW12" s="109"/>
      <c r="AX12" s="109"/>
      <c r="AY12" s="109"/>
      <c r="AZ12" s="109"/>
      <c r="BA12" s="109"/>
      <c r="BB12" s="109"/>
      <c r="BC12" s="109"/>
      <c r="BD12" s="109"/>
      <c r="BE12" s="109"/>
      <c r="BF12" s="109"/>
      <c r="BG12" s="109"/>
      <c r="BH12" s="109"/>
      <c r="BI12" s="109"/>
      <c r="BJ12" s="111"/>
      <c r="BK12" s="158"/>
    </row>
    <row r="13" spans="1:63" s="91" customFormat="1" ht="15.75" customHeight="1">
      <c r="A13" s="105"/>
      <c r="B13" s="117"/>
      <c r="C13" s="118"/>
      <c r="D13" s="118"/>
      <c r="E13" s="118"/>
      <c r="F13" s="118"/>
      <c r="G13" s="119"/>
      <c r="H13" s="120"/>
      <c r="I13" s="101" t="s">
        <v>1104</v>
      </c>
      <c r="J13" s="99"/>
      <c r="K13" s="99"/>
      <c r="L13" s="99"/>
      <c r="M13" s="99"/>
      <c r="N13" s="99"/>
      <c r="O13" s="99"/>
      <c r="P13" s="99"/>
      <c r="Q13" s="146"/>
      <c r="R13" s="99"/>
      <c r="S13" s="99"/>
      <c r="T13" s="99"/>
      <c r="U13" s="99"/>
      <c r="V13" s="99"/>
      <c r="W13" s="99"/>
      <c r="X13" s="99"/>
      <c r="Y13" s="99"/>
      <c r="Z13" s="99"/>
      <c r="AA13" s="99"/>
      <c r="AB13" s="99"/>
      <c r="AC13" s="99"/>
      <c r="AD13" s="99"/>
      <c r="AE13" s="99"/>
      <c r="AF13" s="99"/>
      <c r="AG13" s="99"/>
      <c r="AH13" s="99"/>
      <c r="AI13" s="154"/>
      <c r="AJ13" s="101" t="s">
        <v>1105</v>
      </c>
      <c r="AK13" s="99"/>
      <c r="AL13" s="99"/>
      <c r="AM13" s="99"/>
      <c r="AN13" s="99"/>
      <c r="AO13" s="99"/>
      <c r="AP13" s="99"/>
      <c r="AQ13" s="99"/>
      <c r="AR13" s="99"/>
      <c r="AS13" s="99"/>
      <c r="AT13" s="99"/>
      <c r="AU13" s="99"/>
      <c r="AV13" s="99"/>
      <c r="AW13" s="99"/>
      <c r="AX13" s="99"/>
      <c r="AY13" s="99"/>
      <c r="AZ13" s="99"/>
      <c r="BA13" s="99"/>
      <c r="BB13" s="99"/>
      <c r="BC13" s="99"/>
      <c r="BD13" s="99"/>
      <c r="BE13" s="99"/>
      <c r="BF13" s="99"/>
      <c r="BG13" s="99"/>
      <c r="BH13" s="99"/>
      <c r="BI13" s="99"/>
      <c r="BJ13" s="154"/>
      <c r="BK13" s="158"/>
    </row>
    <row r="14" spans="1:63" s="91" customFormat="1" ht="15.75" customHeight="1">
      <c r="A14" s="105"/>
      <c r="B14" s="117"/>
      <c r="C14" s="118"/>
      <c r="D14" s="118"/>
      <c r="E14" s="118"/>
      <c r="F14" s="118"/>
      <c r="G14" s="119"/>
      <c r="H14" s="120"/>
      <c r="I14" s="101"/>
      <c r="J14" s="99"/>
      <c r="K14" s="99"/>
      <c r="L14" s="99"/>
      <c r="M14" s="99"/>
      <c r="N14" s="99"/>
      <c r="O14" s="99"/>
      <c r="P14" s="99"/>
      <c r="Q14" s="146"/>
      <c r="R14" s="99"/>
      <c r="S14" s="99"/>
      <c r="T14" s="99"/>
      <c r="U14" s="99"/>
      <c r="V14" s="99"/>
      <c r="W14" s="99"/>
      <c r="X14" s="99"/>
      <c r="Y14" s="99"/>
      <c r="Z14" s="99"/>
      <c r="AA14" s="99"/>
      <c r="AB14" s="99"/>
      <c r="AC14" s="99"/>
      <c r="AD14" s="99"/>
      <c r="AE14" s="99"/>
      <c r="AF14" s="99"/>
      <c r="AG14" s="99"/>
      <c r="AH14" s="99"/>
      <c r="AI14" s="154"/>
      <c r="AJ14" s="101" t="s">
        <v>1106</v>
      </c>
      <c r="AK14" s="99"/>
      <c r="AL14" s="99"/>
      <c r="AM14" s="99"/>
      <c r="AN14" s="99"/>
      <c r="AO14" s="99"/>
      <c r="AP14" s="99"/>
      <c r="AQ14" s="99"/>
      <c r="AR14" s="99"/>
      <c r="AS14" s="99"/>
      <c r="AT14" s="99"/>
      <c r="AU14" s="99"/>
      <c r="AV14" s="99"/>
      <c r="AW14" s="99"/>
      <c r="AX14" s="99"/>
      <c r="AY14" s="99"/>
      <c r="AZ14" s="99"/>
      <c r="BA14" s="99"/>
      <c r="BB14" s="99"/>
      <c r="BC14" s="99"/>
      <c r="BD14" s="99"/>
      <c r="BE14" s="99"/>
      <c r="BF14" s="99"/>
      <c r="BG14" s="99"/>
      <c r="BH14" s="99"/>
      <c r="BI14" s="99"/>
      <c r="BJ14" s="154"/>
      <c r="BK14" s="158"/>
    </row>
    <row r="15" spans="1:63" s="91" customFormat="1" ht="15.75" customHeight="1">
      <c r="A15" s="105"/>
      <c r="B15" s="117"/>
      <c r="C15" s="118"/>
      <c r="D15" s="118"/>
      <c r="E15" s="118"/>
      <c r="F15" s="118"/>
      <c r="G15" s="119"/>
      <c r="H15" s="120"/>
      <c r="I15" s="101"/>
      <c r="J15" s="99"/>
      <c r="K15" s="99"/>
      <c r="L15" s="99"/>
      <c r="M15" s="99"/>
      <c r="N15" s="99"/>
      <c r="O15" s="99"/>
      <c r="P15" s="99"/>
      <c r="Q15" s="146"/>
      <c r="R15" s="99"/>
      <c r="S15" s="99"/>
      <c r="T15" s="99"/>
      <c r="U15" s="99"/>
      <c r="V15" s="99"/>
      <c r="W15" s="99"/>
      <c r="X15" s="99"/>
      <c r="Y15" s="99"/>
      <c r="Z15" s="99"/>
      <c r="AA15" s="99"/>
      <c r="AB15" s="99"/>
      <c r="AC15" s="99"/>
      <c r="AD15" s="99"/>
      <c r="AE15" s="99"/>
      <c r="AF15" s="99"/>
      <c r="AG15" s="99"/>
      <c r="AH15" s="99"/>
      <c r="AI15" s="154"/>
      <c r="AJ15" s="101" t="s">
        <v>1107</v>
      </c>
      <c r="AK15" s="99"/>
      <c r="AL15" s="99"/>
      <c r="AM15" s="99"/>
      <c r="AN15" s="99"/>
      <c r="AO15" s="99"/>
      <c r="AP15" s="99"/>
      <c r="AQ15" s="99"/>
      <c r="AR15" s="99"/>
      <c r="AS15" s="99"/>
      <c r="AT15" s="99"/>
      <c r="AU15" s="99"/>
      <c r="AV15" s="99"/>
      <c r="AW15" s="99"/>
      <c r="AX15" s="99"/>
      <c r="AY15" s="99"/>
      <c r="AZ15" s="99"/>
      <c r="BA15" s="99"/>
      <c r="BB15" s="99"/>
      <c r="BC15" s="99"/>
      <c r="BD15" s="99"/>
      <c r="BE15" s="99"/>
      <c r="BF15" s="99"/>
      <c r="BG15" s="99"/>
      <c r="BH15" s="99"/>
      <c r="BI15" s="99"/>
      <c r="BJ15" s="154"/>
      <c r="BK15" s="158"/>
    </row>
    <row r="16" spans="1:63" s="91" customFormat="1" ht="15.75" customHeight="1">
      <c r="A16" s="105"/>
      <c r="B16" s="117"/>
      <c r="C16" s="118"/>
      <c r="D16" s="118"/>
      <c r="E16" s="118"/>
      <c r="F16" s="118"/>
      <c r="G16" s="119"/>
      <c r="H16" s="120"/>
      <c r="I16" s="101" t="s">
        <v>1108</v>
      </c>
      <c r="J16" s="99"/>
      <c r="K16" s="99"/>
      <c r="L16" s="99"/>
      <c r="M16" s="99"/>
      <c r="N16" s="99"/>
      <c r="O16" s="99"/>
      <c r="P16" s="99"/>
      <c r="Q16" s="146"/>
      <c r="R16" s="99"/>
      <c r="S16" s="99"/>
      <c r="T16" s="99"/>
      <c r="U16" s="99"/>
      <c r="V16" s="99"/>
      <c r="W16" s="99"/>
      <c r="X16" s="99"/>
      <c r="Y16" s="99"/>
      <c r="Z16" s="99"/>
      <c r="AA16" s="99"/>
      <c r="AB16" s="99"/>
      <c r="AC16" s="99"/>
      <c r="AD16" s="99"/>
      <c r="AE16" s="99"/>
      <c r="AF16" s="99"/>
      <c r="AG16" s="99"/>
      <c r="AH16" s="99"/>
      <c r="AI16" s="154"/>
      <c r="AJ16" s="101" t="s">
        <v>1109</v>
      </c>
      <c r="AK16" s="99"/>
      <c r="AL16" s="99"/>
      <c r="AM16" s="99"/>
      <c r="AN16" s="99"/>
      <c r="AO16" s="99"/>
      <c r="AP16" s="99"/>
      <c r="AQ16" s="99"/>
      <c r="AR16" s="99"/>
      <c r="AS16" s="99"/>
      <c r="AT16" s="99"/>
      <c r="AU16" s="99"/>
      <c r="AV16" s="99"/>
      <c r="AW16" s="99"/>
      <c r="AX16" s="99"/>
      <c r="AY16" s="99"/>
      <c r="AZ16" s="99"/>
      <c r="BA16" s="99"/>
      <c r="BB16" s="99"/>
      <c r="BC16" s="99"/>
      <c r="BD16" s="99"/>
      <c r="BE16" s="99"/>
      <c r="BF16" s="99"/>
      <c r="BG16" s="99"/>
      <c r="BH16" s="99"/>
      <c r="BI16" s="99"/>
      <c r="BJ16" s="154"/>
      <c r="BK16" s="158"/>
    </row>
    <row r="17" spans="1:63" s="91" customFormat="1" ht="15.75" customHeight="1">
      <c r="A17" s="105"/>
      <c r="B17" s="121"/>
      <c r="C17" s="122"/>
      <c r="D17" s="122"/>
      <c r="E17" s="122"/>
      <c r="F17" s="122"/>
      <c r="G17" s="123"/>
      <c r="H17" s="124"/>
      <c r="I17" s="101"/>
      <c r="J17" s="99"/>
      <c r="K17" s="99"/>
      <c r="L17" s="99"/>
      <c r="M17" s="99"/>
      <c r="N17" s="99"/>
      <c r="O17" s="99"/>
      <c r="P17" s="99"/>
      <c r="Q17" s="146"/>
      <c r="R17" s="99"/>
      <c r="S17" s="99"/>
      <c r="T17" s="99"/>
      <c r="U17" s="99"/>
      <c r="V17" s="99"/>
      <c r="W17" s="99"/>
      <c r="X17" s="99"/>
      <c r="Y17" s="99"/>
      <c r="Z17" s="99"/>
      <c r="AA17" s="99"/>
      <c r="AB17" s="99"/>
      <c r="AC17" s="99"/>
      <c r="AD17" s="99"/>
      <c r="AE17" s="99"/>
      <c r="AF17" s="99"/>
      <c r="AG17" s="99"/>
      <c r="AH17" s="99"/>
      <c r="AI17" s="154"/>
      <c r="AJ17" s="101" t="s">
        <v>1110</v>
      </c>
      <c r="AK17" s="99"/>
      <c r="AL17" s="99"/>
      <c r="AM17" s="99"/>
      <c r="AN17" s="99"/>
      <c r="AO17" s="99"/>
      <c r="AP17" s="99"/>
      <c r="AQ17" s="99"/>
      <c r="AR17" s="99"/>
      <c r="AS17" s="99"/>
      <c r="AT17" s="99"/>
      <c r="AU17" s="99"/>
      <c r="AV17" s="99"/>
      <c r="AW17" s="99"/>
      <c r="AX17" s="99"/>
      <c r="AY17" s="99"/>
      <c r="AZ17" s="99"/>
      <c r="BA17" s="99"/>
      <c r="BB17" s="99"/>
      <c r="BC17" s="99"/>
      <c r="BD17" s="99"/>
      <c r="BE17" s="99"/>
      <c r="BF17" s="99"/>
      <c r="BG17" s="99"/>
      <c r="BH17" s="99"/>
      <c r="BI17" s="99"/>
      <c r="BJ17" s="154"/>
      <c r="BK17" s="158"/>
    </row>
    <row r="18" spans="1:63" s="91" customFormat="1" ht="15.75" customHeight="1">
      <c r="A18" s="105"/>
      <c r="B18" s="108" t="s">
        <v>1111</v>
      </c>
      <c r="C18" s="109"/>
      <c r="D18" s="109"/>
      <c r="E18" s="109"/>
      <c r="F18" s="109"/>
      <c r="G18" s="112"/>
      <c r="H18" s="111"/>
      <c r="I18" s="101" t="s">
        <v>221</v>
      </c>
      <c r="J18" s="99"/>
      <c r="K18" s="99"/>
      <c r="L18" s="99"/>
      <c r="M18" s="99"/>
      <c r="N18" s="99"/>
      <c r="O18" s="99"/>
      <c r="P18" s="99"/>
      <c r="Q18" s="146"/>
      <c r="R18" s="99"/>
      <c r="S18" s="99"/>
      <c r="T18" s="99"/>
      <c r="U18" s="99"/>
      <c r="V18" s="99"/>
      <c r="W18" s="99"/>
      <c r="X18" s="99"/>
      <c r="Y18" s="99"/>
      <c r="Z18" s="99"/>
      <c r="AA18" s="99"/>
      <c r="AB18" s="99"/>
      <c r="AC18" s="99"/>
      <c r="AD18" s="99"/>
      <c r="AE18" s="99"/>
      <c r="AF18" s="99"/>
      <c r="AG18" s="99"/>
      <c r="AH18" s="99"/>
      <c r="AI18" s="99"/>
      <c r="AJ18" s="99"/>
      <c r="AK18" s="99"/>
      <c r="AL18" s="99"/>
      <c r="AM18" s="99"/>
      <c r="AN18" s="99"/>
      <c r="AO18" s="99"/>
      <c r="AP18" s="99"/>
      <c r="AQ18" s="99"/>
      <c r="AR18" s="99"/>
      <c r="AS18" s="99"/>
      <c r="AT18" s="99"/>
      <c r="AU18" s="99"/>
      <c r="AV18" s="99"/>
      <c r="AW18" s="99"/>
      <c r="AX18" s="99"/>
      <c r="AY18" s="99"/>
      <c r="AZ18" s="99"/>
      <c r="BA18" s="99"/>
      <c r="BB18" s="99"/>
      <c r="BC18" s="99"/>
      <c r="BD18" s="99"/>
      <c r="BE18" s="99"/>
      <c r="BF18" s="99"/>
      <c r="BG18" s="99"/>
      <c r="BH18" s="99"/>
      <c r="BI18" s="99"/>
      <c r="BJ18" s="154"/>
      <c r="BK18" s="158"/>
    </row>
    <row r="19" spans="1:63" s="91" customFormat="1" ht="15.75" customHeight="1">
      <c r="A19" s="105"/>
      <c r="B19" s="106"/>
      <c r="G19" s="107"/>
      <c r="Q19" s="148"/>
      <c r="BK19" s="158"/>
    </row>
    <row r="20" spans="1:63" s="90" customFormat="1" ht="15.75" customHeight="1">
      <c r="A20" s="105"/>
      <c r="B20" s="91"/>
      <c r="C20" s="106"/>
      <c r="D20" s="91"/>
      <c r="E20" s="107"/>
      <c r="F20" s="91"/>
      <c r="G20" s="91"/>
      <c r="H20" s="91"/>
      <c r="I20" s="91"/>
      <c r="J20" s="107"/>
      <c r="K20" s="91"/>
      <c r="L20" s="91"/>
      <c r="M20" s="91"/>
      <c r="N20" s="91"/>
      <c r="O20" s="91"/>
      <c r="P20" s="91"/>
      <c r="Q20" s="148"/>
      <c r="R20" s="91"/>
      <c r="S20" s="91"/>
      <c r="T20" s="91"/>
      <c r="U20" s="91"/>
      <c r="V20" s="91"/>
      <c r="W20" s="91"/>
      <c r="X20" s="91"/>
      <c r="Y20" s="91"/>
      <c r="Z20" s="91"/>
      <c r="AA20" s="91"/>
      <c r="AB20" s="91"/>
      <c r="AC20" s="91"/>
      <c r="AD20" s="91"/>
      <c r="AE20" s="91"/>
      <c r="AF20" s="91"/>
      <c r="AG20" s="91"/>
      <c r="AH20" s="91"/>
      <c r="AI20" s="91"/>
      <c r="AJ20" s="91"/>
      <c r="AK20" s="91"/>
      <c r="AL20" s="91"/>
      <c r="AM20" s="91"/>
      <c r="AN20" s="91"/>
      <c r="AO20" s="91"/>
      <c r="AP20" s="91"/>
      <c r="AQ20" s="91"/>
      <c r="AR20" s="91"/>
      <c r="AS20" s="91"/>
      <c r="AT20" s="91"/>
      <c r="AU20" s="91"/>
      <c r="AV20" s="91"/>
      <c r="AW20" s="91"/>
      <c r="AX20" s="91"/>
      <c r="AY20" s="91"/>
      <c r="AZ20" s="91"/>
      <c r="BA20" s="91"/>
      <c r="BB20" s="91"/>
      <c r="BC20" s="91"/>
      <c r="BD20" s="91"/>
      <c r="BE20" s="91"/>
      <c r="BF20" s="91"/>
      <c r="BG20" s="91"/>
      <c r="BH20" s="91"/>
      <c r="BI20" s="91"/>
      <c r="BJ20" s="91"/>
      <c r="BK20" s="158"/>
    </row>
    <row r="21" spans="1:63" s="90" customFormat="1" ht="15.75" customHeight="1">
      <c r="A21" s="95" t="s">
        <v>211</v>
      </c>
      <c r="B21" s="96"/>
      <c r="C21" s="96"/>
      <c r="D21" s="97" t="s">
        <v>212</v>
      </c>
      <c r="E21" s="96"/>
      <c r="F21" s="96"/>
      <c r="G21" s="96"/>
      <c r="H21" s="96"/>
      <c r="I21" s="96"/>
      <c r="J21" s="96"/>
      <c r="K21" s="96"/>
      <c r="L21" s="96"/>
      <c r="M21" s="96"/>
      <c r="N21" s="96"/>
      <c r="O21" s="96"/>
      <c r="P21" s="96"/>
      <c r="Q21" s="96"/>
      <c r="R21" s="96"/>
      <c r="S21" s="96"/>
      <c r="T21" s="96"/>
      <c r="U21" s="96"/>
      <c r="V21" s="96"/>
      <c r="W21" s="96"/>
      <c r="X21" s="96"/>
      <c r="Y21" s="141" t="s">
        <v>1091</v>
      </c>
      <c r="Z21" s="140"/>
      <c r="AA21" s="140"/>
      <c r="AB21" s="140"/>
      <c r="AC21" s="140"/>
      <c r="AD21" s="140"/>
      <c r="AE21" s="140"/>
      <c r="AF21" s="140"/>
      <c r="AG21" s="153"/>
      <c r="AH21" s="140" t="s">
        <v>1092</v>
      </c>
      <c r="AI21" s="96"/>
      <c r="AJ21" s="96"/>
      <c r="AK21" s="96"/>
      <c r="AL21" s="96"/>
      <c r="AM21" s="96"/>
      <c r="AN21" s="96"/>
      <c r="AO21" s="96"/>
      <c r="AP21" s="96"/>
      <c r="AQ21" s="96"/>
      <c r="AR21" s="96"/>
      <c r="AS21" s="96"/>
      <c r="AT21" s="96"/>
      <c r="AU21" s="96"/>
      <c r="AV21" s="96"/>
      <c r="AW21" s="96"/>
      <c r="AX21" s="96"/>
      <c r="AY21" s="96"/>
      <c r="AZ21" s="96"/>
      <c r="BA21" s="96"/>
      <c r="BB21" s="96"/>
      <c r="BC21" s="96"/>
      <c r="BD21" s="96"/>
      <c r="BE21" s="96"/>
      <c r="BF21" s="96"/>
      <c r="BG21" s="96"/>
      <c r="BH21" s="96"/>
      <c r="BI21" s="96"/>
      <c r="BJ21" s="96"/>
      <c r="BK21" s="155"/>
    </row>
    <row r="22" spans="1:63" s="90" customFormat="1" ht="15.75" customHeight="1">
      <c r="A22" s="98" t="s">
        <v>1112</v>
      </c>
      <c r="B22" s="99"/>
      <c r="C22" s="100"/>
      <c r="D22" s="101" t="s">
        <v>1059</v>
      </c>
      <c r="E22" s="99"/>
      <c r="F22" s="99"/>
      <c r="G22" s="99"/>
      <c r="H22" s="99"/>
      <c r="I22" s="99"/>
      <c r="J22" s="144"/>
      <c r="K22" s="99"/>
      <c r="L22" s="99"/>
      <c r="M22" s="99"/>
      <c r="N22" s="99"/>
      <c r="O22" s="99"/>
      <c r="P22" s="99"/>
      <c r="Q22" s="146"/>
      <c r="R22" s="99"/>
      <c r="S22" s="99"/>
      <c r="T22" s="99"/>
      <c r="U22" s="99"/>
      <c r="V22" s="99"/>
      <c r="W22" s="99"/>
      <c r="X22" s="99"/>
      <c r="Y22" s="12" t="s">
        <v>267</v>
      </c>
      <c r="Z22" s="13"/>
      <c r="AA22" s="13"/>
      <c r="AB22" s="13"/>
      <c r="AC22" s="13"/>
      <c r="AD22" s="13"/>
      <c r="AE22" s="13"/>
      <c r="AF22" s="13"/>
      <c r="AG22" s="14"/>
      <c r="AH22" s="13" t="s">
        <v>1113</v>
      </c>
      <c r="AI22" s="99"/>
      <c r="AJ22" s="99"/>
      <c r="AK22" s="99"/>
      <c r="AL22" s="99"/>
      <c r="AM22" s="99"/>
      <c r="AN22" s="99"/>
      <c r="AO22" s="99"/>
      <c r="AP22" s="99"/>
      <c r="AQ22" s="99"/>
      <c r="AR22" s="99"/>
      <c r="AS22" s="99"/>
      <c r="AT22" s="99"/>
      <c r="AU22" s="99"/>
      <c r="AV22" s="99"/>
      <c r="AW22" s="99"/>
      <c r="AX22" s="99"/>
      <c r="AY22" s="99"/>
      <c r="AZ22" s="99"/>
      <c r="BA22" s="99"/>
      <c r="BB22" s="99"/>
      <c r="BC22" s="99"/>
      <c r="BD22" s="99"/>
      <c r="BE22" s="99"/>
      <c r="BF22" s="99"/>
      <c r="BG22" s="99"/>
      <c r="BH22" s="99"/>
      <c r="BI22" s="99"/>
      <c r="BJ22" s="99"/>
      <c r="BK22" s="156"/>
    </row>
    <row r="23" spans="1:63" s="90" customFormat="1" ht="15.75" customHeight="1">
      <c r="A23" s="102"/>
      <c r="B23" s="103"/>
      <c r="C23" s="103"/>
      <c r="D23" s="103"/>
      <c r="E23" s="103"/>
      <c r="F23" s="103"/>
      <c r="G23" s="104"/>
      <c r="H23" s="103"/>
      <c r="I23" s="103"/>
      <c r="J23" s="103"/>
      <c r="K23" s="103"/>
      <c r="L23" s="103"/>
      <c r="M23" s="103"/>
      <c r="N23" s="103"/>
      <c r="O23" s="103"/>
      <c r="P23" s="103"/>
      <c r="Q23" s="147"/>
      <c r="R23" s="103"/>
      <c r="S23" s="103"/>
      <c r="T23" s="103"/>
      <c r="U23" s="103"/>
      <c r="V23" s="103"/>
      <c r="W23" s="103"/>
      <c r="X23" s="103"/>
      <c r="Y23" s="103"/>
      <c r="Z23" s="103"/>
      <c r="AA23" s="103"/>
      <c r="AB23" s="103"/>
      <c r="AC23" s="103"/>
      <c r="AD23" s="103"/>
      <c r="AE23" s="103"/>
      <c r="AF23" s="103"/>
      <c r="AG23" s="103"/>
      <c r="AH23" s="103"/>
      <c r="AI23" s="103"/>
      <c r="AJ23" s="103"/>
      <c r="AK23" s="103"/>
      <c r="AL23" s="103"/>
      <c r="AM23" s="103"/>
      <c r="AN23" s="103"/>
      <c r="AO23" s="103"/>
      <c r="AP23" s="103"/>
      <c r="AQ23" s="103"/>
      <c r="AR23" s="103"/>
      <c r="AS23" s="103"/>
      <c r="AT23" s="103"/>
      <c r="AU23" s="103"/>
      <c r="AV23" s="103"/>
      <c r="AW23" s="103"/>
      <c r="AX23" s="103"/>
      <c r="AY23" s="103"/>
      <c r="AZ23" s="103"/>
      <c r="BA23" s="103"/>
      <c r="BB23" s="103"/>
      <c r="BC23" s="103"/>
      <c r="BD23" s="103"/>
      <c r="BE23" s="103"/>
      <c r="BF23" s="103"/>
      <c r="BG23" s="103"/>
      <c r="BH23" s="103"/>
      <c r="BI23" s="103"/>
      <c r="BJ23" s="103"/>
      <c r="BK23" s="157"/>
    </row>
    <row r="24" spans="1:63" s="90" customFormat="1" ht="15.75" customHeight="1">
      <c r="A24" s="105"/>
      <c r="B24" s="106" t="s">
        <v>1094</v>
      </c>
      <c r="C24" s="91"/>
      <c r="D24" s="91"/>
      <c r="E24" s="91"/>
      <c r="F24" s="91"/>
      <c r="G24" s="107"/>
      <c r="H24" s="91"/>
      <c r="I24" s="91"/>
      <c r="J24" s="91"/>
      <c r="K24" s="91"/>
      <c r="L24" s="91"/>
      <c r="M24" s="91"/>
      <c r="N24" s="91"/>
      <c r="O24" s="91"/>
      <c r="P24" s="91"/>
      <c r="Q24" s="148"/>
      <c r="R24" s="91"/>
      <c r="S24" s="91"/>
      <c r="T24" s="91"/>
      <c r="U24" s="91"/>
      <c r="V24" s="91"/>
      <c r="W24" s="91"/>
      <c r="X24" s="91"/>
      <c r="Y24" s="91"/>
      <c r="Z24" s="91"/>
      <c r="AA24" s="91"/>
      <c r="AB24" s="91"/>
      <c r="AC24" s="91"/>
      <c r="AD24" s="91"/>
      <c r="AE24" s="91"/>
      <c r="AF24" s="91"/>
      <c r="AG24" s="91"/>
      <c r="AH24" s="91"/>
      <c r="AI24" s="91"/>
      <c r="AJ24" s="91"/>
      <c r="AK24" s="91"/>
      <c r="AL24" s="91"/>
      <c r="AM24" s="91"/>
      <c r="AN24" s="91"/>
      <c r="AO24" s="91"/>
      <c r="AP24" s="91"/>
      <c r="AQ24" s="91"/>
      <c r="AR24" s="91"/>
      <c r="AS24" s="91"/>
      <c r="AT24" s="91"/>
      <c r="AU24" s="91"/>
      <c r="AV24" s="91"/>
      <c r="AW24" s="91"/>
      <c r="AX24" s="91"/>
      <c r="AY24" s="91"/>
      <c r="AZ24" s="91"/>
      <c r="BA24" s="91"/>
      <c r="BB24" s="91"/>
      <c r="BC24" s="91"/>
      <c r="BD24" s="91"/>
      <c r="BE24" s="91"/>
      <c r="BF24" s="91"/>
      <c r="BG24" s="91"/>
      <c r="BH24" s="91"/>
      <c r="BI24" s="91"/>
      <c r="BJ24" s="91"/>
      <c r="BK24" s="158"/>
    </row>
    <row r="25" spans="1:63" s="91" customFormat="1" ht="15.75" customHeight="1">
      <c r="A25" s="105"/>
      <c r="B25" s="108" t="s">
        <v>1095</v>
      </c>
      <c r="C25" s="109"/>
      <c r="D25" s="109"/>
      <c r="E25" s="109"/>
      <c r="F25" s="109"/>
      <c r="G25" s="110"/>
      <c r="H25" s="111"/>
      <c r="I25" s="101" t="s">
        <v>1114</v>
      </c>
      <c r="J25" s="99"/>
      <c r="K25" s="99"/>
      <c r="L25" s="99"/>
      <c r="M25" s="99"/>
      <c r="N25" s="99"/>
      <c r="O25" s="99"/>
      <c r="P25" s="99"/>
      <c r="Q25" s="146"/>
      <c r="R25" s="99"/>
      <c r="S25" s="99"/>
      <c r="T25" s="99"/>
      <c r="U25" s="99"/>
      <c r="V25" s="99"/>
      <c r="W25" s="99"/>
      <c r="X25" s="99"/>
      <c r="Y25" s="99"/>
      <c r="Z25" s="99"/>
      <c r="AA25" s="99"/>
      <c r="AB25" s="99"/>
      <c r="AC25" s="99"/>
      <c r="AD25" s="99"/>
      <c r="AE25" s="99"/>
      <c r="AF25" s="99"/>
      <c r="AG25" s="99"/>
      <c r="AH25" s="99"/>
      <c r="AI25" s="99"/>
      <c r="AJ25" s="99"/>
      <c r="AK25" s="99"/>
      <c r="AL25" s="99"/>
      <c r="AM25" s="99"/>
      <c r="AN25" s="99"/>
      <c r="AO25" s="99"/>
      <c r="AP25" s="99"/>
      <c r="AQ25" s="99"/>
      <c r="AR25" s="99"/>
      <c r="AS25" s="99"/>
      <c r="AT25" s="99"/>
      <c r="AU25" s="99"/>
      <c r="AV25" s="99"/>
      <c r="AW25" s="99"/>
      <c r="AX25" s="99"/>
      <c r="AY25" s="99"/>
      <c r="AZ25" s="99"/>
      <c r="BA25" s="99"/>
      <c r="BB25" s="99"/>
      <c r="BC25" s="99"/>
      <c r="BD25" s="99"/>
      <c r="BE25" s="99"/>
      <c r="BF25" s="99"/>
      <c r="BG25" s="99"/>
      <c r="BH25" s="99"/>
      <c r="BI25" s="99"/>
      <c r="BJ25" s="154"/>
      <c r="BK25" s="158"/>
    </row>
    <row r="26" spans="1:63" s="91" customFormat="1" ht="15.75" customHeight="1">
      <c r="A26" s="105"/>
      <c r="B26" s="108" t="s">
        <v>1097</v>
      </c>
      <c r="C26" s="109"/>
      <c r="D26" s="109"/>
      <c r="E26" s="109"/>
      <c r="F26" s="109"/>
      <c r="G26" s="112"/>
      <c r="H26" s="111"/>
      <c r="I26" s="101" t="s">
        <v>1059</v>
      </c>
      <c r="J26" s="99"/>
      <c r="K26" s="99"/>
      <c r="L26" s="99"/>
      <c r="M26" s="99"/>
      <c r="N26" s="99"/>
      <c r="O26" s="99"/>
      <c r="P26" s="99"/>
      <c r="Q26" s="146"/>
      <c r="R26" s="99"/>
      <c r="S26" s="99"/>
      <c r="T26" s="99"/>
      <c r="U26" s="99"/>
      <c r="V26" s="99"/>
      <c r="W26" s="99"/>
      <c r="X26" s="99"/>
      <c r="Y26" s="99"/>
      <c r="Z26" s="99"/>
      <c r="AA26" s="99"/>
      <c r="AB26" s="99"/>
      <c r="AC26" s="99"/>
      <c r="AD26" s="99"/>
      <c r="AE26" s="99"/>
      <c r="AF26" s="99"/>
      <c r="AG26" s="99"/>
      <c r="AH26" s="99"/>
      <c r="AI26" s="99"/>
      <c r="AJ26" s="99"/>
      <c r="AK26" s="99"/>
      <c r="AL26" s="99"/>
      <c r="AM26" s="99"/>
      <c r="AN26" s="99"/>
      <c r="AO26" s="99"/>
      <c r="AP26" s="99"/>
      <c r="AQ26" s="99"/>
      <c r="AR26" s="99"/>
      <c r="AS26" s="99"/>
      <c r="AT26" s="99"/>
      <c r="AU26" s="99"/>
      <c r="AV26" s="99"/>
      <c r="AW26" s="99"/>
      <c r="AX26" s="99"/>
      <c r="AY26" s="99"/>
      <c r="AZ26" s="99"/>
      <c r="BA26" s="99"/>
      <c r="BB26" s="99"/>
      <c r="BC26" s="99"/>
      <c r="BD26" s="99"/>
      <c r="BE26" s="99"/>
      <c r="BF26" s="99"/>
      <c r="BG26" s="99"/>
      <c r="BH26" s="99"/>
      <c r="BI26" s="99"/>
      <c r="BJ26" s="154"/>
      <c r="BK26" s="158"/>
    </row>
    <row r="27" spans="1:63" s="90" customFormat="1" ht="15.75" customHeight="1">
      <c r="A27" s="105"/>
      <c r="B27" s="108" t="s">
        <v>1099</v>
      </c>
      <c r="C27" s="109"/>
      <c r="D27" s="109"/>
      <c r="E27" s="109"/>
      <c r="F27" s="109"/>
      <c r="G27" s="110"/>
      <c r="H27" s="111"/>
      <c r="I27" s="101" t="s">
        <v>1115</v>
      </c>
      <c r="J27" s="99"/>
      <c r="K27" s="99"/>
      <c r="L27" s="99"/>
      <c r="M27" s="99"/>
      <c r="N27" s="99"/>
      <c r="O27" s="99"/>
      <c r="P27" s="99"/>
      <c r="Q27" s="146"/>
      <c r="R27" s="99"/>
      <c r="S27" s="99"/>
      <c r="T27" s="99"/>
      <c r="U27" s="99"/>
      <c r="V27" s="99"/>
      <c r="W27" s="99"/>
      <c r="X27" s="99"/>
      <c r="Y27" s="99"/>
      <c r="Z27" s="99"/>
      <c r="AA27" s="99"/>
      <c r="AB27" s="99"/>
      <c r="AC27" s="99"/>
      <c r="AD27" s="99"/>
      <c r="AE27" s="99"/>
      <c r="AF27" s="99"/>
      <c r="AG27" s="99"/>
      <c r="AH27" s="99"/>
      <c r="AI27" s="99"/>
      <c r="AJ27" s="99"/>
      <c r="AK27" s="99"/>
      <c r="AL27" s="99"/>
      <c r="AM27" s="99"/>
      <c r="AN27" s="99"/>
      <c r="AO27" s="99"/>
      <c r="AP27" s="99"/>
      <c r="AQ27" s="99"/>
      <c r="AR27" s="99"/>
      <c r="AS27" s="99"/>
      <c r="AT27" s="99"/>
      <c r="AU27" s="99"/>
      <c r="AV27" s="99"/>
      <c r="AW27" s="99"/>
      <c r="AX27" s="99"/>
      <c r="AY27" s="99"/>
      <c r="AZ27" s="99"/>
      <c r="BA27" s="99"/>
      <c r="BB27" s="99"/>
      <c r="BC27" s="99"/>
      <c r="BD27" s="99"/>
      <c r="BE27" s="99"/>
      <c r="BF27" s="99"/>
      <c r="BG27" s="99"/>
      <c r="BH27" s="99"/>
      <c r="BI27" s="99"/>
      <c r="BJ27" s="154"/>
      <c r="BK27" s="158"/>
    </row>
    <row r="28" spans="1:63" s="91" customFormat="1" ht="15.75" customHeight="1">
      <c r="A28" s="105"/>
      <c r="B28" s="113" t="s">
        <v>1116</v>
      </c>
      <c r="C28" s="114"/>
      <c r="D28" s="114"/>
      <c r="E28" s="114"/>
      <c r="F28" s="114"/>
      <c r="G28" s="115"/>
      <c r="H28" s="116"/>
      <c r="I28" s="108" t="s">
        <v>1102</v>
      </c>
      <c r="J28" s="109"/>
      <c r="K28" s="109"/>
      <c r="L28" s="109"/>
      <c r="M28" s="109"/>
      <c r="N28" s="109"/>
      <c r="O28" s="109"/>
      <c r="P28" s="109"/>
      <c r="Q28" s="149"/>
      <c r="R28" s="109"/>
      <c r="S28" s="109"/>
      <c r="T28" s="109"/>
      <c r="U28" s="109"/>
      <c r="V28" s="109"/>
      <c r="W28" s="109"/>
      <c r="X28" s="109"/>
      <c r="Y28" s="109"/>
      <c r="Z28" s="109"/>
      <c r="AA28" s="109"/>
      <c r="AB28" s="109"/>
      <c r="AC28" s="109"/>
      <c r="AD28" s="109"/>
      <c r="AE28" s="109"/>
      <c r="AF28" s="109"/>
      <c r="AG28" s="109"/>
      <c r="AH28" s="109"/>
      <c r="AI28" s="111"/>
      <c r="AJ28" s="108" t="s">
        <v>1103</v>
      </c>
      <c r="AK28" s="109"/>
      <c r="AL28" s="109"/>
      <c r="AM28" s="109"/>
      <c r="AN28" s="109"/>
      <c r="AO28" s="109"/>
      <c r="AP28" s="109"/>
      <c r="AQ28" s="109"/>
      <c r="AR28" s="109"/>
      <c r="AS28" s="109"/>
      <c r="AT28" s="109"/>
      <c r="AU28" s="109"/>
      <c r="AV28" s="109"/>
      <c r="AW28" s="109"/>
      <c r="AX28" s="109"/>
      <c r="AY28" s="109"/>
      <c r="AZ28" s="109"/>
      <c r="BA28" s="109"/>
      <c r="BB28" s="109"/>
      <c r="BC28" s="109"/>
      <c r="BD28" s="109"/>
      <c r="BE28" s="109"/>
      <c r="BF28" s="109"/>
      <c r="BG28" s="109"/>
      <c r="BH28" s="109"/>
      <c r="BI28" s="109"/>
      <c r="BJ28" s="111"/>
      <c r="BK28" s="158"/>
    </row>
    <row r="29" spans="1:63" s="91" customFormat="1" ht="15.75" customHeight="1">
      <c r="A29" s="105"/>
      <c r="B29" s="117"/>
      <c r="C29" s="118"/>
      <c r="D29" s="118"/>
      <c r="E29" s="118"/>
      <c r="F29" s="118"/>
      <c r="G29" s="119"/>
      <c r="H29" s="120"/>
      <c r="I29" s="101" t="s">
        <v>268</v>
      </c>
      <c r="J29" s="99"/>
      <c r="K29" s="99"/>
      <c r="L29" s="99"/>
      <c r="M29" s="99"/>
      <c r="N29" s="99"/>
      <c r="O29" s="99"/>
      <c r="P29" s="99"/>
      <c r="Q29" s="146"/>
      <c r="R29" s="99"/>
      <c r="S29" s="99"/>
      <c r="T29" s="99"/>
      <c r="U29" s="99"/>
      <c r="V29" s="99"/>
      <c r="W29" s="99"/>
      <c r="X29" s="99"/>
      <c r="Y29" s="99"/>
      <c r="Z29" s="99"/>
      <c r="AA29" s="99"/>
      <c r="AB29" s="99"/>
      <c r="AC29" s="99"/>
      <c r="AD29" s="99"/>
      <c r="AE29" s="99"/>
      <c r="AF29" s="99"/>
      <c r="AG29" s="99"/>
      <c r="AH29" s="99"/>
      <c r="AI29" s="154"/>
      <c r="AJ29" s="101" t="s">
        <v>268</v>
      </c>
      <c r="AK29" s="99"/>
      <c r="AL29" s="99"/>
      <c r="AM29" s="99"/>
      <c r="AN29" s="99"/>
      <c r="AO29" s="99"/>
      <c r="AP29" s="99"/>
      <c r="AQ29" s="99"/>
      <c r="AR29" s="99"/>
      <c r="AS29" s="99"/>
      <c r="AT29" s="99"/>
      <c r="AU29" s="99"/>
      <c r="AV29" s="99"/>
      <c r="AW29" s="99"/>
      <c r="AX29" s="99"/>
      <c r="AY29" s="99"/>
      <c r="AZ29" s="99"/>
      <c r="BA29" s="99"/>
      <c r="BB29" s="99"/>
      <c r="BC29" s="99"/>
      <c r="BD29" s="99"/>
      <c r="BE29" s="99"/>
      <c r="BF29" s="99"/>
      <c r="BG29" s="99"/>
      <c r="BH29" s="99"/>
      <c r="BI29" s="99"/>
      <c r="BJ29" s="154"/>
      <c r="BK29" s="158"/>
    </row>
    <row r="30" spans="1:63" s="91" customFormat="1" ht="15.75" customHeight="1">
      <c r="A30" s="105"/>
      <c r="B30" s="117"/>
      <c r="C30" s="118"/>
      <c r="D30" s="118"/>
      <c r="E30" s="118"/>
      <c r="F30" s="118"/>
      <c r="G30" s="119"/>
      <c r="H30" s="120"/>
      <c r="I30" s="101"/>
      <c r="J30" s="99"/>
      <c r="K30" s="99"/>
      <c r="L30" s="99"/>
      <c r="M30" s="99"/>
      <c r="N30" s="99"/>
      <c r="O30" s="99"/>
      <c r="P30" s="99"/>
      <c r="Q30" s="146"/>
      <c r="R30" s="99"/>
      <c r="S30" s="99"/>
      <c r="T30" s="99"/>
      <c r="U30" s="99"/>
      <c r="V30" s="99"/>
      <c r="W30" s="99"/>
      <c r="X30" s="99"/>
      <c r="Y30" s="99"/>
      <c r="Z30" s="99"/>
      <c r="AA30" s="99"/>
      <c r="AB30" s="99"/>
      <c r="AC30" s="99"/>
      <c r="AD30" s="99"/>
      <c r="AE30" s="99"/>
      <c r="AF30" s="99"/>
      <c r="AG30" s="99"/>
      <c r="AH30" s="99"/>
      <c r="AI30" s="154"/>
      <c r="AJ30" s="101" t="s">
        <v>1110</v>
      </c>
      <c r="AK30" s="99"/>
      <c r="AL30" s="99"/>
      <c r="AM30" s="99"/>
      <c r="AN30" s="99"/>
      <c r="AO30" s="99"/>
      <c r="AP30" s="99"/>
      <c r="AQ30" s="99"/>
      <c r="AR30" s="99"/>
      <c r="AS30" s="99"/>
      <c r="AT30" s="99"/>
      <c r="AU30" s="99"/>
      <c r="AV30" s="99"/>
      <c r="AW30" s="99"/>
      <c r="AX30" s="99"/>
      <c r="AY30" s="99"/>
      <c r="AZ30" s="99"/>
      <c r="BA30" s="99"/>
      <c r="BB30" s="99"/>
      <c r="BC30" s="99"/>
      <c r="BD30" s="99"/>
      <c r="BE30" s="99"/>
      <c r="BF30" s="99"/>
      <c r="BG30" s="99"/>
      <c r="BH30" s="99"/>
      <c r="BI30" s="99"/>
      <c r="BJ30" s="154"/>
      <c r="BK30" s="158"/>
    </row>
    <row r="31" spans="1:63" s="91" customFormat="1" ht="15.75" customHeight="1">
      <c r="A31" s="105"/>
      <c r="B31" s="108" t="s">
        <v>1111</v>
      </c>
      <c r="C31" s="109"/>
      <c r="D31" s="109"/>
      <c r="E31" s="109"/>
      <c r="F31" s="109"/>
      <c r="G31" s="112"/>
      <c r="H31" s="111"/>
      <c r="I31" s="101" t="s">
        <v>221</v>
      </c>
      <c r="J31" s="99"/>
      <c r="K31" s="99"/>
      <c r="L31" s="99"/>
      <c r="M31" s="99"/>
      <c r="N31" s="99"/>
      <c r="O31" s="99"/>
      <c r="P31" s="99"/>
      <c r="Q31" s="146"/>
      <c r="R31" s="99"/>
      <c r="S31" s="99"/>
      <c r="T31" s="99"/>
      <c r="U31" s="99"/>
      <c r="V31" s="99"/>
      <c r="W31" s="99"/>
      <c r="X31" s="99"/>
      <c r="Y31" s="99"/>
      <c r="Z31" s="99"/>
      <c r="AA31" s="99"/>
      <c r="AB31" s="99"/>
      <c r="AC31" s="99"/>
      <c r="AD31" s="99"/>
      <c r="AE31" s="99"/>
      <c r="AF31" s="99"/>
      <c r="AG31" s="99"/>
      <c r="AH31" s="99"/>
      <c r="AI31" s="99"/>
      <c r="AJ31" s="99"/>
      <c r="AK31" s="99"/>
      <c r="AL31" s="99"/>
      <c r="AM31" s="99"/>
      <c r="AN31" s="99"/>
      <c r="AO31" s="99"/>
      <c r="AP31" s="99"/>
      <c r="AQ31" s="99"/>
      <c r="AR31" s="99"/>
      <c r="AS31" s="99"/>
      <c r="AT31" s="99"/>
      <c r="AU31" s="99"/>
      <c r="AV31" s="99"/>
      <c r="AW31" s="99"/>
      <c r="AX31" s="99"/>
      <c r="AY31" s="99"/>
      <c r="AZ31" s="99"/>
      <c r="BA31" s="99"/>
      <c r="BB31" s="99"/>
      <c r="BC31" s="99"/>
      <c r="BD31" s="99"/>
      <c r="BE31" s="99"/>
      <c r="BF31" s="99"/>
      <c r="BG31" s="99"/>
      <c r="BH31" s="99"/>
      <c r="BI31" s="99"/>
      <c r="BJ31" s="154"/>
      <c r="BK31" s="158"/>
    </row>
    <row r="32" spans="1:63" s="77" customFormat="1" ht="15.75" customHeight="1">
      <c r="A32" s="125"/>
      <c r="B32" s="126"/>
      <c r="G32" s="127"/>
      <c r="Q32" s="150"/>
      <c r="BK32" s="159"/>
    </row>
    <row r="33" spans="1:63" s="77" customFormat="1" ht="15.75" customHeight="1">
      <c r="A33" s="125"/>
      <c r="B33" s="126"/>
      <c r="G33" s="127"/>
      <c r="Q33" s="150"/>
      <c r="BK33" s="159"/>
    </row>
    <row r="34" spans="1:63" s="77" customFormat="1" ht="15.75" customHeight="1">
      <c r="A34" s="125"/>
      <c r="B34" s="126"/>
      <c r="G34" s="127"/>
      <c r="Q34" s="150"/>
      <c r="BK34" s="159"/>
    </row>
    <row r="35" spans="1:63" s="77" customFormat="1" ht="15.75" customHeight="1">
      <c r="A35" s="125"/>
      <c r="B35" s="126"/>
      <c r="G35" s="127"/>
      <c r="Q35" s="150"/>
      <c r="BK35" s="159"/>
    </row>
    <row r="36" spans="1:63" s="90" customFormat="1" ht="15.75" customHeight="1">
      <c r="A36" s="105"/>
      <c r="B36" s="91"/>
      <c r="C36" s="106"/>
      <c r="D36" s="91"/>
      <c r="E36" s="107"/>
      <c r="F36" s="91"/>
      <c r="G36" s="91"/>
      <c r="H36" s="91"/>
      <c r="I36" s="91"/>
      <c r="J36" s="107"/>
      <c r="K36" s="91"/>
      <c r="L36" s="91"/>
      <c r="M36" s="91"/>
      <c r="N36" s="91"/>
      <c r="O36" s="91"/>
      <c r="P36" s="91"/>
      <c r="Q36" s="148"/>
      <c r="R36" s="91"/>
      <c r="S36" s="91"/>
      <c r="T36" s="91"/>
      <c r="U36" s="91"/>
      <c r="V36" s="91"/>
      <c r="W36" s="91"/>
      <c r="X36" s="91"/>
      <c r="Y36" s="91"/>
      <c r="Z36" s="91"/>
      <c r="AA36" s="91"/>
      <c r="AB36" s="91"/>
      <c r="AC36" s="91"/>
      <c r="AD36" s="91"/>
      <c r="AE36" s="91"/>
      <c r="AF36" s="91"/>
      <c r="AG36" s="91"/>
      <c r="AH36" s="91"/>
      <c r="AI36" s="91"/>
      <c r="AJ36" s="91"/>
      <c r="AK36" s="91"/>
      <c r="AL36" s="91"/>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158"/>
    </row>
    <row r="37" spans="1:63" s="90" customFormat="1" ht="15.75" customHeight="1">
      <c r="A37" s="95" t="s">
        <v>211</v>
      </c>
      <c r="B37" s="96"/>
      <c r="C37" s="96"/>
      <c r="D37" s="97" t="s">
        <v>212</v>
      </c>
      <c r="E37" s="96"/>
      <c r="F37" s="96"/>
      <c r="G37" s="96"/>
      <c r="H37" s="96"/>
      <c r="I37" s="96"/>
      <c r="J37" s="96"/>
      <c r="K37" s="96"/>
      <c r="L37" s="96"/>
      <c r="M37" s="96"/>
      <c r="N37" s="96"/>
      <c r="O37" s="96"/>
      <c r="P37" s="96"/>
      <c r="Q37" s="96"/>
      <c r="R37" s="96"/>
      <c r="S37" s="96"/>
      <c r="T37" s="96"/>
      <c r="U37" s="96"/>
      <c r="V37" s="96"/>
      <c r="W37" s="96"/>
      <c r="X37" s="96"/>
      <c r="Y37" s="141" t="s">
        <v>1091</v>
      </c>
      <c r="Z37" s="140"/>
      <c r="AA37" s="140"/>
      <c r="AB37" s="140"/>
      <c r="AC37" s="140"/>
      <c r="AD37" s="140"/>
      <c r="AE37" s="140"/>
      <c r="AF37" s="140"/>
      <c r="AG37" s="153"/>
      <c r="AH37" s="140" t="s">
        <v>1092</v>
      </c>
      <c r="AI37" s="96"/>
      <c r="AJ37" s="96"/>
      <c r="AK37" s="96"/>
      <c r="AL37" s="96"/>
      <c r="AM37" s="96"/>
      <c r="AN37" s="96"/>
      <c r="AO37" s="96"/>
      <c r="AP37" s="96"/>
      <c r="AQ37" s="96"/>
      <c r="AR37" s="96"/>
      <c r="AS37" s="96"/>
      <c r="AT37" s="96"/>
      <c r="AU37" s="96"/>
      <c r="AV37" s="96"/>
      <c r="AW37" s="96"/>
      <c r="AX37" s="96"/>
      <c r="AY37" s="96"/>
      <c r="AZ37" s="96"/>
      <c r="BA37" s="96"/>
      <c r="BB37" s="96"/>
      <c r="BC37" s="96"/>
      <c r="BD37" s="96"/>
      <c r="BE37" s="96"/>
      <c r="BF37" s="96"/>
      <c r="BG37" s="96"/>
      <c r="BH37" s="96"/>
      <c r="BI37" s="96"/>
      <c r="BJ37" s="96"/>
      <c r="BK37" s="155"/>
    </row>
    <row r="38" spans="1:63" ht="15.75" customHeight="1">
      <c r="A38" s="128" t="s">
        <v>1117</v>
      </c>
      <c r="B38" s="13"/>
      <c r="C38" s="129"/>
      <c r="D38" s="12" t="s">
        <v>1063</v>
      </c>
      <c r="E38" s="13"/>
      <c r="F38" s="13"/>
      <c r="G38" s="13"/>
      <c r="H38" s="13"/>
      <c r="I38" s="13"/>
      <c r="J38" s="145"/>
      <c r="K38" s="13"/>
      <c r="L38" s="13"/>
      <c r="M38" s="13"/>
      <c r="N38" s="13"/>
      <c r="O38" s="13"/>
      <c r="P38" s="13"/>
      <c r="Q38" s="47"/>
      <c r="R38" s="13"/>
      <c r="S38" s="13"/>
      <c r="T38" s="13"/>
      <c r="U38" s="13"/>
      <c r="V38" s="13"/>
      <c r="W38" s="13"/>
      <c r="X38" s="13"/>
      <c r="Y38" s="12"/>
      <c r="Z38" s="13"/>
      <c r="AA38" s="13"/>
      <c r="AB38" s="13"/>
      <c r="AC38" s="13"/>
      <c r="AD38" s="13"/>
      <c r="AE38" s="13"/>
      <c r="AF38" s="13"/>
      <c r="AG38" s="14"/>
      <c r="AH38" s="13"/>
      <c r="AI38" s="99"/>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3"/>
      <c r="BK38" s="160"/>
    </row>
    <row r="39" spans="1:63" ht="15.75" customHeight="1">
      <c r="A39" s="130"/>
      <c r="B39" s="66"/>
      <c r="C39" s="66"/>
      <c r="D39" s="66"/>
      <c r="E39" s="66"/>
      <c r="F39" s="66"/>
      <c r="G39" s="131"/>
      <c r="H39" s="66"/>
      <c r="I39" s="66"/>
      <c r="J39" s="66"/>
      <c r="K39" s="66"/>
      <c r="L39" s="66"/>
      <c r="M39" s="66"/>
      <c r="N39" s="66"/>
      <c r="O39" s="66"/>
      <c r="P39" s="66"/>
      <c r="Q39" s="151"/>
      <c r="R39" s="66"/>
      <c r="S39" s="66"/>
      <c r="T39" s="66"/>
      <c r="U39" s="66"/>
      <c r="V39" s="66"/>
      <c r="W39" s="66"/>
      <c r="X39" s="66"/>
      <c r="Y39" s="66"/>
      <c r="Z39" s="66"/>
      <c r="AA39" s="66"/>
      <c r="AB39" s="66"/>
      <c r="AC39" s="66"/>
      <c r="AD39" s="66"/>
      <c r="AE39" s="66"/>
      <c r="AF39" s="66"/>
      <c r="AG39" s="66"/>
      <c r="AH39" s="66"/>
      <c r="AI39" s="66"/>
      <c r="AJ39" s="66"/>
      <c r="AK39" s="66"/>
      <c r="AL39" s="66"/>
      <c r="AM39" s="66"/>
      <c r="AN39" s="66"/>
      <c r="AO39" s="66"/>
      <c r="AP39" s="66"/>
      <c r="AQ39" s="66"/>
      <c r="AR39" s="66"/>
      <c r="AS39" s="66"/>
      <c r="AT39" s="66"/>
      <c r="AU39" s="66"/>
      <c r="AV39" s="66"/>
      <c r="AW39" s="66"/>
      <c r="AX39" s="66"/>
      <c r="AY39" s="66"/>
      <c r="AZ39" s="66"/>
      <c r="BA39" s="66"/>
      <c r="BB39" s="66"/>
      <c r="BC39" s="66"/>
      <c r="BD39" s="66"/>
      <c r="BE39" s="66"/>
      <c r="BF39" s="66"/>
      <c r="BG39" s="66"/>
      <c r="BH39" s="66"/>
      <c r="BI39" s="66"/>
      <c r="BJ39" s="66"/>
      <c r="BK39" s="80"/>
    </row>
    <row r="40" spans="1:63" s="92" customFormat="1" ht="15.75" customHeight="1">
      <c r="A40" s="125"/>
      <c r="B40" s="126" t="s">
        <v>1094</v>
      </c>
      <c r="C40" s="77"/>
      <c r="D40" s="77"/>
      <c r="E40" s="77"/>
      <c r="F40" s="77"/>
      <c r="G40" s="127"/>
      <c r="H40" s="77"/>
      <c r="I40" s="77"/>
      <c r="J40" s="77"/>
      <c r="K40" s="77"/>
      <c r="L40" s="77"/>
      <c r="M40" s="77"/>
      <c r="N40" s="77"/>
      <c r="O40" s="77"/>
      <c r="P40" s="77"/>
      <c r="Q40" s="150"/>
      <c r="R40" s="77"/>
      <c r="S40" s="77"/>
      <c r="T40" s="77"/>
      <c r="U40" s="77"/>
      <c r="V40" s="77"/>
      <c r="W40" s="77"/>
      <c r="X40" s="77"/>
      <c r="Y40" s="77"/>
      <c r="Z40" s="77"/>
      <c r="AA40" s="77"/>
      <c r="AB40" s="77"/>
      <c r="AC40" s="77"/>
      <c r="AD40" s="77"/>
      <c r="AE40" s="77"/>
      <c r="AF40" s="77"/>
      <c r="AG40" s="77"/>
      <c r="AH40" s="77"/>
      <c r="AI40" s="77"/>
      <c r="AJ40" s="77"/>
      <c r="AK40" s="77"/>
      <c r="AL40" s="77"/>
      <c r="AM40" s="77"/>
      <c r="AN40" s="77"/>
      <c r="AO40" s="77"/>
      <c r="AP40" s="77"/>
      <c r="AQ40" s="77"/>
      <c r="AR40" s="77"/>
      <c r="AS40" s="77"/>
      <c r="AT40" s="77"/>
      <c r="AU40" s="77"/>
      <c r="AV40" s="77"/>
      <c r="AW40" s="77"/>
      <c r="AX40" s="77"/>
      <c r="AY40" s="77"/>
      <c r="AZ40" s="77"/>
      <c r="BA40" s="77"/>
      <c r="BB40" s="77"/>
      <c r="BC40" s="77"/>
      <c r="BD40" s="77"/>
      <c r="BE40" s="77"/>
      <c r="BF40" s="77"/>
      <c r="BG40" s="77"/>
      <c r="BH40" s="77"/>
      <c r="BI40" s="77"/>
      <c r="BJ40" s="77"/>
      <c r="BK40" s="159"/>
    </row>
    <row r="41" spans="1:63" s="10" customFormat="1" ht="15.75" customHeight="1">
      <c r="A41" s="9"/>
      <c r="B41" s="132" t="s">
        <v>1095</v>
      </c>
      <c r="C41" s="133"/>
      <c r="D41" s="133"/>
      <c r="E41" s="133"/>
      <c r="F41" s="133"/>
      <c r="G41" s="134"/>
      <c r="H41" s="135"/>
      <c r="I41" s="12" t="s">
        <v>1118</v>
      </c>
      <c r="J41" s="13"/>
      <c r="K41" s="13"/>
      <c r="L41" s="13"/>
      <c r="M41" s="13"/>
      <c r="N41" s="13"/>
      <c r="O41" s="13"/>
      <c r="P41" s="13"/>
      <c r="Q41" s="47"/>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4"/>
      <c r="BK41" s="51"/>
    </row>
    <row r="42" spans="1:63" s="10" customFormat="1" ht="15.75" customHeight="1">
      <c r="A42" s="9"/>
      <c r="B42" s="132" t="s">
        <v>1097</v>
      </c>
      <c r="C42" s="133"/>
      <c r="D42" s="133"/>
      <c r="E42" s="133"/>
      <c r="F42" s="133"/>
      <c r="G42" s="136"/>
      <c r="H42" s="135"/>
      <c r="I42" s="12" t="s">
        <v>1119</v>
      </c>
      <c r="J42" s="13"/>
      <c r="K42" s="13"/>
      <c r="L42" s="13"/>
      <c r="M42" s="13"/>
      <c r="N42" s="13"/>
      <c r="O42" s="13"/>
      <c r="P42" s="13"/>
      <c r="Q42" s="47"/>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4"/>
      <c r="BK42" s="51"/>
    </row>
    <row r="43" spans="1:63" s="92" customFormat="1" ht="15.75" customHeight="1">
      <c r="A43" s="125"/>
      <c r="B43" s="132" t="s">
        <v>1099</v>
      </c>
      <c r="C43" s="133"/>
      <c r="D43" s="133"/>
      <c r="E43" s="133"/>
      <c r="F43" s="133"/>
      <c r="G43" s="134"/>
      <c r="H43" s="135"/>
      <c r="I43" s="101" t="s">
        <v>1120</v>
      </c>
      <c r="J43" s="76"/>
      <c r="K43" s="76"/>
      <c r="L43" s="76"/>
      <c r="M43" s="76"/>
      <c r="N43" s="76"/>
      <c r="O43" s="76"/>
      <c r="P43" s="76"/>
      <c r="Q43" s="152"/>
      <c r="R43" s="76"/>
      <c r="S43" s="76"/>
      <c r="T43" s="76"/>
      <c r="U43" s="76"/>
      <c r="V43" s="76"/>
      <c r="W43" s="76"/>
      <c r="X43" s="76"/>
      <c r="Y43" s="76"/>
      <c r="Z43" s="76"/>
      <c r="AA43" s="76"/>
      <c r="AB43" s="76"/>
      <c r="AC43" s="76"/>
      <c r="AD43" s="76"/>
      <c r="AE43" s="76"/>
      <c r="AF43" s="76"/>
      <c r="AG43" s="76"/>
      <c r="AH43" s="76"/>
      <c r="AI43" s="76"/>
      <c r="AJ43" s="76"/>
      <c r="AK43" s="76"/>
      <c r="AL43" s="76"/>
      <c r="AM43" s="76"/>
      <c r="AN43" s="76"/>
      <c r="AO43" s="76"/>
      <c r="AP43" s="76"/>
      <c r="AQ43" s="76"/>
      <c r="AR43" s="76"/>
      <c r="AS43" s="76"/>
      <c r="AT43" s="76"/>
      <c r="AU43" s="76"/>
      <c r="AV43" s="76"/>
      <c r="AW43" s="76"/>
      <c r="AX43" s="76"/>
      <c r="AY43" s="76"/>
      <c r="AZ43" s="76"/>
      <c r="BA43" s="76"/>
      <c r="BB43" s="76"/>
      <c r="BC43" s="76"/>
      <c r="BD43" s="76"/>
      <c r="BE43" s="76"/>
      <c r="BF43" s="76"/>
      <c r="BG43" s="76"/>
      <c r="BH43" s="76"/>
      <c r="BI43" s="76"/>
      <c r="BJ43" s="161"/>
      <c r="BK43" s="159"/>
    </row>
    <row r="44" spans="1:63" s="77" customFormat="1" ht="15.75" customHeight="1">
      <c r="A44" s="125"/>
      <c r="B44" s="113" t="s">
        <v>1116</v>
      </c>
      <c r="C44" s="114"/>
      <c r="D44" s="114"/>
      <c r="E44" s="114"/>
      <c r="F44" s="114"/>
      <c r="G44" s="115"/>
      <c r="H44" s="116"/>
      <c r="I44" s="108" t="s">
        <v>1102</v>
      </c>
      <c r="J44" s="109"/>
      <c r="K44" s="109"/>
      <c r="L44" s="109"/>
      <c r="M44" s="109"/>
      <c r="N44" s="109"/>
      <c r="O44" s="109"/>
      <c r="P44" s="109"/>
      <c r="Q44" s="149"/>
      <c r="R44" s="109"/>
      <c r="S44" s="109"/>
      <c r="T44" s="109"/>
      <c r="U44" s="109"/>
      <c r="V44" s="109"/>
      <c r="W44" s="109"/>
      <c r="X44" s="109"/>
      <c r="Y44" s="109"/>
      <c r="Z44" s="109"/>
      <c r="AA44" s="109"/>
      <c r="AB44" s="109"/>
      <c r="AC44" s="109"/>
      <c r="AD44" s="109"/>
      <c r="AE44" s="109"/>
      <c r="AF44" s="109"/>
      <c r="AG44" s="109"/>
      <c r="AH44" s="109"/>
      <c r="AI44" s="111"/>
      <c r="AJ44" s="108" t="s">
        <v>1103</v>
      </c>
      <c r="AK44" s="109"/>
      <c r="AL44" s="109"/>
      <c r="AM44" s="109"/>
      <c r="AN44" s="109"/>
      <c r="AO44" s="109"/>
      <c r="AP44" s="109"/>
      <c r="AQ44" s="109"/>
      <c r="AR44" s="109"/>
      <c r="AS44" s="109"/>
      <c r="AT44" s="109"/>
      <c r="AU44" s="109"/>
      <c r="AV44" s="109"/>
      <c r="AW44" s="109"/>
      <c r="AX44" s="109"/>
      <c r="AY44" s="109"/>
      <c r="AZ44" s="109"/>
      <c r="BA44" s="109"/>
      <c r="BB44" s="109"/>
      <c r="BC44" s="109"/>
      <c r="BD44" s="109"/>
      <c r="BE44" s="109"/>
      <c r="BF44" s="109"/>
      <c r="BG44" s="109"/>
      <c r="BH44" s="109"/>
      <c r="BI44" s="109"/>
      <c r="BJ44" s="111"/>
      <c r="BK44" s="159"/>
    </row>
    <row r="45" spans="1:63" s="77" customFormat="1" ht="15.75" customHeight="1">
      <c r="A45" s="125"/>
      <c r="B45" s="117"/>
      <c r="C45" s="118"/>
      <c r="D45" s="118"/>
      <c r="E45" s="118"/>
      <c r="F45" s="118"/>
      <c r="G45" s="119"/>
      <c r="H45" s="120"/>
      <c r="I45" s="101" t="s">
        <v>268</v>
      </c>
      <c r="J45" s="99"/>
      <c r="K45" s="99"/>
      <c r="L45" s="99"/>
      <c r="M45" s="99"/>
      <c r="N45" s="99"/>
      <c r="O45" s="99"/>
      <c r="P45" s="99"/>
      <c r="Q45" s="146"/>
      <c r="R45" s="99"/>
      <c r="S45" s="99"/>
      <c r="T45" s="99"/>
      <c r="U45" s="99"/>
      <c r="V45" s="99"/>
      <c r="W45" s="99"/>
      <c r="X45" s="99"/>
      <c r="Y45" s="99"/>
      <c r="Z45" s="99"/>
      <c r="AA45" s="99"/>
      <c r="AB45" s="99"/>
      <c r="AC45" s="99"/>
      <c r="AD45" s="99"/>
      <c r="AE45" s="99"/>
      <c r="AF45" s="99"/>
      <c r="AG45" s="99"/>
      <c r="AH45" s="99"/>
      <c r="AI45" s="154"/>
      <c r="AJ45" s="101" t="s">
        <v>1109</v>
      </c>
      <c r="AK45" s="99"/>
      <c r="AL45" s="99"/>
      <c r="AM45" s="99"/>
      <c r="AN45" s="99"/>
      <c r="AO45" s="99"/>
      <c r="AP45" s="99"/>
      <c r="AQ45" s="99"/>
      <c r="AR45" s="99"/>
      <c r="AS45" s="99"/>
      <c r="AT45" s="99"/>
      <c r="AU45" s="99"/>
      <c r="AV45" s="99"/>
      <c r="AW45" s="99"/>
      <c r="AX45" s="99"/>
      <c r="AY45" s="99"/>
      <c r="AZ45" s="99"/>
      <c r="BA45" s="99"/>
      <c r="BB45" s="99"/>
      <c r="BC45" s="99"/>
      <c r="BD45" s="99"/>
      <c r="BE45" s="99"/>
      <c r="BF45" s="99"/>
      <c r="BG45" s="99"/>
      <c r="BH45" s="99"/>
      <c r="BI45" s="99"/>
      <c r="BJ45" s="154"/>
      <c r="BK45" s="159"/>
    </row>
    <row r="46" spans="1:63" s="77" customFormat="1" ht="15.75" customHeight="1">
      <c r="A46" s="125"/>
      <c r="B46" s="117"/>
      <c r="C46" s="118"/>
      <c r="D46" s="118"/>
      <c r="E46" s="118"/>
      <c r="F46" s="118"/>
      <c r="G46" s="119"/>
      <c r="H46" s="120"/>
      <c r="I46" s="101"/>
      <c r="J46" s="99"/>
      <c r="K46" s="99"/>
      <c r="L46" s="99"/>
      <c r="M46" s="99"/>
      <c r="N46" s="99"/>
      <c r="O46" s="99"/>
      <c r="P46" s="99"/>
      <c r="Q46" s="146"/>
      <c r="R46" s="99"/>
      <c r="S46" s="99"/>
      <c r="T46" s="99"/>
      <c r="U46" s="99"/>
      <c r="V46" s="99"/>
      <c r="W46" s="99"/>
      <c r="X46" s="99"/>
      <c r="Y46" s="99"/>
      <c r="Z46" s="99"/>
      <c r="AA46" s="99"/>
      <c r="AB46" s="99"/>
      <c r="AC46" s="99"/>
      <c r="AD46" s="99"/>
      <c r="AE46" s="99"/>
      <c r="AF46" s="99"/>
      <c r="AG46" s="99"/>
      <c r="AH46" s="99"/>
      <c r="AI46" s="154"/>
      <c r="AJ46" s="101" t="s">
        <v>1121</v>
      </c>
      <c r="AK46" s="99"/>
      <c r="AL46" s="99"/>
      <c r="AM46" s="99"/>
      <c r="AN46" s="99"/>
      <c r="AO46" s="99"/>
      <c r="AP46" s="99"/>
      <c r="AQ46" s="99"/>
      <c r="AR46" s="99"/>
      <c r="AS46" s="99"/>
      <c r="AT46" s="99"/>
      <c r="AU46" s="99"/>
      <c r="AV46" s="99"/>
      <c r="AW46" s="99"/>
      <c r="AX46" s="99"/>
      <c r="AY46" s="99"/>
      <c r="AZ46" s="99"/>
      <c r="BA46" s="99"/>
      <c r="BB46" s="99"/>
      <c r="BC46" s="99"/>
      <c r="BD46" s="99"/>
      <c r="BE46" s="99"/>
      <c r="BF46" s="99"/>
      <c r="BG46" s="99"/>
      <c r="BH46" s="99"/>
      <c r="BI46" s="99"/>
      <c r="BJ46" s="154"/>
      <c r="BK46" s="159"/>
    </row>
    <row r="47" spans="1:63" s="77" customFormat="1" ht="15.75" customHeight="1">
      <c r="A47" s="125"/>
      <c r="B47" s="108" t="s">
        <v>1111</v>
      </c>
      <c r="C47" s="109"/>
      <c r="D47" s="109"/>
      <c r="E47" s="109"/>
      <c r="F47" s="109"/>
      <c r="G47" s="112"/>
      <c r="H47" s="111"/>
      <c r="I47" s="101" t="s">
        <v>221</v>
      </c>
      <c r="J47" s="99"/>
      <c r="K47" s="99"/>
      <c r="L47" s="99"/>
      <c r="M47" s="99"/>
      <c r="N47" s="99"/>
      <c r="O47" s="99"/>
      <c r="P47" s="99"/>
      <c r="Q47" s="146"/>
      <c r="R47" s="99"/>
      <c r="S47" s="99"/>
      <c r="T47" s="99"/>
      <c r="U47" s="99"/>
      <c r="V47" s="99"/>
      <c r="W47" s="99"/>
      <c r="X47" s="99"/>
      <c r="Y47" s="99"/>
      <c r="Z47" s="99"/>
      <c r="AA47" s="99"/>
      <c r="AB47" s="99"/>
      <c r="AC47" s="99"/>
      <c r="AD47" s="99"/>
      <c r="AE47" s="99"/>
      <c r="AF47" s="99"/>
      <c r="AG47" s="99"/>
      <c r="AH47" s="99"/>
      <c r="AI47" s="99"/>
      <c r="AJ47" s="99"/>
      <c r="AK47" s="99"/>
      <c r="AL47" s="99"/>
      <c r="AM47" s="99"/>
      <c r="AN47" s="99"/>
      <c r="AO47" s="99"/>
      <c r="AP47" s="99"/>
      <c r="AQ47" s="99"/>
      <c r="AR47" s="99"/>
      <c r="AS47" s="99"/>
      <c r="AT47" s="99"/>
      <c r="AU47" s="99"/>
      <c r="AV47" s="99"/>
      <c r="AW47" s="99"/>
      <c r="AX47" s="99"/>
      <c r="AY47" s="99"/>
      <c r="AZ47" s="99"/>
      <c r="BA47" s="99"/>
      <c r="BB47" s="99"/>
      <c r="BC47" s="99"/>
      <c r="BD47" s="99"/>
      <c r="BE47" s="99"/>
      <c r="BF47" s="99"/>
      <c r="BG47" s="99"/>
      <c r="BH47" s="99"/>
      <c r="BI47" s="99"/>
      <c r="BJ47" s="154"/>
      <c r="BK47" s="159"/>
    </row>
    <row r="48" spans="1:63" ht="15.75" customHeight="1">
      <c r="A48" s="21"/>
      <c r="B48" s="22"/>
      <c r="C48" s="137"/>
      <c r="D48" s="22"/>
      <c r="E48" s="138"/>
      <c r="F48" s="22"/>
      <c r="G48" s="22"/>
      <c r="H48" s="22"/>
      <c r="I48" s="22"/>
      <c r="J48" s="138"/>
      <c r="K48" s="22"/>
      <c r="L48" s="22"/>
      <c r="M48" s="22"/>
      <c r="N48" s="22"/>
      <c r="O48" s="22"/>
      <c r="P48" s="22"/>
      <c r="Q48" s="81"/>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52"/>
    </row>
    <row r="49" spans="1:63" ht="15.75" customHeight="1">
      <c r="A49" s="139" t="s">
        <v>211</v>
      </c>
      <c r="B49" s="140"/>
      <c r="C49" s="140"/>
      <c r="D49" s="141" t="s">
        <v>212</v>
      </c>
      <c r="E49" s="140"/>
      <c r="F49" s="140"/>
      <c r="G49" s="140"/>
      <c r="H49" s="140"/>
      <c r="I49" s="140"/>
      <c r="J49" s="140"/>
      <c r="K49" s="140"/>
      <c r="L49" s="140"/>
      <c r="M49" s="140"/>
      <c r="N49" s="140"/>
      <c r="O49" s="140"/>
      <c r="P49" s="140"/>
      <c r="Q49" s="140"/>
      <c r="R49" s="140"/>
      <c r="S49" s="140"/>
      <c r="T49" s="140"/>
      <c r="U49" s="140"/>
      <c r="V49" s="140"/>
      <c r="W49" s="140"/>
      <c r="X49" s="140"/>
      <c r="Y49" s="141" t="s">
        <v>1091</v>
      </c>
      <c r="Z49" s="140"/>
      <c r="AA49" s="140"/>
      <c r="AB49" s="140"/>
      <c r="AC49" s="140"/>
      <c r="AD49" s="140"/>
      <c r="AE49" s="140"/>
      <c r="AF49" s="140"/>
      <c r="AG49" s="153"/>
      <c r="AH49" s="140" t="s">
        <v>1092</v>
      </c>
      <c r="AI49" s="96"/>
      <c r="AJ49" s="140"/>
      <c r="AK49" s="140"/>
      <c r="AL49" s="140"/>
      <c r="AM49" s="140"/>
      <c r="AN49" s="140"/>
      <c r="AO49" s="140"/>
      <c r="AP49" s="140"/>
      <c r="AQ49" s="140"/>
      <c r="AR49" s="140"/>
      <c r="AS49" s="140"/>
      <c r="AT49" s="140"/>
      <c r="AU49" s="140"/>
      <c r="AV49" s="140"/>
      <c r="AW49" s="140"/>
      <c r="AX49" s="140"/>
      <c r="AY49" s="140"/>
      <c r="AZ49" s="140"/>
      <c r="BA49" s="140"/>
      <c r="BB49" s="140"/>
      <c r="BC49" s="140"/>
      <c r="BD49" s="140"/>
      <c r="BE49" s="140"/>
      <c r="BF49" s="140"/>
      <c r="BG49" s="140"/>
      <c r="BH49" s="140"/>
      <c r="BI49" s="140"/>
      <c r="BJ49" s="140"/>
      <c r="BK49" s="162"/>
    </row>
    <row r="50" spans="1:63" ht="15.75" customHeight="1">
      <c r="A50" s="128" t="s">
        <v>1122</v>
      </c>
      <c r="B50" s="13"/>
      <c r="C50" s="129"/>
      <c r="D50" s="12" t="s">
        <v>1123</v>
      </c>
      <c r="E50" s="13"/>
      <c r="F50" s="13"/>
      <c r="G50" s="13"/>
      <c r="H50" s="13"/>
      <c r="I50" s="13"/>
      <c r="J50" s="145"/>
      <c r="K50" s="13"/>
      <c r="L50" s="13"/>
      <c r="M50" s="13"/>
      <c r="N50" s="13"/>
      <c r="O50" s="13"/>
      <c r="P50" s="13"/>
      <c r="Q50" s="47"/>
      <c r="R50" s="13"/>
      <c r="S50" s="13"/>
      <c r="T50" s="13"/>
      <c r="U50" s="13"/>
      <c r="V50" s="13"/>
      <c r="W50" s="13"/>
      <c r="X50" s="13"/>
      <c r="Y50" s="12"/>
      <c r="Z50" s="13"/>
      <c r="AA50" s="13"/>
      <c r="AB50" s="13"/>
      <c r="AC50" s="13"/>
      <c r="AD50" s="13"/>
      <c r="AE50" s="13"/>
      <c r="AF50" s="13"/>
      <c r="AG50" s="14"/>
      <c r="AH50" s="13"/>
      <c r="AI50" s="99"/>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60"/>
    </row>
    <row r="51" spans="1:63" ht="15.75" customHeight="1">
      <c r="A51" s="130"/>
      <c r="B51" s="66"/>
      <c r="C51" s="66"/>
      <c r="D51" s="66"/>
      <c r="E51" s="66"/>
      <c r="F51" s="66"/>
      <c r="G51" s="131"/>
      <c r="H51" s="66"/>
      <c r="I51" s="66"/>
      <c r="J51" s="66"/>
      <c r="K51" s="66"/>
      <c r="L51" s="66"/>
      <c r="M51" s="66"/>
      <c r="N51" s="66"/>
      <c r="O51" s="66"/>
      <c r="P51" s="66"/>
      <c r="Q51" s="151"/>
      <c r="R51" s="66"/>
      <c r="S51" s="66"/>
      <c r="T51" s="66"/>
      <c r="U51" s="66"/>
      <c r="V51" s="66"/>
      <c r="W51" s="66"/>
      <c r="X51" s="66"/>
      <c r="Y51" s="66"/>
      <c r="Z51" s="66"/>
      <c r="AA51" s="66"/>
      <c r="AB51" s="66"/>
      <c r="AC51" s="66"/>
      <c r="AD51" s="66"/>
      <c r="AE51" s="66"/>
      <c r="AF51" s="66"/>
      <c r="AG51" s="66"/>
      <c r="AH51" s="66"/>
      <c r="AI51" s="66"/>
      <c r="AJ51" s="66"/>
      <c r="AK51" s="66"/>
      <c r="AL51" s="66"/>
      <c r="AM51" s="66"/>
      <c r="AN51" s="66"/>
      <c r="AO51" s="66"/>
      <c r="AP51" s="66"/>
      <c r="AQ51" s="66"/>
      <c r="AR51" s="66"/>
      <c r="AS51" s="66"/>
      <c r="AT51" s="66"/>
      <c r="AU51" s="66"/>
      <c r="AV51" s="66"/>
      <c r="AW51" s="66"/>
      <c r="AX51" s="66"/>
      <c r="AY51" s="66"/>
      <c r="AZ51" s="66"/>
      <c r="BA51" s="66"/>
      <c r="BB51" s="66"/>
      <c r="BC51" s="66"/>
      <c r="BD51" s="66"/>
      <c r="BE51" s="66"/>
      <c r="BF51" s="66"/>
      <c r="BG51" s="66"/>
      <c r="BH51" s="66"/>
      <c r="BI51" s="66"/>
      <c r="BJ51" s="66"/>
      <c r="BK51" s="80"/>
    </row>
    <row r="52" spans="1:63" ht="15.75" customHeight="1">
      <c r="A52" s="9"/>
      <c r="B52" s="142" t="s">
        <v>1094</v>
      </c>
      <c r="C52" s="10"/>
      <c r="D52" s="10"/>
      <c r="E52" s="10"/>
      <c r="F52" s="10"/>
      <c r="G52" s="143"/>
      <c r="H52" s="10"/>
      <c r="I52" s="10"/>
      <c r="J52" s="10"/>
      <c r="K52" s="10"/>
      <c r="L52" s="10"/>
      <c r="M52" s="10"/>
      <c r="N52" s="10"/>
      <c r="O52" s="10"/>
      <c r="P52" s="10"/>
      <c r="Q52" s="43"/>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51"/>
    </row>
    <row r="53" spans="1:63" s="10" customFormat="1" ht="15.75" customHeight="1">
      <c r="A53" s="9"/>
      <c r="B53" s="132" t="s">
        <v>1095</v>
      </c>
      <c r="C53" s="133"/>
      <c r="D53" s="133"/>
      <c r="E53" s="133"/>
      <c r="F53" s="133"/>
      <c r="G53" s="134"/>
      <c r="H53" s="135"/>
      <c r="I53" s="12" t="s">
        <v>1124</v>
      </c>
      <c r="J53" s="13"/>
      <c r="K53" s="13"/>
      <c r="L53" s="13"/>
      <c r="M53" s="13"/>
      <c r="N53" s="13"/>
      <c r="O53" s="13"/>
      <c r="P53" s="13"/>
      <c r="Q53" s="47"/>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14"/>
      <c r="BK53" s="51"/>
    </row>
    <row r="54" spans="1:63" s="10" customFormat="1" ht="15.75" customHeight="1">
      <c r="A54" s="9"/>
      <c r="B54" s="132" t="s">
        <v>1097</v>
      </c>
      <c r="C54" s="133"/>
      <c r="D54" s="133"/>
      <c r="E54" s="133"/>
      <c r="F54" s="133"/>
      <c r="G54" s="136"/>
      <c r="H54" s="135"/>
      <c r="I54" s="12" t="s">
        <v>1125</v>
      </c>
      <c r="J54" s="13"/>
      <c r="K54" s="13"/>
      <c r="L54" s="13"/>
      <c r="M54" s="13"/>
      <c r="N54" s="13"/>
      <c r="O54" s="13"/>
      <c r="P54" s="13"/>
      <c r="Q54" s="47"/>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4"/>
      <c r="BK54" s="51"/>
    </row>
    <row r="55" spans="1:63" ht="15.75" customHeight="1">
      <c r="A55" s="9"/>
      <c r="B55" s="132" t="s">
        <v>1099</v>
      </c>
      <c r="C55" s="133"/>
      <c r="D55" s="133"/>
      <c r="E55" s="133"/>
      <c r="F55" s="133"/>
      <c r="G55" s="134"/>
      <c r="H55" s="135"/>
      <c r="I55" s="101" t="s">
        <v>1126</v>
      </c>
      <c r="J55" s="13"/>
      <c r="K55" s="13"/>
      <c r="L55" s="13"/>
      <c r="M55" s="13"/>
      <c r="N55" s="13"/>
      <c r="O55" s="13"/>
      <c r="P55" s="13"/>
      <c r="Q55" s="47"/>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c r="BD55" s="13"/>
      <c r="BE55" s="13"/>
      <c r="BF55" s="13"/>
      <c r="BG55" s="13"/>
      <c r="BH55" s="13"/>
      <c r="BI55" s="13"/>
      <c r="BJ55" s="14"/>
      <c r="BK55" s="51"/>
    </row>
    <row r="56" spans="1:63" s="10" customFormat="1" ht="15.75" customHeight="1">
      <c r="A56" s="9"/>
      <c r="B56" s="113" t="s">
        <v>1116</v>
      </c>
      <c r="C56" s="114"/>
      <c r="D56" s="114"/>
      <c r="E56" s="114"/>
      <c r="F56" s="114"/>
      <c r="G56" s="115"/>
      <c r="H56" s="116"/>
      <c r="I56" s="108" t="s">
        <v>1102</v>
      </c>
      <c r="J56" s="109"/>
      <c r="K56" s="109"/>
      <c r="L56" s="109"/>
      <c r="M56" s="109"/>
      <c r="N56" s="109"/>
      <c r="O56" s="109"/>
      <c r="P56" s="109"/>
      <c r="Q56" s="149"/>
      <c r="R56" s="109"/>
      <c r="S56" s="109"/>
      <c r="T56" s="109"/>
      <c r="U56" s="109"/>
      <c r="V56" s="109"/>
      <c r="W56" s="109"/>
      <c r="X56" s="109"/>
      <c r="Y56" s="109"/>
      <c r="Z56" s="109"/>
      <c r="AA56" s="109"/>
      <c r="AB56" s="109"/>
      <c r="AC56" s="109"/>
      <c r="AD56" s="109"/>
      <c r="AE56" s="109"/>
      <c r="AF56" s="109"/>
      <c r="AG56" s="109"/>
      <c r="AH56" s="109"/>
      <c r="AI56" s="111"/>
      <c r="AJ56" s="108" t="s">
        <v>1103</v>
      </c>
      <c r="AK56" s="109"/>
      <c r="AL56" s="109"/>
      <c r="AM56" s="109"/>
      <c r="AN56" s="109"/>
      <c r="AO56" s="109"/>
      <c r="AP56" s="109"/>
      <c r="AQ56" s="109"/>
      <c r="AR56" s="109"/>
      <c r="AS56" s="109"/>
      <c r="AT56" s="109"/>
      <c r="AU56" s="109"/>
      <c r="AV56" s="109"/>
      <c r="AW56" s="109"/>
      <c r="AX56" s="109"/>
      <c r="AY56" s="109"/>
      <c r="AZ56" s="109"/>
      <c r="BA56" s="109"/>
      <c r="BB56" s="109"/>
      <c r="BC56" s="109"/>
      <c r="BD56" s="109"/>
      <c r="BE56" s="109"/>
      <c r="BF56" s="109"/>
      <c r="BG56" s="109"/>
      <c r="BH56" s="109"/>
      <c r="BI56" s="109"/>
      <c r="BJ56" s="111"/>
      <c r="BK56" s="51"/>
    </row>
    <row r="57" spans="1:63" s="10" customFormat="1" ht="15.75" customHeight="1">
      <c r="A57" s="9"/>
      <c r="B57" s="117"/>
      <c r="C57" s="118"/>
      <c r="D57" s="118"/>
      <c r="E57" s="118"/>
      <c r="F57" s="118"/>
      <c r="G57" s="119"/>
      <c r="H57" s="120"/>
      <c r="I57" s="101" t="s">
        <v>537</v>
      </c>
      <c r="J57" s="99"/>
      <c r="K57" s="99"/>
      <c r="L57" s="99"/>
      <c r="M57" s="99"/>
      <c r="N57" s="99"/>
      <c r="O57" s="99"/>
      <c r="P57" s="99"/>
      <c r="Q57" s="146"/>
      <c r="R57" s="99"/>
      <c r="S57" s="99"/>
      <c r="T57" s="99"/>
      <c r="U57" s="99"/>
      <c r="V57" s="99"/>
      <c r="W57" s="99"/>
      <c r="X57" s="99"/>
      <c r="Y57" s="99"/>
      <c r="Z57" s="99"/>
      <c r="AA57" s="99"/>
      <c r="AB57" s="99"/>
      <c r="AC57" s="99"/>
      <c r="AD57" s="99"/>
      <c r="AE57" s="99"/>
      <c r="AF57" s="99"/>
      <c r="AG57" s="99"/>
      <c r="AH57" s="99"/>
      <c r="AI57" s="154"/>
      <c r="AJ57" s="101" t="s">
        <v>1127</v>
      </c>
      <c r="AK57" s="99"/>
      <c r="AL57" s="99"/>
      <c r="AM57" s="99"/>
      <c r="AN57" s="99"/>
      <c r="AO57" s="99"/>
      <c r="AP57" s="99"/>
      <c r="AQ57" s="99"/>
      <c r="AR57" s="99"/>
      <c r="AS57" s="99"/>
      <c r="AT57" s="99"/>
      <c r="AU57" s="99"/>
      <c r="AV57" s="99"/>
      <c r="AW57" s="99"/>
      <c r="AX57" s="99"/>
      <c r="AY57" s="99"/>
      <c r="AZ57" s="99"/>
      <c r="BA57" s="99"/>
      <c r="BB57" s="99"/>
      <c r="BC57" s="99"/>
      <c r="BD57" s="99"/>
      <c r="BE57" s="99"/>
      <c r="BF57" s="99"/>
      <c r="BG57" s="99"/>
      <c r="BH57" s="99"/>
      <c r="BI57" s="99"/>
      <c r="BJ57" s="154"/>
      <c r="BK57" s="51"/>
    </row>
    <row r="58" spans="1:63" s="10" customFormat="1" ht="15.75" customHeight="1">
      <c r="A58" s="9"/>
      <c r="B58" s="117"/>
      <c r="C58" s="118"/>
      <c r="D58" s="118"/>
      <c r="E58" s="118"/>
      <c r="F58" s="118"/>
      <c r="G58" s="119"/>
      <c r="H58" s="120"/>
      <c r="I58" s="101"/>
      <c r="J58" s="99"/>
      <c r="K58" s="99"/>
      <c r="L58" s="99"/>
      <c r="M58" s="99"/>
      <c r="N58" s="99"/>
      <c r="O58" s="99"/>
      <c r="P58" s="99"/>
      <c r="Q58" s="146"/>
      <c r="R58" s="99"/>
      <c r="S58" s="99"/>
      <c r="T58" s="99"/>
      <c r="U58" s="99"/>
      <c r="V58" s="99"/>
      <c r="W58" s="99"/>
      <c r="X58" s="99"/>
      <c r="Y58" s="99"/>
      <c r="Z58" s="99"/>
      <c r="AA58" s="99"/>
      <c r="AB58" s="99"/>
      <c r="AC58" s="99"/>
      <c r="AD58" s="99"/>
      <c r="AE58" s="99"/>
      <c r="AF58" s="99"/>
      <c r="AG58" s="99"/>
      <c r="AH58" s="99"/>
      <c r="AI58" s="154"/>
      <c r="AJ58" s="101" t="s">
        <v>1121</v>
      </c>
      <c r="AK58" s="99"/>
      <c r="AL58" s="99"/>
      <c r="AM58" s="99"/>
      <c r="AN58" s="99"/>
      <c r="AO58" s="99"/>
      <c r="AP58" s="99"/>
      <c r="AQ58" s="99"/>
      <c r="AR58" s="99"/>
      <c r="AS58" s="99"/>
      <c r="AT58" s="99"/>
      <c r="AU58" s="99"/>
      <c r="AV58" s="99"/>
      <c r="AW58" s="99"/>
      <c r="AX58" s="99"/>
      <c r="AY58" s="99"/>
      <c r="AZ58" s="99"/>
      <c r="BA58" s="99"/>
      <c r="BB58" s="99"/>
      <c r="BC58" s="99"/>
      <c r="BD58" s="99"/>
      <c r="BE58" s="99"/>
      <c r="BF58" s="99"/>
      <c r="BG58" s="99"/>
      <c r="BH58" s="99"/>
      <c r="BI58" s="99"/>
      <c r="BJ58" s="154"/>
      <c r="BK58" s="51"/>
    </row>
    <row r="59" spans="1:63" s="10" customFormat="1" ht="15.75" customHeight="1">
      <c r="A59" s="9"/>
      <c r="B59" s="108" t="s">
        <v>1111</v>
      </c>
      <c r="C59" s="109"/>
      <c r="D59" s="109"/>
      <c r="E59" s="109"/>
      <c r="F59" s="109"/>
      <c r="G59" s="112"/>
      <c r="H59" s="111"/>
      <c r="I59" s="101" t="s">
        <v>221</v>
      </c>
      <c r="J59" s="99"/>
      <c r="K59" s="99"/>
      <c r="L59" s="99"/>
      <c r="M59" s="99"/>
      <c r="N59" s="99"/>
      <c r="O59" s="99"/>
      <c r="P59" s="99"/>
      <c r="Q59" s="146"/>
      <c r="R59" s="99"/>
      <c r="S59" s="99"/>
      <c r="T59" s="99"/>
      <c r="U59" s="99"/>
      <c r="V59" s="99"/>
      <c r="W59" s="99"/>
      <c r="X59" s="99"/>
      <c r="Y59" s="99"/>
      <c r="Z59" s="99"/>
      <c r="AA59" s="99"/>
      <c r="AB59" s="99"/>
      <c r="AC59" s="99"/>
      <c r="AD59" s="99"/>
      <c r="AE59" s="99"/>
      <c r="AF59" s="99"/>
      <c r="AG59" s="99"/>
      <c r="AH59" s="99"/>
      <c r="AI59" s="99"/>
      <c r="AJ59" s="99"/>
      <c r="AK59" s="99"/>
      <c r="AL59" s="99"/>
      <c r="AM59" s="99"/>
      <c r="AN59" s="99"/>
      <c r="AO59" s="99"/>
      <c r="AP59" s="99"/>
      <c r="AQ59" s="99"/>
      <c r="AR59" s="99"/>
      <c r="AS59" s="99"/>
      <c r="AT59" s="99"/>
      <c r="AU59" s="99"/>
      <c r="AV59" s="99"/>
      <c r="AW59" s="99"/>
      <c r="AX59" s="99"/>
      <c r="AY59" s="99"/>
      <c r="AZ59" s="99"/>
      <c r="BA59" s="99"/>
      <c r="BB59" s="99"/>
      <c r="BC59" s="99"/>
      <c r="BD59" s="99"/>
      <c r="BE59" s="99"/>
      <c r="BF59" s="99"/>
      <c r="BG59" s="99"/>
      <c r="BH59" s="99"/>
      <c r="BI59" s="99"/>
      <c r="BJ59" s="154"/>
      <c r="BK59" s="51"/>
    </row>
    <row r="60" spans="1:63" ht="15.75" customHeight="1">
      <c r="A60" s="21"/>
      <c r="B60" s="22"/>
      <c r="C60" s="137"/>
      <c r="D60" s="22"/>
      <c r="E60" s="138"/>
      <c r="F60" s="22"/>
      <c r="G60" s="22"/>
      <c r="H60" s="22"/>
      <c r="I60" s="22"/>
      <c r="J60" s="138"/>
      <c r="K60" s="22"/>
      <c r="L60" s="22"/>
      <c r="M60" s="22"/>
      <c r="N60" s="22"/>
      <c r="O60" s="22"/>
      <c r="P60" s="22"/>
      <c r="Q60" s="81"/>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52"/>
    </row>
  </sheetData>
  <mergeCells count="21">
    <mergeCell ref="AS1:AY1"/>
    <mergeCell ref="AZ1:BE1"/>
    <mergeCell ref="BF1:BK1"/>
    <mergeCell ref="K2:T2"/>
    <mergeCell ref="U2:Y2"/>
    <mergeCell ref="Z2:AD2"/>
    <mergeCell ref="AE2:AI2"/>
    <mergeCell ref="AJ2:AR2"/>
    <mergeCell ref="AS2:AY3"/>
    <mergeCell ref="AZ2:BE3"/>
    <mergeCell ref="BF2:BK3"/>
    <mergeCell ref="K1:T1"/>
    <mergeCell ref="U1:Y1"/>
    <mergeCell ref="Z1:AD1"/>
    <mergeCell ref="AE1:AI1"/>
    <mergeCell ref="AJ1:AR1"/>
    <mergeCell ref="K3:T3"/>
    <mergeCell ref="U3:Y3"/>
    <mergeCell ref="Z3:AD3"/>
    <mergeCell ref="AE3:AR3"/>
    <mergeCell ref="A1:J3"/>
  </mergeCells>
  <phoneticPr fontId="65"/>
  <pageMargins left="0.511811023622047" right="0.74803149606299202" top="0.70866141732283505" bottom="0.43307086614173201" header="0.511811023622047" footer="0.35433070866141703"/>
  <pageSetup paperSize="9" fitToHeight="0" orientation="landscape" r:id="rId1"/>
  <headerFooter alignWithMargins="0">
    <oddFooter>&amp;L&amp;"Meiryo UI"&amp;10MSBDP0090&amp;C&amp;"Meiryo UI,標準"&amp;10&amp;P&amp;R&amp;"Meiryo UI,標準"&amp;10(C)Toyo Business Engineering Corp.[Confidential]</oddFooter>
  </headerFooter>
  <rowBreaks count="1" manualBreakCount="1">
    <brk id="36"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pageSetUpPr fitToPage="1"/>
  </sheetPr>
  <dimension ref="A1:CH77"/>
  <sheetViews>
    <sheetView showGridLines="0" showZeros="0" view="pageBreakPreview" zoomScale="85" zoomScaleNormal="100" zoomScaleSheetLayoutView="85" workbookViewId="0">
      <pane ySplit="4" topLeftCell="A5" activePane="bottomLeft" state="frozen"/>
      <selection pane="bottomLeft" sqref="A1:N3"/>
    </sheetView>
  </sheetViews>
  <sheetFormatPr defaultColWidth="2.08984375" defaultRowHeight="15.75" customHeight="1"/>
  <cols>
    <col min="1" max="2" width="2.08984375" style="3" customWidth="1"/>
    <col min="3" max="3" width="2.36328125" style="4" customWidth="1"/>
    <col min="4" max="4" width="2.08984375" style="4" customWidth="1"/>
    <col min="5" max="5" width="3" style="4" customWidth="1"/>
    <col min="6" max="9" width="2.08984375" style="3" customWidth="1"/>
    <col min="10" max="10" width="2.08984375" style="4" customWidth="1"/>
    <col min="11" max="16" width="2.08984375" style="3" customWidth="1"/>
    <col min="17" max="17" width="2.08984375" style="5" customWidth="1"/>
    <col min="18" max="62" width="2.08984375" style="3" customWidth="1"/>
    <col min="63" max="63" width="2.26953125" style="3" customWidth="1"/>
    <col min="64" max="16384" width="2.08984375" style="3"/>
  </cols>
  <sheetData>
    <row r="1" spans="1:86" s="1" customFormat="1" ht="15">
      <c r="A1" s="663" t="str">
        <f ca="1">INDIRECT("表紙!$A$39")</f>
        <v>mcframe 7</v>
      </c>
      <c r="B1" s="664"/>
      <c r="C1" s="664"/>
      <c r="D1" s="664"/>
      <c r="E1" s="664"/>
      <c r="F1" s="664"/>
      <c r="G1" s="664"/>
      <c r="H1" s="664"/>
      <c r="I1" s="664"/>
      <c r="J1" s="664"/>
      <c r="K1" s="664"/>
      <c r="L1" s="664"/>
      <c r="M1" s="664"/>
      <c r="N1" s="665"/>
      <c r="O1" s="771" t="s">
        <v>45</v>
      </c>
      <c r="P1" s="772"/>
      <c r="Q1" s="772"/>
      <c r="R1" s="772"/>
      <c r="S1" s="772"/>
      <c r="T1" s="772"/>
      <c r="U1" s="772"/>
      <c r="V1" s="772"/>
      <c r="W1" s="772"/>
      <c r="X1" s="772"/>
      <c r="Y1" s="772"/>
      <c r="Z1" s="772"/>
      <c r="AA1" s="772"/>
      <c r="AB1" s="772"/>
      <c r="AC1" s="773" t="s">
        <v>46</v>
      </c>
      <c r="AD1" s="694"/>
      <c r="AE1" s="694"/>
      <c r="AF1" s="694"/>
      <c r="AG1" s="694"/>
      <c r="AH1" s="694"/>
      <c r="AI1" s="695"/>
      <c r="AJ1" s="693" t="str">
        <f ca="1">INDIRECT("表紙!$Z$39")</f>
        <v>MS</v>
      </c>
      <c r="AK1" s="694"/>
      <c r="AL1" s="694"/>
      <c r="AM1" s="694"/>
      <c r="AN1" s="694"/>
      <c r="AO1" s="694"/>
      <c r="AP1" s="695"/>
      <c r="AQ1" s="773" t="s">
        <v>48</v>
      </c>
      <c r="AR1" s="694"/>
      <c r="AS1" s="694"/>
      <c r="AT1" s="694"/>
      <c r="AU1" s="694"/>
      <c r="AV1" s="694"/>
      <c r="AW1" s="695"/>
      <c r="AX1" s="693" t="str">
        <f ca="1">INDIRECT("表紙!$AJ$39")</f>
        <v>SCM</v>
      </c>
      <c r="AY1" s="694"/>
      <c r="AZ1" s="694"/>
      <c r="BA1" s="694"/>
      <c r="BB1" s="694"/>
      <c r="BC1" s="694"/>
      <c r="BD1" s="694"/>
      <c r="BE1" s="694"/>
      <c r="BF1" s="694"/>
      <c r="BG1" s="694"/>
      <c r="BH1" s="694"/>
      <c r="BI1" s="694"/>
      <c r="BJ1" s="694"/>
      <c r="BK1" s="695"/>
      <c r="BL1" s="705" t="s">
        <v>5</v>
      </c>
      <c r="BM1" s="694"/>
      <c r="BN1" s="694"/>
      <c r="BO1" s="694"/>
      <c r="BP1" s="694"/>
      <c r="BQ1" s="694"/>
      <c r="BR1" s="694"/>
      <c r="BS1" s="694"/>
      <c r="BT1" s="695"/>
      <c r="BU1" s="753" t="s">
        <v>37</v>
      </c>
      <c r="BV1" s="754"/>
      <c r="BW1" s="754"/>
      <c r="BX1" s="754"/>
      <c r="BY1" s="754"/>
      <c r="BZ1" s="754"/>
      <c r="CA1" s="755"/>
      <c r="CB1" s="753" t="s">
        <v>50</v>
      </c>
      <c r="CC1" s="754"/>
      <c r="CD1" s="754"/>
      <c r="CE1" s="754"/>
      <c r="CF1" s="754"/>
      <c r="CG1" s="754"/>
      <c r="CH1" s="756"/>
    </row>
    <row r="2" spans="1:86" s="1" customFormat="1" ht="15.75" customHeight="1">
      <c r="A2" s="666"/>
      <c r="B2" s="667"/>
      <c r="C2" s="667"/>
      <c r="D2" s="667"/>
      <c r="E2" s="667"/>
      <c r="F2" s="667"/>
      <c r="G2" s="667"/>
      <c r="H2" s="667"/>
      <c r="I2" s="667"/>
      <c r="J2" s="667"/>
      <c r="K2" s="667"/>
      <c r="L2" s="667"/>
      <c r="M2" s="667"/>
      <c r="N2" s="668"/>
      <c r="O2" s="757" t="str">
        <f>文書名_カスタマイズ</f>
        <v>画面機能</v>
      </c>
      <c r="P2" s="675"/>
      <c r="Q2" s="675"/>
      <c r="R2" s="675"/>
      <c r="S2" s="675"/>
      <c r="T2" s="675"/>
      <c r="U2" s="675"/>
      <c r="V2" s="675"/>
      <c r="W2" s="675"/>
      <c r="X2" s="675"/>
      <c r="Y2" s="675"/>
      <c r="Z2" s="675"/>
      <c r="AA2" s="675"/>
      <c r="AB2" s="675"/>
      <c r="AC2" s="758" t="s">
        <v>59</v>
      </c>
      <c r="AD2" s="759"/>
      <c r="AE2" s="759"/>
      <c r="AF2" s="759"/>
      <c r="AG2" s="759"/>
      <c r="AH2" s="759"/>
      <c r="AI2" s="760"/>
      <c r="AJ2" s="761" t="str">
        <f ca="1">INDIRECT("表紙!$Z$40")</f>
        <v>MSBD</v>
      </c>
      <c r="AK2" s="759"/>
      <c r="AL2" s="759"/>
      <c r="AM2" s="759"/>
      <c r="AN2" s="759"/>
      <c r="AO2" s="759"/>
      <c r="AP2" s="760"/>
      <c r="AQ2" s="758" t="s">
        <v>60</v>
      </c>
      <c r="AR2" s="759"/>
      <c r="AS2" s="759"/>
      <c r="AT2" s="759"/>
      <c r="AU2" s="759"/>
      <c r="AV2" s="759"/>
      <c r="AW2" s="760"/>
      <c r="AX2" s="764" t="str">
        <f ca="1">INDIRECT("表紙!$AJ$40")</f>
        <v>購買管理</v>
      </c>
      <c r="AY2" s="759"/>
      <c r="AZ2" s="759"/>
      <c r="BA2" s="759"/>
      <c r="BB2" s="759"/>
      <c r="BC2" s="759"/>
      <c r="BD2" s="759"/>
      <c r="BE2" s="759"/>
      <c r="BF2" s="759"/>
      <c r="BG2" s="759"/>
      <c r="BH2" s="759"/>
      <c r="BI2" s="759"/>
      <c r="BJ2" s="759"/>
      <c r="BK2" s="760"/>
      <c r="BL2" s="765" t="str">
        <f>文書番号_カスタマイズ</f>
        <v>J052-0-0001</v>
      </c>
      <c r="BM2" s="766"/>
      <c r="BN2" s="766"/>
      <c r="BO2" s="766"/>
      <c r="BP2" s="766"/>
      <c r="BQ2" s="766"/>
      <c r="BR2" s="766"/>
      <c r="BS2" s="766"/>
      <c r="BT2" s="767"/>
      <c r="BU2" s="674" t="str">
        <f>Ver.</f>
        <v>7.0.1</v>
      </c>
      <c r="BV2" s="675"/>
      <c r="BW2" s="675"/>
      <c r="BX2" s="675"/>
      <c r="BY2" s="675"/>
      <c r="BZ2" s="675"/>
      <c r="CA2" s="676"/>
      <c r="CB2" s="851">
        <f>Rev.</f>
        <v>0.04</v>
      </c>
      <c r="CC2" s="920"/>
      <c r="CD2" s="920"/>
      <c r="CE2" s="920"/>
      <c r="CF2" s="920"/>
      <c r="CG2" s="920"/>
      <c r="CH2" s="921"/>
    </row>
    <row r="3" spans="1:86" s="1" customFormat="1" ht="14.5">
      <c r="A3" s="669"/>
      <c r="B3" s="670"/>
      <c r="C3" s="670"/>
      <c r="D3" s="670"/>
      <c r="E3" s="670"/>
      <c r="F3" s="670"/>
      <c r="G3" s="670"/>
      <c r="H3" s="670"/>
      <c r="I3" s="670"/>
      <c r="J3" s="670"/>
      <c r="K3" s="670"/>
      <c r="L3" s="670"/>
      <c r="M3" s="670"/>
      <c r="N3" s="671"/>
      <c r="O3" s="683" t="str">
        <f ca="1">RIGHT(CELL("filename",$A$1),LEN(CELL("filename",$A$1))-FIND("]",CELL("filename",$A$1)))</f>
        <v>処理・サービス関連図</v>
      </c>
      <c r="P3" s="684"/>
      <c r="Q3" s="684"/>
      <c r="R3" s="684"/>
      <c r="S3" s="684"/>
      <c r="T3" s="684"/>
      <c r="U3" s="684"/>
      <c r="V3" s="684"/>
      <c r="W3" s="684"/>
      <c r="X3" s="684"/>
      <c r="Y3" s="684"/>
      <c r="Z3" s="684"/>
      <c r="AA3" s="684"/>
      <c r="AB3" s="684"/>
      <c r="AC3" s="685" t="s">
        <v>56</v>
      </c>
      <c r="AD3" s="686"/>
      <c r="AE3" s="686"/>
      <c r="AF3" s="686"/>
      <c r="AG3" s="686"/>
      <c r="AH3" s="686"/>
      <c r="AI3" s="687"/>
      <c r="AJ3" s="688" t="str">
        <f ca="1">INDIRECT("表紙!$Z$41")</f>
        <v>MSBDP0090</v>
      </c>
      <c r="AK3" s="689"/>
      <c r="AL3" s="689"/>
      <c r="AM3" s="689"/>
      <c r="AN3" s="689"/>
      <c r="AO3" s="689"/>
      <c r="AP3" s="689"/>
      <c r="AQ3" s="690" t="str">
        <f ca="1">INDIRECT("表紙!$AE$41")</f>
        <v>発注一覧登録</v>
      </c>
      <c r="AR3" s="691"/>
      <c r="AS3" s="691"/>
      <c r="AT3" s="691"/>
      <c r="AU3" s="691"/>
      <c r="AV3" s="691"/>
      <c r="AW3" s="691"/>
      <c r="AX3" s="691"/>
      <c r="AY3" s="691"/>
      <c r="AZ3" s="691"/>
      <c r="BA3" s="691"/>
      <c r="BB3" s="691"/>
      <c r="BC3" s="691"/>
      <c r="BD3" s="691"/>
      <c r="BE3" s="691"/>
      <c r="BF3" s="691"/>
      <c r="BG3" s="691"/>
      <c r="BH3" s="691"/>
      <c r="BI3" s="691"/>
      <c r="BJ3" s="691"/>
      <c r="BK3" s="692"/>
      <c r="BL3" s="768"/>
      <c r="BM3" s="769"/>
      <c r="BN3" s="769"/>
      <c r="BO3" s="769"/>
      <c r="BP3" s="769"/>
      <c r="BQ3" s="769"/>
      <c r="BR3" s="769"/>
      <c r="BS3" s="769"/>
      <c r="BT3" s="770"/>
      <c r="BU3" s="677"/>
      <c r="BV3" s="678"/>
      <c r="BW3" s="678"/>
      <c r="BX3" s="678"/>
      <c r="BY3" s="678"/>
      <c r="BZ3" s="678"/>
      <c r="CA3" s="679"/>
      <c r="CB3" s="922"/>
      <c r="CC3" s="923"/>
      <c r="CD3" s="923"/>
      <c r="CE3" s="923"/>
      <c r="CF3" s="923"/>
      <c r="CG3" s="923"/>
      <c r="CH3" s="924"/>
    </row>
    <row r="4" spans="1:86" s="1" customFormat="1" ht="6.75" customHeight="1">
      <c r="B4" s="6"/>
      <c r="C4" s="7"/>
      <c r="D4" s="7"/>
      <c r="E4" s="7"/>
      <c r="F4" s="8"/>
      <c r="G4" s="8"/>
      <c r="H4" s="8"/>
      <c r="I4" s="8"/>
      <c r="J4" s="7"/>
      <c r="K4" s="8"/>
      <c r="L4" s="8"/>
      <c r="M4" s="8"/>
      <c r="N4" s="8"/>
      <c r="O4" s="8"/>
      <c r="P4" s="8"/>
      <c r="Q4" s="42"/>
    </row>
    <row r="5" spans="1:86" s="2" customFormat="1" ht="15.75" customHeight="1">
      <c r="A5" s="9"/>
      <c r="B5" s="10"/>
      <c r="C5" s="10"/>
      <c r="D5" s="10"/>
      <c r="E5" s="10"/>
      <c r="F5" s="10"/>
      <c r="G5" s="10"/>
      <c r="H5" s="10"/>
      <c r="I5" s="10"/>
      <c r="J5" s="10"/>
      <c r="K5" s="10"/>
      <c r="L5" s="10"/>
      <c r="M5" s="10"/>
      <c r="N5" s="10"/>
      <c r="O5" s="10"/>
      <c r="P5" s="10"/>
      <c r="Q5" s="10"/>
      <c r="R5" s="10"/>
      <c r="S5" s="43"/>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51"/>
    </row>
    <row r="6" spans="1:86" s="2" customFormat="1" ht="15.75" customHeight="1">
      <c r="A6" s="9"/>
      <c r="B6" s="11"/>
      <c r="C6" s="10"/>
      <c r="D6" s="10"/>
      <c r="E6" s="10"/>
      <c r="F6" s="10"/>
      <c r="G6" s="10"/>
      <c r="H6" s="10"/>
      <c r="I6" s="10"/>
      <c r="J6" s="10"/>
      <c r="K6" s="10"/>
      <c r="L6" s="10"/>
      <c r="M6" s="10"/>
      <c r="N6" s="10"/>
      <c r="O6" s="10"/>
      <c r="P6" s="10"/>
      <c r="Q6" s="10"/>
      <c r="R6" s="10"/>
      <c r="S6" s="43"/>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65" t="s">
        <v>1128</v>
      </c>
      <c r="BR6" s="66"/>
      <c r="BS6" s="66"/>
      <c r="BT6" s="66"/>
      <c r="BU6" s="66"/>
      <c r="BV6" s="66"/>
      <c r="BW6" s="66"/>
      <c r="BX6" s="66"/>
      <c r="BY6" s="66"/>
      <c r="BZ6" s="66"/>
      <c r="CA6" s="66"/>
      <c r="CB6" s="84"/>
      <c r="CC6" s="66"/>
      <c r="CD6" s="66"/>
      <c r="CE6" s="66"/>
      <c r="CF6" s="66"/>
      <c r="CG6" s="70"/>
      <c r="CH6" s="51"/>
    </row>
    <row r="7" spans="1:86" s="2" customFormat="1" ht="15.75" customHeight="1">
      <c r="A7" s="9"/>
      <c r="B7" s="10"/>
      <c r="C7" s="10"/>
      <c r="D7" s="10"/>
      <c r="E7" s="10"/>
      <c r="F7" s="10"/>
      <c r="G7" s="10"/>
      <c r="H7" s="10"/>
      <c r="I7" s="10"/>
      <c r="J7" s="10"/>
      <c r="K7" s="10"/>
      <c r="L7" s="10"/>
      <c r="M7" s="10"/>
      <c r="N7" s="10"/>
      <c r="O7" s="10"/>
      <c r="P7" s="10"/>
      <c r="Q7" s="10"/>
      <c r="R7" s="10"/>
      <c r="S7" s="43"/>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67"/>
      <c r="CB7" s="85" t="s">
        <v>24</v>
      </c>
      <c r="CG7" s="73"/>
      <c r="CH7" s="51"/>
    </row>
    <row r="8" spans="1:86" s="2" customFormat="1" ht="15.75" customHeight="1">
      <c r="A8" s="9"/>
      <c r="B8" s="10"/>
      <c r="C8" s="10"/>
      <c r="D8" s="10"/>
      <c r="E8" s="10"/>
      <c r="F8" s="10"/>
      <c r="G8" s="10"/>
      <c r="H8" s="10"/>
      <c r="I8" s="10"/>
      <c r="J8" s="10"/>
      <c r="K8" s="10"/>
      <c r="L8" s="10"/>
      <c r="M8" s="10"/>
      <c r="N8" s="10"/>
      <c r="O8" s="10"/>
      <c r="P8" s="10"/>
      <c r="Q8" s="10"/>
      <c r="R8" s="10"/>
      <c r="S8" s="43"/>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67"/>
      <c r="CB8" s="86"/>
      <c r="CG8" s="73"/>
      <c r="CH8" s="51"/>
    </row>
    <row r="9" spans="1:86" s="2" customFormat="1" ht="15.75" customHeight="1">
      <c r="A9" s="9"/>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67"/>
      <c r="BU9" s="85" t="s">
        <v>1129</v>
      </c>
      <c r="CB9" s="85" t="s">
        <v>1130</v>
      </c>
      <c r="CG9" s="73"/>
      <c r="CH9" s="51"/>
    </row>
    <row r="10" spans="1:86" s="2" customFormat="1" ht="15.75" customHeight="1">
      <c r="A10" s="9"/>
      <c r="B10" s="10"/>
      <c r="C10" s="10"/>
      <c r="D10" s="10"/>
      <c r="E10" s="10"/>
      <c r="F10" s="10"/>
      <c r="G10" s="10"/>
      <c r="H10" s="10"/>
      <c r="I10" s="10"/>
      <c r="J10" s="10"/>
      <c r="K10" s="10"/>
      <c r="L10" s="10"/>
      <c r="M10" s="10"/>
      <c r="N10" s="10"/>
      <c r="O10" s="10"/>
      <c r="P10" s="10"/>
      <c r="Q10" s="10"/>
      <c r="R10" s="10"/>
      <c r="S10" s="43"/>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67"/>
      <c r="CB10" s="86"/>
      <c r="CG10" s="73"/>
      <c r="CH10" s="51"/>
    </row>
    <row r="11" spans="1:86" s="2" customFormat="1" ht="15.75" customHeight="1">
      <c r="A11" s="9"/>
      <c r="B11" s="10"/>
      <c r="C11" s="10"/>
      <c r="D11" s="10"/>
      <c r="E11" s="10"/>
      <c r="F11" s="10"/>
      <c r="G11" s="10"/>
      <c r="H11" s="10"/>
      <c r="I11" s="10"/>
      <c r="J11" s="10"/>
      <c r="K11" s="10"/>
      <c r="L11" s="10"/>
      <c r="M11" s="10"/>
      <c r="N11" s="10"/>
      <c r="O11" s="10"/>
      <c r="P11" s="10"/>
      <c r="Q11" s="10"/>
      <c r="R11" s="10"/>
      <c r="S11" s="43"/>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67"/>
      <c r="CB11" s="85" t="s">
        <v>1131</v>
      </c>
      <c r="CG11" s="73"/>
      <c r="CH11" s="51"/>
    </row>
    <row r="12" spans="1:86" s="2" customFormat="1" ht="15.75" customHeight="1">
      <c r="A12" s="9"/>
      <c r="B12" s="10"/>
      <c r="C12" s="10"/>
      <c r="D12" s="10"/>
      <c r="E12" s="10"/>
      <c r="F12" s="10"/>
      <c r="G12" s="10"/>
      <c r="H12" s="10"/>
      <c r="I12" s="10"/>
      <c r="J12" s="10"/>
      <c r="K12" s="10"/>
      <c r="L12" s="10"/>
      <c r="M12" s="10"/>
      <c r="N12" s="10"/>
      <c r="O12" s="10"/>
      <c r="P12" s="10"/>
      <c r="Q12" s="10"/>
      <c r="R12" s="10"/>
      <c r="S12" s="43"/>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67"/>
      <c r="CB12" s="86"/>
      <c r="CG12" s="73"/>
      <c r="CH12" s="51"/>
    </row>
    <row r="13" spans="1:86" s="2" customFormat="1" ht="15.75" customHeight="1">
      <c r="A13" s="9"/>
      <c r="B13" s="10"/>
      <c r="C13" s="10"/>
      <c r="D13" s="10"/>
      <c r="E13" s="10"/>
      <c r="F13" s="10"/>
      <c r="G13" s="10"/>
      <c r="H13" s="10"/>
      <c r="I13" s="10"/>
      <c r="J13" s="10"/>
      <c r="K13" s="10"/>
      <c r="L13" s="10"/>
      <c r="M13" s="10"/>
      <c r="N13" s="10"/>
      <c r="O13" s="10"/>
      <c r="P13" s="10"/>
      <c r="Q13" s="10"/>
      <c r="R13" s="10"/>
      <c r="S13" s="43"/>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67"/>
      <c r="CB13" s="85" t="s">
        <v>1132</v>
      </c>
      <c r="CG13" s="73"/>
      <c r="CH13" s="51"/>
    </row>
    <row r="14" spans="1:86" s="2" customFormat="1" ht="15.75" customHeight="1">
      <c r="A14" s="9"/>
      <c r="B14" s="10"/>
      <c r="C14" s="10"/>
      <c r="D14" s="10"/>
      <c r="E14" s="10"/>
      <c r="F14" s="10"/>
      <c r="G14" s="10"/>
      <c r="H14" s="10"/>
      <c r="I14" s="10"/>
      <c r="J14" s="10"/>
      <c r="K14" s="10"/>
      <c r="L14" s="10"/>
      <c r="M14" s="10"/>
      <c r="N14" s="10"/>
      <c r="O14" s="10"/>
      <c r="P14" s="10"/>
      <c r="Q14" s="10"/>
      <c r="R14" s="10"/>
      <c r="S14" s="43"/>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67"/>
      <c r="CB14" s="86"/>
      <c r="CG14" s="73"/>
      <c r="CH14" s="51"/>
    </row>
    <row r="15" spans="1:86" s="2" customFormat="1" ht="15.75" customHeight="1">
      <c r="A15" s="9"/>
      <c r="B15" s="10"/>
      <c r="C15" s="10"/>
      <c r="D15" s="10"/>
      <c r="E15" s="10"/>
      <c r="F15" s="10"/>
      <c r="G15" s="10"/>
      <c r="H15" s="10"/>
      <c r="I15" s="10"/>
      <c r="J15" s="10"/>
      <c r="K15" s="10"/>
      <c r="L15" s="10"/>
      <c r="M15" s="10"/>
      <c r="N15" s="10"/>
      <c r="O15" s="10"/>
      <c r="P15" s="10"/>
      <c r="Q15" s="10"/>
      <c r="R15" s="10"/>
      <c r="S15" s="43"/>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67"/>
      <c r="CB15" s="85" t="s">
        <v>1133</v>
      </c>
      <c r="CG15" s="73"/>
      <c r="CH15" s="51"/>
    </row>
    <row r="16" spans="1:86" s="2" customFormat="1" ht="15.75" customHeight="1">
      <c r="A16" s="9"/>
      <c r="B16" s="10"/>
      <c r="C16" s="10"/>
      <c r="D16" s="10"/>
      <c r="E16" s="10"/>
      <c r="F16" s="10"/>
      <c r="G16" s="10"/>
      <c r="H16" s="10"/>
      <c r="I16" s="10"/>
      <c r="J16" s="10"/>
      <c r="K16" s="10"/>
      <c r="L16" s="10"/>
      <c r="M16" s="10"/>
      <c r="N16" s="10"/>
      <c r="O16" s="10"/>
      <c r="P16" s="10"/>
      <c r="Q16" s="10"/>
      <c r="R16" s="10"/>
      <c r="S16" s="43"/>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67"/>
      <c r="CB16" s="86"/>
      <c r="CG16" s="73"/>
      <c r="CH16" s="51"/>
    </row>
    <row r="17" spans="1:86" s="2" customFormat="1" ht="15.75" customHeight="1">
      <c r="A17" s="9"/>
      <c r="B17" s="10"/>
      <c r="C17" s="10"/>
      <c r="D17" s="10"/>
      <c r="E17" s="10"/>
      <c r="F17" s="10"/>
      <c r="G17" s="10"/>
      <c r="H17" s="10"/>
      <c r="I17" s="10"/>
      <c r="J17" s="10"/>
      <c r="K17" s="10"/>
      <c r="L17" s="10"/>
      <c r="M17" s="10"/>
      <c r="N17" s="10"/>
      <c r="O17" s="10"/>
      <c r="P17" s="10"/>
      <c r="Q17" s="10"/>
      <c r="R17" s="10"/>
      <c r="S17" s="43"/>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67"/>
      <c r="CB17" s="85" t="s">
        <v>25</v>
      </c>
      <c r="CG17" s="73"/>
      <c r="CH17" s="51"/>
    </row>
    <row r="18" spans="1:86" s="2" customFormat="1" ht="15.75" customHeight="1">
      <c r="A18" s="9"/>
      <c r="B18" s="10"/>
      <c r="C18" s="10"/>
      <c r="D18" s="10"/>
      <c r="E18" s="10"/>
      <c r="F18" s="10"/>
      <c r="G18" s="10"/>
      <c r="H18" s="10"/>
      <c r="I18" s="10"/>
      <c r="J18" s="10"/>
      <c r="K18" s="10"/>
      <c r="L18" s="10"/>
      <c r="M18" s="10"/>
      <c r="N18" s="10"/>
      <c r="O18" s="10"/>
      <c r="P18" s="10"/>
      <c r="Q18" s="10"/>
      <c r="R18" s="10"/>
      <c r="S18" s="43"/>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82"/>
      <c r="BR18" s="83"/>
      <c r="BS18" s="83"/>
      <c r="BT18" s="83"/>
      <c r="BU18" s="83"/>
      <c r="BV18" s="83"/>
      <c r="BW18" s="83"/>
      <c r="BX18" s="83"/>
      <c r="BY18" s="83"/>
      <c r="BZ18" s="83"/>
      <c r="CA18" s="83"/>
      <c r="CB18" s="87"/>
      <c r="CC18" s="83"/>
      <c r="CD18" s="83"/>
      <c r="CE18" s="83"/>
      <c r="CF18" s="83"/>
      <c r="CG18" s="88"/>
      <c r="CH18" s="51"/>
    </row>
    <row r="19" spans="1:86" s="2" customFormat="1" ht="15.75" customHeight="1">
      <c r="A19" s="9"/>
      <c r="B19" s="10"/>
      <c r="C19" s="10"/>
      <c r="D19" s="10"/>
      <c r="E19" s="10"/>
      <c r="F19" s="10"/>
      <c r="G19" s="10"/>
      <c r="H19" s="10"/>
      <c r="I19" s="10"/>
      <c r="J19" s="10"/>
      <c r="K19" s="10"/>
      <c r="L19" s="10"/>
      <c r="M19" s="10"/>
      <c r="N19" s="10"/>
      <c r="O19" s="10"/>
      <c r="P19" s="10"/>
      <c r="Q19" s="10"/>
      <c r="R19" s="10"/>
      <c r="S19" s="43"/>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c r="CF19" s="10"/>
      <c r="CG19" s="10"/>
      <c r="CH19" s="51"/>
    </row>
    <row r="20" spans="1:86" s="2" customFormat="1" ht="15.75" customHeight="1">
      <c r="A20" s="9"/>
      <c r="B20" s="10"/>
      <c r="C20" s="10"/>
      <c r="D20" s="10"/>
      <c r="E20" s="10"/>
      <c r="F20" s="10"/>
      <c r="G20" s="10"/>
      <c r="H20" s="10"/>
      <c r="I20" s="10"/>
      <c r="J20" s="10"/>
      <c r="K20" s="10"/>
      <c r="L20" s="10"/>
      <c r="M20" s="10"/>
      <c r="N20" s="10"/>
      <c r="O20" s="10"/>
      <c r="P20" s="10"/>
      <c r="Q20" s="10"/>
      <c r="R20" s="10"/>
      <c r="S20" s="43"/>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51"/>
    </row>
    <row r="21" spans="1:86" s="2" customFormat="1" ht="15.75" customHeight="1">
      <c r="A21" s="9"/>
      <c r="B21" s="11"/>
      <c r="C21" s="10"/>
      <c r="D21" s="10"/>
      <c r="E21" s="10"/>
      <c r="F21" s="10"/>
      <c r="G21" s="10"/>
      <c r="H21" s="10"/>
      <c r="I21" s="10"/>
      <c r="J21" s="10"/>
      <c r="K21" s="10"/>
      <c r="L21" s="10"/>
      <c r="M21" s="10"/>
      <c r="N21" s="10"/>
      <c r="O21" s="10"/>
      <c r="P21" s="10"/>
      <c r="Q21" s="10"/>
      <c r="R21" s="10"/>
      <c r="S21" s="43"/>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51"/>
    </row>
    <row r="22" spans="1:86" s="2" customFormat="1" ht="15.75" customHeight="1">
      <c r="A22" s="9"/>
      <c r="B22" s="10"/>
      <c r="C22" s="10"/>
      <c r="D22" s="10"/>
      <c r="E22" s="10"/>
      <c r="F22" s="10"/>
      <c r="G22" s="10"/>
      <c r="H22" s="10"/>
      <c r="I22" s="10"/>
      <c r="J22" s="10"/>
      <c r="K22" s="10"/>
      <c r="L22" s="10"/>
      <c r="M22" s="10"/>
      <c r="N22" s="10"/>
      <c r="O22" s="10"/>
      <c r="P22" s="10"/>
      <c r="Q22" s="10"/>
      <c r="R22" s="10"/>
      <c r="S22" s="43"/>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51"/>
    </row>
    <row r="23" spans="1:86" s="2" customFormat="1" ht="15.75" customHeight="1">
      <c r="A23" s="9"/>
      <c r="B23" s="10"/>
      <c r="C23" s="10"/>
      <c r="D23" s="10"/>
      <c r="E23" s="10"/>
      <c r="F23" s="10"/>
      <c r="G23" s="10"/>
      <c r="H23" s="10"/>
      <c r="I23" s="10"/>
      <c r="J23" s="10"/>
      <c r="K23" s="10"/>
      <c r="L23" s="10"/>
      <c r="M23" s="10"/>
      <c r="N23" s="10"/>
      <c r="O23" s="10"/>
      <c r="P23" s="10"/>
      <c r="Q23" s="10"/>
      <c r="R23" s="10"/>
      <c r="S23" s="43"/>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51"/>
    </row>
    <row r="24" spans="1:86" s="2" customFormat="1" ht="15.75" customHeight="1">
      <c r="A24" s="9"/>
      <c r="B24" s="10"/>
      <c r="C24" s="10"/>
      <c r="D24" s="10"/>
      <c r="E24" s="10"/>
      <c r="F24" s="10"/>
      <c r="G24" s="10"/>
      <c r="H24" s="10"/>
      <c r="I24" s="10"/>
      <c r="J24" s="10"/>
      <c r="K24" s="10"/>
      <c r="L24" s="10"/>
      <c r="M24" s="10"/>
      <c r="N24" s="10"/>
      <c r="O24" s="10"/>
      <c r="P24" s="10"/>
      <c r="Q24" s="10"/>
      <c r="R24" s="10"/>
      <c r="S24" s="43"/>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51"/>
    </row>
    <row r="25" spans="1:86" s="2" customFormat="1" ht="15.75" customHeight="1">
      <c r="A25" s="9"/>
      <c r="B25" s="10"/>
      <c r="C25" s="10"/>
      <c r="D25" s="10"/>
      <c r="E25" s="10"/>
      <c r="F25" s="10"/>
      <c r="G25" s="10"/>
      <c r="H25" s="10"/>
      <c r="I25" s="10"/>
      <c r="J25" s="10"/>
      <c r="K25" s="10"/>
      <c r="L25" s="10"/>
      <c r="M25" s="10"/>
      <c r="N25" s="10"/>
      <c r="O25" s="10"/>
      <c r="P25" s="10"/>
      <c r="Q25" s="10"/>
      <c r="R25" s="10"/>
      <c r="S25" s="43"/>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51"/>
    </row>
    <row r="26" spans="1:86" s="2" customFormat="1" ht="15.75" customHeight="1">
      <c r="A26" s="9"/>
      <c r="B26" s="10"/>
      <c r="C26" s="10"/>
      <c r="D26" s="10"/>
      <c r="E26" s="10"/>
      <c r="F26" s="10"/>
      <c r="G26" s="10"/>
      <c r="H26" s="10"/>
      <c r="I26" s="10"/>
      <c r="J26" s="10"/>
      <c r="K26" s="10"/>
      <c r="L26" s="10"/>
      <c r="M26" s="10"/>
      <c r="N26" s="10"/>
      <c r="O26" s="10"/>
      <c r="P26" s="10"/>
      <c r="Q26" s="10"/>
      <c r="R26" s="10"/>
      <c r="S26" s="43"/>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51"/>
    </row>
    <row r="27" spans="1:86" s="2" customFormat="1" ht="15.75" customHeight="1">
      <c r="A27" s="9"/>
      <c r="B27" s="10"/>
      <c r="C27" s="10"/>
      <c r="D27" s="10"/>
      <c r="E27" s="10"/>
      <c r="F27" s="10"/>
      <c r="G27" s="10"/>
      <c r="H27" s="10"/>
      <c r="I27" s="10"/>
      <c r="J27" s="10"/>
      <c r="K27" s="10"/>
      <c r="L27" s="10"/>
      <c r="M27" s="10"/>
      <c r="N27" s="10"/>
      <c r="O27" s="10"/>
      <c r="P27" s="10"/>
      <c r="Q27" s="10"/>
      <c r="R27" s="10"/>
      <c r="S27" s="43"/>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51"/>
    </row>
    <row r="28" spans="1:86" s="2" customFormat="1" ht="15.75" customHeight="1">
      <c r="A28" s="9"/>
      <c r="B28" s="10"/>
      <c r="C28" s="10"/>
      <c r="D28" s="10"/>
      <c r="E28" s="10"/>
      <c r="F28" s="10"/>
      <c r="G28" s="10"/>
      <c r="H28" s="10"/>
      <c r="I28" s="10"/>
      <c r="J28" s="10"/>
      <c r="K28" s="10"/>
      <c r="L28" s="10"/>
      <c r="M28" s="10"/>
      <c r="N28" s="10"/>
      <c r="O28" s="10"/>
      <c r="P28" s="10"/>
      <c r="Q28" s="10"/>
      <c r="R28" s="10"/>
      <c r="S28" s="43"/>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51"/>
    </row>
    <row r="29" spans="1:86" s="2" customFormat="1" ht="15.75" customHeight="1">
      <c r="A29" s="9"/>
      <c r="B29" s="10"/>
      <c r="C29" s="10"/>
      <c r="D29" s="10"/>
      <c r="E29" s="10"/>
      <c r="F29" s="10"/>
      <c r="G29" s="10"/>
      <c r="H29" s="10"/>
      <c r="I29" s="10"/>
      <c r="J29" s="10"/>
      <c r="K29" s="10"/>
      <c r="L29" s="10"/>
      <c r="M29" s="10"/>
      <c r="N29" s="10"/>
      <c r="O29" s="10"/>
      <c r="P29" s="10"/>
      <c r="Q29" s="10"/>
      <c r="R29" s="10"/>
      <c r="S29" s="43"/>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51"/>
    </row>
    <row r="30" spans="1:86" s="2" customFormat="1" ht="15.75" customHeight="1">
      <c r="A30" s="9"/>
      <c r="B30" s="10"/>
      <c r="C30" s="10"/>
      <c r="D30" s="10"/>
      <c r="E30" s="10"/>
      <c r="F30" s="10"/>
      <c r="G30" s="10"/>
      <c r="H30" s="10"/>
      <c r="I30" s="10"/>
      <c r="J30" s="10"/>
      <c r="K30" s="10"/>
      <c r="L30" s="10"/>
      <c r="M30" s="10"/>
      <c r="N30" s="10"/>
      <c r="O30" s="10"/>
      <c r="P30" s="10"/>
      <c r="Q30" s="10"/>
      <c r="R30" s="10"/>
      <c r="S30" s="43"/>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51"/>
    </row>
    <row r="31" spans="1:86" s="2" customFormat="1" ht="15.75" customHeight="1">
      <c r="A31" s="9"/>
      <c r="B31" s="10"/>
      <c r="C31" s="10"/>
      <c r="D31" s="10"/>
      <c r="E31" s="10"/>
      <c r="F31" s="10"/>
      <c r="G31" s="10"/>
      <c r="H31" s="10"/>
      <c r="I31" s="10"/>
      <c r="J31" s="10"/>
      <c r="K31" s="10"/>
      <c r="L31" s="10"/>
      <c r="M31" s="10"/>
      <c r="N31" s="10"/>
      <c r="O31" s="10"/>
      <c r="P31" s="10"/>
      <c r="Q31" s="10"/>
      <c r="R31" s="10"/>
      <c r="S31" s="43"/>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51"/>
    </row>
    <row r="32" spans="1:86" s="2" customFormat="1" ht="15.75" customHeight="1">
      <c r="A32" s="9"/>
      <c r="B32" s="10"/>
      <c r="C32" s="10"/>
      <c r="D32" s="10"/>
      <c r="E32" s="10"/>
      <c r="F32" s="10"/>
      <c r="G32" s="10"/>
      <c r="H32" s="10"/>
      <c r="I32" s="10"/>
      <c r="J32" s="10"/>
      <c r="K32" s="10"/>
      <c r="L32" s="10"/>
      <c r="M32" s="10"/>
      <c r="N32" s="10"/>
      <c r="O32" s="10"/>
      <c r="P32" s="10"/>
      <c r="Q32" s="10"/>
      <c r="R32" s="10"/>
      <c r="S32" s="43"/>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51"/>
    </row>
    <row r="33" spans="1:86" s="2" customFormat="1" ht="15.75" customHeight="1">
      <c r="A33" s="9"/>
      <c r="B33" s="10"/>
      <c r="C33" s="10"/>
      <c r="D33" s="10"/>
      <c r="E33" s="10"/>
      <c r="F33" s="10"/>
      <c r="G33" s="10"/>
      <c r="H33" s="10"/>
      <c r="I33" s="10"/>
      <c r="J33" s="10"/>
      <c r="K33" s="10"/>
      <c r="L33" s="10"/>
      <c r="M33" s="10"/>
      <c r="N33" s="10"/>
      <c r="O33" s="10"/>
      <c r="P33" s="10"/>
      <c r="Q33" s="10"/>
      <c r="R33" s="10"/>
      <c r="S33" s="43"/>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51"/>
    </row>
    <row r="34" spans="1:86" s="2" customFormat="1" ht="15.75" customHeight="1">
      <c r="A34" s="9"/>
      <c r="B34" s="10"/>
      <c r="C34" s="10"/>
      <c r="D34" s="10"/>
      <c r="E34" s="10"/>
      <c r="F34" s="10"/>
      <c r="G34" s="10"/>
      <c r="H34" s="10"/>
      <c r="I34" s="10"/>
      <c r="J34" s="10"/>
      <c r="K34" s="10"/>
      <c r="L34" s="10"/>
      <c r="M34" s="10"/>
      <c r="N34" s="10"/>
      <c r="O34" s="10"/>
      <c r="P34" s="10"/>
      <c r="Q34" s="10"/>
      <c r="R34" s="10"/>
      <c r="S34" s="43"/>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51"/>
    </row>
    <row r="35" spans="1:86" s="2" customFormat="1" ht="15.75" customHeight="1">
      <c r="A35" s="9"/>
      <c r="B35" s="10"/>
      <c r="C35" s="10"/>
      <c r="D35" s="10"/>
      <c r="E35" s="10"/>
      <c r="F35" s="10"/>
      <c r="G35" s="10"/>
      <c r="H35" s="10"/>
      <c r="I35" s="10"/>
      <c r="J35" s="10"/>
      <c r="K35" s="10"/>
      <c r="L35" s="10"/>
      <c r="M35" s="10"/>
      <c r="N35" s="10"/>
      <c r="O35" s="10"/>
      <c r="P35" s="10"/>
      <c r="Q35" s="10"/>
      <c r="R35" s="10"/>
      <c r="S35" s="43"/>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51"/>
    </row>
    <row r="36" spans="1:86" s="2" customFormat="1" ht="15.75" customHeight="1">
      <c r="A36" s="9"/>
      <c r="B36" s="10"/>
      <c r="C36" s="10"/>
      <c r="D36" s="10"/>
      <c r="E36" s="10"/>
      <c r="F36" s="10"/>
      <c r="G36" s="10"/>
      <c r="H36" s="10"/>
      <c r="I36" s="10"/>
      <c r="J36" s="10"/>
      <c r="K36" s="10"/>
      <c r="L36" s="10"/>
      <c r="M36" s="10"/>
      <c r="N36" s="10"/>
      <c r="O36" s="10"/>
      <c r="P36" s="10"/>
      <c r="Q36" s="10"/>
      <c r="R36" s="10"/>
      <c r="S36" s="43"/>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51"/>
    </row>
    <row r="37" spans="1:86" s="2" customFormat="1" ht="15.75" customHeight="1">
      <c r="A37" s="9"/>
      <c r="B37" s="10"/>
      <c r="C37" s="10"/>
      <c r="D37" s="10"/>
      <c r="E37" s="10"/>
      <c r="F37" s="10"/>
      <c r="G37" s="10"/>
      <c r="H37" s="10"/>
      <c r="I37" s="10"/>
      <c r="J37" s="10"/>
      <c r="K37" s="10"/>
      <c r="L37" s="10"/>
      <c r="M37" s="10"/>
      <c r="N37" s="10"/>
      <c r="O37" s="10"/>
      <c r="P37" s="10"/>
      <c r="Q37" s="10"/>
      <c r="R37" s="10"/>
      <c r="S37" s="43"/>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51"/>
    </row>
    <row r="38" spans="1:86" s="2" customFormat="1" ht="15.75" customHeight="1">
      <c r="A38" s="9"/>
      <c r="B38" s="10"/>
      <c r="C38" s="10"/>
      <c r="D38" s="10"/>
      <c r="E38" s="10"/>
      <c r="F38" s="10"/>
      <c r="G38" s="10"/>
      <c r="H38" s="10"/>
      <c r="I38" s="10"/>
      <c r="J38" s="10"/>
      <c r="K38" s="10"/>
      <c r="L38" s="10"/>
      <c r="M38" s="10"/>
      <c r="N38" s="10"/>
      <c r="O38" s="10"/>
      <c r="P38" s="10"/>
      <c r="Q38" s="10"/>
      <c r="R38" s="10"/>
      <c r="S38" s="43"/>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51"/>
    </row>
    <row r="39" spans="1:86" s="2" customFormat="1" ht="15.75" customHeight="1">
      <c r="A39" s="9"/>
      <c r="B39" s="10"/>
      <c r="C39" s="10"/>
      <c r="D39" s="10"/>
      <c r="E39" s="10"/>
      <c r="F39" s="10"/>
      <c r="G39" s="10"/>
      <c r="H39" s="10"/>
      <c r="I39" s="10"/>
      <c r="J39" s="10"/>
      <c r="K39" s="10"/>
      <c r="L39" s="10"/>
      <c r="M39" s="10"/>
      <c r="N39" s="10"/>
      <c r="O39" s="10"/>
      <c r="P39" s="10"/>
      <c r="Q39" s="10"/>
      <c r="R39" s="10"/>
      <c r="S39" s="43"/>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51"/>
    </row>
    <row r="40" spans="1:86" s="2" customFormat="1" ht="15.75" customHeight="1">
      <c r="A40" s="9"/>
      <c r="B40" s="10"/>
      <c r="C40" s="10"/>
      <c r="D40" s="10"/>
      <c r="E40" s="10"/>
      <c r="F40" s="10"/>
      <c r="G40" s="10"/>
      <c r="H40" s="10"/>
      <c r="I40" s="10"/>
      <c r="J40" s="10"/>
      <c r="K40" s="10"/>
      <c r="L40" s="10"/>
      <c r="M40" s="10"/>
      <c r="N40" s="10"/>
      <c r="O40" s="10"/>
      <c r="P40" s="10"/>
      <c r="Q40" s="10"/>
      <c r="R40" s="10"/>
      <c r="S40" s="43"/>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51"/>
    </row>
    <row r="41" spans="1:86" s="2" customFormat="1" ht="15.75" customHeight="1">
      <c r="A41" s="9"/>
      <c r="B41" s="10"/>
      <c r="C41" s="10"/>
      <c r="D41" s="10"/>
      <c r="E41" s="10"/>
      <c r="F41" s="10"/>
      <c r="G41" s="10"/>
      <c r="H41" s="10"/>
      <c r="I41" s="10"/>
      <c r="J41" s="10"/>
      <c r="K41" s="10"/>
      <c r="L41" s="10"/>
      <c r="M41" s="10"/>
      <c r="N41" s="10"/>
      <c r="O41" s="10"/>
      <c r="P41" s="10"/>
      <c r="Q41" s="10"/>
      <c r="R41" s="10"/>
      <c r="S41" s="43"/>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51"/>
    </row>
    <row r="42" spans="1:86" s="2" customFormat="1" ht="15.75" customHeight="1">
      <c r="A42" s="9"/>
      <c r="B42" s="10"/>
      <c r="C42" s="10"/>
      <c r="D42" s="10"/>
      <c r="E42" s="10"/>
      <c r="F42" s="10"/>
      <c r="G42" s="10"/>
      <c r="H42" s="10"/>
      <c r="I42" s="10"/>
      <c r="J42" s="10"/>
      <c r="K42" s="10"/>
      <c r="L42" s="10"/>
      <c r="M42" s="10"/>
      <c r="N42" s="10"/>
      <c r="O42" s="10"/>
      <c r="P42" s="10"/>
      <c r="Q42" s="10"/>
      <c r="R42" s="10"/>
      <c r="S42" s="43"/>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51"/>
    </row>
    <row r="43" spans="1:86" s="2" customFormat="1" ht="15.75" customHeight="1">
      <c r="A43" s="9"/>
      <c r="B43" s="10"/>
      <c r="C43" s="10"/>
      <c r="D43" s="10"/>
      <c r="E43" s="10"/>
      <c r="F43" s="10"/>
      <c r="G43" s="10"/>
      <c r="H43" s="10"/>
      <c r="I43" s="10"/>
      <c r="J43" s="10"/>
      <c r="K43" s="10"/>
      <c r="L43" s="10"/>
      <c r="M43" s="10"/>
      <c r="N43" s="10"/>
      <c r="O43" s="10"/>
      <c r="P43" s="10"/>
      <c r="Q43" s="10"/>
      <c r="R43" s="10"/>
      <c r="S43" s="43"/>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51"/>
    </row>
    <row r="44" spans="1:86" s="2" customFormat="1" ht="15.75" customHeight="1">
      <c r="A44" s="9"/>
      <c r="B44" s="10"/>
      <c r="C44" s="10"/>
      <c r="D44" s="10"/>
      <c r="E44" s="10"/>
      <c r="F44" s="10"/>
      <c r="G44" s="10"/>
      <c r="H44" s="10"/>
      <c r="I44" s="10"/>
      <c r="J44" s="10"/>
      <c r="K44" s="10"/>
      <c r="L44" s="10"/>
      <c r="M44" s="10"/>
      <c r="N44" s="10"/>
      <c r="O44" s="10"/>
      <c r="P44" s="10"/>
      <c r="Q44" s="10"/>
      <c r="R44" s="10"/>
      <c r="S44" s="43"/>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51"/>
    </row>
    <row r="45" spans="1:86" s="2" customFormat="1" ht="15.75" customHeight="1">
      <c r="A45" s="9"/>
      <c r="B45" s="10"/>
      <c r="C45" s="10"/>
      <c r="D45" s="10"/>
      <c r="E45" s="10"/>
      <c r="F45" s="10"/>
      <c r="G45" s="10"/>
      <c r="H45" s="10"/>
      <c r="I45" s="10"/>
      <c r="J45" s="10"/>
      <c r="K45" s="10"/>
      <c r="L45" s="10"/>
      <c r="M45" s="10"/>
      <c r="N45" s="10"/>
      <c r="O45" s="10"/>
      <c r="P45" s="10"/>
      <c r="Q45" s="10"/>
      <c r="R45" s="10"/>
      <c r="S45" s="43"/>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51"/>
    </row>
    <row r="46" spans="1:86" s="2" customFormat="1" ht="15.75" customHeight="1">
      <c r="A46" s="9"/>
      <c r="B46" s="10"/>
      <c r="C46" s="10"/>
      <c r="D46" s="10"/>
      <c r="E46" s="10"/>
      <c r="F46" s="10"/>
      <c r="G46" s="10"/>
      <c r="H46" s="10"/>
      <c r="I46" s="10"/>
      <c r="J46" s="10"/>
      <c r="K46" s="10"/>
      <c r="L46" s="10"/>
      <c r="M46" s="10"/>
      <c r="N46" s="10"/>
      <c r="O46" s="10"/>
      <c r="P46" s="10"/>
      <c r="Q46" s="10"/>
      <c r="R46" s="10"/>
      <c r="S46" s="43"/>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51"/>
    </row>
    <row r="47" spans="1:86" s="2" customFormat="1" ht="15.75" customHeight="1">
      <c r="A47" s="21"/>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2"/>
      <c r="BR47" s="22"/>
      <c r="BS47" s="22"/>
      <c r="BT47" s="22"/>
      <c r="BU47" s="22"/>
      <c r="BV47" s="22"/>
      <c r="BW47" s="22"/>
      <c r="BX47" s="22"/>
      <c r="BY47" s="22"/>
      <c r="BZ47" s="22"/>
      <c r="CA47" s="22"/>
      <c r="CB47" s="22"/>
      <c r="CC47" s="22"/>
      <c r="CD47" s="22"/>
      <c r="CE47" s="22"/>
      <c r="CF47" s="22"/>
      <c r="CG47" s="22"/>
      <c r="CH47" s="52"/>
    </row>
    <row r="48" spans="1:86" s="2" customFormat="1"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row>
    <row r="49" spans="1:86" s="2" customFormat="1"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row>
    <row r="50" spans="1:86" s="2" customFormat="1"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row>
    <row r="51" spans="1:86" s="2" customFormat="1"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row>
    <row r="52" spans="1:86" s="2" customFormat="1"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row>
    <row r="53" spans="1:86" s="2" customFormat="1"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row>
    <row r="54" spans="1:86" s="2" customFormat="1"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row>
    <row r="55" spans="1:86" s="2" customFormat="1"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row>
    <row r="56" spans="1:86" s="2" customFormat="1"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row>
    <row r="57" spans="1:86" s="2" customFormat="1"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row>
    <row r="58" spans="1:86" s="2" customFormat="1"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row>
    <row r="59" spans="1:86" s="2" customFormat="1"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row>
    <row r="60" spans="1:86" s="2" customFormat="1"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row>
    <row r="61" spans="1:86" s="2" customFormat="1"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row>
    <row r="62" spans="1:86" s="2" customFormat="1"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row>
    <row r="63" spans="1:86" s="2" customFormat="1"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row>
    <row r="64" spans="1:86" s="2" customFormat="1"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row>
    <row r="65" spans="1:86" s="2" customFormat="1"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row>
    <row r="66" spans="1:86" s="2" customFormat="1"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row>
    <row r="67" spans="1:86" s="2" customFormat="1"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row>
    <row r="68" spans="1:86" s="2" customFormat="1"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row>
    <row r="69" spans="1:86" s="2" customFormat="1"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row>
    <row r="70" spans="1:86" s="2" customFormat="1"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row>
    <row r="71" spans="1:86" s="2" customFormat="1"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row>
    <row r="72" spans="1:86" s="2" customFormat="1"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row>
    <row r="73" spans="1:86" s="2" customFormat="1"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row>
    <row r="74" spans="1:86" s="2" customFormat="1"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row>
    <row r="75" spans="1:86" s="2" customFormat="1"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row>
    <row r="76" spans="1:86" s="2" customFormat="1"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row>
    <row r="77" spans="1:86" ht="15.75" customHeight="1">
      <c r="D77" s="53"/>
      <c r="E77" s="53"/>
      <c r="F77" s="53"/>
      <c r="G77" s="53"/>
      <c r="H77" s="53"/>
      <c r="I77" s="53"/>
      <c r="J77" s="53"/>
      <c r="K77" s="53"/>
      <c r="L77" s="53"/>
      <c r="M77" s="53"/>
      <c r="N77" s="53"/>
      <c r="O77" s="53"/>
      <c r="P77" s="53"/>
      <c r="Q77" s="53"/>
      <c r="R77" s="53"/>
      <c r="S77" s="53"/>
      <c r="T77" s="53"/>
      <c r="U77" s="53"/>
      <c r="V77" s="53"/>
      <c r="W77" s="53"/>
      <c r="X77" s="53"/>
      <c r="Y77" s="53"/>
      <c r="Z77" s="53"/>
      <c r="AA77" s="53"/>
      <c r="AB77" s="53"/>
      <c r="AC77" s="53"/>
      <c r="AD77" s="53"/>
      <c r="AE77" s="53"/>
      <c r="AF77" s="53"/>
      <c r="AG77" s="53"/>
      <c r="AH77" s="53"/>
      <c r="AI77" s="53"/>
      <c r="AJ77" s="53"/>
      <c r="AK77" s="53"/>
      <c r="AL77" s="53"/>
      <c r="AM77" s="53"/>
      <c r="AN77" s="53"/>
      <c r="AO77" s="53"/>
      <c r="AP77" s="53"/>
      <c r="AQ77" s="53"/>
      <c r="AR77" s="53"/>
      <c r="AS77" s="53"/>
      <c r="AT77" s="53"/>
      <c r="AU77" s="53"/>
      <c r="AV77" s="53"/>
      <c r="AW77" s="53"/>
      <c r="AX77" s="53"/>
      <c r="AY77" s="53"/>
      <c r="AZ77" s="53"/>
      <c r="BA77" s="53"/>
      <c r="BB77" s="53"/>
      <c r="BC77" s="53"/>
      <c r="BD77" s="53"/>
      <c r="BE77" s="53"/>
      <c r="BF77" s="53"/>
      <c r="BG77" s="53"/>
      <c r="BH77" s="53"/>
      <c r="BI77" s="53"/>
      <c r="BJ77" s="53"/>
      <c r="BK77" s="53"/>
    </row>
  </sheetData>
  <mergeCells count="21">
    <mergeCell ref="BL2:BT3"/>
    <mergeCell ref="BL1:BT1"/>
    <mergeCell ref="BU1:CA1"/>
    <mergeCell ref="CB1:CH1"/>
    <mergeCell ref="O2:AB2"/>
    <mergeCell ref="AC2:AI2"/>
    <mergeCell ref="AJ2:AP2"/>
    <mergeCell ref="AQ2:AW2"/>
    <mergeCell ref="AX2:BK2"/>
    <mergeCell ref="BU2:CA3"/>
    <mergeCell ref="CB2:CH3"/>
    <mergeCell ref="O1:AB1"/>
    <mergeCell ref="AC1:AI1"/>
    <mergeCell ref="AJ1:AP1"/>
    <mergeCell ref="AQ1:AW1"/>
    <mergeCell ref="AX1:BK1"/>
    <mergeCell ref="A1:N3"/>
    <mergeCell ref="O3:AB3"/>
    <mergeCell ref="AC3:AI3"/>
    <mergeCell ref="AJ3:AP3"/>
    <mergeCell ref="AQ3:BK3"/>
  </mergeCells>
  <phoneticPr fontId="65"/>
  <pageMargins left="0.511811023622047" right="0.74803149606299202" top="0.70866141732283505" bottom="0.43307086614173201" header="0.511811023622047" footer="0.35433070866141703"/>
  <pageSetup paperSize="9" scale="75" fitToHeight="0" orientation="landscape" r:id="rId1"/>
  <headerFooter alignWithMargins="0">
    <oddFooter>&amp;L&amp;"Meiryo UI"&amp;10MSBDP0090&amp;C&amp;"Meiryo UI,標準"&amp;10&amp;P&amp;R&amp;"Meiryo UI,標準"&amp;10(C)Toyo Business Engineering Corp.[Confidential]</oddFooter>
  </headerFooter>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3E27-FFA5-4681-9CF1-204D33915BBF}">
  <sheetPr>
    <tabColor rgb="FFFFFF00"/>
    <pageSetUpPr fitToPage="1"/>
  </sheetPr>
  <dimension ref="A1:BL35"/>
  <sheetViews>
    <sheetView showGridLines="0" showZeros="0" view="pageBreakPreview" zoomScale="85" zoomScaleNormal="100" zoomScaleSheetLayoutView="85" workbookViewId="0">
      <selection activeCell="AM15" sqref="AM15"/>
    </sheetView>
  </sheetViews>
  <sheetFormatPr defaultColWidth="2.08984375" defaultRowHeight="15.75" customHeight="1"/>
  <cols>
    <col min="1" max="1" width="2.08984375" style="570" customWidth="1"/>
    <col min="2" max="2" width="2.08984375" style="546" customWidth="1"/>
    <col min="3" max="3" width="2.36328125" style="546" customWidth="1"/>
    <col min="4" max="4" width="2.08984375" style="546" customWidth="1"/>
    <col min="5" max="5" width="3" style="546" customWidth="1"/>
    <col min="6" max="62" width="2.08984375" style="546" customWidth="1"/>
    <col min="63" max="63" width="2.26953125" style="546" customWidth="1"/>
    <col min="64" max="16384" width="2.08984375" style="546"/>
  </cols>
  <sheetData>
    <row r="1" spans="1:64" s="536" customFormat="1" ht="15.75" customHeight="1">
      <c r="A1" s="1050" t="s">
        <v>34</v>
      </c>
      <c r="B1" s="1051"/>
      <c r="C1" s="1051"/>
      <c r="D1" s="1051"/>
      <c r="E1" s="1051"/>
      <c r="F1" s="1051"/>
      <c r="G1" s="1051"/>
      <c r="H1" s="1051"/>
      <c r="I1" s="1051"/>
      <c r="J1" s="1052"/>
      <c r="K1" s="1059" t="s">
        <v>1420</v>
      </c>
      <c r="L1" s="1060"/>
      <c r="M1" s="1060"/>
      <c r="N1" s="1060"/>
      <c r="O1" s="1060"/>
      <c r="P1" s="1060"/>
      <c r="Q1" s="1060"/>
      <c r="R1" s="1060"/>
      <c r="S1" s="1060"/>
      <c r="T1" s="1061"/>
      <c r="U1" s="1062" t="s">
        <v>1421</v>
      </c>
      <c r="V1" s="1063"/>
      <c r="W1" s="1063"/>
      <c r="X1" s="1063"/>
      <c r="Y1" s="1064"/>
      <c r="Z1" s="1065" t="str">
        <f ca="1">INDIRECT("表紙!$Z$39")</f>
        <v>MS</v>
      </c>
      <c r="AA1" s="1066"/>
      <c r="AB1" s="1066"/>
      <c r="AC1" s="1066"/>
      <c r="AD1" s="1067"/>
      <c r="AE1" s="1068" t="s">
        <v>1422</v>
      </c>
      <c r="AF1" s="1069"/>
      <c r="AG1" s="1069"/>
      <c r="AH1" s="1069"/>
      <c r="AI1" s="1070"/>
      <c r="AJ1" s="1065" t="str">
        <f ca="1">INDIRECT("表紙!$AJ$39")</f>
        <v>SCM</v>
      </c>
      <c r="AK1" s="1066"/>
      <c r="AL1" s="1066"/>
      <c r="AM1" s="1066"/>
      <c r="AN1" s="1066"/>
      <c r="AO1" s="1066"/>
      <c r="AP1" s="1066"/>
      <c r="AQ1" s="1066"/>
      <c r="AR1" s="1067"/>
      <c r="AS1" s="1071" t="s">
        <v>1423</v>
      </c>
      <c r="AT1" s="1072"/>
      <c r="AU1" s="1072"/>
      <c r="AV1" s="1072"/>
      <c r="AW1" s="1072"/>
      <c r="AX1" s="1072"/>
      <c r="AY1" s="1073"/>
      <c r="AZ1" s="1068" t="s">
        <v>1424</v>
      </c>
      <c r="BA1" s="1069"/>
      <c r="BB1" s="1069"/>
      <c r="BC1" s="1069"/>
      <c r="BD1" s="1069"/>
      <c r="BE1" s="1070"/>
      <c r="BF1" s="1068" t="s">
        <v>1425</v>
      </c>
      <c r="BG1" s="1069"/>
      <c r="BH1" s="1069"/>
      <c r="BI1" s="1069"/>
      <c r="BJ1" s="1069"/>
      <c r="BK1" s="1074"/>
    </row>
    <row r="2" spans="1:64" s="536" customFormat="1" ht="15.75" customHeight="1">
      <c r="A2" s="1053"/>
      <c r="B2" s="1054"/>
      <c r="C2" s="1054"/>
      <c r="D2" s="1054"/>
      <c r="E2" s="1054"/>
      <c r="F2" s="1054"/>
      <c r="G2" s="1054"/>
      <c r="H2" s="1054"/>
      <c r="I2" s="1054"/>
      <c r="J2" s="1055"/>
      <c r="K2" s="1075" t="s">
        <v>1</v>
      </c>
      <c r="L2" s="1076"/>
      <c r="M2" s="1076"/>
      <c r="N2" s="1076"/>
      <c r="O2" s="1076"/>
      <c r="P2" s="1076"/>
      <c r="Q2" s="1076"/>
      <c r="R2" s="1076"/>
      <c r="S2" s="1076"/>
      <c r="T2" s="1077"/>
      <c r="U2" s="1078" t="s">
        <v>1426</v>
      </c>
      <c r="V2" s="1079"/>
      <c r="W2" s="1079"/>
      <c r="X2" s="1079"/>
      <c r="Y2" s="1080"/>
      <c r="Z2" s="1081" t="str">
        <f ca="1">INDIRECT("表紙!$Z$40")</f>
        <v>MSBD</v>
      </c>
      <c r="AA2" s="1082"/>
      <c r="AB2" s="1082"/>
      <c r="AC2" s="1082"/>
      <c r="AD2" s="1083"/>
      <c r="AE2" s="1084" t="s">
        <v>1427</v>
      </c>
      <c r="AF2" s="1085"/>
      <c r="AG2" s="1085"/>
      <c r="AH2" s="1085"/>
      <c r="AI2" s="1086"/>
      <c r="AJ2" s="1081" t="str">
        <f ca="1">INDIRECT("表紙!$AJ$40")</f>
        <v>購買管理</v>
      </c>
      <c r="AK2" s="1082"/>
      <c r="AL2" s="1082"/>
      <c r="AM2" s="1082"/>
      <c r="AN2" s="1082"/>
      <c r="AO2" s="1082"/>
      <c r="AP2" s="1082"/>
      <c r="AQ2" s="1082"/>
      <c r="AR2" s="1083"/>
      <c r="AS2" s="1087" t="s">
        <v>6</v>
      </c>
      <c r="AT2" s="1088"/>
      <c r="AU2" s="1088"/>
      <c r="AV2" s="1088"/>
      <c r="AW2" s="1088"/>
      <c r="AX2" s="1088"/>
      <c r="AY2" s="1089"/>
      <c r="AZ2" s="1093" t="s">
        <v>13</v>
      </c>
      <c r="BA2" s="1094"/>
      <c r="BB2" s="1094"/>
      <c r="BC2" s="1094"/>
      <c r="BD2" s="1094"/>
      <c r="BE2" s="1095"/>
      <c r="BF2" s="1099">
        <v>0.02</v>
      </c>
      <c r="BG2" s="1100"/>
      <c r="BH2" s="1100"/>
      <c r="BI2" s="1100"/>
      <c r="BJ2" s="1100"/>
      <c r="BK2" s="1101"/>
    </row>
    <row r="3" spans="1:64" s="536" customFormat="1" ht="15.75" customHeight="1" thickBot="1">
      <c r="A3" s="1056"/>
      <c r="B3" s="1057"/>
      <c r="C3" s="1057"/>
      <c r="D3" s="1057"/>
      <c r="E3" s="1057"/>
      <c r="F3" s="1057"/>
      <c r="G3" s="1057"/>
      <c r="H3" s="1057"/>
      <c r="I3" s="1057"/>
      <c r="J3" s="1058"/>
      <c r="K3" s="1105" t="str">
        <f ca="1">RIGHT(CELL("filename",$A$1),LEN(CELL("filename",$A$1))-FIND("]",CELL("filename",$A$1)))</f>
        <v>処理詳細 (システム設計時)</v>
      </c>
      <c r="L3" s="1106"/>
      <c r="M3" s="1106"/>
      <c r="N3" s="1106"/>
      <c r="O3" s="1106"/>
      <c r="P3" s="1106"/>
      <c r="Q3" s="1106"/>
      <c r="R3" s="1106"/>
      <c r="S3" s="1106"/>
      <c r="T3" s="1107"/>
      <c r="U3" s="1108" t="s">
        <v>1428</v>
      </c>
      <c r="V3" s="1109"/>
      <c r="W3" s="1109"/>
      <c r="X3" s="1109"/>
      <c r="Y3" s="1110"/>
      <c r="Z3" s="1111" t="str">
        <f ca="1">INDIRECT("表紙!$Z$41")</f>
        <v>MSBDP0090</v>
      </c>
      <c r="AA3" s="1112"/>
      <c r="AB3" s="1112"/>
      <c r="AC3" s="1112"/>
      <c r="AD3" s="1112"/>
      <c r="AE3" s="1113" t="str">
        <f ca="1">INDIRECT("表紙!$AE$41")</f>
        <v>発注一覧登録</v>
      </c>
      <c r="AF3" s="1113"/>
      <c r="AG3" s="1113"/>
      <c r="AH3" s="1113"/>
      <c r="AI3" s="1113"/>
      <c r="AJ3" s="1113"/>
      <c r="AK3" s="1113"/>
      <c r="AL3" s="1113"/>
      <c r="AM3" s="1113"/>
      <c r="AN3" s="1113"/>
      <c r="AO3" s="1113"/>
      <c r="AP3" s="1113"/>
      <c r="AQ3" s="1113"/>
      <c r="AR3" s="1114"/>
      <c r="AS3" s="1090"/>
      <c r="AT3" s="1091"/>
      <c r="AU3" s="1091"/>
      <c r="AV3" s="1091"/>
      <c r="AW3" s="1091"/>
      <c r="AX3" s="1091"/>
      <c r="AY3" s="1092"/>
      <c r="AZ3" s="1096"/>
      <c r="BA3" s="1097"/>
      <c r="BB3" s="1097"/>
      <c r="BC3" s="1097"/>
      <c r="BD3" s="1097"/>
      <c r="BE3" s="1098"/>
      <c r="BF3" s="1102"/>
      <c r="BG3" s="1103"/>
      <c r="BH3" s="1103"/>
      <c r="BI3" s="1103"/>
      <c r="BJ3" s="1103"/>
      <c r="BK3" s="1104"/>
    </row>
    <row r="4" spans="1:64" s="536" customFormat="1" ht="6.75" customHeight="1" thickBot="1">
      <c r="B4" s="537"/>
      <c r="C4" s="538"/>
      <c r="D4" s="538"/>
      <c r="E4" s="538"/>
      <c r="F4" s="539"/>
      <c r="G4" s="539"/>
      <c r="H4" s="539"/>
      <c r="I4" s="539"/>
      <c r="J4" s="538"/>
      <c r="K4" s="539"/>
      <c r="L4" s="539"/>
      <c r="M4" s="539"/>
      <c r="N4" s="539"/>
      <c r="O4" s="539"/>
      <c r="P4" s="539"/>
      <c r="Q4" s="540"/>
    </row>
    <row r="5" spans="1:64" ht="15.75" customHeight="1" thickBot="1">
      <c r="A5" s="541" t="s">
        <v>1189</v>
      </c>
      <c r="B5" s="542" t="s">
        <v>1429</v>
      </c>
      <c r="C5" s="542"/>
      <c r="D5" s="542"/>
      <c r="E5" s="542"/>
      <c r="F5" s="542"/>
      <c r="G5" s="542"/>
      <c r="H5" s="542"/>
      <c r="I5" s="543"/>
      <c r="J5" s="542" t="s">
        <v>1430</v>
      </c>
      <c r="K5" s="542"/>
      <c r="L5" s="542"/>
      <c r="M5" s="542"/>
      <c r="N5" s="542"/>
      <c r="O5" s="542"/>
      <c r="P5" s="542"/>
      <c r="Q5" s="542"/>
      <c r="R5" s="542"/>
      <c r="S5" s="542"/>
      <c r="T5" s="542"/>
      <c r="U5" s="542"/>
      <c r="V5" s="542"/>
      <c r="W5" s="542"/>
      <c r="X5" s="542"/>
      <c r="Y5" s="542"/>
      <c r="Z5" s="542"/>
      <c r="AA5" s="542"/>
      <c r="AB5" s="542"/>
      <c r="AC5" s="542"/>
      <c r="AD5" s="542"/>
      <c r="AE5" s="542"/>
      <c r="AF5" s="542"/>
      <c r="AG5" s="542"/>
      <c r="AH5" s="542"/>
      <c r="AI5" s="542"/>
      <c r="AJ5" s="542"/>
      <c r="AK5" s="542"/>
      <c r="AL5" s="542"/>
      <c r="AM5" s="542"/>
      <c r="AN5" s="542"/>
      <c r="AO5" s="542"/>
      <c r="AP5" s="542"/>
      <c r="AQ5" s="542"/>
      <c r="AR5" s="542"/>
      <c r="AS5" s="542"/>
      <c r="AT5" s="542"/>
      <c r="AU5" s="542"/>
      <c r="AV5" s="542"/>
      <c r="AW5" s="542"/>
      <c r="AX5" s="542"/>
      <c r="AY5" s="542"/>
      <c r="AZ5" s="542"/>
      <c r="BA5" s="542"/>
      <c r="BB5" s="542"/>
      <c r="BC5" s="543"/>
      <c r="BD5" s="542" t="s">
        <v>1431</v>
      </c>
      <c r="BE5" s="542"/>
      <c r="BF5" s="542"/>
      <c r="BG5" s="542"/>
      <c r="BH5" s="542"/>
      <c r="BI5" s="542"/>
      <c r="BJ5" s="542"/>
      <c r="BK5" s="544"/>
      <c r="BL5" s="545"/>
    </row>
    <row r="6" spans="1:64" ht="15.75" customHeight="1" thickTop="1">
      <c r="A6" s="547">
        <v>1</v>
      </c>
      <c r="B6" s="548" t="s">
        <v>1432</v>
      </c>
      <c r="C6" s="549"/>
      <c r="D6" s="549"/>
      <c r="E6" s="549"/>
      <c r="F6" s="549"/>
      <c r="G6" s="549"/>
      <c r="H6" s="549"/>
      <c r="I6" s="549"/>
      <c r="J6" s="549" t="s">
        <v>1433</v>
      </c>
      <c r="K6" s="549"/>
      <c r="L6" s="549"/>
      <c r="M6" s="549"/>
      <c r="N6" s="549"/>
      <c r="O6" s="549"/>
      <c r="P6" s="549"/>
      <c r="Q6" s="549"/>
      <c r="R6" s="549"/>
      <c r="S6" s="549"/>
      <c r="T6" s="549"/>
      <c r="U6" s="549"/>
      <c r="V6" s="549"/>
      <c r="W6" s="549"/>
      <c r="X6" s="549"/>
      <c r="Y6" s="549"/>
      <c r="Z6" s="549"/>
      <c r="AA6" s="549"/>
      <c r="AB6" s="549"/>
      <c r="AC6" s="549"/>
      <c r="AD6" s="549"/>
      <c r="AE6" s="549"/>
      <c r="AF6" s="549"/>
      <c r="AG6" s="549"/>
      <c r="AH6" s="549"/>
      <c r="AI6" s="549"/>
      <c r="AJ6" s="549"/>
      <c r="AK6" s="549"/>
      <c r="AL6" s="549"/>
      <c r="AM6" s="549"/>
      <c r="AN6" s="549"/>
      <c r="AO6" s="549"/>
      <c r="AP6" s="549"/>
      <c r="AQ6" s="549"/>
      <c r="AR6" s="549"/>
      <c r="AS6" s="549"/>
      <c r="AT6" s="549"/>
      <c r="AU6" s="549"/>
      <c r="AV6" s="549"/>
      <c r="AW6" s="549"/>
      <c r="AX6" s="549"/>
      <c r="AY6" s="549"/>
      <c r="AZ6" s="549"/>
      <c r="BA6" s="549"/>
      <c r="BB6" s="549"/>
      <c r="BC6" s="549"/>
      <c r="BD6" s="549"/>
      <c r="BE6" s="549"/>
      <c r="BF6" s="549"/>
      <c r="BG6" s="549"/>
      <c r="BH6" s="549"/>
      <c r="BI6" s="549"/>
      <c r="BJ6" s="549"/>
      <c r="BK6" s="550"/>
      <c r="BL6" s="545"/>
    </row>
    <row r="7" spans="1:64" ht="15.75" customHeight="1">
      <c r="A7" s="551"/>
      <c r="B7" s="552"/>
      <c r="C7" s="553"/>
      <c r="D7" s="553"/>
      <c r="E7" s="553"/>
      <c r="F7" s="553"/>
      <c r="G7" s="553"/>
      <c r="H7" s="553"/>
      <c r="I7" s="554"/>
      <c r="J7" s="555"/>
      <c r="K7" s="539" t="s">
        <v>1434</v>
      </c>
      <c r="L7" s="556"/>
      <c r="M7" s="556"/>
      <c r="N7" s="556"/>
      <c r="O7" s="556"/>
      <c r="P7" s="556"/>
      <c r="Q7" s="556"/>
      <c r="R7" s="556"/>
      <c r="S7" s="556"/>
      <c r="T7" s="556"/>
      <c r="U7" s="556"/>
      <c r="V7" s="556"/>
      <c r="W7" s="556"/>
      <c r="BD7" s="552"/>
      <c r="BE7" s="553"/>
      <c r="BF7" s="553"/>
      <c r="BG7" s="553"/>
      <c r="BH7" s="553"/>
      <c r="BI7" s="553"/>
      <c r="BJ7" s="553"/>
      <c r="BK7" s="557"/>
      <c r="BL7" s="545"/>
    </row>
    <row r="8" spans="1:64" ht="15.75" customHeight="1">
      <c r="A8" s="551"/>
      <c r="B8" s="558"/>
      <c r="I8" s="559"/>
      <c r="K8" s="560"/>
      <c r="BD8" s="558"/>
      <c r="BK8" s="561"/>
    </row>
    <row r="9" spans="1:64" ht="15.75" customHeight="1">
      <c r="A9" s="562">
        <v>2</v>
      </c>
      <c r="B9" s="548" t="s">
        <v>1435</v>
      </c>
      <c r="C9" s="549"/>
      <c r="D9" s="549"/>
      <c r="E9" s="549"/>
      <c r="F9" s="549"/>
      <c r="G9" s="549"/>
      <c r="H9" s="549"/>
      <c r="I9" s="549"/>
      <c r="J9" s="549" t="s">
        <v>1436</v>
      </c>
      <c r="K9" s="549"/>
      <c r="L9" s="549"/>
      <c r="M9" s="549"/>
      <c r="N9" s="549"/>
      <c r="O9" s="549"/>
      <c r="P9" s="549"/>
      <c r="Q9" s="549"/>
      <c r="R9" s="549"/>
      <c r="S9" s="549"/>
      <c r="T9" s="549"/>
      <c r="U9" s="549"/>
      <c r="V9" s="549"/>
      <c r="W9" s="549"/>
      <c r="X9" s="549"/>
      <c r="Y9" s="549"/>
      <c r="Z9" s="549"/>
      <c r="AA9" s="549"/>
      <c r="AB9" s="549"/>
      <c r="AC9" s="549"/>
      <c r="AD9" s="549"/>
      <c r="AE9" s="549"/>
      <c r="AF9" s="549"/>
      <c r="AG9" s="549"/>
      <c r="AH9" s="549"/>
      <c r="AI9" s="549"/>
      <c r="AJ9" s="549"/>
      <c r="AK9" s="549"/>
      <c r="AL9" s="549"/>
      <c r="AM9" s="549"/>
      <c r="AN9" s="549"/>
      <c r="AO9" s="549"/>
      <c r="AP9" s="549"/>
      <c r="AQ9" s="549"/>
      <c r="AR9" s="549"/>
      <c r="AS9" s="549"/>
      <c r="AT9" s="549"/>
      <c r="AU9" s="549"/>
      <c r="AV9" s="549"/>
      <c r="AW9" s="549"/>
      <c r="AX9" s="549"/>
      <c r="AY9" s="549"/>
      <c r="AZ9" s="549"/>
      <c r="BA9" s="549"/>
      <c r="BB9" s="549"/>
      <c r="BC9" s="549"/>
      <c r="BD9" s="549"/>
      <c r="BE9" s="549"/>
      <c r="BF9" s="549"/>
      <c r="BG9" s="549"/>
      <c r="BH9" s="549"/>
      <c r="BI9" s="549"/>
      <c r="BJ9" s="549"/>
      <c r="BK9" s="550"/>
      <c r="BL9" s="545"/>
    </row>
    <row r="10" spans="1:64" ht="15.75" customHeight="1">
      <c r="A10" s="551"/>
      <c r="B10" s="552"/>
      <c r="C10" s="553"/>
      <c r="D10" s="553"/>
      <c r="E10" s="553"/>
      <c r="F10" s="553"/>
      <c r="G10" s="553"/>
      <c r="H10" s="553"/>
      <c r="I10" s="554"/>
      <c r="J10" s="555"/>
      <c r="K10" s="539" t="s">
        <v>1434</v>
      </c>
      <c r="L10" s="556"/>
      <c r="M10" s="556"/>
      <c r="N10" s="556"/>
      <c r="O10" s="556"/>
      <c r="P10" s="556"/>
      <c r="Q10" s="556"/>
      <c r="R10" s="556"/>
      <c r="S10" s="556"/>
      <c r="T10" s="556"/>
      <c r="U10" s="556"/>
      <c r="V10" s="556"/>
      <c r="W10" s="556"/>
      <c r="BD10" s="552"/>
      <c r="BE10" s="553"/>
      <c r="BF10" s="553"/>
      <c r="BG10" s="553"/>
      <c r="BH10" s="553"/>
      <c r="BI10" s="553"/>
      <c r="BJ10" s="553"/>
      <c r="BK10" s="557"/>
      <c r="BL10" s="545"/>
    </row>
    <row r="11" spans="1:64" ht="15.75" customHeight="1">
      <c r="A11" s="551"/>
      <c r="B11" s="558"/>
      <c r="I11" s="559"/>
      <c r="K11" s="560"/>
      <c r="BD11" s="558"/>
      <c r="BK11" s="561"/>
    </row>
    <row r="12" spans="1:64" ht="15.75" customHeight="1">
      <c r="A12" s="562">
        <v>3</v>
      </c>
      <c r="B12" s="548" t="s">
        <v>1437</v>
      </c>
      <c r="C12" s="549"/>
      <c r="D12" s="549"/>
      <c r="E12" s="549"/>
      <c r="F12" s="549"/>
      <c r="G12" s="549"/>
      <c r="H12" s="549"/>
      <c r="I12" s="549"/>
      <c r="J12" s="549" t="s">
        <v>1438</v>
      </c>
      <c r="K12" s="549"/>
      <c r="L12" s="549"/>
      <c r="M12" s="549"/>
      <c r="N12" s="549"/>
      <c r="O12" s="549"/>
      <c r="P12" s="549"/>
      <c r="Q12" s="549"/>
      <c r="R12" s="549"/>
      <c r="S12" s="549"/>
      <c r="T12" s="549"/>
      <c r="U12" s="549"/>
      <c r="V12" s="549"/>
      <c r="W12" s="549"/>
      <c r="X12" s="549"/>
      <c r="Y12" s="549"/>
      <c r="Z12" s="549"/>
      <c r="AA12" s="549"/>
      <c r="AB12" s="549"/>
      <c r="AC12" s="549"/>
      <c r="AD12" s="549"/>
      <c r="AE12" s="549"/>
      <c r="AF12" s="549"/>
      <c r="AG12" s="549"/>
      <c r="AH12" s="549"/>
      <c r="AI12" s="549"/>
      <c r="AJ12" s="549"/>
      <c r="AK12" s="549"/>
      <c r="AL12" s="549"/>
      <c r="AM12" s="549"/>
      <c r="AN12" s="549"/>
      <c r="AO12" s="549"/>
      <c r="AP12" s="549"/>
      <c r="AQ12" s="549"/>
      <c r="AR12" s="549"/>
      <c r="AS12" s="549"/>
      <c r="AT12" s="549"/>
      <c r="AU12" s="549"/>
      <c r="AV12" s="549"/>
      <c r="AW12" s="549"/>
      <c r="AX12" s="549"/>
      <c r="AY12" s="549"/>
      <c r="AZ12" s="549"/>
      <c r="BA12" s="549"/>
      <c r="BB12" s="549"/>
      <c r="BC12" s="549"/>
      <c r="BD12" s="549"/>
      <c r="BE12" s="549"/>
      <c r="BF12" s="549"/>
      <c r="BG12" s="549"/>
      <c r="BH12" s="549"/>
      <c r="BI12" s="549"/>
      <c r="BJ12" s="549"/>
      <c r="BK12" s="550"/>
      <c r="BL12" s="545"/>
    </row>
    <row r="13" spans="1:64" ht="15.75" customHeight="1">
      <c r="A13" s="551"/>
      <c r="B13" s="552"/>
      <c r="C13" s="553"/>
      <c r="D13" s="553"/>
      <c r="E13" s="553"/>
      <c r="F13" s="553"/>
      <c r="G13" s="553"/>
      <c r="H13" s="553"/>
      <c r="I13" s="554"/>
      <c r="J13" s="555" t="s">
        <v>1184</v>
      </c>
      <c r="K13" s="556" t="s">
        <v>1439</v>
      </c>
      <c r="L13" s="556"/>
      <c r="M13" s="556"/>
      <c r="N13" s="556"/>
      <c r="O13" s="556"/>
      <c r="P13" s="556"/>
      <c r="Q13" s="556"/>
      <c r="R13" s="556"/>
      <c r="S13" s="556"/>
      <c r="T13" s="556"/>
      <c r="U13" s="556"/>
      <c r="V13" s="556"/>
      <c r="W13" s="556"/>
      <c r="BD13" s="552" t="s">
        <v>1365</v>
      </c>
      <c r="BE13" s="553"/>
      <c r="BF13" s="553"/>
      <c r="BG13" s="553"/>
      <c r="BH13" s="553"/>
      <c r="BI13" s="553"/>
      <c r="BJ13" s="553"/>
      <c r="BK13" s="557"/>
      <c r="BL13" s="545"/>
    </row>
    <row r="14" spans="1:64" ht="15.75" customHeight="1">
      <c r="A14" s="551"/>
      <c r="B14" s="558"/>
      <c r="I14" s="559"/>
      <c r="J14" s="555"/>
      <c r="K14" s="563" t="s">
        <v>1440</v>
      </c>
      <c r="L14" s="564"/>
      <c r="M14" s="563"/>
      <c r="N14" s="563"/>
      <c r="O14" s="563"/>
      <c r="P14" s="563"/>
      <c r="Q14" s="563"/>
      <c r="R14" s="563"/>
      <c r="S14" s="563"/>
      <c r="T14" s="563"/>
      <c r="U14" s="563"/>
      <c r="V14" s="563"/>
      <c r="W14" s="563"/>
      <c r="X14" s="564"/>
      <c r="BD14" s="558" t="s">
        <v>1366</v>
      </c>
      <c r="BK14" s="561"/>
      <c r="BL14" s="545"/>
    </row>
    <row r="15" spans="1:64" ht="15.75" customHeight="1">
      <c r="A15" s="551"/>
      <c r="B15" s="558"/>
      <c r="I15" s="559"/>
      <c r="J15" s="556"/>
      <c r="K15" s="556" t="s">
        <v>1441</v>
      </c>
      <c r="M15" s="556"/>
      <c r="N15" s="556"/>
      <c r="O15" s="556"/>
      <c r="P15" s="556"/>
      <c r="Q15" s="556"/>
      <c r="R15" s="556"/>
      <c r="S15" s="556"/>
      <c r="T15" s="556"/>
      <c r="U15" s="556"/>
      <c r="V15" s="556"/>
      <c r="W15" s="556"/>
      <c r="BD15" s="558"/>
      <c r="BK15" s="561"/>
      <c r="BL15" s="545"/>
    </row>
    <row r="16" spans="1:64" ht="15.75" customHeight="1">
      <c r="A16" s="551"/>
      <c r="B16" s="558"/>
      <c r="I16" s="559"/>
      <c r="J16" s="556"/>
      <c r="K16" s="556"/>
      <c r="M16" s="556"/>
      <c r="N16" s="556"/>
      <c r="O16" s="556"/>
      <c r="P16" s="556"/>
      <c r="Q16" s="556"/>
      <c r="R16" s="556"/>
      <c r="S16" s="556"/>
      <c r="T16" s="556"/>
      <c r="U16" s="556"/>
      <c r="V16" s="556"/>
      <c r="W16" s="556"/>
      <c r="BD16" s="555"/>
      <c r="BK16" s="561"/>
      <c r="BL16" s="545"/>
    </row>
    <row r="17" spans="1:64" ht="15.75" customHeight="1">
      <c r="A17" s="551"/>
      <c r="B17" s="558"/>
      <c r="I17" s="559"/>
      <c r="J17" s="555" t="s">
        <v>1212</v>
      </c>
      <c r="K17" s="556" t="s">
        <v>1442</v>
      </c>
      <c r="M17" s="556"/>
      <c r="N17" s="556"/>
      <c r="O17" s="556"/>
      <c r="P17" s="556"/>
      <c r="Q17" s="556"/>
      <c r="R17" s="556"/>
      <c r="S17" s="556"/>
      <c r="T17" s="556"/>
      <c r="U17" s="556"/>
      <c r="V17" s="556"/>
      <c r="W17" s="556"/>
      <c r="BD17" s="555"/>
      <c r="BK17" s="561"/>
      <c r="BL17" s="545"/>
    </row>
    <row r="18" spans="1:64" ht="15.75" customHeight="1">
      <c r="A18" s="551"/>
      <c r="B18" s="558"/>
      <c r="I18" s="559"/>
      <c r="J18" s="556"/>
      <c r="K18" s="556" t="s">
        <v>1443</v>
      </c>
      <c r="M18" s="556" t="s">
        <v>1444</v>
      </c>
      <c r="N18" s="556"/>
      <c r="O18" s="556"/>
      <c r="P18" s="556"/>
      <c r="Q18" s="556"/>
      <c r="R18" s="556"/>
      <c r="S18" s="556"/>
      <c r="T18" s="556"/>
      <c r="U18" s="556"/>
      <c r="V18" s="556"/>
      <c r="W18" s="556"/>
      <c r="BD18" s="555"/>
      <c r="BK18" s="561"/>
      <c r="BL18" s="545"/>
    </row>
    <row r="19" spans="1:64" ht="16" customHeight="1">
      <c r="A19" s="551"/>
      <c r="B19" s="558"/>
      <c r="I19" s="559"/>
      <c r="J19" s="556"/>
      <c r="K19" s="556"/>
      <c r="M19" s="556" t="s">
        <v>1445</v>
      </c>
      <c r="N19" s="556"/>
      <c r="O19" s="556"/>
      <c r="P19" s="556"/>
      <c r="Q19" s="556"/>
      <c r="R19" s="556"/>
      <c r="S19" s="556"/>
      <c r="T19" s="556"/>
      <c r="U19" s="556"/>
      <c r="V19" s="556"/>
      <c r="W19" s="556"/>
      <c r="BD19" s="555"/>
      <c r="BK19" s="561"/>
      <c r="BL19" s="545"/>
    </row>
    <row r="20" spans="1:64" ht="16" customHeight="1">
      <c r="A20" s="551"/>
      <c r="B20" s="558"/>
      <c r="I20" s="559"/>
      <c r="J20" s="556"/>
      <c r="K20" s="556"/>
      <c r="M20" s="556"/>
      <c r="N20" s="556" t="s">
        <v>1446</v>
      </c>
      <c r="O20" s="556"/>
      <c r="P20" s="556"/>
      <c r="Q20" s="556"/>
      <c r="R20" s="556"/>
      <c r="S20" s="556"/>
      <c r="T20" s="556"/>
      <c r="U20" s="556"/>
      <c r="V20" s="556"/>
      <c r="W20" s="556"/>
      <c r="BD20" s="555"/>
      <c r="BK20" s="561"/>
      <c r="BL20" s="545"/>
    </row>
    <row r="21" spans="1:64" ht="16" customHeight="1">
      <c r="A21" s="551"/>
      <c r="B21" s="558"/>
      <c r="I21" s="559"/>
      <c r="J21" s="556"/>
      <c r="K21" s="556"/>
      <c r="M21" s="556"/>
      <c r="N21" s="556" t="s">
        <v>1447</v>
      </c>
      <c r="O21" s="556"/>
      <c r="P21" s="556"/>
      <c r="Q21" s="556"/>
      <c r="R21" s="556"/>
      <c r="S21" s="556"/>
      <c r="T21" s="556"/>
      <c r="U21" s="556"/>
      <c r="V21" s="556"/>
      <c r="W21" s="556"/>
      <c r="BD21" s="555"/>
      <c r="BK21" s="561"/>
      <c r="BL21" s="545"/>
    </row>
    <row r="22" spans="1:64" ht="16" customHeight="1">
      <c r="A22" s="551"/>
      <c r="B22" s="558"/>
      <c r="I22" s="559"/>
      <c r="J22" s="556"/>
      <c r="K22" s="556"/>
      <c r="M22" s="556"/>
      <c r="N22" s="556" t="s">
        <v>1448</v>
      </c>
      <c r="O22" s="556"/>
      <c r="P22" s="556"/>
      <c r="Q22" s="556"/>
      <c r="R22" s="556"/>
      <c r="S22" s="556"/>
      <c r="T22" s="556"/>
      <c r="U22" s="556"/>
      <c r="V22" s="556"/>
      <c r="W22" s="556"/>
      <c r="BD22" s="555"/>
      <c r="BK22" s="561"/>
      <c r="BL22" s="545"/>
    </row>
    <row r="23" spans="1:64" ht="16" customHeight="1">
      <c r="A23" s="551"/>
      <c r="B23" s="558"/>
      <c r="I23" s="559"/>
      <c r="J23" s="556"/>
      <c r="K23" s="556"/>
      <c r="M23" s="556" t="s">
        <v>1449</v>
      </c>
      <c r="N23" s="556"/>
      <c r="O23" s="556"/>
      <c r="P23" s="556"/>
      <c r="Q23" s="556"/>
      <c r="R23" s="556"/>
      <c r="S23" s="556"/>
      <c r="T23" s="556"/>
      <c r="U23" s="556"/>
      <c r="V23" s="556"/>
      <c r="W23" s="556"/>
      <c r="BD23" s="555"/>
      <c r="BK23" s="561"/>
      <c r="BL23" s="545"/>
    </row>
    <row r="24" spans="1:64" ht="15.75" customHeight="1">
      <c r="A24" s="551"/>
      <c r="B24" s="558"/>
      <c r="I24" s="559"/>
      <c r="J24" s="556"/>
      <c r="K24" s="556"/>
      <c r="M24" s="556"/>
      <c r="N24" s="556"/>
      <c r="O24" s="556"/>
      <c r="P24" s="556"/>
      <c r="Q24" s="556"/>
      <c r="R24" s="556"/>
      <c r="S24" s="556"/>
      <c r="T24" s="556"/>
      <c r="U24" s="556"/>
      <c r="V24" s="556"/>
      <c r="W24" s="556"/>
      <c r="BD24" s="555"/>
      <c r="BK24" s="561"/>
      <c r="BL24" s="545"/>
    </row>
    <row r="25" spans="1:64" ht="15.75" customHeight="1">
      <c r="A25" s="551"/>
      <c r="B25" s="558"/>
      <c r="I25" s="559"/>
      <c r="J25" s="556"/>
      <c r="K25" s="556" t="s">
        <v>1450</v>
      </c>
      <c r="M25" s="556" t="s">
        <v>1451</v>
      </c>
      <c r="N25" s="556"/>
      <c r="O25" s="556"/>
      <c r="P25" s="556"/>
      <c r="Q25" s="556"/>
      <c r="R25" s="556"/>
      <c r="S25" s="556"/>
      <c r="T25" s="556"/>
      <c r="U25" s="556"/>
      <c r="V25" s="556"/>
      <c r="W25" s="556"/>
      <c r="BD25" s="555" t="s">
        <v>1452</v>
      </c>
      <c r="BK25" s="561"/>
      <c r="BL25" s="545"/>
    </row>
    <row r="26" spans="1:64" ht="15.75" customHeight="1">
      <c r="A26" s="551"/>
      <c r="B26" s="558"/>
      <c r="I26" s="559"/>
      <c r="J26" s="556"/>
      <c r="K26" s="556"/>
      <c r="M26" s="556" t="s">
        <v>1453</v>
      </c>
      <c r="N26" s="556"/>
      <c r="O26" s="556"/>
      <c r="P26" s="556"/>
      <c r="Q26" s="556"/>
      <c r="R26" s="556"/>
      <c r="S26" s="556"/>
      <c r="T26" s="556"/>
      <c r="U26" s="556"/>
      <c r="V26" s="556"/>
      <c r="W26" s="556"/>
      <c r="BD26" s="555" t="s">
        <v>1454</v>
      </c>
      <c r="BK26" s="561"/>
      <c r="BL26" s="545"/>
    </row>
    <row r="27" spans="1:64" ht="15.75" customHeight="1">
      <c r="A27" s="551"/>
      <c r="B27" s="558"/>
      <c r="I27" s="559"/>
      <c r="BD27" s="558"/>
      <c r="BK27" s="561"/>
      <c r="BL27" s="545"/>
    </row>
    <row r="28" spans="1:64" ht="15.75" customHeight="1">
      <c r="A28" s="562">
        <v>4</v>
      </c>
      <c r="B28" s="548" t="s">
        <v>1455</v>
      </c>
      <c r="C28" s="549"/>
      <c r="D28" s="549"/>
      <c r="E28" s="549"/>
      <c r="F28" s="549"/>
      <c r="G28" s="549"/>
      <c r="H28" s="549"/>
      <c r="I28" s="549"/>
      <c r="J28" s="549" t="s">
        <v>1456</v>
      </c>
      <c r="K28" s="549"/>
      <c r="L28" s="549"/>
      <c r="M28" s="549"/>
      <c r="N28" s="549"/>
      <c r="O28" s="549"/>
      <c r="P28" s="549"/>
      <c r="Q28" s="549"/>
      <c r="R28" s="549"/>
      <c r="S28" s="549"/>
      <c r="T28" s="549"/>
      <c r="U28" s="549"/>
      <c r="V28" s="549"/>
      <c r="W28" s="549"/>
      <c r="X28" s="549"/>
      <c r="Y28" s="549"/>
      <c r="Z28" s="549"/>
      <c r="AA28" s="549"/>
      <c r="AB28" s="549"/>
      <c r="AC28" s="549"/>
      <c r="AD28" s="549"/>
      <c r="AE28" s="549"/>
      <c r="AF28" s="549"/>
      <c r="AG28" s="549"/>
      <c r="AH28" s="549"/>
      <c r="AI28" s="549"/>
      <c r="AJ28" s="549"/>
      <c r="AK28" s="549"/>
      <c r="AL28" s="549"/>
      <c r="AM28" s="549"/>
      <c r="AN28" s="549"/>
      <c r="AO28" s="549"/>
      <c r="AP28" s="549"/>
      <c r="AQ28" s="549"/>
      <c r="AR28" s="549"/>
      <c r="AS28" s="549"/>
      <c r="AT28" s="549"/>
      <c r="AU28" s="549"/>
      <c r="AV28" s="549"/>
      <c r="AW28" s="549"/>
      <c r="AX28" s="549"/>
      <c r="AY28" s="549"/>
      <c r="AZ28" s="549"/>
      <c r="BA28" s="549"/>
      <c r="BB28" s="549"/>
      <c r="BC28" s="549"/>
      <c r="BD28" s="549"/>
      <c r="BE28" s="549"/>
      <c r="BF28" s="549"/>
      <c r="BG28" s="549"/>
      <c r="BH28" s="549"/>
      <c r="BI28" s="549"/>
      <c r="BJ28" s="549"/>
      <c r="BK28" s="550"/>
      <c r="BL28" s="545"/>
    </row>
    <row r="29" spans="1:64" ht="15.75" customHeight="1">
      <c r="A29" s="551"/>
      <c r="B29" s="552"/>
      <c r="C29" s="553"/>
      <c r="D29" s="553"/>
      <c r="E29" s="553"/>
      <c r="F29" s="553"/>
      <c r="G29" s="553"/>
      <c r="H29" s="553"/>
      <c r="I29" s="554"/>
      <c r="J29" s="555"/>
      <c r="K29" s="539" t="s">
        <v>1434</v>
      </c>
      <c r="L29" s="556"/>
      <c r="M29" s="556"/>
      <c r="N29" s="556"/>
      <c r="O29" s="556"/>
      <c r="P29" s="556"/>
      <c r="Q29" s="556"/>
      <c r="R29" s="556"/>
      <c r="S29" s="556"/>
      <c r="T29" s="556"/>
      <c r="U29" s="556"/>
      <c r="V29" s="556"/>
      <c r="W29" s="556"/>
      <c r="BD29" s="552"/>
      <c r="BE29" s="553"/>
      <c r="BF29" s="553"/>
      <c r="BG29" s="553"/>
      <c r="BH29" s="553"/>
      <c r="BI29" s="553"/>
      <c r="BJ29" s="553"/>
      <c r="BK29" s="557"/>
      <c r="BL29" s="545"/>
    </row>
    <row r="30" spans="1:64" ht="15.75" customHeight="1">
      <c r="A30" s="551"/>
      <c r="B30" s="558"/>
      <c r="I30" s="559"/>
      <c r="K30" s="560"/>
      <c r="BD30" s="558"/>
      <c r="BK30" s="561"/>
    </row>
    <row r="31" spans="1:64" ht="15.75" customHeight="1">
      <c r="A31" s="562">
        <v>5</v>
      </c>
      <c r="B31" s="548" t="s">
        <v>1335</v>
      </c>
      <c r="C31" s="549"/>
      <c r="D31" s="549"/>
      <c r="E31" s="549"/>
      <c r="F31" s="549"/>
      <c r="G31" s="549"/>
      <c r="H31" s="549"/>
      <c r="I31" s="549"/>
      <c r="J31" s="549" t="s">
        <v>1457</v>
      </c>
      <c r="K31" s="549"/>
      <c r="L31" s="549"/>
      <c r="M31" s="549"/>
      <c r="N31" s="549"/>
      <c r="O31" s="549"/>
      <c r="P31" s="549"/>
      <c r="Q31" s="549"/>
      <c r="R31" s="549"/>
      <c r="S31" s="549"/>
      <c r="T31" s="549"/>
      <c r="U31" s="549"/>
      <c r="V31" s="549"/>
      <c r="W31" s="549"/>
      <c r="X31" s="549"/>
      <c r="Y31" s="549"/>
      <c r="Z31" s="549"/>
      <c r="AA31" s="549"/>
      <c r="AB31" s="549"/>
      <c r="AC31" s="549"/>
      <c r="AD31" s="549"/>
      <c r="AE31" s="549"/>
      <c r="AF31" s="549"/>
      <c r="AG31" s="549"/>
      <c r="AH31" s="549"/>
      <c r="AI31" s="549"/>
      <c r="AJ31" s="549"/>
      <c r="AK31" s="549"/>
      <c r="AL31" s="549"/>
      <c r="AM31" s="549"/>
      <c r="AN31" s="549"/>
      <c r="AO31" s="549"/>
      <c r="AP31" s="549"/>
      <c r="AQ31" s="549"/>
      <c r="AR31" s="549"/>
      <c r="AS31" s="549"/>
      <c r="AT31" s="549"/>
      <c r="AU31" s="549"/>
      <c r="AV31" s="549"/>
      <c r="AW31" s="549"/>
      <c r="AX31" s="549"/>
      <c r="AY31" s="549"/>
      <c r="AZ31" s="549"/>
      <c r="BA31" s="549"/>
      <c r="BB31" s="549"/>
      <c r="BC31" s="549"/>
      <c r="BD31" s="549"/>
      <c r="BE31" s="549"/>
      <c r="BF31" s="549"/>
      <c r="BG31" s="549"/>
      <c r="BH31" s="549"/>
      <c r="BI31" s="549"/>
      <c r="BJ31" s="549"/>
      <c r="BK31" s="550"/>
      <c r="BL31" s="545"/>
    </row>
    <row r="32" spans="1:64" ht="15.75" customHeight="1">
      <c r="A32" s="551"/>
      <c r="B32" s="552"/>
      <c r="C32" s="553"/>
      <c r="D32" s="553"/>
      <c r="E32" s="553"/>
      <c r="F32" s="553"/>
      <c r="G32" s="553"/>
      <c r="H32" s="553"/>
      <c r="I32" s="554"/>
      <c r="J32" s="555" t="s">
        <v>1184</v>
      </c>
      <c r="K32" s="556" t="s">
        <v>1458</v>
      </c>
      <c r="L32" s="556"/>
      <c r="M32" s="556"/>
      <c r="N32" s="556"/>
      <c r="O32" s="556"/>
      <c r="P32" s="556"/>
      <c r="Q32" s="556"/>
      <c r="R32" s="556"/>
      <c r="S32" s="556"/>
      <c r="T32" s="553"/>
      <c r="U32" s="553"/>
      <c r="V32" s="553"/>
      <c r="W32" s="553"/>
      <c r="X32" s="553"/>
      <c r="Y32" s="553"/>
      <c r="Z32" s="553"/>
      <c r="AA32" s="553"/>
      <c r="AB32" s="553"/>
      <c r="AC32" s="553"/>
      <c r="AD32" s="553"/>
      <c r="AE32" s="553"/>
      <c r="AF32" s="553"/>
      <c r="AG32" s="553"/>
      <c r="AH32" s="553"/>
      <c r="AI32" s="553"/>
      <c r="AJ32" s="553"/>
      <c r="AK32" s="553"/>
      <c r="AL32" s="553"/>
      <c r="AM32" s="553"/>
      <c r="AN32" s="553"/>
      <c r="AO32" s="553"/>
      <c r="AP32" s="553"/>
      <c r="AQ32" s="553"/>
      <c r="AR32" s="553"/>
      <c r="AS32" s="553"/>
      <c r="AT32" s="553"/>
      <c r="AU32" s="553"/>
      <c r="AV32" s="553"/>
      <c r="AW32" s="553"/>
      <c r="AX32" s="553"/>
      <c r="AY32" s="553"/>
      <c r="AZ32" s="553"/>
      <c r="BA32" s="553"/>
      <c r="BB32" s="553"/>
      <c r="BC32" s="553"/>
      <c r="BD32" s="552"/>
      <c r="BE32" s="553"/>
      <c r="BF32" s="553"/>
      <c r="BG32" s="553"/>
      <c r="BH32" s="553"/>
      <c r="BI32" s="553"/>
      <c r="BJ32" s="553"/>
      <c r="BK32" s="557"/>
    </row>
    <row r="33" spans="1:64" ht="15.75" customHeight="1">
      <c r="A33" s="551"/>
      <c r="B33" s="558"/>
      <c r="I33" s="559"/>
      <c r="J33" s="555"/>
      <c r="K33" s="556" t="s">
        <v>1459</v>
      </c>
      <c r="L33" s="556"/>
      <c r="M33" s="556"/>
      <c r="N33" s="556"/>
      <c r="O33" s="556"/>
      <c r="P33" s="556"/>
      <c r="Q33" s="556"/>
      <c r="R33" s="556"/>
      <c r="S33" s="556"/>
      <c r="T33" s="556"/>
      <c r="U33" s="556"/>
      <c r="V33" s="556"/>
      <c r="W33" s="556"/>
      <c r="BD33" s="558"/>
      <c r="BK33" s="561"/>
      <c r="BL33" s="545"/>
    </row>
    <row r="34" spans="1:64" ht="15.75" customHeight="1">
      <c r="A34" s="551"/>
      <c r="B34" s="558"/>
      <c r="I34" s="559"/>
      <c r="BD34" s="558"/>
      <c r="BK34" s="561"/>
    </row>
    <row r="35" spans="1:64" ht="15.75" customHeight="1" thickBot="1">
      <c r="A35" s="565"/>
      <c r="B35" s="566"/>
      <c r="C35" s="567"/>
      <c r="D35" s="567"/>
      <c r="E35" s="567"/>
      <c r="F35" s="567"/>
      <c r="G35" s="567"/>
      <c r="H35" s="567"/>
      <c r="I35" s="568"/>
      <c r="J35" s="567"/>
      <c r="K35" s="567"/>
      <c r="L35" s="567"/>
      <c r="M35" s="567"/>
      <c r="N35" s="567"/>
      <c r="O35" s="567"/>
      <c r="P35" s="567"/>
      <c r="Q35" s="567"/>
      <c r="R35" s="567"/>
      <c r="S35" s="567"/>
      <c r="T35" s="567"/>
      <c r="U35" s="567"/>
      <c r="V35" s="567"/>
      <c r="W35" s="567"/>
      <c r="X35" s="567"/>
      <c r="Y35" s="567"/>
      <c r="Z35" s="567"/>
      <c r="AA35" s="567"/>
      <c r="AB35" s="567"/>
      <c r="AC35" s="567"/>
      <c r="AD35" s="567"/>
      <c r="AE35" s="567"/>
      <c r="AF35" s="567"/>
      <c r="AG35" s="567"/>
      <c r="AH35" s="567"/>
      <c r="AI35" s="567"/>
      <c r="AJ35" s="567"/>
      <c r="AK35" s="567"/>
      <c r="AL35" s="567"/>
      <c r="AM35" s="567"/>
      <c r="AN35" s="567"/>
      <c r="AO35" s="567"/>
      <c r="AP35" s="567"/>
      <c r="AQ35" s="567"/>
      <c r="AR35" s="567"/>
      <c r="AS35" s="567"/>
      <c r="AT35" s="567"/>
      <c r="AU35" s="567"/>
      <c r="AV35" s="567"/>
      <c r="AW35" s="567"/>
      <c r="AX35" s="567"/>
      <c r="AY35" s="567"/>
      <c r="AZ35" s="567"/>
      <c r="BA35" s="567"/>
      <c r="BB35" s="567"/>
      <c r="BC35" s="567"/>
      <c r="BD35" s="566"/>
      <c r="BE35" s="567"/>
      <c r="BF35" s="567"/>
      <c r="BG35" s="567"/>
      <c r="BH35" s="567"/>
      <c r="BI35" s="567"/>
      <c r="BJ35" s="567"/>
      <c r="BK35" s="569"/>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65"/>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pageSetUpPr fitToPage="1"/>
  </sheetPr>
  <dimension ref="A1:BK167"/>
  <sheetViews>
    <sheetView showGridLines="0" showZeros="0" view="pageBreakPreview" zoomScale="85" zoomScaleNormal="100" zoomScaleSheetLayoutView="85" workbookViewId="0">
      <selection activeCell="A135" sqref="A135"/>
    </sheetView>
  </sheetViews>
  <sheetFormatPr defaultColWidth="2.08984375" defaultRowHeight="15.75" customHeight="1"/>
  <cols>
    <col min="1" max="1" width="2.08984375" style="55" customWidth="1"/>
    <col min="2" max="2" width="2.08984375" style="2" customWidth="1"/>
    <col min="3" max="3" width="2.36328125" style="2" customWidth="1"/>
    <col min="4" max="4" width="2.08984375" style="2" customWidth="1"/>
    <col min="5" max="5" width="3" style="2" customWidth="1"/>
    <col min="6" max="38" width="2.08984375" style="2" customWidth="1"/>
    <col min="39" max="39" width="2.453125" style="2" customWidth="1"/>
    <col min="40" max="61" width="2.08984375" style="2" customWidth="1"/>
    <col min="62" max="16384" width="2.08984375" style="2"/>
  </cols>
  <sheetData>
    <row r="1" spans="1:62" s="54" customFormat="1" ht="15.75" customHeight="1">
      <c r="A1" s="1126" t="s">
        <v>34</v>
      </c>
      <c r="B1" s="1127"/>
      <c r="C1" s="1127"/>
      <c r="D1" s="1127"/>
      <c r="E1" s="1127"/>
      <c r="F1" s="1127"/>
      <c r="G1" s="1127"/>
      <c r="H1" s="1127"/>
      <c r="I1" s="1127"/>
      <c r="J1" s="1128"/>
      <c r="K1" s="1172" t="s">
        <v>45</v>
      </c>
      <c r="L1" s="1173"/>
      <c r="M1" s="1173"/>
      <c r="N1" s="1173"/>
      <c r="O1" s="1173"/>
      <c r="P1" s="1173"/>
      <c r="Q1" s="1173"/>
      <c r="R1" s="1173"/>
      <c r="S1" s="1173"/>
      <c r="T1" s="1174"/>
      <c r="U1" s="1175" t="s">
        <v>46</v>
      </c>
      <c r="V1" s="1176"/>
      <c r="W1" s="1176"/>
      <c r="X1" s="1176"/>
      <c r="Y1" s="1177"/>
      <c r="Z1" s="1178" t="str">
        <f ca="1">INDIRECT("表紙!$Z$39")</f>
        <v>MS</v>
      </c>
      <c r="AA1" s="1179"/>
      <c r="AB1" s="1179"/>
      <c r="AC1" s="1179"/>
      <c r="AD1" s="1180"/>
      <c r="AE1" s="1138" t="s">
        <v>48</v>
      </c>
      <c r="AF1" s="1139"/>
      <c r="AG1" s="1139"/>
      <c r="AH1" s="1139"/>
      <c r="AI1" s="1140"/>
      <c r="AJ1" s="1178" t="str">
        <f ca="1">INDIRECT("表紙!$AJ$39")</f>
        <v>SCM</v>
      </c>
      <c r="AK1" s="1179"/>
      <c r="AL1" s="1179"/>
      <c r="AM1" s="1179"/>
      <c r="AN1" s="1179"/>
      <c r="AO1" s="1179"/>
      <c r="AP1" s="1180"/>
      <c r="AQ1" s="1135" t="s">
        <v>5</v>
      </c>
      <c r="AR1" s="1136"/>
      <c r="AS1" s="1136"/>
      <c r="AT1" s="1136"/>
      <c r="AU1" s="1136"/>
      <c r="AV1" s="1136"/>
      <c r="AW1" s="1137"/>
      <c r="AX1" s="1138" t="s">
        <v>37</v>
      </c>
      <c r="AY1" s="1139"/>
      <c r="AZ1" s="1139"/>
      <c r="BA1" s="1139"/>
      <c r="BB1" s="1139"/>
      <c r="BC1" s="1140"/>
      <c r="BD1" s="1138" t="s">
        <v>50</v>
      </c>
      <c r="BE1" s="1139"/>
      <c r="BF1" s="1139"/>
      <c r="BG1" s="1139"/>
      <c r="BH1" s="1139"/>
      <c r="BI1" s="1141"/>
    </row>
    <row r="2" spans="1:62" s="54" customFormat="1" ht="15.75" customHeight="1">
      <c r="A2" s="1129"/>
      <c r="B2" s="1130"/>
      <c r="C2" s="1130"/>
      <c r="D2" s="1130"/>
      <c r="E2" s="1130"/>
      <c r="F2" s="1130"/>
      <c r="G2" s="1130"/>
      <c r="H2" s="1130"/>
      <c r="I2" s="1130"/>
      <c r="J2" s="1131"/>
      <c r="K2" s="1142" t="str">
        <f>文書名_カスタマイズ</f>
        <v>画面機能</v>
      </c>
      <c r="L2" s="1143"/>
      <c r="M2" s="1143"/>
      <c r="N2" s="1143"/>
      <c r="O2" s="1143"/>
      <c r="P2" s="1143"/>
      <c r="Q2" s="1143"/>
      <c r="R2" s="1143"/>
      <c r="S2" s="1143"/>
      <c r="T2" s="1144"/>
      <c r="U2" s="1145" t="s">
        <v>51</v>
      </c>
      <c r="V2" s="1146"/>
      <c r="W2" s="1146"/>
      <c r="X2" s="1146"/>
      <c r="Y2" s="1147"/>
      <c r="Z2" s="1148" t="str">
        <f ca="1">INDIRECT("表紙!$Z$40")</f>
        <v>MSBD</v>
      </c>
      <c r="AA2" s="1149"/>
      <c r="AB2" s="1149"/>
      <c r="AC2" s="1149"/>
      <c r="AD2" s="1150"/>
      <c r="AE2" s="1151" t="s">
        <v>53</v>
      </c>
      <c r="AF2" s="1152"/>
      <c r="AG2" s="1152"/>
      <c r="AH2" s="1152"/>
      <c r="AI2" s="1153"/>
      <c r="AJ2" s="1148" t="str">
        <f ca="1">INDIRECT("表紙!$AJ$40")</f>
        <v>購買管理</v>
      </c>
      <c r="AK2" s="1149"/>
      <c r="AL2" s="1149"/>
      <c r="AM2" s="1149"/>
      <c r="AN2" s="1149"/>
      <c r="AO2" s="1149"/>
      <c r="AP2" s="1150"/>
      <c r="AQ2" s="1154" t="str">
        <f>文書番号_カスタマイズ</f>
        <v>J052-0-0001</v>
      </c>
      <c r="AR2" s="1155"/>
      <c r="AS2" s="1155"/>
      <c r="AT2" s="1155"/>
      <c r="AU2" s="1155"/>
      <c r="AV2" s="1155"/>
      <c r="AW2" s="1156"/>
      <c r="AX2" s="1160" t="str">
        <f>Ver.</f>
        <v>7.0.1</v>
      </c>
      <c r="AY2" s="1161"/>
      <c r="AZ2" s="1161"/>
      <c r="BA2" s="1161"/>
      <c r="BB2" s="1161"/>
      <c r="BC2" s="1162"/>
      <c r="BD2" s="1166">
        <f>Rev.</f>
        <v>0.04</v>
      </c>
      <c r="BE2" s="1167"/>
      <c r="BF2" s="1167"/>
      <c r="BG2" s="1167"/>
      <c r="BH2" s="1167"/>
      <c r="BI2" s="1168"/>
    </row>
    <row r="3" spans="1:62" s="54" customFormat="1" ht="15.75" customHeight="1">
      <c r="A3" s="1132"/>
      <c r="B3" s="1133"/>
      <c r="C3" s="1133"/>
      <c r="D3" s="1133"/>
      <c r="E3" s="1133"/>
      <c r="F3" s="1133"/>
      <c r="G3" s="1133"/>
      <c r="H3" s="1133"/>
      <c r="I3" s="1133"/>
      <c r="J3" s="1134"/>
      <c r="K3" s="1115" t="str">
        <f ca="1">RIGHT(CELL("filename",$A$1),LEN(CELL("filename",$A$1))-FIND("]",CELL("filename",$A$1)))</f>
        <v>処理詳細（ソフトウェア開発時）</v>
      </c>
      <c r="L3" s="1116"/>
      <c r="M3" s="1116"/>
      <c r="N3" s="1116"/>
      <c r="O3" s="1116"/>
      <c r="P3" s="1116"/>
      <c r="Q3" s="1116"/>
      <c r="R3" s="1116"/>
      <c r="S3" s="1116"/>
      <c r="T3" s="1117"/>
      <c r="U3" s="1118" t="s">
        <v>56</v>
      </c>
      <c r="V3" s="1119"/>
      <c r="W3" s="1119"/>
      <c r="X3" s="1119"/>
      <c r="Y3" s="1120"/>
      <c r="Z3" s="1121" t="str">
        <f ca="1">INDIRECT("表紙!$Z$41")</f>
        <v>MSBDP0090</v>
      </c>
      <c r="AA3" s="1122"/>
      <c r="AB3" s="1122"/>
      <c r="AC3" s="1122"/>
      <c r="AD3" s="1122"/>
      <c r="AE3" s="1123" t="str">
        <f ca="1">INDIRECT("表紙!$AE$41")</f>
        <v>発注一覧登録</v>
      </c>
      <c r="AF3" s="1124"/>
      <c r="AG3" s="1124"/>
      <c r="AH3" s="1124"/>
      <c r="AI3" s="1124"/>
      <c r="AJ3" s="1124"/>
      <c r="AK3" s="1124"/>
      <c r="AL3" s="1124"/>
      <c r="AM3" s="1124"/>
      <c r="AN3" s="1124"/>
      <c r="AO3" s="1124"/>
      <c r="AP3" s="1125"/>
      <c r="AQ3" s="1157"/>
      <c r="AR3" s="1158"/>
      <c r="AS3" s="1158"/>
      <c r="AT3" s="1158"/>
      <c r="AU3" s="1158"/>
      <c r="AV3" s="1158"/>
      <c r="AW3" s="1159"/>
      <c r="AX3" s="1163"/>
      <c r="AY3" s="1164"/>
      <c r="AZ3" s="1164"/>
      <c r="BA3" s="1164"/>
      <c r="BB3" s="1164"/>
      <c r="BC3" s="1165"/>
      <c r="BD3" s="1169"/>
      <c r="BE3" s="1170"/>
      <c r="BF3" s="1170"/>
      <c r="BG3" s="1170"/>
      <c r="BH3" s="1170"/>
      <c r="BI3" s="1171"/>
    </row>
    <row r="4" spans="1:62" s="54" customFormat="1" ht="6.75" customHeight="1">
      <c r="B4" s="56"/>
      <c r="C4" s="57"/>
      <c r="D4" s="57"/>
      <c r="E4" s="57"/>
      <c r="F4" s="58"/>
      <c r="G4" s="58"/>
      <c r="H4" s="58"/>
      <c r="I4" s="58"/>
      <c r="J4" s="57"/>
      <c r="K4" s="58"/>
      <c r="L4" s="58"/>
      <c r="M4" s="58"/>
      <c r="N4" s="58"/>
      <c r="O4" s="58"/>
      <c r="P4" s="58"/>
      <c r="Q4" s="75"/>
    </row>
    <row r="5" spans="1:62" ht="15.75" customHeight="1">
      <c r="A5" s="59" t="s">
        <v>363</v>
      </c>
      <c r="B5" s="60" t="s">
        <v>1134</v>
      </c>
      <c r="C5" s="60"/>
      <c r="D5" s="60"/>
      <c r="E5" s="60"/>
      <c r="F5" s="60"/>
      <c r="G5" s="60"/>
      <c r="H5" s="60"/>
      <c r="I5" s="69"/>
      <c r="J5" s="60" t="s">
        <v>1135</v>
      </c>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9"/>
      <c r="BB5" s="60" t="s">
        <v>1136</v>
      </c>
      <c r="BC5" s="60"/>
      <c r="BD5" s="60"/>
      <c r="BE5" s="60"/>
      <c r="BF5" s="60"/>
      <c r="BG5" s="60"/>
      <c r="BH5" s="60"/>
      <c r="BI5" s="78"/>
      <c r="BJ5" s="9"/>
    </row>
    <row r="6" spans="1:62" ht="15.75" customHeight="1">
      <c r="A6" s="61">
        <v>1</v>
      </c>
      <c r="B6" s="62" t="s">
        <v>1137</v>
      </c>
      <c r="C6" s="63"/>
      <c r="D6" s="63"/>
      <c r="E6" s="63"/>
      <c r="F6" s="63"/>
      <c r="G6" s="63"/>
      <c r="H6" s="63"/>
      <c r="I6" s="63"/>
      <c r="J6" s="63" t="s">
        <v>1138</v>
      </c>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79"/>
      <c r="BJ6" s="9"/>
    </row>
    <row r="7" spans="1:62" ht="15.75" customHeight="1">
      <c r="A7" s="64"/>
      <c r="B7" s="65"/>
      <c r="C7" s="66"/>
      <c r="D7" s="66"/>
      <c r="E7" s="66"/>
      <c r="F7" s="66"/>
      <c r="G7" s="66"/>
      <c r="H7" s="66"/>
      <c r="I7" s="70"/>
      <c r="J7" s="71"/>
      <c r="K7" s="58" t="s">
        <v>1139</v>
      </c>
      <c r="L7" s="72"/>
      <c r="M7" s="72"/>
      <c r="N7" s="72"/>
      <c r="O7" s="72"/>
      <c r="P7" s="72"/>
      <c r="Q7" s="72"/>
      <c r="R7" s="72"/>
      <c r="S7" s="72"/>
      <c r="T7" s="72"/>
      <c r="U7" s="72"/>
      <c r="V7" s="72"/>
      <c r="W7" s="72"/>
      <c r="BB7" s="65"/>
      <c r="BC7" s="66"/>
      <c r="BD7" s="66"/>
      <c r="BE7" s="66"/>
      <c r="BF7" s="66"/>
      <c r="BG7" s="66"/>
      <c r="BH7" s="66"/>
      <c r="BI7" s="80"/>
      <c r="BJ7" s="9"/>
    </row>
    <row r="8" spans="1:62" ht="15.75" customHeight="1">
      <c r="A8" s="64"/>
      <c r="B8" s="67"/>
      <c r="I8" s="73"/>
      <c r="BB8" s="67"/>
      <c r="BI8" s="51"/>
    </row>
    <row r="9" spans="1:62" ht="15.75" customHeight="1">
      <c r="A9" s="68">
        <v>2</v>
      </c>
      <c r="B9" s="62" t="s">
        <v>1140</v>
      </c>
      <c r="C9" s="63"/>
      <c r="D9" s="63"/>
      <c r="E9" s="63"/>
      <c r="F9" s="63"/>
      <c r="G9" s="63"/>
      <c r="H9" s="63"/>
      <c r="I9" s="63"/>
      <c r="J9" s="63" t="s">
        <v>1141</v>
      </c>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79"/>
      <c r="BJ9" s="9"/>
    </row>
    <row r="10" spans="1:62" ht="15.75" customHeight="1">
      <c r="A10" s="64"/>
      <c r="B10" s="65"/>
      <c r="C10" s="66"/>
      <c r="D10" s="66"/>
      <c r="E10" s="66"/>
      <c r="F10" s="66"/>
      <c r="G10" s="66"/>
      <c r="H10" s="66"/>
      <c r="I10" s="70"/>
      <c r="J10" s="71"/>
      <c r="K10" s="58" t="s">
        <v>1139</v>
      </c>
      <c r="L10" s="74"/>
      <c r="M10" s="74"/>
      <c r="N10" s="74"/>
      <c r="O10" s="74"/>
      <c r="P10" s="74"/>
      <c r="Q10" s="74"/>
      <c r="R10" s="74"/>
      <c r="S10" s="74"/>
      <c r="T10" s="74"/>
      <c r="U10" s="74"/>
      <c r="V10" s="74"/>
      <c r="W10" s="74"/>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65"/>
      <c r="BC10" s="66"/>
      <c r="BD10" s="66"/>
      <c r="BE10" s="66"/>
      <c r="BF10" s="66"/>
      <c r="BG10" s="66"/>
      <c r="BH10" s="66"/>
      <c r="BI10" s="80"/>
      <c r="BJ10" s="9"/>
    </row>
    <row r="11" spans="1:62" ht="15.75" customHeight="1">
      <c r="A11" s="64"/>
      <c r="B11" s="67"/>
      <c r="C11" s="10"/>
      <c r="D11" s="10"/>
      <c r="E11" s="10"/>
      <c r="F11" s="10"/>
      <c r="G11" s="10"/>
      <c r="H11" s="10"/>
      <c r="I11" s="73"/>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67"/>
      <c r="BC11" s="10"/>
      <c r="BD11" s="10"/>
      <c r="BE11" s="10"/>
      <c r="BF11" s="10"/>
      <c r="BG11" s="10"/>
      <c r="BH11" s="10"/>
      <c r="BI11" s="51"/>
    </row>
    <row r="12" spans="1:62" ht="15.75" customHeight="1">
      <c r="A12" s="68">
        <v>3</v>
      </c>
      <c r="B12" s="62" t="s">
        <v>1142</v>
      </c>
      <c r="C12" s="63"/>
      <c r="D12" s="63"/>
      <c r="E12" s="63"/>
      <c r="F12" s="63"/>
      <c r="G12" s="63"/>
      <c r="H12" s="63"/>
      <c r="I12" s="63"/>
      <c r="J12" s="63" t="s">
        <v>157</v>
      </c>
      <c r="K12" s="63"/>
      <c r="L12" s="63"/>
      <c r="M12" s="63"/>
      <c r="N12" s="63"/>
      <c r="O12" s="63"/>
      <c r="P12" s="6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3"/>
      <c r="AT12" s="63"/>
      <c r="AU12" s="63"/>
      <c r="AV12" s="63"/>
      <c r="AW12" s="63"/>
      <c r="AX12" s="63"/>
      <c r="AY12" s="63"/>
      <c r="AZ12" s="63"/>
      <c r="BA12" s="63"/>
      <c r="BB12" s="63"/>
      <c r="BC12" s="63"/>
      <c r="BD12" s="63"/>
      <c r="BE12" s="63"/>
      <c r="BF12" s="63"/>
      <c r="BG12" s="63"/>
      <c r="BH12" s="63"/>
      <c r="BI12" s="79"/>
      <c r="BJ12" s="9"/>
    </row>
    <row r="13" spans="1:62" ht="15.75" customHeight="1">
      <c r="A13" s="64"/>
      <c r="B13" s="65"/>
      <c r="C13" s="66"/>
      <c r="D13" s="66"/>
      <c r="E13" s="66"/>
      <c r="F13" s="66"/>
      <c r="G13" s="66"/>
      <c r="H13" s="66"/>
      <c r="I13" s="70"/>
      <c r="J13" s="71" t="s">
        <v>1184</v>
      </c>
      <c r="K13" s="74" t="s">
        <v>1197</v>
      </c>
      <c r="L13" s="74"/>
      <c r="M13" s="74"/>
      <c r="N13" s="74"/>
      <c r="O13" s="74"/>
      <c r="P13" s="74"/>
      <c r="Q13" s="74"/>
      <c r="R13" s="74"/>
      <c r="S13" s="74"/>
      <c r="T13" s="74"/>
      <c r="U13" s="74"/>
      <c r="V13" s="74"/>
      <c r="W13" s="74"/>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65"/>
      <c r="BC13" s="66"/>
      <c r="BD13" s="66"/>
      <c r="BE13" s="66"/>
      <c r="BF13" s="66"/>
      <c r="BG13" s="66"/>
      <c r="BH13" s="66"/>
      <c r="BI13" s="80"/>
      <c r="BJ13" s="9"/>
    </row>
    <row r="14" spans="1:62" ht="15.75" customHeight="1">
      <c r="A14" s="64"/>
      <c r="B14" s="67"/>
      <c r="C14" s="10"/>
      <c r="D14" s="10"/>
      <c r="E14" s="10"/>
      <c r="F14" s="10"/>
      <c r="G14" s="10"/>
      <c r="H14" s="10"/>
      <c r="I14" s="73"/>
      <c r="J14" s="71"/>
      <c r="K14" s="74" t="s">
        <v>1204</v>
      </c>
      <c r="L14" s="10" t="s">
        <v>1205</v>
      </c>
      <c r="M14" s="74"/>
      <c r="N14" s="74"/>
      <c r="O14" s="74"/>
      <c r="P14" s="74"/>
      <c r="Q14" s="74"/>
      <c r="R14" s="74"/>
      <c r="S14" s="74"/>
      <c r="T14" s="74"/>
      <c r="U14" s="74"/>
      <c r="V14" s="74"/>
      <c r="W14" s="74"/>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67" t="s">
        <v>1185</v>
      </c>
      <c r="BC14" s="10"/>
      <c r="BD14" s="10"/>
      <c r="BE14" s="10"/>
      <c r="BF14" s="10"/>
      <c r="BG14" s="10"/>
      <c r="BH14" s="10"/>
      <c r="BI14" s="51"/>
      <c r="BJ14" s="9"/>
    </row>
    <row r="15" spans="1:62" ht="15.75" customHeight="1">
      <c r="A15" s="64"/>
      <c r="B15" s="67"/>
      <c r="C15" s="10"/>
      <c r="D15" s="10"/>
      <c r="E15" s="10"/>
      <c r="F15" s="10"/>
      <c r="G15" s="10"/>
      <c r="H15" s="10"/>
      <c r="I15" s="73"/>
      <c r="J15" s="74"/>
      <c r="K15" s="74"/>
      <c r="L15" s="10" t="s">
        <v>1187</v>
      </c>
      <c r="M15" s="74"/>
      <c r="N15" s="74" t="s">
        <v>1186</v>
      </c>
      <c r="O15" s="74"/>
      <c r="P15" s="74"/>
      <c r="Q15" s="74"/>
      <c r="R15" s="74"/>
      <c r="S15" s="74"/>
      <c r="T15" s="74"/>
      <c r="U15" s="74"/>
      <c r="V15" s="74"/>
      <c r="W15" s="74"/>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67"/>
      <c r="BC15" s="10"/>
      <c r="BD15" s="10" t="s">
        <v>1198</v>
      </c>
      <c r="BE15" s="10"/>
      <c r="BF15" s="10"/>
      <c r="BG15" s="10"/>
      <c r="BH15" s="10"/>
      <c r="BI15" s="51"/>
      <c r="BJ15" s="9"/>
    </row>
    <row r="16" spans="1:62" ht="15.75" customHeight="1">
      <c r="A16" s="64"/>
      <c r="B16" s="67"/>
      <c r="C16" s="10"/>
      <c r="D16" s="10"/>
      <c r="E16" s="10"/>
      <c r="F16" s="10"/>
      <c r="G16" s="10"/>
      <c r="H16" s="10"/>
      <c r="I16" s="73"/>
      <c r="J16" s="74"/>
      <c r="K16" s="74"/>
      <c r="L16" s="10"/>
      <c r="M16" s="74"/>
      <c r="N16" s="74" t="s">
        <v>1318</v>
      </c>
      <c r="O16" s="74"/>
      <c r="P16" s="74"/>
      <c r="Q16" s="74"/>
      <c r="R16" s="74"/>
      <c r="S16" s="74"/>
      <c r="T16" s="74"/>
      <c r="U16" s="74"/>
      <c r="V16" s="74"/>
      <c r="W16" s="74"/>
      <c r="X16" s="10"/>
      <c r="Y16" s="10"/>
      <c r="Z16" s="10"/>
      <c r="AB16" s="10"/>
      <c r="AC16" s="10"/>
      <c r="AD16" s="10"/>
      <c r="AE16" s="10"/>
      <c r="AG16" s="10"/>
      <c r="AH16" s="10" t="s">
        <v>1188</v>
      </c>
      <c r="AI16" s="10"/>
      <c r="AJ16" s="10"/>
      <c r="AK16" s="10"/>
      <c r="AL16" s="10"/>
      <c r="AM16" s="10"/>
      <c r="AN16" s="10"/>
      <c r="AO16" s="10"/>
      <c r="AP16" s="10"/>
      <c r="AQ16" s="10"/>
      <c r="AR16" s="10"/>
      <c r="AS16" s="10"/>
      <c r="AT16" s="10"/>
      <c r="AU16" s="10"/>
      <c r="AV16" s="10"/>
      <c r="AW16" s="10"/>
      <c r="AX16" s="10"/>
      <c r="AY16" s="10"/>
      <c r="AZ16" s="10"/>
      <c r="BA16" s="10"/>
      <c r="BB16" s="67"/>
      <c r="BC16" s="10"/>
      <c r="BD16" s="10"/>
      <c r="BE16" s="10"/>
      <c r="BF16" s="10"/>
      <c r="BG16" s="10"/>
      <c r="BH16" s="10"/>
      <c r="BI16" s="51"/>
      <c r="BJ16" s="9"/>
    </row>
    <row r="17" spans="1:62" ht="15.75" customHeight="1">
      <c r="A17" s="64"/>
      <c r="B17" s="67"/>
      <c r="C17" s="10"/>
      <c r="D17" s="10"/>
      <c r="E17" s="10"/>
      <c r="F17" s="10"/>
      <c r="G17" s="10"/>
      <c r="H17" s="10"/>
      <c r="I17" s="73"/>
      <c r="J17" s="74"/>
      <c r="K17" s="74"/>
      <c r="L17" s="10"/>
      <c r="M17" s="74"/>
      <c r="N17" s="74"/>
      <c r="O17" s="74"/>
      <c r="P17" s="74"/>
      <c r="Q17" s="74"/>
      <c r="R17" s="74"/>
      <c r="S17" s="74"/>
      <c r="T17" s="74"/>
      <c r="U17" s="74"/>
      <c r="V17" s="74"/>
      <c r="W17" s="74"/>
      <c r="X17" s="10"/>
      <c r="Y17" s="10"/>
      <c r="Z17" s="10"/>
      <c r="AB17" s="10"/>
      <c r="AC17" s="10"/>
      <c r="AD17" s="10"/>
      <c r="AE17" s="10"/>
      <c r="AG17" s="10"/>
      <c r="AH17" s="10" t="s">
        <v>1323</v>
      </c>
      <c r="AI17" s="10"/>
      <c r="AJ17" s="10"/>
      <c r="AK17" s="10"/>
      <c r="AL17" s="10"/>
      <c r="AM17" s="10"/>
      <c r="AN17" s="10"/>
      <c r="AO17" s="10"/>
      <c r="AP17" s="10"/>
      <c r="AQ17" s="10"/>
      <c r="AR17" s="10"/>
      <c r="AS17" s="10"/>
      <c r="AT17" s="10"/>
      <c r="AU17" s="10"/>
      <c r="AV17" s="10"/>
      <c r="AW17" s="10"/>
      <c r="AX17" s="10"/>
      <c r="AY17" s="10"/>
      <c r="AZ17" s="10"/>
      <c r="BA17" s="10"/>
      <c r="BB17" s="67"/>
      <c r="BC17" s="10"/>
      <c r="BD17" s="10"/>
      <c r="BE17" s="10"/>
      <c r="BF17" s="10"/>
      <c r="BG17" s="10"/>
      <c r="BH17" s="10"/>
      <c r="BI17" s="51"/>
      <c r="BJ17" s="9"/>
    </row>
    <row r="18" spans="1:62" ht="15.75" customHeight="1">
      <c r="A18" s="64"/>
      <c r="B18" s="67"/>
      <c r="C18" s="10"/>
      <c r="D18" s="10"/>
      <c r="E18" s="10"/>
      <c r="F18" s="10"/>
      <c r="G18" s="10"/>
      <c r="H18" s="10"/>
      <c r="I18" s="73"/>
      <c r="J18" s="74"/>
      <c r="K18" s="72"/>
      <c r="L18" s="72" t="s">
        <v>1324</v>
      </c>
      <c r="M18" s="72"/>
      <c r="P18" s="72"/>
      <c r="Q18" s="72"/>
      <c r="R18" s="72"/>
      <c r="S18" s="72"/>
      <c r="T18" s="72"/>
      <c r="U18" s="72"/>
      <c r="V18" s="72"/>
      <c r="W18" s="72"/>
      <c r="AS18" s="10"/>
      <c r="AT18" s="10"/>
      <c r="AU18" s="10"/>
      <c r="AV18" s="10"/>
      <c r="AW18" s="10"/>
      <c r="AX18" s="10"/>
      <c r="AY18" s="10"/>
      <c r="AZ18" s="10"/>
      <c r="BA18" s="10"/>
      <c r="BB18" s="67"/>
      <c r="BC18" s="10"/>
      <c r="BD18" s="10"/>
      <c r="BE18" s="10"/>
      <c r="BF18" s="10"/>
      <c r="BG18" s="10"/>
      <c r="BH18" s="10"/>
      <c r="BI18" s="51"/>
      <c r="BJ18" s="9"/>
    </row>
    <row r="19" spans="1:62" ht="15.75" customHeight="1">
      <c r="A19" s="64"/>
      <c r="B19" s="67"/>
      <c r="C19" s="10"/>
      <c r="D19" s="10"/>
      <c r="E19" s="10"/>
      <c r="F19" s="10"/>
      <c r="G19" s="10"/>
      <c r="H19" s="10"/>
      <c r="I19" s="73"/>
      <c r="J19" s="74"/>
      <c r="K19" s="72"/>
      <c r="M19" s="72"/>
      <c r="N19" s="72" t="s">
        <v>1325</v>
      </c>
      <c r="O19" s="72"/>
      <c r="P19" s="72"/>
      <c r="Q19" s="72"/>
      <c r="R19" s="72"/>
      <c r="S19" s="72"/>
      <c r="T19" s="72"/>
      <c r="U19" s="72"/>
      <c r="Z19" s="72" t="s">
        <v>1326</v>
      </c>
      <c r="AA19" s="72"/>
      <c r="AF19" s="2" t="s">
        <v>1327</v>
      </c>
      <c r="AS19" s="10"/>
      <c r="AT19" s="10"/>
      <c r="AU19" s="10"/>
      <c r="AV19" s="10"/>
      <c r="AW19" s="10"/>
      <c r="AX19" s="10"/>
      <c r="AY19" s="10"/>
      <c r="AZ19" s="10"/>
      <c r="BA19" s="10"/>
      <c r="BB19" s="67"/>
      <c r="BC19" s="10"/>
      <c r="BD19" s="10"/>
      <c r="BE19" s="10"/>
      <c r="BF19" s="10"/>
      <c r="BG19" s="10"/>
      <c r="BH19" s="10"/>
      <c r="BI19" s="51"/>
      <c r="BJ19" s="9"/>
    </row>
    <row r="20" spans="1:62" ht="15.75" customHeight="1">
      <c r="A20" s="64"/>
      <c r="B20" s="67"/>
      <c r="C20" s="10"/>
      <c r="D20" s="10"/>
      <c r="E20" s="10"/>
      <c r="F20" s="10"/>
      <c r="G20" s="10"/>
      <c r="H20" s="10"/>
      <c r="I20" s="73"/>
      <c r="J20" s="74"/>
      <c r="K20" s="72"/>
      <c r="M20" s="72"/>
      <c r="N20" s="72" t="s">
        <v>1328</v>
      </c>
      <c r="O20" s="72"/>
      <c r="P20" s="72"/>
      <c r="Q20" s="72"/>
      <c r="R20" s="72"/>
      <c r="S20" s="72"/>
      <c r="T20" s="72"/>
      <c r="U20" s="72"/>
      <c r="Z20" s="72" t="s">
        <v>1326</v>
      </c>
      <c r="AA20" s="72"/>
      <c r="AF20" s="2" t="s">
        <v>1329</v>
      </c>
      <c r="AS20" s="10"/>
      <c r="AT20" s="10"/>
      <c r="AU20" s="10"/>
      <c r="AV20" s="10"/>
      <c r="AW20" s="10"/>
      <c r="AX20" s="10"/>
      <c r="AY20" s="10"/>
      <c r="AZ20" s="10"/>
      <c r="BA20" s="10"/>
      <c r="BB20" s="67"/>
      <c r="BC20" s="10"/>
      <c r="BD20" s="10"/>
      <c r="BE20" s="10"/>
      <c r="BF20" s="10"/>
      <c r="BG20" s="10"/>
      <c r="BH20" s="10"/>
      <c r="BI20" s="51"/>
      <c r="BJ20" s="9"/>
    </row>
    <row r="21" spans="1:62" ht="15.75" customHeight="1">
      <c r="A21" s="64"/>
      <c r="B21" s="67"/>
      <c r="C21" s="10"/>
      <c r="D21" s="10"/>
      <c r="E21" s="10"/>
      <c r="F21" s="10"/>
      <c r="G21" s="10"/>
      <c r="H21" s="10"/>
      <c r="I21" s="73"/>
      <c r="J21" s="74"/>
      <c r="K21" s="72"/>
      <c r="M21" s="72"/>
      <c r="N21" s="72" t="s">
        <v>1330</v>
      </c>
      <c r="O21" s="72"/>
      <c r="P21" s="72"/>
      <c r="Q21" s="72"/>
      <c r="R21" s="72"/>
      <c r="S21" s="72"/>
      <c r="T21" s="72"/>
      <c r="U21" s="72"/>
      <c r="Z21" s="72" t="s">
        <v>1326</v>
      </c>
      <c r="AA21" s="72"/>
      <c r="AF21" s="2" t="s">
        <v>343</v>
      </c>
      <c r="AS21" s="10"/>
      <c r="AT21" s="10"/>
      <c r="AU21" s="10"/>
      <c r="AV21" s="10"/>
      <c r="AW21" s="10"/>
      <c r="AX21" s="10"/>
      <c r="AY21" s="10"/>
      <c r="AZ21" s="10"/>
      <c r="BA21" s="10"/>
      <c r="BB21" s="67"/>
      <c r="BC21" s="10"/>
      <c r="BD21" s="10"/>
      <c r="BE21" s="10"/>
      <c r="BF21" s="10"/>
      <c r="BG21" s="10"/>
      <c r="BH21" s="10"/>
      <c r="BI21" s="51"/>
      <c r="BJ21" s="9"/>
    </row>
    <row r="22" spans="1:62" ht="15.75" customHeight="1">
      <c r="A22" s="64"/>
      <c r="B22" s="67"/>
      <c r="C22" s="10"/>
      <c r="D22" s="10"/>
      <c r="E22" s="10"/>
      <c r="F22" s="10"/>
      <c r="G22" s="10"/>
      <c r="H22" s="10"/>
      <c r="I22" s="73"/>
      <c r="J22" s="74"/>
      <c r="K22" s="72"/>
      <c r="M22" s="72"/>
      <c r="N22" s="72" t="s">
        <v>1331</v>
      </c>
      <c r="O22" s="72"/>
      <c r="P22" s="72"/>
      <c r="Q22" s="72"/>
      <c r="R22" s="72"/>
      <c r="S22" s="72"/>
      <c r="T22" s="72"/>
      <c r="U22" s="72"/>
      <c r="Z22" s="72" t="s">
        <v>1326</v>
      </c>
      <c r="AA22" s="72"/>
      <c r="AF22" s="2" t="s">
        <v>343</v>
      </c>
      <c r="AS22" s="10"/>
      <c r="AT22" s="10"/>
      <c r="AU22" s="10"/>
      <c r="AV22" s="10"/>
      <c r="AW22" s="10"/>
      <c r="AX22" s="10"/>
      <c r="AY22" s="10"/>
      <c r="AZ22" s="10"/>
      <c r="BA22" s="10"/>
      <c r="BB22" s="67"/>
      <c r="BC22" s="10"/>
      <c r="BD22" s="10"/>
      <c r="BE22" s="10"/>
      <c r="BF22" s="10"/>
      <c r="BG22" s="10"/>
      <c r="BH22" s="10"/>
      <c r="BI22" s="51"/>
      <c r="BJ22" s="9"/>
    </row>
    <row r="23" spans="1:62" ht="15.75" customHeight="1">
      <c r="A23" s="64"/>
      <c r="B23" s="67"/>
      <c r="C23" s="10"/>
      <c r="D23" s="10"/>
      <c r="E23" s="10"/>
      <c r="F23" s="10"/>
      <c r="G23" s="10"/>
      <c r="H23" s="10"/>
      <c r="I23" s="73"/>
      <c r="J23" s="74"/>
      <c r="K23" s="72"/>
      <c r="M23" s="72"/>
      <c r="N23" s="72"/>
      <c r="O23" s="72"/>
      <c r="P23" s="72"/>
      <c r="Q23" s="72"/>
      <c r="R23" s="72"/>
      <c r="S23" s="72"/>
      <c r="T23" s="72"/>
      <c r="U23" s="72"/>
      <c r="Z23" s="72"/>
      <c r="AA23" s="72"/>
      <c r="AS23" s="10"/>
      <c r="AT23" s="10"/>
      <c r="AU23" s="10"/>
      <c r="AV23" s="10"/>
      <c r="AW23" s="10"/>
      <c r="AX23" s="10"/>
      <c r="AY23" s="10"/>
      <c r="AZ23" s="10"/>
      <c r="BA23" s="10"/>
      <c r="BB23" s="67"/>
      <c r="BC23" s="10"/>
      <c r="BD23" s="10"/>
      <c r="BE23" s="10"/>
      <c r="BF23" s="10"/>
      <c r="BG23" s="10"/>
      <c r="BH23" s="10"/>
      <c r="BI23" s="51"/>
      <c r="BJ23" s="9"/>
    </row>
    <row r="24" spans="1:62" ht="15.75" customHeight="1">
      <c r="A24" s="64"/>
      <c r="B24" s="67"/>
      <c r="C24" s="10"/>
      <c r="D24" s="10"/>
      <c r="E24" s="10"/>
      <c r="F24" s="10"/>
      <c r="G24" s="10"/>
      <c r="H24" s="10"/>
      <c r="I24" s="73"/>
      <c r="J24" s="74"/>
      <c r="K24" s="74" t="s">
        <v>1206</v>
      </c>
      <c r="L24" s="10" t="s">
        <v>1213</v>
      </c>
      <c r="M24" s="74"/>
      <c r="N24" s="74"/>
      <c r="O24" s="74"/>
      <c r="P24" s="74"/>
      <c r="Q24" s="74"/>
      <c r="R24" s="74"/>
      <c r="S24" s="74"/>
      <c r="T24" s="74"/>
      <c r="U24" s="74"/>
      <c r="V24" s="74"/>
      <c r="W24" s="74"/>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67"/>
      <c r="BC24" s="10"/>
      <c r="BD24" s="10"/>
      <c r="BE24" s="10"/>
      <c r="BF24" s="10"/>
      <c r="BG24" s="10"/>
      <c r="BH24" s="10"/>
      <c r="BI24" s="51"/>
      <c r="BJ24" s="9"/>
    </row>
    <row r="25" spans="1:62" ht="15.75" customHeight="1">
      <c r="A25" s="64"/>
      <c r="B25" s="67"/>
      <c r="C25" s="10"/>
      <c r="D25" s="10"/>
      <c r="E25" s="10"/>
      <c r="F25" s="10"/>
      <c r="G25" s="10"/>
      <c r="H25" s="10"/>
      <c r="I25" s="73"/>
      <c r="J25" s="74"/>
      <c r="K25" s="74"/>
      <c r="L25" s="10"/>
      <c r="M25" s="74"/>
      <c r="N25" s="74"/>
      <c r="O25" s="74"/>
      <c r="P25" s="74"/>
      <c r="Q25" s="74"/>
      <c r="R25" s="74"/>
      <c r="S25" s="74"/>
      <c r="T25" s="74"/>
      <c r="U25" s="74"/>
      <c r="V25" s="74"/>
      <c r="W25" s="74"/>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67"/>
      <c r="BC25" s="10"/>
      <c r="BD25" s="10"/>
      <c r="BE25" s="10"/>
      <c r="BF25" s="10"/>
      <c r="BG25" s="10"/>
      <c r="BH25" s="10"/>
      <c r="BI25" s="51"/>
      <c r="BJ25" s="9"/>
    </row>
    <row r="26" spans="1:62" ht="15.75" customHeight="1">
      <c r="A26" s="64"/>
      <c r="B26" s="67"/>
      <c r="C26" s="10"/>
      <c r="D26" s="10"/>
      <c r="E26" s="10"/>
      <c r="F26" s="10"/>
      <c r="G26" s="10"/>
      <c r="H26" s="10"/>
      <c r="I26" s="73"/>
      <c r="J26" s="71" t="s">
        <v>1212</v>
      </c>
      <c r="K26" s="74" t="s">
        <v>1203</v>
      </c>
      <c r="L26" s="10"/>
      <c r="M26" s="74"/>
      <c r="N26" s="74"/>
      <c r="O26" s="74"/>
      <c r="P26" s="74"/>
      <c r="Q26" s="74"/>
      <c r="R26" s="74"/>
      <c r="S26" s="74"/>
      <c r="T26" s="74"/>
      <c r="U26" s="74"/>
      <c r="V26" s="74"/>
      <c r="W26" s="74"/>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67"/>
      <c r="BC26" s="10"/>
      <c r="BD26" s="10"/>
      <c r="BE26" s="10"/>
      <c r="BF26" s="10"/>
      <c r="BG26" s="10"/>
      <c r="BH26" s="10"/>
      <c r="BI26" s="51"/>
      <c r="BJ26" s="9"/>
    </row>
    <row r="27" spans="1:62" ht="15.75" customHeight="1">
      <c r="A27" s="64"/>
      <c r="B27" s="67"/>
      <c r="C27" s="10"/>
      <c r="D27" s="10"/>
      <c r="E27" s="10"/>
      <c r="F27" s="10"/>
      <c r="G27" s="10"/>
      <c r="H27" s="10"/>
      <c r="I27" s="73"/>
      <c r="J27" s="74"/>
      <c r="K27" s="74" t="s">
        <v>1207</v>
      </c>
      <c r="L27" s="10"/>
      <c r="M27" s="74"/>
      <c r="N27" s="74"/>
      <c r="O27" s="74"/>
      <c r="P27" s="74"/>
      <c r="Q27" s="74"/>
      <c r="R27" s="74"/>
      <c r="S27" s="74"/>
      <c r="T27" s="74"/>
      <c r="U27" s="74"/>
      <c r="V27" s="74"/>
      <c r="W27" s="74"/>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67"/>
      <c r="BC27" s="10"/>
      <c r="BD27" s="10"/>
      <c r="BE27" s="10"/>
      <c r="BF27" s="10"/>
      <c r="BG27" s="10"/>
      <c r="BH27" s="10"/>
      <c r="BI27" s="51"/>
      <c r="BJ27" s="9"/>
    </row>
    <row r="28" spans="1:62" ht="15.75" customHeight="1">
      <c r="A28" s="64"/>
      <c r="B28" s="67"/>
      <c r="C28" s="10"/>
      <c r="D28" s="10"/>
      <c r="E28" s="10"/>
      <c r="F28" s="10"/>
      <c r="G28" s="10"/>
      <c r="H28" s="10"/>
      <c r="I28" s="73"/>
      <c r="J28" s="74"/>
      <c r="K28" s="74" t="s">
        <v>1208</v>
      </c>
      <c r="L28" s="10"/>
      <c r="M28" s="74"/>
      <c r="N28" s="74"/>
      <c r="O28" s="74"/>
      <c r="P28" s="74"/>
      <c r="Q28" s="74"/>
      <c r="R28" s="74"/>
      <c r="S28" s="74"/>
      <c r="T28" s="74"/>
      <c r="U28" s="74"/>
      <c r="V28" s="74"/>
      <c r="W28" s="74"/>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67"/>
      <c r="BC28" s="10"/>
      <c r="BD28" s="10"/>
      <c r="BE28" s="10"/>
      <c r="BF28" s="10"/>
      <c r="BG28" s="10"/>
      <c r="BH28" s="10"/>
      <c r="BI28" s="51"/>
      <c r="BJ28" s="9"/>
    </row>
    <row r="29" spans="1:62" ht="15.75" customHeight="1">
      <c r="A29" s="64"/>
      <c r="B29" s="67"/>
      <c r="C29" s="10"/>
      <c r="D29" s="10"/>
      <c r="E29" s="10"/>
      <c r="F29" s="10"/>
      <c r="G29" s="10"/>
      <c r="H29" s="10"/>
      <c r="I29" s="73"/>
      <c r="J29" s="74"/>
      <c r="K29" s="74" t="s">
        <v>1204</v>
      </c>
      <c r="L29" s="10" t="s">
        <v>1257</v>
      </c>
      <c r="M29" s="74"/>
      <c r="N29" s="74"/>
      <c r="O29" s="74"/>
      <c r="P29" s="74"/>
      <c r="Q29" s="74"/>
      <c r="R29" s="74"/>
      <c r="S29" s="74"/>
      <c r="T29" s="74"/>
      <c r="U29" s="74"/>
      <c r="V29" s="74"/>
      <c r="W29" s="74"/>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67"/>
      <c r="BC29" s="10"/>
      <c r="BD29" s="10"/>
      <c r="BE29" s="10"/>
      <c r="BF29" s="10"/>
      <c r="BG29" s="10"/>
      <c r="BH29" s="10"/>
      <c r="BI29" s="51"/>
      <c r="BJ29" s="9"/>
    </row>
    <row r="30" spans="1:62" ht="15.75" customHeight="1">
      <c r="A30" s="64"/>
      <c r="B30" s="67"/>
      <c r="C30" s="10"/>
      <c r="D30" s="10"/>
      <c r="E30" s="10"/>
      <c r="F30" s="10"/>
      <c r="G30" s="10"/>
      <c r="H30" s="10"/>
      <c r="I30" s="73"/>
      <c r="J30" s="74"/>
      <c r="K30" s="74"/>
      <c r="L30" s="10" t="s">
        <v>1209</v>
      </c>
      <c r="M30" s="74"/>
      <c r="N30" s="74"/>
      <c r="O30" s="74"/>
      <c r="P30" s="74"/>
      <c r="Q30" s="74"/>
      <c r="R30" s="74"/>
      <c r="S30" s="74"/>
      <c r="T30" s="74"/>
      <c r="U30" s="74"/>
      <c r="V30" s="74"/>
      <c r="W30" s="74"/>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67"/>
      <c r="BC30" s="10"/>
      <c r="BD30" s="10"/>
      <c r="BE30" s="10"/>
      <c r="BF30" s="10"/>
      <c r="BG30" s="10"/>
      <c r="BH30" s="10"/>
      <c r="BI30" s="51"/>
      <c r="BJ30" s="9"/>
    </row>
    <row r="31" spans="1:62" ht="15.75" customHeight="1">
      <c r="A31" s="64"/>
      <c r="B31" s="67"/>
      <c r="C31" s="10"/>
      <c r="D31" s="10"/>
      <c r="E31" s="10"/>
      <c r="F31" s="10"/>
      <c r="G31" s="10"/>
      <c r="H31" s="10"/>
      <c r="I31" s="73"/>
      <c r="J31" s="74"/>
      <c r="K31" s="74" t="s">
        <v>1204</v>
      </c>
      <c r="L31" s="10" t="s">
        <v>1210</v>
      </c>
      <c r="M31" s="74"/>
      <c r="N31" s="74"/>
      <c r="O31" s="74"/>
      <c r="P31" s="74"/>
      <c r="Q31" s="74"/>
      <c r="R31" s="74"/>
      <c r="S31" s="74"/>
      <c r="T31" s="74"/>
      <c r="U31" s="74"/>
      <c r="V31" s="74"/>
      <c r="W31" s="74"/>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67"/>
      <c r="BC31" s="10"/>
      <c r="BD31" s="10"/>
      <c r="BE31" s="10"/>
      <c r="BF31" s="10"/>
      <c r="BG31" s="10"/>
      <c r="BH31" s="10"/>
      <c r="BI31" s="51"/>
      <c r="BJ31" s="9"/>
    </row>
    <row r="32" spans="1:62" ht="15.75" customHeight="1">
      <c r="A32" s="64"/>
      <c r="B32" s="67"/>
      <c r="C32" s="10"/>
      <c r="D32" s="10"/>
      <c r="E32" s="10"/>
      <c r="F32" s="10"/>
      <c r="G32" s="10"/>
      <c r="H32" s="10"/>
      <c r="I32" s="73"/>
      <c r="J32" s="74"/>
      <c r="K32" s="74"/>
      <c r="L32" s="10" t="s">
        <v>1211</v>
      </c>
      <c r="M32" s="74"/>
      <c r="N32" s="74"/>
      <c r="O32" s="74"/>
      <c r="P32" s="74"/>
      <c r="Q32" s="74"/>
      <c r="R32" s="74"/>
      <c r="S32" s="74"/>
      <c r="T32" s="74"/>
      <c r="U32" s="74"/>
      <c r="V32" s="74"/>
      <c r="W32" s="74"/>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67"/>
      <c r="BC32" s="10"/>
      <c r="BD32" s="10"/>
      <c r="BE32" s="10"/>
      <c r="BF32" s="10"/>
      <c r="BG32" s="10"/>
      <c r="BH32" s="10"/>
      <c r="BI32" s="51"/>
      <c r="BJ32" s="9"/>
    </row>
    <row r="33" spans="1:62" ht="15.75" customHeight="1">
      <c r="A33" s="64"/>
      <c r="B33" s="67"/>
      <c r="C33" s="10"/>
      <c r="D33" s="10"/>
      <c r="E33" s="10"/>
      <c r="F33" s="10"/>
      <c r="G33" s="10"/>
      <c r="H33" s="10"/>
      <c r="I33" s="73"/>
      <c r="J33" s="74"/>
      <c r="K33" s="74"/>
      <c r="L33" s="10"/>
      <c r="M33" s="74"/>
      <c r="N33" s="74"/>
      <c r="O33" s="74"/>
      <c r="P33" s="74"/>
      <c r="Q33" s="74"/>
      <c r="R33" s="74"/>
      <c r="S33" s="74"/>
      <c r="T33" s="74"/>
      <c r="U33" s="74"/>
      <c r="V33" s="74"/>
      <c r="W33" s="74"/>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67"/>
      <c r="BC33" s="10"/>
      <c r="BD33" s="10"/>
      <c r="BE33" s="10"/>
      <c r="BF33" s="10"/>
      <c r="BG33" s="10"/>
      <c r="BH33" s="10"/>
      <c r="BI33" s="51"/>
      <c r="BJ33" s="9"/>
    </row>
    <row r="34" spans="1:62" ht="15.75" customHeight="1">
      <c r="A34" s="64"/>
      <c r="B34" s="67"/>
      <c r="C34" s="10"/>
      <c r="D34" s="10"/>
      <c r="E34" s="10"/>
      <c r="F34" s="10"/>
      <c r="G34" s="10"/>
      <c r="H34" s="10"/>
      <c r="I34" s="73"/>
      <c r="J34" s="74"/>
      <c r="K34" s="74" t="s">
        <v>1215</v>
      </c>
      <c r="L34" s="10"/>
      <c r="M34" s="74"/>
      <c r="N34" s="74"/>
      <c r="O34" s="74"/>
      <c r="P34" s="74"/>
      <c r="Q34" s="74"/>
      <c r="R34" s="74"/>
      <c r="S34" s="74"/>
      <c r="T34" s="74"/>
      <c r="U34" s="74"/>
      <c r="V34" s="74"/>
      <c r="W34" s="74"/>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67"/>
      <c r="BC34" s="10"/>
      <c r="BD34" s="10"/>
      <c r="BE34" s="10"/>
      <c r="BF34" s="10"/>
      <c r="BG34" s="10"/>
      <c r="BH34" s="10"/>
      <c r="BI34" s="51"/>
      <c r="BJ34" s="9"/>
    </row>
    <row r="35" spans="1:62" ht="15.75" customHeight="1">
      <c r="A35" s="64"/>
      <c r="B35" s="67"/>
      <c r="C35" s="10"/>
      <c r="D35" s="10"/>
      <c r="E35" s="10"/>
      <c r="F35" s="10"/>
      <c r="G35" s="10"/>
      <c r="H35" s="10"/>
      <c r="I35" s="73"/>
      <c r="J35" s="74"/>
      <c r="K35" s="74"/>
      <c r="L35" s="10" t="s">
        <v>1216</v>
      </c>
      <c r="M35" s="74"/>
      <c r="N35" s="74"/>
      <c r="O35" s="74"/>
      <c r="P35" s="74"/>
      <c r="Q35" s="74"/>
      <c r="R35" s="74"/>
      <c r="S35" s="74"/>
      <c r="T35" s="74"/>
      <c r="U35" s="74"/>
      <c r="V35" s="74"/>
      <c r="W35" s="74"/>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67"/>
      <c r="BC35" s="10"/>
      <c r="BD35" s="10"/>
      <c r="BE35" s="10"/>
      <c r="BF35" s="10"/>
      <c r="BG35" s="10"/>
      <c r="BH35" s="10"/>
      <c r="BI35" s="51"/>
      <c r="BJ35" s="9"/>
    </row>
    <row r="36" spans="1:62" ht="15.75" customHeight="1">
      <c r="A36" s="64"/>
      <c r="B36" s="67"/>
      <c r="C36" s="10"/>
      <c r="D36" s="10"/>
      <c r="E36" s="10"/>
      <c r="F36" s="10"/>
      <c r="G36" s="10"/>
      <c r="H36" s="10"/>
      <c r="I36" s="73"/>
      <c r="J36" s="74"/>
      <c r="K36" s="74"/>
      <c r="L36" s="10" t="s">
        <v>1217</v>
      </c>
      <c r="M36" s="74"/>
      <c r="N36" s="74"/>
      <c r="O36" s="74"/>
      <c r="P36" s="74"/>
      <c r="Q36" s="74"/>
      <c r="R36" s="74"/>
      <c r="S36" s="74"/>
      <c r="T36" s="74"/>
      <c r="U36" s="74"/>
      <c r="V36" s="74"/>
      <c r="W36" s="74"/>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67"/>
      <c r="BC36" s="10"/>
      <c r="BD36" s="10"/>
      <c r="BE36" s="10"/>
      <c r="BF36" s="10"/>
      <c r="BG36" s="10"/>
      <c r="BH36" s="10"/>
      <c r="BI36" s="51"/>
      <c r="BJ36" s="9"/>
    </row>
    <row r="37" spans="1:62" ht="15.75" customHeight="1">
      <c r="A37" s="64"/>
      <c r="B37" s="67"/>
      <c r="C37" s="10"/>
      <c r="D37" s="10"/>
      <c r="E37" s="10"/>
      <c r="F37" s="10"/>
      <c r="G37" s="10"/>
      <c r="H37" s="10"/>
      <c r="I37" s="73"/>
      <c r="J37" s="74"/>
      <c r="K37" s="74"/>
      <c r="L37" s="10"/>
      <c r="M37" s="74"/>
      <c r="N37" s="74"/>
      <c r="O37" s="74"/>
      <c r="P37" s="74"/>
      <c r="Q37" s="74"/>
      <c r="R37" s="74"/>
      <c r="S37" s="74"/>
      <c r="T37" s="74"/>
      <c r="U37" s="74"/>
      <c r="V37" s="74"/>
      <c r="W37" s="74"/>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67"/>
      <c r="BC37" s="10"/>
      <c r="BD37" s="10"/>
      <c r="BE37" s="10"/>
      <c r="BF37" s="10"/>
      <c r="BG37" s="10"/>
      <c r="BH37" s="10"/>
      <c r="BI37" s="51"/>
      <c r="BJ37" s="9"/>
    </row>
    <row r="38" spans="1:62" ht="15.75" customHeight="1">
      <c r="A38" s="64"/>
      <c r="B38" s="67"/>
      <c r="C38" s="10"/>
      <c r="D38" s="10"/>
      <c r="E38" s="10"/>
      <c r="F38" s="10"/>
      <c r="G38" s="10"/>
      <c r="H38" s="10"/>
      <c r="I38" s="73"/>
      <c r="J38" s="74"/>
      <c r="K38" s="74" t="s">
        <v>1214</v>
      </c>
      <c r="L38" s="10"/>
      <c r="M38" s="74"/>
      <c r="N38" s="74"/>
      <c r="O38" s="74"/>
      <c r="P38" s="74"/>
      <c r="Q38" s="74"/>
      <c r="R38" s="74"/>
      <c r="S38" s="74"/>
      <c r="T38" s="74"/>
      <c r="U38" s="74"/>
      <c r="V38" s="74"/>
      <c r="W38" s="74"/>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67"/>
      <c r="BC38" s="10"/>
      <c r="BD38" s="10"/>
      <c r="BE38" s="10"/>
      <c r="BF38" s="10"/>
      <c r="BG38" s="10"/>
      <c r="BH38" s="10"/>
      <c r="BI38" s="51"/>
      <c r="BJ38" s="9"/>
    </row>
    <row r="39" spans="1:62" ht="15.75" customHeight="1">
      <c r="A39" s="64"/>
      <c r="B39" s="67"/>
      <c r="C39" s="10"/>
      <c r="D39" s="10"/>
      <c r="E39" s="10"/>
      <c r="F39" s="10"/>
      <c r="G39" s="10"/>
      <c r="H39" s="10"/>
      <c r="I39" s="73"/>
      <c r="J39" s="74"/>
      <c r="K39" s="74"/>
      <c r="L39" s="10"/>
      <c r="M39" s="74"/>
      <c r="N39" s="74"/>
      <c r="O39" s="74"/>
      <c r="P39" s="74"/>
      <c r="Q39" s="74"/>
      <c r="R39" s="74"/>
      <c r="S39" s="74"/>
      <c r="T39" s="74"/>
      <c r="U39" s="74"/>
      <c r="V39" s="74"/>
      <c r="W39" s="74"/>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67"/>
      <c r="BC39" s="10"/>
      <c r="BD39" s="10"/>
      <c r="BE39" s="10"/>
      <c r="BF39" s="10"/>
      <c r="BG39" s="10"/>
      <c r="BH39" s="10"/>
      <c r="BI39" s="51"/>
      <c r="BJ39" s="9"/>
    </row>
    <row r="40" spans="1:62" ht="15.75" customHeight="1">
      <c r="A40" s="64"/>
      <c r="B40" s="67"/>
      <c r="C40" s="10"/>
      <c r="D40" s="10"/>
      <c r="E40" s="10"/>
      <c r="F40" s="10"/>
      <c r="G40" s="10"/>
      <c r="H40" s="10"/>
      <c r="I40" s="73"/>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67"/>
      <c r="BC40" s="10"/>
      <c r="BD40" s="10"/>
      <c r="BE40" s="10"/>
      <c r="BF40" s="10"/>
      <c r="BG40" s="10"/>
      <c r="BH40" s="10"/>
      <c r="BI40" s="51"/>
      <c r="BJ40" s="9"/>
    </row>
    <row r="41" spans="1:62" ht="15.75" customHeight="1">
      <c r="A41" s="68">
        <v>4</v>
      </c>
      <c r="B41" s="62" t="s">
        <v>1143</v>
      </c>
      <c r="C41" s="63"/>
      <c r="D41" s="63"/>
      <c r="E41" s="63"/>
      <c r="F41" s="63"/>
      <c r="G41" s="63"/>
      <c r="H41" s="63"/>
      <c r="I41" s="63"/>
      <c r="J41" s="63" t="s">
        <v>164</v>
      </c>
      <c r="K41" s="63"/>
      <c r="L41" s="63"/>
      <c r="M41" s="63"/>
      <c r="N41" s="63"/>
      <c r="O41" s="63"/>
      <c r="P41" s="63"/>
      <c r="Q41" s="63"/>
      <c r="R41" s="63"/>
      <c r="S41" s="63"/>
      <c r="T41" s="63"/>
      <c r="U41" s="63"/>
      <c r="V41" s="63"/>
      <c r="W41" s="63"/>
      <c r="X41" s="63"/>
      <c r="Y41" s="63"/>
      <c r="Z41" s="63"/>
      <c r="AA41" s="63"/>
      <c r="AB41" s="63"/>
      <c r="AC41" s="63"/>
      <c r="AD41" s="63"/>
      <c r="AE41" s="63"/>
      <c r="AF41" s="63"/>
      <c r="AG41" s="63"/>
      <c r="AH41" s="63"/>
      <c r="AI41" s="63"/>
      <c r="AJ41" s="63"/>
      <c r="AK41" s="63"/>
      <c r="AL41" s="63"/>
      <c r="AM41" s="63"/>
      <c r="AN41" s="63"/>
      <c r="AO41" s="63"/>
      <c r="AP41" s="63"/>
      <c r="AQ41" s="63"/>
      <c r="AR41" s="63"/>
      <c r="AS41" s="63"/>
      <c r="AT41" s="63"/>
      <c r="AU41" s="63"/>
      <c r="AV41" s="63"/>
      <c r="AW41" s="63"/>
      <c r="AX41" s="63"/>
      <c r="AY41" s="63"/>
      <c r="AZ41" s="63"/>
      <c r="BA41" s="63"/>
      <c r="BB41" s="63"/>
      <c r="BC41" s="63"/>
      <c r="BD41" s="63"/>
      <c r="BE41" s="63"/>
      <c r="BF41" s="63"/>
      <c r="BG41" s="63"/>
      <c r="BH41" s="63"/>
      <c r="BI41" s="79"/>
      <c r="BJ41" s="9"/>
    </row>
    <row r="42" spans="1:62" ht="15.75" customHeight="1">
      <c r="A42" s="64"/>
      <c r="B42" s="65"/>
      <c r="C42" s="66"/>
      <c r="D42" s="66"/>
      <c r="E42" s="66"/>
      <c r="F42" s="66"/>
      <c r="G42" s="66"/>
      <c r="H42" s="66"/>
      <c r="I42" s="70"/>
      <c r="J42" s="71"/>
      <c r="K42" s="58" t="s">
        <v>1139</v>
      </c>
      <c r="L42" s="74"/>
      <c r="M42" s="74"/>
      <c r="N42" s="74"/>
      <c r="O42" s="74"/>
      <c r="P42" s="74"/>
      <c r="Q42" s="74"/>
      <c r="R42" s="74"/>
      <c r="S42" s="74"/>
      <c r="T42" s="74"/>
      <c r="U42" s="74"/>
      <c r="V42" s="74"/>
      <c r="W42" s="74"/>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65"/>
      <c r="BC42" s="66"/>
      <c r="BD42" s="66"/>
      <c r="BE42" s="66"/>
      <c r="BF42" s="66"/>
      <c r="BG42" s="66"/>
      <c r="BH42" s="66"/>
      <c r="BI42" s="80"/>
      <c r="BJ42" s="9"/>
    </row>
    <row r="43" spans="1:62" ht="15.75" customHeight="1">
      <c r="A43" s="64"/>
      <c r="B43" s="67"/>
      <c r="C43" s="10"/>
      <c r="D43" s="10"/>
      <c r="E43" s="10"/>
      <c r="F43" s="10"/>
      <c r="G43" s="10"/>
      <c r="H43" s="10"/>
      <c r="I43" s="73"/>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67"/>
      <c r="BC43" s="10"/>
      <c r="BD43" s="10"/>
      <c r="BE43" s="10"/>
      <c r="BF43" s="10"/>
      <c r="BG43" s="10"/>
      <c r="BH43" s="10"/>
      <c r="BI43" s="51"/>
    </row>
    <row r="44" spans="1:62" ht="15.75" customHeight="1">
      <c r="A44" s="68">
        <v>5</v>
      </c>
      <c r="B44" s="62" t="s">
        <v>1144</v>
      </c>
      <c r="C44" s="63"/>
      <c r="D44" s="63"/>
      <c r="E44" s="63"/>
      <c r="F44" s="63"/>
      <c r="G44" s="63"/>
      <c r="H44" s="63"/>
      <c r="I44" s="63"/>
      <c r="J44" s="63" t="s">
        <v>1090</v>
      </c>
      <c r="K44" s="63"/>
      <c r="L44" s="63"/>
      <c r="M44" s="63"/>
      <c r="N44" s="63"/>
      <c r="O44" s="63"/>
      <c r="P44" s="63"/>
      <c r="Q44" s="63"/>
      <c r="R44" s="63"/>
      <c r="S44" s="63"/>
      <c r="T44" s="63"/>
      <c r="U44" s="63"/>
      <c r="V44" s="63"/>
      <c r="W44" s="63"/>
      <c r="X44" s="63"/>
      <c r="Y44" s="63"/>
      <c r="Z44" s="63"/>
      <c r="AA44" s="63"/>
      <c r="AB44" s="63"/>
      <c r="AC44" s="63"/>
      <c r="AD44" s="63"/>
      <c r="AE44" s="63"/>
      <c r="AF44" s="63"/>
      <c r="AG44" s="63"/>
      <c r="AH44" s="63"/>
      <c r="AI44" s="63"/>
      <c r="AJ44" s="63"/>
      <c r="AK44" s="63"/>
      <c r="AL44" s="63"/>
      <c r="AM44" s="63"/>
      <c r="AN44" s="63"/>
      <c r="AO44" s="63"/>
      <c r="AP44" s="63"/>
      <c r="AQ44" s="63"/>
      <c r="AR44" s="63"/>
      <c r="AS44" s="63"/>
      <c r="AT44" s="63"/>
      <c r="AU44" s="63"/>
      <c r="AV44" s="63"/>
      <c r="AW44" s="63"/>
      <c r="AX44" s="63"/>
      <c r="AY44" s="63"/>
      <c r="AZ44" s="63"/>
      <c r="BA44" s="63"/>
      <c r="BB44" s="63"/>
      <c r="BC44" s="63"/>
      <c r="BD44" s="63"/>
      <c r="BE44" s="63"/>
      <c r="BF44" s="63"/>
      <c r="BG44" s="63"/>
      <c r="BH44" s="63"/>
      <c r="BI44" s="79"/>
      <c r="BJ44" s="9"/>
    </row>
    <row r="45" spans="1:62" ht="15.75" customHeight="1">
      <c r="A45" s="64"/>
      <c r="B45" s="67"/>
      <c r="C45" s="10"/>
      <c r="D45" s="10"/>
      <c r="E45" s="10"/>
      <c r="F45" s="10"/>
      <c r="G45" s="10"/>
      <c r="H45" s="10"/>
      <c r="I45" s="73"/>
      <c r="J45" s="71" t="s">
        <v>1218</v>
      </c>
      <c r="K45" s="74" t="s">
        <v>1219</v>
      </c>
      <c r="AW45" s="10"/>
      <c r="AX45" s="10"/>
      <c r="AY45" s="10"/>
      <c r="AZ45" s="10"/>
      <c r="BA45" s="10"/>
      <c r="BB45" s="67"/>
      <c r="BC45" s="10"/>
      <c r="BD45" s="10"/>
      <c r="BE45" s="10"/>
      <c r="BF45" s="10"/>
      <c r="BG45" s="10"/>
      <c r="BH45" s="10"/>
      <c r="BI45" s="51"/>
    </row>
    <row r="46" spans="1:62" ht="15.75" customHeight="1">
      <c r="A46" s="64"/>
      <c r="B46" s="67"/>
      <c r="C46" s="10"/>
      <c r="D46" s="10"/>
      <c r="E46" s="10"/>
      <c r="F46" s="10"/>
      <c r="G46" s="10"/>
      <c r="H46" s="10"/>
      <c r="I46" s="73"/>
      <c r="J46" s="71"/>
      <c r="K46" s="2" t="s">
        <v>1264</v>
      </c>
      <c r="AW46" s="10"/>
      <c r="AX46" s="10"/>
      <c r="AY46" s="10"/>
      <c r="AZ46" s="10"/>
      <c r="BA46" s="10"/>
      <c r="BB46" s="67"/>
      <c r="BC46" s="10"/>
      <c r="BD46" s="10"/>
      <c r="BE46" s="10"/>
      <c r="BF46" s="10"/>
      <c r="BG46" s="10"/>
      <c r="BH46" s="10"/>
      <c r="BI46" s="51"/>
    </row>
    <row r="47" spans="1:62" ht="15.75" customHeight="1">
      <c r="A47" s="64"/>
      <c r="B47" s="67"/>
      <c r="C47" s="10"/>
      <c r="D47" s="10"/>
      <c r="E47" s="10"/>
      <c r="F47" s="10"/>
      <c r="G47" s="10"/>
      <c r="H47" s="10"/>
      <c r="I47" s="73"/>
      <c r="J47" s="74"/>
      <c r="K47" s="74" t="s">
        <v>1214</v>
      </c>
      <c r="L47" s="10"/>
      <c r="M47" s="74"/>
      <c r="N47" s="74"/>
      <c r="O47" s="74"/>
      <c r="P47" s="74"/>
      <c r="Q47" s="74"/>
      <c r="R47" s="74"/>
      <c r="S47" s="74"/>
      <c r="T47" s="74"/>
      <c r="U47" s="74"/>
      <c r="V47" s="74"/>
      <c r="W47" s="74"/>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67"/>
      <c r="BC47" s="10"/>
      <c r="BD47" s="10"/>
      <c r="BE47" s="10"/>
      <c r="BF47" s="10"/>
      <c r="BG47" s="10"/>
      <c r="BH47" s="10"/>
      <c r="BI47" s="51"/>
      <c r="BJ47" s="9"/>
    </row>
    <row r="48" spans="1:62" ht="15.75" customHeight="1">
      <c r="A48" s="64"/>
      <c r="B48" s="67"/>
      <c r="C48" s="10"/>
      <c r="D48" s="10"/>
      <c r="E48" s="10"/>
      <c r="F48" s="10"/>
      <c r="G48" s="10"/>
      <c r="H48" s="10"/>
      <c r="I48" s="73"/>
      <c r="J48" s="71"/>
      <c r="K48" s="2" t="s">
        <v>1215</v>
      </c>
      <c r="AW48" s="10"/>
      <c r="AX48" s="10"/>
      <c r="AY48" s="10"/>
      <c r="AZ48" s="10"/>
      <c r="BA48" s="10"/>
      <c r="BB48" s="67"/>
      <c r="BC48" s="10"/>
      <c r="BD48" s="10"/>
      <c r="BE48" s="10"/>
      <c r="BF48" s="10"/>
      <c r="BG48" s="10"/>
      <c r="BH48" s="10"/>
      <c r="BI48" s="51"/>
    </row>
    <row r="49" spans="1:61" ht="15.75" customHeight="1">
      <c r="A49" s="64"/>
      <c r="B49" s="67"/>
      <c r="C49" s="10"/>
      <c r="D49" s="10"/>
      <c r="E49" s="10"/>
      <c r="F49" s="10"/>
      <c r="G49" s="10"/>
      <c r="H49" s="10"/>
      <c r="I49" s="73"/>
      <c r="J49" s="71"/>
      <c r="K49" s="74"/>
      <c r="L49" s="74" t="s">
        <v>1221</v>
      </c>
      <c r="M49" s="74"/>
      <c r="N49" s="74"/>
      <c r="O49" s="74"/>
      <c r="P49" s="74"/>
      <c r="Q49" s="74"/>
      <c r="R49" s="74"/>
      <c r="S49" s="74"/>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67"/>
      <c r="BC49" s="10"/>
      <c r="BD49" s="10"/>
      <c r="BE49" s="10"/>
      <c r="BF49" s="10"/>
      <c r="BG49" s="10"/>
      <c r="BH49" s="10"/>
      <c r="BI49" s="51"/>
    </row>
    <row r="50" spans="1:61" ht="15.75" customHeight="1">
      <c r="A50" s="64"/>
      <c r="B50" s="67"/>
      <c r="C50" s="10"/>
      <c r="D50" s="10"/>
      <c r="E50" s="10"/>
      <c r="F50" s="10"/>
      <c r="G50" s="10"/>
      <c r="H50" s="10"/>
      <c r="I50" s="73"/>
      <c r="J50" s="71"/>
      <c r="K50" s="74"/>
      <c r="L50" s="74" t="s">
        <v>1222</v>
      </c>
      <c r="M50" s="74"/>
      <c r="N50" s="74"/>
      <c r="O50" s="74"/>
      <c r="P50" s="74"/>
      <c r="Q50" s="74"/>
      <c r="R50" s="74" t="s">
        <v>1223</v>
      </c>
      <c r="S50" s="74"/>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67"/>
      <c r="BC50" s="10"/>
      <c r="BD50" s="10"/>
      <c r="BE50" s="10"/>
      <c r="BF50" s="10"/>
      <c r="BG50" s="10"/>
      <c r="BH50" s="10"/>
      <c r="BI50" s="51"/>
    </row>
    <row r="51" spans="1:61" ht="15.75" customHeight="1">
      <c r="A51" s="64"/>
      <c r="B51" s="67"/>
      <c r="C51" s="10"/>
      <c r="D51" s="10"/>
      <c r="E51" s="10"/>
      <c r="F51" s="10"/>
      <c r="G51" s="10"/>
      <c r="H51" s="10"/>
      <c r="I51" s="73"/>
      <c r="J51" s="71"/>
      <c r="K51" s="74"/>
      <c r="L51" s="74" t="s">
        <v>1224</v>
      </c>
      <c r="M51" s="74"/>
      <c r="N51" s="74"/>
      <c r="O51" s="74"/>
      <c r="P51" s="74"/>
      <c r="Q51" s="74"/>
      <c r="R51" s="74" t="s">
        <v>1225</v>
      </c>
      <c r="S51" s="74"/>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67"/>
      <c r="BC51" s="10"/>
      <c r="BD51" s="10"/>
      <c r="BE51" s="10"/>
      <c r="BF51" s="10"/>
      <c r="BG51" s="10"/>
      <c r="BH51" s="10"/>
      <c r="BI51" s="51"/>
    </row>
    <row r="52" spans="1:61" ht="15.75" customHeight="1">
      <c r="A52" s="64"/>
      <c r="B52" s="67"/>
      <c r="C52" s="10"/>
      <c r="D52" s="10"/>
      <c r="E52" s="10"/>
      <c r="F52" s="10"/>
      <c r="G52" s="10"/>
      <c r="H52" s="10"/>
      <c r="I52" s="73"/>
      <c r="J52" s="71"/>
      <c r="K52" s="74"/>
      <c r="L52" s="74"/>
      <c r="M52" s="74"/>
      <c r="N52" s="74"/>
      <c r="O52" s="74"/>
      <c r="P52" s="74"/>
      <c r="Q52" s="74"/>
      <c r="R52" s="74" t="s">
        <v>1226</v>
      </c>
      <c r="S52" s="74"/>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67"/>
      <c r="BC52" s="10"/>
      <c r="BD52" s="10"/>
      <c r="BE52" s="10"/>
      <c r="BF52" s="10"/>
      <c r="BG52" s="10"/>
      <c r="BH52" s="10"/>
      <c r="BI52" s="51"/>
    </row>
    <row r="53" spans="1:61" ht="15.75" customHeight="1">
      <c r="A53" s="64"/>
      <c r="B53" s="67"/>
      <c r="C53" s="10"/>
      <c r="D53" s="10"/>
      <c r="E53" s="10"/>
      <c r="F53" s="10"/>
      <c r="G53" s="10"/>
      <c r="H53" s="10"/>
      <c r="I53" s="73"/>
      <c r="J53" s="71"/>
      <c r="K53" s="74"/>
      <c r="L53" s="74"/>
      <c r="M53" s="74"/>
      <c r="N53" s="74"/>
      <c r="O53" s="74"/>
      <c r="P53" s="74"/>
      <c r="Q53" s="74"/>
      <c r="R53" s="74" t="s">
        <v>1227</v>
      </c>
      <c r="S53" s="74"/>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67"/>
      <c r="BC53" s="10"/>
      <c r="BD53" s="10"/>
      <c r="BE53" s="10"/>
      <c r="BF53" s="10"/>
      <c r="BG53" s="10"/>
      <c r="BH53" s="10"/>
      <c r="BI53" s="51"/>
    </row>
    <row r="54" spans="1:61" ht="15.75" customHeight="1">
      <c r="A54" s="64"/>
      <c r="B54" s="67"/>
      <c r="C54" s="10"/>
      <c r="D54" s="10"/>
      <c r="E54" s="10"/>
      <c r="F54" s="10"/>
      <c r="G54" s="10"/>
      <c r="H54" s="10"/>
      <c r="I54" s="73"/>
      <c r="J54" s="71"/>
      <c r="K54" s="74"/>
      <c r="L54" s="74"/>
      <c r="M54" s="74"/>
      <c r="N54" s="74"/>
      <c r="O54" s="74"/>
      <c r="P54" s="74"/>
      <c r="Q54" s="74"/>
      <c r="R54" s="74" t="s">
        <v>1228</v>
      </c>
      <c r="S54" s="74"/>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67"/>
      <c r="BC54" s="10"/>
      <c r="BD54" s="10"/>
      <c r="BE54" s="10"/>
      <c r="BF54" s="10"/>
      <c r="BG54" s="10"/>
      <c r="BH54" s="10"/>
      <c r="BI54" s="51"/>
    </row>
    <row r="55" spans="1:61" ht="15.75" customHeight="1">
      <c r="A55" s="64"/>
      <c r="B55" s="67"/>
      <c r="C55" s="10"/>
      <c r="D55" s="10"/>
      <c r="E55" s="10"/>
      <c r="F55" s="10"/>
      <c r="G55" s="10"/>
      <c r="H55" s="10"/>
      <c r="I55" s="73"/>
      <c r="J55" s="71"/>
      <c r="K55" s="74"/>
      <c r="L55" s="74"/>
      <c r="M55" s="74"/>
      <c r="N55" s="74"/>
      <c r="O55" s="74"/>
      <c r="P55" s="74"/>
      <c r="Q55" s="74"/>
      <c r="R55" s="74"/>
      <c r="S55" s="74"/>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67"/>
      <c r="BC55" s="10"/>
      <c r="BD55" s="10"/>
      <c r="BE55" s="10"/>
      <c r="BF55" s="10"/>
      <c r="BG55" s="10"/>
      <c r="BH55" s="10"/>
      <c r="BI55" s="51"/>
    </row>
    <row r="56" spans="1:61" ht="15.75" customHeight="1">
      <c r="A56" s="64"/>
      <c r="B56" s="67"/>
      <c r="C56" s="10"/>
      <c r="D56" s="10"/>
      <c r="E56" s="10"/>
      <c r="F56" s="10"/>
      <c r="G56" s="10"/>
      <c r="H56" s="10"/>
      <c r="I56" s="73"/>
      <c r="J56" s="71" t="s">
        <v>1229</v>
      </c>
      <c r="K56" s="74" t="s">
        <v>1230</v>
      </c>
      <c r="L56" s="74"/>
      <c r="M56" s="74"/>
      <c r="N56" s="74"/>
      <c r="O56" s="74"/>
      <c r="P56" s="74"/>
      <c r="Q56" s="74"/>
      <c r="R56" s="74"/>
      <c r="S56" s="74"/>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67"/>
      <c r="BC56" s="10"/>
      <c r="BD56" s="10"/>
      <c r="BE56" s="10"/>
      <c r="BF56" s="10"/>
      <c r="BG56" s="10"/>
      <c r="BH56" s="10"/>
      <c r="BI56" s="51"/>
    </row>
    <row r="57" spans="1:61" ht="15.75" customHeight="1">
      <c r="A57" s="64"/>
      <c r="B57" s="67"/>
      <c r="C57" s="10"/>
      <c r="D57" s="10"/>
      <c r="E57" s="10"/>
      <c r="F57" s="10"/>
      <c r="G57" s="10"/>
      <c r="H57" s="10"/>
      <c r="I57" s="73"/>
      <c r="J57" s="71"/>
      <c r="K57" s="74" t="s">
        <v>1231</v>
      </c>
      <c r="L57" s="74"/>
      <c r="M57" s="74"/>
      <c r="N57" s="74"/>
      <c r="O57" s="74"/>
      <c r="P57" s="74"/>
      <c r="Q57" s="74"/>
      <c r="R57" s="74"/>
      <c r="S57" s="74"/>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67" t="s">
        <v>1185</v>
      </c>
      <c r="BC57" s="10"/>
      <c r="BD57" s="10"/>
      <c r="BE57" s="10"/>
      <c r="BF57" s="10"/>
      <c r="BG57" s="10"/>
      <c r="BH57" s="10"/>
      <c r="BI57" s="51"/>
    </row>
    <row r="58" spans="1:61" ht="15.75" customHeight="1">
      <c r="A58" s="64"/>
      <c r="B58" s="67"/>
      <c r="C58" s="10"/>
      <c r="D58" s="10"/>
      <c r="E58" s="10"/>
      <c r="F58" s="10"/>
      <c r="G58" s="10"/>
      <c r="H58" s="10"/>
      <c r="I58" s="73"/>
      <c r="J58" s="71"/>
      <c r="K58" s="74" t="s">
        <v>1214</v>
      </c>
      <c r="L58" s="74"/>
      <c r="M58" s="74"/>
      <c r="N58" s="74"/>
      <c r="O58" s="74"/>
      <c r="P58" s="74"/>
      <c r="Q58" s="74"/>
      <c r="R58" s="74"/>
      <c r="S58" s="74"/>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67"/>
      <c r="BC58" s="10"/>
      <c r="BD58" s="10" t="s">
        <v>1273</v>
      </c>
      <c r="BF58" s="10"/>
      <c r="BG58" s="10"/>
      <c r="BH58" s="10"/>
      <c r="BI58" s="51"/>
    </row>
    <row r="59" spans="1:61" ht="15.75" customHeight="1">
      <c r="A59" s="64"/>
      <c r="B59" s="67"/>
      <c r="C59" s="10"/>
      <c r="D59" s="10"/>
      <c r="E59" s="10"/>
      <c r="F59" s="10"/>
      <c r="G59" s="10"/>
      <c r="H59" s="10"/>
      <c r="I59" s="73"/>
      <c r="J59" s="71"/>
      <c r="K59" s="74"/>
      <c r="L59" s="74"/>
      <c r="M59" s="74"/>
      <c r="N59" s="74"/>
      <c r="O59" s="74"/>
      <c r="P59" s="74"/>
      <c r="Q59" s="74"/>
      <c r="R59" s="74"/>
      <c r="S59" s="74"/>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67"/>
      <c r="BC59" s="10"/>
      <c r="BD59" s="10"/>
      <c r="BE59" s="10"/>
      <c r="BF59" s="10"/>
      <c r="BG59" s="10"/>
      <c r="BH59" s="10"/>
      <c r="BI59" s="51"/>
    </row>
    <row r="60" spans="1:61" ht="15.75" customHeight="1">
      <c r="A60" s="64"/>
      <c r="B60" s="67"/>
      <c r="C60" s="10"/>
      <c r="D60" s="10"/>
      <c r="E60" s="10"/>
      <c r="F60" s="10"/>
      <c r="G60" s="10"/>
      <c r="H60" s="10"/>
      <c r="I60" s="73"/>
      <c r="J60" s="71" t="s">
        <v>1234</v>
      </c>
      <c r="K60" s="74" t="s">
        <v>1235</v>
      </c>
      <c r="L60" s="74"/>
      <c r="M60" s="74"/>
      <c r="N60" s="74"/>
      <c r="O60" s="74"/>
      <c r="P60" s="74"/>
      <c r="Q60" s="74"/>
      <c r="R60" s="74"/>
      <c r="S60" s="74"/>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67"/>
      <c r="BC60" s="10"/>
      <c r="BD60" s="10"/>
      <c r="BE60" s="10"/>
      <c r="BF60" s="10"/>
      <c r="BG60" s="10"/>
      <c r="BH60" s="10"/>
      <c r="BI60" s="51"/>
    </row>
    <row r="61" spans="1:61" ht="15.75" customHeight="1">
      <c r="A61" s="64"/>
      <c r="B61" s="67"/>
      <c r="C61" s="10"/>
      <c r="D61" s="10"/>
      <c r="E61" s="10"/>
      <c r="F61" s="10"/>
      <c r="G61" s="10"/>
      <c r="H61" s="10"/>
      <c r="I61" s="73"/>
      <c r="J61" s="71"/>
      <c r="K61" s="74" t="s">
        <v>1236</v>
      </c>
      <c r="L61" s="74"/>
      <c r="M61" s="74" t="s">
        <v>1320</v>
      </c>
      <c r="N61" s="74"/>
      <c r="O61" s="74"/>
      <c r="P61" s="74"/>
      <c r="Q61" s="74"/>
      <c r="R61" s="74"/>
      <c r="S61" s="74"/>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67"/>
      <c r="BC61" s="10"/>
      <c r="BD61" s="10"/>
      <c r="BE61" s="10"/>
      <c r="BF61" s="10"/>
      <c r="BG61" s="10"/>
      <c r="BH61" s="10"/>
      <c r="BI61" s="51"/>
    </row>
    <row r="62" spans="1:61" ht="15.75" customHeight="1">
      <c r="A62" s="64"/>
      <c r="B62" s="67"/>
      <c r="C62" s="10"/>
      <c r="D62" s="10"/>
      <c r="E62" s="10"/>
      <c r="F62" s="10"/>
      <c r="G62" s="10"/>
      <c r="H62" s="10"/>
      <c r="I62" s="73"/>
      <c r="J62" s="71"/>
      <c r="K62" s="74"/>
      <c r="L62" s="74" t="s">
        <v>1238</v>
      </c>
      <c r="M62" s="74"/>
      <c r="N62" s="74" t="s">
        <v>1239</v>
      </c>
      <c r="O62" s="74"/>
      <c r="P62" s="74"/>
      <c r="Q62" s="74"/>
      <c r="R62" s="74"/>
      <c r="S62" s="74"/>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67"/>
      <c r="BC62" s="10"/>
      <c r="BD62" s="10"/>
      <c r="BE62" s="10"/>
      <c r="BF62" s="10"/>
      <c r="BG62" s="10"/>
      <c r="BH62" s="10"/>
      <c r="BI62" s="51"/>
    </row>
    <row r="63" spans="1:61" ht="15.75" customHeight="1">
      <c r="A63" s="64"/>
      <c r="B63" s="67"/>
      <c r="C63" s="10"/>
      <c r="D63" s="10"/>
      <c r="E63" s="10"/>
      <c r="F63" s="10"/>
      <c r="G63" s="10"/>
      <c r="H63" s="10"/>
      <c r="I63" s="73"/>
      <c r="J63" s="71"/>
      <c r="K63" s="74"/>
      <c r="L63" s="74"/>
      <c r="M63" s="74"/>
      <c r="N63" s="74" t="s">
        <v>1265</v>
      </c>
      <c r="O63" s="74"/>
      <c r="P63" s="74"/>
      <c r="Q63" s="74"/>
      <c r="R63" s="74"/>
      <c r="S63" s="74"/>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67"/>
      <c r="BC63" s="10"/>
      <c r="BD63" s="10"/>
      <c r="BE63" s="10"/>
      <c r="BF63" s="10"/>
      <c r="BG63" s="10"/>
      <c r="BH63" s="10"/>
      <c r="BI63" s="51"/>
    </row>
    <row r="64" spans="1:61" ht="15.75" customHeight="1">
      <c r="A64" s="64"/>
      <c r="B64" s="67"/>
      <c r="C64" s="10"/>
      <c r="D64" s="10"/>
      <c r="E64" s="10"/>
      <c r="F64" s="10"/>
      <c r="G64" s="10"/>
      <c r="H64" s="10"/>
      <c r="I64" s="73"/>
      <c r="J64" s="71"/>
      <c r="K64" s="74"/>
      <c r="L64" s="74"/>
      <c r="M64" s="74"/>
      <c r="N64" s="74" t="s">
        <v>1269</v>
      </c>
      <c r="O64" s="74"/>
      <c r="P64" s="74"/>
      <c r="Q64" s="74"/>
      <c r="R64" s="74"/>
      <c r="S64" s="74"/>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67"/>
      <c r="BC64" s="10"/>
      <c r="BD64" s="10"/>
      <c r="BE64" s="10"/>
      <c r="BF64" s="10"/>
      <c r="BG64" s="10"/>
      <c r="BH64" s="10"/>
      <c r="BI64" s="51"/>
    </row>
    <row r="65" spans="1:61" ht="15.75" customHeight="1">
      <c r="A65" s="64"/>
      <c r="B65" s="67"/>
      <c r="C65" s="10"/>
      <c r="D65" s="10"/>
      <c r="E65" s="10"/>
      <c r="F65" s="10"/>
      <c r="G65" s="10"/>
      <c r="H65" s="10"/>
      <c r="I65" s="73"/>
      <c r="J65" s="71"/>
      <c r="K65" s="74"/>
      <c r="N65" s="74"/>
      <c r="O65" s="74"/>
      <c r="P65" s="74"/>
      <c r="Q65" s="74"/>
      <c r="R65" s="74"/>
      <c r="S65" s="74"/>
      <c r="T65" s="74"/>
      <c r="U65" s="74"/>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67"/>
      <c r="BC65" s="10"/>
      <c r="BD65" s="10"/>
      <c r="BE65" s="10"/>
      <c r="BF65" s="10"/>
      <c r="BG65" s="10"/>
      <c r="BH65" s="10"/>
      <c r="BI65" s="51"/>
    </row>
    <row r="66" spans="1:61" ht="15.75" customHeight="1">
      <c r="A66" s="64"/>
      <c r="B66" s="67"/>
      <c r="C66" s="10"/>
      <c r="D66" s="10"/>
      <c r="E66" s="10"/>
      <c r="F66" s="10"/>
      <c r="G66" s="10"/>
      <c r="H66" s="10"/>
      <c r="I66" s="73"/>
      <c r="J66" s="71"/>
      <c r="K66" s="74"/>
      <c r="N66" s="74" t="s">
        <v>1270</v>
      </c>
      <c r="O66" s="74"/>
      <c r="P66" s="74"/>
      <c r="Q66" s="74" t="s">
        <v>1271</v>
      </c>
      <c r="R66" s="74"/>
      <c r="S66" s="74"/>
      <c r="T66" s="74"/>
      <c r="U66" s="74"/>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67"/>
      <c r="BC66" s="10"/>
      <c r="BD66" s="10"/>
      <c r="BE66" s="10"/>
      <c r="BF66" s="10"/>
      <c r="BG66" s="10"/>
      <c r="BH66" s="10"/>
      <c r="BI66" s="51"/>
    </row>
    <row r="67" spans="1:61" ht="15.75" customHeight="1">
      <c r="A67" s="64"/>
      <c r="B67" s="67"/>
      <c r="C67" s="10"/>
      <c r="D67" s="10"/>
      <c r="E67" s="10"/>
      <c r="F67" s="10"/>
      <c r="G67" s="10"/>
      <c r="H67" s="10"/>
      <c r="I67" s="73"/>
      <c r="J67" s="71"/>
      <c r="K67" s="74"/>
      <c r="Q67" s="74" t="s">
        <v>1222</v>
      </c>
      <c r="R67" s="74"/>
      <c r="S67" s="74"/>
      <c r="T67" s="74"/>
      <c r="U67" s="74"/>
      <c r="V67" s="74"/>
      <c r="W67" s="74" t="s">
        <v>1241</v>
      </c>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67"/>
      <c r="BC67" s="10"/>
      <c r="BD67" s="10"/>
      <c r="BE67" s="10"/>
      <c r="BF67" s="10"/>
      <c r="BG67" s="10"/>
      <c r="BH67" s="10"/>
      <c r="BI67" s="51"/>
    </row>
    <row r="68" spans="1:61" ht="15.75" customHeight="1">
      <c r="A68" s="64"/>
      <c r="B68" s="67"/>
      <c r="C68" s="10"/>
      <c r="D68" s="10"/>
      <c r="E68" s="10"/>
      <c r="F68" s="10"/>
      <c r="G68" s="10"/>
      <c r="H68" s="10"/>
      <c r="I68" s="73"/>
      <c r="J68" s="71"/>
      <c r="K68" s="74"/>
      <c r="Q68" s="74" t="s">
        <v>1224</v>
      </c>
      <c r="R68" s="74"/>
      <c r="S68" s="74"/>
      <c r="T68" s="74"/>
      <c r="U68" s="74"/>
      <c r="V68" s="74"/>
      <c r="W68" s="74" t="s">
        <v>1240</v>
      </c>
      <c r="X68" s="74"/>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67"/>
      <c r="BC68" s="10"/>
      <c r="BD68" s="10"/>
      <c r="BE68" s="10"/>
      <c r="BF68" s="10"/>
      <c r="BG68" s="10"/>
      <c r="BH68" s="10"/>
      <c r="BI68" s="51"/>
    </row>
    <row r="69" spans="1:61" ht="15.75" customHeight="1">
      <c r="A69" s="64"/>
      <c r="B69" s="67"/>
      <c r="C69" s="10"/>
      <c r="D69" s="10"/>
      <c r="E69" s="10"/>
      <c r="F69" s="10"/>
      <c r="G69" s="10"/>
      <c r="H69" s="10"/>
      <c r="I69" s="73"/>
      <c r="J69" s="71"/>
      <c r="K69" s="74"/>
      <c r="Q69" s="74"/>
      <c r="R69" s="74"/>
      <c r="S69" s="74"/>
      <c r="T69" s="74"/>
      <c r="U69" s="74"/>
      <c r="V69" s="74"/>
      <c r="W69" s="74" t="s">
        <v>1259</v>
      </c>
      <c r="X69" s="74"/>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67"/>
      <c r="BC69" s="10"/>
      <c r="BD69" s="10"/>
      <c r="BE69" s="10"/>
      <c r="BF69" s="10"/>
      <c r="BG69" s="10"/>
      <c r="BH69" s="10"/>
      <c r="BI69" s="51"/>
    </row>
    <row r="70" spans="1:61" ht="15.75" customHeight="1">
      <c r="A70" s="64"/>
      <c r="B70" s="67"/>
      <c r="C70" s="10"/>
      <c r="D70" s="10"/>
      <c r="E70" s="10"/>
      <c r="F70" s="10"/>
      <c r="G70" s="10"/>
      <c r="H70" s="10"/>
      <c r="I70" s="73"/>
      <c r="J70" s="71"/>
      <c r="K70" s="74"/>
      <c r="Q70" s="74"/>
      <c r="R70" s="74"/>
      <c r="S70" s="74"/>
      <c r="T70" s="74"/>
      <c r="U70" s="74"/>
      <c r="V70" s="74"/>
      <c r="W70" s="74" t="s">
        <v>1260</v>
      </c>
      <c r="X70" s="74"/>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67"/>
      <c r="BC70" s="10"/>
      <c r="BD70" s="10"/>
      <c r="BE70" s="10"/>
      <c r="BF70" s="10"/>
      <c r="BG70" s="10"/>
      <c r="BH70" s="10"/>
      <c r="BI70" s="51"/>
    </row>
    <row r="71" spans="1:61" ht="15.75" customHeight="1">
      <c r="A71" s="64"/>
      <c r="B71" s="67"/>
      <c r="C71" s="10"/>
      <c r="D71" s="10"/>
      <c r="E71" s="10"/>
      <c r="F71" s="10"/>
      <c r="G71" s="10"/>
      <c r="H71" s="10"/>
      <c r="I71" s="73"/>
      <c r="J71" s="71"/>
      <c r="K71" s="74"/>
      <c r="Q71" s="74"/>
      <c r="R71" s="74"/>
      <c r="S71" s="74"/>
      <c r="T71" s="74"/>
      <c r="U71" s="74"/>
      <c r="V71" s="74"/>
      <c r="W71" s="74" t="s">
        <v>1258</v>
      </c>
      <c r="X71" s="74"/>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67"/>
      <c r="BC71" s="10"/>
      <c r="BD71" s="10"/>
      <c r="BE71" s="10"/>
      <c r="BF71" s="10"/>
      <c r="BG71" s="10"/>
      <c r="BH71" s="10"/>
      <c r="BI71" s="51"/>
    </row>
    <row r="72" spans="1:61" ht="15.75" customHeight="1">
      <c r="A72" s="64"/>
      <c r="B72" s="67"/>
      <c r="C72" s="10"/>
      <c r="D72" s="10"/>
      <c r="E72" s="10"/>
      <c r="F72" s="10"/>
      <c r="G72" s="10"/>
      <c r="H72" s="10"/>
      <c r="I72" s="73"/>
      <c r="J72" s="71"/>
      <c r="K72" s="74"/>
      <c r="L72" s="74"/>
      <c r="M72" s="74"/>
      <c r="Q72" s="74"/>
      <c r="R72" s="74"/>
      <c r="S72" s="74"/>
      <c r="T72" s="74"/>
      <c r="U72" s="74"/>
      <c r="V72" s="74"/>
      <c r="W72" s="74" t="s">
        <v>1262</v>
      </c>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67"/>
      <c r="BC72" s="10"/>
      <c r="BD72" s="10"/>
      <c r="BE72" s="10"/>
      <c r="BF72" s="10"/>
      <c r="BG72" s="10"/>
      <c r="BH72" s="10"/>
      <c r="BI72" s="51"/>
    </row>
    <row r="73" spans="1:61" ht="15.75" customHeight="1">
      <c r="A73" s="64"/>
      <c r="B73" s="67"/>
      <c r="C73" s="10"/>
      <c r="D73" s="10"/>
      <c r="E73" s="10"/>
      <c r="F73" s="10"/>
      <c r="G73" s="10"/>
      <c r="H73" s="10"/>
      <c r="I73" s="73"/>
      <c r="J73" s="71"/>
      <c r="K73" s="74"/>
      <c r="L73" s="74"/>
      <c r="M73" s="74"/>
      <c r="Q73" s="74"/>
      <c r="R73" s="74"/>
      <c r="S73" s="74"/>
      <c r="T73" s="74"/>
      <c r="U73" s="74"/>
      <c r="V73" s="74"/>
      <c r="W73" s="74" t="s">
        <v>132</v>
      </c>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67"/>
      <c r="BC73" s="10"/>
      <c r="BD73" s="10"/>
      <c r="BE73" s="10"/>
      <c r="BF73" s="10"/>
      <c r="BG73" s="10"/>
      <c r="BH73" s="10"/>
      <c r="BI73" s="51"/>
    </row>
    <row r="74" spans="1:61" ht="15.75" customHeight="1">
      <c r="A74" s="64"/>
      <c r="B74" s="67"/>
      <c r="C74" s="10"/>
      <c r="D74" s="10"/>
      <c r="E74" s="10"/>
      <c r="F74" s="10"/>
      <c r="G74" s="10"/>
      <c r="H74" s="10"/>
      <c r="I74" s="73"/>
      <c r="J74" s="71"/>
      <c r="K74" s="74"/>
      <c r="L74" s="74"/>
      <c r="M74" s="74"/>
      <c r="Q74" s="74"/>
      <c r="R74" s="74"/>
      <c r="S74" s="74"/>
      <c r="T74" s="74"/>
      <c r="U74" s="74"/>
      <c r="V74" s="74"/>
      <c r="W74" s="74" t="s">
        <v>1261</v>
      </c>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67"/>
      <c r="BC74" s="10"/>
      <c r="BD74" s="10"/>
      <c r="BE74" s="10"/>
      <c r="BF74" s="10"/>
      <c r="BG74" s="10"/>
      <c r="BH74" s="10"/>
      <c r="BI74" s="51"/>
    </row>
    <row r="75" spans="1:61" ht="15.75" customHeight="1">
      <c r="A75" s="64"/>
      <c r="B75" s="67"/>
      <c r="C75" s="10"/>
      <c r="D75" s="10"/>
      <c r="E75" s="10"/>
      <c r="F75" s="10"/>
      <c r="G75" s="10"/>
      <c r="H75" s="10"/>
      <c r="I75" s="73"/>
      <c r="J75" s="71"/>
      <c r="K75" s="74"/>
      <c r="L75" s="74"/>
      <c r="M75" s="74"/>
      <c r="N75" s="74" t="s">
        <v>1272</v>
      </c>
      <c r="O75" s="74"/>
      <c r="P75" s="74"/>
      <c r="R75" s="74"/>
      <c r="S75" s="74"/>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67"/>
      <c r="BC75" s="10"/>
      <c r="BD75" s="10"/>
      <c r="BE75" s="10"/>
      <c r="BF75" s="10"/>
      <c r="BG75" s="10"/>
      <c r="BH75" s="10"/>
      <c r="BI75" s="51"/>
    </row>
    <row r="76" spans="1:61" ht="15.75" customHeight="1">
      <c r="A76" s="64"/>
      <c r="B76" s="67"/>
      <c r="C76" s="10"/>
      <c r="D76" s="10"/>
      <c r="E76" s="10"/>
      <c r="F76" s="10"/>
      <c r="G76" s="10"/>
      <c r="H76" s="10"/>
      <c r="I76" s="73"/>
      <c r="J76" s="71"/>
      <c r="K76" s="74"/>
      <c r="L76" s="74"/>
      <c r="M76" s="74"/>
      <c r="N76" s="74" t="s">
        <v>1263</v>
      </c>
      <c r="O76" s="74"/>
      <c r="P76" s="74"/>
      <c r="R76" s="74"/>
      <c r="S76" s="74"/>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67"/>
      <c r="BC76" s="10"/>
      <c r="BD76" s="10"/>
      <c r="BE76" s="10"/>
      <c r="BF76" s="10"/>
      <c r="BG76" s="10"/>
      <c r="BH76" s="10"/>
      <c r="BI76" s="51"/>
    </row>
    <row r="77" spans="1:61" ht="15.75" customHeight="1">
      <c r="A77" s="64"/>
      <c r="B77" s="67"/>
      <c r="C77" s="10"/>
      <c r="D77" s="10"/>
      <c r="E77" s="10"/>
      <c r="F77" s="10"/>
      <c r="G77" s="10"/>
      <c r="H77" s="10"/>
      <c r="I77" s="73"/>
      <c r="J77" s="71"/>
      <c r="K77" s="74"/>
      <c r="L77" s="74"/>
      <c r="M77" s="74"/>
      <c r="N77" s="74"/>
      <c r="O77" s="74"/>
      <c r="P77" s="74"/>
      <c r="Q77" s="74"/>
      <c r="R77" s="74"/>
      <c r="S77" s="74"/>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67"/>
      <c r="BC77" s="10"/>
      <c r="BD77" s="10"/>
      <c r="BE77" s="10"/>
      <c r="BF77" s="10"/>
      <c r="BG77" s="10"/>
      <c r="BH77" s="10"/>
      <c r="BI77" s="51"/>
    </row>
    <row r="78" spans="1:61" ht="15.75" customHeight="1">
      <c r="A78" s="64"/>
      <c r="B78" s="67"/>
      <c r="C78" s="10"/>
      <c r="D78" s="10"/>
      <c r="E78" s="10"/>
      <c r="F78" s="10"/>
      <c r="G78" s="10"/>
      <c r="H78" s="10"/>
      <c r="I78" s="73"/>
      <c r="J78" s="71"/>
      <c r="K78" s="74"/>
      <c r="L78" s="74" t="s">
        <v>1242</v>
      </c>
      <c r="M78" s="74"/>
      <c r="N78" s="74" t="s">
        <v>1243</v>
      </c>
      <c r="O78" s="74"/>
      <c r="P78" s="74"/>
      <c r="Q78" s="74"/>
      <c r="R78" s="74"/>
      <c r="S78" s="74"/>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67"/>
      <c r="BC78" s="10"/>
      <c r="BD78" s="10"/>
      <c r="BE78" s="10"/>
      <c r="BF78" s="10"/>
      <c r="BG78" s="10"/>
      <c r="BH78" s="10"/>
      <c r="BI78" s="51"/>
    </row>
    <row r="79" spans="1:61" ht="15.75" customHeight="1">
      <c r="A79" s="64"/>
      <c r="B79" s="67"/>
      <c r="C79" s="10"/>
      <c r="D79" s="10"/>
      <c r="E79" s="10"/>
      <c r="F79" s="10"/>
      <c r="G79" s="10"/>
      <c r="H79" s="10"/>
      <c r="I79" s="73"/>
      <c r="J79" s="71"/>
      <c r="K79" s="74"/>
      <c r="L79" s="74"/>
      <c r="M79" s="74"/>
      <c r="N79" s="74" t="s">
        <v>1266</v>
      </c>
      <c r="O79" s="74"/>
      <c r="P79" s="74"/>
      <c r="Q79" s="74"/>
      <c r="R79" s="74"/>
      <c r="S79" s="74"/>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67" t="s">
        <v>1185</v>
      </c>
      <c r="BC79" s="10"/>
      <c r="BD79" s="10"/>
      <c r="BE79" s="10"/>
      <c r="BF79" s="10"/>
      <c r="BG79" s="10"/>
      <c r="BH79" s="10"/>
      <c r="BI79" s="51"/>
    </row>
    <row r="80" spans="1:61" ht="15.75" customHeight="1">
      <c r="A80" s="64"/>
      <c r="B80" s="67"/>
      <c r="C80" s="10"/>
      <c r="D80" s="10"/>
      <c r="E80" s="10"/>
      <c r="F80" s="10"/>
      <c r="G80" s="10"/>
      <c r="H80" s="10"/>
      <c r="I80" s="73"/>
      <c r="J80" s="71"/>
      <c r="K80" s="74"/>
      <c r="L80" s="74"/>
      <c r="M80" s="74"/>
      <c r="N80" s="74" t="s">
        <v>1245</v>
      </c>
      <c r="O80" s="74"/>
      <c r="P80" s="74"/>
      <c r="Q80" s="74"/>
      <c r="R80" s="74"/>
      <c r="S80" s="74"/>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67"/>
      <c r="BC80" s="10"/>
      <c r="BD80" s="10" t="s">
        <v>1276</v>
      </c>
      <c r="BF80" s="10"/>
      <c r="BG80" s="10"/>
      <c r="BH80" s="10"/>
      <c r="BI80" s="51"/>
    </row>
    <row r="81" spans="1:61" ht="15.75" customHeight="1">
      <c r="A81" s="64"/>
      <c r="B81" s="67"/>
      <c r="C81" s="10"/>
      <c r="D81" s="10"/>
      <c r="E81" s="10"/>
      <c r="F81" s="10"/>
      <c r="G81" s="10"/>
      <c r="H81" s="10"/>
      <c r="I81" s="73"/>
      <c r="J81" s="71"/>
      <c r="K81" s="74"/>
      <c r="L81" s="74"/>
      <c r="M81" s="74"/>
      <c r="N81" s="74" t="s">
        <v>1372</v>
      </c>
      <c r="O81" s="74"/>
      <c r="P81" s="74"/>
      <c r="Q81" s="74"/>
      <c r="R81" s="74"/>
      <c r="S81" s="74"/>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67"/>
      <c r="BC81" s="10"/>
      <c r="BD81" s="10"/>
      <c r="BF81" s="10"/>
      <c r="BG81" s="10"/>
      <c r="BH81" s="10"/>
      <c r="BI81" s="51"/>
    </row>
    <row r="82" spans="1:61" ht="15.75" customHeight="1">
      <c r="A82" s="64"/>
      <c r="B82" s="67"/>
      <c r="C82" s="10"/>
      <c r="D82" s="10"/>
      <c r="E82" s="10"/>
      <c r="F82" s="10"/>
      <c r="G82" s="10"/>
      <c r="H82" s="10"/>
      <c r="I82" s="73"/>
      <c r="J82" s="71"/>
      <c r="K82" s="74"/>
      <c r="L82" s="74"/>
      <c r="M82" s="74"/>
      <c r="N82" s="74"/>
      <c r="O82" s="74"/>
      <c r="P82" s="74"/>
      <c r="Q82" s="74"/>
      <c r="R82" s="74"/>
      <c r="S82" s="74"/>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67"/>
      <c r="BC82" s="10"/>
      <c r="BD82" s="10"/>
      <c r="BF82" s="10"/>
      <c r="BG82" s="10"/>
      <c r="BH82" s="10"/>
      <c r="BI82" s="51"/>
    </row>
    <row r="83" spans="1:61" ht="15.75" customHeight="1">
      <c r="A83" s="64"/>
      <c r="B83" s="67"/>
      <c r="C83" s="10"/>
      <c r="D83" s="10"/>
      <c r="E83" s="10"/>
      <c r="F83" s="10"/>
      <c r="G83" s="10"/>
      <c r="H83" s="10"/>
      <c r="I83" s="73"/>
      <c r="J83" s="71"/>
      <c r="K83" s="74"/>
      <c r="L83" s="74"/>
      <c r="M83" s="74"/>
      <c r="N83" s="466" t="s">
        <v>1373</v>
      </c>
      <c r="O83" s="467"/>
      <c r="P83" s="467"/>
      <c r="Q83" s="467"/>
      <c r="R83" s="513"/>
      <c r="S83" s="466" t="s">
        <v>1385</v>
      </c>
      <c r="T83" s="468"/>
      <c r="U83" s="468"/>
      <c r="V83" s="468"/>
      <c r="W83" s="468"/>
      <c r="X83" s="468"/>
      <c r="Y83" s="468"/>
      <c r="Z83" s="468"/>
      <c r="AA83" s="468"/>
      <c r="AB83" s="468"/>
      <c r="AC83" s="468"/>
      <c r="AD83" s="468"/>
      <c r="AE83" s="468"/>
      <c r="AF83" s="468"/>
      <c r="AG83" s="470"/>
      <c r="AH83" s="10"/>
      <c r="AI83" s="10"/>
      <c r="AJ83" s="10"/>
      <c r="AK83" s="10"/>
      <c r="AL83" s="10"/>
      <c r="AM83" s="10"/>
      <c r="AN83" s="10"/>
      <c r="AO83" s="10"/>
      <c r="AP83" s="10"/>
      <c r="AQ83" s="10"/>
      <c r="AR83" s="10"/>
      <c r="AS83" s="10"/>
      <c r="AT83" s="10"/>
      <c r="AU83" s="10"/>
      <c r="AV83" s="10"/>
      <c r="AW83" s="10"/>
      <c r="AX83" s="10"/>
      <c r="AY83" s="10"/>
      <c r="AZ83" s="10"/>
      <c r="BA83" s="10"/>
      <c r="BB83" s="67"/>
      <c r="BC83" s="10"/>
      <c r="BD83" s="10"/>
      <c r="BF83" s="10"/>
      <c r="BG83" s="10"/>
      <c r="BH83" s="10"/>
      <c r="BI83" s="51"/>
    </row>
    <row r="84" spans="1:61" ht="15.75" customHeight="1">
      <c r="A84" s="64"/>
      <c r="B84" s="67"/>
      <c r="C84" s="10"/>
      <c r="D84" s="10"/>
      <c r="E84" s="10"/>
      <c r="F84" s="10"/>
      <c r="G84" s="10"/>
      <c r="H84" s="10"/>
      <c r="I84" s="73"/>
      <c r="J84" s="71"/>
      <c r="K84" s="74"/>
      <c r="L84" s="74"/>
      <c r="M84" s="74"/>
      <c r="N84" s="461" t="s">
        <v>1374</v>
      </c>
      <c r="O84" s="462"/>
      <c r="P84" s="462"/>
      <c r="Q84" s="462"/>
      <c r="R84" s="514"/>
      <c r="S84" s="461" t="s">
        <v>1379</v>
      </c>
      <c r="T84" s="463"/>
      <c r="U84" s="463"/>
      <c r="V84" s="463"/>
      <c r="W84" s="463"/>
      <c r="X84" s="463"/>
      <c r="Y84" s="463"/>
      <c r="Z84" s="463"/>
      <c r="AA84" s="463"/>
      <c r="AB84" s="463"/>
      <c r="AC84" s="463"/>
      <c r="AD84" s="463"/>
      <c r="AE84" s="463"/>
      <c r="AF84" s="463"/>
      <c r="AG84" s="464"/>
      <c r="AH84" s="10"/>
      <c r="AI84" s="10"/>
      <c r="AJ84" s="10"/>
      <c r="AK84" s="10"/>
      <c r="AL84" s="10"/>
      <c r="AM84" s="10"/>
      <c r="AN84" s="10"/>
      <c r="AO84" s="10"/>
      <c r="AP84" s="10"/>
      <c r="AQ84" s="10"/>
      <c r="AR84" s="10"/>
      <c r="AS84" s="10"/>
      <c r="AT84" s="10"/>
      <c r="AU84" s="10"/>
      <c r="AV84" s="10"/>
      <c r="AW84" s="10"/>
      <c r="AX84" s="10"/>
      <c r="AY84" s="10"/>
      <c r="AZ84" s="10"/>
      <c r="BA84" s="10"/>
      <c r="BB84" s="67"/>
      <c r="BC84" s="10"/>
      <c r="BD84" s="10"/>
      <c r="BF84" s="10"/>
      <c r="BG84" s="10"/>
      <c r="BH84" s="10"/>
      <c r="BI84" s="51"/>
    </row>
    <row r="85" spans="1:61" ht="15.75" customHeight="1">
      <c r="A85" s="64"/>
      <c r="B85" s="67"/>
      <c r="C85" s="10"/>
      <c r="D85" s="10"/>
      <c r="E85" s="10"/>
      <c r="F85" s="10"/>
      <c r="G85" s="10"/>
      <c r="H85" s="10"/>
      <c r="I85" s="73"/>
      <c r="J85" s="71"/>
      <c r="K85" s="74"/>
      <c r="L85" s="74"/>
      <c r="M85" s="74"/>
      <c r="N85" s="461" t="s">
        <v>1375</v>
      </c>
      <c r="O85" s="462"/>
      <c r="P85" s="462"/>
      <c r="Q85" s="462"/>
      <c r="R85" s="514"/>
      <c r="S85" s="461" t="s">
        <v>1380</v>
      </c>
      <c r="T85" s="463"/>
      <c r="U85" s="463"/>
      <c r="V85" s="463"/>
      <c r="W85" s="463"/>
      <c r="X85" s="463"/>
      <c r="Y85" s="463"/>
      <c r="Z85" s="463"/>
      <c r="AA85" s="463"/>
      <c r="AB85" s="463"/>
      <c r="AC85" s="463"/>
      <c r="AD85" s="463"/>
      <c r="AE85" s="463"/>
      <c r="AF85" s="463"/>
      <c r="AG85" s="464"/>
      <c r="AH85" s="10"/>
      <c r="AI85" s="10"/>
      <c r="AJ85" s="10"/>
      <c r="AK85" s="10"/>
      <c r="AL85" s="10"/>
      <c r="AM85" s="10"/>
      <c r="AN85" s="10"/>
      <c r="AO85" s="10"/>
      <c r="AP85" s="10"/>
      <c r="AQ85" s="10"/>
      <c r="AR85" s="10"/>
      <c r="AS85" s="10"/>
      <c r="AT85" s="10"/>
      <c r="AU85" s="10"/>
      <c r="AV85" s="10"/>
      <c r="AW85" s="10"/>
      <c r="AX85" s="10"/>
      <c r="AY85" s="10"/>
      <c r="AZ85" s="10"/>
      <c r="BA85" s="10"/>
      <c r="BB85" s="67"/>
      <c r="BC85" s="10"/>
      <c r="BD85" s="10"/>
      <c r="BF85" s="10"/>
      <c r="BG85" s="10"/>
      <c r="BH85" s="10"/>
      <c r="BI85" s="51"/>
    </row>
    <row r="86" spans="1:61" ht="15.75" customHeight="1">
      <c r="A86" s="64"/>
      <c r="B86" s="67"/>
      <c r="C86" s="10"/>
      <c r="D86" s="10"/>
      <c r="E86" s="10"/>
      <c r="F86" s="10"/>
      <c r="G86" s="10"/>
      <c r="H86" s="10"/>
      <c r="I86" s="73"/>
      <c r="J86" s="71"/>
      <c r="K86" s="74"/>
      <c r="L86" s="74"/>
      <c r="M86" s="74"/>
      <c r="N86" s="461" t="s">
        <v>1376</v>
      </c>
      <c r="O86" s="462"/>
      <c r="P86" s="462"/>
      <c r="Q86" s="462"/>
      <c r="R86" s="514"/>
      <c r="S86" s="461" t="s">
        <v>1381</v>
      </c>
      <c r="T86" s="463"/>
      <c r="U86" s="463"/>
      <c r="V86" s="463"/>
      <c r="W86" s="463"/>
      <c r="X86" s="463"/>
      <c r="Y86" s="463"/>
      <c r="Z86" s="463"/>
      <c r="AA86" s="463"/>
      <c r="AB86" s="463"/>
      <c r="AC86" s="463"/>
      <c r="AD86" s="463"/>
      <c r="AE86" s="463"/>
      <c r="AF86" s="463"/>
      <c r="AG86" s="464"/>
      <c r="AH86" s="10"/>
      <c r="AI86" s="10"/>
      <c r="AJ86" s="10"/>
      <c r="AK86" s="10"/>
      <c r="AL86" s="10"/>
      <c r="AM86" s="10"/>
      <c r="AN86" s="10"/>
      <c r="AO86" s="10"/>
      <c r="AP86" s="10"/>
      <c r="AQ86" s="10"/>
      <c r="AR86" s="10"/>
      <c r="AS86" s="10"/>
      <c r="AT86" s="10"/>
      <c r="AU86" s="10"/>
      <c r="AV86" s="10"/>
      <c r="AW86" s="10"/>
      <c r="AX86" s="10"/>
      <c r="AY86" s="10"/>
      <c r="AZ86" s="10"/>
      <c r="BA86" s="10"/>
      <c r="BB86" s="67"/>
      <c r="BC86" s="10"/>
      <c r="BD86" s="10"/>
      <c r="BF86" s="10"/>
      <c r="BG86" s="10"/>
      <c r="BH86" s="10"/>
      <c r="BI86" s="51"/>
    </row>
    <row r="87" spans="1:61" ht="15.75" customHeight="1">
      <c r="A87" s="64"/>
      <c r="B87" s="67"/>
      <c r="C87" s="10"/>
      <c r="D87" s="10"/>
      <c r="E87" s="10"/>
      <c r="F87" s="10"/>
      <c r="G87" s="10"/>
      <c r="H87" s="10"/>
      <c r="I87" s="73"/>
      <c r="J87" s="71"/>
      <c r="K87" s="74"/>
      <c r="L87" s="74"/>
      <c r="M87" s="74"/>
      <c r="N87" s="461" t="s">
        <v>1377</v>
      </c>
      <c r="O87" s="462"/>
      <c r="P87" s="462"/>
      <c r="Q87" s="462"/>
      <c r="R87" s="514"/>
      <c r="S87" s="461" t="s">
        <v>1382</v>
      </c>
      <c r="T87" s="463"/>
      <c r="U87" s="463"/>
      <c r="V87" s="463"/>
      <c r="W87" s="463"/>
      <c r="X87" s="463"/>
      <c r="Y87" s="463"/>
      <c r="Z87" s="463"/>
      <c r="AA87" s="463"/>
      <c r="AB87" s="463"/>
      <c r="AC87" s="463"/>
      <c r="AD87" s="463"/>
      <c r="AE87" s="463"/>
      <c r="AF87" s="463"/>
      <c r="AG87" s="464"/>
      <c r="AH87" s="10"/>
      <c r="AI87" s="10"/>
      <c r="AJ87" s="10"/>
      <c r="AK87" s="10"/>
      <c r="AL87" s="10"/>
      <c r="AM87" s="10"/>
      <c r="AN87" s="10"/>
      <c r="AO87" s="10"/>
      <c r="AP87" s="10"/>
      <c r="AQ87" s="10"/>
      <c r="AR87" s="10"/>
      <c r="AS87" s="10"/>
      <c r="AT87" s="10"/>
      <c r="AU87" s="10"/>
      <c r="AV87" s="10"/>
      <c r="AW87" s="10"/>
      <c r="AX87" s="10"/>
      <c r="AY87" s="10"/>
      <c r="AZ87" s="10"/>
      <c r="BA87" s="10"/>
      <c r="BB87" s="67"/>
      <c r="BC87" s="10"/>
      <c r="BD87" s="10"/>
      <c r="BF87" s="10"/>
      <c r="BG87" s="10"/>
      <c r="BH87" s="10"/>
      <c r="BI87" s="51"/>
    </row>
    <row r="88" spans="1:61" ht="15.75" customHeight="1">
      <c r="A88" s="64"/>
      <c r="B88" s="67"/>
      <c r="C88" s="10"/>
      <c r="D88" s="10"/>
      <c r="E88" s="10"/>
      <c r="F88" s="10"/>
      <c r="G88" s="10"/>
      <c r="H88" s="10"/>
      <c r="I88" s="73"/>
      <c r="J88" s="71"/>
      <c r="K88" s="74"/>
      <c r="L88" s="74"/>
      <c r="M88" s="74"/>
      <c r="N88" s="461" t="s">
        <v>1378</v>
      </c>
      <c r="O88" s="462"/>
      <c r="P88" s="462"/>
      <c r="Q88" s="462"/>
      <c r="R88" s="514"/>
      <c r="S88" s="461" t="s">
        <v>1383</v>
      </c>
      <c r="T88" s="463"/>
      <c r="U88" s="463"/>
      <c r="V88" s="463"/>
      <c r="W88" s="463"/>
      <c r="X88" s="463"/>
      <c r="Y88" s="463"/>
      <c r="Z88" s="463"/>
      <c r="AA88" s="463"/>
      <c r="AB88" s="463"/>
      <c r="AC88" s="463"/>
      <c r="AD88" s="463"/>
      <c r="AE88" s="463"/>
      <c r="AF88" s="463"/>
      <c r="AG88" s="464"/>
      <c r="AH88" s="10"/>
      <c r="AI88" s="10"/>
      <c r="AJ88" s="10"/>
      <c r="AK88" s="10"/>
      <c r="AL88" s="10"/>
      <c r="AM88" s="10"/>
      <c r="AN88" s="10"/>
      <c r="AO88" s="10"/>
      <c r="AP88" s="10"/>
      <c r="AQ88" s="10"/>
      <c r="AR88" s="10"/>
      <c r="AS88" s="10"/>
      <c r="AT88" s="10"/>
      <c r="AU88" s="10"/>
      <c r="AV88" s="10"/>
      <c r="AW88" s="10"/>
      <c r="AX88" s="10"/>
      <c r="AY88" s="10"/>
      <c r="AZ88" s="10"/>
      <c r="BA88" s="10"/>
      <c r="BB88" s="67"/>
      <c r="BC88" s="10"/>
      <c r="BD88" s="10"/>
      <c r="BF88" s="10"/>
      <c r="BG88" s="10"/>
      <c r="BH88" s="10"/>
      <c r="BI88" s="51"/>
    </row>
    <row r="89" spans="1:61" ht="15.75" customHeight="1">
      <c r="A89" s="64"/>
      <c r="B89" s="67"/>
      <c r="C89" s="10"/>
      <c r="D89" s="10"/>
      <c r="E89" s="10"/>
      <c r="F89" s="10"/>
      <c r="G89" s="10"/>
      <c r="H89" s="10"/>
      <c r="I89" s="73"/>
      <c r="J89" s="71"/>
      <c r="K89" s="74"/>
      <c r="L89" s="74"/>
      <c r="M89" s="74"/>
      <c r="N89" s="461" t="s">
        <v>1305</v>
      </c>
      <c r="O89" s="462"/>
      <c r="P89" s="462"/>
      <c r="Q89" s="462"/>
      <c r="R89" s="514"/>
      <c r="S89" s="461" t="s">
        <v>1384</v>
      </c>
      <c r="T89" s="463"/>
      <c r="U89" s="463"/>
      <c r="V89" s="463"/>
      <c r="W89" s="463"/>
      <c r="X89" s="463"/>
      <c r="Y89" s="463"/>
      <c r="Z89" s="463"/>
      <c r="AA89" s="463"/>
      <c r="AB89" s="463"/>
      <c r="AC89" s="463"/>
      <c r="AD89" s="463"/>
      <c r="AE89" s="463"/>
      <c r="AF89" s="463"/>
      <c r="AG89" s="464"/>
      <c r="AH89" s="10"/>
      <c r="AI89" s="10"/>
      <c r="AJ89" s="10"/>
      <c r="AK89" s="10"/>
      <c r="AL89" s="10"/>
      <c r="AM89" s="10"/>
      <c r="AN89" s="10"/>
      <c r="AO89" s="10"/>
      <c r="AP89" s="10"/>
      <c r="AQ89" s="10"/>
      <c r="AR89" s="10"/>
      <c r="AS89" s="10"/>
      <c r="AT89" s="10"/>
      <c r="AU89" s="10"/>
      <c r="AV89" s="10"/>
      <c r="AW89" s="10"/>
      <c r="AX89" s="10"/>
      <c r="AY89" s="10"/>
      <c r="AZ89" s="10"/>
      <c r="BA89" s="10"/>
      <c r="BB89" s="67"/>
      <c r="BC89" s="10"/>
      <c r="BD89" s="10"/>
      <c r="BF89" s="10"/>
      <c r="BG89" s="10"/>
      <c r="BH89" s="10"/>
      <c r="BI89" s="51"/>
    </row>
    <row r="90" spans="1:61" ht="15.75" customHeight="1">
      <c r="A90" s="64"/>
      <c r="B90" s="67"/>
      <c r="C90" s="10"/>
      <c r="D90" s="10"/>
      <c r="E90" s="10"/>
      <c r="F90" s="10"/>
      <c r="G90" s="10"/>
      <c r="H90" s="10"/>
      <c r="I90" s="73"/>
      <c r="J90" s="71"/>
      <c r="K90" s="74"/>
      <c r="L90" s="74"/>
      <c r="M90" s="74"/>
      <c r="N90" s="74"/>
      <c r="O90" s="74"/>
      <c r="P90" s="74"/>
      <c r="Q90" s="74"/>
      <c r="R90" s="74"/>
      <c r="S90" s="74"/>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67"/>
      <c r="BC90" s="10"/>
      <c r="BD90" s="10"/>
      <c r="BE90" s="10"/>
      <c r="BF90" s="10"/>
      <c r="BG90" s="10"/>
      <c r="BH90" s="10"/>
      <c r="BI90" s="51"/>
    </row>
    <row r="91" spans="1:61" ht="15.75" customHeight="1">
      <c r="A91" s="64"/>
      <c r="B91" s="67"/>
      <c r="C91" s="10"/>
      <c r="D91" s="10"/>
      <c r="E91" s="10"/>
      <c r="F91" s="10"/>
      <c r="G91" s="10"/>
      <c r="H91" s="10"/>
      <c r="I91" s="73"/>
      <c r="J91" s="71"/>
      <c r="K91" s="74"/>
      <c r="L91" s="74" t="s">
        <v>1248</v>
      </c>
      <c r="M91" s="74"/>
      <c r="N91" s="74" t="s">
        <v>1249</v>
      </c>
      <c r="O91" s="74"/>
      <c r="P91" s="74"/>
      <c r="Q91" s="74"/>
      <c r="R91" s="74"/>
      <c r="S91" s="74"/>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67"/>
      <c r="BC91" s="10"/>
      <c r="BD91" s="10"/>
      <c r="BE91" s="10"/>
      <c r="BF91" s="10"/>
      <c r="BG91" s="10"/>
      <c r="BH91" s="10"/>
      <c r="BI91" s="51"/>
    </row>
    <row r="92" spans="1:61" ht="15.75" customHeight="1">
      <c r="A92" s="64"/>
      <c r="B92" s="67"/>
      <c r="C92" s="10"/>
      <c r="D92" s="10"/>
      <c r="E92" s="10"/>
      <c r="F92" s="10"/>
      <c r="G92" s="10"/>
      <c r="H92" s="10"/>
      <c r="I92" s="73"/>
      <c r="J92" s="71"/>
      <c r="K92" s="74"/>
      <c r="L92" s="74"/>
      <c r="M92" s="74"/>
      <c r="N92" s="74" t="s">
        <v>1251</v>
      </c>
      <c r="O92" s="74" t="s">
        <v>1250</v>
      </c>
      <c r="P92" s="74"/>
      <c r="Q92" s="74"/>
      <c r="R92" s="74"/>
      <c r="S92" s="74"/>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67"/>
      <c r="BC92" s="10"/>
      <c r="BD92" s="10"/>
      <c r="BE92" s="10"/>
      <c r="BF92" s="10"/>
      <c r="BG92" s="10"/>
      <c r="BH92" s="10"/>
      <c r="BI92" s="51"/>
    </row>
    <row r="93" spans="1:61" ht="15.75" customHeight="1">
      <c r="A93" s="64"/>
      <c r="B93" s="67"/>
      <c r="C93" s="10"/>
      <c r="D93" s="10"/>
      <c r="E93" s="10"/>
      <c r="F93" s="10"/>
      <c r="G93" s="10"/>
      <c r="H93" s="10"/>
      <c r="I93" s="73"/>
      <c r="J93" s="71"/>
      <c r="K93" s="74"/>
      <c r="L93" s="74"/>
      <c r="M93" s="74"/>
      <c r="N93" s="74"/>
      <c r="O93" s="74" t="s">
        <v>1388</v>
      </c>
      <c r="P93" s="74"/>
      <c r="Q93" s="74"/>
      <c r="R93" s="74"/>
      <c r="S93" s="74"/>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67" t="s">
        <v>1185</v>
      </c>
      <c r="BC93" s="10"/>
      <c r="BD93" s="10"/>
      <c r="BE93" s="10"/>
      <c r="BF93" s="10"/>
      <c r="BG93" s="10"/>
      <c r="BH93" s="10"/>
      <c r="BI93" s="51"/>
    </row>
    <row r="94" spans="1:61" ht="15.75" customHeight="1">
      <c r="A94" s="64"/>
      <c r="B94" s="67"/>
      <c r="C94" s="10"/>
      <c r="D94" s="10"/>
      <c r="E94" s="10"/>
      <c r="F94" s="10"/>
      <c r="G94" s="10"/>
      <c r="H94" s="10"/>
      <c r="I94" s="73"/>
      <c r="J94" s="71"/>
      <c r="K94" s="74"/>
      <c r="L94" s="74"/>
      <c r="M94" s="74"/>
      <c r="N94" s="74"/>
      <c r="O94" s="74"/>
      <c r="P94" s="74"/>
      <c r="Q94" s="74"/>
      <c r="R94" s="74"/>
      <c r="S94" s="74"/>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67"/>
      <c r="BC94" s="10"/>
      <c r="BD94" s="10" t="s">
        <v>1287</v>
      </c>
      <c r="BF94" s="10"/>
      <c r="BG94" s="10"/>
      <c r="BH94" s="10"/>
      <c r="BI94" s="51"/>
    </row>
    <row r="95" spans="1:61" ht="15.75" customHeight="1">
      <c r="A95" s="64"/>
      <c r="B95" s="67"/>
      <c r="C95" s="10"/>
      <c r="D95" s="10"/>
      <c r="E95" s="10"/>
      <c r="F95" s="10"/>
      <c r="G95" s="10"/>
      <c r="H95" s="10"/>
      <c r="I95" s="73"/>
      <c r="J95" s="71"/>
      <c r="K95" s="74"/>
      <c r="L95" s="74" t="s">
        <v>1268</v>
      </c>
      <c r="M95" s="74"/>
      <c r="N95" s="74" t="s">
        <v>1256</v>
      </c>
      <c r="O95" s="74"/>
      <c r="P95" s="74"/>
      <c r="Q95" s="74"/>
      <c r="R95" s="74"/>
      <c r="S95" s="74"/>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67"/>
      <c r="BC95" s="10"/>
      <c r="BD95" s="10"/>
      <c r="BE95" s="10"/>
      <c r="BF95" s="10"/>
      <c r="BG95" s="10"/>
      <c r="BH95" s="10"/>
      <c r="BI95" s="51"/>
    </row>
    <row r="96" spans="1:61" ht="15.75" customHeight="1">
      <c r="A96" s="64"/>
      <c r="B96" s="67"/>
      <c r="C96" s="10"/>
      <c r="D96" s="10"/>
      <c r="E96" s="10"/>
      <c r="F96" s="10"/>
      <c r="G96" s="10"/>
      <c r="H96" s="10"/>
      <c r="I96" s="73"/>
      <c r="J96" s="71"/>
      <c r="K96" s="74"/>
      <c r="L96" s="74"/>
      <c r="M96" s="74"/>
      <c r="N96" s="74" t="s">
        <v>1389</v>
      </c>
      <c r="O96" s="74"/>
      <c r="P96" s="74"/>
      <c r="Q96" s="74"/>
      <c r="R96" s="74"/>
      <c r="S96" s="74"/>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67"/>
      <c r="BC96" s="10"/>
      <c r="BD96" s="10"/>
      <c r="BE96" s="10"/>
      <c r="BF96" s="10"/>
      <c r="BG96" s="10"/>
      <c r="BH96" s="10"/>
      <c r="BI96" s="51"/>
    </row>
    <row r="97" spans="1:61" ht="15.75" customHeight="1">
      <c r="A97" s="64"/>
      <c r="B97" s="67"/>
      <c r="C97" s="10"/>
      <c r="D97" s="10"/>
      <c r="E97" s="10"/>
      <c r="F97" s="10"/>
      <c r="G97" s="10"/>
      <c r="H97" s="10"/>
      <c r="I97" s="73"/>
      <c r="J97" s="71"/>
      <c r="K97" s="74"/>
      <c r="L97" s="74"/>
      <c r="M97" s="74"/>
      <c r="N97" s="74" t="s">
        <v>1390</v>
      </c>
      <c r="O97" s="74"/>
      <c r="P97" s="74"/>
      <c r="Q97" s="74"/>
      <c r="R97" s="74"/>
      <c r="S97" s="74"/>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67"/>
      <c r="BC97" s="10"/>
      <c r="BD97" s="10"/>
      <c r="BE97" s="10"/>
      <c r="BF97" s="10"/>
      <c r="BG97" s="10"/>
      <c r="BH97" s="10"/>
      <c r="BI97" s="51"/>
    </row>
    <row r="98" spans="1:61" ht="15.75" customHeight="1">
      <c r="A98" s="64"/>
      <c r="B98" s="67"/>
      <c r="C98" s="10"/>
      <c r="D98" s="10"/>
      <c r="E98" s="10"/>
      <c r="F98" s="10"/>
      <c r="G98" s="10"/>
      <c r="H98" s="10"/>
      <c r="I98" s="73"/>
      <c r="J98" s="71"/>
      <c r="K98" s="74"/>
      <c r="L98" s="74"/>
      <c r="M98" s="74"/>
      <c r="N98" s="74"/>
      <c r="O98" s="74"/>
      <c r="P98" s="74"/>
      <c r="Q98" s="74"/>
      <c r="R98" s="74"/>
      <c r="S98" s="74"/>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67"/>
      <c r="BC98" s="10"/>
      <c r="BD98" s="10"/>
      <c r="BE98" s="10"/>
      <c r="BF98" s="10"/>
      <c r="BG98" s="10"/>
      <c r="BH98" s="10"/>
      <c r="BI98" s="51"/>
    </row>
    <row r="99" spans="1:61" ht="15.75" customHeight="1">
      <c r="A99" s="64"/>
      <c r="B99" s="67"/>
      <c r="C99" s="10"/>
      <c r="D99" s="10"/>
      <c r="E99" s="10"/>
      <c r="F99" s="10"/>
      <c r="G99" s="10"/>
      <c r="H99" s="10"/>
      <c r="I99" s="73"/>
      <c r="J99" s="71"/>
      <c r="K99" s="74" t="s">
        <v>1255</v>
      </c>
      <c r="L99" s="74"/>
      <c r="M99" s="74" t="s">
        <v>1321</v>
      </c>
      <c r="N99" s="74"/>
      <c r="O99" s="74"/>
      <c r="P99" s="74"/>
      <c r="Q99" s="74"/>
      <c r="R99" s="74"/>
      <c r="S99" s="74"/>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67"/>
      <c r="BC99" s="10"/>
      <c r="BD99" s="10"/>
      <c r="BE99" s="10"/>
      <c r="BF99" s="10"/>
      <c r="BG99" s="10"/>
      <c r="BH99" s="10"/>
      <c r="BI99" s="51"/>
    </row>
    <row r="100" spans="1:61" ht="15.75" customHeight="1">
      <c r="A100" s="64"/>
      <c r="B100" s="67"/>
      <c r="C100" s="10"/>
      <c r="D100" s="10"/>
      <c r="E100" s="10"/>
      <c r="F100" s="10"/>
      <c r="G100" s="10"/>
      <c r="H100" s="10"/>
      <c r="I100" s="73"/>
      <c r="J100" s="71"/>
      <c r="K100" s="74"/>
      <c r="L100" s="74" t="s">
        <v>1238</v>
      </c>
      <c r="M100" s="74"/>
      <c r="N100" s="74" t="s">
        <v>1239</v>
      </c>
      <c r="O100" s="74"/>
      <c r="P100" s="74"/>
      <c r="Q100" s="74"/>
      <c r="R100" s="74"/>
      <c r="S100" s="74"/>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67"/>
      <c r="BC100" s="10"/>
      <c r="BD100" s="10"/>
      <c r="BE100" s="10"/>
      <c r="BF100" s="10"/>
      <c r="BG100" s="10"/>
      <c r="BH100" s="10"/>
      <c r="BI100" s="51"/>
    </row>
    <row r="101" spans="1:61" ht="15.75" customHeight="1">
      <c r="A101" s="64"/>
      <c r="B101" s="67"/>
      <c r="C101" s="10"/>
      <c r="D101" s="10"/>
      <c r="E101" s="10"/>
      <c r="F101" s="10"/>
      <c r="G101" s="10"/>
      <c r="H101" s="10"/>
      <c r="I101" s="73"/>
      <c r="J101" s="71"/>
      <c r="K101" s="74"/>
      <c r="L101" s="74"/>
      <c r="M101" s="74"/>
      <c r="N101" s="74" t="s">
        <v>1278</v>
      </c>
      <c r="O101" s="74" t="s">
        <v>1280</v>
      </c>
      <c r="P101" s="74"/>
      <c r="Q101" s="74"/>
      <c r="R101" s="74"/>
      <c r="S101" s="74"/>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67" t="s">
        <v>1185</v>
      </c>
      <c r="BC101" s="10"/>
      <c r="BD101" s="10"/>
      <c r="BE101" s="10"/>
      <c r="BF101" s="10"/>
      <c r="BG101" s="10"/>
      <c r="BH101" s="10"/>
      <c r="BI101" s="51"/>
    </row>
    <row r="102" spans="1:61" ht="15.75" customHeight="1">
      <c r="A102" s="64"/>
      <c r="B102" s="67"/>
      <c r="C102" s="10"/>
      <c r="D102" s="10"/>
      <c r="E102" s="10"/>
      <c r="F102" s="10"/>
      <c r="G102" s="10"/>
      <c r="H102" s="10"/>
      <c r="I102" s="73"/>
      <c r="J102" s="71"/>
      <c r="K102" s="74"/>
      <c r="L102" s="74"/>
      <c r="M102" s="74"/>
      <c r="N102" s="74"/>
      <c r="O102" s="74"/>
      <c r="P102" s="74"/>
      <c r="Q102" s="74"/>
      <c r="R102" s="74"/>
      <c r="S102" s="74"/>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67"/>
      <c r="BC102" s="10"/>
      <c r="BD102" s="10" t="s">
        <v>1285</v>
      </c>
      <c r="BF102" s="10"/>
      <c r="BG102" s="10"/>
      <c r="BH102" s="10"/>
      <c r="BI102" s="51"/>
    </row>
    <row r="103" spans="1:61" ht="15.75" customHeight="1">
      <c r="A103" s="64"/>
      <c r="B103" s="67"/>
      <c r="C103" s="10"/>
      <c r="D103" s="10"/>
      <c r="E103" s="10"/>
      <c r="F103" s="10"/>
      <c r="G103" s="10"/>
      <c r="H103" s="10"/>
      <c r="I103" s="73"/>
      <c r="J103" s="71"/>
      <c r="K103" s="74"/>
      <c r="L103" s="74"/>
      <c r="M103" s="74"/>
      <c r="N103" s="74" t="s">
        <v>1279</v>
      </c>
      <c r="O103" s="74" t="s">
        <v>1282</v>
      </c>
      <c r="P103" s="74"/>
      <c r="Q103" s="74"/>
      <c r="R103" s="74"/>
      <c r="S103" s="74"/>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67" t="s">
        <v>1185</v>
      </c>
      <c r="BC103" s="10"/>
      <c r="BD103" s="10"/>
      <c r="BE103" s="10"/>
      <c r="BF103" s="10"/>
      <c r="BG103" s="10"/>
      <c r="BH103" s="10"/>
      <c r="BI103" s="51"/>
    </row>
    <row r="104" spans="1:61" ht="15.75" customHeight="1">
      <c r="A104" s="64"/>
      <c r="B104" s="67"/>
      <c r="C104" s="10"/>
      <c r="D104" s="10"/>
      <c r="E104" s="10"/>
      <c r="F104" s="10"/>
      <c r="G104" s="10"/>
      <c r="H104" s="10"/>
      <c r="I104" s="73"/>
      <c r="J104" s="71"/>
      <c r="K104" s="74"/>
      <c r="L104" s="74"/>
      <c r="M104" s="74"/>
      <c r="N104" s="74"/>
      <c r="O104" s="74"/>
      <c r="P104" s="74"/>
      <c r="Q104" s="74"/>
      <c r="R104" s="74"/>
      <c r="S104" s="74"/>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67"/>
      <c r="BC104" s="10"/>
      <c r="BD104" s="10" t="s">
        <v>1286</v>
      </c>
      <c r="BF104" s="10"/>
      <c r="BG104" s="10"/>
      <c r="BH104" s="10"/>
      <c r="BI104" s="51"/>
    </row>
    <row r="105" spans="1:61" ht="15.75" customHeight="1">
      <c r="A105" s="64"/>
      <c r="B105" s="67"/>
      <c r="C105" s="10"/>
      <c r="D105" s="10"/>
      <c r="E105" s="10"/>
      <c r="F105" s="10"/>
      <c r="G105" s="10"/>
      <c r="H105" s="10"/>
      <c r="I105" s="73"/>
      <c r="J105" s="71"/>
      <c r="K105" s="74"/>
      <c r="L105" s="74" t="s">
        <v>1242</v>
      </c>
      <c r="M105" s="74"/>
      <c r="N105" s="74" t="s">
        <v>1243</v>
      </c>
      <c r="O105" s="74"/>
      <c r="P105" s="74"/>
      <c r="Q105" s="74"/>
      <c r="R105" s="74"/>
      <c r="S105" s="74"/>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67"/>
      <c r="BC105" s="10"/>
      <c r="BD105" s="10"/>
      <c r="BE105" s="10"/>
      <c r="BF105" s="10"/>
      <c r="BG105" s="10"/>
      <c r="BH105" s="10"/>
      <c r="BI105" s="51"/>
    </row>
    <row r="106" spans="1:61" ht="15.75" customHeight="1">
      <c r="A106" s="64"/>
      <c r="B106" s="67"/>
      <c r="C106" s="10"/>
      <c r="D106" s="10"/>
      <c r="E106" s="10"/>
      <c r="F106" s="10"/>
      <c r="G106" s="10"/>
      <c r="H106" s="10"/>
      <c r="I106" s="73"/>
      <c r="J106" s="71"/>
      <c r="K106" s="74"/>
      <c r="L106" s="74"/>
      <c r="M106" s="74"/>
      <c r="N106" s="74" t="s">
        <v>1332</v>
      </c>
      <c r="O106" s="74"/>
      <c r="P106" s="74"/>
      <c r="Q106" s="74"/>
      <c r="R106" s="74"/>
      <c r="S106" s="74"/>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67" t="s">
        <v>1185</v>
      </c>
      <c r="BC106" s="10"/>
      <c r="BD106" s="10"/>
      <c r="BE106" s="10"/>
      <c r="BF106" s="10"/>
      <c r="BG106" s="10"/>
      <c r="BH106" s="10"/>
      <c r="BI106" s="51"/>
    </row>
    <row r="107" spans="1:61" ht="15.75" customHeight="1">
      <c r="A107" s="64"/>
      <c r="B107" s="67"/>
      <c r="C107" s="10"/>
      <c r="D107" s="10"/>
      <c r="E107" s="10"/>
      <c r="F107" s="10"/>
      <c r="G107" s="10"/>
      <c r="H107" s="10"/>
      <c r="I107" s="73"/>
      <c r="J107" s="71"/>
      <c r="K107" s="74"/>
      <c r="L107" s="74"/>
      <c r="M107" s="74"/>
      <c r="N107" s="74"/>
      <c r="O107" s="74"/>
      <c r="P107" s="74"/>
      <c r="Q107" s="74"/>
      <c r="R107" s="74"/>
      <c r="S107" s="74"/>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67"/>
      <c r="BC107" s="10"/>
      <c r="BD107" s="10" t="s">
        <v>1290</v>
      </c>
      <c r="BF107" s="10"/>
      <c r="BG107" s="10"/>
      <c r="BH107" s="10"/>
      <c r="BI107" s="51"/>
    </row>
    <row r="108" spans="1:61" ht="15.75" customHeight="1">
      <c r="A108" s="64"/>
      <c r="B108" s="67"/>
      <c r="C108" s="10"/>
      <c r="D108" s="10"/>
      <c r="E108" s="10"/>
      <c r="F108" s="10"/>
      <c r="G108" s="10"/>
      <c r="H108" s="10"/>
      <c r="I108" s="73"/>
      <c r="J108" s="71"/>
      <c r="K108" s="74"/>
      <c r="L108" s="74" t="s">
        <v>1248</v>
      </c>
      <c r="M108" s="74"/>
      <c r="N108" s="74" t="s">
        <v>1256</v>
      </c>
      <c r="O108" s="74"/>
      <c r="P108" s="74"/>
      <c r="Q108" s="74"/>
      <c r="R108" s="74"/>
      <c r="S108" s="74"/>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67"/>
      <c r="BC108" s="10"/>
      <c r="BD108" s="10"/>
      <c r="BE108" s="10"/>
      <c r="BF108" s="10"/>
      <c r="BG108" s="10"/>
      <c r="BH108" s="10"/>
      <c r="BI108" s="51"/>
    </row>
    <row r="109" spans="1:61" ht="15.75" customHeight="1">
      <c r="A109" s="64"/>
      <c r="B109" s="67"/>
      <c r="C109" s="10"/>
      <c r="D109" s="10"/>
      <c r="E109" s="10"/>
      <c r="F109" s="10"/>
      <c r="G109" s="10"/>
      <c r="H109" s="10"/>
      <c r="I109" s="73"/>
      <c r="J109" s="71"/>
      <c r="K109" s="74"/>
      <c r="L109" s="74"/>
      <c r="N109" s="74" t="s">
        <v>1291</v>
      </c>
      <c r="O109" s="74"/>
      <c r="P109" s="74"/>
      <c r="Q109" s="74"/>
      <c r="R109" s="74"/>
      <c r="S109" s="74"/>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67"/>
      <c r="BC109" s="10"/>
      <c r="BD109" s="10"/>
      <c r="BE109" s="10"/>
      <c r="BF109" s="10"/>
      <c r="BG109" s="10"/>
      <c r="BH109" s="10"/>
      <c r="BI109" s="51"/>
    </row>
    <row r="110" spans="1:61" ht="15.75" customHeight="1">
      <c r="A110" s="64"/>
      <c r="B110" s="67"/>
      <c r="C110" s="10"/>
      <c r="D110" s="10"/>
      <c r="E110" s="10"/>
      <c r="F110" s="10"/>
      <c r="G110" s="10"/>
      <c r="H110" s="10"/>
      <c r="I110" s="73"/>
      <c r="J110" s="71"/>
      <c r="K110" s="74"/>
      <c r="L110" s="74"/>
      <c r="M110" s="74"/>
      <c r="N110" s="74"/>
      <c r="O110" s="74"/>
      <c r="P110" s="74"/>
      <c r="Q110" s="74"/>
      <c r="R110" s="74"/>
      <c r="S110" s="74"/>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67"/>
      <c r="BC110" s="10"/>
      <c r="BD110" s="10"/>
      <c r="BE110" s="10"/>
      <c r="BF110" s="10"/>
      <c r="BG110" s="10"/>
      <c r="BH110" s="10"/>
      <c r="BI110" s="51"/>
    </row>
    <row r="111" spans="1:61" ht="15.75" customHeight="1">
      <c r="A111" s="64"/>
      <c r="B111" s="67"/>
      <c r="C111" s="10"/>
      <c r="D111" s="10"/>
      <c r="E111" s="10"/>
      <c r="F111" s="10"/>
      <c r="G111" s="10"/>
      <c r="H111" s="10"/>
      <c r="I111" s="73"/>
      <c r="J111" s="71"/>
      <c r="K111" s="74" t="s">
        <v>1292</v>
      </c>
      <c r="L111" s="74"/>
      <c r="M111" s="74" t="s">
        <v>1322</v>
      </c>
      <c r="N111" s="74"/>
      <c r="O111" s="74"/>
      <c r="P111" s="74"/>
      <c r="Q111" s="74"/>
      <c r="R111" s="74"/>
      <c r="S111" s="74"/>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67"/>
      <c r="BC111" s="10"/>
      <c r="BD111" s="10"/>
      <c r="BE111" s="10"/>
      <c r="BF111" s="10"/>
      <c r="BG111" s="10"/>
      <c r="BH111" s="10"/>
      <c r="BI111" s="51"/>
    </row>
    <row r="112" spans="1:61" ht="15.75" customHeight="1">
      <c r="A112" s="64"/>
      <c r="B112" s="67"/>
      <c r="C112" s="10"/>
      <c r="D112" s="10"/>
      <c r="E112" s="10"/>
      <c r="F112" s="10"/>
      <c r="G112" s="10"/>
      <c r="H112" s="10"/>
      <c r="I112" s="73"/>
      <c r="J112" s="71"/>
      <c r="K112" s="74"/>
      <c r="L112" s="74" t="s">
        <v>1238</v>
      </c>
      <c r="M112" s="74"/>
      <c r="N112" s="74" t="s">
        <v>1239</v>
      </c>
      <c r="O112" s="74"/>
      <c r="P112" s="74"/>
      <c r="Q112" s="74"/>
      <c r="R112" s="74"/>
      <c r="S112" s="74"/>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67"/>
      <c r="BC112" s="10"/>
      <c r="BD112" s="10"/>
      <c r="BE112" s="10"/>
      <c r="BF112" s="10"/>
      <c r="BG112" s="10"/>
      <c r="BH112" s="10"/>
      <c r="BI112" s="51"/>
    </row>
    <row r="113" spans="1:61" ht="15.75" customHeight="1">
      <c r="A113" s="64"/>
      <c r="B113" s="67"/>
      <c r="C113" s="10"/>
      <c r="D113" s="10"/>
      <c r="E113" s="10"/>
      <c r="F113" s="10"/>
      <c r="G113" s="10"/>
      <c r="H113" s="10"/>
      <c r="I113" s="73"/>
      <c r="J113" s="71"/>
      <c r="K113" s="74"/>
      <c r="L113" s="74"/>
      <c r="M113" s="74"/>
      <c r="N113" s="74" t="s">
        <v>1278</v>
      </c>
      <c r="O113" s="74" t="s">
        <v>1281</v>
      </c>
      <c r="P113" s="74"/>
      <c r="Q113" s="74"/>
      <c r="R113" s="74"/>
      <c r="S113" s="74"/>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67" t="s">
        <v>1185</v>
      </c>
      <c r="BC113" s="10"/>
      <c r="BD113" s="10"/>
      <c r="BE113" s="10"/>
      <c r="BF113" s="10"/>
      <c r="BG113" s="10"/>
      <c r="BH113" s="10"/>
      <c r="BI113" s="51"/>
    </row>
    <row r="114" spans="1:61" ht="15.75" customHeight="1">
      <c r="A114" s="64"/>
      <c r="B114" s="67"/>
      <c r="C114" s="10"/>
      <c r="D114" s="10"/>
      <c r="E114" s="10"/>
      <c r="F114" s="10"/>
      <c r="G114" s="10"/>
      <c r="H114" s="10"/>
      <c r="I114" s="73"/>
      <c r="J114" s="71"/>
      <c r="K114" s="74"/>
      <c r="L114" s="74"/>
      <c r="M114" s="74"/>
      <c r="N114" s="74"/>
      <c r="O114" s="74"/>
      <c r="P114" s="74"/>
      <c r="Q114" s="74"/>
      <c r="R114" s="74"/>
      <c r="S114" s="74"/>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67"/>
      <c r="BC114" s="10"/>
      <c r="BD114" s="10" t="s">
        <v>1295</v>
      </c>
      <c r="BF114" s="10"/>
      <c r="BG114" s="10"/>
      <c r="BH114" s="10"/>
      <c r="BI114" s="51"/>
    </row>
    <row r="115" spans="1:61" ht="15.75" customHeight="1">
      <c r="A115" s="64"/>
      <c r="B115" s="67"/>
      <c r="C115" s="10"/>
      <c r="D115" s="10"/>
      <c r="E115" s="10"/>
      <c r="F115" s="10"/>
      <c r="G115" s="10"/>
      <c r="H115" s="10"/>
      <c r="I115" s="73"/>
      <c r="J115" s="71"/>
      <c r="K115" s="74"/>
      <c r="L115" s="74"/>
      <c r="M115" s="74"/>
      <c r="N115" s="74" t="s">
        <v>1279</v>
      </c>
      <c r="O115" s="74" t="s">
        <v>1296</v>
      </c>
      <c r="P115" s="74"/>
      <c r="Q115" s="74"/>
      <c r="R115" s="74"/>
      <c r="S115" s="74"/>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67"/>
      <c r="BC115" s="10"/>
      <c r="BD115" s="10"/>
      <c r="BE115" s="10"/>
      <c r="BF115" s="10"/>
      <c r="BG115" s="10"/>
      <c r="BH115" s="10"/>
      <c r="BI115" s="51"/>
    </row>
    <row r="116" spans="1:61" ht="15.75" customHeight="1">
      <c r="A116" s="64"/>
      <c r="B116" s="67"/>
      <c r="C116" s="10"/>
      <c r="D116" s="10"/>
      <c r="E116" s="10"/>
      <c r="F116" s="10"/>
      <c r="G116" s="10"/>
      <c r="H116" s="10"/>
      <c r="I116" s="73"/>
      <c r="J116" s="71"/>
      <c r="K116" s="74"/>
      <c r="L116" s="74"/>
      <c r="M116" s="74"/>
      <c r="N116" s="74"/>
      <c r="O116" s="74" t="s">
        <v>1298</v>
      </c>
      <c r="P116" s="74"/>
      <c r="Q116" s="74"/>
      <c r="R116" s="74"/>
      <c r="S116" s="74"/>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67"/>
      <c r="BC116" s="10"/>
      <c r="BD116" s="10"/>
      <c r="BE116" s="10"/>
      <c r="BF116" s="10"/>
      <c r="BG116" s="10"/>
      <c r="BH116" s="10"/>
      <c r="BI116" s="51"/>
    </row>
    <row r="117" spans="1:61" ht="15.75" customHeight="1">
      <c r="A117" s="64"/>
      <c r="B117" s="67"/>
      <c r="C117" s="10"/>
      <c r="D117" s="10"/>
      <c r="E117" s="10"/>
      <c r="F117" s="10"/>
      <c r="G117" s="10"/>
      <c r="H117" s="10"/>
      <c r="I117" s="73"/>
      <c r="J117" s="71"/>
      <c r="K117" s="74"/>
      <c r="L117" s="74"/>
      <c r="M117" s="74"/>
      <c r="N117" s="74"/>
      <c r="O117" s="74"/>
      <c r="P117" s="74"/>
      <c r="Q117" s="74"/>
      <c r="R117" s="74"/>
      <c r="S117" s="74"/>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67"/>
      <c r="BC117" s="10"/>
      <c r="BD117" s="10"/>
      <c r="BE117" s="10"/>
      <c r="BF117" s="10"/>
      <c r="BG117" s="10"/>
      <c r="BH117" s="10"/>
      <c r="BI117" s="51"/>
    </row>
    <row r="118" spans="1:61" ht="15.75" customHeight="1">
      <c r="A118" s="64"/>
      <c r="B118" s="67"/>
      <c r="C118" s="10"/>
      <c r="D118" s="10"/>
      <c r="E118" s="10"/>
      <c r="F118" s="10"/>
      <c r="G118" s="10"/>
      <c r="H118" s="10"/>
      <c r="I118" s="73"/>
      <c r="J118" s="71"/>
      <c r="K118" s="74"/>
      <c r="O118" s="74" t="s">
        <v>1270</v>
      </c>
      <c r="P118" s="74"/>
      <c r="Q118" s="74"/>
      <c r="R118" s="74" t="s">
        <v>1271</v>
      </c>
      <c r="S118" s="74"/>
      <c r="T118" s="74"/>
      <c r="U118" s="74"/>
      <c r="V118" s="74"/>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67"/>
      <c r="BC118" s="10"/>
      <c r="BD118" s="10"/>
      <c r="BE118" s="10"/>
      <c r="BF118" s="10"/>
      <c r="BG118" s="10"/>
      <c r="BH118" s="10"/>
      <c r="BI118" s="51"/>
    </row>
    <row r="119" spans="1:61" ht="15.75" customHeight="1">
      <c r="A119" s="64"/>
      <c r="B119" s="67"/>
      <c r="C119" s="10"/>
      <c r="D119" s="10"/>
      <c r="E119" s="10"/>
      <c r="F119" s="10"/>
      <c r="G119" s="10"/>
      <c r="H119" s="10"/>
      <c r="I119" s="73"/>
      <c r="J119" s="71"/>
      <c r="K119" s="74"/>
      <c r="R119" s="74" t="s">
        <v>1222</v>
      </c>
      <c r="S119" s="74"/>
      <c r="T119" s="74"/>
      <c r="U119" s="74"/>
      <c r="V119" s="74"/>
      <c r="W119" s="74"/>
      <c r="X119" s="74" t="s">
        <v>1241</v>
      </c>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67"/>
      <c r="BC119" s="10"/>
      <c r="BD119" s="10"/>
      <c r="BE119" s="10"/>
      <c r="BF119" s="10"/>
      <c r="BG119" s="10"/>
      <c r="BH119" s="10"/>
      <c r="BI119" s="51"/>
    </row>
    <row r="120" spans="1:61" ht="15.75" customHeight="1">
      <c r="A120" s="64"/>
      <c r="B120" s="67"/>
      <c r="C120" s="10"/>
      <c r="D120" s="10"/>
      <c r="E120" s="10"/>
      <c r="F120" s="10"/>
      <c r="G120" s="10"/>
      <c r="H120" s="10"/>
      <c r="I120" s="73"/>
      <c r="J120" s="71"/>
      <c r="K120" s="74"/>
      <c r="R120" s="74" t="s">
        <v>1224</v>
      </c>
      <c r="S120" s="74"/>
      <c r="T120" s="74"/>
      <c r="U120" s="74"/>
      <c r="V120" s="74"/>
      <c r="W120" s="74"/>
      <c r="X120" s="74" t="s">
        <v>1240</v>
      </c>
      <c r="Y120" s="74"/>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67"/>
      <c r="BC120" s="10"/>
      <c r="BD120" s="10"/>
      <c r="BE120" s="10"/>
      <c r="BF120" s="10"/>
      <c r="BG120" s="10"/>
      <c r="BH120" s="10"/>
      <c r="BI120" s="51"/>
    </row>
    <row r="121" spans="1:61" ht="15.75" customHeight="1">
      <c r="A121" s="64"/>
      <c r="B121" s="67"/>
      <c r="C121" s="10"/>
      <c r="D121" s="10"/>
      <c r="E121" s="10"/>
      <c r="F121" s="10"/>
      <c r="G121" s="10"/>
      <c r="H121" s="10"/>
      <c r="I121" s="73"/>
      <c r="J121" s="71"/>
      <c r="K121" s="74"/>
      <c r="R121" s="74"/>
      <c r="S121" s="74"/>
      <c r="T121" s="74"/>
      <c r="U121" s="74"/>
      <c r="V121" s="74"/>
      <c r="W121" s="74"/>
      <c r="X121" s="74" t="s">
        <v>1176</v>
      </c>
      <c r="Y121" s="74"/>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67"/>
      <c r="BC121" s="10"/>
      <c r="BD121" s="10"/>
      <c r="BE121" s="10"/>
      <c r="BF121" s="10"/>
      <c r="BG121" s="10"/>
      <c r="BH121" s="10"/>
      <c r="BI121" s="51"/>
    </row>
    <row r="122" spans="1:61" ht="15.75" customHeight="1">
      <c r="A122" s="64"/>
      <c r="B122" s="67"/>
      <c r="C122" s="10"/>
      <c r="D122" s="10"/>
      <c r="E122" s="10"/>
      <c r="F122" s="10"/>
      <c r="G122" s="10"/>
      <c r="H122" s="10"/>
      <c r="I122" s="73"/>
      <c r="J122" s="71"/>
      <c r="K122" s="74"/>
      <c r="R122" s="74"/>
      <c r="S122" s="74"/>
      <c r="T122" s="74"/>
      <c r="U122" s="74"/>
      <c r="V122" s="74"/>
      <c r="W122" s="74"/>
      <c r="X122" s="74" t="s">
        <v>1250</v>
      </c>
      <c r="Y122" s="74"/>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67"/>
      <c r="BC122" s="10"/>
      <c r="BD122" s="10"/>
      <c r="BE122" s="10"/>
      <c r="BF122" s="10"/>
      <c r="BG122" s="10"/>
      <c r="BH122" s="10"/>
      <c r="BI122" s="51"/>
    </row>
    <row r="123" spans="1:61" ht="15.75" customHeight="1">
      <c r="A123" s="64"/>
      <c r="B123" s="67"/>
      <c r="C123" s="10"/>
      <c r="D123" s="10"/>
      <c r="E123" s="10"/>
      <c r="F123" s="10"/>
      <c r="G123" s="10"/>
      <c r="H123" s="10"/>
      <c r="I123" s="73"/>
      <c r="J123" s="71"/>
      <c r="K123" s="74"/>
      <c r="R123" s="74"/>
      <c r="S123" s="74"/>
      <c r="T123" s="74"/>
      <c r="U123" s="74"/>
      <c r="V123" s="74"/>
      <c r="W123" s="74"/>
      <c r="X123" s="74" t="s">
        <v>1258</v>
      </c>
      <c r="Y123" s="74"/>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67"/>
      <c r="BC123" s="10"/>
      <c r="BD123" s="10"/>
      <c r="BE123" s="10"/>
      <c r="BF123" s="10"/>
      <c r="BG123" s="10"/>
      <c r="BH123" s="10"/>
      <c r="BI123" s="51"/>
    </row>
    <row r="124" spans="1:61" ht="15.75" customHeight="1">
      <c r="A124" s="64"/>
      <c r="B124" s="67"/>
      <c r="C124" s="10"/>
      <c r="D124" s="10"/>
      <c r="E124" s="10"/>
      <c r="F124" s="10"/>
      <c r="G124" s="10"/>
      <c r="H124" s="10"/>
      <c r="I124" s="73"/>
      <c r="J124" s="71"/>
      <c r="K124" s="74"/>
      <c r="L124" s="74"/>
      <c r="M124" s="74"/>
      <c r="R124" s="74"/>
      <c r="S124" s="74"/>
      <c r="T124" s="74"/>
      <c r="U124" s="74"/>
      <c r="V124" s="74"/>
      <c r="W124" s="74"/>
      <c r="X124" s="74" t="s">
        <v>1181</v>
      </c>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67"/>
      <c r="BC124" s="10"/>
      <c r="BD124" s="10"/>
      <c r="BE124" s="10"/>
      <c r="BF124" s="10"/>
      <c r="BG124" s="10"/>
      <c r="BH124" s="10"/>
      <c r="BI124" s="51"/>
    </row>
    <row r="125" spans="1:61" ht="15.75" customHeight="1">
      <c r="A125" s="64"/>
      <c r="B125" s="67"/>
      <c r="C125" s="10"/>
      <c r="D125" s="10"/>
      <c r="E125" s="10"/>
      <c r="F125" s="10"/>
      <c r="G125" s="10"/>
      <c r="H125" s="10"/>
      <c r="I125" s="73"/>
      <c r="J125" s="71"/>
      <c r="K125" s="74"/>
      <c r="L125" s="74"/>
      <c r="M125" s="74"/>
      <c r="R125" s="74"/>
      <c r="S125" s="74"/>
      <c r="T125" s="74"/>
      <c r="U125" s="74"/>
      <c r="V125" s="74"/>
      <c r="W125" s="74"/>
      <c r="X125" s="74" t="s">
        <v>132</v>
      </c>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67"/>
      <c r="BC125" s="10"/>
      <c r="BD125" s="10"/>
      <c r="BE125" s="10"/>
      <c r="BF125" s="10"/>
      <c r="BG125" s="10"/>
      <c r="BH125" s="10"/>
      <c r="BI125" s="51"/>
    </row>
    <row r="126" spans="1:61" ht="15.75" customHeight="1">
      <c r="A126" s="64"/>
      <c r="B126" s="67"/>
      <c r="C126" s="10"/>
      <c r="D126" s="10"/>
      <c r="E126" s="10"/>
      <c r="F126" s="10"/>
      <c r="G126" s="10"/>
      <c r="H126" s="10"/>
      <c r="I126" s="73"/>
      <c r="J126" s="71"/>
      <c r="K126" s="74"/>
      <c r="L126" s="74"/>
      <c r="M126" s="74"/>
      <c r="O126" s="74" t="s">
        <v>1272</v>
      </c>
      <c r="P126" s="74"/>
      <c r="Q126" s="74"/>
      <c r="S126" s="74"/>
      <c r="T126" s="74"/>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67"/>
      <c r="BC126" s="10"/>
      <c r="BD126" s="10"/>
      <c r="BE126" s="10"/>
      <c r="BF126" s="10"/>
      <c r="BG126" s="10"/>
      <c r="BH126" s="10"/>
      <c r="BI126" s="51"/>
    </row>
    <row r="127" spans="1:61" ht="15.75" customHeight="1">
      <c r="A127" s="64"/>
      <c r="B127" s="67"/>
      <c r="C127" s="10"/>
      <c r="D127" s="10"/>
      <c r="E127" s="10"/>
      <c r="F127" s="10"/>
      <c r="G127" s="10"/>
      <c r="H127" s="10"/>
      <c r="I127" s="73"/>
      <c r="J127" s="71"/>
      <c r="K127" s="74"/>
      <c r="L127" s="74"/>
      <c r="M127" s="74"/>
      <c r="O127" s="74" t="s">
        <v>1297</v>
      </c>
      <c r="P127" s="74"/>
      <c r="Q127" s="74"/>
      <c r="S127" s="74"/>
      <c r="T127" s="74"/>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67"/>
      <c r="BC127" s="10"/>
      <c r="BD127" s="10"/>
      <c r="BE127" s="10"/>
      <c r="BF127" s="10"/>
      <c r="BG127" s="10"/>
      <c r="BH127" s="10"/>
      <c r="BI127" s="51"/>
    </row>
    <row r="128" spans="1:61" ht="15.75" customHeight="1">
      <c r="A128" s="64"/>
      <c r="B128" s="67"/>
      <c r="C128" s="10"/>
      <c r="D128" s="10"/>
      <c r="E128" s="10"/>
      <c r="F128" s="10"/>
      <c r="G128" s="10"/>
      <c r="H128" s="10"/>
      <c r="I128" s="73"/>
      <c r="J128" s="71"/>
      <c r="K128" s="74"/>
      <c r="L128" s="74"/>
      <c r="M128" s="74"/>
      <c r="N128" s="74"/>
      <c r="O128" s="74"/>
      <c r="P128" s="74"/>
      <c r="Q128" s="74"/>
      <c r="R128" s="74"/>
      <c r="S128" s="74"/>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67"/>
      <c r="BC128" s="10"/>
      <c r="BD128" s="10"/>
      <c r="BE128" s="10"/>
      <c r="BF128" s="10"/>
      <c r="BG128" s="10"/>
      <c r="BH128" s="10"/>
      <c r="BI128" s="51"/>
    </row>
    <row r="129" spans="1:63" ht="15.75" customHeight="1">
      <c r="A129" s="64"/>
      <c r="B129" s="67"/>
      <c r="C129" s="10"/>
      <c r="D129" s="10"/>
      <c r="E129" s="10"/>
      <c r="F129" s="10"/>
      <c r="G129" s="10"/>
      <c r="H129" s="10"/>
      <c r="I129" s="73"/>
      <c r="J129" s="71"/>
      <c r="K129" s="74"/>
      <c r="L129" s="74" t="s">
        <v>1242</v>
      </c>
      <c r="M129" s="74"/>
      <c r="N129" s="74" t="s">
        <v>1243</v>
      </c>
      <c r="O129" s="74"/>
      <c r="P129" s="74"/>
      <c r="Q129" s="74"/>
      <c r="R129" s="74"/>
      <c r="S129" s="74"/>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67"/>
      <c r="BC129" s="10"/>
      <c r="BD129" s="10"/>
      <c r="BE129" s="10"/>
      <c r="BF129" s="10"/>
      <c r="BG129" s="10"/>
      <c r="BH129" s="10"/>
      <c r="BI129" s="51"/>
    </row>
    <row r="130" spans="1:63" ht="15.75" customHeight="1">
      <c r="A130" s="64"/>
      <c r="B130" s="67"/>
      <c r="C130" s="10"/>
      <c r="D130" s="10"/>
      <c r="E130" s="10"/>
      <c r="F130" s="10"/>
      <c r="G130" s="10"/>
      <c r="H130" s="10"/>
      <c r="I130" s="73"/>
      <c r="J130" s="71"/>
      <c r="K130" s="74"/>
      <c r="L130" s="74"/>
      <c r="M130" s="74"/>
      <c r="N130" s="74" t="s">
        <v>1332</v>
      </c>
      <c r="O130" s="74"/>
      <c r="P130" s="74"/>
      <c r="Q130" s="74"/>
      <c r="R130" s="74"/>
      <c r="S130" s="74"/>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67" t="s">
        <v>1185</v>
      </c>
      <c r="BC130" s="10"/>
      <c r="BD130" s="10"/>
      <c r="BE130" s="10"/>
      <c r="BF130" s="10"/>
      <c r="BG130" s="10"/>
      <c r="BH130" s="10"/>
      <c r="BI130" s="51"/>
    </row>
    <row r="131" spans="1:63" ht="15.75" customHeight="1">
      <c r="A131" s="64"/>
      <c r="B131" s="67"/>
      <c r="C131" s="10"/>
      <c r="D131" s="10"/>
      <c r="E131" s="10"/>
      <c r="F131" s="10"/>
      <c r="G131" s="10"/>
      <c r="H131" s="10"/>
      <c r="I131" s="73"/>
      <c r="J131" s="71"/>
      <c r="K131" s="74"/>
      <c r="L131" s="74"/>
      <c r="M131" s="74"/>
      <c r="N131" s="74"/>
      <c r="O131" s="74"/>
      <c r="P131" s="74"/>
      <c r="Q131" s="74"/>
      <c r="R131" s="74"/>
      <c r="S131" s="74"/>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67"/>
      <c r="BC131" s="10"/>
      <c r="BD131" s="10" t="s">
        <v>1290</v>
      </c>
      <c r="BF131" s="10"/>
      <c r="BG131" s="10"/>
      <c r="BH131" s="10"/>
      <c r="BI131" s="51"/>
    </row>
    <row r="132" spans="1:63" ht="15.75" customHeight="1">
      <c r="A132" s="64"/>
      <c r="B132" s="67"/>
      <c r="C132" s="10"/>
      <c r="D132" s="10"/>
      <c r="E132" s="10"/>
      <c r="F132" s="10"/>
      <c r="G132" s="10"/>
      <c r="H132" s="10"/>
      <c r="I132" s="73"/>
      <c r="J132" s="71"/>
      <c r="K132" s="74"/>
      <c r="L132" s="74" t="s">
        <v>1248</v>
      </c>
      <c r="M132" s="74"/>
      <c r="N132" s="74" t="s">
        <v>1256</v>
      </c>
      <c r="O132" s="74"/>
      <c r="P132" s="74"/>
      <c r="Q132" s="74"/>
      <c r="R132" s="74"/>
      <c r="S132" s="74"/>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67"/>
      <c r="BC132" s="10"/>
      <c r="BD132" s="10"/>
      <c r="BE132" s="10"/>
      <c r="BF132" s="10"/>
      <c r="BG132" s="10"/>
      <c r="BH132" s="10"/>
      <c r="BI132" s="51"/>
    </row>
    <row r="133" spans="1:63" ht="15.75" customHeight="1">
      <c r="A133" s="64"/>
      <c r="B133" s="67"/>
      <c r="C133" s="10"/>
      <c r="D133" s="10"/>
      <c r="E133" s="10"/>
      <c r="F133" s="10"/>
      <c r="G133" s="10"/>
      <c r="H133" s="10"/>
      <c r="I133" s="73"/>
      <c r="J133" s="71"/>
      <c r="K133" s="74"/>
      <c r="L133" s="74"/>
      <c r="N133" s="74" t="s">
        <v>1299</v>
      </c>
      <c r="O133" s="74"/>
      <c r="P133" s="74"/>
      <c r="Q133" s="74"/>
      <c r="R133" s="74"/>
      <c r="S133" s="74"/>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67"/>
      <c r="BC133" s="10"/>
      <c r="BD133" s="10"/>
      <c r="BE133" s="10"/>
      <c r="BF133" s="10"/>
      <c r="BG133" s="10"/>
      <c r="BH133" s="10"/>
      <c r="BI133" s="51"/>
    </row>
    <row r="134" spans="1:63" ht="15.75" customHeight="1">
      <c r="A134" s="64"/>
      <c r="B134" s="67"/>
      <c r="C134" s="10"/>
      <c r="D134" s="10"/>
      <c r="E134" s="10"/>
      <c r="F134" s="10"/>
      <c r="G134" s="10"/>
      <c r="H134" s="10"/>
      <c r="I134" s="73"/>
      <c r="J134" s="71"/>
      <c r="K134" s="74"/>
      <c r="L134" s="74"/>
      <c r="M134" s="74"/>
      <c r="N134" s="74"/>
      <c r="O134" s="74"/>
      <c r="P134" s="74"/>
      <c r="Q134" s="74"/>
      <c r="R134" s="74"/>
      <c r="S134" s="74"/>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67"/>
      <c r="BC134" s="10"/>
      <c r="BD134" s="10"/>
      <c r="BE134" s="10"/>
      <c r="BF134" s="10"/>
      <c r="BG134" s="10"/>
      <c r="BH134" s="10"/>
      <c r="BI134" s="51"/>
    </row>
    <row r="135" spans="1:63" ht="15.75" customHeight="1">
      <c r="A135" s="64"/>
      <c r="B135" s="67"/>
      <c r="C135" s="10"/>
      <c r="D135" s="10"/>
      <c r="E135" s="10"/>
      <c r="F135" s="10"/>
      <c r="G135" s="10"/>
      <c r="H135" s="10"/>
      <c r="I135" s="73"/>
      <c r="J135" s="71" t="s">
        <v>1300</v>
      </c>
      <c r="K135" s="74" t="s">
        <v>1256</v>
      </c>
      <c r="L135" s="74"/>
      <c r="M135" s="74"/>
      <c r="N135" s="74"/>
      <c r="O135" s="74"/>
      <c r="P135" s="74"/>
      <c r="Q135" s="74"/>
      <c r="R135" s="74"/>
      <c r="S135" s="74"/>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67"/>
      <c r="BC135" s="10"/>
      <c r="BD135" s="10"/>
      <c r="BE135" s="10"/>
      <c r="BF135" s="10"/>
      <c r="BG135" s="10"/>
      <c r="BH135" s="10"/>
      <c r="BI135" s="51"/>
      <c r="BK135" s="2" t="s">
        <v>1391</v>
      </c>
    </row>
    <row r="136" spans="1:63" ht="15.75" customHeight="1">
      <c r="A136" s="64"/>
      <c r="B136" s="67"/>
      <c r="C136" s="10"/>
      <c r="D136" s="10"/>
      <c r="E136" s="10"/>
      <c r="F136" s="10"/>
      <c r="G136" s="10"/>
      <c r="H136" s="10"/>
      <c r="I136" s="73"/>
      <c r="J136" s="71"/>
      <c r="K136" s="74" t="s">
        <v>1238</v>
      </c>
      <c r="L136" s="74"/>
      <c r="M136" s="74" t="s">
        <v>1306</v>
      </c>
      <c r="N136" s="74"/>
      <c r="O136" s="74"/>
      <c r="Q136" s="74"/>
      <c r="R136" s="74"/>
      <c r="S136" s="74"/>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67"/>
      <c r="BC136" s="10"/>
      <c r="BD136" s="10"/>
      <c r="BE136" s="10"/>
      <c r="BF136" s="10"/>
      <c r="BG136" s="10"/>
      <c r="BH136" s="10"/>
      <c r="BI136" s="51"/>
    </row>
    <row r="137" spans="1:63" ht="15.75" customHeight="1">
      <c r="A137" s="64"/>
      <c r="B137" s="67"/>
      <c r="C137" s="10"/>
      <c r="D137" s="10"/>
      <c r="E137" s="10"/>
      <c r="F137" s="10"/>
      <c r="G137" s="10"/>
      <c r="H137" s="10"/>
      <c r="I137" s="73"/>
      <c r="J137" s="74"/>
      <c r="K137" s="74"/>
      <c r="L137" s="74"/>
      <c r="M137" s="74" t="s">
        <v>1278</v>
      </c>
      <c r="N137" s="74" t="s">
        <v>1410</v>
      </c>
      <c r="O137" s="74"/>
      <c r="Q137" s="74"/>
      <c r="R137" s="74"/>
      <c r="S137" s="74"/>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67"/>
      <c r="BC137" s="10"/>
      <c r="BD137" s="10"/>
      <c r="BE137" s="10"/>
      <c r="BF137" s="10"/>
      <c r="BG137" s="10"/>
      <c r="BH137" s="10"/>
      <c r="BI137" s="51"/>
    </row>
    <row r="138" spans="1:63" ht="15.75" customHeight="1">
      <c r="A138" s="64"/>
      <c r="B138" s="67"/>
      <c r="C138" s="10"/>
      <c r="D138" s="10"/>
      <c r="E138" s="10"/>
      <c r="F138" s="10"/>
      <c r="G138" s="10"/>
      <c r="H138" s="10"/>
      <c r="I138" s="73"/>
      <c r="J138" s="74"/>
      <c r="K138" s="74"/>
      <c r="L138" s="74"/>
      <c r="N138" s="466" t="s">
        <v>1311</v>
      </c>
      <c r="O138" s="467"/>
      <c r="P138" s="467"/>
      <c r="Q138" s="468"/>
      <c r="R138" s="467"/>
      <c r="S138" s="467"/>
      <c r="T138" s="467"/>
      <c r="U138" s="469" t="s">
        <v>1301</v>
      </c>
      <c r="V138" s="468"/>
      <c r="W138" s="468"/>
      <c r="X138" s="468"/>
      <c r="Y138" s="468"/>
      <c r="Z138" s="468"/>
      <c r="AA138" s="468"/>
      <c r="AB138" s="468"/>
      <c r="AC138" s="468"/>
      <c r="AD138" s="468"/>
      <c r="AE138" s="468"/>
      <c r="AF138" s="468"/>
      <c r="AG138" s="468"/>
      <c r="AH138" s="468"/>
      <c r="AI138" s="468"/>
      <c r="AJ138" s="468"/>
      <c r="AK138" s="468"/>
      <c r="AL138" s="468"/>
      <c r="AM138" s="470"/>
      <c r="AN138" s="10"/>
      <c r="AO138" s="10"/>
      <c r="AP138" s="10"/>
      <c r="AQ138" s="10"/>
      <c r="AR138" s="10"/>
      <c r="AS138" s="10"/>
      <c r="AT138" s="10"/>
      <c r="AU138" s="10"/>
      <c r="AV138" s="10"/>
      <c r="AW138" s="10"/>
      <c r="AX138" s="10"/>
      <c r="AY138" s="10"/>
      <c r="AZ138" s="10"/>
      <c r="BA138" s="10"/>
      <c r="BB138" s="67"/>
      <c r="BC138" s="10"/>
      <c r="BD138" s="10"/>
      <c r="BE138" s="10"/>
      <c r="BF138" s="10"/>
      <c r="BG138" s="10"/>
      <c r="BH138" s="10"/>
      <c r="BI138" s="51"/>
    </row>
    <row r="139" spans="1:63" ht="15.75" customHeight="1">
      <c r="A139" s="64"/>
      <c r="B139" s="67"/>
      <c r="C139" s="10"/>
      <c r="D139" s="10"/>
      <c r="E139" s="10"/>
      <c r="F139" s="10"/>
      <c r="G139" s="10"/>
      <c r="H139" s="10"/>
      <c r="I139" s="73"/>
      <c r="J139" s="74"/>
      <c r="K139" s="74"/>
      <c r="L139" s="74"/>
      <c r="N139" s="461" t="s">
        <v>1302</v>
      </c>
      <c r="O139" s="462"/>
      <c r="P139" s="462"/>
      <c r="Q139" s="463"/>
      <c r="R139" s="462"/>
      <c r="S139" s="462"/>
      <c r="T139" s="462"/>
      <c r="U139" s="465" t="s">
        <v>1304</v>
      </c>
      <c r="V139" s="463"/>
      <c r="W139" s="463"/>
      <c r="X139" s="463"/>
      <c r="Y139" s="463"/>
      <c r="Z139" s="463"/>
      <c r="AA139" s="463"/>
      <c r="AB139" s="463"/>
      <c r="AC139" s="463"/>
      <c r="AD139" s="463"/>
      <c r="AE139" s="463"/>
      <c r="AF139" s="463"/>
      <c r="AG139" s="463"/>
      <c r="AH139" s="463"/>
      <c r="AI139" s="463"/>
      <c r="AJ139" s="463"/>
      <c r="AK139" s="463"/>
      <c r="AL139" s="463"/>
      <c r="AM139" s="464"/>
      <c r="AN139" s="10"/>
      <c r="AO139" s="10"/>
      <c r="AP139" s="10"/>
      <c r="AQ139" s="10"/>
      <c r="AR139" s="10"/>
      <c r="AS139" s="10"/>
      <c r="AT139" s="10"/>
      <c r="AU139" s="10"/>
      <c r="AV139" s="10"/>
      <c r="AW139" s="10"/>
      <c r="AX139" s="10"/>
      <c r="AY139" s="10"/>
      <c r="AZ139" s="10"/>
      <c r="BA139" s="10"/>
      <c r="BB139" s="67"/>
      <c r="BC139" s="10"/>
      <c r="BD139" s="10"/>
      <c r="BE139" s="10"/>
      <c r="BF139" s="10"/>
      <c r="BG139" s="10"/>
      <c r="BH139" s="10"/>
      <c r="BI139" s="51"/>
    </row>
    <row r="140" spans="1:63" ht="15.75" customHeight="1">
      <c r="A140" s="64"/>
      <c r="B140" s="67"/>
      <c r="C140" s="10"/>
      <c r="D140" s="10"/>
      <c r="E140" s="10"/>
      <c r="F140" s="10"/>
      <c r="G140" s="10"/>
      <c r="H140" s="10"/>
      <c r="I140" s="73"/>
      <c r="J140" s="74"/>
      <c r="K140" s="74"/>
      <c r="L140" s="74"/>
      <c r="N140" s="461" t="s">
        <v>1303</v>
      </c>
      <c r="O140" s="462"/>
      <c r="P140" s="462"/>
      <c r="Q140" s="463"/>
      <c r="R140" s="462"/>
      <c r="S140" s="462"/>
      <c r="T140" s="462"/>
      <c r="U140" s="473" t="s">
        <v>1315</v>
      </c>
      <c r="V140" s="474"/>
      <c r="W140" s="474"/>
      <c r="X140" s="474"/>
      <c r="Y140" s="474"/>
      <c r="Z140" s="474"/>
      <c r="AA140" s="474"/>
      <c r="AB140" s="474"/>
      <c r="AC140" s="474"/>
      <c r="AD140" s="474"/>
      <c r="AE140" s="474"/>
      <c r="AF140" s="474"/>
      <c r="AG140" s="463"/>
      <c r="AH140" s="463"/>
      <c r="AI140" s="463"/>
      <c r="AJ140" s="463"/>
      <c r="AK140" s="463"/>
      <c r="AL140" s="463"/>
      <c r="AM140" s="464"/>
      <c r="AN140" s="10"/>
      <c r="AO140" s="10"/>
      <c r="AP140" s="10"/>
      <c r="AQ140" s="10"/>
      <c r="AR140" s="10"/>
      <c r="AS140" s="10"/>
      <c r="AT140" s="10"/>
      <c r="AU140" s="10"/>
      <c r="AV140" s="10"/>
      <c r="AW140" s="10"/>
      <c r="AX140" s="10"/>
      <c r="AY140" s="10"/>
      <c r="AZ140" s="10"/>
      <c r="BA140" s="10"/>
      <c r="BB140" s="67"/>
      <c r="BC140" s="10"/>
      <c r="BD140" s="10"/>
      <c r="BE140" s="10"/>
      <c r="BF140" s="10"/>
      <c r="BG140" s="10"/>
      <c r="BH140" s="10"/>
      <c r="BI140" s="51"/>
    </row>
    <row r="141" spans="1:63" ht="15.75" customHeight="1">
      <c r="A141" s="64"/>
      <c r="B141" s="67"/>
      <c r="C141" s="10"/>
      <c r="D141" s="10"/>
      <c r="E141" s="10"/>
      <c r="F141" s="10"/>
      <c r="G141" s="10"/>
      <c r="H141" s="10"/>
      <c r="I141" s="73"/>
      <c r="J141" s="74"/>
      <c r="K141" s="74"/>
      <c r="L141" s="74"/>
      <c r="N141" s="461" t="s">
        <v>1418</v>
      </c>
      <c r="O141" s="462"/>
      <c r="P141" s="462"/>
      <c r="Q141" s="463"/>
      <c r="R141" s="462"/>
      <c r="S141" s="462"/>
      <c r="T141" s="462"/>
      <c r="U141" s="473" t="s">
        <v>1419</v>
      </c>
      <c r="V141" s="474"/>
      <c r="W141" s="474"/>
      <c r="X141" s="474"/>
      <c r="Y141" s="474"/>
      <c r="Z141" s="474"/>
      <c r="AA141" s="474"/>
      <c r="AB141" s="474"/>
      <c r="AC141" s="474"/>
      <c r="AD141" s="474"/>
      <c r="AE141" s="474"/>
      <c r="AF141" s="474"/>
      <c r="AG141" s="463"/>
      <c r="AH141" s="463"/>
      <c r="AI141" s="463"/>
      <c r="AJ141" s="463"/>
      <c r="AK141" s="463"/>
      <c r="AL141" s="463"/>
      <c r="AM141" s="464"/>
      <c r="AN141" s="10"/>
      <c r="AO141" s="10"/>
      <c r="AP141" s="10"/>
      <c r="AQ141" s="10"/>
      <c r="AR141" s="10"/>
      <c r="AS141" s="10"/>
      <c r="AT141" s="10"/>
      <c r="AU141" s="10"/>
      <c r="AV141" s="10"/>
      <c r="AW141" s="10"/>
      <c r="AX141" s="10"/>
      <c r="AY141" s="10"/>
      <c r="AZ141" s="10"/>
      <c r="BA141" s="10"/>
      <c r="BB141" s="67"/>
      <c r="BC141" s="10"/>
      <c r="BD141" s="10"/>
      <c r="BE141" s="10"/>
      <c r="BF141" s="10"/>
      <c r="BG141" s="10"/>
      <c r="BH141" s="10"/>
      <c r="BI141" s="51"/>
    </row>
    <row r="142" spans="1:63" ht="15.75" customHeight="1">
      <c r="A142" s="64"/>
      <c r="B142" s="67"/>
      <c r="C142" s="10"/>
      <c r="D142" s="10"/>
      <c r="E142" s="10"/>
      <c r="F142" s="10"/>
      <c r="G142" s="10"/>
      <c r="H142" s="10"/>
      <c r="I142" s="73"/>
      <c r="J142" s="74"/>
      <c r="K142" s="74"/>
      <c r="L142" s="74"/>
      <c r="N142" s="74"/>
      <c r="O142" s="74"/>
      <c r="P142" s="74"/>
      <c r="Q142" s="10"/>
      <c r="R142" s="74"/>
      <c r="S142" s="74"/>
      <c r="T142" s="74"/>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67"/>
      <c r="BC142" s="10"/>
      <c r="BD142" s="10"/>
      <c r="BE142" s="10"/>
      <c r="BF142" s="10"/>
      <c r="BG142" s="10"/>
      <c r="BH142" s="10"/>
      <c r="BI142" s="51"/>
    </row>
    <row r="143" spans="1:63" ht="15.75" customHeight="1">
      <c r="A143" s="64"/>
      <c r="B143" s="67"/>
      <c r="C143" s="10"/>
      <c r="D143" s="10"/>
      <c r="E143" s="10"/>
      <c r="F143" s="10"/>
      <c r="G143" s="10"/>
      <c r="H143" s="10"/>
      <c r="I143" s="73"/>
      <c r="J143" s="74"/>
      <c r="K143" s="74"/>
      <c r="L143" s="74"/>
      <c r="M143" s="74" t="s">
        <v>1279</v>
      </c>
      <c r="N143" s="74" t="s">
        <v>1411</v>
      </c>
      <c r="O143" s="74"/>
      <c r="Q143" s="74"/>
      <c r="R143" s="74"/>
      <c r="S143" s="74"/>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67"/>
      <c r="BC143" s="10"/>
      <c r="BD143" s="10"/>
      <c r="BE143" s="10"/>
      <c r="BF143" s="10"/>
      <c r="BG143" s="10"/>
      <c r="BH143" s="10"/>
      <c r="BI143" s="51"/>
    </row>
    <row r="144" spans="1:63" ht="15.75" customHeight="1">
      <c r="A144" s="64"/>
      <c r="B144" s="67"/>
      <c r="C144" s="10"/>
      <c r="D144" s="10"/>
      <c r="E144" s="10"/>
      <c r="F144" s="10"/>
      <c r="G144" s="10"/>
      <c r="H144" s="10"/>
      <c r="I144" s="73"/>
      <c r="J144" s="74"/>
      <c r="K144" s="74"/>
      <c r="L144" s="74"/>
      <c r="N144" s="466" t="s">
        <v>1311</v>
      </c>
      <c r="O144" s="467"/>
      <c r="P144" s="467"/>
      <c r="Q144" s="468"/>
      <c r="R144" s="467"/>
      <c r="S144" s="467"/>
      <c r="T144" s="467"/>
      <c r="U144" s="469" t="s">
        <v>1301</v>
      </c>
      <c r="V144" s="468"/>
      <c r="W144" s="468"/>
      <c r="X144" s="468"/>
      <c r="Y144" s="468"/>
      <c r="Z144" s="468"/>
      <c r="AA144" s="468"/>
      <c r="AB144" s="468"/>
      <c r="AC144" s="468"/>
      <c r="AD144" s="468"/>
      <c r="AE144" s="468"/>
      <c r="AF144" s="468"/>
      <c r="AG144" s="468"/>
      <c r="AH144" s="468"/>
      <c r="AI144" s="468"/>
      <c r="AJ144" s="468"/>
      <c r="AK144" s="468"/>
      <c r="AL144" s="468"/>
      <c r="AM144" s="470"/>
      <c r="AN144" s="10"/>
      <c r="AO144" s="10"/>
      <c r="AP144" s="10"/>
      <c r="AQ144" s="10"/>
      <c r="AR144" s="10"/>
      <c r="AS144" s="10"/>
      <c r="AT144" s="10"/>
      <c r="AU144" s="10"/>
      <c r="AV144" s="10"/>
      <c r="AW144" s="10"/>
      <c r="AX144" s="10"/>
      <c r="AY144" s="10"/>
      <c r="AZ144" s="10"/>
      <c r="BA144" s="10"/>
      <c r="BB144" s="67"/>
      <c r="BC144" s="10"/>
      <c r="BD144" s="10"/>
      <c r="BE144" s="10"/>
      <c r="BF144" s="10"/>
      <c r="BG144" s="10"/>
      <c r="BH144" s="10"/>
      <c r="BI144" s="51"/>
    </row>
    <row r="145" spans="1:61" ht="15.75" customHeight="1">
      <c r="A145" s="64"/>
      <c r="B145" s="67"/>
      <c r="C145" s="10"/>
      <c r="D145" s="10"/>
      <c r="E145" s="10"/>
      <c r="F145" s="10"/>
      <c r="G145" s="10"/>
      <c r="H145" s="10"/>
      <c r="I145" s="73"/>
      <c r="J145" s="74"/>
      <c r="K145" s="74"/>
      <c r="L145" s="74"/>
      <c r="N145" s="461" t="s">
        <v>1302</v>
      </c>
      <c r="O145" s="462"/>
      <c r="P145" s="462"/>
      <c r="Q145" s="463"/>
      <c r="R145" s="462"/>
      <c r="S145" s="462"/>
      <c r="T145" s="462"/>
      <c r="U145" s="465" t="s">
        <v>1304</v>
      </c>
      <c r="V145" s="463"/>
      <c r="W145" s="463"/>
      <c r="X145" s="463"/>
      <c r="Y145" s="463"/>
      <c r="Z145" s="474"/>
      <c r="AA145" s="474"/>
      <c r="AB145" s="474"/>
      <c r="AC145" s="474"/>
      <c r="AD145" s="474"/>
      <c r="AE145" s="474"/>
      <c r="AF145" s="474"/>
      <c r="AG145" s="474"/>
      <c r="AH145" s="463"/>
      <c r="AI145" s="463"/>
      <c r="AJ145" s="463"/>
      <c r="AK145" s="463"/>
      <c r="AL145" s="463"/>
      <c r="AM145" s="464"/>
      <c r="AN145" s="10"/>
      <c r="AO145" s="10"/>
      <c r="AP145" s="10"/>
      <c r="AQ145" s="10"/>
      <c r="AR145" s="10"/>
      <c r="AS145" s="10"/>
      <c r="AT145" s="10"/>
      <c r="AU145" s="10"/>
      <c r="AV145" s="10"/>
      <c r="AW145" s="10"/>
      <c r="AX145" s="10"/>
      <c r="AY145" s="10"/>
      <c r="AZ145" s="10"/>
      <c r="BA145" s="10"/>
      <c r="BB145" s="67"/>
      <c r="BC145" s="10"/>
      <c r="BD145" s="10"/>
      <c r="BE145" s="10"/>
      <c r="BF145" s="10"/>
      <c r="BG145" s="10"/>
      <c r="BH145" s="10"/>
      <c r="BI145" s="51"/>
    </row>
    <row r="146" spans="1:61" ht="15.75" customHeight="1">
      <c r="A146" s="64"/>
      <c r="B146" s="67"/>
      <c r="C146" s="10"/>
      <c r="D146" s="10"/>
      <c r="E146" s="10"/>
      <c r="F146" s="10"/>
      <c r="G146" s="10"/>
      <c r="H146" s="10"/>
      <c r="I146" s="73"/>
      <c r="J146" s="74"/>
      <c r="K146" s="74"/>
      <c r="L146" s="74"/>
      <c r="N146" s="461" t="s">
        <v>1303</v>
      </c>
      <c r="O146" s="462"/>
      <c r="P146" s="462"/>
      <c r="Q146" s="463"/>
      <c r="R146" s="462"/>
      <c r="S146" s="462"/>
      <c r="T146" s="462"/>
      <c r="U146" s="473" t="s">
        <v>1315</v>
      </c>
      <c r="V146" s="474"/>
      <c r="W146" s="474"/>
      <c r="X146" s="474"/>
      <c r="Y146" s="474"/>
      <c r="Z146" s="474"/>
      <c r="AA146" s="474"/>
      <c r="AB146" s="474"/>
      <c r="AC146" s="474"/>
      <c r="AD146" s="474"/>
      <c r="AE146" s="474"/>
      <c r="AF146" s="474"/>
      <c r="AG146" s="474"/>
      <c r="AH146" s="474"/>
      <c r="AI146" s="474"/>
      <c r="AJ146" s="463"/>
      <c r="AK146" s="463"/>
      <c r="AL146" s="463"/>
      <c r="AM146" s="464"/>
      <c r="AN146" s="10"/>
      <c r="AO146" s="10"/>
      <c r="AP146" s="10"/>
      <c r="AQ146" s="10"/>
      <c r="AR146" s="10"/>
      <c r="AS146" s="10"/>
      <c r="AT146" s="10"/>
      <c r="AU146" s="10"/>
      <c r="AV146" s="10"/>
      <c r="AW146" s="10"/>
      <c r="AX146" s="10"/>
      <c r="AY146" s="10"/>
      <c r="AZ146" s="10"/>
      <c r="BA146" s="10"/>
      <c r="BB146" s="67"/>
      <c r="BC146" s="10"/>
      <c r="BD146" s="10"/>
      <c r="BE146" s="10"/>
      <c r="BF146" s="10"/>
      <c r="BG146" s="10"/>
      <c r="BH146" s="10"/>
      <c r="BI146" s="51"/>
    </row>
    <row r="147" spans="1:61" ht="15.75" customHeight="1">
      <c r="A147" s="64"/>
      <c r="B147" s="67"/>
      <c r="C147" s="10"/>
      <c r="D147" s="10"/>
      <c r="E147" s="10"/>
      <c r="F147" s="10"/>
      <c r="G147" s="10"/>
      <c r="H147" s="10"/>
      <c r="I147" s="73"/>
      <c r="J147" s="74"/>
      <c r="K147" s="74"/>
      <c r="L147" s="74"/>
      <c r="N147" s="461" t="s">
        <v>1418</v>
      </c>
      <c r="O147" s="462"/>
      <c r="P147" s="462"/>
      <c r="Q147" s="463"/>
      <c r="R147" s="462"/>
      <c r="S147" s="462"/>
      <c r="T147" s="462"/>
      <c r="U147" s="473" t="s">
        <v>1419</v>
      </c>
      <c r="V147" s="474"/>
      <c r="W147" s="474"/>
      <c r="X147" s="474"/>
      <c r="Y147" s="474"/>
      <c r="Z147" s="474"/>
      <c r="AA147" s="474"/>
      <c r="AB147" s="474"/>
      <c r="AC147" s="474"/>
      <c r="AD147" s="474"/>
      <c r="AE147" s="474"/>
      <c r="AF147" s="474"/>
      <c r="AG147" s="463"/>
      <c r="AH147" s="463"/>
      <c r="AI147" s="463"/>
      <c r="AJ147" s="463"/>
      <c r="AK147" s="463"/>
      <c r="AL147" s="463"/>
      <c r="AM147" s="464"/>
      <c r="AN147" s="10"/>
      <c r="AO147" s="10"/>
      <c r="AP147" s="10"/>
      <c r="AQ147" s="10"/>
      <c r="AR147" s="10"/>
      <c r="AS147" s="10"/>
      <c r="AT147" s="10"/>
      <c r="AU147" s="10"/>
      <c r="AV147" s="10"/>
      <c r="AW147" s="10"/>
      <c r="AX147" s="10"/>
      <c r="AY147" s="10"/>
      <c r="AZ147" s="10"/>
      <c r="BA147" s="10"/>
      <c r="BB147" s="67"/>
      <c r="BC147" s="10"/>
      <c r="BD147" s="10"/>
      <c r="BE147" s="10"/>
      <c r="BF147" s="10"/>
      <c r="BG147" s="10"/>
      <c r="BH147" s="10"/>
      <c r="BI147" s="51"/>
    </row>
    <row r="148" spans="1:61" ht="15.75" customHeight="1">
      <c r="A148" s="64"/>
      <c r="B148" s="67"/>
      <c r="C148" s="10"/>
      <c r="D148" s="10"/>
      <c r="E148" s="10"/>
      <c r="F148" s="10"/>
      <c r="G148" s="10"/>
      <c r="H148" s="10"/>
      <c r="I148" s="73"/>
      <c r="J148" s="74"/>
      <c r="K148" s="74"/>
      <c r="L148" s="74"/>
      <c r="N148" s="522" t="s">
        <v>1412</v>
      </c>
      <c r="O148" s="523"/>
      <c r="P148" s="523"/>
      <c r="Q148" s="524"/>
      <c r="R148" s="523"/>
      <c r="S148" s="523"/>
      <c r="T148" s="525"/>
      <c r="U148" s="530" t="s">
        <v>1415</v>
      </c>
      <c r="V148" s="531"/>
      <c r="W148" s="531"/>
      <c r="X148" s="531"/>
      <c r="Y148" s="531"/>
      <c r="Z148" s="531"/>
      <c r="AA148" s="531"/>
      <c r="AB148" s="531"/>
      <c r="AC148" s="531"/>
      <c r="AD148" s="531"/>
      <c r="AE148" s="531"/>
      <c r="AF148" s="531"/>
      <c r="AG148" s="531"/>
      <c r="AH148" s="524"/>
      <c r="AI148" s="524"/>
      <c r="AJ148" s="524"/>
      <c r="AK148" s="524"/>
      <c r="AL148" s="524"/>
      <c r="AM148" s="532"/>
      <c r="AN148" s="10"/>
      <c r="AO148" s="10"/>
      <c r="AP148" s="10"/>
      <c r="AQ148" s="10"/>
      <c r="AR148" s="10"/>
      <c r="AS148" s="10"/>
      <c r="AT148" s="10"/>
      <c r="AU148" s="10"/>
      <c r="AV148" s="10"/>
      <c r="AW148" s="10"/>
      <c r="AX148" s="10"/>
      <c r="AY148" s="10"/>
      <c r="AZ148" s="10"/>
      <c r="BA148" s="10"/>
      <c r="BB148" s="67"/>
      <c r="BC148" s="10"/>
      <c r="BD148" s="10"/>
      <c r="BE148" s="10"/>
      <c r="BF148" s="10"/>
      <c r="BG148" s="10"/>
      <c r="BH148" s="10"/>
      <c r="BI148" s="51"/>
    </row>
    <row r="149" spans="1:61" ht="15.75" customHeight="1">
      <c r="A149" s="64"/>
      <c r="B149" s="67"/>
      <c r="C149" s="10"/>
      <c r="D149" s="10"/>
      <c r="E149" s="10"/>
      <c r="F149" s="10"/>
      <c r="G149" s="10"/>
      <c r="H149" s="10"/>
      <c r="I149" s="73"/>
      <c r="J149" s="74"/>
      <c r="K149" s="74"/>
      <c r="L149" s="74"/>
      <c r="N149" s="71"/>
      <c r="O149" s="74"/>
      <c r="P149" s="74"/>
      <c r="Q149" s="10"/>
      <c r="R149" s="74"/>
      <c r="S149" s="74"/>
      <c r="T149" s="526"/>
      <c r="U149" s="533" t="s">
        <v>1416</v>
      </c>
      <c r="V149" s="77"/>
      <c r="W149" s="77"/>
      <c r="X149" s="77"/>
      <c r="Y149" s="77"/>
      <c r="Z149" s="77"/>
      <c r="AA149" s="77"/>
      <c r="AB149" s="77"/>
      <c r="AC149" s="77"/>
      <c r="AD149" s="77"/>
      <c r="AE149" s="77"/>
      <c r="AF149" s="77"/>
      <c r="AG149" s="77"/>
      <c r="AH149" s="10"/>
      <c r="AI149" s="10"/>
      <c r="AJ149" s="10"/>
      <c r="AK149" s="10"/>
      <c r="AL149" s="10"/>
      <c r="AM149" s="73"/>
      <c r="AN149" s="10"/>
      <c r="AO149" s="10"/>
      <c r="AP149" s="10"/>
      <c r="AQ149" s="10"/>
      <c r="AR149" s="10"/>
      <c r="AS149" s="10"/>
      <c r="AT149" s="10"/>
      <c r="AU149" s="10"/>
      <c r="AV149" s="10"/>
      <c r="AW149" s="10"/>
      <c r="AX149" s="10"/>
      <c r="AY149" s="10"/>
      <c r="AZ149" s="10"/>
      <c r="BA149" s="10"/>
      <c r="BB149" s="67"/>
      <c r="BC149" s="10"/>
      <c r="BD149" s="10"/>
      <c r="BE149" s="10"/>
      <c r="BF149" s="10"/>
      <c r="BG149" s="10"/>
      <c r="BH149" s="10"/>
      <c r="BI149" s="51"/>
    </row>
    <row r="150" spans="1:61" ht="15.75" customHeight="1">
      <c r="A150" s="64"/>
      <c r="B150" s="67"/>
      <c r="C150" s="10"/>
      <c r="D150" s="10"/>
      <c r="E150" s="10"/>
      <c r="F150" s="10"/>
      <c r="G150" s="10"/>
      <c r="H150" s="10"/>
      <c r="I150" s="73"/>
      <c r="J150" s="74"/>
      <c r="K150" s="74"/>
      <c r="L150" s="74"/>
      <c r="N150" s="71"/>
      <c r="O150" s="74"/>
      <c r="P150" s="74"/>
      <c r="Q150" s="10"/>
      <c r="R150" s="74"/>
      <c r="S150" s="74"/>
      <c r="T150" s="526"/>
      <c r="U150" s="533" t="s">
        <v>1417</v>
      </c>
      <c r="V150" s="77"/>
      <c r="W150" s="77"/>
      <c r="X150" s="77"/>
      <c r="Y150" s="77"/>
      <c r="Z150" s="77"/>
      <c r="AA150" s="77"/>
      <c r="AB150" s="77"/>
      <c r="AC150" s="77"/>
      <c r="AD150" s="77"/>
      <c r="AE150" s="77"/>
      <c r="AF150" s="77"/>
      <c r="AG150" s="77"/>
      <c r="AH150" s="10"/>
      <c r="AI150" s="10"/>
      <c r="AJ150" s="10"/>
      <c r="AK150" s="10"/>
      <c r="AL150" s="10"/>
      <c r="AM150" s="73"/>
      <c r="AN150" s="10"/>
      <c r="AO150" s="10"/>
      <c r="AP150" s="10"/>
      <c r="AQ150" s="10"/>
      <c r="AR150" s="10"/>
      <c r="AS150" s="10"/>
      <c r="AT150" s="10"/>
      <c r="AU150" s="10"/>
      <c r="AV150" s="10"/>
      <c r="AW150" s="10"/>
      <c r="AX150" s="10"/>
      <c r="AY150" s="10"/>
      <c r="AZ150" s="10"/>
      <c r="BA150" s="10"/>
      <c r="BB150" s="67"/>
      <c r="BC150" s="10"/>
      <c r="BD150" s="10"/>
      <c r="BE150" s="10"/>
      <c r="BF150" s="10"/>
      <c r="BG150" s="10"/>
      <c r="BH150" s="10"/>
      <c r="BI150" s="51"/>
    </row>
    <row r="151" spans="1:61" ht="15.75" customHeight="1">
      <c r="A151" s="64"/>
      <c r="B151" s="67"/>
      <c r="C151" s="10"/>
      <c r="D151" s="10"/>
      <c r="E151" s="10"/>
      <c r="F151" s="10"/>
      <c r="G151" s="10"/>
      <c r="H151" s="10"/>
      <c r="I151" s="73"/>
      <c r="J151" s="74"/>
      <c r="K151" s="74"/>
      <c r="L151" s="74"/>
      <c r="N151" s="527"/>
      <c r="O151" s="528"/>
      <c r="P151" s="528"/>
      <c r="Q151" s="83"/>
      <c r="R151" s="528"/>
      <c r="S151" s="528"/>
      <c r="T151" s="529"/>
      <c r="U151" s="534" t="s">
        <v>1414</v>
      </c>
      <c r="V151" s="535"/>
      <c r="W151" s="535"/>
      <c r="X151" s="535"/>
      <c r="Y151" s="535"/>
      <c r="Z151" s="535"/>
      <c r="AA151" s="535"/>
      <c r="AB151" s="535"/>
      <c r="AC151" s="535"/>
      <c r="AD151" s="535"/>
      <c r="AE151" s="535"/>
      <c r="AF151" s="535"/>
      <c r="AG151" s="535"/>
      <c r="AH151" s="83"/>
      <c r="AI151" s="83"/>
      <c r="AJ151" s="83"/>
      <c r="AK151" s="83"/>
      <c r="AL151" s="83"/>
      <c r="AM151" s="88"/>
      <c r="AN151" s="10"/>
      <c r="AO151" s="10"/>
      <c r="AP151" s="10"/>
      <c r="AQ151" s="10"/>
      <c r="AR151" s="10"/>
      <c r="AS151" s="10"/>
      <c r="AT151" s="10"/>
      <c r="AU151" s="10"/>
      <c r="AV151" s="10"/>
      <c r="AW151" s="10"/>
      <c r="AX151" s="10"/>
      <c r="AY151" s="10"/>
      <c r="AZ151" s="10"/>
      <c r="BA151" s="10"/>
      <c r="BB151" s="67"/>
      <c r="BC151" s="10"/>
      <c r="BD151" s="10"/>
      <c r="BE151" s="10"/>
      <c r="BF151" s="10"/>
      <c r="BG151" s="10"/>
      <c r="BH151" s="10"/>
      <c r="BI151" s="51"/>
    </row>
    <row r="152" spans="1:61" ht="15.75" customHeight="1">
      <c r="A152" s="64"/>
      <c r="B152" s="67"/>
      <c r="C152" s="10"/>
      <c r="D152" s="10"/>
      <c r="E152" s="10"/>
      <c r="F152" s="10"/>
      <c r="G152" s="10"/>
      <c r="H152" s="10"/>
      <c r="I152" s="73"/>
      <c r="J152" s="74"/>
      <c r="K152" s="74"/>
      <c r="L152" s="74"/>
      <c r="N152" s="74"/>
      <c r="O152" s="74"/>
      <c r="P152" s="74"/>
      <c r="Q152" s="10"/>
      <c r="R152" s="74"/>
      <c r="S152" s="74"/>
      <c r="T152" s="74"/>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67"/>
      <c r="BC152" s="10"/>
      <c r="BD152" s="10"/>
      <c r="BE152" s="10"/>
      <c r="BF152" s="10"/>
      <c r="BG152" s="10"/>
      <c r="BH152" s="10"/>
      <c r="BI152" s="51"/>
    </row>
    <row r="153" spans="1:61" ht="15.75" customHeight="1">
      <c r="A153" s="64"/>
      <c r="B153" s="67"/>
      <c r="C153" s="10"/>
      <c r="D153" s="10"/>
      <c r="E153" s="10"/>
      <c r="F153" s="10"/>
      <c r="G153" s="10"/>
      <c r="H153" s="10"/>
      <c r="I153" s="73"/>
      <c r="J153" s="74"/>
      <c r="K153" s="74"/>
      <c r="L153" s="74"/>
      <c r="M153" s="74" t="s">
        <v>1413</v>
      </c>
      <c r="N153" s="74" t="s">
        <v>1305</v>
      </c>
      <c r="O153" s="74"/>
      <c r="Q153" s="74"/>
      <c r="R153" s="74"/>
      <c r="S153" s="74"/>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67"/>
      <c r="BC153" s="10"/>
      <c r="BD153" s="10"/>
      <c r="BE153" s="10"/>
      <c r="BF153" s="10"/>
      <c r="BG153" s="10"/>
      <c r="BH153" s="10"/>
      <c r="BI153" s="51"/>
    </row>
    <row r="154" spans="1:61" ht="15.75" customHeight="1">
      <c r="A154" s="64"/>
      <c r="B154" s="67"/>
      <c r="C154" s="10"/>
      <c r="D154" s="10"/>
      <c r="E154" s="10"/>
      <c r="F154" s="10"/>
      <c r="G154" s="10"/>
      <c r="H154" s="10"/>
      <c r="I154" s="73"/>
      <c r="J154" s="74"/>
      <c r="K154" s="74"/>
      <c r="L154" s="74"/>
      <c r="N154" s="466" t="s">
        <v>1311</v>
      </c>
      <c r="O154" s="467"/>
      <c r="P154" s="467"/>
      <c r="Q154" s="468"/>
      <c r="R154" s="467"/>
      <c r="S154" s="467"/>
      <c r="T154" s="467"/>
      <c r="U154" s="469" t="s">
        <v>1301</v>
      </c>
      <c r="V154" s="468"/>
      <c r="W154" s="468"/>
      <c r="X154" s="468"/>
      <c r="Y154" s="468"/>
      <c r="Z154" s="468"/>
      <c r="AA154" s="468"/>
      <c r="AB154" s="468"/>
      <c r="AC154" s="468"/>
      <c r="AD154" s="468"/>
      <c r="AE154" s="468"/>
      <c r="AF154" s="468"/>
      <c r="AG154" s="468"/>
      <c r="AH154" s="468"/>
      <c r="AI154" s="468"/>
      <c r="AJ154" s="468"/>
      <c r="AK154" s="468"/>
      <c r="AL154" s="468"/>
      <c r="AM154" s="470"/>
      <c r="AN154" s="10"/>
      <c r="AO154" s="10"/>
      <c r="AP154" s="10"/>
      <c r="AQ154" s="10"/>
      <c r="AR154" s="10"/>
      <c r="AS154" s="10"/>
      <c r="AT154" s="10"/>
      <c r="AU154" s="10"/>
      <c r="AV154" s="10"/>
      <c r="AW154" s="10"/>
      <c r="AX154" s="10"/>
      <c r="AY154" s="10"/>
      <c r="AZ154" s="10"/>
      <c r="BA154" s="10"/>
      <c r="BB154" s="67"/>
      <c r="BC154" s="10"/>
      <c r="BD154" s="10"/>
      <c r="BE154" s="10"/>
      <c r="BF154" s="10"/>
      <c r="BG154" s="10"/>
      <c r="BH154" s="10"/>
      <c r="BI154" s="51"/>
    </row>
    <row r="155" spans="1:61" ht="15.75" customHeight="1">
      <c r="A155" s="64"/>
      <c r="B155" s="67"/>
      <c r="C155" s="10"/>
      <c r="D155" s="10"/>
      <c r="E155" s="10"/>
      <c r="F155" s="10"/>
      <c r="G155" s="10"/>
      <c r="H155" s="10"/>
      <c r="I155" s="73"/>
      <c r="J155" s="74"/>
      <c r="K155" s="74"/>
      <c r="L155" s="74"/>
      <c r="N155" s="461" t="s">
        <v>1303</v>
      </c>
      <c r="O155" s="462"/>
      <c r="P155" s="462"/>
      <c r="Q155" s="463"/>
      <c r="R155" s="462"/>
      <c r="S155" s="462"/>
      <c r="T155" s="462"/>
      <c r="U155" s="473" t="s">
        <v>1315</v>
      </c>
      <c r="V155" s="474"/>
      <c r="W155" s="474"/>
      <c r="X155" s="474"/>
      <c r="Y155" s="474"/>
      <c r="Z155" s="474"/>
      <c r="AA155" s="474"/>
      <c r="AB155" s="474"/>
      <c r="AC155" s="474"/>
      <c r="AD155" s="474"/>
      <c r="AE155" s="474"/>
      <c r="AF155" s="474"/>
      <c r="AG155" s="474"/>
      <c r="AH155" s="463"/>
      <c r="AI155" s="463"/>
      <c r="AJ155" s="463"/>
      <c r="AK155" s="463"/>
      <c r="AL155" s="463"/>
      <c r="AM155" s="464"/>
      <c r="AN155" s="10"/>
      <c r="AO155" s="10"/>
      <c r="AP155" s="10"/>
      <c r="AQ155" s="10"/>
      <c r="AR155" s="10"/>
      <c r="AS155" s="10"/>
      <c r="AT155" s="10"/>
      <c r="AU155" s="10"/>
      <c r="AV155" s="10"/>
      <c r="AW155" s="10"/>
      <c r="AX155" s="10"/>
      <c r="AY155" s="10"/>
      <c r="AZ155" s="10"/>
      <c r="BA155" s="10"/>
      <c r="BB155" s="67"/>
      <c r="BC155" s="10"/>
      <c r="BD155" s="10"/>
      <c r="BE155" s="10"/>
      <c r="BF155" s="10"/>
      <c r="BG155" s="10"/>
      <c r="BH155" s="10"/>
      <c r="BI155" s="51"/>
    </row>
    <row r="156" spans="1:61" ht="15.75" customHeight="1">
      <c r="A156" s="64"/>
      <c r="B156" s="67"/>
      <c r="C156" s="10"/>
      <c r="D156" s="10"/>
      <c r="E156" s="10"/>
      <c r="F156" s="10"/>
      <c r="G156" s="10"/>
      <c r="H156" s="10"/>
      <c r="I156" s="73"/>
      <c r="J156" s="74"/>
      <c r="K156" s="74"/>
      <c r="L156" s="74"/>
      <c r="N156" s="461" t="s">
        <v>1418</v>
      </c>
      <c r="O156" s="462"/>
      <c r="P156" s="462"/>
      <c r="Q156" s="463"/>
      <c r="R156" s="462"/>
      <c r="S156" s="462"/>
      <c r="T156" s="462"/>
      <c r="U156" s="473" t="s">
        <v>1419</v>
      </c>
      <c r="V156" s="474"/>
      <c r="W156" s="474"/>
      <c r="X156" s="474"/>
      <c r="Y156" s="474"/>
      <c r="Z156" s="474"/>
      <c r="AA156" s="474"/>
      <c r="AB156" s="474"/>
      <c r="AC156" s="474"/>
      <c r="AD156" s="474"/>
      <c r="AE156" s="474"/>
      <c r="AF156" s="474"/>
      <c r="AG156" s="463"/>
      <c r="AH156" s="463"/>
      <c r="AI156" s="463"/>
      <c r="AJ156" s="463"/>
      <c r="AK156" s="463"/>
      <c r="AL156" s="463"/>
      <c r="AM156" s="464"/>
      <c r="AN156" s="10"/>
      <c r="AO156" s="10"/>
      <c r="AP156" s="10"/>
      <c r="AQ156" s="10"/>
      <c r="AR156" s="10"/>
      <c r="AS156" s="10"/>
      <c r="AT156" s="10"/>
      <c r="AU156" s="10"/>
      <c r="AV156" s="10"/>
      <c r="AW156" s="10"/>
      <c r="AX156" s="10"/>
      <c r="AY156" s="10"/>
      <c r="AZ156" s="10"/>
      <c r="BA156" s="10"/>
      <c r="BB156" s="67"/>
      <c r="BC156" s="10"/>
      <c r="BD156" s="10"/>
      <c r="BE156" s="10"/>
      <c r="BF156" s="10"/>
      <c r="BG156" s="10"/>
      <c r="BH156" s="10"/>
      <c r="BI156" s="51"/>
    </row>
    <row r="157" spans="1:61" ht="15.75" customHeight="1">
      <c r="A157" s="64"/>
      <c r="B157" s="67"/>
      <c r="C157" s="10"/>
      <c r="D157" s="10"/>
      <c r="E157" s="10"/>
      <c r="F157" s="10"/>
      <c r="G157" s="10"/>
      <c r="H157" s="10"/>
      <c r="I157" s="73"/>
      <c r="J157" s="74"/>
      <c r="K157" s="74"/>
      <c r="L157" s="74"/>
      <c r="N157" s="461" t="s">
        <v>1307</v>
      </c>
      <c r="O157" s="462"/>
      <c r="P157" s="462"/>
      <c r="Q157" s="463"/>
      <c r="R157" s="462"/>
      <c r="S157" s="462"/>
      <c r="T157" s="462"/>
      <c r="U157" s="473" t="s">
        <v>1316</v>
      </c>
      <c r="V157" s="474"/>
      <c r="W157" s="474"/>
      <c r="X157" s="474"/>
      <c r="Y157" s="474"/>
      <c r="Z157" s="474"/>
      <c r="AA157" s="474"/>
      <c r="AB157" s="474"/>
      <c r="AC157" s="474"/>
      <c r="AD157" s="474"/>
      <c r="AE157" s="474"/>
      <c r="AF157" s="474"/>
      <c r="AG157" s="474"/>
      <c r="AH157" s="474"/>
      <c r="AI157" s="474"/>
      <c r="AJ157" s="463"/>
      <c r="AK157" s="463"/>
      <c r="AL157" s="463"/>
      <c r="AM157" s="464"/>
      <c r="AN157" s="10"/>
      <c r="AO157" s="10"/>
      <c r="AP157" s="10"/>
      <c r="AQ157" s="10"/>
      <c r="AR157" s="10"/>
      <c r="AS157" s="10"/>
      <c r="AT157" s="10"/>
      <c r="AU157" s="10"/>
      <c r="AV157" s="10"/>
      <c r="AW157" s="10"/>
      <c r="AX157" s="10"/>
      <c r="AY157" s="10"/>
      <c r="AZ157" s="10"/>
      <c r="BA157" s="10"/>
      <c r="BB157" s="67"/>
      <c r="BC157" s="10"/>
      <c r="BD157" s="10"/>
      <c r="BE157" s="10"/>
      <c r="BF157" s="10"/>
      <c r="BG157" s="10"/>
      <c r="BH157" s="10"/>
      <c r="BI157" s="51"/>
    </row>
    <row r="158" spans="1:61" ht="15.75" customHeight="1">
      <c r="A158" s="64"/>
      <c r="B158" s="67"/>
      <c r="C158" s="10"/>
      <c r="D158" s="10"/>
      <c r="E158" s="10"/>
      <c r="F158" s="10"/>
      <c r="G158" s="10"/>
      <c r="H158" s="10"/>
      <c r="I158" s="73"/>
      <c r="J158" s="74"/>
      <c r="K158" s="74"/>
      <c r="L158" s="74"/>
      <c r="N158" s="461" t="s">
        <v>1308</v>
      </c>
      <c r="O158" s="462"/>
      <c r="P158" s="462"/>
      <c r="Q158" s="463"/>
      <c r="R158" s="462"/>
      <c r="S158" s="462"/>
      <c r="T158" s="462"/>
      <c r="U158" s="473" t="s">
        <v>1317</v>
      </c>
      <c r="V158" s="474"/>
      <c r="W158" s="474"/>
      <c r="X158" s="474"/>
      <c r="Y158" s="474"/>
      <c r="Z158" s="474"/>
      <c r="AA158" s="474"/>
      <c r="AB158" s="474"/>
      <c r="AC158" s="474"/>
      <c r="AD158" s="474"/>
      <c r="AE158" s="474"/>
      <c r="AF158" s="474"/>
      <c r="AG158" s="474"/>
      <c r="AH158" s="463"/>
      <c r="AI158" s="463"/>
      <c r="AJ158" s="463"/>
      <c r="AK158" s="463"/>
      <c r="AL158" s="463"/>
      <c r="AM158" s="464"/>
      <c r="AN158" s="10"/>
      <c r="AO158" s="10"/>
      <c r="AP158" s="10"/>
      <c r="AQ158" s="10"/>
      <c r="AR158" s="10"/>
      <c r="AS158" s="10"/>
      <c r="AT158" s="10"/>
      <c r="AU158" s="10"/>
      <c r="AV158" s="10"/>
      <c r="AW158" s="10"/>
      <c r="AX158" s="10"/>
      <c r="AY158" s="10"/>
      <c r="AZ158" s="10"/>
      <c r="BA158" s="10"/>
      <c r="BB158" s="67"/>
      <c r="BC158" s="10"/>
      <c r="BD158" s="10"/>
      <c r="BE158" s="10"/>
      <c r="BF158" s="10"/>
      <c r="BG158" s="10"/>
      <c r="BH158" s="10"/>
      <c r="BI158" s="51"/>
    </row>
    <row r="159" spans="1:61" ht="15.75" customHeight="1">
      <c r="A159" s="64"/>
      <c r="B159" s="67"/>
      <c r="C159" s="10"/>
      <c r="D159" s="10"/>
      <c r="E159" s="10"/>
      <c r="F159" s="10"/>
      <c r="G159" s="10"/>
      <c r="H159" s="10"/>
      <c r="I159" s="73"/>
      <c r="J159" s="74"/>
      <c r="K159" s="74"/>
      <c r="L159" s="74"/>
      <c r="N159" s="74"/>
      <c r="O159" s="74"/>
      <c r="P159" s="74"/>
      <c r="Q159" s="10"/>
      <c r="R159" s="74"/>
      <c r="S159" s="74"/>
      <c r="T159" s="74"/>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67"/>
      <c r="BC159" s="10"/>
      <c r="BD159" s="10"/>
      <c r="BE159" s="10"/>
      <c r="BF159" s="10"/>
      <c r="BG159" s="10"/>
      <c r="BH159" s="10"/>
      <c r="BI159" s="51"/>
    </row>
    <row r="160" spans="1:61" ht="15.75" customHeight="1">
      <c r="A160" s="64"/>
      <c r="B160" s="67"/>
      <c r="C160" s="10"/>
      <c r="D160" s="10"/>
      <c r="E160" s="10"/>
      <c r="F160" s="10"/>
      <c r="G160" s="10"/>
      <c r="H160" s="10"/>
      <c r="I160" s="73"/>
      <c r="J160" s="71"/>
      <c r="K160" s="74" t="s">
        <v>1242</v>
      </c>
      <c r="L160" s="74"/>
      <c r="M160" s="74" t="s">
        <v>1309</v>
      </c>
      <c r="N160" s="74"/>
      <c r="O160" s="74"/>
      <c r="Q160" s="74"/>
      <c r="R160" s="74"/>
      <c r="S160" s="74"/>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67"/>
      <c r="BC160" s="10"/>
      <c r="BD160" s="10"/>
      <c r="BE160" s="10"/>
      <c r="BF160" s="10"/>
      <c r="BG160" s="10"/>
      <c r="BH160" s="10"/>
      <c r="BI160" s="51"/>
    </row>
    <row r="161" spans="1:61" ht="15.75" customHeight="1">
      <c r="A161" s="64"/>
      <c r="B161" s="67"/>
      <c r="C161" s="10"/>
      <c r="D161" s="10"/>
      <c r="E161" s="10"/>
      <c r="F161" s="10"/>
      <c r="G161" s="10"/>
      <c r="H161" s="10"/>
      <c r="I161" s="73"/>
      <c r="J161" s="74"/>
      <c r="K161" s="74"/>
      <c r="L161" s="74"/>
      <c r="M161" s="2" t="s">
        <v>1319</v>
      </c>
      <c r="N161" s="74"/>
      <c r="O161" s="74"/>
      <c r="P161" s="74"/>
      <c r="Q161" s="10"/>
      <c r="R161" s="74"/>
      <c r="S161" s="74"/>
      <c r="T161" s="74"/>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67"/>
      <c r="BC161" s="10"/>
      <c r="BD161" s="10"/>
      <c r="BE161" s="10"/>
      <c r="BF161" s="10"/>
      <c r="BG161" s="10"/>
      <c r="BH161" s="10"/>
      <c r="BI161" s="51"/>
    </row>
    <row r="162" spans="1:61" ht="15.75" customHeight="1">
      <c r="A162" s="64"/>
      <c r="B162" s="67"/>
      <c r="C162" s="10"/>
      <c r="D162" s="10"/>
      <c r="E162" s="10"/>
      <c r="F162" s="10"/>
      <c r="G162" s="10"/>
      <c r="H162" s="10"/>
      <c r="I162" s="73"/>
      <c r="J162" s="74"/>
      <c r="K162" s="74"/>
      <c r="L162" s="74"/>
      <c r="M162" s="2" t="s">
        <v>1310</v>
      </c>
      <c r="N162" s="74"/>
      <c r="O162" s="74"/>
      <c r="P162" s="74"/>
      <c r="Q162" s="10"/>
      <c r="R162" s="74"/>
      <c r="S162" s="74"/>
      <c r="T162" s="74"/>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67"/>
      <c r="BC162" s="10"/>
      <c r="BD162" s="10"/>
      <c r="BE162" s="10"/>
      <c r="BF162" s="10"/>
      <c r="BG162" s="10"/>
      <c r="BH162" s="10"/>
      <c r="BI162" s="51"/>
    </row>
    <row r="163" spans="1:61" ht="15.75" customHeight="1">
      <c r="A163" s="64"/>
      <c r="B163" s="67"/>
      <c r="C163" s="10"/>
      <c r="D163" s="10"/>
      <c r="E163" s="10"/>
      <c r="F163" s="10"/>
      <c r="G163" s="10"/>
      <c r="H163" s="10"/>
      <c r="I163" s="73"/>
      <c r="J163" s="71"/>
      <c r="K163" s="74"/>
      <c r="L163" s="74"/>
      <c r="M163" s="74"/>
      <c r="N163" s="74"/>
      <c r="O163" s="74"/>
      <c r="P163" s="74"/>
      <c r="Q163" s="74"/>
      <c r="R163" s="74"/>
      <c r="S163" s="74"/>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67"/>
      <c r="BC163" s="10"/>
      <c r="BD163" s="10"/>
      <c r="BE163" s="10"/>
      <c r="BF163" s="10"/>
      <c r="BG163" s="10"/>
      <c r="BH163" s="10"/>
      <c r="BI163" s="51"/>
    </row>
    <row r="164" spans="1:61" ht="15.75" customHeight="1">
      <c r="A164" s="64"/>
      <c r="B164" s="67"/>
      <c r="C164" s="10"/>
      <c r="D164" s="10"/>
      <c r="E164" s="10"/>
      <c r="F164" s="10"/>
      <c r="G164" s="10"/>
      <c r="H164" s="10"/>
      <c r="I164" s="73"/>
      <c r="J164" s="71" t="s">
        <v>1362</v>
      </c>
      <c r="K164" s="72" t="s">
        <v>1363</v>
      </c>
      <c r="L164" s="72"/>
      <c r="M164" s="72"/>
      <c r="N164" s="72"/>
      <c r="O164" s="72"/>
      <c r="P164" s="72"/>
      <c r="Q164" s="72"/>
      <c r="R164" s="72"/>
      <c r="T164" s="72"/>
      <c r="U164" s="72"/>
      <c r="V164" s="72"/>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67" t="s">
        <v>1365</v>
      </c>
      <c r="BF164" s="10"/>
      <c r="BG164" s="10"/>
      <c r="BH164" s="10"/>
      <c r="BI164" s="51"/>
    </row>
    <row r="165" spans="1:61" ht="15.75" customHeight="1">
      <c r="A165" s="64"/>
      <c r="B165" s="67"/>
      <c r="C165" s="10"/>
      <c r="D165" s="10"/>
      <c r="E165" s="10"/>
      <c r="F165" s="10"/>
      <c r="G165" s="10"/>
      <c r="H165" s="10"/>
      <c r="I165" s="73"/>
      <c r="J165" s="67"/>
      <c r="K165" s="72" t="s">
        <v>1364</v>
      </c>
      <c r="L165" s="72"/>
      <c r="M165" s="72"/>
      <c r="N165" s="72"/>
      <c r="O165" s="72"/>
      <c r="P165" s="72"/>
      <c r="Q165" s="72"/>
      <c r="R165" s="72"/>
      <c r="T165" s="72"/>
      <c r="U165" s="72"/>
      <c r="V165" s="72"/>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67" t="s">
        <v>1366</v>
      </c>
      <c r="BF165" s="10"/>
      <c r="BG165" s="10"/>
      <c r="BH165" s="10"/>
      <c r="BI165" s="51"/>
    </row>
    <row r="166" spans="1:61" ht="15.75" customHeight="1">
      <c r="A166" s="64"/>
      <c r="B166" s="67"/>
      <c r="C166" s="10"/>
      <c r="D166" s="10"/>
      <c r="E166" s="10"/>
      <c r="F166" s="10"/>
      <c r="G166" s="10"/>
      <c r="H166" s="10"/>
      <c r="I166" s="73"/>
      <c r="J166" s="71"/>
      <c r="K166" s="74"/>
      <c r="L166" s="74"/>
      <c r="M166" s="74"/>
      <c r="N166" s="74"/>
      <c r="O166" s="74"/>
      <c r="P166" s="74"/>
      <c r="Q166" s="74"/>
      <c r="R166" s="74"/>
      <c r="S166" s="74"/>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67"/>
      <c r="BC166" s="10"/>
      <c r="BD166" s="10"/>
      <c r="BE166" s="10"/>
      <c r="BF166" s="10"/>
      <c r="BG166" s="10"/>
      <c r="BH166" s="10"/>
      <c r="BI166" s="51"/>
    </row>
    <row r="167" spans="1:61" ht="15.75" customHeight="1">
      <c r="A167" s="64"/>
      <c r="B167" s="67"/>
      <c r="C167" s="10"/>
      <c r="D167" s="10"/>
      <c r="E167" s="10"/>
      <c r="F167" s="10"/>
      <c r="G167" s="10"/>
      <c r="H167" s="10"/>
      <c r="I167" s="73"/>
      <c r="J167" s="74"/>
      <c r="K167" s="74"/>
      <c r="L167" s="74"/>
      <c r="M167" s="74"/>
      <c r="N167" s="74"/>
      <c r="O167" s="74"/>
      <c r="P167" s="74"/>
      <c r="Q167" s="74"/>
      <c r="R167" s="74"/>
      <c r="S167" s="74"/>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Y167" s="10"/>
      <c r="AZ167" s="10"/>
      <c r="BA167" s="10"/>
      <c r="BB167" s="67"/>
      <c r="BC167" s="10"/>
      <c r="BD167" s="10"/>
      <c r="BE167" s="10"/>
      <c r="BF167" s="10"/>
      <c r="BG167" s="10"/>
      <c r="BH167" s="10"/>
      <c r="BI167" s="51"/>
    </row>
  </sheetData>
  <mergeCells count="21">
    <mergeCell ref="AQ1:AW1"/>
    <mergeCell ref="AX1:BC1"/>
    <mergeCell ref="BD1:BI1"/>
    <mergeCell ref="K2:T2"/>
    <mergeCell ref="U2:Y2"/>
    <mergeCell ref="Z2:AD2"/>
    <mergeCell ref="AE2:AI2"/>
    <mergeCell ref="AJ2:AP2"/>
    <mergeCell ref="AQ2:AW3"/>
    <mergeCell ref="AX2:BC3"/>
    <mergeCell ref="BD2:BI3"/>
    <mergeCell ref="K1:T1"/>
    <mergeCell ref="U1:Y1"/>
    <mergeCell ref="Z1:AD1"/>
    <mergeCell ref="AE1:AI1"/>
    <mergeCell ref="AJ1:AP1"/>
    <mergeCell ref="K3:T3"/>
    <mergeCell ref="U3:Y3"/>
    <mergeCell ref="Z3:AD3"/>
    <mergeCell ref="AE3:AP3"/>
    <mergeCell ref="A1:J3"/>
  </mergeCells>
  <phoneticPr fontId="65"/>
  <pageMargins left="0.511811023622047" right="0.74803149606299202" top="0.70866141732283505" bottom="0.43307086614173201" header="0.511811023622047" footer="0.35433070866141703"/>
  <pageSetup paperSize="9" fitToHeight="0" orientation="landscape" r:id="rId1"/>
  <headerFooter alignWithMargins="0">
    <oddFooter>&amp;C&amp;"Meiryo UI,標準"&amp;10&amp;P</oddFooter>
  </headerFooter>
  <rowBreaks count="1" manualBreakCount="1">
    <brk id="167" max="60" man="1"/>
  </rowBreaks>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E5901-E137-43F9-954B-39AC12244B39}">
  <sheetPr>
    <tabColor rgb="FFFFFF00"/>
    <pageSetUpPr fitToPage="1"/>
  </sheetPr>
  <dimension ref="A1:BK18"/>
  <sheetViews>
    <sheetView showGridLines="0" showZeros="0" view="pageBreakPreview" zoomScale="85" zoomScaleNormal="100" zoomScaleSheetLayoutView="85" workbookViewId="0">
      <selection sqref="A1:J3"/>
    </sheetView>
  </sheetViews>
  <sheetFormatPr defaultColWidth="2.08984375" defaultRowHeight="15.75" customHeight="1"/>
  <cols>
    <col min="1" max="1" width="2.08984375" style="55" customWidth="1"/>
    <col min="2" max="2" width="2.08984375" style="2" customWidth="1"/>
    <col min="3" max="3" width="2.36328125" style="2" customWidth="1"/>
    <col min="4" max="4" width="2.08984375" style="2" customWidth="1"/>
    <col min="5" max="5" width="3" style="2" customWidth="1"/>
    <col min="6" max="38" width="2.08984375" style="2" customWidth="1"/>
    <col min="39" max="39" width="2.453125" style="2" customWidth="1"/>
    <col min="40" max="61" width="2.08984375" style="2" customWidth="1"/>
    <col min="62" max="16384" width="2.08984375" style="2"/>
  </cols>
  <sheetData>
    <row r="1" spans="1:63" s="54" customFormat="1" ht="15.75" customHeight="1">
      <c r="A1" s="1126" t="s">
        <v>34</v>
      </c>
      <c r="B1" s="1127"/>
      <c r="C1" s="1127"/>
      <c r="D1" s="1127"/>
      <c r="E1" s="1127"/>
      <c r="F1" s="1127"/>
      <c r="G1" s="1127"/>
      <c r="H1" s="1127"/>
      <c r="I1" s="1127"/>
      <c r="J1" s="1128"/>
      <c r="K1" s="1172" t="s">
        <v>45</v>
      </c>
      <c r="L1" s="1173"/>
      <c r="M1" s="1173"/>
      <c r="N1" s="1173"/>
      <c r="O1" s="1173"/>
      <c r="P1" s="1173"/>
      <c r="Q1" s="1173"/>
      <c r="R1" s="1173"/>
      <c r="S1" s="1173"/>
      <c r="T1" s="1174"/>
      <c r="U1" s="1175" t="s">
        <v>46</v>
      </c>
      <c r="V1" s="1176"/>
      <c r="W1" s="1176"/>
      <c r="X1" s="1176"/>
      <c r="Y1" s="1177"/>
      <c r="Z1" s="1178" t="str">
        <f ca="1">INDIRECT("表紙!$Z$39")</f>
        <v>MS</v>
      </c>
      <c r="AA1" s="1179"/>
      <c r="AB1" s="1179"/>
      <c r="AC1" s="1179"/>
      <c r="AD1" s="1180"/>
      <c r="AE1" s="1138" t="s">
        <v>48</v>
      </c>
      <c r="AF1" s="1139"/>
      <c r="AG1" s="1139"/>
      <c r="AH1" s="1139"/>
      <c r="AI1" s="1140"/>
      <c r="AJ1" s="1178" t="str">
        <f ca="1">INDIRECT("表紙!$AJ$39")</f>
        <v>SCM</v>
      </c>
      <c r="AK1" s="1179"/>
      <c r="AL1" s="1179"/>
      <c r="AM1" s="1179"/>
      <c r="AN1" s="1179"/>
      <c r="AO1" s="1179"/>
      <c r="AP1" s="1180"/>
      <c r="AQ1" s="1135" t="s">
        <v>5</v>
      </c>
      <c r="AR1" s="1136"/>
      <c r="AS1" s="1136"/>
      <c r="AT1" s="1136"/>
      <c r="AU1" s="1136"/>
      <c r="AV1" s="1136"/>
      <c r="AW1" s="1137"/>
      <c r="AX1" s="1138" t="s">
        <v>37</v>
      </c>
      <c r="AY1" s="1139"/>
      <c r="AZ1" s="1139"/>
      <c r="BA1" s="1139"/>
      <c r="BB1" s="1139"/>
      <c r="BC1" s="1140"/>
      <c r="BD1" s="1138" t="s">
        <v>50</v>
      </c>
      <c r="BE1" s="1139"/>
      <c r="BF1" s="1139"/>
      <c r="BG1" s="1139"/>
      <c r="BH1" s="1139"/>
      <c r="BI1" s="1141"/>
    </row>
    <row r="2" spans="1:63" s="54" customFormat="1" ht="15.75" customHeight="1">
      <c r="A2" s="1129"/>
      <c r="B2" s="1130"/>
      <c r="C2" s="1130"/>
      <c r="D2" s="1130"/>
      <c r="E2" s="1130"/>
      <c r="F2" s="1130"/>
      <c r="G2" s="1130"/>
      <c r="H2" s="1130"/>
      <c r="I2" s="1130"/>
      <c r="J2" s="1131"/>
      <c r="K2" s="1142" t="str">
        <f>文書名_カスタマイズ</f>
        <v>画面機能</v>
      </c>
      <c r="L2" s="1143"/>
      <c r="M2" s="1143"/>
      <c r="N2" s="1143"/>
      <c r="O2" s="1143"/>
      <c r="P2" s="1143"/>
      <c r="Q2" s="1143"/>
      <c r="R2" s="1143"/>
      <c r="S2" s="1143"/>
      <c r="T2" s="1144"/>
      <c r="U2" s="1145" t="s">
        <v>51</v>
      </c>
      <c r="V2" s="1146"/>
      <c r="W2" s="1146"/>
      <c r="X2" s="1146"/>
      <c r="Y2" s="1147"/>
      <c r="Z2" s="1148" t="str">
        <f ca="1">INDIRECT("表紙!$Z$40")</f>
        <v>MSBD</v>
      </c>
      <c r="AA2" s="1149"/>
      <c r="AB2" s="1149"/>
      <c r="AC2" s="1149"/>
      <c r="AD2" s="1150"/>
      <c r="AE2" s="1151" t="s">
        <v>53</v>
      </c>
      <c r="AF2" s="1152"/>
      <c r="AG2" s="1152"/>
      <c r="AH2" s="1152"/>
      <c r="AI2" s="1153"/>
      <c r="AJ2" s="1148" t="str">
        <f ca="1">INDIRECT("表紙!$AJ$40")</f>
        <v>購買管理</v>
      </c>
      <c r="AK2" s="1149"/>
      <c r="AL2" s="1149"/>
      <c r="AM2" s="1149"/>
      <c r="AN2" s="1149"/>
      <c r="AO2" s="1149"/>
      <c r="AP2" s="1150"/>
      <c r="AQ2" s="1154" t="str">
        <f>文書番号_カスタマイズ</f>
        <v>J052-0-0001</v>
      </c>
      <c r="AR2" s="1155"/>
      <c r="AS2" s="1155"/>
      <c r="AT2" s="1155"/>
      <c r="AU2" s="1155"/>
      <c r="AV2" s="1155"/>
      <c r="AW2" s="1156"/>
      <c r="AX2" s="1160" t="str">
        <f>Ver.</f>
        <v>7.0.1</v>
      </c>
      <c r="AY2" s="1161"/>
      <c r="AZ2" s="1161"/>
      <c r="BA2" s="1161"/>
      <c r="BB2" s="1161"/>
      <c r="BC2" s="1162"/>
      <c r="BD2" s="1166">
        <f>Rev.</f>
        <v>0.04</v>
      </c>
      <c r="BE2" s="1167"/>
      <c r="BF2" s="1167"/>
      <c r="BG2" s="1167"/>
      <c r="BH2" s="1167"/>
      <c r="BI2" s="1168"/>
    </row>
    <row r="3" spans="1:63" s="54" customFormat="1" ht="15.75" customHeight="1" thickBot="1">
      <c r="A3" s="1132"/>
      <c r="B3" s="1133"/>
      <c r="C3" s="1133"/>
      <c r="D3" s="1133"/>
      <c r="E3" s="1133"/>
      <c r="F3" s="1133"/>
      <c r="G3" s="1133"/>
      <c r="H3" s="1133"/>
      <c r="I3" s="1133"/>
      <c r="J3" s="1134"/>
      <c r="K3" s="1115" t="str">
        <f ca="1">RIGHT(CELL("filename",$A$1),LEN(CELL("filename",$A$1))-FIND("]",CELL("filename",$A$1)))</f>
        <v>更新入出力仕様</v>
      </c>
      <c r="L3" s="1116"/>
      <c r="M3" s="1116"/>
      <c r="N3" s="1116"/>
      <c r="O3" s="1116"/>
      <c r="P3" s="1116"/>
      <c r="Q3" s="1116"/>
      <c r="R3" s="1116"/>
      <c r="S3" s="1116"/>
      <c r="T3" s="1117"/>
      <c r="U3" s="1118" t="s">
        <v>56</v>
      </c>
      <c r="V3" s="1119"/>
      <c r="W3" s="1119"/>
      <c r="X3" s="1119"/>
      <c r="Y3" s="1120"/>
      <c r="Z3" s="1121" t="str">
        <f ca="1">INDIRECT("表紙!$Z$41")</f>
        <v>MSBDP0090</v>
      </c>
      <c r="AA3" s="1122"/>
      <c r="AB3" s="1122"/>
      <c r="AC3" s="1122"/>
      <c r="AD3" s="1122"/>
      <c r="AE3" s="1123" t="str">
        <f ca="1">INDIRECT("表紙!$AE$41")</f>
        <v>発注一覧登録</v>
      </c>
      <c r="AF3" s="1124"/>
      <c r="AG3" s="1124"/>
      <c r="AH3" s="1124"/>
      <c r="AI3" s="1124"/>
      <c r="AJ3" s="1124"/>
      <c r="AK3" s="1124"/>
      <c r="AL3" s="1124"/>
      <c r="AM3" s="1124"/>
      <c r="AN3" s="1124"/>
      <c r="AO3" s="1124"/>
      <c r="AP3" s="1125"/>
      <c r="AQ3" s="1157"/>
      <c r="AR3" s="1158"/>
      <c r="AS3" s="1158"/>
      <c r="AT3" s="1158"/>
      <c r="AU3" s="1158"/>
      <c r="AV3" s="1158"/>
      <c r="AW3" s="1159"/>
      <c r="AX3" s="1163"/>
      <c r="AY3" s="1164"/>
      <c r="AZ3" s="1164"/>
      <c r="BA3" s="1164"/>
      <c r="BB3" s="1164"/>
      <c r="BC3" s="1165"/>
      <c r="BD3" s="1169"/>
      <c r="BE3" s="1170"/>
      <c r="BF3" s="1170"/>
      <c r="BG3" s="1170"/>
      <c r="BH3" s="1170"/>
      <c r="BI3" s="1171"/>
    </row>
    <row r="4" spans="1:63" s="54" customFormat="1" ht="6.75" customHeight="1">
      <c r="B4" s="56"/>
      <c r="C4" s="57"/>
      <c r="D4" s="57"/>
      <c r="E4" s="57"/>
      <c r="F4" s="58"/>
      <c r="G4" s="58"/>
      <c r="H4" s="58"/>
      <c r="I4" s="58"/>
      <c r="J4" s="57"/>
      <c r="K4" s="58"/>
      <c r="L4" s="58"/>
      <c r="M4" s="58"/>
      <c r="N4" s="58"/>
      <c r="O4" s="58"/>
      <c r="P4" s="58"/>
      <c r="Q4" s="75"/>
    </row>
    <row r="5" spans="1:63" ht="15.75" customHeight="1">
      <c r="A5" s="477" t="s">
        <v>363</v>
      </c>
      <c r="B5" s="478"/>
      <c r="C5" s="478"/>
      <c r="D5" s="478"/>
      <c r="E5" s="479"/>
      <c r="F5" s="465"/>
      <c r="G5" s="463"/>
      <c r="H5" s="463"/>
      <c r="I5" s="463"/>
      <c r="J5" s="463"/>
      <c r="K5" s="463"/>
      <c r="L5" s="463"/>
      <c r="M5" s="463"/>
      <c r="N5" s="463"/>
      <c r="O5" s="463"/>
      <c r="P5" s="464">
        <v>1</v>
      </c>
      <c r="Q5" s="477" t="s">
        <v>1333</v>
      </c>
      <c r="R5" s="478"/>
      <c r="S5" s="478"/>
      <c r="T5" s="478"/>
      <c r="U5" s="478"/>
      <c r="V5" s="478"/>
      <c r="W5" s="478"/>
      <c r="X5" s="478"/>
      <c r="Y5" s="478"/>
      <c r="Z5" s="478"/>
      <c r="AA5" s="479"/>
      <c r="AB5" s="465" t="s">
        <v>1353</v>
      </c>
      <c r="AC5" s="463"/>
      <c r="AD5" s="463"/>
      <c r="AE5" s="463"/>
      <c r="AF5" s="463"/>
      <c r="AG5" s="463"/>
      <c r="AH5" s="463"/>
      <c r="AI5" s="463"/>
      <c r="AJ5" s="463"/>
      <c r="AK5" s="463"/>
      <c r="AL5" s="463"/>
      <c r="AM5" s="463"/>
      <c r="AN5" s="464"/>
      <c r="AO5" s="477" t="s">
        <v>1334</v>
      </c>
      <c r="AP5" s="478"/>
      <c r="AQ5" s="478"/>
      <c r="AR5" s="478"/>
      <c r="AS5" s="478"/>
      <c r="AT5" s="478"/>
      <c r="AU5" s="478"/>
      <c r="AV5" s="478"/>
      <c r="AW5" s="478"/>
      <c r="AX5" s="478"/>
      <c r="AY5" s="479"/>
      <c r="AZ5" s="465" t="s">
        <v>1335</v>
      </c>
      <c r="BA5" s="463"/>
      <c r="BB5" s="463"/>
      <c r="BC5" s="463"/>
      <c r="BD5" s="463"/>
      <c r="BE5" s="463"/>
      <c r="BF5" s="463"/>
      <c r="BG5" s="463"/>
      <c r="BH5" s="463"/>
      <c r="BI5" s="464"/>
    </row>
    <row r="6" spans="1:63" ht="15.75" customHeight="1">
      <c r="A6" s="477" t="s">
        <v>1336</v>
      </c>
      <c r="B6" s="478"/>
      <c r="C6" s="478"/>
      <c r="D6" s="478"/>
      <c r="E6" s="479"/>
      <c r="F6" s="480" t="s">
        <v>1337</v>
      </c>
      <c r="G6" s="481"/>
      <c r="H6" s="481"/>
      <c r="I6" s="481"/>
      <c r="J6" s="481"/>
      <c r="K6" s="481"/>
      <c r="L6" s="463"/>
      <c r="M6" s="463"/>
      <c r="N6" s="463"/>
      <c r="O6" s="463"/>
      <c r="P6" s="463"/>
      <c r="Q6" s="463"/>
      <c r="R6" s="463"/>
      <c r="S6" s="463"/>
      <c r="T6" s="463"/>
      <c r="U6" s="463"/>
      <c r="V6" s="463"/>
      <c r="W6" s="463"/>
      <c r="X6" s="463"/>
      <c r="Y6" s="463"/>
      <c r="Z6" s="463"/>
      <c r="AA6" s="463"/>
      <c r="AB6" s="463"/>
      <c r="AC6" s="463"/>
      <c r="AD6" s="463"/>
      <c r="AE6" s="463"/>
      <c r="AF6" s="463"/>
      <c r="AG6" s="463"/>
      <c r="AH6" s="463"/>
      <c r="AI6" s="463"/>
      <c r="AJ6" s="463"/>
      <c r="AK6" s="463"/>
      <c r="AL6" s="463"/>
      <c r="AM6" s="463"/>
      <c r="AN6" s="463"/>
      <c r="AO6" s="463"/>
      <c r="AP6" s="463"/>
      <c r="AQ6" s="463"/>
      <c r="AR6" s="463"/>
      <c r="AS6" s="463"/>
      <c r="AT6" s="463"/>
      <c r="AU6" s="463"/>
      <c r="AV6" s="463"/>
      <c r="AW6" s="463"/>
      <c r="AX6" s="463"/>
      <c r="AY6" s="463"/>
      <c r="AZ6" s="463"/>
      <c r="BA6" s="463"/>
      <c r="BB6" s="463"/>
      <c r="BC6" s="463"/>
      <c r="BD6" s="463"/>
      <c r="BE6" s="463"/>
      <c r="BF6" s="463"/>
      <c r="BG6" s="463"/>
      <c r="BH6" s="463"/>
      <c r="BI6" s="464"/>
    </row>
    <row r="7" spans="1:63" ht="15.75" customHeight="1">
      <c r="A7" s="492" t="s">
        <v>363</v>
      </c>
      <c r="B7" s="482"/>
      <c r="C7" s="483"/>
      <c r="D7" s="484" t="s">
        <v>1338</v>
      </c>
      <c r="E7" s="485"/>
      <c r="F7" s="485"/>
      <c r="G7" s="485"/>
      <c r="H7" s="485"/>
      <c r="I7" s="485"/>
      <c r="J7" s="485"/>
      <c r="K7" s="485"/>
      <c r="L7" s="485"/>
      <c r="M7" s="485"/>
      <c r="N7" s="485"/>
      <c r="O7" s="485"/>
      <c r="P7" s="485"/>
      <c r="Q7" s="485"/>
      <c r="R7" s="485"/>
      <c r="S7" s="485"/>
      <c r="T7" s="485"/>
      <c r="U7" s="485"/>
      <c r="V7" s="485"/>
      <c r="W7" s="485"/>
      <c r="X7" s="485"/>
      <c r="Y7" s="485"/>
      <c r="Z7" s="485"/>
      <c r="AA7" s="486"/>
      <c r="AB7" s="484" t="s">
        <v>1339</v>
      </c>
      <c r="AC7" s="485"/>
      <c r="AD7" s="485"/>
      <c r="AE7" s="485"/>
      <c r="AF7" s="485"/>
      <c r="AG7" s="485"/>
      <c r="AH7" s="485"/>
      <c r="AI7" s="485"/>
      <c r="AJ7" s="485"/>
      <c r="AK7" s="485"/>
      <c r="AL7" s="485"/>
      <c r="AM7" s="485"/>
      <c r="AN7" s="485"/>
      <c r="AO7" s="485"/>
      <c r="AP7" s="485"/>
      <c r="AQ7" s="485"/>
      <c r="AR7" s="485"/>
      <c r="AS7" s="485"/>
      <c r="AT7" s="485"/>
      <c r="AU7" s="485"/>
      <c r="AV7" s="485"/>
      <c r="AW7" s="485"/>
      <c r="AX7" s="485"/>
      <c r="AY7" s="486"/>
      <c r="AZ7" s="1191" t="s">
        <v>403</v>
      </c>
      <c r="BA7" s="1192"/>
      <c r="BB7" s="1192"/>
      <c r="BC7" s="1192"/>
      <c r="BD7" s="1192"/>
      <c r="BE7" s="1192"/>
      <c r="BF7" s="1192"/>
      <c r="BG7" s="1192"/>
      <c r="BH7" s="1192"/>
      <c r="BI7" s="1193"/>
    </row>
    <row r="8" spans="1:63" ht="15.75" customHeight="1" thickBot="1">
      <c r="A8" s="493"/>
      <c r="B8" s="487"/>
      <c r="C8" s="488"/>
      <c r="D8" s="489" t="s">
        <v>1340</v>
      </c>
      <c r="E8" s="490"/>
      <c r="F8" s="491" t="s">
        <v>1341</v>
      </c>
      <c r="G8" s="491"/>
      <c r="H8" s="491"/>
      <c r="I8" s="491"/>
      <c r="J8" s="491"/>
      <c r="K8" s="491"/>
      <c r="L8" s="491"/>
      <c r="M8" s="491"/>
      <c r="N8" s="491"/>
      <c r="O8" s="491"/>
      <c r="P8" s="490"/>
      <c r="Q8" s="487" t="s">
        <v>1342</v>
      </c>
      <c r="R8" s="487"/>
      <c r="S8" s="487"/>
      <c r="T8" s="487"/>
      <c r="U8" s="487"/>
      <c r="V8" s="487"/>
      <c r="W8" s="487"/>
      <c r="X8" s="487"/>
      <c r="Y8" s="487"/>
      <c r="Z8" s="487"/>
      <c r="AA8" s="488"/>
      <c r="AB8" s="489" t="s">
        <v>1340</v>
      </c>
      <c r="AC8" s="490"/>
      <c r="AD8" s="491" t="s">
        <v>1341</v>
      </c>
      <c r="AE8" s="491"/>
      <c r="AF8" s="491"/>
      <c r="AG8" s="491"/>
      <c r="AH8" s="491"/>
      <c r="AI8" s="491"/>
      <c r="AJ8" s="491"/>
      <c r="AK8" s="491"/>
      <c r="AL8" s="491"/>
      <c r="AM8" s="491"/>
      <c r="AN8" s="490"/>
      <c r="AO8" s="487" t="s">
        <v>1342</v>
      </c>
      <c r="AP8" s="487"/>
      <c r="AQ8" s="487"/>
      <c r="AR8" s="487"/>
      <c r="AS8" s="487"/>
      <c r="AT8" s="487"/>
      <c r="AU8" s="487"/>
      <c r="AV8" s="487"/>
      <c r="AW8" s="487"/>
      <c r="AX8" s="487"/>
      <c r="AY8" s="488"/>
      <c r="AZ8" s="1194"/>
      <c r="BA8" s="1195"/>
      <c r="BB8" s="1195"/>
      <c r="BC8" s="1195"/>
      <c r="BD8" s="1195"/>
      <c r="BE8" s="1195"/>
      <c r="BF8" s="1195"/>
      <c r="BG8" s="1195"/>
      <c r="BH8" s="1195"/>
      <c r="BI8" s="1196"/>
    </row>
    <row r="9" spans="1:63" ht="114" customHeight="1" thickTop="1">
      <c r="A9" s="1189">
        <f t="shared" ref="A9:A13" si="0">ROW()-8</f>
        <v>1</v>
      </c>
      <c r="B9" s="1190"/>
      <c r="C9" s="1182"/>
      <c r="D9" s="494" t="s">
        <v>1343</v>
      </c>
      <c r="E9" s="495"/>
      <c r="F9" s="494" t="s">
        <v>1344</v>
      </c>
      <c r="G9" s="496"/>
      <c r="H9" s="496"/>
      <c r="I9" s="496"/>
      <c r="J9" s="496"/>
      <c r="K9" s="496"/>
      <c r="L9" s="496"/>
      <c r="M9" s="496"/>
      <c r="N9" s="496"/>
      <c r="O9" s="511"/>
      <c r="P9" s="497"/>
      <c r="Q9" s="498" t="s">
        <v>1345</v>
      </c>
      <c r="R9" s="499"/>
      <c r="S9" s="499"/>
      <c r="T9" s="499"/>
      <c r="U9" s="499"/>
      <c r="V9" s="499"/>
      <c r="W9" s="499"/>
      <c r="X9" s="499"/>
      <c r="Y9" s="499"/>
      <c r="Z9" s="499"/>
      <c r="AA9" s="500"/>
      <c r="AB9" s="1203" t="s">
        <v>1354</v>
      </c>
      <c r="AC9" s="1204"/>
      <c r="AD9" s="498" t="s">
        <v>1371</v>
      </c>
      <c r="AE9" s="499"/>
      <c r="AF9" s="499"/>
      <c r="AG9" s="499"/>
      <c r="AH9" s="499"/>
      <c r="AI9" s="499"/>
      <c r="AJ9" s="499"/>
      <c r="AK9" s="499"/>
      <c r="AL9" s="499"/>
      <c r="AM9" s="499"/>
      <c r="AN9" s="500"/>
      <c r="AO9" s="498" t="s">
        <v>1258</v>
      </c>
      <c r="AP9" s="499"/>
      <c r="AQ9" s="499"/>
      <c r="AR9" s="499"/>
      <c r="AS9" s="499"/>
      <c r="AT9" s="499"/>
      <c r="AU9" s="499"/>
      <c r="AV9" s="499"/>
      <c r="AW9" s="499"/>
      <c r="AX9" s="499"/>
      <c r="AY9" s="500"/>
      <c r="AZ9" s="1183" t="s">
        <v>1355</v>
      </c>
      <c r="BA9" s="1184"/>
      <c r="BB9" s="1184"/>
      <c r="BC9" s="1184"/>
      <c r="BD9" s="1184"/>
      <c r="BE9" s="1184"/>
      <c r="BF9" s="1184"/>
      <c r="BG9" s="1184"/>
      <c r="BH9" s="1184"/>
      <c r="BI9" s="1185"/>
      <c r="BK9" s="2" t="s">
        <v>1361</v>
      </c>
    </row>
    <row r="10" spans="1:63" ht="114" customHeight="1">
      <c r="A10" s="1189">
        <f t="shared" si="0"/>
        <v>2</v>
      </c>
      <c r="B10" s="1190"/>
      <c r="C10" s="1182"/>
      <c r="D10" s="501"/>
      <c r="E10" s="497"/>
      <c r="F10" s="501"/>
      <c r="G10" s="511"/>
      <c r="H10" s="511"/>
      <c r="I10" s="511"/>
      <c r="J10" s="511"/>
      <c r="K10" s="511"/>
      <c r="L10" s="511"/>
      <c r="M10" s="511"/>
      <c r="N10" s="511"/>
      <c r="O10" s="511"/>
      <c r="P10" s="497"/>
      <c r="Q10" s="498" t="s">
        <v>1346</v>
      </c>
      <c r="R10" s="499"/>
      <c r="S10" s="499"/>
      <c r="T10" s="499"/>
      <c r="U10" s="499"/>
      <c r="V10" s="499"/>
      <c r="W10" s="499"/>
      <c r="X10" s="499"/>
      <c r="Y10" s="499"/>
      <c r="Z10" s="499"/>
      <c r="AA10" s="500"/>
      <c r="AB10" s="1181" t="s">
        <v>1354</v>
      </c>
      <c r="AC10" s="1182"/>
      <c r="AD10" s="498" t="s">
        <v>1371</v>
      </c>
      <c r="AE10" s="499"/>
      <c r="AF10" s="499"/>
      <c r="AG10" s="499"/>
      <c r="AH10" s="499"/>
      <c r="AI10" s="499"/>
      <c r="AJ10" s="499"/>
      <c r="AK10" s="499"/>
      <c r="AL10" s="499"/>
      <c r="AM10" s="499"/>
      <c r="AN10" s="500"/>
      <c r="AO10" s="498" t="s">
        <v>1176</v>
      </c>
      <c r="AP10" s="499"/>
      <c r="AQ10" s="499"/>
      <c r="AR10" s="499"/>
      <c r="AS10" s="499"/>
      <c r="AT10" s="499"/>
      <c r="AU10" s="499"/>
      <c r="AV10" s="499"/>
      <c r="AW10" s="499"/>
      <c r="AX10" s="499"/>
      <c r="AY10" s="500"/>
      <c r="AZ10" s="1183" t="s">
        <v>1356</v>
      </c>
      <c r="BA10" s="1184"/>
      <c r="BB10" s="1184"/>
      <c r="BC10" s="1184"/>
      <c r="BD10" s="1184"/>
      <c r="BE10" s="1184"/>
      <c r="BF10" s="1184"/>
      <c r="BG10" s="1184"/>
      <c r="BH10" s="1184"/>
      <c r="BI10" s="1185"/>
    </row>
    <row r="11" spans="1:63" ht="114" customHeight="1">
      <c r="A11" s="1189">
        <f t="shared" si="0"/>
        <v>3</v>
      </c>
      <c r="B11" s="1190"/>
      <c r="C11" s="1182"/>
      <c r="D11" s="501"/>
      <c r="E11" s="497"/>
      <c r="F11" s="501"/>
      <c r="G11" s="511"/>
      <c r="H11" s="511"/>
      <c r="I11" s="511"/>
      <c r="J11" s="511"/>
      <c r="K11" s="511"/>
      <c r="L11" s="511"/>
      <c r="M11" s="511"/>
      <c r="N11" s="511"/>
      <c r="O11" s="511"/>
      <c r="P11" s="497"/>
      <c r="Q11" s="498" t="s">
        <v>1347</v>
      </c>
      <c r="R11" s="499"/>
      <c r="S11" s="499"/>
      <c r="T11" s="499"/>
      <c r="U11" s="499"/>
      <c r="V11" s="499"/>
      <c r="W11" s="499"/>
      <c r="X11" s="499"/>
      <c r="Y11" s="499"/>
      <c r="Z11" s="499"/>
      <c r="AA11" s="500"/>
      <c r="AB11" s="1181" t="s">
        <v>1354</v>
      </c>
      <c r="AC11" s="1182"/>
      <c r="AD11" s="498" t="s">
        <v>1371</v>
      </c>
      <c r="AE11" s="499"/>
      <c r="AF11" s="499"/>
      <c r="AG11" s="499"/>
      <c r="AH11" s="499"/>
      <c r="AI11" s="499"/>
      <c r="AJ11" s="499"/>
      <c r="AK11" s="499"/>
      <c r="AL11" s="499"/>
      <c r="AM11" s="499"/>
      <c r="AN11" s="500"/>
      <c r="AO11" s="498" t="s">
        <v>1250</v>
      </c>
      <c r="AP11" s="499"/>
      <c r="AQ11" s="499"/>
      <c r="AR11" s="499"/>
      <c r="AS11" s="499"/>
      <c r="AT11" s="499"/>
      <c r="AU11" s="499"/>
      <c r="AV11" s="499"/>
      <c r="AW11" s="499"/>
      <c r="AX11" s="499"/>
      <c r="AY11" s="500"/>
      <c r="AZ11" s="1183" t="s">
        <v>1357</v>
      </c>
      <c r="BA11" s="1184"/>
      <c r="BB11" s="1184"/>
      <c r="BC11" s="1184"/>
      <c r="BD11" s="1184"/>
      <c r="BE11" s="1184"/>
      <c r="BF11" s="1184"/>
      <c r="BG11" s="1184"/>
      <c r="BH11" s="1184"/>
      <c r="BI11" s="1185"/>
    </row>
    <row r="12" spans="1:63" ht="114" customHeight="1">
      <c r="A12" s="1189">
        <f t="shared" si="0"/>
        <v>4</v>
      </c>
      <c r="B12" s="1190"/>
      <c r="C12" s="1182"/>
      <c r="D12" s="501"/>
      <c r="E12" s="497"/>
      <c r="F12" s="501"/>
      <c r="G12" s="511"/>
      <c r="H12" s="511"/>
      <c r="I12" s="511"/>
      <c r="J12" s="511"/>
      <c r="K12" s="511"/>
      <c r="L12" s="511"/>
      <c r="M12" s="511"/>
      <c r="N12" s="511"/>
      <c r="O12" s="511"/>
      <c r="P12" s="497"/>
      <c r="Q12" s="498" t="s">
        <v>1348</v>
      </c>
      <c r="R12" s="499"/>
      <c r="S12" s="499"/>
      <c r="T12" s="499"/>
      <c r="U12" s="499"/>
      <c r="V12" s="499"/>
      <c r="W12" s="499"/>
      <c r="X12" s="499"/>
      <c r="Y12" s="499"/>
      <c r="Z12" s="499"/>
      <c r="AA12" s="500"/>
      <c r="AB12" s="1181" t="s">
        <v>1354</v>
      </c>
      <c r="AC12" s="1182"/>
      <c r="AD12" s="498" t="s">
        <v>1371</v>
      </c>
      <c r="AE12" s="499"/>
      <c r="AF12" s="499"/>
      <c r="AG12" s="499"/>
      <c r="AH12" s="499"/>
      <c r="AI12" s="499"/>
      <c r="AJ12" s="499"/>
      <c r="AK12" s="499"/>
      <c r="AL12" s="499"/>
      <c r="AM12" s="499"/>
      <c r="AN12" s="500"/>
      <c r="AO12" s="498" t="s">
        <v>1182</v>
      </c>
      <c r="AP12" s="499"/>
      <c r="AQ12" s="499"/>
      <c r="AR12" s="499"/>
      <c r="AS12" s="499"/>
      <c r="AT12" s="499"/>
      <c r="AU12" s="499"/>
      <c r="AV12" s="499"/>
      <c r="AW12" s="499"/>
      <c r="AX12" s="499"/>
      <c r="AY12" s="500"/>
      <c r="AZ12" s="1183" t="s">
        <v>1358</v>
      </c>
      <c r="BA12" s="1184"/>
      <c r="BB12" s="1184"/>
      <c r="BC12" s="1184"/>
      <c r="BD12" s="1184"/>
      <c r="BE12" s="1184"/>
      <c r="BF12" s="1184"/>
      <c r="BG12" s="1184"/>
      <c r="BH12" s="1184"/>
      <c r="BI12" s="1185"/>
    </row>
    <row r="13" spans="1:63" ht="114" customHeight="1">
      <c r="A13" s="1189">
        <f t="shared" si="0"/>
        <v>5</v>
      </c>
      <c r="B13" s="1190"/>
      <c r="C13" s="1182"/>
      <c r="D13" s="501"/>
      <c r="E13" s="497"/>
      <c r="F13" s="501"/>
      <c r="G13" s="511"/>
      <c r="H13" s="511"/>
      <c r="I13" s="511"/>
      <c r="J13" s="511"/>
      <c r="K13" s="511"/>
      <c r="L13" s="511"/>
      <c r="M13" s="511"/>
      <c r="N13" s="511"/>
      <c r="O13" s="511"/>
      <c r="P13" s="497"/>
      <c r="Q13" s="498" t="s">
        <v>1349</v>
      </c>
      <c r="R13" s="499"/>
      <c r="S13" s="499"/>
      <c r="T13" s="499"/>
      <c r="U13" s="499"/>
      <c r="V13" s="499"/>
      <c r="W13" s="499"/>
      <c r="X13" s="499"/>
      <c r="Y13" s="499"/>
      <c r="Z13" s="499"/>
      <c r="AA13" s="500"/>
      <c r="AB13" s="1181" t="s">
        <v>1354</v>
      </c>
      <c r="AC13" s="1182"/>
      <c r="AD13" s="498" t="s">
        <v>1371</v>
      </c>
      <c r="AE13" s="499"/>
      <c r="AF13" s="499"/>
      <c r="AG13" s="499"/>
      <c r="AH13" s="499"/>
      <c r="AI13" s="499"/>
      <c r="AJ13" s="499"/>
      <c r="AK13" s="499"/>
      <c r="AL13" s="499"/>
      <c r="AM13" s="499"/>
      <c r="AN13" s="500"/>
      <c r="AO13" s="498" t="s">
        <v>1181</v>
      </c>
      <c r="AP13" s="499"/>
      <c r="AQ13" s="499"/>
      <c r="AR13" s="499"/>
      <c r="AS13" s="499"/>
      <c r="AT13" s="499"/>
      <c r="AU13" s="499"/>
      <c r="AV13" s="499"/>
      <c r="AW13" s="499"/>
      <c r="AX13" s="499"/>
      <c r="AY13" s="500"/>
      <c r="AZ13" s="1183" t="s">
        <v>1359</v>
      </c>
      <c r="BA13" s="1184"/>
      <c r="BB13" s="1184"/>
      <c r="BC13" s="1184"/>
      <c r="BD13" s="1184"/>
      <c r="BE13" s="1184"/>
      <c r="BF13" s="1184"/>
      <c r="BG13" s="1184"/>
      <c r="BH13" s="1184"/>
      <c r="BI13" s="1185"/>
    </row>
    <row r="14" spans="1:63" ht="15.75" customHeight="1">
      <c r="A14" s="502" t="s">
        <v>363</v>
      </c>
      <c r="B14" s="478"/>
      <c r="C14" s="478"/>
      <c r="D14" s="478"/>
      <c r="E14" s="479"/>
      <c r="F14" s="465"/>
      <c r="G14" s="463"/>
      <c r="H14" s="463"/>
      <c r="I14" s="463"/>
      <c r="J14" s="463"/>
      <c r="K14" s="463"/>
      <c r="L14" s="463"/>
      <c r="M14" s="463"/>
      <c r="N14" s="463"/>
      <c r="O14" s="463"/>
      <c r="P14" s="464">
        <v>2</v>
      </c>
      <c r="Q14" s="477" t="s">
        <v>1333</v>
      </c>
      <c r="R14" s="478"/>
      <c r="S14" s="478"/>
      <c r="T14" s="478"/>
      <c r="U14" s="478"/>
      <c r="V14" s="478"/>
      <c r="W14" s="478"/>
      <c r="X14" s="478"/>
      <c r="Y14" s="478"/>
      <c r="Z14" s="478"/>
      <c r="AA14" s="479"/>
      <c r="AB14" s="465" t="s">
        <v>1353</v>
      </c>
      <c r="AC14" s="463"/>
      <c r="AD14" s="463"/>
      <c r="AE14" s="463"/>
      <c r="AF14" s="463"/>
      <c r="AG14" s="463"/>
      <c r="AH14" s="463"/>
      <c r="AI14" s="463"/>
      <c r="AJ14" s="463"/>
      <c r="AK14" s="463"/>
      <c r="AL14" s="463"/>
      <c r="AM14" s="463"/>
      <c r="AN14" s="464"/>
      <c r="AO14" s="477" t="s">
        <v>1334</v>
      </c>
      <c r="AP14" s="478"/>
      <c r="AQ14" s="478"/>
      <c r="AR14" s="478"/>
      <c r="AS14" s="478"/>
      <c r="AT14" s="478"/>
      <c r="AU14" s="478"/>
      <c r="AV14" s="478"/>
      <c r="AW14" s="478"/>
      <c r="AX14" s="478"/>
      <c r="AY14" s="479"/>
      <c r="AZ14" s="465" t="s">
        <v>1335</v>
      </c>
      <c r="BA14" s="463"/>
      <c r="BB14" s="463"/>
      <c r="BC14" s="463"/>
      <c r="BD14" s="463"/>
      <c r="BE14" s="463"/>
      <c r="BF14" s="463"/>
      <c r="BG14" s="463"/>
      <c r="BH14" s="463"/>
      <c r="BI14" s="464"/>
    </row>
    <row r="15" spans="1:63" ht="15.75" customHeight="1">
      <c r="A15" s="502" t="s">
        <v>1336</v>
      </c>
      <c r="B15" s="478"/>
      <c r="C15" s="478"/>
      <c r="D15" s="478"/>
      <c r="E15" s="479"/>
      <c r="F15" s="480" t="s">
        <v>1350</v>
      </c>
      <c r="G15" s="481"/>
      <c r="H15" s="481"/>
      <c r="I15" s="481"/>
      <c r="J15" s="481"/>
      <c r="K15" s="481"/>
      <c r="L15" s="463"/>
      <c r="M15" s="463"/>
      <c r="N15" s="463"/>
      <c r="O15" s="463"/>
      <c r="P15" s="463"/>
      <c r="Q15" s="463"/>
      <c r="R15" s="463"/>
      <c r="S15" s="463"/>
      <c r="T15" s="463"/>
      <c r="U15" s="463"/>
      <c r="V15" s="463"/>
      <c r="W15" s="463"/>
      <c r="X15" s="463"/>
      <c r="Y15" s="463"/>
      <c r="Z15" s="463"/>
      <c r="AA15" s="463"/>
      <c r="AB15" s="463"/>
      <c r="AC15" s="463"/>
      <c r="AD15" s="463"/>
      <c r="AE15" s="463"/>
      <c r="AF15" s="463"/>
      <c r="AG15" s="463"/>
      <c r="AH15" s="463"/>
      <c r="AI15" s="463"/>
      <c r="AJ15" s="463"/>
      <c r="AK15" s="463"/>
      <c r="AL15" s="463"/>
      <c r="AM15" s="463"/>
      <c r="AN15" s="463"/>
      <c r="AO15" s="463"/>
      <c r="AP15" s="463"/>
      <c r="AQ15" s="463"/>
      <c r="AR15" s="463"/>
      <c r="AS15" s="463"/>
      <c r="AT15" s="463"/>
      <c r="AU15" s="463"/>
      <c r="AV15" s="463"/>
      <c r="AW15" s="463"/>
      <c r="AX15" s="463"/>
      <c r="AY15" s="463"/>
      <c r="AZ15" s="463"/>
      <c r="BA15" s="463"/>
      <c r="BB15" s="463"/>
      <c r="BC15" s="463"/>
      <c r="BD15" s="463"/>
      <c r="BE15" s="463"/>
      <c r="BF15" s="463"/>
      <c r="BG15" s="463"/>
      <c r="BH15" s="463"/>
      <c r="BI15" s="464"/>
    </row>
    <row r="16" spans="1:63" ht="15.75" customHeight="1">
      <c r="A16" s="492" t="s">
        <v>363</v>
      </c>
      <c r="B16" s="482"/>
      <c r="C16" s="483"/>
      <c r="D16" s="484" t="s">
        <v>1338</v>
      </c>
      <c r="E16" s="485"/>
      <c r="F16" s="485"/>
      <c r="G16" s="485"/>
      <c r="H16" s="485"/>
      <c r="I16" s="485"/>
      <c r="J16" s="485"/>
      <c r="K16" s="485"/>
      <c r="L16" s="485"/>
      <c r="M16" s="485"/>
      <c r="N16" s="485"/>
      <c r="O16" s="485"/>
      <c r="P16" s="485"/>
      <c r="Q16" s="485"/>
      <c r="R16" s="485"/>
      <c r="S16" s="485"/>
      <c r="T16" s="485"/>
      <c r="U16" s="485"/>
      <c r="V16" s="485"/>
      <c r="W16" s="485"/>
      <c r="X16" s="485"/>
      <c r="Y16" s="485"/>
      <c r="Z16" s="485"/>
      <c r="AA16" s="486"/>
      <c r="AB16" s="484" t="s">
        <v>1339</v>
      </c>
      <c r="AC16" s="485"/>
      <c r="AD16" s="485"/>
      <c r="AE16" s="485"/>
      <c r="AF16" s="485"/>
      <c r="AG16" s="485"/>
      <c r="AH16" s="485"/>
      <c r="AI16" s="485"/>
      <c r="AJ16" s="485"/>
      <c r="AK16" s="485"/>
      <c r="AL16" s="485"/>
      <c r="AM16" s="485"/>
      <c r="AN16" s="485"/>
      <c r="AO16" s="485"/>
      <c r="AP16" s="485"/>
      <c r="AQ16" s="485"/>
      <c r="AR16" s="485"/>
      <c r="AS16" s="485"/>
      <c r="AT16" s="485"/>
      <c r="AU16" s="485"/>
      <c r="AV16" s="485"/>
      <c r="AW16" s="485"/>
      <c r="AX16" s="485"/>
      <c r="AY16" s="486"/>
      <c r="AZ16" s="1191" t="s">
        <v>403</v>
      </c>
      <c r="BA16" s="1192"/>
      <c r="BB16" s="1192"/>
      <c r="BC16" s="1192"/>
      <c r="BD16" s="1192"/>
      <c r="BE16" s="1192"/>
      <c r="BF16" s="1192"/>
      <c r="BG16" s="1192"/>
      <c r="BH16" s="1192"/>
      <c r="BI16" s="1193"/>
    </row>
    <row r="17" spans="1:61" ht="15.75" customHeight="1" thickBot="1">
      <c r="A17" s="493"/>
      <c r="B17" s="487"/>
      <c r="C17" s="488"/>
      <c r="D17" s="489" t="s">
        <v>1340</v>
      </c>
      <c r="E17" s="490"/>
      <c r="F17" s="491" t="s">
        <v>1341</v>
      </c>
      <c r="G17" s="491"/>
      <c r="H17" s="491"/>
      <c r="I17" s="491"/>
      <c r="J17" s="491"/>
      <c r="K17" s="491"/>
      <c r="L17" s="491"/>
      <c r="M17" s="491"/>
      <c r="N17" s="491"/>
      <c r="O17" s="491"/>
      <c r="P17" s="490"/>
      <c r="Q17" s="487" t="s">
        <v>1342</v>
      </c>
      <c r="R17" s="487"/>
      <c r="S17" s="487"/>
      <c r="T17" s="487"/>
      <c r="U17" s="487"/>
      <c r="V17" s="487"/>
      <c r="W17" s="487"/>
      <c r="X17" s="487"/>
      <c r="Y17" s="487"/>
      <c r="Z17" s="487"/>
      <c r="AA17" s="488"/>
      <c r="AB17" s="489" t="s">
        <v>1340</v>
      </c>
      <c r="AC17" s="490"/>
      <c r="AD17" s="491" t="s">
        <v>1341</v>
      </c>
      <c r="AE17" s="491"/>
      <c r="AF17" s="491"/>
      <c r="AG17" s="491"/>
      <c r="AH17" s="491"/>
      <c r="AI17" s="491"/>
      <c r="AJ17" s="491"/>
      <c r="AK17" s="491"/>
      <c r="AL17" s="491"/>
      <c r="AM17" s="491"/>
      <c r="AN17" s="490"/>
      <c r="AO17" s="487" t="s">
        <v>1342</v>
      </c>
      <c r="AP17" s="487"/>
      <c r="AQ17" s="487"/>
      <c r="AR17" s="487"/>
      <c r="AS17" s="487"/>
      <c r="AT17" s="487"/>
      <c r="AU17" s="487"/>
      <c r="AV17" s="487"/>
      <c r="AW17" s="487"/>
      <c r="AX17" s="487"/>
      <c r="AY17" s="488"/>
      <c r="AZ17" s="1194"/>
      <c r="BA17" s="1195"/>
      <c r="BB17" s="1195"/>
      <c r="BC17" s="1195"/>
      <c r="BD17" s="1195"/>
      <c r="BE17" s="1195"/>
      <c r="BF17" s="1195"/>
      <c r="BG17" s="1195"/>
      <c r="BH17" s="1195"/>
      <c r="BI17" s="1196"/>
    </row>
    <row r="18" spans="1:61" ht="113.5" customHeight="1" thickTop="1" thickBot="1">
      <c r="A18" s="1186">
        <v>1</v>
      </c>
      <c r="B18" s="1187"/>
      <c r="C18" s="1188"/>
      <c r="D18" s="1197" t="s">
        <v>1343</v>
      </c>
      <c r="E18" s="1188"/>
      <c r="F18" s="503" t="s">
        <v>1360</v>
      </c>
      <c r="G18" s="504"/>
      <c r="H18" s="504"/>
      <c r="I18" s="504"/>
      <c r="J18" s="504"/>
      <c r="K18" s="504"/>
      <c r="L18" s="504"/>
      <c r="M18" s="504"/>
      <c r="N18" s="504"/>
      <c r="O18" s="504"/>
      <c r="P18" s="505"/>
      <c r="Q18" s="506" t="s">
        <v>1351</v>
      </c>
      <c r="R18" s="507"/>
      <c r="S18" s="507"/>
      <c r="T18" s="507"/>
      <c r="U18" s="507"/>
      <c r="V18" s="507"/>
      <c r="W18" s="507"/>
      <c r="X18" s="507"/>
      <c r="Y18" s="507"/>
      <c r="Z18" s="507"/>
      <c r="AA18" s="508"/>
      <c r="AB18" s="1198" t="s">
        <v>1354</v>
      </c>
      <c r="AC18" s="1199"/>
      <c r="AD18" s="506" t="s">
        <v>1371</v>
      </c>
      <c r="AE18" s="509"/>
      <c r="AF18" s="509"/>
      <c r="AG18" s="509"/>
      <c r="AH18" s="509"/>
      <c r="AI18" s="509"/>
      <c r="AJ18" s="509"/>
      <c r="AK18" s="509"/>
      <c r="AL18" s="509"/>
      <c r="AM18" s="509"/>
      <c r="AN18" s="510"/>
      <c r="AO18" s="506" t="s">
        <v>1183</v>
      </c>
      <c r="AP18" s="509"/>
      <c r="AQ18" s="509"/>
      <c r="AR18" s="509"/>
      <c r="AS18" s="509"/>
      <c r="AT18" s="509"/>
      <c r="AU18" s="509"/>
      <c r="AV18" s="509"/>
      <c r="AW18" s="509"/>
      <c r="AX18" s="509"/>
      <c r="AY18" s="510"/>
      <c r="AZ18" s="1200" t="s">
        <v>1370</v>
      </c>
      <c r="BA18" s="1201"/>
      <c r="BB18" s="1201"/>
      <c r="BC18" s="1201"/>
      <c r="BD18" s="1201"/>
      <c r="BE18" s="1201"/>
      <c r="BF18" s="1201"/>
      <c r="BG18" s="1201"/>
      <c r="BH18" s="1201"/>
      <c r="BI18" s="1202"/>
    </row>
  </sheetData>
  <mergeCells count="42">
    <mergeCell ref="AB9:AC9"/>
    <mergeCell ref="AZ9:BI9"/>
    <mergeCell ref="BD2:BI3"/>
    <mergeCell ref="K3:T3"/>
    <mergeCell ref="U3:Y3"/>
    <mergeCell ref="U1:Y1"/>
    <mergeCell ref="Z1:AD1"/>
    <mergeCell ref="AE1:AI1"/>
    <mergeCell ref="AJ1:AP1"/>
    <mergeCell ref="AZ7:BI8"/>
    <mergeCell ref="AQ1:AW1"/>
    <mergeCell ref="AX1:BC1"/>
    <mergeCell ref="BD1:BI1"/>
    <mergeCell ref="AQ2:AW3"/>
    <mergeCell ref="AX2:BC3"/>
    <mergeCell ref="U2:Y2"/>
    <mergeCell ref="Z2:AD2"/>
    <mergeCell ref="AE2:AI2"/>
    <mergeCell ref="AJ2:AP2"/>
    <mergeCell ref="Z3:AD3"/>
    <mergeCell ref="AE3:AP3"/>
    <mergeCell ref="A9:C9"/>
    <mergeCell ref="A11:C11"/>
    <mergeCell ref="A12:C12"/>
    <mergeCell ref="A13:C13"/>
    <mergeCell ref="K2:T2"/>
    <mergeCell ref="A1:J3"/>
    <mergeCell ref="K1:T1"/>
    <mergeCell ref="AB13:AC13"/>
    <mergeCell ref="AZ13:BI13"/>
    <mergeCell ref="A18:C18"/>
    <mergeCell ref="AB10:AC10"/>
    <mergeCell ref="AZ10:BI10"/>
    <mergeCell ref="AB11:AC11"/>
    <mergeCell ref="AZ11:BI11"/>
    <mergeCell ref="AB12:AC12"/>
    <mergeCell ref="AZ12:BI12"/>
    <mergeCell ref="A10:C10"/>
    <mergeCell ref="AZ16:BI17"/>
    <mergeCell ref="D18:E18"/>
    <mergeCell ref="AB18:AC18"/>
    <mergeCell ref="AZ18:BI18"/>
  </mergeCells>
  <phoneticPr fontId="65"/>
  <pageMargins left="0.511811023622047" right="0.74803149606299202" top="0.70866141732283505" bottom="0.43307086614173201" header="0.511811023622047" footer="0.35433070866141703"/>
  <pageSetup paperSize="9" fitToHeight="0" orientation="landscape" r:id="rId1"/>
  <headerFooter alignWithMargins="0">
    <oddFooter>&amp;C&amp;"Meiryo UI,標準"&amp;10&amp;P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463DA-2889-4AE4-A331-D575E177038E}">
  <sheetPr>
    <tabColor rgb="FFFFFF00"/>
    <pageSetUpPr fitToPage="1"/>
  </sheetPr>
  <dimension ref="A1:CA65"/>
  <sheetViews>
    <sheetView showGridLines="0" showZeros="0" view="pageBreakPreview" zoomScale="85" zoomScaleNormal="100" zoomScaleSheetLayoutView="85" workbookViewId="0">
      <pane ySplit="4" topLeftCell="A5" activePane="bottomLeft" state="frozen"/>
      <selection pane="bottomLeft" sqref="A1:N3"/>
    </sheetView>
  </sheetViews>
  <sheetFormatPr defaultColWidth="2.08984375" defaultRowHeight="15.75" customHeight="1"/>
  <cols>
    <col min="1" max="2" width="2.08984375" style="3" customWidth="1"/>
    <col min="3" max="3" width="2.36328125" style="4" customWidth="1"/>
    <col min="4" max="4" width="2.08984375" style="4" customWidth="1"/>
    <col min="5" max="5" width="3" style="4" customWidth="1"/>
    <col min="6" max="9" width="2.08984375" style="3" customWidth="1"/>
    <col min="10" max="10" width="2.08984375" style="4" customWidth="1"/>
    <col min="11" max="55" width="2.08984375" style="3" customWidth="1"/>
    <col min="56" max="56" width="2.26953125" style="3" customWidth="1"/>
    <col min="57" max="16384" width="2.08984375" style="3"/>
  </cols>
  <sheetData>
    <row r="1" spans="1:79" s="1" customFormat="1" ht="15">
      <c r="A1" s="663" t="str">
        <f ca="1">INDIRECT("表紙!$A$39")</f>
        <v>mcframe 7</v>
      </c>
      <c r="B1" s="664"/>
      <c r="C1" s="664"/>
      <c r="D1" s="664"/>
      <c r="E1" s="664"/>
      <c r="F1" s="664"/>
      <c r="G1" s="664"/>
      <c r="H1" s="664"/>
      <c r="I1" s="664"/>
      <c r="J1" s="664"/>
      <c r="K1" s="664"/>
      <c r="L1" s="664"/>
      <c r="M1" s="664"/>
      <c r="N1" s="665"/>
      <c r="O1" s="771" t="s">
        <v>45</v>
      </c>
      <c r="P1" s="772"/>
      <c r="Q1" s="772"/>
      <c r="R1" s="772"/>
      <c r="S1" s="772"/>
      <c r="T1" s="772"/>
      <c r="U1" s="772"/>
      <c r="V1" s="773" t="s">
        <v>46</v>
      </c>
      <c r="W1" s="694"/>
      <c r="X1" s="694"/>
      <c r="Y1" s="694"/>
      <c r="Z1" s="694"/>
      <c r="AA1" s="694"/>
      <c r="AB1" s="695"/>
      <c r="AC1" s="693" t="str">
        <f ca="1">INDIRECT("表紙!$Z$39")</f>
        <v>MS</v>
      </c>
      <c r="AD1" s="694"/>
      <c r="AE1" s="694"/>
      <c r="AF1" s="694"/>
      <c r="AG1" s="694"/>
      <c r="AH1" s="694"/>
      <c r="AI1" s="695"/>
      <c r="AJ1" s="773" t="s">
        <v>48</v>
      </c>
      <c r="AK1" s="694"/>
      <c r="AL1" s="694"/>
      <c r="AM1" s="694"/>
      <c r="AN1" s="694"/>
      <c r="AO1" s="694"/>
      <c r="AP1" s="695"/>
      <c r="AQ1" s="693" t="str">
        <f ca="1">INDIRECT("表紙!$AJ$39")</f>
        <v>SCM</v>
      </c>
      <c r="AR1" s="694"/>
      <c r="AS1" s="694"/>
      <c r="AT1" s="694"/>
      <c r="AU1" s="694"/>
      <c r="AV1" s="694"/>
      <c r="AW1" s="694"/>
      <c r="AX1" s="694"/>
      <c r="AY1" s="694"/>
      <c r="AZ1" s="694"/>
      <c r="BA1" s="694"/>
      <c r="BB1" s="694"/>
      <c r="BC1" s="694"/>
      <c r="BD1" s="695"/>
      <c r="BE1" s="705" t="s">
        <v>5</v>
      </c>
      <c r="BF1" s="694"/>
      <c r="BG1" s="694"/>
      <c r="BH1" s="694"/>
      <c r="BI1" s="694"/>
      <c r="BJ1" s="694"/>
      <c r="BK1" s="694"/>
      <c r="BL1" s="694"/>
      <c r="BM1" s="695"/>
      <c r="BN1" s="753" t="s">
        <v>37</v>
      </c>
      <c r="BO1" s="754"/>
      <c r="BP1" s="754"/>
      <c r="BQ1" s="754"/>
      <c r="BR1" s="754"/>
      <c r="BS1" s="754"/>
      <c r="BT1" s="755"/>
      <c r="BU1" s="753" t="s">
        <v>50</v>
      </c>
      <c r="BV1" s="754"/>
      <c r="BW1" s="754"/>
      <c r="BX1" s="754"/>
      <c r="BY1" s="754"/>
      <c r="BZ1" s="754"/>
      <c r="CA1" s="756"/>
    </row>
    <row r="2" spans="1:79" s="1" customFormat="1" ht="15.75" customHeight="1">
      <c r="A2" s="666"/>
      <c r="B2" s="667"/>
      <c r="C2" s="667"/>
      <c r="D2" s="667"/>
      <c r="E2" s="667"/>
      <c r="F2" s="667"/>
      <c r="G2" s="667"/>
      <c r="H2" s="667"/>
      <c r="I2" s="667"/>
      <c r="J2" s="667"/>
      <c r="K2" s="667"/>
      <c r="L2" s="667"/>
      <c r="M2" s="667"/>
      <c r="N2" s="668"/>
      <c r="O2" s="757" t="str">
        <f>文書名_カスタマイズ</f>
        <v>画面機能</v>
      </c>
      <c r="P2" s="675"/>
      <c r="Q2" s="675"/>
      <c r="R2" s="675"/>
      <c r="S2" s="675"/>
      <c r="T2" s="675"/>
      <c r="U2" s="675"/>
      <c r="V2" s="758" t="s">
        <v>59</v>
      </c>
      <c r="W2" s="759"/>
      <c r="X2" s="759"/>
      <c r="Y2" s="759"/>
      <c r="Z2" s="759"/>
      <c r="AA2" s="759"/>
      <c r="AB2" s="760"/>
      <c r="AC2" s="761" t="str">
        <f ca="1">INDIRECT("表紙!$Z$40")</f>
        <v>MSBD</v>
      </c>
      <c r="AD2" s="759"/>
      <c r="AE2" s="759"/>
      <c r="AF2" s="759"/>
      <c r="AG2" s="759"/>
      <c r="AH2" s="759"/>
      <c r="AI2" s="760"/>
      <c r="AJ2" s="758" t="s">
        <v>60</v>
      </c>
      <c r="AK2" s="759"/>
      <c r="AL2" s="759"/>
      <c r="AM2" s="759"/>
      <c r="AN2" s="759"/>
      <c r="AO2" s="759"/>
      <c r="AP2" s="760"/>
      <c r="AQ2" s="764" t="str">
        <f ca="1">INDIRECT("表紙!$AJ$40")</f>
        <v>購買管理</v>
      </c>
      <c r="AR2" s="759"/>
      <c r="AS2" s="759"/>
      <c r="AT2" s="759"/>
      <c r="AU2" s="759"/>
      <c r="AV2" s="759"/>
      <c r="AW2" s="759"/>
      <c r="AX2" s="759"/>
      <c r="AY2" s="759"/>
      <c r="AZ2" s="759"/>
      <c r="BA2" s="759"/>
      <c r="BB2" s="759"/>
      <c r="BC2" s="759"/>
      <c r="BD2" s="760"/>
      <c r="BE2" s="765" t="str">
        <f>文書番号_カスタマイズ</f>
        <v>J052-0-0001</v>
      </c>
      <c r="BF2" s="766"/>
      <c r="BG2" s="766"/>
      <c r="BH2" s="766"/>
      <c r="BI2" s="766"/>
      <c r="BJ2" s="766"/>
      <c r="BK2" s="766"/>
      <c r="BL2" s="766"/>
      <c r="BM2" s="767"/>
      <c r="BN2" s="674" t="str">
        <f>Ver.</f>
        <v>7.0.1</v>
      </c>
      <c r="BO2" s="675"/>
      <c r="BP2" s="675"/>
      <c r="BQ2" s="675"/>
      <c r="BR2" s="675"/>
      <c r="BS2" s="675"/>
      <c r="BT2" s="676"/>
      <c r="BU2" s="851">
        <f>Rev.</f>
        <v>0.04</v>
      </c>
      <c r="BV2" s="920"/>
      <c r="BW2" s="920"/>
      <c r="BX2" s="920"/>
      <c r="BY2" s="920"/>
      <c r="BZ2" s="920"/>
      <c r="CA2" s="921"/>
    </row>
    <row r="3" spans="1:79" s="1" customFormat="1" ht="15" thickBot="1">
      <c r="A3" s="669"/>
      <c r="B3" s="670"/>
      <c r="C3" s="670"/>
      <c r="D3" s="670"/>
      <c r="E3" s="670"/>
      <c r="F3" s="670"/>
      <c r="G3" s="670"/>
      <c r="H3" s="670"/>
      <c r="I3" s="670"/>
      <c r="J3" s="670"/>
      <c r="K3" s="670"/>
      <c r="L3" s="670"/>
      <c r="M3" s="670"/>
      <c r="N3" s="671"/>
      <c r="O3" s="683" t="str">
        <f ca="1">RIGHT(CELL("filename",$A$1),LEN(CELL("filename",$A$1))-FIND("]",CELL("filename",$A$1)))</f>
        <v>メッセージ一覧</v>
      </c>
      <c r="P3" s="684"/>
      <c r="Q3" s="684"/>
      <c r="R3" s="684"/>
      <c r="S3" s="684"/>
      <c r="T3" s="684"/>
      <c r="U3" s="684"/>
      <c r="V3" s="685" t="s">
        <v>56</v>
      </c>
      <c r="W3" s="686"/>
      <c r="X3" s="686"/>
      <c r="Y3" s="686"/>
      <c r="Z3" s="686"/>
      <c r="AA3" s="686"/>
      <c r="AB3" s="687"/>
      <c r="AC3" s="688" t="str">
        <f ca="1">INDIRECT("表紙!$Z$41")</f>
        <v>MSBDP0090</v>
      </c>
      <c r="AD3" s="689"/>
      <c r="AE3" s="689"/>
      <c r="AF3" s="689"/>
      <c r="AG3" s="689"/>
      <c r="AH3" s="689"/>
      <c r="AI3" s="689"/>
      <c r="AJ3" s="690" t="str">
        <f ca="1">INDIRECT("表紙!$AE$41")</f>
        <v>発注一覧登録</v>
      </c>
      <c r="AK3" s="691"/>
      <c r="AL3" s="691"/>
      <c r="AM3" s="691"/>
      <c r="AN3" s="691"/>
      <c r="AO3" s="691"/>
      <c r="AP3" s="691"/>
      <c r="AQ3" s="691"/>
      <c r="AR3" s="691"/>
      <c r="AS3" s="691"/>
      <c r="AT3" s="691"/>
      <c r="AU3" s="691"/>
      <c r="AV3" s="691"/>
      <c r="AW3" s="691"/>
      <c r="AX3" s="691"/>
      <c r="AY3" s="691"/>
      <c r="AZ3" s="691"/>
      <c r="BA3" s="691"/>
      <c r="BB3" s="691"/>
      <c r="BC3" s="691"/>
      <c r="BD3" s="692"/>
      <c r="BE3" s="768"/>
      <c r="BF3" s="769"/>
      <c r="BG3" s="769"/>
      <c r="BH3" s="769"/>
      <c r="BI3" s="769"/>
      <c r="BJ3" s="769"/>
      <c r="BK3" s="769"/>
      <c r="BL3" s="769"/>
      <c r="BM3" s="770"/>
      <c r="BN3" s="677"/>
      <c r="BO3" s="678"/>
      <c r="BP3" s="678"/>
      <c r="BQ3" s="678"/>
      <c r="BR3" s="678"/>
      <c r="BS3" s="678"/>
      <c r="BT3" s="679"/>
      <c r="BU3" s="922"/>
      <c r="BV3" s="923"/>
      <c r="BW3" s="923"/>
      <c r="BX3" s="923"/>
      <c r="BY3" s="923"/>
      <c r="BZ3" s="923"/>
      <c r="CA3" s="924"/>
    </row>
    <row r="4" spans="1:79" s="1" customFormat="1" ht="6.75" customHeight="1" thickBot="1">
      <c r="B4" s="6"/>
      <c r="C4" s="7"/>
      <c r="D4" s="7"/>
      <c r="E4" s="7"/>
      <c r="F4" s="8"/>
      <c r="G4" s="8"/>
      <c r="H4" s="8"/>
      <c r="I4" s="8"/>
      <c r="J4" s="7"/>
      <c r="K4" s="8"/>
      <c r="L4" s="8"/>
      <c r="M4" s="8"/>
      <c r="N4" s="8"/>
      <c r="O4" s="8"/>
      <c r="P4" s="8"/>
    </row>
    <row r="5" spans="1:79" s="450" customFormat="1" ht="13.5" customHeight="1" thickBot="1">
      <c r="A5" s="1223" t="s">
        <v>1189</v>
      </c>
      <c r="B5" s="1224"/>
      <c r="C5" s="1225" t="s">
        <v>1190</v>
      </c>
      <c r="D5" s="1226"/>
      <c r="E5" s="1225" t="s">
        <v>1191</v>
      </c>
      <c r="F5" s="1226"/>
      <c r="G5" s="447" t="s">
        <v>1192</v>
      </c>
      <c r="H5" s="448"/>
      <c r="I5" s="448"/>
      <c r="J5" s="448"/>
      <c r="K5" s="448"/>
      <c r="L5" s="448"/>
      <c r="M5" s="448"/>
      <c r="N5" s="448"/>
      <c r="O5" s="448"/>
      <c r="P5" s="448"/>
      <c r="Q5" s="448"/>
      <c r="R5" s="448"/>
      <c r="S5" s="448"/>
      <c r="T5" s="448"/>
      <c r="U5" s="448"/>
      <c r="V5" s="448"/>
      <c r="W5" s="448"/>
      <c r="X5" s="448"/>
      <c r="Y5" s="448"/>
      <c r="Z5" s="448"/>
      <c r="AA5" s="448"/>
      <c r="AB5" s="448"/>
      <c r="AC5" s="448"/>
      <c r="AD5" s="448"/>
      <c r="AE5" s="448"/>
      <c r="AF5" s="448"/>
      <c r="AG5" s="448"/>
      <c r="AH5" s="448"/>
      <c r="AI5" s="448"/>
      <c r="AJ5" s="448"/>
      <c r="AK5" s="448"/>
      <c r="AL5" s="448"/>
      <c r="AM5" s="448"/>
      <c r="AN5" s="448"/>
      <c r="AO5" s="448"/>
      <c r="AP5" s="448"/>
      <c r="AQ5" s="448"/>
      <c r="AR5" s="448"/>
      <c r="AS5" s="448"/>
      <c r="AT5" s="448"/>
      <c r="AU5" s="448"/>
      <c r="AV5" s="448"/>
      <c r="AW5" s="448"/>
      <c r="AX5" s="448"/>
      <c r="AY5" s="448"/>
      <c r="AZ5" s="448"/>
      <c r="BA5" s="448"/>
      <c r="BB5" s="448"/>
      <c r="BC5" s="448"/>
      <c r="BD5" s="449"/>
      <c r="BE5" s="451" t="s">
        <v>1193</v>
      </c>
      <c r="BF5" s="452"/>
      <c r="BG5" s="452"/>
      <c r="BH5" s="452"/>
      <c r="BI5" s="452"/>
      <c r="BJ5" s="452"/>
      <c r="BK5" s="452"/>
      <c r="BL5" s="452"/>
      <c r="BM5" s="452"/>
      <c r="BN5" s="452"/>
      <c r="BO5" s="452"/>
      <c r="BP5" s="452"/>
      <c r="BQ5" s="452"/>
      <c r="BR5" s="452"/>
      <c r="BS5" s="452"/>
      <c r="BT5" s="453"/>
      <c r="BU5" s="451" t="s">
        <v>1194</v>
      </c>
      <c r="BV5" s="452"/>
      <c r="BW5" s="452"/>
      <c r="BX5" s="452"/>
      <c r="BY5" s="452"/>
      <c r="BZ5" s="452"/>
      <c r="CA5" s="454"/>
    </row>
    <row r="6" spans="1:79" s="450" customFormat="1" ht="29.25" customHeight="1" thickTop="1">
      <c r="A6" s="1220">
        <v>1</v>
      </c>
      <c r="B6" s="1221"/>
      <c r="C6" s="1222" t="s">
        <v>1195</v>
      </c>
      <c r="D6" s="1222"/>
      <c r="E6" s="1222" t="s">
        <v>1196</v>
      </c>
      <c r="F6" s="1222"/>
      <c r="G6" s="1214" t="s">
        <v>1199</v>
      </c>
      <c r="H6" s="1215"/>
      <c r="I6" s="1215"/>
      <c r="J6" s="1215"/>
      <c r="K6" s="1215"/>
      <c r="L6" s="1215"/>
      <c r="M6" s="1215"/>
      <c r="N6" s="1215"/>
      <c r="O6" s="1215"/>
      <c r="P6" s="1215"/>
      <c r="Q6" s="1215"/>
      <c r="R6" s="1215"/>
      <c r="S6" s="1215"/>
      <c r="T6" s="1215"/>
      <c r="U6" s="1215"/>
      <c r="V6" s="1215"/>
      <c r="W6" s="1215"/>
      <c r="X6" s="1215"/>
      <c r="Y6" s="1215"/>
      <c r="Z6" s="1215"/>
      <c r="AA6" s="1215"/>
      <c r="AB6" s="1215"/>
      <c r="AC6" s="1215"/>
      <c r="AD6" s="1215"/>
      <c r="AE6" s="1215"/>
      <c r="AF6" s="1215"/>
      <c r="AG6" s="1215"/>
      <c r="AH6" s="1215"/>
      <c r="AI6" s="1215"/>
      <c r="AJ6" s="1215"/>
      <c r="AK6" s="1215"/>
      <c r="AL6" s="1215"/>
      <c r="AM6" s="1215"/>
      <c r="AN6" s="1215"/>
      <c r="AO6" s="1215"/>
      <c r="AP6" s="1215"/>
      <c r="AQ6" s="1215"/>
      <c r="AR6" s="1215"/>
      <c r="AS6" s="1215"/>
      <c r="AT6" s="1215"/>
      <c r="AU6" s="1215"/>
      <c r="AV6" s="1215"/>
      <c r="AW6" s="1215"/>
      <c r="AX6" s="1215"/>
      <c r="AY6" s="1215"/>
      <c r="AZ6" s="1215"/>
      <c r="BA6" s="1215"/>
      <c r="BB6" s="1215"/>
      <c r="BC6" s="1215"/>
      <c r="BD6" s="1216"/>
      <c r="BE6" s="1217" t="s">
        <v>1200</v>
      </c>
      <c r="BF6" s="1218"/>
      <c r="BG6" s="1218"/>
      <c r="BH6" s="1218"/>
      <c r="BI6" s="1218"/>
      <c r="BJ6" s="1218"/>
      <c r="BK6" s="1218"/>
      <c r="BL6" s="1218"/>
      <c r="BM6" s="1218"/>
      <c r="BN6" s="1218"/>
      <c r="BO6" s="1218"/>
      <c r="BP6" s="1218"/>
      <c r="BQ6" s="1218"/>
      <c r="BR6" s="1218"/>
      <c r="BS6" s="1218"/>
      <c r="BT6" s="1219"/>
      <c r="BU6" s="455" t="s">
        <v>1201</v>
      </c>
      <c r="BV6" s="456"/>
      <c r="BW6" s="456"/>
      <c r="BX6" s="456"/>
      <c r="BY6" s="456"/>
      <c r="BZ6" s="456"/>
      <c r="CA6" s="457"/>
    </row>
    <row r="7" spans="1:79" s="450" customFormat="1" ht="15.75" customHeight="1">
      <c r="A7" s="1205">
        <v>2</v>
      </c>
      <c r="B7" s="1206"/>
      <c r="C7" s="1207" t="s">
        <v>1195</v>
      </c>
      <c r="D7" s="1207"/>
      <c r="E7" s="1207" t="s">
        <v>1196</v>
      </c>
      <c r="F7" s="1207"/>
      <c r="G7" s="1208" t="s">
        <v>1233</v>
      </c>
      <c r="H7" s="1209"/>
      <c r="I7" s="1209"/>
      <c r="J7" s="1209"/>
      <c r="K7" s="1209"/>
      <c r="L7" s="1209"/>
      <c r="M7" s="1209"/>
      <c r="N7" s="1209"/>
      <c r="O7" s="1209"/>
      <c r="P7" s="1209"/>
      <c r="Q7" s="1209"/>
      <c r="R7" s="1209"/>
      <c r="S7" s="1209"/>
      <c r="T7" s="1209"/>
      <c r="U7" s="1209"/>
      <c r="V7" s="1209"/>
      <c r="W7" s="1209"/>
      <c r="X7" s="1209"/>
      <c r="Y7" s="1209"/>
      <c r="Z7" s="1209"/>
      <c r="AA7" s="1209"/>
      <c r="AB7" s="1209"/>
      <c r="AC7" s="1209"/>
      <c r="AD7" s="1209"/>
      <c r="AE7" s="1209"/>
      <c r="AF7" s="1209"/>
      <c r="AG7" s="1209"/>
      <c r="AH7" s="1209"/>
      <c r="AI7" s="1209"/>
      <c r="AJ7" s="1209"/>
      <c r="AK7" s="1209"/>
      <c r="AL7" s="1209"/>
      <c r="AM7" s="1209"/>
      <c r="AN7" s="1209"/>
      <c r="AO7" s="1209"/>
      <c r="AP7" s="1209"/>
      <c r="AQ7" s="1209"/>
      <c r="AR7" s="1209"/>
      <c r="AS7" s="1209"/>
      <c r="AT7" s="1209"/>
      <c r="AU7" s="1209"/>
      <c r="AV7" s="1209"/>
      <c r="AW7" s="1209"/>
      <c r="AX7" s="1209"/>
      <c r="AY7" s="1209"/>
      <c r="AZ7" s="1209"/>
      <c r="BA7" s="1209"/>
      <c r="BB7" s="1209"/>
      <c r="BC7" s="1209"/>
      <c r="BD7" s="1210"/>
      <c r="BE7" s="1211"/>
      <c r="BF7" s="1212"/>
      <c r="BG7" s="1212"/>
      <c r="BH7" s="1212"/>
      <c r="BI7" s="1212"/>
      <c r="BJ7" s="1212"/>
      <c r="BK7" s="1212"/>
      <c r="BL7" s="1212"/>
      <c r="BM7" s="1212"/>
      <c r="BN7" s="1212"/>
      <c r="BO7" s="1212"/>
      <c r="BP7" s="1212"/>
      <c r="BQ7" s="1212"/>
      <c r="BR7" s="1212"/>
      <c r="BS7" s="1212"/>
      <c r="BT7" s="1213"/>
      <c r="BU7" s="458" t="s">
        <v>1273</v>
      </c>
      <c r="BV7" s="459"/>
      <c r="BW7" s="459"/>
      <c r="BX7" s="459"/>
      <c r="BY7" s="459"/>
      <c r="BZ7" s="459"/>
      <c r="CA7" s="460"/>
    </row>
    <row r="8" spans="1:79" s="450" customFormat="1" ht="56.25" customHeight="1">
      <c r="A8" s="1205">
        <v>3</v>
      </c>
      <c r="B8" s="1206"/>
      <c r="C8" s="1207" t="s">
        <v>1195</v>
      </c>
      <c r="D8" s="1207"/>
      <c r="E8" s="1207" t="s">
        <v>1196</v>
      </c>
      <c r="F8" s="1207"/>
      <c r="G8" s="1208" t="s">
        <v>1246</v>
      </c>
      <c r="H8" s="1209"/>
      <c r="I8" s="1209"/>
      <c r="J8" s="1209"/>
      <c r="K8" s="1209"/>
      <c r="L8" s="1209"/>
      <c r="M8" s="1209"/>
      <c r="N8" s="1209"/>
      <c r="O8" s="1209"/>
      <c r="P8" s="1209"/>
      <c r="Q8" s="1209"/>
      <c r="R8" s="1209"/>
      <c r="S8" s="1209"/>
      <c r="T8" s="1209"/>
      <c r="U8" s="1209"/>
      <c r="V8" s="1209"/>
      <c r="W8" s="1209"/>
      <c r="X8" s="1209"/>
      <c r="Y8" s="1209"/>
      <c r="Z8" s="1209"/>
      <c r="AA8" s="1209"/>
      <c r="AB8" s="1209"/>
      <c r="AC8" s="1209"/>
      <c r="AD8" s="1209"/>
      <c r="AE8" s="1209"/>
      <c r="AF8" s="1209"/>
      <c r="AG8" s="1209"/>
      <c r="AH8" s="1209"/>
      <c r="AI8" s="1209"/>
      <c r="AJ8" s="1209"/>
      <c r="AK8" s="1209"/>
      <c r="AL8" s="1209"/>
      <c r="AM8" s="1209"/>
      <c r="AN8" s="1209"/>
      <c r="AO8" s="1209"/>
      <c r="AP8" s="1209"/>
      <c r="AQ8" s="1209"/>
      <c r="AR8" s="1209"/>
      <c r="AS8" s="1209"/>
      <c r="AT8" s="1209"/>
      <c r="AU8" s="1209"/>
      <c r="AV8" s="1209"/>
      <c r="AW8" s="1209"/>
      <c r="AX8" s="1209"/>
      <c r="AY8" s="1209"/>
      <c r="AZ8" s="1209"/>
      <c r="BA8" s="1209"/>
      <c r="BB8" s="1209"/>
      <c r="BC8" s="1209"/>
      <c r="BD8" s="1210"/>
      <c r="BE8" s="1211" t="s">
        <v>1247</v>
      </c>
      <c r="BF8" s="1212"/>
      <c r="BG8" s="1212"/>
      <c r="BH8" s="1212"/>
      <c r="BI8" s="1212"/>
      <c r="BJ8" s="1212"/>
      <c r="BK8" s="1212"/>
      <c r="BL8" s="1212"/>
      <c r="BM8" s="1212"/>
      <c r="BN8" s="1212"/>
      <c r="BO8" s="1212"/>
      <c r="BP8" s="1212"/>
      <c r="BQ8" s="1212"/>
      <c r="BR8" s="1212"/>
      <c r="BS8" s="1212"/>
      <c r="BT8" s="1213"/>
      <c r="BU8" s="458" t="s">
        <v>1277</v>
      </c>
      <c r="BV8" s="459"/>
      <c r="BW8" s="459"/>
      <c r="BX8" s="459"/>
      <c r="BY8" s="459"/>
      <c r="BZ8" s="459"/>
      <c r="CA8" s="460"/>
    </row>
    <row r="9" spans="1:79" s="450" customFormat="1" ht="31.5" customHeight="1">
      <c r="A9" s="1205">
        <v>4</v>
      </c>
      <c r="B9" s="1206"/>
      <c r="C9" s="1207" t="s">
        <v>1195</v>
      </c>
      <c r="D9" s="1207"/>
      <c r="E9" s="1207" t="s">
        <v>1196</v>
      </c>
      <c r="F9" s="1207"/>
      <c r="G9" s="1208" t="s">
        <v>1253</v>
      </c>
      <c r="H9" s="1209"/>
      <c r="I9" s="1209"/>
      <c r="J9" s="1209"/>
      <c r="K9" s="1209"/>
      <c r="L9" s="1209"/>
      <c r="M9" s="1209"/>
      <c r="N9" s="1209"/>
      <c r="O9" s="1209"/>
      <c r="P9" s="1209"/>
      <c r="Q9" s="1209"/>
      <c r="R9" s="1209"/>
      <c r="S9" s="1209"/>
      <c r="T9" s="1209"/>
      <c r="U9" s="1209"/>
      <c r="V9" s="1209"/>
      <c r="W9" s="1209"/>
      <c r="X9" s="1209"/>
      <c r="Y9" s="1209"/>
      <c r="Z9" s="1209"/>
      <c r="AA9" s="1209"/>
      <c r="AB9" s="1209"/>
      <c r="AC9" s="1209"/>
      <c r="AD9" s="1209"/>
      <c r="AE9" s="1209"/>
      <c r="AF9" s="1209"/>
      <c r="AG9" s="1209"/>
      <c r="AH9" s="1209"/>
      <c r="AI9" s="1209"/>
      <c r="AJ9" s="1209"/>
      <c r="AK9" s="1209"/>
      <c r="AL9" s="1209"/>
      <c r="AM9" s="1209"/>
      <c r="AN9" s="1209"/>
      <c r="AO9" s="1209"/>
      <c r="AP9" s="1209"/>
      <c r="AQ9" s="1209"/>
      <c r="AR9" s="1209"/>
      <c r="AS9" s="1209"/>
      <c r="AT9" s="1209"/>
      <c r="AU9" s="1209"/>
      <c r="AV9" s="1209"/>
      <c r="AW9" s="1209"/>
      <c r="AX9" s="1209"/>
      <c r="AY9" s="1209"/>
      <c r="AZ9" s="1209"/>
      <c r="BA9" s="1209"/>
      <c r="BB9" s="1209"/>
      <c r="BC9" s="1209"/>
      <c r="BD9" s="1210"/>
      <c r="BE9" s="1211" t="s">
        <v>1254</v>
      </c>
      <c r="BF9" s="1212"/>
      <c r="BG9" s="1212"/>
      <c r="BH9" s="1212"/>
      <c r="BI9" s="1212"/>
      <c r="BJ9" s="1212"/>
      <c r="BK9" s="1212"/>
      <c r="BL9" s="1212"/>
      <c r="BM9" s="1212"/>
      <c r="BN9" s="1212"/>
      <c r="BO9" s="1212"/>
      <c r="BP9" s="1212"/>
      <c r="BQ9" s="1212"/>
      <c r="BR9" s="1212"/>
      <c r="BS9" s="1212"/>
      <c r="BT9" s="1213"/>
      <c r="BU9" s="458" t="s">
        <v>1287</v>
      </c>
      <c r="BV9" s="459"/>
      <c r="BW9" s="459"/>
      <c r="BX9" s="459"/>
      <c r="BY9" s="459"/>
      <c r="BZ9" s="459"/>
      <c r="CA9" s="460"/>
    </row>
    <row r="10" spans="1:79" s="450" customFormat="1" ht="15.75" customHeight="1">
      <c r="A10" s="1205">
        <v>5</v>
      </c>
      <c r="B10" s="1206"/>
      <c r="C10" s="1207" t="s">
        <v>1195</v>
      </c>
      <c r="D10" s="1207"/>
      <c r="E10" s="1207" t="s">
        <v>1196</v>
      </c>
      <c r="F10" s="1207"/>
      <c r="G10" s="1208" t="s">
        <v>1274</v>
      </c>
      <c r="H10" s="1209"/>
      <c r="I10" s="1209"/>
      <c r="J10" s="1209"/>
      <c r="K10" s="1209"/>
      <c r="L10" s="1209"/>
      <c r="M10" s="1209"/>
      <c r="N10" s="1209"/>
      <c r="O10" s="1209"/>
      <c r="P10" s="1209"/>
      <c r="Q10" s="1209"/>
      <c r="R10" s="1209"/>
      <c r="S10" s="1209"/>
      <c r="T10" s="1209"/>
      <c r="U10" s="1209"/>
      <c r="V10" s="1209"/>
      <c r="W10" s="1209"/>
      <c r="X10" s="1209"/>
      <c r="Y10" s="1209"/>
      <c r="Z10" s="1209"/>
      <c r="AA10" s="1209"/>
      <c r="AB10" s="1209"/>
      <c r="AC10" s="1209"/>
      <c r="AD10" s="1209"/>
      <c r="AE10" s="1209"/>
      <c r="AF10" s="1209"/>
      <c r="AG10" s="1209"/>
      <c r="AH10" s="1209"/>
      <c r="AI10" s="1209"/>
      <c r="AJ10" s="1209"/>
      <c r="AK10" s="1209"/>
      <c r="AL10" s="1209"/>
      <c r="AM10" s="1209"/>
      <c r="AN10" s="1209"/>
      <c r="AO10" s="1209"/>
      <c r="AP10" s="1209"/>
      <c r="AQ10" s="1209"/>
      <c r="AR10" s="1209"/>
      <c r="AS10" s="1209"/>
      <c r="AT10" s="1209"/>
      <c r="AU10" s="1209"/>
      <c r="AV10" s="1209"/>
      <c r="AW10" s="1209"/>
      <c r="AX10" s="1209"/>
      <c r="AY10" s="1209"/>
      <c r="AZ10" s="1209"/>
      <c r="BA10" s="1209"/>
      <c r="BB10" s="1209"/>
      <c r="BC10" s="1209"/>
      <c r="BD10" s="1210"/>
      <c r="BE10" s="1211"/>
      <c r="BF10" s="1212"/>
      <c r="BG10" s="1212"/>
      <c r="BH10" s="1212"/>
      <c r="BI10" s="1212"/>
      <c r="BJ10" s="1212"/>
      <c r="BK10" s="1212"/>
      <c r="BL10" s="1212"/>
      <c r="BM10" s="1212"/>
      <c r="BN10" s="1212"/>
      <c r="BO10" s="1212"/>
      <c r="BP10" s="1212"/>
      <c r="BQ10" s="1212"/>
      <c r="BR10" s="1212"/>
      <c r="BS10" s="1212"/>
      <c r="BT10" s="1213"/>
      <c r="BU10" s="458" t="s">
        <v>1283</v>
      </c>
      <c r="BV10" s="459"/>
      <c r="BW10" s="459"/>
      <c r="BX10" s="459"/>
      <c r="BY10" s="459"/>
      <c r="BZ10" s="459"/>
      <c r="CA10" s="460"/>
    </row>
    <row r="11" spans="1:79" s="450" customFormat="1" ht="15.75" customHeight="1">
      <c r="A11" s="1205">
        <v>6</v>
      </c>
      <c r="B11" s="1206"/>
      <c r="C11" s="1207" t="s">
        <v>1195</v>
      </c>
      <c r="D11" s="1207"/>
      <c r="E11" s="1207" t="s">
        <v>1196</v>
      </c>
      <c r="F11" s="1207"/>
      <c r="G11" s="1208" t="s">
        <v>1275</v>
      </c>
      <c r="H11" s="1209"/>
      <c r="I11" s="1209"/>
      <c r="J11" s="1209"/>
      <c r="K11" s="1209"/>
      <c r="L11" s="1209"/>
      <c r="M11" s="1209"/>
      <c r="N11" s="1209"/>
      <c r="O11" s="1209"/>
      <c r="P11" s="1209"/>
      <c r="Q11" s="1209"/>
      <c r="R11" s="1209"/>
      <c r="S11" s="1209"/>
      <c r="T11" s="1209"/>
      <c r="U11" s="1209"/>
      <c r="V11" s="1209"/>
      <c r="W11" s="1209"/>
      <c r="X11" s="1209"/>
      <c r="Y11" s="1209"/>
      <c r="Z11" s="1209"/>
      <c r="AA11" s="1209"/>
      <c r="AB11" s="1209"/>
      <c r="AC11" s="1209"/>
      <c r="AD11" s="1209"/>
      <c r="AE11" s="1209"/>
      <c r="AF11" s="1209"/>
      <c r="AG11" s="1209"/>
      <c r="AH11" s="1209"/>
      <c r="AI11" s="1209"/>
      <c r="AJ11" s="1209"/>
      <c r="AK11" s="1209"/>
      <c r="AL11" s="1209"/>
      <c r="AM11" s="1209"/>
      <c r="AN11" s="1209"/>
      <c r="AO11" s="1209"/>
      <c r="AP11" s="1209"/>
      <c r="AQ11" s="1209"/>
      <c r="AR11" s="1209"/>
      <c r="AS11" s="1209"/>
      <c r="AT11" s="1209"/>
      <c r="AU11" s="1209"/>
      <c r="AV11" s="1209"/>
      <c r="AW11" s="1209"/>
      <c r="AX11" s="1209"/>
      <c r="AY11" s="1209"/>
      <c r="AZ11" s="1209"/>
      <c r="BA11" s="1209"/>
      <c r="BB11" s="1209"/>
      <c r="BC11" s="1209"/>
      <c r="BD11" s="1210"/>
      <c r="BE11" s="1211"/>
      <c r="BF11" s="1212"/>
      <c r="BG11" s="1212"/>
      <c r="BH11" s="1212"/>
      <c r="BI11" s="1212"/>
      <c r="BJ11" s="1212"/>
      <c r="BK11" s="1212"/>
      <c r="BL11" s="1212"/>
      <c r="BM11" s="1212"/>
      <c r="BN11" s="1212"/>
      <c r="BO11" s="1212"/>
      <c r="BP11" s="1212"/>
      <c r="BQ11" s="1212"/>
      <c r="BR11" s="1212"/>
      <c r="BS11" s="1212"/>
      <c r="BT11" s="1213"/>
      <c r="BU11" s="458" t="s">
        <v>1284</v>
      </c>
      <c r="BV11" s="459"/>
      <c r="BW11" s="459"/>
      <c r="BX11" s="459"/>
      <c r="BY11" s="459"/>
      <c r="BZ11" s="459"/>
      <c r="CA11" s="460"/>
    </row>
    <row r="12" spans="1:79" s="450" customFormat="1" ht="56.25" customHeight="1">
      <c r="A12" s="1205">
        <v>7</v>
      </c>
      <c r="B12" s="1206"/>
      <c r="C12" s="1207" t="s">
        <v>1195</v>
      </c>
      <c r="D12" s="1207"/>
      <c r="E12" s="1207" t="s">
        <v>1196</v>
      </c>
      <c r="F12" s="1207"/>
      <c r="G12" s="1208" t="s">
        <v>1289</v>
      </c>
      <c r="H12" s="1209"/>
      <c r="I12" s="1209"/>
      <c r="J12" s="1209"/>
      <c r="K12" s="1209"/>
      <c r="L12" s="1209"/>
      <c r="M12" s="1209"/>
      <c r="N12" s="1209"/>
      <c r="O12" s="1209"/>
      <c r="P12" s="1209"/>
      <c r="Q12" s="1209"/>
      <c r="R12" s="1209"/>
      <c r="S12" s="1209"/>
      <c r="T12" s="1209"/>
      <c r="U12" s="1209"/>
      <c r="V12" s="1209"/>
      <c r="W12" s="1209"/>
      <c r="X12" s="1209"/>
      <c r="Y12" s="1209"/>
      <c r="Z12" s="1209"/>
      <c r="AA12" s="1209"/>
      <c r="AB12" s="1209"/>
      <c r="AC12" s="1209"/>
      <c r="AD12" s="1209"/>
      <c r="AE12" s="1209"/>
      <c r="AF12" s="1209"/>
      <c r="AG12" s="1209"/>
      <c r="AH12" s="1209"/>
      <c r="AI12" s="1209"/>
      <c r="AJ12" s="1209"/>
      <c r="AK12" s="1209"/>
      <c r="AL12" s="1209"/>
      <c r="AM12" s="1209"/>
      <c r="AN12" s="1209"/>
      <c r="AO12" s="1209"/>
      <c r="AP12" s="1209"/>
      <c r="AQ12" s="1209"/>
      <c r="AR12" s="1209"/>
      <c r="AS12" s="1209"/>
      <c r="AT12" s="1209"/>
      <c r="AU12" s="1209"/>
      <c r="AV12" s="1209"/>
      <c r="AW12" s="1209"/>
      <c r="AX12" s="1209"/>
      <c r="AY12" s="1209"/>
      <c r="AZ12" s="1209"/>
      <c r="BA12" s="1209"/>
      <c r="BB12" s="1209"/>
      <c r="BC12" s="1209"/>
      <c r="BD12" s="1210"/>
      <c r="BE12" s="1211" t="s">
        <v>1247</v>
      </c>
      <c r="BF12" s="1212"/>
      <c r="BG12" s="1212"/>
      <c r="BH12" s="1212"/>
      <c r="BI12" s="1212"/>
      <c r="BJ12" s="1212"/>
      <c r="BK12" s="1212"/>
      <c r="BL12" s="1212"/>
      <c r="BM12" s="1212"/>
      <c r="BN12" s="1212"/>
      <c r="BO12" s="1212"/>
      <c r="BP12" s="1212"/>
      <c r="BQ12" s="1212"/>
      <c r="BR12" s="1212"/>
      <c r="BS12" s="1212"/>
      <c r="BT12" s="1213"/>
      <c r="BU12" s="458" t="s">
        <v>1288</v>
      </c>
      <c r="BV12" s="459"/>
      <c r="BW12" s="459"/>
      <c r="BX12" s="459"/>
      <c r="BY12" s="459"/>
      <c r="BZ12" s="459"/>
      <c r="CA12" s="460"/>
    </row>
    <row r="13" spans="1:79" s="450" customFormat="1" ht="15.75" customHeight="1">
      <c r="A13" s="1205">
        <v>8</v>
      </c>
      <c r="B13" s="1206"/>
      <c r="C13" s="1207" t="s">
        <v>1195</v>
      </c>
      <c r="D13" s="1207"/>
      <c r="E13" s="1207" t="s">
        <v>1196</v>
      </c>
      <c r="F13" s="1207"/>
      <c r="G13" s="1208" t="s">
        <v>1294</v>
      </c>
      <c r="H13" s="1209"/>
      <c r="I13" s="1209"/>
      <c r="J13" s="1209"/>
      <c r="K13" s="1209"/>
      <c r="L13" s="1209"/>
      <c r="M13" s="1209"/>
      <c r="N13" s="1209"/>
      <c r="O13" s="1209"/>
      <c r="P13" s="1209"/>
      <c r="Q13" s="1209"/>
      <c r="R13" s="1209"/>
      <c r="S13" s="1209"/>
      <c r="T13" s="1209"/>
      <c r="U13" s="1209"/>
      <c r="V13" s="1209"/>
      <c r="W13" s="1209"/>
      <c r="X13" s="1209"/>
      <c r="Y13" s="1209"/>
      <c r="Z13" s="1209"/>
      <c r="AA13" s="1209"/>
      <c r="AB13" s="1209"/>
      <c r="AC13" s="1209"/>
      <c r="AD13" s="1209"/>
      <c r="AE13" s="1209"/>
      <c r="AF13" s="1209"/>
      <c r="AG13" s="1209"/>
      <c r="AH13" s="1209"/>
      <c r="AI13" s="1209"/>
      <c r="AJ13" s="1209"/>
      <c r="AK13" s="1209"/>
      <c r="AL13" s="1209"/>
      <c r="AM13" s="1209"/>
      <c r="AN13" s="1209"/>
      <c r="AO13" s="1209"/>
      <c r="AP13" s="1209"/>
      <c r="AQ13" s="1209"/>
      <c r="AR13" s="1209"/>
      <c r="AS13" s="1209"/>
      <c r="AT13" s="1209"/>
      <c r="AU13" s="1209"/>
      <c r="AV13" s="1209"/>
      <c r="AW13" s="1209"/>
      <c r="AX13" s="1209"/>
      <c r="AY13" s="1209"/>
      <c r="AZ13" s="1209"/>
      <c r="BA13" s="1209"/>
      <c r="BB13" s="1209"/>
      <c r="BC13" s="1209"/>
      <c r="BD13" s="1210"/>
      <c r="BE13" s="1211"/>
      <c r="BF13" s="1212"/>
      <c r="BG13" s="1212"/>
      <c r="BH13" s="1212"/>
      <c r="BI13" s="1212"/>
      <c r="BJ13" s="1212"/>
      <c r="BK13" s="1212"/>
      <c r="BL13" s="1212"/>
      <c r="BM13" s="1212"/>
      <c r="BN13" s="1212"/>
      <c r="BO13" s="1212"/>
      <c r="BP13" s="1212"/>
      <c r="BQ13" s="1212"/>
      <c r="BR13" s="1212"/>
      <c r="BS13" s="1212"/>
      <c r="BT13" s="1213"/>
      <c r="BU13" s="458" t="s">
        <v>1293</v>
      </c>
      <c r="BV13" s="459"/>
      <c r="BW13" s="459"/>
      <c r="BX13" s="459"/>
      <c r="BY13" s="459"/>
      <c r="BZ13" s="459"/>
      <c r="CA13" s="460"/>
    </row>
    <row r="14" spans="1:79" s="2" customFormat="1" ht="15.75" customHeight="1">
      <c r="A14" s="9"/>
      <c r="B14" s="10"/>
      <c r="C14" s="10"/>
      <c r="D14" s="10"/>
      <c r="E14" s="10"/>
      <c r="F14" s="10"/>
      <c r="G14" s="10"/>
      <c r="H14" s="10"/>
      <c r="I14" s="10"/>
      <c r="J14" s="10"/>
      <c r="K14" s="10"/>
      <c r="L14" s="10"/>
      <c r="M14" s="10"/>
      <c r="N14" s="10"/>
      <c r="O14" s="10"/>
      <c r="P14" s="43"/>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43"/>
      <c r="BK14" s="10"/>
      <c r="BL14" s="10"/>
      <c r="BM14" s="10"/>
      <c r="BN14" s="10"/>
      <c r="BO14" s="10"/>
      <c r="BP14" s="10"/>
      <c r="BQ14" s="10"/>
      <c r="BR14" s="10"/>
      <c r="BS14" s="10"/>
      <c r="BT14" s="10"/>
      <c r="BU14" s="10"/>
      <c r="BV14" s="10"/>
      <c r="BW14" s="10"/>
      <c r="BX14" s="10"/>
      <c r="BY14" s="10"/>
      <c r="BZ14" s="10"/>
      <c r="CA14" s="10"/>
    </row>
    <row r="15" spans="1:79" s="2" customFormat="1" ht="15.75" customHeight="1">
      <c r="A15" s="9"/>
      <c r="B15" s="10"/>
      <c r="C15" s="10"/>
      <c r="D15" s="10"/>
      <c r="E15" s="10"/>
      <c r="F15" s="10"/>
      <c r="G15" s="10"/>
      <c r="H15" s="10"/>
      <c r="I15" s="10"/>
      <c r="J15" s="10"/>
      <c r="K15" s="10"/>
      <c r="L15" s="10"/>
      <c r="M15" s="10"/>
      <c r="N15" s="10"/>
      <c r="O15" s="10"/>
      <c r="P15" s="43"/>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43"/>
      <c r="BK15" s="10"/>
      <c r="BL15" s="10"/>
      <c r="BM15" s="10"/>
      <c r="BN15" s="10"/>
      <c r="BO15" s="10"/>
      <c r="BP15" s="10"/>
      <c r="BQ15" s="10"/>
      <c r="BR15" s="10"/>
      <c r="BS15" s="10"/>
      <c r="BT15" s="10"/>
      <c r="BU15" s="10"/>
      <c r="BV15" s="10"/>
      <c r="BW15" s="10"/>
      <c r="BX15" s="10"/>
      <c r="BY15" s="10"/>
      <c r="BZ15" s="10"/>
      <c r="CA15" s="10"/>
    </row>
    <row r="16" spans="1:79" s="2" customFormat="1" ht="15.75" customHeight="1">
      <c r="A16" s="9"/>
      <c r="B16" s="11"/>
      <c r="C16" s="10"/>
      <c r="D16" s="10"/>
      <c r="E16" s="10"/>
      <c r="F16" s="10"/>
      <c r="G16" s="10"/>
      <c r="H16" s="10"/>
      <c r="I16" s="10"/>
      <c r="J16" s="10"/>
      <c r="K16" s="10"/>
      <c r="L16" s="10"/>
      <c r="M16" s="10"/>
      <c r="N16" s="10"/>
      <c r="O16" s="10"/>
      <c r="P16" s="43"/>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43"/>
      <c r="BK16" s="10"/>
      <c r="BL16" s="10"/>
      <c r="BM16" s="10"/>
      <c r="BN16" s="10"/>
      <c r="BO16" s="10"/>
      <c r="BP16" s="10"/>
      <c r="BQ16" s="10"/>
      <c r="BR16" s="10"/>
      <c r="BS16" s="10"/>
      <c r="BT16" s="10"/>
      <c r="BU16" s="10"/>
      <c r="BV16" s="10"/>
      <c r="BW16" s="10"/>
      <c r="BX16" s="10"/>
      <c r="BY16" s="10"/>
      <c r="BZ16" s="10"/>
      <c r="CA16" s="10"/>
    </row>
    <row r="17" spans="1:79" s="2" customFormat="1" ht="15.75" customHeight="1">
      <c r="A17" s="9"/>
      <c r="B17" s="10"/>
      <c r="C17" s="10"/>
      <c r="D17" s="10"/>
      <c r="E17" s="10"/>
      <c r="F17" s="10"/>
      <c r="G17" s="10"/>
      <c r="H17" s="10"/>
      <c r="I17" s="10"/>
      <c r="J17" s="10"/>
      <c r="K17" s="10"/>
      <c r="L17" s="10"/>
      <c r="M17" s="10"/>
      <c r="N17" s="10"/>
      <c r="O17" s="10"/>
      <c r="P17" s="43"/>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43"/>
      <c r="BK17" s="10"/>
      <c r="BL17" s="10"/>
      <c r="BM17" s="10"/>
      <c r="BN17" s="10"/>
      <c r="BO17" s="10"/>
      <c r="BP17" s="10"/>
      <c r="BQ17" s="10"/>
      <c r="BR17" s="10"/>
      <c r="BS17" s="10"/>
      <c r="BT17" s="10"/>
      <c r="BU17" s="10"/>
      <c r="BV17" s="10"/>
      <c r="BW17" s="10"/>
      <c r="BX17" s="10"/>
      <c r="BY17" s="10"/>
      <c r="BZ17" s="10"/>
      <c r="CA17" s="10"/>
    </row>
    <row r="18" spans="1:79" s="2" customFormat="1" ht="15.75" customHeight="1">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43"/>
      <c r="BK18" s="10"/>
      <c r="BL18" s="10"/>
      <c r="BM18" s="10"/>
      <c r="BN18" s="10"/>
      <c r="BO18" s="10"/>
      <c r="BP18" s="10"/>
      <c r="BQ18" s="10"/>
      <c r="BR18" s="10"/>
      <c r="BS18" s="10"/>
      <c r="BT18" s="10"/>
      <c r="BU18" s="10"/>
      <c r="BV18" s="10"/>
      <c r="BW18" s="10"/>
      <c r="BX18" s="10"/>
      <c r="BY18" s="10"/>
      <c r="BZ18" s="10"/>
      <c r="CA18" s="10"/>
    </row>
    <row r="19" spans="1:79" s="2" customFormat="1" ht="15.75" customHeight="1">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51"/>
    </row>
    <row r="20" spans="1:79" s="2" customFormat="1" ht="15.75" customHeight="1">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51"/>
    </row>
    <row r="21" spans="1:79" s="2" customFormat="1" ht="15.75"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51"/>
    </row>
    <row r="22" spans="1:79" s="2" customFormat="1" ht="15.7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51"/>
    </row>
    <row r="23" spans="1:79" s="2" customFormat="1" ht="15.7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51"/>
    </row>
    <row r="24" spans="1:79" s="2" customFormat="1" ht="15.7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51"/>
    </row>
    <row r="25" spans="1:79" s="2" customFormat="1" ht="15.7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51"/>
    </row>
    <row r="26" spans="1:79" s="2" customFormat="1" ht="15.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51"/>
    </row>
    <row r="27" spans="1:79" s="2" customFormat="1" ht="15.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6"/>
      <c r="AH27" s="16"/>
      <c r="AI27" s="16"/>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51"/>
    </row>
    <row r="28" spans="1:79" s="2" customFormat="1" ht="15.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6"/>
      <c r="AH28" s="16"/>
      <c r="AI28" s="16"/>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51"/>
    </row>
    <row r="29" spans="1:79" s="2" customFormat="1" ht="15.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6"/>
      <c r="AH29" s="16"/>
      <c r="AI29" s="16"/>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51"/>
    </row>
    <row r="30" spans="1:79" s="2" customFormat="1" ht="15.75" customHeight="1">
      <c r="A30" s="9"/>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51"/>
    </row>
    <row r="31" spans="1:79" s="2" customFormat="1" ht="15.75" customHeight="1">
      <c r="A31" s="9"/>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51"/>
    </row>
    <row r="32" spans="1:79" s="2" customFormat="1" ht="15.75" customHeight="1">
      <c r="A32" s="9"/>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51"/>
    </row>
    <row r="33" spans="1:79" s="2" customFormat="1" ht="15.75" customHeight="1">
      <c r="A33" s="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51"/>
    </row>
    <row r="34" spans="1:79" s="2" customFormat="1" ht="15.75" customHeight="1">
      <c r="A34" s="9"/>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51"/>
    </row>
    <row r="35" spans="1:79" s="2" customFormat="1" ht="15.75" customHeight="1" thickBot="1">
      <c r="A35" s="21"/>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2"/>
      <c r="BR35" s="22"/>
      <c r="BS35" s="22"/>
      <c r="BT35" s="22"/>
      <c r="BU35" s="22"/>
      <c r="BV35" s="22"/>
      <c r="BW35" s="22"/>
      <c r="BX35" s="22"/>
      <c r="BY35" s="22"/>
      <c r="BZ35" s="22"/>
      <c r="CA35" s="52"/>
    </row>
    <row r="36" spans="1:79" s="2" customFormat="1" ht="15.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row>
    <row r="37" spans="1:79" s="2" customFormat="1" ht="15.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row>
    <row r="38" spans="1:79" s="2" customFormat="1" ht="15.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row>
    <row r="39" spans="1:79" s="2" customFormat="1" ht="15.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row>
    <row r="40" spans="1:79" s="2" customFormat="1" ht="15.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row>
    <row r="41" spans="1:79" s="2" customFormat="1" ht="15.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row>
    <row r="42" spans="1:79" s="2" customFormat="1" ht="15.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row>
    <row r="43" spans="1:79" s="2" customFormat="1" ht="15.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row>
    <row r="44" spans="1:79" s="2" customFormat="1"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row>
    <row r="45" spans="1:79" s="2" customFormat="1"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row>
    <row r="46" spans="1:79" s="2" customFormat="1"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row>
    <row r="47" spans="1:79" s="2" customFormat="1"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row>
    <row r="48" spans="1:79" s="2" customFormat="1"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row>
    <row r="49" spans="1:79" s="2" customFormat="1"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row>
    <row r="50" spans="1:79" s="2" customFormat="1"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row>
    <row r="51" spans="1:79" s="2" customFormat="1"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row>
    <row r="52" spans="1:79" s="2" customFormat="1"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row>
    <row r="53" spans="1:79" s="2" customFormat="1"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row>
    <row r="54" spans="1:79" s="2" customFormat="1"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row>
    <row r="55" spans="1:79" s="2" customFormat="1"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row>
    <row r="56" spans="1:79" s="2" customFormat="1"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row>
    <row r="57" spans="1:79" s="2" customFormat="1"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row>
    <row r="58" spans="1:79" s="2" customFormat="1"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row>
    <row r="59" spans="1:79" s="2" customFormat="1"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row>
    <row r="60" spans="1:79" s="2" customFormat="1"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row>
    <row r="61" spans="1:79" s="2" customFormat="1"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row>
    <row r="62" spans="1:79" s="2" customFormat="1"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row>
    <row r="63" spans="1:79" s="2" customFormat="1"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row>
    <row r="64" spans="1:79" s="2" customFormat="1"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row>
    <row r="65" spans="4:56" ht="15.75" customHeight="1">
      <c r="D65" s="53"/>
      <c r="E65" s="53"/>
      <c r="F65" s="53"/>
      <c r="G65" s="53"/>
      <c r="H65" s="53"/>
      <c r="I65" s="53"/>
      <c r="J65" s="53"/>
      <c r="K65" s="53"/>
      <c r="L65" s="53"/>
      <c r="M65" s="53"/>
      <c r="N65" s="53"/>
      <c r="O65" s="53"/>
      <c r="P65" s="53"/>
      <c r="Q65" s="53"/>
      <c r="R65" s="53"/>
      <c r="S65" s="53"/>
      <c r="T65" s="53"/>
      <c r="U65" s="53"/>
      <c r="V65" s="53"/>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c r="AU65" s="53"/>
      <c r="AV65" s="53"/>
      <c r="AW65" s="53"/>
      <c r="AX65" s="53"/>
      <c r="AY65" s="53"/>
      <c r="AZ65" s="53"/>
      <c r="BA65" s="53"/>
      <c r="BB65" s="53"/>
      <c r="BC65" s="53"/>
      <c r="BD65" s="53"/>
    </row>
  </sheetData>
  <mergeCells count="64">
    <mergeCell ref="BU1:CA1"/>
    <mergeCell ref="O2:U2"/>
    <mergeCell ref="V2:AB2"/>
    <mergeCell ref="AC2:AI2"/>
    <mergeCell ref="AJ2:AP2"/>
    <mergeCell ref="AQ2:BD2"/>
    <mergeCell ref="BE2:BM3"/>
    <mergeCell ref="BN2:BT3"/>
    <mergeCell ref="AQ1:BD1"/>
    <mergeCell ref="BU2:CA3"/>
    <mergeCell ref="O3:U3"/>
    <mergeCell ref="V3:AB3"/>
    <mergeCell ref="AC3:AI3"/>
    <mergeCell ref="AJ3:BD3"/>
    <mergeCell ref="V1:AB1"/>
    <mergeCell ref="AC1:AI1"/>
    <mergeCell ref="AJ1:AP1"/>
    <mergeCell ref="BE1:BM1"/>
    <mergeCell ref="BN1:BT1"/>
    <mergeCell ref="A5:B5"/>
    <mergeCell ref="C5:D5"/>
    <mergeCell ref="E5:F5"/>
    <mergeCell ref="A1:N3"/>
    <mergeCell ref="O1:U1"/>
    <mergeCell ref="G6:BD6"/>
    <mergeCell ref="BE6:BT6"/>
    <mergeCell ref="G7:BD7"/>
    <mergeCell ref="BE7:BT7"/>
    <mergeCell ref="A7:B7"/>
    <mergeCell ref="C7:D7"/>
    <mergeCell ref="E7:F7"/>
    <mergeCell ref="A6:B6"/>
    <mergeCell ref="C6:D6"/>
    <mergeCell ref="E6:F6"/>
    <mergeCell ref="A8:B8"/>
    <mergeCell ref="C8:D8"/>
    <mergeCell ref="E8:F8"/>
    <mergeCell ref="G8:BD8"/>
    <mergeCell ref="BE8:BT8"/>
    <mergeCell ref="A9:B9"/>
    <mergeCell ref="C9:D9"/>
    <mergeCell ref="E9:F9"/>
    <mergeCell ref="G9:BD9"/>
    <mergeCell ref="BE9:BT9"/>
    <mergeCell ref="A11:B11"/>
    <mergeCell ref="C11:D11"/>
    <mergeCell ref="E11:F11"/>
    <mergeCell ref="G11:BD11"/>
    <mergeCell ref="BE11:BT11"/>
    <mergeCell ref="A10:B10"/>
    <mergeCell ref="C10:D10"/>
    <mergeCell ref="E10:F10"/>
    <mergeCell ref="G10:BD10"/>
    <mergeCell ref="BE10:BT10"/>
    <mergeCell ref="A12:B12"/>
    <mergeCell ref="C12:D12"/>
    <mergeCell ref="E12:F12"/>
    <mergeCell ref="G12:BD12"/>
    <mergeCell ref="BE12:BT12"/>
    <mergeCell ref="A13:B13"/>
    <mergeCell ref="C13:D13"/>
    <mergeCell ref="E13:F13"/>
    <mergeCell ref="G13:BD13"/>
    <mergeCell ref="BE13:BT13"/>
  </mergeCells>
  <phoneticPr fontId="65"/>
  <pageMargins left="0.511811023622047" right="0.74803149606299202" top="0.70866141732283505" bottom="0.43307086614173201" header="0.511811023622047" footer="0.35433070866141703"/>
  <pageSetup paperSize="9" scale="81" fitToHeight="0" orientation="landscape" r:id="rId1"/>
  <headerFooter alignWithMargins="0">
    <oddFooter>&amp;L&amp;"Meiryo UI"&amp;10MSBDP0090&amp;C&amp;"Meiryo UI,標準"&amp;10&amp;P&amp;R&amp;"Meiryo UI,標準"&amp;10(C)Toyo Business Engineering Corp.[Confidential]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pageSetUpPr fitToPage="1"/>
  </sheetPr>
  <dimension ref="A1:CH85"/>
  <sheetViews>
    <sheetView showGridLines="0" showZeros="0" view="pageBreakPreview" zoomScale="85" zoomScaleNormal="100" zoomScaleSheetLayoutView="85" workbookViewId="0">
      <pane ySplit="4" topLeftCell="A5" activePane="bottomLeft" state="frozen"/>
      <selection pane="bottomLeft" sqref="A1:N3"/>
    </sheetView>
  </sheetViews>
  <sheetFormatPr defaultColWidth="2.08984375" defaultRowHeight="15.75" customHeight="1"/>
  <cols>
    <col min="1" max="2" width="2.08984375" style="3" customWidth="1"/>
    <col min="3" max="3" width="2.36328125" style="4" customWidth="1"/>
    <col min="4" max="4" width="2.08984375" style="4" customWidth="1"/>
    <col min="5" max="5" width="3" style="4" customWidth="1"/>
    <col min="6" max="9" width="2.08984375" style="3" customWidth="1"/>
    <col min="10" max="10" width="2.08984375" style="4" customWidth="1"/>
    <col min="11" max="16" width="2.08984375" style="3" customWidth="1"/>
    <col min="17" max="17" width="2.08984375" style="5" customWidth="1"/>
    <col min="18" max="62" width="2.08984375" style="3" customWidth="1"/>
    <col min="63" max="63" width="2.26953125" style="3" customWidth="1"/>
    <col min="64" max="16384" width="2.08984375" style="3"/>
  </cols>
  <sheetData>
    <row r="1" spans="1:86" s="1" customFormat="1" ht="15">
      <c r="A1" s="663" t="str">
        <f ca="1">INDIRECT("表紙!$A$39")</f>
        <v>mcframe 7</v>
      </c>
      <c r="B1" s="664"/>
      <c r="C1" s="664"/>
      <c r="D1" s="664"/>
      <c r="E1" s="664"/>
      <c r="F1" s="664"/>
      <c r="G1" s="664"/>
      <c r="H1" s="664"/>
      <c r="I1" s="664"/>
      <c r="J1" s="664"/>
      <c r="K1" s="664"/>
      <c r="L1" s="664"/>
      <c r="M1" s="664"/>
      <c r="N1" s="665"/>
      <c r="O1" s="771" t="s">
        <v>45</v>
      </c>
      <c r="P1" s="772"/>
      <c r="Q1" s="772"/>
      <c r="R1" s="772"/>
      <c r="S1" s="772"/>
      <c r="T1" s="772"/>
      <c r="U1" s="772"/>
      <c r="V1" s="772"/>
      <c r="W1" s="772"/>
      <c r="X1" s="772"/>
      <c r="Y1" s="772"/>
      <c r="Z1" s="772"/>
      <c r="AA1" s="772"/>
      <c r="AB1" s="772"/>
      <c r="AC1" s="773" t="s">
        <v>46</v>
      </c>
      <c r="AD1" s="694"/>
      <c r="AE1" s="694"/>
      <c r="AF1" s="694"/>
      <c r="AG1" s="694"/>
      <c r="AH1" s="694"/>
      <c r="AI1" s="695"/>
      <c r="AJ1" s="693" t="str">
        <f ca="1">INDIRECT("表紙!$Z$39")</f>
        <v>MS</v>
      </c>
      <c r="AK1" s="694"/>
      <c r="AL1" s="694"/>
      <c r="AM1" s="694"/>
      <c r="AN1" s="694"/>
      <c r="AO1" s="694"/>
      <c r="AP1" s="695"/>
      <c r="AQ1" s="773" t="s">
        <v>48</v>
      </c>
      <c r="AR1" s="694"/>
      <c r="AS1" s="694"/>
      <c r="AT1" s="694"/>
      <c r="AU1" s="694"/>
      <c r="AV1" s="694"/>
      <c r="AW1" s="695"/>
      <c r="AX1" s="693" t="str">
        <f ca="1">INDIRECT("表紙!$AJ$39")</f>
        <v>SCM</v>
      </c>
      <c r="AY1" s="694"/>
      <c r="AZ1" s="694"/>
      <c r="BA1" s="694"/>
      <c r="BB1" s="694"/>
      <c r="BC1" s="694"/>
      <c r="BD1" s="694"/>
      <c r="BE1" s="694"/>
      <c r="BF1" s="694"/>
      <c r="BG1" s="694"/>
      <c r="BH1" s="694"/>
      <c r="BI1" s="694"/>
      <c r="BJ1" s="694"/>
      <c r="BK1" s="695"/>
      <c r="BL1" s="705" t="s">
        <v>5</v>
      </c>
      <c r="BM1" s="694"/>
      <c r="BN1" s="694"/>
      <c r="BO1" s="694"/>
      <c r="BP1" s="694"/>
      <c r="BQ1" s="694"/>
      <c r="BR1" s="694"/>
      <c r="BS1" s="694"/>
      <c r="BT1" s="695"/>
      <c r="BU1" s="753" t="s">
        <v>37</v>
      </c>
      <c r="BV1" s="754"/>
      <c r="BW1" s="754"/>
      <c r="BX1" s="754"/>
      <c r="BY1" s="754"/>
      <c r="BZ1" s="754"/>
      <c r="CA1" s="755"/>
      <c r="CB1" s="753" t="s">
        <v>50</v>
      </c>
      <c r="CC1" s="754"/>
      <c r="CD1" s="754"/>
      <c r="CE1" s="754"/>
      <c r="CF1" s="754"/>
      <c r="CG1" s="754"/>
      <c r="CH1" s="756"/>
    </row>
    <row r="2" spans="1:86" s="1" customFormat="1" ht="15.75" customHeight="1">
      <c r="A2" s="666"/>
      <c r="B2" s="667"/>
      <c r="C2" s="667"/>
      <c r="D2" s="667"/>
      <c r="E2" s="667"/>
      <c r="F2" s="667"/>
      <c r="G2" s="667"/>
      <c r="H2" s="667"/>
      <c r="I2" s="667"/>
      <c r="J2" s="667"/>
      <c r="K2" s="667"/>
      <c r="L2" s="667"/>
      <c r="M2" s="667"/>
      <c r="N2" s="668"/>
      <c r="O2" s="757" t="str">
        <f>文書名_カスタマイズ</f>
        <v>画面機能</v>
      </c>
      <c r="P2" s="675"/>
      <c r="Q2" s="675"/>
      <c r="R2" s="675"/>
      <c r="S2" s="675"/>
      <c r="T2" s="675"/>
      <c r="U2" s="675"/>
      <c r="V2" s="675"/>
      <c r="W2" s="675"/>
      <c r="X2" s="675"/>
      <c r="Y2" s="675"/>
      <c r="Z2" s="675"/>
      <c r="AA2" s="675"/>
      <c r="AB2" s="675"/>
      <c r="AC2" s="758" t="s">
        <v>59</v>
      </c>
      <c r="AD2" s="759"/>
      <c r="AE2" s="759"/>
      <c r="AF2" s="759"/>
      <c r="AG2" s="759"/>
      <c r="AH2" s="759"/>
      <c r="AI2" s="760"/>
      <c r="AJ2" s="761" t="str">
        <f ca="1">INDIRECT("表紙!$Z$40")</f>
        <v>MSBD</v>
      </c>
      <c r="AK2" s="759"/>
      <c r="AL2" s="759"/>
      <c r="AM2" s="759"/>
      <c r="AN2" s="759"/>
      <c r="AO2" s="759"/>
      <c r="AP2" s="760"/>
      <c r="AQ2" s="758" t="s">
        <v>60</v>
      </c>
      <c r="AR2" s="759"/>
      <c r="AS2" s="759"/>
      <c r="AT2" s="759"/>
      <c r="AU2" s="759"/>
      <c r="AV2" s="759"/>
      <c r="AW2" s="760"/>
      <c r="AX2" s="764" t="str">
        <f ca="1">INDIRECT("表紙!$AJ$40")</f>
        <v>購買管理</v>
      </c>
      <c r="AY2" s="759"/>
      <c r="AZ2" s="759"/>
      <c r="BA2" s="759"/>
      <c r="BB2" s="759"/>
      <c r="BC2" s="759"/>
      <c r="BD2" s="759"/>
      <c r="BE2" s="759"/>
      <c r="BF2" s="759"/>
      <c r="BG2" s="759"/>
      <c r="BH2" s="759"/>
      <c r="BI2" s="759"/>
      <c r="BJ2" s="759"/>
      <c r="BK2" s="760"/>
      <c r="BL2" s="765" t="str">
        <f>文書番号_カスタマイズ</f>
        <v>J052-0-0001</v>
      </c>
      <c r="BM2" s="766"/>
      <c r="BN2" s="766"/>
      <c r="BO2" s="766"/>
      <c r="BP2" s="766"/>
      <c r="BQ2" s="766"/>
      <c r="BR2" s="766"/>
      <c r="BS2" s="766"/>
      <c r="BT2" s="767"/>
      <c r="BU2" s="674" t="str">
        <f>Ver.</f>
        <v>7.0.1</v>
      </c>
      <c r="BV2" s="675"/>
      <c r="BW2" s="675"/>
      <c r="BX2" s="675"/>
      <c r="BY2" s="675"/>
      <c r="BZ2" s="675"/>
      <c r="CA2" s="676"/>
      <c r="CB2" s="851">
        <f>Rev.</f>
        <v>0.04</v>
      </c>
      <c r="CC2" s="920"/>
      <c r="CD2" s="920"/>
      <c r="CE2" s="920"/>
      <c r="CF2" s="920"/>
      <c r="CG2" s="920"/>
      <c r="CH2" s="921"/>
    </row>
    <row r="3" spans="1:86" s="1" customFormat="1" ht="14.5">
      <c r="A3" s="669"/>
      <c r="B3" s="670"/>
      <c r="C3" s="670"/>
      <c r="D3" s="670"/>
      <c r="E3" s="670"/>
      <c r="F3" s="670"/>
      <c r="G3" s="670"/>
      <c r="H3" s="670"/>
      <c r="I3" s="670"/>
      <c r="J3" s="670"/>
      <c r="K3" s="670"/>
      <c r="L3" s="670"/>
      <c r="M3" s="670"/>
      <c r="N3" s="671"/>
      <c r="O3" s="683" t="str">
        <f ca="1">RIGHT(CELL("filename",$A$1),LEN(CELL("filename",$A$1))-FIND("]",CELL("filename",$A$1)))</f>
        <v>補足説明</v>
      </c>
      <c r="P3" s="684"/>
      <c r="Q3" s="684"/>
      <c r="R3" s="684"/>
      <c r="S3" s="684"/>
      <c r="T3" s="684"/>
      <c r="U3" s="684"/>
      <c r="V3" s="684"/>
      <c r="W3" s="684"/>
      <c r="X3" s="684"/>
      <c r="Y3" s="684"/>
      <c r="Z3" s="684"/>
      <c r="AA3" s="684"/>
      <c r="AB3" s="684"/>
      <c r="AC3" s="685" t="s">
        <v>56</v>
      </c>
      <c r="AD3" s="686"/>
      <c r="AE3" s="686"/>
      <c r="AF3" s="686"/>
      <c r="AG3" s="686"/>
      <c r="AH3" s="686"/>
      <c r="AI3" s="687"/>
      <c r="AJ3" s="688" t="str">
        <f ca="1">INDIRECT("表紙!$Z$41")</f>
        <v>MSBDP0090</v>
      </c>
      <c r="AK3" s="689"/>
      <c r="AL3" s="689"/>
      <c r="AM3" s="689"/>
      <c r="AN3" s="689"/>
      <c r="AO3" s="689"/>
      <c r="AP3" s="689"/>
      <c r="AQ3" s="690" t="str">
        <f ca="1">INDIRECT("表紙!$AE$41")</f>
        <v>発注一覧登録</v>
      </c>
      <c r="AR3" s="691"/>
      <c r="AS3" s="691"/>
      <c r="AT3" s="691"/>
      <c r="AU3" s="691"/>
      <c r="AV3" s="691"/>
      <c r="AW3" s="691"/>
      <c r="AX3" s="691"/>
      <c r="AY3" s="691"/>
      <c r="AZ3" s="691"/>
      <c r="BA3" s="691"/>
      <c r="BB3" s="691"/>
      <c r="BC3" s="691"/>
      <c r="BD3" s="691"/>
      <c r="BE3" s="691"/>
      <c r="BF3" s="691"/>
      <c r="BG3" s="691"/>
      <c r="BH3" s="691"/>
      <c r="BI3" s="691"/>
      <c r="BJ3" s="691"/>
      <c r="BK3" s="692"/>
      <c r="BL3" s="768"/>
      <c r="BM3" s="769"/>
      <c r="BN3" s="769"/>
      <c r="BO3" s="769"/>
      <c r="BP3" s="769"/>
      <c r="BQ3" s="769"/>
      <c r="BR3" s="769"/>
      <c r="BS3" s="769"/>
      <c r="BT3" s="770"/>
      <c r="BU3" s="677"/>
      <c r="BV3" s="678"/>
      <c r="BW3" s="678"/>
      <c r="BX3" s="678"/>
      <c r="BY3" s="678"/>
      <c r="BZ3" s="678"/>
      <c r="CA3" s="679"/>
      <c r="CB3" s="922"/>
      <c r="CC3" s="923"/>
      <c r="CD3" s="923"/>
      <c r="CE3" s="923"/>
      <c r="CF3" s="923"/>
      <c r="CG3" s="923"/>
      <c r="CH3" s="924"/>
    </row>
    <row r="4" spans="1:86" s="1" customFormat="1" ht="6.75" customHeight="1">
      <c r="B4" s="6"/>
      <c r="C4" s="7"/>
      <c r="D4" s="7"/>
      <c r="E4" s="7"/>
      <c r="F4" s="8"/>
      <c r="G4" s="8"/>
      <c r="H4" s="8"/>
      <c r="I4" s="8"/>
      <c r="J4" s="7"/>
      <c r="K4" s="8"/>
      <c r="L4" s="8"/>
      <c r="M4" s="8"/>
      <c r="N4" s="8"/>
      <c r="O4" s="8"/>
      <c r="P4" s="8"/>
      <c r="Q4" s="42"/>
    </row>
    <row r="5" spans="1:86" s="2" customFormat="1" ht="15.75" customHeight="1">
      <c r="A5" s="9"/>
      <c r="B5" s="10"/>
      <c r="C5" s="10"/>
      <c r="D5" s="10"/>
      <c r="E5" s="10"/>
      <c r="F5" s="10"/>
      <c r="G5" s="10"/>
      <c r="H5" s="10"/>
      <c r="I5" s="10"/>
      <c r="J5" s="10"/>
      <c r="K5" s="10"/>
      <c r="L5" s="10"/>
      <c r="M5" s="10"/>
      <c r="N5" s="10"/>
      <c r="O5" s="10"/>
      <c r="P5" s="10"/>
      <c r="Q5" s="10"/>
      <c r="R5" s="10"/>
      <c r="S5" s="43"/>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51"/>
    </row>
    <row r="6" spans="1:86" s="2" customFormat="1" ht="15.75" customHeight="1">
      <c r="A6" s="9"/>
      <c r="B6" s="11" t="s">
        <v>1145</v>
      </c>
      <c r="C6" s="10"/>
      <c r="D6" s="10"/>
      <c r="E6" s="10"/>
      <c r="F6" s="10"/>
      <c r="G6" s="10"/>
      <c r="H6" s="10"/>
      <c r="I6" s="10"/>
      <c r="J6" s="10"/>
      <c r="K6" s="10"/>
      <c r="L6" s="10"/>
      <c r="M6" s="10"/>
      <c r="N6" s="10"/>
      <c r="O6" s="10"/>
      <c r="P6" s="10"/>
      <c r="Q6" s="10"/>
      <c r="R6" s="10"/>
      <c r="S6" s="43"/>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51"/>
    </row>
    <row r="7" spans="1:86" s="2" customFormat="1" ht="15.75" customHeight="1">
      <c r="A7" s="9"/>
      <c r="B7" s="11"/>
      <c r="C7" s="10" t="s">
        <v>1146</v>
      </c>
      <c r="D7" s="10"/>
      <c r="E7" s="10"/>
      <c r="F7" s="10"/>
      <c r="G7" s="10"/>
      <c r="H7" s="10"/>
      <c r="I7" s="10"/>
      <c r="J7" s="10"/>
      <c r="K7" s="10"/>
      <c r="L7" s="10"/>
      <c r="M7" s="10"/>
      <c r="N7" s="10"/>
      <c r="O7" s="10"/>
      <c r="P7" s="10"/>
      <c r="Q7" s="10"/>
      <c r="R7" s="10"/>
      <c r="S7" s="43"/>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51"/>
    </row>
    <row r="8" spans="1:86" s="2" customFormat="1" ht="15.75" customHeight="1">
      <c r="A8" s="9"/>
      <c r="B8" s="11"/>
      <c r="C8" s="10" t="s">
        <v>1147</v>
      </c>
      <c r="D8" s="10"/>
      <c r="E8" s="10"/>
      <c r="F8" s="10"/>
      <c r="G8" s="10"/>
      <c r="H8" s="10"/>
      <c r="I8" s="10"/>
      <c r="J8" s="10"/>
      <c r="K8" s="10"/>
      <c r="L8" s="10"/>
      <c r="M8" s="10"/>
      <c r="N8" s="10"/>
      <c r="O8" s="10"/>
      <c r="P8" s="10"/>
      <c r="Q8" s="10"/>
      <c r="R8" s="10"/>
      <c r="S8" s="43"/>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51"/>
    </row>
    <row r="9" spans="1:86" s="2" customFormat="1" ht="15.75" customHeight="1">
      <c r="A9" s="9"/>
      <c r="B9" s="11"/>
      <c r="C9" s="10" t="s">
        <v>1148</v>
      </c>
      <c r="D9" s="10"/>
      <c r="E9" s="10"/>
      <c r="F9" s="10"/>
      <c r="G9" s="10"/>
      <c r="H9" s="10"/>
      <c r="I9" s="10"/>
      <c r="J9" s="10"/>
      <c r="K9" s="10"/>
      <c r="L9" s="10"/>
      <c r="M9" s="10"/>
      <c r="N9" s="10"/>
      <c r="O9" s="10"/>
      <c r="P9" s="10"/>
      <c r="Q9" s="10"/>
      <c r="R9" s="10"/>
      <c r="S9" s="43"/>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51"/>
    </row>
    <row r="10" spans="1:86" s="2" customFormat="1" ht="15.75" customHeight="1">
      <c r="A10" s="9"/>
      <c r="B10" s="10"/>
      <c r="C10" s="10"/>
      <c r="D10" s="10"/>
      <c r="E10" s="10"/>
      <c r="F10" s="10"/>
      <c r="G10" s="10"/>
      <c r="H10" s="10"/>
      <c r="I10" s="10"/>
      <c r="J10" s="10"/>
      <c r="K10" s="10"/>
      <c r="L10" s="10"/>
      <c r="M10" s="10"/>
      <c r="N10" s="10"/>
      <c r="O10" s="10"/>
      <c r="P10" s="10"/>
      <c r="Q10" s="10"/>
      <c r="R10" s="10"/>
      <c r="S10" s="43"/>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51"/>
    </row>
    <row r="11" spans="1:86" s="2" customFormat="1" ht="15.75" customHeight="1">
      <c r="A11" s="9"/>
      <c r="B11" s="10"/>
      <c r="C11" s="10"/>
      <c r="D11" s="10"/>
      <c r="E11" s="10"/>
      <c r="F11" s="10"/>
      <c r="G11" s="10"/>
      <c r="H11" s="10"/>
      <c r="I11" s="23" t="s">
        <v>1149</v>
      </c>
      <c r="J11" s="24"/>
      <c r="K11" s="24"/>
      <c r="L11" s="24"/>
      <c r="M11" s="24"/>
      <c r="N11" s="24"/>
      <c r="O11" s="24"/>
      <c r="P11" s="24"/>
      <c r="Q11" s="24"/>
      <c r="R11" s="24"/>
      <c r="S11" s="44"/>
      <c r="T11" s="24"/>
      <c r="U11" s="24"/>
      <c r="V11" s="24"/>
      <c r="W11" s="24"/>
      <c r="X11" s="24"/>
      <c r="Y11" s="24"/>
      <c r="Z11" s="24"/>
      <c r="AA11" s="24"/>
      <c r="AB11" s="24"/>
      <c r="AC11" s="24"/>
      <c r="AD11" s="24"/>
      <c r="AE11" s="24"/>
      <c r="AF11" s="24"/>
      <c r="AG11" s="24"/>
      <c r="AH11" s="24"/>
      <c r="AI11" s="25"/>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51"/>
    </row>
    <row r="12" spans="1:86" s="2" customFormat="1" ht="15.75" customHeight="1">
      <c r="A12" s="9"/>
      <c r="B12" s="10"/>
      <c r="C12" s="10"/>
      <c r="D12" s="10"/>
      <c r="E12" s="10"/>
      <c r="F12" s="10"/>
      <c r="G12" s="10"/>
      <c r="H12" s="10"/>
      <c r="I12" s="23" t="s">
        <v>1220</v>
      </c>
      <c r="J12" s="24"/>
      <c r="K12" s="24"/>
      <c r="L12" s="25"/>
      <c r="M12" s="23" t="s">
        <v>425</v>
      </c>
      <c r="N12" s="24"/>
      <c r="O12" s="24"/>
      <c r="P12" s="24"/>
      <c r="Q12" s="24"/>
      <c r="R12" s="25"/>
      <c r="S12" s="23" t="s">
        <v>1252</v>
      </c>
      <c r="T12" s="24"/>
      <c r="U12" s="24"/>
      <c r="V12" s="24"/>
      <c r="W12" s="25"/>
      <c r="X12" s="23" t="s">
        <v>429</v>
      </c>
      <c r="Y12" s="24"/>
      <c r="Z12" s="25"/>
      <c r="AA12" s="23" t="s">
        <v>431</v>
      </c>
      <c r="AB12" s="24"/>
      <c r="AC12" s="25"/>
      <c r="AD12" s="23" t="s">
        <v>1150</v>
      </c>
      <c r="AE12" s="24"/>
      <c r="AF12" s="24"/>
      <c r="AG12" s="24"/>
      <c r="AH12" s="24"/>
      <c r="AI12" s="25"/>
      <c r="AJ12" s="10"/>
      <c r="AK12" s="10"/>
      <c r="AL12" s="10" t="s">
        <v>1151</v>
      </c>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51"/>
    </row>
    <row r="13" spans="1:86" s="2" customFormat="1" ht="15.75" customHeight="1">
      <c r="A13" s="9"/>
      <c r="B13" s="10"/>
      <c r="C13" s="12" t="s">
        <v>131</v>
      </c>
      <c r="D13" s="13"/>
      <c r="E13" s="13"/>
      <c r="F13" s="13"/>
      <c r="G13" s="13"/>
      <c r="H13" s="14"/>
      <c r="I13" s="12" t="s">
        <v>1152</v>
      </c>
      <c r="J13" s="13"/>
      <c r="K13" s="13"/>
      <c r="L13" s="14"/>
      <c r="M13" s="12"/>
      <c r="N13" s="13" t="s">
        <v>1152</v>
      </c>
      <c r="O13" s="13"/>
      <c r="P13" s="13"/>
      <c r="Q13" s="13"/>
      <c r="R13" s="14"/>
      <c r="S13" s="12"/>
      <c r="T13" s="13" t="s">
        <v>1202</v>
      </c>
      <c r="U13" s="13"/>
      <c r="V13" s="13"/>
      <c r="W13" s="14"/>
      <c r="X13" s="12" t="s">
        <v>1152</v>
      </c>
      <c r="Y13" s="13"/>
      <c r="Z13" s="14"/>
      <c r="AA13" s="12" t="s">
        <v>1152</v>
      </c>
      <c r="AB13" s="13"/>
      <c r="AC13" s="14"/>
      <c r="AD13" s="12" t="s">
        <v>1152</v>
      </c>
      <c r="AE13" s="13"/>
      <c r="AF13" s="13"/>
      <c r="AG13" s="13"/>
      <c r="AH13" s="13"/>
      <c r="AI13" s="14"/>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0"/>
      <c r="CD13" s="10"/>
      <c r="CE13" s="10"/>
      <c r="CF13" s="10"/>
      <c r="CG13" s="10"/>
      <c r="CH13" s="51"/>
    </row>
    <row r="14" spans="1:86" s="2" customFormat="1" ht="15.75" customHeight="1">
      <c r="A14" s="9"/>
      <c r="B14" s="10"/>
      <c r="C14" s="12" t="s">
        <v>1250</v>
      </c>
      <c r="D14" s="13"/>
      <c r="E14" s="13"/>
      <c r="F14" s="13"/>
      <c r="G14" s="13"/>
      <c r="H14" s="14"/>
      <c r="I14" s="12" t="s">
        <v>1152</v>
      </c>
      <c r="J14" s="13"/>
      <c r="K14" s="13"/>
      <c r="L14" s="14"/>
      <c r="M14" s="12"/>
      <c r="N14" s="13" t="s">
        <v>1152</v>
      </c>
      <c r="O14" s="13"/>
      <c r="P14" s="13"/>
      <c r="Q14" s="13"/>
      <c r="R14" s="14"/>
      <c r="S14" s="12"/>
      <c r="T14" s="13" t="s">
        <v>1153</v>
      </c>
      <c r="U14" s="13"/>
      <c r="V14" s="13"/>
      <c r="W14" s="14"/>
      <c r="X14" s="12" t="s">
        <v>1152</v>
      </c>
      <c r="Y14" s="13"/>
      <c r="Z14" s="14"/>
      <c r="AA14" s="12" t="s">
        <v>1152</v>
      </c>
      <c r="AB14" s="13"/>
      <c r="AC14" s="14"/>
      <c r="AD14" s="12" t="s">
        <v>1152</v>
      </c>
      <c r="AE14" s="13"/>
      <c r="AF14" s="13"/>
      <c r="AG14" s="13"/>
      <c r="AH14" s="13"/>
      <c r="AI14" s="14"/>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51"/>
    </row>
    <row r="15" spans="1:86" s="2" customFormat="1" ht="15.75" customHeight="1">
      <c r="A15" s="9"/>
      <c r="B15" s="10"/>
      <c r="C15" s="12" t="s">
        <v>134</v>
      </c>
      <c r="D15" s="13"/>
      <c r="E15" s="13"/>
      <c r="F15" s="13"/>
      <c r="G15" s="13"/>
      <c r="H15" s="14"/>
      <c r="I15" s="12" t="s">
        <v>1153</v>
      </c>
      <c r="J15" s="13"/>
      <c r="K15" s="13"/>
      <c r="L15" s="14"/>
      <c r="M15" s="12"/>
      <c r="N15" s="13" t="s">
        <v>1153</v>
      </c>
      <c r="O15" s="13"/>
      <c r="P15" s="13"/>
      <c r="Q15" s="13"/>
      <c r="R15" s="14"/>
      <c r="S15" s="12"/>
      <c r="T15" s="13" t="s">
        <v>1152</v>
      </c>
      <c r="U15" s="13"/>
      <c r="V15" s="13"/>
      <c r="W15" s="14"/>
      <c r="X15" s="12" t="s">
        <v>1153</v>
      </c>
      <c r="Y15" s="13"/>
      <c r="Z15" s="14"/>
      <c r="AA15" s="12" t="s">
        <v>1153</v>
      </c>
      <c r="AB15" s="13"/>
      <c r="AC15" s="14"/>
      <c r="AD15" s="12" t="s">
        <v>1152</v>
      </c>
      <c r="AE15" s="13"/>
      <c r="AF15" s="13"/>
      <c r="AG15" s="13"/>
      <c r="AH15" s="13"/>
      <c r="AI15" s="14"/>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51"/>
    </row>
    <row r="16" spans="1:86" s="2" customFormat="1" ht="15.75" customHeight="1">
      <c r="A16" s="9"/>
      <c r="B16" s="10"/>
      <c r="C16" s="12" t="s">
        <v>130</v>
      </c>
      <c r="D16" s="13"/>
      <c r="E16" s="13"/>
      <c r="F16" s="13"/>
      <c r="G16" s="13"/>
      <c r="H16" s="14"/>
      <c r="I16" s="12" t="s">
        <v>1152</v>
      </c>
      <c r="J16" s="13"/>
      <c r="K16" s="13"/>
      <c r="L16" s="14"/>
      <c r="M16" s="12"/>
      <c r="N16" s="13" t="s">
        <v>1152</v>
      </c>
      <c r="O16" s="13"/>
      <c r="P16" s="13"/>
      <c r="Q16" s="13"/>
      <c r="R16" s="14"/>
      <c r="S16" s="12"/>
      <c r="T16" s="13" t="s">
        <v>1152</v>
      </c>
      <c r="U16" s="13"/>
      <c r="V16" s="13"/>
      <c r="W16" s="14"/>
      <c r="X16" s="12" t="s">
        <v>1152</v>
      </c>
      <c r="Y16" s="13"/>
      <c r="Z16" s="14"/>
      <c r="AA16" s="12" t="s">
        <v>1152</v>
      </c>
      <c r="AB16" s="13"/>
      <c r="AC16" s="14"/>
      <c r="AD16" s="12" t="s">
        <v>1152</v>
      </c>
      <c r="AE16" s="13"/>
      <c r="AF16" s="13"/>
      <c r="AG16" s="13"/>
      <c r="AH16" s="13"/>
      <c r="AI16" s="14"/>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51"/>
    </row>
    <row r="17" spans="1:86" s="2" customFormat="1" ht="15.75" customHeight="1">
      <c r="A17" s="9"/>
      <c r="B17" s="10"/>
      <c r="C17" s="12" t="s">
        <v>133</v>
      </c>
      <c r="D17" s="13"/>
      <c r="E17" s="13"/>
      <c r="F17" s="13"/>
      <c r="G17" s="13"/>
      <c r="H17" s="14"/>
      <c r="I17" s="12" t="s">
        <v>1152</v>
      </c>
      <c r="J17" s="13"/>
      <c r="K17" s="13"/>
      <c r="L17" s="14"/>
      <c r="M17" s="12"/>
      <c r="N17" s="13" t="s">
        <v>1152</v>
      </c>
      <c r="O17" s="13"/>
      <c r="P17" s="13"/>
      <c r="Q17" s="13"/>
      <c r="R17" s="14"/>
      <c r="S17" s="12"/>
      <c r="T17" s="13" t="s">
        <v>1152</v>
      </c>
      <c r="U17" s="13"/>
      <c r="V17" s="13"/>
      <c r="W17" s="14"/>
      <c r="X17" s="12" t="s">
        <v>1152</v>
      </c>
      <c r="Y17" s="13"/>
      <c r="Z17" s="14"/>
      <c r="AA17" s="12" t="s">
        <v>1152</v>
      </c>
      <c r="AB17" s="13"/>
      <c r="AC17" s="14"/>
      <c r="AD17" s="12" t="s">
        <v>1152</v>
      </c>
      <c r="AE17" s="13"/>
      <c r="AF17" s="13"/>
      <c r="AG17" s="13"/>
      <c r="AH17" s="13"/>
      <c r="AI17" s="14"/>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51"/>
    </row>
    <row r="18" spans="1:86" s="2" customFormat="1" ht="15.75" customHeight="1">
      <c r="A18" s="9"/>
      <c r="B18" s="10"/>
      <c r="C18" s="12" t="s">
        <v>132</v>
      </c>
      <c r="D18" s="13"/>
      <c r="E18" s="13"/>
      <c r="F18" s="13"/>
      <c r="G18" s="13"/>
      <c r="H18" s="14"/>
      <c r="I18" s="12" t="s">
        <v>1152</v>
      </c>
      <c r="J18" s="13"/>
      <c r="K18" s="13"/>
      <c r="L18" s="14"/>
      <c r="M18" s="12"/>
      <c r="N18" s="13" t="s">
        <v>1152</v>
      </c>
      <c r="O18" s="13"/>
      <c r="P18" s="13"/>
      <c r="Q18" s="13"/>
      <c r="R18" s="14"/>
      <c r="S18" s="12"/>
      <c r="T18" s="13" t="s">
        <v>1152</v>
      </c>
      <c r="U18" s="13"/>
      <c r="V18" s="13"/>
      <c r="W18" s="14"/>
      <c r="X18" s="12" t="s">
        <v>1152</v>
      </c>
      <c r="Y18" s="13"/>
      <c r="Z18" s="14"/>
      <c r="AA18" s="12" t="s">
        <v>1152</v>
      </c>
      <c r="AB18" s="13"/>
      <c r="AC18" s="14"/>
      <c r="AD18" s="12" t="s">
        <v>1152</v>
      </c>
      <c r="AE18" s="13"/>
      <c r="AF18" s="13"/>
      <c r="AG18" s="13"/>
      <c r="AH18" s="13"/>
      <c r="AI18" s="14"/>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51"/>
    </row>
    <row r="19" spans="1:86" s="2" customFormat="1" ht="15.75" customHeight="1">
      <c r="A19" s="9"/>
      <c r="B19" s="10"/>
      <c r="C19" s="10"/>
      <c r="D19" s="10"/>
      <c r="E19" s="10"/>
      <c r="F19" s="10"/>
      <c r="G19" s="10"/>
      <c r="H19" s="10"/>
      <c r="I19" s="10"/>
      <c r="J19" s="10"/>
      <c r="K19" s="10"/>
      <c r="L19" s="10"/>
      <c r="M19" s="10"/>
      <c r="N19" s="10"/>
      <c r="O19" s="10"/>
      <c r="P19" s="10"/>
      <c r="Q19" s="10"/>
      <c r="R19" s="10"/>
      <c r="S19" s="43"/>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c r="CF19" s="10"/>
      <c r="CG19" s="10"/>
      <c r="CH19" s="51"/>
    </row>
    <row r="20" spans="1:86" s="2" customFormat="1" ht="15.75" customHeight="1">
      <c r="A20" s="9"/>
      <c r="B20" s="10"/>
      <c r="C20" s="10" t="s">
        <v>1154</v>
      </c>
      <c r="D20" s="10"/>
      <c r="E20" s="10" t="s">
        <v>1155</v>
      </c>
      <c r="F20" s="10"/>
      <c r="G20" s="10"/>
      <c r="H20" s="10"/>
      <c r="I20" s="10"/>
      <c r="J20" s="10"/>
      <c r="K20" s="10"/>
      <c r="L20" s="10"/>
      <c r="M20" s="10"/>
      <c r="N20" s="10"/>
      <c r="O20" s="10"/>
      <c r="P20" s="10"/>
      <c r="Q20" s="10"/>
      <c r="R20" s="10"/>
      <c r="S20" s="43"/>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51"/>
    </row>
    <row r="21" spans="1:86" s="2" customFormat="1" ht="15.75" customHeight="1">
      <c r="A21" s="9"/>
      <c r="B21" s="10"/>
      <c r="C21" s="10"/>
      <c r="D21" s="10"/>
      <c r="E21" s="10" t="s">
        <v>1232</v>
      </c>
      <c r="F21" s="10"/>
      <c r="G21" s="10"/>
      <c r="H21" s="10"/>
      <c r="I21" s="10"/>
      <c r="J21" s="10"/>
      <c r="K21" s="10"/>
      <c r="L21" s="10"/>
      <c r="M21" s="10"/>
      <c r="N21" s="10"/>
      <c r="O21" s="10"/>
      <c r="P21" s="10"/>
      <c r="Q21" s="10"/>
      <c r="R21" s="10"/>
      <c r="S21" s="43"/>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51"/>
    </row>
    <row r="22" spans="1:86" s="2" customFormat="1" ht="15.75" customHeight="1">
      <c r="A22" s="9"/>
      <c r="B22" s="10"/>
      <c r="C22" s="10"/>
      <c r="D22" s="10"/>
      <c r="E22" s="10"/>
      <c r="F22" s="10"/>
      <c r="G22" s="10"/>
      <c r="H22" s="10"/>
      <c r="I22" s="10"/>
      <c r="J22" s="10"/>
      <c r="K22" s="10"/>
      <c r="L22" s="10"/>
      <c r="M22" s="10"/>
      <c r="N22" s="10"/>
      <c r="O22" s="10"/>
      <c r="P22" s="10"/>
      <c r="Q22" s="10"/>
      <c r="R22" s="10"/>
      <c r="S22" s="43"/>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51"/>
    </row>
    <row r="23" spans="1:86" s="2" customFormat="1" ht="15.75" customHeight="1">
      <c r="A23" s="9"/>
      <c r="B23" s="11" t="s">
        <v>1179</v>
      </c>
      <c r="C23" s="10"/>
      <c r="D23" s="10"/>
      <c r="E23" s="10"/>
      <c r="F23" s="10"/>
      <c r="G23" s="10"/>
      <c r="H23" s="10"/>
      <c r="I23" s="10"/>
      <c r="J23" s="10"/>
      <c r="K23" s="10"/>
      <c r="L23" s="10"/>
      <c r="M23" s="10"/>
      <c r="N23" s="10"/>
      <c r="O23" s="10"/>
      <c r="P23" s="10"/>
      <c r="Q23" s="10"/>
      <c r="R23" s="10"/>
      <c r="S23" s="43"/>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51"/>
    </row>
    <row r="24" spans="1:86" s="2" customFormat="1" ht="15.75" customHeight="1">
      <c r="A24" s="9"/>
      <c r="B24" s="10"/>
      <c r="C24" s="10"/>
      <c r="D24" s="10"/>
      <c r="E24" s="10"/>
      <c r="F24" s="10"/>
      <c r="G24" s="10"/>
      <c r="H24" s="10"/>
      <c r="I24" s="10"/>
      <c r="J24" s="10"/>
      <c r="K24" s="10"/>
      <c r="L24" s="10"/>
      <c r="M24" s="10"/>
      <c r="N24" s="10"/>
      <c r="O24" s="10"/>
      <c r="P24" s="10"/>
      <c r="Q24" s="10"/>
      <c r="R24" s="10"/>
      <c r="S24" s="43"/>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51"/>
    </row>
    <row r="25" spans="1:86" s="2" customFormat="1" ht="15.75" customHeight="1">
      <c r="A25" s="9"/>
      <c r="B25" s="10"/>
      <c r="C25" s="10"/>
      <c r="D25" s="10"/>
      <c r="E25" s="10"/>
      <c r="F25" s="10"/>
      <c r="G25" s="10"/>
      <c r="H25" s="10"/>
      <c r="I25" s="26" t="s">
        <v>1178</v>
      </c>
      <c r="J25" s="27"/>
      <c r="K25" s="27"/>
      <c r="L25" s="27"/>
      <c r="M25" s="28"/>
      <c r="N25" s="26" t="s">
        <v>65</v>
      </c>
      <c r="O25" s="27"/>
      <c r="P25" s="27"/>
      <c r="Q25" s="27"/>
      <c r="R25" s="27"/>
      <c r="S25" s="45"/>
      <c r="T25" s="28"/>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51"/>
    </row>
    <row r="26" spans="1:86" s="2" customFormat="1" ht="15.75" customHeight="1">
      <c r="A26" s="9"/>
      <c r="B26" s="10"/>
      <c r="C26" s="10"/>
      <c r="D26" s="10"/>
      <c r="E26" s="10"/>
      <c r="F26" s="10"/>
      <c r="G26" s="10"/>
      <c r="H26" s="10"/>
      <c r="I26" s="29" t="s">
        <v>1180</v>
      </c>
      <c r="J26" s="30"/>
      <c r="K26" s="30"/>
      <c r="L26" s="30"/>
      <c r="M26" s="31"/>
      <c r="N26" s="29"/>
      <c r="O26" s="30"/>
      <c r="P26" s="30"/>
      <c r="Q26" s="30"/>
      <c r="R26" s="30"/>
      <c r="S26" s="46"/>
      <c r="T26" s="31"/>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51"/>
    </row>
    <row r="27" spans="1:86" s="2" customFormat="1" ht="15.75" customHeight="1">
      <c r="A27" s="9"/>
      <c r="B27" s="10"/>
      <c r="C27" s="12" t="s">
        <v>1176</v>
      </c>
      <c r="D27" s="13"/>
      <c r="E27" s="13"/>
      <c r="F27" s="13"/>
      <c r="G27" s="13"/>
      <c r="H27" s="13"/>
      <c r="I27" s="12" t="s">
        <v>1152</v>
      </c>
      <c r="J27" s="13"/>
      <c r="K27" s="13"/>
      <c r="L27" s="13"/>
      <c r="M27" s="14"/>
      <c r="N27" s="12" t="s">
        <v>1172</v>
      </c>
      <c r="O27" s="13"/>
      <c r="P27" s="13"/>
      <c r="Q27" s="13"/>
      <c r="R27" s="13"/>
      <c r="S27" s="47"/>
      <c r="T27" s="14"/>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51"/>
    </row>
    <row r="28" spans="1:86" s="2" customFormat="1" ht="15.75" customHeight="1">
      <c r="A28" s="9"/>
      <c r="B28" s="10"/>
      <c r="C28" s="12" t="s">
        <v>1177</v>
      </c>
      <c r="D28" s="13"/>
      <c r="E28" s="13"/>
      <c r="F28" s="13"/>
      <c r="G28" s="13"/>
      <c r="H28" s="14"/>
      <c r="I28" s="12" t="s">
        <v>1152</v>
      </c>
      <c r="J28" s="13"/>
      <c r="K28" s="13"/>
      <c r="L28" s="13"/>
      <c r="M28" s="14"/>
      <c r="N28" s="12" t="s">
        <v>1156</v>
      </c>
      <c r="O28" s="13"/>
      <c r="P28" s="13"/>
      <c r="Q28" s="13"/>
      <c r="R28" s="13"/>
      <c r="S28" s="47"/>
      <c r="T28" s="14"/>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51"/>
    </row>
    <row r="29" spans="1:86" s="2" customFormat="1" ht="15.75" customHeight="1">
      <c r="A29" s="9"/>
      <c r="B29" s="10"/>
      <c r="C29" s="12" t="s">
        <v>134</v>
      </c>
      <c r="D29" s="13"/>
      <c r="E29" s="13"/>
      <c r="F29" s="13"/>
      <c r="G29" s="13"/>
      <c r="H29" s="14"/>
      <c r="I29" s="12" t="s">
        <v>1152</v>
      </c>
      <c r="J29" s="13"/>
      <c r="K29" s="13"/>
      <c r="L29" s="13"/>
      <c r="M29" s="14"/>
      <c r="N29" s="12"/>
      <c r="O29" s="13"/>
      <c r="P29" s="13"/>
      <c r="Q29" s="13"/>
      <c r="R29" s="13"/>
      <c r="S29" s="47"/>
      <c r="T29" s="14"/>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51"/>
    </row>
    <row r="30" spans="1:86" s="2" customFormat="1" ht="15.75" customHeight="1">
      <c r="A30" s="9"/>
      <c r="B30" s="10"/>
      <c r="C30" s="12" t="s">
        <v>1183</v>
      </c>
      <c r="D30" s="13"/>
      <c r="E30" s="13"/>
      <c r="F30" s="13"/>
      <c r="G30" s="13"/>
      <c r="H30" s="14"/>
      <c r="I30" s="12" t="s">
        <v>1153</v>
      </c>
      <c r="J30" s="13"/>
      <c r="K30" s="13"/>
      <c r="L30" s="13"/>
      <c r="M30" s="14"/>
      <c r="N30" s="12"/>
      <c r="O30" s="13"/>
      <c r="P30" s="13"/>
      <c r="Q30" s="13"/>
      <c r="R30" s="13"/>
      <c r="S30" s="47"/>
      <c r="T30" s="14"/>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51"/>
    </row>
    <row r="31" spans="1:86" s="2" customFormat="1" ht="15.75" customHeight="1">
      <c r="A31" s="9"/>
      <c r="B31" s="10"/>
      <c r="C31" s="12" t="s">
        <v>1181</v>
      </c>
      <c r="D31" s="13"/>
      <c r="E31" s="13"/>
      <c r="F31" s="13"/>
      <c r="G31" s="13"/>
      <c r="H31" s="14"/>
      <c r="I31" s="12" t="s">
        <v>1153</v>
      </c>
      <c r="J31" s="13"/>
      <c r="K31" s="13"/>
      <c r="L31" s="13"/>
      <c r="M31" s="14"/>
      <c r="N31" s="12"/>
      <c r="O31" s="13"/>
      <c r="P31" s="13"/>
      <c r="Q31" s="13"/>
      <c r="R31" s="13"/>
      <c r="S31" s="47"/>
      <c r="T31" s="14"/>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51"/>
    </row>
    <row r="32" spans="1:86" s="2" customFormat="1" ht="15.75" customHeight="1">
      <c r="A32" s="9"/>
      <c r="B32" s="10"/>
      <c r="C32" s="12" t="s">
        <v>1182</v>
      </c>
      <c r="D32" s="13"/>
      <c r="E32" s="13"/>
      <c r="F32" s="13"/>
      <c r="G32" s="13"/>
      <c r="H32" s="14"/>
      <c r="I32" s="12" t="s">
        <v>1153</v>
      </c>
      <c r="J32" s="13"/>
      <c r="K32" s="13"/>
      <c r="L32" s="13"/>
      <c r="M32" s="14"/>
      <c r="N32" s="12"/>
      <c r="O32" s="13"/>
      <c r="P32" s="13"/>
      <c r="Q32" s="13"/>
      <c r="R32" s="13"/>
      <c r="S32" s="47"/>
      <c r="T32" s="14"/>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51"/>
    </row>
    <row r="33" spans="1:86" s="2" customFormat="1" ht="15.75" customHeight="1">
      <c r="A33" s="9"/>
      <c r="B33" s="10"/>
      <c r="C33" s="10"/>
      <c r="D33" s="10"/>
      <c r="E33" s="10"/>
      <c r="F33" s="10"/>
      <c r="G33" s="10"/>
      <c r="H33" s="10"/>
      <c r="I33" s="10"/>
      <c r="J33" s="10"/>
      <c r="K33" s="10"/>
      <c r="L33" s="10"/>
      <c r="M33" s="10"/>
      <c r="N33" s="10"/>
      <c r="O33" s="10"/>
      <c r="P33" s="10"/>
      <c r="Q33" s="10"/>
      <c r="R33" s="10"/>
      <c r="S33" s="43"/>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51"/>
    </row>
    <row r="34" spans="1:86" s="2" customFormat="1" ht="15.75" customHeight="1">
      <c r="A34" s="9"/>
      <c r="B34" s="15" t="s">
        <v>1158</v>
      </c>
      <c r="C34" s="16"/>
      <c r="D34" s="16"/>
      <c r="E34" s="16"/>
      <c r="F34" s="16"/>
      <c r="G34" s="16"/>
      <c r="H34" s="16"/>
      <c r="I34" s="16"/>
      <c r="J34" s="16"/>
      <c r="K34" s="16"/>
      <c r="L34" s="16"/>
      <c r="M34" s="16"/>
      <c r="N34" s="16"/>
      <c r="O34" s="16"/>
      <c r="P34" s="16"/>
      <c r="Q34" s="16"/>
      <c r="R34" s="16"/>
      <c r="S34" s="48"/>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51"/>
    </row>
    <row r="35" spans="1:86" s="2" customFormat="1" ht="15.75" customHeight="1">
      <c r="A35" s="9"/>
      <c r="B35" s="16"/>
      <c r="C35" s="16"/>
      <c r="D35" s="16"/>
      <c r="E35" s="16"/>
      <c r="F35" s="16"/>
      <c r="G35" s="16"/>
      <c r="H35" s="16"/>
      <c r="I35" s="16"/>
      <c r="J35" s="16"/>
      <c r="K35" s="16"/>
      <c r="L35" s="16"/>
      <c r="M35" s="16"/>
      <c r="N35" s="16"/>
      <c r="O35" s="16"/>
      <c r="P35" s="16"/>
      <c r="Q35" s="16"/>
      <c r="R35" s="16"/>
      <c r="S35" s="48"/>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51"/>
    </row>
    <row r="36" spans="1:86" s="2" customFormat="1" ht="15.75" customHeight="1">
      <c r="A36" s="9"/>
      <c r="B36" s="16"/>
      <c r="C36" s="16" t="s">
        <v>1159</v>
      </c>
      <c r="D36" s="16"/>
      <c r="E36" s="16"/>
      <c r="F36" s="16"/>
      <c r="G36" s="16"/>
      <c r="H36" s="16"/>
      <c r="I36" s="16"/>
      <c r="J36" s="16"/>
      <c r="K36" s="16"/>
      <c r="L36" s="16"/>
      <c r="M36" s="16"/>
      <c r="N36" s="16"/>
      <c r="O36" s="16"/>
      <c r="P36" s="16"/>
      <c r="Q36" s="16"/>
      <c r="R36" s="16"/>
      <c r="S36" s="48"/>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51"/>
    </row>
    <row r="37" spans="1:86" s="2" customFormat="1" ht="15.75" customHeight="1">
      <c r="A37" s="9"/>
      <c r="B37" s="16"/>
      <c r="C37" s="16"/>
      <c r="D37" s="16"/>
      <c r="E37" s="16"/>
      <c r="F37" s="16"/>
      <c r="G37" s="16"/>
      <c r="H37" s="16"/>
      <c r="I37" s="20" t="s">
        <v>1160</v>
      </c>
      <c r="J37" s="32"/>
      <c r="K37" s="32"/>
      <c r="L37" s="32"/>
      <c r="M37" s="32"/>
      <c r="N37" s="32"/>
      <c r="O37" s="33"/>
      <c r="P37" s="16"/>
      <c r="Q37" s="16"/>
      <c r="R37" s="16"/>
      <c r="S37" s="48"/>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51"/>
    </row>
    <row r="38" spans="1:86" s="2" customFormat="1" ht="15.75" customHeight="1">
      <c r="A38" s="9"/>
      <c r="B38" s="16"/>
      <c r="C38" s="17" t="s">
        <v>131</v>
      </c>
      <c r="D38" s="18"/>
      <c r="E38" s="18"/>
      <c r="F38" s="18"/>
      <c r="G38" s="18"/>
      <c r="H38" s="18"/>
      <c r="I38" s="34" t="s">
        <v>1161</v>
      </c>
      <c r="J38" s="35"/>
      <c r="K38" s="35"/>
      <c r="L38" s="35"/>
      <c r="M38" s="35"/>
      <c r="N38" s="35"/>
      <c r="O38" s="36"/>
      <c r="P38" s="16"/>
      <c r="Q38" s="16"/>
      <c r="R38" s="16"/>
      <c r="S38" s="48"/>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51"/>
    </row>
    <row r="39" spans="1:86" s="2" customFormat="1" ht="15.75" customHeight="1">
      <c r="A39" s="9"/>
      <c r="B39" s="16"/>
      <c r="C39" s="17" t="s">
        <v>1157</v>
      </c>
      <c r="D39" s="18"/>
      <c r="E39" s="18"/>
      <c r="F39" s="18"/>
      <c r="G39" s="18"/>
      <c r="H39" s="18"/>
      <c r="I39" s="37"/>
      <c r="J39" s="16"/>
      <c r="K39" s="16"/>
      <c r="L39" s="16"/>
      <c r="M39" s="16"/>
      <c r="N39" s="16"/>
      <c r="O39" s="38"/>
      <c r="P39" s="16"/>
      <c r="Q39" s="16"/>
      <c r="R39" s="16"/>
      <c r="S39" s="48"/>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51"/>
    </row>
    <row r="40" spans="1:86" s="2" customFormat="1" ht="15.75" customHeight="1">
      <c r="A40" s="9"/>
      <c r="B40" s="16"/>
      <c r="C40" s="17" t="s">
        <v>134</v>
      </c>
      <c r="D40" s="18"/>
      <c r="E40" s="18"/>
      <c r="F40" s="18"/>
      <c r="G40" s="18"/>
      <c r="H40" s="18"/>
      <c r="I40" s="37"/>
      <c r="J40" s="16"/>
      <c r="K40" s="16"/>
      <c r="L40" s="16"/>
      <c r="M40" s="16"/>
      <c r="N40" s="16"/>
      <c r="O40" s="38"/>
      <c r="P40" s="16"/>
      <c r="Q40" s="16"/>
      <c r="R40" s="16"/>
      <c r="S40" s="48"/>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51"/>
    </row>
    <row r="41" spans="1:86" s="2" customFormat="1" ht="15.75" customHeight="1">
      <c r="A41" s="9"/>
      <c r="B41" s="16"/>
      <c r="C41" s="17" t="s">
        <v>133</v>
      </c>
      <c r="D41" s="18"/>
      <c r="E41" s="18"/>
      <c r="F41" s="18"/>
      <c r="G41" s="18"/>
      <c r="H41" s="18"/>
      <c r="I41" s="37"/>
      <c r="J41" s="16"/>
      <c r="K41" s="16"/>
      <c r="L41" s="16"/>
      <c r="M41" s="16"/>
      <c r="N41" s="16"/>
      <c r="O41" s="38"/>
      <c r="P41" s="16"/>
      <c r="Q41" s="16"/>
      <c r="R41" s="16"/>
      <c r="S41" s="48"/>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51"/>
    </row>
    <row r="42" spans="1:86" s="2" customFormat="1" ht="15.75" customHeight="1">
      <c r="A42" s="9"/>
      <c r="B42" s="16"/>
      <c r="C42" s="17" t="s">
        <v>132</v>
      </c>
      <c r="D42" s="18"/>
      <c r="E42" s="18"/>
      <c r="F42" s="18"/>
      <c r="G42" s="18"/>
      <c r="H42" s="18"/>
      <c r="I42" s="39"/>
      <c r="J42" s="40"/>
      <c r="K42" s="40"/>
      <c r="L42" s="40"/>
      <c r="M42" s="40"/>
      <c r="N42" s="40"/>
      <c r="O42" s="41"/>
      <c r="P42" s="16"/>
      <c r="Q42" s="16"/>
      <c r="R42" s="16"/>
      <c r="S42" s="48"/>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51"/>
    </row>
    <row r="43" spans="1:86" s="2" customFormat="1" ht="15.75" customHeight="1">
      <c r="A43" s="9"/>
      <c r="B43" s="16"/>
      <c r="C43" s="17" t="s">
        <v>130</v>
      </c>
      <c r="D43" s="18"/>
      <c r="E43" s="18"/>
      <c r="F43" s="18"/>
      <c r="G43" s="18"/>
      <c r="H43" s="19"/>
      <c r="I43" s="17" t="s">
        <v>1162</v>
      </c>
      <c r="J43" s="18"/>
      <c r="K43" s="18"/>
      <c r="L43" s="18"/>
      <c r="M43" s="18"/>
      <c r="N43" s="18"/>
      <c r="O43" s="19"/>
      <c r="P43" s="16"/>
      <c r="Q43" s="16"/>
      <c r="R43" s="16"/>
      <c r="S43" s="48"/>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51"/>
    </row>
    <row r="44" spans="1:86" s="2" customFormat="1" ht="15.75" customHeight="1">
      <c r="A44" s="9"/>
      <c r="B44" s="16"/>
      <c r="C44" s="16"/>
      <c r="D44" s="16"/>
      <c r="E44" s="16"/>
      <c r="F44" s="16"/>
      <c r="G44" s="16"/>
      <c r="H44" s="16"/>
      <c r="I44" s="16"/>
      <c r="J44" s="16"/>
      <c r="K44" s="16"/>
      <c r="L44" s="16"/>
      <c r="M44" s="16"/>
      <c r="N44" s="16"/>
      <c r="O44" s="16"/>
      <c r="P44" s="16"/>
      <c r="Q44" s="16"/>
      <c r="R44" s="16"/>
      <c r="S44" s="48"/>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51"/>
    </row>
    <row r="45" spans="1:86" s="2" customFormat="1" ht="15.75" customHeight="1">
      <c r="A45" s="9"/>
      <c r="B45" s="16"/>
      <c r="C45" s="16" t="s">
        <v>1163</v>
      </c>
      <c r="D45" s="16"/>
      <c r="E45" s="16"/>
      <c r="F45" s="16"/>
      <c r="G45" s="16"/>
      <c r="H45" s="16"/>
      <c r="I45" s="16"/>
      <c r="J45" s="16"/>
      <c r="K45" s="16"/>
      <c r="L45" s="16"/>
      <c r="M45" s="16"/>
      <c r="N45" s="16"/>
      <c r="O45" s="16"/>
      <c r="P45" s="16"/>
      <c r="Q45" s="16"/>
      <c r="R45" s="16"/>
      <c r="S45" s="48"/>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51"/>
    </row>
    <row r="46" spans="1:86" s="2" customFormat="1" ht="15.75" customHeight="1">
      <c r="A46" s="9"/>
      <c r="B46" s="16"/>
      <c r="C46" s="16"/>
      <c r="D46" s="16"/>
      <c r="E46" s="16"/>
      <c r="F46" s="16"/>
      <c r="G46" s="16"/>
      <c r="H46" s="20" t="s">
        <v>1164</v>
      </c>
      <c r="I46" s="32"/>
      <c r="J46" s="32"/>
      <c r="K46" s="32"/>
      <c r="L46" s="32"/>
      <c r="M46" s="33"/>
      <c r="N46" s="20" t="s">
        <v>1165</v>
      </c>
      <c r="O46" s="32"/>
      <c r="P46" s="32"/>
      <c r="Q46" s="32"/>
      <c r="R46" s="32"/>
      <c r="S46" s="49"/>
      <c r="T46" s="33"/>
      <c r="U46" s="20" t="s">
        <v>1166</v>
      </c>
      <c r="V46" s="32"/>
      <c r="W46" s="32"/>
      <c r="X46" s="32"/>
      <c r="Y46" s="32"/>
      <c r="Z46" s="32"/>
      <c r="AA46" s="32"/>
      <c r="AB46" s="33"/>
      <c r="AC46" s="16"/>
      <c r="AD46" s="16"/>
      <c r="AE46" s="16"/>
      <c r="AF46" s="16"/>
      <c r="AG46" s="16"/>
      <c r="AH46" s="16"/>
      <c r="AI46" s="16"/>
      <c r="AJ46" s="16"/>
      <c r="AK46" s="16"/>
      <c r="AL46" s="16"/>
      <c r="AM46" s="16"/>
      <c r="AN46" s="16"/>
      <c r="AO46" s="16"/>
      <c r="AP46" s="16"/>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51"/>
    </row>
    <row r="47" spans="1:86" s="2" customFormat="1" ht="15.75" customHeight="1">
      <c r="A47" s="9"/>
      <c r="B47" s="16"/>
      <c r="C47" s="17" t="s">
        <v>1078</v>
      </c>
      <c r="D47" s="18"/>
      <c r="E47" s="18"/>
      <c r="F47" s="18"/>
      <c r="G47" s="19"/>
      <c r="H47" s="17" t="s">
        <v>1167</v>
      </c>
      <c r="I47" s="18"/>
      <c r="J47" s="18"/>
      <c r="K47" s="18"/>
      <c r="L47" s="18"/>
      <c r="M47" s="19"/>
      <c r="N47" s="17" t="s">
        <v>1168</v>
      </c>
      <c r="O47" s="18"/>
      <c r="P47" s="18"/>
      <c r="Q47" s="18"/>
      <c r="R47" s="18"/>
      <c r="S47" s="50"/>
      <c r="T47" s="19"/>
      <c r="U47" s="17" t="s">
        <v>1167</v>
      </c>
      <c r="V47" s="18"/>
      <c r="W47" s="18"/>
      <c r="X47" s="18"/>
      <c r="Y47" s="18"/>
      <c r="Z47" s="18"/>
      <c r="AA47" s="18"/>
      <c r="AB47" s="19"/>
      <c r="AC47" s="16"/>
      <c r="AD47" s="16"/>
      <c r="AE47" s="16"/>
      <c r="AF47" s="16"/>
      <c r="AG47" s="16"/>
      <c r="AH47" s="16"/>
      <c r="AI47" s="16"/>
      <c r="AJ47" s="16"/>
      <c r="AK47" s="16"/>
      <c r="AL47" s="16"/>
      <c r="AM47" s="16"/>
      <c r="AN47" s="16"/>
      <c r="AO47" s="16"/>
      <c r="AP47" s="16"/>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51"/>
    </row>
    <row r="48" spans="1:86" s="2" customFormat="1" ht="15.75" customHeight="1">
      <c r="A48" s="9"/>
      <c r="B48" s="16"/>
      <c r="C48" s="17" t="s">
        <v>420</v>
      </c>
      <c r="D48" s="18"/>
      <c r="E48" s="18"/>
      <c r="F48" s="18"/>
      <c r="G48" s="19"/>
      <c r="H48" s="17" t="s">
        <v>1168</v>
      </c>
      <c r="I48" s="18"/>
      <c r="J48" s="18"/>
      <c r="K48" s="18"/>
      <c r="L48" s="18"/>
      <c r="M48" s="19"/>
      <c r="N48" s="17" t="s">
        <v>1167</v>
      </c>
      <c r="O48" s="18"/>
      <c r="P48" s="18"/>
      <c r="Q48" s="18"/>
      <c r="R48" s="18"/>
      <c r="S48" s="50"/>
      <c r="T48" s="19"/>
      <c r="U48" s="17" t="s">
        <v>1167</v>
      </c>
      <c r="V48" s="18"/>
      <c r="W48" s="18"/>
      <c r="X48" s="18"/>
      <c r="Y48" s="18"/>
      <c r="Z48" s="18"/>
      <c r="AA48" s="18"/>
      <c r="AB48" s="19"/>
      <c r="AC48" s="16"/>
      <c r="AD48" s="16"/>
      <c r="AE48" s="16"/>
      <c r="AF48" s="16"/>
      <c r="AG48" s="16"/>
      <c r="AH48" s="16"/>
      <c r="AI48" s="16"/>
      <c r="AJ48" s="16"/>
      <c r="AK48" s="16"/>
      <c r="AL48" s="16"/>
      <c r="AM48" s="16"/>
      <c r="AN48" s="16"/>
      <c r="AO48" s="16"/>
      <c r="AP48" s="16"/>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51"/>
    </row>
    <row r="49" spans="1:86" s="2" customFormat="1" ht="15.75" customHeight="1">
      <c r="A49" s="9"/>
      <c r="B49" s="16"/>
      <c r="C49" s="16"/>
      <c r="D49" s="16"/>
      <c r="E49" s="16"/>
      <c r="F49" s="16"/>
      <c r="G49" s="16"/>
      <c r="H49" s="16"/>
      <c r="I49" s="16"/>
      <c r="J49" s="16"/>
      <c r="K49" s="16"/>
      <c r="L49" s="16"/>
      <c r="M49" s="16"/>
      <c r="N49" s="16"/>
      <c r="O49" s="16"/>
      <c r="P49" s="16"/>
      <c r="Q49" s="16"/>
      <c r="R49" s="16"/>
      <c r="S49" s="48"/>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51"/>
    </row>
    <row r="50" spans="1:86" s="2" customFormat="1" ht="15.75" customHeight="1">
      <c r="A50" s="9"/>
      <c r="B50" s="16"/>
      <c r="C50" s="16" t="s">
        <v>1169</v>
      </c>
      <c r="D50" s="16"/>
      <c r="E50" s="16"/>
      <c r="F50" s="16"/>
      <c r="G50" s="16"/>
      <c r="H50" s="16"/>
      <c r="I50" s="16"/>
      <c r="J50" s="16"/>
      <c r="K50" s="16"/>
      <c r="L50" s="16"/>
      <c r="M50" s="16"/>
      <c r="N50" s="16"/>
      <c r="O50" s="16"/>
      <c r="P50" s="16"/>
      <c r="Q50" s="16"/>
      <c r="R50" s="16"/>
      <c r="S50" s="48"/>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51"/>
    </row>
    <row r="51" spans="1:86" s="2" customFormat="1" ht="15.75" customHeight="1">
      <c r="A51" s="9"/>
      <c r="B51" s="16"/>
      <c r="C51" s="16" t="s">
        <v>1170</v>
      </c>
      <c r="D51" s="16"/>
      <c r="E51" s="16"/>
      <c r="F51" s="16"/>
      <c r="G51" s="16"/>
      <c r="H51" s="16"/>
      <c r="I51" s="16"/>
      <c r="J51" s="16"/>
      <c r="K51" s="16"/>
      <c r="L51" s="16"/>
      <c r="M51" s="16"/>
      <c r="N51" s="16"/>
      <c r="O51" s="16"/>
      <c r="P51" s="16"/>
      <c r="Q51" s="16"/>
      <c r="R51" s="16"/>
      <c r="S51" s="48"/>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51"/>
    </row>
    <row r="52" spans="1:86" s="2" customFormat="1" ht="15.75" customHeight="1">
      <c r="A52" s="9"/>
      <c r="B52" s="16"/>
      <c r="C52" s="16" t="s">
        <v>1171</v>
      </c>
      <c r="D52" s="16"/>
      <c r="E52" s="16"/>
      <c r="F52" s="16"/>
      <c r="G52" s="16"/>
      <c r="H52" s="16"/>
      <c r="I52" s="16"/>
      <c r="J52" s="16"/>
      <c r="K52" s="16"/>
      <c r="L52" s="16"/>
      <c r="M52" s="16"/>
      <c r="N52" s="16"/>
      <c r="O52" s="16"/>
      <c r="P52" s="16"/>
      <c r="Q52" s="16"/>
      <c r="R52" s="16"/>
      <c r="S52" s="48"/>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51"/>
    </row>
    <row r="53" spans="1:86" s="2" customFormat="1" ht="15.75" customHeight="1">
      <c r="A53" s="9"/>
      <c r="B53" s="16"/>
      <c r="C53" s="16"/>
      <c r="D53" s="16"/>
      <c r="E53" s="16"/>
      <c r="F53" s="16"/>
      <c r="G53" s="16"/>
      <c r="H53" s="16"/>
      <c r="I53" s="16"/>
      <c r="J53" s="16"/>
      <c r="K53" s="16"/>
      <c r="L53" s="16"/>
      <c r="M53" s="16"/>
      <c r="N53" s="16"/>
      <c r="O53" s="16"/>
      <c r="P53" s="16"/>
      <c r="Q53" s="16"/>
      <c r="R53" s="16"/>
      <c r="S53" s="48"/>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51"/>
    </row>
    <row r="54" spans="1:86" s="2" customFormat="1" ht="15.75" customHeight="1">
      <c r="A54" s="9"/>
      <c r="B54" s="10"/>
      <c r="C54" s="10"/>
      <c r="D54" s="10"/>
      <c r="E54" s="10"/>
      <c r="F54" s="10"/>
      <c r="G54" s="10"/>
      <c r="H54" s="10"/>
      <c r="I54" s="10"/>
      <c r="J54" s="10"/>
      <c r="K54" s="10"/>
      <c r="L54" s="10"/>
      <c r="M54" s="10"/>
      <c r="N54" s="10"/>
      <c r="O54" s="10"/>
      <c r="P54" s="10"/>
      <c r="Q54" s="10"/>
      <c r="R54" s="10"/>
      <c r="S54" s="43"/>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51"/>
    </row>
    <row r="55" spans="1:86" s="2" customFormat="1" ht="15.75" customHeight="1">
      <c r="A55" s="21"/>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2"/>
      <c r="BR55" s="22"/>
      <c r="BS55" s="22"/>
      <c r="BT55" s="22"/>
      <c r="BU55" s="22"/>
      <c r="BV55" s="22"/>
      <c r="BW55" s="22"/>
      <c r="BX55" s="22"/>
      <c r="BY55" s="22"/>
      <c r="BZ55" s="22"/>
      <c r="CA55" s="22"/>
      <c r="CB55" s="22"/>
      <c r="CC55" s="22"/>
      <c r="CD55" s="22"/>
      <c r="CE55" s="22"/>
      <c r="CF55" s="22"/>
      <c r="CG55" s="22"/>
      <c r="CH55" s="52"/>
    </row>
    <row r="56" spans="1:86" s="2" customFormat="1"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row>
    <row r="57" spans="1:86" s="2" customFormat="1"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row>
    <row r="58" spans="1:86" s="2" customFormat="1"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row>
    <row r="59" spans="1:86" s="2" customFormat="1"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row>
    <row r="60" spans="1:86" s="2" customFormat="1"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row>
    <row r="61" spans="1:86" s="2" customFormat="1"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row>
    <row r="62" spans="1:86" s="2" customFormat="1"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row>
    <row r="63" spans="1:86" s="2" customFormat="1"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row>
    <row r="64" spans="1:86" s="2" customFormat="1"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row>
    <row r="65" spans="1:86" s="2" customFormat="1"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row>
    <row r="66" spans="1:86" s="2" customFormat="1"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row>
    <row r="67" spans="1:86" s="2" customFormat="1"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row>
    <row r="68" spans="1:86" s="2" customFormat="1"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row>
    <row r="69" spans="1:86" s="2" customFormat="1"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row>
    <row r="70" spans="1:86" s="2" customFormat="1"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row>
    <row r="71" spans="1:86" s="2" customFormat="1"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row>
    <row r="72" spans="1:86" s="2" customFormat="1"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row>
    <row r="73" spans="1:86" s="2" customFormat="1"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row>
    <row r="74" spans="1:86" s="2" customFormat="1"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row>
    <row r="75" spans="1:86" s="2" customFormat="1"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row>
    <row r="76" spans="1:86" s="2" customFormat="1"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row>
    <row r="77" spans="1:86" s="2" customFormat="1"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c r="CF77" s="10"/>
      <c r="CG77" s="10"/>
      <c r="CH77" s="10"/>
    </row>
    <row r="78" spans="1:86" s="2" customFormat="1"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c r="CF78" s="10"/>
      <c r="CG78" s="10"/>
      <c r="CH78" s="10"/>
    </row>
    <row r="79" spans="1:86" s="2" customFormat="1"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c r="BY79" s="10"/>
      <c r="BZ79" s="10"/>
      <c r="CA79" s="10"/>
      <c r="CB79" s="10"/>
      <c r="CC79" s="10"/>
      <c r="CD79" s="10"/>
      <c r="CE79" s="10"/>
      <c r="CF79" s="10"/>
      <c r="CG79" s="10"/>
      <c r="CH79" s="10"/>
    </row>
    <row r="80" spans="1:86" s="2" customFormat="1"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c r="BY80" s="10"/>
      <c r="BZ80" s="10"/>
      <c r="CA80" s="10"/>
      <c r="CB80" s="10"/>
      <c r="CC80" s="10"/>
      <c r="CD80" s="10"/>
      <c r="CE80" s="10"/>
      <c r="CF80" s="10"/>
      <c r="CG80" s="10"/>
      <c r="CH80" s="10"/>
    </row>
    <row r="81" spans="1:86" s="2" customFormat="1"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c r="CA81" s="10"/>
      <c r="CB81" s="10"/>
      <c r="CC81" s="10"/>
      <c r="CD81" s="10"/>
      <c r="CE81" s="10"/>
      <c r="CF81" s="10"/>
      <c r="CG81" s="10"/>
      <c r="CH81" s="10"/>
    </row>
    <row r="82" spans="1:86" s="2" customFormat="1"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c r="BU82" s="10"/>
      <c r="BV82" s="10"/>
      <c r="BW82" s="10"/>
      <c r="BX82" s="10"/>
      <c r="BY82" s="10"/>
      <c r="BZ82" s="10"/>
      <c r="CA82" s="10"/>
      <c r="CB82" s="10"/>
      <c r="CC82" s="10"/>
      <c r="CD82" s="10"/>
      <c r="CE82" s="10"/>
      <c r="CF82" s="10"/>
      <c r="CG82" s="10"/>
      <c r="CH82" s="10"/>
    </row>
    <row r="83" spans="1:86" s="2" customFormat="1"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c r="BY83" s="10"/>
      <c r="BZ83" s="10"/>
      <c r="CA83" s="10"/>
      <c r="CB83" s="10"/>
      <c r="CC83" s="10"/>
      <c r="CD83" s="10"/>
      <c r="CE83" s="10"/>
      <c r="CF83" s="10"/>
      <c r="CG83" s="10"/>
      <c r="CH83" s="10"/>
    </row>
    <row r="84" spans="1:86" s="2" customFormat="1"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c r="BU84" s="10"/>
      <c r="BV84" s="10"/>
      <c r="BW84" s="10"/>
      <c r="BX84" s="10"/>
      <c r="BY84" s="10"/>
      <c r="BZ84" s="10"/>
      <c r="CA84" s="10"/>
      <c r="CB84" s="10"/>
      <c r="CC84" s="10"/>
      <c r="CD84" s="10"/>
      <c r="CE84" s="10"/>
      <c r="CF84" s="10"/>
      <c r="CG84" s="10"/>
      <c r="CH84" s="10"/>
    </row>
    <row r="85" spans="1:86" ht="15.75" customHeight="1">
      <c r="D85" s="53"/>
      <c r="E85" s="53"/>
      <c r="F85" s="53"/>
      <c r="G85" s="53"/>
      <c r="H85" s="53"/>
      <c r="I85" s="53"/>
      <c r="J85" s="53"/>
      <c r="K85" s="53"/>
      <c r="L85" s="53"/>
      <c r="M85" s="53"/>
      <c r="N85" s="53"/>
      <c r="O85" s="53"/>
      <c r="P85" s="53"/>
      <c r="Q85" s="53"/>
      <c r="R85" s="53"/>
      <c r="S85" s="53"/>
      <c r="T85" s="53"/>
      <c r="U85" s="53"/>
      <c r="V85" s="53"/>
      <c r="W85" s="53"/>
      <c r="X85" s="53"/>
      <c r="Y85" s="53"/>
      <c r="Z85" s="53"/>
      <c r="AA85" s="53"/>
      <c r="AB85" s="53"/>
      <c r="AC85" s="53"/>
      <c r="AD85" s="53"/>
      <c r="AE85" s="53"/>
      <c r="AF85" s="53"/>
      <c r="AG85" s="53"/>
      <c r="AH85" s="53"/>
      <c r="AI85" s="53"/>
      <c r="AJ85" s="53"/>
      <c r="AK85" s="53"/>
      <c r="AL85" s="53"/>
      <c r="AM85" s="53"/>
      <c r="AN85" s="53"/>
      <c r="AO85" s="53"/>
      <c r="AP85" s="53"/>
      <c r="AQ85" s="53"/>
      <c r="AR85" s="53"/>
      <c r="AS85" s="53"/>
      <c r="AT85" s="53"/>
      <c r="AU85" s="53"/>
      <c r="AV85" s="53"/>
      <c r="AW85" s="53"/>
      <c r="AX85" s="53"/>
      <c r="AY85" s="53"/>
      <c r="AZ85" s="53"/>
      <c r="BA85" s="53"/>
      <c r="BB85" s="53"/>
      <c r="BC85" s="53"/>
      <c r="BD85" s="53"/>
      <c r="BE85" s="53"/>
      <c r="BF85" s="53"/>
      <c r="BG85" s="53"/>
      <c r="BH85" s="53"/>
      <c r="BI85" s="53"/>
      <c r="BJ85" s="53"/>
      <c r="BK85" s="53"/>
    </row>
  </sheetData>
  <mergeCells count="21">
    <mergeCell ref="BL1:BT1"/>
    <mergeCell ref="BU1:CA1"/>
    <mergeCell ref="CB1:CH1"/>
    <mergeCell ref="O2:AB2"/>
    <mergeCell ref="AC2:AI2"/>
    <mergeCell ref="AJ2:AP2"/>
    <mergeCell ref="AQ2:AW2"/>
    <mergeCell ref="AX2:BK2"/>
    <mergeCell ref="BL2:BT3"/>
    <mergeCell ref="BU2:CA3"/>
    <mergeCell ref="CB2:CH3"/>
    <mergeCell ref="O1:AB1"/>
    <mergeCell ref="AC1:AI1"/>
    <mergeCell ref="AJ1:AP1"/>
    <mergeCell ref="AQ1:AW1"/>
    <mergeCell ref="AX1:BK1"/>
    <mergeCell ref="O3:AB3"/>
    <mergeCell ref="AC3:AI3"/>
    <mergeCell ref="AJ3:AP3"/>
    <mergeCell ref="AQ3:BK3"/>
    <mergeCell ref="A1:N3"/>
  </mergeCells>
  <phoneticPr fontId="65"/>
  <pageMargins left="0.511811023622047" right="0.74803149606299202" top="0.70866141732283505" bottom="0.43307086614173201" header="0.511811023622047" footer="0.35433070866141703"/>
  <pageSetup paperSize="9" scale="75" fitToHeight="0" orientation="landscape" r:id="rId1"/>
  <headerFooter alignWithMargins="0">
    <oddFooter>&amp;L&amp;"Meiryo UI"&amp;10MSBDP0090&amp;C&amp;"Meiryo UI,標準"&amp;10&amp;P&amp;R&amp;"Meiryo UI,標準"&amp;10(C)Toyo Business Engineering Corp.[Confidential]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761a324b-5d78-44cf-b9f7-03e8b2a8fda7">
      <Terms xmlns="http://schemas.microsoft.com/office/infopath/2007/PartnerControls"/>
    </lcf76f155ced4ddcb4097134ff3c332f>
    <TaxCatchAll xmlns="276bdb53-d102-4a67-8437-273e78fbb7dc" xsi:nil="true"/>
    <_dlc_DocId xmlns="276bdb53-d102-4a67-8437-273e78fbb7dc">EVCTUWYQZQYC-538864054-22425</_dlc_DocId>
    <_dlc_DocIdUrl xmlns="276bdb53-d102-4a67-8437-273e78fbb7dc">
      <Url>https://mitsubishielectricgroup.sharepoint.com/sites/009989/_layouts/15/DocIdRedir.aspx?ID=EVCTUWYQZQYC-538864054-22425</Url>
      <Description>EVCTUWYQZQYC-538864054-22425</Description>
    </_dlc_DocIdUrl>
  </documentManagement>
</p:properties>
</file>

<file path=customXml/itemProps1.xml><?xml version="1.0" encoding="utf-8"?>
<ds:datastoreItem xmlns:ds="http://schemas.openxmlformats.org/officeDocument/2006/customXml" ds:itemID="{39179AC8-06B6-4299-B90B-84601727FD37}"/>
</file>

<file path=customXml/itemProps2.xml><?xml version="1.0" encoding="utf-8"?>
<ds:datastoreItem xmlns:ds="http://schemas.openxmlformats.org/officeDocument/2006/customXml" ds:itemID="{446E6201-7271-4193-8CFE-DEA2563C1530}"/>
</file>

<file path=customXml/itemProps3.xml><?xml version="1.0" encoding="utf-8"?>
<ds:datastoreItem xmlns:ds="http://schemas.openxmlformats.org/officeDocument/2006/customXml" ds:itemID="{A915E32C-4789-4B31-9970-B6CED7CCA85F}"/>
</file>

<file path=customXml/itemProps4.xml><?xml version="1.0" encoding="utf-8"?>
<ds:datastoreItem xmlns:ds="http://schemas.openxmlformats.org/officeDocument/2006/customXml" ds:itemID="{B9AF7F8B-1DC1-4915-A335-E06B2A5DD2F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16</vt:i4>
      </vt:variant>
      <vt:variant>
        <vt:lpstr>名前付き一覧</vt:lpstr>
      </vt:variant>
      <vt:variant>
        <vt:i4>50</vt:i4>
      </vt:variant>
    </vt:vector>
  </HeadingPairs>
  <TitlesOfParts>
    <vt:vector size="66" baseType="lpstr">
      <vt:lpstr>表紙（カスタマイズ）</vt:lpstr>
      <vt:lpstr>表紙</vt:lpstr>
      <vt:lpstr>変更来歴（カスタマイズ）</vt:lpstr>
      <vt:lpstr>変更来歴</vt:lpstr>
      <vt:lpstr>概要（カスタマイズ）</vt:lpstr>
      <vt:lpstr>概要</vt:lpstr>
      <vt:lpstr>画面イメージ</vt:lpstr>
      <vt:lpstr>項目説明（カスタマイズ）</vt:lpstr>
      <vt:lpstr>項目説明</vt:lpstr>
      <vt:lpstr>画面遷移</vt:lpstr>
      <vt:lpstr>処理・サービス関連図</vt:lpstr>
      <vt:lpstr>処理詳細 (システム設計時)</vt:lpstr>
      <vt:lpstr>処理詳細（ソフトウェア開発時）</vt:lpstr>
      <vt:lpstr>更新入出力仕様</vt:lpstr>
      <vt:lpstr>メッセージ一覧</vt:lpstr>
      <vt:lpstr>補足説明</vt:lpstr>
      <vt:lpstr>メッセージ一覧!Print_Area</vt:lpstr>
      <vt:lpstr>画面イメージ!Print_Area</vt:lpstr>
      <vt:lpstr>更新入出力仕様!Print_Area</vt:lpstr>
      <vt:lpstr>項目説明!Print_Area</vt:lpstr>
      <vt:lpstr>'項目説明（カスタマイズ）'!Print_Area</vt:lpstr>
      <vt:lpstr>'処理詳細 (システム設計時)'!Print_Area</vt:lpstr>
      <vt:lpstr>'処理詳細（ソフトウェア開発時）'!Print_Area</vt:lpstr>
      <vt:lpstr>表紙!Print_Area</vt:lpstr>
      <vt:lpstr>'表紙（カスタマイズ）'!Print_Area</vt:lpstr>
      <vt:lpstr>変更来歴!Print_Area</vt:lpstr>
      <vt:lpstr>'変更来歴（カスタマイズ）'!Print_Area</vt:lpstr>
      <vt:lpstr>補足説明!Print_Area</vt:lpstr>
      <vt:lpstr>メッセージ一覧!Print_Titles</vt:lpstr>
      <vt:lpstr>画面イメージ!Print_Titles</vt:lpstr>
      <vt:lpstr>画面遷移!Print_Titles</vt:lpstr>
      <vt:lpstr>概要!Print_Titles</vt:lpstr>
      <vt:lpstr>'概要（カスタマイズ）'!Print_Titles</vt:lpstr>
      <vt:lpstr>更新入出力仕様!Print_Titles</vt:lpstr>
      <vt:lpstr>項目説明!Print_Titles</vt:lpstr>
      <vt:lpstr>'項目説明（カスタマイズ）'!Print_Titles</vt:lpstr>
      <vt:lpstr>処理・サービス関連図!Print_Titles</vt:lpstr>
      <vt:lpstr>'処理詳細 (システム設計時)'!Print_Titles</vt:lpstr>
      <vt:lpstr>'処理詳細（ソフトウェア開発時）'!Print_Titles</vt:lpstr>
      <vt:lpstr>変更来歴!Print_Titles</vt:lpstr>
      <vt:lpstr>'変更来歴（カスタマイズ）'!Print_Titles</vt:lpstr>
      <vt:lpstr>補足説明!Print_Titles</vt:lpstr>
      <vt:lpstr>Rev.</vt:lpstr>
      <vt:lpstr>Revision</vt:lpstr>
      <vt:lpstr>Ver.</vt:lpstr>
      <vt:lpstr>Version</vt:lpstr>
      <vt:lpstr>ご確認者</vt:lpstr>
      <vt:lpstr>ご確認日</vt:lpstr>
      <vt:lpstr>サブシステム名</vt:lpstr>
      <vt:lpstr>システム名</vt:lpstr>
      <vt:lpstr>プロジェクト名</vt:lpstr>
      <vt:lpstr>開発区分</vt:lpstr>
      <vt:lpstr>機能ＩＤ</vt:lpstr>
      <vt:lpstr>機能区分</vt:lpstr>
      <vt:lpstr>機能名称</vt:lpstr>
      <vt:lpstr>顧客名</vt:lpstr>
      <vt:lpstr>最終更新者</vt:lpstr>
      <vt:lpstr>最終更新日</vt:lpstr>
      <vt:lpstr>作成者</vt:lpstr>
      <vt:lpstr>作成日</vt:lpstr>
      <vt:lpstr>章</vt:lpstr>
      <vt:lpstr>発行日</vt:lpstr>
      <vt:lpstr>文書番号</vt:lpstr>
      <vt:lpstr>文書番号_カスタマイズ</vt:lpstr>
      <vt:lpstr>文書名</vt:lpstr>
      <vt:lpstr>文書名_カスタマイズ</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奥本　俊夫</dc:creator>
  <cp:lastModifiedBy>奥本 俊夫</cp:lastModifiedBy>
  <cp:lastPrinted>2020-08-26T04:36:00Z</cp:lastPrinted>
  <dcterms:created xsi:type="dcterms:W3CDTF">1997-07-09T00:24:00Z</dcterms:created>
  <dcterms:modified xsi:type="dcterms:W3CDTF">2022-11-09T01:39:24Z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2052-11.1.0.10132</vt:lpwstr>
  </property>
  <property fmtid="{D5CDD505-2E9C-101B-9397-08002B2CF9AE}" pid="3" name="ContentTypeId">
    <vt:lpwstr>0x010100A9DDBD72CCDCB042BDF63871C064BF58</vt:lpwstr>
  </property>
  <property fmtid="{D5CDD505-2E9C-101B-9397-08002B2CF9AE}" pid="4" name="_dlc_DocIdItemGuid">
    <vt:lpwstr>7a5be7f1-f4b1-486c-bfef-c1dddefe1bb3</vt:lpwstr>
  </property>
</Properties>
</file>