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4.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docProps/app.xml" ContentType="application/vnd.openxmlformats-officedocument.extended-propertie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keita-itou\Desktop\【共通T作業】\mDOC\svn\branches\V1.1\sample\"/>
    </mc:Choice>
  </mc:AlternateContent>
  <bookViews>
    <workbookView xWindow="31650" yWindow="5085" windowWidth="12735" windowHeight="3030" tabRatio="808" activeTab="3"/>
  </bookViews>
  <sheets>
    <sheet name="表紙" sheetId="1" r:id="rId1"/>
    <sheet name="来歴" sheetId="28" r:id="rId2"/>
    <sheet name="承認票" sheetId="29" r:id="rId3"/>
    <sheet name="レビュー記録" sheetId="34" r:id="rId4"/>
    <sheet name="機能概要" sheetId="14" r:id="rId5"/>
    <sheet name="処理フロー" sheetId="32" r:id="rId6"/>
    <sheet name="処理詳細" sheetId="25" r:id="rId7"/>
    <sheet name="電文項目仕様" sheetId="33" r:id="rId8"/>
  </sheets>
  <externalReferences>
    <externalReference r:id="rId9"/>
  </externalReferences>
  <definedNames>
    <definedName name="_xlnm.Print_Area" localSheetId="3">レビュー記録!$A$1:$I$47</definedName>
    <definedName name="_xlnm.Print_Area" localSheetId="4">機能概要!$A$1:$AX$38</definedName>
    <definedName name="_xlnm.Print_Area" localSheetId="5">処理フロー!$A$1:$AY$48</definedName>
    <definedName name="_xlnm.Print_Area" localSheetId="2">承認票!$A$1:$I$47</definedName>
    <definedName name="_xlnm.Print_Area" localSheetId="7">電文項目仕様!$A$1:$E$18</definedName>
    <definedName name="_xlnm.Print_Area" localSheetId="0">表紙!$A$1:$AX$44</definedName>
    <definedName name="_xlnm.Print_Area" localSheetId="1">来歴!$A$1:$F$43</definedName>
    <definedName name="_xlnm.Print_Titles" localSheetId="3">レビュー記録!$4:$6</definedName>
    <definedName name="_xlnm.Print_Titles" localSheetId="4">機能概要!$1:$5</definedName>
    <definedName name="_xlnm.Print_Titles" localSheetId="5">処理フロー!$1:$5</definedName>
    <definedName name="_xlnm.Print_Titles" localSheetId="6">処理詳細!$1:$5</definedName>
    <definedName name="_xlnm.Print_Titles" localSheetId="2">承認票!$4:$6</definedName>
    <definedName name="_xlnm.Print_Titles" localSheetId="7">電文項目仕様!$4:$5</definedName>
    <definedName name="_xlnm.Print_Titles" localSheetId="1">来歴!$4:$5</definedName>
    <definedName name="Rev">表紙!$G$64</definedName>
    <definedName name="Version">表紙!$G$54</definedName>
    <definedName name="サブシステム">表紙!$G$55</definedName>
    <definedName name="システム">表紙!$G$53</definedName>
    <definedName name="プロジェクト名">表紙!$G$52</definedName>
    <definedName name="機能ID">表紙!$G$57</definedName>
    <definedName name="機能名">表紙!$G$59</definedName>
    <definedName name="顧客名">表紙!$G$51</definedName>
    <definedName name="作成者">表紙!$G$60</definedName>
    <definedName name="作成日">表紙!$G$62</definedName>
    <definedName name="修正者">表紙!$G$61</definedName>
    <definedName name="修正日">表紙!$G$63</definedName>
    <definedName name="分類ID">表紙!$G$56</definedName>
    <definedName name="分類名">表紙!$G$58</definedName>
    <definedName name="文書番号">表紙!$G$65</definedName>
  </definedNames>
  <calcPr calcId="162913" concurrentCalc="0"/>
</workbook>
</file>

<file path=xl/calcChain.xml><?xml version="1.0" encoding="utf-8"?>
<calcChain xmlns="http://schemas.openxmlformats.org/spreadsheetml/2006/main">
  <c r="BI73" i="1" l="1"/>
  <c r="BE73" i="1"/>
  <c r="BC73" i="1"/>
  <c r="BJ72" i="1"/>
  <c r="BI72" i="1"/>
  <c r="BG72" i="1"/>
  <c r="BE72" i="1"/>
  <c r="BC72" i="1"/>
  <c r="BI71" i="1"/>
  <c r="BG71" i="1"/>
  <c r="BE71" i="1"/>
  <c r="BC71" i="1"/>
  <c r="BE69" i="1"/>
  <c r="BC69" i="1"/>
  <c r="BJ68" i="1"/>
  <c r="BG68" i="1"/>
  <c r="BE68" i="1"/>
  <c r="BC68" i="1"/>
  <c r="BG67" i="1"/>
  <c r="BE67" i="1"/>
  <c r="BC67" i="1"/>
  <c r="BE65" i="1"/>
  <c r="BC65" i="1"/>
  <c r="BJ64" i="1"/>
  <c r="BG64" i="1"/>
  <c r="BE64" i="1"/>
  <c r="BC64" i="1"/>
  <c r="BG63" i="1"/>
  <c r="BE63" i="1"/>
  <c r="BC63" i="1"/>
  <c r="W3" i="32"/>
  <c r="L3" i="32"/>
  <c r="AU2" i="32"/>
  <c r="AH2" i="32"/>
  <c r="W2" i="32"/>
  <c r="L2" i="32"/>
  <c r="AH1" i="32"/>
  <c r="W1" i="32"/>
  <c r="L1" i="32"/>
  <c r="G64" i="1"/>
  <c r="G63" i="1"/>
  <c r="G62" i="1"/>
  <c r="BE61" i="1"/>
  <c r="BC61" i="1"/>
  <c r="BJ60" i="1"/>
  <c r="BG60" i="1"/>
  <c r="BE60" i="1"/>
  <c r="BC60" i="1"/>
  <c r="BG59" i="1"/>
  <c r="BE59" i="1"/>
  <c r="BC59" i="1"/>
  <c r="BE57" i="1"/>
  <c r="BC57" i="1"/>
  <c r="BJ56" i="1"/>
  <c r="BG56" i="1"/>
  <c r="BE56" i="1"/>
  <c r="BC56" i="1"/>
  <c r="BG55" i="1"/>
  <c r="BE55" i="1"/>
  <c r="BC55" i="1"/>
  <c r="BE53" i="1"/>
  <c r="BC53" i="1"/>
  <c r="BJ52" i="1"/>
  <c r="BG52" i="1"/>
  <c r="BE52" i="1"/>
  <c r="BC52" i="1"/>
  <c r="BG51" i="1"/>
  <c r="BE51" i="1"/>
  <c r="BC51" i="1"/>
  <c r="BE49" i="1"/>
  <c r="BC49" i="1"/>
  <c r="BJ48" i="1"/>
  <c r="BG48" i="1"/>
  <c r="BE48" i="1"/>
  <c r="BC48" i="1"/>
  <c r="BG47" i="1"/>
  <c r="BE47" i="1"/>
  <c r="BC47" i="1"/>
  <c r="BI67" i="1"/>
  <c r="BI63" i="1"/>
  <c r="AQ1" i="32"/>
  <c r="BI68" i="1"/>
  <c r="BI64" i="1"/>
  <c r="AQ2" i="32"/>
  <c r="BI69" i="1"/>
  <c r="BI65" i="1"/>
  <c r="AQ3" i="32"/>
  <c r="W3" i="25"/>
  <c r="L3" i="25"/>
  <c r="AU2" i="25"/>
  <c r="W2" i="25"/>
  <c r="L2" i="25"/>
  <c r="AH1" i="25"/>
  <c r="W1" i="25"/>
  <c r="L1" i="25"/>
  <c r="BI55" i="1"/>
  <c r="BI47" i="1"/>
  <c r="BI59" i="1"/>
  <c r="BI51" i="1"/>
  <c r="AQ1" i="25"/>
  <c r="V29" i="1"/>
  <c r="W3" i="14"/>
  <c r="L3" i="14"/>
  <c r="AU2" i="14"/>
  <c r="W2" i="14"/>
  <c r="L2" i="14"/>
  <c r="W1" i="14"/>
  <c r="L1" i="14"/>
  <c r="AH2" i="25"/>
  <c r="AH2" i="14"/>
  <c r="AQ1" i="14"/>
  <c r="AH1" i="14"/>
  <c r="V31" i="1"/>
  <c r="V30" i="1"/>
  <c r="AB29" i="1"/>
  <c r="V28" i="1"/>
  <c r="V27" i="1"/>
  <c r="AL5" i="1"/>
  <c r="AF5" i="1"/>
  <c r="BI56" i="1"/>
  <c r="BI52" i="1"/>
  <c r="BI60" i="1"/>
  <c r="BI48" i="1"/>
  <c r="BI61" i="1"/>
  <c r="BI57" i="1"/>
  <c r="BI53" i="1"/>
  <c r="BI49" i="1"/>
  <c r="AQ2" i="25"/>
  <c r="AQ3" i="25"/>
  <c r="AQ2" i="14"/>
  <c r="AQ3" i="14"/>
  <c r="AR5" i="1"/>
</calcChain>
</file>

<file path=xl/comments1.xml><?xml version="1.0" encoding="utf-8"?>
<comments xmlns="http://schemas.openxmlformats.org/spreadsheetml/2006/main">
  <authors>
    <author>itadministrator</author>
  </authors>
  <commentList>
    <comment ref="H32" authorId="0" shapeId="0">
      <text>
        <r>
          <rPr>
            <b/>
            <sz val="9"/>
            <color indexed="81"/>
            <rFont val="ＭＳ Ｐゴシック"/>
            <family val="3"/>
            <charset val="128"/>
          </rPr>
          <t>新業務機能展開表との
紐付けを行う</t>
        </r>
        <r>
          <rPr>
            <sz val="9"/>
            <color indexed="81"/>
            <rFont val="ＭＳ Ｐゴシック"/>
            <family val="3"/>
            <charset val="128"/>
          </rPr>
          <t xml:space="preserve">
</t>
        </r>
      </text>
    </comment>
  </commentList>
</comments>
</file>

<file path=xl/comments2.xml><?xml version="1.0" encoding="utf-8"?>
<comments xmlns="http://schemas.openxmlformats.org/spreadsheetml/2006/main">
  <authors>
    <author>itadministrator</author>
    <author>Nakanishi Kazunori</author>
  </authors>
  <commentList>
    <comment ref="B5" authorId="0" shapeId="0">
      <text>
        <r>
          <rPr>
            <sz val="9"/>
            <color indexed="81"/>
            <rFont val="ＭＳ Ｐゴシック"/>
            <family val="3"/>
            <charset val="128"/>
          </rPr>
          <t>C：クライアント処理
S：サーバ処理</t>
        </r>
      </text>
    </comment>
    <comment ref="K5" authorId="1" shapeId="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AX5" authorId="1" shapeId="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authors>
    <author>作成者</author>
  </authors>
  <commentList>
    <comment ref="F6" authorId="0" shapeId="0">
      <text>
        <r>
          <rPr>
            <b/>
            <sz val="9"/>
            <color indexed="81"/>
            <rFont val="MS P ゴシック"/>
            <family val="3"/>
            <charset val="128"/>
          </rPr>
          <t>更新カウンタチェック時に必須の項目が指定されているかどうかをチェックします。
行ステータスが新規以外の行をチェックする場合は「E」を指定します。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G6" authorId="0" shapeId="0">
      <text>
        <r>
          <rPr>
            <b/>
            <sz val="9"/>
            <color indexed="81"/>
            <rFont val="MS P ゴシック"/>
            <family val="3"/>
            <charset val="128"/>
          </rPr>
          <t>必須の項目が指定されているかどうかをチェックします。
行ステータスが削除以外の行をチェックする場合は「E」を指定します。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H6" authorId="0" shapeId="0">
      <text>
        <r>
          <rPr>
            <b/>
            <sz val="9"/>
            <color indexed="81"/>
            <rFont val="MS P ゴシック"/>
            <family val="3"/>
            <charset val="128"/>
          </rPr>
          <t>数値項目の値が適切かどうかをチェックします。
正の数が指定されているかをチェックする場合は「positive」を指定します。
0以外の数が指定されているかをチェックする場合は「notZero」を指定します。</t>
        </r>
      </text>
    </comment>
    <comment ref="I6" authorId="0" shapeId="0">
      <text>
        <r>
          <rPr>
            <b/>
            <sz val="9"/>
            <color indexed="81"/>
            <rFont val="MS P ゴシック"/>
            <family val="3"/>
            <charset val="128"/>
          </rPr>
          <t>数値項目の値が適切かどうかをチェックします。
値が指定した範囲かどうかをチェックする場合は「{下限}:{上限}」と指定します。</t>
        </r>
      </text>
    </comment>
    <comment ref="J6" authorId="0" shapeId="0">
      <text>
        <r>
          <rPr>
            <b/>
            <sz val="9"/>
            <color indexed="81"/>
            <rFont val="MS P ゴシック"/>
            <family val="3"/>
            <charset val="128"/>
          </rPr>
          <t>日付項目の値が適切かどうかをチェックします。
以下の通り指定します。
・運用日付以前：bfToday
・運用日付以降：afToday
・会社マスタの日付切替時間を考慮した日付が運用日付以前：tmBfToday</t>
        </r>
      </text>
    </comment>
    <comment ref="K6" authorId="0" shapeId="0">
      <text>
        <r>
          <rPr>
            <b/>
            <sz val="9"/>
            <color indexed="81"/>
            <rFont val="MS P ゴシック"/>
            <family val="3"/>
            <charset val="128"/>
          </rPr>
          <t>日付項目の値が、同じ行の別の項目と比較して適切かどうかをチェックします。
以下の通り指定します。
・グループ名:BF（過去の方）
・グループ名:AF（未来の方）</t>
        </r>
      </text>
    </comment>
    <comment ref="L6" authorId="0" shapeId="0">
      <text>
        <r>
          <rPr>
            <b/>
            <sz val="9"/>
            <color indexed="81"/>
            <rFont val="MS P ゴシック"/>
            <family val="3"/>
            <charset val="128"/>
          </rPr>
          <t>値が電話番号またはFAX番号として適切かどうかをチェックする場合は「TEL」を指定します。
値が郵便番号として適切かチェックする場合は「ZIP」を指定します。</t>
        </r>
      </text>
    </comment>
    <comment ref="M6" authorId="0" shapeId="0">
      <text>
        <r>
          <rPr>
            <b/>
            <sz val="9"/>
            <color indexed="81"/>
            <rFont val="MS P ゴシック"/>
            <family val="3"/>
            <charset val="128"/>
          </rPr>
          <t>他の行と重複した値になっていないかどうかをチェックします。重複チェックしたい項目または項目の組み合わせに任意のグループ名を指定します。</t>
        </r>
      </text>
    </comment>
    <comment ref="N6" authorId="0" shapeId="0">
      <text>
        <r>
          <rPr>
            <b/>
            <sz val="9"/>
            <color indexed="81"/>
            <rFont val="MS P ゴシック"/>
            <family val="3"/>
            <charset val="128"/>
          </rPr>
          <t>複数の項目の内1つだけ指定されているかどうかをチェックします。対象の項目に任意のグループ名を指定します。</t>
        </r>
      </text>
    </comment>
    <comment ref="O6" authorId="0" shapeId="0">
      <text>
        <r>
          <rPr>
            <b/>
            <sz val="9"/>
            <color indexed="81"/>
            <rFont val="MS P ゴシック"/>
            <family val="3"/>
            <charset val="128"/>
          </rPr>
          <t>複数の項目の内1つ以上指定されているかどうかをチェックします。対象の項目に任意のグループ名を指定します。</t>
        </r>
      </text>
    </comment>
    <comment ref="P6" authorId="0" shapeId="0">
      <text>
        <r>
          <rPr>
            <b/>
            <sz val="9"/>
            <color indexed="81"/>
            <rFont val="MS P ゴシック"/>
            <family val="3"/>
            <charset val="128"/>
          </rPr>
          <t xml:space="preserve">リストロジックを利用して、マスタの存在チェックおよび必要に応じて補完します。利用するリストロジックＩＤ、LIST_IN、LIST_OUT、LIST_IN_BASE、LIST_OUT_BASEを指定します。
記載形式
 [リストロジックＩＤ]
 【入力】
  [LIST_IN_BASE] : [LIST_IN] 
 【出力】
  [LIST_OUT_BASE] : [LIST_OUT] </t>
        </r>
      </text>
    </comment>
    <comment ref="Q6" authorId="0" shapeId="0">
      <text>
        <r>
          <rPr>
            <b/>
            <sz val="9"/>
            <color indexed="81"/>
            <rFont val="MS P ゴシック"/>
            <family val="3"/>
            <charset val="128"/>
          </rPr>
          <t>定数の存在チェックをします。チェックする定数の定数グループＩＤを指定します。
定数名を補完する場合は、定数名の項目名を定数の項目名＋「_nm」にします。</t>
        </r>
      </text>
    </comment>
    <comment ref="R6" authorId="0" shapeId="0">
      <text>
        <r>
          <rPr>
            <b/>
            <sz val="9"/>
            <color indexed="81"/>
            <rFont val="MS P ゴシック"/>
            <family val="3"/>
            <charset val="128"/>
          </rPr>
          <t>値が指定されていない時にnull文字を補完する場合は「E」を指定します。</t>
        </r>
      </text>
    </comment>
    <comment ref="S6" authorId="0" shapeId="0">
      <text>
        <r>
          <rPr>
            <b/>
            <sz val="9"/>
            <color indexed="81"/>
            <rFont val="MS P ゴシック"/>
            <family val="3"/>
            <charset val="128"/>
          </rPr>
          <t xml:space="preserve">更新前のデータのDACチェックを行う場合「E」を指定します。
</t>
        </r>
      </text>
    </comment>
    <comment ref="T6" authorId="0" shapeId="0">
      <text>
        <r>
          <rPr>
            <b/>
            <sz val="9"/>
            <color indexed="81"/>
            <rFont val="MS P ゴシック"/>
            <family val="3"/>
            <charset val="128"/>
          </rPr>
          <t xml:space="preserve">更新前のデータのDACチェックを行う場合「E」を指定します。
</t>
        </r>
      </text>
    </comment>
    <comment ref="U6" authorId="0" shapeId="0">
      <text>
        <r>
          <rPr>
            <b/>
            <sz val="9"/>
            <color indexed="81"/>
            <rFont val="MS P ゴシック"/>
            <family val="3"/>
            <charset val="128"/>
          </rPr>
          <t>その他、固有チェック処理がある場合は、内容を記載します。
複数ある場合は、列を分けます</t>
        </r>
      </text>
    </comment>
    <comment ref="B9" authorId="0" shapeId="0">
      <text>
        <r>
          <rPr>
            <b/>
            <sz val="9"/>
            <color indexed="81"/>
            <rFont val="MS P ゴシック"/>
            <family val="3"/>
            <charset val="128"/>
          </rPr>
          <t xml:space="preserve">ブロック名称は、
１文字目大文字２文字目以降半角、
単語の区切りの先頭文字は大文字
を推奨
　　例） Search / ResultList
</t>
        </r>
      </text>
    </comment>
    <comment ref="C9" authorId="0" shapeId="0">
      <text>
        <r>
          <rPr>
            <b/>
            <sz val="9"/>
            <color indexed="81"/>
            <rFont val="MS P ゴシック"/>
            <family val="3"/>
            <charset val="128"/>
          </rPr>
          <t xml:space="preserve">R : Row
L : List （Listクラスを生成しない）
GL : List （Listクラスを生成する）
</t>
        </r>
      </text>
    </comment>
    <comment ref="D9" authorId="0" shapeId="0">
      <text>
        <r>
          <rPr>
            <sz val="9"/>
            <color indexed="81"/>
            <rFont val="MS P ゴシック"/>
            <family val="3"/>
            <charset val="128"/>
          </rPr>
          <t xml:space="preserve">&lt;share&gt;
　コンテナ共有ができる（クラス共有）。
　「super/share」に$share$と記述し
　「対象ブロック」にブロック名を指定する。
　　記述方法）
　　　 オペレーションのブロック指定の場合
　　 　　 OPE:[ModuleID].[LogicID].[OperationID].[BlockID]
       DBコンテナのブロック指定の場合
　　　 　 DBC:[ModuleID].[DBTable名]
　　 　帳票のブロック指定の場合
　　 　　 RPR:[ModuleID].[LogicID].[ReportID].[BlockID]
　※ 先頭の「機能種別」（OPE: / DBC: / RPR:）を省略した場合には
　　　"OPE:"が指定されたものとして自動生成を行う。
&lt;super&gt;
　継承を利用してコンテナを定義する。
　「super/share」に$super$と記述し
　「対象ブロック」に継承するブロック名を指定する。
　　記述方法１ （ID指定）
　　　[機能種別]:[ModuleID].[LogicID].[OperationID].[BlockID]
　　　※ [機能種別]については上の&lt;share&gt;と同様のルール
　　記述方法２ （クラス直接指定）
　　　"[RowのSuperクラスのFullPath]"
　　ブロックが"GL"の場合
　　　"[RowのSuperクラスのFullPath],[ListのSuperクラスのFullPath]"
</t>
        </r>
      </text>
    </comment>
    <comment ref="B11" authorId="0" shapeId="0">
      <text>
        <r>
          <rPr>
            <b/>
            <sz val="9"/>
            <color indexed="81"/>
            <rFont val="MS P ゴシック"/>
            <family val="3"/>
            <charset val="128"/>
          </rPr>
          <t xml:space="preserve">項目名称を記述する。
通常はここで定義された項目名称で
Rowクラスのデータ項目の定義が自動生成される。
&lt;&lt;&lt;カラムパス記述&gt;&gt;&gt;
型が"RI"の項目は項目名カラムパスで記述することで
どの"R"(InnerRow)の内部項目を展開するかを表現する。
記述例
　項目名"iii"で定義されるのInnerRow項目（型"R"）の
　内部項目"xxx"を展開して定義する場合
　　項目名　　 型
　　-------------
　　iii.xxx　　RI
&lt;&lt;&lt;エイリアス定義&gt;&gt;&gt;
型"RI"の項目では、
項目名の後端にエイリアス名（項目別名）を定義できる。
エイリアスを定義することで
Rowクラスのデータ項目の定義がエイリアス名で自動生成される。
記述例
　項目名"iii"のInnerRow項目（型"R"）の内部項目"xxx"の
　"RI"項目に対して"AAA"のエイリアスを定義する場合
　　項目名　　     型
　　-----------------
　　iii.xxx#AAA　　RI
"#"の右側が無記述の場合（エイリアス名称が未定義の場合）には
内部項目の名称がエイリアス名称として定義されます
（上の記述例で"AAA"を省略した場合には、内部項目名"xxx"が
　このRI項目のエイリアス名として定義されます）。
</t>
        </r>
      </text>
    </comment>
    <comment ref="C11" authorId="0" shapeId="0">
      <text>
        <r>
          <rPr>
            <b/>
            <sz val="9"/>
            <color indexed="81"/>
            <rFont val="MS P ゴシック"/>
            <family val="3"/>
            <charset val="128"/>
          </rPr>
          <t xml:space="preserve">＝＝受信電文上り項目定義＝＝
R : 必須の通信項目
E : 通信項目
- : 通信項目ではない
</t>
        </r>
      </text>
    </comment>
    <comment ref="D11" authorId="0" shapeId="0">
      <text>
        <r>
          <rPr>
            <b/>
            <sz val="9"/>
            <color indexed="81"/>
            <rFont val="MS P ゴシック"/>
            <family val="3"/>
            <charset val="128"/>
          </rPr>
          <t>＝＝受信電文下り項目定義＝＝
R : 必須の通信項目
E : 通信項目
- : 通信項目ではない</t>
        </r>
      </text>
    </comment>
  </commentList>
</comments>
</file>

<file path=xl/sharedStrings.xml><?xml version="1.0" encoding="utf-8"?>
<sst xmlns="http://schemas.openxmlformats.org/spreadsheetml/2006/main" count="735" uniqueCount="430">
  <si>
    <t>文書番号</t>
    <rPh sb="0" eb="2">
      <t>ブンショ</t>
    </rPh>
    <rPh sb="2" eb="4">
      <t>バンゴウ</t>
    </rPh>
    <phoneticPr fontId="2"/>
  </si>
  <si>
    <t>Revision</t>
    <phoneticPr fontId="2"/>
  </si>
  <si>
    <t>顧客名</t>
    <rPh sb="0" eb="2">
      <t>コキャク</t>
    </rPh>
    <rPh sb="2" eb="3">
      <t>メイ</t>
    </rPh>
    <phoneticPr fontId="2"/>
  </si>
  <si>
    <t>プロジェクト名</t>
    <rPh sb="6" eb="7">
      <t>メイ</t>
    </rPh>
    <phoneticPr fontId="2"/>
  </si>
  <si>
    <t>分類ID/機能ID</t>
    <rPh sb="0" eb="2">
      <t>ブンルイ</t>
    </rPh>
    <rPh sb="5" eb="7">
      <t>キノウ</t>
    </rPh>
    <phoneticPr fontId="2"/>
  </si>
  <si>
    <t>分類名</t>
    <rPh sb="0" eb="2">
      <t>ブンルイ</t>
    </rPh>
    <rPh sb="2" eb="3">
      <t>メイ</t>
    </rPh>
    <phoneticPr fontId="2"/>
  </si>
  <si>
    <t>機能名</t>
    <rPh sb="0" eb="3">
      <t>キノウメイ</t>
    </rPh>
    <phoneticPr fontId="2"/>
  </si>
  <si>
    <t>システム</t>
    <phoneticPr fontId="2"/>
  </si>
  <si>
    <t>作成者</t>
    <rPh sb="0" eb="3">
      <t>サクセイシャ</t>
    </rPh>
    <phoneticPr fontId="3"/>
  </si>
  <si>
    <t>作成日</t>
    <rPh sb="0" eb="3">
      <t>サクセイビ</t>
    </rPh>
    <phoneticPr fontId="3"/>
  </si>
  <si>
    <t>プロジェクト</t>
    <phoneticPr fontId="2"/>
  </si>
  <si>
    <t>修正者</t>
    <rPh sb="0" eb="2">
      <t>シュウセイ</t>
    </rPh>
    <rPh sb="2" eb="3">
      <t>シャ</t>
    </rPh>
    <phoneticPr fontId="2"/>
  </si>
  <si>
    <t>修正日</t>
    <rPh sb="0" eb="2">
      <t>シュウセイ</t>
    </rPh>
    <rPh sb="2" eb="3">
      <t>ビ</t>
    </rPh>
    <phoneticPr fontId="2"/>
  </si>
  <si>
    <t>Rev.</t>
  </si>
  <si>
    <t>機能ID</t>
    <rPh sb="0" eb="2">
      <t>キノウ</t>
    </rPh>
    <phoneticPr fontId="2"/>
  </si>
  <si>
    <t>機能名</t>
    <rPh sb="0" eb="2">
      <t>キノウ</t>
    </rPh>
    <rPh sb="2" eb="3">
      <t>メイ</t>
    </rPh>
    <phoneticPr fontId="2"/>
  </si>
  <si>
    <t>システム</t>
    <phoneticPr fontId="2"/>
  </si>
  <si>
    <t>サブシステム</t>
    <phoneticPr fontId="2"/>
  </si>
  <si>
    <t>作成者</t>
    <rPh sb="0" eb="3">
      <t>サクセイシャ</t>
    </rPh>
    <phoneticPr fontId="2"/>
  </si>
  <si>
    <t>作成日</t>
    <rPh sb="0" eb="3">
      <t>サクセイビ</t>
    </rPh>
    <phoneticPr fontId="2"/>
  </si>
  <si>
    <t>Rev</t>
    <phoneticPr fontId="2"/>
  </si>
  <si>
    <t>分類ID</t>
    <rPh sb="0" eb="2">
      <t>ブンルイ</t>
    </rPh>
    <phoneticPr fontId="2"/>
  </si>
  <si>
    <t>Version</t>
    <phoneticPr fontId="2"/>
  </si>
  <si>
    <t>※ここを変更してください</t>
    <rPh sb="4" eb="6">
      <t>ヘンコウ</t>
    </rPh>
    <phoneticPr fontId="2"/>
  </si>
  <si>
    <t>来歴</t>
    <rPh sb="0" eb="2">
      <t>ライレキ</t>
    </rPh>
    <phoneticPr fontId="2"/>
  </si>
  <si>
    <t>変更内容及び変更理由</t>
    <rPh sb="0" eb="2">
      <t>ヘンコウ</t>
    </rPh>
    <rPh sb="2" eb="4">
      <t>ナイヨウ</t>
    </rPh>
    <rPh sb="4" eb="5">
      <t>オヨ</t>
    </rPh>
    <rPh sb="6" eb="8">
      <t>ヘンコウ</t>
    </rPh>
    <rPh sb="8" eb="10">
      <t>リユウ</t>
    </rPh>
    <phoneticPr fontId="2"/>
  </si>
  <si>
    <t>最終更新者</t>
    <rPh sb="0" eb="2">
      <t>サイシュウ</t>
    </rPh>
    <rPh sb="2" eb="5">
      <t>コウシンシャ</t>
    </rPh>
    <phoneticPr fontId="2"/>
  </si>
  <si>
    <t>最終更新日</t>
    <rPh sb="0" eb="2">
      <t>サイシュウ</t>
    </rPh>
    <rPh sb="2" eb="5">
      <t>コウシンビ</t>
    </rPh>
    <phoneticPr fontId="2"/>
  </si>
  <si>
    <t>備考</t>
    <rPh sb="0" eb="2">
      <t>ビコウ</t>
    </rPh>
    <phoneticPr fontId="2"/>
  </si>
  <si>
    <t>項目名</t>
    <rPh sb="0" eb="2">
      <t>コウモク</t>
    </rPh>
    <rPh sb="2" eb="3">
      <t>メイ</t>
    </rPh>
    <phoneticPr fontId="2"/>
  </si>
  <si>
    <t>No</t>
    <phoneticPr fontId="2"/>
  </si>
  <si>
    <t>機能概要</t>
    <rPh sb="2" eb="4">
      <t>ガイヨウ</t>
    </rPh>
    <phoneticPr fontId="2"/>
  </si>
  <si>
    <t>1. 機能概要</t>
    <rPh sb="3" eb="5">
      <t>キノウ</t>
    </rPh>
    <rPh sb="5" eb="7">
      <t>ガイヨウ</t>
    </rPh>
    <phoneticPr fontId="2"/>
  </si>
  <si>
    <t>入力</t>
    <rPh sb="0" eb="2">
      <t>ニュウリョク</t>
    </rPh>
    <phoneticPr fontId="2"/>
  </si>
  <si>
    <t>処理</t>
    <rPh sb="0" eb="2">
      <t>ショリ</t>
    </rPh>
    <phoneticPr fontId="2"/>
  </si>
  <si>
    <t>出力</t>
    <rPh sb="0" eb="2">
      <t>シュツリョク</t>
    </rPh>
    <phoneticPr fontId="2"/>
  </si>
  <si>
    <t>ｻﾌﾞｼｽﾃﾑ</t>
    <phoneticPr fontId="2"/>
  </si>
  <si>
    <t>確認者</t>
    <rPh sb="0" eb="2">
      <t>カクニン</t>
    </rPh>
    <rPh sb="2" eb="3">
      <t>シャ</t>
    </rPh>
    <phoneticPr fontId="2"/>
  </si>
  <si>
    <t>承認者</t>
    <rPh sb="0" eb="2">
      <t>ショウニン</t>
    </rPh>
    <rPh sb="2" eb="3">
      <t>シャ</t>
    </rPh>
    <phoneticPr fontId="2"/>
  </si>
  <si>
    <t>責任者</t>
    <rPh sb="0" eb="3">
      <t>セキニンシャ</t>
    </rPh>
    <phoneticPr fontId="2"/>
  </si>
  <si>
    <t>内容</t>
    <rPh sb="0" eb="2">
      <t>ナイヨウ</t>
    </rPh>
    <phoneticPr fontId="2"/>
  </si>
  <si>
    <t>会社名</t>
    <rPh sb="0" eb="2">
      <t>カイシャ</t>
    </rPh>
    <rPh sb="2" eb="3">
      <t>メイ</t>
    </rPh>
    <phoneticPr fontId="2"/>
  </si>
  <si>
    <t>3. カスタマイズ要件/アドオン要件</t>
    <rPh sb="9" eb="11">
      <t>ヨウケン</t>
    </rPh>
    <rPh sb="16" eb="18">
      <t>ヨウケン</t>
    </rPh>
    <phoneticPr fontId="2"/>
  </si>
  <si>
    <t>承認票</t>
    <rPh sb="0" eb="2">
      <t>ショウニン</t>
    </rPh>
    <rPh sb="2" eb="3">
      <t>ヒョウ</t>
    </rPh>
    <phoneticPr fontId="2"/>
  </si>
  <si>
    <t>システム</t>
    <phoneticPr fontId="2"/>
  </si>
  <si>
    <t>プロジェクト</t>
    <phoneticPr fontId="2"/>
  </si>
  <si>
    <t>新規作成</t>
    <rPh sb="0" eb="4">
      <t>シンキサクセイ</t>
    </rPh>
    <phoneticPr fontId="2"/>
  </si>
  <si>
    <t>計算値</t>
    <rPh sb="0" eb="3">
      <t>ケイサンチ</t>
    </rPh>
    <phoneticPr fontId="2"/>
  </si>
  <si>
    <t>東洋ﾋﾞｼﾞﾈｽｴﾝｼﾞﾆｱﾘﾝｸﾞ㈱</t>
    <rPh sb="0" eb="2">
      <t>トウヨウ</t>
    </rPh>
    <phoneticPr fontId="2"/>
  </si>
  <si>
    <t>新基幹システム構築プロジェクト</t>
    <phoneticPr fontId="2"/>
  </si>
  <si>
    <t>NO</t>
    <phoneticPr fontId="2"/>
  </si>
  <si>
    <t>新業務機能展開表</t>
    <rPh sb="0" eb="3">
      <t>シンギョウム</t>
    </rPh>
    <rPh sb="3" eb="5">
      <t>キノウ</t>
    </rPh>
    <rPh sb="5" eb="7">
      <t>テンカイ</t>
    </rPh>
    <rPh sb="7" eb="8">
      <t>ヒョウ</t>
    </rPh>
    <phoneticPr fontId="2"/>
  </si>
  <si>
    <t>分類</t>
    <rPh sb="0" eb="2">
      <t>ブンルイ</t>
    </rPh>
    <phoneticPr fontId="2"/>
  </si>
  <si>
    <t>項目番号</t>
    <rPh sb="0" eb="2">
      <t>コウモク</t>
    </rPh>
    <rPh sb="2" eb="4">
      <t>バンゴウ</t>
    </rPh>
    <phoneticPr fontId="2"/>
  </si>
  <si>
    <t>SCM</t>
    <phoneticPr fontId="2"/>
  </si>
  <si>
    <t>初物</t>
    <rPh sb="0" eb="2">
      <t>ハツモノ</t>
    </rPh>
    <phoneticPr fontId="2"/>
  </si>
  <si>
    <t>品目</t>
    <rPh sb="0" eb="2">
      <t>ヒンモク</t>
    </rPh>
    <phoneticPr fontId="2"/>
  </si>
  <si>
    <t>品名</t>
    <rPh sb="0" eb="2">
      <t>ヒンメイ</t>
    </rPh>
    <phoneticPr fontId="2"/>
  </si>
  <si>
    <t>ロットＮＯ</t>
    <phoneticPr fontId="2"/>
  </si>
  <si>
    <t>会社名</t>
  </si>
  <si>
    <t>帳票バージョン</t>
    <phoneticPr fontId="2"/>
  </si>
  <si>
    <t>帳票バージョン</t>
    <rPh sb="0" eb="2">
      <t>チョウヒョウ</t>
    </rPh>
    <phoneticPr fontId="2"/>
  </si>
  <si>
    <t>単位名</t>
    <rPh sb="0" eb="2">
      <t>タンイ</t>
    </rPh>
    <rPh sb="2" eb="3">
      <t>メイ</t>
    </rPh>
    <phoneticPr fontId="2"/>
  </si>
  <si>
    <t>・</t>
    <phoneticPr fontId="2"/>
  </si>
  <si>
    <t>回付ルート１</t>
    <phoneticPr fontId="2"/>
  </si>
  <si>
    <t>回付ルート１</t>
    <rPh sb="0" eb="2">
      <t>カイフ</t>
    </rPh>
    <phoneticPr fontId="2"/>
  </si>
  <si>
    <t>品質管理</t>
    <rPh sb="0" eb="2">
      <t>ヒンシツ</t>
    </rPh>
    <rPh sb="2" eb="4">
      <t>カンリ</t>
    </rPh>
    <phoneticPr fontId="2"/>
  </si>
  <si>
    <t>・</t>
    <phoneticPr fontId="2"/>
  </si>
  <si>
    <t>mcframe7</t>
    <phoneticPr fontId="2"/>
  </si>
  <si>
    <t>仕入先名</t>
    <rPh sb="0" eb="2">
      <t>シイレ</t>
    </rPh>
    <rPh sb="2" eb="3">
      <t>サキ</t>
    </rPh>
    <rPh sb="3" eb="4">
      <t>メイ</t>
    </rPh>
    <phoneticPr fontId="2"/>
  </si>
  <si>
    <t>数量</t>
    <rPh sb="0" eb="2">
      <t>スウリョウ</t>
    </rPh>
    <phoneticPr fontId="2"/>
  </si>
  <si>
    <t>数量単位</t>
    <rPh sb="0" eb="2">
      <t>スウリョウ</t>
    </rPh>
    <rPh sb="2" eb="4">
      <t>タンイ</t>
    </rPh>
    <phoneticPr fontId="2"/>
  </si>
  <si>
    <t>生産</t>
    <rPh sb="0" eb="2">
      <t>セイサン</t>
    </rPh>
    <phoneticPr fontId="2"/>
  </si>
  <si>
    <t>10</t>
    <phoneticPr fontId="2"/>
  </si>
  <si>
    <t>個口数</t>
    <rPh sb="0" eb="1">
      <t>コ</t>
    </rPh>
    <rPh sb="1" eb="2">
      <t>グチ</t>
    </rPh>
    <rPh sb="2" eb="3">
      <t>スウ</t>
    </rPh>
    <phoneticPr fontId="2"/>
  </si>
  <si>
    <t>購入仕様書ＮＯ</t>
    <rPh sb="0" eb="2">
      <t>コウニュウ</t>
    </rPh>
    <rPh sb="2" eb="5">
      <t>シヨウショ</t>
    </rPh>
    <phoneticPr fontId="2"/>
  </si>
  <si>
    <t>入数のマスタ設定において、割り切れない値となる入数の設定は発生しない。</t>
    <rPh sb="13" eb="14">
      <t>ワ</t>
    </rPh>
    <rPh sb="15" eb="16">
      <t>キ</t>
    </rPh>
    <rPh sb="19" eb="20">
      <t>アタイ</t>
    </rPh>
    <rPh sb="23" eb="25">
      <t>イリスウ</t>
    </rPh>
    <rPh sb="26" eb="28">
      <t>セッテイ</t>
    </rPh>
    <rPh sb="29" eb="31">
      <t>ハッセイ</t>
    </rPh>
    <phoneticPr fontId="2"/>
  </si>
  <si>
    <t>想定する設定例：</t>
    <rPh sb="0" eb="2">
      <t>ソウテイ</t>
    </rPh>
    <rPh sb="4" eb="6">
      <t>セッテイ</t>
    </rPh>
    <rPh sb="6" eb="7">
      <t>レイ</t>
    </rPh>
    <phoneticPr fontId="2"/>
  </si>
  <si>
    <t>換算数量：10本</t>
    <rPh sb="0" eb="2">
      <t>カンサン</t>
    </rPh>
    <rPh sb="2" eb="4">
      <t>スウリョウ</t>
    </rPh>
    <rPh sb="7" eb="8">
      <t>ポン</t>
    </rPh>
    <phoneticPr fontId="2"/>
  </si>
  <si>
    <t>換算基準数量：1箱</t>
    <rPh sb="0" eb="2">
      <t>カンサン</t>
    </rPh>
    <rPh sb="2" eb="4">
      <t>キジュン</t>
    </rPh>
    <rPh sb="4" eb="6">
      <t>スウリョウ</t>
    </rPh>
    <rPh sb="8" eb="9">
      <t>ハコ</t>
    </rPh>
    <phoneticPr fontId="2"/>
  </si>
  <si>
    <t>入数：10本</t>
    <rPh sb="0" eb="2">
      <t>イリスウ</t>
    </rPh>
    <rPh sb="5" eb="6">
      <t>ポン</t>
    </rPh>
    <phoneticPr fontId="2"/>
  </si>
  <si>
    <t>発生を想定しない設定例：</t>
    <rPh sb="0" eb="2">
      <t>ハッセイ</t>
    </rPh>
    <rPh sb="3" eb="5">
      <t>ソウテイ</t>
    </rPh>
    <rPh sb="8" eb="10">
      <t>セッテイ</t>
    </rPh>
    <rPh sb="10" eb="11">
      <t>レイ</t>
    </rPh>
    <phoneticPr fontId="2"/>
  </si>
  <si>
    <t>換算基準数量：3箱</t>
    <rPh sb="0" eb="2">
      <t>カンサン</t>
    </rPh>
    <rPh sb="2" eb="4">
      <t>キジュン</t>
    </rPh>
    <rPh sb="4" eb="6">
      <t>スウリョウ</t>
    </rPh>
    <rPh sb="8" eb="9">
      <t>ハコ</t>
    </rPh>
    <phoneticPr fontId="2"/>
  </si>
  <si>
    <t>入数：3.33333…本</t>
    <rPh sb="0" eb="2">
      <t>イリスウ</t>
    </rPh>
    <rPh sb="11" eb="12">
      <t>ポン</t>
    </rPh>
    <phoneticPr fontId="2"/>
  </si>
  <si>
    <t>受入検査判定(合格)</t>
    <rPh sb="0" eb="2">
      <t>ウケイレ</t>
    </rPh>
    <rPh sb="2" eb="4">
      <t>ケンサ</t>
    </rPh>
    <rPh sb="4" eb="6">
      <t>ハンテイ</t>
    </rPh>
    <rPh sb="7" eb="9">
      <t>ゴウカク</t>
    </rPh>
    <phoneticPr fontId="2"/>
  </si>
  <si>
    <t>受入検査判定(日付)</t>
    <rPh sb="0" eb="2">
      <t>ウケイレ</t>
    </rPh>
    <rPh sb="2" eb="4">
      <t>ケンサ</t>
    </rPh>
    <rPh sb="4" eb="6">
      <t>ハンテイ</t>
    </rPh>
    <rPh sb="7" eb="9">
      <t>ヒヅケ</t>
    </rPh>
    <phoneticPr fontId="2"/>
  </si>
  <si>
    <t>複数ロットを一括で印刷する場合は、品目・ロットNO順で出力する。</t>
    <rPh sb="0" eb="2">
      <t>フクスウ</t>
    </rPh>
    <rPh sb="6" eb="8">
      <t>イッカツ</t>
    </rPh>
    <rPh sb="9" eb="11">
      <t>インサツ</t>
    </rPh>
    <rPh sb="13" eb="15">
      <t>バアイ</t>
    </rPh>
    <rPh sb="17" eb="19">
      <t>ヒンモク</t>
    </rPh>
    <rPh sb="25" eb="26">
      <t>ジュン</t>
    </rPh>
    <rPh sb="27" eb="29">
      <t>シュツリョク</t>
    </rPh>
    <phoneticPr fontId="2"/>
  </si>
  <si>
    <t>(品目単位マスタの換算数量÷換算基準数量の結果は必ず割り切れる設定とし、割り切れない設定がされた場合の動作は考慮しない。)</t>
    <rPh sb="36" eb="37">
      <t>ワ</t>
    </rPh>
    <rPh sb="38" eb="39">
      <t>キ</t>
    </rPh>
    <rPh sb="42" eb="44">
      <t>セッテイ</t>
    </rPh>
    <rPh sb="48" eb="50">
      <t>バアイ</t>
    </rPh>
    <rPh sb="51" eb="53">
      <t>ドウサ</t>
    </rPh>
    <rPh sb="54" eb="56">
      <t>コウリョ</t>
    </rPh>
    <phoneticPr fontId="2"/>
  </si>
  <si>
    <t>内部レビュー指摘修正</t>
    <rPh sb="0" eb="2">
      <t>ナイブ</t>
    </rPh>
    <rPh sb="6" eb="8">
      <t>シテキ</t>
    </rPh>
    <rPh sb="8" eb="10">
      <t>シュウセイ</t>
    </rPh>
    <phoneticPr fontId="2"/>
  </si>
  <si>
    <t>MSBF</t>
    <phoneticPr fontId="2"/>
  </si>
  <si>
    <t>検査指図をもとに部材現品票をラベルプリンタで出力する。</t>
    <rPh sb="0" eb="2">
      <t>ケンサ</t>
    </rPh>
    <rPh sb="2" eb="4">
      <t>サシズ</t>
    </rPh>
    <rPh sb="8" eb="10">
      <t>ブザイ</t>
    </rPh>
    <rPh sb="10" eb="12">
      <t>ゲンピン</t>
    </rPh>
    <rPh sb="12" eb="13">
      <t>ヒョウ</t>
    </rPh>
    <rPh sb="22" eb="24">
      <t>シュツリョク</t>
    </rPh>
    <phoneticPr fontId="2"/>
  </si>
  <si>
    <t>入荷数</t>
    <rPh sb="0" eb="2">
      <t>ニュウカ</t>
    </rPh>
    <rPh sb="2" eb="3">
      <t>スウ</t>
    </rPh>
    <phoneticPr fontId="2"/>
  </si>
  <si>
    <t>入荷日</t>
    <rPh sb="0" eb="2">
      <t>ニュウカ</t>
    </rPh>
    <rPh sb="2" eb="3">
      <t>ビ</t>
    </rPh>
    <phoneticPr fontId="2"/>
  </si>
  <si>
    <t>・</t>
    <phoneticPr fontId="2"/>
  </si>
  <si>
    <t>未検査、または、不良の場合は出力しない。</t>
    <rPh sb="0" eb="3">
      <t>ミケンサ</t>
    </rPh>
    <rPh sb="8" eb="10">
      <t>フリョウ</t>
    </rPh>
    <rPh sb="11" eb="13">
      <t>バアイ</t>
    </rPh>
    <rPh sb="14" eb="16">
      <t>シュツリョク</t>
    </rPh>
    <phoneticPr fontId="2"/>
  </si>
  <si>
    <t>・</t>
    <phoneticPr fontId="2"/>
  </si>
  <si>
    <t>初物として検査した分のみ初物マークを表示する。</t>
    <rPh sb="0" eb="2">
      <t>ハツモノ</t>
    </rPh>
    <rPh sb="5" eb="7">
      <t>ケンサ</t>
    </rPh>
    <rPh sb="9" eb="10">
      <t>ブン</t>
    </rPh>
    <rPh sb="12" eb="14">
      <t>ハツモノ</t>
    </rPh>
    <rPh sb="18" eb="20">
      <t>ヒョウジ</t>
    </rPh>
    <phoneticPr fontId="2"/>
  </si>
  <si>
    <t>・</t>
    <phoneticPr fontId="2"/>
  </si>
  <si>
    <t>個口数算出時の丸め処理に関するマスタ設定において、小数部有効桁数はゼロ、端数処理区分は切上げを設定する。(他の設定の場合の動作は保証しない。)</t>
    <rPh sb="0" eb="1">
      <t>コ</t>
    </rPh>
    <rPh sb="1" eb="2">
      <t>グチ</t>
    </rPh>
    <rPh sb="2" eb="3">
      <t>スウ</t>
    </rPh>
    <rPh sb="3" eb="5">
      <t>サンシュツ</t>
    </rPh>
    <rPh sb="5" eb="6">
      <t>ジ</t>
    </rPh>
    <rPh sb="7" eb="8">
      <t>マル</t>
    </rPh>
    <rPh sb="9" eb="11">
      <t>ショリ</t>
    </rPh>
    <rPh sb="12" eb="13">
      <t>カン</t>
    </rPh>
    <rPh sb="18" eb="20">
      <t>セッテイ</t>
    </rPh>
    <rPh sb="43" eb="45">
      <t>キリア</t>
    </rPh>
    <rPh sb="47" eb="49">
      <t>セッテイ</t>
    </rPh>
    <rPh sb="53" eb="54">
      <t>タ</t>
    </rPh>
    <rPh sb="55" eb="57">
      <t>セッテイ</t>
    </rPh>
    <rPh sb="58" eb="60">
      <t>バアイ</t>
    </rPh>
    <rPh sb="61" eb="63">
      <t>ドウサ</t>
    </rPh>
    <rPh sb="64" eb="66">
      <t>ホショウ</t>
    </rPh>
    <phoneticPr fontId="2"/>
  </si>
  <si>
    <t>同一品目で複数件初物フラグがONになっている検査指図がある場合は、品質管理システムから検査実績がインタフェースされた際に検査承認日が一番早い検査指図のみを初物とする。</t>
    <rPh sb="5" eb="7">
      <t>フクスウ</t>
    </rPh>
    <rPh sb="7" eb="8">
      <t>ケン</t>
    </rPh>
    <rPh sb="8" eb="10">
      <t>ハツモノ</t>
    </rPh>
    <rPh sb="22" eb="24">
      <t>ケンサ</t>
    </rPh>
    <rPh sb="24" eb="26">
      <t>サシズ</t>
    </rPh>
    <rPh sb="29" eb="31">
      <t>バアイ</t>
    </rPh>
    <rPh sb="33" eb="35">
      <t>ヒンシツ</t>
    </rPh>
    <rPh sb="35" eb="37">
      <t>カンリ</t>
    </rPh>
    <rPh sb="43" eb="45">
      <t>ケンサ</t>
    </rPh>
    <rPh sb="45" eb="47">
      <t>ジッセキ</t>
    </rPh>
    <rPh sb="58" eb="59">
      <t>サイ</t>
    </rPh>
    <rPh sb="60" eb="62">
      <t>ケンサ</t>
    </rPh>
    <rPh sb="62" eb="64">
      <t>ショウニン</t>
    </rPh>
    <rPh sb="64" eb="65">
      <t>ビ</t>
    </rPh>
    <rPh sb="66" eb="68">
      <t>イチバン</t>
    </rPh>
    <rPh sb="68" eb="69">
      <t>ハヤ</t>
    </rPh>
    <rPh sb="70" eb="72">
      <t>ケンサ</t>
    </rPh>
    <rPh sb="72" eb="74">
      <t>サシズ</t>
    </rPh>
    <rPh sb="77" eb="79">
      <t>ハツモノ</t>
    </rPh>
    <phoneticPr fontId="2"/>
  </si>
  <si>
    <t>入荷日時</t>
    <rPh sb="0" eb="2">
      <t>ニュウカ</t>
    </rPh>
    <rPh sb="2" eb="4">
      <t>ニチジ</t>
    </rPh>
    <phoneticPr fontId="2"/>
  </si>
  <si>
    <t>1回の出力で(入荷数÷入数※小数点以下切上げ)枚分出力する。</t>
    <rPh sb="1" eb="2">
      <t>カイ</t>
    </rPh>
    <rPh sb="3" eb="5">
      <t>シュツリョク</t>
    </rPh>
    <rPh sb="7" eb="9">
      <t>ニュウカ</t>
    </rPh>
    <rPh sb="9" eb="10">
      <t>スウ</t>
    </rPh>
    <rPh sb="11" eb="13">
      <t>イリスウ</t>
    </rPh>
    <rPh sb="14" eb="17">
      <t>ショウスウテン</t>
    </rPh>
    <rPh sb="17" eb="19">
      <t>イカ</t>
    </rPh>
    <rPh sb="19" eb="21">
      <t>キリア</t>
    </rPh>
    <rPh sb="23" eb="24">
      <t>マイ</t>
    </rPh>
    <rPh sb="24" eb="25">
      <t>ブン</t>
    </rPh>
    <rPh sb="25" eb="27">
      <t>シュツリョク</t>
    </rPh>
    <phoneticPr fontId="2"/>
  </si>
  <si>
    <t>・初物の場合は、初物マークをつける。</t>
    <phoneticPr fontId="2"/>
  </si>
  <si>
    <t>・アドオン</t>
    <phoneticPr fontId="2"/>
  </si>
  <si>
    <t>Lot №</t>
    <phoneticPr fontId="2"/>
  </si>
  <si>
    <t>購入仕様書№</t>
    <rPh sb="0" eb="2">
      <t>コウニュウ</t>
    </rPh>
    <rPh sb="2" eb="5">
      <t>シヨウショ</t>
    </rPh>
    <phoneticPr fontId="2"/>
  </si>
  <si>
    <t>・</t>
    <phoneticPr fontId="2"/>
  </si>
  <si>
    <t>特段記載のない限り、マスタ参照時の適用日は、検査実績ヘッダの判定日を使用する。</t>
    <rPh sb="0" eb="2">
      <t>トクダン</t>
    </rPh>
    <rPh sb="2" eb="4">
      <t>キサイ</t>
    </rPh>
    <rPh sb="7" eb="8">
      <t>カギ</t>
    </rPh>
    <rPh sb="13" eb="15">
      <t>サンショウ</t>
    </rPh>
    <rPh sb="15" eb="16">
      <t>ジ</t>
    </rPh>
    <rPh sb="17" eb="19">
      <t>テキヨウ</t>
    </rPh>
    <rPh sb="19" eb="20">
      <t>ビ</t>
    </rPh>
    <rPh sb="22" eb="24">
      <t>ケンサ</t>
    </rPh>
    <rPh sb="24" eb="26">
      <t>ジッセキ</t>
    </rPh>
    <rPh sb="30" eb="32">
      <t>ハンテイ</t>
    </rPh>
    <rPh sb="32" eb="33">
      <t>ビ</t>
    </rPh>
    <phoneticPr fontId="2"/>
  </si>
  <si>
    <t>6/13のユーザ再レビューの指摘点を反映</t>
    <rPh sb="8" eb="9">
      <t>サイ</t>
    </rPh>
    <rPh sb="14" eb="17">
      <t>シテキテン</t>
    </rPh>
    <rPh sb="18" eb="20">
      <t>ハンエイ</t>
    </rPh>
    <phoneticPr fontId="2"/>
  </si>
  <si>
    <t>5/25のユーザレビュー指摘点を反映</t>
    <rPh sb="12" eb="14">
      <t>シテキ</t>
    </rPh>
    <rPh sb="14" eb="15">
      <t>テン</t>
    </rPh>
    <rPh sb="16" eb="18">
      <t>ハンエイ</t>
    </rPh>
    <phoneticPr fontId="2"/>
  </si>
  <si>
    <t>入荷数単位</t>
    <rPh sb="0" eb="2">
      <t>ニュウカ</t>
    </rPh>
    <rPh sb="2" eb="3">
      <t>スウ</t>
    </rPh>
    <rPh sb="3" eb="5">
      <t>タンイ</t>
    </rPh>
    <phoneticPr fontId="2"/>
  </si>
  <si>
    <t>7/19の品質管理Ｇの検査関連機能の基本設計レビューの指摘点を反映(発行済/未発行の管理、プレビューなしを追加)</t>
    <rPh sb="5" eb="7">
      <t>ヒンシツ</t>
    </rPh>
    <rPh sb="7" eb="9">
      <t>カンリ</t>
    </rPh>
    <rPh sb="11" eb="13">
      <t>ケンサ</t>
    </rPh>
    <rPh sb="13" eb="15">
      <t>カンレン</t>
    </rPh>
    <rPh sb="15" eb="17">
      <t>キノウ</t>
    </rPh>
    <rPh sb="18" eb="20">
      <t>キホン</t>
    </rPh>
    <rPh sb="20" eb="22">
      <t>セッケイ</t>
    </rPh>
    <rPh sb="27" eb="29">
      <t>シテキ</t>
    </rPh>
    <rPh sb="29" eb="30">
      <t>テン</t>
    </rPh>
    <rPh sb="31" eb="33">
      <t>ハンエイ</t>
    </rPh>
    <rPh sb="34" eb="36">
      <t>ハッコウ</t>
    </rPh>
    <rPh sb="36" eb="37">
      <t>スミ</t>
    </rPh>
    <rPh sb="38" eb="41">
      <t>ミハッコウ</t>
    </rPh>
    <rPh sb="42" eb="44">
      <t>カンリ</t>
    </rPh>
    <rPh sb="53" eb="55">
      <t>ツイカ</t>
    </rPh>
    <phoneticPr fontId="2"/>
  </si>
  <si>
    <t>・</t>
    <phoneticPr fontId="2"/>
  </si>
  <si>
    <t>・</t>
    <phoneticPr fontId="2"/>
  </si>
  <si>
    <t>発行時に検査予定の現品票発行済ＦＬＧを"1"に更新する。</t>
    <rPh sb="0" eb="2">
      <t>ハッコウ</t>
    </rPh>
    <rPh sb="2" eb="3">
      <t>ジ</t>
    </rPh>
    <rPh sb="4" eb="6">
      <t>ケンサ</t>
    </rPh>
    <rPh sb="6" eb="8">
      <t>ヨテイ</t>
    </rPh>
    <rPh sb="9" eb="12">
      <t>ゲンピンヒョウ</t>
    </rPh>
    <rPh sb="23" eb="25">
      <t>コウシン</t>
    </rPh>
    <phoneticPr fontId="2"/>
  </si>
  <si>
    <t>特定のページのみ再発行したい場合は、PDFでプレビュー表示しPDF側でページを選択し印刷する。</t>
    <rPh sb="0" eb="2">
      <t>トクテイ</t>
    </rPh>
    <rPh sb="8" eb="11">
      <t>サイハッコウ</t>
    </rPh>
    <rPh sb="14" eb="16">
      <t>バアイ</t>
    </rPh>
    <rPh sb="27" eb="29">
      <t>ヒョウジ</t>
    </rPh>
    <rPh sb="33" eb="34">
      <t>ガワ</t>
    </rPh>
    <rPh sb="39" eb="41">
      <t>センタク</t>
    </rPh>
    <rPh sb="42" eb="44">
      <t>インサツ</t>
    </rPh>
    <phoneticPr fontId="2"/>
  </si>
  <si>
    <t>基本設計フェーズ成果物として納品</t>
    <rPh sb="0" eb="2">
      <t>キホン</t>
    </rPh>
    <rPh sb="2" eb="4">
      <t>セッケイ</t>
    </rPh>
    <phoneticPr fontId="2"/>
  </si>
  <si>
    <t>発行可否のチェック(検査済かつ良品)は出力元機能側に設ける。</t>
    <rPh sb="0" eb="2">
      <t>ハッコウ</t>
    </rPh>
    <rPh sb="2" eb="4">
      <t>カヒ</t>
    </rPh>
    <rPh sb="10" eb="12">
      <t>ケンサ</t>
    </rPh>
    <rPh sb="12" eb="13">
      <t>スミ</t>
    </rPh>
    <rPh sb="15" eb="17">
      <t>リョウヒン</t>
    </rPh>
    <rPh sb="19" eb="21">
      <t>シュツリョク</t>
    </rPh>
    <rPh sb="21" eb="22">
      <t>モト</t>
    </rPh>
    <rPh sb="22" eb="24">
      <t>キノウ</t>
    </rPh>
    <rPh sb="24" eb="25">
      <t>ガワ</t>
    </rPh>
    <rPh sb="26" eb="27">
      <t>モウ</t>
    </rPh>
    <phoneticPr fontId="2"/>
  </si>
  <si>
    <t>ここまで基本設計成果物として記載</t>
    <rPh sb="4" eb="6">
      <t>キホン</t>
    </rPh>
    <rPh sb="6" eb="8">
      <t>セッケイ</t>
    </rPh>
    <rPh sb="8" eb="11">
      <t>セイカブツ</t>
    </rPh>
    <rPh sb="14" eb="16">
      <t>キサイ</t>
    </rPh>
    <phoneticPr fontId="2"/>
  </si>
  <si>
    <t>処理詳細</t>
    <rPh sb="2" eb="4">
      <t>ショウサイ</t>
    </rPh>
    <phoneticPr fontId="2"/>
  </si>
  <si>
    <t>プロジェクト</t>
    <phoneticPr fontId="2"/>
  </si>
  <si>
    <t>ｻﾌﾞｼｽﾃﾑ</t>
    <phoneticPr fontId="2"/>
  </si>
  <si>
    <t>C/S</t>
    <phoneticPr fontId="2"/>
  </si>
  <si>
    <t>S</t>
    <phoneticPr fontId="2"/>
  </si>
  <si>
    <t>SQLID</t>
    <phoneticPr fontId="2"/>
  </si>
  <si>
    <t>：</t>
  </si>
  <si>
    <t>■抽出項目</t>
    <rPh sb="1" eb="3">
      <t>チュウシュツ</t>
    </rPh>
    <rPh sb="3" eb="5">
      <t>コウモク</t>
    </rPh>
    <phoneticPr fontId="2"/>
  </si>
  <si>
    <t>種別</t>
    <rPh sb="0" eb="2">
      <t>シュベツ</t>
    </rPh>
    <phoneticPr fontId="2"/>
  </si>
  <si>
    <t>設定値</t>
    <rPh sb="0" eb="2">
      <t>セッテイ</t>
    </rPh>
    <rPh sb="2" eb="3">
      <t>アタイ</t>
    </rPh>
    <phoneticPr fontId="2"/>
  </si>
  <si>
    <t>追加</t>
    <rPh sb="0" eb="2">
      <t>ツイカ</t>
    </rPh>
    <phoneticPr fontId="2"/>
  </si>
  <si>
    <t>品目ＣＤ</t>
    <rPh sb="0" eb="2">
      <t>ヒンモク</t>
    </rPh>
    <phoneticPr fontId="2"/>
  </si>
  <si>
    <t>■抽出対象テーブル</t>
    <rPh sb="1" eb="3">
      <t>チュウシュツ</t>
    </rPh>
    <rPh sb="3" eb="5">
      <t>タイショウ</t>
    </rPh>
    <phoneticPr fontId="2"/>
  </si>
  <si>
    <t>■抽出条件</t>
    <rPh sb="1" eb="5">
      <t>チュウシュツジョウケン</t>
    </rPh>
    <phoneticPr fontId="2"/>
  </si>
  <si>
    <t>[出力対象リスト]</t>
    <rPh sb="1" eb="3">
      <t>シュツリョク</t>
    </rPh>
    <rPh sb="3" eb="5">
      <t>タイショウ</t>
    </rPh>
    <phoneticPr fontId="2"/>
  </si>
  <si>
    <t>設定値</t>
    <rPh sb="0" eb="2">
      <t>セッテイ</t>
    </rPh>
    <rPh sb="2" eb="3">
      <t>チ</t>
    </rPh>
    <phoneticPr fontId="2"/>
  </si>
  <si>
    <t>2</t>
    <phoneticPr fontId="2"/>
  </si>
  <si>
    <t>SVF定義</t>
    <rPh sb="3" eb="5">
      <t>テイギ</t>
    </rPh>
    <phoneticPr fontId="2"/>
  </si>
  <si>
    <t>ブロック名</t>
    <rPh sb="4" eb="5">
      <t>メイ</t>
    </rPh>
    <phoneticPr fontId="1"/>
  </si>
  <si>
    <t>システム</t>
    <phoneticPr fontId="2"/>
  </si>
  <si>
    <t>Cnd</t>
    <phoneticPr fontId="2"/>
  </si>
  <si>
    <t>帳票発行対象となる棚卸年月日を指定する。</t>
    <rPh sb="0" eb="2">
      <t>チョウヒョウ</t>
    </rPh>
    <rPh sb="2" eb="4">
      <t>ハッコウ</t>
    </rPh>
    <rPh sb="4" eb="6">
      <t>タイショウ</t>
    </rPh>
    <rPh sb="9" eb="11">
      <t>タナオロシ</t>
    </rPh>
    <rPh sb="11" eb="14">
      <t>ネンガッピ</t>
    </rPh>
    <rPh sb="15" eb="17">
      <t>シテイ</t>
    </rPh>
    <phoneticPr fontId="2"/>
  </si>
  <si>
    <t>検査ＮＯ</t>
    <rPh sb="0" eb="2">
      <t>ケンサ</t>
    </rPh>
    <phoneticPr fontId="16"/>
  </si>
  <si>
    <t>検査開始日時</t>
    <rPh sb="0" eb="2">
      <t>ケンサ</t>
    </rPh>
    <rPh sb="2" eb="4">
      <t>カイシ</t>
    </rPh>
    <rPh sb="4" eb="6">
      <t>ニチジ</t>
    </rPh>
    <phoneticPr fontId="2"/>
  </si>
  <si>
    <t>検査指図 T1</t>
    <rPh sb="0" eb="2">
      <t>ケンサ</t>
    </rPh>
    <rPh sb="2" eb="4">
      <t>サシズ</t>
    </rPh>
    <phoneticPr fontId="2"/>
  </si>
  <si>
    <t>検査予定　T2</t>
    <rPh sb="0" eb="2">
      <t>ケンサ</t>
    </rPh>
    <rPh sb="2" eb="4">
      <t>ヨテイ</t>
    </rPh>
    <phoneticPr fontId="2"/>
  </si>
  <si>
    <t>検査実績ヘッダ T3</t>
    <rPh sb="0" eb="2">
      <t>ケンサ</t>
    </rPh>
    <rPh sb="2" eb="4">
      <t>ジッセキ</t>
    </rPh>
    <phoneticPr fontId="2"/>
  </si>
  <si>
    <t>入荷実績 T4</t>
    <rPh sb="0" eb="2">
      <t>ニュウカ</t>
    </rPh>
    <rPh sb="2" eb="4">
      <t>ジッセキ</t>
    </rPh>
    <phoneticPr fontId="2"/>
  </si>
  <si>
    <t>発注明細 T5</t>
    <rPh sb="0" eb="2">
      <t>ハッチュウ</t>
    </rPh>
    <rPh sb="2" eb="4">
      <t>メイサイ</t>
    </rPh>
    <phoneticPr fontId="2"/>
  </si>
  <si>
    <t>品目マスタ M1</t>
    <rPh sb="0" eb="2">
      <t>ヒンモク</t>
    </rPh>
    <phoneticPr fontId="2"/>
  </si>
  <si>
    <t>品目単位マスタ M2</t>
    <rPh sb="0" eb="2">
      <t>ヒンモク</t>
    </rPh>
    <rPh sb="2" eb="4">
      <t>タンイ</t>
    </rPh>
    <phoneticPr fontId="2"/>
  </si>
  <si>
    <t>単位マスタ M3</t>
    <rPh sb="0" eb="2">
      <t>タンイ</t>
    </rPh>
    <phoneticPr fontId="2"/>
  </si>
  <si>
    <t>取引先マスタ M4</t>
    <rPh sb="0" eb="2">
      <t>トリヒキ</t>
    </rPh>
    <rPh sb="2" eb="3">
      <t>サキ</t>
    </rPh>
    <phoneticPr fontId="2"/>
  </si>
  <si>
    <t>汎用マスタ M6</t>
    <rPh sb="0" eb="2">
      <t>ハンヨウ</t>
    </rPh>
    <phoneticPr fontId="2"/>
  </si>
  <si>
    <t>T1.検査ＮＯ = T2.検査ＮＯ</t>
    <rPh sb="3" eb="5">
      <t>ケンサ</t>
    </rPh>
    <rPh sb="13" eb="15">
      <t>ケンサ</t>
    </rPh>
    <phoneticPr fontId="2"/>
  </si>
  <si>
    <t>T1.検査ＮＯ = T3.検査ＮＯ</t>
    <rPh sb="3" eb="5">
      <t>ケンサ</t>
    </rPh>
    <rPh sb="13" eb="15">
      <t>ケンサ</t>
    </rPh>
    <phoneticPr fontId="2"/>
  </si>
  <si>
    <t>T2.作成元ＮＯ４ = T4.入荷実績ＮＯ</t>
    <rPh sb="3" eb="5">
      <t>サクセイ</t>
    </rPh>
    <rPh sb="5" eb="6">
      <t>モト</t>
    </rPh>
    <rPh sb="15" eb="17">
      <t>ニュウカ</t>
    </rPh>
    <rPh sb="17" eb="19">
      <t>ジッセキ</t>
    </rPh>
    <phoneticPr fontId="2"/>
  </si>
  <si>
    <t>T1.作成元ＮＯ１ = T5.発注明細ＮＯ</t>
    <rPh sb="3" eb="5">
      <t>サクセイ</t>
    </rPh>
    <rPh sb="5" eb="6">
      <t>モト</t>
    </rPh>
    <rPh sb="15" eb="17">
      <t>ハッチュウ</t>
    </rPh>
    <rPh sb="17" eb="19">
      <t>メイサイ</t>
    </rPh>
    <phoneticPr fontId="2"/>
  </si>
  <si>
    <t>T1.品目ＣＤ = M1.品目マスタ</t>
    <rPh sb="3" eb="5">
      <t>ヒンモク</t>
    </rPh>
    <rPh sb="13" eb="15">
      <t>ヒンモク</t>
    </rPh>
    <phoneticPr fontId="2"/>
  </si>
  <si>
    <t>T1.枝番１ = M1.枝番１</t>
    <rPh sb="3" eb="4">
      <t>エダ</t>
    </rPh>
    <rPh sb="4" eb="5">
      <t>バン</t>
    </rPh>
    <rPh sb="12" eb="13">
      <t>エダ</t>
    </rPh>
    <rPh sb="13" eb="14">
      <t>バン</t>
    </rPh>
    <phoneticPr fontId="2"/>
  </si>
  <si>
    <t>T1.枝番２ = M1.枝番２</t>
    <rPh sb="3" eb="4">
      <t>エダ</t>
    </rPh>
    <rPh sb="4" eb="5">
      <t>バン</t>
    </rPh>
    <rPh sb="12" eb="13">
      <t>エダ</t>
    </rPh>
    <rPh sb="13" eb="14">
      <t>バン</t>
    </rPh>
    <phoneticPr fontId="2"/>
  </si>
  <si>
    <t>T1.枝番３ = M1.枝番３</t>
    <rPh sb="3" eb="4">
      <t>エダ</t>
    </rPh>
    <rPh sb="4" eb="5">
      <t>バン</t>
    </rPh>
    <rPh sb="12" eb="13">
      <t>エダ</t>
    </rPh>
    <rPh sb="13" eb="14">
      <t>バン</t>
    </rPh>
    <phoneticPr fontId="2"/>
  </si>
  <si>
    <t>M1.品目ＣＤ = M2.品目ＣＤ</t>
    <rPh sb="3" eb="5">
      <t>ヒンモク</t>
    </rPh>
    <rPh sb="13" eb="15">
      <t>ヒンモク</t>
    </rPh>
    <phoneticPr fontId="2"/>
  </si>
  <si>
    <t>M1.枝番１ = M2.枝番１</t>
    <rPh sb="3" eb="4">
      <t>エダ</t>
    </rPh>
    <rPh sb="4" eb="5">
      <t>バン</t>
    </rPh>
    <rPh sb="12" eb="13">
      <t>エダ</t>
    </rPh>
    <rPh sb="13" eb="14">
      <t>バン</t>
    </rPh>
    <phoneticPr fontId="2"/>
  </si>
  <si>
    <t>M1.枝番２ = M2.枝番２</t>
    <rPh sb="3" eb="4">
      <t>エダ</t>
    </rPh>
    <rPh sb="4" eb="5">
      <t>バン</t>
    </rPh>
    <rPh sb="12" eb="13">
      <t>エダ</t>
    </rPh>
    <rPh sb="13" eb="14">
      <t>バン</t>
    </rPh>
    <phoneticPr fontId="2"/>
  </si>
  <si>
    <t>M1.枝番３ = M2.枝番３</t>
    <rPh sb="3" eb="4">
      <t>エダ</t>
    </rPh>
    <rPh sb="4" eb="5">
      <t>バン</t>
    </rPh>
    <rPh sb="12" eb="13">
      <t>エダ</t>
    </rPh>
    <rPh sb="13" eb="14">
      <t>バン</t>
    </rPh>
    <phoneticPr fontId="2"/>
  </si>
  <si>
    <t>M1.梱包単位ＣＤ = M2.単位ＣＤ</t>
    <rPh sb="3" eb="5">
      <t>コンポウ</t>
    </rPh>
    <rPh sb="5" eb="7">
      <t>タンイ</t>
    </rPh>
    <rPh sb="15" eb="17">
      <t>タンイ</t>
    </rPh>
    <phoneticPr fontId="2"/>
  </si>
  <si>
    <t>T1.基準単位ＣＤ = M3.単位ＣＤ</t>
    <rPh sb="3" eb="5">
      <t>キジュン</t>
    </rPh>
    <rPh sb="5" eb="7">
      <t>タンイ</t>
    </rPh>
    <rPh sb="15" eb="17">
      <t>タンイ</t>
    </rPh>
    <phoneticPr fontId="2"/>
  </si>
  <si>
    <t>T1.発注先ＣＤ = M4.取引先ＣＤ</t>
    <rPh sb="3" eb="5">
      <t>ハッチュウ</t>
    </rPh>
    <rPh sb="5" eb="6">
      <t>サキ</t>
    </rPh>
    <rPh sb="14" eb="16">
      <t>トリヒキ</t>
    </rPh>
    <rPh sb="16" eb="17">
      <t>サキ</t>
    </rPh>
    <phoneticPr fontId="2"/>
  </si>
  <si>
    <t>T1.製造場所ＣＤ = M5.場所ＣＤ</t>
    <rPh sb="3" eb="5">
      <t>セイゾウ</t>
    </rPh>
    <rPh sb="5" eb="7">
      <t>バショ</t>
    </rPh>
    <rPh sb="15" eb="17">
      <t>バショ</t>
    </rPh>
    <phoneticPr fontId="2"/>
  </si>
  <si>
    <t>場所マスタ　M5</t>
    <rPh sb="0" eb="2">
      <t>バショ</t>
    </rPh>
    <phoneticPr fontId="2"/>
  </si>
  <si>
    <t>汎用マスタ M7</t>
    <rPh sb="0" eb="2">
      <t>ハンヨウ</t>
    </rPh>
    <phoneticPr fontId="2"/>
  </si>
  <si>
    <t>M5.ワーキンググループＣＤ = M6.キー２</t>
    <phoneticPr fontId="2"/>
  </si>
  <si>
    <t>M7.文字列６</t>
    <phoneticPr fontId="2"/>
  </si>
  <si>
    <t>M5.ワーキンググループＣＤ = M7.キー１</t>
    <phoneticPr fontId="2"/>
  </si>
  <si>
    <t>M6.文字列１</t>
    <phoneticPr fontId="2"/>
  </si>
  <si>
    <t>M6.文字列２</t>
    <phoneticPr fontId="2"/>
  </si>
  <si>
    <t>T1.品目ＣＤ</t>
    <phoneticPr fontId="2"/>
  </si>
  <si>
    <t>T4.入荷日時</t>
    <rPh sb="3" eb="5">
      <t>ニュウカ</t>
    </rPh>
    <rPh sb="5" eb="7">
      <t>ニチジ</t>
    </rPh>
    <phoneticPr fontId="2"/>
  </si>
  <si>
    <t>M1.品名</t>
    <rPh sb="3" eb="5">
      <t>ヒンメイ</t>
    </rPh>
    <phoneticPr fontId="2"/>
  </si>
  <si>
    <t>T1.ロットＮＯ</t>
    <phoneticPr fontId="2"/>
  </si>
  <si>
    <t>T5.購入仕様書ＮＯ</t>
    <rPh sb="3" eb="5">
      <t>コウニュウ</t>
    </rPh>
    <rPh sb="5" eb="8">
      <t>シヨウショ</t>
    </rPh>
    <phoneticPr fontId="2"/>
  </si>
  <si>
    <t>T1.基準単位数量</t>
    <rPh sb="7" eb="9">
      <t>スウリョウ</t>
    </rPh>
    <phoneticPr fontId="6"/>
  </si>
  <si>
    <t>M2.換算基準数量</t>
    <rPh sb="3" eb="5">
      <t>カンサン</t>
    </rPh>
    <rPh sb="5" eb="7">
      <t>キジュン</t>
    </rPh>
    <rPh sb="7" eb="9">
      <t>スウリョウ</t>
    </rPh>
    <phoneticPr fontId="6"/>
  </si>
  <si>
    <t>M2.換算数量</t>
    <rPh sb="6" eb="7">
      <t>リョウ</t>
    </rPh>
    <phoneticPr fontId="6"/>
  </si>
  <si>
    <t>M3.単位名</t>
    <rPh sb="3" eb="5">
      <t>タンイ</t>
    </rPh>
    <rPh sb="5" eb="6">
      <t>メイ</t>
    </rPh>
    <phoneticPr fontId="2"/>
  </si>
  <si>
    <t>M2.小数部有効桁数</t>
    <phoneticPr fontId="2"/>
  </si>
  <si>
    <t>M2.端数処理区分</t>
    <phoneticPr fontId="2"/>
  </si>
  <si>
    <t>M4.取引先別名3</t>
    <rPh sb="3" eb="5">
      <t>トリヒキ</t>
    </rPh>
    <rPh sb="5" eb="6">
      <t>サキ</t>
    </rPh>
    <rPh sb="6" eb="8">
      <t>ベツメイ</t>
    </rPh>
    <phoneticPr fontId="2"/>
  </si>
  <si>
    <t>T3.検査開始日時</t>
    <rPh sb="3" eb="5">
      <t>ケンサ</t>
    </rPh>
    <rPh sb="5" eb="7">
      <t>カイシ</t>
    </rPh>
    <rPh sb="7" eb="9">
      <t>ニチジ</t>
    </rPh>
    <phoneticPr fontId="2"/>
  </si>
  <si>
    <t>換算基準数量</t>
    <rPh sb="0" eb="2">
      <t>カンサン</t>
    </rPh>
    <rPh sb="2" eb="4">
      <t>キジュン</t>
    </rPh>
    <rPh sb="4" eb="6">
      <t>スウリョウ</t>
    </rPh>
    <phoneticPr fontId="2"/>
  </si>
  <si>
    <t>換算数量</t>
    <rPh sb="0" eb="2">
      <t>カンサン</t>
    </rPh>
    <rPh sb="2" eb="4">
      <t>スウリョウ</t>
    </rPh>
    <phoneticPr fontId="2"/>
  </si>
  <si>
    <t>小数部有効桁数</t>
    <rPh sb="0" eb="3">
      <t>ショウスウブ</t>
    </rPh>
    <rPh sb="3" eb="5">
      <t>ユウコウ</t>
    </rPh>
    <rPh sb="5" eb="7">
      <t>ケタスウ</t>
    </rPh>
    <phoneticPr fontId="2"/>
  </si>
  <si>
    <t>端数処理区分</t>
    <rPh sb="0" eb="2">
      <t>ハスウ</t>
    </rPh>
    <rPh sb="2" eb="4">
      <t>ショリ</t>
    </rPh>
    <rPh sb="4" eb="6">
      <t>クブン</t>
    </rPh>
    <phoneticPr fontId="2"/>
  </si>
  <si>
    <t>取引先別名</t>
    <rPh sb="0" eb="2">
      <t>トリヒキ</t>
    </rPh>
    <rPh sb="2" eb="3">
      <t>サキ</t>
    </rPh>
    <rPh sb="3" eb="5">
      <t>ベツメイ</t>
    </rPh>
    <phoneticPr fontId="2"/>
  </si>
  <si>
    <t>T1.検査ＮＯ = [上り電文]「検査ＮＯ」</t>
    <rPh sb="3" eb="5">
      <t>ケンサ</t>
    </rPh>
    <rPh sb="11" eb="12">
      <t>ノボ</t>
    </rPh>
    <rPh sb="13" eb="15">
      <t>デンブン</t>
    </rPh>
    <rPh sb="17" eb="19">
      <t>ケンサ</t>
    </rPh>
    <phoneticPr fontId="2"/>
  </si>
  <si>
    <t>M6.キー１＝"MSBFRA020"</t>
    <phoneticPr fontId="2"/>
  </si>
  <si>
    <t>[検査指図情報リスト]</t>
    <rPh sb="1" eb="3">
      <t>ケンサ</t>
    </rPh>
    <rPh sb="3" eb="5">
      <t>サシズ</t>
    </rPh>
    <rPh sb="5" eb="7">
      <t>ジョウホウ</t>
    </rPh>
    <phoneticPr fontId="2"/>
  </si>
  <si>
    <t>1.</t>
    <phoneticPr fontId="2"/>
  </si>
  <si>
    <t>[上り電文]「エラーＦＬＧ」をオンに設定する。</t>
    <phoneticPr fontId="2"/>
  </si>
  <si>
    <t>1.1</t>
    <phoneticPr fontId="2"/>
  </si>
  <si>
    <t>&lt;ループ&gt;[上り電文]のレコードごとに【検査指図】の存在チェックを行う。</t>
    <phoneticPr fontId="2"/>
  </si>
  <si>
    <t>1.2</t>
    <phoneticPr fontId="2"/>
  </si>
  <si>
    <t>処理対象データ抽出</t>
    <rPh sb="0" eb="2">
      <t>ショリ</t>
    </rPh>
    <rPh sb="2" eb="4">
      <t>タイショウ</t>
    </rPh>
    <rPh sb="7" eb="9">
      <t>チュウシュツ</t>
    </rPh>
    <phoneticPr fontId="2"/>
  </si>
  <si>
    <t>&lt;条件&gt;【検査指図】が存在しない場合、メッセージリストにメッセージを格納し、</t>
    <phoneticPr fontId="2"/>
  </si>
  <si>
    <t>[上り電文]から「エラーＦＬＧ」がオフのレコードを処理対象データとして抽出する。</t>
    <rPh sb="1" eb="2">
      <t>ノボ</t>
    </rPh>
    <rPh sb="3" eb="5">
      <t>デンブン</t>
    </rPh>
    <rPh sb="25" eb="27">
      <t>ショリ</t>
    </rPh>
    <rPh sb="27" eb="29">
      <t>タイショウ</t>
    </rPh>
    <rPh sb="35" eb="37">
      <t>チュウシュツ</t>
    </rPh>
    <phoneticPr fontId="2"/>
  </si>
  <si>
    <t>[正常リスト]</t>
    <rPh sb="1" eb="3">
      <t>セイジョウ</t>
    </rPh>
    <phoneticPr fontId="2"/>
  </si>
  <si>
    <t>[上り電文]</t>
    <rPh sb="1" eb="2">
      <t>ノボ</t>
    </rPh>
    <rPh sb="3" eb="5">
      <t>デンブン</t>
    </rPh>
    <phoneticPr fontId="2"/>
  </si>
  <si>
    <t>[正常リスト]を元に【検査指図】を取得する。</t>
    <rPh sb="1" eb="3">
      <t>セイジョウ</t>
    </rPh>
    <rPh sb="8" eb="9">
      <t>モト</t>
    </rPh>
    <rPh sb="11" eb="13">
      <t>ケンサ</t>
    </rPh>
    <rPh sb="13" eb="15">
      <t>サシズ</t>
    </rPh>
    <rPh sb="17" eb="19">
      <t>シュトク</t>
    </rPh>
    <phoneticPr fontId="2"/>
  </si>
  <si>
    <t>[コピーリスト]</t>
    <phoneticPr fontId="2"/>
  </si>
  <si>
    <t>「入数」=[検査指図情報リスト]「換算数量」÷[検査指図情報リスト]「換算基準数量」</t>
    <rPh sb="1" eb="2">
      <t>イ</t>
    </rPh>
    <rPh sb="2" eb="3">
      <t>スウ</t>
    </rPh>
    <rPh sb="6" eb="8">
      <t>ケンサ</t>
    </rPh>
    <rPh sb="8" eb="10">
      <t>サシズ</t>
    </rPh>
    <rPh sb="10" eb="12">
      <t>ジョウホウ</t>
    </rPh>
    <rPh sb="17" eb="19">
      <t>カンサン</t>
    </rPh>
    <rPh sb="19" eb="21">
      <t>スウリョウ</t>
    </rPh>
    <rPh sb="24" eb="26">
      <t>ケンサ</t>
    </rPh>
    <rPh sb="26" eb="28">
      <t>サシズ</t>
    </rPh>
    <rPh sb="28" eb="30">
      <t>ジョウホウ</t>
    </rPh>
    <rPh sb="35" eb="37">
      <t>カンサン</t>
    </rPh>
    <rPh sb="37" eb="39">
      <t>キジュン</t>
    </rPh>
    <rPh sb="39" eb="41">
      <t>スウリョウ</t>
    </rPh>
    <phoneticPr fontId="2"/>
  </si>
  <si>
    <t>※分割計算処理は切捨で行う。</t>
    <rPh sb="1" eb="3">
      <t>ブンカツ</t>
    </rPh>
    <rPh sb="3" eb="5">
      <t>ケイサン</t>
    </rPh>
    <rPh sb="5" eb="7">
      <t>ショリ</t>
    </rPh>
    <rPh sb="8" eb="9">
      <t>キ</t>
    </rPh>
    <rPh sb="9" eb="10">
      <t>ス</t>
    </rPh>
    <rPh sb="11" eb="12">
      <t>オコナ</t>
    </rPh>
    <phoneticPr fontId="2"/>
  </si>
  <si>
    <t>換算数量を換算基準数量で分割し、「入数」を算出する。</t>
    <rPh sb="0" eb="2">
      <t>カンサン</t>
    </rPh>
    <rPh sb="2" eb="4">
      <t>スウリョウ</t>
    </rPh>
    <rPh sb="5" eb="7">
      <t>カンサン</t>
    </rPh>
    <rPh sb="7" eb="9">
      <t>キジュン</t>
    </rPh>
    <rPh sb="9" eb="11">
      <t>スウリョウ</t>
    </rPh>
    <rPh sb="12" eb="14">
      <t>ブンカツ</t>
    </rPh>
    <rPh sb="17" eb="18">
      <t>イ</t>
    </rPh>
    <rPh sb="18" eb="19">
      <t>スウ</t>
    </rPh>
    <rPh sb="21" eb="23">
      <t>サンシュツ</t>
    </rPh>
    <phoneticPr fontId="2"/>
  </si>
  <si>
    <t>個口数</t>
    <rPh sb="0" eb="1">
      <t>コ</t>
    </rPh>
    <rPh sb="1" eb="3">
      <t>クチカズ</t>
    </rPh>
    <phoneticPr fontId="2"/>
  </si>
  <si>
    <t>個口数</t>
    <rPh sb="0" eb="1">
      <t>コ</t>
    </rPh>
    <rPh sb="1" eb="2">
      <t>クチ</t>
    </rPh>
    <rPh sb="2" eb="3">
      <t>スウ</t>
    </rPh>
    <phoneticPr fontId="2"/>
  </si>
  <si>
    <t>入数</t>
    <rPh sb="0" eb="1">
      <t>イ</t>
    </rPh>
    <rPh sb="1" eb="2">
      <t>スウ</t>
    </rPh>
    <phoneticPr fontId="2"/>
  </si>
  <si>
    <t>"1"</t>
    <phoneticPr fontId="2"/>
  </si>
  <si>
    <t>「個口数」 = 「入荷数」÷「入数」</t>
    <rPh sb="1" eb="2">
      <t>コ</t>
    </rPh>
    <rPh sb="2" eb="3">
      <t>クチ</t>
    </rPh>
    <rPh sb="3" eb="4">
      <t>スウ</t>
    </rPh>
    <rPh sb="9" eb="11">
      <t>ニュウカ</t>
    </rPh>
    <rPh sb="11" eb="12">
      <t>スウ</t>
    </rPh>
    <rPh sb="15" eb="16">
      <t>イ</t>
    </rPh>
    <rPh sb="16" eb="17">
      <t>スウ</t>
    </rPh>
    <phoneticPr fontId="2"/>
  </si>
  <si>
    <t>＜条件&gt;「入数」&gt;「入荷数」の場合、下記設定を行う。</t>
    <rPh sb="1" eb="3">
      <t>ジョウケン</t>
    </rPh>
    <rPh sb="5" eb="6">
      <t>イ</t>
    </rPh>
    <rPh sb="6" eb="7">
      <t>スウ</t>
    </rPh>
    <rPh sb="10" eb="12">
      <t>ニュウカ</t>
    </rPh>
    <rPh sb="12" eb="13">
      <t>スウ</t>
    </rPh>
    <rPh sb="18" eb="20">
      <t>カキ</t>
    </rPh>
    <rPh sb="20" eb="22">
      <t>セッテイ</t>
    </rPh>
    <rPh sb="23" eb="24">
      <t>オコナ</t>
    </rPh>
    <phoneticPr fontId="2"/>
  </si>
  <si>
    <t>「個口数」に"1"、「数量」に「入荷数」を設定する。</t>
    <rPh sb="1" eb="2">
      <t>コ</t>
    </rPh>
    <rPh sb="2" eb="3">
      <t>クチ</t>
    </rPh>
    <rPh sb="3" eb="4">
      <t>スウ</t>
    </rPh>
    <rPh sb="11" eb="13">
      <t>スウリョウ</t>
    </rPh>
    <rPh sb="16" eb="18">
      <t>ニュウカ</t>
    </rPh>
    <rPh sb="18" eb="19">
      <t>スウ</t>
    </rPh>
    <rPh sb="21" eb="23">
      <t>セッテイ</t>
    </rPh>
    <phoneticPr fontId="2"/>
  </si>
  <si>
    <t>&lt;条件&gt;「入数」≦「入荷数」かつ、「入荷数」を「入数」で分割した余りが"0"の場合</t>
    <rPh sb="1" eb="3">
      <t>ジョウケン</t>
    </rPh>
    <rPh sb="5" eb="6">
      <t>イ</t>
    </rPh>
    <rPh sb="6" eb="7">
      <t>スウ</t>
    </rPh>
    <rPh sb="10" eb="12">
      <t>ニュウカ</t>
    </rPh>
    <rPh sb="12" eb="13">
      <t>スウ</t>
    </rPh>
    <rPh sb="18" eb="20">
      <t>ニュウカ</t>
    </rPh>
    <rPh sb="20" eb="21">
      <t>スウ</t>
    </rPh>
    <rPh sb="24" eb="25">
      <t>イ</t>
    </rPh>
    <rPh sb="25" eb="26">
      <t>スウ</t>
    </rPh>
    <rPh sb="28" eb="30">
      <t>ブンカツ</t>
    </rPh>
    <rPh sb="32" eb="33">
      <t>アマ</t>
    </rPh>
    <rPh sb="39" eb="41">
      <t>バアイ</t>
    </rPh>
    <phoneticPr fontId="2"/>
  </si>
  <si>
    <t>「個口数」 = （「入荷数」-「余り」）÷「入数」＋1</t>
    <rPh sb="1" eb="2">
      <t>コ</t>
    </rPh>
    <rPh sb="2" eb="4">
      <t>クチカズ</t>
    </rPh>
    <rPh sb="10" eb="12">
      <t>ニュウカ</t>
    </rPh>
    <rPh sb="12" eb="13">
      <t>スウ</t>
    </rPh>
    <rPh sb="16" eb="17">
      <t>アマ</t>
    </rPh>
    <rPh sb="22" eb="23">
      <t>イ</t>
    </rPh>
    <rPh sb="23" eb="24">
      <t>スウ</t>
    </rPh>
    <phoneticPr fontId="2"/>
  </si>
  <si>
    <t>②</t>
    <phoneticPr fontId="2"/>
  </si>
  <si>
    <t>①</t>
    <phoneticPr fontId="2"/>
  </si>
  <si>
    <t>下記計算を行い、レコードに項目を設定する。</t>
    <phoneticPr fontId="2"/>
  </si>
  <si>
    <t>計算した「余り」を用いて、下記計算、設定を行う。</t>
    <phoneticPr fontId="2"/>
  </si>
  <si>
    <t>※[コピーリスト]が存在しない場合、新規に作成する。</t>
    <rPh sb="10" eb="12">
      <t>ソンザイ</t>
    </rPh>
    <rPh sb="15" eb="17">
      <t>バアイ</t>
    </rPh>
    <rPh sb="18" eb="20">
      <t>シンキ</t>
    </rPh>
    <rPh sb="21" eb="23">
      <t>サクセイ</t>
    </rPh>
    <phoneticPr fontId="2"/>
  </si>
  <si>
    <t>その際、[コピーリスト]に下記設定を行う。</t>
    <phoneticPr fontId="2"/>
  </si>
  <si>
    <t>※[コピーリスト]が存在しない場合、新規に作成する。</t>
    <phoneticPr fontId="2"/>
  </si>
  <si>
    <t>コピーした最終行の場合、「余り」</t>
    <rPh sb="5" eb="7">
      <t>サイシュウ</t>
    </rPh>
    <rPh sb="7" eb="8">
      <t>ギョウ</t>
    </rPh>
    <rPh sb="9" eb="11">
      <t>バアイ</t>
    </rPh>
    <rPh sb="13" eb="14">
      <t>アマ</t>
    </rPh>
    <phoneticPr fontId="2"/>
  </si>
  <si>
    <t>&lt;ループ&gt;[検査指図情報リスト]のレコードごとに下記処理を行う。</t>
    <rPh sb="6" eb="8">
      <t>ケンサ</t>
    </rPh>
    <rPh sb="8" eb="10">
      <t>サシズ</t>
    </rPh>
    <rPh sb="10" eb="12">
      <t>ジョウホウ</t>
    </rPh>
    <rPh sb="24" eb="26">
      <t>カキ</t>
    </rPh>
    <rPh sb="26" eb="28">
      <t>ショリ</t>
    </rPh>
    <rPh sb="29" eb="30">
      <t>オコナ</t>
    </rPh>
    <phoneticPr fontId="2"/>
  </si>
  <si>
    <t>上記2.2の処理で作成した[コピーリスト]を「検査指図情報リスト]に追加する。</t>
    <rPh sb="0" eb="2">
      <t>ジョウキ</t>
    </rPh>
    <rPh sb="6" eb="8">
      <t>ショリ</t>
    </rPh>
    <rPh sb="9" eb="11">
      <t>サクセイ</t>
    </rPh>
    <rPh sb="23" eb="25">
      <t>ケンサ</t>
    </rPh>
    <rPh sb="25" eb="27">
      <t>サシズ</t>
    </rPh>
    <rPh sb="27" eb="29">
      <t>ジョウホウ</t>
    </rPh>
    <rPh sb="34" eb="36">
      <t>ツイカ</t>
    </rPh>
    <phoneticPr fontId="2"/>
  </si>
  <si>
    <t>[検査指図情報リスト]</t>
    <phoneticPr fontId="2"/>
  </si>
  <si>
    <t>3.</t>
    <phoneticPr fontId="2"/>
  </si>
  <si>
    <t>検査ＮＯ</t>
    <rPh sb="0" eb="2">
      <t>ケンサ</t>
    </rPh>
    <phoneticPr fontId="2"/>
  </si>
  <si>
    <t>T1.検査ＮＯ</t>
    <rPh sb="3" eb="5">
      <t>ケンサ</t>
    </rPh>
    <phoneticPr fontId="2"/>
  </si>
  <si>
    <t>個口数番号</t>
    <rPh sb="0" eb="1">
      <t>コ</t>
    </rPh>
    <rPh sb="1" eb="2">
      <t>クチ</t>
    </rPh>
    <rPh sb="2" eb="3">
      <t>スウ</t>
    </rPh>
    <rPh sb="3" eb="5">
      <t>バンゴウ</t>
    </rPh>
    <phoneticPr fontId="2"/>
  </si>
  <si>
    <t>１からの連番</t>
    <rPh sb="4" eb="6">
      <t>レンバン</t>
    </rPh>
    <phoneticPr fontId="2"/>
  </si>
  <si>
    <t>Lot №</t>
  </si>
  <si>
    <t>[検査指図情報リスト]「品目ＣＤ」</t>
    <rPh sb="1" eb="3">
      <t>ケンサ</t>
    </rPh>
    <rPh sb="3" eb="5">
      <t>サシズ</t>
    </rPh>
    <rPh sb="5" eb="7">
      <t>ジョウホウ</t>
    </rPh>
    <rPh sb="12" eb="14">
      <t>ヒンモク</t>
    </rPh>
    <phoneticPr fontId="2"/>
  </si>
  <si>
    <t>[検査指図情報リスト]「入荷日」</t>
    <rPh sb="1" eb="3">
      <t>ケンサ</t>
    </rPh>
    <rPh sb="3" eb="5">
      <t>サシズ</t>
    </rPh>
    <rPh sb="5" eb="7">
      <t>ジョウホウ</t>
    </rPh>
    <rPh sb="12" eb="14">
      <t>ニュウカ</t>
    </rPh>
    <rPh sb="14" eb="15">
      <t>ビ</t>
    </rPh>
    <phoneticPr fontId="2"/>
  </si>
  <si>
    <t>[検査指図情報リスト]「品名」</t>
    <rPh sb="1" eb="3">
      <t>ケンサ</t>
    </rPh>
    <rPh sb="3" eb="5">
      <t>サシズ</t>
    </rPh>
    <rPh sb="5" eb="7">
      <t>ジョウホウ</t>
    </rPh>
    <rPh sb="12" eb="14">
      <t>ヒンメイ</t>
    </rPh>
    <phoneticPr fontId="2"/>
  </si>
  <si>
    <t>[検査指図情報リスト]「ロットＮＯ」</t>
    <rPh sb="1" eb="3">
      <t>ケンサ</t>
    </rPh>
    <rPh sb="3" eb="5">
      <t>サシズ</t>
    </rPh>
    <rPh sb="5" eb="7">
      <t>ジョウホウ</t>
    </rPh>
    <phoneticPr fontId="2"/>
  </si>
  <si>
    <t>[検査指図情報リスト]「購入仕様書ＮＯ」</t>
    <rPh sb="1" eb="3">
      <t>ケンサ</t>
    </rPh>
    <rPh sb="3" eb="5">
      <t>サシズ</t>
    </rPh>
    <rPh sb="5" eb="7">
      <t>ジョウホウ</t>
    </rPh>
    <rPh sb="12" eb="14">
      <t>コウニュウ</t>
    </rPh>
    <rPh sb="14" eb="17">
      <t>シヨウショ</t>
    </rPh>
    <phoneticPr fontId="2"/>
  </si>
  <si>
    <t>[検査指図情報リスト]「数量」</t>
    <rPh sb="1" eb="3">
      <t>ケンサ</t>
    </rPh>
    <rPh sb="3" eb="5">
      <t>サシズ</t>
    </rPh>
    <rPh sb="5" eb="7">
      <t>ジョウホウ</t>
    </rPh>
    <rPh sb="12" eb="14">
      <t>スウリョウ</t>
    </rPh>
    <phoneticPr fontId="2"/>
  </si>
  <si>
    <t>[検査指図情報リスト]「単位名」</t>
    <rPh sb="1" eb="3">
      <t>ケンサ</t>
    </rPh>
    <rPh sb="3" eb="5">
      <t>サシズ</t>
    </rPh>
    <rPh sb="5" eb="7">
      <t>ジョウホウ</t>
    </rPh>
    <rPh sb="12" eb="14">
      <t>タンイ</t>
    </rPh>
    <rPh sb="14" eb="15">
      <t>メイ</t>
    </rPh>
    <phoneticPr fontId="2"/>
  </si>
  <si>
    <t>[検査指図情報リスト]「初物」</t>
    <rPh sb="1" eb="3">
      <t>ケンサ</t>
    </rPh>
    <rPh sb="3" eb="5">
      <t>サシズ</t>
    </rPh>
    <rPh sb="5" eb="7">
      <t>ジョウホウ</t>
    </rPh>
    <rPh sb="12" eb="14">
      <t>ハツモノ</t>
    </rPh>
    <phoneticPr fontId="2"/>
  </si>
  <si>
    <t>T2.初物ＦＬＧがオフの場合、NULL</t>
    <rPh sb="3" eb="5">
      <t>ハツモノ</t>
    </rPh>
    <rPh sb="12" eb="14">
      <t>バアイ</t>
    </rPh>
    <phoneticPr fontId="2"/>
  </si>
  <si>
    <t>T2.初物ＦＬＧがオンの場合、"初物"</t>
    <rPh sb="3" eb="5">
      <t>ハツモノ</t>
    </rPh>
    <rPh sb="12" eb="14">
      <t>バアイ</t>
    </rPh>
    <rPh sb="16" eb="18">
      <t>ハツモノ</t>
    </rPh>
    <phoneticPr fontId="2"/>
  </si>
  <si>
    <t>[検査指図情報リスト]「個口数」</t>
    <rPh sb="1" eb="3">
      <t>ケンサ</t>
    </rPh>
    <rPh sb="3" eb="5">
      <t>サシズ</t>
    </rPh>
    <rPh sb="5" eb="7">
      <t>ジョウホウ</t>
    </rPh>
    <phoneticPr fontId="2"/>
  </si>
  <si>
    <t>[検査指図情報リスト]「入荷数」</t>
    <rPh sb="1" eb="3">
      <t>ケンサ</t>
    </rPh>
    <rPh sb="3" eb="5">
      <t>サシズ</t>
    </rPh>
    <rPh sb="5" eb="7">
      <t>ジョウホウ</t>
    </rPh>
    <phoneticPr fontId="2"/>
  </si>
  <si>
    <t>[検査指図情報リスト]「仕入先名」</t>
    <rPh sb="1" eb="3">
      <t>ケンサ</t>
    </rPh>
    <rPh sb="3" eb="5">
      <t>サシズ</t>
    </rPh>
    <rPh sb="5" eb="7">
      <t>ジョウホウ</t>
    </rPh>
    <phoneticPr fontId="2"/>
  </si>
  <si>
    <t>[検査指図情報リスト]「検査開始日時」</t>
    <rPh sb="1" eb="3">
      <t>ケンサ</t>
    </rPh>
    <rPh sb="3" eb="5">
      <t>サシズ</t>
    </rPh>
    <rPh sb="5" eb="7">
      <t>ジョウホウ</t>
    </rPh>
    <rPh sb="12" eb="14">
      <t>ケンサ</t>
    </rPh>
    <rPh sb="14" eb="16">
      <t>カイシ</t>
    </rPh>
    <rPh sb="16" eb="18">
      <t>ニチジ</t>
    </rPh>
    <phoneticPr fontId="2"/>
  </si>
  <si>
    <t>[検査指図情報リスト]「帳票バージョン」</t>
    <rPh sb="1" eb="3">
      <t>ケンサ</t>
    </rPh>
    <rPh sb="3" eb="5">
      <t>サシズ</t>
    </rPh>
    <rPh sb="5" eb="7">
      <t>ジョウホウ</t>
    </rPh>
    <rPh sb="12" eb="14">
      <t>チョウヒョウ</t>
    </rPh>
    <phoneticPr fontId="2"/>
  </si>
  <si>
    <t>[検査指図情報リスト]「会社名」</t>
    <rPh sb="1" eb="3">
      <t>ケンサ</t>
    </rPh>
    <rPh sb="3" eb="5">
      <t>サシズ</t>
    </rPh>
    <rPh sb="5" eb="7">
      <t>ジョウホウ</t>
    </rPh>
    <rPh sb="12" eb="15">
      <t>カイシャメイ</t>
    </rPh>
    <phoneticPr fontId="2"/>
  </si>
  <si>
    <t>[検査指図情報リスト]「回付ルート１」</t>
    <rPh sb="1" eb="3">
      <t>ケンサ</t>
    </rPh>
    <rPh sb="3" eb="5">
      <t>サシズ</t>
    </rPh>
    <rPh sb="5" eb="7">
      <t>ジョウホウ</t>
    </rPh>
    <rPh sb="12" eb="14">
      <t>カイフ</t>
    </rPh>
    <phoneticPr fontId="2"/>
  </si>
  <si>
    <t>-</t>
    <phoneticPr fontId="2"/>
  </si>
  <si>
    <t>■切り取り部１</t>
    <rPh sb="1" eb="2">
      <t>キ</t>
    </rPh>
    <rPh sb="3" eb="4">
      <t>ト</t>
    </rPh>
    <rPh sb="5" eb="6">
      <t>ブ</t>
    </rPh>
    <phoneticPr fontId="2"/>
  </si>
  <si>
    <t>■切り取り部２</t>
    <rPh sb="1" eb="2">
      <t>キ</t>
    </rPh>
    <rPh sb="3" eb="4">
      <t>ト</t>
    </rPh>
    <rPh sb="5" eb="6">
      <t>ブ</t>
    </rPh>
    <phoneticPr fontId="2"/>
  </si>
  <si>
    <t>[帳票データ_ヘッダ]</t>
    <rPh sb="1" eb="3">
      <t>チョウヒョウ</t>
    </rPh>
    <phoneticPr fontId="2"/>
  </si>
  <si>
    <t>■ヘッダ部</t>
    <rPh sb="4" eb="5">
      <t>ブ</t>
    </rPh>
    <phoneticPr fontId="2"/>
  </si>
  <si>
    <t>[帳票データ_切取１]</t>
    <rPh sb="1" eb="3">
      <t>チョウヒョウ</t>
    </rPh>
    <rPh sb="7" eb="8">
      <t>キ</t>
    </rPh>
    <rPh sb="8" eb="9">
      <t>ト</t>
    </rPh>
    <phoneticPr fontId="2"/>
  </si>
  <si>
    <t>[帳票データ_切取２]</t>
    <rPh sb="1" eb="3">
      <t>チョウヒョウ</t>
    </rPh>
    <rPh sb="7" eb="8">
      <t>キ</t>
    </rPh>
    <rPh sb="8" eb="9">
      <t>ト</t>
    </rPh>
    <phoneticPr fontId="2"/>
  </si>
  <si>
    <t>下記マッピングで[帳票データ]に格納する。</t>
    <phoneticPr fontId="2"/>
  </si>
  <si>
    <t>&lt;ループ&gt;上記2で作成した[検査指図情報リスト]ごとに下記処理を実行する</t>
    <phoneticPr fontId="2"/>
  </si>
  <si>
    <t>レポートセット作成</t>
    <rPh sb="7" eb="9">
      <t>サクセイ</t>
    </rPh>
    <phoneticPr fontId="2"/>
  </si>
  <si>
    <t>[レポートセット]</t>
    <phoneticPr fontId="2"/>
  </si>
  <si>
    <t>3.1.1で作成した[帳票データ_ヘッダ]、[帳票データ_切取１]、[帳票データ_切取２]を</t>
    <rPh sb="11" eb="13">
      <t>チョウヒョウ</t>
    </rPh>
    <rPh sb="29" eb="31">
      <t>キリトリ</t>
    </rPh>
    <rPh sb="41" eb="43">
      <t>キリトリ</t>
    </rPh>
    <phoneticPr fontId="2"/>
  </si>
  <si>
    <t>順不同で[レポートセット]に格納する。</t>
    <phoneticPr fontId="2"/>
  </si>
  <si>
    <t>[帳票データ_切取１]</t>
    <rPh sb="1" eb="3">
      <t>チョウヒョウ</t>
    </rPh>
    <rPh sb="7" eb="9">
      <t>キリトリ</t>
    </rPh>
    <phoneticPr fontId="2"/>
  </si>
  <si>
    <t>[帳票データ_切取２]</t>
    <rPh sb="1" eb="3">
      <t>チョウヒョウ</t>
    </rPh>
    <rPh sb="7" eb="9">
      <t>キリトリ</t>
    </rPh>
    <phoneticPr fontId="2"/>
  </si>
  <si>
    <t>MSBELS200_MST_INSP_INST__SA01</t>
    <phoneticPr fontId="2"/>
  </si>
  <si>
    <t>ＱＲコード作成</t>
    <rPh sb="5" eb="7">
      <t>サクセイ</t>
    </rPh>
    <phoneticPr fontId="2"/>
  </si>
  <si>
    <t>ヘッダ部、切り取り部１、切り取り部２それぞれに、下記項目を利用し、QRコードを作成する。</t>
    <rPh sb="3" eb="4">
      <t>ブ</t>
    </rPh>
    <rPh sb="5" eb="6">
      <t>キ</t>
    </rPh>
    <rPh sb="7" eb="8">
      <t>ト</t>
    </rPh>
    <rPh sb="9" eb="10">
      <t>ブ</t>
    </rPh>
    <rPh sb="12" eb="13">
      <t>キ</t>
    </rPh>
    <rPh sb="14" eb="15">
      <t>ト</t>
    </rPh>
    <rPh sb="16" eb="17">
      <t>ブ</t>
    </rPh>
    <rPh sb="24" eb="26">
      <t>カキ</t>
    </rPh>
    <rPh sb="26" eb="28">
      <t>コウモク</t>
    </rPh>
    <rPh sb="29" eb="31">
      <t>リヨウ</t>
    </rPh>
    <rPh sb="39" eb="41">
      <t>サクセイ</t>
    </rPh>
    <phoneticPr fontId="2"/>
  </si>
  <si>
    <t>区切り文字には","を設定する。</t>
    <rPh sb="0" eb="2">
      <t>クギ</t>
    </rPh>
    <rPh sb="3" eb="5">
      <t>モジ</t>
    </rPh>
    <rPh sb="11" eb="13">
      <t>セッテイ</t>
    </rPh>
    <phoneticPr fontId="2"/>
  </si>
  <si>
    <t>紐付ＮＯ</t>
    <rPh sb="0" eb="1">
      <t>ヒモ</t>
    </rPh>
    <rPh sb="1" eb="2">
      <t>ヅ</t>
    </rPh>
    <phoneticPr fontId="16"/>
  </si>
  <si>
    <t>[上り電文]の内容を[下り電文]に設定する。</t>
    <rPh sb="1" eb="2">
      <t>ノボ</t>
    </rPh>
    <rPh sb="3" eb="5">
      <t>デンブン</t>
    </rPh>
    <rPh sb="7" eb="9">
      <t>ナイヨウ</t>
    </rPh>
    <rPh sb="11" eb="12">
      <t>クダ</t>
    </rPh>
    <rPh sb="13" eb="15">
      <t>デンブン</t>
    </rPh>
    <rPh sb="17" eb="19">
      <t>セッテイ</t>
    </rPh>
    <phoneticPr fontId="2"/>
  </si>
  <si>
    <t>[下り電文]</t>
    <rPh sb="1" eb="2">
      <t>クダ</t>
    </rPh>
    <rPh sb="3" eb="5">
      <t>デンブン</t>
    </rPh>
    <phoneticPr fontId="2"/>
  </si>
  <si>
    <t>それ以外の場合、「入数」</t>
    <rPh sb="2" eb="4">
      <t>イガイ</t>
    </rPh>
    <rPh sb="5" eb="7">
      <t>バアイ</t>
    </rPh>
    <rPh sb="9" eb="10">
      <t>イ</t>
    </rPh>
    <rPh sb="10" eb="11">
      <t>スウ</t>
    </rPh>
    <phoneticPr fontId="2"/>
  </si>
  <si>
    <t>個口数番号</t>
    <rPh sb="0" eb="1">
      <t>コ</t>
    </rPh>
    <rPh sb="1" eb="3">
      <t>クチカズ</t>
    </rPh>
    <rPh sb="3" eb="5">
      <t>バンゴウ</t>
    </rPh>
    <phoneticPr fontId="2"/>
  </si>
  <si>
    <t>NULLの場合"1"</t>
    <rPh sb="5" eb="7">
      <t>バアイ</t>
    </rPh>
    <phoneticPr fontId="2"/>
  </si>
  <si>
    <t>2.1</t>
    <phoneticPr fontId="2"/>
  </si>
  <si>
    <t>2.</t>
    <phoneticPr fontId="2"/>
  </si>
  <si>
    <t>3.1</t>
    <phoneticPr fontId="2"/>
  </si>
  <si>
    <t>3.2.1</t>
    <phoneticPr fontId="2"/>
  </si>
  <si>
    <t>3.2.2</t>
    <phoneticPr fontId="2"/>
  </si>
  <si>
    <t>3.3</t>
    <phoneticPr fontId="2"/>
  </si>
  <si>
    <t>3.4</t>
    <phoneticPr fontId="2"/>
  </si>
  <si>
    <t>4.</t>
    <phoneticPr fontId="2"/>
  </si>
  <si>
    <t>4.1</t>
    <phoneticPr fontId="2"/>
  </si>
  <si>
    <t>4.1.1</t>
    <phoneticPr fontId="2"/>
  </si>
  <si>
    <t>4.1.2</t>
    <phoneticPr fontId="2"/>
  </si>
  <si>
    <t>5.</t>
    <phoneticPr fontId="2"/>
  </si>
  <si>
    <t>6.</t>
    <phoneticPr fontId="2"/>
  </si>
  <si>
    <t>1.</t>
    <phoneticPr fontId="2"/>
  </si>
  <si>
    <t>4で作成した[レポートセット]を元に、帳票出力を行う。</t>
    <rPh sb="2" eb="4">
      <t>サクセイ</t>
    </rPh>
    <rPh sb="16" eb="17">
      <t>モト</t>
    </rPh>
    <rPh sb="19" eb="21">
      <t>チョウヒョウ</t>
    </rPh>
    <rPh sb="21" eb="23">
      <t>シュツリョク</t>
    </rPh>
    <rPh sb="24" eb="25">
      <t>オコナ</t>
    </rPh>
    <phoneticPr fontId="2"/>
  </si>
  <si>
    <t>M6.汎用分類ＣＤ＝ 汎用分類.レポートフッタ</t>
    <rPh sb="11" eb="13">
      <t>ハンヨウ</t>
    </rPh>
    <rPh sb="13" eb="15">
      <t>ブンルイ</t>
    </rPh>
    <phoneticPr fontId="2"/>
  </si>
  <si>
    <t>M7.汎用分類ＣＤ＝ 汎用分類.ワーキンググループ情報</t>
    <rPh sb="11" eb="13">
      <t>ハンヨウ</t>
    </rPh>
    <rPh sb="13" eb="15">
      <t>ブンルイ</t>
    </rPh>
    <rPh sb="25" eb="27">
      <t>ジョウホウ</t>
    </rPh>
    <phoneticPr fontId="2"/>
  </si>
  <si>
    <t>1から連番</t>
    <rPh sb="3" eb="5">
      <t>レンバン</t>
    </rPh>
    <phoneticPr fontId="2"/>
  </si>
  <si>
    <t>1から連番</t>
    <phoneticPr fontId="2"/>
  </si>
  <si>
    <t>[検査指図情報リスト]を「検査ＮＯ」、「個口数番号」をキーにソートする。</t>
    <rPh sb="1" eb="3">
      <t>ケンサ</t>
    </rPh>
    <rPh sb="3" eb="5">
      <t>サシズ</t>
    </rPh>
    <rPh sb="5" eb="7">
      <t>ジョウホウ</t>
    </rPh>
    <rPh sb="13" eb="15">
      <t>ケンサ</t>
    </rPh>
    <rPh sb="20" eb="21">
      <t>コ</t>
    </rPh>
    <rPh sb="21" eb="23">
      <t>クチカズ</t>
    </rPh>
    <rPh sb="23" eb="25">
      <t>バンゴウ</t>
    </rPh>
    <phoneticPr fontId="2"/>
  </si>
  <si>
    <t>&lt;条件&gt;「入数」≦「入荷数」かつ、「入荷数」を「入数」で分割した余りが"0"以外の場合</t>
    <rPh sb="10" eb="12">
      <t>ニュウカ</t>
    </rPh>
    <rPh sb="12" eb="13">
      <t>スウ</t>
    </rPh>
    <rPh sb="18" eb="20">
      <t>ニュウカ</t>
    </rPh>
    <rPh sb="20" eb="21">
      <t>スウ</t>
    </rPh>
    <rPh sb="38" eb="40">
      <t>イガイ</t>
    </rPh>
    <rPh sb="41" eb="43">
      <t>バアイ</t>
    </rPh>
    <phoneticPr fontId="2"/>
  </si>
  <si>
    <t>&lt;ループ&gt;「個口数」-1の数だけレコードをコピーし、[コピーリスト]に追加する。</t>
    <rPh sb="6" eb="7">
      <t>コ</t>
    </rPh>
    <rPh sb="7" eb="9">
      <t>クチカズ</t>
    </rPh>
    <rPh sb="13" eb="14">
      <t>カズ</t>
    </rPh>
    <rPh sb="35" eb="37">
      <t>ツイカ</t>
    </rPh>
    <phoneticPr fontId="2"/>
  </si>
  <si>
    <t>※コピー元を含めて、「個口数」の数だけレコードを作成する。</t>
    <rPh sb="4" eb="5">
      <t>モト</t>
    </rPh>
    <rPh sb="6" eb="7">
      <t>フク</t>
    </rPh>
    <rPh sb="11" eb="12">
      <t>コ</t>
    </rPh>
    <rPh sb="12" eb="13">
      <t>クチ</t>
    </rPh>
    <rPh sb="13" eb="14">
      <t>スウ</t>
    </rPh>
    <rPh sb="16" eb="17">
      <t>カズ</t>
    </rPh>
    <rPh sb="24" eb="26">
      <t>サクセイ</t>
    </rPh>
    <phoneticPr fontId="2"/>
  </si>
  <si>
    <t>②&lt;ループ&gt;「個口数」-1の数だけレコードをコピーし、[コピーリスト]に追加する。</t>
    <rPh sb="7" eb="8">
      <t>コ</t>
    </rPh>
    <rPh sb="8" eb="10">
      <t>クチカズ</t>
    </rPh>
    <rPh sb="14" eb="15">
      <t>カズ</t>
    </rPh>
    <rPh sb="36" eb="38">
      <t>ツイカ</t>
    </rPh>
    <phoneticPr fontId="2"/>
  </si>
  <si>
    <t>株式会社XXXX殿</t>
    <phoneticPr fontId="2"/>
  </si>
  <si>
    <t>XX</t>
    <phoneticPr fontId="2"/>
  </si>
  <si>
    <t>株式会社XXXX殿</t>
    <rPh sb="0" eb="4">
      <t>カブシキガイシャ</t>
    </rPh>
    <rPh sb="8" eb="9">
      <t>トノ</t>
    </rPh>
    <phoneticPr fontId="2"/>
  </si>
  <si>
    <t>詳細設計フェーズ成果物として納品</t>
    <rPh sb="0" eb="2">
      <t>ショウサイ</t>
    </rPh>
    <rPh sb="2" eb="4">
      <t>セッケイ</t>
    </rPh>
    <phoneticPr fontId="2"/>
  </si>
  <si>
    <t>2. 前提条件</t>
    <rPh sb="3" eb="5">
      <t>ゼンテイ</t>
    </rPh>
    <rPh sb="5" eb="7">
      <t>ジョウケン</t>
    </rPh>
    <phoneticPr fontId="2"/>
  </si>
  <si>
    <t>XX-XX-9999</t>
    <phoneticPr fontId="2"/>
  </si>
  <si>
    <t>LEFT OUTER JOIN</t>
  </si>
  <si>
    <t>【説明】</t>
    <rPh sb="1" eb="3">
      <t>セツメイ</t>
    </rPh>
    <phoneticPr fontId="2"/>
  </si>
  <si>
    <t>7.0.1.1</t>
    <phoneticPr fontId="2"/>
  </si>
  <si>
    <t>システム</t>
    <phoneticPr fontId="2"/>
  </si>
  <si>
    <t>サブシステム</t>
    <phoneticPr fontId="2"/>
  </si>
  <si>
    <t>Rev.</t>
    <phoneticPr fontId="2"/>
  </si>
  <si>
    <t>プロジェクト</t>
    <phoneticPr fontId="2"/>
  </si>
  <si>
    <t>Rev.</t>
    <phoneticPr fontId="2"/>
  </si>
  <si>
    <t>項目仕様</t>
    <rPh sb="0" eb="2">
      <t>コウモク</t>
    </rPh>
    <rPh sb="2" eb="4">
      <t>シヨウ</t>
    </rPh>
    <phoneticPr fontId="2"/>
  </si>
  <si>
    <t>システム</t>
    <phoneticPr fontId="2"/>
  </si>
  <si>
    <t>サブシステム</t>
    <phoneticPr fontId="2"/>
  </si>
  <si>
    <t>Rev.</t>
    <phoneticPr fontId="2"/>
  </si>
  <si>
    <t>メッセージ一覧</t>
    <rPh sb="5" eb="7">
      <t>イチラン</t>
    </rPh>
    <phoneticPr fontId="2"/>
  </si>
  <si>
    <t>プロジェクト</t>
    <phoneticPr fontId="2"/>
  </si>
  <si>
    <t>No</t>
    <phoneticPr fontId="2"/>
  </si>
  <si>
    <t>r00.00</t>
  </si>
  <si>
    <t>r00.01</t>
  </si>
  <si>
    <t>r00.02</t>
  </si>
  <si>
    <t>r00.03</t>
  </si>
  <si>
    <t>r00.04</t>
  </si>
  <si>
    <t>r01.00</t>
  </si>
  <si>
    <t>r02.00</t>
  </si>
  <si>
    <t>XX</t>
  </si>
  <si>
    <t>r01.00</t>
    <phoneticPr fontId="2"/>
  </si>
  <si>
    <t>基本設計フェーズ成果物として納品</t>
    <phoneticPr fontId="2"/>
  </si>
  <si>
    <t>XX</t>
    <phoneticPr fontId="2"/>
  </si>
  <si>
    <t>PM(XX)</t>
    <phoneticPr fontId="2"/>
  </si>
  <si>
    <t>項目</t>
    <rPh sb="0" eb="2">
      <t>コウモク</t>
    </rPh>
    <phoneticPr fontId="2"/>
  </si>
  <si>
    <t>true</t>
    <phoneticPr fontId="2"/>
  </si>
  <si>
    <t>[上り電文].エラーフラグ</t>
    <rPh sb="1" eb="2">
      <t>ノボ</t>
    </rPh>
    <rPh sb="3" eb="5">
      <t>デンブン</t>
    </rPh>
    <phoneticPr fontId="2"/>
  </si>
  <si>
    <t>MCMessagePool</t>
    <phoneticPr fontId="2"/>
  </si>
  <si>
    <t>エラーメッセージ</t>
    <phoneticPr fontId="2"/>
  </si>
  <si>
    <t>処理フロー</t>
    <rPh sb="0" eb="2">
      <t>ショリ</t>
    </rPh>
    <phoneticPr fontId="2"/>
  </si>
  <si>
    <t>出力処理（Prnt01）</t>
    <rPh sb="0" eb="2">
      <t>シュツリョク</t>
    </rPh>
    <rPh sb="2" eb="4">
      <t>ショリ</t>
    </rPh>
    <phoneticPr fontId="2"/>
  </si>
  <si>
    <t>オペレーションNo</t>
    <phoneticPr fontId="20"/>
  </si>
  <si>
    <t>ロジックID</t>
    <phoneticPr fontId="20"/>
  </si>
  <si>
    <t>オペレーションNoID</t>
    <phoneticPr fontId="20"/>
  </si>
  <si>
    <t>特記事項</t>
    <rPh sb="0" eb="2">
      <t>トッキ</t>
    </rPh>
    <rPh sb="2" eb="4">
      <t>ジコウ</t>
    </rPh>
    <phoneticPr fontId="20"/>
  </si>
  <si>
    <t>型</t>
    <rPh sb="0" eb="1">
      <t>カタ</t>
    </rPh>
    <phoneticPr fontId="1"/>
  </si>
  <si>
    <t>super/share</t>
    <phoneticPr fontId="1"/>
  </si>
  <si>
    <t>対象ブロック名</t>
    <rPh sb="0" eb="2">
      <t>タイショウ</t>
    </rPh>
    <rPh sb="6" eb="7">
      <t>メイ</t>
    </rPh>
    <phoneticPr fontId="1"/>
  </si>
  <si>
    <t>項目No</t>
    <rPh sb="0" eb="2">
      <t>コウモク</t>
    </rPh>
    <phoneticPr fontId="1"/>
  </si>
  <si>
    <t>項目名</t>
    <rPh sb="0" eb="2">
      <t>コウモク</t>
    </rPh>
    <rPh sb="2" eb="3">
      <t>メイ</t>
    </rPh>
    <phoneticPr fontId="20"/>
  </si>
  <si>
    <t>上り項目</t>
    <rPh sb="0" eb="1">
      <t>ノボ</t>
    </rPh>
    <rPh sb="2" eb="4">
      <t>コウモク</t>
    </rPh>
    <phoneticPr fontId="20"/>
  </si>
  <si>
    <t>下り項目</t>
    <rPh sb="0" eb="1">
      <t>クダ</t>
    </rPh>
    <rPh sb="2" eb="4">
      <t>コウモク</t>
    </rPh>
    <phoneticPr fontId="20"/>
  </si>
  <si>
    <t>説明</t>
    <rPh sb="0" eb="2">
      <t>セツメイ</t>
    </rPh>
    <phoneticPr fontId="1"/>
  </si>
  <si>
    <t>MSBFLS020</t>
  </si>
  <si>
    <t>MSBFLS020_PrntA01</t>
  </si>
  <si>
    <t>なし</t>
  </si>
  <si>
    <t>List</t>
    <phoneticPr fontId="2"/>
  </si>
  <si>
    <t>エラーＦＬＧ</t>
  </si>
  <si>
    <t>R</t>
    <phoneticPr fontId="2"/>
  </si>
  <si>
    <t>E</t>
    <phoneticPr fontId="2"/>
  </si>
  <si>
    <t>E</t>
    <phoneticPr fontId="2"/>
  </si>
  <si>
    <t>電文項目仕様</t>
    <rPh sb="0" eb="2">
      <t>デンブン</t>
    </rPh>
    <rPh sb="2" eb="4">
      <t>コウモク</t>
    </rPh>
    <rPh sb="4" eb="6">
      <t>シヨウ</t>
    </rPh>
    <phoneticPr fontId="2"/>
  </si>
  <si>
    <t>個口数算出(calcCntnrQty)</t>
    <rPh sb="0" eb="1">
      <t>コ</t>
    </rPh>
    <rPh sb="1" eb="2">
      <t>クチ</t>
    </rPh>
    <rPh sb="2" eb="3">
      <t>スウ</t>
    </rPh>
    <rPh sb="3" eb="5">
      <t>サンシュツ</t>
    </rPh>
    <phoneticPr fontId="2"/>
  </si>
  <si>
    <t>帳票入出力仕様</t>
    <rPh sb="0" eb="2">
      <t>チョウヒョウ</t>
    </rPh>
    <rPh sb="2" eb="5">
      <t>ニュウシュツリョク</t>
    </rPh>
    <rPh sb="5" eb="7">
      <t>シヨウ</t>
    </rPh>
    <phoneticPr fontId="2"/>
  </si>
  <si>
    <t>チェック処理</t>
    <rPh sb="4" eb="6">
      <t>ショリ</t>
    </rPh>
    <phoneticPr fontId="25"/>
  </si>
  <si>
    <t>更新カウンタチェック用必須チェック</t>
  </si>
  <si>
    <t>必須チェック</t>
  </si>
  <si>
    <t>数値チェック</t>
  </si>
  <si>
    <t>数値範囲チェック</t>
  </si>
  <si>
    <t>日付チェック</t>
  </si>
  <si>
    <t>日付範囲チェック</t>
  </si>
  <si>
    <t>文字列パタンチェック</t>
  </si>
  <si>
    <t>重複チェック</t>
  </si>
  <si>
    <t>一つだけ入力チェック</t>
    <rPh sb="0" eb="1">
      <t>ヒト</t>
    </rPh>
    <rPh sb="4" eb="6">
      <t>ニュウリョク</t>
    </rPh>
    <phoneticPr fontId="25"/>
  </si>
  <si>
    <t>一つ以上入力チェック</t>
    <rPh sb="0" eb="1">
      <t>ヒト</t>
    </rPh>
    <rPh sb="2" eb="4">
      <t>イジョウ</t>
    </rPh>
    <rPh sb="4" eb="6">
      <t>ニュウリョク</t>
    </rPh>
    <phoneticPr fontId="25"/>
  </si>
  <si>
    <t>リストロジックチェック</t>
    <phoneticPr fontId="25"/>
  </si>
  <si>
    <t>定数存在チェック</t>
    <rPh sb="0" eb="2">
      <t>テイスウ</t>
    </rPh>
    <rPh sb="2" eb="4">
      <t>ソンザイ</t>
    </rPh>
    <phoneticPr fontId="25"/>
  </si>
  <si>
    <t>NULL文字補完</t>
    <rPh sb="4" eb="6">
      <t>モジ</t>
    </rPh>
    <rPh sb="6" eb="8">
      <t>ホカン</t>
    </rPh>
    <phoneticPr fontId="25"/>
  </si>
  <si>
    <t>更新前データのDACチェック</t>
    <rPh sb="0" eb="2">
      <t>コウシン</t>
    </rPh>
    <rPh sb="2" eb="3">
      <t>マエ</t>
    </rPh>
    <phoneticPr fontId="25"/>
  </si>
  <si>
    <t>更新データのDACチェック</t>
    <rPh sb="0" eb="2">
      <t>コウシン</t>
    </rPh>
    <phoneticPr fontId="25"/>
  </si>
  <si>
    <t>固有チェック１</t>
    <rPh sb="0" eb="2">
      <t>コユウ</t>
    </rPh>
    <phoneticPr fontId="25"/>
  </si>
  <si>
    <t>チェック処理(check)</t>
    <rPh sb="3" eb="5">
      <t>ショリ</t>
    </rPh>
    <phoneticPr fontId="2"/>
  </si>
  <si>
    <t>帳票出力データの取得(getPrntData)</t>
    <rPh sb="0" eb="1">
      <t>チョウヒョウ</t>
    </rPh>
    <rPh sb="1" eb="3">
      <t>シュツリョク</t>
    </rPh>
    <rPh sb="7" eb="9">
      <t>シュトク</t>
    </rPh>
    <phoneticPr fontId="2"/>
  </si>
  <si>
    <t>※getRecordNotFoundMsgを使用し、メッセージの設定を行う。</t>
  </si>
  <si>
    <t>検査指図情報検索(getInsp)</t>
    <rPh sb="0" eb="2">
      <t>ケンサ</t>
    </rPh>
    <rPh sb="2" eb="4">
      <t>サシズ</t>
    </rPh>
    <rPh sb="4" eb="6">
      <t>ジョウホウ</t>
    </rPh>
    <rPh sb="6" eb="8">
      <t>ケンサク</t>
    </rPh>
    <phoneticPr fontId="2"/>
  </si>
  <si>
    <t>項目編集処理(editUp)</t>
    <rPh sb="0" eb="2">
      <t>コウモク</t>
    </rPh>
    <rPh sb="2" eb="4">
      <t>ヘンシュウ</t>
    </rPh>
    <rPh sb="4" eb="6">
      <t>ショリ</t>
    </rPh>
    <phoneticPr fontId="2"/>
  </si>
  <si>
    <t>入数算出(calcQty)</t>
    <rPh sb="0" eb="1">
      <t>イ</t>
    </rPh>
    <rPh sb="1" eb="2">
      <t>スウ</t>
    </rPh>
    <rPh sb="2" eb="4">
      <t>サンシュツ</t>
    </rPh>
    <phoneticPr fontId="2"/>
  </si>
  <si>
    <t>コピーリスト追加(addList)</t>
    <rPh sb="6" eb="8">
      <t>ツイカ</t>
    </rPh>
    <phoneticPr fontId="2"/>
  </si>
  <si>
    <t>ソート(sort)</t>
  </si>
  <si>
    <t>項目設定処理(setData)</t>
    <rPh sb="0" eb="2">
      <t>コウモク</t>
    </rPh>
    <rPh sb="2" eb="4">
      <t>セッテイ</t>
    </rPh>
    <rPh sb="4" eb="6">
      <t>ショリ</t>
    </rPh>
    <phoneticPr fontId="2"/>
  </si>
  <si>
    <t>帳票出力(prnt)</t>
    <rPh sb="0" eb="2">
      <t>チョウヒョウ</t>
    </rPh>
    <rPh sb="2" eb="4">
      <t>シュツリョク</t>
    </rPh>
    <phoneticPr fontId="2"/>
  </si>
  <si>
    <t>[下り電文設定](setDown)</t>
    <rPh sb="1" eb="2">
      <t>クダ</t>
    </rPh>
    <rPh sb="3" eb="5">
      <t>デンブン</t>
    </rPh>
    <rPh sb="5" eb="7">
      <t>セッテイ</t>
    </rPh>
    <phoneticPr fontId="2"/>
  </si>
  <si>
    <t>MSBFLA020</t>
    <phoneticPr fontId="2"/>
  </si>
  <si>
    <t>部材現品票発行サービス</t>
    <rPh sb="0" eb="2">
      <t>ブザイ</t>
    </rPh>
    <rPh sb="2" eb="5">
      <t>ゲンピンヒョウ</t>
    </rPh>
    <rPh sb="5" eb="7">
      <t>ハッコウ</t>
    </rPh>
    <phoneticPr fontId="2"/>
  </si>
  <si>
    <t>部材現品票を発行するために必要な検査・入荷・発注情報を取得する。</t>
    <rPh sb="0" eb="2">
      <t>ブザイ</t>
    </rPh>
    <rPh sb="2" eb="5">
      <t>ゲンピンヒョウ</t>
    </rPh>
    <rPh sb="6" eb="8">
      <t>ハッコウ</t>
    </rPh>
    <rPh sb="13" eb="15">
      <t>ヒツヨウ</t>
    </rPh>
    <rPh sb="16" eb="18">
      <t>ケンサ</t>
    </rPh>
    <rPh sb="19" eb="21">
      <t>ニュウカ</t>
    </rPh>
    <rPh sb="22" eb="24">
      <t>ハッチュウ</t>
    </rPh>
    <rPh sb="24" eb="26">
      <t>ジョウホウ</t>
    </rPh>
    <rPh sb="27" eb="29">
      <t>シュトク</t>
    </rPh>
    <phoneticPr fontId="2"/>
  </si>
  <si>
    <t>4. データアクセスコントロール</t>
    <phoneticPr fontId="2"/>
  </si>
  <si>
    <t>・</t>
    <phoneticPr fontId="2"/>
  </si>
  <si>
    <t>データアクセスコントロールしない。</t>
    <phoneticPr fontId="2"/>
  </si>
  <si>
    <t>5. 起動方法</t>
    <phoneticPr fontId="2"/>
  </si>
  <si>
    <t>・</t>
  </si>
  <si>
    <t>6. 起動タイミング</t>
    <phoneticPr fontId="2"/>
  </si>
  <si>
    <t>随時</t>
    <rPh sb="0" eb="2">
      <t>ズイジ</t>
    </rPh>
    <phoneticPr fontId="5"/>
  </si>
  <si>
    <t>7. 想定データ件数</t>
    <rPh sb="3" eb="5">
      <t>ソウテイ</t>
    </rPh>
    <rPh sb="8" eb="10">
      <t>ケンスウ</t>
    </rPh>
    <phoneticPr fontId="2"/>
  </si>
  <si>
    <t>8. 起動および実行結果の確認</t>
    <phoneticPr fontId="2"/>
  </si>
  <si>
    <t>標準に準ずる</t>
    <rPh sb="0" eb="2">
      <t>ヒョウジュン</t>
    </rPh>
    <rPh sb="3" eb="4">
      <t>ジュン</t>
    </rPh>
    <phoneticPr fontId="2"/>
  </si>
  <si>
    <t>9. コミット単位</t>
    <rPh sb="7" eb="9">
      <t>タンイ</t>
    </rPh>
    <phoneticPr fontId="2"/>
  </si>
  <si>
    <t>全件</t>
    <rPh sb="0" eb="2">
      <t>ゼンケン</t>
    </rPh>
    <phoneticPr fontId="2"/>
  </si>
  <si>
    <t>検査実績一覧登録より起動（サービス呼出による起動）</t>
    <rPh sb="0" eb="2">
      <t>ケンサ</t>
    </rPh>
    <rPh sb="2" eb="4">
      <t>ジッセキ</t>
    </rPh>
    <rPh sb="4" eb="6">
      <t>イチラン</t>
    </rPh>
    <rPh sb="6" eb="8">
      <t>トウロク</t>
    </rPh>
    <rPh sb="10" eb="12">
      <t>キドウ</t>
    </rPh>
    <rPh sb="17" eb="19">
      <t>ヨビダシ</t>
    </rPh>
    <rPh sb="22" eb="24">
      <t>キドウ</t>
    </rPh>
    <phoneticPr fontId="5"/>
  </si>
  <si>
    <t>1,000件程度</t>
    <rPh sb="5" eb="6">
      <t>ケン</t>
    </rPh>
    <rPh sb="6" eb="8">
      <t>テイド</t>
    </rPh>
    <phoneticPr fontId="5"/>
  </si>
  <si>
    <t>出力処理 MSBFLA020.PrntA01</t>
    <phoneticPr fontId="2"/>
  </si>
  <si>
    <t>レビュー実施記録</t>
    <rPh sb="4" eb="6">
      <t>ジッシ</t>
    </rPh>
    <rPh sb="6" eb="8">
      <t>キロク</t>
    </rPh>
    <phoneticPr fontId="2"/>
  </si>
  <si>
    <t>NO</t>
    <phoneticPr fontId="2"/>
  </si>
  <si>
    <t>レビュー日</t>
    <rPh sb="4" eb="5">
      <t>ビ</t>
    </rPh>
    <phoneticPr fontId="2"/>
  </si>
  <si>
    <t>開催場所</t>
    <rPh sb="0" eb="2">
      <t>カイサイ</t>
    </rPh>
    <rPh sb="2" eb="4">
      <t>バショ</t>
    </rPh>
    <phoneticPr fontId="2"/>
  </si>
  <si>
    <t>参加者</t>
    <rPh sb="0" eb="3">
      <t>サンカシャ</t>
    </rPh>
    <phoneticPr fontId="2"/>
  </si>
  <si>
    <t>本社</t>
    <rPh sb="0" eb="2">
      <t>ホンシャ</t>
    </rPh>
    <phoneticPr fontId="2"/>
  </si>
  <si>
    <t>EU：××、××</t>
    <phoneticPr fontId="2"/>
  </si>
  <si>
    <t>レビュー指摘・確認対応記録</t>
    <rPh sb="4" eb="6">
      <t>シテキ</t>
    </rPh>
    <rPh sb="7" eb="9">
      <t>カクニン</t>
    </rPh>
    <rPh sb="9" eb="11">
      <t>タイオウ</t>
    </rPh>
    <rPh sb="11" eb="13">
      <t>キロク</t>
    </rPh>
    <phoneticPr fontId="2"/>
  </si>
  <si>
    <t>指摘・確認事項</t>
    <rPh sb="0" eb="2">
      <t>シテキ</t>
    </rPh>
    <rPh sb="3" eb="5">
      <t>カクニン</t>
    </rPh>
    <rPh sb="5" eb="7">
      <t>ジコウ</t>
    </rPh>
    <phoneticPr fontId="2"/>
  </si>
  <si>
    <t>回答</t>
    <rPh sb="0" eb="2">
      <t>カイトウ</t>
    </rPh>
    <phoneticPr fontId="2"/>
  </si>
  <si>
    <t>確認日</t>
    <rPh sb="0" eb="2">
      <t>カクニン</t>
    </rPh>
    <rPh sb="2" eb="3">
      <t>ビ</t>
    </rPh>
    <phoneticPr fontId="2"/>
  </si>
  <si>
    <t>担当者</t>
    <rPh sb="0" eb="3">
      <t>タントウシャ</t>
    </rPh>
    <phoneticPr fontId="2"/>
  </si>
  <si>
    <t>レビュー記録</t>
    <rPh sb="4" eb="6">
      <t>キロク</t>
    </rPh>
    <phoneticPr fontId="2"/>
  </si>
  <si>
    <t>BP：××、××</t>
    <phoneticPr fontId="2"/>
  </si>
  <si>
    <t>B-ENG：××、××</t>
    <phoneticPr fontId="2"/>
  </si>
  <si>
    <t>NO</t>
    <phoneticPr fontId="2"/>
  </si>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</sst>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27">
    <font>
      <sz val="9"/>
      <name val="ＭＳ Ｐゴシック"/>
      <family val="3"/>
      <charset val="128"/>
    </font>
    <font>
      <sz val="11"/>
      <name val="ＭＳ Ｐゴシック"/>
      <family val="3"/>
      <charset val="128"/>
    </font>
    <font>
      <sz val="6"/>
      <name val="ＭＳ Ｐゴシック"/>
      <family val="3"/>
      <charset val="128"/>
    </font>
    <font>
      <b/>
      <sz val="12"/>
      <name val="ＭＳ Ｐゴシック"/>
      <family val="3"/>
      <charset val="128"/>
    </font>
    <font>
      <sz val="9"/>
      <color indexed="81"/>
      <name val="ＭＳ Ｐゴシック"/>
      <family val="3"/>
      <charset val="128"/>
    </font>
    <font>
      <b/>
      <sz val="9"/>
      <color indexed="81"/>
      <name val="ＭＳ Ｐゴシック"/>
      <family val="3"/>
      <charset val="128"/>
    </font>
    <font>
      <sz val="9"/>
      <color indexed="10"/>
      <name val="ＭＳ Ｐゴシック"/>
      <family val="3"/>
      <charset val="128"/>
    </font>
    <font>
      <b/>
      <sz val="11"/>
      <name val="Meiryo UI"/>
      <family val="3"/>
      <charset val="128"/>
    </font>
    <font>
      <sz val="9"/>
      <name val="Meiryo UI"/>
      <family val="3"/>
      <charset val="128"/>
    </font>
    <font>
      <sz val="11"/>
      <name val="Meiryo UI"/>
      <family val="3"/>
      <charset val="128"/>
    </font>
    <font>
      <b/>
      <sz val="20"/>
      <color indexed="10"/>
      <name val="Meiryo UI"/>
      <family val="3"/>
      <charset val="128"/>
    </font>
    <font>
      <b/>
      <sz val="12"/>
      <name val="Meiryo UI"/>
      <family val="3"/>
      <charset val="128"/>
    </font>
    <font>
      <b/>
      <sz val="10"/>
      <name val="Meiryo UI"/>
      <family val="3"/>
      <charset val="128"/>
    </font>
    <font>
      <sz val="10"/>
      <name val="Meiryo UI"/>
      <family val="3"/>
      <charset val="128"/>
    </font>
    <font>
      <b/>
      <sz val="9"/>
      <name val="Meiryo UI"/>
      <family val="3"/>
      <charset val="128"/>
    </font>
    <font>
      <sz val="8"/>
      <name val="Meiryo UI"/>
      <family val="3"/>
      <charset val="128"/>
    </font>
    <font>
      <sz val="9"/>
      <name val="ＭＳ Ｐゴシック"/>
      <family val="3"/>
      <charset val="128"/>
    </font>
    <font>
      <sz val="11"/>
      <color theme="1"/>
      <name val="ＭＳ Ｐゴシック"/>
      <family val="2"/>
      <scheme val="minor"/>
    </font>
    <font>
      <sz val="11"/>
      <color theme="1"/>
      <name val="Meiryo UI"/>
      <family val="3"/>
      <charset val="128"/>
    </font>
    <font>
      <b/>
      <sz val="11"/>
      <color theme="1"/>
      <name val="Meiryo UI"/>
      <family val="3"/>
      <charset val="128"/>
    </font>
    <font>
      <sz val="6"/>
      <name val="ＭＳ Ｐ明朝"/>
      <family val="1"/>
      <charset val="128"/>
    </font>
    <font>
      <sz val="9"/>
      <color indexed="8"/>
      <name val="Meiryo UI"/>
      <family val="3"/>
      <charset val="128"/>
    </font>
    <font>
      <b/>
      <sz val="9"/>
      <color theme="1"/>
      <name val="Meiryo UI"/>
      <family val="3"/>
      <charset val="128"/>
    </font>
    <font>
      <b/>
      <sz val="9"/>
      <color indexed="81"/>
      <name val="MS P ゴシック"/>
      <family val="3"/>
      <charset val="128"/>
    </font>
    <font>
      <sz val="9"/>
      <color indexed="81"/>
      <name val="MS P ゴシック"/>
      <family val="3"/>
      <charset val="128"/>
    </font>
    <font>
      <sz val="6"/>
      <name val="ＭＳ Ｐゴシック"/>
      <family val="3"/>
      <charset val="128"/>
      <scheme val="minor"/>
    </font>
    <font>
      <sz val="9"/>
      <color theme="1"/>
      <name val="Meiryo UI"/>
      <family val="3"/>
      <charset val="128"/>
    </font>
  </fonts>
  <fills count="12">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rgb="FFCCFFCC"/>
        <bgColor indexed="64"/>
      </patternFill>
    </fill>
    <fill>
      <patternFill patternType="solid">
        <fgColor rgb="FFCCFFFF"/>
        <bgColor indexed="64"/>
      </patternFill>
    </fill>
    <fill>
      <patternFill patternType="solid">
        <fgColor rgb="FFFFFF99"/>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indexed="9"/>
        <bgColor indexed="64"/>
      </patternFill>
    </fill>
  </fills>
  <borders count="110">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double">
        <color indexed="64"/>
      </top>
      <bottom/>
      <diagonal/>
    </border>
    <border>
      <left style="thin">
        <color indexed="64"/>
      </left>
      <right/>
      <top style="double">
        <color indexed="64"/>
      </top>
      <bottom style="thin">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right style="medium">
        <color indexed="64"/>
      </right>
      <top style="double">
        <color indexed="64"/>
      </top>
      <bottom style="thin">
        <color indexed="64"/>
      </bottom>
      <diagonal/>
    </border>
    <border>
      <left style="thin">
        <color indexed="64"/>
      </left>
      <right style="hair">
        <color indexed="64"/>
      </right>
      <top style="medium">
        <color indexed="64"/>
      </top>
      <bottom style="double">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style="double">
        <color indexed="64"/>
      </bottom>
      <diagonal/>
    </border>
    <border>
      <left style="thin">
        <color indexed="64"/>
      </left>
      <right style="hair">
        <color indexed="64"/>
      </right>
      <top style="double">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medium">
        <color indexed="64"/>
      </left>
      <right/>
      <top/>
      <bottom style="double">
        <color indexed="64"/>
      </bottom>
      <diagonal/>
    </border>
    <border>
      <left/>
      <right style="medium">
        <color indexed="64"/>
      </right>
      <top style="medium">
        <color indexed="64"/>
      </top>
      <bottom style="double">
        <color indexed="64"/>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right style="medium">
        <color indexed="64"/>
      </right>
      <top style="thin">
        <color indexed="64"/>
      </top>
      <bottom/>
      <diagonal/>
    </border>
    <border>
      <left style="thin">
        <color indexed="64"/>
      </left>
      <right/>
      <top style="thin">
        <color indexed="64"/>
      </top>
      <bottom style="double">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double">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s>
  <cellStyleXfs count="7">
    <xf numFmtId="0" fontId="0" fillId="0" borderId="0">
      <alignment vertical="center"/>
    </xf>
    <xf numFmtId="0" fontId="1" fillId="0" borderId="0">
      <alignment vertical="center"/>
    </xf>
    <xf numFmtId="0" fontId="1" fillId="0" borderId="0"/>
    <xf numFmtId="0" fontId="1" fillId="0" borderId="0"/>
    <xf numFmtId="0" fontId="1" fillId="0" borderId="0"/>
    <xf numFmtId="0" fontId="17" fillId="0" borderId="0"/>
    <xf numFmtId="0" fontId="16" fillId="0" borderId="0">
      <alignment vertical="center"/>
    </xf>
  </cellStyleXfs>
  <cellXfs count="535">
    <xf numFmtId="0" fontId="0" fillId="0" borderId="0" xfId="0">
      <alignment vertical="center"/>
    </xf>
    <xf numFmtId="0" fontId="8" fillId="0" borderId="0" xfId="0" applyFont="1">
      <alignment vertical="center"/>
    </xf>
    <xf numFmtId="0" fontId="10" fillId="0" borderId="0" xfId="0" applyFont="1">
      <alignment vertical="center"/>
    </xf>
    <xf numFmtId="0" fontId="8" fillId="0" borderId="20" xfId="0" applyNumberFormat="1" applyFont="1" applyBorder="1" applyAlignment="1">
      <alignment horizontal="center" vertical="top"/>
    </xf>
    <xf numFmtId="0" fontId="8" fillId="0" borderId="21" xfId="0" applyNumberFormat="1" applyFont="1" applyBorder="1" applyAlignment="1">
      <alignment horizontal="center" vertical="top"/>
    </xf>
    <xf numFmtId="0" fontId="8" fillId="0" borderId="22" xfId="0" applyNumberFormat="1" applyFont="1" applyBorder="1" applyAlignment="1">
      <alignment horizontal="center" vertical="top"/>
    </xf>
    <xf numFmtId="0" fontId="8" fillId="0" borderId="1" xfId="0" applyNumberFormat="1" applyFont="1" applyFill="1" applyBorder="1" applyAlignment="1">
      <alignment vertical="center"/>
    </xf>
    <xf numFmtId="0" fontId="8" fillId="0" borderId="0" xfId="0" applyNumberFormat="1" applyFont="1" applyFill="1" applyBorder="1" applyAlignment="1">
      <alignment vertical="center"/>
    </xf>
    <xf numFmtId="0" fontId="8" fillId="0" borderId="23" xfId="0" applyNumberFormat="1" applyFont="1" applyFill="1" applyBorder="1" applyAlignment="1">
      <alignment vertical="center"/>
    </xf>
    <xf numFmtId="0" fontId="14" fillId="3" borderId="8" xfId="0" applyFont="1" applyFill="1" applyBorder="1">
      <alignment vertical="center"/>
    </xf>
    <xf numFmtId="0" fontId="8" fillId="3" borderId="9" xfId="0" applyFont="1" applyFill="1" applyBorder="1">
      <alignment vertical="center"/>
    </xf>
    <xf numFmtId="0" fontId="8" fillId="3" borderId="43" xfId="0" applyFont="1" applyFill="1" applyBorder="1">
      <alignment vertical="center"/>
    </xf>
    <xf numFmtId="0" fontId="14" fillId="0" borderId="1" xfId="0" applyFont="1" applyFill="1" applyBorder="1">
      <alignment vertical="center"/>
    </xf>
    <xf numFmtId="0" fontId="8" fillId="0" borderId="0" xfId="0" applyFont="1" applyFill="1" applyBorder="1">
      <alignment vertical="center"/>
    </xf>
    <xf numFmtId="0" fontId="8" fillId="0" borderId="23" xfId="0" applyFont="1" applyFill="1" applyBorder="1">
      <alignment vertical="center"/>
    </xf>
    <xf numFmtId="0" fontId="8" fillId="0" borderId="0" xfId="0" applyFont="1" applyBorder="1">
      <alignment vertical="center"/>
    </xf>
    <xf numFmtId="0" fontId="14" fillId="2" borderId="58" xfId="0" applyFont="1" applyFill="1" applyBorder="1">
      <alignment vertical="center"/>
    </xf>
    <xf numFmtId="0" fontId="14" fillId="2" borderId="26" xfId="0" applyFont="1" applyFill="1" applyBorder="1">
      <alignment vertical="center"/>
    </xf>
    <xf numFmtId="0" fontId="14" fillId="4" borderId="24" xfId="0" applyFont="1" applyFill="1" applyBorder="1">
      <alignment vertical="center"/>
    </xf>
    <xf numFmtId="0" fontId="14" fillId="2" borderId="25" xfId="0" applyFont="1" applyFill="1" applyBorder="1">
      <alignment vertical="center"/>
    </xf>
    <xf numFmtId="0" fontId="14" fillId="4" borderId="25" xfId="0" applyFont="1" applyFill="1" applyBorder="1">
      <alignment vertical="center"/>
    </xf>
    <xf numFmtId="0" fontId="14" fillId="2" borderId="61" xfId="0" applyFont="1" applyFill="1" applyBorder="1">
      <alignment vertical="center"/>
    </xf>
    <xf numFmtId="0" fontId="14" fillId="2" borderId="30" xfId="0" applyFont="1" applyFill="1" applyBorder="1">
      <alignment vertical="center"/>
    </xf>
    <xf numFmtId="0" fontId="14" fillId="2" borderId="34" xfId="0" applyFont="1" applyFill="1" applyBorder="1">
      <alignment vertical="center"/>
    </xf>
    <xf numFmtId="0" fontId="14" fillId="2" borderId="10" xfId="0" applyFont="1" applyFill="1" applyBorder="1">
      <alignment vertical="center"/>
    </xf>
    <xf numFmtId="0" fontId="14" fillId="2" borderId="9" xfId="0" applyFont="1" applyFill="1" applyBorder="1">
      <alignment vertical="center"/>
    </xf>
    <xf numFmtId="0" fontId="14" fillId="2" borderId="45" xfId="0" applyFont="1" applyFill="1" applyBorder="1">
      <alignment vertical="center"/>
    </xf>
    <xf numFmtId="0" fontId="14" fillId="4" borderId="45" xfId="0" applyFont="1" applyFill="1" applyBorder="1">
      <alignment vertical="center"/>
    </xf>
    <xf numFmtId="0" fontId="14" fillId="2" borderId="33" xfId="0" applyFont="1" applyFill="1" applyBorder="1">
      <alignment vertical="center"/>
    </xf>
    <xf numFmtId="0" fontId="14" fillId="2" borderId="31" xfId="0" applyFont="1" applyFill="1" applyBorder="1">
      <alignment vertical="center"/>
    </xf>
    <xf numFmtId="0" fontId="14" fillId="2" borderId="32" xfId="0" applyFont="1" applyFill="1" applyBorder="1">
      <alignment vertical="center"/>
    </xf>
    <xf numFmtId="0" fontId="8" fillId="0" borderId="24" xfId="0" applyFont="1" applyBorder="1" applyAlignment="1">
      <alignment vertical="center"/>
    </xf>
    <xf numFmtId="0" fontId="8" fillId="0" borderId="25" xfId="0" applyFont="1" applyBorder="1" applyAlignment="1">
      <alignment vertical="center"/>
    </xf>
    <xf numFmtId="0" fontId="8" fillId="0" borderId="25" xfId="0" applyFont="1" applyBorder="1" applyAlignment="1">
      <alignment horizontal="left" vertical="center" wrapText="1"/>
    </xf>
    <xf numFmtId="0" fontId="8" fillId="0" borderId="63" xfId="0" applyFont="1" applyBorder="1" applyAlignment="1">
      <alignment horizontal="center" vertical="center" wrapText="1"/>
    </xf>
    <xf numFmtId="0" fontId="8" fillId="0" borderId="64" xfId="0" applyFont="1" applyBorder="1" applyAlignment="1">
      <alignment horizontal="center" vertical="center"/>
    </xf>
    <xf numFmtId="0" fontId="8" fillId="0" borderId="65" xfId="0" applyFont="1" applyBorder="1" applyAlignment="1">
      <alignment horizontal="center" vertical="center"/>
    </xf>
    <xf numFmtId="0" fontId="8" fillId="0" borderId="61" xfId="0" applyFont="1" applyBorder="1" applyAlignment="1">
      <alignment vertical="center"/>
    </xf>
    <xf numFmtId="0" fontId="8" fillId="0" borderId="30" xfId="0" applyFont="1" applyBorder="1" applyAlignment="1">
      <alignment vertical="center"/>
    </xf>
    <xf numFmtId="0" fontId="8" fillId="0" borderId="34" xfId="0" applyFont="1" applyBorder="1" applyAlignment="1">
      <alignment vertical="center"/>
    </xf>
    <xf numFmtId="0" fontId="8" fillId="0" borderId="33" xfId="0" applyFont="1" applyBorder="1" applyAlignment="1">
      <alignment vertical="center"/>
    </xf>
    <xf numFmtId="0" fontId="8" fillId="0" borderId="31" xfId="0" applyFont="1" applyBorder="1" applyAlignment="1">
      <alignment vertical="center"/>
    </xf>
    <xf numFmtId="0" fontId="8" fillId="0" borderId="31" xfId="0" applyFont="1" applyBorder="1" applyAlignment="1">
      <alignment horizontal="left" vertical="center" wrapText="1"/>
    </xf>
    <xf numFmtId="0" fontId="8" fillId="0" borderId="66" xfId="0" applyFont="1" applyBorder="1" applyAlignment="1">
      <alignment horizontal="center" vertical="center" wrapText="1"/>
    </xf>
    <xf numFmtId="0" fontId="8" fillId="0" borderId="67" xfId="0" applyFont="1" applyBorder="1" applyAlignment="1">
      <alignment horizontal="center" vertical="center"/>
    </xf>
    <xf numFmtId="0" fontId="8" fillId="0" borderId="68" xfId="0" applyFont="1" applyBorder="1" applyAlignment="1">
      <alignment horizontal="center" vertical="center"/>
    </xf>
    <xf numFmtId="0" fontId="8" fillId="0" borderId="32" xfId="0" applyFont="1" applyBorder="1" applyAlignment="1">
      <alignment vertical="center"/>
    </xf>
    <xf numFmtId="49" fontId="8" fillId="0" borderId="3" xfId="0" applyNumberFormat="1" applyFont="1" applyBorder="1">
      <alignment vertical="center"/>
    </xf>
    <xf numFmtId="49" fontId="8" fillId="0" borderId="37" xfId="0" applyNumberFormat="1" applyFont="1" applyBorder="1">
      <alignment vertical="center"/>
    </xf>
    <xf numFmtId="0" fontId="8" fillId="2" borderId="4" xfId="0" applyFont="1" applyFill="1" applyBorder="1">
      <alignment vertical="center"/>
    </xf>
    <xf numFmtId="0" fontId="8" fillId="2" borderId="5" xfId="0" applyFont="1" applyFill="1" applyBorder="1">
      <alignment vertical="center"/>
    </xf>
    <xf numFmtId="0" fontId="8" fillId="2" borderId="55" xfId="0" applyFont="1" applyFill="1" applyBorder="1">
      <alignment vertical="center"/>
    </xf>
    <xf numFmtId="0" fontId="8" fillId="0" borderId="1" xfId="0" applyFont="1" applyBorder="1">
      <alignment vertical="center"/>
    </xf>
    <xf numFmtId="0" fontId="8" fillId="0" borderId="23" xfId="0" applyFont="1" applyBorder="1">
      <alignment vertical="center"/>
    </xf>
    <xf numFmtId="0" fontId="8" fillId="0" borderId="2" xfId="0" applyFont="1" applyBorder="1">
      <alignment vertical="center"/>
    </xf>
    <xf numFmtId="0" fontId="8" fillId="0" borderId="3" xfId="0" applyFont="1" applyBorder="1">
      <alignment vertical="center"/>
    </xf>
    <xf numFmtId="0" fontId="8" fillId="0" borderId="37" xfId="0" applyFont="1" applyBorder="1">
      <alignment vertical="center"/>
    </xf>
    <xf numFmtId="49" fontId="14" fillId="3" borderId="13" xfId="0" applyNumberFormat="1" applyFont="1" applyFill="1" applyBorder="1">
      <alignment vertical="center"/>
    </xf>
    <xf numFmtId="49" fontId="8" fillId="3" borderId="7" xfId="0" applyNumberFormat="1" applyFont="1" applyFill="1" applyBorder="1">
      <alignment vertical="center"/>
    </xf>
    <xf numFmtId="49" fontId="8" fillId="3" borderId="47" xfId="0" applyNumberFormat="1" applyFont="1" applyFill="1" applyBorder="1">
      <alignment vertical="center"/>
    </xf>
    <xf numFmtId="49" fontId="8" fillId="0" borderId="0" xfId="0" applyNumberFormat="1" applyFont="1" applyBorder="1">
      <alignment vertical="center"/>
    </xf>
    <xf numFmtId="49" fontId="8" fillId="0" borderId="15" xfId="0" applyNumberFormat="1" applyFont="1" applyBorder="1">
      <alignment vertical="center"/>
    </xf>
    <xf numFmtId="49" fontId="8" fillId="0" borderId="16" xfId="0" applyNumberFormat="1" applyFont="1" applyBorder="1">
      <alignment vertical="center"/>
    </xf>
    <xf numFmtId="49" fontId="8" fillId="0" borderId="23" xfId="0" applyNumberFormat="1" applyFont="1" applyBorder="1">
      <alignment vertical="center"/>
    </xf>
    <xf numFmtId="0" fontId="8" fillId="0" borderId="10" xfId="1" applyFont="1" applyBorder="1" applyAlignment="1">
      <alignment vertical="center"/>
    </xf>
    <xf numFmtId="0" fontId="8" fillId="0" borderId="24" xfId="1" applyFont="1" applyBorder="1" applyAlignment="1">
      <alignment vertical="center"/>
    </xf>
    <xf numFmtId="0" fontId="8" fillId="0" borderId="33" xfId="1" applyFont="1" applyBorder="1" applyAlignment="1">
      <alignment vertical="center"/>
    </xf>
    <xf numFmtId="0" fontId="15" fillId="0" borderId="63" xfId="0" quotePrefix="1" applyFont="1" applyBorder="1" applyAlignment="1">
      <alignment horizontal="center" vertical="center" wrapText="1"/>
    </xf>
    <xf numFmtId="49" fontId="8" fillId="0" borderId="15" xfId="0" applyNumberFormat="1" applyFont="1" applyBorder="1" applyAlignment="1">
      <alignment horizontal="center" vertical="center"/>
    </xf>
    <xf numFmtId="49" fontId="8" fillId="0" borderId="16" xfId="0" applyNumberFormat="1" applyFont="1" applyBorder="1" applyAlignment="1">
      <alignment horizontal="center" vertical="center"/>
    </xf>
    <xf numFmtId="49" fontId="8" fillId="0" borderId="15" xfId="0" applyNumberFormat="1" applyFont="1" applyBorder="1" applyAlignment="1">
      <alignment horizontal="center" vertical="center"/>
    </xf>
    <xf numFmtId="49" fontId="8" fillId="0" borderId="16" xfId="0" applyNumberFormat="1" applyFont="1" applyBorder="1" applyAlignment="1">
      <alignment horizontal="center" vertical="center"/>
    </xf>
    <xf numFmtId="0" fontId="0" fillId="0" borderId="0" xfId="0" applyFont="1">
      <alignment vertical="center"/>
    </xf>
    <xf numFmtId="0" fontId="0" fillId="0" borderId="1" xfId="0" applyFont="1" applyBorder="1">
      <alignment vertical="center"/>
    </xf>
    <xf numFmtId="0" fontId="0" fillId="0" borderId="0" xfId="0" applyFont="1" applyBorder="1">
      <alignment vertical="center"/>
    </xf>
    <xf numFmtId="0" fontId="0" fillId="0" borderId="23" xfId="0" applyFont="1" applyBorder="1">
      <alignment vertical="center"/>
    </xf>
    <xf numFmtId="49" fontId="14" fillId="2" borderId="4" xfId="0" applyNumberFormat="1" applyFont="1" applyFill="1" applyBorder="1">
      <alignment vertical="center"/>
    </xf>
    <xf numFmtId="49" fontId="14" fillId="2" borderId="5" xfId="0" applyNumberFormat="1" applyFont="1" applyFill="1" applyBorder="1">
      <alignment vertical="center"/>
    </xf>
    <xf numFmtId="49" fontId="14" fillId="2" borderId="18" xfId="0" applyNumberFormat="1" applyFont="1" applyFill="1" applyBorder="1">
      <alignment vertical="center"/>
    </xf>
    <xf numFmtId="49" fontId="14" fillId="2" borderId="55" xfId="0" applyNumberFormat="1" applyFont="1" applyFill="1" applyBorder="1">
      <alignment vertical="center"/>
    </xf>
    <xf numFmtId="49" fontId="14" fillId="0" borderId="12" xfId="0" applyNumberFormat="1" applyFont="1" applyFill="1" applyBorder="1">
      <alignment vertical="center"/>
    </xf>
    <xf numFmtId="49" fontId="8" fillId="0" borderId="14" xfId="0" applyNumberFormat="1" applyFont="1" applyFill="1" applyBorder="1">
      <alignment vertical="center"/>
    </xf>
    <xf numFmtId="49" fontId="8" fillId="0" borderId="0" xfId="0" applyNumberFormat="1" applyFont="1" applyBorder="1" applyAlignment="1">
      <alignment horizontal="right" vertical="center"/>
    </xf>
    <xf numFmtId="49" fontId="8" fillId="0" borderId="24" xfId="0" quotePrefix="1" applyNumberFormat="1" applyFont="1" applyBorder="1" applyAlignment="1">
      <alignment horizontal="right" vertical="center"/>
    </xf>
    <xf numFmtId="49" fontId="8" fillId="0" borderId="25" xfId="0" applyNumberFormat="1" applyFont="1" applyBorder="1">
      <alignment vertical="center"/>
    </xf>
    <xf numFmtId="49" fontId="8" fillId="0" borderId="26" xfId="0" applyNumberFormat="1" applyFont="1" applyBorder="1">
      <alignment vertical="center"/>
    </xf>
    <xf numFmtId="49" fontId="8" fillId="0" borderId="0" xfId="0" quotePrefix="1" applyNumberFormat="1" applyFont="1" applyBorder="1" applyAlignment="1">
      <alignment horizontal="right" vertical="center"/>
    </xf>
    <xf numFmtId="49" fontId="8" fillId="0" borderId="0" xfId="0" quotePrefix="1" applyNumberFormat="1" applyFont="1" applyBorder="1" applyAlignment="1">
      <alignment horizontal="left"/>
    </xf>
    <xf numFmtId="0" fontId="8" fillId="0" borderId="0" xfId="0" applyFont="1" applyAlignment="1">
      <alignment horizontal="right" vertical="center"/>
    </xf>
    <xf numFmtId="0" fontId="8" fillId="0" borderId="0" xfId="0" applyFont="1" applyAlignment="1">
      <alignment horizontal="left" vertical="center"/>
    </xf>
    <xf numFmtId="49" fontId="8" fillId="0" borderId="15" xfId="0" quotePrefix="1" applyNumberFormat="1" applyFont="1" applyBorder="1" applyAlignment="1">
      <alignment horizontal="right" vertical="center"/>
    </xf>
    <xf numFmtId="49" fontId="8" fillId="0" borderId="0" xfId="0" applyNumberFormat="1" applyFont="1" applyBorder="1" applyAlignment="1">
      <alignment vertical="center"/>
    </xf>
    <xf numFmtId="0" fontId="8" fillId="0" borderId="0" xfId="0" applyFont="1" applyBorder="1" applyAlignment="1">
      <alignment vertical="center"/>
    </xf>
    <xf numFmtId="49" fontId="8" fillId="7" borderId="10" xfId="0" applyNumberFormat="1" applyFont="1" applyFill="1" applyBorder="1" applyAlignment="1">
      <alignment vertical="center"/>
    </xf>
    <xf numFmtId="49" fontId="8" fillId="7" borderId="11" xfId="0" applyNumberFormat="1" applyFont="1" applyFill="1" applyBorder="1" applyAlignment="1">
      <alignment vertical="center"/>
    </xf>
    <xf numFmtId="49" fontId="8" fillId="7" borderId="9" xfId="0" applyNumberFormat="1" applyFont="1" applyFill="1" applyBorder="1" applyAlignment="1">
      <alignment vertical="center"/>
    </xf>
    <xf numFmtId="49" fontId="8" fillId="8" borderId="10" xfId="0" applyNumberFormat="1" applyFont="1" applyFill="1" applyBorder="1" applyAlignment="1">
      <alignment vertical="center"/>
    </xf>
    <xf numFmtId="49" fontId="8" fillId="8" borderId="9" xfId="0" applyNumberFormat="1" applyFont="1" applyFill="1" applyBorder="1" applyAlignment="1">
      <alignment vertical="center"/>
    </xf>
    <xf numFmtId="49" fontId="8" fillId="0" borderId="10" xfId="0" applyNumberFormat="1" applyFont="1" applyBorder="1" applyAlignment="1">
      <alignment horizontal="left" vertical="center"/>
    </xf>
    <xf numFmtId="49" fontId="8" fillId="0" borderId="11" xfId="0" applyNumberFormat="1" applyFont="1" applyBorder="1" applyAlignment="1">
      <alignment horizontal="left" vertical="center"/>
    </xf>
    <xf numFmtId="49" fontId="8" fillId="0" borderId="9" xfId="0" applyNumberFormat="1" applyFont="1" applyBorder="1" applyAlignment="1">
      <alignment horizontal="left" vertical="center"/>
    </xf>
    <xf numFmtId="0" fontId="8" fillId="0" borderId="9" xfId="0" applyFont="1" applyBorder="1" applyAlignment="1">
      <alignment vertical="center"/>
    </xf>
    <xf numFmtId="49" fontId="8" fillId="0" borderId="9" xfId="0" applyNumberFormat="1" applyFont="1" applyBorder="1" applyAlignment="1">
      <alignment vertical="top"/>
    </xf>
    <xf numFmtId="49" fontId="8" fillId="0" borderId="11" xfId="0" applyNumberFormat="1" applyFont="1" applyBorder="1" applyAlignment="1">
      <alignment vertical="top"/>
    </xf>
    <xf numFmtId="49" fontId="8" fillId="0" borderId="24" xfId="0" applyNumberFormat="1" applyFont="1" applyBorder="1" applyAlignment="1">
      <alignment horizontal="left" vertical="center"/>
    </xf>
    <xf numFmtId="49" fontId="8" fillId="0" borderId="26" xfId="0" applyNumberFormat="1" applyFont="1" applyBorder="1" applyAlignment="1">
      <alignment horizontal="left" vertical="center"/>
    </xf>
    <xf numFmtId="49" fontId="8" fillId="0" borderId="25" xfId="0" applyNumberFormat="1" applyFont="1" applyBorder="1" applyAlignment="1">
      <alignment horizontal="left" vertical="center"/>
    </xf>
    <xf numFmtId="49" fontId="8" fillId="0" borderId="25" xfId="0" applyNumberFormat="1" applyFont="1" applyBorder="1" applyAlignment="1">
      <alignment vertical="top"/>
    </xf>
    <xf numFmtId="49" fontId="8" fillId="0" borderId="26" xfId="0" applyNumberFormat="1" applyFont="1" applyBorder="1" applyAlignment="1">
      <alignment vertical="top"/>
    </xf>
    <xf numFmtId="49" fontId="8" fillId="0" borderId="33" xfId="0" applyNumberFormat="1" applyFont="1" applyBorder="1" applyAlignment="1">
      <alignment horizontal="left" vertical="center"/>
    </xf>
    <xf numFmtId="49" fontId="8" fillId="0" borderId="34" xfId="0" applyNumberFormat="1" applyFont="1" applyBorder="1" applyAlignment="1">
      <alignment horizontal="left" vertical="center"/>
    </xf>
    <xf numFmtId="49" fontId="8" fillId="0" borderId="31" xfId="0" applyNumberFormat="1" applyFont="1" applyBorder="1" applyAlignment="1">
      <alignment horizontal="left" vertical="center"/>
    </xf>
    <xf numFmtId="49" fontId="8" fillId="0" borderId="31" xfId="0" applyNumberFormat="1" applyFont="1" applyBorder="1" applyAlignment="1">
      <alignment vertical="top"/>
    </xf>
    <xf numFmtId="49" fontId="8" fillId="0" borderId="34" xfId="0" applyNumberFormat="1" applyFont="1" applyBorder="1" applyAlignment="1">
      <alignment vertical="top"/>
    </xf>
    <xf numFmtId="0" fontId="8" fillId="0" borderId="10" xfId="1" applyFont="1" applyFill="1" applyBorder="1" applyAlignment="1">
      <alignment vertical="center"/>
    </xf>
    <xf numFmtId="49" fontId="8" fillId="0" borderId="15" xfId="0" quotePrefix="1" applyNumberFormat="1" applyFont="1" applyBorder="1" applyAlignment="1">
      <alignment horizontal="left" vertical="center"/>
    </xf>
    <xf numFmtId="49" fontId="8" fillId="0" borderId="0" xfId="0" applyNumberFormat="1" applyFont="1" applyBorder="1" applyAlignment="1">
      <alignment horizontal="left" vertical="center"/>
    </xf>
    <xf numFmtId="49" fontId="8" fillId="0" borderId="0" xfId="0" applyNumberFormat="1" applyFont="1" applyBorder="1" applyAlignment="1">
      <alignment vertical="top"/>
    </xf>
    <xf numFmtId="49" fontId="8" fillId="7" borderId="10" xfId="0" applyNumberFormat="1" applyFont="1" applyFill="1" applyBorder="1" applyAlignment="1">
      <alignment horizontal="left" vertical="center"/>
    </xf>
    <xf numFmtId="49" fontId="8" fillId="7" borderId="9" xfId="0" applyNumberFormat="1" applyFont="1" applyFill="1" applyBorder="1" applyAlignment="1">
      <alignment horizontal="left" vertical="center"/>
    </xf>
    <xf numFmtId="0" fontId="8" fillId="7" borderId="9" xfId="0" applyFont="1" applyFill="1" applyBorder="1" applyAlignment="1">
      <alignment vertical="center"/>
    </xf>
    <xf numFmtId="49" fontId="8" fillId="7" borderId="9" xfId="0" applyNumberFormat="1" applyFont="1" applyFill="1" applyBorder="1" applyAlignment="1">
      <alignment vertical="top"/>
    </xf>
    <xf numFmtId="49" fontId="8" fillId="7" borderId="11" xfId="0" applyNumberFormat="1" applyFont="1" applyFill="1" applyBorder="1" applyAlignment="1">
      <alignment vertical="top"/>
    </xf>
    <xf numFmtId="0" fontId="8" fillId="7" borderId="10" xfId="0" applyFont="1" applyFill="1" applyBorder="1" applyAlignment="1">
      <alignment vertical="center"/>
    </xf>
    <xf numFmtId="49" fontId="8" fillId="0" borderId="0" xfId="0" quotePrefix="1" applyNumberFormat="1" applyFont="1" applyBorder="1" applyAlignment="1">
      <alignment horizontal="left" vertical="center"/>
    </xf>
    <xf numFmtId="49" fontId="8" fillId="0" borderId="70" xfId="0" applyNumberFormat="1" applyFont="1" applyFill="1" applyBorder="1">
      <alignment vertical="center"/>
    </xf>
    <xf numFmtId="49" fontId="8" fillId="0" borderId="17" xfId="0" applyNumberFormat="1" applyFont="1" applyBorder="1">
      <alignment vertical="center"/>
    </xf>
    <xf numFmtId="49" fontId="8" fillId="0" borderId="71" xfId="0" applyNumberFormat="1" applyFont="1" applyBorder="1">
      <alignment vertical="center"/>
    </xf>
    <xf numFmtId="49" fontId="8" fillId="0" borderId="24" xfId="0" applyNumberFormat="1" applyFont="1" applyBorder="1" applyAlignment="1">
      <alignment vertical="top"/>
    </xf>
    <xf numFmtId="49" fontId="8" fillId="0" borderId="33" xfId="0" applyNumberFormat="1" applyFont="1" applyBorder="1" applyAlignment="1">
      <alignment vertical="top"/>
    </xf>
    <xf numFmtId="49" fontId="8" fillId="0" borderId="10" xfId="0" applyNumberFormat="1" applyFont="1" applyBorder="1" applyAlignment="1">
      <alignment vertical="top"/>
    </xf>
    <xf numFmtId="0" fontId="8" fillId="0" borderId="10" xfId="0" applyFont="1" applyBorder="1" applyAlignment="1">
      <alignment vertical="center"/>
    </xf>
    <xf numFmtId="49" fontId="8" fillId="0" borderId="16" xfId="0" applyNumberFormat="1" applyFont="1" applyBorder="1" applyAlignment="1">
      <alignment horizontal="left" vertical="center"/>
    </xf>
    <xf numFmtId="49" fontId="8" fillId="7" borderId="24" xfId="0" applyNumberFormat="1" applyFont="1" applyFill="1" applyBorder="1" applyAlignment="1">
      <alignment vertical="top"/>
    </xf>
    <xf numFmtId="49" fontId="8" fillId="7" borderId="25" xfId="0" applyNumberFormat="1" applyFont="1" applyFill="1" applyBorder="1" applyAlignment="1">
      <alignment vertical="top"/>
    </xf>
    <xf numFmtId="49" fontId="8" fillId="7" borderId="26" xfId="0" applyNumberFormat="1" applyFont="1" applyFill="1" applyBorder="1" applyAlignment="1">
      <alignment vertical="top"/>
    </xf>
    <xf numFmtId="49" fontId="8" fillId="0" borderId="15" xfId="0" applyNumberFormat="1" applyFont="1" applyBorder="1" applyAlignment="1">
      <alignment horizontal="center" vertical="center"/>
    </xf>
    <xf numFmtId="49" fontId="8" fillId="0" borderId="16" xfId="0" applyNumberFormat="1" applyFont="1" applyBorder="1" applyAlignment="1">
      <alignment horizontal="center" vertical="center"/>
    </xf>
    <xf numFmtId="49" fontId="8" fillId="0" borderId="15" xfId="0" applyNumberFormat="1" applyFont="1" applyBorder="1" applyAlignment="1">
      <alignment horizontal="center" vertical="center"/>
    </xf>
    <xf numFmtId="49" fontId="8" fillId="0" borderId="16" xfId="0" applyNumberFormat="1" applyFont="1" applyBorder="1" applyAlignment="1">
      <alignment horizontal="center" vertical="center"/>
    </xf>
    <xf numFmtId="0" fontId="8" fillId="0" borderId="0" xfId="1" applyFont="1" applyFill="1" applyBorder="1" applyAlignment="1">
      <alignment vertical="center"/>
    </xf>
    <xf numFmtId="49" fontId="8" fillId="0" borderId="15" xfId="0" applyNumberFormat="1" applyFont="1" applyBorder="1" applyAlignment="1">
      <alignment horizontal="left" vertical="center"/>
    </xf>
    <xf numFmtId="0" fontId="8" fillId="0" borderId="0" xfId="0" applyFont="1" applyAlignment="1">
      <alignment vertical="center"/>
    </xf>
    <xf numFmtId="177" fontId="8" fillId="0" borderId="10" xfId="0" applyNumberFormat="1" applyFont="1" applyBorder="1" applyAlignment="1">
      <alignment horizontal="center" vertical="top"/>
    </xf>
    <xf numFmtId="0" fontId="8" fillId="0" borderId="10" xfId="0" applyFont="1" applyBorder="1" applyAlignment="1">
      <alignment vertical="top" wrapText="1"/>
    </xf>
    <xf numFmtId="0" fontId="14" fillId="2" borderId="19" xfId="0" applyFont="1" applyFill="1" applyBorder="1" applyAlignment="1">
      <alignment horizontal="center"/>
    </xf>
    <xf numFmtId="0" fontId="8" fillId="0" borderId="13" xfId="0" applyFont="1" applyBorder="1" applyAlignment="1">
      <alignment vertical="top" wrapText="1"/>
    </xf>
    <xf numFmtId="14" fontId="8" fillId="0" borderId="49" xfId="0" applyNumberFormat="1" applyFont="1" applyBorder="1" applyAlignment="1">
      <alignment horizontal="center" vertical="top"/>
    </xf>
    <xf numFmtId="0" fontId="8" fillId="0" borderId="51" xfId="0" applyFont="1" applyBorder="1" applyAlignment="1">
      <alignment horizontal="center" vertical="top"/>
    </xf>
    <xf numFmtId="0" fontId="14" fillId="2" borderId="48" xfId="0" applyFont="1" applyFill="1" applyBorder="1" applyAlignment="1">
      <alignment horizontal="center"/>
    </xf>
    <xf numFmtId="0" fontId="8" fillId="0" borderId="49" xfId="0" applyFont="1" applyBorder="1" applyAlignment="1">
      <alignment horizontal="center" vertical="top"/>
    </xf>
    <xf numFmtId="0" fontId="8" fillId="0" borderId="46" xfId="0" applyFont="1" applyBorder="1" applyAlignment="1">
      <alignment horizontal="center" vertical="top"/>
    </xf>
    <xf numFmtId="177" fontId="8" fillId="0" borderId="41" xfId="0" applyNumberFormat="1" applyFont="1" applyBorder="1" applyAlignment="1">
      <alignment horizontal="center" vertical="top"/>
    </xf>
    <xf numFmtId="0" fontId="8" fillId="0" borderId="41" xfId="0" applyFont="1" applyBorder="1" applyAlignment="1">
      <alignment vertical="top" wrapText="1"/>
    </xf>
    <xf numFmtId="177" fontId="8" fillId="0" borderId="8" xfId="0" applyNumberFormat="1" applyFont="1" applyBorder="1" applyAlignment="1">
      <alignment horizontal="center" vertical="top"/>
    </xf>
    <xf numFmtId="0" fontId="8" fillId="0" borderId="49" xfId="0" applyNumberFormat="1" applyFont="1" applyBorder="1" applyAlignment="1">
      <alignment horizontal="center" vertical="top"/>
    </xf>
    <xf numFmtId="0" fontId="8" fillId="0" borderId="10" xfId="0" applyNumberFormat="1" applyFont="1" applyBorder="1" applyAlignment="1">
      <alignment horizontal="center" vertical="top"/>
    </xf>
    <xf numFmtId="0" fontId="8" fillId="0" borderId="46" xfId="0" applyNumberFormat="1" applyFont="1" applyBorder="1" applyAlignment="1">
      <alignment horizontal="center" vertical="top"/>
    </xf>
    <xf numFmtId="0" fontId="14" fillId="2" borderId="27" xfId="0" applyFont="1" applyFill="1" applyBorder="1" applyAlignment="1">
      <alignment horizontal="center"/>
    </xf>
    <xf numFmtId="0" fontId="8" fillId="4" borderId="54" xfId="0" applyFont="1" applyFill="1" applyBorder="1" applyAlignment="1">
      <alignment horizontal="center"/>
    </xf>
    <xf numFmtId="0" fontId="14" fillId="2" borderId="50" xfId="0" applyFont="1" applyFill="1" applyBorder="1" applyAlignment="1">
      <alignment horizontal="center"/>
    </xf>
    <xf numFmtId="0" fontId="8" fillId="4" borderId="53" xfId="0" applyFont="1" applyFill="1" applyBorder="1" applyAlignment="1">
      <alignment horizontal="center"/>
    </xf>
    <xf numFmtId="177" fontId="8" fillId="0" borderId="57" xfId="0" applyNumberFormat="1" applyFont="1" applyBorder="1" applyAlignment="1">
      <alignment horizontal="center" vertical="top"/>
    </xf>
    <xf numFmtId="0" fontId="14" fillId="6" borderId="36" xfId="0" applyFont="1" applyFill="1" applyBorder="1">
      <alignment vertical="center"/>
    </xf>
    <xf numFmtId="0" fontId="8" fillId="0" borderId="73" xfId="0" applyFont="1" applyBorder="1">
      <alignment vertical="center"/>
    </xf>
    <xf numFmtId="0" fontId="14" fillId="6" borderId="73" xfId="0" applyFont="1" applyFill="1" applyBorder="1">
      <alignment vertical="center"/>
    </xf>
    <xf numFmtId="14" fontId="8" fillId="0" borderId="73" xfId="0" applyNumberFormat="1" applyFont="1" applyFill="1" applyBorder="1" applyAlignment="1">
      <alignment horizontal="center" shrinkToFit="1"/>
    </xf>
    <xf numFmtId="0" fontId="14" fillId="6" borderId="74" xfId="0" applyFont="1" applyFill="1" applyBorder="1">
      <alignment vertical="center"/>
    </xf>
    <xf numFmtId="0" fontId="14" fillId="6" borderId="11" xfId="0" applyFont="1" applyFill="1" applyBorder="1">
      <alignment vertical="center"/>
    </xf>
    <xf numFmtId="0" fontId="8" fillId="0" borderId="45" xfId="0" applyFont="1" applyBorder="1">
      <alignment vertical="center"/>
    </xf>
    <xf numFmtId="0" fontId="14" fillId="6" borderId="45" xfId="0" applyFont="1" applyFill="1" applyBorder="1">
      <alignment vertical="center"/>
    </xf>
    <xf numFmtId="14" fontId="8" fillId="0" borderId="45" xfId="0" applyNumberFormat="1" applyFont="1" applyBorder="1" applyAlignment="1">
      <alignment horizontal="center" shrinkToFit="1"/>
    </xf>
    <xf numFmtId="0" fontId="14" fillId="6" borderId="40" xfId="0" applyFont="1" applyFill="1" applyBorder="1">
      <alignment vertical="center"/>
    </xf>
    <xf numFmtId="0" fontId="8" fillId="0" borderId="77" xfId="0" applyFont="1" applyBorder="1">
      <alignment vertical="center"/>
    </xf>
    <xf numFmtId="0" fontId="14" fillId="6" borderId="77" xfId="0" applyFont="1" applyFill="1" applyBorder="1">
      <alignment vertical="center"/>
    </xf>
    <xf numFmtId="177" fontId="8" fillId="0" borderId="77" xfId="0" applyNumberFormat="1" applyFont="1" applyFill="1" applyBorder="1" applyAlignment="1">
      <alignment horizontal="center" shrinkToFit="1"/>
    </xf>
    <xf numFmtId="0" fontId="14" fillId="0" borderId="0" xfId="0" applyFont="1" applyAlignment="1">
      <alignment horizontal="center" vertical="center"/>
    </xf>
    <xf numFmtId="0" fontId="14" fillId="2" borderId="4" xfId="0" applyFont="1" applyFill="1" applyBorder="1" applyAlignment="1">
      <alignment horizontal="center"/>
    </xf>
    <xf numFmtId="0" fontId="14" fillId="2" borderId="78" xfId="0" applyFont="1" applyFill="1" applyBorder="1" applyAlignment="1">
      <alignment horizontal="center"/>
    </xf>
    <xf numFmtId="177" fontId="8" fillId="0" borderId="79" xfId="0" applyNumberFormat="1" applyFont="1" applyBorder="1" applyAlignment="1">
      <alignment horizontal="center" vertical="top"/>
    </xf>
    <xf numFmtId="0" fontId="8" fillId="0" borderId="10" xfId="0" applyFont="1" applyBorder="1" applyAlignment="1">
      <alignment horizontal="left" vertical="top" wrapText="1"/>
    </xf>
    <xf numFmtId="0" fontId="14" fillId="2" borderId="59" xfId="0" applyFont="1" applyFill="1" applyBorder="1" applyAlignment="1">
      <alignment horizontal="center"/>
    </xf>
    <xf numFmtId="0" fontId="8" fillId="4" borderId="60" xfId="0" applyFont="1" applyFill="1" applyBorder="1" applyAlignment="1">
      <alignment horizontal="center"/>
    </xf>
    <xf numFmtId="177" fontId="8" fillId="0" borderId="30" xfId="0" applyNumberFormat="1" applyFont="1" applyBorder="1" applyAlignment="1">
      <alignment horizontal="center" vertical="top"/>
    </xf>
    <xf numFmtId="14" fontId="8" fillId="0" borderId="69" xfId="0" applyNumberFormat="1" applyFont="1" applyBorder="1" applyAlignment="1">
      <alignment horizontal="center" vertical="top"/>
    </xf>
    <xf numFmtId="0" fontId="8" fillId="0" borderId="33" xfId="0" applyFont="1" applyBorder="1" applyAlignment="1">
      <alignment vertical="top" wrapText="1"/>
    </xf>
    <xf numFmtId="0" fontId="8" fillId="0" borderId="66" xfId="0" applyNumberFormat="1" applyFont="1" applyBorder="1" applyAlignment="1">
      <alignment horizontal="center" vertical="top"/>
    </xf>
    <xf numFmtId="0" fontId="8" fillId="0" borderId="45" xfId="0" applyFont="1" applyBorder="1" applyAlignment="1">
      <alignment horizontal="center" vertical="top"/>
    </xf>
    <xf numFmtId="0" fontId="8" fillId="0" borderId="77" xfId="0" applyFont="1" applyBorder="1" applyAlignment="1">
      <alignment horizontal="center" vertical="top"/>
    </xf>
    <xf numFmtId="177" fontId="8" fillId="0" borderId="6" xfId="0" applyNumberFormat="1" applyFont="1" applyBorder="1" applyAlignment="1">
      <alignment horizontal="center" vertical="top"/>
    </xf>
    <xf numFmtId="14" fontId="8" fillId="0" borderId="79" xfId="0" applyNumberFormat="1" applyFont="1" applyBorder="1" applyAlignment="1">
      <alignment horizontal="center" vertical="top" shrinkToFit="1"/>
    </xf>
    <xf numFmtId="0" fontId="8" fillId="0" borderId="51" xfId="0" applyNumberFormat="1" applyFont="1" applyBorder="1" applyAlignment="1">
      <alignment horizontal="center"/>
    </xf>
    <xf numFmtId="49" fontId="8" fillId="0" borderId="15" xfId="0" applyNumberFormat="1" applyFont="1" applyBorder="1" applyAlignment="1">
      <alignment horizontal="center" vertical="center"/>
    </xf>
    <xf numFmtId="49" fontId="8" fillId="0" borderId="16" xfId="0" applyNumberFormat="1" applyFont="1" applyBorder="1" applyAlignment="1">
      <alignment horizontal="center" vertical="center"/>
    </xf>
    <xf numFmtId="49" fontId="8" fillId="0" borderId="15" xfId="0" applyNumberFormat="1" applyFont="1" applyBorder="1" applyAlignment="1">
      <alignment horizontal="center" vertical="center"/>
    </xf>
    <xf numFmtId="49" fontId="8" fillId="0" borderId="16" xfId="0" applyNumberFormat="1" applyFont="1" applyBorder="1" applyAlignment="1">
      <alignment horizontal="center" vertical="center"/>
    </xf>
    <xf numFmtId="49" fontId="8" fillId="7" borderId="11" xfId="0" applyNumberFormat="1" applyFont="1" applyFill="1" applyBorder="1" applyAlignment="1">
      <alignment horizontal="left" vertical="center"/>
    </xf>
    <xf numFmtId="49" fontId="8" fillId="9" borderId="10" xfId="0" applyNumberFormat="1" applyFont="1" applyFill="1" applyBorder="1" applyAlignment="1">
      <alignment vertical="center"/>
    </xf>
    <xf numFmtId="49" fontId="8" fillId="9" borderId="9" xfId="0" applyNumberFormat="1" applyFont="1" applyFill="1" applyBorder="1" applyAlignment="1">
      <alignment vertical="center"/>
    </xf>
    <xf numFmtId="49" fontId="8" fillId="9" borderId="11" xfId="0" applyNumberFormat="1" applyFont="1" applyFill="1" applyBorder="1" applyAlignment="1">
      <alignment vertical="center"/>
    </xf>
    <xf numFmtId="0" fontId="8" fillId="0" borderId="10" xfId="0" applyNumberFormat="1" applyFont="1" applyFill="1" applyBorder="1" applyAlignment="1">
      <alignment horizontal="left" vertical="center"/>
    </xf>
    <xf numFmtId="49" fontId="8" fillId="0" borderId="9" xfId="0" applyNumberFormat="1" applyFont="1" applyBorder="1" applyAlignment="1">
      <alignment vertical="center"/>
    </xf>
    <xf numFmtId="49" fontId="8" fillId="0" borderId="10" xfId="0" quotePrefix="1" applyNumberFormat="1" applyFont="1" applyBorder="1" applyAlignment="1">
      <alignment vertical="center"/>
    </xf>
    <xf numFmtId="49" fontId="8" fillId="0" borderId="11" xfId="0" applyNumberFormat="1" applyFont="1" applyBorder="1" applyAlignment="1">
      <alignment vertical="center"/>
    </xf>
    <xf numFmtId="0" fontId="8" fillId="0" borderId="1" xfId="0" applyFont="1" applyBorder="1" applyAlignment="1">
      <alignment vertical="center"/>
    </xf>
    <xf numFmtId="0" fontId="8" fillId="0" borderId="0" xfId="0" applyFont="1" applyAlignment="1">
      <alignment vertical="center" wrapText="1"/>
    </xf>
    <xf numFmtId="0" fontId="18" fillId="0" borderId="0" xfId="5" applyFont="1"/>
    <xf numFmtId="0" fontId="19" fillId="0" borderId="0" xfId="5" applyFont="1"/>
    <xf numFmtId="0" fontId="8" fillId="0" borderId="3" xfId="6" applyFont="1" applyBorder="1">
      <alignment vertical="center"/>
    </xf>
    <xf numFmtId="0" fontId="14" fillId="4" borderId="27" xfId="6" applyFont="1" applyFill="1" applyBorder="1">
      <alignment vertical="center"/>
    </xf>
    <xf numFmtId="0" fontId="8" fillId="4" borderId="80" xfId="6" applyFont="1" applyFill="1" applyBorder="1">
      <alignment vertical="center"/>
    </xf>
    <xf numFmtId="0" fontId="8" fillId="0" borderId="73" xfId="6" applyFont="1" applyFill="1" applyBorder="1">
      <alignment vertical="center"/>
    </xf>
    <xf numFmtId="0" fontId="8" fillId="4" borderId="28" xfId="6" applyFont="1" applyFill="1" applyBorder="1">
      <alignment vertical="center"/>
    </xf>
    <xf numFmtId="0" fontId="8" fillId="4" borderId="29" xfId="6" applyFont="1" applyFill="1" applyBorder="1">
      <alignment vertical="center"/>
    </xf>
    <xf numFmtId="0" fontId="14" fillId="4" borderId="8" xfId="6" applyFont="1" applyFill="1" applyBorder="1">
      <alignment vertical="center"/>
    </xf>
    <xf numFmtId="0" fontId="8" fillId="4" borderId="11" xfId="6" applyFont="1" applyFill="1" applyBorder="1">
      <alignment vertical="center"/>
    </xf>
    <xf numFmtId="0" fontId="8" fillId="0" borderId="9" xfId="6" applyFont="1" applyFill="1" applyBorder="1">
      <alignment vertical="center"/>
    </xf>
    <xf numFmtId="0" fontId="8" fillId="0" borderId="43" xfId="6" applyFont="1" applyFill="1" applyBorder="1">
      <alignment vertical="center"/>
    </xf>
    <xf numFmtId="0" fontId="14" fillId="4" borderId="30" xfId="6" applyFont="1" applyFill="1" applyBorder="1">
      <alignment vertical="center"/>
    </xf>
    <xf numFmtId="0" fontId="8" fillId="4" borderId="34" xfId="6" applyFont="1" applyFill="1" applyBorder="1">
      <alignment vertical="center"/>
    </xf>
    <xf numFmtId="0" fontId="8" fillId="0" borderId="33" xfId="6" applyFont="1" applyFill="1" applyBorder="1">
      <alignment vertical="center"/>
    </xf>
    <xf numFmtId="0" fontId="8" fillId="0" borderId="31" xfId="6" applyFont="1" applyFill="1" applyBorder="1">
      <alignment vertical="center"/>
    </xf>
    <xf numFmtId="0" fontId="8" fillId="0" borderId="32" xfId="6" applyFont="1" applyFill="1" applyBorder="1">
      <alignment vertical="center"/>
    </xf>
    <xf numFmtId="0" fontId="14" fillId="6" borderId="21" xfId="6" applyFont="1" applyFill="1" applyBorder="1">
      <alignment vertical="center"/>
    </xf>
    <xf numFmtId="0" fontId="14" fillId="6" borderId="11" xfId="6" applyFont="1" applyFill="1" applyBorder="1">
      <alignment vertical="center"/>
    </xf>
    <xf numFmtId="0" fontId="14" fillId="6" borderId="81" xfId="6" applyFont="1" applyFill="1" applyBorder="1">
      <alignment vertical="center"/>
    </xf>
    <xf numFmtId="0" fontId="21" fillId="0" borderId="21" xfId="5" applyNumberFormat="1" applyFont="1" applyFill="1" applyBorder="1" applyAlignment="1">
      <alignment vertical="top"/>
    </xf>
    <xf numFmtId="0" fontId="8" fillId="0" borderId="45" xfId="5" applyNumberFormat="1" applyFont="1" applyFill="1" applyBorder="1" applyAlignment="1">
      <alignment vertical="center"/>
    </xf>
    <xf numFmtId="0" fontId="8" fillId="0" borderId="45" xfId="5" applyNumberFormat="1" applyFont="1" applyFill="1" applyBorder="1" applyAlignment="1">
      <alignment wrapText="1"/>
    </xf>
    <xf numFmtId="0" fontId="8" fillId="0" borderId="81" xfId="5" applyNumberFormat="1" applyFont="1" applyFill="1" applyBorder="1" applyAlignment="1">
      <alignment wrapText="1"/>
    </xf>
    <xf numFmtId="0" fontId="14" fillId="5" borderId="21" xfId="2" applyFont="1" applyFill="1" applyBorder="1" applyAlignment="1"/>
    <xf numFmtId="0" fontId="22" fillId="5" borderId="45" xfId="3" applyFont="1" applyFill="1" applyBorder="1" applyAlignment="1"/>
    <xf numFmtId="0" fontId="22" fillId="5" borderId="69" xfId="2" applyFont="1" applyFill="1" applyBorder="1"/>
    <xf numFmtId="0" fontId="22" fillId="5" borderId="43" xfId="2" applyFont="1" applyFill="1" applyBorder="1" applyAlignment="1"/>
    <xf numFmtId="0" fontId="8" fillId="0" borderId="45" xfId="5" applyNumberFormat="1" applyFont="1" applyFill="1" applyBorder="1" applyAlignment="1">
      <alignment vertical="top"/>
    </xf>
    <xf numFmtId="0" fontId="8" fillId="0" borderId="45" xfId="5" applyNumberFormat="1" applyFont="1" applyFill="1" applyBorder="1" applyAlignment="1">
      <alignment vertical="top" wrapText="1"/>
    </xf>
    <xf numFmtId="0" fontId="8" fillId="0" borderId="32" xfId="5" applyNumberFormat="1" applyFont="1" applyFill="1" applyBorder="1" applyAlignment="1">
      <alignment wrapText="1"/>
    </xf>
    <xf numFmtId="0" fontId="8" fillId="0" borderId="0" xfId="6" applyFont="1">
      <alignment vertical="center"/>
    </xf>
    <xf numFmtId="14" fontId="8" fillId="0" borderId="13" xfId="0" applyNumberFormat="1" applyFont="1" applyBorder="1" applyAlignment="1">
      <alignment horizontal="center" vertical="top" shrinkToFit="1"/>
    </xf>
    <xf numFmtId="14" fontId="8" fillId="0" borderId="10" xfId="0" applyNumberFormat="1" applyFont="1" applyBorder="1" applyAlignment="1">
      <alignment horizontal="center" vertical="top"/>
    </xf>
    <xf numFmtId="0" fontId="8" fillId="0" borderId="10" xfId="0" applyFont="1" applyBorder="1" applyAlignment="1">
      <alignment horizontal="center" vertical="top"/>
    </xf>
    <xf numFmtId="0" fontId="8" fillId="0" borderId="41" xfId="0" applyFont="1" applyBorder="1" applyAlignment="1">
      <alignment horizontal="center" vertical="top"/>
    </xf>
    <xf numFmtId="0" fontId="14" fillId="2" borderId="62" xfId="0" applyFont="1" applyFill="1" applyBorder="1" applyAlignment="1">
      <alignment horizontal="center"/>
    </xf>
    <xf numFmtId="0" fontId="8" fillId="0" borderId="13" xfId="0" applyNumberFormat="1" applyFont="1" applyBorder="1" applyAlignment="1">
      <alignment horizontal="center" shrinkToFit="1"/>
    </xf>
    <xf numFmtId="0" fontId="8" fillId="0" borderId="33" xfId="0" applyNumberFormat="1" applyFont="1" applyBorder="1" applyAlignment="1">
      <alignment horizontal="center" vertical="top"/>
    </xf>
    <xf numFmtId="0" fontId="8" fillId="0" borderId="41" xfId="0" applyNumberFormat="1" applyFont="1" applyBorder="1" applyAlignment="1">
      <alignment horizontal="center" vertical="top"/>
    </xf>
    <xf numFmtId="0" fontId="26" fillId="4" borderId="56" xfId="0" applyFont="1" applyFill="1" applyBorder="1" applyAlignment="1"/>
    <xf numFmtId="0" fontId="26" fillId="4" borderId="82" xfId="0" applyFont="1" applyFill="1" applyBorder="1" applyAlignment="1"/>
    <xf numFmtId="0" fontId="26" fillId="4" borderId="69" xfId="0" applyFont="1" applyFill="1" applyBorder="1" applyAlignment="1"/>
    <xf numFmtId="0" fontId="26" fillId="4" borderId="85" xfId="0" applyFont="1" applyFill="1" applyBorder="1" applyAlignment="1"/>
    <xf numFmtId="0" fontId="8" fillId="10" borderId="31" xfId="6" applyFont="1" applyFill="1" applyBorder="1">
      <alignment vertical="center"/>
    </xf>
    <xf numFmtId="0" fontId="8" fillId="10" borderId="45" xfId="6" applyFont="1" applyFill="1" applyBorder="1">
      <alignment vertical="center"/>
    </xf>
    <xf numFmtId="0" fontId="8" fillId="10" borderId="81" xfId="6" applyFont="1" applyFill="1" applyBorder="1">
      <alignment vertical="center"/>
    </xf>
    <xf numFmtId="0" fontId="14" fillId="6" borderId="45" xfId="6" applyFont="1" applyFill="1" applyBorder="1">
      <alignment vertical="center"/>
    </xf>
    <xf numFmtId="0" fontId="22" fillId="5" borderId="9" xfId="2" applyFont="1" applyFill="1" applyBorder="1" applyAlignment="1"/>
    <xf numFmtId="0" fontId="22" fillId="5" borderId="45" xfId="2" applyFont="1" applyFill="1" applyBorder="1" applyAlignment="1"/>
    <xf numFmtId="0" fontId="22" fillId="5" borderId="81" xfId="2" applyFont="1" applyFill="1" applyBorder="1" applyAlignment="1"/>
    <xf numFmtId="0" fontId="8" fillId="0" borderId="45" xfId="6" applyFont="1" applyBorder="1">
      <alignment vertical="center"/>
    </xf>
    <xf numFmtId="0" fontId="8" fillId="0" borderId="81" xfId="6" applyFont="1" applyBorder="1">
      <alignment vertical="center"/>
    </xf>
    <xf numFmtId="0" fontId="21" fillId="0" borderId="22" xfId="5" applyNumberFormat="1" applyFont="1" applyFill="1" applyBorder="1" applyAlignment="1">
      <alignment vertical="top"/>
    </xf>
    <xf numFmtId="0" fontId="8" fillId="0" borderId="77" xfId="5" applyNumberFormat="1" applyFont="1" applyFill="1" applyBorder="1" applyAlignment="1">
      <alignment vertical="top" wrapText="1"/>
    </xf>
    <xf numFmtId="0" fontId="8" fillId="0" borderId="77" xfId="6" applyFont="1" applyBorder="1">
      <alignment vertical="center"/>
    </xf>
    <xf numFmtId="0" fontId="8" fillId="0" borderId="84" xfId="6" applyFont="1" applyBorder="1">
      <alignment vertical="center"/>
    </xf>
    <xf numFmtId="0" fontId="8" fillId="4" borderId="25" xfId="6" applyFont="1" applyFill="1" applyBorder="1">
      <alignment vertical="center"/>
    </xf>
    <xf numFmtId="0" fontId="26" fillId="4" borderId="34" xfId="0" applyFont="1" applyFill="1" applyBorder="1" applyAlignment="1"/>
    <xf numFmtId="0" fontId="14" fillId="6" borderId="9" xfId="6" applyFont="1" applyFill="1" applyBorder="1">
      <alignment vertical="center"/>
    </xf>
    <xf numFmtId="0" fontId="8" fillId="0" borderId="9" xfId="5" applyNumberFormat="1" applyFont="1" applyFill="1" applyBorder="1" applyAlignment="1">
      <alignment wrapText="1"/>
    </xf>
    <xf numFmtId="0" fontId="8" fillId="0" borderId="11" xfId="5" applyNumberFormat="1" applyFont="1" applyFill="1" applyBorder="1" applyAlignment="1">
      <alignment wrapText="1"/>
    </xf>
    <xf numFmtId="0" fontId="8" fillId="0" borderId="11" xfId="6" applyFont="1" applyBorder="1">
      <alignment vertical="center"/>
    </xf>
    <xf numFmtId="0" fontId="8" fillId="0" borderId="40" xfId="6" applyFont="1" applyBorder="1">
      <alignment vertical="center"/>
    </xf>
    <xf numFmtId="0" fontId="8" fillId="0" borderId="37" xfId="5" applyNumberFormat="1" applyFont="1" applyFill="1" applyBorder="1" applyAlignment="1">
      <alignment wrapText="1"/>
    </xf>
    <xf numFmtId="0" fontId="8" fillId="0" borderId="0" xfId="0" applyFont="1" applyFill="1">
      <alignment vertical="center"/>
    </xf>
    <xf numFmtId="0" fontId="14" fillId="2" borderId="52" xfId="0" applyFont="1" applyFill="1" applyBorder="1" applyAlignment="1">
      <alignment horizontal="center"/>
    </xf>
    <xf numFmtId="0" fontId="14" fillId="2" borderId="86" xfId="0" applyFont="1" applyFill="1" applyBorder="1" applyAlignment="1">
      <alignment horizontal="center"/>
    </xf>
    <xf numFmtId="0" fontId="8" fillId="0" borderId="87" xfId="0" applyFont="1" applyBorder="1" applyAlignment="1">
      <alignment horizontal="left" vertical="top"/>
    </xf>
    <xf numFmtId="0" fontId="8" fillId="0" borderId="81" xfId="0" applyFont="1" applyBorder="1" applyAlignment="1">
      <alignment horizontal="left" vertical="top"/>
    </xf>
    <xf numFmtId="0" fontId="8" fillId="0" borderId="84" xfId="0" applyFont="1" applyBorder="1" applyAlignment="1">
      <alignment horizontal="left" vertical="top"/>
    </xf>
    <xf numFmtId="0" fontId="8" fillId="0" borderId="85" xfId="0" applyFont="1" applyBorder="1" applyAlignment="1">
      <alignment horizontal="left" vertical="top"/>
    </xf>
    <xf numFmtId="0" fontId="14" fillId="3" borderId="30" xfId="0" applyFont="1" applyFill="1" applyBorder="1">
      <alignment vertical="center"/>
    </xf>
    <xf numFmtId="0" fontId="8" fillId="3" borderId="31" xfId="0" applyFont="1" applyFill="1" applyBorder="1">
      <alignment vertical="center"/>
    </xf>
    <xf numFmtId="0" fontId="8" fillId="3" borderId="32" xfId="0" applyFont="1" applyFill="1" applyBorder="1">
      <alignment vertical="center"/>
    </xf>
    <xf numFmtId="0" fontId="8" fillId="2" borderId="89" xfId="0" applyFont="1" applyFill="1" applyBorder="1">
      <alignment vertical="center"/>
    </xf>
    <xf numFmtId="0" fontId="8" fillId="2" borderId="90" xfId="0" applyFont="1" applyFill="1" applyBorder="1">
      <alignment vertical="center"/>
    </xf>
    <xf numFmtId="0" fontId="8" fillId="0" borderId="91" xfId="0" applyFont="1" applyBorder="1">
      <alignment vertical="center"/>
    </xf>
    <xf numFmtId="0" fontId="8" fillId="11" borderId="0" xfId="0" applyFont="1" applyFill="1" applyBorder="1">
      <alignment vertical="center"/>
    </xf>
    <xf numFmtId="0" fontId="8" fillId="0" borderId="1" xfId="0" applyFont="1" applyBorder="1" applyAlignment="1">
      <alignment horizontal="center" vertical="center"/>
    </xf>
    <xf numFmtId="49" fontId="8" fillId="0" borderId="30" xfId="0" applyNumberFormat="1" applyFont="1" applyBorder="1">
      <alignment vertical="center"/>
    </xf>
    <xf numFmtId="49" fontId="8" fillId="0" borderId="31" xfId="0" applyNumberFormat="1" applyFont="1" applyBorder="1">
      <alignment vertical="center"/>
    </xf>
    <xf numFmtId="49" fontId="8" fillId="0" borderId="32" xfId="0" applyNumberFormat="1" applyFont="1" applyBorder="1">
      <alignment vertical="center"/>
    </xf>
    <xf numFmtId="0" fontId="11" fillId="4" borderId="72" xfId="0" applyFont="1" applyFill="1" applyBorder="1" applyAlignment="1">
      <alignment horizontal="center" vertical="center"/>
    </xf>
    <xf numFmtId="0" fontId="11" fillId="4" borderId="75" xfId="0" applyFont="1" applyFill="1" applyBorder="1" applyAlignment="1">
      <alignment horizontal="center" vertical="center"/>
    </xf>
    <xf numFmtId="0" fontId="11" fillId="4" borderId="76" xfId="0" applyFont="1" applyFill="1" applyBorder="1" applyAlignment="1">
      <alignment horizontal="center" vertical="center"/>
    </xf>
    <xf numFmtId="0" fontId="7" fillId="3" borderId="10" xfId="0" applyFont="1" applyFill="1" applyBorder="1" applyAlignment="1">
      <alignment horizontal="center" vertical="center" wrapText="1"/>
    </xf>
    <xf numFmtId="0" fontId="9" fillId="3" borderId="9" xfId="0" applyFont="1" applyFill="1" applyBorder="1">
      <alignment vertical="center"/>
    </xf>
    <xf numFmtId="0" fontId="9" fillId="3" borderId="11" xfId="0" applyFont="1" applyFill="1" applyBorder="1">
      <alignment vertical="center"/>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9" fillId="0" borderId="11" xfId="0" applyFont="1" applyBorder="1" applyAlignment="1">
      <alignment horizontal="left" vertical="center"/>
    </xf>
    <xf numFmtId="14" fontId="7" fillId="3" borderId="10" xfId="0" applyNumberFormat="1"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11" xfId="0" applyFont="1" applyFill="1" applyBorder="1" applyAlignment="1">
      <alignment horizontal="center" vertical="center" wrapText="1"/>
    </xf>
    <xf numFmtId="177" fontId="9" fillId="0" borderId="10" xfId="0" applyNumberFormat="1" applyFont="1" applyBorder="1" applyAlignment="1">
      <alignment horizontal="left" vertical="center"/>
    </xf>
    <xf numFmtId="177" fontId="9" fillId="0" borderId="9" xfId="0" applyNumberFormat="1" applyFont="1" applyBorder="1" applyAlignment="1">
      <alignment horizontal="left" vertical="center"/>
    </xf>
    <xf numFmtId="177" fontId="9" fillId="0" borderId="11" xfId="0" applyNumberFormat="1" applyFont="1" applyBorder="1" applyAlignment="1">
      <alignment horizontal="left" vertical="center"/>
    </xf>
    <xf numFmtId="14" fontId="9" fillId="0" borderId="10" xfId="0" applyNumberFormat="1" applyFont="1" applyBorder="1" applyAlignment="1">
      <alignment horizontal="left" vertical="center"/>
    </xf>
    <xf numFmtId="0" fontId="9" fillId="0" borderId="10" xfId="0" quotePrefix="1" applyFont="1" applyBorder="1" applyAlignment="1">
      <alignment horizontal="left" vertical="center"/>
    </xf>
    <xf numFmtId="0" fontId="7" fillId="3" borderId="10"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14" fontId="9" fillId="0" borderId="10" xfId="0" applyNumberFormat="1" applyFont="1" applyBorder="1" applyAlignment="1">
      <alignment horizontal="center" vertical="center" wrapText="1"/>
    </xf>
    <xf numFmtId="0" fontId="8" fillId="0" borderId="9"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0" xfId="0" applyFont="1" applyBorder="1" applyAlignment="1">
      <alignment horizontal="center" vertical="center" wrapText="1"/>
    </xf>
    <xf numFmtId="0" fontId="9" fillId="0" borderId="45" xfId="0" applyFont="1" applyBorder="1" applyAlignment="1">
      <alignment horizontal="center" vertical="center"/>
    </xf>
    <xf numFmtId="177" fontId="9" fillId="0" borderId="10" xfId="0" applyNumberFormat="1" applyFont="1" applyBorder="1" applyAlignment="1">
      <alignment horizontal="center" vertical="center"/>
    </xf>
    <xf numFmtId="177" fontId="9" fillId="0" borderId="9" xfId="0" applyNumberFormat="1" applyFont="1" applyBorder="1" applyAlignment="1">
      <alignment horizontal="center" vertical="center"/>
    </xf>
    <xf numFmtId="177" fontId="9" fillId="0" borderId="11" xfId="0" applyNumberFormat="1" applyFont="1" applyBorder="1" applyAlignment="1">
      <alignment horizontal="center" vertical="center"/>
    </xf>
    <xf numFmtId="0" fontId="7" fillId="3" borderId="45" xfId="0" applyFont="1" applyFill="1" applyBorder="1" applyAlignment="1">
      <alignment horizontal="center" vertical="center" wrapText="1"/>
    </xf>
    <xf numFmtId="0" fontId="7" fillId="3" borderId="24" xfId="0" applyFont="1" applyFill="1" applyBorder="1" applyAlignment="1">
      <alignment horizontal="center" vertical="center" wrapText="1"/>
    </xf>
    <xf numFmtId="0" fontId="9" fillId="3" borderId="25" xfId="0" applyFont="1" applyFill="1" applyBorder="1">
      <alignment vertical="center"/>
    </xf>
    <xf numFmtId="0" fontId="9" fillId="3" borderId="26" xfId="0" applyFont="1" applyFill="1" applyBorder="1">
      <alignment vertical="center"/>
    </xf>
    <xf numFmtId="0" fontId="9" fillId="0" borderId="10" xfId="0" applyFont="1" applyBorder="1" applyAlignment="1">
      <alignment horizontal="left" vertical="center" wrapText="1"/>
    </xf>
    <xf numFmtId="0" fontId="9" fillId="0" borderId="24" xfId="0" applyFont="1" applyBorder="1" applyAlignment="1">
      <alignment horizontal="left" vertical="center"/>
    </xf>
    <xf numFmtId="0" fontId="9" fillId="0" borderId="25" xfId="0" applyFont="1" applyBorder="1" applyAlignment="1">
      <alignment horizontal="left" vertical="center"/>
    </xf>
    <xf numFmtId="0" fontId="9" fillId="0" borderId="26" xfId="0" applyFont="1" applyBorder="1" applyAlignment="1">
      <alignment horizontal="left" vertical="center"/>
    </xf>
    <xf numFmtId="176" fontId="9" fillId="0" borderId="24" xfId="0" applyNumberFormat="1" applyFont="1" applyBorder="1" applyAlignment="1">
      <alignment horizontal="left" vertical="center"/>
    </xf>
    <xf numFmtId="176" fontId="9" fillId="0" borderId="25" xfId="0" applyNumberFormat="1" applyFont="1" applyBorder="1" applyAlignment="1">
      <alignment horizontal="left" vertical="center"/>
    </xf>
    <xf numFmtId="176" fontId="9" fillId="0" borderId="26" xfId="0" applyNumberFormat="1" applyFont="1" applyBorder="1" applyAlignment="1">
      <alignment horizontal="left" vertical="center"/>
    </xf>
    <xf numFmtId="0" fontId="14" fillId="2" borderId="38" xfId="0" applyFont="1" applyFill="1" applyBorder="1" applyAlignment="1">
      <alignment horizontal="center" shrinkToFit="1"/>
    </xf>
    <xf numFmtId="0" fontId="8" fillId="0" borderId="35" xfId="0" applyFont="1" applyBorder="1" applyAlignment="1">
      <alignment horizontal="center" shrinkToFit="1"/>
    </xf>
    <xf numFmtId="0" fontId="14" fillId="2" borderId="38" xfId="0" applyFont="1" applyFill="1" applyBorder="1" applyAlignment="1">
      <alignment horizontal="center"/>
    </xf>
    <xf numFmtId="0" fontId="8" fillId="0" borderId="35" xfId="0" applyFont="1" applyBorder="1" applyAlignment="1">
      <alignment horizontal="center"/>
    </xf>
    <xf numFmtId="0" fontId="14" fillId="2" borderId="88" xfId="0" applyFont="1" applyFill="1" applyBorder="1" applyAlignment="1">
      <alignment horizontal="center"/>
    </xf>
    <xf numFmtId="0" fontId="8" fillId="0" borderId="83" xfId="0" applyFont="1" applyBorder="1" applyAlignment="1">
      <alignment horizontal="center"/>
    </xf>
    <xf numFmtId="177" fontId="8" fillId="0" borderId="41" xfId="0" applyNumberFormat="1" applyFont="1" applyFill="1" applyBorder="1" applyAlignment="1">
      <alignment horizontal="center" shrinkToFit="1"/>
    </xf>
    <xf numFmtId="177" fontId="8" fillId="0" borderId="39" xfId="0" applyNumberFormat="1" applyFont="1" applyFill="1" applyBorder="1" applyAlignment="1">
      <alignment horizontal="center" shrinkToFit="1"/>
    </xf>
    <xf numFmtId="177" fontId="8" fillId="0" borderId="40" xfId="0" applyNumberFormat="1" applyFont="1" applyFill="1" applyBorder="1" applyAlignment="1">
      <alignment horizontal="center" shrinkToFit="1"/>
    </xf>
    <xf numFmtId="14" fontId="8" fillId="0" borderId="38" xfId="0" applyNumberFormat="1" applyFont="1" applyFill="1" applyBorder="1" applyAlignment="1">
      <alignment horizontal="center" shrinkToFit="1"/>
    </xf>
    <xf numFmtId="14" fontId="8" fillId="0" borderId="35" xfId="0" applyNumberFormat="1" applyFont="1" applyFill="1" applyBorder="1" applyAlignment="1">
      <alignment horizontal="center" shrinkToFit="1"/>
    </xf>
    <xf numFmtId="14" fontId="8" fillId="0" borderId="36" xfId="0" applyNumberFormat="1" applyFont="1" applyFill="1" applyBorder="1" applyAlignment="1">
      <alignment horizontal="center" shrinkToFit="1"/>
    </xf>
    <xf numFmtId="0" fontId="14" fillId="3" borderId="38" xfId="0" applyFont="1" applyFill="1" applyBorder="1" applyAlignment="1">
      <alignment horizontal="center"/>
    </xf>
    <xf numFmtId="0" fontId="14" fillId="3" borderId="35" xfId="0" applyFont="1" applyFill="1" applyBorder="1" applyAlignment="1">
      <alignment horizontal="center"/>
    </xf>
    <xf numFmtId="0" fontId="14" fillId="3" borderId="42" xfId="0" applyFont="1" applyFill="1" applyBorder="1" applyAlignment="1">
      <alignment horizontal="center"/>
    </xf>
    <xf numFmtId="0" fontId="14" fillId="3" borderId="9" xfId="0" applyFont="1" applyFill="1" applyBorder="1" applyAlignment="1">
      <alignment horizontal="left"/>
    </xf>
    <xf numFmtId="0" fontId="8" fillId="0" borderId="9" xfId="0" applyFont="1" applyBorder="1" applyAlignment="1">
      <alignment horizontal="left"/>
    </xf>
    <xf numFmtId="0" fontId="8" fillId="0" borderId="11" xfId="0" applyFont="1" applyBorder="1" applyAlignment="1">
      <alignment horizontal="left"/>
    </xf>
    <xf numFmtId="0" fontId="8" fillId="0" borderId="10" xfId="0" applyFont="1" applyBorder="1" applyAlignment="1">
      <alignment horizontal="left" shrinkToFit="1"/>
    </xf>
    <xf numFmtId="0" fontId="8" fillId="0" borderId="9" xfId="0" applyFont="1" applyBorder="1" applyAlignment="1">
      <alignment horizontal="left" shrinkToFit="1"/>
    </xf>
    <xf numFmtId="0" fontId="8" fillId="0" borderId="11" xfId="0" applyFont="1" applyBorder="1" applyAlignment="1">
      <alignment horizontal="left" shrinkToFit="1"/>
    </xf>
    <xf numFmtId="0" fontId="14" fillId="3" borderId="10" xfId="0" applyFont="1" applyFill="1" applyBorder="1" applyAlignment="1">
      <alignment horizontal="left"/>
    </xf>
    <xf numFmtId="0" fontId="14" fillId="3" borderId="10" xfId="0" applyFont="1" applyFill="1" applyBorder="1" applyAlignment="1">
      <alignment horizontal="center"/>
    </xf>
    <xf numFmtId="0" fontId="14" fillId="3" borderId="9" xfId="0" applyFont="1" applyFill="1" applyBorder="1" applyAlignment="1">
      <alignment horizontal="center"/>
    </xf>
    <xf numFmtId="0" fontId="14" fillId="3" borderId="11" xfId="0" applyFont="1" applyFill="1" applyBorder="1" applyAlignment="1">
      <alignment horizontal="center"/>
    </xf>
    <xf numFmtId="0" fontId="8" fillId="0" borderId="10" xfId="0" applyFont="1" applyFill="1" applyBorder="1" applyAlignment="1">
      <alignment horizontal="center" shrinkToFit="1"/>
    </xf>
    <xf numFmtId="0" fontId="8" fillId="0" borderId="9" xfId="0" applyFont="1" applyFill="1" applyBorder="1" applyAlignment="1">
      <alignment horizontal="center" shrinkToFit="1"/>
    </xf>
    <xf numFmtId="0" fontId="8" fillId="0" borderId="11" xfId="0" applyFont="1" applyFill="1" applyBorder="1" applyAlignment="1">
      <alignment horizontal="center" shrinkToFit="1"/>
    </xf>
    <xf numFmtId="14" fontId="14" fillId="3" borderId="10" xfId="0" applyNumberFormat="1" applyFont="1" applyFill="1" applyBorder="1" applyAlignment="1">
      <alignment horizontal="center"/>
    </xf>
    <xf numFmtId="14" fontId="14" fillId="3" borderId="9" xfId="0" applyNumberFormat="1" applyFont="1" applyFill="1" applyBorder="1" applyAlignment="1">
      <alignment horizontal="center"/>
    </xf>
    <xf numFmtId="14" fontId="14" fillId="3" borderId="11" xfId="0" applyNumberFormat="1" applyFont="1" applyFill="1" applyBorder="1" applyAlignment="1">
      <alignment horizontal="center"/>
    </xf>
    <xf numFmtId="14" fontId="8" fillId="0" borderId="10" xfId="0" applyNumberFormat="1" applyFont="1" applyBorder="1" applyAlignment="1">
      <alignment horizontal="center" shrinkToFit="1"/>
    </xf>
    <xf numFmtId="14" fontId="8" fillId="0" borderId="9" xfId="0" applyNumberFormat="1" applyFont="1" applyBorder="1" applyAlignment="1">
      <alignment horizontal="center" shrinkToFit="1"/>
    </xf>
    <xf numFmtId="14" fontId="8" fillId="0" borderId="10" xfId="0" applyNumberFormat="1" applyFont="1" applyFill="1" applyBorder="1" applyAlignment="1">
      <alignment horizontal="center" vertical="center" shrinkToFit="1"/>
    </xf>
    <xf numFmtId="0" fontId="8" fillId="0" borderId="9" xfId="0" applyFont="1" applyFill="1" applyBorder="1" applyAlignment="1">
      <alignment horizontal="center" vertical="center" shrinkToFit="1"/>
    </xf>
    <xf numFmtId="0" fontId="8" fillId="0" borderId="43" xfId="0" applyFont="1" applyFill="1" applyBorder="1" applyAlignment="1">
      <alignment horizontal="center" vertical="center" shrinkToFit="1"/>
    </xf>
    <xf numFmtId="0" fontId="8" fillId="0" borderId="41" xfId="0" applyFont="1" applyFill="1" applyBorder="1" applyAlignment="1">
      <alignment horizontal="center" vertical="center" shrinkToFit="1"/>
    </xf>
    <xf numFmtId="0" fontId="8" fillId="0" borderId="39" xfId="0" applyFont="1" applyFill="1" applyBorder="1" applyAlignment="1">
      <alignment horizontal="center" vertical="center" shrinkToFit="1"/>
    </xf>
    <xf numFmtId="0" fontId="8" fillId="0" borderId="44" xfId="0" applyFont="1" applyFill="1" applyBorder="1" applyAlignment="1">
      <alignment horizontal="center" vertical="center" shrinkToFit="1"/>
    </xf>
    <xf numFmtId="0" fontId="14" fillId="3" borderId="39" xfId="0" applyFont="1" applyFill="1" applyBorder="1" applyAlignment="1">
      <alignment horizontal="left"/>
    </xf>
    <xf numFmtId="0" fontId="14" fillId="3" borderId="40" xfId="0" applyFont="1" applyFill="1" applyBorder="1" applyAlignment="1">
      <alignment horizontal="left"/>
    </xf>
    <xf numFmtId="0" fontId="8" fillId="0" borderId="41" xfId="0" applyFont="1" applyFill="1" applyBorder="1" applyAlignment="1">
      <alignment horizontal="left" shrinkToFit="1"/>
    </xf>
    <xf numFmtId="0" fontId="8" fillId="0" borderId="39" xfId="0" applyFont="1" applyBorder="1" applyAlignment="1">
      <alignment horizontal="left" shrinkToFit="1"/>
    </xf>
    <xf numFmtId="0" fontId="14" fillId="3" borderId="41" xfId="0" applyFont="1" applyFill="1" applyBorder="1" applyAlignment="1">
      <alignment horizontal="left"/>
    </xf>
    <xf numFmtId="0" fontId="8" fillId="0" borderId="39" xfId="0" applyFont="1" applyFill="1" applyBorder="1" applyAlignment="1">
      <alignment horizontal="left" shrinkToFit="1"/>
    </xf>
    <xf numFmtId="0" fontId="8" fillId="0" borderId="40" xfId="0" applyFont="1" applyFill="1" applyBorder="1" applyAlignment="1">
      <alignment horizontal="left" shrinkToFit="1"/>
    </xf>
    <xf numFmtId="14" fontId="14" fillId="3" borderId="41" xfId="0" applyNumberFormat="1" applyFont="1" applyFill="1" applyBorder="1" applyAlignment="1">
      <alignment horizontal="center"/>
    </xf>
    <xf numFmtId="14" fontId="14" fillId="3" borderId="39" xfId="0" applyNumberFormat="1" applyFont="1" applyFill="1" applyBorder="1" applyAlignment="1">
      <alignment horizontal="center"/>
    </xf>
    <xf numFmtId="14" fontId="14" fillId="3" borderId="40" xfId="0" applyNumberFormat="1" applyFont="1" applyFill="1" applyBorder="1" applyAlignment="1">
      <alignment horizontal="center"/>
    </xf>
    <xf numFmtId="0" fontId="14" fillId="3" borderId="38" xfId="0" applyFont="1" applyFill="1" applyBorder="1" applyAlignment="1">
      <alignment horizontal="left"/>
    </xf>
    <xf numFmtId="0" fontId="8" fillId="0" borderId="35" xfId="0" applyFont="1" applyBorder="1" applyAlignment="1">
      <alignment horizontal="left"/>
    </xf>
    <xf numFmtId="0" fontId="8" fillId="0" borderId="36" xfId="0" applyFont="1" applyBorder="1" applyAlignment="1">
      <alignment horizontal="left"/>
    </xf>
    <xf numFmtId="0" fontId="8" fillId="0" borderId="38" xfId="0" applyFont="1" applyBorder="1" applyAlignment="1">
      <alignment horizontal="left" shrinkToFit="1"/>
    </xf>
    <xf numFmtId="0" fontId="8" fillId="0" borderId="35" xfId="0" applyFont="1" applyBorder="1" applyAlignment="1">
      <alignment horizontal="left" shrinkToFit="1"/>
    </xf>
    <xf numFmtId="0" fontId="8" fillId="0" borderId="36" xfId="0" applyFont="1" applyBorder="1" applyAlignment="1">
      <alignment horizontal="left" shrinkToFit="1"/>
    </xf>
    <xf numFmtId="0" fontId="14" fillId="3" borderId="36" xfId="0" applyFont="1" applyFill="1" applyBorder="1" applyAlignment="1">
      <alignment horizontal="center"/>
    </xf>
    <xf numFmtId="0" fontId="8" fillId="0" borderId="38" xfId="0" applyFont="1" applyFill="1" applyBorder="1" applyAlignment="1">
      <alignment horizontal="center" shrinkToFit="1"/>
    </xf>
    <xf numFmtId="0" fontId="8" fillId="0" borderId="35" xfId="0" applyFont="1" applyFill="1" applyBorder="1" applyAlignment="1">
      <alignment horizontal="center" shrinkToFit="1"/>
    </xf>
    <xf numFmtId="0" fontId="8" fillId="0" borderId="36" xfId="0" applyFont="1" applyFill="1" applyBorder="1" applyAlignment="1">
      <alignment horizontal="center" shrinkToFit="1"/>
    </xf>
    <xf numFmtId="0" fontId="8" fillId="0" borderId="58" xfId="0" applyFont="1" applyBorder="1" applyAlignment="1">
      <alignment vertical="center"/>
    </xf>
    <xf numFmtId="0" fontId="8" fillId="0" borderId="26" xfId="0" applyFont="1" applyBorder="1" applyAlignment="1">
      <alignment vertical="center"/>
    </xf>
    <xf numFmtId="0" fontId="11" fillId="2" borderId="27"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1" fillId="2" borderId="29"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4" fillId="3" borderId="35" xfId="0" applyFont="1" applyFill="1" applyBorder="1" applyAlignment="1">
      <alignment horizontal="left"/>
    </xf>
    <xf numFmtId="49" fontId="14" fillId="2" borderId="19" xfId="0" applyNumberFormat="1" applyFont="1" applyFill="1" applyBorder="1" applyAlignment="1">
      <alignment horizontal="center" vertical="center"/>
    </xf>
    <xf numFmtId="49" fontId="14" fillId="2" borderId="18" xfId="0" applyNumberFormat="1" applyFont="1" applyFill="1" applyBorder="1" applyAlignment="1">
      <alignment horizontal="center" vertical="center"/>
    </xf>
    <xf numFmtId="49" fontId="8" fillId="0" borderId="15" xfId="0" applyNumberFormat="1" applyFont="1" applyBorder="1" applyAlignment="1">
      <alignment horizontal="center" vertical="center"/>
    </xf>
    <xf numFmtId="49" fontId="8" fillId="0" borderId="16" xfId="0" applyNumberFormat="1" applyFont="1" applyBorder="1" applyAlignment="1">
      <alignment horizontal="center" vertical="center"/>
    </xf>
    <xf numFmtId="49" fontId="8" fillId="0" borderId="24" xfId="0" applyNumberFormat="1" applyFont="1" applyBorder="1" applyAlignment="1">
      <alignment horizontal="center" vertical="center"/>
    </xf>
    <xf numFmtId="49" fontId="8" fillId="0" borderId="26" xfId="0" applyNumberFormat="1" applyFont="1" applyBorder="1" applyAlignment="1">
      <alignment horizontal="center" vertical="center"/>
    </xf>
    <xf numFmtId="49" fontId="8" fillId="0" borderId="17" xfId="0" applyNumberFormat="1" applyFont="1" applyBorder="1" applyAlignment="1">
      <alignment horizontal="center" vertical="center"/>
    </xf>
    <xf numFmtId="49" fontId="8" fillId="0" borderId="71" xfId="0" applyNumberFormat="1" applyFont="1" applyBorder="1" applyAlignment="1">
      <alignment horizontal="center" vertical="center"/>
    </xf>
    <xf numFmtId="14" fontId="12" fillId="3" borderId="10" xfId="0" applyNumberFormat="1" applyFont="1" applyFill="1" applyBorder="1" applyAlignment="1">
      <alignment horizontal="center"/>
    </xf>
    <xf numFmtId="14" fontId="12" fillId="3" borderId="9" xfId="0" applyNumberFormat="1" applyFont="1" applyFill="1" applyBorder="1" applyAlignment="1">
      <alignment horizontal="center"/>
    </xf>
    <xf numFmtId="14" fontId="12" fillId="3" borderId="11" xfId="0" applyNumberFormat="1" applyFont="1" applyFill="1" applyBorder="1" applyAlignment="1">
      <alignment horizontal="center"/>
    </xf>
    <xf numFmtId="0" fontId="13" fillId="0" borderId="38" xfId="0" applyFont="1" applyFill="1" applyBorder="1" applyAlignment="1">
      <alignment horizontal="center" shrinkToFit="1"/>
    </xf>
    <xf numFmtId="0" fontId="13" fillId="0" borderId="35" xfId="0" applyFont="1" applyFill="1" applyBorder="1" applyAlignment="1">
      <alignment horizontal="center" shrinkToFit="1"/>
    </xf>
    <xf numFmtId="0" fontId="13" fillId="0" borderId="36" xfId="0" applyFont="1" applyFill="1" applyBorder="1" applyAlignment="1">
      <alignment horizontal="center" shrinkToFit="1"/>
    </xf>
    <xf numFmtId="0" fontId="12" fillId="3" borderId="38" xfId="0" applyFont="1" applyFill="1" applyBorder="1" applyAlignment="1">
      <alignment horizontal="center"/>
    </xf>
    <xf numFmtId="0" fontId="12" fillId="3" borderId="35" xfId="0" applyFont="1" applyFill="1" applyBorder="1" applyAlignment="1">
      <alignment horizontal="center"/>
    </xf>
    <xf numFmtId="0" fontId="12" fillId="3" borderId="36" xfId="0" applyFont="1" applyFill="1" applyBorder="1" applyAlignment="1">
      <alignment horizontal="center"/>
    </xf>
    <xf numFmtId="0" fontId="13" fillId="0" borderId="41" xfId="0" applyFont="1" applyFill="1" applyBorder="1" applyAlignment="1">
      <alignment horizontal="left" shrinkToFit="1"/>
    </xf>
    <xf numFmtId="0" fontId="12" fillId="3" borderId="41" xfId="0" applyFont="1" applyFill="1" applyBorder="1" applyAlignment="1">
      <alignment horizontal="left"/>
    </xf>
    <xf numFmtId="0" fontId="12" fillId="3" borderId="39" xfId="0" applyFont="1" applyFill="1" applyBorder="1" applyAlignment="1">
      <alignment horizontal="left"/>
    </xf>
    <xf numFmtId="0" fontId="12" fillId="3" borderId="40" xfId="0" applyFont="1" applyFill="1" applyBorder="1" applyAlignment="1">
      <alignment horizontal="left"/>
    </xf>
    <xf numFmtId="0" fontId="13" fillId="0" borderId="39" xfId="0" applyFont="1" applyFill="1" applyBorder="1" applyAlignment="1">
      <alignment horizontal="left" shrinkToFit="1"/>
    </xf>
    <xf numFmtId="0" fontId="13" fillId="0" borderId="40" xfId="0" applyFont="1" applyFill="1" applyBorder="1" applyAlignment="1">
      <alignment horizontal="left" shrinkToFit="1"/>
    </xf>
    <xf numFmtId="14" fontId="12" fillId="3" borderId="41" xfId="0" applyNumberFormat="1" applyFont="1" applyFill="1" applyBorder="1" applyAlignment="1">
      <alignment horizontal="center"/>
    </xf>
    <xf numFmtId="14" fontId="12" fillId="3" borderId="39" xfId="0" applyNumberFormat="1" applyFont="1" applyFill="1" applyBorder="1" applyAlignment="1">
      <alignment horizontal="center"/>
    </xf>
    <xf numFmtId="14" fontId="12" fillId="3" borderId="40" xfId="0" applyNumberFormat="1" applyFont="1" applyFill="1" applyBorder="1" applyAlignment="1">
      <alignment horizontal="center"/>
    </xf>
    <xf numFmtId="177" fontId="13" fillId="0" borderId="41" xfId="0" applyNumberFormat="1" applyFont="1" applyFill="1" applyBorder="1" applyAlignment="1">
      <alignment horizontal="center" shrinkToFit="1"/>
    </xf>
    <xf numFmtId="177" fontId="13" fillId="0" borderId="39" xfId="0" applyNumberFormat="1" applyFont="1" applyFill="1" applyBorder="1" applyAlignment="1">
      <alignment horizontal="center" shrinkToFit="1"/>
    </xf>
    <xf numFmtId="177" fontId="13" fillId="0" borderId="40" xfId="0" applyNumberFormat="1" applyFont="1" applyFill="1" applyBorder="1" applyAlignment="1">
      <alignment horizontal="center" shrinkToFit="1"/>
    </xf>
    <xf numFmtId="14" fontId="13" fillId="0" borderId="38" xfId="0" applyNumberFormat="1" applyFont="1" applyFill="1" applyBorder="1" applyAlignment="1">
      <alignment horizontal="center" shrinkToFit="1"/>
    </xf>
    <xf numFmtId="14" fontId="13" fillId="0" borderId="35" xfId="0" applyNumberFormat="1" applyFont="1" applyFill="1" applyBorder="1" applyAlignment="1">
      <alignment horizontal="center" shrinkToFit="1"/>
    </xf>
    <xf numFmtId="14" fontId="13" fillId="0" borderId="36" xfId="0" applyNumberFormat="1" applyFont="1" applyFill="1" applyBorder="1" applyAlignment="1">
      <alignment horizontal="center" shrinkToFit="1"/>
    </xf>
    <xf numFmtId="0" fontId="12" fillId="3" borderId="42" xfId="0" applyFont="1" applyFill="1" applyBorder="1" applyAlignment="1">
      <alignment horizontal="center"/>
    </xf>
    <xf numFmtId="0" fontId="12" fillId="3" borderId="9" xfId="0" applyFont="1" applyFill="1" applyBorder="1" applyAlignment="1">
      <alignment horizontal="left"/>
    </xf>
    <xf numFmtId="0" fontId="13" fillId="0" borderId="10" xfId="0" applyFont="1" applyBorder="1" applyAlignment="1">
      <alignment horizontal="left" shrinkToFit="1"/>
    </xf>
    <xf numFmtId="0" fontId="12" fillId="3" borderId="10" xfId="0" applyFont="1" applyFill="1" applyBorder="1" applyAlignment="1">
      <alignment horizontal="left"/>
    </xf>
    <xf numFmtId="0" fontId="12" fillId="3" borderId="10" xfId="0" applyFont="1" applyFill="1" applyBorder="1" applyAlignment="1">
      <alignment horizontal="center"/>
    </xf>
    <xf numFmtId="0" fontId="12" fillId="3" borderId="9" xfId="0" applyFont="1" applyFill="1" applyBorder="1" applyAlignment="1">
      <alignment horizontal="center"/>
    </xf>
    <xf numFmtId="0" fontId="12" fillId="3" borderId="11" xfId="0" applyFont="1" applyFill="1" applyBorder="1" applyAlignment="1">
      <alignment horizontal="center"/>
    </xf>
    <xf numFmtId="0" fontId="13" fillId="0" borderId="10" xfId="0" applyFont="1" applyFill="1" applyBorder="1" applyAlignment="1">
      <alignment horizontal="center" shrinkToFit="1"/>
    </xf>
    <xf numFmtId="0" fontId="13" fillId="0" borderId="9" xfId="0" applyFont="1" applyFill="1" applyBorder="1" applyAlignment="1">
      <alignment horizontal="center" shrinkToFit="1"/>
    </xf>
    <xf numFmtId="0" fontId="13" fillId="0" borderId="11" xfId="0" applyFont="1" applyFill="1" applyBorder="1" applyAlignment="1">
      <alignment horizontal="center" shrinkToFit="1"/>
    </xf>
    <xf numFmtId="0" fontId="12" fillId="3" borderId="35" xfId="0" applyFont="1" applyFill="1" applyBorder="1" applyAlignment="1">
      <alignment horizontal="left"/>
    </xf>
    <xf numFmtId="0" fontId="13" fillId="0" borderId="38" xfId="0" applyFont="1" applyBorder="1" applyAlignment="1">
      <alignment horizontal="left" shrinkToFit="1"/>
    </xf>
    <xf numFmtId="0" fontId="12" fillId="3" borderId="38" xfId="0" applyFont="1" applyFill="1" applyBorder="1" applyAlignment="1">
      <alignment horizontal="left"/>
    </xf>
    <xf numFmtId="14" fontId="13" fillId="0" borderId="10" xfId="0" applyNumberFormat="1" applyFont="1" applyBorder="1" applyAlignment="1">
      <alignment horizontal="center" shrinkToFit="1"/>
    </xf>
    <xf numFmtId="14" fontId="13" fillId="0" borderId="9" xfId="0" applyNumberFormat="1" applyFont="1" applyBorder="1" applyAlignment="1">
      <alignment horizontal="center" shrinkToFit="1"/>
    </xf>
    <xf numFmtId="14" fontId="13" fillId="0" borderId="10" xfId="0" applyNumberFormat="1" applyFont="1" applyFill="1" applyBorder="1" applyAlignment="1">
      <alignment horizontal="center" vertical="center" shrinkToFit="1"/>
    </xf>
    <xf numFmtId="0" fontId="13" fillId="0" borderId="9" xfId="0" applyFont="1" applyFill="1" applyBorder="1" applyAlignment="1">
      <alignment horizontal="center" vertical="center" shrinkToFit="1"/>
    </xf>
    <xf numFmtId="0" fontId="13" fillId="0" borderId="43" xfId="0" applyFont="1" applyFill="1" applyBorder="1" applyAlignment="1">
      <alignment horizontal="center" vertical="center" shrinkToFit="1"/>
    </xf>
    <xf numFmtId="0" fontId="13" fillId="0" borderId="41" xfId="0" applyFont="1" applyFill="1" applyBorder="1" applyAlignment="1">
      <alignment horizontal="center" vertical="center" shrinkToFit="1"/>
    </xf>
    <xf numFmtId="0" fontId="13" fillId="0" borderId="39" xfId="0" applyFont="1" applyFill="1" applyBorder="1" applyAlignment="1">
      <alignment horizontal="center" vertical="center" shrinkToFit="1"/>
    </xf>
    <xf numFmtId="0" fontId="13" fillId="0" borderId="44" xfId="0" applyFont="1" applyFill="1" applyBorder="1" applyAlignment="1">
      <alignment horizontal="center" vertical="center" shrinkToFit="1"/>
    </xf>
    <xf numFmtId="0" fontId="14" fillId="0" borderId="0" xfId="0" applyFont="1" applyFill="1" applyBorder="1" applyAlignment="1">
      <alignment horizontal="left"/>
    </xf>
    <xf numFmtId="0" fontId="14" fillId="0" borderId="0" xfId="0" applyFont="1" applyFill="1" applyBorder="1" applyAlignment="1">
      <alignment horizontal="center"/>
    </xf>
    <xf numFmtId="0" fontId="14" fillId="0" borderId="0" xfId="0" applyFont="1" applyFill="1" applyBorder="1" applyAlignment="1">
      <alignment horizontal="center" shrinkToFit="1"/>
    </xf>
    <xf numFmtId="0" fontId="8" fillId="0" borderId="0" xfId="0" applyFont="1" applyFill="1" applyBorder="1" applyAlignment="1">
      <alignment horizontal="center" shrinkToFit="1"/>
    </xf>
    <xf numFmtId="0" fontId="8" fillId="0" borderId="0" xfId="0" applyFont="1" applyFill="1" applyBorder="1" applyAlignment="1">
      <alignment horizontal="center"/>
    </xf>
    <xf numFmtId="0" fontId="8" fillId="2" borderId="92" xfId="0" applyFont="1" applyFill="1" applyBorder="1" applyAlignment="1">
      <alignment horizontal="center" vertical="top"/>
    </xf>
    <xf numFmtId="0" fontId="16" fillId="0" borderId="78" xfId="0" applyFont="1" applyBorder="1" applyAlignment="1">
      <alignment horizontal="center" vertical="top"/>
    </xf>
    <xf numFmtId="0" fontId="8" fillId="2" borderId="78" xfId="0" applyFont="1" applyFill="1" applyBorder="1" applyAlignment="1">
      <alignment horizontal="center" vertical="top"/>
    </xf>
    <xf numFmtId="0" fontId="8" fillId="2" borderId="19" xfId="0" applyFont="1" applyFill="1" applyBorder="1" applyAlignment="1">
      <alignment horizontal="center" vertical="top"/>
    </xf>
    <xf numFmtId="0" fontId="8" fillId="2" borderId="5" xfId="0" applyFont="1" applyFill="1" applyBorder="1" applyAlignment="1">
      <alignment horizontal="center" vertical="top"/>
    </xf>
    <xf numFmtId="0" fontId="8" fillId="2" borderId="18" xfId="0" applyFont="1" applyFill="1" applyBorder="1" applyAlignment="1">
      <alignment horizontal="center" vertical="top"/>
    </xf>
    <xf numFmtId="0" fontId="8" fillId="2" borderId="52" xfId="0" applyFont="1" applyFill="1" applyBorder="1" applyAlignment="1">
      <alignment horizontal="center" vertical="top"/>
    </xf>
    <xf numFmtId="0" fontId="8" fillId="2" borderId="28" xfId="0" applyFont="1" applyFill="1" applyBorder="1" applyAlignment="1">
      <alignment horizontal="center" vertical="top"/>
    </xf>
    <xf numFmtId="0" fontId="8" fillId="2" borderId="29" xfId="0" applyFont="1" applyFill="1" applyBorder="1" applyAlignment="1">
      <alignment horizontal="center" vertical="top"/>
    </xf>
    <xf numFmtId="0" fontId="8" fillId="0" borderId="20" xfId="0" applyNumberFormat="1" applyFont="1" applyBorder="1" applyAlignment="1">
      <alignment horizontal="center" vertical="top"/>
    </xf>
    <xf numFmtId="0" fontId="8" fillId="0" borderId="79" xfId="0" applyNumberFormat="1" applyFont="1" applyBorder="1" applyAlignment="1">
      <alignment horizontal="center" vertical="top"/>
    </xf>
    <xf numFmtId="14" fontId="8" fillId="0" borderId="79" xfId="0" applyNumberFormat="1" applyFont="1" applyBorder="1" applyAlignment="1">
      <alignment horizontal="center" vertical="top"/>
    </xf>
    <xf numFmtId="0" fontId="8" fillId="0" borderId="79" xfId="0" applyFont="1" applyBorder="1" applyAlignment="1">
      <alignment horizontal="center" vertical="top"/>
    </xf>
    <xf numFmtId="0" fontId="8" fillId="0" borderId="93" xfId="0" applyFont="1" applyBorder="1" applyAlignment="1">
      <alignment horizontal="left" vertical="top"/>
    </xf>
    <xf numFmtId="0" fontId="8" fillId="0" borderId="94" xfId="0" applyFont="1" applyBorder="1" applyAlignment="1">
      <alignment horizontal="left" vertical="top"/>
    </xf>
    <xf numFmtId="0" fontId="8" fillId="0" borderId="95" xfId="0" applyFont="1" applyBorder="1" applyAlignment="1">
      <alignment horizontal="left" vertical="top"/>
    </xf>
    <xf numFmtId="0" fontId="8" fillId="0" borderId="13" xfId="0" applyNumberFormat="1" applyFont="1" applyBorder="1" applyAlignment="1">
      <alignment horizontal="center" vertical="top"/>
    </xf>
    <xf numFmtId="0" fontId="8" fillId="0" borderId="7" xfId="0" applyNumberFormat="1" applyFont="1" applyBorder="1" applyAlignment="1">
      <alignment horizontal="center" vertical="top"/>
    </xf>
    <xf numFmtId="0" fontId="8" fillId="0" borderId="47" xfId="0" applyNumberFormat="1" applyFont="1" applyBorder="1" applyAlignment="1">
      <alignment horizontal="center" vertical="top"/>
    </xf>
    <xf numFmtId="0" fontId="8" fillId="0" borderId="21" xfId="0" applyNumberFormat="1" applyFont="1" applyBorder="1" applyAlignment="1">
      <alignment horizontal="center" vertical="top"/>
    </xf>
    <xf numFmtId="0" fontId="8" fillId="0" borderId="45" xfId="0" applyNumberFormat="1" applyFont="1" applyBorder="1" applyAlignment="1">
      <alignment horizontal="center" vertical="top"/>
    </xf>
    <xf numFmtId="0" fontId="8" fillId="0" borderId="45" xfId="0" applyFont="1" applyBorder="1" applyAlignment="1">
      <alignment horizontal="center" vertical="top"/>
    </xf>
    <xf numFmtId="0" fontId="8" fillId="0" borderId="15" xfId="0" applyFont="1" applyBorder="1" applyAlignment="1">
      <alignment horizontal="left" vertical="top"/>
    </xf>
    <xf numFmtId="0" fontId="8" fillId="0" borderId="0" xfId="0" applyFont="1" applyBorder="1" applyAlignment="1">
      <alignment horizontal="left" vertical="top"/>
    </xf>
    <xf numFmtId="0" fontId="8" fillId="0" borderId="16" xfId="0" applyFont="1" applyBorder="1" applyAlignment="1">
      <alignment horizontal="left" vertical="top"/>
    </xf>
    <xf numFmtId="0" fontId="8" fillId="0" borderId="10" xfId="0" applyNumberFormat="1" applyFont="1" applyBorder="1" applyAlignment="1">
      <alignment horizontal="center" vertical="top"/>
    </xf>
    <xf numFmtId="0" fontId="8" fillId="0" borderId="9" xfId="0" applyNumberFormat="1" applyFont="1" applyBorder="1" applyAlignment="1">
      <alignment horizontal="center" vertical="top"/>
    </xf>
    <xf numFmtId="0" fontId="8" fillId="0" borderId="43" xfId="0" applyNumberFormat="1" applyFont="1" applyBorder="1" applyAlignment="1">
      <alignment horizontal="center" vertical="top"/>
    </xf>
    <xf numFmtId="14" fontId="8" fillId="0" borderId="45" xfId="0" applyNumberFormat="1" applyFont="1" applyBorder="1" applyAlignment="1">
      <alignment horizontal="center" vertical="top"/>
    </xf>
    <xf numFmtId="0" fontId="8" fillId="0" borderId="24" xfId="0" applyFont="1" applyBorder="1" applyAlignment="1">
      <alignment horizontal="left" vertical="top"/>
    </xf>
    <xf numFmtId="0" fontId="8" fillId="0" borderId="25" xfId="0" applyFont="1" applyBorder="1" applyAlignment="1">
      <alignment horizontal="left" vertical="top"/>
    </xf>
    <xf numFmtId="0" fontId="8" fillId="0" borderId="26" xfId="0" applyFont="1" applyBorder="1" applyAlignment="1">
      <alignment horizontal="left" vertical="top"/>
    </xf>
    <xf numFmtId="0" fontId="8" fillId="0" borderId="22" xfId="0" applyNumberFormat="1" applyFont="1" applyBorder="1" applyAlignment="1">
      <alignment horizontal="center" vertical="top"/>
    </xf>
    <xf numFmtId="0" fontId="8" fillId="0" borderId="77" xfId="0" applyNumberFormat="1" applyFont="1" applyBorder="1" applyAlignment="1">
      <alignment horizontal="center" vertical="top"/>
    </xf>
    <xf numFmtId="0" fontId="8" fillId="0" borderId="77" xfId="0" applyFont="1" applyBorder="1" applyAlignment="1">
      <alignment horizontal="center" vertical="top"/>
    </xf>
    <xf numFmtId="0" fontId="8" fillId="0" borderId="17" xfId="0" applyFont="1" applyBorder="1" applyAlignment="1">
      <alignment horizontal="left" vertical="top"/>
    </xf>
    <xf numFmtId="0" fontId="8" fillId="0" borderId="3" xfId="0" applyFont="1" applyBorder="1" applyAlignment="1">
      <alignment horizontal="left" vertical="top"/>
    </xf>
    <xf numFmtId="0" fontId="8" fillId="0" borderId="71" xfId="0" applyFont="1" applyBorder="1" applyAlignment="1">
      <alignment horizontal="left" vertical="top"/>
    </xf>
    <xf numFmtId="0" fontId="8" fillId="0" borderId="41" xfId="0" applyNumberFormat="1" applyFont="1" applyBorder="1" applyAlignment="1">
      <alignment horizontal="center" vertical="top"/>
    </xf>
    <xf numFmtId="0" fontId="8" fillId="0" borderId="39" xfId="0" applyNumberFormat="1" applyFont="1" applyBorder="1" applyAlignment="1">
      <alignment horizontal="center" vertical="top"/>
    </xf>
    <xf numFmtId="0" fontId="8" fillId="0" borderId="44" xfId="0" applyNumberFormat="1" applyFont="1" applyBorder="1" applyAlignment="1">
      <alignment horizontal="center" vertical="top"/>
    </xf>
    <xf numFmtId="177" fontId="8" fillId="0" borderId="0" xfId="0" applyNumberFormat="1" applyFont="1" applyBorder="1" applyAlignment="1">
      <alignment horizontal="center"/>
    </xf>
    <xf numFmtId="0" fontId="8" fillId="0" borderId="0" xfId="0" applyFont="1" applyBorder="1" applyAlignment="1">
      <alignment horizontal="center"/>
    </xf>
    <xf numFmtId="0" fontId="8" fillId="0" borderId="0" xfId="0" applyNumberFormat="1" applyFont="1" applyBorder="1" applyAlignment="1">
      <alignment horizontal="center"/>
    </xf>
    <xf numFmtId="0" fontId="8" fillId="4" borderId="96" xfId="0" applyFont="1" applyFill="1" applyBorder="1" applyAlignment="1">
      <alignment horizontal="center" vertical="top"/>
    </xf>
    <xf numFmtId="0" fontId="8" fillId="4" borderId="73" xfId="0" applyFont="1" applyFill="1" applyBorder="1" applyAlignment="1">
      <alignment horizontal="center" vertical="top"/>
    </xf>
    <xf numFmtId="0" fontId="8" fillId="2" borderId="73" xfId="0" applyFont="1" applyFill="1" applyBorder="1" applyAlignment="1">
      <alignment horizontal="center" vertical="top"/>
    </xf>
    <xf numFmtId="0" fontId="8" fillId="2" borderId="74" xfId="0" applyFont="1" applyFill="1" applyBorder="1" applyAlignment="1">
      <alignment horizontal="center" vertical="top"/>
    </xf>
    <xf numFmtId="0" fontId="8" fillId="4" borderId="97" xfId="0" applyFont="1" applyFill="1" applyBorder="1" applyAlignment="1">
      <alignment horizontal="center" vertical="top"/>
    </xf>
    <xf numFmtId="0" fontId="8" fillId="4" borderId="98" xfId="0" applyFont="1" applyFill="1" applyBorder="1" applyAlignment="1">
      <alignment horizontal="center" vertical="top"/>
    </xf>
    <xf numFmtId="0" fontId="8" fillId="2" borderId="98" xfId="0" applyFont="1" applyFill="1" applyBorder="1" applyAlignment="1">
      <alignment horizontal="center" vertical="top"/>
    </xf>
    <xf numFmtId="0" fontId="8" fillId="2" borderId="99" xfId="0" applyFont="1" applyFill="1" applyBorder="1" applyAlignment="1">
      <alignment horizontal="center" vertical="top"/>
    </xf>
    <xf numFmtId="0" fontId="8" fillId="0" borderId="100" xfId="0" applyNumberFormat="1" applyFont="1" applyBorder="1" applyAlignment="1">
      <alignment horizontal="center" vertical="top"/>
    </xf>
    <xf numFmtId="0" fontId="8" fillId="0" borderId="101" xfId="0" applyNumberFormat="1" applyFont="1" applyBorder="1" applyAlignment="1">
      <alignment horizontal="center" vertical="top"/>
    </xf>
    <xf numFmtId="177" fontId="8" fillId="0" borderId="102" xfId="0" applyNumberFormat="1" applyFont="1" applyBorder="1" applyAlignment="1">
      <alignment horizontal="center" vertical="top"/>
    </xf>
    <xf numFmtId="177" fontId="8" fillId="0" borderId="103" xfId="0" applyNumberFormat="1" applyFont="1" applyBorder="1" applyAlignment="1">
      <alignment horizontal="center" vertical="top"/>
    </xf>
    <xf numFmtId="177" fontId="8" fillId="0" borderId="101" xfId="0" applyNumberFormat="1" applyFont="1" applyBorder="1" applyAlignment="1">
      <alignment horizontal="center" vertical="top"/>
    </xf>
    <xf numFmtId="0" fontId="8" fillId="0" borderId="102" xfId="0" applyFont="1" applyBorder="1" applyAlignment="1">
      <alignment vertical="top" wrapText="1"/>
    </xf>
    <xf numFmtId="0" fontId="8" fillId="0" borderId="103" xfId="0" applyFont="1" applyBorder="1" applyAlignment="1">
      <alignment vertical="top"/>
    </xf>
    <xf numFmtId="0" fontId="8" fillId="0" borderId="101" xfId="0" applyFont="1" applyBorder="1" applyAlignment="1">
      <alignment vertical="top"/>
    </xf>
    <xf numFmtId="0" fontId="8" fillId="0" borderId="102" xfId="0" applyNumberFormat="1" applyFont="1" applyBorder="1" applyAlignment="1">
      <alignment horizontal="center" vertical="top"/>
    </xf>
    <xf numFmtId="0" fontId="8" fillId="0" borderId="103" xfId="0" applyNumberFormat="1" applyFont="1" applyBorder="1" applyAlignment="1">
      <alignment horizontal="center" vertical="top"/>
    </xf>
    <xf numFmtId="14" fontId="8" fillId="0" borderId="102" xfId="0" applyNumberFormat="1" applyFont="1" applyBorder="1" applyAlignment="1">
      <alignment horizontal="center" vertical="top"/>
    </xf>
    <xf numFmtId="14" fontId="8" fillId="0" borderId="103" xfId="0" applyNumberFormat="1" applyFont="1" applyBorder="1" applyAlignment="1">
      <alignment horizontal="center" vertical="top"/>
    </xf>
    <xf numFmtId="14" fontId="8" fillId="0" borderId="104" xfId="0" applyNumberFormat="1" applyFont="1" applyBorder="1" applyAlignment="1">
      <alignment horizontal="center" vertical="top"/>
    </xf>
    <xf numFmtId="0" fontId="8" fillId="0" borderId="105" xfId="0" applyNumberFormat="1" applyFont="1" applyBorder="1" applyAlignment="1">
      <alignment horizontal="center" vertical="top"/>
    </xf>
    <xf numFmtId="0" fontId="8" fillId="0" borderId="106" xfId="0" applyNumberFormat="1" applyFont="1" applyBorder="1" applyAlignment="1">
      <alignment horizontal="center" vertical="top"/>
    </xf>
    <xf numFmtId="177" fontId="8" fillId="0" borderId="107" xfId="0" applyNumberFormat="1" applyFont="1" applyBorder="1" applyAlignment="1">
      <alignment horizontal="center" vertical="top"/>
    </xf>
    <xf numFmtId="177" fontId="8" fillId="0" borderId="108" xfId="0" applyNumberFormat="1" applyFont="1" applyBorder="1" applyAlignment="1">
      <alignment horizontal="center" vertical="top"/>
    </xf>
    <xf numFmtId="177" fontId="8" fillId="0" borderId="106" xfId="0" applyNumberFormat="1" applyFont="1" applyBorder="1" applyAlignment="1">
      <alignment horizontal="center" vertical="top"/>
    </xf>
    <xf numFmtId="0" fontId="8" fillId="0" borderId="107" xfId="0" applyFont="1" applyBorder="1" applyAlignment="1">
      <alignment horizontal="left" vertical="top" wrapText="1"/>
    </xf>
    <xf numFmtId="0" fontId="8" fillId="0" borderId="108" xfId="0" applyFont="1" applyBorder="1" applyAlignment="1">
      <alignment horizontal="left" vertical="top" wrapText="1"/>
    </xf>
    <xf numFmtId="0" fontId="8" fillId="0" borderId="106" xfId="0" applyFont="1" applyBorder="1" applyAlignment="1">
      <alignment horizontal="left" vertical="top" wrapText="1"/>
    </xf>
    <xf numFmtId="0" fontId="8" fillId="0" borderId="107" xfId="0" applyNumberFormat="1" applyFont="1" applyBorder="1" applyAlignment="1">
      <alignment horizontal="center" vertical="top"/>
    </xf>
    <xf numFmtId="0" fontId="8" fillId="0" borderId="108" xfId="0" applyNumberFormat="1" applyFont="1" applyBorder="1" applyAlignment="1">
      <alignment horizontal="center" vertical="top"/>
    </xf>
    <xf numFmtId="14" fontId="8" fillId="0" borderId="107" xfId="0" applyNumberFormat="1" applyFont="1" applyBorder="1" applyAlignment="1">
      <alignment horizontal="center" vertical="top"/>
    </xf>
    <xf numFmtId="14" fontId="8" fillId="0" borderId="108" xfId="0" applyNumberFormat="1" applyFont="1" applyBorder="1" applyAlignment="1">
      <alignment horizontal="center" vertical="top"/>
    </xf>
    <xf numFmtId="14" fontId="8" fillId="0" borderId="109" xfId="0" applyNumberFormat="1" applyFont="1" applyBorder="1" applyAlignment="1">
      <alignment horizontal="center" vertical="top"/>
    </xf>
  </cellXfs>
  <cellStyles count="7">
    <cellStyle name="標準" xfId="0" builtinId="0"/>
    <cellStyle name="標準 2" xfId="1"/>
    <cellStyle name="標準 2 2" xfId="6"/>
    <cellStyle name="標準 4" xfId="2"/>
    <cellStyle name="標準 5 2" xfId="4"/>
    <cellStyle name="標準 8" xfId="5"/>
    <cellStyle name="標準_20020311　キックオフ資料2(阪村産業ASPROVA)" xfId="3"/>
  </cellStyles>
  <dxfs count="0"/>
  <tableStyles count="0" defaultTableStyle="TableStyleMedium9" defaultPivotStyle="PivotStyleLight16"/>
  <colors>
    <mruColors>
      <color rgb="FFFFC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emf"/></Relationships>
</file>

<file path=xl/drawings/_rels/drawing7.x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10</xdr:col>
      <xdr:colOff>104775</xdr:colOff>
      <xdr:row>41</xdr:row>
      <xdr:rowOff>9525</xdr:rowOff>
    </xdr:from>
    <xdr:to>
      <xdr:col>39</xdr:col>
      <xdr:colOff>66675</xdr:colOff>
      <xdr:row>43</xdr:row>
      <xdr:rowOff>19050</xdr:rowOff>
    </xdr:to>
    <xdr:grpSp>
      <xdr:nvGrpSpPr>
        <xdr:cNvPr id="67740" name="Group 2"/>
        <xdr:cNvGrpSpPr>
          <a:grpSpLocks/>
        </xdr:cNvGrpSpPr>
      </xdr:nvGrpSpPr>
      <xdr:grpSpPr bwMode="auto">
        <a:xfrm>
          <a:off x="2009775" y="6877050"/>
          <a:ext cx="5486400" cy="295275"/>
          <a:chOff x="288" y="656"/>
          <a:chExt cx="576" cy="31"/>
        </a:xfrm>
      </xdr:grpSpPr>
      <xdr:pic>
        <xdr:nvPicPr>
          <xdr:cNvPr id="67744" name="Picture 3" descr="BL-J_Bw"/>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4" y="661"/>
            <a:ext cx="450"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774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 y="656"/>
            <a:ext cx="107"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grpSp>
    <xdr:clientData/>
  </xdr:twoCellAnchor>
  <xdr:twoCellAnchor editAs="oneCell">
    <xdr:from>
      <xdr:col>8</xdr:col>
      <xdr:colOff>142875</xdr:colOff>
      <xdr:row>10</xdr:row>
      <xdr:rowOff>85725</xdr:rowOff>
    </xdr:from>
    <xdr:to>
      <xdr:col>41</xdr:col>
      <xdr:colOff>38100</xdr:colOff>
      <xdr:row>20</xdr:row>
      <xdr:rowOff>66675</xdr:rowOff>
    </xdr:to>
    <xdr:sp macro="" textlink="">
      <xdr:nvSpPr>
        <xdr:cNvPr id="1033" name="AutoShape 5"/>
        <xdr:cNvSpPr>
          <a:spLocks noChangeArrowheads="1"/>
        </xdr:cNvSpPr>
      </xdr:nvSpPr>
      <xdr:spPr bwMode="auto">
        <a:xfrm>
          <a:off x="1666875" y="1514475"/>
          <a:ext cx="6181725" cy="1409700"/>
        </a:xfrm>
        <a:prstGeom prst="roundRect">
          <a:avLst>
            <a:gd name="adj" fmla="val 16667"/>
          </a:avLst>
        </a:prstGeom>
        <a:solidFill>
          <a:srgbClr val="FFFFFF"/>
        </a:solidFill>
        <a:ln w="25400">
          <a:solidFill>
            <a:srgbClr val="000000"/>
          </a:solidFill>
          <a:round/>
          <a:headEnd/>
          <a:tailEnd/>
        </a:ln>
        <a:effectLst>
          <a:outerShdw dist="107763" dir="2700000" algn="ctr" rotWithShape="0">
            <a:srgbClr val="333333"/>
          </a:outerShdw>
        </a:effectLst>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サービス設計書</a:t>
          </a:r>
        </a:p>
      </xdr:txBody>
    </xdr:sp>
    <xdr:clientData/>
  </xdr:twoCellAnchor>
  <xdr:twoCellAnchor editAs="oneCell">
    <xdr:from>
      <xdr:col>44</xdr:col>
      <xdr:colOff>152400</xdr:colOff>
      <xdr:row>0</xdr:row>
      <xdr:rowOff>0</xdr:rowOff>
    </xdr:from>
    <xdr:to>
      <xdr:col>48</xdr:col>
      <xdr:colOff>9525</xdr:colOff>
      <xdr:row>1</xdr:row>
      <xdr:rowOff>66675</xdr:rowOff>
    </xdr:to>
    <xdr:sp macro="" textlink="">
      <xdr:nvSpPr>
        <xdr:cNvPr id="144391" name="Rectangle 7"/>
        <xdr:cNvSpPr>
          <a:spLocks noChangeArrowheads="1"/>
        </xdr:cNvSpPr>
      </xdr:nvSpPr>
      <xdr:spPr bwMode="auto">
        <a:xfrm>
          <a:off x="8067675" y="0"/>
          <a:ext cx="628650" cy="209550"/>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取扱注意</a:t>
          </a:r>
        </a:p>
      </xdr:txBody>
    </xdr:sp>
    <xdr:clientData/>
  </xdr:twoCellAnchor>
  <xdr:twoCellAnchor>
    <xdr:from>
      <xdr:col>0</xdr:col>
      <xdr:colOff>0</xdr:colOff>
      <xdr:row>47</xdr:row>
      <xdr:rowOff>38100</xdr:rowOff>
    </xdr:from>
    <xdr:to>
      <xdr:col>50</xdr:col>
      <xdr:colOff>0</xdr:colOff>
      <xdr:row>47</xdr:row>
      <xdr:rowOff>38100</xdr:rowOff>
    </xdr:to>
    <xdr:sp macro="" textlink="">
      <xdr:nvSpPr>
        <xdr:cNvPr id="67743" name="Line 12"/>
        <xdr:cNvSpPr>
          <a:spLocks noChangeShapeType="1"/>
        </xdr:cNvSpPr>
      </xdr:nvSpPr>
      <xdr:spPr bwMode="auto">
        <a:xfrm>
          <a:off x="0" y="7467600"/>
          <a:ext cx="9525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0</xdr:colOff>
      <xdr:row>2</xdr:row>
      <xdr:rowOff>0</xdr:rowOff>
    </xdr:from>
    <xdr:to>
      <xdr:col>13</xdr:col>
      <xdr:colOff>53382</xdr:colOff>
      <xdr:row>4</xdr:row>
      <xdr:rowOff>85680</xdr:rowOff>
    </xdr:to>
    <xdr:pic>
      <xdr:nvPicPr>
        <xdr:cNvPr id="10" name="図 9"/>
        <xdr:cNvPicPr>
          <a:picLocks noChangeAspect="1"/>
        </xdr:cNvPicPr>
      </xdr:nvPicPr>
      <xdr:blipFill>
        <a:blip xmlns:r="http://schemas.openxmlformats.org/officeDocument/2006/relationships" r:embed="rId3"/>
        <a:stretch>
          <a:fillRect/>
        </a:stretch>
      </xdr:blipFill>
      <xdr:spPr>
        <a:xfrm>
          <a:off x="411480" y="274320"/>
          <a:ext cx="2316522" cy="36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6</xdr:col>
          <xdr:colOff>0</xdr:colOff>
          <xdr:row>2</xdr:row>
          <xdr:rowOff>123825</xdr:rowOff>
        </xdr:to>
        <xdr:pic>
          <xdr:nvPicPr>
            <xdr:cNvPr id="2" name="図 1"/>
            <xdr:cNvPicPr>
              <a:picLocks noChangeAspect="1" noChangeArrowheads="1"/>
              <a:extLst>
                <a:ext uri="{84589F7E-364E-4C9E-8A38-B11213B215E9}">
                  <a14:cameraTool cellRange="表紙!$BA$47:$BJ$49" spid="_x0000_s101405"/>
                </a:ext>
              </a:extLst>
            </xdr:cNvPicPr>
          </xdr:nvPicPr>
          <xdr:blipFill>
            <a:blip xmlns:r="http://schemas.openxmlformats.org/officeDocument/2006/relationships" r:embed="rId1"/>
            <a:srcRect/>
            <a:stretch>
              <a:fillRect/>
            </a:stretch>
          </xdr:blipFill>
          <xdr:spPr bwMode="auto">
            <a:xfrm>
              <a:off x="0" y="0"/>
              <a:ext cx="9525000" cy="4286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9</xdr:col>
          <xdr:colOff>0</xdr:colOff>
          <xdr:row>2</xdr:row>
          <xdr:rowOff>148167</xdr:rowOff>
        </xdr:to>
        <xdr:pic>
          <xdr:nvPicPr>
            <xdr:cNvPr id="2" name="図 1"/>
            <xdr:cNvPicPr>
              <a:picLocks noChangeAspect="1" noChangeArrowheads="1"/>
              <a:extLst>
                <a:ext uri="{84589F7E-364E-4C9E-8A38-B11213B215E9}">
                  <a14:cameraTool cellRange="表紙!$BA$51:$BJ$53" spid="_x0000_s102429"/>
                </a:ext>
              </a:extLst>
            </xdr:cNvPicPr>
          </xdr:nvPicPr>
          <xdr:blipFill>
            <a:blip xmlns:r="http://schemas.openxmlformats.org/officeDocument/2006/relationships" r:embed="rId1"/>
            <a:srcRect/>
            <a:stretch>
              <a:fillRect/>
            </a:stretch>
          </xdr:blipFill>
          <xdr:spPr bwMode="auto">
            <a:xfrm>
              <a:off x="0" y="0"/>
              <a:ext cx="9525000" cy="45296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50</xdr:col>
          <xdr:colOff>0</xdr:colOff>
          <xdr:row>2</xdr:row>
          <xdr:rowOff>148167</xdr:rowOff>
        </xdr:to>
        <xdr:pic>
          <xdr:nvPicPr>
            <xdr:cNvPr id="4" name="図 3"/>
            <xdr:cNvPicPr>
              <a:picLocks noChangeAspect="1" noChangeArrowheads="1"/>
              <a:extLst>
                <a:ext uri="{84589F7E-364E-4C9E-8A38-B11213B215E9}">
                  <a14:cameraTool cellRange="表紙!$BA$71:$BJ$73" spid="_x0000_s114690"/>
                </a:ext>
              </a:extLst>
            </xdr:cNvPicPr>
          </xdr:nvPicPr>
          <xdr:blipFill>
            <a:blip xmlns:r="http://schemas.openxmlformats.org/officeDocument/2006/relationships" r:embed="rId1"/>
            <a:srcRect/>
            <a:stretch>
              <a:fillRect/>
            </a:stretch>
          </xdr:blipFill>
          <xdr:spPr bwMode="auto">
            <a:xfrm>
              <a:off x="0" y="0"/>
              <a:ext cx="9525000" cy="45296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20</xdr:col>
      <xdr:colOff>44824</xdr:colOff>
      <xdr:row>10</xdr:row>
      <xdr:rowOff>145676</xdr:rowOff>
    </xdr:from>
    <xdr:to>
      <xdr:col>27</xdr:col>
      <xdr:colOff>44824</xdr:colOff>
      <xdr:row>13</xdr:row>
      <xdr:rowOff>145676</xdr:rowOff>
    </xdr:to>
    <xdr:sp macro="" textlink="">
      <xdr:nvSpPr>
        <xdr:cNvPr id="60" name="角丸四角形 59"/>
        <xdr:cNvSpPr/>
      </xdr:nvSpPr>
      <xdr:spPr>
        <a:xfrm>
          <a:off x="4045324" y="1650626"/>
          <a:ext cx="1400175" cy="4572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出力処理開始</a:t>
          </a:r>
        </a:p>
      </xdr:txBody>
    </xdr:sp>
    <xdr:clientData/>
  </xdr:twoCellAnchor>
  <xdr:twoCellAnchor>
    <xdr:from>
      <xdr:col>18</xdr:col>
      <xdr:colOff>156883</xdr:colOff>
      <xdr:row>28</xdr:row>
      <xdr:rowOff>33618</xdr:rowOff>
    </xdr:from>
    <xdr:to>
      <xdr:col>28</xdr:col>
      <xdr:colOff>115379</xdr:colOff>
      <xdr:row>31</xdr:row>
      <xdr:rowOff>9131</xdr:rowOff>
    </xdr:to>
    <xdr:sp macro="" textlink="">
      <xdr:nvSpPr>
        <xdr:cNvPr id="61" name="AutoShape 6"/>
        <xdr:cNvSpPr>
          <a:spLocks noChangeArrowheads="1"/>
        </xdr:cNvSpPr>
      </xdr:nvSpPr>
      <xdr:spPr bwMode="auto">
        <a:xfrm>
          <a:off x="3757333" y="4281768"/>
          <a:ext cx="1958746" cy="4327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項目設定処理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163607</xdr:colOff>
      <xdr:row>15</xdr:row>
      <xdr:rowOff>118782</xdr:rowOff>
    </xdr:from>
    <xdr:to>
      <xdr:col>28</xdr:col>
      <xdr:colOff>122103</xdr:colOff>
      <xdr:row>18</xdr:row>
      <xdr:rowOff>94295</xdr:rowOff>
    </xdr:to>
    <xdr:sp macro="" textlink="">
      <xdr:nvSpPr>
        <xdr:cNvPr id="62" name="AutoShape 6"/>
        <xdr:cNvSpPr>
          <a:spLocks noChangeArrowheads="1"/>
        </xdr:cNvSpPr>
      </xdr:nvSpPr>
      <xdr:spPr bwMode="auto">
        <a:xfrm>
          <a:off x="3764057" y="2385732"/>
          <a:ext cx="1958746" cy="4327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チェック処理</a:t>
          </a:r>
        </a:p>
      </xdr:txBody>
    </xdr:sp>
    <xdr:clientData/>
  </xdr:twoCellAnchor>
  <xdr:twoCellAnchor>
    <xdr:from>
      <xdr:col>18</xdr:col>
      <xdr:colOff>159124</xdr:colOff>
      <xdr:row>20</xdr:row>
      <xdr:rowOff>2241</xdr:rowOff>
    </xdr:from>
    <xdr:to>
      <xdr:col>28</xdr:col>
      <xdr:colOff>117620</xdr:colOff>
      <xdr:row>22</xdr:row>
      <xdr:rowOff>145842</xdr:rowOff>
    </xdr:to>
    <xdr:sp macro="" textlink="">
      <xdr:nvSpPr>
        <xdr:cNvPr id="63" name="AutoShape 6"/>
        <xdr:cNvSpPr>
          <a:spLocks noChangeArrowheads="1"/>
        </xdr:cNvSpPr>
      </xdr:nvSpPr>
      <xdr:spPr bwMode="auto">
        <a:xfrm>
          <a:off x="3759574" y="3031191"/>
          <a:ext cx="1958746" cy="448401"/>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出力データ取得</a:t>
          </a:r>
        </a:p>
      </xdr:txBody>
    </xdr:sp>
    <xdr:clientData/>
  </xdr:twoCellAnchor>
  <xdr:twoCellAnchor>
    <xdr:from>
      <xdr:col>18</xdr:col>
      <xdr:colOff>154642</xdr:colOff>
      <xdr:row>24</xdr:row>
      <xdr:rowOff>20170</xdr:rowOff>
    </xdr:from>
    <xdr:to>
      <xdr:col>28</xdr:col>
      <xdr:colOff>113138</xdr:colOff>
      <xdr:row>26</xdr:row>
      <xdr:rowOff>163771</xdr:rowOff>
    </xdr:to>
    <xdr:sp macro="" textlink="">
      <xdr:nvSpPr>
        <xdr:cNvPr id="64" name="AutoShape 6"/>
        <xdr:cNvSpPr>
          <a:spLocks noChangeArrowheads="1"/>
        </xdr:cNvSpPr>
      </xdr:nvSpPr>
      <xdr:spPr bwMode="auto">
        <a:xfrm>
          <a:off x="3755092" y="3658720"/>
          <a:ext cx="1958746" cy="438876"/>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項目編集処理</a:t>
          </a:r>
        </a:p>
      </xdr:txBody>
    </xdr:sp>
    <xdr:clientData/>
  </xdr:twoCellAnchor>
  <xdr:twoCellAnchor>
    <xdr:from>
      <xdr:col>18</xdr:col>
      <xdr:colOff>152400</xdr:colOff>
      <xdr:row>32</xdr:row>
      <xdr:rowOff>62753</xdr:rowOff>
    </xdr:from>
    <xdr:to>
      <xdr:col>28</xdr:col>
      <xdr:colOff>110896</xdr:colOff>
      <xdr:row>35</xdr:row>
      <xdr:rowOff>38266</xdr:rowOff>
    </xdr:to>
    <xdr:sp macro="" textlink="">
      <xdr:nvSpPr>
        <xdr:cNvPr id="65" name="AutoShape 6"/>
        <xdr:cNvSpPr>
          <a:spLocks noChangeArrowheads="1"/>
        </xdr:cNvSpPr>
      </xdr:nvSpPr>
      <xdr:spPr bwMode="auto">
        <a:xfrm>
          <a:off x="3752850" y="4920503"/>
          <a:ext cx="1958746" cy="432713"/>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帳票出力</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40341</xdr:colOff>
      <xdr:row>41</xdr:row>
      <xdr:rowOff>141193</xdr:rowOff>
    </xdr:from>
    <xdr:to>
      <xdr:col>27</xdr:col>
      <xdr:colOff>40341</xdr:colOff>
      <xdr:row>44</xdr:row>
      <xdr:rowOff>141193</xdr:rowOff>
    </xdr:to>
    <xdr:sp macro="" textlink="">
      <xdr:nvSpPr>
        <xdr:cNvPr id="66" name="角丸四角形 65"/>
        <xdr:cNvSpPr/>
      </xdr:nvSpPr>
      <xdr:spPr>
        <a:xfrm>
          <a:off x="3850341" y="6562164"/>
          <a:ext cx="1333500" cy="47064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出力処理終了</a:t>
          </a:r>
        </a:p>
      </xdr:txBody>
    </xdr:sp>
    <xdr:clientData/>
  </xdr:twoCellAnchor>
  <xdr:twoCellAnchor>
    <xdr:from>
      <xdr:col>23</xdr:col>
      <xdr:colOff>142856</xdr:colOff>
      <xdr:row>13</xdr:row>
      <xdr:rowOff>145676</xdr:rowOff>
    </xdr:from>
    <xdr:to>
      <xdr:col>23</xdr:col>
      <xdr:colOff>145678</xdr:colOff>
      <xdr:row>15</xdr:row>
      <xdr:rowOff>118782</xdr:rowOff>
    </xdr:to>
    <xdr:cxnSp macro="">
      <xdr:nvCxnSpPr>
        <xdr:cNvPr id="67" name="直線矢印コネクタ 66"/>
        <xdr:cNvCxnSpPr>
          <a:stCxn id="60" idx="2"/>
          <a:endCxn id="62" idx="0"/>
        </xdr:cNvCxnSpPr>
      </xdr:nvCxnSpPr>
      <xdr:spPr>
        <a:xfrm flipH="1">
          <a:off x="4743431" y="2107826"/>
          <a:ext cx="2822" cy="2779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138373</xdr:colOff>
      <xdr:row>18</xdr:row>
      <xdr:rowOff>94295</xdr:rowOff>
    </xdr:from>
    <xdr:to>
      <xdr:col>23</xdr:col>
      <xdr:colOff>142856</xdr:colOff>
      <xdr:row>20</xdr:row>
      <xdr:rowOff>2241</xdr:rowOff>
    </xdr:to>
    <xdr:cxnSp macro="">
      <xdr:nvCxnSpPr>
        <xdr:cNvPr id="68" name="直線矢印コネクタ 67"/>
        <xdr:cNvCxnSpPr>
          <a:stCxn id="62" idx="2"/>
          <a:endCxn id="63" idx="0"/>
        </xdr:cNvCxnSpPr>
      </xdr:nvCxnSpPr>
      <xdr:spPr>
        <a:xfrm flipH="1">
          <a:off x="4738948" y="2818445"/>
          <a:ext cx="4483" cy="21274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133891</xdr:colOff>
      <xdr:row>22</xdr:row>
      <xdr:rowOff>145842</xdr:rowOff>
    </xdr:from>
    <xdr:to>
      <xdr:col>23</xdr:col>
      <xdr:colOff>138373</xdr:colOff>
      <xdr:row>24</xdr:row>
      <xdr:rowOff>20170</xdr:rowOff>
    </xdr:to>
    <xdr:cxnSp macro="">
      <xdr:nvCxnSpPr>
        <xdr:cNvPr id="69" name="直線矢印コネクタ 68"/>
        <xdr:cNvCxnSpPr>
          <a:stCxn id="63" idx="2"/>
          <a:endCxn id="64" idx="0"/>
        </xdr:cNvCxnSpPr>
      </xdr:nvCxnSpPr>
      <xdr:spPr>
        <a:xfrm flipH="1">
          <a:off x="4734466" y="3479592"/>
          <a:ext cx="4482" cy="17912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133891</xdr:colOff>
      <xdr:row>26</xdr:row>
      <xdr:rowOff>163771</xdr:rowOff>
    </xdr:from>
    <xdr:to>
      <xdr:col>23</xdr:col>
      <xdr:colOff>136132</xdr:colOff>
      <xdr:row>28</xdr:row>
      <xdr:rowOff>33618</xdr:rowOff>
    </xdr:to>
    <xdr:cxnSp macro="">
      <xdr:nvCxnSpPr>
        <xdr:cNvPr id="70" name="直線矢印コネクタ 69"/>
        <xdr:cNvCxnSpPr>
          <a:stCxn id="64" idx="2"/>
          <a:endCxn id="61" idx="0"/>
        </xdr:cNvCxnSpPr>
      </xdr:nvCxnSpPr>
      <xdr:spPr>
        <a:xfrm>
          <a:off x="4734466" y="4097596"/>
          <a:ext cx="2241" cy="18417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131649</xdr:colOff>
      <xdr:row>31</xdr:row>
      <xdr:rowOff>9131</xdr:rowOff>
    </xdr:from>
    <xdr:to>
      <xdr:col>23</xdr:col>
      <xdr:colOff>136132</xdr:colOff>
      <xdr:row>32</xdr:row>
      <xdr:rowOff>62753</xdr:rowOff>
    </xdr:to>
    <xdr:cxnSp macro="">
      <xdr:nvCxnSpPr>
        <xdr:cNvPr id="71" name="直線矢印コネクタ 70"/>
        <xdr:cNvCxnSpPr>
          <a:stCxn id="61" idx="2"/>
          <a:endCxn id="65" idx="0"/>
        </xdr:cNvCxnSpPr>
      </xdr:nvCxnSpPr>
      <xdr:spPr>
        <a:xfrm flipH="1">
          <a:off x="4732224" y="4714481"/>
          <a:ext cx="4483" cy="2060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135010</xdr:colOff>
      <xdr:row>39</xdr:row>
      <xdr:rowOff>122310</xdr:rowOff>
    </xdr:from>
    <xdr:to>
      <xdr:col>23</xdr:col>
      <xdr:colOff>135591</xdr:colOff>
      <xdr:row>41</xdr:row>
      <xdr:rowOff>141193</xdr:rowOff>
    </xdr:to>
    <xdr:cxnSp macro="">
      <xdr:nvCxnSpPr>
        <xdr:cNvPr id="72" name="直線矢印コネクタ 71"/>
        <xdr:cNvCxnSpPr>
          <a:stCxn id="103" idx="2"/>
          <a:endCxn id="66" idx="0"/>
        </xdr:cNvCxnSpPr>
      </xdr:nvCxnSpPr>
      <xdr:spPr>
        <a:xfrm>
          <a:off x="4516510" y="6229516"/>
          <a:ext cx="581" cy="33264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44834</xdr:colOff>
      <xdr:row>21</xdr:row>
      <xdr:rowOff>70782</xdr:rowOff>
    </xdr:from>
    <xdr:to>
      <xdr:col>18</xdr:col>
      <xdr:colOff>159124</xdr:colOff>
      <xdr:row>21</xdr:row>
      <xdr:rowOff>74041</xdr:rowOff>
    </xdr:to>
    <xdr:cxnSp macro="">
      <xdr:nvCxnSpPr>
        <xdr:cNvPr id="76" name="直線矢印コネクタ 75"/>
        <xdr:cNvCxnSpPr>
          <a:stCxn id="94" idx="4"/>
          <a:endCxn id="63" idx="1"/>
        </xdr:cNvCxnSpPr>
      </xdr:nvCxnSpPr>
      <xdr:spPr>
        <a:xfrm>
          <a:off x="2902334" y="3354106"/>
          <a:ext cx="685790" cy="325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159125</xdr:colOff>
      <xdr:row>24</xdr:row>
      <xdr:rowOff>2240</xdr:rowOff>
    </xdr:from>
    <xdr:to>
      <xdr:col>15</xdr:col>
      <xdr:colOff>42593</xdr:colOff>
      <xdr:row>26</xdr:row>
      <xdr:rowOff>90019</xdr:rowOff>
    </xdr:to>
    <xdr:sp macro="" textlink="">
      <xdr:nvSpPr>
        <xdr:cNvPr id="92" name="AutoShape 78"/>
        <xdr:cNvSpPr>
          <a:spLocks noChangeArrowheads="1"/>
        </xdr:cNvSpPr>
      </xdr:nvSpPr>
      <xdr:spPr bwMode="auto">
        <a:xfrm>
          <a:off x="1873625" y="3756211"/>
          <a:ext cx="1026468" cy="401543"/>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Meiryo UI" panose="020B0604030504040204" pitchFamily="50" charset="-128"/>
              <a:ea typeface="Meiryo UI" panose="020B0604030504040204" pitchFamily="50" charset="-128"/>
            </a:rPr>
            <a:t>発注明細</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9</xdr:col>
      <xdr:colOff>165848</xdr:colOff>
      <xdr:row>22</xdr:row>
      <xdr:rowOff>8963</xdr:rowOff>
    </xdr:from>
    <xdr:to>
      <xdr:col>15</xdr:col>
      <xdr:colOff>49316</xdr:colOff>
      <xdr:row>24</xdr:row>
      <xdr:rowOff>96741</xdr:rowOff>
    </xdr:to>
    <xdr:sp macro="" textlink="">
      <xdr:nvSpPr>
        <xdr:cNvPr id="93" name="AutoShape 78"/>
        <xdr:cNvSpPr>
          <a:spLocks noChangeArrowheads="1"/>
        </xdr:cNvSpPr>
      </xdr:nvSpPr>
      <xdr:spPr bwMode="auto">
        <a:xfrm>
          <a:off x="1880348" y="3449169"/>
          <a:ext cx="1026468" cy="401543"/>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Meiryo UI" panose="020B0604030504040204" pitchFamily="50" charset="-128"/>
              <a:ea typeface="Meiryo UI" panose="020B0604030504040204" pitchFamily="50" charset="-128"/>
            </a:rPr>
            <a:t>入荷実績</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9</xdr:col>
      <xdr:colOff>161366</xdr:colOff>
      <xdr:row>20</xdr:row>
      <xdr:rowOff>26893</xdr:rowOff>
    </xdr:from>
    <xdr:to>
      <xdr:col>15</xdr:col>
      <xdr:colOff>44834</xdr:colOff>
      <xdr:row>22</xdr:row>
      <xdr:rowOff>114671</xdr:rowOff>
    </xdr:to>
    <xdr:sp macro="" textlink="">
      <xdr:nvSpPr>
        <xdr:cNvPr id="94" name="AutoShape 78"/>
        <xdr:cNvSpPr>
          <a:spLocks noChangeArrowheads="1"/>
        </xdr:cNvSpPr>
      </xdr:nvSpPr>
      <xdr:spPr bwMode="auto">
        <a:xfrm>
          <a:off x="1875866" y="3153334"/>
          <a:ext cx="1026468" cy="401543"/>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Meiryo UI" panose="020B0604030504040204" pitchFamily="50" charset="-128"/>
              <a:ea typeface="Meiryo UI" panose="020B0604030504040204" pitchFamily="50" charset="-128"/>
            </a:rPr>
            <a:t>検査実績ヘッダ</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9</xdr:col>
      <xdr:colOff>166408</xdr:colOff>
      <xdr:row>18</xdr:row>
      <xdr:rowOff>33617</xdr:rowOff>
    </xdr:from>
    <xdr:to>
      <xdr:col>15</xdr:col>
      <xdr:colOff>49876</xdr:colOff>
      <xdr:row>20</xdr:row>
      <xdr:rowOff>121395</xdr:rowOff>
    </xdr:to>
    <xdr:sp macro="" textlink="">
      <xdr:nvSpPr>
        <xdr:cNvPr id="95" name="AutoShape 78"/>
        <xdr:cNvSpPr>
          <a:spLocks noChangeArrowheads="1"/>
        </xdr:cNvSpPr>
      </xdr:nvSpPr>
      <xdr:spPr bwMode="auto">
        <a:xfrm>
          <a:off x="1880908" y="2795867"/>
          <a:ext cx="1026468" cy="392578"/>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Meiryo UI" panose="020B0604030504040204" pitchFamily="50" charset="-128"/>
              <a:ea typeface="Meiryo UI" panose="020B0604030504040204" pitchFamily="50" charset="-128"/>
            </a:rPr>
            <a:t>検査予定</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9</xdr:col>
      <xdr:colOff>163607</xdr:colOff>
      <xdr:row>16</xdr:row>
      <xdr:rowOff>51546</xdr:rowOff>
    </xdr:from>
    <xdr:to>
      <xdr:col>15</xdr:col>
      <xdr:colOff>47075</xdr:colOff>
      <xdr:row>18</xdr:row>
      <xdr:rowOff>139325</xdr:rowOff>
    </xdr:to>
    <xdr:sp macro="" textlink="">
      <xdr:nvSpPr>
        <xdr:cNvPr id="96" name="AutoShape 78"/>
        <xdr:cNvSpPr>
          <a:spLocks noChangeArrowheads="1"/>
        </xdr:cNvSpPr>
      </xdr:nvSpPr>
      <xdr:spPr bwMode="auto">
        <a:xfrm>
          <a:off x="1878107" y="2508996"/>
          <a:ext cx="1026468" cy="392579"/>
        </a:xfrm>
        <a:prstGeom prst="can">
          <a:avLst>
            <a:gd name="adj" fmla="val 25000"/>
          </a:avLst>
        </a:prstGeom>
        <a:solidFill>
          <a:schemeClr val="bg1"/>
        </a:solidFill>
        <a:ln w="12700">
          <a:solidFill>
            <a:srgbClr val="000000"/>
          </a:solidFill>
          <a:round/>
          <a:headEnd/>
          <a:tailEnd/>
        </a:ln>
        <a:effectLst/>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Meiryo UI" panose="020B0604030504040204" pitchFamily="50" charset="-128"/>
              <a:ea typeface="Meiryo UI" panose="020B0604030504040204" pitchFamily="50" charset="-128"/>
            </a:rPr>
            <a:t>検査指図</a:t>
          </a:r>
          <a:endParaRPr lang="ja-JP" altLang="ja-JP" sz="900">
            <a:effectLst/>
            <a:latin typeface="Meiryo UI" panose="020B0604030504040204" pitchFamily="50" charset="-128"/>
            <a:ea typeface="Meiryo UI" panose="020B0604030504040204" pitchFamily="50" charset="-128"/>
          </a:endParaRPr>
        </a:p>
      </xdr:txBody>
    </xdr:sp>
    <xdr:clientData/>
  </xdr:twoCellAnchor>
  <xdr:twoCellAnchor>
    <xdr:from>
      <xdr:col>18</xdr:col>
      <xdr:colOff>155762</xdr:colOff>
      <xdr:row>36</xdr:row>
      <xdr:rowOff>146797</xdr:rowOff>
    </xdr:from>
    <xdr:to>
      <xdr:col>28</xdr:col>
      <xdr:colOff>114258</xdr:colOff>
      <xdr:row>39</xdr:row>
      <xdr:rowOff>122310</xdr:rowOff>
    </xdr:to>
    <xdr:sp macro="" textlink="">
      <xdr:nvSpPr>
        <xdr:cNvPr id="103" name="AutoShape 6"/>
        <xdr:cNvSpPr>
          <a:spLocks noChangeArrowheads="1"/>
        </xdr:cNvSpPr>
      </xdr:nvSpPr>
      <xdr:spPr bwMode="auto">
        <a:xfrm>
          <a:off x="3584762" y="5783356"/>
          <a:ext cx="1863496" cy="446160"/>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下り電文設定</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23</xdr:col>
      <xdr:colOff>131648</xdr:colOff>
      <xdr:row>35</xdr:row>
      <xdr:rowOff>38266</xdr:rowOff>
    </xdr:from>
    <xdr:to>
      <xdr:col>23</xdr:col>
      <xdr:colOff>135010</xdr:colOff>
      <xdr:row>36</xdr:row>
      <xdr:rowOff>146797</xdr:rowOff>
    </xdr:to>
    <xdr:cxnSp macro="">
      <xdr:nvCxnSpPr>
        <xdr:cNvPr id="106" name="直線矢印コネクタ 105"/>
        <xdr:cNvCxnSpPr>
          <a:stCxn id="65" idx="2"/>
          <a:endCxn id="103" idx="0"/>
        </xdr:cNvCxnSpPr>
      </xdr:nvCxnSpPr>
      <xdr:spPr>
        <a:xfrm>
          <a:off x="4513148" y="5517942"/>
          <a:ext cx="3362" cy="2654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28575</xdr:colOff>
      <xdr:row>6</xdr:row>
      <xdr:rowOff>85725</xdr:rowOff>
    </xdr:from>
    <xdr:to>
      <xdr:col>48</xdr:col>
      <xdr:colOff>66675</xdr:colOff>
      <xdr:row>25</xdr:row>
      <xdr:rowOff>122477</xdr:rowOff>
    </xdr:to>
    <xdr:grpSp>
      <xdr:nvGrpSpPr>
        <xdr:cNvPr id="33" name="グループ化 32"/>
        <xdr:cNvGrpSpPr/>
      </xdr:nvGrpSpPr>
      <xdr:grpSpPr>
        <a:xfrm>
          <a:off x="7077075" y="1019175"/>
          <a:ext cx="2133600" cy="2932352"/>
          <a:chOff x="7153275" y="1047750"/>
          <a:chExt cx="2133600" cy="2932352"/>
        </a:xfrm>
      </xdr:grpSpPr>
      <xdr:grpSp>
        <xdr:nvGrpSpPr>
          <xdr:cNvPr id="34" name="Group 15"/>
          <xdr:cNvGrpSpPr>
            <a:grpSpLocks/>
          </xdr:cNvGrpSpPr>
        </xdr:nvGrpSpPr>
        <xdr:grpSpPr bwMode="auto">
          <a:xfrm>
            <a:off x="7153275" y="1047750"/>
            <a:ext cx="2133600" cy="2932352"/>
            <a:chOff x="8" y="532"/>
            <a:chExt cx="224" cy="312"/>
          </a:xfrm>
          <a:noFill/>
        </xdr:grpSpPr>
        <xdr:sp macro="" textlink="">
          <xdr:nvSpPr>
            <xdr:cNvPr id="38" name="AutoShape 2"/>
            <xdr:cNvSpPr>
              <a:spLocks noChangeArrowheads="1"/>
            </xdr:cNvSpPr>
          </xdr:nvSpPr>
          <xdr:spPr bwMode="auto">
            <a:xfrm>
              <a:off x="8" y="532"/>
              <a:ext cx="224" cy="312"/>
            </a:xfrm>
            <a:prstGeom prst="roundRect">
              <a:avLst>
                <a:gd name="adj" fmla="val 3847"/>
              </a:avLst>
            </a:prstGeom>
            <a:grpFill/>
            <a:ln w="12700">
              <a:solidFill>
                <a:sysClr val="windowText" lastClr="000000"/>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凡例</a:t>
              </a:r>
            </a:p>
          </xdr:txBody>
        </xdr:sp>
        <xdr:pic>
          <xdr:nvPicPr>
            <xdr:cNvPr id="39" name="Picture 3" descr="コンピュータ"/>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 y="556"/>
              <a:ext cx="45" cy="40"/>
            </a:xfrm>
            <a:prstGeom prst="rect">
              <a:avLst/>
            </a:prstGeom>
            <a:grpFill/>
            <a:ln w="9525">
              <a:noFill/>
              <a:miter lim="800000"/>
              <a:headEnd/>
              <a:tailEnd/>
            </a:ln>
            <a:extLst/>
          </xdr:spPr>
        </xdr:pic>
        <xdr:sp macro="" textlink="">
          <xdr:nvSpPr>
            <xdr:cNvPr id="40" name="AutoShape 6"/>
            <xdr:cNvSpPr>
              <a:spLocks noChangeArrowheads="1"/>
            </xdr:cNvSpPr>
          </xdr:nvSpPr>
          <xdr:spPr bwMode="auto">
            <a:xfrm>
              <a:off x="123" y="683"/>
              <a:ext cx="97" cy="34"/>
            </a:xfrm>
            <a:prstGeom prst="flowChartPredefinedProcess">
              <a:avLst/>
            </a:prstGeom>
            <a:grpFill/>
            <a:ln w="12700">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処理名</a:t>
              </a:r>
            </a:p>
          </xdr:txBody>
        </xdr:sp>
        <xdr:sp macro="" textlink="">
          <xdr:nvSpPr>
            <xdr:cNvPr id="41" name="Text Box 7"/>
            <xdr:cNvSpPr txBox="1">
              <a:spLocks noChangeArrowheads="1"/>
            </xdr:cNvSpPr>
          </xdr:nvSpPr>
          <xdr:spPr bwMode="auto">
            <a:xfrm>
              <a:off x="50" y="596"/>
              <a:ext cx="43" cy="19"/>
            </a:xfrm>
            <a:prstGeom prst="rect">
              <a:avLst/>
            </a:prstGeom>
            <a:grpFill/>
            <a:ln w="12700">
              <a:noFill/>
              <a:miter lim="800000"/>
              <a:headEnd/>
              <a:tailEnd/>
            </a:ln>
            <a:effectLst/>
          </xdr:spPr>
          <xdr:txBody>
            <a:bodyPr wrap="none" lIns="18288" tIns="18288" rIns="0" bIns="0" anchor="t" upright="1">
              <a:noAutofit/>
            </a:bodyPr>
            <a:lstStyle/>
            <a:p>
              <a:pPr algn="l"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画面名</a:t>
              </a:r>
            </a:p>
          </xdr:txBody>
        </xdr:sp>
        <xdr:sp macro="" textlink="">
          <xdr:nvSpPr>
            <xdr:cNvPr id="42" name="Text Box 8"/>
            <xdr:cNvSpPr txBox="1">
              <a:spLocks noChangeArrowheads="1"/>
            </xdr:cNvSpPr>
          </xdr:nvSpPr>
          <xdr:spPr bwMode="auto">
            <a:xfrm>
              <a:off x="27" y="681"/>
              <a:ext cx="80" cy="36"/>
            </a:xfrm>
            <a:prstGeom prst="rect">
              <a:avLst/>
            </a:prstGeom>
            <a:grpFill/>
            <a:ln w="9525">
              <a:solidFill>
                <a:sysClr val="windowText" lastClr="000000"/>
              </a:solidFill>
              <a:miter lim="800000"/>
              <a:headEnd/>
              <a:tailEnd/>
            </a:ln>
          </xdr:spPr>
          <xdr:txBody>
            <a:bodyPr vertOverflow="clip" wrap="square" lIns="0" tIns="46800" rIns="0" bIns="4680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補足説明</a:t>
              </a:r>
            </a:p>
          </xdr:txBody>
        </xdr:sp>
        <xdr:sp macro="" textlink="">
          <xdr:nvSpPr>
            <xdr:cNvPr id="43" name="AutoShape 49"/>
            <xdr:cNvSpPr>
              <a:spLocks noChangeArrowheads="1"/>
            </xdr:cNvSpPr>
          </xdr:nvSpPr>
          <xdr:spPr bwMode="auto">
            <a:xfrm>
              <a:off x="136" y="556"/>
              <a:ext cx="71" cy="43"/>
            </a:xfrm>
            <a:prstGeom prst="flowChartDocument">
              <a:avLst/>
            </a:prstGeom>
            <a:grpFill/>
            <a:ln w="9525">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帳票名</a:t>
              </a:r>
            </a:p>
          </xdr:txBody>
        </xdr:sp>
        <xdr:sp macro="" textlink="">
          <xdr:nvSpPr>
            <xdr:cNvPr id="44" name="AutoShape 78"/>
            <xdr:cNvSpPr>
              <a:spLocks noChangeArrowheads="1"/>
            </xdr:cNvSpPr>
          </xdr:nvSpPr>
          <xdr:spPr bwMode="auto">
            <a:xfrm>
              <a:off x="133" y="622"/>
              <a:ext cx="76" cy="38"/>
            </a:xfrm>
            <a:prstGeom prst="can">
              <a:avLst>
                <a:gd name="adj" fmla="val 25000"/>
              </a:avLst>
            </a:prstGeom>
            <a:grpFill/>
            <a:ln w="12700">
              <a:solidFill>
                <a:sysClr val="windowText" lastClr="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テーブル名</a:t>
              </a:r>
            </a:p>
          </xdr:txBody>
        </xdr:sp>
        <xdr:sp macro="" textlink="">
          <xdr:nvSpPr>
            <xdr:cNvPr id="45" name="フローチャート: データ 50"/>
            <xdr:cNvSpPr>
              <a:spLocks noChangeArrowheads="1"/>
            </xdr:cNvSpPr>
          </xdr:nvSpPr>
          <xdr:spPr bwMode="auto">
            <a:xfrm>
              <a:off x="18" y="624"/>
              <a:ext cx="102" cy="35"/>
            </a:xfrm>
            <a:prstGeom prst="flowChartInputOutput">
              <a:avLst/>
            </a:prstGeom>
            <a:grpFill/>
            <a:ln w="9525" algn="ctr">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ファイル名</a:t>
              </a:r>
            </a:p>
          </xdr:txBody>
        </xdr:sp>
        <xdr:sp macro="" textlink="">
          <xdr:nvSpPr>
            <xdr:cNvPr id="46" name="Text Box 24"/>
            <xdr:cNvSpPr txBox="1">
              <a:spLocks noChangeArrowheads="1"/>
            </xdr:cNvSpPr>
          </xdr:nvSpPr>
          <xdr:spPr bwMode="auto">
            <a:xfrm>
              <a:off x="43" y="805"/>
              <a:ext cx="143" cy="19"/>
            </a:xfrm>
            <a:prstGeom prst="rect">
              <a:avLst/>
            </a:prstGeom>
            <a:grpFill/>
            <a:ln w="9525">
              <a:noFill/>
              <a:miter lim="800000"/>
              <a:headEnd/>
              <a:tailEnd/>
            </a:ln>
          </xdr:spPr>
          <xdr:txBody>
            <a:bodyPr wrap="none" lIns="18288" tIns="18288" rIns="0" bIns="0" anchor="t" upright="1">
              <a:spAutoFit/>
            </a:bodyPr>
            <a:lstStyle/>
            <a:p>
              <a:pPr algn="l"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r>
                <a:rPr lang="ja-JP" altLang="en-US" sz="900" b="0" i="0" u="none" strike="noStrike" baseline="0">
                  <a:solidFill>
                    <a:srgbClr val="000000"/>
                  </a:solidFill>
                  <a:latin typeface="Meiryo UI" panose="020B0604030504040204" pitchFamily="50" charset="-128"/>
                  <a:ea typeface="Meiryo UI" panose="020B0604030504040204" pitchFamily="50" charset="-128"/>
                </a:rPr>
                <a:t>橙背景は本設計書の対象</a:t>
              </a:r>
            </a:p>
          </xdr:txBody>
        </xdr:sp>
      </xdr:grpSp>
      <xdr:sp macro="" textlink="">
        <xdr:nvSpPr>
          <xdr:cNvPr id="35" name="片側の 2 つの角を切り取った四角形 34"/>
          <xdr:cNvSpPr/>
        </xdr:nvSpPr>
        <xdr:spPr>
          <a:xfrm>
            <a:off x="7372350" y="3067050"/>
            <a:ext cx="742950" cy="189820"/>
          </a:xfrm>
          <a:prstGeom prst="snip2SameRec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ループ</a:t>
            </a:r>
          </a:p>
        </xdr:txBody>
      </xdr:sp>
      <xdr:sp macro="" textlink="">
        <xdr:nvSpPr>
          <xdr:cNvPr id="36" name="片側の 2 つの角を切り取った四角形 35"/>
          <xdr:cNvSpPr/>
        </xdr:nvSpPr>
        <xdr:spPr>
          <a:xfrm flipV="1">
            <a:off x="7372350" y="3286125"/>
            <a:ext cx="742950" cy="171450"/>
          </a:xfrm>
          <a:prstGeom prst="snip2SameRec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vert="horz" rtlCol="0" anchor="t"/>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7" name="フローチャート: 判断 36"/>
          <xdr:cNvSpPr/>
        </xdr:nvSpPr>
        <xdr:spPr>
          <a:xfrm>
            <a:off x="8258174" y="2952749"/>
            <a:ext cx="942975" cy="561975"/>
          </a:xfrm>
          <a:prstGeom prst="flowChartDecision">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分岐</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95250</xdr:colOff>
      <xdr:row>6</xdr:row>
      <xdr:rowOff>127000</xdr:rowOff>
    </xdr:from>
    <xdr:to>
      <xdr:col>48</xdr:col>
      <xdr:colOff>10583</xdr:colOff>
      <xdr:row>10</xdr:row>
      <xdr:rowOff>126999</xdr:rowOff>
    </xdr:to>
    <xdr:sp macro="" textlink="">
      <xdr:nvSpPr>
        <xdr:cNvPr id="2" name="正方形/長方形 1"/>
        <xdr:cNvSpPr/>
      </xdr:nvSpPr>
      <xdr:spPr>
        <a:xfrm>
          <a:off x="285750" y="1143000"/>
          <a:ext cx="8868833" cy="592666"/>
        </a:xfrm>
        <a:prstGeom prst="rect">
          <a:avLst/>
        </a:prstGeom>
        <a:solidFill>
          <a:schemeClr val="bg1">
            <a:lumMod val="75000"/>
            <a:alpha val="50000"/>
          </a:schemeClr>
        </a:solidFill>
        <a:ln w="127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当記述は</a:t>
          </a: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sample</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のため、処理の整合性を保証するものではありません。</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xdr:col>
          <xdr:colOff>28575</xdr:colOff>
          <xdr:row>2</xdr:row>
          <xdr:rowOff>133350</xdr:rowOff>
        </xdr:to>
        <xdr:pic>
          <xdr:nvPicPr>
            <xdr:cNvPr id="3" name="図 2"/>
            <xdr:cNvPicPr>
              <a:picLocks noChangeAspect="1" noChangeArrowheads="1"/>
              <a:extLst>
                <a:ext uri="{84589F7E-364E-4C9E-8A38-B11213B215E9}">
                  <a14:cameraTool cellRange="表紙!$BA$63:$BJ$65" spid="_x0000_s113707"/>
                </a:ext>
              </a:extLst>
            </xdr:cNvPicPr>
          </xdr:nvPicPr>
          <xdr:blipFill>
            <a:blip xmlns:r="http://schemas.openxmlformats.org/officeDocument/2006/relationships" r:embed="rId1"/>
            <a:srcRect/>
            <a:stretch>
              <a:fillRect/>
            </a:stretch>
          </xdr:blipFill>
          <xdr:spPr bwMode="auto">
            <a:xfrm>
              <a:off x="0" y="0"/>
              <a:ext cx="9534525" cy="4381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mple_XX-XX-9999_&#12452;&#12531;&#12479;&#12501;&#12455;&#12540;&#12473;&#22522;&#26412;&#35373;&#35336;&#26360;&#65288;&#21463;&#20449;&#65289;&#21463;&#27880;&#21463;&#20449;&#65321;&#65295;&#65318;_r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来歴"/>
      <sheetName val="承認票"/>
      <sheetName val="レビュー記録"/>
      <sheetName val="機能概要"/>
      <sheetName val="処理・サービス関連図"/>
      <sheetName val="更新入出力仕様"/>
      <sheetName val="メッセージ一覧"/>
      <sheetName val="処理フロー"/>
      <sheetName val="処理詳細"/>
      <sheetName val="サービス呼出仕様"/>
      <sheetName val="補足_バッチログ実装"/>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00"/>
        </a:solidFill>
        <a:ln>
          <a:solidFill>
            <a:srgbClr val="FF0000"/>
          </a:solidFill>
        </a:ln>
      </a:spPr>
      <a:bodyPr vertOverflow="clip" rtlCol="0" anchor="ctr"/>
      <a:lstStyle>
        <a:defPPr algn="l">
          <a:defRPr kumimoji="1"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99"/>
    <pageSetUpPr fitToPage="1"/>
  </sheetPr>
  <dimension ref="A3:BJ73"/>
  <sheetViews>
    <sheetView showGridLines="0" topLeftCell="S37" zoomScaleNormal="100" zoomScaleSheetLayoutView="90" workbookViewId="0">
      <selection activeCell="BA71" sqref="BA71:BA73"/>
    </sheetView>
  </sheetViews>
  <sheetFormatPr defaultRowHeight="12"/>
  <cols>
    <col min="1" max="50" width="3.33203125" style="1" customWidth="1"/>
    <col min="51" max="52" width="9.33203125" style="1"/>
    <col min="53" max="53" width="23.33203125" style="1" customWidth="1"/>
    <col min="54" max="54" width="13.33203125" style="1" customWidth="1"/>
    <col min="55" max="55" width="23.33203125" style="1" customWidth="1"/>
    <col min="56" max="56" width="13.33203125" style="1" customWidth="1"/>
    <col min="57" max="57" width="23.33203125" style="1" customWidth="1"/>
    <col min="58" max="58" width="13.33203125" style="1" customWidth="1"/>
    <col min="59" max="59" width="16.6640625" style="1" customWidth="1"/>
    <col min="60" max="62" width="13.33203125" style="1" customWidth="1"/>
    <col min="63" max="16384" width="9.33203125" style="1"/>
  </cols>
  <sheetData>
    <row r="3" spans="32:49" ht="11.25" customHeight="1">
      <c r="AF3" s="292" t="s">
        <v>0</v>
      </c>
      <c r="AG3" s="310"/>
      <c r="AH3" s="310"/>
      <c r="AI3" s="310"/>
      <c r="AJ3" s="310"/>
      <c r="AK3" s="311"/>
      <c r="AL3" s="317" t="s">
        <v>22</v>
      </c>
      <c r="AM3" s="317"/>
      <c r="AN3" s="317"/>
      <c r="AO3" s="317"/>
      <c r="AP3" s="317"/>
      <c r="AQ3" s="317"/>
      <c r="AR3" s="306" t="s">
        <v>1</v>
      </c>
      <c r="AS3" s="307"/>
      <c r="AT3" s="307"/>
      <c r="AU3" s="307"/>
      <c r="AV3" s="307"/>
      <c r="AW3" s="308"/>
    </row>
    <row r="4" spans="32:49" ht="11.25" customHeight="1">
      <c r="AF4" s="312"/>
      <c r="AG4" s="310"/>
      <c r="AH4" s="310"/>
      <c r="AI4" s="310"/>
      <c r="AJ4" s="310"/>
      <c r="AK4" s="311"/>
      <c r="AL4" s="317"/>
      <c r="AM4" s="317"/>
      <c r="AN4" s="317"/>
      <c r="AO4" s="317"/>
      <c r="AP4" s="317"/>
      <c r="AQ4" s="317"/>
      <c r="AR4" s="306"/>
      <c r="AS4" s="307"/>
      <c r="AT4" s="307"/>
      <c r="AU4" s="307"/>
      <c r="AV4" s="307"/>
      <c r="AW4" s="308"/>
    </row>
    <row r="5" spans="32:49" ht="11.25" customHeight="1">
      <c r="AF5" s="309" t="str">
        <f>IF(文書番号="","",文書番号)</f>
        <v>XX-XX-9999</v>
      </c>
      <c r="AG5" s="310"/>
      <c r="AH5" s="310"/>
      <c r="AI5" s="310"/>
      <c r="AJ5" s="310"/>
      <c r="AK5" s="311"/>
      <c r="AL5" s="313" t="str">
        <f>IF(Version="","",Version)</f>
        <v>7.0.1.1</v>
      </c>
      <c r="AM5" s="313"/>
      <c r="AN5" s="313"/>
      <c r="AO5" s="313"/>
      <c r="AP5" s="313"/>
      <c r="AQ5" s="313"/>
      <c r="AR5" s="314" t="str">
        <f>IF(Rev="","",Rev)</f>
        <v>r02.00</v>
      </c>
      <c r="AS5" s="315"/>
      <c r="AT5" s="315"/>
      <c r="AU5" s="315"/>
      <c r="AV5" s="315"/>
      <c r="AW5" s="316"/>
    </row>
    <row r="6" spans="32:49" ht="11.25" customHeight="1">
      <c r="AF6" s="312"/>
      <c r="AG6" s="310"/>
      <c r="AH6" s="310"/>
      <c r="AI6" s="310"/>
      <c r="AJ6" s="310"/>
      <c r="AK6" s="311"/>
      <c r="AL6" s="313"/>
      <c r="AM6" s="313"/>
      <c r="AN6" s="313"/>
      <c r="AO6" s="313"/>
      <c r="AP6" s="313"/>
      <c r="AQ6" s="313"/>
      <c r="AR6" s="314"/>
      <c r="AS6" s="315"/>
      <c r="AT6" s="315"/>
      <c r="AU6" s="315"/>
      <c r="AV6" s="315"/>
      <c r="AW6" s="316"/>
    </row>
    <row r="27" spans="16:33" ht="22.5" customHeight="1">
      <c r="P27" s="298" t="s">
        <v>2</v>
      </c>
      <c r="Q27" s="299"/>
      <c r="R27" s="299"/>
      <c r="S27" s="299"/>
      <c r="T27" s="299"/>
      <c r="U27" s="300"/>
      <c r="V27" s="322" t="str">
        <f>IF(顧客名="","",顧客名)</f>
        <v>株式会社XXXX殿</v>
      </c>
      <c r="W27" s="323"/>
      <c r="X27" s="323"/>
      <c r="Y27" s="323"/>
      <c r="Z27" s="323"/>
      <c r="AA27" s="323"/>
      <c r="AB27" s="323"/>
      <c r="AC27" s="323"/>
      <c r="AD27" s="323"/>
      <c r="AE27" s="323"/>
      <c r="AF27" s="323"/>
      <c r="AG27" s="324"/>
    </row>
    <row r="28" spans="16:33" ht="22.5" customHeight="1">
      <c r="P28" s="298" t="s">
        <v>3</v>
      </c>
      <c r="Q28" s="299"/>
      <c r="R28" s="299"/>
      <c r="S28" s="299"/>
      <c r="T28" s="299"/>
      <c r="U28" s="300"/>
      <c r="V28" s="322" t="str">
        <f>IF(プロジェクト名="","",プロジェクト名)</f>
        <v>新基幹システム構築プロジェクト</v>
      </c>
      <c r="W28" s="323"/>
      <c r="X28" s="323"/>
      <c r="Y28" s="323"/>
      <c r="Z28" s="323"/>
      <c r="AA28" s="323"/>
      <c r="AB28" s="323"/>
      <c r="AC28" s="323"/>
      <c r="AD28" s="323"/>
      <c r="AE28" s="323"/>
      <c r="AF28" s="323"/>
      <c r="AG28" s="324"/>
    </row>
    <row r="29" spans="16:33" ht="22.5" customHeight="1">
      <c r="P29" s="298" t="s">
        <v>4</v>
      </c>
      <c r="Q29" s="299"/>
      <c r="R29" s="299"/>
      <c r="S29" s="299"/>
      <c r="T29" s="299"/>
      <c r="U29" s="300"/>
      <c r="V29" s="322" t="str">
        <f>IF(分類ID="","",分類ID)</f>
        <v>MSBF</v>
      </c>
      <c r="W29" s="323"/>
      <c r="X29" s="323"/>
      <c r="Y29" s="323"/>
      <c r="Z29" s="323"/>
      <c r="AA29" s="324"/>
      <c r="AB29" s="325" t="str">
        <f>IF(機能ID="","",機能ID)</f>
        <v>MSBFLA020</v>
      </c>
      <c r="AC29" s="326"/>
      <c r="AD29" s="326"/>
      <c r="AE29" s="326"/>
      <c r="AF29" s="326"/>
      <c r="AG29" s="327"/>
    </row>
    <row r="30" spans="16:33" ht="22.5" customHeight="1">
      <c r="P30" s="318" t="s">
        <v>5</v>
      </c>
      <c r="Q30" s="319"/>
      <c r="R30" s="319"/>
      <c r="S30" s="319"/>
      <c r="T30" s="319"/>
      <c r="U30" s="320"/>
      <c r="V30" s="322" t="str">
        <f>IF(分類名="","",分類名)</f>
        <v>品質管理</v>
      </c>
      <c r="W30" s="323"/>
      <c r="X30" s="323"/>
      <c r="Y30" s="323"/>
      <c r="Z30" s="323"/>
      <c r="AA30" s="323"/>
      <c r="AB30" s="323"/>
      <c r="AC30" s="323"/>
      <c r="AD30" s="323"/>
      <c r="AE30" s="323"/>
      <c r="AF30" s="323"/>
      <c r="AG30" s="324"/>
    </row>
    <row r="31" spans="16:33" ht="22.5" customHeight="1">
      <c r="P31" s="292" t="s">
        <v>6</v>
      </c>
      <c r="Q31" s="293"/>
      <c r="R31" s="293"/>
      <c r="S31" s="293"/>
      <c r="T31" s="293"/>
      <c r="U31" s="294"/>
      <c r="V31" s="295" t="str">
        <f>IF(機能名="","",機能名)</f>
        <v>部材現品票発行サービス</v>
      </c>
      <c r="W31" s="296"/>
      <c r="X31" s="296"/>
      <c r="Y31" s="296"/>
      <c r="Z31" s="296"/>
      <c r="AA31" s="296"/>
      <c r="AB31" s="296"/>
      <c r="AC31" s="296"/>
      <c r="AD31" s="296"/>
      <c r="AE31" s="296"/>
      <c r="AF31" s="296"/>
      <c r="AG31" s="297"/>
    </row>
    <row r="41" spans="53:62" ht="11.25" customHeight="1"/>
    <row r="42" spans="53:62" ht="11.25" customHeight="1"/>
    <row r="43" spans="53:62" ht="11.25" customHeight="1"/>
    <row r="44" spans="53:62" ht="11.25" customHeight="1"/>
    <row r="46" spans="53:62" ht="12.75" thickBot="1"/>
    <row r="47" spans="53:62" ht="11.25" customHeight="1">
      <c r="BA47" s="289" t="s">
        <v>24</v>
      </c>
      <c r="BB47" s="163" t="s">
        <v>2</v>
      </c>
      <c r="BC47" s="164" t="str">
        <f>IF(顧客名="","",顧客名)</f>
        <v>株式会社XXXX殿</v>
      </c>
      <c r="BD47" s="165" t="s">
        <v>313</v>
      </c>
      <c r="BE47" s="164" t="str">
        <f>IF(システム="","",システム)</f>
        <v>mcframe7</v>
      </c>
      <c r="BF47" s="165" t="s">
        <v>18</v>
      </c>
      <c r="BG47" s="164" t="str">
        <f>IF(作成者="","",作成者)</f>
        <v>XX</v>
      </c>
      <c r="BH47" s="165" t="s">
        <v>19</v>
      </c>
      <c r="BI47" s="166">
        <f>IF(作成日="","",作成日)</f>
        <v>42871</v>
      </c>
      <c r="BJ47" s="167" t="s">
        <v>0</v>
      </c>
    </row>
    <row r="48" spans="53:62" ht="11.25" customHeight="1">
      <c r="BA48" s="290"/>
      <c r="BB48" s="168" t="s">
        <v>120</v>
      </c>
      <c r="BC48" s="169" t="str">
        <f>IF(プロジェクト名="","",プロジェクト名)</f>
        <v>新基幹システム構築プロジェクト</v>
      </c>
      <c r="BD48" s="170" t="s">
        <v>314</v>
      </c>
      <c r="BE48" s="169" t="str">
        <f>IF(サブシステム="","",サブシステム)</f>
        <v>SCM</v>
      </c>
      <c r="BF48" s="170" t="s">
        <v>11</v>
      </c>
      <c r="BG48" s="169" t="str">
        <f>IF(修正者="","",修正者)</f>
        <v>XX</v>
      </c>
      <c r="BH48" s="170" t="s">
        <v>12</v>
      </c>
      <c r="BI48" s="171">
        <f>IF(修正日="","",修正日)</f>
        <v>43006</v>
      </c>
      <c r="BJ48" s="53" t="str">
        <f>IF(文書番号="","",文書番号)</f>
        <v>XX-XX-9999</v>
      </c>
    </row>
    <row r="49" spans="1:62" ht="11.25" customHeight="1" thickBot="1">
      <c r="BA49" s="291"/>
      <c r="BB49" s="172" t="s">
        <v>14</v>
      </c>
      <c r="BC49" s="173" t="str">
        <f>IF(機能ID="","",機能ID)</f>
        <v>MSBFLA020</v>
      </c>
      <c r="BD49" s="174" t="s">
        <v>6</v>
      </c>
      <c r="BE49" s="55" t="str">
        <f>IF(機能名="","",機能名)</f>
        <v>部材現品票発行サービス</v>
      </c>
      <c r="BF49" s="55"/>
      <c r="BG49" s="55"/>
      <c r="BH49" s="174" t="s">
        <v>315</v>
      </c>
      <c r="BI49" s="175" t="str">
        <f>IF(Rev="","",Rev)</f>
        <v>r02.00</v>
      </c>
      <c r="BJ49" s="56"/>
    </row>
    <row r="50" spans="1:62" ht="11.25" customHeight="1" thickBot="1">
      <c r="A50" s="2" t="s">
        <v>23</v>
      </c>
      <c r="BA50" s="176"/>
    </row>
    <row r="51" spans="1:62" ht="11.25" customHeight="1">
      <c r="A51" s="298" t="s">
        <v>2</v>
      </c>
      <c r="B51" s="299"/>
      <c r="C51" s="299"/>
      <c r="D51" s="299"/>
      <c r="E51" s="299"/>
      <c r="F51" s="300"/>
      <c r="G51" s="321" t="s">
        <v>304</v>
      </c>
      <c r="H51" s="296"/>
      <c r="I51" s="296"/>
      <c r="J51" s="296"/>
      <c r="K51" s="296"/>
      <c r="L51" s="296"/>
      <c r="M51" s="296"/>
      <c r="N51" s="296"/>
      <c r="O51" s="296"/>
      <c r="P51" s="296"/>
      <c r="Q51" s="296"/>
      <c r="R51" s="297"/>
      <c r="BA51" s="289" t="s">
        <v>43</v>
      </c>
      <c r="BB51" s="163" t="s">
        <v>2</v>
      </c>
      <c r="BC51" s="164" t="str">
        <f>IF(顧客名="","",顧客名)</f>
        <v>株式会社XXXX殿</v>
      </c>
      <c r="BD51" s="165" t="s">
        <v>138</v>
      </c>
      <c r="BE51" s="164" t="str">
        <f>IF(システム="","",システム)</f>
        <v>mcframe7</v>
      </c>
      <c r="BF51" s="165" t="s">
        <v>18</v>
      </c>
      <c r="BG51" s="164" t="str">
        <f>IF(作成者="","",作成者)</f>
        <v>XX</v>
      </c>
      <c r="BH51" s="165" t="s">
        <v>19</v>
      </c>
      <c r="BI51" s="166">
        <f>IF(作成日="","",作成日)</f>
        <v>42871</v>
      </c>
      <c r="BJ51" s="167" t="s">
        <v>0</v>
      </c>
    </row>
    <row r="52" spans="1:62" ht="11.25" customHeight="1">
      <c r="A52" s="298" t="s">
        <v>3</v>
      </c>
      <c r="B52" s="299"/>
      <c r="C52" s="299"/>
      <c r="D52" s="299"/>
      <c r="E52" s="299"/>
      <c r="F52" s="300"/>
      <c r="G52" s="295" t="s">
        <v>49</v>
      </c>
      <c r="H52" s="296"/>
      <c r="I52" s="296"/>
      <c r="J52" s="296"/>
      <c r="K52" s="296"/>
      <c r="L52" s="296"/>
      <c r="M52" s="296"/>
      <c r="N52" s="296"/>
      <c r="O52" s="296"/>
      <c r="P52" s="296"/>
      <c r="Q52" s="296"/>
      <c r="R52" s="297"/>
      <c r="BA52" s="290"/>
      <c r="BB52" s="168" t="s">
        <v>316</v>
      </c>
      <c r="BC52" s="169" t="str">
        <f>IF(プロジェクト名="","",プロジェクト名)</f>
        <v>新基幹システム構築プロジェクト</v>
      </c>
      <c r="BD52" s="170" t="s">
        <v>314</v>
      </c>
      <c r="BE52" s="169" t="str">
        <f>IF(サブシステム="","",サブシステム)</f>
        <v>SCM</v>
      </c>
      <c r="BF52" s="170" t="s">
        <v>11</v>
      </c>
      <c r="BG52" s="169" t="str">
        <f>IF(修正者="","",修正者)</f>
        <v>XX</v>
      </c>
      <c r="BH52" s="170" t="s">
        <v>12</v>
      </c>
      <c r="BI52" s="171">
        <f>IF(修正日="","",修正日)</f>
        <v>43006</v>
      </c>
      <c r="BJ52" s="53" t="str">
        <f>IF(文書番号="","",文書番号)</f>
        <v>XX-XX-9999</v>
      </c>
    </row>
    <row r="53" spans="1:62" ht="11.25" customHeight="1" thickBot="1">
      <c r="A53" s="298" t="s">
        <v>16</v>
      </c>
      <c r="B53" s="299"/>
      <c r="C53" s="299"/>
      <c r="D53" s="299"/>
      <c r="E53" s="299"/>
      <c r="F53" s="300"/>
      <c r="G53" s="295" t="s">
        <v>68</v>
      </c>
      <c r="H53" s="296"/>
      <c r="I53" s="296"/>
      <c r="J53" s="296"/>
      <c r="K53" s="296"/>
      <c r="L53" s="296"/>
      <c r="M53" s="296"/>
      <c r="N53" s="296"/>
      <c r="O53" s="296"/>
      <c r="P53" s="296"/>
      <c r="Q53" s="296"/>
      <c r="R53" s="297"/>
      <c r="BA53" s="291"/>
      <c r="BB53" s="172" t="s">
        <v>14</v>
      </c>
      <c r="BC53" s="173" t="str">
        <f>IF(機能ID="","",機能ID)</f>
        <v>MSBFLA020</v>
      </c>
      <c r="BD53" s="174" t="s">
        <v>6</v>
      </c>
      <c r="BE53" s="55" t="str">
        <f>IF(機能名="","",機能名)</f>
        <v>部材現品票発行サービス</v>
      </c>
      <c r="BF53" s="55"/>
      <c r="BG53" s="55"/>
      <c r="BH53" s="174" t="s">
        <v>317</v>
      </c>
      <c r="BI53" s="175" t="str">
        <f>IF(Rev="","",Rev)</f>
        <v>r02.00</v>
      </c>
      <c r="BJ53" s="56"/>
    </row>
    <row r="54" spans="1:62" ht="11.25" customHeight="1" thickBot="1">
      <c r="A54" s="298" t="s">
        <v>22</v>
      </c>
      <c r="B54" s="299"/>
      <c r="C54" s="299"/>
      <c r="D54" s="299"/>
      <c r="E54" s="299"/>
      <c r="F54" s="300"/>
      <c r="G54" s="305" t="s">
        <v>312</v>
      </c>
      <c r="H54" s="296"/>
      <c r="I54" s="296"/>
      <c r="J54" s="296"/>
      <c r="K54" s="296"/>
      <c r="L54" s="296"/>
      <c r="M54" s="296"/>
      <c r="N54" s="296"/>
      <c r="O54" s="296"/>
      <c r="P54" s="296"/>
      <c r="Q54" s="296"/>
      <c r="R54" s="297"/>
      <c r="BA54" s="176"/>
    </row>
    <row r="55" spans="1:62" ht="11.25" customHeight="1">
      <c r="A55" s="298" t="s">
        <v>17</v>
      </c>
      <c r="B55" s="299"/>
      <c r="C55" s="299"/>
      <c r="D55" s="299"/>
      <c r="E55" s="299"/>
      <c r="F55" s="300"/>
      <c r="G55" s="295" t="s">
        <v>54</v>
      </c>
      <c r="H55" s="296"/>
      <c r="I55" s="296"/>
      <c r="J55" s="296"/>
      <c r="K55" s="296"/>
      <c r="L55" s="296"/>
      <c r="M55" s="296"/>
      <c r="N55" s="296"/>
      <c r="O55" s="296"/>
      <c r="P55" s="296"/>
      <c r="Q55" s="296"/>
      <c r="R55" s="297"/>
      <c r="BA55" s="289" t="s">
        <v>318</v>
      </c>
      <c r="BB55" s="163" t="s">
        <v>2</v>
      </c>
      <c r="BC55" s="164" t="str">
        <f>IF(顧客名="","",顧客名)</f>
        <v>株式会社XXXX殿</v>
      </c>
      <c r="BD55" s="165" t="s">
        <v>319</v>
      </c>
      <c r="BE55" s="164" t="str">
        <f>IF(システム="","",システム)</f>
        <v>mcframe7</v>
      </c>
      <c r="BF55" s="165" t="s">
        <v>18</v>
      </c>
      <c r="BG55" s="164" t="str">
        <f>IF(作成者="","",作成者)</f>
        <v>XX</v>
      </c>
      <c r="BH55" s="165" t="s">
        <v>19</v>
      </c>
      <c r="BI55" s="166">
        <f>IF(作成日="","",作成日)</f>
        <v>42871</v>
      </c>
      <c r="BJ55" s="167" t="s">
        <v>0</v>
      </c>
    </row>
    <row r="56" spans="1:62" ht="11.25" customHeight="1">
      <c r="A56" s="298" t="s">
        <v>21</v>
      </c>
      <c r="B56" s="299"/>
      <c r="C56" s="299"/>
      <c r="D56" s="299"/>
      <c r="E56" s="299"/>
      <c r="F56" s="300"/>
      <c r="G56" s="295" t="s">
        <v>89</v>
      </c>
      <c r="H56" s="296"/>
      <c r="I56" s="296"/>
      <c r="J56" s="296"/>
      <c r="K56" s="296"/>
      <c r="L56" s="296"/>
      <c r="M56" s="296"/>
      <c r="N56" s="296"/>
      <c r="O56" s="296"/>
      <c r="P56" s="296"/>
      <c r="Q56" s="296"/>
      <c r="R56" s="297"/>
      <c r="BA56" s="290"/>
      <c r="BB56" s="168" t="s">
        <v>316</v>
      </c>
      <c r="BC56" s="169" t="str">
        <f>IF(プロジェクト名="","",プロジェクト名)</f>
        <v>新基幹システム構築プロジェクト</v>
      </c>
      <c r="BD56" s="170" t="s">
        <v>320</v>
      </c>
      <c r="BE56" s="169" t="str">
        <f>IF(サブシステム="","",サブシステム)</f>
        <v>SCM</v>
      </c>
      <c r="BF56" s="170" t="s">
        <v>11</v>
      </c>
      <c r="BG56" s="169" t="str">
        <f>IF(修正者="","",修正者)</f>
        <v>XX</v>
      </c>
      <c r="BH56" s="170" t="s">
        <v>12</v>
      </c>
      <c r="BI56" s="171">
        <f>IF(修正日="","",修正日)</f>
        <v>43006</v>
      </c>
      <c r="BJ56" s="53" t="str">
        <f>IF(文書番号="","",文書番号)</f>
        <v>XX-XX-9999</v>
      </c>
    </row>
    <row r="57" spans="1:62" ht="11.25" customHeight="1" thickBot="1">
      <c r="A57" s="298" t="s">
        <v>14</v>
      </c>
      <c r="B57" s="299"/>
      <c r="C57" s="299"/>
      <c r="D57" s="299"/>
      <c r="E57" s="299"/>
      <c r="F57" s="300"/>
      <c r="G57" s="295" t="s">
        <v>395</v>
      </c>
      <c r="H57" s="296"/>
      <c r="I57" s="296"/>
      <c r="J57" s="296"/>
      <c r="K57" s="296"/>
      <c r="L57" s="296"/>
      <c r="M57" s="296"/>
      <c r="N57" s="296"/>
      <c r="O57" s="296"/>
      <c r="P57" s="296"/>
      <c r="Q57" s="296"/>
      <c r="R57" s="297"/>
      <c r="BA57" s="291"/>
      <c r="BB57" s="172" t="s">
        <v>14</v>
      </c>
      <c r="BC57" s="173" t="str">
        <f>IF(機能ID="","",機能ID)</f>
        <v>MSBFLA020</v>
      </c>
      <c r="BD57" s="174" t="s">
        <v>6</v>
      </c>
      <c r="BE57" s="55" t="str">
        <f>IF(機能名="","",機能名)</f>
        <v>部材現品票発行サービス</v>
      </c>
      <c r="BF57" s="55"/>
      <c r="BG57" s="55"/>
      <c r="BH57" s="174" t="s">
        <v>321</v>
      </c>
      <c r="BI57" s="175" t="str">
        <f>IF(Rev="","",Rev)</f>
        <v>r02.00</v>
      </c>
      <c r="BJ57" s="56"/>
    </row>
    <row r="58" spans="1:62" ht="11.25" customHeight="1" thickBot="1">
      <c r="A58" s="292" t="s">
        <v>5</v>
      </c>
      <c r="B58" s="293"/>
      <c r="C58" s="293"/>
      <c r="D58" s="293"/>
      <c r="E58" s="293"/>
      <c r="F58" s="294"/>
      <c r="G58" s="295" t="s">
        <v>66</v>
      </c>
      <c r="H58" s="296"/>
      <c r="I58" s="296"/>
      <c r="J58" s="296"/>
      <c r="K58" s="296"/>
      <c r="L58" s="296"/>
      <c r="M58" s="296"/>
      <c r="N58" s="296"/>
      <c r="O58" s="296"/>
      <c r="P58" s="296"/>
      <c r="Q58" s="296"/>
      <c r="R58" s="297"/>
      <c r="BA58" s="176"/>
    </row>
    <row r="59" spans="1:62" ht="11.25" customHeight="1">
      <c r="A59" s="292" t="s">
        <v>6</v>
      </c>
      <c r="B59" s="293"/>
      <c r="C59" s="293"/>
      <c r="D59" s="293"/>
      <c r="E59" s="293"/>
      <c r="F59" s="294"/>
      <c r="G59" s="295" t="s">
        <v>396</v>
      </c>
      <c r="H59" s="296"/>
      <c r="I59" s="296"/>
      <c r="J59" s="296"/>
      <c r="K59" s="296"/>
      <c r="L59" s="296"/>
      <c r="M59" s="296"/>
      <c r="N59" s="296"/>
      <c r="O59" s="296"/>
      <c r="P59" s="296"/>
      <c r="Q59" s="296"/>
      <c r="R59" s="297"/>
      <c r="BA59" s="289" t="s">
        <v>322</v>
      </c>
      <c r="BB59" s="163" t="s">
        <v>2</v>
      </c>
      <c r="BC59" s="164" t="str">
        <f>IF(顧客名="","",顧客名)</f>
        <v>株式会社XXXX殿</v>
      </c>
      <c r="BD59" s="165" t="s">
        <v>138</v>
      </c>
      <c r="BE59" s="164" t="str">
        <f>IF(システム="","",システム)</f>
        <v>mcframe7</v>
      </c>
      <c r="BF59" s="165" t="s">
        <v>18</v>
      </c>
      <c r="BG59" s="164" t="str">
        <f>IF(作成者="","",作成者)</f>
        <v>XX</v>
      </c>
      <c r="BH59" s="165" t="s">
        <v>19</v>
      </c>
      <c r="BI59" s="166">
        <f>IF(作成日="","",作成日)</f>
        <v>42871</v>
      </c>
      <c r="BJ59" s="167" t="s">
        <v>0</v>
      </c>
    </row>
    <row r="60" spans="1:62" ht="11.25" customHeight="1">
      <c r="A60" s="298" t="s">
        <v>18</v>
      </c>
      <c r="B60" s="299"/>
      <c r="C60" s="299"/>
      <c r="D60" s="299"/>
      <c r="E60" s="299"/>
      <c r="F60" s="300"/>
      <c r="G60" s="295" t="s">
        <v>305</v>
      </c>
      <c r="H60" s="296"/>
      <c r="I60" s="296"/>
      <c r="J60" s="296"/>
      <c r="K60" s="296"/>
      <c r="L60" s="296"/>
      <c r="M60" s="296"/>
      <c r="N60" s="296"/>
      <c r="O60" s="296"/>
      <c r="P60" s="296"/>
      <c r="Q60" s="296"/>
      <c r="R60" s="297"/>
      <c r="S60" s="1" t="s">
        <v>47</v>
      </c>
      <c r="BA60" s="290"/>
      <c r="BB60" s="168" t="s">
        <v>323</v>
      </c>
      <c r="BC60" s="169" t="str">
        <f>IF(プロジェクト名="","",プロジェクト名)</f>
        <v>新基幹システム構築プロジェクト</v>
      </c>
      <c r="BD60" s="170" t="s">
        <v>320</v>
      </c>
      <c r="BE60" s="169" t="str">
        <f>IF(サブシステム="","",サブシステム)</f>
        <v>SCM</v>
      </c>
      <c r="BF60" s="170" t="s">
        <v>11</v>
      </c>
      <c r="BG60" s="169" t="str">
        <f>IF(修正者="","",修正者)</f>
        <v>XX</v>
      </c>
      <c r="BH60" s="170" t="s">
        <v>12</v>
      </c>
      <c r="BI60" s="171">
        <f>IF(修正日="","",修正日)</f>
        <v>43006</v>
      </c>
      <c r="BJ60" s="53" t="str">
        <f>IF(文書番号="","",文書番号)</f>
        <v>XX-XX-9999</v>
      </c>
    </row>
    <row r="61" spans="1:62" ht="11.25" customHeight="1" thickBot="1">
      <c r="A61" s="298" t="s">
        <v>11</v>
      </c>
      <c r="B61" s="299"/>
      <c r="C61" s="299"/>
      <c r="D61" s="299"/>
      <c r="E61" s="299"/>
      <c r="F61" s="300"/>
      <c r="G61" s="295" t="s">
        <v>305</v>
      </c>
      <c r="H61" s="296"/>
      <c r="I61" s="296"/>
      <c r="J61" s="296"/>
      <c r="K61" s="296"/>
      <c r="L61" s="296"/>
      <c r="M61" s="296"/>
      <c r="N61" s="296"/>
      <c r="O61" s="296"/>
      <c r="P61" s="296"/>
      <c r="Q61" s="296"/>
      <c r="R61" s="297"/>
      <c r="S61" s="1" t="s">
        <v>47</v>
      </c>
      <c r="BA61" s="291"/>
      <c r="BB61" s="172" t="s">
        <v>14</v>
      </c>
      <c r="BC61" s="173" t="str">
        <f>IF(機能ID="","",機能ID)</f>
        <v>MSBFLA020</v>
      </c>
      <c r="BD61" s="174" t="s">
        <v>6</v>
      </c>
      <c r="BE61" s="55" t="str">
        <f>IF(機能名="","",機能名)</f>
        <v>部材現品票発行サービス</v>
      </c>
      <c r="BF61" s="55"/>
      <c r="BG61" s="55"/>
      <c r="BH61" s="174" t="s">
        <v>317</v>
      </c>
      <c r="BI61" s="175" t="str">
        <f>IF(Rev="","",Rev)</f>
        <v>r02.00</v>
      </c>
      <c r="BJ61" s="56"/>
    </row>
    <row r="62" spans="1:62" ht="11.25" customHeight="1" thickBot="1">
      <c r="A62" s="298" t="s">
        <v>19</v>
      </c>
      <c r="B62" s="299"/>
      <c r="C62" s="299"/>
      <c r="D62" s="299"/>
      <c r="E62" s="299"/>
      <c r="F62" s="300"/>
      <c r="G62" s="304">
        <f>来歴!E6</f>
        <v>42871</v>
      </c>
      <c r="H62" s="296"/>
      <c r="I62" s="296"/>
      <c r="J62" s="296"/>
      <c r="K62" s="296"/>
      <c r="L62" s="296"/>
      <c r="M62" s="296"/>
      <c r="N62" s="296"/>
      <c r="O62" s="296"/>
      <c r="P62" s="296"/>
      <c r="Q62" s="296"/>
      <c r="R62" s="297"/>
      <c r="S62" s="1" t="s">
        <v>47</v>
      </c>
      <c r="BA62" s="176"/>
    </row>
    <row r="63" spans="1:62" ht="11.25" customHeight="1">
      <c r="A63" s="298" t="s">
        <v>12</v>
      </c>
      <c r="B63" s="299"/>
      <c r="C63" s="299"/>
      <c r="D63" s="299"/>
      <c r="E63" s="299"/>
      <c r="F63" s="300"/>
      <c r="G63" s="304">
        <f>IF(VLOOKUP(MAXA(来歴!A6:A43),来歴!A6:F43,5)="","",VLOOKUP(MAXA(来歴!A6:A43),来歴!A6:F43,5))</f>
        <v>43006</v>
      </c>
      <c r="H63" s="296"/>
      <c r="I63" s="296"/>
      <c r="J63" s="296"/>
      <c r="K63" s="296"/>
      <c r="L63" s="296"/>
      <c r="M63" s="296"/>
      <c r="N63" s="296"/>
      <c r="O63" s="296"/>
      <c r="P63" s="296"/>
      <c r="Q63" s="296"/>
      <c r="R63" s="297"/>
      <c r="S63" s="1" t="s">
        <v>47</v>
      </c>
      <c r="BA63" s="289" t="s">
        <v>364</v>
      </c>
      <c r="BB63" s="163" t="s">
        <v>2</v>
      </c>
      <c r="BC63" s="164" t="str">
        <f>IF(顧客名="","",顧客名)</f>
        <v>株式会社XXXX殿</v>
      </c>
      <c r="BD63" s="165" t="s">
        <v>138</v>
      </c>
      <c r="BE63" s="164" t="str">
        <f>IF(システム="","",システム)</f>
        <v>mcframe7</v>
      </c>
      <c r="BF63" s="165" t="s">
        <v>18</v>
      </c>
      <c r="BG63" s="164" t="str">
        <f>IF(作成者="","",作成者)</f>
        <v>XX</v>
      </c>
      <c r="BH63" s="165" t="s">
        <v>19</v>
      </c>
      <c r="BI63" s="166">
        <f>IF(作成日="","",作成日)</f>
        <v>42871</v>
      </c>
      <c r="BJ63" s="167" t="s">
        <v>0</v>
      </c>
    </row>
    <row r="64" spans="1:62" ht="11.25" customHeight="1">
      <c r="A64" s="298" t="s">
        <v>20</v>
      </c>
      <c r="B64" s="299"/>
      <c r="C64" s="299"/>
      <c r="D64" s="299"/>
      <c r="E64" s="299"/>
      <c r="F64" s="300"/>
      <c r="G64" s="301" t="str">
        <f>IF(VLOOKUP(MAXA(来歴!A6:A43),来歴!A6:F43,2)="","",VLOOKUP(MAXA(来歴!A6:A43),来歴!A6:F43,2))</f>
        <v>r02.00</v>
      </c>
      <c r="H64" s="302"/>
      <c r="I64" s="302"/>
      <c r="J64" s="302"/>
      <c r="K64" s="302"/>
      <c r="L64" s="302"/>
      <c r="M64" s="302"/>
      <c r="N64" s="302"/>
      <c r="O64" s="302"/>
      <c r="P64" s="302"/>
      <c r="Q64" s="302"/>
      <c r="R64" s="303"/>
      <c r="S64" s="1" t="s">
        <v>47</v>
      </c>
      <c r="BA64" s="290"/>
      <c r="BB64" s="168" t="s">
        <v>120</v>
      </c>
      <c r="BC64" s="169" t="str">
        <f>IF(プロジェクト名="","",プロジェクト名)</f>
        <v>新基幹システム構築プロジェクト</v>
      </c>
      <c r="BD64" s="170" t="s">
        <v>314</v>
      </c>
      <c r="BE64" s="169" t="str">
        <f>IF(サブシステム="","",サブシステム)</f>
        <v>SCM</v>
      </c>
      <c r="BF64" s="170" t="s">
        <v>11</v>
      </c>
      <c r="BG64" s="169" t="str">
        <f>IF(修正者="","",修正者)</f>
        <v>XX</v>
      </c>
      <c r="BH64" s="170" t="s">
        <v>12</v>
      </c>
      <c r="BI64" s="171">
        <f>IF(修正日="","",修正日)</f>
        <v>43006</v>
      </c>
      <c r="BJ64" s="53" t="str">
        <f>IF(文書番号="","",文書番号)</f>
        <v>XX-XX-9999</v>
      </c>
    </row>
    <row r="65" spans="1:62" ht="11.25" customHeight="1" thickBot="1">
      <c r="A65" s="298" t="s">
        <v>0</v>
      </c>
      <c r="B65" s="299"/>
      <c r="C65" s="299"/>
      <c r="D65" s="299"/>
      <c r="E65" s="299"/>
      <c r="F65" s="300"/>
      <c r="G65" s="295" t="s">
        <v>309</v>
      </c>
      <c r="H65" s="296"/>
      <c r="I65" s="296"/>
      <c r="J65" s="296"/>
      <c r="K65" s="296"/>
      <c r="L65" s="296"/>
      <c r="M65" s="296"/>
      <c r="N65" s="296"/>
      <c r="O65" s="296"/>
      <c r="P65" s="296"/>
      <c r="Q65" s="296"/>
      <c r="R65" s="297"/>
      <c r="BA65" s="291"/>
      <c r="BB65" s="172" t="s">
        <v>14</v>
      </c>
      <c r="BC65" s="173" t="str">
        <f>IF(機能ID="","",機能ID)</f>
        <v>MSBFLA020</v>
      </c>
      <c r="BD65" s="174" t="s">
        <v>6</v>
      </c>
      <c r="BE65" s="55" t="str">
        <f>IF(機能名="","",機能名)</f>
        <v>部材現品票発行サービス</v>
      </c>
      <c r="BF65" s="55"/>
      <c r="BG65" s="55"/>
      <c r="BH65" s="174" t="s">
        <v>315</v>
      </c>
      <c r="BI65" s="175" t="str">
        <f>IF(Rev="","",Rev)</f>
        <v>r02.00</v>
      </c>
      <c r="BJ65" s="56"/>
    </row>
    <row r="66" spans="1:62" ht="11.25" customHeight="1" thickBot="1"/>
    <row r="67" spans="1:62" ht="11.25" customHeight="1">
      <c r="BA67" s="289" t="s">
        <v>366</v>
      </c>
      <c r="BB67" s="163" t="s">
        <v>2</v>
      </c>
      <c r="BC67" s="164" t="str">
        <f>IF(顧客名="","",顧客名)</f>
        <v>株式会社XXXX殿</v>
      </c>
      <c r="BD67" s="165" t="s">
        <v>44</v>
      </c>
      <c r="BE67" s="164" t="str">
        <f>IF(システム="","",システム)</f>
        <v>mcframe7</v>
      </c>
      <c r="BF67" s="165" t="s">
        <v>18</v>
      </c>
      <c r="BG67" s="164" t="str">
        <f>IF(作成者="","",作成者)</f>
        <v>XX</v>
      </c>
      <c r="BH67" s="165" t="s">
        <v>19</v>
      </c>
      <c r="BI67" s="166">
        <f>IF(作成日="","",作成日)</f>
        <v>42871</v>
      </c>
      <c r="BJ67" s="167" t="s">
        <v>0</v>
      </c>
    </row>
    <row r="68" spans="1:62">
      <c r="BA68" s="290"/>
      <c r="BB68" s="168" t="s">
        <v>45</v>
      </c>
      <c r="BC68" s="169" t="str">
        <f>IF(プロジェクト名="","",プロジェクト名)</f>
        <v>新基幹システム構築プロジェクト</v>
      </c>
      <c r="BD68" s="170" t="s">
        <v>314</v>
      </c>
      <c r="BE68" s="169" t="str">
        <f>IF(サブシステム="","",サブシステム)</f>
        <v>SCM</v>
      </c>
      <c r="BF68" s="170" t="s">
        <v>11</v>
      </c>
      <c r="BG68" s="169" t="str">
        <f>IF(修正者="","",修正者)</f>
        <v>XX</v>
      </c>
      <c r="BH68" s="170" t="s">
        <v>12</v>
      </c>
      <c r="BI68" s="171">
        <f>IF(修正日="","",修正日)</f>
        <v>43006</v>
      </c>
      <c r="BJ68" s="53" t="str">
        <f>IF(文書番号="","",文書番号)</f>
        <v>XX-XX-9999</v>
      </c>
    </row>
    <row r="69" spans="1:62" ht="12.75" thickBot="1">
      <c r="BA69" s="291"/>
      <c r="BB69" s="172" t="s">
        <v>14</v>
      </c>
      <c r="BC69" s="173" t="str">
        <f>IF(機能ID="","",機能ID)</f>
        <v>MSBFLA020</v>
      </c>
      <c r="BD69" s="174" t="s">
        <v>6</v>
      </c>
      <c r="BE69" s="55" t="str">
        <f>IF(機能名="","",機能名)</f>
        <v>部材現品票発行サービス</v>
      </c>
      <c r="BF69" s="55"/>
      <c r="BG69" s="55"/>
      <c r="BH69" s="174" t="s">
        <v>315</v>
      </c>
      <c r="BI69" s="175" t="str">
        <f>IF(Rev="","",Rev)</f>
        <v>r02.00</v>
      </c>
      <c r="BJ69" s="56"/>
    </row>
    <row r="70" spans="1:62" ht="12.75" thickBot="1"/>
    <row r="71" spans="1:62">
      <c r="BA71" s="289" t="s">
        <v>425</v>
      </c>
      <c r="BB71" s="163" t="s">
        <v>2</v>
      </c>
      <c r="BC71" s="164" t="str">
        <f>IF(顧客名="","",顧客名)</f>
        <v>株式会社XXXX殿</v>
      </c>
      <c r="BD71" s="165" t="s">
        <v>138</v>
      </c>
      <c r="BE71" s="164" t="str">
        <f>IF(システム="","",システム)</f>
        <v>mcframe7</v>
      </c>
      <c r="BF71" s="165" t="s">
        <v>18</v>
      </c>
      <c r="BG71" s="164" t="str">
        <f>IF(作成者="","",作成者)</f>
        <v>XX</v>
      </c>
      <c r="BH71" s="165" t="s">
        <v>19</v>
      </c>
      <c r="BI71" s="166">
        <f>IF(作成日="","",作成日)</f>
        <v>42871</v>
      </c>
      <c r="BJ71" s="167" t="s">
        <v>0</v>
      </c>
    </row>
    <row r="72" spans="1:62">
      <c r="BA72" s="290"/>
      <c r="BB72" s="168" t="s">
        <v>120</v>
      </c>
      <c r="BC72" s="169" t="str">
        <f>IF(プロジェクト名="","",プロジェクト名)</f>
        <v>新基幹システム構築プロジェクト</v>
      </c>
      <c r="BD72" s="170" t="s">
        <v>314</v>
      </c>
      <c r="BE72" s="169" t="str">
        <f>IF(サブシステム="","",サブシステム)</f>
        <v>SCM</v>
      </c>
      <c r="BF72" s="170" t="s">
        <v>11</v>
      </c>
      <c r="BG72" s="169" t="str">
        <f>IF(修正者="","",修正者)</f>
        <v>XX</v>
      </c>
      <c r="BH72" s="170" t="s">
        <v>12</v>
      </c>
      <c r="BI72" s="171">
        <f>IF(修正日="","",修正日)</f>
        <v>43006</v>
      </c>
      <c r="BJ72" s="53" t="str">
        <f>IF(文書番号="","",文書番号)</f>
        <v>XX-XX-9999</v>
      </c>
    </row>
    <row r="73" spans="1:62" ht="12.75" thickBot="1">
      <c r="BA73" s="291"/>
      <c r="BB73" s="172" t="s">
        <v>14</v>
      </c>
      <c r="BC73" s="173" t="str">
        <f>IF(機能ID="","",機能ID)</f>
        <v>MSBFLA020</v>
      </c>
      <c r="BD73" s="174" t="s">
        <v>6</v>
      </c>
      <c r="BE73" s="55" t="str">
        <f>IF(機能名="","",機能名)</f>
        <v>部材現品票発行サービス</v>
      </c>
      <c r="BF73" s="55"/>
      <c r="BG73" s="55"/>
      <c r="BH73" s="174" t="s">
        <v>315</v>
      </c>
      <c r="BI73" s="175" t="str">
        <f>IF(Rev="","",Rev)</f>
        <v>r02.00</v>
      </c>
      <c r="BJ73" s="56"/>
    </row>
  </sheetData>
  <mergeCells count="54">
    <mergeCell ref="BA71:BA73"/>
    <mergeCell ref="BA55:BA57"/>
    <mergeCell ref="BA59:BA61"/>
    <mergeCell ref="V27:AG27"/>
    <mergeCell ref="V28:AG28"/>
    <mergeCell ref="V31:AG31"/>
    <mergeCell ref="V29:AA29"/>
    <mergeCell ref="AB29:AG29"/>
    <mergeCell ref="V30:AG30"/>
    <mergeCell ref="BA47:BA49"/>
    <mergeCell ref="A51:F51"/>
    <mergeCell ref="G51:R51"/>
    <mergeCell ref="BA51:BA53"/>
    <mergeCell ref="A52:F52"/>
    <mergeCell ref="G52:R52"/>
    <mergeCell ref="P27:U27"/>
    <mergeCell ref="P28:U28"/>
    <mergeCell ref="P31:U31"/>
    <mergeCell ref="P29:U29"/>
    <mergeCell ref="P30:U30"/>
    <mergeCell ref="AR3:AW4"/>
    <mergeCell ref="AF5:AK6"/>
    <mergeCell ref="AL5:AQ6"/>
    <mergeCell ref="AR5:AW6"/>
    <mergeCell ref="AF3:AK4"/>
    <mergeCell ref="AL3:AQ4"/>
    <mergeCell ref="A56:F56"/>
    <mergeCell ref="A58:F58"/>
    <mergeCell ref="G58:R58"/>
    <mergeCell ref="G56:R56"/>
    <mergeCell ref="A53:F53"/>
    <mergeCell ref="G53:R53"/>
    <mergeCell ref="A55:F55"/>
    <mergeCell ref="G55:R55"/>
    <mergeCell ref="A54:F54"/>
    <mergeCell ref="G54:R54"/>
    <mergeCell ref="A57:F57"/>
    <mergeCell ref="G57:R57"/>
    <mergeCell ref="BA67:BA69"/>
    <mergeCell ref="A59:F59"/>
    <mergeCell ref="G59:R59"/>
    <mergeCell ref="A64:F64"/>
    <mergeCell ref="G64:R64"/>
    <mergeCell ref="A65:F65"/>
    <mergeCell ref="G65:R65"/>
    <mergeCell ref="A62:F62"/>
    <mergeCell ref="G62:R62"/>
    <mergeCell ref="A63:F63"/>
    <mergeCell ref="G63:R63"/>
    <mergeCell ref="A60:F60"/>
    <mergeCell ref="G60:R60"/>
    <mergeCell ref="A61:F61"/>
    <mergeCell ref="G61:R61"/>
    <mergeCell ref="BA63:BA65"/>
  </mergeCells>
  <phoneticPr fontId="2"/>
  <pageMargins left="0.39370078740157483" right="0.39370078740157483" top="0.51181102362204722" bottom="0.51181102362204722" header="0.31496062992125984" footer="0.31496062992125984"/>
  <pageSetup paperSize="9" fitToHeight="0" orientation="landscape" verticalDpi="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F43"/>
  <sheetViews>
    <sheetView showGridLines="0" zoomScaleNormal="100" zoomScaleSheetLayoutView="90" workbookViewId="0">
      <selection activeCell="A14" sqref="A14"/>
    </sheetView>
  </sheetViews>
  <sheetFormatPr defaultColWidth="9.33203125" defaultRowHeight="12"/>
  <cols>
    <col min="1" max="1" width="3.33203125" style="1" customWidth="1"/>
    <col min="2" max="2" width="10" style="1" customWidth="1"/>
    <col min="3" max="3" width="103.33203125" style="1" customWidth="1"/>
    <col min="4" max="5" width="13.33203125" style="1" customWidth="1"/>
    <col min="6" max="6" width="23.33203125" style="1" customWidth="1"/>
    <col min="7" max="7" width="1.83203125" style="1" customWidth="1"/>
    <col min="8" max="16384" width="9.33203125" style="1"/>
  </cols>
  <sheetData>
    <row r="1" spans="1:6" ht="12" customHeight="1"/>
    <row r="2" spans="1:6" ht="12" customHeight="1"/>
    <row r="3" spans="1:6" ht="12.75" customHeight="1"/>
    <row r="4" spans="1:6" ht="12.75" thickBot="1"/>
    <row r="5" spans="1:6" ht="12.75" thickBot="1">
      <c r="A5" s="177" t="s">
        <v>324</v>
      </c>
      <c r="B5" s="178" t="s">
        <v>317</v>
      </c>
      <c r="C5" s="145" t="s">
        <v>25</v>
      </c>
      <c r="D5" s="149" t="s">
        <v>26</v>
      </c>
      <c r="E5" s="145" t="s">
        <v>27</v>
      </c>
      <c r="F5" s="273" t="s">
        <v>28</v>
      </c>
    </row>
    <row r="6" spans="1:6" ht="12.75" thickTop="1">
      <c r="A6" s="3">
        <v>1</v>
      </c>
      <c r="B6" s="179" t="s">
        <v>325</v>
      </c>
      <c r="C6" s="146" t="s">
        <v>46</v>
      </c>
      <c r="D6" s="148" t="s">
        <v>332</v>
      </c>
      <c r="E6" s="238">
        <v>42871</v>
      </c>
      <c r="F6" s="274"/>
    </row>
    <row r="7" spans="1:6">
      <c r="A7" s="4">
        <v>2</v>
      </c>
      <c r="B7" s="143" t="s">
        <v>326</v>
      </c>
      <c r="C7" s="144" t="s">
        <v>88</v>
      </c>
      <c r="D7" s="147" t="s">
        <v>332</v>
      </c>
      <c r="E7" s="239">
        <v>42872</v>
      </c>
      <c r="F7" s="275"/>
    </row>
    <row r="8" spans="1:6">
      <c r="A8" s="4">
        <v>3</v>
      </c>
      <c r="B8" s="143" t="s">
        <v>327</v>
      </c>
      <c r="C8" s="180" t="s">
        <v>109</v>
      </c>
      <c r="D8" s="147" t="s">
        <v>332</v>
      </c>
      <c r="E8" s="239">
        <v>42884</v>
      </c>
      <c r="F8" s="275"/>
    </row>
    <row r="9" spans="1:6">
      <c r="A9" s="4">
        <v>4</v>
      </c>
      <c r="B9" s="143" t="s">
        <v>328</v>
      </c>
      <c r="C9" s="180" t="s">
        <v>108</v>
      </c>
      <c r="D9" s="147" t="s">
        <v>332</v>
      </c>
      <c r="E9" s="239">
        <v>42900</v>
      </c>
      <c r="F9" s="275"/>
    </row>
    <row r="10" spans="1:6" ht="12.75" customHeight="1">
      <c r="A10" s="4">
        <v>5</v>
      </c>
      <c r="B10" s="143" t="s">
        <v>329</v>
      </c>
      <c r="C10" s="144" t="s">
        <v>111</v>
      </c>
      <c r="D10" s="147" t="s">
        <v>332</v>
      </c>
      <c r="E10" s="239">
        <v>42941</v>
      </c>
      <c r="F10" s="275"/>
    </row>
    <row r="11" spans="1:6">
      <c r="A11" s="4">
        <v>6</v>
      </c>
      <c r="B11" s="143" t="s">
        <v>330</v>
      </c>
      <c r="C11" s="144" t="s">
        <v>116</v>
      </c>
      <c r="D11" s="150" t="s">
        <v>332</v>
      </c>
      <c r="E11" s="239">
        <v>42978</v>
      </c>
      <c r="F11" s="275"/>
    </row>
    <row r="12" spans="1:6">
      <c r="A12" s="4"/>
      <c r="B12" s="143"/>
      <c r="C12" s="144" t="s">
        <v>118</v>
      </c>
      <c r="D12" s="150"/>
      <c r="E12" s="239"/>
      <c r="F12" s="275"/>
    </row>
    <row r="13" spans="1:6">
      <c r="A13" s="4">
        <v>7</v>
      </c>
      <c r="B13" s="143" t="s">
        <v>331</v>
      </c>
      <c r="C13" s="144" t="s">
        <v>307</v>
      </c>
      <c r="D13" s="150" t="s">
        <v>332</v>
      </c>
      <c r="E13" s="239">
        <v>43006</v>
      </c>
      <c r="F13" s="275"/>
    </row>
    <row r="14" spans="1:6">
      <c r="A14" s="4"/>
      <c r="B14" s="143"/>
      <c r="C14" s="144"/>
      <c r="D14" s="150"/>
      <c r="E14" s="240"/>
      <c r="F14" s="275"/>
    </row>
    <row r="15" spans="1:6">
      <c r="A15" s="4"/>
      <c r="B15" s="143"/>
      <c r="C15" s="144"/>
      <c r="D15" s="150"/>
      <c r="E15" s="240"/>
      <c r="F15" s="275"/>
    </row>
    <row r="16" spans="1:6">
      <c r="A16" s="4"/>
      <c r="B16" s="143"/>
      <c r="C16" s="144"/>
      <c r="D16" s="150"/>
      <c r="E16" s="240"/>
      <c r="F16" s="275"/>
    </row>
    <row r="17" spans="1:6">
      <c r="A17" s="4"/>
      <c r="B17" s="143"/>
      <c r="C17" s="144"/>
      <c r="D17" s="150"/>
      <c r="E17" s="240"/>
      <c r="F17" s="275"/>
    </row>
    <row r="18" spans="1:6">
      <c r="A18" s="4"/>
      <c r="B18" s="143"/>
      <c r="C18" s="144"/>
      <c r="D18" s="150"/>
      <c r="E18" s="240"/>
      <c r="F18" s="275"/>
    </row>
    <row r="19" spans="1:6">
      <c r="A19" s="4"/>
      <c r="B19" s="143"/>
      <c r="C19" s="144"/>
      <c r="D19" s="150"/>
      <c r="E19" s="240"/>
      <c r="F19" s="275"/>
    </row>
    <row r="20" spans="1:6">
      <c r="A20" s="4"/>
      <c r="B20" s="143"/>
      <c r="C20" s="144"/>
      <c r="D20" s="150"/>
      <c r="E20" s="240"/>
      <c r="F20" s="275"/>
    </row>
    <row r="21" spans="1:6">
      <c r="A21" s="4"/>
      <c r="B21" s="143"/>
      <c r="C21" s="144"/>
      <c r="D21" s="150"/>
      <c r="E21" s="240"/>
      <c r="F21" s="275"/>
    </row>
    <row r="22" spans="1:6">
      <c r="A22" s="4"/>
      <c r="B22" s="143"/>
      <c r="C22" s="144"/>
      <c r="D22" s="150"/>
      <c r="E22" s="240"/>
      <c r="F22" s="275"/>
    </row>
    <row r="23" spans="1:6">
      <c r="A23" s="4"/>
      <c r="B23" s="143"/>
      <c r="C23" s="144"/>
      <c r="D23" s="150"/>
      <c r="E23" s="240"/>
      <c r="F23" s="275"/>
    </row>
    <row r="24" spans="1:6">
      <c r="A24" s="4"/>
      <c r="B24" s="143"/>
      <c r="C24" s="144"/>
      <c r="D24" s="150"/>
      <c r="E24" s="240"/>
      <c r="F24" s="275"/>
    </row>
    <row r="25" spans="1:6">
      <c r="A25" s="4"/>
      <c r="B25" s="143"/>
      <c r="C25" s="144"/>
      <c r="D25" s="150"/>
      <c r="E25" s="240"/>
      <c r="F25" s="275"/>
    </row>
    <row r="26" spans="1:6">
      <c r="A26" s="4"/>
      <c r="B26" s="143"/>
      <c r="C26" s="144"/>
      <c r="D26" s="150"/>
      <c r="E26" s="240"/>
      <c r="F26" s="275"/>
    </row>
    <row r="27" spans="1:6">
      <c r="A27" s="4"/>
      <c r="B27" s="143"/>
      <c r="C27" s="144"/>
      <c r="D27" s="150"/>
      <c r="E27" s="240"/>
      <c r="F27" s="275"/>
    </row>
    <row r="28" spans="1:6">
      <c r="A28" s="4"/>
      <c r="B28" s="143"/>
      <c r="C28" s="144"/>
      <c r="D28" s="150"/>
      <c r="E28" s="240"/>
      <c r="F28" s="275"/>
    </row>
    <row r="29" spans="1:6">
      <c r="A29" s="4"/>
      <c r="B29" s="143"/>
      <c r="C29" s="144"/>
      <c r="D29" s="150"/>
      <c r="E29" s="240"/>
      <c r="F29" s="275"/>
    </row>
    <row r="30" spans="1:6">
      <c r="A30" s="4"/>
      <c r="B30" s="143"/>
      <c r="C30" s="144"/>
      <c r="D30" s="150"/>
      <c r="E30" s="240"/>
      <c r="F30" s="275"/>
    </row>
    <row r="31" spans="1:6">
      <c r="A31" s="4"/>
      <c r="B31" s="143"/>
      <c r="C31" s="144"/>
      <c r="D31" s="150"/>
      <c r="E31" s="240"/>
      <c r="F31" s="275"/>
    </row>
    <row r="32" spans="1:6">
      <c r="A32" s="4"/>
      <c r="B32" s="143"/>
      <c r="C32" s="144"/>
      <c r="D32" s="150"/>
      <c r="E32" s="240"/>
      <c r="F32" s="275"/>
    </row>
    <row r="33" spans="1:6">
      <c r="A33" s="4"/>
      <c r="B33" s="143"/>
      <c r="C33" s="144"/>
      <c r="D33" s="150"/>
      <c r="E33" s="240"/>
      <c r="F33" s="275"/>
    </row>
    <row r="34" spans="1:6">
      <c r="A34" s="4"/>
      <c r="B34" s="143"/>
      <c r="C34" s="144"/>
      <c r="D34" s="150"/>
      <c r="E34" s="240"/>
      <c r="F34" s="275"/>
    </row>
    <row r="35" spans="1:6">
      <c r="A35" s="4"/>
      <c r="B35" s="143"/>
      <c r="C35" s="144"/>
      <c r="D35" s="150"/>
      <c r="E35" s="240"/>
      <c r="F35" s="275"/>
    </row>
    <row r="36" spans="1:6">
      <c r="A36" s="4"/>
      <c r="B36" s="143"/>
      <c r="C36" s="144"/>
      <c r="D36" s="150"/>
      <c r="E36" s="240"/>
      <c r="F36" s="275"/>
    </row>
    <row r="37" spans="1:6">
      <c r="A37" s="4"/>
      <c r="B37" s="143"/>
      <c r="C37" s="144"/>
      <c r="D37" s="150"/>
      <c r="E37" s="240"/>
      <c r="F37" s="275"/>
    </row>
    <row r="38" spans="1:6">
      <c r="A38" s="4"/>
      <c r="B38" s="143"/>
      <c r="C38" s="144"/>
      <c r="D38" s="150"/>
      <c r="E38" s="240"/>
      <c r="F38" s="275"/>
    </row>
    <row r="39" spans="1:6">
      <c r="A39" s="4"/>
      <c r="B39" s="143"/>
      <c r="C39" s="144"/>
      <c r="D39" s="150"/>
      <c r="E39" s="240"/>
      <c r="F39" s="275"/>
    </row>
    <row r="40" spans="1:6">
      <c r="A40" s="4"/>
      <c r="B40" s="143"/>
      <c r="C40" s="144"/>
      <c r="D40" s="150"/>
      <c r="E40" s="240"/>
      <c r="F40" s="275"/>
    </row>
    <row r="41" spans="1:6">
      <c r="A41" s="4"/>
      <c r="B41" s="143"/>
      <c r="C41" s="144"/>
      <c r="D41" s="150"/>
      <c r="E41" s="240"/>
      <c r="F41" s="275"/>
    </row>
    <row r="42" spans="1:6">
      <c r="A42" s="4"/>
      <c r="B42" s="143"/>
      <c r="C42" s="144"/>
      <c r="D42" s="150"/>
      <c r="E42" s="240"/>
      <c r="F42" s="275"/>
    </row>
    <row r="43" spans="1:6" ht="12.75" thickBot="1">
      <c r="A43" s="5"/>
      <c r="B43" s="152"/>
      <c r="C43" s="153"/>
      <c r="D43" s="151"/>
      <c r="E43" s="241"/>
      <c r="F43" s="276"/>
    </row>
  </sheetData>
  <phoneticPr fontId="2"/>
  <dataValidations count="1">
    <dataValidation imeMode="off" allowBlank="1" showInputMessage="1" showErrorMessage="1" sqref="E6:E43 A6:B43"/>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I47"/>
  <sheetViews>
    <sheetView showGridLines="0" zoomScaleNormal="100" zoomScaleSheetLayoutView="90" workbookViewId="0">
      <selection activeCell="C38" sqref="C38"/>
    </sheetView>
  </sheetViews>
  <sheetFormatPr defaultColWidth="9.33203125" defaultRowHeight="12"/>
  <cols>
    <col min="1" max="1" width="10" style="1" customWidth="1"/>
    <col min="2" max="2" width="13.33203125" style="1" customWidth="1"/>
    <col min="3" max="3" width="53.33203125" style="1" customWidth="1"/>
    <col min="4" max="8" width="13.33203125" style="1" customWidth="1"/>
    <col min="9" max="9" width="23.33203125" style="1" customWidth="1"/>
    <col min="10" max="16384" width="9.33203125" style="1"/>
  </cols>
  <sheetData>
    <row r="1" spans="1:9" ht="12" customHeight="1"/>
    <row r="2" spans="1:9" ht="12" customHeight="1"/>
    <row r="3" spans="1:9" ht="12.75" customHeight="1"/>
    <row r="4" spans="1:9" ht="12.75" thickBot="1"/>
    <row r="5" spans="1:9">
      <c r="A5" s="158" t="s">
        <v>317</v>
      </c>
      <c r="B5" s="181" t="s">
        <v>19</v>
      </c>
      <c r="C5" s="272" t="s">
        <v>25</v>
      </c>
      <c r="D5" s="328" t="s">
        <v>48</v>
      </c>
      <c r="E5" s="329"/>
      <c r="F5" s="329"/>
      <c r="G5" s="330" t="s">
        <v>306</v>
      </c>
      <c r="H5" s="331"/>
      <c r="I5" s="332" t="s">
        <v>28</v>
      </c>
    </row>
    <row r="6" spans="1:9" ht="12.75" thickBot="1">
      <c r="A6" s="159"/>
      <c r="B6" s="182"/>
      <c r="C6" s="161"/>
      <c r="D6" s="160" t="s">
        <v>18</v>
      </c>
      <c r="E6" s="160" t="s">
        <v>37</v>
      </c>
      <c r="F6" s="160" t="s">
        <v>38</v>
      </c>
      <c r="G6" s="160" t="s">
        <v>37</v>
      </c>
      <c r="H6" s="242" t="s">
        <v>39</v>
      </c>
      <c r="I6" s="333"/>
    </row>
    <row r="7" spans="1:9" ht="12.75" customHeight="1" thickTop="1">
      <c r="A7" s="189" t="s">
        <v>333</v>
      </c>
      <c r="B7" s="190">
        <v>42978</v>
      </c>
      <c r="C7" s="146" t="s">
        <v>334</v>
      </c>
      <c r="D7" s="191" t="s">
        <v>335</v>
      </c>
      <c r="E7" s="191" t="s">
        <v>335</v>
      </c>
      <c r="F7" s="191" t="s">
        <v>336</v>
      </c>
      <c r="G7" s="191" t="s">
        <v>335</v>
      </c>
      <c r="H7" s="243" t="s">
        <v>335</v>
      </c>
      <c r="I7" s="274"/>
    </row>
    <row r="8" spans="1:9" ht="12.75" customHeight="1">
      <c r="A8" s="183"/>
      <c r="B8" s="184"/>
      <c r="C8" s="185"/>
      <c r="D8" s="186"/>
      <c r="E8" s="186"/>
      <c r="F8" s="186"/>
      <c r="G8" s="186"/>
      <c r="H8" s="244"/>
      <c r="I8" s="277"/>
    </row>
    <row r="9" spans="1:9">
      <c r="A9" s="154"/>
      <c r="B9" s="187"/>
      <c r="C9" s="144"/>
      <c r="D9" s="155"/>
      <c r="E9" s="155"/>
      <c r="F9" s="155"/>
      <c r="G9" s="155"/>
      <c r="H9" s="156"/>
      <c r="I9" s="275"/>
    </row>
    <row r="10" spans="1:9">
      <c r="A10" s="154"/>
      <c r="B10" s="187"/>
      <c r="C10" s="144"/>
      <c r="D10" s="155"/>
      <c r="E10" s="155"/>
      <c r="F10" s="155"/>
      <c r="G10" s="155"/>
      <c r="H10" s="156"/>
      <c r="I10" s="275"/>
    </row>
    <row r="11" spans="1:9">
      <c r="A11" s="154"/>
      <c r="B11" s="187"/>
      <c r="C11" s="144"/>
      <c r="D11" s="155"/>
      <c r="E11" s="155"/>
      <c r="F11" s="155"/>
      <c r="G11" s="155"/>
      <c r="H11" s="156"/>
      <c r="I11" s="275"/>
    </row>
    <row r="12" spans="1:9">
      <c r="A12" s="154"/>
      <c r="B12" s="187"/>
      <c r="C12" s="144"/>
      <c r="D12" s="155"/>
      <c r="E12" s="155"/>
      <c r="F12" s="155"/>
      <c r="G12" s="155"/>
      <c r="H12" s="156"/>
      <c r="I12" s="275"/>
    </row>
    <row r="13" spans="1:9">
      <c r="A13" s="154"/>
      <c r="B13" s="187"/>
      <c r="C13" s="144"/>
      <c r="D13" s="155"/>
      <c r="E13" s="155"/>
      <c r="F13" s="155"/>
      <c r="G13" s="155"/>
      <c r="H13" s="156"/>
      <c r="I13" s="275"/>
    </row>
    <row r="14" spans="1:9">
      <c r="A14" s="154"/>
      <c r="B14" s="187"/>
      <c r="C14" s="144"/>
      <c r="D14" s="155"/>
      <c r="E14" s="155"/>
      <c r="F14" s="155"/>
      <c r="G14" s="155"/>
      <c r="H14" s="156"/>
      <c r="I14" s="275"/>
    </row>
    <row r="15" spans="1:9">
      <c r="A15" s="154"/>
      <c r="B15" s="187"/>
      <c r="C15" s="144"/>
      <c r="D15" s="155"/>
      <c r="E15" s="155"/>
      <c r="F15" s="155"/>
      <c r="G15" s="155"/>
      <c r="H15" s="156"/>
      <c r="I15" s="275"/>
    </row>
    <row r="16" spans="1:9">
      <c r="A16" s="154"/>
      <c r="B16" s="187"/>
      <c r="C16" s="144"/>
      <c r="D16" s="155"/>
      <c r="E16" s="155"/>
      <c r="F16" s="155"/>
      <c r="G16" s="155"/>
      <c r="H16" s="156"/>
      <c r="I16" s="275"/>
    </row>
    <row r="17" spans="1:9">
      <c r="A17" s="154"/>
      <c r="B17" s="187"/>
      <c r="C17" s="144"/>
      <c r="D17" s="155"/>
      <c r="E17" s="155"/>
      <c r="F17" s="155"/>
      <c r="G17" s="155"/>
      <c r="H17" s="156"/>
      <c r="I17" s="275"/>
    </row>
    <row r="18" spans="1:9">
      <c r="A18" s="154"/>
      <c r="B18" s="187"/>
      <c r="C18" s="144"/>
      <c r="D18" s="155"/>
      <c r="E18" s="155"/>
      <c r="F18" s="155"/>
      <c r="G18" s="155"/>
      <c r="H18" s="156"/>
      <c r="I18" s="275"/>
    </row>
    <row r="19" spans="1:9">
      <c r="A19" s="154"/>
      <c r="B19" s="187"/>
      <c r="C19" s="144"/>
      <c r="D19" s="155"/>
      <c r="E19" s="155"/>
      <c r="F19" s="155"/>
      <c r="G19" s="155"/>
      <c r="H19" s="156"/>
      <c r="I19" s="275"/>
    </row>
    <row r="20" spans="1:9">
      <c r="A20" s="154"/>
      <c r="B20" s="187"/>
      <c r="C20" s="144"/>
      <c r="D20" s="155"/>
      <c r="E20" s="155"/>
      <c r="F20" s="155"/>
      <c r="G20" s="155"/>
      <c r="H20" s="156"/>
      <c r="I20" s="275"/>
    </row>
    <row r="21" spans="1:9">
      <c r="A21" s="154"/>
      <c r="B21" s="187"/>
      <c r="C21" s="144"/>
      <c r="D21" s="155"/>
      <c r="E21" s="155"/>
      <c r="F21" s="155"/>
      <c r="G21" s="155"/>
      <c r="H21" s="156"/>
      <c r="I21" s="275"/>
    </row>
    <row r="22" spans="1:9">
      <c r="A22" s="154"/>
      <c r="B22" s="187"/>
      <c r="C22" s="144"/>
      <c r="D22" s="155"/>
      <c r="E22" s="155"/>
      <c r="F22" s="155"/>
      <c r="G22" s="155"/>
      <c r="H22" s="156"/>
      <c r="I22" s="275"/>
    </row>
    <row r="23" spans="1:9">
      <c r="A23" s="154"/>
      <c r="B23" s="187"/>
      <c r="C23" s="144"/>
      <c r="D23" s="155"/>
      <c r="E23" s="155"/>
      <c r="F23" s="155"/>
      <c r="G23" s="155"/>
      <c r="H23" s="156"/>
      <c r="I23" s="275"/>
    </row>
    <row r="24" spans="1:9">
      <c r="A24" s="154"/>
      <c r="B24" s="187"/>
      <c r="C24" s="144"/>
      <c r="D24" s="155"/>
      <c r="E24" s="155"/>
      <c r="F24" s="155"/>
      <c r="G24" s="155"/>
      <c r="H24" s="156"/>
      <c r="I24" s="275"/>
    </row>
    <row r="25" spans="1:9">
      <c r="A25" s="154"/>
      <c r="B25" s="187"/>
      <c r="C25" s="144"/>
      <c r="D25" s="155"/>
      <c r="E25" s="155"/>
      <c r="F25" s="155"/>
      <c r="G25" s="155"/>
      <c r="H25" s="156"/>
      <c r="I25" s="275"/>
    </row>
    <row r="26" spans="1:9">
      <c r="A26" s="154"/>
      <c r="B26" s="187"/>
      <c r="C26" s="144"/>
      <c r="D26" s="155"/>
      <c r="E26" s="155"/>
      <c r="F26" s="155"/>
      <c r="G26" s="155"/>
      <c r="H26" s="156"/>
      <c r="I26" s="275"/>
    </row>
    <row r="27" spans="1:9">
      <c r="A27" s="154"/>
      <c r="B27" s="187"/>
      <c r="C27" s="144"/>
      <c r="D27" s="155"/>
      <c r="E27" s="155"/>
      <c r="F27" s="155"/>
      <c r="G27" s="155"/>
      <c r="H27" s="156"/>
      <c r="I27" s="275"/>
    </row>
    <row r="28" spans="1:9">
      <c r="A28" s="154"/>
      <c r="B28" s="187"/>
      <c r="C28" s="144"/>
      <c r="D28" s="156"/>
      <c r="E28" s="156"/>
      <c r="F28" s="156"/>
      <c r="G28" s="156"/>
      <c r="H28" s="156"/>
      <c r="I28" s="275"/>
    </row>
    <row r="29" spans="1:9">
      <c r="A29" s="154"/>
      <c r="B29" s="187"/>
      <c r="C29" s="144"/>
      <c r="D29" s="155"/>
      <c r="E29" s="155"/>
      <c r="F29" s="155"/>
      <c r="G29" s="155"/>
      <c r="H29" s="156"/>
      <c r="I29" s="275"/>
    </row>
    <row r="30" spans="1:9">
      <c r="A30" s="154"/>
      <c r="B30" s="187"/>
      <c r="C30" s="144"/>
      <c r="D30" s="155"/>
      <c r="E30" s="155"/>
      <c r="F30" s="155"/>
      <c r="G30" s="155"/>
      <c r="H30" s="156"/>
      <c r="I30" s="275"/>
    </row>
    <row r="31" spans="1:9">
      <c r="A31" s="154"/>
      <c r="B31" s="187"/>
      <c r="C31" s="144"/>
      <c r="D31" s="155"/>
      <c r="E31" s="155"/>
      <c r="F31" s="155"/>
      <c r="G31" s="155"/>
      <c r="H31" s="156"/>
      <c r="I31" s="275"/>
    </row>
    <row r="32" spans="1:9">
      <c r="A32" s="154"/>
      <c r="B32" s="187"/>
      <c r="C32" s="144"/>
      <c r="D32" s="155"/>
      <c r="E32" s="155"/>
      <c r="F32" s="155"/>
      <c r="G32" s="155"/>
      <c r="H32" s="156"/>
      <c r="I32" s="275"/>
    </row>
    <row r="33" spans="1:9">
      <c r="A33" s="154"/>
      <c r="B33" s="187"/>
      <c r="C33" s="144"/>
      <c r="D33" s="155"/>
      <c r="E33" s="155"/>
      <c r="F33" s="155"/>
      <c r="G33" s="155"/>
      <c r="H33" s="156"/>
      <c r="I33" s="275"/>
    </row>
    <row r="34" spans="1:9">
      <c r="A34" s="154"/>
      <c r="B34" s="187"/>
      <c r="C34" s="144"/>
      <c r="D34" s="155"/>
      <c r="E34" s="155"/>
      <c r="F34" s="155"/>
      <c r="G34" s="155"/>
      <c r="H34" s="156"/>
      <c r="I34" s="275"/>
    </row>
    <row r="35" spans="1:9">
      <c r="A35" s="154"/>
      <c r="B35" s="187"/>
      <c r="C35" s="144"/>
      <c r="D35" s="155"/>
      <c r="E35" s="155"/>
      <c r="F35" s="155"/>
      <c r="G35" s="155"/>
      <c r="H35" s="156"/>
      <c r="I35" s="275"/>
    </row>
    <row r="36" spans="1:9">
      <c r="A36" s="154"/>
      <c r="B36" s="187"/>
      <c r="C36" s="144"/>
      <c r="D36" s="155"/>
      <c r="E36" s="155"/>
      <c r="F36" s="155"/>
      <c r="G36" s="155"/>
      <c r="H36" s="156"/>
      <c r="I36" s="275"/>
    </row>
    <row r="37" spans="1:9">
      <c r="A37" s="154"/>
      <c r="B37" s="187"/>
      <c r="C37" s="144"/>
      <c r="D37" s="155"/>
      <c r="E37" s="155"/>
      <c r="F37" s="155"/>
      <c r="G37" s="155"/>
      <c r="H37" s="156"/>
      <c r="I37" s="275"/>
    </row>
    <row r="38" spans="1:9">
      <c r="A38" s="154"/>
      <c r="B38" s="187"/>
      <c r="C38" s="144"/>
      <c r="D38" s="155"/>
      <c r="E38" s="155"/>
      <c r="F38" s="155"/>
      <c r="G38" s="155"/>
      <c r="H38" s="156"/>
      <c r="I38" s="275"/>
    </row>
    <row r="39" spans="1:9">
      <c r="A39" s="154"/>
      <c r="B39" s="187"/>
      <c r="C39" s="144"/>
      <c r="D39" s="155"/>
      <c r="E39" s="155"/>
      <c r="F39" s="155"/>
      <c r="G39" s="155"/>
      <c r="H39" s="156"/>
      <c r="I39" s="275"/>
    </row>
    <row r="40" spans="1:9">
      <c r="A40" s="154"/>
      <c r="B40" s="187"/>
      <c r="C40" s="144"/>
      <c r="D40" s="155"/>
      <c r="E40" s="155"/>
      <c r="F40" s="155"/>
      <c r="G40" s="155"/>
      <c r="H40" s="156"/>
      <c r="I40" s="275"/>
    </row>
    <row r="41" spans="1:9">
      <c r="A41" s="154"/>
      <c r="B41" s="187"/>
      <c r="C41" s="144"/>
      <c r="D41" s="155"/>
      <c r="E41" s="155"/>
      <c r="F41" s="155"/>
      <c r="G41" s="155"/>
      <c r="H41" s="156"/>
      <c r="I41" s="275"/>
    </row>
    <row r="42" spans="1:9">
      <c r="A42" s="154"/>
      <c r="B42" s="187"/>
      <c r="C42" s="144"/>
      <c r="D42" s="155"/>
      <c r="E42" s="155"/>
      <c r="F42" s="155"/>
      <c r="G42" s="155"/>
      <c r="H42" s="156"/>
      <c r="I42" s="275"/>
    </row>
    <row r="43" spans="1:9">
      <c r="A43" s="154"/>
      <c r="B43" s="187"/>
      <c r="C43" s="144"/>
      <c r="D43" s="155"/>
      <c r="E43" s="155"/>
      <c r="F43" s="155"/>
      <c r="G43" s="155"/>
      <c r="H43" s="156"/>
      <c r="I43" s="275"/>
    </row>
    <row r="44" spans="1:9">
      <c r="A44" s="154"/>
      <c r="B44" s="187"/>
      <c r="C44" s="144"/>
      <c r="D44" s="155"/>
      <c r="E44" s="155"/>
      <c r="F44" s="155"/>
      <c r="G44" s="155"/>
      <c r="H44" s="156"/>
      <c r="I44" s="275"/>
    </row>
    <row r="45" spans="1:9">
      <c r="A45" s="154"/>
      <c r="B45" s="187"/>
      <c r="C45" s="144"/>
      <c r="D45" s="155"/>
      <c r="E45" s="155"/>
      <c r="F45" s="155"/>
      <c r="G45" s="155"/>
      <c r="H45" s="156"/>
      <c r="I45" s="275"/>
    </row>
    <row r="46" spans="1:9">
      <c r="A46" s="154"/>
      <c r="B46" s="187"/>
      <c r="C46" s="144"/>
      <c r="D46" s="155"/>
      <c r="E46" s="155"/>
      <c r="F46" s="155"/>
      <c r="G46" s="155"/>
      <c r="H46" s="156"/>
      <c r="I46" s="275"/>
    </row>
    <row r="47" spans="1:9" ht="12.75" thickBot="1">
      <c r="A47" s="162"/>
      <c r="B47" s="188"/>
      <c r="C47" s="153"/>
      <c r="D47" s="157"/>
      <c r="E47" s="157"/>
      <c r="F47" s="157"/>
      <c r="G47" s="157"/>
      <c r="H47" s="245"/>
      <c r="I47" s="276"/>
    </row>
  </sheetData>
  <mergeCells count="3">
    <mergeCell ref="D5:F5"/>
    <mergeCell ref="G5:H5"/>
    <mergeCell ref="I5:I6"/>
  </mergeCells>
  <phoneticPr fontId="2"/>
  <dataValidations count="1">
    <dataValidation imeMode="off" allowBlank="1" showInputMessage="1" showErrorMessage="1" sqref="A7:B47"/>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3:AX26"/>
  <sheetViews>
    <sheetView showGridLines="0" tabSelected="1" zoomScaleNormal="100" zoomScaleSheetLayoutView="90" workbookViewId="0">
      <selection activeCell="G17" sqref="G17:W17"/>
    </sheetView>
  </sheetViews>
  <sheetFormatPr defaultColWidth="9.33203125" defaultRowHeight="12"/>
  <cols>
    <col min="1" max="50" width="3.33203125" style="1" customWidth="1"/>
    <col min="51" max="51" width="1.5" style="1" customWidth="1"/>
    <col min="52" max="16384" width="9.33203125" style="1"/>
  </cols>
  <sheetData>
    <row r="3" spans="1:50" ht="12.75" customHeight="1"/>
    <row r="5" spans="1:50" ht="12.75" thickBot="1">
      <c r="A5" s="452" t="s">
        <v>413</v>
      </c>
      <c r="B5" s="453"/>
      <c r="C5" s="453"/>
      <c r="D5" s="453"/>
      <c r="E5" s="453"/>
      <c r="F5" s="453"/>
      <c r="G5" s="453"/>
      <c r="H5" s="453"/>
      <c r="I5" s="453"/>
      <c r="J5" s="453"/>
      <c r="K5" s="453"/>
      <c r="L5" s="453"/>
      <c r="M5" s="453"/>
      <c r="N5" s="453"/>
      <c r="O5" s="453"/>
      <c r="P5" s="453"/>
      <c r="Q5" s="453"/>
      <c r="R5" s="453"/>
      <c r="S5" s="453"/>
      <c r="T5" s="453"/>
      <c r="U5" s="453"/>
      <c r="V5" s="453"/>
      <c r="W5" s="453"/>
      <c r="X5" s="454"/>
      <c r="Y5" s="454"/>
      <c r="Z5" s="454"/>
      <c r="AA5" s="454"/>
      <c r="AB5" s="455"/>
      <c r="AC5" s="455"/>
      <c r="AD5" s="455"/>
      <c r="AE5" s="455"/>
      <c r="AF5" s="455"/>
      <c r="AG5" s="455"/>
      <c r="AH5" s="455"/>
      <c r="AI5" s="455"/>
      <c r="AJ5" s="453"/>
      <c r="AK5" s="453"/>
      <c r="AL5" s="453"/>
      <c r="AM5" s="453"/>
      <c r="AN5" s="456"/>
      <c r="AO5" s="456"/>
      <c r="AP5" s="456"/>
      <c r="AQ5" s="456"/>
      <c r="AR5" s="453"/>
      <c r="AS5" s="453"/>
      <c r="AT5" s="453"/>
      <c r="AU5" s="453"/>
      <c r="AV5" s="453"/>
      <c r="AW5" s="453"/>
      <c r="AX5" s="453"/>
    </row>
    <row r="6" spans="1:50" ht="12.75" thickBot="1">
      <c r="A6" s="457" t="s">
        <v>414</v>
      </c>
      <c r="B6" s="458"/>
      <c r="C6" s="459" t="s">
        <v>415</v>
      </c>
      <c r="D6" s="459"/>
      <c r="E6" s="459"/>
      <c r="F6" s="459"/>
      <c r="G6" s="459"/>
      <c r="H6" s="459"/>
      <c r="I6" s="459" t="s">
        <v>416</v>
      </c>
      <c r="J6" s="459"/>
      <c r="K6" s="459"/>
      <c r="L6" s="459"/>
      <c r="M6" s="459"/>
      <c r="N6" s="459"/>
      <c r="O6" s="459"/>
      <c r="P6" s="459"/>
      <c r="Q6" s="459"/>
      <c r="R6" s="459"/>
      <c r="S6" s="459"/>
      <c r="T6" s="459"/>
      <c r="U6" s="459"/>
      <c r="V6" s="459"/>
      <c r="W6" s="460" t="s">
        <v>417</v>
      </c>
      <c r="X6" s="461"/>
      <c r="Y6" s="461"/>
      <c r="Z6" s="461"/>
      <c r="AA6" s="461"/>
      <c r="AB6" s="461"/>
      <c r="AC6" s="461"/>
      <c r="AD6" s="461"/>
      <c r="AE6" s="461"/>
      <c r="AF6" s="461"/>
      <c r="AG6" s="461"/>
      <c r="AH6" s="461"/>
      <c r="AI6" s="461"/>
      <c r="AJ6" s="461"/>
      <c r="AK6" s="461"/>
      <c r="AL6" s="462"/>
      <c r="AM6" s="463" t="s">
        <v>28</v>
      </c>
      <c r="AN6" s="464"/>
      <c r="AO6" s="464"/>
      <c r="AP6" s="464"/>
      <c r="AQ6" s="464"/>
      <c r="AR6" s="464"/>
      <c r="AS6" s="464"/>
      <c r="AT6" s="464"/>
      <c r="AU6" s="464"/>
      <c r="AV6" s="464"/>
      <c r="AW6" s="464"/>
      <c r="AX6" s="465"/>
    </row>
    <row r="7" spans="1:50" ht="12.75" customHeight="1" thickTop="1">
      <c r="A7" s="466">
        <v>1</v>
      </c>
      <c r="B7" s="467"/>
      <c r="C7" s="468">
        <v>42988</v>
      </c>
      <c r="D7" s="467"/>
      <c r="E7" s="467"/>
      <c r="F7" s="467"/>
      <c r="G7" s="467"/>
      <c r="H7" s="467"/>
      <c r="I7" s="469" t="s">
        <v>418</v>
      </c>
      <c r="J7" s="469"/>
      <c r="K7" s="469"/>
      <c r="L7" s="469"/>
      <c r="M7" s="469"/>
      <c r="N7" s="469"/>
      <c r="O7" s="469"/>
      <c r="P7" s="469"/>
      <c r="Q7" s="469"/>
      <c r="R7" s="469"/>
      <c r="S7" s="469"/>
      <c r="T7" s="469"/>
      <c r="U7" s="469"/>
      <c r="V7" s="469"/>
      <c r="W7" s="470" t="s">
        <v>419</v>
      </c>
      <c r="X7" s="471"/>
      <c r="Y7" s="471"/>
      <c r="Z7" s="471"/>
      <c r="AA7" s="471"/>
      <c r="AB7" s="471"/>
      <c r="AC7" s="471"/>
      <c r="AD7" s="471"/>
      <c r="AE7" s="471"/>
      <c r="AF7" s="471"/>
      <c r="AG7" s="471"/>
      <c r="AH7" s="471"/>
      <c r="AI7" s="471"/>
      <c r="AJ7" s="471"/>
      <c r="AK7" s="471"/>
      <c r="AL7" s="472"/>
      <c r="AM7" s="473"/>
      <c r="AN7" s="474"/>
      <c r="AO7" s="474"/>
      <c r="AP7" s="474"/>
      <c r="AQ7" s="474"/>
      <c r="AR7" s="474"/>
      <c r="AS7" s="474"/>
      <c r="AT7" s="474"/>
      <c r="AU7" s="474"/>
      <c r="AV7" s="474"/>
      <c r="AW7" s="474"/>
      <c r="AX7" s="475"/>
    </row>
    <row r="8" spans="1:50">
      <c r="A8" s="476"/>
      <c r="B8" s="477"/>
      <c r="C8" s="477"/>
      <c r="D8" s="477"/>
      <c r="E8" s="477"/>
      <c r="F8" s="477"/>
      <c r="G8" s="477"/>
      <c r="H8" s="477"/>
      <c r="I8" s="478"/>
      <c r="J8" s="478"/>
      <c r="K8" s="478"/>
      <c r="L8" s="478"/>
      <c r="M8" s="478"/>
      <c r="N8" s="478"/>
      <c r="O8" s="478"/>
      <c r="P8" s="478"/>
      <c r="Q8" s="478"/>
      <c r="R8" s="478"/>
      <c r="S8" s="478"/>
      <c r="T8" s="478"/>
      <c r="U8" s="478"/>
      <c r="V8" s="478"/>
      <c r="W8" s="479" t="s">
        <v>426</v>
      </c>
      <c r="X8" s="480"/>
      <c r="Y8" s="480"/>
      <c r="Z8" s="480"/>
      <c r="AA8" s="480"/>
      <c r="AB8" s="480"/>
      <c r="AC8" s="480"/>
      <c r="AD8" s="480"/>
      <c r="AE8" s="480"/>
      <c r="AF8" s="480"/>
      <c r="AG8" s="480"/>
      <c r="AH8" s="480"/>
      <c r="AI8" s="480"/>
      <c r="AJ8" s="480"/>
      <c r="AK8" s="480"/>
      <c r="AL8" s="481"/>
      <c r="AM8" s="482"/>
      <c r="AN8" s="483"/>
      <c r="AO8" s="483"/>
      <c r="AP8" s="483"/>
      <c r="AQ8" s="483"/>
      <c r="AR8" s="483"/>
      <c r="AS8" s="483"/>
      <c r="AT8" s="483"/>
      <c r="AU8" s="483"/>
      <c r="AV8" s="483"/>
      <c r="AW8" s="483"/>
      <c r="AX8" s="484"/>
    </row>
    <row r="9" spans="1:50">
      <c r="A9" s="476"/>
      <c r="B9" s="477"/>
      <c r="C9" s="477"/>
      <c r="D9" s="477"/>
      <c r="E9" s="477"/>
      <c r="F9" s="477"/>
      <c r="G9" s="477"/>
      <c r="H9" s="477"/>
      <c r="I9" s="478"/>
      <c r="J9" s="478"/>
      <c r="K9" s="478"/>
      <c r="L9" s="478"/>
      <c r="M9" s="478"/>
      <c r="N9" s="478"/>
      <c r="O9" s="478"/>
      <c r="P9" s="478"/>
      <c r="Q9" s="478"/>
      <c r="R9" s="478"/>
      <c r="S9" s="478"/>
      <c r="T9" s="478"/>
      <c r="U9" s="478"/>
      <c r="V9" s="478"/>
      <c r="W9" s="479" t="s">
        <v>427</v>
      </c>
      <c r="X9" s="480"/>
      <c r="Y9" s="480"/>
      <c r="Z9" s="480"/>
      <c r="AA9" s="480"/>
      <c r="AB9" s="480"/>
      <c r="AC9" s="480"/>
      <c r="AD9" s="480"/>
      <c r="AE9" s="480"/>
      <c r="AF9" s="480"/>
      <c r="AG9" s="480"/>
      <c r="AH9" s="480"/>
      <c r="AI9" s="480"/>
      <c r="AJ9" s="480"/>
      <c r="AK9" s="480"/>
      <c r="AL9" s="481"/>
      <c r="AM9" s="482"/>
      <c r="AN9" s="483"/>
      <c r="AO9" s="483"/>
      <c r="AP9" s="483"/>
      <c r="AQ9" s="483"/>
      <c r="AR9" s="483"/>
      <c r="AS9" s="483"/>
      <c r="AT9" s="483"/>
      <c r="AU9" s="483"/>
      <c r="AV9" s="483"/>
      <c r="AW9" s="483"/>
      <c r="AX9" s="484"/>
    </row>
    <row r="10" spans="1:50">
      <c r="A10" s="476"/>
      <c r="B10" s="477"/>
      <c r="C10" s="485"/>
      <c r="D10" s="477"/>
      <c r="E10" s="477"/>
      <c r="F10" s="477"/>
      <c r="G10" s="477"/>
      <c r="H10" s="477"/>
      <c r="I10" s="478"/>
      <c r="J10" s="478"/>
      <c r="K10" s="478"/>
      <c r="L10" s="478"/>
      <c r="M10" s="478"/>
      <c r="N10" s="478"/>
      <c r="O10" s="478"/>
      <c r="P10" s="478"/>
      <c r="Q10" s="478"/>
      <c r="R10" s="478"/>
      <c r="S10" s="478"/>
      <c r="T10" s="478"/>
      <c r="U10" s="478"/>
      <c r="V10" s="478"/>
      <c r="W10" s="486"/>
      <c r="X10" s="487"/>
      <c r="Y10" s="487"/>
      <c r="Z10" s="487"/>
      <c r="AA10" s="487"/>
      <c r="AB10" s="487"/>
      <c r="AC10" s="487"/>
      <c r="AD10" s="487"/>
      <c r="AE10" s="487"/>
      <c r="AF10" s="487"/>
      <c r="AG10" s="487"/>
      <c r="AH10" s="487"/>
      <c r="AI10" s="487"/>
      <c r="AJ10" s="487"/>
      <c r="AK10" s="487"/>
      <c r="AL10" s="488"/>
      <c r="AM10" s="482"/>
      <c r="AN10" s="483"/>
      <c r="AO10" s="483"/>
      <c r="AP10" s="483"/>
      <c r="AQ10" s="483"/>
      <c r="AR10" s="483"/>
      <c r="AS10" s="483"/>
      <c r="AT10" s="483"/>
      <c r="AU10" s="483"/>
      <c r="AV10" s="483"/>
      <c r="AW10" s="483"/>
      <c r="AX10" s="484"/>
    </row>
    <row r="11" spans="1:50">
      <c r="A11" s="476"/>
      <c r="B11" s="477"/>
      <c r="C11" s="477"/>
      <c r="D11" s="477"/>
      <c r="E11" s="477"/>
      <c r="F11" s="477"/>
      <c r="G11" s="477"/>
      <c r="H11" s="477"/>
      <c r="I11" s="478"/>
      <c r="J11" s="478"/>
      <c r="K11" s="478"/>
      <c r="L11" s="478"/>
      <c r="M11" s="478"/>
      <c r="N11" s="478"/>
      <c r="O11" s="478"/>
      <c r="P11" s="478"/>
      <c r="Q11" s="478"/>
      <c r="R11" s="478"/>
      <c r="S11" s="478"/>
      <c r="T11" s="478"/>
      <c r="U11" s="478"/>
      <c r="V11" s="478"/>
      <c r="W11" s="479"/>
      <c r="X11" s="480"/>
      <c r="Y11" s="480"/>
      <c r="Z11" s="480"/>
      <c r="AA11" s="480"/>
      <c r="AB11" s="480"/>
      <c r="AC11" s="480"/>
      <c r="AD11" s="480"/>
      <c r="AE11" s="480"/>
      <c r="AF11" s="480"/>
      <c r="AG11" s="480"/>
      <c r="AH11" s="480"/>
      <c r="AI11" s="480"/>
      <c r="AJ11" s="480"/>
      <c r="AK11" s="480"/>
      <c r="AL11" s="481"/>
      <c r="AM11" s="482"/>
      <c r="AN11" s="483"/>
      <c r="AO11" s="483"/>
      <c r="AP11" s="483"/>
      <c r="AQ11" s="483"/>
      <c r="AR11" s="483"/>
      <c r="AS11" s="483"/>
      <c r="AT11" s="483"/>
      <c r="AU11" s="483"/>
      <c r="AV11" s="483"/>
      <c r="AW11" s="483"/>
      <c r="AX11" s="484"/>
    </row>
    <row r="12" spans="1:50" ht="12.75" thickBot="1">
      <c r="A12" s="489"/>
      <c r="B12" s="490"/>
      <c r="C12" s="490"/>
      <c r="D12" s="490"/>
      <c r="E12" s="490"/>
      <c r="F12" s="490"/>
      <c r="G12" s="490"/>
      <c r="H12" s="490"/>
      <c r="I12" s="491"/>
      <c r="J12" s="491"/>
      <c r="K12" s="491"/>
      <c r="L12" s="491"/>
      <c r="M12" s="491"/>
      <c r="N12" s="491"/>
      <c r="O12" s="491"/>
      <c r="P12" s="491"/>
      <c r="Q12" s="491"/>
      <c r="R12" s="491"/>
      <c r="S12" s="491"/>
      <c r="T12" s="491"/>
      <c r="U12" s="491"/>
      <c r="V12" s="491"/>
      <c r="W12" s="492"/>
      <c r="X12" s="493"/>
      <c r="Y12" s="493"/>
      <c r="Z12" s="493"/>
      <c r="AA12" s="493"/>
      <c r="AB12" s="493"/>
      <c r="AC12" s="493"/>
      <c r="AD12" s="493"/>
      <c r="AE12" s="493"/>
      <c r="AF12" s="493"/>
      <c r="AG12" s="493"/>
      <c r="AH12" s="493"/>
      <c r="AI12" s="493"/>
      <c r="AJ12" s="493"/>
      <c r="AK12" s="493"/>
      <c r="AL12" s="494"/>
      <c r="AM12" s="495"/>
      <c r="AN12" s="496"/>
      <c r="AO12" s="496"/>
      <c r="AP12" s="496"/>
      <c r="AQ12" s="496"/>
      <c r="AR12" s="496"/>
      <c r="AS12" s="496"/>
      <c r="AT12" s="496"/>
      <c r="AU12" s="496"/>
      <c r="AV12" s="496"/>
      <c r="AW12" s="496"/>
      <c r="AX12" s="497"/>
    </row>
    <row r="13" spans="1:50">
      <c r="A13" s="498"/>
      <c r="B13" s="498"/>
      <c r="C13" s="498"/>
      <c r="D13" s="499"/>
      <c r="E13" s="499"/>
      <c r="F13" s="499"/>
      <c r="G13" s="499"/>
      <c r="H13" s="499"/>
      <c r="I13" s="499"/>
      <c r="J13" s="499"/>
      <c r="K13" s="499"/>
      <c r="L13" s="499"/>
      <c r="M13" s="499"/>
      <c r="N13" s="499"/>
      <c r="O13" s="499"/>
      <c r="P13" s="499"/>
      <c r="Q13" s="499"/>
      <c r="R13" s="499"/>
      <c r="S13" s="499"/>
      <c r="T13" s="499"/>
      <c r="U13" s="499"/>
      <c r="V13" s="499"/>
      <c r="W13" s="499"/>
      <c r="X13" s="500"/>
      <c r="Y13" s="500"/>
      <c r="Z13" s="500"/>
      <c r="AA13" s="500"/>
      <c r="AB13" s="500"/>
      <c r="AC13" s="500"/>
      <c r="AD13" s="500"/>
      <c r="AE13" s="500"/>
      <c r="AF13" s="500"/>
      <c r="AG13" s="500"/>
      <c r="AH13" s="500"/>
      <c r="AI13" s="500"/>
      <c r="AJ13" s="500"/>
      <c r="AK13" s="500"/>
      <c r="AL13" s="500"/>
      <c r="AM13" s="500"/>
      <c r="AN13" s="500"/>
      <c r="AO13" s="500"/>
      <c r="AP13" s="500"/>
      <c r="AQ13" s="500"/>
      <c r="AR13" s="499"/>
      <c r="AS13" s="499"/>
      <c r="AT13" s="499"/>
      <c r="AU13" s="499"/>
      <c r="AV13" s="499"/>
      <c r="AW13" s="499"/>
      <c r="AX13" s="499"/>
    </row>
    <row r="14" spans="1:50" ht="12.75" thickBot="1">
      <c r="A14" s="452" t="s">
        <v>420</v>
      </c>
      <c r="B14" s="498"/>
      <c r="C14" s="498"/>
      <c r="D14" s="499"/>
      <c r="E14" s="499"/>
      <c r="F14" s="499"/>
      <c r="G14" s="499"/>
      <c r="H14" s="499"/>
      <c r="I14" s="499"/>
      <c r="J14" s="499"/>
      <c r="K14" s="499"/>
      <c r="L14" s="499"/>
      <c r="M14" s="499"/>
      <c r="N14" s="499"/>
      <c r="O14" s="499"/>
      <c r="P14" s="499"/>
      <c r="Q14" s="499"/>
      <c r="R14" s="499"/>
      <c r="S14" s="499"/>
      <c r="T14" s="499"/>
      <c r="U14" s="499"/>
      <c r="V14" s="499"/>
      <c r="W14" s="499"/>
      <c r="X14" s="500"/>
      <c r="Y14" s="500"/>
      <c r="Z14" s="500"/>
      <c r="AA14" s="500"/>
      <c r="AB14" s="500"/>
      <c r="AC14" s="500"/>
      <c r="AD14" s="500"/>
      <c r="AE14" s="500"/>
      <c r="AF14" s="500"/>
      <c r="AG14" s="500"/>
      <c r="AH14" s="500"/>
      <c r="AI14" s="500"/>
      <c r="AJ14" s="500"/>
      <c r="AK14" s="500"/>
      <c r="AL14" s="500"/>
      <c r="AM14" s="500"/>
      <c r="AN14" s="500"/>
      <c r="AO14" s="500"/>
      <c r="AP14" s="500"/>
      <c r="AQ14" s="500"/>
      <c r="AR14" s="499"/>
      <c r="AS14" s="499"/>
      <c r="AT14" s="499"/>
      <c r="AU14" s="499"/>
      <c r="AV14" s="499"/>
      <c r="AW14" s="499"/>
      <c r="AX14" s="499"/>
    </row>
    <row r="15" spans="1:50">
      <c r="A15" s="501" t="s">
        <v>428</v>
      </c>
      <c r="B15" s="502"/>
      <c r="C15" s="502" t="s">
        <v>421</v>
      </c>
      <c r="D15" s="502"/>
      <c r="E15" s="502"/>
      <c r="F15" s="502"/>
      <c r="G15" s="502"/>
      <c r="H15" s="502"/>
      <c r="I15" s="502"/>
      <c r="J15" s="502"/>
      <c r="K15" s="502"/>
      <c r="L15" s="502"/>
      <c r="M15" s="502"/>
      <c r="N15" s="502"/>
      <c r="O15" s="502"/>
      <c r="P15" s="502"/>
      <c r="Q15" s="502"/>
      <c r="R15" s="502"/>
      <c r="S15" s="502"/>
      <c r="T15" s="502"/>
      <c r="U15" s="502"/>
      <c r="V15" s="502"/>
      <c r="W15" s="502"/>
      <c r="X15" s="502" t="s">
        <v>422</v>
      </c>
      <c r="Y15" s="502"/>
      <c r="Z15" s="502"/>
      <c r="AA15" s="502"/>
      <c r="AB15" s="502"/>
      <c r="AC15" s="502"/>
      <c r="AD15" s="502"/>
      <c r="AE15" s="502"/>
      <c r="AF15" s="502"/>
      <c r="AG15" s="502"/>
      <c r="AH15" s="502"/>
      <c r="AI15" s="502"/>
      <c r="AJ15" s="502"/>
      <c r="AK15" s="502"/>
      <c r="AL15" s="502"/>
      <c r="AM15" s="502"/>
      <c r="AN15" s="502"/>
      <c r="AO15" s="502"/>
      <c r="AP15" s="502"/>
      <c r="AQ15" s="502"/>
      <c r="AR15" s="502"/>
      <c r="AS15" s="503" t="s">
        <v>423</v>
      </c>
      <c r="AT15" s="503"/>
      <c r="AU15" s="503"/>
      <c r="AV15" s="503"/>
      <c r="AW15" s="503"/>
      <c r="AX15" s="504"/>
    </row>
    <row r="16" spans="1:50" ht="12.75" thickBot="1">
      <c r="A16" s="505"/>
      <c r="B16" s="506"/>
      <c r="C16" s="506" t="s">
        <v>424</v>
      </c>
      <c r="D16" s="506"/>
      <c r="E16" s="506"/>
      <c r="F16" s="506"/>
      <c r="G16" s="506" t="s">
        <v>40</v>
      </c>
      <c r="H16" s="506"/>
      <c r="I16" s="506"/>
      <c r="J16" s="506"/>
      <c r="K16" s="506"/>
      <c r="L16" s="506"/>
      <c r="M16" s="506"/>
      <c r="N16" s="506"/>
      <c r="O16" s="506"/>
      <c r="P16" s="506"/>
      <c r="Q16" s="506"/>
      <c r="R16" s="506"/>
      <c r="S16" s="506"/>
      <c r="T16" s="506"/>
      <c r="U16" s="506"/>
      <c r="V16" s="506"/>
      <c r="W16" s="506"/>
      <c r="X16" s="506" t="s">
        <v>424</v>
      </c>
      <c r="Y16" s="506"/>
      <c r="Z16" s="506"/>
      <c r="AA16" s="506"/>
      <c r="AB16" s="506" t="s">
        <v>40</v>
      </c>
      <c r="AC16" s="506"/>
      <c r="AD16" s="506"/>
      <c r="AE16" s="506"/>
      <c r="AF16" s="506"/>
      <c r="AG16" s="506"/>
      <c r="AH16" s="506"/>
      <c r="AI16" s="506"/>
      <c r="AJ16" s="506"/>
      <c r="AK16" s="506"/>
      <c r="AL16" s="506"/>
      <c r="AM16" s="506"/>
      <c r="AN16" s="506"/>
      <c r="AO16" s="506"/>
      <c r="AP16" s="506"/>
      <c r="AQ16" s="506"/>
      <c r="AR16" s="506"/>
      <c r="AS16" s="507"/>
      <c r="AT16" s="507"/>
      <c r="AU16" s="507"/>
      <c r="AV16" s="507"/>
      <c r="AW16" s="507"/>
      <c r="AX16" s="508"/>
    </row>
    <row r="17" spans="1:50" ht="24" customHeight="1" thickTop="1">
      <c r="A17" s="509">
        <v>1</v>
      </c>
      <c r="B17" s="510"/>
      <c r="C17" s="511" t="s">
        <v>429</v>
      </c>
      <c r="D17" s="512"/>
      <c r="E17" s="512"/>
      <c r="F17" s="513"/>
      <c r="G17" s="514"/>
      <c r="H17" s="515"/>
      <c r="I17" s="515"/>
      <c r="J17" s="515"/>
      <c r="K17" s="515"/>
      <c r="L17" s="515"/>
      <c r="M17" s="515"/>
      <c r="N17" s="515"/>
      <c r="O17" s="515"/>
      <c r="P17" s="515"/>
      <c r="Q17" s="515"/>
      <c r="R17" s="515"/>
      <c r="S17" s="515"/>
      <c r="T17" s="515"/>
      <c r="U17" s="515"/>
      <c r="V17" s="515"/>
      <c r="W17" s="516"/>
      <c r="X17" s="517" t="s">
        <v>429</v>
      </c>
      <c r="Y17" s="518"/>
      <c r="Z17" s="518"/>
      <c r="AA17" s="510"/>
      <c r="AB17" s="514"/>
      <c r="AC17" s="515"/>
      <c r="AD17" s="515"/>
      <c r="AE17" s="515"/>
      <c r="AF17" s="515"/>
      <c r="AG17" s="515"/>
      <c r="AH17" s="515"/>
      <c r="AI17" s="515"/>
      <c r="AJ17" s="515"/>
      <c r="AK17" s="515"/>
      <c r="AL17" s="515"/>
      <c r="AM17" s="515"/>
      <c r="AN17" s="515"/>
      <c r="AO17" s="515"/>
      <c r="AP17" s="515"/>
      <c r="AQ17" s="515"/>
      <c r="AR17" s="516"/>
      <c r="AS17" s="519">
        <v>42998</v>
      </c>
      <c r="AT17" s="520"/>
      <c r="AU17" s="520"/>
      <c r="AV17" s="520"/>
      <c r="AW17" s="520"/>
      <c r="AX17" s="521"/>
    </row>
    <row r="18" spans="1:50" ht="24" customHeight="1">
      <c r="A18" s="509"/>
      <c r="B18" s="510"/>
      <c r="C18" s="511"/>
      <c r="D18" s="512"/>
      <c r="E18" s="512"/>
      <c r="F18" s="513"/>
      <c r="G18" s="514"/>
      <c r="H18" s="515"/>
      <c r="I18" s="515"/>
      <c r="J18" s="515"/>
      <c r="K18" s="515"/>
      <c r="L18" s="515"/>
      <c r="M18" s="515"/>
      <c r="N18" s="515"/>
      <c r="O18" s="515"/>
      <c r="P18" s="515"/>
      <c r="Q18" s="515"/>
      <c r="R18" s="515"/>
      <c r="S18" s="515"/>
      <c r="T18" s="515"/>
      <c r="U18" s="515"/>
      <c r="V18" s="515"/>
      <c r="W18" s="516"/>
      <c r="X18" s="517"/>
      <c r="Y18" s="518"/>
      <c r="Z18" s="518"/>
      <c r="AA18" s="510"/>
      <c r="AB18" s="514"/>
      <c r="AC18" s="515"/>
      <c r="AD18" s="515"/>
      <c r="AE18" s="515"/>
      <c r="AF18" s="515"/>
      <c r="AG18" s="515"/>
      <c r="AH18" s="515"/>
      <c r="AI18" s="515"/>
      <c r="AJ18" s="515"/>
      <c r="AK18" s="515"/>
      <c r="AL18" s="515"/>
      <c r="AM18" s="515"/>
      <c r="AN18" s="515"/>
      <c r="AO18" s="515"/>
      <c r="AP18" s="515"/>
      <c r="AQ18" s="515"/>
      <c r="AR18" s="516"/>
      <c r="AS18" s="519"/>
      <c r="AT18" s="520"/>
      <c r="AU18" s="520"/>
      <c r="AV18" s="520"/>
      <c r="AW18" s="520"/>
      <c r="AX18" s="521"/>
    </row>
    <row r="19" spans="1:50" ht="24" customHeight="1">
      <c r="A19" s="509"/>
      <c r="B19" s="510"/>
      <c r="C19" s="511"/>
      <c r="D19" s="512"/>
      <c r="E19" s="512"/>
      <c r="F19" s="513"/>
      <c r="G19" s="514"/>
      <c r="H19" s="515"/>
      <c r="I19" s="515"/>
      <c r="J19" s="515"/>
      <c r="K19" s="515"/>
      <c r="L19" s="515"/>
      <c r="M19" s="515"/>
      <c r="N19" s="515"/>
      <c r="O19" s="515"/>
      <c r="P19" s="515"/>
      <c r="Q19" s="515"/>
      <c r="R19" s="515"/>
      <c r="S19" s="515"/>
      <c r="T19" s="515"/>
      <c r="U19" s="515"/>
      <c r="V19" s="515"/>
      <c r="W19" s="516"/>
      <c r="X19" s="517"/>
      <c r="Y19" s="518"/>
      <c r="Z19" s="518"/>
      <c r="AA19" s="510"/>
      <c r="AB19" s="514"/>
      <c r="AC19" s="515"/>
      <c r="AD19" s="515"/>
      <c r="AE19" s="515"/>
      <c r="AF19" s="515"/>
      <c r="AG19" s="515"/>
      <c r="AH19" s="515"/>
      <c r="AI19" s="515"/>
      <c r="AJ19" s="515"/>
      <c r="AK19" s="515"/>
      <c r="AL19" s="515"/>
      <c r="AM19" s="515"/>
      <c r="AN19" s="515"/>
      <c r="AO19" s="515"/>
      <c r="AP19" s="515"/>
      <c r="AQ19" s="515"/>
      <c r="AR19" s="516"/>
      <c r="AS19" s="519"/>
      <c r="AT19" s="520"/>
      <c r="AU19" s="520"/>
      <c r="AV19" s="520"/>
      <c r="AW19" s="520"/>
      <c r="AX19" s="521"/>
    </row>
    <row r="20" spans="1:50" ht="24" customHeight="1">
      <c r="A20" s="509"/>
      <c r="B20" s="510"/>
      <c r="C20" s="511"/>
      <c r="D20" s="512"/>
      <c r="E20" s="512"/>
      <c r="F20" s="513"/>
      <c r="G20" s="514"/>
      <c r="H20" s="515"/>
      <c r="I20" s="515"/>
      <c r="J20" s="515"/>
      <c r="K20" s="515"/>
      <c r="L20" s="515"/>
      <c r="M20" s="515"/>
      <c r="N20" s="515"/>
      <c r="O20" s="515"/>
      <c r="P20" s="515"/>
      <c r="Q20" s="515"/>
      <c r="R20" s="515"/>
      <c r="S20" s="515"/>
      <c r="T20" s="515"/>
      <c r="U20" s="515"/>
      <c r="V20" s="515"/>
      <c r="W20" s="516"/>
      <c r="X20" s="517"/>
      <c r="Y20" s="518"/>
      <c r="Z20" s="518"/>
      <c r="AA20" s="510"/>
      <c r="AB20" s="514"/>
      <c r="AC20" s="515"/>
      <c r="AD20" s="515"/>
      <c r="AE20" s="515"/>
      <c r="AF20" s="515"/>
      <c r="AG20" s="515"/>
      <c r="AH20" s="515"/>
      <c r="AI20" s="515"/>
      <c r="AJ20" s="515"/>
      <c r="AK20" s="515"/>
      <c r="AL20" s="515"/>
      <c r="AM20" s="515"/>
      <c r="AN20" s="515"/>
      <c r="AO20" s="515"/>
      <c r="AP20" s="515"/>
      <c r="AQ20" s="515"/>
      <c r="AR20" s="516"/>
      <c r="AS20" s="519"/>
      <c r="AT20" s="520"/>
      <c r="AU20" s="520"/>
      <c r="AV20" s="520"/>
      <c r="AW20" s="520"/>
      <c r="AX20" s="521"/>
    </row>
    <row r="21" spans="1:50" ht="24" customHeight="1">
      <c r="A21" s="509"/>
      <c r="B21" s="510"/>
      <c r="C21" s="511"/>
      <c r="D21" s="512"/>
      <c r="E21" s="512"/>
      <c r="F21" s="513"/>
      <c r="G21" s="514"/>
      <c r="H21" s="515"/>
      <c r="I21" s="515"/>
      <c r="J21" s="515"/>
      <c r="K21" s="515"/>
      <c r="L21" s="515"/>
      <c r="M21" s="515"/>
      <c r="N21" s="515"/>
      <c r="O21" s="515"/>
      <c r="P21" s="515"/>
      <c r="Q21" s="515"/>
      <c r="R21" s="515"/>
      <c r="S21" s="515"/>
      <c r="T21" s="515"/>
      <c r="U21" s="515"/>
      <c r="V21" s="515"/>
      <c r="W21" s="516"/>
      <c r="X21" s="517"/>
      <c r="Y21" s="518"/>
      <c r="Z21" s="518"/>
      <c r="AA21" s="510"/>
      <c r="AB21" s="514"/>
      <c r="AC21" s="515"/>
      <c r="AD21" s="515"/>
      <c r="AE21" s="515"/>
      <c r="AF21" s="515"/>
      <c r="AG21" s="515"/>
      <c r="AH21" s="515"/>
      <c r="AI21" s="515"/>
      <c r="AJ21" s="515"/>
      <c r="AK21" s="515"/>
      <c r="AL21" s="515"/>
      <c r="AM21" s="515"/>
      <c r="AN21" s="515"/>
      <c r="AO21" s="515"/>
      <c r="AP21" s="515"/>
      <c r="AQ21" s="515"/>
      <c r="AR21" s="516"/>
      <c r="AS21" s="519"/>
      <c r="AT21" s="520"/>
      <c r="AU21" s="520"/>
      <c r="AV21" s="520"/>
      <c r="AW21" s="520"/>
      <c r="AX21" s="521"/>
    </row>
    <row r="22" spans="1:50" ht="24" customHeight="1">
      <c r="A22" s="509"/>
      <c r="B22" s="510"/>
      <c r="C22" s="511"/>
      <c r="D22" s="512"/>
      <c r="E22" s="512"/>
      <c r="F22" s="513"/>
      <c r="G22" s="514"/>
      <c r="H22" s="515"/>
      <c r="I22" s="515"/>
      <c r="J22" s="515"/>
      <c r="K22" s="515"/>
      <c r="L22" s="515"/>
      <c r="M22" s="515"/>
      <c r="N22" s="515"/>
      <c r="O22" s="515"/>
      <c r="P22" s="515"/>
      <c r="Q22" s="515"/>
      <c r="R22" s="515"/>
      <c r="S22" s="515"/>
      <c r="T22" s="515"/>
      <c r="U22" s="515"/>
      <c r="V22" s="515"/>
      <c r="W22" s="516"/>
      <c r="X22" s="517"/>
      <c r="Y22" s="518"/>
      <c r="Z22" s="518"/>
      <c r="AA22" s="510"/>
      <c r="AB22" s="514"/>
      <c r="AC22" s="515"/>
      <c r="AD22" s="515"/>
      <c r="AE22" s="515"/>
      <c r="AF22" s="515"/>
      <c r="AG22" s="515"/>
      <c r="AH22" s="515"/>
      <c r="AI22" s="515"/>
      <c r="AJ22" s="515"/>
      <c r="AK22" s="515"/>
      <c r="AL22" s="515"/>
      <c r="AM22" s="515"/>
      <c r="AN22" s="515"/>
      <c r="AO22" s="515"/>
      <c r="AP22" s="515"/>
      <c r="AQ22" s="515"/>
      <c r="AR22" s="516"/>
      <c r="AS22" s="519"/>
      <c r="AT22" s="520"/>
      <c r="AU22" s="520"/>
      <c r="AV22" s="520"/>
      <c r="AW22" s="520"/>
      <c r="AX22" s="521"/>
    </row>
    <row r="23" spans="1:50" ht="24" customHeight="1">
      <c r="A23" s="509"/>
      <c r="B23" s="510"/>
      <c r="C23" s="511"/>
      <c r="D23" s="512"/>
      <c r="E23" s="512"/>
      <c r="F23" s="513"/>
      <c r="G23" s="514"/>
      <c r="H23" s="515"/>
      <c r="I23" s="515"/>
      <c r="J23" s="515"/>
      <c r="K23" s="515"/>
      <c r="L23" s="515"/>
      <c r="M23" s="515"/>
      <c r="N23" s="515"/>
      <c r="O23" s="515"/>
      <c r="P23" s="515"/>
      <c r="Q23" s="515"/>
      <c r="R23" s="515"/>
      <c r="S23" s="515"/>
      <c r="T23" s="515"/>
      <c r="U23" s="515"/>
      <c r="V23" s="515"/>
      <c r="W23" s="516"/>
      <c r="X23" s="517"/>
      <c r="Y23" s="518"/>
      <c r="Z23" s="518"/>
      <c r="AA23" s="510"/>
      <c r="AB23" s="514"/>
      <c r="AC23" s="515"/>
      <c r="AD23" s="515"/>
      <c r="AE23" s="515"/>
      <c r="AF23" s="515"/>
      <c r="AG23" s="515"/>
      <c r="AH23" s="515"/>
      <c r="AI23" s="515"/>
      <c r="AJ23" s="515"/>
      <c r="AK23" s="515"/>
      <c r="AL23" s="515"/>
      <c r="AM23" s="515"/>
      <c r="AN23" s="515"/>
      <c r="AO23" s="515"/>
      <c r="AP23" s="515"/>
      <c r="AQ23" s="515"/>
      <c r="AR23" s="516"/>
      <c r="AS23" s="519"/>
      <c r="AT23" s="520"/>
      <c r="AU23" s="520"/>
      <c r="AV23" s="520"/>
      <c r="AW23" s="520"/>
      <c r="AX23" s="521"/>
    </row>
    <row r="24" spans="1:50" ht="24" customHeight="1">
      <c r="A24" s="509"/>
      <c r="B24" s="510"/>
      <c r="C24" s="511"/>
      <c r="D24" s="512"/>
      <c r="E24" s="512"/>
      <c r="F24" s="513"/>
      <c r="G24" s="514"/>
      <c r="H24" s="515"/>
      <c r="I24" s="515"/>
      <c r="J24" s="515"/>
      <c r="K24" s="515"/>
      <c r="L24" s="515"/>
      <c r="M24" s="515"/>
      <c r="N24" s="515"/>
      <c r="O24" s="515"/>
      <c r="P24" s="515"/>
      <c r="Q24" s="515"/>
      <c r="R24" s="515"/>
      <c r="S24" s="515"/>
      <c r="T24" s="515"/>
      <c r="U24" s="515"/>
      <c r="V24" s="515"/>
      <c r="W24" s="516"/>
      <c r="X24" s="517"/>
      <c r="Y24" s="518"/>
      <c r="Z24" s="518"/>
      <c r="AA24" s="510"/>
      <c r="AB24" s="514"/>
      <c r="AC24" s="515"/>
      <c r="AD24" s="515"/>
      <c r="AE24" s="515"/>
      <c r="AF24" s="515"/>
      <c r="AG24" s="515"/>
      <c r="AH24" s="515"/>
      <c r="AI24" s="515"/>
      <c r="AJ24" s="515"/>
      <c r="AK24" s="515"/>
      <c r="AL24" s="515"/>
      <c r="AM24" s="515"/>
      <c r="AN24" s="515"/>
      <c r="AO24" s="515"/>
      <c r="AP24" s="515"/>
      <c r="AQ24" s="515"/>
      <c r="AR24" s="516"/>
      <c r="AS24" s="519"/>
      <c r="AT24" s="520"/>
      <c r="AU24" s="520"/>
      <c r="AV24" s="520"/>
      <c r="AW24" s="520"/>
      <c r="AX24" s="521"/>
    </row>
    <row r="25" spans="1:50" ht="24" customHeight="1">
      <c r="A25" s="509"/>
      <c r="B25" s="510"/>
      <c r="C25" s="511"/>
      <c r="D25" s="512"/>
      <c r="E25" s="512"/>
      <c r="F25" s="513"/>
      <c r="G25" s="514"/>
      <c r="H25" s="515"/>
      <c r="I25" s="515"/>
      <c r="J25" s="515"/>
      <c r="K25" s="515"/>
      <c r="L25" s="515"/>
      <c r="M25" s="515"/>
      <c r="N25" s="515"/>
      <c r="O25" s="515"/>
      <c r="P25" s="515"/>
      <c r="Q25" s="515"/>
      <c r="R25" s="515"/>
      <c r="S25" s="515"/>
      <c r="T25" s="515"/>
      <c r="U25" s="515"/>
      <c r="V25" s="515"/>
      <c r="W25" s="516"/>
      <c r="X25" s="517"/>
      <c r="Y25" s="518"/>
      <c r="Z25" s="518"/>
      <c r="AA25" s="510"/>
      <c r="AB25" s="514"/>
      <c r="AC25" s="515"/>
      <c r="AD25" s="515"/>
      <c r="AE25" s="515"/>
      <c r="AF25" s="515"/>
      <c r="AG25" s="515"/>
      <c r="AH25" s="515"/>
      <c r="AI25" s="515"/>
      <c r="AJ25" s="515"/>
      <c r="AK25" s="515"/>
      <c r="AL25" s="515"/>
      <c r="AM25" s="515"/>
      <c r="AN25" s="515"/>
      <c r="AO25" s="515"/>
      <c r="AP25" s="515"/>
      <c r="AQ25" s="515"/>
      <c r="AR25" s="516"/>
      <c r="AS25" s="519"/>
      <c r="AT25" s="520"/>
      <c r="AU25" s="520"/>
      <c r="AV25" s="520"/>
      <c r="AW25" s="520"/>
      <c r="AX25" s="521"/>
    </row>
    <row r="26" spans="1:50" ht="24" customHeight="1" thickBot="1">
      <c r="A26" s="522"/>
      <c r="B26" s="523"/>
      <c r="C26" s="524"/>
      <c r="D26" s="525"/>
      <c r="E26" s="525"/>
      <c r="F26" s="526"/>
      <c r="G26" s="527"/>
      <c r="H26" s="528"/>
      <c r="I26" s="528"/>
      <c r="J26" s="528"/>
      <c r="K26" s="528"/>
      <c r="L26" s="528"/>
      <c r="M26" s="528"/>
      <c r="N26" s="528"/>
      <c r="O26" s="528"/>
      <c r="P26" s="528"/>
      <c r="Q26" s="528"/>
      <c r="R26" s="528"/>
      <c r="S26" s="528"/>
      <c r="T26" s="528"/>
      <c r="U26" s="528"/>
      <c r="V26" s="528"/>
      <c r="W26" s="529"/>
      <c r="X26" s="530"/>
      <c r="Y26" s="531"/>
      <c r="Z26" s="531"/>
      <c r="AA26" s="523"/>
      <c r="AB26" s="527"/>
      <c r="AC26" s="528"/>
      <c r="AD26" s="528"/>
      <c r="AE26" s="528"/>
      <c r="AF26" s="528"/>
      <c r="AG26" s="528"/>
      <c r="AH26" s="528"/>
      <c r="AI26" s="528"/>
      <c r="AJ26" s="528"/>
      <c r="AK26" s="528"/>
      <c r="AL26" s="528"/>
      <c r="AM26" s="528"/>
      <c r="AN26" s="528"/>
      <c r="AO26" s="528"/>
      <c r="AP26" s="528"/>
      <c r="AQ26" s="528"/>
      <c r="AR26" s="529"/>
      <c r="AS26" s="532"/>
      <c r="AT26" s="533"/>
      <c r="AU26" s="533"/>
      <c r="AV26" s="533"/>
      <c r="AW26" s="533"/>
      <c r="AX26" s="534"/>
    </row>
  </sheetData>
  <mergeCells count="87">
    <mergeCell ref="A26:B26"/>
    <mergeCell ref="C26:F26"/>
    <mergeCell ref="G26:W26"/>
    <mergeCell ref="X26:AA26"/>
    <mergeCell ref="AB26:AR26"/>
    <mergeCell ref="AS26:AX26"/>
    <mergeCell ref="A25:B25"/>
    <mergeCell ref="C25:F25"/>
    <mergeCell ref="G25:W25"/>
    <mergeCell ref="X25:AA25"/>
    <mergeCell ref="AB25:AR25"/>
    <mergeCell ref="AS25:AX25"/>
    <mergeCell ref="A24:B24"/>
    <mergeCell ref="C24:F24"/>
    <mergeCell ref="G24:W24"/>
    <mergeCell ref="X24:AA24"/>
    <mergeCell ref="AB24:AR24"/>
    <mergeCell ref="AS24:AX24"/>
    <mergeCell ref="A23:B23"/>
    <mergeCell ref="C23:F23"/>
    <mergeCell ref="G23:W23"/>
    <mergeCell ref="X23:AA23"/>
    <mergeCell ref="AB23:AR23"/>
    <mergeCell ref="AS23:AX23"/>
    <mergeCell ref="A22:B22"/>
    <mergeCell ref="C22:F22"/>
    <mergeCell ref="G22:W22"/>
    <mergeCell ref="X22:AA22"/>
    <mergeCell ref="AB22:AR22"/>
    <mergeCell ref="AS22:AX22"/>
    <mergeCell ref="A21:B21"/>
    <mergeCell ref="C21:F21"/>
    <mergeCell ref="G21:W21"/>
    <mergeCell ref="X21:AA21"/>
    <mergeCell ref="AB21:AR21"/>
    <mergeCell ref="AS21:AX21"/>
    <mergeCell ref="A20:B20"/>
    <mergeCell ref="C20:F20"/>
    <mergeCell ref="G20:W20"/>
    <mergeCell ref="X20:AA20"/>
    <mergeCell ref="AB20:AR20"/>
    <mergeCell ref="AS20:AX20"/>
    <mergeCell ref="A19:B19"/>
    <mergeCell ref="C19:F19"/>
    <mergeCell ref="G19:W19"/>
    <mergeCell ref="X19:AA19"/>
    <mergeCell ref="AB19:AR19"/>
    <mergeCell ref="AS19:AX19"/>
    <mergeCell ref="A18:B18"/>
    <mergeCell ref="C18:F18"/>
    <mergeCell ref="G18:W18"/>
    <mergeCell ref="X18:AA18"/>
    <mergeCell ref="AB18:AR18"/>
    <mergeCell ref="AS18:AX18"/>
    <mergeCell ref="A17:B17"/>
    <mergeCell ref="C17:F17"/>
    <mergeCell ref="G17:W17"/>
    <mergeCell ref="X17:AA17"/>
    <mergeCell ref="AB17:AR17"/>
    <mergeCell ref="AS17:AX17"/>
    <mergeCell ref="A15:B16"/>
    <mergeCell ref="C15:W15"/>
    <mergeCell ref="X15:AR15"/>
    <mergeCell ref="AS15:AX16"/>
    <mergeCell ref="C16:F16"/>
    <mergeCell ref="G16:W16"/>
    <mergeCell ref="X16:AA16"/>
    <mergeCell ref="AB16:AR16"/>
    <mergeCell ref="A10:B12"/>
    <mergeCell ref="C10:H12"/>
    <mergeCell ref="I10:V12"/>
    <mergeCell ref="W10:AL10"/>
    <mergeCell ref="AM10:AX12"/>
    <mergeCell ref="W11:AL11"/>
    <mergeCell ref="W12:AL12"/>
    <mergeCell ref="W6:AL6"/>
    <mergeCell ref="AM6:AX6"/>
    <mergeCell ref="A7:B9"/>
    <mergeCell ref="C7:H9"/>
    <mergeCell ref="I7:V9"/>
    <mergeCell ref="W7:AL7"/>
    <mergeCell ref="AM7:AX9"/>
    <mergeCell ref="W8:AL8"/>
    <mergeCell ref="W9:AL9"/>
    <mergeCell ref="A6:B6"/>
    <mergeCell ref="C6:H6"/>
    <mergeCell ref="I6:V6"/>
  </mergeCells>
  <phoneticPr fontId="2"/>
  <dataValidations count="1">
    <dataValidation imeMode="off" allowBlank="1" showInputMessage="1" showErrorMessage="1" sqref="A27:B47 D13:D14 A7 A10 A13 A17:A2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FFFF99"/>
    <pageSetUpPr fitToPage="1"/>
  </sheetPr>
  <dimension ref="A1:AY56"/>
  <sheetViews>
    <sheetView showGridLines="0" topLeftCell="A7" zoomScaleNormal="100" zoomScaleSheetLayoutView="90" workbookViewId="0">
      <selection activeCell="AQ10" sqref="AQ10"/>
    </sheetView>
  </sheetViews>
  <sheetFormatPr defaultRowHeight="12"/>
  <cols>
    <col min="1" max="50" width="3.33203125" style="1" customWidth="1"/>
    <col min="51" max="51" width="1.5" style="1" customWidth="1"/>
    <col min="52" max="16384" width="9.33203125" style="1"/>
  </cols>
  <sheetData>
    <row r="1" spans="1:51">
      <c r="A1" s="389" t="s">
        <v>31</v>
      </c>
      <c r="B1" s="390"/>
      <c r="C1" s="390"/>
      <c r="D1" s="390"/>
      <c r="E1" s="390"/>
      <c r="F1" s="390"/>
      <c r="G1" s="391"/>
      <c r="H1" s="398" t="s">
        <v>2</v>
      </c>
      <c r="I1" s="378"/>
      <c r="J1" s="378"/>
      <c r="K1" s="379"/>
      <c r="L1" s="380" t="str">
        <f>IF(顧客名="","",顧客名)</f>
        <v>株式会社XXXX殿</v>
      </c>
      <c r="M1" s="381"/>
      <c r="N1" s="381"/>
      <c r="O1" s="381"/>
      <c r="P1" s="381"/>
      <c r="Q1" s="381"/>
      <c r="R1" s="382"/>
      <c r="S1" s="377" t="s">
        <v>44</v>
      </c>
      <c r="T1" s="378"/>
      <c r="U1" s="378"/>
      <c r="V1" s="379"/>
      <c r="W1" s="380" t="str">
        <f>IF(システム="","",システム)</f>
        <v>mcframe7</v>
      </c>
      <c r="X1" s="381"/>
      <c r="Y1" s="381"/>
      <c r="Z1" s="381"/>
      <c r="AA1" s="381"/>
      <c r="AB1" s="381"/>
      <c r="AC1" s="382"/>
      <c r="AD1" s="340" t="s">
        <v>8</v>
      </c>
      <c r="AE1" s="341"/>
      <c r="AF1" s="341"/>
      <c r="AG1" s="383"/>
      <c r="AH1" s="384" t="str">
        <f>IF(作成者="","",作成者)</f>
        <v>XX</v>
      </c>
      <c r="AI1" s="385"/>
      <c r="AJ1" s="385"/>
      <c r="AK1" s="385"/>
      <c r="AL1" s="386"/>
      <c r="AM1" s="340" t="s">
        <v>9</v>
      </c>
      <c r="AN1" s="341"/>
      <c r="AO1" s="341"/>
      <c r="AP1" s="383"/>
      <c r="AQ1" s="337">
        <f>IF(作成日="","",作成日)</f>
        <v>42871</v>
      </c>
      <c r="AR1" s="338"/>
      <c r="AS1" s="338"/>
      <c r="AT1" s="339"/>
      <c r="AU1" s="340" t="s">
        <v>0</v>
      </c>
      <c r="AV1" s="341"/>
      <c r="AW1" s="341"/>
      <c r="AX1" s="342"/>
    </row>
    <row r="2" spans="1:51">
      <c r="A2" s="392"/>
      <c r="B2" s="393"/>
      <c r="C2" s="393"/>
      <c r="D2" s="393"/>
      <c r="E2" s="393"/>
      <c r="F2" s="393"/>
      <c r="G2" s="394"/>
      <c r="H2" s="343" t="s">
        <v>10</v>
      </c>
      <c r="I2" s="344"/>
      <c r="J2" s="344"/>
      <c r="K2" s="345"/>
      <c r="L2" s="346" t="str">
        <f>IF(プロジェクト名="","",プロジェクト名)</f>
        <v>新基幹システム構築プロジェクト</v>
      </c>
      <c r="M2" s="347"/>
      <c r="N2" s="347"/>
      <c r="O2" s="347"/>
      <c r="P2" s="347"/>
      <c r="Q2" s="347"/>
      <c r="R2" s="348"/>
      <c r="S2" s="349" t="s">
        <v>36</v>
      </c>
      <c r="T2" s="344"/>
      <c r="U2" s="344"/>
      <c r="V2" s="345"/>
      <c r="W2" s="346" t="str">
        <f>IF(サブシステム="","",サブシステム)</f>
        <v>SCM</v>
      </c>
      <c r="X2" s="347"/>
      <c r="Y2" s="347"/>
      <c r="Z2" s="347"/>
      <c r="AA2" s="347"/>
      <c r="AB2" s="347"/>
      <c r="AC2" s="348"/>
      <c r="AD2" s="350" t="s">
        <v>11</v>
      </c>
      <c r="AE2" s="351"/>
      <c r="AF2" s="351"/>
      <c r="AG2" s="352"/>
      <c r="AH2" s="353" t="str">
        <f>IF(修正者="","",修正者)</f>
        <v>XX</v>
      </c>
      <c r="AI2" s="354"/>
      <c r="AJ2" s="354"/>
      <c r="AK2" s="354"/>
      <c r="AL2" s="355"/>
      <c r="AM2" s="356" t="s">
        <v>12</v>
      </c>
      <c r="AN2" s="357"/>
      <c r="AO2" s="357"/>
      <c r="AP2" s="358"/>
      <c r="AQ2" s="359">
        <f>IF(修正日="","",修正日)</f>
        <v>43006</v>
      </c>
      <c r="AR2" s="360"/>
      <c r="AS2" s="360"/>
      <c r="AT2" s="360"/>
      <c r="AU2" s="361" t="str">
        <f>IF(文書番号="","",文書番号)</f>
        <v>XX-XX-9999</v>
      </c>
      <c r="AV2" s="362"/>
      <c r="AW2" s="362"/>
      <c r="AX2" s="363"/>
    </row>
    <row r="3" spans="1:51" ht="12.75" thickBot="1">
      <c r="A3" s="395"/>
      <c r="B3" s="396"/>
      <c r="C3" s="396"/>
      <c r="D3" s="396"/>
      <c r="E3" s="396"/>
      <c r="F3" s="396"/>
      <c r="G3" s="397"/>
      <c r="H3" s="367" t="s">
        <v>14</v>
      </c>
      <c r="I3" s="367"/>
      <c r="J3" s="367"/>
      <c r="K3" s="368"/>
      <c r="L3" s="369" t="str">
        <f>IF(機能ID="","",機能ID)</f>
        <v>MSBFLA020</v>
      </c>
      <c r="M3" s="370"/>
      <c r="N3" s="370"/>
      <c r="O3" s="370"/>
      <c r="P3" s="370"/>
      <c r="Q3" s="370"/>
      <c r="R3" s="370"/>
      <c r="S3" s="371" t="s">
        <v>15</v>
      </c>
      <c r="T3" s="367"/>
      <c r="U3" s="367"/>
      <c r="V3" s="368"/>
      <c r="W3" s="369" t="str">
        <f>IF(機能名="","",機能名)</f>
        <v>部材現品票発行サービス</v>
      </c>
      <c r="X3" s="372"/>
      <c r="Y3" s="372"/>
      <c r="Z3" s="372"/>
      <c r="AA3" s="372"/>
      <c r="AB3" s="372"/>
      <c r="AC3" s="372"/>
      <c r="AD3" s="372"/>
      <c r="AE3" s="372"/>
      <c r="AF3" s="372"/>
      <c r="AG3" s="372"/>
      <c r="AH3" s="372"/>
      <c r="AI3" s="372"/>
      <c r="AJ3" s="372"/>
      <c r="AK3" s="372"/>
      <c r="AL3" s="373"/>
      <c r="AM3" s="374" t="s">
        <v>13</v>
      </c>
      <c r="AN3" s="375"/>
      <c r="AO3" s="375"/>
      <c r="AP3" s="376"/>
      <c r="AQ3" s="334" t="str">
        <f>IF(Rev="","",Rev)</f>
        <v>r02.00</v>
      </c>
      <c r="AR3" s="335"/>
      <c r="AS3" s="335"/>
      <c r="AT3" s="336"/>
      <c r="AU3" s="364"/>
      <c r="AV3" s="365"/>
      <c r="AW3" s="365"/>
      <c r="AX3" s="366"/>
    </row>
    <row r="4" spans="1:51" ht="12.75" thickBot="1"/>
    <row r="5" spans="1:51" ht="15" customHeight="1" thickBot="1">
      <c r="A5" s="281"/>
      <c r="B5" s="282"/>
      <c r="C5" s="282"/>
      <c r="D5" s="282"/>
      <c r="E5" s="282"/>
      <c r="F5" s="282"/>
      <c r="G5" s="282"/>
      <c r="H5" s="282"/>
      <c r="I5" s="282"/>
      <c r="J5" s="282"/>
      <c r="K5" s="282"/>
      <c r="L5" s="282"/>
      <c r="M5" s="282"/>
      <c r="N5" s="282"/>
      <c r="O5" s="282"/>
      <c r="P5" s="282"/>
      <c r="Q5" s="282"/>
      <c r="R5" s="282"/>
      <c r="S5" s="282"/>
      <c r="T5" s="282"/>
      <c r="U5" s="282"/>
      <c r="V5" s="282"/>
      <c r="W5" s="282"/>
      <c r="X5" s="282"/>
      <c r="Y5" s="282"/>
      <c r="Z5" s="282"/>
      <c r="AA5" s="282"/>
      <c r="AB5" s="282"/>
      <c r="AC5" s="282"/>
      <c r="AD5" s="282"/>
      <c r="AE5" s="282"/>
      <c r="AF5" s="282"/>
      <c r="AG5" s="282"/>
      <c r="AH5" s="282"/>
      <c r="AI5" s="282"/>
      <c r="AJ5" s="282"/>
      <c r="AK5" s="282"/>
      <c r="AL5" s="282"/>
      <c r="AM5" s="282"/>
      <c r="AN5" s="282"/>
      <c r="AO5" s="282"/>
      <c r="AP5" s="282"/>
      <c r="AQ5" s="282"/>
      <c r="AR5" s="282"/>
      <c r="AS5" s="282"/>
      <c r="AT5" s="282"/>
      <c r="AU5" s="282"/>
      <c r="AV5" s="282"/>
      <c r="AW5" s="282"/>
      <c r="AX5" s="282"/>
      <c r="AY5" s="283"/>
    </row>
    <row r="6" spans="1:51" ht="15" customHeight="1">
      <c r="A6" s="278" t="s">
        <v>32</v>
      </c>
      <c r="B6" s="279"/>
      <c r="C6" s="279"/>
      <c r="D6" s="279"/>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80"/>
    </row>
    <row r="7" spans="1:51" ht="15" customHeight="1">
      <c r="A7" s="6"/>
      <c r="B7" s="7" t="s">
        <v>311</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8"/>
    </row>
    <row r="8" spans="1:51" ht="15" customHeight="1">
      <c r="A8" s="6"/>
      <c r="B8" s="7"/>
      <c r="C8" s="7" t="s">
        <v>63</v>
      </c>
      <c r="D8" s="7" t="s">
        <v>397</v>
      </c>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8"/>
    </row>
    <row r="9" spans="1:51" ht="15" customHeight="1">
      <c r="A9" s="6"/>
      <c r="B9" s="7"/>
      <c r="C9" s="7" t="s">
        <v>63</v>
      </c>
      <c r="D9" s="7" t="s">
        <v>90</v>
      </c>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8"/>
    </row>
    <row r="10" spans="1:51" ht="15" customHeight="1">
      <c r="A10" s="6"/>
      <c r="B10" s="7"/>
      <c r="C10" s="7" t="s">
        <v>63</v>
      </c>
      <c r="D10" s="7" t="s">
        <v>101</v>
      </c>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8"/>
    </row>
    <row r="11" spans="1:51" ht="15" customHeight="1">
      <c r="A11" s="6"/>
      <c r="B11" s="7"/>
      <c r="C11" s="7" t="s">
        <v>63</v>
      </c>
      <c r="D11" s="7" t="s">
        <v>86</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8"/>
    </row>
    <row r="12" spans="1:51" ht="15" customHeight="1">
      <c r="A12" s="6"/>
      <c r="B12" s="7"/>
      <c r="C12" s="13" t="s">
        <v>106</v>
      </c>
      <c r="D12" s="7" t="s">
        <v>107</v>
      </c>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8"/>
    </row>
    <row r="13" spans="1:51" ht="15" customHeight="1">
      <c r="A13" s="6"/>
      <c r="B13" s="7"/>
      <c r="C13" s="13" t="s">
        <v>113</v>
      </c>
      <c r="D13" s="7" t="s">
        <v>114</v>
      </c>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8"/>
    </row>
    <row r="14" spans="1:51" ht="1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8"/>
    </row>
    <row r="15" spans="1:51" ht="1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8"/>
    </row>
    <row r="16" spans="1:51" ht="15" customHeight="1">
      <c r="A16" s="9" t="s">
        <v>308</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1"/>
    </row>
    <row r="17" spans="1:50" ht="15" customHeight="1">
      <c r="A17" s="12"/>
      <c r="B17" s="13"/>
      <c r="C17" s="13" t="s">
        <v>67</v>
      </c>
      <c r="D17" s="13" t="s">
        <v>117</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4"/>
    </row>
    <row r="18" spans="1:50" ht="15" customHeight="1">
      <c r="A18" s="12"/>
      <c r="B18" s="13"/>
      <c r="C18" s="13"/>
      <c r="D18" s="13" t="s">
        <v>93</v>
      </c>
      <c r="E18" s="13" t="s">
        <v>94</v>
      </c>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4"/>
    </row>
    <row r="19" spans="1:50" ht="15" customHeight="1">
      <c r="A19" s="12"/>
      <c r="B19" s="13"/>
      <c r="C19" s="13" t="s">
        <v>63</v>
      </c>
      <c r="D19" s="13" t="s">
        <v>76</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4"/>
    </row>
    <row r="20" spans="1:50" ht="15" customHeight="1">
      <c r="A20" s="12"/>
      <c r="B20" s="13"/>
      <c r="C20" s="13"/>
      <c r="D20" s="13" t="s">
        <v>87</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4"/>
    </row>
    <row r="21" spans="1:50" ht="15" customHeight="1">
      <c r="A21" s="12"/>
      <c r="B21" s="13"/>
      <c r="C21" s="13"/>
      <c r="D21" s="13" t="s">
        <v>77</v>
      </c>
      <c r="E21" s="13"/>
      <c r="F21" s="13"/>
      <c r="G21" s="13"/>
      <c r="H21" s="13"/>
      <c r="I21" s="13"/>
      <c r="J21" s="13"/>
      <c r="K21" s="13"/>
      <c r="L21" s="13"/>
      <c r="M21" s="13"/>
      <c r="N21" s="13"/>
      <c r="O21" s="13" t="s">
        <v>81</v>
      </c>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4"/>
    </row>
    <row r="22" spans="1:50" ht="15" customHeight="1">
      <c r="A22" s="12"/>
      <c r="B22" s="13"/>
      <c r="C22" s="13"/>
      <c r="D22" s="13"/>
      <c r="E22" s="13"/>
      <c r="F22" s="13" t="s">
        <v>78</v>
      </c>
      <c r="G22" s="13"/>
      <c r="H22" s="13"/>
      <c r="I22" s="13"/>
      <c r="J22" s="13"/>
      <c r="K22" s="13"/>
      <c r="L22" s="13"/>
      <c r="M22" s="13"/>
      <c r="N22" s="13"/>
      <c r="O22" s="13"/>
      <c r="P22" s="13"/>
      <c r="Q22" s="13" t="s">
        <v>78</v>
      </c>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4"/>
    </row>
    <row r="23" spans="1:50" ht="15" customHeight="1">
      <c r="A23" s="12"/>
      <c r="B23" s="13"/>
      <c r="C23" s="13"/>
      <c r="D23" s="13"/>
      <c r="E23" s="13"/>
      <c r="F23" s="13" t="s">
        <v>79</v>
      </c>
      <c r="G23" s="13"/>
      <c r="H23" s="13"/>
      <c r="I23" s="13"/>
      <c r="J23" s="13"/>
      <c r="K23" s="13"/>
      <c r="L23" s="13"/>
      <c r="M23" s="13"/>
      <c r="N23" s="13"/>
      <c r="O23" s="13"/>
      <c r="P23" s="13"/>
      <c r="Q23" s="13" t="s">
        <v>82</v>
      </c>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4"/>
    </row>
    <row r="24" spans="1:50" ht="15" customHeight="1">
      <c r="A24" s="12"/>
      <c r="B24" s="13"/>
      <c r="C24" s="13"/>
      <c r="D24" s="13"/>
      <c r="E24" s="13"/>
      <c r="F24" s="13" t="s">
        <v>80</v>
      </c>
      <c r="G24" s="13"/>
      <c r="H24" s="13"/>
      <c r="I24" s="13"/>
      <c r="J24" s="13"/>
      <c r="K24" s="13"/>
      <c r="L24" s="13"/>
      <c r="M24" s="13"/>
      <c r="N24" s="13"/>
      <c r="O24" s="13"/>
      <c r="P24" s="13"/>
      <c r="Q24" s="13" t="s">
        <v>83</v>
      </c>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4"/>
    </row>
    <row r="25" spans="1:50" ht="15" customHeight="1">
      <c r="A25" s="12"/>
      <c r="B25" s="13"/>
      <c r="C25" s="13" t="s">
        <v>95</v>
      </c>
      <c r="D25" s="13" t="s">
        <v>98</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4"/>
    </row>
    <row r="26" spans="1:50" ht="15" customHeight="1">
      <c r="A26" s="12"/>
      <c r="B26" s="13"/>
      <c r="C26" s="13" t="s">
        <v>95</v>
      </c>
      <c r="D26" s="13" t="s">
        <v>96</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4"/>
    </row>
    <row r="27" spans="1:50" ht="15" customHeight="1">
      <c r="A27" s="12"/>
      <c r="B27" s="13"/>
      <c r="C27" s="13"/>
      <c r="D27" s="13" t="s">
        <v>97</v>
      </c>
      <c r="E27" s="13" t="s">
        <v>99</v>
      </c>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4"/>
    </row>
    <row r="28" spans="1:50" ht="15" customHeight="1">
      <c r="A28" s="12"/>
      <c r="B28" s="13"/>
      <c r="C28" s="13" t="s">
        <v>112</v>
      </c>
      <c r="D28" s="13" t="s">
        <v>115</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4"/>
    </row>
    <row r="29" spans="1:50" ht="15" customHeight="1">
      <c r="A29" s="12"/>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4"/>
    </row>
    <row r="30" spans="1:50" ht="1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8"/>
    </row>
    <row r="31" spans="1:50" ht="15" customHeight="1">
      <c r="A31" s="9" t="s">
        <v>42</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1"/>
    </row>
    <row r="32" spans="1:50" ht="15" customHeight="1">
      <c r="A32" s="16" t="s">
        <v>50</v>
      </c>
      <c r="B32" s="17"/>
      <c r="C32" s="18" t="s">
        <v>51</v>
      </c>
      <c r="D32" s="19"/>
      <c r="E32" s="19"/>
      <c r="F32" s="19"/>
      <c r="G32" s="19"/>
      <c r="H32" s="17"/>
      <c r="I32" s="18" t="s">
        <v>40</v>
      </c>
      <c r="J32" s="19"/>
      <c r="K32" s="19"/>
      <c r="L32" s="19"/>
      <c r="M32" s="19"/>
      <c r="N32" s="19"/>
      <c r="O32" s="20"/>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21"/>
    </row>
    <row r="33" spans="1:50" ht="15" customHeight="1">
      <c r="A33" s="22"/>
      <c r="B33" s="23"/>
      <c r="C33" s="24" t="s">
        <v>52</v>
      </c>
      <c r="D33" s="25"/>
      <c r="E33" s="25"/>
      <c r="F33" s="26" t="s">
        <v>53</v>
      </c>
      <c r="G33" s="27"/>
      <c r="H33" s="26"/>
      <c r="I33" s="28"/>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30"/>
    </row>
    <row r="34" spans="1:50" ht="15" customHeight="1">
      <c r="A34" s="387">
        <v>1</v>
      </c>
      <c r="B34" s="388"/>
      <c r="C34" s="31" t="s">
        <v>72</v>
      </c>
      <c r="D34" s="32"/>
      <c r="E34" s="33"/>
      <c r="F34" s="34">
        <v>6</v>
      </c>
      <c r="G34" s="35">
        <v>1</v>
      </c>
      <c r="H34" s="36">
        <v>6</v>
      </c>
      <c r="I34" s="31" t="s">
        <v>102</v>
      </c>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7"/>
    </row>
    <row r="35" spans="1:50" ht="15" customHeight="1">
      <c r="A35" s="38"/>
      <c r="B35" s="39"/>
      <c r="C35" s="40"/>
      <c r="D35" s="41"/>
      <c r="E35" s="42"/>
      <c r="F35" s="43"/>
      <c r="G35" s="44"/>
      <c r="H35" s="45"/>
      <c r="I35" s="40"/>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6"/>
    </row>
    <row r="36" spans="1:50" ht="15" customHeight="1">
      <c r="A36" s="387">
        <v>2</v>
      </c>
      <c r="B36" s="388"/>
      <c r="C36" s="31" t="s">
        <v>72</v>
      </c>
      <c r="D36" s="32"/>
      <c r="E36" s="33"/>
      <c r="F36" s="67" t="s">
        <v>73</v>
      </c>
      <c r="G36" s="35">
        <v>6</v>
      </c>
      <c r="H36" s="36">
        <v>4</v>
      </c>
      <c r="I36" s="31" t="s">
        <v>103</v>
      </c>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7"/>
    </row>
    <row r="37" spans="1:50" ht="15" customHeight="1">
      <c r="A37" s="38"/>
      <c r="B37" s="39"/>
      <c r="C37" s="40"/>
      <c r="D37" s="41"/>
      <c r="E37" s="42"/>
      <c r="F37" s="43"/>
      <c r="G37" s="44"/>
      <c r="H37" s="45"/>
      <c r="I37" s="40"/>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6"/>
    </row>
    <row r="38" spans="1:50" ht="15" customHeight="1">
      <c r="A38" s="286"/>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7"/>
      <c r="AQ38" s="287"/>
      <c r="AR38" s="287"/>
      <c r="AS38" s="287"/>
      <c r="AT38" s="287"/>
      <c r="AU38" s="287"/>
      <c r="AV38" s="287"/>
      <c r="AW38" s="287"/>
      <c r="AX38" s="288"/>
    </row>
    <row r="39" spans="1:50">
      <c r="A39" s="278" t="s">
        <v>398</v>
      </c>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80"/>
    </row>
    <row r="40" spans="1:50">
      <c r="A40" s="52"/>
      <c r="B40" s="15" t="s">
        <v>399</v>
      </c>
      <c r="C40" s="15" t="s">
        <v>400</v>
      </c>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53"/>
    </row>
    <row r="41" spans="1:50">
      <c r="A41" s="52"/>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53"/>
    </row>
    <row r="42" spans="1:50">
      <c r="A42" s="9" t="s">
        <v>401</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1"/>
    </row>
    <row r="43" spans="1:50">
      <c r="A43" s="52"/>
      <c r="B43" s="15" t="s">
        <v>402</v>
      </c>
      <c r="C43" s="15" t="s">
        <v>410</v>
      </c>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53"/>
    </row>
    <row r="44" spans="1:50">
      <c r="A44" s="52"/>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53"/>
    </row>
    <row r="45" spans="1:50">
      <c r="A45" s="9" t="s">
        <v>403</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1"/>
    </row>
    <row r="46" spans="1:50">
      <c r="A46" s="52"/>
      <c r="B46" s="15" t="s">
        <v>402</v>
      </c>
      <c r="C46" s="15" t="s">
        <v>404</v>
      </c>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53"/>
    </row>
    <row r="47" spans="1:50">
      <c r="A47" s="52"/>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53"/>
    </row>
    <row r="48" spans="1:50">
      <c r="A48" s="9" t="s">
        <v>405</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1"/>
    </row>
    <row r="49" spans="1:50">
      <c r="A49" s="52"/>
      <c r="B49" s="15" t="s">
        <v>402</v>
      </c>
      <c r="C49" s="15" t="s">
        <v>411</v>
      </c>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53"/>
    </row>
    <row r="50" spans="1:50">
      <c r="A50" s="52"/>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53"/>
    </row>
    <row r="51" spans="1:50" ht="12.75" customHeight="1">
      <c r="A51" s="9" t="s">
        <v>406</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1"/>
    </row>
    <row r="52" spans="1:50" ht="12.75" customHeight="1">
      <c r="A52" s="52"/>
      <c r="B52" s="284" t="s">
        <v>402</v>
      </c>
      <c r="C52" s="15" t="s">
        <v>407</v>
      </c>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53"/>
    </row>
    <row r="53" spans="1:50" ht="12.75" customHeight="1">
      <c r="A53" s="52"/>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53"/>
    </row>
    <row r="54" spans="1:50" s="271" customFormat="1" ht="12.75" customHeight="1">
      <c r="A54" s="9" t="s">
        <v>408</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1"/>
    </row>
    <row r="55" spans="1:50" s="271" customFormat="1" ht="12.75" customHeight="1">
      <c r="A55" s="285"/>
      <c r="B55" s="15" t="s">
        <v>402</v>
      </c>
      <c r="C55" s="15" t="s">
        <v>409</v>
      </c>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53"/>
    </row>
    <row r="56" spans="1:50" s="271" customFormat="1" ht="12.75" customHeight="1" thickBot="1">
      <c r="A56" s="54"/>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6"/>
    </row>
  </sheetData>
  <mergeCells count="27">
    <mergeCell ref="A36:B36"/>
    <mergeCell ref="A34:B34"/>
    <mergeCell ref="A1:G3"/>
    <mergeCell ref="H1:K1"/>
    <mergeCell ref="L1:R1"/>
    <mergeCell ref="AM3:AP3"/>
    <mergeCell ref="S1:V1"/>
    <mergeCell ref="W1:AC1"/>
    <mergeCell ref="AD1:AG1"/>
    <mergeCell ref="AH1:AL1"/>
    <mergeCell ref="AM1:AP1"/>
    <mergeCell ref="AQ3:AT3"/>
    <mergeCell ref="AQ1:AT1"/>
    <mergeCell ref="AU1:AX1"/>
    <mergeCell ref="H2:K2"/>
    <mergeCell ref="L2:R2"/>
    <mergeCell ref="S2:V2"/>
    <mergeCell ref="W2:AC2"/>
    <mergeCell ref="AD2:AG2"/>
    <mergeCell ref="AH2:AL2"/>
    <mergeCell ref="AM2:AP2"/>
    <mergeCell ref="AQ2:AT2"/>
    <mergeCell ref="AU2:AX3"/>
    <mergeCell ref="H3:K3"/>
    <mergeCell ref="L3:R3"/>
    <mergeCell ref="S3:V3"/>
    <mergeCell ref="W3:AL3"/>
  </mergeCells>
  <phoneticPr fontId="2"/>
  <pageMargins left="0.39370078740157483" right="0.39370078740157483" top="0.51181102362204722" bottom="0.51181102362204722" header="0.31496062992125984" footer="0.31496062992125984"/>
  <pageSetup paperSize="9" fitToHeight="0" orientation="landscape" r:id="rId1"/>
  <headerFooter alignWithMargins="0">
    <oddFooter>&amp;L&amp;A&amp;C&amp;P/&amp;N&amp;R©Toyo Business Engineering Corp.(B-EN-G) / Confidential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pageSetUpPr autoPageBreaks="0" fitToPage="1"/>
  </sheetPr>
  <dimension ref="A1:CJ49"/>
  <sheetViews>
    <sheetView showGridLines="0" topLeftCell="A4" zoomScaleNormal="100" zoomScaleSheetLayoutView="85" workbookViewId="0">
      <selection activeCell="P14" sqref="P14"/>
    </sheetView>
  </sheetViews>
  <sheetFormatPr defaultRowHeight="12"/>
  <cols>
    <col min="1" max="50" width="3.33203125" style="1" customWidth="1"/>
    <col min="51" max="51" width="1.5" style="1" customWidth="1"/>
    <col min="52" max="16384" width="9.33203125" style="1"/>
  </cols>
  <sheetData>
    <row r="1" spans="1:88">
      <c r="A1" s="389" t="s">
        <v>342</v>
      </c>
      <c r="B1" s="390"/>
      <c r="C1" s="390"/>
      <c r="D1" s="390"/>
      <c r="E1" s="390"/>
      <c r="F1" s="390"/>
      <c r="G1" s="391"/>
      <c r="H1" s="398" t="s">
        <v>2</v>
      </c>
      <c r="I1" s="378"/>
      <c r="J1" s="378"/>
      <c r="K1" s="379"/>
      <c r="L1" s="380" t="str">
        <f>IF(顧客名="","",顧客名)</f>
        <v>株式会社XXXX殿</v>
      </c>
      <c r="M1" s="381"/>
      <c r="N1" s="381"/>
      <c r="O1" s="381"/>
      <c r="P1" s="381"/>
      <c r="Q1" s="381"/>
      <c r="R1" s="382"/>
      <c r="S1" s="377" t="s">
        <v>7</v>
      </c>
      <c r="T1" s="378"/>
      <c r="U1" s="378"/>
      <c r="V1" s="379"/>
      <c r="W1" s="380" t="str">
        <f>IF(システム="","",システム)</f>
        <v>mcframe7</v>
      </c>
      <c r="X1" s="381"/>
      <c r="Y1" s="381"/>
      <c r="Z1" s="381"/>
      <c r="AA1" s="381"/>
      <c r="AB1" s="381"/>
      <c r="AC1" s="382"/>
      <c r="AD1" s="340" t="s">
        <v>8</v>
      </c>
      <c r="AE1" s="341"/>
      <c r="AF1" s="341"/>
      <c r="AG1" s="383"/>
      <c r="AH1" s="384" t="str">
        <f>IF(作成者="","",作成者)</f>
        <v>XX</v>
      </c>
      <c r="AI1" s="385"/>
      <c r="AJ1" s="385"/>
      <c r="AK1" s="385"/>
      <c r="AL1" s="386"/>
      <c r="AM1" s="340" t="s">
        <v>9</v>
      </c>
      <c r="AN1" s="341"/>
      <c r="AO1" s="341"/>
      <c r="AP1" s="383"/>
      <c r="AQ1" s="337">
        <f>IF(作成日="","",作成日)</f>
        <v>42871</v>
      </c>
      <c r="AR1" s="338"/>
      <c r="AS1" s="338"/>
      <c r="AT1" s="339"/>
      <c r="AU1" s="340" t="s">
        <v>0</v>
      </c>
      <c r="AV1" s="341"/>
      <c r="AW1" s="341"/>
      <c r="AX1" s="342"/>
    </row>
    <row r="2" spans="1:88">
      <c r="A2" s="392"/>
      <c r="B2" s="393"/>
      <c r="C2" s="393"/>
      <c r="D2" s="393"/>
      <c r="E2" s="393"/>
      <c r="F2" s="393"/>
      <c r="G2" s="394"/>
      <c r="H2" s="343" t="s">
        <v>45</v>
      </c>
      <c r="I2" s="344"/>
      <c r="J2" s="344"/>
      <c r="K2" s="345"/>
      <c r="L2" s="346" t="str">
        <f>IF(プロジェクト名="","",プロジェクト名)</f>
        <v>新基幹システム構築プロジェクト</v>
      </c>
      <c r="M2" s="347"/>
      <c r="N2" s="347"/>
      <c r="O2" s="347"/>
      <c r="P2" s="347"/>
      <c r="Q2" s="347"/>
      <c r="R2" s="348"/>
      <c r="S2" s="349" t="s">
        <v>36</v>
      </c>
      <c r="T2" s="344"/>
      <c r="U2" s="344"/>
      <c r="V2" s="345"/>
      <c r="W2" s="346" t="str">
        <f>IF(サブシステム="","",サブシステム)</f>
        <v>SCM</v>
      </c>
      <c r="X2" s="347"/>
      <c r="Y2" s="347"/>
      <c r="Z2" s="347"/>
      <c r="AA2" s="347"/>
      <c r="AB2" s="347"/>
      <c r="AC2" s="348"/>
      <c r="AD2" s="350" t="s">
        <v>11</v>
      </c>
      <c r="AE2" s="351"/>
      <c r="AF2" s="351"/>
      <c r="AG2" s="352"/>
      <c r="AH2" s="353" t="str">
        <f>IF(修正者="","",修正者)</f>
        <v>XX</v>
      </c>
      <c r="AI2" s="354"/>
      <c r="AJ2" s="354"/>
      <c r="AK2" s="354"/>
      <c r="AL2" s="355"/>
      <c r="AM2" s="356" t="s">
        <v>12</v>
      </c>
      <c r="AN2" s="357"/>
      <c r="AO2" s="357"/>
      <c r="AP2" s="358"/>
      <c r="AQ2" s="359">
        <f>IF(修正日="","",修正日)</f>
        <v>43006</v>
      </c>
      <c r="AR2" s="360"/>
      <c r="AS2" s="360"/>
      <c r="AT2" s="360"/>
      <c r="AU2" s="361" t="str">
        <f>IF(文書番号="","",文書番号)</f>
        <v>XX-XX-9999</v>
      </c>
      <c r="AV2" s="362"/>
      <c r="AW2" s="362"/>
      <c r="AX2" s="363"/>
    </row>
    <row r="3" spans="1:88" ht="12.75" thickBot="1">
      <c r="A3" s="395"/>
      <c r="B3" s="396"/>
      <c r="C3" s="396"/>
      <c r="D3" s="396"/>
      <c r="E3" s="396"/>
      <c r="F3" s="396"/>
      <c r="G3" s="397"/>
      <c r="H3" s="367" t="s">
        <v>14</v>
      </c>
      <c r="I3" s="367"/>
      <c r="J3" s="367"/>
      <c r="K3" s="368"/>
      <c r="L3" s="369" t="str">
        <f>IF(機能ID="","",機能ID)</f>
        <v>MSBFLA020</v>
      </c>
      <c r="M3" s="370"/>
      <c r="N3" s="370"/>
      <c r="O3" s="370"/>
      <c r="P3" s="370"/>
      <c r="Q3" s="370"/>
      <c r="R3" s="370"/>
      <c r="S3" s="371" t="s">
        <v>15</v>
      </c>
      <c r="T3" s="367"/>
      <c r="U3" s="367"/>
      <c r="V3" s="368"/>
      <c r="W3" s="369" t="str">
        <f>IF(機能名="","",機能名)</f>
        <v>部材現品票発行サービス</v>
      </c>
      <c r="X3" s="372"/>
      <c r="Y3" s="372"/>
      <c r="Z3" s="372"/>
      <c r="AA3" s="372"/>
      <c r="AB3" s="372"/>
      <c r="AC3" s="372"/>
      <c r="AD3" s="372"/>
      <c r="AE3" s="372"/>
      <c r="AF3" s="372"/>
      <c r="AG3" s="372"/>
      <c r="AH3" s="372"/>
      <c r="AI3" s="372"/>
      <c r="AJ3" s="372"/>
      <c r="AK3" s="372"/>
      <c r="AL3" s="373"/>
      <c r="AM3" s="374" t="s">
        <v>13</v>
      </c>
      <c r="AN3" s="375"/>
      <c r="AO3" s="375"/>
      <c r="AP3" s="376"/>
      <c r="AQ3" s="334" t="str">
        <f>IF(Rev="","",Rev)</f>
        <v>r02.00</v>
      </c>
      <c r="AR3" s="335"/>
      <c r="AS3" s="335"/>
      <c r="AT3" s="336"/>
      <c r="AU3" s="364"/>
      <c r="AV3" s="365"/>
      <c r="AW3" s="365"/>
      <c r="AX3" s="366"/>
    </row>
    <row r="4" spans="1:88" ht="12.75" thickBot="1"/>
    <row r="5" spans="1:88" ht="11.25" customHeight="1" thickBot="1">
      <c r="A5" s="49" t="s">
        <v>342</v>
      </c>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1"/>
    </row>
    <row r="6" spans="1:88" ht="12.75" thickTop="1">
      <c r="A6" s="52"/>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53"/>
    </row>
    <row r="7" spans="1:88">
      <c r="A7" s="52"/>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53"/>
      <c r="AY7" s="15"/>
    </row>
    <row r="8" spans="1:88" s="206" customFormat="1" ht="12" customHeight="1">
      <c r="AX8" s="53"/>
      <c r="AY8" s="15"/>
    </row>
    <row r="9" spans="1:88" s="142" customFormat="1" ht="12" customHeight="1">
      <c r="A9" s="204"/>
      <c r="B9" s="92"/>
      <c r="Q9" s="205"/>
      <c r="AX9" s="53"/>
      <c r="AY9" s="15"/>
      <c r="BC9" s="92"/>
      <c r="BD9" s="92"/>
      <c r="BE9" s="92"/>
      <c r="BF9" s="92"/>
      <c r="BG9" s="92"/>
      <c r="BH9" s="92"/>
      <c r="BI9" s="92"/>
      <c r="BJ9" s="92"/>
      <c r="BK9" s="92"/>
      <c r="BL9" s="92"/>
      <c r="BM9" s="92"/>
      <c r="BN9" s="92"/>
      <c r="BO9" s="92"/>
      <c r="BP9" s="92"/>
      <c r="BQ9" s="92"/>
      <c r="BR9" s="92"/>
      <c r="BS9" s="92"/>
      <c r="BT9" s="92"/>
      <c r="BU9" s="92"/>
      <c r="BV9" s="92"/>
      <c r="BW9" s="92"/>
      <c r="BX9" s="92"/>
      <c r="BY9" s="92"/>
      <c r="BZ9" s="92"/>
      <c r="CA9" s="92"/>
      <c r="CB9" s="92"/>
      <c r="CC9" s="92"/>
      <c r="CD9" s="92"/>
      <c r="CE9" s="92"/>
      <c r="CF9" s="92"/>
      <c r="CG9" s="206"/>
      <c r="CH9" s="206"/>
      <c r="CI9" s="206"/>
    </row>
    <row r="10" spans="1:88" s="206" customFormat="1" ht="12" customHeight="1">
      <c r="D10" s="207" t="s">
        <v>97</v>
      </c>
      <c r="E10" s="207" t="s">
        <v>343</v>
      </c>
      <c r="F10" s="207"/>
      <c r="AX10" s="53"/>
      <c r="AY10" s="15"/>
      <c r="CJ10" s="142"/>
    </row>
    <row r="11" spans="1:88" s="206" customFormat="1" ht="12" customHeight="1">
      <c r="AX11" s="53"/>
      <c r="AY11" s="15"/>
    </row>
    <row r="12" spans="1:88" s="206" customFormat="1" ht="12" customHeight="1">
      <c r="AX12" s="53"/>
      <c r="AY12" s="15"/>
    </row>
    <row r="13" spans="1:88" s="206" customFormat="1" ht="12" customHeight="1">
      <c r="AX13" s="53"/>
      <c r="AY13" s="15"/>
    </row>
    <row r="14" spans="1:88" s="206" customFormat="1" ht="12" customHeight="1">
      <c r="AX14" s="53"/>
      <c r="AY14" s="15"/>
    </row>
    <row r="15" spans="1:88" s="206" customFormat="1" ht="12" customHeight="1">
      <c r="D15" s="60"/>
      <c r="AX15" s="53"/>
      <c r="AY15" s="15"/>
    </row>
    <row r="16" spans="1:88" s="206" customFormat="1" ht="12" customHeight="1">
      <c r="D16" s="60"/>
      <c r="AX16" s="53"/>
      <c r="AY16" s="15"/>
    </row>
    <row r="17" spans="4:51" s="206" customFormat="1" ht="12" customHeight="1">
      <c r="D17" s="60"/>
      <c r="AX17" s="53"/>
      <c r="AY17" s="15"/>
    </row>
    <row r="18" spans="4:51" s="206" customFormat="1" ht="12" customHeight="1">
      <c r="D18" s="60"/>
      <c r="AX18" s="53"/>
      <c r="AY18" s="15"/>
    </row>
    <row r="19" spans="4:51" s="206" customFormat="1" ht="12" customHeight="1">
      <c r="D19" s="60"/>
      <c r="AX19" s="53"/>
      <c r="AY19" s="15"/>
    </row>
    <row r="20" spans="4:51" s="206" customFormat="1" ht="12" customHeight="1">
      <c r="D20" s="60"/>
      <c r="AX20" s="53"/>
      <c r="AY20" s="15"/>
    </row>
    <row r="21" spans="4:51" s="206" customFormat="1" ht="12" customHeight="1">
      <c r="D21" s="60"/>
      <c r="AX21" s="53"/>
      <c r="AY21" s="15"/>
    </row>
    <row r="22" spans="4:51" s="206" customFormat="1" ht="12" customHeight="1">
      <c r="D22" s="60"/>
      <c r="AX22" s="53"/>
      <c r="AY22" s="15"/>
    </row>
    <row r="23" spans="4:51" s="206" customFormat="1" ht="12" customHeight="1">
      <c r="D23" s="60"/>
      <c r="AX23" s="53"/>
      <c r="AY23" s="15"/>
    </row>
    <row r="24" spans="4:51" s="206" customFormat="1" ht="12" customHeight="1">
      <c r="D24" s="60"/>
      <c r="AX24" s="53"/>
      <c r="AY24" s="15"/>
    </row>
    <row r="25" spans="4:51" s="206" customFormat="1" ht="12" customHeight="1">
      <c r="D25" s="60"/>
      <c r="AX25" s="53"/>
      <c r="AY25" s="15"/>
    </row>
    <row r="26" spans="4:51" s="206" customFormat="1" ht="12" customHeight="1">
      <c r="D26" s="60"/>
      <c r="AX26" s="53"/>
      <c r="AY26" s="15"/>
    </row>
    <row r="27" spans="4:51" s="206" customFormat="1" ht="12" customHeight="1">
      <c r="D27" s="60"/>
      <c r="AX27" s="53"/>
      <c r="AY27" s="15"/>
    </row>
    <row r="28" spans="4:51" s="206" customFormat="1" ht="12" customHeight="1">
      <c r="D28" s="60"/>
      <c r="AX28" s="53"/>
      <c r="AY28" s="15"/>
    </row>
    <row r="29" spans="4:51" s="206" customFormat="1" ht="12" customHeight="1">
      <c r="D29" s="60"/>
      <c r="AX29" s="53"/>
      <c r="AY29" s="15"/>
    </row>
    <row r="30" spans="4:51" s="206" customFormat="1" ht="12" customHeight="1">
      <c r="D30" s="60"/>
      <c r="AX30" s="53"/>
      <c r="AY30" s="15"/>
    </row>
    <row r="31" spans="4:51" s="206" customFormat="1" ht="12" customHeight="1">
      <c r="D31" s="60"/>
      <c r="AX31" s="53"/>
      <c r="AY31" s="15"/>
    </row>
    <row r="32" spans="4:51" s="206" customFormat="1" ht="12" customHeight="1">
      <c r="D32" s="60"/>
      <c r="AX32" s="53"/>
      <c r="AY32" s="15"/>
    </row>
    <row r="33" spans="1:51" s="206" customFormat="1" ht="12" customHeight="1">
      <c r="D33" s="1"/>
      <c r="AX33" s="53"/>
      <c r="AY33" s="15"/>
    </row>
    <row r="34" spans="1:51" s="206" customFormat="1" ht="12" customHeight="1">
      <c r="D34" s="1"/>
      <c r="AX34" s="53"/>
      <c r="AY34" s="15"/>
    </row>
    <row r="35" spans="1:51" s="206" customFormat="1" ht="12" customHeight="1">
      <c r="D35" s="60"/>
      <c r="AX35" s="53"/>
      <c r="AY35" s="15"/>
    </row>
    <row r="36" spans="1:51" s="206" customFormat="1" ht="12" customHeight="1">
      <c r="AX36" s="53"/>
      <c r="AY36" s="15"/>
    </row>
    <row r="37" spans="1:51" s="206" customFormat="1" ht="12" customHeight="1">
      <c r="AX37" s="53"/>
      <c r="AY37" s="15"/>
    </row>
    <row r="38" spans="1:51" s="206" customFormat="1" ht="12" customHeight="1">
      <c r="AX38" s="53"/>
      <c r="AY38" s="15"/>
    </row>
    <row r="39" spans="1:51" s="206" customFormat="1" ht="12" customHeight="1">
      <c r="AX39" s="53"/>
      <c r="AY39" s="15"/>
    </row>
    <row r="40" spans="1:51" s="206" customFormat="1" ht="12" customHeight="1">
      <c r="AX40" s="53"/>
      <c r="AY40" s="15"/>
    </row>
    <row r="41" spans="1:51" s="206" customFormat="1" ht="12" customHeight="1">
      <c r="AX41" s="53"/>
      <c r="AY41" s="15"/>
    </row>
    <row r="42" spans="1:51" s="206" customFormat="1" ht="12" customHeight="1">
      <c r="AX42" s="53"/>
      <c r="AY42" s="15"/>
    </row>
    <row r="43" spans="1:51" s="206" customFormat="1" ht="12" customHeight="1">
      <c r="AX43" s="53"/>
      <c r="AY43" s="15"/>
    </row>
    <row r="44" spans="1:51" s="206" customFormat="1" ht="12" customHeight="1">
      <c r="F44" s="1"/>
      <c r="AX44" s="53"/>
      <c r="AY44" s="15"/>
    </row>
    <row r="45" spans="1:51">
      <c r="A45" s="52"/>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53"/>
      <c r="AY45" s="15"/>
    </row>
    <row r="46" spans="1:51">
      <c r="A46" s="52"/>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53"/>
      <c r="AY46" s="15"/>
    </row>
    <row r="47" spans="1:51">
      <c r="A47" s="52"/>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53"/>
      <c r="AY47" s="15"/>
    </row>
    <row r="48" spans="1:51">
      <c r="A48" s="52"/>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53"/>
      <c r="AY48" s="15"/>
    </row>
    <row r="49" spans="1:51" ht="12.75" thickBot="1">
      <c r="A49" s="54"/>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6"/>
      <c r="AY49" s="15"/>
    </row>
  </sheetData>
  <mergeCells count="25">
    <mergeCell ref="AM1:AP1"/>
    <mergeCell ref="AQ1:AT1"/>
    <mergeCell ref="A1:G3"/>
    <mergeCell ref="H1:K1"/>
    <mergeCell ref="L1:R1"/>
    <mergeCell ref="S1:V1"/>
    <mergeCell ref="W1:AC1"/>
    <mergeCell ref="S3:V3"/>
    <mergeCell ref="W3:AL3"/>
    <mergeCell ref="AU1:AX1"/>
    <mergeCell ref="H2:K2"/>
    <mergeCell ref="L2:R2"/>
    <mergeCell ref="S2:V2"/>
    <mergeCell ref="W2:AC2"/>
    <mergeCell ref="AD2:AG2"/>
    <mergeCell ref="AH2:AL2"/>
    <mergeCell ref="AD1:AG1"/>
    <mergeCell ref="AM2:AP2"/>
    <mergeCell ref="AQ2:AT2"/>
    <mergeCell ref="AU2:AX3"/>
    <mergeCell ref="H3:K3"/>
    <mergeCell ref="L3:R3"/>
    <mergeCell ref="AM3:AP3"/>
    <mergeCell ref="AQ3:AT3"/>
    <mergeCell ref="AH1:AL1"/>
  </mergeCells>
  <phoneticPr fontId="2"/>
  <pageMargins left="0.39370078740157483" right="0.39370078740157483" top="0.51181102362204722" bottom="0.51181102362204722" header="0.31496062992125984" footer="0.31496062992125984"/>
  <pageSetup paperSize="9" fitToHeight="0" orientation="landscape" r:id="rId1"/>
  <headerFooter alignWithMargins="0">
    <oddFooter>&amp;L&amp;A&amp;C&amp;P/&amp;N&amp;R©Toyo Business Engineering Corp.(B-EN-G) / 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FFCCFF"/>
    <pageSetUpPr fitToPage="1"/>
  </sheetPr>
  <dimension ref="A1:AX212"/>
  <sheetViews>
    <sheetView showGridLines="0" zoomScaleNormal="100" zoomScaleSheetLayoutView="90" workbookViewId="0">
      <selection activeCell="AH24" sqref="AH24"/>
    </sheetView>
  </sheetViews>
  <sheetFormatPr defaultRowHeight="11.25"/>
  <cols>
    <col min="1" max="50" width="3.33203125" style="72" customWidth="1"/>
    <col min="51" max="51" width="1.5" style="72" customWidth="1"/>
    <col min="52" max="16384" width="9.33203125" style="72"/>
  </cols>
  <sheetData>
    <row r="1" spans="1:50" ht="14.25">
      <c r="A1" s="389" t="s">
        <v>119</v>
      </c>
      <c r="B1" s="390"/>
      <c r="C1" s="390"/>
      <c r="D1" s="390"/>
      <c r="E1" s="390"/>
      <c r="F1" s="390"/>
      <c r="G1" s="391"/>
      <c r="H1" s="441" t="s">
        <v>2</v>
      </c>
      <c r="I1" s="378"/>
      <c r="J1" s="378"/>
      <c r="K1" s="379"/>
      <c r="L1" s="442" t="str">
        <f>IF(顧客名="","",顧客名)</f>
        <v>株式会社XXXX殿</v>
      </c>
      <c r="M1" s="381"/>
      <c r="N1" s="381"/>
      <c r="O1" s="381"/>
      <c r="P1" s="381"/>
      <c r="Q1" s="381"/>
      <c r="R1" s="382"/>
      <c r="S1" s="443" t="s">
        <v>7</v>
      </c>
      <c r="T1" s="378"/>
      <c r="U1" s="378"/>
      <c r="V1" s="379"/>
      <c r="W1" s="442" t="str">
        <f>IF(システム="","",システム)</f>
        <v>mcframe7</v>
      </c>
      <c r="X1" s="381"/>
      <c r="Y1" s="381"/>
      <c r="Z1" s="381"/>
      <c r="AA1" s="381"/>
      <c r="AB1" s="381"/>
      <c r="AC1" s="382"/>
      <c r="AD1" s="413" t="s">
        <v>8</v>
      </c>
      <c r="AE1" s="414"/>
      <c r="AF1" s="414"/>
      <c r="AG1" s="415"/>
      <c r="AH1" s="410" t="str">
        <f>IF(作成者="","",作成者)</f>
        <v>XX</v>
      </c>
      <c r="AI1" s="411"/>
      <c r="AJ1" s="411"/>
      <c r="AK1" s="411"/>
      <c r="AL1" s="412"/>
      <c r="AM1" s="413" t="s">
        <v>9</v>
      </c>
      <c r="AN1" s="414"/>
      <c r="AO1" s="414"/>
      <c r="AP1" s="415"/>
      <c r="AQ1" s="428">
        <f>IF(作成日="","",作成日)</f>
        <v>42871</v>
      </c>
      <c r="AR1" s="429"/>
      <c r="AS1" s="429"/>
      <c r="AT1" s="430"/>
      <c r="AU1" s="413" t="s">
        <v>0</v>
      </c>
      <c r="AV1" s="414"/>
      <c r="AW1" s="414"/>
      <c r="AX1" s="431"/>
    </row>
    <row r="2" spans="1:50" ht="14.25">
      <c r="A2" s="392"/>
      <c r="B2" s="393"/>
      <c r="C2" s="393"/>
      <c r="D2" s="393"/>
      <c r="E2" s="393"/>
      <c r="F2" s="393"/>
      <c r="G2" s="394"/>
      <c r="H2" s="432" t="s">
        <v>120</v>
      </c>
      <c r="I2" s="344"/>
      <c r="J2" s="344"/>
      <c r="K2" s="345"/>
      <c r="L2" s="433" t="str">
        <f>IF(プロジェクト名="","",プロジェクト名)</f>
        <v>新基幹システム構築プロジェクト</v>
      </c>
      <c r="M2" s="347"/>
      <c r="N2" s="347"/>
      <c r="O2" s="347"/>
      <c r="P2" s="347"/>
      <c r="Q2" s="347"/>
      <c r="R2" s="348"/>
      <c r="S2" s="434" t="s">
        <v>121</v>
      </c>
      <c r="T2" s="344"/>
      <c r="U2" s="344"/>
      <c r="V2" s="345"/>
      <c r="W2" s="433" t="str">
        <f>IF(サブシステム="","",サブシステム)</f>
        <v>SCM</v>
      </c>
      <c r="X2" s="347"/>
      <c r="Y2" s="347"/>
      <c r="Z2" s="347"/>
      <c r="AA2" s="347"/>
      <c r="AB2" s="347"/>
      <c r="AC2" s="348"/>
      <c r="AD2" s="435" t="s">
        <v>11</v>
      </c>
      <c r="AE2" s="436"/>
      <c r="AF2" s="436"/>
      <c r="AG2" s="437"/>
      <c r="AH2" s="438" t="str">
        <f>IF(修正者="","",修正者)</f>
        <v>XX</v>
      </c>
      <c r="AI2" s="439"/>
      <c r="AJ2" s="439"/>
      <c r="AK2" s="439"/>
      <c r="AL2" s="440"/>
      <c r="AM2" s="407" t="s">
        <v>12</v>
      </c>
      <c r="AN2" s="408"/>
      <c r="AO2" s="408"/>
      <c r="AP2" s="409"/>
      <c r="AQ2" s="444">
        <f>IF(修正日="","",修正日)</f>
        <v>43006</v>
      </c>
      <c r="AR2" s="445"/>
      <c r="AS2" s="445"/>
      <c r="AT2" s="445"/>
      <c r="AU2" s="446" t="str">
        <f>IF(文書番号="","",文書番号)</f>
        <v>XX-XX-9999</v>
      </c>
      <c r="AV2" s="447"/>
      <c r="AW2" s="447"/>
      <c r="AX2" s="448"/>
    </row>
    <row r="3" spans="1:50" ht="15" thickBot="1">
      <c r="A3" s="395"/>
      <c r="B3" s="396"/>
      <c r="C3" s="396"/>
      <c r="D3" s="396"/>
      <c r="E3" s="396"/>
      <c r="F3" s="396"/>
      <c r="G3" s="397"/>
      <c r="H3" s="418" t="s">
        <v>14</v>
      </c>
      <c r="I3" s="418"/>
      <c r="J3" s="418"/>
      <c r="K3" s="419"/>
      <c r="L3" s="416" t="str">
        <f>IF(機能ID="","",機能ID)</f>
        <v>MSBFLA020</v>
      </c>
      <c r="M3" s="370"/>
      <c r="N3" s="370"/>
      <c r="O3" s="370"/>
      <c r="P3" s="370"/>
      <c r="Q3" s="370"/>
      <c r="R3" s="370"/>
      <c r="S3" s="417" t="s">
        <v>15</v>
      </c>
      <c r="T3" s="418"/>
      <c r="U3" s="418"/>
      <c r="V3" s="419"/>
      <c r="W3" s="416" t="str">
        <f>IF(機能名="","",機能名)</f>
        <v>部材現品票発行サービス</v>
      </c>
      <c r="X3" s="420"/>
      <c r="Y3" s="420"/>
      <c r="Z3" s="420"/>
      <c r="AA3" s="420"/>
      <c r="AB3" s="420"/>
      <c r="AC3" s="420"/>
      <c r="AD3" s="420"/>
      <c r="AE3" s="420"/>
      <c r="AF3" s="420"/>
      <c r="AG3" s="420"/>
      <c r="AH3" s="420"/>
      <c r="AI3" s="420"/>
      <c r="AJ3" s="420"/>
      <c r="AK3" s="420"/>
      <c r="AL3" s="421"/>
      <c r="AM3" s="422" t="s">
        <v>13</v>
      </c>
      <c r="AN3" s="423"/>
      <c r="AO3" s="423"/>
      <c r="AP3" s="424"/>
      <c r="AQ3" s="425" t="str">
        <f>IF(Rev="","",Rev)</f>
        <v>r02.00</v>
      </c>
      <c r="AR3" s="426"/>
      <c r="AS3" s="426"/>
      <c r="AT3" s="427"/>
      <c r="AU3" s="449"/>
      <c r="AV3" s="450"/>
      <c r="AW3" s="450"/>
      <c r="AX3" s="451"/>
    </row>
    <row r="4" spans="1:50" ht="12" thickBot="1">
      <c r="A4" s="73"/>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5"/>
    </row>
    <row r="5" spans="1:50" s="1" customFormat="1" ht="12.75" thickBot="1">
      <c r="A5" s="76" t="s">
        <v>30</v>
      </c>
      <c r="B5" s="399" t="s">
        <v>122</v>
      </c>
      <c r="C5" s="400"/>
      <c r="D5" s="77" t="s">
        <v>33</v>
      </c>
      <c r="E5" s="77"/>
      <c r="F5" s="77"/>
      <c r="G5" s="77"/>
      <c r="H5" s="77"/>
      <c r="I5" s="77"/>
      <c r="J5" s="77"/>
      <c r="K5" s="78"/>
      <c r="L5" s="77" t="s">
        <v>34</v>
      </c>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8"/>
      <c r="AQ5" s="77" t="s">
        <v>35</v>
      </c>
      <c r="AR5" s="77"/>
      <c r="AS5" s="77"/>
      <c r="AT5" s="77"/>
      <c r="AU5" s="77"/>
      <c r="AV5" s="77"/>
      <c r="AW5" s="77"/>
      <c r="AX5" s="79"/>
    </row>
    <row r="6" spans="1:50" s="1" customFormat="1" ht="12.75" thickTop="1">
      <c r="A6" s="80">
        <v>1</v>
      </c>
      <c r="B6" s="57" t="s">
        <v>412</v>
      </c>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9"/>
    </row>
    <row r="7" spans="1:50" s="1" customFormat="1" ht="12">
      <c r="A7" s="81"/>
      <c r="B7" s="192"/>
      <c r="C7" s="193"/>
      <c r="D7" s="60"/>
      <c r="E7" s="60"/>
      <c r="F7" s="60"/>
      <c r="G7" s="60"/>
      <c r="H7" s="60"/>
      <c r="I7" s="60"/>
      <c r="J7" s="60"/>
      <c r="K7" s="60"/>
      <c r="L7" s="61"/>
      <c r="M7" s="86"/>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2"/>
      <c r="AQ7" s="60"/>
      <c r="AR7" s="60"/>
      <c r="AS7" s="60"/>
      <c r="AT7" s="60"/>
      <c r="AU7" s="60"/>
      <c r="AV7" s="60"/>
      <c r="AW7" s="60"/>
      <c r="AX7" s="63"/>
    </row>
    <row r="8" spans="1:50" s="1" customFormat="1" ht="12">
      <c r="A8" s="81"/>
      <c r="B8" s="192"/>
      <c r="C8" s="193"/>
      <c r="D8" s="60"/>
      <c r="E8" s="60"/>
      <c r="F8" s="60"/>
      <c r="G8" s="60"/>
      <c r="H8" s="60"/>
      <c r="I8" s="60"/>
      <c r="J8" s="60"/>
      <c r="K8" s="60"/>
      <c r="L8" s="61"/>
      <c r="M8" s="86"/>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2"/>
      <c r="AQ8" s="60"/>
      <c r="AR8" s="60"/>
      <c r="AS8" s="60"/>
      <c r="AT8" s="60"/>
      <c r="AU8" s="60"/>
      <c r="AV8" s="60"/>
      <c r="AW8" s="60"/>
      <c r="AX8" s="63"/>
    </row>
    <row r="9" spans="1:50" s="1" customFormat="1" ht="12">
      <c r="A9" s="81"/>
      <c r="B9" s="192"/>
      <c r="C9" s="193"/>
      <c r="D9" s="60"/>
      <c r="E9" s="60"/>
      <c r="F9" s="60"/>
      <c r="G9" s="60"/>
      <c r="H9" s="60"/>
      <c r="I9" s="60"/>
      <c r="J9" s="60"/>
      <c r="K9" s="60"/>
      <c r="L9" s="61"/>
      <c r="M9" s="86"/>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2"/>
      <c r="AQ9" s="60"/>
      <c r="AR9" s="60"/>
      <c r="AS9" s="60"/>
      <c r="AT9" s="60"/>
      <c r="AU9" s="60"/>
      <c r="AV9" s="60"/>
      <c r="AW9" s="60"/>
      <c r="AX9" s="63"/>
    </row>
    <row r="10" spans="1:50" s="1" customFormat="1" ht="12">
      <c r="A10" s="81"/>
      <c r="B10" s="192"/>
      <c r="C10" s="193"/>
      <c r="D10" s="60"/>
      <c r="E10" s="60"/>
      <c r="F10" s="60"/>
      <c r="G10" s="60"/>
      <c r="H10" s="60"/>
      <c r="I10" s="60"/>
      <c r="J10" s="60"/>
      <c r="K10" s="60"/>
      <c r="L10" s="61"/>
      <c r="M10" s="86"/>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2"/>
      <c r="AQ10" s="60"/>
      <c r="AR10" s="60"/>
      <c r="AS10" s="60"/>
      <c r="AT10" s="60"/>
      <c r="AU10" s="60"/>
      <c r="AV10" s="60"/>
      <c r="AW10" s="60"/>
      <c r="AX10" s="63"/>
    </row>
    <row r="11" spans="1:50" s="1" customFormat="1" ht="12">
      <c r="A11" s="81"/>
      <c r="B11" s="192"/>
      <c r="C11" s="193"/>
      <c r="D11" s="60"/>
      <c r="E11" s="60"/>
      <c r="F11" s="60"/>
      <c r="G11" s="60"/>
      <c r="H11" s="60"/>
      <c r="I11" s="60"/>
      <c r="J11" s="60"/>
      <c r="K11" s="60"/>
      <c r="L11" s="61"/>
      <c r="M11" s="86"/>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2"/>
      <c r="AQ11" s="60"/>
      <c r="AR11" s="60"/>
      <c r="AS11" s="60"/>
      <c r="AT11" s="60"/>
      <c r="AU11" s="60"/>
      <c r="AV11" s="60"/>
      <c r="AW11" s="60"/>
      <c r="AX11" s="63"/>
    </row>
    <row r="12" spans="1:50" s="1" customFormat="1" ht="12">
      <c r="A12" s="81"/>
      <c r="B12" s="192"/>
      <c r="C12" s="193"/>
      <c r="D12" s="60"/>
      <c r="E12" s="60"/>
      <c r="F12" s="60"/>
      <c r="G12" s="60"/>
      <c r="H12" s="60"/>
      <c r="I12" s="60"/>
      <c r="J12" s="60"/>
      <c r="K12" s="60"/>
      <c r="L12" s="61"/>
      <c r="M12" s="86"/>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2"/>
      <c r="AQ12" s="60"/>
      <c r="AR12" s="60"/>
      <c r="AS12" s="60"/>
      <c r="AT12" s="60"/>
      <c r="AU12" s="60"/>
      <c r="AV12" s="60"/>
      <c r="AW12" s="60"/>
      <c r="AX12" s="63"/>
    </row>
    <row r="13" spans="1:50" s="1" customFormat="1" ht="12">
      <c r="A13" s="81"/>
      <c r="B13" s="192"/>
      <c r="C13" s="193"/>
      <c r="D13" s="60"/>
      <c r="E13" s="60"/>
      <c r="F13" s="60"/>
      <c r="G13" s="60"/>
      <c r="H13" s="60"/>
      <c r="I13" s="60"/>
      <c r="J13" s="60"/>
      <c r="K13" s="60"/>
      <c r="L13" s="61"/>
      <c r="M13" s="86"/>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2"/>
      <c r="AQ13" s="60"/>
      <c r="AR13" s="60"/>
      <c r="AS13" s="60"/>
      <c r="AT13" s="60"/>
      <c r="AU13" s="60"/>
      <c r="AV13" s="60"/>
      <c r="AW13" s="60"/>
      <c r="AX13" s="63"/>
    </row>
    <row r="14" spans="1:50" s="1" customFormat="1" ht="12">
      <c r="A14" s="81"/>
      <c r="B14" s="192"/>
      <c r="C14" s="193"/>
      <c r="D14" s="60"/>
      <c r="E14" s="60"/>
      <c r="F14" s="60"/>
      <c r="G14" s="60"/>
      <c r="H14" s="60"/>
      <c r="I14" s="60"/>
      <c r="J14" s="60"/>
      <c r="K14" s="60"/>
      <c r="L14" s="61"/>
      <c r="M14" s="86"/>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2"/>
      <c r="AQ14" s="60"/>
      <c r="AR14" s="60"/>
      <c r="AS14" s="60"/>
      <c r="AT14" s="60"/>
      <c r="AU14" s="60"/>
      <c r="AV14" s="60"/>
      <c r="AW14" s="60"/>
      <c r="AX14" s="63"/>
    </row>
    <row r="15" spans="1:50" s="1" customFormat="1" ht="12">
      <c r="A15" s="81"/>
      <c r="B15" s="192"/>
      <c r="C15" s="193"/>
      <c r="D15" s="60"/>
      <c r="E15" s="60"/>
      <c r="F15" s="60"/>
      <c r="G15" s="60"/>
      <c r="H15" s="60"/>
      <c r="I15" s="60"/>
      <c r="J15" s="60"/>
      <c r="K15" s="60"/>
      <c r="L15" s="61"/>
      <c r="M15" s="86"/>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2"/>
      <c r="AQ15" s="60"/>
      <c r="AR15" s="60"/>
      <c r="AS15" s="60"/>
      <c r="AT15" s="60"/>
      <c r="AU15" s="60"/>
      <c r="AV15" s="60"/>
      <c r="AW15" s="60"/>
      <c r="AX15" s="63"/>
    </row>
    <row r="16" spans="1:50" s="1" customFormat="1" ht="12">
      <c r="A16" s="81"/>
      <c r="B16" s="401" t="s">
        <v>123</v>
      </c>
      <c r="C16" s="402"/>
      <c r="D16" s="82"/>
      <c r="E16" s="60"/>
      <c r="F16" s="60"/>
      <c r="G16" s="60"/>
      <c r="H16" s="60"/>
      <c r="I16" s="60"/>
      <c r="J16" s="60"/>
      <c r="K16" s="60"/>
      <c r="L16" s="61" t="s">
        <v>197</v>
      </c>
      <c r="M16" s="124" t="s">
        <v>384</v>
      </c>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2"/>
      <c r="AQ16" s="60"/>
      <c r="AR16" s="60"/>
      <c r="AS16" s="60"/>
      <c r="AT16" s="60"/>
      <c r="AU16" s="60"/>
      <c r="AV16" s="60"/>
      <c r="AW16" s="60"/>
      <c r="AX16" s="63"/>
    </row>
    <row r="17" spans="1:50" s="1" customFormat="1" ht="12">
      <c r="A17" s="81"/>
      <c r="B17" s="68"/>
      <c r="C17" s="69"/>
      <c r="D17" s="60"/>
      <c r="E17" s="60"/>
      <c r="F17" s="60"/>
      <c r="G17" s="60"/>
      <c r="H17" s="60"/>
      <c r="I17" s="60"/>
      <c r="J17" s="60"/>
      <c r="K17" s="60"/>
      <c r="L17" s="61"/>
      <c r="M17" s="124" t="s">
        <v>199</v>
      </c>
      <c r="N17" s="60" t="s">
        <v>200</v>
      </c>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2"/>
      <c r="AQ17" s="60"/>
      <c r="AR17" s="60"/>
      <c r="AS17" s="60"/>
      <c r="AT17" s="60"/>
      <c r="AU17" s="60"/>
      <c r="AV17" s="60"/>
      <c r="AW17" s="60"/>
      <c r="AX17" s="63"/>
    </row>
    <row r="18" spans="1:50" s="1" customFormat="1" ht="12">
      <c r="A18" s="81"/>
      <c r="B18" s="68"/>
      <c r="C18" s="69"/>
      <c r="D18" s="60"/>
      <c r="E18" s="60"/>
      <c r="F18" s="60"/>
      <c r="G18" s="60"/>
      <c r="H18" s="60"/>
      <c r="I18" s="60"/>
      <c r="J18" s="60"/>
      <c r="K18" s="60"/>
      <c r="L18" s="61"/>
      <c r="M18" s="86"/>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2"/>
      <c r="AQ18" s="60"/>
      <c r="AR18" s="60"/>
      <c r="AS18" s="60"/>
      <c r="AT18" s="60"/>
      <c r="AU18" s="60"/>
      <c r="AV18" s="60"/>
      <c r="AW18" s="60"/>
      <c r="AX18" s="63"/>
    </row>
    <row r="19" spans="1:50" s="1" customFormat="1" ht="12">
      <c r="A19" s="81"/>
      <c r="B19" s="68"/>
      <c r="C19" s="69"/>
      <c r="D19" s="60"/>
      <c r="E19" s="60"/>
      <c r="F19" s="60"/>
      <c r="G19" s="60"/>
      <c r="H19" s="60"/>
      <c r="I19" s="60"/>
      <c r="J19" s="60"/>
      <c r="K19" s="60"/>
      <c r="L19" s="61"/>
      <c r="M19" s="86"/>
      <c r="N19" s="60" t="s">
        <v>63</v>
      </c>
      <c r="O19" s="1" t="s">
        <v>203</v>
      </c>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2"/>
      <c r="AQ19" s="60"/>
      <c r="AR19" s="60"/>
      <c r="AS19" s="60"/>
      <c r="AT19" s="60"/>
      <c r="AU19" s="60"/>
      <c r="AV19" s="60"/>
      <c r="AW19" s="60"/>
      <c r="AX19" s="63"/>
    </row>
    <row r="20" spans="1:50" s="1" customFormat="1" ht="12">
      <c r="A20" s="81"/>
      <c r="B20" s="68"/>
      <c r="C20" s="69"/>
      <c r="D20" s="60"/>
      <c r="E20" s="60"/>
      <c r="F20" s="60"/>
      <c r="G20" s="60"/>
      <c r="H20" s="60"/>
      <c r="I20" s="60"/>
      <c r="J20" s="60"/>
      <c r="K20" s="60"/>
      <c r="L20" s="61"/>
      <c r="M20" s="86"/>
      <c r="N20" s="60"/>
      <c r="O20" s="1" t="s">
        <v>198</v>
      </c>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2"/>
      <c r="AQ20" s="60"/>
      <c r="AR20" s="60"/>
      <c r="AS20" s="60"/>
      <c r="AT20" s="60"/>
      <c r="AU20" s="60"/>
      <c r="AV20" s="60"/>
      <c r="AW20" s="60"/>
      <c r="AX20" s="63"/>
    </row>
    <row r="21" spans="1:50" s="1" customFormat="1" ht="12">
      <c r="A21" s="81"/>
      <c r="B21" s="194"/>
      <c r="C21" s="195"/>
      <c r="D21" s="60"/>
      <c r="E21" s="60"/>
      <c r="F21" s="60"/>
      <c r="G21" s="60"/>
      <c r="H21" s="60"/>
      <c r="I21" s="60"/>
      <c r="J21" s="60"/>
      <c r="K21" s="60"/>
      <c r="L21" s="61"/>
      <c r="M21" s="86"/>
      <c r="N21" s="60"/>
      <c r="O21" s="197" t="s">
        <v>337</v>
      </c>
      <c r="P21" s="198"/>
      <c r="Q21" s="198"/>
      <c r="R21" s="198"/>
      <c r="S21" s="198"/>
      <c r="T21" s="198"/>
      <c r="U21" s="198"/>
      <c r="V21" s="198"/>
      <c r="W21" s="197" t="s">
        <v>128</v>
      </c>
      <c r="X21" s="198"/>
      <c r="Y21" s="198"/>
      <c r="Z21" s="198"/>
      <c r="AA21" s="198"/>
      <c r="AB21" s="199"/>
      <c r="AC21" s="60"/>
      <c r="AD21" s="60"/>
      <c r="AE21" s="60"/>
      <c r="AF21" s="60"/>
      <c r="AG21" s="60"/>
      <c r="AH21" s="60"/>
      <c r="AI21" s="60"/>
      <c r="AJ21" s="60"/>
      <c r="AK21" s="60"/>
      <c r="AL21" s="60"/>
      <c r="AM21" s="60"/>
      <c r="AN21" s="60"/>
      <c r="AO21" s="60"/>
      <c r="AP21" s="62"/>
      <c r="AQ21" s="60"/>
      <c r="AR21" s="60"/>
      <c r="AS21" s="60"/>
      <c r="AT21" s="60"/>
      <c r="AU21" s="60"/>
      <c r="AV21" s="60"/>
      <c r="AW21" s="60"/>
      <c r="AX21" s="63"/>
    </row>
    <row r="22" spans="1:50" s="1" customFormat="1" ht="12">
      <c r="A22" s="81"/>
      <c r="B22" s="194"/>
      <c r="C22" s="195"/>
      <c r="D22" s="60"/>
      <c r="E22" s="60"/>
      <c r="F22" s="60"/>
      <c r="G22" s="60"/>
      <c r="H22" s="60"/>
      <c r="I22" s="60"/>
      <c r="J22" s="60"/>
      <c r="K22" s="60"/>
      <c r="L22" s="61"/>
      <c r="M22" s="86"/>
      <c r="N22" s="60"/>
      <c r="O22" s="200" t="s">
        <v>340</v>
      </c>
      <c r="P22" s="201"/>
      <c r="Q22" s="201"/>
      <c r="R22" s="201"/>
      <c r="S22" s="201"/>
      <c r="T22" s="201"/>
      <c r="U22" s="201"/>
      <c r="V22" s="201"/>
      <c r="W22" s="202" t="s">
        <v>341</v>
      </c>
      <c r="X22" s="201"/>
      <c r="Y22" s="201"/>
      <c r="Z22" s="201"/>
      <c r="AA22" s="201"/>
      <c r="AB22" s="203"/>
      <c r="AC22" s="60"/>
      <c r="AD22" s="60"/>
      <c r="AE22" s="60"/>
      <c r="AF22" s="60"/>
      <c r="AG22" s="60"/>
      <c r="AH22" s="60"/>
      <c r="AI22" s="60"/>
      <c r="AJ22" s="60"/>
      <c r="AK22" s="60"/>
      <c r="AL22" s="60"/>
      <c r="AM22" s="60"/>
      <c r="AN22" s="60"/>
      <c r="AO22" s="60"/>
      <c r="AP22" s="62"/>
      <c r="AQ22" s="60"/>
      <c r="AR22" s="60"/>
      <c r="AS22" s="60"/>
      <c r="AT22" s="60"/>
      <c r="AU22" s="60"/>
      <c r="AV22" s="60"/>
      <c r="AW22" s="60"/>
      <c r="AX22" s="63"/>
    </row>
    <row r="23" spans="1:50" s="1" customFormat="1" ht="12">
      <c r="A23" s="81"/>
      <c r="B23" s="194"/>
      <c r="C23" s="195"/>
      <c r="D23" s="60"/>
      <c r="E23" s="60"/>
      <c r="F23" s="60"/>
      <c r="G23" s="60"/>
      <c r="H23" s="60"/>
      <c r="I23" s="60"/>
      <c r="J23" s="60"/>
      <c r="K23" s="60"/>
      <c r="L23" s="61"/>
      <c r="M23" s="86"/>
      <c r="N23" s="60"/>
      <c r="O23" s="200" t="s">
        <v>339</v>
      </c>
      <c r="P23" s="201"/>
      <c r="Q23" s="201"/>
      <c r="R23" s="201"/>
      <c r="S23" s="201"/>
      <c r="T23" s="201"/>
      <c r="U23" s="201"/>
      <c r="V23" s="201"/>
      <c r="W23" s="202" t="s">
        <v>338</v>
      </c>
      <c r="X23" s="201"/>
      <c r="Y23" s="201"/>
      <c r="Z23" s="201"/>
      <c r="AA23" s="201"/>
      <c r="AB23" s="203"/>
      <c r="AC23" s="60"/>
      <c r="AD23" s="60"/>
      <c r="AE23" s="60"/>
      <c r="AF23" s="60"/>
      <c r="AG23" s="60"/>
      <c r="AH23" s="60"/>
      <c r="AI23" s="60"/>
      <c r="AJ23" s="60"/>
      <c r="AK23" s="60"/>
      <c r="AL23" s="60"/>
      <c r="AM23" s="60"/>
      <c r="AN23" s="60"/>
      <c r="AO23" s="60"/>
      <c r="AP23" s="62"/>
      <c r="AQ23" s="60"/>
      <c r="AR23" s="60"/>
      <c r="AS23" s="60"/>
      <c r="AT23" s="60"/>
      <c r="AU23" s="60"/>
      <c r="AV23" s="60"/>
      <c r="AW23" s="60"/>
      <c r="AX23" s="63"/>
    </row>
    <row r="24" spans="1:50" s="1" customFormat="1" ht="12">
      <c r="A24" s="81"/>
      <c r="B24" s="194"/>
      <c r="C24" s="195"/>
      <c r="D24" s="60"/>
      <c r="E24" s="60"/>
      <c r="F24" s="60"/>
      <c r="G24" s="60"/>
      <c r="H24" s="60"/>
      <c r="I24" s="60"/>
      <c r="J24" s="60"/>
      <c r="K24" s="60"/>
      <c r="L24" s="61"/>
      <c r="M24" s="86"/>
      <c r="N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2"/>
      <c r="AQ24" s="60"/>
      <c r="AR24" s="60"/>
      <c r="AS24" s="60"/>
      <c r="AT24" s="60"/>
      <c r="AU24" s="60"/>
      <c r="AV24" s="60"/>
      <c r="AW24" s="60"/>
      <c r="AX24" s="63"/>
    </row>
    <row r="25" spans="1:50" s="1" customFormat="1" ht="12">
      <c r="A25" s="81"/>
      <c r="B25" s="68"/>
      <c r="C25" s="69"/>
      <c r="D25" s="60"/>
      <c r="E25" s="60"/>
      <c r="F25" s="60"/>
      <c r="G25" s="60"/>
      <c r="H25" s="60"/>
      <c r="I25" s="60"/>
      <c r="J25" s="60"/>
      <c r="K25" s="60"/>
      <c r="L25" s="61"/>
      <c r="M25" s="86"/>
      <c r="N25" s="60"/>
      <c r="O25" s="1" t="s">
        <v>386</v>
      </c>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2"/>
      <c r="AQ25" s="60"/>
      <c r="AR25" s="60"/>
      <c r="AS25" s="60"/>
      <c r="AT25" s="60"/>
      <c r="AU25" s="60"/>
      <c r="AV25" s="60"/>
      <c r="AW25" s="60"/>
      <c r="AX25" s="63"/>
    </row>
    <row r="26" spans="1:50" s="1" customFormat="1" ht="12">
      <c r="A26" s="81"/>
      <c r="B26" s="68"/>
      <c r="C26" s="69"/>
      <c r="D26" s="60"/>
      <c r="E26" s="60"/>
      <c r="F26" s="60"/>
      <c r="G26" s="60"/>
      <c r="H26" s="60"/>
      <c r="I26" s="60"/>
      <c r="J26" s="60"/>
      <c r="K26" s="60"/>
      <c r="L26" s="61"/>
      <c r="M26" s="86"/>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2"/>
      <c r="AQ26" s="60"/>
      <c r="AR26" s="60"/>
      <c r="AS26" s="60"/>
      <c r="AT26" s="60"/>
      <c r="AU26" s="60"/>
      <c r="AV26" s="60"/>
      <c r="AW26" s="60"/>
      <c r="AX26" s="63"/>
    </row>
    <row r="27" spans="1:50" s="1" customFormat="1" ht="12">
      <c r="A27" s="81"/>
      <c r="B27" s="68"/>
      <c r="C27" s="69"/>
      <c r="D27" s="60"/>
      <c r="E27" s="60"/>
      <c r="F27" s="60"/>
      <c r="G27" s="60"/>
      <c r="H27" s="60"/>
      <c r="I27" s="60"/>
      <c r="J27" s="60"/>
      <c r="K27" s="60"/>
      <c r="L27" s="61"/>
      <c r="M27" s="86" t="s">
        <v>201</v>
      </c>
      <c r="N27" s="60" t="s">
        <v>202</v>
      </c>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2"/>
      <c r="AQ27" s="60"/>
      <c r="AR27" s="60"/>
      <c r="AS27" s="60"/>
      <c r="AT27" s="60"/>
      <c r="AU27" s="60"/>
      <c r="AV27" s="60"/>
      <c r="AW27" s="60"/>
      <c r="AX27" s="63"/>
    </row>
    <row r="28" spans="1:50" s="1" customFormat="1" ht="12">
      <c r="A28" s="81"/>
      <c r="B28" s="68"/>
      <c r="C28" s="69"/>
      <c r="D28" s="60" t="s">
        <v>206</v>
      </c>
      <c r="E28" s="60"/>
      <c r="F28" s="60"/>
      <c r="G28" s="60"/>
      <c r="H28" s="60"/>
      <c r="I28" s="60"/>
      <c r="J28" s="60"/>
      <c r="K28" s="60"/>
      <c r="L28" s="61"/>
      <c r="M28" s="86"/>
      <c r="N28" s="60" t="s">
        <v>204</v>
      </c>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2"/>
      <c r="AQ28" s="60" t="s">
        <v>205</v>
      </c>
      <c r="AR28" s="60"/>
      <c r="AS28" s="60"/>
      <c r="AT28" s="60"/>
      <c r="AU28" s="60"/>
      <c r="AV28" s="60"/>
      <c r="AW28" s="60"/>
      <c r="AX28" s="63"/>
    </row>
    <row r="29" spans="1:50" s="1" customFormat="1" ht="12">
      <c r="A29" s="81"/>
      <c r="B29" s="68"/>
      <c r="C29" s="69"/>
      <c r="D29" s="60"/>
      <c r="E29" s="60"/>
      <c r="F29" s="60"/>
      <c r="G29" s="60"/>
      <c r="H29" s="60"/>
      <c r="I29" s="60"/>
      <c r="J29" s="60"/>
      <c r="K29" s="60"/>
      <c r="L29" s="61"/>
      <c r="M29" s="86"/>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2"/>
      <c r="AQ29" s="60"/>
      <c r="AR29" s="60"/>
      <c r="AS29" s="60"/>
      <c r="AT29" s="60"/>
      <c r="AU29" s="60"/>
      <c r="AV29" s="60"/>
      <c r="AW29" s="60"/>
      <c r="AX29" s="63"/>
    </row>
    <row r="30" spans="1:50" s="1" customFormat="1" ht="12">
      <c r="A30" s="81"/>
      <c r="B30" s="68"/>
      <c r="C30" s="69"/>
      <c r="D30" s="60"/>
      <c r="E30" s="60"/>
      <c r="F30" s="60"/>
      <c r="G30" s="60"/>
      <c r="H30" s="60"/>
      <c r="I30" s="60"/>
      <c r="J30" s="60"/>
      <c r="K30" s="60"/>
      <c r="L30" s="61"/>
      <c r="M30" s="86"/>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2"/>
      <c r="AQ30" s="60"/>
      <c r="AR30" s="60"/>
      <c r="AS30" s="60"/>
      <c r="AT30" s="60"/>
      <c r="AU30" s="60"/>
      <c r="AV30" s="60"/>
      <c r="AW30" s="60"/>
      <c r="AX30" s="63"/>
    </row>
    <row r="31" spans="1:50" s="1" customFormat="1" ht="12">
      <c r="A31" s="81"/>
      <c r="B31" s="68"/>
      <c r="C31" s="69"/>
      <c r="D31" s="60"/>
      <c r="E31" s="60"/>
      <c r="F31" s="60"/>
      <c r="G31" s="60"/>
      <c r="H31" s="60"/>
      <c r="I31" s="60"/>
      <c r="J31" s="60"/>
      <c r="K31" s="60"/>
      <c r="L31" s="61"/>
      <c r="M31" s="86"/>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2"/>
      <c r="AQ31" s="60"/>
      <c r="AR31" s="60"/>
      <c r="AS31" s="60"/>
      <c r="AT31" s="60"/>
      <c r="AU31" s="60"/>
      <c r="AV31" s="60"/>
      <c r="AW31" s="60"/>
      <c r="AX31" s="63"/>
    </row>
    <row r="32" spans="1:50" s="1" customFormat="1" ht="12">
      <c r="A32" s="81"/>
      <c r="B32" s="68"/>
      <c r="C32" s="69"/>
      <c r="D32" s="60"/>
      <c r="E32" s="60"/>
      <c r="F32" s="60"/>
      <c r="G32" s="60"/>
      <c r="H32" s="60"/>
      <c r="I32" s="60"/>
      <c r="J32" s="60"/>
      <c r="K32" s="60"/>
      <c r="L32" s="141" t="s">
        <v>281</v>
      </c>
      <c r="M32" s="87" t="s">
        <v>385</v>
      </c>
      <c r="N32" s="88"/>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2"/>
      <c r="AQ32" s="60"/>
      <c r="AR32" s="60"/>
      <c r="AS32" s="60"/>
      <c r="AT32" s="60"/>
      <c r="AU32" s="60"/>
      <c r="AV32" s="60"/>
      <c r="AW32" s="60"/>
      <c r="AX32" s="63"/>
    </row>
    <row r="33" spans="1:50" s="1" customFormat="1" ht="12">
      <c r="A33" s="81"/>
      <c r="B33" s="68"/>
      <c r="C33" s="69"/>
      <c r="D33" s="60" t="s">
        <v>205</v>
      </c>
      <c r="E33" s="60"/>
      <c r="F33" s="60"/>
      <c r="G33" s="60"/>
      <c r="H33" s="60"/>
      <c r="I33" s="60"/>
      <c r="J33" s="60"/>
      <c r="K33" s="60"/>
      <c r="L33" s="61"/>
      <c r="M33" s="86" t="s">
        <v>280</v>
      </c>
      <c r="N33" s="89" t="s">
        <v>387</v>
      </c>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2"/>
      <c r="AQ33" s="60" t="s">
        <v>196</v>
      </c>
      <c r="AR33" s="60"/>
      <c r="AS33" s="60"/>
      <c r="AT33" s="60"/>
      <c r="AU33" s="60"/>
      <c r="AV33" s="60"/>
      <c r="AW33" s="60"/>
      <c r="AX33" s="63"/>
    </row>
    <row r="34" spans="1:50" s="1" customFormat="1" ht="12">
      <c r="A34" s="81"/>
      <c r="B34" s="68"/>
      <c r="C34" s="69"/>
      <c r="D34" s="60"/>
      <c r="E34" s="60"/>
      <c r="F34" s="60"/>
      <c r="G34" s="60"/>
      <c r="H34" s="60"/>
      <c r="I34" s="60"/>
      <c r="J34" s="60"/>
      <c r="K34" s="60"/>
      <c r="L34" s="61"/>
      <c r="M34" s="86"/>
      <c r="N34" s="89" t="s">
        <v>207</v>
      </c>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2"/>
      <c r="AQ34" s="60"/>
      <c r="AR34" s="60"/>
      <c r="AS34" s="60"/>
      <c r="AT34" s="60"/>
      <c r="AU34" s="60"/>
      <c r="AV34" s="60"/>
      <c r="AW34" s="60"/>
      <c r="AX34" s="63"/>
    </row>
    <row r="35" spans="1:50" s="1" customFormat="1" ht="12">
      <c r="A35" s="81"/>
      <c r="B35" s="68"/>
      <c r="C35" s="69"/>
      <c r="D35" s="60"/>
      <c r="E35" s="60"/>
      <c r="F35" s="60"/>
      <c r="G35" s="60"/>
      <c r="H35" s="60"/>
      <c r="I35" s="60"/>
      <c r="J35" s="60"/>
      <c r="K35" s="60"/>
      <c r="L35" s="9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2"/>
      <c r="AQ35" s="60"/>
      <c r="AR35" s="60"/>
      <c r="AS35" s="60"/>
      <c r="AT35" s="60"/>
      <c r="AU35" s="60"/>
      <c r="AV35" s="60"/>
      <c r="AW35" s="60"/>
      <c r="AX35" s="63"/>
    </row>
    <row r="36" spans="1:50" s="1" customFormat="1" ht="12">
      <c r="A36" s="81"/>
      <c r="B36" s="68"/>
      <c r="C36" s="69"/>
      <c r="D36" s="60"/>
      <c r="E36" s="60"/>
      <c r="F36" s="60"/>
      <c r="G36" s="60"/>
      <c r="H36" s="60"/>
      <c r="I36" s="60"/>
      <c r="J36" s="60"/>
      <c r="K36" s="60"/>
      <c r="L36" s="90"/>
      <c r="M36" s="60"/>
      <c r="N36" s="91" t="s">
        <v>124</v>
      </c>
      <c r="O36" s="91"/>
      <c r="P36" s="91"/>
      <c r="Q36" s="1" t="s">
        <v>125</v>
      </c>
      <c r="R36" s="91" t="s">
        <v>270</v>
      </c>
      <c r="T36" s="91"/>
      <c r="U36" s="60"/>
      <c r="V36" s="60"/>
      <c r="W36" s="60"/>
      <c r="X36" s="60"/>
      <c r="Y36" s="60"/>
      <c r="Z36" s="60"/>
      <c r="AA36" s="60"/>
      <c r="AB36" s="60"/>
      <c r="AC36" s="60"/>
      <c r="AD36" s="60"/>
      <c r="AE36" s="60"/>
      <c r="AF36" s="60"/>
      <c r="AG36" s="60"/>
      <c r="AH36" s="60"/>
      <c r="AI36" s="60"/>
      <c r="AJ36" s="60"/>
      <c r="AK36" s="60"/>
      <c r="AL36" s="60"/>
      <c r="AM36" s="60"/>
      <c r="AN36" s="60"/>
      <c r="AO36" s="60"/>
      <c r="AP36" s="62"/>
      <c r="AR36" s="60"/>
      <c r="AS36" s="60"/>
      <c r="AT36" s="60"/>
      <c r="AU36" s="60"/>
      <c r="AV36" s="60"/>
      <c r="AW36" s="60"/>
      <c r="AX36" s="63"/>
    </row>
    <row r="37" spans="1:50" s="1" customFormat="1" ht="12">
      <c r="A37" s="81"/>
      <c r="B37" s="68"/>
      <c r="C37" s="69"/>
      <c r="D37" s="60"/>
      <c r="E37" s="60"/>
      <c r="F37" s="60"/>
      <c r="G37" s="60"/>
      <c r="H37" s="60"/>
      <c r="I37" s="60"/>
      <c r="J37" s="60"/>
      <c r="K37" s="60"/>
      <c r="L37" s="9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2"/>
      <c r="AQ37" s="60"/>
      <c r="AR37" s="60"/>
      <c r="AS37" s="60"/>
      <c r="AT37" s="60"/>
      <c r="AU37" s="60"/>
      <c r="AV37" s="60"/>
      <c r="AW37" s="60"/>
      <c r="AX37" s="63"/>
    </row>
    <row r="38" spans="1:50" s="1" customFormat="1" ht="12">
      <c r="A38" s="81"/>
      <c r="B38" s="68"/>
      <c r="C38" s="69"/>
      <c r="D38" s="60"/>
      <c r="E38" s="60"/>
      <c r="F38" s="60"/>
      <c r="G38" s="60"/>
      <c r="H38" s="60"/>
      <c r="I38" s="60"/>
      <c r="J38" s="60"/>
      <c r="K38" s="60"/>
      <c r="L38" s="90"/>
      <c r="M38" s="60"/>
      <c r="N38" s="91" t="s">
        <v>126</v>
      </c>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2"/>
      <c r="AO38" s="91"/>
      <c r="AP38" s="62"/>
      <c r="AQ38" s="60"/>
      <c r="AR38" s="60"/>
      <c r="AS38" s="60"/>
      <c r="AT38" s="60"/>
      <c r="AU38" s="60"/>
      <c r="AV38" s="60"/>
      <c r="AW38" s="60"/>
      <c r="AX38" s="63"/>
    </row>
    <row r="39" spans="1:50" s="1" customFormat="1" ht="12">
      <c r="A39" s="81"/>
      <c r="B39" s="68"/>
      <c r="C39" s="69"/>
      <c r="D39" s="60"/>
      <c r="E39" s="60"/>
      <c r="F39" s="60"/>
      <c r="G39" s="60"/>
      <c r="H39" s="60"/>
      <c r="I39" s="60"/>
      <c r="J39" s="60"/>
      <c r="K39" s="60"/>
      <c r="L39" s="90"/>
      <c r="M39" s="60"/>
      <c r="N39" s="93" t="s">
        <v>29</v>
      </c>
      <c r="O39" s="95"/>
      <c r="P39" s="95"/>
      <c r="Q39" s="95"/>
      <c r="R39" s="95"/>
      <c r="S39" s="95"/>
      <c r="T39" s="95"/>
      <c r="U39" s="95"/>
      <c r="V39" s="95"/>
      <c r="W39" s="96" t="s">
        <v>128</v>
      </c>
      <c r="X39" s="97"/>
      <c r="Y39" s="97"/>
      <c r="Z39" s="95"/>
      <c r="AA39" s="95"/>
      <c r="AB39" s="95"/>
      <c r="AC39" s="95"/>
      <c r="AD39" s="95"/>
      <c r="AE39" s="95"/>
      <c r="AF39" s="95"/>
      <c r="AG39" s="95"/>
      <c r="AH39" s="95"/>
      <c r="AI39" s="95"/>
      <c r="AJ39" s="95"/>
      <c r="AK39" s="95"/>
      <c r="AL39" s="95"/>
      <c r="AM39" s="94"/>
      <c r="AN39" s="93" t="s">
        <v>127</v>
      </c>
      <c r="AO39" s="94"/>
      <c r="AP39" s="62"/>
      <c r="AQ39" s="60"/>
      <c r="AT39" s="60"/>
      <c r="AU39" s="60"/>
      <c r="AV39" s="60"/>
      <c r="AW39" s="60"/>
      <c r="AX39" s="63"/>
    </row>
    <row r="40" spans="1:50" s="1" customFormat="1" ht="12">
      <c r="A40" s="81"/>
      <c r="B40" s="68"/>
      <c r="C40" s="69"/>
      <c r="D40" s="60"/>
      <c r="E40" s="60"/>
      <c r="F40" s="60"/>
      <c r="G40" s="60"/>
      <c r="H40" s="60"/>
      <c r="I40" s="60"/>
      <c r="J40" s="60"/>
      <c r="K40" s="60"/>
      <c r="L40" s="90"/>
      <c r="M40" s="60"/>
      <c r="N40" s="64" t="s">
        <v>233</v>
      </c>
      <c r="O40" s="100"/>
      <c r="P40" s="100"/>
      <c r="Q40" s="100"/>
      <c r="R40" s="101"/>
      <c r="S40" s="101"/>
      <c r="T40" s="101"/>
      <c r="U40" s="101"/>
      <c r="V40" s="99"/>
      <c r="W40" s="64" t="s">
        <v>234</v>
      </c>
      <c r="X40" s="102"/>
      <c r="Y40" s="102"/>
      <c r="Z40" s="102"/>
      <c r="AA40" s="102"/>
      <c r="AB40" s="102"/>
      <c r="AC40" s="102"/>
      <c r="AD40" s="102"/>
      <c r="AE40" s="102"/>
      <c r="AF40" s="102"/>
      <c r="AG40" s="102"/>
      <c r="AH40" s="102"/>
      <c r="AI40" s="102"/>
      <c r="AJ40" s="102"/>
      <c r="AK40" s="102"/>
      <c r="AL40" s="102"/>
      <c r="AM40" s="103"/>
      <c r="AN40" s="98" t="s">
        <v>129</v>
      </c>
      <c r="AO40" s="99"/>
      <c r="AP40" s="62"/>
      <c r="AQ40" s="60"/>
      <c r="AT40" s="60"/>
      <c r="AU40" s="60"/>
      <c r="AV40" s="60"/>
      <c r="AW40" s="60"/>
      <c r="AX40" s="63"/>
    </row>
    <row r="41" spans="1:50" s="1" customFormat="1" ht="12">
      <c r="A41" s="81"/>
      <c r="B41" s="68"/>
      <c r="C41" s="69"/>
      <c r="D41" s="60"/>
      <c r="E41" s="60"/>
      <c r="F41" s="60"/>
      <c r="G41" s="60"/>
      <c r="H41" s="60"/>
      <c r="I41" s="60"/>
      <c r="J41" s="60"/>
      <c r="K41" s="60"/>
      <c r="L41" s="90"/>
      <c r="M41" s="60"/>
      <c r="N41" s="64" t="s">
        <v>130</v>
      </c>
      <c r="O41" s="100"/>
      <c r="P41" s="100"/>
      <c r="Q41" s="100"/>
      <c r="R41" s="101"/>
      <c r="S41" s="101"/>
      <c r="T41" s="101"/>
      <c r="U41" s="101"/>
      <c r="V41" s="99"/>
      <c r="W41" s="64" t="s">
        <v>176</v>
      </c>
      <c r="X41" s="102"/>
      <c r="Y41" s="102"/>
      <c r="Z41" s="102"/>
      <c r="AA41" s="102"/>
      <c r="AB41" s="102"/>
      <c r="AC41" s="102"/>
      <c r="AD41" s="102"/>
      <c r="AE41" s="102"/>
      <c r="AF41" s="102"/>
      <c r="AG41" s="102"/>
      <c r="AH41" s="102"/>
      <c r="AI41" s="102"/>
      <c r="AJ41" s="102"/>
      <c r="AK41" s="102"/>
      <c r="AL41" s="102"/>
      <c r="AM41" s="103"/>
      <c r="AN41" s="98" t="s">
        <v>129</v>
      </c>
      <c r="AO41" s="99"/>
      <c r="AP41" s="62"/>
      <c r="AQ41" s="60"/>
      <c r="AT41" s="60"/>
      <c r="AU41" s="60"/>
      <c r="AV41" s="60"/>
      <c r="AW41" s="60"/>
      <c r="AX41" s="63"/>
    </row>
    <row r="42" spans="1:50" s="1" customFormat="1" ht="12">
      <c r="A42" s="81"/>
      <c r="B42" s="68"/>
      <c r="C42" s="69"/>
      <c r="D42" s="60"/>
      <c r="E42" s="60"/>
      <c r="F42" s="60"/>
      <c r="G42" s="60"/>
      <c r="H42" s="60"/>
      <c r="I42" s="60"/>
      <c r="J42" s="60"/>
      <c r="K42" s="60"/>
      <c r="L42" s="90"/>
      <c r="M42" s="60"/>
      <c r="N42" s="64" t="s">
        <v>100</v>
      </c>
      <c r="O42" s="100"/>
      <c r="P42" s="100"/>
      <c r="Q42" s="100"/>
      <c r="R42" s="101"/>
      <c r="S42" s="101"/>
      <c r="T42" s="101"/>
      <c r="U42" s="101"/>
      <c r="V42" s="99"/>
      <c r="W42" s="64" t="s">
        <v>177</v>
      </c>
      <c r="X42" s="102"/>
      <c r="Y42" s="102"/>
      <c r="Z42" s="102"/>
      <c r="AA42" s="102"/>
      <c r="AB42" s="102"/>
      <c r="AC42" s="102"/>
      <c r="AD42" s="102"/>
      <c r="AE42" s="102"/>
      <c r="AF42" s="102"/>
      <c r="AG42" s="102"/>
      <c r="AH42" s="102"/>
      <c r="AI42" s="102"/>
      <c r="AJ42" s="102"/>
      <c r="AK42" s="102"/>
      <c r="AL42" s="102"/>
      <c r="AM42" s="103"/>
      <c r="AN42" s="98" t="s">
        <v>129</v>
      </c>
      <c r="AO42" s="99"/>
      <c r="AP42" s="62"/>
      <c r="AQ42" s="60"/>
      <c r="AT42" s="60"/>
      <c r="AU42" s="60"/>
      <c r="AV42" s="60"/>
      <c r="AW42" s="60"/>
      <c r="AX42" s="63"/>
    </row>
    <row r="43" spans="1:50" s="1" customFormat="1" ht="12">
      <c r="A43" s="81"/>
      <c r="B43" s="68"/>
      <c r="C43" s="69"/>
      <c r="D43" s="60"/>
      <c r="E43" s="60"/>
      <c r="F43" s="60"/>
      <c r="G43" s="60"/>
      <c r="H43" s="60"/>
      <c r="I43" s="60"/>
      <c r="J43" s="60"/>
      <c r="K43" s="60"/>
      <c r="L43" s="90"/>
      <c r="M43" s="60"/>
      <c r="N43" s="64" t="s">
        <v>57</v>
      </c>
      <c r="O43" s="100"/>
      <c r="P43" s="100"/>
      <c r="Q43" s="100"/>
      <c r="R43" s="101"/>
      <c r="S43" s="101"/>
      <c r="T43" s="101"/>
      <c r="U43" s="101"/>
      <c r="V43" s="99"/>
      <c r="W43" s="64" t="s">
        <v>178</v>
      </c>
      <c r="X43" s="102"/>
      <c r="Y43" s="102"/>
      <c r="Z43" s="102"/>
      <c r="AA43" s="102"/>
      <c r="AB43" s="102"/>
      <c r="AC43" s="102"/>
      <c r="AD43" s="102"/>
      <c r="AE43" s="102"/>
      <c r="AF43" s="102"/>
      <c r="AG43" s="102"/>
      <c r="AH43" s="102"/>
      <c r="AI43" s="102"/>
      <c r="AJ43" s="102"/>
      <c r="AK43" s="102"/>
      <c r="AL43" s="102"/>
      <c r="AM43" s="103"/>
      <c r="AN43" s="98" t="s">
        <v>129</v>
      </c>
      <c r="AO43" s="99"/>
      <c r="AP43" s="62"/>
      <c r="AQ43" s="60"/>
      <c r="AT43" s="60"/>
      <c r="AU43" s="60"/>
      <c r="AV43" s="60"/>
      <c r="AW43" s="60"/>
      <c r="AX43" s="63"/>
    </row>
    <row r="44" spans="1:50" s="1" customFormat="1" ht="12">
      <c r="A44" s="81"/>
      <c r="B44" s="68"/>
      <c r="C44" s="69"/>
      <c r="D44" s="60"/>
      <c r="E44" s="60"/>
      <c r="F44" s="60"/>
      <c r="G44" s="60"/>
      <c r="H44" s="60"/>
      <c r="I44" s="60"/>
      <c r="J44" s="60"/>
      <c r="K44" s="60"/>
      <c r="L44" s="90"/>
      <c r="M44" s="60"/>
      <c r="N44" s="64" t="s">
        <v>58</v>
      </c>
      <c r="O44" s="100"/>
      <c r="P44" s="100"/>
      <c r="Q44" s="100"/>
      <c r="R44" s="101"/>
      <c r="S44" s="101"/>
      <c r="T44" s="101"/>
      <c r="U44" s="101"/>
      <c r="V44" s="99"/>
      <c r="W44" s="64" t="s">
        <v>179</v>
      </c>
      <c r="X44" s="102"/>
      <c r="Y44" s="102"/>
      <c r="Z44" s="102"/>
      <c r="AA44" s="102"/>
      <c r="AB44" s="102"/>
      <c r="AC44" s="102"/>
      <c r="AD44" s="102"/>
      <c r="AE44" s="102"/>
      <c r="AF44" s="102"/>
      <c r="AG44" s="102"/>
      <c r="AH44" s="102"/>
      <c r="AI44" s="102"/>
      <c r="AJ44" s="102"/>
      <c r="AK44" s="102"/>
      <c r="AL44" s="102"/>
      <c r="AM44" s="103"/>
      <c r="AN44" s="98" t="s">
        <v>129</v>
      </c>
      <c r="AO44" s="99"/>
      <c r="AP44" s="62"/>
      <c r="AQ44" s="60"/>
      <c r="AT44" s="60"/>
      <c r="AU44" s="60"/>
      <c r="AV44" s="60"/>
      <c r="AW44" s="60"/>
      <c r="AX44" s="63"/>
    </row>
    <row r="45" spans="1:50" s="1" customFormat="1" ht="12">
      <c r="A45" s="81"/>
      <c r="B45" s="68"/>
      <c r="C45" s="69"/>
      <c r="D45" s="60"/>
      <c r="E45" s="60"/>
      <c r="F45" s="60"/>
      <c r="G45" s="60"/>
      <c r="H45" s="60"/>
      <c r="I45" s="60"/>
      <c r="J45" s="60"/>
      <c r="K45" s="60"/>
      <c r="L45" s="90"/>
      <c r="M45" s="60"/>
      <c r="N45" s="64" t="s">
        <v>75</v>
      </c>
      <c r="O45" s="100"/>
      <c r="P45" s="100"/>
      <c r="Q45" s="100"/>
      <c r="R45" s="101"/>
      <c r="S45" s="101"/>
      <c r="T45" s="101"/>
      <c r="U45" s="101"/>
      <c r="V45" s="99"/>
      <c r="W45" s="64" t="s">
        <v>180</v>
      </c>
      <c r="X45" s="102"/>
      <c r="Y45" s="102"/>
      <c r="Z45" s="102"/>
      <c r="AA45" s="102"/>
      <c r="AB45" s="102"/>
      <c r="AC45" s="102"/>
      <c r="AD45" s="102"/>
      <c r="AE45" s="102"/>
      <c r="AF45" s="102"/>
      <c r="AG45" s="102"/>
      <c r="AH45" s="102"/>
      <c r="AI45" s="102"/>
      <c r="AJ45" s="102"/>
      <c r="AK45" s="102"/>
      <c r="AL45" s="102"/>
      <c r="AM45" s="103"/>
      <c r="AN45" s="98" t="s">
        <v>129</v>
      </c>
      <c r="AO45" s="99"/>
      <c r="AP45" s="62"/>
      <c r="AQ45" s="60"/>
      <c r="AT45" s="60"/>
      <c r="AU45" s="60"/>
      <c r="AV45" s="60"/>
      <c r="AW45" s="60"/>
      <c r="AX45" s="63"/>
    </row>
    <row r="46" spans="1:50" s="1" customFormat="1" ht="12">
      <c r="A46" s="81"/>
      <c r="B46" s="68"/>
      <c r="C46" s="69"/>
      <c r="D46" s="60"/>
      <c r="E46" s="60"/>
      <c r="F46" s="60"/>
      <c r="G46" s="60"/>
      <c r="H46" s="60"/>
      <c r="I46" s="60"/>
      <c r="J46" s="60"/>
      <c r="K46" s="60"/>
      <c r="L46" s="90"/>
      <c r="M46" s="60"/>
      <c r="N46" s="64" t="s">
        <v>91</v>
      </c>
      <c r="O46" s="100"/>
      <c r="P46" s="100"/>
      <c r="Q46" s="100"/>
      <c r="R46" s="101"/>
      <c r="S46" s="101"/>
      <c r="T46" s="101"/>
      <c r="U46" s="101"/>
      <c r="V46" s="99"/>
      <c r="W46" s="64" t="s">
        <v>181</v>
      </c>
      <c r="X46" s="102"/>
      <c r="Y46" s="102"/>
      <c r="Z46" s="102"/>
      <c r="AA46" s="102"/>
      <c r="AB46" s="102"/>
      <c r="AC46" s="102"/>
      <c r="AD46" s="102"/>
      <c r="AE46" s="102"/>
      <c r="AF46" s="102"/>
      <c r="AG46" s="102"/>
      <c r="AH46" s="102"/>
      <c r="AI46" s="102"/>
      <c r="AJ46" s="102"/>
      <c r="AK46" s="102"/>
      <c r="AL46" s="102"/>
      <c r="AM46" s="103"/>
      <c r="AN46" s="98" t="s">
        <v>129</v>
      </c>
      <c r="AO46" s="99"/>
      <c r="AP46" s="62"/>
      <c r="AQ46" s="60"/>
      <c r="AT46" s="60"/>
      <c r="AU46" s="60"/>
      <c r="AV46" s="60"/>
      <c r="AW46" s="60"/>
      <c r="AX46" s="63"/>
    </row>
    <row r="47" spans="1:50" s="1" customFormat="1" ht="12">
      <c r="A47" s="81"/>
      <c r="B47" s="68"/>
      <c r="C47" s="69"/>
      <c r="D47" s="60"/>
      <c r="E47" s="60"/>
      <c r="F47" s="60"/>
      <c r="G47" s="60"/>
      <c r="H47" s="60"/>
      <c r="I47" s="60"/>
      <c r="J47" s="60"/>
      <c r="K47" s="60"/>
      <c r="L47" s="90"/>
      <c r="M47" s="60"/>
      <c r="N47" s="65" t="s">
        <v>189</v>
      </c>
      <c r="O47" s="106"/>
      <c r="P47" s="106"/>
      <c r="Q47" s="106"/>
      <c r="R47" s="32"/>
      <c r="S47" s="32"/>
      <c r="T47" s="32"/>
      <c r="U47" s="32"/>
      <c r="V47" s="105"/>
      <c r="W47" s="65" t="s">
        <v>182</v>
      </c>
      <c r="X47" s="107"/>
      <c r="Y47" s="107"/>
      <c r="Z47" s="107"/>
      <c r="AA47" s="107"/>
      <c r="AB47" s="107"/>
      <c r="AC47" s="107"/>
      <c r="AD47" s="107"/>
      <c r="AE47" s="107"/>
      <c r="AF47" s="107"/>
      <c r="AG47" s="107"/>
      <c r="AH47" s="107"/>
      <c r="AI47" s="107"/>
      <c r="AJ47" s="107"/>
      <c r="AK47" s="107"/>
      <c r="AL47" s="107"/>
      <c r="AM47" s="108"/>
      <c r="AN47" s="104" t="s">
        <v>129</v>
      </c>
      <c r="AO47" s="105"/>
      <c r="AP47" s="62"/>
      <c r="AQ47" s="60"/>
      <c r="AT47" s="60"/>
      <c r="AU47" s="60"/>
      <c r="AV47" s="60"/>
      <c r="AW47" s="60"/>
      <c r="AX47" s="63"/>
    </row>
    <row r="48" spans="1:50" s="1" customFormat="1" ht="12">
      <c r="A48" s="81"/>
      <c r="B48" s="136"/>
      <c r="C48" s="137"/>
      <c r="D48" s="60"/>
      <c r="E48" s="60"/>
      <c r="F48" s="60"/>
      <c r="G48" s="60"/>
      <c r="H48" s="60"/>
      <c r="I48" s="60"/>
      <c r="J48" s="60"/>
      <c r="K48" s="60"/>
      <c r="L48" s="90"/>
      <c r="M48" s="60"/>
      <c r="N48" s="66"/>
      <c r="O48" s="111"/>
      <c r="P48" s="111"/>
      <c r="Q48" s="111"/>
      <c r="R48" s="41"/>
      <c r="S48" s="41"/>
      <c r="T48" s="41"/>
      <c r="U48" s="41"/>
      <c r="V48" s="110"/>
      <c r="W48" s="66" t="s">
        <v>279</v>
      </c>
      <c r="X48" s="112"/>
      <c r="Y48" s="112"/>
      <c r="Z48" s="112"/>
      <c r="AA48" s="112"/>
      <c r="AB48" s="112"/>
      <c r="AC48" s="112"/>
      <c r="AD48" s="112"/>
      <c r="AE48" s="112"/>
      <c r="AF48" s="112"/>
      <c r="AG48" s="112"/>
      <c r="AH48" s="112"/>
      <c r="AI48" s="112"/>
      <c r="AJ48" s="112"/>
      <c r="AK48" s="112"/>
      <c r="AL48" s="112"/>
      <c r="AM48" s="113"/>
      <c r="AN48" s="109"/>
      <c r="AO48" s="110"/>
      <c r="AP48" s="62"/>
      <c r="AQ48" s="60"/>
      <c r="AT48" s="60"/>
      <c r="AU48" s="60"/>
      <c r="AV48" s="60"/>
      <c r="AW48" s="60"/>
      <c r="AX48" s="63"/>
    </row>
    <row r="49" spans="1:50" s="1" customFormat="1" ht="12">
      <c r="A49" s="81"/>
      <c r="B49" s="68"/>
      <c r="C49" s="69"/>
      <c r="D49" s="60"/>
      <c r="E49" s="60"/>
      <c r="F49" s="60"/>
      <c r="G49" s="60"/>
      <c r="H49" s="60"/>
      <c r="I49" s="60"/>
      <c r="J49" s="60"/>
      <c r="K49" s="60"/>
      <c r="L49" s="90"/>
      <c r="M49" s="60"/>
      <c r="N49" s="65" t="s">
        <v>190</v>
      </c>
      <c r="O49" s="106"/>
      <c r="P49" s="106"/>
      <c r="Q49" s="106"/>
      <c r="R49" s="32"/>
      <c r="S49" s="32"/>
      <c r="T49" s="32"/>
      <c r="U49" s="32"/>
      <c r="V49" s="105"/>
      <c r="W49" s="65" t="s">
        <v>183</v>
      </c>
      <c r="X49" s="107"/>
      <c r="Y49" s="107"/>
      <c r="Z49" s="107"/>
      <c r="AA49" s="107"/>
      <c r="AB49" s="107"/>
      <c r="AC49" s="107"/>
      <c r="AD49" s="107"/>
      <c r="AE49" s="107"/>
      <c r="AF49" s="107"/>
      <c r="AG49" s="107"/>
      <c r="AH49" s="107"/>
      <c r="AI49" s="107"/>
      <c r="AJ49" s="107"/>
      <c r="AK49" s="107"/>
      <c r="AL49" s="107"/>
      <c r="AM49" s="108"/>
      <c r="AN49" s="104" t="s">
        <v>129</v>
      </c>
      <c r="AO49" s="105"/>
      <c r="AP49" s="62"/>
      <c r="AQ49" s="60"/>
      <c r="AT49" s="60"/>
      <c r="AU49" s="60"/>
      <c r="AV49" s="60"/>
      <c r="AW49" s="60"/>
      <c r="AX49" s="63"/>
    </row>
    <row r="50" spans="1:50" s="1" customFormat="1" ht="12">
      <c r="A50" s="81"/>
      <c r="B50" s="136"/>
      <c r="C50" s="137"/>
      <c r="D50" s="60"/>
      <c r="E50" s="60"/>
      <c r="F50" s="60"/>
      <c r="G50" s="60"/>
      <c r="H50" s="60"/>
      <c r="I50" s="60"/>
      <c r="J50" s="60"/>
      <c r="K50" s="60"/>
      <c r="L50" s="90"/>
      <c r="M50" s="60"/>
      <c r="N50" s="66"/>
      <c r="O50" s="111"/>
      <c r="P50" s="111"/>
      <c r="Q50" s="111"/>
      <c r="R50" s="41"/>
      <c r="S50" s="41"/>
      <c r="T50" s="41"/>
      <c r="U50" s="41"/>
      <c r="V50" s="110"/>
      <c r="W50" s="66" t="s">
        <v>279</v>
      </c>
      <c r="X50" s="112"/>
      <c r="Y50" s="112"/>
      <c r="Z50" s="112"/>
      <c r="AA50" s="112"/>
      <c r="AB50" s="112"/>
      <c r="AC50" s="112"/>
      <c r="AD50" s="112"/>
      <c r="AE50" s="112"/>
      <c r="AF50" s="112"/>
      <c r="AG50" s="112"/>
      <c r="AH50" s="112"/>
      <c r="AI50" s="112"/>
      <c r="AJ50" s="112"/>
      <c r="AK50" s="112"/>
      <c r="AL50" s="112"/>
      <c r="AM50" s="113"/>
      <c r="AN50" s="109"/>
      <c r="AO50" s="110"/>
      <c r="AP50" s="62"/>
      <c r="AQ50" s="60"/>
      <c r="AT50" s="60"/>
      <c r="AU50" s="60"/>
      <c r="AV50" s="60"/>
      <c r="AW50" s="60"/>
      <c r="AX50" s="63"/>
    </row>
    <row r="51" spans="1:50" s="1" customFormat="1" ht="12">
      <c r="A51" s="81"/>
      <c r="B51" s="68"/>
      <c r="C51" s="69"/>
      <c r="D51" s="60"/>
      <c r="E51" s="60"/>
      <c r="F51" s="60"/>
      <c r="G51" s="60"/>
      <c r="H51" s="60"/>
      <c r="I51" s="60"/>
      <c r="J51" s="60"/>
      <c r="K51" s="60"/>
      <c r="L51" s="90"/>
      <c r="M51" s="60"/>
      <c r="N51" s="64" t="s">
        <v>62</v>
      </c>
      <c r="O51" s="100"/>
      <c r="P51" s="100"/>
      <c r="Q51" s="100"/>
      <c r="R51" s="101"/>
      <c r="S51" s="101"/>
      <c r="T51" s="101"/>
      <c r="U51" s="101"/>
      <c r="V51" s="99"/>
      <c r="W51" s="64" t="s">
        <v>184</v>
      </c>
      <c r="X51" s="102"/>
      <c r="Y51" s="102"/>
      <c r="Z51" s="102"/>
      <c r="AA51" s="102"/>
      <c r="AB51" s="102"/>
      <c r="AC51" s="102"/>
      <c r="AD51" s="102"/>
      <c r="AE51" s="102"/>
      <c r="AF51" s="102"/>
      <c r="AG51" s="102"/>
      <c r="AH51" s="102"/>
      <c r="AI51" s="102"/>
      <c r="AJ51" s="102"/>
      <c r="AK51" s="102"/>
      <c r="AL51" s="102"/>
      <c r="AM51" s="103"/>
      <c r="AN51" s="98" t="s">
        <v>129</v>
      </c>
      <c r="AO51" s="99"/>
      <c r="AP51" s="62"/>
      <c r="AQ51" s="60"/>
      <c r="AT51" s="60"/>
      <c r="AU51" s="60"/>
      <c r="AV51" s="60"/>
      <c r="AW51" s="60"/>
      <c r="AX51" s="63"/>
    </row>
    <row r="52" spans="1:50" s="1" customFormat="1" ht="12">
      <c r="A52" s="81"/>
      <c r="B52" s="68"/>
      <c r="C52" s="69"/>
      <c r="D52" s="60"/>
      <c r="E52" s="60"/>
      <c r="F52" s="60"/>
      <c r="G52" s="60"/>
      <c r="H52" s="60"/>
      <c r="I52" s="60"/>
      <c r="J52" s="60"/>
      <c r="K52" s="60"/>
      <c r="L52" s="90"/>
      <c r="M52" s="60"/>
      <c r="N52" s="65" t="s">
        <v>55</v>
      </c>
      <c r="O52" s="106"/>
      <c r="P52" s="106"/>
      <c r="Q52" s="106"/>
      <c r="R52" s="32"/>
      <c r="S52" s="32"/>
      <c r="T52" s="32"/>
      <c r="U52" s="32"/>
      <c r="V52" s="105"/>
      <c r="W52" s="65" t="s">
        <v>247</v>
      </c>
      <c r="X52" s="107"/>
      <c r="Y52" s="107"/>
      <c r="Z52" s="107"/>
      <c r="AA52" s="107"/>
      <c r="AB52" s="107"/>
      <c r="AC52" s="107"/>
      <c r="AD52" s="107"/>
      <c r="AE52" s="107"/>
      <c r="AF52" s="107"/>
      <c r="AG52" s="107"/>
      <c r="AH52" s="107"/>
      <c r="AI52" s="107"/>
      <c r="AJ52" s="107"/>
      <c r="AK52" s="107"/>
      <c r="AL52" s="107"/>
      <c r="AM52" s="108"/>
      <c r="AN52" s="104" t="s">
        <v>129</v>
      </c>
      <c r="AO52" s="105"/>
      <c r="AP52" s="62"/>
      <c r="AQ52" s="60"/>
      <c r="AT52" s="60"/>
      <c r="AU52" s="60"/>
      <c r="AV52" s="60"/>
      <c r="AW52" s="60"/>
      <c r="AX52" s="63"/>
    </row>
    <row r="53" spans="1:50" s="1" customFormat="1" ht="12">
      <c r="A53" s="81"/>
      <c r="B53" s="68"/>
      <c r="C53" s="69"/>
      <c r="D53" s="60"/>
      <c r="E53" s="60"/>
      <c r="F53" s="60"/>
      <c r="G53" s="60"/>
      <c r="H53" s="60"/>
      <c r="I53" s="60"/>
      <c r="J53" s="60"/>
      <c r="K53" s="60"/>
      <c r="L53" s="90"/>
      <c r="M53" s="60"/>
      <c r="N53" s="66"/>
      <c r="O53" s="111"/>
      <c r="P53" s="111"/>
      <c r="Q53" s="111"/>
      <c r="R53" s="41"/>
      <c r="S53" s="41"/>
      <c r="T53" s="41"/>
      <c r="U53" s="41"/>
      <c r="V53" s="110"/>
      <c r="W53" s="66" t="s">
        <v>246</v>
      </c>
      <c r="X53" s="112"/>
      <c r="Y53" s="112"/>
      <c r="Z53" s="112"/>
      <c r="AA53" s="112"/>
      <c r="AB53" s="112"/>
      <c r="AC53" s="112"/>
      <c r="AD53" s="112"/>
      <c r="AE53" s="112"/>
      <c r="AF53" s="112"/>
      <c r="AG53" s="112"/>
      <c r="AH53" s="112"/>
      <c r="AI53" s="112"/>
      <c r="AJ53" s="112"/>
      <c r="AK53" s="112"/>
      <c r="AL53" s="112"/>
      <c r="AM53" s="113"/>
      <c r="AN53" s="109"/>
      <c r="AO53" s="110"/>
      <c r="AP53" s="62"/>
      <c r="AQ53" s="60"/>
      <c r="AT53" s="60"/>
      <c r="AU53" s="60"/>
      <c r="AV53" s="60"/>
      <c r="AW53" s="60"/>
      <c r="AX53" s="63"/>
    </row>
    <row r="54" spans="1:50" s="1" customFormat="1" ht="12">
      <c r="A54" s="81"/>
      <c r="B54" s="68"/>
      <c r="C54" s="69"/>
      <c r="D54" s="60"/>
      <c r="E54" s="60"/>
      <c r="F54" s="60"/>
      <c r="G54" s="60"/>
      <c r="H54" s="60"/>
      <c r="I54" s="60"/>
      <c r="J54" s="60"/>
      <c r="K54" s="60"/>
      <c r="L54" s="90"/>
      <c r="M54" s="60"/>
      <c r="N54" s="64" t="s">
        <v>130</v>
      </c>
      <c r="O54" s="100"/>
      <c r="P54" s="100"/>
      <c r="Q54" s="100"/>
      <c r="R54" s="101"/>
      <c r="S54" s="101"/>
      <c r="T54" s="101"/>
      <c r="U54" s="101"/>
      <c r="V54" s="99"/>
      <c r="W54" s="64" t="s">
        <v>176</v>
      </c>
      <c r="X54" s="102"/>
      <c r="Y54" s="102"/>
      <c r="Z54" s="102"/>
      <c r="AA54" s="102"/>
      <c r="AB54" s="102"/>
      <c r="AC54" s="102"/>
      <c r="AD54" s="102"/>
      <c r="AE54" s="102"/>
      <c r="AF54" s="102"/>
      <c r="AG54" s="102"/>
      <c r="AH54" s="102"/>
      <c r="AI54" s="102"/>
      <c r="AJ54" s="102"/>
      <c r="AK54" s="102"/>
      <c r="AL54" s="102"/>
      <c r="AM54" s="103"/>
      <c r="AN54" s="98" t="s">
        <v>129</v>
      </c>
      <c r="AO54" s="99"/>
      <c r="AP54" s="62"/>
      <c r="AQ54" s="60"/>
      <c r="AT54" s="60"/>
      <c r="AU54" s="60"/>
      <c r="AV54" s="60"/>
      <c r="AW54" s="60"/>
      <c r="AX54" s="63"/>
    </row>
    <row r="55" spans="1:50" s="1" customFormat="1" ht="12">
      <c r="A55" s="81"/>
      <c r="B55" s="68"/>
      <c r="C55" s="69"/>
      <c r="D55" s="60"/>
      <c r="E55" s="60"/>
      <c r="F55" s="60"/>
      <c r="G55" s="60"/>
      <c r="H55" s="60"/>
      <c r="I55" s="60"/>
      <c r="J55" s="60"/>
      <c r="K55" s="60"/>
      <c r="L55" s="90"/>
      <c r="M55" s="60"/>
      <c r="N55" s="64" t="s">
        <v>58</v>
      </c>
      <c r="O55" s="100"/>
      <c r="P55" s="100"/>
      <c r="Q55" s="100"/>
      <c r="R55" s="101"/>
      <c r="S55" s="101"/>
      <c r="T55" s="101"/>
      <c r="U55" s="101"/>
      <c r="V55" s="99"/>
      <c r="W55" s="64" t="s">
        <v>179</v>
      </c>
      <c r="X55" s="102"/>
      <c r="Y55" s="102"/>
      <c r="Z55" s="102"/>
      <c r="AA55" s="102"/>
      <c r="AB55" s="102"/>
      <c r="AC55" s="102"/>
      <c r="AD55" s="102"/>
      <c r="AE55" s="102"/>
      <c r="AF55" s="102"/>
      <c r="AG55" s="102"/>
      <c r="AH55" s="102"/>
      <c r="AI55" s="102"/>
      <c r="AJ55" s="102"/>
      <c r="AK55" s="102"/>
      <c r="AL55" s="102"/>
      <c r="AM55" s="103"/>
      <c r="AN55" s="98" t="s">
        <v>129</v>
      </c>
      <c r="AO55" s="99"/>
      <c r="AP55" s="62"/>
      <c r="AQ55" s="60"/>
      <c r="AT55" s="60"/>
      <c r="AU55" s="60"/>
      <c r="AV55" s="60"/>
      <c r="AW55" s="60"/>
      <c r="AX55" s="63"/>
    </row>
    <row r="56" spans="1:50" s="1" customFormat="1" ht="12">
      <c r="A56" s="81"/>
      <c r="B56" s="68"/>
      <c r="C56" s="69"/>
      <c r="D56" s="60"/>
      <c r="E56" s="60"/>
      <c r="F56" s="60"/>
      <c r="G56" s="60"/>
      <c r="H56" s="60"/>
      <c r="I56" s="60"/>
      <c r="J56" s="60"/>
      <c r="K56" s="60"/>
      <c r="L56" s="90"/>
      <c r="M56" s="60"/>
      <c r="N56" s="64" t="s">
        <v>191</v>
      </c>
      <c r="O56" s="100"/>
      <c r="P56" s="100"/>
      <c r="Q56" s="100"/>
      <c r="R56" s="101"/>
      <c r="S56" s="101"/>
      <c r="T56" s="101"/>
      <c r="U56" s="101"/>
      <c r="V56" s="99"/>
      <c r="W56" s="64" t="s">
        <v>185</v>
      </c>
      <c r="X56" s="102"/>
      <c r="Y56" s="102"/>
      <c r="Z56" s="102"/>
      <c r="AA56" s="102"/>
      <c r="AB56" s="102"/>
      <c r="AC56" s="102"/>
      <c r="AD56" s="102"/>
      <c r="AE56" s="102"/>
      <c r="AF56" s="102"/>
      <c r="AG56" s="102"/>
      <c r="AH56" s="102"/>
      <c r="AI56" s="102"/>
      <c r="AJ56" s="102"/>
      <c r="AK56" s="102"/>
      <c r="AL56" s="102"/>
      <c r="AM56" s="103"/>
      <c r="AN56" s="98" t="s">
        <v>129</v>
      </c>
      <c r="AO56" s="99"/>
      <c r="AP56" s="62"/>
      <c r="AQ56" s="60"/>
      <c r="AT56" s="60"/>
      <c r="AU56" s="60"/>
      <c r="AV56" s="60"/>
      <c r="AW56" s="60"/>
      <c r="AX56" s="63"/>
    </row>
    <row r="57" spans="1:50" s="1" customFormat="1" ht="12">
      <c r="A57" s="81"/>
      <c r="B57" s="68"/>
      <c r="C57" s="69"/>
      <c r="D57" s="60"/>
      <c r="E57" s="60"/>
      <c r="F57" s="60"/>
      <c r="G57" s="60"/>
      <c r="H57" s="60"/>
      <c r="I57" s="60"/>
      <c r="J57" s="60"/>
      <c r="K57" s="60"/>
      <c r="L57" s="90"/>
      <c r="M57" s="60"/>
      <c r="N57" s="64" t="s">
        <v>192</v>
      </c>
      <c r="O57" s="100"/>
      <c r="P57" s="100"/>
      <c r="Q57" s="100"/>
      <c r="R57" s="101"/>
      <c r="S57" s="101"/>
      <c r="T57" s="101"/>
      <c r="U57" s="101"/>
      <c r="V57" s="99"/>
      <c r="W57" s="64" t="s">
        <v>186</v>
      </c>
      <c r="X57" s="102"/>
      <c r="Y57" s="102"/>
      <c r="Z57" s="102"/>
      <c r="AA57" s="102"/>
      <c r="AB57" s="102"/>
      <c r="AC57" s="102"/>
      <c r="AD57" s="102"/>
      <c r="AE57" s="102"/>
      <c r="AF57" s="102"/>
      <c r="AG57" s="102"/>
      <c r="AH57" s="102"/>
      <c r="AI57" s="102"/>
      <c r="AJ57" s="102"/>
      <c r="AK57" s="102"/>
      <c r="AL57" s="102"/>
      <c r="AM57" s="103"/>
      <c r="AN57" s="98" t="s">
        <v>129</v>
      </c>
      <c r="AO57" s="99"/>
      <c r="AP57" s="62"/>
      <c r="AQ57" s="60"/>
      <c r="AT57" s="60"/>
      <c r="AU57" s="60"/>
      <c r="AV57" s="60"/>
      <c r="AW57" s="60"/>
      <c r="AX57" s="63"/>
    </row>
    <row r="58" spans="1:50" s="1" customFormat="1" ht="12">
      <c r="A58" s="81"/>
      <c r="B58" s="68"/>
      <c r="C58" s="69"/>
      <c r="D58" s="60"/>
      <c r="E58" s="60"/>
      <c r="F58" s="60"/>
      <c r="G58" s="60"/>
      <c r="H58" s="60"/>
      <c r="I58" s="60"/>
      <c r="J58" s="60"/>
      <c r="K58" s="60"/>
      <c r="L58" s="90"/>
      <c r="M58" s="60"/>
      <c r="N58" s="64" t="s">
        <v>62</v>
      </c>
      <c r="O58" s="100"/>
      <c r="P58" s="100"/>
      <c r="Q58" s="100"/>
      <c r="R58" s="101"/>
      <c r="S58" s="101"/>
      <c r="T58" s="101"/>
      <c r="U58" s="101"/>
      <c r="V58" s="99"/>
      <c r="W58" s="64" t="s">
        <v>184</v>
      </c>
      <c r="X58" s="102"/>
      <c r="Y58" s="102"/>
      <c r="Z58" s="102"/>
      <c r="AA58" s="102"/>
      <c r="AB58" s="102"/>
      <c r="AC58" s="102"/>
      <c r="AD58" s="102"/>
      <c r="AE58" s="102"/>
      <c r="AF58" s="102"/>
      <c r="AG58" s="102"/>
      <c r="AH58" s="102"/>
      <c r="AI58" s="102"/>
      <c r="AJ58" s="102"/>
      <c r="AK58" s="102"/>
      <c r="AL58" s="102"/>
      <c r="AM58" s="103"/>
      <c r="AN58" s="98" t="s">
        <v>129</v>
      </c>
      <c r="AO58" s="99"/>
      <c r="AP58" s="62"/>
      <c r="AQ58" s="60"/>
      <c r="AT58" s="60"/>
      <c r="AU58" s="60"/>
      <c r="AV58" s="60"/>
      <c r="AW58" s="60"/>
      <c r="AX58" s="63"/>
    </row>
    <row r="59" spans="1:50" s="1" customFormat="1" ht="12">
      <c r="A59" s="81"/>
      <c r="B59" s="68"/>
      <c r="C59" s="69"/>
      <c r="D59" s="60"/>
      <c r="E59" s="60"/>
      <c r="F59" s="60"/>
      <c r="G59" s="60"/>
      <c r="H59" s="60"/>
      <c r="I59" s="60"/>
      <c r="J59" s="60"/>
      <c r="K59" s="60"/>
      <c r="L59" s="90"/>
      <c r="M59" s="60"/>
      <c r="N59" s="64" t="s">
        <v>193</v>
      </c>
      <c r="O59" s="100"/>
      <c r="P59" s="100"/>
      <c r="Q59" s="100"/>
      <c r="R59" s="101"/>
      <c r="S59" s="101"/>
      <c r="T59" s="101"/>
      <c r="U59" s="101"/>
      <c r="V59" s="99"/>
      <c r="W59" s="114" t="s">
        <v>187</v>
      </c>
      <c r="X59" s="102"/>
      <c r="Y59" s="102"/>
      <c r="Z59" s="102"/>
      <c r="AA59" s="102"/>
      <c r="AB59" s="102"/>
      <c r="AC59" s="102"/>
      <c r="AD59" s="102"/>
      <c r="AE59" s="102"/>
      <c r="AF59" s="102"/>
      <c r="AG59" s="102"/>
      <c r="AH59" s="102"/>
      <c r="AI59" s="102"/>
      <c r="AJ59" s="102"/>
      <c r="AK59" s="102"/>
      <c r="AL59" s="102"/>
      <c r="AM59" s="103"/>
      <c r="AN59" s="98" t="s">
        <v>129</v>
      </c>
      <c r="AO59" s="99"/>
      <c r="AP59" s="62"/>
      <c r="AQ59" s="60"/>
      <c r="AT59" s="60"/>
      <c r="AU59" s="60"/>
      <c r="AV59" s="60"/>
      <c r="AW59" s="60"/>
      <c r="AX59" s="63"/>
    </row>
    <row r="60" spans="1:50" s="1" customFormat="1" ht="12">
      <c r="A60" s="81"/>
      <c r="B60" s="68"/>
      <c r="C60" s="69"/>
      <c r="D60" s="60"/>
      <c r="E60" s="60"/>
      <c r="F60" s="60"/>
      <c r="G60" s="60"/>
      <c r="H60" s="60"/>
      <c r="I60" s="60"/>
      <c r="J60" s="60"/>
      <c r="K60" s="60"/>
      <c r="L60" s="90"/>
      <c r="M60" s="60"/>
      <c r="N60" s="64" t="s">
        <v>142</v>
      </c>
      <c r="O60" s="100"/>
      <c r="P60" s="100"/>
      <c r="Q60" s="100"/>
      <c r="R60" s="101"/>
      <c r="S60" s="101"/>
      <c r="T60" s="101"/>
      <c r="U60" s="101"/>
      <c r="V60" s="99"/>
      <c r="W60" s="64" t="s">
        <v>188</v>
      </c>
      <c r="X60" s="102"/>
      <c r="Y60" s="102"/>
      <c r="Z60" s="102"/>
      <c r="AA60" s="102"/>
      <c r="AB60" s="102"/>
      <c r="AC60" s="102"/>
      <c r="AD60" s="102"/>
      <c r="AE60" s="102"/>
      <c r="AF60" s="102"/>
      <c r="AG60" s="102"/>
      <c r="AH60" s="102"/>
      <c r="AI60" s="102"/>
      <c r="AJ60" s="102"/>
      <c r="AK60" s="102"/>
      <c r="AL60" s="102"/>
      <c r="AM60" s="103"/>
      <c r="AN60" s="98" t="s">
        <v>129</v>
      </c>
      <c r="AO60" s="99"/>
      <c r="AP60" s="62"/>
      <c r="AQ60" s="60"/>
      <c r="AT60" s="60"/>
      <c r="AU60" s="60"/>
      <c r="AV60" s="60"/>
      <c r="AW60" s="60"/>
      <c r="AX60" s="63"/>
    </row>
    <row r="61" spans="1:50" s="1" customFormat="1" ht="12">
      <c r="A61" s="81"/>
      <c r="B61" s="68"/>
      <c r="C61" s="69"/>
      <c r="D61" s="60"/>
      <c r="E61" s="60"/>
      <c r="F61" s="60"/>
      <c r="G61" s="60"/>
      <c r="H61" s="60"/>
      <c r="I61" s="60"/>
      <c r="J61" s="60"/>
      <c r="K61" s="60"/>
      <c r="L61" s="90"/>
      <c r="M61" s="60"/>
      <c r="N61" s="65" t="s">
        <v>60</v>
      </c>
      <c r="O61" s="100"/>
      <c r="P61" s="100"/>
      <c r="Q61" s="100"/>
      <c r="R61" s="101"/>
      <c r="S61" s="101"/>
      <c r="T61" s="101"/>
      <c r="U61" s="101"/>
      <c r="V61" s="99"/>
      <c r="W61" s="64" t="s">
        <v>174</v>
      </c>
      <c r="X61" s="102"/>
      <c r="Y61" s="102"/>
      <c r="Z61" s="102"/>
      <c r="AA61" s="102"/>
      <c r="AB61" s="102"/>
      <c r="AC61" s="102"/>
      <c r="AD61" s="102"/>
      <c r="AE61" s="102"/>
      <c r="AF61" s="102"/>
      <c r="AG61" s="102"/>
      <c r="AH61" s="102"/>
      <c r="AI61" s="102"/>
      <c r="AJ61" s="102"/>
      <c r="AK61" s="102"/>
      <c r="AL61" s="102"/>
      <c r="AM61" s="103"/>
      <c r="AN61" s="98" t="s">
        <v>129</v>
      </c>
      <c r="AO61" s="99"/>
      <c r="AP61" s="62"/>
      <c r="AQ61" s="60"/>
      <c r="AT61" s="60"/>
      <c r="AU61" s="60"/>
      <c r="AV61" s="60"/>
      <c r="AW61" s="60"/>
      <c r="AX61" s="63"/>
    </row>
    <row r="62" spans="1:50" s="1" customFormat="1" ht="12">
      <c r="A62" s="81"/>
      <c r="B62" s="68"/>
      <c r="C62" s="69"/>
      <c r="D62" s="60"/>
      <c r="E62" s="60"/>
      <c r="F62" s="60"/>
      <c r="G62" s="60"/>
      <c r="H62" s="60"/>
      <c r="I62" s="60"/>
      <c r="J62" s="60"/>
      <c r="K62" s="60"/>
      <c r="L62" s="90"/>
      <c r="M62" s="60"/>
      <c r="N62" s="65" t="s">
        <v>59</v>
      </c>
      <c r="O62" s="100"/>
      <c r="P62" s="100"/>
      <c r="Q62" s="100"/>
      <c r="R62" s="101"/>
      <c r="S62" s="101"/>
      <c r="T62" s="101"/>
      <c r="U62" s="101"/>
      <c r="V62" s="99"/>
      <c r="W62" s="64" t="s">
        <v>172</v>
      </c>
      <c r="X62" s="102"/>
      <c r="Y62" s="102"/>
      <c r="Z62" s="102"/>
      <c r="AA62" s="102"/>
      <c r="AB62" s="102"/>
      <c r="AC62" s="102"/>
      <c r="AD62" s="102"/>
      <c r="AE62" s="102"/>
      <c r="AF62" s="102"/>
      <c r="AG62" s="102"/>
      <c r="AH62" s="102"/>
      <c r="AI62" s="102"/>
      <c r="AJ62" s="102"/>
      <c r="AK62" s="102"/>
      <c r="AL62" s="102"/>
      <c r="AM62" s="103"/>
      <c r="AN62" s="98" t="s">
        <v>129</v>
      </c>
      <c r="AO62" s="99"/>
      <c r="AP62" s="62"/>
      <c r="AQ62" s="60"/>
      <c r="AT62" s="60"/>
      <c r="AU62" s="60"/>
      <c r="AV62" s="60"/>
      <c r="AW62" s="60"/>
      <c r="AX62" s="63"/>
    </row>
    <row r="63" spans="1:50" s="1" customFormat="1" ht="12">
      <c r="A63" s="81"/>
      <c r="B63" s="68"/>
      <c r="C63" s="69"/>
      <c r="D63" s="60"/>
      <c r="E63" s="60"/>
      <c r="F63" s="60"/>
      <c r="G63" s="60"/>
      <c r="H63" s="60"/>
      <c r="I63" s="60"/>
      <c r="J63" s="60"/>
      <c r="K63" s="60"/>
      <c r="L63" s="90"/>
      <c r="M63" s="60"/>
      <c r="N63" s="65" t="s">
        <v>64</v>
      </c>
      <c r="O63" s="100"/>
      <c r="P63" s="100"/>
      <c r="Q63" s="100"/>
      <c r="R63" s="101"/>
      <c r="S63" s="101"/>
      <c r="T63" s="101"/>
      <c r="U63" s="101"/>
      <c r="V63" s="99"/>
      <c r="W63" s="64" t="s">
        <v>175</v>
      </c>
      <c r="X63" s="102"/>
      <c r="Y63" s="102"/>
      <c r="Z63" s="102"/>
      <c r="AA63" s="102"/>
      <c r="AB63" s="102"/>
      <c r="AC63" s="102"/>
      <c r="AD63" s="102"/>
      <c r="AE63" s="102"/>
      <c r="AF63" s="102"/>
      <c r="AG63" s="102"/>
      <c r="AH63" s="102"/>
      <c r="AI63" s="102"/>
      <c r="AJ63" s="102"/>
      <c r="AK63" s="102"/>
      <c r="AL63" s="102"/>
      <c r="AM63" s="103"/>
      <c r="AN63" s="98" t="s">
        <v>129</v>
      </c>
      <c r="AO63" s="99"/>
      <c r="AP63" s="62"/>
      <c r="AQ63" s="60"/>
      <c r="AT63" s="60"/>
      <c r="AU63" s="60"/>
      <c r="AV63" s="60"/>
      <c r="AW63" s="60"/>
      <c r="AX63" s="63"/>
    </row>
    <row r="64" spans="1:50" s="1" customFormat="1" ht="12">
      <c r="A64" s="81"/>
      <c r="B64" s="68"/>
      <c r="C64" s="69"/>
      <c r="D64" s="60"/>
      <c r="E64" s="60"/>
      <c r="F64" s="60"/>
      <c r="G64" s="60"/>
      <c r="H64" s="60"/>
      <c r="I64" s="60"/>
      <c r="J64" s="60"/>
      <c r="K64" s="60"/>
      <c r="L64" s="9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2"/>
      <c r="AQ64" s="60"/>
      <c r="AR64" s="60"/>
      <c r="AS64" s="60"/>
      <c r="AT64" s="60"/>
      <c r="AU64" s="60"/>
      <c r="AV64" s="60"/>
      <c r="AW64" s="60"/>
      <c r="AX64" s="63"/>
    </row>
    <row r="65" spans="1:50" s="1" customFormat="1" ht="12">
      <c r="A65" s="81"/>
      <c r="B65" s="68"/>
      <c r="C65" s="69"/>
      <c r="D65" s="60"/>
      <c r="E65" s="60"/>
      <c r="F65" s="60"/>
      <c r="G65" s="60"/>
      <c r="H65" s="60"/>
      <c r="I65" s="60"/>
      <c r="J65" s="60"/>
      <c r="K65" s="60"/>
      <c r="L65" s="90"/>
      <c r="M65" s="60"/>
      <c r="N65" s="60" t="s">
        <v>131</v>
      </c>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2"/>
      <c r="AQ65" s="60"/>
      <c r="AR65" s="60"/>
      <c r="AS65" s="60"/>
      <c r="AT65" s="60"/>
      <c r="AU65" s="60"/>
      <c r="AV65" s="60"/>
      <c r="AW65" s="60"/>
      <c r="AX65" s="63"/>
    </row>
    <row r="66" spans="1:50" s="1" customFormat="1" ht="12">
      <c r="A66" s="81"/>
      <c r="B66" s="68"/>
      <c r="C66" s="69"/>
      <c r="D66" s="60"/>
      <c r="E66" s="60"/>
      <c r="F66" s="60"/>
      <c r="G66" s="60"/>
      <c r="H66" s="60"/>
      <c r="I66" s="60"/>
      <c r="J66" s="60"/>
      <c r="K66" s="60"/>
      <c r="L66" s="90"/>
      <c r="M66" s="60"/>
      <c r="N66" s="60"/>
      <c r="O66" s="60" t="s">
        <v>143</v>
      </c>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2"/>
      <c r="AQ66" s="60"/>
      <c r="AR66" s="60"/>
      <c r="AS66" s="60"/>
      <c r="AT66" s="60"/>
      <c r="AU66" s="60"/>
      <c r="AV66" s="60"/>
      <c r="AW66" s="60"/>
      <c r="AX66" s="63"/>
    </row>
    <row r="67" spans="1:50" s="1" customFormat="1" ht="12">
      <c r="A67" s="81"/>
      <c r="B67" s="68"/>
      <c r="C67" s="69"/>
      <c r="D67" s="60"/>
      <c r="E67" s="60"/>
      <c r="F67" s="60"/>
      <c r="G67" s="60"/>
      <c r="H67" s="60"/>
      <c r="I67" s="60"/>
      <c r="J67" s="60"/>
      <c r="K67" s="60"/>
      <c r="L67" s="90"/>
      <c r="M67" s="60"/>
      <c r="N67" s="60"/>
      <c r="O67" s="60" t="s">
        <v>144</v>
      </c>
      <c r="P67" s="60"/>
      <c r="Q67" s="60"/>
      <c r="R67" s="60"/>
      <c r="S67" s="60"/>
      <c r="T67" s="60"/>
      <c r="U67" s="60" t="s">
        <v>310</v>
      </c>
      <c r="V67" s="60"/>
      <c r="X67" s="60"/>
      <c r="Y67" s="60"/>
      <c r="AA67" s="60" t="s">
        <v>153</v>
      </c>
      <c r="AC67" s="60"/>
      <c r="AE67" s="60"/>
      <c r="AF67" s="60"/>
      <c r="AG67" s="60"/>
      <c r="AH67" s="60"/>
      <c r="AI67" s="60"/>
      <c r="AJ67" s="60"/>
      <c r="AK67" s="60"/>
      <c r="AL67" s="60"/>
      <c r="AM67" s="60"/>
      <c r="AN67" s="60"/>
      <c r="AO67" s="60"/>
      <c r="AP67" s="62"/>
      <c r="AQ67" s="60"/>
      <c r="AR67" s="60"/>
      <c r="AS67" s="60"/>
      <c r="AT67" s="60"/>
      <c r="AU67" s="60"/>
      <c r="AV67" s="60"/>
      <c r="AW67" s="60"/>
      <c r="AX67" s="63"/>
    </row>
    <row r="68" spans="1:50" s="1" customFormat="1" ht="12">
      <c r="A68" s="81"/>
      <c r="B68" s="68"/>
      <c r="C68" s="69"/>
      <c r="D68" s="60"/>
      <c r="E68" s="60"/>
      <c r="F68" s="60"/>
      <c r="G68" s="60"/>
      <c r="H68" s="60"/>
      <c r="I68" s="60"/>
      <c r="J68" s="60"/>
      <c r="K68" s="60"/>
      <c r="L68" s="90"/>
      <c r="M68" s="60"/>
      <c r="N68" s="60"/>
      <c r="O68" s="60" t="s">
        <v>145</v>
      </c>
      <c r="P68" s="60"/>
      <c r="Q68" s="60"/>
      <c r="R68" s="60"/>
      <c r="S68" s="60"/>
      <c r="T68" s="60"/>
      <c r="U68" s="60" t="s">
        <v>310</v>
      </c>
      <c r="V68" s="60"/>
      <c r="X68" s="60"/>
      <c r="Y68" s="60"/>
      <c r="AA68" s="60" t="s">
        <v>154</v>
      </c>
      <c r="AC68" s="60"/>
      <c r="AE68" s="60"/>
      <c r="AF68" s="60"/>
      <c r="AG68" s="60"/>
      <c r="AH68" s="60"/>
      <c r="AI68" s="60"/>
      <c r="AJ68" s="60"/>
      <c r="AK68" s="60"/>
      <c r="AL68" s="60"/>
      <c r="AM68" s="60"/>
      <c r="AN68" s="60"/>
      <c r="AO68" s="60"/>
      <c r="AP68" s="62"/>
      <c r="AQ68" s="60"/>
      <c r="AR68" s="60"/>
      <c r="AS68" s="60"/>
      <c r="AT68" s="60"/>
      <c r="AU68" s="60"/>
      <c r="AV68" s="60"/>
      <c r="AW68" s="60"/>
      <c r="AX68" s="63"/>
    </row>
    <row r="69" spans="1:50" s="1" customFormat="1" ht="12">
      <c r="A69" s="81"/>
      <c r="B69" s="68"/>
      <c r="C69" s="69"/>
      <c r="D69" s="60"/>
      <c r="E69" s="60"/>
      <c r="F69" s="60"/>
      <c r="G69" s="60"/>
      <c r="H69" s="60"/>
      <c r="I69" s="60"/>
      <c r="J69" s="60"/>
      <c r="K69" s="60"/>
      <c r="L69" s="90"/>
      <c r="M69" s="60"/>
      <c r="N69" s="60"/>
      <c r="O69" s="60" t="s">
        <v>146</v>
      </c>
      <c r="P69" s="60"/>
      <c r="Q69" s="60"/>
      <c r="R69" s="60"/>
      <c r="S69" s="60"/>
      <c r="T69" s="60"/>
      <c r="U69" s="60" t="s">
        <v>310</v>
      </c>
      <c r="V69" s="60"/>
      <c r="X69" s="60"/>
      <c r="Y69" s="60"/>
      <c r="AA69" s="60" t="s">
        <v>155</v>
      </c>
      <c r="AC69" s="60"/>
      <c r="AE69" s="60"/>
      <c r="AF69" s="60"/>
      <c r="AG69" s="60"/>
      <c r="AH69" s="60"/>
      <c r="AI69" s="60"/>
      <c r="AJ69" s="60"/>
      <c r="AK69" s="60"/>
      <c r="AL69" s="60"/>
      <c r="AM69" s="60"/>
      <c r="AN69" s="60"/>
      <c r="AO69" s="60"/>
      <c r="AP69" s="62"/>
      <c r="AQ69" s="60"/>
      <c r="AR69" s="60"/>
      <c r="AS69" s="60"/>
      <c r="AT69" s="60"/>
      <c r="AU69" s="60"/>
      <c r="AV69" s="60"/>
      <c r="AW69" s="60"/>
      <c r="AX69" s="63"/>
    </row>
    <row r="70" spans="1:50" s="1" customFormat="1" ht="12">
      <c r="A70" s="81"/>
      <c r="B70" s="68"/>
      <c r="C70" s="69"/>
      <c r="D70" s="60"/>
      <c r="E70" s="60"/>
      <c r="F70" s="60"/>
      <c r="G70" s="60"/>
      <c r="H70" s="60"/>
      <c r="I70" s="60"/>
      <c r="J70" s="60"/>
      <c r="K70" s="60"/>
      <c r="L70" s="90"/>
      <c r="M70" s="60"/>
      <c r="N70" s="60"/>
      <c r="O70" s="60" t="s">
        <v>147</v>
      </c>
      <c r="P70" s="60"/>
      <c r="Q70" s="60"/>
      <c r="R70" s="60"/>
      <c r="S70" s="60"/>
      <c r="T70" s="60"/>
      <c r="U70" s="60" t="s">
        <v>310</v>
      </c>
      <c r="V70" s="60"/>
      <c r="X70" s="60"/>
      <c r="Y70" s="60"/>
      <c r="AA70" s="60" t="s">
        <v>156</v>
      </c>
      <c r="AC70" s="60"/>
      <c r="AE70" s="60"/>
      <c r="AF70" s="60"/>
      <c r="AG70" s="60"/>
      <c r="AH70" s="60"/>
      <c r="AI70" s="60"/>
      <c r="AJ70" s="60"/>
      <c r="AK70" s="60"/>
      <c r="AL70" s="60"/>
      <c r="AM70" s="60"/>
      <c r="AN70" s="60"/>
      <c r="AO70" s="60"/>
      <c r="AP70" s="62"/>
      <c r="AQ70" s="60"/>
      <c r="AR70" s="60"/>
      <c r="AS70" s="60"/>
      <c r="AT70" s="60"/>
      <c r="AU70" s="60"/>
      <c r="AV70" s="60"/>
      <c r="AW70" s="60"/>
      <c r="AX70" s="63"/>
    </row>
    <row r="71" spans="1:50" s="1" customFormat="1" ht="12">
      <c r="A71" s="81"/>
      <c r="B71" s="68"/>
      <c r="C71" s="69"/>
      <c r="D71" s="60"/>
      <c r="E71" s="60"/>
      <c r="F71" s="60"/>
      <c r="G71" s="60"/>
      <c r="H71" s="60"/>
      <c r="I71" s="60"/>
      <c r="J71" s="60"/>
      <c r="K71" s="60"/>
      <c r="L71" s="90"/>
      <c r="M71" s="60"/>
      <c r="N71" s="60"/>
      <c r="O71" s="60" t="s">
        <v>148</v>
      </c>
      <c r="P71" s="60"/>
      <c r="Q71" s="60"/>
      <c r="R71" s="60"/>
      <c r="S71" s="60"/>
      <c r="T71" s="60"/>
      <c r="U71" s="60" t="s">
        <v>310</v>
      </c>
      <c r="V71" s="60"/>
      <c r="X71" s="60"/>
      <c r="Y71" s="60"/>
      <c r="AA71" s="60" t="s">
        <v>157</v>
      </c>
      <c r="AC71" s="60"/>
      <c r="AE71" s="60"/>
      <c r="AF71" s="60"/>
      <c r="AG71" s="60"/>
      <c r="AH71" s="60"/>
      <c r="AI71" s="60"/>
      <c r="AJ71" s="60"/>
      <c r="AK71" s="60"/>
      <c r="AL71" s="60"/>
      <c r="AM71" s="60"/>
      <c r="AN71" s="60"/>
      <c r="AO71" s="60"/>
      <c r="AP71" s="62"/>
      <c r="AQ71" s="60"/>
      <c r="AR71" s="60"/>
      <c r="AS71" s="60"/>
      <c r="AT71" s="60"/>
      <c r="AU71" s="60"/>
      <c r="AV71" s="60"/>
      <c r="AW71" s="60"/>
      <c r="AX71" s="63"/>
    </row>
    <row r="72" spans="1:50" s="1" customFormat="1" ht="12">
      <c r="A72" s="81"/>
      <c r="B72" s="68"/>
      <c r="C72" s="69"/>
      <c r="D72" s="60"/>
      <c r="E72" s="60"/>
      <c r="F72" s="60"/>
      <c r="G72" s="60"/>
      <c r="H72" s="60"/>
      <c r="I72" s="60"/>
      <c r="J72" s="60"/>
      <c r="K72" s="60"/>
      <c r="L72" s="90"/>
      <c r="M72" s="60"/>
      <c r="N72" s="60"/>
      <c r="O72" s="60"/>
      <c r="P72" s="60"/>
      <c r="Q72" s="60"/>
      <c r="R72" s="60"/>
      <c r="S72" s="60"/>
      <c r="T72" s="60"/>
      <c r="U72" s="60"/>
      <c r="V72" s="60"/>
      <c r="X72" s="60"/>
      <c r="Y72" s="60"/>
      <c r="AA72" s="60" t="s">
        <v>158</v>
      </c>
      <c r="AC72" s="60"/>
      <c r="AE72" s="60"/>
      <c r="AF72" s="60"/>
      <c r="AG72" s="60"/>
      <c r="AH72" s="60"/>
      <c r="AI72" s="60"/>
      <c r="AJ72" s="60"/>
      <c r="AK72" s="60"/>
      <c r="AL72" s="60"/>
      <c r="AM72" s="60"/>
      <c r="AN72" s="60"/>
      <c r="AO72" s="60"/>
      <c r="AP72" s="62"/>
      <c r="AQ72" s="60"/>
      <c r="AR72" s="60"/>
      <c r="AS72" s="60"/>
      <c r="AT72" s="60"/>
      <c r="AU72" s="60"/>
      <c r="AV72" s="60"/>
      <c r="AW72" s="60"/>
      <c r="AX72" s="63"/>
    </row>
    <row r="73" spans="1:50" s="1" customFormat="1" ht="12">
      <c r="A73" s="81"/>
      <c r="B73" s="68"/>
      <c r="C73" s="69"/>
      <c r="D73" s="60"/>
      <c r="E73" s="60"/>
      <c r="F73" s="60"/>
      <c r="G73" s="60"/>
      <c r="H73" s="60"/>
      <c r="I73" s="60"/>
      <c r="J73" s="60"/>
      <c r="K73" s="60"/>
      <c r="L73" s="90"/>
      <c r="M73" s="60"/>
      <c r="N73" s="60"/>
      <c r="O73" s="60"/>
      <c r="P73" s="60"/>
      <c r="Q73" s="60"/>
      <c r="R73" s="60"/>
      <c r="S73" s="60"/>
      <c r="T73" s="60"/>
      <c r="U73" s="60"/>
      <c r="V73" s="60"/>
      <c r="X73" s="60"/>
      <c r="Y73" s="60"/>
      <c r="AA73" s="60" t="s">
        <v>159</v>
      </c>
      <c r="AC73" s="60"/>
      <c r="AE73" s="60"/>
      <c r="AF73" s="60"/>
      <c r="AG73" s="60"/>
      <c r="AH73" s="60"/>
      <c r="AI73" s="60"/>
      <c r="AJ73" s="60"/>
      <c r="AK73" s="60"/>
      <c r="AL73" s="60"/>
      <c r="AM73" s="60"/>
      <c r="AN73" s="60"/>
      <c r="AO73" s="60"/>
      <c r="AP73" s="62"/>
      <c r="AQ73" s="60"/>
      <c r="AR73" s="60"/>
      <c r="AS73" s="60"/>
      <c r="AT73" s="60"/>
      <c r="AU73" s="60"/>
      <c r="AV73" s="60"/>
      <c r="AW73" s="60"/>
      <c r="AX73" s="63"/>
    </row>
    <row r="74" spans="1:50" s="1" customFormat="1" ht="12">
      <c r="A74" s="81"/>
      <c r="B74" s="68"/>
      <c r="C74" s="69"/>
      <c r="D74" s="60"/>
      <c r="E74" s="60"/>
      <c r="F74" s="60"/>
      <c r="G74" s="60"/>
      <c r="H74" s="60"/>
      <c r="I74" s="60"/>
      <c r="J74" s="60"/>
      <c r="K74" s="60"/>
      <c r="L74" s="90"/>
      <c r="M74" s="60"/>
      <c r="N74" s="60"/>
      <c r="O74" s="60"/>
      <c r="P74" s="60"/>
      <c r="Q74" s="60"/>
      <c r="R74" s="60"/>
      <c r="S74" s="60"/>
      <c r="T74" s="60"/>
      <c r="U74" s="60"/>
      <c r="V74" s="60"/>
      <c r="X74" s="60"/>
      <c r="Y74" s="60"/>
      <c r="AA74" s="60" t="s">
        <v>160</v>
      </c>
      <c r="AC74" s="60"/>
      <c r="AE74" s="60"/>
      <c r="AF74" s="60"/>
      <c r="AG74" s="60"/>
      <c r="AH74" s="60"/>
      <c r="AI74" s="60"/>
      <c r="AJ74" s="60"/>
      <c r="AK74" s="60"/>
      <c r="AL74" s="60"/>
      <c r="AM74" s="60"/>
      <c r="AN74" s="60"/>
      <c r="AO74" s="60"/>
      <c r="AP74" s="62"/>
      <c r="AQ74" s="60"/>
      <c r="AR74" s="60"/>
      <c r="AS74" s="60"/>
      <c r="AT74" s="60"/>
      <c r="AU74" s="60"/>
      <c r="AV74" s="60"/>
      <c r="AW74" s="60"/>
      <c r="AX74" s="63"/>
    </row>
    <row r="75" spans="1:50" s="1" customFormat="1" ht="12">
      <c r="A75" s="81"/>
      <c r="B75" s="68"/>
      <c r="C75" s="69"/>
      <c r="D75" s="60"/>
      <c r="E75" s="60"/>
      <c r="F75" s="60"/>
      <c r="G75" s="60"/>
      <c r="H75" s="60"/>
      <c r="I75" s="60"/>
      <c r="J75" s="60"/>
      <c r="K75" s="60"/>
      <c r="L75" s="90"/>
      <c r="M75" s="60"/>
      <c r="N75" s="60"/>
      <c r="O75" s="60" t="s">
        <v>149</v>
      </c>
      <c r="P75" s="60"/>
      <c r="Q75" s="60"/>
      <c r="R75" s="60"/>
      <c r="S75" s="60"/>
      <c r="T75" s="60"/>
      <c r="U75" s="60" t="s">
        <v>310</v>
      </c>
      <c r="V75" s="60"/>
      <c r="X75" s="60"/>
      <c r="Y75" s="60"/>
      <c r="AA75" s="60" t="s">
        <v>161</v>
      </c>
      <c r="AC75" s="60"/>
      <c r="AE75" s="60"/>
      <c r="AF75" s="60"/>
      <c r="AG75" s="60"/>
      <c r="AH75" s="60"/>
      <c r="AI75" s="60"/>
      <c r="AJ75" s="60"/>
      <c r="AK75" s="60"/>
      <c r="AL75" s="60"/>
      <c r="AM75" s="60"/>
      <c r="AN75" s="60"/>
      <c r="AO75" s="60"/>
      <c r="AP75" s="62"/>
      <c r="AQ75" s="60"/>
      <c r="AR75" s="60"/>
      <c r="AS75" s="60"/>
      <c r="AT75" s="60"/>
      <c r="AU75" s="60"/>
      <c r="AV75" s="60"/>
      <c r="AW75" s="60"/>
      <c r="AX75" s="63"/>
    </row>
    <row r="76" spans="1:50" s="1" customFormat="1" ht="12">
      <c r="A76" s="81"/>
      <c r="B76" s="68"/>
      <c r="C76" s="69"/>
      <c r="D76" s="60"/>
      <c r="E76" s="60"/>
      <c r="F76" s="60"/>
      <c r="G76" s="60"/>
      <c r="H76" s="60"/>
      <c r="I76" s="60"/>
      <c r="J76" s="60"/>
      <c r="K76" s="60"/>
      <c r="L76" s="90"/>
      <c r="M76" s="60"/>
      <c r="N76" s="60"/>
      <c r="O76" s="60"/>
      <c r="P76" s="60"/>
      <c r="Q76" s="60"/>
      <c r="R76" s="60"/>
      <c r="S76" s="60"/>
      <c r="T76" s="60"/>
      <c r="U76" s="60"/>
      <c r="V76" s="60"/>
      <c r="X76" s="60"/>
      <c r="Y76" s="60"/>
      <c r="AA76" s="60" t="s">
        <v>162</v>
      </c>
      <c r="AC76" s="60"/>
      <c r="AE76" s="60"/>
      <c r="AF76" s="60"/>
      <c r="AG76" s="60"/>
      <c r="AH76" s="60"/>
      <c r="AI76" s="60"/>
      <c r="AJ76" s="60"/>
      <c r="AK76" s="60"/>
      <c r="AL76" s="60"/>
      <c r="AM76" s="60"/>
      <c r="AN76" s="60"/>
      <c r="AO76" s="60"/>
      <c r="AP76" s="62"/>
      <c r="AQ76" s="60"/>
      <c r="AR76" s="60"/>
      <c r="AS76" s="60"/>
      <c r="AT76" s="60"/>
      <c r="AU76" s="60"/>
      <c r="AV76" s="60"/>
      <c r="AW76" s="60"/>
      <c r="AX76" s="63"/>
    </row>
    <row r="77" spans="1:50" s="1" customFormat="1" ht="12">
      <c r="A77" s="81"/>
      <c r="B77" s="68"/>
      <c r="C77" s="69"/>
      <c r="D77" s="60"/>
      <c r="E77" s="60"/>
      <c r="F77" s="60"/>
      <c r="G77" s="60"/>
      <c r="H77" s="60"/>
      <c r="I77" s="60"/>
      <c r="J77" s="60"/>
      <c r="K77" s="60"/>
      <c r="L77" s="90"/>
      <c r="M77" s="60"/>
      <c r="N77" s="60"/>
      <c r="O77" s="60"/>
      <c r="P77" s="60"/>
      <c r="Q77" s="60"/>
      <c r="R77" s="60"/>
      <c r="S77" s="60"/>
      <c r="T77" s="60"/>
      <c r="U77" s="60"/>
      <c r="V77" s="60"/>
      <c r="X77" s="60"/>
      <c r="Y77" s="60"/>
      <c r="AA77" s="60" t="s">
        <v>163</v>
      </c>
      <c r="AC77" s="60"/>
      <c r="AE77" s="60"/>
      <c r="AF77" s="60"/>
      <c r="AG77" s="60"/>
      <c r="AH77" s="60"/>
      <c r="AI77" s="60"/>
      <c r="AJ77" s="60"/>
      <c r="AK77" s="60"/>
      <c r="AL77" s="60"/>
      <c r="AM77" s="60"/>
      <c r="AN77" s="60"/>
      <c r="AO77" s="60"/>
      <c r="AP77" s="62"/>
      <c r="AQ77" s="60"/>
      <c r="AR77" s="60"/>
      <c r="AS77" s="60"/>
      <c r="AT77" s="60"/>
      <c r="AU77" s="60"/>
      <c r="AV77" s="60"/>
      <c r="AW77" s="60"/>
      <c r="AX77" s="63"/>
    </row>
    <row r="78" spans="1:50" s="1" customFormat="1" ht="12">
      <c r="A78" s="81"/>
      <c r="B78" s="68"/>
      <c r="C78" s="69"/>
      <c r="D78" s="60"/>
      <c r="E78" s="60"/>
      <c r="F78" s="60"/>
      <c r="G78" s="60"/>
      <c r="H78" s="60"/>
      <c r="I78" s="60"/>
      <c r="J78" s="60"/>
      <c r="K78" s="60"/>
      <c r="L78" s="90"/>
      <c r="M78" s="60"/>
      <c r="N78" s="60"/>
      <c r="O78" s="60"/>
      <c r="P78" s="60"/>
      <c r="Q78" s="60"/>
      <c r="R78" s="60"/>
      <c r="S78" s="60"/>
      <c r="T78" s="60"/>
      <c r="U78" s="60"/>
      <c r="V78" s="60"/>
      <c r="X78" s="60"/>
      <c r="Y78" s="60"/>
      <c r="AA78" s="60" t="s">
        <v>164</v>
      </c>
      <c r="AC78" s="60"/>
      <c r="AE78" s="60"/>
      <c r="AF78" s="60"/>
      <c r="AG78" s="60"/>
      <c r="AH78" s="60"/>
      <c r="AI78" s="60"/>
      <c r="AJ78" s="60"/>
      <c r="AK78" s="60"/>
      <c r="AL78" s="60"/>
      <c r="AM78" s="60"/>
      <c r="AN78" s="60"/>
      <c r="AO78" s="60"/>
      <c r="AP78" s="62"/>
      <c r="AQ78" s="60"/>
      <c r="AR78" s="60"/>
      <c r="AS78" s="60"/>
      <c r="AT78" s="60"/>
      <c r="AU78" s="60"/>
      <c r="AV78" s="60"/>
      <c r="AW78" s="60"/>
      <c r="AX78" s="63"/>
    </row>
    <row r="79" spans="1:50" s="1" customFormat="1" ht="12">
      <c r="A79" s="81"/>
      <c r="B79" s="68"/>
      <c r="C79" s="69"/>
      <c r="D79" s="60"/>
      <c r="E79" s="60"/>
      <c r="F79" s="60"/>
      <c r="G79" s="60"/>
      <c r="H79" s="60"/>
      <c r="I79" s="60"/>
      <c r="J79" s="60"/>
      <c r="K79" s="60"/>
      <c r="L79" s="90"/>
      <c r="M79" s="60"/>
      <c r="N79" s="60"/>
      <c r="O79" s="60"/>
      <c r="P79" s="60"/>
      <c r="Q79" s="60"/>
      <c r="R79" s="60"/>
      <c r="S79" s="60"/>
      <c r="T79" s="60"/>
      <c r="U79" s="60"/>
      <c r="V79" s="60"/>
      <c r="X79" s="60"/>
      <c r="Y79" s="60"/>
      <c r="AA79" s="60" t="s">
        <v>165</v>
      </c>
      <c r="AC79" s="60"/>
      <c r="AE79" s="60"/>
      <c r="AF79" s="60"/>
      <c r="AG79" s="60"/>
      <c r="AH79" s="60"/>
      <c r="AI79" s="60"/>
      <c r="AJ79" s="60"/>
      <c r="AK79" s="60"/>
      <c r="AL79" s="60"/>
      <c r="AM79" s="60"/>
      <c r="AN79" s="60"/>
      <c r="AO79" s="60"/>
      <c r="AP79" s="62"/>
      <c r="AQ79" s="60"/>
      <c r="AR79" s="60"/>
      <c r="AS79" s="60"/>
      <c r="AT79" s="60"/>
      <c r="AU79" s="60"/>
      <c r="AV79" s="60"/>
      <c r="AW79" s="60"/>
      <c r="AX79" s="63"/>
    </row>
    <row r="80" spans="1:50" s="1" customFormat="1" ht="12">
      <c r="A80" s="81"/>
      <c r="B80" s="68"/>
      <c r="C80" s="69"/>
      <c r="D80" s="60"/>
      <c r="E80" s="60"/>
      <c r="F80" s="60"/>
      <c r="G80" s="60"/>
      <c r="H80" s="60"/>
      <c r="I80" s="60"/>
      <c r="J80" s="60"/>
      <c r="K80" s="60"/>
      <c r="L80" s="90"/>
      <c r="M80" s="60"/>
      <c r="N80" s="60"/>
      <c r="O80" s="60" t="s">
        <v>150</v>
      </c>
      <c r="P80" s="60"/>
      <c r="Q80" s="60"/>
      <c r="R80" s="60"/>
      <c r="S80" s="60"/>
      <c r="T80" s="60"/>
      <c r="U80" s="60" t="s">
        <v>310</v>
      </c>
      <c r="V80" s="60"/>
      <c r="X80" s="60"/>
      <c r="Y80" s="60"/>
      <c r="AA80" s="60" t="s">
        <v>166</v>
      </c>
      <c r="AC80" s="60"/>
      <c r="AE80" s="60"/>
      <c r="AF80" s="60"/>
      <c r="AG80" s="60"/>
      <c r="AH80" s="60"/>
      <c r="AI80" s="60"/>
      <c r="AJ80" s="60"/>
      <c r="AK80" s="60"/>
      <c r="AL80" s="60"/>
      <c r="AM80" s="60"/>
      <c r="AN80" s="60"/>
      <c r="AO80" s="60"/>
      <c r="AP80" s="62"/>
      <c r="AQ80" s="60"/>
      <c r="AR80" s="60"/>
      <c r="AS80" s="60"/>
      <c r="AT80" s="60"/>
      <c r="AU80" s="60"/>
      <c r="AV80" s="60"/>
      <c r="AW80" s="60"/>
      <c r="AX80" s="63"/>
    </row>
    <row r="81" spans="1:50" s="1" customFormat="1" ht="12">
      <c r="A81" s="81"/>
      <c r="B81" s="68"/>
      <c r="C81" s="69"/>
      <c r="D81" s="60"/>
      <c r="E81" s="60"/>
      <c r="F81" s="60"/>
      <c r="G81" s="60"/>
      <c r="H81" s="60"/>
      <c r="I81" s="60"/>
      <c r="J81" s="60"/>
      <c r="K81" s="60"/>
      <c r="L81" s="90"/>
      <c r="M81" s="60"/>
      <c r="N81" s="60"/>
      <c r="O81" s="60" t="s">
        <v>151</v>
      </c>
      <c r="P81" s="60"/>
      <c r="Q81" s="60"/>
      <c r="R81" s="60"/>
      <c r="S81" s="60"/>
      <c r="T81" s="60"/>
      <c r="U81" s="60" t="s">
        <v>310</v>
      </c>
      <c r="V81" s="60"/>
      <c r="X81" s="60"/>
      <c r="Y81" s="60"/>
      <c r="AA81" s="60" t="s">
        <v>167</v>
      </c>
      <c r="AC81" s="60"/>
      <c r="AE81" s="60"/>
      <c r="AF81" s="60"/>
      <c r="AG81" s="60"/>
      <c r="AH81" s="60"/>
      <c r="AI81" s="60"/>
      <c r="AJ81" s="60"/>
      <c r="AK81" s="60"/>
      <c r="AL81" s="60"/>
      <c r="AM81" s="60"/>
      <c r="AN81" s="60"/>
      <c r="AO81" s="60"/>
      <c r="AP81" s="62"/>
      <c r="AQ81" s="60"/>
      <c r="AR81" s="60"/>
      <c r="AS81" s="60"/>
      <c r="AT81" s="60"/>
      <c r="AU81" s="60"/>
      <c r="AV81" s="60"/>
      <c r="AW81" s="60"/>
      <c r="AX81" s="63"/>
    </row>
    <row r="82" spans="1:50" s="1" customFormat="1" ht="12">
      <c r="A82" s="81"/>
      <c r="B82" s="68"/>
      <c r="C82" s="69"/>
      <c r="D82" s="60"/>
      <c r="E82" s="60"/>
      <c r="F82" s="60"/>
      <c r="G82" s="60"/>
      <c r="H82" s="60"/>
      <c r="I82" s="60"/>
      <c r="J82" s="60"/>
      <c r="K82" s="60"/>
      <c r="L82" s="90"/>
      <c r="M82" s="60"/>
      <c r="N82" s="60"/>
      <c r="O82" s="60" t="s">
        <v>169</v>
      </c>
      <c r="P82" s="60"/>
      <c r="Q82" s="60"/>
      <c r="R82" s="60"/>
      <c r="S82" s="60"/>
      <c r="T82" s="60"/>
      <c r="U82" s="60" t="s">
        <v>310</v>
      </c>
      <c r="V82" s="60"/>
      <c r="X82" s="60"/>
      <c r="Y82" s="60"/>
      <c r="AA82" s="60" t="s">
        <v>168</v>
      </c>
      <c r="AC82" s="60"/>
      <c r="AE82" s="60"/>
      <c r="AF82" s="60"/>
      <c r="AG82" s="60"/>
      <c r="AH82" s="60"/>
      <c r="AI82" s="60"/>
      <c r="AJ82" s="60"/>
      <c r="AK82" s="60"/>
      <c r="AL82" s="60"/>
      <c r="AM82" s="60"/>
      <c r="AN82" s="60"/>
      <c r="AO82" s="60"/>
      <c r="AP82" s="62"/>
      <c r="AQ82" s="60"/>
      <c r="AR82" s="60"/>
      <c r="AS82" s="60"/>
      <c r="AT82" s="60"/>
      <c r="AU82" s="60"/>
      <c r="AV82" s="60"/>
      <c r="AW82" s="60"/>
      <c r="AX82" s="63"/>
    </row>
    <row r="83" spans="1:50" s="1" customFormat="1" ht="12">
      <c r="A83" s="81"/>
      <c r="B83" s="68"/>
      <c r="C83" s="69"/>
      <c r="D83" s="60"/>
      <c r="E83" s="60"/>
      <c r="F83" s="60"/>
      <c r="G83" s="60"/>
      <c r="H83" s="60"/>
      <c r="I83" s="60"/>
      <c r="J83" s="60"/>
      <c r="K83" s="60"/>
      <c r="L83" s="90"/>
      <c r="M83" s="60"/>
      <c r="N83" s="60"/>
      <c r="O83" s="60" t="s">
        <v>152</v>
      </c>
      <c r="P83" s="60"/>
      <c r="Q83" s="60"/>
      <c r="R83" s="60"/>
      <c r="S83" s="60"/>
      <c r="T83" s="60"/>
      <c r="U83" s="60" t="s">
        <v>310</v>
      </c>
      <c r="V83" s="60"/>
      <c r="X83" s="60"/>
      <c r="Y83" s="60"/>
      <c r="AA83" s="60" t="s">
        <v>171</v>
      </c>
      <c r="AC83" s="60"/>
      <c r="AE83" s="60"/>
      <c r="AF83" s="60"/>
      <c r="AG83" s="60"/>
      <c r="AH83" s="60"/>
      <c r="AI83" s="60"/>
      <c r="AJ83" s="60"/>
      <c r="AK83" s="60"/>
      <c r="AL83" s="60"/>
      <c r="AM83" s="60"/>
      <c r="AN83" s="60"/>
      <c r="AO83" s="60"/>
      <c r="AP83" s="62"/>
      <c r="AQ83" s="60"/>
      <c r="AR83" s="60"/>
      <c r="AS83" s="60"/>
      <c r="AT83" s="60"/>
      <c r="AU83" s="60"/>
      <c r="AV83" s="60"/>
      <c r="AW83" s="60"/>
      <c r="AX83" s="63"/>
    </row>
    <row r="84" spans="1:50" s="1" customFormat="1" ht="12">
      <c r="A84" s="81"/>
      <c r="B84" s="68"/>
      <c r="C84" s="69"/>
      <c r="D84" s="60"/>
      <c r="E84" s="60"/>
      <c r="F84" s="60"/>
      <c r="G84" s="60"/>
      <c r="H84" s="60"/>
      <c r="I84" s="60"/>
      <c r="J84" s="60"/>
      <c r="K84" s="60"/>
      <c r="L84" s="90"/>
      <c r="M84" s="60"/>
      <c r="N84" s="60"/>
      <c r="P84" s="60"/>
      <c r="Q84" s="60"/>
      <c r="R84" s="60"/>
      <c r="S84" s="60"/>
      <c r="T84" s="60"/>
      <c r="U84" s="60"/>
      <c r="V84" s="60"/>
      <c r="X84" s="60"/>
      <c r="Y84" s="60"/>
      <c r="AA84" s="60" t="s">
        <v>295</v>
      </c>
      <c r="AC84" s="60"/>
      <c r="AE84" s="60"/>
      <c r="AF84" s="60"/>
      <c r="AG84" s="60"/>
      <c r="AH84" s="60"/>
      <c r="AI84" s="60"/>
      <c r="AJ84" s="60"/>
      <c r="AK84" s="60"/>
      <c r="AL84" s="60"/>
      <c r="AM84" s="60"/>
      <c r="AN84" s="60"/>
      <c r="AO84" s="60"/>
      <c r="AP84" s="62"/>
      <c r="AQ84" s="60"/>
      <c r="AR84" s="60"/>
      <c r="AS84" s="60"/>
      <c r="AT84" s="60"/>
      <c r="AU84" s="60"/>
      <c r="AV84" s="60"/>
      <c r="AW84" s="60"/>
      <c r="AX84" s="63"/>
    </row>
    <row r="85" spans="1:50" s="1" customFormat="1" ht="12">
      <c r="A85" s="81"/>
      <c r="B85" s="68"/>
      <c r="C85" s="69"/>
      <c r="D85" s="60"/>
      <c r="E85" s="60"/>
      <c r="F85" s="60"/>
      <c r="G85" s="60"/>
      <c r="H85" s="60"/>
      <c r="I85" s="60"/>
      <c r="J85" s="60"/>
      <c r="K85" s="60"/>
      <c r="L85" s="90"/>
      <c r="M85" s="60"/>
      <c r="N85" s="60"/>
      <c r="P85" s="60"/>
      <c r="Q85" s="60"/>
      <c r="R85" s="60"/>
      <c r="S85" s="60"/>
      <c r="T85" s="60"/>
      <c r="U85" s="60"/>
      <c r="V85" s="60"/>
      <c r="X85" s="60"/>
      <c r="Y85" s="60"/>
      <c r="AA85" s="60" t="s">
        <v>195</v>
      </c>
      <c r="AC85" s="60"/>
      <c r="AE85" s="60"/>
      <c r="AF85" s="60"/>
      <c r="AG85" s="60"/>
      <c r="AH85" s="60"/>
      <c r="AI85" s="60"/>
      <c r="AJ85" s="60"/>
      <c r="AK85" s="60"/>
      <c r="AL85" s="60"/>
      <c r="AM85" s="60"/>
      <c r="AN85" s="60"/>
      <c r="AO85" s="60"/>
      <c r="AP85" s="62"/>
      <c r="AQ85" s="60"/>
      <c r="AR85" s="60"/>
      <c r="AS85" s="60"/>
      <c r="AT85" s="60"/>
      <c r="AU85" s="60"/>
      <c r="AV85" s="60"/>
      <c r="AW85" s="60"/>
      <c r="AX85" s="63"/>
    </row>
    <row r="86" spans="1:50" s="1" customFormat="1" ht="12">
      <c r="A86" s="81"/>
      <c r="B86" s="68"/>
      <c r="C86" s="69"/>
      <c r="D86" s="60"/>
      <c r="E86" s="60"/>
      <c r="F86" s="60"/>
      <c r="G86" s="60"/>
      <c r="H86" s="60"/>
      <c r="I86" s="60"/>
      <c r="J86" s="60"/>
      <c r="K86" s="60"/>
      <c r="L86" s="90"/>
      <c r="M86" s="60"/>
      <c r="N86" s="60"/>
      <c r="O86" s="60" t="s">
        <v>170</v>
      </c>
      <c r="P86" s="60"/>
      <c r="Q86" s="60"/>
      <c r="R86" s="60"/>
      <c r="S86" s="60"/>
      <c r="T86" s="60"/>
      <c r="U86" s="60" t="s">
        <v>310</v>
      </c>
      <c r="V86" s="60"/>
      <c r="X86" s="60"/>
      <c r="Y86" s="60"/>
      <c r="AA86" s="60" t="s">
        <v>173</v>
      </c>
      <c r="AC86" s="60"/>
      <c r="AE86" s="60"/>
      <c r="AF86" s="60"/>
      <c r="AG86" s="60"/>
      <c r="AH86" s="60"/>
      <c r="AI86" s="60"/>
      <c r="AJ86" s="60"/>
      <c r="AK86" s="60"/>
      <c r="AL86" s="60"/>
      <c r="AM86" s="60"/>
      <c r="AN86" s="60"/>
      <c r="AO86" s="60"/>
      <c r="AP86" s="62"/>
      <c r="AQ86" s="60"/>
      <c r="AR86" s="60"/>
      <c r="AS86" s="60"/>
      <c r="AT86" s="60"/>
      <c r="AU86" s="60"/>
      <c r="AV86" s="60"/>
      <c r="AW86" s="60"/>
      <c r="AX86" s="63"/>
    </row>
    <row r="87" spans="1:50" s="1" customFormat="1" ht="12">
      <c r="A87" s="81"/>
      <c r="B87" s="68"/>
      <c r="C87" s="69"/>
      <c r="D87" s="60"/>
      <c r="E87" s="60"/>
      <c r="F87" s="60"/>
      <c r="G87" s="60"/>
      <c r="H87" s="60"/>
      <c r="I87" s="60"/>
      <c r="J87" s="60"/>
      <c r="K87" s="60"/>
      <c r="L87" s="90"/>
      <c r="M87" s="60"/>
      <c r="N87" s="60"/>
      <c r="P87" s="60"/>
      <c r="Q87" s="60"/>
      <c r="R87" s="60"/>
      <c r="S87" s="60"/>
      <c r="T87" s="60"/>
      <c r="U87" s="60"/>
      <c r="V87" s="60"/>
      <c r="X87" s="60"/>
      <c r="Y87" s="60"/>
      <c r="AA87" s="140" t="s">
        <v>296</v>
      </c>
      <c r="AC87" s="60"/>
      <c r="AE87" s="60"/>
      <c r="AF87" s="60"/>
      <c r="AG87" s="60"/>
      <c r="AH87" s="60"/>
      <c r="AI87" s="60"/>
      <c r="AJ87" s="60"/>
      <c r="AK87" s="60"/>
      <c r="AL87" s="60"/>
      <c r="AM87" s="60"/>
      <c r="AN87" s="60"/>
      <c r="AO87" s="60"/>
      <c r="AP87" s="62"/>
      <c r="AQ87" s="60"/>
      <c r="AR87" s="60"/>
      <c r="AS87" s="60"/>
      <c r="AT87" s="60"/>
      <c r="AU87" s="60"/>
      <c r="AV87" s="60"/>
      <c r="AW87" s="60"/>
      <c r="AX87" s="63"/>
    </row>
    <row r="88" spans="1:50" s="1" customFormat="1" ht="12">
      <c r="A88" s="81"/>
      <c r="B88" s="68"/>
      <c r="C88" s="69"/>
      <c r="D88" s="60"/>
      <c r="E88" s="60"/>
      <c r="F88" s="60"/>
      <c r="G88" s="60"/>
      <c r="H88" s="60"/>
      <c r="I88" s="60"/>
      <c r="J88" s="60"/>
      <c r="K88" s="60"/>
      <c r="L88" s="9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2"/>
      <c r="AQ88" s="60"/>
      <c r="AR88" s="60"/>
      <c r="AS88" s="60"/>
      <c r="AT88" s="60"/>
      <c r="AU88" s="60"/>
      <c r="AV88" s="60"/>
      <c r="AW88" s="60"/>
      <c r="AX88" s="63"/>
    </row>
    <row r="89" spans="1:50" s="1" customFormat="1" ht="12">
      <c r="A89" s="81"/>
      <c r="B89" s="68"/>
      <c r="C89" s="69"/>
      <c r="D89" s="60"/>
      <c r="E89" s="60"/>
      <c r="F89" s="60"/>
      <c r="G89" s="60"/>
      <c r="H89" s="60"/>
      <c r="I89" s="60"/>
      <c r="J89" s="60"/>
      <c r="K89" s="60"/>
      <c r="L89" s="90"/>
      <c r="M89" s="60"/>
      <c r="N89" s="60" t="s">
        <v>132</v>
      </c>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2"/>
      <c r="AQ89" s="60"/>
      <c r="AR89" s="60"/>
      <c r="AS89" s="60"/>
      <c r="AT89" s="60"/>
      <c r="AU89" s="60"/>
      <c r="AV89" s="60"/>
      <c r="AW89" s="60"/>
      <c r="AX89" s="63"/>
    </row>
    <row r="90" spans="1:50" s="1" customFormat="1" ht="12">
      <c r="A90" s="81"/>
      <c r="B90" s="68"/>
      <c r="C90" s="69"/>
      <c r="D90" s="60"/>
      <c r="E90" s="60"/>
      <c r="F90" s="60"/>
      <c r="G90" s="60"/>
      <c r="H90" s="60"/>
      <c r="I90" s="60"/>
      <c r="J90" s="60"/>
      <c r="K90" s="60"/>
      <c r="L90" s="90"/>
      <c r="M90" s="60"/>
      <c r="N90" s="60"/>
      <c r="O90" s="60" t="s">
        <v>194</v>
      </c>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2"/>
      <c r="AQ90" s="60"/>
      <c r="AR90" s="60"/>
      <c r="AS90" s="60"/>
      <c r="AT90" s="60"/>
      <c r="AU90" s="60"/>
      <c r="AV90" s="60"/>
      <c r="AW90" s="60"/>
      <c r="AX90" s="63"/>
    </row>
    <row r="91" spans="1:50" s="1" customFormat="1" ht="12">
      <c r="A91" s="81"/>
      <c r="B91" s="68"/>
      <c r="C91" s="69"/>
      <c r="D91" s="60"/>
      <c r="E91" s="60"/>
      <c r="F91" s="60"/>
      <c r="G91" s="60"/>
      <c r="H91" s="60"/>
      <c r="I91" s="60"/>
      <c r="J91" s="60"/>
      <c r="K91" s="60"/>
      <c r="L91" s="9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2"/>
      <c r="AQ91" s="60"/>
      <c r="AR91" s="60"/>
      <c r="AS91" s="60"/>
      <c r="AT91" s="60"/>
      <c r="AU91" s="60"/>
      <c r="AV91" s="60"/>
      <c r="AW91" s="60"/>
      <c r="AX91" s="63"/>
    </row>
    <row r="92" spans="1:50" s="1" customFormat="1" ht="12.75" customHeight="1">
      <c r="A92" s="81"/>
      <c r="B92" s="68"/>
      <c r="C92" s="69"/>
      <c r="D92" s="60"/>
      <c r="E92" s="60"/>
      <c r="F92" s="60"/>
      <c r="G92" s="60"/>
      <c r="H92" s="60"/>
      <c r="I92" s="60"/>
      <c r="J92" s="60"/>
      <c r="K92" s="60"/>
      <c r="L92" s="90"/>
      <c r="M92" s="60"/>
      <c r="N92" s="82"/>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2"/>
      <c r="AQ92" s="60"/>
      <c r="AR92" s="60"/>
      <c r="AS92" s="60"/>
      <c r="AT92" s="60"/>
      <c r="AU92" s="60"/>
      <c r="AV92" s="60"/>
      <c r="AW92" s="60"/>
      <c r="AX92" s="63"/>
    </row>
    <row r="93" spans="1:50" s="1" customFormat="1" ht="12.75" customHeight="1">
      <c r="A93" s="81"/>
      <c r="B93" s="68"/>
      <c r="C93" s="69"/>
      <c r="D93" s="60"/>
      <c r="E93" s="60"/>
      <c r="F93" s="60"/>
      <c r="G93" s="60"/>
      <c r="H93" s="60"/>
      <c r="I93" s="60"/>
      <c r="J93" s="60"/>
      <c r="K93" s="60"/>
      <c r="L93" s="115" t="s">
        <v>232</v>
      </c>
      <c r="M93" s="60" t="s">
        <v>388</v>
      </c>
      <c r="N93" s="82"/>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2"/>
      <c r="AQ93" s="60" t="s">
        <v>133</v>
      </c>
      <c r="AR93" s="60"/>
      <c r="AS93" s="60"/>
      <c r="AT93" s="60"/>
      <c r="AU93" s="60"/>
      <c r="AV93" s="60"/>
      <c r="AW93" s="60"/>
      <c r="AX93" s="63"/>
    </row>
    <row r="94" spans="1:50" s="1" customFormat="1" ht="12.75" customHeight="1">
      <c r="A94" s="81"/>
      <c r="B94" s="68"/>
      <c r="C94" s="69"/>
      <c r="D94" s="60" t="s">
        <v>231</v>
      </c>
      <c r="E94" s="60"/>
      <c r="F94" s="60"/>
      <c r="G94" s="60"/>
      <c r="H94" s="60"/>
      <c r="I94" s="60"/>
      <c r="J94" s="60"/>
      <c r="K94" s="60"/>
      <c r="L94" s="115"/>
      <c r="M94" s="82" t="s">
        <v>282</v>
      </c>
      <c r="N94" s="116" t="s">
        <v>229</v>
      </c>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2"/>
      <c r="AQ94" s="60"/>
      <c r="AR94" s="60"/>
      <c r="AS94" s="60"/>
      <c r="AT94" s="60"/>
      <c r="AU94" s="60"/>
      <c r="AV94" s="60"/>
      <c r="AW94" s="60"/>
      <c r="AX94" s="63"/>
    </row>
    <row r="95" spans="1:50" s="1" customFormat="1" ht="12.75" customHeight="1">
      <c r="A95" s="81"/>
      <c r="B95" s="68"/>
      <c r="C95" s="69"/>
      <c r="D95" s="60"/>
      <c r="E95" s="60"/>
      <c r="F95" s="60"/>
      <c r="G95" s="60"/>
      <c r="H95" s="60"/>
      <c r="I95" s="60"/>
      <c r="J95" s="60"/>
      <c r="K95" s="60"/>
      <c r="L95" s="115"/>
      <c r="M95" s="60"/>
      <c r="N95" s="82"/>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2"/>
      <c r="AQ95" s="60"/>
      <c r="AR95" s="60"/>
      <c r="AS95" s="60"/>
      <c r="AT95" s="60"/>
      <c r="AU95" s="60"/>
      <c r="AV95" s="60"/>
      <c r="AW95" s="60"/>
      <c r="AX95" s="63"/>
    </row>
    <row r="96" spans="1:50" s="1" customFormat="1" ht="12.75" customHeight="1">
      <c r="A96" s="81"/>
      <c r="B96" s="68"/>
      <c r="C96" s="69"/>
      <c r="D96" s="60"/>
      <c r="E96" s="60"/>
      <c r="F96" s="60"/>
      <c r="G96" s="60"/>
      <c r="H96" s="60"/>
      <c r="I96" s="60"/>
      <c r="J96" s="60"/>
      <c r="K96" s="60"/>
      <c r="L96" s="90"/>
      <c r="N96" s="82" t="s">
        <v>283</v>
      </c>
      <c r="O96" s="116" t="s">
        <v>389</v>
      </c>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2"/>
      <c r="AQ96" s="60"/>
      <c r="AR96" s="60"/>
      <c r="AS96" s="60"/>
      <c r="AT96" s="60"/>
      <c r="AU96" s="60"/>
      <c r="AV96" s="60"/>
      <c r="AW96" s="60"/>
      <c r="AX96" s="63"/>
    </row>
    <row r="97" spans="1:50" s="1" customFormat="1" ht="12.75" customHeight="1">
      <c r="A97" s="81"/>
      <c r="B97" s="68"/>
      <c r="C97" s="69"/>
      <c r="D97" s="60"/>
      <c r="E97" s="60"/>
      <c r="F97" s="60"/>
      <c r="G97" s="60"/>
      <c r="H97" s="60"/>
      <c r="I97" s="60"/>
      <c r="J97" s="60"/>
      <c r="K97" s="60"/>
      <c r="L97" s="115"/>
      <c r="N97" s="60"/>
      <c r="O97" s="116" t="s">
        <v>211</v>
      </c>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2"/>
      <c r="AQ97" s="60"/>
      <c r="AR97" s="60"/>
      <c r="AS97" s="60"/>
      <c r="AT97" s="60"/>
      <c r="AU97" s="60"/>
      <c r="AV97" s="60"/>
      <c r="AW97" s="60"/>
      <c r="AX97" s="63"/>
    </row>
    <row r="98" spans="1:50" s="1" customFormat="1" ht="12.75" customHeight="1">
      <c r="A98" s="81"/>
      <c r="B98" s="68"/>
      <c r="C98" s="69"/>
      <c r="D98" s="60"/>
      <c r="E98" s="60"/>
      <c r="F98" s="60"/>
      <c r="G98" s="60"/>
      <c r="H98" s="60"/>
      <c r="I98" s="60"/>
      <c r="J98" s="60"/>
      <c r="K98" s="60"/>
      <c r="L98" s="115"/>
      <c r="N98" s="60"/>
      <c r="O98" s="116" t="s">
        <v>210</v>
      </c>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2"/>
      <c r="AQ98" s="60"/>
      <c r="AR98" s="60"/>
      <c r="AS98" s="60"/>
      <c r="AT98" s="60"/>
      <c r="AU98" s="60"/>
      <c r="AV98" s="60"/>
      <c r="AW98" s="60"/>
      <c r="AX98" s="63"/>
    </row>
    <row r="99" spans="1:50" s="1" customFormat="1" ht="12.75" customHeight="1">
      <c r="A99" s="81"/>
      <c r="B99" s="68"/>
      <c r="C99" s="69"/>
      <c r="D99" s="60"/>
      <c r="E99" s="60"/>
      <c r="F99" s="60"/>
      <c r="G99" s="60"/>
      <c r="H99" s="60"/>
      <c r="I99" s="60"/>
      <c r="J99" s="60"/>
      <c r="K99" s="60"/>
      <c r="L99" s="115"/>
      <c r="N99" s="60"/>
      <c r="O99" s="116"/>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2"/>
      <c r="AQ99" s="60"/>
      <c r="AR99" s="60"/>
      <c r="AS99" s="60"/>
      <c r="AT99" s="60"/>
      <c r="AU99" s="60"/>
      <c r="AV99" s="60"/>
      <c r="AW99" s="60"/>
      <c r="AX99" s="63"/>
    </row>
    <row r="100" spans="1:50" s="1" customFormat="1" ht="12.75" customHeight="1">
      <c r="A100" s="81"/>
      <c r="B100" s="68"/>
      <c r="C100" s="69"/>
      <c r="D100" s="60"/>
      <c r="E100" s="60"/>
      <c r="F100" s="60"/>
      <c r="G100" s="60"/>
      <c r="H100" s="60"/>
      <c r="I100" s="60"/>
      <c r="J100" s="60"/>
      <c r="K100" s="60"/>
      <c r="L100" s="115"/>
      <c r="N100" s="60"/>
      <c r="O100" s="116" t="s">
        <v>209</v>
      </c>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2"/>
      <c r="AQ100" s="60"/>
      <c r="AR100" s="60"/>
      <c r="AS100" s="60"/>
      <c r="AT100" s="60"/>
      <c r="AU100" s="60"/>
      <c r="AV100" s="60"/>
      <c r="AW100" s="60"/>
      <c r="AX100" s="63"/>
    </row>
    <row r="101" spans="1:50" s="1" customFormat="1" ht="12.75" customHeight="1">
      <c r="A101" s="81"/>
      <c r="B101" s="68"/>
      <c r="C101" s="69"/>
      <c r="D101" s="60"/>
      <c r="E101" s="60"/>
      <c r="F101" s="60"/>
      <c r="G101" s="60"/>
      <c r="H101" s="60"/>
      <c r="I101" s="60"/>
      <c r="J101" s="60"/>
      <c r="K101" s="60"/>
      <c r="L101" s="115"/>
      <c r="N101" s="60"/>
      <c r="O101" s="117"/>
      <c r="P101" s="117"/>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62"/>
      <c r="AQ101" s="60"/>
      <c r="AR101" s="60"/>
      <c r="AS101" s="60"/>
      <c r="AT101" s="60"/>
      <c r="AU101" s="60"/>
      <c r="AV101" s="60"/>
      <c r="AW101" s="60"/>
      <c r="AX101" s="63"/>
    </row>
    <row r="102" spans="1:50" s="1" customFormat="1" ht="12.75" customHeight="1">
      <c r="A102" s="81"/>
      <c r="B102" s="68"/>
      <c r="C102" s="69"/>
      <c r="D102" s="60"/>
      <c r="E102" s="60"/>
      <c r="F102" s="60"/>
      <c r="G102" s="60"/>
      <c r="H102" s="60"/>
      <c r="I102" s="60"/>
      <c r="J102" s="60"/>
      <c r="K102" s="60"/>
      <c r="L102" s="115"/>
      <c r="N102" s="82" t="s">
        <v>284</v>
      </c>
      <c r="O102" s="117" t="s">
        <v>365</v>
      </c>
      <c r="P102" s="117"/>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c r="AL102" s="117"/>
      <c r="AM102" s="117"/>
      <c r="AN102" s="117"/>
      <c r="AO102" s="117"/>
      <c r="AP102" s="62"/>
      <c r="AQ102" s="60"/>
      <c r="AR102" s="60"/>
      <c r="AS102" s="60"/>
      <c r="AT102" s="60"/>
      <c r="AU102" s="60"/>
      <c r="AV102" s="60"/>
      <c r="AW102" s="60"/>
      <c r="AX102" s="63"/>
    </row>
    <row r="103" spans="1:50" s="1" customFormat="1" ht="12.75" customHeight="1">
      <c r="A103" s="81"/>
      <c r="B103" s="68"/>
      <c r="C103" s="69"/>
      <c r="D103" s="60"/>
      <c r="E103" s="60"/>
      <c r="F103" s="60"/>
      <c r="G103" s="60"/>
      <c r="H103" s="60"/>
      <c r="I103" s="60"/>
      <c r="J103" s="60"/>
      <c r="K103" s="60"/>
      <c r="L103" s="115"/>
      <c r="N103" s="60"/>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c r="AO103" s="117"/>
      <c r="AP103" s="62"/>
      <c r="AQ103" s="60"/>
      <c r="AR103" s="60"/>
      <c r="AS103" s="60"/>
      <c r="AT103" s="60"/>
      <c r="AU103" s="60"/>
      <c r="AV103" s="60"/>
      <c r="AW103" s="60"/>
      <c r="AX103" s="63"/>
    </row>
    <row r="104" spans="1:50" s="1" customFormat="1" ht="12.75" customHeight="1">
      <c r="A104" s="81"/>
      <c r="B104" s="68"/>
      <c r="C104" s="69"/>
      <c r="D104" s="60"/>
      <c r="E104" s="60"/>
      <c r="F104" s="60"/>
      <c r="G104" s="60"/>
      <c r="H104" s="60"/>
      <c r="I104" s="60"/>
      <c r="J104" s="60"/>
      <c r="K104" s="60"/>
      <c r="L104" s="115"/>
      <c r="N104" s="60"/>
      <c r="O104" s="117" t="s">
        <v>217</v>
      </c>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62"/>
      <c r="AQ104" s="60"/>
      <c r="AR104" s="60"/>
      <c r="AS104" s="60"/>
      <c r="AT104" s="60"/>
      <c r="AU104" s="60"/>
      <c r="AV104" s="60"/>
      <c r="AW104" s="60"/>
      <c r="AX104" s="63"/>
    </row>
    <row r="105" spans="1:50" s="1" customFormat="1" ht="12.75" customHeight="1">
      <c r="A105" s="81"/>
      <c r="B105" s="68"/>
      <c r="C105" s="69"/>
      <c r="D105" s="60"/>
      <c r="E105" s="60"/>
      <c r="F105" s="60"/>
      <c r="G105" s="60"/>
      <c r="H105" s="60"/>
      <c r="I105" s="60"/>
      <c r="J105" s="60"/>
      <c r="K105" s="60"/>
      <c r="L105" s="115"/>
      <c r="N105" s="60"/>
      <c r="O105" s="117"/>
      <c r="P105" s="117"/>
      <c r="Q105" s="117"/>
      <c r="R105" s="117" t="s">
        <v>218</v>
      </c>
      <c r="S105" s="117"/>
      <c r="T105" s="117"/>
      <c r="U105" s="117"/>
      <c r="V105" s="117"/>
      <c r="W105" s="117"/>
      <c r="X105" s="117"/>
      <c r="Y105" s="117"/>
      <c r="Z105" s="117"/>
      <c r="AA105" s="117"/>
      <c r="AB105" s="117"/>
      <c r="AC105" s="117"/>
      <c r="AD105" s="117"/>
      <c r="AE105" s="117"/>
      <c r="AF105" s="117"/>
      <c r="AG105" s="117"/>
      <c r="AH105" s="117"/>
      <c r="AI105" s="117"/>
      <c r="AJ105" s="117"/>
      <c r="AK105" s="117"/>
      <c r="AL105" s="117"/>
      <c r="AM105" s="117"/>
      <c r="AN105" s="117"/>
      <c r="AO105" s="117"/>
      <c r="AP105" s="62"/>
      <c r="AQ105" s="60"/>
      <c r="AR105" s="60"/>
      <c r="AS105" s="60"/>
      <c r="AT105" s="60"/>
      <c r="AU105" s="60"/>
      <c r="AV105" s="60"/>
      <c r="AW105" s="60"/>
      <c r="AX105" s="63"/>
    </row>
    <row r="106" spans="1:50" s="1" customFormat="1" ht="12.75" customHeight="1">
      <c r="A106" s="81"/>
      <c r="B106" s="68"/>
      <c r="C106" s="69"/>
      <c r="D106" s="60"/>
      <c r="E106" s="60"/>
      <c r="F106" s="60"/>
      <c r="G106" s="60"/>
      <c r="H106" s="60"/>
      <c r="I106" s="60"/>
      <c r="J106" s="60"/>
      <c r="K106" s="60"/>
      <c r="L106" s="115"/>
      <c r="N106" s="60"/>
      <c r="O106" s="117"/>
      <c r="P106" s="117"/>
      <c r="Q106" s="117"/>
      <c r="R106" s="117"/>
      <c r="S106" s="117"/>
      <c r="T106" s="117"/>
      <c r="U106" s="117"/>
      <c r="V106" s="117"/>
      <c r="W106" s="117"/>
      <c r="X106" s="117"/>
      <c r="Y106" s="117"/>
      <c r="Z106" s="117"/>
      <c r="AA106" s="117"/>
      <c r="AB106" s="117"/>
      <c r="AC106" s="117"/>
      <c r="AD106" s="117"/>
      <c r="AE106" s="117"/>
      <c r="AF106" s="117"/>
      <c r="AG106" s="117"/>
      <c r="AH106" s="117"/>
      <c r="AI106" s="117"/>
      <c r="AJ106" s="117"/>
      <c r="AK106" s="117"/>
      <c r="AL106" s="117"/>
      <c r="AM106" s="117"/>
      <c r="AN106" s="117"/>
      <c r="AO106" s="117"/>
      <c r="AP106" s="62"/>
      <c r="AQ106" s="60"/>
      <c r="AR106" s="60"/>
      <c r="AS106" s="60"/>
      <c r="AT106" s="60"/>
      <c r="AU106" s="60"/>
      <c r="AV106" s="60"/>
      <c r="AW106" s="60"/>
      <c r="AX106" s="63"/>
    </row>
    <row r="107" spans="1:50" s="1" customFormat="1" ht="12.75" customHeight="1">
      <c r="A107" s="81"/>
      <c r="B107" s="68"/>
      <c r="C107" s="69"/>
      <c r="D107" s="60"/>
      <c r="E107" s="60"/>
      <c r="F107" s="60"/>
      <c r="G107" s="60"/>
      <c r="H107" s="60"/>
      <c r="I107" s="60"/>
      <c r="J107" s="60"/>
      <c r="K107" s="60"/>
      <c r="L107" s="115"/>
      <c r="N107" s="60"/>
      <c r="O107" s="117"/>
      <c r="P107" s="117"/>
      <c r="Q107" s="117"/>
      <c r="R107" s="133" t="s">
        <v>29</v>
      </c>
      <c r="S107" s="134"/>
      <c r="T107" s="134"/>
      <c r="U107" s="134"/>
      <c r="V107" s="133" t="s">
        <v>134</v>
      </c>
      <c r="W107" s="134"/>
      <c r="X107" s="134"/>
      <c r="Y107" s="135"/>
      <c r="Z107" s="133" t="s">
        <v>127</v>
      </c>
      <c r="AA107" s="135"/>
      <c r="AD107" s="117"/>
      <c r="AE107" s="117"/>
      <c r="AF107" s="117"/>
      <c r="AG107" s="117"/>
      <c r="AH107" s="117"/>
      <c r="AI107" s="117"/>
      <c r="AJ107" s="117"/>
      <c r="AK107" s="117"/>
      <c r="AL107" s="117"/>
      <c r="AM107" s="117"/>
      <c r="AN107" s="117"/>
      <c r="AO107" s="117"/>
      <c r="AP107" s="62"/>
      <c r="AQ107" s="60"/>
      <c r="AR107" s="60"/>
      <c r="AS107" s="60"/>
      <c r="AT107" s="60"/>
      <c r="AU107" s="60"/>
      <c r="AV107" s="60"/>
      <c r="AW107" s="60"/>
      <c r="AX107" s="63"/>
    </row>
    <row r="108" spans="1:50" s="1" customFormat="1" ht="12.75" customHeight="1">
      <c r="A108" s="81"/>
      <c r="B108" s="68"/>
      <c r="C108" s="69"/>
      <c r="D108" s="60"/>
      <c r="E108" s="60"/>
      <c r="F108" s="60"/>
      <c r="G108" s="60"/>
      <c r="H108" s="60"/>
      <c r="I108" s="60"/>
      <c r="J108" s="60"/>
      <c r="K108" s="60"/>
      <c r="L108" s="115"/>
      <c r="N108" s="60"/>
      <c r="O108" s="117"/>
      <c r="P108" s="117"/>
      <c r="Q108" s="117"/>
      <c r="R108" s="130" t="s">
        <v>212</v>
      </c>
      <c r="S108" s="102"/>
      <c r="T108" s="102"/>
      <c r="U108" s="102"/>
      <c r="V108" s="130" t="s">
        <v>215</v>
      </c>
      <c r="W108" s="102"/>
      <c r="X108" s="102"/>
      <c r="Y108" s="103"/>
      <c r="Z108" s="130" t="s">
        <v>129</v>
      </c>
      <c r="AA108" s="103"/>
      <c r="AD108" s="117"/>
      <c r="AE108" s="117"/>
      <c r="AF108" s="117"/>
      <c r="AG108" s="117"/>
      <c r="AH108" s="117"/>
      <c r="AI108" s="117"/>
      <c r="AJ108" s="117"/>
      <c r="AK108" s="117"/>
      <c r="AL108" s="117"/>
      <c r="AM108" s="117"/>
      <c r="AN108" s="117"/>
      <c r="AO108" s="117"/>
      <c r="AP108" s="62"/>
      <c r="AQ108" s="60"/>
      <c r="AR108" s="60"/>
      <c r="AS108" s="60"/>
      <c r="AT108" s="60"/>
      <c r="AU108" s="60"/>
      <c r="AV108" s="60"/>
      <c r="AW108" s="60"/>
      <c r="AX108" s="63"/>
    </row>
    <row r="109" spans="1:50" s="1" customFormat="1" ht="12.75" customHeight="1">
      <c r="A109" s="81"/>
      <c r="B109" s="68"/>
      <c r="C109" s="69"/>
      <c r="D109" s="60"/>
      <c r="E109" s="60"/>
      <c r="F109" s="60"/>
      <c r="G109" s="60"/>
      <c r="H109" s="60"/>
      <c r="I109" s="60"/>
      <c r="J109" s="60"/>
      <c r="K109" s="60"/>
      <c r="L109" s="115"/>
      <c r="N109" s="60"/>
      <c r="O109" s="117"/>
      <c r="P109" s="117"/>
      <c r="Q109" s="117"/>
      <c r="R109" s="129" t="s">
        <v>70</v>
      </c>
      <c r="S109" s="112"/>
      <c r="T109" s="112"/>
      <c r="U109" s="112"/>
      <c r="V109" s="129" t="s">
        <v>91</v>
      </c>
      <c r="W109" s="112"/>
      <c r="X109" s="112"/>
      <c r="Y109" s="113"/>
      <c r="Z109" s="129" t="s">
        <v>129</v>
      </c>
      <c r="AA109" s="113"/>
      <c r="AD109" s="117"/>
      <c r="AE109" s="117"/>
      <c r="AF109" s="117"/>
      <c r="AG109" s="117"/>
      <c r="AH109" s="117"/>
      <c r="AI109" s="117"/>
      <c r="AJ109" s="117"/>
      <c r="AK109" s="117"/>
      <c r="AL109" s="117"/>
      <c r="AM109" s="117"/>
      <c r="AN109" s="117"/>
      <c r="AO109" s="117"/>
      <c r="AP109" s="62"/>
      <c r="AQ109" s="60"/>
      <c r="AR109" s="60"/>
      <c r="AS109" s="60"/>
      <c r="AT109" s="60"/>
      <c r="AU109" s="60"/>
      <c r="AV109" s="60"/>
      <c r="AW109" s="60"/>
      <c r="AX109" s="63"/>
    </row>
    <row r="110" spans="1:50" s="1" customFormat="1" ht="12.75" customHeight="1">
      <c r="A110" s="81"/>
      <c r="B110" s="70"/>
      <c r="C110" s="71"/>
      <c r="D110" s="60"/>
      <c r="E110" s="60"/>
      <c r="F110" s="60"/>
      <c r="G110" s="60"/>
      <c r="H110" s="60"/>
      <c r="I110" s="60"/>
      <c r="J110" s="60"/>
      <c r="K110" s="60"/>
      <c r="L110" s="115"/>
      <c r="N110" s="60"/>
      <c r="O110" s="117"/>
      <c r="P110" s="117"/>
      <c r="Q110" s="117"/>
      <c r="R110" s="130" t="s">
        <v>278</v>
      </c>
      <c r="S110" s="102"/>
      <c r="T110" s="102"/>
      <c r="U110" s="102"/>
      <c r="V110" s="130" t="s">
        <v>298</v>
      </c>
      <c r="W110" s="102"/>
      <c r="X110" s="102"/>
      <c r="Y110" s="103"/>
      <c r="Z110" s="130" t="s">
        <v>129</v>
      </c>
      <c r="AA110" s="103"/>
      <c r="AD110" s="117"/>
      <c r="AE110" s="117"/>
      <c r="AF110" s="117"/>
      <c r="AG110" s="117"/>
      <c r="AH110" s="117"/>
      <c r="AI110" s="117"/>
      <c r="AJ110" s="117"/>
      <c r="AK110" s="117"/>
      <c r="AL110" s="117"/>
      <c r="AM110" s="117"/>
      <c r="AN110" s="117"/>
      <c r="AO110" s="117"/>
      <c r="AP110" s="62"/>
      <c r="AQ110" s="60"/>
      <c r="AR110" s="60"/>
      <c r="AS110" s="60"/>
      <c r="AT110" s="60"/>
      <c r="AU110" s="60"/>
      <c r="AV110" s="60"/>
      <c r="AW110" s="60"/>
      <c r="AX110" s="63"/>
    </row>
    <row r="111" spans="1:50" s="1" customFormat="1" ht="12.75" customHeight="1">
      <c r="A111" s="81"/>
      <c r="B111" s="68"/>
      <c r="C111" s="69"/>
      <c r="D111" s="60"/>
      <c r="E111" s="60"/>
      <c r="F111" s="60"/>
      <c r="G111" s="60"/>
      <c r="H111" s="60"/>
      <c r="I111" s="60"/>
      <c r="J111" s="60"/>
      <c r="K111" s="60"/>
      <c r="L111" s="115"/>
      <c r="N111" s="60"/>
      <c r="O111" s="117"/>
      <c r="P111" s="117"/>
      <c r="Q111" s="117"/>
      <c r="R111" s="117"/>
      <c r="S111" s="117"/>
      <c r="T111" s="117"/>
      <c r="U111" s="117"/>
      <c r="V111" s="117"/>
      <c r="W111" s="117"/>
      <c r="X111" s="117"/>
      <c r="Y111" s="117"/>
      <c r="Z111" s="117"/>
      <c r="AA111" s="117"/>
      <c r="AB111" s="117"/>
      <c r="AC111" s="117"/>
      <c r="AD111" s="117"/>
      <c r="AE111" s="117"/>
      <c r="AF111" s="117"/>
      <c r="AG111" s="117"/>
      <c r="AH111" s="117"/>
      <c r="AI111" s="117"/>
      <c r="AJ111" s="117"/>
      <c r="AK111" s="117"/>
      <c r="AL111" s="117"/>
      <c r="AM111" s="117"/>
      <c r="AN111" s="117"/>
      <c r="AO111" s="117"/>
      <c r="AP111" s="62"/>
      <c r="AQ111" s="60"/>
      <c r="AR111" s="60"/>
      <c r="AS111" s="60"/>
      <c r="AT111" s="60"/>
      <c r="AU111" s="60"/>
      <c r="AV111" s="60"/>
      <c r="AW111" s="60"/>
      <c r="AX111" s="63"/>
    </row>
    <row r="112" spans="1:50" s="1" customFormat="1" ht="12.75" customHeight="1">
      <c r="A112" s="81"/>
      <c r="B112" s="68"/>
      <c r="C112" s="69"/>
      <c r="D112" s="60"/>
      <c r="E112" s="60"/>
      <c r="F112" s="60"/>
      <c r="G112" s="60"/>
      <c r="H112" s="60"/>
      <c r="I112" s="60"/>
      <c r="J112" s="60"/>
      <c r="K112" s="60"/>
      <c r="L112" s="115"/>
      <c r="N112" s="60"/>
      <c r="O112" s="117" t="s">
        <v>219</v>
      </c>
      <c r="P112" s="117"/>
      <c r="Q112" s="117"/>
      <c r="R112" s="117"/>
      <c r="S112" s="117"/>
      <c r="T112" s="117"/>
      <c r="U112" s="117"/>
      <c r="V112" s="117"/>
      <c r="W112" s="117"/>
      <c r="X112" s="117"/>
      <c r="Y112" s="117"/>
      <c r="Z112" s="117"/>
      <c r="AA112" s="117"/>
      <c r="AB112" s="117"/>
      <c r="AC112" s="117"/>
      <c r="AD112" s="117"/>
      <c r="AE112" s="117"/>
      <c r="AF112" s="117"/>
      <c r="AG112" s="117"/>
      <c r="AH112" s="117"/>
      <c r="AI112" s="117"/>
      <c r="AJ112" s="117"/>
      <c r="AK112" s="117"/>
      <c r="AL112" s="117"/>
      <c r="AM112" s="117"/>
      <c r="AN112" s="117"/>
      <c r="AO112" s="117"/>
      <c r="AP112" s="62"/>
      <c r="AQ112" s="60"/>
      <c r="AR112" s="60"/>
      <c r="AS112" s="60"/>
      <c r="AT112" s="60"/>
      <c r="AU112" s="60"/>
      <c r="AV112" s="60"/>
      <c r="AW112" s="60"/>
      <c r="AX112" s="63"/>
    </row>
    <row r="113" spans="1:50" s="1" customFormat="1" ht="12.75" customHeight="1">
      <c r="A113" s="81"/>
      <c r="B113" s="68"/>
      <c r="C113" s="69"/>
      <c r="D113" s="60"/>
      <c r="E113" s="60"/>
      <c r="F113" s="60"/>
      <c r="G113" s="60"/>
      <c r="H113" s="60"/>
      <c r="I113" s="60"/>
      <c r="J113" s="60"/>
      <c r="K113" s="60"/>
      <c r="L113" s="115"/>
      <c r="N113" s="60"/>
      <c r="O113" s="117"/>
      <c r="P113" s="117"/>
      <c r="Q113" s="117"/>
      <c r="R113" s="117" t="s">
        <v>222</v>
      </c>
      <c r="S113" s="117" t="s">
        <v>223</v>
      </c>
      <c r="T113" s="117"/>
      <c r="U113" s="117"/>
      <c r="V113" s="117"/>
      <c r="W113" s="117"/>
      <c r="X113" s="117"/>
      <c r="Y113" s="117"/>
      <c r="Z113" s="117"/>
      <c r="AA113" s="117"/>
      <c r="AB113" s="117"/>
      <c r="AC113" s="117"/>
      <c r="AD113" s="117"/>
      <c r="AE113" s="117"/>
      <c r="AF113" s="117"/>
      <c r="AG113" s="117"/>
      <c r="AH113" s="117"/>
      <c r="AI113" s="117"/>
      <c r="AJ113" s="117"/>
      <c r="AK113" s="117"/>
      <c r="AL113" s="117"/>
      <c r="AM113" s="117"/>
      <c r="AN113" s="117"/>
      <c r="AO113" s="117"/>
      <c r="AP113" s="62"/>
      <c r="AQ113" s="60"/>
      <c r="AR113" s="60"/>
      <c r="AS113" s="60"/>
      <c r="AT113" s="60"/>
      <c r="AU113" s="60"/>
      <c r="AV113" s="60"/>
      <c r="AW113" s="60"/>
      <c r="AX113" s="63"/>
    </row>
    <row r="114" spans="1:50" s="1" customFormat="1" ht="12.75" customHeight="1">
      <c r="A114" s="81"/>
      <c r="B114" s="68"/>
      <c r="C114" s="69"/>
      <c r="D114" s="60"/>
      <c r="E114" s="60"/>
      <c r="F114" s="60"/>
      <c r="G114" s="60"/>
      <c r="H114" s="60"/>
      <c r="I114" s="60"/>
      <c r="J114" s="60"/>
      <c r="K114" s="60"/>
      <c r="L114" s="115"/>
      <c r="N114" s="60"/>
      <c r="O114" s="117"/>
      <c r="P114" s="117"/>
      <c r="Q114" s="117"/>
      <c r="R114" s="117"/>
      <c r="S114" s="117"/>
      <c r="T114" s="117"/>
      <c r="U114" s="117"/>
      <c r="V114" s="117"/>
      <c r="W114" s="117"/>
      <c r="X114" s="117"/>
      <c r="Y114" s="117"/>
      <c r="Z114" s="117"/>
      <c r="AA114" s="117"/>
      <c r="AB114" s="117"/>
      <c r="AC114" s="117"/>
      <c r="AD114" s="117"/>
      <c r="AE114" s="117"/>
      <c r="AF114" s="117"/>
      <c r="AG114" s="117"/>
      <c r="AH114" s="117"/>
      <c r="AI114" s="117"/>
      <c r="AJ114" s="117"/>
      <c r="AK114" s="117"/>
      <c r="AL114" s="117"/>
      <c r="AM114" s="117"/>
      <c r="AN114" s="117"/>
      <c r="AO114" s="117"/>
      <c r="AP114" s="62"/>
      <c r="AQ114" s="60"/>
      <c r="AR114" s="60"/>
      <c r="AS114" s="60"/>
      <c r="AT114" s="60"/>
      <c r="AU114" s="60"/>
      <c r="AV114" s="60"/>
      <c r="AW114" s="60"/>
      <c r="AX114" s="63"/>
    </row>
    <row r="115" spans="1:50" s="1" customFormat="1" ht="12.75" customHeight="1">
      <c r="A115" s="81"/>
      <c r="B115" s="68"/>
      <c r="C115" s="69"/>
      <c r="D115" s="60"/>
      <c r="E115" s="60"/>
      <c r="F115" s="60"/>
      <c r="G115" s="60"/>
      <c r="H115" s="60"/>
      <c r="I115" s="60"/>
      <c r="J115" s="60"/>
      <c r="K115" s="60"/>
      <c r="L115" s="115"/>
      <c r="N115" s="60"/>
      <c r="O115" s="117"/>
      <c r="P115" s="117"/>
      <c r="Q115" s="117"/>
      <c r="R115" s="117" t="s">
        <v>216</v>
      </c>
      <c r="S115" s="117"/>
      <c r="T115" s="117"/>
      <c r="U115" s="117"/>
      <c r="V115" s="117"/>
      <c r="W115" s="117"/>
      <c r="X115" s="117"/>
      <c r="Y115" s="117"/>
      <c r="Z115" s="117"/>
      <c r="AA115" s="117"/>
      <c r="AB115" s="117"/>
      <c r="AC115" s="117"/>
      <c r="AD115" s="117"/>
      <c r="AE115" s="117"/>
      <c r="AF115" s="117"/>
      <c r="AG115" s="117"/>
      <c r="AH115" s="117"/>
      <c r="AI115" s="117"/>
      <c r="AJ115" s="117"/>
      <c r="AK115" s="117"/>
      <c r="AL115" s="117"/>
      <c r="AM115" s="117"/>
      <c r="AN115" s="117"/>
      <c r="AO115" s="117"/>
      <c r="AP115" s="62"/>
      <c r="AQ115" s="60"/>
      <c r="AR115" s="60"/>
      <c r="AS115" s="60"/>
      <c r="AT115" s="60"/>
      <c r="AU115" s="60"/>
      <c r="AV115" s="60"/>
      <c r="AW115" s="60"/>
      <c r="AX115" s="63"/>
    </row>
    <row r="116" spans="1:50" s="1" customFormat="1" ht="12.75" customHeight="1">
      <c r="A116" s="81"/>
      <c r="B116" s="68"/>
      <c r="C116" s="69"/>
      <c r="D116" s="60"/>
      <c r="E116" s="60"/>
      <c r="F116" s="60"/>
      <c r="G116" s="60"/>
      <c r="H116" s="60"/>
      <c r="I116" s="60"/>
      <c r="J116" s="60"/>
      <c r="K116" s="60"/>
      <c r="L116" s="115"/>
      <c r="N116" s="60"/>
      <c r="O116" s="117"/>
      <c r="P116" s="117"/>
      <c r="Q116" s="117"/>
      <c r="R116" s="117"/>
      <c r="S116" s="117"/>
      <c r="T116" s="117"/>
      <c r="U116" s="117"/>
      <c r="V116" s="117"/>
      <c r="W116" s="117"/>
      <c r="X116" s="117"/>
      <c r="Y116" s="117"/>
      <c r="Z116" s="117"/>
      <c r="AA116" s="117"/>
      <c r="AB116" s="117"/>
      <c r="AC116" s="117"/>
      <c r="AD116" s="117"/>
      <c r="AE116" s="117"/>
      <c r="AF116" s="117"/>
      <c r="AG116" s="117"/>
      <c r="AH116" s="117"/>
      <c r="AI116" s="117"/>
      <c r="AJ116" s="117"/>
      <c r="AK116" s="117"/>
      <c r="AL116" s="117"/>
      <c r="AM116" s="117"/>
      <c r="AN116" s="117"/>
      <c r="AO116" s="117"/>
      <c r="AP116" s="62"/>
      <c r="AQ116" s="60"/>
      <c r="AR116" s="60"/>
      <c r="AS116" s="60"/>
      <c r="AT116" s="60"/>
      <c r="AU116" s="60"/>
      <c r="AV116" s="60"/>
      <c r="AW116" s="60"/>
      <c r="AX116" s="63"/>
    </row>
    <row r="117" spans="1:50" s="1" customFormat="1" ht="12.75" customHeight="1">
      <c r="A117" s="81"/>
      <c r="B117" s="68"/>
      <c r="C117" s="69"/>
      <c r="D117" s="60"/>
      <c r="E117" s="60"/>
      <c r="F117" s="60"/>
      <c r="G117" s="60"/>
      <c r="H117" s="60"/>
      <c r="I117" s="60"/>
      <c r="J117" s="60"/>
      <c r="K117" s="60"/>
      <c r="L117" s="115"/>
      <c r="N117" s="60"/>
      <c r="O117" s="117"/>
      <c r="P117" s="117"/>
      <c r="Q117" s="117"/>
      <c r="R117" s="133" t="s">
        <v>29</v>
      </c>
      <c r="S117" s="134"/>
      <c r="T117" s="134"/>
      <c r="U117" s="134"/>
      <c r="V117" s="133" t="s">
        <v>134</v>
      </c>
      <c r="W117" s="134"/>
      <c r="X117" s="134"/>
      <c r="Y117" s="135"/>
      <c r="Z117" s="133" t="s">
        <v>127</v>
      </c>
      <c r="AA117" s="135"/>
      <c r="AD117" s="117"/>
      <c r="AE117" s="117"/>
      <c r="AF117" s="117"/>
      <c r="AG117" s="117"/>
      <c r="AH117" s="117"/>
      <c r="AI117" s="117"/>
      <c r="AJ117" s="117"/>
      <c r="AK117" s="117"/>
      <c r="AL117" s="117"/>
      <c r="AM117" s="117"/>
      <c r="AN117" s="117"/>
      <c r="AO117" s="117"/>
      <c r="AP117" s="62"/>
      <c r="AQ117" s="60"/>
      <c r="AR117" s="60"/>
      <c r="AS117" s="60"/>
      <c r="AT117" s="60"/>
      <c r="AU117" s="60"/>
      <c r="AV117" s="60"/>
      <c r="AW117" s="60"/>
      <c r="AX117" s="63"/>
    </row>
    <row r="118" spans="1:50" s="1" customFormat="1" ht="12.75" customHeight="1">
      <c r="A118" s="81"/>
      <c r="B118" s="68"/>
      <c r="C118" s="69"/>
      <c r="D118" s="60"/>
      <c r="E118" s="60"/>
      <c r="F118" s="60"/>
      <c r="G118" s="60"/>
      <c r="H118" s="60"/>
      <c r="I118" s="60"/>
      <c r="J118" s="60"/>
      <c r="K118" s="60"/>
      <c r="L118" s="115"/>
      <c r="N118" s="60"/>
      <c r="O118" s="117"/>
      <c r="P118" s="117"/>
      <c r="Q118" s="117"/>
      <c r="R118" s="130" t="s">
        <v>212</v>
      </c>
      <c r="S118" s="102"/>
      <c r="T118" s="102"/>
      <c r="U118" s="102"/>
      <c r="V118" s="130" t="s">
        <v>213</v>
      </c>
      <c r="W118" s="102"/>
      <c r="X118" s="102"/>
      <c r="Y118" s="103"/>
      <c r="Z118" s="130" t="s">
        <v>129</v>
      </c>
      <c r="AA118" s="103"/>
      <c r="AD118" s="117"/>
      <c r="AE118" s="117"/>
      <c r="AF118" s="117"/>
      <c r="AG118" s="117"/>
      <c r="AH118" s="117"/>
      <c r="AI118" s="117"/>
      <c r="AJ118" s="117"/>
      <c r="AK118" s="117"/>
      <c r="AL118" s="117"/>
      <c r="AM118" s="117"/>
      <c r="AN118" s="117"/>
      <c r="AO118" s="117"/>
      <c r="AP118" s="62"/>
      <c r="AQ118" s="60"/>
      <c r="AR118" s="60"/>
      <c r="AS118" s="60"/>
      <c r="AT118" s="60"/>
      <c r="AU118" s="60"/>
      <c r="AV118" s="60"/>
      <c r="AW118" s="60"/>
      <c r="AX118" s="63"/>
    </row>
    <row r="119" spans="1:50" s="1" customFormat="1" ht="12.75" customHeight="1">
      <c r="A119" s="81"/>
      <c r="B119" s="68"/>
      <c r="C119" s="69"/>
      <c r="D119" s="60"/>
      <c r="E119" s="60"/>
      <c r="F119" s="60"/>
      <c r="G119" s="60"/>
      <c r="H119" s="60"/>
      <c r="I119" s="60"/>
      <c r="J119" s="60"/>
      <c r="K119" s="60"/>
      <c r="L119" s="115"/>
      <c r="N119" s="60"/>
      <c r="O119" s="117"/>
      <c r="P119" s="117"/>
      <c r="Q119" s="117"/>
      <c r="R119" s="129" t="s">
        <v>70</v>
      </c>
      <c r="S119" s="112"/>
      <c r="T119" s="112"/>
      <c r="U119" s="112"/>
      <c r="V119" s="129" t="s">
        <v>214</v>
      </c>
      <c r="W119" s="112"/>
      <c r="X119" s="112"/>
      <c r="Y119" s="113"/>
      <c r="Z119" s="129" t="s">
        <v>129</v>
      </c>
      <c r="AA119" s="113"/>
      <c r="AD119" s="117"/>
      <c r="AE119" s="117"/>
      <c r="AF119" s="117"/>
      <c r="AG119" s="117"/>
      <c r="AH119" s="117"/>
      <c r="AI119" s="117"/>
      <c r="AJ119" s="117"/>
      <c r="AK119" s="117"/>
      <c r="AL119" s="117"/>
      <c r="AM119" s="117"/>
      <c r="AN119" s="117"/>
      <c r="AO119" s="117"/>
      <c r="AP119" s="62"/>
      <c r="AQ119" s="60"/>
      <c r="AR119" s="60"/>
      <c r="AS119" s="60"/>
      <c r="AT119" s="60"/>
      <c r="AU119" s="60"/>
      <c r="AV119" s="60"/>
      <c r="AW119" s="60"/>
      <c r="AX119" s="63"/>
    </row>
    <row r="120" spans="1:50" s="1" customFormat="1" ht="12.75" customHeight="1">
      <c r="A120" s="81"/>
      <c r="B120" s="70"/>
      <c r="C120" s="71"/>
      <c r="D120" s="60"/>
      <c r="E120" s="60"/>
      <c r="F120" s="60"/>
      <c r="G120" s="60"/>
      <c r="H120" s="60"/>
      <c r="I120" s="60"/>
      <c r="J120" s="60"/>
      <c r="K120" s="60"/>
      <c r="L120" s="115"/>
      <c r="N120" s="60"/>
      <c r="O120" s="117"/>
      <c r="P120" s="117"/>
      <c r="Q120" s="117"/>
      <c r="R120" s="130" t="s">
        <v>278</v>
      </c>
      <c r="S120" s="102"/>
      <c r="T120" s="102"/>
      <c r="U120" s="102"/>
      <c r="V120" s="130" t="s">
        <v>297</v>
      </c>
      <c r="W120" s="102"/>
      <c r="X120" s="102"/>
      <c r="Y120" s="103"/>
      <c r="Z120" s="130" t="s">
        <v>129</v>
      </c>
      <c r="AA120" s="103"/>
      <c r="AD120" s="117"/>
      <c r="AE120" s="117"/>
      <c r="AF120" s="117"/>
      <c r="AG120" s="117"/>
      <c r="AH120" s="117"/>
      <c r="AI120" s="117"/>
      <c r="AJ120" s="117"/>
      <c r="AK120" s="117"/>
      <c r="AL120" s="117"/>
      <c r="AM120" s="117"/>
      <c r="AN120" s="117"/>
      <c r="AO120" s="117"/>
      <c r="AP120" s="62"/>
      <c r="AQ120" s="60"/>
      <c r="AR120" s="60"/>
      <c r="AS120" s="60"/>
      <c r="AT120" s="60"/>
      <c r="AU120" s="60"/>
      <c r="AV120" s="60"/>
      <c r="AW120" s="60"/>
      <c r="AX120" s="63"/>
    </row>
    <row r="121" spans="1:50" s="1" customFormat="1" ht="12.75" customHeight="1">
      <c r="A121" s="81"/>
      <c r="B121" s="68"/>
      <c r="C121" s="69"/>
      <c r="D121" s="60"/>
      <c r="E121" s="60"/>
      <c r="F121" s="60"/>
      <c r="G121" s="60"/>
      <c r="H121" s="60"/>
      <c r="I121" s="60"/>
      <c r="J121" s="60"/>
      <c r="K121" s="60"/>
      <c r="L121" s="115"/>
      <c r="N121" s="60"/>
      <c r="O121" s="117"/>
      <c r="P121" s="117"/>
      <c r="Q121" s="117"/>
      <c r="T121" s="117"/>
      <c r="U121" s="117"/>
      <c r="V121" s="117"/>
      <c r="W121" s="117"/>
      <c r="X121" s="117"/>
      <c r="Y121" s="117"/>
      <c r="Z121" s="117"/>
      <c r="AA121" s="117"/>
      <c r="AB121" s="117"/>
      <c r="AC121" s="117"/>
      <c r="AD121" s="117"/>
      <c r="AE121" s="117"/>
      <c r="AF121" s="117"/>
      <c r="AG121" s="117"/>
      <c r="AH121" s="117"/>
      <c r="AI121" s="117"/>
      <c r="AJ121" s="117"/>
      <c r="AK121" s="117"/>
      <c r="AL121" s="117"/>
      <c r="AM121" s="117"/>
      <c r="AN121" s="117"/>
      <c r="AO121" s="117"/>
      <c r="AP121" s="62"/>
      <c r="AQ121" s="60"/>
      <c r="AR121" s="60"/>
      <c r="AS121" s="60"/>
      <c r="AT121" s="60"/>
      <c r="AU121" s="60"/>
      <c r="AV121" s="60"/>
      <c r="AW121" s="60"/>
      <c r="AX121" s="63"/>
    </row>
    <row r="122" spans="1:50" s="1" customFormat="1" ht="12.75" customHeight="1">
      <c r="A122" s="81"/>
      <c r="B122" s="68"/>
      <c r="C122" s="69"/>
      <c r="D122" s="60"/>
      <c r="E122" s="60"/>
      <c r="F122" s="60"/>
      <c r="G122" s="60"/>
      <c r="H122" s="60"/>
      <c r="I122" s="60"/>
      <c r="J122" s="60"/>
      <c r="K122" s="60"/>
      <c r="L122" s="115"/>
      <c r="N122" s="60"/>
      <c r="O122" s="117"/>
      <c r="P122" s="117"/>
      <c r="Q122" s="117"/>
      <c r="R122" s="117" t="s">
        <v>221</v>
      </c>
      <c r="S122" s="117" t="s">
        <v>301</v>
      </c>
      <c r="T122" s="117"/>
      <c r="U122" s="117"/>
      <c r="V122" s="117"/>
      <c r="W122" s="117"/>
      <c r="X122" s="117"/>
      <c r="Y122" s="117"/>
      <c r="Z122" s="117"/>
      <c r="AA122" s="117"/>
      <c r="AB122" s="117"/>
      <c r="AC122" s="117"/>
      <c r="AD122" s="117"/>
      <c r="AE122" s="117"/>
      <c r="AF122" s="117"/>
      <c r="AG122" s="117"/>
      <c r="AH122" s="117"/>
      <c r="AI122" s="117"/>
      <c r="AJ122" s="117"/>
      <c r="AK122" s="117"/>
      <c r="AL122" s="117"/>
      <c r="AM122" s="117"/>
      <c r="AN122" s="117"/>
      <c r="AO122" s="117"/>
      <c r="AP122" s="62"/>
      <c r="AQ122" s="60" t="s">
        <v>208</v>
      </c>
      <c r="AR122" s="60"/>
      <c r="AS122" s="60"/>
      <c r="AT122" s="60"/>
      <c r="AU122" s="60"/>
      <c r="AV122" s="60"/>
      <c r="AW122" s="60"/>
      <c r="AX122" s="63"/>
    </row>
    <row r="123" spans="1:50" s="1" customFormat="1" ht="12.75" customHeight="1">
      <c r="A123" s="81"/>
      <c r="B123" s="138"/>
      <c r="C123" s="139"/>
      <c r="D123" s="60"/>
      <c r="E123" s="60"/>
      <c r="F123" s="60"/>
      <c r="G123" s="60"/>
      <c r="H123" s="60"/>
      <c r="I123" s="60"/>
      <c r="J123" s="60"/>
      <c r="K123" s="60"/>
      <c r="L123" s="115"/>
      <c r="N123" s="60"/>
      <c r="O123" s="117"/>
      <c r="P123" s="117"/>
      <c r="Q123" s="117"/>
      <c r="R123" s="117"/>
      <c r="S123" s="117" t="s">
        <v>302</v>
      </c>
      <c r="T123" s="117"/>
      <c r="U123" s="117"/>
      <c r="V123" s="117"/>
      <c r="W123" s="117"/>
      <c r="X123" s="117"/>
      <c r="Y123" s="117"/>
      <c r="Z123" s="117"/>
      <c r="AA123" s="117"/>
      <c r="AB123" s="117"/>
      <c r="AC123" s="117"/>
      <c r="AD123" s="117"/>
      <c r="AE123" s="117"/>
      <c r="AF123" s="117"/>
      <c r="AG123" s="117"/>
      <c r="AH123" s="117"/>
      <c r="AI123" s="117"/>
      <c r="AJ123" s="117"/>
      <c r="AK123" s="117"/>
      <c r="AL123" s="117"/>
      <c r="AM123" s="117"/>
      <c r="AN123" s="117"/>
      <c r="AO123" s="117"/>
      <c r="AP123" s="62"/>
      <c r="AQ123" s="60"/>
      <c r="AR123" s="60"/>
      <c r="AS123" s="60"/>
      <c r="AT123" s="60"/>
      <c r="AU123" s="60"/>
      <c r="AV123" s="60"/>
      <c r="AW123" s="60"/>
      <c r="AX123" s="63"/>
    </row>
    <row r="124" spans="1:50" s="1" customFormat="1" ht="12.75" customHeight="1">
      <c r="A124" s="81"/>
      <c r="B124" s="68"/>
      <c r="C124" s="69"/>
      <c r="D124" s="60"/>
      <c r="E124" s="60"/>
      <c r="F124" s="60"/>
      <c r="G124" s="60"/>
      <c r="H124" s="60"/>
      <c r="I124" s="60"/>
      <c r="J124" s="60"/>
      <c r="K124" s="60"/>
      <c r="L124" s="115"/>
      <c r="N124" s="60"/>
      <c r="O124" s="117"/>
      <c r="P124" s="117"/>
      <c r="Q124" s="117"/>
      <c r="R124" s="117"/>
      <c r="S124" s="117" t="s">
        <v>225</v>
      </c>
      <c r="T124" s="117"/>
      <c r="U124" s="117"/>
      <c r="V124" s="117"/>
      <c r="W124" s="117"/>
      <c r="X124" s="117"/>
      <c r="Y124" s="117"/>
      <c r="Z124" s="117"/>
      <c r="AA124" s="117"/>
      <c r="AB124" s="117"/>
      <c r="AC124" s="117"/>
      <c r="AD124" s="117"/>
      <c r="AE124" s="117"/>
      <c r="AF124" s="117"/>
      <c r="AG124" s="117"/>
      <c r="AH124" s="117"/>
      <c r="AI124" s="117"/>
      <c r="AJ124" s="117"/>
      <c r="AK124" s="117"/>
      <c r="AL124" s="117"/>
      <c r="AM124" s="117"/>
      <c r="AN124" s="117"/>
      <c r="AO124" s="117"/>
      <c r="AP124" s="62"/>
      <c r="AQ124" s="60"/>
      <c r="AR124" s="60"/>
      <c r="AS124" s="60"/>
      <c r="AT124" s="60"/>
      <c r="AU124" s="60"/>
      <c r="AV124" s="60"/>
      <c r="AW124" s="60"/>
      <c r="AX124" s="63"/>
    </row>
    <row r="125" spans="1:50" s="1" customFormat="1" ht="12.75" customHeight="1">
      <c r="A125" s="81"/>
      <c r="B125" s="68"/>
      <c r="C125" s="69"/>
      <c r="D125" s="60"/>
      <c r="E125" s="60"/>
      <c r="F125" s="60"/>
      <c r="G125" s="60"/>
      <c r="H125" s="60"/>
      <c r="I125" s="60"/>
      <c r="J125" s="60"/>
      <c r="K125" s="60"/>
      <c r="L125" s="115"/>
      <c r="N125" s="60"/>
      <c r="O125" s="117"/>
      <c r="P125" s="117"/>
      <c r="Q125" s="117"/>
      <c r="R125" s="117"/>
      <c r="S125" s="117"/>
      <c r="T125" s="117"/>
      <c r="U125" s="117"/>
      <c r="V125" s="117"/>
      <c r="W125" s="117"/>
      <c r="X125" s="117"/>
      <c r="Y125" s="117"/>
      <c r="Z125" s="117"/>
      <c r="AA125" s="117"/>
      <c r="AB125" s="117"/>
      <c r="AC125" s="117"/>
      <c r="AD125" s="117"/>
      <c r="AE125" s="117"/>
      <c r="AF125" s="117"/>
      <c r="AG125" s="117"/>
      <c r="AH125" s="117"/>
      <c r="AI125" s="117"/>
      <c r="AJ125" s="117"/>
      <c r="AK125" s="117"/>
      <c r="AL125" s="117"/>
      <c r="AM125" s="117"/>
      <c r="AN125" s="117"/>
      <c r="AO125" s="117"/>
      <c r="AP125" s="62"/>
      <c r="AQ125" s="60"/>
      <c r="AR125" s="60"/>
      <c r="AS125" s="60"/>
      <c r="AT125" s="60"/>
      <c r="AU125" s="60"/>
      <c r="AV125" s="60"/>
      <c r="AW125" s="60"/>
      <c r="AX125" s="63"/>
    </row>
    <row r="126" spans="1:50" s="1" customFormat="1" ht="12.75" customHeight="1">
      <c r="A126" s="81"/>
      <c r="B126" s="68"/>
      <c r="C126" s="69"/>
      <c r="D126" s="60"/>
      <c r="E126" s="60"/>
      <c r="F126" s="60"/>
      <c r="G126" s="60"/>
      <c r="H126" s="60"/>
      <c r="I126" s="60"/>
      <c r="J126" s="60"/>
      <c r="K126" s="60"/>
      <c r="L126" s="115"/>
      <c r="N126" s="60"/>
      <c r="O126" s="117" t="s">
        <v>300</v>
      </c>
      <c r="P126" s="117"/>
      <c r="Q126" s="117"/>
      <c r="R126" s="117"/>
      <c r="S126" s="117"/>
      <c r="T126" s="117"/>
      <c r="U126" s="117"/>
      <c r="V126" s="117"/>
      <c r="W126" s="117"/>
      <c r="X126" s="117"/>
      <c r="Y126" s="117"/>
      <c r="Z126" s="117"/>
      <c r="AA126" s="117"/>
      <c r="AB126" s="117"/>
      <c r="AC126" s="117"/>
      <c r="AD126" s="117"/>
      <c r="AE126" s="117"/>
      <c r="AF126" s="117"/>
      <c r="AG126" s="117"/>
      <c r="AH126" s="117"/>
      <c r="AI126" s="117"/>
      <c r="AJ126" s="117"/>
      <c r="AK126" s="117"/>
      <c r="AL126" s="117"/>
      <c r="AM126" s="117"/>
      <c r="AN126" s="117"/>
      <c r="AO126" s="117"/>
      <c r="AP126" s="62"/>
      <c r="AQ126" s="60"/>
      <c r="AR126" s="60"/>
      <c r="AS126" s="60"/>
      <c r="AT126" s="60"/>
      <c r="AU126" s="60"/>
      <c r="AV126" s="60"/>
      <c r="AW126" s="60"/>
      <c r="AX126" s="63"/>
    </row>
    <row r="127" spans="1:50" s="1" customFormat="1" ht="12.75" customHeight="1">
      <c r="A127" s="81"/>
      <c r="B127" s="68"/>
      <c r="C127" s="69"/>
      <c r="D127" s="60"/>
      <c r="E127" s="60"/>
      <c r="F127" s="60"/>
      <c r="G127" s="60"/>
      <c r="H127" s="60"/>
      <c r="I127" s="60"/>
      <c r="J127" s="60"/>
      <c r="K127" s="60"/>
      <c r="L127" s="115"/>
      <c r="N127" s="60"/>
      <c r="O127" s="117"/>
      <c r="P127" s="117"/>
      <c r="Q127" s="117"/>
      <c r="R127" s="117" t="s">
        <v>222</v>
      </c>
      <c r="S127" s="117" t="s">
        <v>224</v>
      </c>
      <c r="T127" s="117"/>
      <c r="U127" s="117"/>
      <c r="V127" s="117"/>
      <c r="W127" s="117"/>
      <c r="X127" s="117"/>
      <c r="Y127" s="117"/>
      <c r="Z127" s="117"/>
      <c r="AA127" s="117"/>
      <c r="AB127" s="117"/>
      <c r="AC127" s="117"/>
      <c r="AD127" s="117"/>
      <c r="AE127" s="117"/>
      <c r="AF127" s="117"/>
      <c r="AG127" s="117"/>
      <c r="AH127" s="117"/>
      <c r="AI127" s="117"/>
      <c r="AJ127" s="117"/>
      <c r="AK127" s="117"/>
      <c r="AL127" s="117"/>
      <c r="AM127" s="117"/>
      <c r="AN127" s="117"/>
      <c r="AO127" s="117"/>
      <c r="AP127" s="62"/>
      <c r="AQ127" s="60"/>
      <c r="AR127" s="60"/>
      <c r="AS127" s="60"/>
      <c r="AT127" s="60"/>
      <c r="AU127" s="60"/>
      <c r="AV127" s="60"/>
      <c r="AW127" s="60"/>
      <c r="AX127" s="63"/>
    </row>
    <row r="128" spans="1:50" s="1" customFormat="1" ht="12.75" customHeight="1">
      <c r="A128" s="81"/>
      <c r="B128" s="68"/>
      <c r="C128" s="69"/>
      <c r="D128" s="60"/>
      <c r="E128" s="60"/>
      <c r="F128" s="60"/>
      <c r="G128" s="60"/>
      <c r="H128" s="60"/>
      <c r="I128" s="60"/>
      <c r="J128" s="60"/>
      <c r="K128" s="60"/>
      <c r="L128" s="115"/>
      <c r="N128" s="60"/>
      <c r="O128" s="117"/>
      <c r="P128" s="117"/>
      <c r="Q128" s="117"/>
      <c r="R128" s="117"/>
      <c r="S128" s="117"/>
      <c r="T128" s="117"/>
      <c r="U128" s="117"/>
      <c r="V128" s="117"/>
      <c r="W128" s="117"/>
      <c r="X128" s="117"/>
      <c r="Y128" s="117"/>
      <c r="Z128" s="117"/>
      <c r="AA128" s="117"/>
      <c r="AB128" s="117"/>
      <c r="AC128" s="117"/>
      <c r="AD128" s="117"/>
      <c r="AE128" s="117"/>
      <c r="AF128" s="117"/>
      <c r="AG128" s="117"/>
      <c r="AH128" s="117"/>
      <c r="AI128" s="117"/>
      <c r="AJ128" s="117"/>
      <c r="AK128" s="117"/>
      <c r="AL128" s="117"/>
      <c r="AM128" s="117"/>
      <c r="AN128" s="117"/>
      <c r="AO128" s="117"/>
      <c r="AP128" s="62"/>
      <c r="AQ128" s="60"/>
      <c r="AR128" s="60"/>
      <c r="AS128" s="60"/>
      <c r="AT128" s="60"/>
      <c r="AU128" s="60"/>
      <c r="AV128" s="60"/>
      <c r="AW128" s="60"/>
      <c r="AX128" s="63"/>
    </row>
    <row r="129" spans="1:50" s="1" customFormat="1" ht="12.75" customHeight="1">
      <c r="A129" s="81"/>
      <c r="B129" s="68"/>
      <c r="C129" s="69"/>
      <c r="D129" s="60"/>
      <c r="E129" s="60"/>
      <c r="F129" s="60"/>
      <c r="G129" s="60"/>
      <c r="H129" s="60"/>
      <c r="I129" s="60"/>
      <c r="J129" s="60"/>
      <c r="K129" s="60"/>
      <c r="L129" s="115"/>
      <c r="N129" s="60"/>
      <c r="O129" s="117"/>
      <c r="P129" s="117"/>
      <c r="Q129" s="117"/>
      <c r="R129" s="117" t="s">
        <v>220</v>
      </c>
      <c r="S129" s="117"/>
      <c r="T129" s="117"/>
      <c r="U129" s="117"/>
      <c r="V129" s="117"/>
      <c r="W129" s="117"/>
      <c r="X129" s="117"/>
      <c r="Y129" s="117"/>
      <c r="Z129" s="117"/>
      <c r="AA129" s="117"/>
      <c r="AB129" s="117"/>
      <c r="AC129" s="117"/>
      <c r="AD129" s="117"/>
      <c r="AE129" s="117"/>
      <c r="AF129" s="117"/>
      <c r="AG129" s="117"/>
      <c r="AH129" s="117"/>
      <c r="AI129" s="117"/>
      <c r="AJ129" s="117"/>
      <c r="AK129" s="117"/>
      <c r="AL129" s="117"/>
      <c r="AM129" s="117"/>
      <c r="AN129" s="117"/>
      <c r="AO129" s="117"/>
      <c r="AP129" s="62"/>
      <c r="AQ129" s="60"/>
      <c r="AR129" s="60"/>
      <c r="AS129" s="60"/>
      <c r="AT129" s="60"/>
      <c r="AU129" s="60"/>
      <c r="AV129" s="60"/>
      <c r="AW129" s="60"/>
      <c r="AX129" s="63"/>
    </row>
    <row r="130" spans="1:50" s="1" customFormat="1" ht="12.75" customHeight="1">
      <c r="A130" s="81"/>
      <c r="B130" s="68"/>
      <c r="C130" s="69"/>
      <c r="D130" s="60"/>
      <c r="E130" s="60"/>
      <c r="F130" s="60"/>
      <c r="G130" s="60"/>
      <c r="H130" s="60"/>
      <c r="I130" s="60"/>
      <c r="J130" s="60"/>
      <c r="K130" s="60"/>
      <c r="L130" s="115"/>
      <c r="N130" s="60"/>
      <c r="O130" s="117"/>
      <c r="P130" s="117"/>
      <c r="Q130" s="117"/>
      <c r="R130" s="117"/>
      <c r="S130" s="117"/>
      <c r="T130" s="117"/>
      <c r="U130" s="117"/>
      <c r="V130" s="117"/>
      <c r="W130" s="117"/>
      <c r="X130" s="117"/>
      <c r="Y130" s="117"/>
      <c r="Z130" s="117"/>
      <c r="AA130" s="117"/>
      <c r="AB130" s="117"/>
      <c r="AC130" s="117"/>
      <c r="AD130" s="117"/>
      <c r="AE130" s="117"/>
      <c r="AF130" s="117"/>
      <c r="AG130" s="117"/>
      <c r="AH130" s="117"/>
      <c r="AI130" s="117"/>
      <c r="AJ130" s="117"/>
      <c r="AK130" s="117"/>
      <c r="AL130" s="117"/>
      <c r="AM130" s="117"/>
      <c r="AN130" s="117"/>
      <c r="AO130" s="117"/>
      <c r="AP130" s="62"/>
      <c r="AQ130" s="60"/>
      <c r="AR130" s="60"/>
      <c r="AS130" s="60"/>
      <c r="AT130" s="60"/>
      <c r="AU130" s="60"/>
      <c r="AV130" s="60"/>
      <c r="AW130" s="60"/>
      <c r="AX130" s="63"/>
    </row>
    <row r="131" spans="1:50" s="1" customFormat="1" ht="12.75" customHeight="1">
      <c r="A131" s="81"/>
      <c r="B131" s="68"/>
      <c r="C131" s="69"/>
      <c r="D131" s="60"/>
      <c r="E131" s="60"/>
      <c r="F131" s="60"/>
      <c r="G131" s="60"/>
      <c r="H131" s="60"/>
      <c r="I131" s="60"/>
      <c r="J131" s="60"/>
      <c r="K131" s="60"/>
      <c r="L131" s="115"/>
      <c r="N131" s="60"/>
      <c r="O131" s="117"/>
      <c r="P131" s="117"/>
      <c r="Q131" s="117"/>
      <c r="R131" s="133" t="s">
        <v>29</v>
      </c>
      <c r="S131" s="134"/>
      <c r="T131" s="134"/>
      <c r="U131" s="134"/>
      <c r="V131" s="133" t="s">
        <v>134</v>
      </c>
      <c r="W131" s="134"/>
      <c r="X131" s="134"/>
      <c r="Y131" s="135"/>
      <c r="Z131" s="133" t="s">
        <v>127</v>
      </c>
      <c r="AA131" s="135"/>
      <c r="AD131" s="117"/>
      <c r="AE131" s="117"/>
      <c r="AF131" s="117"/>
      <c r="AG131" s="117"/>
      <c r="AH131" s="117"/>
      <c r="AI131" s="117"/>
      <c r="AJ131" s="117"/>
      <c r="AK131" s="117"/>
      <c r="AL131" s="117"/>
      <c r="AM131" s="117"/>
      <c r="AN131" s="117"/>
      <c r="AO131" s="117"/>
      <c r="AP131" s="62"/>
      <c r="AQ131" s="60"/>
      <c r="AR131" s="60"/>
      <c r="AS131" s="60"/>
      <c r="AT131" s="60"/>
      <c r="AU131" s="60"/>
      <c r="AV131" s="60"/>
      <c r="AW131" s="60"/>
      <c r="AX131" s="63"/>
    </row>
    <row r="132" spans="1:50" s="1" customFormat="1" ht="12.75" customHeight="1">
      <c r="A132" s="81"/>
      <c r="B132" s="68"/>
      <c r="C132" s="69"/>
      <c r="D132" s="60"/>
      <c r="E132" s="60"/>
      <c r="F132" s="60"/>
      <c r="G132" s="60"/>
      <c r="H132" s="60"/>
      <c r="I132" s="60"/>
      <c r="J132" s="60"/>
      <c r="K132" s="60"/>
      <c r="L132" s="115"/>
      <c r="N132" s="60"/>
      <c r="O132" s="117"/>
      <c r="P132" s="117"/>
      <c r="Q132" s="117"/>
      <c r="R132" s="130" t="s">
        <v>212</v>
      </c>
      <c r="S132" s="102"/>
      <c r="T132" s="102"/>
      <c r="U132" s="102"/>
      <c r="V132" s="130" t="s">
        <v>213</v>
      </c>
      <c r="W132" s="102"/>
      <c r="X132" s="102"/>
      <c r="Y132" s="103"/>
      <c r="Z132" s="130" t="s">
        <v>129</v>
      </c>
      <c r="AA132" s="103"/>
      <c r="AD132" s="117"/>
      <c r="AE132" s="117"/>
      <c r="AF132" s="117"/>
      <c r="AG132" s="117"/>
      <c r="AH132" s="117"/>
      <c r="AI132" s="117"/>
      <c r="AJ132" s="117"/>
      <c r="AK132" s="117"/>
      <c r="AL132" s="117"/>
      <c r="AM132" s="117"/>
      <c r="AN132" s="117"/>
      <c r="AO132" s="117"/>
      <c r="AP132" s="62"/>
      <c r="AQ132" s="60"/>
      <c r="AR132" s="60"/>
      <c r="AS132" s="60"/>
      <c r="AT132" s="60"/>
      <c r="AU132" s="60"/>
      <c r="AV132" s="60"/>
      <c r="AW132" s="60"/>
      <c r="AX132" s="63"/>
    </row>
    <row r="133" spans="1:50" s="1" customFormat="1" ht="12.75" customHeight="1">
      <c r="A133" s="81"/>
      <c r="B133" s="68"/>
      <c r="C133" s="69"/>
      <c r="D133" s="60"/>
      <c r="E133" s="60"/>
      <c r="F133" s="60"/>
      <c r="G133" s="60"/>
      <c r="H133" s="60"/>
      <c r="I133" s="60"/>
      <c r="J133" s="60"/>
      <c r="K133" s="60"/>
      <c r="L133" s="115"/>
      <c r="N133" s="60"/>
      <c r="O133" s="117"/>
      <c r="P133" s="117"/>
      <c r="Q133" s="117"/>
      <c r="R133" s="117"/>
      <c r="S133" s="117"/>
      <c r="T133" s="117"/>
      <c r="U133" s="117"/>
      <c r="V133" s="117"/>
      <c r="W133" s="117"/>
      <c r="X133" s="117"/>
      <c r="Y133" s="117"/>
      <c r="Z133" s="117"/>
      <c r="AA133" s="117"/>
      <c r="AB133" s="117"/>
      <c r="AC133" s="117"/>
      <c r="AD133" s="117"/>
      <c r="AE133" s="117"/>
      <c r="AF133" s="117"/>
      <c r="AG133" s="117"/>
      <c r="AH133" s="117"/>
      <c r="AI133" s="117"/>
      <c r="AJ133" s="117"/>
      <c r="AK133" s="117"/>
      <c r="AL133" s="117"/>
      <c r="AM133" s="117"/>
      <c r="AN133" s="117"/>
      <c r="AO133" s="117"/>
      <c r="AP133" s="62"/>
      <c r="AQ133" s="60"/>
      <c r="AR133" s="60"/>
      <c r="AS133" s="60"/>
      <c r="AT133" s="60"/>
      <c r="AU133" s="60"/>
      <c r="AV133" s="60"/>
      <c r="AW133" s="60"/>
      <c r="AX133" s="63"/>
    </row>
    <row r="134" spans="1:50" s="1" customFormat="1" ht="12.75" customHeight="1">
      <c r="A134" s="81"/>
      <c r="B134" s="68"/>
      <c r="C134" s="69"/>
      <c r="D134" s="60"/>
      <c r="E134" s="60"/>
      <c r="F134" s="60"/>
      <c r="G134" s="60"/>
      <c r="H134" s="60"/>
      <c r="I134" s="60"/>
      <c r="J134" s="60"/>
      <c r="K134" s="60"/>
      <c r="L134" s="115"/>
      <c r="N134" s="60"/>
      <c r="O134" s="117"/>
      <c r="P134" s="117"/>
      <c r="Q134" s="117"/>
      <c r="R134" s="117" t="s">
        <v>303</v>
      </c>
      <c r="S134" s="117"/>
      <c r="T134" s="117"/>
      <c r="U134" s="117"/>
      <c r="V134" s="117"/>
      <c r="W134" s="117"/>
      <c r="X134" s="117"/>
      <c r="Y134" s="117"/>
      <c r="Z134" s="117"/>
      <c r="AA134" s="117"/>
      <c r="AB134" s="117"/>
      <c r="AC134" s="117"/>
      <c r="AD134" s="117"/>
      <c r="AE134" s="117"/>
      <c r="AF134" s="117"/>
      <c r="AG134" s="117"/>
      <c r="AH134" s="117"/>
      <c r="AI134" s="117"/>
      <c r="AJ134" s="117"/>
      <c r="AK134" s="117"/>
      <c r="AL134" s="117"/>
      <c r="AM134" s="117"/>
      <c r="AN134" s="117"/>
      <c r="AO134" s="117"/>
      <c r="AP134" s="62"/>
      <c r="AQ134" s="60" t="s">
        <v>208</v>
      </c>
      <c r="AR134" s="60"/>
      <c r="AS134" s="60"/>
      <c r="AT134" s="60"/>
      <c r="AU134" s="60"/>
      <c r="AV134" s="60"/>
      <c r="AW134" s="60"/>
      <c r="AX134" s="63"/>
    </row>
    <row r="135" spans="1:50" s="1" customFormat="1" ht="12.75" customHeight="1">
      <c r="A135" s="81"/>
      <c r="B135" s="68"/>
      <c r="C135" s="69"/>
      <c r="D135" s="60"/>
      <c r="E135" s="60"/>
      <c r="F135" s="60"/>
      <c r="G135" s="60"/>
      <c r="H135" s="60"/>
      <c r="I135" s="60"/>
      <c r="J135" s="60"/>
      <c r="K135" s="60"/>
      <c r="L135" s="115"/>
      <c r="N135" s="60"/>
      <c r="O135" s="117"/>
      <c r="P135" s="117"/>
      <c r="Q135" s="117"/>
      <c r="R135" s="117"/>
      <c r="S135" s="117" t="s">
        <v>226</v>
      </c>
      <c r="T135" s="117"/>
      <c r="U135" s="117"/>
      <c r="V135" s="117"/>
      <c r="W135" s="117"/>
      <c r="X135" s="117"/>
      <c r="Y135" s="117"/>
      <c r="Z135" s="117"/>
      <c r="AA135" s="117"/>
      <c r="AB135" s="117"/>
      <c r="AC135" s="117"/>
      <c r="AD135" s="117"/>
      <c r="AE135" s="117"/>
      <c r="AF135" s="117"/>
      <c r="AG135" s="117"/>
      <c r="AH135" s="117"/>
      <c r="AI135" s="117"/>
      <c r="AJ135" s="117"/>
      <c r="AK135" s="117"/>
      <c r="AL135" s="117"/>
      <c r="AM135" s="117"/>
      <c r="AN135" s="117"/>
      <c r="AO135" s="117"/>
      <c r="AP135" s="62"/>
      <c r="AQ135" s="60"/>
      <c r="AR135" s="60"/>
      <c r="AS135" s="60"/>
      <c r="AT135" s="60"/>
      <c r="AU135" s="60"/>
      <c r="AV135" s="60"/>
      <c r="AW135" s="60"/>
      <c r="AX135" s="63"/>
    </row>
    <row r="136" spans="1:50" s="1" customFormat="1" ht="12.75" customHeight="1">
      <c r="A136" s="81"/>
      <c r="B136" s="138"/>
      <c r="C136" s="139"/>
      <c r="D136" s="60"/>
      <c r="E136" s="60"/>
      <c r="F136" s="60"/>
      <c r="G136" s="60"/>
      <c r="H136" s="60"/>
      <c r="I136" s="60"/>
      <c r="J136" s="60"/>
      <c r="K136" s="60"/>
      <c r="L136" s="115"/>
      <c r="N136" s="60"/>
      <c r="O136" s="117"/>
      <c r="P136" s="117"/>
      <c r="Q136" s="117"/>
      <c r="R136" s="117"/>
      <c r="S136" s="117" t="s">
        <v>302</v>
      </c>
      <c r="T136" s="117"/>
      <c r="U136" s="117"/>
      <c r="V136" s="117"/>
      <c r="W136" s="117"/>
      <c r="X136" s="117"/>
      <c r="Y136" s="117"/>
      <c r="Z136" s="117"/>
      <c r="AA136" s="117"/>
      <c r="AB136" s="117"/>
      <c r="AC136" s="117"/>
      <c r="AD136" s="117"/>
      <c r="AE136" s="117"/>
      <c r="AF136" s="117"/>
      <c r="AG136" s="117"/>
      <c r="AH136" s="117"/>
      <c r="AI136" s="117"/>
      <c r="AJ136" s="117"/>
      <c r="AK136" s="117"/>
      <c r="AL136" s="117"/>
      <c r="AM136" s="117"/>
      <c r="AN136" s="117"/>
      <c r="AO136" s="117"/>
      <c r="AP136" s="62"/>
      <c r="AQ136" s="60"/>
      <c r="AR136" s="60"/>
      <c r="AS136" s="60"/>
      <c r="AT136" s="60"/>
      <c r="AU136" s="60"/>
      <c r="AV136" s="60"/>
      <c r="AW136" s="60"/>
      <c r="AX136" s="63"/>
    </row>
    <row r="137" spans="1:50" s="1" customFormat="1" ht="12.75" customHeight="1">
      <c r="A137" s="81"/>
      <c r="B137" s="68"/>
      <c r="C137" s="69"/>
      <c r="D137" s="60"/>
      <c r="E137" s="60"/>
      <c r="F137" s="60"/>
      <c r="G137" s="60"/>
      <c r="H137" s="60"/>
      <c r="I137" s="60"/>
      <c r="J137" s="60"/>
      <c r="K137" s="60"/>
      <c r="L137" s="115"/>
      <c r="N137" s="60"/>
      <c r="O137" s="117"/>
      <c r="P137" s="117"/>
      <c r="Q137" s="117"/>
      <c r="R137" s="117"/>
      <c r="S137" s="117" t="s">
        <v>227</v>
      </c>
      <c r="T137" s="117"/>
      <c r="U137" s="117"/>
      <c r="V137" s="117"/>
      <c r="W137" s="117"/>
      <c r="X137" s="117"/>
      <c r="Y137" s="117"/>
      <c r="Z137" s="117"/>
      <c r="AA137" s="117"/>
      <c r="AB137" s="117"/>
      <c r="AC137" s="117"/>
      <c r="AD137" s="117"/>
      <c r="AE137" s="117"/>
      <c r="AF137" s="117"/>
      <c r="AG137" s="117"/>
      <c r="AH137" s="117"/>
      <c r="AI137" s="117"/>
      <c r="AJ137" s="117"/>
      <c r="AK137" s="117"/>
      <c r="AL137" s="117"/>
      <c r="AM137" s="117"/>
      <c r="AN137" s="117"/>
      <c r="AO137" s="117"/>
      <c r="AP137" s="62"/>
      <c r="AQ137" s="60"/>
      <c r="AR137" s="60"/>
      <c r="AS137" s="60"/>
      <c r="AT137" s="60"/>
      <c r="AU137" s="60"/>
      <c r="AV137" s="60"/>
      <c r="AW137" s="60"/>
      <c r="AX137" s="63"/>
    </row>
    <row r="138" spans="1:50" s="1" customFormat="1" ht="12.75" customHeight="1">
      <c r="A138" s="81"/>
      <c r="B138" s="68"/>
      <c r="C138" s="69"/>
      <c r="D138" s="60"/>
      <c r="E138" s="60"/>
      <c r="F138" s="60"/>
      <c r="G138" s="60"/>
      <c r="H138" s="60"/>
      <c r="I138" s="60"/>
      <c r="J138" s="60"/>
      <c r="K138" s="60"/>
      <c r="L138" s="115"/>
      <c r="N138" s="60"/>
      <c r="O138" s="117"/>
      <c r="P138" s="117"/>
      <c r="Q138" s="117"/>
      <c r="R138" s="117"/>
      <c r="S138" s="117"/>
      <c r="T138" s="117"/>
      <c r="U138" s="117"/>
      <c r="V138" s="117"/>
      <c r="W138" s="117"/>
      <c r="X138" s="117"/>
      <c r="Y138" s="117"/>
      <c r="Z138" s="117"/>
      <c r="AA138" s="117"/>
      <c r="AB138" s="117"/>
      <c r="AC138" s="117"/>
      <c r="AD138" s="117"/>
      <c r="AE138" s="117"/>
      <c r="AF138" s="117"/>
      <c r="AG138" s="117"/>
      <c r="AH138" s="117"/>
      <c r="AI138" s="117"/>
      <c r="AJ138" s="117"/>
      <c r="AK138" s="117"/>
      <c r="AL138" s="117"/>
      <c r="AM138" s="117"/>
      <c r="AN138" s="117"/>
      <c r="AO138" s="117"/>
      <c r="AP138" s="62"/>
      <c r="AQ138" s="60"/>
      <c r="AR138" s="60"/>
      <c r="AS138" s="60"/>
      <c r="AT138" s="60"/>
      <c r="AU138" s="60"/>
      <c r="AV138" s="60"/>
      <c r="AW138" s="60"/>
      <c r="AX138" s="63"/>
    </row>
    <row r="139" spans="1:50" s="1" customFormat="1" ht="12.75" customHeight="1">
      <c r="A139" s="81"/>
      <c r="B139" s="68"/>
      <c r="C139" s="69"/>
      <c r="D139" s="60"/>
      <c r="E139" s="60"/>
      <c r="F139" s="60"/>
      <c r="G139" s="60"/>
      <c r="H139" s="60"/>
      <c r="I139" s="60"/>
      <c r="J139" s="60"/>
      <c r="K139" s="60"/>
      <c r="L139" s="115"/>
      <c r="N139" s="60"/>
      <c r="O139" s="117"/>
      <c r="P139" s="117"/>
      <c r="Q139" s="117"/>
      <c r="R139" s="133" t="s">
        <v>29</v>
      </c>
      <c r="S139" s="134"/>
      <c r="T139" s="134"/>
      <c r="U139" s="134"/>
      <c r="V139" s="133" t="s">
        <v>134</v>
      </c>
      <c r="W139" s="134"/>
      <c r="X139" s="134"/>
      <c r="Y139" s="134"/>
      <c r="Z139" s="134"/>
      <c r="AA139" s="134"/>
      <c r="AB139" s="134"/>
      <c r="AC139" s="134"/>
      <c r="AD139" s="134"/>
      <c r="AE139" s="135"/>
      <c r="AF139" s="133" t="s">
        <v>127</v>
      </c>
      <c r="AG139" s="135"/>
      <c r="AJ139" s="117"/>
      <c r="AK139" s="117"/>
      <c r="AL139" s="117"/>
      <c r="AM139" s="117"/>
      <c r="AN139" s="117"/>
      <c r="AO139" s="117"/>
      <c r="AP139" s="62"/>
      <c r="AQ139" s="60"/>
      <c r="AR139" s="60"/>
      <c r="AS139" s="60"/>
      <c r="AT139" s="60"/>
      <c r="AU139" s="60"/>
      <c r="AV139" s="60"/>
      <c r="AW139" s="60"/>
      <c r="AX139" s="63"/>
    </row>
    <row r="140" spans="1:50" s="1" customFormat="1" ht="12.75" customHeight="1">
      <c r="A140" s="81"/>
      <c r="B140" s="68"/>
      <c r="C140" s="69"/>
      <c r="D140" s="60"/>
      <c r="E140" s="60"/>
      <c r="F140" s="60"/>
      <c r="G140" s="60"/>
      <c r="H140" s="60"/>
      <c r="I140" s="60"/>
      <c r="J140" s="60"/>
      <c r="K140" s="60"/>
      <c r="L140" s="115"/>
      <c r="N140" s="60"/>
      <c r="O140" s="117"/>
      <c r="P140" s="117"/>
      <c r="Q140" s="117"/>
      <c r="R140" s="128" t="s">
        <v>70</v>
      </c>
      <c r="S140" s="107"/>
      <c r="T140" s="107"/>
      <c r="U140" s="107"/>
      <c r="V140" s="128" t="s">
        <v>228</v>
      </c>
      <c r="W140" s="107"/>
      <c r="X140" s="107"/>
      <c r="Y140" s="107"/>
      <c r="Z140" s="107"/>
      <c r="AA140" s="107"/>
      <c r="AB140" s="107"/>
      <c r="AC140" s="107"/>
      <c r="AD140" s="107"/>
      <c r="AE140" s="108"/>
      <c r="AF140" s="128" t="s">
        <v>129</v>
      </c>
      <c r="AG140" s="108"/>
      <c r="AJ140" s="117"/>
      <c r="AK140" s="117"/>
      <c r="AL140" s="117"/>
      <c r="AM140" s="117"/>
      <c r="AN140" s="117"/>
      <c r="AO140" s="117"/>
      <c r="AP140" s="62"/>
      <c r="AQ140" s="60"/>
      <c r="AR140" s="60"/>
      <c r="AS140" s="60"/>
      <c r="AT140" s="60"/>
      <c r="AU140" s="60"/>
      <c r="AV140" s="60"/>
      <c r="AW140" s="60"/>
      <c r="AX140" s="63"/>
    </row>
    <row r="141" spans="1:50" s="1" customFormat="1" ht="12.75" customHeight="1">
      <c r="A141" s="81"/>
      <c r="B141" s="68"/>
      <c r="C141" s="69"/>
      <c r="D141" s="60"/>
      <c r="E141" s="60"/>
      <c r="F141" s="60"/>
      <c r="G141" s="60"/>
      <c r="H141" s="60"/>
      <c r="I141" s="60"/>
      <c r="J141" s="60"/>
      <c r="K141" s="60"/>
      <c r="L141" s="115"/>
      <c r="N141" s="60"/>
      <c r="O141" s="117"/>
      <c r="P141" s="117"/>
      <c r="Q141" s="117"/>
      <c r="R141" s="129"/>
      <c r="S141" s="112"/>
      <c r="T141" s="112"/>
      <c r="U141" s="113"/>
      <c r="V141" s="129" t="s">
        <v>277</v>
      </c>
      <c r="W141" s="112"/>
      <c r="X141" s="112"/>
      <c r="Y141" s="112"/>
      <c r="Z141" s="112"/>
      <c r="AA141" s="112"/>
      <c r="AB141" s="112"/>
      <c r="AC141" s="112"/>
      <c r="AD141" s="112"/>
      <c r="AE141" s="113"/>
      <c r="AF141" s="129"/>
      <c r="AG141" s="113"/>
      <c r="AJ141" s="117"/>
      <c r="AK141" s="117"/>
      <c r="AL141" s="117"/>
      <c r="AM141" s="117"/>
      <c r="AN141" s="117"/>
      <c r="AO141" s="117"/>
      <c r="AP141" s="62"/>
      <c r="AQ141" s="60"/>
      <c r="AR141" s="60"/>
      <c r="AS141" s="60"/>
      <c r="AT141" s="60"/>
      <c r="AU141" s="60"/>
      <c r="AV141" s="60"/>
      <c r="AW141" s="60"/>
      <c r="AX141" s="63"/>
    </row>
    <row r="142" spans="1:50" s="1" customFormat="1" ht="12.75" customHeight="1">
      <c r="A142" s="81"/>
      <c r="B142" s="68"/>
      <c r="C142" s="69"/>
      <c r="D142" s="60"/>
      <c r="E142" s="60"/>
      <c r="F142" s="60"/>
      <c r="G142" s="60"/>
      <c r="H142" s="60"/>
      <c r="I142" s="60"/>
      <c r="J142" s="60"/>
      <c r="K142" s="60"/>
      <c r="L142" s="115"/>
      <c r="N142" s="60"/>
      <c r="O142" s="117"/>
      <c r="P142" s="117"/>
      <c r="Q142" s="117"/>
      <c r="R142" s="130" t="s">
        <v>235</v>
      </c>
      <c r="S142" s="102"/>
      <c r="T142" s="102"/>
      <c r="U142" s="102"/>
      <c r="V142" s="130" t="s">
        <v>236</v>
      </c>
      <c r="W142" s="102"/>
      <c r="X142" s="102"/>
      <c r="Y142" s="102"/>
      <c r="Z142" s="102"/>
      <c r="AA142" s="102"/>
      <c r="AB142" s="102"/>
      <c r="AC142" s="102"/>
      <c r="AD142" s="102"/>
      <c r="AE142" s="103"/>
      <c r="AF142" s="130" t="s">
        <v>129</v>
      </c>
      <c r="AG142" s="103"/>
      <c r="AJ142" s="117"/>
      <c r="AK142" s="117"/>
      <c r="AL142" s="117"/>
      <c r="AM142" s="117"/>
      <c r="AN142" s="117"/>
      <c r="AO142" s="117"/>
      <c r="AP142" s="62"/>
      <c r="AQ142" s="60"/>
      <c r="AR142" s="60"/>
      <c r="AS142" s="60"/>
      <c r="AT142" s="60"/>
      <c r="AU142" s="60"/>
      <c r="AV142" s="60"/>
      <c r="AW142" s="60"/>
      <c r="AX142" s="63"/>
    </row>
    <row r="143" spans="1:50" s="1" customFormat="1" ht="12.75" customHeight="1">
      <c r="A143" s="81"/>
      <c r="B143" s="68"/>
      <c r="C143" s="69"/>
      <c r="D143" s="60"/>
      <c r="E143" s="60"/>
      <c r="F143" s="60"/>
      <c r="G143" s="60"/>
      <c r="H143" s="60"/>
      <c r="I143" s="60"/>
      <c r="J143" s="60"/>
      <c r="K143" s="60"/>
      <c r="L143" s="115"/>
      <c r="M143" s="60"/>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c r="AI143" s="117"/>
      <c r="AJ143" s="117"/>
      <c r="AK143" s="117"/>
      <c r="AL143" s="117"/>
      <c r="AM143" s="117"/>
      <c r="AN143" s="117"/>
      <c r="AO143" s="117"/>
      <c r="AP143" s="62"/>
      <c r="AQ143" s="60"/>
      <c r="AR143" s="60"/>
      <c r="AS143" s="60"/>
      <c r="AT143" s="60"/>
      <c r="AU143" s="60"/>
      <c r="AV143" s="60"/>
      <c r="AW143" s="60"/>
      <c r="AX143" s="63"/>
    </row>
    <row r="144" spans="1:50" s="1" customFormat="1" ht="12.75" customHeight="1">
      <c r="A144" s="81"/>
      <c r="B144" s="68"/>
      <c r="C144" s="69"/>
      <c r="D144" s="60" t="s">
        <v>208</v>
      </c>
      <c r="E144" s="60"/>
      <c r="F144" s="60"/>
      <c r="G144" s="60"/>
      <c r="H144" s="60"/>
      <c r="I144" s="60"/>
      <c r="J144" s="60"/>
      <c r="K144" s="60"/>
      <c r="L144" s="115"/>
      <c r="M144" s="82" t="s">
        <v>285</v>
      </c>
      <c r="N144" s="117" t="s">
        <v>390</v>
      </c>
      <c r="O144" s="117"/>
      <c r="Q144" s="117"/>
      <c r="R144" s="117"/>
      <c r="S144" s="117"/>
      <c r="T144" s="117"/>
      <c r="U144" s="117"/>
      <c r="V144" s="117"/>
      <c r="W144" s="117"/>
      <c r="X144" s="117"/>
      <c r="Y144" s="117"/>
      <c r="Z144" s="117"/>
      <c r="AA144" s="117"/>
      <c r="AB144" s="117"/>
      <c r="AC144" s="117"/>
      <c r="AD144" s="117"/>
      <c r="AE144" s="117"/>
      <c r="AF144" s="117"/>
      <c r="AG144" s="117"/>
      <c r="AH144" s="117"/>
      <c r="AI144" s="117"/>
      <c r="AJ144" s="117"/>
      <c r="AK144" s="117"/>
      <c r="AL144" s="117"/>
      <c r="AM144" s="117"/>
      <c r="AN144" s="117"/>
      <c r="AO144" s="117"/>
      <c r="AP144" s="62"/>
      <c r="AQ144" s="60" t="s">
        <v>231</v>
      </c>
      <c r="AR144" s="60"/>
      <c r="AS144" s="60"/>
      <c r="AT144" s="60"/>
      <c r="AU144" s="60"/>
      <c r="AV144" s="60"/>
      <c r="AW144" s="60"/>
      <c r="AX144" s="63"/>
    </row>
    <row r="145" spans="1:50" s="1" customFormat="1" ht="12.75" customHeight="1">
      <c r="A145" s="81"/>
      <c r="B145" s="68"/>
      <c r="C145" s="69"/>
      <c r="D145" s="60" t="s">
        <v>231</v>
      </c>
      <c r="E145" s="60"/>
      <c r="F145" s="60"/>
      <c r="G145" s="60"/>
      <c r="H145" s="60"/>
      <c r="I145" s="60"/>
      <c r="J145" s="60"/>
      <c r="K145" s="60"/>
      <c r="L145" s="115"/>
      <c r="M145" s="60"/>
      <c r="N145" s="117" t="s">
        <v>230</v>
      </c>
      <c r="O145" s="117"/>
      <c r="P145" s="117"/>
      <c r="Q145" s="117"/>
      <c r="R145" s="117"/>
      <c r="S145" s="117"/>
      <c r="T145" s="117"/>
      <c r="U145" s="117"/>
      <c r="V145" s="117"/>
      <c r="W145" s="117"/>
      <c r="X145" s="117"/>
      <c r="Y145" s="117"/>
      <c r="Z145" s="117"/>
      <c r="AA145" s="117"/>
      <c r="AB145" s="117"/>
      <c r="AC145" s="117"/>
      <c r="AD145" s="117"/>
      <c r="AE145" s="117"/>
      <c r="AF145" s="117"/>
      <c r="AG145" s="117"/>
      <c r="AH145" s="117"/>
      <c r="AI145" s="117"/>
      <c r="AJ145" s="117"/>
      <c r="AK145" s="117"/>
      <c r="AL145" s="117"/>
      <c r="AM145" s="117"/>
      <c r="AN145" s="117"/>
      <c r="AO145" s="117"/>
      <c r="AP145" s="62"/>
      <c r="AQ145" s="60"/>
      <c r="AR145" s="60"/>
      <c r="AS145" s="60"/>
      <c r="AT145" s="60"/>
      <c r="AU145" s="60"/>
      <c r="AV145" s="60"/>
      <c r="AW145" s="60"/>
      <c r="AX145" s="63"/>
    </row>
    <row r="146" spans="1:50" s="1" customFormat="1" ht="12.75" customHeight="1">
      <c r="A146" s="81"/>
      <c r="B146" s="68"/>
      <c r="C146" s="69"/>
      <c r="D146" s="60"/>
      <c r="E146" s="60"/>
      <c r="F146" s="60"/>
      <c r="G146" s="60"/>
      <c r="H146" s="60"/>
      <c r="I146" s="60"/>
      <c r="J146" s="60"/>
      <c r="K146" s="60"/>
      <c r="L146" s="115"/>
      <c r="M146" s="60"/>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c r="AI146" s="117"/>
      <c r="AJ146" s="117"/>
      <c r="AK146" s="117"/>
      <c r="AL146" s="117"/>
      <c r="AM146" s="117"/>
      <c r="AN146" s="117"/>
      <c r="AO146" s="117"/>
      <c r="AP146" s="62"/>
      <c r="AQ146" s="60"/>
      <c r="AR146" s="60"/>
      <c r="AS146" s="60"/>
      <c r="AT146" s="60"/>
      <c r="AU146" s="60"/>
      <c r="AV146" s="60"/>
      <c r="AW146" s="60"/>
      <c r="AX146" s="63"/>
    </row>
    <row r="147" spans="1:50" s="1" customFormat="1" ht="12.75" customHeight="1">
      <c r="A147" s="81"/>
      <c r="B147" s="68"/>
      <c r="C147" s="69"/>
      <c r="D147" s="60"/>
      <c r="E147" s="60"/>
      <c r="F147" s="60"/>
      <c r="G147" s="60"/>
      <c r="H147" s="60"/>
      <c r="I147" s="60"/>
      <c r="J147" s="60"/>
      <c r="K147" s="60"/>
      <c r="L147" s="115"/>
      <c r="M147" s="82" t="s">
        <v>286</v>
      </c>
      <c r="N147" s="117" t="s">
        <v>391</v>
      </c>
      <c r="O147" s="117"/>
      <c r="P147" s="117"/>
      <c r="Q147" s="117"/>
      <c r="R147" s="117"/>
      <c r="S147" s="117"/>
      <c r="T147" s="117"/>
      <c r="U147" s="117"/>
      <c r="V147" s="117"/>
      <c r="W147" s="117"/>
      <c r="X147" s="117"/>
      <c r="Y147" s="117"/>
      <c r="Z147" s="117"/>
      <c r="AA147" s="117"/>
      <c r="AB147" s="117"/>
      <c r="AC147" s="117"/>
      <c r="AD147" s="117"/>
      <c r="AE147" s="117"/>
      <c r="AF147" s="117"/>
      <c r="AG147" s="117"/>
      <c r="AH147" s="117"/>
      <c r="AI147" s="117"/>
      <c r="AJ147" s="117"/>
      <c r="AK147" s="117"/>
      <c r="AL147" s="117"/>
      <c r="AM147" s="117"/>
      <c r="AN147" s="117"/>
      <c r="AO147" s="117"/>
      <c r="AP147" s="62"/>
      <c r="AQ147" s="60"/>
      <c r="AR147" s="60"/>
      <c r="AS147" s="60"/>
      <c r="AT147" s="60"/>
      <c r="AU147" s="60"/>
      <c r="AV147" s="60"/>
      <c r="AW147" s="60"/>
      <c r="AX147" s="63"/>
    </row>
    <row r="148" spans="1:50" s="1" customFormat="1" ht="12.75" customHeight="1">
      <c r="A148" s="81"/>
      <c r="B148" s="68"/>
      <c r="C148" s="69"/>
      <c r="D148" s="60"/>
      <c r="E148" s="60"/>
      <c r="F148" s="60"/>
      <c r="G148" s="60"/>
      <c r="H148" s="60"/>
      <c r="I148" s="60"/>
      <c r="J148" s="60"/>
      <c r="K148" s="60"/>
      <c r="L148" s="115"/>
      <c r="M148" s="82"/>
      <c r="N148" s="117" t="s">
        <v>299</v>
      </c>
      <c r="O148" s="117"/>
      <c r="P148" s="117"/>
      <c r="Q148" s="117"/>
      <c r="R148" s="117"/>
      <c r="S148" s="117"/>
      <c r="T148" s="117"/>
      <c r="U148" s="117"/>
      <c r="V148" s="117"/>
      <c r="W148" s="117"/>
      <c r="X148" s="117"/>
      <c r="Y148" s="117"/>
      <c r="Z148" s="117"/>
      <c r="AA148" s="117"/>
      <c r="AB148" s="117"/>
      <c r="AC148" s="117"/>
      <c r="AD148" s="117"/>
      <c r="AE148" s="117"/>
      <c r="AF148" s="117"/>
      <c r="AG148" s="117"/>
      <c r="AH148" s="117"/>
      <c r="AI148" s="117"/>
      <c r="AJ148" s="117"/>
      <c r="AK148" s="117"/>
      <c r="AL148" s="117"/>
      <c r="AM148" s="117"/>
      <c r="AN148" s="117"/>
      <c r="AO148" s="117"/>
      <c r="AP148" s="62"/>
      <c r="AQ148" s="60"/>
      <c r="AR148" s="60"/>
      <c r="AS148" s="60"/>
      <c r="AT148" s="60"/>
      <c r="AU148" s="60"/>
      <c r="AV148" s="60"/>
      <c r="AW148" s="60"/>
      <c r="AX148" s="63"/>
    </row>
    <row r="149" spans="1:50" s="1" customFormat="1" ht="12.75" customHeight="1">
      <c r="A149" s="81"/>
      <c r="B149" s="68"/>
      <c r="C149" s="69"/>
      <c r="D149" s="60"/>
      <c r="E149" s="60"/>
      <c r="F149" s="60"/>
      <c r="G149" s="60"/>
      <c r="H149" s="60"/>
      <c r="I149" s="60"/>
      <c r="J149" s="60"/>
      <c r="K149" s="60"/>
      <c r="L149" s="115"/>
      <c r="S149" s="116"/>
      <c r="T149" s="92"/>
      <c r="U149" s="92"/>
      <c r="V149" s="92"/>
      <c r="W149" s="92"/>
      <c r="X149" s="116"/>
      <c r="Y149" s="116"/>
      <c r="Z149" s="117"/>
      <c r="AA149" s="117"/>
      <c r="AB149" s="117"/>
      <c r="AC149" s="117"/>
      <c r="AD149" s="117"/>
      <c r="AE149" s="117"/>
      <c r="AF149" s="117"/>
      <c r="AG149" s="117"/>
      <c r="AH149" s="117"/>
      <c r="AI149" s="117"/>
      <c r="AJ149" s="117"/>
      <c r="AK149" s="117"/>
      <c r="AL149" s="117"/>
      <c r="AM149" s="117"/>
      <c r="AN149" s="117"/>
      <c r="AO149" s="117"/>
      <c r="AP149" s="62"/>
      <c r="AQ149" s="60"/>
      <c r="AR149" s="60"/>
      <c r="AS149" s="60"/>
      <c r="AT149" s="60"/>
      <c r="AU149" s="60"/>
      <c r="AV149" s="60"/>
      <c r="AW149" s="60"/>
      <c r="AX149" s="63"/>
    </row>
    <row r="150" spans="1:50" s="1" customFormat="1" ht="12.75" customHeight="1">
      <c r="A150" s="81"/>
      <c r="B150" s="68"/>
      <c r="C150" s="69"/>
      <c r="D150" s="60" t="s">
        <v>231</v>
      </c>
      <c r="E150" s="60"/>
      <c r="F150" s="60"/>
      <c r="G150" s="60"/>
      <c r="H150" s="60"/>
      <c r="I150" s="60"/>
      <c r="J150" s="60"/>
      <c r="K150" s="60"/>
      <c r="L150" s="115" t="s">
        <v>287</v>
      </c>
      <c r="M150" s="60" t="s">
        <v>392</v>
      </c>
      <c r="N150" s="116"/>
      <c r="O150" s="116"/>
      <c r="P150" s="116"/>
      <c r="Q150" s="116"/>
      <c r="R150" s="116"/>
      <c r="S150" s="116"/>
      <c r="T150" s="92"/>
      <c r="U150" s="92"/>
      <c r="V150" s="92"/>
      <c r="W150" s="92"/>
      <c r="X150" s="116"/>
      <c r="Y150" s="116"/>
      <c r="Z150" s="117"/>
      <c r="AA150" s="117"/>
      <c r="AB150" s="117"/>
      <c r="AC150" s="117"/>
      <c r="AD150" s="117"/>
      <c r="AE150" s="117"/>
      <c r="AF150" s="117"/>
      <c r="AG150" s="117"/>
      <c r="AH150" s="117"/>
      <c r="AI150" s="117"/>
      <c r="AJ150" s="117"/>
      <c r="AK150" s="117"/>
      <c r="AL150" s="117"/>
      <c r="AM150" s="117"/>
      <c r="AN150" s="117"/>
      <c r="AO150" s="117"/>
      <c r="AP150" s="62"/>
      <c r="AQ150" s="60"/>
      <c r="AR150" s="60"/>
      <c r="AS150" s="60"/>
      <c r="AT150" s="60"/>
      <c r="AU150" s="60"/>
      <c r="AV150" s="60"/>
      <c r="AW150" s="60"/>
      <c r="AX150" s="63"/>
    </row>
    <row r="151" spans="1:50" s="1" customFormat="1" ht="12.75" customHeight="1">
      <c r="A151" s="81"/>
      <c r="B151" s="68"/>
      <c r="C151" s="69"/>
      <c r="D151" s="60"/>
      <c r="E151" s="60"/>
      <c r="F151" s="60"/>
      <c r="G151" s="60"/>
      <c r="H151" s="60"/>
      <c r="I151" s="60"/>
      <c r="J151" s="60"/>
      <c r="K151" s="60"/>
      <c r="L151" s="115"/>
      <c r="M151" s="82" t="s">
        <v>288</v>
      </c>
      <c r="N151" s="116" t="s">
        <v>263</v>
      </c>
      <c r="O151" s="116"/>
      <c r="P151" s="116"/>
      <c r="Q151" s="116"/>
      <c r="R151" s="116"/>
      <c r="S151" s="116"/>
      <c r="T151" s="92"/>
      <c r="U151" s="92"/>
      <c r="V151" s="92"/>
      <c r="W151" s="92"/>
      <c r="X151" s="116"/>
      <c r="Y151" s="116"/>
      <c r="Z151" s="117"/>
      <c r="AA151" s="117"/>
      <c r="AB151" s="117"/>
      <c r="AC151" s="117"/>
      <c r="AD151" s="117"/>
      <c r="AE151" s="117"/>
      <c r="AF151" s="117"/>
      <c r="AG151" s="117"/>
      <c r="AH151" s="117"/>
      <c r="AI151" s="117"/>
      <c r="AJ151" s="117"/>
      <c r="AK151" s="117"/>
      <c r="AL151" s="117"/>
      <c r="AM151" s="117"/>
      <c r="AN151" s="117"/>
      <c r="AO151" s="117"/>
      <c r="AP151" s="62"/>
      <c r="AQ151" s="60"/>
      <c r="AR151" s="60"/>
      <c r="AS151" s="60"/>
      <c r="AT151" s="60"/>
      <c r="AU151" s="60"/>
      <c r="AV151" s="60"/>
      <c r="AW151" s="60"/>
      <c r="AX151" s="63"/>
    </row>
    <row r="152" spans="1:50" s="1" customFormat="1" ht="12.75" customHeight="1">
      <c r="A152" s="81"/>
      <c r="B152" s="68"/>
      <c r="C152" s="69"/>
      <c r="D152" s="60"/>
      <c r="E152" s="60"/>
      <c r="F152" s="60"/>
      <c r="G152" s="60"/>
      <c r="H152" s="60"/>
      <c r="I152" s="60"/>
      <c r="J152" s="60"/>
      <c r="K152" s="60"/>
      <c r="L152" s="115"/>
      <c r="M152" s="60"/>
      <c r="N152" s="82" t="s">
        <v>289</v>
      </c>
      <c r="O152" s="116" t="s">
        <v>262</v>
      </c>
      <c r="P152" s="116"/>
      <c r="Q152" s="116"/>
      <c r="R152" s="116"/>
      <c r="S152" s="116"/>
      <c r="T152" s="92"/>
      <c r="U152" s="92"/>
      <c r="V152" s="92"/>
      <c r="W152" s="92"/>
      <c r="X152" s="116"/>
      <c r="Y152" s="116"/>
      <c r="Z152" s="117"/>
      <c r="AA152" s="117"/>
      <c r="AB152" s="117"/>
      <c r="AC152" s="117"/>
      <c r="AD152" s="117"/>
      <c r="AE152" s="117"/>
      <c r="AF152" s="117"/>
      <c r="AG152" s="117"/>
      <c r="AH152" s="117"/>
      <c r="AI152" s="117"/>
      <c r="AJ152" s="117"/>
      <c r="AK152" s="117"/>
      <c r="AL152" s="117"/>
      <c r="AM152" s="117"/>
      <c r="AN152" s="117"/>
      <c r="AO152" s="117"/>
      <c r="AP152" s="62"/>
      <c r="AQ152" s="60" t="s">
        <v>258</v>
      </c>
      <c r="AR152" s="60"/>
      <c r="AS152" s="60"/>
      <c r="AT152" s="60"/>
      <c r="AU152" s="60"/>
      <c r="AV152" s="60"/>
      <c r="AW152" s="60"/>
      <c r="AX152" s="63"/>
    </row>
    <row r="153" spans="1:50" s="1" customFormat="1" ht="12.75" customHeight="1">
      <c r="A153" s="81"/>
      <c r="B153" s="68"/>
      <c r="C153" s="69"/>
      <c r="D153" s="60"/>
      <c r="E153" s="60"/>
      <c r="F153" s="60"/>
      <c r="G153" s="60"/>
      <c r="H153" s="60"/>
      <c r="I153" s="60"/>
      <c r="J153" s="60"/>
      <c r="K153" s="60"/>
      <c r="L153" s="115"/>
      <c r="M153" s="60"/>
      <c r="N153" s="82"/>
      <c r="O153" s="116"/>
      <c r="P153" s="116"/>
      <c r="Q153" s="116"/>
      <c r="R153" s="116"/>
      <c r="S153" s="116"/>
      <c r="T153" s="92"/>
      <c r="U153" s="92"/>
      <c r="V153" s="92"/>
      <c r="W153" s="92"/>
      <c r="X153" s="116"/>
      <c r="Y153" s="116"/>
      <c r="Z153" s="117"/>
      <c r="AA153" s="117"/>
      <c r="AB153" s="117"/>
      <c r="AC153" s="117"/>
      <c r="AD153" s="117"/>
      <c r="AE153" s="117"/>
      <c r="AF153" s="117"/>
      <c r="AG153" s="117"/>
      <c r="AH153" s="117"/>
      <c r="AI153" s="117"/>
      <c r="AJ153" s="117"/>
      <c r="AK153" s="117"/>
      <c r="AL153" s="117"/>
      <c r="AM153" s="117"/>
      <c r="AN153" s="117"/>
      <c r="AO153" s="117"/>
      <c r="AP153" s="62"/>
      <c r="AQ153" s="60"/>
      <c r="AR153" s="60"/>
      <c r="AS153" s="60"/>
      <c r="AT153" s="60"/>
      <c r="AU153" s="60"/>
      <c r="AV153" s="60"/>
      <c r="AW153" s="60"/>
      <c r="AX153" s="63"/>
    </row>
    <row r="154" spans="1:50" s="1" customFormat="1" ht="12.75" customHeight="1">
      <c r="A154" s="81"/>
      <c r="B154" s="68"/>
      <c r="C154" s="69"/>
      <c r="D154" s="60"/>
      <c r="E154" s="60"/>
      <c r="F154" s="60"/>
      <c r="G154" s="60"/>
      <c r="H154" s="60"/>
      <c r="I154" s="60"/>
      <c r="J154" s="60"/>
      <c r="K154" s="60"/>
      <c r="L154" s="115"/>
      <c r="M154" s="60"/>
      <c r="N154" s="60" t="s">
        <v>259</v>
      </c>
      <c r="O154" s="116"/>
      <c r="P154" s="116"/>
      <c r="Q154" s="116"/>
      <c r="R154" s="116"/>
      <c r="S154" s="116"/>
      <c r="T154" s="116"/>
      <c r="U154" s="92"/>
      <c r="V154" s="92"/>
      <c r="W154" s="92"/>
      <c r="X154" s="92"/>
      <c r="Y154" s="116"/>
      <c r="Z154" s="116"/>
      <c r="AA154" s="117"/>
      <c r="AB154" s="117"/>
      <c r="AC154" s="117"/>
      <c r="AD154" s="117"/>
      <c r="AE154" s="117"/>
      <c r="AF154" s="117"/>
      <c r="AG154" s="117"/>
      <c r="AH154" s="117"/>
      <c r="AI154" s="117"/>
      <c r="AJ154" s="117"/>
      <c r="AK154" s="117"/>
      <c r="AL154" s="117"/>
      <c r="AM154" s="117"/>
      <c r="AN154" s="117"/>
      <c r="AO154" s="117"/>
      <c r="AP154" s="62"/>
      <c r="AQ154" s="60"/>
      <c r="AR154" s="60"/>
      <c r="AS154" s="60"/>
      <c r="AT154" s="60"/>
      <c r="AU154" s="60"/>
      <c r="AV154" s="60"/>
      <c r="AW154" s="60"/>
      <c r="AX154" s="63"/>
    </row>
    <row r="155" spans="1:50" s="1" customFormat="1" ht="12.75" customHeight="1">
      <c r="A155" s="81"/>
      <c r="B155" s="68"/>
      <c r="C155" s="69"/>
      <c r="D155" s="60"/>
      <c r="E155" s="60"/>
      <c r="F155" s="60"/>
      <c r="G155" s="60"/>
      <c r="H155" s="60"/>
      <c r="I155" s="60"/>
      <c r="J155" s="60"/>
      <c r="K155" s="60"/>
      <c r="L155" s="115"/>
      <c r="N155" s="118" t="s">
        <v>29</v>
      </c>
      <c r="O155" s="119"/>
      <c r="P155" s="119"/>
      <c r="Q155" s="120"/>
      <c r="R155" s="120"/>
      <c r="S155" s="120"/>
      <c r="T155" s="120"/>
      <c r="U155" s="120"/>
      <c r="V155" s="123" t="s">
        <v>134</v>
      </c>
      <c r="W155" s="119"/>
      <c r="X155" s="119"/>
      <c r="Y155" s="121"/>
      <c r="Z155" s="121"/>
      <c r="AA155" s="121"/>
      <c r="AB155" s="121"/>
      <c r="AC155" s="121"/>
      <c r="AD155" s="121"/>
      <c r="AE155" s="121"/>
      <c r="AF155" s="121"/>
      <c r="AG155" s="121"/>
      <c r="AH155" s="122"/>
      <c r="AI155" s="118" t="s">
        <v>127</v>
      </c>
      <c r="AJ155" s="196"/>
      <c r="AM155" s="117"/>
      <c r="AN155" s="117"/>
      <c r="AO155" s="117"/>
      <c r="AP155" s="62"/>
      <c r="AQ155" s="60"/>
      <c r="AR155" s="60"/>
      <c r="AS155" s="60"/>
      <c r="AT155" s="60"/>
      <c r="AU155" s="60"/>
      <c r="AV155" s="60"/>
      <c r="AW155" s="60"/>
      <c r="AX155" s="63"/>
    </row>
    <row r="156" spans="1:50" s="1" customFormat="1" ht="12.75" customHeight="1">
      <c r="A156" s="81"/>
      <c r="B156" s="68"/>
      <c r="C156" s="69"/>
      <c r="D156" s="60"/>
      <c r="E156" s="60"/>
      <c r="F156" s="60"/>
      <c r="G156" s="60"/>
      <c r="H156" s="60"/>
      <c r="I156" s="60"/>
      <c r="J156" s="60"/>
      <c r="K156" s="60"/>
      <c r="L156" s="115"/>
      <c r="N156" s="98" t="s">
        <v>56</v>
      </c>
      <c r="O156" s="100"/>
      <c r="P156" s="100"/>
      <c r="Q156" s="101"/>
      <c r="R156" s="101"/>
      <c r="S156" s="101"/>
      <c r="T156" s="101"/>
      <c r="U156" s="101"/>
      <c r="V156" s="131" t="s">
        <v>238</v>
      </c>
      <c r="W156" s="100"/>
      <c r="X156" s="100"/>
      <c r="Y156" s="102"/>
      <c r="Z156" s="102"/>
      <c r="AA156" s="102"/>
      <c r="AB156" s="102"/>
      <c r="AC156" s="102"/>
      <c r="AD156" s="102"/>
      <c r="AE156" s="102"/>
      <c r="AF156" s="102"/>
      <c r="AG156" s="102"/>
      <c r="AH156" s="103"/>
      <c r="AI156" s="98" t="s">
        <v>129</v>
      </c>
      <c r="AJ156" s="99"/>
      <c r="AM156" s="117"/>
      <c r="AN156" s="117"/>
      <c r="AO156" s="117"/>
      <c r="AP156" s="62"/>
      <c r="AQ156" s="60"/>
      <c r="AR156" s="60"/>
      <c r="AS156" s="60"/>
      <c r="AT156" s="60"/>
      <c r="AU156" s="60"/>
      <c r="AV156" s="60"/>
      <c r="AW156" s="60"/>
      <c r="AX156" s="63"/>
    </row>
    <row r="157" spans="1:50" s="1" customFormat="1" ht="12.75" customHeight="1">
      <c r="A157" s="81"/>
      <c r="B157" s="68"/>
      <c r="C157" s="69"/>
      <c r="D157" s="60"/>
      <c r="E157" s="60"/>
      <c r="F157" s="60"/>
      <c r="G157" s="60"/>
      <c r="H157" s="60"/>
      <c r="I157" s="60"/>
      <c r="J157" s="60"/>
      <c r="K157" s="60"/>
      <c r="L157" s="115"/>
      <c r="N157" s="98" t="s">
        <v>92</v>
      </c>
      <c r="O157" s="100"/>
      <c r="P157" s="100"/>
      <c r="Q157" s="101"/>
      <c r="R157" s="101"/>
      <c r="S157" s="101"/>
      <c r="T157" s="101"/>
      <c r="U157" s="101"/>
      <c r="V157" s="131" t="s">
        <v>239</v>
      </c>
      <c r="W157" s="100"/>
      <c r="X157" s="100"/>
      <c r="Y157" s="102"/>
      <c r="Z157" s="102"/>
      <c r="AA157" s="102"/>
      <c r="AB157" s="102"/>
      <c r="AC157" s="102"/>
      <c r="AD157" s="102"/>
      <c r="AE157" s="102"/>
      <c r="AF157" s="102"/>
      <c r="AG157" s="102"/>
      <c r="AH157" s="103"/>
      <c r="AI157" s="98" t="s">
        <v>129</v>
      </c>
      <c r="AJ157" s="99"/>
      <c r="AM157" s="117"/>
      <c r="AN157" s="117"/>
      <c r="AO157" s="117"/>
      <c r="AP157" s="62"/>
      <c r="AQ157" s="60"/>
      <c r="AR157" s="60"/>
      <c r="AS157" s="60"/>
      <c r="AT157" s="60"/>
      <c r="AU157" s="60"/>
      <c r="AV157" s="60"/>
      <c r="AW157" s="60"/>
      <c r="AX157" s="63"/>
    </row>
    <row r="158" spans="1:50" s="1" customFormat="1" ht="12.75" customHeight="1">
      <c r="A158" s="81"/>
      <c r="B158" s="68"/>
      <c r="C158" s="69"/>
      <c r="D158" s="60"/>
      <c r="E158" s="60"/>
      <c r="F158" s="60"/>
      <c r="G158" s="60"/>
      <c r="H158" s="60"/>
      <c r="I158" s="60"/>
      <c r="J158" s="60"/>
      <c r="K158" s="60"/>
      <c r="L158" s="115"/>
      <c r="N158" s="98" t="s">
        <v>57</v>
      </c>
      <c r="O158" s="100"/>
      <c r="P158" s="100"/>
      <c r="Q158" s="101"/>
      <c r="R158" s="101"/>
      <c r="S158" s="101"/>
      <c r="T158" s="101"/>
      <c r="U158" s="101"/>
      <c r="V158" s="131" t="s">
        <v>240</v>
      </c>
      <c r="W158" s="100"/>
      <c r="X158" s="100"/>
      <c r="Y158" s="102"/>
      <c r="Z158" s="102"/>
      <c r="AA158" s="102"/>
      <c r="AB158" s="102"/>
      <c r="AC158" s="102"/>
      <c r="AD158" s="102"/>
      <c r="AE158" s="102"/>
      <c r="AF158" s="102"/>
      <c r="AG158" s="102"/>
      <c r="AH158" s="103"/>
      <c r="AI158" s="98" t="s">
        <v>129</v>
      </c>
      <c r="AJ158" s="99"/>
      <c r="AM158" s="117"/>
      <c r="AN158" s="117"/>
      <c r="AO158" s="117"/>
      <c r="AP158" s="62"/>
      <c r="AQ158" s="60"/>
      <c r="AR158" s="60"/>
      <c r="AS158" s="60"/>
      <c r="AT158" s="60"/>
      <c r="AU158" s="60"/>
      <c r="AV158" s="60"/>
      <c r="AW158" s="60"/>
      <c r="AX158" s="63"/>
    </row>
    <row r="159" spans="1:50" s="1" customFormat="1" ht="12.75" customHeight="1">
      <c r="A159" s="81"/>
      <c r="B159" s="68"/>
      <c r="C159" s="69"/>
      <c r="D159" s="60"/>
      <c r="E159" s="60"/>
      <c r="F159" s="60"/>
      <c r="G159" s="60"/>
      <c r="H159" s="60"/>
      <c r="I159" s="60"/>
      <c r="J159" s="60"/>
      <c r="K159" s="60"/>
      <c r="L159" s="115"/>
      <c r="N159" s="98" t="s">
        <v>237</v>
      </c>
      <c r="O159" s="100"/>
      <c r="P159" s="100"/>
      <c r="Q159" s="101"/>
      <c r="R159" s="101"/>
      <c r="S159" s="101"/>
      <c r="T159" s="101"/>
      <c r="U159" s="101"/>
      <c r="V159" s="131" t="s">
        <v>241</v>
      </c>
      <c r="W159" s="100"/>
      <c r="X159" s="100"/>
      <c r="Y159" s="102"/>
      <c r="Z159" s="102"/>
      <c r="AA159" s="102"/>
      <c r="AB159" s="102"/>
      <c r="AC159" s="102"/>
      <c r="AD159" s="102"/>
      <c r="AE159" s="102"/>
      <c r="AF159" s="102"/>
      <c r="AG159" s="102"/>
      <c r="AH159" s="103"/>
      <c r="AI159" s="98" t="s">
        <v>129</v>
      </c>
      <c r="AJ159" s="99"/>
      <c r="AM159" s="117"/>
      <c r="AN159" s="117"/>
      <c r="AO159" s="117"/>
      <c r="AP159" s="62"/>
      <c r="AQ159" s="60"/>
      <c r="AR159" s="60"/>
      <c r="AS159" s="60"/>
      <c r="AT159" s="60"/>
      <c r="AU159" s="60"/>
      <c r="AV159" s="60"/>
      <c r="AW159" s="60"/>
      <c r="AX159" s="63"/>
    </row>
    <row r="160" spans="1:50" s="1" customFormat="1" ht="12.75" customHeight="1">
      <c r="A160" s="81"/>
      <c r="B160" s="68"/>
      <c r="C160" s="69"/>
      <c r="D160" s="60"/>
      <c r="E160" s="60"/>
      <c r="F160" s="60"/>
      <c r="G160" s="60"/>
      <c r="H160" s="60"/>
      <c r="I160" s="60"/>
      <c r="J160" s="60"/>
      <c r="K160" s="60"/>
      <c r="L160" s="115"/>
      <c r="N160" s="98" t="s">
        <v>105</v>
      </c>
      <c r="O160" s="100"/>
      <c r="P160" s="100"/>
      <c r="Q160" s="101"/>
      <c r="R160" s="101"/>
      <c r="S160" s="101"/>
      <c r="T160" s="101"/>
      <c r="U160" s="101"/>
      <c r="V160" s="131" t="s">
        <v>242</v>
      </c>
      <c r="W160" s="100"/>
      <c r="X160" s="100"/>
      <c r="Y160" s="102"/>
      <c r="Z160" s="102"/>
      <c r="AA160" s="102"/>
      <c r="AB160" s="102"/>
      <c r="AC160" s="102"/>
      <c r="AD160" s="102"/>
      <c r="AE160" s="102"/>
      <c r="AF160" s="102"/>
      <c r="AG160" s="102"/>
      <c r="AH160" s="103"/>
      <c r="AI160" s="98" t="s">
        <v>129</v>
      </c>
      <c r="AJ160" s="99"/>
      <c r="AM160" s="117"/>
      <c r="AN160" s="117"/>
      <c r="AO160" s="117"/>
      <c r="AP160" s="62"/>
      <c r="AQ160" s="60"/>
      <c r="AR160" s="60"/>
      <c r="AS160" s="60"/>
      <c r="AT160" s="60"/>
      <c r="AU160" s="60"/>
      <c r="AV160" s="60"/>
      <c r="AW160" s="60"/>
      <c r="AX160" s="63"/>
    </row>
    <row r="161" spans="1:50" s="1" customFormat="1" ht="12.75" customHeight="1">
      <c r="A161" s="81"/>
      <c r="B161" s="68"/>
      <c r="C161" s="69"/>
      <c r="D161" s="60"/>
      <c r="E161" s="60"/>
      <c r="F161" s="60"/>
      <c r="G161" s="60"/>
      <c r="H161" s="60"/>
      <c r="I161" s="60"/>
      <c r="J161" s="60"/>
      <c r="K161" s="60"/>
      <c r="L161" s="115"/>
      <c r="N161" s="98" t="s">
        <v>70</v>
      </c>
      <c r="O161" s="100"/>
      <c r="P161" s="100"/>
      <c r="Q161" s="101"/>
      <c r="R161" s="101"/>
      <c r="S161" s="101"/>
      <c r="T161" s="101"/>
      <c r="U161" s="101"/>
      <c r="V161" s="131" t="s">
        <v>243</v>
      </c>
      <c r="W161" s="100"/>
      <c r="X161" s="100"/>
      <c r="Y161" s="102"/>
      <c r="Z161" s="102"/>
      <c r="AA161" s="102"/>
      <c r="AB161" s="102"/>
      <c r="AC161" s="102"/>
      <c r="AD161" s="102"/>
      <c r="AE161" s="102"/>
      <c r="AF161" s="102"/>
      <c r="AG161" s="102"/>
      <c r="AH161" s="103"/>
      <c r="AI161" s="98" t="s">
        <v>129</v>
      </c>
      <c r="AJ161" s="99"/>
      <c r="AM161" s="117"/>
      <c r="AN161" s="117"/>
      <c r="AO161" s="117"/>
      <c r="AP161" s="62"/>
      <c r="AQ161" s="60"/>
      <c r="AR161" s="60"/>
      <c r="AS161" s="60"/>
      <c r="AT161" s="60"/>
      <c r="AU161" s="60"/>
      <c r="AV161" s="60"/>
      <c r="AW161" s="60"/>
      <c r="AX161" s="63"/>
    </row>
    <row r="162" spans="1:50" s="1" customFormat="1" ht="12.75" customHeight="1">
      <c r="A162" s="81"/>
      <c r="B162" s="68"/>
      <c r="C162" s="69"/>
      <c r="D162" s="60"/>
      <c r="E162" s="60"/>
      <c r="F162" s="60"/>
      <c r="G162" s="60"/>
      <c r="H162" s="60"/>
      <c r="I162" s="60"/>
      <c r="J162" s="60"/>
      <c r="K162" s="60"/>
      <c r="L162" s="115"/>
      <c r="N162" s="98" t="s">
        <v>71</v>
      </c>
      <c r="O162" s="100"/>
      <c r="P162" s="100"/>
      <c r="Q162" s="101"/>
      <c r="R162" s="101"/>
      <c r="S162" s="101"/>
      <c r="T162" s="101"/>
      <c r="U162" s="101"/>
      <c r="V162" s="131" t="s">
        <v>244</v>
      </c>
      <c r="W162" s="100"/>
      <c r="X162" s="100"/>
      <c r="Y162" s="102"/>
      <c r="Z162" s="102"/>
      <c r="AA162" s="102"/>
      <c r="AB162" s="102"/>
      <c r="AC162" s="102"/>
      <c r="AD162" s="102"/>
      <c r="AE162" s="102"/>
      <c r="AF162" s="102"/>
      <c r="AG162" s="102"/>
      <c r="AH162" s="103"/>
      <c r="AI162" s="98" t="s">
        <v>129</v>
      </c>
      <c r="AJ162" s="99"/>
      <c r="AM162" s="117"/>
      <c r="AN162" s="117"/>
      <c r="AO162" s="117"/>
      <c r="AP162" s="62"/>
      <c r="AQ162" s="60"/>
      <c r="AR162" s="60"/>
      <c r="AS162" s="60"/>
      <c r="AT162" s="60"/>
      <c r="AU162" s="60"/>
      <c r="AV162" s="60"/>
      <c r="AW162" s="60"/>
      <c r="AX162" s="63"/>
    </row>
    <row r="163" spans="1:50" s="1" customFormat="1" ht="12.75" customHeight="1">
      <c r="A163" s="81"/>
      <c r="B163" s="68"/>
      <c r="C163" s="69"/>
      <c r="D163" s="60"/>
      <c r="E163" s="60"/>
      <c r="F163" s="60"/>
      <c r="G163" s="60"/>
      <c r="H163" s="60"/>
      <c r="I163" s="60"/>
      <c r="J163" s="60"/>
      <c r="K163" s="60"/>
      <c r="L163" s="115"/>
      <c r="N163" s="98" t="s">
        <v>55</v>
      </c>
      <c r="O163" s="100"/>
      <c r="P163" s="100"/>
      <c r="Q163" s="101"/>
      <c r="R163" s="101"/>
      <c r="S163" s="101"/>
      <c r="T163" s="101"/>
      <c r="U163" s="101"/>
      <c r="V163" s="131" t="s">
        <v>245</v>
      </c>
      <c r="W163" s="100"/>
      <c r="X163" s="100"/>
      <c r="Y163" s="102"/>
      <c r="Z163" s="102"/>
      <c r="AA163" s="102"/>
      <c r="AB163" s="102"/>
      <c r="AC163" s="102"/>
      <c r="AD163" s="102"/>
      <c r="AE163" s="102"/>
      <c r="AF163" s="102"/>
      <c r="AG163" s="102"/>
      <c r="AH163" s="103"/>
      <c r="AI163" s="98" t="s">
        <v>129</v>
      </c>
      <c r="AJ163" s="99"/>
      <c r="AM163" s="117"/>
      <c r="AN163" s="117"/>
      <c r="AO163" s="117"/>
      <c r="AP163" s="62"/>
      <c r="AQ163" s="60"/>
      <c r="AR163" s="60"/>
      <c r="AS163" s="60"/>
      <c r="AT163" s="60"/>
      <c r="AU163" s="60"/>
      <c r="AV163" s="60"/>
      <c r="AW163" s="60"/>
      <c r="AX163" s="63"/>
    </row>
    <row r="164" spans="1:50" s="1" customFormat="1" ht="12.75" customHeight="1">
      <c r="A164" s="81"/>
      <c r="B164" s="68"/>
      <c r="C164" s="69"/>
      <c r="D164" s="60"/>
      <c r="E164" s="60"/>
      <c r="F164" s="60"/>
      <c r="G164" s="60"/>
      <c r="H164" s="60"/>
      <c r="I164" s="60"/>
      <c r="J164" s="60"/>
      <c r="K164" s="60"/>
      <c r="L164" s="115"/>
      <c r="N164" s="98" t="s">
        <v>74</v>
      </c>
      <c r="O164" s="100"/>
      <c r="P164" s="100"/>
      <c r="Q164" s="101"/>
      <c r="R164" s="101"/>
      <c r="S164" s="101"/>
      <c r="T164" s="101"/>
      <c r="U164" s="101"/>
      <c r="V164" s="131" t="s">
        <v>248</v>
      </c>
      <c r="W164" s="100"/>
      <c r="X164" s="100"/>
      <c r="Y164" s="102"/>
      <c r="Z164" s="102"/>
      <c r="AA164" s="102"/>
      <c r="AB164" s="102"/>
      <c r="AC164" s="102"/>
      <c r="AD164" s="102"/>
      <c r="AE164" s="102"/>
      <c r="AF164" s="102"/>
      <c r="AG164" s="102"/>
      <c r="AH164" s="103"/>
      <c r="AI164" s="98" t="s">
        <v>129</v>
      </c>
      <c r="AJ164" s="99"/>
      <c r="AM164" s="117"/>
      <c r="AN164" s="117"/>
      <c r="AO164" s="117"/>
      <c r="AP164" s="62"/>
      <c r="AQ164" s="60"/>
      <c r="AR164" s="60"/>
      <c r="AS164" s="60"/>
      <c r="AT164" s="60"/>
      <c r="AU164" s="60"/>
      <c r="AV164" s="60"/>
      <c r="AW164" s="60"/>
      <c r="AX164" s="63"/>
    </row>
    <row r="165" spans="1:50" s="1" customFormat="1" ht="12.75" customHeight="1">
      <c r="A165" s="81"/>
      <c r="B165" s="68"/>
      <c r="C165" s="69"/>
      <c r="D165" s="60"/>
      <c r="E165" s="60"/>
      <c r="F165" s="60"/>
      <c r="G165" s="60"/>
      <c r="H165" s="60"/>
      <c r="I165" s="60"/>
      <c r="J165" s="60"/>
      <c r="K165" s="60"/>
      <c r="L165" s="115"/>
      <c r="N165" s="98" t="s">
        <v>91</v>
      </c>
      <c r="O165" s="100"/>
      <c r="P165" s="100"/>
      <c r="Q165" s="101"/>
      <c r="R165" s="101"/>
      <c r="S165" s="101"/>
      <c r="T165" s="101"/>
      <c r="U165" s="101"/>
      <c r="V165" s="131" t="s">
        <v>249</v>
      </c>
      <c r="W165" s="100"/>
      <c r="X165" s="100"/>
      <c r="Y165" s="102"/>
      <c r="Z165" s="102"/>
      <c r="AA165" s="102"/>
      <c r="AB165" s="102"/>
      <c r="AC165" s="102"/>
      <c r="AD165" s="102"/>
      <c r="AE165" s="102"/>
      <c r="AF165" s="102"/>
      <c r="AG165" s="102"/>
      <c r="AH165" s="103"/>
      <c r="AI165" s="98" t="s">
        <v>129</v>
      </c>
      <c r="AJ165" s="99"/>
      <c r="AM165" s="117"/>
      <c r="AN165" s="117"/>
      <c r="AO165" s="117"/>
      <c r="AP165" s="62"/>
      <c r="AQ165" s="60"/>
      <c r="AR165" s="60"/>
      <c r="AS165" s="60"/>
      <c r="AT165" s="60"/>
      <c r="AU165" s="60"/>
      <c r="AV165" s="60"/>
      <c r="AW165" s="60"/>
      <c r="AX165" s="63"/>
    </row>
    <row r="166" spans="1:50" s="1" customFormat="1" ht="12.75" customHeight="1">
      <c r="A166" s="81"/>
      <c r="B166" s="68"/>
      <c r="C166" s="69"/>
      <c r="D166" s="60"/>
      <c r="E166" s="60"/>
      <c r="F166" s="60"/>
      <c r="G166" s="60"/>
      <c r="H166" s="60"/>
      <c r="I166" s="60"/>
      <c r="J166" s="60"/>
      <c r="K166" s="60"/>
      <c r="L166" s="115"/>
      <c r="N166" s="98" t="s">
        <v>110</v>
      </c>
      <c r="O166" s="100"/>
      <c r="P166" s="100"/>
      <c r="Q166" s="101"/>
      <c r="R166" s="101"/>
      <c r="S166" s="101"/>
      <c r="T166" s="101"/>
      <c r="U166" s="101"/>
      <c r="V166" s="131" t="s">
        <v>244</v>
      </c>
      <c r="W166" s="100"/>
      <c r="X166" s="100"/>
      <c r="Y166" s="102"/>
      <c r="Z166" s="102"/>
      <c r="AA166" s="102"/>
      <c r="AB166" s="102"/>
      <c r="AC166" s="102"/>
      <c r="AD166" s="102"/>
      <c r="AE166" s="102"/>
      <c r="AF166" s="102"/>
      <c r="AG166" s="102"/>
      <c r="AH166" s="103"/>
      <c r="AI166" s="98" t="s">
        <v>129</v>
      </c>
      <c r="AJ166" s="99"/>
      <c r="AM166" s="117"/>
      <c r="AN166" s="117"/>
      <c r="AO166" s="117"/>
      <c r="AP166" s="62"/>
      <c r="AQ166" s="60"/>
      <c r="AR166" s="60"/>
      <c r="AS166" s="60"/>
      <c r="AT166" s="60"/>
      <c r="AU166" s="60"/>
      <c r="AV166" s="60"/>
      <c r="AW166" s="60"/>
      <c r="AX166" s="63"/>
    </row>
    <row r="167" spans="1:50" s="1" customFormat="1" ht="12.75" customHeight="1">
      <c r="A167" s="81"/>
      <c r="B167" s="68"/>
      <c r="C167" s="69"/>
      <c r="D167" s="60"/>
      <c r="E167" s="60"/>
      <c r="F167" s="60"/>
      <c r="G167" s="60"/>
      <c r="H167" s="60"/>
      <c r="I167" s="60"/>
      <c r="J167" s="60"/>
      <c r="K167" s="60"/>
      <c r="L167" s="115"/>
      <c r="N167" s="98" t="s">
        <v>69</v>
      </c>
      <c r="O167" s="100"/>
      <c r="P167" s="100"/>
      <c r="Q167" s="101"/>
      <c r="R167" s="101"/>
      <c r="S167" s="101"/>
      <c r="T167" s="101"/>
      <c r="U167" s="101"/>
      <c r="V167" s="131" t="s">
        <v>250</v>
      </c>
      <c r="W167" s="100"/>
      <c r="X167" s="100"/>
      <c r="Y167" s="102"/>
      <c r="Z167" s="102"/>
      <c r="AA167" s="102"/>
      <c r="AB167" s="102"/>
      <c r="AC167" s="102"/>
      <c r="AD167" s="102"/>
      <c r="AE167" s="102"/>
      <c r="AF167" s="102"/>
      <c r="AG167" s="102"/>
      <c r="AH167" s="103"/>
      <c r="AI167" s="98" t="s">
        <v>129</v>
      </c>
      <c r="AJ167" s="99"/>
      <c r="AM167" s="117"/>
      <c r="AN167" s="117"/>
      <c r="AO167" s="117"/>
      <c r="AP167" s="62"/>
      <c r="AQ167" s="60"/>
      <c r="AR167" s="60"/>
      <c r="AS167" s="60"/>
      <c r="AT167" s="60"/>
      <c r="AU167" s="60"/>
      <c r="AV167" s="60"/>
      <c r="AW167" s="60"/>
      <c r="AX167" s="63"/>
    </row>
    <row r="168" spans="1:50" s="1" customFormat="1" ht="12.75" customHeight="1">
      <c r="A168" s="81"/>
      <c r="B168" s="68"/>
      <c r="C168" s="69"/>
      <c r="D168" s="60"/>
      <c r="E168" s="60"/>
      <c r="F168" s="60"/>
      <c r="G168" s="60"/>
      <c r="H168" s="60"/>
      <c r="I168" s="60"/>
      <c r="J168" s="60"/>
      <c r="K168" s="60"/>
      <c r="L168" s="115"/>
      <c r="N168" s="98" t="s">
        <v>84</v>
      </c>
      <c r="O168" s="100"/>
      <c r="P168" s="100"/>
      <c r="Q168" s="101"/>
      <c r="R168" s="101"/>
      <c r="S168" s="101"/>
      <c r="T168" s="101"/>
      <c r="U168" s="101"/>
      <c r="V168" s="131" t="s">
        <v>255</v>
      </c>
      <c r="W168" s="100"/>
      <c r="X168" s="100"/>
      <c r="Y168" s="102"/>
      <c r="Z168" s="102"/>
      <c r="AA168" s="102"/>
      <c r="AB168" s="102"/>
      <c r="AC168" s="102"/>
      <c r="AD168" s="102"/>
      <c r="AE168" s="102"/>
      <c r="AF168" s="102"/>
      <c r="AG168" s="102"/>
      <c r="AH168" s="103"/>
      <c r="AI168" s="98" t="s">
        <v>129</v>
      </c>
      <c r="AJ168" s="99"/>
      <c r="AM168" s="117"/>
      <c r="AN168" s="117"/>
      <c r="AO168" s="117"/>
      <c r="AP168" s="62"/>
      <c r="AQ168" s="60"/>
      <c r="AR168" s="60"/>
      <c r="AS168" s="60"/>
      <c r="AT168" s="60"/>
      <c r="AU168" s="60"/>
      <c r="AV168" s="60"/>
      <c r="AW168" s="60"/>
      <c r="AX168" s="63"/>
    </row>
    <row r="169" spans="1:50" s="1" customFormat="1" ht="12.75" customHeight="1">
      <c r="A169" s="81"/>
      <c r="B169" s="68"/>
      <c r="C169" s="69"/>
      <c r="D169" s="60"/>
      <c r="E169" s="60"/>
      <c r="F169" s="60"/>
      <c r="G169" s="60"/>
      <c r="H169" s="60"/>
      <c r="I169" s="60"/>
      <c r="J169" s="60"/>
      <c r="K169" s="60"/>
      <c r="L169" s="115"/>
      <c r="N169" s="98" t="s">
        <v>85</v>
      </c>
      <c r="O169" s="100"/>
      <c r="P169" s="100"/>
      <c r="Q169" s="101"/>
      <c r="R169" s="101"/>
      <c r="S169" s="101"/>
      <c r="T169" s="101"/>
      <c r="U169" s="101"/>
      <c r="V169" s="131" t="s">
        <v>251</v>
      </c>
      <c r="W169" s="100"/>
      <c r="X169" s="100"/>
      <c r="Y169" s="102"/>
      <c r="Z169" s="102"/>
      <c r="AA169" s="102"/>
      <c r="AB169" s="102"/>
      <c r="AC169" s="102"/>
      <c r="AD169" s="102"/>
      <c r="AE169" s="102"/>
      <c r="AF169" s="102"/>
      <c r="AG169" s="102"/>
      <c r="AH169" s="103"/>
      <c r="AI169" s="98" t="s">
        <v>129</v>
      </c>
      <c r="AJ169" s="99"/>
      <c r="AM169" s="117"/>
      <c r="AN169" s="117"/>
      <c r="AO169" s="117"/>
      <c r="AP169" s="62"/>
      <c r="AQ169" s="60"/>
      <c r="AR169" s="60"/>
      <c r="AS169" s="60"/>
      <c r="AT169" s="60"/>
      <c r="AU169" s="60"/>
      <c r="AV169" s="60"/>
      <c r="AW169" s="60"/>
      <c r="AX169" s="63"/>
    </row>
    <row r="170" spans="1:50" s="1" customFormat="1" ht="12.75" customHeight="1">
      <c r="A170" s="81"/>
      <c r="B170" s="68"/>
      <c r="C170" s="69"/>
      <c r="D170" s="60"/>
      <c r="E170" s="60"/>
      <c r="F170" s="60"/>
      <c r="G170" s="60"/>
      <c r="H170" s="60"/>
      <c r="I170" s="60"/>
      <c r="J170" s="60"/>
      <c r="K170" s="60"/>
      <c r="L170" s="115"/>
      <c r="N170" s="98" t="s">
        <v>61</v>
      </c>
      <c r="O170" s="100"/>
      <c r="P170" s="100"/>
      <c r="Q170" s="101"/>
      <c r="R170" s="101"/>
      <c r="S170" s="101"/>
      <c r="T170" s="101"/>
      <c r="U170" s="101"/>
      <c r="V170" s="131" t="s">
        <v>252</v>
      </c>
      <c r="W170" s="100"/>
      <c r="X170" s="100"/>
      <c r="Y170" s="102"/>
      <c r="Z170" s="102"/>
      <c r="AA170" s="102"/>
      <c r="AB170" s="102"/>
      <c r="AC170" s="102"/>
      <c r="AD170" s="102"/>
      <c r="AE170" s="102"/>
      <c r="AF170" s="102"/>
      <c r="AG170" s="102"/>
      <c r="AH170" s="103"/>
      <c r="AI170" s="98" t="s">
        <v>129</v>
      </c>
      <c r="AJ170" s="99"/>
      <c r="AM170" s="117"/>
      <c r="AN170" s="117"/>
      <c r="AO170" s="117"/>
      <c r="AP170" s="62"/>
      <c r="AQ170" s="60"/>
      <c r="AR170" s="60"/>
      <c r="AS170" s="60"/>
      <c r="AT170" s="60"/>
      <c r="AU170" s="60"/>
      <c r="AV170" s="60"/>
      <c r="AW170" s="60"/>
      <c r="AX170" s="63"/>
    </row>
    <row r="171" spans="1:50" s="1" customFormat="1" ht="12.75" customHeight="1">
      <c r="A171" s="81"/>
      <c r="B171" s="68"/>
      <c r="C171" s="69"/>
      <c r="D171" s="60"/>
      <c r="E171" s="60"/>
      <c r="F171" s="60"/>
      <c r="G171" s="60"/>
      <c r="H171" s="60"/>
      <c r="I171" s="60"/>
      <c r="J171" s="60"/>
      <c r="K171" s="60"/>
      <c r="L171" s="115"/>
      <c r="N171" s="98" t="s">
        <v>41</v>
      </c>
      <c r="O171" s="100"/>
      <c r="P171" s="100"/>
      <c r="Q171" s="101"/>
      <c r="R171" s="101"/>
      <c r="S171" s="101"/>
      <c r="T171" s="101"/>
      <c r="U171" s="101"/>
      <c r="V171" s="131" t="s">
        <v>253</v>
      </c>
      <c r="W171" s="100"/>
      <c r="X171" s="100"/>
      <c r="Y171" s="102"/>
      <c r="Z171" s="102"/>
      <c r="AA171" s="102"/>
      <c r="AB171" s="102"/>
      <c r="AC171" s="102"/>
      <c r="AD171" s="102"/>
      <c r="AE171" s="102"/>
      <c r="AF171" s="102"/>
      <c r="AG171" s="102"/>
      <c r="AH171" s="103"/>
      <c r="AI171" s="98" t="s">
        <v>129</v>
      </c>
      <c r="AJ171" s="99"/>
      <c r="AM171" s="117"/>
      <c r="AN171" s="117"/>
      <c r="AO171" s="117"/>
      <c r="AP171" s="62"/>
      <c r="AQ171" s="60"/>
      <c r="AR171" s="60"/>
      <c r="AS171" s="60"/>
      <c r="AT171" s="60"/>
      <c r="AU171" s="60"/>
      <c r="AV171" s="60"/>
      <c r="AW171" s="60"/>
      <c r="AX171" s="63"/>
    </row>
    <row r="172" spans="1:50" s="1" customFormat="1" ht="12.75" customHeight="1">
      <c r="A172" s="81"/>
      <c r="B172" s="68"/>
      <c r="C172" s="69"/>
      <c r="D172" s="60"/>
      <c r="E172" s="60"/>
      <c r="F172" s="60"/>
      <c r="G172" s="60"/>
      <c r="H172" s="60"/>
      <c r="I172" s="60"/>
      <c r="J172" s="60"/>
      <c r="K172" s="60"/>
      <c r="L172" s="115"/>
      <c r="N172" s="98" t="s">
        <v>65</v>
      </c>
      <c r="O172" s="100"/>
      <c r="P172" s="100"/>
      <c r="Q172" s="101"/>
      <c r="R172" s="101"/>
      <c r="S172" s="101"/>
      <c r="T172" s="101"/>
      <c r="U172" s="101"/>
      <c r="V172" s="131" t="s">
        <v>254</v>
      </c>
      <c r="W172" s="100"/>
      <c r="X172" s="100"/>
      <c r="Y172" s="102"/>
      <c r="Z172" s="102"/>
      <c r="AA172" s="102"/>
      <c r="AB172" s="102"/>
      <c r="AC172" s="102"/>
      <c r="AD172" s="102"/>
      <c r="AE172" s="102"/>
      <c r="AF172" s="102"/>
      <c r="AG172" s="102"/>
      <c r="AH172" s="103"/>
      <c r="AI172" s="98" t="s">
        <v>129</v>
      </c>
      <c r="AJ172" s="99"/>
      <c r="AM172" s="117"/>
      <c r="AN172" s="117"/>
      <c r="AO172" s="117"/>
      <c r="AP172" s="62"/>
      <c r="AQ172" s="60"/>
      <c r="AR172" s="60"/>
      <c r="AS172" s="60"/>
      <c r="AT172" s="60"/>
      <c r="AU172" s="60"/>
      <c r="AV172" s="60"/>
      <c r="AW172" s="60"/>
      <c r="AX172" s="63"/>
    </row>
    <row r="173" spans="1:50" s="1" customFormat="1" ht="12.75" customHeight="1">
      <c r="A173" s="81"/>
      <c r="B173" s="68"/>
      <c r="C173" s="69"/>
      <c r="D173" s="60"/>
      <c r="E173" s="60"/>
      <c r="F173" s="60"/>
      <c r="G173" s="60"/>
      <c r="H173" s="60"/>
      <c r="I173" s="60"/>
      <c r="J173" s="60"/>
      <c r="K173" s="60"/>
      <c r="L173" s="115"/>
      <c r="AN173" s="117"/>
      <c r="AO173" s="117"/>
      <c r="AP173" s="62"/>
      <c r="AQ173" s="60"/>
      <c r="AR173" s="60"/>
      <c r="AS173" s="60"/>
      <c r="AT173" s="60"/>
      <c r="AU173" s="60"/>
      <c r="AV173" s="60"/>
      <c r="AW173" s="60"/>
      <c r="AX173" s="63"/>
    </row>
    <row r="174" spans="1:50" s="1" customFormat="1" ht="12.75" customHeight="1">
      <c r="A174" s="81"/>
      <c r="B174" s="68"/>
      <c r="C174" s="69"/>
      <c r="D174" s="60"/>
      <c r="E174" s="60"/>
      <c r="F174" s="60"/>
      <c r="G174" s="60"/>
      <c r="H174" s="60"/>
      <c r="I174" s="60"/>
      <c r="J174" s="60"/>
      <c r="K174" s="60"/>
      <c r="L174" s="115"/>
      <c r="N174" s="111" t="s">
        <v>256</v>
      </c>
      <c r="O174" s="117"/>
      <c r="P174" s="117"/>
      <c r="Q174" s="117"/>
      <c r="R174" s="117"/>
      <c r="S174" s="117"/>
      <c r="T174" s="117"/>
      <c r="U174" s="117"/>
      <c r="V174" s="117"/>
      <c r="W174" s="117"/>
      <c r="X174" s="117"/>
      <c r="Y174" s="117"/>
      <c r="Z174" s="117"/>
      <c r="AA174" s="117"/>
      <c r="AB174" s="117"/>
      <c r="AC174" s="117"/>
      <c r="AD174" s="117"/>
      <c r="AE174" s="117"/>
      <c r="AF174" s="117"/>
      <c r="AG174" s="117"/>
      <c r="AH174" s="117"/>
      <c r="AI174" s="117"/>
      <c r="AJ174" s="117"/>
      <c r="AK174" s="117"/>
      <c r="AL174" s="117"/>
      <c r="AM174" s="117"/>
      <c r="AN174" s="117"/>
      <c r="AO174" s="117"/>
      <c r="AP174" s="62"/>
      <c r="AQ174" s="60" t="s">
        <v>260</v>
      </c>
      <c r="AR174" s="60"/>
      <c r="AS174" s="60"/>
      <c r="AT174" s="60"/>
      <c r="AU174" s="60"/>
      <c r="AV174" s="60"/>
      <c r="AW174" s="60"/>
      <c r="AX174" s="63"/>
    </row>
    <row r="175" spans="1:50" s="1" customFormat="1" ht="12.75" customHeight="1">
      <c r="A175" s="81"/>
      <c r="B175" s="68"/>
      <c r="C175" s="69"/>
      <c r="D175" s="60"/>
      <c r="E175" s="60"/>
      <c r="F175" s="60"/>
      <c r="G175" s="60"/>
      <c r="H175" s="60"/>
      <c r="I175" s="60"/>
      <c r="J175" s="60"/>
      <c r="K175" s="60"/>
      <c r="L175" s="115"/>
      <c r="N175" s="118" t="s">
        <v>29</v>
      </c>
      <c r="O175" s="119"/>
      <c r="P175" s="119"/>
      <c r="Q175" s="120"/>
      <c r="R175" s="120"/>
      <c r="S175" s="120"/>
      <c r="T175" s="120"/>
      <c r="U175" s="120"/>
      <c r="V175" s="123" t="s">
        <v>134</v>
      </c>
      <c r="W175" s="119"/>
      <c r="X175" s="119"/>
      <c r="Y175" s="121"/>
      <c r="Z175" s="121"/>
      <c r="AA175" s="121"/>
      <c r="AB175" s="121"/>
      <c r="AC175" s="121"/>
      <c r="AD175" s="121"/>
      <c r="AE175" s="121"/>
      <c r="AF175" s="121"/>
      <c r="AG175" s="121"/>
      <c r="AH175" s="122"/>
      <c r="AI175" s="118" t="s">
        <v>127</v>
      </c>
      <c r="AJ175" s="196"/>
      <c r="AM175" s="117"/>
      <c r="AN175" s="117"/>
      <c r="AO175" s="117"/>
      <c r="AP175" s="62"/>
      <c r="AQ175" s="60"/>
      <c r="AR175" s="60"/>
      <c r="AS175" s="60"/>
      <c r="AT175" s="60"/>
      <c r="AU175" s="60"/>
      <c r="AV175" s="60"/>
      <c r="AW175" s="60"/>
      <c r="AX175" s="63"/>
    </row>
    <row r="176" spans="1:50" s="1" customFormat="1" ht="12.75" customHeight="1">
      <c r="A176" s="81"/>
      <c r="B176" s="68"/>
      <c r="C176" s="69"/>
      <c r="D176" s="60"/>
      <c r="E176" s="60"/>
      <c r="F176" s="60"/>
      <c r="G176" s="60"/>
      <c r="H176" s="60"/>
      <c r="I176" s="60"/>
      <c r="J176" s="60"/>
      <c r="K176" s="60"/>
      <c r="L176" s="115"/>
      <c r="N176" s="98" t="s">
        <v>56</v>
      </c>
      <c r="O176" s="100"/>
      <c r="P176" s="100"/>
      <c r="Q176" s="101"/>
      <c r="R176" s="101"/>
      <c r="S176" s="101"/>
      <c r="T176" s="101"/>
      <c r="U176" s="101"/>
      <c r="V176" s="131" t="s">
        <v>238</v>
      </c>
      <c r="W176" s="100"/>
      <c r="X176" s="100"/>
      <c r="Y176" s="102"/>
      <c r="Z176" s="102"/>
      <c r="AA176" s="102"/>
      <c r="AB176" s="102"/>
      <c r="AC176" s="102"/>
      <c r="AD176" s="102"/>
      <c r="AE176" s="102"/>
      <c r="AF176" s="102"/>
      <c r="AG176" s="102"/>
      <c r="AH176" s="103"/>
      <c r="AI176" s="98" t="s">
        <v>129</v>
      </c>
      <c r="AJ176" s="99"/>
      <c r="AM176" s="117"/>
      <c r="AN176" s="117"/>
      <c r="AO176" s="117"/>
      <c r="AP176" s="62"/>
      <c r="AQ176" s="60"/>
      <c r="AR176" s="60"/>
      <c r="AS176" s="60"/>
      <c r="AT176" s="60"/>
      <c r="AU176" s="60"/>
      <c r="AV176" s="60"/>
      <c r="AW176" s="60"/>
      <c r="AX176" s="63"/>
    </row>
    <row r="177" spans="1:50" s="1" customFormat="1" ht="12.75" customHeight="1">
      <c r="A177" s="81"/>
      <c r="B177" s="68"/>
      <c r="C177" s="69"/>
      <c r="D177" s="60"/>
      <c r="E177" s="60"/>
      <c r="F177" s="60"/>
      <c r="G177" s="60"/>
      <c r="H177" s="60"/>
      <c r="I177" s="60"/>
      <c r="J177" s="60"/>
      <c r="K177" s="60"/>
      <c r="L177" s="115"/>
      <c r="N177" s="98" t="s">
        <v>92</v>
      </c>
      <c r="O177" s="100"/>
      <c r="P177" s="100"/>
      <c r="Q177" s="101"/>
      <c r="R177" s="101"/>
      <c r="S177" s="101"/>
      <c r="T177" s="101"/>
      <c r="U177" s="101"/>
      <c r="V177" s="131" t="s">
        <v>239</v>
      </c>
      <c r="W177" s="100"/>
      <c r="X177" s="100"/>
      <c r="Y177" s="102"/>
      <c r="Z177" s="102"/>
      <c r="AA177" s="102"/>
      <c r="AB177" s="102"/>
      <c r="AC177" s="102"/>
      <c r="AD177" s="102"/>
      <c r="AE177" s="102"/>
      <c r="AF177" s="102"/>
      <c r="AG177" s="102"/>
      <c r="AH177" s="103"/>
      <c r="AI177" s="98" t="s">
        <v>129</v>
      </c>
      <c r="AJ177" s="99"/>
      <c r="AM177" s="117"/>
      <c r="AN177" s="117"/>
      <c r="AO177" s="117"/>
      <c r="AP177" s="62"/>
      <c r="AQ177" s="60"/>
      <c r="AR177" s="60"/>
      <c r="AS177" s="60"/>
      <c r="AT177" s="60"/>
      <c r="AU177" s="60"/>
      <c r="AV177" s="60"/>
      <c r="AW177" s="60"/>
      <c r="AX177" s="63"/>
    </row>
    <row r="178" spans="1:50" s="1" customFormat="1" ht="12.75" customHeight="1">
      <c r="A178" s="81"/>
      <c r="B178" s="68"/>
      <c r="C178" s="69"/>
      <c r="D178" s="60"/>
      <c r="E178" s="60"/>
      <c r="F178" s="60"/>
      <c r="G178" s="60"/>
      <c r="H178" s="60"/>
      <c r="I178" s="60"/>
      <c r="J178" s="60"/>
      <c r="K178" s="60"/>
      <c r="L178" s="115"/>
      <c r="N178" s="98" t="s">
        <v>57</v>
      </c>
      <c r="O178" s="100"/>
      <c r="P178" s="100"/>
      <c r="Q178" s="101"/>
      <c r="R178" s="101"/>
      <c r="S178" s="101"/>
      <c r="T178" s="101"/>
      <c r="U178" s="101"/>
      <c r="V178" s="131" t="s">
        <v>240</v>
      </c>
      <c r="W178" s="100"/>
      <c r="X178" s="100"/>
      <c r="Y178" s="102"/>
      <c r="Z178" s="102"/>
      <c r="AA178" s="102"/>
      <c r="AB178" s="102"/>
      <c r="AC178" s="102"/>
      <c r="AD178" s="102"/>
      <c r="AE178" s="102"/>
      <c r="AF178" s="102"/>
      <c r="AG178" s="102"/>
      <c r="AH178" s="103"/>
      <c r="AI178" s="98" t="s">
        <v>129</v>
      </c>
      <c r="AJ178" s="99"/>
      <c r="AM178" s="117"/>
      <c r="AN178" s="117"/>
      <c r="AO178" s="117"/>
      <c r="AP178" s="62"/>
      <c r="AQ178" s="60"/>
      <c r="AR178" s="60"/>
      <c r="AS178" s="60"/>
      <c r="AT178" s="60"/>
      <c r="AU178" s="60"/>
      <c r="AV178" s="60"/>
      <c r="AW178" s="60"/>
      <c r="AX178" s="63"/>
    </row>
    <row r="179" spans="1:50" s="1" customFormat="1" ht="12.75" customHeight="1">
      <c r="A179" s="81"/>
      <c r="B179" s="68"/>
      <c r="C179" s="69"/>
      <c r="D179" s="60"/>
      <c r="E179" s="60"/>
      <c r="F179" s="60"/>
      <c r="G179" s="60"/>
      <c r="H179" s="60"/>
      <c r="I179" s="60"/>
      <c r="J179" s="60"/>
      <c r="K179" s="60"/>
      <c r="L179" s="115"/>
      <c r="N179" s="98" t="s">
        <v>237</v>
      </c>
      <c r="O179" s="100"/>
      <c r="P179" s="100"/>
      <c r="Q179" s="101"/>
      <c r="R179" s="101"/>
      <c r="S179" s="101"/>
      <c r="T179" s="101"/>
      <c r="U179" s="101"/>
      <c r="V179" s="131" t="s">
        <v>241</v>
      </c>
      <c r="W179" s="100"/>
      <c r="X179" s="100"/>
      <c r="Y179" s="102"/>
      <c r="Z179" s="102"/>
      <c r="AA179" s="102"/>
      <c r="AB179" s="102"/>
      <c r="AC179" s="102"/>
      <c r="AD179" s="102"/>
      <c r="AE179" s="102"/>
      <c r="AF179" s="102"/>
      <c r="AG179" s="102"/>
      <c r="AH179" s="103"/>
      <c r="AI179" s="98" t="s">
        <v>129</v>
      </c>
      <c r="AJ179" s="99"/>
      <c r="AM179" s="117"/>
      <c r="AN179" s="117"/>
      <c r="AO179" s="117"/>
      <c r="AP179" s="62"/>
      <c r="AQ179" s="60"/>
      <c r="AR179" s="60"/>
      <c r="AS179" s="60"/>
      <c r="AT179" s="60"/>
      <c r="AU179" s="60"/>
      <c r="AV179" s="60"/>
      <c r="AW179" s="60"/>
      <c r="AX179" s="63"/>
    </row>
    <row r="180" spans="1:50" s="1" customFormat="1" ht="12.75" customHeight="1">
      <c r="A180" s="81"/>
      <c r="B180" s="68"/>
      <c r="C180" s="69"/>
      <c r="D180" s="60"/>
      <c r="E180" s="60"/>
      <c r="F180" s="60"/>
      <c r="G180" s="60"/>
      <c r="H180" s="60"/>
      <c r="I180" s="60"/>
      <c r="J180" s="60"/>
      <c r="K180" s="60"/>
      <c r="L180" s="115"/>
      <c r="N180" s="98" t="s">
        <v>105</v>
      </c>
      <c r="O180" s="100"/>
      <c r="P180" s="100"/>
      <c r="Q180" s="101"/>
      <c r="R180" s="101"/>
      <c r="S180" s="101"/>
      <c r="T180" s="101"/>
      <c r="U180" s="101"/>
      <c r="V180" s="131" t="s">
        <v>242</v>
      </c>
      <c r="W180" s="100"/>
      <c r="X180" s="100"/>
      <c r="Y180" s="102"/>
      <c r="Z180" s="102"/>
      <c r="AA180" s="102"/>
      <c r="AB180" s="102"/>
      <c r="AC180" s="102"/>
      <c r="AD180" s="102"/>
      <c r="AE180" s="102"/>
      <c r="AF180" s="102"/>
      <c r="AG180" s="102"/>
      <c r="AH180" s="103"/>
      <c r="AI180" s="98" t="s">
        <v>129</v>
      </c>
      <c r="AJ180" s="99"/>
      <c r="AM180" s="117"/>
      <c r="AN180" s="117"/>
      <c r="AO180" s="117"/>
      <c r="AP180" s="62"/>
      <c r="AQ180" s="60"/>
      <c r="AR180" s="60"/>
      <c r="AS180" s="60"/>
      <c r="AT180" s="60"/>
      <c r="AU180" s="60"/>
      <c r="AV180" s="60"/>
      <c r="AW180" s="60"/>
      <c r="AX180" s="63"/>
    </row>
    <row r="181" spans="1:50" s="1" customFormat="1" ht="12.75" customHeight="1">
      <c r="A181" s="81"/>
      <c r="B181" s="68"/>
      <c r="C181" s="69"/>
      <c r="D181" s="60"/>
      <c r="E181" s="60"/>
      <c r="F181" s="60"/>
      <c r="G181" s="60"/>
      <c r="H181" s="60"/>
      <c r="I181" s="60"/>
      <c r="J181" s="60"/>
      <c r="K181" s="60"/>
      <c r="L181" s="115"/>
      <c r="N181" s="98" t="s">
        <v>70</v>
      </c>
      <c r="O181" s="100"/>
      <c r="P181" s="100"/>
      <c r="Q181" s="101"/>
      <c r="R181" s="101"/>
      <c r="S181" s="101"/>
      <c r="T181" s="101"/>
      <c r="U181" s="101"/>
      <c r="V181" s="131" t="s">
        <v>243</v>
      </c>
      <c r="W181" s="100"/>
      <c r="X181" s="100"/>
      <c r="Y181" s="102"/>
      <c r="Z181" s="102"/>
      <c r="AA181" s="102"/>
      <c r="AB181" s="102"/>
      <c r="AC181" s="102"/>
      <c r="AD181" s="102"/>
      <c r="AE181" s="102"/>
      <c r="AF181" s="102"/>
      <c r="AG181" s="102"/>
      <c r="AH181" s="103"/>
      <c r="AI181" s="98" t="s">
        <v>129</v>
      </c>
      <c r="AJ181" s="99"/>
      <c r="AM181" s="117"/>
      <c r="AN181" s="117"/>
      <c r="AO181" s="117"/>
      <c r="AP181" s="62"/>
      <c r="AQ181" s="60"/>
      <c r="AR181" s="60"/>
      <c r="AS181" s="60"/>
      <c r="AT181" s="60"/>
      <c r="AU181" s="60"/>
      <c r="AV181" s="60"/>
      <c r="AW181" s="60"/>
      <c r="AX181" s="63"/>
    </row>
    <row r="182" spans="1:50" s="1" customFormat="1" ht="12.75" customHeight="1">
      <c r="A182" s="81"/>
      <c r="B182" s="68"/>
      <c r="C182" s="69"/>
      <c r="D182" s="60"/>
      <c r="E182" s="60"/>
      <c r="F182" s="60"/>
      <c r="G182" s="60"/>
      <c r="H182" s="60"/>
      <c r="I182" s="60"/>
      <c r="J182" s="60"/>
      <c r="K182" s="60"/>
      <c r="L182" s="115"/>
      <c r="N182" s="98" t="s">
        <v>71</v>
      </c>
      <c r="O182" s="100"/>
      <c r="P182" s="100"/>
      <c r="Q182" s="101"/>
      <c r="R182" s="101"/>
      <c r="S182" s="101"/>
      <c r="T182" s="101"/>
      <c r="U182" s="101"/>
      <c r="V182" s="131" t="s">
        <v>244</v>
      </c>
      <c r="W182" s="100"/>
      <c r="X182" s="100"/>
      <c r="Y182" s="102"/>
      <c r="Z182" s="102"/>
      <c r="AA182" s="102"/>
      <c r="AB182" s="102"/>
      <c r="AC182" s="102"/>
      <c r="AD182" s="102"/>
      <c r="AE182" s="102"/>
      <c r="AF182" s="102"/>
      <c r="AG182" s="102"/>
      <c r="AH182" s="103"/>
      <c r="AI182" s="98" t="s">
        <v>129</v>
      </c>
      <c r="AJ182" s="99"/>
      <c r="AM182" s="117"/>
      <c r="AN182" s="117"/>
      <c r="AO182" s="117"/>
      <c r="AP182" s="62"/>
      <c r="AQ182" s="60"/>
      <c r="AR182" s="60"/>
      <c r="AS182" s="60"/>
      <c r="AT182" s="60"/>
      <c r="AU182" s="60"/>
      <c r="AV182" s="60"/>
      <c r="AW182" s="60"/>
      <c r="AX182" s="63"/>
    </row>
    <row r="183" spans="1:50" s="1" customFormat="1" ht="12.75" customHeight="1">
      <c r="A183" s="81"/>
      <c r="B183" s="68"/>
      <c r="C183" s="69"/>
      <c r="D183" s="60"/>
      <c r="E183" s="60"/>
      <c r="F183" s="60"/>
      <c r="G183" s="60"/>
      <c r="H183" s="60"/>
      <c r="I183" s="60"/>
      <c r="J183" s="60"/>
      <c r="K183" s="60"/>
      <c r="L183" s="115"/>
      <c r="N183" s="98" t="s">
        <v>55</v>
      </c>
      <c r="O183" s="100"/>
      <c r="P183" s="100"/>
      <c r="Q183" s="101"/>
      <c r="R183" s="101"/>
      <c r="S183" s="101"/>
      <c r="T183" s="101"/>
      <c r="U183" s="101"/>
      <c r="V183" s="131" t="s">
        <v>245</v>
      </c>
      <c r="W183" s="100"/>
      <c r="X183" s="100"/>
      <c r="Y183" s="102"/>
      <c r="Z183" s="102"/>
      <c r="AA183" s="102"/>
      <c r="AB183" s="102"/>
      <c r="AC183" s="102"/>
      <c r="AD183" s="102"/>
      <c r="AE183" s="102"/>
      <c r="AF183" s="102"/>
      <c r="AG183" s="102"/>
      <c r="AH183" s="103"/>
      <c r="AI183" s="98" t="s">
        <v>129</v>
      </c>
      <c r="AJ183" s="99"/>
      <c r="AM183" s="117"/>
      <c r="AN183" s="117"/>
      <c r="AO183" s="117"/>
      <c r="AP183" s="62"/>
      <c r="AQ183" s="60"/>
      <c r="AR183" s="60"/>
      <c r="AS183" s="60"/>
      <c r="AT183" s="60"/>
      <c r="AU183" s="60"/>
      <c r="AV183" s="60"/>
      <c r="AW183" s="60"/>
      <c r="AX183" s="63"/>
    </row>
    <row r="184" spans="1:50" s="1" customFormat="1" ht="12.75" customHeight="1">
      <c r="A184" s="81"/>
      <c r="B184" s="68"/>
      <c r="C184" s="69"/>
      <c r="D184" s="60"/>
      <c r="E184" s="60"/>
      <c r="F184" s="60"/>
      <c r="G184" s="60"/>
      <c r="H184" s="60"/>
      <c r="I184" s="60"/>
      <c r="J184" s="60"/>
      <c r="K184" s="60"/>
      <c r="L184" s="115"/>
      <c r="AJ184" s="117"/>
      <c r="AK184" s="117"/>
      <c r="AL184" s="117"/>
      <c r="AM184" s="117"/>
      <c r="AN184" s="117"/>
      <c r="AO184" s="117"/>
      <c r="AP184" s="62"/>
      <c r="AQ184" s="60"/>
      <c r="AR184" s="60"/>
      <c r="AS184" s="60"/>
      <c r="AT184" s="60"/>
      <c r="AU184" s="60"/>
      <c r="AV184" s="60"/>
      <c r="AW184" s="60"/>
      <c r="AX184" s="63"/>
    </row>
    <row r="185" spans="1:50" s="1" customFormat="1" ht="12.75" customHeight="1">
      <c r="A185" s="81"/>
      <c r="B185" s="68"/>
      <c r="C185" s="69"/>
      <c r="D185" s="60"/>
      <c r="E185" s="60"/>
      <c r="F185" s="60"/>
      <c r="G185" s="60"/>
      <c r="H185" s="60"/>
      <c r="I185" s="60"/>
      <c r="J185" s="60"/>
      <c r="K185" s="60"/>
      <c r="L185" s="115"/>
      <c r="M185" s="116"/>
      <c r="N185" s="111" t="s">
        <v>257</v>
      </c>
      <c r="O185" s="111"/>
      <c r="P185" s="111"/>
      <c r="Q185" s="111"/>
      <c r="R185" s="41"/>
      <c r="S185" s="41"/>
      <c r="T185" s="41"/>
      <c r="U185" s="41"/>
      <c r="V185" s="41"/>
      <c r="W185" s="41"/>
      <c r="X185" s="111"/>
      <c r="Y185" s="111"/>
      <c r="Z185" s="112"/>
      <c r="AA185" s="112"/>
      <c r="AB185" s="112"/>
      <c r="AC185" s="112"/>
      <c r="AD185" s="112"/>
      <c r="AE185" s="112"/>
      <c r="AF185" s="112"/>
      <c r="AG185" s="112"/>
      <c r="AH185" s="112"/>
      <c r="AI185" s="112"/>
      <c r="AJ185" s="117"/>
      <c r="AK185" s="117"/>
      <c r="AL185" s="117"/>
      <c r="AM185" s="117"/>
      <c r="AN185" s="117"/>
      <c r="AO185" s="117"/>
      <c r="AP185" s="62"/>
      <c r="AQ185" s="60" t="s">
        <v>261</v>
      </c>
      <c r="AR185" s="60"/>
      <c r="AS185" s="60"/>
      <c r="AT185" s="60"/>
      <c r="AU185" s="60"/>
      <c r="AV185" s="60"/>
      <c r="AW185" s="60"/>
      <c r="AX185" s="63"/>
    </row>
    <row r="186" spans="1:50" s="1" customFormat="1" ht="12.75" customHeight="1">
      <c r="A186" s="81"/>
      <c r="B186" s="68"/>
      <c r="C186" s="69"/>
      <c r="D186" s="60"/>
      <c r="E186" s="60"/>
      <c r="F186" s="60"/>
      <c r="G186" s="60"/>
      <c r="H186" s="60"/>
      <c r="I186" s="60"/>
      <c r="J186" s="60"/>
      <c r="K186" s="60"/>
      <c r="L186" s="115"/>
      <c r="M186" s="132"/>
      <c r="N186" s="118" t="s">
        <v>29</v>
      </c>
      <c r="O186" s="119"/>
      <c r="P186" s="119"/>
      <c r="Q186" s="120"/>
      <c r="R186" s="120"/>
      <c r="S186" s="120"/>
      <c r="T186" s="120"/>
      <c r="U186" s="120"/>
      <c r="V186" s="123" t="s">
        <v>134</v>
      </c>
      <c r="W186" s="119"/>
      <c r="X186" s="119"/>
      <c r="Y186" s="121"/>
      <c r="Z186" s="121"/>
      <c r="AA186" s="121"/>
      <c r="AB186" s="121"/>
      <c r="AC186" s="121"/>
      <c r="AD186" s="121"/>
      <c r="AE186" s="121"/>
      <c r="AF186" s="121"/>
      <c r="AG186" s="121"/>
      <c r="AH186" s="122"/>
      <c r="AI186" s="118" t="s">
        <v>127</v>
      </c>
      <c r="AJ186" s="196"/>
      <c r="AM186" s="117"/>
      <c r="AN186" s="117"/>
      <c r="AO186" s="117"/>
      <c r="AP186" s="62"/>
      <c r="AQ186" s="60"/>
      <c r="AR186" s="60"/>
      <c r="AS186" s="60"/>
      <c r="AT186" s="60"/>
      <c r="AU186" s="60"/>
      <c r="AV186" s="60"/>
      <c r="AW186" s="60"/>
      <c r="AX186" s="63"/>
    </row>
    <row r="187" spans="1:50" s="1" customFormat="1" ht="12.75" customHeight="1">
      <c r="A187" s="81"/>
      <c r="B187" s="68"/>
      <c r="C187" s="69"/>
      <c r="D187" s="60"/>
      <c r="E187" s="60"/>
      <c r="F187" s="60"/>
      <c r="G187" s="60"/>
      <c r="H187" s="60"/>
      <c r="I187" s="60"/>
      <c r="J187" s="60"/>
      <c r="K187" s="60"/>
      <c r="L187" s="115"/>
      <c r="N187" s="98" t="s">
        <v>56</v>
      </c>
      <c r="O187" s="100"/>
      <c r="P187" s="100"/>
      <c r="Q187" s="101"/>
      <c r="R187" s="101"/>
      <c r="S187" s="101"/>
      <c r="T187" s="101"/>
      <c r="U187" s="101"/>
      <c r="V187" s="131" t="s">
        <v>238</v>
      </c>
      <c r="W187" s="100"/>
      <c r="X187" s="100"/>
      <c r="Y187" s="102"/>
      <c r="Z187" s="102"/>
      <c r="AA187" s="102"/>
      <c r="AB187" s="102"/>
      <c r="AC187" s="102"/>
      <c r="AD187" s="102"/>
      <c r="AE187" s="102"/>
      <c r="AF187" s="102"/>
      <c r="AG187" s="102"/>
      <c r="AH187" s="103"/>
      <c r="AI187" s="98" t="s">
        <v>129</v>
      </c>
      <c r="AJ187" s="99"/>
      <c r="AM187" s="117"/>
      <c r="AN187" s="117"/>
      <c r="AO187" s="117"/>
      <c r="AP187" s="62"/>
      <c r="AQ187" s="60"/>
      <c r="AR187" s="60"/>
      <c r="AS187" s="60"/>
      <c r="AT187" s="60"/>
      <c r="AU187" s="60"/>
      <c r="AV187" s="60"/>
      <c r="AW187" s="60"/>
      <c r="AX187" s="63"/>
    </row>
    <row r="188" spans="1:50" s="1" customFormat="1" ht="12.75" customHeight="1">
      <c r="A188" s="81"/>
      <c r="B188" s="68"/>
      <c r="C188" s="69"/>
      <c r="D188" s="60"/>
      <c r="E188" s="60"/>
      <c r="F188" s="60"/>
      <c r="G188" s="60"/>
      <c r="H188" s="60"/>
      <c r="I188" s="60"/>
      <c r="J188" s="60"/>
      <c r="K188" s="60"/>
      <c r="L188" s="90"/>
      <c r="N188" s="98" t="s">
        <v>92</v>
      </c>
      <c r="O188" s="100"/>
      <c r="P188" s="100"/>
      <c r="Q188" s="101"/>
      <c r="R188" s="101"/>
      <c r="S188" s="101"/>
      <c r="T188" s="101"/>
      <c r="U188" s="101"/>
      <c r="V188" s="131" t="s">
        <v>239</v>
      </c>
      <c r="W188" s="100"/>
      <c r="X188" s="100"/>
      <c r="Y188" s="102"/>
      <c r="Z188" s="102"/>
      <c r="AA188" s="102"/>
      <c r="AB188" s="102"/>
      <c r="AC188" s="102"/>
      <c r="AD188" s="102"/>
      <c r="AE188" s="102"/>
      <c r="AF188" s="102"/>
      <c r="AG188" s="102"/>
      <c r="AH188" s="103"/>
      <c r="AI188" s="98" t="s">
        <v>129</v>
      </c>
      <c r="AJ188" s="99"/>
      <c r="AM188" s="117"/>
      <c r="AN188" s="117"/>
      <c r="AO188" s="117"/>
      <c r="AP188" s="62"/>
      <c r="AR188" s="60"/>
      <c r="AS188" s="60"/>
      <c r="AT188" s="60"/>
      <c r="AU188" s="60"/>
      <c r="AV188" s="60"/>
      <c r="AW188" s="60"/>
      <c r="AX188" s="63"/>
    </row>
    <row r="189" spans="1:50" s="1" customFormat="1" ht="12.75" customHeight="1">
      <c r="A189" s="81"/>
      <c r="B189" s="68"/>
      <c r="C189" s="69"/>
      <c r="D189" s="60"/>
      <c r="E189" s="60"/>
      <c r="F189" s="60"/>
      <c r="G189" s="60"/>
      <c r="H189" s="60"/>
      <c r="I189" s="60"/>
      <c r="J189" s="60"/>
      <c r="K189" s="60"/>
      <c r="L189" s="90"/>
      <c r="N189" s="98" t="s">
        <v>57</v>
      </c>
      <c r="O189" s="100"/>
      <c r="P189" s="100"/>
      <c r="Q189" s="101"/>
      <c r="R189" s="101"/>
      <c r="S189" s="101"/>
      <c r="T189" s="101"/>
      <c r="U189" s="101"/>
      <c r="V189" s="131" t="s">
        <v>240</v>
      </c>
      <c r="W189" s="100"/>
      <c r="X189" s="100"/>
      <c r="Y189" s="102"/>
      <c r="Z189" s="102"/>
      <c r="AA189" s="102"/>
      <c r="AB189" s="102"/>
      <c r="AC189" s="102"/>
      <c r="AD189" s="102"/>
      <c r="AE189" s="102"/>
      <c r="AF189" s="102"/>
      <c r="AG189" s="102"/>
      <c r="AH189" s="103"/>
      <c r="AI189" s="98" t="s">
        <v>129</v>
      </c>
      <c r="AJ189" s="99"/>
      <c r="AM189" s="117"/>
      <c r="AN189" s="117"/>
      <c r="AO189" s="117"/>
      <c r="AP189" s="62"/>
      <c r="AR189" s="60"/>
      <c r="AS189" s="60"/>
      <c r="AT189" s="60"/>
      <c r="AU189" s="60"/>
      <c r="AV189" s="60"/>
      <c r="AW189" s="60"/>
      <c r="AX189" s="63"/>
    </row>
    <row r="190" spans="1:50" s="1" customFormat="1" ht="12.75" customHeight="1">
      <c r="A190" s="81"/>
      <c r="B190" s="68"/>
      <c r="C190" s="69"/>
      <c r="D190" s="60"/>
      <c r="E190" s="60"/>
      <c r="F190" s="60"/>
      <c r="G190" s="60"/>
      <c r="H190" s="60"/>
      <c r="I190" s="60"/>
      <c r="J190" s="60"/>
      <c r="K190" s="60"/>
      <c r="L190" s="90"/>
      <c r="N190" s="98" t="s">
        <v>104</v>
      </c>
      <c r="O190" s="100"/>
      <c r="P190" s="100"/>
      <c r="Q190" s="101"/>
      <c r="R190" s="101"/>
      <c r="S190" s="101"/>
      <c r="T190" s="101"/>
      <c r="U190" s="101"/>
      <c r="V190" s="131" t="s">
        <v>241</v>
      </c>
      <c r="W190" s="100"/>
      <c r="X190" s="100"/>
      <c r="Y190" s="102"/>
      <c r="Z190" s="102"/>
      <c r="AA190" s="102"/>
      <c r="AB190" s="102"/>
      <c r="AC190" s="102"/>
      <c r="AD190" s="102"/>
      <c r="AE190" s="102"/>
      <c r="AF190" s="102"/>
      <c r="AG190" s="102"/>
      <c r="AH190" s="103"/>
      <c r="AI190" s="98" t="s">
        <v>129</v>
      </c>
      <c r="AJ190" s="99"/>
      <c r="AM190" s="117"/>
      <c r="AN190" s="117"/>
      <c r="AO190" s="117"/>
      <c r="AP190" s="62"/>
      <c r="AR190" s="60"/>
      <c r="AS190" s="60"/>
      <c r="AT190" s="60"/>
      <c r="AU190" s="60"/>
      <c r="AV190" s="60"/>
      <c r="AW190" s="60"/>
      <c r="AX190" s="63"/>
    </row>
    <row r="191" spans="1:50" s="1" customFormat="1" ht="12.75" customHeight="1">
      <c r="A191" s="81"/>
      <c r="B191" s="68"/>
      <c r="C191" s="69"/>
      <c r="D191" s="60"/>
      <c r="E191" s="60"/>
      <c r="F191" s="60"/>
      <c r="G191" s="60"/>
      <c r="H191" s="60"/>
      <c r="I191" s="60"/>
      <c r="J191" s="60"/>
      <c r="K191" s="60"/>
      <c r="L191" s="90"/>
      <c r="N191" s="98" t="s">
        <v>105</v>
      </c>
      <c r="O191" s="100"/>
      <c r="P191" s="100"/>
      <c r="Q191" s="101"/>
      <c r="R191" s="101"/>
      <c r="S191" s="101"/>
      <c r="T191" s="101"/>
      <c r="U191" s="101"/>
      <c r="V191" s="131" t="s">
        <v>242</v>
      </c>
      <c r="W191" s="100"/>
      <c r="X191" s="100"/>
      <c r="Y191" s="102"/>
      <c r="Z191" s="102"/>
      <c r="AA191" s="102"/>
      <c r="AB191" s="102"/>
      <c r="AC191" s="102"/>
      <c r="AD191" s="102"/>
      <c r="AE191" s="102"/>
      <c r="AF191" s="102"/>
      <c r="AG191" s="102"/>
      <c r="AH191" s="103"/>
      <c r="AI191" s="98" t="s">
        <v>129</v>
      </c>
      <c r="AJ191" s="99"/>
      <c r="AM191" s="117"/>
      <c r="AN191" s="117"/>
      <c r="AO191" s="117"/>
      <c r="AP191" s="62"/>
      <c r="AR191" s="60"/>
      <c r="AS191" s="60"/>
      <c r="AT191" s="60"/>
      <c r="AU191" s="60"/>
      <c r="AV191" s="60"/>
      <c r="AW191" s="60"/>
      <c r="AX191" s="63"/>
    </row>
    <row r="192" spans="1:50" s="1" customFormat="1" ht="12.75" customHeight="1">
      <c r="A192" s="81"/>
      <c r="B192" s="68"/>
      <c r="C192" s="69"/>
      <c r="D192" s="60"/>
      <c r="E192" s="60"/>
      <c r="F192" s="60"/>
      <c r="G192" s="60"/>
      <c r="H192" s="60"/>
      <c r="I192" s="60"/>
      <c r="J192" s="60"/>
      <c r="K192" s="60"/>
      <c r="L192" s="90"/>
      <c r="N192" s="98" t="s">
        <v>70</v>
      </c>
      <c r="O192" s="100"/>
      <c r="P192" s="100"/>
      <c r="Q192" s="101"/>
      <c r="R192" s="101"/>
      <c r="S192" s="101"/>
      <c r="T192" s="101"/>
      <c r="U192" s="101"/>
      <c r="V192" s="131" t="s">
        <v>243</v>
      </c>
      <c r="W192" s="100"/>
      <c r="X192" s="100"/>
      <c r="Y192" s="102"/>
      <c r="Z192" s="102"/>
      <c r="AA192" s="102"/>
      <c r="AB192" s="102"/>
      <c r="AC192" s="102"/>
      <c r="AD192" s="102"/>
      <c r="AE192" s="102"/>
      <c r="AF192" s="102"/>
      <c r="AG192" s="102"/>
      <c r="AH192" s="103"/>
      <c r="AI192" s="98" t="s">
        <v>129</v>
      </c>
      <c r="AJ192" s="99"/>
      <c r="AM192" s="117"/>
      <c r="AN192" s="117"/>
      <c r="AO192" s="117"/>
      <c r="AP192" s="62"/>
      <c r="AR192" s="60"/>
      <c r="AS192" s="60"/>
      <c r="AT192" s="60"/>
      <c r="AU192" s="60"/>
      <c r="AV192" s="60"/>
      <c r="AW192" s="60"/>
      <c r="AX192" s="63"/>
    </row>
    <row r="193" spans="1:50" s="1" customFormat="1" ht="12.75" customHeight="1">
      <c r="A193" s="81"/>
      <c r="B193" s="68"/>
      <c r="C193" s="69"/>
      <c r="D193" s="60"/>
      <c r="E193" s="60"/>
      <c r="F193" s="60"/>
      <c r="G193" s="60"/>
      <c r="H193" s="60"/>
      <c r="I193" s="60"/>
      <c r="J193" s="60"/>
      <c r="K193" s="60"/>
      <c r="L193" s="90"/>
      <c r="N193" s="98" t="s">
        <v>71</v>
      </c>
      <c r="O193" s="100"/>
      <c r="P193" s="100"/>
      <c r="Q193" s="101"/>
      <c r="R193" s="101"/>
      <c r="S193" s="101"/>
      <c r="T193" s="101"/>
      <c r="U193" s="101"/>
      <c r="V193" s="131" t="s">
        <v>244</v>
      </c>
      <c r="W193" s="100"/>
      <c r="X193" s="100"/>
      <c r="Y193" s="102"/>
      <c r="Z193" s="102"/>
      <c r="AA193" s="102"/>
      <c r="AB193" s="102"/>
      <c r="AC193" s="102"/>
      <c r="AD193" s="102"/>
      <c r="AE193" s="102"/>
      <c r="AF193" s="102"/>
      <c r="AG193" s="102"/>
      <c r="AH193" s="103"/>
      <c r="AI193" s="98" t="s">
        <v>129</v>
      </c>
      <c r="AJ193" s="99"/>
      <c r="AM193" s="117"/>
      <c r="AN193" s="117"/>
      <c r="AO193" s="117"/>
      <c r="AP193" s="62"/>
      <c r="AR193" s="60"/>
      <c r="AS193" s="60"/>
      <c r="AT193" s="60"/>
      <c r="AU193" s="60"/>
      <c r="AV193" s="60"/>
      <c r="AW193" s="60"/>
      <c r="AX193" s="63"/>
    </row>
    <row r="194" spans="1:50" s="1" customFormat="1" ht="12.75" customHeight="1">
      <c r="A194" s="81"/>
      <c r="B194" s="68"/>
      <c r="C194" s="69"/>
      <c r="D194" s="60"/>
      <c r="E194" s="60"/>
      <c r="F194" s="60"/>
      <c r="G194" s="60"/>
      <c r="H194" s="60"/>
      <c r="I194" s="60"/>
      <c r="J194" s="60"/>
      <c r="K194" s="60"/>
      <c r="L194" s="90"/>
      <c r="N194" s="98" t="s">
        <v>55</v>
      </c>
      <c r="O194" s="100"/>
      <c r="P194" s="100"/>
      <c r="Q194" s="101"/>
      <c r="R194" s="101"/>
      <c r="S194" s="101"/>
      <c r="T194" s="101"/>
      <c r="U194" s="101"/>
      <c r="V194" s="131" t="s">
        <v>245</v>
      </c>
      <c r="W194" s="100"/>
      <c r="X194" s="100"/>
      <c r="Y194" s="102"/>
      <c r="Z194" s="102"/>
      <c r="AA194" s="102"/>
      <c r="AB194" s="102"/>
      <c r="AC194" s="102"/>
      <c r="AD194" s="102"/>
      <c r="AE194" s="102"/>
      <c r="AF194" s="102"/>
      <c r="AG194" s="102"/>
      <c r="AH194" s="103"/>
      <c r="AI194" s="98" t="s">
        <v>129</v>
      </c>
      <c r="AJ194" s="99"/>
      <c r="AM194" s="117"/>
      <c r="AN194" s="117"/>
      <c r="AO194" s="117"/>
      <c r="AP194" s="62"/>
      <c r="AR194" s="60"/>
      <c r="AS194" s="60"/>
      <c r="AT194" s="60"/>
      <c r="AU194" s="60"/>
      <c r="AV194" s="60"/>
      <c r="AW194" s="60"/>
      <c r="AX194" s="63"/>
    </row>
    <row r="195" spans="1:50" s="1" customFormat="1" ht="12.75" customHeight="1">
      <c r="A195" s="81"/>
      <c r="B195" s="68"/>
      <c r="C195" s="69"/>
      <c r="D195" s="60"/>
      <c r="E195" s="60"/>
      <c r="F195" s="60"/>
      <c r="G195" s="60"/>
      <c r="H195" s="60"/>
      <c r="I195" s="60"/>
      <c r="J195" s="60"/>
      <c r="K195" s="60"/>
      <c r="L195" s="90"/>
      <c r="AJ195" s="60"/>
      <c r="AK195" s="117"/>
      <c r="AL195" s="117"/>
      <c r="AM195" s="117"/>
      <c r="AN195" s="117"/>
      <c r="AO195" s="117"/>
      <c r="AP195" s="62"/>
      <c r="AR195" s="60"/>
      <c r="AS195" s="60"/>
      <c r="AT195" s="60"/>
      <c r="AU195" s="60"/>
      <c r="AV195" s="60"/>
      <c r="AW195" s="60"/>
      <c r="AX195" s="63"/>
    </row>
    <row r="196" spans="1:50" s="1" customFormat="1" ht="12.75" customHeight="1">
      <c r="A196" s="81"/>
      <c r="B196" s="68"/>
      <c r="C196" s="69"/>
      <c r="D196" s="60" t="s">
        <v>258</v>
      </c>
      <c r="E196" s="60"/>
      <c r="F196" s="60"/>
      <c r="G196" s="60"/>
      <c r="H196" s="60"/>
      <c r="I196" s="60"/>
      <c r="J196" s="60"/>
      <c r="K196" s="60"/>
      <c r="L196" s="90"/>
      <c r="M196" s="82"/>
      <c r="N196" s="82" t="s">
        <v>290</v>
      </c>
      <c r="O196" s="60" t="s">
        <v>264</v>
      </c>
      <c r="P196" s="60"/>
      <c r="Q196" s="60"/>
      <c r="R196" s="60"/>
      <c r="S196" s="60"/>
      <c r="T196" s="60"/>
      <c r="U196" s="60"/>
      <c r="V196" s="60"/>
      <c r="W196" s="60"/>
      <c r="X196" s="60"/>
      <c r="Y196" s="60"/>
      <c r="Z196" s="60"/>
      <c r="AA196" s="60"/>
      <c r="AB196" s="60"/>
      <c r="AC196" s="60"/>
      <c r="AD196" s="60"/>
      <c r="AE196" s="60"/>
      <c r="AF196" s="60"/>
      <c r="AG196" s="60"/>
      <c r="AH196" s="60"/>
      <c r="AI196" s="60"/>
      <c r="AJ196" s="60"/>
      <c r="AK196" s="117"/>
      <c r="AL196" s="117"/>
      <c r="AM196" s="117"/>
      <c r="AN196" s="117"/>
      <c r="AO196" s="117"/>
      <c r="AP196" s="62"/>
      <c r="AR196" s="60"/>
      <c r="AS196" s="60"/>
      <c r="AT196" s="60"/>
      <c r="AU196" s="60"/>
      <c r="AV196" s="60"/>
      <c r="AW196" s="60"/>
      <c r="AX196" s="63"/>
    </row>
    <row r="197" spans="1:50" s="1" customFormat="1" ht="12.75" customHeight="1">
      <c r="A197" s="81"/>
      <c r="B197" s="68"/>
      <c r="C197" s="69"/>
      <c r="D197" s="60" t="s">
        <v>268</v>
      </c>
      <c r="E197" s="60"/>
      <c r="F197" s="60"/>
      <c r="G197" s="60"/>
      <c r="H197" s="60"/>
      <c r="I197" s="60"/>
      <c r="J197" s="60"/>
      <c r="K197" s="60"/>
      <c r="L197" s="90"/>
      <c r="M197" s="82"/>
      <c r="N197" s="82"/>
      <c r="O197" s="60" t="s">
        <v>266</v>
      </c>
      <c r="P197" s="60"/>
      <c r="Q197" s="60"/>
      <c r="R197" s="60"/>
      <c r="S197" s="60"/>
      <c r="T197" s="60"/>
      <c r="U197" s="60"/>
      <c r="V197" s="60"/>
      <c r="W197" s="60"/>
      <c r="X197" s="60"/>
      <c r="Y197" s="60"/>
      <c r="Z197" s="60"/>
      <c r="AA197" s="60"/>
      <c r="AB197" s="60"/>
      <c r="AC197" s="60"/>
      <c r="AD197" s="60"/>
      <c r="AE197" s="60"/>
      <c r="AF197" s="60"/>
      <c r="AG197" s="60"/>
      <c r="AH197" s="60"/>
      <c r="AI197" s="60"/>
      <c r="AJ197" s="60"/>
      <c r="AK197" s="117"/>
      <c r="AL197" s="117"/>
      <c r="AM197" s="117"/>
      <c r="AN197" s="117"/>
      <c r="AO197" s="117"/>
      <c r="AP197" s="62"/>
      <c r="AQ197" s="1" t="s">
        <v>265</v>
      </c>
      <c r="AR197" s="60"/>
      <c r="AS197" s="60"/>
      <c r="AT197" s="60"/>
      <c r="AU197" s="60"/>
      <c r="AV197" s="60"/>
      <c r="AW197" s="60"/>
      <c r="AX197" s="63"/>
    </row>
    <row r="198" spans="1:50" s="1" customFormat="1" ht="12.75" customHeight="1">
      <c r="A198" s="81"/>
      <c r="B198" s="68"/>
      <c r="C198" s="69"/>
      <c r="D198" s="60" t="s">
        <v>269</v>
      </c>
      <c r="E198" s="60"/>
      <c r="F198" s="60"/>
      <c r="G198" s="60"/>
      <c r="H198" s="60"/>
      <c r="I198" s="60"/>
      <c r="J198" s="60"/>
      <c r="K198" s="60"/>
      <c r="L198" s="90"/>
      <c r="M198" s="82"/>
      <c r="N198" s="82"/>
      <c r="O198" s="60" t="s">
        <v>267</v>
      </c>
      <c r="P198" s="60"/>
      <c r="Q198" s="60"/>
      <c r="R198" s="60"/>
      <c r="S198" s="60"/>
      <c r="T198" s="60"/>
      <c r="U198" s="60"/>
      <c r="V198" s="60"/>
      <c r="W198" s="60"/>
      <c r="X198" s="60"/>
      <c r="Y198" s="60"/>
      <c r="Z198" s="60"/>
      <c r="AA198" s="60"/>
      <c r="AB198" s="60"/>
      <c r="AC198" s="60"/>
      <c r="AD198" s="60"/>
      <c r="AE198" s="60"/>
      <c r="AF198" s="60"/>
      <c r="AG198" s="60"/>
      <c r="AH198" s="60"/>
      <c r="AI198" s="60"/>
      <c r="AJ198" s="60"/>
      <c r="AK198" s="117"/>
      <c r="AL198" s="117"/>
      <c r="AM198" s="117"/>
      <c r="AN198" s="117"/>
      <c r="AO198" s="117"/>
      <c r="AP198" s="62"/>
      <c r="AR198" s="60"/>
      <c r="AS198" s="60"/>
      <c r="AT198" s="60"/>
      <c r="AU198" s="60"/>
      <c r="AV198" s="60"/>
      <c r="AW198" s="60"/>
      <c r="AX198" s="63"/>
    </row>
    <row r="199" spans="1:50" s="1" customFormat="1" ht="12.75" customHeight="1">
      <c r="A199" s="81"/>
      <c r="B199" s="68"/>
      <c r="C199" s="69"/>
      <c r="D199" s="60"/>
      <c r="E199" s="60"/>
      <c r="F199" s="60"/>
      <c r="G199" s="60"/>
      <c r="H199" s="60"/>
      <c r="I199" s="60"/>
      <c r="J199" s="60"/>
      <c r="K199" s="60"/>
      <c r="L199" s="90"/>
      <c r="M199" s="60"/>
      <c r="N199" s="116"/>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2"/>
      <c r="AQ199" s="60"/>
      <c r="AR199" s="60"/>
      <c r="AS199" s="60"/>
      <c r="AT199" s="60"/>
      <c r="AU199" s="60"/>
      <c r="AV199" s="60"/>
      <c r="AW199" s="60"/>
      <c r="AX199" s="63"/>
    </row>
    <row r="200" spans="1:50" s="1" customFormat="1" ht="12.75" customHeight="1">
      <c r="A200" s="81"/>
      <c r="B200" s="68"/>
      <c r="C200" s="69"/>
      <c r="D200" s="60" t="s">
        <v>265</v>
      </c>
      <c r="E200" s="60"/>
      <c r="F200" s="60"/>
      <c r="G200" s="60"/>
      <c r="H200" s="60"/>
      <c r="I200" s="60"/>
      <c r="J200" s="60"/>
      <c r="K200" s="60"/>
      <c r="L200" s="115" t="s">
        <v>291</v>
      </c>
      <c r="M200" s="60" t="s">
        <v>393</v>
      </c>
      <c r="N200" s="116"/>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2"/>
      <c r="AQ200" s="60"/>
      <c r="AR200" s="60"/>
      <c r="AS200" s="60"/>
      <c r="AT200" s="60"/>
      <c r="AU200" s="60"/>
      <c r="AV200" s="60"/>
      <c r="AW200" s="60"/>
      <c r="AX200" s="63"/>
    </row>
    <row r="201" spans="1:50" s="1" customFormat="1" ht="12.75" customHeight="1">
      <c r="A201" s="81"/>
      <c r="B201" s="68"/>
      <c r="C201" s="69"/>
      <c r="D201" s="60"/>
      <c r="E201" s="60"/>
      <c r="F201" s="60"/>
      <c r="G201" s="60"/>
      <c r="H201" s="60"/>
      <c r="I201" s="60"/>
      <c r="J201" s="60"/>
      <c r="K201" s="60"/>
      <c r="L201" s="90"/>
      <c r="M201" s="60" t="s">
        <v>294</v>
      </c>
      <c r="N201" s="116"/>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2"/>
      <c r="AQ201" s="60"/>
      <c r="AR201" s="60"/>
      <c r="AS201" s="60"/>
      <c r="AT201" s="60"/>
      <c r="AU201" s="60"/>
      <c r="AV201" s="60"/>
      <c r="AW201" s="60"/>
      <c r="AX201" s="63"/>
    </row>
    <row r="202" spans="1:50" s="1" customFormat="1" ht="12.75" customHeight="1">
      <c r="A202" s="81"/>
      <c r="B202" s="68"/>
      <c r="C202" s="69"/>
      <c r="D202" s="60"/>
      <c r="E202" s="60"/>
      <c r="F202" s="60"/>
      <c r="G202" s="60"/>
      <c r="H202" s="60"/>
      <c r="I202" s="60"/>
      <c r="J202" s="60"/>
      <c r="K202" s="60"/>
      <c r="L202" s="90"/>
      <c r="M202" s="60"/>
      <c r="N202" s="116"/>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2"/>
      <c r="AQ202" s="60"/>
      <c r="AR202" s="60"/>
      <c r="AS202" s="60"/>
      <c r="AT202" s="60"/>
      <c r="AU202" s="60"/>
      <c r="AV202" s="60"/>
      <c r="AW202" s="60"/>
      <c r="AX202" s="63"/>
    </row>
    <row r="203" spans="1:50" s="1" customFormat="1" ht="12.75" customHeight="1">
      <c r="A203" s="81"/>
      <c r="B203" s="68"/>
      <c r="C203" s="69"/>
      <c r="D203" s="60" t="s">
        <v>206</v>
      </c>
      <c r="E203" s="60"/>
      <c r="F203" s="60"/>
      <c r="G203" s="60"/>
      <c r="H203" s="60"/>
      <c r="I203" s="60"/>
      <c r="J203" s="60"/>
      <c r="K203" s="60"/>
      <c r="L203" s="115" t="s">
        <v>292</v>
      </c>
      <c r="M203" s="60" t="s">
        <v>394</v>
      </c>
      <c r="N203" s="116"/>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2"/>
      <c r="AQ203" s="60" t="s">
        <v>276</v>
      </c>
      <c r="AR203" s="60"/>
      <c r="AS203" s="60"/>
      <c r="AT203" s="60"/>
      <c r="AU203" s="60"/>
      <c r="AV203" s="60"/>
      <c r="AW203" s="60"/>
      <c r="AX203" s="63"/>
    </row>
    <row r="204" spans="1:50" s="1" customFormat="1" ht="12.75" customHeight="1">
      <c r="A204" s="81"/>
      <c r="B204" s="68"/>
      <c r="C204" s="69"/>
      <c r="D204" s="60"/>
      <c r="E204" s="60"/>
      <c r="F204" s="60"/>
      <c r="G204" s="60"/>
      <c r="H204" s="60"/>
      <c r="I204" s="60"/>
      <c r="J204" s="60"/>
      <c r="K204" s="60"/>
      <c r="L204" s="90"/>
      <c r="M204" s="60" t="s">
        <v>275</v>
      </c>
      <c r="N204" s="116"/>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2"/>
      <c r="AQ204" s="60"/>
      <c r="AR204" s="60"/>
      <c r="AS204" s="60"/>
      <c r="AT204" s="60"/>
      <c r="AU204" s="60"/>
      <c r="AV204" s="60"/>
      <c r="AW204" s="60"/>
      <c r="AX204" s="63"/>
    </row>
    <row r="205" spans="1:50" s="1" customFormat="1" ht="12.75" customHeight="1" thickBot="1">
      <c r="A205" s="81"/>
      <c r="B205" s="68"/>
      <c r="C205" s="69"/>
      <c r="D205" s="60"/>
      <c r="E205" s="60"/>
      <c r="F205" s="60"/>
      <c r="G205" s="60"/>
      <c r="H205" s="60"/>
      <c r="I205" s="60"/>
      <c r="J205" s="60"/>
      <c r="K205" s="60"/>
      <c r="L205" s="90"/>
      <c r="M205" s="82"/>
      <c r="N205" s="116"/>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2"/>
      <c r="AQ205" s="60"/>
      <c r="AR205" s="60"/>
      <c r="AS205" s="60"/>
      <c r="AT205" s="60"/>
      <c r="AU205" s="60"/>
      <c r="AV205" s="60"/>
      <c r="AW205" s="60"/>
      <c r="AX205" s="63"/>
    </row>
    <row r="206" spans="1:50" s="1" customFormat="1" ht="12.75" thickTop="1">
      <c r="A206" s="80" t="s">
        <v>135</v>
      </c>
      <c r="B206" s="57" t="s">
        <v>136</v>
      </c>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9"/>
    </row>
    <row r="207" spans="1:50" s="1" customFormat="1" ht="12">
      <c r="A207" s="81"/>
      <c r="B207" s="403"/>
      <c r="C207" s="404"/>
      <c r="D207" s="60"/>
      <c r="E207" s="60"/>
      <c r="F207" s="60"/>
      <c r="G207" s="60"/>
      <c r="H207" s="60"/>
      <c r="I207" s="60"/>
      <c r="J207" s="60"/>
      <c r="K207" s="60"/>
      <c r="L207" s="83" t="s">
        <v>293</v>
      </c>
      <c r="M207" s="84" t="s">
        <v>271</v>
      </c>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5"/>
      <c r="AQ207" s="60"/>
      <c r="AR207" s="60"/>
      <c r="AS207" s="60"/>
      <c r="AT207" s="60"/>
      <c r="AU207" s="60"/>
      <c r="AV207" s="60"/>
      <c r="AW207" s="60"/>
      <c r="AX207" s="63"/>
    </row>
    <row r="208" spans="1:50" s="1" customFormat="1" ht="12">
      <c r="A208" s="81"/>
      <c r="B208" s="68"/>
      <c r="C208" s="69"/>
      <c r="D208" s="60"/>
      <c r="E208" s="60"/>
      <c r="F208" s="60"/>
      <c r="G208" s="60"/>
      <c r="H208" s="60"/>
      <c r="I208" s="60"/>
      <c r="J208" s="60"/>
      <c r="K208" s="60"/>
      <c r="L208" s="90"/>
      <c r="M208" s="60" t="s">
        <v>272</v>
      </c>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2"/>
      <c r="AQ208" s="60"/>
      <c r="AR208" s="60"/>
      <c r="AS208" s="60"/>
      <c r="AT208" s="60"/>
      <c r="AU208" s="60"/>
      <c r="AV208" s="60"/>
      <c r="AW208" s="60"/>
      <c r="AX208" s="63"/>
    </row>
    <row r="209" spans="1:50" s="1" customFormat="1" ht="12">
      <c r="A209" s="81"/>
      <c r="B209" s="68"/>
      <c r="C209" s="69"/>
      <c r="D209" s="60"/>
      <c r="E209" s="60"/>
      <c r="F209" s="60"/>
      <c r="G209" s="60"/>
      <c r="H209" s="60"/>
      <c r="I209" s="60"/>
      <c r="J209" s="60"/>
      <c r="K209" s="60"/>
      <c r="L209" s="90"/>
      <c r="M209" s="60" t="s">
        <v>273</v>
      </c>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2"/>
      <c r="AQ209" s="60"/>
      <c r="AR209" s="60"/>
      <c r="AS209" s="60"/>
      <c r="AT209" s="60"/>
      <c r="AU209" s="60"/>
      <c r="AV209" s="60"/>
      <c r="AW209" s="60"/>
      <c r="AX209" s="63"/>
    </row>
    <row r="210" spans="1:50" s="1" customFormat="1" ht="12">
      <c r="A210" s="81"/>
      <c r="B210" s="68"/>
      <c r="C210" s="69"/>
      <c r="D210" s="60"/>
      <c r="E210" s="60"/>
      <c r="F210" s="60"/>
      <c r="G210" s="60"/>
      <c r="H210" s="60"/>
      <c r="I210" s="60"/>
      <c r="J210" s="60"/>
      <c r="K210" s="60"/>
      <c r="L210" s="61"/>
      <c r="M210" s="124"/>
      <c r="N210" s="82" t="s">
        <v>63</v>
      </c>
      <c r="O210" s="60" t="s">
        <v>130</v>
      </c>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2"/>
      <c r="AQ210" s="60"/>
      <c r="AR210" s="60"/>
      <c r="AS210" s="60"/>
      <c r="AT210" s="60"/>
      <c r="AU210" s="60"/>
      <c r="AV210" s="60"/>
      <c r="AW210" s="60"/>
      <c r="AX210" s="63"/>
    </row>
    <row r="211" spans="1:50" s="1" customFormat="1" ht="12">
      <c r="A211" s="81"/>
      <c r="B211" s="68"/>
      <c r="C211" s="69"/>
      <c r="D211" s="60"/>
      <c r="E211" s="60"/>
      <c r="F211" s="60"/>
      <c r="G211" s="60"/>
      <c r="H211" s="60"/>
      <c r="I211" s="60"/>
      <c r="J211" s="60"/>
      <c r="K211" s="60"/>
      <c r="L211" s="61"/>
      <c r="M211" s="86"/>
      <c r="N211" s="82" t="s">
        <v>63</v>
      </c>
      <c r="O211" s="60" t="s">
        <v>104</v>
      </c>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2"/>
      <c r="AQ211" s="60"/>
      <c r="AR211" s="60"/>
      <c r="AS211" s="60"/>
      <c r="AT211" s="60"/>
      <c r="AU211" s="60"/>
      <c r="AV211" s="60"/>
      <c r="AW211" s="60"/>
      <c r="AX211" s="63"/>
    </row>
    <row r="212" spans="1:50" s="1" customFormat="1" ht="12.75" thickBot="1">
      <c r="A212" s="125"/>
      <c r="B212" s="405"/>
      <c r="C212" s="406"/>
      <c r="D212" s="47"/>
      <c r="E212" s="47"/>
      <c r="F212" s="47"/>
      <c r="G212" s="47"/>
      <c r="H212" s="47"/>
      <c r="I212" s="47"/>
      <c r="J212" s="47"/>
      <c r="K212" s="47"/>
      <c r="L212" s="126"/>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127"/>
      <c r="AQ212" s="47"/>
      <c r="AR212" s="47"/>
      <c r="AS212" s="47"/>
      <c r="AT212" s="47"/>
      <c r="AU212" s="47"/>
      <c r="AV212" s="47"/>
      <c r="AW212" s="47"/>
      <c r="AX212" s="48"/>
    </row>
  </sheetData>
  <mergeCells count="29">
    <mergeCell ref="AQ3:AT3"/>
    <mergeCell ref="AQ1:AT1"/>
    <mergeCell ref="AU1:AX1"/>
    <mergeCell ref="H2:K2"/>
    <mergeCell ref="L2:R2"/>
    <mergeCell ref="S2:V2"/>
    <mergeCell ref="W2:AC2"/>
    <mergeCell ref="AD2:AG2"/>
    <mergeCell ref="AH2:AL2"/>
    <mergeCell ref="H1:K1"/>
    <mergeCell ref="L1:R1"/>
    <mergeCell ref="S1:V1"/>
    <mergeCell ref="W1:AC1"/>
    <mergeCell ref="AD1:AG1"/>
    <mergeCell ref="AQ2:AT2"/>
    <mergeCell ref="AU2:AX3"/>
    <mergeCell ref="B5:C5"/>
    <mergeCell ref="B16:C16"/>
    <mergeCell ref="B207:C207"/>
    <mergeCell ref="B212:C212"/>
    <mergeCell ref="AM2:AP2"/>
    <mergeCell ref="A1:G3"/>
    <mergeCell ref="AH1:AL1"/>
    <mergeCell ref="AM1:AP1"/>
    <mergeCell ref="L3:R3"/>
    <mergeCell ref="S3:V3"/>
    <mergeCell ref="W3:AL3"/>
    <mergeCell ref="AM3:AP3"/>
    <mergeCell ref="H3:K3"/>
  </mergeCells>
  <phoneticPr fontId="2"/>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CFF"/>
    <pageSetUpPr fitToPage="1"/>
  </sheetPr>
  <dimension ref="A4:U17"/>
  <sheetViews>
    <sheetView showGridLines="0" zoomScaleNormal="100" zoomScaleSheetLayoutView="100" workbookViewId="0">
      <selection activeCell="N28" sqref="A28:N33"/>
    </sheetView>
  </sheetViews>
  <sheetFormatPr defaultRowHeight="12"/>
  <cols>
    <col min="1" max="1" width="12" style="237" customWidth="1"/>
    <col min="2" max="2" width="16.83203125" style="237" bestFit="1" customWidth="1"/>
    <col min="3" max="4" width="16.6640625" style="237" customWidth="1"/>
    <col min="5" max="5" width="104.1640625" style="237" customWidth="1"/>
    <col min="6" max="6" width="30.6640625" style="1" bestFit="1" customWidth="1"/>
    <col min="7" max="8" width="11.33203125" style="1" bestFit="1" customWidth="1"/>
    <col min="9" max="9" width="15.83203125" style="1" bestFit="1" customWidth="1"/>
    <col min="10" max="10" width="11.33203125" style="1" bestFit="1" customWidth="1"/>
    <col min="11" max="11" width="15.83203125" style="1" bestFit="1" customWidth="1"/>
    <col min="12" max="12" width="18.6640625" style="1" bestFit="1" customWidth="1"/>
    <col min="13" max="13" width="11.33203125" style="1" bestFit="1" customWidth="1"/>
    <col min="14" max="14" width="18.83203125" style="1" bestFit="1" customWidth="1"/>
    <col min="15" max="15" width="19.83203125" style="1" bestFit="1" customWidth="1"/>
    <col min="16" max="16" width="17.6640625" style="1" bestFit="1" customWidth="1"/>
    <col min="17" max="17" width="15.83203125" style="1" bestFit="1" customWidth="1"/>
    <col min="18" max="18" width="16" style="1" bestFit="1" customWidth="1"/>
    <col min="19" max="19" width="25.5" style="1" bestFit="1" customWidth="1"/>
    <col min="20" max="20" width="23.33203125" style="1" bestFit="1" customWidth="1"/>
    <col min="21" max="21" width="13.5" style="1" bestFit="1" customWidth="1"/>
    <col min="22" max="181" width="9.33203125" style="1"/>
    <col min="182" max="231" width="3.33203125" style="1" customWidth="1"/>
    <col min="232" max="232" width="1.5" style="1" customWidth="1"/>
    <col min="233" max="437" width="9.33203125" style="1"/>
    <col min="438" max="487" width="3.33203125" style="1" customWidth="1"/>
    <col min="488" max="488" width="1.5" style="1" customWidth="1"/>
    <col min="489" max="693" width="9.33203125" style="1"/>
    <col min="694" max="743" width="3.33203125" style="1" customWidth="1"/>
    <col min="744" max="744" width="1.5" style="1" customWidth="1"/>
    <col min="745" max="949" width="9.33203125" style="1"/>
    <col min="950" max="999" width="3.33203125" style="1" customWidth="1"/>
    <col min="1000" max="1000" width="1.5" style="1" customWidth="1"/>
    <col min="1001" max="1205" width="9.33203125" style="1"/>
    <col min="1206" max="1255" width="3.33203125" style="1" customWidth="1"/>
    <col min="1256" max="1256" width="1.5" style="1" customWidth="1"/>
    <col min="1257" max="1461" width="9.33203125" style="1"/>
    <col min="1462" max="1511" width="3.33203125" style="1" customWidth="1"/>
    <col min="1512" max="1512" width="1.5" style="1" customWidth="1"/>
    <col min="1513" max="1717" width="9.33203125" style="1"/>
    <col min="1718" max="1767" width="3.33203125" style="1" customWidth="1"/>
    <col min="1768" max="1768" width="1.5" style="1" customWidth="1"/>
    <col min="1769" max="1973" width="9.33203125" style="1"/>
    <col min="1974" max="2023" width="3.33203125" style="1" customWidth="1"/>
    <col min="2024" max="2024" width="1.5" style="1" customWidth="1"/>
    <col min="2025" max="2229" width="9.33203125" style="1"/>
    <col min="2230" max="2279" width="3.33203125" style="1" customWidth="1"/>
    <col min="2280" max="2280" width="1.5" style="1" customWidth="1"/>
    <col min="2281" max="2485" width="9.33203125" style="1"/>
    <col min="2486" max="2535" width="3.33203125" style="1" customWidth="1"/>
    <col min="2536" max="2536" width="1.5" style="1" customWidth="1"/>
    <col min="2537" max="2741" width="9.33203125" style="1"/>
    <col min="2742" max="2791" width="3.33203125" style="1" customWidth="1"/>
    <col min="2792" max="2792" width="1.5" style="1" customWidth="1"/>
    <col min="2793" max="2997" width="9.33203125" style="1"/>
    <col min="2998" max="3047" width="3.33203125" style="1" customWidth="1"/>
    <col min="3048" max="3048" width="1.5" style="1" customWidth="1"/>
    <col min="3049" max="3253" width="9.33203125" style="1"/>
    <col min="3254" max="3303" width="3.33203125" style="1" customWidth="1"/>
    <col min="3304" max="3304" width="1.5" style="1" customWidth="1"/>
    <col min="3305" max="3509" width="9.33203125" style="1"/>
    <col min="3510" max="3559" width="3.33203125" style="1" customWidth="1"/>
    <col min="3560" max="3560" width="1.5" style="1" customWidth="1"/>
    <col min="3561" max="3765" width="9.33203125" style="1"/>
    <col min="3766" max="3815" width="3.33203125" style="1" customWidth="1"/>
    <col min="3816" max="3816" width="1.5" style="1" customWidth="1"/>
    <col min="3817" max="4021" width="9.33203125" style="1"/>
    <col min="4022" max="4071" width="3.33203125" style="1" customWidth="1"/>
    <col min="4072" max="4072" width="1.5" style="1" customWidth="1"/>
    <col min="4073" max="4277" width="9.33203125" style="1"/>
    <col min="4278" max="4327" width="3.33203125" style="1" customWidth="1"/>
    <col min="4328" max="4328" width="1.5" style="1" customWidth="1"/>
    <col min="4329" max="4533" width="9.33203125" style="1"/>
    <col min="4534" max="4583" width="3.33203125" style="1" customWidth="1"/>
    <col min="4584" max="4584" width="1.5" style="1" customWidth="1"/>
    <col min="4585" max="4789" width="9.33203125" style="1"/>
    <col min="4790" max="4839" width="3.33203125" style="1" customWidth="1"/>
    <col min="4840" max="4840" width="1.5" style="1" customWidth="1"/>
    <col min="4841" max="5045" width="9.33203125" style="1"/>
    <col min="5046" max="5095" width="3.33203125" style="1" customWidth="1"/>
    <col min="5096" max="5096" width="1.5" style="1" customWidth="1"/>
    <col min="5097" max="5301" width="9.33203125" style="1"/>
    <col min="5302" max="5351" width="3.33203125" style="1" customWidth="1"/>
    <col min="5352" max="5352" width="1.5" style="1" customWidth="1"/>
    <col min="5353" max="5557" width="9.33203125" style="1"/>
    <col min="5558" max="5607" width="3.33203125" style="1" customWidth="1"/>
    <col min="5608" max="5608" width="1.5" style="1" customWidth="1"/>
    <col min="5609" max="5813" width="9.33203125" style="1"/>
    <col min="5814" max="5863" width="3.33203125" style="1" customWidth="1"/>
    <col min="5864" max="5864" width="1.5" style="1" customWidth="1"/>
    <col min="5865" max="6069" width="9.33203125" style="1"/>
    <col min="6070" max="6119" width="3.33203125" style="1" customWidth="1"/>
    <col min="6120" max="6120" width="1.5" style="1" customWidth="1"/>
    <col min="6121" max="6325" width="9.33203125" style="1"/>
    <col min="6326" max="6375" width="3.33203125" style="1" customWidth="1"/>
    <col min="6376" max="6376" width="1.5" style="1" customWidth="1"/>
    <col min="6377" max="6581" width="9.33203125" style="1"/>
    <col min="6582" max="6631" width="3.33203125" style="1" customWidth="1"/>
    <col min="6632" max="6632" width="1.5" style="1" customWidth="1"/>
    <col min="6633" max="6837" width="9.33203125" style="1"/>
    <col min="6838" max="6887" width="3.33203125" style="1" customWidth="1"/>
    <col min="6888" max="6888" width="1.5" style="1" customWidth="1"/>
    <col min="6889" max="7093" width="9.33203125" style="1"/>
    <col min="7094" max="7143" width="3.33203125" style="1" customWidth="1"/>
    <col min="7144" max="7144" width="1.5" style="1" customWidth="1"/>
    <col min="7145" max="7349" width="9.33203125" style="1"/>
    <col min="7350" max="7399" width="3.33203125" style="1" customWidth="1"/>
    <col min="7400" max="7400" width="1.5" style="1" customWidth="1"/>
    <col min="7401" max="7605" width="9.33203125" style="1"/>
    <col min="7606" max="7655" width="3.33203125" style="1" customWidth="1"/>
    <col min="7656" max="7656" width="1.5" style="1" customWidth="1"/>
    <col min="7657" max="7861" width="9.33203125" style="1"/>
    <col min="7862" max="7911" width="3.33203125" style="1" customWidth="1"/>
    <col min="7912" max="7912" width="1.5" style="1" customWidth="1"/>
    <col min="7913" max="8117" width="9.33203125" style="1"/>
    <col min="8118" max="8167" width="3.33203125" style="1" customWidth="1"/>
    <col min="8168" max="8168" width="1.5" style="1" customWidth="1"/>
    <col min="8169" max="8373" width="9.33203125" style="1"/>
    <col min="8374" max="8423" width="3.33203125" style="1" customWidth="1"/>
    <col min="8424" max="8424" width="1.5" style="1" customWidth="1"/>
    <col min="8425" max="8629" width="9.33203125" style="1"/>
    <col min="8630" max="8679" width="3.33203125" style="1" customWidth="1"/>
    <col min="8680" max="8680" width="1.5" style="1" customWidth="1"/>
    <col min="8681" max="8885" width="9.33203125" style="1"/>
    <col min="8886" max="8935" width="3.33203125" style="1" customWidth="1"/>
    <col min="8936" max="8936" width="1.5" style="1" customWidth="1"/>
    <col min="8937" max="9141" width="9.33203125" style="1"/>
    <col min="9142" max="9191" width="3.33203125" style="1" customWidth="1"/>
    <col min="9192" max="9192" width="1.5" style="1" customWidth="1"/>
    <col min="9193" max="9397" width="9.33203125" style="1"/>
    <col min="9398" max="9447" width="3.33203125" style="1" customWidth="1"/>
    <col min="9448" max="9448" width="1.5" style="1" customWidth="1"/>
    <col min="9449" max="9653" width="9.33203125" style="1"/>
    <col min="9654" max="9703" width="3.33203125" style="1" customWidth="1"/>
    <col min="9704" max="9704" width="1.5" style="1" customWidth="1"/>
    <col min="9705" max="9909" width="9.33203125" style="1"/>
    <col min="9910" max="9959" width="3.33203125" style="1" customWidth="1"/>
    <col min="9960" max="9960" width="1.5" style="1" customWidth="1"/>
    <col min="9961" max="10165" width="9.33203125" style="1"/>
    <col min="10166" max="10215" width="3.33203125" style="1" customWidth="1"/>
    <col min="10216" max="10216" width="1.5" style="1" customWidth="1"/>
    <col min="10217" max="10421" width="9.33203125" style="1"/>
    <col min="10422" max="10471" width="3.33203125" style="1" customWidth="1"/>
    <col min="10472" max="10472" width="1.5" style="1" customWidth="1"/>
    <col min="10473" max="10677" width="9.33203125" style="1"/>
    <col min="10678" max="10727" width="3.33203125" style="1" customWidth="1"/>
    <col min="10728" max="10728" width="1.5" style="1" customWidth="1"/>
    <col min="10729" max="10933" width="9.33203125" style="1"/>
    <col min="10934" max="10983" width="3.33203125" style="1" customWidth="1"/>
    <col min="10984" max="10984" width="1.5" style="1" customWidth="1"/>
    <col min="10985" max="11189" width="9.33203125" style="1"/>
    <col min="11190" max="11239" width="3.33203125" style="1" customWidth="1"/>
    <col min="11240" max="11240" width="1.5" style="1" customWidth="1"/>
    <col min="11241" max="11445" width="9.33203125" style="1"/>
    <col min="11446" max="11495" width="3.33203125" style="1" customWidth="1"/>
    <col min="11496" max="11496" width="1.5" style="1" customWidth="1"/>
    <col min="11497" max="11701" width="9.33203125" style="1"/>
    <col min="11702" max="11751" width="3.33203125" style="1" customWidth="1"/>
    <col min="11752" max="11752" width="1.5" style="1" customWidth="1"/>
    <col min="11753" max="11957" width="9.33203125" style="1"/>
    <col min="11958" max="12007" width="3.33203125" style="1" customWidth="1"/>
    <col min="12008" max="12008" width="1.5" style="1" customWidth="1"/>
    <col min="12009" max="12213" width="9.33203125" style="1"/>
    <col min="12214" max="12263" width="3.33203125" style="1" customWidth="1"/>
    <col min="12264" max="12264" width="1.5" style="1" customWidth="1"/>
    <col min="12265" max="12469" width="9.33203125" style="1"/>
    <col min="12470" max="12519" width="3.33203125" style="1" customWidth="1"/>
    <col min="12520" max="12520" width="1.5" style="1" customWidth="1"/>
    <col min="12521" max="12725" width="9.33203125" style="1"/>
    <col min="12726" max="12775" width="3.33203125" style="1" customWidth="1"/>
    <col min="12776" max="12776" width="1.5" style="1" customWidth="1"/>
    <col min="12777" max="12981" width="9.33203125" style="1"/>
    <col min="12982" max="13031" width="3.33203125" style="1" customWidth="1"/>
    <col min="13032" max="13032" width="1.5" style="1" customWidth="1"/>
    <col min="13033" max="13237" width="9.33203125" style="1"/>
    <col min="13238" max="13287" width="3.33203125" style="1" customWidth="1"/>
    <col min="13288" max="13288" width="1.5" style="1" customWidth="1"/>
    <col min="13289" max="13493" width="9.33203125" style="1"/>
    <col min="13494" max="13543" width="3.33203125" style="1" customWidth="1"/>
    <col min="13544" max="13544" width="1.5" style="1" customWidth="1"/>
    <col min="13545" max="13749" width="9.33203125" style="1"/>
    <col min="13750" max="13799" width="3.33203125" style="1" customWidth="1"/>
    <col min="13800" max="13800" width="1.5" style="1" customWidth="1"/>
    <col min="13801" max="14005" width="9.33203125" style="1"/>
    <col min="14006" max="14055" width="3.33203125" style="1" customWidth="1"/>
    <col min="14056" max="14056" width="1.5" style="1" customWidth="1"/>
    <col min="14057" max="14261" width="9.33203125" style="1"/>
    <col min="14262" max="14311" width="3.33203125" style="1" customWidth="1"/>
    <col min="14312" max="14312" width="1.5" style="1" customWidth="1"/>
    <col min="14313" max="14517" width="9.33203125" style="1"/>
    <col min="14518" max="14567" width="3.33203125" style="1" customWidth="1"/>
    <col min="14568" max="14568" width="1.5" style="1" customWidth="1"/>
    <col min="14569" max="14773" width="9.33203125" style="1"/>
    <col min="14774" max="14823" width="3.33203125" style="1" customWidth="1"/>
    <col min="14824" max="14824" width="1.5" style="1" customWidth="1"/>
    <col min="14825" max="15029" width="9.33203125" style="1"/>
    <col min="15030" max="15079" width="3.33203125" style="1" customWidth="1"/>
    <col min="15080" max="15080" width="1.5" style="1" customWidth="1"/>
    <col min="15081" max="15285" width="9.33203125" style="1"/>
    <col min="15286" max="15335" width="3.33203125" style="1" customWidth="1"/>
    <col min="15336" max="15336" width="1.5" style="1" customWidth="1"/>
    <col min="15337" max="15541" width="9.33203125" style="1"/>
    <col min="15542" max="15591" width="3.33203125" style="1" customWidth="1"/>
    <col min="15592" max="15592" width="1.5" style="1" customWidth="1"/>
    <col min="15593" max="15797" width="9.33203125" style="1"/>
    <col min="15798" max="15847" width="3.33203125" style="1" customWidth="1"/>
    <col min="15848" max="15848" width="1.5" style="1" customWidth="1"/>
    <col min="15849" max="16053" width="9.33203125" style="1"/>
    <col min="16054" max="16103" width="3.33203125" style="1" customWidth="1"/>
    <col min="16104" max="16104" width="1.5" style="1" customWidth="1"/>
    <col min="16105" max="16384" width="9.33203125" style="1"/>
  </cols>
  <sheetData>
    <row r="4" spans="1:21" ht="12.75" thickBot="1">
      <c r="A4" s="208"/>
      <c r="B4" s="208"/>
      <c r="C4" s="208"/>
      <c r="D4" s="208"/>
      <c r="E4" s="208"/>
    </row>
    <row r="5" spans="1:21" ht="11.25" customHeight="1">
      <c r="A5" s="209" t="s">
        <v>344</v>
      </c>
      <c r="B5" s="210"/>
      <c r="C5" s="211">
        <v>1</v>
      </c>
      <c r="D5" s="212"/>
      <c r="E5" s="213"/>
      <c r="F5" s="212" t="s">
        <v>367</v>
      </c>
      <c r="G5" s="212"/>
      <c r="H5" s="212"/>
      <c r="I5" s="212"/>
      <c r="J5" s="212"/>
      <c r="K5" s="212"/>
      <c r="L5" s="212"/>
      <c r="M5" s="212"/>
      <c r="N5" s="212"/>
      <c r="O5" s="212"/>
      <c r="P5" s="212"/>
      <c r="Q5" s="212"/>
      <c r="R5" s="212"/>
      <c r="S5" s="212"/>
      <c r="T5" s="212"/>
      <c r="U5" s="213"/>
    </row>
    <row r="6" spans="1:21" ht="11.25" customHeight="1">
      <c r="A6" s="214" t="s">
        <v>345</v>
      </c>
      <c r="B6" s="215"/>
      <c r="C6" s="216" t="s">
        <v>356</v>
      </c>
      <c r="D6" s="216"/>
      <c r="E6" s="217"/>
      <c r="F6" s="263" t="s">
        <v>368</v>
      </c>
      <c r="G6" s="246" t="s">
        <v>369</v>
      </c>
      <c r="H6" s="246" t="s">
        <v>370</v>
      </c>
      <c r="I6" s="246" t="s">
        <v>371</v>
      </c>
      <c r="J6" s="246" t="s">
        <v>372</v>
      </c>
      <c r="K6" s="246" t="s">
        <v>373</v>
      </c>
      <c r="L6" s="246" t="s">
        <v>374</v>
      </c>
      <c r="M6" s="246" t="s">
        <v>375</v>
      </c>
      <c r="N6" s="246" t="s">
        <v>376</v>
      </c>
      <c r="O6" s="246" t="s">
        <v>377</v>
      </c>
      <c r="P6" s="246" t="s">
        <v>378</v>
      </c>
      <c r="Q6" s="246" t="s">
        <v>379</v>
      </c>
      <c r="R6" s="246" t="s">
        <v>380</v>
      </c>
      <c r="S6" s="246" t="s">
        <v>381</v>
      </c>
      <c r="T6" s="246" t="s">
        <v>382</v>
      </c>
      <c r="U6" s="247" t="s">
        <v>383</v>
      </c>
    </row>
    <row r="7" spans="1:21" ht="11.25" customHeight="1">
      <c r="A7" s="214" t="s">
        <v>346</v>
      </c>
      <c r="B7" s="215"/>
      <c r="C7" s="216" t="s">
        <v>357</v>
      </c>
      <c r="D7" s="216"/>
      <c r="E7" s="217"/>
      <c r="F7" s="264"/>
      <c r="G7" s="248"/>
      <c r="H7" s="248"/>
      <c r="I7" s="248"/>
      <c r="J7" s="248"/>
      <c r="K7" s="248"/>
      <c r="L7" s="248"/>
      <c r="M7" s="248"/>
      <c r="N7" s="248"/>
      <c r="O7" s="248"/>
      <c r="P7" s="248"/>
      <c r="Q7" s="248"/>
      <c r="R7" s="248"/>
      <c r="S7" s="248"/>
      <c r="T7" s="248"/>
      <c r="U7" s="249"/>
    </row>
    <row r="8" spans="1:21" ht="11.25" customHeight="1">
      <c r="A8" s="218" t="s">
        <v>347</v>
      </c>
      <c r="B8" s="219"/>
      <c r="C8" s="220" t="s">
        <v>358</v>
      </c>
      <c r="D8" s="221"/>
      <c r="E8" s="222"/>
      <c r="F8" s="250"/>
      <c r="G8" s="251"/>
      <c r="H8" s="251"/>
      <c r="I8" s="251"/>
      <c r="J8" s="251"/>
      <c r="K8" s="251"/>
      <c r="L8" s="251"/>
      <c r="M8" s="251"/>
      <c r="N8" s="251"/>
      <c r="O8" s="251"/>
      <c r="P8" s="251"/>
      <c r="Q8" s="251"/>
      <c r="R8" s="251"/>
      <c r="S8" s="251"/>
      <c r="T8" s="251"/>
      <c r="U8" s="252"/>
    </row>
    <row r="9" spans="1:21">
      <c r="A9" s="223"/>
      <c r="B9" s="224" t="s">
        <v>137</v>
      </c>
      <c r="C9" s="224" t="s">
        <v>348</v>
      </c>
      <c r="D9" s="224" t="s">
        <v>349</v>
      </c>
      <c r="E9" s="225" t="s">
        <v>350</v>
      </c>
      <c r="F9" s="265"/>
      <c r="G9" s="253"/>
      <c r="H9" s="253"/>
      <c r="I9" s="253"/>
      <c r="J9" s="253"/>
      <c r="K9" s="253"/>
      <c r="L9" s="253"/>
      <c r="M9" s="253"/>
      <c r="N9" s="253"/>
      <c r="O9" s="253"/>
      <c r="P9" s="253"/>
      <c r="Q9" s="253"/>
      <c r="R9" s="253"/>
      <c r="S9" s="253"/>
      <c r="T9" s="253"/>
      <c r="U9" s="225"/>
    </row>
    <row r="10" spans="1:21">
      <c r="A10" s="226"/>
      <c r="B10" s="227" t="s">
        <v>139</v>
      </c>
      <c r="C10" s="228" t="s">
        <v>359</v>
      </c>
      <c r="D10" s="227"/>
      <c r="E10" s="229"/>
      <c r="F10" s="266"/>
      <c r="G10" s="228"/>
      <c r="H10" s="228"/>
      <c r="I10" s="228"/>
      <c r="J10" s="228"/>
      <c r="K10" s="228"/>
      <c r="L10" s="228"/>
      <c r="M10" s="228"/>
      <c r="N10" s="228"/>
      <c r="O10" s="228"/>
      <c r="P10" s="228"/>
      <c r="Q10" s="228"/>
      <c r="R10" s="228"/>
      <c r="S10" s="228"/>
      <c r="T10" s="228"/>
      <c r="U10" s="229"/>
    </row>
    <row r="11" spans="1:21" ht="11.25" customHeight="1">
      <c r="A11" s="230" t="s">
        <v>351</v>
      </c>
      <c r="B11" s="231" t="s">
        <v>352</v>
      </c>
      <c r="C11" s="232" t="s">
        <v>353</v>
      </c>
      <c r="D11" s="232" t="s">
        <v>354</v>
      </c>
      <c r="E11" s="233" t="s">
        <v>355</v>
      </c>
      <c r="F11" s="254"/>
      <c r="G11" s="255"/>
      <c r="H11" s="255"/>
      <c r="I11" s="255"/>
      <c r="J11" s="255"/>
      <c r="K11" s="255"/>
      <c r="L11" s="255"/>
      <c r="M11" s="255"/>
      <c r="N11" s="255"/>
      <c r="O11" s="255"/>
      <c r="P11" s="255"/>
      <c r="Q11" s="255"/>
      <c r="R11" s="255"/>
      <c r="S11" s="255"/>
      <c r="T11" s="255"/>
      <c r="U11" s="256"/>
    </row>
    <row r="12" spans="1:21">
      <c r="A12" s="226">
        <v>1</v>
      </c>
      <c r="B12" s="234" t="s">
        <v>274</v>
      </c>
      <c r="C12" s="235" t="s">
        <v>361</v>
      </c>
      <c r="D12" s="235" t="s">
        <v>362</v>
      </c>
      <c r="E12" s="236"/>
      <c r="F12" s="267"/>
      <c r="G12" s="228"/>
      <c r="H12" s="228"/>
      <c r="I12" s="228"/>
      <c r="J12" s="228"/>
      <c r="K12" s="228"/>
      <c r="L12" s="228"/>
      <c r="M12" s="228"/>
      <c r="N12" s="228"/>
      <c r="O12" s="228"/>
      <c r="P12" s="228"/>
      <c r="Q12" s="228"/>
      <c r="R12" s="228"/>
      <c r="S12" s="228"/>
      <c r="T12" s="228"/>
      <c r="U12" s="229"/>
    </row>
    <row r="13" spans="1:21">
      <c r="A13" s="226">
        <v>2</v>
      </c>
      <c r="B13" s="235" t="s">
        <v>360</v>
      </c>
      <c r="C13" s="235"/>
      <c r="D13" s="235" t="s">
        <v>362</v>
      </c>
      <c r="E13" s="236"/>
      <c r="F13" s="268"/>
      <c r="G13" s="257"/>
      <c r="H13" s="257"/>
      <c r="I13" s="257"/>
      <c r="J13" s="257"/>
      <c r="K13" s="257"/>
      <c r="L13" s="257"/>
      <c r="M13" s="257"/>
      <c r="N13" s="257"/>
      <c r="O13" s="257"/>
      <c r="P13" s="257"/>
      <c r="Q13" s="257"/>
      <c r="R13" s="257"/>
      <c r="S13" s="257"/>
      <c r="T13" s="257"/>
      <c r="U13" s="258"/>
    </row>
    <row r="14" spans="1:21">
      <c r="A14" s="226">
        <v>3</v>
      </c>
      <c r="B14" s="235" t="s">
        <v>141</v>
      </c>
      <c r="C14" s="235" t="s">
        <v>361</v>
      </c>
      <c r="D14" s="235" t="s">
        <v>363</v>
      </c>
      <c r="E14" s="236" t="s">
        <v>140</v>
      </c>
      <c r="F14" s="267"/>
      <c r="G14" s="228"/>
      <c r="H14" s="228"/>
      <c r="I14" s="228"/>
      <c r="J14" s="228"/>
      <c r="K14" s="228"/>
      <c r="L14" s="228"/>
      <c r="M14" s="228"/>
      <c r="N14" s="228"/>
      <c r="O14" s="228"/>
      <c r="P14" s="228"/>
      <c r="Q14" s="228"/>
      <c r="R14" s="228"/>
      <c r="S14" s="228"/>
      <c r="T14" s="228"/>
      <c r="U14" s="229"/>
    </row>
    <row r="15" spans="1:21">
      <c r="A15" s="226"/>
      <c r="B15" s="235"/>
      <c r="C15" s="235"/>
      <c r="D15" s="235"/>
      <c r="E15" s="236"/>
      <c r="F15" s="268"/>
      <c r="G15" s="257"/>
      <c r="H15" s="257"/>
      <c r="I15" s="257"/>
      <c r="J15" s="257"/>
      <c r="K15" s="257"/>
      <c r="L15" s="257"/>
      <c r="M15" s="257"/>
      <c r="N15" s="257"/>
      <c r="O15" s="257"/>
      <c r="P15" s="257"/>
      <c r="Q15" s="257"/>
      <c r="R15" s="257"/>
      <c r="S15" s="257"/>
      <c r="T15" s="257"/>
      <c r="U15" s="258"/>
    </row>
    <row r="16" spans="1:21">
      <c r="A16" s="226"/>
      <c r="B16" s="235"/>
      <c r="C16" s="235"/>
      <c r="D16" s="235"/>
      <c r="E16" s="236"/>
      <c r="F16" s="267"/>
      <c r="G16" s="228"/>
      <c r="H16" s="228"/>
      <c r="I16" s="228"/>
      <c r="J16" s="228"/>
      <c r="K16" s="228"/>
      <c r="L16" s="228"/>
      <c r="M16" s="228"/>
      <c r="N16" s="228"/>
      <c r="O16" s="228"/>
      <c r="P16" s="228"/>
      <c r="Q16" s="228"/>
      <c r="R16" s="228"/>
      <c r="S16" s="228"/>
      <c r="T16" s="228"/>
      <c r="U16" s="229"/>
    </row>
    <row r="17" spans="1:21" ht="12.75" thickBot="1">
      <c r="A17" s="259"/>
      <c r="B17" s="260"/>
      <c r="C17" s="260"/>
      <c r="D17" s="260"/>
      <c r="E17" s="270"/>
      <c r="F17" s="269"/>
      <c r="G17" s="261"/>
      <c r="H17" s="261"/>
      <c r="I17" s="261"/>
      <c r="J17" s="261"/>
      <c r="K17" s="261"/>
      <c r="L17" s="261"/>
      <c r="M17" s="261"/>
      <c r="N17" s="261"/>
      <c r="O17" s="261"/>
      <c r="P17" s="261"/>
      <c r="Q17" s="261"/>
      <c r="R17" s="261"/>
      <c r="S17" s="261"/>
      <c r="T17" s="261"/>
      <c r="U17" s="262"/>
    </row>
  </sheetData>
  <phoneticPr fontId="2"/>
  <dataValidations count="1">
    <dataValidation imeMode="off" allowBlank="1" showInputMessage="1" showErrorMessage="1" sqref="WUH982996:WUI983010 HV65492:HW65506 RR65492:RS65506 ABN65492:ABO65506 ALJ65492:ALK65506 AVF65492:AVG65506 BFB65492:BFC65506 BOX65492:BOY65506 BYT65492:BYU65506 CIP65492:CIQ65506 CSL65492:CSM65506 DCH65492:DCI65506 DMD65492:DME65506 DVZ65492:DWA65506 EFV65492:EFW65506 EPR65492:EPS65506 EZN65492:EZO65506 FJJ65492:FJK65506 FTF65492:FTG65506 GDB65492:GDC65506 GMX65492:GMY65506 GWT65492:GWU65506 HGP65492:HGQ65506 HQL65492:HQM65506 IAH65492:IAI65506 IKD65492:IKE65506 ITZ65492:IUA65506 JDV65492:JDW65506 JNR65492:JNS65506 JXN65492:JXO65506 KHJ65492:KHK65506 KRF65492:KRG65506 LBB65492:LBC65506 LKX65492:LKY65506 LUT65492:LUU65506 MEP65492:MEQ65506 MOL65492:MOM65506 MYH65492:MYI65506 NID65492:NIE65506 NRZ65492:NSA65506 OBV65492:OBW65506 OLR65492:OLS65506 OVN65492:OVO65506 PFJ65492:PFK65506 PPF65492:PPG65506 PZB65492:PZC65506 QIX65492:QIY65506 QST65492:QSU65506 RCP65492:RCQ65506 RML65492:RMM65506 RWH65492:RWI65506 SGD65492:SGE65506 SPZ65492:SQA65506 SZV65492:SZW65506 TJR65492:TJS65506 TTN65492:TTO65506 UDJ65492:UDK65506 UNF65492:UNG65506 UXB65492:UXC65506 VGX65492:VGY65506 VQT65492:VQU65506 WAP65492:WAQ65506 WKL65492:WKM65506 WUH65492:WUI65506 HV131028:HW131042 RR131028:RS131042 ABN131028:ABO131042 ALJ131028:ALK131042 AVF131028:AVG131042 BFB131028:BFC131042 BOX131028:BOY131042 BYT131028:BYU131042 CIP131028:CIQ131042 CSL131028:CSM131042 DCH131028:DCI131042 DMD131028:DME131042 DVZ131028:DWA131042 EFV131028:EFW131042 EPR131028:EPS131042 EZN131028:EZO131042 FJJ131028:FJK131042 FTF131028:FTG131042 GDB131028:GDC131042 GMX131028:GMY131042 GWT131028:GWU131042 HGP131028:HGQ131042 HQL131028:HQM131042 IAH131028:IAI131042 IKD131028:IKE131042 ITZ131028:IUA131042 JDV131028:JDW131042 JNR131028:JNS131042 JXN131028:JXO131042 KHJ131028:KHK131042 KRF131028:KRG131042 LBB131028:LBC131042 LKX131028:LKY131042 LUT131028:LUU131042 MEP131028:MEQ131042 MOL131028:MOM131042 MYH131028:MYI131042 NID131028:NIE131042 NRZ131028:NSA131042 OBV131028:OBW131042 OLR131028:OLS131042 OVN131028:OVO131042 PFJ131028:PFK131042 PPF131028:PPG131042 PZB131028:PZC131042 QIX131028:QIY131042 QST131028:QSU131042 RCP131028:RCQ131042 RML131028:RMM131042 RWH131028:RWI131042 SGD131028:SGE131042 SPZ131028:SQA131042 SZV131028:SZW131042 TJR131028:TJS131042 TTN131028:TTO131042 UDJ131028:UDK131042 UNF131028:UNG131042 UXB131028:UXC131042 VGX131028:VGY131042 VQT131028:VQU131042 WAP131028:WAQ131042 WKL131028:WKM131042 WUH131028:WUI131042 HV196564:HW196578 RR196564:RS196578 ABN196564:ABO196578 ALJ196564:ALK196578 AVF196564:AVG196578 BFB196564:BFC196578 BOX196564:BOY196578 BYT196564:BYU196578 CIP196564:CIQ196578 CSL196564:CSM196578 DCH196564:DCI196578 DMD196564:DME196578 DVZ196564:DWA196578 EFV196564:EFW196578 EPR196564:EPS196578 EZN196564:EZO196578 FJJ196564:FJK196578 FTF196564:FTG196578 GDB196564:GDC196578 GMX196564:GMY196578 GWT196564:GWU196578 HGP196564:HGQ196578 HQL196564:HQM196578 IAH196564:IAI196578 IKD196564:IKE196578 ITZ196564:IUA196578 JDV196564:JDW196578 JNR196564:JNS196578 JXN196564:JXO196578 KHJ196564:KHK196578 KRF196564:KRG196578 LBB196564:LBC196578 LKX196564:LKY196578 LUT196564:LUU196578 MEP196564:MEQ196578 MOL196564:MOM196578 MYH196564:MYI196578 NID196564:NIE196578 NRZ196564:NSA196578 OBV196564:OBW196578 OLR196564:OLS196578 OVN196564:OVO196578 PFJ196564:PFK196578 PPF196564:PPG196578 PZB196564:PZC196578 QIX196564:QIY196578 QST196564:QSU196578 RCP196564:RCQ196578 RML196564:RMM196578 RWH196564:RWI196578 SGD196564:SGE196578 SPZ196564:SQA196578 SZV196564:SZW196578 TJR196564:TJS196578 TTN196564:TTO196578 UDJ196564:UDK196578 UNF196564:UNG196578 UXB196564:UXC196578 VGX196564:VGY196578 VQT196564:VQU196578 WAP196564:WAQ196578 WKL196564:WKM196578 WUH196564:WUI196578 HV262100:HW262114 RR262100:RS262114 ABN262100:ABO262114 ALJ262100:ALK262114 AVF262100:AVG262114 BFB262100:BFC262114 BOX262100:BOY262114 BYT262100:BYU262114 CIP262100:CIQ262114 CSL262100:CSM262114 DCH262100:DCI262114 DMD262100:DME262114 DVZ262100:DWA262114 EFV262100:EFW262114 EPR262100:EPS262114 EZN262100:EZO262114 FJJ262100:FJK262114 FTF262100:FTG262114 GDB262100:GDC262114 GMX262100:GMY262114 GWT262100:GWU262114 HGP262100:HGQ262114 HQL262100:HQM262114 IAH262100:IAI262114 IKD262100:IKE262114 ITZ262100:IUA262114 JDV262100:JDW262114 JNR262100:JNS262114 JXN262100:JXO262114 KHJ262100:KHK262114 KRF262100:KRG262114 LBB262100:LBC262114 LKX262100:LKY262114 LUT262100:LUU262114 MEP262100:MEQ262114 MOL262100:MOM262114 MYH262100:MYI262114 NID262100:NIE262114 NRZ262100:NSA262114 OBV262100:OBW262114 OLR262100:OLS262114 OVN262100:OVO262114 PFJ262100:PFK262114 PPF262100:PPG262114 PZB262100:PZC262114 QIX262100:QIY262114 QST262100:QSU262114 RCP262100:RCQ262114 RML262100:RMM262114 RWH262100:RWI262114 SGD262100:SGE262114 SPZ262100:SQA262114 SZV262100:SZW262114 TJR262100:TJS262114 TTN262100:TTO262114 UDJ262100:UDK262114 UNF262100:UNG262114 UXB262100:UXC262114 VGX262100:VGY262114 VQT262100:VQU262114 WAP262100:WAQ262114 WKL262100:WKM262114 WUH262100:WUI262114 HV327636:HW327650 RR327636:RS327650 ABN327636:ABO327650 ALJ327636:ALK327650 AVF327636:AVG327650 BFB327636:BFC327650 BOX327636:BOY327650 BYT327636:BYU327650 CIP327636:CIQ327650 CSL327636:CSM327650 DCH327636:DCI327650 DMD327636:DME327650 DVZ327636:DWA327650 EFV327636:EFW327650 EPR327636:EPS327650 EZN327636:EZO327650 FJJ327636:FJK327650 FTF327636:FTG327650 GDB327636:GDC327650 GMX327636:GMY327650 GWT327636:GWU327650 HGP327636:HGQ327650 HQL327636:HQM327650 IAH327636:IAI327650 IKD327636:IKE327650 ITZ327636:IUA327650 JDV327636:JDW327650 JNR327636:JNS327650 JXN327636:JXO327650 KHJ327636:KHK327650 KRF327636:KRG327650 LBB327636:LBC327650 LKX327636:LKY327650 LUT327636:LUU327650 MEP327636:MEQ327650 MOL327636:MOM327650 MYH327636:MYI327650 NID327636:NIE327650 NRZ327636:NSA327650 OBV327636:OBW327650 OLR327636:OLS327650 OVN327636:OVO327650 PFJ327636:PFK327650 PPF327636:PPG327650 PZB327636:PZC327650 QIX327636:QIY327650 QST327636:QSU327650 RCP327636:RCQ327650 RML327636:RMM327650 RWH327636:RWI327650 SGD327636:SGE327650 SPZ327636:SQA327650 SZV327636:SZW327650 TJR327636:TJS327650 TTN327636:TTO327650 UDJ327636:UDK327650 UNF327636:UNG327650 UXB327636:UXC327650 VGX327636:VGY327650 VQT327636:VQU327650 WAP327636:WAQ327650 WKL327636:WKM327650 WUH327636:WUI327650 HV393172:HW393186 RR393172:RS393186 ABN393172:ABO393186 ALJ393172:ALK393186 AVF393172:AVG393186 BFB393172:BFC393186 BOX393172:BOY393186 BYT393172:BYU393186 CIP393172:CIQ393186 CSL393172:CSM393186 DCH393172:DCI393186 DMD393172:DME393186 DVZ393172:DWA393186 EFV393172:EFW393186 EPR393172:EPS393186 EZN393172:EZO393186 FJJ393172:FJK393186 FTF393172:FTG393186 GDB393172:GDC393186 GMX393172:GMY393186 GWT393172:GWU393186 HGP393172:HGQ393186 HQL393172:HQM393186 IAH393172:IAI393186 IKD393172:IKE393186 ITZ393172:IUA393186 JDV393172:JDW393186 JNR393172:JNS393186 JXN393172:JXO393186 KHJ393172:KHK393186 KRF393172:KRG393186 LBB393172:LBC393186 LKX393172:LKY393186 LUT393172:LUU393186 MEP393172:MEQ393186 MOL393172:MOM393186 MYH393172:MYI393186 NID393172:NIE393186 NRZ393172:NSA393186 OBV393172:OBW393186 OLR393172:OLS393186 OVN393172:OVO393186 PFJ393172:PFK393186 PPF393172:PPG393186 PZB393172:PZC393186 QIX393172:QIY393186 QST393172:QSU393186 RCP393172:RCQ393186 RML393172:RMM393186 RWH393172:RWI393186 SGD393172:SGE393186 SPZ393172:SQA393186 SZV393172:SZW393186 TJR393172:TJS393186 TTN393172:TTO393186 UDJ393172:UDK393186 UNF393172:UNG393186 UXB393172:UXC393186 VGX393172:VGY393186 VQT393172:VQU393186 WAP393172:WAQ393186 WKL393172:WKM393186 WUH393172:WUI393186 HV458708:HW458722 RR458708:RS458722 ABN458708:ABO458722 ALJ458708:ALK458722 AVF458708:AVG458722 BFB458708:BFC458722 BOX458708:BOY458722 BYT458708:BYU458722 CIP458708:CIQ458722 CSL458708:CSM458722 DCH458708:DCI458722 DMD458708:DME458722 DVZ458708:DWA458722 EFV458708:EFW458722 EPR458708:EPS458722 EZN458708:EZO458722 FJJ458708:FJK458722 FTF458708:FTG458722 GDB458708:GDC458722 GMX458708:GMY458722 GWT458708:GWU458722 HGP458708:HGQ458722 HQL458708:HQM458722 IAH458708:IAI458722 IKD458708:IKE458722 ITZ458708:IUA458722 JDV458708:JDW458722 JNR458708:JNS458722 JXN458708:JXO458722 KHJ458708:KHK458722 KRF458708:KRG458722 LBB458708:LBC458722 LKX458708:LKY458722 LUT458708:LUU458722 MEP458708:MEQ458722 MOL458708:MOM458722 MYH458708:MYI458722 NID458708:NIE458722 NRZ458708:NSA458722 OBV458708:OBW458722 OLR458708:OLS458722 OVN458708:OVO458722 PFJ458708:PFK458722 PPF458708:PPG458722 PZB458708:PZC458722 QIX458708:QIY458722 QST458708:QSU458722 RCP458708:RCQ458722 RML458708:RMM458722 RWH458708:RWI458722 SGD458708:SGE458722 SPZ458708:SQA458722 SZV458708:SZW458722 TJR458708:TJS458722 TTN458708:TTO458722 UDJ458708:UDK458722 UNF458708:UNG458722 UXB458708:UXC458722 VGX458708:VGY458722 VQT458708:VQU458722 WAP458708:WAQ458722 WKL458708:WKM458722 WUH458708:WUI458722 HV524244:HW524258 RR524244:RS524258 ABN524244:ABO524258 ALJ524244:ALK524258 AVF524244:AVG524258 BFB524244:BFC524258 BOX524244:BOY524258 BYT524244:BYU524258 CIP524244:CIQ524258 CSL524244:CSM524258 DCH524244:DCI524258 DMD524244:DME524258 DVZ524244:DWA524258 EFV524244:EFW524258 EPR524244:EPS524258 EZN524244:EZO524258 FJJ524244:FJK524258 FTF524244:FTG524258 GDB524244:GDC524258 GMX524244:GMY524258 GWT524244:GWU524258 HGP524244:HGQ524258 HQL524244:HQM524258 IAH524244:IAI524258 IKD524244:IKE524258 ITZ524244:IUA524258 JDV524244:JDW524258 JNR524244:JNS524258 JXN524244:JXO524258 KHJ524244:KHK524258 KRF524244:KRG524258 LBB524244:LBC524258 LKX524244:LKY524258 LUT524244:LUU524258 MEP524244:MEQ524258 MOL524244:MOM524258 MYH524244:MYI524258 NID524244:NIE524258 NRZ524244:NSA524258 OBV524244:OBW524258 OLR524244:OLS524258 OVN524244:OVO524258 PFJ524244:PFK524258 PPF524244:PPG524258 PZB524244:PZC524258 QIX524244:QIY524258 QST524244:QSU524258 RCP524244:RCQ524258 RML524244:RMM524258 RWH524244:RWI524258 SGD524244:SGE524258 SPZ524244:SQA524258 SZV524244:SZW524258 TJR524244:TJS524258 TTN524244:TTO524258 UDJ524244:UDK524258 UNF524244:UNG524258 UXB524244:UXC524258 VGX524244:VGY524258 VQT524244:VQU524258 WAP524244:WAQ524258 WKL524244:WKM524258 WUH524244:WUI524258 HV589780:HW589794 RR589780:RS589794 ABN589780:ABO589794 ALJ589780:ALK589794 AVF589780:AVG589794 BFB589780:BFC589794 BOX589780:BOY589794 BYT589780:BYU589794 CIP589780:CIQ589794 CSL589780:CSM589794 DCH589780:DCI589794 DMD589780:DME589794 DVZ589780:DWA589794 EFV589780:EFW589794 EPR589780:EPS589794 EZN589780:EZO589794 FJJ589780:FJK589794 FTF589780:FTG589794 GDB589780:GDC589794 GMX589780:GMY589794 GWT589780:GWU589794 HGP589780:HGQ589794 HQL589780:HQM589794 IAH589780:IAI589794 IKD589780:IKE589794 ITZ589780:IUA589794 JDV589780:JDW589794 JNR589780:JNS589794 JXN589780:JXO589794 KHJ589780:KHK589794 KRF589780:KRG589794 LBB589780:LBC589794 LKX589780:LKY589794 LUT589780:LUU589794 MEP589780:MEQ589794 MOL589780:MOM589794 MYH589780:MYI589794 NID589780:NIE589794 NRZ589780:NSA589794 OBV589780:OBW589794 OLR589780:OLS589794 OVN589780:OVO589794 PFJ589780:PFK589794 PPF589780:PPG589794 PZB589780:PZC589794 QIX589780:QIY589794 QST589780:QSU589794 RCP589780:RCQ589794 RML589780:RMM589794 RWH589780:RWI589794 SGD589780:SGE589794 SPZ589780:SQA589794 SZV589780:SZW589794 TJR589780:TJS589794 TTN589780:TTO589794 UDJ589780:UDK589794 UNF589780:UNG589794 UXB589780:UXC589794 VGX589780:VGY589794 VQT589780:VQU589794 WAP589780:WAQ589794 WKL589780:WKM589794 WUH589780:WUI589794 HV655316:HW655330 RR655316:RS655330 ABN655316:ABO655330 ALJ655316:ALK655330 AVF655316:AVG655330 BFB655316:BFC655330 BOX655316:BOY655330 BYT655316:BYU655330 CIP655316:CIQ655330 CSL655316:CSM655330 DCH655316:DCI655330 DMD655316:DME655330 DVZ655316:DWA655330 EFV655316:EFW655330 EPR655316:EPS655330 EZN655316:EZO655330 FJJ655316:FJK655330 FTF655316:FTG655330 GDB655316:GDC655330 GMX655316:GMY655330 GWT655316:GWU655330 HGP655316:HGQ655330 HQL655316:HQM655330 IAH655316:IAI655330 IKD655316:IKE655330 ITZ655316:IUA655330 JDV655316:JDW655330 JNR655316:JNS655330 JXN655316:JXO655330 KHJ655316:KHK655330 KRF655316:KRG655330 LBB655316:LBC655330 LKX655316:LKY655330 LUT655316:LUU655330 MEP655316:MEQ655330 MOL655316:MOM655330 MYH655316:MYI655330 NID655316:NIE655330 NRZ655316:NSA655330 OBV655316:OBW655330 OLR655316:OLS655330 OVN655316:OVO655330 PFJ655316:PFK655330 PPF655316:PPG655330 PZB655316:PZC655330 QIX655316:QIY655330 QST655316:QSU655330 RCP655316:RCQ655330 RML655316:RMM655330 RWH655316:RWI655330 SGD655316:SGE655330 SPZ655316:SQA655330 SZV655316:SZW655330 TJR655316:TJS655330 TTN655316:TTO655330 UDJ655316:UDK655330 UNF655316:UNG655330 UXB655316:UXC655330 VGX655316:VGY655330 VQT655316:VQU655330 WAP655316:WAQ655330 WKL655316:WKM655330 WUH655316:WUI655330 HV720852:HW720866 RR720852:RS720866 ABN720852:ABO720866 ALJ720852:ALK720866 AVF720852:AVG720866 BFB720852:BFC720866 BOX720852:BOY720866 BYT720852:BYU720866 CIP720852:CIQ720866 CSL720852:CSM720866 DCH720852:DCI720866 DMD720852:DME720866 DVZ720852:DWA720866 EFV720852:EFW720866 EPR720852:EPS720866 EZN720852:EZO720866 FJJ720852:FJK720866 FTF720852:FTG720866 GDB720852:GDC720866 GMX720852:GMY720866 GWT720852:GWU720866 HGP720852:HGQ720866 HQL720852:HQM720866 IAH720852:IAI720866 IKD720852:IKE720866 ITZ720852:IUA720866 JDV720852:JDW720866 JNR720852:JNS720866 JXN720852:JXO720866 KHJ720852:KHK720866 KRF720852:KRG720866 LBB720852:LBC720866 LKX720852:LKY720866 LUT720852:LUU720866 MEP720852:MEQ720866 MOL720852:MOM720866 MYH720852:MYI720866 NID720852:NIE720866 NRZ720852:NSA720866 OBV720852:OBW720866 OLR720852:OLS720866 OVN720852:OVO720866 PFJ720852:PFK720866 PPF720852:PPG720866 PZB720852:PZC720866 QIX720852:QIY720866 QST720852:QSU720866 RCP720852:RCQ720866 RML720852:RMM720866 RWH720852:RWI720866 SGD720852:SGE720866 SPZ720852:SQA720866 SZV720852:SZW720866 TJR720852:TJS720866 TTN720852:TTO720866 UDJ720852:UDK720866 UNF720852:UNG720866 UXB720852:UXC720866 VGX720852:VGY720866 VQT720852:VQU720866 WAP720852:WAQ720866 WKL720852:WKM720866 WUH720852:WUI720866 HV786388:HW786402 RR786388:RS786402 ABN786388:ABO786402 ALJ786388:ALK786402 AVF786388:AVG786402 BFB786388:BFC786402 BOX786388:BOY786402 BYT786388:BYU786402 CIP786388:CIQ786402 CSL786388:CSM786402 DCH786388:DCI786402 DMD786388:DME786402 DVZ786388:DWA786402 EFV786388:EFW786402 EPR786388:EPS786402 EZN786388:EZO786402 FJJ786388:FJK786402 FTF786388:FTG786402 GDB786388:GDC786402 GMX786388:GMY786402 GWT786388:GWU786402 HGP786388:HGQ786402 HQL786388:HQM786402 IAH786388:IAI786402 IKD786388:IKE786402 ITZ786388:IUA786402 JDV786388:JDW786402 JNR786388:JNS786402 JXN786388:JXO786402 KHJ786388:KHK786402 KRF786388:KRG786402 LBB786388:LBC786402 LKX786388:LKY786402 LUT786388:LUU786402 MEP786388:MEQ786402 MOL786388:MOM786402 MYH786388:MYI786402 NID786388:NIE786402 NRZ786388:NSA786402 OBV786388:OBW786402 OLR786388:OLS786402 OVN786388:OVO786402 PFJ786388:PFK786402 PPF786388:PPG786402 PZB786388:PZC786402 QIX786388:QIY786402 QST786388:QSU786402 RCP786388:RCQ786402 RML786388:RMM786402 RWH786388:RWI786402 SGD786388:SGE786402 SPZ786388:SQA786402 SZV786388:SZW786402 TJR786388:TJS786402 TTN786388:TTO786402 UDJ786388:UDK786402 UNF786388:UNG786402 UXB786388:UXC786402 VGX786388:VGY786402 VQT786388:VQU786402 WAP786388:WAQ786402 WKL786388:WKM786402 WUH786388:WUI786402 HV851924:HW851938 RR851924:RS851938 ABN851924:ABO851938 ALJ851924:ALK851938 AVF851924:AVG851938 BFB851924:BFC851938 BOX851924:BOY851938 BYT851924:BYU851938 CIP851924:CIQ851938 CSL851924:CSM851938 DCH851924:DCI851938 DMD851924:DME851938 DVZ851924:DWA851938 EFV851924:EFW851938 EPR851924:EPS851938 EZN851924:EZO851938 FJJ851924:FJK851938 FTF851924:FTG851938 GDB851924:GDC851938 GMX851924:GMY851938 GWT851924:GWU851938 HGP851924:HGQ851938 HQL851924:HQM851938 IAH851924:IAI851938 IKD851924:IKE851938 ITZ851924:IUA851938 JDV851924:JDW851938 JNR851924:JNS851938 JXN851924:JXO851938 KHJ851924:KHK851938 KRF851924:KRG851938 LBB851924:LBC851938 LKX851924:LKY851938 LUT851924:LUU851938 MEP851924:MEQ851938 MOL851924:MOM851938 MYH851924:MYI851938 NID851924:NIE851938 NRZ851924:NSA851938 OBV851924:OBW851938 OLR851924:OLS851938 OVN851924:OVO851938 PFJ851924:PFK851938 PPF851924:PPG851938 PZB851924:PZC851938 QIX851924:QIY851938 QST851924:QSU851938 RCP851924:RCQ851938 RML851924:RMM851938 RWH851924:RWI851938 SGD851924:SGE851938 SPZ851924:SQA851938 SZV851924:SZW851938 TJR851924:TJS851938 TTN851924:TTO851938 UDJ851924:UDK851938 UNF851924:UNG851938 UXB851924:UXC851938 VGX851924:VGY851938 VQT851924:VQU851938 WAP851924:WAQ851938 WKL851924:WKM851938 WUH851924:WUI851938 HV917460:HW917474 RR917460:RS917474 ABN917460:ABO917474 ALJ917460:ALK917474 AVF917460:AVG917474 BFB917460:BFC917474 BOX917460:BOY917474 BYT917460:BYU917474 CIP917460:CIQ917474 CSL917460:CSM917474 DCH917460:DCI917474 DMD917460:DME917474 DVZ917460:DWA917474 EFV917460:EFW917474 EPR917460:EPS917474 EZN917460:EZO917474 FJJ917460:FJK917474 FTF917460:FTG917474 GDB917460:GDC917474 GMX917460:GMY917474 GWT917460:GWU917474 HGP917460:HGQ917474 HQL917460:HQM917474 IAH917460:IAI917474 IKD917460:IKE917474 ITZ917460:IUA917474 JDV917460:JDW917474 JNR917460:JNS917474 JXN917460:JXO917474 KHJ917460:KHK917474 KRF917460:KRG917474 LBB917460:LBC917474 LKX917460:LKY917474 LUT917460:LUU917474 MEP917460:MEQ917474 MOL917460:MOM917474 MYH917460:MYI917474 NID917460:NIE917474 NRZ917460:NSA917474 OBV917460:OBW917474 OLR917460:OLS917474 OVN917460:OVO917474 PFJ917460:PFK917474 PPF917460:PPG917474 PZB917460:PZC917474 QIX917460:QIY917474 QST917460:QSU917474 RCP917460:RCQ917474 RML917460:RMM917474 RWH917460:RWI917474 SGD917460:SGE917474 SPZ917460:SQA917474 SZV917460:SZW917474 TJR917460:TJS917474 TTN917460:TTO917474 UDJ917460:UDK917474 UNF917460:UNG917474 UXB917460:UXC917474 VGX917460:VGY917474 VQT917460:VQU917474 WAP917460:WAQ917474 WKL917460:WKM917474 WUH917460:WUI917474 HV982996:HW983010 RR982996:RS983010 ABN982996:ABO983010 ALJ982996:ALK983010 AVF982996:AVG983010 BFB982996:BFC983010 BOX982996:BOY983010 BYT982996:BYU983010 CIP982996:CIQ983010 CSL982996:CSM983010 DCH982996:DCI983010 DMD982996:DME983010 DVZ982996:DWA983010 EFV982996:EFW983010 EPR982996:EPS983010 EZN982996:EZO983010 FJJ982996:FJK983010 FTF982996:FTG983010 GDB982996:GDC983010 GMX982996:GMY983010 GWT982996:GWU983010 HGP982996:HGQ983010 HQL982996:HQM983010 IAH982996:IAI983010 IKD982996:IKE983010 ITZ982996:IUA983010 JDV982996:JDW983010 JNR982996:JNS983010 JXN982996:JXO983010 KHJ982996:KHK983010 KRF982996:KRG983010 LBB982996:LBC983010 LKX982996:LKY983010 LUT982996:LUU983010 MEP982996:MEQ983010 MOL982996:MOM983010 MYH982996:MYI983010 NID982996:NIE983010 NRZ982996:NSA983010 OBV982996:OBW983010 OLR982996:OLS983010 OVN982996:OVO983010 PFJ982996:PFK983010 PPF982996:PPG983010 PZB982996:PZC983010 QIX982996:QIY983010 QST982996:QSU983010 RCP982996:RCQ983010 RML982996:RMM983010 RWH982996:RWI983010 SGD982996:SGE983010 SPZ982996:SQA983010 SZV982996:SZW983010 TJR982996:TJS983010 TTN982996:TTO983010 UDJ982996:UDK983010 UNF982996:UNG983010 UXB982996:UXC983010 VGX982996:VGY983010 VQT982996:VQU983010 WAP982996:WAQ983010 WKL982996:WKM983010 WUH6:WUI12 WKL6:WKM12 WAP6:WAQ12 VQT6:VQU12 VGX6:VGY12 UXB6:UXC12 UNF6:UNG12 UDJ6:UDK12 TTN6:TTO12 TJR6:TJS12 SZV6:SZW12 SPZ6:SQA12 SGD6:SGE12 RWH6:RWI12 RML6:RMM12 RCP6:RCQ12 QST6:QSU12 QIX6:QIY12 PZB6:PZC12 PPF6:PPG12 PFJ6:PFK12 OVN6:OVO12 OLR6:OLS12 OBV6:OBW12 NRZ6:NSA12 NID6:NIE12 MYH6:MYI12 MOL6:MOM12 MEP6:MEQ12 LUT6:LUU12 LKX6:LKY12 LBB6:LBC12 KRF6:KRG12 KHJ6:KHK12 JXN6:JXO12 JNR6:JNS12 JDV6:JDW12 ITZ6:IUA12 IKD6:IKE12 IAH6:IAI12 HQL6:HQM12 HGP6:HGQ12 GWT6:GWU12 GMX6:GMY12 GDB6:GDC12 FTF6:FTG12 FJJ6:FJK12 EZN6:EZO12 EPR6:EPS12 EFV6:EFW12 DVZ6:DWA12 DMD6:DME12 DCH6:DCI12 CSL6:CSM12 CIP6:CIQ12 BYT6:BYU12 BOX6:BOY12 BFB6:BFC12 AVF6:AVG12 ALJ6:ALK12 ABN6:ABO12 RR6:RS12 HV6:HW12"/>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EVCTUWYQZQYC-538864054-23878</_dlc_DocId>
    <_dlc_DocIdUrl xmlns="276bdb53-d102-4a67-8437-273e78fbb7dc">
      <Url>https://mitsubishielectricgroup.sharepoint.com/sites/009989/_layouts/15/DocIdRedir.aspx?ID=EVCTUWYQZQYC-538864054-23878</Url>
      <Description>EVCTUWYQZQYC-538864054-23878</Description>
    </_dlc_DocIdUrl>
  </documentManagement>
</p:properties>
</file>

<file path=customXml/itemProps1.xml><?xml version="1.0" encoding="utf-8"?>
<ds:datastoreItem xmlns:ds="http://schemas.openxmlformats.org/officeDocument/2006/customXml" ds:itemID="{C92C8740-C4A1-4A07-9B84-8594E5EB0843}"/>
</file>

<file path=customXml/itemProps2.xml><?xml version="1.0" encoding="utf-8"?>
<ds:datastoreItem xmlns:ds="http://schemas.openxmlformats.org/officeDocument/2006/customXml" ds:itemID="{60EAEFA9-0684-458A-B327-0069A154F5CF}"/>
</file>

<file path=customXml/itemProps3.xml><?xml version="1.0" encoding="utf-8"?>
<ds:datastoreItem xmlns:ds="http://schemas.openxmlformats.org/officeDocument/2006/customXml" ds:itemID="{527A66EF-059D-457F-8952-3340F0028398}"/>
</file>

<file path=customXml/itemProps4.xml><?xml version="1.0" encoding="utf-8"?>
<ds:datastoreItem xmlns:ds="http://schemas.openxmlformats.org/officeDocument/2006/customXml" ds:itemID="{D1A604BE-97C0-43AE-A875-F656A23F63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29</vt:i4>
      </vt:variant>
    </vt:vector>
  </HeadingPairs>
  <TitlesOfParts>
    <vt:vector size="37" baseType="lpstr">
      <vt:lpstr>表紙</vt:lpstr>
      <vt:lpstr>来歴</vt:lpstr>
      <vt:lpstr>承認票</vt:lpstr>
      <vt:lpstr>レビュー記録</vt:lpstr>
      <vt:lpstr>機能概要</vt:lpstr>
      <vt:lpstr>処理フロー</vt:lpstr>
      <vt:lpstr>処理詳細</vt:lpstr>
      <vt:lpstr>電文項目仕様</vt:lpstr>
      <vt:lpstr>レビュー記録!Print_Area</vt:lpstr>
      <vt:lpstr>機能概要!Print_Area</vt:lpstr>
      <vt:lpstr>処理フロー!Print_Area</vt:lpstr>
      <vt:lpstr>承認票!Print_Area</vt:lpstr>
      <vt:lpstr>電文項目仕様!Print_Area</vt:lpstr>
      <vt:lpstr>表紙!Print_Area</vt:lpstr>
      <vt:lpstr>来歴!Print_Area</vt:lpstr>
      <vt:lpstr>レビュー記録!Print_Titles</vt:lpstr>
      <vt:lpstr>機能概要!Print_Titles</vt:lpstr>
      <vt:lpstr>処理フロー!Print_Titles</vt:lpstr>
      <vt:lpstr>処理詳細!Print_Titles</vt:lpstr>
      <vt:lpstr>承認票!Print_Titles</vt:lpstr>
      <vt:lpstr>電文項目仕様!Print_Titles</vt:lpstr>
      <vt:lpstr>来歴!Print_Titles</vt:lpstr>
      <vt:lpstr>Rev</vt:lpstr>
      <vt:lpstr>Version</vt:lpstr>
      <vt:lpstr>サブシステム</vt:lpstr>
      <vt:lpstr>システム</vt:lpstr>
      <vt:lpstr>プロジェクト名</vt:lpstr>
      <vt:lpstr>機能ID</vt:lpstr>
      <vt:lpstr>機能名</vt:lpstr>
      <vt:lpstr>顧客名</vt:lpstr>
      <vt:lpstr>作成者</vt:lpstr>
      <vt:lpstr>作成日</vt:lpstr>
      <vt:lpstr>修正者</vt:lpstr>
      <vt:lpstr>修正日</vt:lpstr>
      <vt:lpstr>分類ID</vt:lpstr>
      <vt:lpstr>分類名</vt:lpstr>
      <vt:lpstr>文書番号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Yoshikawa Hideharu</dc:creator>
  <cp:lastModifiedBy>Itou Keita</cp:lastModifiedBy>
  <cp:lastPrinted>2017-05-29T05:18:20Z</cp:lastPrinted>
  <dcterms:created xsi:type="dcterms:W3CDTF">1997-01-08T22:48:59Z</dcterms:created>
  <dcterms:modified xsi:type="dcterms:W3CDTF">2019-05-16T04:40:59Z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70c9ef8d-0a72-4529-8fd5-971be91afdd4</vt:lpwstr>
  </property>
</Properties>
</file>