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drawings/drawing6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ta-itou\Desktop\【共通T作業】\mDOC\svn\branches\V1.1\sample\"/>
    </mc:Choice>
  </mc:AlternateContent>
  <bookViews>
    <workbookView xWindow="32580" yWindow="5085" windowWidth="12735" windowHeight="3030" tabRatio="808" activeTab="6"/>
  </bookViews>
  <sheets>
    <sheet name="表紙" sheetId="1" r:id="rId1"/>
    <sheet name="来歴" sheetId="28" r:id="rId2"/>
    <sheet name="承認票" sheetId="29" r:id="rId3"/>
    <sheet name="レビュー記録" sheetId="35" r:id="rId4"/>
    <sheet name="機能概要" sheetId="14" r:id="rId5"/>
    <sheet name="レイアウト" sheetId="5" r:id="rId6"/>
    <sheet name="項目仕様" sheetId="30" r:id="rId7"/>
    <sheet name="印刷確認用（印刷対象外）r00.00" sheetId="20" r:id="rId8"/>
  </sheets>
  <definedNames>
    <definedName name="_xlnm.Print_Area" localSheetId="5">レイアウト!$A$1:$AY$47</definedName>
    <definedName name="_xlnm.Print_Area" localSheetId="3">レビュー記録!$A$1:$I$47</definedName>
    <definedName name="_xlnm.Print_Area" localSheetId="7">'印刷確認用（印刷対象外）r00.00'!$A$1:$BE$58</definedName>
    <definedName name="_xlnm.Print_Area" localSheetId="4">機能概要!$A$1:$AX$62</definedName>
    <definedName name="_xlnm.Print_Area" localSheetId="6">項目仕様!$A$1:$L$61</definedName>
    <definedName name="_xlnm.Print_Area" localSheetId="2">承認票!$A$1:$I$47</definedName>
    <definedName name="_xlnm.Print_Area" localSheetId="0">表紙!$A$1:$AX$44</definedName>
    <definedName name="_xlnm.Print_Area" localSheetId="1">来歴!$A$1:$F$46</definedName>
    <definedName name="_xlnm.Print_Titles" localSheetId="5">レイアウト!$1:$5</definedName>
    <definedName name="_xlnm.Print_Titles" localSheetId="3">レビュー記録!$4:$6</definedName>
    <definedName name="_xlnm.Print_Titles" localSheetId="4">機能概要!$1:$5</definedName>
    <definedName name="_xlnm.Print_Titles" localSheetId="6">項目仕様!$4:$5</definedName>
    <definedName name="_xlnm.Print_Titles" localSheetId="2">承認票!$4:$6</definedName>
    <definedName name="_xlnm.Print_Titles" localSheetId="1">来歴!$4:$5</definedName>
    <definedName name="Rev">表紙!$G$64</definedName>
    <definedName name="Version">表紙!$G$54</definedName>
    <definedName name="サブシステム">表紙!$G$55</definedName>
    <definedName name="システム">表紙!$G$53</definedName>
    <definedName name="プロジェクト名">表紙!$G$52</definedName>
    <definedName name="機能ID">表紙!$G$57</definedName>
    <definedName name="機能名">表紙!$G$59</definedName>
    <definedName name="顧客名">表紙!$G$51</definedName>
    <definedName name="作成者">表紙!$G$60</definedName>
    <definedName name="作成日">表紙!$G$62</definedName>
    <definedName name="修正者">表紙!$G$61</definedName>
    <definedName name="修正日">表紙!$G$63</definedName>
    <definedName name="分類ID">表紙!$G$56</definedName>
    <definedName name="分類名">表紙!$G$58</definedName>
    <definedName name="文書番号">表紙!$G$65</definedName>
  </definedNames>
  <calcPr calcId="162913" concurrentCalc="0"/>
</workbook>
</file>

<file path=xl/calcChain.xml><?xml version="1.0" encoding="utf-8"?>
<calcChain xmlns="http://schemas.openxmlformats.org/spreadsheetml/2006/main">
  <c r="BI73" i="1" l="1"/>
  <c r="BE73" i="1"/>
  <c r="BC73" i="1"/>
  <c r="BJ72" i="1"/>
  <c r="BI72" i="1"/>
  <c r="BG72" i="1"/>
  <c r="BE72" i="1"/>
  <c r="BC72" i="1"/>
  <c r="BI71" i="1"/>
  <c r="BG71" i="1"/>
  <c r="BE71" i="1"/>
  <c r="BC71" i="1"/>
  <c r="BI69" i="1"/>
  <c r="BE69" i="1"/>
  <c r="BC69" i="1"/>
  <c r="BJ68" i="1"/>
  <c r="BI68" i="1"/>
  <c r="BG68" i="1"/>
  <c r="BE68" i="1"/>
  <c r="BC68" i="1"/>
  <c r="BI67" i="1"/>
  <c r="BG67" i="1"/>
  <c r="BE67" i="1"/>
  <c r="BC67" i="1"/>
  <c r="BI65" i="1"/>
  <c r="BE65" i="1"/>
  <c r="BC65" i="1"/>
  <c r="BJ64" i="1"/>
  <c r="BI64" i="1"/>
  <c r="BG64" i="1"/>
  <c r="BE64" i="1"/>
  <c r="BC64" i="1"/>
  <c r="BI63" i="1"/>
  <c r="BG63" i="1"/>
  <c r="BE63" i="1"/>
  <c r="BC63" i="1"/>
  <c r="G64" i="1"/>
  <c r="G63" i="1"/>
  <c r="G62" i="1"/>
  <c r="BE61" i="1"/>
  <c r="BC61" i="1"/>
  <c r="BJ60" i="1"/>
  <c r="BG60" i="1"/>
  <c r="BE60" i="1"/>
  <c r="BC60" i="1"/>
  <c r="BG59" i="1"/>
  <c r="BE59" i="1"/>
  <c r="BC59" i="1"/>
  <c r="BE57" i="1"/>
  <c r="BC57" i="1"/>
  <c r="BJ56" i="1"/>
  <c r="BG56" i="1"/>
  <c r="BE56" i="1"/>
  <c r="BC56" i="1"/>
  <c r="BG55" i="1"/>
  <c r="BE55" i="1"/>
  <c r="BC55" i="1"/>
  <c r="BE53" i="1"/>
  <c r="BC53" i="1"/>
  <c r="BJ52" i="1"/>
  <c r="BG52" i="1"/>
  <c r="BE52" i="1"/>
  <c r="BC52" i="1"/>
  <c r="BG51" i="1"/>
  <c r="BE51" i="1"/>
  <c r="BC51" i="1"/>
  <c r="BE49" i="1"/>
  <c r="BC49" i="1"/>
  <c r="BJ48" i="1"/>
  <c r="BG48" i="1"/>
  <c r="BE48" i="1"/>
  <c r="BC48" i="1"/>
  <c r="BG47" i="1"/>
  <c r="BE47" i="1"/>
  <c r="BC47" i="1"/>
  <c r="BI55" i="1"/>
  <c r="BI47" i="1"/>
  <c r="BI59" i="1"/>
  <c r="BI51" i="1"/>
  <c r="V29" i="1"/>
  <c r="W3" i="5"/>
  <c r="L3" i="5"/>
  <c r="AU2" i="5"/>
  <c r="W2" i="5"/>
  <c r="L2" i="5"/>
  <c r="W1" i="5"/>
  <c r="L1" i="5"/>
  <c r="W3" i="14"/>
  <c r="L3" i="14"/>
  <c r="AU2" i="14"/>
  <c r="W2" i="14"/>
  <c r="L2" i="14"/>
  <c r="W1" i="14"/>
  <c r="L1" i="14"/>
  <c r="AH2" i="5"/>
  <c r="AH2" i="14"/>
  <c r="AQ1" i="5"/>
  <c r="AQ1" i="14"/>
  <c r="AH1" i="5"/>
  <c r="AH1" i="14"/>
  <c r="V31" i="1"/>
  <c r="V30" i="1"/>
  <c r="AB29" i="1"/>
  <c r="V28" i="1"/>
  <c r="V27" i="1"/>
  <c r="AL5" i="1"/>
  <c r="AF5" i="1"/>
  <c r="BI56" i="1"/>
  <c r="BI52" i="1"/>
  <c r="BI60" i="1"/>
  <c r="BI48" i="1"/>
  <c r="BI61" i="1"/>
  <c r="BI57" i="1"/>
  <c r="BI53" i="1"/>
  <c r="BI49" i="1"/>
  <c r="AQ2" i="5"/>
  <c r="AQ2" i="14"/>
  <c r="AQ3" i="5"/>
  <c r="AQ3" i="14"/>
  <c r="AR5" i="1"/>
</calcChain>
</file>

<file path=xl/comments1.xml><?xml version="1.0" encoding="utf-8"?>
<comments xmlns="http://schemas.openxmlformats.org/spreadsheetml/2006/main">
  <authors>
    <author>itadministrator</author>
  </authors>
  <commentList>
    <comment ref="E1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単票、一覧など</t>
        </r>
      </text>
    </comment>
    <comment ref="AD1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１度に印刷する枚数、
１日に印刷する枚数など</t>
        </r>
      </text>
    </comment>
    <comment ref="E1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ローカルプリンタ、サーバ、Excel帳票など</t>
        </r>
      </text>
    </comment>
    <comment ref="H5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新業務機能展開表との
紐付けを行う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itadministrator</author>
    <author>Nakanishi Kazunori</author>
  </authors>
  <commentList>
    <comment ref="A5" authorId="0" shapeId="0">
      <text>
        <r>
          <rPr>
            <sz val="9"/>
            <color indexed="81"/>
            <rFont val="ＭＳ Ｐゴシック"/>
            <family val="3"/>
            <charset val="128"/>
          </rPr>
          <t>新：新規追加項目
変：カスタマイズ項目</t>
        </r>
      </text>
    </comment>
    <comment ref="E5" authorId="0" shapeId="0">
      <text>
        <r>
          <rPr>
            <sz val="9"/>
            <color indexed="81"/>
            <rFont val="ＭＳ Ｐゴシック"/>
            <family val="3"/>
            <charset val="128"/>
          </rPr>
          <t>S：文字（テキストフィールド）
N：数値（テキストフィールド）
D：日（テキストフィールド）
T：時刻（テキストフィールド）
DT：日＋時刻（テキストフィールド）
Q：QRコード
B：バーコード
I：画像</t>
        </r>
      </text>
    </comment>
    <comment ref="F5" authorId="1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99：文字の半角文字での桁数
99,9：数値の桁表記（例："10,4"・・・全体10桁、整数部6桁、少数部4桁）
</t>
        </r>
      </text>
    </comment>
    <comment ref="G5" authorId="1" shapeId="0">
      <text>
        <r>
          <rPr>
            <sz val="9"/>
            <color indexed="81"/>
            <rFont val="ＭＳ Ｐゴシック"/>
            <family val="3"/>
            <charset val="128"/>
          </rPr>
          <t>表示桁数とDB桁数が異なる場合に記載。(DBには○桁まで格納できるが、表示上は△桁までしか出ないことを示す）</t>
        </r>
      </text>
    </comment>
    <comment ref="H5" authorId="1" shapeId="0">
      <text>
        <r>
          <rPr>
            <sz val="9"/>
            <color indexed="81"/>
            <rFont val="ＭＳ Ｐゴシック"/>
            <family val="3"/>
            <charset val="128"/>
          </rPr>
          <t>文字･数値の場合 
 カンマ編集
 ゼロ埋め
日付・日時の場合 
 YYYY/MM/DD
 YY/MM/DD
 YYYY/MM/DD HH:MM:SS
 YY/MM/DD HH:MM:SS
 YYYY/MM
 YY/MM
 GGGG年MM月DD日
 YYYYMMDD
 YYMMDD
 YYYYMMDDHHMMSS
 YYMMDDHHMMSS
 YYYYMM
 YYMM</t>
        </r>
      </text>
    </comment>
    <comment ref="I5" authorId="0" shapeId="0">
      <text>
        <r>
          <rPr>
            <sz val="9"/>
            <color indexed="81"/>
            <rFont val="ＭＳ Ｐゴシック"/>
            <family val="3"/>
            <charset val="128"/>
          </rPr>
          <t>右詰
中央
左詰</t>
        </r>
      </text>
    </comment>
    <comment ref="L5" authorId="1" shapeId="0">
      <text>
        <r>
          <rPr>
            <sz val="9"/>
            <color indexed="81"/>
            <rFont val="ＭＳ Ｐゴシック"/>
            <family val="3"/>
            <charset val="128"/>
          </rPr>
          <t>エンドユーザ様向けの説明。
対象DB項目を記述してもよいが、帳票入出力仕様と重複することに留意すること。</t>
        </r>
      </text>
    </comment>
    <comment ref="M6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sharedStrings.xml><?xml version="1.0" encoding="utf-8"?>
<sst xmlns="http://schemas.openxmlformats.org/spreadsheetml/2006/main" count="725" uniqueCount="322">
  <si>
    <t>文書番号</t>
    <rPh sb="0" eb="2">
      <t>ブンショ</t>
    </rPh>
    <rPh sb="2" eb="4">
      <t>バンゴウ</t>
    </rPh>
    <phoneticPr fontId="2"/>
  </si>
  <si>
    <t>Revision</t>
    <phoneticPr fontId="2"/>
  </si>
  <si>
    <t>顧客名</t>
    <rPh sb="0" eb="2">
      <t>コキャク</t>
    </rPh>
    <rPh sb="2" eb="3">
      <t>メイ</t>
    </rPh>
    <phoneticPr fontId="2"/>
  </si>
  <si>
    <t>プロジェクト名</t>
    <rPh sb="6" eb="7">
      <t>メイ</t>
    </rPh>
    <phoneticPr fontId="2"/>
  </si>
  <si>
    <t>分類ID/機能ID</t>
    <rPh sb="0" eb="2">
      <t>ブンルイ</t>
    </rPh>
    <rPh sb="5" eb="7">
      <t>キノウ</t>
    </rPh>
    <phoneticPr fontId="2"/>
  </si>
  <si>
    <t>分類名</t>
    <rPh sb="0" eb="2">
      <t>ブンルイ</t>
    </rPh>
    <rPh sb="2" eb="3">
      <t>メイ</t>
    </rPh>
    <phoneticPr fontId="2"/>
  </si>
  <si>
    <t>機能名</t>
    <rPh sb="0" eb="3">
      <t>キノウメイ</t>
    </rPh>
    <phoneticPr fontId="2"/>
  </si>
  <si>
    <t>システム</t>
    <phoneticPr fontId="2"/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</si>
  <si>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</si>
  <si>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</si>
  <si>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プロジェクト</t>
    <phoneticPr fontId="2"/>
  </si>
  <si>
    <t>修正者</t>
    <rPh sb="0" eb="2">
      <t>シュウセイ</t>
    </rPh>
    <rPh sb="2" eb="3">
      <t>シャ</t>
    </rPh>
    <phoneticPr fontId="2"/>
  </si>
  <si>
    <t>修正日</t>
    <rPh sb="0" eb="2">
      <t>シュウセイ</t>
    </rPh>
    <rPh sb="2" eb="3">
      <t>ビ</t>
    </rPh>
    <phoneticPr fontId="2"/>
  </si>
  <si>
    <t>Rev.</t>
  </si>
  <si>
    <t>機能ID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</si>
  <si>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</si>
  <si>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システム</t>
    <phoneticPr fontId="2"/>
  </si>
  <si>
    <t>サブシステム</t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</si>
  <si>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</si>
  <si>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</si>
  <si>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Rev</t>
    <phoneticPr fontId="2"/>
  </si>
  <si>
    <t>分類ID</t>
    <rPh sb="0" eb="2">
      <t>ブンルイ</t>
    </rPh>
    <phoneticPr fontId="2"/>
  </si>
  <si>
    <t>Version</t>
    <phoneticPr fontId="2"/>
  </si>
  <si>
    <t>※ここを変更してください</t>
    <rPh sb="4" eb="6">
      <t>ヘンコウ</t>
    </rPh>
    <phoneticPr fontId="2"/>
  </si>
  <si>
    <t>来歴</t>
    <rPh sb="0" eb="2">
      <t>ライレキ</t>
    </rPh>
    <phoneticPr fontId="2"/>
  </si>
  <si>
    <t>変更内容及び変更理由</t>
    <rPh sb="0" eb="2">
      <t>ヘンコウ</t>
    </rPh>
    <rPh sb="2" eb="4">
      <t>ナイヨウ</t>
    </rPh>
    <rPh sb="4" eb="5">
      <t>オヨ</t>
    </rPh>
    <rPh sb="6" eb="8">
      <t>ヘンコウ</t>
    </rPh>
    <rPh sb="8" eb="10">
      <t>リユウ</t>
    </rPh>
    <phoneticPr fontId="2"/>
  </si>
  <si>
    <t>最終更新者</t>
    <rPh sb="0" eb="2">
      <t>サイシュウ</t>
    </rPh>
    <rPh sb="2" eb="5">
      <t>コウシンシャ</t>
    </rPh>
    <phoneticPr fontId="2"/>
  </si>
  <si>
    <t>最終更新日</t>
    <rPh sb="0" eb="2">
      <t>サイシュウ</t>
    </rPh>
    <rPh sb="2" eb="5">
      <t>コウシンビ</t>
    </rPh>
    <phoneticPr fontId="2"/>
  </si>
  <si>
    <t>備考</t>
    <rPh sb="0" eb="2">
      <t>ビコウ</t>
    </rPh>
    <phoneticPr fontId="2"/>
  </si>
  <si>
    <t>項目名</t>
    <rPh sb="0" eb="2">
      <t>コウモク</t>
    </rPh>
    <rPh sb="2" eb="3">
      <t>メイ</t>
    </rPh>
    <phoneticPr fontId="2"/>
  </si>
  <si>
    <t>説明</t>
    <rPh sb="0" eb="2">
      <t>セツメイ</t>
    </rPh>
    <phoneticPr fontId="2"/>
  </si>
  <si>
    <t>型</t>
    <rPh sb="0" eb="1">
      <t>ガタ</t>
    </rPh>
    <phoneticPr fontId="2"/>
  </si>
  <si>
    <t>機能概要</t>
    <rPh sb="2" eb="4">
      <t>ガイヨウ</t>
    </rPh>
    <phoneticPr fontId="2"/>
  </si>
  <si>
    <t>1. 機能概要</t>
    <rPh sb="3" eb="5">
      <t>キノウ</t>
    </rPh>
    <rPh sb="5" eb="7">
      <t>ガイヨウ</t>
    </rPh>
    <phoneticPr fontId="2"/>
  </si>
  <si>
    <t>帳票フォーム</t>
    <rPh sb="0" eb="2">
      <t>チョウヒョウ</t>
    </rPh>
    <phoneticPr fontId="2"/>
  </si>
  <si>
    <t>ソート順</t>
    <rPh sb="3" eb="4">
      <t>ジュン</t>
    </rPh>
    <phoneticPr fontId="2"/>
  </si>
  <si>
    <t>用紙サイズ</t>
    <rPh sb="0" eb="2">
      <t>ヨウシ</t>
    </rPh>
    <phoneticPr fontId="2"/>
  </si>
  <si>
    <t>出力操作</t>
    <rPh sb="0" eb="2">
      <t>シュツリョク</t>
    </rPh>
    <rPh sb="2" eb="4">
      <t>ソウサ</t>
    </rPh>
    <phoneticPr fontId="2"/>
  </si>
  <si>
    <t>改頁条件</t>
    <rPh sb="0" eb="1">
      <t>カイ</t>
    </rPh>
    <rPh sb="1" eb="2">
      <t>ページ</t>
    </rPh>
    <rPh sb="2" eb="4">
      <t>ジョウケン</t>
    </rPh>
    <phoneticPr fontId="2"/>
  </si>
  <si>
    <t>ｻﾌﾞｼｽﾃﾑ</t>
    <phoneticPr fontId="2"/>
  </si>
  <si>
    <t>確認者</t>
    <rPh sb="0" eb="2">
      <t>カクニン</t>
    </rPh>
    <rPh sb="2" eb="3">
      <t>シャ</t>
    </rPh>
    <phoneticPr fontId="2"/>
  </si>
  <si>
    <t>承認者</t>
    <rPh sb="0" eb="2">
      <t>ショウニン</t>
    </rPh>
    <rPh sb="2" eb="3">
      <t>シャ</t>
    </rPh>
    <phoneticPr fontId="2"/>
  </si>
  <si>
    <t>責任者</t>
    <rPh sb="0" eb="3">
      <t>セキニンシャ</t>
    </rPh>
    <phoneticPr fontId="2"/>
  </si>
  <si>
    <t>配置</t>
    <rPh sb="0" eb="2">
      <t>ハイチ</t>
    </rPh>
    <phoneticPr fontId="2"/>
  </si>
  <si>
    <t>新</t>
    <rPh sb="0" eb="1">
      <t>シン</t>
    </rPh>
    <phoneticPr fontId="2"/>
  </si>
  <si>
    <t>左詰</t>
    <rPh sb="0" eb="2">
      <t>ヒダリヅ</t>
    </rPh>
    <phoneticPr fontId="2"/>
  </si>
  <si>
    <t>右詰</t>
    <rPh sb="0" eb="2">
      <t>ミギヅメ</t>
    </rPh>
    <phoneticPr fontId="2"/>
  </si>
  <si>
    <t>左詰め／右詰めいずれも、表示領域に余裕がある場合は、枠線と値の間に隙間を設けること</t>
    <rPh sb="0" eb="2">
      <t>ヒダリヅ</t>
    </rPh>
    <rPh sb="4" eb="5">
      <t>ミギ</t>
    </rPh>
    <rPh sb="5" eb="6">
      <t>ヅメ</t>
    </rPh>
    <rPh sb="12" eb="14">
      <t>ヒョウジ</t>
    </rPh>
    <rPh sb="14" eb="16">
      <t>リョウイキ</t>
    </rPh>
    <rPh sb="17" eb="19">
      <t>ヨユウ</t>
    </rPh>
    <rPh sb="22" eb="24">
      <t>バアイ</t>
    </rPh>
    <rPh sb="26" eb="28">
      <t>ワクセン</t>
    </rPh>
    <rPh sb="29" eb="30">
      <t>アタイ</t>
    </rPh>
    <rPh sb="31" eb="32">
      <t>アイダ</t>
    </rPh>
    <rPh sb="33" eb="35">
      <t>スキマ</t>
    </rPh>
    <rPh sb="36" eb="37">
      <t>モウ</t>
    </rPh>
    <phoneticPr fontId="2"/>
  </si>
  <si>
    <t>1-1. 帳票仕様</t>
    <rPh sb="5" eb="7">
      <t>チョウヒョウ</t>
    </rPh>
    <rPh sb="7" eb="9">
      <t>シヨウ</t>
    </rPh>
    <phoneticPr fontId="2"/>
  </si>
  <si>
    <t>帳票種類</t>
    <rPh sb="0" eb="2">
      <t>チョウヒョウ</t>
    </rPh>
    <rPh sb="2" eb="4">
      <t>シュルイ</t>
    </rPh>
    <phoneticPr fontId="2"/>
  </si>
  <si>
    <t>印刷規模</t>
    <rPh sb="0" eb="2">
      <t>インサツ</t>
    </rPh>
    <rPh sb="2" eb="4">
      <t>キボ</t>
    </rPh>
    <phoneticPr fontId="2"/>
  </si>
  <si>
    <t>出力方式</t>
    <rPh sb="0" eb="2">
      <t>シュツリョク</t>
    </rPh>
    <rPh sb="2" eb="4">
      <t>ホウシキ</t>
    </rPh>
    <phoneticPr fontId="2"/>
  </si>
  <si>
    <t>専用用紙</t>
    <rPh sb="0" eb="2">
      <t>センヨウ</t>
    </rPh>
    <rPh sb="2" eb="4">
      <t>ヨウシ</t>
    </rPh>
    <phoneticPr fontId="2"/>
  </si>
  <si>
    <t>1-2. 出力元機能</t>
    <rPh sb="5" eb="7">
      <t>シュツリョク</t>
    </rPh>
    <rPh sb="7" eb="8">
      <t>モト</t>
    </rPh>
    <rPh sb="8" eb="10">
      <t>キノウ</t>
    </rPh>
    <phoneticPr fontId="2"/>
  </si>
  <si>
    <t>プログラムID</t>
    <phoneticPr fontId="2"/>
  </si>
  <si>
    <t>内容</t>
    <rPh sb="0" eb="2">
      <t>ナイヨウ</t>
    </rPh>
    <phoneticPr fontId="2"/>
  </si>
  <si>
    <t>転送元</t>
    <rPh sb="0" eb="2">
      <t>テンソウ</t>
    </rPh>
    <rPh sb="2" eb="3">
      <t>モト</t>
    </rPh>
    <phoneticPr fontId="2"/>
  </si>
  <si>
    <t>会社名</t>
    <rPh sb="0" eb="2">
      <t>カイシャ</t>
    </rPh>
    <rPh sb="2" eb="3">
      <t>メイ</t>
    </rPh>
    <phoneticPr fontId="2"/>
  </si>
  <si>
    <t>3. カスタマイズ要件/アドオン要件</t>
    <rPh sb="9" eb="11">
      <t>ヨウケン</t>
    </rPh>
    <rPh sb="16" eb="18">
      <t>ヨウケン</t>
    </rPh>
    <phoneticPr fontId="2"/>
  </si>
  <si>
    <t>承認票</t>
    <rPh sb="0" eb="2">
      <t>ショウニン</t>
    </rPh>
    <rPh sb="2" eb="3">
      <t>ヒョウ</t>
    </rPh>
    <phoneticPr fontId="2"/>
  </si>
  <si>
    <t>システム</t>
    <phoneticPr fontId="2"/>
  </si>
  <si>
    <t>レイアウト</t>
    <phoneticPr fontId="2"/>
  </si>
  <si>
    <t>プロジェクト</t>
    <phoneticPr fontId="2"/>
  </si>
  <si>
    <t>新規作成</t>
    <rPh sb="0" eb="4">
      <t>シンキサクセイ</t>
    </rPh>
    <phoneticPr fontId="2"/>
  </si>
  <si>
    <t>新/変
/削</t>
    <rPh sb="0" eb="1">
      <t>シン</t>
    </rPh>
    <rPh sb="2" eb="3">
      <t>ヘン</t>
    </rPh>
    <rPh sb="5" eb="6">
      <t>サク</t>
    </rPh>
    <phoneticPr fontId="2"/>
  </si>
  <si>
    <t>種</t>
    <rPh sb="0" eb="1">
      <t>タネ</t>
    </rPh>
    <phoneticPr fontId="2"/>
  </si>
  <si>
    <t>計算値</t>
    <rPh sb="0" eb="3">
      <t>ケイサンチ</t>
    </rPh>
    <phoneticPr fontId="2"/>
  </si>
  <si>
    <t>表示
桁数</t>
    <rPh sb="0" eb="2">
      <t>ヒョウジ</t>
    </rPh>
    <rPh sb="3" eb="5">
      <t>ケタスウ</t>
    </rPh>
    <phoneticPr fontId="2"/>
  </si>
  <si>
    <t>DB
桁数</t>
    <rPh sb="3" eb="5">
      <t>ケタスウ</t>
    </rPh>
    <phoneticPr fontId="2"/>
  </si>
  <si>
    <t>東洋ﾋﾞｼﾞﾈｽｴﾝｼﾞﾆｱﾘﾝｸﾞ㈱</t>
    <rPh sb="0" eb="2">
      <t>トウヨウ</t>
    </rPh>
    <phoneticPr fontId="2"/>
  </si>
  <si>
    <t>新基幹システム構築プロジェクト</t>
    <phoneticPr fontId="2"/>
  </si>
  <si>
    <t>F種類</t>
    <rPh sb="1" eb="3">
      <t>シュルイ</t>
    </rPh>
    <phoneticPr fontId="2"/>
  </si>
  <si>
    <t>NO</t>
    <phoneticPr fontId="2"/>
  </si>
  <si>
    <t>新業務機能展開表</t>
    <rPh sb="0" eb="3">
      <t>シンギョウム</t>
    </rPh>
    <rPh sb="3" eb="5">
      <t>キノウ</t>
    </rPh>
    <rPh sb="5" eb="7">
      <t>テンカイ</t>
    </rPh>
    <rPh sb="7" eb="8">
      <t>ヒョウ</t>
    </rPh>
    <phoneticPr fontId="2"/>
  </si>
  <si>
    <t>分類</t>
    <rPh sb="0" eb="2">
      <t>ブンルイ</t>
    </rPh>
    <phoneticPr fontId="2"/>
  </si>
  <si>
    <t>項目番号</t>
    <rPh sb="0" eb="2">
      <t>コウモク</t>
    </rPh>
    <rPh sb="2" eb="4">
      <t>バンゴウ</t>
    </rPh>
    <phoneticPr fontId="2"/>
  </si>
  <si>
    <t>SCM</t>
    <phoneticPr fontId="2"/>
  </si>
  <si>
    <t>単票</t>
    <rPh sb="0" eb="2">
      <t>タンピョウ</t>
    </rPh>
    <phoneticPr fontId="2"/>
  </si>
  <si>
    <t>初物</t>
    <rPh sb="0" eb="2">
      <t>ハツモノ</t>
    </rPh>
    <phoneticPr fontId="2"/>
  </si>
  <si>
    <t>品目</t>
    <rPh sb="0" eb="2">
      <t>ヒンモク</t>
    </rPh>
    <phoneticPr fontId="2"/>
  </si>
  <si>
    <t>品名</t>
    <rPh sb="0" eb="2">
      <t>ヒンメイ</t>
    </rPh>
    <phoneticPr fontId="2"/>
  </si>
  <si>
    <t>帳票バージョン</t>
    <rPh sb="0" eb="2">
      <t>チョウヒョウ</t>
    </rPh>
    <phoneticPr fontId="2"/>
  </si>
  <si>
    <t>・</t>
    <phoneticPr fontId="2"/>
  </si>
  <si>
    <t>回付ルート１</t>
    <rPh sb="0" eb="2">
      <t>カイフ</t>
    </rPh>
    <phoneticPr fontId="2"/>
  </si>
  <si>
    <t>品質管理</t>
    <rPh sb="0" eb="2">
      <t>ヒンシツ</t>
    </rPh>
    <rPh sb="2" eb="4">
      <t>カンリ</t>
    </rPh>
    <phoneticPr fontId="2"/>
  </si>
  <si>
    <t>XXXXXXXXXX</t>
    <phoneticPr fontId="2"/>
  </si>
  <si>
    <t>品 目</t>
    <rPh sb="0" eb="1">
      <t>ヒン</t>
    </rPh>
    <rPh sb="2" eb="3">
      <t>メ</t>
    </rPh>
    <phoneticPr fontId="2"/>
  </si>
  <si>
    <t>品 名</t>
    <rPh sb="0" eb="1">
      <t>ヒン</t>
    </rPh>
    <rPh sb="2" eb="3">
      <t>メイ</t>
    </rPh>
    <phoneticPr fontId="2"/>
  </si>
  <si>
    <t>品目ロットＮＯQRコード</t>
    <rPh sb="0" eb="2">
      <t>ヒンモク</t>
    </rPh>
    <phoneticPr fontId="2"/>
  </si>
  <si>
    <t>品目＋","＋ロットＮＯのQRコード</t>
    <rPh sb="0" eb="2">
      <t>ヒンモク</t>
    </rPh>
    <phoneticPr fontId="2"/>
  </si>
  <si>
    <t>・</t>
    <phoneticPr fontId="2"/>
  </si>
  <si>
    <t>部材現品票</t>
    <rPh sb="0" eb="2">
      <t>ブザイ</t>
    </rPh>
    <rPh sb="2" eb="5">
      <t>ゲンピンヒョウ</t>
    </rPh>
    <phoneticPr fontId="2"/>
  </si>
  <si>
    <t>mcframe7</t>
    <phoneticPr fontId="2"/>
  </si>
  <si>
    <t>MSBFP0060</t>
    <phoneticPr fontId="2"/>
  </si>
  <si>
    <t>-</t>
    <phoneticPr fontId="2"/>
  </si>
  <si>
    <t>YYYY年MM月DD日</t>
    <rPh sb="4" eb="5">
      <t>ネン</t>
    </rPh>
    <rPh sb="7" eb="8">
      <t>ゲツ</t>
    </rPh>
    <rPh sb="10" eb="11">
      <t>ヒ</t>
    </rPh>
    <phoneticPr fontId="2"/>
  </si>
  <si>
    <t>再検査判定</t>
    <rPh sb="0" eb="3">
      <t>サイケンサ</t>
    </rPh>
    <rPh sb="3" eb="5">
      <t>ハンテイ</t>
    </rPh>
    <phoneticPr fontId="2"/>
  </si>
  <si>
    <t>受入検査判定</t>
    <rPh sb="0" eb="2">
      <t>ウケイレ</t>
    </rPh>
    <rPh sb="2" eb="4">
      <t>ケンサ</t>
    </rPh>
    <rPh sb="4" eb="6">
      <t>ハンテイ</t>
    </rPh>
    <phoneticPr fontId="2"/>
  </si>
  <si>
    <t>数 量</t>
    <rPh sb="0" eb="1">
      <t>スウ</t>
    </rPh>
    <rPh sb="2" eb="3">
      <t>リョウ</t>
    </rPh>
    <phoneticPr fontId="2"/>
  </si>
  <si>
    <t>個 数</t>
    <rPh sb="0" eb="1">
      <t>コ</t>
    </rPh>
    <rPh sb="2" eb="3">
      <t>スウ</t>
    </rPh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</si>
  <si>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</si>
  <si>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XX</t>
    <phoneticPr fontId="2"/>
  </si>
  <si>
    <t>個口</t>
    <rPh sb="0" eb="1">
      <t>コ</t>
    </rPh>
    <rPh sb="1" eb="2">
      <t>グチ</t>
    </rPh>
    <phoneticPr fontId="2"/>
  </si>
  <si>
    <t>XXXXXXXXXXXXXXXXXXXXXXXXXXXXXXXXXXX</t>
    <phoneticPr fontId="2"/>
  </si>
  <si>
    <t>数量</t>
    <rPh sb="0" eb="2">
      <t>スウリョウ</t>
    </rPh>
    <phoneticPr fontId="2"/>
  </si>
  <si>
    <t>数量単位</t>
    <rPh sb="0" eb="2">
      <t>スウリョウ</t>
    </rPh>
    <rPh sb="2" eb="4">
      <t>タンイ</t>
    </rPh>
    <phoneticPr fontId="2"/>
  </si>
  <si>
    <t>YYYY年MM月DD日</t>
    <rPh sb="4" eb="5">
      <t>ネン</t>
    </rPh>
    <rPh sb="7" eb="8">
      <t>ツキ</t>
    </rPh>
    <rPh sb="10" eb="11">
      <t>ヒ</t>
    </rPh>
    <phoneticPr fontId="2"/>
  </si>
  <si>
    <t>カンマ編集</t>
    <rPh sb="3" eb="5">
      <t>ヘンシュウ</t>
    </rPh>
    <phoneticPr fontId="2"/>
  </si>
  <si>
    <t>c.切り取り部1</t>
    <rPh sb="2" eb="3">
      <t>キ</t>
    </rPh>
    <rPh sb="4" eb="5">
      <t>ト</t>
    </rPh>
    <rPh sb="6" eb="7">
      <t>ブ</t>
    </rPh>
    <phoneticPr fontId="2"/>
  </si>
  <si>
    <t>d.切り取り部2</t>
    <rPh sb="2" eb="3">
      <t>キ</t>
    </rPh>
    <rPh sb="4" eb="5">
      <t>ト</t>
    </rPh>
    <rPh sb="6" eb="7">
      <t>ブ</t>
    </rPh>
    <phoneticPr fontId="2"/>
  </si>
  <si>
    <t>初物</t>
    <rPh sb="0" eb="2">
      <t>ハツモノ</t>
    </rPh>
    <phoneticPr fontId="2"/>
  </si>
  <si>
    <t>小数部有効桁数</t>
  </si>
  <si>
    <t>端数処理区分</t>
  </si>
  <si>
    <t>略称を表示する。</t>
    <rPh sb="0" eb="2">
      <t>リャクショウ</t>
    </rPh>
    <rPh sb="3" eb="5">
      <t>ヒョウジ</t>
    </rPh>
    <phoneticPr fontId="2"/>
  </si>
  <si>
    <t>生産</t>
    <rPh sb="0" eb="2">
      <t>セイサン</t>
    </rPh>
    <phoneticPr fontId="2"/>
  </si>
  <si>
    <t>10</t>
    <phoneticPr fontId="2"/>
  </si>
  <si>
    <t>品目、ロットＮＯ</t>
    <phoneticPr fontId="2"/>
  </si>
  <si>
    <t>中央</t>
    <rPh sb="0" eb="2">
      <t>チュウオウ</t>
    </rPh>
    <phoneticPr fontId="2"/>
  </si>
  <si>
    <t>個口数</t>
    <rPh sb="0" eb="1">
      <t>コ</t>
    </rPh>
    <rPh sb="1" eb="2">
      <t>グチ</t>
    </rPh>
    <rPh sb="2" eb="3">
      <t>スウ</t>
    </rPh>
    <phoneticPr fontId="2"/>
  </si>
  <si>
    <t>入数のマスタ設定において、割り切れない値となる入数の設定は発生しない。</t>
    <rPh sb="13" eb="14">
      <t>ワ</t>
    </rPh>
    <rPh sb="15" eb="16">
      <t>キ</t>
    </rPh>
    <rPh sb="19" eb="20">
      <t>アタイ</t>
    </rPh>
    <rPh sb="23" eb="25">
      <t>イリスウ</t>
    </rPh>
    <rPh sb="26" eb="28">
      <t>セッテイ</t>
    </rPh>
    <rPh sb="29" eb="31">
      <t>ハッセイ</t>
    </rPh>
    <phoneticPr fontId="2"/>
  </si>
  <si>
    <t>想定する設定例：</t>
    <rPh sb="0" eb="2">
      <t>ソウテイ</t>
    </rPh>
    <rPh sb="4" eb="6">
      <t>セッテイ</t>
    </rPh>
    <rPh sb="6" eb="7">
      <t>レイ</t>
    </rPh>
    <phoneticPr fontId="2"/>
  </si>
  <si>
    <t>換算数量：10本</t>
    <rPh sb="0" eb="2">
      <t>カンサン</t>
    </rPh>
    <rPh sb="2" eb="4">
      <t>スウリョウ</t>
    </rPh>
    <rPh sb="7" eb="8">
      <t>ポン</t>
    </rPh>
    <phoneticPr fontId="2"/>
  </si>
  <si>
    <t>換算基準数量：1箱</t>
    <rPh sb="0" eb="2">
      <t>カンサン</t>
    </rPh>
    <rPh sb="2" eb="4">
      <t>キジュン</t>
    </rPh>
    <rPh sb="4" eb="6">
      <t>スウリョウ</t>
    </rPh>
    <rPh sb="8" eb="9">
      <t>ハコ</t>
    </rPh>
    <phoneticPr fontId="2"/>
  </si>
  <si>
    <t>入数：10本</t>
    <rPh sb="0" eb="2">
      <t>イリスウ</t>
    </rPh>
    <rPh sb="5" eb="6">
      <t>ポン</t>
    </rPh>
    <phoneticPr fontId="2"/>
  </si>
  <si>
    <t>発生を想定しない設定例：</t>
    <rPh sb="0" eb="2">
      <t>ハッセイ</t>
    </rPh>
    <rPh sb="3" eb="5">
      <t>ソウテイ</t>
    </rPh>
    <rPh sb="8" eb="10">
      <t>セッテイ</t>
    </rPh>
    <rPh sb="10" eb="11">
      <t>レイ</t>
    </rPh>
    <phoneticPr fontId="2"/>
  </si>
  <si>
    <t>換算基準数量：3箱</t>
    <rPh sb="0" eb="2">
      <t>カンサン</t>
    </rPh>
    <rPh sb="2" eb="4">
      <t>キジュン</t>
    </rPh>
    <rPh sb="4" eb="6">
      <t>スウリョウ</t>
    </rPh>
    <rPh sb="8" eb="9">
      <t>ハコ</t>
    </rPh>
    <phoneticPr fontId="2"/>
  </si>
  <si>
    <t>入数：3.33333…本</t>
    <rPh sb="0" eb="2">
      <t>イリスウ</t>
    </rPh>
    <rPh sb="11" eb="12">
      <t>ポン</t>
    </rPh>
    <phoneticPr fontId="2"/>
  </si>
  <si>
    <t>受入検査判定(合格)</t>
    <rPh sb="0" eb="2">
      <t>ウケイレ</t>
    </rPh>
    <rPh sb="2" eb="4">
      <t>ケンサ</t>
    </rPh>
    <rPh sb="4" eb="6">
      <t>ハンテイ</t>
    </rPh>
    <rPh sb="7" eb="9">
      <t>ゴウカク</t>
    </rPh>
    <phoneticPr fontId="2"/>
  </si>
  <si>
    <t>受入検査判定(日付)</t>
    <rPh sb="0" eb="2">
      <t>ウケイレ</t>
    </rPh>
    <rPh sb="2" eb="4">
      <t>ケンサ</t>
    </rPh>
    <rPh sb="4" eb="6">
      <t>ハンテイ</t>
    </rPh>
    <rPh sb="7" eb="9">
      <t>ヒヅケ</t>
    </rPh>
    <phoneticPr fontId="2"/>
  </si>
  <si>
    <t>「合格」を固定で表示する。</t>
    <rPh sb="1" eb="3">
      <t>ゴウカク</t>
    </rPh>
    <rPh sb="5" eb="7">
      <t>コテイ</t>
    </rPh>
    <rPh sb="8" eb="10">
      <t>ヒョウジ</t>
    </rPh>
    <phoneticPr fontId="2"/>
  </si>
  <si>
    <t>複数ロットを一括で印刷する場合は、品目・ロットNO順で出力する。</t>
    <rPh sb="0" eb="2">
      <t>フクスウ</t>
    </rPh>
    <rPh sb="6" eb="8">
      <t>イッカツ</t>
    </rPh>
    <rPh sb="9" eb="11">
      <t>インサツ</t>
    </rPh>
    <rPh sb="13" eb="15">
      <t>バアイ</t>
    </rPh>
    <rPh sb="17" eb="19">
      <t>ヒンモク</t>
    </rPh>
    <rPh sb="25" eb="26">
      <t>ジュン</t>
    </rPh>
    <rPh sb="27" eb="29">
      <t>シュツリョク</t>
    </rPh>
    <phoneticPr fontId="2"/>
  </si>
  <si>
    <t>(品目単位マスタの換算数量÷換算基準数量の結果は必ず割り切れる設定とし、割り切れない設定がされた場合の動作は考慮しない。)</t>
    <rPh sb="36" eb="37">
      <t>ワ</t>
    </rPh>
    <rPh sb="38" eb="39">
      <t>キ</t>
    </rPh>
    <rPh sb="42" eb="44">
      <t>セッテイ</t>
    </rPh>
    <rPh sb="48" eb="50">
      <t>バアイ</t>
    </rPh>
    <rPh sb="51" eb="53">
      <t>ドウサ</t>
    </rPh>
    <rPh sb="54" eb="56">
      <t>コウリョ</t>
    </rPh>
    <phoneticPr fontId="2"/>
  </si>
  <si>
    <t>内部レビュー指摘修正</t>
    <rPh sb="0" eb="2">
      <t>ナイブ</t>
    </rPh>
    <rPh sb="6" eb="8">
      <t>シテキ</t>
    </rPh>
    <rPh sb="8" eb="10">
      <t>シュウセイ</t>
    </rPh>
    <phoneticPr fontId="2"/>
  </si>
  <si>
    <t>SATO CL4NX-J</t>
    <phoneticPr fontId="2"/>
  </si>
  <si>
    <t>MSBF</t>
    <phoneticPr fontId="2"/>
  </si>
  <si>
    <t>ワーキンググループに紐づく英字会社名を表示する。</t>
    <rPh sb="10" eb="11">
      <t>ヒモ</t>
    </rPh>
    <rPh sb="13" eb="15">
      <t>エイジ</t>
    </rPh>
    <rPh sb="15" eb="17">
      <t>カイシャ</t>
    </rPh>
    <rPh sb="17" eb="18">
      <t>メイ</t>
    </rPh>
    <rPh sb="19" eb="21">
      <t>ヒョウジ</t>
    </rPh>
    <phoneticPr fontId="2"/>
  </si>
  <si>
    <t>MSBFRA020</t>
    <phoneticPr fontId="2"/>
  </si>
  <si>
    <t>MSBFRA020.xml</t>
    <phoneticPr fontId="2"/>
  </si>
  <si>
    <t>【目的】</t>
    <rPh sb="1" eb="3">
      <t>モクテキ</t>
    </rPh>
    <phoneticPr fontId="2"/>
  </si>
  <si>
    <t>検査指図をもとに部材現品票をラベルプリンタで出力する。</t>
    <rPh sb="0" eb="2">
      <t>ケンサ</t>
    </rPh>
    <rPh sb="2" eb="4">
      <t>サシズ</t>
    </rPh>
    <rPh sb="8" eb="10">
      <t>ブザイ</t>
    </rPh>
    <rPh sb="10" eb="12">
      <t>ゲンピン</t>
    </rPh>
    <rPh sb="12" eb="13">
      <t>ヒョウ</t>
    </rPh>
    <rPh sb="22" eb="24">
      <t>シュツリョク</t>
    </rPh>
    <phoneticPr fontId="2"/>
  </si>
  <si>
    <t>ワーキンググループごとに固定文言を表示する。</t>
    <rPh sb="12" eb="14">
      <t>コテイ</t>
    </rPh>
    <rPh sb="14" eb="16">
      <t>モンゴン</t>
    </rPh>
    <rPh sb="17" eb="19">
      <t>ヒョウジ</t>
    </rPh>
    <phoneticPr fontId="2"/>
  </si>
  <si>
    <t>縦13.5cm、横11cm</t>
    <rPh sb="0" eb="1">
      <t>タテ</t>
    </rPh>
    <rPh sb="8" eb="9">
      <t>ヨコ</t>
    </rPh>
    <phoneticPr fontId="2"/>
  </si>
  <si>
    <t>999,999</t>
    <phoneticPr fontId="2"/>
  </si>
  <si>
    <t>100枚/回</t>
    <rPh sb="3" eb="4">
      <t>マイ</t>
    </rPh>
    <rPh sb="5" eb="6">
      <t>カイ</t>
    </rPh>
    <phoneticPr fontId="2"/>
  </si>
  <si>
    <t>現 品 票</t>
    <rPh sb="0" eb="1">
      <t>ウツツ</t>
    </rPh>
    <rPh sb="2" eb="3">
      <t>ヒン</t>
    </rPh>
    <rPh sb="4" eb="5">
      <t>ヒョウ</t>
    </rPh>
    <phoneticPr fontId="2"/>
  </si>
  <si>
    <t>XXXXXXXXXXXXXXXXXXXXXXXXXXXXXXXXXXXXXXXXXXXXXXXXXX</t>
    <phoneticPr fontId="2"/>
  </si>
  <si>
    <r>
      <rPr>
        <sz val="22"/>
        <rFont val="ＭＳ ゴシック"/>
        <family val="3"/>
        <charset val="128"/>
      </rPr>
      <t>合格</t>
    </r>
    <r>
      <rPr>
        <sz val="9"/>
        <rFont val="ＭＳ ゴシック"/>
        <family val="3"/>
        <charset val="128"/>
      </rPr>
      <t xml:space="preserve">
YYYY年MM月DD日</t>
    </r>
    <rPh sb="0" eb="2">
      <t>ゴウカク</t>
    </rPh>
    <rPh sb="7" eb="8">
      <t>ネン</t>
    </rPh>
    <rPh sb="10" eb="11">
      <t>ゲツ</t>
    </rPh>
    <rPh sb="13" eb="14">
      <t>ヒ</t>
    </rPh>
    <phoneticPr fontId="2"/>
  </si>
  <si>
    <t>Ｎ＝</t>
    <phoneticPr fontId="2"/>
  </si>
  <si>
    <t>XXXXXXXXXX</t>
    <phoneticPr fontId="2"/>
  </si>
  <si>
    <t>XXXXXXXXXXXXXXXXXXXXXXXXXX</t>
    <phoneticPr fontId="2"/>
  </si>
  <si>
    <t>XXXXXXXXXXXXXXXXXXXXXXXXXX</t>
    <phoneticPr fontId="2"/>
  </si>
  <si>
    <t>XXXXXXXXXXXXXXXXXXXXXXXXXXXXXXXXXXXXXXXXXXXXXXXXXX</t>
    <phoneticPr fontId="2"/>
  </si>
  <si>
    <t>入荷数</t>
    <rPh sb="0" eb="2">
      <t>ニュウカ</t>
    </rPh>
    <rPh sb="2" eb="3">
      <t>スウ</t>
    </rPh>
    <phoneticPr fontId="2"/>
  </si>
  <si>
    <t>入荷日</t>
    <rPh sb="0" eb="2">
      <t>ニュウカ</t>
    </rPh>
    <rPh sb="2" eb="3">
      <t>ビ</t>
    </rPh>
    <phoneticPr fontId="2"/>
  </si>
  <si>
    <t>・</t>
    <phoneticPr fontId="2"/>
  </si>
  <si>
    <t>未検査、または、不良の場合は出力しない。</t>
    <rPh sb="0" eb="3">
      <t>ミケンサ</t>
    </rPh>
    <rPh sb="8" eb="10">
      <t>フリョウ</t>
    </rPh>
    <rPh sb="11" eb="13">
      <t>バアイ</t>
    </rPh>
    <rPh sb="14" eb="16">
      <t>シュツリョク</t>
    </rPh>
    <phoneticPr fontId="2"/>
  </si>
  <si>
    <t>・</t>
    <phoneticPr fontId="2"/>
  </si>
  <si>
    <t>初物として検査した分のみ初物マークを表示する。</t>
    <rPh sb="0" eb="2">
      <t>ハツモノ</t>
    </rPh>
    <rPh sb="5" eb="7">
      <t>ケンサ</t>
    </rPh>
    <rPh sb="9" eb="10">
      <t>ブン</t>
    </rPh>
    <rPh sb="12" eb="14">
      <t>ハツモノ</t>
    </rPh>
    <rPh sb="18" eb="20">
      <t>ヒョウジ</t>
    </rPh>
    <phoneticPr fontId="2"/>
  </si>
  <si>
    <t>・</t>
    <phoneticPr fontId="2"/>
  </si>
  <si>
    <t>ヘッダの1~9と同じ内容を表示する。</t>
    <rPh sb="8" eb="9">
      <t>オナ</t>
    </rPh>
    <rPh sb="10" eb="12">
      <t>ナイヨウ</t>
    </rPh>
    <rPh sb="13" eb="15">
      <t>ヒョウジ</t>
    </rPh>
    <phoneticPr fontId="2"/>
  </si>
  <si>
    <t>数量の出力：箱に実際に入っている数量を出力する</t>
    <rPh sb="0" eb="2">
      <t>スウリョウ</t>
    </rPh>
    <rPh sb="3" eb="5">
      <t>シュツリョク</t>
    </rPh>
    <rPh sb="6" eb="7">
      <t>ハコ</t>
    </rPh>
    <rPh sb="8" eb="10">
      <t>ジッサイ</t>
    </rPh>
    <rPh sb="11" eb="12">
      <t>ハイ</t>
    </rPh>
    <rPh sb="16" eb="18">
      <t>スウリョウ</t>
    </rPh>
    <rPh sb="19" eb="21">
      <t>シュツリョク</t>
    </rPh>
    <phoneticPr fontId="2"/>
  </si>
  <si>
    <t>個口数算出時の丸め処理に関するマスタ設定において、小数部有効桁数はゼロ、端数処理区分は切上げを設定する。(他の設定の場合の動作は保証しない。)</t>
    <rPh sb="0" eb="1">
      <t>コ</t>
    </rPh>
    <rPh sb="1" eb="2">
      <t>グチ</t>
    </rPh>
    <rPh sb="2" eb="3">
      <t>スウ</t>
    </rPh>
    <rPh sb="3" eb="5">
      <t>サンシュツ</t>
    </rPh>
    <rPh sb="5" eb="6">
      <t>ジ</t>
    </rPh>
    <rPh sb="7" eb="8">
      <t>マル</t>
    </rPh>
    <rPh sb="9" eb="11">
      <t>ショリ</t>
    </rPh>
    <rPh sb="12" eb="13">
      <t>カン</t>
    </rPh>
    <rPh sb="18" eb="20">
      <t>セッテイ</t>
    </rPh>
    <rPh sb="43" eb="45">
      <t>キリア</t>
    </rPh>
    <rPh sb="47" eb="49">
      <t>セッテイ</t>
    </rPh>
    <rPh sb="53" eb="54">
      <t>タ</t>
    </rPh>
    <rPh sb="55" eb="57">
      <t>セッテイ</t>
    </rPh>
    <rPh sb="58" eb="60">
      <t>バアイ</t>
    </rPh>
    <rPh sb="61" eb="63">
      <t>ドウサ</t>
    </rPh>
    <rPh sb="64" eb="66">
      <t>ホショウ</t>
    </rPh>
    <phoneticPr fontId="2"/>
  </si>
  <si>
    <t>同一品目で複数件初物フラグがONになっている検査指図がある場合は、品質管理システムから検査実績がインタフェースされた際に検査承認日が一番早い検査指図のみを初物とする。</t>
    <rPh sb="5" eb="7">
      <t>フクスウ</t>
    </rPh>
    <rPh sb="7" eb="8">
      <t>ケン</t>
    </rPh>
    <rPh sb="8" eb="10">
      <t>ハツモノ</t>
    </rPh>
    <rPh sb="22" eb="24">
      <t>ケンサ</t>
    </rPh>
    <rPh sb="24" eb="26">
      <t>サシズ</t>
    </rPh>
    <rPh sb="29" eb="31">
      <t>バアイ</t>
    </rPh>
    <rPh sb="33" eb="35">
      <t>ヒンシツ</t>
    </rPh>
    <rPh sb="35" eb="37">
      <t>カンリ</t>
    </rPh>
    <rPh sb="43" eb="45">
      <t>ケンサ</t>
    </rPh>
    <rPh sb="45" eb="47">
      <t>ジッセキ</t>
    </rPh>
    <rPh sb="58" eb="59">
      <t>サイ</t>
    </rPh>
    <rPh sb="60" eb="62">
      <t>ケンサ</t>
    </rPh>
    <rPh sb="62" eb="64">
      <t>ショウニン</t>
    </rPh>
    <rPh sb="64" eb="65">
      <t>ビ</t>
    </rPh>
    <rPh sb="66" eb="68">
      <t>イチバン</t>
    </rPh>
    <rPh sb="68" eb="69">
      <t>ハヤ</t>
    </rPh>
    <rPh sb="70" eb="72">
      <t>ケンサ</t>
    </rPh>
    <rPh sb="72" eb="74">
      <t>サシズ</t>
    </rPh>
    <rPh sb="77" eb="79">
      <t>ハツモノ</t>
    </rPh>
    <phoneticPr fontId="2"/>
  </si>
  <si>
    <t>入荷数：90本、入数のマスタ設定：25本の場合</t>
    <rPh sb="0" eb="2">
      <t>ニュウカ</t>
    </rPh>
    <rPh sb="2" eb="3">
      <t>スウ</t>
    </rPh>
    <rPh sb="6" eb="7">
      <t>ホン</t>
    </rPh>
    <rPh sb="8" eb="10">
      <t>イリスウ</t>
    </rPh>
    <rPh sb="14" eb="16">
      <t>セッテイ</t>
    </rPh>
    <rPh sb="19" eb="20">
      <t>ポン</t>
    </rPh>
    <rPh sb="21" eb="23">
      <t>バアイ</t>
    </rPh>
    <phoneticPr fontId="2"/>
  </si>
  <si>
    <t>発行枚数：4枚(90本÷25本→4枚)</t>
    <rPh sb="0" eb="2">
      <t>ハッコウ</t>
    </rPh>
    <rPh sb="2" eb="4">
      <t>マイスウ</t>
    </rPh>
    <rPh sb="6" eb="7">
      <t>マイ</t>
    </rPh>
    <rPh sb="10" eb="11">
      <t>ホン</t>
    </rPh>
    <rPh sb="14" eb="15">
      <t>ポン</t>
    </rPh>
    <rPh sb="17" eb="18">
      <t>マイ</t>
    </rPh>
    <phoneticPr fontId="2"/>
  </si>
  <si>
    <t>1枚目：25本、2枚目：25本、3枚目：25本、4枚目：15本</t>
    <rPh sb="1" eb="3">
      <t>マイメ</t>
    </rPh>
    <rPh sb="6" eb="7">
      <t>ポン</t>
    </rPh>
    <rPh sb="9" eb="11">
      <t>マイメ</t>
    </rPh>
    <rPh sb="14" eb="15">
      <t>ポン</t>
    </rPh>
    <rPh sb="17" eb="19">
      <t>マイメ</t>
    </rPh>
    <rPh sb="22" eb="23">
      <t>ポン</t>
    </rPh>
    <rPh sb="25" eb="27">
      <t>マイメ</t>
    </rPh>
    <rPh sb="30" eb="31">
      <t>ポン</t>
    </rPh>
    <phoneticPr fontId="2"/>
  </si>
  <si>
    <t>1回の出力で(入荷数÷入数※小数点以下切上げ)枚分出力する。</t>
    <rPh sb="1" eb="2">
      <t>カイ</t>
    </rPh>
    <rPh sb="3" eb="5">
      <t>シュツリョク</t>
    </rPh>
    <rPh sb="7" eb="9">
      <t>ニュウカ</t>
    </rPh>
    <rPh sb="9" eb="10">
      <t>スウ</t>
    </rPh>
    <rPh sb="11" eb="13">
      <t>イリスウ</t>
    </rPh>
    <rPh sb="14" eb="17">
      <t>ショウスウテン</t>
    </rPh>
    <rPh sb="17" eb="19">
      <t>イカ</t>
    </rPh>
    <rPh sb="19" eb="21">
      <t>キリア</t>
    </rPh>
    <rPh sb="23" eb="24">
      <t>マイ</t>
    </rPh>
    <rPh sb="24" eb="25">
      <t>ブン</t>
    </rPh>
    <rPh sb="25" eb="27">
      <t>シュツリョク</t>
    </rPh>
    <phoneticPr fontId="2"/>
  </si>
  <si>
    <t>・初物の場合は、初物マークをつける。</t>
    <phoneticPr fontId="2"/>
  </si>
  <si>
    <t>・アドオン</t>
    <phoneticPr fontId="2"/>
  </si>
  <si>
    <t>Lot №</t>
    <phoneticPr fontId="2"/>
  </si>
  <si>
    <t>購入仕様書№</t>
    <rPh sb="0" eb="2">
      <t>コウニュウ</t>
    </rPh>
    <rPh sb="2" eb="5">
      <t>シヨウショ</t>
    </rPh>
    <phoneticPr fontId="2"/>
  </si>
  <si>
    <t>特段記載のない限り、マスタ参照時の適用日は、検査実績ヘッダの判定日を使用する。</t>
    <rPh sb="0" eb="2">
      <t>トクダン</t>
    </rPh>
    <rPh sb="2" eb="4">
      <t>キサイ</t>
    </rPh>
    <rPh sb="7" eb="8">
      <t>カギ</t>
    </rPh>
    <rPh sb="13" eb="15">
      <t>サンショウ</t>
    </rPh>
    <rPh sb="15" eb="16">
      <t>ジ</t>
    </rPh>
    <rPh sb="17" eb="19">
      <t>テキヨウ</t>
    </rPh>
    <rPh sb="19" eb="20">
      <t>ビ</t>
    </rPh>
    <rPh sb="22" eb="24">
      <t>ケンサ</t>
    </rPh>
    <rPh sb="24" eb="26">
      <t>ジッセキ</t>
    </rPh>
    <rPh sb="30" eb="32">
      <t>ハンテイ</t>
    </rPh>
    <rPh sb="32" eb="33">
      <t>ビ</t>
    </rPh>
    <phoneticPr fontId="2"/>
  </si>
  <si>
    <t>6/13のユーザ再レビューの指摘点を反映</t>
    <rPh sb="8" eb="9">
      <t>サイ</t>
    </rPh>
    <rPh sb="14" eb="17">
      <t>シテキテン</t>
    </rPh>
    <rPh sb="18" eb="20">
      <t>ハンエイ</t>
    </rPh>
    <phoneticPr fontId="2"/>
  </si>
  <si>
    <t>5/25のユーザレビュー指摘点を反映</t>
    <rPh sb="12" eb="14">
      <t>シテキ</t>
    </rPh>
    <rPh sb="14" eb="15">
      <t>テン</t>
    </rPh>
    <rPh sb="16" eb="18">
      <t>ハンエイ</t>
    </rPh>
    <phoneticPr fontId="2"/>
  </si>
  <si>
    <t>実際に箱に入っている数量を表示する。</t>
    <rPh sb="0" eb="2">
      <t>ジッサイ</t>
    </rPh>
    <rPh sb="3" eb="4">
      <t>ハコ</t>
    </rPh>
    <rPh sb="5" eb="6">
      <t>ハイ</t>
    </rPh>
    <rPh sb="10" eb="12">
      <t>スウリョウ</t>
    </rPh>
    <rPh sb="13" eb="15">
      <t>ヒョウジ</t>
    </rPh>
    <phoneticPr fontId="2"/>
  </si>
  <si>
    <t>(入荷数÷マスタ設定の入数)をマスタ設定に従い丸め処理を行い表示する。</t>
    <rPh sb="1" eb="3">
      <t>ニュウカ</t>
    </rPh>
    <rPh sb="3" eb="4">
      <t>スウ</t>
    </rPh>
    <rPh sb="8" eb="10">
      <t>セッテイ</t>
    </rPh>
    <rPh sb="11" eb="13">
      <t>イリスウ</t>
    </rPh>
    <rPh sb="18" eb="20">
      <t>セッテイ</t>
    </rPh>
    <rPh sb="21" eb="22">
      <t>シタガ</t>
    </rPh>
    <rPh sb="23" eb="24">
      <t>マル</t>
    </rPh>
    <rPh sb="25" eb="27">
      <t>ショリ</t>
    </rPh>
    <rPh sb="28" eb="29">
      <t>オコナ</t>
    </rPh>
    <rPh sb="30" eb="32">
      <t>ヒョウジ</t>
    </rPh>
    <phoneticPr fontId="2"/>
  </si>
  <si>
    <t>入荷数単位</t>
    <rPh sb="0" eb="2">
      <t>ニュウカ</t>
    </rPh>
    <rPh sb="2" eb="3">
      <t>スウ</t>
    </rPh>
    <rPh sb="3" eb="5">
      <t>タンイ</t>
    </rPh>
    <phoneticPr fontId="2"/>
  </si>
  <si>
    <t>7/19の品質管理Ｇの検査関連機能の基本設計レビューの指摘点を反映(発行済/未発行の管理、プレビューなしを追加)</t>
    <rPh sb="5" eb="7">
      <t>ヒンシツ</t>
    </rPh>
    <rPh sb="7" eb="9">
      <t>カンリ</t>
    </rPh>
    <rPh sb="11" eb="13">
      <t>ケンサ</t>
    </rPh>
    <rPh sb="13" eb="15">
      <t>カンレン</t>
    </rPh>
    <rPh sb="15" eb="17">
      <t>キノウ</t>
    </rPh>
    <rPh sb="18" eb="20">
      <t>キホン</t>
    </rPh>
    <rPh sb="20" eb="22">
      <t>セッケイ</t>
    </rPh>
    <rPh sb="27" eb="29">
      <t>シテキ</t>
    </rPh>
    <rPh sb="29" eb="30">
      <t>テン</t>
    </rPh>
    <rPh sb="31" eb="33">
      <t>ハンエイ</t>
    </rPh>
    <rPh sb="34" eb="36">
      <t>ハッコウ</t>
    </rPh>
    <rPh sb="36" eb="37">
      <t>スミ</t>
    </rPh>
    <rPh sb="38" eb="41">
      <t>ミハッコウ</t>
    </rPh>
    <rPh sb="42" eb="44">
      <t>カンリ</t>
    </rPh>
    <rPh sb="53" eb="55">
      <t>ツイカ</t>
    </rPh>
    <phoneticPr fontId="2"/>
  </si>
  <si>
    <t>初物の場合のみ表示する。初物でない場合は斜線を表示する。</t>
    <rPh sb="0" eb="2">
      <t>ハツモノ</t>
    </rPh>
    <rPh sb="3" eb="5">
      <t>バアイ</t>
    </rPh>
    <rPh sb="7" eb="9">
      <t>ヒョウジ</t>
    </rPh>
    <rPh sb="12" eb="14">
      <t>ハツモノ</t>
    </rPh>
    <rPh sb="17" eb="19">
      <t>バアイ</t>
    </rPh>
    <rPh sb="20" eb="22">
      <t>シャセン</t>
    </rPh>
    <rPh sb="23" eb="25">
      <t>ヒョウジ</t>
    </rPh>
    <phoneticPr fontId="2"/>
  </si>
  <si>
    <t>・</t>
    <phoneticPr fontId="2"/>
  </si>
  <si>
    <t>発行時に検査予定の現品票発行済ＦＬＧを"1"に更新する。</t>
    <rPh sb="0" eb="2">
      <t>ハッコウ</t>
    </rPh>
    <rPh sb="2" eb="3">
      <t>ジ</t>
    </rPh>
    <rPh sb="4" eb="6">
      <t>ケンサ</t>
    </rPh>
    <rPh sb="6" eb="8">
      <t>ヨテイ</t>
    </rPh>
    <rPh sb="9" eb="12">
      <t>ゲンピンヒョウ</t>
    </rPh>
    <rPh sb="23" eb="25">
      <t>コウシン</t>
    </rPh>
    <phoneticPr fontId="2"/>
  </si>
  <si>
    <t>特定のページのみ再発行したい場合は、PDFでプレビュー表示しPDF側でページを選択し印刷する。</t>
    <rPh sb="0" eb="2">
      <t>トクテイ</t>
    </rPh>
    <rPh sb="8" eb="11">
      <t>サイハッコウ</t>
    </rPh>
    <rPh sb="14" eb="16">
      <t>バアイ</t>
    </rPh>
    <rPh sb="27" eb="29">
      <t>ヒョウジ</t>
    </rPh>
    <rPh sb="33" eb="34">
      <t>ガワ</t>
    </rPh>
    <rPh sb="39" eb="41">
      <t>センタク</t>
    </rPh>
    <rPh sb="42" eb="44">
      <t>インサツ</t>
    </rPh>
    <phoneticPr fontId="2"/>
  </si>
  <si>
    <t>基本設計フェーズ成果物として納品</t>
    <rPh sb="0" eb="2">
      <t>キホン</t>
    </rPh>
    <rPh sb="2" eb="4">
      <t>セッケイ</t>
    </rPh>
    <phoneticPr fontId="2"/>
  </si>
  <si>
    <t>mcframe Report(プレビューなし/プレビューあり)</t>
    <phoneticPr fontId="2"/>
  </si>
  <si>
    <t>部材現品票ボタンの押下により出力される。(プレビューがオンの場合にプレビューあり)</t>
    <rPh sb="0" eb="2">
      <t>ブザイ</t>
    </rPh>
    <rPh sb="2" eb="5">
      <t>ゲンピンヒョウ</t>
    </rPh>
    <rPh sb="9" eb="11">
      <t>オウカ</t>
    </rPh>
    <rPh sb="14" eb="16">
      <t>シュツリョク</t>
    </rPh>
    <rPh sb="30" eb="32">
      <t>バアイ</t>
    </rPh>
    <phoneticPr fontId="2"/>
  </si>
  <si>
    <t>発行可否のチェック(検査済かつ良品)は出力元機能側に設ける。</t>
    <rPh sb="0" eb="2">
      <t>ハッコウ</t>
    </rPh>
    <rPh sb="2" eb="4">
      <t>カヒ</t>
    </rPh>
    <rPh sb="10" eb="12">
      <t>ケンサ</t>
    </rPh>
    <rPh sb="12" eb="13">
      <t>スミ</t>
    </rPh>
    <rPh sb="15" eb="17">
      <t>リョウヒン</t>
    </rPh>
    <rPh sb="19" eb="21">
      <t>シュツリョク</t>
    </rPh>
    <rPh sb="21" eb="22">
      <t>モト</t>
    </rPh>
    <rPh sb="22" eb="24">
      <t>キノウ</t>
    </rPh>
    <rPh sb="24" eb="25">
      <t>ガワ</t>
    </rPh>
    <rPh sb="26" eb="27">
      <t>モウ</t>
    </rPh>
    <phoneticPr fontId="2"/>
  </si>
  <si>
    <t>ここまで基本設計成果物として記載</t>
    <rPh sb="4" eb="6">
      <t>キホン</t>
    </rPh>
    <rPh sb="6" eb="8">
      <t>セッケイ</t>
    </rPh>
    <rPh sb="8" eb="11">
      <t>セイカブツ</t>
    </rPh>
    <rPh sb="14" eb="16">
      <t>キサイ</t>
    </rPh>
    <phoneticPr fontId="2"/>
  </si>
  <si>
    <t>プロジェクト</t>
    <phoneticPr fontId="2"/>
  </si>
  <si>
    <t>システム</t>
    <phoneticPr fontId="2"/>
  </si>
  <si>
    <t>検査開始日時を表示する。(有効期限の起算日となる。)</t>
    <rPh sb="0" eb="2">
      <t>ケンサ</t>
    </rPh>
    <rPh sb="2" eb="4">
      <t>カイシ</t>
    </rPh>
    <rPh sb="4" eb="6">
      <t>ニチジ</t>
    </rPh>
    <rPh sb="7" eb="9">
      <t>ヒョウジ</t>
    </rPh>
    <rPh sb="13" eb="15">
      <t>ユウコウ</t>
    </rPh>
    <rPh sb="15" eb="17">
      <t>キゲン</t>
    </rPh>
    <rPh sb="18" eb="21">
      <t>キサンビ</t>
    </rPh>
    <phoneticPr fontId="2"/>
  </si>
  <si>
    <t>項目仕様、帳票入出力仕様の「受入検査判定」の説明欄、転送元項目名を、「判定日」→「検査開始日時」に変更</t>
    <rPh sb="0" eb="2">
      <t>コウモク</t>
    </rPh>
    <rPh sb="2" eb="4">
      <t>シヨウ</t>
    </rPh>
    <rPh sb="5" eb="7">
      <t>チョウヒョウ</t>
    </rPh>
    <rPh sb="7" eb="10">
      <t>ニュウシュツリョク</t>
    </rPh>
    <rPh sb="10" eb="12">
      <t>シヨウ</t>
    </rPh>
    <rPh sb="14" eb="16">
      <t>ウケイレ</t>
    </rPh>
    <rPh sb="16" eb="18">
      <t>ケンサ</t>
    </rPh>
    <rPh sb="18" eb="20">
      <t>ハンテイ</t>
    </rPh>
    <rPh sb="22" eb="24">
      <t>セツメイ</t>
    </rPh>
    <rPh sb="24" eb="25">
      <t>ラン</t>
    </rPh>
    <rPh sb="26" eb="28">
      <t>テンソウ</t>
    </rPh>
    <rPh sb="28" eb="29">
      <t>モト</t>
    </rPh>
    <rPh sb="29" eb="31">
      <t>コウモク</t>
    </rPh>
    <rPh sb="31" eb="32">
      <t>メイ</t>
    </rPh>
    <rPh sb="35" eb="37">
      <t>ハンテイ</t>
    </rPh>
    <rPh sb="37" eb="38">
      <t>ビ</t>
    </rPh>
    <rPh sb="49" eb="51">
      <t>ヘンコウ</t>
    </rPh>
    <phoneticPr fontId="2"/>
  </si>
  <si>
    <t>帳票入出力仕様の「初物」の転送元オブジェクトを「検査指図」→「検査予定」へ変更</t>
    <rPh sb="0" eb="2">
      <t>チョウヒョウ</t>
    </rPh>
    <rPh sb="2" eb="5">
      <t>ニュウシュツリョク</t>
    </rPh>
    <rPh sb="5" eb="7">
      <t>シヨウ</t>
    </rPh>
    <rPh sb="9" eb="11">
      <t>ハツモノ</t>
    </rPh>
    <rPh sb="13" eb="15">
      <t>テンソウ</t>
    </rPh>
    <rPh sb="15" eb="16">
      <t>モト</t>
    </rPh>
    <rPh sb="24" eb="26">
      <t>ケンサ</t>
    </rPh>
    <rPh sb="26" eb="28">
      <t>サシズ</t>
    </rPh>
    <rPh sb="31" eb="33">
      <t>ケンサ</t>
    </rPh>
    <rPh sb="33" eb="35">
      <t>ヨテイ</t>
    </rPh>
    <rPh sb="37" eb="39">
      <t>ヘンコウ</t>
    </rPh>
    <phoneticPr fontId="2"/>
  </si>
  <si>
    <t>Lot №</t>
  </si>
  <si>
    <t>株式会社XXXX殿</t>
    <phoneticPr fontId="2"/>
  </si>
  <si>
    <t>XX</t>
    <phoneticPr fontId="2"/>
  </si>
  <si>
    <t>株式会社XXXX殿</t>
    <rPh sb="0" eb="4">
      <t>カブシキガイシャ</t>
    </rPh>
    <rPh sb="8" eb="9">
      <t>トノ</t>
    </rPh>
    <phoneticPr fontId="2"/>
  </si>
  <si>
    <t>XX-XX-9999_帳票設計書_MSBFRA020_部材現品票_r01.00をもとに新規作成</t>
    <rPh sb="11" eb="13">
      <t>チョウヒョウ</t>
    </rPh>
    <rPh sb="13" eb="16">
      <t>セッケイショ</t>
    </rPh>
    <rPh sb="27" eb="29">
      <t>ブザイ</t>
    </rPh>
    <rPh sb="29" eb="32">
      <t>ゲンピンヒョウ</t>
    </rPh>
    <rPh sb="43" eb="45">
      <t>シンキ</t>
    </rPh>
    <rPh sb="45" eb="47">
      <t>サクセイ</t>
    </rPh>
    <phoneticPr fontId="2"/>
  </si>
  <si>
    <t>詳細設計フェーズ成果物として納品</t>
    <rPh sb="0" eb="2">
      <t>ショウサイ</t>
    </rPh>
    <rPh sb="2" eb="4">
      <t>セッケイ</t>
    </rPh>
    <phoneticPr fontId="2"/>
  </si>
  <si>
    <t>XXXX社専用用紙</t>
    <rPh sb="4" eb="5">
      <t>シャ</t>
    </rPh>
    <rPh sb="5" eb="7">
      <t>センヨウ</t>
    </rPh>
    <rPh sb="7" eb="9">
      <t>ヨウシ</t>
    </rPh>
    <phoneticPr fontId="2"/>
  </si>
  <si>
    <t>【特記事項】</t>
    <rPh sb="1" eb="3">
      <t>トッキ</t>
    </rPh>
    <rPh sb="3" eb="5">
      <t>ジコウ</t>
    </rPh>
    <phoneticPr fontId="2"/>
  </si>
  <si>
    <t>・</t>
    <phoneticPr fontId="2"/>
  </si>
  <si>
    <t>ラベルプリンタ機種</t>
  </si>
  <si>
    <t>発行枚数と数量の出力例</t>
  </si>
  <si>
    <t>2. 前提条件</t>
    <rPh sb="3" eb="5">
      <t>ゼンテイ</t>
    </rPh>
    <rPh sb="5" eb="7">
      <t>ジョウケン</t>
    </rPh>
    <phoneticPr fontId="2"/>
  </si>
  <si>
    <t>XX-XX-9999</t>
    <phoneticPr fontId="2"/>
  </si>
  <si>
    <t>【説明】</t>
    <rPh sb="1" eb="3">
      <t>セツメイ</t>
    </rPh>
    <phoneticPr fontId="2"/>
  </si>
  <si>
    <t>14</t>
  </si>
  <si>
    <t>16</t>
  </si>
  <si>
    <t>17</t>
  </si>
  <si>
    <t>18</t>
  </si>
  <si>
    <t>11</t>
  </si>
  <si>
    <t>15</t>
  </si>
  <si>
    <t>19</t>
  </si>
  <si>
    <t>7.0.1.1</t>
    <phoneticPr fontId="2"/>
  </si>
  <si>
    <t>システム</t>
    <phoneticPr fontId="2"/>
  </si>
  <si>
    <t>サブシステム</t>
    <phoneticPr fontId="2"/>
  </si>
  <si>
    <t>Rev.</t>
    <phoneticPr fontId="2"/>
  </si>
  <si>
    <t>プロジェクト</t>
    <phoneticPr fontId="2"/>
  </si>
  <si>
    <t>Rev.</t>
    <phoneticPr fontId="2"/>
  </si>
  <si>
    <t>項目仕様</t>
    <rPh sb="0" eb="2">
      <t>コウモク</t>
    </rPh>
    <rPh sb="2" eb="4">
      <t>シヨウ</t>
    </rPh>
    <phoneticPr fontId="2"/>
  </si>
  <si>
    <t>システム</t>
    <phoneticPr fontId="2"/>
  </si>
  <si>
    <t>サブシステム</t>
    <phoneticPr fontId="2"/>
  </si>
  <si>
    <t>Rev.</t>
    <phoneticPr fontId="2"/>
  </si>
  <si>
    <t>メッセージ一覧</t>
    <rPh sb="5" eb="7">
      <t>イチラン</t>
    </rPh>
    <phoneticPr fontId="2"/>
  </si>
  <si>
    <t>プロジェクト</t>
    <phoneticPr fontId="2"/>
  </si>
  <si>
    <t>No</t>
    <phoneticPr fontId="2"/>
  </si>
  <si>
    <t>Csv 
No</t>
    <phoneticPr fontId="2"/>
  </si>
  <si>
    <t>形式</t>
    <phoneticPr fontId="2"/>
  </si>
  <si>
    <t>Fｻｲｽﾞ</t>
    <phoneticPr fontId="2"/>
  </si>
  <si>
    <t>r00.00</t>
  </si>
  <si>
    <t>r00.01</t>
  </si>
  <si>
    <t>r00.02</t>
  </si>
  <si>
    <t>r00.03</t>
  </si>
  <si>
    <t>r00.04</t>
  </si>
  <si>
    <t>r01.00</t>
  </si>
  <si>
    <t>r01.01</t>
  </si>
  <si>
    <t>r02.00</t>
  </si>
  <si>
    <t>XX</t>
  </si>
  <si>
    <t>r01.00</t>
    <phoneticPr fontId="2"/>
  </si>
  <si>
    <t>基本設計フェーズ成果物として納品</t>
    <phoneticPr fontId="2"/>
  </si>
  <si>
    <t>XX</t>
    <phoneticPr fontId="2"/>
  </si>
  <si>
    <t>PM(XX)</t>
    <phoneticPr fontId="2"/>
  </si>
  <si>
    <t>a.ヘッダ</t>
  </si>
  <si>
    <t>d.フッタ</t>
  </si>
  <si>
    <t>10</t>
  </si>
  <si>
    <t>12</t>
  </si>
  <si>
    <t>13</t>
  </si>
  <si>
    <t>S</t>
  </si>
  <si>
    <t>D</t>
  </si>
  <si>
    <t>N</t>
  </si>
  <si>
    <t>B</t>
  </si>
  <si>
    <t>6,0</t>
  </si>
  <si>
    <t>21,8</t>
  </si>
  <si>
    <t>QRコード</t>
  </si>
  <si>
    <t>ＭＳゴシック</t>
  </si>
  <si>
    <t>22</t>
  </si>
  <si>
    <t>電文項目仕様</t>
    <rPh sb="0" eb="2">
      <t>デンブン</t>
    </rPh>
    <rPh sb="2" eb="4">
      <t>コウモク</t>
    </rPh>
    <rPh sb="4" eb="6">
      <t>シヨウ</t>
    </rPh>
    <phoneticPr fontId="2"/>
  </si>
  <si>
    <t>帳票入出力仕様</t>
    <rPh sb="0" eb="2">
      <t>チョウヒョウ</t>
    </rPh>
    <rPh sb="2" eb="5">
      <t>ニュウシュツリョク</t>
    </rPh>
    <rPh sb="5" eb="7">
      <t>シヨウ</t>
    </rPh>
    <phoneticPr fontId="2"/>
  </si>
  <si>
    <t>オブジェクト</t>
    <phoneticPr fontId="2"/>
  </si>
  <si>
    <t>・</t>
    <phoneticPr fontId="2"/>
  </si>
  <si>
    <t>・</t>
    <phoneticPr fontId="2"/>
  </si>
  <si>
    <t>・</t>
    <phoneticPr fontId="2"/>
  </si>
  <si>
    <t>検査実績一覧登録</t>
    <phoneticPr fontId="3"/>
  </si>
  <si>
    <t>出力データの取得・編集はMSBFLA020_部材現品票発行サービスにて行う</t>
    <rPh sb="0" eb="2">
      <t>シュツリョク</t>
    </rPh>
    <rPh sb="6" eb="8">
      <t>シュトク</t>
    </rPh>
    <rPh sb="9" eb="11">
      <t>ヘンシュウ</t>
    </rPh>
    <rPh sb="35" eb="36">
      <t>オコナ</t>
    </rPh>
    <phoneticPr fontId="2"/>
  </si>
  <si>
    <t>レビュー記録</t>
    <rPh sb="4" eb="6">
      <t>キロク</t>
    </rPh>
    <phoneticPr fontId="2"/>
  </si>
  <si>
    <t>レビュー実施記録</t>
    <rPh sb="4" eb="6">
      <t>ジッシ</t>
    </rPh>
    <rPh sb="6" eb="8">
      <t>キロク</t>
    </rPh>
    <phoneticPr fontId="2"/>
  </si>
  <si>
    <t>レビュー日</t>
    <rPh sb="4" eb="5">
      <t>ビ</t>
    </rPh>
    <phoneticPr fontId="2"/>
  </si>
  <si>
    <t>開催場所</t>
    <rPh sb="0" eb="2">
      <t>カイサイ</t>
    </rPh>
    <rPh sb="2" eb="4">
      <t>バショ</t>
    </rPh>
    <phoneticPr fontId="2"/>
  </si>
  <si>
    <t>参加者</t>
    <rPh sb="0" eb="3">
      <t>サンカシャ</t>
    </rPh>
    <phoneticPr fontId="2"/>
  </si>
  <si>
    <t>本社</t>
    <rPh sb="0" eb="2">
      <t>ホンシャ</t>
    </rPh>
    <phoneticPr fontId="2"/>
  </si>
  <si>
    <t>レビュー指摘・確認対応記録</t>
    <rPh sb="4" eb="6">
      <t>シテキ</t>
    </rPh>
    <rPh sb="7" eb="9">
      <t>カクニン</t>
    </rPh>
    <rPh sb="9" eb="11">
      <t>タイオウ</t>
    </rPh>
    <rPh sb="11" eb="13">
      <t>キロク</t>
    </rPh>
    <phoneticPr fontId="2"/>
  </si>
  <si>
    <t>NO</t>
    <phoneticPr fontId="2"/>
  </si>
  <si>
    <t>指摘・確認事項</t>
    <rPh sb="0" eb="2">
      <t>シテキ</t>
    </rPh>
    <rPh sb="3" eb="5">
      <t>カクニン</t>
    </rPh>
    <rPh sb="5" eb="7">
      <t>ジコウ</t>
    </rPh>
    <phoneticPr fontId="2"/>
  </si>
  <si>
    <t>回答</t>
    <rPh sb="0" eb="2">
      <t>カイトウ</t>
    </rPh>
    <phoneticPr fontId="2"/>
  </si>
  <si>
    <t>確認日</t>
    <rPh sb="0" eb="2">
      <t>カクニン</t>
    </rPh>
    <rPh sb="2" eb="3">
      <t>ビ</t>
    </rPh>
    <phoneticPr fontId="2"/>
  </si>
  <si>
    <t>担当者</t>
    <rPh sb="0" eb="3">
      <t>タントウシャ</t>
    </rPh>
    <phoneticPr fontId="2"/>
  </si>
  <si>
    <t>NO</t>
    <phoneticPr fontId="2"/>
  </si>
  <si>
    <t>EU：××、××</t>
    <phoneticPr fontId="2"/>
  </si>
  <si>
    <t>BP：××、××</t>
    <phoneticPr fontId="2"/>
  </si>
  <si>
    <t>B-ENG：××、××</t>
    <phoneticPr fontId="2"/>
  </si>
  <si>
    <t>××</t>
    <phoneticPr fontId="2"/>
  </si>
  <si>
    <t>T</t>
  </si>
  <si>
    <t>検査指図</t>
    <rPh sb="0" eb="2">
      <t>ケンサ</t>
    </rPh>
    <rPh sb="2" eb="4">
      <t>サシズ</t>
    </rPh>
    <phoneticPr fontId="22"/>
  </si>
  <si>
    <t>品目ＣＤ</t>
  </si>
  <si>
    <t>入荷実績</t>
    <rPh sb="0" eb="2">
      <t>ニュウカ</t>
    </rPh>
    <rPh sb="2" eb="4">
      <t>ジッセキ</t>
    </rPh>
    <phoneticPr fontId="22"/>
  </si>
  <si>
    <t>入荷日時</t>
    <rPh sb="0" eb="2">
      <t>ニュウカ</t>
    </rPh>
    <rPh sb="2" eb="4">
      <t>ニチジ</t>
    </rPh>
    <phoneticPr fontId="22"/>
  </si>
  <si>
    <t>品目マスタ</t>
    <rPh sb="0" eb="2">
      <t>ヒンモク</t>
    </rPh>
    <phoneticPr fontId="22"/>
  </si>
  <si>
    <t>品名</t>
    <rPh sb="0" eb="2">
      <t>ヒンメイ</t>
    </rPh>
    <phoneticPr fontId="22"/>
  </si>
  <si>
    <t>検査指図の品目ＣＤに紐づくマスタ。</t>
    <rPh sb="0" eb="2">
      <t>ケンサ</t>
    </rPh>
    <rPh sb="2" eb="4">
      <t>サシズ</t>
    </rPh>
    <rPh sb="5" eb="7">
      <t>ヒンモク</t>
    </rPh>
    <rPh sb="10" eb="11">
      <t>ヒモ</t>
    </rPh>
    <phoneticPr fontId="22"/>
  </si>
  <si>
    <t>ロットＮＯ</t>
  </si>
  <si>
    <t>発注明細</t>
    <rPh sb="0" eb="2">
      <t>ハッチュウ</t>
    </rPh>
    <rPh sb="2" eb="4">
      <t>メイサイ</t>
    </rPh>
    <phoneticPr fontId="22"/>
  </si>
  <si>
    <t>購入仕様書ＮＯ</t>
    <rPh sb="0" eb="2">
      <t>コウニュウ</t>
    </rPh>
    <rPh sb="2" eb="5">
      <t>シヨウショ</t>
    </rPh>
    <phoneticPr fontId="22"/>
  </si>
  <si>
    <t>基準単位数量</t>
    <rPh sb="4" eb="6">
      <t>スウリョウ</t>
    </rPh>
    <phoneticPr fontId="25"/>
  </si>
  <si>
    <t>検査指図の品目ＣＤに紐づく品目マスタの梱包単位ＣＤに紐づくマスタ。</t>
    <rPh sb="0" eb="2">
      <t>ケンサ</t>
    </rPh>
    <rPh sb="2" eb="4">
      <t>サシズ</t>
    </rPh>
    <rPh sb="5" eb="7">
      <t>ヒンモク</t>
    </rPh>
    <rPh sb="10" eb="11">
      <t>ヒモ</t>
    </rPh>
    <rPh sb="13" eb="15">
      <t>ヒンモク</t>
    </rPh>
    <rPh sb="19" eb="21">
      <t>コンポウ</t>
    </rPh>
    <rPh sb="21" eb="23">
      <t>タンイ</t>
    </rPh>
    <phoneticPr fontId="22"/>
  </si>
  <si>
    <t>品目単位マスタ</t>
    <rPh sb="0" eb="2">
      <t>ヒンモク</t>
    </rPh>
    <rPh sb="2" eb="4">
      <t>タンイ</t>
    </rPh>
    <phoneticPr fontId="22"/>
  </si>
  <si>
    <t>換算基準数量</t>
    <rPh sb="0" eb="2">
      <t>カンサン</t>
    </rPh>
    <rPh sb="2" eb="4">
      <t>キジュン</t>
    </rPh>
    <rPh sb="4" eb="6">
      <t>スウリョウ</t>
    </rPh>
    <phoneticPr fontId="25"/>
  </si>
  <si>
    <t>入荷数をマスタ設定の入数で割り、実際の入数を出力する。</t>
    <rPh sb="0" eb="2">
      <t>ニュウカ</t>
    </rPh>
    <rPh sb="2" eb="3">
      <t>スウ</t>
    </rPh>
    <rPh sb="7" eb="9">
      <t>セッテイ</t>
    </rPh>
    <rPh sb="10" eb="12">
      <t>イリスウ</t>
    </rPh>
    <rPh sb="13" eb="14">
      <t>ワ</t>
    </rPh>
    <rPh sb="16" eb="18">
      <t>ジッサイ</t>
    </rPh>
    <rPh sb="19" eb="21">
      <t>イリスウ</t>
    </rPh>
    <rPh sb="22" eb="24">
      <t>シュツリョク</t>
    </rPh>
    <phoneticPr fontId="22"/>
  </si>
  <si>
    <t>換算数量</t>
    <rPh sb="3" eb="4">
      <t>リョウ</t>
    </rPh>
    <phoneticPr fontId="25"/>
  </si>
  <si>
    <t>(半端分は最終ページに出力する。)</t>
    <rPh sb="1" eb="3">
      <t>ハンパ</t>
    </rPh>
    <rPh sb="3" eb="4">
      <t>ブン</t>
    </rPh>
    <phoneticPr fontId="22"/>
  </si>
  <si>
    <t>基準単位数量÷(換算数量÷換算基準数量)。</t>
    <rPh sb="0" eb="2">
      <t>キジュン</t>
    </rPh>
    <rPh sb="2" eb="4">
      <t>タンイ</t>
    </rPh>
    <rPh sb="4" eb="6">
      <t>スウリョウ</t>
    </rPh>
    <rPh sb="8" eb="10">
      <t>カンサン</t>
    </rPh>
    <rPh sb="10" eb="12">
      <t>スウリョウ</t>
    </rPh>
    <rPh sb="13" eb="15">
      <t>カンサン</t>
    </rPh>
    <rPh sb="15" eb="17">
      <t>キジュン</t>
    </rPh>
    <rPh sb="17" eb="19">
      <t>スウリョウ</t>
    </rPh>
    <phoneticPr fontId="22"/>
  </si>
  <si>
    <t>例：入荷数90本、入数25本の場合、90÷(25÷1)＝3余り15</t>
    <rPh sb="0" eb="1">
      <t>レイ</t>
    </rPh>
    <rPh sb="2" eb="4">
      <t>ニュウカ</t>
    </rPh>
    <rPh sb="4" eb="5">
      <t>スウ</t>
    </rPh>
    <rPh sb="7" eb="8">
      <t>ホン</t>
    </rPh>
    <rPh sb="9" eb="11">
      <t>イリスウ</t>
    </rPh>
    <rPh sb="13" eb="14">
      <t>ホン</t>
    </rPh>
    <rPh sb="15" eb="17">
      <t>バアイ</t>
    </rPh>
    <phoneticPr fontId="22"/>
  </si>
  <si>
    <t>単位マスタ</t>
    <rPh sb="0" eb="2">
      <t>タンイ</t>
    </rPh>
    <phoneticPr fontId="22"/>
  </si>
  <si>
    <t>単位名</t>
    <rPh sb="0" eb="2">
      <t>タンイ</t>
    </rPh>
    <rPh sb="2" eb="3">
      <t>メイ</t>
    </rPh>
    <phoneticPr fontId="22"/>
  </si>
  <si>
    <t>検査指図の基準単位ＣＤに紐づくマスタ。</t>
    <rPh sb="0" eb="2">
      <t>ケンサ</t>
    </rPh>
    <rPh sb="2" eb="4">
      <t>サシズ</t>
    </rPh>
    <rPh sb="12" eb="13">
      <t>ヒモ</t>
    </rPh>
    <phoneticPr fontId="22"/>
  </si>
  <si>
    <t>検査予定</t>
    <rPh sb="0" eb="2">
      <t>ケンサ</t>
    </rPh>
    <rPh sb="2" eb="4">
      <t>ヨテイ</t>
    </rPh>
    <phoneticPr fontId="22"/>
  </si>
  <si>
    <t>初物ＦＬＧ</t>
    <rPh sb="0" eb="2">
      <t>ハツモノ</t>
    </rPh>
    <phoneticPr fontId="22"/>
  </si>
  <si>
    <t>初物ＦＬＧ＝"1"(ＯＮ)の場合に"初物"と表示する。</t>
  </si>
  <si>
    <t>小数部有効桁数と端数処理区分に従い丸め処理を行う。</t>
    <rPh sb="0" eb="3">
      <t>ショウスウブ</t>
    </rPh>
    <rPh sb="3" eb="5">
      <t>ユウコウ</t>
    </rPh>
    <rPh sb="5" eb="7">
      <t>ケタスウ</t>
    </rPh>
    <rPh sb="8" eb="10">
      <t>ハスウ</t>
    </rPh>
    <rPh sb="10" eb="12">
      <t>ショリ</t>
    </rPh>
    <rPh sb="12" eb="14">
      <t>クブン</t>
    </rPh>
    <rPh sb="15" eb="16">
      <t>シタガ</t>
    </rPh>
    <rPh sb="17" eb="18">
      <t>マル</t>
    </rPh>
    <rPh sb="19" eb="21">
      <t>ショリ</t>
    </rPh>
    <rPh sb="22" eb="23">
      <t>オコナ</t>
    </rPh>
    <phoneticPr fontId="22"/>
  </si>
  <si>
    <t>例：入荷数90本、入数25本の場合</t>
    <rPh sb="0" eb="1">
      <t>レイ</t>
    </rPh>
    <rPh sb="2" eb="4">
      <t>ニュウカ</t>
    </rPh>
    <rPh sb="4" eb="5">
      <t>スウ</t>
    </rPh>
    <rPh sb="7" eb="8">
      <t>ホン</t>
    </rPh>
    <rPh sb="9" eb="11">
      <t>イリスウ</t>
    </rPh>
    <rPh sb="13" eb="14">
      <t>ホン</t>
    </rPh>
    <rPh sb="15" eb="17">
      <t>バアイ</t>
    </rPh>
    <phoneticPr fontId="22"/>
  </si>
  <si>
    <t>取引先マスタ</t>
    <rPh sb="0" eb="2">
      <t>トリヒキ</t>
    </rPh>
    <rPh sb="2" eb="3">
      <t>サキ</t>
    </rPh>
    <phoneticPr fontId="22"/>
  </si>
  <si>
    <t>取引先別名3</t>
    <rPh sb="0" eb="2">
      <t>トリヒキ</t>
    </rPh>
    <rPh sb="2" eb="3">
      <t>サキ</t>
    </rPh>
    <rPh sb="3" eb="5">
      <t>ベツメイ</t>
    </rPh>
    <phoneticPr fontId="22"/>
  </si>
  <si>
    <t>検査指図の発注先ＣＤに紐づくマスタ。</t>
    <rPh sb="0" eb="2">
      <t>ケンサ</t>
    </rPh>
    <rPh sb="2" eb="4">
      <t>サシズ</t>
    </rPh>
    <rPh sb="5" eb="7">
      <t>ハッチュウ</t>
    </rPh>
    <rPh sb="7" eb="8">
      <t>サキ</t>
    </rPh>
    <rPh sb="11" eb="12">
      <t>ヒモ</t>
    </rPh>
    <phoneticPr fontId="22"/>
  </si>
  <si>
    <t>-</t>
  </si>
  <si>
    <t>検査実績ヘッダ</t>
    <rPh sb="0" eb="2">
      <t>ケンサ</t>
    </rPh>
    <rPh sb="2" eb="4">
      <t>ジッセキ</t>
    </rPh>
    <phoneticPr fontId="22"/>
  </si>
  <si>
    <t>検査開始日時</t>
    <rPh sb="0" eb="2">
      <t>ケンサ</t>
    </rPh>
    <rPh sb="2" eb="4">
      <t>カイシ</t>
    </rPh>
    <rPh sb="4" eb="6">
      <t>ニチジ</t>
    </rPh>
    <phoneticPr fontId="22"/>
  </si>
  <si>
    <t>汎用マスタ</t>
    <rPh sb="0" eb="2">
      <t>ハンヨウ</t>
    </rPh>
    <phoneticPr fontId="22"/>
  </si>
  <si>
    <t>文字列１</t>
  </si>
  <si>
    <t>※1</t>
  </si>
  <si>
    <t>文字列６</t>
  </si>
  <si>
    <t>※2</t>
  </si>
  <si>
    <t>文字列２</t>
  </si>
  <si>
    <t>ヘッダの1~9と同じ。</t>
    <rPh sb="8" eb="9">
      <t>オナ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</si>
</sst>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);[Red]\(0.0\)"/>
    <numFmt numFmtId="177" formatCode="00"/>
  </numFmts>
  <fonts count="27"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8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20"/>
      <color indexed="10"/>
      <name val="Meiryo UI"/>
      <family val="3"/>
      <charset val="128"/>
    </font>
    <font>
      <b/>
      <sz val="1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b/>
      <sz val="9"/>
      <name val="Meiryo UI"/>
      <family val="3"/>
      <charset val="128"/>
    </font>
    <font>
      <sz val="16"/>
      <name val="ＭＳ ゴシック"/>
      <family val="3"/>
      <charset val="128"/>
    </font>
    <font>
      <sz val="12"/>
      <name val="ＭＳ Ｐゴシック"/>
      <family val="3"/>
      <charset val="128"/>
    </font>
    <font>
      <sz val="8"/>
      <name val="Meiryo UI"/>
      <family val="3"/>
      <charset val="128"/>
    </font>
    <font>
      <sz val="22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6" fillId="0" borderId="0"/>
    <xf numFmtId="0" fontId="25" fillId="0" borderId="0">
      <alignment vertical="center"/>
    </xf>
  </cellStyleXfs>
  <cellXfs count="517">
    <xf numFmtId="0" fontId="0" fillId="0" borderId="0" xfId="0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4" fillId="0" borderId="17" xfId="0" applyNumberFormat="1" applyFont="1" applyBorder="1" applyAlignment="1">
      <alignment horizontal="center" vertical="top"/>
    </xf>
    <xf numFmtId="0" fontId="14" fillId="0" borderId="18" xfId="0" applyNumberFormat="1" applyFont="1" applyBorder="1" applyAlignment="1">
      <alignment horizontal="center" vertical="top"/>
    </xf>
    <xf numFmtId="0" fontId="14" fillId="0" borderId="19" xfId="0" applyNumberFormat="1" applyFont="1" applyBorder="1" applyAlignment="1">
      <alignment horizontal="center" vertical="top"/>
    </xf>
    <xf numFmtId="0" fontId="20" fillId="3" borderId="57" xfId="0" applyFont="1" applyFill="1" applyBorder="1">
      <alignment vertical="center"/>
    </xf>
    <xf numFmtId="0" fontId="14" fillId="3" borderId="32" xfId="0" applyFont="1" applyFill="1" applyBorder="1">
      <alignment vertical="center"/>
    </xf>
    <xf numFmtId="0" fontId="14" fillId="3" borderId="39" xfId="0" applyFont="1" applyFill="1" applyBorder="1">
      <alignment vertical="center"/>
    </xf>
    <xf numFmtId="0" fontId="20" fillId="5" borderId="8" xfId="0" applyNumberFormat="1" applyFont="1" applyFill="1" applyBorder="1" applyAlignment="1">
      <alignment vertical="center"/>
    </xf>
    <xf numFmtId="0" fontId="14" fillId="5" borderId="9" xfId="0" applyNumberFormat="1" applyFont="1" applyFill="1" applyBorder="1" applyAlignment="1">
      <alignment vertical="center"/>
    </xf>
    <xf numFmtId="0" fontId="14" fillId="5" borderId="40" xfId="0" applyNumberFormat="1" applyFont="1" applyFill="1" applyBorder="1" applyAlignment="1">
      <alignment vertical="center"/>
    </xf>
    <xf numFmtId="0" fontId="14" fillId="4" borderId="8" xfId="0" applyNumberFormat="1" applyFont="1" applyFill="1" applyBorder="1" applyAlignment="1">
      <alignment vertical="center"/>
    </xf>
    <xf numFmtId="0" fontId="14" fillId="4" borderId="9" xfId="0" applyNumberFormat="1" applyFont="1" applyFill="1" applyBorder="1" applyAlignment="1">
      <alignment vertical="center"/>
    </xf>
    <xf numFmtId="0" fontId="14" fillId="4" borderId="11" xfId="0" applyNumberFormat="1" applyFont="1" applyFill="1" applyBorder="1" applyAlignment="1">
      <alignment vertical="center"/>
    </xf>
    <xf numFmtId="0" fontId="14" fillId="0" borderId="9" xfId="0" applyNumberFormat="1" applyFont="1" applyFill="1" applyBorder="1" applyAlignment="1">
      <alignment vertical="center"/>
    </xf>
    <xf numFmtId="0" fontId="14" fillId="0" borderId="11" xfId="0" applyNumberFormat="1" applyFont="1" applyFill="1" applyBorder="1" applyAlignment="1">
      <alignment vertical="center"/>
    </xf>
    <xf numFmtId="0" fontId="14" fillId="4" borderId="10" xfId="0" applyNumberFormat="1" applyFont="1" applyFill="1" applyBorder="1" applyAlignment="1">
      <alignment vertical="center"/>
    </xf>
    <xf numFmtId="0" fontId="14" fillId="0" borderId="10" xfId="0" applyNumberFormat="1" applyFont="1" applyFill="1" applyBorder="1" applyAlignment="1">
      <alignment vertical="center"/>
    </xf>
    <xf numFmtId="0" fontId="14" fillId="0" borderId="40" xfId="0" applyNumberFormat="1" applyFont="1" applyFill="1" applyBorder="1" applyAlignment="1">
      <alignment vertical="center"/>
    </xf>
    <xf numFmtId="49" fontId="14" fillId="6" borderId="8" xfId="0" applyNumberFormat="1" applyFont="1" applyFill="1" applyBorder="1" applyAlignment="1">
      <alignment vertical="center"/>
    </xf>
    <xf numFmtId="0" fontId="14" fillId="6" borderId="9" xfId="0" applyFont="1" applyFill="1" applyBorder="1" applyAlignment="1">
      <alignment vertical="center"/>
    </xf>
    <xf numFmtId="0" fontId="14" fillId="6" borderId="11" xfId="0" applyFont="1" applyFill="1" applyBorder="1" applyAlignment="1">
      <alignment vertical="center"/>
    </xf>
    <xf numFmtId="49" fontId="14" fillId="6" borderId="10" xfId="0" applyNumberFormat="1" applyFont="1" applyFill="1" applyBorder="1" applyAlignment="1">
      <alignment vertical="center"/>
    </xf>
    <xf numFmtId="0" fontId="14" fillId="6" borderId="9" xfId="0" applyNumberFormat="1" applyFont="1" applyFill="1" applyBorder="1" applyAlignment="1">
      <alignment vertical="center"/>
    </xf>
    <xf numFmtId="0" fontId="14" fillId="6" borderId="40" xfId="0" applyNumberFormat="1" applyFont="1" applyFill="1" applyBorder="1" applyAlignment="1">
      <alignment vertical="center"/>
    </xf>
    <xf numFmtId="0" fontId="14" fillId="0" borderId="8" xfId="0" applyNumberFormat="1" applyFont="1" applyFill="1" applyBorder="1" applyAlignment="1">
      <alignment vertical="center"/>
    </xf>
    <xf numFmtId="0" fontId="14" fillId="0" borderId="1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4" fillId="0" borderId="20" xfId="0" applyNumberFormat="1" applyFont="1" applyFill="1" applyBorder="1" applyAlignment="1">
      <alignment vertical="center"/>
    </xf>
    <xf numFmtId="0" fontId="20" fillId="3" borderId="8" xfId="0" applyFont="1" applyFill="1" applyBorder="1">
      <alignment vertical="center"/>
    </xf>
    <xf numFmtId="0" fontId="14" fillId="3" borderId="9" xfId="0" applyFont="1" applyFill="1" applyBorder="1">
      <alignment vertical="center"/>
    </xf>
    <xf numFmtId="0" fontId="14" fillId="3" borderId="40" xfId="0" applyFont="1" applyFill="1" applyBorder="1">
      <alignment vertical="center"/>
    </xf>
    <xf numFmtId="0" fontId="20" fillId="0" borderId="1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4" fillId="0" borderId="20" xfId="0" applyFont="1" applyFill="1" applyBorder="1">
      <alignment vertical="center"/>
    </xf>
    <xf numFmtId="0" fontId="14" fillId="0" borderId="0" xfId="0" applyFont="1" applyBorder="1">
      <alignment vertical="center"/>
    </xf>
    <xf numFmtId="0" fontId="20" fillId="2" borderId="58" xfId="0" applyFont="1" applyFill="1" applyBorder="1">
      <alignment vertical="center"/>
    </xf>
    <xf numFmtId="0" fontId="20" fillId="2" borderId="23" xfId="0" applyFont="1" applyFill="1" applyBorder="1">
      <alignment vertical="center"/>
    </xf>
    <xf numFmtId="0" fontId="20" fillId="5" borderId="21" xfId="0" applyFont="1" applyFill="1" applyBorder="1">
      <alignment vertical="center"/>
    </xf>
    <xf numFmtId="0" fontId="20" fillId="2" borderId="22" xfId="0" applyFont="1" applyFill="1" applyBorder="1">
      <alignment vertical="center"/>
    </xf>
    <xf numFmtId="0" fontId="20" fillId="5" borderId="22" xfId="0" applyFont="1" applyFill="1" applyBorder="1">
      <alignment vertical="center"/>
    </xf>
    <xf numFmtId="0" fontId="20" fillId="2" borderId="61" xfId="0" applyFont="1" applyFill="1" applyBorder="1">
      <alignment vertical="center"/>
    </xf>
    <xf numFmtId="0" fontId="20" fillId="2" borderId="27" xfId="0" applyFont="1" applyFill="1" applyBorder="1">
      <alignment vertical="center"/>
    </xf>
    <xf numFmtId="0" fontId="20" fillId="2" borderId="31" xfId="0" applyFont="1" applyFill="1" applyBorder="1">
      <alignment vertical="center"/>
    </xf>
    <xf numFmtId="0" fontId="20" fillId="2" borderId="10" xfId="0" applyFont="1" applyFill="1" applyBorder="1">
      <alignment vertical="center"/>
    </xf>
    <xf numFmtId="0" fontId="20" fillId="2" borderId="9" xfId="0" applyFont="1" applyFill="1" applyBorder="1">
      <alignment vertical="center"/>
    </xf>
    <xf numFmtId="0" fontId="20" fillId="2" borderId="42" xfId="0" applyFont="1" applyFill="1" applyBorder="1">
      <alignment vertical="center"/>
    </xf>
    <xf numFmtId="0" fontId="20" fillId="5" borderId="42" xfId="0" applyFont="1" applyFill="1" applyBorder="1">
      <alignment vertical="center"/>
    </xf>
    <xf numFmtId="0" fontId="20" fillId="2" borderId="30" xfId="0" applyFont="1" applyFill="1" applyBorder="1">
      <alignment vertical="center"/>
    </xf>
    <xf numFmtId="0" fontId="20" fillId="2" borderId="28" xfId="0" applyFont="1" applyFill="1" applyBorder="1">
      <alignment vertical="center"/>
    </xf>
    <xf numFmtId="0" fontId="20" fillId="2" borderId="29" xfId="0" applyFont="1" applyFill="1" applyBorder="1">
      <alignment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6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29" xfId="0" applyFont="1" applyBorder="1" applyAlignment="1">
      <alignment vertical="center"/>
    </xf>
    <xf numFmtId="49" fontId="14" fillId="0" borderId="2" xfId="0" applyNumberFormat="1" applyFont="1" applyBorder="1">
      <alignment vertical="center"/>
    </xf>
    <xf numFmtId="49" fontId="14" fillId="0" borderId="3" xfId="0" applyNumberFormat="1" applyFont="1" applyBorder="1">
      <alignment vertical="center"/>
    </xf>
    <xf numFmtId="49" fontId="14" fillId="0" borderId="34" xfId="0" applyNumberFormat="1" applyFont="1" applyBorder="1">
      <alignment vertical="center"/>
    </xf>
    <xf numFmtId="0" fontId="14" fillId="2" borderId="4" xfId="0" applyFont="1" applyFill="1" applyBorder="1">
      <alignment vertical="center"/>
    </xf>
    <xf numFmtId="0" fontId="14" fillId="2" borderId="5" xfId="0" applyFont="1" applyFill="1" applyBorder="1">
      <alignment vertical="center"/>
    </xf>
    <xf numFmtId="0" fontId="14" fillId="2" borderId="52" xfId="0" applyFont="1" applyFill="1" applyBorder="1">
      <alignment vertical="center"/>
    </xf>
    <xf numFmtId="0" fontId="14" fillId="0" borderId="1" xfId="0" applyFont="1" applyBorder="1">
      <alignment vertical="center"/>
    </xf>
    <xf numFmtId="0" fontId="14" fillId="0" borderId="20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3" xfId="0" applyFont="1" applyBorder="1">
      <alignment vertical="center"/>
    </xf>
    <xf numFmtId="0" fontId="14" fillId="0" borderId="34" xfId="0" applyFont="1" applyBorder="1">
      <alignment vertical="center"/>
    </xf>
    <xf numFmtId="0" fontId="18" fillId="2" borderId="49" xfId="0" applyNumberFormat="1" applyFont="1" applyFill="1" applyBorder="1" applyAlignment="1">
      <alignment vertical="center"/>
    </xf>
    <xf numFmtId="0" fontId="14" fillId="0" borderId="0" xfId="0" applyFont="1" applyAlignment="1">
      <alignment vertical="top"/>
    </xf>
    <xf numFmtId="0" fontId="20" fillId="2" borderId="50" xfId="0" applyFont="1" applyFill="1" applyBorder="1" applyAlignment="1">
      <alignment horizontal="center"/>
    </xf>
    <xf numFmtId="0" fontId="18" fillId="2" borderId="50" xfId="0" applyNumberFormat="1" applyFont="1" applyFill="1" applyBorder="1" applyAlignment="1">
      <alignment vertical="center"/>
    </xf>
    <xf numFmtId="0" fontId="20" fillId="3" borderId="6" xfId="0" applyFont="1" applyFill="1" applyBorder="1" applyAlignment="1">
      <alignment vertical="center"/>
    </xf>
    <xf numFmtId="0" fontId="14" fillId="3" borderId="7" xfId="0" applyFont="1" applyFill="1" applyBorder="1" applyAlignment="1">
      <alignment vertical="center"/>
    </xf>
    <xf numFmtId="0" fontId="14" fillId="3" borderId="7" xfId="0" applyFont="1" applyFill="1" applyBorder="1" applyAlignment="1">
      <alignment horizontal="center" vertical="center"/>
    </xf>
    <xf numFmtId="0" fontId="15" fillId="0" borderId="0" xfId="1" applyFont="1">
      <alignment vertical="center"/>
    </xf>
    <xf numFmtId="0" fontId="14" fillId="0" borderId="14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14" fillId="0" borderId="21" xfId="1" applyFont="1" applyBorder="1" applyAlignment="1">
      <alignment vertical="center"/>
    </xf>
    <xf numFmtId="0" fontId="14" fillId="0" borderId="30" xfId="1" applyFont="1" applyBorder="1" applyAlignment="1">
      <alignment vertical="center"/>
    </xf>
    <xf numFmtId="49" fontId="8" fillId="0" borderId="14" xfId="0" applyNumberFormat="1" applyFont="1" applyFill="1" applyBorder="1">
      <alignment vertical="center"/>
    </xf>
    <xf numFmtId="49" fontId="8" fillId="0" borderId="0" xfId="0" applyNumberFormat="1" applyFont="1" applyFill="1" applyBorder="1">
      <alignment vertical="center"/>
    </xf>
    <xf numFmtId="49" fontId="8" fillId="0" borderId="15" xfId="0" applyNumberFormat="1" applyFont="1" applyFill="1" applyBorder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8" fillId="0" borderId="30" xfId="0" applyNumberFormat="1" applyFont="1" applyFill="1" applyBorder="1">
      <alignment vertical="center"/>
    </xf>
    <xf numFmtId="49" fontId="8" fillId="0" borderId="28" xfId="0" applyNumberFormat="1" applyFont="1" applyFill="1" applyBorder="1">
      <alignment vertical="center"/>
    </xf>
    <xf numFmtId="49" fontId="8" fillId="0" borderId="31" xfId="0" applyNumberFormat="1" applyFont="1" applyFill="1" applyBorder="1">
      <alignment vertical="center"/>
    </xf>
    <xf numFmtId="49" fontId="12" fillId="0" borderId="0" xfId="0" applyNumberFormat="1" applyFont="1" applyFill="1" applyBorder="1">
      <alignment vertical="center"/>
    </xf>
    <xf numFmtId="49" fontId="11" fillId="0" borderId="0" xfId="0" applyNumberFormat="1" applyFont="1" applyFill="1" applyBorder="1">
      <alignment vertical="center"/>
    </xf>
    <xf numFmtId="49" fontId="9" fillId="0" borderId="0" xfId="0" applyNumberFormat="1" applyFont="1" applyFill="1" applyBorder="1" applyAlignment="1"/>
    <xf numFmtId="49" fontId="9" fillId="0" borderId="0" xfId="0" applyNumberFormat="1" applyFont="1" applyFill="1" applyBorder="1">
      <alignment vertical="center"/>
    </xf>
    <xf numFmtId="49" fontId="6" fillId="0" borderId="0" xfId="0" applyNumberFormat="1" applyFont="1" applyFill="1" applyBorder="1">
      <alignment vertical="center"/>
    </xf>
    <xf numFmtId="49" fontId="8" fillId="0" borderId="10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12" fillId="0" borderId="10" xfId="0" applyNumberFormat="1" applyFont="1" applyFill="1" applyBorder="1" applyAlignment="1">
      <alignment vertical="center"/>
    </xf>
    <xf numFmtId="49" fontId="8" fillId="0" borderId="9" xfId="0" applyNumberFormat="1" applyFont="1" applyFill="1" applyBorder="1" applyAlignment="1">
      <alignment vertical="center"/>
    </xf>
    <xf numFmtId="49" fontId="8" fillId="0" borderId="11" xfId="0" applyNumberFormat="1" applyFont="1" applyFill="1" applyBorder="1" applyAlignment="1">
      <alignment vertical="center"/>
    </xf>
    <xf numFmtId="49" fontId="8" fillId="0" borderId="28" xfId="0" applyNumberFormat="1" applyFont="1" applyFill="1" applyBorder="1" applyAlignment="1">
      <alignment vertical="center"/>
    </xf>
    <xf numFmtId="49" fontId="12" fillId="0" borderId="9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12" fillId="0" borderId="0" xfId="0" applyNumberFormat="1" applyFont="1" applyFill="1" applyBorder="1" applyAlignment="1">
      <alignment vertical="center"/>
    </xf>
    <xf numFmtId="49" fontId="8" fillId="0" borderId="28" xfId="0" applyNumberFormat="1" applyFont="1" applyFill="1" applyBorder="1" applyAlignment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49" fontId="10" fillId="0" borderId="9" xfId="0" applyNumberFormat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49" fontId="21" fillId="0" borderId="9" xfId="0" applyNumberFormat="1" applyFont="1" applyFill="1" applyBorder="1" applyAlignment="1">
      <alignment vertical="center"/>
    </xf>
    <xf numFmtId="49" fontId="8" fillId="0" borderId="30" xfId="0" applyNumberFormat="1" applyFont="1" applyFill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49" fontId="8" fillId="0" borderId="21" xfId="0" applyNumberFormat="1" applyFont="1" applyFill="1" applyBorder="1" applyAlignment="1">
      <alignment vertical="center"/>
    </xf>
    <xf numFmtId="49" fontId="8" fillId="0" borderId="30" xfId="0" applyNumberFormat="1" applyFont="1" applyFill="1" applyBorder="1" applyAlignment="1">
      <alignment vertical="center"/>
    </xf>
    <xf numFmtId="49" fontId="12" fillId="0" borderId="28" xfId="0" applyNumberFormat="1" applyFont="1" applyFill="1" applyBorder="1" applyAlignment="1">
      <alignment vertical="center"/>
    </xf>
    <xf numFmtId="49" fontId="12" fillId="0" borderId="9" xfId="0" applyNumberFormat="1" applyFont="1" applyFill="1" applyBorder="1" applyAlignment="1">
      <alignment horizontal="right" vertical="center"/>
    </xf>
    <xf numFmtId="49" fontId="11" fillId="0" borderId="0" xfId="0" applyNumberFormat="1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vertical="center"/>
    </xf>
    <xf numFmtId="49" fontId="8" fillId="0" borderId="14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vertical="center"/>
    </xf>
    <xf numFmtId="0" fontId="14" fillId="0" borderId="21" xfId="1" applyFont="1" applyFill="1" applyBorder="1" applyAlignment="1">
      <alignment vertical="center"/>
    </xf>
    <xf numFmtId="49" fontId="6" fillId="0" borderId="9" xfId="0" applyNumberFormat="1" applyFont="1" applyFill="1" applyBorder="1" applyAlignment="1">
      <alignment vertical="center"/>
    </xf>
    <xf numFmtId="49" fontId="8" fillId="0" borderId="31" xfId="0" applyNumberFormat="1" applyFont="1" applyFill="1" applyBorder="1" applyAlignment="1">
      <alignment vertical="center"/>
    </xf>
    <xf numFmtId="49" fontId="9" fillId="0" borderId="9" xfId="0" applyNumberFormat="1" applyFont="1" applyFill="1" applyBorder="1" applyAlignment="1">
      <alignment vertical="center"/>
    </xf>
    <xf numFmtId="0" fontId="23" fillId="0" borderId="65" xfId="0" quotePrefix="1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left" vertical="center"/>
    </xf>
    <xf numFmtId="49" fontId="8" fillId="0" borderId="10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8" fillId="0" borderId="10" xfId="0" applyNumberFormat="1" applyFont="1" applyFill="1" applyBorder="1" applyAlignment="1">
      <alignment vertical="center"/>
    </xf>
    <xf numFmtId="49" fontId="6" fillId="0" borderId="21" xfId="0" applyNumberFormat="1" applyFont="1" applyFill="1" applyBorder="1">
      <alignment vertical="center"/>
    </xf>
    <xf numFmtId="49" fontId="6" fillId="0" borderId="22" xfId="0" applyNumberFormat="1" applyFont="1" applyFill="1" applyBorder="1" applyAlignment="1">
      <alignment horizontal="right" vertical="center"/>
    </xf>
    <xf numFmtId="49" fontId="6" fillId="0" borderId="14" xfId="0" applyNumberFormat="1" applyFont="1" applyFill="1" applyBorder="1">
      <alignment vertical="center"/>
    </xf>
    <xf numFmtId="49" fontId="10" fillId="0" borderId="10" xfId="0" applyNumberFormat="1" applyFont="1" applyFill="1" applyBorder="1" applyAlignment="1">
      <alignment horizontal="left" vertical="center"/>
    </xf>
    <xf numFmtId="49" fontId="10" fillId="0" borderId="42" xfId="0" applyNumberFormat="1" applyFont="1" applyFill="1" applyBorder="1" applyAlignment="1">
      <alignment vertical="center"/>
    </xf>
    <xf numFmtId="49" fontId="10" fillId="0" borderId="9" xfId="0" applyNumberFormat="1" applyFont="1" applyFill="1" applyBorder="1" applyAlignment="1">
      <alignment horizontal="right" vertical="center"/>
    </xf>
    <xf numFmtId="49" fontId="10" fillId="0" borderId="28" xfId="0" applyNumberFormat="1" applyFont="1" applyFill="1" applyBorder="1" applyAlignment="1">
      <alignment vertical="center"/>
    </xf>
    <xf numFmtId="49" fontId="10" fillId="0" borderId="10" xfId="0" applyNumberFormat="1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shrinkToFit="1"/>
    </xf>
    <xf numFmtId="0" fontId="14" fillId="0" borderId="30" xfId="0" applyFont="1" applyBorder="1" applyAlignment="1">
      <alignment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177" fontId="14" fillId="0" borderId="10" xfId="0" applyNumberFormat="1" applyFont="1" applyBorder="1" applyAlignment="1">
      <alignment horizontal="center" vertical="top"/>
    </xf>
    <xf numFmtId="0" fontId="14" fillId="0" borderId="10" xfId="0" applyFont="1" applyBorder="1" applyAlignment="1">
      <alignment vertical="top" wrapText="1"/>
    </xf>
    <xf numFmtId="0" fontId="20" fillId="2" borderId="16" xfId="0" applyFont="1" applyFill="1" applyBorder="1" applyAlignment="1">
      <alignment horizontal="center"/>
    </xf>
    <xf numFmtId="0" fontId="14" fillId="0" borderId="12" xfId="0" applyFont="1" applyBorder="1" applyAlignment="1">
      <alignment vertical="top" wrapText="1"/>
    </xf>
    <xf numFmtId="14" fontId="14" fillId="0" borderId="46" xfId="0" applyNumberFormat="1" applyFont="1" applyBorder="1" applyAlignment="1">
      <alignment horizontal="center" vertical="top"/>
    </xf>
    <xf numFmtId="0" fontId="14" fillId="0" borderId="48" xfId="0" applyFont="1" applyBorder="1" applyAlignment="1">
      <alignment horizontal="center" vertical="top"/>
    </xf>
    <xf numFmtId="0" fontId="20" fillId="2" borderId="45" xfId="0" applyFont="1" applyFill="1" applyBorder="1" applyAlignment="1">
      <alignment horizontal="center"/>
    </xf>
    <xf numFmtId="0" fontId="14" fillId="0" borderId="46" xfId="0" applyFont="1" applyBorder="1" applyAlignment="1">
      <alignment horizontal="center" vertical="top"/>
    </xf>
    <xf numFmtId="0" fontId="14" fillId="0" borderId="43" xfId="0" applyFont="1" applyBorder="1" applyAlignment="1">
      <alignment horizontal="center" vertical="top"/>
    </xf>
    <xf numFmtId="177" fontId="14" fillId="0" borderId="38" xfId="0" applyNumberFormat="1" applyFont="1" applyBorder="1" applyAlignment="1">
      <alignment horizontal="center" vertical="top"/>
    </xf>
    <xf numFmtId="0" fontId="14" fillId="0" borderId="38" xfId="0" applyFont="1" applyBorder="1" applyAlignment="1">
      <alignment vertical="top" wrapText="1"/>
    </xf>
    <xf numFmtId="177" fontId="14" fillId="0" borderId="8" xfId="0" applyNumberFormat="1" applyFont="1" applyBorder="1" applyAlignment="1">
      <alignment horizontal="center" vertical="top"/>
    </xf>
    <xf numFmtId="0" fontId="14" fillId="0" borderId="46" xfId="0" applyNumberFormat="1" applyFont="1" applyBorder="1" applyAlignment="1">
      <alignment horizontal="center" vertical="top"/>
    </xf>
    <xf numFmtId="0" fontId="14" fillId="0" borderId="10" xfId="0" applyNumberFormat="1" applyFont="1" applyBorder="1" applyAlignment="1">
      <alignment horizontal="center" vertical="top"/>
    </xf>
    <xf numFmtId="0" fontId="14" fillId="0" borderId="43" xfId="0" applyNumberFormat="1" applyFont="1" applyBorder="1" applyAlignment="1">
      <alignment horizontal="center" vertical="top"/>
    </xf>
    <xf numFmtId="0" fontId="20" fillId="2" borderId="24" xfId="0" applyFont="1" applyFill="1" applyBorder="1" applyAlignment="1">
      <alignment horizontal="center"/>
    </xf>
    <xf numFmtId="0" fontId="14" fillId="5" borderId="51" xfId="0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0" fontId="14" fillId="5" borderId="50" xfId="0" applyFont="1" applyFill="1" applyBorder="1" applyAlignment="1">
      <alignment horizontal="center"/>
    </xf>
    <xf numFmtId="177" fontId="14" fillId="0" borderId="55" xfId="0" applyNumberFormat="1" applyFont="1" applyBorder="1" applyAlignment="1">
      <alignment horizontal="center" vertical="top"/>
    </xf>
    <xf numFmtId="0" fontId="14" fillId="0" borderId="30" xfId="0" applyFont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10" xfId="0" quotePrefix="1" applyFont="1" applyBorder="1" applyAlignment="1">
      <alignment horizontal="center" vertical="center" wrapText="1"/>
    </xf>
    <xf numFmtId="0" fontId="20" fillId="7" borderId="33" xfId="0" applyFont="1" applyFill="1" applyBorder="1">
      <alignment vertical="center"/>
    </xf>
    <xf numFmtId="0" fontId="14" fillId="0" borderId="74" xfId="0" applyFont="1" applyBorder="1">
      <alignment vertical="center"/>
    </xf>
    <xf numFmtId="0" fontId="20" fillId="7" borderId="74" xfId="0" applyFont="1" applyFill="1" applyBorder="1">
      <alignment vertical="center"/>
    </xf>
    <xf numFmtId="14" fontId="14" fillId="0" borderId="74" xfId="0" applyNumberFormat="1" applyFont="1" applyFill="1" applyBorder="1" applyAlignment="1">
      <alignment horizontal="center" shrinkToFit="1"/>
    </xf>
    <xf numFmtId="0" fontId="20" fillId="7" borderId="75" xfId="0" applyFont="1" applyFill="1" applyBorder="1">
      <alignment vertical="center"/>
    </xf>
    <xf numFmtId="0" fontId="20" fillId="7" borderId="11" xfId="0" applyFont="1" applyFill="1" applyBorder="1">
      <alignment vertical="center"/>
    </xf>
    <xf numFmtId="0" fontId="14" fillId="0" borderId="42" xfId="0" applyFont="1" applyBorder="1">
      <alignment vertical="center"/>
    </xf>
    <xf numFmtId="0" fontId="20" fillId="7" borderId="42" xfId="0" applyFont="1" applyFill="1" applyBorder="1">
      <alignment vertical="center"/>
    </xf>
    <xf numFmtId="14" fontId="14" fillId="0" borderId="42" xfId="0" applyNumberFormat="1" applyFont="1" applyBorder="1" applyAlignment="1">
      <alignment horizontal="center" shrinkToFit="1"/>
    </xf>
    <xf numFmtId="0" fontId="20" fillId="7" borderId="37" xfId="0" applyFont="1" applyFill="1" applyBorder="1">
      <alignment vertical="center"/>
    </xf>
    <xf numFmtId="0" fontId="14" fillId="0" borderId="78" xfId="0" applyFont="1" applyBorder="1">
      <alignment vertical="center"/>
    </xf>
    <xf numFmtId="0" fontId="20" fillId="7" borderId="78" xfId="0" applyFont="1" applyFill="1" applyBorder="1">
      <alignment vertical="center"/>
    </xf>
    <xf numFmtId="177" fontId="14" fillId="0" borderId="78" xfId="0" applyNumberFormat="1" applyFont="1" applyFill="1" applyBorder="1" applyAlignment="1">
      <alignment horizontal="center" shrinkToFit="1"/>
    </xf>
    <xf numFmtId="0" fontId="20" fillId="0" borderId="0" xfId="0" applyFont="1" applyAlignment="1">
      <alignment horizontal="center" vertical="center"/>
    </xf>
    <xf numFmtId="0" fontId="20" fillId="2" borderId="4" xfId="0" applyFont="1" applyFill="1" applyBorder="1" applyAlignment="1">
      <alignment horizontal="center"/>
    </xf>
    <xf numFmtId="0" fontId="20" fillId="2" borderId="79" xfId="0" applyFont="1" applyFill="1" applyBorder="1" applyAlignment="1">
      <alignment horizontal="center"/>
    </xf>
    <xf numFmtId="177" fontId="14" fillId="0" borderId="80" xfId="0" applyNumberFormat="1" applyFont="1" applyBorder="1" applyAlignment="1">
      <alignment horizontal="center" vertical="top"/>
    </xf>
    <xf numFmtId="0" fontId="14" fillId="0" borderId="10" xfId="0" applyFont="1" applyBorder="1" applyAlignment="1">
      <alignment horizontal="left" vertical="top" wrapText="1"/>
    </xf>
    <xf numFmtId="0" fontId="20" fillId="2" borderId="59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center"/>
    </xf>
    <xf numFmtId="177" fontId="14" fillId="0" borderId="27" xfId="0" applyNumberFormat="1" applyFont="1" applyBorder="1" applyAlignment="1">
      <alignment horizontal="center" vertical="top"/>
    </xf>
    <xf numFmtId="14" fontId="14" fillId="0" borderId="71" xfId="0" applyNumberFormat="1" applyFont="1" applyBorder="1" applyAlignment="1">
      <alignment horizontal="center" vertical="top"/>
    </xf>
    <xf numFmtId="0" fontId="14" fillId="0" borderId="30" xfId="0" applyFont="1" applyBorder="1" applyAlignment="1">
      <alignment vertical="top" wrapText="1"/>
    </xf>
    <xf numFmtId="0" fontId="14" fillId="0" borderId="68" xfId="0" applyNumberFormat="1" applyFont="1" applyBorder="1" applyAlignment="1">
      <alignment horizontal="center" vertical="top"/>
    </xf>
    <xf numFmtId="0" fontId="14" fillId="0" borderId="42" xfId="0" applyFont="1" applyBorder="1" applyAlignment="1">
      <alignment horizontal="center" vertical="top"/>
    </xf>
    <xf numFmtId="0" fontId="14" fillId="0" borderId="78" xfId="0" applyFont="1" applyBorder="1" applyAlignment="1">
      <alignment horizontal="center" vertical="top"/>
    </xf>
    <xf numFmtId="0" fontId="19" fillId="0" borderId="54" xfId="0" applyFont="1" applyFill="1" applyBorder="1" applyAlignment="1">
      <alignment horizontal="center" vertical="top" wrapText="1"/>
    </xf>
    <xf numFmtId="0" fontId="19" fillId="0" borderId="72" xfId="0" applyFont="1" applyFill="1" applyBorder="1" applyAlignment="1">
      <alignment horizontal="center" vertical="top" wrapText="1"/>
    </xf>
    <xf numFmtId="0" fontId="14" fillId="0" borderId="7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top" wrapText="1"/>
    </xf>
    <xf numFmtId="177" fontId="14" fillId="0" borderId="6" xfId="0" applyNumberFormat="1" applyFont="1" applyBorder="1" applyAlignment="1">
      <alignment horizontal="center" vertical="top"/>
    </xf>
    <xf numFmtId="14" fontId="14" fillId="0" borderId="80" xfId="0" applyNumberFormat="1" applyFont="1" applyBorder="1" applyAlignment="1">
      <alignment horizontal="center" vertical="top" shrinkToFit="1"/>
    </xf>
    <xf numFmtId="0" fontId="14" fillId="0" borderId="48" xfId="0" applyNumberFormat="1" applyFont="1" applyBorder="1" applyAlignment="1">
      <alignment horizontal="center"/>
    </xf>
    <xf numFmtId="0" fontId="14" fillId="3" borderId="7" xfId="0" applyFont="1" applyFill="1" applyBorder="1" applyAlignment="1">
      <alignment horizontal="right" vertical="center"/>
    </xf>
    <xf numFmtId="0" fontId="14" fillId="0" borderId="10" xfId="0" applyFont="1" applyBorder="1" applyAlignment="1">
      <alignment horizontal="right" vertical="center" wrapText="1"/>
    </xf>
    <xf numFmtId="0" fontId="14" fillId="0" borderId="30" xfId="0" applyFont="1" applyBorder="1" applyAlignment="1">
      <alignment horizontal="right" vertical="center" wrapText="1"/>
    </xf>
    <xf numFmtId="0" fontId="14" fillId="0" borderId="10" xfId="0" quotePrefix="1" applyFont="1" applyBorder="1" applyAlignment="1">
      <alignment horizontal="right" vertical="center"/>
    </xf>
    <xf numFmtId="0" fontId="14" fillId="0" borderId="30" xfId="0" quotePrefix="1" applyFont="1" applyBorder="1" applyAlignment="1">
      <alignment horizontal="right" vertical="center"/>
    </xf>
    <xf numFmtId="0" fontId="19" fillId="0" borderId="9" xfId="0" quotePrefix="1" applyNumberFormat="1" applyFont="1" applyFill="1" applyBorder="1" applyAlignment="1">
      <alignment horizontal="center" vertical="center"/>
    </xf>
    <xf numFmtId="0" fontId="19" fillId="0" borderId="9" xfId="0" applyNumberFormat="1" applyFont="1" applyFill="1" applyBorder="1" applyAlignment="1">
      <alignment horizontal="center" vertical="center"/>
    </xf>
    <xf numFmtId="0" fontId="19" fillId="0" borderId="10" xfId="0" quotePrefix="1" applyNumberFormat="1" applyFont="1" applyFill="1" applyBorder="1" applyAlignment="1">
      <alignment horizontal="center" vertical="center"/>
    </xf>
    <xf numFmtId="0" fontId="19" fillId="0" borderId="28" xfId="0" applyNumberFormat="1" applyFont="1" applyFill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top" shrinkToFit="1"/>
    </xf>
    <xf numFmtId="14" fontId="14" fillId="0" borderId="10" xfId="0" applyNumberFormat="1" applyFont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0" fontId="14" fillId="0" borderId="38" xfId="0" applyFont="1" applyBorder="1" applyAlignment="1">
      <alignment horizontal="center" vertical="top"/>
    </xf>
    <xf numFmtId="0" fontId="20" fillId="2" borderId="62" xfId="0" applyFont="1" applyFill="1" applyBorder="1" applyAlignment="1">
      <alignment horizontal="center"/>
    </xf>
    <xf numFmtId="0" fontId="14" fillId="0" borderId="12" xfId="0" applyNumberFormat="1" applyFont="1" applyBorder="1" applyAlignment="1">
      <alignment horizontal="center" shrinkToFit="1"/>
    </xf>
    <xf numFmtId="0" fontId="14" fillId="0" borderId="30" xfId="0" applyNumberFormat="1" applyFont="1" applyBorder="1" applyAlignment="1">
      <alignment horizontal="center" vertical="top"/>
    </xf>
    <xf numFmtId="0" fontId="14" fillId="0" borderId="38" xfId="0" applyNumberFormat="1" applyFont="1" applyBorder="1" applyAlignment="1">
      <alignment horizontal="center" vertical="top"/>
    </xf>
    <xf numFmtId="0" fontId="20" fillId="2" borderId="74" xfId="0" applyFont="1" applyFill="1" applyBorder="1" applyAlignment="1">
      <alignment horizontal="left"/>
    </xf>
    <xf numFmtId="0" fontId="14" fillId="0" borderId="18" xfId="1" applyFont="1" applyBorder="1" applyAlignment="1">
      <alignment vertical="center"/>
    </xf>
    <xf numFmtId="0" fontId="14" fillId="0" borderId="81" xfId="1" applyFont="1" applyBorder="1" applyAlignment="1">
      <alignment horizontal="left" vertical="center"/>
    </xf>
    <xf numFmtId="0" fontId="14" fillId="0" borderId="82" xfId="1" applyFont="1" applyBorder="1" applyAlignment="1">
      <alignment horizontal="left" vertical="center"/>
    </xf>
    <xf numFmtId="0" fontId="14" fillId="0" borderId="82" xfId="1" applyFont="1" applyBorder="1" applyAlignment="1">
      <alignment vertical="center"/>
    </xf>
    <xf numFmtId="0" fontId="14" fillId="0" borderId="38" xfId="1" applyFont="1" applyBorder="1" applyAlignment="1">
      <alignment vertical="center"/>
    </xf>
    <xf numFmtId="0" fontId="15" fillId="0" borderId="25" xfId="1" applyFont="1" applyBorder="1">
      <alignment vertical="center"/>
    </xf>
    <xf numFmtId="0" fontId="15" fillId="0" borderId="0" xfId="1" applyFont="1" applyBorder="1">
      <alignment vertical="center"/>
    </xf>
    <xf numFmtId="0" fontId="14" fillId="0" borderId="86" xfId="1" applyFont="1" applyBorder="1" applyAlignment="1">
      <alignment vertical="center"/>
    </xf>
    <xf numFmtId="0" fontId="14" fillId="0" borderId="13" xfId="1" applyFont="1" applyBorder="1" applyAlignment="1">
      <alignment vertical="center"/>
    </xf>
    <xf numFmtId="0" fontId="14" fillId="0" borderId="87" xfId="1" applyFont="1" applyBorder="1" applyAlignment="1">
      <alignment horizontal="left" vertical="center"/>
    </xf>
    <xf numFmtId="0" fontId="14" fillId="0" borderId="56" xfId="1" applyFont="1" applyBorder="1" applyAlignment="1">
      <alignment vertical="center"/>
    </xf>
    <xf numFmtId="0" fontId="14" fillId="0" borderId="86" xfId="1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/>
    </xf>
    <xf numFmtId="0" fontId="20" fillId="2" borderId="49" xfId="0" applyFont="1" applyFill="1" applyBorder="1" applyAlignment="1">
      <alignment vertical="top"/>
    </xf>
    <xf numFmtId="0" fontId="20" fillId="2" borderId="50" xfId="0" applyFont="1" applyFill="1" applyBorder="1" applyAlignment="1">
      <alignment vertical="top"/>
    </xf>
    <xf numFmtId="0" fontId="14" fillId="3" borderId="44" xfId="0" applyFont="1" applyFill="1" applyBorder="1" applyAlignment="1">
      <alignment vertical="center"/>
    </xf>
    <xf numFmtId="0" fontId="14" fillId="0" borderId="81" xfId="0" applyFont="1" applyBorder="1" applyAlignment="1">
      <alignment vertical="center" wrapText="1"/>
    </xf>
    <xf numFmtId="0" fontId="14" fillId="0" borderId="81" xfId="0" applyFont="1" applyBorder="1" applyAlignment="1">
      <alignment vertical="center"/>
    </xf>
    <xf numFmtId="0" fontId="14" fillId="0" borderId="86" xfId="0" applyFont="1" applyBorder="1" applyAlignment="1">
      <alignment vertical="center"/>
    </xf>
    <xf numFmtId="0" fontId="14" fillId="0" borderId="55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right" vertical="center" wrapText="1"/>
    </xf>
    <xf numFmtId="0" fontId="14" fillId="0" borderId="38" xfId="0" applyFont="1" applyBorder="1" applyAlignment="1">
      <alignment vertical="center"/>
    </xf>
    <xf numFmtId="0" fontId="14" fillId="0" borderId="38" xfId="0" applyFont="1" applyBorder="1" applyAlignment="1">
      <alignment horizontal="center" vertical="center" wrapText="1"/>
    </xf>
    <xf numFmtId="0" fontId="19" fillId="0" borderId="89" xfId="0" applyFont="1" applyFill="1" applyBorder="1" applyAlignment="1">
      <alignment horizontal="center" vertical="top" wrapText="1"/>
    </xf>
    <xf numFmtId="0" fontId="19" fillId="0" borderId="36" xfId="0" quotePrefix="1" applyNumberFormat="1" applyFont="1" applyFill="1" applyBorder="1" applyAlignment="1">
      <alignment horizontal="center" vertical="center"/>
    </xf>
    <xf numFmtId="0" fontId="14" fillId="0" borderId="84" xfId="0" applyFont="1" applyBorder="1" applyAlignment="1">
      <alignment vertical="center" wrapText="1"/>
    </xf>
    <xf numFmtId="0" fontId="14" fillId="0" borderId="90" xfId="0" applyFont="1" applyBorder="1" applyAlignment="1">
      <alignment horizontal="left" vertical="top"/>
    </xf>
    <xf numFmtId="0" fontId="14" fillId="0" borderId="86" xfId="0" applyFont="1" applyBorder="1" applyAlignment="1">
      <alignment horizontal="left" vertical="top"/>
    </xf>
    <xf numFmtId="0" fontId="14" fillId="0" borderId="81" xfId="0" applyFont="1" applyBorder="1" applyAlignment="1">
      <alignment horizontal="left" vertical="top"/>
    </xf>
    <xf numFmtId="0" fontId="14" fillId="0" borderId="84" xfId="0" applyFont="1" applyBorder="1" applyAlignment="1">
      <alignment horizontal="left" vertical="top"/>
    </xf>
    <xf numFmtId="0" fontId="20" fillId="2" borderId="91" xfId="0" applyFont="1" applyFill="1" applyBorder="1" applyAlignment="1">
      <alignment horizontal="center"/>
    </xf>
    <xf numFmtId="0" fontId="14" fillId="2" borderId="92" xfId="0" applyFont="1" applyFill="1" applyBorder="1">
      <alignment vertical="center"/>
    </xf>
    <xf numFmtId="0" fontId="14" fillId="2" borderId="93" xfId="0" applyFont="1" applyFill="1" applyBorder="1">
      <alignment vertical="center"/>
    </xf>
    <xf numFmtId="0" fontId="14" fillId="2" borderId="94" xfId="0" applyFont="1" applyFill="1" applyBorder="1">
      <alignment vertical="center"/>
    </xf>
    <xf numFmtId="0" fontId="17" fillId="5" borderId="73" xfId="0" applyFont="1" applyFill="1" applyBorder="1" applyAlignment="1">
      <alignment horizontal="center" vertical="center"/>
    </xf>
    <xf numFmtId="0" fontId="17" fillId="5" borderId="76" xfId="0" applyFont="1" applyFill="1" applyBorder="1" applyAlignment="1">
      <alignment horizontal="center" vertical="center"/>
    </xf>
    <xf numFmtId="0" fontId="17" fillId="5" borderId="77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176" fontId="15" fillId="0" borderId="21" xfId="0" applyNumberFormat="1" applyFont="1" applyBorder="1" applyAlignment="1">
      <alignment horizontal="left" vertical="center"/>
    </xf>
    <xf numFmtId="176" fontId="15" fillId="0" borderId="22" xfId="0" applyNumberFormat="1" applyFont="1" applyBorder="1" applyAlignment="1">
      <alignment horizontal="left" vertical="center"/>
    </xf>
    <xf numFmtId="176" fontId="15" fillId="0" borderId="23" xfId="0" applyNumberFormat="1" applyFont="1" applyBorder="1" applyAlignment="1">
      <alignment horizontal="left" vertical="center"/>
    </xf>
    <xf numFmtId="14" fontId="13" fillId="3" borderId="10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5" fillId="3" borderId="9" xfId="0" applyFont="1" applyFill="1" applyBorder="1">
      <alignment vertical="center"/>
    </xf>
    <xf numFmtId="0" fontId="15" fillId="3" borderId="11" xfId="0" applyFont="1" applyFill="1" applyBorder="1">
      <alignment vertical="center"/>
    </xf>
    <xf numFmtId="0" fontId="13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>
      <alignment vertical="center"/>
    </xf>
    <xf numFmtId="0" fontId="15" fillId="3" borderId="23" xfId="0" applyFont="1" applyFill="1" applyBorder="1">
      <alignment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177" fontId="15" fillId="0" borderId="10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177" fontId="15" fillId="0" borderId="11" xfId="0" applyNumberFormat="1" applyFont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 wrapText="1"/>
    </xf>
    <xf numFmtId="0" fontId="15" fillId="0" borderId="10" xfId="0" quotePrefix="1" applyFont="1" applyBorder="1" applyAlignment="1">
      <alignment horizontal="left" vertical="center"/>
    </xf>
    <xf numFmtId="177" fontId="15" fillId="0" borderId="10" xfId="0" applyNumberFormat="1" applyFont="1" applyBorder="1" applyAlignment="1">
      <alignment horizontal="left" vertical="center"/>
    </xf>
    <xf numFmtId="177" fontId="15" fillId="0" borderId="9" xfId="0" applyNumberFormat="1" applyFont="1" applyBorder="1" applyAlignment="1">
      <alignment horizontal="left" vertical="center"/>
    </xf>
    <xf numFmtId="177" fontId="15" fillId="0" borderId="11" xfId="0" applyNumberFormat="1" applyFont="1" applyBorder="1" applyAlignment="1">
      <alignment horizontal="left" vertical="center"/>
    </xf>
    <xf numFmtId="14" fontId="15" fillId="0" borderId="10" xfId="0" applyNumberFormat="1" applyFont="1" applyBorder="1" applyAlignment="1">
      <alignment horizontal="left" vertical="center"/>
    </xf>
    <xf numFmtId="0" fontId="20" fillId="2" borderId="35" xfId="0" applyFont="1" applyFill="1" applyBorder="1" applyAlignment="1">
      <alignment horizontal="center" shrinkToFit="1"/>
    </xf>
    <xf numFmtId="0" fontId="14" fillId="0" borderId="32" xfId="0" applyFont="1" applyBorder="1" applyAlignment="1">
      <alignment horizontal="center" shrinkToFit="1"/>
    </xf>
    <xf numFmtId="0" fontId="20" fillId="2" borderId="35" xfId="0" applyFont="1" applyFill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20" fillId="2" borderId="88" xfId="0" applyFont="1" applyFill="1" applyBorder="1" applyAlignment="1">
      <alignment horizontal="center"/>
    </xf>
    <xf numFmtId="0" fontId="14" fillId="0" borderId="83" xfId="0" applyFont="1" applyBorder="1" applyAlignment="1">
      <alignment horizontal="center"/>
    </xf>
    <xf numFmtId="0" fontId="14" fillId="0" borderId="58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7" fillId="2" borderId="24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14" fillId="0" borderId="33" xfId="0" applyFont="1" applyBorder="1" applyAlignment="1">
      <alignment horizontal="left"/>
    </xf>
    <xf numFmtId="0" fontId="14" fillId="0" borderId="35" xfId="0" applyFont="1" applyBorder="1" applyAlignment="1">
      <alignment horizontal="left" shrinkToFit="1"/>
    </xf>
    <xf numFmtId="0" fontId="14" fillId="0" borderId="32" xfId="0" applyFont="1" applyBorder="1" applyAlignment="1">
      <alignment horizontal="left" shrinkToFit="1"/>
    </xf>
    <xf numFmtId="0" fontId="14" fillId="0" borderId="33" xfId="0" applyFont="1" applyBorder="1" applyAlignment="1">
      <alignment horizontal="left" shrinkToFit="1"/>
    </xf>
    <xf numFmtId="14" fontId="20" fillId="3" borderId="38" xfId="0" applyNumberFormat="1" applyFont="1" applyFill="1" applyBorder="1" applyAlignment="1">
      <alignment horizontal="center"/>
    </xf>
    <xf numFmtId="14" fontId="20" fillId="3" borderId="36" xfId="0" applyNumberFormat="1" applyFont="1" applyFill="1" applyBorder="1" applyAlignment="1">
      <alignment horizontal="center"/>
    </xf>
    <xf numFmtId="14" fontId="20" fillId="3" borderId="37" xfId="0" applyNumberFormat="1" applyFont="1" applyFill="1" applyBorder="1" applyAlignment="1">
      <alignment horizontal="center"/>
    </xf>
    <xf numFmtId="0" fontId="20" fillId="3" borderId="35" xfId="0" applyFont="1" applyFill="1" applyBorder="1" applyAlignment="1">
      <alignment horizontal="left"/>
    </xf>
    <xf numFmtId="0" fontId="20" fillId="3" borderId="35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20" fillId="3" borderId="33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 shrinkToFit="1"/>
    </xf>
    <xf numFmtId="0" fontId="14" fillId="0" borderId="32" xfId="0" applyFont="1" applyFill="1" applyBorder="1" applyAlignment="1">
      <alignment horizontal="center" shrinkToFit="1"/>
    </xf>
    <xf numFmtId="0" fontId="14" fillId="0" borderId="33" xfId="0" applyFont="1" applyFill="1" applyBorder="1" applyAlignment="1">
      <alignment horizontal="center" shrinkToFit="1"/>
    </xf>
    <xf numFmtId="177" fontId="14" fillId="0" borderId="38" xfId="0" applyNumberFormat="1" applyFont="1" applyFill="1" applyBorder="1" applyAlignment="1">
      <alignment horizontal="center" shrinkToFit="1"/>
    </xf>
    <xf numFmtId="177" fontId="14" fillId="0" borderId="36" xfId="0" applyNumberFormat="1" applyFont="1" applyFill="1" applyBorder="1" applyAlignment="1">
      <alignment horizontal="center" shrinkToFit="1"/>
    </xf>
    <xf numFmtId="177" fontId="14" fillId="0" borderId="37" xfId="0" applyNumberFormat="1" applyFont="1" applyFill="1" applyBorder="1" applyAlignment="1">
      <alignment horizontal="center" shrinkToFit="1"/>
    </xf>
    <xf numFmtId="14" fontId="14" fillId="0" borderId="35" xfId="0" applyNumberFormat="1" applyFont="1" applyFill="1" applyBorder="1" applyAlignment="1">
      <alignment horizontal="center" shrinkToFit="1"/>
    </xf>
    <xf numFmtId="14" fontId="14" fillId="0" borderId="32" xfId="0" applyNumberFormat="1" applyFont="1" applyFill="1" applyBorder="1" applyAlignment="1">
      <alignment horizontal="center" shrinkToFit="1"/>
    </xf>
    <xf numFmtId="14" fontId="14" fillId="0" borderId="33" xfId="0" applyNumberFormat="1" applyFont="1" applyFill="1" applyBorder="1" applyAlignment="1">
      <alignment horizontal="center" shrinkToFit="1"/>
    </xf>
    <xf numFmtId="0" fontId="20" fillId="3" borderId="39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0" xfId="0" applyFont="1" applyBorder="1" applyAlignment="1">
      <alignment horizontal="left" shrinkToFit="1"/>
    </xf>
    <xf numFmtId="0" fontId="14" fillId="0" borderId="9" xfId="0" applyFont="1" applyBorder="1" applyAlignment="1">
      <alignment horizontal="left" shrinkToFit="1"/>
    </xf>
    <xf numFmtId="0" fontId="14" fillId="0" borderId="11" xfId="0" applyFont="1" applyBorder="1" applyAlignment="1">
      <alignment horizontal="left" shrinkToFit="1"/>
    </xf>
    <xf numFmtId="0" fontId="20" fillId="3" borderId="10" xfId="0" applyFont="1" applyFill="1" applyBorder="1" applyAlignment="1">
      <alignment horizontal="left"/>
    </xf>
    <xf numFmtId="0" fontId="20" fillId="3" borderId="10" xfId="0" applyFont="1" applyFill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0" fillId="3" borderId="11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shrinkToFit="1"/>
    </xf>
    <xf numFmtId="0" fontId="14" fillId="0" borderId="9" xfId="0" applyFont="1" applyFill="1" applyBorder="1" applyAlignment="1">
      <alignment horizontal="center" shrinkToFit="1"/>
    </xf>
    <xf numFmtId="0" fontId="14" fillId="0" borderId="11" xfId="0" applyFont="1" applyFill="1" applyBorder="1" applyAlignment="1">
      <alignment horizontal="center" shrinkToFit="1"/>
    </xf>
    <xf numFmtId="14" fontId="20" fillId="3" borderId="10" xfId="0" applyNumberFormat="1" applyFont="1" applyFill="1" applyBorder="1" applyAlignment="1">
      <alignment horizontal="center"/>
    </xf>
    <xf numFmtId="14" fontId="20" fillId="3" borderId="9" xfId="0" applyNumberFormat="1" applyFont="1" applyFill="1" applyBorder="1" applyAlignment="1">
      <alignment horizontal="center"/>
    </xf>
    <xf numFmtId="14" fontId="20" fillId="3" borderId="11" xfId="0" applyNumberFormat="1" applyFont="1" applyFill="1" applyBorder="1" applyAlignment="1">
      <alignment horizontal="center"/>
    </xf>
    <xf numFmtId="14" fontId="14" fillId="0" borderId="10" xfId="0" applyNumberFormat="1" applyFont="1" applyBorder="1" applyAlignment="1">
      <alignment horizontal="center" shrinkToFit="1"/>
    </xf>
    <xf numFmtId="14" fontId="14" fillId="0" borderId="9" xfId="0" applyNumberFormat="1" applyFont="1" applyBorder="1" applyAlignment="1">
      <alignment horizontal="center" shrinkToFit="1"/>
    </xf>
    <xf numFmtId="14" fontId="14" fillId="0" borderId="10" xfId="0" applyNumberFormat="1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shrinkToFit="1"/>
    </xf>
    <xf numFmtId="0" fontId="14" fillId="0" borderId="40" xfId="0" applyFont="1" applyFill="1" applyBorder="1" applyAlignment="1">
      <alignment horizontal="center" vertical="center" shrinkToFit="1"/>
    </xf>
    <xf numFmtId="0" fontId="14" fillId="0" borderId="38" xfId="0" applyFont="1" applyFill="1" applyBorder="1" applyAlignment="1">
      <alignment horizontal="center" vertical="center" shrinkToFit="1"/>
    </xf>
    <xf numFmtId="0" fontId="14" fillId="0" borderId="36" xfId="0" applyFont="1" applyFill="1" applyBorder="1" applyAlignment="1">
      <alignment horizontal="center" vertical="center" shrinkToFit="1"/>
    </xf>
    <xf numFmtId="0" fontId="14" fillId="0" borderId="41" xfId="0" applyFont="1" applyFill="1" applyBorder="1" applyAlignment="1">
      <alignment horizontal="center" vertical="center" shrinkToFit="1"/>
    </xf>
    <xf numFmtId="0" fontId="20" fillId="3" borderId="36" xfId="0" applyFont="1" applyFill="1" applyBorder="1" applyAlignment="1">
      <alignment horizontal="left"/>
    </xf>
    <xf numFmtId="0" fontId="20" fillId="3" borderId="37" xfId="0" applyFont="1" applyFill="1" applyBorder="1" applyAlignment="1">
      <alignment horizontal="left"/>
    </xf>
    <xf numFmtId="0" fontId="14" fillId="0" borderId="38" xfId="0" applyFont="1" applyFill="1" applyBorder="1" applyAlignment="1">
      <alignment horizontal="left" shrinkToFit="1"/>
    </xf>
    <xf numFmtId="0" fontId="14" fillId="0" borderId="36" xfId="0" applyFont="1" applyBorder="1" applyAlignment="1">
      <alignment horizontal="left" shrinkToFit="1"/>
    </xf>
    <xf numFmtId="0" fontId="20" fillId="3" borderId="38" xfId="0" applyFont="1" applyFill="1" applyBorder="1" applyAlignment="1">
      <alignment horizontal="left"/>
    </xf>
    <xf numFmtId="0" fontId="14" fillId="0" borderId="36" xfId="0" applyFont="1" applyFill="1" applyBorder="1" applyAlignment="1">
      <alignment horizontal="left" shrinkToFit="1"/>
    </xf>
    <xf numFmtId="0" fontId="14" fillId="0" borderId="37" xfId="0" applyFont="1" applyFill="1" applyBorder="1" applyAlignment="1">
      <alignment horizontal="left" shrinkToFit="1"/>
    </xf>
    <xf numFmtId="0" fontId="20" fillId="2" borderId="49" xfId="0" applyFont="1" applyFill="1" applyBorder="1" applyAlignment="1">
      <alignment vertical="top"/>
    </xf>
    <xf numFmtId="0" fontId="20" fillId="2" borderId="50" xfId="0" applyFont="1" applyFill="1" applyBorder="1" applyAlignment="1">
      <alignment vertical="top"/>
    </xf>
    <xf numFmtId="0" fontId="18" fillId="2" borderId="49" xfId="0" applyNumberFormat="1" applyFont="1" applyFill="1" applyBorder="1" applyAlignment="1">
      <alignment vertical="top"/>
    </xf>
    <xf numFmtId="0" fontId="18" fillId="2" borderId="50" xfId="0" applyNumberFormat="1" applyFont="1" applyFill="1" applyBorder="1" applyAlignment="1">
      <alignment vertical="top"/>
    </xf>
    <xf numFmtId="0" fontId="20" fillId="2" borderId="63" xfId="0" applyFont="1" applyFill="1" applyBorder="1" applyAlignment="1">
      <alignment vertical="top" wrapText="1"/>
    </xf>
    <xf numFmtId="0" fontId="20" fillId="2" borderId="64" xfId="0" applyFont="1" applyFill="1" applyBorder="1" applyAlignment="1">
      <alignment vertical="top"/>
    </xf>
    <xf numFmtId="0" fontId="20" fillId="2" borderId="59" xfId="0" applyFont="1" applyFill="1" applyBorder="1" applyAlignment="1">
      <alignment horizontal="center" vertical="top"/>
    </xf>
    <xf numFmtId="0" fontId="20" fillId="2" borderId="60" xfId="0" applyFont="1" applyFill="1" applyBorder="1" applyAlignment="1">
      <alignment horizontal="center" vertical="top"/>
    </xf>
    <xf numFmtId="0" fontId="20" fillId="2" borderId="59" xfId="0" applyFont="1" applyFill="1" applyBorder="1" applyAlignment="1">
      <alignment vertical="top" wrapText="1"/>
    </xf>
    <xf numFmtId="0" fontId="20" fillId="2" borderId="60" xfId="0" applyFont="1" applyFill="1" applyBorder="1" applyAlignment="1">
      <alignment vertical="top"/>
    </xf>
    <xf numFmtId="0" fontId="20" fillId="2" borderId="49" xfId="0" applyFont="1" applyFill="1" applyBorder="1" applyAlignment="1">
      <alignment vertical="top" wrapText="1"/>
    </xf>
    <xf numFmtId="0" fontId="20" fillId="2" borderId="50" xfId="0" applyFont="1" applyFill="1" applyBorder="1" applyAlignment="1">
      <alignment vertical="top" wrapText="1"/>
    </xf>
    <xf numFmtId="49" fontId="8" fillId="0" borderId="10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horizontal="center" vertical="center"/>
    </xf>
    <xf numFmtId="49" fontId="8" fillId="0" borderId="10" xfId="0" applyNumberFormat="1" applyFont="1" applyFill="1" applyBorder="1" applyAlignment="1">
      <alignment horizontal="center" vertical="center" wrapText="1"/>
    </xf>
    <xf numFmtId="49" fontId="6" fillId="0" borderId="14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15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shrinkToFit="1"/>
    </xf>
    <xf numFmtId="0" fontId="14" fillId="0" borderId="0" xfId="0" applyFont="1" applyFill="1" applyBorder="1" applyAlignment="1">
      <alignment horizontal="center" shrinkToFit="1"/>
    </xf>
    <xf numFmtId="0" fontId="14" fillId="0" borderId="0" xfId="0" applyFont="1" applyFill="1" applyBorder="1" applyAlignment="1">
      <alignment horizontal="center"/>
    </xf>
    <xf numFmtId="0" fontId="14" fillId="2" borderId="95" xfId="0" applyFont="1" applyFill="1" applyBorder="1" applyAlignment="1">
      <alignment horizontal="center" vertical="top"/>
    </xf>
    <xf numFmtId="0" fontId="25" fillId="0" borderId="79" xfId="0" applyFont="1" applyBorder="1" applyAlignment="1">
      <alignment horizontal="center" vertical="top"/>
    </xf>
    <xf numFmtId="0" fontId="14" fillId="2" borderId="79" xfId="0" applyFont="1" applyFill="1" applyBorder="1" applyAlignment="1">
      <alignment horizontal="center" vertical="top"/>
    </xf>
    <xf numFmtId="0" fontId="14" fillId="2" borderId="16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96" xfId="0" applyFont="1" applyFill="1" applyBorder="1" applyAlignment="1">
      <alignment horizontal="center" vertical="top"/>
    </xf>
    <xf numFmtId="0" fontId="14" fillId="2" borderId="49" xfId="0" applyFont="1" applyFill="1" applyBorder="1" applyAlignment="1">
      <alignment horizontal="center" vertical="top"/>
    </xf>
    <xf numFmtId="0" fontId="14" fillId="2" borderId="25" xfId="0" applyFont="1" applyFill="1" applyBorder="1" applyAlignment="1">
      <alignment horizontal="center" vertical="top"/>
    </xf>
    <xf numFmtId="0" fontId="14" fillId="2" borderId="26" xfId="0" applyFont="1" applyFill="1" applyBorder="1" applyAlignment="1">
      <alignment horizontal="center" vertical="top"/>
    </xf>
    <xf numFmtId="0" fontId="14" fillId="0" borderId="17" xfId="0" applyNumberFormat="1" applyFont="1" applyBorder="1" applyAlignment="1">
      <alignment horizontal="center" vertical="top"/>
    </xf>
    <xf numFmtId="0" fontId="14" fillId="0" borderId="80" xfId="0" applyNumberFormat="1" applyFont="1" applyBorder="1" applyAlignment="1">
      <alignment horizontal="center" vertical="top"/>
    </xf>
    <xf numFmtId="14" fontId="14" fillId="0" borderId="80" xfId="0" applyNumberFormat="1" applyFont="1" applyBorder="1" applyAlignment="1">
      <alignment horizontal="center" vertical="top"/>
    </xf>
    <xf numFmtId="0" fontId="14" fillId="0" borderId="80" xfId="0" applyFont="1" applyBorder="1" applyAlignment="1">
      <alignment horizontal="center" vertical="top"/>
    </xf>
    <xf numFmtId="0" fontId="14" fillId="0" borderId="53" xfId="0" applyFont="1" applyBorder="1" applyAlignment="1">
      <alignment horizontal="left" vertical="top"/>
    </xf>
    <xf numFmtId="0" fontId="14" fillId="0" borderId="97" xfId="0" applyFont="1" applyBorder="1" applyAlignment="1">
      <alignment horizontal="left" vertical="top"/>
    </xf>
    <xf numFmtId="0" fontId="14" fillId="0" borderId="98" xfId="0" applyFont="1" applyBorder="1" applyAlignment="1">
      <alignment horizontal="left" vertical="top"/>
    </xf>
    <xf numFmtId="0" fontId="14" fillId="0" borderId="12" xfId="0" applyNumberFormat="1" applyFont="1" applyBorder="1" applyAlignment="1">
      <alignment horizontal="center" vertical="top"/>
    </xf>
    <xf numFmtId="0" fontId="14" fillId="0" borderId="7" xfId="0" applyNumberFormat="1" applyFont="1" applyBorder="1" applyAlignment="1">
      <alignment horizontal="center" vertical="top"/>
    </xf>
    <xf numFmtId="0" fontId="14" fillId="0" borderId="44" xfId="0" applyNumberFormat="1" applyFont="1" applyBorder="1" applyAlignment="1">
      <alignment horizontal="center" vertical="top"/>
    </xf>
    <xf numFmtId="0" fontId="14" fillId="0" borderId="18" xfId="0" applyNumberFormat="1" applyFont="1" applyBorder="1" applyAlignment="1">
      <alignment horizontal="center" vertical="top"/>
    </xf>
    <xf numFmtId="0" fontId="14" fillId="0" borderId="42" xfId="0" applyNumberFormat="1" applyFont="1" applyBorder="1" applyAlignment="1">
      <alignment horizontal="center" vertical="top"/>
    </xf>
    <xf numFmtId="0" fontId="14" fillId="0" borderId="42" xfId="0" applyFont="1" applyBorder="1" applyAlignment="1">
      <alignment horizontal="center" vertical="top"/>
    </xf>
    <xf numFmtId="0" fontId="14" fillId="0" borderId="14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4" fillId="0" borderId="15" xfId="0" applyFont="1" applyBorder="1" applyAlignment="1">
      <alignment horizontal="left" vertical="top"/>
    </xf>
    <xf numFmtId="0" fontId="14" fillId="0" borderId="10" xfId="0" applyNumberFormat="1" applyFont="1" applyBorder="1" applyAlignment="1">
      <alignment horizontal="center" vertical="top"/>
    </xf>
    <xf numFmtId="0" fontId="14" fillId="0" borderId="9" xfId="0" applyNumberFormat="1" applyFont="1" applyBorder="1" applyAlignment="1">
      <alignment horizontal="center" vertical="top"/>
    </xf>
    <xf numFmtId="0" fontId="14" fillId="0" borderId="40" xfId="0" applyNumberFormat="1" applyFont="1" applyBorder="1" applyAlignment="1">
      <alignment horizontal="center" vertical="top"/>
    </xf>
    <xf numFmtId="14" fontId="14" fillId="0" borderId="42" xfId="0" applyNumberFormat="1" applyFont="1" applyBorder="1" applyAlignment="1">
      <alignment horizontal="center" vertical="top"/>
    </xf>
    <xf numFmtId="0" fontId="14" fillId="0" borderId="21" xfId="0" applyFont="1" applyBorder="1" applyAlignment="1">
      <alignment horizontal="left" vertical="top"/>
    </xf>
    <xf numFmtId="0" fontId="14" fillId="0" borderId="22" xfId="0" applyFont="1" applyBorder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0" fontId="14" fillId="0" borderId="19" xfId="0" applyNumberFormat="1" applyFont="1" applyBorder="1" applyAlignment="1">
      <alignment horizontal="center" vertical="top"/>
    </xf>
    <xf numFmtId="0" fontId="14" fillId="0" borderId="78" xfId="0" applyNumberFormat="1" applyFont="1" applyBorder="1" applyAlignment="1">
      <alignment horizontal="center" vertical="top"/>
    </xf>
    <xf numFmtId="0" fontId="14" fillId="0" borderId="78" xfId="0" applyFont="1" applyBorder="1" applyAlignment="1">
      <alignment horizontal="center" vertical="top"/>
    </xf>
    <xf numFmtId="0" fontId="14" fillId="0" borderId="99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4" fillId="0" borderId="100" xfId="0" applyFont="1" applyBorder="1" applyAlignment="1">
      <alignment horizontal="left" vertical="top"/>
    </xf>
    <xf numFmtId="0" fontId="14" fillId="0" borderId="38" xfId="0" applyNumberFormat="1" applyFont="1" applyBorder="1" applyAlignment="1">
      <alignment horizontal="center" vertical="top"/>
    </xf>
    <xf numFmtId="0" fontId="14" fillId="0" borderId="36" xfId="0" applyNumberFormat="1" applyFont="1" applyBorder="1" applyAlignment="1">
      <alignment horizontal="center" vertical="top"/>
    </xf>
    <xf numFmtId="0" fontId="14" fillId="0" borderId="41" xfId="0" applyNumberFormat="1" applyFont="1" applyBorder="1" applyAlignment="1">
      <alignment horizontal="center" vertical="top"/>
    </xf>
    <xf numFmtId="177" fontId="14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NumberFormat="1" applyFont="1" applyBorder="1" applyAlignment="1">
      <alignment horizontal="center"/>
    </xf>
    <xf numFmtId="0" fontId="14" fillId="5" borderId="101" xfId="0" applyFont="1" applyFill="1" applyBorder="1" applyAlignment="1">
      <alignment horizontal="center" vertical="top"/>
    </xf>
    <xf numFmtId="0" fontId="14" fillId="5" borderId="74" xfId="0" applyFont="1" applyFill="1" applyBorder="1" applyAlignment="1">
      <alignment horizontal="center" vertical="top"/>
    </xf>
    <xf numFmtId="0" fontId="14" fillId="2" borderId="74" xfId="0" applyFont="1" applyFill="1" applyBorder="1" applyAlignment="1">
      <alignment horizontal="center" vertical="top"/>
    </xf>
    <xf numFmtId="0" fontId="14" fillId="2" borderId="75" xfId="0" applyFont="1" applyFill="1" applyBorder="1" applyAlignment="1">
      <alignment horizontal="center" vertical="top"/>
    </xf>
    <xf numFmtId="0" fontId="14" fillId="5" borderId="102" xfId="0" applyFont="1" applyFill="1" applyBorder="1" applyAlignment="1">
      <alignment horizontal="center" vertical="top"/>
    </xf>
    <xf numFmtId="0" fontId="14" fillId="5" borderId="85" xfId="0" applyFont="1" applyFill="1" applyBorder="1" applyAlignment="1">
      <alignment horizontal="center" vertical="top"/>
    </xf>
    <xf numFmtId="0" fontId="14" fillId="2" borderId="85" xfId="0" applyFont="1" applyFill="1" applyBorder="1" applyAlignment="1">
      <alignment horizontal="center" vertical="top"/>
    </xf>
    <xf numFmtId="0" fontId="14" fillId="2" borderId="103" xfId="0" applyFont="1" applyFill="1" applyBorder="1" applyAlignment="1">
      <alignment horizontal="center" vertical="top"/>
    </xf>
    <xf numFmtId="0" fontId="14" fillId="0" borderId="104" xfId="0" applyNumberFormat="1" applyFont="1" applyBorder="1" applyAlignment="1">
      <alignment horizontal="center" vertical="top"/>
    </xf>
    <xf numFmtId="0" fontId="14" fillId="0" borderId="105" xfId="0" applyNumberFormat="1" applyFont="1" applyBorder="1" applyAlignment="1">
      <alignment horizontal="center" vertical="top"/>
    </xf>
    <xf numFmtId="177" fontId="14" fillId="0" borderId="106" xfId="0" applyNumberFormat="1" applyFont="1" applyBorder="1" applyAlignment="1">
      <alignment horizontal="center" vertical="top"/>
    </xf>
    <xf numFmtId="177" fontId="14" fillId="0" borderId="107" xfId="0" applyNumberFormat="1" applyFont="1" applyBorder="1" applyAlignment="1">
      <alignment horizontal="center" vertical="top"/>
    </xf>
    <xf numFmtId="177" fontId="14" fillId="0" borderId="105" xfId="0" applyNumberFormat="1" applyFont="1" applyBorder="1" applyAlignment="1">
      <alignment horizontal="center" vertical="top"/>
    </xf>
    <xf numFmtId="0" fontId="14" fillId="0" borderId="106" xfId="0" applyFont="1" applyBorder="1" applyAlignment="1">
      <alignment vertical="top" wrapText="1"/>
    </xf>
    <xf numFmtId="0" fontId="14" fillId="0" borderId="107" xfId="0" applyFont="1" applyBorder="1" applyAlignment="1">
      <alignment vertical="top"/>
    </xf>
    <xf numFmtId="0" fontId="14" fillId="0" borderId="105" xfId="0" applyFont="1" applyBorder="1" applyAlignment="1">
      <alignment vertical="top"/>
    </xf>
    <xf numFmtId="0" fontId="14" fillId="0" borderId="106" xfId="0" applyNumberFormat="1" applyFont="1" applyBorder="1" applyAlignment="1">
      <alignment horizontal="center" vertical="top"/>
    </xf>
    <xf numFmtId="0" fontId="14" fillId="0" borderId="107" xfId="0" applyNumberFormat="1" applyFont="1" applyBorder="1" applyAlignment="1">
      <alignment horizontal="center" vertical="top"/>
    </xf>
    <xf numFmtId="14" fontId="14" fillId="0" borderId="106" xfId="0" applyNumberFormat="1" applyFont="1" applyBorder="1" applyAlignment="1">
      <alignment horizontal="center" vertical="top"/>
    </xf>
    <xf numFmtId="14" fontId="14" fillId="0" borderId="107" xfId="0" applyNumberFormat="1" applyFont="1" applyBorder="1" applyAlignment="1">
      <alignment horizontal="center" vertical="top"/>
    </xf>
    <xf numFmtId="14" fontId="14" fillId="0" borderId="108" xfId="0" applyNumberFormat="1" applyFont="1" applyBorder="1" applyAlignment="1">
      <alignment horizontal="center" vertical="top"/>
    </xf>
    <xf numFmtId="0" fontId="14" fillId="0" borderId="109" xfId="0" applyNumberFormat="1" applyFont="1" applyBorder="1" applyAlignment="1">
      <alignment horizontal="center" vertical="top"/>
    </xf>
    <xf numFmtId="0" fontId="14" fillId="0" borderId="110" xfId="0" applyNumberFormat="1" applyFont="1" applyBorder="1" applyAlignment="1">
      <alignment horizontal="center" vertical="top"/>
    </xf>
    <xf numFmtId="177" fontId="14" fillId="0" borderId="111" xfId="0" applyNumberFormat="1" applyFont="1" applyBorder="1" applyAlignment="1">
      <alignment horizontal="center" vertical="top"/>
    </xf>
    <xf numFmtId="177" fontId="14" fillId="0" borderId="112" xfId="0" applyNumberFormat="1" applyFont="1" applyBorder="1" applyAlignment="1">
      <alignment horizontal="center" vertical="top"/>
    </xf>
    <xf numFmtId="177" fontId="14" fillId="0" borderId="110" xfId="0" applyNumberFormat="1" applyFont="1" applyBorder="1" applyAlignment="1">
      <alignment horizontal="center" vertical="top"/>
    </xf>
    <xf numFmtId="0" fontId="14" fillId="0" borderId="111" xfId="0" applyFont="1" applyBorder="1" applyAlignment="1">
      <alignment horizontal="left" vertical="top" wrapText="1"/>
    </xf>
    <xf numFmtId="0" fontId="14" fillId="0" borderId="112" xfId="0" applyFont="1" applyBorder="1" applyAlignment="1">
      <alignment horizontal="left" vertical="top" wrapText="1"/>
    </xf>
    <xf numFmtId="0" fontId="14" fillId="0" borderId="110" xfId="0" applyFont="1" applyBorder="1" applyAlignment="1">
      <alignment horizontal="left" vertical="top" wrapText="1"/>
    </xf>
    <xf numFmtId="0" fontId="14" fillId="0" borderId="111" xfId="0" applyNumberFormat="1" applyFont="1" applyBorder="1" applyAlignment="1">
      <alignment horizontal="center" vertical="top"/>
    </xf>
    <xf numFmtId="0" fontId="14" fillId="0" borderId="112" xfId="0" applyNumberFormat="1" applyFont="1" applyBorder="1" applyAlignment="1">
      <alignment horizontal="center" vertical="top"/>
    </xf>
    <xf numFmtId="14" fontId="14" fillId="0" borderId="111" xfId="0" applyNumberFormat="1" applyFont="1" applyBorder="1" applyAlignment="1">
      <alignment horizontal="center" vertical="top"/>
    </xf>
    <xf numFmtId="14" fontId="14" fillId="0" borderId="112" xfId="0" applyNumberFormat="1" applyFont="1" applyBorder="1" applyAlignment="1">
      <alignment horizontal="center" vertical="top"/>
    </xf>
    <xf numFmtId="14" fontId="14" fillId="0" borderId="113" xfId="0" applyNumberFormat="1" applyFont="1" applyBorder="1" applyAlignment="1">
      <alignment horizontal="center" vertical="top"/>
    </xf>
    <xf numFmtId="0" fontId="14" fillId="0" borderId="8" xfId="1" applyFont="1" applyBorder="1" applyAlignment="1">
      <alignment vertical="center"/>
    </xf>
    <xf numFmtId="0" fontId="20" fillId="2" borderId="50" xfId="0" applyFont="1" applyFill="1" applyBorder="1" applyAlignment="1">
      <alignment horizontal="center" vertical="top"/>
    </xf>
    <xf numFmtId="0" fontId="14" fillId="3" borderId="27" xfId="0" applyFont="1" applyFill="1" applyBorder="1" applyAlignment="1">
      <alignment vertical="center"/>
    </xf>
    <xf numFmtId="0" fontId="20" fillId="2" borderId="49" xfId="0" applyFont="1" applyFill="1" applyBorder="1" applyAlignment="1">
      <alignment horizontal="center" vertical="top"/>
    </xf>
    <xf numFmtId="0" fontId="14" fillId="3" borderId="28" xfId="0" applyFont="1" applyFill="1" applyBorder="1" applyAlignment="1">
      <alignment vertical="center"/>
    </xf>
    <xf numFmtId="0" fontId="14" fillId="3" borderId="29" xfId="0" applyFont="1" applyFill="1" applyBorder="1" applyAlignment="1">
      <alignment vertical="center"/>
    </xf>
    <xf numFmtId="0" fontId="20" fillId="2" borderId="101" xfId="0" applyFont="1" applyFill="1" applyBorder="1" applyAlignment="1">
      <alignment horizontal="left"/>
    </xf>
    <xf numFmtId="0" fontId="20" fillId="2" borderId="75" xfId="0" applyFont="1" applyFill="1" applyBorder="1" applyAlignment="1">
      <alignment horizontal="left"/>
    </xf>
    <xf numFmtId="0" fontId="14" fillId="0" borderId="58" xfId="1" applyFont="1" applyBorder="1" applyAlignment="1">
      <alignment vertical="center"/>
    </xf>
    <xf numFmtId="0" fontId="14" fillId="0" borderId="55" xfId="1" applyFont="1" applyBorder="1" applyAlignment="1">
      <alignment vertical="center"/>
    </xf>
    <xf numFmtId="0" fontId="20" fillId="2" borderId="102" xfId="0" applyFont="1" applyFill="1" applyBorder="1" applyAlignment="1">
      <alignment horizontal="left"/>
    </xf>
    <xf numFmtId="0" fontId="20" fillId="2" borderId="85" xfId="0" applyFont="1" applyFill="1" applyBorder="1" applyAlignment="1">
      <alignment horizontal="left"/>
    </xf>
    <xf numFmtId="0" fontId="20" fillId="2" borderId="103" xfId="0" applyFont="1" applyFill="1" applyBorder="1" applyAlignment="1">
      <alignment horizontal="left"/>
    </xf>
    <xf numFmtId="0" fontId="14" fillId="0" borderId="15" xfId="1" applyFont="1" applyBorder="1" applyAlignment="1">
      <alignment vertical="center"/>
    </xf>
    <xf numFmtId="0" fontId="14" fillId="0" borderId="72" xfId="1" applyFont="1" applyBorder="1" applyAlignment="1">
      <alignment vertical="center"/>
    </xf>
    <xf numFmtId="0" fontId="14" fillId="0" borderId="31" xfId="1" applyFont="1" applyBorder="1" applyAlignment="1">
      <alignment vertical="center"/>
    </xf>
    <xf numFmtId="0" fontId="14" fillId="0" borderId="71" xfId="1" applyFont="1" applyBorder="1" applyAlignment="1">
      <alignment vertical="center"/>
    </xf>
    <xf numFmtId="0" fontId="14" fillId="0" borderId="114" xfId="1" applyFont="1" applyBorder="1" applyAlignment="1">
      <alignment vertical="center"/>
    </xf>
    <xf numFmtId="0" fontId="14" fillId="0" borderId="62" xfId="1" applyFont="1" applyBorder="1" applyAlignment="1">
      <alignment vertical="center"/>
    </xf>
    <xf numFmtId="0" fontId="14" fillId="0" borderId="103" xfId="1" applyFont="1" applyBorder="1" applyAlignment="1">
      <alignment horizontal="left" vertical="center"/>
    </xf>
    <xf numFmtId="0" fontId="14" fillId="0" borderId="103" xfId="1" applyFont="1" applyBorder="1" applyAlignment="1">
      <alignment vertical="center"/>
    </xf>
    <xf numFmtId="0" fontId="14" fillId="0" borderId="58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right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9" fillId="0" borderId="21" xfId="0" quotePrefix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right" vertical="center" wrapText="1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/>
    </xf>
    <xf numFmtId="0" fontId="14" fillId="0" borderId="14" xfId="0" quotePrefix="1" applyFont="1" applyBorder="1" applyAlignment="1">
      <alignment horizontal="right" vertical="center"/>
    </xf>
    <xf numFmtId="0" fontId="14" fillId="0" borderId="72" xfId="0" applyFont="1" applyBorder="1" applyAlignment="1">
      <alignment horizontal="center" vertical="center" wrapText="1"/>
    </xf>
    <xf numFmtId="0" fontId="14" fillId="0" borderId="87" xfId="0" applyFont="1" applyBorder="1" applyAlignment="1">
      <alignment vertical="center"/>
    </xf>
    <xf numFmtId="0" fontId="14" fillId="0" borderId="21" xfId="0" quotePrefix="1" applyFont="1" applyBorder="1" applyAlignment="1">
      <alignment horizontal="right" vertical="center"/>
    </xf>
    <xf numFmtId="0" fontId="19" fillId="0" borderId="22" xfId="0" applyNumberFormat="1" applyFont="1" applyFill="1" applyBorder="1" applyAlignment="1">
      <alignment horizontal="center" vertical="center"/>
    </xf>
    <xf numFmtId="0" fontId="14" fillId="0" borderId="82" xfId="0" applyFont="1" applyBorder="1" applyAlignment="1">
      <alignment vertical="center"/>
    </xf>
    <xf numFmtId="0" fontId="14" fillId="0" borderId="42" xfId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14" fillId="0" borderId="84" xfId="0" applyFont="1" applyBorder="1" applyAlignment="1">
      <alignment vertical="center"/>
    </xf>
  </cellXfs>
  <cellStyles count="6">
    <cellStyle name="標準" xfId="0" builtinId="0"/>
    <cellStyle name="標準 2" xfId="1"/>
    <cellStyle name="標準 2 2" xfId="5"/>
    <cellStyle name="標準 4" xfId="2"/>
    <cellStyle name="標準 5 2" xfId="3"/>
    <cellStyle name="標準 8" xfId="4"/>
  </cellStyles>
  <dxfs count="0"/>
  <tableStyles count="0" defaultTableStyle="TableStyleMedium9" defaultPivotStyle="PivotStyleLight16"/>
  <colors>
    <mruColors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41</xdr:row>
      <xdr:rowOff>9525</xdr:rowOff>
    </xdr:from>
    <xdr:to>
      <xdr:col>39</xdr:col>
      <xdr:colOff>66675</xdr:colOff>
      <xdr:row>43</xdr:row>
      <xdr:rowOff>19050</xdr:rowOff>
    </xdr:to>
    <xdr:grpSp>
      <xdr:nvGrpSpPr>
        <xdr:cNvPr id="67740" name="Group 2"/>
        <xdr:cNvGrpSpPr>
          <a:grpSpLocks/>
        </xdr:cNvGrpSpPr>
      </xdr:nvGrpSpPr>
      <xdr:grpSpPr bwMode="auto">
        <a:xfrm>
          <a:off x="2009775" y="6877050"/>
          <a:ext cx="5486400" cy="295275"/>
          <a:chOff x="288" y="656"/>
          <a:chExt cx="576" cy="31"/>
        </a:xfrm>
      </xdr:grpSpPr>
      <xdr:pic>
        <xdr:nvPicPr>
          <xdr:cNvPr id="67744" name="Picture 3" descr="BL-J_Bw"/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4" y="661"/>
            <a:ext cx="450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7745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" y="656"/>
            <a:ext cx="107" cy="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8</xdr:col>
      <xdr:colOff>142875</xdr:colOff>
      <xdr:row>10</xdr:row>
      <xdr:rowOff>85725</xdr:rowOff>
    </xdr:from>
    <xdr:to>
      <xdr:col>41</xdr:col>
      <xdr:colOff>38100</xdr:colOff>
      <xdr:row>20</xdr:row>
      <xdr:rowOff>66675</xdr:rowOff>
    </xdr:to>
    <xdr:sp macro="" textlink="">
      <xdr:nvSpPr>
        <xdr:cNvPr id="1033" name="AutoShape 5"/>
        <xdr:cNvSpPr>
          <a:spLocks noChangeArrowheads="1"/>
        </xdr:cNvSpPr>
      </xdr:nvSpPr>
      <xdr:spPr bwMode="auto">
        <a:xfrm>
          <a:off x="1666875" y="1514475"/>
          <a:ext cx="6181725" cy="1409700"/>
        </a:xfrm>
        <a:prstGeom prst="roundRect">
          <a:avLst>
            <a:gd name="adj" fmla="val 16667"/>
          </a:avLst>
        </a:prstGeom>
        <a:solidFill>
          <a:srgbClr val="FFFFFF"/>
        </a:solidFill>
        <a:ln w="25400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333333"/>
          </a:outerShdw>
        </a:effectLst>
      </xdr:spPr>
      <xdr:txBody>
        <a:bodyPr vertOverflow="clip" wrap="square" lIns="64008" tIns="41148" rIns="64008" bIns="41148" anchor="ctr" upright="1"/>
        <a:lstStyle/>
        <a:p>
          <a:pPr algn="ctr" rtl="0">
            <a:defRPr sz="1000"/>
          </a:pPr>
          <a:r>
            <a:rPr lang="ja-JP" altLang="en-US" sz="36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帳票仕様・基本設計書</a:t>
          </a:r>
        </a:p>
      </xdr:txBody>
    </xdr:sp>
    <xdr:clientData/>
  </xdr:twoCellAnchor>
  <xdr:twoCellAnchor editAs="oneCell">
    <xdr:from>
      <xdr:col>44</xdr:col>
      <xdr:colOff>152400</xdr:colOff>
      <xdr:row>0</xdr:row>
      <xdr:rowOff>0</xdr:rowOff>
    </xdr:from>
    <xdr:to>
      <xdr:col>48</xdr:col>
      <xdr:colOff>9525</xdr:colOff>
      <xdr:row>1</xdr:row>
      <xdr:rowOff>66675</xdr:rowOff>
    </xdr:to>
    <xdr:sp macro="" textlink="">
      <xdr:nvSpPr>
        <xdr:cNvPr id="144391" name="Rectangle 7"/>
        <xdr:cNvSpPr>
          <a:spLocks noChangeArrowheads="1"/>
        </xdr:cNvSpPr>
      </xdr:nvSpPr>
      <xdr:spPr bwMode="auto">
        <a:xfrm>
          <a:off x="8067675" y="0"/>
          <a:ext cx="628650" cy="2095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取扱注意</a:t>
          </a:r>
        </a:p>
      </xdr:txBody>
    </xdr:sp>
    <xdr:clientData/>
  </xdr:twoCellAnchor>
  <xdr:twoCellAnchor>
    <xdr:from>
      <xdr:col>0</xdr:col>
      <xdr:colOff>0</xdr:colOff>
      <xdr:row>47</xdr:row>
      <xdr:rowOff>38100</xdr:rowOff>
    </xdr:from>
    <xdr:to>
      <xdr:col>50</xdr:col>
      <xdr:colOff>0</xdr:colOff>
      <xdr:row>47</xdr:row>
      <xdr:rowOff>38100</xdr:rowOff>
    </xdr:to>
    <xdr:sp macro="" textlink="">
      <xdr:nvSpPr>
        <xdr:cNvPr id="67743" name="Line 12"/>
        <xdr:cNvSpPr>
          <a:spLocks noChangeShapeType="1"/>
        </xdr:cNvSpPr>
      </xdr:nvSpPr>
      <xdr:spPr bwMode="auto">
        <a:xfrm>
          <a:off x="0" y="7467600"/>
          <a:ext cx="9525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13</xdr:col>
      <xdr:colOff>53382</xdr:colOff>
      <xdr:row>4</xdr:row>
      <xdr:rowOff>85680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" y="274320"/>
          <a:ext cx="2316522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6</xdr:col>
          <xdr:colOff>0</xdr:colOff>
          <xdr:row>2</xdr:row>
          <xdr:rowOff>123825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47:$BJ$49" spid="_x0000_s1014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25000" cy="4286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0</xdr:colOff>
          <xdr:row>2</xdr:row>
          <xdr:rowOff>148167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51:$BJ$53" spid="_x0000_s1024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25000" cy="45296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50</xdr:col>
          <xdr:colOff>0</xdr:colOff>
          <xdr:row>2</xdr:row>
          <xdr:rowOff>148167</xdr:rowOff>
        </xdr:to>
        <xdr:pic>
          <xdr:nvPicPr>
            <xdr:cNvPr id="4" name="図 3"/>
            <xdr:cNvPicPr>
              <a:picLocks noChangeAspect="1" noChangeArrowheads="1"/>
              <a:extLst>
                <a:ext uri="{84589F7E-364E-4C9E-8A38-B11213B215E9}">
                  <a14:cameraTool cellRange="表紙!$BA$71:$BJ$73" spid="_x0000_s1167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25000" cy="45296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9529</xdr:colOff>
          <xdr:row>8</xdr:row>
          <xdr:rowOff>9523</xdr:rowOff>
        </xdr:from>
        <xdr:to>
          <xdr:col>24</xdr:col>
          <xdr:colOff>0</xdr:colOff>
          <xdr:row>41</xdr:row>
          <xdr:rowOff>148166</xdr:rowOff>
        </xdr:to>
        <xdr:pic>
          <xdr:nvPicPr>
            <xdr:cNvPr id="72165" name="図 111"/>
            <xdr:cNvPicPr>
              <a:picLocks noChangeAspect="1" noChangeArrowheads="1"/>
              <a:extLst>
                <a:ext uri="{84589F7E-364E-4C9E-8A38-B11213B215E9}">
                  <a14:cameraTool cellRange="'印刷確認用（印刷対象外）r00.00'!$A$1:$AC$21" spid="_x0000_s918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0529" y="1226606"/>
              <a:ext cx="4181471" cy="502814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65431</xdr:colOff>
      <xdr:row>7</xdr:row>
      <xdr:rowOff>140804</xdr:rowOff>
    </xdr:from>
    <xdr:to>
      <xdr:col>1</xdr:col>
      <xdr:colOff>158750</xdr:colOff>
      <xdr:row>23</xdr:row>
      <xdr:rowOff>78404</xdr:rowOff>
    </xdr:to>
    <xdr:sp macro="" textlink="">
      <xdr:nvSpPr>
        <xdr:cNvPr id="7" name="左中かっこ 6"/>
        <xdr:cNvSpPr/>
      </xdr:nvSpPr>
      <xdr:spPr>
        <a:xfrm>
          <a:off x="255931" y="1226654"/>
          <a:ext cx="93319" cy="23760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oneCellAnchor>
    <xdr:from>
      <xdr:col>0</xdr:col>
      <xdr:colOff>31749</xdr:colOff>
      <xdr:row>14</xdr:row>
      <xdr:rowOff>144946</xdr:rowOff>
    </xdr:from>
    <xdr:ext cx="287836" cy="264560"/>
    <xdr:sp macro="" textlink="">
      <xdr:nvSpPr>
        <xdr:cNvPr id="8" name="テキスト ボックス 7"/>
        <xdr:cNvSpPr txBox="1"/>
      </xdr:nvSpPr>
      <xdr:spPr>
        <a:xfrm>
          <a:off x="31749" y="2251029"/>
          <a:ext cx="2878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a.</a:t>
          </a:r>
          <a:endParaRPr kumimoji="1" lang="ja-JP" altLang="en-US" sz="1100"/>
        </a:p>
      </xdr:txBody>
    </xdr:sp>
    <xdr:clientData/>
  </xdr:oneCellAnchor>
  <xdr:oneCellAnchor>
    <xdr:from>
      <xdr:col>4</xdr:col>
      <xdr:colOff>144114</xdr:colOff>
      <xdr:row>8</xdr:row>
      <xdr:rowOff>38870</xdr:rowOff>
    </xdr:from>
    <xdr:ext cx="273986" cy="233205"/>
    <xdr:sp macro="" textlink="">
      <xdr:nvSpPr>
        <xdr:cNvPr id="57" name="テキスト ボックス 56"/>
        <xdr:cNvSpPr txBox="1"/>
      </xdr:nvSpPr>
      <xdr:spPr>
        <a:xfrm>
          <a:off x="906114" y="1277120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1.</a:t>
          </a:r>
        </a:p>
      </xdr:txBody>
    </xdr:sp>
    <xdr:clientData/>
  </xdr:oneCellAnchor>
  <xdr:oneCellAnchor>
    <xdr:from>
      <xdr:col>14</xdr:col>
      <xdr:colOff>122949</xdr:colOff>
      <xdr:row>8</xdr:row>
      <xdr:rowOff>60033</xdr:rowOff>
    </xdr:from>
    <xdr:ext cx="273986" cy="233205"/>
    <xdr:sp macro="" textlink="">
      <xdr:nvSpPr>
        <xdr:cNvPr id="58" name="テキスト ボックス 57"/>
        <xdr:cNvSpPr txBox="1"/>
      </xdr:nvSpPr>
      <xdr:spPr>
        <a:xfrm>
          <a:off x="2789949" y="1298283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2.</a:t>
          </a:r>
        </a:p>
      </xdr:txBody>
    </xdr:sp>
    <xdr:clientData/>
  </xdr:oneCellAnchor>
  <xdr:oneCellAnchor>
    <xdr:from>
      <xdr:col>4</xdr:col>
      <xdr:colOff>140940</xdr:colOff>
      <xdr:row>9</xdr:row>
      <xdr:rowOff>133060</xdr:rowOff>
    </xdr:from>
    <xdr:ext cx="273986" cy="233205"/>
    <xdr:sp macro="" textlink="">
      <xdr:nvSpPr>
        <xdr:cNvPr id="59" name="テキスト ボックス 58"/>
        <xdr:cNvSpPr txBox="1"/>
      </xdr:nvSpPr>
      <xdr:spPr>
        <a:xfrm>
          <a:off x="902940" y="1523710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3.</a:t>
          </a:r>
        </a:p>
      </xdr:txBody>
    </xdr:sp>
    <xdr:clientData/>
  </xdr:oneCellAnchor>
  <xdr:oneCellAnchor>
    <xdr:from>
      <xdr:col>13</xdr:col>
      <xdr:colOff>28575</xdr:colOff>
      <xdr:row>11</xdr:row>
      <xdr:rowOff>59265</xdr:rowOff>
    </xdr:from>
    <xdr:ext cx="273986" cy="233205"/>
    <xdr:sp macro="" textlink="">
      <xdr:nvSpPr>
        <xdr:cNvPr id="60" name="テキスト ボックス 59"/>
        <xdr:cNvSpPr txBox="1"/>
      </xdr:nvSpPr>
      <xdr:spPr>
        <a:xfrm>
          <a:off x="2505075" y="1754715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5.</a:t>
          </a:r>
        </a:p>
      </xdr:txBody>
    </xdr:sp>
    <xdr:clientData/>
  </xdr:oneCellAnchor>
  <xdr:oneCellAnchor>
    <xdr:from>
      <xdr:col>5</xdr:col>
      <xdr:colOff>154515</xdr:colOff>
      <xdr:row>12</xdr:row>
      <xdr:rowOff>147110</xdr:rowOff>
    </xdr:from>
    <xdr:ext cx="273986" cy="233205"/>
    <xdr:sp macro="" textlink="">
      <xdr:nvSpPr>
        <xdr:cNvPr id="61" name="テキスト ボックス 60"/>
        <xdr:cNvSpPr txBox="1"/>
      </xdr:nvSpPr>
      <xdr:spPr>
        <a:xfrm>
          <a:off x="1107015" y="1994960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6.</a:t>
          </a:r>
        </a:p>
      </xdr:txBody>
    </xdr:sp>
    <xdr:clientData/>
  </xdr:oneCellAnchor>
  <xdr:oneCellAnchor>
    <xdr:from>
      <xdr:col>10</xdr:col>
      <xdr:colOff>177799</xdr:colOff>
      <xdr:row>12</xdr:row>
      <xdr:rowOff>140758</xdr:rowOff>
    </xdr:from>
    <xdr:ext cx="273986" cy="233205"/>
    <xdr:sp macro="" textlink="">
      <xdr:nvSpPr>
        <xdr:cNvPr id="62" name="テキスト ボックス 61"/>
        <xdr:cNvSpPr txBox="1"/>
      </xdr:nvSpPr>
      <xdr:spPr>
        <a:xfrm>
          <a:off x="2082799" y="1988608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7.</a:t>
          </a:r>
        </a:p>
      </xdr:txBody>
    </xdr:sp>
    <xdr:clientData/>
  </xdr:oneCellAnchor>
  <xdr:oneCellAnchor>
    <xdr:from>
      <xdr:col>14</xdr:col>
      <xdr:colOff>142878</xdr:colOff>
      <xdr:row>13</xdr:row>
      <xdr:rowOff>25399</xdr:rowOff>
    </xdr:from>
    <xdr:ext cx="273986" cy="233205"/>
    <xdr:sp macro="" textlink="">
      <xdr:nvSpPr>
        <xdr:cNvPr id="63" name="テキスト ボックス 62"/>
        <xdr:cNvSpPr txBox="1"/>
      </xdr:nvSpPr>
      <xdr:spPr>
        <a:xfrm>
          <a:off x="2809878" y="202564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8.</a:t>
          </a:r>
        </a:p>
      </xdr:txBody>
    </xdr:sp>
    <xdr:clientData/>
  </xdr:oneCellAnchor>
  <xdr:oneCellAnchor>
    <xdr:from>
      <xdr:col>19</xdr:col>
      <xdr:colOff>158747</xdr:colOff>
      <xdr:row>12</xdr:row>
      <xdr:rowOff>27514</xdr:rowOff>
    </xdr:from>
    <xdr:ext cx="273986" cy="233205"/>
    <xdr:sp macro="" textlink="">
      <xdr:nvSpPr>
        <xdr:cNvPr id="64" name="テキスト ボックス 63"/>
        <xdr:cNvSpPr txBox="1"/>
      </xdr:nvSpPr>
      <xdr:spPr>
        <a:xfrm>
          <a:off x="3778247" y="1875364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9.</a:t>
          </a:r>
        </a:p>
      </xdr:txBody>
    </xdr:sp>
    <xdr:clientData/>
  </xdr:oneCellAnchor>
  <xdr:oneCellAnchor>
    <xdr:from>
      <xdr:col>15</xdr:col>
      <xdr:colOff>87843</xdr:colOff>
      <xdr:row>14</xdr:row>
      <xdr:rowOff>89957</xdr:rowOff>
    </xdr:from>
    <xdr:ext cx="332463" cy="233205"/>
    <xdr:sp macro="" textlink="">
      <xdr:nvSpPr>
        <xdr:cNvPr id="65" name="テキスト ボックス 64"/>
        <xdr:cNvSpPr txBox="1"/>
      </xdr:nvSpPr>
      <xdr:spPr>
        <a:xfrm>
          <a:off x="2945343" y="2242607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11.</a:t>
          </a:r>
        </a:p>
      </xdr:txBody>
    </xdr:sp>
    <xdr:clientData/>
  </xdr:oneCellAnchor>
  <xdr:oneCellAnchor>
    <xdr:from>
      <xdr:col>1</xdr:col>
      <xdr:colOff>49740</xdr:colOff>
      <xdr:row>23</xdr:row>
      <xdr:rowOff>44477</xdr:rowOff>
    </xdr:from>
    <xdr:ext cx="273986" cy="233205"/>
    <xdr:sp macro="" textlink="">
      <xdr:nvSpPr>
        <xdr:cNvPr id="96" name="テキスト ボックス 95"/>
        <xdr:cNvSpPr txBox="1"/>
      </xdr:nvSpPr>
      <xdr:spPr>
        <a:xfrm>
          <a:off x="240240" y="3568727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1.</a:t>
          </a:r>
        </a:p>
      </xdr:txBody>
    </xdr:sp>
    <xdr:clientData/>
  </xdr:oneCellAnchor>
  <xdr:oneCellAnchor>
    <xdr:from>
      <xdr:col>12</xdr:col>
      <xdr:colOff>67737</xdr:colOff>
      <xdr:row>23</xdr:row>
      <xdr:rowOff>52943</xdr:rowOff>
    </xdr:from>
    <xdr:ext cx="273986" cy="233205"/>
    <xdr:sp macro="" textlink="">
      <xdr:nvSpPr>
        <xdr:cNvPr id="97" name="テキスト ボックス 96"/>
        <xdr:cNvSpPr txBox="1"/>
      </xdr:nvSpPr>
      <xdr:spPr>
        <a:xfrm>
          <a:off x="2353737" y="3492526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2.</a:t>
          </a:r>
        </a:p>
      </xdr:txBody>
    </xdr:sp>
    <xdr:clientData/>
  </xdr:oneCellAnchor>
  <xdr:oneCellAnchor>
    <xdr:from>
      <xdr:col>1</xdr:col>
      <xdr:colOff>41272</xdr:colOff>
      <xdr:row>24</xdr:row>
      <xdr:rowOff>60351</xdr:rowOff>
    </xdr:from>
    <xdr:ext cx="273986" cy="233205"/>
    <xdr:sp macro="" textlink="">
      <xdr:nvSpPr>
        <xdr:cNvPr id="98" name="テキスト ボックス 97"/>
        <xdr:cNvSpPr txBox="1"/>
      </xdr:nvSpPr>
      <xdr:spPr>
        <a:xfrm>
          <a:off x="231772" y="3737001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3.</a:t>
          </a:r>
        </a:p>
      </xdr:txBody>
    </xdr:sp>
    <xdr:clientData/>
  </xdr:oneCellAnchor>
  <xdr:oneCellAnchor>
    <xdr:from>
      <xdr:col>0</xdr:col>
      <xdr:colOff>17807</xdr:colOff>
      <xdr:row>23</xdr:row>
      <xdr:rowOff>147066</xdr:rowOff>
    </xdr:from>
    <xdr:ext cx="294376" cy="264560"/>
    <xdr:sp macro="" textlink="">
      <xdr:nvSpPr>
        <xdr:cNvPr id="100" name="テキスト ボックス 99"/>
        <xdr:cNvSpPr txBox="1"/>
      </xdr:nvSpPr>
      <xdr:spPr>
        <a:xfrm>
          <a:off x="17807" y="3586649"/>
          <a:ext cx="2943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b.</a:t>
          </a:r>
          <a:endParaRPr kumimoji="1" lang="ja-JP" altLang="en-US" sz="1100"/>
        </a:p>
      </xdr:txBody>
    </xdr:sp>
    <xdr:clientData/>
  </xdr:oneCellAnchor>
  <xdr:twoCellAnchor>
    <xdr:from>
      <xdr:col>1</xdr:col>
      <xdr:colOff>28578</xdr:colOff>
      <xdr:row>23</xdr:row>
      <xdr:rowOff>91038</xdr:rowOff>
    </xdr:from>
    <xdr:to>
      <xdr:col>1</xdr:col>
      <xdr:colOff>170212</xdr:colOff>
      <xdr:row>25</xdr:row>
      <xdr:rowOff>146238</xdr:rowOff>
    </xdr:to>
    <xdr:sp macro="" textlink="">
      <xdr:nvSpPr>
        <xdr:cNvPr id="103" name="左中かっこ 102"/>
        <xdr:cNvSpPr/>
      </xdr:nvSpPr>
      <xdr:spPr>
        <a:xfrm>
          <a:off x="219078" y="3615288"/>
          <a:ext cx="141634" cy="3600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oneCellAnchor>
    <xdr:from>
      <xdr:col>20</xdr:col>
      <xdr:colOff>149226</xdr:colOff>
      <xdr:row>14</xdr:row>
      <xdr:rowOff>95249</xdr:rowOff>
    </xdr:from>
    <xdr:ext cx="332463" cy="233205"/>
    <xdr:sp macro="" textlink="">
      <xdr:nvSpPr>
        <xdr:cNvPr id="20" name="テキスト ボックス 19"/>
        <xdr:cNvSpPr txBox="1"/>
      </xdr:nvSpPr>
      <xdr:spPr>
        <a:xfrm>
          <a:off x="3959226" y="2247899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12.</a:t>
          </a:r>
        </a:p>
      </xdr:txBody>
    </xdr:sp>
    <xdr:clientData/>
  </xdr:oneCellAnchor>
  <xdr:oneCellAnchor>
    <xdr:from>
      <xdr:col>4</xdr:col>
      <xdr:colOff>137585</xdr:colOff>
      <xdr:row>16</xdr:row>
      <xdr:rowOff>99482</xdr:rowOff>
    </xdr:from>
    <xdr:ext cx="332463" cy="233205"/>
    <xdr:sp macro="" textlink="">
      <xdr:nvSpPr>
        <xdr:cNvPr id="21" name="テキスト ボックス 20"/>
        <xdr:cNvSpPr txBox="1"/>
      </xdr:nvSpPr>
      <xdr:spPr>
        <a:xfrm>
          <a:off x="899585" y="2556932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13.</a:t>
          </a:r>
        </a:p>
      </xdr:txBody>
    </xdr:sp>
    <xdr:clientData/>
  </xdr:oneCellAnchor>
  <xdr:twoCellAnchor>
    <xdr:from>
      <xdr:col>1</xdr:col>
      <xdr:colOff>59081</xdr:colOff>
      <xdr:row>26</xdr:row>
      <xdr:rowOff>104824</xdr:rowOff>
    </xdr:from>
    <xdr:to>
      <xdr:col>1</xdr:col>
      <xdr:colOff>152400</xdr:colOff>
      <xdr:row>34</xdr:row>
      <xdr:rowOff>31257</xdr:rowOff>
    </xdr:to>
    <xdr:sp macro="" textlink="">
      <xdr:nvSpPr>
        <xdr:cNvPr id="23" name="左中かっこ 22"/>
        <xdr:cNvSpPr/>
      </xdr:nvSpPr>
      <xdr:spPr>
        <a:xfrm>
          <a:off x="249581" y="4086274"/>
          <a:ext cx="93319" cy="1145633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oneCellAnchor>
    <xdr:from>
      <xdr:col>0</xdr:col>
      <xdr:colOff>25399</xdr:colOff>
      <xdr:row>29</xdr:row>
      <xdr:rowOff>42311</xdr:rowOff>
    </xdr:from>
    <xdr:ext cx="279885" cy="264560"/>
    <xdr:sp macro="" textlink="">
      <xdr:nvSpPr>
        <xdr:cNvPr id="24" name="テキスト ボックス 23"/>
        <xdr:cNvSpPr txBox="1"/>
      </xdr:nvSpPr>
      <xdr:spPr>
        <a:xfrm>
          <a:off x="25399" y="4480961"/>
          <a:ext cx="2798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c.</a:t>
          </a:r>
          <a:endParaRPr kumimoji="1" lang="ja-JP" altLang="en-US" sz="1100"/>
        </a:p>
      </xdr:txBody>
    </xdr:sp>
    <xdr:clientData/>
  </xdr:oneCellAnchor>
  <xdr:twoCellAnchor>
    <xdr:from>
      <xdr:col>1</xdr:col>
      <xdr:colOff>54848</xdr:colOff>
      <xdr:row>34</xdr:row>
      <xdr:rowOff>96357</xdr:rowOff>
    </xdr:from>
    <xdr:to>
      <xdr:col>1</xdr:col>
      <xdr:colOff>148167</xdr:colOff>
      <xdr:row>41</xdr:row>
      <xdr:rowOff>109557</xdr:rowOff>
    </xdr:to>
    <xdr:sp macro="" textlink="">
      <xdr:nvSpPr>
        <xdr:cNvPr id="25" name="左中かっこ 24"/>
        <xdr:cNvSpPr/>
      </xdr:nvSpPr>
      <xdr:spPr>
        <a:xfrm>
          <a:off x="245348" y="5297007"/>
          <a:ext cx="93319" cy="10800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oneCellAnchor>
    <xdr:from>
      <xdr:col>0</xdr:col>
      <xdr:colOff>21166</xdr:colOff>
      <xdr:row>37</xdr:row>
      <xdr:rowOff>24320</xdr:rowOff>
    </xdr:from>
    <xdr:ext cx="294376" cy="264560"/>
    <xdr:sp macro="" textlink="">
      <xdr:nvSpPr>
        <xdr:cNvPr id="26" name="テキスト ボックス 25"/>
        <xdr:cNvSpPr txBox="1"/>
      </xdr:nvSpPr>
      <xdr:spPr>
        <a:xfrm>
          <a:off x="21166" y="5682170"/>
          <a:ext cx="2943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d.</a:t>
          </a:r>
          <a:endParaRPr kumimoji="1" lang="ja-JP" altLang="en-US" sz="1100"/>
        </a:p>
      </xdr:txBody>
    </xdr:sp>
    <xdr:clientData/>
  </xdr:oneCellAnchor>
  <xdr:oneCellAnchor>
    <xdr:from>
      <xdr:col>5</xdr:col>
      <xdr:colOff>113239</xdr:colOff>
      <xdr:row>14</xdr:row>
      <xdr:rowOff>152396</xdr:rowOff>
    </xdr:from>
    <xdr:ext cx="332463" cy="233205"/>
    <xdr:sp macro="" textlink="">
      <xdr:nvSpPr>
        <xdr:cNvPr id="27" name="テキスト ボックス 26"/>
        <xdr:cNvSpPr txBox="1"/>
      </xdr:nvSpPr>
      <xdr:spPr>
        <a:xfrm>
          <a:off x="1065739" y="2305046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10.</a:t>
          </a:r>
        </a:p>
      </xdr:txBody>
    </xdr:sp>
    <xdr:clientData/>
  </xdr:oneCellAnchor>
  <xdr:oneCellAnchor>
    <xdr:from>
      <xdr:col>4</xdr:col>
      <xdr:colOff>151341</xdr:colOff>
      <xdr:row>11</xdr:row>
      <xdr:rowOff>70907</xdr:rowOff>
    </xdr:from>
    <xdr:ext cx="273986" cy="233205"/>
    <xdr:sp macro="" textlink="">
      <xdr:nvSpPr>
        <xdr:cNvPr id="31" name="テキスト ボックス 30"/>
        <xdr:cNvSpPr txBox="1"/>
      </xdr:nvSpPr>
      <xdr:spPr>
        <a:xfrm>
          <a:off x="913341" y="1766357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4.</a:t>
          </a:r>
        </a:p>
      </xdr:txBody>
    </xdr:sp>
    <xdr:clientData/>
  </xdr:oneCellAnchor>
  <xdr:oneCellAnchor>
    <xdr:from>
      <xdr:col>17</xdr:col>
      <xdr:colOff>120652</xdr:colOff>
      <xdr:row>22</xdr:row>
      <xdr:rowOff>42331</xdr:rowOff>
    </xdr:from>
    <xdr:ext cx="332463" cy="233205"/>
    <xdr:sp macro="" textlink="">
      <xdr:nvSpPr>
        <xdr:cNvPr id="32" name="テキスト ボックス 31"/>
        <xdr:cNvSpPr txBox="1"/>
      </xdr:nvSpPr>
      <xdr:spPr>
        <a:xfrm>
          <a:off x="3359152" y="3414181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15.</a:t>
          </a:r>
        </a:p>
      </xdr:txBody>
    </xdr:sp>
    <xdr:clientData/>
  </xdr:oneCellAnchor>
  <xdr:oneCellAnchor>
    <xdr:from>
      <xdr:col>18</xdr:col>
      <xdr:colOff>21167</xdr:colOff>
      <xdr:row>21</xdr:row>
      <xdr:rowOff>21167</xdr:rowOff>
    </xdr:from>
    <xdr:ext cx="332463" cy="233205"/>
    <xdr:sp macro="" textlink="">
      <xdr:nvSpPr>
        <xdr:cNvPr id="33" name="テキスト ボックス 32"/>
        <xdr:cNvSpPr txBox="1"/>
      </xdr:nvSpPr>
      <xdr:spPr>
        <a:xfrm>
          <a:off x="3450167" y="3240617"/>
          <a:ext cx="33246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14.</a:t>
          </a:r>
        </a:p>
      </xdr:txBody>
    </xdr:sp>
    <xdr:clientData/>
  </xdr:oneCellAnchor>
  <xdr:oneCellAnchor>
    <xdr:from>
      <xdr:col>4</xdr:col>
      <xdr:colOff>107674</xdr:colOff>
      <xdr:row>27</xdr:row>
      <xdr:rowOff>124240</xdr:rowOff>
    </xdr:from>
    <xdr:ext cx="273986" cy="233205"/>
    <xdr:sp macro="" textlink="">
      <xdr:nvSpPr>
        <xdr:cNvPr id="29" name="テキスト ボックス 28"/>
        <xdr:cNvSpPr txBox="1"/>
      </xdr:nvSpPr>
      <xdr:spPr>
        <a:xfrm>
          <a:off x="869674" y="4191001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1.</a:t>
          </a:r>
        </a:p>
      </xdr:txBody>
    </xdr:sp>
    <xdr:clientData/>
  </xdr:oneCellAnchor>
  <xdr:oneCellAnchor>
    <xdr:from>
      <xdr:col>14</xdr:col>
      <xdr:colOff>75975</xdr:colOff>
      <xdr:row>27</xdr:row>
      <xdr:rowOff>124423</xdr:rowOff>
    </xdr:from>
    <xdr:ext cx="273986" cy="233205"/>
    <xdr:sp macro="" textlink="">
      <xdr:nvSpPr>
        <xdr:cNvPr id="30" name="テキスト ボックス 29"/>
        <xdr:cNvSpPr txBox="1"/>
      </xdr:nvSpPr>
      <xdr:spPr>
        <a:xfrm>
          <a:off x="2742975" y="4191184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2.</a:t>
          </a:r>
        </a:p>
      </xdr:txBody>
    </xdr:sp>
    <xdr:clientData/>
  </xdr:oneCellAnchor>
  <xdr:oneCellAnchor>
    <xdr:from>
      <xdr:col>4</xdr:col>
      <xdr:colOff>107533</xdr:colOff>
      <xdr:row>29</xdr:row>
      <xdr:rowOff>76087</xdr:rowOff>
    </xdr:from>
    <xdr:ext cx="273986" cy="233205"/>
    <xdr:sp macro="" textlink="">
      <xdr:nvSpPr>
        <xdr:cNvPr id="34" name="テキスト ボックス 33"/>
        <xdr:cNvSpPr txBox="1"/>
      </xdr:nvSpPr>
      <xdr:spPr>
        <a:xfrm>
          <a:off x="869533" y="4441022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3.</a:t>
          </a:r>
        </a:p>
      </xdr:txBody>
    </xdr:sp>
    <xdr:clientData/>
  </xdr:oneCellAnchor>
  <xdr:oneCellAnchor>
    <xdr:from>
      <xdr:col>4</xdr:col>
      <xdr:colOff>119269</xdr:colOff>
      <xdr:row>31</xdr:row>
      <xdr:rowOff>19879</xdr:rowOff>
    </xdr:from>
    <xdr:ext cx="273986" cy="233205"/>
    <xdr:sp macro="" textlink="">
      <xdr:nvSpPr>
        <xdr:cNvPr id="36" name="テキスト ボックス 35"/>
        <xdr:cNvSpPr txBox="1"/>
      </xdr:nvSpPr>
      <xdr:spPr>
        <a:xfrm>
          <a:off x="881269" y="4682988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4.</a:t>
          </a:r>
        </a:p>
      </xdr:txBody>
    </xdr:sp>
    <xdr:clientData/>
  </xdr:oneCellAnchor>
  <xdr:oneCellAnchor>
    <xdr:from>
      <xdr:col>4</xdr:col>
      <xdr:colOff>119128</xdr:colOff>
      <xdr:row>32</xdr:row>
      <xdr:rowOff>120813</xdr:rowOff>
    </xdr:from>
    <xdr:ext cx="273986" cy="233205"/>
    <xdr:sp macro="" textlink="">
      <xdr:nvSpPr>
        <xdr:cNvPr id="37" name="テキスト ボックス 36"/>
        <xdr:cNvSpPr txBox="1"/>
      </xdr:nvSpPr>
      <xdr:spPr>
        <a:xfrm>
          <a:off x="881128" y="493300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6.</a:t>
          </a:r>
        </a:p>
      </xdr:txBody>
    </xdr:sp>
    <xdr:clientData/>
  </xdr:oneCellAnchor>
  <xdr:oneCellAnchor>
    <xdr:from>
      <xdr:col>12</xdr:col>
      <xdr:colOff>172139</xdr:colOff>
      <xdr:row>31</xdr:row>
      <xdr:rowOff>16451</xdr:rowOff>
    </xdr:from>
    <xdr:ext cx="273986" cy="233205"/>
    <xdr:sp macro="" textlink="">
      <xdr:nvSpPr>
        <xdr:cNvPr id="38" name="テキスト ボックス 37"/>
        <xdr:cNvSpPr txBox="1"/>
      </xdr:nvSpPr>
      <xdr:spPr>
        <a:xfrm>
          <a:off x="2458139" y="4679560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5.</a:t>
          </a:r>
        </a:p>
      </xdr:txBody>
    </xdr:sp>
    <xdr:clientData/>
  </xdr:oneCellAnchor>
  <xdr:oneCellAnchor>
    <xdr:from>
      <xdr:col>10</xdr:col>
      <xdr:colOff>163854</xdr:colOff>
      <xdr:row>32</xdr:row>
      <xdr:rowOff>115843</xdr:rowOff>
    </xdr:from>
    <xdr:ext cx="273986" cy="233205"/>
    <xdr:sp macro="" textlink="">
      <xdr:nvSpPr>
        <xdr:cNvPr id="39" name="テキスト ボックス 38"/>
        <xdr:cNvSpPr txBox="1"/>
      </xdr:nvSpPr>
      <xdr:spPr>
        <a:xfrm>
          <a:off x="2068854" y="492803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7.</a:t>
          </a:r>
        </a:p>
      </xdr:txBody>
    </xdr:sp>
    <xdr:clientData/>
  </xdr:oneCellAnchor>
  <xdr:oneCellAnchor>
    <xdr:from>
      <xdr:col>14</xdr:col>
      <xdr:colOff>92624</xdr:colOff>
      <xdr:row>32</xdr:row>
      <xdr:rowOff>127438</xdr:rowOff>
    </xdr:from>
    <xdr:ext cx="273986" cy="233205"/>
    <xdr:sp macro="" textlink="">
      <xdr:nvSpPr>
        <xdr:cNvPr id="40" name="テキスト ボックス 39"/>
        <xdr:cNvSpPr txBox="1"/>
      </xdr:nvSpPr>
      <xdr:spPr>
        <a:xfrm>
          <a:off x="2759624" y="4939634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8.</a:t>
          </a:r>
        </a:p>
      </xdr:txBody>
    </xdr:sp>
    <xdr:clientData/>
  </xdr:oneCellAnchor>
  <xdr:oneCellAnchor>
    <xdr:from>
      <xdr:col>19</xdr:col>
      <xdr:colOff>153916</xdr:colOff>
      <xdr:row>31</xdr:row>
      <xdr:rowOff>31360</xdr:rowOff>
    </xdr:from>
    <xdr:ext cx="273986" cy="233205"/>
    <xdr:sp macro="" textlink="">
      <xdr:nvSpPr>
        <xdr:cNvPr id="41" name="テキスト ボックス 40"/>
        <xdr:cNvSpPr txBox="1"/>
      </xdr:nvSpPr>
      <xdr:spPr>
        <a:xfrm>
          <a:off x="3773416" y="469446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9.</a:t>
          </a:r>
        </a:p>
      </xdr:txBody>
    </xdr:sp>
    <xdr:clientData/>
  </xdr:oneCellAnchor>
  <xdr:oneCellAnchor>
    <xdr:from>
      <xdr:col>4</xdr:col>
      <xdr:colOff>135835</xdr:colOff>
      <xdr:row>35</xdr:row>
      <xdr:rowOff>69574</xdr:rowOff>
    </xdr:from>
    <xdr:ext cx="273986" cy="233205"/>
    <xdr:sp macro="" textlink="">
      <xdr:nvSpPr>
        <xdr:cNvPr id="42" name="テキスト ボックス 41"/>
        <xdr:cNvSpPr txBox="1"/>
      </xdr:nvSpPr>
      <xdr:spPr>
        <a:xfrm>
          <a:off x="897835" y="5329031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1.</a:t>
          </a:r>
        </a:p>
      </xdr:txBody>
    </xdr:sp>
    <xdr:clientData/>
  </xdr:oneCellAnchor>
  <xdr:oneCellAnchor>
    <xdr:from>
      <xdr:col>14</xdr:col>
      <xdr:colOff>104136</xdr:colOff>
      <xdr:row>35</xdr:row>
      <xdr:rowOff>69757</xdr:rowOff>
    </xdr:from>
    <xdr:ext cx="273986" cy="233205"/>
    <xdr:sp macro="" textlink="">
      <xdr:nvSpPr>
        <xdr:cNvPr id="43" name="テキスト ボックス 42"/>
        <xdr:cNvSpPr txBox="1"/>
      </xdr:nvSpPr>
      <xdr:spPr>
        <a:xfrm>
          <a:off x="2771136" y="5329214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2.</a:t>
          </a:r>
        </a:p>
      </xdr:txBody>
    </xdr:sp>
    <xdr:clientData/>
  </xdr:oneCellAnchor>
  <xdr:oneCellAnchor>
    <xdr:from>
      <xdr:col>4</xdr:col>
      <xdr:colOff>135694</xdr:colOff>
      <xdr:row>37</xdr:row>
      <xdr:rowOff>21422</xdr:rowOff>
    </xdr:from>
    <xdr:ext cx="273986" cy="233205"/>
    <xdr:sp macro="" textlink="">
      <xdr:nvSpPr>
        <xdr:cNvPr id="44" name="テキスト ボックス 43"/>
        <xdr:cNvSpPr txBox="1"/>
      </xdr:nvSpPr>
      <xdr:spPr>
        <a:xfrm>
          <a:off x="897694" y="5579052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3.</a:t>
          </a:r>
        </a:p>
      </xdr:txBody>
    </xdr:sp>
    <xdr:clientData/>
  </xdr:oneCellAnchor>
  <xdr:oneCellAnchor>
    <xdr:from>
      <xdr:col>4</xdr:col>
      <xdr:colOff>147430</xdr:colOff>
      <xdr:row>38</xdr:row>
      <xdr:rowOff>114301</xdr:rowOff>
    </xdr:from>
    <xdr:ext cx="273986" cy="233205"/>
    <xdr:sp macro="" textlink="">
      <xdr:nvSpPr>
        <xdr:cNvPr id="45" name="テキスト ボックス 44"/>
        <xdr:cNvSpPr txBox="1"/>
      </xdr:nvSpPr>
      <xdr:spPr>
        <a:xfrm>
          <a:off x="909430" y="5821018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4.</a:t>
          </a:r>
        </a:p>
      </xdr:txBody>
    </xdr:sp>
    <xdr:clientData/>
  </xdr:oneCellAnchor>
  <xdr:oneCellAnchor>
    <xdr:from>
      <xdr:col>4</xdr:col>
      <xdr:colOff>147289</xdr:colOff>
      <xdr:row>40</xdr:row>
      <xdr:rowOff>66148</xdr:rowOff>
    </xdr:from>
    <xdr:ext cx="273986" cy="233205"/>
    <xdr:sp macro="" textlink="">
      <xdr:nvSpPr>
        <xdr:cNvPr id="46" name="テキスト ボックス 45"/>
        <xdr:cNvSpPr txBox="1"/>
      </xdr:nvSpPr>
      <xdr:spPr>
        <a:xfrm>
          <a:off x="909289" y="607103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6.</a:t>
          </a:r>
        </a:p>
      </xdr:txBody>
    </xdr:sp>
    <xdr:clientData/>
  </xdr:oneCellAnchor>
  <xdr:oneCellAnchor>
    <xdr:from>
      <xdr:col>13</xdr:col>
      <xdr:colOff>9800</xdr:colOff>
      <xdr:row>38</xdr:row>
      <xdr:rowOff>110873</xdr:rowOff>
    </xdr:from>
    <xdr:ext cx="273986" cy="233205"/>
    <xdr:sp macro="" textlink="">
      <xdr:nvSpPr>
        <xdr:cNvPr id="47" name="テキスト ボックス 46"/>
        <xdr:cNvSpPr txBox="1"/>
      </xdr:nvSpPr>
      <xdr:spPr>
        <a:xfrm>
          <a:off x="2486300" y="5817590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5.</a:t>
          </a:r>
        </a:p>
      </xdr:txBody>
    </xdr:sp>
    <xdr:clientData/>
  </xdr:oneCellAnchor>
  <xdr:oneCellAnchor>
    <xdr:from>
      <xdr:col>11</xdr:col>
      <xdr:colOff>1515</xdr:colOff>
      <xdr:row>40</xdr:row>
      <xdr:rowOff>61178</xdr:rowOff>
    </xdr:from>
    <xdr:ext cx="273986" cy="233205"/>
    <xdr:sp macro="" textlink="">
      <xdr:nvSpPr>
        <xdr:cNvPr id="48" name="テキスト ボックス 47"/>
        <xdr:cNvSpPr txBox="1"/>
      </xdr:nvSpPr>
      <xdr:spPr>
        <a:xfrm>
          <a:off x="2097015" y="606606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7.</a:t>
          </a:r>
        </a:p>
      </xdr:txBody>
    </xdr:sp>
    <xdr:clientData/>
  </xdr:oneCellAnchor>
  <xdr:oneCellAnchor>
    <xdr:from>
      <xdr:col>14</xdr:col>
      <xdr:colOff>120785</xdr:colOff>
      <xdr:row>40</xdr:row>
      <xdr:rowOff>72773</xdr:rowOff>
    </xdr:from>
    <xdr:ext cx="273986" cy="233205"/>
    <xdr:sp macro="" textlink="">
      <xdr:nvSpPr>
        <xdr:cNvPr id="49" name="テキスト ボックス 48"/>
        <xdr:cNvSpPr txBox="1"/>
      </xdr:nvSpPr>
      <xdr:spPr>
        <a:xfrm>
          <a:off x="2787785" y="6077664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8.</a:t>
          </a:r>
        </a:p>
      </xdr:txBody>
    </xdr:sp>
    <xdr:clientData/>
  </xdr:oneCellAnchor>
  <xdr:oneCellAnchor>
    <xdr:from>
      <xdr:col>19</xdr:col>
      <xdr:colOff>182077</xdr:colOff>
      <xdr:row>38</xdr:row>
      <xdr:rowOff>125782</xdr:rowOff>
    </xdr:from>
    <xdr:ext cx="273986" cy="233205"/>
    <xdr:sp macro="" textlink="">
      <xdr:nvSpPr>
        <xdr:cNvPr id="50" name="テキスト ボックス 49"/>
        <xdr:cNvSpPr txBox="1"/>
      </xdr:nvSpPr>
      <xdr:spPr>
        <a:xfrm>
          <a:off x="3801577" y="5832499"/>
          <a:ext cx="27398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900" b="1">
              <a:solidFill>
                <a:srgbClr val="FF0000"/>
              </a:solidFill>
            </a:rPr>
            <a:t>9.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12</xdr:col>
          <xdr:colOff>9525</xdr:colOff>
          <xdr:row>2</xdr:row>
          <xdr:rowOff>38100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表紙!$BA$55:$BJ$57" spid="_x0000_s1034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534525" cy="438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76199</xdr:colOff>
      <xdr:row>2</xdr:row>
      <xdr:rowOff>19050</xdr:rowOff>
    </xdr:from>
    <xdr:ext cx="438151" cy="438151"/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514350"/>
          <a:ext cx="438151" cy="438151"/>
        </a:xfrm>
        <a:prstGeom prst="rect">
          <a:avLst/>
        </a:prstGeom>
      </xdr:spPr>
    </xdr:pic>
    <xdr:clientData/>
  </xdr:oneCellAnchor>
  <xdr:oneCellAnchor>
    <xdr:from>
      <xdr:col>24</xdr:col>
      <xdr:colOff>76199</xdr:colOff>
      <xdr:row>14</xdr:row>
      <xdr:rowOff>19050</xdr:rowOff>
    </xdr:from>
    <xdr:ext cx="438151" cy="438151"/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514350"/>
          <a:ext cx="438151" cy="438151"/>
        </a:xfrm>
        <a:prstGeom prst="rect">
          <a:avLst/>
        </a:prstGeom>
      </xdr:spPr>
    </xdr:pic>
    <xdr:clientData/>
  </xdr:oneCellAnchor>
  <xdr:oneCellAnchor>
    <xdr:from>
      <xdr:col>24</xdr:col>
      <xdr:colOff>76199</xdr:colOff>
      <xdr:row>19</xdr:row>
      <xdr:rowOff>19050</xdr:rowOff>
    </xdr:from>
    <xdr:ext cx="438151" cy="438151"/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3448050"/>
          <a:ext cx="438151" cy="438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00"/>
        </a:solidFill>
        <a:ln>
          <a:solidFill>
            <a:srgbClr val="FF0000"/>
          </a:solidFill>
        </a:ln>
      </a:spPr>
      <a:bodyPr vertOverflow="clip" rtlCol="0" anchor="ctr"/>
      <a:lstStyle>
        <a:defPPr algn="l">
          <a:defRPr kumimoji="1" sz="1100">
            <a:solidFill>
              <a:sysClr val="windowText" lastClr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99"/>
    <pageSetUpPr fitToPage="1"/>
  </sheetPr>
  <dimension ref="A3:BJ73"/>
  <sheetViews>
    <sheetView showGridLines="0" topLeftCell="V34" zoomScaleNormal="100" zoomScaleSheetLayoutView="90" workbookViewId="0">
      <selection activeCell="BA71" sqref="BA71:BF73"/>
    </sheetView>
  </sheetViews>
  <sheetFormatPr defaultRowHeight="12"/>
  <cols>
    <col min="1" max="50" width="3.33203125" style="1" customWidth="1"/>
    <col min="51" max="52" width="9.33203125" style="1"/>
    <col min="53" max="53" width="23.33203125" style="1" customWidth="1"/>
    <col min="54" max="54" width="13.33203125" style="1" customWidth="1"/>
    <col min="55" max="55" width="23.33203125" style="1" customWidth="1"/>
    <col min="56" max="56" width="13.33203125" style="1" customWidth="1"/>
    <col min="57" max="57" width="23.33203125" style="1" customWidth="1"/>
    <col min="58" max="58" width="13.33203125" style="1" customWidth="1"/>
    <col min="59" max="59" width="16.6640625" style="1" customWidth="1"/>
    <col min="60" max="62" width="13.33203125" style="1" customWidth="1"/>
    <col min="63" max="16384" width="9.33203125" style="1"/>
  </cols>
  <sheetData>
    <row r="3" spans="32:49" ht="11.25" customHeight="1">
      <c r="AF3" s="278" t="s">
        <v>0</v>
      </c>
      <c r="AG3" s="288"/>
      <c r="AH3" s="288"/>
      <c r="AI3" s="288"/>
      <c r="AJ3" s="288"/>
      <c r="AK3" s="289"/>
      <c r="AL3" s="295" t="s">
        <v>22</v>
      </c>
      <c r="AM3" s="295"/>
      <c r="AN3" s="295"/>
      <c r="AO3" s="295"/>
      <c r="AP3" s="295"/>
      <c r="AQ3" s="295"/>
      <c r="AR3" s="284" t="s">
        <v>1</v>
      </c>
      <c r="AS3" s="285"/>
      <c r="AT3" s="285"/>
      <c r="AU3" s="285"/>
      <c r="AV3" s="285"/>
      <c r="AW3" s="286"/>
    </row>
    <row r="4" spans="32:49" ht="11.25" customHeight="1">
      <c r="AF4" s="290"/>
      <c r="AG4" s="288"/>
      <c r="AH4" s="288"/>
      <c r="AI4" s="288"/>
      <c r="AJ4" s="288"/>
      <c r="AK4" s="289"/>
      <c r="AL4" s="295"/>
      <c r="AM4" s="295"/>
      <c r="AN4" s="295"/>
      <c r="AO4" s="295"/>
      <c r="AP4" s="295"/>
      <c r="AQ4" s="295"/>
      <c r="AR4" s="284"/>
      <c r="AS4" s="285"/>
      <c r="AT4" s="285"/>
      <c r="AU4" s="285"/>
      <c r="AV4" s="285"/>
      <c r="AW4" s="286"/>
    </row>
    <row r="5" spans="32:49" ht="11.25" customHeight="1">
      <c r="AF5" s="287" t="str">
        <f>IF(文書番号="","",文書番号)</f>
        <v>XX-XX-9999</v>
      </c>
      <c r="AG5" s="288"/>
      <c r="AH5" s="288"/>
      <c r="AI5" s="288"/>
      <c r="AJ5" s="288"/>
      <c r="AK5" s="289"/>
      <c r="AL5" s="291" t="str">
        <f>IF(Version="","",Version)</f>
        <v>7.0.1.1</v>
      </c>
      <c r="AM5" s="291"/>
      <c r="AN5" s="291"/>
      <c r="AO5" s="291"/>
      <c r="AP5" s="291"/>
      <c r="AQ5" s="291"/>
      <c r="AR5" s="292" t="str">
        <f>IF(Rev="","",Rev)</f>
        <v>r02.00</v>
      </c>
      <c r="AS5" s="293"/>
      <c r="AT5" s="293"/>
      <c r="AU5" s="293"/>
      <c r="AV5" s="293"/>
      <c r="AW5" s="294"/>
    </row>
    <row r="6" spans="32:49" ht="11.25" customHeight="1">
      <c r="AF6" s="290"/>
      <c r="AG6" s="288"/>
      <c r="AH6" s="288"/>
      <c r="AI6" s="288"/>
      <c r="AJ6" s="288"/>
      <c r="AK6" s="289"/>
      <c r="AL6" s="291"/>
      <c r="AM6" s="291"/>
      <c r="AN6" s="291"/>
      <c r="AO6" s="291"/>
      <c r="AP6" s="291"/>
      <c r="AQ6" s="291"/>
      <c r="AR6" s="292"/>
      <c r="AS6" s="293"/>
      <c r="AT6" s="293"/>
      <c r="AU6" s="293"/>
      <c r="AV6" s="293"/>
      <c r="AW6" s="294"/>
    </row>
    <row r="27" spans="16:33" ht="22.5" customHeight="1">
      <c r="P27" s="274" t="s">
        <v>2</v>
      </c>
      <c r="Q27" s="275"/>
      <c r="R27" s="275"/>
      <c r="S27" s="275"/>
      <c r="T27" s="275"/>
      <c r="U27" s="276"/>
      <c r="V27" s="265" t="str">
        <f>IF(顧客名="","",顧客名)</f>
        <v>株式会社XXXX殿</v>
      </c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7"/>
    </row>
    <row r="28" spans="16:33" ht="22.5" customHeight="1">
      <c r="P28" s="274" t="s">
        <v>3</v>
      </c>
      <c r="Q28" s="275"/>
      <c r="R28" s="275"/>
      <c r="S28" s="275"/>
      <c r="T28" s="275"/>
      <c r="U28" s="276"/>
      <c r="V28" s="265" t="str">
        <f>IF(プロジェクト名="","",プロジェクト名)</f>
        <v>新基幹システム構築プロジェクト</v>
      </c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7"/>
    </row>
    <row r="29" spans="16:33" ht="22.5" customHeight="1">
      <c r="P29" s="274" t="s">
        <v>4</v>
      </c>
      <c r="Q29" s="275"/>
      <c r="R29" s="275"/>
      <c r="S29" s="275"/>
      <c r="T29" s="275"/>
      <c r="U29" s="276"/>
      <c r="V29" s="265" t="str">
        <f>IF(分類ID="","",分類ID)</f>
        <v>MSBF</v>
      </c>
      <c r="W29" s="266"/>
      <c r="X29" s="266"/>
      <c r="Y29" s="266"/>
      <c r="Z29" s="266"/>
      <c r="AA29" s="267"/>
      <c r="AB29" s="271" t="str">
        <f>IF(機能ID="","",機能ID)</f>
        <v>MSBFRA020</v>
      </c>
      <c r="AC29" s="272"/>
      <c r="AD29" s="272"/>
      <c r="AE29" s="272"/>
      <c r="AF29" s="272"/>
      <c r="AG29" s="273"/>
    </row>
    <row r="30" spans="16:33" ht="22.5" customHeight="1">
      <c r="P30" s="281" t="s">
        <v>5</v>
      </c>
      <c r="Q30" s="282"/>
      <c r="R30" s="282"/>
      <c r="S30" s="282"/>
      <c r="T30" s="282"/>
      <c r="U30" s="283"/>
      <c r="V30" s="265" t="str">
        <f>IF(分類名="","",分類名)</f>
        <v>品質管理</v>
      </c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7"/>
    </row>
    <row r="31" spans="16:33" ht="22.5" customHeight="1">
      <c r="P31" s="278" t="s">
        <v>6</v>
      </c>
      <c r="Q31" s="279"/>
      <c r="R31" s="279"/>
      <c r="S31" s="279"/>
      <c r="T31" s="279"/>
      <c r="U31" s="280"/>
      <c r="V31" s="268" t="str">
        <f>IF(機能名="","",機能名)</f>
        <v>部材現品票</v>
      </c>
      <c r="W31" s="269"/>
      <c r="X31" s="269"/>
      <c r="Y31" s="269"/>
      <c r="Z31" s="269"/>
      <c r="AA31" s="269"/>
      <c r="AB31" s="269"/>
      <c r="AC31" s="269"/>
      <c r="AD31" s="269"/>
      <c r="AE31" s="269"/>
      <c r="AF31" s="269"/>
      <c r="AG31" s="270"/>
    </row>
    <row r="41" spans="53:62" ht="11.25" customHeight="1"/>
    <row r="42" spans="53:62" ht="11.25" customHeight="1"/>
    <row r="43" spans="53:62" ht="11.25" customHeight="1"/>
    <row r="44" spans="53:62" ht="11.25" customHeight="1"/>
    <row r="46" spans="53:62" ht="12.75" thickBot="1"/>
    <row r="47" spans="53:62" ht="11.25" customHeight="1">
      <c r="BA47" s="262" t="s">
        <v>24</v>
      </c>
      <c r="BB47" s="175" t="s">
        <v>2</v>
      </c>
      <c r="BC47" s="176" t="str">
        <f>IF(顧客名="","",顧客名)</f>
        <v>株式会社XXXX殿</v>
      </c>
      <c r="BD47" s="177" t="s">
        <v>214</v>
      </c>
      <c r="BE47" s="176" t="str">
        <f>IF(システム="","",システム)</f>
        <v>mcframe7</v>
      </c>
      <c r="BF47" s="177" t="s">
        <v>18</v>
      </c>
      <c r="BG47" s="176" t="str">
        <f>IF(作成者="","",作成者)</f>
        <v>XX</v>
      </c>
      <c r="BH47" s="177" t="s">
        <v>19</v>
      </c>
      <c r="BI47" s="178">
        <f>IF(作成日="","",作成日)</f>
        <v>42871</v>
      </c>
      <c r="BJ47" s="179" t="s">
        <v>0</v>
      </c>
    </row>
    <row r="48" spans="53:62" ht="11.25" customHeight="1">
      <c r="BA48" s="263"/>
      <c r="BB48" s="180" t="s">
        <v>187</v>
      </c>
      <c r="BC48" s="181" t="str">
        <f>IF(プロジェクト名="","",プロジェクト名)</f>
        <v>新基幹システム構築プロジェクト</v>
      </c>
      <c r="BD48" s="182" t="s">
        <v>215</v>
      </c>
      <c r="BE48" s="181" t="str">
        <f>IF(サブシステム="","",サブシステム)</f>
        <v>SCM</v>
      </c>
      <c r="BF48" s="182" t="s">
        <v>11</v>
      </c>
      <c r="BG48" s="181" t="str">
        <f>IF(修正者="","",修正者)</f>
        <v>XX</v>
      </c>
      <c r="BH48" s="182" t="s">
        <v>12</v>
      </c>
      <c r="BI48" s="183">
        <f>IF(修正日="","",修正日)</f>
        <v>43006</v>
      </c>
      <c r="BJ48" s="75" t="str">
        <f>IF(文書番号="","",文書番号)</f>
        <v>XX-XX-9999</v>
      </c>
    </row>
    <row r="49" spans="1:62" ht="11.25" customHeight="1" thickBot="1">
      <c r="BA49" s="264"/>
      <c r="BB49" s="184" t="s">
        <v>14</v>
      </c>
      <c r="BC49" s="185" t="str">
        <f>IF(機能ID="","",機能ID)</f>
        <v>MSBFRA020</v>
      </c>
      <c r="BD49" s="186" t="s">
        <v>6</v>
      </c>
      <c r="BE49" s="77" t="str">
        <f>IF(機能名="","",機能名)</f>
        <v>部材現品票</v>
      </c>
      <c r="BF49" s="77"/>
      <c r="BG49" s="77"/>
      <c r="BH49" s="186" t="s">
        <v>216</v>
      </c>
      <c r="BI49" s="187" t="str">
        <f>IF(Rev="","",Rev)</f>
        <v>r02.00</v>
      </c>
      <c r="BJ49" s="78"/>
    </row>
    <row r="50" spans="1:62" ht="11.25" customHeight="1" thickBot="1">
      <c r="A50" s="2" t="s">
        <v>23</v>
      </c>
      <c r="BA50" s="188"/>
    </row>
    <row r="51" spans="1:62" ht="11.25" customHeight="1">
      <c r="A51" s="274" t="s">
        <v>2</v>
      </c>
      <c r="B51" s="275"/>
      <c r="C51" s="275"/>
      <c r="D51" s="275"/>
      <c r="E51" s="275"/>
      <c r="F51" s="276"/>
      <c r="G51" s="277" t="s">
        <v>193</v>
      </c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70"/>
      <c r="BA51" s="262" t="s">
        <v>59</v>
      </c>
      <c r="BB51" s="175" t="s">
        <v>2</v>
      </c>
      <c r="BC51" s="176" t="str">
        <f>IF(顧客名="","",顧客名)</f>
        <v>株式会社XXXX殿</v>
      </c>
      <c r="BD51" s="177" t="s">
        <v>188</v>
      </c>
      <c r="BE51" s="176" t="str">
        <f>IF(システム="","",システム)</f>
        <v>mcframe7</v>
      </c>
      <c r="BF51" s="177" t="s">
        <v>18</v>
      </c>
      <c r="BG51" s="176" t="str">
        <f>IF(作成者="","",作成者)</f>
        <v>XX</v>
      </c>
      <c r="BH51" s="177" t="s">
        <v>19</v>
      </c>
      <c r="BI51" s="178">
        <f>IF(作成日="","",作成日)</f>
        <v>42871</v>
      </c>
      <c r="BJ51" s="179" t="s">
        <v>0</v>
      </c>
    </row>
    <row r="52" spans="1:62" ht="11.25" customHeight="1">
      <c r="A52" s="274" t="s">
        <v>3</v>
      </c>
      <c r="B52" s="275"/>
      <c r="C52" s="275"/>
      <c r="D52" s="275"/>
      <c r="E52" s="275"/>
      <c r="F52" s="276"/>
      <c r="G52" s="268" t="s">
        <v>70</v>
      </c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70"/>
      <c r="BA52" s="263"/>
      <c r="BB52" s="180" t="s">
        <v>217</v>
      </c>
      <c r="BC52" s="181" t="str">
        <f>IF(プロジェクト名="","",プロジェクト名)</f>
        <v>新基幹システム構築プロジェクト</v>
      </c>
      <c r="BD52" s="182" t="s">
        <v>215</v>
      </c>
      <c r="BE52" s="181" t="str">
        <f>IF(サブシステム="","",サブシステム)</f>
        <v>SCM</v>
      </c>
      <c r="BF52" s="182" t="s">
        <v>11</v>
      </c>
      <c r="BG52" s="181" t="str">
        <f>IF(修正者="","",修正者)</f>
        <v>XX</v>
      </c>
      <c r="BH52" s="182" t="s">
        <v>12</v>
      </c>
      <c r="BI52" s="183">
        <f>IF(修正日="","",修正日)</f>
        <v>43006</v>
      </c>
      <c r="BJ52" s="75" t="str">
        <f>IF(文書番号="","",文書番号)</f>
        <v>XX-XX-9999</v>
      </c>
    </row>
    <row r="53" spans="1:62" ht="11.25" customHeight="1" thickBot="1">
      <c r="A53" s="274" t="s">
        <v>16</v>
      </c>
      <c r="B53" s="275"/>
      <c r="C53" s="275"/>
      <c r="D53" s="275"/>
      <c r="E53" s="275"/>
      <c r="F53" s="276"/>
      <c r="G53" s="268" t="s">
        <v>92</v>
      </c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70"/>
      <c r="BA53" s="264"/>
      <c r="BB53" s="184" t="s">
        <v>14</v>
      </c>
      <c r="BC53" s="185" t="str">
        <f>IF(機能ID="","",機能ID)</f>
        <v>MSBFRA020</v>
      </c>
      <c r="BD53" s="186" t="s">
        <v>6</v>
      </c>
      <c r="BE53" s="77" t="str">
        <f>IF(機能名="","",機能名)</f>
        <v>部材現品票</v>
      </c>
      <c r="BF53" s="77"/>
      <c r="BG53" s="77"/>
      <c r="BH53" s="186" t="s">
        <v>218</v>
      </c>
      <c r="BI53" s="187" t="str">
        <f>IF(Rev="","",Rev)</f>
        <v>r02.00</v>
      </c>
      <c r="BJ53" s="78"/>
    </row>
    <row r="54" spans="1:62" ht="11.25" customHeight="1" thickBot="1">
      <c r="A54" s="274" t="s">
        <v>22</v>
      </c>
      <c r="B54" s="275"/>
      <c r="C54" s="275"/>
      <c r="D54" s="275"/>
      <c r="E54" s="275"/>
      <c r="F54" s="276"/>
      <c r="G54" s="296" t="s">
        <v>213</v>
      </c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70"/>
      <c r="BA54" s="188"/>
    </row>
    <row r="55" spans="1:62" ht="11.25" customHeight="1">
      <c r="A55" s="274" t="s">
        <v>17</v>
      </c>
      <c r="B55" s="275"/>
      <c r="C55" s="275"/>
      <c r="D55" s="275"/>
      <c r="E55" s="275"/>
      <c r="F55" s="276"/>
      <c r="G55" s="268" t="s">
        <v>76</v>
      </c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70"/>
      <c r="BA55" s="262" t="s">
        <v>219</v>
      </c>
      <c r="BB55" s="175" t="s">
        <v>2</v>
      </c>
      <c r="BC55" s="176" t="str">
        <f>IF(顧客名="","",顧客名)</f>
        <v>株式会社XXXX殿</v>
      </c>
      <c r="BD55" s="177" t="s">
        <v>220</v>
      </c>
      <c r="BE55" s="176" t="str">
        <f>IF(システム="","",システム)</f>
        <v>mcframe7</v>
      </c>
      <c r="BF55" s="177" t="s">
        <v>18</v>
      </c>
      <c r="BG55" s="176" t="str">
        <f>IF(作成者="","",作成者)</f>
        <v>XX</v>
      </c>
      <c r="BH55" s="177" t="s">
        <v>19</v>
      </c>
      <c r="BI55" s="178">
        <f>IF(作成日="","",作成日)</f>
        <v>42871</v>
      </c>
      <c r="BJ55" s="179" t="s">
        <v>0</v>
      </c>
    </row>
    <row r="56" spans="1:62" ht="11.25" customHeight="1">
      <c r="A56" s="274" t="s">
        <v>21</v>
      </c>
      <c r="B56" s="275"/>
      <c r="C56" s="275"/>
      <c r="D56" s="275"/>
      <c r="E56" s="275"/>
      <c r="F56" s="276"/>
      <c r="G56" s="268" t="s">
        <v>134</v>
      </c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70"/>
      <c r="BA56" s="263"/>
      <c r="BB56" s="180" t="s">
        <v>217</v>
      </c>
      <c r="BC56" s="181" t="str">
        <f>IF(プロジェクト名="","",プロジェクト名)</f>
        <v>新基幹システム構築プロジェクト</v>
      </c>
      <c r="BD56" s="182" t="s">
        <v>221</v>
      </c>
      <c r="BE56" s="181" t="str">
        <f>IF(サブシステム="","",サブシステム)</f>
        <v>SCM</v>
      </c>
      <c r="BF56" s="182" t="s">
        <v>11</v>
      </c>
      <c r="BG56" s="181" t="str">
        <f>IF(修正者="","",修正者)</f>
        <v>XX</v>
      </c>
      <c r="BH56" s="182" t="s">
        <v>12</v>
      </c>
      <c r="BI56" s="183">
        <f>IF(修正日="","",修正日)</f>
        <v>43006</v>
      </c>
      <c r="BJ56" s="75" t="str">
        <f>IF(文書番号="","",文書番号)</f>
        <v>XX-XX-9999</v>
      </c>
    </row>
    <row r="57" spans="1:62" ht="11.25" customHeight="1" thickBot="1">
      <c r="A57" s="274" t="s">
        <v>14</v>
      </c>
      <c r="B57" s="275"/>
      <c r="C57" s="275"/>
      <c r="D57" s="275"/>
      <c r="E57" s="275"/>
      <c r="F57" s="276"/>
      <c r="G57" s="268" t="s">
        <v>136</v>
      </c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70"/>
      <c r="BA57" s="264"/>
      <c r="BB57" s="184" t="s">
        <v>14</v>
      </c>
      <c r="BC57" s="185" t="str">
        <f>IF(機能ID="","",機能ID)</f>
        <v>MSBFRA020</v>
      </c>
      <c r="BD57" s="186" t="s">
        <v>6</v>
      </c>
      <c r="BE57" s="77" t="str">
        <f>IF(機能名="","",機能名)</f>
        <v>部材現品票</v>
      </c>
      <c r="BF57" s="77"/>
      <c r="BG57" s="77"/>
      <c r="BH57" s="186" t="s">
        <v>222</v>
      </c>
      <c r="BI57" s="187" t="str">
        <f>IF(Rev="","",Rev)</f>
        <v>r02.00</v>
      </c>
      <c r="BJ57" s="78"/>
    </row>
    <row r="58" spans="1:62" ht="11.25" customHeight="1" thickBot="1">
      <c r="A58" s="278" t="s">
        <v>5</v>
      </c>
      <c r="B58" s="279"/>
      <c r="C58" s="279"/>
      <c r="D58" s="279"/>
      <c r="E58" s="279"/>
      <c r="F58" s="280"/>
      <c r="G58" s="268" t="s">
        <v>84</v>
      </c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70"/>
      <c r="BA58" s="188"/>
    </row>
    <row r="59" spans="1:62" ht="11.25" customHeight="1">
      <c r="A59" s="278" t="s">
        <v>6</v>
      </c>
      <c r="B59" s="279"/>
      <c r="C59" s="279"/>
      <c r="D59" s="279"/>
      <c r="E59" s="279"/>
      <c r="F59" s="280"/>
      <c r="G59" s="268" t="s">
        <v>91</v>
      </c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70"/>
      <c r="BA59" s="262" t="s">
        <v>223</v>
      </c>
      <c r="BB59" s="175" t="s">
        <v>2</v>
      </c>
      <c r="BC59" s="176" t="str">
        <f>IF(顧客名="","",顧客名)</f>
        <v>株式会社XXXX殿</v>
      </c>
      <c r="BD59" s="177" t="s">
        <v>188</v>
      </c>
      <c r="BE59" s="176" t="str">
        <f>IF(システム="","",システム)</f>
        <v>mcframe7</v>
      </c>
      <c r="BF59" s="177" t="s">
        <v>18</v>
      </c>
      <c r="BG59" s="176" t="str">
        <f>IF(作成者="","",作成者)</f>
        <v>XX</v>
      </c>
      <c r="BH59" s="177" t="s">
        <v>19</v>
      </c>
      <c r="BI59" s="178">
        <f>IF(作成日="","",作成日)</f>
        <v>42871</v>
      </c>
      <c r="BJ59" s="179" t="s">
        <v>0</v>
      </c>
    </row>
    <row r="60" spans="1:62" ht="11.25" customHeight="1">
      <c r="A60" s="274" t="s">
        <v>18</v>
      </c>
      <c r="B60" s="275"/>
      <c r="C60" s="275"/>
      <c r="D60" s="275"/>
      <c r="E60" s="275"/>
      <c r="F60" s="276"/>
      <c r="G60" s="268" t="s">
        <v>194</v>
      </c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70"/>
      <c r="S60" s="1" t="s">
        <v>66</v>
      </c>
      <c r="BA60" s="263"/>
      <c r="BB60" s="180" t="s">
        <v>224</v>
      </c>
      <c r="BC60" s="181" t="str">
        <f>IF(プロジェクト名="","",プロジェクト名)</f>
        <v>新基幹システム構築プロジェクト</v>
      </c>
      <c r="BD60" s="182" t="s">
        <v>221</v>
      </c>
      <c r="BE60" s="181" t="str">
        <f>IF(サブシステム="","",サブシステム)</f>
        <v>SCM</v>
      </c>
      <c r="BF60" s="182" t="s">
        <v>11</v>
      </c>
      <c r="BG60" s="181" t="str">
        <f>IF(修正者="","",修正者)</f>
        <v>XX</v>
      </c>
      <c r="BH60" s="182" t="s">
        <v>12</v>
      </c>
      <c r="BI60" s="183">
        <f>IF(修正日="","",修正日)</f>
        <v>43006</v>
      </c>
      <c r="BJ60" s="75" t="str">
        <f>IF(文書番号="","",文書番号)</f>
        <v>XX-XX-9999</v>
      </c>
    </row>
    <row r="61" spans="1:62" ht="11.25" customHeight="1" thickBot="1">
      <c r="A61" s="274" t="s">
        <v>11</v>
      </c>
      <c r="B61" s="275"/>
      <c r="C61" s="275"/>
      <c r="D61" s="275"/>
      <c r="E61" s="275"/>
      <c r="F61" s="276"/>
      <c r="G61" s="268" t="s">
        <v>194</v>
      </c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70"/>
      <c r="S61" s="1" t="s">
        <v>66</v>
      </c>
      <c r="BA61" s="264"/>
      <c r="BB61" s="184" t="s">
        <v>14</v>
      </c>
      <c r="BC61" s="185" t="str">
        <f>IF(機能ID="","",機能ID)</f>
        <v>MSBFRA020</v>
      </c>
      <c r="BD61" s="186" t="s">
        <v>6</v>
      </c>
      <c r="BE61" s="77" t="str">
        <f>IF(機能名="","",機能名)</f>
        <v>部材現品票</v>
      </c>
      <c r="BF61" s="77"/>
      <c r="BG61" s="77"/>
      <c r="BH61" s="186" t="s">
        <v>218</v>
      </c>
      <c r="BI61" s="187" t="str">
        <f>IF(Rev="","",Rev)</f>
        <v>r02.00</v>
      </c>
      <c r="BJ61" s="78"/>
    </row>
    <row r="62" spans="1:62" ht="11.25" customHeight="1" thickBot="1">
      <c r="A62" s="274" t="s">
        <v>19</v>
      </c>
      <c r="B62" s="275"/>
      <c r="C62" s="275"/>
      <c r="D62" s="275"/>
      <c r="E62" s="275"/>
      <c r="F62" s="276"/>
      <c r="G62" s="300">
        <f>来歴!E6</f>
        <v>42871</v>
      </c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70"/>
      <c r="S62" s="1" t="s">
        <v>66</v>
      </c>
      <c r="BA62" s="188"/>
    </row>
    <row r="63" spans="1:62" ht="11.25" customHeight="1">
      <c r="A63" s="274" t="s">
        <v>12</v>
      </c>
      <c r="B63" s="275"/>
      <c r="C63" s="275"/>
      <c r="D63" s="275"/>
      <c r="E63" s="275"/>
      <c r="F63" s="276"/>
      <c r="G63" s="300">
        <f>IF(VLOOKUP(MAXA(来歴!A6:A46),来歴!A6:F46,5)="","",VLOOKUP(MAXA(来歴!A6:A46),来歴!A6:F46,5))</f>
        <v>43006</v>
      </c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70"/>
      <c r="S63" s="1" t="s">
        <v>66</v>
      </c>
      <c r="BA63" s="262" t="s">
        <v>256</v>
      </c>
      <c r="BB63" s="175" t="s">
        <v>2</v>
      </c>
      <c r="BC63" s="176" t="str">
        <f>IF(顧客名="","",顧客名)</f>
        <v>株式会社XXXX殿</v>
      </c>
      <c r="BD63" s="177" t="s">
        <v>188</v>
      </c>
      <c r="BE63" s="176" t="str">
        <f>IF(システム="","",システム)</f>
        <v>mcframe7</v>
      </c>
      <c r="BF63" s="177" t="s">
        <v>18</v>
      </c>
      <c r="BG63" s="176" t="str">
        <f>IF(作成者="","",作成者)</f>
        <v>XX</v>
      </c>
      <c r="BH63" s="177" t="s">
        <v>19</v>
      </c>
      <c r="BI63" s="178">
        <f>IF(作成日="","",作成日)</f>
        <v>42871</v>
      </c>
      <c r="BJ63" s="179" t="s">
        <v>0</v>
      </c>
    </row>
    <row r="64" spans="1:62" ht="11.25" customHeight="1">
      <c r="A64" s="274" t="s">
        <v>20</v>
      </c>
      <c r="B64" s="275"/>
      <c r="C64" s="275"/>
      <c r="D64" s="275"/>
      <c r="E64" s="275"/>
      <c r="F64" s="276"/>
      <c r="G64" s="297" t="str">
        <f>IF(VLOOKUP(MAXA(来歴!A6:A46),来歴!A6:F46,2)="","",VLOOKUP(MAXA(来歴!A6:A46),来歴!A6:F46,2))</f>
        <v>r02.00</v>
      </c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9"/>
      <c r="S64" s="1" t="s">
        <v>66</v>
      </c>
      <c r="BA64" s="263"/>
      <c r="BB64" s="180" t="s">
        <v>187</v>
      </c>
      <c r="BC64" s="181" t="str">
        <f>IF(プロジェクト名="","",プロジェクト名)</f>
        <v>新基幹システム構築プロジェクト</v>
      </c>
      <c r="BD64" s="182" t="s">
        <v>215</v>
      </c>
      <c r="BE64" s="181" t="str">
        <f>IF(サブシステム="","",サブシステム)</f>
        <v>SCM</v>
      </c>
      <c r="BF64" s="182" t="s">
        <v>11</v>
      </c>
      <c r="BG64" s="181" t="str">
        <f>IF(修正者="","",修正者)</f>
        <v>XX</v>
      </c>
      <c r="BH64" s="182" t="s">
        <v>12</v>
      </c>
      <c r="BI64" s="183">
        <f>IF(修正日="","",修正日)</f>
        <v>43006</v>
      </c>
      <c r="BJ64" s="75" t="str">
        <f>IF(文書番号="","",文書番号)</f>
        <v>XX-XX-9999</v>
      </c>
    </row>
    <row r="65" spans="1:62" ht="11.25" customHeight="1" thickBot="1">
      <c r="A65" s="274" t="s">
        <v>0</v>
      </c>
      <c r="B65" s="275"/>
      <c r="C65" s="275"/>
      <c r="D65" s="275"/>
      <c r="E65" s="275"/>
      <c r="F65" s="276"/>
      <c r="G65" s="268" t="s">
        <v>204</v>
      </c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70"/>
      <c r="BA65" s="264"/>
      <c r="BB65" s="184" t="s">
        <v>14</v>
      </c>
      <c r="BC65" s="185" t="str">
        <f>IF(機能ID="","",機能ID)</f>
        <v>MSBFRA020</v>
      </c>
      <c r="BD65" s="186" t="s">
        <v>6</v>
      </c>
      <c r="BE65" s="77" t="str">
        <f>IF(機能名="","",機能名)</f>
        <v>部材現品票</v>
      </c>
      <c r="BF65" s="77"/>
      <c r="BG65" s="77"/>
      <c r="BH65" s="186" t="s">
        <v>216</v>
      </c>
      <c r="BI65" s="187" t="str">
        <f>IF(Rev="","",Rev)</f>
        <v>r02.00</v>
      </c>
      <c r="BJ65" s="78"/>
    </row>
    <row r="66" spans="1:62" ht="11.25" customHeight="1" thickBot="1"/>
    <row r="67" spans="1:62" ht="11.25" customHeight="1">
      <c r="BA67" s="262" t="s">
        <v>257</v>
      </c>
      <c r="BB67" s="175" t="s">
        <v>2</v>
      </c>
      <c r="BC67" s="176" t="str">
        <f>IF(顧客名="","",顧客名)</f>
        <v>株式会社XXXX殿</v>
      </c>
      <c r="BD67" s="177" t="s">
        <v>60</v>
      </c>
      <c r="BE67" s="176" t="str">
        <f>IF(システム="","",システム)</f>
        <v>mcframe7</v>
      </c>
      <c r="BF67" s="177" t="s">
        <v>18</v>
      </c>
      <c r="BG67" s="176" t="str">
        <f>IF(作成者="","",作成者)</f>
        <v>XX</v>
      </c>
      <c r="BH67" s="177" t="s">
        <v>19</v>
      </c>
      <c r="BI67" s="178">
        <f>IF(作成日="","",作成日)</f>
        <v>42871</v>
      </c>
      <c r="BJ67" s="179" t="s">
        <v>0</v>
      </c>
    </row>
    <row r="68" spans="1:62">
      <c r="BA68" s="263"/>
      <c r="BB68" s="180" t="s">
        <v>62</v>
      </c>
      <c r="BC68" s="181" t="str">
        <f>IF(プロジェクト名="","",プロジェクト名)</f>
        <v>新基幹システム構築プロジェクト</v>
      </c>
      <c r="BD68" s="182" t="s">
        <v>215</v>
      </c>
      <c r="BE68" s="181" t="str">
        <f>IF(サブシステム="","",サブシステム)</f>
        <v>SCM</v>
      </c>
      <c r="BF68" s="182" t="s">
        <v>11</v>
      </c>
      <c r="BG68" s="181" t="str">
        <f>IF(修正者="","",修正者)</f>
        <v>XX</v>
      </c>
      <c r="BH68" s="182" t="s">
        <v>12</v>
      </c>
      <c r="BI68" s="183">
        <f>IF(修正日="","",修正日)</f>
        <v>43006</v>
      </c>
      <c r="BJ68" s="75" t="str">
        <f>IF(文書番号="","",文書番号)</f>
        <v>XX-XX-9999</v>
      </c>
    </row>
    <row r="69" spans="1:62" ht="12.75" thickBot="1">
      <c r="BA69" s="264"/>
      <c r="BB69" s="184" t="s">
        <v>14</v>
      </c>
      <c r="BC69" s="185" t="str">
        <f>IF(機能ID="","",機能ID)</f>
        <v>MSBFRA020</v>
      </c>
      <c r="BD69" s="186" t="s">
        <v>6</v>
      </c>
      <c r="BE69" s="77" t="str">
        <f>IF(機能名="","",機能名)</f>
        <v>部材現品票</v>
      </c>
      <c r="BF69" s="77"/>
      <c r="BG69" s="77"/>
      <c r="BH69" s="186" t="s">
        <v>216</v>
      </c>
      <c r="BI69" s="187" t="str">
        <f>IF(Rev="","",Rev)</f>
        <v>r02.00</v>
      </c>
      <c r="BJ69" s="78"/>
    </row>
    <row r="70" spans="1:62" ht="12.75" thickBot="1"/>
    <row r="71" spans="1:62">
      <c r="BA71" s="262" t="s">
        <v>264</v>
      </c>
      <c r="BB71" s="175" t="s">
        <v>2</v>
      </c>
      <c r="BC71" s="176" t="str">
        <f>IF(顧客名="","",顧客名)</f>
        <v>株式会社XXXX殿</v>
      </c>
      <c r="BD71" s="177" t="s">
        <v>188</v>
      </c>
      <c r="BE71" s="176" t="str">
        <f>IF(システム="","",システム)</f>
        <v>mcframe7</v>
      </c>
      <c r="BF71" s="177" t="s">
        <v>18</v>
      </c>
      <c r="BG71" s="176" t="str">
        <f>IF(作成者="","",作成者)</f>
        <v>XX</v>
      </c>
      <c r="BH71" s="177" t="s">
        <v>19</v>
      </c>
      <c r="BI71" s="178">
        <f>IF(作成日="","",作成日)</f>
        <v>42871</v>
      </c>
      <c r="BJ71" s="179" t="s">
        <v>0</v>
      </c>
    </row>
    <row r="72" spans="1:62">
      <c r="BA72" s="263"/>
      <c r="BB72" s="180" t="s">
        <v>217</v>
      </c>
      <c r="BC72" s="181" t="str">
        <f>IF(プロジェクト名="","",プロジェクト名)</f>
        <v>新基幹システム構築プロジェクト</v>
      </c>
      <c r="BD72" s="182" t="s">
        <v>215</v>
      </c>
      <c r="BE72" s="181" t="str">
        <f>IF(サブシステム="","",サブシステム)</f>
        <v>SCM</v>
      </c>
      <c r="BF72" s="182" t="s">
        <v>11</v>
      </c>
      <c r="BG72" s="181" t="str">
        <f>IF(修正者="","",修正者)</f>
        <v>XX</v>
      </c>
      <c r="BH72" s="182" t="s">
        <v>12</v>
      </c>
      <c r="BI72" s="183">
        <f>IF(修正日="","",修正日)</f>
        <v>43006</v>
      </c>
      <c r="BJ72" s="75" t="str">
        <f>IF(文書番号="","",文書番号)</f>
        <v>XX-XX-9999</v>
      </c>
    </row>
    <row r="73" spans="1:62" ht="12.75" thickBot="1">
      <c r="BA73" s="264"/>
      <c r="BB73" s="184" t="s">
        <v>14</v>
      </c>
      <c r="BC73" s="185" t="str">
        <f>IF(機能ID="","",機能ID)</f>
        <v>MSBFRA020</v>
      </c>
      <c r="BD73" s="186" t="s">
        <v>6</v>
      </c>
      <c r="BE73" s="77" t="str">
        <f>IF(機能名="","",機能名)</f>
        <v>部材現品票</v>
      </c>
      <c r="BF73" s="77"/>
      <c r="BG73" s="77"/>
      <c r="BH73" s="186" t="s">
        <v>218</v>
      </c>
      <c r="BI73" s="187" t="str">
        <f>IF(Rev="","",Rev)</f>
        <v>r02.00</v>
      </c>
      <c r="BJ73" s="78"/>
    </row>
  </sheetData>
  <mergeCells count="54">
    <mergeCell ref="BA71:BA73"/>
    <mergeCell ref="BA67:BA69"/>
    <mergeCell ref="A59:F59"/>
    <mergeCell ref="G59:R59"/>
    <mergeCell ref="A64:F64"/>
    <mergeCell ref="G64:R64"/>
    <mergeCell ref="A65:F65"/>
    <mergeCell ref="G65:R65"/>
    <mergeCell ref="A62:F62"/>
    <mergeCell ref="G62:R62"/>
    <mergeCell ref="A63:F63"/>
    <mergeCell ref="G63:R63"/>
    <mergeCell ref="A60:F60"/>
    <mergeCell ref="G60:R60"/>
    <mergeCell ref="A61:F61"/>
    <mergeCell ref="G61:R61"/>
    <mergeCell ref="BA63:BA65"/>
    <mergeCell ref="A56:F56"/>
    <mergeCell ref="A58:F58"/>
    <mergeCell ref="G58:R58"/>
    <mergeCell ref="G56:R56"/>
    <mergeCell ref="A53:F53"/>
    <mergeCell ref="G53:R53"/>
    <mergeCell ref="A55:F55"/>
    <mergeCell ref="G55:R55"/>
    <mergeCell ref="A54:F54"/>
    <mergeCell ref="G54:R54"/>
    <mergeCell ref="A57:F57"/>
    <mergeCell ref="G57:R57"/>
    <mergeCell ref="AR3:AW4"/>
    <mergeCell ref="AF5:AK6"/>
    <mergeCell ref="AL5:AQ6"/>
    <mergeCell ref="AR5:AW6"/>
    <mergeCell ref="AF3:AK4"/>
    <mergeCell ref="AL3:AQ4"/>
    <mergeCell ref="P27:U27"/>
    <mergeCell ref="P28:U28"/>
    <mergeCell ref="P31:U31"/>
    <mergeCell ref="P29:U29"/>
    <mergeCell ref="P30:U30"/>
    <mergeCell ref="A51:F51"/>
    <mergeCell ref="G51:R51"/>
    <mergeCell ref="BA51:BA53"/>
    <mergeCell ref="A52:F52"/>
    <mergeCell ref="G52:R52"/>
    <mergeCell ref="BA55:BA57"/>
    <mergeCell ref="BA59:BA61"/>
    <mergeCell ref="V27:AG27"/>
    <mergeCell ref="V28:AG28"/>
    <mergeCell ref="V31:AG31"/>
    <mergeCell ref="V29:AA29"/>
    <mergeCell ref="AB29:AG29"/>
    <mergeCell ref="V30:AG30"/>
    <mergeCell ref="BA47:BA49"/>
  </mergeCells>
  <phoneticPr fontId="2"/>
  <pageMargins left="0.39370078740157483" right="0.39370078740157483" top="0.51181102362204722" bottom="0.51181102362204722" header="0.31496062992125984" footer="0.31496062992125984"/>
  <pageSetup paperSize="9" fitToHeight="0" orientation="landscape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F46"/>
  <sheetViews>
    <sheetView showGridLines="0" zoomScaleNormal="100" zoomScaleSheetLayoutView="90" workbookViewId="0">
      <selection activeCell="C18" sqref="C18"/>
    </sheetView>
  </sheetViews>
  <sheetFormatPr defaultColWidth="9.33203125" defaultRowHeight="12"/>
  <cols>
    <col min="1" max="1" width="3.33203125" style="1" customWidth="1"/>
    <col min="2" max="2" width="10" style="1" customWidth="1"/>
    <col min="3" max="3" width="103.33203125" style="1" customWidth="1"/>
    <col min="4" max="5" width="13.33203125" style="1" customWidth="1"/>
    <col min="6" max="6" width="23.33203125" style="1" customWidth="1"/>
    <col min="7" max="7" width="1.83203125" style="1" customWidth="1"/>
    <col min="8" max="16384" width="9.33203125" style="1"/>
  </cols>
  <sheetData>
    <row r="1" spans="1:6" ht="12" customHeight="1"/>
    <row r="2" spans="1:6" ht="12" customHeight="1"/>
    <row r="3" spans="1:6" ht="12.75" customHeight="1"/>
    <row r="4" spans="1:6" ht="12.75" thickBot="1"/>
    <row r="5" spans="1:6" ht="12.75" thickBot="1">
      <c r="A5" s="189" t="s">
        <v>225</v>
      </c>
      <c r="B5" s="190" t="s">
        <v>218</v>
      </c>
      <c r="C5" s="152" t="s">
        <v>25</v>
      </c>
      <c r="D5" s="156" t="s">
        <v>26</v>
      </c>
      <c r="E5" s="152" t="s">
        <v>27</v>
      </c>
      <c r="F5" s="258" t="s">
        <v>28</v>
      </c>
    </row>
    <row r="6" spans="1:6" ht="12.75" thickTop="1">
      <c r="A6" s="3">
        <v>1</v>
      </c>
      <c r="B6" s="191" t="s">
        <v>229</v>
      </c>
      <c r="C6" s="153" t="s">
        <v>63</v>
      </c>
      <c r="D6" s="155" t="s">
        <v>237</v>
      </c>
      <c r="E6" s="217">
        <v>42871</v>
      </c>
      <c r="F6" s="254"/>
    </row>
    <row r="7" spans="1:6">
      <c r="A7" s="4">
        <v>2</v>
      </c>
      <c r="B7" s="150" t="s">
        <v>230</v>
      </c>
      <c r="C7" s="151" t="s">
        <v>132</v>
      </c>
      <c r="D7" s="154" t="s">
        <v>237</v>
      </c>
      <c r="E7" s="218">
        <v>42872</v>
      </c>
      <c r="F7" s="256"/>
    </row>
    <row r="8" spans="1:6">
      <c r="A8" s="4">
        <v>3</v>
      </c>
      <c r="B8" s="150" t="s">
        <v>231</v>
      </c>
      <c r="C8" s="192" t="s">
        <v>173</v>
      </c>
      <c r="D8" s="154" t="s">
        <v>237</v>
      </c>
      <c r="E8" s="218">
        <v>42884</v>
      </c>
      <c r="F8" s="256"/>
    </row>
    <row r="9" spans="1:6">
      <c r="A9" s="4">
        <v>4</v>
      </c>
      <c r="B9" s="150" t="s">
        <v>232</v>
      </c>
      <c r="C9" s="192" t="s">
        <v>172</v>
      </c>
      <c r="D9" s="154" t="s">
        <v>237</v>
      </c>
      <c r="E9" s="218">
        <v>42900</v>
      </c>
      <c r="F9" s="256"/>
    </row>
    <row r="10" spans="1:6" ht="12.75" customHeight="1">
      <c r="A10" s="4">
        <v>5</v>
      </c>
      <c r="B10" s="150" t="s">
        <v>233</v>
      </c>
      <c r="C10" s="151" t="s">
        <v>177</v>
      </c>
      <c r="D10" s="154" t="s">
        <v>237</v>
      </c>
      <c r="E10" s="218">
        <v>42941</v>
      </c>
      <c r="F10" s="256"/>
    </row>
    <row r="11" spans="1:6">
      <c r="A11" s="4">
        <v>6</v>
      </c>
      <c r="B11" s="150" t="s">
        <v>234</v>
      </c>
      <c r="C11" s="151" t="s">
        <v>182</v>
      </c>
      <c r="D11" s="157" t="s">
        <v>237</v>
      </c>
      <c r="E11" s="218">
        <v>42978</v>
      </c>
      <c r="F11" s="256"/>
    </row>
    <row r="12" spans="1:6">
      <c r="A12" s="4"/>
      <c r="B12" s="150"/>
      <c r="C12" s="151" t="s">
        <v>186</v>
      </c>
      <c r="D12" s="157"/>
      <c r="E12" s="218"/>
      <c r="F12" s="256"/>
    </row>
    <row r="13" spans="1:6">
      <c r="A13" s="4">
        <v>7</v>
      </c>
      <c r="B13" s="150" t="s">
        <v>235</v>
      </c>
      <c r="C13" s="151" t="s">
        <v>196</v>
      </c>
      <c r="D13" s="157" t="s">
        <v>237</v>
      </c>
      <c r="E13" s="218">
        <v>43006</v>
      </c>
      <c r="F13" s="256"/>
    </row>
    <row r="14" spans="1:6" ht="12.75" customHeight="1">
      <c r="A14" s="4"/>
      <c r="B14" s="150"/>
      <c r="C14" s="151" t="s">
        <v>190</v>
      </c>
      <c r="D14" s="157"/>
      <c r="E14" s="218"/>
      <c r="F14" s="256"/>
    </row>
    <row r="15" spans="1:6">
      <c r="A15" s="4"/>
      <c r="B15" s="150"/>
      <c r="C15" s="151" t="s">
        <v>191</v>
      </c>
      <c r="D15" s="157"/>
      <c r="E15" s="218"/>
      <c r="F15" s="256"/>
    </row>
    <row r="16" spans="1:6">
      <c r="A16" s="4">
        <v>8</v>
      </c>
      <c r="B16" s="150" t="s">
        <v>236</v>
      </c>
      <c r="C16" s="151" t="s">
        <v>197</v>
      </c>
      <c r="D16" s="157" t="s">
        <v>237</v>
      </c>
      <c r="E16" s="218">
        <v>43006</v>
      </c>
      <c r="F16" s="256"/>
    </row>
    <row r="17" spans="1:6">
      <c r="A17" s="4"/>
      <c r="B17" s="150"/>
      <c r="C17" s="151"/>
      <c r="D17" s="157"/>
      <c r="E17" s="219"/>
      <c r="F17" s="256"/>
    </row>
    <row r="18" spans="1:6">
      <c r="A18" s="4"/>
      <c r="B18" s="150"/>
      <c r="C18" s="151"/>
      <c r="D18" s="157"/>
      <c r="E18" s="219"/>
      <c r="F18" s="256"/>
    </row>
    <row r="19" spans="1:6">
      <c r="A19" s="4"/>
      <c r="B19" s="150"/>
      <c r="C19" s="151"/>
      <c r="D19" s="157"/>
      <c r="E19" s="219"/>
      <c r="F19" s="256"/>
    </row>
    <row r="20" spans="1:6">
      <c r="A20" s="4"/>
      <c r="B20" s="150"/>
      <c r="C20" s="151"/>
      <c r="D20" s="157"/>
      <c r="E20" s="219"/>
      <c r="F20" s="256"/>
    </row>
    <row r="21" spans="1:6">
      <c r="A21" s="4"/>
      <c r="B21" s="150"/>
      <c r="C21" s="151"/>
      <c r="D21" s="157"/>
      <c r="E21" s="219"/>
      <c r="F21" s="256"/>
    </row>
    <row r="22" spans="1:6">
      <c r="A22" s="4"/>
      <c r="B22" s="150"/>
      <c r="C22" s="151"/>
      <c r="D22" s="157"/>
      <c r="E22" s="219"/>
      <c r="F22" s="256"/>
    </row>
    <row r="23" spans="1:6">
      <c r="A23" s="4"/>
      <c r="B23" s="150"/>
      <c r="C23" s="151"/>
      <c r="D23" s="157"/>
      <c r="E23" s="219"/>
      <c r="F23" s="256"/>
    </row>
    <row r="24" spans="1:6">
      <c r="A24" s="4"/>
      <c r="B24" s="150"/>
      <c r="C24" s="151"/>
      <c r="D24" s="157"/>
      <c r="E24" s="219"/>
      <c r="F24" s="256"/>
    </row>
    <row r="25" spans="1:6">
      <c r="A25" s="4"/>
      <c r="B25" s="150"/>
      <c r="C25" s="151"/>
      <c r="D25" s="157"/>
      <c r="E25" s="219"/>
      <c r="F25" s="256"/>
    </row>
    <row r="26" spans="1:6">
      <c r="A26" s="4"/>
      <c r="B26" s="150"/>
      <c r="C26" s="151"/>
      <c r="D26" s="157"/>
      <c r="E26" s="219"/>
      <c r="F26" s="256"/>
    </row>
    <row r="27" spans="1:6">
      <c r="A27" s="4"/>
      <c r="B27" s="150"/>
      <c r="C27" s="151"/>
      <c r="D27" s="157"/>
      <c r="E27" s="219"/>
      <c r="F27" s="256"/>
    </row>
    <row r="28" spans="1:6">
      <c r="A28" s="4"/>
      <c r="B28" s="150"/>
      <c r="C28" s="151"/>
      <c r="D28" s="157"/>
      <c r="E28" s="219"/>
      <c r="F28" s="256"/>
    </row>
    <row r="29" spans="1:6">
      <c r="A29" s="4"/>
      <c r="B29" s="150"/>
      <c r="C29" s="151"/>
      <c r="D29" s="157"/>
      <c r="E29" s="219"/>
      <c r="F29" s="256"/>
    </row>
    <row r="30" spans="1:6">
      <c r="A30" s="4"/>
      <c r="B30" s="150"/>
      <c r="C30" s="151"/>
      <c r="D30" s="157"/>
      <c r="E30" s="219"/>
      <c r="F30" s="256"/>
    </row>
    <row r="31" spans="1:6">
      <c r="A31" s="4"/>
      <c r="B31" s="150"/>
      <c r="C31" s="151"/>
      <c r="D31" s="157"/>
      <c r="E31" s="219"/>
      <c r="F31" s="256"/>
    </row>
    <row r="32" spans="1:6">
      <c r="A32" s="4"/>
      <c r="B32" s="150"/>
      <c r="C32" s="151"/>
      <c r="D32" s="157"/>
      <c r="E32" s="219"/>
      <c r="F32" s="256"/>
    </row>
    <row r="33" spans="1:6">
      <c r="A33" s="4"/>
      <c r="B33" s="150"/>
      <c r="C33" s="151"/>
      <c r="D33" s="157"/>
      <c r="E33" s="219"/>
      <c r="F33" s="256"/>
    </row>
    <row r="34" spans="1:6">
      <c r="A34" s="4"/>
      <c r="B34" s="150"/>
      <c r="C34" s="151"/>
      <c r="D34" s="157"/>
      <c r="E34" s="219"/>
      <c r="F34" s="256"/>
    </row>
    <row r="35" spans="1:6">
      <c r="A35" s="4"/>
      <c r="B35" s="150"/>
      <c r="C35" s="151"/>
      <c r="D35" s="157"/>
      <c r="E35" s="219"/>
      <c r="F35" s="256"/>
    </row>
    <row r="36" spans="1:6">
      <c r="A36" s="4"/>
      <c r="B36" s="150"/>
      <c r="C36" s="151"/>
      <c r="D36" s="157"/>
      <c r="E36" s="219"/>
      <c r="F36" s="256"/>
    </row>
    <row r="37" spans="1:6">
      <c r="A37" s="4"/>
      <c r="B37" s="150"/>
      <c r="C37" s="151"/>
      <c r="D37" s="157"/>
      <c r="E37" s="219"/>
      <c r="F37" s="256"/>
    </row>
    <row r="38" spans="1:6">
      <c r="A38" s="4"/>
      <c r="B38" s="150"/>
      <c r="C38" s="151"/>
      <c r="D38" s="157"/>
      <c r="E38" s="219"/>
      <c r="F38" s="256"/>
    </row>
    <row r="39" spans="1:6">
      <c r="A39" s="4"/>
      <c r="B39" s="150"/>
      <c r="C39" s="151"/>
      <c r="D39" s="157"/>
      <c r="E39" s="219"/>
      <c r="F39" s="256"/>
    </row>
    <row r="40" spans="1:6">
      <c r="A40" s="4"/>
      <c r="B40" s="150"/>
      <c r="C40" s="151"/>
      <c r="D40" s="157"/>
      <c r="E40" s="219"/>
      <c r="F40" s="256"/>
    </row>
    <row r="41" spans="1:6">
      <c r="A41" s="4"/>
      <c r="B41" s="150"/>
      <c r="C41" s="151"/>
      <c r="D41" s="157"/>
      <c r="E41" s="219"/>
      <c r="F41" s="256"/>
    </row>
    <row r="42" spans="1:6">
      <c r="A42" s="4"/>
      <c r="B42" s="150"/>
      <c r="C42" s="151"/>
      <c r="D42" s="157"/>
      <c r="E42" s="219"/>
      <c r="F42" s="256"/>
    </row>
    <row r="43" spans="1:6">
      <c r="A43" s="4"/>
      <c r="B43" s="150"/>
      <c r="C43" s="151"/>
      <c r="D43" s="157"/>
      <c r="E43" s="219"/>
      <c r="F43" s="256"/>
    </row>
    <row r="44" spans="1:6">
      <c r="A44" s="4"/>
      <c r="B44" s="150"/>
      <c r="C44" s="151"/>
      <c r="D44" s="157"/>
      <c r="E44" s="219"/>
      <c r="F44" s="256"/>
    </row>
    <row r="45" spans="1:6">
      <c r="A45" s="4"/>
      <c r="B45" s="150"/>
      <c r="C45" s="151"/>
      <c r="D45" s="157"/>
      <c r="E45" s="219"/>
      <c r="F45" s="256"/>
    </row>
    <row r="46" spans="1:6" ht="12.75" thickBot="1">
      <c r="A46" s="5"/>
      <c r="B46" s="159"/>
      <c r="C46" s="160"/>
      <c r="D46" s="158"/>
      <c r="E46" s="220"/>
      <c r="F46" s="257"/>
    </row>
  </sheetData>
  <phoneticPr fontId="2"/>
  <dataValidations count="1">
    <dataValidation imeMode="off" allowBlank="1" showInputMessage="1" showErrorMessage="1" sqref="E6:E46 A6:B46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I47"/>
  <sheetViews>
    <sheetView showGridLines="0" zoomScaleNormal="100" zoomScaleSheetLayoutView="90" workbookViewId="0">
      <selection activeCell="C34" sqref="C34"/>
    </sheetView>
  </sheetViews>
  <sheetFormatPr defaultColWidth="9.33203125" defaultRowHeight="12"/>
  <cols>
    <col min="1" max="1" width="10" style="1" customWidth="1"/>
    <col min="2" max="2" width="13.33203125" style="1" customWidth="1"/>
    <col min="3" max="3" width="53.33203125" style="1" customWidth="1"/>
    <col min="4" max="8" width="13.33203125" style="1" customWidth="1"/>
    <col min="9" max="9" width="23.33203125" style="1" customWidth="1"/>
    <col min="10" max="16384" width="9.33203125" style="1"/>
  </cols>
  <sheetData>
    <row r="1" spans="1:9" ht="12" customHeight="1"/>
    <row r="2" spans="1:9" ht="12" customHeight="1"/>
    <row r="3" spans="1:9" ht="12.75" customHeight="1"/>
    <row r="4" spans="1:9" ht="12.75" thickBot="1"/>
    <row r="5" spans="1:9">
      <c r="A5" s="165" t="s">
        <v>218</v>
      </c>
      <c r="B5" s="193" t="s">
        <v>19</v>
      </c>
      <c r="C5" s="239" t="s">
        <v>25</v>
      </c>
      <c r="D5" s="301" t="s">
        <v>69</v>
      </c>
      <c r="E5" s="302"/>
      <c r="F5" s="302"/>
      <c r="G5" s="303" t="s">
        <v>195</v>
      </c>
      <c r="H5" s="304"/>
      <c r="I5" s="305" t="s">
        <v>28</v>
      </c>
    </row>
    <row r="6" spans="1:9" ht="12.75" thickBot="1">
      <c r="A6" s="166"/>
      <c r="B6" s="194"/>
      <c r="C6" s="168"/>
      <c r="D6" s="167" t="s">
        <v>18</v>
      </c>
      <c r="E6" s="167" t="s">
        <v>40</v>
      </c>
      <c r="F6" s="167" t="s">
        <v>41</v>
      </c>
      <c r="G6" s="167" t="s">
        <v>40</v>
      </c>
      <c r="H6" s="221" t="s">
        <v>42</v>
      </c>
      <c r="I6" s="306"/>
    </row>
    <row r="7" spans="1:9" ht="12.75" customHeight="1" thickTop="1">
      <c r="A7" s="205" t="s">
        <v>238</v>
      </c>
      <c r="B7" s="206">
        <v>42978</v>
      </c>
      <c r="C7" s="153" t="s">
        <v>239</v>
      </c>
      <c r="D7" s="207" t="s">
        <v>240</v>
      </c>
      <c r="E7" s="207" t="s">
        <v>240</v>
      </c>
      <c r="F7" s="207" t="s">
        <v>241</v>
      </c>
      <c r="G7" s="207" t="s">
        <v>240</v>
      </c>
      <c r="H7" s="222" t="s">
        <v>240</v>
      </c>
      <c r="I7" s="254"/>
    </row>
    <row r="8" spans="1:9" ht="12.75" customHeight="1">
      <c r="A8" s="195"/>
      <c r="B8" s="196"/>
      <c r="C8" s="197"/>
      <c r="D8" s="198"/>
      <c r="E8" s="198"/>
      <c r="F8" s="198"/>
      <c r="G8" s="198"/>
      <c r="H8" s="223"/>
      <c r="I8" s="255"/>
    </row>
    <row r="9" spans="1:9">
      <c r="A9" s="161"/>
      <c r="B9" s="199"/>
      <c r="C9" s="151"/>
      <c r="D9" s="162"/>
      <c r="E9" s="162"/>
      <c r="F9" s="162"/>
      <c r="G9" s="162"/>
      <c r="H9" s="163"/>
      <c r="I9" s="256"/>
    </row>
    <row r="10" spans="1:9">
      <c r="A10" s="161"/>
      <c r="B10" s="199"/>
      <c r="C10" s="151"/>
      <c r="D10" s="162"/>
      <c r="E10" s="162"/>
      <c r="F10" s="162"/>
      <c r="G10" s="162"/>
      <c r="H10" s="163"/>
      <c r="I10" s="256"/>
    </row>
    <row r="11" spans="1:9">
      <c r="A11" s="161"/>
      <c r="B11" s="199"/>
      <c r="C11" s="151"/>
      <c r="D11" s="162"/>
      <c r="E11" s="162"/>
      <c r="F11" s="162"/>
      <c r="G11" s="162"/>
      <c r="H11" s="163"/>
      <c r="I11" s="256"/>
    </row>
    <row r="12" spans="1:9">
      <c r="A12" s="161"/>
      <c r="B12" s="199"/>
      <c r="C12" s="151"/>
      <c r="D12" s="162"/>
      <c r="E12" s="162"/>
      <c r="F12" s="162"/>
      <c r="G12" s="162"/>
      <c r="H12" s="163"/>
      <c r="I12" s="256"/>
    </row>
    <row r="13" spans="1:9">
      <c r="A13" s="161"/>
      <c r="B13" s="199"/>
      <c r="C13" s="151"/>
      <c r="D13" s="162"/>
      <c r="E13" s="162"/>
      <c r="F13" s="162"/>
      <c r="G13" s="162"/>
      <c r="H13" s="163"/>
      <c r="I13" s="256"/>
    </row>
    <row r="14" spans="1:9">
      <c r="A14" s="161"/>
      <c r="B14" s="199"/>
      <c r="C14" s="151"/>
      <c r="D14" s="162"/>
      <c r="E14" s="162"/>
      <c r="F14" s="162"/>
      <c r="G14" s="162"/>
      <c r="H14" s="163"/>
      <c r="I14" s="256"/>
    </row>
    <row r="15" spans="1:9">
      <c r="A15" s="161"/>
      <c r="B15" s="199"/>
      <c r="C15" s="151"/>
      <c r="D15" s="162"/>
      <c r="E15" s="162"/>
      <c r="F15" s="162"/>
      <c r="G15" s="162"/>
      <c r="H15" s="163"/>
      <c r="I15" s="256"/>
    </row>
    <row r="16" spans="1:9">
      <c r="A16" s="161"/>
      <c r="B16" s="199"/>
      <c r="C16" s="151"/>
      <c r="D16" s="162"/>
      <c r="E16" s="162"/>
      <c r="F16" s="162"/>
      <c r="G16" s="162"/>
      <c r="H16" s="163"/>
      <c r="I16" s="256"/>
    </row>
    <row r="17" spans="1:9">
      <c r="A17" s="161"/>
      <c r="B17" s="199"/>
      <c r="C17" s="151"/>
      <c r="D17" s="162"/>
      <c r="E17" s="162"/>
      <c r="F17" s="162"/>
      <c r="G17" s="162"/>
      <c r="H17" s="163"/>
      <c r="I17" s="256"/>
    </row>
    <row r="18" spans="1:9">
      <c r="A18" s="161"/>
      <c r="B18" s="199"/>
      <c r="C18" s="151"/>
      <c r="D18" s="162"/>
      <c r="E18" s="162"/>
      <c r="F18" s="162"/>
      <c r="G18" s="162"/>
      <c r="H18" s="163"/>
      <c r="I18" s="256"/>
    </row>
    <row r="19" spans="1:9">
      <c r="A19" s="161"/>
      <c r="B19" s="199"/>
      <c r="C19" s="151"/>
      <c r="D19" s="162"/>
      <c r="E19" s="162"/>
      <c r="F19" s="162"/>
      <c r="G19" s="162"/>
      <c r="H19" s="163"/>
      <c r="I19" s="256"/>
    </row>
    <row r="20" spans="1:9">
      <c r="A20" s="161"/>
      <c r="B20" s="199"/>
      <c r="C20" s="151"/>
      <c r="D20" s="162"/>
      <c r="E20" s="162"/>
      <c r="F20" s="162"/>
      <c r="G20" s="162"/>
      <c r="H20" s="163"/>
      <c r="I20" s="256"/>
    </row>
    <row r="21" spans="1:9">
      <c r="A21" s="161"/>
      <c r="B21" s="199"/>
      <c r="C21" s="151"/>
      <c r="D21" s="162"/>
      <c r="E21" s="162"/>
      <c r="F21" s="162"/>
      <c r="G21" s="162"/>
      <c r="H21" s="163"/>
      <c r="I21" s="256"/>
    </row>
    <row r="22" spans="1:9">
      <c r="A22" s="161"/>
      <c r="B22" s="199"/>
      <c r="C22" s="151"/>
      <c r="D22" s="162"/>
      <c r="E22" s="162"/>
      <c r="F22" s="162"/>
      <c r="G22" s="162"/>
      <c r="H22" s="163"/>
      <c r="I22" s="256"/>
    </row>
    <row r="23" spans="1:9">
      <c r="A23" s="161"/>
      <c r="B23" s="199"/>
      <c r="C23" s="151"/>
      <c r="D23" s="162"/>
      <c r="E23" s="162"/>
      <c r="F23" s="162"/>
      <c r="G23" s="162"/>
      <c r="H23" s="163"/>
      <c r="I23" s="256"/>
    </row>
    <row r="24" spans="1:9">
      <c r="A24" s="161"/>
      <c r="B24" s="199"/>
      <c r="C24" s="151"/>
      <c r="D24" s="162"/>
      <c r="E24" s="162"/>
      <c r="F24" s="162"/>
      <c r="G24" s="162"/>
      <c r="H24" s="163"/>
      <c r="I24" s="256"/>
    </row>
    <row r="25" spans="1:9">
      <c r="A25" s="161"/>
      <c r="B25" s="199"/>
      <c r="C25" s="151"/>
      <c r="D25" s="162"/>
      <c r="E25" s="162"/>
      <c r="F25" s="162"/>
      <c r="G25" s="162"/>
      <c r="H25" s="163"/>
      <c r="I25" s="256"/>
    </row>
    <row r="26" spans="1:9">
      <c r="A26" s="161"/>
      <c r="B26" s="199"/>
      <c r="C26" s="151"/>
      <c r="D26" s="162"/>
      <c r="E26" s="162"/>
      <c r="F26" s="162"/>
      <c r="G26" s="162"/>
      <c r="H26" s="163"/>
      <c r="I26" s="256"/>
    </row>
    <row r="27" spans="1:9">
      <c r="A27" s="161"/>
      <c r="B27" s="199"/>
      <c r="C27" s="151"/>
      <c r="D27" s="162"/>
      <c r="E27" s="162"/>
      <c r="F27" s="162"/>
      <c r="G27" s="162"/>
      <c r="H27" s="163"/>
      <c r="I27" s="256"/>
    </row>
    <row r="28" spans="1:9">
      <c r="A28" s="161"/>
      <c r="B28" s="199"/>
      <c r="C28" s="151"/>
      <c r="D28" s="163"/>
      <c r="E28" s="163"/>
      <c r="F28" s="163"/>
      <c r="G28" s="163"/>
      <c r="H28" s="163"/>
      <c r="I28" s="256"/>
    </row>
    <row r="29" spans="1:9">
      <c r="A29" s="161"/>
      <c r="B29" s="199"/>
      <c r="C29" s="151"/>
      <c r="D29" s="162"/>
      <c r="E29" s="162"/>
      <c r="F29" s="162"/>
      <c r="G29" s="162"/>
      <c r="H29" s="163"/>
      <c r="I29" s="256"/>
    </row>
    <row r="30" spans="1:9">
      <c r="A30" s="161"/>
      <c r="B30" s="199"/>
      <c r="C30" s="151"/>
      <c r="D30" s="162"/>
      <c r="E30" s="162"/>
      <c r="F30" s="162"/>
      <c r="G30" s="162"/>
      <c r="H30" s="163"/>
      <c r="I30" s="256"/>
    </row>
    <row r="31" spans="1:9">
      <c r="A31" s="161"/>
      <c r="B31" s="199"/>
      <c r="C31" s="151"/>
      <c r="D31" s="162"/>
      <c r="E31" s="162"/>
      <c r="F31" s="162"/>
      <c r="G31" s="162"/>
      <c r="H31" s="163"/>
      <c r="I31" s="256"/>
    </row>
    <row r="32" spans="1:9">
      <c r="A32" s="161"/>
      <c r="B32" s="199"/>
      <c r="C32" s="151"/>
      <c r="D32" s="162"/>
      <c r="E32" s="162"/>
      <c r="F32" s="162"/>
      <c r="G32" s="162"/>
      <c r="H32" s="163"/>
      <c r="I32" s="256"/>
    </row>
    <row r="33" spans="1:9">
      <c r="A33" s="161"/>
      <c r="B33" s="199"/>
      <c r="C33" s="151"/>
      <c r="D33" s="162"/>
      <c r="E33" s="162"/>
      <c r="F33" s="162"/>
      <c r="G33" s="162"/>
      <c r="H33" s="163"/>
      <c r="I33" s="256"/>
    </row>
    <row r="34" spans="1:9">
      <c r="A34" s="161"/>
      <c r="B34" s="199"/>
      <c r="C34" s="151"/>
      <c r="D34" s="162"/>
      <c r="E34" s="162"/>
      <c r="F34" s="162"/>
      <c r="G34" s="162"/>
      <c r="H34" s="163"/>
      <c r="I34" s="256"/>
    </row>
    <row r="35" spans="1:9">
      <c r="A35" s="161"/>
      <c r="B35" s="199"/>
      <c r="C35" s="151"/>
      <c r="D35" s="162"/>
      <c r="E35" s="162"/>
      <c r="F35" s="162"/>
      <c r="G35" s="162"/>
      <c r="H35" s="163"/>
      <c r="I35" s="256"/>
    </row>
    <row r="36" spans="1:9">
      <c r="A36" s="161"/>
      <c r="B36" s="199"/>
      <c r="C36" s="151"/>
      <c r="D36" s="162"/>
      <c r="E36" s="162"/>
      <c r="F36" s="162"/>
      <c r="G36" s="162"/>
      <c r="H36" s="163"/>
      <c r="I36" s="256"/>
    </row>
    <row r="37" spans="1:9">
      <c r="A37" s="161"/>
      <c r="B37" s="199"/>
      <c r="C37" s="151"/>
      <c r="D37" s="162"/>
      <c r="E37" s="162"/>
      <c r="F37" s="162"/>
      <c r="G37" s="162"/>
      <c r="H37" s="163"/>
      <c r="I37" s="256"/>
    </row>
    <row r="38" spans="1:9">
      <c r="A38" s="161"/>
      <c r="B38" s="199"/>
      <c r="C38" s="151"/>
      <c r="D38" s="162"/>
      <c r="E38" s="162"/>
      <c r="F38" s="162"/>
      <c r="G38" s="162"/>
      <c r="H38" s="163"/>
      <c r="I38" s="256"/>
    </row>
    <row r="39" spans="1:9">
      <c r="A39" s="161"/>
      <c r="B39" s="199"/>
      <c r="C39" s="151"/>
      <c r="D39" s="162"/>
      <c r="E39" s="162"/>
      <c r="F39" s="162"/>
      <c r="G39" s="162"/>
      <c r="H39" s="163"/>
      <c r="I39" s="256"/>
    </row>
    <row r="40" spans="1:9">
      <c r="A40" s="161"/>
      <c r="B40" s="199"/>
      <c r="C40" s="151"/>
      <c r="D40" s="162"/>
      <c r="E40" s="162"/>
      <c r="F40" s="162"/>
      <c r="G40" s="162"/>
      <c r="H40" s="163"/>
      <c r="I40" s="256"/>
    </row>
    <row r="41" spans="1:9">
      <c r="A41" s="161"/>
      <c r="B41" s="199"/>
      <c r="C41" s="151"/>
      <c r="D41" s="162"/>
      <c r="E41" s="162"/>
      <c r="F41" s="162"/>
      <c r="G41" s="162"/>
      <c r="H41" s="163"/>
      <c r="I41" s="256"/>
    </row>
    <row r="42" spans="1:9">
      <c r="A42" s="161"/>
      <c r="B42" s="199"/>
      <c r="C42" s="151"/>
      <c r="D42" s="162"/>
      <c r="E42" s="162"/>
      <c r="F42" s="162"/>
      <c r="G42" s="162"/>
      <c r="H42" s="163"/>
      <c r="I42" s="256"/>
    </row>
    <row r="43" spans="1:9">
      <c r="A43" s="161"/>
      <c r="B43" s="199"/>
      <c r="C43" s="151"/>
      <c r="D43" s="162"/>
      <c r="E43" s="162"/>
      <c r="F43" s="162"/>
      <c r="G43" s="162"/>
      <c r="H43" s="163"/>
      <c r="I43" s="256"/>
    </row>
    <row r="44" spans="1:9">
      <c r="A44" s="161"/>
      <c r="B44" s="199"/>
      <c r="C44" s="151"/>
      <c r="D44" s="162"/>
      <c r="E44" s="162"/>
      <c r="F44" s="162"/>
      <c r="G44" s="162"/>
      <c r="H44" s="163"/>
      <c r="I44" s="256"/>
    </row>
    <row r="45" spans="1:9">
      <c r="A45" s="161"/>
      <c r="B45" s="199"/>
      <c r="C45" s="151"/>
      <c r="D45" s="162"/>
      <c r="E45" s="162"/>
      <c r="F45" s="162"/>
      <c r="G45" s="162"/>
      <c r="H45" s="163"/>
      <c r="I45" s="256"/>
    </row>
    <row r="46" spans="1:9">
      <c r="A46" s="161"/>
      <c r="B46" s="199"/>
      <c r="C46" s="151"/>
      <c r="D46" s="162"/>
      <c r="E46" s="162"/>
      <c r="F46" s="162"/>
      <c r="G46" s="162"/>
      <c r="H46" s="163"/>
      <c r="I46" s="256"/>
    </row>
    <row r="47" spans="1:9" ht="12.75" thickBot="1">
      <c r="A47" s="169"/>
      <c r="B47" s="200"/>
      <c r="C47" s="160"/>
      <c r="D47" s="164"/>
      <c r="E47" s="164"/>
      <c r="F47" s="164"/>
      <c r="G47" s="164"/>
      <c r="H47" s="224"/>
      <c r="I47" s="257"/>
    </row>
  </sheetData>
  <mergeCells count="3">
    <mergeCell ref="D5:F5"/>
    <mergeCell ref="G5:H5"/>
    <mergeCell ref="I5:I6"/>
  </mergeCells>
  <phoneticPr fontId="2"/>
  <dataValidations count="1">
    <dataValidation imeMode="off" allowBlank="1" showInputMessage="1" showErrorMessage="1" sqref="A7:B47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3:AX26"/>
  <sheetViews>
    <sheetView showGridLines="0" zoomScaleNormal="100" zoomScaleSheetLayoutView="90" workbookViewId="0">
      <selection activeCell="AG32" sqref="AG32"/>
    </sheetView>
  </sheetViews>
  <sheetFormatPr defaultColWidth="9.33203125" defaultRowHeight="12"/>
  <cols>
    <col min="1" max="50" width="3.33203125" style="1" customWidth="1"/>
    <col min="51" max="51" width="1.5" style="1" customWidth="1"/>
    <col min="52" max="16384" width="9.33203125" style="1"/>
  </cols>
  <sheetData>
    <row r="3" spans="1:50" ht="12.75" customHeight="1"/>
    <row r="5" spans="1:50" ht="12.75" thickBot="1">
      <c r="A5" s="391" t="s">
        <v>265</v>
      </c>
      <c r="B5" s="392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92"/>
      <c r="S5" s="392"/>
      <c r="T5" s="392"/>
      <c r="U5" s="392"/>
      <c r="V5" s="392"/>
      <c r="W5" s="392"/>
      <c r="X5" s="393"/>
      <c r="Y5" s="393"/>
      <c r="Z5" s="393"/>
      <c r="AA5" s="393"/>
      <c r="AB5" s="394"/>
      <c r="AC5" s="394"/>
      <c r="AD5" s="394"/>
      <c r="AE5" s="394"/>
      <c r="AF5" s="394"/>
      <c r="AG5" s="394"/>
      <c r="AH5" s="394"/>
      <c r="AI5" s="394"/>
      <c r="AJ5" s="392"/>
      <c r="AK5" s="392"/>
      <c r="AL5" s="392"/>
      <c r="AM5" s="392"/>
      <c r="AN5" s="395"/>
      <c r="AO5" s="395"/>
      <c r="AP5" s="395"/>
      <c r="AQ5" s="395"/>
      <c r="AR5" s="392"/>
      <c r="AS5" s="392"/>
      <c r="AT5" s="392"/>
      <c r="AU5" s="392"/>
      <c r="AV5" s="392"/>
      <c r="AW5" s="392"/>
      <c r="AX5" s="392"/>
    </row>
    <row r="6" spans="1:50" ht="12.75" thickBot="1">
      <c r="A6" s="396" t="s">
        <v>276</v>
      </c>
      <c r="B6" s="397"/>
      <c r="C6" s="398" t="s">
        <v>266</v>
      </c>
      <c r="D6" s="398"/>
      <c r="E6" s="398"/>
      <c r="F6" s="398"/>
      <c r="G6" s="398"/>
      <c r="H6" s="398"/>
      <c r="I6" s="398" t="s">
        <v>267</v>
      </c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9" t="s">
        <v>268</v>
      </c>
      <c r="X6" s="400"/>
      <c r="Y6" s="400"/>
      <c r="Z6" s="400"/>
      <c r="AA6" s="400"/>
      <c r="AB6" s="400"/>
      <c r="AC6" s="400"/>
      <c r="AD6" s="400"/>
      <c r="AE6" s="400"/>
      <c r="AF6" s="400"/>
      <c r="AG6" s="400"/>
      <c r="AH6" s="400"/>
      <c r="AI6" s="400"/>
      <c r="AJ6" s="400"/>
      <c r="AK6" s="400"/>
      <c r="AL6" s="401"/>
      <c r="AM6" s="402" t="s">
        <v>28</v>
      </c>
      <c r="AN6" s="403"/>
      <c r="AO6" s="403"/>
      <c r="AP6" s="403"/>
      <c r="AQ6" s="403"/>
      <c r="AR6" s="403"/>
      <c r="AS6" s="403"/>
      <c r="AT6" s="403"/>
      <c r="AU6" s="403"/>
      <c r="AV6" s="403"/>
      <c r="AW6" s="403"/>
      <c r="AX6" s="404"/>
    </row>
    <row r="7" spans="1:50" ht="12.75" customHeight="1" thickTop="1">
      <c r="A7" s="405">
        <v>1</v>
      </c>
      <c r="B7" s="406"/>
      <c r="C7" s="407">
        <v>42988</v>
      </c>
      <c r="D7" s="406"/>
      <c r="E7" s="406"/>
      <c r="F7" s="406"/>
      <c r="G7" s="406"/>
      <c r="H7" s="406"/>
      <c r="I7" s="408" t="s">
        <v>269</v>
      </c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9" t="s">
        <v>277</v>
      </c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410"/>
      <c r="AI7" s="410"/>
      <c r="AJ7" s="410"/>
      <c r="AK7" s="410"/>
      <c r="AL7" s="411"/>
      <c r="AM7" s="412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4"/>
    </row>
    <row r="8" spans="1:50">
      <c r="A8" s="415"/>
      <c r="B8" s="416"/>
      <c r="C8" s="416"/>
      <c r="D8" s="416"/>
      <c r="E8" s="416"/>
      <c r="F8" s="416"/>
      <c r="G8" s="416"/>
      <c r="H8" s="416"/>
      <c r="I8" s="417"/>
      <c r="J8" s="417"/>
      <c r="K8" s="417"/>
      <c r="L8" s="417"/>
      <c r="M8" s="417"/>
      <c r="N8" s="417"/>
      <c r="O8" s="417"/>
      <c r="P8" s="417"/>
      <c r="Q8" s="417"/>
      <c r="R8" s="417"/>
      <c r="S8" s="417"/>
      <c r="T8" s="417"/>
      <c r="U8" s="417"/>
      <c r="V8" s="417"/>
      <c r="W8" s="418" t="s">
        <v>278</v>
      </c>
      <c r="X8" s="419"/>
      <c r="Y8" s="419"/>
      <c r="Z8" s="419"/>
      <c r="AA8" s="419"/>
      <c r="AB8" s="419"/>
      <c r="AC8" s="419"/>
      <c r="AD8" s="419"/>
      <c r="AE8" s="419"/>
      <c r="AF8" s="419"/>
      <c r="AG8" s="419"/>
      <c r="AH8" s="419"/>
      <c r="AI8" s="419"/>
      <c r="AJ8" s="419"/>
      <c r="AK8" s="419"/>
      <c r="AL8" s="420"/>
      <c r="AM8" s="421"/>
      <c r="AN8" s="422"/>
      <c r="AO8" s="422"/>
      <c r="AP8" s="422"/>
      <c r="AQ8" s="422"/>
      <c r="AR8" s="422"/>
      <c r="AS8" s="422"/>
      <c r="AT8" s="422"/>
      <c r="AU8" s="422"/>
      <c r="AV8" s="422"/>
      <c r="AW8" s="422"/>
      <c r="AX8" s="423"/>
    </row>
    <row r="9" spans="1:50">
      <c r="A9" s="415"/>
      <c r="B9" s="416"/>
      <c r="C9" s="416"/>
      <c r="D9" s="416"/>
      <c r="E9" s="416"/>
      <c r="F9" s="416"/>
      <c r="G9" s="416"/>
      <c r="H9" s="416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8" t="s">
        <v>279</v>
      </c>
      <c r="X9" s="419"/>
      <c r="Y9" s="419"/>
      <c r="Z9" s="419"/>
      <c r="AA9" s="419"/>
      <c r="AB9" s="419"/>
      <c r="AC9" s="419"/>
      <c r="AD9" s="419"/>
      <c r="AE9" s="419"/>
      <c r="AF9" s="419"/>
      <c r="AG9" s="419"/>
      <c r="AH9" s="419"/>
      <c r="AI9" s="419"/>
      <c r="AJ9" s="419"/>
      <c r="AK9" s="419"/>
      <c r="AL9" s="420"/>
      <c r="AM9" s="421"/>
      <c r="AN9" s="422"/>
      <c r="AO9" s="422"/>
      <c r="AP9" s="422"/>
      <c r="AQ9" s="422"/>
      <c r="AR9" s="422"/>
      <c r="AS9" s="422"/>
      <c r="AT9" s="422"/>
      <c r="AU9" s="422"/>
      <c r="AV9" s="422"/>
      <c r="AW9" s="422"/>
      <c r="AX9" s="423"/>
    </row>
    <row r="10" spans="1:50">
      <c r="A10" s="415"/>
      <c r="B10" s="416"/>
      <c r="C10" s="424"/>
      <c r="D10" s="416"/>
      <c r="E10" s="416"/>
      <c r="F10" s="416"/>
      <c r="G10" s="416"/>
      <c r="H10" s="416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25"/>
      <c r="X10" s="426"/>
      <c r="Y10" s="426"/>
      <c r="Z10" s="426"/>
      <c r="AA10" s="426"/>
      <c r="AB10" s="426"/>
      <c r="AC10" s="426"/>
      <c r="AD10" s="426"/>
      <c r="AE10" s="426"/>
      <c r="AF10" s="426"/>
      <c r="AG10" s="426"/>
      <c r="AH10" s="426"/>
      <c r="AI10" s="426"/>
      <c r="AJ10" s="426"/>
      <c r="AK10" s="426"/>
      <c r="AL10" s="427"/>
      <c r="AM10" s="421"/>
      <c r="AN10" s="422"/>
      <c r="AO10" s="422"/>
      <c r="AP10" s="422"/>
      <c r="AQ10" s="422"/>
      <c r="AR10" s="422"/>
      <c r="AS10" s="422"/>
      <c r="AT10" s="422"/>
      <c r="AU10" s="422"/>
      <c r="AV10" s="422"/>
      <c r="AW10" s="422"/>
      <c r="AX10" s="423"/>
    </row>
    <row r="11" spans="1:50">
      <c r="A11" s="415"/>
      <c r="B11" s="416"/>
      <c r="C11" s="416"/>
      <c r="D11" s="416"/>
      <c r="E11" s="416"/>
      <c r="F11" s="416"/>
      <c r="G11" s="416"/>
      <c r="H11" s="416"/>
      <c r="I11" s="417"/>
      <c r="J11" s="417"/>
      <c r="K11" s="417"/>
      <c r="L11" s="417"/>
      <c r="M11" s="417"/>
      <c r="N11" s="417"/>
      <c r="O11" s="417"/>
      <c r="P11" s="417"/>
      <c r="Q11" s="417"/>
      <c r="R11" s="417"/>
      <c r="S11" s="417"/>
      <c r="T11" s="417"/>
      <c r="U11" s="417"/>
      <c r="V11" s="417"/>
      <c r="W11" s="418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19"/>
      <c r="AJ11" s="419"/>
      <c r="AK11" s="419"/>
      <c r="AL11" s="420"/>
      <c r="AM11" s="421"/>
      <c r="AN11" s="422"/>
      <c r="AO11" s="422"/>
      <c r="AP11" s="422"/>
      <c r="AQ11" s="422"/>
      <c r="AR11" s="422"/>
      <c r="AS11" s="422"/>
      <c r="AT11" s="422"/>
      <c r="AU11" s="422"/>
      <c r="AV11" s="422"/>
      <c r="AW11" s="422"/>
      <c r="AX11" s="423"/>
    </row>
    <row r="12" spans="1:50" ht="12.75" thickBot="1">
      <c r="A12" s="428"/>
      <c r="B12" s="429"/>
      <c r="C12" s="429"/>
      <c r="D12" s="429"/>
      <c r="E12" s="429"/>
      <c r="F12" s="429"/>
      <c r="G12" s="429"/>
      <c r="H12" s="429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1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  <c r="AL12" s="433"/>
      <c r="AM12" s="434"/>
      <c r="AN12" s="435"/>
      <c r="AO12" s="435"/>
      <c r="AP12" s="435"/>
      <c r="AQ12" s="435"/>
      <c r="AR12" s="435"/>
      <c r="AS12" s="435"/>
      <c r="AT12" s="435"/>
      <c r="AU12" s="435"/>
      <c r="AV12" s="435"/>
      <c r="AW12" s="435"/>
      <c r="AX12" s="436"/>
    </row>
    <row r="13" spans="1:50">
      <c r="A13" s="437"/>
      <c r="B13" s="437"/>
      <c r="C13" s="437"/>
      <c r="D13" s="438"/>
      <c r="E13" s="438"/>
      <c r="F13" s="438"/>
      <c r="G13" s="438"/>
      <c r="H13" s="438"/>
      <c r="I13" s="438"/>
      <c r="J13" s="438"/>
      <c r="K13" s="438"/>
      <c r="L13" s="438"/>
      <c r="M13" s="438"/>
      <c r="N13" s="438"/>
      <c r="O13" s="438"/>
      <c r="P13" s="438"/>
      <c r="Q13" s="438"/>
      <c r="R13" s="438"/>
      <c r="S13" s="438"/>
      <c r="T13" s="438"/>
      <c r="U13" s="438"/>
      <c r="V13" s="438"/>
      <c r="W13" s="438"/>
      <c r="X13" s="439"/>
      <c r="Y13" s="439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439"/>
      <c r="AN13" s="439"/>
      <c r="AO13" s="439"/>
      <c r="AP13" s="439"/>
      <c r="AQ13" s="439"/>
      <c r="AR13" s="438"/>
      <c r="AS13" s="438"/>
      <c r="AT13" s="438"/>
      <c r="AU13" s="438"/>
      <c r="AV13" s="438"/>
      <c r="AW13" s="438"/>
      <c r="AX13" s="438"/>
    </row>
    <row r="14" spans="1:50" ht="12.75" thickBot="1">
      <c r="A14" s="391" t="s">
        <v>270</v>
      </c>
      <c r="B14" s="437"/>
      <c r="C14" s="437"/>
      <c r="D14" s="438"/>
      <c r="E14" s="438"/>
      <c r="F14" s="438"/>
      <c r="G14" s="438"/>
      <c r="H14" s="438"/>
      <c r="I14" s="438"/>
      <c r="J14" s="438"/>
      <c r="K14" s="438"/>
      <c r="L14" s="438"/>
      <c r="M14" s="438"/>
      <c r="N14" s="438"/>
      <c r="O14" s="438"/>
      <c r="P14" s="438"/>
      <c r="Q14" s="438"/>
      <c r="R14" s="438"/>
      <c r="S14" s="438"/>
      <c r="T14" s="438"/>
      <c r="U14" s="438"/>
      <c r="V14" s="438"/>
      <c r="W14" s="438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439"/>
      <c r="AN14" s="439"/>
      <c r="AO14" s="439"/>
      <c r="AP14" s="439"/>
      <c r="AQ14" s="439"/>
      <c r="AR14" s="438"/>
      <c r="AS14" s="438"/>
      <c r="AT14" s="438"/>
      <c r="AU14" s="438"/>
      <c r="AV14" s="438"/>
      <c r="AW14" s="438"/>
      <c r="AX14" s="438"/>
    </row>
    <row r="15" spans="1:50">
      <c r="A15" s="440" t="s">
        <v>271</v>
      </c>
      <c r="B15" s="441"/>
      <c r="C15" s="441" t="s">
        <v>272</v>
      </c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 t="s">
        <v>273</v>
      </c>
      <c r="Y15" s="441"/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2" t="s">
        <v>274</v>
      </c>
      <c r="AT15" s="442"/>
      <c r="AU15" s="442"/>
      <c r="AV15" s="442"/>
      <c r="AW15" s="442"/>
      <c r="AX15" s="443"/>
    </row>
    <row r="16" spans="1:50" ht="12.75" thickBot="1">
      <c r="A16" s="444"/>
      <c r="B16" s="445"/>
      <c r="C16" s="445" t="s">
        <v>275</v>
      </c>
      <c r="D16" s="445"/>
      <c r="E16" s="445"/>
      <c r="F16" s="445"/>
      <c r="G16" s="445" t="s">
        <v>55</v>
      </c>
      <c r="H16" s="445"/>
      <c r="I16" s="445"/>
      <c r="J16" s="445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  <c r="W16" s="445"/>
      <c r="X16" s="445" t="s">
        <v>275</v>
      </c>
      <c r="Y16" s="445"/>
      <c r="Z16" s="445"/>
      <c r="AA16" s="445"/>
      <c r="AB16" s="445" t="s">
        <v>55</v>
      </c>
      <c r="AC16" s="445"/>
      <c r="AD16" s="445"/>
      <c r="AE16" s="445"/>
      <c r="AF16" s="445"/>
      <c r="AG16" s="445"/>
      <c r="AH16" s="445"/>
      <c r="AI16" s="445"/>
      <c r="AJ16" s="445"/>
      <c r="AK16" s="445"/>
      <c r="AL16" s="445"/>
      <c r="AM16" s="445"/>
      <c r="AN16" s="445"/>
      <c r="AO16" s="445"/>
      <c r="AP16" s="445"/>
      <c r="AQ16" s="445"/>
      <c r="AR16" s="445"/>
      <c r="AS16" s="446"/>
      <c r="AT16" s="446"/>
      <c r="AU16" s="446"/>
      <c r="AV16" s="446"/>
      <c r="AW16" s="446"/>
      <c r="AX16" s="447"/>
    </row>
    <row r="17" spans="1:50" ht="24" customHeight="1" thickTop="1">
      <c r="A17" s="448">
        <v>1</v>
      </c>
      <c r="B17" s="449"/>
      <c r="C17" s="450" t="s">
        <v>280</v>
      </c>
      <c r="D17" s="451"/>
      <c r="E17" s="451"/>
      <c r="F17" s="452"/>
      <c r="G17" s="453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  <c r="W17" s="455"/>
      <c r="X17" s="456" t="s">
        <v>280</v>
      </c>
      <c r="Y17" s="457"/>
      <c r="Z17" s="457"/>
      <c r="AA17" s="449"/>
      <c r="AB17" s="453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5"/>
      <c r="AS17" s="458">
        <v>42998</v>
      </c>
      <c r="AT17" s="459"/>
      <c r="AU17" s="459"/>
      <c r="AV17" s="459"/>
      <c r="AW17" s="459"/>
      <c r="AX17" s="460"/>
    </row>
    <row r="18" spans="1:50" ht="24" customHeight="1">
      <c r="A18" s="448"/>
      <c r="B18" s="449"/>
      <c r="C18" s="450"/>
      <c r="D18" s="451"/>
      <c r="E18" s="451"/>
      <c r="F18" s="452"/>
      <c r="G18" s="453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55"/>
      <c r="X18" s="456"/>
      <c r="Y18" s="457"/>
      <c r="Z18" s="457"/>
      <c r="AA18" s="449"/>
      <c r="AB18" s="453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5"/>
      <c r="AS18" s="458"/>
      <c r="AT18" s="459"/>
      <c r="AU18" s="459"/>
      <c r="AV18" s="459"/>
      <c r="AW18" s="459"/>
      <c r="AX18" s="460"/>
    </row>
    <row r="19" spans="1:50" ht="24" customHeight="1">
      <c r="A19" s="448"/>
      <c r="B19" s="449"/>
      <c r="C19" s="450"/>
      <c r="D19" s="451"/>
      <c r="E19" s="451"/>
      <c r="F19" s="452"/>
      <c r="G19" s="453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5"/>
      <c r="X19" s="456"/>
      <c r="Y19" s="457"/>
      <c r="Z19" s="457"/>
      <c r="AA19" s="449"/>
      <c r="AB19" s="453"/>
      <c r="AC19" s="454"/>
      <c r="AD19" s="454"/>
      <c r="AE19" s="454"/>
      <c r="AF19" s="454"/>
      <c r="AG19" s="454"/>
      <c r="AH19" s="454"/>
      <c r="AI19" s="454"/>
      <c r="AJ19" s="454"/>
      <c r="AK19" s="454"/>
      <c r="AL19" s="454"/>
      <c r="AM19" s="454"/>
      <c r="AN19" s="454"/>
      <c r="AO19" s="454"/>
      <c r="AP19" s="454"/>
      <c r="AQ19" s="454"/>
      <c r="AR19" s="455"/>
      <c r="AS19" s="458"/>
      <c r="AT19" s="459"/>
      <c r="AU19" s="459"/>
      <c r="AV19" s="459"/>
      <c r="AW19" s="459"/>
      <c r="AX19" s="460"/>
    </row>
    <row r="20" spans="1:50" ht="24" customHeight="1">
      <c r="A20" s="448"/>
      <c r="B20" s="449"/>
      <c r="C20" s="450"/>
      <c r="D20" s="451"/>
      <c r="E20" s="451"/>
      <c r="F20" s="452"/>
      <c r="G20" s="453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5"/>
      <c r="X20" s="456"/>
      <c r="Y20" s="457"/>
      <c r="Z20" s="457"/>
      <c r="AA20" s="449"/>
      <c r="AB20" s="453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5"/>
      <c r="AS20" s="458"/>
      <c r="AT20" s="459"/>
      <c r="AU20" s="459"/>
      <c r="AV20" s="459"/>
      <c r="AW20" s="459"/>
      <c r="AX20" s="460"/>
    </row>
    <row r="21" spans="1:50" ht="24" customHeight="1">
      <c r="A21" s="448"/>
      <c r="B21" s="449"/>
      <c r="C21" s="450"/>
      <c r="D21" s="451"/>
      <c r="E21" s="451"/>
      <c r="F21" s="452"/>
      <c r="G21" s="453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  <c r="W21" s="455"/>
      <c r="X21" s="456"/>
      <c r="Y21" s="457"/>
      <c r="Z21" s="457"/>
      <c r="AA21" s="449"/>
      <c r="AB21" s="453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5"/>
      <c r="AS21" s="458"/>
      <c r="AT21" s="459"/>
      <c r="AU21" s="459"/>
      <c r="AV21" s="459"/>
      <c r="AW21" s="459"/>
      <c r="AX21" s="460"/>
    </row>
    <row r="22" spans="1:50" ht="24" customHeight="1">
      <c r="A22" s="448"/>
      <c r="B22" s="449"/>
      <c r="C22" s="450"/>
      <c r="D22" s="451"/>
      <c r="E22" s="451"/>
      <c r="F22" s="452"/>
      <c r="G22" s="453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5"/>
      <c r="X22" s="456"/>
      <c r="Y22" s="457"/>
      <c r="Z22" s="457"/>
      <c r="AA22" s="449"/>
      <c r="AB22" s="453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5"/>
      <c r="AS22" s="458"/>
      <c r="AT22" s="459"/>
      <c r="AU22" s="459"/>
      <c r="AV22" s="459"/>
      <c r="AW22" s="459"/>
      <c r="AX22" s="460"/>
    </row>
    <row r="23" spans="1:50" ht="24" customHeight="1">
      <c r="A23" s="448"/>
      <c r="B23" s="449"/>
      <c r="C23" s="450"/>
      <c r="D23" s="451"/>
      <c r="E23" s="451"/>
      <c r="F23" s="452"/>
      <c r="G23" s="453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5"/>
      <c r="X23" s="456"/>
      <c r="Y23" s="457"/>
      <c r="Z23" s="457"/>
      <c r="AA23" s="449"/>
      <c r="AB23" s="453"/>
      <c r="AC23" s="454"/>
      <c r="AD23" s="454"/>
      <c r="AE23" s="454"/>
      <c r="AF23" s="454"/>
      <c r="AG23" s="454"/>
      <c r="AH23" s="454"/>
      <c r="AI23" s="454"/>
      <c r="AJ23" s="454"/>
      <c r="AK23" s="454"/>
      <c r="AL23" s="454"/>
      <c r="AM23" s="454"/>
      <c r="AN23" s="454"/>
      <c r="AO23" s="454"/>
      <c r="AP23" s="454"/>
      <c r="AQ23" s="454"/>
      <c r="AR23" s="455"/>
      <c r="AS23" s="458"/>
      <c r="AT23" s="459"/>
      <c r="AU23" s="459"/>
      <c r="AV23" s="459"/>
      <c r="AW23" s="459"/>
      <c r="AX23" s="460"/>
    </row>
    <row r="24" spans="1:50" ht="24" customHeight="1">
      <c r="A24" s="448"/>
      <c r="B24" s="449"/>
      <c r="C24" s="450"/>
      <c r="D24" s="451"/>
      <c r="E24" s="451"/>
      <c r="F24" s="452"/>
      <c r="G24" s="453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  <c r="W24" s="455"/>
      <c r="X24" s="456"/>
      <c r="Y24" s="457"/>
      <c r="Z24" s="457"/>
      <c r="AA24" s="449"/>
      <c r="AB24" s="453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5"/>
      <c r="AS24" s="458"/>
      <c r="AT24" s="459"/>
      <c r="AU24" s="459"/>
      <c r="AV24" s="459"/>
      <c r="AW24" s="459"/>
      <c r="AX24" s="460"/>
    </row>
    <row r="25" spans="1:50" ht="24" customHeight="1">
      <c r="A25" s="448"/>
      <c r="B25" s="449"/>
      <c r="C25" s="450"/>
      <c r="D25" s="451"/>
      <c r="E25" s="451"/>
      <c r="F25" s="452"/>
      <c r="G25" s="453"/>
      <c r="H25" s="454"/>
      <c r="I25" s="454"/>
      <c r="J25" s="454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  <c r="W25" s="455"/>
      <c r="X25" s="456"/>
      <c r="Y25" s="457"/>
      <c r="Z25" s="457"/>
      <c r="AA25" s="449"/>
      <c r="AB25" s="453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5"/>
      <c r="AS25" s="458"/>
      <c r="AT25" s="459"/>
      <c r="AU25" s="459"/>
      <c r="AV25" s="459"/>
      <c r="AW25" s="459"/>
      <c r="AX25" s="460"/>
    </row>
    <row r="26" spans="1:50" ht="24" customHeight="1" thickBot="1">
      <c r="A26" s="461"/>
      <c r="B26" s="462"/>
      <c r="C26" s="463"/>
      <c r="D26" s="464"/>
      <c r="E26" s="464"/>
      <c r="F26" s="465"/>
      <c r="G26" s="466"/>
      <c r="H26" s="467"/>
      <c r="I26" s="467"/>
      <c r="J26" s="467"/>
      <c r="K26" s="467"/>
      <c r="L26" s="467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8"/>
      <c r="X26" s="469"/>
      <c r="Y26" s="470"/>
      <c r="Z26" s="470"/>
      <c r="AA26" s="462"/>
      <c r="AB26" s="466"/>
      <c r="AC26" s="467"/>
      <c r="AD26" s="467"/>
      <c r="AE26" s="467"/>
      <c r="AF26" s="467"/>
      <c r="AG26" s="467"/>
      <c r="AH26" s="467"/>
      <c r="AI26" s="467"/>
      <c r="AJ26" s="467"/>
      <c r="AK26" s="467"/>
      <c r="AL26" s="467"/>
      <c r="AM26" s="467"/>
      <c r="AN26" s="467"/>
      <c r="AO26" s="467"/>
      <c r="AP26" s="467"/>
      <c r="AQ26" s="467"/>
      <c r="AR26" s="468"/>
      <c r="AS26" s="471"/>
      <c r="AT26" s="472"/>
      <c r="AU26" s="472"/>
      <c r="AV26" s="472"/>
      <c r="AW26" s="472"/>
      <c r="AX26" s="473"/>
    </row>
  </sheetData>
  <mergeCells count="87">
    <mergeCell ref="A26:B26"/>
    <mergeCell ref="C26:F26"/>
    <mergeCell ref="G26:W26"/>
    <mergeCell ref="X26:AA26"/>
    <mergeCell ref="AB26:AR26"/>
    <mergeCell ref="AS26:AX26"/>
    <mergeCell ref="A25:B25"/>
    <mergeCell ref="C25:F25"/>
    <mergeCell ref="G25:W25"/>
    <mergeCell ref="X25:AA25"/>
    <mergeCell ref="AB25:AR25"/>
    <mergeCell ref="AS25:AX25"/>
    <mergeCell ref="A24:B24"/>
    <mergeCell ref="C24:F24"/>
    <mergeCell ref="G24:W24"/>
    <mergeCell ref="X24:AA24"/>
    <mergeCell ref="AB24:AR24"/>
    <mergeCell ref="AS24:AX24"/>
    <mergeCell ref="A23:B23"/>
    <mergeCell ref="C23:F23"/>
    <mergeCell ref="G23:W23"/>
    <mergeCell ref="X23:AA23"/>
    <mergeCell ref="AB23:AR23"/>
    <mergeCell ref="AS23:AX23"/>
    <mergeCell ref="A22:B22"/>
    <mergeCell ref="C22:F22"/>
    <mergeCell ref="G22:W22"/>
    <mergeCell ref="X22:AA22"/>
    <mergeCell ref="AB22:AR22"/>
    <mergeCell ref="AS22:AX22"/>
    <mergeCell ref="A21:B21"/>
    <mergeCell ref="C21:F21"/>
    <mergeCell ref="G21:W21"/>
    <mergeCell ref="X21:AA21"/>
    <mergeCell ref="AB21:AR21"/>
    <mergeCell ref="AS21:AX21"/>
    <mergeCell ref="A20:B20"/>
    <mergeCell ref="C20:F20"/>
    <mergeCell ref="G20:W20"/>
    <mergeCell ref="X20:AA20"/>
    <mergeCell ref="AB20:AR20"/>
    <mergeCell ref="AS20:AX20"/>
    <mergeCell ref="A19:B19"/>
    <mergeCell ref="C19:F19"/>
    <mergeCell ref="G19:W19"/>
    <mergeCell ref="X19:AA19"/>
    <mergeCell ref="AB19:AR19"/>
    <mergeCell ref="AS19:AX19"/>
    <mergeCell ref="A18:B18"/>
    <mergeCell ref="C18:F18"/>
    <mergeCell ref="G18:W18"/>
    <mergeCell ref="X18:AA18"/>
    <mergeCell ref="AB18:AR18"/>
    <mergeCell ref="AS18:AX18"/>
    <mergeCell ref="A17:B17"/>
    <mergeCell ref="C17:F17"/>
    <mergeCell ref="G17:W17"/>
    <mergeCell ref="X17:AA17"/>
    <mergeCell ref="AB17:AR17"/>
    <mergeCell ref="AS17:AX17"/>
    <mergeCell ref="A15:B16"/>
    <mergeCell ref="C15:W15"/>
    <mergeCell ref="X15:AR15"/>
    <mergeCell ref="AS15:AX16"/>
    <mergeCell ref="C16:F16"/>
    <mergeCell ref="G16:W16"/>
    <mergeCell ref="X16:AA16"/>
    <mergeCell ref="AB16:AR16"/>
    <mergeCell ref="A10:B12"/>
    <mergeCell ref="C10:H12"/>
    <mergeCell ref="I10:V12"/>
    <mergeCell ref="W10:AL10"/>
    <mergeCell ref="AM10:AX12"/>
    <mergeCell ref="W11:AL11"/>
    <mergeCell ref="W12:AL12"/>
    <mergeCell ref="W6:AL6"/>
    <mergeCell ref="AM6:AX6"/>
    <mergeCell ref="A7:B9"/>
    <mergeCell ref="C7:H9"/>
    <mergeCell ref="I7:V9"/>
    <mergeCell ref="W7:AL7"/>
    <mergeCell ref="AM7:AX9"/>
    <mergeCell ref="W8:AL8"/>
    <mergeCell ref="W9:AL9"/>
    <mergeCell ref="A6:B6"/>
    <mergeCell ref="C6:H6"/>
    <mergeCell ref="I6:V6"/>
  </mergeCells>
  <phoneticPr fontId="2"/>
  <dataValidations count="1">
    <dataValidation imeMode="off" allowBlank="1" showInputMessage="1" showErrorMessage="1" sqref="A27:B47 D13:D14 A7 A10 A13 A17:A26"/>
  </dataValidations>
  <pageMargins left="0.39370078740157483" right="0.39370078740157483" top="0.51181102362204722" bottom="0.51181102362204722" header="0.31496062992125984" footer="0.31496062992125984"/>
  <pageSetup paperSize="9" fitToHeight="0" orientation="landscape" horizontalDpi="200" verticalDpi="200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FFFF99"/>
    <pageSetUpPr fitToPage="1"/>
  </sheetPr>
  <dimension ref="A1:AX70"/>
  <sheetViews>
    <sheetView showGridLines="0" topLeftCell="A19" zoomScaleNormal="100" zoomScaleSheetLayoutView="90" workbookViewId="0">
      <selection activeCell="H27" sqref="H27"/>
    </sheetView>
  </sheetViews>
  <sheetFormatPr defaultRowHeight="12"/>
  <cols>
    <col min="1" max="50" width="3.33203125" style="1" customWidth="1"/>
    <col min="51" max="51" width="1.5" style="1" customWidth="1"/>
    <col min="52" max="16384" width="9.33203125" style="1"/>
  </cols>
  <sheetData>
    <row r="1" spans="1:50">
      <c r="A1" s="309" t="s">
        <v>32</v>
      </c>
      <c r="B1" s="310"/>
      <c r="C1" s="310"/>
      <c r="D1" s="310"/>
      <c r="E1" s="310"/>
      <c r="F1" s="310"/>
      <c r="G1" s="311"/>
      <c r="H1" s="318" t="s">
        <v>2</v>
      </c>
      <c r="I1" s="319"/>
      <c r="J1" s="319"/>
      <c r="K1" s="320"/>
      <c r="L1" s="321" t="str">
        <f>IF(顧客名="","",顧客名)</f>
        <v>株式会社XXXX殿</v>
      </c>
      <c r="M1" s="322"/>
      <c r="N1" s="322"/>
      <c r="O1" s="322"/>
      <c r="P1" s="322"/>
      <c r="Q1" s="322"/>
      <c r="R1" s="323"/>
      <c r="S1" s="327" t="s">
        <v>60</v>
      </c>
      <c r="T1" s="319"/>
      <c r="U1" s="319"/>
      <c r="V1" s="320"/>
      <c r="W1" s="321" t="str">
        <f>IF(システム="","",システム)</f>
        <v>mcframe7</v>
      </c>
      <c r="X1" s="322"/>
      <c r="Y1" s="322"/>
      <c r="Z1" s="322"/>
      <c r="AA1" s="322"/>
      <c r="AB1" s="322"/>
      <c r="AC1" s="323"/>
      <c r="AD1" s="328" t="s">
        <v>8</v>
      </c>
      <c r="AE1" s="329"/>
      <c r="AF1" s="329"/>
      <c r="AG1" s="330"/>
      <c r="AH1" s="331" t="str">
        <f>IF(作成者="","",作成者)</f>
        <v>XX</v>
      </c>
      <c r="AI1" s="332"/>
      <c r="AJ1" s="332"/>
      <c r="AK1" s="332"/>
      <c r="AL1" s="333"/>
      <c r="AM1" s="328" t="s">
        <v>9</v>
      </c>
      <c r="AN1" s="329"/>
      <c r="AO1" s="329"/>
      <c r="AP1" s="330"/>
      <c r="AQ1" s="337">
        <f>IF(作成日="","",作成日)</f>
        <v>42871</v>
      </c>
      <c r="AR1" s="338"/>
      <c r="AS1" s="338"/>
      <c r="AT1" s="339"/>
      <c r="AU1" s="328" t="s">
        <v>0</v>
      </c>
      <c r="AV1" s="329"/>
      <c r="AW1" s="329"/>
      <c r="AX1" s="340"/>
    </row>
    <row r="2" spans="1:50">
      <c r="A2" s="312"/>
      <c r="B2" s="313"/>
      <c r="C2" s="313"/>
      <c r="D2" s="313"/>
      <c r="E2" s="313"/>
      <c r="F2" s="313"/>
      <c r="G2" s="314"/>
      <c r="H2" s="341" t="s">
        <v>10</v>
      </c>
      <c r="I2" s="342"/>
      <c r="J2" s="342"/>
      <c r="K2" s="343"/>
      <c r="L2" s="344" t="str">
        <f>IF(プロジェクト名="","",プロジェクト名)</f>
        <v>新基幹システム構築プロジェクト</v>
      </c>
      <c r="M2" s="345"/>
      <c r="N2" s="345"/>
      <c r="O2" s="345"/>
      <c r="P2" s="345"/>
      <c r="Q2" s="345"/>
      <c r="R2" s="346"/>
      <c r="S2" s="347" t="s">
        <v>39</v>
      </c>
      <c r="T2" s="342"/>
      <c r="U2" s="342"/>
      <c r="V2" s="343"/>
      <c r="W2" s="344" t="str">
        <f>IF(サブシステム="","",サブシステム)</f>
        <v>SCM</v>
      </c>
      <c r="X2" s="345"/>
      <c r="Y2" s="345"/>
      <c r="Z2" s="345"/>
      <c r="AA2" s="345"/>
      <c r="AB2" s="345"/>
      <c r="AC2" s="346"/>
      <c r="AD2" s="348" t="s">
        <v>11</v>
      </c>
      <c r="AE2" s="349"/>
      <c r="AF2" s="349"/>
      <c r="AG2" s="350"/>
      <c r="AH2" s="351" t="str">
        <f>IF(修正者="","",修正者)</f>
        <v>XX</v>
      </c>
      <c r="AI2" s="352"/>
      <c r="AJ2" s="352"/>
      <c r="AK2" s="352"/>
      <c r="AL2" s="353"/>
      <c r="AM2" s="354" t="s">
        <v>12</v>
      </c>
      <c r="AN2" s="355"/>
      <c r="AO2" s="355"/>
      <c r="AP2" s="356"/>
      <c r="AQ2" s="357">
        <f>IF(修正日="","",修正日)</f>
        <v>43006</v>
      </c>
      <c r="AR2" s="358"/>
      <c r="AS2" s="358"/>
      <c r="AT2" s="358"/>
      <c r="AU2" s="359" t="str">
        <f>IF(文書番号="","",文書番号)</f>
        <v>XX-XX-9999</v>
      </c>
      <c r="AV2" s="360"/>
      <c r="AW2" s="360"/>
      <c r="AX2" s="361"/>
    </row>
    <row r="3" spans="1:50" ht="12.75" thickBot="1">
      <c r="A3" s="315"/>
      <c r="B3" s="316"/>
      <c r="C3" s="316"/>
      <c r="D3" s="316"/>
      <c r="E3" s="316"/>
      <c r="F3" s="316"/>
      <c r="G3" s="317"/>
      <c r="H3" s="365" t="s">
        <v>14</v>
      </c>
      <c r="I3" s="365"/>
      <c r="J3" s="365"/>
      <c r="K3" s="366"/>
      <c r="L3" s="367" t="str">
        <f>IF(機能ID="","",機能ID)</f>
        <v>MSBFRA020</v>
      </c>
      <c r="M3" s="368"/>
      <c r="N3" s="368"/>
      <c r="O3" s="368"/>
      <c r="P3" s="368"/>
      <c r="Q3" s="368"/>
      <c r="R3" s="368"/>
      <c r="S3" s="369" t="s">
        <v>15</v>
      </c>
      <c r="T3" s="365"/>
      <c r="U3" s="365"/>
      <c r="V3" s="366"/>
      <c r="W3" s="367" t="str">
        <f>IF(機能名="","",機能名)</f>
        <v>部材現品票</v>
      </c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1"/>
      <c r="AM3" s="324" t="s">
        <v>13</v>
      </c>
      <c r="AN3" s="325"/>
      <c r="AO3" s="325"/>
      <c r="AP3" s="326"/>
      <c r="AQ3" s="334" t="str">
        <f>IF(Rev="","",Rev)</f>
        <v>r02.00</v>
      </c>
      <c r="AR3" s="335"/>
      <c r="AS3" s="335"/>
      <c r="AT3" s="336"/>
      <c r="AU3" s="362"/>
      <c r="AV3" s="363"/>
      <c r="AW3" s="363"/>
      <c r="AX3" s="364"/>
    </row>
    <row r="4" spans="1:50" ht="12.75" thickBot="1"/>
    <row r="5" spans="1:50" ht="15" customHeight="1" thickBot="1">
      <c r="A5" s="259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1"/>
    </row>
    <row r="6" spans="1:50" ht="15" customHeight="1">
      <c r="A6" s="6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</row>
    <row r="7" spans="1:50" ht="15" customHeight="1">
      <c r="A7" s="9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1"/>
    </row>
    <row r="8" spans="1:50" ht="15" customHeight="1">
      <c r="A8" s="12" t="s">
        <v>34</v>
      </c>
      <c r="B8" s="13"/>
      <c r="C8" s="13"/>
      <c r="D8" s="13"/>
      <c r="E8" s="14"/>
      <c r="F8" s="18" t="s">
        <v>137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  <c r="Z8" s="17" t="s">
        <v>38</v>
      </c>
      <c r="AA8" s="13"/>
      <c r="AB8" s="13"/>
      <c r="AC8" s="13"/>
      <c r="AD8" s="14"/>
      <c r="AE8" s="18" t="s">
        <v>116</v>
      </c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9"/>
    </row>
    <row r="9" spans="1:50" ht="15" customHeight="1">
      <c r="A9" s="12" t="s">
        <v>36</v>
      </c>
      <c r="B9" s="13"/>
      <c r="C9" s="13"/>
      <c r="D9" s="13"/>
      <c r="E9" s="14"/>
      <c r="F9" s="18" t="s">
        <v>141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/>
      <c r="Z9" s="17" t="s">
        <v>35</v>
      </c>
      <c r="AA9" s="13"/>
      <c r="AB9" s="13"/>
      <c r="AC9" s="13"/>
      <c r="AD9" s="14"/>
      <c r="AE9" s="18" t="s">
        <v>94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9"/>
    </row>
    <row r="10" spans="1:50" ht="15" customHeight="1">
      <c r="A10" s="12" t="s">
        <v>49</v>
      </c>
      <c r="B10" s="13"/>
      <c r="C10" s="13"/>
      <c r="D10" s="13"/>
      <c r="E10" s="14"/>
      <c r="F10" s="18" t="s">
        <v>77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6"/>
      <c r="Z10" s="17" t="s">
        <v>50</v>
      </c>
      <c r="AA10" s="13"/>
      <c r="AB10" s="13"/>
      <c r="AC10" s="13"/>
      <c r="AD10" s="14"/>
      <c r="AE10" s="18" t="s">
        <v>143</v>
      </c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9"/>
    </row>
    <row r="11" spans="1:50" ht="15" customHeight="1">
      <c r="A11" s="12" t="s">
        <v>51</v>
      </c>
      <c r="B11" s="13"/>
      <c r="C11" s="13"/>
      <c r="D11" s="13"/>
      <c r="E11" s="14"/>
      <c r="F11" s="18" t="s">
        <v>183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7" t="s">
        <v>52</v>
      </c>
      <c r="AA11" s="13"/>
      <c r="AB11" s="13"/>
      <c r="AC11" s="13"/>
      <c r="AD11" s="14"/>
      <c r="AE11" s="18" t="s">
        <v>198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9"/>
    </row>
    <row r="12" spans="1:50" ht="15" customHeight="1">
      <c r="A12" s="9" t="s">
        <v>53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1"/>
    </row>
    <row r="13" spans="1:50" ht="15" customHeight="1">
      <c r="A13" s="20" t="s">
        <v>54</v>
      </c>
      <c r="B13" s="21"/>
      <c r="C13" s="21"/>
      <c r="D13" s="21"/>
      <c r="E13" s="22"/>
      <c r="F13" s="23" t="s">
        <v>15</v>
      </c>
      <c r="G13" s="21"/>
      <c r="H13" s="21"/>
      <c r="I13" s="21"/>
      <c r="J13" s="21"/>
      <c r="K13" s="21"/>
      <c r="L13" s="21"/>
      <c r="M13" s="21"/>
      <c r="N13" s="21"/>
      <c r="O13" s="22"/>
      <c r="P13" s="23" t="s">
        <v>37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5"/>
    </row>
    <row r="14" spans="1:50" ht="15" customHeight="1">
      <c r="A14" s="26" t="s">
        <v>93</v>
      </c>
      <c r="B14" s="15"/>
      <c r="C14" s="15"/>
      <c r="D14" s="15"/>
      <c r="E14" s="15"/>
      <c r="F14" s="18" t="s">
        <v>262</v>
      </c>
      <c r="G14" s="15"/>
      <c r="H14" s="15"/>
      <c r="I14" s="15"/>
      <c r="J14" s="15"/>
      <c r="K14" s="15"/>
      <c r="L14" s="15"/>
      <c r="M14" s="15"/>
      <c r="N14" s="15"/>
      <c r="O14" s="16"/>
      <c r="P14" s="15" t="s">
        <v>184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9"/>
    </row>
    <row r="15" spans="1:50" ht="15" customHeight="1">
      <c r="A15" s="26"/>
      <c r="B15" s="15"/>
      <c r="C15" s="15"/>
      <c r="D15" s="15"/>
      <c r="E15" s="15"/>
      <c r="F15" s="18"/>
      <c r="G15" s="15"/>
      <c r="H15" s="15"/>
      <c r="I15" s="15"/>
      <c r="J15" s="15"/>
      <c r="K15" s="15"/>
      <c r="L15" s="15"/>
      <c r="M15" s="15"/>
      <c r="N15" s="15"/>
      <c r="O15" s="1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9"/>
    </row>
    <row r="16" spans="1:50" ht="15" customHeight="1">
      <c r="A16" s="26"/>
      <c r="B16" s="15"/>
      <c r="C16" s="15"/>
      <c r="D16" s="15"/>
      <c r="E16" s="15"/>
      <c r="F16" s="18"/>
      <c r="G16" s="15"/>
      <c r="H16" s="15"/>
      <c r="I16" s="15"/>
      <c r="J16" s="15"/>
      <c r="K16" s="15"/>
      <c r="L16" s="15"/>
      <c r="M16" s="15"/>
      <c r="N16" s="15"/>
      <c r="O16" s="16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9"/>
    </row>
    <row r="17" spans="1:50" ht="15" customHeight="1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1:50" ht="15" customHeight="1">
      <c r="A18" s="27"/>
      <c r="B18" s="28" t="s">
        <v>205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9"/>
    </row>
    <row r="19" spans="1:50" ht="15" customHeight="1">
      <c r="A19" s="27"/>
      <c r="B19" s="28"/>
      <c r="C19" s="28" t="s">
        <v>259</v>
      </c>
      <c r="D19" s="28" t="s">
        <v>139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9"/>
    </row>
    <row r="20" spans="1:50" ht="15" customHeight="1">
      <c r="A20" s="27"/>
      <c r="B20" s="28"/>
      <c r="C20" s="28" t="s">
        <v>260</v>
      </c>
      <c r="D20" s="28" t="s">
        <v>166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9"/>
    </row>
    <row r="21" spans="1:50" ht="15" customHeight="1">
      <c r="A21" s="27"/>
      <c r="B21" s="28"/>
      <c r="C21" s="28" t="s">
        <v>82</v>
      </c>
      <c r="D21" s="28" t="s">
        <v>130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9"/>
    </row>
    <row r="22" spans="1:50" ht="15" customHeight="1">
      <c r="A22" s="27"/>
      <c r="B22" s="28"/>
      <c r="C22" s="34" t="s">
        <v>259</v>
      </c>
      <c r="D22" s="28" t="s">
        <v>171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9"/>
    </row>
    <row r="23" spans="1:50" ht="15" customHeight="1">
      <c r="A23" s="27"/>
      <c r="B23" s="28"/>
      <c r="C23" s="34" t="s">
        <v>261</v>
      </c>
      <c r="D23" s="28" t="s">
        <v>180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9"/>
    </row>
    <row r="24" spans="1:50" ht="15" customHeight="1">
      <c r="A24" s="27"/>
      <c r="B24" s="28"/>
      <c r="C24" s="28" t="s">
        <v>260</v>
      </c>
      <c r="D24" s="28" t="s">
        <v>263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9"/>
    </row>
    <row r="25" spans="1:50" ht="15" customHeight="1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9"/>
    </row>
    <row r="26" spans="1:50" ht="15" customHeight="1">
      <c r="A26" s="27"/>
      <c r="B26" s="28" t="s">
        <v>138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9"/>
    </row>
    <row r="27" spans="1:50" ht="15" customHeight="1">
      <c r="A27" s="27"/>
      <c r="B27" s="34"/>
      <c r="C27" s="34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9"/>
    </row>
    <row r="28" spans="1:50" ht="15" customHeight="1">
      <c r="A28" s="27"/>
      <c r="B28" s="36" t="s">
        <v>199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9"/>
    </row>
    <row r="29" spans="1:50" ht="15" customHeight="1">
      <c r="A29" s="27"/>
      <c r="B29" s="28"/>
      <c r="C29" s="28" t="s">
        <v>200</v>
      </c>
      <c r="D29" s="28" t="s">
        <v>201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9"/>
    </row>
    <row r="30" spans="1:50" ht="15" customHeight="1">
      <c r="A30" s="27"/>
      <c r="B30" s="28"/>
      <c r="C30" s="28"/>
      <c r="D30" s="34" t="s">
        <v>133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9"/>
    </row>
    <row r="31" spans="1:50" ht="15" customHeight="1">
      <c r="A31" s="27"/>
      <c r="B31" s="28"/>
      <c r="C31" s="28" t="s">
        <v>200</v>
      </c>
      <c r="D31" s="28" t="s">
        <v>202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9"/>
    </row>
    <row r="32" spans="1:50" ht="15" customHeight="1">
      <c r="A32" s="27"/>
      <c r="B32" s="28"/>
      <c r="C32" s="28"/>
      <c r="D32" s="34" t="s">
        <v>163</v>
      </c>
      <c r="E32" s="34"/>
      <c r="F32" s="34"/>
      <c r="G32" s="34"/>
      <c r="H32" s="34"/>
      <c r="I32" s="34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9"/>
    </row>
    <row r="33" spans="1:50" ht="15" customHeight="1">
      <c r="A33" s="27"/>
      <c r="B33" s="28"/>
      <c r="C33" s="28"/>
      <c r="D33" s="34" t="s">
        <v>164</v>
      </c>
      <c r="E33" s="34"/>
      <c r="F33" s="34"/>
      <c r="G33" s="34"/>
      <c r="H33" s="34"/>
      <c r="I33" s="34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9"/>
    </row>
    <row r="34" spans="1:50" ht="15" customHeight="1">
      <c r="A34" s="27"/>
      <c r="B34" s="28"/>
      <c r="C34" s="28"/>
      <c r="D34" s="34" t="s">
        <v>160</v>
      </c>
      <c r="E34" s="34"/>
      <c r="F34" s="34"/>
      <c r="G34" s="34"/>
      <c r="H34" s="34"/>
      <c r="I34" s="34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9"/>
    </row>
    <row r="35" spans="1:50" ht="15" customHeight="1">
      <c r="A35" s="27"/>
      <c r="B35" s="28"/>
      <c r="C35" s="28"/>
      <c r="D35" s="34"/>
      <c r="E35" s="34" t="s">
        <v>165</v>
      </c>
      <c r="F35" s="34"/>
      <c r="G35" s="34"/>
      <c r="H35" s="34"/>
      <c r="I35" s="34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9"/>
    </row>
    <row r="36" spans="1:50" ht="15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9"/>
    </row>
    <row r="37" spans="1:50" ht="15" customHeigh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9"/>
    </row>
    <row r="38" spans="1:50" ht="15" customHeight="1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9"/>
    </row>
    <row r="39" spans="1:50" ht="15" customHeigh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9"/>
    </row>
    <row r="40" spans="1:50" ht="15" customHeight="1">
      <c r="A40" s="30" t="s">
        <v>203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2"/>
    </row>
    <row r="41" spans="1:50" ht="15" customHeight="1">
      <c r="A41" s="33"/>
      <c r="B41" s="34"/>
      <c r="C41" s="34" t="s">
        <v>90</v>
      </c>
      <c r="D41" s="34" t="s">
        <v>185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5"/>
    </row>
    <row r="42" spans="1:50" ht="15" customHeight="1">
      <c r="A42" s="33"/>
      <c r="B42" s="34"/>
      <c r="C42" s="34"/>
      <c r="D42" s="34" t="s">
        <v>154</v>
      </c>
      <c r="E42" s="34" t="s">
        <v>155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5"/>
    </row>
    <row r="43" spans="1:50" ht="15" customHeight="1">
      <c r="A43" s="33"/>
      <c r="B43" s="34"/>
      <c r="C43" s="34" t="s">
        <v>82</v>
      </c>
      <c r="D43" s="34" t="s">
        <v>119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5"/>
    </row>
    <row r="44" spans="1:50" ht="15" customHeight="1">
      <c r="A44" s="33"/>
      <c r="B44" s="34"/>
      <c r="C44" s="34"/>
      <c r="D44" s="34" t="s">
        <v>131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5"/>
    </row>
    <row r="45" spans="1:50" ht="15" customHeight="1">
      <c r="A45" s="33"/>
      <c r="B45" s="34"/>
      <c r="C45" s="34"/>
      <c r="D45" s="34" t="s">
        <v>120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 t="s">
        <v>124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5"/>
    </row>
    <row r="46" spans="1:50" ht="15" customHeight="1">
      <c r="A46" s="33"/>
      <c r="B46" s="34"/>
      <c r="C46" s="34"/>
      <c r="D46" s="34"/>
      <c r="E46" s="34"/>
      <c r="F46" s="34" t="s">
        <v>121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 t="s">
        <v>121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5"/>
    </row>
    <row r="47" spans="1:50" ht="15" customHeight="1">
      <c r="A47" s="33"/>
      <c r="B47" s="34"/>
      <c r="C47" s="34"/>
      <c r="D47" s="34"/>
      <c r="E47" s="34"/>
      <c r="F47" s="34" t="s">
        <v>122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 t="s">
        <v>125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5"/>
    </row>
    <row r="48" spans="1:50" ht="15" customHeight="1">
      <c r="A48" s="33"/>
      <c r="B48" s="34"/>
      <c r="C48" s="34"/>
      <c r="D48" s="34"/>
      <c r="E48" s="34"/>
      <c r="F48" s="34" t="s">
        <v>123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 t="s">
        <v>126</v>
      </c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5"/>
    </row>
    <row r="49" spans="1:50" ht="15" customHeight="1">
      <c r="A49" s="33"/>
      <c r="B49" s="34"/>
      <c r="C49" s="34" t="s">
        <v>156</v>
      </c>
      <c r="D49" s="34" t="s">
        <v>161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5"/>
    </row>
    <row r="50" spans="1:50" ht="15" customHeight="1">
      <c r="A50" s="33"/>
      <c r="B50" s="34"/>
      <c r="C50" s="34" t="s">
        <v>156</v>
      </c>
      <c r="D50" s="34" t="s">
        <v>157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5"/>
    </row>
    <row r="51" spans="1:50" ht="15" customHeight="1">
      <c r="A51" s="33"/>
      <c r="B51" s="34"/>
      <c r="C51" s="34"/>
      <c r="D51" s="34" t="s">
        <v>158</v>
      </c>
      <c r="E51" s="34" t="s">
        <v>162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5"/>
    </row>
    <row r="52" spans="1:50" ht="15" customHeight="1">
      <c r="A52" s="33"/>
      <c r="B52" s="34"/>
      <c r="C52" s="34" t="s">
        <v>179</v>
      </c>
      <c r="D52" s="34" t="s">
        <v>181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5"/>
    </row>
    <row r="53" spans="1:50" ht="15" customHeight="1">
      <c r="A53" s="33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5"/>
    </row>
    <row r="54" spans="1:50" ht="15" customHeight="1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/>
    </row>
    <row r="55" spans="1:50" ht="15" customHeight="1">
      <c r="A55" s="30" t="s">
        <v>58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2"/>
    </row>
    <row r="56" spans="1:50" ht="15" customHeight="1">
      <c r="A56" s="37" t="s">
        <v>72</v>
      </c>
      <c r="B56" s="38"/>
      <c r="C56" s="39" t="s">
        <v>73</v>
      </c>
      <c r="D56" s="40"/>
      <c r="E56" s="40"/>
      <c r="F56" s="40"/>
      <c r="G56" s="40"/>
      <c r="H56" s="38"/>
      <c r="I56" s="39" t="s">
        <v>55</v>
      </c>
      <c r="J56" s="40"/>
      <c r="K56" s="40"/>
      <c r="L56" s="40"/>
      <c r="M56" s="40"/>
      <c r="N56" s="40"/>
      <c r="O56" s="41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2"/>
    </row>
    <row r="57" spans="1:50" ht="15" customHeight="1">
      <c r="A57" s="43"/>
      <c r="B57" s="44"/>
      <c r="C57" s="45" t="s">
        <v>74</v>
      </c>
      <c r="D57" s="46"/>
      <c r="E57" s="46"/>
      <c r="F57" s="47" t="s">
        <v>75</v>
      </c>
      <c r="G57" s="48"/>
      <c r="H57" s="47"/>
      <c r="I57" s="49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1"/>
    </row>
    <row r="58" spans="1:50" ht="15" customHeight="1">
      <c r="A58" s="307">
        <v>1</v>
      </c>
      <c r="B58" s="308"/>
      <c r="C58" s="52" t="s">
        <v>114</v>
      </c>
      <c r="D58" s="53"/>
      <c r="E58" s="54"/>
      <c r="F58" s="55">
        <v>6</v>
      </c>
      <c r="G58" s="56">
        <v>1</v>
      </c>
      <c r="H58" s="57">
        <v>6</v>
      </c>
      <c r="I58" s="52" t="s">
        <v>167</v>
      </c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8"/>
    </row>
    <row r="59" spans="1:50" ht="15" customHeight="1">
      <c r="A59" s="59"/>
      <c r="B59" s="60"/>
      <c r="C59" s="61"/>
      <c r="D59" s="62"/>
      <c r="E59" s="63"/>
      <c r="F59" s="64"/>
      <c r="G59" s="65"/>
      <c r="H59" s="66"/>
      <c r="I59" s="61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7"/>
    </row>
    <row r="60" spans="1:50" ht="15" customHeight="1">
      <c r="A60" s="307">
        <v>2</v>
      </c>
      <c r="B60" s="308"/>
      <c r="C60" s="52" t="s">
        <v>114</v>
      </c>
      <c r="D60" s="53"/>
      <c r="E60" s="54"/>
      <c r="F60" s="131" t="s">
        <v>115</v>
      </c>
      <c r="G60" s="56">
        <v>6</v>
      </c>
      <c r="H60" s="57">
        <v>4</v>
      </c>
      <c r="I60" s="52" t="s">
        <v>168</v>
      </c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8"/>
    </row>
    <row r="61" spans="1:50" ht="15" customHeight="1">
      <c r="A61" s="59"/>
      <c r="B61" s="60"/>
      <c r="C61" s="61"/>
      <c r="D61" s="62"/>
      <c r="E61" s="63"/>
      <c r="F61" s="64"/>
      <c r="G61" s="65"/>
      <c r="H61" s="66"/>
      <c r="I61" s="61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7"/>
    </row>
    <row r="62" spans="1:50" ht="15" customHeight="1" thickBo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70"/>
    </row>
    <row r="63" spans="1:50" ht="15" customHeight="1"/>
    <row r="64" spans="1:50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</sheetData>
  <mergeCells count="27">
    <mergeCell ref="AQ3:AT3"/>
    <mergeCell ref="AQ1:AT1"/>
    <mergeCell ref="AU1:AX1"/>
    <mergeCell ref="H2:K2"/>
    <mergeCell ref="L2:R2"/>
    <mergeCell ref="S2:V2"/>
    <mergeCell ref="W2:AC2"/>
    <mergeCell ref="AD2:AG2"/>
    <mergeCell ref="AH2:AL2"/>
    <mergeCell ref="AM2:AP2"/>
    <mergeCell ref="AQ2:AT2"/>
    <mergeCell ref="AU2:AX3"/>
    <mergeCell ref="H3:K3"/>
    <mergeCell ref="L3:R3"/>
    <mergeCell ref="S3:V3"/>
    <mergeCell ref="W3:AL3"/>
    <mergeCell ref="AM3:AP3"/>
    <mergeCell ref="S1:V1"/>
    <mergeCell ref="W1:AC1"/>
    <mergeCell ref="AD1:AG1"/>
    <mergeCell ref="AH1:AL1"/>
    <mergeCell ref="AM1:AP1"/>
    <mergeCell ref="A60:B60"/>
    <mergeCell ref="A58:B58"/>
    <mergeCell ref="A1:G3"/>
    <mergeCell ref="H1:K1"/>
    <mergeCell ref="L1:R1"/>
  </mergeCells>
  <phoneticPr fontId="2"/>
  <pageMargins left="0.39370078740157483" right="0.39370078740157483" top="0.51181102362204722" bottom="0.51181102362204722" header="0.31496062992125984" footer="0.31496062992125984"/>
  <pageSetup paperSize="9" fitToHeight="0" orientation="landscape" r:id="rId1"/>
  <headerFooter alignWithMargins="0">
    <oddFooter>&amp;L&amp;A&amp;C&amp;P/&amp;N&amp;R©Toyo Business Engineering Corp.(B-EN-G) / Confidential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FF99"/>
    <pageSetUpPr autoPageBreaks="0" fitToPage="1"/>
  </sheetPr>
  <dimension ref="A1:AY47"/>
  <sheetViews>
    <sheetView showGridLines="0" topLeftCell="A10" zoomScaleNormal="100" zoomScaleSheetLayoutView="115" workbookViewId="0">
      <selection activeCell="AG17" sqref="AG17"/>
    </sheetView>
  </sheetViews>
  <sheetFormatPr defaultRowHeight="12"/>
  <cols>
    <col min="1" max="50" width="3.33203125" style="1" customWidth="1"/>
    <col min="51" max="51" width="1.5" style="1" customWidth="1"/>
    <col min="52" max="16384" width="9.33203125" style="1"/>
  </cols>
  <sheetData>
    <row r="1" spans="1:50">
      <c r="A1" s="309" t="s">
        <v>61</v>
      </c>
      <c r="B1" s="310"/>
      <c r="C1" s="310"/>
      <c r="D1" s="310"/>
      <c r="E1" s="310"/>
      <c r="F1" s="310"/>
      <c r="G1" s="311"/>
      <c r="H1" s="318" t="s">
        <v>2</v>
      </c>
      <c r="I1" s="319"/>
      <c r="J1" s="319"/>
      <c r="K1" s="320"/>
      <c r="L1" s="321" t="str">
        <f>IF(顧客名="","",顧客名)</f>
        <v>株式会社XXXX殿</v>
      </c>
      <c r="M1" s="322"/>
      <c r="N1" s="322"/>
      <c r="O1" s="322"/>
      <c r="P1" s="322"/>
      <c r="Q1" s="322"/>
      <c r="R1" s="323"/>
      <c r="S1" s="327" t="s">
        <v>7</v>
      </c>
      <c r="T1" s="319"/>
      <c r="U1" s="319"/>
      <c r="V1" s="320"/>
      <c r="W1" s="321" t="str">
        <f>IF(システム="","",システム)</f>
        <v>mcframe7</v>
      </c>
      <c r="X1" s="322"/>
      <c r="Y1" s="322"/>
      <c r="Z1" s="322"/>
      <c r="AA1" s="322"/>
      <c r="AB1" s="322"/>
      <c r="AC1" s="323"/>
      <c r="AD1" s="328" t="s">
        <v>8</v>
      </c>
      <c r="AE1" s="329"/>
      <c r="AF1" s="329"/>
      <c r="AG1" s="330"/>
      <c r="AH1" s="331" t="str">
        <f>IF(作成者="","",作成者)</f>
        <v>XX</v>
      </c>
      <c r="AI1" s="332"/>
      <c r="AJ1" s="332"/>
      <c r="AK1" s="332"/>
      <c r="AL1" s="333"/>
      <c r="AM1" s="328" t="s">
        <v>9</v>
      </c>
      <c r="AN1" s="329"/>
      <c r="AO1" s="329"/>
      <c r="AP1" s="330"/>
      <c r="AQ1" s="337">
        <f>IF(作成日="","",作成日)</f>
        <v>42871</v>
      </c>
      <c r="AR1" s="338"/>
      <c r="AS1" s="338"/>
      <c r="AT1" s="339"/>
      <c r="AU1" s="328" t="s">
        <v>0</v>
      </c>
      <c r="AV1" s="329"/>
      <c r="AW1" s="329"/>
      <c r="AX1" s="340"/>
    </row>
    <row r="2" spans="1:50">
      <c r="A2" s="312"/>
      <c r="B2" s="313"/>
      <c r="C2" s="313"/>
      <c r="D2" s="313"/>
      <c r="E2" s="313"/>
      <c r="F2" s="313"/>
      <c r="G2" s="314"/>
      <c r="H2" s="341" t="s">
        <v>62</v>
      </c>
      <c r="I2" s="342"/>
      <c r="J2" s="342"/>
      <c r="K2" s="343"/>
      <c r="L2" s="344" t="str">
        <f>IF(プロジェクト名="","",プロジェクト名)</f>
        <v>新基幹システム構築プロジェクト</v>
      </c>
      <c r="M2" s="345"/>
      <c r="N2" s="345"/>
      <c r="O2" s="345"/>
      <c r="P2" s="345"/>
      <c r="Q2" s="345"/>
      <c r="R2" s="346"/>
      <c r="S2" s="347" t="s">
        <v>39</v>
      </c>
      <c r="T2" s="342"/>
      <c r="U2" s="342"/>
      <c r="V2" s="343"/>
      <c r="W2" s="344" t="str">
        <f>IF(サブシステム="","",サブシステム)</f>
        <v>SCM</v>
      </c>
      <c r="X2" s="345"/>
      <c r="Y2" s="345"/>
      <c r="Z2" s="345"/>
      <c r="AA2" s="345"/>
      <c r="AB2" s="345"/>
      <c r="AC2" s="346"/>
      <c r="AD2" s="348" t="s">
        <v>11</v>
      </c>
      <c r="AE2" s="349"/>
      <c r="AF2" s="349"/>
      <c r="AG2" s="350"/>
      <c r="AH2" s="351" t="str">
        <f>IF(修正者="","",修正者)</f>
        <v>XX</v>
      </c>
      <c r="AI2" s="352"/>
      <c r="AJ2" s="352"/>
      <c r="AK2" s="352"/>
      <c r="AL2" s="353"/>
      <c r="AM2" s="354" t="s">
        <v>12</v>
      </c>
      <c r="AN2" s="355"/>
      <c r="AO2" s="355"/>
      <c r="AP2" s="356"/>
      <c r="AQ2" s="357">
        <f>IF(修正日="","",修正日)</f>
        <v>43006</v>
      </c>
      <c r="AR2" s="358"/>
      <c r="AS2" s="358"/>
      <c r="AT2" s="358"/>
      <c r="AU2" s="359" t="str">
        <f>IF(文書番号="","",文書番号)</f>
        <v>XX-XX-9999</v>
      </c>
      <c r="AV2" s="360"/>
      <c r="AW2" s="360"/>
      <c r="AX2" s="361"/>
    </row>
    <row r="3" spans="1:50" ht="12.75" thickBot="1">
      <c r="A3" s="315"/>
      <c r="B3" s="316"/>
      <c r="C3" s="316"/>
      <c r="D3" s="316"/>
      <c r="E3" s="316"/>
      <c r="F3" s="316"/>
      <c r="G3" s="317"/>
      <c r="H3" s="365" t="s">
        <v>14</v>
      </c>
      <c r="I3" s="365"/>
      <c r="J3" s="365"/>
      <c r="K3" s="366"/>
      <c r="L3" s="367" t="str">
        <f>IF(機能ID="","",機能ID)</f>
        <v>MSBFRA020</v>
      </c>
      <c r="M3" s="368"/>
      <c r="N3" s="368"/>
      <c r="O3" s="368"/>
      <c r="P3" s="368"/>
      <c r="Q3" s="368"/>
      <c r="R3" s="368"/>
      <c r="S3" s="369" t="s">
        <v>15</v>
      </c>
      <c r="T3" s="365"/>
      <c r="U3" s="365"/>
      <c r="V3" s="366"/>
      <c r="W3" s="367" t="str">
        <f>IF(機能名="","",機能名)</f>
        <v>部材現品票</v>
      </c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1"/>
      <c r="AM3" s="324" t="s">
        <v>13</v>
      </c>
      <c r="AN3" s="325"/>
      <c r="AO3" s="325"/>
      <c r="AP3" s="326"/>
      <c r="AQ3" s="334" t="str">
        <f>IF(Rev="","",Rev)</f>
        <v>r02.00</v>
      </c>
      <c r="AR3" s="335"/>
      <c r="AS3" s="335"/>
      <c r="AT3" s="336"/>
      <c r="AU3" s="362"/>
      <c r="AV3" s="363"/>
      <c r="AW3" s="363"/>
      <c r="AX3" s="364"/>
    </row>
    <row r="4" spans="1:50" ht="12.75" thickBot="1"/>
    <row r="5" spans="1:50" ht="11.25" customHeight="1" thickBo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3"/>
    </row>
    <row r="6" spans="1:50" ht="12.75" thickTop="1">
      <c r="A6" s="74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75"/>
    </row>
    <row r="7" spans="1:50">
      <c r="A7" s="74"/>
      <c r="B7" s="36"/>
      <c r="C7" s="36" t="s">
        <v>47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75"/>
    </row>
    <row r="8" spans="1:50">
      <c r="A8" s="74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75"/>
    </row>
    <row r="9" spans="1:50">
      <c r="A9" s="7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75"/>
    </row>
    <row r="10" spans="1:50">
      <c r="A10" s="7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75"/>
    </row>
    <row r="11" spans="1:50">
      <c r="A11" s="74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75"/>
    </row>
    <row r="12" spans="1:50">
      <c r="A12" s="74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75"/>
    </row>
    <row r="13" spans="1:50">
      <c r="A13" s="74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75"/>
    </row>
    <row r="14" spans="1:50">
      <c r="A14" s="74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75"/>
    </row>
    <row r="15" spans="1:50">
      <c r="A15" s="74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75"/>
    </row>
    <row r="16" spans="1:50">
      <c r="A16" s="7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75"/>
    </row>
    <row r="17" spans="1:50">
      <c r="A17" s="7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75"/>
    </row>
    <row r="18" spans="1:50">
      <c r="A18" s="74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75"/>
    </row>
    <row r="19" spans="1:50">
      <c r="A19" s="74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75"/>
    </row>
    <row r="20" spans="1:50">
      <c r="A20" s="74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75"/>
    </row>
    <row r="21" spans="1:50">
      <c r="A21" s="74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75"/>
    </row>
    <row r="22" spans="1:50">
      <c r="A22" s="74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75"/>
    </row>
    <row r="23" spans="1:50">
      <c r="A23" s="7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75"/>
    </row>
    <row r="24" spans="1:50">
      <c r="A24" s="74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75"/>
    </row>
    <row r="25" spans="1:50">
      <c r="A25" s="74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75"/>
    </row>
    <row r="26" spans="1:50">
      <c r="A26" s="74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75"/>
    </row>
    <row r="27" spans="1:50">
      <c r="A27" s="74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75"/>
    </row>
    <row r="28" spans="1:50">
      <c r="A28" s="74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75"/>
    </row>
    <row r="29" spans="1:50">
      <c r="A29" s="74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75"/>
    </row>
    <row r="30" spans="1:50">
      <c r="A30" s="74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75"/>
    </row>
    <row r="31" spans="1:50">
      <c r="A31" s="74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75"/>
    </row>
    <row r="32" spans="1:50">
      <c r="A32" s="74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75"/>
    </row>
    <row r="33" spans="1:51">
      <c r="A33" s="74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75"/>
    </row>
    <row r="34" spans="1:51">
      <c r="A34" s="74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75"/>
    </row>
    <row r="35" spans="1:51">
      <c r="A35" s="7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75"/>
    </row>
    <row r="36" spans="1:51">
      <c r="A36" s="74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75"/>
    </row>
    <row r="37" spans="1:51">
      <c r="A37" s="74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75"/>
    </row>
    <row r="38" spans="1:51">
      <c r="A38" s="7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75"/>
    </row>
    <row r="39" spans="1:51">
      <c r="A39" s="7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75"/>
    </row>
    <row r="40" spans="1:51">
      <c r="A40" s="74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75"/>
    </row>
    <row r="41" spans="1:51">
      <c r="A41" s="74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75"/>
    </row>
    <row r="42" spans="1:51">
      <c r="A42" s="74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75"/>
    </row>
    <row r="43" spans="1:51">
      <c r="A43" s="74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75"/>
    </row>
    <row r="44" spans="1:51">
      <c r="A44" s="74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75"/>
      <c r="AY44" s="36"/>
    </row>
    <row r="45" spans="1:51">
      <c r="A45" s="7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75"/>
      <c r="AY45" s="36"/>
    </row>
    <row r="46" spans="1:51">
      <c r="A46" s="74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75"/>
      <c r="AY46" s="36"/>
    </row>
    <row r="47" spans="1:51" ht="12.75" thickBot="1">
      <c r="A47" s="76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36"/>
    </row>
  </sheetData>
  <mergeCells count="25">
    <mergeCell ref="AU1:AX1"/>
    <mergeCell ref="H2:K2"/>
    <mergeCell ref="L2:R2"/>
    <mergeCell ref="S2:V2"/>
    <mergeCell ref="W2:AC2"/>
    <mergeCell ref="AD2:AG2"/>
    <mergeCell ref="AH2:AL2"/>
    <mergeCell ref="AD1:AG1"/>
    <mergeCell ref="AM2:AP2"/>
    <mergeCell ref="AQ2:AT2"/>
    <mergeCell ref="AU2:AX3"/>
    <mergeCell ref="H3:K3"/>
    <mergeCell ref="L3:R3"/>
    <mergeCell ref="AM3:AP3"/>
    <mergeCell ref="AQ3:AT3"/>
    <mergeCell ref="AH1:AL1"/>
    <mergeCell ref="AM1:AP1"/>
    <mergeCell ref="AQ1:AT1"/>
    <mergeCell ref="A1:G3"/>
    <mergeCell ref="H1:K1"/>
    <mergeCell ref="L1:R1"/>
    <mergeCell ref="S1:V1"/>
    <mergeCell ref="W1:AC1"/>
    <mergeCell ref="S3:V3"/>
    <mergeCell ref="W3:AL3"/>
  </mergeCells>
  <phoneticPr fontId="2"/>
  <pageMargins left="0.39370078740157483" right="0.39370078740157483" top="0.51181102362204722" bottom="0.51181102362204722" header="0.31496062992125984" footer="0.31496062992125984"/>
  <pageSetup paperSize="9" fitToHeight="0" orientation="landscape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99"/>
    <pageSetUpPr fitToPage="1"/>
  </sheetPr>
  <dimension ref="A1:Q61"/>
  <sheetViews>
    <sheetView showGridLines="0" tabSelected="1" topLeftCell="I1" zoomScaleNormal="100" zoomScaleSheetLayoutView="90" workbookViewId="0">
      <selection activeCell="O18" sqref="N17:O18"/>
    </sheetView>
  </sheetViews>
  <sheetFormatPr defaultRowHeight="15.75"/>
  <cols>
    <col min="1" max="3" width="6.6640625" style="1" customWidth="1"/>
    <col min="4" max="4" width="23.33203125" style="1" customWidth="1"/>
    <col min="5" max="7" width="6.6640625" style="1" customWidth="1"/>
    <col min="8" max="8" width="20" style="1" customWidth="1"/>
    <col min="9" max="11" width="6.6640625" style="1" customWidth="1"/>
    <col min="12" max="12" width="63.33203125" style="1" customWidth="1"/>
    <col min="13" max="13" width="3.33203125" style="86" customWidth="1"/>
    <col min="14" max="14" width="20" style="86" customWidth="1"/>
    <col min="15" max="15" width="23.33203125" style="86" customWidth="1"/>
    <col min="16" max="16" width="67.33203125" style="86" customWidth="1"/>
    <col min="17" max="16384" width="9.33203125" style="1"/>
  </cols>
  <sheetData>
    <row r="1" spans="1:17">
      <c r="M1" s="231"/>
      <c r="N1" s="231"/>
      <c r="O1" s="231"/>
      <c r="P1" s="231"/>
    </row>
    <row r="2" spans="1:17">
      <c r="M2" s="232"/>
      <c r="N2" s="232"/>
      <c r="O2" s="232"/>
      <c r="P2" s="232"/>
    </row>
    <row r="3" spans="1:17">
      <c r="M3" s="232"/>
      <c r="N3" s="232"/>
      <c r="O3" s="232"/>
      <c r="P3" s="232"/>
    </row>
    <row r="4" spans="1:17" ht="16.5" thickBot="1">
      <c r="M4" s="232"/>
      <c r="N4" s="232"/>
      <c r="O4" s="232"/>
      <c r="P4" s="232"/>
    </row>
    <row r="5" spans="1:17" s="80" customFormat="1" ht="14.25" customHeight="1">
      <c r="A5" s="376" t="s">
        <v>64</v>
      </c>
      <c r="B5" s="378" t="s">
        <v>225</v>
      </c>
      <c r="C5" s="380" t="s">
        <v>226</v>
      </c>
      <c r="D5" s="372" t="s">
        <v>29</v>
      </c>
      <c r="E5" s="240" t="s">
        <v>31</v>
      </c>
      <c r="F5" s="382" t="s">
        <v>67</v>
      </c>
      <c r="G5" s="382" t="s">
        <v>68</v>
      </c>
      <c r="H5" s="240" t="s">
        <v>227</v>
      </c>
      <c r="I5" s="372" t="s">
        <v>43</v>
      </c>
      <c r="J5" s="79" t="s">
        <v>71</v>
      </c>
      <c r="K5" s="374" t="s">
        <v>228</v>
      </c>
      <c r="L5" s="477" t="s">
        <v>30</v>
      </c>
      <c r="M5" s="480" t="s">
        <v>56</v>
      </c>
      <c r="N5" s="225"/>
      <c r="O5" s="225"/>
      <c r="P5" s="481" t="s">
        <v>30</v>
      </c>
    </row>
    <row r="6" spans="1:17" s="80" customFormat="1" ht="15" thickBot="1">
      <c r="A6" s="377"/>
      <c r="B6" s="379"/>
      <c r="C6" s="381"/>
      <c r="D6" s="373"/>
      <c r="E6" s="81"/>
      <c r="F6" s="383"/>
      <c r="G6" s="383"/>
      <c r="H6" s="241"/>
      <c r="I6" s="373"/>
      <c r="J6" s="82"/>
      <c r="K6" s="375"/>
      <c r="L6" s="475"/>
      <c r="M6" s="484" t="s">
        <v>65</v>
      </c>
      <c r="N6" s="485" t="s">
        <v>258</v>
      </c>
      <c r="O6" s="485" t="s">
        <v>29</v>
      </c>
      <c r="P6" s="486"/>
    </row>
    <row r="7" spans="1:17" ht="12.75" thickTop="1">
      <c r="A7" s="83" t="s">
        <v>242</v>
      </c>
      <c r="B7" s="85"/>
      <c r="C7" s="208"/>
      <c r="D7" s="84"/>
      <c r="E7" s="85"/>
      <c r="F7" s="84"/>
      <c r="G7" s="84"/>
      <c r="H7" s="84"/>
      <c r="I7" s="85"/>
      <c r="J7" s="85"/>
      <c r="K7" s="85"/>
      <c r="L7" s="84"/>
      <c r="M7" s="476"/>
      <c r="N7" s="478"/>
      <c r="O7" s="478"/>
      <c r="P7" s="479"/>
    </row>
    <row r="8" spans="1:17" ht="12" customHeight="1">
      <c r="A8" s="172" t="s">
        <v>44</v>
      </c>
      <c r="B8" s="173">
        <v>1</v>
      </c>
      <c r="C8" s="209">
        <v>1</v>
      </c>
      <c r="D8" s="144" t="s">
        <v>79</v>
      </c>
      <c r="E8" s="238" t="s">
        <v>247</v>
      </c>
      <c r="F8" s="174">
        <v>10</v>
      </c>
      <c r="G8" s="238">
        <v>40</v>
      </c>
      <c r="H8" s="144"/>
      <c r="I8" s="238" t="s">
        <v>45</v>
      </c>
      <c r="J8" s="201" t="s">
        <v>254</v>
      </c>
      <c r="K8" s="213" t="s">
        <v>206</v>
      </c>
      <c r="L8" s="145"/>
      <c r="M8" s="474" t="s">
        <v>281</v>
      </c>
      <c r="N8" s="88" t="s">
        <v>282</v>
      </c>
      <c r="O8" s="88" t="s">
        <v>283</v>
      </c>
      <c r="P8" s="227"/>
    </row>
    <row r="9" spans="1:17" ht="12" customHeight="1">
      <c r="A9" s="172" t="s">
        <v>44</v>
      </c>
      <c r="B9" s="173">
        <v>2</v>
      </c>
      <c r="C9" s="209">
        <v>2</v>
      </c>
      <c r="D9" s="144" t="s">
        <v>153</v>
      </c>
      <c r="E9" s="238" t="s">
        <v>248</v>
      </c>
      <c r="F9" s="174">
        <v>14</v>
      </c>
      <c r="G9" s="238"/>
      <c r="H9" s="144" t="s">
        <v>106</v>
      </c>
      <c r="I9" s="238" t="s">
        <v>45</v>
      </c>
      <c r="J9" s="202"/>
      <c r="K9" s="213" t="s">
        <v>245</v>
      </c>
      <c r="L9" s="145"/>
      <c r="M9" s="474" t="s">
        <v>281</v>
      </c>
      <c r="N9" s="88" t="s">
        <v>284</v>
      </c>
      <c r="O9" s="88" t="s">
        <v>285</v>
      </c>
      <c r="P9" s="227"/>
    </row>
    <row r="10" spans="1:17" ht="12" customHeight="1">
      <c r="A10" s="172" t="s">
        <v>44</v>
      </c>
      <c r="B10" s="173">
        <v>3</v>
      </c>
      <c r="C10" s="209">
        <v>3</v>
      </c>
      <c r="D10" s="144" t="s">
        <v>80</v>
      </c>
      <c r="E10" s="238" t="s">
        <v>247</v>
      </c>
      <c r="F10" s="238">
        <v>50</v>
      </c>
      <c r="G10" s="238">
        <v>100</v>
      </c>
      <c r="H10" s="144"/>
      <c r="I10" s="238" t="s">
        <v>45</v>
      </c>
      <c r="J10" s="202"/>
      <c r="K10" s="214">
        <v>9</v>
      </c>
      <c r="L10" s="243"/>
      <c r="M10" s="474" t="s">
        <v>281</v>
      </c>
      <c r="N10" s="88" t="s">
        <v>286</v>
      </c>
      <c r="O10" s="88" t="s">
        <v>287</v>
      </c>
      <c r="P10" s="227" t="s">
        <v>288</v>
      </c>
    </row>
    <row r="11" spans="1:17" ht="12" customHeight="1">
      <c r="A11" s="172" t="s">
        <v>44</v>
      </c>
      <c r="B11" s="173">
        <v>4</v>
      </c>
      <c r="C11" s="209">
        <v>4</v>
      </c>
      <c r="D11" s="144" t="s">
        <v>192</v>
      </c>
      <c r="E11" s="238" t="s">
        <v>247</v>
      </c>
      <c r="F11" s="238">
        <v>10</v>
      </c>
      <c r="G11" s="238">
        <v>15</v>
      </c>
      <c r="H11" s="144"/>
      <c r="I11" s="238" t="s">
        <v>45</v>
      </c>
      <c r="J11" s="202"/>
      <c r="K11" s="213" t="s">
        <v>206</v>
      </c>
      <c r="L11" s="243"/>
      <c r="M11" s="474" t="s">
        <v>281</v>
      </c>
      <c r="N11" s="88" t="s">
        <v>282</v>
      </c>
      <c r="O11" s="88" t="s">
        <v>289</v>
      </c>
      <c r="P11" s="227"/>
    </row>
    <row r="12" spans="1:17" ht="12" customHeight="1">
      <c r="A12" s="172" t="s">
        <v>44</v>
      </c>
      <c r="B12" s="173">
        <v>5</v>
      </c>
      <c r="C12" s="209">
        <v>5</v>
      </c>
      <c r="D12" s="144" t="s">
        <v>170</v>
      </c>
      <c r="E12" s="238" t="s">
        <v>247</v>
      </c>
      <c r="F12" s="238">
        <v>10</v>
      </c>
      <c r="G12" s="238">
        <v>40</v>
      </c>
      <c r="H12" s="144"/>
      <c r="I12" s="238" t="s">
        <v>45</v>
      </c>
      <c r="J12" s="202"/>
      <c r="K12" s="213" t="s">
        <v>206</v>
      </c>
      <c r="L12" s="243"/>
      <c r="M12" s="226" t="s">
        <v>281</v>
      </c>
      <c r="N12" s="515" t="s">
        <v>290</v>
      </c>
      <c r="O12" s="514" t="s">
        <v>291</v>
      </c>
      <c r="P12" s="227"/>
    </row>
    <row r="13" spans="1:17" ht="12" customHeight="1">
      <c r="A13" s="495" t="s">
        <v>44</v>
      </c>
      <c r="B13" s="496">
        <v>6</v>
      </c>
      <c r="C13" s="497">
        <v>6</v>
      </c>
      <c r="D13" s="52" t="s">
        <v>104</v>
      </c>
      <c r="E13" s="498" t="s">
        <v>249</v>
      </c>
      <c r="F13" s="498" t="s">
        <v>251</v>
      </c>
      <c r="G13" s="499" t="s">
        <v>252</v>
      </c>
      <c r="H13" s="52" t="s">
        <v>107</v>
      </c>
      <c r="I13" s="496" t="s">
        <v>46</v>
      </c>
      <c r="J13" s="202"/>
      <c r="K13" s="500" t="s">
        <v>206</v>
      </c>
      <c r="L13" s="513" t="s">
        <v>174</v>
      </c>
      <c r="M13" s="226" t="s">
        <v>281</v>
      </c>
      <c r="N13" s="515" t="s">
        <v>282</v>
      </c>
      <c r="O13" s="514" t="s">
        <v>292</v>
      </c>
      <c r="P13" s="235" t="s">
        <v>293</v>
      </c>
      <c r="Q13" s="36"/>
    </row>
    <row r="14" spans="1:17" ht="12" customHeight="1">
      <c r="A14" s="501"/>
      <c r="B14" s="502"/>
      <c r="C14" s="503">
        <v>7</v>
      </c>
      <c r="D14" s="504"/>
      <c r="E14" s="502"/>
      <c r="F14" s="505"/>
      <c r="G14" s="506"/>
      <c r="H14" s="504"/>
      <c r="I14" s="502"/>
      <c r="J14" s="202"/>
      <c r="K14" s="507"/>
      <c r="L14" s="510"/>
      <c r="M14" s="226" t="s">
        <v>281</v>
      </c>
      <c r="N14" s="515" t="s">
        <v>294</v>
      </c>
      <c r="O14" s="514" t="s">
        <v>295</v>
      </c>
      <c r="P14" s="235" t="s">
        <v>296</v>
      </c>
    </row>
    <row r="15" spans="1:17" ht="12" customHeight="1">
      <c r="A15" s="501"/>
      <c r="B15" s="502"/>
      <c r="C15" s="503"/>
      <c r="D15" s="504"/>
      <c r="E15" s="502"/>
      <c r="F15" s="505"/>
      <c r="G15" s="506"/>
      <c r="H15" s="504"/>
      <c r="I15" s="502"/>
      <c r="J15" s="202"/>
      <c r="K15" s="507"/>
      <c r="L15" s="510"/>
      <c r="M15" s="234" t="s">
        <v>281</v>
      </c>
      <c r="N15" s="487" t="s">
        <v>294</v>
      </c>
      <c r="O15" s="488" t="s">
        <v>297</v>
      </c>
      <c r="P15" s="235" t="s">
        <v>298</v>
      </c>
    </row>
    <row r="16" spans="1:17" ht="12" customHeight="1">
      <c r="A16" s="501"/>
      <c r="B16" s="502"/>
      <c r="C16" s="503"/>
      <c r="D16" s="504"/>
      <c r="E16" s="502"/>
      <c r="F16" s="505"/>
      <c r="G16" s="506"/>
      <c r="H16" s="504"/>
      <c r="I16" s="502"/>
      <c r="J16" s="202"/>
      <c r="K16" s="507"/>
      <c r="L16" s="510"/>
      <c r="M16" s="234"/>
      <c r="N16" s="487"/>
      <c r="O16" s="488"/>
      <c r="P16" s="235" t="s">
        <v>299</v>
      </c>
    </row>
    <row r="17" spans="1:16" ht="12" customHeight="1">
      <c r="A17" s="148"/>
      <c r="B17" s="170"/>
      <c r="C17" s="210"/>
      <c r="D17" s="61"/>
      <c r="E17" s="170"/>
      <c r="F17" s="147"/>
      <c r="G17" s="149"/>
      <c r="H17" s="61"/>
      <c r="I17" s="170"/>
      <c r="J17" s="202"/>
      <c r="K17" s="216"/>
      <c r="L17" s="245"/>
      <c r="M17" s="236"/>
      <c r="N17" s="489"/>
      <c r="O17" s="490"/>
      <c r="P17" s="237" t="s">
        <v>300</v>
      </c>
    </row>
    <row r="18" spans="1:16" ht="12" customHeight="1">
      <c r="A18" s="172" t="s">
        <v>44</v>
      </c>
      <c r="B18" s="173">
        <v>7</v>
      </c>
      <c r="C18" s="209">
        <v>8</v>
      </c>
      <c r="D18" s="144" t="s">
        <v>105</v>
      </c>
      <c r="E18" s="238" t="s">
        <v>247</v>
      </c>
      <c r="F18" s="238">
        <v>2</v>
      </c>
      <c r="G18" s="238">
        <v>40</v>
      </c>
      <c r="H18" s="146"/>
      <c r="I18" s="238" t="s">
        <v>45</v>
      </c>
      <c r="J18" s="202"/>
      <c r="K18" s="213" t="s">
        <v>245</v>
      </c>
      <c r="L18" s="244"/>
      <c r="M18" s="474" t="s">
        <v>281</v>
      </c>
      <c r="N18" s="88" t="s">
        <v>301</v>
      </c>
      <c r="O18" s="88" t="s">
        <v>302</v>
      </c>
      <c r="P18" s="227" t="s">
        <v>303</v>
      </c>
    </row>
    <row r="19" spans="1:16" ht="12" customHeight="1">
      <c r="A19" s="172" t="s">
        <v>44</v>
      </c>
      <c r="B19" s="173">
        <v>8</v>
      </c>
      <c r="C19" s="209">
        <v>9</v>
      </c>
      <c r="D19" s="144" t="s">
        <v>78</v>
      </c>
      <c r="E19" s="238" t="s">
        <v>247</v>
      </c>
      <c r="F19" s="238">
        <v>4</v>
      </c>
      <c r="G19" s="238"/>
      <c r="H19" s="144"/>
      <c r="I19" s="238" t="s">
        <v>45</v>
      </c>
      <c r="J19" s="202"/>
      <c r="K19" s="213" t="s">
        <v>206</v>
      </c>
      <c r="L19" s="144" t="s">
        <v>178</v>
      </c>
      <c r="M19" s="474" t="s">
        <v>281</v>
      </c>
      <c r="N19" s="88" t="s">
        <v>304</v>
      </c>
      <c r="O19" s="89" t="s">
        <v>305</v>
      </c>
      <c r="P19" s="228" t="s">
        <v>306</v>
      </c>
    </row>
    <row r="20" spans="1:16" ht="12" customHeight="1">
      <c r="A20" s="495" t="s">
        <v>44</v>
      </c>
      <c r="B20" s="496">
        <v>9</v>
      </c>
      <c r="C20" s="511" t="s">
        <v>244</v>
      </c>
      <c r="D20" s="52" t="s">
        <v>88</v>
      </c>
      <c r="E20" s="498" t="s">
        <v>250</v>
      </c>
      <c r="F20" s="498">
        <v>21</v>
      </c>
      <c r="G20" s="498">
        <v>56</v>
      </c>
      <c r="H20" s="52" t="s">
        <v>253</v>
      </c>
      <c r="I20" s="498" t="s">
        <v>117</v>
      </c>
      <c r="J20" s="202"/>
      <c r="K20" s="512"/>
      <c r="L20" s="513" t="s">
        <v>89</v>
      </c>
      <c r="M20" s="474" t="s">
        <v>281</v>
      </c>
      <c r="N20" s="90" t="s">
        <v>282</v>
      </c>
      <c r="O20" s="88" t="s">
        <v>283</v>
      </c>
      <c r="P20" s="229"/>
    </row>
    <row r="21" spans="1:16" ht="12" customHeight="1">
      <c r="A21" s="148"/>
      <c r="B21" s="203"/>
      <c r="C21" s="212"/>
      <c r="D21" s="61"/>
      <c r="E21" s="170"/>
      <c r="F21" s="170"/>
      <c r="G21" s="170"/>
      <c r="H21" s="61"/>
      <c r="I21" s="170"/>
      <c r="J21" s="202"/>
      <c r="K21" s="216"/>
      <c r="L21" s="61"/>
      <c r="M21" s="474" t="s">
        <v>281</v>
      </c>
      <c r="N21" s="90" t="s">
        <v>282</v>
      </c>
      <c r="O21" s="88" t="s">
        <v>289</v>
      </c>
      <c r="P21" s="233"/>
    </row>
    <row r="22" spans="1:16" ht="12" customHeight="1">
      <c r="A22" s="172" t="s">
        <v>44</v>
      </c>
      <c r="B22" s="173">
        <v>10</v>
      </c>
      <c r="C22" s="211" t="s">
        <v>210</v>
      </c>
      <c r="D22" s="144" t="s">
        <v>118</v>
      </c>
      <c r="E22" s="238" t="s">
        <v>249</v>
      </c>
      <c r="F22" s="238" t="s">
        <v>251</v>
      </c>
      <c r="G22" s="171" t="s">
        <v>252</v>
      </c>
      <c r="H22" s="144" t="s">
        <v>107</v>
      </c>
      <c r="I22" s="173" t="s">
        <v>46</v>
      </c>
      <c r="J22" s="202"/>
      <c r="K22" s="215" t="s">
        <v>206</v>
      </c>
      <c r="L22" s="144" t="s">
        <v>175</v>
      </c>
      <c r="M22" s="474" t="s">
        <v>281</v>
      </c>
      <c r="N22" s="90" t="s">
        <v>282</v>
      </c>
      <c r="O22" s="87" t="s">
        <v>292</v>
      </c>
      <c r="P22" s="237" t="s">
        <v>293</v>
      </c>
    </row>
    <row r="23" spans="1:16" ht="12" customHeight="1">
      <c r="A23" s="501"/>
      <c r="B23" s="502"/>
      <c r="C23" s="508" t="s">
        <v>245</v>
      </c>
      <c r="D23" s="504"/>
      <c r="E23" s="502"/>
      <c r="F23" s="505"/>
      <c r="G23" s="506"/>
      <c r="H23" s="504"/>
      <c r="I23" s="509"/>
      <c r="J23" s="202"/>
      <c r="K23" s="507"/>
      <c r="L23" s="510"/>
      <c r="M23" s="474" t="s">
        <v>281</v>
      </c>
      <c r="N23" s="90" t="s">
        <v>294</v>
      </c>
      <c r="O23" s="89" t="s">
        <v>295</v>
      </c>
      <c r="P23" s="228" t="s">
        <v>299</v>
      </c>
    </row>
    <row r="24" spans="1:16" ht="12" customHeight="1">
      <c r="A24" s="501"/>
      <c r="B24" s="502"/>
      <c r="C24" s="508"/>
      <c r="D24" s="504"/>
      <c r="E24" s="502"/>
      <c r="F24" s="505"/>
      <c r="G24" s="506"/>
      <c r="H24" s="504"/>
      <c r="I24" s="509"/>
      <c r="J24" s="202"/>
      <c r="K24" s="507"/>
      <c r="L24" s="510"/>
      <c r="M24" s="474" t="s">
        <v>281</v>
      </c>
      <c r="N24" s="89" t="s">
        <v>294</v>
      </c>
      <c r="O24" s="89" t="s">
        <v>297</v>
      </c>
      <c r="P24" s="235" t="s">
        <v>307</v>
      </c>
    </row>
    <row r="25" spans="1:16" ht="12" customHeight="1">
      <c r="A25" s="501"/>
      <c r="B25" s="502"/>
      <c r="C25" s="508"/>
      <c r="D25" s="504"/>
      <c r="E25" s="502"/>
      <c r="F25" s="505"/>
      <c r="G25" s="506"/>
      <c r="H25" s="504"/>
      <c r="I25" s="509"/>
      <c r="J25" s="202"/>
      <c r="K25" s="507"/>
      <c r="L25" s="510"/>
      <c r="M25" s="474" t="s">
        <v>281</v>
      </c>
      <c r="N25" s="89" t="s">
        <v>294</v>
      </c>
      <c r="O25" s="89" t="s">
        <v>111</v>
      </c>
      <c r="P25" s="235" t="s">
        <v>308</v>
      </c>
    </row>
    <row r="26" spans="1:16" ht="12" customHeight="1">
      <c r="A26" s="148"/>
      <c r="B26" s="170"/>
      <c r="C26" s="212"/>
      <c r="D26" s="61"/>
      <c r="E26" s="170"/>
      <c r="F26" s="147"/>
      <c r="G26" s="149"/>
      <c r="H26" s="61"/>
      <c r="I26" s="203"/>
      <c r="J26" s="202"/>
      <c r="K26" s="216"/>
      <c r="L26" s="245"/>
      <c r="M26" s="474" t="s">
        <v>281</v>
      </c>
      <c r="N26" s="89" t="s">
        <v>294</v>
      </c>
      <c r="O26" s="89" t="s">
        <v>112</v>
      </c>
      <c r="P26" s="235"/>
    </row>
    <row r="27" spans="1:16" ht="12" customHeight="1">
      <c r="A27" s="172" t="s">
        <v>44</v>
      </c>
      <c r="B27" s="173">
        <v>11</v>
      </c>
      <c r="C27" s="211" t="s">
        <v>246</v>
      </c>
      <c r="D27" s="144" t="s">
        <v>152</v>
      </c>
      <c r="E27" s="238" t="s">
        <v>249</v>
      </c>
      <c r="F27" s="238" t="s">
        <v>251</v>
      </c>
      <c r="G27" s="171" t="s">
        <v>252</v>
      </c>
      <c r="H27" s="144" t="s">
        <v>107</v>
      </c>
      <c r="I27" s="173" t="s">
        <v>46</v>
      </c>
      <c r="J27" s="202"/>
      <c r="K27" s="213" t="s">
        <v>206</v>
      </c>
      <c r="L27" s="144"/>
      <c r="M27" s="474" t="s">
        <v>281</v>
      </c>
      <c r="N27" s="88" t="s">
        <v>282</v>
      </c>
      <c r="O27" s="89" t="s">
        <v>292</v>
      </c>
      <c r="P27" s="237"/>
    </row>
    <row r="28" spans="1:16" ht="12" customHeight="1">
      <c r="A28" s="172" t="s">
        <v>44</v>
      </c>
      <c r="B28" s="173">
        <v>12</v>
      </c>
      <c r="C28" s="211" t="s">
        <v>206</v>
      </c>
      <c r="D28" s="144" t="s">
        <v>176</v>
      </c>
      <c r="E28" s="238" t="s">
        <v>247</v>
      </c>
      <c r="F28" s="238">
        <v>2</v>
      </c>
      <c r="G28" s="238">
        <v>40</v>
      </c>
      <c r="H28" s="144"/>
      <c r="I28" s="203" t="s">
        <v>45</v>
      </c>
      <c r="J28" s="202"/>
      <c r="K28" s="213" t="s">
        <v>245</v>
      </c>
      <c r="L28" s="144"/>
      <c r="M28" s="474" t="s">
        <v>281</v>
      </c>
      <c r="N28" s="90" t="s">
        <v>301</v>
      </c>
      <c r="O28" s="89" t="s">
        <v>302</v>
      </c>
      <c r="P28" s="228" t="s">
        <v>303</v>
      </c>
    </row>
    <row r="29" spans="1:16" ht="12" customHeight="1">
      <c r="A29" s="172" t="s">
        <v>44</v>
      </c>
      <c r="B29" s="173">
        <v>13</v>
      </c>
      <c r="C29" s="211" t="s">
        <v>211</v>
      </c>
      <c r="D29" s="144" t="s">
        <v>100</v>
      </c>
      <c r="E29" s="238" t="s">
        <v>247</v>
      </c>
      <c r="F29" s="238">
        <v>35</v>
      </c>
      <c r="G29" s="238">
        <v>100</v>
      </c>
      <c r="H29" s="144"/>
      <c r="I29" s="238" t="s">
        <v>45</v>
      </c>
      <c r="J29" s="202"/>
      <c r="K29" s="213" t="s">
        <v>245</v>
      </c>
      <c r="L29" s="144" t="s">
        <v>113</v>
      </c>
      <c r="M29" s="474" t="s">
        <v>281</v>
      </c>
      <c r="N29" s="88" t="s">
        <v>309</v>
      </c>
      <c r="O29" s="89" t="s">
        <v>310</v>
      </c>
      <c r="P29" s="228" t="s">
        <v>311</v>
      </c>
    </row>
    <row r="30" spans="1:16" ht="12" customHeight="1">
      <c r="A30" s="172" t="s">
        <v>44</v>
      </c>
      <c r="B30" s="173">
        <v>14</v>
      </c>
      <c r="C30" s="211"/>
      <c r="D30" s="144" t="s">
        <v>127</v>
      </c>
      <c r="E30" s="238" t="s">
        <v>247</v>
      </c>
      <c r="F30" s="238">
        <v>4</v>
      </c>
      <c r="G30" s="238"/>
      <c r="H30" s="144"/>
      <c r="I30" s="238" t="s">
        <v>117</v>
      </c>
      <c r="J30" s="202"/>
      <c r="K30" s="213" t="s">
        <v>255</v>
      </c>
      <c r="L30" s="144" t="s">
        <v>129</v>
      </c>
      <c r="M30" s="474" t="s">
        <v>312</v>
      </c>
      <c r="N30" s="88" t="s">
        <v>312</v>
      </c>
      <c r="O30" s="127" t="s">
        <v>312</v>
      </c>
      <c r="P30" s="228"/>
    </row>
    <row r="31" spans="1:16" ht="12" customHeight="1">
      <c r="A31" s="172" t="s">
        <v>44</v>
      </c>
      <c r="B31" s="173">
        <v>15</v>
      </c>
      <c r="C31" s="211" t="s">
        <v>207</v>
      </c>
      <c r="D31" s="144" t="s">
        <v>128</v>
      </c>
      <c r="E31" s="238" t="s">
        <v>248</v>
      </c>
      <c r="F31" s="238">
        <v>14</v>
      </c>
      <c r="G31" s="238"/>
      <c r="H31" s="144" t="s">
        <v>106</v>
      </c>
      <c r="I31" s="238" t="s">
        <v>117</v>
      </c>
      <c r="J31" s="202"/>
      <c r="K31" s="214">
        <v>9</v>
      </c>
      <c r="L31" s="144" t="s">
        <v>189</v>
      </c>
      <c r="M31" s="474" t="s">
        <v>281</v>
      </c>
      <c r="N31" s="88" t="s">
        <v>313</v>
      </c>
      <c r="O31" s="127" t="s">
        <v>314</v>
      </c>
      <c r="P31" s="228"/>
    </row>
    <row r="32" spans="1:16" ht="14.25" customHeight="1" thickBot="1">
      <c r="A32" s="172"/>
      <c r="B32" s="173"/>
      <c r="C32" s="209"/>
      <c r="D32" s="145"/>
      <c r="E32" s="238"/>
      <c r="F32" s="145"/>
      <c r="G32" s="238"/>
      <c r="H32" s="145"/>
      <c r="I32" s="238"/>
      <c r="J32" s="202"/>
      <c r="K32" s="214"/>
      <c r="L32" s="144"/>
      <c r="M32" s="491"/>
      <c r="N32" s="492"/>
      <c r="O32" s="492"/>
      <c r="P32" s="493"/>
    </row>
    <row r="33" spans="1:16" ht="12.75" thickTop="1">
      <c r="A33" s="83" t="s">
        <v>243</v>
      </c>
      <c r="B33" s="85"/>
      <c r="C33" s="208"/>
      <c r="D33" s="84"/>
      <c r="E33" s="85"/>
      <c r="F33" s="84"/>
      <c r="G33" s="84"/>
      <c r="H33" s="84"/>
      <c r="I33" s="85"/>
      <c r="J33" s="85"/>
      <c r="K33" s="85"/>
      <c r="L33" s="84"/>
      <c r="M33" s="476"/>
      <c r="N33" s="478"/>
      <c r="O33" s="478"/>
      <c r="P33" s="479"/>
    </row>
    <row r="34" spans="1:16" ht="12" customHeight="1">
      <c r="A34" s="172" t="s">
        <v>44</v>
      </c>
      <c r="B34" s="173">
        <v>1</v>
      </c>
      <c r="C34" s="209" t="s">
        <v>208</v>
      </c>
      <c r="D34" s="144" t="s">
        <v>81</v>
      </c>
      <c r="E34" s="238" t="s">
        <v>247</v>
      </c>
      <c r="F34" s="238">
        <v>26</v>
      </c>
      <c r="G34" s="238"/>
      <c r="H34" s="144"/>
      <c r="I34" s="238" t="s">
        <v>45</v>
      </c>
      <c r="J34" s="202" t="s">
        <v>254</v>
      </c>
      <c r="K34" s="214" t="s">
        <v>244</v>
      </c>
      <c r="L34" s="145" t="s">
        <v>140</v>
      </c>
      <c r="M34" s="474" t="s">
        <v>281</v>
      </c>
      <c r="N34" s="88" t="s">
        <v>315</v>
      </c>
      <c r="O34" s="88" t="s">
        <v>316</v>
      </c>
      <c r="P34" s="228" t="s">
        <v>317</v>
      </c>
    </row>
    <row r="35" spans="1:16" ht="12" customHeight="1">
      <c r="A35" s="172" t="s">
        <v>44</v>
      </c>
      <c r="B35" s="173">
        <v>2</v>
      </c>
      <c r="C35" s="209" t="s">
        <v>209</v>
      </c>
      <c r="D35" s="144" t="s">
        <v>57</v>
      </c>
      <c r="E35" s="238" t="s">
        <v>247</v>
      </c>
      <c r="F35" s="238">
        <v>26</v>
      </c>
      <c r="G35" s="238"/>
      <c r="H35" s="144"/>
      <c r="I35" s="238" t="s">
        <v>46</v>
      </c>
      <c r="J35" s="202"/>
      <c r="K35" s="213" t="s">
        <v>244</v>
      </c>
      <c r="L35" s="145" t="s">
        <v>135</v>
      </c>
      <c r="M35" s="474" t="s">
        <v>281</v>
      </c>
      <c r="N35" s="89" t="s">
        <v>315</v>
      </c>
      <c r="O35" s="89" t="s">
        <v>318</v>
      </c>
      <c r="P35" s="229" t="s">
        <v>319</v>
      </c>
    </row>
    <row r="36" spans="1:16" ht="12" customHeight="1">
      <c r="A36" s="172" t="s">
        <v>44</v>
      </c>
      <c r="B36" s="173">
        <v>3</v>
      </c>
      <c r="C36" s="209" t="s">
        <v>212</v>
      </c>
      <c r="D36" s="144" t="s">
        <v>83</v>
      </c>
      <c r="E36" s="238" t="s">
        <v>247</v>
      </c>
      <c r="F36" s="238">
        <v>50</v>
      </c>
      <c r="G36" s="238"/>
      <c r="H36" s="144"/>
      <c r="I36" s="238" t="s">
        <v>45</v>
      </c>
      <c r="J36" s="202"/>
      <c r="K36" s="213" t="s">
        <v>244</v>
      </c>
      <c r="L36" s="145" t="s">
        <v>140</v>
      </c>
      <c r="M36" s="482" t="s">
        <v>281</v>
      </c>
      <c r="N36" s="89" t="s">
        <v>315</v>
      </c>
      <c r="O36" s="89" t="s">
        <v>320</v>
      </c>
      <c r="P36" s="229" t="s">
        <v>317</v>
      </c>
    </row>
    <row r="37" spans="1:16" ht="12" customHeight="1" thickBot="1">
      <c r="A37" s="172"/>
      <c r="B37" s="173"/>
      <c r="C37" s="209"/>
      <c r="D37" s="144"/>
      <c r="E37" s="238"/>
      <c r="F37" s="238"/>
      <c r="G37" s="171"/>
      <c r="H37" s="144"/>
      <c r="I37" s="173"/>
      <c r="J37" s="202"/>
      <c r="K37" s="215"/>
      <c r="L37" s="144"/>
      <c r="M37" s="491"/>
      <c r="N37" s="492"/>
      <c r="O37" s="492"/>
      <c r="P37" s="494"/>
    </row>
    <row r="38" spans="1:16" ht="12.75" thickTop="1">
      <c r="A38" s="83" t="s">
        <v>108</v>
      </c>
      <c r="B38" s="85"/>
      <c r="C38" s="208"/>
      <c r="D38" s="84"/>
      <c r="E38" s="85"/>
      <c r="F38" s="84"/>
      <c r="G38" s="84"/>
      <c r="H38" s="84"/>
      <c r="I38" s="85"/>
      <c r="J38" s="85"/>
      <c r="K38" s="85"/>
      <c r="L38" s="84"/>
      <c r="M38" s="476"/>
      <c r="N38" s="478"/>
      <c r="O38" s="478"/>
      <c r="P38" s="479"/>
    </row>
    <row r="39" spans="1:16" ht="12" customHeight="1">
      <c r="A39" s="172" t="s">
        <v>44</v>
      </c>
      <c r="B39" s="173">
        <v>1</v>
      </c>
      <c r="C39" s="209">
        <v>1</v>
      </c>
      <c r="D39" s="144" t="s">
        <v>79</v>
      </c>
      <c r="E39" s="238" t="s">
        <v>247</v>
      </c>
      <c r="F39" s="238">
        <v>10</v>
      </c>
      <c r="G39" s="238">
        <v>40</v>
      </c>
      <c r="H39" s="146"/>
      <c r="I39" s="238" t="s">
        <v>45</v>
      </c>
      <c r="J39" s="202" t="s">
        <v>254</v>
      </c>
      <c r="K39" s="213" t="s">
        <v>206</v>
      </c>
      <c r="L39" s="144" t="s">
        <v>159</v>
      </c>
      <c r="M39" s="482"/>
      <c r="N39" s="89"/>
      <c r="O39" s="89"/>
      <c r="P39" s="244" t="s">
        <v>321</v>
      </c>
    </row>
    <row r="40" spans="1:16" ht="12" customHeight="1">
      <c r="A40" s="172" t="s">
        <v>44</v>
      </c>
      <c r="B40" s="173">
        <v>2</v>
      </c>
      <c r="C40" s="209">
        <v>2</v>
      </c>
      <c r="D40" s="144" t="s">
        <v>153</v>
      </c>
      <c r="E40" s="238" t="s">
        <v>248</v>
      </c>
      <c r="F40" s="238">
        <v>14</v>
      </c>
      <c r="G40" s="238"/>
      <c r="H40" s="144" t="s">
        <v>106</v>
      </c>
      <c r="I40" s="238" t="s">
        <v>45</v>
      </c>
      <c r="J40" s="202"/>
      <c r="K40" s="213" t="s">
        <v>245</v>
      </c>
      <c r="L40" s="144"/>
      <c r="M40" s="482"/>
      <c r="N40" s="89"/>
      <c r="O40" s="89"/>
      <c r="P40" s="244" t="s">
        <v>321</v>
      </c>
    </row>
    <row r="41" spans="1:16" ht="12" customHeight="1">
      <c r="A41" s="172" t="s">
        <v>44</v>
      </c>
      <c r="B41" s="173">
        <v>3</v>
      </c>
      <c r="C41" s="211">
        <v>3</v>
      </c>
      <c r="D41" s="144" t="s">
        <v>80</v>
      </c>
      <c r="E41" s="238" t="s">
        <v>247</v>
      </c>
      <c r="F41" s="238">
        <v>50</v>
      </c>
      <c r="G41" s="238">
        <v>100</v>
      </c>
      <c r="H41" s="144"/>
      <c r="I41" s="238" t="s">
        <v>45</v>
      </c>
      <c r="J41" s="202"/>
      <c r="K41" s="214">
        <v>9</v>
      </c>
      <c r="L41" s="144"/>
      <c r="M41" s="482"/>
      <c r="N41" s="89"/>
      <c r="O41" s="89"/>
      <c r="P41" s="244" t="s">
        <v>321</v>
      </c>
    </row>
    <row r="42" spans="1:16" ht="12" customHeight="1">
      <c r="A42" s="172" t="s">
        <v>44</v>
      </c>
      <c r="B42" s="173">
        <v>4</v>
      </c>
      <c r="C42" s="211">
        <v>4</v>
      </c>
      <c r="D42" s="144" t="s">
        <v>192</v>
      </c>
      <c r="E42" s="238" t="s">
        <v>247</v>
      </c>
      <c r="F42" s="238">
        <v>10</v>
      </c>
      <c r="G42" s="171">
        <v>15</v>
      </c>
      <c r="H42" s="144"/>
      <c r="I42" s="173" t="s">
        <v>45</v>
      </c>
      <c r="J42" s="202"/>
      <c r="K42" s="215" t="s">
        <v>206</v>
      </c>
      <c r="L42" s="144"/>
      <c r="M42" s="482"/>
      <c r="N42" s="89"/>
      <c r="O42" s="89"/>
      <c r="P42" s="244" t="s">
        <v>321</v>
      </c>
    </row>
    <row r="43" spans="1:16" ht="12" customHeight="1">
      <c r="A43" s="148" t="s">
        <v>44</v>
      </c>
      <c r="B43" s="170">
        <v>5</v>
      </c>
      <c r="C43" s="212">
        <v>5</v>
      </c>
      <c r="D43" s="61" t="s">
        <v>170</v>
      </c>
      <c r="E43" s="170" t="s">
        <v>247</v>
      </c>
      <c r="F43" s="147">
        <v>10</v>
      </c>
      <c r="G43" s="149">
        <v>40</v>
      </c>
      <c r="H43" s="61"/>
      <c r="I43" s="203" t="s">
        <v>45</v>
      </c>
      <c r="J43" s="202"/>
      <c r="K43" s="216" t="s">
        <v>206</v>
      </c>
      <c r="L43" s="61"/>
      <c r="M43" s="482"/>
      <c r="N43" s="89"/>
      <c r="O43" s="89"/>
      <c r="P43" s="244" t="s">
        <v>321</v>
      </c>
    </row>
    <row r="44" spans="1:16" ht="12" customHeight="1">
      <c r="A44" s="172" t="s">
        <v>44</v>
      </c>
      <c r="B44" s="173">
        <v>6</v>
      </c>
      <c r="C44" s="211">
        <v>6</v>
      </c>
      <c r="D44" s="144" t="s">
        <v>104</v>
      </c>
      <c r="E44" s="238" t="s">
        <v>249</v>
      </c>
      <c r="F44" s="238" t="s">
        <v>251</v>
      </c>
      <c r="G44" s="171" t="s">
        <v>252</v>
      </c>
      <c r="H44" s="144" t="s">
        <v>107</v>
      </c>
      <c r="I44" s="173" t="s">
        <v>46</v>
      </c>
      <c r="J44" s="202"/>
      <c r="K44" s="213" t="s">
        <v>206</v>
      </c>
      <c r="L44" s="144"/>
      <c r="M44" s="482"/>
      <c r="N44" s="89"/>
      <c r="O44" s="89"/>
      <c r="P44" s="244" t="s">
        <v>321</v>
      </c>
    </row>
    <row r="45" spans="1:16" ht="12" customHeight="1">
      <c r="A45" s="172"/>
      <c r="B45" s="173"/>
      <c r="C45" s="211">
        <v>7</v>
      </c>
      <c r="D45" s="144"/>
      <c r="E45" s="238"/>
      <c r="F45" s="238"/>
      <c r="G45" s="238"/>
      <c r="H45" s="144"/>
      <c r="I45" s="203"/>
      <c r="J45" s="202"/>
      <c r="K45" s="213"/>
      <c r="L45" s="144"/>
      <c r="M45" s="482"/>
      <c r="N45" s="89"/>
      <c r="O45" s="89"/>
      <c r="P45" s="244" t="s">
        <v>321</v>
      </c>
    </row>
    <row r="46" spans="1:16" ht="12" customHeight="1">
      <c r="A46" s="172" t="s">
        <v>44</v>
      </c>
      <c r="B46" s="173">
        <v>7</v>
      </c>
      <c r="C46" s="211">
        <v>8</v>
      </c>
      <c r="D46" s="144" t="s">
        <v>105</v>
      </c>
      <c r="E46" s="238" t="s">
        <v>247</v>
      </c>
      <c r="F46" s="238">
        <v>2</v>
      </c>
      <c r="G46" s="238">
        <v>40</v>
      </c>
      <c r="H46" s="144"/>
      <c r="I46" s="238" t="s">
        <v>45</v>
      </c>
      <c r="J46" s="202"/>
      <c r="K46" s="213" t="s">
        <v>245</v>
      </c>
      <c r="L46" s="144"/>
      <c r="M46" s="482"/>
      <c r="N46" s="89"/>
      <c r="O46" s="89"/>
      <c r="P46" s="244" t="s">
        <v>321</v>
      </c>
    </row>
    <row r="47" spans="1:16" ht="12" customHeight="1">
      <c r="A47" s="172" t="s">
        <v>44</v>
      </c>
      <c r="B47" s="173">
        <v>8</v>
      </c>
      <c r="C47" s="211">
        <v>9</v>
      </c>
      <c r="D47" s="144" t="s">
        <v>78</v>
      </c>
      <c r="E47" s="238" t="s">
        <v>247</v>
      </c>
      <c r="F47" s="238">
        <v>4</v>
      </c>
      <c r="G47" s="238"/>
      <c r="H47" s="144"/>
      <c r="I47" s="238" t="s">
        <v>45</v>
      </c>
      <c r="J47" s="202"/>
      <c r="K47" s="213" t="s">
        <v>206</v>
      </c>
      <c r="L47" s="144"/>
      <c r="M47" s="482"/>
      <c r="N47" s="89"/>
      <c r="O47" s="89"/>
      <c r="P47" s="244" t="s">
        <v>321</v>
      </c>
    </row>
    <row r="48" spans="1:16" ht="12" customHeight="1">
      <c r="A48" s="172" t="s">
        <v>44</v>
      </c>
      <c r="B48" s="173">
        <v>9</v>
      </c>
      <c r="C48" s="211" t="s">
        <v>244</v>
      </c>
      <c r="D48" s="144" t="s">
        <v>88</v>
      </c>
      <c r="E48" s="238" t="s">
        <v>250</v>
      </c>
      <c r="F48" s="238">
        <v>21</v>
      </c>
      <c r="G48" s="238">
        <v>56</v>
      </c>
      <c r="H48" s="144" t="s">
        <v>253</v>
      </c>
      <c r="I48" s="238" t="s">
        <v>117</v>
      </c>
      <c r="J48" s="202"/>
      <c r="K48" s="214"/>
      <c r="L48" s="144"/>
      <c r="M48" s="482"/>
      <c r="N48" s="89"/>
      <c r="O48" s="89"/>
      <c r="P48" s="244" t="s">
        <v>321</v>
      </c>
    </row>
    <row r="49" spans="1:16" ht="14.25" customHeight="1" thickBot="1">
      <c r="A49" s="172"/>
      <c r="B49" s="173"/>
      <c r="C49" s="209"/>
      <c r="D49" s="145"/>
      <c r="E49" s="238"/>
      <c r="F49" s="145"/>
      <c r="G49" s="238"/>
      <c r="H49" s="145"/>
      <c r="I49" s="238"/>
      <c r="J49" s="204"/>
      <c r="K49" s="214"/>
      <c r="L49" s="244"/>
      <c r="M49" s="491"/>
      <c r="N49" s="492"/>
      <c r="O49" s="492"/>
      <c r="P49" s="494"/>
    </row>
    <row r="50" spans="1:16" ht="12.75" thickTop="1">
      <c r="A50" s="83" t="s">
        <v>109</v>
      </c>
      <c r="B50" s="85"/>
      <c r="C50" s="208"/>
      <c r="D50" s="84"/>
      <c r="E50" s="85"/>
      <c r="F50" s="84"/>
      <c r="G50" s="84"/>
      <c r="H50" s="84"/>
      <c r="I50" s="85"/>
      <c r="J50" s="85"/>
      <c r="K50" s="85"/>
      <c r="L50" s="242"/>
      <c r="M50" s="476"/>
      <c r="N50" s="478"/>
      <c r="O50" s="478"/>
      <c r="P50" s="479"/>
    </row>
    <row r="51" spans="1:16" ht="12" customHeight="1">
      <c r="A51" s="172" t="s">
        <v>44</v>
      </c>
      <c r="B51" s="173">
        <v>1</v>
      </c>
      <c r="C51" s="209">
        <v>1</v>
      </c>
      <c r="D51" s="144" t="s">
        <v>79</v>
      </c>
      <c r="E51" s="238" t="s">
        <v>247</v>
      </c>
      <c r="F51" s="238">
        <v>10</v>
      </c>
      <c r="G51" s="238">
        <v>40</v>
      </c>
      <c r="H51" s="144"/>
      <c r="I51" s="238" t="s">
        <v>45</v>
      </c>
      <c r="J51" s="202" t="s">
        <v>254</v>
      </c>
      <c r="K51" s="213" t="s">
        <v>206</v>
      </c>
      <c r="L51" s="243" t="s">
        <v>159</v>
      </c>
      <c r="M51" s="482"/>
      <c r="N51" s="89"/>
      <c r="O51" s="89"/>
      <c r="P51" s="244" t="s">
        <v>321</v>
      </c>
    </row>
    <row r="52" spans="1:16" ht="12" customHeight="1">
      <c r="A52" s="172" t="s">
        <v>44</v>
      </c>
      <c r="B52" s="173">
        <v>2</v>
      </c>
      <c r="C52" s="209">
        <v>2</v>
      </c>
      <c r="D52" s="144" t="s">
        <v>153</v>
      </c>
      <c r="E52" s="238" t="s">
        <v>248</v>
      </c>
      <c r="F52" s="238">
        <v>14</v>
      </c>
      <c r="G52" s="238"/>
      <c r="H52" s="144" t="s">
        <v>106</v>
      </c>
      <c r="I52" s="238" t="s">
        <v>45</v>
      </c>
      <c r="J52" s="202"/>
      <c r="K52" s="213" t="s">
        <v>245</v>
      </c>
      <c r="L52" s="243"/>
      <c r="M52" s="482"/>
      <c r="N52" s="89"/>
      <c r="O52" s="89"/>
      <c r="P52" s="244" t="s">
        <v>321</v>
      </c>
    </row>
    <row r="53" spans="1:16" ht="12" customHeight="1">
      <c r="A53" s="172" t="s">
        <v>44</v>
      </c>
      <c r="B53" s="173">
        <v>3</v>
      </c>
      <c r="C53" s="209">
        <v>3</v>
      </c>
      <c r="D53" s="144" t="s">
        <v>80</v>
      </c>
      <c r="E53" s="238" t="s">
        <v>247</v>
      </c>
      <c r="F53" s="238">
        <v>50</v>
      </c>
      <c r="G53" s="238">
        <v>100</v>
      </c>
      <c r="H53" s="144"/>
      <c r="I53" s="238" t="s">
        <v>45</v>
      </c>
      <c r="J53" s="202"/>
      <c r="K53" s="213">
        <v>9</v>
      </c>
      <c r="L53" s="243"/>
      <c r="M53" s="482"/>
      <c r="N53" s="89"/>
      <c r="O53" s="89"/>
      <c r="P53" s="244" t="s">
        <v>321</v>
      </c>
    </row>
    <row r="54" spans="1:16" ht="12" customHeight="1">
      <c r="A54" s="172" t="s">
        <v>44</v>
      </c>
      <c r="B54" s="173">
        <v>4</v>
      </c>
      <c r="C54" s="209">
        <v>4</v>
      </c>
      <c r="D54" s="144" t="s">
        <v>192</v>
      </c>
      <c r="E54" s="238" t="s">
        <v>247</v>
      </c>
      <c r="F54" s="238">
        <v>10</v>
      </c>
      <c r="G54" s="238">
        <v>15</v>
      </c>
      <c r="H54" s="144"/>
      <c r="I54" s="238" t="s">
        <v>45</v>
      </c>
      <c r="J54" s="202"/>
      <c r="K54" s="213" t="s">
        <v>206</v>
      </c>
      <c r="L54" s="243"/>
      <c r="M54" s="482"/>
      <c r="N54" s="89"/>
      <c r="O54" s="89"/>
      <c r="P54" s="244" t="s">
        <v>321</v>
      </c>
    </row>
    <row r="55" spans="1:16" ht="12" customHeight="1">
      <c r="A55" s="172" t="s">
        <v>44</v>
      </c>
      <c r="B55" s="173">
        <v>5</v>
      </c>
      <c r="C55" s="209">
        <v>5</v>
      </c>
      <c r="D55" s="144" t="s">
        <v>170</v>
      </c>
      <c r="E55" s="238" t="s">
        <v>247</v>
      </c>
      <c r="F55" s="238">
        <v>10</v>
      </c>
      <c r="G55" s="238">
        <v>40</v>
      </c>
      <c r="H55" s="144"/>
      <c r="I55" s="238" t="s">
        <v>45</v>
      </c>
      <c r="J55" s="202"/>
      <c r="K55" s="213" t="s">
        <v>206</v>
      </c>
      <c r="L55" s="243"/>
      <c r="M55" s="482"/>
      <c r="N55" s="89"/>
      <c r="O55" s="89"/>
      <c r="P55" s="244" t="s">
        <v>321</v>
      </c>
    </row>
    <row r="56" spans="1:16" ht="12" customHeight="1">
      <c r="A56" s="172" t="s">
        <v>44</v>
      </c>
      <c r="B56" s="173">
        <v>6</v>
      </c>
      <c r="C56" s="209">
        <v>6</v>
      </c>
      <c r="D56" s="144" t="s">
        <v>104</v>
      </c>
      <c r="E56" s="238" t="s">
        <v>249</v>
      </c>
      <c r="F56" s="238" t="s">
        <v>251</v>
      </c>
      <c r="G56" s="238" t="s">
        <v>252</v>
      </c>
      <c r="H56" s="144" t="s">
        <v>107</v>
      </c>
      <c r="I56" s="238" t="s">
        <v>46</v>
      </c>
      <c r="J56" s="202"/>
      <c r="K56" s="213" t="s">
        <v>206</v>
      </c>
      <c r="L56" s="243"/>
      <c r="M56" s="482"/>
      <c r="N56" s="89"/>
      <c r="O56" s="89"/>
      <c r="P56" s="244" t="s">
        <v>321</v>
      </c>
    </row>
    <row r="57" spans="1:16" ht="12" customHeight="1">
      <c r="A57" s="172"/>
      <c r="B57" s="173"/>
      <c r="C57" s="209">
        <v>7</v>
      </c>
      <c r="D57" s="144"/>
      <c r="E57" s="238"/>
      <c r="F57" s="238"/>
      <c r="G57" s="238"/>
      <c r="H57" s="144"/>
      <c r="I57" s="238"/>
      <c r="J57" s="202"/>
      <c r="K57" s="213"/>
      <c r="L57" s="243"/>
      <c r="M57" s="482"/>
      <c r="N57" s="89"/>
      <c r="O57" s="89"/>
      <c r="P57" s="244" t="s">
        <v>321</v>
      </c>
    </row>
    <row r="58" spans="1:16" ht="12" customHeight="1">
      <c r="A58" s="172" t="s">
        <v>44</v>
      </c>
      <c r="B58" s="173">
        <v>7</v>
      </c>
      <c r="C58" s="209">
        <v>8</v>
      </c>
      <c r="D58" s="144" t="s">
        <v>105</v>
      </c>
      <c r="E58" s="238" t="s">
        <v>247</v>
      </c>
      <c r="F58" s="238">
        <v>2</v>
      </c>
      <c r="G58" s="238">
        <v>40</v>
      </c>
      <c r="H58" s="144"/>
      <c r="I58" s="238" t="s">
        <v>45</v>
      </c>
      <c r="J58" s="202"/>
      <c r="K58" s="213" t="s">
        <v>245</v>
      </c>
      <c r="L58" s="243"/>
      <c r="M58" s="482"/>
      <c r="N58" s="89"/>
      <c r="O58" s="89"/>
      <c r="P58" s="244" t="s">
        <v>321</v>
      </c>
    </row>
    <row r="59" spans="1:16" ht="12" customHeight="1">
      <c r="A59" s="172" t="s">
        <v>44</v>
      </c>
      <c r="B59" s="173">
        <v>8</v>
      </c>
      <c r="C59" s="209">
        <v>9</v>
      </c>
      <c r="D59" s="144" t="s">
        <v>78</v>
      </c>
      <c r="E59" s="238" t="s">
        <v>247</v>
      </c>
      <c r="F59" s="238">
        <v>4</v>
      </c>
      <c r="G59" s="238"/>
      <c r="H59" s="144"/>
      <c r="I59" s="238" t="s">
        <v>45</v>
      </c>
      <c r="J59" s="202"/>
      <c r="K59" s="213" t="s">
        <v>206</v>
      </c>
      <c r="L59" s="243"/>
      <c r="M59" s="482"/>
      <c r="N59" s="89"/>
      <c r="O59" s="89"/>
      <c r="P59" s="244" t="s">
        <v>321</v>
      </c>
    </row>
    <row r="60" spans="1:16" ht="12" customHeight="1">
      <c r="A60" s="172" t="s">
        <v>44</v>
      </c>
      <c r="B60" s="173">
        <v>9</v>
      </c>
      <c r="C60" s="209" t="s">
        <v>244</v>
      </c>
      <c r="D60" s="144" t="s">
        <v>88</v>
      </c>
      <c r="E60" s="238" t="s">
        <v>250</v>
      </c>
      <c r="F60" s="238">
        <v>21</v>
      </c>
      <c r="G60" s="238">
        <v>56</v>
      </c>
      <c r="H60" s="144" t="s">
        <v>253</v>
      </c>
      <c r="I60" s="238" t="s">
        <v>117</v>
      </c>
      <c r="J60" s="202"/>
      <c r="K60" s="213"/>
      <c r="L60" s="243"/>
      <c r="M60" s="482"/>
      <c r="N60" s="89"/>
      <c r="O60" s="89"/>
      <c r="P60" s="244" t="s">
        <v>321</v>
      </c>
    </row>
    <row r="61" spans="1:16" ht="12" customHeight="1" thickBot="1">
      <c r="A61" s="246"/>
      <c r="B61" s="247"/>
      <c r="C61" s="248"/>
      <c r="D61" s="249"/>
      <c r="E61" s="250"/>
      <c r="F61" s="250"/>
      <c r="G61" s="250"/>
      <c r="H61" s="249"/>
      <c r="I61" s="250"/>
      <c r="J61" s="251"/>
      <c r="K61" s="252"/>
      <c r="L61" s="253"/>
      <c r="M61" s="483"/>
      <c r="N61" s="230"/>
      <c r="O61" s="230"/>
      <c r="P61" s="516"/>
    </row>
  </sheetData>
  <mergeCells count="9">
    <mergeCell ref="I5:I6"/>
    <mergeCell ref="K5:K6"/>
    <mergeCell ref="L5:L6"/>
    <mergeCell ref="A5:A6"/>
    <mergeCell ref="B5:B6"/>
    <mergeCell ref="C5:C6"/>
    <mergeCell ref="D5:D6"/>
    <mergeCell ref="F5:F6"/>
    <mergeCell ref="G5:G6"/>
  </mergeCells>
  <phoneticPr fontId="2"/>
  <pageMargins left="0.39370078740157483" right="0.39370078740157483" top="0.51181102362204722" bottom="0.51181102362204722" header="0.31496062992125984" footer="0.31496062992125984"/>
  <pageSetup paperSize="9" fitToHeight="0" orientation="landscape" r:id="rId1"/>
  <headerFooter alignWithMargins="0">
    <oddFooter>&amp;L&amp;A&amp;C&amp;P/&amp;N&amp;R©Toyo Business Engineering Corp.(B-EN-G) / Confidential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1" tint="0.499984740745262"/>
  </sheetPr>
  <dimension ref="A1:CD109"/>
  <sheetViews>
    <sheetView showGridLines="0" zoomScale="115" zoomScaleNormal="115" zoomScaleSheetLayoutView="100" workbookViewId="0">
      <selection activeCell="AL21" sqref="AL21"/>
    </sheetView>
  </sheetViews>
  <sheetFormatPr defaultColWidth="9.33203125" defaultRowHeight="14.1" customHeight="1"/>
  <cols>
    <col min="1" max="57" width="2.1640625" style="92" customWidth="1"/>
    <col min="58" max="85" width="2.33203125" style="92" customWidth="1"/>
    <col min="86" max="16384" width="9.33203125" style="92"/>
  </cols>
  <sheetData>
    <row r="1" spans="1:82" ht="20.100000000000001" customHeight="1">
      <c r="A1" s="384" t="s">
        <v>86</v>
      </c>
      <c r="B1" s="385"/>
      <c r="C1" s="385"/>
      <c r="D1" s="385"/>
      <c r="E1" s="386"/>
      <c r="F1" s="139" t="s">
        <v>85</v>
      </c>
      <c r="G1" s="113"/>
      <c r="H1" s="106"/>
      <c r="I1" s="106"/>
      <c r="J1" s="106"/>
      <c r="K1" s="106"/>
      <c r="L1" s="106"/>
      <c r="M1" s="106"/>
      <c r="N1" s="384" t="s">
        <v>153</v>
      </c>
      <c r="O1" s="385"/>
      <c r="P1" s="385"/>
      <c r="Q1" s="385"/>
      <c r="R1" s="386"/>
      <c r="S1" s="118" t="s">
        <v>95</v>
      </c>
      <c r="T1" s="115"/>
      <c r="U1" s="115"/>
      <c r="V1" s="115"/>
      <c r="W1" s="114"/>
      <c r="X1" s="115"/>
      <c r="Y1" s="115"/>
      <c r="Z1" s="115"/>
      <c r="AA1" s="106"/>
      <c r="AB1" s="106"/>
      <c r="AC1" s="106"/>
      <c r="AD1" s="124"/>
      <c r="AE1" s="94"/>
      <c r="AF1" s="94"/>
      <c r="AG1" s="126"/>
      <c r="AH1" s="94"/>
      <c r="AI1" s="94"/>
      <c r="AJ1" s="94"/>
      <c r="AK1" s="94"/>
      <c r="AL1" s="94"/>
      <c r="AM1" s="94"/>
      <c r="AN1" s="94"/>
      <c r="AO1" s="94"/>
      <c r="AQ1" s="123"/>
      <c r="AR1" s="123"/>
      <c r="AS1" s="123"/>
      <c r="AT1" s="123"/>
      <c r="AU1" s="123"/>
      <c r="AV1" s="123"/>
      <c r="BE1" s="93"/>
      <c r="BF1" s="91"/>
    </row>
    <row r="2" spans="1:82" ht="20.100000000000001" customHeight="1">
      <c r="A2" s="384" t="s">
        <v>87</v>
      </c>
      <c r="B2" s="385"/>
      <c r="C2" s="385"/>
      <c r="D2" s="385"/>
      <c r="E2" s="386"/>
      <c r="F2" s="135" t="s">
        <v>151</v>
      </c>
      <c r="G2" s="104"/>
      <c r="H2" s="104"/>
      <c r="I2" s="104"/>
      <c r="J2" s="109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4"/>
      <c r="W2" s="132"/>
      <c r="X2" s="104"/>
      <c r="Y2" s="104"/>
      <c r="Z2" s="104"/>
      <c r="AA2" s="104"/>
      <c r="AB2" s="104"/>
      <c r="AC2" s="109"/>
      <c r="AD2" s="12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BE2" s="93"/>
      <c r="BF2" s="91"/>
      <c r="CC2" s="94"/>
      <c r="CD2" s="94"/>
    </row>
    <row r="3" spans="1:82" ht="20.100000000000001" customHeight="1">
      <c r="A3" s="387" t="s">
        <v>169</v>
      </c>
      <c r="B3" s="385"/>
      <c r="C3" s="385"/>
      <c r="D3" s="385"/>
      <c r="E3" s="386"/>
      <c r="F3" s="140" t="s">
        <v>85</v>
      </c>
      <c r="G3" s="104"/>
      <c r="H3" s="104"/>
      <c r="I3" s="104"/>
      <c r="J3" s="116"/>
      <c r="K3" s="106"/>
      <c r="L3" s="106"/>
      <c r="M3" s="128"/>
      <c r="N3" s="130"/>
      <c r="O3" s="114"/>
      <c r="P3" s="106"/>
      <c r="Q3" s="143" t="s">
        <v>148</v>
      </c>
      <c r="R3" s="106"/>
      <c r="S3" s="106"/>
      <c r="T3" s="106"/>
      <c r="U3" s="106"/>
      <c r="V3" s="106"/>
      <c r="W3" s="106"/>
      <c r="X3" s="107"/>
      <c r="Y3" s="119"/>
      <c r="Z3" s="110"/>
      <c r="AA3" s="110"/>
      <c r="AB3" s="110"/>
      <c r="AC3" s="110"/>
      <c r="AD3" s="125"/>
      <c r="AE3" s="110"/>
      <c r="AF3" s="110"/>
      <c r="AG3" s="94"/>
      <c r="AH3" s="94"/>
      <c r="AI3" s="94"/>
      <c r="AJ3" s="94"/>
      <c r="AK3" s="94"/>
      <c r="AL3" s="94"/>
      <c r="AM3" s="94"/>
      <c r="AN3" s="94"/>
      <c r="AO3" s="94"/>
      <c r="AS3" s="99"/>
      <c r="AT3" s="99"/>
      <c r="BE3" s="93"/>
      <c r="BF3" s="91"/>
      <c r="CC3" s="94"/>
      <c r="CD3" s="94"/>
    </row>
    <row r="4" spans="1:82" ht="20.100000000000001" customHeight="1">
      <c r="A4" s="384" t="s">
        <v>98</v>
      </c>
      <c r="B4" s="385"/>
      <c r="C4" s="385"/>
      <c r="D4" s="385"/>
      <c r="E4" s="386"/>
      <c r="F4" s="103"/>
      <c r="G4" s="109"/>
      <c r="H4" s="106"/>
      <c r="I4" s="106"/>
      <c r="J4" s="122"/>
      <c r="K4" s="121"/>
      <c r="L4" s="141" t="s">
        <v>142</v>
      </c>
      <c r="M4" s="108"/>
      <c r="N4" s="121" t="s">
        <v>101</v>
      </c>
      <c r="O4" s="108"/>
      <c r="P4" s="129"/>
      <c r="Q4" s="106"/>
      <c r="R4" s="122"/>
      <c r="S4" s="142" t="s">
        <v>110</v>
      </c>
      <c r="T4" s="121"/>
      <c r="U4" s="108"/>
      <c r="V4" s="108"/>
      <c r="W4" s="108"/>
      <c r="X4" s="129"/>
      <c r="Y4" s="120"/>
      <c r="Z4" s="112"/>
      <c r="AA4" s="112"/>
      <c r="AB4" s="112"/>
      <c r="AC4" s="112"/>
      <c r="AD4" s="125"/>
      <c r="AE4" s="110"/>
      <c r="AF4" s="110"/>
      <c r="AG4" s="94"/>
      <c r="AH4" s="94"/>
      <c r="AI4" s="94"/>
      <c r="AJ4" s="94"/>
      <c r="AK4" s="94"/>
      <c r="AL4" s="111"/>
      <c r="AM4" s="94"/>
      <c r="AN4" s="94"/>
      <c r="AO4" s="94"/>
      <c r="AS4" s="99"/>
      <c r="AT4" s="99"/>
      <c r="BE4" s="93"/>
      <c r="BF4" s="91"/>
      <c r="CC4" s="94"/>
      <c r="CD4" s="94"/>
    </row>
    <row r="5" spans="1:82" ht="26.1" customHeight="1">
      <c r="A5" s="384" t="s">
        <v>99</v>
      </c>
      <c r="B5" s="385"/>
      <c r="C5" s="385"/>
      <c r="D5" s="385"/>
      <c r="E5" s="386"/>
      <c r="F5" s="117"/>
      <c r="G5" s="112"/>
      <c r="H5" s="112"/>
      <c r="I5" s="109"/>
      <c r="J5" s="112"/>
      <c r="K5" s="108"/>
      <c r="L5" s="141" t="s">
        <v>142</v>
      </c>
      <c r="M5" s="121" t="s">
        <v>102</v>
      </c>
      <c r="N5" s="121"/>
      <c r="O5" s="108"/>
      <c r="P5" s="121"/>
      <c r="Q5" s="121" t="s">
        <v>147</v>
      </c>
      <c r="R5" s="121"/>
      <c r="S5" s="108"/>
      <c r="T5" s="108"/>
      <c r="U5" s="108"/>
      <c r="V5" s="109"/>
      <c r="W5" s="108"/>
      <c r="X5" s="108"/>
      <c r="Y5" s="141" t="s">
        <v>142</v>
      </c>
      <c r="Z5" s="108"/>
      <c r="AA5" s="121" t="s">
        <v>101</v>
      </c>
      <c r="AB5" s="108"/>
      <c r="AC5" s="108"/>
      <c r="AD5" s="12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S5" s="99"/>
      <c r="AT5" s="99"/>
      <c r="BE5" s="93"/>
      <c r="BF5" s="91"/>
      <c r="CC5" s="94"/>
      <c r="CD5" s="94"/>
    </row>
    <row r="6" spans="1:82" ht="20.100000000000001" customHeight="1">
      <c r="A6" s="384" t="s">
        <v>100</v>
      </c>
      <c r="B6" s="385"/>
      <c r="C6" s="385"/>
      <c r="D6" s="385"/>
      <c r="E6" s="386"/>
      <c r="F6" s="105" t="s">
        <v>103</v>
      </c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25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94"/>
      <c r="AS6" s="99"/>
      <c r="AT6" s="99"/>
      <c r="BE6" s="93"/>
      <c r="BF6" s="91"/>
      <c r="CC6" s="94"/>
      <c r="CD6" s="94"/>
    </row>
    <row r="7" spans="1:82" ht="12" customHeight="1">
      <c r="A7" s="384" t="s">
        <v>96</v>
      </c>
      <c r="B7" s="385"/>
      <c r="C7" s="385"/>
      <c r="D7" s="385"/>
      <c r="E7" s="385"/>
      <c r="F7" s="385"/>
      <c r="G7" s="385"/>
      <c r="H7" s="385"/>
      <c r="I7" s="385"/>
      <c r="J7" s="385"/>
      <c r="K7" s="385"/>
      <c r="L7" s="385"/>
      <c r="M7" s="385"/>
      <c r="N7" s="385"/>
      <c r="O7" s="385"/>
      <c r="P7" s="385"/>
      <c r="Q7" s="385"/>
      <c r="R7" s="385"/>
      <c r="S7" s="385"/>
      <c r="T7" s="385"/>
      <c r="U7" s="386"/>
      <c r="V7" s="384" t="s">
        <v>97</v>
      </c>
      <c r="W7" s="385"/>
      <c r="X7" s="385"/>
      <c r="Y7" s="385"/>
      <c r="Z7" s="385"/>
      <c r="AA7" s="385"/>
      <c r="AB7" s="385"/>
      <c r="AC7" s="385"/>
      <c r="AD7" s="12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Q7" s="98"/>
      <c r="AR7" s="98"/>
      <c r="AX7" s="100"/>
      <c r="AY7" s="100"/>
      <c r="BE7" s="93"/>
      <c r="BF7" s="91"/>
      <c r="CC7" s="94"/>
      <c r="CD7" s="94"/>
    </row>
    <row r="8" spans="1:82" ht="48" customHeight="1">
      <c r="A8" s="95"/>
      <c r="B8" s="112"/>
      <c r="C8" s="112"/>
      <c r="D8" s="112"/>
      <c r="E8" s="112"/>
      <c r="F8" s="112"/>
      <c r="G8" s="112"/>
      <c r="H8" s="117"/>
      <c r="I8" s="108"/>
      <c r="J8" s="108"/>
      <c r="K8" s="106"/>
      <c r="L8" s="106"/>
      <c r="M8" s="104"/>
      <c r="N8" s="108"/>
      <c r="O8" s="117"/>
      <c r="P8" s="108"/>
      <c r="Q8" s="108"/>
      <c r="R8" s="108"/>
      <c r="S8" s="108"/>
      <c r="T8" s="108"/>
      <c r="U8" s="108"/>
      <c r="V8" s="387" t="s">
        <v>146</v>
      </c>
      <c r="W8" s="385"/>
      <c r="X8" s="385"/>
      <c r="Y8" s="385"/>
      <c r="Z8" s="385"/>
      <c r="AA8" s="385"/>
      <c r="AB8" s="385"/>
      <c r="AC8" s="386"/>
      <c r="AD8" s="12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Q8" s="98"/>
      <c r="AR8" s="98"/>
      <c r="AX8" s="100"/>
      <c r="AY8" s="100"/>
      <c r="BE8" s="93"/>
      <c r="BF8" s="91"/>
      <c r="CC8" s="94"/>
      <c r="CD8" s="94"/>
    </row>
    <row r="9" spans="1:82" ht="12" customHeight="1">
      <c r="A9" s="136" t="s">
        <v>149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37" t="s">
        <v>150</v>
      </c>
      <c r="AD9" s="12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Q9" s="98"/>
      <c r="AR9" s="98"/>
      <c r="AX9" s="100"/>
      <c r="AY9" s="100"/>
      <c r="BE9" s="93"/>
      <c r="BF9" s="91"/>
      <c r="CC9" s="94"/>
      <c r="CD9" s="94"/>
    </row>
    <row r="10" spans="1:82" ht="12" customHeight="1">
      <c r="A10" s="138" t="s">
        <v>145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2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Q10" s="98"/>
      <c r="AR10" s="98"/>
      <c r="AX10" s="100"/>
      <c r="AY10" s="100"/>
      <c r="BE10" s="93"/>
      <c r="BF10" s="91"/>
      <c r="CC10" s="94"/>
      <c r="CD10" s="94"/>
    </row>
    <row r="11" spans="1:82" ht="12" customHeight="1">
      <c r="A11" s="388" t="s">
        <v>144</v>
      </c>
      <c r="B11" s="389"/>
      <c r="C11" s="389"/>
      <c r="D11" s="389"/>
      <c r="E11" s="389"/>
      <c r="F11" s="389"/>
      <c r="G11" s="389"/>
      <c r="H11" s="389"/>
      <c r="I11" s="389"/>
      <c r="J11" s="389"/>
      <c r="K11" s="389"/>
      <c r="L11" s="389"/>
      <c r="M11" s="389"/>
      <c r="N11" s="389"/>
      <c r="O11" s="389"/>
      <c r="P11" s="389"/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90"/>
      <c r="AD11" s="12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Q11" s="98"/>
      <c r="AR11" s="98"/>
      <c r="AX11" s="100"/>
      <c r="AY11" s="100"/>
      <c r="BE11" s="93"/>
      <c r="CC11" s="94"/>
      <c r="CD11" s="94"/>
    </row>
    <row r="12" spans="1:82" ht="12" customHeight="1">
      <c r="A12" s="91"/>
      <c r="B12" s="123"/>
      <c r="C12" s="123"/>
      <c r="D12" s="123"/>
      <c r="E12" s="123"/>
      <c r="F12" s="123"/>
      <c r="AD12" s="12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Q12" s="98"/>
      <c r="AR12" s="98"/>
      <c r="AX12" s="100"/>
      <c r="AY12" s="100"/>
      <c r="BE12" s="93"/>
      <c r="BF12" s="91"/>
    </row>
    <row r="13" spans="1:82" ht="20.100000000000001" customHeight="1">
      <c r="A13" s="384" t="s">
        <v>86</v>
      </c>
      <c r="B13" s="385"/>
      <c r="C13" s="385"/>
      <c r="D13" s="385"/>
      <c r="E13" s="386"/>
      <c r="F13" s="139" t="s">
        <v>85</v>
      </c>
      <c r="G13" s="113"/>
      <c r="H13" s="106"/>
      <c r="I13" s="106"/>
      <c r="J13" s="106"/>
      <c r="K13" s="106"/>
      <c r="L13" s="106"/>
      <c r="M13" s="106"/>
      <c r="N13" s="384" t="s">
        <v>153</v>
      </c>
      <c r="O13" s="385"/>
      <c r="P13" s="385"/>
      <c r="Q13" s="385"/>
      <c r="R13" s="386"/>
      <c r="S13" s="118" t="s">
        <v>95</v>
      </c>
      <c r="T13" s="115"/>
      <c r="U13" s="115"/>
      <c r="V13" s="115"/>
      <c r="W13" s="114"/>
      <c r="X13" s="115"/>
      <c r="Y13" s="115"/>
      <c r="Z13" s="115"/>
      <c r="AA13" s="106"/>
      <c r="AB13" s="106"/>
      <c r="AC13" s="106"/>
      <c r="AD13" s="124"/>
      <c r="AE13" s="94"/>
      <c r="AF13" s="94"/>
      <c r="AG13" s="126"/>
      <c r="AH13" s="94"/>
      <c r="AI13" s="94"/>
      <c r="AJ13" s="94"/>
      <c r="AK13" s="94"/>
      <c r="AL13" s="94"/>
      <c r="AM13" s="94"/>
      <c r="AN13" s="94"/>
      <c r="AO13" s="94"/>
      <c r="AQ13" s="123"/>
      <c r="AR13" s="123"/>
      <c r="AS13" s="123"/>
      <c r="AT13" s="123"/>
      <c r="AU13" s="123"/>
      <c r="AV13" s="123"/>
      <c r="BE13" s="93"/>
      <c r="BF13" s="91"/>
    </row>
    <row r="14" spans="1:82" ht="20.100000000000001" customHeight="1">
      <c r="A14" s="384" t="s">
        <v>87</v>
      </c>
      <c r="B14" s="385"/>
      <c r="C14" s="385"/>
      <c r="D14" s="385"/>
      <c r="E14" s="386"/>
      <c r="F14" s="135" t="s">
        <v>151</v>
      </c>
      <c r="G14" s="134"/>
      <c r="H14" s="134"/>
      <c r="I14" s="134"/>
      <c r="J14" s="109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34"/>
      <c r="W14" s="132"/>
      <c r="X14" s="134"/>
      <c r="Y14" s="134"/>
      <c r="Z14" s="134"/>
      <c r="AA14" s="134"/>
      <c r="AB14" s="134"/>
      <c r="AC14" s="109"/>
      <c r="AD14" s="12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BE14" s="93"/>
      <c r="BF14" s="91"/>
      <c r="CC14" s="94"/>
      <c r="CD14" s="94"/>
    </row>
    <row r="15" spans="1:82" ht="20.100000000000001" customHeight="1">
      <c r="A15" s="387" t="s">
        <v>169</v>
      </c>
      <c r="B15" s="385"/>
      <c r="C15" s="385"/>
      <c r="D15" s="385"/>
      <c r="E15" s="386"/>
      <c r="F15" s="140" t="s">
        <v>85</v>
      </c>
      <c r="G15" s="134"/>
      <c r="H15" s="134"/>
      <c r="I15" s="134"/>
      <c r="J15" s="116"/>
      <c r="K15" s="106"/>
      <c r="L15" s="106"/>
      <c r="M15" s="128"/>
      <c r="N15" s="130"/>
      <c r="O15" s="114"/>
      <c r="P15" s="106"/>
      <c r="Q15" s="143" t="s">
        <v>148</v>
      </c>
      <c r="R15" s="106"/>
      <c r="S15" s="106"/>
      <c r="T15" s="106"/>
      <c r="U15" s="106"/>
      <c r="V15" s="106"/>
      <c r="W15" s="106"/>
      <c r="X15" s="107"/>
      <c r="Y15" s="119"/>
      <c r="Z15" s="110"/>
      <c r="AA15" s="110"/>
      <c r="AB15" s="110"/>
      <c r="AC15" s="110"/>
      <c r="AD15" s="125"/>
      <c r="AE15" s="110"/>
      <c r="AF15" s="110"/>
      <c r="AG15" s="94"/>
      <c r="AH15" s="94"/>
      <c r="AI15" s="94"/>
      <c r="AJ15" s="94"/>
      <c r="AK15" s="94"/>
      <c r="AL15" s="94"/>
      <c r="AM15" s="94"/>
      <c r="AN15" s="94"/>
      <c r="AO15" s="94"/>
      <c r="AS15" s="99"/>
      <c r="AT15" s="99"/>
      <c r="BE15" s="93"/>
      <c r="BF15" s="91"/>
      <c r="CC15" s="94"/>
      <c r="CD15" s="94"/>
    </row>
    <row r="16" spans="1:82" ht="20.100000000000001" customHeight="1">
      <c r="A16" s="384" t="s">
        <v>98</v>
      </c>
      <c r="B16" s="385"/>
      <c r="C16" s="385"/>
      <c r="D16" s="385"/>
      <c r="E16" s="386"/>
      <c r="F16" s="133"/>
      <c r="G16" s="109"/>
      <c r="H16" s="106"/>
      <c r="I16" s="106"/>
      <c r="J16" s="122"/>
      <c r="K16" s="121"/>
      <c r="L16" s="141" t="s">
        <v>142</v>
      </c>
      <c r="M16" s="108"/>
      <c r="N16" s="121" t="s">
        <v>101</v>
      </c>
      <c r="O16" s="108"/>
      <c r="P16" s="129"/>
      <c r="Q16" s="106"/>
      <c r="R16" s="122"/>
      <c r="S16" s="142" t="s">
        <v>78</v>
      </c>
      <c r="T16" s="121"/>
      <c r="U16" s="108"/>
      <c r="V16" s="108"/>
      <c r="W16" s="108"/>
      <c r="X16" s="129"/>
      <c r="Y16" s="120"/>
      <c r="Z16" s="112"/>
      <c r="AA16" s="112"/>
      <c r="AB16" s="112"/>
      <c r="AC16" s="112"/>
      <c r="AD16" s="125"/>
      <c r="AE16" s="110"/>
      <c r="AF16" s="110"/>
      <c r="AG16" s="94"/>
      <c r="AH16" s="94"/>
      <c r="AI16" s="94"/>
      <c r="AJ16" s="94"/>
      <c r="AK16" s="94"/>
      <c r="AL16" s="111"/>
      <c r="AM16" s="94"/>
      <c r="AN16" s="94"/>
      <c r="AO16" s="94"/>
      <c r="AS16" s="99"/>
      <c r="AT16" s="99"/>
      <c r="BE16" s="93"/>
      <c r="BF16" s="91"/>
      <c r="CC16" s="94"/>
      <c r="CD16" s="94"/>
    </row>
    <row r="17" spans="1:82" ht="12" customHeight="1">
      <c r="A17" s="91"/>
      <c r="B17" s="123"/>
      <c r="C17" s="123"/>
      <c r="D17" s="123"/>
      <c r="E17" s="123"/>
      <c r="F17" s="123"/>
      <c r="AD17" s="12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Q17" s="98"/>
      <c r="AR17" s="98"/>
      <c r="AX17" s="100"/>
      <c r="AY17" s="100"/>
      <c r="BE17" s="93"/>
      <c r="BF17" s="91"/>
    </row>
    <row r="18" spans="1:82" ht="20.100000000000001" customHeight="1">
      <c r="A18" s="384" t="s">
        <v>86</v>
      </c>
      <c r="B18" s="385"/>
      <c r="C18" s="385"/>
      <c r="D18" s="385"/>
      <c r="E18" s="386"/>
      <c r="F18" s="139" t="s">
        <v>85</v>
      </c>
      <c r="G18" s="113"/>
      <c r="H18" s="106"/>
      <c r="I18" s="106"/>
      <c r="J18" s="106"/>
      <c r="K18" s="106"/>
      <c r="L18" s="106"/>
      <c r="M18" s="106"/>
      <c r="N18" s="384" t="s">
        <v>153</v>
      </c>
      <c r="O18" s="385"/>
      <c r="P18" s="385"/>
      <c r="Q18" s="385"/>
      <c r="R18" s="386"/>
      <c r="S18" s="118" t="s">
        <v>95</v>
      </c>
      <c r="T18" s="115"/>
      <c r="U18" s="115"/>
      <c r="V18" s="115"/>
      <c r="W18" s="114"/>
      <c r="X18" s="115"/>
      <c r="Y18" s="115"/>
      <c r="Z18" s="115"/>
      <c r="AA18" s="106"/>
      <c r="AB18" s="106"/>
      <c r="AC18" s="106"/>
      <c r="AD18" s="124"/>
      <c r="AE18" s="94"/>
      <c r="AF18" s="94"/>
      <c r="AG18" s="126"/>
      <c r="AH18" s="94"/>
      <c r="AI18" s="94"/>
      <c r="AJ18" s="94"/>
      <c r="AK18" s="94"/>
      <c r="AL18" s="94"/>
      <c r="AM18" s="94"/>
      <c r="AN18" s="94"/>
      <c r="AO18" s="94"/>
      <c r="AQ18" s="123"/>
      <c r="AR18" s="123"/>
      <c r="AS18" s="123"/>
      <c r="AT18" s="123"/>
      <c r="AU18" s="123"/>
      <c r="AV18" s="123"/>
      <c r="BE18" s="93"/>
      <c r="BF18" s="91"/>
    </row>
    <row r="19" spans="1:82" ht="20.100000000000001" customHeight="1">
      <c r="A19" s="384" t="s">
        <v>87</v>
      </c>
      <c r="B19" s="385"/>
      <c r="C19" s="385"/>
      <c r="D19" s="385"/>
      <c r="E19" s="386"/>
      <c r="F19" s="135" t="s">
        <v>151</v>
      </c>
      <c r="G19" s="134"/>
      <c r="H19" s="134"/>
      <c r="I19" s="134"/>
      <c r="J19" s="109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34"/>
      <c r="W19" s="132"/>
      <c r="X19" s="134"/>
      <c r="Y19" s="134"/>
      <c r="Z19" s="134"/>
      <c r="AA19" s="134"/>
      <c r="AB19" s="134"/>
      <c r="AC19" s="109"/>
      <c r="AD19" s="12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BE19" s="93"/>
      <c r="BF19" s="91"/>
      <c r="CC19" s="94"/>
      <c r="CD19" s="94"/>
    </row>
    <row r="20" spans="1:82" ht="20.100000000000001" customHeight="1">
      <c r="A20" s="387" t="s">
        <v>169</v>
      </c>
      <c r="B20" s="385"/>
      <c r="C20" s="385"/>
      <c r="D20" s="385"/>
      <c r="E20" s="386"/>
      <c r="F20" s="140" t="s">
        <v>85</v>
      </c>
      <c r="G20" s="134"/>
      <c r="H20" s="134"/>
      <c r="I20" s="134"/>
      <c r="J20" s="116"/>
      <c r="K20" s="106"/>
      <c r="L20" s="106"/>
      <c r="M20" s="128"/>
      <c r="N20" s="130"/>
      <c r="O20" s="114"/>
      <c r="P20" s="106"/>
      <c r="Q20" s="143" t="s">
        <v>148</v>
      </c>
      <c r="R20" s="106"/>
      <c r="S20" s="106"/>
      <c r="T20" s="106"/>
      <c r="U20" s="106"/>
      <c r="V20" s="106"/>
      <c r="W20" s="106"/>
      <c r="X20" s="107"/>
      <c r="Y20" s="119"/>
      <c r="Z20" s="110"/>
      <c r="AA20" s="110"/>
      <c r="AB20" s="110"/>
      <c r="AC20" s="110"/>
      <c r="AD20" s="125"/>
      <c r="AE20" s="110"/>
      <c r="AF20" s="110"/>
      <c r="AG20" s="94"/>
      <c r="AH20" s="94"/>
      <c r="AI20" s="94"/>
      <c r="AJ20" s="94"/>
      <c r="AK20" s="94"/>
      <c r="AL20" s="94"/>
      <c r="AM20" s="94"/>
      <c r="AN20" s="94"/>
      <c r="AO20" s="94"/>
      <c r="AS20" s="99"/>
      <c r="AT20" s="99"/>
      <c r="BE20" s="93"/>
      <c r="BF20" s="91"/>
      <c r="CC20" s="94"/>
      <c r="CD20" s="94"/>
    </row>
    <row r="21" spans="1:82" ht="20.100000000000001" customHeight="1">
      <c r="A21" s="384" t="s">
        <v>98</v>
      </c>
      <c r="B21" s="385"/>
      <c r="C21" s="385"/>
      <c r="D21" s="385"/>
      <c r="E21" s="386"/>
      <c r="F21" s="133"/>
      <c r="G21" s="109"/>
      <c r="H21" s="106"/>
      <c r="I21" s="106"/>
      <c r="J21" s="122"/>
      <c r="K21" s="121"/>
      <c r="L21" s="141" t="s">
        <v>142</v>
      </c>
      <c r="M21" s="108"/>
      <c r="N21" s="121" t="s">
        <v>101</v>
      </c>
      <c r="O21" s="108"/>
      <c r="P21" s="129"/>
      <c r="Q21" s="106"/>
      <c r="R21" s="122"/>
      <c r="S21" s="142" t="s">
        <v>78</v>
      </c>
      <c r="T21" s="121"/>
      <c r="U21" s="108"/>
      <c r="V21" s="108"/>
      <c r="W21" s="108"/>
      <c r="X21" s="129"/>
      <c r="Y21" s="120"/>
      <c r="Z21" s="112"/>
      <c r="AA21" s="112"/>
      <c r="AB21" s="112"/>
      <c r="AC21" s="112"/>
      <c r="AD21" s="125"/>
      <c r="AE21" s="110"/>
      <c r="AF21" s="110"/>
      <c r="AG21" s="94"/>
      <c r="AH21" s="94"/>
      <c r="AI21" s="94"/>
      <c r="AJ21" s="94"/>
      <c r="AK21" s="94"/>
      <c r="AL21" s="111"/>
      <c r="AM21" s="94"/>
      <c r="AN21" s="94"/>
      <c r="AO21" s="94"/>
      <c r="AS21" s="99"/>
      <c r="AT21" s="99"/>
      <c r="BE21" s="93"/>
      <c r="BF21" s="91"/>
      <c r="CC21" s="94"/>
      <c r="CD21" s="94"/>
    </row>
    <row r="22" spans="1:82" ht="12" customHeight="1">
      <c r="A22" s="91"/>
      <c r="D22" s="99"/>
      <c r="AS22" s="99"/>
      <c r="AT22" s="99"/>
      <c r="BE22" s="93"/>
      <c r="BF22" s="91"/>
      <c r="CC22" s="94"/>
      <c r="CD22" s="94"/>
    </row>
    <row r="23" spans="1:82" ht="12" customHeight="1">
      <c r="A23" s="91"/>
      <c r="B23" s="98"/>
      <c r="C23" s="98"/>
      <c r="H23" s="100"/>
      <c r="I23" s="100"/>
      <c r="AA23" s="98"/>
      <c r="AK23" s="98"/>
      <c r="AL23" s="98"/>
      <c r="AM23" s="98"/>
      <c r="AN23" s="98"/>
      <c r="AQ23" s="98"/>
      <c r="AR23" s="98"/>
      <c r="AX23" s="100"/>
      <c r="AY23" s="100"/>
      <c r="BE23" s="93"/>
      <c r="BF23" s="91"/>
      <c r="CC23" s="94"/>
      <c r="CD23" s="94"/>
    </row>
    <row r="24" spans="1:82" ht="12" customHeight="1">
      <c r="A24" s="91"/>
      <c r="B24" s="98"/>
      <c r="C24" s="98"/>
      <c r="H24" s="100"/>
      <c r="I24" s="100"/>
      <c r="AA24" s="98"/>
      <c r="AK24" s="98"/>
      <c r="AL24" s="98"/>
      <c r="AM24" s="98"/>
      <c r="AN24" s="98"/>
      <c r="AQ24" s="98"/>
      <c r="AR24" s="98"/>
      <c r="AX24" s="100"/>
      <c r="AY24" s="100"/>
      <c r="BE24" s="93"/>
      <c r="BF24" s="91"/>
      <c r="CC24" s="94"/>
      <c r="CD24" s="94"/>
    </row>
    <row r="25" spans="1:82" ht="12" customHeight="1">
      <c r="A25" s="91"/>
      <c r="B25" s="98"/>
      <c r="C25" s="98"/>
      <c r="H25" s="100"/>
      <c r="I25" s="100"/>
      <c r="AA25" s="98"/>
      <c r="AK25" s="98"/>
      <c r="AL25" s="98"/>
      <c r="AM25" s="98"/>
      <c r="AN25" s="98"/>
      <c r="AQ25" s="98"/>
      <c r="AR25" s="98"/>
      <c r="AX25" s="100"/>
      <c r="AY25" s="100"/>
      <c r="BE25" s="93"/>
      <c r="BF25" s="91"/>
      <c r="CC25" s="94"/>
      <c r="CD25" s="94"/>
    </row>
    <row r="26" spans="1:82" ht="12" customHeight="1">
      <c r="A26" s="91"/>
      <c r="B26" s="98"/>
      <c r="C26" s="98"/>
      <c r="H26" s="100"/>
      <c r="I26" s="100"/>
      <c r="AA26" s="98"/>
      <c r="AK26" s="98"/>
      <c r="AL26" s="98"/>
      <c r="AM26" s="98"/>
      <c r="AN26" s="98"/>
      <c r="AQ26" s="98"/>
      <c r="AR26" s="98"/>
      <c r="AX26" s="100"/>
      <c r="AY26" s="100"/>
      <c r="BE26" s="93"/>
      <c r="BF26" s="91"/>
      <c r="CC26" s="94"/>
      <c r="CD26" s="94"/>
    </row>
    <row r="27" spans="1:82" ht="12" customHeight="1">
      <c r="A27" s="91"/>
      <c r="B27" s="98"/>
      <c r="C27" s="98"/>
      <c r="H27" s="100"/>
      <c r="I27" s="100"/>
      <c r="AA27" s="98"/>
      <c r="AK27" s="98"/>
      <c r="AL27" s="98"/>
      <c r="AM27" s="98"/>
      <c r="AN27" s="98"/>
      <c r="AQ27" s="98"/>
      <c r="AR27" s="98"/>
      <c r="AX27" s="100"/>
      <c r="AY27" s="100"/>
      <c r="BE27" s="93"/>
      <c r="BF27" s="91"/>
      <c r="CC27" s="94"/>
      <c r="CD27" s="94"/>
    </row>
    <row r="28" spans="1:82" ht="12" customHeight="1">
      <c r="A28" s="91"/>
      <c r="B28" s="98"/>
      <c r="C28" s="98"/>
      <c r="H28" s="100"/>
      <c r="I28" s="100"/>
      <c r="AA28" s="98"/>
      <c r="AK28" s="98"/>
      <c r="AL28" s="98"/>
      <c r="AM28" s="98"/>
      <c r="AN28" s="98"/>
      <c r="AQ28" s="98"/>
      <c r="AR28" s="98"/>
      <c r="AX28" s="100"/>
      <c r="AY28" s="100"/>
      <c r="BE28" s="93"/>
      <c r="BF28" s="91"/>
      <c r="CC28" s="94"/>
      <c r="CD28" s="94"/>
    </row>
    <row r="29" spans="1:82" ht="12" customHeight="1">
      <c r="A29" s="91"/>
      <c r="B29" s="98"/>
      <c r="C29" s="98"/>
      <c r="H29" s="100"/>
      <c r="I29" s="100"/>
      <c r="AA29" s="98"/>
      <c r="AK29" s="98"/>
      <c r="AL29" s="98"/>
      <c r="AM29" s="98"/>
      <c r="AN29" s="98"/>
      <c r="AQ29" s="98"/>
      <c r="AR29" s="98"/>
      <c r="AX29" s="100"/>
      <c r="AY29" s="100"/>
      <c r="BE29" s="93"/>
      <c r="BF29" s="91"/>
      <c r="CC29" s="94"/>
      <c r="CD29" s="94"/>
    </row>
    <row r="30" spans="1:82" ht="12" customHeight="1">
      <c r="A30" s="91"/>
      <c r="B30" s="98"/>
      <c r="C30" s="98"/>
      <c r="H30" s="100"/>
      <c r="I30" s="100"/>
      <c r="AA30" s="98"/>
      <c r="AK30" s="98"/>
      <c r="AL30" s="98"/>
      <c r="AM30" s="98"/>
      <c r="AN30" s="98"/>
      <c r="AQ30" s="98"/>
      <c r="AR30" s="98"/>
      <c r="AX30" s="100"/>
      <c r="AY30" s="100"/>
      <c r="BE30" s="93"/>
      <c r="BF30" s="91"/>
      <c r="CC30" s="94"/>
      <c r="CD30" s="94"/>
    </row>
    <row r="31" spans="1:82" ht="12" customHeight="1">
      <c r="A31" s="91"/>
      <c r="B31" s="98"/>
      <c r="C31" s="98"/>
      <c r="H31" s="100"/>
      <c r="I31" s="100"/>
      <c r="AA31" s="98"/>
      <c r="AK31" s="98"/>
      <c r="AL31" s="98"/>
      <c r="AM31" s="98"/>
      <c r="AN31" s="98"/>
      <c r="AQ31" s="98"/>
      <c r="AR31" s="98"/>
      <c r="AX31" s="100"/>
      <c r="AY31" s="100"/>
      <c r="BE31" s="93"/>
      <c r="BF31" s="91"/>
      <c r="CC31" s="94"/>
      <c r="CD31" s="94"/>
    </row>
    <row r="32" spans="1:82" ht="12" customHeight="1">
      <c r="A32" s="91"/>
      <c r="B32" s="98"/>
      <c r="C32" s="98"/>
      <c r="H32" s="100"/>
      <c r="I32" s="100"/>
      <c r="AA32" s="98"/>
      <c r="AK32" s="98"/>
      <c r="AL32" s="98"/>
      <c r="AM32" s="98"/>
      <c r="AN32" s="98"/>
      <c r="AQ32" s="98"/>
      <c r="AR32" s="98"/>
      <c r="AX32" s="100"/>
      <c r="AY32" s="100"/>
      <c r="BE32" s="93"/>
      <c r="BF32" s="91"/>
      <c r="CC32" s="94"/>
      <c r="CD32" s="94"/>
    </row>
    <row r="33" spans="1:82" ht="12" customHeight="1">
      <c r="A33" s="91"/>
      <c r="B33" s="98"/>
      <c r="C33" s="98"/>
      <c r="H33" s="100"/>
      <c r="I33" s="100"/>
      <c r="AA33" s="98"/>
      <c r="AK33" s="98"/>
      <c r="AL33" s="98"/>
      <c r="AM33" s="98"/>
      <c r="AN33" s="98"/>
      <c r="AQ33" s="98"/>
      <c r="AR33" s="98"/>
      <c r="AX33" s="100"/>
      <c r="AY33" s="100"/>
      <c r="BE33" s="93"/>
      <c r="BF33" s="91"/>
      <c r="CC33" s="94"/>
      <c r="CD33" s="94"/>
    </row>
    <row r="34" spans="1:82" ht="12" customHeight="1">
      <c r="A34" s="91"/>
      <c r="B34" s="98"/>
      <c r="C34" s="98"/>
      <c r="H34" s="100"/>
      <c r="I34" s="100"/>
      <c r="AA34" s="98"/>
      <c r="AK34" s="98"/>
      <c r="AL34" s="98"/>
      <c r="AM34" s="98"/>
      <c r="AN34" s="98"/>
      <c r="AQ34" s="98"/>
      <c r="AR34" s="98"/>
      <c r="AX34" s="100"/>
      <c r="AY34" s="100"/>
      <c r="BE34" s="93"/>
      <c r="BF34" s="91"/>
      <c r="CC34" s="94"/>
      <c r="CD34" s="94"/>
    </row>
    <row r="35" spans="1:82" ht="12" customHeight="1">
      <c r="A35" s="91"/>
      <c r="B35" s="98"/>
      <c r="C35" s="98"/>
      <c r="H35" s="100"/>
      <c r="I35" s="100"/>
      <c r="AA35" s="98"/>
      <c r="AK35" s="98"/>
      <c r="AL35" s="98"/>
      <c r="AM35" s="98"/>
      <c r="AN35" s="98"/>
      <c r="AQ35" s="98"/>
      <c r="AR35" s="98"/>
      <c r="AX35" s="100"/>
      <c r="AY35" s="100"/>
      <c r="BE35" s="93"/>
      <c r="BF35" s="91"/>
      <c r="CC35" s="94"/>
      <c r="CD35" s="94"/>
    </row>
    <row r="36" spans="1:82" ht="12" customHeight="1">
      <c r="A36" s="91"/>
      <c r="B36" s="98"/>
      <c r="C36" s="98"/>
      <c r="H36" s="100"/>
      <c r="I36" s="100"/>
      <c r="AA36" s="98"/>
      <c r="AK36" s="98"/>
      <c r="AL36" s="98"/>
      <c r="AM36" s="98"/>
      <c r="AN36" s="98"/>
      <c r="AQ36" s="98"/>
      <c r="AR36" s="98"/>
      <c r="AX36" s="100"/>
      <c r="AY36" s="100"/>
      <c r="BE36" s="93"/>
      <c r="BF36" s="91"/>
      <c r="CC36" s="94"/>
      <c r="CD36" s="94"/>
    </row>
    <row r="37" spans="1:82" ht="12" customHeight="1">
      <c r="A37" s="91"/>
      <c r="B37" s="98"/>
      <c r="C37" s="98"/>
      <c r="H37" s="100"/>
      <c r="I37" s="100"/>
      <c r="AA37" s="98"/>
      <c r="AK37" s="98"/>
      <c r="AL37" s="98"/>
      <c r="AM37" s="98"/>
      <c r="AN37" s="98"/>
      <c r="AQ37" s="98"/>
      <c r="AR37" s="98"/>
      <c r="AX37" s="100"/>
      <c r="AY37" s="100"/>
      <c r="BE37" s="93"/>
      <c r="BF37" s="91"/>
      <c r="CC37" s="94"/>
      <c r="CD37" s="94"/>
    </row>
    <row r="38" spans="1:82" ht="12" customHeight="1">
      <c r="A38" s="91"/>
      <c r="B38" s="98"/>
      <c r="C38" s="98"/>
      <c r="H38" s="100"/>
      <c r="I38" s="100"/>
      <c r="AA38" s="98"/>
      <c r="AK38" s="98"/>
      <c r="AL38" s="98"/>
      <c r="AM38" s="98"/>
      <c r="AN38" s="98"/>
      <c r="AQ38" s="98"/>
      <c r="AR38" s="98"/>
      <c r="AX38" s="100"/>
      <c r="AY38" s="100"/>
      <c r="BE38" s="93"/>
      <c r="BF38" s="91"/>
      <c r="CC38" s="94"/>
      <c r="CD38" s="94"/>
    </row>
    <row r="39" spans="1:82" ht="12" customHeight="1">
      <c r="A39" s="91"/>
      <c r="B39" s="98"/>
      <c r="C39" s="98"/>
      <c r="H39" s="100"/>
      <c r="I39" s="100"/>
      <c r="AA39" s="98"/>
      <c r="AK39" s="98"/>
      <c r="AL39" s="98"/>
      <c r="AM39" s="98"/>
      <c r="AN39" s="98"/>
      <c r="AQ39" s="98"/>
      <c r="AR39" s="98"/>
      <c r="AX39" s="100"/>
      <c r="AY39" s="100"/>
      <c r="BE39" s="93"/>
      <c r="BF39" s="91"/>
      <c r="CC39" s="94"/>
      <c r="CD39" s="94"/>
    </row>
    <row r="40" spans="1:82" ht="12" customHeight="1">
      <c r="A40" s="91"/>
      <c r="B40" s="98"/>
      <c r="C40" s="98"/>
      <c r="H40" s="100"/>
      <c r="I40" s="100"/>
      <c r="AA40" s="98"/>
      <c r="AK40" s="98"/>
      <c r="AL40" s="98"/>
      <c r="AM40" s="98"/>
      <c r="AN40" s="98"/>
      <c r="AQ40" s="98"/>
      <c r="AR40" s="98"/>
      <c r="AX40" s="100"/>
      <c r="AY40" s="100"/>
      <c r="BE40" s="93"/>
      <c r="BF40" s="91"/>
      <c r="CC40" s="94"/>
      <c r="CD40" s="94"/>
    </row>
    <row r="41" spans="1:82" ht="12" customHeight="1">
      <c r="A41" s="91"/>
      <c r="B41" s="98"/>
      <c r="C41" s="98"/>
      <c r="H41" s="100"/>
      <c r="I41" s="100"/>
      <c r="AA41" s="98"/>
      <c r="AK41" s="98"/>
      <c r="AL41" s="98"/>
      <c r="AM41" s="98"/>
      <c r="AN41" s="98"/>
      <c r="AQ41" s="98"/>
      <c r="AR41" s="98"/>
      <c r="AX41" s="100"/>
      <c r="AY41" s="100"/>
      <c r="BE41" s="93"/>
      <c r="BF41" s="91"/>
      <c r="CC41" s="94"/>
      <c r="CD41" s="94"/>
    </row>
    <row r="42" spans="1:82" ht="12" customHeight="1">
      <c r="A42" s="91"/>
      <c r="B42" s="98"/>
      <c r="C42" s="98"/>
      <c r="H42" s="100"/>
      <c r="I42" s="100"/>
      <c r="AA42" s="98"/>
      <c r="AK42" s="98"/>
      <c r="AL42" s="98"/>
      <c r="AM42" s="98"/>
      <c r="AN42" s="98"/>
      <c r="AQ42" s="98"/>
      <c r="AR42" s="98"/>
      <c r="AX42" s="100"/>
      <c r="AY42" s="100"/>
      <c r="BE42" s="93"/>
      <c r="BF42" s="91"/>
      <c r="CC42" s="94"/>
      <c r="CD42" s="94"/>
    </row>
    <row r="43" spans="1:82" ht="12" customHeight="1">
      <c r="A43" s="91"/>
      <c r="B43" s="98"/>
      <c r="C43" s="98"/>
      <c r="H43" s="100"/>
      <c r="I43" s="100"/>
      <c r="AA43" s="98"/>
      <c r="AK43" s="98"/>
      <c r="AL43" s="98"/>
      <c r="AM43" s="98"/>
      <c r="AN43" s="98"/>
      <c r="AQ43" s="98"/>
      <c r="AR43" s="98"/>
      <c r="AX43" s="100"/>
      <c r="AY43" s="100"/>
      <c r="BE43" s="93"/>
      <c r="BF43" s="91"/>
      <c r="CC43" s="94"/>
      <c r="CD43" s="94"/>
    </row>
    <row r="44" spans="1:82" ht="12" customHeight="1">
      <c r="A44" s="91"/>
      <c r="B44" s="98"/>
      <c r="C44" s="98"/>
      <c r="H44" s="100"/>
      <c r="I44" s="100"/>
      <c r="AA44" s="98"/>
      <c r="AK44" s="98"/>
      <c r="AL44" s="98"/>
      <c r="AM44" s="98"/>
      <c r="AN44" s="98"/>
      <c r="AQ44" s="98"/>
      <c r="AR44" s="98"/>
      <c r="AX44" s="100"/>
      <c r="AY44" s="100"/>
      <c r="BE44" s="93"/>
      <c r="BF44" s="91"/>
      <c r="CC44" s="94"/>
      <c r="CD44" s="94"/>
    </row>
    <row r="45" spans="1:82" ht="12" customHeight="1">
      <c r="A45" s="91"/>
      <c r="B45" s="98"/>
      <c r="C45" s="98"/>
      <c r="H45" s="100"/>
      <c r="I45" s="100"/>
      <c r="AA45" s="98"/>
      <c r="AK45" s="98"/>
      <c r="AL45" s="98"/>
      <c r="AM45" s="98"/>
      <c r="AN45" s="98"/>
      <c r="AQ45" s="98"/>
      <c r="AR45" s="98"/>
      <c r="AX45" s="100"/>
      <c r="AY45" s="100"/>
      <c r="BE45" s="93"/>
      <c r="BF45" s="91"/>
      <c r="CC45" s="94"/>
      <c r="CD45" s="94"/>
    </row>
    <row r="46" spans="1:82" ht="12" customHeight="1">
      <c r="A46" s="91"/>
      <c r="B46" s="98"/>
      <c r="C46" s="98"/>
      <c r="H46" s="100"/>
      <c r="I46" s="100"/>
      <c r="AA46" s="98"/>
      <c r="AK46" s="98"/>
      <c r="AL46" s="98"/>
      <c r="AM46" s="98"/>
      <c r="AN46" s="98"/>
      <c r="AQ46" s="98"/>
      <c r="AR46" s="98"/>
      <c r="AX46" s="100"/>
      <c r="AY46" s="100"/>
      <c r="BE46" s="93"/>
      <c r="BF46" s="91"/>
      <c r="CC46" s="94"/>
      <c r="CD46" s="94"/>
    </row>
    <row r="47" spans="1:82" ht="12" customHeight="1">
      <c r="A47" s="91"/>
      <c r="B47" s="98"/>
      <c r="C47" s="98"/>
      <c r="H47" s="100"/>
      <c r="I47" s="100"/>
      <c r="AA47" s="98"/>
      <c r="AK47" s="98"/>
      <c r="AL47" s="98"/>
      <c r="AM47" s="98"/>
      <c r="AN47" s="98"/>
      <c r="AQ47" s="98"/>
      <c r="AR47" s="98"/>
      <c r="AX47" s="100"/>
      <c r="AY47" s="100"/>
      <c r="BE47" s="93"/>
      <c r="BF47" s="91"/>
      <c r="CC47" s="94"/>
      <c r="CD47" s="94"/>
    </row>
    <row r="48" spans="1:82" ht="12" customHeight="1">
      <c r="A48" s="91"/>
      <c r="B48" s="98"/>
      <c r="C48" s="98"/>
      <c r="H48" s="100"/>
      <c r="I48" s="100"/>
      <c r="AA48" s="98"/>
      <c r="AK48" s="98"/>
      <c r="AL48" s="98"/>
      <c r="AM48" s="98"/>
      <c r="AN48" s="98"/>
      <c r="AQ48" s="98"/>
      <c r="AR48" s="98"/>
      <c r="AX48" s="100"/>
      <c r="AY48" s="100"/>
      <c r="BE48" s="93"/>
      <c r="BF48" s="91"/>
      <c r="CC48" s="94"/>
      <c r="CD48" s="94"/>
    </row>
    <row r="49" spans="1:82" ht="12" customHeight="1">
      <c r="A49" s="91"/>
      <c r="B49" s="98"/>
      <c r="C49" s="98"/>
      <c r="H49" s="100"/>
      <c r="I49" s="100"/>
      <c r="AA49" s="98"/>
      <c r="AK49" s="98"/>
      <c r="AL49" s="98"/>
      <c r="AM49" s="98"/>
      <c r="AN49" s="98"/>
      <c r="AQ49" s="98"/>
      <c r="AR49" s="98"/>
      <c r="AX49" s="100"/>
      <c r="AY49" s="100"/>
      <c r="BE49" s="93"/>
      <c r="BF49" s="91"/>
      <c r="CC49" s="94"/>
      <c r="CD49" s="94"/>
    </row>
    <row r="50" spans="1:82" ht="12" customHeight="1">
      <c r="A50" s="91"/>
      <c r="B50" s="98"/>
      <c r="C50" s="98"/>
      <c r="H50" s="100"/>
      <c r="I50" s="100"/>
      <c r="AA50" s="98"/>
      <c r="AK50" s="98"/>
      <c r="AL50" s="98"/>
      <c r="AM50" s="98"/>
      <c r="AN50" s="98"/>
      <c r="AQ50" s="98"/>
      <c r="AR50" s="98"/>
      <c r="AX50" s="100"/>
      <c r="AY50" s="100"/>
      <c r="BE50" s="93"/>
      <c r="BF50" s="91"/>
      <c r="CC50" s="94"/>
      <c r="CD50" s="94"/>
    </row>
    <row r="51" spans="1:82" ht="12" customHeight="1">
      <c r="A51" s="91"/>
      <c r="B51" s="98"/>
      <c r="C51" s="98"/>
      <c r="H51" s="100"/>
      <c r="I51" s="100"/>
      <c r="AA51" s="98"/>
      <c r="AK51" s="98"/>
      <c r="AL51" s="98"/>
      <c r="AM51" s="98"/>
      <c r="AN51" s="98"/>
      <c r="AQ51" s="98"/>
      <c r="AR51" s="98"/>
      <c r="AX51" s="100"/>
      <c r="AY51" s="100"/>
      <c r="BE51" s="93"/>
      <c r="BF51" s="91"/>
      <c r="CC51" s="94"/>
      <c r="CD51" s="94"/>
    </row>
    <row r="52" spans="1:82" ht="12" customHeight="1">
      <c r="A52" s="91"/>
      <c r="B52" s="98"/>
      <c r="C52" s="98"/>
      <c r="H52" s="100"/>
      <c r="I52" s="100"/>
      <c r="AA52" s="98"/>
      <c r="AK52" s="98"/>
      <c r="AL52" s="98"/>
      <c r="AM52" s="98"/>
      <c r="AN52" s="98"/>
      <c r="AQ52" s="98"/>
      <c r="AR52" s="98"/>
      <c r="AX52" s="100"/>
      <c r="AY52" s="100"/>
      <c r="BE52" s="93"/>
      <c r="BF52" s="91"/>
      <c r="CC52" s="94"/>
      <c r="CD52" s="94"/>
    </row>
    <row r="53" spans="1:82" ht="12" customHeight="1">
      <c r="A53" s="91"/>
      <c r="B53" s="98"/>
      <c r="C53" s="98"/>
      <c r="H53" s="100"/>
      <c r="I53" s="100"/>
      <c r="AA53" s="98"/>
      <c r="AK53" s="98"/>
      <c r="AL53" s="98"/>
      <c r="AM53" s="98"/>
      <c r="AN53" s="98"/>
      <c r="AQ53" s="98"/>
      <c r="AR53" s="98"/>
      <c r="AX53" s="100"/>
      <c r="AY53" s="100"/>
      <c r="BE53" s="93"/>
      <c r="BF53" s="91"/>
      <c r="CC53" s="94"/>
      <c r="CD53" s="94"/>
    </row>
    <row r="54" spans="1:82" ht="12" customHeight="1">
      <c r="A54" s="91"/>
      <c r="B54" s="98"/>
      <c r="C54" s="98"/>
      <c r="H54" s="100"/>
      <c r="I54" s="100"/>
      <c r="AA54" s="98"/>
      <c r="AK54" s="98"/>
      <c r="AL54" s="98"/>
      <c r="AM54" s="98"/>
      <c r="AN54" s="98"/>
      <c r="AQ54" s="98"/>
      <c r="AR54" s="98"/>
      <c r="AX54" s="100"/>
      <c r="AY54" s="100"/>
      <c r="BE54" s="93"/>
      <c r="BF54" s="91"/>
      <c r="CC54" s="94"/>
      <c r="CD54" s="94"/>
    </row>
    <row r="55" spans="1:82" ht="12" customHeight="1">
      <c r="A55" s="91"/>
      <c r="B55" s="98"/>
      <c r="C55" s="98"/>
      <c r="H55" s="100"/>
      <c r="I55" s="100"/>
      <c r="AA55" s="98"/>
      <c r="AK55" s="98"/>
      <c r="AL55" s="98"/>
      <c r="AM55" s="98"/>
      <c r="AN55" s="98"/>
      <c r="AQ55" s="98"/>
      <c r="AR55" s="98"/>
      <c r="AX55" s="100"/>
      <c r="AY55" s="100"/>
      <c r="BE55" s="93"/>
      <c r="BF55" s="91"/>
      <c r="CC55" s="94"/>
      <c r="CD55" s="94"/>
    </row>
    <row r="56" spans="1:82" ht="8.1" customHeight="1">
      <c r="A56" s="91"/>
      <c r="C56" s="101"/>
      <c r="AR56" s="101"/>
      <c r="BE56" s="93"/>
      <c r="BF56" s="91"/>
      <c r="CC56" s="94"/>
      <c r="CD56" s="94"/>
    </row>
    <row r="57" spans="1:82" ht="8.1" customHeight="1">
      <c r="A57" s="91"/>
      <c r="B57" s="102"/>
      <c r="AQ57" s="102"/>
      <c r="BE57" s="93"/>
      <c r="BF57" s="91"/>
      <c r="CC57" s="94"/>
      <c r="CD57" s="94"/>
    </row>
    <row r="58" spans="1:82" ht="8.1" customHeight="1">
      <c r="A58" s="95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7"/>
      <c r="CC58" s="94"/>
      <c r="CD58" s="94"/>
    </row>
    <row r="59" spans="1:82" ht="14.1" customHeight="1">
      <c r="CC59" s="94"/>
      <c r="CD59" s="94"/>
    </row>
    <row r="60" spans="1:82" ht="14.1" customHeight="1">
      <c r="CC60" s="94"/>
      <c r="CD60" s="94"/>
    </row>
    <row r="61" spans="1:82" ht="14.1" customHeight="1">
      <c r="CC61" s="94"/>
      <c r="CD61" s="94"/>
    </row>
    <row r="62" spans="1:82" ht="14.1" customHeight="1">
      <c r="CC62" s="94"/>
      <c r="CD62" s="94"/>
    </row>
    <row r="63" spans="1:82" ht="14.1" customHeight="1">
      <c r="CC63" s="94"/>
      <c r="CD63" s="94"/>
    </row>
    <row r="64" spans="1:82" ht="14.1" customHeight="1">
      <c r="CC64" s="94"/>
      <c r="CD64" s="94"/>
    </row>
    <row r="65" spans="81:82" ht="14.1" customHeight="1">
      <c r="CC65" s="94"/>
      <c r="CD65" s="94"/>
    </row>
    <row r="66" spans="81:82" ht="14.1" customHeight="1">
      <c r="CC66" s="94"/>
      <c r="CD66" s="94"/>
    </row>
    <row r="67" spans="81:82" ht="14.1" customHeight="1">
      <c r="CC67" s="94"/>
      <c r="CD67" s="94"/>
    </row>
    <row r="68" spans="81:82" ht="14.1" customHeight="1">
      <c r="CC68" s="94"/>
      <c r="CD68" s="94"/>
    </row>
    <row r="69" spans="81:82" ht="14.1" customHeight="1">
      <c r="CC69" s="94"/>
      <c r="CD69" s="94"/>
    </row>
    <row r="70" spans="81:82" ht="14.1" customHeight="1">
      <c r="CC70" s="94"/>
      <c r="CD70" s="94"/>
    </row>
    <row r="71" spans="81:82" ht="14.1" customHeight="1">
      <c r="CC71" s="94"/>
      <c r="CD71" s="94"/>
    </row>
    <row r="72" spans="81:82" ht="14.1" customHeight="1">
      <c r="CC72" s="94"/>
      <c r="CD72" s="94"/>
    </row>
    <row r="73" spans="81:82" ht="14.1" customHeight="1">
      <c r="CC73" s="94"/>
      <c r="CD73" s="94"/>
    </row>
    <row r="74" spans="81:82" ht="14.1" customHeight="1">
      <c r="CC74" s="94"/>
      <c r="CD74" s="94"/>
    </row>
    <row r="75" spans="81:82" ht="14.1" customHeight="1">
      <c r="CC75" s="94"/>
      <c r="CD75" s="94"/>
    </row>
    <row r="76" spans="81:82" ht="14.1" customHeight="1">
      <c r="CC76" s="94"/>
      <c r="CD76" s="94"/>
    </row>
    <row r="77" spans="81:82" ht="14.1" customHeight="1">
      <c r="CC77" s="94"/>
      <c r="CD77" s="94"/>
    </row>
    <row r="78" spans="81:82" ht="14.1" customHeight="1">
      <c r="CC78" s="94"/>
      <c r="CD78" s="94"/>
    </row>
    <row r="79" spans="81:82" ht="14.1" customHeight="1">
      <c r="CC79" s="94"/>
      <c r="CD79" s="94"/>
    </row>
    <row r="80" spans="81:82" ht="14.1" customHeight="1">
      <c r="CC80" s="94"/>
      <c r="CD80" s="94"/>
    </row>
    <row r="81" spans="81:82" ht="14.1" customHeight="1">
      <c r="CC81" s="94"/>
      <c r="CD81" s="94"/>
    </row>
    <row r="82" spans="81:82" ht="14.1" customHeight="1">
      <c r="CC82" s="94"/>
      <c r="CD82" s="94"/>
    </row>
    <row r="83" spans="81:82" ht="14.1" customHeight="1">
      <c r="CC83" s="94"/>
      <c r="CD83" s="94"/>
    </row>
    <row r="84" spans="81:82" ht="14.1" customHeight="1">
      <c r="CC84" s="94"/>
      <c r="CD84" s="94"/>
    </row>
    <row r="85" spans="81:82" ht="14.1" customHeight="1">
      <c r="CC85" s="94"/>
      <c r="CD85" s="94"/>
    </row>
    <row r="86" spans="81:82" ht="14.1" customHeight="1">
      <c r="CC86" s="94"/>
      <c r="CD86" s="94"/>
    </row>
    <row r="87" spans="81:82" ht="14.1" customHeight="1">
      <c r="CC87" s="94"/>
      <c r="CD87" s="94"/>
    </row>
    <row r="88" spans="81:82" ht="14.1" customHeight="1">
      <c r="CC88" s="94"/>
      <c r="CD88" s="94"/>
    </row>
    <row r="89" spans="81:82" ht="14.1" customHeight="1">
      <c r="CC89" s="94"/>
      <c r="CD89" s="94"/>
    </row>
    <row r="90" spans="81:82" ht="14.1" customHeight="1">
      <c r="CC90" s="94"/>
      <c r="CD90" s="94"/>
    </row>
    <row r="91" spans="81:82" ht="14.1" customHeight="1">
      <c r="CC91" s="94"/>
      <c r="CD91" s="94"/>
    </row>
    <row r="92" spans="81:82" ht="14.1" customHeight="1">
      <c r="CC92" s="94"/>
      <c r="CD92" s="94"/>
    </row>
    <row r="93" spans="81:82" ht="14.1" customHeight="1">
      <c r="CC93" s="94"/>
      <c r="CD93" s="94"/>
    </row>
    <row r="94" spans="81:82" ht="14.1" customHeight="1">
      <c r="CC94" s="94"/>
      <c r="CD94" s="94"/>
    </row>
    <row r="95" spans="81:82" ht="14.1" customHeight="1">
      <c r="CC95" s="94"/>
      <c r="CD95" s="94"/>
    </row>
    <row r="96" spans="81:82" ht="14.1" customHeight="1">
      <c r="CC96" s="94"/>
      <c r="CD96" s="94"/>
    </row>
    <row r="97" spans="2:82" ht="14.1" customHeight="1"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  <c r="CB97" s="94"/>
      <c r="CC97" s="94"/>
      <c r="CD97" s="94"/>
    </row>
    <row r="98" spans="2:82" ht="14.1" customHeight="1"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</row>
    <row r="99" spans="2:82" ht="14.1" customHeight="1"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</row>
    <row r="100" spans="2:82" ht="14.1" customHeight="1"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</row>
    <row r="101" spans="2:82" ht="14.1" customHeight="1"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</row>
    <row r="102" spans="2:82" ht="14.1" customHeight="1"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  <c r="CB102" s="94"/>
      <c r="CC102" s="94"/>
      <c r="CD102" s="94"/>
    </row>
    <row r="103" spans="2:82" ht="14.1" customHeight="1"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</row>
    <row r="104" spans="2:82" ht="14.1" customHeight="1"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</row>
    <row r="105" spans="2:82" ht="14.1" customHeight="1"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  <c r="CB105" s="94"/>
      <c r="CC105" s="94"/>
      <c r="CD105" s="94"/>
    </row>
    <row r="106" spans="2:82" ht="14.1" customHeight="1"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</row>
    <row r="107" spans="2:82" ht="14.1" customHeight="1"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94"/>
      <c r="BW107" s="94"/>
      <c r="BX107" s="94"/>
      <c r="BY107" s="94"/>
      <c r="BZ107" s="94"/>
      <c r="CA107" s="94"/>
      <c r="CB107" s="94"/>
      <c r="CC107" s="94"/>
      <c r="CD107" s="94"/>
    </row>
    <row r="108" spans="2:82" ht="14.1" customHeight="1"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  <c r="CB108" s="94"/>
      <c r="CC108" s="94"/>
      <c r="CD108" s="94"/>
    </row>
    <row r="109" spans="2:82" ht="14.1" customHeight="1"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</row>
  </sheetData>
  <mergeCells count="21">
    <mergeCell ref="A6:E6"/>
    <mergeCell ref="N1:R1"/>
    <mergeCell ref="V8:AC8"/>
    <mergeCell ref="A11:AC11"/>
    <mergeCell ref="A21:E21"/>
    <mergeCell ref="A13:E13"/>
    <mergeCell ref="N13:R13"/>
    <mergeCell ref="A14:E14"/>
    <mergeCell ref="A15:E15"/>
    <mergeCell ref="A16:E16"/>
    <mergeCell ref="A1:E1"/>
    <mergeCell ref="A2:E2"/>
    <mergeCell ref="A3:E3"/>
    <mergeCell ref="A4:E4"/>
    <mergeCell ref="A5:E5"/>
    <mergeCell ref="A18:E18"/>
    <mergeCell ref="N18:R18"/>
    <mergeCell ref="A19:E19"/>
    <mergeCell ref="A20:E20"/>
    <mergeCell ref="V7:AC7"/>
    <mergeCell ref="A7:U7"/>
  </mergeCells>
  <phoneticPr fontId="2"/>
  <pageMargins left="0.19685039370078741" right="0.19685039370078741" top="0.19685039370078741" bottom="0.19685039370078741" header="0.31496062992125984" footer="0.31496062992125984"/>
  <pageSetup paperSize="9" fitToHeight="0" orientation="portrait" verticalDpi="200" r:id="rId1"/>
  <headerFooter alignWithMargins="0">
    <oddFooter>&amp;L&amp;A&amp;C&amp;P/&amp;N&amp;R©Toyo Business Engineering Corp.(B-EN-G) /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EVCTUWYQZQYC-538864054-23880</_dlc_DocId>
    <_dlc_DocIdUrl xmlns="276bdb53-d102-4a67-8437-273e78fbb7dc">
      <Url>https://mitsubishielectricgroup.sharepoint.com/sites/009989/_layouts/15/DocIdRedir.aspx?ID=EVCTUWYQZQYC-538864054-23880</Url>
      <Description>EVCTUWYQZQYC-538864054-23880</Description>
    </_dlc_DocIdUrl>
  </documentManagement>
</p:properties>
</file>

<file path=customXml/itemProps1.xml><?xml version="1.0" encoding="utf-8"?>
<ds:datastoreItem xmlns:ds="http://schemas.openxmlformats.org/officeDocument/2006/customXml" ds:itemID="{8B51C6D8-6428-4EC0-AE74-EC13EAE04C14}"/>
</file>

<file path=customXml/itemProps2.xml><?xml version="1.0" encoding="utf-8"?>
<ds:datastoreItem xmlns:ds="http://schemas.openxmlformats.org/officeDocument/2006/customXml" ds:itemID="{C2599370-29A3-4D0B-A10D-DBF6C5DECA6E}"/>
</file>

<file path=customXml/itemProps3.xml><?xml version="1.0" encoding="utf-8"?>
<ds:datastoreItem xmlns:ds="http://schemas.openxmlformats.org/officeDocument/2006/customXml" ds:itemID="{A89D68AD-2C59-4208-ACC7-CFBA7741A3B5}"/>
</file>

<file path=customXml/itemProps4.xml><?xml version="1.0" encoding="utf-8"?>
<ds:datastoreItem xmlns:ds="http://schemas.openxmlformats.org/officeDocument/2006/customXml" ds:itemID="{401650C6-545A-4984-BD9B-59D355922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29</vt:i4>
      </vt:variant>
    </vt:vector>
  </HeadingPairs>
  <TitlesOfParts>
    <vt:vector size="37" baseType="lpstr">
      <vt:lpstr>表紙</vt:lpstr>
      <vt:lpstr>来歴</vt:lpstr>
      <vt:lpstr>承認票</vt:lpstr>
      <vt:lpstr>レビュー記録</vt:lpstr>
      <vt:lpstr>機能概要</vt:lpstr>
      <vt:lpstr>レイアウト</vt:lpstr>
      <vt:lpstr>項目仕様</vt:lpstr>
      <vt:lpstr>印刷確認用（印刷対象外）r00.00</vt:lpstr>
      <vt:lpstr>レイアウト!Print_Area</vt:lpstr>
      <vt:lpstr>レビュー記録!Print_Area</vt:lpstr>
      <vt:lpstr>'印刷確認用（印刷対象外）r00.00'!Print_Area</vt:lpstr>
      <vt:lpstr>機能概要!Print_Area</vt:lpstr>
      <vt:lpstr>項目仕様!Print_Area</vt:lpstr>
      <vt:lpstr>承認票!Print_Area</vt:lpstr>
      <vt:lpstr>表紙!Print_Area</vt:lpstr>
      <vt:lpstr>来歴!Print_Area</vt:lpstr>
      <vt:lpstr>レイアウト!Print_Titles</vt:lpstr>
      <vt:lpstr>レビュー記録!Print_Titles</vt:lpstr>
      <vt:lpstr>機能概要!Print_Titles</vt:lpstr>
      <vt:lpstr>項目仕様!Print_Titles</vt:lpstr>
      <vt:lpstr>承認票!Print_Titles</vt:lpstr>
      <vt:lpstr>来歴!Print_Titles</vt:lpstr>
      <vt:lpstr>Rev</vt:lpstr>
      <vt:lpstr>Version</vt:lpstr>
      <vt:lpstr>サブシステム</vt:lpstr>
      <vt:lpstr>システム</vt:lpstr>
      <vt:lpstr>プロジェクト名</vt:lpstr>
      <vt:lpstr>機能ID</vt:lpstr>
      <vt:lpstr>機能名</vt:lpstr>
      <vt:lpstr>顧客名</vt:lpstr>
      <vt:lpstr>作成者</vt:lpstr>
      <vt:lpstr>作成日</vt:lpstr>
      <vt:lpstr>修正者</vt:lpstr>
      <vt:lpstr>修正日</vt:lpstr>
      <vt:lpstr>分類ID</vt:lpstr>
      <vt:lpstr>分類名</vt:lpstr>
      <vt:lpstr>文書番号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Yoshikawa Hideharu</dc:creator>
  <cp:lastModifiedBy>Itou Keita</cp:lastModifiedBy>
  <cp:lastPrinted>2017-05-29T05:18:20Z</cp:lastPrinted>
  <dcterms:created xsi:type="dcterms:W3CDTF">1997-01-08T22:48:59Z</dcterms:created>
  <dcterms:modified xsi:type="dcterms:W3CDTF">2019-05-16T05:42:32Z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b06edb04-3951-489a-adef-e71079a09429</vt:lpwstr>
  </property>
</Properties>
</file>